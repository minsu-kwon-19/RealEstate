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sheets/sheet14.xml" ContentType="application/vnd.openxmlformats-officedocument.spreadsheetml.worksheet+xml"/>
  <Override PartName="/xl/comments/comment12.xml" ContentType="application/vnd.openxmlformats-officedocument.spreadsheetml.comments+xml"/>
  <Override PartName="/xl/worksheets/sheet15.xml" ContentType="application/vnd.openxmlformats-officedocument.spreadsheetml.worksheet+xml"/>
  <Override PartName="/xl/comments/comment13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0" activeTab="0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강일동" sheetId="6" state="visible" r:id="rId6"/>
    <sheet xmlns:r="http://schemas.openxmlformats.org/officeDocument/2006/relationships" name="고덕동" sheetId="7" state="visible" r:id="rId7"/>
    <sheet xmlns:r="http://schemas.openxmlformats.org/officeDocument/2006/relationships" name="길동" sheetId="8" state="visible" r:id="rId8"/>
    <sheet xmlns:r="http://schemas.openxmlformats.org/officeDocument/2006/relationships" name="둔촌동" sheetId="9" state="visible" r:id="rId9"/>
    <sheet xmlns:r="http://schemas.openxmlformats.org/officeDocument/2006/relationships" name="명일동" sheetId="10" state="visible" r:id="rId10"/>
    <sheet xmlns:r="http://schemas.openxmlformats.org/officeDocument/2006/relationships" name="상일동" sheetId="11" state="visible" r:id="rId11"/>
    <sheet xmlns:r="http://schemas.openxmlformats.org/officeDocument/2006/relationships" name="성내동" sheetId="12" state="visible" r:id="rId12"/>
    <sheet xmlns:r="http://schemas.openxmlformats.org/officeDocument/2006/relationships" name="암사동" sheetId="13" state="visible" r:id="rId13"/>
    <sheet xmlns:r="http://schemas.openxmlformats.org/officeDocument/2006/relationships" name="천호동" sheetId="14" state="visible" r:id="rId14"/>
    <sheet xmlns:r="http://schemas.openxmlformats.org/officeDocument/2006/relationships" name="양식" sheetId="15" state="visible" r:id="rId15"/>
  </sheets>
  <definedNames>
    <definedName name="_xlnm.Print_Titles" localSheetId="0">'단지추출'!$1:$3</definedName>
    <definedName name="_xlnm.Print_Area" localSheetId="0">'단지추출'!$A$1:$U$3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'강일동'!$1:$3</definedName>
    <definedName name="_xlnm.Print_Area" localSheetId="5">'강일동'!$A$1:$U$6</definedName>
    <definedName name="_xlnm.Print_Titles" localSheetId="6">'고덕동'!$1:$3</definedName>
    <definedName name="_xlnm.Print_Area" localSheetId="6">'고덕동'!$A$1:$U$6</definedName>
    <definedName name="_xlnm.Print_Titles" localSheetId="7">'길동'!$1:$3</definedName>
    <definedName name="_xlnm.Print_Area" localSheetId="7">'길동'!$A$1:$U$6</definedName>
    <definedName name="_xlnm.Print_Titles" localSheetId="8">'둔촌동'!$1:$3</definedName>
    <definedName name="_xlnm.Print_Area" localSheetId="8">'둔촌동'!$A$1:$U$6</definedName>
    <definedName name="_xlnm.Print_Titles" localSheetId="9">'명일동'!$1:$3</definedName>
    <definedName name="_xlnm.Print_Area" localSheetId="9">'명일동'!$A$1:$U$6</definedName>
    <definedName name="_xlnm.Print_Titles" localSheetId="10">'상일동'!$1:$3</definedName>
    <definedName name="_xlnm.Print_Area" localSheetId="10">'상일동'!$A$1:$U$6</definedName>
    <definedName name="_xlnm.Print_Titles" localSheetId="11">'성내동'!$1:$3</definedName>
    <definedName name="_xlnm.Print_Area" localSheetId="11">'성내동'!$A$1:$U$6</definedName>
    <definedName name="_xlnm.Print_Titles" localSheetId="12">'암사동'!$1:$3</definedName>
    <definedName name="_xlnm.Print_Area" localSheetId="12">'암사동'!$A$1:$U$6</definedName>
    <definedName name="_xlnm.Print_Titles" localSheetId="13">'천호동'!$1:$3</definedName>
    <definedName name="_xlnm.Print_Area" localSheetId="13">'천호동'!$A$1:$U$6</definedName>
    <definedName name="_xlnm.Print_Titles" localSheetId="14">'양식'!$1:$3</definedName>
    <definedName name="_xlnm.Print_Area" localSheetId="14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2">
    <numFmt numFmtId="164" formatCode="#,##0_);[Red]\(#,##0\)"/>
    <numFmt numFmtId="165" formatCode="&quot;@&quot;#,##0_ "/>
    <numFmt numFmtId="166" formatCode="0_);[Red]\(0\)"/>
    <numFmt numFmtId="167" formatCode="0.0"/>
    <numFmt numFmtId="168" formatCode="#,###&quot;^&quot;"/>
    <numFmt numFmtId="169" formatCode="General&quot;^&quot;"/>
    <numFmt numFmtId="170" formatCode="0_ "/>
    <numFmt numFmtId="171" formatCode="#,##0_ "/>
    <numFmt numFmtId="172" formatCode="&quot;~&quot;General"/>
    <numFmt numFmtId="173" formatCode="General&quot;~&quot;"/>
    <numFmt numFmtId="174" formatCode="yyyy&quot;년&quot;\ m&quot;월&quot;\ d&quot;일&quot;;@"/>
    <numFmt numFmtId="175" formatCode="0.0%"/>
  </numFmts>
  <fonts count="19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Tahoma"/>
      <family val="2"/>
      <color indexed="81"/>
      <sz val="9"/>
    </font>
    <font>
      <name val="돋움"/>
      <charset val="129"/>
      <family val="3"/>
      <color indexed="81"/>
      <sz val="9"/>
    </font>
    <font>
      <name val="맑은 고딕"/>
      <charset val="129"/>
      <family val="3"/>
      <color theme="1"/>
      <sz val="9"/>
      <vertAlign val="superscript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color rgb="FF000000"/>
      <sz val="11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67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0" fontId="4" fillId="2" borderId="1" applyAlignment="1" pivotButton="0" quotePrefix="0" xfId="0">
      <alignment vertical="center"/>
    </xf>
    <xf numFmtId="164" fontId="4" fillId="2" borderId="1" applyAlignment="1" pivotButton="0" quotePrefix="0" xfId="0">
      <alignment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165" fontId="4" fillId="2" borderId="1" applyAlignment="1" pivotButton="0" quotePrefix="0" xfId="0">
      <alignment vertical="center"/>
    </xf>
    <xf numFmtId="0" fontId="4" fillId="2" borderId="1" applyAlignment="1" pivotButton="0" quotePrefix="0" xfId="0">
      <alignment horizontal="center"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166" fontId="4" fillId="2" borderId="1" applyAlignment="1" pivotButton="0" quotePrefix="0" xfId="0">
      <alignment horizontal="center" vertical="center"/>
    </xf>
    <xf numFmtId="166" fontId="4" fillId="2" borderId="1" applyAlignment="1" pivotButton="0" quotePrefix="0" xfId="0">
      <alignment vertical="center"/>
    </xf>
    <xf numFmtId="49" fontId="3" fillId="3" borderId="1" applyAlignment="1" pivotButton="0" quotePrefix="0" xfId="0">
      <alignment horizontal="center" vertical="center" wrapText="1"/>
    </xf>
    <xf numFmtId="167" fontId="4" fillId="2" borderId="1" applyAlignment="1" pivotButton="0" quotePrefix="0" xfId="0">
      <alignment vertical="center"/>
    </xf>
    <xf numFmtId="167" fontId="4" fillId="2" borderId="1" applyAlignment="1" pivotButton="0" quotePrefix="0" xfId="0">
      <alignment vertical="center"/>
    </xf>
    <xf numFmtId="1" fontId="4" fillId="2" borderId="1" applyAlignment="1" pivotButton="0" quotePrefix="0" xfId="0">
      <alignment vertical="center"/>
    </xf>
    <xf numFmtId="168" fontId="4" fillId="2" borderId="1" applyAlignment="1" pivotButton="0" quotePrefix="0" xfId="0">
      <alignment horizontal="right" vertical="center"/>
    </xf>
    <xf numFmtId="165" fontId="4" fillId="2" borderId="1" applyAlignment="1" pivotButton="0" quotePrefix="0" xfId="0">
      <alignment vertical="center"/>
    </xf>
    <xf numFmtId="169" fontId="4" fillId="2" borderId="0" applyAlignment="1" pivotButton="0" quotePrefix="0" xfId="0">
      <alignment horizontal="right" vertical="center"/>
    </xf>
    <xf numFmtId="169" fontId="4" fillId="3" borderId="1" applyAlignment="1" pivotButton="0" quotePrefix="0" xfId="0">
      <alignment horizontal="center" vertical="center"/>
    </xf>
    <xf numFmtId="169" fontId="4" fillId="2" borderId="1" applyAlignment="1" pivotButton="0" quotePrefix="0" xfId="0">
      <alignment horizontal="right" vertical="center"/>
    </xf>
    <xf numFmtId="164" fontId="4" fillId="0" borderId="1" applyAlignment="1" pivotButton="0" quotePrefix="0" xfId="0">
      <alignment vertical="center"/>
    </xf>
    <xf numFmtId="0" fontId="10" fillId="3" borderId="1" applyAlignment="1" pivotButton="0" quotePrefix="1" xfId="0">
      <alignment horizontal="center" vertical="center"/>
    </xf>
    <xf numFmtId="0" fontId="11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166" fontId="3" fillId="2" borderId="1" applyAlignment="1" pivotButton="0" quotePrefix="0" xfId="0">
      <alignment horizontal="center" vertical="center" wrapText="1"/>
    </xf>
    <xf numFmtId="0" fontId="12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11" fillId="3" borderId="1" applyAlignment="1" applyProtection="1" pivotButton="0" quotePrefix="1" xfId="0">
      <alignment horizontal="center" vertical="center"/>
      <protection locked="0" hidden="0"/>
    </xf>
    <xf numFmtId="0" fontId="11" fillId="3" borderId="1" applyAlignment="1" applyProtection="1" pivotButton="0" quotePrefix="0" xfId="0">
      <alignment vertical="center"/>
      <protection locked="0" hidden="0"/>
    </xf>
    <xf numFmtId="0" fontId="10" fillId="3" borderId="1" applyAlignment="1" applyProtection="1" pivotButton="0" quotePrefix="0" xfId="0">
      <alignment horizontal="center" vertical="center"/>
      <protection locked="0" hidden="0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169" fontId="4" fillId="3" borderId="1" applyAlignment="1" applyProtection="1" pivotButton="0" quotePrefix="0" xfId="0">
      <alignment horizontal="center" vertical="center"/>
      <protection locked="0" hidden="0"/>
    </xf>
    <xf numFmtId="0" fontId="12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170" fontId="4" fillId="2" borderId="0" applyAlignment="1" pivotButton="0" quotePrefix="0" xfId="0">
      <alignment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171" fontId="4" fillId="4" borderId="1" applyAlignment="1" applyProtection="1" pivotButton="0" quotePrefix="0" xfId="0">
      <alignment vertical="center"/>
      <protection locked="0" hidden="0"/>
    </xf>
    <xf numFmtId="172" fontId="4" fillId="3" borderId="1" applyAlignment="1" pivotButton="0" quotePrefix="0" xfId="0">
      <alignment horizontal="center" vertical="center"/>
    </xf>
    <xf numFmtId="173" fontId="4" fillId="3" borderId="1" applyAlignment="1" pivotButton="0" quotePrefix="0" xfId="0">
      <alignment horizontal="center" vertical="center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2" borderId="9" applyAlignment="1" pivotButton="0" quotePrefix="0" xfId="0">
      <alignment vertical="center"/>
    </xf>
    <xf numFmtId="0" fontId="13" fillId="0" borderId="0" applyAlignment="1" pivotButton="0" quotePrefix="0" xfId="0">
      <alignment vertical="center" wrapText="1"/>
    </xf>
    <xf numFmtId="0" fontId="14" fillId="0" borderId="0" applyAlignment="1" pivotButton="0" quotePrefix="0" xfId="0">
      <alignment vertical="center" wrapText="1"/>
    </xf>
    <xf numFmtId="0" fontId="15" fillId="3" borderId="2" applyAlignment="1" pivotButton="0" quotePrefix="0" xfId="0">
      <alignment horizontal="centerContinuous" vertical="center" wrapText="1"/>
    </xf>
    <xf numFmtId="0" fontId="15" fillId="3" borderId="3" applyAlignment="1" pivotButton="0" quotePrefix="0" xfId="0">
      <alignment horizontal="centerContinuous" vertical="center" wrapText="1"/>
    </xf>
    <xf numFmtId="0" fontId="15" fillId="3" borderId="4" applyAlignment="1" pivotButton="0" quotePrefix="0" xfId="0">
      <alignment horizontal="centerContinuous" vertical="center" wrapText="1"/>
    </xf>
    <xf numFmtId="0" fontId="15" fillId="3" borderId="1" applyAlignment="1" pivotButton="0" quotePrefix="0" xfId="0">
      <alignment horizontal="center" vertical="center" wrapText="1"/>
    </xf>
    <xf numFmtId="0" fontId="15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5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5" fillId="6" borderId="3" applyAlignment="1" pivotButton="0" quotePrefix="0" xfId="0">
      <alignment horizontal="center" vertical="center" wrapText="1"/>
    </xf>
    <xf numFmtId="0" fontId="15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5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167" fontId="15" fillId="6" borderId="10" applyAlignment="1" pivotButton="0" quotePrefix="0" xfId="0">
      <alignment horizontal="center" vertical="center" wrapText="1"/>
    </xf>
    <xf numFmtId="167" fontId="15" fillId="6" borderId="4" applyAlignment="1" pivotButton="0" quotePrefix="0" xfId="0">
      <alignment horizontal="center" vertical="center" wrapText="1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0" fillId="2" borderId="0" applyAlignment="1" pivotButton="0" quotePrefix="0" xfId="0">
      <alignment vertical="center"/>
    </xf>
    <xf numFmtId="167" fontId="15" fillId="6" borderId="9" applyAlignment="1" pivotButton="0" quotePrefix="0" xfId="0">
      <alignment horizontal="center" vertical="center" wrapText="1"/>
    </xf>
    <xf numFmtId="167" fontId="15" fillId="5" borderId="4" applyAlignment="1" pivotButton="0" quotePrefix="0" xfId="0">
      <alignment horizontal="center" vertical="center" wrapText="1"/>
    </xf>
    <xf numFmtId="167" fontId="15" fillId="7" borderId="4" applyAlignment="1" pivotButton="0" quotePrefix="0" xfId="0">
      <alignment horizontal="center" vertical="center" wrapText="1"/>
    </xf>
    <xf numFmtId="167" fontId="15" fillId="8" borderId="4" applyAlignment="1" pivotButton="0" quotePrefix="0" xfId="0">
      <alignment horizontal="center" vertical="center" wrapText="1"/>
    </xf>
    <xf numFmtId="167" fontId="15" fillId="6" borderId="2" applyAlignment="1" pivotButton="0" quotePrefix="0" xfId="0">
      <alignment horizontal="center" vertical="center" wrapText="1"/>
    </xf>
    <xf numFmtId="167" fontId="15" fillId="5" borderId="2" applyAlignment="1" pivotButton="0" quotePrefix="0" xfId="0">
      <alignment horizontal="center" vertical="center" wrapText="1"/>
    </xf>
    <xf numFmtId="167" fontId="15" fillId="7" borderId="2" applyAlignment="1" pivotButton="0" quotePrefix="0" xfId="0">
      <alignment horizontal="center" vertical="center" wrapText="1"/>
    </xf>
    <xf numFmtId="167" fontId="15" fillId="8" borderId="2" applyAlignment="1" pivotButton="0" quotePrefix="0" xfId="0">
      <alignment horizontal="center" vertical="center" wrapText="1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2" borderId="1" applyAlignment="1" pivotButton="0" quotePrefix="0" xfId="0">
      <alignment horizontal="center" vertical="center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166" fontId="4" fillId="2" borderId="1" applyAlignment="1" pivotButton="0" quotePrefix="0" xfId="0">
      <alignment vertical="center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174" fontId="6" fillId="2" borderId="0" applyAlignment="1" applyProtection="1" pivotButton="0" quotePrefix="1" xfId="0">
      <alignment horizontal="left" vertical="center"/>
      <protection locked="0" hidden="0"/>
    </xf>
    <xf numFmtId="0" fontId="17" fillId="0" borderId="0" applyAlignment="1" pivotButton="0" quotePrefix="0" xfId="0">
      <alignment vertical="center"/>
    </xf>
    <xf numFmtId="0" fontId="18" fillId="4" borderId="0" applyAlignment="1" pivotButton="0" quotePrefix="0" xfId="0">
      <alignment vertical="center"/>
    </xf>
    <xf numFmtId="0" fontId="4" fillId="2" borderId="1" applyAlignment="1" pivotButton="0" quotePrefix="0" xfId="0">
      <alignment horizontal="center" vertical="center"/>
    </xf>
    <xf numFmtId="171" fontId="4" fillId="2" borderId="1" applyAlignment="1" pivotButton="0" quotePrefix="0" xfId="0">
      <alignment vertical="center"/>
    </xf>
    <xf numFmtId="0" fontId="11" fillId="2" borderId="1" applyAlignment="1" pivotButton="0" quotePrefix="0" xfId="0">
      <alignment horizontal="center" vertical="center"/>
    </xf>
    <xf numFmtId="171" fontId="11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75" fontId="11" fillId="2" borderId="1" applyAlignment="1" pivotButton="0" quotePrefix="0" xfId="1">
      <alignment vertical="center"/>
    </xf>
    <xf numFmtId="0" fontId="0" fillId="9" borderId="0" applyAlignment="1" pivotButton="0" quotePrefix="0" xfId="0">
      <alignment vertical="center"/>
    </xf>
    <xf numFmtId="0" fontId="3" fillId="3" borderId="2" applyAlignment="1" applyProtection="1" pivotButton="0" quotePrefix="0" xfId="0">
      <alignment horizontal="center" vertical="center" wrapText="1"/>
      <protection locked="0" hidden="0"/>
    </xf>
    <xf numFmtId="0" fontId="3" fillId="3" borderId="4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4" fillId="2" borderId="2" applyAlignment="1" applyProtection="1" pivotButton="0" quotePrefix="0" xfId="0">
      <alignment horizontal="center" vertical="center"/>
      <protection locked="0" hidden="0"/>
    </xf>
    <xf numFmtId="0" fontId="3" fillId="3" borderId="3" applyAlignment="1" applyProtection="1" pivotButton="0" quotePrefix="0" xfId="0">
      <alignment horizontal="center" vertical="center" wrapText="1"/>
      <protection locked="0" hidden="0"/>
    </xf>
    <xf numFmtId="0" fontId="13" fillId="0" borderId="0" applyAlignment="1" pivotButton="0" quotePrefix="0" xfId="0">
      <alignment horizontal="center" vertical="center" wrapText="1"/>
    </xf>
    <xf numFmtId="0" fontId="4" fillId="2" borderId="2" applyAlignment="1" pivotButton="0" quotePrefix="0" xfId="0">
      <alignment horizontal="center" vertical="center"/>
    </xf>
    <xf numFmtId="0" fontId="4" fillId="2" borderId="3" applyAlignment="1" pivotButton="0" quotePrefix="0" xfId="0">
      <alignment horizontal="center" vertical="center"/>
    </xf>
    <xf numFmtId="0" fontId="4" fillId="2" borderId="4" applyAlignment="1" pivotButton="0" quotePrefix="0" xfId="0">
      <alignment horizontal="center" vertical="center"/>
    </xf>
    <xf numFmtId="0" fontId="0" fillId="0" borderId="0" pivotButton="0" quotePrefix="0" xfId="0"/>
    <xf numFmtId="0" fontId="0" fillId="0" borderId="4" applyProtection="1" pivotButton="0" quotePrefix="0" xfId="0">
      <protection locked="0" hidden="0"/>
    </xf>
    <xf numFmtId="171" fontId="4" fillId="4" borderId="1" applyAlignment="1" applyProtection="1" pivotButton="0" quotePrefix="0" xfId="0">
      <alignment vertical="center"/>
      <protection locked="0" hidden="0"/>
    </xf>
    <xf numFmtId="0" fontId="0" fillId="0" borderId="3" applyProtection="1" pivotButton="0" quotePrefix="0" xfId="0">
      <protection locked="0" hidden="0"/>
    </xf>
    <xf numFmtId="174" fontId="6" fillId="2" borderId="0" applyAlignment="1" applyProtection="1" pivotButton="0" quotePrefix="1" xfId="0">
      <alignment horizontal="left" vertical="center"/>
      <protection locked="0" hidden="0"/>
    </xf>
    <xf numFmtId="169" fontId="4" fillId="3" borderId="1" applyAlignment="1" applyProtection="1" pivotButton="0" quotePrefix="0" xfId="0">
      <alignment horizontal="center" vertical="center"/>
      <protection locked="0" hidden="0"/>
    </xf>
    <xf numFmtId="172" fontId="4" fillId="3" borderId="1" applyAlignment="1" pivotButton="0" quotePrefix="0" xfId="0">
      <alignment horizontal="center" vertical="center"/>
    </xf>
    <xf numFmtId="173" fontId="4" fillId="3" borderId="1" applyAlignment="1" pivotButton="0" quotePrefix="0" xfId="0">
      <alignment horizontal="center" vertical="center"/>
    </xf>
    <xf numFmtId="170" fontId="4" fillId="2" borderId="0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71" fontId="11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75" fontId="11" fillId="2" borderId="1" applyAlignment="1" pivotButton="0" quotePrefix="0" xfId="1">
      <alignment vertical="center"/>
    </xf>
    <xf numFmtId="167" fontId="15" fillId="6" borderId="10" applyAlignment="1" pivotButton="0" quotePrefix="0" xfId="0">
      <alignment horizontal="center" vertical="center" wrapText="1"/>
    </xf>
    <xf numFmtId="167" fontId="15" fillId="6" borderId="9" applyAlignment="1" pivotButton="0" quotePrefix="0" xfId="0">
      <alignment horizontal="center" vertical="center" wrapText="1"/>
    </xf>
    <xf numFmtId="167" fontId="15" fillId="6" borderId="2" applyAlignment="1" pivotButton="0" quotePrefix="0" xfId="0">
      <alignment horizontal="center" vertical="center" wrapText="1"/>
    </xf>
    <xf numFmtId="167" fontId="15" fillId="6" borderId="4" applyAlignment="1" pivotButton="0" quotePrefix="0" xfId="0">
      <alignment horizontal="center" vertical="center" wrapText="1"/>
    </xf>
    <xf numFmtId="167" fontId="15" fillId="5" borderId="2" applyAlignment="1" pivotButton="0" quotePrefix="0" xfId="0">
      <alignment horizontal="center" vertical="center" wrapText="1"/>
    </xf>
    <xf numFmtId="167" fontId="15" fillId="5" borderId="4" applyAlignment="1" pivotButton="0" quotePrefix="0" xfId="0">
      <alignment horizontal="center" vertical="center" wrapText="1"/>
    </xf>
    <xf numFmtId="167" fontId="15" fillId="7" borderId="2" applyAlignment="1" pivotButton="0" quotePrefix="0" xfId="0">
      <alignment horizontal="center" vertical="center" wrapText="1"/>
    </xf>
    <xf numFmtId="167" fontId="15" fillId="7" borderId="4" applyAlignment="1" pivotButton="0" quotePrefix="0" xfId="0">
      <alignment horizontal="center" vertical="center" wrapText="1"/>
    </xf>
    <xf numFmtId="167" fontId="15" fillId="8" borderId="2" applyAlignment="1" pivotButton="0" quotePrefix="0" xfId="0">
      <alignment horizontal="center" vertical="center" wrapText="1"/>
    </xf>
    <xf numFmtId="167" fontId="15" fillId="8" borderId="4" applyAlignment="1" pivotButton="0" quotePrefix="0" xfId="0">
      <alignment horizontal="center" vertical="center" wrapText="1"/>
    </xf>
    <xf numFmtId="169" fontId="4" fillId="2" borderId="0" applyAlignment="1" pivotButton="0" quotePrefix="0" xfId="0">
      <alignment horizontal="right" vertical="center"/>
    </xf>
    <xf numFmtId="0" fontId="0" fillId="0" borderId="3" pivotButton="0" quotePrefix="0" xfId="0"/>
    <xf numFmtId="0" fontId="0" fillId="0" borderId="4" pivotButton="0" quotePrefix="0" xfId="0"/>
    <xf numFmtId="169" fontId="4" fillId="3" borderId="1" applyAlignment="1" pivotButton="0" quotePrefix="0" xfId="0">
      <alignment horizontal="center" vertical="center"/>
    </xf>
    <xf numFmtId="166" fontId="4" fillId="2" borderId="1" applyAlignment="1" pivotButton="0" quotePrefix="0" xfId="0">
      <alignment horizontal="center" vertical="center"/>
    </xf>
    <xf numFmtId="169" fontId="4" fillId="2" borderId="1" applyAlignment="1" pivotButton="0" quotePrefix="0" xfId="0">
      <alignment horizontal="right" vertical="center"/>
    </xf>
    <xf numFmtId="166" fontId="3" fillId="2" borderId="1" applyAlignment="1" pivotButton="0" quotePrefix="0" xfId="0">
      <alignment horizontal="center" vertical="center" wrapText="1"/>
    </xf>
    <xf numFmtId="167" fontId="4" fillId="2" borderId="1" applyAlignment="1" pivotButton="0" quotePrefix="0" xfId="0">
      <alignment vertical="center"/>
    </xf>
    <xf numFmtId="165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vertical="center"/>
    </xf>
    <xf numFmtId="168" fontId="4" fillId="2" borderId="1" applyAlignment="1" pivotButton="0" quotePrefix="0" xfId="0">
      <alignment horizontal="right" vertical="center"/>
    </xf>
    <xf numFmtId="164" fontId="4" fillId="0" borderId="1" applyAlignment="1" pivotButton="0" quotePrefix="0" xfId="0">
      <alignment vertical="center"/>
    </xf>
    <xf numFmtId="164" fontId="4" fillId="2" borderId="1" applyAlignment="1" pivotButton="0" quotePrefix="0" xfId="0">
      <alignment vertical="center"/>
    </xf>
  </cellXfs>
  <cellStyles count="2">
    <cellStyle name="표준" xfId="0" builtinId="0"/>
    <cellStyle name="백분율" xfId="1" builtinId="5"/>
  </cellStyles>
  <dxfs count="11062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styles" Target="styles.xml" Id="rId16"/><Relationship Type="http://schemas.openxmlformats.org/officeDocument/2006/relationships/theme" Target="theme/theme1.xml" Id="rId17"/><Relationship Type="http://schemas.microsoft.com/office/2006/relationships/vbaProject" Target="vbaProject.bin" Id="rId18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_rels/sheet14.xml.rels><Relationships xmlns="http://schemas.openxmlformats.org/package/2006/relationships"><Relationship Type="http://schemas.openxmlformats.org/officeDocument/2006/relationships/comments" Target="/xl/comments/comment12.xml" Id="comments"/><Relationship Type="http://schemas.openxmlformats.org/officeDocument/2006/relationships/vmlDrawing" Target="/xl/drawings/vmlDrawing14.vml" Id="anysvml"/></Relationships>
</file>

<file path=xl/worksheets/_rels/sheet15.xml.rels><Relationships xmlns="http://schemas.openxmlformats.org/package/2006/relationships"><Relationship Type="http://schemas.openxmlformats.org/officeDocument/2006/relationships/comments" Target="/xl/comments/comment13.xml" Id="comments"/><Relationship Type="http://schemas.openxmlformats.org/officeDocument/2006/relationships/vmlDrawing" Target="/xl/drawings/vmlDrawing15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539"/>
  <sheetViews>
    <sheetView tabSelected="1"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U18" sqref="U18"/>
    </sheetView>
  </sheetViews>
  <sheetFormatPr baseColWidth="8" defaultColWidth="9" defaultRowHeight="14.1" customHeight="1"/>
  <cols>
    <col width="22.5" bestFit="1" customWidth="1" style="92" min="1" max="1"/>
    <col width="5.625" bestFit="1" customWidth="1" style="92" min="2" max="2"/>
    <col width="6.625" bestFit="1" customWidth="1" style="92" min="3" max="3"/>
    <col width="5.625" bestFit="1" customWidth="1" style="92" min="4" max="4"/>
    <col width="4.625" bestFit="1" customWidth="1" style="92" min="5" max="5"/>
    <col width="5.625" bestFit="1" customWidth="1" style="92" min="6" max="6"/>
    <col width="4.625" bestFit="1" customWidth="1" style="92" min="7" max="7"/>
    <col width="6.625" bestFit="1" customWidth="1" style="92" min="8" max="8"/>
    <col width="7.75" bestFit="1" customWidth="1" style="92" min="9" max="9"/>
    <col width="4" bestFit="1" customWidth="1" style="92" min="10" max="10"/>
    <col width="6.875" bestFit="1" customWidth="1" style="92" min="11" max="11"/>
    <col width="4" bestFit="1" customWidth="1" style="92" min="12" max="12"/>
    <col width="6.875" bestFit="1" customWidth="1" style="92" min="13" max="13"/>
    <col width="4.625" bestFit="1" customWidth="1" style="92" min="14" max="14"/>
    <col width="7.625" bestFit="1" customWidth="1" style="92" min="15" max="16"/>
    <col width="3.25" bestFit="1" customWidth="1" style="92" min="17" max="19"/>
    <col width="10.125" customWidth="1" style="92" min="20" max="20"/>
    <col width="25" customWidth="1" style="92" min="21" max="21"/>
    <col width="2.25" customWidth="1" style="92" min="22" max="22"/>
    <col width="5.625" bestFit="1" customWidth="1" style="92" min="23" max="23"/>
    <col width="4.5" customWidth="1" style="92" min="24" max="24"/>
    <col width="6.25" bestFit="1" customWidth="1" style="92" min="25" max="25"/>
    <col width="7.75" bestFit="1" customWidth="1" style="92" min="26" max="26"/>
    <col width="7" bestFit="1" customWidth="1" style="92" min="27" max="27"/>
    <col width="6.875" bestFit="1" customWidth="1" style="92" min="28" max="28"/>
    <col width="4.625" bestFit="1" customWidth="1" style="92" min="29" max="29"/>
    <col width="7.625" bestFit="1" customWidth="1" style="92" min="30" max="30"/>
    <col width="3.25" bestFit="1" customWidth="1" style="92" min="31" max="31"/>
    <col width="4.625" bestFit="1" customWidth="1" style="92" min="32" max="32"/>
    <col width="2.125" customWidth="1" style="92" min="33" max="33"/>
    <col width="22.5" bestFit="1" customWidth="1" style="92" min="34" max="34"/>
    <col width="4.625" bestFit="1" customWidth="1" style="92" min="35" max="35"/>
    <col width="4.625" customWidth="1" style="92" min="36" max="40"/>
    <col width="9.125" bestFit="1" customWidth="1" style="92" min="41" max="41"/>
    <col width="7.625" bestFit="1" customWidth="1" style="92" min="42" max="43"/>
    <col width="9.125" bestFit="1" customWidth="1" style="92" min="44" max="44"/>
    <col width="6.125" bestFit="1" customWidth="1" style="92" min="45" max="45"/>
    <col width="8.625" bestFit="1" customWidth="1" style="92" min="46" max="46"/>
    <col width="9.125" bestFit="1" customWidth="1" style="92" min="47" max="47"/>
    <col width="7.625" bestFit="1" customWidth="1" style="92" min="48" max="48"/>
    <col width="9" customWidth="1" style="42" min="49" max="51"/>
    <col width="1.25" customWidth="1" style="42" min="52" max="52"/>
    <col width="9" customWidth="1" style="42" min="53" max="16384"/>
  </cols>
  <sheetData>
    <row r="1" ht="17.25" customHeight="1" s="131">
      <c r="A1" s="41" t="inlineStr">
        <is>
          <t>인천광역시 연수구</t>
        </is>
      </c>
      <c r="B1" s="42" t="n"/>
      <c r="C1" s="43" t="n"/>
      <c r="D1" s="42" t="n"/>
      <c r="E1" s="42" t="n"/>
      <c r="F1" s="42" t="n"/>
      <c r="G1" s="42" t="n"/>
      <c r="H1" s="43" t="n"/>
      <c r="I1" s="42" t="n"/>
      <c r="J1" s="122" t="inlineStr">
        <is>
          <t>유사평형제거</t>
        </is>
      </c>
      <c r="K1" s="132" t="n"/>
      <c r="L1" s="63" t="inlineStr">
        <is>
          <t>X</t>
        </is>
      </c>
      <c r="M1" s="0" t="n"/>
      <c r="N1" s="122" t="inlineStr">
        <is>
          <t>추출기준세대수</t>
        </is>
      </c>
      <c r="O1" s="132" t="n"/>
      <c r="P1" s="133" t="n">
        <v>0</v>
      </c>
      <c r="Q1" s="123" t="inlineStr">
        <is>
          <t>세대이상</t>
        </is>
      </c>
      <c r="R1" s="134" t="n"/>
      <c r="S1" s="132" t="n"/>
      <c r="T1" s="45" t="n"/>
      <c r="U1" s="42" t="n"/>
      <c r="V1" s="42" t="n"/>
      <c r="W1" s="42" t="n"/>
      <c r="X1" s="56" t="inlineStr">
        <is>
          <t>매매가 최대(색상 최대)</t>
        </is>
      </c>
      <c r="Y1" s="56" t="n"/>
      <c r="Z1" s="56" t="n"/>
      <c r="AA1" s="58" t="n">
        <v>70000</v>
      </c>
      <c r="AB1" s="42" t="n"/>
      <c r="AC1" s="42" t="n"/>
      <c r="AD1" s="42" t="n"/>
      <c r="AE1" s="44" t="n"/>
      <c r="AF1" s="45" t="n"/>
      <c r="AG1" s="42" t="n"/>
      <c r="AH1" s="41" t="inlineStr">
        <is>
          <t>인천광역시 연수구</t>
        </is>
      </c>
      <c r="AI1" s="42" t="n"/>
      <c r="AJ1" s="124" t="inlineStr">
        <is>
          <t>인천광역시 연수구 전체 등급</t>
        </is>
      </c>
      <c r="AK1" s="134" t="n"/>
      <c r="AL1" s="134" t="n"/>
      <c r="AM1" s="134" t="n"/>
      <c r="AN1" s="132" t="n"/>
      <c r="AO1" s="39" t="n">
        <v>80</v>
      </c>
      <c r="AP1" s="39" t="n">
        <v>45000</v>
      </c>
      <c r="AQ1" s="40" t="n">
        <v>1000</v>
      </c>
      <c r="AR1" s="39" t="n">
        <v>6000</v>
      </c>
      <c r="AS1" s="3" t="n"/>
      <c r="AT1" s="3" t="n"/>
      <c r="AU1" s="39" t="n">
        <v>300</v>
      </c>
      <c r="AV1" s="42" t="n"/>
      <c r="AX1" s="122" t="inlineStr">
        <is>
          <t>기준연도</t>
        </is>
      </c>
      <c r="AY1" s="122" t="inlineStr">
        <is>
          <t>기준월</t>
        </is>
      </c>
      <c r="AZ1" s="68" t="n"/>
      <c r="BH1" s="42" t="inlineStr">
        <is>
          <t>200세대 이상 108단지</t>
        </is>
      </c>
    </row>
    <row r="2" ht="12" customHeight="1" s="131">
      <c r="A2" s="135" t="n">
        <v>44197</v>
      </c>
      <c r="B2" s="44" t="n"/>
      <c r="C2" s="43" t="n"/>
      <c r="D2" s="42" t="n"/>
      <c r="E2" s="42" t="n"/>
      <c r="F2" s="42" t="n"/>
      <c r="G2" s="42" t="n"/>
      <c r="H2" s="43" t="n"/>
      <c r="I2" s="42" t="n"/>
      <c r="J2" s="42" t="n"/>
      <c r="K2" s="42" t="n"/>
      <c r="L2" s="42" t="n"/>
      <c r="M2" s="42" t="n"/>
      <c r="N2" s="42" t="n"/>
      <c r="O2" s="42" t="n"/>
      <c r="P2" s="42" t="n"/>
      <c r="Q2" s="45" t="n"/>
      <c r="R2" s="45" t="n"/>
      <c r="S2" s="44" t="n"/>
      <c r="T2" s="45" t="n"/>
      <c r="U2" s="46" t="n"/>
      <c r="V2" s="42" t="n"/>
      <c r="W2" s="42" t="n"/>
      <c r="X2" s="57" t="inlineStr">
        <is>
          <t>매매가 최소(색상 최소)</t>
        </is>
      </c>
      <c r="Y2" s="57" t="n"/>
      <c r="Z2" s="56" t="n"/>
      <c r="AA2" s="58" t="n">
        <v>10000</v>
      </c>
      <c r="AB2" s="42" t="n"/>
      <c r="AC2" s="42" t="n"/>
      <c r="AD2" s="42" t="n"/>
      <c r="AE2" s="44" t="n"/>
      <c r="AF2" s="45" t="n"/>
      <c r="AG2" s="42" t="n"/>
      <c r="AH2" s="47" t="inlineStr">
        <is>
          <t>입지평가 및 투자후보</t>
        </is>
      </c>
      <c r="AI2" s="48" t="n"/>
      <c r="AJ2" s="49" t="inlineStr">
        <is>
          <t>A-</t>
        </is>
      </c>
      <c r="AK2" s="49" t="inlineStr">
        <is>
          <t>A</t>
        </is>
      </c>
      <c r="AL2" s="49" t="inlineStr">
        <is>
          <t>A</t>
        </is>
      </c>
      <c r="AM2" s="49" t="inlineStr">
        <is>
          <t>A</t>
        </is>
      </c>
      <c r="AN2" s="49" t="inlineStr">
        <is>
          <t>C</t>
        </is>
      </c>
      <c r="AO2" s="50" t="inlineStr">
        <is>
          <t>원금보전</t>
        </is>
      </c>
      <c r="AP2" s="134" t="n"/>
      <c r="AQ2" s="132" t="n"/>
      <c r="AR2" s="50" t="inlineStr">
        <is>
          <t>수익성</t>
        </is>
      </c>
      <c r="AS2" s="132" t="n"/>
      <c r="AT2" s="50" t="inlineStr">
        <is>
          <t>환금성</t>
        </is>
      </c>
      <c r="AU2" s="132" t="n"/>
      <c r="AV2" s="50" t="inlineStr">
        <is>
          <t>투자후보</t>
        </is>
      </c>
      <c r="AX2" s="67" t="n">
        <v>2020</v>
      </c>
      <c r="AY2" s="67" t="n">
        <v>9</v>
      </c>
      <c r="AZ2" s="69" t="n"/>
      <c r="BH2" s="42" t="inlineStr">
        <is>
          <t>300세대 이상 69단지</t>
        </is>
      </c>
    </row>
    <row r="3" ht="26.25" customHeight="1" s="131">
      <c r="A3" s="50" t="inlineStr">
        <is>
          <t>단지명</t>
        </is>
      </c>
      <c r="B3" s="50" t="inlineStr">
        <is>
          <t>입주
연도</t>
        </is>
      </c>
      <c r="C3" s="50" t="inlineStr">
        <is>
          <t>총세
대수</t>
        </is>
      </c>
      <c r="D3" s="50" t="inlineStr">
        <is>
          <t>공급
(m2)</t>
        </is>
      </c>
      <c r="E3" s="50" t="inlineStr">
        <is>
          <t>공급
면적</t>
        </is>
      </c>
      <c r="F3" s="50" t="inlineStr">
        <is>
          <t>전용
(m2)</t>
        </is>
      </c>
      <c r="G3" s="50" t="inlineStr">
        <is>
          <t>전용
면적</t>
        </is>
      </c>
      <c r="H3" s="122" t="inlineStr">
        <is>
          <t>세대</t>
        </is>
      </c>
      <c r="I3" s="51" t="inlineStr">
        <is>
          <t>매매
최저가</t>
        </is>
      </c>
      <c r="J3" s="51" t="inlineStr">
        <is>
          <t>층</t>
        </is>
      </c>
      <c r="K3" s="51" t="inlineStr">
        <is>
          <t>전세
최고가</t>
        </is>
      </c>
      <c r="L3" s="51" t="inlineStr">
        <is>
          <t>층</t>
        </is>
      </c>
      <c r="M3" s="122" t="inlineStr">
        <is>
          <t>갭</t>
        </is>
      </c>
      <c r="N3" s="50" t="inlineStr">
        <is>
          <t>전세
가율</t>
        </is>
      </c>
      <c r="O3" s="51" t="inlineStr">
        <is>
          <t>매매
평단</t>
        </is>
      </c>
      <c r="P3" s="51" t="inlineStr">
        <is>
          <t>전세
평단</t>
        </is>
      </c>
      <c r="Q3" s="52" t="inlineStr">
        <is>
          <t>방</t>
        </is>
      </c>
      <c r="R3" s="52" t="inlineStr">
        <is>
          <t>욕
실</t>
        </is>
      </c>
      <c r="S3" s="50" t="inlineStr">
        <is>
          <t>구
조</t>
        </is>
      </c>
      <c r="T3" s="53" t="inlineStr">
        <is>
          <t>매/전/월
Type</t>
        </is>
      </c>
      <c r="U3" s="122" t="inlineStr">
        <is>
          <t>비고</t>
        </is>
      </c>
      <c r="V3" s="42" t="n"/>
      <c r="W3" s="50" t="inlineStr">
        <is>
          <t>공급
평형</t>
        </is>
      </c>
      <c r="X3" s="50" t="inlineStr">
        <is>
          <t>공급
면적</t>
        </is>
      </c>
      <c r="Y3" s="136" t="inlineStr">
        <is>
          <t>세대</t>
        </is>
      </c>
      <c r="Z3" s="122" t="inlineStr">
        <is>
          <t>매매가</t>
        </is>
      </c>
      <c r="AA3" s="122" t="inlineStr">
        <is>
          <t>전세가</t>
        </is>
      </c>
      <c r="AB3" s="122" t="inlineStr">
        <is>
          <t>갭</t>
        </is>
      </c>
      <c r="AC3" s="50" t="inlineStr">
        <is>
          <t>전세
가율</t>
        </is>
      </c>
      <c r="AD3" s="122" t="inlineStr">
        <is>
          <t>평단가</t>
        </is>
      </c>
      <c r="AE3" s="50" t="inlineStr">
        <is>
          <t>구
조</t>
        </is>
      </c>
      <c r="AF3" s="52" t="inlineStr">
        <is>
          <t>방/
욕실</t>
        </is>
      </c>
      <c r="AG3" s="42" t="n"/>
      <c r="AH3" s="50" t="inlineStr">
        <is>
          <t>단지명</t>
        </is>
      </c>
      <c r="AI3" s="50" t="inlineStr">
        <is>
          <t>공급
면적</t>
        </is>
      </c>
      <c r="AJ3" s="50" t="inlineStr">
        <is>
          <t>직장</t>
        </is>
      </c>
      <c r="AK3" s="50" t="inlineStr">
        <is>
          <t>교통</t>
        </is>
      </c>
      <c r="AL3" s="50" t="inlineStr">
        <is>
          <t>학군</t>
        </is>
      </c>
      <c r="AM3" s="50" t="inlineStr">
        <is>
          <t>환경</t>
        </is>
      </c>
      <c r="AN3" s="50" t="inlineStr">
        <is>
          <t>공급</t>
        </is>
      </c>
      <c r="AO3" s="50" t="inlineStr">
        <is>
          <t>전세가율★
(80%↑)</t>
        </is>
      </c>
      <c r="AP3" s="50" t="inlineStr">
        <is>
          <t>절대가★
(4.5억↓)</t>
        </is>
      </c>
      <c r="AQ3" s="50" t="inlineStr">
        <is>
          <t>평단가
(1000↓)</t>
        </is>
      </c>
      <c r="AR3" s="50" t="inlineStr">
        <is>
          <t>투자규모★
(갭6천↓)</t>
        </is>
      </c>
      <c r="AS3" s="50" t="inlineStr">
        <is>
          <t>전고점
이하</t>
        </is>
      </c>
      <c r="AT3" s="55" t="inlineStr">
        <is>
          <t>평형★
(15~34평)</t>
        </is>
      </c>
      <c r="AU3" s="50" t="inlineStr">
        <is>
          <t>단지규모★
(300^↑)</t>
        </is>
      </c>
      <c r="AV3" s="50" t="inlineStr">
        <is>
          <t>투자후보</t>
        </is>
      </c>
      <c r="AX3" s="18" t="inlineStr">
        <is>
          <t>입주연도</t>
        </is>
      </c>
      <c r="AY3" s="18" t="inlineStr">
        <is>
          <t>입주월</t>
        </is>
      </c>
      <c r="AZ3" s="71" t="n"/>
      <c r="BA3" s="73" t="n"/>
      <c r="BB3" s="137" t="n">
        <v>2010</v>
      </c>
      <c r="BC3" s="137" t="n">
        <v>2000</v>
      </c>
      <c r="BD3" s="137" t="n">
        <v>1990</v>
      </c>
      <c r="BE3" s="138" t="n">
        <v>1990</v>
      </c>
      <c r="BF3" s="56" t="n"/>
    </row>
    <row r="4" ht="16.5" customFormat="1" customHeight="1" s="56">
      <c r="A4" s="92" t="n"/>
      <c r="B4" s="92" t="n"/>
      <c r="C4" s="92" t="n"/>
      <c r="D4" s="92" t="n"/>
      <c r="E4" s="92" t="n"/>
      <c r="F4" s="92" t="n"/>
      <c r="G4" s="92" t="n"/>
      <c r="H4" s="92" t="n"/>
      <c r="I4" s="92" t="n"/>
      <c r="J4" s="92" t="n"/>
      <c r="K4" s="92" t="n"/>
      <c r="L4" s="92" t="n"/>
      <c r="M4" s="92" t="n"/>
      <c r="N4" s="92" t="n"/>
      <c r="O4" s="92" t="n"/>
      <c r="P4" s="92" t="n"/>
      <c r="Q4" s="92" t="n"/>
      <c r="R4" s="92" t="n"/>
      <c r="S4" s="92" t="n"/>
      <c r="T4" s="92" t="n"/>
      <c r="U4" s="92" t="n"/>
      <c r="V4" s="92" t="n"/>
      <c r="W4" s="92" t="n"/>
      <c r="X4" s="92" t="n"/>
      <c r="Y4" s="92" t="n"/>
      <c r="Z4" s="92" t="n"/>
      <c r="AA4" s="92" t="n"/>
      <c r="AB4" s="92" t="n"/>
      <c r="AC4" s="92" t="n"/>
      <c r="AD4" s="92" t="n"/>
      <c r="AE4" s="92" t="n"/>
      <c r="AF4" s="92" t="n"/>
      <c r="AG4" s="92" t="n"/>
      <c r="AH4" s="92" t="n"/>
      <c r="AI4" s="92" t="n"/>
      <c r="AJ4" s="92" t="n"/>
      <c r="AK4" s="92" t="n"/>
      <c r="AL4" s="92" t="n"/>
      <c r="AM4" s="92" t="n"/>
      <c r="AN4" s="92" t="n"/>
      <c r="AO4" s="92" t="n"/>
      <c r="AP4" s="92" t="n"/>
      <c r="AQ4" s="92" t="n"/>
      <c r="AR4" s="92" t="n"/>
      <c r="AS4" s="92" t="n"/>
      <c r="AT4" s="92" t="n"/>
      <c r="AU4" s="92" t="n"/>
      <c r="AV4" s="92" t="n"/>
      <c r="AX4" s="139" t="n">
        <v>2011</v>
      </c>
      <c r="AY4" s="139" t="n">
        <v>4</v>
      </c>
      <c r="AZ4" s="92" t="n"/>
    </row>
    <row r="5" ht="16.5" customFormat="1" customHeight="1" s="56">
      <c r="A5" s="92" t="n"/>
      <c r="B5" s="92" t="n"/>
      <c r="C5" s="92" t="n"/>
      <c r="D5" s="92" t="n"/>
      <c r="E5" s="92" t="n"/>
      <c r="F5" s="92" t="n"/>
      <c r="G5" s="92" t="n"/>
      <c r="H5" s="92" t="n"/>
      <c r="I5" s="92" t="n"/>
      <c r="J5" s="92" t="n"/>
      <c r="K5" s="92" t="n"/>
      <c r="L5" s="92" t="n"/>
      <c r="M5" s="92" t="n"/>
      <c r="N5" s="92" t="n"/>
      <c r="O5" s="92" t="n"/>
      <c r="P5" s="92" t="n"/>
      <c r="Q5" s="92" t="n"/>
      <c r="R5" s="92" t="n"/>
      <c r="S5" s="92" t="n"/>
      <c r="T5" s="92" t="n"/>
      <c r="U5" s="92" t="n"/>
      <c r="V5" s="92" t="n"/>
      <c r="W5" s="92" t="n"/>
      <c r="X5" s="92" t="n"/>
      <c r="Y5" s="92" t="n"/>
      <c r="Z5" s="92" t="n"/>
      <c r="AA5" s="92" t="n"/>
      <c r="AB5" s="92" t="n"/>
      <c r="AC5" s="92" t="n"/>
      <c r="AD5" s="92" t="n"/>
      <c r="AE5" s="92" t="n"/>
      <c r="AF5" s="92" t="n"/>
      <c r="AG5" s="92" t="n"/>
      <c r="AH5" s="92" t="n"/>
      <c r="AI5" s="92" t="n"/>
      <c r="AJ5" s="92" t="n"/>
      <c r="AK5" s="92" t="n"/>
      <c r="AL5" s="92" t="n"/>
      <c r="AM5" s="92" t="n"/>
      <c r="AN5" s="92" t="n"/>
      <c r="AO5" s="92" t="n"/>
      <c r="AP5" s="92" t="n"/>
      <c r="AQ5" s="92" t="n"/>
      <c r="AR5" s="92" t="n"/>
      <c r="AS5" s="92" t="n"/>
      <c r="AT5" s="92" t="n"/>
      <c r="AU5" s="92" t="n"/>
      <c r="AV5" s="92" t="n"/>
      <c r="AX5" s="139" t="n">
        <v>2011</v>
      </c>
      <c r="AY5" s="139" t="n">
        <v>4</v>
      </c>
      <c r="AZ5" s="92" t="n"/>
    </row>
    <row r="6" ht="16.5" customFormat="1" customHeight="1" s="56">
      <c r="A6" s="92" t="n"/>
      <c r="B6" s="92" t="n"/>
      <c r="C6" s="92" t="n"/>
      <c r="D6" s="92" t="n"/>
      <c r="E6" s="92" t="n"/>
      <c r="F6" s="92" t="n"/>
      <c r="G6" s="92" t="n"/>
      <c r="H6" s="92" t="n"/>
      <c r="I6" s="92" t="n"/>
      <c r="J6" s="92" t="n"/>
      <c r="K6" s="92" t="n"/>
      <c r="L6" s="92" t="n"/>
      <c r="M6" s="92" t="n"/>
      <c r="N6" s="92" t="n"/>
      <c r="O6" s="92" t="n"/>
      <c r="P6" s="92" t="n"/>
      <c r="Q6" s="92" t="n"/>
      <c r="R6" s="92" t="n"/>
      <c r="S6" s="92" t="n"/>
      <c r="T6" s="92" t="n"/>
      <c r="U6" s="92" t="n"/>
      <c r="V6" s="92" t="n"/>
      <c r="W6" s="92" t="n"/>
      <c r="X6" s="92" t="n"/>
      <c r="Y6" s="92" t="n"/>
      <c r="Z6" s="92" t="n"/>
      <c r="AA6" s="92" t="n"/>
      <c r="AB6" s="92" t="n"/>
      <c r="AC6" s="92" t="n"/>
      <c r="AD6" s="92" t="n"/>
      <c r="AE6" s="92" t="n"/>
      <c r="AF6" s="92" t="n"/>
      <c r="AG6" s="92" t="n"/>
      <c r="AH6" s="92" t="n"/>
      <c r="AI6" s="92" t="n"/>
      <c r="AJ6" s="92" t="n"/>
      <c r="AK6" s="92" t="n"/>
      <c r="AL6" s="92" t="n"/>
      <c r="AM6" s="92" t="n"/>
      <c r="AN6" s="92" t="n"/>
      <c r="AO6" s="92" t="n"/>
      <c r="AP6" s="92" t="n"/>
      <c r="AQ6" s="92" t="n"/>
      <c r="AR6" s="92" t="n"/>
      <c r="AS6" s="92" t="n"/>
      <c r="AT6" s="92" t="n"/>
      <c r="AU6" s="92" t="n"/>
      <c r="AV6" s="92" t="n"/>
      <c r="AX6" s="139" t="n">
        <v>2011</v>
      </c>
      <c r="AY6" s="139" t="n">
        <v>4</v>
      </c>
      <c r="AZ6" s="92" t="n"/>
    </row>
    <row r="7" ht="16.5" customFormat="1" customHeight="1" s="56">
      <c r="A7" s="92" t="n"/>
      <c r="B7" s="92" t="n"/>
      <c r="C7" s="92" t="n"/>
      <c r="D7" s="92" t="n"/>
      <c r="E7" s="92" t="n"/>
      <c r="F7" s="92" t="n"/>
      <c r="G7" s="92" t="n"/>
      <c r="H7" s="92" t="n"/>
      <c r="I7" s="92" t="n"/>
      <c r="J7" s="92" t="n"/>
      <c r="K7" s="92" t="n"/>
      <c r="L7" s="92" t="n"/>
      <c r="M7" s="92" t="n"/>
      <c r="N7" s="92" t="n"/>
      <c r="O7" s="92" t="n"/>
      <c r="P7" s="92" t="n"/>
      <c r="Q7" s="92" t="n"/>
      <c r="R7" s="92" t="n"/>
      <c r="S7" s="92" t="n"/>
      <c r="T7" s="92" t="n"/>
      <c r="U7" s="92" t="n"/>
      <c r="V7" s="92" t="n"/>
      <c r="W7" s="92" t="n"/>
      <c r="X7" s="92" t="n"/>
      <c r="Y7" s="92" t="n"/>
      <c r="Z7" s="92" t="n"/>
      <c r="AA7" s="92" t="n"/>
      <c r="AB7" s="92" t="n"/>
      <c r="AC7" s="92" t="n"/>
      <c r="AD7" s="92" t="n"/>
      <c r="AE7" s="92" t="n"/>
      <c r="AF7" s="92" t="n"/>
      <c r="AG7" s="92" t="n"/>
      <c r="AH7" s="92" t="n"/>
      <c r="AI7" s="92" t="n"/>
      <c r="AJ7" s="92" t="n"/>
      <c r="AK7" s="92" t="n"/>
      <c r="AL7" s="92" t="n"/>
      <c r="AM7" s="92" t="n"/>
      <c r="AN7" s="92" t="n"/>
      <c r="AO7" s="92" t="n"/>
      <c r="AP7" s="92" t="n"/>
      <c r="AQ7" s="92" t="n"/>
      <c r="AR7" s="92" t="n"/>
      <c r="AS7" s="92" t="n"/>
      <c r="AT7" s="92" t="n"/>
      <c r="AU7" s="92" t="n"/>
      <c r="AV7" s="92" t="n"/>
      <c r="AX7" s="139" t="n">
        <v>2015</v>
      </c>
      <c r="AY7" s="139" t="n">
        <v>7</v>
      </c>
      <c r="AZ7" s="92" t="n"/>
    </row>
    <row r="8" ht="16.5" customFormat="1" customHeight="1" s="56">
      <c r="A8" s="92" t="n"/>
      <c r="B8" s="92" t="n"/>
      <c r="C8" s="92" t="n"/>
      <c r="D8" s="92" t="n"/>
      <c r="E8" s="92" t="n"/>
      <c r="F8" s="92" t="n"/>
      <c r="G8" s="92" t="n"/>
      <c r="H8" s="92" t="n"/>
      <c r="I8" s="92" t="n"/>
      <c r="J8" s="92" t="n"/>
      <c r="K8" s="92" t="n"/>
      <c r="L8" s="92" t="n"/>
      <c r="M8" s="92" t="n"/>
      <c r="N8" s="92" t="n"/>
      <c r="O8" s="92" t="n"/>
      <c r="P8" s="92" t="n"/>
      <c r="Q8" s="92" t="n"/>
      <c r="R8" s="92" t="n"/>
      <c r="S8" s="92" t="n"/>
      <c r="T8" s="92" t="n"/>
      <c r="U8" s="92" t="n"/>
      <c r="V8" s="92" t="n"/>
      <c r="W8" s="92" t="n"/>
      <c r="X8" s="92" t="n"/>
      <c r="Y8" s="92" t="n"/>
      <c r="Z8" s="92" t="n"/>
      <c r="AA8" s="92" t="n"/>
      <c r="AB8" s="92" t="n"/>
      <c r="AC8" s="92" t="n"/>
      <c r="AD8" s="92" t="n"/>
      <c r="AE8" s="92" t="n"/>
      <c r="AF8" s="92" t="n"/>
      <c r="AG8" s="92" t="n"/>
      <c r="AH8" s="92" t="n"/>
      <c r="AI8" s="92" t="n"/>
      <c r="AJ8" s="92" t="n"/>
      <c r="AK8" s="92" t="n"/>
      <c r="AL8" s="92" t="n"/>
      <c r="AM8" s="92" t="n"/>
      <c r="AN8" s="92" t="n"/>
      <c r="AO8" s="92" t="n"/>
      <c r="AP8" s="92" t="n"/>
      <c r="AQ8" s="92" t="n"/>
      <c r="AR8" s="92" t="n"/>
      <c r="AS8" s="92" t="n"/>
      <c r="AT8" s="92" t="n"/>
      <c r="AU8" s="92" t="n"/>
      <c r="AV8" s="92" t="n"/>
      <c r="AX8" s="139" t="n">
        <v>2015</v>
      </c>
      <c r="AY8" s="139" t="n">
        <v>7</v>
      </c>
      <c r="AZ8" s="92" t="n"/>
    </row>
    <row r="9" ht="16.5" customFormat="1" customHeight="1" s="56">
      <c r="A9" s="92" t="n"/>
      <c r="B9" s="92" t="n"/>
      <c r="C9" s="92" t="n"/>
      <c r="D9" s="92" t="n"/>
      <c r="E9" s="92" t="n"/>
      <c r="F9" s="92" t="n"/>
      <c r="G9" s="92" t="n"/>
      <c r="H9" s="92" t="n"/>
      <c r="I9" s="92" t="n"/>
      <c r="J9" s="92" t="n"/>
      <c r="K9" s="92" t="n"/>
      <c r="L9" s="92" t="n"/>
      <c r="M9" s="92" t="n"/>
      <c r="N9" s="92" t="n"/>
      <c r="O9" s="92" t="n"/>
      <c r="P9" s="92" t="n"/>
      <c r="Q9" s="92" t="n"/>
      <c r="R9" s="92" t="n"/>
      <c r="S9" s="92" t="n"/>
      <c r="T9" s="92" t="n"/>
      <c r="U9" s="92" t="n"/>
      <c r="V9" s="92" t="n"/>
      <c r="W9" s="92" t="n"/>
      <c r="X9" s="92" t="n"/>
      <c r="Y9" s="92" t="n"/>
      <c r="Z9" s="92" t="n"/>
      <c r="AA9" s="92" t="n"/>
      <c r="AB9" s="92" t="n"/>
      <c r="AC9" s="92" t="n"/>
      <c r="AD9" s="92" t="n"/>
      <c r="AE9" s="92" t="n"/>
      <c r="AF9" s="92" t="n"/>
      <c r="AG9" s="92" t="n"/>
      <c r="AH9" s="92" t="n"/>
      <c r="AI9" s="92" t="n"/>
      <c r="AJ9" s="92" t="n"/>
      <c r="AK9" s="92" t="n"/>
      <c r="AL9" s="92" t="n"/>
      <c r="AM9" s="92" t="n"/>
      <c r="AN9" s="92" t="n"/>
      <c r="AO9" s="92" t="n"/>
      <c r="AP9" s="92" t="n"/>
      <c r="AQ9" s="92" t="n"/>
      <c r="AR9" s="92" t="n"/>
      <c r="AS9" s="92" t="n"/>
      <c r="AT9" s="92" t="n"/>
      <c r="AU9" s="92" t="n"/>
      <c r="AV9" s="92" t="n"/>
      <c r="AX9" s="139" t="n">
        <v>2015</v>
      </c>
      <c r="AY9" s="139" t="n">
        <v>7</v>
      </c>
      <c r="AZ9" s="92" t="n"/>
    </row>
    <row r="10" ht="16.5" customFormat="1" customHeight="1" s="56">
      <c r="A10" s="92" t="n"/>
      <c r="B10" s="92" t="n"/>
      <c r="C10" s="92" t="n"/>
      <c r="D10" s="92" t="n"/>
      <c r="E10" s="92" t="n"/>
      <c r="F10" s="92" t="n"/>
      <c r="G10" s="92" t="n"/>
      <c r="H10" s="92" t="n"/>
      <c r="I10" s="92" t="n"/>
      <c r="J10" s="92" t="n"/>
      <c r="K10" s="92" t="n"/>
      <c r="L10" s="92" t="n"/>
      <c r="M10" s="92" t="n"/>
      <c r="N10" s="92" t="n"/>
      <c r="O10" s="92" t="n"/>
      <c r="P10" s="92" t="n"/>
      <c r="Q10" s="92" t="n"/>
      <c r="R10" s="92" t="n"/>
      <c r="S10" s="92" t="n"/>
      <c r="T10" s="92" t="n"/>
      <c r="U10" s="92" t="n"/>
      <c r="V10" s="92" t="n"/>
      <c r="W10" s="92" t="n"/>
      <c r="X10" s="92" t="n"/>
      <c r="Y10" s="92" t="n"/>
      <c r="Z10" s="92" t="n"/>
      <c r="AA10" s="92" t="n"/>
      <c r="AB10" s="92" t="n"/>
      <c r="AC10" s="92" t="n"/>
      <c r="AD10" s="92" t="n"/>
      <c r="AE10" s="92" t="n"/>
      <c r="AF10" s="92" t="n"/>
      <c r="AG10" s="92" t="n"/>
      <c r="AH10" s="92" t="n"/>
      <c r="AI10" s="92" t="n"/>
      <c r="AJ10" s="92" t="n"/>
      <c r="AK10" s="92" t="n"/>
      <c r="AL10" s="92" t="n"/>
      <c r="AM10" s="92" t="n"/>
      <c r="AN10" s="92" t="n"/>
      <c r="AO10" s="92" t="n"/>
      <c r="AP10" s="92" t="n"/>
      <c r="AQ10" s="92" t="n"/>
      <c r="AR10" s="92" t="n"/>
      <c r="AS10" s="92" t="n"/>
      <c r="AT10" s="92" t="n"/>
      <c r="AU10" s="92" t="n"/>
      <c r="AV10" s="92" t="n"/>
      <c r="AX10" s="139" t="n">
        <v>2012</v>
      </c>
      <c r="AY10" s="139" t="n">
        <v>5</v>
      </c>
      <c r="AZ10" s="92" t="n"/>
    </row>
    <row r="11" ht="16.5" customFormat="1" customHeight="1" s="56">
      <c r="A11" s="92" t="n"/>
      <c r="B11" s="92" t="n"/>
      <c r="C11" s="92" t="n"/>
      <c r="D11" s="92" t="n"/>
      <c r="E11" s="92" t="n"/>
      <c r="F11" s="92" t="n"/>
      <c r="G11" s="92" t="n"/>
      <c r="H11" s="92" t="n"/>
      <c r="I11" s="92" t="n"/>
      <c r="J11" s="92" t="n"/>
      <c r="K11" s="92" t="n"/>
      <c r="L11" s="92" t="n"/>
      <c r="M11" s="92" t="n"/>
      <c r="N11" s="92" t="n"/>
      <c r="O11" s="92" t="n"/>
      <c r="P11" s="92" t="n"/>
      <c r="Q11" s="92" t="n"/>
      <c r="R11" s="92" t="n"/>
      <c r="S11" s="92" t="n"/>
      <c r="T11" s="92" t="n"/>
      <c r="U11" s="92" t="n"/>
      <c r="V11" s="92" t="n"/>
      <c r="W11" s="92" t="n"/>
      <c r="X11" s="92" t="n"/>
      <c r="Y11" s="92" t="n"/>
      <c r="Z11" s="92" t="n"/>
      <c r="AA11" s="92" t="n"/>
      <c r="AB11" s="92" t="n"/>
      <c r="AC11" s="92" t="n"/>
      <c r="AD11" s="92" t="n"/>
      <c r="AE11" s="92" t="n"/>
      <c r="AF11" s="92" t="n"/>
      <c r="AG11" s="92" t="n"/>
      <c r="AH11" s="92" t="n"/>
      <c r="AI11" s="92" t="n"/>
      <c r="AJ11" s="92" t="n"/>
      <c r="AK11" s="92" t="n"/>
      <c r="AL11" s="92" t="n"/>
      <c r="AM11" s="92" t="n"/>
      <c r="AN11" s="92" t="n"/>
      <c r="AO11" s="92" t="n"/>
      <c r="AP11" s="92" t="n"/>
      <c r="AQ11" s="92" t="n"/>
      <c r="AR11" s="92" t="n"/>
      <c r="AS11" s="92" t="n"/>
      <c r="AT11" s="92" t="n"/>
      <c r="AU11" s="92" t="n"/>
      <c r="AV11" s="92" t="n"/>
      <c r="AX11" s="139" t="n">
        <v>2012</v>
      </c>
      <c r="AY11" s="139" t="n">
        <v>5</v>
      </c>
      <c r="AZ11" s="92" t="n"/>
    </row>
    <row r="12" ht="16.5" customFormat="1" customHeight="1" s="56">
      <c r="A12" s="92" t="n"/>
      <c r="B12" s="92" t="n"/>
      <c r="C12" s="92" t="n"/>
      <c r="D12" s="92" t="n"/>
      <c r="E12" s="92" t="n"/>
      <c r="F12" s="92" t="n"/>
      <c r="G12" s="92" t="n"/>
      <c r="H12" s="92" t="n"/>
      <c r="I12" s="92" t="n"/>
      <c r="J12" s="92" t="n"/>
      <c r="K12" s="92" t="n"/>
      <c r="L12" s="92" t="n"/>
      <c r="M12" s="92" t="n"/>
      <c r="N12" s="92" t="n"/>
      <c r="O12" s="92" t="n"/>
      <c r="P12" s="92" t="n"/>
      <c r="Q12" s="92" t="n"/>
      <c r="R12" s="92" t="n"/>
      <c r="S12" s="92" t="n"/>
      <c r="T12" s="92" t="n"/>
      <c r="U12" s="92" t="n"/>
      <c r="V12" s="92" t="n"/>
      <c r="W12" s="92" t="n"/>
      <c r="X12" s="92" t="n"/>
      <c r="Y12" s="92" t="n"/>
      <c r="Z12" s="92" t="n"/>
      <c r="AA12" s="92" t="n"/>
      <c r="AB12" s="92" t="n"/>
      <c r="AC12" s="92" t="n"/>
      <c r="AD12" s="92" t="n"/>
      <c r="AE12" s="92" t="n"/>
      <c r="AF12" s="92" t="n"/>
      <c r="AG12" s="92" t="n"/>
      <c r="AH12" s="92" t="n"/>
      <c r="AI12" s="92" t="n"/>
      <c r="AJ12" s="92" t="n"/>
      <c r="AK12" s="92" t="n"/>
      <c r="AL12" s="92" t="n"/>
      <c r="AM12" s="92" t="n"/>
      <c r="AN12" s="92" t="n"/>
      <c r="AO12" s="92" t="n"/>
      <c r="AP12" s="92" t="n"/>
      <c r="AQ12" s="92" t="n"/>
      <c r="AR12" s="92" t="n"/>
      <c r="AS12" s="92" t="n"/>
      <c r="AT12" s="92" t="n"/>
      <c r="AU12" s="92" t="n"/>
      <c r="AV12" s="92" t="n"/>
      <c r="AX12" s="139" t="n">
        <v>2012</v>
      </c>
      <c r="AY12" s="139" t="n">
        <v>5</v>
      </c>
      <c r="AZ12" s="92" t="n"/>
    </row>
    <row r="13" ht="16.5" customFormat="1" customHeight="1" s="56">
      <c r="A13" s="92" t="n"/>
      <c r="B13" s="92" t="n"/>
      <c r="C13" s="92" t="n"/>
      <c r="D13" s="92" t="n"/>
      <c r="E13" s="92" t="n"/>
      <c r="F13" s="92" t="n"/>
      <c r="G13" s="92" t="n"/>
      <c r="H13" s="92" t="n"/>
      <c r="I13" s="92" t="n"/>
      <c r="J13" s="92" t="n"/>
      <c r="K13" s="92" t="n"/>
      <c r="L13" s="92" t="n"/>
      <c r="M13" s="92" t="n"/>
      <c r="N13" s="92" t="n"/>
      <c r="O13" s="92" t="n"/>
      <c r="P13" s="92" t="n"/>
      <c r="Q13" s="92" t="n"/>
      <c r="R13" s="92" t="n"/>
      <c r="S13" s="92" t="n"/>
      <c r="T13" s="92" t="n"/>
      <c r="U13" s="92" t="n"/>
      <c r="V13" s="92" t="n"/>
      <c r="W13" s="92" t="n"/>
      <c r="X13" s="92" t="n"/>
      <c r="Y13" s="92" t="n"/>
      <c r="Z13" s="92" t="n"/>
      <c r="AA13" s="92" t="n"/>
      <c r="AB13" s="92" t="n"/>
      <c r="AC13" s="92" t="n"/>
      <c r="AD13" s="92" t="n"/>
      <c r="AE13" s="92" t="n"/>
      <c r="AF13" s="92" t="n"/>
      <c r="AG13" s="92" t="n"/>
      <c r="AH13" s="92" t="n"/>
      <c r="AI13" s="92" t="n"/>
      <c r="AJ13" s="92" t="n"/>
      <c r="AK13" s="92" t="n"/>
      <c r="AL13" s="92" t="n"/>
      <c r="AM13" s="92" t="n"/>
      <c r="AN13" s="92" t="n"/>
      <c r="AO13" s="92" t="n"/>
      <c r="AP13" s="92" t="n"/>
      <c r="AQ13" s="92" t="n"/>
      <c r="AR13" s="92" t="n"/>
      <c r="AS13" s="92" t="n"/>
      <c r="AT13" s="92" t="n"/>
      <c r="AU13" s="92" t="n"/>
      <c r="AV13" s="92" t="n"/>
      <c r="AX13" s="139" t="n">
        <v>2012</v>
      </c>
      <c r="AY13" s="139" t="n">
        <v>5</v>
      </c>
      <c r="AZ13" s="92" t="n"/>
    </row>
    <row r="14" ht="16.5" customFormat="1" customHeight="1" s="56">
      <c r="A14" s="92" t="n"/>
      <c r="B14" s="92" t="n"/>
      <c r="C14" s="92" t="n"/>
      <c r="D14" s="92" t="n"/>
      <c r="E14" s="92" t="n"/>
      <c r="F14" s="92" t="n"/>
      <c r="G14" s="92" t="n"/>
      <c r="H14" s="92" t="n"/>
      <c r="I14" s="92" t="n"/>
      <c r="J14" s="92" t="n"/>
      <c r="K14" s="92" t="n"/>
      <c r="L14" s="92" t="n"/>
      <c r="M14" s="92" t="n"/>
      <c r="N14" s="92" t="n"/>
      <c r="O14" s="92" t="n"/>
      <c r="P14" s="92" t="n"/>
      <c r="Q14" s="92" t="n"/>
      <c r="R14" s="92" t="n"/>
      <c r="S14" s="92" t="n"/>
      <c r="T14" s="92" t="n"/>
      <c r="U14" s="92" t="n"/>
      <c r="V14" s="92" t="n"/>
      <c r="W14" s="92" t="n"/>
      <c r="X14" s="92" t="n"/>
      <c r="Y14" s="92" t="n"/>
      <c r="Z14" s="92" t="n"/>
      <c r="AA14" s="92" t="n"/>
      <c r="AB14" s="92" t="n"/>
      <c r="AC14" s="92" t="n"/>
      <c r="AD14" s="92" t="n"/>
      <c r="AE14" s="92" t="n"/>
      <c r="AF14" s="92" t="n"/>
      <c r="AG14" s="92" t="n"/>
      <c r="AH14" s="92" t="n"/>
      <c r="AI14" s="92" t="n"/>
      <c r="AJ14" s="92" t="n"/>
      <c r="AK14" s="92" t="n"/>
      <c r="AL14" s="92" t="n"/>
      <c r="AM14" s="92" t="n"/>
      <c r="AN14" s="92" t="n"/>
      <c r="AO14" s="92" t="n"/>
      <c r="AP14" s="92" t="n"/>
      <c r="AQ14" s="92" t="n"/>
      <c r="AR14" s="92" t="n"/>
      <c r="AS14" s="92" t="n"/>
      <c r="AT14" s="92" t="n"/>
      <c r="AU14" s="92" t="n"/>
      <c r="AV14" s="92" t="n"/>
      <c r="AX14" s="139" t="n">
        <v>2011</v>
      </c>
      <c r="AY14" s="139" t="n">
        <v>2</v>
      </c>
      <c r="AZ14" s="92" t="n"/>
    </row>
    <row r="15" ht="16.5" customFormat="1" customHeight="1" s="56">
      <c r="A15" s="92" t="n"/>
      <c r="B15" s="92" t="n"/>
      <c r="C15" s="92" t="n"/>
      <c r="D15" s="92" t="n"/>
      <c r="E15" s="92" t="n"/>
      <c r="F15" s="92" t="n"/>
      <c r="G15" s="92" t="n"/>
      <c r="H15" s="92" t="n"/>
      <c r="I15" s="92" t="n"/>
      <c r="J15" s="92" t="n"/>
      <c r="K15" s="92" t="n"/>
      <c r="L15" s="92" t="n"/>
      <c r="M15" s="92" t="n"/>
      <c r="N15" s="92" t="n"/>
      <c r="O15" s="92" t="n"/>
      <c r="P15" s="92" t="n"/>
      <c r="Q15" s="92" t="n"/>
      <c r="R15" s="92" t="n"/>
      <c r="S15" s="92" t="n"/>
      <c r="T15" s="92" t="n"/>
      <c r="U15" s="92" t="n"/>
      <c r="V15" s="92" t="n"/>
      <c r="W15" s="92" t="n"/>
      <c r="X15" s="92" t="n"/>
      <c r="Y15" s="92" t="n"/>
      <c r="Z15" s="92" t="n"/>
      <c r="AA15" s="92" t="n"/>
      <c r="AB15" s="92" t="n"/>
      <c r="AC15" s="92" t="n"/>
      <c r="AD15" s="92" t="n"/>
      <c r="AE15" s="92" t="n"/>
      <c r="AF15" s="92" t="n"/>
      <c r="AG15" s="92" t="n"/>
      <c r="AH15" s="92" t="n"/>
      <c r="AI15" s="92" t="n"/>
      <c r="AJ15" s="92" t="n"/>
      <c r="AK15" s="92" t="n"/>
      <c r="AL15" s="92" t="n"/>
      <c r="AM15" s="92" t="n"/>
      <c r="AN15" s="92" t="n"/>
      <c r="AO15" s="92" t="n"/>
      <c r="AP15" s="92" t="n"/>
      <c r="AQ15" s="92" t="n"/>
      <c r="AR15" s="92" t="n"/>
      <c r="AS15" s="92" t="n"/>
      <c r="AT15" s="92" t="n"/>
      <c r="AU15" s="92" t="n"/>
      <c r="AV15" s="92" t="n"/>
      <c r="AX15" s="139" t="n">
        <v>2011</v>
      </c>
      <c r="AY15" s="139" t="n">
        <v>2</v>
      </c>
      <c r="AZ15" s="92" t="n"/>
    </row>
    <row r="16" ht="16.5" customFormat="1" customHeight="1" s="56">
      <c r="A16" s="92" t="n"/>
      <c r="B16" s="92" t="n"/>
      <c r="C16" s="92" t="n"/>
      <c r="D16" s="92" t="n"/>
      <c r="E16" s="92" t="n"/>
      <c r="F16" s="92" t="n"/>
      <c r="G16" s="92" t="n"/>
      <c r="H16" s="92" t="n"/>
      <c r="I16" s="92" t="n"/>
      <c r="J16" s="92" t="n"/>
      <c r="K16" s="92" t="n"/>
      <c r="L16" s="92" t="n"/>
      <c r="M16" s="92" t="n"/>
      <c r="N16" s="92" t="n"/>
      <c r="O16" s="92" t="n"/>
      <c r="P16" s="92" t="n"/>
      <c r="Q16" s="92" t="n"/>
      <c r="R16" s="92" t="n"/>
      <c r="S16" s="92" t="n"/>
      <c r="T16" s="92" t="n"/>
      <c r="U16" s="92" t="n"/>
      <c r="V16" s="92" t="n"/>
      <c r="W16" s="92" t="n"/>
      <c r="X16" s="92" t="n"/>
      <c r="Y16" s="92" t="n"/>
      <c r="Z16" s="92" t="n"/>
      <c r="AA16" s="92" t="n"/>
      <c r="AB16" s="92" t="n"/>
      <c r="AC16" s="92" t="n"/>
      <c r="AD16" s="92" t="n"/>
      <c r="AE16" s="92" t="n"/>
      <c r="AF16" s="92" t="n"/>
      <c r="AG16" s="92" t="n"/>
      <c r="AH16" s="92" t="n"/>
      <c r="AI16" s="92" t="n"/>
      <c r="AJ16" s="92" t="n"/>
      <c r="AK16" s="92" t="n"/>
      <c r="AL16" s="92" t="n"/>
      <c r="AM16" s="92" t="n"/>
      <c r="AN16" s="92" t="n"/>
      <c r="AO16" s="92" t="n"/>
      <c r="AP16" s="92" t="n"/>
      <c r="AQ16" s="92" t="n"/>
      <c r="AR16" s="92" t="n"/>
      <c r="AS16" s="92" t="n"/>
      <c r="AT16" s="92" t="n"/>
      <c r="AU16" s="92" t="n"/>
      <c r="AV16" s="92" t="n"/>
      <c r="AX16" s="139" t="n">
        <v>2011</v>
      </c>
      <c r="AY16" s="139" t="n">
        <v>2</v>
      </c>
      <c r="AZ16" s="92" t="n"/>
    </row>
    <row r="17" ht="16.5" customFormat="1" customHeight="1" s="56">
      <c r="A17" s="92" t="n"/>
      <c r="B17" s="92" t="n"/>
      <c r="C17" s="92" t="n"/>
      <c r="D17" s="92" t="n"/>
      <c r="E17" s="92" t="n"/>
      <c r="F17" s="92" t="n"/>
      <c r="G17" s="92" t="n"/>
      <c r="H17" s="92" t="n"/>
      <c r="I17" s="92" t="n"/>
      <c r="J17" s="92" t="n"/>
      <c r="K17" s="92" t="n"/>
      <c r="L17" s="92" t="n"/>
      <c r="M17" s="92" t="n"/>
      <c r="N17" s="92" t="n"/>
      <c r="O17" s="92" t="n"/>
      <c r="P17" s="92" t="n"/>
      <c r="Q17" s="92" t="n"/>
      <c r="R17" s="92" t="n"/>
      <c r="S17" s="92" t="n"/>
      <c r="T17" s="92" t="n"/>
      <c r="U17" s="92" t="n"/>
      <c r="V17" s="92" t="n"/>
      <c r="W17" s="92" t="n"/>
      <c r="X17" s="92" t="n"/>
      <c r="Y17" s="92" t="n"/>
      <c r="Z17" s="92" t="n"/>
      <c r="AA17" s="92" t="n"/>
      <c r="AB17" s="92" t="n"/>
      <c r="AC17" s="92" t="n"/>
      <c r="AD17" s="92" t="n"/>
      <c r="AE17" s="92" t="n"/>
      <c r="AF17" s="92" t="n"/>
      <c r="AG17" s="92" t="n"/>
      <c r="AH17" s="92" t="n"/>
      <c r="AI17" s="92" t="n"/>
      <c r="AJ17" s="92" t="n"/>
      <c r="AK17" s="92" t="n"/>
      <c r="AL17" s="92" t="n"/>
      <c r="AM17" s="92" t="n"/>
      <c r="AN17" s="92" t="n"/>
      <c r="AO17" s="92" t="n"/>
      <c r="AP17" s="92" t="n"/>
      <c r="AQ17" s="92" t="n"/>
      <c r="AR17" s="92" t="n"/>
      <c r="AS17" s="92" t="n"/>
      <c r="AT17" s="92" t="n"/>
      <c r="AU17" s="92" t="n"/>
      <c r="AV17" s="92" t="n"/>
      <c r="AX17" s="139" t="n">
        <v>2012</v>
      </c>
      <c r="AY17" s="139" t="n">
        <v>7</v>
      </c>
      <c r="AZ17" s="92" t="n"/>
    </row>
    <row r="18" ht="16.5" customFormat="1" customHeight="1" s="56">
      <c r="A18" s="92" t="n"/>
      <c r="B18" s="92" t="n"/>
      <c r="C18" s="92" t="n"/>
      <c r="D18" s="92" t="n"/>
      <c r="E18" s="92" t="n"/>
      <c r="F18" s="92" t="n"/>
      <c r="G18" s="92" t="n"/>
      <c r="H18" s="92" t="n"/>
      <c r="I18" s="92" t="n"/>
      <c r="J18" s="92" t="n"/>
      <c r="K18" s="92" t="n"/>
      <c r="L18" s="92" t="n"/>
      <c r="M18" s="92" t="n"/>
      <c r="N18" s="92" t="n"/>
      <c r="O18" s="92" t="n"/>
      <c r="P18" s="92" t="n"/>
      <c r="Q18" s="92" t="n"/>
      <c r="R18" s="92" t="n"/>
      <c r="S18" s="92" t="n"/>
      <c r="T18" s="92" t="n"/>
      <c r="U18" s="92" t="n"/>
      <c r="V18" s="92" t="n"/>
      <c r="W18" s="92" t="n"/>
      <c r="X18" s="92" t="n"/>
      <c r="Y18" s="92" t="n"/>
      <c r="Z18" s="92" t="n"/>
      <c r="AA18" s="92" t="n"/>
      <c r="AB18" s="92" t="n"/>
      <c r="AC18" s="92" t="n"/>
      <c r="AD18" s="92" t="n"/>
      <c r="AE18" s="92" t="n"/>
      <c r="AF18" s="92" t="n"/>
      <c r="AG18" s="92" t="n"/>
      <c r="AH18" s="92" t="n"/>
      <c r="AI18" s="92" t="n"/>
      <c r="AJ18" s="92" t="n"/>
      <c r="AK18" s="92" t="n"/>
      <c r="AL18" s="92" t="n"/>
      <c r="AM18" s="92" t="n"/>
      <c r="AN18" s="92" t="n"/>
      <c r="AO18" s="92" t="n"/>
      <c r="AP18" s="92" t="n"/>
      <c r="AQ18" s="92" t="n"/>
      <c r="AR18" s="92" t="n"/>
      <c r="AS18" s="92" t="n"/>
      <c r="AT18" s="92" t="n"/>
      <c r="AU18" s="92" t="n"/>
      <c r="AV18" s="92" t="n"/>
      <c r="AX18" s="139" t="n">
        <v>2012</v>
      </c>
      <c r="AY18" s="139" t="n">
        <v>7</v>
      </c>
      <c r="AZ18" s="92" t="n"/>
    </row>
    <row r="19" ht="16.5" customFormat="1" customHeight="1" s="56">
      <c r="A19" s="92" t="n"/>
      <c r="B19" s="92" t="n"/>
      <c r="C19" s="92" t="n"/>
      <c r="D19" s="92" t="n"/>
      <c r="E19" s="92" t="n"/>
      <c r="F19" s="92" t="n"/>
      <c r="G19" s="92" t="n"/>
      <c r="H19" s="92" t="n"/>
      <c r="I19" s="92" t="n"/>
      <c r="J19" s="92" t="n"/>
      <c r="K19" s="92" t="n"/>
      <c r="L19" s="92" t="n"/>
      <c r="M19" s="92" t="n"/>
      <c r="N19" s="92" t="n"/>
      <c r="O19" s="92" t="n"/>
      <c r="P19" s="92" t="n"/>
      <c r="Q19" s="92" t="n"/>
      <c r="R19" s="92" t="n"/>
      <c r="S19" s="92" t="n"/>
      <c r="T19" s="92" t="n"/>
      <c r="U19" s="92" t="n"/>
      <c r="V19" s="92" t="n"/>
      <c r="W19" s="92" t="n"/>
      <c r="X19" s="92" t="n"/>
      <c r="Y19" s="92" t="n"/>
      <c r="Z19" s="92" t="n"/>
      <c r="AA19" s="92" t="n"/>
      <c r="AB19" s="92" t="n"/>
      <c r="AC19" s="92" t="n"/>
      <c r="AD19" s="92" t="n"/>
      <c r="AE19" s="92" t="n"/>
      <c r="AF19" s="92" t="n"/>
      <c r="AG19" s="92" t="n"/>
      <c r="AH19" s="92" t="n"/>
      <c r="AI19" s="92" t="n"/>
      <c r="AJ19" s="92" t="n"/>
      <c r="AK19" s="92" t="n"/>
      <c r="AL19" s="92" t="n"/>
      <c r="AM19" s="92" t="n"/>
      <c r="AN19" s="92" t="n"/>
      <c r="AO19" s="92" t="n"/>
      <c r="AP19" s="92" t="n"/>
      <c r="AQ19" s="92" t="n"/>
      <c r="AR19" s="92" t="n"/>
      <c r="AS19" s="92" t="n"/>
      <c r="AT19" s="92" t="n"/>
      <c r="AU19" s="92" t="n"/>
      <c r="AV19" s="92" t="n"/>
      <c r="AX19" s="139" t="n">
        <v>2012</v>
      </c>
      <c r="AY19" s="139" t="n">
        <v>7</v>
      </c>
      <c r="AZ19" s="92" t="n"/>
    </row>
    <row r="20" ht="16.5" customFormat="1" customHeight="1" s="56">
      <c r="A20" s="92" t="n"/>
      <c r="B20" s="92" t="n"/>
      <c r="C20" s="92" t="n"/>
      <c r="D20" s="92" t="n"/>
      <c r="E20" s="92" t="n"/>
      <c r="F20" s="92" t="n"/>
      <c r="G20" s="92" t="n"/>
      <c r="H20" s="92" t="n"/>
      <c r="I20" s="92" t="n"/>
      <c r="J20" s="92" t="n"/>
      <c r="K20" s="92" t="n"/>
      <c r="L20" s="92" t="n"/>
      <c r="M20" s="92" t="n"/>
      <c r="N20" s="92" t="n"/>
      <c r="O20" s="92" t="n"/>
      <c r="P20" s="92" t="n"/>
      <c r="Q20" s="92" t="n"/>
      <c r="R20" s="92" t="n"/>
      <c r="S20" s="92" t="n"/>
      <c r="T20" s="92" t="n"/>
      <c r="U20" s="92" t="n"/>
      <c r="V20" s="92" t="n"/>
      <c r="W20" s="92" t="n"/>
      <c r="X20" s="92" t="n"/>
      <c r="Y20" s="92" t="n"/>
      <c r="Z20" s="92" t="n"/>
      <c r="AA20" s="92" t="n"/>
      <c r="AB20" s="92" t="n"/>
      <c r="AC20" s="92" t="n"/>
      <c r="AD20" s="92" t="n"/>
      <c r="AE20" s="92" t="n"/>
      <c r="AF20" s="92" t="n"/>
      <c r="AG20" s="92" t="n"/>
      <c r="AH20" s="92" t="n"/>
      <c r="AI20" s="92" t="n"/>
      <c r="AJ20" s="92" t="n"/>
      <c r="AK20" s="92" t="n"/>
      <c r="AL20" s="92" t="n"/>
      <c r="AM20" s="92" t="n"/>
      <c r="AN20" s="92" t="n"/>
      <c r="AO20" s="92" t="n"/>
      <c r="AP20" s="92" t="n"/>
      <c r="AQ20" s="92" t="n"/>
      <c r="AR20" s="92" t="n"/>
      <c r="AS20" s="92" t="n"/>
      <c r="AT20" s="92" t="n"/>
      <c r="AU20" s="92" t="n"/>
      <c r="AV20" s="92" t="n"/>
      <c r="AX20" s="139" t="n">
        <v>2012</v>
      </c>
      <c r="AY20" s="139" t="n">
        <v>7</v>
      </c>
      <c r="AZ20" s="92" t="n"/>
    </row>
    <row r="21" ht="16.5" customFormat="1" customHeight="1" s="56">
      <c r="A21" s="92" t="n"/>
      <c r="B21" s="92" t="n"/>
      <c r="C21" s="92" t="n"/>
      <c r="D21" s="92" t="n"/>
      <c r="E21" s="92" t="n"/>
      <c r="F21" s="92" t="n"/>
      <c r="G21" s="92" t="n"/>
      <c r="H21" s="92" t="n"/>
      <c r="I21" s="92" t="n"/>
      <c r="J21" s="92" t="n"/>
      <c r="K21" s="92" t="n"/>
      <c r="L21" s="92" t="n"/>
      <c r="M21" s="92" t="n"/>
      <c r="N21" s="92" t="n"/>
      <c r="O21" s="92" t="n"/>
      <c r="P21" s="92" t="n"/>
      <c r="Q21" s="92" t="n"/>
      <c r="R21" s="92" t="n"/>
      <c r="S21" s="92" t="n"/>
      <c r="T21" s="92" t="n"/>
      <c r="U21" s="92" t="n"/>
      <c r="V21" s="92" t="n"/>
      <c r="W21" s="92" t="n"/>
      <c r="X21" s="92" t="n"/>
      <c r="Y21" s="92" t="n"/>
      <c r="Z21" s="92" t="n"/>
      <c r="AA21" s="92" t="n"/>
      <c r="AB21" s="92" t="n"/>
      <c r="AC21" s="92" t="n"/>
      <c r="AD21" s="92" t="n"/>
      <c r="AE21" s="92" t="n"/>
      <c r="AF21" s="92" t="n"/>
      <c r="AG21" s="92" t="n"/>
      <c r="AH21" s="92" t="n"/>
      <c r="AI21" s="92" t="n"/>
      <c r="AJ21" s="92" t="n"/>
      <c r="AK21" s="92" t="n"/>
      <c r="AL21" s="92" t="n"/>
      <c r="AM21" s="92" t="n"/>
      <c r="AN21" s="92" t="n"/>
      <c r="AO21" s="92" t="n"/>
      <c r="AP21" s="92" t="n"/>
      <c r="AQ21" s="92" t="n"/>
      <c r="AR21" s="92" t="n"/>
      <c r="AS21" s="92" t="n"/>
      <c r="AT21" s="92" t="n"/>
      <c r="AU21" s="92" t="n"/>
      <c r="AV21" s="92" t="n"/>
      <c r="AX21" s="139" t="n">
        <v>2011</v>
      </c>
      <c r="AY21" s="139" t="n">
        <v>2</v>
      </c>
      <c r="AZ21" s="92" t="n"/>
    </row>
    <row r="22" ht="16.5" customFormat="1" customHeight="1" s="56">
      <c r="A22" s="92" t="n"/>
      <c r="B22" s="92" t="n"/>
      <c r="C22" s="92" t="n"/>
      <c r="D22" s="92" t="n"/>
      <c r="E22" s="92" t="n"/>
      <c r="F22" s="92" t="n"/>
      <c r="G22" s="92" t="n"/>
      <c r="H22" s="92" t="n"/>
      <c r="I22" s="92" t="n"/>
      <c r="J22" s="92" t="n"/>
      <c r="K22" s="92" t="n"/>
      <c r="L22" s="92" t="n"/>
      <c r="M22" s="92" t="n"/>
      <c r="N22" s="92" t="n"/>
      <c r="O22" s="92" t="n"/>
      <c r="P22" s="92" t="n"/>
      <c r="Q22" s="92" t="n"/>
      <c r="R22" s="92" t="n"/>
      <c r="S22" s="92" t="n"/>
      <c r="T22" s="92" t="n"/>
      <c r="U22" s="92" t="n"/>
      <c r="V22" s="92" t="n"/>
      <c r="W22" s="92" t="n"/>
      <c r="X22" s="92" t="n"/>
      <c r="Y22" s="92" t="n"/>
      <c r="Z22" s="92" t="n"/>
      <c r="AA22" s="92" t="n"/>
      <c r="AB22" s="92" t="n"/>
      <c r="AC22" s="92" t="n"/>
      <c r="AD22" s="92" t="n"/>
      <c r="AE22" s="92" t="n"/>
      <c r="AF22" s="92" t="n"/>
      <c r="AG22" s="92" t="n"/>
      <c r="AH22" s="92" t="n"/>
      <c r="AI22" s="92" t="n"/>
      <c r="AJ22" s="92" t="n"/>
      <c r="AK22" s="92" t="n"/>
      <c r="AL22" s="92" t="n"/>
      <c r="AM22" s="92" t="n"/>
      <c r="AN22" s="92" t="n"/>
      <c r="AO22" s="92" t="n"/>
      <c r="AP22" s="92" t="n"/>
      <c r="AQ22" s="92" t="n"/>
      <c r="AR22" s="92" t="n"/>
      <c r="AS22" s="92" t="n"/>
      <c r="AT22" s="92" t="n"/>
      <c r="AU22" s="92" t="n"/>
      <c r="AV22" s="92" t="n"/>
      <c r="AX22" s="139" t="n">
        <v>2011</v>
      </c>
      <c r="AY22" s="139" t="n">
        <v>2</v>
      </c>
      <c r="AZ22" s="92" t="n"/>
    </row>
    <row r="23" ht="16.5" customFormat="1" customHeight="1" s="56">
      <c r="A23" s="92" t="n"/>
      <c r="B23" s="92" t="n"/>
      <c r="C23" s="92" t="n"/>
      <c r="D23" s="92" t="n"/>
      <c r="E23" s="92" t="n"/>
      <c r="F23" s="92" t="n"/>
      <c r="G23" s="92" t="n"/>
      <c r="H23" s="92" t="n"/>
      <c r="I23" s="92" t="n"/>
      <c r="J23" s="92" t="n"/>
      <c r="K23" s="92" t="n"/>
      <c r="L23" s="92" t="n"/>
      <c r="M23" s="92" t="n"/>
      <c r="N23" s="92" t="n"/>
      <c r="O23" s="92" t="n"/>
      <c r="P23" s="92" t="n"/>
      <c r="Q23" s="92" t="n"/>
      <c r="R23" s="92" t="n"/>
      <c r="S23" s="92" t="n"/>
      <c r="T23" s="92" t="n"/>
      <c r="U23" s="92" t="n"/>
      <c r="V23" s="92" t="n"/>
      <c r="W23" s="92" t="n"/>
      <c r="X23" s="92" t="n"/>
      <c r="Y23" s="92" t="n"/>
      <c r="Z23" s="92" t="n"/>
      <c r="AA23" s="92" t="n"/>
      <c r="AB23" s="92" t="n"/>
      <c r="AC23" s="92" t="n"/>
      <c r="AD23" s="92" t="n"/>
      <c r="AE23" s="92" t="n"/>
      <c r="AF23" s="92" t="n"/>
      <c r="AG23" s="92" t="n"/>
      <c r="AH23" s="92" t="n"/>
      <c r="AI23" s="92" t="n"/>
      <c r="AJ23" s="92" t="n"/>
      <c r="AK23" s="92" t="n"/>
      <c r="AL23" s="92" t="n"/>
      <c r="AM23" s="92" t="n"/>
      <c r="AN23" s="92" t="n"/>
      <c r="AO23" s="92" t="n"/>
      <c r="AP23" s="92" t="n"/>
      <c r="AQ23" s="92" t="n"/>
      <c r="AR23" s="92" t="n"/>
      <c r="AS23" s="92" t="n"/>
      <c r="AT23" s="92" t="n"/>
      <c r="AU23" s="92" t="n"/>
      <c r="AV23" s="92" t="n"/>
      <c r="AX23" s="139" t="n">
        <v>2011</v>
      </c>
      <c r="AY23" s="139" t="n">
        <v>2</v>
      </c>
      <c r="AZ23" s="92" t="n"/>
    </row>
    <row r="24" ht="16.5" customFormat="1" customHeight="1" s="56">
      <c r="A24" s="92" t="n"/>
      <c r="B24" s="92" t="n"/>
      <c r="C24" s="92" t="n"/>
      <c r="D24" s="92" t="n"/>
      <c r="E24" s="92" t="n"/>
      <c r="F24" s="92" t="n"/>
      <c r="G24" s="92" t="n"/>
      <c r="H24" s="92" t="n"/>
      <c r="I24" s="92" t="n"/>
      <c r="J24" s="92" t="n"/>
      <c r="K24" s="92" t="n"/>
      <c r="L24" s="92" t="n"/>
      <c r="M24" s="92" t="n"/>
      <c r="N24" s="92" t="n"/>
      <c r="O24" s="92" t="n"/>
      <c r="P24" s="92" t="n"/>
      <c r="Q24" s="92" t="n"/>
      <c r="R24" s="92" t="n"/>
      <c r="S24" s="92" t="n"/>
      <c r="T24" s="92" t="n"/>
      <c r="U24" s="92" t="n"/>
      <c r="V24" s="92" t="n"/>
      <c r="W24" s="92" t="n"/>
      <c r="X24" s="92" t="n"/>
      <c r="Y24" s="92" t="n"/>
      <c r="Z24" s="92" t="n"/>
      <c r="AA24" s="92" t="n"/>
      <c r="AB24" s="92" t="n"/>
      <c r="AC24" s="92" t="n"/>
      <c r="AD24" s="92" t="n"/>
      <c r="AE24" s="92" t="n"/>
      <c r="AF24" s="92" t="n"/>
      <c r="AG24" s="92" t="n"/>
      <c r="AH24" s="92" t="n"/>
      <c r="AI24" s="92" t="n"/>
      <c r="AJ24" s="92" t="n"/>
      <c r="AK24" s="92" t="n"/>
      <c r="AL24" s="92" t="n"/>
      <c r="AM24" s="92" t="n"/>
      <c r="AN24" s="92" t="n"/>
      <c r="AO24" s="92" t="n"/>
      <c r="AP24" s="92" t="n"/>
      <c r="AQ24" s="92" t="n"/>
      <c r="AR24" s="92" t="n"/>
      <c r="AS24" s="92" t="n"/>
      <c r="AT24" s="92" t="n"/>
      <c r="AU24" s="92" t="n"/>
      <c r="AV24" s="92" t="n"/>
      <c r="AX24" s="139" t="n">
        <v>2011</v>
      </c>
      <c r="AY24" s="139" t="n">
        <v>2</v>
      </c>
      <c r="AZ24" s="92" t="n"/>
    </row>
    <row r="25" ht="16.5" customFormat="1" customHeight="1" s="56">
      <c r="A25" s="92" t="n"/>
      <c r="B25" s="92" t="n"/>
      <c r="C25" s="92" t="n"/>
      <c r="D25" s="92" t="n"/>
      <c r="E25" s="92" t="n"/>
      <c r="F25" s="92" t="n"/>
      <c r="G25" s="92" t="n"/>
      <c r="H25" s="92" t="n"/>
      <c r="I25" s="92" t="n"/>
      <c r="J25" s="92" t="n"/>
      <c r="K25" s="92" t="n"/>
      <c r="L25" s="92" t="n"/>
      <c r="M25" s="92" t="n"/>
      <c r="N25" s="92" t="n"/>
      <c r="O25" s="92" t="n"/>
      <c r="P25" s="92" t="n"/>
      <c r="Q25" s="92" t="n"/>
      <c r="R25" s="92" t="n"/>
      <c r="S25" s="92" t="n"/>
      <c r="T25" s="92" t="n"/>
      <c r="U25" s="92" t="n"/>
      <c r="V25" s="92" t="n"/>
      <c r="W25" s="92" t="n"/>
      <c r="X25" s="92" t="n"/>
      <c r="Y25" s="92" t="n"/>
      <c r="Z25" s="92" t="n"/>
      <c r="AA25" s="92" t="n"/>
      <c r="AB25" s="92" t="n"/>
      <c r="AC25" s="92" t="n"/>
      <c r="AD25" s="92" t="n"/>
      <c r="AE25" s="92" t="n"/>
      <c r="AF25" s="92" t="n"/>
      <c r="AG25" s="92" t="n"/>
      <c r="AH25" s="92" t="n"/>
      <c r="AI25" s="92" t="n"/>
      <c r="AJ25" s="92" t="n"/>
      <c r="AK25" s="92" t="n"/>
      <c r="AL25" s="92" t="n"/>
      <c r="AM25" s="92" t="n"/>
      <c r="AN25" s="92" t="n"/>
      <c r="AO25" s="92" t="n"/>
      <c r="AP25" s="92" t="n"/>
      <c r="AQ25" s="92" t="n"/>
      <c r="AR25" s="92" t="n"/>
      <c r="AS25" s="92" t="n"/>
      <c r="AT25" s="92" t="n"/>
      <c r="AU25" s="92" t="n"/>
      <c r="AV25" s="92" t="n"/>
      <c r="AX25" s="139" t="n">
        <v>2011</v>
      </c>
      <c r="AY25" s="139" t="n">
        <v>2</v>
      </c>
      <c r="AZ25" s="92" t="n"/>
    </row>
    <row r="26" ht="16.5" customFormat="1" customHeight="1" s="56">
      <c r="A26" s="92" t="n"/>
      <c r="B26" s="92" t="n"/>
      <c r="C26" s="92" t="n"/>
      <c r="D26" s="92" t="n"/>
      <c r="E26" s="92" t="n"/>
      <c r="F26" s="92" t="n"/>
      <c r="G26" s="92" t="n"/>
      <c r="H26" s="92" t="n"/>
      <c r="I26" s="92" t="n"/>
      <c r="J26" s="92" t="n"/>
      <c r="K26" s="92" t="n"/>
      <c r="L26" s="92" t="n"/>
      <c r="M26" s="92" t="n"/>
      <c r="N26" s="92" t="n"/>
      <c r="O26" s="92" t="n"/>
      <c r="P26" s="92" t="n"/>
      <c r="Q26" s="92" t="n"/>
      <c r="R26" s="92" t="n"/>
      <c r="S26" s="92" t="n"/>
      <c r="T26" s="92" t="n"/>
      <c r="U26" s="92" t="n"/>
      <c r="V26" s="92" t="n"/>
      <c r="W26" s="92" t="n"/>
      <c r="X26" s="92" t="n"/>
      <c r="Y26" s="92" t="n"/>
      <c r="Z26" s="92" t="n"/>
      <c r="AA26" s="92" t="n"/>
      <c r="AB26" s="92" t="n"/>
      <c r="AC26" s="92" t="n"/>
      <c r="AD26" s="92" t="n"/>
      <c r="AE26" s="92" t="n"/>
      <c r="AF26" s="92" t="n"/>
      <c r="AG26" s="92" t="n"/>
      <c r="AH26" s="92" t="n"/>
      <c r="AI26" s="92" t="n"/>
      <c r="AJ26" s="92" t="n"/>
      <c r="AK26" s="92" t="n"/>
      <c r="AL26" s="92" t="n"/>
      <c r="AM26" s="92" t="n"/>
      <c r="AN26" s="92" t="n"/>
      <c r="AO26" s="92" t="n"/>
      <c r="AP26" s="92" t="n"/>
      <c r="AQ26" s="92" t="n"/>
      <c r="AR26" s="92" t="n"/>
      <c r="AS26" s="92" t="n"/>
      <c r="AT26" s="92" t="n"/>
      <c r="AU26" s="92" t="n"/>
      <c r="AV26" s="92" t="n"/>
      <c r="AX26" s="139" t="n">
        <v>2009</v>
      </c>
      <c r="AY26" s="139" t="n">
        <v>9</v>
      </c>
      <c r="AZ26" s="92" t="n"/>
    </row>
    <row r="27" ht="16.5" customFormat="1" customHeight="1" s="56">
      <c r="A27" s="92" t="n"/>
      <c r="B27" s="92" t="n"/>
      <c r="C27" s="92" t="n"/>
      <c r="D27" s="92" t="n"/>
      <c r="E27" s="92" t="n"/>
      <c r="F27" s="92" t="n"/>
      <c r="G27" s="92" t="n"/>
      <c r="H27" s="92" t="n"/>
      <c r="I27" s="92" t="n"/>
      <c r="J27" s="92" t="n"/>
      <c r="K27" s="92" t="n"/>
      <c r="L27" s="92" t="n"/>
      <c r="M27" s="92" t="n"/>
      <c r="N27" s="92" t="n"/>
      <c r="O27" s="92" t="n"/>
      <c r="P27" s="92" t="n"/>
      <c r="Q27" s="92" t="n"/>
      <c r="R27" s="92" t="n"/>
      <c r="S27" s="92" t="n"/>
      <c r="T27" s="92" t="n"/>
      <c r="U27" s="92" t="n"/>
      <c r="V27" s="92" t="n"/>
      <c r="W27" s="92" t="n"/>
      <c r="X27" s="92" t="n"/>
      <c r="Y27" s="92" t="n"/>
      <c r="Z27" s="92" t="n"/>
      <c r="AA27" s="92" t="n"/>
      <c r="AB27" s="92" t="n"/>
      <c r="AC27" s="92" t="n"/>
      <c r="AD27" s="92" t="n"/>
      <c r="AE27" s="92" t="n"/>
      <c r="AF27" s="92" t="n"/>
      <c r="AG27" s="92" t="n"/>
      <c r="AH27" s="92" t="n"/>
      <c r="AI27" s="92" t="n"/>
      <c r="AJ27" s="92" t="n"/>
      <c r="AK27" s="92" t="n"/>
      <c r="AL27" s="92" t="n"/>
      <c r="AM27" s="92" t="n"/>
      <c r="AN27" s="92" t="n"/>
      <c r="AO27" s="92" t="n"/>
      <c r="AP27" s="92" t="n"/>
      <c r="AQ27" s="92" t="n"/>
      <c r="AR27" s="92" t="n"/>
      <c r="AS27" s="92" t="n"/>
      <c r="AT27" s="92" t="n"/>
      <c r="AU27" s="92" t="n"/>
      <c r="AV27" s="92" t="n"/>
      <c r="AX27" s="139" t="n">
        <v>2009</v>
      </c>
      <c r="AY27" s="139" t="n">
        <v>9</v>
      </c>
      <c r="AZ27" s="92" t="n"/>
    </row>
    <row r="28" ht="16.5" customFormat="1" customHeight="1" s="56">
      <c r="A28" s="92" t="n"/>
      <c r="B28" s="92" t="n"/>
      <c r="C28" s="92" t="n"/>
      <c r="D28" s="92" t="n"/>
      <c r="E28" s="92" t="n"/>
      <c r="F28" s="92" t="n"/>
      <c r="G28" s="92" t="n"/>
      <c r="H28" s="92" t="n"/>
      <c r="I28" s="92" t="n"/>
      <c r="J28" s="92" t="n"/>
      <c r="K28" s="92" t="n"/>
      <c r="L28" s="92" t="n"/>
      <c r="M28" s="92" t="n"/>
      <c r="N28" s="92" t="n"/>
      <c r="O28" s="92" t="n"/>
      <c r="P28" s="92" t="n"/>
      <c r="Q28" s="92" t="n"/>
      <c r="R28" s="92" t="n"/>
      <c r="S28" s="92" t="n"/>
      <c r="T28" s="92" t="n"/>
      <c r="U28" s="92" t="n"/>
      <c r="V28" s="92" t="n"/>
      <c r="W28" s="92" t="n"/>
      <c r="X28" s="92" t="n"/>
      <c r="Y28" s="92" t="n"/>
      <c r="Z28" s="92" t="n"/>
      <c r="AA28" s="92" t="n"/>
      <c r="AB28" s="92" t="n"/>
      <c r="AC28" s="92" t="n"/>
      <c r="AD28" s="92" t="n"/>
      <c r="AE28" s="92" t="n"/>
      <c r="AF28" s="92" t="n"/>
      <c r="AG28" s="92" t="n"/>
      <c r="AH28" s="92" t="n"/>
      <c r="AI28" s="92" t="n"/>
      <c r="AJ28" s="92" t="n"/>
      <c r="AK28" s="92" t="n"/>
      <c r="AL28" s="92" t="n"/>
      <c r="AM28" s="92" t="n"/>
      <c r="AN28" s="92" t="n"/>
      <c r="AO28" s="92" t="n"/>
      <c r="AP28" s="92" t="n"/>
      <c r="AQ28" s="92" t="n"/>
      <c r="AR28" s="92" t="n"/>
      <c r="AS28" s="92" t="n"/>
      <c r="AT28" s="92" t="n"/>
      <c r="AU28" s="92" t="n"/>
      <c r="AV28" s="92" t="n"/>
      <c r="AX28" s="139" t="n">
        <v>2009</v>
      </c>
      <c r="AY28" s="139" t="n">
        <v>9</v>
      </c>
      <c r="AZ28" s="92" t="n"/>
    </row>
    <row r="29" ht="16.5" customFormat="1" customHeight="1" s="56">
      <c r="A29" s="92" t="n"/>
      <c r="B29" s="92" t="n"/>
      <c r="C29" s="92" t="n"/>
      <c r="D29" s="92" t="n"/>
      <c r="E29" s="92" t="n"/>
      <c r="F29" s="92" t="n"/>
      <c r="G29" s="92" t="n"/>
      <c r="H29" s="92" t="n"/>
      <c r="I29" s="92" t="n"/>
      <c r="J29" s="92" t="n"/>
      <c r="K29" s="92" t="n"/>
      <c r="L29" s="92" t="n"/>
      <c r="M29" s="92" t="n"/>
      <c r="N29" s="92" t="n"/>
      <c r="O29" s="92" t="n"/>
      <c r="P29" s="92" t="n"/>
      <c r="Q29" s="92" t="n"/>
      <c r="R29" s="92" t="n"/>
      <c r="S29" s="92" t="n"/>
      <c r="T29" s="92" t="n"/>
      <c r="U29" s="92" t="n"/>
      <c r="V29" s="92" t="n"/>
      <c r="W29" s="92" t="n"/>
      <c r="X29" s="92" t="n"/>
      <c r="Y29" s="92" t="n"/>
      <c r="Z29" s="92" t="n"/>
      <c r="AA29" s="92" t="n"/>
      <c r="AB29" s="92" t="n"/>
      <c r="AC29" s="92" t="n"/>
      <c r="AD29" s="92" t="n"/>
      <c r="AE29" s="92" t="n"/>
      <c r="AF29" s="92" t="n"/>
      <c r="AG29" s="92" t="n"/>
      <c r="AH29" s="92" t="n"/>
      <c r="AI29" s="92" t="n"/>
      <c r="AJ29" s="92" t="n"/>
      <c r="AK29" s="92" t="n"/>
      <c r="AL29" s="92" t="n"/>
      <c r="AM29" s="92" t="n"/>
      <c r="AN29" s="92" t="n"/>
      <c r="AO29" s="92" t="n"/>
      <c r="AP29" s="92" t="n"/>
      <c r="AQ29" s="92" t="n"/>
      <c r="AR29" s="92" t="n"/>
      <c r="AS29" s="92" t="n"/>
      <c r="AT29" s="92" t="n"/>
      <c r="AU29" s="92" t="n"/>
      <c r="AV29" s="92" t="n"/>
      <c r="AX29" s="139" t="n">
        <v>2009</v>
      </c>
      <c r="AY29" s="139" t="n">
        <v>9</v>
      </c>
      <c r="AZ29" s="92" t="n"/>
    </row>
    <row r="30" ht="16.5" customFormat="1" customHeight="1" s="56">
      <c r="A30" s="92" t="n"/>
      <c r="B30" s="92" t="n"/>
      <c r="C30" s="92" t="n"/>
      <c r="D30" s="92" t="n"/>
      <c r="E30" s="92" t="n"/>
      <c r="F30" s="92" t="n"/>
      <c r="G30" s="92" t="n"/>
      <c r="H30" s="92" t="n"/>
      <c r="I30" s="92" t="n"/>
      <c r="J30" s="92" t="n"/>
      <c r="K30" s="92" t="n"/>
      <c r="L30" s="92" t="n"/>
      <c r="M30" s="92" t="n"/>
      <c r="N30" s="92" t="n"/>
      <c r="O30" s="92" t="n"/>
      <c r="P30" s="92" t="n"/>
      <c r="Q30" s="92" t="n"/>
      <c r="R30" s="92" t="n"/>
      <c r="S30" s="92" t="n"/>
      <c r="T30" s="92" t="n"/>
      <c r="U30" s="92" t="n"/>
      <c r="V30" s="92" t="n"/>
      <c r="W30" s="92" t="n"/>
      <c r="X30" s="92" t="n"/>
      <c r="Y30" s="92" t="n"/>
      <c r="Z30" s="92" t="n"/>
      <c r="AA30" s="92" t="n"/>
      <c r="AB30" s="92" t="n"/>
      <c r="AC30" s="92" t="n"/>
      <c r="AD30" s="92" t="n"/>
      <c r="AE30" s="92" t="n"/>
      <c r="AF30" s="92" t="n"/>
      <c r="AG30" s="92" t="n"/>
      <c r="AH30" s="92" t="n"/>
      <c r="AI30" s="92" t="n"/>
      <c r="AJ30" s="92" t="n"/>
      <c r="AK30" s="92" t="n"/>
      <c r="AL30" s="92" t="n"/>
      <c r="AM30" s="92" t="n"/>
      <c r="AN30" s="92" t="n"/>
      <c r="AO30" s="92" t="n"/>
      <c r="AP30" s="92" t="n"/>
      <c r="AQ30" s="92" t="n"/>
      <c r="AR30" s="92" t="n"/>
      <c r="AS30" s="92" t="n"/>
      <c r="AT30" s="92" t="n"/>
      <c r="AU30" s="92" t="n"/>
      <c r="AV30" s="92" t="n"/>
      <c r="AX30" s="139" t="n">
        <v>2009</v>
      </c>
      <c r="AY30" s="139" t="n">
        <v>9</v>
      </c>
      <c r="AZ30" s="92" t="n"/>
    </row>
    <row r="31" ht="16.5" customFormat="1" customHeight="1" s="56">
      <c r="A31" s="92" t="n"/>
      <c r="B31" s="92" t="n"/>
      <c r="C31" s="92" t="n"/>
      <c r="D31" s="92" t="n"/>
      <c r="E31" s="92" t="n"/>
      <c r="F31" s="92" t="n"/>
      <c r="G31" s="92" t="n"/>
      <c r="H31" s="92" t="n"/>
      <c r="I31" s="92" t="n"/>
      <c r="J31" s="92" t="n"/>
      <c r="K31" s="92" t="n"/>
      <c r="L31" s="92" t="n"/>
      <c r="M31" s="92" t="n"/>
      <c r="N31" s="92" t="n"/>
      <c r="O31" s="92" t="n"/>
      <c r="P31" s="92" t="n"/>
      <c r="Q31" s="92" t="n"/>
      <c r="R31" s="92" t="n"/>
      <c r="S31" s="92" t="n"/>
      <c r="T31" s="92" t="n"/>
      <c r="U31" s="92" t="n"/>
      <c r="V31" s="92" t="n"/>
      <c r="W31" s="92" t="n"/>
      <c r="X31" s="92" t="n"/>
      <c r="Y31" s="92" t="n"/>
      <c r="Z31" s="92" t="n"/>
      <c r="AA31" s="92" t="n"/>
      <c r="AB31" s="92" t="n"/>
      <c r="AC31" s="92" t="n"/>
      <c r="AD31" s="92" t="n"/>
      <c r="AE31" s="92" t="n"/>
      <c r="AF31" s="92" t="n"/>
      <c r="AG31" s="92" t="n"/>
      <c r="AH31" s="92" t="n"/>
      <c r="AI31" s="92" t="n"/>
      <c r="AJ31" s="92" t="n"/>
      <c r="AK31" s="92" t="n"/>
      <c r="AL31" s="92" t="n"/>
      <c r="AM31" s="92" t="n"/>
      <c r="AN31" s="92" t="n"/>
      <c r="AO31" s="92" t="n"/>
      <c r="AP31" s="92" t="n"/>
      <c r="AQ31" s="92" t="n"/>
      <c r="AR31" s="92" t="n"/>
      <c r="AS31" s="92" t="n"/>
      <c r="AT31" s="92" t="n"/>
      <c r="AU31" s="92" t="n"/>
      <c r="AV31" s="92" t="n"/>
      <c r="AX31" s="139" t="n">
        <v>2010</v>
      </c>
      <c r="AY31" s="139" t="n">
        <v>3</v>
      </c>
      <c r="AZ31" s="92" t="n"/>
    </row>
    <row r="32" ht="16.5" customFormat="1" customHeight="1" s="56">
      <c r="A32" s="92" t="n"/>
      <c r="B32" s="92" t="n"/>
      <c r="C32" s="92" t="n"/>
      <c r="D32" s="92" t="n"/>
      <c r="E32" s="92" t="n"/>
      <c r="F32" s="92" t="n"/>
      <c r="G32" s="92" t="n"/>
      <c r="H32" s="92" t="n"/>
      <c r="I32" s="92" t="n"/>
      <c r="J32" s="92" t="n"/>
      <c r="K32" s="92" t="n"/>
      <c r="L32" s="92" t="n"/>
      <c r="M32" s="92" t="n"/>
      <c r="N32" s="92" t="n"/>
      <c r="O32" s="92" t="n"/>
      <c r="P32" s="92" t="n"/>
      <c r="Q32" s="92" t="n"/>
      <c r="R32" s="92" t="n"/>
      <c r="S32" s="92" t="n"/>
      <c r="T32" s="92" t="n"/>
      <c r="U32" s="92" t="n"/>
      <c r="V32" s="92" t="n"/>
      <c r="W32" s="92" t="n"/>
      <c r="X32" s="92" t="n"/>
      <c r="Y32" s="92" t="n"/>
      <c r="Z32" s="92" t="n"/>
      <c r="AA32" s="92" t="n"/>
      <c r="AB32" s="92" t="n"/>
      <c r="AC32" s="92" t="n"/>
      <c r="AD32" s="92" t="n"/>
      <c r="AE32" s="92" t="n"/>
      <c r="AF32" s="92" t="n"/>
      <c r="AG32" s="92" t="n"/>
      <c r="AH32" s="92" t="n"/>
      <c r="AI32" s="92" t="n"/>
      <c r="AJ32" s="92" t="n"/>
      <c r="AK32" s="92" t="n"/>
      <c r="AL32" s="92" t="n"/>
      <c r="AM32" s="92" t="n"/>
      <c r="AN32" s="92" t="n"/>
      <c r="AO32" s="92" t="n"/>
      <c r="AP32" s="92" t="n"/>
      <c r="AQ32" s="92" t="n"/>
      <c r="AR32" s="92" t="n"/>
      <c r="AS32" s="92" t="n"/>
      <c r="AT32" s="92" t="n"/>
      <c r="AU32" s="92" t="n"/>
      <c r="AV32" s="92" t="n"/>
      <c r="AX32" s="139" t="n">
        <v>2010</v>
      </c>
      <c r="AY32" s="139" t="n">
        <v>3</v>
      </c>
      <c r="AZ32" s="92" t="n"/>
    </row>
    <row r="33" ht="16.5" customFormat="1" customHeight="1" s="56">
      <c r="A33" s="92" t="n"/>
      <c r="B33" s="92" t="n"/>
      <c r="C33" s="92" t="n"/>
      <c r="D33" s="92" t="n"/>
      <c r="E33" s="92" t="n"/>
      <c r="F33" s="92" t="n"/>
      <c r="G33" s="92" t="n"/>
      <c r="H33" s="92" t="n"/>
      <c r="I33" s="92" t="n"/>
      <c r="J33" s="92" t="n"/>
      <c r="K33" s="92" t="n"/>
      <c r="L33" s="92" t="n"/>
      <c r="M33" s="92" t="n"/>
      <c r="N33" s="92" t="n"/>
      <c r="O33" s="92" t="n"/>
      <c r="P33" s="92" t="n"/>
      <c r="Q33" s="92" t="n"/>
      <c r="R33" s="92" t="n"/>
      <c r="S33" s="92" t="n"/>
      <c r="T33" s="92" t="n"/>
      <c r="U33" s="92" t="n"/>
      <c r="V33" s="92" t="n"/>
      <c r="W33" s="92" t="n"/>
      <c r="X33" s="92" t="n"/>
      <c r="Y33" s="92" t="n"/>
      <c r="Z33" s="92" t="n"/>
      <c r="AA33" s="92" t="n"/>
      <c r="AB33" s="92" t="n"/>
      <c r="AC33" s="92" t="n"/>
      <c r="AD33" s="92" t="n"/>
      <c r="AE33" s="92" t="n"/>
      <c r="AF33" s="92" t="n"/>
      <c r="AG33" s="92" t="n"/>
      <c r="AH33" s="92" t="n"/>
      <c r="AI33" s="92" t="n"/>
      <c r="AJ33" s="92" t="n"/>
      <c r="AK33" s="92" t="n"/>
      <c r="AL33" s="92" t="n"/>
      <c r="AM33" s="92" t="n"/>
      <c r="AN33" s="92" t="n"/>
      <c r="AO33" s="92" t="n"/>
      <c r="AP33" s="92" t="n"/>
      <c r="AQ33" s="92" t="n"/>
      <c r="AR33" s="92" t="n"/>
      <c r="AS33" s="92" t="n"/>
      <c r="AT33" s="92" t="n"/>
      <c r="AU33" s="92" t="n"/>
      <c r="AV33" s="92" t="n"/>
      <c r="AX33" s="139" t="n">
        <v>2010</v>
      </c>
      <c r="AY33" s="139" t="n">
        <v>3</v>
      </c>
      <c r="AZ33" s="92" t="n"/>
    </row>
    <row r="34" ht="16.5" customFormat="1" customHeight="1" s="56">
      <c r="A34" s="92" t="n"/>
      <c r="B34" s="92" t="n"/>
      <c r="C34" s="92" t="n"/>
      <c r="D34" s="92" t="n"/>
      <c r="E34" s="92" t="n"/>
      <c r="F34" s="92" t="n"/>
      <c r="G34" s="92" t="n"/>
      <c r="H34" s="92" t="n"/>
      <c r="I34" s="92" t="n"/>
      <c r="J34" s="92" t="n"/>
      <c r="K34" s="92" t="n"/>
      <c r="L34" s="92" t="n"/>
      <c r="M34" s="92" t="n"/>
      <c r="N34" s="92" t="n"/>
      <c r="O34" s="92" t="n"/>
      <c r="P34" s="92" t="n"/>
      <c r="Q34" s="92" t="n"/>
      <c r="R34" s="92" t="n"/>
      <c r="S34" s="92" t="n"/>
      <c r="T34" s="92" t="n"/>
      <c r="U34" s="92" t="n"/>
      <c r="V34" s="92" t="n"/>
      <c r="W34" s="92" t="n"/>
      <c r="X34" s="92" t="n"/>
      <c r="Y34" s="92" t="n"/>
      <c r="Z34" s="92" t="n"/>
      <c r="AA34" s="92" t="n"/>
      <c r="AB34" s="92" t="n"/>
      <c r="AC34" s="92" t="n"/>
      <c r="AD34" s="92" t="n"/>
      <c r="AE34" s="92" t="n"/>
      <c r="AF34" s="92" t="n"/>
      <c r="AG34" s="92" t="n"/>
      <c r="AH34" s="92" t="n"/>
      <c r="AI34" s="92" t="n"/>
      <c r="AJ34" s="92" t="n"/>
      <c r="AK34" s="92" t="n"/>
      <c r="AL34" s="92" t="n"/>
      <c r="AM34" s="92" t="n"/>
      <c r="AN34" s="92" t="n"/>
      <c r="AO34" s="92" t="n"/>
      <c r="AP34" s="92" t="n"/>
      <c r="AQ34" s="92" t="n"/>
      <c r="AR34" s="92" t="n"/>
      <c r="AS34" s="92" t="n"/>
      <c r="AT34" s="92" t="n"/>
      <c r="AU34" s="92" t="n"/>
      <c r="AV34" s="92" t="n"/>
      <c r="AX34" s="139" t="n">
        <v>2010</v>
      </c>
      <c r="AY34" s="139" t="n">
        <v>3</v>
      </c>
      <c r="AZ34" s="92" t="n"/>
    </row>
    <row r="35" ht="16.5" customFormat="1" customHeight="1" s="56">
      <c r="A35" s="92" t="n"/>
      <c r="B35" s="92" t="n"/>
      <c r="C35" s="92" t="n"/>
      <c r="D35" s="92" t="n"/>
      <c r="E35" s="92" t="n"/>
      <c r="F35" s="92" t="n"/>
      <c r="G35" s="92" t="n"/>
      <c r="H35" s="92" t="n"/>
      <c r="I35" s="92" t="n"/>
      <c r="J35" s="92" t="n"/>
      <c r="K35" s="92" t="n"/>
      <c r="L35" s="92" t="n"/>
      <c r="M35" s="92" t="n"/>
      <c r="N35" s="92" t="n"/>
      <c r="O35" s="92" t="n"/>
      <c r="P35" s="92" t="n"/>
      <c r="Q35" s="92" t="n"/>
      <c r="R35" s="92" t="n"/>
      <c r="S35" s="92" t="n"/>
      <c r="T35" s="92" t="n"/>
      <c r="U35" s="92" t="n"/>
      <c r="V35" s="92" t="n"/>
      <c r="W35" s="92" t="n"/>
      <c r="X35" s="92" t="n"/>
      <c r="Y35" s="92" t="n"/>
      <c r="Z35" s="92" t="n"/>
      <c r="AA35" s="92" t="n"/>
      <c r="AB35" s="92" t="n"/>
      <c r="AC35" s="92" t="n"/>
      <c r="AD35" s="92" t="n"/>
      <c r="AE35" s="92" t="n"/>
      <c r="AF35" s="92" t="n"/>
      <c r="AG35" s="92" t="n"/>
      <c r="AH35" s="92" t="n"/>
      <c r="AI35" s="92" t="n"/>
      <c r="AJ35" s="92" t="n"/>
      <c r="AK35" s="92" t="n"/>
      <c r="AL35" s="92" t="n"/>
      <c r="AM35" s="92" t="n"/>
      <c r="AN35" s="92" t="n"/>
      <c r="AO35" s="92" t="n"/>
      <c r="AP35" s="92" t="n"/>
      <c r="AQ35" s="92" t="n"/>
      <c r="AR35" s="92" t="n"/>
      <c r="AS35" s="92" t="n"/>
      <c r="AT35" s="92" t="n"/>
      <c r="AU35" s="92" t="n"/>
      <c r="AV35" s="92" t="n"/>
      <c r="AX35" s="139" t="n">
        <v>2005</v>
      </c>
      <c r="AY35" s="139" t="n">
        <v>6</v>
      </c>
      <c r="AZ35" s="92" t="n"/>
    </row>
    <row r="36" ht="16.5" customFormat="1" customHeight="1" s="56">
      <c r="A36" s="92" t="n"/>
      <c r="B36" s="92" t="n"/>
      <c r="C36" s="92" t="n"/>
      <c r="D36" s="92" t="n"/>
      <c r="E36" s="92" t="n"/>
      <c r="F36" s="92" t="n"/>
      <c r="G36" s="92" t="n"/>
      <c r="H36" s="92" t="n"/>
      <c r="I36" s="92" t="n"/>
      <c r="J36" s="92" t="n"/>
      <c r="K36" s="92" t="n"/>
      <c r="L36" s="92" t="n"/>
      <c r="M36" s="92" t="n"/>
      <c r="N36" s="92" t="n"/>
      <c r="O36" s="92" t="n"/>
      <c r="P36" s="92" t="n"/>
      <c r="Q36" s="92" t="n"/>
      <c r="R36" s="92" t="n"/>
      <c r="S36" s="92" t="n"/>
      <c r="T36" s="92" t="n"/>
      <c r="U36" s="92" t="n"/>
      <c r="V36" s="92" t="n"/>
      <c r="W36" s="92" t="n"/>
      <c r="X36" s="92" t="n"/>
      <c r="Y36" s="92" t="n"/>
      <c r="Z36" s="92" t="n"/>
      <c r="AA36" s="92" t="n"/>
      <c r="AB36" s="92" t="n"/>
      <c r="AC36" s="92" t="n"/>
      <c r="AD36" s="92" t="n"/>
      <c r="AE36" s="92" t="n"/>
      <c r="AF36" s="92" t="n"/>
      <c r="AG36" s="92" t="n"/>
      <c r="AH36" s="92" t="n"/>
      <c r="AI36" s="92" t="n"/>
      <c r="AJ36" s="92" t="n"/>
      <c r="AK36" s="92" t="n"/>
      <c r="AL36" s="92" t="n"/>
      <c r="AM36" s="92" t="n"/>
      <c r="AN36" s="92" t="n"/>
      <c r="AO36" s="92" t="n"/>
      <c r="AP36" s="92" t="n"/>
      <c r="AQ36" s="92" t="n"/>
      <c r="AR36" s="92" t="n"/>
      <c r="AS36" s="92" t="n"/>
      <c r="AT36" s="92" t="n"/>
      <c r="AU36" s="92" t="n"/>
      <c r="AV36" s="92" t="n"/>
      <c r="AX36" s="139" t="n">
        <v>2005</v>
      </c>
      <c r="AY36" s="139" t="n">
        <v>6</v>
      </c>
      <c r="AZ36" s="92" t="n"/>
    </row>
    <row r="37" ht="16.5" customFormat="1" customHeight="1" s="56">
      <c r="A37" s="92" t="n"/>
      <c r="B37" s="92" t="n"/>
      <c r="C37" s="92" t="n"/>
      <c r="D37" s="92" t="n"/>
      <c r="E37" s="92" t="n"/>
      <c r="F37" s="92" t="n"/>
      <c r="G37" s="92" t="n"/>
      <c r="H37" s="92" t="n"/>
      <c r="I37" s="92" t="n"/>
      <c r="J37" s="92" t="n"/>
      <c r="K37" s="92" t="n"/>
      <c r="L37" s="92" t="n"/>
      <c r="M37" s="92" t="n"/>
      <c r="N37" s="92" t="n"/>
      <c r="O37" s="92" t="n"/>
      <c r="P37" s="92" t="n"/>
      <c r="Q37" s="92" t="n"/>
      <c r="R37" s="92" t="n"/>
      <c r="S37" s="92" t="n"/>
      <c r="T37" s="92" t="n"/>
      <c r="U37" s="92" t="n"/>
      <c r="V37" s="92" t="n"/>
      <c r="W37" s="92" t="n"/>
      <c r="X37" s="92" t="n"/>
      <c r="Y37" s="92" t="n"/>
      <c r="Z37" s="92" t="n"/>
      <c r="AA37" s="92" t="n"/>
      <c r="AB37" s="92" t="n"/>
      <c r="AC37" s="92" t="n"/>
      <c r="AD37" s="92" t="n"/>
      <c r="AE37" s="92" t="n"/>
      <c r="AF37" s="92" t="n"/>
      <c r="AG37" s="92" t="n"/>
      <c r="AH37" s="92" t="n"/>
      <c r="AI37" s="92" t="n"/>
      <c r="AJ37" s="92" t="n"/>
      <c r="AK37" s="92" t="n"/>
      <c r="AL37" s="92" t="n"/>
      <c r="AM37" s="92" t="n"/>
      <c r="AN37" s="92" t="n"/>
      <c r="AO37" s="92" t="n"/>
      <c r="AP37" s="92" t="n"/>
      <c r="AQ37" s="92" t="n"/>
      <c r="AR37" s="92" t="n"/>
      <c r="AS37" s="92" t="n"/>
      <c r="AT37" s="92" t="n"/>
      <c r="AU37" s="92" t="n"/>
      <c r="AV37" s="92" t="n"/>
      <c r="AX37" s="139" t="n">
        <v>2005</v>
      </c>
      <c r="AY37" s="139" t="n">
        <v>6</v>
      </c>
      <c r="AZ37" s="92" t="n"/>
    </row>
    <row r="38" ht="16.5" customFormat="1" customHeight="1" s="56">
      <c r="A38" s="92" t="n"/>
      <c r="B38" s="92" t="n"/>
      <c r="C38" s="92" t="n"/>
      <c r="D38" s="92" t="n"/>
      <c r="E38" s="92" t="n"/>
      <c r="F38" s="92" t="n"/>
      <c r="G38" s="92" t="n"/>
      <c r="H38" s="92" t="n"/>
      <c r="I38" s="92" t="n"/>
      <c r="J38" s="92" t="n"/>
      <c r="K38" s="92" t="n"/>
      <c r="L38" s="92" t="n"/>
      <c r="M38" s="92" t="n"/>
      <c r="N38" s="92" t="n"/>
      <c r="O38" s="92" t="n"/>
      <c r="P38" s="92" t="n"/>
      <c r="Q38" s="92" t="n"/>
      <c r="R38" s="92" t="n"/>
      <c r="S38" s="92" t="n"/>
      <c r="T38" s="92" t="n"/>
      <c r="U38" s="92" t="n"/>
      <c r="V38" s="92" t="n"/>
      <c r="W38" s="92" t="n"/>
      <c r="X38" s="92" t="n"/>
      <c r="Y38" s="92" t="n"/>
      <c r="Z38" s="92" t="n"/>
      <c r="AA38" s="92" t="n"/>
      <c r="AB38" s="92" t="n"/>
      <c r="AC38" s="92" t="n"/>
      <c r="AD38" s="92" t="n"/>
      <c r="AE38" s="92" t="n"/>
      <c r="AF38" s="92" t="n"/>
      <c r="AG38" s="92" t="n"/>
      <c r="AH38" s="92" t="n"/>
      <c r="AI38" s="92" t="n"/>
      <c r="AJ38" s="92" t="n"/>
      <c r="AK38" s="92" t="n"/>
      <c r="AL38" s="92" t="n"/>
      <c r="AM38" s="92" t="n"/>
      <c r="AN38" s="92" t="n"/>
      <c r="AO38" s="92" t="n"/>
      <c r="AP38" s="92" t="n"/>
      <c r="AQ38" s="92" t="n"/>
      <c r="AR38" s="92" t="n"/>
      <c r="AS38" s="92" t="n"/>
      <c r="AT38" s="92" t="n"/>
      <c r="AU38" s="92" t="n"/>
      <c r="AV38" s="92" t="n"/>
      <c r="AX38" s="139" t="n">
        <v>2005</v>
      </c>
      <c r="AY38" s="139" t="n">
        <v>3</v>
      </c>
      <c r="AZ38" s="92" t="n"/>
    </row>
    <row r="39" ht="16.5" customFormat="1" customHeight="1" s="56">
      <c r="A39" s="92" t="n"/>
      <c r="B39" s="92" t="n"/>
      <c r="C39" s="92" t="n"/>
      <c r="D39" s="92" t="n"/>
      <c r="E39" s="92" t="n"/>
      <c r="F39" s="92" t="n"/>
      <c r="G39" s="92" t="n"/>
      <c r="H39" s="92" t="n"/>
      <c r="I39" s="92" t="n"/>
      <c r="J39" s="92" t="n"/>
      <c r="K39" s="92" t="n"/>
      <c r="L39" s="92" t="n"/>
      <c r="M39" s="92" t="n"/>
      <c r="N39" s="92" t="n"/>
      <c r="O39" s="92" t="n"/>
      <c r="P39" s="92" t="n"/>
      <c r="Q39" s="92" t="n"/>
      <c r="R39" s="92" t="n"/>
      <c r="S39" s="92" t="n"/>
      <c r="T39" s="92" t="n"/>
      <c r="U39" s="92" t="n"/>
      <c r="V39" s="92" t="n"/>
      <c r="W39" s="92" t="n"/>
      <c r="X39" s="92" t="n"/>
      <c r="Y39" s="92" t="n"/>
      <c r="Z39" s="92" t="n"/>
      <c r="AA39" s="92" t="n"/>
      <c r="AB39" s="92" t="n"/>
      <c r="AC39" s="92" t="n"/>
      <c r="AD39" s="92" t="n"/>
      <c r="AE39" s="92" t="n"/>
      <c r="AF39" s="92" t="n"/>
      <c r="AG39" s="92" t="n"/>
      <c r="AH39" s="92" t="n"/>
      <c r="AI39" s="92" t="n"/>
      <c r="AJ39" s="92" t="n"/>
      <c r="AK39" s="92" t="n"/>
      <c r="AL39" s="92" t="n"/>
      <c r="AM39" s="92" t="n"/>
      <c r="AN39" s="92" t="n"/>
      <c r="AO39" s="92" t="n"/>
      <c r="AP39" s="92" t="n"/>
      <c r="AQ39" s="92" t="n"/>
      <c r="AR39" s="92" t="n"/>
      <c r="AS39" s="92" t="n"/>
      <c r="AT39" s="92" t="n"/>
      <c r="AU39" s="92" t="n"/>
      <c r="AV39" s="92" t="n"/>
      <c r="AX39" s="139" t="n">
        <v>2005</v>
      </c>
      <c r="AY39" s="139" t="n">
        <v>3</v>
      </c>
      <c r="AZ39" s="92" t="n"/>
    </row>
    <row r="40" ht="16.5" customFormat="1" customHeight="1" s="56">
      <c r="A40" s="92" t="n"/>
      <c r="B40" s="92" t="n"/>
      <c r="C40" s="92" t="n"/>
      <c r="D40" s="92" t="n"/>
      <c r="E40" s="92" t="n"/>
      <c r="F40" s="92" t="n"/>
      <c r="G40" s="92" t="n"/>
      <c r="H40" s="92" t="n"/>
      <c r="I40" s="92" t="n"/>
      <c r="J40" s="92" t="n"/>
      <c r="K40" s="92" t="n"/>
      <c r="L40" s="92" t="n"/>
      <c r="M40" s="92" t="n"/>
      <c r="N40" s="92" t="n"/>
      <c r="O40" s="92" t="n"/>
      <c r="P40" s="92" t="n"/>
      <c r="Q40" s="92" t="n"/>
      <c r="R40" s="92" t="n"/>
      <c r="S40" s="92" t="n"/>
      <c r="T40" s="92" t="n"/>
      <c r="U40" s="92" t="n"/>
      <c r="V40" s="92" t="n"/>
      <c r="W40" s="92" t="n"/>
      <c r="X40" s="92" t="n"/>
      <c r="Y40" s="92" t="n"/>
      <c r="Z40" s="92" t="n"/>
      <c r="AA40" s="92" t="n"/>
      <c r="AB40" s="92" t="n"/>
      <c r="AC40" s="92" t="n"/>
      <c r="AD40" s="92" t="n"/>
      <c r="AE40" s="92" t="n"/>
      <c r="AF40" s="92" t="n"/>
      <c r="AG40" s="92" t="n"/>
      <c r="AH40" s="92" t="n"/>
      <c r="AI40" s="92" t="n"/>
      <c r="AJ40" s="92" t="n"/>
      <c r="AK40" s="92" t="n"/>
      <c r="AL40" s="92" t="n"/>
      <c r="AM40" s="92" t="n"/>
      <c r="AN40" s="92" t="n"/>
      <c r="AO40" s="92" t="n"/>
      <c r="AP40" s="92" t="n"/>
      <c r="AQ40" s="92" t="n"/>
      <c r="AR40" s="92" t="n"/>
      <c r="AS40" s="92" t="n"/>
      <c r="AT40" s="92" t="n"/>
      <c r="AU40" s="92" t="n"/>
      <c r="AV40" s="92" t="n"/>
      <c r="AX40" s="139" t="n">
        <v>2005</v>
      </c>
      <c r="AY40" s="139" t="n">
        <v>7</v>
      </c>
      <c r="AZ40" s="92" t="n"/>
    </row>
    <row r="41" ht="16.5" customFormat="1" customHeight="1" s="56">
      <c r="A41" s="92" t="n"/>
      <c r="B41" s="92" t="n"/>
      <c r="C41" s="92" t="n"/>
      <c r="D41" s="92" t="n"/>
      <c r="E41" s="92" t="n"/>
      <c r="F41" s="92" t="n"/>
      <c r="G41" s="92" t="n"/>
      <c r="H41" s="92" t="n"/>
      <c r="I41" s="92" t="n"/>
      <c r="J41" s="92" t="n"/>
      <c r="K41" s="92" t="n"/>
      <c r="L41" s="92" t="n"/>
      <c r="M41" s="92" t="n"/>
      <c r="N41" s="92" t="n"/>
      <c r="O41" s="92" t="n"/>
      <c r="P41" s="92" t="n"/>
      <c r="Q41" s="92" t="n"/>
      <c r="R41" s="92" t="n"/>
      <c r="S41" s="92" t="n"/>
      <c r="T41" s="92" t="n"/>
      <c r="U41" s="92" t="n"/>
      <c r="V41" s="92" t="n"/>
      <c r="W41" s="92" t="n"/>
      <c r="X41" s="92" t="n"/>
      <c r="Y41" s="92" t="n"/>
      <c r="Z41" s="92" t="n"/>
      <c r="AA41" s="92" t="n"/>
      <c r="AB41" s="92" t="n"/>
      <c r="AC41" s="92" t="n"/>
      <c r="AD41" s="92" t="n"/>
      <c r="AE41" s="92" t="n"/>
      <c r="AF41" s="92" t="n"/>
      <c r="AG41" s="92" t="n"/>
      <c r="AH41" s="92" t="n"/>
      <c r="AI41" s="92" t="n"/>
      <c r="AJ41" s="92" t="n"/>
      <c r="AK41" s="92" t="n"/>
      <c r="AL41" s="92" t="n"/>
      <c r="AM41" s="92" t="n"/>
      <c r="AN41" s="92" t="n"/>
      <c r="AO41" s="92" t="n"/>
      <c r="AP41" s="92" t="n"/>
      <c r="AQ41" s="92" t="n"/>
      <c r="AR41" s="92" t="n"/>
      <c r="AS41" s="92" t="n"/>
      <c r="AT41" s="92" t="n"/>
      <c r="AU41" s="92" t="n"/>
      <c r="AV41" s="92" t="n"/>
      <c r="AX41" s="139" t="n">
        <v>2015</v>
      </c>
      <c r="AY41" s="139" t="n">
        <v>8</v>
      </c>
      <c r="AZ41" s="92" t="n"/>
    </row>
    <row r="42" ht="16.5" customFormat="1" customHeight="1" s="56">
      <c r="A42" s="92" t="n"/>
      <c r="B42" s="92" t="n"/>
      <c r="C42" s="92" t="n"/>
      <c r="D42" s="92" t="n"/>
      <c r="E42" s="92" t="n"/>
      <c r="F42" s="92" t="n"/>
      <c r="G42" s="92" t="n"/>
      <c r="H42" s="92" t="n"/>
      <c r="I42" s="92" t="n"/>
      <c r="J42" s="92" t="n"/>
      <c r="K42" s="92" t="n"/>
      <c r="L42" s="92" t="n"/>
      <c r="M42" s="92" t="n"/>
      <c r="N42" s="92" t="n"/>
      <c r="O42" s="92" t="n"/>
      <c r="P42" s="92" t="n"/>
      <c r="Q42" s="92" t="n"/>
      <c r="R42" s="92" t="n"/>
      <c r="S42" s="92" t="n"/>
      <c r="T42" s="92" t="n"/>
      <c r="U42" s="92" t="n"/>
      <c r="V42" s="92" t="n"/>
      <c r="W42" s="92" t="n"/>
      <c r="X42" s="92" t="n"/>
      <c r="Y42" s="92" t="n"/>
      <c r="Z42" s="92" t="n"/>
      <c r="AA42" s="92" t="n"/>
      <c r="AB42" s="92" t="n"/>
      <c r="AC42" s="92" t="n"/>
      <c r="AD42" s="92" t="n"/>
      <c r="AE42" s="92" t="n"/>
      <c r="AF42" s="92" t="n"/>
      <c r="AG42" s="92" t="n"/>
      <c r="AH42" s="92" t="n"/>
      <c r="AI42" s="92" t="n"/>
      <c r="AJ42" s="92" t="n"/>
      <c r="AK42" s="92" t="n"/>
      <c r="AL42" s="92" t="n"/>
      <c r="AM42" s="92" t="n"/>
      <c r="AN42" s="92" t="n"/>
      <c r="AO42" s="92" t="n"/>
      <c r="AP42" s="92" t="n"/>
      <c r="AQ42" s="92" t="n"/>
      <c r="AR42" s="92" t="n"/>
      <c r="AS42" s="92" t="n"/>
      <c r="AT42" s="92" t="n"/>
      <c r="AU42" s="92" t="n"/>
      <c r="AV42" s="92" t="n"/>
      <c r="AX42" s="139" t="n">
        <v>2015</v>
      </c>
      <c r="AY42" s="139" t="n">
        <v>8</v>
      </c>
      <c r="AZ42" s="92" t="n"/>
    </row>
    <row r="43" ht="16.5" customFormat="1" customHeight="1" s="56">
      <c r="A43" s="92" t="n"/>
      <c r="B43" s="92" t="n"/>
      <c r="C43" s="92" t="n"/>
      <c r="D43" s="92" t="n"/>
      <c r="E43" s="92" t="n"/>
      <c r="F43" s="92" t="n"/>
      <c r="G43" s="92" t="n"/>
      <c r="H43" s="92" t="n"/>
      <c r="I43" s="92" t="n"/>
      <c r="J43" s="92" t="n"/>
      <c r="K43" s="92" t="n"/>
      <c r="L43" s="92" t="n"/>
      <c r="M43" s="92" t="n"/>
      <c r="N43" s="92" t="n"/>
      <c r="O43" s="92" t="n"/>
      <c r="P43" s="92" t="n"/>
      <c r="Q43" s="92" t="n"/>
      <c r="R43" s="92" t="n"/>
      <c r="S43" s="92" t="n"/>
      <c r="T43" s="92" t="n"/>
      <c r="U43" s="92" t="n"/>
      <c r="V43" s="92" t="n"/>
      <c r="W43" s="92" t="n"/>
      <c r="X43" s="92" t="n"/>
      <c r="Y43" s="92" t="n"/>
      <c r="Z43" s="92" t="n"/>
      <c r="AA43" s="92" t="n"/>
      <c r="AB43" s="92" t="n"/>
      <c r="AC43" s="92" t="n"/>
      <c r="AD43" s="92" t="n"/>
      <c r="AE43" s="92" t="n"/>
      <c r="AF43" s="92" t="n"/>
      <c r="AG43" s="92" t="n"/>
      <c r="AH43" s="92" t="n"/>
      <c r="AI43" s="92" t="n"/>
      <c r="AJ43" s="92" t="n"/>
      <c r="AK43" s="92" t="n"/>
      <c r="AL43" s="92" t="n"/>
      <c r="AM43" s="92" t="n"/>
      <c r="AN43" s="92" t="n"/>
      <c r="AO43" s="92" t="n"/>
      <c r="AP43" s="92" t="n"/>
      <c r="AQ43" s="92" t="n"/>
      <c r="AR43" s="92" t="n"/>
      <c r="AS43" s="92" t="n"/>
      <c r="AT43" s="92" t="n"/>
      <c r="AU43" s="92" t="n"/>
      <c r="AV43" s="92" t="n"/>
      <c r="AX43" s="139" t="n">
        <v>2015</v>
      </c>
      <c r="AY43" s="139" t="n">
        <v>8</v>
      </c>
      <c r="AZ43" s="92" t="n"/>
    </row>
    <row r="44" ht="16.5" customFormat="1" customHeight="1" s="56">
      <c r="A44" s="92" t="n"/>
      <c r="B44" s="92" t="n"/>
      <c r="C44" s="92" t="n"/>
      <c r="D44" s="92" t="n"/>
      <c r="E44" s="92" t="n"/>
      <c r="F44" s="92" t="n"/>
      <c r="G44" s="92" t="n"/>
      <c r="H44" s="92" t="n"/>
      <c r="I44" s="92" t="n"/>
      <c r="J44" s="92" t="n"/>
      <c r="K44" s="92" t="n"/>
      <c r="L44" s="92" t="n"/>
      <c r="M44" s="92" t="n"/>
      <c r="N44" s="92" t="n"/>
      <c r="O44" s="92" t="n"/>
      <c r="P44" s="92" t="n"/>
      <c r="Q44" s="92" t="n"/>
      <c r="R44" s="92" t="n"/>
      <c r="S44" s="92" t="n"/>
      <c r="T44" s="92" t="n"/>
      <c r="U44" s="92" t="n"/>
      <c r="V44" s="92" t="n"/>
      <c r="W44" s="92" t="n"/>
      <c r="X44" s="92" t="n"/>
      <c r="Y44" s="92" t="n"/>
      <c r="Z44" s="92" t="n"/>
      <c r="AA44" s="92" t="n"/>
      <c r="AB44" s="92" t="n"/>
      <c r="AC44" s="92" t="n"/>
      <c r="AD44" s="92" t="n"/>
      <c r="AE44" s="92" t="n"/>
      <c r="AF44" s="92" t="n"/>
      <c r="AG44" s="92" t="n"/>
      <c r="AH44" s="92" t="n"/>
      <c r="AI44" s="92" t="n"/>
      <c r="AJ44" s="92" t="n"/>
      <c r="AK44" s="92" t="n"/>
      <c r="AL44" s="92" t="n"/>
      <c r="AM44" s="92" t="n"/>
      <c r="AN44" s="92" t="n"/>
      <c r="AO44" s="92" t="n"/>
      <c r="AP44" s="92" t="n"/>
      <c r="AQ44" s="92" t="n"/>
      <c r="AR44" s="92" t="n"/>
      <c r="AS44" s="92" t="n"/>
      <c r="AT44" s="92" t="n"/>
      <c r="AU44" s="92" t="n"/>
      <c r="AV44" s="92" t="n"/>
      <c r="AX44" s="139" t="n">
        <v>2015</v>
      </c>
      <c r="AY44" s="139" t="n">
        <v>8</v>
      </c>
      <c r="AZ44" s="92" t="n"/>
    </row>
    <row r="45" ht="16.5" customFormat="1" customHeight="1" s="56">
      <c r="A45" s="92" t="n"/>
      <c r="B45" s="92" t="n"/>
      <c r="C45" s="92" t="n"/>
      <c r="D45" s="92" t="n"/>
      <c r="E45" s="92" t="n"/>
      <c r="F45" s="92" t="n"/>
      <c r="G45" s="92" t="n"/>
      <c r="H45" s="92" t="n"/>
      <c r="I45" s="92" t="n"/>
      <c r="J45" s="92" t="n"/>
      <c r="K45" s="92" t="n"/>
      <c r="L45" s="92" t="n"/>
      <c r="M45" s="92" t="n"/>
      <c r="N45" s="92" t="n"/>
      <c r="O45" s="92" t="n"/>
      <c r="P45" s="92" t="n"/>
      <c r="Q45" s="92" t="n"/>
      <c r="R45" s="92" t="n"/>
      <c r="S45" s="92" t="n"/>
      <c r="T45" s="92" t="n"/>
      <c r="U45" s="92" t="n"/>
      <c r="V45" s="92" t="n"/>
      <c r="W45" s="92" t="n"/>
      <c r="X45" s="92" t="n"/>
      <c r="Y45" s="92" t="n"/>
      <c r="Z45" s="92" t="n"/>
      <c r="AA45" s="92" t="n"/>
      <c r="AB45" s="92" t="n"/>
      <c r="AC45" s="92" t="n"/>
      <c r="AD45" s="92" t="n"/>
      <c r="AE45" s="92" t="n"/>
      <c r="AF45" s="92" t="n"/>
      <c r="AG45" s="92" t="n"/>
      <c r="AH45" s="92" t="n"/>
      <c r="AI45" s="92" t="n"/>
      <c r="AJ45" s="92" t="n"/>
      <c r="AK45" s="92" t="n"/>
      <c r="AL45" s="92" t="n"/>
      <c r="AM45" s="92" t="n"/>
      <c r="AN45" s="92" t="n"/>
      <c r="AO45" s="92" t="n"/>
      <c r="AP45" s="92" t="n"/>
      <c r="AQ45" s="92" t="n"/>
      <c r="AR45" s="92" t="n"/>
      <c r="AS45" s="92" t="n"/>
      <c r="AT45" s="92" t="n"/>
      <c r="AU45" s="92" t="n"/>
      <c r="AV45" s="92" t="n"/>
      <c r="AX45" s="139" t="n">
        <v>2012</v>
      </c>
      <c r="AY45" s="139" t="n">
        <v>7</v>
      </c>
      <c r="AZ45" s="92" t="n"/>
    </row>
    <row r="46" ht="16.5" customFormat="1" customHeight="1" s="56">
      <c r="A46" s="92" t="n"/>
      <c r="B46" s="92" t="n"/>
      <c r="C46" s="92" t="n"/>
      <c r="D46" s="92" t="n"/>
      <c r="E46" s="92" t="n"/>
      <c r="F46" s="92" t="n"/>
      <c r="G46" s="92" t="n"/>
      <c r="H46" s="92" t="n"/>
      <c r="I46" s="92" t="n"/>
      <c r="J46" s="92" t="n"/>
      <c r="K46" s="92" t="n"/>
      <c r="L46" s="92" t="n"/>
      <c r="M46" s="92" t="n"/>
      <c r="N46" s="92" t="n"/>
      <c r="O46" s="92" t="n"/>
      <c r="P46" s="92" t="n"/>
      <c r="Q46" s="92" t="n"/>
      <c r="R46" s="92" t="n"/>
      <c r="S46" s="92" t="n"/>
      <c r="T46" s="92" t="n"/>
      <c r="U46" s="92" t="n"/>
      <c r="V46" s="92" t="n"/>
      <c r="W46" s="92" t="n"/>
      <c r="X46" s="92" t="n"/>
      <c r="Y46" s="92" t="n"/>
      <c r="Z46" s="92" t="n"/>
      <c r="AA46" s="92" t="n"/>
      <c r="AB46" s="92" t="n"/>
      <c r="AC46" s="92" t="n"/>
      <c r="AD46" s="92" t="n"/>
      <c r="AE46" s="92" t="n"/>
      <c r="AF46" s="92" t="n"/>
      <c r="AG46" s="92" t="n"/>
      <c r="AH46" s="92" t="n"/>
      <c r="AI46" s="92" t="n"/>
      <c r="AJ46" s="92" t="n"/>
      <c r="AK46" s="92" t="n"/>
      <c r="AL46" s="92" t="n"/>
      <c r="AM46" s="92" t="n"/>
      <c r="AN46" s="92" t="n"/>
      <c r="AO46" s="92" t="n"/>
      <c r="AP46" s="92" t="n"/>
      <c r="AQ46" s="92" t="n"/>
      <c r="AR46" s="92" t="n"/>
      <c r="AS46" s="92" t="n"/>
      <c r="AT46" s="92" t="n"/>
      <c r="AU46" s="92" t="n"/>
      <c r="AV46" s="92" t="n"/>
      <c r="AX46" s="139" t="n">
        <v>2012</v>
      </c>
      <c r="AY46" s="139" t="n">
        <v>7</v>
      </c>
      <c r="AZ46" s="92" t="n"/>
    </row>
    <row r="47" ht="16.5" customFormat="1" customHeight="1" s="56">
      <c r="A47" s="92" t="n"/>
      <c r="B47" s="92" t="n"/>
      <c r="C47" s="92" t="n"/>
      <c r="D47" s="92" t="n"/>
      <c r="E47" s="92" t="n"/>
      <c r="F47" s="92" t="n"/>
      <c r="G47" s="92" t="n"/>
      <c r="H47" s="92" t="n"/>
      <c r="I47" s="92" t="n"/>
      <c r="J47" s="92" t="n"/>
      <c r="K47" s="92" t="n"/>
      <c r="L47" s="92" t="n"/>
      <c r="M47" s="92" t="n"/>
      <c r="N47" s="92" t="n"/>
      <c r="O47" s="92" t="n"/>
      <c r="P47" s="92" t="n"/>
      <c r="Q47" s="92" t="n"/>
      <c r="R47" s="92" t="n"/>
      <c r="S47" s="92" t="n"/>
      <c r="T47" s="92" t="n"/>
      <c r="U47" s="92" t="n"/>
      <c r="V47" s="92" t="n"/>
      <c r="W47" s="92" t="n"/>
      <c r="X47" s="92" t="n"/>
      <c r="Y47" s="92" t="n"/>
      <c r="Z47" s="92" t="n"/>
      <c r="AA47" s="92" t="n"/>
      <c r="AB47" s="92" t="n"/>
      <c r="AC47" s="92" t="n"/>
      <c r="AD47" s="92" t="n"/>
      <c r="AE47" s="92" t="n"/>
      <c r="AF47" s="92" t="n"/>
      <c r="AG47" s="92" t="n"/>
      <c r="AH47" s="92" t="n"/>
      <c r="AI47" s="92" t="n"/>
      <c r="AJ47" s="92" t="n"/>
      <c r="AK47" s="92" t="n"/>
      <c r="AL47" s="92" t="n"/>
      <c r="AM47" s="92" t="n"/>
      <c r="AN47" s="92" t="n"/>
      <c r="AO47" s="92" t="n"/>
      <c r="AP47" s="92" t="n"/>
      <c r="AQ47" s="92" t="n"/>
      <c r="AR47" s="92" t="n"/>
      <c r="AS47" s="92" t="n"/>
      <c r="AT47" s="92" t="n"/>
      <c r="AU47" s="92" t="n"/>
      <c r="AV47" s="92" t="n"/>
      <c r="AX47" s="139" t="n">
        <v>2012</v>
      </c>
      <c r="AY47" s="139" t="n">
        <v>7</v>
      </c>
      <c r="AZ47" s="92" t="n"/>
    </row>
    <row r="48" ht="16.5" customFormat="1" customHeight="1" s="56">
      <c r="A48" s="92" t="n"/>
      <c r="B48" s="92" t="n"/>
      <c r="C48" s="92" t="n"/>
      <c r="D48" s="92" t="n"/>
      <c r="E48" s="92" t="n"/>
      <c r="F48" s="92" t="n"/>
      <c r="G48" s="92" t="n"/>
      <c r="H48" s="92" t="n"/>
      <c r="I48" s="92" t="n"/>
      <c r="J48" s="92" t="n"/>
      <c r="K48" s="92" t="n"/>
      <c r="L48" s="92" t="n"/>
      <c r="M48" s="92" t="n"/>
      <c r="N48" s="92" t="n"/>
      <c r="O48" s="92" t="n"/>
      <c r="P48" s="92" t="n"/>
      <c r="Q48" s="92" t="n"/>
      <c r="R48" s="92" t="n"/>
      <c r="S48" s="92" t="n"/>
      <c r="T48" s="92" t="n"/>
      <c r="U48" s="92" t="n"/>
      <c r="V48" s="92" t="n"/>
      <c r="W48" s="92" t="n"/>
      <c r="X48" s="92" t="n"/>
      <c r="Y48" s="92" t="n"/>
      <c r="Z48" s="92" t="n"/>
      <c r="AA48" s="92" t="n"/>
      <c r="AB48" s="92" t="n"/>
      <c r="AC48" s="92" t="n"/>
      <c r="AD48" s="92" t="n"/>
      <c r="AE48" s="92" t="n"/>
      <c r="AF48" s="92" t="n"/>
      <c r="AG48" s="92" t="n"/>
      <c r="AH48" s="92" t="n"/>
      <c r="AI48" s="92" t="n"/>
      <c r="AJ48" s="92" t="n"/>
      <c r="AK48" s="92" t="n"/>
      <c r="AL48" s="92" t="n"/>
      <c r="AM48" s="92" t="n"/>
      <c r="AN48" s="92" t="n"/>
      <c r="AO48" s="92" t="n"/>
      <c r="AP48" s="92" t="n"/>
      <c r="AQ48" s="92" t="n"/>
      <c r="AR48" s="92" t="n"/>
      <c r="AS48" s="92" t="n"/>
      <c r="AT48" s="92" t="n"/>
      <c r="AU48" s="92" t="n"/>
      <c r="AV48" s="92" t="n"/>
      <c r="AX48" s="139" t="n">
        <v>2012</v>
      </c>
      <c r="AY48" s="139" t="n">
        <v>7</v>
      </c>
      <c r="AZ48" s="92" t="n"/>
    </row>
    <row r="49" ht="16.5" customFormat="1" customHeight="1" s="56">
      <c r="A49" s="92" t="n"/>
      <c r="B49" s="92" t="n"/>
      <c r="C49" s="92" t="n"/>
      <c r="D49" s="92" t="n"/>
      <c r="E49" s="92" t="n"/>
      <c r="F49" s="92" t="n"/>
      <c r="G49" s="92" t="n"/>
      <c r="H49" s="92" t="n"/>
      <c r="I49" s="92" t="n"/>
      <c r="J49" s="92" t="n"/>
      <c r="K49" s="92" t="n"/>
      <c r="L49" s="92" t="n"/>
      <c r="M49" s="92" t="n"/>
      <c r="N49" s="92" t="n"/>
      <c r="O49" s="92" t="n"/>
      <c r="P49" s="92" t="n"/>
      <c r="Q49" s="92" t="n"/>
      <c r="R49" s="92" t="n"/>
      <c r="S49" s="92" t="n"/>
      <c r="T49" s="92" t="n"/>
      <c r="U49" s="92" t="n"/>
      <c r="V49" s="92" t="n"/>
      <c r="W49" s="92" t="n"/>
      <c r="X49" s="92" t="n"/>
      <c r="Y49" s="92" t="n"/>
      <c r="Z49" s="92" t="n"/>
      <c r="AA49" s="92" t="n"/>
      <c r="AB49" s="92" t="n"/>
      <c r="AC49" s="92" t="n"/>
      <c r="AD49" s="92" t="n"/>
      <c r="AE49" s="92" t="n"/>
      <c r="AF49" s="92" t="n"/>
      <c r="AG49" s="92" t="n"/>
      <c r="AH49" s="92" t="n"/>
      <c r="AI49" s="92" t="n"/>
      <c r="AJ49" s="92" t="n"/>
      <c r="AK49" s="92" t="n"/>
      <c r="AL49" s="92" t="n"/>
      <c r="AM49" s="92" t="n"/>
      <c r="AN49" s="92" t="n"/>
      <c r="AO49" s="92" t="n"/>
      <c r="AP49" s="92" t="n"/>
      <c r="AQ49" s="92" t="n"/>
      <c r="AR49" s="92" t="n"/>
      <c r="AS49" s="92" t="n"/>
      <c r="AT49" s="92" t="n"/>
      <c r="AU49" s="92" t="n"/>
      <c r="AV49" s="92" t="n"/>
      <c r="AX49" s="139" t="n">
        <v>2010</v>
      </c>
      <c r="AY49" s="139" t="n">
        <v>4</v>
      </c>
      <c r="AZ49" s="92" t="n"/>
    </row>
    <row r="50" ht="16.5" customFormat="1" customHeight="1" s="56">
      <c r="A50" s="92" t="n"/>
      <c r="B50" s="92" t="n"/>
      <c r="C50" s="92" t="n"/>
      <c r="D50" s="92" t="n"/>
      <c r="E50" s="92" t="n"/>
      <c r="F50" s="92" t="n"/>
      <c r="G50" s="92" t="n"/>
      <c r="H50" s="92" t="n"/>
      <c r="I50" s="92" t="n"/>
      <c r="J50" s="92" t="n"/>
      <c r="K50" s="92" t="n"/>
      <c r="L50" s="92" t="n"/>
      <c r="M50" s="92" t="n"/>
      <c r="N50" s="92" t="n"/>
      <c r="O50" s="92" t="n"/>
      <c r="P50" s="92" t="n"/>
      <c r="Q50" s="92" t="n"/>
      <c r="R50" s="92" t="n"/>
      <c r="S50" s="92" t="n"/>
      <c r="T50" s="92" t="n"/>
      <c r="U50" s="92" t="n"/>
      <c r="V50" s="92" t="n"/>
      <c r="W50" s="92" t="n"/>
      <c r="X50" s="92" t="n"/>
      <c r="Y50" s="92" t="n"/>
      <c r="Z50" s="92" t="n"/>
      <c r="AA50" s="92" t="n"/>
      <c r="AB50" s="92" t="n"/>
      <c r="AC50" s="92" t="n"/>
      <c r="AD50" s="92" t="n"/>
      <c r="AE50" s="92" t="n"/>
      <c r="AF50" s="92" t="n"/>
      <c r="AG50" s="92" t="n"/>
      <c r="AH50" s="92" t="n"/>
      <c r="AI50" s="92" t="n"/>
      <c r="AJ50" s="92" t="n"/>
      <c r="AK50" s="92" t="n"/>
      <c r="AL50" s="92" t="n"/>
      <c r="AM50" s="92" t="n"/>
      <c r="AN50" s="92" t="n"/>
      <c r="AO50" s="92" t="n"/>
      <c r="AP50" s="92" t="n"/>
      <c r="AQ50" s="92" t="n"/>
      <c r="AR50" s="92" t="n"/>
      <c r="AS50" s="92" t="n"/>
      <c r="AT50" s="92" t="n"/>
      <c r="AU50" s="92" t="n"/>
      <c r="AV50" s="92" t="n"/>
      <c r="AX50" s="139" t="n">
        <v>2010</v>
      </c>
      <c r="AY50" s="139" t="n">
        <v>4</v>
      </c>
      <c r="AZ50" s="92" t="n"/>
    </row>
    <row r="51" ht="16.5" customFormat="1" customHeight="1" s="56">
      <c r="A51" s="92" t="n"/>
      <c r="B51" s="92" t="n"/>
      <c r="C51" s="92" t="n"/>
      <c r="D51" s="92" t="n"/>
      <c r="E51" s="92" t="n"/>
      <c r="F51" s="92" t="n"/>
      <c r="G51" s="92" t="n"/>
      <c r="H51" s="92" t="n"/>
      <c r="I51" s="92" t="n"/>
      <c r="J51" s="92" t="n"/>
      <c r="K51" s="92" t="n"/>
      <c r="L51" s="92" t="n"/>
      <c r="M51" s="92" t="n"/>
      <c r="N51" s="92" t="n"/>
      <c r="O51" s="92" t="n"/>
      <c r="P51" s="92" t="n"/>
      <c r="Q51" s="92" t="n"/>
      <c r="R51" s="92" t="n"/>
      <c r="S51" s="92" t="n"/>
      <c r="T51" s="92" t="n"/>
      <c r="U51" s="92" t="n"/>
      <c r="V51" s="92" t="n"/>
      <c r="W51" s="92" t="n"/>
      <c r="X51" s="92" t="n"/>
      <c r="Y51" s="92" t="n"/>
      <c r="Z51" s="92" t="n"/>
      <c r="AA51" s="92" t="n"/>
      <c r="AB51" s="92" t="n"/>
      <c r="AC51" s="92" t="n"/>
      <c r="AD51" s="92" t="n"/>
      <c r="AE51" s="92" t="n"/>
      <c r="AF51" s="92" t="n"/>
      <c r="AG51" s="92" t="n"/>
      <c r="AH51" s="92" t="n"/>
      <c r="AI51" s="92" t="n"/>
      <c r="AJ51" s="92" t="n"/>
      <c r="AK51" s="92" t="n"/>
      <c r="AL51" s="92" t="n"/>
      <c r="AM51" s="92" t="n"/>
      <c r="AN51" s="92" t="n"/>
      <c r="AO51" s="92" t="n"/>
      <c r="AP51" s="92" t="n"/>
      <c r="AQ51" s="92" t="n"/>
      <c r="AR51" s="92" t="n"/>
      <c r="AS51" s="92" t="n"/>
      <c r="AT51" s="92" t="n"/>
      <c r="AU51" s="92" t="n"/>
      <c r="AV51" s="92" t="n"/>
      <c r="AX51" s="139" t="n">
        <v>2010</v>
      </c>
      <c r="AY51" s="139" t="n">
        <v>4</v>
      </c>
      <c r="AZ51" s="92" t="n"/>
    </row>
    <row r="52" ht="16.5" customFormat="1" customHeight="1" s="56">
      <c r="A52" s="92" t="n"/>
      <c r="B52" s="92" t="n"/>
      <c r="C52" s="92" t="n"/>
      <c r="D52" s="92" t="n"/>
      <c r="E52" s="92" t="n"/>
      <c r="F52" s="92" t="n"/>
      <c r="G52" s="92" t="n"/>
      <c r="H52" s="92" t="n"/>
      <c r="I52" s="92" t="n"/>
      <c r="J52" s="92" t="n"/>
      <c r="K52" s="92" t="n"/>
      <c r="L52" s="92" t="n"/>
      <c r="M52" s="92" t="n"/>
      <c r="N52" s="92" t="n"/>
      <c r="O52" s="92" t="n"/>
      <c r="P52" s="92" t="n"/>
      <c r="Q52" s="92" t="n"/>
      <c r="R52" s="92" t="n"/>
      <c r="S52" s="92" t="n"/>
      <c r="T52" s="92" t="n"/>
      <c r="U52" s="92" t="n"/>
      <c r="V52" s="92" t="n"/>
      <c r="W52" s="92" t="n"/>
      <c r="X52" s="92" t="n"/>
      <c r="Y52" s="92" t="n"/>
      <c r="Z52" s="92" t="n"/>
      <c r="AA52" s="92" t="n"/>
      <c r="AB52" s="92" t="n"/>
      <c r="AC52" s="92" t="n"/>
      <c r="AD52" s="92" t="n"/>
      <c r="AE52" s="92" t="n"/>
      <c r="AF52" s="92" t="n"/>
      <c r="AG52" s="92" t="n"/>
      <c r="AH52" s="92" t="n"/>
      <c r="AI52" s="92" t="n"/>
      <c r="AJ52" s="92" t="n"/>
      <c r="AK52" s="92" t="n"/>
      <c r="AL52" s="92" t="n"/>
      <c r="AM52" s="92" t="n"/>
      <c r="AN52" s="92" t="n"/>
      <c r="AO52" s="92" t="n"/>
      <c r="AP52" s="92" t="n"/>
      <c r="AQ52" s="92" t="n"/>
      <c r="AR52" s="92" t="n"/>
      <c r="AS52" s="92" t="n"/>
      <c r="AT52" s="92" t="n"/>
      <c r="AU52" s="92" t="n"/>
      <c r="AV52" s="92" t="n"/>
      <c r="AX52" s="139" t="n">
        <v>2010</v>
      </c>
      <c r="AY52" s="139" t="n">
        <v>4</v>
      </c>
      <c r="AZ52" s="92" t="n"/>
    </row>
    <row r="53" ht="16.5" customFormat="1" customHeight="1" s="56">
      <c r="A53" s="92" t="n"/>
      <c r="B53" s="92" t="n"/>
      <c r="C53" s="92" t="n"/>
      <c r="D53" s="92" t="n"/>
      <c r="E53" s="92" t="n"/>
      <c r="F53" s="92" t="n"/>
      <c r="G53" s="92" t="n"/>
      <c r="H53" s="92" t="n"/>
      <c r="I53" s="92" t="n"/>
      <c r="J53" s="92" t="n"/>
      <c r="K53" s="92" t="n"/>
      <c r="L53" s="92" t="n"/>
      <c r="M53" s="92" t="n"/>
      <c r="N53" s="92" t="n"/>
      <c r="O53" s="92" t="n"/>
      <c r="P53" s="92" t="n"/>
      <c r="Q53" s="92" t="n"/>
      <c r="R53" s="92" t="n"/>
      <c r="S53" s="92" t="n"/>
      <c r="T53" s="92" t="n"/>
      <c r="U53" s="92" t="n"/>
      <c r="V53" s="92" t="n"/>
      <c r="W53" s="92" t="n"/>
      <c r="X53" s="92" t="n"/>
      <c r="Y53" s="92" t="n"/>
      <c r="Z53" s="92" t="n"/>
      <c r="AA53" s="92" t="n"/>
      <c r="AB53" s="92" t="n"/>
      <c r="AC53" s="92" t="n"/>
      <c r="AD53" s="92" t="n"/>
      <c r="AE53" s="92" t="n"/>
      <c r="AF53" s="92" t="n"/>
      <c r="AG53" s="92" t="n"/>
      <c r="AH53" s="92" t="n"/>
      <c r="AI53" s="92" t="n"/>
      <c r="AJ53" s="92" t="n"/>
      <c r="AK53" s="92" t="n"/>
      <c r="AL53" s="92" t="n"/>
      <c r="AM53" s="92" t="n"/>
      <c r="AN53" s="92" t="n"/>
      <c r="AO53" s="92" t="n"/>
      <c r="AP53" s="92" t="n"/>
      <c r="AQ53" s="92" t="n"/>
      <c r="AR53" s="92" t="n"/>
      <c r="AS53" s="92" t="n"/>
      <c r="AT53" s="92" t="n"/>
      <c r="AU53" s="92" t="n"/>
      <c r="AV53" s="92" t="n"/>
      <c r="AX53" s="139" t="n">
        <v>2010</v>
      </c>
      <c r="AY53" s="139" t="n">
        <v>4</v>
      </c>
      <c r="AZ53" s="92" t="n"/>
    </row>
    <row r="54" ht="16.5" customFormat="1" customHeight="1" s="56">
      <c r="A54" s="92" t="n"/>
      <c r="B54" s="92" t="n"/>
      <c r="C54" s="92" t="n"/>
      <c r="D54" s="92" t="n"/>
      <c r="E54" s="92" t="n"/>
      <c r="F54" s="92" t="n"/>
      <c r="G54" s="92" t="n"/>
      <c r="H54" s="92" t="n"/>
      <c r="I54" s="92" t="n"/>
      <c r="J54" s="92" t="n"/>
      <c r="K54" s="92" t="n"/>
      <c r="L54" s="92" t="n"/>
      <c r="M54" s="92" t="n"/>
      <c r="N54" s="92" t="n"/>
      <c r="O54" s="92" t="n"/>
      <c r="P54" s="92" t="n"/>
      <c r="Q54" s="92" t="n"/>
      <c r="R54" s="92" t="n"/>
      <c r="S54" s="92" t="n"/>
      <c r="T54" s="92" t="n"/>
      <c r="U54" s="92" t="n"/>
      <c r="V54" s="92" t="n"/>
      <c r="W54" s="92" t="n"/>
      <c r="X54" s="92" t="n"/>
      <c r="Y54" s="92" t="n"/>
      <c r="Z54" s="92" t="n"/>
      <c r="AA54" s="92" t="n"/>
      <c r="AB54" s="92" t="n"/>
      <c r="AC54" s="92" t="n"/>
      <c r="AD54" s="92" t="n"/>
      <c r="AE54" s="92" t="n"/>
      <c r="AF54" s="92" t="n"/>
      <c r="AG54" s="92" t="n"/>
      <c r="AH54" s="92" t="n"/>
      <c r="AI54" s="92" t="n"/>
      <c r="AJ54" s="92" t="n"/>
      <c r="AK54" s="92" t="n"/>
      <c r="AL54" s="92" t="n"/>
      <c r="AM54" s="92" t="n"/>
      <c r="AN54" s="92" t="n"/>
      <c r="AO54" s="92" t="n"/>
      <c r="AP54" s="92" t="n"/>
      <c r="AQ54" s="92" t="n"/>
      <c r="AR54" s="92" t="n"/>
      <c r="AS54" s="92" t="n"/>
      <c r="AT54" s="92" t="n"/>
      <c r="AU54" s="92" t="n"/>
      <c r="AV54" s="92" t="n"/>
      <c r="AX54" s="139" t="n">
        <v>2009</v>
      </c>
      <c r="AY54" s="139" t="n">
        <v>9</v>
      </c>
      <c r="AZ54" s="92" t="n"/>
    </row>
    <row r="55" ht="16.5" customFormat="1" customHeight="1" s="56">
      <c r="A55" s="92" t="n"/>
      <c r="B55" s="92" t="n"/>
      <c r="C55" s="92" t="n"/>
      <c r="D55" s="92" t="n"/>
      <c r="E55" s="92" t="n"/>
      <c r="F55" s="92" t="n"/>
      <c r="G55" s="92" t="n"/>
      <c r="H55" s="92" t="n"/>
      <c r="I55" s="92" t="n"/>
      <c r="J55" s="92" t="n"/>
      <c r="K55" s="92" t="n"/>
      <c r="L55" s="92" t="n"/>
      <c r="M55" s="92" t="n"/>
      <c r="N55" s="92" t="n"/>
      <c r="O55" s="92" t="n"/>
      <c r="P55" s="92" t="n"/>
      <c r="Q55" s="92" t="n"/>
      <c r="R55" s="92" t="n"/>
      <c r="S55" s="92" t="n"/>
      <c r="T55" s="92" t="n"/>
      <c r="U55" s="92" t="n"/>
      <c r="V55" s="92" t="n"/>
      <c r="W55" s="92" t="n"/>
      <c r="X55" s="92" t="n"/>
      <c r="Y55" s="92" t="n"/>
      <c r="Z55" s="92" t="n"/>
      <c r="AA55" s="92" t="n"/>
      <c r="AB55" s="92" t="n"/>
      <c r="AC55" s="92" t="n"/>
      <c r="AD55" s="92" t="n"/>
      <c r="AE55" s="92" t="n"/>
      <c r="AF55" s="92" t="n"/>
      <c r="AG55" s="92" t="n"/>
      <c r="AH55" s="92" t="n"/>
      <c r="AI55" s="92" t="n"/>
      <c r="AJ55" s="92" t="n"/>
      <c r="AK55" s="92" t="n"/>
      <c r="AL55" s="92" t="n"/>
      <c r="AM55" s="92" t="n"/>
      <c r="AN55" s="92" t="n"/>
      <c r="AO55" s="92" t="n"/>
      <c r="AP55" s="92" t="n"/>
      <c r="AQ55" s="92" t="n"/>
      <c r="AR55" s="92" t="n"/>
      <c r="AS55" s="92" t="n"/>
      <c r="AT55" s="92" t="n"/>
      <c r="AU55" s="92" t="n"/>
      <c r="AV55" s="92" t="n"/>
      <c r="AX55" s="139" t="n">
        <v>2009</v>
      </c>
      <c r="AY55" s="139" t="n">
        <v>9</v>
      </c>
      <c r="AZ55" s="92" t="n"/>
    </row>
    <row r="56" ht="16.5" customFormat="1" customHeight="1" s="56">
      <c r="A56" s="92" t="n"/>
      <c r="B56" s="92" t="n"/>
      <c r="C56" s="92" t="n"/>
      <c r="D56" s="92" t="n"/>
      <c r="E56" s="92" t="n"/>
      <c r="F56" s="92" t="n"/>
      <c r="G56" s="92" t="n"/>
      <c r="H56" s="92" t="n"/>
      <c r="I56" s="92" t="n"/>
      <c r="J56" s="92" t="n"/>
      <c r="K56" s="92" t="n"/>
      <c r="L56" s="92" t="n"/>
      <c r="M56" s="92" t="n"/>
      <c r="N56" s="92" t="n"/>
      <c r="O56" s="92" t="n"/>
      <c r="P56" s="92" t="n"/>
      <c r="Q56" s="92" t="n"/>
      <c r="R56" s="92" t="n"/>
      <c r="S56" s="92" t="n"/>
      <c r="T56" s="92" t="n"/>
      <c r="U56" s="92" t="n"/>
      <c r="V56" s="92" t="n"/>
      <c r="W56" s="92" t="n"/>
      <c r="X56" s="92" t="n"/>
      <c r="Y56" s="92" t="n"/>
      <c r="Z56" s="92" t="n"/>
      <c r="AA56" s="92" t="n"/>
      <c r="AB56" s="92" t="n"/>
      <c r="AC56" s="92" t="n"/>
      <c r="AD56" s="92" t="n"/>
      <c r="AE56" s="92" t="n"/>
      <c r="AF56" s="92" t="n"/>
      <c r="AG56" s="92" t="n"/>
      <c r="AH56" s="92" t="n"/>
      <c r="AI56" s="92" t="n"/>
      <c r="AJ56" s="92" t="n"/>
      <c r="AK56" s="92" t="n"/>
      <c r="AL56" s="92" t="n"/>
      <c r="AM56" s="92" t="n"/>
      <c r="AN56" s="92" t="n"/>
      <c r="AO56" s="92" t="n"/>
      <c r="AP56" s="92" t="n"/>
      <c r="AQ56" s="92" t="n"/>
      <c r="AR56" s="92" t="n"/>
      <c r="AS56" s="92" t="n"/>
      <c r="AT56" s="92" t="n"/>
      <c r="AU56" s="92" t="n"/>
      <c r="AV56" s="92" t="n"/>
      <c r="AX56" s="139" t="n">
        <v>2009</v>
      </c>
      <c r="AY56" s="139" t="n">
        <v>9</v>
      </c>
      <c r="AZ56" s="92" t="n"/>
    </row>
    <row r="57" ht="16.5" customFormat="1" customHeight="1" s="56">
      <c r="A57" s="92" t="n"/>
      <c r="B57" s="92" t="n"/>
      <c r="C57" s="92" t="n"/>
      <c r="D57" s="92" t="n"/>
      <c r="E57" s="92" t="n"/>
      <c r="F57" s="92" t="n"/>
      <c r="G57" s="92" t="n"/>
      <c r="H57" s="92" t="n"/>
      <c r="I57" s="92" t="n"/>
      <c r="J57" s="92" t="n"/>
      <c r="K57" s="92" t="n"/>
      <c r="L57" s="92" t="n"/>
      <c r="M57" s="92" t="n"/>
      <c r="N57" s="92" t="n"/>
      <c r="O57" s="92" t="n"/>
      <c r="P57" s="92" t="n"/>
      <c r="Q57" s="92" t="n"/>
      <c r="R57" s="92" t="n"/>
      <c r="S57" s="92" t="n"/>
      <c r="T57" s="92" t="n"/>
      <c r="U57" s="92" t="n"/>
      <c r="V57" s="92" t="n"/>
      <c r="W57" s="92" t="n"/>
      <c r="X57" s="92" t="n"/>
      <c r="Y57" s="92" t="n"/>
      <c r="Z57" s="92" t="n"/>
      <c r="AA57" s="92" t="n"/>
      <c r="AB57" s="92" t="n"/>
      <c r="AC57" s="92" t="n"/>
      <c r="AD57" s="92" t="n"/>
      <c r="AE57" s="92" t="n"/>
      <c r="AF57" s="92" t="n"/>
      <c r="AG57" s="92" t="n"/>
      <c r="AH57" s="92" t="n"/>
      <c r="AI57" s="92" t="n"/>
      <c r="AJ57" s="92" t="n"/>
      <c r="AK57" s="92" t="n"/>
      <c r="AL57" s="92" t="n"/>
      <c r="AM57" s="92" t="n"/>
      <c r="AN57" s="92" t="n"/>
      <c r="AO57" s="92" t="n"/>
      <c r="AP57" s="92" t="n"/>
      <c r="AQ57" s="92" t="n"/>
      <c r="AR57" s="92" t="n"/>
      <c r="AS57" s="92" t="n"/>
      <c r="AT57" s="92" t="n"/>
      <c r="AU57" s="92" t="n"/>
      <c r="AV57" s="92" t="n"/>
      <c r="AX57" s="139" t="n">
        <v>2009</v>
      </c>
      <c r="AY57" s="139" t="n">
        <v>9</v>
      </c>
      <c r="AZ57" s="92" t="n"/>
    </row>
    <row r="58" ht="16.5" customFormat="1" customHeight="1" s="56">
      <c r="A58" s="92" t="n"/>
      <c r="B58" s="92" t="n"/>
      <c r="C58" s="92" t="n"/>
      <c r="D58" s="92" t="n"/>
      <c r="E58" s="92" t="n"/>
      <c r="F58" s="92" t="n"/>
      <c r="G58" s="92" t="n"/>
      <c r="H58" s="92" t="n"/>
      <c r="I58" s="92" t="n"/>
      <c r="J58" s="92" t="n"/>
      <c r="K58" s="92" t="n"/>
      <c r="L58" s="92" t="n"/>
      <c r="M58" s="92" t="n"/>
      <c r="N58" s="92" t="n"/>
      <c r="O58" s="92" t="n"/>
      <c r="P58" s="92" t="n"/>
      <c r="Q58" s="92" t="n"/>
      <c r="R58" s="92" t="n"/>
      <c r="S58" s="92" t="n"/>
      <c r="T58" s="92" t="n"/>
      <c r="U58" s="92" t="n"/>
      <c r="V58" s="92" t="n"/>
      <c r="W58" s="92" t="n"/>
      <c r="X58" s="92" t="n"/>
      <c r="Y58" s="92" t="n"/>
      <c r="Z58" s="92" t="n"/>
      <c r="AA58" s="92" t="n"/>
      <c r="AB58" s="92" t="n"/>
      <c r="AC58" s="92" t="n"/>
      <c r="AD58" s="92" t="n"/>
      <c r="AE58" s="92" t="n"/>
      <c r="AF58" s="92" t="n"/>
      <c r="AG58" s="92" t="n"/>
      <c r="AH58" s="92" t="n"/>
      <c r="AI58" s="92" t="n"/>
      <c r="AJ58" s="92" t="n"/>
      <c r="AK58" s="92" t="n"/>
      <c r="AL58" s="92" t="n"/>
      <c r="AM58" s="92" t="n"/>
      <c r="AN58" s="92" t="n"/>
      <c r="AO58" s="92" t="n"/>
      <c r="AP58" s="92" t="n"/>
      <c r="AQ58" s="92" t="n"/>
      <c r="AR58" s="92" t="n"/>
      <c r="AS58" s="92" t="n"/>
      <c r="AT58" s="92" t="n"/>
      <c r="AU58" s="92" t="n"/>
      <c r="AV58" s="92" t="n"/>
      <c r="AX58" s="139" t="n">
        <v>2015</v>
      </c>
      <c r="AY58" s="139" t="n">
        <v>1</v>
      </c>
      <c r="AZ58" s="92" t="n"/>
    </row>
    <row r="59" ht="16.5" customFormat="1" customHeight="1" s="56">
      <c r="A59" s="92" t="n"/>
      <c r="B59" s="92" t="n"/>
      <c r="C59" s="92" t="n"/>
      <c r="D59" s="92" t="n"/>
      <c r="E59" s="92" t="n"/>
      <c r="F59" s="92" t="n"/>
      <c r="G59" s="92" t="n"/>
      <c r="H59" s="92" t="n"/>
      <c r="I59" s="92" t="n"/>
      <c r="J59" s="92" t="n"/>
      <c r="K59" s="92" t="n"/>
      <c r="L59" s="92" t="n"/>
      <c r="M59" s="92" t="n"/>
      <c r="N59" s="92" t="n"/>
      <c r="O59" s="92" t="n"/>
      <c r="P59" s="92" t="n"/>
      <c r="Q59" s="92" t="n"/>
      <c r="R59" s="92" t="n"/>
      <c r="S59" s="92" t="n"/>
      <c r="T59" s="92" t="n"/>
      <c r="U59" s="92" t="n"/>
      <c r="V59" s="92" t="n"/>
      <c r="W59" s="92" t="n"/>
      <c r="X59" s="92" t="n"/>
      <c r="Y59" s="92" t="n"/>
      <c r="Z59" s="92" t="n"/>
      <c r="AA59" s="92" t="n"/>
      <c r="AB59" s="92" t="n"/>
      <c r="AC59" s="92" t="n"/>
      <c r="AD59" s="92" t="n"/>
      <c r="AE59" s="92" t="n"/>
      <c r="AF59" s="92" t="n"/>
      <c r="AG59" s="92" t="n"/>
      <c r="AH59" s="92" t="n"/>
      <c r="AI59" s="92" t="n"/>
      <c r="AJ59" s="92" t="n"/>
      <c r="AK59" s="92" t="n"/>
      <c r="AL59" s="92" t="n"/>
      <c r="AM59" s="92" t="n"/>
      <c r="AN59" s="92" t="n"/>
      <c r="AO59" s="92" t="n"/>
      <c r="AP59" s="92" t="n"/>
      <c r="AQ59" s="92" t="n"/>
      <c r="AR59" s="92" t="n"/>
      <c r="AS59" s="92" t="n"/>
      <c r="AT59" s="92" t="n"/>
      <c r="AU59" s="92" t="n"/>
      <c r="AV59" s="92" t="n"/>
      <c r="AX59" s="139" t="n">
        <v>2015</v>
      </c>
      <c r="AY59" s="139" t="n">
        <v>1</v>
      </c>
      <c r="AZ59" s="92" t="n"/>
    </row>
    <row r="60" ht="16.5" customFormat="1" customHeight="1" s="56">
      <c r="A60" s="92" t="n"/>
      <c r="B60" s="92" t="n"/>
      <c r="C60" s="92" t="n"/>
      <c r="D60" s="92" t="n"/>
      <c r="E60" s="92" t="n"/>
      <c r="F60" s="92" t="n"/>
      <c r="G60" s="92" t="n"/>
      <c r="H60" s="92" t="n"/>
      <c r="I60" s="92" t="n"/>
      <c r="J60" s="92" t="n"/>
      <c r="K60" s="92" t="n"/>
      <c r="L60" s="92" t="n"/>
      <c r="M60" s="92" t="n"/>
      <c r="N60" s="92" t="n"/>
      <c r="O60" s="92" t="n"/>
      <c r="P60" s="92" t="n"/>
      <c r="Q60" s="92" t="n"/>
      <c r="R60" s="92" t="n"/>
      <c r="S60" s="92" t="n"/>
      <c r="T60" s="92" t="n"/>
      <c r="U60" s="92" t="n"/>
      <c r="V60" s="92" t="n"/>
      <c r="W60" s="92" t="n"/>
      <c r="X60" s="92" t="n"/>
      <c r="Y60" s="92" t="n"/>
      <c r="Z60" s="92" t="n"/>
      <c r="AA60" s="92" t="n"/>
      <c r="AB60" s="92" t="n"/>
      <c r="AC60" s="92" t="n"/>
      <c r="AD60" s="92" t="n"/>
      <c r="AE60" s="92" t="n"/>
      <c r="AF60" s="92" t="n"/>
      <c r="AG60" s="92" t="n"/>
      <c r="AH60" s="92" t="n"/>
      <c r="AI60" s="92" t="n"/>
      <c r="AJ60" s="92" t="n"/>
      <c r="AK60" s="92" t="n"/>
      <c r="AL60" s="92" t="n"/>
      <c r="AM60" s="92" t="n"/>
      <c r="AN60" s="92" t="n"/>
      <c r="AO60" s="92" t="n"/>
      <c r="AP60" s="92" t="n"/>
      <c r="AQ60" s="92" t="n"/>
      <c r="AR60" s="92" t="n"/>
      <c r="AS60" s="92" t="n"/>
      <c r="AT60" s="92" t="n"/>
      <c r="AU60" s="92" t="n"/>
      <c r="AV60" s="92" t="n"/>
      <c r="AX60" s="139" t="n">
        <v>2015</v>
      </c>
      <c r="AY60" s="139" t="n">
        <v>1</v>
      </c>
      <c r="AZ60" s="92" t="n"/>
    </row>
    <row r="61" ht="16.5" customFormat="1" customHeight="1" s="56">
      <c r="A61" s="92" t="n"/>
      <c r="B61" s="92" t="n"/>
      <c r="C61" s="92" t="n"/>
      <c r="D61" s="92" t="n"/>
      <c r="E61" s="92" t="n"/>
      <c r="F61" s="92" t="n"/>
      <c r="G61" s="92" t="n"/>
      <c r="H61" s="92" t="n"/>
      <c r="I61" s="92" t="n"/>
      <c r="J61" s="92" t="n"/>
      <c r="K61" s="92" t="n"/>
      <c r="L61" s="92" t="n"/>
      <c r="M61" s="92" t="n"/>
      <c r="N61" s="92" t="n"/>
      <c r="O61" s="92" t="n"/>
      <c r="P61" s="92" t="n"/>
      <c r="Q61" s="92" t="n"/>
      <c r="R61" s="92" t="n"/>
      <c r="S61" s="92" t="n"/>
      <c r="T61" s="92" t="n"/>
      <c r="U61" s="92" t="n"/>
      <c r="V61" s="92" t="n"/>
      <c r="W61" s="92" t="n"/>
      <c r="X61" s="92" t="n"/>
      <c r="Y61" s="92" t="n"/>
      <c r="Z61" s="92" t="n"/>
      <c r="AA61" s="92" t="n"/>
      <c r="AB61" s="92" t="n"/>
      <c r="AC61" s="92" t="n"/>
      <c r="AD61" s="92" t="n"/>
      <c r="AE61" s="92" t="n"/>
      <c r="AF61" s="92" t="n"/>
      <c r="AG61" s="92" t="n"/>
      <c r="AH61" s="92" t="n"/>
      <c r="AI61" s="92" t="n"/>
      <c r="AJ61" s="92" t="n"/>
      <c r="AK61" s="92" t="n"/>
      <c r="AL61" s="92" t="n"/>
      <c r="AM61" s="92" t="n"/>
      <c r="AN61" s="92" t="n"/>
      <c r="AO61" s="92" t="n"/>
      <c r="AP61" s="92" t="n"/>
      <c r="AQ61" s="92" t="n"/>
      <c r="AR61" s="92" t="n"/>
      <c r="AS61" s="92" t="n"/>
      <c r="AT61" s="92" t="n"/>
      <c r="AU61" s="92" t="n"/>
      <c r="AV61" s="92" t="n"/>
      <c r="AX61" s="139" t="n">
        <v>2009</v>
      </c>
      <c r="AY61" s="139" t="n">
        <v>9</v>
      </c>
      <c r="AZ61" s="92" t="n"/>
    </row>
    <row r="62" ht="16.5" customFormat="1" customHeight="1" s="56">
      <c r="A62" s="92" t="n"/>
      <c r="B62" s="92" t="n"/>
      <c r="C62" s="92" t="n"/>
      <c r="D62" s="92" t="n"/>
      <c r="E62" s="92" t="n"/>
      <c r="F62" s="92" t="n"/>
      <c r="G62" s="92" t="n"/>
      <c r="H62" s="92" t="n"/>
      <c r="I62" s="92" t="n"/>
      <c r="J62" s="92" t="n"/>
      <c r="K62" s="92" t="n"/>
      <c r="L62" s="92" t="n"/>
      <c r="M62" s="92" t="n"/>
      <c r="N62" s="92" t="n"/>
      <c r="O62" s="92" t="n"/>
      <c r="P62" s="92" t="n"/>
      <c r="Q62" s="92" t="n"/>
      <c r="R62" s="92" t="n"/>
      <c r="S62" s="92" t="n"/>
      <c r="T62" s="92" t="n"/>
      <c r="U62" s="92" t="n"/>
      <c r="V62" s="92" t="n"/>
      <c r="W62" s="92" t="n"/>
      <c r="X62" s="92" t="n"/>
      <c r="Y62" s="92" t="n"/>
      <c r="Z62" s="92" t="n"/>
      <c r="AA62" s="92" t="n"/>
      <c r="AB62" s="92" t="n"/>
      <c r="AC62" s="92" t="n"/>
      <c r="AD62" s="92" t="n"/>
      <c r="AE62" s="92" t="n"/>
      <c r="AF62" s="92" t="n"/>
      <c r="AG62" s="92" t="n"/>
      <c r="AH62" s="92" t="n"/>
      <c r="AI62" s="92" t="n"/>
      <c r="AJ62" s="92" t="n"/>
      <c r="AK62" s="92" t="n"/>
      <c r="AL62" s="92" t="n"/>
      <c r="AM62" s="92" t="n"/>
      <c r="AN62" s="92" t="n"/>
      <c r="AO62" s="92" t="n"/>
      <c r="AP62" s="92" t="n"/>
      <c r="AQ62" s="92" t="n"/>
      <c r="AR62" s="92" t="n"/>
      <c r="AS62" s="92" t="n"/>
      <c r="AT62" s="92" t="n"/>
      <c r="AU62" s="92" t="n"/>
      <c r="AV62" s="92" t="n"/>
      <c r="AX62" s="139" t="n">
        <v>2009</v>
      </c>
      <c r="AY62" s="139" t="n">
        <v>9</v>
      </c>
      <c r="AZ62" s="92" t="n"/>
    </row>
    <row r="63" ht="16.5" customFormat="1" customHeight="1" s="56">
      <c r="A63" s="92" t="n"/>
      <c r="B63" s="92" t="n"/>
      <c r="C63" s="92" t="n"/>
      <c r="D63" s="92" t="n"/>
      <c r="E63" s="92" t="n"/>
      <c r="F63" s="92" t="n"/>
      <c r="G63" s="92" t="n"/>
      <c r="H63" s="92" t="n"/>
      <c r="I63" s="92" t="n"/>
      <c r="J63" s="92" t="n"/>
      <c r="K63" s="92" t="n"/>
      <c r="L63" s="92" t="n"/>
      <c r="M63" s="92" t="n"/>
      <c r="N63" s="92" t="n"/>
      <c r="O63" s="92" t="n"/>
      <c r="P63" s="92" t="n"/>
      <c r="Q63" s="92" t="n"/>
      <c r="R63" s="92" t="n"/>
      <c r="S63" s="92" t="n"/>
      <c r="T63" s="92" t="n"/>
      <c r="U63" s="92" t="n"/>
      <c r="V63" s="92" t="n"/>
      <c r="W63" s="92" t="n"/>
      <c r="X63" s="92" t="n"/>
      <c r="Y63" s="92" t="n"/>
      <c r="Z63" s="92" t="n"/>
      <c r="AA63" s="92" t="n"/>
      <c r="AB63" s="92" t="n"/>
      <c r="AC63" s="92" t="n"/>
      <c r="AD63" s="92" t="n"/>
      <c r="AE63" s="92" t="n"/>
      <c r="AF63" s="92" t="n"/>
      <c r="AG63" s="92" t="n"/>
      <c r="AH63" s="92" t="n"/>
      <c r="AI63" s="92" t="n"/>
      <c r="AJ63" s="92" t="n"/>
      <c r="AK63" s="92" t="n"/>
      <c r="AL63" s="92" t="n"/>
      <c r="AM63" s="92" t="n"/>
      <c r="AN63" s="92" t="n"/>
      <c r="AO63" s="92" t="n"/>
      <c r="AP63" s="92" t="n"/>
      <c r="AQ63" s="92" t="n"/>
      <c r="AR63" s="92" t="n"/>
      <c r="AS63" s="92" t="n"/>
      <c r="AT63" s="92" t="n"/>
      <c r="AU63" s="92" t="n"/>
      <c r="AV63" s="92" t="n"/>
      <c r="AX63" s="139" t="n">
        <v>2009</v>
      </c>
      <c r="AY63" s="139" t="n">
        <v>9</v>
      </c>
      <c r="AZ63" s="92" t="n"/>
    </row>
    <row r="64" ht="16.5" customFormat="1" customHeight="1" s="56">
      <c r="A64" s="92" t="n"/>
      <c r="B64" s="92" t="n"/>
      <c r="C64" s="92" t="n"/>
      <c r="D64" s="92" t="n"/>
      <c r="E64" s="92" t="n"/>
      <c r="F64" s="92" t="n"/>
      <c r="G64" s="92" t="n"/>
      <c r="H64" s="92" t="n"/>
      <c r="I64" s="92" t="n"/>
      <c r="J64" s="92" t="n"/>
      <c r="K64" s="92" t="n"/>
      <c r="L64" s="92" t="n"/>
      <c r="M64" s="92" t="n"/>
      <c r="N64" s="92" t="n"/>
      <c r="O64" s="92" t="n"/>
      <c r="P64" s="92" t="n"/>
      <c r="Q64" s="92" t="n"/>
      <c r="R64" s="92" t="n"/>
      <c r="S64" s="92" t="n"/>
      <c r="T64" s="92" t="n"/>
      <c r="U64" s="92" t="n"/>
      <c r="V64" s="92" t="n"/>
      <c r="W64" s="92" t="n"/>
      <c r="X64" s="92" t="n"/>
      <c r="Y64" s="92" t="n"/>
      <c r="Z64" s="92" t="n"/>
      <c r="AA64" s="92" t="n"/>
      <c r="AB64" s="92" t="n"/>
      <c r="AC64" s="92" t="n"/>
      <c r="AD64" s="92" t="n"/>
      <c r="AE64" s="92" t="n"/>
      <c r="AF64" s="92" t="n"/>
      <c r="AG64" s="92" t="n"/>
      <c r="AH64" s="92" t="n"/>
      <c r="AI64" s="92" t="n"/>
      <c r="AJ64" s="92" t="n"/>
      <c r="AK64" s="92" t="n"/>
      <c r="AL64" s="92" t="n"/>
      <c r="AM64" s="92" t="n"/>
      <c r="AN64" s="92" t="n"/>
      <c r="AO64" s="92" t="n"/>
      <c r="AP64" s="92" t="n"/>
      <c r="AQ64" s="92" t="n"/>
      <c r="AR64" s="92" t="n"/>
      <c r="AS64" s="92" t="n"/>
      <c r="AT64" s="92" t="n"/>
      <c r="AU64" s="92" t="n"/>
      <c r="AV64" s="92" t="n"/>
      <c r="AX64" s="139" t="n">
        <v>2009</v>
      </c>
      <c r="AY64" s="139" t="n">
        <v>9</v>
      </c>
      <c r="AZ64" s="92" t="n"/>
    </row>
    <row r="65" ht="16.5" customFormat="1" customHeight="1" s="56">
      <c r="A65" s="92" t="n"/>
      <c r="B65" s="92" t="n"/>
      <c r="C65" s="92" t="n"/>
      <c r="D65" s="92" t="n"/>
      <c r="E65" s="92" t="n"/>
      <c r="F65" s="92" t="n"/>
      <c r="G65" s="92" t="n"/>
      <c r="H65" s="92" t="n"/>
      <c r="I65" s="92" t="n"/>
      <c r="J65" s="92" t="n"/>
      <c r="K65" s="92" t="n"/>
      <c r="L65" s="92" t="n"/>
      <c r="M65" s="92" t="n"/>
      <c r="N65" s="92" t="n"/>
      <c r="O65" s="92" t="n"/>
      <c r="P65" s="92" t="n"/>
      <c r="Q65" s="92" t="n"/>
      <c r="R65" s="92" t="n"/>
      <c r="S65" s="92" t="n"/>
      <c r="T65" s="92" t="n"/>
      <c r="U65" s="92" t="n"/>
      <c r="V65" s="92" t="n"/>
      <c r="W65" s="92" t="n"/>
      <c r="X65" s="92" t="n"/>
      <c r="Y65" s="92" t="n"/>
      <c r="Z65" s="92" t="n"/>
      <c r="AA65" s="92" t="n"/>
      <c r="AB65" s="92" t="n"/>
      <c r="AC65" s="92" t="n"/>
      <c r="AD65" s="92" t="n"/>
      <c r="AE65" s="92" t="n"/>
      <c r="AF65" s="92" t="n"/>
      <c r="AG65" s="92" t="n"/>
      <c r="AH65" s="92" t="n"/>
      <c r="AI65" s="92" t="n"/>
      <c r="AJ65" s="92" t="n"/>
      <c r="AK65" s="92" t="n"/>
      <c r="AL65" s="92" t="n"/>
      <c r="AM65" s="92" t="n"/>
      <c r="AN65" s="92" t="n"/>
      <c r="AO65" s="92" t="n"/>
      <c r="AP65" s="92" t="n"/>
      <c r="AQ65" s="92" t="n"/>
      <c r="AR65" s="92" t="n"/>
      <c r="AS65" s="92" t="n"/>
      <c r="AT65" s="92" t="n"/>
      <c r="AU65" s="92" t="n"/>
      <c r="AV65" s="92" t="n"/>
      <c r="AX65" s="139" t="n">
        <v>2005</v>
      </c>
      <c r="AY65" s="139" t="n">
        <v>3</v>
      </c>
      <c r="AZ65" s="92" t="n"/>
    </row>
    <row r="66" ht="16.5" customFormat="1" customHeight="1" s="56">
      <c r="A66" s="92" t="n"/>
      <c r="B66" s="92" t="n"/>
      <c r="C66" s="92" t="n"/>
      <c r="D66" s="92" t="n"/>
      <c r="E66" s="92" t="n"/>
      <c r="F66" s="92" t="n"/>
      <c r="G66" s="92" t="n"/>
      <c r="H66" s="92" t="n"/>
      <c r="I66" s="92" t="n"/>
      <c r="J66" s="92" t="n"/>
      <c r="K66" s="92" t="n"/>
      <c r="L66" s="92" t="n"/>
      <c r="M66" s="92" t="n"/>
      <c r="N66" s="92" t="n"/>
      <c r="O66" s="92" t="n"/>
      <c r="P66" s="92" t="n"/>
      <c r="Q66" s="92" t="n"/>
      <c r="R66" s="92" t="n"/>
      <c r="S66" s="92" t="n"/>
      <c r="T66" s="92" t="n"/>
      <c r="U66" s="92" t="n"/>
      <c r="V66" s="92" t="n"/>
      <c r="W66" s="92" t="n"/>
      <c r="X66" s="92" t="n"/>
      <c r="Y66" s="92" t="n"/>
      <c r="Z66" s="92" t="n"/>
      <c r="AA66" s="92" t="n"/>
      <c r="AB66" s="92" t="n"/>
      <c r="AC66" s="92" t="n"/>
      <c r="AD66" s="92" t="n"/>
      <c r="AE66" s="92" t="n"/>
      <c r="AF66" s="92" t="n"/>
      <c r="AG66" s="92" t="n"/>
      <c r="AH66" s="92" t="n"/>
      <c r="AI66" s="92" t="n"/>
      <c r="AJ66" s="92" t="n"/>
      <c r="AK66" s="92" t="n"/>
      <c r="AL66" s="92" t="n"/>
      <c r="AM66" s="92" t="n"/>
      <c r="AN66" s="92" t="n"/>
      <c r="AO66" s="92" t="n"/>
      <c r="AP66" s="92" t="n"/>
      <c r="AQ66" s="92" t="n"/>
      <c r="AR66" s="92" t="n"/>
      <c r="AS66" s="92" t="n"/>
      <c r="AT66" s="92" t="n"/>
      <c r="AU66" s="92" t="n"/>
      <c r="AV66" s="92" t="n"/>
      <c r="AX66" s="139" t="n">
        <v>2005</v>
      </c>
      <c r="AY66" s="139" t="n">
        <v>3</v>
      </c>
      <c r="AZ66" s="92" t="n"/>
    </row>
    <row r="67" ht="16.5" customFormat="1" customHeight="1" s="56">
      <c r="A67" s="92" t="n"/>
      <c r="B67" s="92" t="n"/>
      <c r="C67" s="92" t="n"/>
      <c r="D67" s="92" t="n"/>
      <c r="E67" s="92" t="n"/>
      <c r="F67" s="92" t="n"/>
      <c r="G67" s="92" t="n"/>
      <c r="H67" s="92" t="n"/>
      <c r="I67" s="92" t="n"/>
      <c r="J67" s="92" t="n"/>
      <c r="K67" s="92" t="n"/>
      <c r="L67" s="92" t="n"/>
      <c r="M67" s="92" t="n"/>
      <c r="N67" s="92" t="n"/>
      <c r="O67" s="92" t="n"/>
      <c r="P67" s="92" t="n"/>
      <c r="Q67" s="92" t="n"/>
      <c r="R67" s="92" t="n"/>
      <c r="S67" s="92" t="n"/>
      <c r="T67" s="92" t="n"/>
      <c r="U67" s="92" t="n"/>
      <c r="V67" s="92" t="n"/>
      <c r="W67" s="92" t="n"/>
      <c r="X67" s="92" t="n"/>
      <c r="Y67" s="92" t="n"/>
      <c r="Z67" s="92" t="n"/>
      <c r="AA67" s="92" t="n"/>
      <c r="AB67" s="92" t="n"/>
      <c r="AC67" s="92" t="n"/>
      <c r="AD67" s="92" t="n"/>
      <c r="AE67" s="92" t="n"/>
      <c r="AF67" s="92" t="n"/>
      <c r="AG67" s="92" t="n"/>
      <c r="AH67" s="92" t="n"/>
      <c r="AI67" s="92" t="n"/>
      <c r="AJ67" s="92" t="n"/>
      <c r="AK67" s="92" t="n"/>
      <c r="AL67" s="92" t="n"/>
      <c r="AM67" s="92" t="n"/>
      <c r="AN67" s="92" t="n"/>
      <c r="AO67" s="92" t="n"/>
      <c r="AP67" s="92" t="n"/>
      <c r="AQ67" s="92" t="n"/>
      <c r="AR67" s="92" t="n"/>
      <c r="AS67" s="92" t="n"/>
      <c r="AT67" s="92" t="n"/>
      <c r="AU67" s="92" t="n"/>
      <c r="AV67" s="92" t="n"/>
      <c r="AX67" s="139" t="n">
        <v>2005</v>
      </c>
      <c r="AY67" s="139" t="n">
        <v>3</v>
      </c>
      <c r="AZ67" s="92" t="n"/>
    </row>
    <row r="68" ht="16.5" customFormat="1" customHeight="1" s="56">
      <c r="A68" s="92" t="n"/>
      <c r="B68" s="92" t="n"/>
      <c r="C68" s="92" t="n"/>
      <c r="D68" s="92" t="n"/>
      <c r="E68" s="92" t="n"/>
      <c r="F68" s="92" t="n"/>
      <c r="G68" s="92" t="n"/>
      <c r="H68" s="92" t="n"/>
      <c r="I68" s="92" t="n"/>
      <c r="J68" s="92" t="n"/>
      <c r="K68" s="92" t="n"/>
      <c r="L68" s="92" t="n"/>
      <c r="M68" s="92" t="n"/>
      <c r="N68" s="92" t="n"/>
      <c r="O68" s="92" t="n"/>
      <c r="P68" s="92" t="n"/>
      <c r="Q68" s="92" t="n"/>
      <c r="R68" s="92" t="n"/>
      <c r="S68" s="92" t="n"/>
      <c r="T68" s="92" t="n"/>
      <c r="U68" s="92" t="n"/>
      <c r="V68" s="92" t="n"/>
      <c r="W68" s="92" t="n"/>
      <c r="X68" s="92" t="n"/>
      <c r="Y68" s="92" t="n"/>
      <c r="Z68" s="92" t="n"/>
      <c r="AA68" s="92" t="n"/>
      <c r="AB68" s="92" t="n"/>
      <c r="AC68" s="92" t="n"/>
      <c r="AD68" s="92" t="n"/>
      <c r="AE68" s="92" t="n"/>
      <c r="AF68" s="92" t="n"/>
      <c r="AG68" s="92" t="n"/>
      <c r="AH68" s="92" t="n"/>
      <c r="AI68" s="92" t="n"/>
      <c r="AJ68" s="92" t="n"/>
      <c r="AK68" s="92" t="n"/>
      <c r="AL68" s="92" t="n"/>
      <c r="AM68" s="92" t="n"/>
      <c r="AN68" s="92" t="n"/>
      <c r="AO68" s="92" t="n"/>
      <c r="AP68" s="92" t="n"/>
      <c r="AQ68" s="92" t="n"/>
      <c r="AR68" s="92" t="n"/>
      <c r="AS68" s="92" t="n"/>
      <c r="AT68" s="92" t="n"/>
      <c r="AU68" s="92" t="n"/>
      <c r="AV68" s="92" t="n"/>
      <c r="AX68" s="139" t="n">
        <v>1994</v>
      </c>
      <c r="AY68" s="139" t="n">
        <v>5</v>
      </c>
      <c r="AZ68" s="139" t="n"/>
      <c r="BA68" s="113" t="inlineStr">
        <is>
          <t>20평대</t>
        </is>
      </c>
      <c r="BB68" s="140" t="n">
        <v>0</v>
      </c>
      <c r="BC68" s="140" t="n">
        <v>0</v>
      </c>
      <c r="BD68" s="140" t="n">
        <v>0</v>
      </c>
      <c r="BE68" s="140" t="n">
        <v>0</v>
      </c>
      <c r="BF68" s="140" t="n">
        <v>0</v>
      </c>
    </row>
    <row r="69" ht="16.5" customFormat="1" customHeight="1" s="56">
      <c r="A69" s="92" t="n"/>
      <c r="B69" s="92" t="n"/>
      <c r="C69" s="92" t="n"/>
      <c r="D69" s="92" t="n"/>
      <c r="E69" s="92" t="n"/>
      <c r="F69" s="92" t="n"/>
      <c r="G69" s="92" t="n"/>
      <c r="H69" s="92" t="n"/>
      <c r="I69" s="92" t="n"/>
      <c r="J69" s="92" t="n"/>
      <c r="K69" s="92" t="n"/>
      <c r="L69" s="92" t="n"/>
      <c r="M69" s="92" t="n"/>
      <c r="N69" s="92" t="n"/>
      <c r="O69" s="92" t="n"/>
      <c r="P69" s="92" t="n"/>
      <c r="Q69" s="92" t="n"/>
      <c r="R69" s="92" t="n"/>
      <c r="S69" s="92" t="n"/>
      <c r="T69" s="92" t="n"/>
      <c r="U69" s="92" t="n"/>
      <c r="V69" s="92" t="n"/>
      <c r="W69" s="92" t="n"/>
      <c r="X69" s="92" t="n"/>
      <c r="Y69" s="92" t="n"/>
      <c r="Z69" s="92" t="n"/>
      <c r="AA69" s="92" t="n"/>
      <c r="AB69" s="92" t="n"/>
      <c r="AC69" s="92" t="n"/>
      <c r="AD69" s="92" t="n"/>
      <c r="AE69" s="92" t="n"/>
      <c r="AF69" s="92" t="n"/>
      <c r="AG69" s="92" t="n"/>
      <c r="AH69" s="92" t="n"/>
      <c r="AI69" s="92" t="n"/>
      <c r="AJ69" s="92" t="n"/>
      <c r="AK69" s="92" t="n"/>
      <c r="AL69" s="92" t="n"/>
      <c r="AM69" s="92" t="n"/>
      <c r="AN69" s="92" t="n"/>
      <c r="AO69" s="92" t="n"/>
      <c r="AP69" s="92" t="n"/>
      <c r="AQ69" s="92" t="n"/>
      <c r="AR69" s="92" t="n"/>
      <c r="AS69" s="92" t="n"/>
      <c r="AT69" s="92" t="n"/>
      <c r="AU69" s="92" t="n"/>
      <c r="AV69" s="92" t="n"/>
      <c r="AX69" s="139" t="n">
        <v>1994</v>
      </c>
      <c r="AY69" s="139" t="n">
        <v>5</v>
      </c>
      <c r="AZ69" s="139" t="n"/>
      <c r="BA69" s="113" t="inlineStr">
        <is>
          <t>30평대</t>
        </is>
      </c>
      <c r="BB69" s="140" t="n">
        <v>0</v>
      </c>
      <c r="BC69" s="140" t="n">
        <v>0</v>
      </c>
      <c r="BD69" s="140" t="n">
        <v>0</v>
      </c>
      <c r="BE69" s="140" t="n">
        <v>0</v>
      </c>
      <c r="BF69" s="140" t="n">
        <v>0</v>
      </c>
    </row>
    <row r="70" ht="16.5" customFormat="1" customHeight="1" s="56">
      <c r="A70" s="92" t="n"/>
      <c r="B70" s="92" t="n"/>
      <c r="C70" s="92" t="n"/>
      <c r="D70" s="92" t="n"/>
      <c r="E70" s="92" t="n"/>
      <c r="F70" s="92" t="n"/>
      <c r="G70" s="92" t="n"/>
      <c r="H70" s="92" t="n"/>
      <c r="I70" s="92" t="n"/>
      <c r="J70" s="92" t="n"/>
      <c r="K70" s="92" t="n"/>
      <c r="L70" s="92" t="n"/>
      <c r="M70" s="92" t="n"/>
      <c r="N70" s="92" t="n"/>
      <c r="O70" s="92" t="n"/>
      <c r="P70" s="92" t="n"/>
      <c r="Q70" s="92" t="n"/>
      <c r="R70" s="92" t="n"/>
      <c r="S70" s="92" t="n"/>
      <c r="T70" s="92" t="n"/>
      <c r="U70" s="92" t="n"/>
      <c r="V70" s="92" t="n"/>
      <c r="W70" s="92" t="n"/>
      <c r="X70" s="92" t="n"/>
      <c r="Y70" s="92" t="n"/>
      <c r="Z70" s="92" t="n"/>
      <c r="AA70" s="92" t="n"/>
      <c r="AB70" s="92" t="n"/>
      <c r="AC70" s="92" t="n"/>
      <c r="AD70" s="92" t="n"/>
      <c r="AE70" s="92" t="n"/>
      <c r="AF70" s="92" t="n"/>
      <c r="AG70" s="92" t="n"/>
      <c r="AH70" s="92" t="n"/>
      <c r="AI70" s="92" t="n"/>
      <c r="AJ70" s="92" t="n"/>
      <c r="AK70" s="92" t="n"/>
      <c r="AL70" s="92" t="n"/>
      <c r="AM70" s="92" t="n"/>
      <c r="AN70" s="92" t="n"/>
      <c r="AO70" s="92" t="n"/>
      <c r="AP70" s="92" t="n"/>
      <c r="AQ70" s="92" t="n"/>
      <c r="AR70" s="92" t="n"/>
      <c r="AS70" s="92" t="n"/>
      <c r="AT70" s="92" t="n"/>
      <c r="AU70" s="92" t="n"/>
      <c r="AV70" s="92" t="n"/>
      <c r="AX70" s="139" t="n">
        <v>1994</v>
      </c>
      <c r="AY70" s="139" t="n">
        <v>5</v>
      </c>
      <c r="AZ70" s="139" t="n"/>
      <c r="BA70" s="115" t="inlineStr">
        <is>
          <t>40평대↑</t>
        </is>
      </c>
      <c r="BB70" s="141" t="n">
        <v>0</v>
      </c>
      <c r="BC70" s="141" t="n">
        <v>0</v>
      </c>
      <c r="BD70" s="141" t="n">
        <v>0</v>
      </c>
      <c r="BE70" s="141" t="n">
        <v>0</v>
      </c>
      <c r="BF70" s="141" t="n">
        <v>0</v>
      </c>
    </row>
    <row r="71" ht="16.5" customFormat="1" customHeight="1" s="56">
      <c r="A71" s="92" t="n"/>
      <c r="B71" s="92" t="n"/>
      <c r="C71" s="92" t="n"/>
      <c r="D71" s="92" t="n"/>
      <c r="E71" s="92" t="n"/>
      <c r="F71" s="92" t="n"/>
      <c r="G71" s="92" t="n"/>
      <c r="H71" s="92" t="n"/>
      <c r="I71" s="92" t="n"/>
      <c r="J71" s="92" t="n"/>
      <c r="K71" s="92" t="n"/>
      <c r="L71" s="92" t="n"/>
      <c r="M71" s="92" t="n"/>
      <c r="N71" s="92" t="n"/>
      <c r="O71" s="92" t="n"/>
      <c r="P71" s="92" t="n"/>
      <c r="Q71" s="92" t="n"/>
      <c r="R71" s="92" t="n"/>
      <c r="S71" s="92" t="n"/>
      <c r="T71" s="92" t="n"/>
      <c r="U71" s="92" t="n"/>
      <c r="V71" s="92" t="n"/>
      <c r="W71" s="92" t="n"/>
      <c r="X71" s="92" t="n"/>
      <c r="Y71" s="92" t="n"/>
      <c r="Z71" s="92" t="n"/>
      <c r="AA71" s="92" t="n"/>
      <c r="AB71" s="92" t="n"/>
      <c r="AC71" s="92" t="n"/>
      <c r="AD71" s="92" t="n"/>
      <c r="AE71" s="92" t="n"/>
      <c r="AF71" s="92" t="n"/>
      <c r="AG71" s="92" t="n"/>
      <c r="AH71" s="92" t="n"/>
      <c r="AI71" s="92" t="n"/>
      <c r="AJ71" s="92" t="n"/>
      <c r="AK71" s="92" t="n"/>
      <c r="AL71" s="92" t="n"/>
      <c r="AM71" s="92" t="n"/>
      <c r="AN71" s="92" t="n"/>
      <c r="AO71" s="92" t="n"/>
      <c r="AP71" s="92" t="n"/>
      <c r="AQ71" s="92" t="n"/>
      <c r="AR71" s="92" t="n"/>
      <c r="AS71" s="92" t="n"/>
      <c r="AT71" s="92" t="n"/>
      <c r="AU71" s="92" t="n"/>
      <c r="AV71" s="92" t="n"/>
      <c r="AX71" s="139" t="n">
        <v>1995</v>
      </c>
      <c r="AY71" s="139" t="n">
        <v>8</v>
      </c>
      <c r="AZ71" s="139" t="n"/>
      <c r="BA71" s="3" t="n"/>
    </row>
    <row r="72" ht="16.5" customFormat="1" customHeight="1" s="56">
      <c r="A72" s="92" t="n"/>
      <c r="B72" s="92" t="n"/>
      <c r="C72" s="92" t="n"/>
      <c r="D72" s="92" t="n"/>
      <c r="E72" s="92" t="n"/>
      <c r="F72" s="92" t="n"/>
      <c r="G72" s="92" t="n"/>
      <c r="H72" s="92" t="n"/>
      <c r="I72" s="92" t="n"/>
      <c r="J72" s="92" t="n"/>
      <c r="K72" s="92" t="n"/>
      <c r="L72" s="92" t="n"/>
      <c r="M72" s="92" t="n"/>
      <c r="N72" s="92" t="n"/>
      <c r="O72" s="92" t="n"/>
      <c r="P72" s="92" t="n"/>
      <c r="Q72" s="92" t="n"/>
      <c r="R72" s="92" t="n"/>
      <c r="S72" s="92" t="n"/>
      <c r="T72" s="92" t="n"/>
      <c r="U72" s="92" t="n"/>
      <c r="V72" s="92" t="n"/>
      <c r="W72" s="92" t="n"/>
      <c r="X72" s="92" t="n"/>
      <c r="Y72" s="92" t="n"/>
      <c r="Z72" s="92" t="n"/>
      <c r="AA72" s="92" t="n"/>
      <c r="AB72" s="92" t="n"/>
      <c r="AC72" s="92" t="n"/>
      <c r="AD72" s="92" t="n"/>
      <c r="AE72" s="92" t="n"/>
      <c r="AF72" s="92" t="n"/>
      <c r="AG72" s="92" t="n"/>
      <c r="AH72" s="92" t="n"/>
      <c r="AI72" s="92" t="n"/>
      <c r="AJ72" s="92" t="n"/>
      <c r="AK72" s="92" t="n"/>
      <c r="AL72" s="92" t="n"/>
      <c r="AM72" s="92" t="n"/>
      <c r="AN72" s="92" t="n"/>
      <c r="AO72" s="92" t="n"/>
      <c r="AP72" s="92" t="n"/>
      <c r="AQ72" s="92" t="n"/>
      <c r="AR72" s="92" t="n"/>
      <c r="AS72" s="92" t="n"/>
      <c r="AT72" s="92" t="n"/>
      <c r="AU72" s="92" t="n"/>
      <c r="AV72" s="92" t="n"/>
      <c r="AX72" s="139" t="n">
        <v>1995</v>
      </c>
      <c r="AY72" s="139" t="n">
        <v>8</v>
      </c>
      <c r="AZ72" s="139" t="n"/>
      <c r="BA72" s="113" t="n"/>
      <c r="BB72" s="113" t="inlineStr">
        <is>
          <t>10년 이하</t>
        </is>
      </c>
      <c r="BC72" s="113" t="inlineStr">
        <is>
          <t>10~20년</t>
        </is>
      </c>
      <c r="BD72" s="113" t="inlineStr">
        <is>
          <t>20~30년</t>
        </is>
      </c>
      <c r="BE72" s="113" t="inlineStr">
        <is>
          <t>30년 이상</t>
        </is>
      </c>
      <c r="BF72" s="113" t="inlineStr">
        <is>
          <t>합계</t>
        </is>
      </c>
    </row>
    <row r="73" ht="16.5" customFormat="1" customHeight="1" s="56">
      <c r="A73" s="92" t="n"/>
      <c r="B73" s="92" t="n"/>
      <c r="C73" s="92" t="n"/>
      <c r="D73" s="92" t="n"/>
      <c r="E73" s="92" t="n"/>
      <c r="F73" s="92" t="n"/>
      <c r="G73" s="92" t="n"/>
      <c r="H73" s="92" t="n"/>
      <c r="I73" s="92" t="n"/>
      <c r="J73" s="92" t="n"/>
      <c r="K73" s="92" t="n"/>
      <c r="L73" s="92" t="n"/>
      <c r="M73" s="92" t="n"/>
      <c r="N73" s="92" t="n"/>
      <c r="O73" s="92" t="n"/>
      <c r="P73" s="92" t="n"/>
      <c r="Q73" s="92" t="n"/>
      <c r="R73" s="92" t="n"/>
      <c r="S73" s="92" t="n"/>
      <c r="T73" s="92" t="n"/>
      <c r="U73" s="92" t="n"/>
      <c r="V73" s="92" t="n"/>
      <c r="W73" s="92" t="n"/>
      <c r="X73" s="92" t="n"/>
      <c r="Y73" s="92" t="n"/>
      <c r="Z73" s="92" t="n"/>
      <c r="AA73" s="92" t="n"/>
      <c r="AB73" s="92" t="n"/>
      <c r="AC73" s="92" t="n"/>
      <c r="AD73" s="92" t="n"/>
      <c r="AE73" s="92" t="n"/>
      <c r="AF73" s="92" t="n"/>
      <c r="AG73" s="92" t="n"/>
      <c r="AH73" s="92" t="n"/>
      <c r="AI73" s="92" t="n"/>
      <c r="AJ73" s="92" t="n"/>
      <c r="AK73" s="92" t="n"/>
      <c r="AL73" s="92" t="n"/>
      <c r="AM73" s="92" t="n"/>
      <c r="AN73" s="92" t="n"/>
      <c r="AO73" s="92" t="n"/>
      <c r="AP73" s="92" t="n"/>
      <c r="AQ73" s="92" t="n"/>
      <c r="AR73" s="92" t="n"/>
      <c r="AS73" s="92" t="n"/>
      <c r="AT73" s="92" t="n"/>
      <c r="AU73" s="92" t="n"/>
      <c r="AV73" s="92" t="n"/>
      <c r="AX73" s="139" t="n">
        <v>1994</v>
      </c>
      <c r="AY73" s="139" t="n">
        <v>12</v>
      </c>
      <c r="BA73" s="113" t="inlineStr">
        <is>
          <t>20평대</t>
        </is>
      </c>
      <c r="BB73" s="142" t="e">
        <v>#DIV/0!</v>
      </c>
      <c r="BC73" s="142" t="e">
        <v>#DIV/0!</v>
      </c>
      <c r="BD73" s="142" t="e">
        <v>#DIV/0!</v>
      </c>
      <c r="BE73" s="142" t="e">
        <v>#DIV/0!</v>
      </c>
      <c r="BF73" s="142" t="e">
        <v>#DIV/0!</v>
      </c>
    </row>
    <row r="74" ht="16.5" customFormat="1" customHeight="1" s="56">
      <c r="A74" s="92" t="n"/>
      <c r="B74" s="92" t="n"/>
      <c r="C74" s="92" t="n"/>
      <c r="D74" s="92" t="n"/>
      <c r="E74" s="92" t="n"/>
      <c r="F74" s="92" t="n"/>
      <c r="G74" s="92" t="n"/>
      <c r="H74" s="92" t="n"/>
      <c r="I74" s="92" t="n"/>
      <c r="J74" s="92" t="n"/>
      <c r="K74" s="92" t="n"/>
      <c r="L74" s="92" t="n"/>
      <c r="M74" s="92" t="n"/>
      <c r="N74" s="92" t="n"/>
      <c r="O74" s="92" t="n"/>
      <c r="P74" s="92" t="n"/>
      <c r="Q74" s="92" t="n"/>
      <c r="R74" s="92" t="n"/>
      <c r="S74" s="92" t="n"/>
      <c r="T74" s="92" t="n"/>
      <c r="U74" s="92" t="n"/>
      <c r="V74" s="92" t="n"/>
      <c r="W74" s="92" t="n"/>
      <c r="X74" s="92" t="n"/>
      <c r="Y74" s="92" t="n"/>
      <c r="Z74" s="92" t="n"/>
      <c r="AA74" s="92" t="n"/>
      <c r="AB74" s="92" t="n"/>
      <c r="AC74" s="92" t="n"/>
      <c r="AD74" s="92" t="n"/>
      <c r="AE74" s="92" t="n"/>
      <c r="AF74" s="92" t="n"/>
      <c r="AG74" s="92" t="n"/>
      <c r="AH74" s="92" t="n"/>
      <c r="AI74" s="92" t="n"/>
      <c r="AJ74" s="92" t="n"/>
      <c r="AK74" s="92" t="n"/>
      <c r="AL74" s="92" t="n"/>
      <c r="AM74" s="92" t="n"/>
      <c r="AN74" s="92" t="n"/>
      <c r="AO74" s="92" t="n"/>
      <c r="AP74" s="92" t="n"/>
      <c r="AQ74" s="92" t="n"/>
      <c r="AR74" s="92" t="n"/>
      <c r="AS74" s="92" t="n"/>
      <c r="AT74" s="92" t="n"/>
      <c r="AU74" s="92" t="n"/>
      <c r="AV74" s="92" t="n"/>
      <c r="AX74" s="139" t="n">
        <v>1993</v>
      </c>
      <c r="AY74" s="139" t="n">
        <v>6</v>
      </c>
      <c r="BA74" s="115" t="inlineStr">
        <is>
          <t>40평대↑</t>
        </is>
      </c>
      <c r="BB74" s="143" t="e">
        <v>#DIV/0!</v>
      </c>
      <c r="BC74" s="143" t="e">
        <v>#DIV/0!</v>
      </c>
      <c r="BD74" s="143" t="e">
        <v>#DIV/0!</v>
      </c>
      <c r="BE74" s="143" t="e">
        <v>#DIV/0!</v>
      </c>
      <c r="BF74" s="143" t="e">
        <v>#DIV/0!</v>
      </c>
    </row>
    <row r="75" ht="16.5" customFormat="1" customHeight="1" s="56">
      <c r="A75" s="92" t="n"/>
      <c r="B75" s="92" t="n"/>
      <c r="C75" s="92" t="n"/>
      <c r="D75" s="92" t="n"/>
      <c r="E75" s="92" t="n"/>
      <c r="F75" s="92" t="n"/>
      <c r="G75" s="92" t="n"/>
      <c r="H75" s="92" t="n"/>
      <c r="I75" s="92" t="n"/>
      <c r="J75" s="92" t="n"/>
      <c r="K75" s="92" t="n"/>
      <c r="L75" s="92" t="n"/>
      <c r="M75" s="92" t="n"/>
      <c r="N75" s="92" t="n"/>
      <c r="O75" s="92" t="n"/>
      <c r="P75" s="92" t="n"/>
      <c r="Q75" s="92" t="n"/>
      <c r="R75" s="92" t="n"/>
      <c r="S75" s="92" t="n"/>
      <c r="T75" s="92" t="n"/>
      <c r="U75" s="92" t="n"/>
      <c r="V75" s="92" t="n"/>
      <c r="W75" s="92" t="n"/>
      <c r="X75" s="92" t="n"/>
      <c r="Y75" s="92" t="n"/>
      <c r="Z75" s="92" t="n"/>
      <c r="AA75" s="92" t="n"/>
      <c r="AB75" s="92" t="n"/>
      <c r="AC75" s="92" t="n"/>
      <c r="AD75" s="92" t="n"/>
      <c r="AE75" s="92" t="n"/>
      <c r="AF75" s="92" t="n"/>
      <c r="AG75" s="92" t="n"/>
      <c r="AH75" s="92" t="n"/>
      <c r="AI75" s="92" t="n"/>
      <c r="AJ75" s="92" t="n"/>
      <c r="AK75" s="92" t="n"/>
      <c r="AL75" s="92" t="n"/>
      <c r="AM75" s="92" t="n"/>
      <c r="AN75" s="92" t="n"/>
      <c r="AO75" s="92" t="n"/>
      <c r="AP75" s="92" t="n"/>
      <c r="AQ75" s="92" t="n"/>
      <c r="AR75" s="92" t="n"/>
      <c r="AS75" s="92" t="n"/>
      <c r="AT75" s="92" t="n"/>
      <c r="AU75" s="92" t="n"/>
      <c r="AV75" s="92" t="n"/>
      <c r="AX75" s="139" t="n">
        <v>1993</v>
      </c>
      <c r="AY75" s="139" t="n">
        <v>6</v>
      </c>
      <c r="BA75" s="113" t="inlineStr">
        <is>
          <t>합계</t>
        </is>
      </c>
      <c r="BB75" s="142" t="e">
        <v>#DIV/0!</v>
      </c>
      <c r="BC75" s="142" t="e">
        <v>#DIV/0!</v>
      </c>
      <c r="BD75" s="142" t="e">
        <v>#DIV/0!</v>
      </c>
      <c r="BE75" s="142" t="e">
        <v>#DIV/0!</v>
      </c>
      <c r="BF75" s="142" t="e">
        <v>#DIV/0!</v>
      </c>
    </row>
    <row r="76" ht="16.5" customFormat="1" customHeight="1" s="56">
      <c r="A76" s="92" t="n"/>
      <c r="B76" s="92" t="n"/>
      <c r="C76" s="92" t="n"/>
      <c r="D76" s="92" t="n"/>
      <c r="E76" s="92" t="n"/>
      <c r="F76" s="92" t="n"/>
      <c r="G76" s="92" t="n"/>
      <c r="H76" s="92" t="n"/>
      <c r="I76" s="92" t="n"/>
      <c r="J76" s="92" t="n"/>
      <c r="K76" s="92" t="n"/>
      <c r="L76" s="92" t="n"/>
      <c r="M76" s="92" t="n"/>
      <c r="N76" s="92" t="n"/>
      <c r="O76" s="92" t="n"/>
      <c r="P76" s="92" t="n"/>
      <c r="Q76" s="92" t="n"/>
      <c r="R76" s="92" t="n"/>
      <c r="S76" s="92" t="n"/>
      <c r="T76" s="92" t="n"/>
      <c r="U76" s="92" t="n"/>
      <c r="V76" s="92" t="n"/>
      <c r="W76" s="92" t="n"/>
      <c r="X76" s="92" t="n"/>
      <c r="Y76" s="92" t="n"/>
      <c r="Z76" s="92" t="n"/>
      <c r="AA76" s="92" t="n"/>
      <c r="AB76" s="92" t="n"/>
      <c r="AC76" s="92" t="n"/>
      <c r="AD76" s="92" t="n"/>
      <c r="AE76" s="92" t="n"/>
      <c r="AF76" s="92" t="n"/>
      <c r="AG76" s="92" t="n"/>
      <c r="AH76" s="92" t="n"/>
      <c r="AI76" s="92" t="n"/>
      <c r="AJ76" s="92" t="n"/>
      <c r="AK76" s="92" t="n"/>
      <c r="AL76" s="92" t="n"/>
      <c r="AM76" s="92" t="n"/>
      <c r="AN76" s="92" t="n"/>
      <c r="AO76" s="92" t="n"/>
      <c r="AP76" s="92" t="n"/>
      <c r="AQ76" s="92" t="n"/>
      <c r="AR76" s="92" t="n"/>
      <c r="AS76" s="92" t="n"/>
      <c r="AT76" s="92" t="n"/>
      <c r="AU76" s="92" t="n"/>
      <c r="AV76" s="92" t="n"/>
      <c r="AX76" s="139" t="n">
        <v>2019</v>
      </c>
      <c r="AY76" s="139" t="n">
        <v>3</v>
      </c>
    </row>
    <row r="77" ht="16.5" customFormat="1" customHeight="1" s="56">
      <c r="A77" s="92" t="n"/>
      <c r="B77" s="92" t="n"/>
      <c r="C77" s="92" t="n"/>
      <c r="D77" s="92" t="n"/>
      <c r="E77" s="92" t="n"/>
      <c r="F77" s="92" t="n"/>
      <c r="G77" s="92" t="n"/>
      <c r="H77" s="92" t="n"/>
      <c r="I77" s="92" t="n"/>
      <c r="J77" s="92" t="n"/>
      <c r="K77" s="92" t="n"/>
      <c r="L77" s="92" t="n"/>
      <c r="M77" s="92" t="n"/>
      <c r="N77" s="92" t="n"/>
      <c r="O77" s="92" t="n"/>
      <c r="P77" s="92" t="n"/>
      <c r="Q77" s="92" t="n"/>
      <c r="R77" s="92" t="n"/>
      <c r="S77" s="92" t="n"/>
      <c r="T77" s="92" t="n"/>
      <c r="U77" s="92" t="n"/>
      <c r="V77" s="92" t="n"/>
      <c r="W77" s="92" t="n"/>
      <c r="X77" s="92" t="n"/>
      <c r="Y77" s="92" t="n"/>
      <c r="Z77" s="92" t="n"/>
      <c r="AA77" s="92" t="n"/>
      <c r="AB77" s="92" t="n"/>
      <c r="AC77" s="92" t="n"/>
      <c r="AD77" s="92" t="n"/>
      <c r="AE77" s="92" t="n"/>
      <c r="AF77" s="92" t="n"/>
      <c r="AG77" s="92" t="n"/>
      <c r="AH77" s="92" t="n"/>
      <c r="AI77" s="92" t="n"/>
      <c r="AJ77" s="92" t="n"/>
      <c r="AK77" s="92" t="n"/>
      <c r="AL77" s="92" t="n"/>
      <c r="AM77" s="92" t="n"/>
      <c r="AN77" s="92" t="n"/>
      <c r="AO77" s="92" t="n"/>
      <c r="AP77" s="92" t="n"/>
      <c r="AQ77" s="92" t="n"/>
      <c r="AR77" s="92" t="n"/>
      <c r="AS77" s="92" t="n"/>
      <c r="AT77" s="92" t="n"/>
      <c r="AU77" s="92" t="n"/>
      <c r="AV77" s="92" t="n"/>
      <c r="AX77" s="139" t="n">
        <v>2019</v>
      </c>
      <c r="AY77" s="139" t="n">
        <v>3</v>
      </c>
    </row>
    <row r="78" ht="16.5" customFormat="1" customHeight="1" s="56">
      <c r="A78" s="92" t="n"/>
      <c r="B78" s="92" t="n"/>
      <c r="C78" s="92" t="n"/>
      <c r="D78" s="92" t="n"/>
      <c r="E78" s="92" t="n"/>
      <c r="F78" s="92" t="n"/>
      <c r="G78" s="92" t="n"/>
      <c r="H78" s="92" t="n"/>
      <c r="I78" s="92" t="n"/>
      <c r="J78" s="92" t="n"/>
      <c r="K78" s="92" t="n"/>
      <c r="L78" s="92" t="n"/>
      <c r="M78" s="92" t="n"/>
      <c r="N78" s="92" t="n"/>
      <c r="O78" s="92" t="n"/>
      <c r="P78" s="92" t="n"/>
      <c r="Q78" s="92" t="n"/>
      <c r="R78" s="92" t="n"/>
      <c r="S78" s="92" t="n"/>
      <c r="T78" s="92" t="n"/>
      <c r="U78" s="92" t="n"/>
      <c r="V78" s="92" t="n"/>
      <c r="W78" s="92" t="n"/>
      <c r="X78" s="92" t="n"/>
      <c r="Y78" s="92" t="n"/>
      <c r="Z78" s="92" t="n"/>
      <c r="AA78" s="92" t="n"/>
      <c r="AB78" s="92" t="n"/>
      <c r="AC78" s="92" t="n"/>
      <c r="AD78" s="92" t="n"/>
      <c r="AE78" s="92" t="n"/>
      <c r="AF78" s="92" t="n"/>
      <c r="AG78" s="92" t="n"/>
      <c r="AH78" s="92" t="n"/>
      <c r="AI78" s="92" t="n"/>
      <c r="AJ78" s="92" t="n"/>
      <c r="AK78" s="92" t="n"/>
      <c r="AL78" s="92" t="n"/>
      <c r="AM78" s="92" t="n"/>
      <c r="AN78" s="92" t="n"/>
      <c r="AO78" s="92" t="n"/>
      <c r="AP78" s="92" t="n"/>
      <c r="AQ78" s="92" t="n"/>
      <c r="AR78" s="92" t="n"/>
      <c r="AS78" s="92" t="n"/>
      <c r="AT78" s="92" t="n"/>
      <c r="AU78" s="92" t="n"/>
      <c r="AV78" s="92" t="n"/>
      <c r="AX78" s="139" t="n">
        <v>2019</v>
      </c>
      <c r="AY78" s="139" t="n">
        <v>3</v>
      </c>
    </row>
    <row r="79" ht="16.5" customFormat="1" customHeight="1" s="56">
      <c r="A79" s="92" t="n"/>
      <c r="B79" s="92" t="n"/>
      <c r="C79" s="92" t="n"/>
      <c r="D79" s="92" t="n"/>
      <c r="E79" s="92" t="n"/>
      <c r="F79" s="92" t="n"/>
      <c r="G79" s="92" t="n"/>
      <c r="H79" s="92" t="n"/>
      <c r="I79" s="92" t="n"/>
      <c r="J79" s="92" t="n"/>
      <c r="K79" s="92" t="n"/>
      <c r="L79" s="92" t="n"/>
      <c r="M79" s="92" t="n"/>
      <c r="N79" s="92" t="n"/>
      <c r="O79" s="92" t="n"/>
      <c r="P79" s="92" t="n"/>
      <c r="Q79" s="92" t="n"/>
      <c r="R79" s="92" t="n"/>
      <c r="S79" s="92" t="n"/>
      <c r="T79" s="92" t="n"/>
      <c r="U79" s="92" t="n"/>
      <c r="V79" s="92" t="n"/>
      <c r="W79" s="92" t="n"/>
      <c r="X79" s="92" t="n"/>
      <c r="Y79" s="92" t="n"/>
      <c r="Z79" s="92" t="n"/>
      <c r="AA79" s="92" t="n"/>
      <c r="AB79" s="92" t="n"/>
      <c r="AC79" s="92" t="n"/>
      <c r="AD79" s="92" t="n"/>
      <c r="AE79" s="92" t="n"/>
      <c r="AF79" s="92" t="n"/>
      <c r="AG79" s="92" t="n"/>
      <c r="AH79" s="92" t="n"/>
      <c r="AI79" s="92" t="n"/>
      <c r="AJ79" s="92" t="n"/>
      <c r="AK79" s="92" t="n"/>
      <c r="AL79" s="92" t="n"/>
      <c r="AM79" s="92" t="n"/>
      <c r="AN79" s="92" t="n"/>
      <c r="AO79" s="92" t="n"/>
      <c r="AP79" s="92" t="n"/>
      <c r="AQ79" s="92" t="n"/>
      <c r="AR79" s="92" t="n"/>
      <c r="AS79" s="92" t="n"/>
      <c r="AT79" s="92" t="n"/>
      <c r="AU79" s="92" t="n"/>
      <c r="AV79" s="92" t="n"/>
      <c r="AX79" s="139" t="n">
        <v>2019</v>
      </c>
      <c r="AY79" s="139" t="n">
        <v>3</v>
      </c>
    </row>
    <row r="80" ht="16.5" customFormat="1" customHeight="1" s="56">
      <c r="A80" s="92" t="n"/>
      <c r="B80" s="92" t="n"/>
      <c r="C80" s="92" t="n"/>
      <c r="D80" s="92" t="n"/>
      <c r="E80" s="92" t="n"/>
      <c r="F80" s="92" t="n"/>
      <c r="G80" s="92" t="n"/>
      <c r="H80" s="92" t="n"/>
      <c r="I80" s="92" t="n"/>
      <c r="J80" s="92" t="n"/>
      <c r="K80" s="92" t="n"/>
      <c r="L80" s="92" t="n"/>
      <c r="M80" s="92" t="n"/>
      <c r="N80" s="92" t="n"/>
      <c r="O80" s="92" t="n"/>
      <c r="P80" s="92" t="n"/>
      <c r="Q80" s="92" t="n"/>
      <c r="R80" s="92" t="n"/>
      <c r="S80" s="92" t="n"/>
      <c r="T80" s="92" t="n"/>
      <c r="U80" s="92" t="n"/>
      <c r="V80" s="92" t="n"/>
      <c r="W80" s="92" t="n"/>
      <c r="X80" s="92" t="n"/>
      <c r="Y80" s="92" t="n"/>
      <c r="Z80" s="92" t="n"/>
      <c r="AA80" s="92" t="n"/>
      <c r="AB80" s="92" t="n"/>
      <c r="AC80" s="92" t="n"/>
      <c r="AD80" s="92" t="n"/>
      <c r="AE80" s="92" t="n"/>
      <c r="AF80" s="92" t="n"/>
      <c r="AG80" s="92" t="n"/>
      <c r="AH80" s="92" t="n"/>
      <c r="AI80" s="92" t="n"/>
      <c r="AJ80" s="92" t="n"/>
      <c r="AK80" s="92" t="n"/>
      <c r="AL80" s="92" t="n"/>
      <c r="AM80" s="92" t="n"/>
      <c r="AN80" s="92" t="n"/>
      <c r="AO80" s="92" t="n"/>
      <c r="AP80" s="92" t="n"/>
      <c r="AQ80" s="92" t="n"/>
      <c r="AR80" s="92" t="n"/>
      <c r="AS80" s="92" t="n"/>
      <c r="AT80" s="92" t="n"/>
      <c r="AU80" s="92" t="n"/>
      <c r="AV80" s="92" t="n"/>
      <c r="AX80" s="139" t="n">
        <v>1993</v>
      </c>
      <c r="AY80" s="139" t="n">
        <v>8</v>
      </c>
    </row>
    <row r="81" ht="16.5" customFormat="1" customHeight="1" s="56">
      <c r="A81" s="92" t="n"/>
      <c r="B81" s="92" t="n"/>
      <c r="C81" s="92" t="n"/>
      <c r="D81" s="92" t="n"/>
      <c r="E81" s="92" t="n"/>
      <c r="F81" s="92" t="n"/>
      <c r="G81" s="92" t="n"/>
      <c r="H81" s="92" t="n"/>
      <c r="I81" s="92" t="n"/>
      <c r="J81" s="92" t="n"/>
      <c r="K81" s="92" t="n"/>
      <c r="L81" s="92" t="n"/>
      <c r="M81" s="92" t="n"/>
      <c r="N81" s="92" t="n"/>
      <c r="O81" s="92" t="n"/>
      <c r="P81" s="92" t="n"/>
      <c r="Q81" s="92" t="n"/>
      <c r="R81" s="92" t="n"/>
      <c r="S81" s="92" t="n"/>
      <c r="T81" s="92" t="n"/>
      <c r="U81" s="92" t="n"/>
      <c r="V81" s="92" t="n"/>
      <c r="W81" s="92" t="n"/>
      <c r="X81" s="92" t="n"/>
      <c r="Y81" s="92" t="n"/>
      <c r="Z81" s="92" t="n"/>
      <c r="AA81" s="92" t="n"/>
      <c r="AB81" s="92" t="n"/>
      <c r="AC81" s="92" t="n"/>
      <c r="AD81" s="92" t="n"/>
      <c r="AE81" s="92" t="n"/>
      <c r="AF81" s="92" t="n"/>
      <c r="AG81" s="92" t="n"/>
      <c r="AH81" s="92" t="n"/>
      <c r="AI81" s="92" t="n"/>
      <c r="AJ81" s="92" t="n"/>
      <c r="AK81" s="92" t="n"/>
      <c r="AL81" s="92" t="n"/>
      <c r="AM81" s="92" t="n"/>
      <c r="AN81" s="92" t="n"/>
      <c r="AO81" s="92" t="n"/>
      <c r="AP81" s="92" t="n"/>
      <c r="AQ81" s="92" t="n"/>
      <c r="AR81" s="92" t="n"/>
      <c r="AS81" s="92" t="n"/>
      <c r="AT81" s="92" t="n"/>
      <c r="AU81" s="92" t="n"/>
      <c r="AV81" s="92" t="n"/>
      <c r="AX81" s="139" t="n">
        <v>1993</v>
      </c>
      <c r="AY81" s="139" t="n">
        <v>8</v>
      </c>
    </row>
    <row r="82" ht="16.5" customFormat="1" customHeight="1" s="56">
      <c r="A82" s="92" t="n"/>
      <c r="B82" s="92" t="n"/>
      <c r="C82" s="92" t="n"/>
      <c r="D82" s="92" t="n"/>
      <c r="E82" s="92" t="n"/>
      <c r="F82" s="92" t="n"/>
      <c r="G82" s="92" t="n"/>
      <c r="H82" s="92" t="n"/>
      <c r="I82" s="92" t="n"/>
      <c r="J82" s="92" t="n"/>
      <c r="K82" s="92" t="n"/>
      <c r="L82" s="92" t="n"/>
      <c r="M82" s="92" t="n"/>
      <c r="N82" s="92" t="n"/>
      <c r="O82" s="92" t="n"/>
      <c r="P82" s="92" t="n"/>
      <c r="Q82" s="92" t="n"/>
      <c r="R82" s="92" t="n"/>
      <c r="S82" s="92" t="n"/>
      <c r="T82" s="92" t="n"/>
      <c r="U82" s="92" t="n"/>
      <c r="V82" s="92" t="n"/>
      <c r="W82" s="92" t="n"/>
      <c r="X82" s="92" t="n"/>
      <c r="Y82" s="92" t="n"/>
      <c r="Z82" s="92" t="n"/>
      <c r="AA82" s="92" t="n"/>
      <c r="AB82" s="92" t="n"/>
      <c r="AC82" s="92" t="n"/>
      <c r="AD82" s="92" t="n"/>
      <c r="AE82" s="92" t="n"/>
      <c r="AF82" s="92" t="n"/>
      <c r="AG82" s="92" t="n"/>
      <c r="AH82" s="92" t="n"/>
      <c r="AI82" s="92" t="n"/>
      <c r="AJ82" s="92" t="n"/>
      <c r="AK82" s="92" t="n"/>
      <c r="AL82" s="92" t="n"/>
      <c r="AM82" s="92" t="n"/>
      <c r="AN82" s="92" t="n"/>
      <c r="AO82" s="92" t="n"/>
      <c r="AP82" s="92" t="n"/>
      <c r="AQ82" s="92" t="n"/>
      <c r="AR82" s="92" t="n"/>
      <c r="AS82" s="92" t="n"/>
      <c r="AT82" s="92" t="n"/>
      <c r="AU82" s="92" t="n"/>
      <c r="AV82" s="92" t="n"/>
      <c r="AX82" s="139" t="n">
        <v>1995</v>
      </c>
      <c r="AY82" s="139" t="n">
        <v>8</v>
      </c>
    </row>
    <row r="83" ht="16.5" customFormat="1" customHeight="1" s="56">
      <c r="A83" s="92" t="n"/>
      <c r="B83" s="92" t="n"/>
      <c r="C83" s="92" t="n"/>
      <c r="D83" s="92" t="n"/>
      <c r="E83" s="92" t="n"/>
      <c r="F83" s="92" t="n"/>
      <c r="G83" s="92" t="n"/>
      <c r="H83" s="92" t="n"/>
      <c r="I83" s="92" t="n"/>
      <c r="J83" s="92" t="n"/>
      <c r="K83" s="92" t="n"/>
      <c r="L83" s="92" t="n"/>
      <c r="M83" s="92" t="n"/>
      <c r="N83" s="92" t="n"/>
      <c r="O83" s="92" t="n"/>
      <c r="P83" s="92" t="n"/>
      <c r="Q83" s="92" t="n"/>
      <c r="R83" s="92" t="n"/>
      <c r="S83" s="92" t="n"/>
      <c r="T83" s="92" t="n"/>
      <c r="U83" s="92" t="n"/>
      <c r="V83" s="92" t="n"/>
      <c r="W83" s="92" t="n"/>
      <c r="X83" s="92" t="n"/>
      <c r="Y83" s="92" t="n"/>
      <c r="Z83" s="92" t="n"/>
      <c r="AA83" s="92" t="n"/>
      <c r="AB83" s="92" t="n"/>
      <c r="AC83" s="92" t="n"/>
      <c r="AD83" s="92" t="n"/>
      <c r="AE83" s="92" t="n"/>
      <c r="AF83" s="92" t="n"/>
      <c r="AG83" s="92" t="n"/>
      <c r="AH83" s="92" t="n"/>
      <c r="AI83" s="92" t="n"/>
      <c r="AJ83" s="92" t="n"/>
      <c r="AK83" s="92" t="n"/>
      <c r="AL83" s="92" t="n"/>
      <c r="AM83" s="92" t="n"/>
      <c r="AN83" s="92" t="n"/>
      <c r="AO83" s="92" t="n"/>
      <c r="AP83" s="92" t="n"/>
      <c r="AQ83" s="92" t="n"/>
      <c r="AR83" s="92" t="n"/>
      <c r="AS83" s="92" t="n"/>
      <c r="AT83" s="92" t="n"/>
      <c r="AU83" s="92" t="n"/>
      <c r="AV83" s="92" t="n"/>
      <c r="AX83" s="139" t="n">
        <v>1995</v>
      </c>
      <c r="AY83" s="139" t="n">
        <v>8</v>
      </c>
    </row>
    <row r="84" ht="16.5" customFormat="1" customHeight="1" s="56">
      <c r="A84" s="92" t="n"/>
      <c r="B84" s="92" t="n"/>
      <c r="C84" s="92" t="n"/>
      <c r="D84" s="92" t="n"/>
      <c r="E84" s="92" t="n"/>
      <c r="F84" s="92" t="n"/>
      <c r="G84" s="92" t="n"/>
      <c r="H84" s="92" t="n"/>
      <c r="I84" s="92" t="n"/>
      <c r="J84" s="92" t="n"/>
      <c r="K84" s="92" t="n"/>
      <c r="L84" s="92" t="n"/>
      <c r="M84" s="92" t="n"/>
      <c r="N84" s="92" t="n"/>
      <c r="O84" s="92" t="n"/>
      <c r="P84" s="92" t="n"/>
      <c r="Q84" s="92" t="n"/>
      <c r="R84" s="92" t="n"/>
      <c r="S84" s="92" t="n"/>
      <c r="T84" s="92" t="n"/>
      <c r="U84" s="92" t="n"/>
      <c r="V84" s="92" t="n"/>
      <c r="W84" s="92" t="n"/>
      <c r="X84" s="92" t="n"/>
      <c r="Y84" s="92" t="n"/>
      <c r="Z84" s="92" t="n"/>
      <c r="AA84" s="92" t="n"/>
      <c r="AB84" s="92" t="n"/>
      <c r="AC84" s="92" t="n"/>
      <c r="AD84" s="92" t="n"/>
      <c r="AE84" s="92" t="n"/>
      <c r="AF84" s="92" t="n"/>
      <c r="AG84" s="92" t="n"/>
      <c r="AH84" s="92" t="n"/>
      <c r="AI84" s="92" t="n"/>
      <c r="AJ84" s="92" t="n"/>
      <c r="AK84" s="92" t="n"/>
      <c r="AL84" s="92" t="n"/>
      <c r="AM84" s="92" t="n"/>
      <c r="AN84" s="92" t="n"/>
      <c r="AO84" s="92" t="n"/>
      <c r="AP84" s="92" t="n"/>
      <c r="AQ84" s="92" t="n"/>
      <c r="AR84" s="92" t="n"/>
      <c r="AS84" s="92" t="n"/>
      <c r="AT84" s="92" t="n"/>
      <c r="AU84" s="92" t="n"/>
      <c r="AV84" s="92" t="n"/>
      <c r="AX84" s="139" t="n">
        <v>1993</v>
      </c>
      <c r="AY84" s="139" t="n">
        <v>4</v>
      </c>
    </row>
    <row r="85" ht="16.5" customFormat="1" customHeight="1" s="56">
      <c r="A85" s="92" t="n"/>
      <c r="B85" s="92" t="n"/>
      <c r="C85" s="92" t="n"/>
      <c r="D85" s="92" t="n"/>
      <c r="E85" s="92" t="n"/>
      <c r="F85" s="92" t="n"/>
      <c r="G85" s="92" t="n"/>
      <c r="H85" s="92" t="n"/>
      <c r="I85" s="92" t="n"/>
      <c r="J85" s="92" t="n"/>
      <c r="K85" s="92" t="n"/>
      <c r="L85" s="92" t="n"/>
      <c r="M85" s="92" t="n"/>
      <c r="N85" s="92" t="n"/>
      <c r="O85" s="92" t="n"/>
      <c r="P85" s="92" t="n"/>
      <c r="Q85" s="92" t="n"/>
      <c r="R85" s="92" t="n"/>
      <c r="S85" s="92" t="n"/>
      <c r="T85" s="92" t="n"/>
      <c r="U85" s="92" t="n"/>
      <c r="V85" s="92" t="n"/>
      <c r="W85" s="92" t="n"/>
      <c r="X85" s="92" t="n"/>
      <c r="Y85" s="92" t="n"/>
      <c r="Z85" s="92" t="n"/>
      <c r="AA85" s="92" t="n"/>
      <c r="AB85" s="92" t="n"/>
      <c r="AC85" s="92" t="n"/>
      <c r="AD85" s="92" t="n"/>
      <c r="AE85" s="92" t="n"/>
      <c r="AF85" s="92" t="n"/>
      <c r="AG85" s="92" t="n"/>
      <c r="AH85" s="92" t="n"/>
      <c r="AI85" s="92" t="n"/>
      <c r="AJ85" s="92" t="n"/>
      <c r="AK85" s="92" t="n"/>
      <c r="AL85" s="92" t="n"/>
      <c r="AM85" s="92" t="n"/>
      <c r="AN85" s="92" t="n"/>
      <c r="AO85" s="92" t="n"/>
      <c r="AP85" s="92" t="n"/>
      <c r="AQ85" s="92" t="n"/>
      <c r="AR85" s="92" t="n"/>
      <c r="AS85" s="92" t="n"/>
      <c r="AT85" s="92" t="n"/>
      <c r="AU85" s="92" t="n"/>
      <c r="AV85" s="92" t="n"/>
      <c r="AX85" s="139" t="n">
        <v>1993</v>
      </c>
      <c r="AY85" s="139" t="n">
        <v>4</v>
      </c>
    </row>
    <row r="86" ht="16.5" customFormat="1" customHeight="1" s="56">
      <c r="A86" s="92" t="n"/>
      <c r="B86" s="92" t="n"/>
      <c r="C86" s="92" t="n"/>
      <c r="D86" s="92" t="n"/>
      <c r="E86" s="92" t="n"/>
      <c r="F86" s="92" t="n"/>
      <c r="G86" s="92" t="n"/>
      <c r="H86" s="92" t="n"/>
      <c r="I86" s="92" t="n"/>
      <c r="J86" s="92" t="n"/>
      <c r="K86" s="92" t="n"/>
      <c r="L86" s="92" t="n"/>
      <c r="M86" s="92" t="n"/>
      <c r="N86" s="92" t="n"/>
      <c r="O86" s="92" t="n"/>
      <c r="P86" s="92" t="n"/>
      <c r="Q86" s="92" t="n"/>
      <c r="R86" s="92" t="n"/>
      <c r="S86" s="92" t="n"/>
      <c r="T86" s="92" t="n"/>
      <c r="U86" s="92" t="n"/>
      <c r="V86" s="92" t="n"/>
      <c r="W86" s="92" t="n"/>
      <c r="X86" s="92" t="n"/>
      <c r="Y86" s="92" t="n"/>
      <c r="Z86" s="92" t="n"/>
      <c r="AA86" s="92" t="n"/>
      <c r="AB86" s="92" t="n"/>
      <c r="AC86" s="92" t="n"/>
      <c r="AD86" s="92" t="n"/>
      <c r="AE86" s="92" t="n"/>
      <c r="AF86" s="92" t="n"/>
      <c r="AG86" s="92" t="n"/>
      <c r="AH86" s="92" t="n"/>
      <c r="AI86" s="92" t="n"/>
      <c r="AJ86" s="92" t="n"/>
      <c r="AK86" s="92" t="n"/>
      <c r="AL86" s="92" t="n"/>
      <c r="AM86" s="92" t="n"/>
      <c r="AN86" s="92" t="n"/>
      <c r="AO86" s="92" t="n"/>
      <c r="AP86" s="92" t="n"/>
      <c r="AQ86" s="92" t="n"/>
      <c r="AR86" s="92" t="n"/>
      <c r="AS86" s="92" t="n"/>
      <c r="AT86" s="92" t="n"/>
      <c r="AU86" s="92" t="n"/>
      <c r="AV86" s="92" t="n"/>
      <c r="AX86" s="139" t="n">
        <v>1993</v>
      </c>
      <c r="AY86" s="139" t="n">
        <v>4</v>
      </c>
    </row>
    <row r="87" ht="16.5" customFormat="1" customHeight="1" s="56">
      <c r="A87" s="92" t="n"/>
      <c r="B87" s="92" t="n"/>
      <c r="C87" s="92" t="n"/>
      <c r="D87" s="92" t="n"/>
      <c r="E87" s="92" t="n"/>
      <c r="F87" s="92" t="n"/>
      <c r="G87" s="92" t="n"/>
      <c r="H87" s="92" t="n"/>
      <c r="I87" s="92" t="n"/>
      <c r="J87" s="92" t="n"/>
      <c r="K87" s="92" t="n"/>
      <c r="L87" s="92" t="n"/>
      <c r="M87" s="92" t="n"/>
      <c r="N87" s="92" t="n"/>
      <c r="O87" s="92" t="n"/>
      <c r="P87" s="92" t="n"/>
      <c r="Q87" s="92" t="n"/>
      <c r="R87" s="92" t="n"/>
      <c r="S87" s="92" t="n"/>
      <c r="T87" s="92" t="n"/>
      <c r="U87" s="92" t="n"/>
      <c r="V87" s="92" t="n"/>
      <c r="W87" s="92" t="n"/>
      <c r="X87" s="92" t="n"/>
      <c r="Y87" s="92" t="n"/>
      <c r="Z87" s="92" t="n"/>
      <c r="AA87" s="92" t="n"/>
      <c r="AB87" s="92" t="n"/>
      <c r="AC87" s="92" t="n"/>
      <c r="AD87" s="92" t="n"/>
      <c r="AE87" s="92" t="n"/>
      <c r="AF87" s="92" t="n"/>
      <c r="AG87" s="92" t="n"/>
      <c r="AH87" s="92" t="n"/>
      <c r="AI87" s="92" t="n"/>
      <c r="AJ87" s="92" t="n"/>
      <c r="AK87" s="92" t="n"/>
      <c r="AL87" s="92" t="n"/>
      <c r="AM87" s="92" t="n"/>
      <c r="AN87" s="92" t="n"/>
      <c r="AO87" s="92" t="n"/>
      <c r="AP87" s="92" t="n"/>
      <c r="AQ87" s="92" t="n"/>
      <c r="AR87" s="92" t="n"/>
      <c r="AS87" s="92" t="n"/>
      <c r="AT87" s="92" t="n"/>
      <c r="AU87" s="92" t="n"/>
      <c r="AV87" s="92" t="n"/>
      <c r="AX87" s="139" t="n">
        <v>2017</v>
      </c>
      <c r="AY87" s="139" t="n">
        <v>11</v>
      </c>
    </row>
    <row r="88" ht="16.5" customFormat="1" customHeight="1" s="56">
      <c r="A88" s="92" t="n"/>
      <c r="B88" s="92" t="n"/>
      <c r="C88" s="92" t="n"/>
      <c r="D88" s="92" t="n"/>
      <c r="E88" s="92" t="n"/>
      <c r="F88" s="92" t="n"/>
      <c r="G88" s="92" t="n"/>
      <c r="H88" s="92" t="n"/>
      <c r="I88" s="92" t="n"/>
      <c r="J88" s="92" t="n"/>
      <c r="K88" s="92" t="n"/>
      <c r="L88" s="92" t="n"/>
      <c r="M88" s="92" t="n"/>
      <c r="N88" s="92" t="n"/>
      <c r="O88" s="92" t="n"/>
      <c r="P88" s="92" t="n"/>
      <c r="Q88" s="92" t="n"/>
      <c r="R88" s="92" t="n"/>
      <c r="S88" s="92" t="n"/>
      <c r="T88" s="92" t="n"/>
      <c r="U88" s="92" t="n"/>
      <c r="V88" s="92" t="n"/>
      <c r="W88" s="92" t="n"/>
      <c r="X88" s="92" t="n"/>
      <c r="Y88" s="92" t="n"/>
      <c r="Z88" s="92" t="n"/>
      <c r="AA88" s="92" t="n"/>
      <c r="AB88" s="92" t="n"/>
      <c r="AC88" s="92" t="n"/>
      <c r="AD88" s="92" t="n"/>
      <c r="AE88" s="92" t="n"/>
      <c r="AF88" s="92" t="n"/>
      <c r="AG88" s="92" t="n"/>
      <c r="AH88" s="92" t="n"/>
      <c r="AI88" s="92" t="n"/>
      <c r="AJ88" s="92" t="n"/>
      <c r="AK88" s="92" t="n"/>
      <c r="AL88" s="92" t="n"/>
      <c r="AM88" s="92" t="n"/>
      <c r="AN88" s="92" t="n"/>
      <c r="AO88" s="92" t="n"/>
      <c r="AP88" s="92" t="n"/>
      <c r="AQ88" s="92" t="n"/>
      <c r="AR88" s="92" t="n"/>
      <c r="AS88" s="92" t="n"/>
      <c r="AT88" s="92" t="n"/>
      <c r="AU88" s="92" t="n"/>
      <c r="AV88" s="92" t="n"/>
      <c r="AX88" s="139" t="n">
        <v>2017</v>
      </c>
      <c r="AY88" s="139" t="n">
        <v>11</v>
      </c>
    </row>
    <row r="89" ht="16.5" customFormat="1" customHeight="1" s="56">
      <c r="A89" s="92" t="n"/>
      <c r="B89" s="92" t="n"/>
      <c r="C89" s="92" t="n"/>
      <c r="D89" s="92" t="n"/>
      <c r="E89" s="92" t="n"/>
      <c r="F89" s="92" t="n"/>
      <c r="G89" s="92" t="n"/>
      <c r="H89" s="92" t="n"/>
      <c r="I89" s="92" t="n"/>
      <c r="J89" s="92" t="n"/>
      <c r="K89" s="92" t="n"/>
      <c r="L89" s="92" t="n"/>
      <c r="M89" s="92" t="n"/>
      <c r="N89" s="92" t="n"/>
      <c r="O89" s="92" t="n"/>
      <c r="P89" s="92" t="n"/>
      <c r="Q89" s="92" t="n"/>
      <c r="R89" s="92" t="n"/>
      <c r="S89" s="92" t="n"/>
      <c r="T89" s="92" t="n"/>
      <c r="U89" s="92" t="n"/>
      <c r="V89" s="92" t="n"/>
      <c r="W89" s="92" t="n"/>
      <c r="X89" s="92" t="n"/>
      <c r="Y89" s="92" t="n"/>
      <c r="Z89" s="92" t="n"/>
      <c r="AA89" s="92" t="n"/>
      <c r="AB89" s="92" t="n"/>
      <c r="AC89" s="92" t="n"/>
      <c r="AD89" s="92" t="n"/>
      <c r="AE89" s="92" t="n"/>
      <c r="AF89" s="92" t="n"/>
      <c r="AG89" s="92" t="n"/>
      <c r="AH89" s="92" t="n"/>
      <c r="AI89" s="92" t="n"/>
      <c r="AJ89" s="92" t="n"/>
      <c r="AK89" s="92" t="n"/>
      <c r="AL89" s="92" t="n"/>
      <c r="AM89" s="92" t="n"/>
      <c r="AN89" s="92" t="n"/>
      <c r="AO89" s="92" t="n"/>
      <c r="AP89" s="92" t="n"/>
      <c r="AQ89" s="92" t="n"/>
      <c r="AR89" s="92" t="n"/>
      <c r="AS89" s="92" t="n"/>
      <c r="AT89" s="92" t="n"/>
      <c r="AU89" s="92" t="n"/>
      <c r="AV89" s="92" t="n"/>
      <c r="AX89" s="139" t="n">
        <v>1993</v>
      </c>
      <c r="AY89" s="139" t="n">
        <v>1</v>
      </c>
    </row>
    <row r="90" ht="16.5" customFormat="1" customHeight="1" s="56">
      <c r="A90" s="92" t="n"/>
      <c r="B90" s="92" t="n"/>
      <c r="C90" s="92" t="n"/>
      <c r="D90" s="92" t="n"/>
      <c r="E90" s="92" t="n"/>
      <c r="F90" s="92" t="n"/>
      <c r="G90" s="92" t="n"/>
      <c r="H90" s="92" t="n"/>
      <c r="I90" s="92" t="n"/>
      <c r="J90" s="92" t="n"/>
      <c r="K90" s="92" t="n"/>
      <c r="L90" s="92" t="n"/>
      <c r="M90" s="92" t="n"/>
      <c r="N90" s="92" t="n"/>
      <c r="O90" s="92" t="n"/>
      <c r="P90" s="92" t="n"/>
      <c r="Q90" s="92" t="n"/>
      <c r="R90" s="92" t="n"/>
      <c r="S90" s="92" t="n"/>
      <c r="T90" s="92" t="n"/>
      <c r="U90" s="92" t="n"/>
      <c r="V90" s="92" t="n"/>
      <c r="W90" s="92" t="n"/>
      <c r="X90" s="92" t="n"/>
      <c r="Y90" s="92" t="n"/>
      <c r="Z90" s="92" t="n"/>
      <c r="AA90" s="92" t="n"/>
      <c r="AB90" s="92" t="n"/>
      <c r="AC90" s="92" t="n"/>
      <c r="AD90" s="92" t="n"/>
      <c r="AE90" s="92" t="n"/>
      <c r="AF90" s="92" t="n"/>
      <c r="AG90" s="92" t="n"/>
      <c r="AH90" s="92" t="n"/>
      <c r="AI90" s="92" t="n"/>
      <c r="AJ90" s="92" t="n"/>
      <c r="AK90" s="92" t="n"/>
      <c r="AL90" s="92" t="n"/>
      <c r="AM90" s="92" t="n"/>
      <c r="AN90" s="92" t="n"/>
      <c r="AO90" s="92" t="n"/>
      <c r="AP90" s="92" t="n"/>
      <c r="AQ90" s="92" t="n"/>
      <c r="AR90" s="92" t="n"/>
      <c r="AS90" s="92" t="n"/>
      <c r="AT90" s="92" t="n"/>
      <c r="AU90" s="92" t="n"/>
      <c r="AV90" s="92" t="n"/>
      <c r="AX90" s="139" t="n">
        <v>2019</v>
      </c>
      <c r="AY90" s="139" t="n">
        <v>5</v>
      </c>
    </row>
    <row r="91" ht="16.5" customFormat="1" customHeight="1" s="56">
      <c r="A91" s="92" t="n"/>
      <c r="B91" s="92" t="n"/>
      <c r="C91" s="92" t="n"/>
      <c r="D91" s="92" t="n"/>
      <c r="E91" s="92" t="n"/>
      <c r="F91" s="92" t="n"/>
      <c r="G91" s="92" t="n"/>
      <c r="H91" s="92" t="n"/>
      <c r="I91" s="92" t="n"/>
      <c r="J91" s="92" t="n"/>
      <c r="K91" s="92" t="n"/>
      <c r="L91" s="92" t="n"/>
      <c r="M91" s="92" t="n"/>
      <c r="N91" s="92" t="n"/>
      <c r="O91" s="92" t="n"/>
      <c r="P91" s="92" t="n"/>
      <c r="Q91" s="92" t="n"/>
      <c r="R91" s="92" t="n"/>
      <c r="S91" s="92" t="n"/>
      <c r="T91" s="92" t="n"/>
      <c r="U91" s="92" t="n"/>
      <c r="V91" s="92" t="n"/>
      <c r="W91" s="92" t="n"/>
      <c r="X91" s="92" t="n"/>
      <c r="Y91" s="92" t="n"/>
      <c r="Z91" s="92" t="n"/>
      <c r="AA91" s="92" t="n"/>
      <c r="AB91" s="92" t="n"/>
      <c r="AC91" s="92" t="n"/>
      <c r="AD91" s="92" t="n"/>
      <c r="AE91" s="92" t="n"/>
      <c r="AF91" s="92" t="n"/>
      <c r="AG91" s="92" t="n"/>
      <c r="AH91" s="92" t="n"/>
      <c r="AI91" s="92" t="n"/>
      <c r="AJ91" s="92" t="n"/>
      <c r="AK91" s="92" t="n"/>
      <c r="AL91" s="92" t="n"/>
      <c r="AM91" s="92" t="n"/>
      <c r="AN91" s="92" t="n"/>
      <c r="AO91" s="92" t="n"/>
      <c r="AP91" s="92" t="n"/>
      <c r="AQ91" s="92" t="n"/>
      <c r="AR91" s="92" t="n"/>
      <c r="AS91" s="92" t="n"/>
      <c r="AT91" s="92" t="n"/>
      <c r="AU91" s="92" t="n"/>
      <c r="AV91" s="92" t="n"/>
      <c r="AX91" s="139" t="n">
        <v>2019</v>
      </c>
      <c r="AY91" s="139" t="n">
        <v>5</v>
      </c>
    </row>
    <row r="92" ht="16.5" customFormat="1" customHeight="1" s="56">
      <c r="A92" s="92" t="n"/>
      <c r="B92" s="92" t="n"/>
      <c r="C92" s="92" t="n"/>
      <c r="D92" s="92" t="n"/>
      <c r="E92" s="92" t="n"/>
      <c r="F92" s="92" t="n"/>
      <c r="G92" s="92" t="n"/>
      <c r="H92" s="92" t="n"/>
      <c r="I92" s="92" t="n"/>
      <c r="J92" s="92" t="n"/>
      <c r="K92" s="92" t="n"/>
      <c r="L92" s="92" t="n"/>
      <c r="M92" s="92" t="n"/>
      <c r="N92" s="92" t="n"/>
      <c r="O92" s="92" t="n"/>
      <c r="P92" s="92" t="n"/>
      <c r="Q92" s="92" t="n"/>
      <c r="R92" s="92" t="n"/>
      <c r="S92" s="92" t="n"/>
      <c r="T92" s="92" t="n"/>
      <c r="U92" s="92" t="n"/>
      <c r="V92" s="92" t="n"/>
      <c r="W92" s="92" t="n"/>
      <c r="X92" s="92" t="n"/>
      <c r="Y92" s="92" t="n"/>
      <c r="Z92" s="92" t="n"/>
      <c r="AA92" s="92" t="n"/>
      <c r="AB92" s="92" t="n"/>
      <c r="AC92" s="92" t="n"/>
      <c r="AD92" s="92" t="n"/>
      <c r="AE92" s="92" t="n"/>
      <c r="AF92" s="92" t="n"/>
      <c r="AG92" s="92" t="n"/>
      <c r="AH92" s="92" t="n"/>
      <c r="AI92" s="92" t="n"/>
      <c r="AJ92" s="92" t="n"/>
      <c r="AK92" s="92" t="n"/>
      <c r="AL92" s="92" t="n"/>
      <c r="AM92" s="92" t="n"/>
      <c r="AN92" s="92" t="n"/>
      <c r="AO92" s="92" t="n"/>
      <c r="AP92" s="92" t="n"/>
      <c r="AQ92" s="92" t="n"/>
      <c r="AR92" s="92" t="n"/>
      <c r="AS92" s="92" t="n"/>
      <c r="AT92" s="92" t="n"/>
      <c r="AU92" s="92" t="n"/>
      <c r="AV92" s="92" t="n"/>
      <c r="AX92" s="139" t="n">
        <v>2019</v>
      </c>
      <c r="AY92" s="139" t="n">
        <v>5</v>
      </c>
    </row>
    <row r="93" ht="16.5" customFormat="1" customHeight="1" s="56">
      <c r="A93" s="92" t="n"/>
      <c r="B93" s="92" t="n"/>
      <c r="C93" s="92" t="n"/>
      <c r="D93" s="92" t="n"/>
      <c r="E93" s="92" t="n"/>
      <c r="F93" s="92" t="n"/>
      <c r="G93" s="92" t="n"/>
      <c r="H93" s="92" t="n"/>
      <c r="I93" s="92" t="n"/>
      <c r="J93" s="92" t="n"/>
      <c r="K93" s="92" t="n"/>
      <c r="L93" s="92" t="n"/>
      <c r="M93" s="92" t="n"/>
      <c r="N93" s="92" t="n"/>
      <c r="O93" s="92" t="n"/>
      <c r="P93" s="92" t="n"/>
      <c r="Q93" s="92" t="n"/>
      <c r="R93" s="92" t="n"/>
      <c r="S93" s="92" t="n"/>
      <c r="T93" s="92" t="n"/>
      <c r="U93" s="92" t="n"/>
      <c r="V93" s="92" t="n"/>
      <c r="W93" s="92" t="n"/>
      <c r="X93" s="92" t="n"/>
      <c r="Y93" s="92" t="n"/>
      <c r="Z93" s="92" t="n"/>
      <c r="AA93" s="92" t="n"/>
      <c r="AB93" s="92" t="n"/>
      <c r="AC93" s="92" t="n"/>
      <c r="AD93" s="92" t="n"/>
      <c r="AE93" s="92" t="n"/>
      <c r="AF93" s="92" t="n"/>
      <c r="AG93" s="92" t="n"/>
      <c r="AH93" s="92" t="n"/>
      <c r="AI93" s="92" t="n"/>
      <c r="AJ93" s="92" t="n"/>
      <c r="AK93" s="92" t="n"/>
      <c r="AL93" s="92" t="n"/>
      <c r="AM93" s="92" t="n"/>
      <c r="AN93" s="92" t="n"/>
      <c r="AO93" s="92" t="n"/>
      <c r="AP93" s="92" t="n"/>
      <c r="AQ93" s="92" t="n"/>
      <c r="AR93" s="92" t="n"/>
      <c r="AS93" s="92" t="n"/>
      <c r="AT93" s="92" t="n"/>
      <c r="AU93" s="92" t="n"/>
      <c r="AV93" s="92" t="n"/>
      <c r="AX93" s="139" t="n">
        <v>1994</v>
      </c>
      <c r="AY93" s="139" t="n">
        <v>12</v>
      </c>
    </row>
    <row r="94" ht="16.5" customFormat="1" customHeight="1" s="56">
      <c r="A94" s="92" t="n"/>
      <c r="B94" s="92" t="n"/>
      <c r="C94" s="92" t="n"/>
      <c r="D94" s="92" t="n"/>
      <c r="E94" s="92" t="n"/>
      <c r="F94" s="92" t="n"/>
      <c r="G94" s="92" t="n"/>
      <c r="H94" s="92" t="n"/>
      <c r="I94" s="92" t="n"/>
      <c r="J94" s="92" t="n"/>
      <c r="K94" s="92" t="n"/>
      <c r="L94" s="92" t="n"/>
      <c r="M94" s="92" t="n"/>
      <c r="N94" s="92" t="n"/>
      <c r="O94" s="92" t="n"/>
      <c r="P94" s="92" t="n"/>
      <c r="Q94" s="92" t="n"/>
      <c r="R94" s="92" t="n"/>
      <c r="S94" s="92" t="n"/>
      <c r="T94" s="92" t="n"/>
      <c r="U94" s="92" t="n"/>
      <c r="V94" s="92" t="n"/>
      <c r="W94" s="92" t="n"/>
      <c r="X94" s="92" t="n"/>
      <c r="Y94" s="92" t="n"/>
      <c r="Z94" s="92" t="n"/>
      <c r="AA94" s="92" t="n"/>
      <c r="AB94" s="92" t="n"/>
      <c r="AC94" s="92" t="n"/>
      <c r="AD94" s="92" t="n"/>
      <c r="AE94" s="92" t="n"/>
      <c r="AF94" s="92" t="n"/>
      <c r="AG94" s="92" t="n"/>
      <c r="AH94" s="92" t="n"/>
      <c r="AI94" s="92" t="n"/>
      <c r="AJ94" s="92" t="n"/>
      <c r="AK94" s="92" t="n"/>
      <c r="AL94" s="92" t="n"/>
      <c r="AM94" s="92" t="n"/>
      <c r="AN94" s="92" t="n"/>
      <c r="AO94" s="92" t="n"/>
      <c r="AP94" s="92" t="n"/>
      <c r="AQ94" s="92" t="n"/>
      <c r="AR94" s="92" t="n"/>
      <c r="AS94" s="92" t="n"/>
      <c r="AT94" s="92" t="n"/>
      <c r="AU94" s="92" t="n"/>
      <c r="AV94" s="92" t="n"/>
      <c r="AX94" s="139" t="n">
        <v>1994</v>
      </c>
      <c r="AY94" s="139" t="n">
        <v>12</v>
      </c>
    </row>
    <row r="95" ht="16.5" customFormat="1" customHeight="1" s="56">
      <c r="A95" s="92" t="n"/>
      <c r="B95" s="92" t="n"/>
      <c r="C95" s="92" t="n"/>
      <c r="D95" s="92" t="n"/>
      <c r="E95" s="92" t="n"/>
      <c r="F95" s="92" t="n"/>
      <c r="G95" s="92" t="n"/>
      <c r="H95" s="92" t="n"/>
      <c r="I95" s="92" t="n"/>
      <c r="J95" s="92" t="n"/>
      <c r="K95" s="92" t="n"/>
      <c r="L95" s="92" t="n"/>
      <c r="M95" s="92" t="n"/>
      <c r="N95" s="92" t="n"/>
      <c r="O95" s="92" t="n"/>
      <c r="P95" s="92" t="n"/>
      <c r="Q95" s="92" t="n"/>
      <c r="R95" s="92" t="n"/>
      <c r="S95" s="92" t="n"/>
      <c r="T95" s="92" t="n"/>
      <c r="U95" s="92" t="n"/>
      <c r="V95" s="92" t="n"/>
      <c r="W95" s="92" t="n"/>
      <c r="X95" s="92" t="n"/>
      <c r="Y95" s="92" t="n"/>
      <c r="Z95" s="92" t="n"/>
      <c r="AA95" s="92" t="n"/>
      <c r="AB95" s="92" t="n"/>
      <c r="AC95" s="92" t="n"/>
      <c r="AD95" s="92" t="n"/>
      <c r="AE95" s="92" t="n"/>
      <c r="AF95" s="92" t="n"/>
      <c r="AG95" s="92" t="n"/>
      <c r="AH95" s="92" t="n"/>
      <c r="AI95" s="92" t="n"/>
      <c r="AJ95" s="92" t="n"/>
      <c r="AK95" s="92" t="n"/>
      <c r="AL95" s="92" t="n"/>
      <c r="AM95" s="92" t="n"/>
      <c r="AN95" s="92" t="n"/>
      <c r="AO95" s="92" t="n"/>
      <c r="AP95" s="92" t="n"/>
      <c r="AQ95" s="92" t="n"/>
      <c r="AR95" s="92" t="n"/>
      <c r="AS95" s="92" t="n"/>
      <c r="AT95" s="92" t="n"/>
      <c r="AU95" s="92" t="n"/>
      <c r="AV95" s="92" t="n"/>
      <c r="AX95" s="139" t="n">
        <v>1994</v>
      </c>
      <c r="AY95" s="139" t="n">
        <v>12</v>
      </c>
    </row>
    <row r="96" ht="16.5" customFormat="1" customHeight="1" s="56">
      <c r="A96" s="92" t="n"/>
      <c r="B96" s="92" t="n"/>
      <c r="C96" s="92" t="n"/>
      <c r="D96" s="92" t="n"/>
      <c r="E96" s="92" t="n"/>
      <c r="F96" s="92" t="n"/>
      <c r="G96" s="92" t="n"/>
      <c r="H96" s="92" t="n"/>
      <c r="I96" s="92" t="n"/>
      <c r="J96" s="92" t="n"/>
      <c r="K96" s="92" t="n"/>
      <c r="L96" s="92" t="n"/>
      <c r="M96" s="92" t="n"/>
      <c r="N96" s="92" t="n"/>
      <c r="O96" s="92" t="n"/>
      <c r="P96" s="92" t="n"/>
      <c r="Q96" s="92" t="n"/>
      <c r="R96" s="92" t="n"/>
      <c r="S96" s="92" t="n"/>
      <c r="T96" s="92" t="n"/>
      <c r="U96" s="92" t="n"/>
      <c r="V96" s="92" t="n"/>
      <c r="W96" s="92" t="n"/>
      <c r="X96" s="92" t="n"/>
      <c r="Y96" s="92" t="n"/>
      <c r="Z96" s="92" t="n"/>
      <c r="AA96" s="92" t="n"/>
      <c r="AB96" s="92" t="n"/>
      <c r="AC96" s="92" t="n"/>
      <c r="AD96" s="92" t="n"/>
      <c r="AE96" s="92" t="n"/>
      <c r="AF96" s="92" t="n"/>
      <c r="AG96" s="92" t="n"/>
      <c r="AH96" s="92" t="n"/>
      <c r="AI96" s="92" t="n"/>
      <c r="AJ96" s="92" t="n"/>
      <c r="AK96" s="92" t="n"/>
      <c r="AL96" s="92" t="n"/>
      <c r="AM96" s="92" t="n"/>
      <c r="AN96" s="92" t="n"/>
      <c r="AO96" s="92" t="n"/>
      <c r="AP96" s="92" t="n"/>
      <c r="AQ96" s="92" t="n"/>
      <c r="AR96" s="92" t="n"/>
      <c r="AS96" s="92" t="n"/>
      <c r="AT96" s="92" t="n"/>
      <c r="AU96" s="92" t="n"/>
      <c r="AV96" s="92" t="n"/>
      <c r="AX96" s="139" t="n">
        <v>1994</v>
      </c>
      <c r="AY96" s="139" t="n">
        <v>4</v>
      </c>
    </row>
    <row r="97" ht="16.5" customFormat="1" customHeight="1" s="56">
      <c r="A97" s="92" t="n"/>
      <c r="B97" s="92" t="n"/>
      <c r="C97" s="92" t="n"/>
      <c r="D97" s="92" t="n"/>
      <c r="E97" s="92" t="n"/>
      <c r="F97" s="92" t="n"/>
      <c r="G97" s="92" t="n"/>
      <c r="H97" s="92" t="n"/>
      <c r="I97" s="92" t="n"/>
      <c r="J97" s="92" t="n"/>
      <c r="K97" s="92" t="n"/>
      <c r="L97" s="92" t="n"/>
      <c r="M97" s="92" t="n"/>
      <c r="N97" s="92" t="n"/>
      <c r="O97" s="92" t="n"/>
      <c r="P97" s="92" t="n"/>
      <c r="Q97" s="92" t="n"/>
      <c r="R97" s="92" t="n"/>
      <c r="S97" s="92" t="n"/>
      <c r="T97" s="92" t="n"/>
      <c r="U97" s="92" t="n"/>
      <c r="V97" s="92" t="n"/>
      <c r="W97" s="92" t="n"/>
      <c r="X97" s="92" t="n"/>
      <c r="Y97" s="92" t="n"/>
      <c r="Z97" s="92" t="n"/>
      <c r="AA97" s="92" t="n"/>
      <c r="AB97" s="92" t="n"/>
      <c r="AC97" s="92" t="n"/>
      <c r="AD97" s="92" t="n"/>
      <c r="AE97" s="92" t="n"/>
      <c r="AF97" s="92" t="n"/>
      <c r="AG97" s="92" t="n"/>
      <c r="AH97" s="92" t="n"/>
      <c r="AI97" s="92" t="n"/>
      <c r="AJ97" s="92" t="n"/>
      <c r="AK97" s="92" t="n"/>
      <c r="AL97" s="92" t="n"/>
      <c r="AM97" s="92" t="n"/>
      <c r="AN97" s="92" t="n"/>
      <c r="AO97" s="92" t="n"/>
      <c r="AP97" s="92" t="n"/>
      <c r="AQ97" s="92" t="n"/>
      <c r="AR97" s="92" t="n"/>
      <c r="AS97" s="92" t="n"/>
      <c r="AT97" s="92" t="n"/>
      <c r="AU97" s="92" t="n"/>
      <c r="AV97" s="92" t="n"/>
      <c r="AX97" s="139" t="n">
        <v>1994</v>
      </c>
      <c r="AY97" s="139" t="n">
        <v>4</v>
      </c>
    </row>
    <row r="98" ht="16.5" customFormat="1" customHeight="1" s="56">
      <c r="A98" s="92" t="n"/>
      <c r="B98" s="92" t="n"/>
      <c r="C98" s="92" t="n"/>
      <c r="D98" s="92" t="n"/>
      <c r="E98" s="92" t="n"/>
      <c r="F98" s="92" t="n"/>
      <c r="G98" s="92" t="n"/>
      <c r="H98" s="92" t="n"/>
      <c r="I98" s="92" t="n"/>
      <c r="J98" s="92" t="n"/>
      <c r="K98" s="92" t="n"/>
      <c r="L98" s="92" t="n"/>
      <c r="M98" s="92" t="n"/>
      <c r="N98" s="92" t="n"/>
      <c r="O98" s="92" t="n"/>
      <c r="P98" s="92" t="n"/>
      <c r="Q98" s="92" t="n"/>
      <c r="R98" s="92" t="n"/>
      <c r="S98" s="92" t="n"/>
      <c r="T98" s="92" t="n"/>
      <c r="U98" s="92" t="n"/>
      <c r="V98" s="92" t="n"/>
      <c r="W98" s="92" t="n"/>
      <c r="X98" s="92" t="n"/>
      <c r="Y98" s="92" t="n"/>
      <c r="Z98" s="92" t="n"/>
      <c r="AA98" s="92" t="n"/>
      <c r="AB98" s="92" t="n"/>
      <c r="AC98" s="92" t="n"/>
      <c r="AD98" s="92" t="n"/>
      <c r="AE98" s="92" t="n"/>
      <c r="AF98" s="92" t="n"/>
      <c r="AG98" s="92" t="n"/>
      <c r="AH98" s="92" t="n"/>
      <c r="AI98" s="92" t="n"/>
      <c r="AJ98" s="92" t="n"/>
      <c r="AK98" s="92" t="n"/>
      <c r="AL98" s="92" t="n"/>
      <c r="AM98" s="92" t="n"/>
      <c r="AN98" s="92" t="n"/>
      <c r="AO98" s="92" t="n"/>
      <c r="AP98" s="92" t="n"/>
      <c r="AQ98" s="92" t="n"/>
      <c r="AR98" s="92" t="n"/>
      <c r="AS98" s="92" t="n"/>
      <c r="AT98" s="92" t="n"/>
      <c r="AU98" s="92" t="n"/>
      <c r="AV98" s="92" t="n"/>
      <c r="AX98" s="139" t="n">
        <v>1994</v>
      </c>
      <c r="AY98" s="139" t="n">
        <v>6</v>
      </c>
    </row>
    <row r="99" ht="16.5" customFormat="1" customHeight="1" s="56">
      <c r="A99" s="92" t="n"/>
      <c r="B99" s="92" t="n"/>
      <c r="C99" s="92" t="n"/>
      <c r="D99" s="92" t="n"/>
      <c r="E99" s="92" t="n"/>
      <c r="F99" s="92" t="n"/>
      <c r="G99" s="92" t="n"/>
      <c r="H99" s="92" t="n"/>
      <c r="I99" s="92" t="n"/>
      <c r="J99" s="92" t="n"/>
      <c r="K99" s="92" t="n"/>
      <c r="L99" s="92" t="n"/>
      <c r="M99" s="92" t="n"/>
      <c r="N99" s="92" t="n"/>
      <c r="O99" s="92" t="n"/>
      <c r="P99" s="92" t="n"/>
      <c r="Q99" s="92" t="n"/>
      <c r="R99" s="92" t="n"/>
      <c r="S99" s="92" t="n"/>
      <c r="T99" s="92" t="n"/>
      <c r="U99" s="92" t="n"/>
      <c r="V99" s="92" t="n"/>
      <c r="W99" s="92" t="n"/>
      <c r="X99" s="92" t="n"/>
      <c r="Y99" s="92" t="n"/>
      <c r="Z99" s="92" t="n"/>
      <c r="AA99" s="92" t="n"/>
      <c r="AB99" s="92" t="n"/>
      <c r="AC99" s="92" t="n"/>
      <c r="AD99" s="92" t="n"/>
      <c r="AE99" s="92" t="n"/>
      <c r="AF99" s="92" t="n"/>
      <c r="AG99" s="92" t="n"/>
      <c r="AH99" s="92" t="n"/>
      <c r="AI99" s="92" t="n"/>
      <c r="AJ99" s="92" t="n"/>
      <c r="AK99" s="92" t="n"/>
      <c r="AL99" s="92" t="n"/>
      <c r="AM99" s="92" t="n"/>
      <c r="AN99" s="92" t="n"/>
      <c r="AO99" s="92" t="n"/>
      <c r="AP99" s="92" t="n"/>
      <c r="AQ99" s="92" t="n"/>
      <c r="AR99" s="92" t="n"/>
      <c r="AS99" s="92" t="n"/>
      <c r="AT99" s="92" t="n"/>
      <c r="AU99" s="92" t="n"/>
      <c r="AV99" s="92" t="n"/>
      <c r="AX99" s="139" t="n">
        <v>1994</v>
      </c>
      <c r="AY99" s="139" t="n">
        <v>6</v>
      </c>
    </row>
    <row r="100" ht="16.5" customFormat="1" customHeight="1" s="56">
      <c r="A100" s="92" t="n"/>
      <c r="B100" s="92" t="n"/>
      <c r="C100" s="92" t="n"/>
      <c r="D100" s="92" t="n"/>
      <c r="E100" s="92" t="n"/>
      <c r="F100" s="92" t="n"/>
      <c r="G100" s="92" t="n"/>
      <c r="H100" s="92" t="n"/>
      <c r="I100" s="92" t="n"/>
      <c r="J100" s="92" t="n"/>
      <c r="K100" s="92" t="n"/>
      <c r="L100" s="92" t="n"/>
      <c r="M100" s="92" t="n"/>
      <c r="N100" s="92" t="n"/>
      <c r="O100" s="92" t="n"/>
      <c r="P100" s="92" t="n"/>
      <c r="Q100" s="92" t="n"/>
      <c r="R100" s="92" t="n"/>
      <c r="S100" s="92" t="n"/>
      <c r="T100" s="92" t="n"/>
      <c r="U100" s="92" t="n"/>
      <c r="V100" s="92" t="n"/>
      <c r="W100" s="92" t="n"/>
      <c r="X100" s="92" t="n"/>
      <c r="Y100" s="92" t="n"/>
      <c r="Z100" s="92" t="n"/>
      <c r="AA100" s="92" t="n"/>
      <c r="AB100" s="92" t="n"/>
      <c r="AC100" s="92" t="n"/>
      <c r="AD100" s="92" t="n"/>
      <c r="AE100" s="92" t="n"/>
      <c r="AF100" s="92" t="n"/>
      <c r="AG100" s="92" t="n"/>
      <c r="AH100" s="92" t="n"/>
      <c r="AI100" s="92" t="n"/>
      <c r="AJ100" s="92" t="n"/>
      <c r="AK100" s="92" t="n"/>
      <c r="AL100" s="92" t="n"/>
      <c r="AM100" s="92" t="n"/>
      <c r="AN100" s="92" t="n"/>
      <c r="AO100" s="92" t="n"/>
      <c r="AP100" s="92" t="n"/>
      <c r="AQ100" s="92" t="n"/>
      <c r="AR100" s="92" t="n"/>
      <c r="AS100" s="92" t="n"/>
      <c r="AT100" s="92" t="n"/>
      <c r="AU100" s="92" t="n"/>
      <c r="AV100" s="92" t="n"/>
      <c r="AX100" s="139" t="n">
        <v>1994</v>
      </c>
      <c r="AY100" s="139" t="n">
        <v>6</v>
      </c>
    </row>
    <row r="101" ht="16.5" customFormat="1" customHeight="1" s="56">
      <c r="A101" s="92" t="n"/>
      <c r="B101" s="92" t="n"/>
      <c r="C101" s="92" t="n"/>
      <c r="D101" s="92" t="n"/>
      <c r="E101" s="92" t="n"/>
      <c r="F101" s="92" t="n"/>
      <c r="G101" s="92" t="n"/>
      <c r="H101" s="92" t="n"/>
      <c r="I101" s="92" t="n"/>
      <c r="J101" s="92" t="n"/>
      <c r="K101" s="92" t="n"/>
      <c r="L101" s="92" t="n"/>
      <c r="M101" s="92" t="n"/>
      <c r="N101" s="92" t="n"/>
      <c r="O101" s="92" t="n"/>
      <c r="P101" s="92" t="n"/>
      <c r="Q101" s="92" t="n"/>
      <c r="R101" s="92" t="n"/>
      <c r="S101" s="92" t="n"/>
      <c r="T101" s="92" t="n"/>
      <c r="U101" s="92" t="n"/>
      <c r="V101" s="92" t="n"/>
      <c r="W101" s="92" t="n"/>
      <c r="X101" s="92" t="n"/>
      <c r="Y101" s="92" t="n"/>
      <c r="Z101" s="92" t="n"/>
      <c r="AA101" s="92" t="n"/>
      <c r="AB101" s="92" t="n"/>
      <c r="AC101" s="92" t="n"/>
      <c r="AD101" s="92" t="n"/>
      <c r="AE101" s="92" t="n"/>
      <c r="AF101" s="92" t="n"/>
      <c r="AG101" s="92" t="n"/>
      <c r="AH101" s="92" t="n"/>
      <c r="AI101" s="92" t="n"/>
      <c r="AJ101" s="92" t="n"/>
      <c r="AK101" s="92" t="n"/>
      <c r="AL101" s="92" t="n"/>
      <c r="AM101" s="92" t="n"/>
      <c r="AN101" s="92" t="n"/>
      <c r="AO101" s="92" t="n"/>
      <c r="AP101" s="92" t="n"/>
      <c r="AQ101" s="92" t="n"/>
      <c r="AR101" s="92" t="n"/>
      <c r="AS101" s="92" t="n"/>
      <c r="AT101" s="92" t="n"/>
      <c r="AU101" s="92" t="n"/>
      <c r="AV101" s="92" t="n"/>
      <c r="AX101" s="139" t="n">
        <v>1994</v>
      </c>
      <c r="AY101" s="139" t="n">
        <v>6</v>
      </c>
    </row>
    <row r="102" ht="16.5" customFormat="1" customHeight="1" s="56">
      <c r="A102" s="92" t="n"/>
      <c r="B102" s="92" t="n"/>
      <c r="C102" s="92" t="n"/>
      <c r="D102" s="92" t="n"/>
      <c r="E102" s="92" t="n"/>
      <c r="F102" s="92" t="n"/>
      <c r="G102" s="92" t="n"/>
      <c r="H102" s="92" t="n"/>
      <c r="I102" s="92" t="n"/>
      <c r="J102" s="92" t="n"/>
      <c r="K102" s="92" t="n"/>
      <c r="L102" s="92" t="n"/>
      <c r="M102" s="92" t="n"/>
      <c r="N102" s="92" t="n"/>
      <c r="O102" s="92" t="n"/>
      <c r="P102" s="92" t="n"/>
      <c r="Q102" s="92" t="n"/>
      <c r="R102" s="92" t="n"/>
      <c r="S102" s="92" t="n"/>
      <c r="T102" s="92" t="n"/>
      <c r="U102" s="92" t="n"/>
      <c r="V102" s="92" t="n"/>
      <c r="W102" s="92" t="n"/>
      <c r="X102" s="92" t="n"/>
      <c r="Y102" s="92" t="n"/>
      <c r="Z102" s="92" t="n"/>
      <c r="AA102" s="92" t="n"/>
      <c r="AB102" s="92" t="n"/>
      <c r="AC102" s="92" t="n"/>
      <c r="AD102" s="92" t="n"/>
      <c r="AE102" s="92" t="n"/>
      <c r="AF102" s="92" t="n"/>
      <c r="AG102" s="92" t="n"/>
      <c r="AH102" s="92" t="n"/>
      <c r="AI102" s="92" t="n"/>
      <c r="AJ102" s="92" t="n"/>
      <c r="AK102" s="92" t="n"/>
      <c r="AL102" s="92" t="n"/>
      <c r="AM102" s="92" t="n"/>
      <c r="AN102" s="92" t="n"/>
      <c r="AO102" s="92" t="n"/>
      <c r="AP102" s="92" t="n"/>
      <c r="AQ102" s="92" t="n"/>
      <c r="AR102" s="92" t="n"/>
      <c r="AS102" s="92" t="n"/>
      <c r="AT102" s="92" t="n"/>
      <c r="AU102" s="92" t="n"/>
      <c r="AV102" s="92" t="n"/>
      <c r="AX102" s="139" t="n">
        <v>1993</v>
      </c>
      <c r="AY102" s="139" t="n">
        <v>12</v>
      </c>
    </row>
    <row r="103" ht="16.5" customFormat="1" customHeight="1" s="56">
      <c r="A103" s="92" t="n"/>
      <c r="B103" s="92" t="n"/>
      <c r="C103" s="92" t="n"/>
      <c r="D103" s="92" t="n"/>
      <c r="E103" s="92" t="n"/>
      <c r="F103" s="92" t="n"/>
      <c r="G103" s="92" t="n"/>
      <c r="H103" s="92" t="n"/>
      <c r="I103" s="92" t="n"/>
      <c r="J103" s="92" t="n"/>
      <c r="K103" s="92" t="n"/>
      <c r="L103" s="92" t="n"/>
      <c r="M103" s="92" t="n"/>
      <c r="N103" s="92" t="n"/>
      <c r="O103" s="92" t="n"/>
      <c r="P103" s="92" t="n"/>
      <c r="Q103" s="92" t="n"/>
      <c r="R103" s="92" t="n"/>
      <c r="S103" s="92" t="n"/>
      <c r="T103" s="92" t="n"/>
      <c r="U103" s="92" t="n"/>
      <c r="V103" s="92" t="n"/>
      <c r="W103" s="92" t="n"/>
      <c r="X103" s="92" t="n"/>
      <c r="Y103" s="92" t="n"/>
      <c r="Z103" s="92" t="n"/>
      <c r="AA103" s="92" t="n"/>
      <c r="AB103" s="92" t="n"/>
      <c r="AC103" s="92" t="n"/>
      <c r="AD103" s="92" t="n"/>
      <c r="AE103" s="92" t="n"/>
      <c r="AF103" s="92" t="n"/>
      <c r="AG103" s="92" t="n"/>
      <c r="AH103" s="92" t="n"/>
      <c r="AI103" s="92" t="n"/>
      <c r="AJ103" s="92" t="n"/>
      <c r="AK103" s="92" t="n"/>
      <c r="AL103" s="92" t="n"/>
      <c r="AM103" s="92" t="n"/>
      <c r="AN103" s="92" t="n"/>
      <c r="AO103" s="92" t="n"/>
      <c r="AP103" s="92" t="n"/>
      <c r="AQ103" s="92" t="n"/>
      <c r="AR103" s="92" t="n"/>
      <c r="AS103" s="92" t="n"/>
      <c r="AT103" s="92" t="n"/>
      <c r="AU103" s="92" t="n"/>
      <c r="AV103" s="92" t="n"/>
      <c r="AX103" s="139" t="n">
        <v>1993</v>
      </c>
      <c r="AY103" s="139" t="n">
        <v>7</v>
      </c>
    </row>
    <row r="104" ht="16.5" customFormat="1" customHeight="1" s="56">
      <c r="A104" s="92" t="n"/>
      <c r="B104" s="92" t="n"/>
      <c r="C104" s="92" t="n"/>
      <c r="D104" s="92" t="n"/>
      <c r="E104" s="92" t="n"/>
      <c r="F104" s="92" t="n"/>
      <c r="G104" s="92" t="n"/>
      <c r="H104" s="92" t="n"/>
      <c r="I104" s="92" t="n"/>
      <c r="J104" s="92" t="n"/>
      <c r="K104" s="92" t="n"/>
      <c r="L104" s="92" t="n"/>
      <c r="M104" s="92" t="n"/>
      <c r="N104" s="92" t="n"/>
      <c r="O104" s="92" t="n"/>
      <c r="P104" s="92" t="n"/>
      <c r="Q104" s="92" t="n"/>
      <c r="R104" s="92" t="n"/>
      <c r="S104" s="92" t="n"/>
      <c r="T104" s="92" t="n"/>
      <c r="U104" s="92" t="n"/>
      <c r="V104" s="92" t="n"/>
      <c r="W104" s="92" t="n"/>
      <c r="X104" s="92" t="n"/>
      <c r="Y104" s="92" t="n"/>
      <c r="Z104" s="92" t="n"/>
      <c r="AA104" s="92" t="n"/>
      <c r="AB104" s="92" t="n"/>
      <c r="AC104" s="92" t="n"/>
      <c r="AD104" s="92" t="n"/>
      <c r="AE104" s="92" t="n"/>
      <c r="AF104" s="92" t="n"/>
      <c r="AG104" s="92" t="n"/>
      <c r="AH104" s="92" t="n"/>
      <c r="AI104" s="92" t="n"/>
      <c r="AJ104" s="92" t="n"/>
      <c r="AK104" s="92" t="n"/>
      <c r="AL104" s="92" t="n"/>
      <c r="AM104" s="92" t="n"/>
      <c r="AN104" s="92" t="n"/>
      <c r="AO104" s="92" t="n"/>
      <c r="AP104" s="92" t="n"/>
      <c r="AQ104" s="92" t="n"/>
      <c r="AR104" s="92" t="n"/>
      <c r="AS104" s="92" t="n"/>
      <c r="AT104" s="92" t="n"/>
      <c r="AU104" s="92" t="n"/>
      <c r="AV104" s="92" t="n"/>
      <c r="AX104" s="139" t="n">
        <v>1994</v>
      </c>
      <c r="AY104" s="139" t="n">
        <v>4</v>
      </c>
    </row>
    <row r="105" ht="16.5" customFormat="1" customHeight="1" s="56">
      <c r="A105" s="92" t="n"/>
      <c r="B105" s="92" t="n"/>
      <c r="C105" s="92" t="n"/>
      <c r="D105" s="92" t="n"/>
      <c r="E105" s="92" t="n"/>
      <c r="F105" s="92" t="n"/>
      <c r="G105" s="92" t="n"/>
      <c r="H105" s="92" t="n"/>
      <c r="I105" s="92" t="n"/>
      <c r="J105" s="92" t="n"/>
      <c r="K105" s="92" t="n"/>
      <c r="L105" s="92" t="n"/>
      <c r="M105" s="92" t="n"/>
      <c r="N105" s="92" t="n"/>
      <c r="O105" s="92" t="n"/>
      <c r="P105" s="92" t="n"/>
      <c r="Q105" s="92" t="n"/>
      <c r="R105" s="92" t="n"/>
      <c r="S105" s="92" t="n"/>
      <c r="T105" s="92" t="n"/>
      <c r="U105" s="92" t="n"/>
      <c r="V105" s="92" t="n"/>
      <c r="W105" s="92" t="n"/>
      <c r="X105" s="92" t="n"/>
      <c r="Y105" s="92" t="n"/>
      <c r="Z105" s="92" t="n"/>
      <c r="AA105" s="92" t="n"/>
      <c r="AB105" s="92" t="n"/>
      <c r="AC105" s="92" t="n"/>
      <c r="AD105" s="92" t="n"/>
      <c r="AE105" s="92" t="n"/>
      <c r="AF105" s="92" t="n"/>
      <c r="AG105" s="92" t="n"/>
      <c r="AH105" s="92" t="n"/>
      <c r="AI105" s="92" t="n"/>
      <c r="AJ105" s="92" t="n"/>
      <c r="AK105" s="92" t="n"/>
      <c r="AL105" s="92" t="n"/>
      <c r="AM105" s="92" t="n"/>
      <c r="AN105" s="92" t="n"/>
      <c r="AO105" s="92" t="n"/>
      <c r="AP105" s="92" t="n"/>
      <c r="AQ105" s="92" t="n"/>
      <c r="AR105" s="92" t="n"/>
      <c r="AS105" s="92" t="n"/>
      <c r="AT105" s="92" t="n"/>
      <c r="AU105" s="92" t="n"/>
      <c r="AV105" s="92" t="n"/>
      <c r="AX105" s="139" t="n">
        <v>1993</v>
      </c>
      <c r="AY105" s="139" t="n">
        <v>12</v>
      </c>
    </row>
    <row r="106" ht="16.5" customFormat="1" customHeight="1" s="56">
      <c r="A106" s="92" t="n"/>
      <c r="B106" s="92" t="n"/>
      <c r="C106" s="92" t="n"/>
      <c r="D106" s="92" t="n"/>
      <c r="E106" s="92" t="n"/>
      <c r="F106" s="92" t="n"/>
      <c r="G106" s="92" t="n"/>
      <c r="H106" s="92" t="n"/>
      <c r="I106" s="92" t="n"/>
      <c r="J106" s="92" t="n"/>
      <c r="K106" s="92" t="n"/>
      <c r="L106" s="92" t="n"/>
      <c r="M106" s="92" t="n"/>
      <c r="N106" s="92" t="n"/>
      <c r="O106" s="92" t="n"/>
      <c r="P106" s="92" t="n"/>
      <c r="Q106" s="92" t="n"/>
      <c r="R106" s="92" t="n"/>
      <c r="S106" s="92" t="n"/>
      <c r="T106" s="92" t="n"/>
      <c r="U106" s="92" t="n"/>
      <c r="V106" s="92" t="n"/>
      <c r="W106" s="92" t="n"/>
      <c r="X106" s="92" t="n"/>
      <c r="Y106" s="92" t="n"/>
      <c r="Z106" s="92" t="n"/>
      <c r="AA106" s="92" t="n"/>
      <c r="AB106" s="92" t="n"/>
      <c r="AC106" s="92" t="n"/>
      <c r="AD106" s="92" t="n"/>
      <c r="AE106" s="92" t="n"/>
      <c r="AF106" s="92" t="n"/>
      <c r="AG106" s="92" t="n"/>
      <c r="AH106" s="92" t="n"/>
      <c r="AI106" s="92" t="n"/>
      <c r="AJ106" s="92" t="n"/>
      <c r="AK106" s="92" t="n"/>
      <c r="AL106" s="92" t="n"/>
      <c r="AM106" s="92" t="n"/>
      <c r="AN106" s="92" t="n"/>
      <c r="AO106" s="92" t="n"/>
      <c r="AP106" s="92" t="n"/>
      <c r="AQ106" s="92" t="n"/>
      <c r="AR106" s="92" t="n"/>
      <c r="AS106" s="92" t="n"/>
      <c r="AT106" s="92" t="n"/>
      <c r="AU106" s="92" t="n"/>
      <c r="AV106" s="92" t="n"/>
      <c r="AX106" s="139" t="n">
        <v>1993</v>
      </c>
      <c r="AY106" s="139" t="n">
        <v>12</v>
      </c>
    </row>
    <row r="107" ht="16.5" customFormat="1" customHeight="1" s="56">
      <c r="A107" s="92" t="n"/>
      <c r="B107" s="92" t="n"/>
      <c r="C107" s="92" t="n"/>
      <c r="D107" s="92" t="n"/>
      <c r="E107" s="92" t="n"/>
      <c r="F107" s="92" t="n"/>
      <c r="G107" s="92" t="n"/>
      <c r="H107" s="92" t="n"/>
      <c r="I107" s="92" t="n"/>
      <c r="J107" s="92" t="n"/>
      <c r="K107" s="92" t="n"/>
      <c r="L107" s="92" t="n"/>
      <c r="M107" s="92" t="n"/>
      <c r="N107" s="92" t="n"/>
      <c r="O107" s="92" t="n"/>
      <c r="P107" s="92" t="n"/>
      <c r="Q107" s="92" t="n"/>
      <c r="R107" s="92" t="n"/>
      <c r="S107" s="92" t="n"/>
      <c r="T107" s="92" t="n"/>
      <c r="U107" s="92" t="n"/>
      <c r="V107" s="92" t="n"/>
      <c r="W107" s="92" t="n"/>
      <c r="X107" s="92" t="n"/>
      <c r="Y107" s="92" t="n"/>
      <c r="Z107" s="92" t="n"/>
      <c r="AA107" s="92" t="n"/>
      <c r="AB107" s="92" t="n"/>
      <c r="AC107" s="92" t="n"/>
      <c r="AD107" s="92" t="n"/>
      <c r="AE107" s="92" t="n"/>
      <c r="AF107" s="92" t="n"/>
      <c r="AG107" s="92" t="n"/>
      <c r="AH107" s="92" t="n"/>
      <c r="AI107" s="92" t="n"/>
      <c r="AJ107" s="92" t="n"/>
      <c r="AK107" s="92" t="n"/>
      <c r="AL107" s="92" t="n"/>
      <c r="AM107" s="92" t="n"/>
      <c r="AN107" s="92" t="n"/>
      <c r="AO107" s="92" t="n"/>
      <c r="AP107" s="92" t="n"/>
      <c r="AQ107" s="92" t="n"/>
      <c r="AR107" s="92" t="n"/>
      <c r="AS107" s="92" t="n"/>
      <c r="AT107" s="92" t="n"/>
      <c r="AU107" s="92" t="n"/>
      <c r="AV107" s="92" t="n"/>
      <c r="AX107" s="139" t="n">
        <v>1994</v>
      </c>
      <c r="AY107" s="139" t="n">
        <v>5</v>
      </c>
    </row>
    <row r="108" ht="16.5" customFormat="1" customHeight="1" s="56">
      <c r="A108" s="92" t="n"/>
      <c r="B108" s="92" t="n"/>
      <c r="C108" s="92" t="n"/>
      <c r="D108" s="92" t="n"/>
      <c r="E108" s="92" t="n"/>
      <c r="F108" s="92" t="n"/>
      <c r="G108" s="92" t="n"/>
      <c r="H108" s="92" t="n"/>
      <c r="I108" s="92" t="n"/>
      <c r="J108" s="92" t="n"/>
      <c r="K108" s="92" t="n"/>
      <c r="L108" s="92" t="n"/>
      <c r="M108" s="92" t="n"/>
      <c r="N108" s="92" t="n"/>
      <c r="O108" s="92" t="n"/>
      <c r="P108" s="92" t="n"/>
      <c r="Q108" s="92" t="n"/>
      <c r="R108" s="92" t="n"/>
      <c r="S108" s="92" t="n"/>
      <c r="T108" s="92" t="n"/>
      <c r="U108" s="92" t="n"/>
      <c r="V108" s="92" t="n"/>
      <c r="W108" s="92" t="n"/>
      <c r="X108" s="92" t="n"/>
      <c r="Y108" s="92" t="n"/>
      <c r="Z108" s="92" t="n"/>
      <c r="AA108" s="92" t="n"/>
      <c r="AB108" s="92" t="n"/>
      <c r="AC108" s="92" t="n"/>
      <c r="AD108" s="92" t="n"/>
      <c r="AE108" s="92" t="n"/>
      <c r="AF108" s="92" t="n"/>
      <c r="AG108" s="92" t="n"/>
      <c r="AH108" s="92" t="n"/>
      <c r="AI108" s="92" t="n"/>
      <c r="AJ108" s="92" t="n"/>
      <c r="AK108" s="92" t="n"/>
      <c r="AL108" s="92" t="n"/>
      <c r="AM108" s="92" t="n"/>
      <c r="AN108" s="92" t="n"/>
      <c r="AO108" s="92" t="n"/>
      <c r="AP108" s="92" t="n"/>
      <c r="AQ108" s="92" t="n"/>
      <c r="AR108" s="92" t="n"/>
      <c r="AS108" s="92" t="n"/>
      <c r="AT108" s="92" t="n"/>
      <c r="AU108" s="92" t="n"/>
      <c r="AV108" s="92" t="n"/>
      <c r="AX108" s="139" t="n">
        <v>2019</v>
      </c>
      <c r="AY108" s="139" t="n">
        <v>4</v>
      </c>
    </row>
    <row r="109" ht="16.5" customFormat="1" customHeight="1" s="56">
      <c r="A109" s="92" t="n"/>
      <c r="B109" s="92" t="n"/>
      <c r="C109" s="92" t="n"/>
      <c r="D109" s="92" t="n"/>
      <c r="E109" s="92" t="n"/>
      <c r="F109" s="92" t="n"/>
      <c r="G109" s="92" t="n"/>
      <c r="H109" s="92" t="n"/>
      <c r="I109" s="92" t="n"/>
      <c r="J109" s="92" t="n"/>
      <c r="K109" s="92" t="n"/>
      <c r="L109" s="92" t="n"/>
      <c r="M109" s="92" t="n"/>
      <c r="N109" s="92" t="n"/>
      <c r="O109" s="92" t="n"/>
      <c r="P109" s="92" t="n"/>
      <c r="Q109" s="92" t="n"/>
      <c r="R109" s="92" t="n"/>
      <c r="S109" s="92" t="n"/>
      <c r="T109" s="92" t="n"/>
      <c r="U109" s="92" t="n"/>
      <c r="V109" s="92" t="n"/>
      <c r="W109" s="92" t="n"/>
      <c r="X109" s="92" t="n"/>
      <c r="Y109" s="92" t="n"/>
      <c r="Z109" s="92" t="n"/>
      <c r="AA109" s="92" t="n"/>
      <c r="AB109" s="92" t="n"/>
      <c r="AC109" s="92" t="n"/>
      <c r="AD109" s="92" t="n"/>
      <c r="AE109" s="92" t="n"/>
      <c r="AF109" s="92" t="n"/>
      <c r="AG109" s="92" t="n"/>
      <c r="AH109" s="92" t="n"/>
      <c r="AI109" s="92" t="n"/>
      <c r="AJ109" s="92" t="n"/>
      <c r="AK109" s="92" t="n"/>
      <c r="AL109" s="92" t="n"/>
      <c r="AM109" s="92" t="n"/>
      <c r="AN109" s="92" t="n"/>
      <c r="AO109" s="92" t="n"/>
      <c r="AP109" s="92" t="n"/>
      <c r="AQ109" s="92" t="n"/>
      <c r="AR109" s="92" t="n"/>
      <c r="AS109" s="92" t="n"/>
      <c r="AT109" s="92" t="n"/>
      <c r="AU109" s="92" t="n"/>
      <c r="AV109" s="92" t="n"/>
      <c r="AX109" s="139" t="n">
        <v>1993</v>
      </c>
      <c r="AY109" s="139" t="n">
        <v>8</v>
      </c>
    </row>
    <row r="110" ht="16.5" customFormat="1" customHeight="1" s="56">
      <c r="A110" s="92" t="n"/>
      <c r="B110" s="92" t="n"/>
      <c r="C110" s="92" t="n"/>
      <c r="D110" s="92" t="n"/>
      <c r="E110" s="92" t="n"/>
      <c r="F110" s="92" t="n"/>
      <c r="G110" s="92" t="n"/>
      <c r="H110" s="92" t="n"/>
      <c r="I110" s="92" t="n"/>
      <c r="J110" s="92" t="n"/>
      <c r="K110" s="92" t="n"/>
      <c r="L110" s="92" t="n"/>
      <c r="M110" s="92" t="n"/>
      <c r="N110" s="92" t="n"/>
      <c r="O110" s="92" t="n"/>
      <c r="P110" s="92" t="n"/>
      <c r="Q110" s="92" t="n"/>
      <c r="R110" s="92" t="n"/>
      <c r="S110" s="92" t="n"/>
      <c r="T110" s="92" t="n"/>
      <c r="U110" s="92" t="n"/>
      <c r="V110" s="92" t="n"/>
      <c r="W110" s="92" t="n"/>
      <c r="X110" s="92" t="n"/>
      <c r="Y110" s="92" t="n"/>
      <c r="Z110" s="92" t="n"/>
      <c r="AA110" s="92" t="n"/>
      <c r="AB110" s="92" t="n"/>
      <c r="AC110" s="92" t="n"/>
      <c r="AD110" s="92" t="n"/>
      <c r="AE110" s="92" t="n"/>
      <c r="AF110" s="92" t="n"/>
      <c r="AG110" s="92" t="n"/>
      <c r="AH110" s="92" t="n"/>
      <c r="AI110" s="92" t="n"/>
      <c r="AJ110" s="92" t="n"/>
      <c r="AK110" s="92" t="n"/>
      <c r="AL110" s="92" t="n"/>
      <c r="AM110" s="92" t="n"/>
      <c r="AN110" s="92" t="n"/>
      <c r="AO110" s="92" t="n"/>
      <c r="AP110" s="92" t="n"/>
      <c r="AQ110" s="92" t="n"/>
      <c r="AR110" s="92" t="n"/>
      <c r="AS110" s="92" t="n"/>
      <c r="AT110" s="92" t="n"/>
      <c r="AU110" s="92" t="n"/>
      <c r="AV110" s="92" t="n"/>
      <c r="AX110" s="139" t="n">
        <v>1993</v>
      </c>
      <c r="AY110" s="139" t="n">
        <v>8</v>
      </c>
    </row>
    <row r="111" ht="16.5" customFormat="1" customHeight="1" s="56">
      <c r="A111" s="92" t="n"/>
      <c r="B111" s="92" t="n"/>
      <c r="C111" s="92" t="n"/>
      <c r="D111" s="92" t="n"/>
      <c r="E111" s="92" t="n"/>
      <c r="F111" s="92" t="n"/>
      <c r="G111" s="92" t="n"/>
      <c r="H111" s="92" t="n"/>
      <c r="I111" s="92" t="n"/>
      <c r="J111" s="92" t="n"/>
      <c r="K111" s="92" t="n"/>
      <c r="L111" s="92" t="n"/>
      <c r="M111" s="92" t="n"/>
      <c r="N111" s="92" t="n"/>
      <c r="O111" s="92" t="n"/>
      <c r="P111" s="92" t="n"/>
      <c r="Q111" s="92" t="n"/>
      <c r="R111" s="92" t="n"/>
      <c r="S111" s="92" t="n"/>
      <c r="T111" s="92" t="n"/>
      <c r="U111" s="92" t="n"/>
      <c r="V111" s="92" t="n"/>
      <c r="W111" s="92" t="n"/>
      <c r="X111" s="92" t="n"/>
      <c r="Y111" s="92" t="n"/>
      <c r="Z111" s="92" t="n"/>
      <c r="AA111" s="92" t="n"/>
      <c r="AB111" s="92" t="n"/>
      <c r="AC111" s="92" t="n"/>
      <c r="AD111" s="92" t="n"/>
      <c r="AE111" s="92" t="n"/>
      <c r="AF111" s="92" t="n"/>
      <c r="AG111" s="92" t="n"/>
      <c r="AH111" s="92" t="n"/>
      <c r="AI111" s="92" t="n"/>
      <c r="AJ111" s="92" t="n"/>
      <c r="AK111" s="92" t="n"/>
      <c r="AL111" s="92" t="n"/>
      <c r="AM111" s="92" t="n"/>
      <c r="AN111" s="92" t="n"/>
      <c r="AO111" s="92" t="n"/>
      <c r="AP111" s="92" t="n"/>
      <c r="AQ111" s="92" t="n"/>
      <c r="AR111" s="92" t="n"/>
      <c r="AS111" s="92" t="n"/>
      <c r="AT111" s="92" t="n"/>
      <c r="AU111" s="92" t="n"/>
      <c r="AV111" s="92" t="n"/>
      <c r="AX111" s="139" t="n">
        <v>2019</v>
      </c>
      <c r="AY111" s="139" t="n">
        <v>3</v>
      </c>
    </row>
    <row r="112" ht="16.5" customFormat="1" customHeight="1" s="56">
      <c r="A112" s="92" t="n"/>
      <c r="B112" s="92" t="n"/>
      <c r="C112" s="92" t="n"/>
      <c r="D112" s="92" t="n"/>
      <c r="E112" s="92" t="n"/>
      <c r="F112" s="92" t="n"/>
      <c r="G112" s="92" t="n"/>
      <c r="H112" s="92" t="n"/>
      <c r="I112" s="92" t="n"/>
      <c r="J112" s="92" t="n"/>
      <c r="K112" s="92" t="n"/>
      <c r="L112" s="92" t="n"/>
      <c r="M112" s="92" t="n"/>
      <c r="N112" s="92" t="n"/>
      <c r="O112" s="92" t="n"/>
      <c r="P112" s="92" t="n"/>
      <c r="Q112" s="92" t="n"/>
      <c r="R112" s="92" t="n"/>
      <c r="S112" s="92" t="n"/>
      <c r="T112" s="92" t="n"/>
      <c r="U112" s="92" t="n"/>
      <c r="V112" s="92" t="n"/>
      <c r="W112" s="92" t="n"/>
      <c r="X112" s="92" t="n"/>
      <c r="Y112" s="92" t="n"/>
      <c r="Z112" s="92" t="n"/>
      <c r="AA112" s="92" t="n"/>
      <c r="AB112" s="92" t="n"/>
      <c r="AC112" s="92" t="n"/>
      <c r="AD112" s="92" t="n"/>
      <c r="AE112" s="92" t="n"/>
      <c r="AF112" s="92" t="n"/>
      <c r="AG112" s="92" t="n"/>
      <c r="AH112" s="92" t="n"/>
      <c r="AI112" s="92" t="n"/>
      <c r="AJ112" s="92" t="n"/>
      <c r="AK112" s="92" t="n"/>
      <c r="AL112" s="92" t="n"/>
      <c r="AM112" s="92" t="n"/>
      <c r="AN112" s="92" t="n"/>
      <c r="AO112" s="92" t="n"/>
      <c r="AP112" s="92" t="n"/>
      <c r="AQ112" s="92" t="n"/>
      <c r="AR112" s="92" t="n"/>
      <c r="AS112" s="92" t="n"/>
      <c r="AT112" s="92" t="n"/>
      <c r="AU112" s="92" t="n"/>
      <c r="AV112" s="92" t="n"/>
      <c r="AX112" s="139" t="n">
        <v>2019</v>
      </c>
      <c r="AY112" s="139" t="n">
        <v>3</v>
      </c>
    </row>
    <row r="113" ht="16.5" customFormat="1" customHeight="1" s="56">
      <c r="A113" s="92" t="n"/>
      <c r="B113" s="92" t="n"/>
      <c r="C113" s="92" t="n"/>
      <c r="D113" s="92" t="n"/>
      <c r="E113" s="92" t="n"/>
      <c r="F113" s="92" t="n"/>
      <c r="G113" s="92" t="n"/>
      <c r="H113" s="92" t="n"/>
      <c r="I113" s="92" t="n"/>
      <c r="J113" s="92" t="n"/>
      <c r="K113" s="92" t="n"/>
      <c r="L113" s="92" t="n"/>
      <c r="M113" s="92" t="n"/>
      <c r="N113" s="92" t="n"/>
      <c r="O113" s="92" t="n"/>
      <c r="P113" s="92" t="n"/>
      <c r="Q113" s="92" t="n"/>
      <c r="R113" s="92" t="n"/>
      <c r="S113" s="92" t="n"/>
      <c r="T113" s="92" t="n"/>
      <c r="U113" s="92" t="n"/>
      <c r="V113" s="92" t="n"/>
      <c r="W113" s="92" t="n"/>
      <c r="X113" s="92" t="n"/>
      <c r="Y113" s="92" t="n"/>
      <c r="Z113" s="92" t="n"/>
      <c r="AA113" s="92" t="n"/>
      <c r="AB113" s="92" t="n"/>
      <c r="AC113" s="92" t="n"/>
      <c r="AD113" s="92" t="n"/>
      <c r="AE113" s="92" t="n"/>
      <c r="AF113" s="92" t="n"/>
      <c r="AG113" s="92" t="n"/>
      <c r="AH113" s="92" t="n"/>
      <c r="AI113" s="92" t="n"/>
      <c r="AJ113" s="92" t="n"/>
      <c r="AK113" s="92" t="n"/>
      <c r="AL113" s="92" t="n"/>
      <c r="AM113" s="92" t="n"/>
      <c r="AN113" s="92" t="n"/>
      <c r="AO113" s="92" t="n"/>
      <c r="AP113" s="92" t="n"/>
      <c r="AQ113" s="92" t="n"/>
      <c r="AR113" s="92" t="n"/>
      <c r="AS113" s="92" t="n"/>
      <c r="AT113" s="92" t="n"/>
      <c r="AU113" s="92" t="n"/>
      <c r="AV113" s="92" t="n"/>
      <c r="AX113" s="139" t="n">
        <v>1994</v>
      </c>
      <c r="AY113" s="139" t="n">
        <v>9</v>
      </c>
    </row>
    <row r="114" ht="16.5" customFormat="1" customHeight="1" s="56">
      <c r="A114" s="92" t="n"/>
      <c r="B114" s="92" t="n"/>
      <c r="C114" s="92" t="n"/>
      <c r="D114" s="92" t="n"/>
      <c r="E114" s="92" t="n"/>
      <c r="F114" s="92" t="n"/>
      <c r="G114" s="92" t="n"/>
      <c r="H114" s="92" t="n"/>
      <c r="I114" s="92" t="n"/>
      <c r="J114" s="92" t="n"/>
      <c r="K114" s="92" t="n"/>
      <c r="L114" s="92" t="n"/>
      <c r="M114" s="92" t="n"/>
      <c r="N114" s="92" t="n"/>
      <c r="O114" s="92" t="n"/>
      <c r="P114" s="92" t="n"/>
      <c r="Q114" s="92" t="n"/>
      <c r="R114" s="92" t="n"/>
      <c r="S114" s="92" t="n"/>
      <c r="T114" s="92" t="n"/>
      <c r="U114" s="92" t="n"/>
      <c r="V114" s="92" t="n"/>
      <c r="W114" s="92" t="n"/>
      <c r="X114" s="92" t="n"/>
      <c r="Y114" s="92" t="n"/>
      <c r="Z114" s="92" t="n"/>
      <c r="AA114" s="92" t="n"/>
      <c r="AB114" s="92" t="n"/>
      <c r="AC114" s="92" t="n"/>
      <c r="AD114" s="92" t="n"/>
      <c r="AE114" s="92" t="n"/>
      <c r="AF114" s="92" t="n"/>
      <c r="AG114" s="92" t="n"/>
      <c r="AH114" s="92" t="n"/>
      <c r="AI114" s="92" t="n"/>
      <c r="AJ114" s="92" t="n"/>
      <c r="AK114" s="92" t="n"/>
      <c r="AL114" s="92" t="n"/>
      <c r="AM114" s="92" t="n"/>
      <c r="AN114" s="92" t="n"/>
      <c r="AO114" s="92" t="n"/>
      <c r="AP114" s="92" t="n"/>
      <c r="AQ114" s="92" t="n"/>
      <c r="AR114" s="92" t="n"/>
      <c r="AS114" s="92" t="n"/>
      <c r="AT114" s="92" t="n"/>
      <c r="AU114" s="92" t="n"/>
      <c r="AV114" s="92" t="n"/>
      <c r="AX114" s="139" t="n">
        <v>1994</v>
      </c>
      <c r="AY114" s="139" t="n">
        <v>9</v>
      </c>
    </row>
    <row r="115" ht="16.5" customFormat="1" customHeight="1" s="56">
      <c r="A115" s="92" t="n"/>
      <c r="B115" s="92" t="n"/>
      <c r="C115" s="92" t="n"/>
      <c r="D115" s="92" t="n"/>
      <c r="E115" s="92" t="n"/>
      <c r="F115" s="92" t="n"/>
      <c r="G115" s="92" t="n"/>
      <c r="H115" s="92" t="n"/>
      <c r="I115" s="92" t="n"/>
      <c r="J115" s="92" t="n"/>
      <c r="K115" s="92" t="n"/>
      <c r="L115" s="92" t="n"/>
      <c r="M115" s="92" t="n"/>
      <c r="N115" s="92" t="n"/>
      <c r="O115" s="92" t="n"/>
      <c r="P115" s="92" t="n"/>
      <c r="Q115" s="92" t="n"/>
      <c r="R115" s="92" t="n"/>
      <c r="S115" s="92" t="n"/>
      <c r="T115" s="92" t="n"/>
      <c r="U115" s="92" t="n"/>
      <c r="V115" s="92" t="n"/>
      <c r="W115" s="92" t="n"/>
      <c r="X115" s="92" t="n"/>
      <c r="Y115" s="92" t="n"/>
      <c r="Z115" s="92" t="n"/>
      <c r="AA115" s="92" t="n"/>
      <c r="AB115" s="92" t="n"/>
      <c r="AC115" s="92" t="n"/>
      <c r="AD115" s="92" t="n"/>
      <c r="AE115" s="92" t="n"/>
      <c r="AF115" s="92" t="n"/>
      <c r="AG115" s="92" t="n"/>
      <c r="AH115" s="92" t="n"/>
      <c r="AI115" s="92" t="n"/>
      <c r="AJ115" s="92" t="n"/>
      <c r="AK115" s="92" t="n"/>
      <c r="AL115" s="92" t="n"/>
      <c r="AM115" s="92" t="n"/>
      <c r="AN115" s="92" t="n"/>
      <c r="AO115" s="92" t="n"/>
      <c r="AP115" s="92" t="n"/>
      <c r="AQ115" s="92" t="n"/>
      <c r="AR115" s="92" t="n"/>
      <c r="AS115" s="92" t="n"/>
      <c r="AT115" s="92" t="n"/>
      <c r="AU115" s="92" t="n"/>
      <c r="AV115" s="92" t="n"/>
      <c r="AX115" s="139" t="n">
        <v>2019</v>
      </c>
      <c r="AY115" s="139" t="n">
        <v>9</v>
      </c>
    </row>
    <row r="116" ht="16.5" customFormat="1" customHeight="1" s="56">
      <c r="A116" s="92" t="n"/>
      <c r="B116" s="92" t="n"/>
      <c r="C116" s="92" t="n"/>
      <c r="D116" s="92" t="n"/>
      <c r="E116" s="92" t="n"/>
      <c r="F116" s="92" t="n"/>
      <c r="G116" s="92" t="n"/>
      <c r="H116" s="92" t="n"/>
      <c r="I116" s="92" t="n"/>
      <c r="J116" s="92" t="n"/>
      <c r="K116" s="92" t="n"/>
      <c r="L116" s="92" t="n"/>
      <c r="M116" s="92" t="n"/>
      <c r="N116" s="92" t="n"/>
      <c r="O116" s="92" t="n"/>
      <c r="P116" s="92" t="n"/>
      <c r="Q116" s="92" t="n"/>
      <c r="R116" s="92" t="n"/>
      <c r="S116" s="92" t="n"/>
      <c r="T116" s="92" t="n"/>
      <c r="U116" s="92" t="n"/>
      <c r="V116" s="92" t="n"/>
      <c r="W116" s="92" t="n"/>
      <c r="X116" s="92" t="n"/>
      <c r="Y116" s="92" t="n"/>
      <c r="Z116" s="92" t="n"/>
      <c r="AA116" s="92" t="n"/>
      <c r="AB116" s="92" t="n"/>
      <c r="AC116" s="92" t="n"/>
      <c r="AD116" s="92" t="n"/>
      <c r="AE116" s="92" t="n"/>
      <c r="AF116" s="92" t="n"/>
      <c r="AG116" s="92" t="n"/>
      <c r="AH116" s="92" t="n"/>
      <c r="AI116" s="92" t="n"/>
      <c r="AJ116" s="92" t="n"/>
      <c r="AK116" s="92" t="n"/>
      <c r="AL116" s="92" t="n"/>
      <c r="AM116" s="92" t="n"/>
      <c r="AN116" s="92" t="n"/>
      <c r="AO116" s="92" t="n"/>
      <c r="AP116" s="92" t="n"/>
      <c r="AQ116" s="92" t="n"/>
      <c r="AR116" s="92" t="n"/>
      <c r="AS116" s="92" t="n"/>
      <c r="AT116" s="92" t="n"/>
      <c r="AU116" s="92" t="n"/>
      <c r="AV116" s="92" t="n"/>
      <c r="AX116" s="139" t="n">
        <v>1992</v>
      </c>
      <c r="AY116" s="139" t="n">
        <v>1</v>
      </c>
      <c r="AZ116" s="139" t="n"/>
      <c r="BA116" s="113" t="inlineStr">
        <is>
          <t>20평대</t>
        </is>
      </c>
      <c r="BB116" s="140" t="n">
        <v>0</v>
      </c>
      <c r="BC116" s="140" t="n">
        <v>0</v>
      </c>
      <c r="BD116" s="140" t="n">
        <v>0</v>
      </c>
      <c r="BE116" s="140" t="n">
        <v>0</v>
      </c>
      <c r="BF116" s="140" t="n">
        <v>0</v>
      </c>
    </row>
    <row r="117" ht="16.5" customFormat="1" customHeight="1" s="56">
      <c r="A117" s="92" t="n"/>
      <c r="B117" s="92" t="n"/>
      <c r="C117" s="92" t="n"/>
      <c r="D117" s="92" t="n"/>
      <c r="E117" s="92" t="n"/>
      <c r="F117" s="92" t="n"/>
      <c r="G117" s="92" t="n"/>
      <c r="H117" s="92" t="n"/>
      <c r="I117" s="92" t="n"/>
      <c r="J117" s="92" t="n"/>
      <c r="K117" s="92" t="n"/>
      <c r="L117" s="92" t="n"/>
      <c r="M117" s="92" t="n"/>
      <c r="N117" s="92" t="n"/>
      <c r="O117" s="92" t="n"/>
      <c r="P117" s="92" t="n"/>
      <c r="Q117" s="92" t="n"/>
      <c r="R117" s="92" t="n"/>
      <c r="S117" s="92" t="n"/>
      <c r="T117" s="92" t="n"/>
      <c r="U117" s="92" t="n"/>
      <c r="V117" s="92" t="n"/>
      <c r="W117" s="92" t="n"/>
      <c r="X117" s="92" t="n"/>
      <c r="Y117" s="92" t="n"/>
      <c r="Z117" s="92" t="n"/>
      <c r="AA117" s="92" t="n"/>
      <c r="AB117" s="92" t="n"/>
      <c r="AC117" s="92" t="n"/>
      <c r="AD117" s="92" t="n"/>
      <c r="AE117" s="92" t="n"/>
      <c r="AF117" s="92" t="n"/>
      <c r="AG117" s="92" t="n"/>
      <c r="AH117" s="92" t="n"/>
      <c r="AI117" s="92" t="n"/>
      <c r="AJ117" s="92" t="n"/>
      <c r="AK117" s="92" t="n"/>
      <c r="AL117" s="92" t="n"/>
      <c r="AM117" s="92" t="n"/>
      <c r="AN117" s="92" t="n"/>
      <c r="AO117" s="92" t="n"/>
      <c r="AP117" s="92" t="n"/>
      <c r="AQ117" s="92" t="n"/>
      <c r="AR117" s="92" t="n"/>
      <c r="AS117" s="92" t="n"/>
      <c r="AT117" s="92" t="n"/>
      <c r="AU117" s="92" t="n"/>
      <c r="AV117" s="92" t="n"/>
      <c r="AX117" s="139" t="n">
        <v>1992</v>
      </c>
      <c r="AY117" s="139" t="n">
        <v>1</v>
      </c>
      <c r="AZ117" s="139" t="n"/>
      <c r="BA117" s="113" t="inlineStr">
        <is>
          <t>30평대</t>
        </is>
      </c>
      <c r="BB117" s="140" t="n">
        <v>0</v>
      </c>
      <c r="BC117" s="140" t="n">
        <v>0</v>
      </c>
      <c r="BD117" s="140" t="n">
        <v>0</v>
      </c>
      <c r="BE117" s="140" t="n">
        <v>0</v>
      </c>
      <c r="BF117" s="140" t="n">
        <v>0</v>
      </c>
    </row>
    <row r="118" ht="16.5" customFormat="1" customHeight="1" s="56">
      <c r="A118" s="92" t="n"/>
      <c r="B118" s="92" t="n"/>
      <c r="C118" s="92" t="n"/>
      <c r="D118" s="92" t="n"/>
      <c r="E118" s="92" t="n"/>
      <c r="F118" s="92" t="n"/>
      <c r="G118" s="92" t="n"/>
      <c r="H118" s="92" t="n"/>
      <c r="I118" s="92" t="n"/>
      <c r="J118" s="92" t="n"/>
      <c r="K118" s="92" t="n"/>
      <c r="L118" s="92" t="n"/>
      <c r="M118" s="92" t="n"/>
      <c r="N118" s="92" t="n"/>
      <c r="O118" s="92" t="n"/>
      <c r="P118" s="92" t="n"/>
      <c r="Q118" s="92" t="n"/>
      <c r="R118" s="92" t="n"/>
      <c r="S118" s="92" t="n"/>
      <c r="T118" s="92" t="n"/>
      <c r="U118" s="92" t="n"/>
      <c r="V118" s="92" t="n"/>
      <c r="W118" s="92" t="n"/>
      <c r="X118" s="92" t="n"/>
      <c r="Y118" s="92" t="n"/>
      <c r="Z118" s="92" t="n"/>
      <c r="AA118" s="92" t="n"/>
      <c r="AB118" s="92" t="n"/>
      <c r="AC118" s="92" t="n"/>
      <c r="AD118" s="92" t="n"/>
      <c r="AE118" s="92" t="n"/>
      <c r="AF118" s="92" t="n"/>
      <c r="AG118" s="92" t="n"/>
      <c r="AH118" s="92" t="n"/>
      <c r="AI118" s="92" t="n"/>
      <c r="AJ118" s="92" t="n"/>
      <c r="AK118" s="92" t="n"/>
      <c r="AL118" s="92" t="n"/>
      <c r="AM118" s="92" t="n"/>
      <c r="AN118" s="92" t="n"/>
      <c r="AO118" s="92" t="n"/>
      <c r="AP118" s="92" t="n"/>
      <c r="AQ118" s="92" t="n"/>
      <c r="AR118" s="92" t="n"/>
      <c r="AS118" s="92" t="n"/>
      <c r="AT118" s="92" t="n"/>
      <c r="AU118" s="92" t="n"/>
      <c r="AV118" s="92" t="n"/>
      <c r="AX118" s="139" t="n">
        <v>1993</v>
      </c>
      <c r="AY118" s="139" t="n">
        <v>1</v>
      </c>
      <c r="AZ118" s="139" t="n"/>
      <c r="BA118" s="113" t="inlineStr">
        <is>
          <t>합계</t>
        </is>
      </c>
      <c r="BB118" s="140" t="n">
        <v>0</v>
      </c>
      <c r="BC118" s="140" t="n">
        <v>0</v>
      </c>
      <c r="BD118" s="140" t="n">
        <v>0</v>
      </c>
      <c r="BE118" s="140" t="n">
        <v>0</v>
      </c>
      <c r="BF118" s="140" t="n">
        <v>0</v>
      </c>
    </row>
    <row r="119" ht="16.5" customFormat="1" customHeight="1" s="56">
      <c r="A119" s="92" t="n"/>
      <c r="B119" s="92" t="n"/>
      <c r="C119" s="92" t="n"/>
      <c r="D119" s="92" t="n"/>
      <c r="E119" s="92" t="n"/>
      <c r="F119" s="92" t="n"/>
      <c r="G119" s="92" t="n"/>
      <c r="H119" s="92" t="n"/>
      <c r="I119" s="92" t="n"/>
      <c r="J119" s="92" t="n"/>
      <c r="K119" s="92" t="n"/>
      <c r="L119" s="92" t="n"/>
      <c r="M119" s="92" t="n"/>
      <c r="N119" s="92" t="n"/>
      <c r="O119" s="92" t="n"/>
      <c r="P119" s="92" t="n"/>
      <c r="Q119" s="92" t="n"/>
      <c r="R119" s="92" t="n"/>
      <c r="S119" s="92" t="n"/>
      <c r="T119" s="92" t="n"/>
      <c r="U119" s="92" t="n"/>
      <c r="V119" s="92" t="n"/>
      <c r="W119" s="92" t="n"/>
      <c r="X119" s="92" t="n"/>
      <c r="Y119" s="92" t="n"/>
      <c r="Z119" s="92" t="n"/>
      <c r="AA119" s="92" t="n"/>
      <c r="AB119" s="92" t="n"/>
      <c r="AC119" s="92" t="n"/>
      <c r="AD119" s="92" t="n"/>
      <c r="AE119" s="92" t="n"/>
      <c r="AF119" s="92" t="n"/>
      <c r="AG119" s="92" t="n"/>
      <c r="AH119" s="92" t="n"/>
      <c r="AI119" s="92" t="n"/>
      <c r="AJ119" s="92" t="n"/>
      <c r="AK119" s="92" t="n"/>
      <c r="AL119" s="92" t="n"/>
      <c r="AM119" s="92" t="n"/>
      <c r="AN119" s="92" t="n"/>
      <c r="AO119" s="92" t="n"/>
      <c r="AP119" s="92" t="n"/>
      <c r="AQ119" s="92" t="n"/>
      <c r="AR119" s="92" t="n"/>
      <c r="AS119" s="92" t="n"/>
      <c r="AT119" s="92" t="n"/>
      <c r="AU119" s="92" t="n"/>
      <c r="AV119" s="92" t="n"/>
      <c r="AX119" s="139" t="n">
        <v>1993</v>
      </c>
      <c r="AY119" s="139" t="n">
        <v>1</v>
      </c>
      <c r="AZ119" s="139" t="n"/>
      <c r="BA119" s="3" t="n"/>
    </row>
    <row r="120" ht="16.5" customFormat="1" customHeight="1" s="56">
      <c r="A120" s="92" t="n"/>
      <c r="B120" s="92" t="n"/>
      <c r="C120" s="92" t="n"/>
      <c r="D120" s="92" t="n"/>
      <c r="E120" s="92" t="n"/>
      <c r="F120" s="92" t="n"/>
      <c r="G120" s="92" t="n"/>
      <c r="H120" s="92" t="n"/>
      <c r="I120" s="92" t="n"/>
      <c r="J120" s="92" t="n"/>
      <c r="K120" s="92" t="n"/>
      <c r="L120" s="92" t="n"/>
      <c r="M120" s="92" t="n"/>
      <c r="N120" s="92" t="n"/>
      <c r="O120" s="92" t="n"/>
      <c r="P120" s="92" t="n"/>
      <c r="Q120" s="92" t="n"/>
      <c r="R120" s="92" t="n"/>
      <c r="S120" s="92" t="n"/>
      <c r="T120" s="92" t="n"/>
      <c r="U120" s="92" t="n"/>
      <c r="V120" s="92" t="n"/>
      <c r="W120" s="92" t="n"/>
      <c r="X120" s="92" t="n"/>
      <c r="Y120" s="92" t="n"/>
      <c r="Z120" s="92" t="n"/>
      <c r="AA120" s="92" t="n"/>
      <c r="AB120" s="92" t="n"/>
      <c r="AC120" s="92" t="n"/>
      <c r="AD120" s="92" t="n"/>
      <c r="AE120" s="92" t="n"/>
      <c r="AF120" s="92" t="n"/>
      <c r="AG120" s="92" t="n"/>
      <c r="AH120" s="92" t="n"/>
      <c r="AI120" s="92" t="n"/>
      <c r="AJ120" s="92" t="n"/>
      <c r="AK120" s="92" t="n"/>
      <c r="AL120" s="92" t="n"/>
      <c r="AM120" s="92" t="n"/>
      <c r="AN120" s="92" t="n"/>
      <c r="AO120" s="92" t="n"/>
      <c r="AP120" s="92" t="n"/>
      <c r="AQ120" s="92" t="n"/>
      <c r="AR120" s="92" t="n"/>
      <c r="AS120" s="92" t="n"/>
      <c r="AT120" s="92" t="n"/>
      <c r="AU120" s="92" t="n"/>
      <c r="AV120" s="92" t="n"/>
      <c r="AX120" s="139" t="n">
        <v>1993</v>
      </c>
      <c r="AY120" s="139" t="n">
        <v>1</v>
      </c>
      <c r="AZ120" s="139" t="n"/>
      <c r="BA120" s="113" t="n"/>
      <c r="BB120" s="113" t="inlineStr">
        <is>
          <t>10년 이하</t>
        </is>
      </c>
      <c r="BC120" s="113" t="inlineStr">
        <is>
          <t>10~20년</t>
        </is>
      </c>
      <c r="BD120" s="113" t="inlineStr">
        <is>
          <t>20~30년</t>
        </is>
      </c>
      <c r="BE120" s="113" t="inlineStr">
        <is>
          <t>30년 이상</t>
        </is>
      </c>
      <c r="BF120" s="113" t="inlineStr">
        <is>
          <t>합계</t>
        </is>
      </c>
    </row>
    <row r="121" ht="16.5" customFormat="1" customHeight="1" s="56">
      <c r="A121" s="92" t="n"/>
      <c r="B121" s="92" t="n"/>
      <c r="C121" s="92" t="n"/>
      <c r="D121" s="92" t="n"/>
      <c r="E121" s="92" t="n"/>
      <c r="F121" s="92" t="n"/>
      <c r="G121" s="92" t="n"/>
      <c r="H121" s="92" t="n"/>
      <c r="I121" s="92" t="n"/>
      <c r="J121" s="92" t="n"/>
      <c r="K121" s="92" t="n"/>
      <c r="L121" s="92" t="n"/>
      <c r="M121" s="92" t="n"/>
      <c r="N121" s="92" t="n"/>
      <c r="O121" s="92" t="n"/>
      <c r="P121" s="92" t="n"/>
      <c r="Q121" s="92" t="n"/>
      <c r="R121" s="92" t="n"/>
      <c r="S121" s="92" t="n"/>
      <c r="T121" s="92" t="n"/>
      <c r="U121" s="92" t="n"/>
      <c r="V121" s="92" t="n"/>
      <c r="W121" s="92" t="n"/>
      <c r="X121" s="92" t="n"/>
      <c r="Y121" s="92" t="n"/>
      <c r="Z121" s="92" t="n"/>
      <c r="AA121" s="92" t="n"/>
      <c r="AB121" s="92" t="n"/>
      <c r="AC121" s="92" t="n"/>
      <c r="AD121" s="92" t="n"/>
      <c r="AE121" s="92" t="n"/>
      <c r="AF121" s="92" t="n"/>
      <c r="AG121" s="92" t="n"/>
      <c r="AH121" s="92" t="n"/>
      <c r="AI121" s="92" t="n"/>
      <c r="AJ121" s="92" t="n"/>
      <c r="AK121" s="92" t="n"/>
      <c r="AL121" s="92" t="n"/>
      <c r="AM121" s="92" t="n"/>
      <c r="AN121" s="92" t="n"/>
      <c r="AO121" s="92" t="n"/>
      <c r="AP121" s="92" t="n"/>
      <c r="AQ121" s="92" t="n"/>
      <c r="AR121" s="92" t="n"/>
      <c r="AS121" s="92" t="n"/>
      <c r="AT121" s="92" t="n"/>
      <c r="AU121" s="92" t="n"/>
      <c r="AV121" s="92" t="n"/>
      <c r="AX121" s="139" t="n">
        <v>1995</v>
      </c>
      <c r="AY121" s="139" t="n">
        <v>8</v>
      </c>
      <c r="BA121" s="113" t="inlineStr">
        <is>
          <t>20평대</t>
        </is>
      </c>
      <c r="BB121" s="142" t="e">
        <v>#DIV/0!</v>
      </c>
      <c r="BC121" s="142" t="e">
        <v>#DIV/0!</v>
      </c>
      <c r="BD121" s="142" t="e">
        <v>#DIV/0!</v>
      </c>
      <c r="BE121" s="142" t="e">
        <v>#DIV/0!</v>
      </c>
      <c r="BF121" s="142" t="e">
        <v>#DIV/0!</v>
      </c>
    </row>
    <row r="122" ht="16.5" customFormat="1" customHeight="1" s="56">
      <c r="A122" s="92" t="n"/>
      <c r="B122" s="92" t="n"/>
      <c r="C122" s="92" t="n"/>
      <c r="D122" s="92" t="n"/>
      <c r="E122" s="92" t="n"/>
      <c r="F122" s="92" t="n"/>
      <c r="G122" s="92" t="n"/>
      <c r="H122" s="92" t="n"/>
      <c r="I122" s="92" t="n"/>
      <c r="J122" s="92" t="n"/>
      <c r="K122" s="92" t="n"/>
      <c r="L122" s="92" t="n"/>
      <c r="M122" s="92" t="n"/>
      <c r="N122" s="92" t="n"/>
      <c r="O122" s="92" t="n"/>
      <c r="P122" s="92" t="n"/>
      <c r="Q122" s="92" t="n"/>
      <c r="R122" s="92" t="n"/>
      <c r="S122" s="92" t="n"/>
      <c r="T122" s="92" t="n"/>
      <c r="U122" s="92" t="n"/>
      <c r="V122" s="92" t="n"/>
      <c r="W122" s="92" t="n"/>
      <c r="X122" s="92" t="n"/>
      <c r="Y122" s="92" t="n"/>
      <c r="Z122" s="92" t="n"/>
      <c r="AA122" s="92" t="n"/>
      <c r="AB122" s="92" t="n"/>
      <c r="AC122" s="92" t="n"/>
      <c r="AD122" s="92" t="n"/>
      <c r="AE122" s="92" t="n"/>
      <c r="AF122" s="92" t="n"/>
      <c r="AG122" s="92" t="n"/>
      <c r="AH122" s="92" t="n"/>
      <c r="AI122" s="92" t="n"/>
      <c r="AJ122" s="92" t="n"/>
      <c r="AK122" s="92" t="n"/>
      <c r="AL122" s="92" t="n"/>
      <c r="AM122" s="92" t="n"/>
      <c r="AN122" s="92" t="n"/>
      <c r="AO122" s="92" t="n"/>
      <c r="AP122" s="92" t="n"/>
      <c r="AQ122" s="92" t="n"/>
      <c r="AR122" s="92" t="n"/>
      <c r="AS122" s="92" t="n"/>
      <c r="AT122" s="92" t="n"/>
      <c r="AU122" s="92" t="n"/>
      <c r="AV122" s="92" t="n"/>
      <c r="AX122" s="139" t="n">
        <v>1995</v>
      </c>
      <c r="AY122" s="139" t="n">
        <v>8</v>
      </c>
      <c r="BA122" s="113" t="inlineStr">
        <is>
          <t>30평대</t>
        </is>
      </c>
      <c r="BB122" s="142" t="e">
        <v>#DIV/0!</v>
      </c>
      <c r="BC122" s="142" t="e">
        <v>#DIV/0!</v>
      </c>
      <c r="BD122" s="142" t="e">
        <v>#DIV/0!</v>
      </c>
      <c r="BE122" s="142" t="e">
        <v>#DIV/0!</v>
      </c>
      <c r="BF122" s="142" t="e">
        <v>#DIV/0!</v>
      </c>
    </row>
    <row r="123" ht="16.5" customFormat="1" customHeight="1" s="56">
      <c r="A123" s="92" t="n"/>
      <c r="B123" s="92" t="n"/>
      <c r="C123" s="92" t="n"/>
      <c r="D123" s="92" t="n"/>
      <c r="E123" s="92" t="n"/>
      <c r="F123" s="92" t="n"/>
      <c r="G123" s="92" t="n"/>
      <c r="H123" s="92" t="n"/>
      <c r="I123" s="92" t="n"/>
      <c r="J123" s="92" t="n"/>
      <c r="K123" s="92" t="n"/>
      <c r="L123" s="92" t="n"/>
      <c r="M123" s="92" t="n"/>
      <c r="N123" s="92" t="n"/>
      <c r="O123" s="92" t="n"/>
      <c r="P123" s="92" t="n"/>
      <c r="Q123" s="92" t="n"/>
      <c r="R123" s="92" t="n"/>
      <c r="S123" s="92" t="n"/>
      <c r="T123" s="92" t="n"/>
      <c r="U123" s="92" t="n"/>
      <c r="V123" s="92" t="n"/>
      <c r="W123" s="92" t="n"/>
      <c r="X123" s="92" t="n"/>
      <c r="Y123" s="92" t="n"/>
      <c r="Z123" s="92" t="n"/>
      <c r="AA123" s="92" t="n"/>
      <c r="AB123" s="92" t="n"/>
      <c r="AC123" s="92" t="n"/>
      <c r="AD123" s="92" t="n"/>
      <c r="AE123" s="92" t="n"/>
      <c r="AF123" s="92" t="n"/>
      <c r="AG123" s="92" t="n"/>
      <c r="AH123" s="92" t="n"/>
      <c r="AI123" s="92" t="n"/>
      <c r="AJ123" s="92" t="n"/>
      <c r="AK123" s="92" t="n"/>
      <c r="AL123" s="92" t="n"/>
      <c r="AM123" s="92" t="n"/>
      <c r="AN123" s="92" t="n"/>
      <c r="AO123" s="92" t="n"/>
      <c r="AP123" s="92" t="n"/>
      <c r="AQ123" s="92" t="n"/>
      <c r="AR123" s="92" t="n"/>
      <c r="AS123" s="92" t="n"/>
      <c r="AT123" s="92" t="n"/>
      <c r="AU123" s="92" t="n"/>
      <c r="AV123" s="92" t="n"/>
      <c r="AX123" s="139" t="n">
        <v>1992</v>
      </c>
      <c r="AY123" s="139" t="n">
        <v>5</v>
      </c>
      <c r="BA123" s="113" t="inlineStr">
        <is>
          <t>합계</t>
        </is>
      </c>
      <c r="BB123" s="142" t="e">
        <v>#DIV/0!</v>
      </c>
      <c r="BC123" s="142" t="e">
        <v>#DIV/0!</v>
      </c>
      <c r="BD123" s="142" t="e">
        <v>#DIV/0!</v>
      </c>
      <c r="BE123" s="142" t="e">
        <v>#DIV/0!</v>
      </c>
      <c r="BF123" s="142" t="e">
        <v>#DIV/0!</v>
      </c>
    </row>
    <row r="124" ht="16.5" customFormat="1" customHeight="1" s="56">
      <c r="A124" s="92" t="n"/>
      <c r="B124" s="92" t="n"/>
      <c r="C124" s="92" t="n"/>
      <c r="D124" s="92" t="n"/>
      <c r="E124" s="92" t="n"/>
      <c r="F124" s="92" t="n"/>
      <c r="G124" s="92" t="n"/>
      <c r="H124" s="92" t="n"/>
      <c r="I124" s="92" t="n"/>
      <c r="J124" s="92" t="n"/>
      <c r="K124" s="92" t="n"/>
      <c r="L124" s="92" t="n"/>
      <c r="M124" s="92" t="n"/>
      <c r="N124" s="92" t="n"/>
      <c r="O124" s="92" t="n"/>
      <c r="P124" s="92" t="n"/>
      <c r="Q124" s="92" t="n"/>
      <c r="R124" s="92" t="n"/>
      <c r="S124" s="92" t="n"/>
      <c r="T124" s="92" t="n"/>
      <c r="U124" s="92" t="n"/>
      <c r="V124" s="92" t="n"/>
      <c r="W124" s="92" t="n"/>
      <c r="X124" s="92" t="n"/>
      <c r="Y124" s="92" t="n"/>
      <c r="Z124" s="92" t="n"/>
      <c r="AA124" s="92" t="n"/>
      <c r="AB124" s="92" t="n"/>
      <c r="AC124" s="92" t="n"/>
      <c r="AD124" s="92" t="n"/>
      <c r="AE124" s="92" t="n"/>
      <c r="AF124" s="92" t="n"/>
      <c r="AG124" s="92" t="n"/>
      <c r="AH124" s="92" t="n"/>
      <c r="AI124" s="92" t="n"/>
      <c r="AJ124" s="92" t="n"/>
      <c r="AK124" s="92" t="n"/>
      <c r="AL124" s="92" t="n"/>
      <c r="AM124" s="92" t="n"/>
      <c r="AN124" s="92" t="n"/>
      <c r="AO124" s="92" t="n"/>
      <c r="AP124" s="92" t="n"/>
      <c r="AQ124" s="92" t="n"/>
      <c r="AR124" s="92" t="n"/>
      <c r="AS124" s="92" t="n"/>
      <c r="AT124" s="92" t="n"/>
      <c r="AU124" s="92" t="n"/>
      <c r="AV124" s="92" t="n"/>
      <c r="AX124" s="139" t="n">
        <v>1992</v>
      </c>
      <c r="AY124" s="139" t="n">
        <v>5</v>
      </c>
    </row>
    <row r="125" ht="16.5" customFormat="1" customHeight="1" s="56">
      <c r="A125" s="92" t="n"/>
      <c r="B125" s="92" t="n"/>
      <c r="C125" s="92" t="n"/>
      <c r="D125" s="92" t="n"/>
      <c r="E125" s="92" t="n"/>
      <c r="F125" s="92" t="n"/>
      <c r="G125" s="92" t="n"/>
      <c r="H125" s="92" t="n"/>
      <c r="I125" s="92" t="n"/>
      <c r="J125" s="92" t="n"/>
      <c r="K125" s="92" t="n"/>
      <c r="L125" s="92" t="n"/>
      <c r="M125" s="92" t="n"/>
      <c r="N125" s="92" t="n"/>
      <c r="O125" s="92" t="n"/>
      <c r="P125" s="92" t="n"/>
      <c r="Q125" s="92" t="n"/>
      <c r="R125" s="92" t="n"/>
      <c r="S125" s="92" t="n"/>
      <c r="T125" s="92" t="n"/>
      <c r="U125" s="92" t="n"/>
      <c r="V125" s="92" t="n"/>
      <c r="W125" s="92" t="n"/>
      <c r="X125" s="92" t="n"/>
      <c r="Y125" s="92" t="n"/>
      <c r="Z125" s="92" t="n"/>
      <c r="AA125" s="92" t="n"/>
      <c r="AB125" s="92" t="n"/>
      <c r="AC125" s="92" t="n"/>
      <c r="AD125" s="92" t="n"/>
      <c r="AE125" s="92" t="n"/>
      <c r="AF125" s="92" t="n"/>
      <c r="AG125" s="92" t="n"/>
      <c r="AH125" s="92" t="n"/>
      <c r="AI125" s="92" t="n"/>
      <c r="AJ125" s="92" t="n"/>
      <c r="AK125" s="92" t="n"/>
      <c r="AL125" s="92" t="n"/>
      <c r="AM125" s="92" t="n"/>
      <c r="AN125" s="92" t="n"/>
      <c r="AO125" s="92" t="n"/>
      <c r="AP125" s="92" t="n"/>
      <c r="AQ125" s="92" t="n"/>
      <c r="AR125" s="92" t="n"/>
      <c r="AS125" s="92" t="n"/>
      <c r="AT125" s="92" t="n"/>
      <c r="AU125" s="92" t="n"/>
      <c r="AV125" s="92" t="n"/>
      <c r="AX125" s="139" t="n">
        <v>1992</v>
      </c>
      <c r="AY125" s="139" t="n">
        <v>5</v>
      </c>
    </row>
    <row r="126" ht="16.5" customFormat="1" customHeight="1" s="56">
      <c r="A126" s="92" t="n"/>
      <c r="B126" s="92" t="n"/>
      <c r="C126" s="92" t="n"/>
      <c r="D126" s="92" t="n"/>
      <c r="E126" s="92" t="n"/>
      <c r="F126" s="92" t="n"/>
      <c r="G126" s="92" t="n"/>
      <c r="H126" s="92" t="n"/>
      <c r="I126" s="92" t="n"/>
      <c r="J126" s="92" t="n"/>
      <c r="K126" s="92" t="n"/>
      <c r="L126" s="92" t="n"/>
      <c r="M126" s="92" t="n"/>
      <c r="N126" s="92" t="n"/>
      <c r="O126" s="92" t="n"/>
      <c r="P126" s="92" t="n"/>
      <c r="Q126" s="92" t="n"/>
      <c r="R126" s="92" t="n"/>
      <c r="S126" s="92" t="n"/>
      <c r="T126" s="92" t="n"/>
      <c r="U126" s="92" t="n"/>
      <c r="V126" s="92" t="n"/>
      <c r="W126" s="92" t="n"/>
      <c r="X126" s="92" t="n"/>
      <c r="Y126" s="92" t="n"/>
      <c r="Z126" s="92" t="n"/>
      <c r="AA126" s="92" t="n"/>
      <c r="AB126" s="92" t="n"/>
      <c r="AC126" s="92" t="n"/>
      <c r="AD126" s="92" t="n"/>
      <c r="AE126" s="92" t="n"/>
      <c r="AF126" s="92" t="n"/>
      <c r="AG126" s="92" t="n"/>
      <c r="AH126" s="92" t="n"/>
      <c r="AI126" s="92" t="n"/>
      <c r="AJ126" s="92" t="n"/>
      <c r="AK126" s="92" t="n"/>
      <c r="AL126" s="92" t="n"/>
      <c r="AM126" s="92" t="n"/>
      <c r="AN126" s="92" t="n"/>
      <c r="AO126" s="92" t="n"/>
      <c r="AP126" s="92" t="n"/>
      <c r="AQ126" s="92" t="n"/>
      <c r="AR126" s="92" t="n"/>
      <c r="AS126" s="92" t="n"/>
      <c r="AT126" s="92" t="n"/>
      <c r="AU126" s="92" t="n"/>
      <c r="AV126" s="92" t="n"/>
      <c r="AX126" s="139" t="n">
        <v>1991</v>
      </c>
      <c r="AY126" s="139" t="n">
        <v>6</v>
      </c>
    </row>
    <row r="127" ht="16.5" customFormat="1" customHeight="1" s="56">
      <c r="A127" s="92" t="n"/>
      <c r="B127" s="92" t="n"/>
      <c r="C127" s="92" t="n"/>
      <c r="D127" s="92" t="n"/>
      <c r="E127" s="92" t="n"/>
      <c r="F127" s="92" t="n"/>
      <c r="G127" s="92" t="n"/>
      <c r="H127" s="92" t="n"/>
      <c r="I127" s="92" t="n"/>
      <c r="J127" s="92" t="n"/>
      <c r="K127" s="92" t="n"/>
      <c r="L127" s="92" t="n"/>
      <c r="M127" s="92" t="n"/>
      <c r="N127" s="92" t="n"/>
      <c r="O127" s="92" t="n"/>
      <c r="P127" s="92" t="n"/>
      <c r="Q127" s="92" t="n"/>
      <c r="R127" s="92" t="n"/>
      <c r="S127" s="92" t="n"/>
      <c r="T127" s="92" t="n"/>
      <c r="U127" s="92" t="n"/>
      <c r="V127" s="92" t="n"/>
      <c r="W127" s="92" t="n"/>
      <c r="X127" s="92" t="n"/>
      <c r="Y127" s="92" t="n"/>
      <c r="Z127" s="92" t="n"/>
      <c r="AA127" s="92" t="n"/>
      <c r="AB127" s="92" t="n"/>
      <c r="AC127" s="92" t="n"/>
      <c r="AD127" s="92" t="n"/>
      <c r="AE127" s="92" t="n"/>
      <c r="AF127" s="92" t="n"/>
      <c r="AG127" s="92" t="n"/>
      <c r="AH127" s="92" t="n"/>
      <c r="AI127" s="92" t="n"/>
      <c r="AJ127" s="92" t="n"/>
      <c r="AK127" s="92" t="n"/>
      <c r="AL127" s="92" t="n"/>
      <c r="AM127" s="92" t="n"/>
      <c r="AN127" s="92" t="n"/>
      <c r="AO127" s="92" t="n"/>
      <c r="AP127" s="92" t="n"/>
      <c r="AQ127" s="92" t="n"/>
      <c r="AR127" s="92" t="n"/>
      <c r="AS127" s="92" t="n"/>
      <c r="AT127" s="92" t="n"/>
      <c r="AU127" s="92" t="n"/>
      <c r="AV127" s="92" t="n"/>
      <c r="AX127" s="139" t="n">
        <v>1991</v>
      </c>
      <c r="AY127" s="139" t="n">
        <v>6</v>
      </c>
    </row>
    <row r="128" ht="16.5" customFormat="1" customHeight="1" s="56">
      <c r="A128" s="92" t="n"/>
      <c r="B128" s="92" t="n"/>
      <c r="C128" s="92" t="n"/>
      <c r="D128" s="92" t="n"/>
      <c r="E128" s="92" t="n"/>
      <c r="F128" s="92" t="n"/>
      <c r="G128" s="92" t="n"/>
      <c r="H128" s="92" t="n"/>
      <c r="I128" s="92" t="n"/>
      <c r="J128" s="92" t="n"/>
      <c r="K128" s="92" t="n"/>
      <c r="L128" s="92" t="n"/>
      <c r="M128" s="92" t="n"/>
      <c r="N128" s="92" t="n"/>
      <c r="O128" s="92" t="n"/>
      <c r="P128" s="92" t="n"/>
      <c r="Q128" s="92" t="n"/>
      <c r="R128" s="92" t="n"/>
      <c r="S128" s="92" t="n"/>
      <c r="T128" s="92" t="n"/>
      <c r="U128" s="92" t="n"/>
      <c r="V128" s="92" t="n"/>
      <c r="W128" s="92" t="n"/>
      <c r="X128" s="92" t="n"/>
      <c r="Y128" s="92" t="n"/>
      <c r="Z128" s="92" t="n"/>
      <c r="AA128" s="92" t="n"/>
      <c r="AB128" s="92" t="n"/>
      <c r="AC128" s="92" t="n"/>
      <c r="AD128" s="92" t="n"/>
      <c r="AE128" s="92" t="n"/>
      <c r="AF128" s="92" t="n"/>
      <c r="AG128" s="92" t="n"/>
      <c r="AH128" s="92" t="n"/>
      <c r="AI128" s="92" t="n"/>
      <c r="AJ128" s="92" t="n"/>
      <c r="AK128" s="92" t="n"/>
      <c r="AL128" s="92" t="n"/>
      <c r="AM128" s="92" t="n"/>
      <c r="AN128" s="92" t="n"/>
      <c r="AO128" s="92" t="n"/>
      <c r="AP128" s="92" t="n"/>
      <c r="AQ128" s="92" t="n"/>
      <c r="AR128" s="92" t="n"/>
      <c r="AS128" s="92" t="n"/>
      <c r="AT128" s="92" t="n"/>
      <c r="AU128" s="92" t="n"/>
      <c r="AV128" s="92" t="n"/>
      <c r="AX128" s="139" t="n">
        <v>1991</v>
      </c>
      <c r="AY128" s="139" t="n">
        <v>6</v>
      </c>
    </row>
    <row r="129" ht="16.5" customFormat="1" customHeight="1" s="56">
      <c r="A129" s="92" t="n"/>
      <c r="B129" s="92" t="n"/>
      <c r="C129" s="92" t="n"/>
      <c r="D129" s="92" t="n"/>
      <c r="E129" s="92" t="n"/>
      <c r="F129" s="92" t="n"/>
      <c r="G129" s="92" t="n"/>
      <c r="H129" s="92" t="n"/>
      <c r="I129" s="92" t="n"/>
      <c r="J129" s="92" t="n"/>
      <c r="K129" s="92" t="n"/>
      <c r="L129" s="92" t="n"/>
      <c r="M129" s="92" t="n"/>
      <c r="N129" s="92" t="n"/>
      <c r="O129" s="92" t="n"/>
      <c r="P129" s="92" t="n"/>
      <c r="Q129" s="92" t="n"/>
      <c r="R129" s="92" t="n"/>
      <c r="S129" s="92" t="n"/>
      <c r="T129" s="92" t="n"/>
      <c r="U129" s="92" t="n"/>
      <c r="V129" s="92" t="n"/>
      <c r="W129" s="92" t="n"/>
      <c r="X129" s="92" t="n"/>
      <c r="Y129" s="92" t="n"/>
      <c r="Z129" s="92" t="n"/>
      <c r="AA129" s="92" t="n"/>
      <c r="AB129" s="92" t="n"/>
      <c r="AC129" s="92" t="n"/>
      <c r="AD129" s="92" t="n"/>
      <c r="AE129" s="92" t="n"/>
      <c r="AF129" s="92" t="n"/>
      <c r="AG129" s="92" t="n"/>
      <c r="AH129" s="92" t="n"/>
      <c r="AI129" s="92" t="n"/>
      <c r="AJ129" s="92" t="n"/>
      <c r="AK129" s="92" t="n"/>
      <c r="AL129" s="92" t="n"/>
      <c r="AM129" s="92" t="n"/>
      <c r="AN129" s="92" t="n"/>
      <c r="AO129" s="92" t="n"/>
      <c r="AP129" s="92" t="n"/>
      <c r="AQ129" s="92" t="n"/>
      <c r="AR129" s="92" t="n"/>
      <c r="AS129" s="92" t="n"/>
      <c r="AT129" s="92" t="n"/>
      <c r="AU129" s="92" t="n"/>
      <c r="AV129" s="92" t="n"/>
      <c r="AX129" s="139" t="n">
        <v>1991</v>
      </c>
      <c r="AY129" s="139" t="n">
        <v>6</v>
      </c>
    </row>
    <row r="130" ht="16.5" customFormat="1" customHeight="1" s="56">
      <c r="A130" s="92" t="n"/>
      <c r="B130" s="92" t="n"/>
      <c r="C130" s="92" t="n"/>
      <c r="D130" s="92" t="n"/>
      <c r="E130" s="92" t="n"/>
      <c r="F130" s="92" t="n"/>
      <c r="G130" s="92" t="n"/>
      <c r="H130" s="92" t="n"/>
      <c r="I130" s="92" t="n"/>
      <c r="J130" s="92" t="n"/>
      <c r="K130" s="92" t="n"/>
      <c r="L130" s="92" t="n"/>
      <c r="M130" s="92" t="n"/>
      <c r="N130" s="92" t="n"/>
      <c r="O130" s="92" t="n"/>
      <c r="P130" s="92" t="n"/>
      <c r="Q130" s="92" t="n"/>
      <c r="R130" s="92" t="n"/>
      <c r="S130" s="92" t="n"/>
      <c r="T130" s="92" t="n"/>
      <c r="U130" s="92" t="n"/>
      <c r="V130" s="92" t="n"/>
      <c r="W130" s="92" t="n"/>
      <c r="X130" s="92" t="n"/>
      <c r="Y130" s="92" t="n"/>
      <c r="Z130" s="92" t="n"/>
      <c r="AA130" s="92" t="n"/>
      <c r="AB130" s="92" t="n"/>
      <c r="AC130" s="92" t="n"/>
      <c r="AD130" s="92" t="n"/>
      <c r="AE130" s="92" t="n"/>
      <c r="AF130" s="92" t="n"/>
      <c r="AG130" s="92" t="n"/>
      <c r="AH130" s="92" t="n"/>
      <c r="AI130" s="92" t="n"/>
      <c r="AJ130" s="92" t="n"/>
      <c r="AK130" s="92" t="n"/>
      <c r="AL130" s="92" t="n"/>
      <c r="AM130" s="92" t="n"/>
      <c r="AN130" s="92" t="n"/>
      <c r="AO130" s="92" t="n"/>
      <c r="AP130" s="92" t="n"/>
      <c r="AQ130" s="92" t="n"/>
      <c r="AR130" s="92" t="n"/>
      <c r="AS130" s="92" t="n"/>
      <c r="AT130" s="92" t="n"/>
      <c r="AU130" s="92" t="n"/>
      <c r="AV130" s="92" t="n"/>
      <c r="AX130" s="139" t="n">
        <v>1991</v>
      </c>
      <c r="AY130" s="139" t="n">
        <v>6</v>
      </c>
    </row>
    <row r="131" ht="16.5" customFormat="1" customHeight="1" s="56">
      <c r="A131" s="92" t="n"/>
      <c r="B131" s="92" t="n"/>
      <c r="C131" s="92" t="n"/>
      <c r="D131" s="92" t="n"/>
      <c r="E131" s="92" t="n"/>
      <c r="F131" s="92" t="n"/>
      <c r="G131" s="92" t="n"/>
      <c r="H131" s="92" t="n"/>
      <c r="I131" s="92" t="n"/>
      <c r="J131" s="92" t="n"/>
      <c r="K131" s="92" t="n"/>
      <c r="L131" s="92" t="n"/>
      <c r="M131" s="92" t="n"/>
      <c r="N131" s="92" t="n"/>
      <c r="O131" s="92" t="n"/>
      <c r="P131" s="92" t="n"/>
      <c r="Q131" s="92" t="n"/>
      <c r="R131" s="92" t="n"/>
      <c r="S131" s="92" t="n"/>
      <c r="T131" s="92" t="n"/>
      <c r="U131" s="92" t="n"/>
      <c r="V131" s="92" t="n"/>
      <c r="W131" s="92" t="n"/>
      <c r="X131" s="92" t="n"/>
      <c r="Y131" s="92" t="n"/>
      <c r="Z131" s="92" t="n"/>
      <c r="AA131" s="92" t="n"/>
      <c r="AB131" s="92" t="n"/>
      <c r="AC131" s="92" t="n"/>
      <c r="AD131" s="92" t="n"/>
      <c r="AE131" s="92" t="n"/>
      <c r="AF131" s="92" t="n"/>
      <c r="AG131" s="92" t="n"/>
      <c r="AH131" s="92" t="n"/>
      <c r="AI131" s="92" t="n"/>
      <c r="AJ131" s="92" t="n"/>
      <c r="AK131" s="92" t="n"/>
      <c r="AL131" s="92" t="n"/>
      <c r="AM131" s="92" t="n"/>
      <c r="AN131" s="92" t="n"/>
      <c r="AO131" s="92" t="n"/>
      <c r="AP131" s="92" t="n"/>
      <c r="AQ131" s="92" t="n"/>
      <c r="AR131" s="92" t="n"/>
      <c r="AS131" s="92" t="n"/>
      <c r="AT131" s="92" t="n"/>
      <c r="AU131" s="92" t="n"/>
      <c r="AV131" s="92" t="n"/>
      <c r="AX131" s="139" t="n">
        <v>1991</v>
      </c>
      <c r="AY131" s="139" t="n">
        <v>6</v>
      </c>
    </row>
    <row r="132" ht="16.5" customFormat="1" customHeight="1" s="56">
      <c r="A132" s="92" t="n"/>
      <c r="B132" s="92" t="n"/>
      <c r="C132" s="92" t="n"/>
      <c r="D132" s="92" t="n"/>
      <c r="E132" s="92" t="n"/>
      <c r="F132" s="92" t="n"/>
      <c r="G132" s="92" t="n"/>
      <c r="H132" s="92" t="n"/>
      <c r="I132" s="92" t="n"/>
      <c r="J132" s="92" t="n"/>
      <c r="K132" s="92" t="n"/>
      <c r="L132" s="92" t="n"/>
      <c r="M132" s="92" t="n"/>
      <c r="N132" s="92" t="n"/>
      <c r="O132" s="92" t="n"/>
      <c r="P132" s="92" t="n"/>
      <c r="Q132" s="92" t="n"/>
      <c r="R132" s="92" t="n"/>
      <c r="S132" s="92" t="n"/>
      <c r="T132" s="92" t="n"/>
      <c r="U132" s="92" t="n"/>
      <c r="V132" s="92" t="n"/>
      <c r="W132" s="92" t="n"/>
      <c r="X132" s="92" t="n"/>
      <c r="Y132" s="92" t="n"/>
      <c r="Z132" s="92" t="n"/>
      <c r="AA132" s="92" t="n"/>
      <c r="AB132" s="92" t="n"/>
      <c r="AC132" s="92" t="n"/>
      <c r="AD132" s="92" t="n"/>
      <c r="AE132" s="92" t="n"/>
      <c r="AF132" s="92" t="n"/>
      <c r="AG132" s="92" t="n"/>
      <c r="AH132" s="92" t="n"/>
      <c r="AI132" s="92" t="n"/>
      <c r="AJ132" s="92" t="n"/>
      <c r="AK132" s="92" t="n"/>
      <c r="AL132" s="92" t="n"/>
      <c r="AM132" s="92" t="n"/>
      <c r="AN132" s="92" t="n"/>
      <c r="AO132" s="92" t="n"/>
      <c r="AP132" s="92" t="n"/>
      <c r="AQ132" s="92" t="n"/>
      <c r="AR132" s="92" t="n"/>
      <c r="AS132" s="92" t="n"/>
      <c r="AT132" s="92" t="n"/>
      <c r="AU132" s="92" t="n"/>
      <c r="AV132" s="92" t="n"/>
      <c r="AX132" s="139" t="n">
        <v>1995</v>
      </c>
      <c r="AY132" s="139" t="n">
        <v>4</v>
      </c>
      <c r="AZ132" s="139" t="n"/>
      <c r="BA132" s="113" t="inlineStr">
        <is>
          <t>20평대</t>
        </is>
      </c>
      <c r="BB132" s="140" t="n">
        <v>0</v>
      </c>
      <c r="BC132" s="140" t="n">
        <v>0</v>
      </c>
      <c r="BD132" s="140" t="n">
        <v>0</v>
      </c>
      <c r="BE132" s="140" t="n">
        <v>0</v>
      </c>
      <c r="BF132" s="140" t="n">
        <v>0</v>
      </c>
    </row>
    <row r="133" ht="16.5" customFormat="1" customHeight="1" s="56">
      <c r="A133" s="92" t="n"/>
      <c r="B133" s="92" t="n"/>
      <c r="C133" s="92" t="n"/>
      <c r="D133" s="92" t="n"/>
      <c r="E133" s="92" t="n"/>
      <c r="F133" s="92" t="n"/>
      <c r="G133" s="92" t="n"/>
      <c r="H133" s="92" t="n"/>
      <c r="I133" s="92" t="n"/>
      <c r="J133" s="92" t="n"/>
      <c r="K133" s="92" t="n"/>
      <c r="L133" s="92" t="n"/>
      <c r="M133" s="92" t="n"/>
      <c r="N133" s="92" t="n"/>
      <c r="O133" s="92" t="n"/>
      <c r="P133" s="92" t="n"/>
      <c r="Q133" s="92" t="n"/>
      <c r="R133" s="92" t="n"/>
      <c r="S133" s="92" t="n"/>
      <c r="T133" s="92" t="n"/>
      <c r="U133" s="92" t="n"/>
      <c r="V133" s="92" t="n"/>
      <c r="W133" s="92" t="n"/>
      <c r="X133" s="92" t="n"/>
      <c r="Y133" s="92" t="n"/>
      <c r="Z133" s="92" t="n"/>
      <c r="AA133" s="92" t="n"/>
      <c r="AB133" s="92" t="n"/>
      <c r="AC133" s="92" t="n"/>
      <c r="AD133" s="92" t="n"/>
      <c r="AE133" s="92" t="n"/>
      <c r="AF133" s="92" t="n"/>
      <c r="AG133" s="92" t="n"/>
      <c r="AH133" s="92" t="n"/>
      <c r="AI133" s="92" t="n"/>
      <c r="AJ133" s="92" t="n"/>
      <c r="AK133" s="92" t="n"/>
      <c r="AL133" s="92" t="n"/>
      <c r="AM133" s="92" t="n"/>
      <c r="AN133" s="92" t="n"/>
      <c r="AO133" s="92" t="n"/>
      <c r="AP133" s="92" t="n"/>
      <c r="AQ133" s="92" t="n"/>
      <c r="AR133" s="92" t="n"/>
      <c r="AS133" s="92" t="n"/>
      <c r="AT133" s="92" t="n"/>
      <c r="AU133" s="92" t="n"/>
      <c r="AV133" s="92" t="n"/>
      <c r="AX133" s="139" t="n">
        <v>1995</v>
      </c>
      <c r="AY133" s="139" t="n">
        <v>4</v>
      </c>
      <c r="AZ133" s="139" t="n"/>
      <c r="BA133" s="113" t="inlineStr">
        <is>
          <t>30평대</t>
        </is>
      </c>
      <c r="BB133" s="140" t="n">
        <v>0</v>
      </c>
      <c r="BC133" s="140" t="n">
        <v>0</v>
      </c>
      <c r="BD133" s="140" t="n">
        <v>0</v>
      </c>
      <c r="BE133" s="140" t="n">
        <v>0</v>
      </c>
      <c r="BF133" s="140" t="n">
        <v>0</v>
      </c>
    </row>
    <row r="134" ht="16.5" customFormat="1" customHeight="1" s="56">
      <c r="A134" s="92" t="n"/>
      <c r="B134" s="92" t="n"/>
      <c r="C134" s="92" t="n"/>
      <c r="D134" s="92" t="n"/>
      <c r="E134" s="92" t="n"/>
      <c r="F134" s="92" t="n"/>
      <c r="G134" s="92" t="n"/>
      <c r="H134" s="92" t="n"/>
      <c r="I134" s="92" t="n"/>
      <c r="J134" s="92" t="n"/>
      <c r="K134" s="92" t="n"/>
      <c r="L134" s="92" t="n"/>
      <c r="M134" s="92" t="n"/>
      <c r="N134" s="92" t="n"/>
      <c r="O134" s="92" t="n"/>
      <c r="P134" s="92" t="n"/>
      <c r="Q134" s="92" t="n"/>
      <c r="R134" s="92" t="n"/>
      <c r="S134" s="92" t="n"/>
      <c r="T134" s="92" t="n"/>
      <c r="U134" s="92" t="n"/>
      <c r="V134" s="92" t="n"/>
      <c r="W134" s="92" t="n"/>
      <c r="X134" s="92" t="n"/>
      <c r="Y134" s="92" t="n"/>
      <c r="Z134" s="92" t="n"/>
      <c r="AA134" s="92" t="n"/>
      <c r="AB134" s="92" t="n"/>
      <c r="AC134" s="92" t="n"/>
      <c r="AD134" s="92" t="n"/>
      <c r="AE134" s="92" t="n"/>
      <c r="AF134" s="92" t="n"/>
      <c r="AG134" s="92" t="n"/>
      <c r="AH134" s="92" t="n"/>
      <c r="AI134" s="92" t="n"/>
      <c r="AJ134" s="92" t="n"/>
      <c r="AK134" s="92" t="n"/>
      <c r="AL134" s="92" t="n"/>
      <c r="AM134" s="92" t="n"/>
      <c r="AN134" s="92" t="n"/>
      <c r="AO134" s="92" t="n"/>
      <c r="AP134" s="92" t="n"/>
      <c r="AQ134" s="92" t="n"/>
      <c r="AR134" s="92" t="n"/>
      <c r="AS134" s="92" t="n"/>
      <c r="AT134" s="92" t="n"/>
      <c r="AU134" s="92" t="n"/>
      <c r="AV134" s="92" t="n"/>
      <c r="AX134" s="139" t="n">
        <v>1995</v>
      </c>
      <c r="AY134" s="139" t="n">
        <v>4</v>
      </c>
      <c r="AZ134" s="139" t="n"/>
      <c r="BA134" s="115" t="inlineStr">
        <is>
          <t>40평대↑</t>
        </is>
      </c>
      <c r="BB134" s="141" t="n">
        <v>0</v>
      </c>
      <c r="BC134" s="141" t="n">
        <v>0</v>
      </c>
      <c r="BD134" s="141" t="n">
        <v>0</v>
      </c>
      <c r="BE134" s="141" t="n">
        <v>0</v>
      </c>
      <c r="BF134" s="141" t="n">
        <v>0</v>
      </c>
    </row>
    <row r="135" ht="16.5" customFormat="1" customHeight="1" s="56">
      <c r="A135" s="92" t="n"/>
      <c r="B135" s="92" t="n"/>
      <c r="C135" s="92" t="n"/>
      <c r="D135" s="92" t="n"/>
      <c r="E135" s="92" t="n"/>
      <c r="F135" s="92" t="n"/>
      <c r="G135" s="92" t="n"/>
      <c r="H135" s="92" t="n"/>
      <c r="I135" s="92" t="n"/>
      <c r="J135" s="92" t="n"/>
      <c r="K135" s="92" t="n"/>
      <c r="L135" s="92" t="n"/>
      <c r="M135" s="92" t="n"/>
      <c r="N135" s="92" t="n"/>
      <c r="O135" s="92" t="n"/>
      <c r="P135" s="92" t="n"/>
      <c r="Q135" s="92" t="n"/>
      <c r="R135" s="92" t="n"/>
      <c r="S135" s="92" t="n"/>
      <c r="T135" s="92" t="n"/>
      <c r="U135" s="92" t="n"/>
      <c r="V135" s="92" t="n"/>
      <c r="W135" s="92" t="n"/>
      <c r="X135" s="92" t="n"/>
      <c r="Y135" s="92" t="n"/>
      <c r="Z135" s="92" t="n"/>
      <c r="AA135" s="92" t="n"/>
      <c r="AB135" s="92" t="n"/>
      <c r="AC135" s="92" t="n"/>
      <c r="AD135" s="92" t="n"/>
      <c r="AE135" s="92" t="n"/>
      <c r="AF135" s="92" t="n"/>
      <c r="AG135" s="92" t="n"/>
      <c r="AH135" s="92" t="n"/>
      <c r="AI135" s="92" t="n"/>
      <c r="AJ135" s="92" t="n"/>
      <c r="AK135" s="92" t="n"/>
      <c r="AL135" s="92" t="n"/>
      <c r="AM135" s="92" t="n"/>
      <c r="AN135" s="92" t="n"/>
      <c r="AO135" s="92" t="n"/>
      <c r="AP135" s="92" t="n"/>
      <c r="AQ135" s="92" t="n"/>
      <c r="AR135" s="92" t="n"/>
      <c r="AS135" s="92" t="n"/>
      <c r="AT135" s="92" t="n"/>
      <c r="AU135" s="92" t="n"/>
      <c r="AV135" s="92" t="n"/>
      <c r="AX135" s="139" t="n">
        <v>1993</v>
      </c>
      <c r="AY135" s="139" t="n">
        <v>5</v>
      </c>
      <c r="AZ135" s="139" t="n"/>
      <c r="BA135" s="3" t="n"/>
    </row>
    <row r="136" ht="16.5" customFormat="1" customHeight="1" s="56">
      <c r="A136" s="92" t="n"/>
      <c r="B136" s="92" t="n"/>
      <c r="C136" s="92" t="n"/>
      <c r="D136" s="92" t="n"/>
      <c r="E136" s="92" t="n"/>
      <c r="F136" s="92" t="n"/>
      <c r="G136" s="92" t="n"/>
      <c r="H136" s="92" t="n"/>
      <c r="I136" s="92" t="n"/>
      <c r="J136" s="92" t="n"/>
      <c r="K136" s="92" t="n"/>
      <c r="L136" s="92" t="n"/>
      <c r="M136" s="92" t="n"/>
      <c r="N136" s="92" t="n"/>
      <c r="O136" s="92" t="n"/>
      <c r="P136" s="92" t="n"/>
      <c r="Q136" s="92" t="n"/>
      <c r="R136" s="92" t="n"/>
      <c r="S136" s="92" t="n"/>
      <c r="T136" s="92" t="n"/>
      <c r="U136" s="92" t="n"/>
      <c r="V136" s="92" t="n"/>
      <c r="W136" s="92" t="n"/>
      <c r="X136" s="92" t="n"/>
      <c r="Y136" s="92" t="n"/>
      <c r="Z136" s="92" t="n"/>
      <c r="AA136" s="92" t="n"/>
      <c r="AB136" s="92" t="n"/>
      <c r="AC136" s="92" t="n"/>
      <c r="AD136" s="92" t="n"/>
      <c r="AE136" s="92" t="n"/>
      <c r="AF136" s="92" t="n"/>
      <c r="AG136" s="92" t="n"/>
      <c r="AH136" s="92" t="n"/>
      <c r="AI136" s="92" t="n"/>
      <c r="AJ136" s="92" t="n"/>
      <c r="AK136" s="92" t="n"/>
      <c r="AL136" s="92" t="n"/>
      <c r="AM136" s="92" t="n"/>
      <c r="AN136" s="92" t="n"/>
      <c r="AO136" s="92" t="n"/>
      <c r="AP136" s="92" t="n"/>
      <c r="AQ136" s="92" t="n"/>
      <c r="AR136" s="92" t="n"/>
      <c r="AS136" s="92" t="n"/>
      <c r="AT136" s="92" t="n"/>
      <c r="AU136" s="92" t="n"/>
      <c r="AV136" s="92" t="n"/>
      <c r="AX136" s="139" t="n">
        <v>1993</v>
      </c>
      <c r="AY136" s="139" t="n">
        <v>11</v>
      </c>
      <c r="AZ136" s="139" t="n"/>
      <c r="BA136" s="113" t="inlineStr">
        <is>
          <t>10평대</t>
        </is>
      </c>
      <c r="BB136" s="142" t="e">
        <v>#DIV/0!</v>
      </c>
      <c r="BC136" s="142" t="e">
        <v>#DIV/0!</v>
      </c>
      <c r="BD136" s="142" t="e">
        <v>#DIV/0!</v>
      </c>
      <c r="BE136" s="142" t="e">
        <v>#DIV/0!</v>
      </c>
      <c r="BF136" s="142" t="e">
        <v>#DIV/0!</v>
      </c>
    </row>
    <row r="137" ht="16.5" customFormat="1" customHeight="1" s="56">
      <c r="A137" s="92" t="n"/>
      <c r="B137" s="92" t="n"/>
      <c r="C137" s="92" t="n"/>
      <c r="D137" s="92" t="n"/>
      <c r="E137" s="92" t="n"/>
      <c r="F137" s="92" t="n"/>
      <c r="G137" s="92" t="n"/>
      <c r="H137" s="92" t="n"/>
      <c r="I137" s="92" t="n"/>
      <c r="J137" s="92" t="n"/>
      <c r="K137" s="92" t="n"/>
      <c r="L137" s="92" t="n"/>
      <c r="M137" s="92" t="n"/>
      <c r="N137" s="92" t="n"/>
      <c r="O137" s="92" t="n"/>
      <c r="P137" s="92" t="n"/>
      <c r="Q137" s="92" t="n"/>
      <c r="R137" s="92" t="n"/>
      <c r="S137" s="92" t="n"/>
      <c r="T137" s="92" t="n"/>
      <c r="U137" s="92" t="n"/>
      <c r="V137" s="92" t="n"/>
      <c r="W137" s="92" t="n"/>
      <c r="X137" s="92" t="n"/>
      <c r="Y137" s="92" t="n"/>
      <c r="Z137" s="92" t="n"/>
      <c r="AA137" s="92" t="n"/>
      <c r="AB137" s="92" t="n"/>
      <c r="AC137" s="92" t="n"/>
      <c r="AD137" s="92" t="n"/>
      <c r="AE137" s="92" t="n"/>
      <c r="AF137" s="92" t="n"/>
      <c r="AG137" s="92" t="n"/>
      <c r="AH137" s="92" t="n"/>
      <c r="AI137" s="92" t="n"/>
      <c r="AJ137" s="92" t="n"/>
      <c r="AK137" s="92" t="n"/>
      <c r="AL137" s="92" t="n"/>
      <c r="AM137" s="92" t="n"/>
      <c r="AN137" s="92" t="n"/>
      <c r="AO137" s="92" t="n"/>
      <c r="AP137" s="92" t="n"/>
      <c r="AQ137" s="92" t="n"/>
      <c r="AR137" s="92" t="n"/>
      <c r="AS137" s="92" t="n"/>
      <c r="AT137" s="92" t="n"/>
      <c r="AU137" s="92" t="n"/>
      <c r="AV137" s="92" t="n"/>
      <c r="AX137" s="139" t="n">
        <v>1994</v>
      </c>
      <c r="AY137" s="139" t="n">
        <v>9</v>
      </c>
      <c r="BA137" s="113" t="inlineStr">
        <is>
          <t>30평대</t>
        </is>
      </c>
      <c r="BB137" s="142" t="e">
        <v>#DIV/0!</v>
      </c>
      <c r="BC137" s="142" t="e">
        <v>#DIV/0!</v>
      </c>
      <c r="BD137" s="142" t="e">
        <v>#DIV/0!</v>
      </c>
      <c r="BE137" s="142" t="e">
        <v>#DIV/0!</v>
      </c>
      <c r="BF137" s="142" t="e">
        <v>#DIV/0!</v>
      </c>
    </row>
    <row r="138" ht="16.5" customFormat="1" customHeight="1" s="56">
      <c r="A138" s="92" t="n"/>
      <c r="B138" s="92" t="n"/>
      <c r="C138" s="92" t="n"/>
      <c r="D138" s="92" t="n"/>
      <c r="E138" s="92" t="n"/>
      <c r="F138" s="92" t="n"/>
      <c r="G138" s="92" t="n"/>
      <c r="H138" s="92" t="n"/>
      <c r="I138" s="92" t="n"/>
      <c r="J138" s="92" t="n"/>
      <c r="K138" s="92" t="n"/>
      <c r="L138" s="92" t="n"/>
      <c r="M138" s="92" t="n"/>
      <c r="N138" s="92" t="n"/>
      <c r="O138" s="92" t="n"/>
      <c r="P138" s="92" t="n"/>
      <c r="Q138" s="92" t="n"/>
      <c r="R138" s="92" t="n"/>
      <c r="S138" s="92" t="n"/>
      <c r="T138" s="92" t="n"/>
      <c r="U138" s="92" t="n"/>
      <c r="V138" s="92" t="n"/>
      <c r="W138" s="92" t="n"/>
      <c r="X138" s="92" t="n"/>
      <c r="Y138" s="92" t="n"/>
      <c r="Z138" s="92" t="n"/>
      <c r="AA138" s="92" t="n"/>
      <c r="AB138" s="92" t="n"/>
      <c r="AC138" s="92" t="n"/>
      <c r="AD138" s="92" t="n"/>
      <c r="AE138" s="92" t="n"/>
      <c r="AF138" s="92" t="n"/>
      <c r="AG138" s="92" t="n"/>
      <c r="AH138" s="92" t="n"/>
      <c r="AI138" s="92" t="n"/>
      <c r="AJ138" s="92" t="n"/>
      <c r="AK138" s="92" t="n"/>
      <c r="AL138" s="92" t="n"/>
      <c r="AM138" s="92" t="n"/>
      <c r="AN138" s="92" t="n"/>
      <c r="AO138" s="92" t="n"/>
      <c r="AP138" s="92" t="n"/>
      <c r="AQ138" s="92" t="n"/>
      <c r="AR138" s="92" t="n"/>
      <c r="AS138" s="92" t="n"/>
      <c r="AT138" s="92" t="n"/>
      <c r="AU138" s="92" t="n"/>
      <c r="AV138" s="92" t="n"/>
      <c r="AX138" s="139" t="n">
        <v>1994</v>
      </c>
      <c r="AY138" s="139" t="n">
        <v>9</v>
      </c>
      <c r="BA138" s="113" t="inlineStr">
        <is>
          <t>합계</t>
        </is>
      </c>
      <c r="BB138" s="142" t="e">
        <v>#DIV/0!</v>
      </c>
      <c r="BC138" s="142" t="e">
        <v>#DIV/0!</v>
      </c>
      <c r="BD138" s="142" t="e">
        <v>#DIV/0!</v>
      </c>
      <c r="BE138" s="142" t="e">
        <v>#DIV/0!</v>
      </c>
      <c r="BF138" s="142" t="e">
        <v>#DIV/0!</v>
      </c>
    </row>
    <row r="139" ht="16.5" customFormat="1" customHeight="1" s="56">
      <c r="A139" s="92" t="n"/>
      <c r="B139" s="92" t="n"/>
      <c r="C139" s="92" t="n"/>
      <c r="D139" s="92" t="n"/>
      <c r="E139" s="92" t="n"/>
      <c r="F139" s="92" t="n"/>
      <c r="G139" s="92" t="n"/>
      <c r="H139" s="92" t="n"/>
      <c r="I139" s="92" t="n"/>
      <c r="J139" s="92" t="n"/>
      <c r="K139" s="92" t="n"/>
      <c r="L139" s="92" t="n"/>
      <c r="M139" s="92" t="n"/>
      <c r="N139" s="92" t="n"/>
      <c r="O139" s="92" t="n"/>
      <c r="P139" s="92" t="n"/>
      <c r="Q139" s="92" t="n"/>
      <c r="R139" s="92" t="n"/>
      <c r="S139" s="92" t="n"/>
      <c r="T139" s="92" t="n"/>
      <c r="U139" s="92" t="n"/>
      <c r="V139" s="92" t="n"/>
      <c r="W139" s="92" t="n"/>
      <c r="X139" s="92" t="n"/>
      <c r="Y139" s="92" t="n"/>
      <c r="Z139" s="92" t="n"/>
      <c r="AA139" s="92" t="n"/>
      <c r="AB139" s="92" t="n"/>
      <c r="AC139" s="92" t="n"/>
      <c r="AD139" s="92" t="n"/>
      <c r="AE139" s="92" t="n"/>
      <c r="AF139" s="92" t="n"/>
      <c r="AG139" s="92" t="n"/>
      <c r="AH139" s="92" t="n"/>
      <c r="AI139" s="92" t="n"/>
      <c r="AJ139" s="92" t="n"/>
      <c r="AK139" s="92" t="n"/>
      <c r="AL139" s="92" t="n"/>
      <c r="AM139" s="92" t="n"/>
      <c r="AN139" s="92" t="n"/>
      <c r="AO139" s="92" t="n"/>
      <c r="AP139" s="92" t="n"/>
      <c r="AQ139" s="92" t="n"/>
      <c r="AR139" s="92" t="n"/>
      <c r="AS139" s="92" t="n"/>
      <c r="AT139" s="92" t="n"/>
      <c r="AU139" s="92" t="n"/>
      <c r="AV139" s="92" t="n"/>
      <c r="AX139" s="139" t="n">
        <v>1994</v>
      </c>
      <c r="AY139" s="139" t="n">
        <v>9</v>
      </c>
    </row>
    <row r="140" ht="16.5" customFormat="1" customHeight="1" s="56">
      <c r="A140" s="92" t="n"/>
      <c r="B140" s="92" t="n"/>
      <c r="C140" s="92" t="n"/>
      <c r="D140" s="92" t="n"/>
      <c r="E140" s="92" t="n"/>
      <c r="F140" s="92" t="n"/>
      <c r="G140" s="92" t="n"/>
      <c r="H140" s="92" t="n"/>
      <c r="I140" s="92" t="n"/>
      <c r="J140" s="92" t="n"/>
      <c r="K140" s="92" t="n"/>
      <c r="L140" s="92" t="n"/>
      <c r="M140" s="92" t="n"/>
      <c r="N140" s="92" t="n"/>
      <c r="O140" s="92" t="n"/>
      <c r="P140" s="92" t="n"/>
      <c r="Q140" s="92" t="n"/>
      <c r="R140" s="92" t="n"/>
      <c r="S140" s="92" t="n"/>
      <c r="T140" s="92" t="n"/>
      <c r="U140" s="92" t="n"/>
      <c r="V140" s="92" t="n"/>
      <c r="W140" s="92" t="n"/>
      <c r="X140" s="92" t="n"/>
      <c r="Y140" s="92" t="n"/>
      <c r="Z140" s="92" t="n"/>
      <c r="AA140" s="92" t="n"/>
      <c r="AB140" s="92" t="n"/>
      <c r="AC140" s="92" t="n"/>
      <c r="AD140" s="92" t="n"/>
      <c r="AE140" s="92" t="n"/>
      <c r="AF140" s="92" t="n"/>
      <c r="AG140" s="92" t="n"/>
      <c r="AH140" s="92" t="n"/>
      <c r="AI140" s="92" t="n"/>
      <c r="AJ140" s="92" t="n"/>
      <c r="AK140" s="92" t="n"/>
      <c r="AL140" s="92" t="n"/>
      <c r="AM140" s="92" t="n"/>
      <c r="AN140" s="92" t="n"/>
      <c r="AO140" s="92" t="n"/>
      <c r="AP140" s="92" t="n"/>
      <c r="AQ140" s="92" t="n"/>
      <c r="AR140" s="92" t="n"/>
      <c r="AS140" s="92" t="n"/>
      <c r="AT140" s="92" t="n"/>
      <c r="AU140" s="92" t="n"/>
      <c r="AV140" s="92" t="n"/>
      <c r="AX140" s="139" t="n">
        <v>1992</v>
      </c>
      <c r="AY140" s="139" t="n">
        <v>5</v>
      </c>
    </row>
    <row r="141" ht="16.5" customFormat="1" customHeight="1" s="56">
      <c r="A141" s="92" t="n"/>
      <c r="B141" s="92" t="n"/>
      <c r="C141" s="92" t="n"/>
      <c r="D141" s="92" t="n"/>
      <c r="E141" s="92" t="n"/>
      <c r="F141" s="92" t="n"/>
      <c r="G141" s="92" t="n"/>
      <c r="H141" s="92" t="n"/>
      <c r="I141" s="92" t="n"/>
      <c r="J141" s="92" t="n"/>
      <c r="K141" s="92" t="n"/>
      <c r="L141" s="92" t="n"/>
      <c r="M141" s="92" t="n"/>
      <c r="N141" s="92" t="n"/>
      <c r="O141" s="92" t="n"/>
      <c r="P141" s="92" t="n"/>
      <c r="Q141" s="92" t="n"/>
      <c r="R141" s="92" t="n"/>
      <c r="S141" s="92" t="n"/>
      <c r="T141" s="92" t="n"/>
      <c r="U141" s="92" t="n"/>
      <c r="V141" s="92" t="n"/>
      <c r="W141" s="92" t="n"/>
      <c r="X141" s="92" t="n"/>
      <c r="Y141" s="92" t="n"/>
      <c r="Z141" s="92" t="n"/>
      <c r="AA141" s="92" t="n"/>
      <c r="AB141" s="92" t="n"/>
      <c r="AC141" s="92" t="n"/>
      <c r="AD141" s="92" t="n"/>
      <c r="AE141" s="92" t="n"/>
      <c r="AF141" s="92" t="n"/>
      <c r="AG141" s="92" t="n"/>
      <c r="AH141" s="92" t="n"/>
      <c r="AI141" s="92" t="n"/>
      <c r="AJ141" s="92" t="n"/>
      <c r="AK141" s="92" t="n"/>
      <c r="AL141" s="92" t="n"/>
      <c r="AM141" s="92" t="n"/>
      <c r="AN141" s="92" t="n"/>
      <c r="AO141" s="92" t="n"/>
      <c r="AP141" s="92" t="n"/>
      <c r="AQ141" s="92" t="n"/>
      <c r="AR141" s="92" t="n"/>
      <c r="AS141" s="92" t="n"/>
      <c r="AT141" s="92" t="n"/>
      <c r="AU141" s="92" t="n"/>
      <c r="AV141" s="92" t="n"/>
      <c r="AX141" s="139" t="n">
        <v>1992</v>
      </c>
      <c r="AY141" s="139" t="n">
        <v>6</v>
      </c>
    </row>
    <row r="142" ht="16.5" customFormat="1" customHeight="1" s="56">
      <c r="A142" s="92" t="n"/>
      <c r="B142" s="92" t="n"/>
      <c r="C142" s="92" t="n"/>
      <c r="D142" s="92" t="n"/>
      <c r="E142" s="92" t="n"/>
      <c r="F142" s="92" t="n"/>
      <c r="G142" s="92" t="n"/>
      <c r="H142" s="92" t="n"/>
      <c r="I142" s="92" t="n"/>
      <c r="J142" s="92" t="n"/>
      <c r="K142" s="92" t="n"/>
      <c r="L142" s="92" t="n"/>
      <c r="M142" s="92" t="n"/>
      <c r="N142" s="92" t="n"/>
      <c r="O142" s="92" t="n"/>
      <c r="P142" s="92" t="n"/>
      <c r="Q142" s="92" t="n"/>
      <c r="R142" s="92" t="n"/>
      <c r="S142" s="92" t="n"/>
      <c r="T142" s="92" t="n"/>
      <c r="U142" s="92" t="n"/>
      <c r="V142" s="92" t="n"/>
      <c r="W142" s="92" t="n"/>
      <c r="X142" s="92" t="n"/>
      <c r="Y142" s="92" t="n"/>
      <c r="Z142" s="92" t="n"/>
      <c r="AA142" s="92" t="n"/>
      <c r="AB142" s="92" t="n"/>
      <c r="AC142" s="92" t="n"/>
      <c r="AD142" s="92" t="n"/>
      <c r="AE142" s="92" t="n"/>
      <c r="AF142" s="92" t="n"/>
      <c r="AG142" s="92" t="n"/>
      <c r="AH142" s="92" t="n"/>
      <c r="AI142" s="92" t="n"/>
      <c r="AJ142" s="92" t="n"/>
      <c r="AK142" s="92" t="n"/>
      <c r="AL142" s="92" t="n"/>
      <c r="AM142" s="92" t="n"/>
      <c r="AN142" s="92" t="n"/>
      <c r="AO142" s="92" t="n"/>
      <c r="AP142" s="92" t="n"/>
      <c r="AQ142" s="92" t="n"/>
      <c r="AR142" s="92" t="n"/>
      <c r="AS142" s="92" t="n"/>
      <c r="AT142" s="92" t="n"/>
      <c r="AU142" s="92" t="n"/>
      <c r="AV142" s="92" t="n"/>
      <c r="AX142" s="139" t="n">
        <v>1992</v>
      </c>
      <c r="AY142" s="139" t="n">
        <v>6</v>
      </c>
    </row>
    <row r="143" ht="16.5" customFormat="1" customHeight="1" s="56">
      <c r="A143" s="92" t="n"/>
      <c r="B143" s="92" t="n"/>
      <c r="C143" s="92" t="n"/>
      <c r="D143" s="92" t="n"/>
      <c r="E143" s="92" t="n"/>
      <c r="F143" s="92" t="n"/>
      <c r="G143" s="92" t="n"/>
      <c r="H143" s="92" t="n"/>
      <c r="I143" s="92" t="n"/>
      <c r="J143" s="92" t="n"/>
      <c r="K143" s="92" t="n"/>
      <c r="L143" s="92" t="n"/>
      <c r="M143" s="92" t="n"/>
      <c r="N143" s="92" t="n"/>
      <c r="O143" s="92" t="n"/>
      <c r="P143" s="92" t="n"/>
      <c r="Q143" s="92" t="n"/>
      <c r="R143" s="92" t="n"/>
      <c r="S143" s="92" t="n"/>
      <c r="T143" s="92" t="n"/>
      <c r="U143" s="92" t="n"/>
      <c r="V143" s="92" t="n"/>
      <c r="W143" s="92" t="n"/>
      <c r="X143" s="92" t="n"/>
      <c r="Y143" s="92" t="n"/>
      <c r="Z143" s="92" t="n"/>
      <c r="AA143" s="92" t="n"/>
      <c r="AB143" s="92" t="n"/>
      <c r="AC143" s="92" t="n"/>
      <c r="AD143" s="92" t="n"/>
      <c r="AE143" s="92" t="n"/>
      <c r="AF143" s="92" t="n"/>
      <c r="AG143" s="92" t="n"/>
      <c r="AH143" s="92" t="n"/>
      <c r="AI143" s="92" t="n"/>
      <c r="AJ143" s="92" t="n"/>
      <c r="AK143" s="92" t="n"/>
      <c r="AL143" s="92" t="n"/>
      <c r="AM143" s="92" t="n"/>
      <c r="AN143" s="92" t="n"/>
      <c r="AO143" s="92" t="n"/>
      <c r="AP143" s="92" t="n"/>
      <c r="AQ143" s="92" t="n"/>
      <c r="AR143" s="92" t="n"/>
      <c r="AS143" s="92" t="n"/>
      <c r="AT143" s="92" t="n"/>
      <c r="AU143" s="92" t="n"/>
      <c r="AV143" s="92" t="n"/>
      <c r="AX143" s="139" t="n">
        <v>1993</v>
      </c>
      <c r="AY143" s="139" t="n">
        <v>9</v>
      </c>
    </row>
    <row r="144" ht="16.5" customFormat="1" customHeight="1" s="56">
      <c r="A144" s="92" t="n"/>
      <c r="B144" s="92" t="n"/>
      <c r="C144" s="92" t="n"/>
      <c r="D144" s="92" t="n"/>
      <c r="E144" s="92" t="n"/>
      <c r="F144" s="92" t="n"/>
      <c r="G144" s="92" t="n"/>
      <c r="H144" s="92" t="n"/>
      <c r="I144" s="92" t="n"/>
      <c r="J144" s="92" t="n"/>
      <c r="K144" s="92" t="n"/>
      <c r="L144" s="92" t="n"/>
      <c r="M144" s="92" t="n"/>
      <c r="N144" s="92" t="n"/>
      <c r="O144" s="92" t="n"/>
      <c r="P144" s="92" t="n"/>
      <c r="Q144" s="92" t="n"/>
      <c r="R144" s="92" t="n"/>
      <c r="S144" s="92" t="n"/>
      <c r="T144" s="92" t="n"/>
      <c r="U144" s="92" t="n"/>
      <c r="V144" s="92" t="n"/>
      <c r="W144" s="92" t="n"/>
      <c r="X144" s="92" t="n"/>
      <c r="Y144" s="92" t="n"/>
      <c r="Z144" s="92" t="n"/>
      <c r="AA144" s="92" t="n"/>
      <c r="AB144" s="92" t="n"/>
      <c r="AC144" s="92" t="n"/>
      <c r="AD144" s="92" t="n"/>
      <c r="AE144" s="92" t="n"/>
      <c r="AF144" s="92" t="n"/>
      <c r="AG144" s="92" t="n"/>
      <c r="AH144" s="92" t="n"/>
      <c r="AI144" s="92" t="n"/>
      <c r="AJ144" s="92" t="n"/>
      <c r="AK144" s="92" t="n"/>
      <c r="AL144" s="92" t="n"/>
      <c r="AM144" s="92" t="n"/>
      <c r="AN144" s="92" t="n"/>
      <c r="AO144" s="92" t="n"/>
      <c r="AP144" s="92" t="n"/>
      <c r="AQ144" s="92" t="n"/>
      <c r="AR144" s="92" t="n"/>
      <c r="AS144" s="92" t="n"/>
      <c r="AT144" s="92" t="n"/>
      <c r="AU144" s="92" t="n"/>
      <c r="AV144" s="92" t="n"/>
      <c r="AX144" s="139" t="n">
        <v>1993</v>
      </c>
      <c r="AY144" s="139" t="n">
        <v>9</v>
      </c>
    </row>
    <row r="145" ht="16.5" customFormat="1" customHeight="1" s="56">
      <c r="A145" s="92" t="n"/>
      <c r="B145" s="92" t="n"/>
      <c r="C145" s="92" t="n"/>
      <c r="D145" s="92" t="n"/>
      <c r="E145" s="92" t="n"/>
      <c r="F145" s="92" t="n"/>
      <c r="G145" s="92" t="n"/>
      <c r="H145" s="92" t="n"/>
      <c r="I145" s="92" t="n"/>
      <c r="J145" s="92" t="n"/>
      <c r="K145" s="92" t="n"/>
      <c r="L145" s="92" t="n"/>
      <c r="M145" s="92" t="n"/>
      <c r="N145" s="92" t="n"/>
      <c r="O145" s="92" t="n"/>
      <c r="P145" s="92" t="n"/>
      <c r="Q145" s="92" t="n"/>
      <c r="R145" s="92" t="n"/>
      <c r="S145" s="92" t="n"/>
      <c r="T145" s="92" t="n"/>
      <c r="U145" s="92" t="n"/>
      <c r="V145" s="92" t="n"/>
      <c r="W145" s="92" t="n"/>
      <c r="X145" s="92" t="n"/>
      <c r="Y145" s="92" t="n"/>
      <c r="Z145" s="92" t="n"/>
      <c r="AA145" s="92" t="n"/>
      <c r="AB145" s="92" t="n"/>
      <c r="AC145" s="92" t="n"/>
      <c r="AD145" s="92" t="n"/>
      <c r="AE145" s="92" t="n"/>
      <c r="AF145" s="92" t="n"/>
      <c r="AG145" s="92" t="n"/>
      <c r="AH145" s="92" t="n"/>
      <c r="AI145" s="92" t="n"/>
      <c r="AJ145" s="92" t="n"/>
      <c r="AK145" s="92" t="n"/>
      <c r="AL145" s="92" t="n"/>
      <c r="AM145" s="92" t="n"/>
      <c r="AN145" s="92" t="n"/>
      <c r="AO145" s="92" t="n"/>
      <c r="AP145" s="92" t="n"/>
      <c r="AQ145" s="92" t="n"/>
      <c r="AR145" s="92" t="n"/>
      <c r="AS145" s="92" t="n"/>
      <c r="AT145" s="92" t="n"/>
      <c r="AU145" s="92" t="n"/>
      <c r="AV145" s="92" t="n"/>
      <c r="AX145" s="139" t="n">
        <v>1992</v>
      </c>
      <c r="AY145" s="139" t="n">
        <v>3</v>
      </c>
    </row>
    <row r="146" ht="16.5" customFormat="1" customHeight="1" s="56">
      <c r="A146" s="92" t="n"/>
      <c r="B146" s="92" t="n"/>
      <c r="C146" s="92" t="n"/>
      <c r="D146" s="92" t="n"/>
      <c r="E146" s="92" t="n"/>
      <c r="F146" s="92" t="n"/>
      <c r="G146" s="92" t="n"/>
      <c r="H146" s="92" t="n"/>
      <c r="I146" s="92" t="n"/>
      <c r="J146" s="92" t="n"/>
      <c r="K146" s="92" t="n"/>
      <c r="L146" s="92" t="n"/>
      <c r="M146" s="92" t="n"/>
      <c r="N146" s="92" t="n"/>
      <c r="O146" s="92" t="n"/>
      <c r="P146" s="92" t="n"/>
      <c r="Q146" s="92" t="n"/>
      <c r="R146" s="92" t="n"/>
      <c r="S146" s="92" t="n"/>
      <c r="T146" s="92" t="n"/>
      <c r="U146" s="92" t="n"/>
      <c r="V146" s="92" t="n"/>
      <c r="W146" s="92" t="n"/>
      <c r="X146" s="92" t="n"/>
      <c r="Y146" s="92" t="n"/>
      <c r="Z146" s="92" t="n"/>
      <c r="AA146" s="92" t="n"/>
      <c r="AB146" s="92" t="n"/>
      <c r="AC146" s="92" t="n"/>
      <c r="AD146" s="92" t="n"/>
      <c r="AE146" s="92" t="n"/>
      <c r="AF146" s="92" t="n"/>
      <c r="AG146" s="92" t="n"/>
      <c r="AH146" s="92" t="n"/>
      <c r="AI146" s="92" t="n"/>
      <c r="AJ146" s="92" t="n"/>
      <c r="AK146" s="92" t="n"/>
      <c r="AL146" s="92" t="n"/>
      <c r="AM146" s="92" t="n"/>
      <c r="AN146" s="92" t="n"/>
      <c r="AO146" s="92" t="n"/>
      <c r="AP146" s="92" t="n"/>
      <c r="AQ146" s="92" t="n"/>
      <c r="AR146" s="92" t="n"/>
      <c r="AS146" s="92" t="n"/>
      <c r="AT146" s="92" t="n"/>
      <c r="AU146" s="92" t="n"/>
      <c r="AV146" s="92" t="n"/>
      <c r="AX146" s="139" t="n">
        <v>1992</v>
      </c>
      <c r="AY146" s="139" t="n">
        <v>3</v>
      </c>
    </row>
    <row r="147" ht="16.5" customFormat="1" customHeight="1" s="56">
      <c r="A147" s="92" t="n"/>
      <c r="B147" s="92" t="n"/>
      <c r="C147" s="92" t="n"/>
      <c r="D147" s="92" t="n"/>
      <c r="E147" s="92" t="n"/>
      <c r="F147" s="92" t="n"/>
      <c r="G147" s="92" t="n"/>
      <c r="H147" s="92" t="n"/>
      <c r="I147" s="92" t="n"/>
      <c r="J147" s="92" t="n"/>
      <c r="K147" s="92" t="n"/>
      <c r="L147" s="92" t="n"/>
      <c r="M147" s="92" t="n"/>
      <c r="N147" s="92" t="n"/>
      <c r="O147" s="92" t="n"/>
      <c r="P147" s="92" t="n"/>
      <c r="Q147" s="92" t="n"/>
      <c r="R147" s="92" t="n"/>
      <c r="S147" s="92" t="n"/>
      <c r="T147" s="92" t="n"/>
      <c r="U147" s="92" t="n"/>
      <c r="V147" s="92" t="n"/>
      <c r="W147" s="92" t="n"/>
      <c r="X147" s="92" t="n"/>
      <c r="Y147" s="92" t="n"/>
      <c r="Z147" s="92" t="n"/>
      <c r="AA147" s="92" t="n"/>
      <c r="AB147" s="92" t="n"/>
      <c r="AC147" s="92" t="n"/>
      <c r="AD147" s="92" t="n"/>
      <c r="AE147" s="92" t="n"/>
      <c r="AF147" s="92" t="n"/>
      <c r="AG147" s="92" t="n"/>
      <c r="AH147" s="92" t="n"/>
      <c r="AI147" s="92" t="n"/>
      <c r="AJ147" s="92" t="n"/>
      <c r="AK147" s="92" t="n"/>
      <c r="AL147" s="92" t="n"/>
      <c r="AM147" s="92" t="n"/>
      <c r="AN147" s="92" t="n"/>
      <c r="AO147" s="92" t="n"/>
      <c r="AP147" s="92" t="n"/>
      <c r="AQ147" s="92" t="n"/>
      <c r="AR147" s="92" t="n"/>
      <c r="AS147" s="92" t="n"/>
      <c r="AT147" s="92" t="n"/>
      <c r="AU147" s="92" t="n"/>
      <c r="AV147" s="92" t="n"/>
      <c r="AX147" s="139" t="n">
        <v>1993</v>
      </c>
      <c r="AY147" s="139" t="n">
        <v>5</v>
      </c>
    </row>
    <row r="148" ht="16.5" customFormat="1" customHeight="1" s="56">
      <c r="A148" s="92" t="n"/>
      <c r="B148" s="92" t="n"/>
      <c r="C148" s="92" t="n"/>
      <c r="D148" s="92" t="n"/>
      <c r="E148" s="92" t="n"/>
      <c r="F148" s="92" t="n"/>
      <c r="G148" s="92" t="n"/>
      <c r="H148" s="92" t="n"/>
      <c r="I148" s="92" t="n"/>
      <c r="J148" s="92" t="n"/>
      <c r="K148" s="92" t="n"/>
      <c r="L148" s="92" t="n"/>
      <c r="M148" s="92" t="n"/>
      <c r="N148" s="92" t="n"/>
      <c r="O148" s="92" t="n"/>
      <c r="P148" s="92" t="n"/>
      <c r="Q148" s="92" t="n"/>
      <c r="R148" s="92" t="n"/>
      <c r="S148" s="92" t="n"/>
      <c r="T148" s="92" t="n"/>
      <c r="U148" s="92" t="n"/>
      <c r="V148" s="92" t="n"/>
      <c r="W148" s="92" t="n"/>
      <c r="X148" s="92" t="n"/>
      <c r="Y148" s="92" t="n"/>
      <c r="Z148" s="92" t="n"/>
      <c r="AA148" s="92" t="n"/>
      <c r="AB148" s="92" t="n"/>
      <c r="AC148" s="92" t="n"/>
      <c r="AD148" s="92" t="n"/>
      <c r="AE148" s="92" t="n"/>
      <c r="AF148" s="92" t="n"/>
      <c r="AG148" s="92" t="n"/>
      <c r="AH148" s="92" t="n"/>
      <c r="AI148" s="92" t="n"/>
      <c r="AJ148" s="92" t="n"/>
      <c r="AK148" s="92" t="n"/>
      <c r="AL148" s="92" t="n"/>
      <c r="AM148" s="92" t="n"/>
      <c r="AN148" s="92" t="n"/>
      <c r="AO148" s="92" t="n"/>
      <c r="AP148" s="92" t="n"/>
      <c r="AQ148" s="92" t="n"/>
      <c r="AR148" s="92" t="n"/>
      <c r="AS148" s="92" t="n"/>
      <c r="AT148" s="92" t="n"/>
      <c r="AU148" s="92" t="n"/>
      <c r="AV148" s="92" t="n"/>
      <c r="AX148" s="139" t="n">
        <v>1993</v>
      </c>
      <c r="AY148" s="139" t="n">
        <v>5</v>
      </c>
    </row>
    <row r="149" ht="16.5" customFormat="1" customHeight="1" s="56">
      <c r="A149" s="92" t="n"/>
      <c r="B149" s="92" t="n"/>
      <c r="C149" s="92" t="n"/>
      <c r="D149" s="92" t="n"/>
      <c r="E149" s="92" t="n"/>
      <c r="F149" s="92" t="n"/>
      <c r="G149" s="92" t="n"/>
      <c r="H149" s="92" t="n"/>
      <c r="I149" s="92" t="n"/>
      <c r="J149" s="92" t="n"/>
      <c r="K149" s="92" t="n"/>
      <c r="L149" s="92" t="n"/>
      <c r="M149" s="92" t="n"/>
      <c r="N149" s="92" t="n"/>
      <c r="O149" s="92" t="n"/>
      <c r="P149" s="92" t="n"/>
      <c r="Q149" s="92" t="n"/>
      <c r="R149" s="92" t="n"/>
      <c r="S149" s="92" t="n"/>
      <c r="T149" s="92" t="n"/>
      <c r="U149" s="92" t="n"/>
      <c r="V149" s="92" t="n"/>
      <c r="W149" s="92" t="n"/>
      <c r="X149" s="92" t="n"/>
      <c r="Y149" s="92" t="n"/>
      <c r="Z149" s="92" t="n"/>
      <c r="AA149" s="92" t="n"/>
      <c r="AB149" s="92" t="n"/>
      <c r="AC149" s="92" t="n"/>
      <c r="AD149" s="92" t="n"/>
      <c r="AE149" s="92" t="n"/>
      <c r="AF149" s="92" t="n"/>
      <c r="AG149" s="92" t="n"/>
      <c r="AH149" s="92" t="n"/>
      <c r="AI149" s="92" t="n"/>
      <c r="AJ149" s="92" t="n"/>
      <c r="AK149" s="92" t="n"/>
      <c r="AL149" s="92" t="n"/>
      <c r="AM149" s="92" t="n"/>
      <c r="AN149" s="92" t="n"/>
      <c r="AO149" s="92" t="n"/>
      <c r="AP149" s="92" t="n"/>
      <c r="AQ149" s="92" t="n"/>
      <c r="AR149" s="92" t="n"/>
      <c r="AS149" s="92" t="n"/>
      <c r="AT149" s="92" t="n"/>
      <c r="AU149" s="92" t="n"/>
      <c r="AV149" s="92" t="n"/>
      <c r="AX149" s="139" t="n">
        <v>1993</v>
      </c>
      <c r="AY149" s="139" t="n">
        <v>5</v>
      </c>
    </row>
    <row r="150" ht="16.5" customFormat="1" customHeight="1" s="56">
      <c r="A150" s="92" t="n"/>
      <c r="B150" s="92" t="n"/>
      <c r="C150" s="92" t="n"/>
      <c r="D150" s="92" t="n"/>
      <c r="E150" s="92" t="n"/>
      <c r="F150" s="92" t="n"/>
      <c r="G150" s="92" t="n"/>
      <c r="H150" s="92" t="n"/>
      <c r="I150" s="92" t="n"/>
      <c r="J150" s="92" t="n"/>
      <c r="K150" s="92" t="n"/>
      <c r="L150" s="92" t="n"/>
      <c r="M150" s="92" t="n"/>
      <c r="N150" s="92" t="n"/>
      <c r="O150" s="92" t="n"/>
      <c r="P150" s="92" t="n"/>
      <c r="Q150" s="92" t="n"/>
      <c r="R150" s="92" t="n"/>
      <c r="S150" s="92" t="n"/>
      <c r="T150" s="92" t="n"/>
      <c r="U150" s="92" t="n"/>
      <c r="V150" s="92" t="n"/>
      <c r="W150" s="92" t="n"/>
      <c r="X150" s="92" t="n"/>
      <c r="Y150" s="92" t="n"/>
      <c r="Z150" s="92" t="n"/>
      <c r="AA150" s="92" t="n"/>
      <c r="AB150" s="92" t="n"/>
      <c r="AC150" s="92" t="n"/>
      <c r="AD150" s="92" t="n"/>
      <c r="AE150" s="92" t="n"/>
      <c r="AF150" s="92" t="n"/>
      <c r="AG150" s="92" t="n"/>
      <c r="AH150" s="92" t="n"/>
      <c r="AI150" s="92" t="n"/>
      <c r="AJ150" s="92" t="n"/>
      <c r="AK150" s="92" t="n"/>
      <c r="AL150" s="92" t="n"/>
      <c r="AM150" s="92" t="n"/>
      <c r="AN150" s="92" t="n"/>
      <c r="AO150" s="92" t="n"/>
      <c r="AP150" s="92" t="n"/>
      <c r="AQ150" s="92" t="n"/>
      <c r="AR150" s="92" t="n"/>
      <c r="AS150" s="92" t="n"/>
      <c r="AT150" s="92" t="n"/>
      <c r="AU150" s="92" t="n"/>
      <c r="AV150" s="92" t="n"/>
      <c r="AX150" s="139" t="n">
        <v>1993</v>
      </c>
      <c r="AY150" s="139" t="n">
        <v>5</v>
      </c>
    </row>
    <row r="151" ht="16.5" customFormat="1" customHeight="1" s="56">
      <c r="A151" s="92" t="n"/>
      <c r="B151" s="92" t="n"/>
      <c r="C151" s="92" t="n"/>
      <c r="D151" s="92" t="n"/>
      <c r="E151" s="92" t="n"/>
      <c r="F151" s="92" t="n"/>
      <c r="G151" s="92" t="n"/>
      <c r="H151" s="92" t="n"/>
      <c r="I151" s="92" t="n"/>
      <c r="J151" s="92" t="n"/>
      <c r="K151" s="92" t="n"/>
      <c r="L151" s="92" t="n"/>
      <c r="M151" s="92" t="n"/>
      <c r="N151" s="92" t="n"/>
      <c r="O151" s="92" t="n"/>
      <c r="P151" s="92" t="n"/>
      <c r="Q151" s="92" t="n"/>
      <c r="R151" s="92" t="n"/>
      <c r="S151" s="92" t="n"/>
      <c r="T151" s="92" t="n"/>
      <c r="U151" s="92" t="n"/>
      <c r="V151" s="92" t="n"/>
      <c r="W151" s="92" t="n"/>
      <c r="X151" s="92" t="n"/>
      <c r="Y151" s="92" t="n"/>
      <c r="Z151" s="92" t="n"/>
      <c r="AA151" s="92" t="n"/>
      <c r="AB151" s="92" t="n"/>
      <c r="AC151" s="92" t="n"/>
      <c r="AD151" s="92" t="n"/>
      <c r="AE151" s="92" t="n"/>
      <c r="AF151" s="92" t="n"/>
      <c r="AG151" s="92" t="n"/>
      <c r="AH151" s="92" t="n"/>
      <c r="AI151" s="92" t="n"/>
      <c r="AJ151" s="92" t="n"/>
      <c r="AK151" s="92" t="n"/>
      <c r="AL151" s="92" t="n"/>
      <c r="AM151" s="92" t="n"/>
      <c r="AN151" s="92" t="n"/>
      <c r="AO151" s="92" t="n"/>
      <c r="AP151" s="92" t="n"/>
      <c r="AQ151" s="92" t="n"/>
      <c r="AR151" s="92" t="n"/>
      <c r="AS151" s="92" t="n"/>
      <c r="AT151" s="92" t="n"/>
      <c r="AU151" s="92" t="n"/>
      <c r="AV151" s="92" t="n"/>
      <c r="AX151" s="139" t="n">
        <v>1992</v>
      </c>
      <c r="AY151" s="139" t="n">
        <v>12</v>
      </c>
    </row>
    <row r="152" ht="16.5" customFormat="1" customHeight="1" s="56">
      <c r="A152" s="92" t="n"/>
      <c r="B152" s="92" t="n"/>
      <c r="C152" s="92" t="n"/>
      <c r="D152" s="92" t="n"/>
      <c r="E152" s="92" t="n"/>
      <c r="F152" s="92" t="n"/>
      <c r="G152" s="92" t="n"/>
      <c r="H152" s="92" t="n"/>
      <c r="I152" s="92" t="n"/>
      <c r="J152" s="92" t="n"/>
      <c r="K152" s="92" t="n"/>
      <c r="L152" s="92" t="n"/>
      <c r="M152" s="92" t="n"/>
      <c r="N152" s="92" t="n"/>
      <c r="O152" s="92" t="n"/>
      <c r="P152" s="92" t="n"/>
      <c r="Q152" s="92" t="n"/>
      <c r="R152" s="92" t="n"/>
      <c r="S152" s="92" t="n"/>
      <c r="T152" s="92" t="n"/>
      <c r="U152" s="92" t="n"/>
      <c r="V152" s="92" t="n"/>
      <c r="W152" s="92" t="n"/>
      <c r="X152" s="92" t="n"/>
      <c r="Y152" s="92" t="n"/>
      <c r="Z152" s="92" t="n"/>
      <c r="AA152" s="92" t="n"/>
      <c r="AB152" s="92" t="n"/>
      <c r="AC152" s="92" t="n"/>
      <c r="AD152" s="92" t="n"/>
      <c r="AE152" s="92" t="n"/>
      <c r="AF152" s="92" t="n"/>
      <c r="AG152" s="92" t="n"/>
      <c r="AH152" s="92" t="n"/>
      <c r="AI152" s="92" t="n"/>
      <c r="AJ152" s="92" t="n"/>
      <c r="AK152" s="92" t="n"/>
      <c r="AL152" s="92" t="n"/>
      <c r="AM152" s="92" t="n"/>
      <c r="AN152" s="92" t="n"/>
      <c r="AO152" s="92" t="n"/>
      <c r="AP152" s="92" t="n"/>
      <c r="AQ152" s="92" t="n"/>
      <c r="AR152" s="92" t="n"/>
      <c r="AS152" s="92" t="n"/>
      <c r="AT152" s="92" t="n"/>
      <c r="AU152" s="92" t="n"/>
      <c r="AV152" s="92" t="n"/>
      <c r="AX152" s="139" t="n">
        <v>1993</v>
      </c>
      <c r="AY152" s="139" t="n">
        <v>5</v>
      </c>
    </row>
    <row r="153" ht="16.5" customFormat="1" customHeight="1" s="56">
      <c r="A153" s="92" t="n"/>
      <c r="B153" s="92" t="n"/>
      <c r="C153" s="92" t="n"/>
      <c r="D153" s="92" t="n"/>
      <c r="E153" s="92" t="n"/>
      <c r="F153" s="92" t="n"/>
      <c r="G153" s="92" t="n"/>
      <c r="H153" s="92" t="n"/>
      <c r="I153" s="92" t="n"/>
      <c r="J153" s="92" t="n"/>
      <c r="K153" s="92" t="n"/>
      <c r="L153" s="92" t="n"/>
      <c r="M153" s="92" t="n"/>
      <c r="N153" s="92" t="n"/>
      <c r="O153" s="92" t="n"/>
      <c r="P153" s="92" t="n"/>
      <c r="Q153" s="92" t="n"/>
      <c r="R153" s="92" t="n"/>
      <c r="S153" s="92" t="n"/>
      <c r="T153" s="92" t="n"/>
      <c r="U153" s="92" t="n"/>
      <c r="V153" s="92" t="n"/>
      <c r="W153" s="92" t="n"/>
      <c r="X153" s="92" t="n"/>
      <c r="Y153" s="92" t="n"/>
      <c r="Z153" s="92" t="n"/>
      <c r="AA153" s="92" t="n"/>
      <c r="AB153" s="92" t="n"/>
      <c r="AC153" s="92" t="n"/>
      <c r="AD153" s="92" t="n"/>
      <c r="AE153" s="92" t="n"/>
      <c r="AF153" s="92" t="n"/>
      <c r="AG153" s="92" t="n"/>
      <c r="AH153" s="92" t="n"/>
      <c r="AI153" s="92" t="n"/>
      <c r="AJ153" s="92" t="n"/>
      <c r="AK153" s="92" t="n"/>
      <c r="AL153" s="92" t="n"/>
      <c r="AM153" s="92" t="n"/>
      <c r="AN153" s="92" t="n"/>
      <c r="AO153" s="92" t="n"/>
      <c r="AP153" s="92" t="n"/>
      <c r="AQ153" s="92" t="n"/>
      <c r="AR153" s="92" t="n"/>
      <c r="AS153" s="92" t="n"/>
      <c r="AT153" s="92" t="n"/>
      <c r="AU153" s="92" t="n"/>
      <c r="AV153" s="92" t="n"/>
      <c r="AX153" s="139" t="n">
        <v>1993</v>
      </c>
      <c r="AY153" s="139" t="n">
        <v>5</v>
      </c>
    </row>
    <row r="154" ht="16.5" customFormat="1" customHeight="1" s="56">
      <c r="A154" s="92" t="n"/>
      <c r="B154" s="92" t="n"/>
      <c r="C154" s="92" t="n"/>
      <c r="D154" s="92" t="n"/>
      <c r="E154" s="92" t="n"/>
      <c r="F154" s="92" t="n"/>
      <c r="G154" s="92" t="n"/>
      <c r="H154" s="92" t="n"/>
      <c r="I154" s="92" t="n"/>
      <c r="J154" s="92" t="n"/>
      <c r="K154" s="92" t="n"/>
      <c r="L154" s="92" t="n"/>
      <c r="M154" s="92" t="n"/>
      <c r="N154" s="92" t="n"/>
      <c r="O154" s="92" t="n"/>
      <c r="P154" s="92" t="n"/>
      <c r="Q154" s="92" t="n"/>
      <c r="R154" s="92" t="n"/>
      <c r="S154" s="92" t="n"/>
      <c r="T154" s="92" t="n"/>
      <c r="U154" s="92" t="n"/>
      <c r="V154" s="92" t="n"/>
      <c r="W154" s="92" t="n"/>
      <c r="X154" s="92" t="n"/>
      <c r="Y154" s="92" t="n"/>
      <c r="Z154" s="92" t="n"/>
      <c r="AA154" s="92" t="n"/>
      <c r="AB154" s="92" t="n"/>
      <c r="AC154" s="92" t="n"/>
      <c r="AD154" s="92" t="n"/>
      <c r="AE154" s="92" t="n"/>
      <c r="AF154" s="92" t="n"/>
      <c r="AG154" s="92" t="n"/>
      <c r="AH154" s="92" t="n"/>
      <c r="AI154" s="92" t="n"/>
      <c r="AJ154" s="92" t="n"/>
      <c r="AK154" s="92" t="n"/>
      <c r="AL154" s="92" t="n"/>
      <c r="AM154" s="92" t="n"/>
      <c r="AN154" s="92" t="n"/>
      <c r="AO154" s="92" t="n"/>
      <c r="AP154" s="92" t="n"/>
      <c r="AQ154" s="92" t="n"/>
      <c r="AR154" s="92" t="n"/>
      <c r="AS154" s="92" t="n"/>
      <c r="AT154" s="92" t="n"/>
      <c r="AU154" s="92" t="n"/>
      <c r="AV154" s="92" t="n"/>
      <c r="AX154" s="139" t="n">
        <v>1997</v>
      </c>
      <c r="AY154" s="139" t="n">
        <v>8</v>
      </c>
    </row>
    <row r="155" ht="16.5" customFormat="1" customHeight="1" s="56">
      <c r="A155" s="92" t="n"/>
      <c r="B155" s="92" t="n"/>
      <c r="C155" s="92" t="n"/>
      <c r="D155" s="92" t="n"/>
      <c r="E155" s="92" t="n"/>
      <c r="F155" s="92" t="n"/>
      <c r="G155" s="92" t="n"/>
      <c r="H155" s="92" t="n"/>
      <c r="I155" s="92" t="n"/>
      <c r="J155" s="92" t="n"/>
      <c r="K155" s="92" t="n"/>
      <c r="L155" s="92" t="n"/>
      <c r="M155" s="92" t="n"/>
      <c r="N155" s="92" t="n"/>
      <c r="O155" s="92" t="n"/>
      <c r="P155" s="92" t="n"/>
      <c r="Q155" s="92" t="n"/>
      <c r="R155" s="92" t="n"/>
      <c r="S155" s="92" t="n"/>
      <c r="T155" s="92" t="n"/>
      <c r="U155" s="92" t="n"/>
      <c r="V155" s="92" t="n"/>
      <c r="W155" s="92" t="n"/>
      <c r="X155" s="92" t="n"/>
      <c r="Y155" s="92" t="n"/>
      <c r="Z155" s="92" t="n"/>
      <c r="AA155" s="92" t="n"/>
      <c r="AB155" s="92" t="n"/>
      <c r="AC155" s="92" t="n"/>
      <c r="AD155" s="92" t="n"/>
      <c r="AE155" s="92" t="n"/>
      <c r="AF155" s="92" t="n"/>
      <c r="AG155" s="92" t="n"/>
      <c r="AH155" s="92" t="n"/>
      <c r="AI155" s="92" t="n"/>
      <c r="AJ155" s="92" t="n"/>
      <c r="AK155" s="92" t="n"/>
      <c r="AL155" s="92" t="n"/>
      <c r="AM155" s="92" t="n"/>
      <c r="AN155" s="92" t="n"/>
      <c r="AO155" s="92" t="n"/>
      <c r="AP155" s="92" t="n"/>
      <c r="AQ155" s="92" t="n"/>
      <c r="AR155" s="92" t="n"/>
      <c r="AS155" s="92" t="n"/>
      <c r="AT155" s="92" t="n"/>
      <c r="AU155" s="92" t="n"/>
      <c r="AV155" s="92" t="n"/>
      <c r="AX155" s="139" t="n">
        <v>1997</v>
      </c>
      <c r="AY155" s="139" t="n">
        <v>8</v>
      </c>
    </row>
    <row r="156" ht="16.5" customFormat="1" customHeight="1" s="56">
      <c r="A156" s="92" t="n"/>
      <c r="B156" s="92" t="n"/>
      <c r="C156" s="92" t="n"/>
      <c r="D156" s="92" t="n"/>
      <c r="E156" s="92" t="n"/>
      <c r="F156" s="92" t="n"/>
      <c r="G156" s="92" t="n"/>
      <c r="H156" s="92" t="n"/>
      <c r="I156" s="92" t="n"/>
      <c r="J156" s="92" t="n"/>
      <c r="K156" s="92" t="n"/>
      <c r="L156" s="92" t="n"/>
      <c r="M156" s="92" t="n"/>
      <c r="N156" s="92" t="n"/>
      <c r="O156" s="92" t="n"/>
      <c r="P156" s="92" t="n"/>
      <c r="Q156" s="92" t="n"/>
      <c r="R156" s="92" t="n"/>
      <c r="S156" s="92" t="n"/>
      <c r="T156" s="92" t="n"/>
      <c r="U156" s="92" t="n"/>
      <c r="V156" s="92" t="n"/>
      <c r="W156" s="92" t="n"/>
      <c r="X156" s="92" t="n"/>
      <c r="Y156" s="92" t="n"/>
      <c r="Z156" s="92" t="n"/>
      <c r="AA156" s="92" t="n"/>
      <c r="AB156" s="92" t="n"/>
      <c r="AC156" s="92" t="n"/>
      <c r="AD156" s="92" t="n"/>
      <c r="AE156" s="92" t="n"/>
      <c r="AF156" s="92" t="n"/>
      <c r="AG156" s="92" t="n"/>
      <c r="AH156" s="92" t="n"/>
      <c r="AI156" s="92" t="n"/>
      <c r="AJ156" s="92" t="n"/>
      <c r="AK156" s="92" t="n"/>
      <c r="AL156" s="92" t="n"/>
      <c r="AM156" s="92" t="n"/>
      <c r="AN156" s="92" t="n"/>
      <c r="AO156" s="92" t="n"/>
      <c r="AP156" s="92" t="n"/>
      <c r="AQ156" s="92" t="n"/>
      <c r="AR156" s="92" t="n"/>
      <c r="AS156" s="92" t="n"/>
      <c r="AT156" s="92" t="n"/>
      <c r="AU156" s="92" t="n"/>
      <c r="AV156" s="92" t="n"/>
      <c r="AX156" s="139" t="n">
        <v>1994</v>
      </c>
      <c r="AY156" s="139" t="n">
        <v>5</v>
      </c>
    </row>
    <row r="157" ht="16.5" customFormat="1" customHeight="1" s="56">
      <c r="A157" s="92" t="n"/>
      <c r="B157" s="92" t="n"/>
      <c r="C157" s="92" t="n"/>
      <c r="D157" s="92" t="n"/>
      <c r="E157" s="92" t="n"/>
      <c r="F157" s="92" t="n"/>
      <c r="G157" s="92" t="n"/>
      <c r="H157" s="92" t="n"/>
      <c r="I157" s="92" t="n"/>
      <c r="J157" s="92" t="n"/>
      <c r="K157" s="92" t="n"/>
      <c r="L157" s="92" t="n"/>
      <c r="M157" s="92" t="n"/>
      <c r="N157" s="92" t="n"/>
      <c r="O157" s="92" t="n"/>
      <c r="P157" s="92" t="n"/>
      <c r="Q157" s="92" t="n"/>
      <c r="R157" s="92" t="n"/>
      <c r="S157" s="92" t="n"/>
      <c r="T157" s="92" t="n"/>
      <c r="U157" s="92" t="n"/>
      <c r="V157" s="92" t="n"/>
      <c r="W157" s="92" t="n"/>
      <c r="X157" s="92" t="n"/>
      <c r="Y157" s="92" t="n"/>
      <c r="Z157" s="92" t="n"/>
      <c r="AA157" s="92" t="n"/>
      <c r="AB157" s="92" t="n"/>
      <c r="AC157" s="92" t="n"/>
      <c r="AD157" s="92" t="n"/>
      <c r="AE157" s="92" t="n"/>
      <c r="AF157" s="92" t="n"/>
      <c r="AG157" s="92" t="n"/>
      <c r="AH157" s="92" t="n"/>
      <c r="AI157" s="92" t="n"/>
      <c r="AJ157" s="92" t="n"/>
      <c r="AK157" s="92" t="n"/>
      <c r="AL157" s="92" t="n"/>
      <c r="AM157" s="92" t="n"/>
      <c r="AN157" s="92" t="n"/>
      <c r="AO157" s="92" t="n"/>
      <c r="AP157" s="92" t="n"/>
      <c r="AQ157" s="92" t="n"/>
      <c r="AR157" s="92" t="n"/>
      <c r="AS157" s="92" t="n"/>
      <c r="AT157" s="92" t="n"/>
      <c r="AU157" s="92" t="n"/>
      <c r="AV157" s="92" t="n"/>
      <c r="AX157" s="139" t="n">
        <v>1994</v>
      </c>
      <c r="AY157" s="139" t="n">
        <v>2</v>
      </c>
    </row>
    <row r="158" ht="16.5" customFormat="1" customHeight="1" s="56">
      <c r="A158" s="92" t="n"/>
      <c r="B158" s="92" t="n"/>
      <c r="C158" s="92" t="n"/>
      <c r="D158" s="92" t="n"/>
      <c r="E158" s="92" t="n"/>
      <c r="F158" s="92" t="n"/>
      <c r="G158" s="92" t="n"/>
      <c r="H158" s="92" t="n"/>
      <c r="I158" s="92" t="n"/>
      <c r="J158" s="92" t="n"/>
      <c r="K158" s="92" t="n"/>
      <c r="L158" s="92" t="n"/>
      <c r="M158" s="92" t="n"/>
      <c r="N158" s="92" t="n"/>
      <c r="O158" s="92" t="n"/>
      <c r="P158" s="92" t="n"/>
      <c r="Q158" s="92" t="n"/>
      <c r="R158" s="92" t="n"/>
      <c r="S158" s="92" t="n"/>
      <c r="T158" s="92" t="n"/>
      <c r="U158" s="92" t="n"/>
      <c r="V158" s="92" t="n"/>
      <c r="W158" s="92" t="n"/>
      <c r="X158" s="92" t="n"/>
      <c r="Y158" s="92" t="n"/>
      <c r="Z158" s="92" t="n"/>
      <c r="AA158" s="92" t="n"/>
      <c r="AB158" s="92" t="n"/>
      <c r="AC158" s="92" t="n"/>
      <c r="AD158" s="92" t="n"/>
      <c r="AE158" s="92" t="n"/>
      <c r="AF158" s="92" t="n"/>
      <c r="AG158" s="92" t="n"/>
      <c r="AH158" s="92" t="n"/>
      <c r="AI158" s="92" t="n"/>
      <c r="AJ158" s="92" t="n"/>
      <c r="AK158" s="92" t="n"/>
      <c r="AL158" s="92" t="n"/>
      <c r="AM158" s="92" t="n"/>
      <c r="AN158" s="92" t="n"/>
      <c r="AO158" s="92" t="n"/>
      <c r="AP158" s="92" t="n"/>
      <c r="AQ158" s="92" t="n"/>
      <c r="AR158" s="92" t="n"/>
      <c r="AS158" s="92" t="n"/>
      <c r="AT158" s="92" t="n"/>
      <c r="AU158" s="92" t="n"/>
      <c r="AV158" s="92" t="n"/>
      <c r="AX158" s="139" t="n">
        <v>1994</v>
      </c>
      <c r="AY158" s="139" t="n">
        <v>2</v>
      </c>
    </row>
    <row r="159" ht="16.5" customFormat="1" customHeight="1" s="56">
      <c r="A159" s="92" t="n"/>
      <c r="B159" s="92" t="n"/>
      <c r="C159" s="92" t="n"/>
      <c r="D159" s="92" t="n"/>
      <c r="E159" s="92" t="n"/>
      <c r="F159" s="92" t="n"/>
      <c r="G159" s="92" t="n"/>
      <c r="H159" s="92" t="n"/>
      <c r="I159" s="92" t="n"/>
      <c r="J159" s="92" t="n"/>
      <c r="K159" s="92" t="n"/>
      <c r="L159" s="92" t="n"/>
      <c r="M159" s="92" t="n"/>
      <c r="N159" s="92" t="n"/>
      <c r="O159" s="92" t="n"/>
      <c r="P159" s="92" t="n"/>
      <c r="Q159" s="92" t="n"/>
      <c r="R159" s="92" t="n"/>
      <c r="S159" s="92" t="n"/>
      <c r="T159" s="92" t="n"/>
      <c r="U159" s="92" t="n"/>
      <c r="V159" s="92" t="n"/>
      <c r="W159" s="92" t="n"/>
      <c r="X159" s="92" t="n"/>
      <c r="Y159" s="92" t="n"/>
      <c r="Z159" s="92" t="n"/>
      <c r="AA159" s="92" t="n"/>
      <c r="AB159" s="92" t="n"/>
      <c r="AC159" s="92" t="n"/>
      <c r="AD159" s="92" t="n"/>
      <c r="AE159" s="92" t="n"/>
      <c r="AF159" s="92" t="n"/>
      <c r="AG159" s="92" t="n"/>
      <c r="AH159" s="92" t="n"/>
      <c r="AI159" s="92" t="n"/>
      <c r="AJ159" s="92" t="n"/>
      <c r="AK159" s="92" t="n"/>
      <c r="AL159" s="92" t="n"/>
      <c r="AM159" s="92" t="n"/>
      <c r="AN159" s="92" t="n"/>
      <c r="AO159" s="92" t="n"/>
      <c r="AP159" s="92" t="n"/>
      <c r="AQ159" s="92" t="n"/>
      <c r="AR159" s="92" t="n"/>
      <c r="AS159" s="92" t="n"/>
      <c r="AT159" s="92" t="n"/>
      <c r="AU159" s="92" t="n"/>
      <c r="AV159" s="92" t="n"/>
      <c r="AX159" s="139" t="n">
        <v>1994</v>
      </c>
      <c r="AY159" s="139" t="n">
        <v>2</v>
      </c>
    </row>
    <row r="160" ht="16.5" customFormat="1" customHeight="1" s="56">
      <c r="A160" s="92" t="n"/>
      <c r="B160" s="92" t="n"/>
      <c r="C160" s="92" t="n"/>
      <c r="D160" s="92" t="n"/>
      <c r="E160" s="92" t="n"/>
      <c r="F160" s="92" t="n"/>
      <c r="G160" s="92" t="n"/>
      <c r="H160" s="92" t="n"/>
      <c r="I160" s="92" t="n"/>
      <c r="J160" s="92" t="n"/>
      <c r="K160" s="92" t="n"/>
      <c r="L160" s="92" t="n"/>
      <c r="M160" s="92" t="n"/>
      <c r="N160" s="92" t="n"/>
      <c r="O160" s="92" t="n"/>
      <c r="P160" s="92" t="n"/>
      <c r="Q160" s="92" t="n"/>
      <c r="R160" s="92" t="n"/>
      <c r="S160" s="92" t="n"/>
      <c r="T160" s="92" t="n"/>
      <c r="U160" s="92" t="n"/>
      <c r="V160" s="92" t="n"/>
      <c r="W160" s="92" t="n"/>
      <c r="X160" s="92" t="n"/>
      <c r="Y160" s="92" t="n"/>
      <c r="Z160" s="92" t="n"/>
      <c r="AA160" s="92" t="n"/>
      <c r="AB160" s="92" t="n"/>
      <c r="AC160" s="92" t="n"/>
      <c r="AD160" s="92" t="n"/>
      <c r="AE160" s="92" t="n"/>
      <c r="AF160" s="92" t="n"/>
      <c r="AG160" s="92" t="n"/>
      <c r="AH160" s="92" t="n"/>
      <c r="AI160" s="92" t="n"/>
      <c r="AJ160" s="92" t="n"/>
      <c r="AK160" s="92" t="n"/>
      <c r="AL160" s="92" t="n"/>
      <c r="AM160" s="92" t="n"/>
      <c r="AN160" s="92" t="n"/>
      <c r="AO160" s="92" t="n"/>
      <c r="AP160" s="92" t="n"/>
      <c r="AQ160" s="92" t="n"/>
      <c r="AR160" s="92" t="n"/>
      <c r="AS160" s="92" t="n"/>
      <c r="AT160" s="92" t="n"/>
      <c r="AU160" s="92" t="n"/>
      <c r="AV160" s="92" t="n"/>
      <c r="AX160" s="139" t="n">
        <v>1994</v>
      </c>
      <c r="AY160" s="139" t="n">
        <v>1</v>
      </c>
    </row>
    <row r="161" ht="16.5" customFormat="1" customHeight="1" s="56">
      <c r="A161" s="92" t="n"/>
      <c r="B161" s="92" t="n"/>
      <c r="C161" s="92" t="n"/>
      <c r="D161" s="92" t="n"/>
      <c r="E161" s="92" t="n"/>
      <c r="F161" s="92" t="n"/>
      <c r="G161" s="92" t="n"/>
      <c r="H161" s="92" t="n"/>
      <c r="I161" s="92" t="n"/>
      <c r="J161" s="92" t="n"/>
      <c r="K161" s="92" t="n"/>
      <c r="L161" s="92" t="n"/>
      <c r="M161" s="92" t="n"/>
      <c r="N161" s="92" t="n"/>
      <c r="O161" s="92" t="n"/>
      <c r="P161" s="92" t="n"/>
      <c r="Q161" s="92" t="n"/>
      <c r="R161" s="92" t="n"/>
      <c r="S161" s="92" t="n"/>
      <c r="T161" s="92" t="n"/>
      <c r="U161" s="92" t="n"/>
      <c r="V161" s="92" t="n"/>
      <c r="W161" s="92" t="n"/>
      <c r="X161" s="92" t="n"/>
      <c r="Y161" s="92" t="n"/>
      <c r="Z161" s="92" t="n"/>
      <c r="AA161" s="92" t="n"/>
      <c r="AB161" s="92" t="n"/>
      <c r="AC161" s="92" t="n"/>
      <c r="AD161" s="92" t="n"/>
      <c r="AE161" s="92" t="n"/>
      <c r="AF161" s="92" t="n"/>
      <c r="AG161" s="92" t="n"/>
      <c r="AH161" s="92" t="n"/>
      <c r="AI161" s="92" t="n"/>
      <c r="AJ161" s="92" t="n"/>
      <c r="AK161" s="92" t="n"/>
      <c r="AL161" s="92" t="n"/>
      <c r="AM161" s="92" t="n"/>
      <c r="AN161" s="92" t="n"/>
      <c r="AO161" s="92" t="n"/>
      <c r="AP161" s="92" t="n"/>
      <c r="AQ161" s="92" t="n"/>
      <c r="AR161" s="92" t="n"/>
      <c r="AS161" s="92" t="n"/>
      <c r="AT161" s="92" t="n"/>
      <c r="AU161" s="92" t="n"/>
      <c r="AV161" s="92" t="n"/>
      <c r="AX161" s="139" t="n">
        <v>1994</v>
      </c>
      <c r="AY161" s="139" t="n">
        <v>1</v>
      </c>
    </row>
    <row r="162" ht="16.5" customFormat="1" customHeight="1" s="56">
      <c r="A162" s="92" t="n"/>
      <c r="B162" s="92" t="n"/>
      <c r="C162" s="92" t="n"/>
      <c r="D162" s="92" t="n"/>
      <c r="E162" s="92" t="n"/>
      <c r="F162" s="92" t="n"/>
      <c r="G162" s="92" t="n"/>
      <c r="H162" s="92" t="n"/>
      <c r="I162" s="92" t="n"/>
      <c r="J162" s="92" t="n"/>
      <c r="K162" s="92" t="n"/>
      <c r="L162" s="92" t="n"/>
      <c r="M162" s="92" t="n"/>
      <c r="N162" s="92" t="n"/>
      <c r="O162" s="92" t="n"/>
      <c r="P162" s="92" t="n"/>
      <c r="Q162" s="92" t="n"/>
      <c r="R162" s="92" t="n"/>
      <c r="S162" s="92" t="n"/>
      <c r="T162" s="92" t="n"/>
      <c r="U162" s="92" t="n"/>
      <c r="V162" s="92" t="n"/>
      <c r="W162" s="92" t="n"/>
      <c r="X162" s="92" t="n"/>
      <c r="Y162" s="92" t="n"/>
      <c r="Z162" s="92" t="n"/>
      <c r="AA162" s="92" t="n"/>
      <c r="AB162" s="92" t="n"/>
      <c r="AC162" s="92" t="n"/>
      <c r="AD162" s="92" t="n"/>
      <c r="AE162" s="92" t="n"/>
      <c r="AF162" s="92" t="n"/>
      <c r="AG162" s="92" t="n"/>
      <c r="AH162" s="92" t="n"/>
      <c r="AI162" s="92" t="n"/>
      <c r="AJ162" s="92" t="n"/>
      <c r="AK162" s="92" t="n"/>
      <c r="AL162" s="92" t="n"/>
      <c r="AM162" s="92" t="n"/>
      <c r="AN162" s="92" t="n"/>
      <c r="AO162" s="92" t="n"/>
      <c r="AP162" s="92" t="n"/>
      <c r="AQ162" s="92" t="n"/>
      <c r="AR162" s="92" t="n"/>
      <c r="AS162" s="92" t="n"/>
      <c r="AT162" s="92" t="n"/>
      <c r="AU162" s="92" t="n"/>
      <c r="AV162" s="92" t="n"/>
      <c r="AX162" s="139" t="n">
        <v>1994</v>
      </c>
      <c r="AY162" s="139" t="n">
        <v>12</v>
      </c>
    </row>
    <row r="163" ht="16.5" customFormat="1" customHeight="1" s="56">
      <c r="A163" s="92" t="n"/>
      <c r="B163" s="92" t="n"/>
      <c r="C163" s="92" t="n"/>
      <c r="D163" s="92" t="n"/>
      <c r="E163" s="92" t="n"/>
      <c r="F163" s="92" t="n"/>
      <c r="G163" s="92" t="n"/>
      <c r="H163" s="92" t="n"/>
      <c r="I163" s="92" t="n"/>
      <c r="J163" s="92" t="n"/>
      <c r="K163" s="92" t="n"/>
      <c r="L163" s="92" t="n"/>
      <c r="M163" s="92" t="n"/>
      <c r="N163" s="92" t="n"/>
      <c r="O163" s="92" t="n"/>
      <c r="P163" s="92" t="n"/>
      <c r="Q163" s="92" t="n"/>
      <c r="R163" s="92" t="n"/>
      <c r="S163" s="92" t="n"/>
      <c r="T163" s="92" t="n"/>
      <c r="U163" s="92" t="n"/>
      <c r="V163" s="92" t="n"/>
      <c r="W163" s="92" t="n"/>
      <c r="X163" s="92" t="n"/>
      <c r="Y163" s="92" t="n"/>
      <c r="Z163" s="92" t="n"/>
      <c r="AA163" s="92" t="n"/>
      <c r="AB163" s="92" t="n"/>
      <c r="AC163" s="92" t="n"/>
      <c r="AD163" s="92" t="n"/>
      <c r="AE163" s="92" t="n"/>
      <c r="AF163" s="92" t="n"/>
      <c r="AG163" s="92" t="n"/>
      <c r="AH163" s="92" t="n"/>
      <c r="AI163" s="92" t="n"/>
      <c r="AJ163" s="92" t="n"/>
      <c r="AK163" s="92" t="n"/>
      <c r="AL163" s="92" t="n"/>
      <c r="AM163" s="92" t="n"/>
      <c r="AN163" s="92" t="n"/>
      <c r="AO163" s="92" t="n"/>
      <c r="AP163" s="92" t="n"/>
      <c r="AQ163" s="92" t="n"/>
      <c r="AR163" s="92" t="n"/>
      <c r="AS163" s="92" t="n"/>
      <c r="AT163" s="92" t="n"/>
      <c r="AU163" s="92" t="n"/>
      <c r="AV163" s="92" t="n"/>
      <c r="AX163" s="139" t="n">
        <v>1992</v>
      </c>
      <c r="AY163" s="139" t="n">
        <v>6</v>
      </c>
    </row>
    <row r="164" ht="16.5" customFormat="1" customHeight="1" s="56">
      <c r="A164" s="92" t="n"/>
      <c r="B164" s="92" t="n"/>
      <c r="C164" s="92" t="n"/>
      <c r="D164" s="92" t="n"/>
      <c r="E164" s="92" t="n"/>
      <c r="F164" s="92" t="n"/>
      <c r="G164" s="92" t="n"/>
      <c r="H164" s="92" t="n"/>
      <c r="I164" s="92" t="n"/>
      <c r="J164" s="92" t="n"/>
      <c r="K164" s="92" t="n"/>
      <c r="L164" s="92" t="n"/>
      <c r="M164" s="92" t="n"/>
      <c r="N164" s="92" t="n"/>
      <c r="O164" s="92" t="n"/>
      <c r="P164" s="92" t="n"/>
      <c r="Q164" s="92" t="n"/>
      <c r="R164" s="92" t="n"/>
      <c r="S164" s="92" t="n"/>
      <c r="T164" s="92" t="n"/>
      <c r="U164" s="92" t="n"/>
      <c r="V164" s="92" t="n"/>
      <c r="W164" s="92" t="n"/>
      <c r="X164" s="92" t="n"/>
      <c r="Y164" s="92" t="n"/>
      <c r="Z164" s="92" t="n"/>
      <c r="AA164" s="92" t="n"/>
      <c r="AB164" s="92" t="n"/>
      <c r="AC164" s="92" t="n"/>
      <c r="AD164" s="92" t="n"/>
      <c r="AE164" s="92" t="n"/>
      <c r="AF164" s="92" t="n"/>
      <c r="AG164" s="92" t="n"/>
      <c r="AH164" s="92" t="n"/>
      <c r="AI164" s="92" t="n"/>
      <c r="AJ164" s="92" t="n"/>
      <c r="AK164" s="92" t="n"/>
      <c r="AL164" s="92" t="n"/>
      <c r="AM164" s="92" t="n"/>
      <c r="AN164" s="92" t="n"/>
      <c r="AO164" s="92" t="n"/>
      <c r="AP164" s="92" t="n"/>
      <c r="AQ164" s="92" t="n"/>
      <c r="AR164" s="92" t="n"/>
      <c r="AS164" s="92" t="n"/>
      <c r="AT164" s="92" t="n"/>
      <c r="AU164" s="92" t="n"/>
      <c r="AV164" s="92" t="n"/>
      <c r="AX164" s="139" t="n">
        <v>1992</v>
      </c>
      <c r="AY164" s="139" t="n">
        <v>6</v>
      </c>
    </row>
    <row r="165" ht="16.5" customFormat="1" customHeight="1" s="56">
      <c r="A165" s="92" t="n"/>
      <c r="B165" s="92" t="n"/>
      <c r="C165" s="92" t="n"/>
      <c r="D165" s="92" t="n"/>
      <c r="E165" s="92" t="n"/>
      <c r="F165" s="92" t="n"/>
      <c r="G165" s="92" t="n"/>
      <c r="H165" s="92" t="n"/>
      <c r="I165" s="92" t="n"/>
      <c r="J165" s="92" t="n"/>
      <c r="K165" s="92" t="n"/>
      <c r="L165" s="92" t="n"/>
      <c r="M165" s="92" t="n"/>
      <c r="N165" s="92" t="n"/>
      <c r="O165" s="92" t="n"/>
      <c r="P165" s="92" t="n"/>
      <c r="Q165" s="92" t="n"/>
      <c r="R165" s="92" t="n"/>
      <c r="S165" s="92" t="n"/>
      <c r="T165" s="92" t="n"/>
      <c r="U165" s="92" t="n"/>
      <c r="V165" s="92" t="n"/>
      <c r="W165" s="92" t="n"/>
      <c r="X165" s="92" t="n"/>
      <c r="Y165" s="92" t="n"/>
      <c r="Z165" s="92" t="n"/>
      <c r="AA165" s="92" t="n"/>
      <c r="AB165" s="92" t="n"/>
      <c r="AC165" s="92" t="n"/>
      <c r="AD165" s="92" t="n"/>
      <c r="AE165" s="92" t="n"/>
      <c r="AF165" s="92" t="n"/>
      <c r="AG165" s="92" t="n"/>
      <c r="AH165" s="92" t="n"/>
      <c r="AI165" s="92" t="n"/>
      <c r="AJ165" s="92" t="n"/>
      <c r="AK165" s="92" t="n"/>
      <c r="AL165" s="92" t="n"/>
      <c r="AM165" s="92" t="n"/>
      <c r="AN165" s="92" t="n"/>
      <c r="AO165" s="92" t="n"/>
      <c r="AP165" s="92" t="n"/>
      <c r="AQ165" s="92" t="n"/>
      <c r="AR165" s="92" t="n"/>
      <c r="AS165" s="92" t="n"/>
      <c r="AT165" s="92" t="n"/>
      <c r="AU165" s="92" t="n"/>
      <c r="AV165" s="92" t="n"/>
      <c r="AX165" s="139" t="n">
        <v>1992</v>
      </c>
      <c r="AY165" s="139" t="n">
        <v>5</v>
      </c>
    </row>
    <row r="166" ht="16.5" customFormat="1" customHeight="1" s="56">
      <c r="A166" s="92" t="n"/>
      <c r="B166" s="92" t="n"/>
      <c r="C166" s="92" t="n"/>
      <c r="D166" s="92" t="n"/>
      <c r="E166" s="92" t="n"/>
      <c r="F166" s="92" t="n"/>
      <c r="G166" s="92" t="n"/>
      <c r="H166" s="92" t="n"/>
      <c r="I166" s="92" t="n"/>
      <c r="J166" s="92" t="n"/>
      <c r="K166" s="92" t="n"/>
      <c r="L166" s="92" t="n"/>
      <c r="M166" s="92" t="n"/>
      <c r="N166" s="92" t="n"/>
      <c r="O166" s="92" t="n"/>
      <c r="P166" s="92" t="n"/>
      <c r="Q166" s="92" t="n"/>
      <c r="R166" s="92" t="n"/>
      <c r="S166" s="92" t="n"/>
      <c r="T166" s="92" t="n"/>
      <c r="U166" s="92" t="n"/>
      <c r="V166" s="92" t="n"/>
      <c r="W166" s="92" t="n"/>
      <c r="X166" s="92" t="n"/>
      <c r="Y166" s="92" t="n"/>
      <c r="Z166" s="92" t="n"/>
      <c r="AA166" s="92" t="n"/>
      <c r="AB166" s="92" t="n"/>
      <c r="AC166" s="92" t="n"/>
      <c r="AD166" s="92" t="n"/>
      <c r="AE166" s="92" t="n"/>
      <c r="AF166" s="92" t="n"/>
      <c r="AG166" s="92" t="n"/>
      <c r="AH166" s="92" t="n"/>
      <c r="AI166" s="92" t="n"/>
      <c r="AJ166" s="92" t="n"/>
      <c r="AK166" s="92" t="n"/>
      <c r="AL166" s="92" t="n"/>
      <c r="AM166" s="92" t="n"/>
      <c r="AN166" s="92" t="n"/>
      <c r="AO166" s="92" t="n"/>
      <c r="AP166" s="92" t="n"/>
      <c r="AQ166" s="92" t="n"/>
      <c r="AR166" s="92" t="n"/>
      <c r="AS166" s="92" t="n"/>
      <c r="AT166" s="92" t="n"/>
      <c r="AU166" s="92" t="n"/>
      <c r="AV166" s="92" t="n"/>
      <c r="AX166" s="139" t="n">
        <v>1992</v>
      </c>
      <c r="AY166" s="139" t="n">
        <v>5</v>
      </c>
    </row>
    <row r="167" ht="16.5" customFormat="1" customHeight="1" s="56">
      <c r="A167" s="92" t="n"/>
      <c r="B167" s="92" t="n"/>
      <c r="C167" s="92" t="n"/>
      <c r="D167" s="92" t="n"/>
      <c r="E167" s="92" t="n"/>
      <c r="F167" s="92" t="n"/>
      <c r="G167" s="92" t="n"/>
      <c r="H167" s="92" t="n"/>
      <c r="I167" s="92" t="n"/>
      <c r="J167" s="92" t="n"/>
      <c r="K167" s="92" t="n"/>
      <c r="L167" s="92" t="n"/>
      <c r="M167" s="92" t="n"/>
      <c r="N167" s="92" t="n"/>
      <c r="O167" s="92" t="n"/>
      <c r="P167" s="92" t="n"/>
      <c r="Q167" s="92" t="n"/>
      <c r="R167" s="92" t="n"/>
      <c r="S167" s="92" t="n"/>
      <c r="T167" s="92" t="n"/>
      <c r="U167" s="92" t="n"/>
      <c r="V167" s="92" t="n"/>
      <c r="W167" s="92" t="n"/>
      <c r="X167" s="92" t="n"/>
      <c r="Y167" s="92" t="n"/>
      <c r="Z167" s="92" t="n"/>
      <c r="AA167" s="92" t="n"/>
      <c r="AB167" s="92" t="n"/>
      <c r="AC167" s="92" t="n"/>
      <c r="AD167" s="92" t="n"/>
      <c r="AE167" s="92" t="n"/>
      <c r="AF167" s="92" t="n"/>
      <c r="AG167" s="92" t="n"/>
      <c r="AH167" s="92" t="n"/>
      <c r="AI167" s="92" t="n"/>
      <c r="AJ167" s="92" t="n"/>
      <c r="AK167" s="92" t="n"/>
      <c r="AL167" s="92" t="n"/>
      <c r="AM167" s="92" t="n"/>
      <c r="AN167" s="92" t="n"/>
      <c r="AO167" s="92" t="n"/>
      <c r="AP167" s="92" t="n"/>
      <c r="AQ167" s="92" t="n"/>
      <c r="AR167" s="92" t="n"/>
      <c r="AS167" s="92" t="n"/>
      <c r="AT167" s="92" t="n"/>
      <c r="AU167" s="92" t="n"/>
      <c r="AV167" s="92" t="n"/>
      <c r="AX167" s="139" t="n">
        <v>1994</v>
      </c>
      <c r="AY167" s="139" t="n">
        <v>3</v>
      </c>
    </row>
    <row r="168" ht="16.5" customFormat="1" customHeight="1" s="56">
      <c r="A168" s="92" t="n"/>
      <c r="B168" s="92" t="n"/>
      <c r="C168" s="92" t="n"/>
      <c r="D168" s="92" t="n"/>
      <c r="E168" s="92" t="n"/>
      <c r="F168" s="92" t="n"/>
      <c r="G168" s="92" t="n"/>
      <c r="H168" s="92" t="n"/>
      <c r="I168" s="92" t="n"/>
      <c r="J168" s="92" t="n"/>
      <c r="K168" s="92" t="n"/>
      <c r="L168" s="92" t="n"/>
      <c r="M168" s="92" t="n"/>
      <c r="N168" s="92" t="n"/>
      <c r="O168" s="92" t="n"/>
      <c r="P168" s="92" t="n"/>
      <c r="Q168" s="92" t="n"/>
      <c r="R168" s="92" t="n"/>
      <c r="S168" s="92" t="n"/>
      <c r="T168" s="92" t="n"/>
      <c r="U168" s="92" t="n"/>
      <c r="V168" s="92" t="n"/>
      <c r="W168" s="92" t="n"/>
      <c r="X168" s="92" t="n"/>
      <c r="Y168" s="92" t="n"/>
      <c r="Z168" s="92" t="n"/>
      <c r="AA168" s="92" t="n"/>
      <c r="AB168" s="92" t="n"/>
      <c r="AC168" s="92" t="n"/>
      <c r="AD168" s="92" t="n"/>
      <c r="AE168" s="92" t="n"/>
      <c r="AF168" s="92" t="n"/>
      <c r="AG168" s="92" t="n"/>
      <c r="AH168" s="92" t="n"/>
      <c r="AI168" s="92" t="n"/>
      <c r="AJ168" s="92" t="n"/>
      <c r="AK168" s="92" t="n"/>
      <c r="AL168" s="92" t="n"/>
      <c r="AM168" s="92" t="n"/>
      <c r="AN168" s="92" t="n"/>
      <c r="AO168" s="92" t="n"/>
      <c r="AP168" s="92" t="n"/>
      <c r="AQ168" s="92" t="n"/>
      <c r="AR168" s="92" t="n"/>
      <c r="AS168" s="92" t="n"/>
      <c r="AT168" s="92" t="n"/>
      <c r="AU168" s="92" t="n"/>
      <c r="AV168" s="92" t="n"/>
      <c r="AX168" s="139" t="n">
        <v>1992</v>
      </c>
      <c r="AY168" s="139" t="n">
        <v>6</v>
      </c>
    </row>
    <row r="169" ht="16.5" customFormat="1" customHeight="1" s="56">
      <c r="A169" s="92" t="n"/>
      <c r="B169" s="92" t="n"/>
      <c r="C169" s="92" t="n"/>
      <c r="D169" s="92" t="n"/>
      <c r="E169" s="92" t="n"/>
      <c r="F169" s="92" t="n"/>
      <c r="G169" s="92" t="n"/>
      <c r="H169" s="92" t="n"/>
      <c r="I169" s="92" t="n"/>
      <c r="J169" s="92" t="n"/>
      <c r="K169" s="92" t="n"/>
      <c r="L169" s="92" t="n"/>
      <c r="M169" s="92" t="n"/>
      <c r="N169" s="92" t="n"/>
      <c r="O169" s="92" t="n"/>
      <c r="P169" s="92" t="n"/>
      <c r="Q169" s="92" t="n"/>
      <c r="R169" s="92" t="n"/>
      <c r="S169" s="92" t="n"/>
      <c r="T169" s="92" t="n"/>
      <c r="U169" s="92" t="n"/>
      <c r="V169" s="92" t="n"/>
      <c r="W169" s="92" t="n"/>
      <c r="X169" s="92" t="n"/>
      <c r="Y169" s="92" t="n"/>
      <c r="Z169" s="92" t="n"/>
      <c r="AA169" s="92" t="n"/>
      <c r="AB169" s="92" t="n"/>
      <c r="AC169" s="92" t="n"/>
      <c r="AD169" s="92" t="n"/>
      <c r="AE169" s="92" t="n"/>
      <c r="AF169" s="92" t="n"/>
      <c r="AG169" s="92" t="n"/>
      <c r="AH169" s="92" t="n"/>
      <c r="AI169" s="92" t="n"/>
      <c r="AJ169" s="92" t="n"/>
      <c r="AK169" s="92" t="n"/>
      <c r="AL169" s="92" t="n"/>
      <c r="AM169" s="92" t="n"/>
      <c r="AN169" s="92" t="n"/>
      <c r="AO169" s="92" t="n"/>
      <c r="AP169" s="92" t="n"/>
      <c r="AQ169" s="92" t="n"/>
      <c r="AR169" s="92" t="n"/>
      <c r="AS169" s="92" t="n"/>
      <c r="AT169" s="92" t="n"/>
      <c r="AU169" s="92" t="n"/>
      <c r="AV169" s="92" t="n"/>
      <c r="AX169" s="139" t="n">
        <v>1992</v>
      </c>
      <c r="AY169" s="139" t="n">
        <v>6</v>
      </c>
    </row>
    <row r="170" ht="16.5" customFormat="1" customHeight="1" s="56">
      <c r="A170" s="92" t="n"/>
      <c r="B170" s="92" t="n"/>
      <c r="C170" s="92" t="n"/>
      <c r="D170" s="92" t="n"/>
      <c r="E170" s="92" t="n"/>
      <c r="F170" s="92" t="n"/>
      <c r="G170" s="92" t="n"/>
      <c r="H170" s="92" t="n"/>
      <c r="I170" s="92" t="n"/>
      <c r="J170" s="92" t="n"/>
      <c r="K170" s="92" t="n"/>
      <c r="L170" s="92" t="n"/>
      <c r="M170" s="92" t="n"/>
      <c r="N170" s="92" t="n"/>
      <c r="O170" s="92" t="n"/>
      <c r="P170" s="92" t="n"/>
      <c r="Q170" s="92" t="n"/>
      <c r="R170" s="92" t="n"/>
      <c r="S170" s="92" t="n"/>
      <c r="T170" s="92" t="n"/>
      <c r="U170" s="92" t="n"/>
      <c r="V170" s="92" t="n"/>
      <c r="W170" s="92" t="n"/>
      <c r="X170" s="92" t="n"/>
      <c r="Y170" s="92" t="n"/>
      <c r="Z170" s="92" t="n"/>
      <c r="AA170" s="92" t="n"/>
      <c r="AB170" s="92" t="n"/>
      <c r="AC170" s="92" t="n"/>
      <c r="AD170" s="92" t="n"/>
      <c r="AE170" s="92" t="n"/>
      <c r="AF170" s="92" t="n"/>
      <c r="AG170" s="92" t="n"/>
      <c r="AH170" s="92" t="n"/>
      <c r="AI170" s="92" t="n"/>
      <c r="AJ170" s="92" t="n"/>
      <c r="AK170" s="92" t="n"/>
      <c r="AL170" s="92" t="n"/>
      <c r="AM170" s="92" t="n"/>
      <c r="AN170" s="92" t="n"/>
      <c r="AO170" s="92" t="n"/>
      <c r="AP170" s="92" t="n"/>
      <c r="AQ170" s="92" t="n"/>
      <c r="AR170" s="92" t="n"/>
      <c r="AS170" s="92" t="n"/>
      <c r="AT170" s="92" t="n"/>
      <c r="AU170" s="92" t="n"/>
      <c r="AV170" s="92" t="n"/>
      <c r="AX170" s="139" t="n">
        <v>1992</v>
      </c>
      <c r="AY170" s="139" t="n">
        <v>7</v>
      </c>
    </row>
    <row r="171" ht="16.5" customFormat="1" customHeight="1" s="56">
      <c r="A171" s="92" t="n"/>
      <c r="B171" s="92" t="n"/>
      <c r="C171" s="92" t="n"/>
      <c r="D171" s="92" t="n"/>
      <c r="E171" s="92" t="n"/>
      <c r="F171" s="92" t="n"/>
      <c r="G171" s="92" t="n"/>
      <c r="H171" s="92" t="n"/>
      <c r="I171" s="92" t="n"/>
      <c r="J171" s="92" t="n"/>
      <c r="K171" s="92" t="n"/>
      <c r="L171" s="92" t="n"/>
      <c r="M171" s="92" t="n"/>
      <c r="N171" s="92" t="n"/>
      <c r="O171" s="92" t="n"/>
      <c r="P171" s="92" t="n"/>
      <c r="Q171" s="92" t="n"/>
      <c r="R171" s="92" t="n"/>
      <c r="S171" s="92" t="n"/>
      <c r="T171" s="92" t="n"/>
      <c r="U171" s="92" t="n"/>
      <c r="V171" s="92" t="n"/>
      <c r="W171" s="92" t="n"/>
      <c r="X171" s="92" t="n"/>
      <c r="Y171" s="92" t="n"/>
      <c r="Z171" s="92" t="n"/>
      <c r="AA171" s="92" t="n"/>
      <c r="AB171" s="92" t="n"/>
      <c r="AC171" s="92" t="n"/>
      <c r="AD171" s="92" t="n"/>
      <c r="AE171" s="92" t="n"/>
      <c r="AF171" s="92" t="n"/>
      <c r="AG171" s="92" t="n"/>
      <c r="AH171" s="92" t="n"/>
      <c r="AI171" s="92" t="n"/>
      <c r="AJ171" s="92" t="n"/>
      <c r="AK171" s="92" t="n"/>
      <c r="AL171" s="92" t="n"/>
      <c r="AM171" s="92" t="n"/>
      <c r="AN171" s="92" t="n"/>
      <c r="AO171" s="92" t="n"/>
      <c r="AP171" s="92" t="n"/>
      <c r="AQ171" s="92" t="n"/>
      <c r="AR171" s="92" t="n"/>
      <c r="AS171" s="92" t="n"/>
      <c r="AT171" s="92" t="n"/>
      <c r="AU171" s="92" t="n"/>
      <c r="AV171" s="92" t="n"/>
      <c r="AX171" s="139" t="n">
        <v>1993</v>
      </c>
      <c r="AY171" s="139" t="n">
        <v>11</v>
      </c>
      <c r="AZ171" s="139" t="n"/>
      <c r="BA171" s="113" t="inlineStr">
        <is>
          <t>20평대</t>
        </is>
      </c>
      <c r="BB171" s="140" t="n">
        <v>0</v>
      </c>
      <c r="BC171" s="140" t="n">
        <v>0</v>
      </c>
      <c r="BD171" s="140" t="n">
        <v>0</v>
      </c>
      <c r="BE171" s="140" t="n">
        <v>0</v>
      </c>
      <c r="BF171" s="140" t="n">
        <v>0</v>
      </c>
    </row>
    <row r="172" ht="16.5" customFormat="1" customHeight="1" s="56">
      <c r="A172" s="92" t="n"/>
      <c r="B172" s="92" t="n"/>
      <c r="C172" s="92" t="n"/>
      <c r="D172" s="92" t="n"/>
      <c r="E172" s="92" t="n"/>
      <c r="F172" s="92" t="n"/>
      <c r="G172" s="92" t="n"/>
      <c r="H172" s="92" t="n"/>
      <c r="I172" s="92" t="n"/>
      <c r="J172" s="92" t="n"/>
      <c r="K172" s="92" t="n"/>
      <c r="L172" s="92" t="n"/>
      <c r="M172" s="92" t="n"/>
      <c r="N172" s="92" t="n"/>
      <c r="O172" s="92" t="n"/>
      <c r="P172" s="92" t="n"/>
      <c r="Q172" s="92" t="n"/>
      <c r="R172" s="92" t="n"/>
      <c r="S172" s="92" t="n"/>
      <c r="T172" s="92" t="n"/>
      <c r="U172" s="92" t="n"/>
      <c r="V172" s="92" t="n"/>
      <c r="W172" s="92" t="n"/>
      <c r="X172" s="92" t="n"/>
      <c r="Y172" s="92" t="n"/>
      <c r="Z172" s="92" t="n"/>
      <c r="AA172" s="92" t="n"/>
      <c r="AB172" s="92" t="n"/>
      <c r="AC172" s="92" t="n"/>
      <c r="AD172" s="92" t="n"/>
      <c r="AE172" s="92" t="n"/>
      <c r="AF172" s="92" t="n"/>
      <c r="AG172" s="92" t="n"/>
      <c r="AH172" s="92" t="n"/>
      <c r="AI172" s="92" t="n"/>
      <c r="AJ172" s="92" t="n"/>
      <c r="AK172" s="92" t="n"/>
      <c r="AL172" s="92" t="n"/>
      <c r="AM172" s="92" t="n"/>
      <c r="AN172" s="92" t="n"/>
      <c r="AO172" s="92" t="n"/>
      <c r="AP172" s="92" t="n"/>
      <c r="AQ172" s="92" t="n"/>
      <c r="AR172" s="92" t="n"/>
      <c r="AS172" s="92" t="n"/>
      <c r="AT172" s="92" t="n"/>
      <c r="AU172" s="92" t="n"/>
      <c r="AV172" s="92" t="n"/>
      <c r="AX172" s="139" t="n">
        <v>1993</v>
      </c>
      <c r="AY172" s="139" t="n">
        <v>11</v>
      </c>
      <c r="AZ172" s="139" t="n"/>
      <c r="BA172" s="113" t="inlineStr">
        <is>
          <t>30평대</t>
        </is>
      </c>
      <c r="BB172" s="140" t="n">
        <v>0</v>
      </c>
      <c r="BC172" s="140" t="n">
        <v>0</v>
      </c>
      <c r="BD172" s="140" t="n">
        <v>0</v>
      </c>
      <c r="BE172" s="140" t="n">
        <v>0</v>
      </c>
      <c r="BF172" s="140" t="n">
        <v>0</v>
      </c>
    </row>
    <row r="173" ht="16.5" customFormat="1" customHeight="1" s="56">
      <c r="A173" s="92" t="n"/>
      <c r="B173" s="92" t="n"/>
      <c r="C173" s="92" t="n"/>
      <c r="D173" s="92" t="n"/>
      <c r="E173" s="92" t="n"/>
      <c r="F173" s="92" t="n"/>
      <c r="G173" s="92" t="n"/>
      <c r="H173" s="92" t="n"/>
      <c r="I173" s="92" t="n"/>
      <c r="J173" s="92" t="n"/>
      <c r="K173" s="92" t="n"/>
      <c r="L173" s="92" t="n"/>
      <c r="M173" s="92" t="n"/>
      <c r="N173" s="92" t="n"/>
      <c r="O173" s="92" t="n"/>
      <c r="P173" s="92" t="n"/>
      <c r="Q173" s="92" t="n"/>
      <c r="R173" s="92" t="n"/>
      <c r="S173" s="92" t="n"/>
      <c r="T173" s="92" t="n"/>
      <c r="U173" s="92" t="n"/>
      <c r="V173" s="92" t="n"/>
      <c r="W173" s="92" t="n"/>
      <c r="X173" s="92" t="n"/>
      <c r="Y173" s="92" t="n"/>
      <c r="Z173" s="92" t="n"/>
      <c r="AA173" s="92" t="n"/>
      <c r="AB173" s="92" t="n"/>
      <c r="AC173" s="92" t="n"/>
      <c r="AD173" s="92" t="n"/>
      <c r="AE173" s="92" t="n"/>
      <c r="AF173" s="92" t="n"/>
      <c r="AG173" s="92" t="n"/>
      <c r="AH173" s="92" t="n"/>
      <c r="AI173" s="92" t="n"/>
      <c r="AJ173" s="92" t="n"/>
      <c r="AK173" s="92" t="n"/>
      <c r="AL173" s="92" t="n"/>
      <c r="AM173" s="92" t="n"/>
      <c r="AN173" s="92" t="n"/>
      <c r="AO173" s="92" t="n"/>
      <c r="AP173" s="92" t="n"/>
      <c r="AQ173" s="92" t="n"/>
      <c r="AR173" s="92" t="n"/>
      <c r="AS173" s="92" t="n"/>
      <c r="AT173" s="92" t="n"/>
      <c r="AU173" s="92" t="n"/>
      <c r="AV173" s="92" t="n"/>
      <c r="AX173" s="139" t="n">
        <v>1993</v>
      </c>
      <c r="AY173" s="139" t="n">
        <v>11</v>
      </c>
      <c r="AZ173" s="139" t="n"/>
      <c r="BA173" s="115" t="inlineStr">
        <is>
          <t>40평대↑</t>
        </is>
      </c>
      <c r="BB173" s="141" t="n">
        <v>0</v>
      </c>
      <c r="BC173" s="141" t="n">
        <v>0</v>
      </c>
      <c r="BD173" s="141" t="n">
        <v>0</v>
      </c>
      <c r="BE173" s="141" t="n">
        <v>0</v>
      </c>
      <c r="BF173" s="141" t="n">
        <v>0</v>
      </c>
    </row>
    <row r="174" ht="16.5" customFormat="1" customHeight="1" s="56">
      <c r="A174" s="92" t="n"/>
      <c r="B174" s="92" t="n"/>
      <c r="C174" s="92" t="n"/>
      <c r="D174" s="92" t="n"/>
      <c r="E174" s="92" t="n"/>
      <c r="F174" s="92" t="n"/>
      <c r="G174" s="92" t="n"/>
      <c r="H174" s="92" t="n"/>
      <c r="I174" s="92" t="n"/>
      <c r="J174" s="92" t="n"/>
      <c r="K174" s="92" t="n"/>
      <c r="L174" s="92" t="n"/>
      <c r="M174" s="92" t="n"/>
      <c r="N174" s="92" t="n"/>
      <c r="O174" s="92" t="n"/>
      <c r="P174" s="92" t="n"/>
      <c r="Q174" s="92" t="n"/>
      <c r="R174" s="92" t="n"/>
      <c r="S174" s="92" t="n"/>
      <c r="T174" s="92" t="n"/>
      <c r="U174" s="92" t="n"/>
      <c r="V174" s="92" t="n"/>
      <c r="W174" s="92" t="n"/>
      <c r="X174" s="92" t="n"/>
      <c r="Y174" s="92" t="n"/>
      <c r="Z174" s="92" t="n"/>
      <c r="AA174" s="92" t="n"/>
      <c r="AB174" s="92" t="n"/>
      <c r="AC174" s="92" t="n"/>
      <c r="AD174" s="92" t="n"/>
      <c r="AE174" s="92" t="n"/>
      <c r="AF174" s="92" t="n"/>
      <c r="AG174" s="92" t="n"/>
      <c r="AH174" s="92" t="n"/>
      <c r="AI174" s="92" t="n"/>
      <c r="AJ174" s="92" t="n"/>
      <c r="AK174" s="92" t="n"/>
      <c r="AL174" s="92" t="n"/>
      <c r="AM174" s="92" t="n"/>
      <c r="AN174" s="92" t="n"/>
      <c r="AO174" s="92" t="n"/>
      <c r="AP174" s="92" t="n"/>
      <c r="AQ174" s="92" t="n"/>
      <c r="AR174" s="92" t="n"/>
      <c r="AS174" s="92" t="n"/>
      <c r="AT174" s="92" t="n"/>
      <c r="AU174" s="92" t="n"/>
      <c r="AV174" s="92" t="n"/>
      <c r="AX174" s="139" t="n">
        <v>1993</v>
      </c>
      <c r="AY174" s="139" t="n">
        <v>11</v>
      </c>
      <c r="AZ174" s="139" t="n"/>
      <c r="BA174" s="113" t="inlineStr">
        <is>
          <t>합계</t>
        </is>
      </c>
      <c r="BB174" s="140" t="n">
        <v>0</v>
      </c>
      <c r="BC174" s="140" t="n">
        <v>0</v>
      </c>
      <c r="BD174" s="140" t="n">
        <v>0</v>
      </c>
      <c r="BE174" s="140" t="n">
        <v>0</v>
      </c>
      <c r="BF174" s="140" t="n">
        <v>0</v>
      </c>
    </row>
    <row r="175" ht="16.5" customFormat="1" customHeight="1" s="56">
      <c r="A175" s="92" t="n"/>
      <c r="B175" s="92" t="n"/>
      <c r="C175" s="92" t="n"/>
      <c r="D175" s="92" t="n"/>
      <c r="E175" s="92" t="n"/>
      <c r="F175" s="92" t="n"/>
      <c r="G175" s="92" t="n"/>
      <c r="H175" s="92" t="n"/>
      <c r="I175" s="92" t="n"/>
      <c r="J175" s="92" t="n"/>
      <c r="K175" s="92" t="n"/>
      <c r="L175" s="92" t="n"/>
      <c r="M175" s="92" t="n"/>
      <c r="N175" s="92" t="n"/>
      <c r="O175" s="92" t="n"/>
      <c r="P175" s="92" t="n"/>
      <c r="Q175" s="92" t="n"/>
      <c r="R175" s="92" t="n"/>
      <c r="S175" s="92" t="n"/>
      <c r="T175" s="92" t="n"/>
      <c r="U175" s="92" t="n"/>
      <c r="V175" s="92" t="n"/>
      <c r="W175" s="92" t="n"/>
      <c r="X175" s="92" t="n"/>
      <c r="Y175" s="92" t="n"/>
      <c r="Z175" s="92" t="n"/>
      <c r="AA175" s="92" t="n"/>
      <c r="AB175" s="92" t="n"/>
      <c r="AC175" s="92" t="n"/>
      <c r="AD175" s="92" t="n"/>
      <c r="AE175" s="92" t="n"/>
      <c r="AF175" s="92" t="n"/>
      <c r="AG175" s="92" t="n"/>
      <c r="AH175" s="92" t="n"/>
      <c r="AI175" s="92" t="n"/>
      <c r="AJ175" s="92" t="n"/>
      <c r="AK175" s="92" t="n"/>
      <c r="AL175" s="92" t="n"/>
      <c r="AM175" s="92" t="n"/>
      <c r="AN175" s="92" t="n"/>
      <c r="AO175" s="92" t="n"/>
      <c r="AP175" s="92" t="n"/>
      <c r="AQ175" s="92" t="n"/>
      <c r="AR175" s="92" t="n"/>
      <c r="AS175" s="92" t="n"/>
      <c r="AT175" s="92" t="n"/>
      <c r="AU175" s="92" t="n"/>
      <c r="AV175" s="92" t="n"/>
      <c r="AX175" s="139" t="n">
        <v>1995</v>
      </c>
      <c r="AY175" s="139" t="n">
        <v>12</v>
      </c>
      <c r="AZ175" s="139" t="n"/>
      <c r="BA175" s="113" t="n"/>
      <c r="BB175" s="113" t="inlineStr">
        <is>
          <t>10년 이하</t>
        </is>
      </c>
      <c r="BC175" s="113" t="inlineStr">
        <is>
          <t>10~20년</t>
        </is>
      </c>
      <c r="BD175" s="113" t="inlineStr">
        <is>
          <t>20~30년</t>
        </is>
      </c>
      <c r="BE175" s="113" t="inlineStr">
        <is>
          <t>30년 이상</t>
        </is>
      </c>
      <c r="BF175" s="113" t="inlineStr">
        <is>
          <t>합계</t>
        </is>
      </c>
    </row>
    <row r="176" ht="16.5" customFormat="1" customHeight="1" s="56">
      <c r="A176" s="92" t="n"/>
      <c r="B176" s="92" t="n"/>
      <c r="C176" s="92" t="n"/>
      <c r="D176" s="92" t="n"/>
      <c r="E176" s="92" t="n"/>
      <c r="F176" s="92" t="n"/>
      <c r="G176" s="92" t="n"/>
      <c r="H176" s="92" t="n"/>
      <c r="I176" s="92" t="n"/>
      <c r="J176" s="92" t="n"/>
      <c r="K176" s="92" t="n"/>
      <c r="L176" s="92" t="n"/>
      <c r="M176" s="92" t="n"/>
      <c r="N176" s="92" t="n"/>
      <c r="O176" s="92" t="n"/>
      <c r="P176" s="92" t="n"/>
      <c r="Q176" s="92" t="n"/>
      <c r="R176" s="92" t="n"/>
      <c r="S176" s="92" t="n"/>
      <c r="T176" s="92" t="n"/>
      <c r="U176" s="92" t="n"/>
      <c r="V176" s="92" t="n"/>
      <c r="W176" s="92" t="n"/>
      <c r="X176" s="92" t="n"/>
      <c r="Y176" s="92" t="n"/>
      <c r="Z176" s="92" t="n"/>
      <c r="AA176" s="92" t="n"/>
      <c r="AB176" s="92" t="n"/>
      <c r="AC176" s="92" t="n"/>
      <c r="AD176" s="92" t="n"/>
      <c r="AE176" s="92" t="n"/>
      <c r="AF176" s="92" t="n"/>
      <c r="AG176" s="92" t="n"/>
      <c r="AH176" s="92" t="n"/>
      <c r="AI176" s="92" t="n"/>
      <c r="AJ176" s="92" t="n"/>
      <c r="AK176" s="92" t="n"/>
      <c r="AL176" s="92" t="n"/>
      <c r="AM176" s="92" t="n"/>
      <c r="AN176" s="92" t="n"/>
      <c r="AO176" s="92" t="n"/>
      <c r="AP176" s="92" t="n"/>
      <c r="AQ176" s="92" t="n"/>
      <c r="AR176" s="92" t="n"/>
      <c r="AS176" s="92" t="n"/>
      <c r="AT176" s="92" t="n"/>
      <c r="AU176" s="92" t="n"/>
      <c r="AV176" s="92" t="n"/>
      <c r="AX176" s="139" t="n">
        <v>1995</v>
      </c>
      <c r="AY176" s="139" t="n">
        <v>12</v>
      </c>
      <c r="BA176" s="113" t="inlineStr">
        <is>
          <t>20평대</t>
        </is>
      </c>
      <c r="BB176" s="142" t="e">
        <v>#DIV/0!</v>
      </c>
      <c r="BC176" s="142" t="e">
        <v>#DIV/0!</v>
      </c>
      <c r="BD176" s="142" t="e">
        <v>#DIV/0!</v>
      </c>
      <c r="BE176" s="142" t="e">
        <v>#DIV/0!</v>
      </c>
      <c r="BF176" s="142" t="e">
        <v>#DIV/0!</v>
      </c>
    </row>
    <row r="177" ht="16.5" customFormat="1" customHeight="1" s="56">
      <c r="A177" s="92" t="n"/>
      <c r="B177" s="92" t="n"/>
      <c r="C177" s="92" t="n"/>
      <c r="D177" s="92" t="n"/>
      <c r="E177" s="92" t="n"/>
      <c r="F177" s="92" t="n"/>
      <c r="G177" s="92" t="n"/>
      <c r="H177" s="92" t="n"/>
      <c r="I177" s="92" t="n"/>
      <c r="J177" s="92" t="n"/>
      <c r="K177" s="92" t="n"/>
      <c r="L177" s="92" t="n"/>
      <c r="M177" s="92" t="n"/>
      <c r="N177" s="92" t="n"/>
      <c r="O177" s="92" t="n"/>
      <c r="P177" s="92" t="n"/>
      <c r="Q177" s="92" t="n"/>
      <c r="R177" s="92" t="n"/>
      <c r="S177" s="92" t="n"/>
      <c r="T177" s="92" t="n"/>
      <c r="U177" s="92" t="n"/>
      <c r="V177" s="92" t="n"/>
      <c r="W177" s="92" t="n"/>
      <c r="X177" s="92" t="n"/>
      <c r="Y177" s="92" t="n"/>
      <c r="Z177" s="92" t="n"/>
      <c r="AA177" s="92" t="n"/>
      <c r="AB177" s="92" t="n"/>
      <c r="AC177" s="92" t="n"/>
      <c r="AD177" s="92" t="n"/>
      <c r="AE177" s="92" t="n"/>
      <c r="AF177" s="92" t="n"/>
      <c r="AG177" s="92" t="n"/>
      <c r="AH177" s="92" t="n"/>
      <c r="AI177" s="92" t="n"/>
      <c r="AJ177" s="92" t="n"/>
      <c r="AK177" s="92" t="n"/>
      <c r="AL177" s="92" t="n"/>
      <c r="AM177" s="92" t="n"/>
      <c r="AN177" s="92" t="n"/>
      <c r="AO177" s="92" t="n"/>
      <c r="AP177" s="92" t="n"/>
      <c r="AQ177" s="92" t="n"/>
      <c r="AR177" s="92" t="n"/>
      <c r="AS177" s="92" t="n"/>
      <c r="AT177" s="92" t="n"/>
      <c r="AU177" s="92" t="n"/>
      <c r="AV177" s="92" t="n"/>
      <c r="AX177" s="139" t="n">
        <v>1997</v>
      </c>
      <c r="AY177" s="139" t="n">
        <v>5</v>
      </c>
      <c r="BA177" s="115" t="inlineStr">
        <is>
          <t>40평대↑</t>
        </is>
      </c>
      <c r="BB177" s="143" t="e">
        <v>#DIV/0!</v>
      </c>
      <c r="BC177" s="143" t="e">
        <v>#DIV/0!</v>
      </c>
      <c r="BD177" s="143" t="e">
        <v>#DIV/0!</v>
      </c>
      <c r="BE177" s="143" t="e">
        <v>#DIV/0!</v>
      </c>
      <c r="BF177" s="143" t="e">
        <v>#DIV/0!</v>
      </c>
    </row>
    <row r="178" ht="16.5" customFormat="1" customHeight="1" s="56">
      <c r="A178" s="92" t="n"/>
      <c r="B178" s="92" t="n"/>
      <c r="C178" s="92" t="n"/>
      <c r="D178" s="92" t="n"/>
      <c r="E178" s="92" t="n"/>
      <c r="F178" s="92" t="n"/>
      <c r="G178" s="92" t="n"/>
      <c r="H178" s="92" t="n"/>
      <c r="I178" s="92" t="n"/>
      <c r="J178" s="92" t="n"/>
      <c r="K178" s="92" t="n"/>
      <c r="L178" s="92" t="n"/>
      <c r="M178" s="92" t="n"/>
      <c r="N178" s="92" t="n"/>
      <c r="O178" s="92" t="n"/>
      <c r="P178" s="92" t="n"/>
      <c r="Q178" s="92" t="n"/>
      <c r="R178" s="92" t="n"/>
      <c r="S178" s="92" t="n"/>
      <c r="T178" s="92" t="n"/>
      <c r="U178" s="92" t="n"/>
      <c r="V178" s="92" t="n"/>
      <c r="W178" s="92" t="n"/>
      <c r="X178" s="92" t="n"/>
      <c r="Y178" s="92" t="n"/>
      <c r="Z178" s="92" t="n"/>
      <c r="AA178" s="92" t="n"/>
      <c r="AB178" s="92" t="n"/>
      <c r="AC178" s="92" t="n"/>
      <c r="AD178" s="92" t="n"/>
      <c r="AE178" s="92" t="n"/>
      <c r="AF178" s="92" t="n"/>
      <c r="AG178" s="92" t="n"/>
      <c r="AH178" s="92" t="n"/>
      <c r="AI178" s="92" t="n"/>
      <c r="AJ178" s="92" t="n"/>
      <c r="AK178" s="92" t="n"/>
      <c r="AL178" s="92" t="n"/>
      <c r="AM178" s="92" t="n"/>
      <c r="AN178" s="92" t="n"/>
      <c r="AO178" s="92" t="n"/>
      <c r="AP178" s="92" t="n"/>
      <c r="AQ178" s="92" t="n"/>
      <c r="AR178" s="92" t="n"/>
      <c r="AS178" s="92" t="n"/>
      <c r="AT178" s="92" t="n"/>
      <c r="AU178" s="92" t="n"/>
      <c r="AV178" s="92" t="n"/>
      <c r="AX178" s="139" t="n">
        <v>1997</v>
      </c>
      <c r="AY178" s="139" t="n">
        <v>5</v>
      </c>
      <c r="BA178" s="113" t="inlineStr">
        <is>
          <t>합계</t>
        </is>
      </c>
      <c r="BB178" s="142" t="e">
        <v>#DIV/0!</v>
      </c>
      <c r="BC178" s="142" t="e">
        <v>#DIV/0!</v>
      </c>
      <c r="BD178" s="142" t="e">
        <v>#DIV/0!</v>
      </c>
      <c r="BE178" s="142" t="e">
        <v>#DIV/0!</v>
      </c>
      <c r="BF178" s="142" t="e">
        <v>#DIV/0!</v>
      </c>
    </row>
    <row r="179" ht="16.5" customFormat="1" customHeight="1" s="56">
      <c r="A179" s="92" t="n"/>
      <c r="B179" s="92" t="n"/>
      <c r="C179" s="92" t="n"/>
      <c r="D179" s="92" t="n"/>
      <c r="E179" s="92" t="n"/>
      <c r="F179" s="92" t="n"/>
      <c r="G179" s="92" t="n"/>
      <c r="H179" s="92" t="n"/>
      <c r="I179" s="92" t="n"/>
      <c r="J179" s="92" t="n"/>
      <c r="K179" s="92" t="n"/>
      <c r="L179" s="92" t="n"/>
      <c r="M179" s="92" t="n"/>
      <c r="N179" s="92" t="n"/>
      <c r="O179" s="92" t="n"/>
      <c r="P179" s="92" t="n"/>
      <c r="Q179" s="92" t="n"/>
      <c r="R179" s="92" t="n"/>
      <c r="S179" s="92" t="n"/>
      <c r="T179" s="92" t="n"/>
      <c r="U179" s="92" t="n"/>
      <c r="V179" s="92" t="n"/>
      <c r="W179" s="92" t="n"/>
      <c r="X179" s="92" t="n"/>
      <c r="Y179" s="92" t="n"/>
      <c r="Z179" s="92" t="n"/>
      <c r="AA179" s="92" t="n"/>
      <c r="AB179" s="92" t="n"/>
      <c r="AC179" s="92" t="n"/>
      <c r="AD179" s="92" t="n"/>
      <c r="AE179" s="92" t="n"/>
      <c r="AF179" s="92" t="n"/>
      <c r="AG179" s="92" t="n"/>
      <c r="AH179" s="92" t="n"/>
      <c r="AI179" s="92" t="n"/>
      <c r="AJ179" s="92" t="n"/>
      <c r="AK179" s="92" t="n"/>
      <c r="AL179" s="92" t="n"/>
      <c r="AM179" s="92" t="n"/>
      <c r="AN179" s="92" t="n"/>
      <c r="AO179" s="92" t="n"/>
      <c r="AP179" s="92" t="n"/>
      <c r="AQ179" s="92" t="n"/>
      <c r="AR179" s="92" t="n"/>
      <c r="AS179" s="92" t="n"/>
      <c r="AT179" s="92" t="n"/>
      <c r="AU179" s="92" t="n"/>
      <c r="AV179" s="92" t="n"/>
      <c r="AX179" s="139" t="n">
        <v>1994</v>
      </c>
      <c r="AY179" s="139" t="n">
        <v>12</v>
      </c>
    </row>
    <row r="180" ht="16.5" customFormat="1" customHeight="1" s="56">
      <c r="A180" s="92" t="n"/>
      <c r="B180" s="92" t="n"/>
      <c r="C180" s="92" t="n"/>
      <c r="D180" s="92" t="n"/>
      <c r="E180" s="92" t="n"/>
      <c r="F180" s="92" t="n"/>
      <c r="G180" s="92" t="n"/>
      <c r="H180" s="92" t="n"/>
      <c r="I180" s="92" t="n"/>
      <c r="J180" s="92" t="n"/>
      <c r="K180" s="92" t="n"/>
      <c r="L180" s="92" t="n"/>
      <c r="M180" s="92" t="n"/>
      <c r="N180" s="92" t="n"/>
      <c r="O180" s="92" t="n"/>
      <c r="P180" s="92" t="n"/>
      <c r="Q180" s="92" t="n"/>
      <c r="R180" s="92" t="n"/>
      <c r="S180" s="92" t="n"/>
      <c r="T180" s="92" t="n"/>
      <c r="U180" s="92" t="n"/>
      <c r="V180" s="92" t="n"/>
      <c r="W180" s="92" t="n"/>
      <c r="X180" s="92" t="n"/>
      <c r="Y180" s="92" t="n"/>
      <c r="Z180" s="92" t="n"/>
      <c r="AA180" s="92" t="n"/>
      <c r="AB180" s="92" t="n"/>
      <c r="AC180" s="92" t="n"/>
      <c r="AD180" s="92" t="n"/>
      <c r="AE180" s="92" t="n"/>
      <c r="AF180" s="92" t="n"/>
      <c r="AG180" s="92" t="n"/>
      <c r="AH180" s="92" t="n"/>
      <c r="AI180" s="92" t="n"/>
      <c r="AJ180" s="92" t="n"/>
      <c r="AK180" s="92" t="n"/>
      <c r="AL180" s="92" t="n"/>
      <c r="AM180" s="92" t="n"/>
      <c r="AN180" s="92" t="n"/>
      <c r="AO180" s="92" t="n"/>
      <c r="AP180" s="92" t="n"/>
      <c r="AQ180" s="92" t="n"/>
      <c r="AR180" s="92" t="n"/>
      <c r="AS180" s="92" t="n"/>
      <c r="AT180" s="92" t="n"/>
      <c r="AU180" s="92" t="n"/>
      <c r="AV180" s="92" t="n"/>
      <c r="AX180" s="139" t="n">
        <v>1994</v>
      </c>
      <c r="AY180" s="139" t="n">
        <v>12</v>
      </c>
    </row>
    <row r="181" ht="16.5" customFormat="1" customHeight="1" s="56">
      <c r="A181" s="92" t="n"/>
      <c r="B181" s="92" t="n"/>
      <c r="C181" s="92" t="n"/>
      <c r="D181" s="92" t="n"/>
      <c r="E181" s="92" t="n"/>
      <c r="F181" s="92" t="n"/>
      <c r="G181" s="92" t="n"/>
      <c r="H181" s="92" t="n"/>
      <c r="I181" s="92" t="n"/>
      <c r="J181" s="92" t="n"/>
      <c r="K181" s="92" t="n"/>
      <c r="L181" s="92" t="n"/>
      <c r="M181" s="92" t="n"/>
      <c r="N181" s="92" t="n"/>
      <c r="O181" s="92" t="n"/>
      <c r="P181" s="92" t="n"/>
      <c r="Q181" s="92" t="n"/>
      <c r="R181" s="92" t="n"/>
      <c r="S181" s="92" t="n"/>
      <c r="T181" s="92" t="n"/>
      <c r="U181" s="92" t="n"/>
      <c r="V181" s="92" t="n"/>
      <c r="W181" s="92" t="n"/>
      <c r="X181" s="92" t="n"/>
      <c r="Y181" s="92" t="n"/>
      <c r="Z181" s="92" t="n"/>
      <c r="AA181" s="92" t="n"/>
      <c r="AB181" s="92" t="n"/>
      <c r="AC181" s="92" t="n"/>
      <c r="AD181" s="92" t="n"/>
      <c r="AE181" s="92" t="n"/>
      <c r="AF181" s="92" t="n"/>
      <c r="AG181" s="92" t="n"/>
      <c r="AH181" s="92" t="n"/>
      <c r="AI181" s="92" t="n"/>
      <c r="AJ181" s="92" t="n"/>
      <c r="AK181" s="92" t="n"/>
      <c r="AL181" s="92" t="n"/>
      <c r="AM181" s="92" t="n"/>
      <c r="AN181" s="92" t="n"/>
      <c r="AO181" s="92" t="n"/>
      <c r="AP181" s="92" t="n"/>
      <c r="AQ181" s="92" t="n"/>
      <c r="AR181" s="92" t="n"/>
      <c r="AS181" s="92" t="n"/>
      <c r="AT181" s="92" t="n"/>
      <c r="AU181" s="92" t="n"/>
      <c r="AV181" s="92" t="n"/>
      <c r="AX181" s="139" t="n">
        <v>1994</v>
      </c>
      <c r="AY181" s="139" t="n">
        <v>12</v>
      </c>
    </row>
    <row r="182" ht="16.5" customFormat="1" customHeight="1" s="56">
      <c r="A182" s="92" t="n"/>
      <c r="B182" s="92" t="n"/>
      <c r="C182" s="92" t="n"/>
      <c r="D182" s="92" t="n"/>
      <c r="E182" s="92" t="n"/>
      <c r="F182" s="92" t="n"/>
      <c r="G182" s="92" t="n"/>
      <c r="H182" s="92" t="n"/>
      <c r="I182" s="92" t="n"/>
      <c r="J182" s="92" t="n"/>
      <c r="K182" s="92" t="n"/>
      <c r="L182" s="92" t="n"/>
      <c r="M182" s="92" t="n"/>
      <c r="N182" s="92" t="n"/>
      <c r="O182" s="92" t="n"/>
      <c r="P182" s="92" t="n"/>
      <c r="Q182" s="92" t="n"/>
      <c r="R182" s="92" t="n"/>
      <c r="S182" s="92" t="n"/>
      <c r="T182" s="92" t="n"/>
      <c r="U182" s="92" t="n"/>
      <c r="V182" s="92" t="n"/>
      <c r="W182" s="92" t="n"/>
      <c r="X182" s="92" t="n"/>
      <c r="Y182" s="92" t="n"/>
      <c r="Z182" s="92" t="n"/>
      <c r="AA182" s="92" t="n"/>
      <c r="AB182" s="92" t="n"/>
      <c r="AC182" s="92" t="n"/>
      <c r="AD182" s="92" t="n"/>
      <c r="AE182" s="92" t="n"/>
      <c r="AF182" s="92" t="n"/>
      <c r="AG182" s="92" t="n"/>
      <c r="AH182" s="92" t="n"/>
      <c r="AI182" s="92" t="n"/>
      <c r="AJ182" s="92" t="n"/>
      <c r="AK182" s="92" t="n"/>
      <c r="AL182" s="92" t="n"/>
      <c r="AM182" s="92" t="n"/>
      <c r="AN182" s="92" t="n"/>
      <c r="AO182" s="92" t="n"/>
      <c r="AP182" s="92" t="n"/>
      <c r="AQ182" s="92" t="n"/>
      <c r="AR182" s="92" t="n"/>
      <c r="AS182" s="92" t="n"/>
      <c r="AT182" s="92" t="n"/>
      <c r="AU182" s="92" t="n"/>
      <c r="AV182" s="92" t="n"/>
      <c r="AX182" s="139" t="n">
        <v>1994</v>
      </c>
      <c r="AY182" s="139" t="n">
        <v>12</v>
      </c>
    </row>
    <row r="183" ht="16.5" customFormat="1" customHeight="1" s="56">
      <c r="A183" s="92" t="n"/>
      <c r="B183" s="92" t="n"/>
      <c r="C183" s="92" t="n"/>
      <c r="D183" s="92" t="n"/>
      <c r="E183" s="92" t="n"/>
      <c r="F183" s="92" t="n"/>
      <c r="G183" s="92" t="n"/>
      <c r="H183" s="92" t="n"/>
      <c r="I183" s="92" t="n"/>
      <c r="J183" s="92" t="n"/>
      <c r="K183" s="92" t="n"/>
      <c r="L183" s="92" t="n"/>
      <c r="M183" s="92" t="n"/>
      <c r="N183" s="92" t="n"/>
      <c r="O183" s="92" t="n"/>
      <c r="P183" s="92" t="n"/>
      <c r="Q183" s="92" t="n"/>
      <c r="R183" s="92" t="n"/>
      <c r="S183" s="92" t="n"/>
      <c r="T183" s="92" t="n"/>
      <c r="U183" s="92" t="n"/>
      <c r="V183" s="92" t="n"/>
      <c r="W183" s="92" t="n"/>
      <c r="X183" s="92" t="n"/>
      <c r="Y183" s="92" t="n"/>
      <c r="Z183" s="92" t="n"/>
      <c r="AA183" s="92" t="n"/>
      <c r="AB183" s="92" t="n"/>
      <c r="AC183" s="92" t="n"/>
      <c r="AD183" s="92" t="n"/>
      <c r="AE183" s="92" t="n"/>
      <c r="AF183" s="92" t="n"/>
      <c r="AG183" s="92" t="n"/>
      <c r="AH183" s="92" t="n"/>
      <c r="AI183" s="92" t="n"/>
      <c r="AJ183" s="92" t="n"/>
      <c r="AK183" s="92" t="n"/>
      <c r="AL183" s="92" t="n"/>
      <c r="AM183" s="92" t="n"/>
      <c r="AN183" s="92" t="n"/>
      <c r="AO183" s="92" t="n"/>
      <c r="AP183" s="92" t="n"/>
      <c r="AQ183" s="92" t="n"/>
      <c r="AR183" s="92" t="n"/>
      <c r="AS183" s="92" t="n"/>
      <c r="AT183" s="92" t="n"/>
      <c r="AU183" s="92" t="n"/>
      <c r="AV183" s="92" t="n"/>
      <c r="AX183" s="139" t="n">
        <v>1997</v>
      </c>
      <c r="AY183" s="139" t="n">
        <v>7</v>
      </c>
    </row>
    <row r="184" ht="16.5" customFormat="1" customHeight="1" s="56">
      <c r="A184" s="92" t="n"/>
      <c r="B184" s="92" t="n"/>
      <c r="C184" s="92" t="n"/>
      <c r="D184" s="92" t="n"/>
      <c r="E184" s="92" t="n"/>
      <c r="F184" s="92" t="n"/>
      <c r="G184" s="92" t="n"/>
      <c r="H184" s="92" t="n"/>
      <c r="I184" s="92" t="n"/>
      <c r="J184" s="92" t="n"/>
      <c r="K184" s="92" t="n"/>
      <c r="L184" s="92" t="n"/>
      <c r="M184" s="92" t="n"/>
      <c r="N184" s="92" t="n"/>
      <c r="O184" s="92" t="n"/>
      <c r="P184" s="92" t="n"/>
      <c r="Q184" s="92" t="n"/>
      <c r="R184" s="92" t="n"/>
      <c r="S184" s="92" t="n"/>
      <c r="T184" s="92" t="n"/>
      <c r="U184" s="92" t="n"/>
      <c r="V184" s="92" t="n"/>
      <c r="W184" s="92" t="n"/>
      <c r="X184" s="92" t="n"/>
      <c r="Y184" s="92" t="n"/>
      <c r="Z184" s="92" t="n"/>
      <c r="AA184" s="92" t="n"/>
      <c r="AB184" s="92" t="n"/>
      <c r="AC184" s="92" t="n"/>
      <c r="AD184" s="92" t="n"/>
      <c r="AE184" s="92" t="n"/>
      <c r="AF184" s="92" t="n"/>
      <c r="AG184" s="92" t="n"/>
      <c r="AH184" s="92" t="n"/>
      <c r="AI184" s="92" t="n"/>
      <c r="AJ184" s="92" t="n"/>
      <c r="AK184" s="92" t="n"/>
      <c r="AL184" s="92" t="n"/>
      <c r="AM184" s="92" t="n"/>
      <c r="AN184" s="92" t="n"/>
      <c r="AO184" s="92" t="n"/>
      <c r="AP184" s="92" t="n"/>
      <c r="AQ184" s="92" t="n"/>
      <c r="AR184" s="92" t="n"/>
      <c r="AS184" s="92" t="n"/>
      <c r="AT184" s="92" t="n"/>
      <c r="AU184" s="92" t="n"/>
      <c r="AV184" s="92" t="n"/>
      <c r="AX184" s="139" t="n">
        <v>1997</v>
      </c>
      <c r="AY184" s="139" t="n">
        <v>7</v>
      </c>
    </row>
    <row r="185" ht="16.5" customFormat="1" customHeight="1" s="56">
      <c r="A185" s="92" t="n"/>
      <c r="B185" s="92" t="n"/>
      <c r="C185" s="92" t="n"/>
      <c r="D185" s="92" t="n"/>
      <c r="E185" s="92" t="n"/>
      <c r="F185" s="92" t="n"/>
      <c r="G185" s="92" t="n"/>
      <c r="H185" s="92" t="n"/>
      <c r="I185" s="92" t="n"/>
      <c r="J185" s="92" t="n"/>
      <c r="K185" s="92" t="n"/>
      <c r="L185" s="92" t="n"/>
      <c r="M185" s="92" t="n"/>
      <c r="N185" s="92" t="n"/>
      <c r="O185" s="92" t="n"/>
      <c r="P185" s="92" t="n"/>
      <c r="Q185" s="92" t="n"/>
      <c r="R185" s="92" t="n"/>
      <c r="S185" s="92" t="n"/>
      <c r="T185" s="92" t="n"/>
      <c r="U185" s="92" t="n"/>
      <c r="V185" s="92" t="n"/>
      <c r="W185" s="92" t="n"/>
      <c r="X185" s="92" t="n"/>
      <c r="Y185" s="92" t="n"/>
      <c r="Z185" s="92" t="n"/>
      <c r="AA185" s="92" t="n"/>
      <c r="AB185" s="92" t="n"/>
      <c r="AC185" s="92" t="n"/>
      <c r="AD185" s="92" t="n"/>
      <c r="AE185" s="92" t="n"/>
      <c r="AF185" s="92" t="n"/>
      <c r="AG185" s="92" t="n"/>
      <c r="AH185" s="92" t="n"/>
      <c r="AI185" s="92" t="n"/>
      <c r="AJ185" s="92" t="n"/>
      <c r="AK185" s="92" t="n"/>
      <c r="AL185" s="92" t="n"/>
      <c r="AM185" s="92" t="n"/>
      <c r="AN185" s="92" t="n"/>
      <c r="AO185" s="92" t="n"/>
      <c r="AP185" s="92" t="n"/>
      <c r="AQ185" s="92" t="n"/>
      <c r="AR185" s="92" t="n"/>
      <c r="AS185" s="92" t="n"/>
      <c r="AT185" s="92" t="n"/>
      <c r="AU185" s="92" t="n"/>
      <c r="AV185" s="92" t="n"/>
      <c r="AX185" s="139" t="n">
        <v>1996</v>
      </c>
      <c r="AY185" s="139" t="n">
        <v>3</v>
      </c>
    </row>
    <row r="186" ht="16.5" customFormat="1" customHeight="1" s="56">
      <c r="A186" s="92" t="n"/>
      <c r="B186" s="92" t="n"/>
      <c r="C186" s="92" t="n"/>
      <c r="D186" s="92" t="n"/>
      <c r="E186" s="92" t="n"/>
      <c r="F186" s="92" t="n"/>
      <c r="G186" s="92" t="n"/>
      <c r="H186" s="92" t="n"/>
      <c r="I186" s="92" t="n"/>
      <c r="J186" s="92" t="n"/>
      <c r="K186" s="92" t="n"/>
      <c r="L186" s="92" t="n"/>
      <c r="M186" s="92" t="n"/>
      <c r="N186" s="92" t="n"/>
      <c r="O186" s="92" t="n"/>
      <c r="P186" s="92" t="n"/>
      <c r="Q186" s="92" t="n"/>
      <c r="R186" s="92" t="n"/>
      <c r="S186" s="92" t="n"/>
      <c r="T186" s="92" t="n"/>
      <c r="U186" s="92" t="n"/>
      <c r="V186" s="92" t="n"/>
      <c r="W186" s="92" t="n"/>
      <c r="X186" s="92" t="n"/>
      <c r="Y186" s="92" t="n"/>
      <c r="Z186" s="92" t="n"/>
      <c r="AA186" s="92" t="n"/>
      <c r="AB186" s="92" t="n"/>
      <c r="AC186" s="92" t="n"/>
      <c r="AD186" s="92" t="n"/>
      <c r="AE186" s="92" t="n"/>
      <c r="AF186" s="92" t="n"/>
      <c r="AG186" s="92" t="n"/>
      <c r="AH186" s="92" t="n"/>
      <c r="AI186" s="92" t="n"/>
      <c r="AJ186" s="92" t="n"/>
      <c r="AK186" s="92" t="n"/>
      <c r="AL186" s="92" t="n"/>
      <c r="AM186" s="92" t="n"/>
      <c r="AN186" s="92" t="n"/>
      <c r="AO186" s="92" t="n"/>
      <c r="AP186" s="92" t="n"/>
      <c r="AQ186" s="92" t="n"/>
      <c r="AR186" s="92" t="n"/>
      <c r="AS186" s="92" t="n"/>
      <c r="AT186" s="92" t="n"/>
      <c r="AU186" s="92" t="n"/>
      <c r="AV186" s="92" t="n"/>
      <c r="AX186" s="139" t="n">
        <v>1996</v>
      </c>
      <c r="AY186" s="139" t="n">
        <v>3</v>
      </c>
    </row>
    <row r="187" ht="16.5" customFormat="1" customHeight="1" s="56">
      <c r="A187" s="92" t="n"/>
      <c r="B187" s="92" t="n"/>
      <c r="C187" s="92" t="n"/>
      <c r="D187" s="92" t="n"/>
      <c r="E187" s="92" t="n"/>
      <c r="F187" s="92" t="n"/>
      <c r="G187" s="92" t="n"/>
      <c r="H187" s="92" t="n"/>
      <c r="I187" s="92" t="n"/>
      <c r="J187" s="92" t="n"/>
      <c r="K187" s="92" t="n"/>
      <c r="L187" s="92" t="n"/>
      <c r="M187" s="92" t="n"/>
      <c r="N187" s="92" t="n"/>
      <c r="O187" s="92" t="n"/>
      <c r="P187" s="92" t="n"/>
      <c r="Q187" s="92" t="n"/>
      <c r="R187" s="92" t="n"/>
      <c r="S187" s="92" t="n"/>
      <c r="T187" s="92" t="n"/>
      <c r="U187" s="92" t="n"/>
      <c r="V187" s="92" t="n"/>
      <c r="W187" s="92" t="n"/>
      <c r="X187" s="92" t="n"/>
      <c r="Y187" s="92" t="n"/>
      <c r="Z187" s="92" t="n"/>
      <c r="AA187" s="92" t="n"/>
      <c r="AB187" s="92" t="n"/>
      <c r="AC187" s="92" t="n"/>
      <c r="AD187" s="92" t="n"/>
      <c r="AE187" s="92" t="n"/>
      <c r="AF187" s="92" t="n"/>
      <c r="AG187" s="92" t="n"/>
      <c r="AH187" s="92" t="n"/>
      <c r="AI187" s="92" t="n"/>
      <c r="AJ187" s="92" t="n"/>
      <c r="AK187" s="92" t="n"/>
      <c r="AL187" s="92" t="n"/>
      <c r="AM187" s="92" t="n"/>
      <c r="AN187" s="92" t="n"/>
      <c r="AO187" s="92" t="n"/>
      <c r="AP187" s="92" t="n"/>
      <c r="AQ187" s="92" t="n"/>
      <c r="AR187" s="92" t="n"/>
      <c r="AS187" s="92" t="n"/>
      <c r="AT187" s="92" t="n"/>
      <c r="AU187" s="92" t="n"/>
      <c r="AV187" s="92" t="n"/>
      <c r="AX187" s="139" t="n">
        <v>1995</v>
      </c>
      <c r="AY187" s="139" t="n">
        <v>1</v>
      </c>
    </row>
    <row r="188" ht="16.5" customFormat="1" customHeight="1" s="56">
      <c r="A188" s="92" t="n"/>
      <c r="B188" s="92" t="n"/>
      <c r="C188" s="92" t="n"/>
      <c r="D188" s="92" t="n"/>
      <c r="E188" s="92" t="n"/>
      <c r="F188" s="92" t="n"/>
      <c r="G188" s="92" t="n"/>
      <c r="H188" s="92" t="n"/>
      <c r="I188" s="92" t="n"/>
      <c r="J188" s="92" t="n"/>
      <c r="K188" s="92" t="n"/>
      <c r="L188" s="92" t="n"/>
      <c r="M188" s="92" t="n"/>
      <c r="N188" s="92" t="n"/>
      <c r="O188" s="92" t="n"/>
      <c r="P188" s="92" t="n"/>
      <c r="Q188" s="92" t="n"/>
      <c r="R188" s="92" t="n"/>
      <c r="S188" s="92" t="n"/>
      <c r="T188" s="92" t="n"/>
      <c r="U188" s="92" t="n"/>
      <c r="V188" s="92" t="n"/>
      <c r="W188" s="92" t="n"/>
      <c r="X188" s="92" t="n"/>
      <c r="Y188" s="92" t="n"/>
      <c r="Z188" s="92" t="n"/>
      <c r="AA188" s="92" t="n"/>
      <c r="AB188" s="92" t="n"/>
      <c r="AC188" s="92" t="n"/>
      <c r="AD188" s="92" t="n"/>
      <c r="AE188" s="92" t="n"/>
      <c r="AF188" s="92" t="n"/>
      <c r="AG188" s="92" t="n"/>
      <c r="AH188" s="92" t="n"/>
      <c r="AI188" s="92" t="n"/>
      <c r="AJ188" s="92" t="n"/>
      <c r="AK188" s="92" t="n"/>
      <c r="AL188" s="92" t="n"/>
      <c r="AM188" s="92" t="n"/>
      <c r="AN188" s="92" t="n"/>
      <c r="AO188" s="92" t="n"/>
      <c r="AP188" s="92" t="n"/>
      <c r="AQ188" s="92" t="n"/>
      <c r="AR188" s="92" t="n"/>
      <c r="AS188" s="92" t="n"/>
      <c r="AT188" s="92" t="n"/>
      <c r="AU188" s="92" t="n"/>
      <c r="AV188" s="92" t="n"/>
      <c r="AX188" s="139" t="n">
        <v>1995</v>
      </c>
      <c r="AY188" s="139" t="n">
        <v>1</v>
      </c>
    </row>
    <row r="189" ht="16.5" customFormat="1" customHeight="1" s="56">
      <c r="A189" s="92" t="n"/>
      <c r="B189" s="92" t="n"/>
      <c r="C189" s="92" t="n"/>
      <c r="D189" s="92" t="n"/>
      <c r="E189" s="92" t="n"/>
      <c r="F189" s="92" t="n"/>
      <c r="G189" s="92" t="n"/>
      <c r="H189" s="92" t="n"/>
      <c r="I189" s="92" t="n"/>
      <c r="J189" s="92" t="n"/>
      <c r="K189" s="92" t="n"/>
      <c r="L189" s="92" t="n"/>
      <c r="M189" s="92" t="n"/>
      <c r="N189" s="92" t="n"/>
      <c r="O189" s="92" t="n"/>
      <c r="P189" s="92" t="n"/>
      <c r="Q189" s="92" t="n"/>
      <c r="R189" s="92" t="n"/>
      <c r="S189" s="92" t="n"/>
      <c r="T189" s="92" t="n"/>
      <c r="U189" s="92" t="n"/>
      <c r="V189" s="92" t="n"/>
      <c r="W189" s="92" t="n"/>
      <c r="X189" s="92" t="n"/>
      <c r="Y189" s="92" t="n"/>
      <c r="Z189" s="92" t="n"/>
      <c r="AA189" s="92" t="n"/>
      <c r="AB189" s="92" t="n"/>
      <c r="AC189" s="92" t="n"/>
      <c r="AD189" s="92" t="n"/>
      <c r="AE189" s="92" t="n"/>
      <c r="AF189" s="92" t="n"/>
      <c r="AG189" s="92" t="n"/>
      <c r="AH189" s="92" t="n"/>
      <c r="AI189" s="92" t="n"/>
      <c r="AJ189" s="92" t="n"/>
      <c r="AK189" s="92" t="n"/>
      <c r="AL189" s="92" t="n"/>
      <c r="AM189" s="92" t="n"/>
      <c r="AN189" s="92" t="n"/>
      <c r="AO189" s="92" t="n"/>
      <c r="AP189" s="92" t="n"/>
      <c r="AQ189" s="92" t="n"/>
      <c r="AR189" s="92" t="n"/>
      <c r="AS189" s="92" t="n"/>
      <c r="AT189" s="92" t="n"/>
      <c r="AU189" s="92" t="n"/>
      <c r="AV189" s="92" t="n"/>
      <c r="AX189" s="139" t="n">
        <v>1995</v>
      </c>
      <c r="AY189" s="139" t="n">
        <v>1</v>
      </c>
    </row>
    <row r="190" ht="16.5" customFormat="1" customHeight="1" s="56">
      <c r="A190" s="92" t="n"/>
      <c r="B190" s="92" t="n"/>
      <c r="C190" s="92" t="n"/>
      <c r="D190" s="92" t="n"/>
      <c r="E190" s="92" t="n"/>
      <c r="F190" s="92" t="n"/>
      <c r="G190" s="92" t="n"/>
      <c r="H190" s="92" t="n"/>
      <c r="I190" s="92" t="n"/>
      <c r="J190" s="92" t="n"/>
      <c r="K190" s="92" t="n"/>
      <c r="L190" s="92" t="n"/>
      <c r="M190" s="92" t="n"/>
      <c r="N190" s="92" t="n"/>
      <c r="O190" s="92" t="n"/>
      <c r="P190" s="92" t="n"/>
      <c r="Q190" s="92" t="n"/>
      <c r="R190" s="92" t="n"/>
      <c r="S190" s="92" t="n"/>
      <c r="T190" s="92" t="n"/>
      <c r="U190" s="92" t="n"/>
      <c r="V190" s="92" t="n"/>
      <c r="W190" s="92" t="n"/>
      <c r="X190" s="92" t="n"/>
      <c r="Y190" s="92" t="n"/>
      <c r="Z190" s="92" t="n"/>
      <c r="AA190" s="92" t="n"/>
      <c r="AB190" s="92" t="n"/>
      <c r="AC190" s="92" t="n"/>
      <c r="AD190" s="92" t="n"/>
      <c r="AE190" s="92" t="n"/>
      <c r="AF190" s="92" t="n"/>
      <c r="AG190" s="92" t="n"/>
      <c r="AH190" s="92" t="n"/>
      <c r="AI190" s="92" t="n"/>
      <c r="AJ190" s="92" t="n"/>
      <c r="AK190" s="92" t="n"/>
      <c r="AL190" s="92" t="n"/>
      <c r="AM190" s="92" t="n"/>
      <c r="AN190" s="92" t="n"/>
      <c r="AO190" s="92" t="n"/>
      <c r="AP190" s="92" t="n"/>
      <c r="AQ190" s="92" t="n"/>
      <c r="AR190" s="92" t="n"/>
      <c r="AS190" s="92" t="n"/>
      <c r="AT190" s="92" t="n"/>
      <c r="AU190" s="92" t="n"/>
      <c r="AV190" s="92" t="n"/>
      <c r="AX190" s="139" t="n">
        <v>1998</v>
      </c>
      <c r="AY190" s="139" t="n">
        <v>8</v>
      </c>
    </row>
    <row r="191" ht="16.5" customFormat="1" customHeight="1" s="56">
      <c r="A191" s="92" t="n"/>
      <c r="B191" s="92" t="n"/>
      <c r="C191" s="92" t="n"/>
      <c r="D191" s="92" t="n"/>
      <c r="E191" s="92" t="n"/>
      <c r="F191" s="92" t="n"/>
      <c r="G191" s="92" t="n"/>
      <c r="H191" s="92" t="n"/>
      <c r="I191" s="92" t="n"/>
      <c r="J191" s="92" t="n"/>
      <c r="K191" s="92" t="n"/>
      <c r="L191" s="92" t="n"/>
      <c r="M191" s="92" t="n"/>
      <c r="N191" s="92" t="n"/>
      <c r="O191" s="92" t="n"/>
      <c r="P191" s="92" t="n"/>
      <c r="Q191" s="92" t="n"/>
      <c r="R191" s="92" t="n"/>
      <c r="S191" s="92" t="n"/>
      <c r="T191" s="92" t="n"/>
      <c r="U191" s="92" t="n"/>
      <c r="V191" s="92" t="n"/>
      <c r="W191" s="92" t="n"/>
      <c r="X191" s="92" t="n"/>
      <c r="Y191" s="92" t="n"/>
      <c r="Z191" s="92" t="n"/>
      <c r="AA191" s="92" t="n"/>
      <c r="AB191" s="92" t="n"/>
      <c r="AC191" s="92" t="n"/>
      <c r="AD191" s="92" t="n"/>
      <c r="AE191" s="92" t="n"/>
      <c r="AF191" s="92" t="n"/>
      <c r="AG191" s="92" t="n"/>
      <c r="AH191" s="92" t="n"/>
      <c r="AI191" s="92" t="n"/>
      <c r="AJ191" s="92" t="n"/>
      <c r="AK191" s="92" t="n"/>
      <c r="AL191" s="92" t="n"/>
      <c r="AM191" s="92" t="n"/>
      <c r="AN191" s="92" t="n"/>
      <c r="AO191" s="92" t="n"/>
      <c r="AP191" s="92" t="n"/>
      <c r="AQ191" s="92" t="n"/>
      <c r="AR191" s="92" t="n"/>
      <c r="AS191" s="92" t="n"/>
      <c r="AT191" s="92" t="n"/>
      <c r="AU191" s="92" t="n"/>
      <c r="AV191" s="92" t="n"/>
      <c r="AX191" s="139" t="n">
        <v>1998</v>
      </c>
      <c r="AY191" s="139" t="n">
        <v>8</v>
      </c>
    </row>
    <row r="192" ht="16.5" customFormat="1" customHeight="1" s="56">
      <c r="A192" s="92" t="n"/>
      <c r="B192" s="92" t="n"/>
      <c r="C192" s="92" t="n"/>
      <c r="D192" s="92" t="n"/>
      <c r="E192" s="92" t="n"/>
      <c r="F192" s="92" t="n"/>
      <c r="G192" s="92" t="n"/>
      <c r="H192" s="92" t="n"/>
      <c r="I192" s="92" t="n"/>
      <c r="J192" s="92" t="n"/>
      <c r="K192" s="92" t="n"/>
      <c r="L192" s="92" t="n"/>
      <c r="M192" s="92" t="n"/>
      <c r="N192" s="92" t="n"/>
      <c r="O192" s="92" t="n"/>
      <c r="P192" s="92" t="n"/>
      <c r="Q192" s="92" t="n"/>
      <c r="R192" s="92" t="n"/>
      <c r="S192" s="92" t="n"/>
      <c r="T192" s="92" t="n"/>
      <c r="U192" s="92" t="n"/>
      <c r="V192" s="92" t="n"/>
      <c r="W192" s="92" t="n"/>
      <c r="X192" s="92" t="n"/>
      <c r="Y192" s="92" t="n"/>
      <c r="Z192" s="92" t="n"/>
      <c r="AA192" s="92" t="n"/>
      <c r="AB192" s="92" t="n"/>
      <c r="AC192" s="92" t="n"/>
      <c r="AD192" s="92" t="n"/>
      <c r="AE192" s="92" t="n"/>
      <c r="AF192" s="92" t="n"/>
      <c r="AG192" s="92" t="n"/>
      <c r="AH192" s="92" t="n"/>
      <c r="AI192" s="92" t="n"/>
      <c r="AJ192" s="92" t="n"/>
      <c r="AK192" s="92" t="n"/>
      <c r="AL192" s="92" t="n"/>
      <c r="AM192" s="92" t="n"/>
      <c r="AN192" s="92" t="n"/>
      <c r="AO192" s="92" t="n"/>
      <c r="AP192" s="92" t="n"/>
      <c r="AQ192" s="92" t="n"/>
      <c r="AR192" s="92" t="n"/>
      <c r="AS192" s="92" t="n"/>
      <c r="AT192" s="92" t="n"/>
      <c r="AU192" s="92" t="n"/>
      <c r="AV192" s="92" t="n"/>
      <c r="AX192" s="139" t="n">
        <v>1998</v>
      </c>
      <c r="AY192" s="139" t="n">
        <v>8</v>
      </c>
    </row>
    <row r="193" ht="16.5" customFormat="1" customHeight="1" s="56">
      <c r="A193" s="92" t="n"/>
      <c r="B193" s="92" t="n"/>
      <c r="C193" s="92" t="n"/>
      <c r="D193" s="92" t="n"/>
      <c r="E193" s="92" t="n"/>
      <c r="F193" s="92" t="n"/>
      <c r="G193" s="92" t="n"/>
      <c r="H193" s="92" t="n"/>
      <c r="I193" s="92" t="n"/>
      <c r="J193" s="92" t="n"/>
      <c r="K193" s="92" t="n"/>
      <c r="L193" s="92" t="n"/>
      <c r="M193" s="92" t="n"/>
      <c r="N193" s="92" t="n"/>
      <c r="O193" s="92" t="n"/>
      <c r="P193" s="92" t="n"/>
      <c r="Q193" s="92" t="n"/>
      <c r="R193" s="92" t="n"/>
      <c r="S193" s="92" t="n"/>
      <c r="T193" s="92" t="n"/>
      <c r="U193" s="92" t="n"/>
      <c r="V193" s="92" t="n"/>
      <c r="W193" s="92" t="n"/>
      <c r="X193" s="92" t="n"/>
      <c r="Y193" s="92" t="n"/>
      <c r="Z193" s="92" t="n"/>
      <c r="AA193" s="92" t="n"/>
      <c r="AB193" s="92" t="n"/>
      <c r="AC193" s="92" t="n"/>
      <c r="AD193" s="92" t="n"/>
      <c r="AE193" s="92" t="n"/>
      <c r="AF193" s="92" t="n"/>
      <c r="AG193" s="92" t="n"/>
      <c r="AH193" s="92" t="n"/>
      <c r="AI193" s="92" t="n"/>
      <c r="AJ193" s="92" t="n"/>
      <c r="AK193" s="92" t="n"/>
      <c r="AL193" s="92" t="n"/>
      <c r="AM193" s="92" t="n"/>
      <c r="AN193" s="92" t="n"/>
      <c r="AO193" s="92" t="n"/>
      <c r="AP193" s="92" t="n"/>
      <c r="AQ193" s="92" t="n"/>
      <c r="AR193" s="92" t="n"/>
      <c r="AS193" s="92" t="n"/>
      <c r="AT193" s="92" t="n"/>
      <c r="AU193" s="92" t="n"/>
      <c r="AV193" s="92" t="n"/>
      <c r="AX193" s="139" t="n">
        <v>1996</v>
      </c>
      <c r="AY193" s="139" t="n">
        <v>1</v>
      </c>
    </row>
    <row r="194" ht="16.5" customFormat="1" customHeight="1" s="56">
      <c r="A194" s="92" t="n"/>
      <c r="B194" s="92" t="n"/>
      <c r="C194" s="92" t="n"/>
      <c r="D194" s="92" t="n"/>
      <c r="E194" s="92" t="n"/>
      <c r="F194" s="92" t="n"/>
      <c r="G194" s="92" t="n"/>
      <c r="H194" s="92" t="n"/>
      <c r="I194" s="92" t="n"/>
      <c r="J194" s="92" t="n"/>
      <c r="K194" s="92" t="n"/>
      <c r="L194" s="92" t="n"/>
      <c r="M194" s="92" t="n"/>
      <c r="N194" s="92" t="n"/>
      <c r="O194" s="92" t="n"/>
      <c r="P194" s="92" t="n"/>
      <c r="Q194" s="92" t="n"/>
      <c r="R194" s="92" t="n"/>
      <c r="S194" s="92" t="n"/>
      <c r="T194" s="92" t="n"/>
      <c r="U194" s="92" t="n"/>
      <c r="V194" s="92" t="n"/>
      <c r="W194" s="92" t="n"/>
      <c r="X194" s="92" t="n"/>
      <c r="Y194" s="92" t="n"/>
      <c r="Z194" s="92" t="n"/>
      <c r="AA194" s="92" t="n"/>
      <c r="AB194" s="92" t="n"/>
      <c r="AC194" s="92" t="n"/>
      <c r="AD194" s="92" t="n"/>
      <c r="AE194" s="92" t="n"/>
      <c r="AF194" s="92" t="n"/>
      <c r="AG194" s="92" t="n"/>
      <c r="AH194" s="92" t="n"/>
      <c r="AI194" s="92" t="n"/>
      <c r="AJ194" s="92" t="n"/>
      <c r="AK194" s="92" t="n"/>
      <c r="AL194" s="92" t="n"/>
      <c r="AM194" s="92" t="n"/>
      <c r="AN194" s="92" t="n"/>
      <c r="AO194" s="92" t="n"/>
      <c r="AP194" s="92" t="n"/>
      <c r="AQ194" s="92" t="n"/>
      <c r="AR194" s="92" t="n"/>
      <c r="AS194" s="92" t="n"/>
      <c r="AT194" s="92" t="n"/>
      <c r="AU194" s="92" t="n"/>
      <c r="AV194" s="92" t="n"/>
      <c r="AX194" s="139" t="n">
        <v>1996</v>
      </c>
      <c r="AY194" s="139" t="n">
        <v>1</v>
      </c>
    </row>
    <row r="195" ht="16.5" customFormat="1" customHeight="1" s="56">
      <c r="A195" s="92" t="n"/>
      <c r="B195" s="92" t="n"/>
      <c r="C195" s="92" t="n"/>
      <c r="D195" s="92" t="n"/>
      <c r="E195" s="92" t="n"/>
      <c r="F195" s="92" t="n"/>
      <c r="G195" s="92" t="n"/>
      <c r="H195" s="92" t="n"/>
      <c r="I195" s="92" t="n"/>
      <c r="J195" s="92" t="n"/>
      <c r="K195" s="92" t="n"/>
      <c r="L195" s="92" t="n"/>
      <c r="M195" s="92" t="n"/>
      <c r="N195" s="92" t="n"/>
      <c r="O195" s="92" t="n"/>
      <c r="P195" s="92" t="n"/>
      <c r="Q195" s="92" t="n"/>
      <c r="R195" s="92" t="n"/>
      <c r="S195" s="92" t="n"/>
      <c r="T195" s="92" t="n"/>
      <c r="U195" s="92" t="n"/>
      <c r="V195" s="92" t="n"/>
      <c r="W195" s="92" t="n"/>
      <c r="X195" s="92" t="n"/>
      <c r="Y195" s="92" t="n"/>
      <c r="Z195" s="92" t="n"/>
      <c r="AA195" s="92" t="n"/>
      <c r="AB195" s="92" t="n"/>
      <c r="AC195" s="92" t="n"/>
      <c r="AD195" s="92" t="n"/>
      <c r="AE195" s="92" t="n"/>
      <c r="AF195" s="92" t="n"/>
      <c r="AG195" s="92" t="n"/>
      <c r="AH195" s="92" t="n"/>
      <c r="AI195" s="92" t="n"/>
      <c r="AJ195" s="92" t="n"/>
      <c r="AK195" s="92" t="n"/>
      <c r="AL195" s="92" t="n"/>
      <c r="AM195" s="92" t="n"/>
      <c r="AN195" s="92" t="n"/>
      <c r="AO195" s="92" t="n"/>
      <c r="AP195" s="92" t="n"/>
      <c r="AQ195" s="92" t="n"/>
      <c r="AR195" s="92" t="n"/>
      <c r="AS195" s="92" t="n"/>
      <c r="AT195" s="92" t="n"/>
      <c r="AU195" s="92" t="n"/>
      <c r="AV195" s="92" t="n"/>
      <c r="AX195" s="139" t="n">
        <v>1996</v>
      </c>
      <c r="AY195" s="139" t="n">
        <v>1</v>
      </c>
    </row>
    <row r="196" ht="16.5" customFormat="1" customHeight="1" s="56">
      <c r="A196" s="92" t="n"/>
      <c r="B196" s="92" t="n"/>
      <c r="C196" s="92" t="n"/>
      <c r="D196" s="92" t="n"/>
      <c r="E196" s="92" t="n"/>
      <c r="F196" s="92" t="n"/>
      <c r="G196" s="92" t="n"/>
      <c r="H196" s="92" t="n"/>
      <c r="I196" s="92" t="n"/>
      <c r="J196" s="92" t="n"/>
      <c r="K196" s="92" t="n"/>
      <c r="L196" s="92" t="n"/>
      <c r="M196" s="92" t="n"/>
      <c r="N196" s="92" t="n"/>
      <c r="O196" s="92" t="n"/>
      <c r="P196" s="92" t="n"/>
      <c r="Q196" s="92" t="n"/>
      <c r="R196" s="92" t="n"/>
      <c r="S196" s="92" t="n"/>
      <c r="T196" s="92" t="n"/>
      <c r="U196" s="92" t="n"/>
      <c r="V196" s="92" t="n"/>
      <c r="W196" s="92" t="n"/>
      <c r="X196" s="92" t="n"/>
      <c r="Y196" s="92" t="n"/>
      <c r="Z196" s="92" t="n"/>
      <c r="AA196" s="92" t="n"/>
      <c r="AB196" s="92" t="n"/>
      <c r="AC196" s="92" t="n"/>
      <c r="AD196" s="92" t="n"/>
      <c r="AE196" s="92" t="n"/>
      <c r="AF196" s="92" t="n"/>
      <c r="AG196" s="92" t="n"/>
      <c r="AH196" s="92" t="n"/>
      <c r="AI196" s="92" t="n"/>
      <c r="AJ196" s="92" t="n"/>
      <c r="AK196" s="92" t="n"/>
      <c r="AL196" s="92" t="n"/>
      <c r="AM196" s="92" t="n"/>
      <c r="AN196" s="92" t="n"/>
      <c r="AO196" s="92" t="n"/>
      <c r="AP196" s="92" t="n"/>
      <c r="AQ196" s="92" t="n"/>
      <c r="AR196" s="92" t="n"/>
      <c r="AS196" s="92" t="n"/>
      <c r="AT196" s="92" t="n"/>
      <c r="AU196" s="92" t="n"/>
      <c r="AV196" s="92" t="n"/>
      <c r="AX196" s="139" t="n">
        <v>1997</v>
      </c>
      <c r="AY196" s="139" t="n">
        <v>12</v>
      </c>
    </row>
    <row r="197" ht="16.5" customFormat="1" customHeight="1" s="56">
      <c r="A197" s="92" t="n"/>
      <c r="B197" s="92" t="n"/>
      <c r="C197" s="92" t="n"/>
      <c r="D197" s="92" t="n"/>
      <c r="E197" s="92" t="n"/>
      <c r="F197" s="92" t="n"/>
      <c r="G197" s="92" t="n"/>
      <c r="H197" s="92" t="n"/>
      <c r="I197" s="92" t="n"/>
      <c r="J197" s="92" t="n"/>
      <c r="K197" s="92" t="n"/>
      <c r="L197" s="92" t="n"/>
      <c r="M197" s="92" t="n"/>
      <c r="N197" s="92" t="n"/>
      <c r="O197" s="92" t="n"/>
      <c r="P197" s="92" t="n"/>
      <c r="Q197" s="92" t="n"/>
      <c r="R197" s="92" t="n"/>
      <c r="S197" s="92" t="n"/>
      <c r="T197" s="92" t="n"/>
      <c r="U197" s="92" t="n"/>
      <c r="V197" s="92" t="n"/>
      <c r="W197" s="92" t="n"/>
      <c r="X197" s="92" t="n"/>
      <c r="Y197" s="92" t="n"/>
      <c r="Z197" s="92" t="n"/>
      <c r="AA197" s="92" t="n"/>
      <c r="AB197" s="92" t="n"/>
      <c r="AC197" s="92" t="n"/>
      <c r="AD197" s="92" t="n"/>
      <c r="AE197" s="92" t="n"/>
      <c r="AF197" s="92" t="n"/>
      <c r="AG197" s="92" t="n"/>
      <c r="AH197" s="92" t="n"/>
      <c r="AI197" s="92" t="n"/>
      <c r="AJ197" s="92" t="n"/>
      <c r="AK197" s="92" t="n"/>
      <c r="AL197" s="92" t="n"/>
      <c r="AM197" s="92" t="n"/>
      <c r="AN197" s="92" t="n"/>
      <c r="AO197" s="92" t="n"/>
      <c r="AP197" s="92" t="n"/>
      <c r="AQ197" s="92" t="n"/>
      <c r="AR197" s="92" t="n"/>
      <c r="AS197" s="92" t="n"/>
      <c r="AT197" s="92" t="n"/>
      <c r="AU197" s="92" t="n"/>
      <c r="AV197" s="92" t="n"/>
      <c r="AX197" s="139" t="n">
        <v>1997</v>
      </c>
      <c r="AY197" s="139" t="n">
        <v>12</v>
      </c>
    </row>
    <row r="198" ht="16.5" customFormat="1" customHeight="1" s="56">
      <c r="A198" s="92" t="n"/>
      <c r="B198" s="92" t="n"/>
      <c r="C198" s="92" t="n"/>
      <c r="D198" s="92" t="n"/>
      <c r="E198" s="92" t="n"/>
      <c r="F198" s="92" t="n"/>
      <c r="G198" s="92" t="n"/>
      <c r="H198" s="92" t="n"/>
      <c r="I198" s="92" t="n"/>
      <c r="J198" s="92" t="n"/>
      <c r="K198" s="92" t="n"/>
      <c r="L198" s="92" t="n"/>
      <c r="M198" s="92" t="n"/>
      <c r="N198" s="92" t="n"/>
      <c r="O198" s="92" t="n"/>
      <c r="P198" s="92" t="n"/>
      <c r="Q198" s="92" t="n"/>
      <c r="R198" s="92" t="n"/>
      <c r="S198" s="92" t="n"/>
      <c r="T198" s="92" t="n"/>
      <c r="U198" s="92" t="n"/>
      <c r="V198" s="92" t="n"/>
      <c r="W198" s="92" t="n"/>
      <c r="X198" s="92" t="n"/>
      <c r="Y198" s="92" t="n"/>
      <c r="Z198" s="92" t="n"/>
      <c r="AA198" s="92" t="n"/>
      <c r="AB198" s="92" t="n"/>
      <c r="AC198" s="92" t="n"/>
      <c r="AD198" s="92" t="n"/>
      <c r="AE198" s="92" t="n"/>
      <c r="AF198" s="92" t="n"/>
      <c r="AG198" s="92" t="n"/>
      <c r="AH198" s="92" t="n"/>
      <c r="AI198" s="92" t="n"/>
      <c r="AJ198" s="92" t="n"/>
      <c r="AK198" s="92" t="n"/>
      <c r="AL198" s="92" t="n"/>
      <c r="AM198" s="92" t="n"/>
      <c r="AN198" s="92" t="n"/>
      <c r="AO198" s="92" t="n"/>
      <c r="AP198" s="92" t="n"/>
      <c r="AQ198" s="92" t="n"/>
      <c r="AR198" s="92" t="n"/>
      <c r="AS198" s="92" t="n"/>
      <c r="AT198" s="92" t="n"/>
      <c r="AU198" s="92" t="n"/>
      <c r="AV198" s="92" t="n"/>
      <c r="AX198" s="139" t="n">
        <v>1998</v>
      </c>
      <c r="AY198" s="139" t="n">
        <v>3</v>
      </c>
    </row>
    <row r="199" ht="16.5" customFormat="1" customHeight="1" s="56">
      <c r="A199" s="92" t="n"/>
      <c r="B199" s="92" t="n"/>
      <c r="C199" s="92" t="n"/>
      <c r="D199" s="92" t="n"/>
      <c r="E199" s="92" t="n"/>
      <c r="F199" s="92" t="n"/>
      <c r="G199" s="92" t="n"/>
      <c r="H199" s="92" t="n"/>
      <c r="I199" s="92" t="n"/>
      <c r="J199" s="92" t="n"/>
      <c r="K199" s="92" t="n"/>
      <c r="L199" s="92" t="n"/>
      <c r="M199" s="92" t="n"/>
      <c r="N199" s="92" t="n"/>
      <c r="O199" s="92" t="n"/>
      <c r="P199" s="92" t="n"/>
      <c r="Q199" s="92" t="n"/>
      <c r="R199" s="92" t="n"/>
      <c r="S199" s="92" t="n"/>
      <c r="T199" s="92" t="n"/>
      <c r="U199" s="92" t="n"/>
      <c r="V199" s="92" t="n"/>
      <c r="W199" s="92" t="n"/>
      <c r="X199" s="92" t="n"/>
      <c r="Y199" s="92" t="n"/>
      <c r="Z199" s="92" t="n"/>
      <c r="AA199" s="92" t="n"/>
      <c r="AB199" s="92" t="n"/>
      <c r="AC199" s="92" t="n"/>
      <c r="AD199" s="92" t="n"/>
      <c r="AE199" s="92" t="n"/>
      <c r="AF199" s="92" t="n"/>
      <c r="AG199" s="92" t="n"/>
      <c r="AH199" s="92" t="n"/>
      <c r="AI199" s="92" t="n"/>
      <c r="AJ199" s="92" t="n"/>
      <c r="AK199" s="92" t="n"/>
      <c r="AL199" s="92" t="n"/>
      <c r="AM199" s="92" t="n"/>
      <c r="AN199" s="92" t="n"/>
      <c r="AO199" s="92" t="n"/>
      <c r="AP199" s="92" t="n"/>
      <c r="AQ199" s="92" t="n"/>
      <c r="AR199" s="92" t="n"/>
      <c r="AS199" s="92" t="n"/>
      <c r="AT199" s="92" t="n"/>
      <c r="AU199" s="92" t="n"/>
      <c r="AV199" s="92" t="n"/>
      <c r="AX199" s="139" t="n">
        <v>1998</v>
      </c>
      <c r="AY199" s="139" t="n">
        <v>3</v>
      </c>
    </row>
    <row r="200" ht="16.5" customFormat="1" customHeight="1" s="56">
      <c r="A200" s="92" t="n"/>
      <c r="B200" s="92" t="n"/>
      <c r="C200" s="92" t="n"/>
      <c r="D200" s="92" t="n"/>
      <c r="E200" s="92" t="n"/>
      <c r="F200" s="92" t="n"/>
      <c r="G200" s="92" t="n"/>
      <c r="H200" s="92" t="n"/>
      <c r="I200" s="92" t="n"/>
      <c r="J200" s="92" t="n"/>
      <c r="K200" s="92" t="n"/>
      <c r="L200" s="92" t="n"/>
      <c r="M200" s="92" t="n"/>
      <c r="N200" s="92" t="n"/>
      <c r="O200" s="92" t="n"/>
      <c r="P200" s="92" t="n"/>
      <c r="Q200" s="92" t="n"/>
      <c r="R200" s="92" t="n"/>
      <c r="S200" s="92" t="n"/>
      <c r="T200" s="92" t="n"/>
      <c r="U200" s="92" t="n"/>
      <c r="V200" s="92" t="n"/>
      <c r="W200" s="92" t="n"/>
      <c r="X200" s="92" t="n"/>
      <c r="Y200" s="92" t="n"/>
      <c r="Z200" s="92" t="n"/>
      <c r="AA200" s="92" t="n"/>
      <c r="AB200" s="92" t="n"/>
      <c r="AC200" s="92" t="n"/>
      <c r="AD200" s="92" t="n"/>
      <c r="AE200" s="92" t="n"/>
      <c r="AF200" s="92" t="n"/>
      <c r="AG200" s="92" t="n"/>
      <c r="AH200" s="92" t="n"/>
      <c r="AI200" s="92" t="n"/>
      <c r="AJ200" s="92" t="n"/>
      <c r="AK200" s="92" t="n"/>
      <c r="AL200" s="92" t="n"/>
      <c r="AM200" s="92" t="n"/>
      <c r="AN200" s="92" t="n"/>
      <c r="AO200" s="92" t="n"/>
      <c r="AP200" s="92" t="n"/>
      <c r="AQ200" s="92" t="n"/>
      <c r="AR200" s="92" t="n"/>
      <c r="AS200" s="92" t="n"/>
      <c r="AT200" s="92" t="n"/>
      <c r="AU200" s="92" t="n"/>
      <c r="AV200" s="92" t="n"/>
      <c r="AX200" s="139" t="n">
        <v>1998</v>
      </c>
      <c r="AY200" s="139" t="n">
        <v>3</v>
      </c>
    </row>
    <row r="201" ht="16.5" customFormat="1" customHeight="1" s="56">
      <c r="A201" s="92" t="n"/>
      <c r="B201" s="92" t="n"/>
      <c r="C201" s="92" t="n"/>
      <c r="D201" s="92" t="n"/>
      <c r="E201" s="92" t="n"/>
      <c r="F201" s="92" t="n"/>
      <c r="G201" s="92" t="n"/>
      <c r="H201" s="92" t="n"/>
      <c r="I201" s="92" t="n"/>
      <c r="J201" s="92" t="n"/>
      <c r="K201" s="92" t="n"/>
      <c r="L201" s="92" t="n"/>
      <c r="M201" s="92" t="n"/>
      <c r="N201" s="92" t="n"/>
      <c r="O201" s="92" t="n"/>
      <c r="P201" s="92" t="n"/>
      <c r="Q201" s="92" t="n"/>
      <c r="R201" s="92" t="n"/>
      <c r="S201" s="92" t="n"/>
      <c r="T201" s="92" t="n"/>
      <c r="U201" s="92" t="n"/>
      <c r="V201" s="92" t="n"/>
      <c r="W201" s="92" t="n"/>
      <c r="X201" s="92" t="n"/>
      <c r="Y201" s="92" t="n"/>
      <c r="Z201" s="92" t="n"/>
      <c r="AA201" s="92" t="n"/>
      <c r="AB201" s="92" t="n"/>
      <c r="AC201" s="92" t="n"/>
      <c r="AD201" s="92" t="n"/>
      <c r="AE201" s="92" t="n"/>
      <c r="AF201" s="92" t="n"/>
      <c r="AG201" s="92" t="n"/>
      <c r="AH201" s="92" t="n"/>
      <c r="AI201" s="92" t="n"/>
      <c r="AJ201" s="92" t="n"/>
      <c r="AK201" s="92" t="n"/>
      <c r="AL201" s="92" t="n"/>
      <c r="AM201" s="92" t="n"/>
      <c r="AN201" s="92" t="n"/>
      <c r="AO201" s="92" t="n"/>
      <c r="AP201" s="92" t="n"/>
      <c r="AQ201" s="92" t="n"/>
      <c r="AR201" s="92" t="n"/>
      <c r="AS201" s="92" t="n"/>
      <c r="AT201" s="92" t="n"/>
      <c r="AU201" s="92" t="n"/>
      <c r="AV201" s="92" t="n"/>
      <c r="AX201" s="139" t="n">
        <v>1998</v>
      </c>
      <c r="AY201" s="139" t="n">
        <v>3</v>
      </c>
    </row>
    <row r="202" ht="16.5" customFormat="1" customHeight="1" s="56">
      <c r="A202" s="92" t="n"/>
      <c r="B202" s="92" t="n"/>
      <c r="C202" s="92" t="n"/>
      <c r="D202" s="92" t="n"/>
      <c r="E202" s="92" t="n"/>
      <c r="F202" s="92" t="n"/>
      <c r="G202" s="92" t="n"/>
      <c r="H202" s="92" t="n"/>
      <c r="I202" s="92" t="n"/>
      <c r="J202" s="92" t="n"/>
      <c r="K202" s="92" t="n"/>
      <c r="L202" s="92" t="n"/>
      <c r="M202" s="92" t="n"/>
      <c r="N202" s="92" t="n"/>
      <c r="O202" s="92" t="n"/>
      <c r="P202" s="92" t="n"/>
      <c r="Q202" s="92" t="n"/>
      <c r="R202" s="92" t="n"/>
      <c r="S202" s="92" t="n"/>
      <c r="T202" s="92" t="n"/>
      <c r="U202" s="92" t="n"/>
      <c r="V202" s="92" t="n"/>
      <c r="W202" s="92" t="n"/>
      <c r="X202" s="92" t="n"/>
      <c r="Y202" s="92" t="n"/>
      <c r="Z202" s="92" t="n"/>
      <c r="AA202" s="92" t="n"/>
      <c r="AB202" s="92" t="n"/>
      <c r="AC202" s="92" t="n"/>
      <c r="AD202" s="92" t="n"/>
      <c r="AE202" s="92" t="n"/>
      <c r="AF202" s="92" t="n"/>
      <c r="AG202" s="92" t="n"/>
      <c r="AH202" s="92" t="n"/>
      <c r="AI202" s="92" t="n"/>
      <c r="AJ202" s="92" t="n"/>
      <c r="AK202" s="92" t="n"/>
      <c r="AL202" s="92" t="n"/>
      <c r="AM202" s="92" t="n"/>
      <c r="AN202" s="92" t="n"/>
      <c r="AO202" s="92" t="n"/>
      <c r="AP202" s="92" t="n"/>
      <c r="AQ202" s="92" t="n"/>
      <c r="AR202" s="92" t="n"/>
      <c r="AS202" s="92" t="n"/>
      <c r="AT202" s="92" t="n"/>
      <c r="AU202" s="92" t="n"/>
      <c r="AV202" s="92" t="n"/>
      <c r="AX202" s="139" t="n">
        <v>1997</v>
      </c>
      <c r="AY202" s="139" t="n">
        <v>8</v>
      </c>
    </row>
    <row r="203" ht="16.5" customFormat="1" customHeight="1" s="56">
      <c r="A203" s="92" t="n"/>
      <c r="B203" s="92" t="n"/>
      <c r="C203" s="92" t="n"/>
      <c r="D203" s="92" t="n"/>
      <c r="E203" s="92" t="n"/>
      <c r="F203" s="92" t="n"/>
      <c r="G203" s="92" t="n"/>
      <c r="H203" s="92" t="n"/>
      <c r="I203" s="92" t="n"/>
      <c r="J203" s="92" t="n"/>
      <c r="K203" s="92" t="n"/>
      <c r="L203" s="92" t="n"/>
      <c r="M203" s="92" t="n"/>
      <c r="N203" s="92" t="n"/>
      <c r="O203" s="92" t="n"/>
      <c r="P203" s="92" t="n"/>
      <c r="Q203" s="92" t="n"/>
      <c r="R203" s="92" t="n"/>
      <c r="S203" s="92" t="n"/>
      <c r="T203" s="92" t="n"/>
      <c r="U203" s="92" t="n"/>
      <c r="V203" s="92" t="n"/>
      <c r="W203" s="92" t="n"/>
      <c r="X203" s="92" t="n"/>
      <c r="Y203" s="92" t="n"/>
      <c r="Z203" s="92" t="n"/>
      <c r="AA203" s="92" t="n"/>
      <c r="AB203" s="92" t="n"/>
      <c r="AC203" s="92" t="n"/>
      <c r="AD203" s="92" t="n"/>
      <c r="AE203" s="92" t="n"/>
      <c r="AF203" s="92" t="n"/>
      <c r="AG203" s="92" t="n"/>
      <c r="AH203" s="92" t="n"/>
      <c r="AI203" s="92" t="n"/>
      <c r="AJ203" s="92" t="n"/>
      <c r="AK203" s="92" t="n"/>
      <c r="AL203" s="92" t="n"/>
      <c r="AM203" s="92" t="n"/>
      <c r="AN203" s="92" t="n"/>
      <c r="AO203" s="92" t="n"/>
      <c r="AP203" s="92" t="n"/>
      <c r="AQ203" s="92" t="n"/>
      <c r="AR203" s="92" t="n"/>
      <c r="AS203" s="92" t="n"/>
      <c r="AT203" s="92" t="n"/>
      <c r="AU203" s="92" t="n"/>
      <c r="AV203" s="92" t="n"/>
      <c r="AX203" s="139" t="n">
        <v>1997</v>
      </c>
      <c r="AY203" s="139" t="n">
        <v>8</v>
      </c>
    </row>
    <row r="204" ht="16.5" customFormat="1" customHeight="1" s="56">
      <c r="A204" s="92" t="n"/>
      <c r="B204" s="92" t="n"/>
      <c r="C204" s="92" t="n"/>
      <c r="D204" s="92" t="n"/>
      <c r="E204" s="92" t="n"/>
      <c r="F204" s="92" t="n"/>
      <c r="G204" s="92" t="n"/>
      <c r="H204" s="92" t="n"/>
      <c r="I204" s="92" t="n"/>
      <c r="J204" s="92" t="n"/>
      <c r="K204" s="92" t="n"/>
      <c r="L204" s="92" t="n"/>
      <c r="M204" s="92" t="n"/>
      <c r="N204" s="92" t="n"/>
      <c r="O204" s="92" t="n"/>
      <c r="P204" s="92" t="n"/>
      <c r="Q204" s="92" t="n"/>
      <c r="R204" s="92" t="n"/>
      <c r="S204" s="92" t="n"/>
      <c r="T204" s="92" t="n"/>
      <c r="U204" s="92" t="n"/>
      <c r="V204" s="92" t="n"/>
      <c r="W204" s="92" t="n"/>
      <c r="X204" s="92" t="n"/>
      <c r="Y204" s="92" t="n"/>
      <c r="Z204" s="92" t="n"/>
      <c r="AA204" s="92" t="n"/>
      <c r="AB204" s="92" t="n"/>
      <c r="AC204" s="92" t="n"/>
      <c r="AD204" s="92" t="n"/>
      <c r="AE204" s="92" t="n"/>
      <c r="AF204" s="92" t="n"/>
      <c r="AG204" s="92" t="n"/>
      <c r="AH204" s="92" t="n"/>
      <c r="AI204" s="92" t="n"/>
      <c r="AJ204" s="92" t="n"/>
      <c r="AK204" s="92" t="n"/>
      <c r="AL204" s="92" t="n"/>
      <c r="AM204" s="92" t="n"/>
      <c r="AN204" s="92" t="n"/>
      <c r="AO204" s="92" t="n"/>
      <c r="AP204" s="92" t="n"/>
      <c r="AQ204" s="92" t="n"/>
      <c r="AR204" s="92" t="n"/>
      <c r="AS204" s="92" t="n"/>
      <c r="AT204" s="92" t="n"/>
      <c r="AU204" s="92" t="n"/>
      <c r="AV204" s="92" t="n"/>
      <c r="AX204" s="139" t="n">
        <v>1997</v>
      </c>
      <c r="AY204" s="139" t="n">
        <v>8</v>
      </c>
    </row>
    <row r="205" ht="16.5" customFormat="1" customHeight="1" s="56">
      <c r="A205" s="92" t="n"/>
      <c r="B205" s="92" t="n"/>
      <c r="C205" s="92" t="n"/>
      <c r="D205" s="92" t="n"/>
      <c r="E205" s="92" t="n"/>
      <c r="F205" s="92" t="n"/>
      <c r="G205" s="92" t="n"/>
      <c r="H205" s="92" t="n"/>
      <c r="I205" s="92" t="n"/>
      <c r="J205" s="92" t="n"/>
      <c r="K205" s="92" t="n"/>
      <c r="L205" s="92" t="n"/>
      <c r="M205" s="92" t="n"/>
      <c r="N205" s="92" t="n"/>
      <c r="O205" s="92" t="n"/>
      <c r="P205" s="92" t="n"/>
      <c r="Q205" s="92" t="n"/>
      <c r="R205" s="92" t="n"/>
      <c r="S205" s="92" t="n"/>
      <c r="T205" s="92" t="n"/>
      <c r="U205" s="92" t="n"/>
      <c r="V205" s="92" t="n"/>
      <c r="W205" s="92" t="n"/>
      <c r="X205" s="92" t="n"/>
      <c r="Y205" s="92" t="n"/>
      <c r="Z205" s="92" t="n"/>
      <c r="AA205" s="92" t="n"/>
      <c r="AB205" s="92" t="n"/>
      <c r="AC205" s="92" t="n"/>
      <c r="AD205" s="92" t="n"/>
      <c r="AE205" s="92" t="n"/>
      <c r="AF205" s="92" t="n"/>
      <c r="AG205" s="92" t="n"/>
      <c r="AH205" s="92" t="n"/>
      <c r="AI205" s="92" t="n"/>
      <c r="AJ205" s="92" t="n"/>
      <c r="AK205" s="92" t="n"/>
      <c r="AL205" s="92" t="n"/>
      <c r="AM205" s="92" t="n"/>
      <c r="AN205" s="92" t="n"/>
      <c r="AO205" s="92" t="n"/>
      <c r="AP205" s="92" t="n"/>
      <c r="AQ205" s="92" t="n"/>
      <c r="AR205" s="92" t="n"/>
      <c r="AS205" s="92" t="n"/>
      <c r="AT205" s="92" t="n"/>
      <c r="AU205" s="92" t="n"/>
      <c r="AV205" s="92" t="n"/>
      <c r="AX205" s="139" t="n">
        <v>1996</v>
      </c>
      <c r="AY205" s="139" t="n">
        <v>9</v>
      </c>
    </row>
    <row r="206" ht="16.5" customFormat="1" customHeight="1" s="56">
      <c r="A206" s="92" t="n"/>
      <c r="B206" s="92" t="n"/>
      <c r="C206" s="92" t="n"/>
      <c r="D206" s="92" t="n"/>
      <c r="E206" s="92" t="n"/>
      <c r="F206" s="92" t="n"/>
      <c r="G206" s="92" t="n"/>
      <c r="H206" s="92" t="n"/>
      <c r="I206" s="92" t="n"/>
      <c r="J206" s="92" t="n"/>
      <c r="K206" s="92" t="n"/>
      <c r="L206" s="92" t="n"/>
      <c r="M206" s="92" t="n"/>
      <c r="N206" s="92" t="n"/>
      <c r="O206" s="92" t="n"/>
      <c r="P206" s="92" t="n"/>
      <c r="Q206" s="92" t="n"/>
      <c r="R206" s="92" t="n"/>
      <c r="S206" s="92" t="n"/>
      <c r="T206" s="92" t="n"/>
      <c r="U206" s="92" t="n"/>
      <c r="V206" s="92" t="n"/>
      <c r="W206" s="92" t="n"/>
      <c r="X206" s="92" t="n"/>
      <c r="Y206" s="92" t="n"/>
      <c r="Z206" s="92" t="n"/>
      <c r="AA206" s="92" t="n"/>
      <c r="AB206" s="92" t="n"/>
      <c r="AC206" s="92" t="n"/>
      <c r="AD206" s="92" t="n"/>
      <c r="AE206" s="92" t="n"/>
      <c r="AF206" s="92" t="n"/>
      <c r="AG206" s="92" t="n"/>
      <c r="AH206" s="92" t="n"/>
      <c r="AI206" s="92" t="n"/>
      <c r="AJ206" s="92" t="n"/>
      <c r="AK206" s="92" t="n"/>
      <c r="AL206" s="92" t="n"/>
      <c r="AM206" s="92" t="n"/>
      <c r="AN206" s="92" t="n"/>
      <c r="AO206" s="92" t="n"/>
      <c r="AP206" s="92" t="n"/>
      <c r="AQ206" s="92" t="n"/>
      <c r="AR206" s="92" t="n"/>
      <c r="AS206" s="92" t="n"/>
      <c r="AT206" s="92" t="n"/>
      <c r="AU206" s="92" t="n"/>
      <c r="AV206" s="92" t="n"/>
      <c r="AX206" s="139" t="n">
        <v>1996</v>
      </c>
      <c r="AY206" s="139" t="n">
        <v>9</v>
      </c>
    </row>
    <row r="207" ht="16.5" customFormat="1" customHeight="1" s="56">
      <c r="A207" s="92" t="n"/>
      <c r="B207" s="92" t="n"/>
      <c r="C207" s="92" t="n"/>
      <c r="D207" s="92" t="n"/>
      <c r="E207" s="92" t="n"/>
      <c r="F207" s="92" t="n"/>
      <c r="G207" s="92" t="n"/>
      <c r="H207" s="92" t="n"/>
      <c r="I207" s="92" t="n"/>
      <c r="J207" s="92" t="n"/>
      <c r="K207" s="92" t="n"/>
      <c r="L207" s="92" t="n"/>
      <c r="M207" s="92" t="n"/>
      <c r="N207" s="92" t="n"/>
      <c r="O207" s="92" t="n"/>
      <c r="P207" s="92" t="n"/>
      <c r="Q207" s="92" t="n"/>
      <c r="R207" s="92" t="n"/>
      <c r="S207" s="92" t="n"/>
      <c r="T207" s="92" t="n"/>
      <c r="U207" s="92" t="n"/>
      <c r="V207" s="92" t="n"/>
      <c r="W207" s="92" t="n"/>
      <c r="X207" s="92" t="n"/>
      <c r="Y207" s="92" t="n"/>
      <c r="Z207" s="92" t="n"/>
      <c r="AA207" s="92" t="n"/>
      <c r="AB207" s="92" t="n"/>
      <c r="AC207" s="92" t="n"/>
      <c r="AD207" s="92" t="n"/>
      <c r="AE207" s="92" t="n"/>
      <c r="AF207" s="92" t="n"/>
      <c r="AG207" s="92" t="n"/>
      <c r="AH207" s="92" t="n"/>
      <c r="AI207" s="92" t="n"/>
      <c r="AJ207" s="92" t="n"/>
      <c r="AK207" s="92" t="n"/>
      <c r="AL207" s="92" t="n"/>
      <c r="AM207" s="92" t="n"/>
      <c r="AN207" s="92" t="n"/>
      <c r="AO207" s="92" t="n"/>
      <c r="AP207" s="92" t="n"/>
      <c r="AQ207" s="92" t="n"/>
      <c r="AR207" s="92" t="n"/>
      <c r="AS207" s="92" t="n"/>
      <c r="AT207" s="92" t="n"/>
      <c r="AU207" s="92" t="n"/>
      <c r="AV207" s="92" t="n"/>
      <c r="AX207" s="139" t="n">
        <v>1994</v>
      </c>
      <c r="AY207" s="139" t="n">
        <v>11</v>
      </c>
    </row>
    <row r="208" ht="16.5" customFormat="1" customHeight="1" s="56">
      <c r="A208" s="92" t="n"/>
      <c r="B208" s="92" t="n"/>
      <c r="C208" s="92" t="n"/>
      <c r="D208" s="92" t="n"/>
      <c r="E208" s="92" t="n"/>
      <c r="F208" s="92" t="n"/>
      <c r="G208" s="92" t="n"/>
      <c r="H208" s="92" t="n"/>
      <c r="I208" s="92" t="n"/>
      <c r="J208" s="92" t="n"/>
      <c r="K208" s="92" t="n"/>
      <c r="L208" s="92" t="n"/>
      <c r="M208" s="92" t="n"/>
      <c r="N208" s="92" t="n"/>
      <c r="O208" s="92" t="n"/>
      <c r="P208" s="92" t="n"/>
      <c r="Q208" s="92" t="n"/>
      <c r="R208" s="92" t="n"/>
      <c r="S208" s="92" t="n"/>
      <c r="T208" s="92" t="n"/>
      <c r="U208" s="92" t="n"/>
      <c r="V208" s="92" t="n"/>
      <c r="W208" s="92" t="n"/>
      <c r="X208" s="92" t="n"/>
      <c r="Y208" s="92" t="n"/>
      <c r="Z208" s="92" t="n"/>
      <c r="AA208" s="92" t="n"/>
      <c r="AB208" s="92" t="n"/>
      <c r="AC208" s="92" t="n"/>
      <c r="AD208" s="92" t="n"/>
      <c r="AE208" s="92" t="n"/>
      <c r="AF208" s="92" t="n"/>
      <c r="AG208" s="92" t="n"/>
      <c r="AH208" s="92" t="n"/>
      <c r="AI208" s="92" t="n"/>
      <c r="AJ208" s="92" t="n"/>
      <c r="AK208" s="92" t="n"/>
      <c r="AL208" s="92" t="n"/>
      <c r="AM208" s="92" t="n"/>
      <c r="AN208" s="92" t="n"/>
      <c r="AO208" s="92" t="n"/>
      <c r="AP208" s="92" t="n"/>
      <c r="AQ208" s="92" t="n"/>
      <c r="AR208" s="92" t="n"/>
      <c r="AS208" s="92" t="n"/>
      <c r="AT208" s="92" t="n"/>
      <c r="AU208" s="92" t="n"/>
      <c r="AV208" s="92" t="n"/>
      <c r="AX208" s="139" t="n">
        <v>1994</v>
      </c>
      <c r="AY208" s="139" t="n">
        <v>11</v>
      </c>
    </row>
    <row r="209" ht="16.5" customFormat="1" customHeight="1" s="56">
      <c r="A209" s="92" t="n"/>
      <c r="B209" s="92" t="n"/>
      <c r="C209" s="92" t="n"/>
      <c r="D209" s="92" t="n"/>
      <c r="E209" s="92" t="n"/>
      <c r="F209" s="92" t="n"/>
      <c r="G209" s="92" t="n"/>
      <c r="H209" s="92" t="n"/>
      <c r="I209" s="92" t="n"/>
      <c r="J209" s="92" t="n"/>
      <c r="K209" s="92" t="n"/>
      <c r="L209" s="92" t="n"/>
      <c r="M209" s="92" t="n"/>
      <c r="N209" s="92" t="n"/>
      <c r="O209" s="92" t="n"/>
      <c r="P209" s="92" t="n"/>
      <c r="Q209" s="92" t="n"/>
      <c r="R209" s="92" t="n"/>
      <c r="S209" s="92" t="n"/>
      <c r="T209" s="92" t="n"/>
      <c r="U209" s="92" t="n"/>
      <c r="V209" s="92" t="n"/>
      <c r="W209" s="92" t="n"/>
      <c r="X209" s="92" t="n"/>
      <c r="Y209" s="92" t="n"/>
      <c r="Z209" s="92" t="n"/>
      <c r="AA209" s="92" t="n"/>
      <c r="AB209" s="92" t="n"/>
      <c r="AC209" s="92" t="n"/>
      <c r="AD209" s="92" t="n"/>
      <c r="AE209" s="92" t="n"/>
      <c r="AF209" s="92" t="n"/>
      <c r="AG209" s="92" t="n"/>
      <c r="AH209" s="92" t="n"/>
      <c r="AI209" s="92" t="n"/>
      <c r="AJ209" s="92" t="n"/>
      <c r="AK209" s="92" t="n"/>
      <c r="AL209" s="92" t="n"/>
      <c r="AM209" s="92" t="n"/>
      <c r="AN209" s="92" t="n"/>
      <c r="AO209" s="92" t="n"/>
      <c r="AP209" s="92" t="n"/>
      <c r="AQ209" s="92" t="n"/>
      <c r="AR209" s="92" t="n"/>
      <c r="AS209" s="92" t="n"/>
      <c r="AT209" s="92" t="n"/>
      <c r="AU209" s="92" t="n"/>
      <c r="AV209" s="92" t="n"/>
      <c r="AX209" s="139" t="n">
        <v>1984</v>
      </c>
      <c r="AY209" s="139" t="n">
        <v>1</v>
      </c>
    </row>
    <row r="210" ht="16.5" customFormat="1" customHeight="1" s="56">
      <c r="A210" s="92" t="n"/>
      <c r="B210" s="92" t="n"/>
      <c r="C210" s="92" t="n"/>
      <c r="D210" s="92" t="n"/>
      <c r="E210" s="92" t="n"/>
      <c r="F210" s="92" t="n"/>
      <c r="G210" s="92" t="n"/>
      <c r="H210" s="92" t="n"/>
      <c r="I210" s="92" t="n"/>
      <c r="J210" s="92" t="n"/>
      <c r="K210" s="92" t="n"/>
      <c r="L210" s="92" t="n"/>
      <c r="M210" s="92" t="n"/>
      <c r="N210" s="92" t="n"/>
      <c r="O210" s="92" t="n"/>
      <c r="P210" s="92" t="n"/>
      <c r="Q210" s="92" t="n"/>
      <c r="R210" s="92" t="n"/>
      <c r="S210" s="92" t="n"/>
      <c r="T210" s="92" t="n"/>
      <c r="U210" s="92" t="n"/>
      <c r="V210" s="92" t="n"/>
      <c r="W210" s="92" t="n"/>
      <c r="X210" s="92" t="n"/>
      <c r="Y210" s="92" t="n"/>
      <c r="Z210" s="92" t="n"/>
      <c r="AA210" s="92" t="n"/>
      <c r="AB210" s="92" t="n"/>
      <c r="AC210" s="92" t="n"/>
      <c r="AD210" s="92" t="n"/>
      <c r="AE210" s="92" t="n"/>
      <c r="AF210" s="92" t="n"/>
      <c r="AG210" s="92" t="n"/>
      <c r="AH210" s="92" t="n"/>
      <c r="AI210" s="92" t="n"/>
      <c r="AJ210" s="92" t="n"/>
      <c r="AK210" s="92" t="n"/>
      <c r="AL210" s="92" t="n"/>
      <c r="AM210" s="92" t="n"/>
      <c r="AN210" s="92" t="n"/>
      <c r="AO210" s="92" t="n"/>
      <c r="AP210" s="92" t="n"/>
      <c r="AQ210" s="92" t="n"/>
      <c r="AR210" s="92" t="n"/>
      <c r="AS210" s="92" t="n"/>
      <c r="AT210" s="92" t="n"/>
      <c r="AU210" s="92" t="n"/>
      <c r="AV210" s="92" t="n"/>
      <c r="AX210" s="139" t="n">
        <v>1984</v>
      </c>
      <c r="AY210" s="139" t="n">
        <v>1</v>
      </c>
    </row>
    <row r="211" ht="16.5" customFormat="1" customHeight="1" s="56">
      <c r="A211" s="92" t="n"/>
      <c r="B211" s="92" t="n"/>
      <c r="C211" s="92" t="n"/>
      <c r="D211" s="92" t="n"/>
      <c r="E211" s="92" t="n"/>
      <c r="F211" s="92" t="n"/>
      <c r="G211" s="92" t="n"/>
      <c r="H211" s="92" t="n"/>
      <c r="I211" s="92" t="n"/>
      <c r="J211" s="92" t="n"/>
      <c r="K211" s="92" t="n"/>
      <c r="L211" s="92" t="n"/>
      <c r="M211" s="92" t="n"/>
      <c r="N211" s="92" t="n"/>
      <c r="O211" s="92" t="n"/>
      <c r="P211" s="92" t="n"/>
      <c r="Q211" s="92" t="n"/>
      <c r="R211" s="92" t="n"/>
      <c r="S211" s="92" t="n"/>
      <c r="T211" s="92" t="n"/>
      <c r="U211" s="92" t="n"/>
      <c r="V211" s="92" t="n"/>
      <c r="W211" s="92" t="n"/>
      <c r="X211" s="92" t="n"/>
      <c r="Y211" s="92" t="n"/>
      <c r="Z211" s="92" t="n"/>
      <c r="AA211" s="92" t="n"/>
      <c r="AB211" s="92" t="n"/>
      <c r="AC211" s="92" t="n"/>
      <c r="AD211" s="92" t="n"/>
      <c r="AE211" s="92" t="n"/>
      <c r="AF211" s="92" t="n"/>
      <c r="AG211" s="92" t="n"/>
      <c r="AH211" s="92" t="n"/>
      <c r="AI211" s="92" t="n"/>
      <c r="AJ211" s="92" t="n"/>
      <c r="AK211" s="92" t="n"/>
      <c r="AL211" s="92" t="n"/>
      <c r="AM211" s="92" t="n"/>
      <c r="AN211" s="92" t="n"/>
      <c r="AO211" s="92" t="n"/>
      <c r="AP211" s="92" t="n"/>
      <c r="AQ211" s="92" t="n"/>
      <c r="AR211" s="92" t="n"/>
      <c r="AS211" s="92" t="n"/>
      <c r="AT211" s="92" t="n"/>
      <c r="AU211" s="92" t="n"/>
      <c r="AV211" s="92" t="n"/>
      <c r="AX211" s="139" t="n">
        <v>1994</v>
      </c>
      <c r="AY211" s="139" t="n">
        <v>1</v>
      </c>
    </row>
    <row r="212" ht="16.5" customFormat="1" customHeight="1" s="56">
      <c r="A212" s="92" t="n"/>
      <c r="B212" s="92" t="n"/>
      <c r="C212" s="92" t="n"/>
      <c r="D212" s="92" t="n"/>
      <c r="E212" s="92" t="n"/>
      <c r="F212" s="92" t="n"/>
      <c r="G212" s="92" t="n"/>
      <c r="H212" s="92" t="n"/>
      <c r="I212" s="92" t="n"/>
      <c r="J212" s="92" t="n"/>
      <c r="K212" s="92" t="n"/>
      <c r="L212" s="92" t="n"/>
      <c r="M212" s="92" t="n"/>
      <c r="N212" s="92" t="n"/>
      <c r="O212" s="92" t="n"/>
      <c r="P212" s="92" t="n"/>
      <c r="Q212" s="92" t="n"/>
      <c r="R212" s="92" t="n"/>
      <c r="S212" s="92" t="n"/>
      <c r="T212" s="92" t="n"/>
      <c r="U212" s="92" t="n"/>
      <c r="V212" s="92" t="n"/>
      <c r="W212" s="92" t="n"/>
      <c r="X212" s="92" t="n"/>
      <c r="Y212" s="92" t="n"/>
      <c r="Z212" s="92" t="n"/>
      <c r="AA212" s="92" t="n"/>
      <c r="AB212" s="92" t="n"/>
      <c r="AC212" s="92" t="n"/>
      <c r="AD212" s="92" t="n"/>
      <c r="AE212" s="92" t="n"/>
      <c r="AF212" s="92" t="n"/>
      <c r="AG212" s="92" t="n"/>
      <c r="AH212" s="92" t="n"/>
      <c r="AI212" s="92" t="n"/>
      <c r="AJ212" s="92" t="n"/>
      <c r="AK212" s="92" t="n"/>
      <c r="AL212" s="92" t="n"/>
      <c r="AM212" s="92" t="n"/>
      <c r="AN212" s="92" t="n"/>
      <c r="AO212" s="92" t="n"/>
      <c r="AP212" s="92" t="n"/>
      <c r="AQ212" s="92" t="n"/>
      <c r="AR212" s="92" t="n"/>
      <c r="AS212" s="92" t="n"/>
      <c r="AT212" s="92" t="n"/>
      <c r="AU212" s="92" t="n"/>
      <c r="AV212" s="92" t="n"/>
      <c r="AX212" s="139" t="n">
        <v>1994</v>
      </c>
      <c r="AY212" s="139" t="n">
        <v>1</v>
      </c>
    </row>
    <row r="213" ht="16.5" customFormat="1" customHeight="1" s="56">
      <c r="A213" s="92" t="n"/>
      <c r="B213" s="92" t="n"/>
      <c r="C213" s="92" t="n"/>
      <c r="D213" s="92" t="n"/>
      <c r="E213" s="92" t="n"/>
      <c r="F213" s="92" t="n"/>
      <c r="G213" s="92" t="n"/>
      <c r="H213" s="92" t="n"/>
      <c r="I213" s="92" t="n"/>
      <c r="J213" s="92" t="n"/>
      <c r="K213" s="92" t="n"/>
      <c r="L213" s="92" t="n"/>
      <c r="M213" s="92" t="n"/>
      <c r="N213" s="92" t="n"/>
      <c r="O213" s="92" t="n"/>
      <c r="P213" s="92" t="n"/>
      <c r="Q213" s="92" t="n"/>
      <c r="R213" s="92" t="n"/>
      <c r="S213" s="92" t="n"/>
      <c r="T213" s="92" t="n"/>
      <c r="U213" s="92" t="n"/>
      <c r="V213" s="92" t="n"/>
      <c r="W213" s="92" t="n"/>
      <c r="X213" s="92" t="n"/>
      <c r="Y213" s="92" t="n"/>
      <c r="Z213" s="92" t="n"/>
      <c r="AA213" s="92" t="n"/>
      <c r="AB213" s="92" t="n"/>
      <c r="AC213" s="92" t="n"/>
      <c r="AD213" s="92" t="n"/>
      <c r="AE213" s="92" t="n"/>
      <c r="AF213" s="92" t="n"/>
      <c r="AG213" s="92" t="n"/>
      <c r="AH213" s="92" t="n"/>
      <c r="AI213" s="92" t="n"/>
      <c r="AJ213" s="92" t="n"/>
      <c r="AK213" s="92" t="n"/>
      <c r="AL213" s="92" t="n"/>
      <c r="AM213" s="92" t="n"/>
      <c r="AN213" s="92" t="n"/>
      <c r="AO213" s="92" t="n"/>
      <c r="AP213" s="92" t="n"/>
      <c r="AQ213" s="92" t="n"/>
      <c r="AR213" s="92" t="n"/>
      <c r="AS213" s="92" t="n"/>
      <c r="AT213" s="92" t="n"/>
      <c r="AU213" s="92" t="n"/>
      <c r="AV213" s="92" t="n"/>
      <c r="AX213" s="139" t="n">
        <v>1997</v>
      </c>
      <c r="AY213" s="139" t="n">
        <v>5</v>
      </c>
    </row>
    <row r="214" ht="16.5" customFormat="1" customHeight="1" s="56">
      <c r="A214" s="92" t="n"/>
      <c r="B214" s="92" t="n"/>
      <c r="C214" s="92" t="n"/>
      <c r="D214" s="92" t="n"/>
      <c r="E214" s="92" t="n"/>
      <c r="F214" s="92" t="n"/>
      <c r="G214" s="92" t="n"/>
      <c r="H214" s="92" t="n"/>
      <c r="I214" s="92" t="n"/>
      <c r="J214" s="92" t="n"/>
      <c r="K214" s="92" t="n"/>
      <c r="L214" s="92" t="n"/>
      <c r="M214" s="92" t="n"/>
      <c r="N214" s="92" t="n"/>
      <c r="O214" s="92" t="n"/>
      <c r="P214" s="92" t="n"/>
      <c r="Q214" s="92" t="n"/>
      <c r="R214" s="92" t="n"/>
      <c r="S214" s="92" t="n"/>
      <c r="T214" s="92" t="n"/>
      <c r="U214" s="92" t="n"/>
      <c r="V214" s="92" t="n"/>
      <c r="W214" s="92" t="n"/>
      <c r="X214" s="92" t="n"/>
      <c r="Y214" s="92" t="n"/>
      <c r="Z214" s="92" t="n"/>
      <c r="AA214" s="92" t="n"/>
      <c r="AB214" s="92" t="n"/>
      <c r="AC214" s="92" t="n"/>
      <c r="AD214" s="92" t="n"/>
      <c r="AE214" s="92" t="n"/>
      <c r="AF214" s="92" t="n"/>
      <c r="AG214" s="92" t="n"/>
      <c r="AH214" s="92" t="n"/>
      <c r="AI214" s="92" t="n"/>
      <c r="AJ214" s="92" t="n"/>
      <c r="AK214" s="92" t="n"/>
      <c r="AL214" s="92" t="n"/>
      <c r="AM214" s="92" t="n"/>
      <c r="AN214" s="92" t="n"/>
      <c r="AO214" s="92" t="n"/>
      <c r="AP214" s="92" t="n"/>
      <c r="AQ214" s="92" t="n"/>
      <c r="AR214" s="92" t="n"/>
      <c r="AS214" s="92" t="n"/>
      <c r="AT214" s="92" t="n"/>
      <c r="AU214" s="92" t="n"/>
      <c r="AV214" s="92" t="n"/>
      <c r="AX214" s="139" t="n">
        <v>1997</v>
      </c>
      <c r="AY214" s="139" t="n">
        <v>5</v>
      </c>
    </row>
    <row r="215" ht="16.5" customFormat="1" customHeight="1" s="56">
      <c r="A215" s="92" t="n"/>
      <c r="B215" s="92" t="n"/>
      <c r="C215" s="92" t="n"/>
      <c r="D215" s="92" t="n"/>
      <c r="E215" s="92" t="n"/>
      <c r="F215" s="92" t="n"/>
      <c r="G215" s="92" t="n"/>
      <c r="H215" s="92" t="n"/>
      <c r="I215" s="92" t="n"/>
      <c r="J215" s="92" t="n"/>
      <c r="K215" s="92" t="n"/>
      <c r="L215" s="92" t="n"/>
      <c r="M215" s="92" t="n"/>
      <c r="N215" s="92" t="n"/>
      <c r="O215" s="92" t="n"/>
      <c r="P215" s="92" t="n"/>
      <c r="Q215" s="92" t="n"/>
      <c r="R215" s="92" t="n"/>
      <c r="S215" s="92" t="n"/>
      <c r="T215" s="92" t="n"/>
      <c r="U215" s="92" t="n"/>
      <c r="V215" s="92" t="n"/>
      <c r="W215" s="92" t="n"/>
      <c r="X215" s="92" t="n"/>
      <c r="Y215" s="92" t="n"/>
      <c r="Z215" s="92" t="n"/>
      <c r="AA215" s="92" t="n"/>
      <c r="AB215" s="92" t="n"/>
      <c r="AC215" s="92" t="n"/>
      <c r="AD215" s="92" t="n"/>
      <c r="AE215" s="92" t="n"/>
      <c r="AF215" s="92" t="n"/>
      <c r="AG215" s="92" t="n"/>
      <c r="AH215" s="92" t="n"/>
      <c r="AI215" s="92" t="n"/>
      <c r="AJ215" s="92" t="n"/>
      <c r="AK215" s="92" t="n"/>
      <c r="AL215" s="92" t="n"/>
      <c r="AM215" s="92" t="n"/>
      <c r="AN215" s="92" t="n"/>
      <c r="AO215" s="92" t="n"/>
      <c r="AP215" s="92" t="n"/>
      <c r="AQ215" s="92" t="n"/>
      <c r="AR215" s="92" t="n"/>
      <c r="AS215" s="92" t="n"/>
      <c r="AT215" s="92" t="n"/>
      <c r="AU215" s="92" t="n"/>
      <c r="AV215" s="92" t="n"/>
      <c r="AX215" s="139" t="n">
        <v>1997</v>
      </c>
      <c r="AY215" s="139" t="n">
        <v>5</v>
      </c>
    </row>
    <row r="216" ht="16.5" customFormat="1" customHeight="1" s="56">
      <c r="A216" s="92" t="n"/>
      <c r="B216" s="92" t="n"/>
      <c r="C216" s="92" t="n"/>
      <c r="D216" s="92" t="n"/>
      <c r="E216" s="92" t="n"/>
      <c r="F216" s="92" t="n"/>
      <c r="G216" s="92" t="n"/>
      <c r="H216" s="92" t="n"/>
      <c r="I216" s="92" t="n"/>
      <c r="J216" s="92" t="n"/>
      <c r="K216" s="92" t="n"/>
      <c r="L216" s="92" t="n"/>
      <c r="M216" s="92" t="n"/>
      <c r="N216" s="92" t="n"/>
      <c r="O216" s="92" t="n"/>
      <c r="P216" s="92" t="n"/>
      <c r="Q216" s="92" t="n"/>
      <c r="R216" s="92" t="n"/>
      <c r="S216" s="92" t="n"/>
      <c r="T216" s="92" t="n"/>
      <c r="U216" s="92" t="n"/>
      <c r="V216" s="92" t="n"/>
      <c r="W216" s="92" t="n"/>
      <c r="X216" s="92" t="n"/>
      <c r="Y216" s="92" t="n"/>
      <c r="Z216" s="92" t="n"/>
      <c r="AA216" s="92" t="n"/>
      <c r="AB216" s="92" t="n"/>
      <c r="AC216" s="92" t="n"/>
      <c r="AD216" s="92" t="n"/>
      <c r="AE216" s="92" t="n"/>
      <c r="AF216" s="92" t="n"/>
      <c r="AG216" s="92" t="n"/>
      <c r="AH216" s="92" t="n"/>
      <c r="AI216" s="92" t="n"/>
      <c r="AJ216" s="92" t="n"/>
      <c r="AK216" s="92" t="n"/>
      <c r="AL216" s="92" t="n"/>
      <c r="AM216" s="92" t="n"/>
      <c r="AN216" s="92" t="n"/>
      <c r="AO216" s="92" t="n"/>
      <c r="AP216" s="92" t="n"/>
      <c r="AQ216" s="92" t="n"/>
      <c r="AR216" s="92" t="n"/>
      <c r="AS216" s="92" t="n"/>
      <c r="AT216" s="92" t="n"/>
      <c r="AU216" s="92" t="n"/>
      <c r="AV216" s="92" t="n"/>
      <c r="AX216" s="139" t="n">
        <v>1997</v>
      </c>
      <c r="AY216" s="139" t="n">
        <v>11</v>
      </c>
    </row>
    <row r="217" ht="16.5" customFormat="1" customHeight="1" s="56">
      <c r="A217" s="92" t="n"/>
      <c r="B217" s="92" t="n"/>
      <c r="C217" s="92" t="n"/>
      <c r="D217" s="92" t="n"/>
      <c r="E217" s="92" t="n"/>
      <c r="F217" s="92" t="n"/>
      <c r="G217" s="92" t="n"/>
      <c r="H217" s="92" t="n"/>
      <c r="I217" s="92" t="n"/>
      <c r="J217" s="92" t="n"/>
      <c r="K217" s="92" t="n"/>
      <c r="L217" s="92" t="n"/>
      <c r="M217" s="92" t="n"/>
      <c r="N217" s="92" t="n"/>
      <c r="O217" s="92" t="n"/>
      <c r="P217" s="92" t="n"/>
      <c r="Q217" s="92" t="n"/>
      <c r="R217" s="92" t="n"/>
      <c r="S217" s="92" t="n"/>
      <c r="T217" s="92" t="n"/>
      <c r="U217" s="92" t="n"/>
      <c r="V217" s="92" t="n"/>
      <c r="W217" s="92" t="n"/>
      <c r="X217" s="92" t="n"/>
      <c r="Y217" s="92" t="n"/>
      <c r="Z217" s="92" t="n"/>
      <c r="AA217" s="92" t="n"/>
      <c r="AB217" s="92" t="n"/>
      <c r="AC217" s="92" t="n"/>
      <c r="AD217" s="92" t="n"/>
      <c r="AE217" s="92" t="n"/>
      <c r="AF217" s="92" t="n"/>
      <c r="AG217" s="92" t="n"/>
      <c r="AH217" s="92" t="n"/>
      <c r="AI217" s="92" t="n"/>
      <c r="AJ217" s="92" t="n"/>
      <c r="AK217" s="92" t="n"/>
      <c r="AL217" s="92" t="n"/>
      <c r="AM217" s="92" t="n"/>
      <c r="AN217" s="92" t="n"/>
      <c r="AO217" s="92" t="n"/>
      <c r="AP217" s="92" t="n"/>
      <c r="AQ217" s="92" t="n"/>
      <c r="AR217" s="92" t="n"/>
      <c r="AS217" s="92" t="n"/>
      <c r="AT217" s="92" t="n"/>
      <c r="AU217" s="92" t="n"/>
      <c r="AV217" s="92" t="n"/>
      <c r="AX217" s="139" t="n">
        <v>1997</v>
      </c>
      <c r="AY217" s="139" t="n">
        <v>11</v>
      </c>
    </row>
    <row r="218" ht="16.5" customFormat="1" customHeight="1" s="56">
      <c r="A218" s="92" t="n"/>
      <c r="B218" s="92" t="n"/>
      <c r="C218" s="92" t="n"/>
      <c r="D218" s="92" t="n"/>
      <c r="E218" s="92" t="n"/>
      <c r="F218" s="92" t="n"/>
      <c r="G218" s="92" t="n"/>
      <c r="H218" s="92" t="n"/>
      <c r="I218" s="92" t="n"/>
      <c r="J218" s="92" t="n"/>
      <c r="K218" s="92" t="n"/>
      <c r="L218" s="92" t="n"/>
      <c r="M218" s="92" t="n"/>
      <c r="N218" s="92" t="n"/>
      <c r="O218" s="92" t="n"/>
      <c r="P218" s="92" t="n"/>
      <c r="Q218" s="92" t="n"/>
      <c r="R218" s="92" t="n"/>
      <c r="S218" s="92" t="n"/>
      <c r="T218" s="92" t="n"/>
      <c r="U218" s="92" t="n"/>
      <c r="V218" s="92" t="n"/>
      <c r="W218" s="92" t="n"/>
      <c r="X218" s="92" t="n"/>
      <c r="Y218" s="92" t="n"/>
      <c r="Z218" s="92" t="n"/>
      <c r="AA218" s="92" t="n"/>
      <c r="AB218" s="92" t="n"/>
      <c r="AC218" s="92" t="n"/>
      <c r="AD218" s="92" t="n"/>
      <c r="AE218" s="92" t="n"/>
      <c r="AF218" s="92" t="n"/>
      <c r="AG218" s="92" t="n"/>
      <c r="AH218" s="92" t="n"/>
      <c r="AI218" s="92" t="n"/>
      <c r="AJ218" s="92" t="n"/>
      <c r="AK218" s="92" t="n"/>
      <c r="AL218" s="92" t="n"/>
      <c r="AM218" s="92" t="n"/>
      <c r="AN218" s="92" t="n"/>
      <c r="AO218" s="92" t="n"/>
      <c r="AP218" s="92" t="n"/>
      <c r="AQ218" s="92" t="n"/>
      <c r="AR218" s="92" t="n"/>
      <c r="AS218" s="92" t="n"/>
      <c r="AT218" s="92" t="n"/>
      <c r="AU218" s="92" t="n"/>
      <c r="AV218" s="92" t="n"/>
      <c r="AX218" s="139" t="n">
        <v>1997</v>
      </c>
      <c r="AY218" s="139" t="n">
        <v>11</v>
      </c>
    </row>
    <row r="219" ht="16.5" customFormat="1" customHeight="1" s="56">
      <c r="A219" s="92" t="n"/>
      <c r="B219" s="92" t="n"/>
      <c r="C219" s="92" t="n"/>
      <c r="D219" s="92" t="n"/>
      <c r="E219" s="92" t="n"/>
      <c r="F219" s="92" t="n"/>
      <c r="G219" s="92" t="n"/>
      <c r="H219" s="92" t="n"/>
      <c r="I219" s="92" t="n"/>
      <c r="J219" s="92" t="n"/>
      <c r="K219" s="92" t="n"/>
      <c r="L219" s="92" t="n"/>
      <c r="M219" s="92" t="n"/>
      <c r="N219" s="92" t="n"/>
      <c r="O219" s="92" t="n"/>
      <c r="P219" s="92" t="n"/>
      <c r="Q219" s="92" t="n"/>
      <c r="R219" s="92" t="n"/>
      <c r="S219" s="92" t="n"/>
      <c r="T219" s="92" t="n"/>
      <c r="U219" s="92" t="n"/>
      <c r="V219" s="92" t="n"/>
      <c r="W219" s="92" t="n"/>
      <c r="X219" s="92" t="n"/>
      <c r="Y219" s="92" t="n"/>
      <c r="Z219" s="92" t="n"/>
      <c r="AA219" s="92" t="n"/>
      <c r="AB219" s="92" t="n"/>
      <c r="AC219" s="92" t="n"/>
      <c r="AD219" s="92" t="n"/>
      <c r="AE219" s="92" t="n"/>
      <c r="AF219" s="92" t="n"/>
      <c r="AG219" s="92" t="n"/>
      <c r="AH219" s="92" t="n"/>
      <c r="AI219" s="92" t="n"/>
      <c r="AJ219" s="92" t="n"/>
      <c r="AK219" s="92" t="n"/>
      <c r="AL219" s="92" t="n"/>
      <c r="AM219" s="92" t="n"/>
      <c r="AN219" s="92" t="n"/>
      <c r="AO219" s="92" t="n"/>
      <c r="AP219" s="92" t="n"/>
      <c r="AQ219" s="92" t="n"/>
      <c r="AR219" s="92" t="n"/>
      <c r="AS219" s="92" t="n"/>
      <c r="AT219" s="92" t="n"/>
      <c r="AU219" s="92" t="n"/>
      <c r="AV219" s="92" t="n"/>
      <c r="AX219" s="139" t="n">
        <v>2002</v>
      </c>
      <c r="AY219" s="139" t="n">
        <v>6</v>
      </c>
    </row>
    <row r="220" ht="16.5" customFormat="1" customHeight="1" s="56">
      <c r="A220" s="92" t="n"/>
      <c r="B220" s="92" t="n"/>
      <c r="C220" s="92" t="n"/>
      <c r="D220" s="92" t="n"/>
      <c r="E220" s="92" t="n"/>
      <c r="F220" s="92" t="n"/>
      <c r="G220" s="92" t="n"/>
      <c r="H220" s="92" t="n"/>
      <c r="I220" s="92" t="n"/>
      <c r="J220" s="92" t="n"/>
      <c r="K220" s="92" t="n"/>
      <c r="L220" s="92" t="n"/>
      <c r="M220" s="92" t="n"/>
      <c r="N220" s="92" t="n"/>
      <c r="O220" s="92" t="n"/>
      <c r="P220" s="92" t="n"/>
      <c r="Q220" s="92" t="n"/>
      <c r="R220" s="92" t="n"/>
      <c r="S220" s="92" t="n"/>
      <c r="T220" s="92" t="n"/>
      <c r="U220" s="92" t="n"/>
      <c r="V220" s="92" t="n"/>
      <c r="W220" s="92" t="n"/>
      <c r="X220" s="92" t="n"/>
      <c r="Y220" s="92" t="n"/>
      <c r="Z220" s="92" t="n"/>
      <c r="AA220" s="92" t="n"/>
      <c r="AB220" s="92" t="n"/>
      <c r="AC220" s="92" t="n"/>
      <c r="AD220" s="92" t="n"/>
      <c r="AE220" s="92" t="n"/>
      <c r="AF220" s="92" t="n"/>
      <c r="AG220" s="92" t="n"/>
      <c r="AH220" s="92" t="n"/>
      <c r="AI220" s="92" t="n"/>
      <c r="AJ220" s="92" t="n"/>
      <c r="AK220" s="92" t="n"/>
      <c r="AL220" s="92" t="n"/>
      <c r="AM220" s="92" t="n"/>
      <c r="AN220" s="92" t="n"/>
      <c r="AO220" s="92" t="n"/>
      <c r="AP220" s="92" t="n"/>
      <c r="AQ220" s="92" t="n"/>
      <c r="AR220" s="92" t="n"/>
      <c r="AS220" s="92" t="n"/>
      <c r="AT220" s="92" t="n"/>
      <c r="AU220" s="92" t="n"/>
      <c r="AV220" s="92" t="n"/>
      <c r="AX220" s="139" t="n">
        <v>2002</v>
      </c>
      <c r="AY220" s="139" t="n">
        <v>6</v>
      </c>
    </row>
    <row r="221" ht="16.5" customFormat="1" customHeight="1" s="56">
      <c r="A221" s="92" t="n"/>
      <c r="B221" s="92" t="n"/>
      <c r="C221" s="92" t="n"/>
      <c r="D221" s="92" t="n"/>
      <c r="E221" s="92" t="n"/>
      <c r="F221" s="92" t="n"/>
      <c r="G221" s="92" t="n"/>
      <c r="H221" s="92" t="n"/>
      <c r="I221" s="92" t="n"/>
      <c r="J221" s="92" t="n"/>
      <c r="K221" s="92" t="n"/>
      <c r="L221" s="92" t="n"/>
      <c r="M221" s="92" t="n"/>
      <c r="N221" s="92" t="n"/>
      <c r="O221" s="92" t="n"/>
      <c r="P221" s="92" t="n"/>
      <c r="Q221" s="92" t="n"/>
      <c r="R221" s="92" t="n"/>
      <c r="S221" s="92" t="n"/>
      <c r="T221" s="92" t="n"/>
      <c r="U221" s="92" t="n"/>
      <c r="V221" s="92" t="n"/>
      <c r="W221" s="92" t="n"/>
      <c r="X221" s="92" t="n"/>
      <c r="Y221" s="92" t="n"/>
      <c r="Z221" s="92" t="n"/>
      <c r="AA221" s="92" t="n"/>
      <c r="AB221" s="92" t="n"/>
      <c r="AC221" s="92" t="n"/>
      <c r="AD221" s="92" t="n"/>
      <c r="AE221" s="92" t="n"/>
      <c r="AF221" s="92" t="n"/>
      <c r="AG221" s="92" t="n"/>
      <c r="AH221" s="92" t="n"/>
      <c r="AI221" s="92" t="n"/>
      <c r="AJ221" s="92" t="n"/>
      <c r="AK221" s="92" t="n"/>
      <c r="AL221" s="92" t="n"/>
      <c r="AM221" s="92" t="n"/>
      <c r="AN221" s="92" t="n"/>
      <c r="AO221" s="92" t="n"/>
      <c r="AP221" s="92" t="n"/>
      <c r="AQ221" s="92" t="n"/>
      <c r="AR221" s="92" t="n"/>
      <c r="AS221" s="92" t="n"/>
      <c r="AT221" s="92" t="n"/>
      <c r="AU221" s="92" t="n"/>
      <c r="AV221" s="92" t="n"/>
      <c r="AX221" s="139" t="n">
        <v>1990</v>
      </c>
      <c r="AY221" s="139" t="n">
        <v>6</v>
      </c>
    </row>
    <row r="222" ht="16.5" customFormat="1" customHeight="1" s="56">
      <c r="A222" s="92" t="n"/>
      <c r="B222" s="92" t="n"/>
      <c r="C222" s="92" t="n"/>
      <c r="D222" s="92" t="n"/>
      <c r="E222" s="92" t="n"/>
      <c r="F222" s="92" t="n"/>
      <c r="G222" s="92" t="n"/>
      <c r="H222" s="92" t="n"/>
      <c r="I222" s="92" t="n"/>
      <c r="J222" s="92" t="n"/>
      <c r="K222" s="92" t="n"/>
      <c r="L222" s="92" t="n"/>
      <c r="M222" s="92" t="n"/>
      <c r="N222" s="92" t="n"/>
      <c r="O222" s="92" t="n"/>
      <c r="P222" s="92" t="n"/>
      <c r="Q222" s="92" t="n"/>
      <c r="R222" s="92" t="n"/>
      <c r="S222" s="92" t="n"/>
      <c r="T222" s="92" t="n"/>
      <c r="U222" s="92" t="n"/>
      <c r="V222" s="92" t="n"/>
      <c r="W222" s="92" t="n"/>
      <c r="X222" s="92" t="n"/>
      <c r="Y222" s="92" t="n"/>
      <c r="Z222" s="92" t="n"/>
      <c r="AA222" s="92" t="n"/>
      <c r="AB222" s="92" t="n"/>
      <c r="AC222" s="92" t="n"/>
      <c r="AD222" s="92" t="n"/>
      <c r="AE222" s="92" t="n"/>
      <c r="AF222" s="92" t="n"/>
      <c r="AG222" s="92" t="n"/>
      <c r="AH222" s="92" t="n"/>
      <c r="AI222" s="92" t="n"/>
      <c r="AJ222" s="92" t="n"/>
      <c r="AK222" s="92" t="n"/>
      <c r="AL222" s="92" t="n"/>
      <c r="AM222" s="92" t="n"/>
      <c r="AN222" s="92" t="n"/>
      <c r="AO222" s="92" t="n"/>
      <c r="AP222" s="92" t="n"/>
      <c r="AQ222" s="92" t="n"/>
      <c r="AR222" s="92" t="n"/>
      <c r="AS222" s="92" t="n"/>
      <c r="AT222" s="92" t="n"/>
      <c r="AU222" s="92" t="n"/>
      <c r="AV222" s="92" t="n"/>
      <c r="AX222" s="139" t="n">
        <v>1990</v>
      </c>
      <c r="AY222" s="139" t="n">
        <v>6</v>
      </c>
    </row>
    <row r="223" ht="16.5" customFormat="1" customHeight="1" s="56">
      <c r="A223" s="92" t="n"/>
      <c r="B223" s="92" t="n"/>
      <c r="C223" s="92" t="n"/>
      <c r="D223" s="92" t="n"/>
      <c r="E223" s="92" t="n"/>
      <c r="F223" s="92" t="n"/>
      <c r="G223" s="92" t="n"/>
      <c r="H223" s="92" t="n"/>
      <c r="I223" s="92" t="n"/>
      <c r="J223" s="92" t="n"/>
      <c r="K223" s="92" t="n"/>
      <c r="L223" s="92" t="n"/>
      <c r="M223" s="92" t="n"/>
      <c r="N223" s="92" t="n"/>
      <c r="O223" s="92" t="n"/>
      <c r="P223" s="92" t="n"/>
      <c r="Q223" s="92" t="n"/>
      <c r="R223" s="92" t="n"/>
      <c r="S223" s="92" t="n"/>
      <c r="T223" s="92" t="n"/>
      <c r="U223" s="92" t="n"/>
      <c r="V223" s="92" t="n"/>
      <c r="W223" s="92" t="n"/>
      <c r="X223" s="92" t="n"/>
      <c r="Y223" s="92" t="n"/>
      <c r="Z223" s="92" t="n"/>
      <c r="AA223" s="92" t="n"/>
      <c r="AB223" s="92" t="n"/>
      <c r="AC223" s="92" t="n"/>
      <c r="AD223" s="92" t="n"/>
      <c r="AE223" s="92" t="n"/>
      <c r="AF223" s="92" t="n"/>
      <c r="AG223" s="92" t="n"/>
      <c r="AH223" s="92" t="n"/>
      <c r="AI223" s="92" t="n"/>
      <c r="AJ223" s="92" t="n"/>
      <c r="AK223" s="92" t="n"/>
      <c r="AL223" s="92" t="n"/>
      <c r="AM223" s="92" t="n"/>
      <c r="AN223" s="92" t="n"/>
      <c r="AO223" s="92" t="n"/>
      <c r="AP223" s="92" t="n"/>
      <c r="AQ223" s="92" t="n"/>
      <c r="AR223" s="92" t="n"/>
      <c r="AS223" s="92" t="n"/>
      <c r="AT223" s="92" t="n"/>
      <c r="AU223" s="92" t="n"/>
      <c r="AV223" s="92" t="n"/>
      <c r="AX223" s="139" t="n">
        <v>1994</v>
      </c>
      <c r="AY223" s="139" t="n">
        <v>1</v>
      </c>
      <c r="AZ223" s="139" t="n"/>
      <c r="BA223" s="113" t="inlineStr">
        <is>
          <t>20평대</t>
        </is>
      </c>
      <c r="BB223" s="140" t="n">
        <v>0</v>
      </c>
      <c r="BC223" s="140" t="n">
        <v>0</v>
      </c>
      <c r="BD223" s="140" t="n">
        <v>0</v>
      </c>
      <c r="BE223" s="140" t="n">
        <v>0</v>
      </c>
      <c r="BF223" s="140" t="n">
        <v>0</v>
      </c>
    </row>
    <row r="224" ht="16.5" customFormat="1" customHeight="1" s="56">
      <c r="A224" s="92" t="n"/>
      <c r="B224" s="92" t="n"/>
      <c r="C224" s="92" t="n"/>
      <c r="D224" s="92" t="n"/>
      <c r="E224" s="92" t="n"/>
      <c r="F224" s="92" t="n"/>
      <c r="G224" s="92" t="n"/>
      <c r="H224" s="92" t="n"/>
      <c r="I224" s="92" t="n"/>
      <c r="J224" s="92" t="n"/>
      <c r="K224" s="92" t="n"/>
      <c r="L224" s="92" t="n"/>
      <c r="M224" s="92" t="n"/>
      <c r="N224" s="92" t="n"/>
      <c r="O224" s="92" t="n"/>
      <c r="P224" s="92" t="n"/>
      <c r="Q224" s="92" t="n"/>
      <c r="R224" s="92" t="n"/>
      <c r="S224" s="92" t="n"/>
      <c r="T224" s="92" t="n"/>
      <c r="U224" s="92" t="n"/>
      <c r="V224" s="92" t="n"/>
      <c r="W224" s="92" t="n"/>
      <c r="X224" s="92" t="n"/>
      <c r="Y224" s="92" t="n"/>
      <c r="Z224" s="92" t="n"/>
      <c r="AA224" s="92" t="n"/>
      <c r="AB224" s="92" t="n"/>
      <c r="AC224" s="92" t="n"/>
      <c r="AD224" s="92" t="n"/>
      <c r="AE224" s="92" t="n"/>
      <c r="AF224" s="92" t="n"/>
      <c r="AG224" s="92" t="n"/>
      <c r="AH224" s="92" t="n"/>
      <c r="AI224" s="92" t="n"/>
      <c r="AJ224" s="92" t="n"/>
      <c r="AK224" s="92" t="n"/>
      <c r="AL224" s="92" t="n"/>
      <c r="AM224" s="92" t="n"/>
      <c r="AN224" s="92" t="n"/>
      <c r="AO224" s="92" t="n"/>
      <c r="AP224" s="92" t="n"/>
      <c r="AQ224" s="92" t="n"/>
      <c r="AR224" s="92" t="n"/>
      <c r="AS224" s="92" t="n"/>
      <c r="AT224" s="92" t="n"/>
      <c r="AU224" s="92" t="n"/>
      <c r="AV224" s="92" t="n"/>
      <c r="AX224" s="139" t="n">
        <v>1994</v>
      </c>
      <c r="AY224" s="139" t="n">
        <v>1</v>
      </c>
      <c r="AZ224" s="139" t="n"/>
      <c r="BA224" s="113" t="inlineStr">
        <is>
          <t>30평대</t>
        </is>
      </c>
      <c r="BB224" s="140" t="n">
        <v>0</v>
      </c>
      <c r="BC224" s="140" t="n">
        <v>0</v>
      </c>
      <c r="BD224" s="140" t="n">
        <v>0</v>
      </c>
      <c r="BE224" s="140" t="n">
        <v>0</v>
      </c>
      <c r="BF224" s="140" t="n">
        <v>0</v>
      </c>
    </row>
    <row r="225" ht="16.5" customFormat="1" customHeight="1" s="56">
      <c r="A225" s="92" t="n"/>
      <c r="B225" s="92" t="n"/>
      <c r="C225" s="92" t="n"/>
      <c r="D225" s="92" t="n"/>
      <c r="E225" s="92" t="n"/>
      <c r="F225" s="92" t="n"/>
      <c r="G225" s="92" t="n"/>
      <c r="H225" s="92" t="n"/>
      <c r="I225" s="92" t="n"/>
      <c r="J225" s="92" t="n"/>
      <c r="K225" s="92" t="n"/>
      <c r="L225" s="92" t="n"/>
      <c r="M225" s="92" t="n"/>
      <c r="N225" s="92" t="n"/>
      <c r="O225" s="92" t="n"/>
      <c r="P225" s="92" t="n"/>
      <c r="Q225" s="92" t="n"/>
      <c r="R225" s="92" t="n"/>
      <c r="S225" s="92" t="n"/>
      <c r="T225" s="92" t="n"/>
      <c r="U225" s="92" t="n"/>
      <c r="V225" s="92" t="n"/>
      <c r="W225" s="92" t="n"/>
      <c r="X225" s="92" t="n"/>
      <c r="Y225" s="92" t="n"/>
      <c r="Z225" s="92" t="n"/>
      <c r="AA225" s="92" t="n"/>
      <c r="AB225" s="92" t="n"/>
      <c r="AC225" s="92" t="n"/>
      <c r="AD225" s="92" t="n"/>
      <c r="AE225" s="92" t="n"/>
      <c r="AF225" s="92" t="n"/>
      <c r="AG225" s="92" t="n"/>
      <c r="AH225" s="92" t="n"/>
      <c r="AI225" s="92" t="n"/>
      <c r="AJ225" s="92" t="n"/>
      <c r="AK225" s="92" t="n"/>
      <c r="AL225" s="92" t="n"/>
      <c r="AM225" s="92" t="n"/>
      <c r="AN225" s="92" t="n"/>
      <c r="AO225" s="92" t="n"/>
      <c r="AP225" s="92" t="n"/>
      <c r="AQ225" s="92" t="n"/>
      <c r="AR225" s="92" t="n"/>
      <c r="AS225" s="92" t="n"/>
      <c r="AT225" s="92" t="n"/>
      <c r="AU225" s="92" t="n"/>
      <c r="AV225" s="92" t="n"/>
      <c r="AX225" s="139" t="n">
        <v>1995</v>
      </c>
      <c r="AY225" s="139" t="n">
        <v>3</v>
      </c>
      <c r="AZ225" s="139" t="n"/>
      <c r="BA225" s="113" t="inlineStr">
        <is>
          <t>합계</t>
        </is>
      </c>
      <c r="BB225" s="140" t="n">
        <v>0</v>
      </c>
      <c r="BC225" s="140" t="n">
        <v>0</v>
      </c>
      <c r="BD225" s="140" t="n">
        <v>0</v>
      </c>
      <c r="BE225" s="140" t="n">
        <v>0</v>
      </c>
      <c r="BF225" s="140" t="n">
        <v>0</v>
      </c>
    </row>
    <row r="226" ht="16.5" customFormat="1" customHeight="1" s="56">
      <c r="A226" s="92" t="n"/>
      <c r="B226" s="92" t="n"/>
      <c r="C226" s="92" t="n"/>
      <c r="D226" s="92" t="n"/>
      <c r="E226" s="92" t="n"/>
      <c r="F226" s="92" t="n"/>
      <c r="G226" s="92" t="n"/>
      <c r="H226" s="92" t="n"/>
      <c r="I226" s="92" t="n"/>
      <c r="J226" s="92" t="n"/>
      <c r="K226" s="92" t="n"/>
      <c r="L226" s="92" t="n"/>
      <c r="M226" s="92" t="n"/>
      <c r="N226" s="92" t="n"/>
      <c r="O226" s="92" t="n"/>
      <c r="P226" s="92" t="n"/>
      <c r="Q226" s="92" t="n"/>
      <c r="R226" s="92" t="n"/>
      <c r="S226" s="92" t="n"/>
      <c r="T226" s="92" t="n"/>
      <c r="U226" s="92" t="n"/>
      <c r="V226" s="92" t="n"/>
      <c r="W226" s="92" t="n"/>
      <c r="X226" s="92" t="n"/>
      <c r="Y226" s="92" t="n"/>
      <c r="Z226" s="92" t="n"/>
      <c r="AA226" s="92" t="n"/>
      <c r="AB226" s="92" t="n"/>
      <c r="AC226" s="92" t="n"/>
      <c r="AD226" s="92" t="n"/>
      <c r="AE226" s="92" t="n"/>
      <c r="AF226" s="92" t="n"/>
      <c r="AG226" s="92" t="n"/>
      <c r="AH226" s="92" t="n"/>
      <c r="AI226" s="92" t="n"/>
      <c r="AJ226" s="92" t="n"/>
      <c r="AK226" s="92" t="n"/>
      <c r="AL226" s="92" t="n"/>
      <c r="AM226" s="92" t="n"/>
      <c r="AN226" s="92" t="n"/>
      <c r="AO226" s="92" t="n"/>
      <c r="AP226" s="92" t="n"/>
      <c r="AQ226" s="92" t="n"/>
      <c r="AR226" s="92" t="n"/>
      <c r="AS226" s="92" t="n"/>
      <c r="AT226" s="92" t="n"/>
      <c r="AU226" s="92" t="n"/>
      <c r="AV226" s="92" t="n"/>
      <c r="AX226" s="139" t="n">
        <v>1995</v>
      </c>
      <c r="AY226" s="139" t="n">
        <v>3</v>
      </c>
      <c r="AZ226" s="139" t="n"/>
      <c r="BA226" s="3" t="n"/>
    </row>
    <row r="227" ht="16.5" customFormat="1" customHeight="1" s="56">
      <c r="A227" s="92" t="n"/>
      <c r="B227" s="92" t="n"/>
      <c r="C227" s="92" t="n"/>
      <c r="D227" s="92" t="n"/>
      <c r="E227" s="92" t="n"/>
      <c r="F227" s="92" t="n"/>
      <c r="G227" s="92" t="n"/>
      <c r="H227" s="92" t="n"/>
      <c r="I227" s="92" t="n"/>
      <c r="J227" s="92" t="n"/>
      <c r="K227" s="92" t="n"/>
      <c r="L227" s="92" t="n"/>
      <c r="M227" s="92" t="n"/>
      <c r="N227" s="92" t="n"/>
      <c r="O227" s="92" t="n"/>
      <c r="P227" s="92" t="n"/>
      <c r="Q227" s="92" t="n"/>
      <c r="R227" s="92" t="n"/>
      <c r="S227" s="92" t="n"/>
      <c r="T227" s="92" t="n"/>
      <c r="U227" s="92" t="n"/>
      <c r="V227" s="92" t="n"/>
      <c r="W227" s="92" t="n"/>
      <c r="X227" s="92" t="n"/>
      <c r="Y227" s="92" t="n"/>
      <c r="Z227" s="92" t="n"/>
      <c r="AA227" s="92" t="n"/>
      <c r="AB227" s="92" t="n"/>
      <c r="AC227" s="92" t="n"/>
      <c r="AD227" s="92" t="n"/>
      <c r="AE227" s="92" t="n"/>
      <c r="AF227" s="92" t="n"/>
      <c r="AG227" s="92" t="n"/>
      <c r="AH227" s="92" t="n"/>
      <c r="AI227" s="92" t="n"/>
      <c r="AJ227" s="92" t="n"/>
      <c r="AK227" s="92" t="n"/>
      <c r="AL227" s="92" t="n"/>
      <c r="AM227" s="92" t="n"/>
      <c r="AN227" s="92" t="n"/>
      <c r="AO227" s="92" t="n"/>
      <c r="AP227" s="92" t="n"/>
      <c r="AQ227" s="92" t="n"/>
      <c r="AR227" s="92" t="n"/>
      <c r="AS227" s="92" t="n"/>
      <c r="AT227" s="92" t="n"/>
      <c r="AU227" s="92" t="n"/>
      <c r="AV227" s="92" t="n"/>
      <c r="AX227" s="139" t="n">
        <v>1995</v>
      </c>
      <c r="AY227" s="139" t="n">
        <v>3</v>
      </c>
      <c r="AZ227" s="139" t="n"/>
      <c r="BA227" s="113" t="n"/>
      <c r="BB227" s="113" t="inlineStr">
        <is>
          <t>10년 이하</t>
        </is>
      </c>
      <c r="BC227" s="113" t="inlineStr">
        <is>
          <t>10~20년</t>
        </is>
      </c>
      <c r="BD227" s="113" t="inlineStr">
        <is>
          <t>20~30년</t>
        </is>
      </c>
      <c r="BE227" s="113" t="inlineStr">
        <is>
          <t>30년 이상</t>
        </is>
      </c>
      <c r="BF227" s="113" t="inlineStr">
        <is>
          <t>합계</t>
        </is>
      </c>
    </row>
    <row r="228" ht="16.5" customFormat="1" customHeight="1" s="56">
      <c r="A228" s="92" t="n"/>
      <c r="B228" s="92" t="n"/>
      <c r="C228" s="92" t="n"/>
      <c r="D228" s="92" t="n"/>
      <c r="E228" s="92" t="n"/>
      <c r="F228" s="92" t="n"/>
      <c r="G228" s="92" t="n"/>
      <c r="H228" s="92" t="n"/>
      <c r="I228" s="92" t="n"/>
      <c r="J228" s="92" t="n"/>
      <c r="K228" s="92" t="n"/>
      <c r="L228" s="92" t="n"/>
      <c r="M228" s="92" t="n"/>
      <c r="N228" s="92" t="n"/>
      <c r="O228" s="92" t="n"/>
      <c r="P228" s="92" t="n"/>
      <c r="Q228" s="92" t="n"/>
      <c r="R228" s="92" t="n"/>
      <c r="S228" s="92" t="n"/>
      <c r="T228" s="92" t="n"/>
      <c r="U228" s="92" t="n"/>
      <c r="V228" s="92" t="n"/>
      <c r="W228" s="92" t="n"/>
      <c r="X228" s="92" t="n"/>
      <c r="Y228" s="92" t="n"/>
      <c r="Z228" s="92" t="n"/>
      <c r="AA228" s="92" t="n"/>
      <c r="AB228" s="92" t="n"/>
      <c r="AC228" s="92" t="n"/>
      <c r="AD228" s="92" t="n"/>
      <c r="AE228" s="92" t="n"/>
      <c r="AF228" s="92" t="n"/>
      <c r="AG228" s="92" t="n"/>
      <c r="AH228" s="92" t="n"/>
      <c r="AI228" s="92" t="n"/>
      <c r="AJ228" s="92" t="n"/>
      <c r="AK228" s="92" t="n"/>
      <c r="AL228" s="92" t="n"/>
      <c r="AM228" s="92" t="n"/>
      <c r="AN228" s="92" t="n"/>
      <c r="AO228" s="92" t="n"/>
      <c r="AP228" s="92" t="n"/>
      <c r="AQ228" s="92" t="n"/>
      <c r="AR228" s="92" t="n"/>
      <c r="AS228" s="92" t="n"/>
      <c r="AT228" s="92" t="n"/>
      <c r="AU228" s="92" t="n"/>
      <c r="AV228" s="92" t="n"/>
      <c r="AX228" s="139" t="n">
        <v>1994</v>
      </c>
      <c r="AY228" s="139" t="n">
        <v>9</v>
      </c>
      <c r="BA228" s="113" t="inlineStr">
        <is>
          <t>30평대</t>
        </is>
      </c>
      <c r="BB228" s="142" t="e">
        <v>#DIV/0!</v>
      </c>
      <c r="BC228" s="142" t="e">
        <v>#DIV/0!</v>
      </c>
      <c r="BD228" s="142" t="e">
        <v>#DIV/0!</v>
      </c>
      <c r="BE228" s="142" t="e">
        <v>#DIV/0!</v>
      </c>
      <c r="BF228" s="142" t="e">
        <v>#DIV/0!</v>
      </c>
    </row>
    <row r="229" ht="16.5" customFormat="1" customHeight="1" s="56">
      <c r="A229" s="92" t="n"/>
      <c r="B229" s="92" t="n"/>
      <c r="C229" s="92" t="n"/>
      <c r="D229" s="92" t="n"/>
      <c r="E229" s="92" t="n"/>
      <c r="F229" s="92" t="n"/>
      <c r="G229" s="92" t="n"/>
      <c r="H229" s="92" t="n"/>
      <c r="I229" s="92" t="n"/>
      <c r="J229" s="92" t="n"/>
      <c r="K229" s="92" t="n"/>
      <c r="L229" s="92" t="n"/>
      <c r="M229" s="92" t="n"/>
      <c r="N229" s="92" t="n"/>
      <c r="O229" s="92" t="n"/>
      <c r="P229" s="92" t="n"/>
      <c r="Q229" s="92" t="n"/>
      <c r="R229" s="92" t="n"/>
      <c r="S229" s="92" t="n"/>
      <c r="T229" s="92" t="n"/>
      <c r="U229" s="92" t="n"/>
      <c r="V229" s="92" t="n"/>
      <c r="W229" s="92" t="n"/>
      <c r="X229" s="92" t="n"/>
      <c r="Y229" s="92" t="n"/>
      <c r="Z229" s="92" t="n"/>
      <c r="AA229" s="92" t="n"/>
      <c r="AB229" s="92" t="n"/>
      <c r="AC229" s="92" t="n"/>
      <c r="AD229" s="92" t="n"/>
      <c r="AE229" s="92" t="n"/>
      <c r="AF229" s="92" t="n"/>
      <c r="AG229" s="92" t="n"/>
      <c r="AH229" s="92" t="n"/>
      <c r="AI229" s="92" t="n"/>
      <c r="AJ229" s="92" t="n"/>
      <c r="AK229" s="92" t="n"/>
      <c r="AL229" s="92" t="n"/>
      <c r="AM229" s="92" t="n"/>
      <c r="AN229" s="92" t="n"/>
      <c r="AO229" s="92" t="n"/>
      <c r="AP229" s="92" t="n"/>
      <c r="AQ229" s="92" t="n"/>
      <c r="AR229" s="92" t="n"/>
      <c r="AS229" s="92" t="n"/>
      <c r="AT229" s="92" t="n"/>
      <c r="AU229" s="92" t="n"/>
      <c r="AV229" s="92" t="n"/>
      <c r="AX229" s="139" t="n">
        <v>1993</v>
      </c>
      <c r="AY229" s="139" t="n">
        <v>11</v>
      </c>
      <c r="BA229" s="113" t="inlineStr">
        <is>
          <t>합계</t>
        </is>
      </c>
      <c r="BB229" s="142" t="e">
        <v>#DIV/0!</v>
      </c>
      <c r="BC229" s="142" t="e">
        <v>#DIV/0!</v>
      </c>
      <c r="BD229" s="142" t="e">
        <v>#DIV/0!</v>
      </c>
      <c r="BE229" s="142" t="e">
        <v>#DIV/0!</v>
      </c>
      <c r="BF229" s="142" t="e">
        <v>#DIV/0!</v>
      </c>
    </row>
    <row r="230" ht="16.5" customFormat="1" customHeight="1" s="56">
      <c r="A230" s="92" t="n"/>
      <c r="B230" s="92" t="n"/>
      <c r="C230" s="92" t="n"/>
      <c r="D230" s="92" t="n"/>
      <c r="E230" s="92" t="n"/>
      <c r="F230" s="92" t="n"/>
      <c r="G230" s="92" t="n"/>
      <c r="H230" s="92" t="n"/>
      <c r="I230" s="92" t="n"/>
      <c r="J230" s="92" t="n"/>
      <c r="K230" s="92" t="n"/>
      <c r="L230" s="92" t="n"/>
      <c r="M230" s="92" t="n"/>
      <c r="N230" s="92" t="n"/>
      <c r="O230" s="92" t="n"/>
      <c r="P230" s="92" t="n"/>
      <c r="Q230" s="92" t="n"/>
      <c r="R230" s="92" t="n"/>
      <c r="S230" s="92" t="n"/>
      <c r="T230" s="92" t="n"/>
      <c r="U230" s="92" t="n"/>
      <c r="V230" s="92" t="n"/>
      <c r="W230" s="92" t="n"/>
      <c r="X230" s="92" t="n"/>
      <c r="Y230" s="92" t="n"/>
      <c r="Z230" s="92" t="n"/>
      <c r="AA230" s="92" t="n"/>
      <c r="AB230" s="92" t="n"/>
      <c r="AC230" s="92" t="n"/>
      <c r="AD230" s="92" t="n"/>
      <c r="AE230" s="92" t="n"/>
      <c r="AF230" s="92" t="n"/>
      <c r="AG230" s="92" t="n"/>
      <c r="AH230" s="92" t="n"/>
      <c r="AI230" s="92" t="n"/>
      <c r="AJ230" s="92" t="n"/>
      <c r="AK230" s="92" t="n"/>
      <c r="AL230" s="92" t="n"/>
      <c r="AM230" s="92" t="n"/>
      <c r="AN230" s="92" t="n"/>
      <c r="AO230" s="92" t="n"/>
      <c r="AP230" s="92" t="n"/>
      <c r="AQ230" s="92" t="n"/>
      <c r="AR230" s="92" t="n"/>
      <c r="AS230" s="92" t="n"/>
      <c r="AT230" s="92" t="n"/>
      <c r="AU230" s="92" t="n"/>
      <c r="AV230" s="92" t="n"/>
      <c r="AX230" s="139" t="n">
        <v>2000</v>
      </c>
      <c r="AY230" s="139" t="n">
        <v>6</v>
      </c>
    </row>
    <row r="231" ht="16.5" customFormat="1" customHeight="1" s="56">
      <c r="A231" s="92" t="n"/>
      <c r="B231" s="92" t="n"/>
      <c r="C231" s="92" t="n"/>
      <c r="D231" s="92" t="n"/>
      <c r="E231" s="92" t="n"/>
      <c r="F231" s="92" t="n"/>
      <c r="G231" s="92" t="n"/>
      <c r="H231" s="92" t="n"/>
      <c r="I231" s="92" t="n"/>
      <c r="J231" s="92" t="n"/>
      <c r="K231" s="92" t="n"/>
      <c r="L231" s="92" t="n"/>
      <c r="M231" s="92" t="n"/>
      <c r="N231" s="92" t="n"/>
      <c r="O231" s="92" t="n"/>
      <c r="P231" s="92" t="n"/>
      <c r="Q231" s="92" t="n"/>
      <c r="R231" s="92" t="n"/>
      <c r="S231" s="92" t="n"/>
      <c r="T231" s="92" t="n"/>
      <c r="U231" s="92" t="n"/>
      <c r="V231" s="92" t="n"/>
      <c r="W231" s="92" t="n"/>
      <c r="X231" s="92" t="n"/>
      <c r="Y231" s="92" t="n"/>
      <c r="Z231" s="92" t="n"/>
      <c r="AA231" s="92" t="n"/>
      <c r="AB231" s="92" t="n"/>
      <c r="AC231" s="92" t="n"/>
      <c r="AD231" s="92" t="n"/>
      <c r="AE231" s="92" t="n"/>
      <c r="AF231" s="92" t="n"/>
      <c r="AG231" s="92" t="n"/>
      <c r="AH231" s="92" t="n"/>
      <c r="AI231" s="92" t="n"/>
      <c r="AJ231" s="92" t="n"/>
      <c r="AK231" s="92" t="n"/>
      <c r="AL231" s="92" t="n"/>
      <c r="AM231" s="92" t="n"/>
      <c r="AN231" s="92" t="n"/>
      <c r="AO231" s="92" t="n"/>
      <c r="AP231" s="92" t="n"/>
      <c r="AQ231" s="92" t="n"/>
      <c r="AR231" s="92" t="n"/>
      <c r="AS231" s="92" t="n"/>
      <c r="AT231" s="92" t="n"/>
      <c r="AU231" s="92" t="n"/>
      <c r="AV231" s="92" t="n"/>
      <c r="AX231" s="139" t="n">
        <v>2000</v>
      </c>
      <c r="AY231" s="139" t="n">
        <v>6</v>
      </c>
    </row>
    <row r="232" ht="16.5" customFormat="1" customHeight="1" s="56">
      <c r="A232" s="92" t="n"/>
      <c r="B232" s="92" t="n"/>
      <c r="C232" s="92" t="n"/>
      <c r="D232" s="92" t="n"/>
      <c r="E232" s="92" t="n"/>
      <c r="F232" s="92" t="n"/>
      <c r="G232" s="92" t="n"/>
      <c r="H232" s="92" t="n"/>
      <c r="I232" s="92" t="n"/>
      <c r="J232" s="92" t="n"/>
      <c r="K232" s="92" t="n"/>
      <c r="L232" s="92" t="n"/>
      <c r="M232" s="92" t="n"/>
      <c r="N232" s="92" t="n"/>
      <c r="O232" s="92" t="n"/>
      <c r="P232" s="92" t="n"/>
      <c r="Q232" s="92" t="n"/>
      <c r="R232" s="92" t="n"/>
      <c r="S232" s="92" t="n"/>
      <c r="T232" s="92" t="n"/>
      <c r="U232" s="92" t="n"/>
      <c r="V232" s="92" t="n"/>
      <c r="W232" s="92" t="n"/>
      <c r="X232" s="92" t="n"/>
      <c r="Y232" s="92" t="n"/>
      <c r="Z232" s="92" t="n"/>
      <c r="AA232" s="92" t="n"/>
      <c r="AB232" s="92" t="n"/>
      <c r="AC232" s="92" t="n"/>
      <c r="AD232" s="92" t="n"/>
      <c r="AE232" s="92" t="n"/>
      <c r="AF232" s="92" t="n"/>
      <c r="AG232" s="92" t="n"/>
      <c r="AH232" s="92" t="n"/>
      <c r="AI232" s="92" t="n"/>
      <c r="AJ232" s="92" t="n"/>
      <c r="AK232" s="92" t="n"/>
      <c r="AL232" s="92" t="n"/>
      <c r="AM232" s="92" t="n"/>
      <c r="AN232" s="92" t="n"/>
      <c r="AO232" s="92" t="n"/>
      <c r="AP232" s="92" t="n"/>
      <c r="AQ232" s="92" t="n"/>
      <c r="AR232" s="92" t="n"/>
      <c r="AS232" s="92" t="n"/>
      <c r="AT232" s="92" t="n"/>
      <c r="AU232" s="92" t="n"/>
      <c r="AV232" s="92" t="n"/>
      <c r="AX232" s="139" t="n">
        <v>1994</v>
      </c>
      <c r="AY232" s="139" t="n">
        <v>3</v>
      </c>
    </row>
    <row r="233" ht="16.5" customFormat="1" customHeight="1" s="56">
      <c r="A233" s="92" t="n"/>
      <c r="B233" s="92" t="n"/>
      <c r="C233" s="92" t="n"/>
      <c r="D233" s="92" t="n"/>
      <c r="E233" s="92" t="n"/>
      <c r="F233" s="92" t="n"/>
      <c r="G233" s="92" t="n"/>
      <c r="H233" s="92" t="n"/>
      <c r="I233" s="92" t="n"/>
      <c r="J233" s="92" t="n"/>
      <c r="K233" s="92" t="n"/>
      <c r="L233" s="92" t="n"/>
      <c r="M233" s="92" t="n"/>
      <c r="N233" s="92" t="n"/>
      <c r="O233" s="92" t="n"/>
      <c r="P233" s="92" t="n"/>
      <c r="Q233" s="92" t="n"/>
      <c r="R233" s="92" t="n"/>
      <c r="S233" s="92" t="n"/>
      <c r="T233" s="92" t="n"/>
      <c r="U233" s="92" t="n"/>
      <c r="V233" s="92" t="n"/>
      <c r="W233" s="92" t="n"/>
      <c r="X233" s="92" t="n"/>
      <c r="Y233" s="92" t="n"/>
      <c r="Z233" s="92" t="n"/>
      <c r="AA233" s="92" t="n"/>
      <c r="AB233" s="92" t="n"/>
      <c r="AC233" s="92" t="n"/>
      <c r="AD233" s="92" t="n"/>
      <c r="AE233" s="92" t="n"/>
      <c r="AF233" s="92" t="n"/>
      <c r="AG233" s="92" t="n"/>
      <c r="AH233" s="92" t="n"/>
      <c r="AI233" s="92" t="n"/>
      <c r="AJ233" s="92" t="n"/>
      <c r="AK233" s="92" t="n"/>
      <c r="AL233" s="92" t="n"/>
      <c r="AM233" s="92" t="n"/>
      <c r="AN233" s="92" t="n"/>
      <c r="AO233" s="92" t="n"/>
      <c r="AP233" s="92" t="n"/>
      <c r="AQ233" s="92" t="n"/>
      <c r="AR233" s="92" t="n"/>
      <c r="AS233" s="92" t="n"/>
      <c r="AT233" s="92" t="n"/>
      <c r="AU233" s="92" t="n"/>
      <c r="AV233" s="92" t="n"/>
      <c r="AX233" s="139" t="n">
        <v>1993</v>
      </c>
      <c r="AY233" s="139" t="n">
        <v>6</v>
      </c>
    </row>
    <row r="234" ht="16.5" customFormat="1" customHeight="1" s="56">
      <c r="A234" s="92" t="n"/>
      <c r="B234" s="92" t="n"/>
      <c r="C234" s="92" t="n"/>
      <c r="D234" s="92" t="n"/>
      <c r="E234" s="92" t="n"/>
      <c r="F234" s="92" t="n"/>
      <c r="G234" s="92" t="n"/>
      <c r="H234" s="92" t="n"/>
      <c r="I234" s="92" t="n"/>
      <c r="J234" s="92" t="n"/>
      <c r="K234" s="92" t="n"/>
      <c r="L234" s="92" t="n"/>
      <c r="M234" s="92" t="n"/>
      <c r="N234" s="92" t="n"/>
      <c r="O234" s="92" t="n"/>
      <c r="P234" s="92" t="n"/>
      <c r="Q234" s="92" t="n"/>
      <c r="R234" s="92" t="n"/>
      <c r="S234" s="92" t="n"/>
      <c r="T234" s="92" t="n"/>
      <c r="U234" s="92" t="n"/>
      <c r="V234" s="92" t="n"/>
      <c r="W234" s="92" t="n"/>
      <c r="X234" s="92" t="n"/>
      <c r="Y234" s="92" t="n"/>
      <c r="Z234" s="92" t="n"/>
      <c r="AA234" s="92" t="n"/>
      <c r="AB234" s="92" t="n"/>
      <c r="AC234" s="92" t="n"/>
      <c r="AD234" s="92" t="n"/>
      <c r="AE234" s="92" t="n"/>
      <c r="AF234" s="92" t="n"/>
      <c r="AG234" s="92" t="n"/>
      <c r="AH234" s="92" t="n"/>
      <c r="AI234" s="92" t="n"/>
      <c r="AJ234" s="92" t="n"/>
      <c r="AK234" s="92" t="n"/>
      <c r="AL234" s="92" t="n"/>
      <c r="AM234" s="92" t="n"/>
      <c r="AN234" s="92" t="n"/>
      <c r="AO234" s="92" t="n"/>
      <c r="AP234" s="92" t="n"/>
      <c r="AQ234" s="92" t="n"/>
      <c r="AR234" s="92" t="n"/>
      <c r="AS234" s="92" t="n"/>
      <c r="AT234" s="92" t="n"/>
      <c r="AU234" s="92" t="n"/>
      <c r="AV234" s="92" t="n"/>
      <c r="AX234" s="139" t="inlineStr"/>
      <c r="AY234" s="139" t="inlineStr"/>
      <c r="AZ234" s="92" t="n"/>
    </row>
    <row r="235" ht="16.5" customFormat="1" customHeight="1" s="56">
      <c r="A235" s="92" t="n"/>
      <c r="B235" s="92" t="n"/>
      <c r="C235" s="92" t="n"/>
      <c r="D235" s="92" t="n"/>
      <c r="E235" s="92" t="n"/>
      <c r="F235" s="92" t="n"/>
      <c r="G235" s="92" t="n"/>
      <c r="H235" s="92" t="n"/>
      <c r="I235" s="92" t="n"/>
      <c r="J235" s="92" t="n"/>
      <c r="K235" s="92" t="n"/>
      <c r="L235" s="92" t="n"/>
      <c r="M235" s="92" t="n"/>
      <c r="N235" s="92" t="n"/>
      <c r="O235" s="92" t="n"/>
      <c r="P235" s="92" t="n"/>
      <c r="Q235" s="92" t="n"/>
      <c r="R235" s="92" t="n"/>
      <c r="S235" s="92" t="n"/>
      <c r="T235" s="92" t="n"/>
      <c r="U235" s="92" t="n"/>
      <c r="V235" s="92" t="n"/>
      <c r="W235" s="92" t="n"/>
      <c r="X235" s="92" t="n"/>
      <c r="Y235" s="92" t="n"/>
      <c r="Z235" s="92" t="n"/>
      <c r="AA235" s="92" t="n"/>
      <c r="AB235" s="92" t="n"/>
      <c r="AC235" s="92" t="n"/>
      <c r="AD235" s="92" t="n"/>
      <c r="AE235" s="92" t="n"/>
      <c r="AF235" s="92" t="n"/>
      <c r="AG235" s="92" t="n"/>
      <c r="AH235" s="92" t="n"/>
      <c r="AI235" s="92" t="n"/>
      <c r="AJ235" s="92" t="n"/>
      <c r="AK235" s="92" t="n"/>
      <c r="AL235" s="92" t="n"/>
      <c r="AM235" s="92" t="n"/>
      <c r="AN235" s="92" t="n"/>
      <c r="AO235" s="92" t="n"/>
      <c r="AP235" s="92" t="n"/>
      <c r="AQ235" s="92" t="n"/>
      <c r="AR235" s="92" t="n"/>
      <c r="AS235" s="92" t="n"/>
      <c r="AT235" s="92" t="n"/>
      <c r="AU235" s="92" t="n"/>
      <c r="AV235" s="92" t="n"/>
      <c r="AX235" s="139" t="inlineStr"/>
      <c r="AY235" s="139" t="inlineStr"/>
      <c r="AZ235" s="92" t="n"/>
    </row>
    <row r="236" ht="16.5" customFormat="1" customHeight="1" s="56">
      <c r="A236" s="92" t="n"/>
      <c r="B236" s="92" t="n"/>
      <c r="C236" s="92" t="n"/>
      <c r="D236" s="92" t="n"/>
      <c r="E236" s="92" t="n"/>
      <c r="F236" s="92" t="n"/>
      <c r="G236" s="92" t="n"/>
      <c r="H236" s="92" t="n"/>
      <c r="I236" s="92" t="n"/>
      <c r="J236" s="92" t="n"/>
      <c r="K236" s="92" t="n"/>
      <c r="L236" s="92" t="n"/>
      <c r="M236" s="92" t="n"/>
      <c r="N236" s="92" t="n"/>
      <c r="O236" s="92" t="n"/>
      <c r="P236" s="92" t="n"/>
      <c r="Q236" s="92" t="n"/>
      <c r="R236" s="92" t="n"/>
      <c r="S236" s="92" t="n"/>
      <c r="T236" s="92" t="n"/>
      <c r="U236" s="92" t="n"/>
      <c r="V236" s="92" t="n"/>
      <c r="W236" s="92" t="n"/>
      <c r="X236" s="92" t="n"/>
      <c r="Y236" s="92" t="n"/>
      <c r="Z236" s="92" t="n"/>
      <c r="AA236" s="92" t="n"/>
      <c r="AB236" s="92" t="n"/>
      <c r="AC236" s="92" t="n"/>
      <c r="AD236" s="92" t="n"/>
      <c r="AE236" s="92" t="n"/>
      <c r="AF236" s="92" t="n"/>
      <c r="AG236" s="92" t="n"/>
      <c r="AH236" s="92" t="n"/>
      <c r="AI236" s="92" t="n"/>
      <c r="AJ236" s="92" t="n"/>
      <c r="AK236" s="92" t="n"/>
      <c r="AL236" s="92" t="n"/>
      <c r="AM236" s="92" t="n"/>
      <c r="AN236" s="92" t="n"/>
      <c r="AO236" s="92" t="n"/>
      <c r="AP236" s="92" t="n"/>
      <c r="AQ236" s="92" t="n"/>
      <c r="AR236" s="92" t="n"/>
      <c r="AS236" s="92" t="n"/>
      <c r="AT236" s="92" t="n"/>
      <c r="AU236" s="92" t="n"/>
      <c r="AV236" s="92" t="n"/>
      <c r="AX236" s="139" t="inlineStr"/>
      <c r="AY236" s="139" t="inlineStr"/>
      <c r="AZ236" s="92" t="n"/>
    </row>
    <row r="237" ht="16.5" customFormat="1" customHeight="1" s="56">
      <c r="A237" s="92" t="n"/>
      <c r="B237" s="92" t="n"/>
      <c r="C237" s="92" t="n"/>
      <c r="D237" s="92" t="n"/>
      <c r="E237" s="92" t="n"/>
      <c r="F237" s="92" t="n"/>
      <c r="G237" s="92" t="n"/>
      <c r="H237" s="92" t="n"/>
      <c r="I237" s="92" t="n"/>
      <c r="J237" s="92" t="n"/>
      <c r="K237" s="92" t="n"/>
      <c r="L237" s="92" t="n"/>
      <c r="M237" s="92" t="n"/>
      <c r="N237" s="92" t="n"/>
      <c r="O237" s="92" t="n"/>
      <c r="P237" s="92" t="n"/>
      <c r="Q237" s="92" t="n"/>
      <c r="R237" s="92" t="n"/>
      <c r="S237" s="92" t="n"/>
      <c r="T237" s="92" t="n"/>
      <c r="U237" s="92" t="n"/>
      <c r="V237" s="92" t="n"/>
      <c r="W237" s="92" t="n"/>
      <c r="X237" s="92" t="n"/>
      <c r="Y237" s="92" t="n"/>
      <c r="Z237" s="92" t="n"/>
      <c r="AA237" s="92" t="n"/>
      <c r="AB237" s="92" t="n"/>
      <c r="AC237" s="92" t="n"/>
      <c r="AD237" s="92" t="n"/>
      <c r="AE237" s="92" t="n"/>
      <c r="AF237" s="92" t="n"/>
      <c r="AG237" s="92" t="n"/>
      <c r="AH237" s="92" t="n"/>
      <c r="AI237" s="92" t="n"/>
      <c r="AJ237" s="92" t="n"/>
      <c r="AK237" s="92" t="n"/>
      <c r="AL237" s="92" t="n"/>
      <c r="AM237" s="92" t="n"/>
      <c r="AN237" s="92" t="n"/>
      <c r="AO237" s="92" t="n"/>
      <c r="AP237" s="92" t="n"/>
      <c r="AQ237" s="92" t="n"/>
      <c r="AR237" s="92" t="n"/>
      <c r="AS237" s="92" t="n"/>
      <c r="AT237" s="92" t="n"/>
      <c r="AU237" s="92" t="n"/>
      <c r="AV237" s="92" t="n"/>
      <c r="AX237" s="139" t="inlineStr"/>
      <c r="AY237" s="139" t="inlineStr"/>
      <c r="AZ237" s="92" t="n"/>
    </row>
    <row r="238" ht="16.5" customFormat="1" customHeight="1" s="56">
      <c r="A238" s="92" t="n"/>
      <c r="B238" s="92" t="n"/>
      <c r="C238" s="92" t="n"/>
      <c r="D238" s="92" t="n"/>
      <c r="E238" s="92" t="n"/>
      <c r="F238" s="92" t="n"/>
      <c r="G238" s="92" t="n"/>
      <c r="H238" s="92" t="n"/>
      <c r="I238" s="92" t="n"/>
      <c r="J238" s="92" t="n"/>
      <c r="K238" s="92" t="n"/>
      <c r="L238" s="92" t="n"/>
      <c r="M238" s="92" t="n"/>
      <c r="N238" s="92" t="n"/>
      <c r="O238" s="92" t="n"/>
      <c r="P238" s="92" t="n"/>
      <c r="Q238" s="92" t="n"/>
      <c r="R238" s="92" t="n"/>
      <c r="S238" s="92" t="n"/>
      <c r="T238" s="92" t="n"/>
      <c r="U238" s="92" t="n"/>
      <c r="V238" s="92" t="n"/>
      <c r="W238" s="92" t="n"/>
      <c r="X238" s="92" t="n"/>
      <c r="Y238" s="92" t="n"/>
      <c r="Z238" s="92" t="n"/>
      <c r="AA238" s="92" t="n"/>
      <c r="AB238" s="92" t="n"/>
      <c r="AC238" s="92" t="n"/>
      <c r="AD238" s="92" t="n"/>
      <c r="AE238" s="92" t="n"/>
      <c r="AF238" s="92" t="n"/>
      <c r="AG238" s="92" t="n"/>
      <c r="AH238" s="92" t="n"/>
      <c r="AI238" s="92" t="n"/>
      <c r="AJ238" s="92" t="n"/>
      <c r="AK238" s="92" t="n"/>
      <c r="AL238" s="92" t="n"/>
      <c r="AM238" s="92" t="n"/>
      <c r="AN238" s="92" t="n"/>
      <c r="AO238" s="92" t="n"/>
      <c r="AP238" s="92" t="n"/>
      <c r="AQ238" s="92" t="n"/>
      <c r="AR238" s="92" t="n"/>
      <c r="AS238" s="92" t="n"/>
      <c r="AT238" s="92" t="n"/>
      <c r="AU238" s="92" t="n"/>
      <c r="AV238" s="92" t="n"/>
      <c r="AX238" s="139" t="inlineStr"/>
      <c r="AY238" s="139" t="inlineStr"/>
      <c r="AZ238" s="92" t="n"/>
    </row>
    <row r="239" ht="16.5" customFormat="1" customHeight="1" s="56">
      <c r="A239" s="92" t="n"/>
      <c r="B239" s="92" t="n"/>
      <c r="C239" s="92" t="n"/>
      <c r="D239" s="92" t="n"/>
      <c r="E239" s="92" t="n"/>
      <c r="F239" s="92" t="n"/>
      <c r="G239" s="92" t="n"/>
      <c r="H239" s="92" t="n"/>
      <c r="I239" s="92" t="n"/>
      <c r="J239" s="92" t="n"/>
      <c r="K239" s="92" t="n"/>
      <c r="L239" s="92" t="n"/>
      <c r="M239" s="92" t="n"/>
      <c r="N239" s="92" t="n"/>
      <c r="O239" s="92" t="n"/>
      <c r="P239" s="92" t="n"/>
      <c r="Q239" s="92" t="n"/>
      <c r="R239" s="92" t="n"/>
      <c r="S239" s="92" t="n"/>
      <c r="T239" s="92" t="n"/>
      <c r="U239" s="92" t="n"/>
      <c r="V239" s="92" t="n"/>
      <c r="W239" s="92" t="n"/>
      <c r="X239" s="92" t="n"/>
      <c r="Y239" s="92" t="n"/>
      <c r="Z239" s="92" t="n"/>
      <c r="AA239" s="92" t="n"/>
      <c r="AB239" s="92" t="n"/>
      <c r="AC239" s="92" t="n"/>
      <c r="AD239" s="92" t="n"/>
      <c r="AE239" s="92" t="n"/>
      <c r="AF239" s="92" t="n"/>
      <c r="AG239" s="92" t="n"/>
      <c r="AH239" s="92" t="n"/>
      <c r="AI239" s="92" t="n"/>
      <c r="AJ239" s="92" t="n"/>
      <c r="AK239" s="92" t="n"/>
      <c r="AL239" s="92" t="n"/>
      <c r="AM239" s="92" t="n"/>
      <c r="AN239" s="92" t="n"/>
      <c r="AO239" s="92" t="n"/>
      <c r="AP239" s="92" t="n"/>
      <c r="AQ239" s="92" t="n"/>
      <c r="AR239" s="92" t="n"/>
      <c r="AS239" s="92" t="n"/>
      <c r="AT239" s="92" t="n"/>
      <c r="AU239" s="92" t="n"/>
      <c r="AV239" s="92" t="n"/>
      <c r="AX239" s="139" t="inlineStr"/>
      <c r="AY239" s="139" t="inlineStr"/>
      <c r="AZ239" s="92" t="n"/>
    </row>
    <row r="240" ht="16.5" customFormat="1" customHeight="1" s="56">
      <c r="A240" s="92" t="n"/>
      <c r="B240" s="92" t="n"/>
      <c r="C240" s="92" t="n"/>
      <c r="D240" s="92" t="n"/>
      <c r="E240" s="92" t="n"/>
      <c r="F240" s="92" t="n"/>
      <c r="G240" s="92" t="n"/>
      <c r="H240" s="92" t="n"/>
      <c r="I240" s="92" t="n"/>
      <c r="J240" s="92" t="n"/>
      <c r="K240" s="92" t="n"/>
      <c r="L240" s="92" t="n"/>
      <c r="M240" s="92" t="n"/>
      <c r="N240" s="92" t="n"/>
      <c r="O240" s="92" t="n"/>
      <c r="P240" s="92" t="n"/>
      <c r="Q240" s="92" t="n"/>
      <c r="R240" s="92" t="n"/>
      <c r="S240" s="92" t="n"/>
      <c r="T240" s="92" t="n"/>
      <c r="U240" s="92" t="n"/>
      <c r="V240" s="92" t="n"/>
      <c r="W240" s="92" t="n"/>
      <c r="X240" s="92" t="n"/>
      <c r="Y240" s="92" t="n"/>
      <c r="Z240" s="92" t="n"/>
      <c r="AA240" s="92" t="n"/>
      <c r="AB240" s="92" t="n"/>
      <c r="AC240" s="92" t="n"/>
      <c r="AD240" s="92" t="n"/>
      <c r="AE240" s="92" t="n"/>
      <c r="AF240" s="92" t="n"/>
      <c r="AG240" s="92" t="n"/>
      <c r="AH240" s="92" t="n"/>
      <c r="AI240" s="92" t="n"/>
      <c r="AJ240" s="92" t="n"/>
      <c r="AK240" s="92" t="n"/>
      <c r="AL240" s="92" t="n"/>
      <c r="AM240" s="92" t="n"/>
      <c r="AN240" s="92" t="n"/>
      <c r="AO240" s="92" t="n"/>
      <c r="AP240" s="92" t="n"/>
      <c r="AQ240" s="92" t="n"/>
      <c r="AR240" s="92" t="n"/>
      <c r="AS240" s="92" t="n"/>
      <c r="AT240" s="92" t="n"/>
      <c r="AU240" s="92" t="n"/>
      <c r="AV240" s="92" t="n"/>
      <c r="AX240" s="139" t="inlineStr"/>
      <c r="AY240" s="139" t="inlineStr"/>
      <c r="AZ240" s="92" t="n"/>
    </row>
    <row r="241" ht="16.5" customFormat="1" customHeight="1" s="56">
      <c r="A241" s="92" t="n"/>
      <c r="B241" s="92" t="n"/>
      <c r="C241" s="92" t="n"/>
      <c r="D241" s="92" t="n"/>
      <c r="E241" s="92" t="n"/>
      <c r="F241" s="92" t="n"/>
      <c r="G241" s="92" t="n"/>
      <c r="H241" s="92" t="n"/>
      <c r="I241" s="92" t="n"/>
      <c r="J241" s="92" t="n"/>
      <c r="K241" s="92" t="n"/>
      <c r="L241" s="92" t="n"/>
      <c r="M241" s="92" t="n"/>
      <c r="N241" s="92" t="n"/>
      <c r="O241" s="92" t="n"/>
      <c r="P241" s="92" t="n"/>
      <c r="Q241" s="92" t="n"/>
      <c r="R241" s="92" t="n"/>
      <c r="S241" s="92" t="n"/>
      <c r="T241" s="92" t="n"/>
      <c r="U241" s="92" t="n"/>
      <c r="V241" s="92" t="n"/>
      <c r="W241" s="92" t="n"/>
      <c r="X241" s="92" t="n"/>
      <c r="Y241" s="92" t="n"/>
      <c r="Z241" s="92" t="n"/>
      <c r="AA241" s="92" t="n"/>
      <c r="AB241" s="92" t="n"/>
      <c r="AC241" s="92" t="n"/>
      <c r="AD241" s="92" t="n"/>
      <c r="AE241" s="92" t="n"/>
      <c r="AF241" s="92" t="n"/>
      <c r="AG241" s="92" t="n"/>
      <c r="AH241" s="92" t="n"/>
      <c r="AI241" s="92" t="n"/>
      <c r="AJ241" s="92" t="n"/>
      <c r="AK241" s="92" t="n"/>
      <c r="AL241" s="92" t="n"/>
      <c r="AM241" s="92" t="n"/>
      <c r="AN241" s="92" t="n"/>
      <c r="AO241" s="92" t="n"/>
      <c r="AP241" s="92" t="n"/>
      <c r="AQ241" s="92" t="n"/>
      <c r="AR241" s="92" t="n"/>
      <c r="AS241" s="92" t="n"/>
      <c r="AT241" s="92" t="n"/>
      <c r="AU241" s="92" t="n"/>
      <c r="AV241" s="92" t="n"/>
      <c r="AX241" s="139" t="inlineStr"/>
      <c r="AY241" s="139" t="inlineStr"/>
      <c r="AZ241" s="92" t="n"/>
    </row>
    <row r="242" ht="16.5" customFormat="1" customHeight="1" s="56">
      <c r="A242" s="92" t="n"/>
      <c r="B242" s="92" t="n"/>
      <c r="C242" s="92" t="n"/>
      <c r="D242" s="92" t="n"/>
      <c r="E242" s="92" t="n"/>
      <c r="F242" s="92" t="n"/>
      <c r="G242" s="92" t="n"/>
      <c r="H242" s="92" t="n"/>
      <c r="I242" s="92" t="n"/>
      <c r="J242" s="92" t="n"/>
      <c r="K242" s="92" t="n"/>
      <c r="L242" s="92" t="n"/>
      <c r="M242" s="92" t="n"/>
      <c r="N242" s="92" t="n"/>
      <c r="O242" s="92" t="n"/>
      <c r="P242" s="92" t="n"/>
      <c r="Q242" s="92" t="n"/>
      <c r="R242" s="92" t="n"/>
      <c r="S242" s="92" t="n"/>
      <c r="T242" s="92" t="n"/>
      <c r="U242" s="92" t="n"/>
      <c r="V242" s="92" t="n"/>
      <c r="W242" s="92" t="n"/>
      <c r="X242" s="92" t="n"/>
      <c r="Y242" s="92" t="n"/>
      <c r="Z242" s="92" t="n"/>
      <c r="AA242" s="92" t="n"/>
      <c r="AB242" s="92" t="n"/>
      <c r="AC242" s="92" t="n"/>
      <c r="AD242" s="92" t="n"/>
      <c r="AE242" s="92" t="n"/>
      <c r="AF242" s="92" t="n"/>
      <c r="AG242" s="92" t="n"/>
      <c r="AH242" s="92" t="n"/>
      <c r="AI242" s="92" t="n"/>
      <c r="AJ242" s="92" t="n"/>
      <c r="AK242" s="92" t="n"/>
      <c r="AL242" s="92" t="n"/>
      <c r="AM242" s="92" t="n"/>
      <c r="AN242" s="92" t="n"/>
      <c r="AO242" s="92" t="n"/>
      <c r="AP242" s="92" t="n"/>
      <c r="AQ242" s="92" t="n"/>
      <c r="AR242" s="92" t="n"/>
      <c r="AS242" s="92" t="n"/>
      <c r="AT242" s="92" t="n"/>
      <c r="AU242" s="92" t="n"/>
      <c r="AV242" s="92" t="n"/>
      <c r="AX242" s="139" t="inlineStr"/>
      <c r="AY242" s="139" t="inlineStr"/>
      <c r="AZ242" s="92" t="n"/>
    </row>
    <row r="243" ht="16.5" customFormat="1" customHeight="1" s="56">
      <c r="A243" s="92" t="n"/>
      <c r="B243" s="92" t="n"/>
      <c r="C243" s="92" t="n"/>
      <c r="D243" s="92" t="n"/>
      <c r="E243" s="92" t="n"/>
      <c r="F243" s="92" t="n"/>
      <c r="G243" s="92" t="n"/>
      <c r="H243" s="92" t="n"/>
      <c r="I243" s="92" t="n"/>
      <c r="J243" s="92" t="n"/>
      <c r="K243" s="92" t="n"/>
      <c r="L243" s="92" t="n"/>
      <c r="M243" s="92" t="n"/>
      <c r="N243" s="92" t="n"/>
      <c r="O243" s="92" t="n"/>
      <c r="P243" s="92" t="n"/>
      <c r="Q243" s="92" t="n"/>
      <c r="R243" s="92" t="n"/>
      <c r="S243" s="92" t="n"/>
      <c r="T243" s="92" t="n"/>
      <c r="U243" s="92" t="n"/>
      <c r="V243" s="92" t="n"/>
      <c r="W243" s="92" t="n"/>
      <c r="X243" s="92" t="n"/>
      <c r="Y243" s="92" t="n"/>
      <c r="Z243" s="92" t="n"/>
      <c r="AA243" s="92" t="n"/>
      <c r="AB243" s="92" t="n"/>
      <c r="AC243" s="92" t="n"/>
      <c r="AD243" s="92" t="n"/>
      <c r="AE243" s="92" t="n"/>
      <c r="AF243" s="92" t="n"/>
      <c r="AG243" s="92" t="n"/>
      <c r="AH243" s="92" t="n"/>
      <c r="AI243" s="92" t="n"/>
      <c r="AJ243" s="92" t="n"/>
      <c r="AK243" s="92" t="n"/>
      <c r="AL243" s="92" t="n"/>
      <c r="AM243" s="92" t="n"/>
      <c r="AN243" s="92" t="n"/>
      <c r="AO243" s="92" t="n"/>
      <c r="AP243" s="92" t="n"/>
      <c r="AQ243" s="92" t="n"/>
      <c r="AR243" s="92" t="n"/>
      <c r="AS243" s="92" t="n"/>
      <c r="AT243" s="92" t="n"/>
      <c r="AU243" s="92" t="n"/>
      <c r="AV243" s="92" t="n"/>
      <c r="AX243" s="139" t="inlineStr"/>
      <c r="AY243" s="139" t="inlineStr"/>
      <c r="AZ243" s="92" t="n"/>
    </row>
    <row r="244" ht="16.5" customFormat="1" customHeight="1" s="56">
      <c r="A244" s="92" t="n"/>
      <c r="B244" s="92" t="n"/>
      <c r="C244" s="92" t="n"/>
      <c r="D244" s="92" t="n"/>
      <c r="E244" s="92" t="n"/>
      <c r="F244" s="92" t="n"/>
      <c r="G244" s="92" t="n"/>
      <c r="H244" s="92" t="n"/>
      <c r="I244" s="92" t="n"/>
      <c r="J244" s="92" t="n"/>
      <c r="K244" s="92" t="n"/>
      <c r="L244" s="92" t="n"/>
      <c r="M244" s="92" t="n"/>
      <c r="N244" s="92" t="n"/>
      <c r="O244" s="92" t="n"/>
      <c r="P244" s="92" t="n"/>
      <c r="Q244" s="92" t="n"/>
      <c r="R244" s="92" t="n"/>
      <c r="S244" s="92" t="n"/>
      <c r="T244" s="92" t="n"/>
      <c r="U244" s="92" t="n"/>
      <c r="V244" s="92" t="n"/>
      <c r="W244" s="92" t="n"/>
      <c r="X244" s="92" t="n"/>
      <c r="Y244" s="92" t="n"/>
      <c r="Z244" s="92" t="n"/>
      <c r="AA244" s="92" t="n"/>
      <c r="AB244" s="92" t="n"/>
      <c r="AC244" s="92" t="n"/>
      <c r="AD244" s="92" t="n"/>
      <c r="AE244" s="92" t="n"/>
      <c r="AF244" s="92" t="n"/>
      <c r="AG244" s="92" t="n"/>
      <c r="AH244" s="92" t="n"/>
      <c r="AI244" s="92" t="n"/>
      <c r="AJ244" s="92" t="n"/>
      <c r="AK244" s="92" t="n"/>
      <c r="AL244" s="92" t="n"/>
      <c r="AM244" s="92" t="n"/>
      <c r="AN244" s="92" t="n"/>
      <c r="AO244" s="92" t="n"/>
      <c r="AP244" s="92" t="n"/>
      <c r="AQ244" s="92" t="n"/>
      <c r="AR244" s="92" t="n"/>
      <c r="AS244" s="92" t="n"/>
      <c r="AT244" s="92" t="n"/>
      <c r="AU244" s="92" t="n"/>
      <c r="AV244" s="92" t="n"/>
      <c r="AX244" s="139" t="inlineStr"/>
      <c r="AY244" s="139" t="inlineStr"/>
      <c r="AZ244" s="92" t="n"/>
    </row>
    <row r="245" ht="16.5" customFormat="1" customHeight="1" s="56">
      <c r="A245" s="92" t="n"/>
      <c r="B245" s="92" t="n"/>
      <c r="C245" s="92" t="n"/>
      <c r="D245" s="92" t="n"/>
      <c r="E245" s="92" t="n"/>
      <c r="F245" s="92" t="n"/>
      <c r="G245" s="92" t="n"/>
      <c r="H245" s="92" t="n"/>
      <c r="I245" s="92" t="n"/>
      <c r="J245" s="92" t="n"/>
      <c r="K245" s="92" t="n"/>
      <c r="L245" s="92" t="n"/>
      <c r="M245" s="92" t="n"/>
      <c r="N245" s="92" t="n"/>
      <c r="O245" s="92" t="n"/>
      <c r="P245" s="92" t="n"/>
      <c r="Q245" s="92" t="n"/>
      <c r="R245" s="92" t="n"/>
      <c r="S245" s="92" t="n"/>
      <c r="T245" s="92" t="n"/>
      <c r="U245" s="92" t="n"/>
      <c r="V245" s="92" t="n"/>
      <c r="W245" s="92" t="n"/>
      <c r="X245" s="92" t="n"/>
      <c r="Y245" s="92" t="n"/>
      <c r="Z245" s="92" t="n"/>
      <c r="AA245" s="92" t="n"/>
      <c r="AB245" s="92" t="n"/>
      <c r="AC245" s="92" t="n"/>
      <c r="AD245" s="92" t="n"/>
      <c r="AE245" s="92" t="n"/>
      <c r="AF245" s="92" t="n"/>
      <c r="AG245" s="92" t="n"/>
      <c r="AH245" s="92" t="n"/>
      <c r="AI245" s="92" t="n"/>
      <c r="AJ245" s="92" t="n"/>
      <c r="AK245" s="92" t="n"/>
      <c r="AL245" s="92" t="n"/>
      <c r="AM245" s="92" t="n"/>
      <c r="AN245" s="92" t="n"/>
      <c r="AO245" s="92" t="n"/>
      <c r="AP245" s="92" t="n"/>
      <c r="AQ245" s="92" t="n"/>
      <c r="AR245" s="92" t="n"/>
      <c r="AS245" s="92" t="n"/>
      <c r="AT245" s="92" t="n"/>
      <c r="AU245" s="92" t="n"/>
      <c r="AV245" s="92" t="n"/>
      <c r="AX245" s="139" t="inlineStr"/>
      <c r="AY245" s="139" t="inlineStr"/>
      <c r="AZ245" s="92" t="n"/>
    </row>
    <row r="246" ht="16.5" customFormat="1" customHeight="1" s="56">
      <c r="A246" s="92" t="n"/>
      <c r="B246" s="92" t="n"/>
      <c r="C246" s="92" t="n"/>
      <c r="D246" s="92" t="n"/>
      <c r="E246" s="92" t="n"/>
      <c r="F246" s="92" t="n"/>
      <c r="G246" s="92" t="n"/>
      <c r="H246" s="92" t="n"/>
      <c r="I246" s="92" t="n"/>
      <c r="J246" s="92" t="n"/>
      <c r="K246" s="92" t="n"/>
      <c r="L246" s="92" t="n"/>
      <c r="M246" s="92" t="n"/>
      <c r="N246" s="92" t="n"/>
      <c r="O246" s="92" t="n"/>
      <c r="P246" s="92" t="n"/>
      <c r="Q246" s="92" t="n"/>
      <c r="R246" s="92" t="n"/>
      <c r="S246" s="92" t="n"/>
      <c r="T246" s="92" t="n"/>
      <c r="U246" s="92" t="n"/>
      <c r="V246" s="92" t="n"/>
      <c r="W246" s="92" t="n"/>
      <c r="X246" s="92" t="n"/>
      <c r="Y246" s="92" t="n"/>
      <c r="Z246" s="92" t="n"/>
      <c r="AA246" s="92" t="n"/>
      <c r="AB246" s="92" t="n"/>
      <c r="AC246" s="92" t="n"/>
      <c r="AD246" s="92" t="n"/>
      <c r="AE246" s="92" t="n"/>
      <c r="AF246" s="92" t="n"/>
      <c r="AG246" s="92" t="n"/>
      <c r="AH246" s="92" t="n"/>
      <c r="AI246" s="92" t="n"/>
      <c r="AJ246" s="92" t="n"/>
      <c r="AK246" s="92" t="n"/>
      <c r="AL246" s="92" t="n"/>
      <c r="AM246" s="92" t="n"/>
      <c r="AN246" s="92" t="n"/>
      <c r="AO246" s="92" t="n"/>
      <c r="AP246" s="92" t="n"/>
      <c r="AQ246" s="92" t="n"/>
      <c r="AR246" s="92" t="n"/>
      <c r="AS246" s="92" t="n"/>
      <c r="AT246" s="92" t="n"/>
      <c r="AU246" s="92" t="n"/>
      <c r="AV246" s="92" t="n"/>
      <c r="AX246" s="139" t="inlineStr"/>
      <c r="AY246" s="139" t="inlineStr"/>
      <c r="AZ246" s="92" t="n"/>
    </row>
    <row r="247" ht="16.5" customFormat="1" customHeight="1" s="56">
      <c r="A247" s="92" t="n"/>
      <c r="B247" s="92" t="n"/>
      <c r="C247" s="92" t="n"/>
      <c r="D247" s="92" t="n"/>
      <c r="E247" s="92" t="n"/>
      <c r="F247" s="92" t="n"/>
      <c r="G247" s="92" t="n"/>
      <c r="H247" s="92" t="n"/>
      <c r="I247" s="92" t="n"/>
      <c r="J247" s="92" t="n"/>
      <c r="K247" s="92" t="n"/>
      <c r="L247" s="92" t="n"/>
      <c r="M247" s="92" t="n"/>
      <c r="N247" s="92" t="n"/>
      <c r="O247" s="92" t="n"/>
      <c r="P247" s="92" t="n"/>
      <c r="Q247" s="92" t="n"/>
      <c r="R247" s="92" t="n"/>
      <c r="S247" s="92" t="n"/>
      <c r="T247" s="92" t="n"/>
      <c r="U247" s="92" t="n"/>
      <c r="V247" s="92" t="n"/>
      <c r="W247" s="92" t="n"/>
      <c r="X247" s="92" t="n"/>
      <c r="Y247" s="92" t="n"/>
      <c r="Z247" s="92" t="n"/>
      <c r="AA247" s="92" t="n"/>
      <c r="AB247" s="92" t="n"/>
      <c r="AC247" s="92" t="n"/>
      <c r="AD247" s="92" t="n"/>
      <c r="AE247" s="92" t="n"/>
      <c r="AF247" s="92" t="n"/>
      <c r="AG247" s="92" t="n"/>
      <c r="AH247" s="92" t="n"/>
      <c r="AI247" s="92" t="n"/>
      <c r="AJ247" s="92" t="n"/>
      <c r="AK247" s="92" t="n"/>
      <c r="AL247" s="92" t="n"/>
      <c r="AM247" s="92" t="n"/>
      <c r="AN247" s="92" t="n"/>
      <c r="AO247" s="92" t="n"/>
      <c r="AP247" s="92" t="n"/>
      <c r="AQ247" s="92" t="n"/>
      <c r="AR247" s="92" t="n"/>
      <c r="AS247" s="92" t="n"/>
      <c r="AT247" s="92" t="n"/>
      <c r="AU247" s="92" t="n"/>
      <c r="AV247" s="92" t="n"/>
      <c r="AX247" s="139" t="inlineStr"/>
      <c r="AY247" s="139" t="inlineStr"/>
      <c r="AZ247" s="92" t="n"/>
    </row>
    <row r="248" ht="16.5" customFormat="1" customHeight="1" s="56">
      <c r="A248" s="92" t="n"/>
      <c r="B248" s="92" t="n"/>
      <c r="C248" s="92" t="n"/>
      <c r="D248" s="92" t="n"/>
      <c r="E248" s="92" t="n"/>
      <c r="F248" s="92" t="n"/>
      <c r="G248" s="92" t="n"/>
      <c r="H248" s="92" t="n"/>
      <c r="I248" s="92" t="n"/>
      <c r="J248" s="92" t="n"/>
      <c r="K248" s="92" t="n"/>
      <c r="L248" s="92" t="n"/>
      <c r="M248" s="92" t="n"/>
      <c r="N248" s="92" t="n"/>
      <c r="O248" s="92" t="n"/>
      <c r="P248" s="92" t="n"/>
      <c r="Q248" s="92" t="n"/>
      <c r="R248" s="92" t="n"/>
      <c r="S248" s="92" t="n"/>
      <c r="T248" s="92" t="n"/>
      <c r="U248" s="92" t="n"/>
      <c r="V248" s="92" t="n"/>
      <c r="W248" s="92" t="n"/>
      <c r="X248" s="92" t="n"/>
      <c r="Y248" s="92" t="n"/>
      <c r="Z248" s="92" t="n"/>
      <c r="AA248" s="92" t="n"/>
      <c r="AB248" s="92" t="n"/>
      <c r="AC248" s="92" t="n"/>
      <c r="AD248" s="92" t="n"/>
      <c r="AE248" s="92" t="n"/>
      <c r="AF248" s="92" t="n"/>
      <c r="AG248" s="92" t="n"/>
      <c r="AH248" s="92" t="n"/>
      <c r="AI248" s="92" t="n"/>
      <c r="AJ248" s="92" t="n"/>
      <c r="AK248" s="92" t="n"/>
      <c r="AL248" s="92" t="n"/>
      <c r="AM248" s="92" t="n"/>
      <c r="AN248" s="92" t="n"/>
      <c r="AO248" s="92" t="n"/>
      <c r="AP248" s="92" t="n"/>
      <c r="AQ248" s="92" t="n"/>
      <c r="AR248" s="92" t="n"/>
      <c r="AS248" s="92" t="n"/>
      <c r="AT248" s="92" t="n"/>
      <c r="AU248" s="92" t="n"/>
      <c r="AV248" s="92" t="n"/>
      <c r="AX248" s="139" t="inlineStr"/>
      <c r="AY248" s="139" t="inlineStr"/>
      <c r="AZ248" s="92" t="n"/>
    </row>
    <row r="249" ht="16.5" customFormat="1" customHeight="1" s="56">
      <c r="A249" s="92" t="n"/>
      <c r="B249" s="92" t="n"/>
      <c r="C249" s="92" t="n"/>
      <c r="D249" s="92" t="n"/>
      <c r="E249" s="92" t="n"/>
      <c r="F249" s="92" t="n"/>
      <c r="G249" s="92" t="n"/>
      <c r="H249" s="92" t="n"/>
      <c r="I249" s="92" t="n"/>
      <c r="J249" s="92" t="n"/>
      <c r="K249" s="92" t="n"/>
      <c r="L249" s="92" t="n"/>
      <c r="M249" s="92" t="n"/>
      <c r="N249" s="92" t="n"/>
      <c r="O249" s="92" t="n"/>
      <c r="P249" s="92" t="n"/>
      <c r="Q249" s="92" t="n"/>
      <c r="R249" s="92" t="n"/>
      <c r="S249" s="92" t="n"/>
      <c r="T249" s="92" t="n"/>
      <c r="U249" s="92" t="n"/>
      <c r="V249" s="92" t="n"/>
      <c r="W249" s="92" t="n"/>
      <c r="X249" s="92" t="n"/>
      <c r="Y249" s="92" t="n"/>
      <c r="Z249" s="92" t="n"/>
      <c r="AA249" s="92" t="n"/>
      <c r="AB249" s="92" t="n"/>
      <c r="AC249" s="92" t="n"/>
      <c r="AD249" s="92" t="n"/>
      <c r="AE249" s="92" t="n"/>
      <c r="AF249" s="92" t="n"/>
      <c r="AG249" s="92" t="n"/>
      <c r="AH249" s="92" t="n"/>
      <c r="AI249" s="92" t="n"/>
      <c r="AJ249" s="92" t="n"/>
      <c r="AK249" s="92" t="n"/>
      <c r="AL249" s="92" t="n"/>
      <c r="AM249" s="92" t="n"/>
      <c r="AN249" s="92" t="n"/>
      <c r="AO249" s="92" t="n"/>
      <c r="AP249" s="92" t="n"/>
      <c r="AQ249" s="92" t="n"/>
      <c r="AR249" s="92" t="n"/>
      <c r="AS249" s="92" t="n"/>
      <c r="AT249" s="92" t="n"/>
      <c r="AU249" s="92" t="n"/>
      <c r="AV249" s="92" t="n"/>
      <c r="AX249" s="139" t="inlineStr"/>
      <c r="AY249" s="139" t="inlineStr"/>
      <c r="AZ249" s="92" t="n"/>
    </row>
    <row r="250" ht="16.5" customFormat="1" customHeight="1" s="56">
      <c r="A250" s="92" t="n"/>
      <c r="B250" s="92" t="n"/>
      <c r="C250" s="92" t="n"/>
      <c r="D250" s="92" t="n"/>
      <c r="E250" s="92" t="n"/>
      <c r="F250" s="92" t="n"/>
      <c r="G250" s="92" t="n"/>
      <c r="H250" s="92" t="n"/>
      <c r="I250" s="92" t="n"/>
      <c r="J250" s="92" t="n"/>
      <c r="K250" s="92" t="n"/>
      <c r="L250" s="92" t="n"/>
      <c r="M250" s="92" t="n"/>
      <c r="N250" s="92" t="n"/>
      <c r="O250" s="92" t="n"/>
      <c r="P250" s="92" t="n"/>
      <c r="Q250" s="92" t="n"/>
      <c r="R250" s="92" t="n"/>
      <c r="S250" s="92" t="n"/>
      <c r="T250" s="92" t="n"/>
      <c r="U250" s="92" t="n"/>
      <c r="V250" s="92" t="n"/>
      <c r="W250" s="92" t="n"/>
      <c r="X250" s="92" t="n"/>
      <c r="Y250" s="92" t="n"/>
      <c r="Z250" s="92" t="n"/>
      <c r="AA250" s="92" t="n"/>
      <c r="AB250" s="92" t="n"/>
      <c r="AC250" s="92" t="n"/>
      <c r="AD250" s="92" t="n"/>
      <c r="AE250" s="92" t="n"/>
      <c r="AF250" s="92" t="n"/>
      <c r="AG250" s="92" t="n"/>
      <c r="AH250" s="92" t="n"/>
      <c r="AI250" s="92" t="n"/>
      <c r="AJ250" s="92" t="n"/>
      <c r="AK250" s="92" t="n"/>
      <c r="AL250" s="92" t="n"/>
      <c r="AM250" s="92" t="n"/>
      <c r="AN250" s="92" t="n"/>
      <c r="AO250" s="92" t="n"/>
      <c r="AP250" s="92" t="n"/>
      <c r="AQ250" s="92" t="n"/>
      <c r="AR250" s="92" t="n"/>
      <c r="AS250" s="92" t="n"/>
      <c r="AT250" s="92" t="n"/>
      <c r="AU250" s="92" t="n"/>
      <c r="AV250" s="92" t="n"/>
      <c r="AX250" s="139" t="inlineStr"/>
      <c r="AY250" s="139" t="inlineStr"/>
      <c r="AZ250" s="92" t="n"/>
    </row>
    <row r="251" ht="16.5" customFormat="1" customHeight="1" s="56">
      <c r="A251" s="92" t="n"/>
      <c r="B251" s="92" t="n"/>
      <c r="C251" s="92" t="n"/>
      <c r="D251" s="92" t="n"/>
      <c r="E251" s="92" t="n"/>
      <c r="F251" s="92" t="n"/>
      <c r="G251" s="92" t="n"/>
      <c r="H251" s="92" t="n"/>
      <c r="I251" s="92" t="n"/>
      <c r="J251" s="92" t="n"/>
      <c r="K251" s="92" t="n"/>
      <c r="L251" s="92" t="n"/>
      <c r="M251" s="92" t="n"/>
      <c r="N251" s="92" t="n"/>
      <c r="O251" s="92" t="n"/>
      <c r="P251" s="92" t="n"/>
      <c r="Q251" s="92" t="n"/>
      <c r="R251" s="92" t="n"/>
      <c r="S251" s="92" t="n"/>
      <c r="T251" s="92" t="n"/>
      <c r="U251" s="92" t="n"/>
      <c r="V251" s="92" t="n"/>
      <c r="W251" s="92" t="n"/>
      <c r="X251" s="92" t="n"/>
      <c r="Y251" s="92" t="n"/>
      <c r="Z251" s="92" t="n"/>
      <c r="AA251" s="92" t="n"/>
      <c r="AB251" s="92" t="n"/>
      <c r="AC251" s="92" t="n"/>
      <c r="AD251" s="92" t="n"/>
      <c r="AE251" s="92" t="n"/>
      <c r="AF251" s="92" t="n"/>
      <c r="AG251" s="92" t="n"/>
      <c r="AH251" s="92" t="n"/>
      <c r="AI251" s="92" t="n"/>
      <c r="AJ251" s="92" t="n"/>
      <c r="AK251" s="92" t="n"/>
      <c r="AL251" s="92" t="n"/>
      <c r="AM251" s="92" t="n"/>
      <c r="AN251" s="92" t="n"/>
      <c r="AO251" s="92" t="n"/>
      <c r="AP251" s="92" t="n"/>
      <c r="AQ251" s="92" t="n"/>
      <c r="AR251" s="92" t="n"/>
      <c r="AS251" s="92" t="n"/>
      <c r="AT251" s="92" t="n"/>
      <c r="AU251" s="92" t="n"/>
      <c r="AV251" s="92" t="n"/>
      <c r="AX251" s="139" t="inlineStr"/>
      <c r="AY251" s="139" t="inlineStr"/>
      <c r="AZ251" s="92" t="n"/>
    </row>
    <row r="252" ht="16.5" customFormat="1" customHeight="1" s="56">
      <c r="A252" s="92" t="n"/>
      <c r="B252" s="92" t="n"/>
      <c r="C252" s="92" t="n"/>
      <c r="D252" s="92" t="n"/>
      <c r="E252" s="92" t="n"/>
      <c r="F252" s="92" t="n"/>
      <c r="G252" s="92" t="n"/>
      <c r="H252" s="92" t="n"/>
      <c r="I252" s="92" t="n"/>
      <c r="J252" s="92" t="n"/>
      <c r="K252" s="92" t="n"/>
      <c r="L252" s="92" t="n"/>
      <c r="M252" s="92" t="n"/>
      <c r="N252" s="92" t="n"/>
      <c r="O252" s="92" t="n"/>
      <c r="P252" s="92" t="n"/>
      <c r="Q252" s="92" t="n"/>
      <c r="R252" s="92" t="n"/>
      <c r="S252" s="92" t="n"/>
      <c r="T252" s="92" t="n"/>
      <c r="U252" s="92" t="n"/>
      <c r="V252" s="92" t="n"/>
      <c r="W252" s="92" t="n"/>
      <c r="X252" s="92" t="n"/>
      <c r="Y252" s="92" t="n"/>
      <c r="Z252" s="92" t="n"/>
      <c r="AA252" s="92" t="n"/>
      <c r="AB252" s="92" t="n"/>
      <c r="AC252" s="92" t="n"/>
      <c r="AD252" s="92" t="n"/>
      <c r="AE252" s="92" t="n"/>
      <c r="AF252" s="92" t="n"/>
      <c r="AG252" s="92" t="n"/>
      <c r="AH252" s="92" t="n"/>
      <c r="AI252" s="92" t="n"/>
      <c r="AJ252" s="92" t="n"/>
      <c r="AK252" s="92" t="n"/>
      <c r="AL252" s="92" t="n"/>
      <c r="AM252" s="92" t="n"/>
      <c r="AN252" s="92" t="n"/>
      <c r="AO252" s="92" t="n"/>
      <c r="AP252" s="92" t="n"/>
      <c r="AQ252" s="92" t="n"/>
      <c r="AR252" s="92" t="n"/>
      <c r="AS252" s="92" t="n"/>
      <c r="AT252" s="92" t="n"/>
      <c r="AU252" s="92" t="n"/>
      <c r="AV252" s="92" t="n"/>
      <c r="AX252" s="139" t="inlineStr"/>
      <c r="AY252" s="139" t="inlineStr"/>
      <c r="AZ252" s="92" t="n"/>
    </row>
    <row r="253" ht="16.5" customFormat="1" customHeight="1" s="56">
      <c r="A253" s="92" t="n"/>
      <c r="B253" s="92" t="n"/>
      <c r="C253" s="92" t="n"/>
      <c r="D253" s="92" t="n"/>
      <c r="E253" s="92" t="n"/>
      <c r="F253" s="92" t="n"/>
      <c r="G253" s="92" t="n"/>
      <c r="H253" s="92" t="n"/>
      <c r="I253" s="92" t="n"/>
      <c r="J253" s="92" t="n"/>
      <c r="K253" s="92" t="n"/>
      <c r="L253" s="92" t="n"/>
      <c r="M253" s="92" t="n"/>
      <c r="N253" s="92" t="n"/>
      <c r="O253" s="92" t="n"/>
      <c r="P253" s="92" t="n"/>
      <c r="Q253" s="92" t="n"/>
      <c r="R253" s="92" t="n"/>
      <c r="S253" s="92" t="n"/>
      <c r="T253" s="92" t="n"/>
      <c r="U253" s="92" t="n"/>
      <c r="V253" s="92" t="n"/>
      <c r="W253" s="92" t="n"/>
      <c r="X253" s="92" t="n"/>
      <c r="Y253" s="92" t="n"/>
      <c r="Z253" s="92" t="n"/>
      <c r="AA253" s="92" t="n"/>
      <c r="AB253" s="92" t="n"/>
      <c r="AC253" s="92" t="n"/>
      <c r="AD253" s="92" t="n"/>
      <c r="AE253" s="92" t="n"/>
      <c r="AF253" s="92" t="n"/>
      <c r="AG253" s="92" t="n"/>
      <c r="AH253" s="92" t="n"/>
      <c r="AI253" s="92" t="n"/>
      <c r="AJ253" s="92" t="n"/>
      <c r="AK253" s="92" t="n"/>
      <c r="AL253" s="92" t="n"/>
      <c r="AM253" s="92" t="n"/>
      <c r="AN253" s="92" t="n"/>
      <c r="AO253" s="92" t="n"/>
      <c r="AP253" s="92" t="n"/>
      <c r="AQ253" s="92" t="n"/>
      <c r="AR253" s="92" t="n"/>
      <c r="AS253" s="92" t="n"/>
      <c r="AT253" s="92" t="n"/>
      <c r="AU253" s="92" t="n"/>
      <c r="AV253" s="92" t="n"/>
      <c r="AX253" s="139" t="inlineStr"/>
      <c r="AY253" s="139" t="inlineStr"/>
      <c r="AZ253" s="92" t="n"/>
    </row>
    <row r="254" ht="16.5" customFormat="1" customHeight="1" s="56">
      <c r="A254" s="92" t="n"/>
      <c r="B254" s="92" t="n"/>
      <c r="C254" s="92" t="n"/>
      <c r="D254" s="92" t="n"/>
      <c r="E254" s="92" t="n"/>
      <c r="F254" s="92" t="n"/>
      <c r="G254" s="92" t="n"/>
      <c r="H254" s="92" t="n"/>
      <c r="I254" s="92" t="n"/>
      <c r="J254" s="92" t="n"/>
      <c r="K254" s="92" t="n"/>
      <c r="L254" s="92" t="n"/>
      <c r="M254" s="92" t="n"/>
      <c r="N254" s="92" t="n"/>
      <c r="O254" s="92" t="n"/>
      <c r="P254" s="92" t="n"/>
      <c r="Q254" s="92" t="n"/>
      <c r="R254" s="92" t="n"/>
      <c r="S254" s="92" t="n"/>
      <c r="T254" s="92" t="n"/>
      <c r="U254" s="92" t="n"/>
      <c r="V254" s="92" t="n"/>
      <c r="W254" s="92" t="n"/>
      <c r="X254" s="92" t="n"/>
      <c r="Y254" s="92" t="n"/>
      <c r="Z254" s="92" t="n"/>
      <c r="AA254" s="92" t="n"/>
      <c r="AB254" s="92" t="n"/>
      <c r="AC254" s="92" t="n"/>
      <c r="AD254" s="92" t="n"/>
      <c r="AE254" s="92" t="n"/>
      <c r="AF254" s="92" t="n"/>
      <c r="AG254" s="92" t="n"/>
      <c r="AH254" s="92" t="n"/>
      <c r="AI254" s="92" t="n"/>
      <c r="AJ254" s="92" t="n"/>
      <c r="AK254" s="92" t="n"/>
      <c r="AL254" s="92" t="n"/>
      <c r="AM254" s="92" t="n"/>
      <c r="AN254" s="92" t="n"/>
      <c r="AO254" s="92" t="n"/>
      <c r="AP254" s="92" t="n"/>
      <c r="AQ254" s="92" t="n"/>
      <c r="AR254" s="92" t="n"/>
      <c r="AS254" s="92" t="n"/>
      <c r="AT254" s="92" t="n"/>
      <c r="AU254" s="92" t="n"/>
      <c r="AV254" s="92" t="n"/>
      <c r="AX254" s="139" t="inlineStr"/>
      <c r="AY254" s="139" t="inlineStr"/>
      <c r="AZ254" s="92" t="n"/>
    </row>
    <row r="255" ht="16.5" customFormat="1" customHeight="1" s="56">
      <c r="A255" s="92" t="n"/>
      <c r="B255" s="92" t="n"/>
      <c r="C255" s="92" t="n"/>
      <c r="D255" s="92" t="n"/>
      <c r="E255" s="92" t="n"/>
      <c r="F255" s="92" t="n"/>
      <c r="G255" s="92" t="n"/>
      <c r="H255" s="92" t="n"/>
      <c r="I255" s="92" t="n"/>
      <c r="J255" s="92" t="n"/>
      <c r="K255" s="92" t="n"/>
      <c r="L255" s="92" t="n"/>
      <c r="M255" s="92" t="n"/>
      <c r="N255" s="92" t="n"/>
      <c r="O255" s="92" t="n"/>
      <c r="P255" s="92" t="n"/>
      <c r="Q255" s="92" t="n"/>
      <c r="R255" s="92" t="n"/>
      <c r="S255" s="92" t="n"/>
      <c r="T255" s="92" t="n"/>
      <c r="U255" s="92" t="n"/>
      <c r="V255" s="92" t="n"/>
      <c r="W255" s="92" t="n"/>
      <c r="X255" s="92" t="n"/>
      <c r="Y255" s="92" t="n"/>
      <c r="Z255" s="92" t="n"/>
      <c r="AA255" s="92" t="n"/>
      <c r="AB255" s="92" t="n"/>
      <c r="AC255" s="92" t="n"/>
      <c r="AD255" s="92" t="n"/>
      <c r="AE255" s="92" t="n"/>
      <c r="AF255" s="92" t="n"/>
      <c r="AG255" s="92" t="n"/>
      <c r="AH255" s="92" t="n"/>
      <c r="AI255" s="92" t="n"/>
      <c r="AJ255" s="92" t="n"/>
      <c r="AK255" s="92" t="n"/>
      <c r="AL255" s="92" t="n"/>
      <c r="AM255" s="92" t="n"/>
      <c r="AN255" s="92" t="n"/>
      <c r="AO255" s="92" t="n"/>
      <c r="AP255" s="92" t="n"/>
      <c r="AQ255" s="92" t="n"/>
      <c r="AR255" s="92" t="n"/>
      <c r="AS255" s="92" t="n"/>
      <c r="AT255" s="92" t="n"/>
      <c r="AU255" s="92" t="n"/>
      <c r="AV255" s="92" t="n"/>
      <c r="AX255" s="139" t="inlineStr"/>
      <c r="AY255" s="139" t="inlineStr"/>
      <c r="AZ255" s="92" t="n"/>
    </row>
    <row r="256" ht="16.5" customFormat="1" customHeight="1" s="56">
      <c r="A256" s="92" t="n"/>
      <c r="B256" s="92" t="n"/>
      <c r="C256" s="92" t="n"/>
      <c r="D256" s="92" t="n"/>
      <c r="E256" s="92" t="n"/>
      <c r="F256" s="92" t="n"/>
      <c r="G256" s="92" t="n"/>
      <c r="H256" s="92" t="n"/>
      <c r="I256" s="92" t="n"/>
      <c r="J256" s="92" t="n"/>
      <c r="K256" s="92" t="n"/>
      <c r="L256" s="92" t="n"/>
      <c r="M256" s="92" t="n"/>
      <c r="N256" s="92" t="n"/>
      <c r="O256" s="92" t="n"/>
      <c r="P256" s="92" t="n"/>
      <c r="Q256" s="92" t="n"/>
      <c r="R256" s="92" t="n"/>
      <c r="S256" s="92" t="n"/>
      <c r="T256" s="92" t="n"/>
      <c r="U256" s="92" t="n"/>
      <c r="V256" s="92" t="n"/>
      <c r="W256" s="92" t="n"/>
      <c r="X256" s="92" t="n"/>
      <c r="Y256" s="92" t="n"/>
      <c r="Z256" s="92" t="n"/>
      <c r="AA256" s="92" t="n"/>
      <c r="AB256" s="92" t="n"/>
      <c r="AC256" s="92" t="n"/>
      <c r="AD256" s="92" t="n"/>
      <c r="AE256" s="92" t="n"/>
      <c r="AF256" s="92" t="n"/>
      <c r="AG256" s="92" t="n"/>
      <c r="AH256" s="92" t="n"/>
      <c r="AI256" s="92" t="n"/>
      <c r="AJ256" s="92" t="n"/>
      <c r="AK256" s="92" t="n"/>
      <c r="AL256" s="92" t="n"/>
      <c r="AM256" s="92" t="n"/>
      <c r="AN256" s="92" t="n"/>
      <c r="AO256" s="92" t="n"/>
      <c r="AP256" s="92" t="n"/>
      <c r="AQ256" s="92" t="n"/>
      <c r="AR256" s="92" t="n"/>
      <c r="AS256" s="92" t="n"/>
      <c r="AT256" s="92" t="n"/>
      <c r="AU256" s="92" t="n"/>
      <c r="AV256" s="92" t="n"/>
      <c r="AX256" s="139" t="inlineStr"/>
      <c r="AY256" s="139" t="inlineStr"/>
      <c r="AZ256" s="92" t="n"/>
    </row>
    <row r="257" ht="16.5" customFormat="1" customHeight="1" s="56">
      <c r="A257" s="92" t="n"/>
      <c r="B257" s="92" t="n"/>
      <c r="C257" s="92" t="n"/>
      <c r="D257" s="92" t="n"/>
      <c r="E257" s="92" t="n"/>
      <c r="F257" s="92" t="n"/>
      <c r="G257" s="92" t="n"/>
      <c r="H257" s="92" t="n"/>
      <c r="I257" s="92" t="n"/>
      <c r="J257" s="92" t="n"/>
      <c r="K257" s="92" t="n"/>
      <c r="L257" s="92" t="n"/>
      <c r="M257" s="92" t="n"/>
      <c r="N257" s="92" t="n"/>
      <c r="O257" s="92" t="n"/>
      <c r="P257" s="92" t="n"/>
      <c r="Q257" s="92" t="n"/>
      <c r="R257" s="92" t="n"/>
      <c r="S257" s="92" t="n"/>
      <c r="T257" s="92" t="n"/>
      <c r="U257" s="92" t="n"/>
      <c r="V257" s="92" t="n"/>
      <c r="W257" s="92" t="n"/>
      <c r="X257" s="92" t="n"/>
      <c r="Y257" s="92" t="n"/>
      <c r="Z257" s="92" t="n"/>
      <c r="AA257" s="92" t="n"/>
      <c r="AB257" s="92" t="n"/>
      <c r="AC257" s="92" t="n"/>
      <c r="AD257" s="92" t="n"/>
      <c r="AE257" s="92" t="n"/>
      <c r="AF257" s="92" t="n"/>
      <c r="AG257" s="92" t="n"/>
      <c r="AH257" s="92" t="n"/>
      <c r="AI257" s="92" t="n"/>
      <c r="AJ257" s="92" t="n"/>
      <c r="AK257" s="92" t="n"/>
      <c r="AL257" s="92" t="n"/>
      <c r="AM257" s="92" t="n"/>
      <c r="AN257" s="92" t="n"/>
      <c r="AO257" s="92" t="n"/>
      <c r="AP257" s="92" t="n"/>
      <c r="AQ257" s="92" t="n"/>
      <c r="AR257" s="92" t="n"/>
      <c r="AS257" s="92" t="n"/>
      <c r="AT257" s="92" t="n"/>
      <c r="AU257" s="92" t="n"/>
      <c r="AV257" s="92" t="n"/>
      <c r="AX257" s="139" t="inlineStr"/>
      <c r="AY257" s="139" t="inlineStr"/>
      <c r="AZ257" s="92" t="n"/>
    </row>
    <row r="258" ht="16.5" customFormat="1" customHeight="1" s="56">
      <c r="A258" s="92" t="n"/>
      <c r="B258" s="92" t="n"/>
      <c r="C258" s="92" t="n"/>
      <c r="D258" s="92" t="n"/>
      <c r="E258" s="92" t="n"/>
      <c r="F258" s="92" t="n"/>
      <c r="G258" s="92" t="n"/>
      <c r="H258" s="92" t="n"/>
      <c r="I258" s="92" t="n"/>
      <c r="J258" s="92" t="n"/>
      <c r="K258" s="92" t="n"/>
      <c r="L258" s="92" t="n"/>
      <c r="M258" s="92" t="n"/>
      <c r="N258" s="92" t="n"/>
      <c r="O258" s="92" t="n"/>
      <c r="P258" s="92" t="n"/>
      <c r="Q258" s="92" t="n"/>
      <c r="R258" s="92" t="n"/>
      <c r="S258" s="92" t="n"/>
      <c r="T258" s="92" t="n"/>
      <c r="U258" s="92" t="n"/>
      <c r="V258" s="92" t="n"/>
      <c r="W258" s="92" t="n"/>
      <c r="X258" s="92" t="n"/>
      <c r="Y258" s="92" t="n"/>
      <c r="Z258" s="92" t="n"/>
      <c r="AA258" s="92" t="n"/>
      <c r="AB258" s="92" t="n"/>
      <c r="AC258" s="92" t="n"/>
      <c r="AD258" s="92" t="n"/>
      <c r="AE258" s="92" t="n"/>
      <c r="AF258" s="92" t="n"/>
      <c r="AG258" s="92" t="n"/>
      <c r="AH258" s="92" t="n"/>
      <c r="AI258" s="92" t="n"/>
      <c r="AJ258" s="92" t="n"/>
      <c r="AK258" s="92" t="n"/>
      <c r="AL258" s="92" t="n"/>
      <c r="AM258" s="92" t="n"/>
      <c r="AN258" s="92" t="n"/>
      <c r="AO258" s="92" t="n"/>
      <c r="AP258" s="92" t="n"/>
      <c r="AQ258" s="92" t="n"/>
      <c r="AR258" s="92" t="n"/>
      <c r="AS258" s="92" t="n"/>
      <c r="AT258" s="92" t="n"/>
      <c r="AU258" s="92" t="n"/>
      <c r="AV258" s="92" t="n"/>
      <c r="AX258" s="139" t="inlineStr"/>
      <c r="AY258" s="139" t="inlineStr"/>
      <c r="AZ258" s="92" t="n"/>
    </row>
    <row r="259" ht="16.5" customFormat="1" customHeight="1" s="56">
      <c r="A259" s="92" t="n"/>
      <c r="B259" s="92" t="n"/>
      <c r="C259" s="92" t="n"/>
      <c r="D259" s="92" t="n"/>
      <c r="E259" s="92" t="n"/>
      <c r="F259" s="92" t="n"/>
      <c r="G259" s="92" t="n"/>
      <c r="H259" s="92" t="n"/>
      <c r="I259" s="92" t="n"/>
      <c r="J259" s="92" t="n"/>
      <c r="K259" s="92" t="n"/>
      <c r="L259" s="92" t="n"/>
      <c r="M259" s="92" t="n"/>
      <c r="N259" s="92" t="n"/>
      <c r="O259" s="92" t="n"/>
      <c r="P259" s="92" t="n"/>
      <c r="Q259" s="92" t="n"/>
      <c r="R259" s="92" t="n"/>
      <c r="S259" s="92" t="n"/>
      <c r="T259" s="92" t="n"/>
      <c r="U259" s="92" t="n"/>
      <c r="V259" s="92" t="n"/>
      <c r="W259" s="92" t="n"/>
      <c r="X259" s="92" t="n"/>
      <c r="Y259" s="92" t="n"/>
      <c r="Z259" s="92" t="n"/>
      <c r="AA259" s="92" t="n"/>
      <c r="AB259" s="92" t="n"/>
      <c r="AC259" s="92" t="n"/>
      <c r="AD259" s="92" t="n"/>
      <c r="AE259" s="92" t="n"/>
      <c r="AF259" s="92" t="n"/>
      <c r="AG259" s="92" t="n"/>
      <c r="AH259" s="92" t="n"/>
      <c r="AI259" s="92" t="n"/>
      <c r="AJ259" s="92" t="n"/>
      <c r="AK259" s="92" t="n"/>
      <c r="AL259" s="92" t="n"/>
      <c r="AM259" s="92" t="n"/>
      <c r="AN259" s="92" t="n"/>
      <c r="AO259" s="92" t="n"/>
      <c r="AP259" s="92" t="n"/>
      <c r="AQ259" s="92" t="n"/>
      <c r="AR259" s="92" t="n"/>
      <c r="AS259" s="92" t="n"/>
      <c r="AT259" s="92" t="n"/>
      <c r="AU259" s="92" t="n"/>
      <c r="AV259" s="92" t="n"/>
      <c r="AX259" s="139" t="inlineStr"/>
      <c r="AY259" s="139" t="inlineStr"/>
      <c r="AZ259" s="92" t="n"/>
    </row>
    <row r="260" ht="16.5" customFormat="1" customHeight="1" s="56">
      <c r="A260" s="92" t="n"/>
      <c r="B260" s="92" t="n"/>
      <c r="C260" s="92" t="n"/>
      <c r="D260" s="92" t="n"/>
      <c r="E260" s="92" t="n"/>
      <c r="F260" s="92" t="n"/>
      <c r="G260" s="92" t="n"/>
      <c r="H260" s="92" t="n"/>
      <c r="I260" s="92" t="n"/>
      <c r="J260" s="92" t="n"/>
      <c r="K260" s="92" t="n"/>
      <c r="L260" s="92" t="n"/>
      <c r="M260" s="92" t="n"/>
      <c r="N260" s="92" t="n"/>
      <c r="O260" s="92" t="n"/>
      <c r="P260" s="92" t="n"/>
      <c r="Q260" s="92" t="n"/>
      <c r="R260" s="92" t="n"/>
      <c r="S260" s="92" t="n"/>
      <c r="T260" s="92" t="n"/>
      <c r="U260" s="92" t="n"/>
      <c r="V260" s="92" t="n"/>
      <c r="W260" s="92" t="n"/>
      <c r="X260" s="92" t="n"/>
      <c r="Y260" s="92" t="n"/>
      <c r="Z260" s="92" t="n"/>
      <c r="AA260" s="92" t="n"/>
      <c r="AB260" s="92" t="n"/>
      <c r="AC260" s="92" t="n"/>
      <c r="AD260" s="92" t="n"/>
      <c r="AE260" s="92" t="n"/>
      <c r="AF260" s="92" t="n"/>
      <c r="AG260" s="92" t="n"/>
      <c r="AH260" s="92" t="n"/>
      <c r="AI260" s="92" t="n"/>
      <c r="AJ260" s="92" t="n"/>
      <c r="AK260" s="92" t="n"/>
      <c r="AL260" s="92" t="n"/>
      <c r="AM260" s="92" t="n"/>
      <c r="AN260" s="92" t="n"/>
      <c r="AO260" s="92" t="n"/>
      <c r="AP260" s="92" t="n"/>
      <c r="AQ260" s="92" t="n"/>
      <c r="AR260" s="92" t="n"/>
      <c r="AS260" s="92" t="n"/>
      <c r="AT260" s="92" t="n"/>
      <c r="AU260" s="92" t="n"/>
      <c r="AV260" s="92" t="n"/>
      <c r="AX260" s="139" t="inlineStr"/>
      <c r="AY260" s="139" t="inlineStr"/>
      <c r="AZ260" s="92" t="n"/>
    </row>
    <row r="261" ht="16.5" customFormat="1" customHeight="1" s="56">
      <c r="A261" s="92" t="n"/>
      <c r="B261" s="92" t="n"/>
      <c r="C261" s="92" t="n"/>
      <c r="D261" s="92" t="n"/>
      <c r="E261" s="92" t="n"/>
      <c r="F261" s="92" t="n"/>
      <c r="G261" s="92" t="n"/>
      <c r="H261" s="92" t="n"/>
      <c r="I261" s="92" t="n"/>
      <c r="J261" s="92" t="n"/>
      <c r="K261" s="92" t="n"/>
      <c r="L261" s="92" t="n"/>
      <c r="M261" s="92" t="n"/>
      <c r="N261" s="92" t="n"/>
      <c r="O261" s="92" t="n"/>
      <c r="P261" s="92" t="n"/>
      <c r="Q261" s="92" t="n"/>
      <c r="R261" s="92" t="n"/>
      <c r="S261" s="92" t="n"/>
      <c r="T261" s="92" t="n"/>
      <c r="U261" s="92" t="n"/>
      <c r="V261" s="92" t="n"/>
      <c r="W261" s="92" t="n"/>
      <c r="X261" s="92" t="n"/>
      <c r="Y261" s="92" t="n"/>
      <c r="Z261" s="92" t="n"/>
      <c r="AA261" s="92" t="n"/>
      <c r="AB261" s="92" t="n"/>
      <c r="AC261" s="92" t="n"/>
      <c r="AD261" s="92" t="n"/>
      <c r="AE261" s="92" t="n"/>
      <c r="AF261" s="92" t="n"/>
      <c r="AG261" s="92" t="n"/>
      <c r="AH261" s="92" t="n"/>
      <c r="AI261" s="92" t="n"/>
      <c r="AJ261" s="92" t="n"/>
      <c r="AK261" s="92" t="n"/>
      <c r="AL261" s="92" t="n"/>
      <c r="AM261" s="92" t="n"/>
      <c r="AN261" s="92" t="n"/>
      <c r="AO261" s="92" t="n"/>
      <c r="AP261" s="92" t="n"/>
      <c r="AQ261" s="92" t="n"/>
      <c r="AR261" s="92" t="n"/>
      <c r="AS261" s="92" t="n"/>
      <c r="AT261" s="92" t="n"/>
      <c r="AU261" s="92" t="n"/>
      <c r="AV261" s="92" t="n"/>
      <c r="AX261" s="139" t="inlineStr"/>
      <c r="AY261" s="139" t="inlineStr"/>
      <c r="AZ261" s="92" t="n"/>
    </row>
    <row r="262" ht="16.5" customFormat="1" customHeight="1" s="56">
      <c r="A262" s="92" t="n"/>
      <c r="B262" s="92" t="n"/>
      <c r="C262" s="92" t="n"/>
      <c r="D262" s="92" t="n"/>
      <c r="E262" s="92" t="n"/>
      <c r="F262" s="92" t="n"/>
      <c r="G262" s="92" t="n"/>
      <c r="H262" s="92" t="n"/>
      <c r="I262" s="92" t="n"/>
      <c r="J262" s="92" t="n"/>
      <c r="K262" s="92" t="n"/>
      <c r="L262" s="92" t="n"/>
      <c r="M262" s="92" t="n"/>
      <c r="N262" s="92" t="n"/>
      <c r="O262" s="92" t="n"/>
      <c r="P262" s="92" t="n"/>
      <c r="Q262" s="92" t="n"/>
      <c r="R262" s="92" t="n"/>
      <c r="S262" s="92" t="n"/>
      <c r="T262" s="92" t="n"/>
      <c r="U262" s="92" t="n"/>
      <c r="V262" s="92" t="n"/>
      <c r="W262" s="92" t="n"/>
      <c r="X262" s="92" t="n"/>
      <c r="Y262" s="92" t="n"/>
      <c r="Z262" s="92" t="n"/>
      <c r="AA262" s="92" t="n"/>
      <c r="AB262" s="92" t="n"/>
      <c r="AC262" s="92" t="n"/>
      <c r="AD262" s="92" t="n"/>
      <c r="AE262" s="92" t="n"/>
      <c r="AF262" s="92" t="n"/>
      <c r="AG262" s="92" t="n"/>
      <c r="AH262" s="92" t="n"/>
      <c r="AI262" s="92" t="n"/>
      <c r="AJ262" s="92" t="n"/>
      <c r="AK262" s="92" t="n"/>
      <c r="AL262" s="92" t="n"/>
      <c r="AM262" s="92" t="n"/>
      <c r="AN262" s="92" t="n"/>
      <c r="AO262" s="92" t="n"/>
      <c r="AP262" s="92" t="n"/>
      <c r="AQ262" s="92" t="n"/>
      <c r="AR262" s="92" t="n"/>
      <c r="AS262" s="92" t="n"/>
      <c r="AT262" s="92" t="n"/>
      <c r="AU262" s="92" t="n"/>
      <c r="AV262" s="92" t="n"/>
      <c r="AX262" s="139" t="inlineStr"/>
      <c r="AY262" s="139" t="inlineStr"/>
      <c r="AZ262" s="92" t="n"/>
    </row>
    <row r="263" ht="16.5" customFormat="1" customHeight="1" s="56">
      <c r="A263" s="92" t="n"/>
      <c r="B263" s="92" t="n"/>
      <c r="C263" s="92" t="n"/>
      <c r="D263" s="92" t="n"/>
      <c r="E263" s="92" t="n"/>
      <c r="F263" s="92" t="n"/>
      <c r="G263" s="92" t="n"/>
      <c r="H263" s="92" t="n"/>
      <c r="I263" s="92" t="n"/>
      <c r="J263" s="92" t="n"/>
      <c r="K263" s="92" t="n"/>
      <c r="L263" s="92" t="n"/>
      <c r="M263" s="92" t="n"/>
      <c r="N263" s="92" t="n"/>
      <c r="O263" s="92" t="n"/>
      <c r="P263" s="92" t="n"/>
      <c r="Q263" s="92" t="n"/>
      <c r="R263" s="92" t="n"/>
      <c r="S263" s="92" t="n"/>
      <c r="T263" s="92" t="n"/>
      <c r="U263" s="92" t="n"/>
      <c r="V263" s="92" t="n"/>
      <c r="W263" s="92" t="n"/>
      <c r="X263" s="92" t="n"/>
      <c r="Y263" s="92" t="n"/>
      <c r="Z263" s="92" t="n"/>
      <c r="AA263" s="92" t="n"/>
      <c r="AB263" s="92" t="n"/>
      <c r="AC263" s="92" t="n"/>
      <c r="AD263" s="92" t="n"/>
      <c r="AE263" s="92" t="n"/>
      <c r="AF263" s="92" t="n"/>
      <c r="AG263" s="92" t="n"/>
      <c r="AH263" s="92" t="n"/>
      <c r="AI263" s="92" t="n"/>
      <c r="AJ263" s="92" t="n"/>
      <c r="AK263" s="92" t="n"/>
      <c r="AL263" s="92" t="n"/>
      <c r="AM263" s="92" t="n"/>
      <c r="AN263" s="92" t="n"/>
      <c r="AO263" s="92" t="n"/>
      <c r="AP263" s="92" t="n"/>
      <c r="AQ263" s="92" t="n"/>
      <c r="AR263" s="92" t="n"/>
      <c r="AS263" s="92" t="n"/>
      <c r="AT263" s="92" t="n"/>
      <c r="AU263" s="92" t="n"/>
      <c r="AV263" s="92" t="n"/>
      <c r="AX263" s="139" t="inlineStr"/>
      <c r="AY263" s="139" t="inlineStr"/>
      <c r="AZ263" s="92" t="n"/>
    </row>
    <row r="264" ht="16.5" customFormat="1" customHeight="1" s="56">
      <c r="A264" s="92" t="n"/>
      <c r="B264" s="92" t="n"/>
      <c r="C264" s="92" t="n"/>
      <c r="D264" s="92" t="n"/>
      <c r="E264" s="92" t="n"/>
      <c r="F264" s="92" t="n"/>
      <c r="G264" s="92" t="n"/>
      <c r="H264" s="92" t="n"/>
      <c r="I264" s="92" t="n"/>
      <c r="J264" s="92" t="n"/>
      <c r="K264" s="92" t="n"/>
      <c r="L264" s="92" t="n"/>
      <c r="M264" s="92" t="n"/>
      <c r="N264" s="92" t="n"/>
      <c r="O264" s="92" t="n"/>
      <c r="P264" s="92" t="n"/>
      <c r="Q264" s="92" t="n"/>
      <c r="R264" s="92" t="n"/>
      <c r="S264" s="92" t="n"/>
      <c r="T264" s="92" t="n"/>
      <c r="U264" s="92" t="n"/>
      <c r="V264" s="92" t="n"/>
      <c r="W264" s="92" t="n"/>
      <c r="X264" s="92" t="n"/>
      <c r="Y264" s="92" t="n"/>
      <c r="Z264" s="92" t="n"/>
      <c r="AA264" s="92" t="n"/>
      <c r="AB264" s="92" t="n"/>
      <c r="AC264" s="92" t="n"/>
      <c r="AD264" s="92" t="n"/>
      <c r="AE264" s="92" t="n"/>
      <c r="AF264" s="92" t="n"/>
      <c r="AG264" s="92" t="n"/>
      <c r="AH264" s="92" t="n"/>
      <c r="AI264" s="92" t="n"/>
      <c r="AJ264" s="92" t="n"/>
      <c r="AK264" s="92" t="n"/>
      <c r="AL264" s="92" t="n"/>
      <c r="AM264" s="92" t="n"/>
      <c r="AN264" s="92" t="n"/>
      <c r="AO264" s="92" t="n"/>
      <c r="AP264" s="92" t="n"/>
      <c r="AQ264" s="92" t="n"/>
      <c r="AR264" s="92" t="n"/>
      <c r="AS264" s="92" t="n"/>
      <c r="AT264" s="92" t="n"/>
      <c r="AU264" s="92" t="n"/>
      <c r="AV264" s="92" t="n"/>
      <c r="AX264" s="139" t="inlineStr"/>
      <c r="AY264" s="139" t="inlineStr"/>
      <c r="AZ264" s="92" t="n"/>
    </row>
    <row r="265" ht="16.5" customFormat="1" customHeight="1" s="56">
      <c r="A265" s="92" t="n"/>
      <c r="B265" s="92" t="n"/>
      <c r="C265" s="92" t="n"/>
      <c r="D265" s="92" t="n"/>
      <c r="E265" s="92" t="n"/>
      <c r="F265" s="92" t="n"/>
      <c r="G265" s="92" t="n"/>
      <c r="H265" s="92" t="n"/>
      <c r="I265" s="92" t="n"/>
      <c r="J265" s="92" t="n"/>
      <c r="K265" s="92" t="n"/>
      <c r="L265" s="92" t="n"/>
      <c r="M265" s="92" t="n"/>
      <c r="N265" s="92" t="n"/>
      <c r="O265" s="92" t="n"/>
      <c r="P265" s="92" t="n"/>
      <c r="Q265" s="92" t="n"/>
      <c r="R265" s="92" t="n"/>
      <c r="S265" s="92" t="n"/>
      <c r="T265" s="92" t="n"/>
      <c r="U265" s="92" t="n"/>
      <c r="V265" s="92" t="n"/>
      <c r="W265" s="92" t="n"/>
      <c r="X265" s="92" t="n"/>
      <c r="Y265" s="92" t="n"/>
      <c r="Z265" s="92" t="n"/>
      <c r="AA265" s="92" t="n"/>
      <c r="AB265" s="92" t="n"/>
      <c r="AC265" s="92" t="n"/>
      <c r="AD265" s="92" t="n"/>
      <c r="AE265" s="92" t="n"/>
      <c r="AF265" s="92" t="n"/>
      <c r="AG265" s="92" t="n"/>
      <c r="AH265" s="92" t="n"/>
      <c r="AI265" s="92" t="n"/>
      <c r="AJ265" s="92" t="n"/>
      <c r="AK265" s="92" t="n"/>
      <c r="AL265" s="92" t="n"/>
      <c r="AM265" s="92" t="n"/>
      <c r="AN265" s="92" t="n"/>
      <c r="AO265" s="92" t="n"/>
      <c r="AP265" s="92" t="n"/>
      <c r="AQ265" s="92" t="n"/>
      <c r="AR265" s="92" t="n"/>
      <c r="AS265" s="92" t="n"/>
      <c r="AT265" s="92" t="n"/>
      <c r="AU265" s="92" t="n"/>
      <c r="AV265" s="92" t="n"/>
      <c r="AX265" s="139" t="inlineStr"/>
      <c r="AY265" s="139" t="inlineStr"/>
      <c r="AZ265" s="92" t="n"/>
    </row>
    <row r="266" ht="16.5" customFormat="1" customHeight="1" s="56">
      <c r="A266" s="92" t="n"/>
      <c r="B266" s="92" t="n"/>
      <c r="C266" s="92" t="n"/>
      <c r="D266" s="92" t="n"/>
      <c r="E266" s="92" t="n"/>
      <c r="F266" s="92" t="n"/>
      <c r="G266" s="92" t="n"/>
      <c r="H266" s="92" t="n"/>
      <c r="I266" s="92" t="n"/>
      <c r="J266" s="92" t="n"/>
      <c r="K266" s="92" t="n"/>
      <c r="L266" s="92" t="n"/>
      <c r="M266" s="92" t="n"/>
      <c r="N266" s="92" t="n"/>
      <c r="O266" s="92" t="n"/>
      <c r="P266" s="92" t="n"/>
      <c r="Q266" s="92" t="n"/>
      <c r="R266" s="92" t="n"/>
      <c r="S266" s="92" t="n"/>
      <c r="T266" s="92" t="n"/>
      <c r="U266" s="92" t="n"/>
      <c r="V266" s="92" t="n"/>
      <c r="W266" s="92" t="n"/>
      <c r="X266" s="92" t="n"/>
      <c r="Y266" s="92" t="n"/>
      <c r="Z266" s="92" t="n"/>
      <c r="AA266" s="92" t="n"/>
      <c r="AB266" s="92" t="n"/>
      <c r="AC266" s="92" t="n"/>
      <c r="AD266" s="92" t="n"/>
      <c r="AE266" s="92" t="n"/>
      <c r="AF266" s="92" t="n"/>
      <c r="AG266" s="92" t="n"/>
      <c r="AH266" s="92" t="n"/>
      <c r="AI266" s="92" t="n"/>
      <c r="AJ266" s="92" t="n"/>
      <c r="AK266" s="92" t="n"/>
      <c r="AL266" s="92" t="n"/>
      <c r="AM266" s="92" t="n"/>
      <c r="AN266" s="92" t="n"/>
      <c r="AO266" s="92" t="n"/>
      <c r="AP266" s="92" t="n"/>
      <c r="AQ266" s="92" t="n"/>
      <c r="AR266" s="92" t="n"/>
      <c r="AS266" s="92" t="n"/>
      <c r="AT266" s="92" t="n"/>
      <c r="AU266" s="92" t="n"/>
      <c r="AV266" s="92" t="n"/>
      <c r="AX266" s="139" t="inlineStr"/>
      <c r="AY266" s="139" t="inlineStr"/>
      <c r="AZ266" s="92" t="n"/>
    </row>
    <row r="267" ht="16.5" customFormat="1" customHeight="1" s="56">
      <c r="A267" s="92" t="n"/>
      <c r="B267" s="92" t="n"/>
      <c r="C267" s="92" t="n"/>
      <c r="D267" s="92" t="n"/>
      <c r="E267" s="92" t="n"/>
      <c r="F267" s="92" t="n"/>
      <c r="G267" s="92" t="n"/>
      <c r="H267" s="92" t="n"/>
      <c r="I267" s="92" t="n"/>
      <c r="J267" s="92" t="n"/>
      <c r="K267" s="92" t="n"/>
      <c r="L267" s="92" t="n"/>
      <c r="M267" s="92" t="n"/>
      <c r="N267" s="92" t="n"/>
      <c r="O267" s="92" t="n"/>
      <c r="P267" s="92" t="n"/>
      <c r="Q267" s="92" t="n"/>
      <c r="R267" s="92" t="n"/>
      <c r="S267" s="92" t="n"/>
      <c r="T267" s="92" t="n"/>
      <c r="U267" s="92" t="n"/>
      <c r="V267" s="92" t="n"/>
      <c r="W267" s="92" t="n"/>
      <c r="X267" s="92" t="n"/>
      <c r="Y267" s="92" t="n"/>
      <c r="Z267" s="92" t="n"/>
      <c r="AA267" s="92" t="n"/>
      <c r="AB267" s="92" t="n"/>
      <c r="AC267" s="92" t="n"/>
      <c r="AD267" s="92" t="n"/>
      <c r="AE267" s="92" t="n"/>
      <c r="AF267" s="92" t="n"/>
      <c r="AG267" s="92" t="n"/>
      <c r="AH267" s="92" t="n"/>
      <c r="AI267" s="92" t="n"/>
      <c r="AJ267" s="92" t="n"/>
      <c r="AK267" s="92" t="n"/>
      <c r="AL267" s="92" t="n"/>
      <c r="AM267" s="92" t="n"/>
      <c r="AN267" s="92" t="n"/>
      <c r="AO267" s="92" t="n"/>
      <c r="AP267" s="92" t="n"/>
      <c r="AQ267" s="92" t="n"/>
      <c r="AR267" s="92" t="n"/>
      <c r="AS267" s="92" t="n"/>
      <c r="AT267" s="92" t="n"/>
      <c r="AU267" s="92" t="n"/>
      <c r="AV267" s="92" t="n"/>
      <c r="AX267" s="139" t="inlineStr"/>
      <c r="AY267" s="139" t="inlineStr"/>
      <c r="AZ267" s="92" t="n"/>
    </row>
    <row r="268" ht="16.5" customFormat="1" customHeight="1" s="56">
      <c r="A268" s="92" t="n"/>
      <c r="B268" s="92" t="n"/>
      <c r="C268" s="92" t="n"/>
      <c r="D268" s="92" t="n"/>
      <c r="E268" s="92" t="n"/>
      <c r="F268" s="92" t="n"/>
      <c r="G268" s="92" t="n"/>
      <c r="H268" s="92" t="n"/>
      <c r="I268" s="92" t="n"/>
      <c r="J268" s="92" t="n"/>
      <c r="K268" s="92" t="n"/>
      <c r="L268" s="92" t="n"/>
      <c r="M268" s="92" t="n"/>
      <c r="N268" s="92" t="n"/>
      <c r="O268" s="92" t="n"/>
      <c r="P268" s="92" t="n"/>
      <c r="Q268" s="92" t="n"/>
      <c r="R268" s="92" t="n"/>
      <c r="S268" s="92" t="n"/>
      <c r="T268" s="92" t="n"/>
      <c r="U268" s="92" t="n"/>
      <c r="V268" s="92" t="n"/>
      <c r="W268" s="92" t="n"/>
      <c r="X268" s="92" t="n"/>
      <c r="Y268" s="92" t="n"/>
      <c r="Z268" s="92" t="n"/>
      <c r="AA268" s="92" t="n"/>
      <c r="AB268" s="92" t="n"/>
      <c r="AC268" s="92" t="n"/>
      <c r="AD268" s="92" t="n"/>
      <c r="AE268" s="92" t="n"/>
      <c r="AF268" s="92" t="n"/>
      <c r="AG268" s="92" t="n"/>
      <c r="AH268" s="92" t="n"/>
      <c r="AI268" s="92" t="n"/>
      <c r="AJ268" s="92" t="n"/>
      <c r="AK268" s="92" t="n"/>
      <c r="AL268" s="92" t="n"/>
      <c r="AM268" s="92" t="n"/>
      <c r="AN268" s="92" t="n"/>
      <c r="AO268" s="92" t="n"/>
      <c r="AP268" s="92" t="n"/>
      <c r="AQ268" s="92" t="n"/>
      <c r="AR268" s="92" t="n"/>
      <c r="AS268" s="92" t="n"/>
      <c r="AT268" s="92" t="n"/>
      <c r="AU268" s="92" t="n"/>
      <c r="AV268" s="92" t="n"/>
      <c r="AX268" s="139" t="inlineStr"/>
      <c r="AY268" s="139" t="inlineStr"/>
      <c r="AZ268" s="92" t="n"/>
    </row>
    <row r="269" ht="16.5" customFormat="1" customHeight="1" s="56">
      <c r="A269" s="92" t="n"/>
      <c r="B269" s="92" t="n"/>
      <c r="C269" s="92" t="n"/>
      <c r="D269" s="92" t="n"/>
      <c r="E269" s="92" t="n"/>
      <c r="F269" s="92" t="n"/>
      <c r="G269" s="92" t="n"/>
      <c r="H269" s="92" t="n"/>
      <c r="I269" s="92" t="n"/>
      <c r="J269" s="92" t="n"/>
      <c r="K269" s="92" t="n"/>
      <c r="L269" s="92" t="n"/>
      <c r="M269" s="92" t="n"/>
      <c r="N269" s="92" t="n"/>
      <c r="O269" s="92" t="n"/>
      <c r="P269" s="92" t="n"/>
      <c r="Q269" s="92" t="n"/>
      <c r="R269" s="92" t="n"/>
      <c r="S269" s="92" t="n"/>
      <c r="T269" s="92" t="n"/>
      <c r="U269" s="92" t="n"/>
      <c r="V269" s="92" t="n"/>
      <c r="W269" s="92" t="n"/>
      <c r="X269" s="92" t="n"/>
      <c r="Y269" s="92" t="n"/>
      <c r="Z269" s="92" t="n"/>
      <c r="AA269" s="92" t="n"/>
      <c r="AB269" s="92" t="n"/>
      <c r="AC269" s="92" t="n"/>
      <c r="AD269" s="92" t="n"/>
      <c r="AE269" s="92" t="n"/>
      <c r="AF269" s="92" t="n"/>
      <c r="AG269" s="92" t="n"/>
      <c r="AH269" s="92" t="n"/>
      <c r="AI269" s="92" t="n"/>
      <c r="AJ269" s="92" t="n"/>
      <c r="AK269" s="92" t="n"/>
      <c r="AL269" s="92" t="n"/>
      <c r="AM269" s="92" t="n"/>
      <c r="AN269" s="92" t="n"/>
      <c r="AO269" s="92" t="n"/>
      <c r="AP269" s="92" t="n"/>
      <c r="AQ269" s="92" t="n"/>
      <c r="AR269" s="92" t="n"/>
      <c r="AS269" s="92" t="n"/>
      <c r="AT269" s="92" t="n"/>
      <c r="AU269" s="92" t="n"/>
      <c r="AV269" s="92" t="n"/>
      <c r="AX269" s="139" t="inlineStr"/>
      <c r="AY269" s="139" t="inlineStr"/>
      <c r="AZ269" s="92" t="n"/>
    </row>
    <row r="270" ht="16.5" customFormat="1" customHeight="1" s="56">
      <c r="A270" s="92" t="n"/>
      <c r="B270" s="92" t="n"/>
      <c r="C270" s="92" t="n"/>
      <c r="D270" s="92" t="n"/>
      <c r="E270" s="92" t="n"/>
      <c r="F270" s="92" t="n"/>
      <c r="G270" s="92" t="n"/>
      <c r="H270" s="92" t="n"/>
      <c r="I270" s="92" t="n"/>
      <c r="J270" s="92" t="n"/>
      <c r="K270" s="92" t="n"/>
      <c r="L270" s="92" t="n"/>
      <c r="M270" s="92" t="n"/>
      <c r="N270" s="92" t="n"/>
      <c r="O270" s="92" t="n"/>
      <c r="P270" s="92" t="n"/>
      <c r="Q270" s="92" t="n"/>
      <c r="R270" s="92" t="n"/>
      <c r="S270" s="92" t="n"/>
      <c r="T270" s="92" t="n"/>
      <c r="U270" s="92" t="n"/>
      <c r="V270" s="92" t="n"/>
      <c r="W270" s="92" t="n"/>
      <c r="X270" s="92" t="n"/>
      <c r="Y270" s="92" t="n"/>
      <c r="Z270" s="92" t="n"/>
      <c r="AA270" s="92" t="n"/>
      <c r="AB270" s="92" t="n"/>
      <c r="AC270" s="92" t="n"/>
      <c r="AD270" s="92" t="n"/>
      <c r="AE270" s="92" t="n"/>
      <c r="AF270" s="92" t="n"/>
      <c r="AG270" s="92" t="n"/>
      <c r="AH270" s="92" t="n"/>
      <c r="AI270" s="92" t="n"/>
      <c r="AJ270" s="92" t="n"/>
      <c r="AK270" s="92" t="n"/>
      <c r="AL270" s="92" t="n"/>
      <c r="AM270" s="92" t="n"/>
      <c r="AN270" s="92" t="n"/>
      <c r="AO270" s="92" t="n"/>
      <c r="AP270" s="92" t="n"/>
      <c r="AQ270" s="92" t="n"/>
      <c r="AR270" s="92" t="n"/>
      <c r="AS270" s="92" t="n"/>
      <c r="AT270" s="92" t="n"/>
      <c r="AU270" s="92" t="n"/>
      <c r="AV270" s="92" t="n"/>
      <c r="AX270" s="139" t="inlineStr"/>
      <c r="AY270" s="139" t="inlineStr"/>
      <c r="AZ270" s="92" t="n"/>
    </row>
    <row r="271" ht="16.5" customFormat="1" customHeight="1" s="56">
      <c r="A271" s="92" t="n"/>
      <c r="B271" s="92" t="n"/>
      <c r="C271" s="92" t="n"/>
      <c r="D271" s="92" t="n"/>
      <c r="E271" s="92" t="n"/>
      <c r="F271" s="92" t="n"/>
      <c r="G271" s="92" t="n"/>
      <c r="H271" s="92" t="n"/>
      <c r="I271" s="92" t="n"/>
      <c r="J271" s="92" t="n"/>
      <c r="K271" s="92" t="n"/>
      <c r="L271" s="92" t="n"/>
      <c r="M271" s="92" t="n"/>
      <c r="N271" s="92" t="n"/>
      <c r="O271" s="92" t="n"/>
      <c r="P271" s="92" t="n"/>
      <c r="Q271" s="92" t="n"/>
      <c r="R271" s="92" t="n"/>
      <c r="S271" s="92" t="n"/>
      <c r="T271" s="92" t="n"/>
      <c r="U271" s="92" t="n"/>
      <c r="V271" s="92" t="n"/>
      <c r="W271" s="92" t="n"/>
      <c r="X271" s="92" t="n"/>
      <c r="Y271" s="92" t="n"/>
      <c r="Z271" s="92" t="n"/>
      <c r="AA271" s="92" t="n"/>
      <c r="AB271" s="92" t="n"/>
      <c r="AC271" s="92" t="n"/>
      <c r="AD271" s="92" t="n"/>
      <c r="AE271" s="92" t="n"/>
      <c r="AF271" s="92" t="n"/>
      <c r="AG271" s="92" t="n"/>
      <c r="AH271" s="92" t="n"/>
      <c r="AI271" s="92" t="n"/>
      <c r="AJ271" s="92" t="n"/>
      <c r="AK271" s="92" t="n"/>
      <c r="AL271" s="92" t="n"/>
      <c r="AM271" s="92" t="n"/>
      <c r="AN271" s="92" t="n"/>
      <c r="AO271" s="92" t="n"/>
      <c r="AP271" s="92" t="n"/>
      <c r="AQ271" s="92" t="n"/>
      <c r="AR271" s="92" t="n"/>
      <c r="AS271" s="92" t="n"/>
      <c r="AT271" s="92" t="n"/>
      <c r="AU271" s="92" t="n"/>
      <c r="AV271" s="92" t="n"/>
      <c r="AX271" s="139" t="inlineStr"/>
      <c r="AY271" s="139" t="inlineStr"/>
      <c r="AZ271" s="92" t="n"/>
    </row>
    <row r="272" ht="16.5" customFormat="1" customHeight="1" s="56">
      <c r="A272" s="92" t="n"/>
      <c r="B272" s="92" t="n"/>
      <c r="C272" s="92" t="n"/>
      <c r="D272" s="92" t="n"/>
      <c r="E272" s="92" t="n"/>
      <c r="F272" s="92" t="n"/>
      <c r="G272" s="92" t="n"/>
      <c r="H272" s="92" t="n"/>
      <c r="I272" s="92" t="n"/>
      <c r="J272" s="92" t="n"/>
      <c r="K272" s="92" t="n"/>
      <c r="L272" s="92" t="n"/>
      <c r="M272" s="92" t="n"/>
      <c r="N272" s="92" t="n"/>
      <c r="O272" s="92" t="n"/>
      <c r="P272" s="92" t="n"/>
      <c r="Q272" s="92" t="n"/>
      <c r="R272" s="92" t="n"/>
      <c r="S272" s="92" t="n"/>
      <c r="T272" s="92" t="n"/>
      <c r="U272" s="92" t="n"/>
      <c r="V272" s="92" t="n"/>
      <c r="W272" s="92" t="n"/>
      <c r="X272" s="92" t="n"/>
      <c r="Y272" s="92" t="n"/>
      <c r="Z272" s="92" t="n"/>
      <c r="AA272" s="92" t="n"/>
      <c r="AB272" s="92" t="n"/>
      <c r="AC272" s="92" t="n"/>
      <c r="AD272" s="92" t="n"/>
      <c r="AE272" s="92" t="n"/>
      <c r="AF272" s="92" t="n"/>
      <c r="AG272" s="92" t="n"/>
      <c r="AH272" s="92" t="n"/>
      <c r="AI272" s="92" t="n"/>
      <c r="AJ272" s="92" t="n"/>
      <c r="AK272" s="92" t="n"/>
      <c r="AL272" s="92" t="n"/>
      <c r="AM272" s="92" t="n"/>
      <c r="AN272" s="92" t="n"/>
      <c r="AO272" s="92" t="n"/>
      <c r="AP272" s="92" t="n"/>
      <c r="AQ272" s="92" t="n"/>
      <c r="AR272" s="92" t="n"/>
      <c r="AS272" s="92" t="n"/>
      <c r="AT272" s="92" t="n"/>
      <c r="AU272" s="92" t="n"/>
      <c r="AV272" s="92" t="n"/>
      <c r="AX272" s="139" t="inlineStr"/>
      <c r="AY272" s="139" t="inlineStr"/>
      <c r="AZ272" s="92" t="n"/>
    </row>
    <row r="273" ht="16.5" customFormat="1" customHeight="1" s="56">
      <c r="A273" s="92" t="n"/>
      <c r="B273" s="92" t="n"/>
      <c r="C273" s="92" t="n"/>
      <c r="D273" s="92" t="n"/>
      <c r="E273" s="92" t="n"/>
      <c r="F273" s="92" t="n"/>
      <c r="G273" s="92" t="n"/>
      <c r="H273" s="92" t="n"/>
      <c r="I273" s="92" t="n"/>
      <c r="J273" s="92" t="n"/>
      <c r="K273" s="92" t="n"/>
      <c r="L273" s="92" t="n"/>
      <c r="M273" s="92" t="n"/>
      <c r="N273" s="92" t="n"/>
      <c r="O273" s="92" t="n"/>
      <c r="P273" s="92" t="n"/>
      <c r="Q273" s="92" t="n"/>
      <c r="R273" s="92" t="n"/>
      <c r="S273" s="92" t="n"/>
      <c r="T273" s="92" t="n"/>
      <c r="U273" s="92" t="n"/>
      <c r="V273" s="92" t="n"/>
      <c r="W273" s="92" t="n"/>
      <c r="X273" s="92" t="n"/>
      <c r="Y273" s="92" t="n"/>
      <c r="Z273" s="92" t="n"/>
      <c r="AA273" s="92" t="n"/>
      <c r="AB273" s="92" t="n"/>
      <c r="AC273" s="92" t="n"/>
      <c r="AD273" s="92" t="n"/>
      <c r="AE273" s="92" t="n"/>
      <c r="AF273" s="92" t="n"/>
      <c r="AG273" s="92" t="n"/>
      <c r="AH273" s="92" t="n"/>
      <c r="AI273" s="92" t="n"/>
      <c r="AJ273" s="92" t="n"/>
      <c r="AK273" s="92" t="n"/>
      <c r="AL273" s="92" t="n"/>
      <c r="AM273" s="92" t="n"/>
      <c r="AN273" s="92" t="n"/>
      <c r="AO273" s="92" t="n"/>
      <c r="AP273" s="92" t="n"/>
      <c r="AQ273" s="92" t="n"/>
      <c r="AR273" s="92" t="n"/>
      <c r="AS273" s="92" t="n"/>
      <c r="AT273" s="92" t="n"/>
      <c r="AU273" s="92" t="n"/>
      <c r="AV273" s="92" t="n"/>
      <c r="AX273" s="139" t="inlineStr"/>
      <c r="AY273" s="139" t="inlineStr"/>
      <c r="AZ273" s="92" t="n"/>
    </row>
    <row r="274" ht="16.5" customFormat="1" customHeight="1" s="56">
      <c r="A274" s="92" t="n"/>
      <c r="B274" s="92" t="n"/>
      <c r="C274" s="92" t="n"/>
      <c r="D274" s="92" t="n"/>
      <c r="E274" s="92" t="n"/>
      <c r="F274" s="92" t="n"/>
      <c r="G274" s="92" t="n"/>
      <c r="H274" s="92" t="n"/>
      <c r="I274" s="92" t="n"/>
      <c r="J274" s="92" t="n"/>
      <c r="K274" s="92" t="n"/>
      <c r="L274" s="92" t="n"/>
      <c r="M274" s="92" t="n"/>
      <c r="N274" s="92" t="n"/>
      <c r="O274" s="92" t="n"/>
      <c r="P274" s="92" t="n"/>
      <c r="Q274" s="92" t="n"/>
      <c r="R274" s="92" t="n"/>
      <c r="S274" s="92" t="n"/>
      <c r="T274" s="92" t="n"/>
      <c r="U274" s="92" t="n"/>
      <c r="V274" s="92" t="n"/>
      <c r="W274" s="92" t="n"/>
      <c r="X274" s="92" t="n"/>
      <c r="Y274" s="92" t="n"/>
      <c r="Z274" s="92" t="n"/>
      <c r="AA274" s="92" t="n"/>
      <c r="AB274" s="92" t="n"/>
      <c r="AC274" s="92" t="n"/>
      <c r="AD274" s="92" t="n"/>
      <c r="AE274" s="92" t="n"/>
      <c r="AF274" s="92" t="n"/>
      <c r="AG274" s="92" t="n"/>
      <c r="AH274" s="92" t="n"/>
      <c r="AI274" s="92" t="n"/>
      <c r="AJ274" s="92" t="n"/>
      <c r="AK274" s="92" t="n"/>
      <c r="AL274" s="92" t="n"/>
      <c r="AM274" s="92" t="n"/>
      <c r="AN274" s="92" t="n"/>
      <c r="AO274" s="92" t="n"/>
      <c r="AP274" s="92" t="n"/>
      <c r="AQ274" s="92" t="n"/>
      <c r="AR274" s="92" t="n"/>
      <c r="AS274" s="92" t="n"/>
      <c r="AT274" s="92" t="n"/>
      <c r="AU274" s="92" t="n"/>
      <c r="AV274" s="92" t="n"/>
      <c r="AX274" s="139" t="inlineStr"/>
      <c r="AY274" s="139" t="inlineStr"/>
      <c r="AZ274" s="92" t="n"/>
    </row>
    <row r="275" ht="16.5" customFormat="1" customHeight="1" s="56">
      <c r="A275" s="92" t="n"/>
      <c r="B275" s="92" t="n"/>
      <c r="C275" s="92" t="n"/>
      <c r="D275" s="92" t="n"/>
      <c r="E275" s="92" t="n"/>
      <c r="F275" s="92" t="n"/>
      <c r="G275" s="92" t="n"/>
      <c r="H275" s="92" t="n"/>
      <c r="I275" s="92" t="n"/>
      <c r="J275" s="92" t="n"/>
      <c r="K275" s="92" t="n"/>
      <c r="L275" s="92" t="n"/>
      <c r="M275" s="92" t="n"/>
      <c r="N275" s="92" t="n"/>
      <c r="O275" s="92" t="n"/>
      <c r="P275" s="92" t="n"/>
      <c r="Q275" s="92" t="n"/>
      <c r="R275" s="92" t="n"/>
      <c r="S275" s="92" t="n"/>
      <c r="T275" s="92" t="n"/>
      <c r="U275" s="92" t="n"/>
      <c r="V275" s="92" t="n"/>
      <c r="W275" s="92" t="n"/>
      <c r="X275" s="92" t="n"/>
      <c r="Y275" s="92" t="n"/>
      <c r="Z275" s="92" t="n"/>
      <c r="AA275" s="92" t="n"/>
      <c r="AB275" s="92" t="n"/>
      <c r="AC275" s="92" t="n"/>
      <c r="AD275" s="92" t="n"/>
      <c r="AE275" s="92" t="n"/>
      <c r="AF275" s="92" t="n"/>
      <c r="AG275" s="92" t="n"/>
      <c r="AH275" s="92" t="n"/>
      <c r="AI275" s="92" t="n"/>
      <c r="AJ275" s="92" t="n"/>
      <c r="AK275" s="92" t="n"/>
      <c r="AL275" s="92" t="n"/>
      <c r="AM275" s="92" t="n"/>
      <c r="AN275" s="92" t="n"/>
      <c r="AO275" s="92" t="n"/>
      <c r="AP275" s="92" t="n"/>
      <c r="AQ275" s="92" t="n"/>
      <c r="AR275" s="92" t="n"/>
      <c r="AS275" s="92" t="n"/>
      <c r="AT275" s="92" t="n"/>
      <c r="AU275" s="92" t="n"/>
      <c r="AV275" s="92" t="n"/>
      <c r="AX275" s="139" t="inlineStr"/>
      <c r="AY275" s="139" t="inlineStr"/>
      <c r="AZ275" s="92" t="n"/>
    </row>
    <row r="276" ht="16.5" customFormat="1" customHeight="1" s="56">
      <c r="A276" s="92" t="n"/>
      <c r="B276" s="92" t="n"/>
      <c r="C276" s="92" t="n"/>
      <c r="D276" s="92" t="n"/>
      <c r="E276" s="92" t="n"/>
      <c r="F276" s="92" t="n"/>
      <c r="G276" s="92" t="n"/>
      <c r="H276" s="92" t="n"/>
      <c r="I276" s="92" t="n"/>
      <c r="J276" s="92" t="n"/>
      <c r="K276" s="92" t="n"/>
      <c r="L276" s="92" t="n"/>
      <c r="M276" s="92" t="n"/>
      <c r="N276" s="92" t="n"/>
      <c r="O276" s="92" t="n"/>
      <c r="P276" s="92" t="n"/>
      <c r="Q276" s="92" t="n"/>
      <c r="R276" s="92" t="n"/>
      <c r="S276" s="92" t="n"/>
      <c r="T276" s="92" t="n"/>
      <c r="U276" s="92" t="n"/>
      <c r="V276" s="92" t="n"/>
      <c r="W276" s="92" t="n"/>
      <c r="X276" s="92" t="n"/>
      <c r="Y276" s="92" t="n"/>
      <c r="Z276" s="92" t="n"/>
      <c r="AA276" s="92" t="n"/>
      <c r="AB276" s="92" t="n"/>
      <c r="AC276" s="92" t="n"/>
      <c r="AD276" s="92" t="n"/>
      <c r="AE276" s="92" t="n"/>
      <c r="AF276" s="92" t="n"/>
      <c r="AG276" s="92" t="n"/>
      <c r="AH276" s="92" t="n"/>
      <c r="AI276" s="92" t="n"/>
      <c r="AJ276" s="92" t="n"/>
      <c r="AK276" s="92" t="n"/>
      <c r="AL276" s="92" t="n"/>
      <c r="AM276" s="92" t="n"/>
      <c r="AN276" s="92" t="n"/>
      <c r="AO276" s="92" t="n"/>
      <c r="AP276" s="92" t="n"/>
      <c r="AQ276" s="92" t="n"/>
      <c r="AR276" s="92" t="n"/>
      <c r="AS276" s="92" t="n"/>
      <c r="AT276" s="92" t="n"/>
      <c r="AU276" s="92" t="n"/>
      <c r="AV276" s="92" t="n"/>
      <c r="AX276" s="139" t="inlineStr"/>
      <c r="AY276" s="139" t="inlineStr"/>
      <c r="AZ276" s="92" t="n"/>
    </row>
    <row r="277" ht="16.5" customFormat="1" customHeight="1" s="56">
      <c r="A277" s="92" t="n"/>
      <c r="B277" s="92" t="n"/>
      <c r="C277" s="92" t="n"/>
      <c r="D277" s="92" t="n"/>
      <c r="E277" s="92" t="n"/>
      <c r="F277" s="92" t="n"/>
      <c r="G277" s="92" t="n"/>
      <c r="H277" s="92" t="n"/>
      <c r="I277" s="92" t="n"/>
      <c r="J277" s="92" t="n"/>
      <c r="K277" s="92" t="n"/>
      <c r="L277" s="92" t="n"/>
      <c r="M277" s="92" t="n"/>
      <c r="N277" s="92" t="n"/>
      <c r="O277" s="92" t="n"/>
      <c r="P277" s="92" t="n"/>
      <c r="Q277" s="92" t="n"/>
      <c r="R277" s="92" t="n"/>
      <c r="S277" s="92" t="n"/>
      <c r="T277" s="92" t="n"/>
      <c r="U277" s="92" t="n"/>
      <c r="V277" s="92" t="n"/>
      <c r="W277" s="92" t="n"/>
      <c r="X277" s="92" t="n"/>
      <c r="Y277" s="92" t="n"/>
      <c r="Z277" s="92" t="n"/>
      <c r="AA277" s="92" t="n"/>
      <c r="AB277" s="92" t="n"/>
      <c r="AC277" s="92" t="n"/>
      <c r="AD277" s="92" t="n"/>
      <c r="AE277" s="92" t="n"/>
      <c r="AF277" s="92" t="n"/>
      <c r="AG277" s="92" t="n"/>
      <c r="AH277" s="92" t="n"/>
      <c r="AI277" s="92" t="n"/>
      <c r="AJ277" s="92" t="n"/>
      <c r="AK277" s="92" t="n"/>
      <c r="AL277" s="92" t="n"/>
      <c r="AM277" s="92" t="n"/>
      <c r="AN277" s="92" t="n"/>
      <c r="AO277" s="92" t="n"/>
      <c r="AP277" s="92" t="n"/>
      <c r="AQ277" s="92" t="n"/>
      <c r="AR277" s="92" t="n"/>
      <c r="AS277" s="92" t="n"/>
      <c r="AT277" s="92" t="n"/>
      <c r="AU277" s="92" t="n"/>
      <c r="AV277" s="92" t="n"/>
      <c r="AX277" s="139" t="inlineStr"/>
      <c r="AY277" s="139" t="inlineStr"/>
      <c r="AZ277" s="92" t="n"/>
    </row>
    <row r="278" ht="16.5" customFormat="1" customHeight="1" s="56">
      <c r="A278" s="92" t="n"/>
      <c r="B278" s="92" t="n"/>
      <c r="C278" s="92" t="n"/>
      <c r="D278" s="92" t="n"/>
      <c r="E278" s="92" t="n"/>
      <c r="F278" s="92" t="n"/>
      <c r="G278" s="92" t="n"/>
      <c r="H278" s="92" t="n"/>
      <c r="I278" s="92" t="n"/>
      <c r="J278" s="92" t="n"/>
      <c r="K278" s="92" t="n"/>
      <c r="L278" s="92" t="n"/>
      <c r="M278" s="92" t="n"/>
      <c r="N278" s="92" t="n"/>
      <c r="O278" s="92" t="n"/>
      <c r="P278" s="92" t="n"/>
      <c r="Q278" s="92" t="n"/>
      <c r="R278" s="92" t="n"/>
      <c r="S278" s="92" t="n"/>
      <c r="T278" s="92" t="n"/>
      <c r="U278" s="92" t="n"/>
      <c r="V278" s="92" t="n"/>
      <c r="W278" s="92" t="n"/>
      <c r="X278" s="92" t="n"/>
      <c r="Y278" s="92" t="n"/>
      <c r="Z278" s="92" t="n"/>
      <c r="AA278" s="92" t="n"/>
      <c r="AB278" s="92" t="n"/>
      <c r="AC278" s="92" t="n"/>
      <c r="AD278" s="92" t="n"/>
      <c r="AE278" s="92" t="n"/>
      <c r="AF278" s="92" t="n"/>
      <c r="AG278" s="92" t="n"/>
      <c r="AH278" s="92" t="n"/>
      <c r="AI278" s="92" t="n"/>
      <c r="AJ278" s="92" t="n"/>
      <c r="AK278" s="92" t="n"/>
      <c r="AL278" s="92" t="n"/>
      <c r="AM278" s="92" t="n"/>
      <c r="AN278" s="92" t="n"/>
      <c r="AO278" s="92" t="n"/>
      <c r="AP278" s="92" t="n"/>
      <c r="AQ278" s="92" t="n"/>
      <c r="AR278" s="92" t="n"/>
      <c r="AS278" s="92" t="n"/>
      <c r="AT278" s="92" t="n"/>
      <c r="AU278" s="92" t="n"/>
      <c r="AV278" s="92" t="n"/>
      <c r="AX278" s="139" t="inlineStr"/>
      <c r="AY278" s="139" t="inlineStr"/>
      <c r="AZ278" s="92" t="n"/>
    </row>
    <row r="279" ht="16.5" customFormat="1" customHeight="1" s="56">
      <c r="A279" s="92" t="n"/>
      <c r="B279" s="92" t="n"/>
      <c r="C279" s="92" t="n"/>
      <c r="D279" s="92" t="n"/>
      <c r="E279" s="92" t="n"/>
      <c r="F279" s="92" t="n"/>
      <c r="G279" s="92" t="n"/>
      <c r="H279" s="92" t="n"/>
      <c r="I279" s="92" t="n"/>
      <c r="J279" s="92" t="n"/>
      <c r="K279" s="92" t="n"/>
      <c r="L279" s="92" t="n"/>
      <c r="M279" s="92" t="n"/>
      <c r="N279" s="92" t="n"/>
      <c r="O279" s="92" t="n"/>
      <c r="P279" s="92" t="n"/>
      <c r="Q279" s="92" t="n"/>
      <c r="R279" s="92" t="n"/>
      <c r="S279" s="92" t="n"/>
      <c r="T279" s="92" t="n"/>
      <c r="U279" s="92" t="n"/>
      <c r="V279" s="92" t="n"/>
      <c r="W279" s="92" t="n"/>
      <c r="X279" s="92" t="n"/>
      <c r="Y279" s="92" t="n"/>
      <c r="Z279" s="92" t="n"/>
      <c r="AA279" s="92" t="n"/>
      <c r="AB279" s="92" t="n"/>
      <c r="AC279" s="92" t="n"/>
      <c r="AD279" s="92" t="n"/>
      <c r="AE279" s="92" t="n"/>
      <c r="AF279" s="92" t="n"/>
      <c r="AG279" s="92" t="n"/>
      <c r="AH279" s="92" t="n"/>
      <c r="AI279" s="92" t="n"/>
      <c r="AJ279" s="92" t="n"/>
      <c r="AK279" s="92" t="n"/>
      <c r="AL279" s="92" t="n"/>
      <c r="AM279" s="92" t="n"/>
      <c r="AN279" s="92" t="n"/>
      <c r="AO279" s="92" t="n"/>
      <c r="AP279" s="92" t="n"/>
      <c r="AQ279" s="92" t="n"/>
      <c r="AR279" s="92" t="n"/>
      <c r="AS279" s="92" t="n"/>
      <c r="AT279" s="92" t="n"/>
      <c r="AU279" s="92" t="n"/>
      <c r="AV279" s="92" t="n"/>
      <c r="AX279" s="139" t="inlineStr"/>
      <c r="AY279" s="139" t="inlineStr"/>
      <c r="AZ279" s="92" t="n"/>
    </row>
    <row r="280" ht="16.5" customFormat="1" customHeight="1" s="56">
      <c r="A280" s="92" t="n"/>
      <c r="B280" s="92" t="n"/>
      <c r="C280" s="92" t="n"/>
      <c r="D280" s="92" t="n"/>
      <c r="E280" s="92" t="n"/>
      <c r="F280" s="92" t="n"/>
      <c r="G280" s="92" t="n"/>
      <c r="H280" s="92" t="n"/>
      <c r="I280" s="92" t="n"/>
      <c r="J280" s="92" t="n"/>
      <c r="K280" s="92" t="n"/>
      <c r="L280" s="92" t="n"/>
      <c r="M280" s="92" t="n"/>
      <c r="N280" s="92" t="n"/>
      <c r="O280" s="92" t="n"/>
      <c r="P280" s="92" t="n"/>
      <c r="Q280" s="92" t="n"/>
      <c r="R280" s="92" t="n"/>
      <c r="S280" s="92" t="n"/>
      <c r="T280" s="92" t="n"/>
      <c r="U280" s="92" t="n"/>
      <c r="V280" s="92" t="n"/>
      <c r="W280" s="92" t="n"/>
      <c r="X280" s="92" t="n"/>
      <c r="Y280" s="92" t="n"/>
      <c r="Z280" s="92" t="n"/>
      <c r="AA280" s="92" t="n"/>
      <c r="AB280" s="92" t="n"/>
      <c r="AC280" s="92" t="n"/>
      <c r="AD280" s="92" t="n"/>
      <c r="AE280" s="92" t="n"/>
      <c r="AF280" s="92" t="n"/>
      <c r="AG280" s="92" t="n"/>
      <c r="AH280" s="92" t="n"/>
      <c r="AI280" s="92" t="n"/>
      <c r="AJ280" s="92" t="n"/>
      <c r="AK280" s="92" t="n"/>
      <c r="AL280" s="92" t="n"/>
      <c r="AM280" s="92" t="n"/>
      <c r="AN280" s="92" t="n"/>
      <c r="AO280" s="92" t="n"/>
      <c r="AP280" s="92" t="n"/>
      <c r="AQ280" s="92" t="n"/>
      <c r="AR280" s="92" t="n"/>
      <c r="AS280" s="92" t="n"/>
      <c r="AT280" s="92" t="n"/>
      <c r="AU280" s="92" t="n"/>
      <c r="AV280" s="92" t="n"/>
      <c r="AX280" s="139" t="inlineStr"/>
      <c r="AY280" s="139" t="inlineStr"/>
      <c r="AZ280" s="92" t="n"/>
    </row>
    <row r="281" ht="16.5" customFormat="1" customHeight="1" s="56">
      <c r="A281" s="92" t="n"/>
      <c r="B281" s="92" t="n"/>
      <c r="C281" s="92" t="n"/>
      <c r="D281" s="92" t="n"/>
      <c r="E281" s="92" t="n"/>
      <c r="F281" s="92" t="n"/>
      <c r="G281" s="92" t="n"/>
      <c r="H281" s="92" t="n"/>
      <c r="I281" s="92" t="n"/>
      <c r="J281" s="92" t="n"/>
      <c r="K281" s="92" t="n"/>
      <c r="L281" s="92" t="n"/>
      <c r="M281" s="92" t="n"/>
      <c r="N281" s="92" t="n"/>
      <c r="O281" s="92" t="n"/>
      <c r="P281" s="92" t="n"/>
      <c r="Q281" s="92" t="n"/>
      <c r="R281" s="92" t="n"/>
      <c r="S281" s="92" t="n"/>
      <c r="T281" s="92" t="n"/>
      <c r="U281" s="92" t="n"/>
      <c r="V281" s="92" t="n"/>
      <c r="W281" s="92" t="n"/>
      <c r="X281" s="92" t="n"/>
      <c r="Y281" s="92" t="n"/>
      <c r="Z281" s="92" t="n"/>
      <c r="AA281" s="92" t="n"/>
      <c r="AB281" s="92" t="n"/>
      <c r="AC281" s="92" t="n"/>
      <c r="AD281" s="92" t="n"/>
      <c r="AE281" s="92" t="n"/>
      <c r="AF281" s="92" t="n"/>
      <c r="AG281" s="92" t="n"/>
      <c r="AH281" s="92" t="n"/>
      <c r="AI281" s="92" t="n"/>
      <c r="AJ281" s="92" t="n"/>
      <c r="AK281" s="92" t="n"/>
      <c r="AL281" s="92" t="n"/>
      <c r="AM281" s="92" t="n"/>
      <c r="AN281" s="92" t="n"/>
      <c r="AO281" s="92" t="n"/>
      <c r="AP281" s="92" t="n"/>
      <c r="AQ281" s="92" t="n"/>
      <c r="AR281" s="92" t="n"/>
      <c r="AS281" s="92" t="n"/>
      <c r="AT281" s="92" t="n"/>
      <c r="AU281" s="92" t="n"/>
      <c r="AV281" s="92" t="n"/>
      <c r="AX281" s="139" t="inlineStr"/>
      <c r="AY281" s="139" t="inlineStr"/>
      <c r="AZ281" s="92" t="n"/>
    </row>
    <row r="282" ht="16.5" customFormat="1" customHeight="1" s="56">
      <c r="A282" s="92" t="n"/>
      <c r="B282" s="92" t="n"/>
      <c r="C282" s="92" t="n"/>
      <c r="D282" s="92" t="n"/>
      <c r="E282" s="92" t="n"/>
      <c r="F282" s="92" t="n"/>
      <c r="G282" s="92" t="n"/>
      <c r="H282" s="92" t="n"/>
      <c r="I282" s="92" t="n"/>
      <c r="J282" s="92" t="n"/>
      <c r="K282" s="92" t="n"/>
      <c r="L282" s="92" t="n"/>
      <c r="M282" s="92" t="n"/>
      <c r="N282" s="92" t="n"/>
      <c r="O282" s="92" t="n"/>
      <c r="P282" s="92" t="n"/>
      <c r="Q282" s="92" t="n"/>
      <c r="R282" s="92" t="n"/>
      <c r="S282" s="92" t="n"/>
      <c r="T282" s="92" t="n"/>
      <c r="U282" s="92" t="n"/>
      <c r="V282" s="92" t="n"/>
      <c r="W282" s="92" t="n"/>
      <c r="X282" s="92" t="n"/>
      <c r="Y282" s="92" t="n"/>
      <c r="Z282" s="92" t="n"/>
      <c r="AA282" s="92" t="n"/>
      <c r="AB282" s="92" t="n"/>
      <c r="AC282" s="92" t="n"/>
      <c r="AD282" s="92" t="n"/>
      <c r="AE282" s="92" t="n"/>
      <c r="AF282" s="92" t="n"/>
      <c r="AG282" s="92" t="n"/>
      <c r="AH282" s="92" t="n"/>
      <c r="AI282" s="92" t="n"/>
      <c r="AJ282" s="92" t="n"/>
      <c r="AK282" s="92" t="n"/>
      <c r="AL282" s="92" t="n"/>
      <c r="AM282" s="92" t="n"/>
      <c r="AN282" s="92" t="n"/>
      <c r="AO282" s="92" t="n"/>
      <c r="AP282" s="92" t="n"/>
      <c r="AQ282" s="92" t="n"/>
      <c r="AR282" s="92" t="n"/>
      <c r="AS282" s="92" t="n"/>
      <c r="AT282" s="92" t="n"/>
      <c r="AU282" s="92" t="n"/>
      <c r="AV282" s="92" t="n"/>
      <c r="AX282" s="139" t="inlineStr"/>
      <c r="AY282" s="139" t="inlineStr"/>
      <c r="AZ282" s="92" t="n"/>
    </row>
    <row r="283" ht="16.5" customFormat="1" customHeight="1" s="56">
      <c r="A283" s="92" t="n"/>
      <c r="B283" s="92" t="n"/>
      <c r="C283" s="92" t="n"/>
      <c r="D283" s="92" t="n"/>
      <c r="E283" s="92" t="n"/>
      <c r="F283" s="92" t="n"/>
      <c r="G283" s="92" t="n"/>
      <c r="H283" s="92" t="n"/>
      <c r="I283" s="92" t="n"/>
      <c r="J283" s="92" t="n"/>
      <c r="K283" s="92" t="n"/>
      <c r="L283" s="92" t="n"/>
      <c r="M283" s="92" t="n"/>
      <c r="N283" s="92" t="n"/>
      <c r="O283" s="92" t="n"/>
      <c r="P283" s="92" t="n"/>
      <c r="Q283" s="92" t="n"/>
      <c r="R283" s="92" t="n"/>
      <c r="S283" s="92" t="n"/>
      <c r="T283" s="92" t="n"/>
      <c r="U283" s="92" t="n"/>
      <c r="V283" s="92" t="n"/>
      <c r="W283" s="92" t="n"/>
      <c r="X283" s="92" t="n"/>
      <c r="Y283" s="92" t="n"/>
      <c r="Z283" s="92" t="n"/>
      <c r="AA283" s="92" t="n"/>
      <c r="AB283" s="92" t="n"/>
      <c r="AC283" s="92" t="n"/>
      <c r="AD283" s="92" t="n"/>
      <c r="AE283" s="92" t="n"/>
      <c r="AF283" s="92" t="n"/>
      <c r="AG283" s="92" t="n"/>
      <c r="AH283" s="92" t="n"/>
      <c r="AI283" s="92" t="n"/>
      <c r="AJ283" s="92" t="n"/>
      <c r="AK283" s="92" t="n"/>
      <c r="AL283" s="92" t="n"/>
      <c r="AM283" s="92" t="n"/>
      <c r="AN283" s="92" t="n"/>
      <c r="AO283" s="92" t="n"/>
      <c r="AP283" s="92" t="n"/>
      <c r="AQ283" s="92" t="n"/>
      <c r="AR283" s="92" t="n"/>
      <c r="AS283" s="92" t="n"/>
      <c r="AT283" s="92" t="n"/>
      <c r="AU283" s="92" t="n"/>
      <c r="AV283" s="92" t="n"/>
      <c r="AX283" s="139" t="inlineStr"/>
      <c r="AY283" s="139" t="inlineStr"/>
      <c r="AZ283" s="92" t="n"/>
    </row>
    <row r="284" ht="16.5" customFormat="1" customHeight="1" s="56">
      <c r="A284" s="92" t="n"/>
      <c r="B284" s="92" t="n"/>
      <c r="C284" s="92" t="n"/>
      <c r="D284" s="92" t="n"/>
      <c r="E284" s="92" t="n"/>
      <c r="F284" s="92" t="n"/>
      <c r="G284" s="92" t="n"/>
      <c r="H284" s="92" t="n"/>
      <c r="I284" s="92" t="n"/>
      <c r="J284" s="92" t="n"/>
      <c r="K284" s="92" t="n"/>
      <c r="L284" s="92" t="n"/>
      <c r="M284" s="92" t="n"/>
      <c r="N284" s="92" t="n"/>
      <c r="O284" s="92" t="n"/>
      <c r="P284" s="92" t="n"/>
      <c r="Q284" s="92" t="n"/>
      <c r="R284" s="92" t="n"/>
      <c r="S284" s="92" t="n"/>
      <c r="T284" s="92" t="n"/>
      <c r="U284" s="92" t="n"/>
      <c r="V284" s="92" t="n"/>
      <c r="W284" s="92" t="n"/>
      <c r="X284" s="92" t="n"/>
      <c r="Y284" s="92" t="n"/>
      <c r="Z284" s="92" t="n"/>
      <c r="AA284" s="92" t="n"/>
      <c r="AB284" s="92" t="n"/>
      <c r="AC284" s="92" t="n"/>
      <c r="AD284" s="92" t="n"/>
      <c r="AE284" s="92" t="n"/>
      <c r="AF284" s="92" t="n"/>
      <c r="AG284" s="92" t="n"/>
      <c r="AH284" s="92" t="n"/>
      <c r="AI284" s="92" t="n"/>
      <c r="AJ284" s="92" t="n"/>
      <c r="AK284" s="92" t="n"/>
      <c r="AL284" s="92" t="n"/>
      <c r="AM284" s="92" t="n"/>
      <c r="AN284" s="92" t="n"/>
      <c r="AO284" s="92" t="n"/>
      <c r="AP284" s="92" t="n"/>
      <c r="AQ284" s="92" t="n"/>
      <c r="AR284" s="92" t="n"/>
      <c r="AS284" s="92" t="n"/>
      <c r="AT284" s="92" t="n"/>
      <c r="AU284" s="92" t="n"/>
      <c r="AV284" s="92" t="n"/>
      <c r="AX284" s="139" t="inlineStr"/>
      <c r="AY284" s="139" t="inlineStr"/>
      <c r="AZ284" s="92" t="n"/>
    </row>
    <row r="285" ht="16.5" customFormat="1" customHeight="1" s="56">
      <c r="A285" s="92" t="n"/>
      <c r="B285" s="92" t="n"/>
      <c r="C285" s="92" t="n"/>
      <c r="D285" s="92" t="n"/>
      <c r="E285" s="92" t="n"/>
      <c r="F285" s="92" t="n"/>
      <c r="G285" s="92" t="n"/>
      <c r="H285" s="92" t="n"/>
      <c r="I285" s="92" t="n"/>
      <c r="J285" s="92" t="n"/>
      <c r="K285" s="92" t="n"/>
      <c r="L285" s="92" t="n"/>
      <c r="M285" s="92" t="n"/>
      <c r="N285" s="92" t="n"/>
      <c r="O285" s="92" t="n"/>
      <c r="P285" s="92" t="n"/>
      <c r="Q285" s="92" t="n"/>
      <c r="R285" s="92" t="n"/>
      <c r="S285" s="92" t="n"/>
      <c r="T285" s="92" t="n"/>
      <c r="U285" s="92" t="n"/>
      <c r="V285" s="92" t="n"/>
      <c r="W285" s="92" t="n"/>
      <c r="X285" s="92" t="n"/>
      <c r="Y285" s="92" t="n"/>
      <c r="Z285" s="92" t="n"/>
      <c r="AA285" s="92" t="n"/>
      <c r="AB285" s="92" t="n"/>
      <c r="AC285" s="92" t="n"/>
      <c r="AD285" s="92" t="n"/>
      <c r="AE285" s="92" t="n"/>
      <c r="AF285" s="92" t="n"/>
      <c r="AG285" s="92" t="n"/>
      <c r="AH285" s="92" t="n"/>
      <c r="AI285" s="92" t="n"/>
      <c r="AJ285" s="92" t="n"/>
      <c r="AK285" s="92" t="n"/>
      <c r="AL285" s="92" t="n"/>
      <c r="AM285" s="92" t="n"/>
      <c r="AN285" s="92" t="n"/>
      <c r="AO285" s="92" t="n"/>
      <c r="AP285" s="92" t="n"/>
      <c r="AQ285" s="92" t="n"/>
      <c r="AR285" s="92" t="n"/>
      <c r="AS285" s="92" t="n"/>
      <c r="AT285" s="92" t="n"/>
      <c r="AU285" s="92" t="n"/>
      <c r="AV285" s="92" t="n"/>
      <c r="AX285" s="139" t="inlineStr"/>
      <c r="AY285" s="139" t="inlineStr"/>
      <c r="AZ285" s="92" t="n"/>
    </row>
    <row r="286" ht="16.5" customFormat="1" customHeight="1" s="56">
      <c r="A286" s="92" t="n"/>
      <c r="B286" s="92" t="n"/>
      <c r="C286" s="92" t="n"/>
      <c r="D286" s="92" t="n"/>
      <c r="E286" s="92" t="n"/>
      <c r="F286" s="92" t="n"/>
      <c r="G286" s="92" t="n"/>
      <c r="H286" s="92" t="n"/>
      <c r="I286" s="92" t="n"/>
      <c r="J286" s="92" t="n"/>
      <c r="K286" s="92" t="n"/>
      <c r="L286" s="92" t="n"/>
      <c r="M286" s="92" t="n"/>
      <c r="N286" s="92" t="n"/>
      <c r="O286" s="92" t="n"/>
      <c r="P286" s="92" t="n"/>
      <c r="Q286" s="92" t="n"/>
      <c r="R286" s="92" t="n"/>
      <c r="S286" s="92" t="n"/>
      <c r="T286" s="92" t="n"/>
      <c r="U286" s="92" t="n"/>
      <c r="V286" s="92" t="n"/>
      <c r="W286" s="92" t="n"/>
      <c r="X286" s="92" t="n"/>
      <c r="Y286" s="92" t="n"/>
      <c r="Z286" s="92" t="n"/>
      <c r="AA286" s="92" t="n"/>
      <c r="AB286" s="92" t="n"/>
      <c r="AC286" s="92" t="n"/>
      <c r="AD286" s="92" t="n"/>
      <c r="AE286" s="92" t="n"/>
      <c r="AF286" s="92" t="n"/>
      <c r="AG286" s="92" t="n"/>
      <c r="AH286" s="92" t="n"/>
      <c r="AI286" s="92" t="n"/>
      <c r="AJ286" s="92" t="n"/>
      <c r="AK286" s="92" t="n"/>
      <c r="AL286" s="92" t="n"/>
      <c r="AM286" s="92" t="n"/>
      <c r="AN286" s="92" t="n"/>
      <c r="AO286" s="92" t="n"/>
      <c r="AP286" s="92" t="n"/>
      <c r="AQ286" s="92" t="n"/>
      <c r="AR286" s="92" t="n"/>
      <c r="AS286" s="92" t="n"/>
      <c r="AT286" s="92" t="n"/>
      <c r="AU286" s="92" t="n"/>
      <c r="AV286" s="92" t="n"/>
      <c r="AX286" s="139" t="inlineStr"/>
      <c r="AY286" s="139" t="inlineStr"/>
      <c r="AZ286" s="92" t="n"/>
    </row>
    <row r="287" ht="16.5" customFormat="1" customHeight="1" s="56">
      <c r="A287" s="92" t="n"/>
      <c r="B287" s="92" t="n"/>
      <c r="C287" s="92" t="n"/>
      <c r="D287" s="92" t="n"/>
      <c r="E287" s="92" t="n"/>
      <c r="F287" s="92" t="n"/>
      <c r="G287" s="92" t="n"/>
      <c r="H287" s="92" t="n"/>
      <c r="I287" s="92" t="n"/>
      <c r="J287" s="92" t="n"/>
      <c r="K287" s="92" t="n"/>
      <c r="L287" s="92" t="n"/>
      <c r="M287" s="92" t="n"/>
      <c r="N287" s="92" t="n"/>
      <c r="O287" s="92" t="n"/>
      <c r="P287" s="92" t="n"/>
      <c r="Q287" s="92" t="n"/>
      <c r="R287" s="92" t="n"/>
      <c r="S287" s="92" t="n"/>
      <c r="T287" s="92" t="n"/>
      <c r="U287" s="92" t="n"/>
      <c r="V287" s="92" t="n"/>
      <c r="W287" s="92" t="n"/>
      <c r="X287" s="92" t="n"/>
      <c r="Y287" s="92" t="n"/>
      <c r="Z287" s="92" t="n"/>
      <c r="AA287" s="92" t="n"/>
      <c r="AB287" s="92" t="n"/>
      <c r="AC287" s="92" t="n"/>
      <c r="AD287" s="92" t="n"/>
      <c r="AE287" s="92" t="n"/>
      <c r="AF287" s="92" t="n"/>
      <c r="AG287" s="92" t="n"/>
      <c r="AH287" s="92" t="n"/>
      <c r="AI287" s="92" t="n"/>
      <c r="AJ287" s="92" t="n"/>
      <c r="AK287" s="92" t="n"/>
      <c r="AL287" s="92" t="n"/>
      <c r="AM287" s="92" t="n"/>
      <c r="AN287" s="92" t="n"/>
      <c r="AO287" s="92" t="n"/>
      <c r="AP287" s="92" t="n"/>
      <c r="AQ287" s="92" t="n"/>
      <c r="AR287" s="92" t="n"/>
      <c r="AS287" s="92" t="n"/>
      <c r="AT287" s="92" t="n"/>
      <c r="AU287" s="92" t="n"/>
      <c r="AV287" s="92" t="n"/>
      <c r="AX287" s="139" t="inlineStr"/>
      <c r="AY287" s="139" t="inlineStr"/>
      <c r="AZ287" s="92" t="n"/>
    </row>
    <row r="288" ht="16.5" customFormat="1" customHeight="1" s="56">
      <c r="A288" s="92" t="n"/>
      <c r="B288" s="92" t="n"/>
      <c r="C288" s="92" t="n"/>
      <c r="D288" s="92" t="n"/>
      <c r="E288" s="92" t="n"/>
      <c r="F288" s="92" t="n"/>
      <c r="G288" s="92" t="n"/>
      <c r="H288" s="92" t="n"/>
      <c r="I288" s="92" t="n"/>
      <c r="J288" s="92" t="n"/>
      <c r="K288" s="92" t="n"/>
      <c r="L288" s="92" t="n"/>
      <c r="M288" s="92" t="n"/>
      <c r="N288" s="92" t="n"/>
      <c r="O288" s="92" t="n"/>
      <c r="P288" s="92" t="n"/>
      <c r="Q288" s="92" t="n"/>
      <c r="R288" s="92" t="n"/>
      <c r="S288" s="92" t="n"/>
      <c r="T288" s="92" t="n"/>
      <c r="U288" s="92" t="n"/>
      <c r="V288" s="92" t="n"/>
      <c r="W288" s="92" t="n"/>
      <c r="X288" s="92" t="n"/>
      <c r="Y288" s="92" t="n"/>
      <c r="Z288" s="92" t="n"/>
      <c r="AA288" s="92" t="n"/>
      <c r="AB288" s="92" t="n"/>
      <c r="AC288" s="92" t="n"/>
      <c r="AD288" s="92" t="n"/>
      <c r="AE288" s="92" t="n"/>
      <c r="AF288" s="92" t="n"/>
      <c r="AG288" s="92" t="n"/>
      <c r="AH288" s="92" t="n"/>
      <c r="AI288" s="92" t="n"/>
      <c r="AJ288" s="92" t="n"/>
      <c r="AK288" s="92" t="n"/>
      <c r="AL288" s="92" t="n"/>
      <c r="AM288" s="92" t="n"/>
      <c r="AN288" s="92" t="n"/>
      <c r="AO288" s="92" t="n"/>
      <c r="AP288" s="92" t="n"/>
      <c r="AQ288" s="92" t="n"/>
      <c r="AR288" s="92" t="n"/>
      <c r="AS288" s="92" t="n"/>
      <c r="AT288" s="92" t="n"/>
      <c r="AU288" s="92" t="n"/>
      <c r="AV288" s="92" t="n"/>
      <c r="AX288" s="139" t="inlineStr"/>
      <c r="AY288" s="139" t="inlineStr"/>
      <c r="AZ288" s="92" t="n"/>
    </row>
    <row r="289" ht="16.5" customFormat="1" customHeight="1" s="56">
      <c r="A289" s="92" t="n"/>
      <c r="B289" s="92" t="n"/>
      <c r="C289" s="92" t="n"/>
      <c r="D289" s="92" t="n"/>
      <c r="E289" s="92" t="n"/>
      <c r="F289" s="92" t="n"/>
      <c r="G289" s="92" t="n"/>
      <c r="H289" s="92" t="n"/>
      <c r="I289" s="92" t="n"/>
      <c r="J289" s="92" t="n"/>
      <c r="K289" s="92" t="n"/>
      <c r="L289" s="92" t="n"/>
      <c r="M289" s="92" t="n"/>
      <c r="N289" s="92" t="n"/>
      <c r="O289" s="92" t="n"/>
      <c r="P289" s="92" t="n"/>
      <c r="Q289" s="92" t="n"/>
      <c r="R289" s="92" t="n"/>
      <c r="S289" s="92" t="n"/>
      <c r="T289" s="92" t="n"/>
      <c r="U289" s="92" t="n"/>
      <c r="V289" s="92" t="n"/>
      <c r="W289" s="92" t="n"/>
      <c r="X289" s="92" t="n"/>
      <c r="Y289" s="92" t="n"/>
      <c r="Z289" s="92" t="n"/>
      <c r="AA289" s="92" t="n"/>
      <c r="AB289" s="92" t="n"/>
      <c r="AC289" s="92" t="n"/>
      <c r="AD289" s="92" t="n"/>
      <c r="AE289" s="92" t="n"/>
      <c r="AF289" s="92" t="n"/>
      <c r="AG289" s="92" t="n"/>
      <c r="AH289" s="92" t="n"/>
      <c r="AI289" s="92" t="n"/>
      <c r="AJ289" s="92" t="n"/>
      <c r="AK289" s="92" t="n"/>
      <c r="AL289" s="92" t="n"/>
      <c r="AM289" s="92" t="n"/>
      <c r="AN289" s="92" t="n"/>
      <c r="AO289" s="92" t="n"/>
      <c r="AP289" s="92" t="n"/>
      <c r="AQ289" s="92" t="n"/>
      <c r="AR289" s="92" t="n"/>
      <c r="AS289" s="92" t="n"/>
      <c r="AT289" s="92" t="n"/>
      <c r="AU289" s="92" t="n"/>
      <c r="AV289" s="92" t="n"/>
      <c r="AX289" s="139" t="inlineStr"/>
      <c r="AY289" s="139" t="inlineStr"/>
      <c r="AZ289" s="92" t="n"/>
    </row>
    <row r="290" ht="16.5" customFormat="1" customHeight="1" s="56">
      <c r="A290" s="92" t="n"/>
      <c r="B290" s="92" t="n"/>
      <c r="C290" s="92" t="n"/>
      <c r="D290" s="92" t="n"/>
      <c r="E290" s="92" t="n"/>
      <c r="F290" s="92" t="n"/>
      <c r="G290" s="92" t="n"/>
      <c r="H290" s="92" t="n"/>
      <c r="I290" s="92" t="n"/>
      <c r="J290" s="92" t="n"/>
      <c r="K290" s="92" t="n"/>
      <c r="L290" s="92" t="n"/>
      <c r="M290" s="92" t="n"/>
      <c r="N290" s="92" t="n"/>
      <c r="O290" s="92" t="n"/>
      <c r="P290" s="92" t="n"/>
      <c r="Q290" s="92" t="n"/>
      <c r="R290" s="92" t="n"/>
      <c r="S290" s="92" t="n"/>
      <c r="T290" s="92" t="n"/>
      <c r="U290" s="92" t="n"/>
      <c r="V290" s="92" t="n"/>
      <c r="W290" s="92" t="n"/>
      <c r="X290" s="92" t="n"/>
      <c r="Y290" s="92" t="n"/>
      <c r="Z290" s="92" t="n"/>
      <c r="AA290" s="92" t="n"/>
      <c r="AB290" s="92" t="n"/>
      <c r="AC290" s="92" t="n"/>
      <c r="AD290" s="92" t="n"/>
      <c r="AE290" s="92" t="n"/>
      <c r="AF290" s="92" t="n"/>
      <c r="AG290" s="92" t="n"/>
      <c r="AH290" s="92" t="n"/>
      <c r="AI290" s="92" t="n"/>
      <c r="AJ290" s="92" t="n"/>
      <c r="AK290" s="92" t="n"/>
      <c r="AL290" s="92" t="n"/>
      <c r="AM290" s="92" t="n"/>
      <c r="AN290" s="92" t="n"/>
      <c r="AO290" s="92" t="n"/>
      <c r="AP290" s="92" t="n"/>
      <c r="AQ290" s="92" t="n"/>
      <c r="AR290" s="92" t="n"/>
      <c r="AS290" s="92" t="n"/>
      <c r="AT290" s="92" t="n"/>
      <c r="AU290" s="92" t="n"/>
      <c r="AV290" s="92" t="n"/>
      <c r="AX290" s="139" t="inlineStr"/>
      <c r="AY290" s="139" t="inlineStr"/>
      <c r="AZ290" s="92" t="n"/>
    </row>
    <row r="291" ht="16.5" customFormat="1" customHeight="1" s="56">
      <c r="A291" s="92" t="n"/>
      <c r="B291" s="92" t="n"/>
      <c r="C291" s="92" t="n"/>
      <c r="D291" s="92" t="n"/>
      <c r="E291" s="92" t="n"/>
      <c r="F291" s="92" t="n"/>
      <c r="G291" s="92" t="n"/>
      <c r="H291" s="92" t="n"/>
      <c r="I291" s="92" t="n"/>
      <c r="J291" s="92" t="n"/>
      <c r="K291" s="92" t="n"/>
      <c r="L291" s="92" t="n"/>
      <c r="M291" s="92" t="n"/>
      <c r="N291" s="92" t="n"/>
      <c r="O291" s="92" t="n"/>
      <c r="P291" s="92" t="n"/>
      <c r="Q291" s="92" t="n"/>
      <c r="R291" s="92" t="n"/>
      <c r="S291" s="92" t="n"/>
      <c r="T291" s="92" t="n"/>
      <c r="U291" s="92" t="n"/>
      <c r="V291" s="92" t="n"/>
      <c r="W291" s="92" t="n"/>
      <c r="X291" s="92" t="n"/>
      <c r="Y291" s="92" t="n"/>
      <c r="Z291" s="92" t="n"/>
      <c r="AA291" s="92" t="n"/>
      <c r="AB291" s="92" t="n"/>
      <c r="AC291" s="92" t="n"/>
      <c r="AD291" s="92" t="n"/>
      <c r="AE291" s="92" t="n"/>
      <c r="AF291" s="92" t="n"/>
      <c r="AG291" s="92" t="n"/>
      <c r="AH291" s="92" t="n"/>
      <c r="AI291" s="92" t="n"/>
      <c r="AJ291" s="92" t="n"/>
      <c r="AK291" s="92" t="n"/>
      <c r="AL291" s="92" t="n"/>
      <c r="AM291" s="92" t="n"/>
      <c r="AN291" s="92" t="n"/>
      <c r="AO291" s="92" t="n"/>
      <c r="AP291" s="92" t="n"/>
      <c r="AQ291" s="92" t="n"/>
      <c r="AR291" s="92" t="n"/>
      <c r="AS291" s="92" t="n"/>
      <c r="AT291" s="92" t="n"/>
      <c r="AU291" s="92" t="n"/>
      <c r="AV291" s="92" t="n"/>
      <c r="AX291" s="139" t="inlineStr"/>
      <c r="AY291" s="139" t="inlineStr"/>
      <c r="AZ291" s="92" t="n"/>
    </row>
    <row r="292" ht="16.5" customFormat="1" customHeight="1" s="56">
      <c r="A292" s="92" t="n"/>
      <c r="B292" s="92" t="n"/>
      <c r="C292" s="92" t="n"/>
      <c r="D292" s="92" t="n"/>
      <c r="E292" s="92" t="n"/>
      <c r="F292" s="92" t="n"/>
      <c r="G292" s="92" t="n"/>
      <c r="H292" s="92" t="n"/>
      <c r="I292" s="92" t="n"/>
      <c r="J292" s="92" t="n"/>
      <c r="K292" s="92" t="n"/>
      <c r="L292" s="92" t="n"/>
      <c r="M292" s="92" t="n"/>
      <c r="N292" s="92" t="n"/>
      <c r="O292" s="92" t="n"/>
      <c r="P292" s="92" t="n"/>
      <c r="Q292" s="92" t="n"/>
      <c r="R292" s="92" t="n"/>
      <c r="S292" s="92" t="n"/>
      <c r="T292" s="92" t="n"/>
      <c r="U292" s="92" t="n"/>
      <c r="V292" s="92" t="n"/>
      <c r="W292" s="92" t="n"/>
      <c r="X292" s="92" t="n"/>
      <c r="Y292" s="92" t="n"/>
      <c r="Z292" s="92" t="n"/>
      <c r="AA292" s="92" t="n"/>
      <c r="AB292" s="92" t="n"/>
      <c r="AC292" s="92" t="n"/>
      <c r="AD292" s="92" t="n"/>
      <c r="AE292" s="92" t="n"/>
      <c r="AF292" s="92" t="n"/>
      <c r="AG292" s="92" t="n"/>
      <c r="AH292" s="92" t="n"/>
      <c r="AI292" s="92" t="n"/>
      <c r="AJ292" s="92" t="n"/>
      <c r="AK292" s="92" t="n"/>
      <c r="AL292" s="92" t="n"/>
      <c r="AM292" s="92" t="n"/>
      <c r="AN292" s="92" t="n"/>
      <c r="AO292" s="92" t="n"/>
      <c r="AP292" s="92" t="n"/>
      <c r="AQ292" s="92" t="n"/>
      <c r="AR292" s="92" t="n"/>
      <c r="AS292" s="92" t="n"/>
      <c r="AT292" s="92" t="n"/>
      <c r="AU292" s="92" t="n"/>
      <c r="AV292" s="92" t="n"/>
      <c r="AX292" s="139" t="inlineStr"/>
      <c r="AY292" s="139" t="inlineStr"/>
      <c r="AZ292" s="92" t="n"/>
    </row>
    <row r="293" ht="16.5" customFormat="1" customHeight="1" s="56">
      <c r="A293" s="92" t="n"/>
      <c r="B293" s="92" t="n"/>
      <c r="C293" s="92" t="n"/>
      <c r="D293" s="92" t="n"/>
      <c r="E293" s="92" t="n"/>
      <c r="F293" s="92" t="n"/>
      <c r="G293" s="92" t="n"/>
      <c r="H293" s="92" t="n"/>
      <c r="I293" s="92" t="n"/>
      <c r="J293" s="92" t="n"/>
      <c r="K293" s="92" t="n"/>
      <c r="L293" s="92" t="n"/>
      <c r="M293" s="92" t="n"/>
      <c r="N293" s="92" t="n"/>
      <c r="O293" s="92" t="n"/>
      <c r="P293" s="92" t="n"/>
      <c r="Q293" s="92" t="n"/>
      <c r="R293" s="92" t="n"/>
      <c r="S293" s="92" t="n"/>
      <c r="T293" s="92" t="n"/>
      <c r="U293" s="92" t="n"/>
      <c r="V293" s="92" t="n"/>
      <c r="W293" s="92" t="n"/>
      <c r="X293" s="92" t="n"/>
      <c r="Y293" s="92" t="n"/>
      <c r="Z293" s="92" t="n"/>
      <c r="AA293" s="92" t="n"/>
      <c r="AB293" s="92" t="n"/>
      <c r="AC293" s="92" t="n"/>
      <c r="AD293" s="92" t="n"/>
      <c r="AE293" s="92" t="n"/>
      <c r="AF293" s="92" t="n"/>
      <c r="AG293" s="92" t="n"/>
      <c r="AH293" s="92" t="n"/>
      <c r="AI293" s="92" t="n"/>
      <c r="AJ293" s="92" t="n"/>
      <c r="AK293" s="92" t="n"/>
      <c r="AL293" s="92" t="n"/>
      <c r="AM293" s="92" t="n"/>
      <c r="AN293" s="92" t="n"/>
      <c r="AO293" s="92" t="n"/>
      <c r="AP293" s="92" t="n"/>
      <c r="AQ293" s="92" t="n"/>
      <c r="AR293" s="92" t="n"/>
      <c r="AS293" s="92" t="n"/>
      <c r="AT293" s="92" t="n"/>
      <c r="AU293" s="92" t="n"/>
      <c r="AV293" s="92" t="n"/>
      <c r="AX293" s="139" t="inlineStr"/>
      <c r="AY293" s="139" t="inlineStr"/>
      <c r="AZ293" s="92" t="n"/>
    </row>
    <row r="294" ht="16.5" customFormat="1" customHeight="1" s="56">
      <c r="A294" s="92" t="n"/>
      <c r="B294" s="92" t="n"/>
      <c r="C294" s="92" t="n"/>
      <c r="D294" s="92" t="n"/>
      <c r="E294" s="92" t="n"/>
      <c r="F294" s="92" t="n"/>
      <c r="G294" s="92" t="n"/>
      <c r="H294" s="92" t="n"/>
      <c r="I294" s="92" t="n"/>
      <c r="J294" s="92" t="n"/>
      <c r="K294" s="92" t="n"/>
      <c r="L294" s="92" t="n"/>
      <c r="M294" s="92" t="n"/>
      <c r="N294" s="92" t="n"/>
      <c r="O294" s="92" t="n"/>
      <c r="P294" s="92" t="n"/>
      <c r="Q294" s="92" t="n"/>
      <c r="R294" s="92" t="n"/>
      <c r="S294" s="92" t="n"/>
      <c r="T294" s="92" t="n"/>
      <c r="U294" s="92" t="n"/>
      <c r="V294" s="92" t="n"/>
      <c r="W294" s="92" t="n"/>
      <c r="X294" s="92" t="n"/>
      <c r="Y294" s="92" t="n"/>
      <c r="Z294" s="92" t="n"/>
      <c r="AA294" s="92" t="n"/>
      <c r="AB294" s="92" t="n"/>
      <c r="AC294" s="92" t="n"/>
      <c r="AD294" s="92" t="n"/>
      <c r="AE294" s="92" t="n"/>
      <c r="AF294" s="92" t="n"/>
      <c r="AG294" s="92" t="n"/>
      <c r="AH294" s="92" t="n"/>
      <c r="AI294" s="92" t="n"/>
      <c r="AJ294" s="92" t="n"/>
      <c r="AK294" s="92" t="n"/>
      <c r="AL294" s="92" t="n"/>
      <c r="AM294" s="92" t="n"/>
      <c r="AN294" s="92" t="n"/>
      <c r="AO294" s="92" t="n"/>
      <c r="AP294" s="92" t="n"/>
      <c r="AQ294" s="92" t="n"/>
      <c r="AR294" s="92" t="n"/>
      <c r="AS294" s="92" t="n"/>
      <c r="AT294" s="92" t="n"/>
      <c r="AU294" s="92" t="n"/>
      <c r="AV294" s="92" t="n"/>
      <c r="AX294" s="139" t="inlineStr"/>
      <c r="AY294" s="139" t="inlineStr"/>
      <c r="AZ294" s="92" t="n"/>
    </row>
    <row r="295" ht="16.5" customFormat="1" customHeight="1" s="56">
      <c r="A295" s="92" t="n"/>
      <c r="B295" s="92" t="n"/>
      <c r="C295" s="92" t="n"/>
      <c r="D295" s="92" t="n"/>
      <c r="E295" s="92" t="n"/>
      <c r="F295" s="92" t="n"/>
      <c r="G295" s="92" t="n"/>
      <c r="H295" s="92" t="n"/>
      <c r="I295" s="92" t="n"/>
      <c r="J295" s="92" t="n"/>
      <c r="K295" s="92" t="n"/>
      <c r="L295" s="92" t="n"/>
      <c r="M295" s="92" t="n"/>
      <c r="N295" s="92" t="n"/>
      <c r="O295" s="92" t="n"/>
      <c r="P295" s="92" t="n"/>
      <c r="Q295" s="92" t="n"/>
      <c r="R295" s="92" t="n"/>
      <c r="S295" s="92" t="n"/>
      <c r="T295" s="92" t="n"/>
      <c r="U295" s="92" t="n"/>
      <c r="V295" s="92" t="n"/>
      <c r="W295" s="92" t="n"/>
      <c r="X295" s="92" t="n"/>
      <c r="Y295" s="92" t="n"/>
      <c r="Z295" s="92" t="n"/>
      <c r="AA295" s="92" t="n"/>
      <c r="AB295" s="92" t="n"/>
      <c r="AC295" s="92" t="n"/>
      <c r="AD295" s="92" t="n"/>
      <c r="AE295" s="92" t="n"/>
      <c r="AF295" s="92" t="n"/>
      <c r="AG295" s="92" t="n"/>
      <c r="AH295" s="92" t="n"/>
      <c r="AI295" s="92" t="n"/>
      <c r="AJ295" s="92" t="n"/>
      <c r="AK295" s="92" t="n"/>
      <c r="AL295" s="92" t="n"/>
      <c r="AM295" s="92" t="n"/>
      <c r="AN295" s="92" t="n"/>
      <c r="AO295" s="92" t="n"/>
      <c r="AP295" s="92" t="n"/>
      <c r="AQ295" s="92" t="n"/>
      <c r="AR295" s="92" t="n"/>
      <c r="AS295" s="92" t="n"/>
      <c r="AT295" s="92" t="n"/>
      <c r="AU295" s="92" t="n"/>
      <c r="AV295" s="92" t="n"/>
      <c r="AX295" s="139" t="inlineStr"/>
      <c r="AY295" s="139" t="inlineStr"/>
      <c r="AZ295" s="92" t="n"/>
    </row>
    <row r="296" ht="16.5" customFormat="1" customHeight="1" s="56">
      <c r="A296" s="92" t="n"/>
      <c r="B296" s="92" t="n"/>
      <c r="C296" s="92" t="n"/>
      <c r="D296" s="92" t="n"/>
      <c r="E296" s="92" t="n"/>
      <c r="F296" s="92" t="n"/>
      <c r="G296" s="92" t="n"/>
      <c r="H296" s="92" t="n"/>
      <c r="I296" s="92" t="n"/>
      <c r="J296" s="92" t="n"/>
      <c r="K296" s="92" t="n"/>
      <c r="L296" s="92" t="n"/>
      <c r="M296" s="92" t="n"/>
      <c r="N296" s="92" t="n"/>
      <c r="O296" s="92" t="n"/>
      <c r="P296" s="92" t="n"/>
      <c r="Q296" s="92" t="n"/>
      <c r="R296" s="92" t="n"/>
      <c r="S296" s="92" t="n"/>
      <c r="T296" s="92" t="n"/>
      <c r="U296" s="92" t="n"/>
      <c r="V296" s="92" t="n"/>
      <c r="W296" s="92" t="n"/>
      <c r="X296" s="92" t="n"/>
      <c r="Y296" s="92" t="n"/>
      <c r="Z296" s="92" t="n"/>
      <c r="AA296" s="92" t="n"/>
      <c r="AB296" s="92" t="n"/>
      <c r="AC296" s="92" t="n"/>
      <c r="AD296" s="92" t="n"/>
      <c r="AE296" s="92" t="n"/>
      <c r="AF296" s="92" t="n"/>
      <c r="AG296" s="92" t="n"/>
      <c r="AH296" s="92" t="n"/>
      <c r="AI296" s="92" t="n"/>
      <c r="AJ296" s="92" t="n"/>
      <c r="AK296" s="92" t="n"/>
      <c r="AL296" s="92" t="n"/>
      <c r="AM296" s="92" t="n"/>
      <c r="AN296" s="92" t="n"/>
      <c r="AO296" s="92" t="n"/>
      <c r="AP296" s="92" t="n"/>
      <c r="AQ296" s="92" t="n"/>
      <c r="AR296" s="92" t="n"/>
      <c r="AS296" s="92" t="n"/>
      <c r="AT296" s="92" t="n"/>
      <c r="AU296" s="92" t="n"/>
      <c r="AV296" s="92" t="n"/>
      <c r="AX296" s="139" t="inlineStr"/>
      <c r="AY296" s="139" t="inlineStr"/>
      <c r="AZ296" s="92" t="n"/>
    </row>
    <row r="297" ht="16.5" customFormat="1" customHeight="1" s="56">
      <c r="A297" s="92" t="n"/>
      <c r="B297" s="92" t="n"/>
      <c r="C297" s="92" t="n"/>
      <c r="D297" s="92" t="n"/>
      <c r="E297" s="92" t="n"/>
      <c r="F297" s="92" t="n"/>
      <c r="G297" s="92" t="n"/>
      <c r="H297" s="92" t="n"/>
      <c r="I297" s="92" t="n"/>
      <c r="J297" s="92" t="n"/>
      <c r="K297" s="92" t="n"/>
      <c r="L297" s="92" t="n"/>
      <c r="M297" s="92" t="n"/>
      <c r="N297" s="92" t="n"/>
      <c r="O297" s="92" t="n"/>
      <c r="P297" s="92" t="n"/>
      <c r="Q297" s="92" t="n"/>
      <c r="R297" s="92" t="n"/>
      <c r="S297" s="92" t="n"/>
      <c r="T297" s="92" t="n"/>
      <c r="U297" s="92" t="n"/>
      <c r="V297" s="92" t="n"/>
      <c r="W297" s="92" t="n"/>
      <c r="X297" s="92" t="n"/>
      <c r="Y297" s="92" t="n"/>
      <c r="Z297" s="92" t="n"/>
      <c r="AA297" s="92" t="n"/>
      <c r="AB297" s="92" t="n"/>
      <c r="AC297" s="92" t="n"/>
      <c r="AD297" s="92" t="n"/>
      <c r="AE297" s="92" t="n"/>
      <c r="AF297" s="92" t="n"/>
      <c r="AG297" s="92" t="n"/>
      <c r="AH297" s="92" t="n"/>
      <c r="AI297" s="92" t="n"/>
      <c r="AJ297" s="92" t="n"/>
      <c r="AK297" s="92" t="n"/>
      <c r="AL297" s="92" t="n"/>
      <c r="AM297" s="92" t="n"/>
      <c r="AN297" s="92" t="n"/>
      <c r="AO297" s="92" t="n"/>
      <c r="AP297" s="92" t="n"/>
      <c r="AQ297" s="92" t="n"/>
      <c r="AR297" s="92" t="n"/>
      <c r="AS297" s="92" t="n"/>
      <c r="AT297" s="92" t="n"/>
      <c r="AU297" s="92" t="n"/>
      <c r="AV297" s="92" t="n"/>
      <c r="AX297" s="139" t="inlineStr"/>
      <c r="AY297" s="139" t="inlineStr"/>
      <c r="AZ297" s="92" t="n"/>
    </row>
    <row r="298" ht="16.5" customFormat="1" customHeight="1" s="56">
      <c r="A298" s="92" t="n"/>
      <c r="B298" s="92" t="n"/>
      <c r="C298" s="92" t="n"/>
      <c r="D298" s="92" t="n"/>
      <c r="E298" s="92" t="n"/>
      <c r="F298" s="92" t="n"/>
      <c r="G298" s="92" t="n"/>
      <c r="H298" s="92" t="n"/>
      <c r="I298" s="92" t="n"/>
      <c r="J298" s="92" t="n"/>
      <c r="K298" s="92" t="n"/>
      <c r="L298" s="92" t="n"/>
      <c r="M298" s="92" t="n"/>
      <c r="N298" s="92" t="n"/>
      <c r="O298" s="92" t="n"/>
      <c r="P298" s="92" t="n"/>
      <c r="Q298" s="92" t="n"/>
      <c r="R298" s="92" t="n"/>
      <c r="S298" s="92" t="n"/>
      <c r="T298" s="92" t="n"/>
      <c r="U298" s="92" t="n"/>
      <c r="V298" s="92" t="n"/>
      <c r="W298" s="92" t="n"/>
      <c r="X298" s="92" t="n"/>
      <c r="Y298" s="92" t="n"/>
      <c r="Z298" s="92" t="n"/>
      <c r="AA298" s="92" t="n"/>
      <c r="AB298" s="92" t="n"/>
      <c r="AC298" s="92" t="n"/>
      <c r="AD298" s="92" t="n"/>
      <c r="AE298" s="92" t="n"/>
      <c r="AF298" s="92" t="n"/>
      <c r="AG298" s="92" t="n"/>
      <c r="AH298" s="92" t="n"/>
      <c r="AI298" s="92" t="n"/>
      <c r="AJ298" s="92" t="n"/>
      <c r="AK298" s="92" t="n"/>
      <c r="AL298" s="92" t="n"/>
      <c r="AM298" s="92" t="n"/>
      <c r="AN298" s="92" t="n"/>
      <c r="AO298" s="92" t="n"/>
      <c r="AP298" s="92" t="n"/>
      <c r="AQ298" s="92" t="n"/>
      <c r="AR298" s="92" t="n"/>
      <c r="AS298" s="92" t="n"/>
      <c r="AT298" s="92" t="n"/>
      <c r="AU298" s="92" t="n"/>
      <c r="AV298" s="92" t="n"/>
      <c r="AX298" s="139" t="inlineStr"/>
      <c r="AY298" s="139" t="inlineStr"/>
      <c r="AZ298" s="92" t="n"/>
    </row>
    <row r="299" ht="16.5" customFormat="1" customHeight="1" s="56">
      <c r="A299" s="92" t="n"/>
      <c r="B299" s="92" t="n"/>
      <c r="C299" s="92" t="n"/>
      <c r="D299" s="92" t="n"/>
      <c r="E299" s="92" t="n"/>
      <c r="F299" s="92" t="n"/>
      <c r="G299" s="92" t="n"/>
      <c r="H299" s="92" t="n"/>
      <c r="I299" s="92" t="n"/>
      <c r="J299" s="92" t="n"/>
      <c r="K299" s="92" t="n"/>
      <c r="L299" s="92" t="n"/>
      <c r="M299" s="92" t="n"/>
      <c r="N299" s="92" t="n"/>
      <c r="O299" s="92" t="n"/>
      <c r="P299" s="92" t="n"/>
      <c r="Q299" s="92" t="n"/>
      <c r="R299" s="92" t="n"/>
      <c r="S299" s="92" t="n"/>
      <c r="T299" s="92" t="n"/>
      <c r="U299" s="92" t="n"/>
      <c r="V299" s="92" t="n"/>
      <c r="W299" s="92" t="n"/>
      <c r="X299" s="92" t="n"/>
      <c r="Y299" s="92" t="n"/>
      <c r="Z299" s="92" t="n"/>
      <c r="AA299" s="92" t="n"/>
      <c r="AB299" s="92" t="n"/>
      <c r="AC299" s="92" t="n"/>
      <c r="AD299" s="92" t="n"/>
      <c r="AE299" s="92" t="n"/>
      <c r="AF299" s="92" t="n"/>
      <c r="AG299" s="92" t="n"/>
      <c r="AH299" s="92" t="n"/>
      <c r="AI299" s="92" t="n"/>
      <c r="AJ299" s="92" t="n"/>
      <c r="AK299" s="92" t="n"/>
      <c r="AL299" s="92" t="n"/>
      <c r="AM299" s="92" t="n"/>
      <c r="AN299" s="92" t="n"/>
      <c r="AO299" s="92" t="n"/>
      <c r="AP299" s="92" t="n"/>
      <c r="AQ299" s="92" t="n"/>
      <c r="AR299" s="92" t="n"/>
      <c r="AS299" s="92" t="n"/>
      <c r="AT299" s="92" t="n"/>
      <c r="AU299" s="92" t="n"/>
      <c r="AV299" s="92" t="n"/>
      <c r="AX299" s="139" t="inlineStr"/>
      <c r="AY299" s="139" t="inlineStr"/>
      <c r="AZ299" s="92" t="n"/>
    </row>
    <row r="300" ht="16.5" customFormat="1" customHeight="1" s="56">
      <c r="A300" s="92" t="n"/>
      <c r="B300" s="92" t="n"/>
      <c r="C300" s="92" t="n"/>
      <c r="D300" s="92" t="n"/>
      <c r="E300" s="92" t="n"/>
      <c r="F300" s="92" t="n"/>
      <c r="G300" s="92" t="n"/>
      <c r="H300" s="92" t="n"/>
      <c r="I300" s="92" t="n"/>
      <c r="J300" s="92" t="n"/>
      <c r="K300" s="92" t="n"/>
      <c r="L300" s="92" t="n"/>
      <c r="M300" s="92" t="n"/>
      <c r="N300" s="92" t="n"/>
      <c r="O300" s="92" t="n"/>
      <c r="P300" s="92" t="n"/>
      <c r="Q300" s="92" t="n"/>
      <c r="R300" s="92" t="n"/>
      <c r="S300" s="92" t="n"/>
      <c r="T300" s="92" t="n"/>
      <c r="U300" s="92" t="n"/>
      <c r="V300" s="92" t="n"/>
      <c r="W300" s="92" t="n"/>
      <c r="X300" s="92" t="n"/>
      <c r="Y300" s="92" t="n"/>
      <c r="Z300" s="92" t="n"/>
      <c r="AA300" s="92" t="n"/>
      <c r="AB300" s="92" t="n"/>
      <c r="AC300" s="92" t="n"/>
      <c r="AD300" s="92" t="n"/>
      <c r="AE300" s="92" t="n"/>
      <c r="AF300" s="92" t="n"/>
      <c r="AG300" s="92" t="n"/>
      <c r="AH300" s="92" t="n"/>
      <c r="AI300" s="92" t="n"/>
      <c r="AJ300" s="92" t="n"/>
      <c r="AK300" s="92" t="n"/>
      <c r="AL300" s="92" t="n"/>
      <c r="AM300" s="92" t="n"/>
      <c r="AN300" s="92" t="n"/>
      <c r="AO300" s="92" t="n"/>
      <c r="AP300" s="92" t="n"/>
      <c r="AQ300" s="92" t="n"/>
      <c r="AR300" s="92" t="n"/>
      <c r="AS300" s="92" t="n"/>
      <c r="AT300" s="92" t="n"/>
      <c r="AU300" s="92" t="n"/>
      <c r="AV300" s="92" t="n"/>
      <c r="AX300" s="139" t="inlineStr"/>
      <c r="AY300" s="139" t="inlineStr"/>
      <c r="AZ300" s="92" t="n"/>
    </row>
    <row r="301" ht="16.5" customFormat="1" customHeight="1" s="56">
      <c r="A301" s="92" t="n"/>
      <c r="B301" s="92" t="n"/>
      <c r="C301" s="92" t="n"/>
      <c r="D301" s="92" t="n"/>
      <c r="E301" s="92" t="n"/>
      <c r="F301" s="92" t="n"/>
      <c r="G301" s="92" t="n"/>
      <c r="H301" s="92" t="n"/>
      <c r="I301" s="92" t="n"/>
      <c r="J301" s="92" t="n"/>
      <c r="K301" s="92" t="n"/>
      <c r="L301" s="92" t="n"/>
      <c r="M301" s="92" t="n"/>
      <c r="N301" s="92" t="n"/>
      <c r="O301" s="92" t="n"/>
      <c r="P301" s="92" t="n"/>
      <c r="Q301" s="92" t="n"/>
      <c r="R301" s="92" t="n"/>
      <c r="S301" s="92" t="n"/>
      <c r="T301" s="92" t="n"/>
      <c r="U301" s="92" t="n"/>
      <c r="V301" s="92" t="n"/>
      <c r="W301" s="92" t="n"/>
      <c r="X301" s="92" t="n"/>
      <c r="Y301" s="92" t="n"/>
      <c r="Z301" s="92" t="n"/>
      <c r="AA301" s="92" t="n"/>
      <c r="AB301" s="92" t="n"/>
      <c r="AC301" s="92" t="n"/>
      <c r="AD301" s="92" t="n"/>
      <c r="AE301" s="92" t="n"/>
      <c r="AF301" s="92" t="n"/>
      <c r="AG301" s="92" t="n"/>
      <c r="AH301" s="92" t="n"/>
      <c r="AI301" s="92" t="n"/>
      <c r="AJ301" s="92" t="n"/>
      <c r="AK301" s="92" t="n"/>
      <c r="AL301" s="92" t="n"/>
      <c r="AM301" s="92" t="n"/>
      <c r="AN301" s="92" t="n"/>
      <c r="AO301" s="92" t="n"/>
      <c r="AP301" s="92" t="n"/>
      <c r="AQ301" s="92" t="n"/>
      <c r="AR301" s="92" t="n"/>
      <c r="AS301" s="92" t="n"/>
      <c r="AT301" s="92" t="n"/>
      <c r="AU301" s="92" t="n"/>
      <c r="AV301" s="92" t="n"/>
      <c r="AX301" s="139" t="inlineStr"/>
      <c r="AY301" s="139" t="inlineStr"/>
      <c r="AZ301" s="92" t="n"/>
    </row>
    <row r="302" ht="16.5" customFormat="1" customHeight="1" s="56">
      <c r="A302" s="92" t="n"/>
      <c r="B302" s="92" t="n"/>
      <c r="C302" s="92" t="n"/>
      <c r="D302" s="92" t="n"/>
      <c r="E302" s="92" t="n"/>
      <c r="F302" s="92" t="n"/>
      <c r="G302" s="92" t="n"/>
      <c r="H302" s="92" t="n"/>
      <c r="I302" s="92" t="n"/>
      <c r="J302" s="92" t="n"/>
      <c r="K302" s="92" t="n"/>
      <c r="L302" s="92" t="n"/>
      <c r="M302" s="92" t="n"/>
      <c r="N302" s="92" t="n"/>
      <c r="O302" s="92" t="n"/>
      <c r="P302" s="92" t="n"/>
      <c r="Q302" s="92" t="n"/>
      <c r="R302" s="92" t="n"/>
      <c r="S302" s="92" t="n"/>
      <c r="T302" s="92" t="n"/>
      <c r="U302" s="92" t="n"/>
      <c r="V302" s="92" t="n"/>
      <c r="W302" s="92" t="n"/>
      <c r="X302" s="92" t="n"/>
      <c r="Y302" s="92" t="n"/>
      <c r="Z302" s="92" t="n"/>
      <c r="AA302" s="92" t="n"/>
      <c r="AB302" s="92" t="n"/>
      <c r="AC302" s="92" t="n"/>
      <c r="AD302" s="92" t="n"/>
      <c r="AE302" s="92" t="n"/>
      <c r="AF302" s="92" t="n"/>
      <c r="AG302" s="92" t="n"/>
      <c r="AH302" s="92" t="n"/>
      <c r="AI302" s="92" t="n"/>
      <c r="AJ302" s="92" t="n"/>
      <c r="AK302" s="92" t="n"/>
      <c r="AL302" s="92" t="n"/>
      <c r="AM302" s="92" t="n"/>
      <c r="AN302" s="92" t="n"/>
      <c r="AO302" s="92" t="n"/>
      <c r="AP302" s="92" t="n"/>
      <c r="AQ302" s="92" t="n"/>
      <c r="AR302" s="92" t="n"/>
      <c r="AS302" s="92" t="n"/>
      <c r="AT302" s="92" t="n"/>
      <c r="AU302" s="92" t="n"/>
      <c r="AV302" s="92" t="n"/>
      <c r="AX302" s="139" t="inlineStr"/>
      <c r="AY302" s="139" t="inlineStr"/>
      <c r="AZ302" s="92" t="n"/>
    </row>
    <row r="303" ht="16.5" customFormat="1" customHeight="1" s="56">
      <c r="A303" s="92" t="n"/>
      <c r="B303" s="92" t="n"/>
      <c r="C303" s="92" t="n"/>
      <c r="D303" s="92" t="n"/>
      <c r="E303" s="92" t="n"/>
      <c r="F303" s="92" t="n"/>
      <c r="G303" s="92" t="n"/>
      <c r="H303" s="92" t="n"/>
      <c r="I303" s="92" t="n"/>
      <c r="J303" s="92" t="n"/>
      <c r="K303" s="92" t="n"/>
      <c r="L303" s="92" t="n"/>
      <c r="M303" s="92" t="n"/>
      <c r="N303" s="92" t="n"/>
      <c r="O303" s="92" t="n"/>
      <c r="P303" s="92" t="n"/>
      <c r="Q303" s="92" t="n"/>
      <c r="R303" s="92" t="n"/>
      <c r="S303" s="92" t="n"/>
      <c r="T303" s="92" t="n"/>
      <c r="U303" s="92" t="n"/>
      <c r="V303" s="92" t="n"/>
      <c r="W303" s="92" t="n"/>
      <c r="X303" s="92" t="n"/>
      <c r="Y303" s="92" t="n"/>
      <c r="Z303" s="92" t="n"/>
      <c r="AA303" s="92" t="n"/>
      <c r="AB303" s="92" t="n"/>
      <c r="AC303" s="92" t="n"/>
      <c r="AD303" s="92" t="n"/>
      <c r="AE303" s="92" t="n"/>
      <c r="AF303" s="92" t="n"/>
      <c r="AG303" s="92" t="n"/>
      <c r="AH303" s="92" t="n"/>
      <c r="AI303" s="92" t="n"/>
      <c r="AJ303" s="92" t="n"/>
      <c r="AK303" s="92" t="n"/>
      <c r="AL303" s="92" t="n"/>
      <c r="AM303" s="92" t="n"/>
      <c r="AN303" s="92" t="n"/>
      <c r="AO303" s="92" t="n"/>
      <c r="AP303" s="92" t="n"/>
      <c r="AQ303" s="92" t="n"/>
      <c r="AR303" s="92" t="n"/>
      <c r="AS303" s="92" t="n"/>
      <c r="AT303" s="92" t="n"/>
      <c r="AU303" s="92" t="n"/>
      <c r="AV303" s="92" t="n"/>
      <c r="AX303" s="139" t="inlineStr"/>
      <c r="AY303" s="139" t="inlineStr"/>
      <c r="AZ303" s="92" t="n"/>
    </row>
    <row r="304" ht="16.5" customFormat="1" customHeight="1" s="56">
      <c r="A304" s="92" t="n"/>
      <c r="B304" s="92" t="n"/>
      <c r="C304" s="92" t="n"/>
      <c r="D304" s="92" t="n"/>
      <c r="E304" s="92" t="n"/>
      <c r="F304" s="92" t="n"/>
      <c r="G304" s="92" t="n"/>
      <c r="H304" s="92" t="n"/>
      <c r="I304" s="92" t="n"/>
      <c r="J304" s="92" t="n"/>
      <c r="K304" s="92" t="n"/>
      <c r="L304" s="92" t="n"/>
      <c r="M304" s="92" t="n"/>
      <c r="N304" s="92" t="n"/>
      <c r="O304" s="92" t="n"/>
      <c r="P304" s="92" t="n"/>
      <c r="Q304" s="92" t="n"/>
      <c r="R304" s="92" t="n"/>
      <c r="S304" s="92" t="n"/>
      <c r="T304" s="92" t="n"/>
      <c r="U304" s="92" t="n"/>
      <c r="V304" s="92" t="n"/>
      <c r="W304" s="92" t="n"/>
      <c r="X304" s="92" t="n"/>
      <c r="Y304" s="92" t="n"/>
      <c r="Z304" s="92" t="n"/>
      <c r="AA304" s="92" t="n"/>
      <c r="AB304" s="92" t="n"/>
      <c r="AC304" s="92" t="n"/>
      <c r="AD304" s="92" t="n"/>
      <c r="AE304" s="92" t="n"/>
      <c r="AF304" s="92" t="n"/>
      <c r="AG304" s="92" t="n"/>
      <c r="AH304" s="92" t="n"/>
      <c r="AI304" s="92" t="n"/>
      <c r="AJ304" s="92" t="n"/>
      <c r="AK304" s="92" t="n"/>
      <c r="AL304" s="92" t="n"/>
      <c r="AM304" s="92" t="n"/>
      <c r="AN304" s="92" t="n"/>
      <c r="AO304" s="92" t="n"/>
      <c r="AP304" s="92" t="n"/>
      <c r="AQ304" s="92" t="n"/>
      <c r="AR304" s="92" t="n"/>
      <c r="AS304" s="92" t="n"/>
      <c r="AT304" s="92" t="n"/>
      <c r="AU304" s="92" t="n"/>
      <c r="AV304" s="92" t="n"/>
      <c r="AX304" s="139" t="inlineStr"/>
      <c r="AY304" s="139" t="inlineStr"/>
      <c r="AZ304" s="92" t="n"/>
    </row>
    <row r="305" ht="16.5" customFormat="1" customHeight="1" s="56">
      <c r="A305" s="92" t="n"/>
      <c r="B305" s="92" t="n"/>
      <c r="C305" s="92" t="n"/>
      <c r="D305" s="92" t="n"/>
      <c r="E305" s="92" t="n"/>
      <c r="F305" s="92" t="n"/>
      <c r="G305" s="92" t="n"/>
      <c r="H305" s="92" t="n"/>
      <c r="I305" s="92" t="n"/>
      <c r="J305" s="92" t="n"/>
      <c r="K305" s="92" t="n"/>
      <c r="L305" s="92" t="n"/>
      <c r="M305" s="92" t="n"/>
      <c r="N305" s="92" t="n"/>
      <c r="O305" s="92" t="n"/>
      <c r="P305" s="92" t="n"/>
      <c r="Q305" s="92" t="n"/>
      <c r="R305" s="92" t="n"/>
      <c r="S305" s="92" t="n"/>
      <c r="T305" s="92" t="n"/>
      <c r="U305" s="92" t="n"/>
      <c r="V305" s="92" t="n"/>
      <c r="W305" s="92" t="n"/>
      <c r="X305" s="92" t="n"/>
      <c r="Y305" s="92" t="n"/>
      <c r="Z305" s="92" t="n"/>
      <c r="AA305" s="92" t="n"/>
      <c r="AB305" s="92" t="n"/>
      <c r="AC305" s="92" t="n"/>
      <c r="AD305" s="92" t="n"/>
      <c r="AE305" s="92" t="n"/>
      <c r="AF305" s="92" t="n"/>
      <c r="AG305" s="92" t="n"/>
      <c r="AH305" s="92" t="n"/>
      <c r="AI305" s="92" t="n"/>
      <c r="AJ305" s="92" t="n"/>
      <c r="AK305" s="92" t="n"/>
      <c r="AL305" s="92" t="n"/>
      <c r="AM305" s="92" t="n"/>
      <c r="AN305" s="92" t="n"/>
      <c r="AO305" s="92" t="n"/>
      <c r="AP305" s="92" t="n"/>
      <c r="AQ305" s="92" t="n"/>
      <c r="AR305" s="92" t="n"/>
      <c r="AS305" s="92" t="n"/>
      <c r="AT305" s="92" t="n"/>
      <c r="AU305" s="92" t="n"/>
      <c r="AV305" s="92" t="n"/>
      <c r="AX305" s="139" t="inlineStr"/>
      <c r="AY305" s="139" t="inlineStr"/>
      <c r="AZ305" s="92" t="n"/>
    </row>
    <row r="306" ht="16.5" customFormat="1" customHeight="1" s="56">
      <c r="A306" s="92" t="n"/>
      <c r="B306" s="92" t="n"/>
      <c r="C306" s="92" t="n"/>
      <c r="D306" s="92" t="n"/>
      <c r="E306" s="92" t="n"/>
      <c r="F306" s="92" t="n"/>
      <c r="G306" s="92" t="n"/>
      <c r="H306" s="92" t="n"/>
      <c r="I306" s="92" t="n"/>
      <c r="J306" s="92" t="n"/>
      <c r="K306" s="92" t="n"/>
      <c r="L306" s="92" t="n"/>
      <c r="M306" s="92" t="n"/>
      <c r="N306" s="92" t="n"/>
      <c r="O306" s="92" t="n"/>
      <c r="P306" s="92" t="n"/>
      <c r="Q306" s="92" t="n"/>
      <c r="R306" s="92" t="n"/>
      <c r="S306" s="92" t="n"/>
      <c r="T306" s="92" t="n"/>
      <c r="U306" s="92" t="n"/>
      <c r="V306" s="92" t="n"/>
      <c r="W306" s="92" t="n"/>
      <c r="X306" s="92" t="n"/>
      <c r="Y306" s="92" t="n"/>
      <c r="Z306" s="92" t="n"/>
      <c r="AA306" s="92" t="n"/>
      <c r="AB306" s="92" t="n"/>
      <c r="AC306" s="92" t="n"/>
      <c r="AD306" s="92" t="n"/>
      <c r="AE306" s="92" t="n"/>
      <c r="AF306" s="92" t="n"/>
      <c r="AG306" s="92" t="n"/>
      <c r="AH306" s="92" t="n"/>
      <c r="AI306" s="92" t="n"/>
      <c r="AJ306" s="92" t="n"/>
      <c r="AK306" s="92" t="n"/>
      <c r="AL306" s="92" t="n"/>
      <c r="AM306" s="92" t="n"/>
      <c r="AN306" s="92" t="n"/>
      <c r="AO306" s="92" t="n"/>
      <c r="AP306" s="92" t="n"/>
      <c r="AQ306" s="92" t="n"/>
      <c r="AR306" s="92" t="n"/>
      <c r="AS306" s="92" t="n"/>
      <c r="AT306" s="92" t="n"/>
      <c r="AU306" s="92" t="n"/>
      <c r="AV306" s="92" t="n"/>
      <c r="AX306" s="139" t="inlineStr"/>
      <c r="AY306" s="139" t="inlineStr"/>
      <c r="AZ306" s="92" t="n"/>
    </row>
    <row r="307" ht="16.5" customFormat="1" customHeight="1" s="56">
      <c r="A307" s="92" t="n"/>
      <c r="B307" s="92" t="n"/>
      <c r="C307" s="92" t="n"/>
      <c r="D307" s="92" t="n"/>
      <c r="E307" s="92" t="n"/>
      <c r="F307" s="92" t="n"/>
      <c r="G307" s="92" t="n"/>
      <c r="H307" s="92" t="n"/>
      <c r="I307" s="92" t="n"/>
      <c r="J307" s="92" t="n"/>
      <c r="K307" s="92" t="n"/>
      <c r="L307" s="92" t="n"/>
      <c r="M307" s="92" t="n"/>
      <c r="N307" s="92" t="n"/>
      <c r="O307" s="92" t="n"/>
      <c r="P307" s="92" t="n"/>
      <c r="Q307" s="92" t="n"/>
      <c r="R307" s="92" t="n"/>
      <c r="S307" s="92" t="n"/>
      <c r="T307" s="92" t="n"/>
      <c r="U307" s="92" t="n"/>
      <c r="V307" s="92" t="n"/>
      <c r="W307" s="92" t="n"/>
      <c r="X307" s="92" t="n"/>
      <c r="Y307" s="92" t="n"/>
      <c r="Z307" s="92" t="n"/>
      <c r="AA307" s="92" t="n"/>
      <c r="AB307" s="92" t="n"/>
      <c r="AC307" s="92" t="n"/>
      <c r="AD307" s="92" t="n"/>
      <c r="AE307" s="92" t="n"/>
      <c r="AF307" s="92" t="n"/>
      <c r="AG307" s="92" t="n"/>
      <c r="AH307" s="92" t="n"/>
      <c r="AI307" s="92" t="n"/>
      <c r="AJ307" s="92" t="n"/>
      <c r="AK307" s="92" t="n"/>
      <c r="AL307" s="92" t="n"/>
      <c r="AM307" s="92" t="n"/>
      <c r="AN307" s="92" t="n"/>
      <c r="AO307" s="92" t="n"/>
      <c r="AP307" s="92" t="n"/>
      <c r="AQ307" s="92" t="n"/>
      <c r="AR307" s="92" t="n"/>
      <c r="AS307" s="92" t="n"/>
      <c r="AT307" s="92" t="n"/>
      <c r="AU307" s="92" t="n"/>
      <c r="AV307" s="92" t="n"/>
      <c r="AX307" s="139" t="inlineStr"/>
      <c r="AY307" s="139" t="inlineStr"/>
      <c r="AZ307" s="92" t="n"/>
    </row>
    <row r="308" ht="16.5" customFormat="1" customHeight="1" s="56">
      <c r="A308" s="92" t="n"/>
      <c r="B308" s="92" t="n"/>
      <c r="C308" s="92" t="n"/>
      <c r="D308" s="92" t="n"/>
      <c r="E308" s="92" t="n"/>
      <c r="F308" s="92" t="n"/>
      <c r="G308" s="92" t="n"/>
      <c r="H308" s="92" t="n"/>
      <c r="I308" s="92" t="n"/>
      <c r="J308" s="92" t="n"/>
      <c r="K308" s="92" t="n"/>
      <c r="L308" s="92" t="n"/>
      <c r="M308" s="92" t="n"/>
      <c r="N308" s="92" t="n"/>
      <c r="O308" s="92" t="n"/>
      <c r="P308" s="92" t="n"/>
      <c r="Q308" s="92" t="n"/>
      <c r="R308" s="92" t="n"/>
      <c r="S308" s="92" t="n"/>
      <c r="T308" s="92" t="n"/>
      <c r="U308" s="92" t="n"/>
      <c r="V308" s="92" t="n"/>
      <c r="W308" s="92" t="n"/>
      <c r="X308" s="92" t="n"/>
      <c r="Y308" s="92" t="n"/>
      <c r="Z308" s="92" t="n"/>
      <c r="AA308" s="92" t="n"/>
      <c r="AB308" s="92" t="n"/>
      <c r="AC308" s="92" t="n"/>
      <c r="AD308" s="92" t="n"/>
      <c r="AE308" s="92" t="n"/>
      <c r="AF308" s="92" t="n"/>
      <c r="AG308" s="92" t="n"/>
      <c r="AH308" s="92" t="n"/>
      <c r="AI308" s="92" t="n"/>
      <c r="AJ308" s="92" t="n"/>
      <c r="AK308" s="92" t="n"/>
      <c r="AL308" s="92" t="n"/>
      <c r="AM308" s="92" t="n"/>
      <c r="AN308" s="92" t="n"/>
      <c r="AO308" s="92" t="n"/>
      <c r="AP308" s="92" t="n"/>
      <c r="AQ308" s="92" t="n"/>
      <c r="AR308" s="92" t="n"/>
      <c r="AS308" s="92" t="n"/>
      <c r="AT308" s="92" t="n"/>
      <c r="AU308" s="92" t="n"/>
      <c r="AV308" s="92" t="n"/>
      <c r="AX308" s="139" t="inlineStr"/>
      <c r="AY308" s="139" t="inlineStr"/>
      <c r="AZ308" s="92" t="n"/>
    </row>
    <row r="309" ht="16.5" customFormat="1" customHeight="1" s="56">
      <c r="A309" s="92" t="n"/>
      <c r="B309" s="92" t="n"/>
      <c r="C309" s="92" t="n"/>
      <c r="D309" s="92" t="n"/>
      <c r="E309" s="92" t="n"/>
      <c r="F309" s="92" t="n"/>
      <c r="G309" s="92" t="n"/>
      <c r="H309" s="92" t="n"/>
      <c r="I309" s="92" t="n"/>
      <c r="J309" s="92" t="n"/>
      <c r="K309" s="92" t="n"/>
      <c r="L309" s="92" t="n"/>
      <c r="M309" s="92" t="n"/>
      <c r="N309" s="92" t="n"/>
      <c r="O309" s="92" t="n"/>
      <c r="P309" s="92" t="n"/>
      <c r="Q309" s="92" t="n"/>
      <c r="R309" s="92" t="n"/>
      <c r="S309" s="92" t="n"/>
      <c r="T309" s="92" t="n"/>
      <c r="U309" s="92" t="n"/>
      <c r="V309" s="92" t="n"/>
      <c r="W309" s="92" t="n"/>
      <c r="X309" s="92" t="n"/>
      <c r="Y309" s="92" t="n"/>
      <c r="Z309" s="92" t="n"/>
      <c r="AA309" s="92" t="n"/>
      <c r="AB309" s="92" t="n"/>
      <c r="AC309" s="92" t="n"/>
      <c r="AD309" s="92" t="n"/>
      <c r="AE309" s="92" t="n"/>
      <c r="AF309" s="92" t="n"/>
      <c r="AG309" s="92" t="n"/>
      <c r="AH309" s="92" t="n"/>
      <c r="AI309" s="92" t="n"/>
      <c r="AJ309" s="92" t="n"/>
      <c r="AK309" s="92" t="n"/>
      <c r="AL309" s="92" t="n"/>
      <c r="AM309" s="92" t="n"/>
      <c r="AN309" s="92" t="n"/>
      <c r="AO309" s="92" t="n"/>
      <c r="AP309" s="92" t="n"/>
      <c r="AQ309" s="92" t="n"/>
      <c r="AR309" s="92" t="n"/>
      <c r="AS309" s="92" t="n"/>
      <c r="AT309" s="92" t="n"/>
      <c r="AU309" s="92" t="n"/>
      <c r="AV309" s="92" t="n"/>
      <c r="AX309" s="139" t="inlineStr"/>
      <c r="AY309" s="139" t="inlineStr"/>
      <c r="AZ309" s="92" t="n"/>
    </row>
    <row r="310" ht="16.5" customFormat="1" customHeight="1" s="56">
      <c r="A310" s="92" t="n"/>
      <c r="B310" s="92" t="n"/>
      <c r="C310" s="92" t="n"/>
      <c r="D310" s="92" t="n"/>
      <c r="E310" s="92" t="n"/>
      <c r="F310" s="92" t="n"/>
      <c r="G310" s="92" t="n"/>
      <c r="H310" s="92" t="n"/>
      <c r="I310" s="92" t="n"/>
      <c r="J310" s="92" t="n"/>
      <c r="K310" s="92" t="n"/>
      <c r="L310" s="92" t="n"/>
      <c r="M310" s="92" t="n"/>
      <c r="N310" s="92" t="n"/>
      <c r="O310" s="92" t="n"/>
      <c r="P310" s="92" t="n"/>
      <c r="Q310" s="92" t="n"/>
      <c r="R310" s="92" t="n"/>
      <c r="S310" s="92" t="n"/>
      <c r="T310" s="92" t="n"/>
      <c r="U310" s="92" t="n"/>
      <c r="V310" s="92" t="n"/>
      <c r="W310" s="92" t="n"/>
      <c r="X310" s="92" t="n"/>
      <c r="Y310" s="92" t="n"/>
      <c r="Z310" s="92" t="n"/>
      <c r="AA310" s="92" t="n"/>
      <c r="AB310" s="92" t="n"/>
      <c r="AC310" s="92" t="n"/>
      <c r="AD310" s="92" t="n"/>
      <c r="AE310" s="92" t="n"/>
      <c r="AF310" s="92" t="n"/>
      <c r="AG310" s="92" t="n"/>
      <c r="AH310" s="92" t="n"/>
      <c r="AI310" s="92" t="n"/>
      <c r="AJ310" s="92" t="n"/>
      <c r="AK310" s="92" t="n"/>
      <c r="AL310" s="92" t="n"/>
      <c r="AM310" s="92" t="n"/>
      <c r="AN310" s="92" t="n"/>
      <c r="AO310" s="92" t="n"/>
      <c r="AP310" s="92" t="n"/>
      <c r="AQ310" s="92" t="n"/>
      <c r="AR310" s="92" t="n"/>
      <c r="AS310" s="92" t="n"/>
      <c r="AT310" s="92" t="n"/>
      <c r="AU310" s="92" t="n"/>
      <c r="AV310" s="92" t="n"/>
      <c r="AX310" s="139" t="inlineStr"/>
      <c r="AY310" s="139" t="inlineStr"/>
      <c r="AZ310" s="92" t="n"/>
    </row>
    <row r="311" ht="16.5" customFormat="1" customHeight="1" s="56">
      <c r="A311" s="92" t="n"/>
      <c r="B311" s="92" t="n"/>
      <c r="C311" s="92" t="n"/>
      <c r="D311" s="92" t="n"/>
      <c r="E311" s="92" t="n"/>
      <c r="F311" s="92" t="n"/>
      <c r="G311" s="92" t="n"/>
      <c r="H311" s="92" t="n"/>
      <c r="I311" s="92" t="n"/>
      <c r="J311" s="92" t="n"/>
      <c r="K311" s="92" t="n"/>
      <c r="L311" s="92" t="n"/>
      <c r="M311" s="92" t="n"/>
      <c r="N311" s="92" t="n"/>
      <c r="O311" s="92" t="n"/>
      <c r="P311" s="92" t="n"/>
      <c r="Q311" s="92" t="n"/>
      <c r="R311" s="92" t="n"/>
      <c r="S311" s="92" t="n"/>
      <c r="T311" s="92" t="n"/>
      <c r="U311" s="92" t="n"/>
      <c r="V311" s="92" t="n"/>
      <c r="W311" s="92" t="n"/>
      <c r="X311" s="92" t="n"/>
      <c r="Y311" s="92" t="n"/>
      <c r="Z311" s="92" t="n"/>
      <c r="AA311" s="92" t="n"/>
      <c r="AB311" s="92" t="n"/>
      <c r="AC311" s="92" t="n"/>
      <c r="AD311" s="92" t="n"/>
      <c r="AE311" s="92" t="n"/>
      <c r="AF311" s="92" t="n"/>
      <c r="AG311" s="92" t="n"/>
      <c r="AH311" s="92" t="n"/>
      <c r="AI311" s="92" t="n"/>
      <c r="AJ311" s="92" t="n"/>
      <c r="AK311" s="92" t="n"/>
      <c r="AL311" s="92" t="n"/>
      <c r="AM311" s="92" t="n"/>
      <c r="AN311" s="92" t="n"/>
      <c r="AO311" s="92" t="n"/>
      <c r="AP311" s="92" t="n"/>
      <c r="AQ311" s="92" t="n"/>
      <c r="AR311" s="92" t="n"/>
      <c r="AS311" s="92" t="n"/>
      <c r="AT311" s="92" t="n"/>
      <c r="AU311" s="92" t="n"/>
      <c r="AV311" s="92" t="n"/>
      <c r="AX311" s="139" t="inlineStr"/>
      <c r="AY311" s="139" t="inlineStr"/>
      <c r="AZ311" s="92" t="n"/>
    </row>
    <row r="312" ht="16.5" customFormat="1" customHeight="1" s="56">
      <c r="A312" s="92" t="n"/>
      <c r="B312" s="92" t="n"/>
      <c r="C312" s="92" t="n"/>
      <c r="D312" s="92" t="n"/>
      <c r="E312" s="92" t="n"/>
      <c r="F312" s="92" t="n"/>
      <c r="G312" s="92" t="n"/>
      <c r="H312" s="92" t="n"/>
      <c r="I312" s="92" t="n"/>
      <c r="J312" s="92" t="n"/>
      <c r="K312" s="92" t="n"/>
      <c r="L312" s="92" t="n"/>
      <c r="M312" s="92" t="n"/>
      <c r="N312" s="92" t="n"/>
      <c r="O312" s="92" t="n"/>
      <c r="P312" s="92" t="n"/>
      <c r="Q312" s="92" t="n"/>
      <c r="R312" s="92" t="n"/>
      <c r="S312" s="92" t="n"/>
      <c r="T312" s="92" t="n"/>
      <c r="U312" s="92" t="n"/>
      <c r="V312" s="92" t="n"/>
      <c r="W312" s="92" t="n"/>
      <c r="X312" s="92" t="n"/>
      <c r="Y312" s="92" t="n"/>
      <c r="Z312" s="92" t="n"/>
      <c r="AA312" s="92" t="n"/>
      <c r="AB312" s="92" t="n"/>
      <c r="AC312" s="92" t="n"/>
      <c r="AD312" s="92" t="n"/>
      <c r="AE312" s="92" t="n"/>
      <c r="AF312" s="92" t="n"/>
      <c r="AG312" s="92" t="n"/>
      <c r="AH312" s="92" t="n"/>
      <c r="AI312" s="92" t="n"/>
      <c r="AJ312" s="92" t="n"/>
      <c r="AK312" s="92" t="n"/>
      <c r="AL312" s="92" t="n"/>
      <c r="AM312" s="92" t="n"/>
      <c r="AN312" s="92" t="n"/>
      <c r="AO312" s="92" t="n"/>
      <c r="AP312" s="92" t="n"/>
      <c r="AQ312" s="92" t="n"/>
      <c r="AR312" s="92" t="n"/>
      <c r="AS312" s="92" t="n"/>
      <c r="AT312" s="92" t="n"/>
      <c r="AU312" s="92" t="n"/>
      <c r="AV312" s="92" t="n"/>
      <c r="AX312" s="139" t="inlineStr"/>
      <c r="AY312" s="139" t="inlineStr"/>
      <c r="AZ312" s="92" t="n"/>
    </row>
    <row r="313" ht="16.5" customFormat="1" customHeight="1" s="56">
      <c r="A313" s="92" t="n"/>
      <c r="B313" s="92" t="n"/>
      <c r="C313" s="92" t="n"/>
      <c r="D313" s="92" t="n"/>
      <c r="E313" s="92" t="n"/>
      <c r="F313" s="92" t="n"/>
      <c r="G313" s="92" t="n"/>
      <c r="H313" s="92" t="n"/>
      <c r="I313" s="92" t="n"/>
      <c r="J313" s="92" t="n"/>
      <c r="K313" s="92" t="n"/>
      <c r="L313" s="92" t="n"/>
      <c r="M313" s="92" t="n"/>
      <c r="N313" s="92" t="n"/>
      <c r="O313" s="92" t="n"/>
      <c r="P313" s="92" t="n"/>
      <c r="Q313" s="92" t="n"/>
      <c r="R313" s="92" t="n"/>
      <c r="S313" s="92" t="n"/>
      <c r="T313" s="92" t="n"/>
      <c r="U313" s="92" t="n"/>
      <c r="V313" s="92" t="n"/>
      <c r="W313" s="92" t="n"/>
      <c r="X313" s="92" t="n"/>
      <c r="Y313" s="92" t="n"/>
      <c r="Z313" s="92" t="n"/>
      <c r="AA313" s="92" t="n"/>
      <c r="AB313" s="92" t="n"/>
      <c r="AC313" s="92" t="n"/>
      <c r="AD313" s="92" t="n"/>
      <c r="AE313" s="92" t="n"/>
      <c r="AF313" s="92" t="n"/>
      <c r="AG313" s="92" t="n"/>
      <c r="AH313" s="92" t="n"/>
      <c r="AI313" s="92" t="n"/>
      <c r="AJ313" s="92" t="n"/>
      <c r="AK313" s="92" t="n"/>
      <c r="AL313" s="92" t="n"/>
      <c r="AM313" s="92" t="n"/>
      <c r="AN313" s="92" t="n"/>
      <c r="AO313" s="92" t="n"/>
      <c r="AP313" s="92" t="n"/>
      <c r="AQ313" s="92" t="n"/>
      <c r="AR313" s="92" t="n"/>
      <c r="AS313" s="92" t="n"/>
      <c r="AT313" s="92" t="n"/>
      <c r="AU313" s="92" t="n"/>
      <c r="AV313" s="92" t="n"/>
      <c r="AX313" s="139" t="inlineStr"/>
      <c r="AY313" s="139" t="inlineStr"/>
      <c r="AZ313" s="92" t="n"/>
    </row>
    <row r="314" ht="16.5" customFormat="1" customHeight="1" s="56">
      <c r="A314" s="92" t="n"/>
      <c r="B314" s="92" t="n"/>
      <c r="C314" s="92" t="n"/>
      <c r="D314" s="92" t="n"/>
      <c r="E314" s="92" t="n"/>
      <c r="F314" s="92" t="n"/>
      <c r="G314" s="92" t="n"/>
      <c r="H314" s="92" t="n"/>
      <c r="I314" s="92" t="n"/>
      <c r="J314" s="92" t="n"/>
      <c r="K314" s="92" t="n"/>
      <c r="L314" s="92" t="n"/>
      <c r="M314" s="92" t="n"/>
      <c r="N314" s="92" t="n"/>
      <c r="O314" s="92" t="n"/>
      <c r="P314" s="92" t="n"/>
      <c r="Q314" s="92" t="n"/>
      <c r="R314" s="92" t="n"/>
      <c r="S314" s="92" t="n"/>
      <c r="T314" s="92" t="n"/>
      <c r="U314" s="92" t="n"/>
      <c r="V314" s="92" t="n"/>
      <c r="W314" s="92" t="n"/>
      <c r="X314" s="92" t="n"/>
      <c r="Y314" s="92" t="n"/>
      <c r="Z314" s="92" t="n"/>
      <c r="AA314" s="92" t="n"/>
      <c r="AB314" s="92" t="n"/>
      <c r="AC314" s="92" t="n"/>
      <c r="AD314" s="92" t="n"/>
      <c r="AE314" s="92" t="n"/>
      <c r="AF314" s="92" t="n"/>
      <c r="AG314" s="92" t="n"/>
      <c r="AH314" s="92" t="n"/>
      <c r="AI314" s="92" t="n"/>
      <c r="AJ314" s="92" t="n"/>
      <c r="AK314" s="92" t="n"/>
      <c r="AL314" s="92" t="n"/>
      <c r="AM314" s="92" t="n"/>
      <c r="AN314" s="92" t="n"/>
      <c r="AO314" s="92" t="n"/>
      <c r="AP314" s="92" t="n"/>
      <c r="AQ314" s="92" t="n"/>
      <c r="AR314" s="92" t="n"/>
      <c r="AS314" s="92" t="n"/>
      <c r="AT314" s="92" t="n"/>
      <c r="AU314" s="92" t="n"/>
      <c r="AV314" s="92" t="n"/>
      <c r="AX314" s="139" t="inlineStr"/>
      <c r="AY314" s="139" t="inlineStr"/>
      <c r="AZ314" s="92" t="n"/>
    </row>
    <row r="315" ht="16.5" customFormat="1" customHeight="1" s="56">
      <c r="A315" s="92" t="n"/>
      <c r="B315" s="92" t="n"/>
      <c r="C315" s="92" t="n"/>
      <c r="D315" s="92" t="n"/>
      <c r="E315" s="92" t="n"/>
      <c r="F315" s="92" t="n"/>
      <c r="G315" s="92" t="n"/>
      <c r="H315" s="92" t="n"/>
      <c r="I315" s="92" t="n"/>
      <c r="J315" s="92" t="n"/>
      <c r="K315" s="92" t="n"/>
      <c r="L315" s="92" t="n"/>
      <c r="M315" s="92" t="n"/>
      <c r="N315" s="92" t="n"/>
      <c r="O315" s="92" t="n"/>
      <c r="P315" s="92" t="n"/>
      <c r="Q315" s="92" t="n"/>
      <c r="R315" s="92" t="n"/>
      <c r="S315" s="92" t="n"/>
      <c r="T315" s="92" t="n"/>
      <c r="U315" s="92" t="n"/>
      <c r="V315" s="92" t="n"/>
      <c r="W315" s="92" t="n"/>
      <c r="X315" s="92" t="n"/>
      <c r="Y315" s="92" t="n"/>
      <c r="Z315" s="92" t="n"/>
      <c r="AA315" s="92" t="n"/>
      <c r="AB315" s="92" t="n"/>
      <c r="AC315" s="92" t="n"/>
      <c r="AD315" s="92" t="n"/>
      <c r="AE315" s="92" t="n"/>
      <c r="AF315" s="92" t="n"/>
      <c r="AG315" s="92" t="n"/>
      <c r="AH315" s="92" t="n"/>
      <c r="AI315" s="92" t="n"/>
      <c r="AJ315" s="92" t="n"/>
      <c r="AK315" s="92" t="n"/>
      <c r="AL315" s="92" t="n"/>
      <c r="AM315" s="92" t="n"/>
      <c r="AN315" s="92" t="n"/>
      <c r="AO315" s="92" t="n"/>
      <c r="AP315" s="92" t="n"/>
      <c r="AQ315" s="92" t="n"/>
      <c r="AR315" s="92" t="n"/>
      <c r="AS315" s="92" t="n"/>
      <c r="AT315" s="92" t="n"/>
      <c r="AU315" s="92" t="n"/>
      <c r="AV315" s="92" t="n"/>
      <c r="AX315" s="139" t="inlineStr"/>
      <c r="AY315" s="139" t="inlineStr"/>
      <c r="AZ315" s="92" t="n"/>
    </row>
    <row r="316" ht="16.5" customFormat="1" customHeight="1" s="56">
      <c r="A316" s="92" t="n"/>
      <c r="B316" s="92" t="n"/>
      <c r="C316" s="92" t="n"/>
      <c r="D316" s="92" t="n"/>
      <c r="E316" s="92" t="n"/>
      <c r="F316" s="92" t="n"/>
      <c r="G316" s="92" t="n"/>
      <c r="H316" s="92" t="n"/>
      <c r="I316" s="92" t="n"/>
      <c r="J316" s="92" t="n"/>
      <c r="K316" s="92" t="n"/>
      <c r="L316" s="92" t="n"/>
      <c r="M316" s="92" t="n"/>
      <c r="N316" s="92" t="n"/>
      <c r="O316" s="92" t="n"/>
      <c r="P316" s="92" t="n"/>
      <c r="Q316" s="92" t="n"/>
      <c r="R316" s="92" t="n"/>
      <c r="S316" s="92" t="n"/>
      <c r="T316" s="92" t="n"/>
      <c r="U316" s="92" t="n"/>
      <c r="V316" s="92" t="n"/>
      <c r="W316" s="92" t="n"/>
      <c r="X316" s="92" t="n"/>
      <c r="Y316" s="92" t="n"/>
      <c r="Z316" s="92" t="n"/>
      <c r="AA316" s="92" t="n"/>
      <c r="AB316" s="92" t="n"/>
      <c r="AC316" s="92" t="n"/>
      <c r="AD316" s="92" t="n"/>
      <c r="AE316" s="92" t="n"/>
      <c r="AF316" s="92" t="n"/>
      <c r="AG316" s="92" t="n"/>
      <c r="AH316" s="92" t="n"/>
      <c r="AI316" s="92" t="n"/>
      <c r="AJ316" s="92" t="n"/>
      <c r="AK316" s="92" t="n"/>
      <c r="AL316" s="92" t="n"/>
      <c r="AM316" s="92" t="n"/>
      <c r="AN316" s="92" t="n"/>
      <c r="AO316" s="92" t="n"/>
      <c r="AP316" s="92" t="n"/>
      <c r="AQ316" s="92" t="n"/>
      <c r="AR316" s="92" t="n"/>
      <c r="AS316" s="92" t="n"/>
      <c r="AT316" s="92" t="n"/>
      <c r="AU316" s="92" t="n"/>
      <c r="AV316" s="92" t="n"/>
      <c r="AX316" s="139" t="inlineStr"/>
      <c r="AY316" s="139" t="inlineStr"/>
      <c r="AZ316" s="92" t="n"/>
    </row>
    <row r="317" ht="16.5" customFormat="1" customHeight="1" s="56">
      <c r="A317" s="92" t="n"/>
      <c r="B317" s="92" t="n"/>
      <c r="C317" s="92" t="n"/>
      <c r="D317" s="92" t="n"/>
      <c r="E317" s="92" t="n"/>
      <c r="F317" s="92" t="n"/>
      <c r="G317" s="92" t="n"/>
      <c r="H317" s="92" t="n"/>
      <c r="I317" s="92" t="n"/>
      <c r="J317" s="92" t="n"/>
      <c r="K317" s="92" t="n"/>
      <c r="L317" s="92" t="n"/>
      <c r="M317" s="92" t="n"/>
      <c r="N317" s="92" t="n"/>
      <c r="O317" s="92" t="n"/>
      <c r="P317" s="92" t="n"/>
      <c r="Q317" s="92" t="n"/>
      <c r="R317" s="92" t="n"/>
      <c r="S317" s="92" t="n"/>
      <c r="T317" s="92" t="n"/>
      <c r="U317" s="92" t="n"/>
      <c r="V317" s="92" t="n"/>
      <c r="W317" s="92" t="n"/>
      <c r="X317" s="92" t="n"/>
      <c r="Y317" s="92" t="n"/>
      <c r="Z317" s="92" t="n"/>
      <c r="AA317" s="92" t="n"/>
      <c r="AB317" s="92" t="n"/>
      <c r="AC317" s="92" t="n"/>
      <c r="AD317" s="92" t="n"/>
      <c r="AE317" s="92" t="n"/>
      <c r="AF317" s="92" t="n"/>
      <c r="AG317" s="92" t="n"/>
      <c r="AH317" s="92" t="n"/>
      <c r="AI317" s="92" t="n"/>
      <c r="AJ317" s="92" t="n"/>
      <c r="AK317" s="92" t="n"/>
      <c r="AL317" s="92" t="n"/>
      <c r="AM317" s="92" t="n"/>
      <c r="AN317" s="92" t="n"/>
      <c r="AO317" s="92" t="n"/>
      <c r="AP317" s="92" t="n"/>
      <c r="AQ317" s="92" t="n"/>
      <c r="AR317" s="92" t="n"/>
      <c r="AS317" s="92" t="n"/>
      <c r="AT317" s="92" t="n"/>
      <c r="AU317" s="92" t="n"/>
      <c r="AV317" s="92" t="n"/>
      <c r="AX317" s="139" t="inlineStr"/>
      <c r="AY317" s="139" t="inlineStr"/>
      <c r="AZ317" s="92" t="n"/>
    </row>
    <row r="318" ht="16.5" customFormat="1" customHeight="1" s="56">
      <c r="A318" s="92" t="n"/>
      <c r="B318" s="92" t="n"/>
      <c r="C318" s="92" t="n"/>
      <c r="D318" s="92" t="n"/>
      <c r="E318" s="92" t="n"/>
      <c r="F318" s="92" t="n"/>
      <c r="G318" s="92" t="n"/>
      <c r="H318" s="92" t="n"/>
      <c r="I318" s="92" t="n"/>
      <c r="J318" s="92" t="n"/>
      <c r="K318" s="92" t="n"/>
      <c r="L318" s="92" t="n"/>
      <c r="M318" s="92" t="n"/>
      <c r="N318" s="92" t="n"/>
      <c r="O318" s="92" t="n"/>
      <c r="P318" s="92" t="n"/>
      <c r="Q318" s="92" t="n"/>
      <c r="R318" s="92" t="n"/>
      <c r="S318" s="92" t="n"/>
      <c r="T318" s="92" t="n"/>
      <c r="U318" s="92" t="n"/>
      <c r="V318" s="92" t="n"/>
      <c r="W318" s="92" t="n"/>
      <c r="X318" s="92" t="n"/>
      <c r="Y318" s="92" t="n"/>
      <c r="Z318" s="92" t="n"/>
      <c r="AA318" s="92" t="n"/>
      <c r="AB318" s="92" t="n"/>
      <c r="AC318" s="92" t="n"/>
      <c r="AD318" s="92" t="n"/>
      <c r="AE318" s="92" t="n"/>
      <c r="AF318" s="92" t="n"/>
      <c r="AG318" s="92" t="n"/>
      <c r="AH318" s="92" t="n"/>
      <c r="AI318" s="92" t="n"/>
      <c r="AJ318" s="92" t="n"/>
      <c r="AK318" s="92" t="n"/>
      <c r="AL318" s="92" t="n"/>
      <c r="AM318" s="92" t="n"/>
      <c r="AN318" s="92" t="n"/>
      <c r="AO318" s="92" t="n"/>
      <c r="AP318" s="92" t="n"/>
      <c r="AQ318" s="92" t="n"/>
      <c r="AR318" s="92" t="n"/>
      <c r="AS318" s="92" t="n"/>
      <c r="AT318" s="92" t="n"/>
      <c r="AU318" s="92" t="n"/>
      <c r="AV318" s="92" t="n"/>
      <c r="AX318" s="139" t="inlineStr"/>
      <c r="AY318" s="139" t="inlineStr"/>
      <c r="AZ318" s="92" t="n"/>
    </row>
    <row r="319" ht="16.5" customFormat="1" customHeight="1" s="56">
      <c r="A319" s="92" t="n"/>
      <c r="B319" s="92" t="n"/>
      <c r="C319" s="92" t="n"/>
      <c r="D319" s="92" t="n"/>
      <c r="E319" s="92" t="n"/>
      <c r="F319" s="92" t="n"/>
      <c r="G319" s="92" t="n"/>
      <c r="H319" s="92" t="n"/>
      <c r="I319" s="92" t="n"/>
      <c r="J319" s="92" t="n"/>
      <c r="K319" s="92" t="n"/>
      <c r="L319" s="92" t="n"/>
      <c r="M319" s="92" t="n"/>
      <c r="N319" s="92" t="n"/>
      <c r="O319" s="92" t="n"/>
      <c r="P319" s="92" t="n"/>
      <c r="Q319" s="92" t="n"/>
      <c r="R319" s="92" t="n"/>
      <c r="S319" s="92" t="n"/>
      <c r="T319" s="92" t="n"/>
      <c r="U319" s="92" t="n"/>
      <c r="V319" s="92" t="n"/>
      <c r="W319" s="92" t="n"/>
      <c r="X319" s="92" t="n"/>
      <c r="Y319" s="92" t="n"/>
      <c r="Z319" s="92" t="n"/>
      <c r="AA319" s="92" t="n"/>
      <c r="AB319" s="92" t="n"/>
      <c r="AC319" s="92" t="n"/>
      <c r="AD319" s="92" t="n"/>
      <c r="AE319" s="92" t="n"/>
      <c r="AF319" s="92" t="n"/>
      <c r="AG319" s="92" t="n"/>
      <c r="AH319" s="92" t="n"/>
      <c r="AI319" s="92" t="n"/>
      <c r="AJ319" s="92" t="n"/>
      <c r="AK319" s="92" t="n"/>
      <c r="AL319" s="92" t="n"/>
      <c r="AM319" s="92" t="n"/>
      <c r="AN319" s="92" t="n"/>
      <c r="AO319" s="92" t="n"/>
      <c r="AP319" s="92" t="n"/>
      <c r="AQ319" s="92" t="n"/>
      <c r="AR319" s="92" t="n"/>
      <c r="AS319" s="92" t="n"/>
      <c r="AT319" s="92" t="n"/>
      <c r="AU319" s="92" t="n"/>
      <c r="AV319" s="92" t="n"/>
      <c r="AX319" s="139" t="inlineStr"/>
      <c r="AY319" s="139" t="inlineStr"/>
      <c r="AZ319" s="92" t="n"/>
    </row>
    <row r="320" ht="16.5" customFormat="1" customHeight="1" s="56">
      <c r="A320" s="92" t="n"/>
      <c r="B320" s="92" t="n"/>
      <c r="C320" s="92" t="n"/>
      <c r="D320" s="92" t="n"/>
      <c r="E320" s="92" t="n"/>
      <c r="F320" s="92" t="n"/>
      <c r="G320" s="92" t="n"/>
      <c r="H320" s="92" t="n"/>
      <c r="I320" s="92" t="n"/>
      <c r="J320" s="92" t="n"/>
      <c r="K320" s="92" t="n"/>
      <c r="L320" s="92" t="n"/>
      <c r="M320" s="92" t="n"/>
      <c r="N320" s="92" t="n"/>
      <c r="O320" s="92" t="n"/>
      <c r="P320" s="92" t="n"/>
      <c r="Q320" s="92" t="n"/>
      <c r="R320" s="92" t="n"/>
      <c r="S320" s="92" t="n"/>
      <c r="T320" s="92" t="n"/>
      <c r="U320" s="92" t="n"/>
      <c r="V320" s="92" t="n"/>
      <c r="W320" s="92" t="n"/>
      <c r="X320" s="92" t="n"/>
      <c r="Y320" s="92" t="n"/>
      <c r="Z320" s="92" t="n"/>
      <c r="AA320" s="92" t="n"/>
      <c r="AB320" s="92" t="n"/>
      <c r="AC320" s="92" t="n"/>
      <c r="AD320" s="92" t="n"/>
      <c r="AE320" s="92" t="n"/>
      <c r="AF320" s="92" t="n"/>
      <c r="AG320" s="92" t="n"/>
      <c r="AH320" s="92" t="n"/>
      <c r="AI320" s="92" t="n"/>
      <c r="AJ320" s="92" t="n"/>
      <c r="AK320" s="92" t="n"/>
      <c r="AL320" s="92" t="n"/>
      <c r="AM320" s="92" t="n"/>
      <c r="AN320" s="92" t="n"/>
      <c r="AO320" s="92" t="n"/>
      <c r="AP320" s="92" t="n"/>
      <c r="AQ320" s="92" t="n"/>
      <c r="AR320" s="92" t="n"/>
      <c r="AS320" s="92" t="n"/>
      <c r="AT320" s="92" t="n"/>
      <c r="AU320" s="92" t="n"/>
      <c r="AV320" s="92" t="n"/>
      <c r="AX320" s="139" t="inlineStr"/>
      <c r="AY320" s="139" t="inlineStr"/>
      <c r="AZ320" s="92" t="n"/>
    </row>
    <row r="321" ht="16.5" customFormat="1" customHeight="1" s="56">
      <c r="A321" s="92" t="n"/>
      <c r="B321" s="92" t="n"/>
      <c r="C321" s="92" t="n"/>
      <c r="D321" s="92" t="n"/>
      <c r="E321" s="92" t="n"/>
      <c r="F321" s="92" t="n"/>
      <c r="G321" s="92" t="n"/>
      <c r="H321" s="92" t="n"/>
      <c r="I321" s="92" t="n"/>
      <c r="J321" s="92" t="n"/>
      <c r="K321" s="92" t="n"/>
      <c r="L321" s="92" t="n"/>
      <c r="M321" s="92" t="n"/>
      <c r="N321" s="92" t="n"/>
      <c r="O321" s="92" t="n"/>
      <c r="P321" s="92" t="n"/>
      <c r="Q321" s="92" t="n"/>
      <c r="R321" s="92" t="n"/>
      <c r="S321" s="92" t="n"/>
      <c r="T321" s="92" t="n"/>
      <c r="U321" s="92" t="n"/>
      <c r="V321" s="92" t="n"/>
      <c r="W321" s="92" t="n"/>
      <c r="X321" s="92" t="n"/>
      <c r="Y321" s="92" t="n"/>
      <c r="Z321" s="92" t="n"/>
      <c r="AA321" s="92" t="n"/>
      <c r="AB321" s="92" t="n"/>
      <c r="AC321" s="92" t="n"/>
      <c r="AD321" s="92" t="n"/>
      <c r="AE321" s="92" t="n"/>
      <c r="AF321" s="92" t="n"/>
      <c r="AG321" s="92" t="n"/>
      <c r="AH321" s="92" t="n"/>
      <c r="AI321" s="92" t="n"/>
      <c r="AJ321" s="92" t="n"/>
      <c r="AK321" s="92" t="n"/>
      <c r="AL321" s="92" t="n"/>
      <c r="AM321" s="92" t="n"/>
      <c r="AN321" s="92" t="n"/>
      <c r="AO321" s="92" t="n"/>
      <c r="AP321" s="92" t="n"/>
      <c r="AQ321" s="92" t="n"/>
      <c r="AR321" s="92" t="n"/>
      <c r="AS321" s="92" t="n"/>
      <c r="AT321" s="92" t="n"/>
      <c r="AU321" s="92" t="n"/>
      <c r="AV321" s="92" t="n"/>
      <c r="AX321" s="139" t="inlineStr"/>
      <c r="AY321" s="139" t="inlineStr"/>
      <c r="AZ321" s="92" t="n"/>
    </row>
    <row r="322" ht="16.5" customFormat="1" customHeight="1" s="56">
      <c r="A322" s="92" t="n"/>
      <c r="B322" s="92" t="n"/>
      <c r="C322" s="92" t="n"/>
      <c r="D322" s="92" t="n"/>
      <c r="E322" s="92" t="n"/>
      <c r="F322" s="92" t="n"/>
      <c r="G322" s="92" t="n"/>
      <c r="H322" s="92" t="n"/>
      <c r="I322" s="92" t="n"/>
      <c r="J322" s="92" t="n"/>
      <c r="K322" s="92" t="n"/>
      <c r="L322" s="92" t="n"/>
      <c r="M322" s="92" t="n"/>
      <c r="N322" s="92" t="n"/>
      <c r="O322" s="92" t="n"/>
      <c r="P322" s="92" t="n"/>
      <c r="Q322" s="92" t="n"/>
      <c r="R322" s="92" t="n"/>
      <c r="S322" s="92" t="n"/>
      <c r="T322" s="92" t="n"/>
      <c r="U322" s="92" t="n"/>
      <c r="V322" s="92" t="n"/>
      <c r="W322" s="92" t="n"/>
      <c r="X322" s="92" t="n"/>
      <c r="Y322" s="92" t="n"/>
      <c r="Z322" s="92" t="n"/>
      <c r="AA322" s="92" t="n"/>
      <c r="AB322" s="92" t="n"/>
      <c r="AC322" s="92" t="n"/>
      <c r="AD322" s="92" t="n"/>
      <c r="AE322" s="92" t="n"/>
      <c r="AF322" s="92" t="n"/>
      <c r="AG322" s="92" t="n"/>
      <c r="AH322" s="92" t="n"/>
      <c r="AI322" s="92" t="n"/>
      <c r="AJ322" s="92" t="n"/>
      <c r="AK322" s="92" t="n"/>
      <c r="AL322" s="92" t="n"/>
      <c r="AM322" s="92" t="n"/>
      <c r="AN322" s="92" t="n"/>
      <c r="AO322" s="92" t="n"/>
      <c r="AP322" s="92" t="n"/>
      <c r="AQ322" s="92" t="n"/>
      <c r="AR322" s="92" t="n"/>
      <c r="AS322" s="92" t="n"/>
      <c r="AT322" s="92" t="n"/>
      <c r="AU322" s="92" t="n"/>
      <c r="AV322" s="92" t="n"/>
      <c r="AX322" s="139" t="inlineStr"/>
      <c r="AY322" s="139" t="inlineStr"/>
      <c r="AZ322" s="92" t="n"/>
    </row>
    <row r="323" ht="16.5" customFormat="1" customHeight="1" s="56">
      <c r="A323" s="92" t="n"/>
      <c r="B323" s="92" t="n"/>
      <c r="C323" s="92" t="n"/>
      <c r="D323" s="92" t="n"/>
      <c r="E323" s="92" t="n"/>
      <c r="F323" s="92" t="n"/>
      <c r="G323" s="92" t="n"/>
      <c r="H323" s="92" t="n"/>
      <c r="I323" s="92" t="n"/>
      <c r="J323" s="92" t="n"/>
      <c r="K323" s="92" t="n"/>
      <c r="L323" s="92" t="n"/>
      <c r="M323" s="92" t="n"/>
      <c r="N323" s="92" t="n"/>
      <c r="O323" s="92" t="n"/>
      <c r="P323" s="92" t="n"/>
      <c r="Q323" s="92" t="n"/>
      <c r="R323" s="92" t="n"/>
      <c r="S323" s="92" t="n"/>
      <c r="T323" s="92" t="n"/>
      <c r="U323" s="92" t="n"/>
      <c r="V323" s="92" t="n"/>
      <c r="W323" s="92" t="n"/>
      <c r="X323" s="92" t="n"/>
      <c r="Y323" s="92" t="n"/>
      <c r="Z323" s="92" t="n"/>
      <c r="AA323" s="92" t="n"/>
      <c r="AB323" s="92" t="n"/>
      <c r="AC323" s="92" t="n"/>
      <c r="AD323" s="92" t="n"/>
      <c r="AE323" s="92" t="n"/>
      <c r="AF323" s="92" t="n"/>
      <c r="AG323" s="92" t="n"/>
      <c r="AH323" s="92" t="n"/>
      <c r="AI323" s="92" t="n"/>
      <c r="AJ323" s="92" t="n"/>
      <c r="AK323" s="92" t="n"/>
      <c r="AL323" s="92" t="n"/>
      <c r="AM323" s="92" t="n"/>
      <c r="AN323" s="92" t="n"/>
      <c r="AO323" s="92" t="n"/>
      <c r="AP323" s="92" t="n"/>
      <c r="AQ323" s="92" t="n"/>
      <c r="AR323" s="92" t="n"/>
      <c r="AS323" s="92" t="n"/>
      <c r="AT323" s="92" t="n"/>
      <c r="AU323" s="92" t="n"/>
      <c r="AV323" s="92" t="n"/>
      <c r="AX323" s="139" t="inlineStr"/>
      <c r="AY323" s="139" t="inlineStr"/>
      <c r="AZ323" s="92" t="n"/>
    </row>
    <row r="324" ht="16.5" customFormat="1" customHeight="1" s="56">
      <c r="A324" s="92" t="n"/>
      <c r="B324" s="92" t="n"/>
      <c r="C324" s="92" t="n"/>
      <c r="D324" s="92" t="n"/>
      <c r="E324" s="92" t="n"/>
      <c r="F324" s="92" t="n"/>
      <c r="G324" s="92" t="n"/>
      <c r="H324" s="92" t="n"/>
      <c r="I324" s="92" t="n"/>
      <c r="J324" s="92" t="n"/>
      <c r="K324" s="92" t="n"/>
      <c r="L324" s="92" t="n"/>
      <c r="M324" s="92" t="n"/>
      <c r="N324" s="92" t="n"/>
      <c r="O324" s="92" t="n"/>
      <c r="P324" s="92" t="n"/>
      <c r="Q324" s="92" t="n"/>
      <c r="R324" s="92" t="n"/>
      <c r="S324" s="92" t="n"/>
      <c r="T324" s="92" t="n"/>
      <c r="U324" s="92" t="n"/>
      <c r="V324" s="92" t="n"/>
      <c r="W324" s="92" t="n"/>
      <c r="X324" s="92" t="n"/>
      <c r="Y324" s="92" t="n"/>
      <c r="Z324" s="92" t="n"/>
      <c r="AA324" s="92" t="n"/>
      <c r="AB324" s="92" t="n"/>
      <c r="AC324" s="92" t="n"/>
      <c r="AD324" s="92" t="n"/>
      <c r="AE324" s="92" t="n"/>
      <c r="AF324" s="92" t="n"/>
      <c r="AG324" s="92" t="n"/>
      <c r="AH324" s="92" t="n"/>
      <c r="AI324" s="92" t="n"/>
      <c r="AJ324" s="92" t="n"/>
      <c r="AK324" s="92" t="n"/>
      <c r="AL324" s="92" t="n"/>
      <c r="AM324" s="92" t="n"/>
      <c r="AN324" s="92" t="n"/>
      <c r="AO324" s="92" t="n"/>
      <c r="AP324" s="92" t="n"/>
      <c r="AQ324" s="92" t="n"/>
      <c r="AR324" s="92" t="n"/>
      <c r="AS324" s="92" t="n"/>
      <c r="AT324" s="92" t="n"/>
      <c r="AU324" s="92" t="n"/>
      <c r="AV324" s="92" t="n"/>
      <c r="AX324" s="139" t="inlineStr"/>
      <c r="AY324" s="139" t="inlineStr"/>
      <c r="AZ324" s="92" t="n"/>
    </row>
    <row r="325" ht="16.5" customFormat="1" customHeight="1" s="56">
      <c r="A325" s="92" t="n"/>
      <c r="B325" s="92" t="n"/>
      <c r="C325" s="92" t="n"/>
      <c r="D325" s="92" t="n"/>
      <c r="E325" s="92" t="n"/>
      <c r="F325" s="92" t="n"/>
      <c r="G325" s="92" t="n"/>
      <c r="H325" s="92" t="n"/>
      <c r="I325" s="92" t="n"/>
      <c r="J325" s="92" t="n"/>
      <c r="K325" s="92" t="n"/>
      <c r="L325" s="92" t="n"/>
      <c r="M325" s="92" t="n"/>
      <c r="N325" s="92" t="n"/>
      <c r="O325" s="92" t="n"/>
      <c r="P325" s="92" t="n"/>
      <c r="Q325" s="92" t="n"/>
      <c r="R325" s="92" t="n"/>
      <c r="S325" s="92" t="n"/>
      <c r="T325" s="92" t="n"/>
      <c r="U325" s="92" t="n"/>
      <c r="V325" s="92" t="n"/>
      <c r="W325" s="92" t="n"/>
      <c r="X325" s="92" t="n"/>
      <c r="Y325" s="92" t="n"/>
      <c r="Z325" s="92" t="n"/>
      <c r="AA325" s="92" t="n"/>
      <c r="AB325" s="92" t="n"/>
      <c r="AC325" s="92" t="n"/>
      <c r="AD325" s="92" t="n"/>
      <c r="AE325" s="92" t="n"/>
      <c r="AF325" s="92" t="n"/>
      <c r="AG325" s="92" t="n"/>
      <c r="AH325" s="92" t="n"/>
      <c r="AI325" s="92" t="n"/>
      <c r="AJ325" s="92" t="n"/>
      <c r="AK325" s="92" t="n"/>
      <c r="AL325" s="92" t="n"/>
      <c r="AM325" s="92" t="n"/>
      <c r="AN325" s="92" t="n"/>
      <c r="AO325" s="92" t="n"/>
      <c r="AP325" s="92" t="n"/>
      <c r="AQ325" s="92" t="n"/>
      <c r="AR325" s="92" t="n"/>
      <c r="AS325" s="92" t="n"/>
      <c r="AT325" s="92" t="n"/>
      <c r="AU325" s="92" t="n"/>
      <c r="AV325" s="92" t="n"/>
      <c r="AX325" s="139" t="inlineStr"/>
      <c r="AY325" s="139" t="inlineStr"/>
      <c r="AZ325" s="92" t="n"/>
    </row>
    <row r="326" ht="16.5" customFormat="1" customHeight="1" s="56">
      <c r="A326" s="92" t="n"/>
      <c r="B326" s="92" t="n"/>
      <c r="C326" s="92" t="n"/>
      <c r="D326" s="92" t="n"/>
      <c r="E326" s="92" t="n"/>
      <c r="F326" s="92" t="n"/>
      <c r="G326" s="92" t="n"/>
      <c r="H326" s="92" t="n"/>
      <c r="I326" s="92" t="n"/>
      <c r="J326" s="92" t="n"/>
      <c r="K326" s="92" t="n"/>
      <c r="L326" s="92" t="n"/>
      <c r="M326" s="92" t="n"/>
      <c r="N326" s="92" t="n"/>
      <c r="O326" s="92" t="n"/>
      <c r="P326" s="92" t="n"/>
      <c r="Q326" s="92" t="n"/>
      <c r="R326" s="92" t="n"/>
      <c r="S326" s="92" t="n"/>
      <c r="T326" s="92" t="n"/>
      <c r="U326" s="92" t="n"/>
      <c r="V326" s="92" t="n"/>
      <c r="W326" s="92" t="n"/>
      <c r="X326" s="92" t="n"/>
      <c r="Y326" s="92" t="n"/>
      <c r="Z326" s="92" t="n"/>
      <c r="AA326" s="92" t="n"/>
      <c r="AB326" s="92" t="n"/>
      <c r="AC326" s="92" t="n"/>
      <c r="AD326" s="92" t="n"/>
      <c r="AE326" s="92" t="n"/>
      <c r="AF326" s="92" t="n"/>
      <c r="AG326" s="92" t="n"/>
      <c r="AH326" s="92" t="n"/>
      <c r="AI326" s="92" t="n"/>
      <c r="AJ326" s="92" t="n"/>
      <c r="AK326" s="92" t="n"/>
      <c r="AL326" s="92" t="n"/>
      <c r="AM326" s="92" t="n"/>
      <c r="AN326" s="92" t="n"/>
      <c r="AO326" s="92" t="n"/>
      <c r="AP326" s="92" t="n"/>
      <c r="AQ326" s="92" t="n"/>
      <c r="AR326" s="92" t="n"/>
      <c r="AS326" s="92" t="n"/>
      <c r="AT326" s="92" t="n"/>
      <c r="AU326" s="92" t="n"/>
      <c r="AV326" s="92" t="n"/>
      <c r="AX326" s="139" t="inlineStr"/>
      <c r="AY326" s="139" t="inlineStr"/>
      <c r="AZ326" s="92" t="n"/>
    </row>
    <row r="327" ht="16.5" customFormat="1" customHeight="1" s="56">
      <c r="A327" s="92" t="n"/>
      <c r="B327" s="92" t="n"/>
      <c r="C327" s="92" t="n"/>
      <c r="D327" s="92" t="n"/>
      <c r="E327" s="92" t="n"/>
      <c r="F327" s="92" t="n"/>
      <c r="G327" s="92" t="n"/>
      <c r="H327" s="92" t="n"/>
      <c r="I327" s="92" t="n"/>
      <c r="J327" s="92" t="n"/>
      <c r="K327" s="92" t="n"/>
      <c r="L327" s="92" t="n"/>
      <c r="M327" s="92" t="n"/>
      <c r="N327" s="92" t="n"/>
      <c r="O327" s="92" t="n"/>
      <c r="P327" s="92" t="n"/>
      <c r="Q327" s="92" t="n"/>
      <c r="R327" s="92" t="n"/>
      <c r="S327" s="92" t="n"/>
      <c r="T327" s="92" t="n"/>
      <c r="U327" s="92" t="n"/>
      <c r="V327" s="92" t="n"/>
      <c r="W327" s="92" t="n"/>
      <c r="X327" s="92" t="n"/>
      <c r="Y327" s="92" t="n"/>
      <c r="Z327" s="92" t="n"/>
      <c r="AA327" s="92" t="n"/>
      <c r="AB327" s="92" t="n"/>
      <c r="AC327" s="92" t="n"/>
      <c r="AD327" s="92" t="n"/>
      <c r="AE327" s="92" t="n"/>
      <c r="AF327" s="92" t="n"/>
      <c r="AG327" s="92" t="n"/>
      <c r="AH327" s="92" t="n"/>
      <c r="AI327" s="92" t="n"/>
      <c r="AJ327" s="92" t="n"/>
      <c r="AK327" s="92" t="n"/>
      <c r="AL327" s="92" t="n"/>
      <c r="AM327" s="92" t="n"/>
      <c r="AN327" s="92" t="n"/>
      <c r="AO327" s="92" t="n"/>
      <c r="AP327" s="92" t="n"/>
      <c r="AQ327" s="92" t="n"/>
      <c r="AR327" s="92" t="n"/>
      <c r="AS327" s="92" t="n"/>
      <c r="AT327" s="92" t="n"/>
      <c r="AU327" s="92" t="n"/>
      <c r="AV327" s="92" t="n"/>
      <c r="AX327" s="139" t="inlineStr"/>
      <c r="AY327" s="139" t="inlineStr"/>
      <c r="AZ327" s="92" t="n"/>
    </row>
    <row r="328" ht="16.5" customFormat="1" customHeight="1" s="56">
      <c r="A328" s="92" t="n"/>
      <c r="B328" s="92" t="n"/>
      <c r="C328" s="92" t="n"/>
      <c r="D328" s="92" t="n"/>
      <c r="E328" s="92" t="n"/>
      <c r="F328" s="92" t="n"/>
      <c r="G328" s="92" t="n"/>
      <c r="H328" s="92" t="n"/>
      <c r="I328" s="92" t="n"/>
      <c r="J328" s="92" t="n"/>
      <c r="K328" s="92" t="n"/>
      <c r="L328" s="92" t="n"/>
      <c r="M328" s="92" t="n"/>
      <c r="N328" s="92" t="n"/>
      <c r="O328" s="92" t="n"/>
      <c r="P328" s="92" t="n"/>
      <c r="Q328" s="92" t="n"/>
      <c r="R328" s="92" t="n"/>
      <c r="S328" s="92" t="n"/>
      <c r="T328" s="92" t="n"/>
      <c r="U328" s="92" t="n"/>
      <c r="V328" s="92" t="n"/>
      <c r="W328" s="92" t="n"/>
      <c r="X328" s="92" t="n"/>
      <c r="Y328" s="92" t="n"/>
      <c r="Z328" s="92" t="n"/>
      <c r="AA328" s="92" t="n"/>
      <c r="AB328" s="92" t="n"/>
      <c r="AC328" s="92" t="n"/>
      <c r="AD328" s="92" t="n"/>
      <c r="AE328" s="92" t="n"/>
      <c r="AF328" s="92" t="n"/>
      <c r="AG328" s="92" t="n"/>
      <c r="AH328" s="92" t="n"/>
      <c r="AI328" s="92" t="n"/>
      <c r="AJ328" s="92" t="n"/>
      <c r="AK328" s="92" t="n"/>
      <c r="AL328" s="92" t="n"/>
      <c r="AM328" s="92" t="n"/>
      <c r="AN328" s="92" t="n"/>
      <c r="AO328" s="92" t="n"/>
      <c r="AP328" s="92" t="n"/>
      <c r="AQ328" s="92" t="n"/>
      <c r="AR328" s="92" t="n"/>
      <c r="AS328" s="92" t="n"/>
      <c r="AT328" s="92" t="n"/>
      <c r="AU328" s="92" t="n"/>
      <c r="AV328" s="92" t="n"/>
      <c r="AX328" s="139" t="inlineStr"/>
      <c r="AY328" s="139" t="inlineStr"/>
      <c r="AZ328" s="92" t="n"/>
    </row>
    <row r="329" ht="16.5" customFormat="1" customHeight="1" s="56">
      <c r="A329" s="92" t="n"/>
      <c r="B329" s="92" t="n"/>
      <c r="C329" s="92" t="n"/>
      <c r="D329" s="92" t="n"/>
      <c r="E329" s="92" t="n"/>
      <c r="F329" s="92" t="n"/>
      <c r="G329" s="92" t="n"/>
      <c r="H329" s="92" t="n"/>
      <c r="I329" s="92" t="n"/>
      <c r="J329" s="92" t="n"/>
      <c r="K329" s="92" t="n"/>
      <c r="L329" s="92" t="n"/>
      <c r="M329" s="92" t="n"/>
      <c r="N329" s="92" t="n"/>
      <c r="O329" s="92" t="n"/>
      <c r="P329" s="92" t="n"/>
      <c r="Q329" s="92" t="n"/>
      <c r="R329" s="92" t="n"/>
      <c r="S329" s="92" t="n"/>
      <c r="T329" s="92" t="n"/>
      <c r="U329" s="92" t="n"/>
      <c r="V329" s="92" t="n"/>
      <c r="W329" s="92" t="n"/>
      <c r="X329" s="92" t="n"/>
      <c r="Y329" s="92" t="n"/>
      <c r="Z329" s="92" t="n"/>
      <c r="AA329" s="92" t="n"/>
      <c r="AB329" s="92" t="n"/>
      <c r="AC329" s="92" t="n"/>
      <c r="AD329" s="92" t="n"/>
      <c r="AE329" s="92" t="n"/>
      <c r="AF329" s="92" t="n"/>
      <c r="AG329" s="92" t="n"/>
      <c r="AH329" s="92" t="n"/>
      <c r="AI329" s="92" t="n"/>
      <c r="AJ329" s="92" t="n"/>
      <c r="AK329" s="92" t="n"/>
      <c r="AL329" s="92" t="n"/>
      <c r="AM329" s="92" t="n"/>
      <c r="AN329" s="92" t="n"/>
      <c r="AO329" s="92" t="n"/>
      <c r="AP329" s="92" t="n"/>
      <c r="AQ329" s="92" t="n"/>
      <c r="AR329" s="92" t="n"/>
      <c r="AS329" s="92" t="n"/>
      <c r="AT329" s="92" t="n"/>
      <c r="AU329" s="92" t="n"/>
      <c r="AV329" s="92" t="n"/>
      <c r="AX329" s="139" t="inlineStr"/>
      <c r="AY329" s="139" t="inlineStr"/>
      <c r="AZ329" s="92" t="n"/>
    </row>
    <row r="330" ht="16.5" customFormat="1" customHeight="1" s="56">
      <c r="A330" s="92" t="n"/>
      <c r="B330" s="92" t="n"/>
      <c r="C330" s="92" t="n"/>
      <c r="D330" s="92" t="n"/>
      <c r="E330" s="92" t="n"/>
      <c r="F330" s="92" t="n"/>
      <c r="G330" s="92" t="n"/>
      <c r="H330" s="92" t="n"/>
      <c r="I330" s="92" t="n"/>
      <c r="J330" s="92" t="n"/>
      <c r="K330" s="92" t="n"/>
      <c r="L330" s="92" t="n"/>
      <c r="M330" s="92" t="n"/>
      <c r="N330" s="92" t="n"/>
      <c r="O330" s="92" t="n"/>
      <c r="P330" s="92" t="n"/>
      <c r="Q330" s="92" t="n"/>
      <c r="R330" s="92" t="n"/>
      <c r="S330" s="92" t="n"/>
      <c r="T330" s="92" t="n"/>
      <c r="U330" s="92" t="n"/>
      <c r="V330" s="92" t="n"/>
      <c r="W330" s="92" t="n"/>
      <c r="X330" s="92" t="n"/>
      <c r="Y330" s="92" t="n"/>
      <c r="Z330" s="92" t="n"/>
      <c r="AA330" s="92" t="n"/>
      <c r="AB330" s="92" t="n"/>
      <c r="AC330" s="92" t="n"/>
      <c r="AD330" s="92" t="n"/>
      <c r="AE330" s="92" t="n"/>
      <c r="AF330" s="92" t="n"/>
      <c r="AG330" s="92" t="n"/>
      <c r="AH330" s="92" t="n"/>
      <c r="AI330" s="92" t="n"/>
      <c r="AJ330" s="92" t="n"/>
      <c r="AK330" s="92" t="n"/>
      <c r="AL330" s="92" t="n"/>
      <c r="AM330" s="92" t="n"/>
      <c r="AN330" s="92" t="n"/>
      <c r="AO330" s="92" t="n"/>
      <c r="AP330" s="92" t="n"/>
      <c r="AQ330" s="92" t="n"/>
      <c r="AR330" s="92" t="n"/>
      <c r="AS330" s="92" t="n"/>
      <c r="AT330" s="92" t="n"/>
      <c r="AU330" s="92" t="n"/>
      <c r="AV330" s="92" t="n"/>
      <c r="AX330" s="139" t="inlineStr"/>
      <c r="AY330" s="139" t="inlineStr"/>
      <c r="AZ330" s="92" t="n"/>
    </row>
    <row r="331" ht="16.5" customFormat="1" customHeight="1" s="56">
      <c r="A331" s="92" t="n"/>
      <c r="B331" s="92" t="n"/>
      <c r="C331" s="92" t="n"/>
      <c r="D331" s="92" t="n"/>
      <c r="E331" s="92" t="n"/>
      <c r="F331" s="92" t="n"/>
      <c r="G331" s="92" t="n"/>
      <c r="H331" s="92" t="n"/>
      <c r="I331" s="92" t="n"/>
      <c r="J331" s="92" t="n"/>
      <c r="K331" s="92" t="n"/>
      <c r="L331" s="92" t="n"/>
      <c r="M331" s="92" t="n"/>
      <c r="N331" s="92" t="n"/>
      <c r="O331" s="92" t="n"/>
      <c r="P331" s="92" t="n"/>
      <c r="Q331" s="92" t="n"/>
      <c r="R331" s="92" t="n"/>
      <c r="S331" s="92" t="n"/>
      <c r="T331" s="92" t="n"/>
      <c r="U331" s="92" t="n"/>
      <c r="V331" s="92" t="n"/>
      <c r="W331" s="92" t="n"/>
      <c r="X331" s="92" t="n"/>
      <c r="Y331" s="92" t="n"/>
      <c r="Z331" s="92" t="n"/>
      <c r="AA331" s="92" t="n"/>
      <c r="AB331" s="92" t="n"/>
      <c r="AC331" s="92" t="n"/>
      <c r="AD331" s="92" t="n"/>
      <c r="AE331" s="92" t="n"/>
      <c r="AF331" s="92" t="n"/>
      <c r="AG331" s="92" t="n"/>
      <c r="AH331" s="92" t="n"/>
      <c r="AI331" s="92" t="n"/>
      <c r="AJ331" s="92" t="n"/>
      <c r="AK331" s="92" t="n"/>
      <c r="AL331" s="92" t="n"/>
      <c r="AM331" s="92" t="n"/>
      <c r="AN331" s="92" t="n"/>
      <c r="AO331" s="92" t="n"/>
      <c r="AP331" s="92" t="n"/>
      <c r="AQ331" s="92" t="n"/>
      <c r="AR331" s="92" t="n"/>
      <c r="AS331" s="92" t="n"/>
      <c r="AT331" s="92" t="n"/>
      <c r="AU331" s="92" t="n"/>
      <c r="AV331" s="92" t="n"/>
      <c r="AX331" s="139" t="inlineStr"/>
      <c r="AY331" s="139" t="inlineStr"/>
      <c r="AZ331" s="92" t="n"/>
    </row>
    <row r="332" ht="16.5" customFormat="1" customHeight="1" s="56">
      <c r="A332" s="92" t="n"/>
      <c r="B332" s="92" t="n"/>
      <c r="C332" s="92" t="n"/>
      <c r="D332" s="92" t="n"/>
      <c r="E332" s="92" t="n"/>
      <c r="F332" s="92" t="n"/>
      <c r="G332" s="92" t="n"/>
      <c r="H332" s="92" t="n"/>
      <c r="I332" s="92" t="n"/>
      <c r="J332" s="92" t="n"/>
      <c r="K332" s="92" t="n"/>
      <c r="L332" s="92" t="n"/>
      <c r="M332" s="92" t="n"/>
      <c r="N332" s="92" t="n"/>
      <c r="O332" s="92" t="n"/>
      <c r="P332" s="92" t="n"/>
      <c r="Q332" s="92" t="n"/>
      <c r="R332" s="92" t="n"/>
      <c r="S332" s="92" t="n"/>
      <c r="T332" s="92" t="n"/>
      <c r="U332" s="92" t="n"/>
      <c r="V332" s="92" t="n"/>
      <c r="W332" s="92" t="n"/>
      <c r="X332" s="92" t="n"/>
      <c r="Y332" s="92" t="n"/>
      <c r="Z332" s="92" t="n"/>
      <c r="AA332" s="92" t="n"/>
      <c r="AB332" s="92" t="n"/>
      <c r="AC332" s="92" t="n"/>
      <c r="AD332" s="92" t="n"/>
      <c r="AE332" s="92" t="n"/>
      <c r="AF332" s="92" t="n"/>
      <c r="AG332" s="92" t="n"/>
      <c r="AH332" s="92" t="n"/>
      <c r="AI332" s="92" t="n"/>
      <c r="AJ332" s="92" t="n"/>
      <c r="AK332" s="92" t="n"/>
      <c r="AL332" s="92" t="n"/>
      <c r="AM332" s="92" t="n"/>
      <c r="AN332" s="92" t="n"/>
      <c r="AO332" s="92" t="n"/>
      <c r="AP332" s="92" t="n"/>
      <c r="AQ332" s="92" t="n"/>
      <c r="AR332" s="92" t="n"/>
      <c r="AS332" s="92" t="n"/>
      <c r="AT332" s="92" t="n"/>
      <c r="AU332" s="92" t="n"/>
      <c r="AV332" s="92" t="n"/>
      <c r="AX332" s="139" t="inlineStr"/>
      <c r="AY332" s="139" t="inlineStr"/>
      <c r="AZ332" s="92" t="n"/>
    </row>
    <row r="333" ht="16.5" customFormat="1" customHeight="1" s="56">
      <c r="A333" s="92" t="n"/>
      <c r="B333" s="92" t="n"/>
      <c r="C333" s="92" t="n"/>
      <c r="D333" s="92" t="n"/>
      <c r="E333" s="92" t="n"/>
      <c r="F333" s="92" t="n"/>
      <c r="G333" s="92" t="n"/>
      <c r="H333" s="92" t="n"/>
      <c r="I333" s="92" t="n"/>
      <c r="J333" s="92" t="n"/>
      <c r="K333" s="92" t="n"/>
      <c r="L333" s="92" t="n"/>
      <c r="M333" s="92" t="n"/>
      <c r="N333" s="92" t="n"/>
      <c r="O333" s="92" t="n"/>
      <c r="P333" s="92" t="n"/>
      <c r="Q333" s="92" t="n"/>
      <c r="R333" s="92" t="n"/>
      <c r="S333" s="92" t="n"/>
      <c r="T333" s="92" t="n"/>
      <c r="U333" s="92" t="n"/>
      <c r="V333" s="92" t="n"/>
      <c r="W333" s="92" t="n"/>
      <c r="X333" s="92" t="n"/>
      <c r="Y333" s="92" t="n"/>
      <c r="Z333" s="92" t="n"/>
      <c r="AA333" s="92" t="n"/>
      <c r="AB333" s="92" t="n"/>
      <c r="AC333" s="92" t="n"/>
      <c r="AD333" s="92" t="n"/>
      <c r="AE333" s="92" t="n"/>
      <c r="AF333" s="92" t="n"/>
      <c r="AG333" s="92" t="n"/>
      <c r="AH333" s="92" t="n"/>
      <c r="AI333" s="92" t="n"/>
      <c r="AJ333" s="92" t="n"/>
      <c r="AK333" s="92" t="n"/>
      <c r="AL333" s="92" t="n"/>
      <c r="AM333" s="92" t="n"/>
      <c r="AN333" s="92" t="n"/>
      <c r="AO333" s="92" t="n"/>
      <c r="AP333" s="92" t="n"/>
      <c r="AQ333" s="92" t="n"/>
      <c r="AR333" s="92" t="n"/>
      <c r="AS333" s="92" t="n"/>
      <c r="AT333" s="92" t="n"/>
      <c r="AU333" s="92" t="n"/>
      <c r="AV333" s="92" t="n"/>
      <c r="AX333" s="139" t="inlineStr"/>
      <c r="AY333" s="139" t="inlineStr"/>
      <c r="AZ333" s="92" t="n"/>
    </row>
    <row r="334" ht="16.5" customFormat="1" customHeight="1" s="56">
      <c r="A334" s="92" t="n"/>
      <c r="B334" s="92" t="n"/>
      <c r="C334" s="92" t="n"/>
      <c r="D334" s="92" t="n"/>
      <c r="E334" s="92" t="n"/>
      <c r="F334" s="92" t="n"/>
      <c r="G334" s="92" t="n"/>
      <c r="H334" s="92" t="n"/>
      <c r="I334" s="92" t="n"/>
      <c r="J334" s="92" t="n"/>
      <c r="K334" s="92" t="n"/>
      <c r="L334" s="92" t="n"/>
      <c r="M334" s="92" t="n"/>
      <c r="N334" s="92" t="n"/>
      <c r="O334" s="92" t="n"/>
      <c r="P334" s="92" t="n"/>
      <c r="Q334" s="92" t="n"/>
      <c r="R334" s="92" t="n"/>
      <c r="S334" s="92" t="n"/>
      <c r="T334" s="92" t="n"/>
      <c r="U334" s="92" t="n"/>
      <c r="V334" s="92" t="n"/>
      <c r="W334" s="92" t="n"/>
      <c r="X334" s="92" t="n"/>
      <c r="Y334" s="92" t="n"/>
      <c r="Z334" s="92" t="n"/>
      <c r="AA334" s="92" t="n"/>
      <c r="AB334" s="92" t="n"/>
      <c r="AC334" s="92" t="n"/>
      <c r="AD334" s="92" t="n"/>
      <c r="AE334" s="92" t="n"/>
      <c r="AF334" s="92" t="n"/>
      <c r="AG334" s="92" t="n"/>
      <c r="AH334" s="92" t="n"/>
      <c r="AI334" s="92" t="n"/>
      <c r="AJ334" s="92" t="n"/>
      <c r="AK334" s="92" t="n"/>
      <c r="AL334" s="92" t="n"/>
      <c r="AM334" s="92" t="n"/>
      <c r="AN334" s="92" t="n"/>
      <c r="AO334" s="92" t="n"/>
      <c r="AP334" s="92" t="n"/>
      <c r="AQ334" s="92" t="n"/>
      <c r="AR334" s="92" t="n"/>
      <c r="AS334" s="92" t="n"/>
      <c r="AT334" s="92" t="n"/>
      <c r="AU334" s="92" t="n"/>
      <c r="AV334" s="92" t="n"/>
      <c r="AX334" s="139" t="inlineStr"/>
      <c r="AY334" s="139" t="inlineStr"/>
      <c r="AZ334" s="92" t="n"/>
    </row>
    <row r="335" ht="16.5" customFormat="1" customHeight="1" s="56">
      <c r="A335" s="92" t="n"/>
      <c r="B335" s="92" t="n"/>
      <c r="C335" s="92" t="n"/>
      <c r="D335" s="92" t="n"/>
      <c r="E335" s="92" t="n"/>
      <c r="F335" s="92" t="n"/>
      <c r="G335" s="92" t="n"/>
      <c r="H335" s="92" t="n"/>
      <c r="I335" s="92" t="n"/>
      <c r="J335" s="92" t="n"/>
      <c r="K335" s="92" t="n"/>
      <c r="L335" s="92" t="n"/>
      <c r="M335" s="92" t="n"/>
      <c r="N335" s="92" t="n"/>
      <c r="O335" s="92" t="n"/>
      <c r="P335" s="92" t="n"/>
      <c r="Q335" s="92" t="n"/>
      <c r="R335" s="92" t="n"/>
      <c r="S335" s="92" t="n"/>
      <c r="T335" s="92" t="n"/>
      <c r="U335" s="92" t="n"/>
      <c r="V335" s="92" t="n"/>
      <c r="W335" s="92" t="n"/>
      <c r="X335" s="92" t="n"/>
      <c r="Y335" s="92" t="n"/>
      <c r="Z335" s="92" t="n"/>
      <c r="AA335" s="92" t="n"/>
      <c r="AB335" s="92" t="n"/>
      <c r="AC335" s="92" t="n"/>
      <c r="AD335" s="92" t="n"/>
      <c r="AE335" s="92" t="n"/>
      <c r="AF335" s="92" t="n"/>
      <c r="AG335" s="92" t="n"/>
      <c r="AH335" s="92" t="n"/>
      <c r="AI335" s="92" t="n"/>
      <c r="AJ335" s="92" t="n"/>
      <c r="AK335" s="92" t="n"/>
      <c r="AL335" s="92" t="n"/>
      <c r="AM335" s="92" t="n"/>
      <c r="AN335" s="92" t="n"/>
      <c r="AO335" s="92" t="n"/>
      <c r="AP335" s="92" t="n"/>
      <c r="AQ335" s="92" t="n"/>
      <c r="AR335" s="92" t="n"/>
      <c r="AS335" s="92" t="n"/>
      <c r="AT335" s="92" t="n"/>
      <c r="AU335" s="92" t="n"/>
      <c r="AV335" s="92" t="n"/>
      <c r="AX335" s="139" t="inlineStr"/>
      <c r="AY335" s="139" t="inlineStr"/>
      <c r="AZ335" s="92" t="n"/>
    </row>
    <row r="336" ht="16.5" customFormat="1" customHeight="1" s="56">
      <c r="A336" s="92" t="n"/>
      <c r="B336" s="92" t="n"/>
      <c r="C336" s="92" t="n"/>
      <c r="D336" s="92" t="n"/>
      <c r="E336" s="92" t="n"/>
      <c r="F336" s="92" t="n"/>
      <c r="G336" s="92" t="n"/>
      <c r="H336" s="92" t="n"/>
      <c r="I336" s="92" t="n"/>
      <c r="J336" s="92" t="n"/>
      <c r="K336" s="92" t="n"/>
      <c r="L336" s="92" t="n"/>
      <c r="M336" s="92" t="n"/>
      <c r="N336" s="92" t="n"/>
      <c r="O336" s="92" t="n"/>
      <c r="P336" s="92" t="n"/>
      <c r="Q336" s="92" t="n"/>
      <c r="R336" s="92" t="n"/>
      <c r="S336" s="92" t="n"/>
      <c r="T336" s="92" t="n"/>
      <c r="U336" s="92" t="n"/>
      <c r="V336" s="92" t="n"/>
      <c r="W336" s="92" t="n"/>
      <c r="X336" s="92" t="n"/>
      <c r="Y336" s="92" t="n"/>
      <c r="Z336" s="92" t="n"/>
      <c r="AA336" s="92" t="n"/>
      <c r="AB336" s="92" t="n"/>
      <c r="AC336" s="92" t="n"/>
      <c r="AD336" s="92" t="n"/>
      <c r="AE336" s="92" t="n"/>
      <c r="AF336" s="92" t="n"/>
      <c r="AG336" s="92" t="n"/>
      <c r="AH336" s="92" t="n"/>
      <c r="AI336" s="92" t="n"/>
      <c r="AJ336" s="92" t="n"/>
      <c r="AK336" s="92" t="n"/>
      <c r="AL336" s="92" t="n"/>
      <c r="AM336" s="92" t="n"/>
      <c r="AN336" s="92" t="n"/>
      <c r="AO336" s="92" t="n"/>
      <c r="AP336" s="92" t="n"/>
      <c r="AQ336" s="92" t="n"/>
      <c r="AR336" s="92" t="n"/>
      <c r="AS336" s="92" t="n"/>
      <c r="AT336" s="92" t="n"/>
      <c r="AU336" s="92" t="n"/>
      <c r="AV336" s="92" t="n"/>
      <c r="AX336" s="139" t="inlineStr"/>
      <c r="AY336" s="139" t="inlineStr"/>
      <c r="AZ336" s="139" t="n"/>
      <c r="BA336" s="113" t="inlineStr">
        <is>
          <t>20평대</t>
        </is>
      </c>
      <c r="BB336" s="140" t="n">
        <v>0</v>
      </c>
      <c r="BC336" s="140" t="n">
        <v>0</v>
      </c>
      <c r="BD336" s="140" t="n">
        <v>0</v>
      </c>
      <c r="BE336" s="140" t="n">
        <v>0</v>
      </c>
      <c r="BF336" s="140" t="n">
        <v>0</v>
      </c>
    </row>
    <row r="337" ht="16.5" customFormat="1" customHeight="1" s="56">
      <c r="A337" s="92" t="n"/>
      <c r="B337" s="92" t="n"/>
      <c r="C337" s="92" t="n"/>
      <c r="D337" s="92" t="n"/>
      <c r="E337" s="92" t="n"/>
      <c r="F337" s="92" t="n"/>
      <c r="G337" s="92" t="n"/>
      <c r="H337" s="92" t="n"/>
      <c r="I337" s="92" t="n"/>
      <c r="J337" s="92" t="n"/>
      <c r="K337" s="92" t="n"/>
      <c r="L337" s="92" t="n"/>
      <c r="M337" s="92" t="n"/>
      <c r="N337" s="92" t="n"/>
      <c r="O337" s="92" t="n"/>
      <c r="P337" s="92" t="n"/>
      <c r="Q337" s="92" t="n"/>
      <c r="R337" s="92" t="n"/>
      <c r="S337" s="92" t="n"/>
      <c r="T337" s="92" t="n"/>
      <c r="U337" s="92" t="n"/>
      <c r="V337" s="92" t="n"/>
      <c r="W337" s="92" t="n"/>
      <c r="X337" s="92" t="n"/>
      <c r="Y337" s="92" t="n"/>
      <c r="Z337" s="92" t="n"/>
      <c r="AA337" s="92" t="n"/>
      <c r="AB337" s="92" t="n"/>
      <c r="AC337" s="92" t="n"/>
      <c r="AD337" s="92" t="n"/>
      <c r="AE337" s="92" t="n"/>
      <c r="AF337" s="92" t="n"/>
      <c r="AG337" s="92" t="n"/>
      <c r="AH337" s="92" t="n"/>
      <c r="AI337" s="92" t="n"/>
      <c r="AJ337" s="92" t="n"/>
      <c r="AK337" s="92" t="n"/>
      <c r="AL337" s="92" t="n"/>
      <c r="AM337" s="92" t="n"/>
      <c r="AN337" s="92" t="n"/>
      <c r="AO337" s="92" t="n"/>
      <c r="AP337" s="92" t="n"/>
      <c r="AQ337" s="92" t="n"/>
      <c r="AR337" s="92" t="n"/>
      <c r="AS337" s="92" t="n"/>
      <c r="AT337" s="92" t="n"/>
      <c r="AU337" s="92" t="n"/>
      <c r="AV337" s="92" t="n"/>
      <c r="AX337" s="139" t="inlineStr"/>
      <c r="AY337" s="139" t="inlineStr"/>
      <c r="AZ337" s="139" t="n"/>
      <c r="BA337" s="113" t="inlineStr">
        <is>
          <t>30평대</t>
        </is>
      </c>
      <c r="BB337" s="140" t="n">
        <v>0</v>
      </c>
      <c r="BC337" s="140" t="n">
        <v>0</v>
      </c>
      <c r="BD337" s="140" t="n">
        <v>0</v>
      </c>
      <c r="BE337" s="140" t="n">
        <v>0</v>
      </c>
      <c r="BF337" s="140" t="n">
        <v>0</v>
      </c>
    </row>
    <row r="338" ht="16.5" customFormat="1" customHeight="1" s="56">
      <c r="A338" s="92" t="n"/>
      <c r="B338" s="92" t="n"/>
      <c r="C338" s="92" t="n"/>
      <c r="D338" s="92" t="n"/>
      <c r="E338" s="92" t="n"/>
      <c r="F338" s="92" t="n"/>
      <c r="G338" s="92" t="n"/>
      <c r="H338" s="92" t="n"/>
      <c r="I338" s="92" t="n"/>
      <c r="J338" s="92" t="n"/>
      <c r="K338" s="92" t="n"/>
      <c r="L338" s="92" t="n"/>
      <c r="M338" s="92" t="n"/>
      <c r="N338" s="92" t="n"/>
      <c r="O338" s="92" t="n"/>
      <c r="P338" s="92" t="n"/>
      <c r="Q338" s="92" t="n"/>
      <c r="R338" s="92" t="n"/>
      <c r="S338" s="92" t="n"/>
      <c r="T338" s="92" t="n"/>
      <c r="U338" s="92" t="n"/>
      <c r="V338" s="92" t="n"/>
      <c r="W338" s="92" t="n"/>
      <c r="X338" s="92" t="n"/>
      <c r="Y338" s="92" t="n"/>
      <c r="Z338" s="92" t="n"/>
      <c r="AA338" s="92" t="n"/>
      <c r="AB338" s="92" t="n"/>
      <c r="AC338" s="92" t="n"/>
      <c r="AD338" s="92" t="n"/>
      <c r="AE338" s="92" t="n"/>
      <c r="AF338" s="92" t="n"/>
      <c r="AG338" s="92" t="n"/>
      <c r="AH338" s="92" t="n"/>
      <c r="AI338" s="92" t="n"/>
      <c r="AJ338" s="92" t="n"/>
      <c r="AK338" s="92" t="n"/>
      <c r="AL338" s="92" t="n"/>
      <c r="AM338" s="92" t="n"/>
      <c r="AN338" s="92" t="n"/>
      <c r="AO338" s="92" t="n"/>
      <c r="AP338" s="92" t="n"/>
      <c r="AQ338" s="92" t="n"/>
      <c r="AR338" s="92" t="n"/>
      <c r="AS338" s="92" t="n"/>
      <c r="AT338" s="92" t="n"/>
      <c r="AU338" s="92" t="n"/>
      <c r="AV338" s="92" t="n"/>
      <c r="AX338" s="139" t="inlineStr"/>
      <c r="AY338" s="139" t="inlineStr"/>
      <c r="AZ338" s="139" t="n"/>
      <c r="BA338" s="115" t="inlineStr">
        <is>
          <t>40평대↑</t>
        </is>
      </c>
      <c r="BB338" s="141" t="n">
        <v>0</v>
      </c>
      <c r="BC338" s="141" t="n">
        <v>0</v>
      </c>
      <c r="BD338" s="141" t="n">
        <v>0</v>
      </c>
      <c r="BE338" s="141" t="n">
        <v>0</v>
      </c>
      <c r="BF338" s="141" t="n">
        <v>0</v>
      </c>
    </row>
    <row r="339" ht="16.5" customFormat="1" customHeight="1" s="56">
      <c r="A339" s="92" t="n"/>
      <c r="B339" s="92" t="n"/>
      <c r="C339" s="92" t="n"/>
      <c r="D339" s="92" t="n"/>
      <c r="E339" s="92" t="n"/>
      <c r="F339" s="92" t="n"/>
      <c r="G339" s="92" t="n"/>
      <c r="H339" s="92" t="n"/>
      <c r="I339" s="92" t="n"/>
      <c r="J339" s="92" t="n"/>
      <c r="K339" s="92" t="n"/>
      <c r="L339" s="92" t="n"/>
      <c r="M339" s="92" t="n"/>
      <c r="N339" s="92" t="n"/>
      <c r="O339" s="92" t="n"/>
      <c r="P339" s="92" t="n"/>
      <c r="Q339" s="92" t="n"/>
      <c r="R339" s="92" t="n"/>
      <c r="S339" s="92" t="n"/>
      <c r="T339" s="92" t="n"/>
      <c r="U339" s="92" t="n"/>
      <c r="V339" s="92" t="n"/>
      <c r="W339" s="92" t="n"/>
      <c r="X339" s="92" t="n"/>
      <c r="Y339" s="92" t="n"/>
      <c r="Z339" s="92" t="n"/>
      <c r="AA339" s="92" t="n"/>
      <c r="AB339" s="92" t="n"/>
      <c r="AC339" s="92" t="n"/>
      <c r="AD339" s="92" t="n"/>
      <c r="AE339" s="92" t="n"/>
      <c r="AF339" s="92" t="n"/>
      <c r="AG339" s="92" t="n"/>
      <c r="AH339" s="92" t="n"/>
      <c r="AI339" s="92" t="n"/>
      <c r="AJ339" s="92" t="n"/>
      <c r="AK339" s="92" t="n"/>
      <c r="AL339" s="92" t="n"/>
      <c r="AM339" s="92" t="n"/>
      <c r="AN339" s="92" t="n"/>
      <c r="AO339" s="92" t="n"/>
      <c r="AP339" s="92" t="n"/>
      <c r="AQ339" s="92" t="n"/>
      <c r="AR339" s="92" t="n"/>
      <c r="AS339" s="92" t="n"/>
      <c r="AT339" s="92" t="n"/>
      <c r="AU339" s="92" t="n"/>
      <c r="AV339" s="92" t="n"/>
      <c r="AX339" s="139" t="inlineStr"/>
      <c r="AY339" s="139" t="inlineStr"/>
      <c r="AZ339" s="139" t="n"/>
      <c r="BA339" s="3" t="n"/>
    </row>
    <row r="340" ht="16.5" customFormat="1" customHeight="1" s="56">
      <c r="A340" s="92" t="n"/>
      <c r="B340" s="92" t="n"/>
      <c r="C340" s="92" t="n"/>
      <c r="D340" s="92" t="n"/>
      <c r="E340" s="92" t="n"/>
      <c r="F340" s="92" t="n"/>
      <c r="G340" s="92" t="n"/>
      <c r="H340" s="92" t="n"/>
      <c r="I340" s="92" t="n"/>
      <c r="J340" s="92" t="n"/>
      <c r="K340" s="92" t="n"/>
      <c r="L340" s="92" t="n"/>
      <c r="M340" s="92" t="n"/>
      <c r="N340" s="92" t="n"/>
      <c r="O340" s="92" t="n"/>
      <c r="P340" s="92" t="n"/>
      <c r="Q340" s="92" t="n"/>
      <c r="R340" s="92" t="n"/>
      <c r="S340" s="92" t="n"/>
      <c r="T340" s="92" t="n"/>
      <c r="U340" s="92" t="n"/>
      <c r="V340" s="92" t="n"/>
      <c r="W340" s="92" t="n"/>
      <c r="X340" s="92" t="n"/>
      <c r="Y340" s="92" t="n"/>
      <c r="Z340" s="92" t="n"/>
      <c r="AA340" s="92" t="n"/>
      <c r="AB340" s="92" t="n"/>
      <c r="AC340" s="92" t="n"/>
      <c r="AD340" s="92" t="n"/>
      <c r="AE340" s="92" t="n"/>
      <c r="AF340" s="92" t="n"/>
      <c r="AG340" s="92" t="n"/>
      <c r="AH340" s="92" t="n"/>
      <c r="AI340" s="92" t="n"/>
      <c r="AJ340" s="92" t="n"/>
      <c r="AK340" s="92" t="n"/>
      <c r="AL340" s="92" t="n"/>
      <c r="AM340" s="92" t="n"/>
      <c r="AN340" s="92" t="n"/>
      <c r="AO340" s="92" t="n"/>
      <c r="AP340" s="92" t="n"/>
      <c r="AQ340" s="92" t="n"/>
      <c r="AR340" s="92" t="n"/>
      <c r="AS340" s="92" t="n"/>
      <c r="AT340" s="92" t="n"/>
      <c r="AU340" s="92" t="n"/>
      <c r="AV340" s="92" t="n"/>
      <c r="AX340" s="139" t="inlineStr"/>
      <c r="AY340" s="139" t="inlineStr"/>
      <c r="AZ340" s="139" t="n"/>
      <c r="BA340" s="113" t="n"/>
      <c r="BB340" s="113" t="inlineStr">
        <is>
          <t>10년 이하</t>
        </is>
      </c>
      <c r="BC340" s="113" t="inlineStr">
        <is>
          <t>10~20년</t>
        </is>
      </c>
      <c r="BD340" s="113" t="inlineStr">
        <is>
          <t>20~30년</t>
        </is>
      </c>
      <c r="BE340" s="113" t="inlineStr">
        <is>
          <t>30년 이상</t>
        </is>
      </c>
      <c r="BF340" s="113" t="inlineStr">
        <is>
          <t>합계</t>
        </is>
      </c>
    </row>
    <row r="341" ht="16.5" customFormat="1" customHeight="1" s="56">
      <c r="A341" s="92" t="n"/>
      <c r="B341" s="92" t="n"/>
      <c r="C341" s="92" t="n"/>
      <c r="D341" s="92" t="n"/>
      <c r="E341" s="92" t="n"/>
      <c r="F341" s="92" t="n"/>
      <c r="G341" s="92" t="n"/>
      <c r="H341" s="92" t="n"/>
      <c r="I341" s="92" t="n"/>
      <c r="J341" s="92" t="n"/>
      <c r="K341" s="92" t="n"/>
      <c r="L341" s="92" t="n"/>
      <c r="M341" s="92" t="n"/>
      <c r="N341" s="92" t="n"/>
      <c r="O341" s="92" t="n"/>
      <c r="P341" s="92" t="n"/>
      <c r="Q341" s="92" t="n"/>
      <c r="R341" s="92" t="n"/>
      <c r="S341" s="92" t="n"/>
      <c r="T341" s="92" t="n"/>
      <c r="U341" s="92" t="n"/>
      <c r="V341" s="92" t="n"/>
      <c r="W341" s="92" t="n"/>
      <c r="X341" s="92" t="n"/>
      <c r="Y341" s="92" t="n"/>
      <c r="Z341" s="92" t="n"/>
      <c r="AA341" s="92" t="n"/>
      <c r="AB341" s="92" t="n"/>
      <c r="AC341" s="92" t="n"/>
      <c r="AD341" s="92" t="n"/>
      <c r="AE341" s="92" t="n"/>
      <c r="AF341" s="92" t="n"/>
      <c r="AG341" s="92" t="n"/>
      <c r="AH341" s="92" t="n"/>
      <c r="AI341" s="92" t="n"/>
      <c r="AJ341" s="92" t="n"/>
      <c r="AK341" s="92" t="n"/>
      <c r="AL341" s="92" t="n"/>
      <c r="AM341" s="92" t="n"/>
      <c r="AN341" s="92" t="n"/>
      <c r="AO341" s="92" t="n"/>
      <c r="AP341" s="92" t="n"/>
      <c r="AQ341" s="92" t="n"/>
      <c r="AR341" s="92" t="n"/>
      <c r="AS341" s="92" t="n"/>
      <c r="AT341" s="92" t="n"/>
      <c r="AU341" s="92" t="n"/>
      <c r="AV341" s="92" t="n"/>
      <c r="AX341" s="139" t="inlineStr"/>
      <c r="AY341" s="139" t="inlineStr"/>
      <c r="BA341" s="113" t="inlineStr">
        <is>
          <t>20평대</t>
        </is>
      </c>
      <c r="BB341" s="142" t="e">
        <v>#DIV/0!</v>
      </c>
      <c r="BC341" s="142" t="e">
        <v>#DIV/0!</v>
      </c>
      <c r="BD341" s="142" t="e">
        <v>#DIV/0!</v>
      </c>
      <c r="BE341" s="142" t="e">
        <v>#DIV/0!</v>
      </c>
      <c r="BF341" s="142" t="e">
        <v>#DIV/0!</v>
      </c>
    </row>
    <row r="342" ht="16.5" customFormat="1" customHeight="1" s="56">
      <c r="A342" s="92" t="n"/>
      <c r="B342" s="92" t="n"/>
      <c r="C342" s="92" t="n"/>
      <c r="D342" s="92" t="n"/>
      <c r="E342" s="92" t="n"/>
      <c r="F342" s="92" t="n"/>
      <c r="G342" s="92" t="n"/>
      <c r="H342" s="92" t="n"/>
      <c r="I342" s="92" t="n"/>
      <c r="J342" s="92" t="n"/>
      <c r="K342" s="92" t="n"/>
      <c r="L342" s="92" t="n"/>
      <c r="M342" s="92" t="n"/>
      <c r="N342" s="92" t="n"/>
      <c r="O342" s="92" t="n"/>
      <c r="P342" s="92" t="n"/>
      <c r="Q342" s="92" t="n"/>
      <c r="R342" s="92" t="n"/>
      <c r="S342" s="92" t="n"/>
      <c r="T342" s="92" t="n"/>
      <c r="U342" s="92" t="n"/>
      <c r="V342" s="92" t="n"/>
      <c r="W342" s="92" t="n"/>
      <c r="X342" s="92" t="n"/>
      <c r="Y342" s="92" t="n"/>
      <c r="Z342" s="92" t="n"/>
      <c r="AA342" s="92" t="n"/>
      <c r="AB342" s="92" t="n"/>
      <c r="AC342" s="92" t="n"/>
      <c r="AD342" s="92" t="n"/>
      <c r="AE342" s="92" t="n"/>
      <c r="AF342" s="92" t="n"/>
      <c r="AG342" s="92" t="n"/>
      <c r="AH342" s="92" t="n"/>
      <c r="AI342" s="92" t="n"/>
      <c r="AJ342" s="92" t="n"/>
      <c r="AK342" s="92" t="n"/>
      <c r="AL342" s="92" t="n"/>
      <c r="AM342" s="92" t="n"/>
      <c r="AN342" s="92" t="n"/>
      <c r="AO342" s="92" t="n"/>
      <c r="AP342" s="92" t="n"/>
      <c r="AQ342" s="92" t="n"/>
      <c r="AR342" s="92" t="n"/>
      <c r="AS342" s="92" t="n"/>
      <c r="AT342" s="92" t="n"/>
      <c r="AU342" s="92" t="n"/>
      <c r="AV342" s="92" t="n"/>
      <c r="AX342" s="139" t="inlineStr"/>
      <c r="AY342" s="139" t="inlineStr"/>
      <c r="BA342" s="115" t="inlineStr">
        <is>
          <t>40평대↑</t>
        </is>
      </c>
      <c r="BB342" s="143" t="e">
        <v>#DIV/0!</v>
      </c>
      <c r="BC342" s="143" t="e">
        <v>#DIV/0!</v>
      </c>
      <c r="BD342" s="143" t="e">
        <v>#DIV/0!</v>
      </c>
      <c r="BE342" s="143" t="e">
        <v>#DIV/0!</v>
      </c>
      <c r="BF342" s="143" t="e">
        <v>#DIV/0!</v>
      </c>
    </row>
    <row r="343" ht="16.5" customFormat="1" customHeight="1" s="56">
      <c r="A343" s="92" t="n"/>
      <c r="B343" s="92" t="n"/>
      <c r="C343" s="92" t="n"/>
      <c r="D343" s="92" t="n"/>
      <c r="E343" s="92" t="n"/>
      <c r="F343" s="92" t="n"/>
      <c r="G343" s="92" t="n"/>
      <c r="H343" s="92" t="n"/>
      <c r="I343" s="92" t="n"/>
      <c r="J343" s="92" t="n"/>
      <c r="K343" s="92" t="n"/>
      <c r="L343" s="92" t="n"/>
      <c r="M343" s="92" t="n"/>
      <c r="N343" s="92" t="n"/>
      <c r="O343" s="92" t="n"/>
      <c r="P343" s="92" t="n"/>
      <c r="Q343" s="92" t="n"/>
      <c r="R343" s="92" t="n"/>
      <c r="S343" s="92" t="n"/>
      <c r="T343" s="92" t="n"/>
      <c r="U343" s="92" t="n"/>
      <c r="V343" s="92" t="n"/>
      <c r="W343" s="92" t="n"/>
      <c r="X343" s="92" t="n"/>
      <c r="Y343" s="92" t="n"/>
      <c r="Z343" s="92" t="n"/>
      <c r="AA343" s="92" t="n"/>
      <c r="AB343" s="92" t="n"/>
      <c r="AC343" s="92" t="n"/>
      <c r="AD343" s="92" t="n"/>
      <c r="AE343" s="92" t="n"/>
      <c r="AF343" s="92" t="n"/>
      <c r="AG343" s="92" t="n"/>
      <c r="AH343" s="92" t="n"/>
      <c r="AI343" s="92" t="n"/>
      <c r="AJ343" s="92" t="n"/>
      <c r="AK343" s="92" t="n"/>
      <c r="AL343" s="92" t="n"/>
      <c r="AM343" s="92" t="n"/>
      <c r="AN343" s="92" t="n"/>
      <c r="AO343" s="92" t="n"/>
      <c r="AP343" s="92" t="n"/>
      <c r="AQ343" s="92" t="n"/>
      <c r="AR343" s="92" t="n"/>
      <c r="AS343" s="92" t="n"/>
      <c r="AT343" s="92" t="n"/>
      <c r="AU343" s="92" t="n"/>
      <c r="AV343" s="92" t="n"/>
      <c r="AX343" s="139" t="inlineStr"/>
      <c r="AY343" s="139" t="inlineStr"/>
      <c r="BA343" s="113" t="inlineStr">
        <is>
          <t>합계</t>
        </is>
      </c>
      <c r="BB343" s="142" t="e">
        <v>#DIV/0!</v>
      </c>
      <c r="BC343" s="142" t="e">
        <v>#DIV/0!</v>
      </c>
      <c r="BD343" s="142" t="e">
        <v>#DIV/0!</v>
      </c>
      <c r="BE343" s="142" t="e">
        <v>#DIV/0!</v>
      </c>
      <c r="BF343" s="142" t="e">
        <v>#DIV/0!</v>
      </c>
    </row>
    <row r="344" ht="16.5" customFormat="1" customHeight="1" s="56">
      <c r="A344" s="92" t="n"/>
      <c r="B344" s="92" t="n"/>
      <c r="C344" s="92" t="n"/>
      <c r="D344" s="92" t="n"/>
      <c r="E344" s="92" t="n"/>
      <c r="F344" s="92" t="n"/>
      <c r="G344" s="92" t="n"/>
      <c r="H344" s="92" t="n"/>
      <c r="I344" s="92" t="n"/>
      <c r="J344" s="92" t="n"/>
      <c r="K344" s="92" t="n"/>
      <c r="L344" s="92" t="n"/>
      <c r="M344" s="92" t="n"/>
      <c r="N344" s="92" t="n"/>
      <c r="O344" s="92" t="n"/>
      <c r="P344" s="92" t="n"/>
      <c r="Q344" s="92" t="n"/>
      <c r="R344" s="92" t="n"/>
      <c r="S344" s="92" t="n"/>
      <c r="T344" s="92" t="n"/>
      <c r="U344" s="92" t="n"/>
      <c r="V344" s="92" t="n"/>
      <c r="W344" s="92" t="n"/>
      <c r="X344" s="92" t="n"/>
      <c r="Y344" s="92" t="n"/>
      <c r="Z344" s="92" t="n"/>
      <c r="AA344" s="92" t="n"/>
      <c r="AB344" s="92" t="n"/>
      <c r="AC344" s="92" t="n"/>
      <c r="AD344" s="92" t="n"/>
      <c r="AE344" s="92" t="n"/>
      <c r="AF344" s="92" t="n"/>
      <c r="AG344" s="92" t="n"/>
      <c r="AH344" s="92" t="n"/>
      <c r="AI344" s="92" t="n"/>
      <c r="AJ344" s="92" t="n"/>
      <c r="AK344" s="92" t="n"/>
      <c r="AL344" s="92" t="n"/>
      <c r="AM344" s="92" t="n"/>
      <c r="AN344" s="92" t="n"/>
      <c r="AO344" s="92" t="n"/>
      <c r="AP344" s="92" t="n"/>
      <c r="AQ344" s="92" t="n"/>
      <c r="AR344" s="92" t="n"/>
      <c r="AS344" s="92" t="n"/>
      <c r="AT344" s="92" t="n"/>
      <c r="AU344" s="92" t="n"/>
      <c r="AV344" s="92" t="n"/>
      <c r="AX344" s="139" t="inlineStr"/>
      <c r="AY344" s="139" t="inlineStr"/>
    </row>
    <row r="345" ht="16.5" customFormat="1" customHeight="1" s="56">
      <c r="A345" s="92" t="n"/>
      <c r="B345" s="92" t="n"/>
      <c r="C345" s="92" t="n"/>
      <c r="D345" s="92" t="n"/>
      <c r="E345" s="92" t="n"/>
      <c r="F345" s="92" t="n"/>
      <c r="G345" s="92" t="n"/>
      <c r="H345" s="92" t="n"/>
      <c r="I345" s="92" t="n"/>
      <c r="J345" s="92" t="n"/>
      <c r="K345" s="92" t="n"/>
      <c r="L345" s="92" t="n"/>
      <c r="M345" s="92" t="n"/>
      <c r="N345" s="92" t="n"/>
      <c r="O345" s="92" t="n"/>
      <c r="P345" s="92" t="n"/>
      <c r="Q345" s="92" t="n"/>
      <c r="R345" s="92" t="n"/>
      <c r="S345" s="92" t="n"/>
      <c r="T345" s="92" t="n"/>
      <c r="U345" s="92" t="n"/>
      <c r="V345" s="92" t="n"/>
      <c r="W345" s="92" t="n"/>
      <c r="X345" s="92" t="n"/>
      <c r="Y345" s="92" t="n"/>
      <c r="Z345" s="92" t="n"/>
      <c r="AA345" s="92" t="n"/>
      <c r="AB345" s="92" t="n"/>
      <c r="AC345" s="92" t="n"/>
      <c r="AD345" s="92" t="n"/>
      <c r="AE345" s="92" t="n"/>
      <c r="AF345" s="92" t="n"/>
      <c r="AG345" s="92" t="n"/>
      <c r="AH345" s="92" t="n"/>
      <c r="AI345" s="92" t="n"/>
      <c r="AJ345" s="92" t="n"/>
      <c r="AK345" s="92" t="n"/>
      <c r="AL345" s="92" t="n"/>
      <c r="AM345" s="92" t="n"/>
      <c r="AN345" s="92" t="n"/>
      <c r="AO345" s="92" t="n"/>
      <c r="AP345" s="92" t="n"/>
      <c r="AQ345" s="92" t="n"/>
      <c r="AR345" s="92" t="n"/>
      <c r="AS345" s="92" t="n"/>
      <c r="AT345" s="92" t="n"/>
      <c r="AU345" s="92" t="n"/>
      <c r="AV345" s="92" t="n"/>
      <c r="AX345" s="139" t="inlineStr"/>
      <c r="AY345" s="139" t="inlineStr"/>
    </row>
    <row r="346" ht="16.5" customFormat="1" customHeight="1" s="56">
      <c r="A346" s="92" t="n"/>
      <c r="B346" s="92" t="n"/>
      <c r="C346" s="92" t="n"/>
      <c r="D346" s="92" t="n"/>
      <c r="E346" s="92" t="n"/>
      <c r="F346" s="92" t="n"/>
      <c r="G346" s="92" t="n"/>
      <c r="H346" s="92" t="n"/>
      <c r="I346" s="92" t="n"/>
      <c r="J346" s="92" t="n"/>
      <c r="K346" s="92" t="n"/>
      <c r="L346" s="92" t="n"/>
      <c r="M346" s="92" t="n"/>
      <c r="N346" s="92" t="n"/>
      <c r="O346" s="92" t="n"/>
      <c r="P346" s="92" t="n"/>
      <c r="Q346" s="92" t="n"/>
      <c r="R346" s="92" t="n"/>
      <c r="S346" s="92" t="n"/>
      <c r="T346" s="92" t="n"/>
      <c r="U346" s="92" t="n"/>
      <c r="V346" s="92" t="n"/>
      <c r="W346" s="92" t="n"/>
      <c r="X346" s="92" t="n"/>
      <c r="Y346" s="92" t="n"/>
      <c r="Z346" s="92" t="n"/>
      <c r="AA346" s="92" t="n"/>
      <c r="AB346" s="92" t="n"/>
      <c r="AC346" s="92" t="n"/>
      <c r="AD346" s="92" t="n"/>
      <c r="AE346" s="92" t="n"/>
      <c r="AF346" s="92" t="n"/>
      <c r="AG346" s="92" t="n"/>
      <c r="AH346" s="92" t="n"/>
      <c r="AI346" s="92" t="n"/>
      <c r="AJ346" s="92" t="n"/>
      <c r="AK346" s="92" t="n"/>
      <c r="AL346" s="92" t="n"/>
      <c r="AM346" s="92" t="n"/>
      <c r="AN346" s="92" t="n"/>
      <c r="AO346" s="92" t="n"/>
      <c r="AP346" s="92" t="n"/>
      <c r="AQ346" s="92" t="n"/>
      <c r="AR346" s="92" t="n"/>
      <c r="AS346" s="92" t="n"/>
      <c r="AT346" s="92" t="n"/>
      <c r="AU346" s="92" t="n"/>
      <c r="AV346" s="92" t="n"/>
      <c r="AX346" s="139" t="inlineStr"/>
      <c r="AY346" s="139" t="inlineStr"/>
    </row>
    <row r="347" ht="16.5" customFormat="1" customHeight="1" s="56">
      <c r="A347" s="92" t="n"/>
      <c r="B347" s="92" t="n"/>
      <c r="C347" s="92" t="n"/>
      <c r="D347" s="92" t="n"/>
      <c r="E347" s="92" t="n"/>
      <c r="F347" s="92" t="n"/>
      <c r="G347" s="92" t="n"/>
      <c r="H347" s="92" t="n"/>
      <c r="I347" s="92" t="n"/>
      <c r="J347" s="92" t="n"/>
      <c r="K347" s="92" t="n"/>
      <c r="L347" s="92" t="n"/>
      <c r="M347" s="92" t="n"/>
      <c r="N347" s="92" t="n"/>
      <c r="O347" s="92" t="n"/>
      <c r="P347" s="92" t="n"/>
      <c r="Q347" s="92" t="n"/>
      <c r="R347" s="92" t="n"/>
      <c r="S347" s="92" t="n"/>
      <c r="T347" s="92" t="n"/>
      <c r="U347" s="92" t="n"/>
      <c r="V347" s="92" t="n"/>
      <c r="W347" s="92" t="n"/>
      <c r="X347" s="92" t="n"/>
      <c r="Y347" s="92" t="n"/>
      <c r="Z347" s="92" t="n"/>
      <c r="AA347" s="92" t="n"/>
      <c r="AB347" s="92" t="n"/>
      <c r="AC347" s="92" t="n"/>
      <c r="AD347" s="92" t="n"/>
      <c r="AE347" s="92" t="n"/>
      <c r="AF347" s="92" t="n"/>
      <c r="AG347" s="92" t="n"/>
      <c r="AH347" s="92" t="n"/>
      <c r="AI347" s="92" t="n"/>
      <c r="AJ347" s="92" t="n"/>
      <c r="AK347" s="92" t="n"/>
      <c r="AL347" s="92" t="n"/>
      <c r="AM347" s="92" t="n"/>
      <c r="AN347" s="92" t="n"/>
      <c r="AO347" s="92" t="n"/>
      <c r="AP347" s="92" t="n"/>
      <c r="AQ347" s="92" t="n"/>
      <c r="AR347" s="92" t="n"/>
      <c r="AS347" s="92" t="n"/>
      <c r="AT347" s="92" t="n"/>
      <c r="AU347" s="92" t="n"/>
      <c r="AV347" s="92" t="n"/>
      <c r="AX347" s="139" t="inlineStr"/>
      <c r="AY347" s="139" t="inlineStr"/>
    </row>
    <row r="348" ht="16.5" customFormat="1" customHeight="1" s="56">
      <c r="A348" s="92" t="n"/>
      <c r="B348" s="92" t="n"/>
      <c r="C348" s="92" t="n"/>
      <c r="D348" s="92" t="n"/>
      <c r="E348" s="92" t="n"/>
      <c r="F348" s="92" t="n"/>
      <c r="G348" s="92" t="n"/>
      <c r="H348" s="92" t="n"/>
      <c r="I348" s="92" t="n"/>
      <c r="J348" s="92" t="n"/>
      <c r="K348" s="92" t="n"/>
      <c r="L348" s="92" t="n"/>
      <c r="M348" s="92" t="n"/>
      <c r="N348" s="92" t="n"/>
      <c r="O348" s="92" t="n"/>
      <c r="P348" s="92" t="n"/>
      <c r="Q348" s="92" t="n"/>
      <c r="R348" s="92" t="n"/>
      <c r="S348" s="92" t="n"/>
      <c r="T348" s="92" t="n"/>
      <c r="U348" s="92" t="n"/>
      <c r="V348" s="92" t="n"/>
      <c r="W348" s="92" t="n"/>
      <c r="X348" s="92" t="n"/>
      <c r="Y348" s="92" t="n"/>
      <c r="Z348" s="92" t="n"/>
      <c r="AA348" s="92" t="n"/>
      <c r="AB348" s="92" t="n"/>
      <c r="AC348" s="92" t="n"/>
      <c r="AD348" s="92" t="n"/>
      <c r="AE348" s="92" t="n"/>
      <c r="AF348" s="92" t="n"/>
      <c r="AG348" s="92" t="n"/>
      <c r="AH348" s="92" t="n"/>
      <c r="AI348" s="92" t="n"/>
      <c r="AJ348" s="92" t="n"/>
      <c r="AK348" s="92" t="n"/>
      <c r="AL348" s="92" t="n"/>
      <c r="AM348" s="92" t="n"/>
      <c r="AN348" s="92" t="n"/>
      <c r="AO348" s="92" t="n"/>
      <c r="AP348" s="92" t="n"/>
      <c r="AQ348" s="92" t="n"/>
      <c r="AR348" s="92" t="n"/>
      <c r="AS348" s="92" t="n"/>
      <c r="AT348" s="92" t="n"/>
      <c r="AU348" s="92" t="n"/>
      <c r="AV348" s="92" t="n"/>
      <c r="AX348" s="139" t="inlineStr"/>
      <c r="AY348" s="139" t="inlineStr"/>
    </row>
    <row r="349" ht="16.5" customFormat="1" customHeight="1" s="56">
      <c r="A349" s="92" t="n"/>
      <c r="B349" s="92" t="n"/>
      <c r="C349" s="92" t="n"/>
      <c r="D349" s="92" t="n"/>
      <c r="E349" s="92" t="n"/>
      <c r="F349" s="92" t="n"/>
      <c r="G349" s="92" t="n"/>
      <c r="H349" s="92" t="n"/>
      <c r="I349" s="92" t="n"/>
      <c r="J349" s="92" t="n"/>
      <c r="K349" s="92" t="n"/>
      <c r="L349" s="92" t="n"/>
      <c r="M349" s="92" t="n"/>
      <c r="N349" s="92" t="n"/>
      <c r="O349" s="92" t="n"/>
      <c r="P349" s="92" t="n"/>
      <c r="Q349" s="92" t="n"/>
      <c r="R349" s="92" t="n"/>
      <c r="S349" s="92" t="n"/>
      <c r="T349" s="92" t="n"/>
      <c r="U349" s="92" t="n"/>
      <c r="V349" s="92" t="n"/>
      <c r="W349" s="92" t="n"/>
      <c r="X349" s="92" t="n"/>
      <c r="Y349" s="92" t="n"/>
      <c r="Z349" s="92" t="n"/>
      <c r="AA349" s="92" t="n"/>
      <c r="AB349" s="92" t="n"/>
      <c r="AC349" s="92" t="n"/>
      <c r="AD349" s="92" t="n"/>
      <c r="AE349" s="92" t="n"/>
      <c r="AF349" s="92" t="n"/>
      <c r="AG349" s="92" t="n"/>
      <c r="AH349" s="92" t="n"/>
      <c r="AI349" s="92" t="n"/>
      <c r="AJ349" s="92" t="n"/>
      <c r="AK349" s="92" t="n"/>
      <c r="AL349" s="92" t="n"/>
      <c r="AM349" s="92" t="n"/>
      <c r="AN349" s="92" t="n"/>
      <c r="AO349" s="92" t="n"/>
      <c r="AP349" s="92" t="n"/>
      <c r="AQ349" s="92" t="n"/>
      <c r="AR349" s="92" t="n"/>
      <c r="AS349" s="92" t="n"/>
      <c r="AT349" s="92" t="n"/>
      <c r="AU349" s="92" t="n"/>
      <c r="AV349" s="92" t="n"/>
      <c r="AX349" s="139" t="inlineStr"/>
      <c r="AY349" s="139" t="inlineStr"/>
    </row>
    <row r="350" ht="16.5" customFormat="1" customHeight="1" s="56">
      <c r="A350" s="92" t="n"/>
      <c r="B350" s="92" t="n"/>
      <c r="C350" s="92" t="n"/>
      <c r="D350" s="92" t="n"/>
      <c r="E350" s="92" t="n"/>
      <c r="F350" s="92" t="n"/>
      <c r="G350" s="92" t="n"/>
      <c r="H350" s="92" t="n"/>
      <c r="I350" s="92" t="n"/>
      <c r="J350" s="92" t="n"/>
      <c r="K350" s="92" t="n"/>
      <c r="L350" s="92" t="n"/>
      <c r="M350" s="92" t="n"/>
      <c r="N350" s="92" t="n"/>
      <c r="O350" s="92" t="n"/>
      <c r="P350" s="92" t="n"/>
      <c r="Q350" s="92" t="n"/>
      <c r="R350" s="92" t="n"/>
      <c r="S350" s="92" t="n"/>
      <c r="T350" s="92" t="n"/>
      <c r="U350" s="92" t="n"/>
      <c r="V350" s="92" t="n"/>
      <c r="W350" s="92" t="n"/>
      <c r="X350" s="92" t="n"/>
      <c r="Y350" s="92" t="n"/>
      <c r="Z350" s="92" t="n"/>
      <c r="AA350" s="92" t="n"/>
      <c r="AB350" s="92" t="n"/>
      <c r="AC350" s="92" t="n"/>
      <c r="AD350" s="92" t="n"/>
      <c r="AE350" s="92" t="n"/>
      <c r="AF350" s="92" t="n"/>
      <c r="AG350" s="92" t="n"/>
      <c r="AH350" s="92" t="n"/>
      <c r="AI350" s="92" t="n"/>
      <c r="AJ350" s="92" t="n"/>
      <c r="AK350" s="92" t="n"/>
      <c r="AL350" s="92" t="n"/>
      <c r="AM350" s="92" t="n"/>
      <c r="AN350" s="92" t="n"/>
      <c r="AO350" s="92" t="n"/>
      <c r="AP350" s="92" t="n"/>
      <c r="AQ350" s="92" t="n"/>
      <c r="AR350" s="92" t="n"/>
      <c r="AS350" s="92" t="n"/>
      <c r="AT350" s="92" t="n"/>
      <c r="AU350" s="92" t="n"/>
      <c r="AV350" s="92" t="n"/>
      <c r="AX350" s="139" t="inlineStr"/>
      <c r="AY350" s="139" t="inlineStr"/>
    </row>
    <row r="351" ht="16.5" customFormat="1" customHeight="1" s="56">
      <c r="A351" s="92" t="n"/>
      <c r="B351" s="92" t="n"/>
      <c r="C351" s="92" t="n"/>
      <c r="D351" s="92" t="n"/>
      <c r="E351" s="92" t="n"/>
      <c r="F351" s="92" t="n"/>
      <c r="G351" s="92" t="n"/>
      <c r="H351" s="92" t="n"/>
      <c r="I351" s="92" t="n"/>
      <c r="J351" s="92" t="n"/>
      <c r="K351" s="92" t="n"/>
      <c r="L351" s="92" t="n"/>
      <c r="M351" s="92" t="n"/>
      <c r="N351" s="92" t="n"/>
      <c r="O351" s="92" t="n"/>
      <c r="P351" s="92" t="n"/>
      <c r="Q351" s="92" t="n"/>
      <c r="R351" s="92" t="n"/>
      <c r="S351" s="92" t="n"/>
      <c r="T351" s="92" t="n"/>
      <c r="U351" s="92" t="n"/>
      <c r="V351" s="92" t="n"/>
      <c r="W351" s="92" t="n"/>
      <c r="X351" s="92" t="n"/>
      <c r="Y351" s="92" t="n"/>
      <c r="Z351" s="92" t="n"/>
      <c r="AA351" s="92" t="n"/>
      <c r="AB351" s="92" t="n"/>
      <c r="AC351" s="92" t="n"/>
      <c r="AD351" s="92" t="n"/>
      <c r="AE351" s="92" t="n"/>
      <c r="AF351" s="92" t="n"/>
      <c r="AG351" s="92" t="n"/>
      <c r="AH351" s="92" t="n"/>
      <c r="AI351" s="92" t="n"/>
      <c r="AJ351" s="92" t="n"/>
      <c r="AK351" s="92" t="n"/>
      <c r="AL351" s="92" t="n"/>
      <c r="AM351" s="92" t="n"/>
      <c r="AN351" s="92" t="n"/>
      <c r="AO351" s="92" t="n"/>
      <c r="AP351" s="92" t="n"/>
      <c r="AQ351" s="92" t="n"/>
      <c r="AR351" s="92" t="n"/>
      <c r="AS351" s="92" t="n"/>
      <c r="AT351" s="92" t="n"/>
      <c r="AU351" s="92" t="n"/>
      <c r="AV351" s="92" t="n"/>
      <c r="AX351" s="139" t="inlineStr"/>
      <c r="AY351" s="139" t="inlineStr"/>
    </row>
    <row r="352" ht="16.5" customFormat="1" customHeight="1" s="56">
      <c r="A352" s="92" t="n"/>
      <c r="B352" s="92" t="n"/>
      <c r="C352" s="92" t="n"/>
      <c r="D352" s="92" t="n"/>
      <c r="E352" s="92" t="n"/>
      <c r="F352" s="92" t="n"/>
      <c r="G352" s="92" t="n"/>
      <c r="H352" s="92" t="n"/>
      <c r="I352" s="92" t="n"/>
      <c r="J352" s="92" t="n"/>
      <c r="K352" s="92" t="n"/>
      <c r="L352" s="92" t="n"/>
      <c r="M352" s="92" t="n"/>
      <c r="N352" s="92" t="n"/>
      <c r="O352" s="92" t="n"/>
      <c r="P352" s="92" t="n"/>
      <c r="Q352" s="92" t="n"/>
      <c r="R352" s="92" t="n"/>
      <c r="S352" s="92" t="n"/>
      <c r="T352" s="92" t="n"/>
      <c r="U352" s="92" t="n"/>
      <c r="V352" s="92" t="n"/>
      <c r="W352" s="92" t="n"/>
      <c r="X352" s="92" t="n"/>
      <c r="Y352" s="92" t="n"/>
      <c r="Z352" s="92" t="n"/>
      <c r="AA352" s="92" t="n"/>
      <c r="AB352" s="92" t="n"/>
      <c r="AC352" s="92" t="n"/>
      <c r="AD352" s="92" t="n"/>
      <c r="AE352" s="92" t="n"/>
      <c r="AF352" s="92" t="n"/>
      <c r="AG352" s="92" t="n"/>
      <c r="AH352" s="92" t="n"/>
      <c r="AI352" s="92" t="n"/>
      <c r="AJ352" s="92" t="n"/>
      <c r="AK352" s="92" t="n"/>
      <c r="AL352" s="92" t="n"/>
      <c r="AM352" s="92" t="n"/>
      <c r="AN352" s="92" t="n"/>
      <c r="AO352" s="92" t="n"/>
      <c r="AP352" s="92" t="n"/>
      <c r="AQ352" s="92" t="n"/>
      <c r="AR352" s="92" t="n"/>
      <c r="AS352" s="92" t="n"/>
      <c r="AT352" s="92" t="n"/>
      <c r="AU352" s="92" t="n"/>
      <c r="AV352" s="92" t="n"/>
      <c r="AX352" s="139" t="inlineStr"/>
      <c r="AY352" s="139" t="inlineStr"/>
    </row>
    <row r="353" ht="16.5" customFormat="1" customHeight="1" s="56">
      <c r="A353" s="92" t="n"/>
      <c r="B353" s="92" t="n"/>
      <c r="C353" s="92" t="n"/>
      <c r="D353" s="92" t="n"/>
      <c r="E353" s="92" t="n"/>
      <c r="F353" s="92" t="n"/>
      <c r="G353" s="92" t="n"/>
      <c r="H353" s="92" t="n"/>
      <c r="I353" s="92" t="n"/>
      <c r="J353" s="92" t="n"/>
      <c r="K353" s="92" t="n"/>
      <c r="L353" s="92" t="n"/>
      <c r="M353" s="92" t="n"/>
      <c r="N353" s="92" t="n"/>
      <c r="O353" s="92" t="n"/>
      <c r="P353" s="92" t="n"/>
      <c r="Q353" s="92" t="n"/>
      <c r="R353" s="92" t="n"/>
      <c r="S353" s="92" t="n"/>
      <c r="T353" s="92" t="n"/>
      <c r="U353" s="92" t="n"/>
      <c r="V353" s="92" t="n"/>
      <c r="W353" s="92" t="n"/>
      <c r="X353" s="92" t="n"/>
      <c r="Y353" s="92" t="n"/>
      <c r="Z353" s="92" t="n"/>
      <c r="AA353" s="92" t="n"/>
      <c r="AB353" s="92" t="n"/>
      <c r="AC353" s="92" t="n"/>
      <c r="AD353" s="92" t="n"/>
      <c r="AE353" s="92" t="n"/>
      <c r="AF353" s="92" t="n"/>
      <c r="AG353" s="92" t="n"/>
      <c r="AH353" s="92" t="n"/>
      <c r="AI353" s="92" t="n"/>
      <c r="AJ353" s="92" t="n"/>
      <c r="AK353" s="92" t="n"/>
      <c r="AL353" s="92" t="n"/>
      <c r="AM353" s="92" t="n"/>
      <c r="AN353" s="92" t="n"/>
      <c r="AO353" s="92" t="n"/>
      <c r="AP353" s="92" t="n"/>
      <c r="AQ353" s="92" t="n"/>
      <c r="AR353" s="92" t="n"/>
      <c r="AS353" s="92" t="n"/>
      <c r="AT353" s="92" t="n"/>
      <c r="AU353" s="92" t="n"/>
      <c r="AV353" s="92" t="n"/>
      <c r="AX353" s="139" t="inlineStr"/>
      <c r="AY353" s="139" t="inlineStr"/>
    </row>
    <row r="354" ht="16.5" customFormat="1" customHeight="1" s="56">
      <c r="A354" s="92" t="n"/>
      <c r="B354" s="92" t="n"/>
      <c r="C354" s="92" t="n"/>
      <c r="D354" s="92" t="n"/>
      <c r="E354" s="92" t="n"/>
      <c r="F354" s="92" t="n"/>
      <c r="G354" s="92" t="n"/>
      <c r="H354" s="92" t="n"/>
      <c r="I354" s="92" t="n"/>
      <c r="J354" s="92" t="n"/>
      <c r="K354" s="92" t="n"/>
      <c r="L354" s="92" t="n"/>
      <c r="M354" s="92" t="n"/>
      <c r="N354" s="92" t="n"/>
      <c r="O354" s="92" t="n"/>
      <c r="P354" s="92" t="n"/>
      <c r="Q354" s="92" t="n"/>
      <c r="R354" s="92" t="n"/>
      <c r="S354" s="92" t="n"/>
      <c r="T354" s="92" t="n"/>
      <c r="U354" s="92" t="n"/>
      <c r="V354" s="92" t="n"/>
      <c r="W354" s="92" t="n"/>
      <c r="X354" s="92" t="n"/>
      <c r="Y354" s="92" t="n"/>
      <c r="Z354" s="92" t="n"/>
      <c r="AA354" s="92" t="n"/>
      <c r="AB354" s="92" t="n"/>
      <c r="AC354" s="92" t="n"/>
      <c r="AD354" s="92" t="n"/>
      <c r="AE354" s="92" t="n"/>
      <c r="AF354" s="92" t="n"/>
      <c r="AG354" s="92" t="n"/>
      <c r="AH354" s="92" t="n"/>
      <c r="AI354" s="92" t="n"/>
      <c r="AJ354" s="92" t="n"/>
      <c r="AK354" s="92" t="n"/>
      <c r="AL354" s="92" t="n"/>
      <c r="AM354" s="92" t="n"/>
      <c r="AN354" s="92" t="n"/>
      <c r="AO354" s="92" t="n"/>
      <c r="AP354" s="92" t="n"/>
      <c r="AQ354" s="92" t="n"/>
      <c r="AR354" s="92" t="n"/>
      <c r="AS354" s="92" t="n"/>
      <c r="AT354" s="92" t="n"/>
      <c r="AU354" s="92" t="n"/>
      <c r="AV354" s="92" t="n"/>
      <c r="AX354" s="139" t="inlineStr"/>
      <c r="AY354" s="139" t="inlineStr"/>
    </row>
    <row r="355" ht="16.5" customFormat="1" customHeight="1" s="56">
      <c r="A355" s="92" t="n"/>
      <c r="B355" s="92" t="n"/>
      <c r="C355" s="92" t="n"/>
      <c r="D355" s="92" t="n"/>
      <c r="E355" s="92" t="n"/>
      <c r="F355" s="92" t="n"/>
      <c r="G355" s="92" t="n"/>
      <c r="H355" s="92" t="n"/>
      <c r="I355" s="92" t="n"/>
      <c r="J355" s="92" t="n"/>
      <c r="K355" s="92" t="n"/>
      <c r="L355" s="92" t="n"/>
      <c r="M355" s="92" t="n"/>
      <c r="N355" s="92" t="n"/>
      <c r="O355" s="92" t="n"/>
      <c r="P355" s="92" t="n"/>
      <c r="Q355" s="92" t="n"/>
      <c r="R355" s="92" t="n"/>
      <c r="S355" s="92" t="n"/>
      <c r="T355" s="92" t="n"/>
      <c r="U355" s="92" t="n"/>
      <c r="V355" s="92" t="n"/>
      <c r="W355" s="92" t="n"/>
      <c r="X355" s="92" t="n"/>
      <c r="Y355" s="92" t="n"/>
      <c r="Z355" s="92" t="n"/>
      <c r="AA355" s="92" t="n"/>
      <c r="AB355" s="92" t="n"/>
      <c r="AC355" s="92" t="n"/>
      <c r="AD355" s="92" t="n"/>
      <c r="AE355" s="92" t="n"/>
      <c r="AF355" s="92" t="n"/>
      <c r="AG355" s="92" t="n"/>
      <c r="AH355" s="92" t="n"/>
      <c r="AI355" s="92" t="n"/>
      <c r="AJ355" s="92" t="n"/>
      <c r="AK355" s="92" t="n"/>
      <c r="AL355" s="92" t="n"/>
      <c r="AM355" s="92" t="n"/>
      <c r="AN355" s="92" t="n"/>
      <c r="AO355" s="92" t="n"/>
      <c r="AP355" s="92" t="n"/>
      <c r="AQ355" s="92" t="n"/>
      <c r="AR355" s="92" t="n"/>
      <c r="AS355" s="92" t="n"/>
      <c r="AT355" s="92" t="n"/>
      <c r="AU355" s="92" t="n"/>
      <c r="AV355" s="92" t="n"/>
      <c r="AX355" s="139" t="inlineStr"/>
      <c r="AY355" s="139" t="inlineStr"/>
    </row>
    <row r="356" ht="16.5" customFormat="1" customHeight="1" s="56">
      <c r="A356" s="92" t="n"/>
      <c r="B356" s="92" t="n"/>
      <c r="C356" s="92" t="n"/>
      <c r="D356" s="92" t="n"/>
      <c r="E356" s="92" t="n"/>
      <c r="F356" s="92" t="n"/>
      <c r="G356" s="92" t="n"/>
      <c r="H356" s="92" t="n"/>
      <c r="I356" s="92" t="n"/>
      <c r="J356" s="92" t="n"/>
      <c r="K356" s="92" t="n"/>
      <c r="L356" s="92" t="n"/>
      <c r="M356" s="92" t="n"/>
      <c r="N356" s="92" t="n"/>
      <c r="O356" s="92" t="n"/>
      <c r="P356" s="92" t="n"/>
      <c r="Q356" s="92" t="n"/>
      <c r="R356" s="92" t="n"/>
      <c r="S356" s="92" t="n"/>
      <c r="T356" s="92" t="n"/>
      <c r="U356" s="92" t="n"/>
      <c r="V356" s="92" t="n"/>
      <c r="W356" s="92" t="n"/>
      <c r="X356" s="92" t="n"/>
      <c r="Y356" s="92" t="n"/>
      <c r="Z356" s="92" t="n"/>
      <c r="AA356" s="92" t="n"/>
      <c r="AB356" s="92" t="n"/>
      <c r="AC356" s="92" t="n"/>
      <c r="AD356" s="92" t="n"/>
      <c r="AE356" s="92" t="n"/>
      <c r="AF356" s="92" t="n"/>
      <c r="AG356" s="92" t="n"/>
      <c r="AH356" s="92" t="n"/>
      <c r="AI356" s="92" t="n"/>
      <c r="AJ356" s="92" t="n"/>
      <c r="AK356" s="92" t="n"/>
      <c r="AL356" s="92" t="n"/>
      <c r="AM356" s="92" t="n"/>
      <c r="AN356" s="92" t="n"/>
      <c r="AO356" s="92" t="n"/>
      <c r="AP356" s="92" t="n"/>
      <c r="AQ356" s="92" t="n"/>
      <c r="AR356" s="92" t="n"/>
      <c r="AS356" s="92" t="n"/>
      <c r="AT356" s="92" t="n"/>
      <c r="AU356" s="92" t="n"/>
      <c r="AV356" s="92" t="n"/>
      <c r="AX356" s="139" t="inlineStr"/>
      <c r="AY356" s="139" t="inlineStr"/>
    </row>
    <row r="357" ht="16.5" customFormat="1" customHeight="1" s="56">
      <c r="A357" s="92" t="n"/>
      <c r="B357" s="92" t="n"/>
      <c r="C357" s="92" t="n"/>
      <c r="D357" s="92" t="n"/>
      <c r="E357" s="92" t="n"/>
      <c r="F357" s="92" t="n"/>
      <c r="G357" s="92" t="n"/>
      <c r="H357" s="92" t="n"/>
      <c r="I357" s="92" t="n"/>
      <c r="J357" s="92" t="n"/>
      <c r="K357" s="92" t="n"/>
      <c r="L357" s="92" t="n"/>
      <c r="M357" s="92" t="n"/>
      <c r="N357" s="92" t="n"/>
      <c r="O357" s="92" t="n"/>
      <c r="P357" s="92" t="n"/>
      <c r="Q357" s="92" t="n"/>
      <c r="R357" s="92" t="n"/>
      <c r="S357" s="92" t="n"/>
      <c r="T357" s="92" t="n"/>
      <c r="U357" s="92" t="n"/>
      <c r="V357" s="92" t="n"/>
      <c r="W357" s="92" t="n"/>
      <c r="X357" s="92" t="n"/>
      <c r="Y357" s="92" t="n"/>
      <c r="Z357" s="92" t="n"/>
      <c r="AA357" s="92" t="n"/>
      <c r="AB357" s="92" t="n"/>
      <c r="AC357" s="92" t="n"/>
      <c r="AD357" s="92" t="n"/>
      <c r="AE357" s="92" t="n"/>
      <c r="AF357" s="92" t="n"/>
      <c r="AG357" s="92" t="n"/>
      <c r="AH357" s="92" t="n"/>
      <c r="AI357" s="92" t="n"/>
      <c r="AJ357" s="92" t="n"/>
      <c r="AK357" s="92" t="n"/>
      <c r="AL357" s="92" t="n"/>
      <c r="AM357" s="92" t="n"/>
      <c r="AN357" s="92" t="n"/>
      <c r="AO357" s="92" t="n"/>
      <c r="AP357" s="92" t="n"/>
      <c r="AQ357" s="92" t="n"/>
      <c r="AR357" s="92" t="n"/>
      <c r="AS357" s="92" t="n"/>
      <c r="AT357" s="92" t="n"/>
      <c r="AU357" s="92" t="n"/>
      <c r="AV357" s="92" t="n"/>
      <c r="AX357" s="139" t="inlineStr"/>
      <c r="AY357" s="139" t="inlineStr"/>
    </row>
    <row r="358" ht="16.5" customFormat="1" customHeight="1" s="56">
      <c r="A358" s="92" t="n"/>
      <c r="B358" s="92" t="n"/>
      <c r="C358" s="92" t="n"/>
      <c r="D358" s="92" t="n"/>
      <c r="E358" s="92" t="n"/>
      <c r="F358" s="92" t="n"/>
      <c r="G358" s="92" t="n"/>
      <c r="H358" s="92" t="n"/>
      <c r="I358" s="92" t="n"/>
      <c r="J358" s="92" t="n"/>
      <c r="K358" s="92" t="n"/>
      <c r="L358" s="92" t="n"/>
      <c r="M358" s="92" t="n"/>
      <c r="N358" s="92" t="n"/>
      <c r="O358" s="92" t="n"/>
      <c r="P358" s="92" t="n"/>
      <c r="Q358" s="92" t="n"/>
      <c r="R358" s="92" t="n"/>
      <c r="S358" s="92" t="n"/>
      <c r="T358" s="92" t="n"/>
      <c r="U358" s="92" t="n"/>
      <c r="V358" s="92" t="n"/>
      <c r="W358" s="92" t="n"/>
      <c r="X358" s="92" t="n"/>
      <c r="Y358" s="92" t="n"/>
      <c r="Z358" s="92" t="n"/>
      <c r="AA358" s="92" t="n"/>
      <c r="AB358" s="92" t="n"/>
      <c r="AC358" s="92" t="n"/>
      <c r="AD358" s="92" t="n"/>
      <c r="AE358" s="92" t="n"/>
      <c r="AF358" s="92" t="n"/>
      <c r="AG358" s="92" t="n"/>
      <c r="AH358" s="92" t="n"/>
      <c r="AI358" s="92" t="n"/>
      <c r="AJ358" s="92" t="n"/>
      <c r="AK358" s="92" t="n"/>
      <c r="AL358" s="92" t="n"/>
      <c r="AM358" s="92" t="n"/>
      <c r="AN358" s="92" t="n"/>
      <c r="AO358" s="92" t="n"/>
      <c r="AP358" s="92" t="n"/>
      <c r="AQ358" s="92" t="n"/>
      <c r="AR358" s="92" t="n"/>
      <c r="AS358" s="92" t="n"/>
      <c r="AT358" s="92" t="n"/>
      <c r="AU358" s="92" t="n"/>
      <c r="AV358" s="92" t="n"/>
      <c r="AX358" s="139" t="inlineStr"/>
      <c r="AY358" s="139" t="inlineStr"/>
    </row>
    <row r="359" ht="16.5" customFormat="1" customHeight="1" s="56">
      <c r="A359" s="92" t="n"/>
      <c r="B359" s="92" t="n"/>
      <c r="C359" s="92" t="n"/>
      <c r="D359" s="92" t="n"/>
      <c r="E359" s="92" t="n"/>
      <c r="F359" s="92" t="n"/>
      <c r="G359" s="92" t="n"/>
      <c r="H359" s="92" t="n"/>
      <c r="I359" s="92" t="n"/>
      <c r="J359" s="92" t="n"/>
      <c r="K359" s="92" t="n"/>
      <c r="L359" s="92" t="n"/>
      <c r="M359" s="92" t="n"/>
      <c r="N359" s="92" t="n"/>
      <c r="O359" s="92" t="n"/>
      <c r="P359" s="92" t="n"/>
      <c r="Q359" s="92" t="n"/>
      <c r="R359" s="92" t="n"/>
      <c r="S359" s="92" t="n"/>
      <c r="T359" s="92" t="n"/>
      <c r="U359" s="92" t="n"/>
      <c r="V359" s="92" t="n"/>
      <c r="W359" s="92" t="n"/>
      <c r="X359" s="92" t="n"/>
      <c r="Y359" s="92" t="n"/>
      <c r="Z359" s="92" t="n"/>
      <c r="AA359" s="92" t="n"/>
      <c r="AB359" s="92" t="n"/>
      <c r="AC359" s="92" t="n"/>
      <c r="AD359" s="92" t="n"/>
      <c r="AE359" s="92" t="n"/>
      <c r="AF359" s="92" t="n"/>
      <c r="AG359" s="92" t="n"/>
      <c r="AH359" s="92" t="n"/>
      <c r="AI359" s="92" t="n"/>
      <c r="AJ359" s="92" t="n"/>
      <c r="AK359" s="92" t="n"/>
      <c r="AL359" s="92" t="n"/>
      <c r="AM359" s="92" t="n"/>
      <c r="AN359" s="92" t="n"/>
      <c r="AO359" s="92" t="n"/>
      <c r="AP359" s="92" t="n"/>
      <c r="AQ359" s="92" t="n"/>
      <c r="AR359" s="92" t="n"/>
      <c r="AS359" s="92" t="n"/>
      <c r="AT359" s="92" t="n"/>
      <c r="AU359" s="92" t="n"/>
      <c r="AV359" s="92" t="n"/>
      <c r="AX359" s="139" t="inlineStr"/>
      <c r="AY359" s="139" t="inlineStr"/>
    </row>
    <row r="360" ht="16.5" customFormat="1" customHeight="1" s="56">
      <c r="A360" s="92" t="n"/>
      <c r="B360" s="92" t="n"/>
      <c r="C360" s="92" t="n"/>
      <c r="D360" s="92" t="n"/>
      <c r="E360" s="92" t="n"/>
      <c r="F360" s="92" t="n"/>
      <c r="G360" s="92" t="n"/>
      <c r="H360" s="92" t="n"/>
      <c r="I360" s="92" t="n"/>
      <c r="J360" s="92" t="n"/>
      <c r="K360" s="92" t="n"/>
      <c r="L360" s="92" t="n"/>
      <c r="M360" s="92" t="n"/>
      <c r="N360" s="92" t="n"/>
      <c r="O360" s="92" t="n"/>
      <c r="P360" s="92" t="n"/>
      <c r="Q360" s="92" t="n"/>
      <c r="R360" s="92" t="n"/>
      <c r="S360" s="92" t="n"/>
      <c r="T360" s="92" t="n"/>
      <c r="U360" s="92" t="n"/>
      <c r="V360" s="92" t="n"/>
      <c r="W360" s="92" t="n"/>
      <c r="X360" s="92" t="n"/>
      <c r="Y360" s="92" t="n"/>
      <c r="Z360" s="92" t="n"/>
      <c r="AA360" s="92" t="n"/>
      <c r="AB360" s="92" t="n"/>
      <c r="AC360" s="92" t="n"/>
      <c r="AD360" s="92" t="n"/>
      <c r="AE360" s="92" t="n"/>
      <c r="AF360" s="92" t="n"/>
      <c r="AG360" s="92" t="n"/>
      <c r="AH360" s="92" t="n"/>
      <c r="AI360" s="92" t="n"/>
      <c r="AJ360" s="92" t="n"/>
      <c r="AK360" s="92" t="n"/>
      <c r="AL360" s="92" t="n"/>
      <c r="AM360" s="92" t="n"/>
      <c r="AN360" s="92" t="n"/>
      <c r="AO360" s="92" t="n"/>
      <c r="AP360" s="92" t="n"/>
      <c r="AQ360" s="92" t="n"/>
      <c r="AR360" s="92" t="n"/>
      <c r="AS360" s="92" t="n"/>
      <c r="AT360" s="92" t="n"/>
      <c r="AU360" s="92" t="n"/>
      <c r="AV360" s="92" t="n"/>
      <c r="AX360" s="139" t="inlineStr"/>
      <c r="AY360" s="139" t="inlineStr"/>
    </row>
    <row r="361" ht="16.5" customFormat="1" customHeight="1" s="56">
      <c r="A361" s="92" t="n"/>
      <c r="B361" s="92" t="n"/>
      <c r="C361" s="92" t="n"/>
      <c r="D361" s="92" t="n"/>
      <c r="E361" s="92" t="n"/>
      <c r="F361" s="92" t="n"/>
      <c r="G361" s="92" t="n"/>
      <c r="H361" s="92" t="n"/>
      <c r="I361" s="92" t="n"/>
      <c r="J361" s="92" t="n"/>
      <c r="K361" s="92" t="n"/>
      <c r="L361" s="92" t="n"/>
      <c r="M361" s="92" t="n"/>
      <c r="N361" s="92" t="n"/>
      <c r="O361" s="92" t="n"/>
      <c r="P361" s="92" t="n"/>
      <c r="Q361" s="92" t="n"/>
      <c r="R361" s="92" t="n"/>
      <c r="S361" s="92" t="n"/>
      <c r="T361" s="92" t="n"/>
      <c r="U361" s="92" t="n"/>
      <c r="V361" s="92" t="n"/>
      <c r="W361" s="92" t="n"/>
      <c r="X361" s="92" t="n"/>
      <c r="Y361" s="92" t="n"/>
      <c r="Z361" s="92" t="n"/>
      <c r="AA361" s="92" t="n"/>
      <c r="AB361" s="92" t="n"/>
      <c r="AC361" s="92" t="n"/>
      <c r="AD361" s="92" t="n"/>
      <c r="AE361" s="92" t="n"/>
      <c r="AF361" s="92" t="n"/>
      <c r="AG361" s="92" t="n"/>
      <c r="AH361" s="92" t="n"/>
      <c r="AI361" s="92" t="n"/>
      <c r="AJ361" s="92" t="n"/>
      <c r="AK361" s="92" t="n"/>
      <c r="AL361" s="92" t="n"/>
      <c r="AM361" s="92" t="n"/>
      <c r="AN361" s="92" t="n"/>
      <c r="AO361" s="92" t="n"/>
      <c r="AP361" s="92" t="n"/>
      <c r="AQ361" s="92" t="n"/>
      <c r="AR361" s="92" t="n"/>
      <c r="AS361" s="92" t="n"/>
      <c r="AT361" s="92" t="n"/>
      <c r="AU361" s="92" t="n"/>
      <c r="AV361" s="92" t="n"/>
      <c r="AX361" s="139" t="inlineStr"/>
      <c r="AY361" s="139" t="inlineStr"/>
    </row>
    <row r="362" ht="16.5" customFormat="1" customHeight="1" s="56">
      <c r="A362" s="92" t="n"/>
      <c r="B362" s="92" t="n"/>
      <c r="C362" s="92" t="n"/>
      <c r="D362" s="92" t="n"/>
      <c r="E362" s="92" t="n"/>
      <c r="F362" s="92" t="n"/>
      <c r="G362" s="92" t="n"/>
      <c r="H362" s="92" t="n"/>
      <c r="I362" s="92" t="n"/>
      <c r="J362" s="92" t="n"/>
      <c r="K362" s="92" t="n"/>
      <c r="L362" s="92" t="n"/>
      <c r="M362" s="92" t="n"/>
      <c r="N362" s="92" t="n"/>
      <c r="O362" s="92" t="n"/>
      <c r="P362" s="92" t="n"/>
      <c r="Q362" s="92" t="n"/>
      <c r="R362" s="92" t="n"/>
      <c r="S362" s="92" t="n"/>
      <c r="T362" s="92" t="n"/>
      <c r="U362" s="92" t="n"/>
      <c r="V362" s="92" t="n"/>
      <c r="W362" s="92" t="n"/>
      <c r="X362" s="92" t="n"/>
      <c r="Y362" s="92" t="n"/>
      <c r="Z362" s="92" t="n"/>
      <c r="AA362" s="92" t="n"/>
      <c r="AB362" s="92" t="n"/>
      <c r="AC362" s="92" t="n"/>
      <c r="AD362" s="92" t="n"/>
      <c r="AE362" s="92" t="n"/>
      <c r="AF362" s="92" t="n"/>
      <c r="AG362" s="92" t="n"/>
      <c r="AH362" s="92" t="n"/>
      <c r="AI362" s="92" t="n"/>
      <c r="AJ362" s="92" t="n"/>
      <c r="AK362" s="92" t="n"/>
      <c r="AL362" s="92" t="n"/>
      <c r="AM362" s="92" t="n"/>
      <c r="AN362" s="92" t="n"/>
      <c r="AO362" s="92" t="n"/>
      <c r="AP362" s="92" t="n"/>
      <c r="AQ362" s="92" t="n"/>
      <c r="AR362" s="92" t="n"/>
      <c r="AS362" s="92" t="n"/>
      <c r="AT362" s="92" t="n"/>
      <c r="AU362" s="92" t="n"/>
      <c r="AV362" s="92" t="n"/>
      <c r="AX362" s="139" t="inlineStr"/>
      <c r="AY362" s="139" t="inlineStr"/>
    </row>
    <row r="363" ht="16.5" customFormat="1" customHeight="1" s="56">
      <c r="A363" s="92" t="n"/>
      <c r="B363" s="92" t="n"/>
      <c r="C363" s="92" t="n"/>
      <c r="D363" s="92" t="n"/>
      <c r="E363" s="92" t="n"/>
      <c r="F363" s="92" t="n"/>
      <c r="G363" s="92" t="n"/>
      <c r="H363" s="92" t="n"/>
      <c r="I363" s="92" t="n"/>
      <c r="J363" s="92" t="n"/>
      <c r="K363" s="92" t="n"/>
      <c r="L363" s="92" t="n"/>
      <c r="M363" s="92" t="n"/>
      <c r="N363" s="92" t="n"/>
      <c r="O363" s="92" t="n"/>
      <c r="P363" s="92" t="n"/>
      <c r="Q363" s="92" t="n"/>
      <c r="R363" s="92" t="n"/>
      <c r="S363" s="92" t="n"/>
      <c r="T363" s="92" t="n"/>
      <c r="U363" s="92" t="n"/>
      <c r="V363" s="92" t="n"/>
      <c r="W363" s="92" t="n"/>
      <c r="X363" s="92" t="n"/>
      <c r="Y363" s="92" t="n"/>
      <c r="Z363" s="92" t="n"/>
      <c r="AA363" s="92" t="n"/>
      <c r="AB363" s="92" t="n"/>
      <c r="AC363" s="92" t="n"/>
      <c r="AD363" s="92" t="n"/>
      <c r="AE363" s="92" t="n"/>
      <c r="AF363" s="92" t="n"/>
      <c r="AG363" s="92" t="n"/>
      <c r="AH363" s="92" t="n"/>
      <c r="AI363" s="92" t="n"/>
      <c r="AJ363" s="92" t="n"/>
      <c r="AK363" s="92" t="n"/>
      <c r="AL363" s="92" t="n"/>
      <c r="AM363" s="92" t="n"/>
      <c r="AN363" s="92" t="n"/>
      <c r="AO363" s="92" t="n"/>
      <c r="AP363" s="92" t="n"/>
      <c r="AQ363" s="92" t="n"/>
      <c r="AR363" s="92" t="n"/>
      <c r="AS363" s="92" t="n"/>
      <c r="AT363" s="92" t="n"/>
      <c r="AU363" s="92" t="n"/>
      <c r="AV363" s="92" t="n"/>
      <c r="AX363" s="139" t="inlineStr"/>
      <c r="AY363" s="139" t="inlineStr"/>
    </row>
    <row r="364" ht="16.5" customFormat="1" customHeight="1" s="56">
      <c r="A364" s="92" t="n"/>
      <c r="B364" s="92" t="n"/>
      <c r="C364" s="92" t="n"/>
      <c r="D364" s="92" t="n"/>
      <c r="E364" s="92" t="n"/>
      <c r="F364" s="92" t="n"/>
      <c r="G364" s="92" t="n"/>
      <c r="H364" s="92" t="n"/>
      <c r="I364" s="92" t="n"/>
      <c r="J364" s="92" t="n"/>
      <c r="K364" s="92" t="n"/>
      <c r="L364" s="92" t="n"/>
      <c r="M364" s="92" t="n"/>
      <c r="N364" s="92" t="n"/>
      <c r="O364" s="92" t="n"/>
      <c r="P364" s="92" t="n"/>
      <c r="Q364" s="92" t="n"/>
      <c r="R364" s="92" t="n"/>
      <c r="S364" s="92" t="n"/>
      <c r="T364" s="92" t="n"/>
      <c r="U364" s="92" t="n"/>
      <c r="V364" s="92" t="n"/>
      <c r="W364" s="92" t="n"/>
      <c r="X364" s="92" t="n"/>
      <c r="Y364" s="92" t="n"/>
      <c r="Z364" s="92" t="n"/>
      <c r="AA364" s="92" t="n"/>
      <c r="AB364" s="92" t="n"/>
      <c r="AC364" s="92" t="n"/>
      <c r="AD364" s="92" t="n"/>
      <c r="AE364" s="92" t="n"/>
      <c r="AF364" s="92" t="n"/>
      <c r="AG364" s="92" t="n"/>
      <c r="AH364" s="92" t="n"/>
      <c r="AI364" s="92" t="n"/>
      <c r="AJ364" s="92" t="n"/>
      <c r="AK364" s="92" t="n"/>
      <c r="AL364" s="92" t="n"/>
      <c r="AM364" s="92" t="n"/>
      <c r="AN364" s="92" t="n"/>
      <c r="AO364" s="92" t="n"/>
      <c r="AP364" s="92" t="n"/>
      <c r="AQ364" s="92" t="n"/>
      <c r="AR364" s="92" t="n"/>
      <c r="AS364" s="92" t="n"/>
      <c r="AT364" s="92" t="n"/>
      <c r="AU364" s="92" t="n"/>
      <c r="AV364" s="92" t="n"/>
      <c r="AX364" s="139" t="inlineStr"/>
      <c r="AY364" s="139" t="inlineStr"/>
    </row>
    <row r="365" ht="16.5" customFormat="1" customHeight="1" s="56">
      <c r="A365" s="92" t="n"/>
      <c r="B365" s="92" t="n"/>
      <c r="C365" s="92" t="n"/>
      <c r="D365" s="92" t="n"/>
      <c r="E365" s="92" t="n"/>
      <c r="F365" s="92" t="n"/>
      <c r="G365" s="92" t="n"/>
      <c r="H365" s="92" t="n"/>
      <c r="I365" s="92" t="n"/>
      <c r="J365" s="92" t="n"/>
      <c r="K365" s="92" t="n"/>
      <c r="L365" s="92" t="n"/>
      <c r="M365" s="92" t="n"/>
      <c r="N365" s="92" t="n"/>
      <c r="O365" s="92" t="n"/>
      <c r="P365" s="92" t="n"/>
      <c r="Q365" s="92" t="n"/>
      <c r="R365" s="92" t="n"/>
      <c r="S365" s="92" t="n"/>
      <c r="T365" s="92" t="n"/>
      <c r="U365" s="92" t="n"/>
      <c r="V365" s="92" t="n"/>
      <c r="W365" s="92" t="n"/>
      <c r="X365" s="92" t="n"/>
      <c r="Y365" s="92" t="n"/>
      <c r="Z365" s="92" t="n"/>
      <c r="AA365" s="92" t="n"/>
      <c r="AB365" s="92" t="n"/>
      <c r="AC365" s="92" t="n"/>
      <c r="AD365" s="92" t="n"/>
      <c r="AE365" s="92" t="n"/>
      <c r="AF365" s="92" t="n"/>
      <c r="AG365" s="92" t="n"/>
      <c r="AH365" s="92" t="n"/>
      <c r="AI365" s="92" t="n"/>
      <c r="AJ365" s="92" t="n"/>
      <c r="AK365" s="92" t="n"/>
      <c r="AL365" s="92" t="n"/>
      <c r="AM365" s="92" t="n"/>
      <c r="AN365" s="92" t="n"/>
      <c r="AO365" s="92" t="n"/>
      <c r="AP365" s="92" t="n"/>
      <c r="AQ365" s="92" t="n"/>
      <c r="AR365" s="92" t="n"/>
      <c r="AS365" s="92" t="n"/>
      <c r="AT365" s="92" t="n"/>
      <c r="AU365" s="92" t="n"/>
      <c r="AV365" s="92" t="n"/>
      <c r="AX365" s="139" t="inlineStr"/>
      <c r="AY365" s="139" t="inlineStr"/>
    </row>
    <row r="366" ht="16.5" customFormat="1" customHeight="1" s="56">
      <c r="A366" s="92" t="n"/>
      <c r="B366" s="92" t="n"/>
      <c r="C366" s="92" t="n"/>
      <c r="D366" s="92" t="n"/>
      <c r="E366" s="92" t="n"/>
      <c r="F366" s="92" t="n"/>
      <c r="G366" s="92" t="n"/>
      <c r="H366" s="92" t="n"/>
      <c r="I366" s="92" t="n"/>
      <c r="J366" s="92" t="n"/>
      <c r="K366" s="92" t="n"/>
      <c r="L366" s="92" t="n"/>
      <c r="M366" s="92" t="n"/>
      <c r="N366" s="92" t="n"/>
      <c r="O366" s="92" t="n"/>
      <c r="P366" s="92" t="n"/>
      <c r="Q366" s="92" t="n"/>
      <c r="R366" s="92" t="n"/>
      <c r="S366" s="92" t="n"/>
      <c r="T366" s="92" t="n"/>
      <c r="U366" s="92" t="n"/>
      <c r="V366" s="92" t="n"/>
      <c r="W366" s="92" t="n"/>
      <c r="X366" s="92" t="n"/>
      <c r="Y366" s="92" t="n"/>
      <c r="Z366" s="92" t="n"/>
      <c r="AA366" s="92" t="n"/>
      <c r="AB366" s="92" t="n"/>
      <c r="AC366" s="92" t="n"/>
      <c r="AD366" s="92" t="n"/>
      <c r="AE366" s="92" t="n"/>
      <c r="AF366" s="92" t="n"/>
      <c r="AG366" s="92" t="n"/>
      <c r="AH366" s="92" t="n"/>
      <c r="AI366" s="92" t="n"/>
      <c r="AJ366" s="92" t="n"/>
      <c r="AK366" s="92" t="n"/>
      <c r="AL366" s="92" t="n"/>
      <c r="AM366" s="92" t="n"/>
      <c r="AN366" s="92" t="n"/>
      <c r="AO366" s="92" t="n"/>
      <c r="AP366" s="92" t="n"/>
      <c r="AQ366" s="92" t="n"/>
      <c r="AR366" s="92" t="n"/>
      <c r="AS366" s="92" t="n"/>
      <c r="AT366" s="92" t="n"/>
      <c r="AU366" s="92" t="n"/>
      <c r="AV366" s="92" t="n"/>
      <c r="AX366" s="139" t="inlineStr"/>
      <c r="AY366" s="139" t="inlineStr"/>
    </row>
    <row r="367" ht="16.5" customFormat="1" customHeight="1" s="56">
      <c r="A367" s="92" t="n"/>
      <c r="B367" s="92" t="n"/>
      <c r="C367" s="92" t="n"/>
      <c r="D367" s="92" t="n"/>
      <c r="E367" s="92" t="n"/>
      <c r="F367" s="92" t="n"/>
      <c r="G367" s="92" t="n"/>
      <c r="H367" s="92" t="n"/>
      <c r="I367" s="92" t="n"/>
      <c r="J367" s="92" t="n"/>
      <c r="K367" s="92" t="n"/>
      <c r="L367" s="92" t="n"/>
      <c r="M367" s="92" t="n"/>
      <c r="N367" s="92" t="n"/>
      <c r="O367" s="92" t="n"/>
      <c r="P367" s="92" t="n"/>
      <c r="Q367" s="92" t="n"/>
      <c r="R367" s="92" t="n"/>
      <c r="S367" s="92" t="n"/>
      <c r="T367" s="92" t="n"/>
      <c r="U367" s="92" t="n"/>
      <c r="V367" s="92" t="n"/>
      <c r="W367" s="92" t="n"/>
      <c r="X367" s="92" t="n"/>
      <c r="Y367" s="92" t="n"/>
      <c r="Z367" s="92" t="n"/>
      <c r="AA367" s="92" t="n"/>
      <c r="AB367" s="92" t="n"/>
      <c r="AC367" s="92" t="n"/>
      <c r="AD367" s="92" t="n"/>
      <c r="AE367" s="92" t="n"/>
      <c r="AF367" s="92" t="n"/>
      <c r="AG367" s="92" t="n"/>
      <c r="AH367" s="92" t="n"/>
      <c r="AI367" s="92" t="n"/>
      <c r="AJ367" s="92" t="n"/>
      <c r="AK367" s="92" t="n"/>
      <c r="AL367" s="92" t="n"/>
      <c r="AM367" s="92" t="n"/>
      <c r="AN367" s="92" t="n"/>
      <c r="AO367" s="92" t="n"/>
      <c r="AP367" s="92" t="n"/>
      <c r="AQ367" s="92" t="n"/>
      <c r="AR367" s="92" t="n"/>
      <c r="AS367" s="92" t="n"/>
      <c r="AT367" s="92" t="n"/>
      <c r="AU367" s="92" t="n"/>
      <c r="AV367" s="92" t="n"/>
      <c r="AX367" s="139" t="inlineStr"/>
      <c r="AY367" s="139" t="inlineStr"/>
    </row>
    <row r="368" ht="16.5" customFormat="1" customHeight="1" s="56">
      <c r="A368" s="92" t="n"/>
      <c r="B368" s="92" t="n"/>
      <c r="C368" s="92" t="n"/>
      <c r="D368" s="92" t="n"/>
      <c r="E368" s="92" t="n"/>
      <c r="F368" s="92" t="n"/>
      <c r="G368" s="92" t="n"/>
      <c r="H368" s="92" t="n"/>
      <c r="I368" s="92" t="n"/>
      <c r="J368" s="92" t="n"/>
      <c r="K368" s="92" t="n"/>
      <c r="L368" s="92" t="n"/>
      <c r="M368" s="92" t="n"/>
      <c r="N368" s="92" t="n"/>
      <c r="O368" s="92" t="n"/>
      <c r="P368" s="92" t="n"/>
      <c r="Q368" s="92" t="n"/>
      <c r="R368" s="92" t="n"/>
      <c r="S368" s="92" t="n"/>
      <c r="T368" s="92" t="n"/>
      <c r="U368" s="92" t="n"/>
      <c r="V368" s="92" t="n"/>
      <c r="W368" s="92" t="n"/>
      <c r="X368" s="92" t="n"/>
      <c r="Y368" s="92" t="n"/>
      <c r="Z368" s="92" t="n"/>
      <c r="AA368" s="92" t="n"/>
      <c r="AB368" s="92" t="n"/>
      <c r="AC368" s="92" t="n"/>
      <c r="AD368" s="92" t="n"/>
      <c r="AE368" s="92" t="n"/>
      <c r="AF368" s="92" t="n"/>
      <c r="AG368" s="92" t="n"/>
      <c r="AH368" s="92" t="n"/>
      <c r="AI368" s="92" t="n"/>
      <c r="AJ368" s="92" t="n"/>
      <c r="AK368" s="92" t="n"/>
      <c r="AL368" s="92" t="n"/>
      <c r="AM368" s="92" t="n"/>
      <c r="AN368" s="92" t="n"/>
      <c r="AO368" s="92" t="n"/>
      <c r="AP368" s="92" t="n"/>
      <c r="AQ368" s="92" t="n"/>
      <c r="AR368" s="92" t="n"/>
      <c r="AS368" s="92" t="n"/>
      <c r="AT368" s="92" t="n"/>
      <c r="AU368" s="92" t="n"/>
      <c r="AV368" s="92" t="n"/>
      <c r="AX368" s="139" t="inlineStr"/>
      <c r="AY368" s="139" t="inlineStr"/>
    </row>
    <row r="369" ht="16.5" customFormat="1" customHeight="1" s="56">
      <c r="A369" s="92" t="n"/>
      <c r="B369" s="92" t="n"/>
      <c r="C369" s="92" t="n"/>
      <c r="D369" s="92" t="n"/>
      <c r="E369" s="92" t="n"/>
      <c r="F369" s="92" t="n"/>
      <c r="G369" s="92" t="n"/>
      <c r="H369" s="92" t="n"/>
      <c r="I369" s="92" t="n"/>
      <c r="J369" s="92" t="n"/>
      <c r="K369" s="92" t="n"/>
      <c r="L369" s="92" t="n"/>
      <c r="M369" s="92" t="n"/>
      <c r="N369" s="92" t="n"/>
      <c r="O369" s="92" t="n"/>
      <c r="P369" s="92" t="n"/>
      <c r="Q369" s="92" t="n"/>
      <c r="R369" s="92" t="n"/>
      <c r="S369" s="92" t="n"/>
      <c r="T369" s="92" t="n"/>
      <c r="U369" s="92" t="n"/>
      <c r="V369" s="92" t="n"/>
      <c r="W369" s="92" t="n"/>
      <c r="X369" s="92" t="n"/>
      <c r="Y369" s="92" t="n"/>
      <c r="Z369" s="92" t="n"/>
      <c r="AA369" s="92" t="n"/>
      <c r="AB369" s="92" t="n"/>
      <c r="AC369" s="92" t="n"/>
      <c r="AD369" s="92" t="n"/>
      <c r="AE369" s="92" t="n"/>
      <c r="AF369" s="92" t="n"/>
      <c r="AG369" s="92" t="n"/>
      <c r="AH369" s="92" t="n"/>
      <c r="AI369" s="92" t="n"/>
      <c r="AJ369" s="92" t="n"/>
      <c r="AK369" s="92" t="n"/>
      <c r="AL369" s="92" t="n"/>
      <c r="AM369" s="92" t="n"/>
      <c r="AN369" s="92" t="n"/>
      <c r="AO369" s="92" t="n"/>
      <c r="AP369" s="92" t="n"/>
      <c r="AQ369" s="92" t="n"/>
      <c r="AR369" s="92" t="n"/>
      <c r="AS369" s="92" t="n"/>
      <c r="AT369" s="92" t="n"/>
      <c r="AU369" s="92" t="n"/>
      <c r="AV369" s="92" t="n"/>
      <c r="AX369" s="139" t="inlineStr"/>
      <c r="AY369" s="139" t="inlineStr"/>
    </row>
    <row r="370" ht="16.5" customFormat="1" customHeight="1" s="56">
      <c r="A370" s="92" t="n"/>
      <c r="B370" s="92" t="n"/>
      <c r="C370" s="92" t="n"/>
      <c r="D370" s="92" t="n"/>
      <c r="E370" s="92" t="n"/>
      <c r="F370" s="92" t="n"/>
      <c r="G370" s="92" t="n"/>
      <c r="H370" s="92" t="n"/>
      <c r="I370" s="92" t="n"/>
      <c r="J370" s="92" t="n"/>
      <c r="K370" s="92" t="n"/>
      <c r="L370" s="92" t="n"/>
      <c r="M370" s="92" t="n"/>
      <c r="N370" s="92" t="n"/>
      <c r="O370" s="92" t="n"/>
      <c r="P370" s="92" t="n"/>
      <c r="Q370" s="92" t="n"/>
      <c r="R370" s="92" t="n"/>
      <c r="S370" s="92" t="n"/>
      <c r="T370" s="92" t="n"/>
      <c r="U370" s="92" t="n"/>
      <c r="V370" s="92" t="n"/>
      <c r="W370" s="92" t="n"/>
      <c r="X370" s="92" t="n"/>
      <c r="Y370" s="92" t="n"/>
      <c r="Z370" s="92" t="n"/>
      <c r="AA370" s="92" t="n"/>
      <c r="AB370" s="92" t="n"/>
      <c r="AC370" s="92" t="n"/>
      <c r="AD370" s="92" t="n"/>
      <c r="AE370" s="92" t="n"/>
      <c r="AF370" s="92" t="n"/>
      <c r="AG370" s="92" t="n"/>
      <c r="AH370" s="92" t="n"/>
      <c r="AI370" s="92" t="n"/>
      <c r="AJ370" s="92" t="n"/>
      <c r="AK370" s="92" t="n"/>
      <c r="AL370" s="92" t="n"/>
      <c r="AM370" s="92" t="n"/>
      <c r="AN370" s="92" t="n"/>
      <c r="AO370" s="92" t="n"/>
      <c r="AP370" s="92" t="n"/>
      <c r="AQ370" s="92" t="n"/>
      <c r="AR370" s="92" t="n"/>
      <c r="AS370" s="92" t="n"/>
      <c r="AT370" s="92" t="n"/>
      <c r="AU370" s="92" t="n"/>
      <c r="AV370" s="92" t="n"/>
      <c r="AX370" s="139" t="inlineStr"/>
      <c r="AY370" s="139" t="inlineStr"/>
    </row>
    <row r="371" ht="16.5" customFormat="1" customHeight="1" s="56">
      <c r="A371" s="92" t="n"/>
      <c r="B371" s="92" t="n"/>
      <c r="C371" s="92" t="n"/>
      <c r="D371" s="92" t="n"/>
      <c r="E371" s="92" t="n"/>
      <c r="F371" s="92" t="n"/>
      <c r="G371" s="92" t="n"/>
      <c r="H371" s="92" t="n"/>
      <c r="I371" s="92" t="n"/>
      <c r="J371" s="92" t="n"/>
      <c r="K371" s="92" t="n"/>
      <c r="L371" s="92" t="n"/>
      <c r="M371" s="92" t="n"/>
      <c r="N371" s="92" t="n"/>
      <c r="O371" s="92" t="n"/>
      <c r="P371" s="92" t="n"/>
      <c r="Q371" s="92" t="n"/>
      <c r="R371" s="92" t="n"/>
      <c r="S371" s="92" t="n"/>
      <c r="T371" s="92" t="n"/>
      <c r="U371" s="92" t="n"/>
      <c r="V371" s="92" t="n"/>
      <c r="W371" s="92" t="n"/>
      <c r="X371" s="92" t="n"/>
      <c r="Y371" s="92" t="n"/>
      <c r="Z371" s="92" t="n"/>
      <c r="AA371" s="92" t="n"/>
      <c r="AB371" s="92" t="n"/>
      <c r="AC371" s="92" t="n"/>
      <c r="AD371" s="92" t="n"/>
      <c r="AE371" s="92" t="n"/>
      <c r="AF371" s="92" t="n"/>
      <c r="AG371" s="92" t="n"/>
      <c r="AH371" s="92" t="n"/>
      <c r="AI371" s="92" t="n"/>
      <c r="AJ371" s="92" t="n"/>
      <c r="AK371" s="92" t="n"/>
      <c r="AL371" s="92" t="n"/>
      <c r="AM371" s="92" t="n"/>
      <c r="AN371" s="92" t="n"/>
      <c r="AO371" s="92" t="n"/>
      <c r="AP371" s="92" t="n"/>
      <c r="AQ371" s="92" t="n"/>
      <c r="AR371" s="92" t="n"/>
      <c r="AS371" s="92" t="n"/>
      <c r="AT371" s="92" t="n"/>
      <c r="AU371" s="92" t="n"/>
      <c r="AV371" s="92" t="n"/>
      <c r="AX371" s="139" t="inlineStr"/>
      <c r="AY371" s="139" t="inlineStr"/>
    </row>
    <row r="372" ht="16.5" customFormat="1" customHeight="1" s="56">
      <c r="A372" s="92" t="n"/>
      <c r="B372" s="92" t="n"/>
      <c r="C372" s="92" t="n"/>
      <c r="D372" s="92" t="n"/>
      <c r="E372" s="92" t="n"/>
      <c r="F372" s="92" t="n"/>
      <c r="G372" s="92" t="n"/>
      <c r="H372" s="92" t="n"/>
      <c r="I372" s="92" t="n"/>
      <c r="J372" s="92" t="n"/>
      <c r="K372" s="92" t="n"/>
      <c r="L372" s="92" t="n"/>
      <c r="M372" s="92" t="n"/>
      <c r="N372" s="92" t="n"/>
      <c r="O372" s="92" t="n"/>
      <c r="P372" s="92" t="n"/>
      <c r="Q372" s="92" t="n"/>
      <c r="R372" s="92" t="n"/>
      <c r="S372" s="92" t="n"/>
      <c r="T372" s="92" t="n"/>
      <c r="U372" s="92" t="n"/>
      <c r="V372" s="92" t="n"/>
      <c r="W372" s="92" t="n"/>
      <c r="X372" s="92" t="n"/>
      <c r="Y372" s="92" t="n"/>
      <c r="Z372" s="92" t="n"/>
      <c r="AA372" s="92" t="n"/>
      <c r="AB372" s="92" t="n"/>
      <c r="AC372" s="92" t="n"/>
      <c r="AD372" s="92" t="n"/>
      <c r="AE372" s="92" t="n"/>
      <c r="AF372" s="92" t="n"/>
      <c r="AG372" s="92" t="n"/>
      <c r="AH372" s="92" t="n"/>
      <c r="AI372" s="92" t="n"/>
      <c r="AJ372" s="92" t="n"/>
      <c r="AK372" s="92" t="n"/>
      <c r="AL372" s="92" t="n"/>
      <c r="AM372" s="92" t="n"/>
      <c r="AN372" s="92" t="n"/>
      <c r="AO372" s="92" t="n"/>
      <c r="AP372" s="92" t="n"/>
      <c r="AQ372" s="92" t="n"/>
      <c r="AR372" s="92" t="n"/>
      <c r="AS372" s="92" t="n"/>
      <c r="AT372" s="92" t="n"/>
      <c r="AU372" s="92" t="n"/>
      <c r="AV372" s="92" t="n"/>
      <c r="AX372" s="139" t="inlineStr"/>
      <c r="AY372" s="139" t="inlineStr"/>
    </row>
    <row r="373" ht="16.5" customFormat="1" customHeight="1" s="56">
      <c r="A373" s="92" t="n"/>
      <c r="B373" s="92" t="n"/>
      <c r="C373" s="92" t="n"/>
      <c r="D373" s="92" t="n"/>
      <c r="E373" s="92" t="n"/>
      <c r="F373" s="92" t="n"/>
      <c r="G373" s="92" t="n"/>
      <c r="H373" s="92" t="n"/>
      <c r="I373" s="92" t="n"/>
      <c r="J373" s="92" t="n"/>
      <c r="K373" s="92" t="n"/>
      <c r="L373" s="92" t="n"/>
      <c r="M373" s="92" t="n"/>
      <c r="N373" s="92" t="n"/>
      <c r="O373" s="92" t="n"/>
      <c r="P373" s="92" t="n"/>
      <c r="Q373" s="92" t="n"/>
      <c r="R373" s="92" t="n"/>
      <c r="S373" s="92" t="n"/>
      <c r="T373" s="92" t="n"/>
      <c r="U373" s="92" t="n"/>
      <c r="V373" s="92" t="n"/>
      <c r="W373" s="92" t="n"/>
      <c r="X373" s="92" t="n"/>
      <c r="Y373" s="92" t="n"/>
      <c r="Z373" s="92" t="n"/>
      <c r="AA373" s="92" t="n"/>
      <c r="AB373" s="92" t="n"/>
      <c r="AC373" s="92" t="n"/>
      <c r="AD373" s="92" t="n"/>
      <c r="AE373" s="92" t="n"/>
      <c r="AF373" s="92" t="n"/>
      <c r="AG373" s="92" t="n"/>
      <c r="AH373" s="92" t="n"/>
      <c r="AI373" s="92" t="n"/>
      <c r="AJ373" s="92" t="n"/>
      <c r="AK373" s="92" t="n"/>
      <c r="AL373" s="92" t="n"/>
      <c r="AM373" s="92" t="n"/>
      <c r="AN373" s="92" t="n"/>
      <c r="AO373" s="92" t="n"/>
      <c r="AP373" s="92" t="n"/>
      <c r="AQ373" s="92" t="n"/>
      <c r="AR373" s="92" t="n"/>
      <c r="AS373" s="92" t="n"/>
      <c r="AT373" s="92" t="n"/>
      <c r="AU373" s="92" t="n"/>
      <c r="AV373" s="92" t="n"/>
      <c r="AX373" s="139" t="inlineStr"/>
      <c r="AY373" s="139" t="inlineStr"/>
    </row>
    <row r="374" ht="16.5" customFormat="1" customHeight="1" s="56">
      <c r="A374" s="92" t="n"/>
      <c r="B374" s="92" t="n"/>
      <c r="C374" s="92" t="n"/>
      <c r="D374" s="92" t="n"/>
      <c r="E374" s="92" t="n"/>
      <c r="F374" s="92" t="n"/>
      <c r="G374" s="92" t="n"/>
      <c r="H374" s="92" t="n"/>
      <c r="I374" s="92" t="n"/>
      <c r="J374" s="92" t="n"/>
      <c r="K374" s="92" t="n"/>
      <c r="L374" s="92" t="n"/>
      <c r="M374" s="92" t="n"/>
      <c r="N374" s="92" t="n"/>
      <c r="O374" s="92" t="n"/>
      <c r="P374" s="92" t="n"/>
      <c r="Q374" s="92" t="n"/>
      <c r="R374" s="92" t="n"/>
      <c r="S374" s="92" t="n"/>
      <c r="T374" s="92" t="n"/>
      <c r="U374" s="92" t="n"/>
      <c r="V374" s="92" t="n"/>
      <c r="W374" s="92" t="n"/>
      <c r="X374" s="92" t="n"/>
      <c r="Y374" s="92" t="n"/>
      <c r="Z374" s="92" t="n"/>
      <c r="AA374" s="92" t="n"/>
      <c r="AB374" s="92" t="n"/>
      <c r="AC374" s="92" t="n"/>
      <c r="AD374" s="92" t="n"/>
      <c r="AE374" s="92" t="n"/>
      <c r="AF374" s="92" t="n"/>
      <c r="AG374" s="92" t="n"/>
      <c r="AH374" s="92" t="n"/>
      <c r="AI374" s="92" t="n"/>
      <c r="AJ374" s="92" t="n"/>
      <c r="AK374" s="92" t="n"/>
      <c r="AL374" s="92" t="n"/>
      <c r="AM374" s="92" t="n"/>
      <c r="AN374" s="92" t="n"/>
      <c r="AO374" s="92" t="n"/>
      <c r="AP374" s="92" t="n"/>
      <c r="AQ374" s="92" t="n"/>
      <c r="AR374" s="92" t="n"/>
      <c r="AS374" s="92" t="n"/>
      <c r="AT374" s="92" t="n"/>
      <c r="AU374" s="92" t="n"/>
      <c r="AV374" s="92" t="n"/>
      <c r="AX374" s="139" t="inlineStr"/>
      <c r="AY374" s="139" t="inlineStr"/>
    </row>
    <row r="375" ht="16.5" customFormat="1" customHeight="1" s="56">
      <c r="A375" s="92" t="n"/>
      <c r="B375" s="92" t="n"/>
      <c r="C375" s="92" t="n"/>
      <c r="D375" s="92" t="n"/>
      <c r="E375" s="92" t="n"/>
      <c r="F375" s="92" t="n"/>
      <c r="G375" s="92" t="n"/>
      <c r="H375" s="92" t="n"/>
      <c r="I375" s="92" t="n"/>
      <c r="J375" s="92" t="n"/>
      <c r="K375" s="92" t="n"/>
      <c r="L375" s="92" t="n"/>
      <c r="M375" s="92" t="n"/>
      <c r="N375" s="92" t="n"/>
      <c r="O375" s="92" t="n"/>
      <c r="P375" s="92" t="n"/>
      <c r="Q375" s="92" t="n"/>
      <c r="R375" s="92" t="n"/>
      <c r="S375" s="92" t="n"/>
      <c r="T375" s="92" t="n"/>
      <c r="U375" s="92" t="n"/>
      <c r="V375" s="92" t="n"/>
      <c r="W375" s="92" t="n"/>
      <c r="X375" s="92" t="n"/>
      <c r="Y375" s="92" t="n"/>
      <c r="Z375" s="92" t="n"/>
      <c r="AA375" s="92" t="n"/>
      <c r="AB375" s="92" t="n"/>
      <c r="AC375" s="92" t="n"/>
      <c r="AD375" s="92" t="n"/>
      <c r="AE375" s="92" t="n"/>
      <c r="AF375" s="92" t="n"/>
      <c r="AG375" s="92" t="n"/>
      <c r="AH375" s="92" t="n"/>
      <c r="AI375" s="92" t="n"/>
      <c r="AJ375" s="92" t="n"/>
      <c r="AK375" s="92" t="n"/>
      <c r="AL375" s="92" t="n"/>
      <c r="AM375" s="92" t="n"/>
      <c r="AN375" s="92" t="n"/>
      <c r="AO375" s="92" t="n"/>
      <c r="AP375" s="92" t="n"/>
      <c r="AQ375" s="92" t="n"/>
      <c r="AR375" s="92" t="n"/>
      <c r="AS375" s="92" t="n"/>
      <c r="AT375" s="92" t="n"/>
      <c r="AU375" s="92" t="n"/>
      <c r="AV375" s="92" t="n"/>
      <c r="AX375" s="139" t="inlineStr"/>
      <c r="AY375" s="139" t="inlineStr"/>
    </row>
    <row r="376" ht="16.5" customFormat="1" customHeight="1" s="56">
      <c r="A376" s="92" t="n"/>
      <c r="B376" s="92" t="n"/>
      <c r="C376" s="92" t="n"/>
      <c r="D376" s="92" t="n"/>
      <c r="E376" s="92" t="n"/>
      <c r="F376" s="92" t="n"/>
      <c r="G376" s="92" t="n"/>
      <c r="H376" s="92" t="n"/>
      <c r="I376" s="92" t="n"/>
      <c r="J376" s="92" t="n"/>
      <c r="K376" s="92" t="n"/>
      <c r="L376" s="92" t="n"/>
      <c r="M376" s="92" t="n"/>
      <c r="N376" s="92" t="n"/>
      <c r="O376" s="92" t="n"/>
      <c r="P376" s="92" t="n"/>
      <c r="Q376" s="92" t="n"/>
      <c r="R376" s="92" t="n"/>
      <c r="S376" s="92" t="n"/>
      <c r="T376" s="92" t="n"/>
      <c r="U376" s="92" t="n"/>
      <c r="V376" s="92" t="n"/>
      <c r="W376" s="92" t="n"/>
      <c r="X376" s="92" t="n"/>
      <c r="Y376" s="92" t="n"/>
      <c r="Z376" s="92" t="n"/>
      <c r="AA376" s="92" t="n"/>
      <c r="AB376" s="92" t="n"/>
      <c r="AC376" s="92" t="n"/>
      <c r="AD376" s="92" t="n"/>
      <c r="AE376" s="92" t="n"/>
      <c r="AF376" s="92" t="n"/>
      <c r="AG376" s="92" t="n"/>
      <c r="AH376" s="92" t="n"/>
      <c r="AI376" s="92" t="n"/>
      <c r="AJ376" s="92" t="n"/>
      <c r="AK376" s="92" t="n"/>
      <c r="AL376" s="92" t="n"/>
      <c r="AM376" s="92" t="n"/>
      <c r="AN376" s="92" t="n"/>
      <c r="AO376" s="92" t="n"/>
      <c r="AP376" s="92" t="n"/>
      <c r="AQ376" s="92" t="n"/>
      <c r="AR376" s="92" t="n"/>
      <c r="AS376" s="92" t="n"/>
      <c r="AT376" s="92" t="n"/>
      <c r="AU376" s="92" t="n"/>
      <c r="AV376" s="92" t="n"/>
      <c r="AX376" s="139" t="inlineStr"/>
      <c r="AY376" s="139" t="inlineStr"/>
    </row>
    <row r="377" ht="16.5" customFormat="1" customHeight="1" s="56">
      <c r="A377" s="92" t="n"/>
      <c r="B377" s="92" t="n"/>
      <c r="C377" s="92" t="n"/>
      <c r="D377" s="92" t="n"/>
      <c r="E377" s="92" t="n"/>
      <c r="F377" s="92" t="n"/>
      <c r="G377" s="92" t="n"/>
      <c r="H377" s="92" t="n"/>
      <c r="I377" s="92" t="n"/>
      <c r="J377" s="92" t="n"/>
      <c r="K377" s="92" t="n"/>
      <c r="L377" s="92" t="n"/>
      <c r="M377" s="92" t="n"/>
      <c r="N377" s="92" t="n"/>
      <c r="O377" s="92" t="n"/>
      <c r="P377" s="92" t="n"/>
      <c r="Q377" s="92" t="n"/>
      <c r="R377" s="92" t="n"/>
      <c r="S377" s="92" t="n"/>
      <c r="T377" s="92" t="n"/>
      <c r="U377" s="92" t="n"/>
      <c r="V377" s="92" t="n"/>
      <c r="W377" s="92" t="n"/>
      <c r="X377" s="92" t="n"/>
      <c r="Y377" s="92" t="n"/>
      <c r="Z377" s="92" t="n"/>
      <c r="AA377" s="92" t="n"/>
      <c r="AB377" s="92" t="n"/>
      <c r="AC377" s="92" t="n"/>
      <c r="AD377" s="92" t="n"/>
      <c r="AE377" s="92" t="n"/>
      <c r="AF377" s="92" t="n"/>
      <c r="AG377" s="92" t="n"/>
      <c r="AH377" s="92" t="n"/>
      <c r="AI377" s="92" t="n"/>
      <c r="AJ377" s="92" t="n"/>
      <c r="AK377" s="92" t="n"/>
      <c r="AL377" s="92" t="n"/>
      <c r="AM377" s="92" t="n"/>
      <c r="AN377" s="92" t="n"/>
      <c r="AO377" s="92" t="n"/>
      <c r="AP377" s="92" t="n"/>
      <c r="AQ377" s="92" t="n"/>
      <c r="AR377" s="92" t="n"/>
      <c r="AS377" s="92" t="n"/>
      <c r="AT377" s="92" t="n"/>
      <c r="AU377" s="92" t="n"/>
      <c r="AV377" s="92" t="n"/>
      <c r="AX377" s="139" t="inlineStr"/>
      <c r="AY377" s="139" t="inlineStr"/>
    </row>
    <row r="378" ht="16.5" customFormat="1" customHeight="1" s="56">
      <c r="A378" s="92" t="n"/>
      <c r="B378" s="92" t="n"/>
      <c r="C378" s="92" t="n"/>
      <c r="D378" s="92" t="n"/>
      <c r="E378" s="92" t="n"/>
      <c r="F378" s="92" t="n"/>
      <c r="G378" s="92" t="n"/>
      <c r="H378" s="92" t="n"/>
      <c r="I378" s="92" t="n"/>
      <c r="J378" s="92" t="n"/>
      <c r="K378" s="92" t="n"/>
      <c r="L378" s="92" t="n"/>
      <c r="M378" s="92" t="n"/>
      <c r="N378" s="92" t="n"/>
      <c r="O378" s="92" t="n"/>
      <c r="P378" s="92" t="n"/>
      <c r="Q378" s="92" t="n"/>
      <c r="R378" s="92" t="n"/>
      <c r="S378" s="92" t="n"/>
      <c r="T378" s="92" t="n"/>
      <c r="U378" s="92" t="n"/>
      <c r="V378" s="92" t="n"/>
      <c r="W378" s="92" t="n"/>
      <c r="X378" s="92" t="n"/>
      <c r="Y378" s="92" t="n"/>
      <c r="Z378" s="92" t="n"/>
      <c r="AA378" s="92" t="n"/>
      <c r="AB378" s="92" t="n"/>
      <c r="AC378" s="92" t="n"/>
      <c r="AD378" s="92" t="n"/>
      <c r="AE378" s="92" t="n"/>
      <c r="AF378" s="92" t="n"/>
      <c r="AG378" s="92" t="n"/>
      <c r="AH378" s="92" t="n"/>
      <c r="AI378" s="92" t="n"/>
      <c r="AJ378" s="92" t="n"/>
      <c r="AK378" s="92" t="n"/>
      <c r="AL378" s="92" t="n"/>
      <c r="AM378" s="92" t="n"/>
      <c r="AN378" s="92" t="n"/>
      <c r="AO378" s="92" t="n"/>
      <c r="AP378" s="92" t="n"/>
      <c r="AQ378" s="92" t="n"/>
      <c r="AR378" s="92" t="n"/>
      <c r="AS378" s="92" t="n"/>
      <c r="AT378" s="92" t="n"/>
      <c r="AU378" s="92" t="n"/>
      <c r="AV378" s="92" t="n"/>
      <c r="AX378" s="139" t="inlineStr"/>
      <c r="AY378" s="139" t="inlineStr"/>
    </row>
    <row r="379" ht="16.5" customFormat="1" customHeight="1" s="56">
      <c r="A379" s="92" t="n"/>
      <c r="B379" s="92" t="n"/>
      <c r="C379" s="92" t="n"/>
      <c r="D379" s="92" t="n"/>
      <c r="E379" s="92" t="n"/>
      <c r="F379" s="92" t="n"/>
      <c r="G379" s="92" t="n"/>
      <c r="H379" s="92" t="n"/>
      <c r="I379" s="92" t="n"/>
      <c r="J379" s="92" t="n"/>
      <c r="K379" s="92" t="n"/>
      <c r="L379" s="92" t="n"/>
      <c r="M379" s="92" t="n"/>
      <c r="N379" s="92" t="n"/>
      <c r="O379" s="92" t="n"/>
      <c r="P379" s="92" t="n"/>
      <c r="Q379" s="92" t="n"/>
      <c r="R379" s="92" t="n"/>
      <c r="S379" s="92" t="n"/>
      <c r="T379" s="92" t="n"/>
      <c r="U379" s="92" t="n"/>
      <c r="V379" s="92" t="n"/>
      <c r="W379" s="92" t="n"/>
      <c r="X379" s="92" t="n"/>
      <c r="Y379" s="92" t="n"/>
      <c r="Z379" s="92" t="n"/>
      <c r="AA379" s="92" t="n"/>
      <c r="AB379" s="92" t="n"/>
      <c r="AC379" s="92" t="n"/>
      <c r="AD379" s="92" t="n"/>
      <c r="AE379" s="92" t="n"/>
      <c r="AF379" s="92" t="n"/>
      <c r="AG379" s="92" t="n"/>
      <c r="AH379" s="92" t="n"/>
      <c r="AI379" s="92" t="n"/>
      <c r="AJ379" s="92" t="n"/>
      <c r="AK379" s="92" t="n"/>
      <c r="AL379" s="92" t="n"/>
      <c r="AM379" s="92" t="n"/>
      <c r="AN379" s="92" t="n"/>
      <c r="AO379" s="92" t="n"/>
      <c r="AP379" s="92" t="n"/>
      <c r="AQ379" s="92" t="n"/>
      <c r="AR379" s="92" t="n"/>
      <c r="AS379" s="92" t="n"/>
      <c r="AT379" s="92" t="n"/>
      <c r="AU379" s="92" t="n"/>
      <c r="AV379" s="92" t="n"/>
      <c r="AX379" s="139" t="inlineStr"/>
      <c r="AY379" s="139" t="inlineStr"/>
    </row>
    <row r="380" ht="16.5" customFormat="1" customHeight="1" s="56">
      <c r="A380" s="92" t="n"/>
      <c r="B380" s="92" t="n"/>
      <c r="C380" s="92" t="n"/>
      <c r="D380" s="92" t="n"/>
      <c r="E380" s="92" t="n"/>
      <c r="F380" s="92" t="n"/>
      <c r="G380" s="92" t="n"/>
      <c r="H380" s="92" t="n"/>
      <c r="I380" s="92" t="n"/>
      <c r="J380" s="92" t="n"/>
      <c r="K380" s="92" t="n"/>
      <c r="L380" s="92" t="n"/>
      <c r="M380" s="92" t="n"/>
      <c r="N380" s="92" t="n"/>
      <c r="O380" s="92" t="n"/>
      <c r="P380" s="92" t="n"/>
      <c r="Q380" s="92" t="n"/>
      <c r="R380" s="92" t="n"/>
      <c r="S380" s="92" t="n"/>
      <c r="T380" s="92" t="n"/>
      <c r="U380" s="92" t="n"/>
      <c r="V380" s="92" t="n"/>
      <c r="W380" s="92" t="n"/>
      <c r="X380" s="92" t="n"/>
      <c r="Y380" s="92" t="n"/>
      <c r="Z380" s="92" t="n"/>
      <c r="AA380" s="92" t="n"/>
      <c r="AB380" s="92" t="n"/>
      <c r="AC380" s="92" t="n"/>
      <c r="AD380" s="92" t="n"/>
      <c r="AE380" s="92" t="n"/>
      <c r="AF380" s="92" t="n"/>
      <c r="AG380" s="92" t="n"/>
      <c r="AH380" s="92" t="n"/>
      <c r="AI380" s="92" t="n"/>
      <c r="AJ380" s="92" t="n"/>
      <c r="AK380" s="92" t="n"/>
      <c r="AL380" s="92" t="n"/>
      <c r="AM380" s="92" t="n"/>
      <c r="AN380" s="92" t="n"/>
      <c r="AO380" s="92" t="n"/>
      <c r="AP380" s="92" t="n"/>
      <c r="AQ380" s="92" t="n"/>
      <c r="AR380" s="92" t="n"/>
      <c r="AS380" s="92" t="n"/>
      <c r="AT380" s="92" t="n"/>
      <c r="AU380" s="92" t="n"/>
      <c r="AV380" s="92" t="n"/>
      <c r="AX380" s="139" t="inlineStr"/>
      <c r="AY380" s="139" t="inlineStr"/>
    </row>
    <row r="381" ht="16.5" customFormat="1" customHeight="1" s="56">
      <c r="A381" s="92" t="n"/>
      <c r="B381" s="92" t="n"/>
      <c r="C381" s="92" t="n"/>
      <c r="D381" s="92" t="n"/>
      <c r="E381" s="92" t="n"/>
      <c r="F381" s="92" t="n"/>
      <c r="G381" s="92" t="n"/>
      <c r="H381" s="92" t="n"/>
      <c r="I381" s="92" t="n"/>
      <c r="J381" s="92" t="n"/>
      <c r="K381" s="92" t="n"/>
      <c r="L381" s="92" t="n"/>
      <c r="M381" s="92" t="n"/>
      <c r="N381" s="92" t="n"/>
      <c r="O381" s="92" t="n"/>
      <c r="P381" s="92" t="n"/>
      <c r="Q381" s="92" t="n"/>
      <c r="R381" s="92" t="n"/>
      <c r="S381" s="92" t="n"/>
      <c r="T381" s="92" t="n"/>
      <c r="U381" s="92" t="n"/>
      <c r="V381" s="92" t="n"/>
      <c r="W381" s="92" t="n"/>
      <c r="X381" s="92" t="n"/>
      <c r="Y381" s="92" t="n"/>
      <c r="Z381" s="92" t="n"/>
      <c r="AA381" s="92" t="n"/>
      <c r="AB381" s="92" t="n"/>
      <c r="AC381" s="92" t="n"/>
      <c r="AD381" s="92" t="n"/>
      <c r="AE381" s="92" t="n"/>
      <c r="AF381" s="92" t="n"/>
      <c r="AG381" s="92" t="n"/>
      <c r="AH381" s="92" t="n"/>
      <c r="AI381" s="92" t="n"/>
      <c r="AJ381" s="92" t="n"/>
      <c r="AK381" s="92" t="n"/>
      <c r="AL381" s="92" t="n"/>
      <c r="AM381" s="92" t="n"/>
      <c r="AN381" s="92" t="n"/>
      <c r="AO381" s="92" t="n"/>
      <c r="AP381" s="92" t="n"/>
      <c r="AQ381" s="92" t="n"/>
      <c r="AR381" s="92" t="n"/>
      <c r="AS381" s="92" t="n"/>
      <c r="AT381" s="92" t="n"/>
      <c r="AU381" s="92" t="n"/>
      <c r="AV381" s="92" t="n"/>
      <c r="AX381" s="139" t="inlineStr"/>
      <c r="AY381" s="139" t="inlineStr"/>
    </row>
    <row r="382" ht="16.5" customFormat="1" customHeight="1" s="56">
      <c r="A382" s="92" t="n"/>
      <c r="B382" s="92" t="n"/>
      <c r="C382" s="92" t="n"/>
      <c r="D382" s="92" t="n"/>
      <c r="E382" s="92" t="n"/>
      <c r="F382" s="92" t="n"/>
      <c r="G382" s="92" t="n"/>
      <c r="H382" s="92" t="n"/>
      <c r="I382" s="92" t="n"/>
      <c r="J382" s="92" t="n"/>
      <c r="K382" s="92" t="n"/>
      <c r="L382" s="92" t="n"/>
      <c r="M382" s="92" t="n"/>
      <c r="N382" s="92" t="n"/>
      <c r="O382" s="92" t="n"/>
      <c r="P382" s="92" t="n"/>
      <c r="Q382" s="92" t="n"/>
      <c r="R382" s="92" t="n"/>
      <c r="S382" s="92" t="n"/>
      <c r="T382" s="92" t="n"/>
      <c r="U382" s="92" t="n"/>
      <c r="V382" s="92" t="n"/>
      <c r="W382" s="92" t="n"/>
      <c r="X382" s="92" t="n"/>
      <c r="Y382" s="92" t="n"/>
      <c r="Z382" s="92" t="n"/>
      <c r="AA382" s="92" t="n"/>
      <c r="AB382" s="92" t="n"/>
      <c r="AC382" s="92" t="n"/>
      <c r="AD382" s="92" t="n"/>
      <c r="AE382" s="92" t="n"/>
      <c r="AF382" s="92" t="n"/>
      <c r="AG382" s="92" t="n"/>
      <c r="AH382" s="92" t="n"/>
      <c r="AI382" s="92" t="n"/>
      <c r="AJ382" s="92" t="n"/>
      <c r="AK382" s="92" t="n"/>
      <c r="AL382" s="92" t="n"/>
      <c r="AM382" s="92" t="n"/>
      <c r="AN382" s="92" t="n"/>
      <c r="AO382" s="92" t="n"/>
      <c r="AP382" s="92" t="n"/>
      <c r="AQ382" s="92" t="n"/>
      <c r="AR382" s="92" t="n"/>
      <c r="AS382" s="92" t="n"/>
      <c r="AT382" s="92" t="n"/>
      <c r="AU382" s="92" t="n"/>
      <c r="AV382" s="92" t="n"/>
      <c r="AX382" s="139" t="inlineStr"/>
      <c r="AY382" s="139" t="inlineStr"/>
    </row>
    <row r="383" ht="16.5" customFormat="1" customHeight="1" s="56">
      <c r="A383" s="92" t="n"/>
      <c r="B383" s="92" t="n"/>
      <c r="C383" s="92" t="n"/>
      <c r="D383" s="92" t="n"/>
      <c r="E383" s="92" t="n"/>
      <c r="F383" s="92" t="n"/>
      <c r="G383" s="92" t="n"/>
      <c r="H383" s="92" t="n"/>
      <c r="I383" s="92" t="n"/>
      <c r="J383" s="92" t="n"/>
      <c r="K383" s="92" t="n"/>
      <c r="L383" s="92" t="n"/>
      <c r="M383" s="92" t="n"/>
      <c r="N383" s="92" t="n"/>
      <c r="O383" s="92" t="n"/>
      <c r="P383" s="92" t="n"/>
      <c r="Q383" s="92" t="n"/>
      <c r="R383" s="92" t="n"/>
      <c r="S383" s="92" t="n"/>
      <c r="T383" s="92" t="n"/>
      <c r="U383" s="92" t="n"/>
      <c r="V383" s="92" t="n"/>
      <c r="W383" s="92" t="n"/>
      <c r="X383" s="92" t="n"/>
      <c r="Y383" s="92" t="n"/>
      <c r="Z383" s="92" t="n"/>
      <c r="AA383" s="92" t="n"/>
      <c r="AB383" s="92" t="n"/>
      <c r="AC383" s="92" t="n"/>
      <c r="AD383" s="92" t="n"/>
      <c r="AE383" s="92" t="n"/>
      <c r="AF383" s="92" t="n"/>
      <c r="AG383" s="92" t="n"/>
      <c r="AH383" s="92" t="n"/>
      <c r="AI383" s="92" t="n"/>
      <c r="AJ383" s="92" t="n"/>
      <c r="AK383" s="92" t="n"/>
      <c r="AL383" s="92" t="n"/>
      <c r="AM383" s="92" t="n"/>
      <c r="AN383" s="92" t="n"/>
      <c r="AO383" s="92" t="n"/>
      <c r="AP383" s="92" t="n"/>
      <c r="AQ383" s="92" t="n"/>
      <c r="AR383" s="92" t="n"/>
      <c r="AS383" s="92" t="n"/>
      <c r="AT383" s="92" t="n"/>
      <c r="AU383" s="92" t="n"/>
      <c r="AV383" s="92" t="n"/>
      <c r="AX383" s="139" t="inlineStr"/>
      <c r="AY383" s="139" t="inlineStr"/>
    </row>
    <row r="384" ht="16.5" customFormat="1" customHeight="1" s="56">
      <c r="A384" s="92" t="n"/>
      <c r="B384" s="92" t="n"/>
      <c r="C384" s="92" t="n"/>
      <c r="D384" s="92" t="n"/>
      <c r="E384" s="92" t="n"/>
      <c r="F384" s="92" t="n"/>
      <c r="G384" s="92" t="n"/>
      <c r="H384" s="92" t="n"/>
      <c r="I384" s="92" t="n"/>
      <c r="J384" s="92" t="n"/>
      <c r="K384" s="92" t="n"/>
      <c r="L384" s="92" t="n"/>
      <c r="M384" s="92" t="n"/>
      <c r="N384" s="92" t="n"/>
      <c r="O384" s="92" t="n"/>
      <c r="P384" s="92" t="n"/>
      <c r="Q384" s="92" t="n"/>
      <c r="R384" s="92" t="n"/>
      <c r="S384" s="92" t="n"/>
      <c r="T384" s="92" t="n"/>
      <c r="U384" s="92" t="n"/>
      <c r="V384" s="92" t="n"/>
      <c r="W384" s="92" t="n"/>
      <c r="X384" s="92" t="n"/>
      <c r="Y384" s="92" t="n"/>
      <c r="Z384" s="92" t="n"/>
      <c r="AA384" s="92" t="n"/>
      <c r="AB384" s="92" t="n"/>
      <c r="AC384" s="92" t="n"/>
      <c r="AD384" s="92" t="n"/>
      <c r="AE384" s="92" t="n"/>
      <c r="AF384" s="92" t="n"/>
      <c r="AG384" s="92" t="n"/>
      <c r="AH384" s="92" t="n"/>
      <c r="AI384" s="92" t="n"/>
      <c r="AJ384" s="92" t="n"/>
      <c r="AK384" s="92" t="n"/>
      <c r="AL384" s="92" t="n"/>
      <c r="AM384" s="92" t="n"/>
      <c r="AN384" s="92" t="n"/>
      <c r="AO384" s="92" t="n"/>
      <c r="AP384" s="92" t="n"/>
      <c r="AQ384" s="92" t="n"/>
      <c r="AR384" s="92" t="n"/>
      <c r="AS384" s="92" t="n"/>
      <c r="AT384" s="92" t="n"/>
      <c r="AU384" s="92" t="n"/>
      <c r="AV384" s="92" t="n"/>
      <c r="AX384" s="139" t="inlineStr"/>
      <c r="AY384" s="139" t="inlineStr"/>
    </row>
    <row r="385" ht="16.5" customFormat="1" customHeight="1" s="56">
      <c r="A385" s="92" t="n"/>
      <c r="B385" s="92" t="n"/>
      <c r="C385" s="92" t="n"/>
      <c r="D385" s="92" t="n"/>
      <c r="E385" s="92" t="n"/>
      <c r="F385" s="92" t="n"/>
      <c r="G385" s="92" t="n"/>
      <c r="H385" s="92" t="n"/>
      <c r="I385" s="92" t="n"/>
      <c r="J385" s="92" t="n"/>
      <c r="K385" s="92" t="n"/>
      <c r="L385" s="92" t="n"/>
      <c r="M385" s="92" t="n"/>
      <c r="N385" s="92" t="n"/>
      <c r="O385" s="92" t="n"/>
      <c r="P385" s="92" t="n"/>
      <c r="Q385" s="92" t="n"/>
      <c r="R385" s="92" t="n"/>
      <c r="S385" s="92" t="n"/>
      <c r="T385" s="92" t="n"/>
      <c r="U385" s="92" t="n"/>
      <c r="V385" s="92" t="n"/>
      <c r="W385" s="92" t="n"/>
      <c r="X385" s="92" t="n"/>
      <c r="Y385" s="92" t="n"/>
      <c r="Z385" s="92" t="n"/>
      <c r="AA385" s="92" t="n"/>
      <c r="AB385" s="92" t="n"/>
      <c r="AC385" s="92" t="n"/>
      <c r="AD385" s="92" t="n"/>
      <c r="AE385" s="92" t="n"/>
      <c r="AF385" s="92" t="n"/>
      <c r="AG385" s="92" t="n"/>
      <c r="AH385" s="92" t="n"/>
      <c r="AI385" s="92" t="n"/>
      <c r="AJ385" s="92" t="n"/>
      <c r="AK385" s="92" t="n"/>
      <c r="AL385" s="92" t="n"/>
      <c r="AM385" s="92" t="n"/>
      <c r="AN385" s="92" t="n"/>
      <c r="AO385" s="92" t="n"/>
      <c r="AP385" s="92" t="n"/>
      <c r="AQ385" s="92" t="n"/>
      <c r="AR385" s="92" t="n"/>
      <c r="AS385" s="92" t="n"/>
      <c r="AT385" s="92" t="n"/>
      <c r="AU385" s="92" t="n"/>
      <c r="AV385" s="92" t="n"/>
      <c r="AX385" s="139" t="inlineStr"/>
      <c r="AY385" s="139" t="inlineStr"/>
    </row>
    <row r="386" ht="16.5" customFormat="1" customHeight="1" s="56">
      <c r="A386" s="92" t="n"/>
      <c r="B386" s="92" t="n"/>
      <c r="C386" s="92" t="n"/>
      <c r="D386" s="92" t="n"/>
      <c r="E386" s="92" t="n"/>
      <c r="F386" s="92" t="n"/>
      <c r="G386" s="92" t="n"/>
      <c r="H386" s="92" t="n"/>
      <c r="I386" s="92" t="n"/>
      <c r="J386" s="92" t="n"/>
      <c r="K386" s="92" t="n"/>
      <c r="L386" s="92" t="n"/>
      <c r="M386" s="92" t="n"/>
      <c r="N386" s="92" t="n"/>
      <c r="O386" s="92" t="n"/>
      <c r="P386" s="92" t="n"/>
      <c r="Q386" s="92" t="n"/>
      <c r="R386" s="92" t="n"/>
      <c r="S386" s="92" t="n"/>
      <c r="T386" s="92" t="n"/>
      <c r="U386" s="92" t="n"/>
      <c r="V386" s="92" t="n"/>
      <c r="W386" s="92" t="n"/>
      <c r="X386" s="92" t="n"/>
      <c r="Y386" s="92" t="n"/>
      <c r="Z386" s="92" t="n"/>
      <c r="AA386" s="92" t="n"/>
      <c r="AB386" s="92" t="n"/>
      <c r="AC386" s="92" t="n"/>
      <c r="AD386" s="92" t="n"/>
      <c r="AE386" s="92" t="n"/>
      <c r="AF386" s="92" t="n"/>
      <c r="AG386" s="92" t="n"/>
      <c r="AH386" s="92" t="n"/>
      <c r="AI386" s="92" t="n"/>
      <c r="AJ386" s="92" t="n"/>
      <c r="AK386" s="92" t="n"/>
      <c r="AL386" s="92" t="n"/>
      <c r="AM386" s="92" t="n"/>
      <c r="AN386" s="92" t="n"/>
      <c r="AO386" s="92" t="n"/>
      <c r="AP386" s="92" t="n"/>
      <c r="AQ386" s="92" t="n"/>
      <c r="AR386" s="92" t="n"/>
      <c r="AS386" s="92" t="n"/>
      <c r="AT386" s="92" t="n"/>
      <c r="AU386" s="92" t="n"/>
      <c r="AV386" s="92" t="n"/>
      <c r="AX386" s="139" t="inlineStr"/>
      <c r="AY386" s="139" t="inlineStr"/>
    </row>
    <row r="387" ht="16.5" customFormat="1" customHeight="1" s="56">
      <c r="A387" s="92" t="n"/>
      <c r="B387" s="92" t="n"/>
      <c r="C387" s="92" t="n"/>
      <c r="D387" s="92" t="n"/>
      <c r="E387" s="92" t="n"/>
      <c r="F387" s="92" t="n"/>
      <c r="G387" s="92" t="n"/>
      <c r="H387" s="92" t="n"/>
      <c r="I387" s="92" t="n"/>
      <c r="J387" s="92" t="n"/>
      <c r="K387" s="92" t="n"/>
      <c r="L387" s="92" t="n"/>
      <c r="M387" s="92" t="n"/>
      <c r="N387" s="92" t="n"/>
      <c r="O387" s="92" t="n"/>
      <c r="P387" s="92" t="n"/>
      <c r="Q387" s="92" t="n"/>
      <c r="R387" s="92" t="n"/>
      <c r="S387" s="92" t="n"/>
      <c r="T387" s="92" t="n"/>
      <c r="U387" s="92" t="n"/>
      <c r="V387" s="92" t="n"/>
      <c r="W387" s="92" t="n"/>
      <c r="X387" s="92" t="n"/>
      <c r="Y387" s="92" t="n"/>
      <c r="Z387" s="92" t="n"/>
      <c r="AA387" s="92" t="n"/>
      <c r="AB387" s="92" t="n"/>
      <c r="AC387" s="92" t="n"/>
      <c r="AD387" s="92" t="n"/>
      <c r="AE387" s="92" t="n"/>
      <c r="AF387" s="92" t="n"/>
      <c r="AG387" s="92" t="n"/>
      <c r="AH387" s="92" t="n"/>
      <c r="AI387" s="92" t="n"/>
      <c r="AJ387" s="92" t="n"/>
      <c r="AK387" s="92" t="n"/>
      <c r="AL387" s="92" t="n"/>
      <c r="AM387" s="92" t="n"/>
      <c r="AN387" s="92" t="n"/>
      <c r="AO387" s="92" t="n"/>
      <c r="AP387" s="92" t="n"/>
      <c r="AQ387" s="92" t="n"/>
      <c r="AR387" s="92" t="n"/>
      <c r="AS387" s="92" t="n"/>
      <c r="AT387" s="92" t="n"/>
      <c r="AU387" s="92" t="n"/>
      <c r="AV387" s="92" t="n"/>
      <c r="AX387" s="139" t="inlineStr"/>
      <c r="AY387" s="139" t="inlineStr"/>
    </row>
    <row r="388" ht="16.5" customFormat="1" customHeight="1" s="56">
      <c r="A388" s="92" t="n"/>
      <c r="B388" s="92" t="n"/>
      <c r="C388" s="92" t="n"/>
      <c r="D388" s="92" t="n"/>
      <c r="E388" s="92" t="n"/>
      <c r="F388" s="92" t="n"/>
      <c r="G388" s="92" t="n"/>
      <c r="H388" s="92" t="n"/>
      <c r="I388" s="92" t="n"/>
      <c r="J388" s="92" t="n"/>
      <c r="K388" s="92" t="n"/>
      <c r="L388" s="92" t="n"/>
      <c r="M388" s="92" t="n"/>
      <c r="N388" s="92" t="n"/>
      <c r="O388" s="92" t="n"/>
      <c r="P388" s="92" t="n"/>
      <c r="Q388" s="92" t="n"/>
      <c r="R388" s="92" t="n"/>
      <c r="S388" s="92" t="n"/>
      <c r="T388" s="92" t="n"/>
      <c r="U388" s="92" t="n"/>
      <c r="V388" s="92" t="n"/>
      <c r="W388" s="92" t="n"/>
      <c r="X388" s="92" t="n"/>
      <c r="Y388" s="92" t="n"/>
      <c r="Z388" s="92" t="n"/>
      <c r="AA388" s="92" t="n"/>
      <c r="AB388" s="92" t="n"/>
      <c r="AC388" s="92" t="n"/>
      <c r="AD388" s="92" t="n"/>
      <c r="AE388" s="92" t="n"/>
      <c r="AF388" s="92" t="n"/>
      <c r="AG388" s="92" t="n"/>
      <c r="AH388" s="92" t="n"/>
      <c r="AI388" s="92" t="n"/>
      <c r="AJ388" s="92" t="n"/>
      <c r="AK388" s="92" t="n"/>
      <c r="AL388" s="92" t="n"/>
      <c r="AM388" s="92" t="n"/>
      <c r="AN388" s="92" t="n"/>
      <c r="AO388" s="92" t="n"/>
      <c r="AP388" s="92" t="n"/>
      <c r="AQ388" s="92" t="n"/>
      <c r="AR388" s="92" t="n"/>
      <c r="AS388" s="92" t="n"/>
      <c r="AT388" s="92" t="n"/>
      <c r="AU388" s="92" t="n"/>
      <c r="AV388" s="92" t="n"/>
      <c r="AX388" s="139" t="inlineStr"/>
      <c r="AY388" s="139" t="inlineStr"/>
    </row>
    <row r="389" ht="16.5" customFormat="1" customHeight="1" s="56">
      <c r="A389" s="92" t="n"/>
      <c r="B389" s="92" t="n"/>
      <c r="C389" s="92" t="n"/>
      <c r="D389" s="92" t="n"/>
      <c r="E389" s="92" t="n"/>
      <c r="F389" s="92" t="n"/>
      <c r="G389" s="92" t="n"/>
      <c r="H389" s="92" t="n"/>
      <c r="I389" s="92" t="n"/>
      <c r="J389" s="92" t="n"/>
      <c r="K389" s="92" t="n"/>
      <c r="L389" s="92" t="n"/>
      <c r="M389" s="92" t="n"/>
      <c r="N389" s="92" t="n"/>
      <c r="O389" s="92" t="n"/>
      <c r="P389" s="92" t="n"/>
      <c r="Q389" s="92" t="n"/>
      <c r="R389" s="92" t="n"/>
      <c r="S389" s="92" t="n"/>
      <c r="T389" s="92" t="n"/>
      <c r="U389" s="92" t="n"/>
      <c r="V389" s="92" t="n"/>
      <c r="W389" s="92" t="n"/>
      <c r="X389" s="92" t="n"/>
      <c r="Y389" s="92" t="n"/>
      <c r="Z389" s="92" t="n"/>
      <c r="AA389" s="92" t="n"/>
      <c r="AB389" s="92" t="n"/>
      <c r="AC389" s="92" t="n"/>
      <c r="AD389" s="92" t="n"/>
      <c r="AE389" s="92" t="n"/>
      <c r="AF389" s="92" t="n"/>
      <c r="AG389" s="92" t="n"/>
      <c r="AH389" s="92" t="n"/>
      <c r="AI389" s="92" t="n"/>
      <c r="AJ389" s="92" t="n"/>
      <c r="AK389" s="92" t="n"/>
      <c r="AL389" s="92" t="n"/>
      <c r="AM389" s="92" t="n"/>
      <c r="AN389" s="92" t="n"/>
      <c r="AO389" s="92" t="n"/>
      <c r="AP389" s="92" t="n"/>
      <c r="AQ389" s="92" t="n"/>
      <c r="AR389" s="92" t="n"/>
      <c r="AS389" s="92" t="n"/>
      <c r="AT389" s="92" t="n"/>
      <c r="AU389" s="92" t="n"/>
      <c r="AV389" s="92" t="n"/>
      <c r="AX389" s="139" t="inlineStr"/>
      <c r="AY389" s="139" t="inlineStr"/>
    </row>
    <row r="390" ht="16.5" customFormat="1" customHeight="1" s="56">
      <c r="A390" s="92" t="n"/>
      <c r="B390" s="92" t="n"/>
      <c r="C390" s="92" t="n"/>
      <c r="D390" s="92" t="n"/>
      <c r="E390" s="92" t="n"/>
      <c r="F390" s="92" t="n"/>
      <c r="G390" s="92" t="n"/>
      <c r="H390" s="92" t="n"/>
      <c r="I390" s="92" t="n"/>
      <c r="J390" s="92" t="n"/>
      <c r="K390" s="92" t="n"/>
      <c r="L390" s="92" t="n"/>
      <c r="M390" s="92" t="n"/>
      <c r="N390" s="92" t="n"/>
      <c r="O390" s="92" t="n"/>
      <c r="P390" s="92" t="n"/>
      <c r="Q390" s="92" t="n"/>
      <c r="R390" s="92" t="n"/>
      <c r="S390" s="92" t="n"/>
      <c r="T390" s="92" t="n"/>
      <c r="U390" s="92" t="n"/>
      <c r="V390" s="92" t="n"/>
      <c r="W390" s="92" t="n"/>
      <c r="X390" s="92" t="n"/>
      <c r="Y390" s="92" t="n"/>
      <c r="Z390" s="92" t="n"/>
      <c r="AA390" s="92" t="n"/>
      <c r="AB390" s="92" t="n"/>
      <c r="AC390" s="92" t="n"/>
      <c r="AD390" s="92" t="n"/>
      <c r="AE390" s="92" t="n"/>
      <c r="AF390" s="92" t="n"/>
      <c r="AG390" s="92" t="n"/>
      <c r="AH390" s="92" t="n"/>
      <c r="AI390" s="92" t="n"/>
      <c r="AJ390" s="92" t="n"/>
      <c r="AK390" s="92" t="n"/>
      <c r="AL390" s="92" t="n"/>
      <c r="AM390" s="92" t="n"/>
      <c r="AN390" s="92" t="n"/>
      <c r="AO390" s="92" t="n"/>
      <c r="AP390" s="92" t="n"/>
      <c r="AQ390" s="92" t="n"/>
      <c r="AR390" s="92" t="n"/>
      <c r="AS390" s="92" t="n"/>
      <c r="AT390" s="92" t="n"/>
      <c r="AU390" s="92" t="n"/>
      <c r="AV390" s="92" t="n"/>
      <c r="AX390" s="139" t="inlineStr"/>
      <c r="AY390" s="139" t="inlineStr"/>
    </row>
    <row r="391" ht="16.5" customFormat="1" customHeight="1" s="56">
      <c r="A391" s="92" t="n"/>
      <c r="B391" s="92" t="n"/>
      <c r="C391" s="92" t="n"/>
      <c r="D391" s="92" t="n"/>
      <c r="E391" s="92" t="n"/>
      <c r="F391" s="92" t="n"/>
      <c r="G391" s="92" t="n"/>
      <c r="H391" s="92" t="n"/>
      <c r="I391" s="92" t="n"/>
      <c r="J391" s="92" t="n"/>
      <c r="K391" s="92" t="n"/>
      <c r="L391" s="92" t="n"/>
      <c r="M391" s="92" t="n"/>
      <c r="N391" s="92" t="n"/>
      <c r="O391" s="92" t="n"/>
      <c r="P391" s="92" t="n"/>
      <c r="Q391" s="92" t="n"/>
      <c r="R391" s="92" t="n"/>
      <c r="S391" s="92" t="n"/>
      <c r="T391" s="92" t="n"/>
      <c r="U391" s="92" t="n"/>
      <c r="V391" s="92" t="n"/>
      <c r="W391" s="92" t="n"/>
      <c r="X391" s="92" t="n"/>
      <c r="Y391" s="92" t="n"/>
      <c r="Z391" s="92" t="n"/>
      <c r="AA391" s="92" t="n"/>
      <c r="AB391" s="92" t="n"/>
      <c r="AC391" s="92" t="n"/>
      <c r="AD391" s="92" t="n"/>
      <c r="AE391" s="92" t="n"/>
      <c r="AF391" s="92" t="n"/>
      <c r="AG391" s="92" t="n"/>
      <c r="AH391" s="92" t="n"/>
      <c r="AI391" s="92" t="n"/>
      <c r="AJ391" s="92" t="n"/>
      <c r="AK391" s="92" t="n"/>
      <c r="AL391" s="92" t="n"/>
      <c r="AM391" s="92" t="n"/>
      <c r="AN391" s="92" t="n"/>
      <c r="AO391" s="92" t="n"/>
      <c r="AP391" s="92" t="n"/>
      <c r="AQ391" s="92" t="n"/>
      <c r="AR391" s="92" t="n"/>
      <c r="AS391" s="92" t="n"/>
      <c r="AT391" s="92" t="n"/>
      <c r="AU391" s="92" t="n"/>
      <c r="AV391" s="92" t="n"/>
      <c r="AX391" s="139" t="inlineStr"/>
      <c r="AY391" s="139" t="inlineStr"/>
    </row>
    <row r="392" ht="16.5" customFormat="1" customHeight="1" s="56">
      <c r="A392" s="92" t="n"/>
      <c r="B392" s="92" t="n"/>
      <c r="C392" s="92" t="n"/>
      <c r="D392" s="92" t="n"/>
      <c r="E392" s="92" t="n"/>
      <c r="F392" s="92" t="n"/>
      <c r="G392" s="92" t="n"/>
      <c r="H392" s="92" t="n"/>
      <c r="I392" s="92" t="n"/>
      <c r="J392" s="92" t="n"/>
      <c r="K392" s="92" t="n"/>
      <c r="L392" s="92" t="n"/>
      <c r="M392" s="92" t="n"/>
      <c r="N392" s="92" t="n"/>
      <c r="O392" s="92" t="n"/>
      <c r="P392" s="92" t="n"/>
      <c r="Q392" s="92" t="n"/>
      <c r="R392" s="92" t="n"/>
      <c r="S392" s="92" t="n"/>
      <c r="T392" s="92" t="n"/>
      <c r="U392" s="92" t="n"/>
      <c r="V392" s="92" t="n"/>
      <c r="W392" s="92" t="n"/>
      <c r="X392" s="92" t="n"/>
      <c r="Y392" s="92" t="n"/>
      <c r="Z392" s="92" t="n"/>
      <c r="AA392" s="92" t="n"/>
      <c r="AB392" s="92" t="n"/>
      <c r="AC392" s="92" t="n"/>
      <c r="AD392" s="92" t="n"/>
      <c r="AE392" s="92" t="n"/>
      <c r="AF392" s="92" t="n"/>
      <c r="AG392" s="92" t="n"/>
      <c r="AH392" s="92" t="n"/>
      <c r="AI392" s="92" t="n"/>
      <c r="AJ392" s="92" t="n"/>
      <c r="AK392" s="92" t="n"/>
      <c r="AL392" s="92" t="n"/>
      <c r="AM392" s="92" t="n"/>
      <c r="AN392" s="92" t="n"/>
      <c r="AO392" s="92" t="n"/>
      <c r="AP392" s="92" t="n"/>
      <c r="AQ392" s="92" t="n"/>
      <c r="AR392" s="92" t="n"/>
      <c r="AS392" s="92" t="n"/>
      <c r="AT392" s="92" t="n"/>
      <c r="AU392" s="92" t="n"/>
      <c r="AV392" s="92" t="n"/>
      <c r="AX392" s="139" t="inlineStr"/>
      <c r="AY392" s="139" t="inlineStr"/>
    </row>
    <row r="393" ht="16.5" customFormat="1" customHeight="1" s="56">
      <c r="A393" s="92" t="n"/>
      <c r="B393" s="92" t="n"/>
      <c r="C393" s="92" t="n"/>
      <c r="D393" s="92" t="n"/>
      <c r="E393" s="92" t="n"/>
      <c r="F393" s="92" t="n"/>
      <c r="G393" s="92" t="n"/>
      <c r="H393" s="92" t="n"/>
      <c r="I393" s="92" t="n"/>
      <c r="J393" s="92" t="n"/>
      <c r="K393" s="92" t="n"/>
      <c r="L393" s="92" t="n"/>
      <c r="M393" s="92" t="n"/>
      <c r="N393" s="92" t="n"/>
      <c r="O393" s="92" t="n"/>
      <c r="P393" s="92" t="n"/>
      <c r="Q393" s="92" t="n"/>
      <c r="R393" s="92" t="n"/>
      <c r="S393" s="92" t="n"/>
      <c r="T393" s="92" t="n"/>
      <c r="U393" s="92" t="n"/>
      <c r="V393" s="92" t="n"/>
      <c r="W393" s="92" t="n"/>
      <c r="X393" s="92" t="n"/>
      <c r="Y393" s="92" t="n"/>
      <c r="Z393" s="92" t="n"/>
      <c r="AA393" s="92" t="n"/>
      <c r="AB393" s="92" t="n"/>
      <c r="AC393" s="92" t="n"/>
      <c r="AD393" s="92" t="n"/>
      <c r="AE393" s="92" t="n"/>
      <c r="AF393" s="92" t="n"/>
      <c r="AG393" s="92" t="n"/>
      <c r="AH393" s="92" t="n"/>
      <c r="AI393" s="92" t="n"/>
      <c r="AJ393" s="92" t="n"/>
      <c r="AK393" s="92" t="n"/>
      <c r="AL393" s="92" t="n"/>
      <c r="AM393" s="92" t="n"/>
      <c r="AN393" s="92" t="n"/>
      <c r="AO393" s="92" t="n"/>
      <c r="AP393" s="92" t="n"/>
      <c r="AQ393" s="92" t="n"/>
      <c r="AR393" s="92" t="n"/>
      <c r="AS393" s="92" t="n"/>
      <c r="AT393" s="92" t="n"/>
      <c r="AU393" s="92" t="n"/>
      <c r="AV393" s="92" t="n"/>
      <c r="AX393" s="139" t="inlineStr"/>
      <c r="AY393" s="139" t="inlineStr"/>
    </row>
    <row r="394" ht="16.5" customFormat="1" customHeight="1" s="56">
      <c r="A394" s="92" t="n"/>
      <c r="B394" s="92" t="n"/>
      <c r="C394" s="92" t="n"/>
      <c r="D394" s="92" t="n"/>
      <c r="E394" s="92" t="n"/>
      <c r="F394" s="92" t="n"/>
      <c r="G394" s="92" t="n"/>
      <c r="H394" s="92" t="n"/>
      <c r="I394" s="92" t="n"/>
      <c r="J394" s="92" t="n"/>
      <c r="K394" s="92" t="n"/>
      <c r="L394" s="92" t="n"/>
      <c r="M394" s="92" t="n"/>
      <c r="N394" s="92" t="n"/>
      <c r="O394" s="92" t="n"/>
      <c r="P394" s="92" t="n"/>
      <c r="Q394" s="92" t="n"/>
      <c r="R394" s="92" t="n"/>
      <c r="S394" s="92" t="n"/>
      <c r="T394" s="92" t="n"/>
      <c r="U394" s="92" t="n"/>
      <c r="V394" s="92" t="n"/>
      <c r="W394" s="92" t="n"/>
      <c r="X394" s="92" t="n"/>
      <c r="Y394" s="92" t="n"/>
      <c r="Z394" s="92" t="n"/>
      <c r="AA394" s="92" t="n"/>
      <c r="AB394" s="92" t="n"/>
      <c r="AC394" s="92" t="n"/>
      <c r="AD394" s="92" t="n"/>
      <c r="AE394" s="92" t="n"/>
      <c r="AF394" s="92" t="n"/>
      <c r="AG394" s="92" t="n"/>
      <c r="AH394" s="92" t="n"/>
      <c r="AI394" s="92" t="n"/>
      <c r="AJ394" s="92" t="n"/>
      <c r="AK394" s="92" t="n"/>
      <c r="AL394" s="92" t="n"/>
      <c r="AM394" s="92" t="n"/>
      <c r="AN394" s="92" t="n"/>
      <c r="AO394" s="92" t="n"/>
      <c r="AP394" s="92" t="n"/>
      <c r="AQ394" s="92" t="n"/>
      <c r="AR394" s="92" t="n"/>
      <c r="AS394" s="92" t="n"/>
      <c r="AT394" s="92" t="n"/>
      <c r="AU394" s="92" t="n"/>
      <c r="AV394" s="92" t="n"/>
      <c r="AX394" s="139" t="inlineStr"/>
      <c r="AY394" s="139" t="inlineStr"/>
    </row>
    <row r="395" ht="16.5" customFormat="1" customHeight="1" s="56">
      <c r="A395" s="92" t="n"/>
      <c r="B395" s="92" t="n"/>
      <c r="C395" s="92" t="n"/>
      <c r="D395" s="92" t="n"/>
      <c r="E395" s="92" t="n"/>
      <c r="F395" s="92" t="n"/>
      <c r="G395" s="92" t="n"/>
      <c r="H395" s="92" t="n"/>
      <c r="I395" s="92" t="n"/>
      <c r="J395" s="92" t="n"/>
      <c r="K395" s="92" t="n"/>
      <c r="L395" s="92" t="n"/>
      <c r="M395" s="92" t="n"/>
      <c r="N395" s="92" t="n"/>
      <c r="O395" s="92" t="n"/>
      <c r="P395" s="92" t="n"/>
      <c r="Q395" s="92" t="n"/>
      <c r="R395" s="92" t="n"/>
      <c r="S395" s="92" t="n"/>
      <c r="T395" s="92" t="n"/>
      <c r="U395" s="92" t="n"/>
      <c r="V395" s="92" t="n"/>
      <c r="W395" s="92" t="n"/>
      <c r="X395" s="92" t="n"/>
      <c r="Y395" s="92" t="n"/>
      <c r="Z395" s="92" t="n"/>
      <c r="AA395" s="92" t="n"/>
      <c r="AB395" s="92" t="n"/>
      <c r="AC395" s="92" t="n"/>
      <c r="AD395" s="92" t="n"/>
      <c r="AE395" s="92" t="n"/>
      <c r="AF395" s="92" t="n"/>
      <c r="AG395" s="92" t="n"/>
      <c r="AH395" s="92" t="n"/>
      <c r="AI395" s="92" t="n"/>
      <c r="AJ395" s="92" t="n"/>
      <c r="AK395" s="92" t="n"/>
      <c r="AL395" s="92" t="n"/>
      <c r="AM395" s="92" t="n"/>
      <c r="AN395" s="92" t="n"/>
      <c r="AO395" s="92" t="n"/>
      <c r="AP395" s="92" t="n"/>
      <c r="AQ395" s="92" t="n"/>
      <c r="AR395" s="92" t="n"/>
      <c r="AS395" s="92" t="n"/>
      <c r="AT395" s="92" t="n"/>
      <c r="AU395" s="92" t="n"/>
      <c r="AV395" s="92" t="n"/>
      <c r="AX395" s="139" t="inlineStr"/>
      <c r="AY395" s="139" t="inlineStr"/>
    </row>
    <row r="396" ht="16.5" customFormat="1" customHeight="1" s="56">
      <c r="A396" s="92" t="n"/>
      <c r="B396" s="92" t="n"/>
      <c r="C396" s="92" t="n"/>
      <c r="D396" s="92" t="n"/>
      <c r="E396" s="92" t="n"/>
      <c r="F396" s="92" t="n"/>
      <c r="G396" s="92" t="n"/>
      <c r="H396" s="92" t="n"/>
      <c r="I396" s="92" t="n"/>
      <c r="J396" s="92" t="n"/>
      <c r="K396" s="92" t="n"/>
      <c r="L396" s="92" t="n"/>
      <c r="M396" s="92" t="n"/>
      <c r="N396" s="92" t="n"/>
      <c r="O396" s="92" t="n"/>
      <c r="P396" s="92" t="n"/>
      <c r="Q396" s="92" t="n"/>
      <c r="R396" s="92" t="n"/>
      <c r="S396" s="92" t="n"/>
      <c r="T396" s="92" t="n"/>
      <c r="U396" s="92" t="n"/>
      <c r="V396" s="92" t="n"/>
      <c r="W396" s="92" t="n"/>
      <c r="X396" s="92" t="n"/>
      <c r="Y396" s="92" t="n"/>
      <c r="Z396" s="92" t="n"/>
      <c r="AA396" s="92" t="n"/>
      <c r="AB396" s="92" t="n"/>
      <c r="AC396" s="92" t="n"/>
      <c r="AD396" s="92" t="n"/>
      <c r="AE396" s="92" t="n"/>
      <c r="AF396" s="92" t="n"/>
      <c r="AG396" s="92" t="n"/>
      <c r="AH396" s="92" t="n"/>
      <c r="AI396" s="92" t="n"/>
      <c r="AJ396" s="92" t="n"/>
      <c r="AK396" s="92" t="n"/>
      <c r="AL396" s="92" t="n"/>
      <c r="AM396" s="92" t="n"/>
      <c r="AN396" s="92" t="n"/>
      <c r="AO396" s="92" t="n"/>
      <c r="AP396" s="92" t="n"/>
      <c r="AQ396" s="92" t="n"/>
      <c r="AR396" s="92" t="n"/>
      <c r="AS396" s="92" t="n"/>
      <c r="AT396" s="92" t="n"/>
      <c r="AU396" s="92" t="n"/>
      <c r="AV396" s="92" t="n"/>
      <c r="AX396" s="139" t="inlineStr"/>
      <c r="AY396" s="139" t="inlineStr"/>
    </row>
    <row r="397" ht="16.5" customFormat="1" customHeight="1" s="56">
      <c r="A397" s="92" t="n"/>
      <c r="B397" s="92" t="n"/>
      <c r="C397" s="92" t="n"/>
      <c r="D397" s="92" t="n"/>
      <c r="E397" s="92" t="n"/>
      <c r="F397" s="92" t="n"/>
      <c r="G397" s="92" t="n"/>
      <c r="H397" s="92" t="n"/>
      <c r="I397" s="92" t="n"/>
      <c r="J397" s="92" t="n"/>
      <c r="K397" s="92" t="n"/>
      <c r="L397" s="92" t="n"/>
      <c r="M397" s="92" t="n"/>
      <c r="N397" s="92" t="n"/>
      <c r="O397" s="92" t="n"/>
      <c r="P397" s="92" t="n"/>
      <c r="Q397" s="92" t="n"/>
      <c r="R397" s="92" t="n"/>
      <c r="S397" s="92" t="n"/>
      <c r="T397" s="92" t="n"/>
      <c r="U397" s="92" t="n"/>
      <c r="V397" s="92" t="n"/>
      <c r="W397" s="92" t="n"/>
      <c r="X397" s="92" t="n"/>
      <c r="Y397" s="92" t="n"/>
      <c r="Z397" s="92" t="n"/>
      <c r="AA397" s="92" t="n"/>
      <c r="AB397" s="92" t="n"/>
      <c r="AC397" s="92" t="n"/>
      <c r="AD397" s="92" t="n"/>
      <c r="AE397" s="92" t="n"/>
      <c r="AF397" s="92" t="n"/>
      <c r="AG397" s="92" t="n"/>
      <c r="AH397" s="92" t="n"/>
      <c r="AI397" s="92" t="n"/>
      <c r="AJ397" s="92" t="n"/>
      <c r="AK397" s="92" t="n"/>
      <c r="AL397" s="92" t="n"/>
      <c r="AM397" s="92" t="n"/>
      <c r="AN397" s="92" t="n"/>
      <c r="AO397" s="92" t="n"/>
      <c r="AP397" s="92" t="n"/>
      <c r="AQ397" s="92" t="n"/>
      <c r="AR397" s="92" t="n"/>
      <c r="AS397" s="92" t="n"/>
      <c r="AT397" s="92" t="n"/>
      <c r="AU397" s="92" t="n"/>
      <c r="AV397" s="92" t="n"/>
      <c r="AX397" s="139" t="inlineStr"/>
      <c r="AY397" s="139" t="inlineStr"/>
    </row>
    <row r="398" ht="16.5" customFormat="1" customHeight="1" s="56">
      <c r="A398" s="92" t="n"/>
      <c r="B398" s="92" t="n"/>
      <c r="C398" s="92" t="n"/>
      <c r="D398" s="92" t="n"/>
      <c r="E398" s="92" t="n"/>
      <c r="F398" s="92" t="n"/>
      <c r="G398" s="92" t="n"/>
      <c r="H398" s="92" t="n"/>
      <c r="I398" s="92" t="n"/>
      <c r="J398" s="92" t="n"/>
      <c r="K398" s="92" t="n"/>
      <c r="L398" s="92" t="n"/>
      <c r="M398" s="92" t="n"/>
      <c r="N398" s="92" t="n"/>
      <c r="O398" s="92" t="n"/>
      <c r="P398" s="92" t="n"/>
      <c r="Q398" s="92" t="n"/>
      <c r="R398" s="92" t="n"/>
      <c r="S398" s="92" t="n"/>
      <c r="T398" s="92" t="n"/>
      <c r="U398" s="92" t="n"/>
      <c r="V398" s="92" t="n"/>
      <c r="W398" s="92" t="n"/>
      <c r="X398" s="92" t="n"/>
      <c r="Y398" s="92" t="n"/>
      <c r="Z398" s="92" t="n"/>
      <c r="AA398" s="92" t="n"/>
      <c r="AB398" s="92" t="n"/>
      <c r="AC398" s="92" t="n"/>
      <c r="AD398" s="92" t="n"/>
      <c r="AE398" s="92" t="n"/>
      <c r="AF398" s="92" t="n"/>
      <c r="AG398" s="92" t="n"/>
      <c r="AH398" s="92" t="n"/>
      <c r="AI398" s="92" t="n"/>
      <c r="AJ398" s="92" t="n"/>
      <c r="AK398" s="92" t="n"/>
      <c r="AL398" s="92" t="n"/>
      <c r="AM398" s="92" t="n"/>
      <c r="AN398" s="92" t="n"/>
      <c r="AO398" s="92" t="n"/>
      <c r="AP398" s="92" t="n"/>
      <c r="AQ398" s="92" t="n"/>
      <c r="AR398" s="92" t="n"/>
      <c r="AS398" s="92" t="n"/>
      <c r="AT398" s="92" t="n"/>
      <c r="AU398" s="92" t="n"/>
      <c r="AV398" s="92" t="n"/>
      <c r="AX398" s="139" t="inlineStr"/>
      <c r="AY398" s="139" t="inlineStr"/>
    </row>
    <row r="399" ht="16.5" customFormat="1" customHeight="1" s="56">
      <c r="A399" s="92" t="n"/>
      <c r="B399" s="92" t="n"/>
      <c r="C399" s="92" t="n"/>
      <c r="D399" s="92" t="n"/>
      <c r="E399" s="92" t="n"/>
      <c r="F399" s="92" t="n"/>
      <c r="G399" s="92" t="n"/>
      <c r="H399" s="92" t="n"/>
      <c r="I399" s="92" t="n"/>
      <c r="J399" s="92" t="n"/>
      <c r="K399" s="92" t="n"/>
      <c r="L399" s="92" t="n"/>
      <c r="M399" s="92" t="n"/>
      <c r="N399" s="92" t="n"/>
      <c r="O399" s="92" t="n"/>
      <c r="P399" s="92" t="n"/>
      <c r="Q399" s="92" t="n"/>
      <c r="R399" s="92" t="n"/>
      <c r="S399" s="92" t="n"/>
      <c r="T399" s="92" t="n"/>
      <c r="U399" s="92" t="n"/>
      <c r="V399" s="92" t="n"/>
      <c r="W399" s="92" t="n"/>
      <c r="X399" s="92" t="n"/>
      <c r="Y399" s="92" t="n"/>
      <c r="Z399" s="92" t="n"/>
      <c r="AA399" s="92" t="n"/>
      <c r="AB399" s="92" t="n"/>
      <c r="AC399" s="92" t="n"/>
      <c r="AD399" s="92" t="n"/>
      <c r="AE399" s="92" t="n"/>
      <c r="AF399" s="92" t="n"/>
      <c r="AG399" s="92" t="n"/>
      <c r="AH399" s="92" t="n"/>
      <c r="AI399" s="92" t="n"/>
      <c r="AJ399" s="92" t="n"/>
      <c r="AK399" s="92" t="n"/>
      <c r="AL399" s="92" t="n"/>
      <c r="AM399" s="92" t="n"/>
      <c r="AN399" s="92" t="n"/>
      <c r="AO399" s="92" t="n"/>
      <c r="AP399" s="92" t="n"/>
      <c r="AQ399" s="92" t="n"/>
      <c r="AR399" s="92" t="n"/>
      <c r="AS399" s="92" t="n"/>
      <c r="AT399" s="92" t="n"/>
      <c r="AU399" s="92" t="n"/>
      <c r="AV399" s="92" t="n"/>
      <c r="AX399" s="139" t="inlineStr"/>
      <c r="AY399" s="139" t="inlineStr"/>
    </row>
    <row r="400" ht="16.5" customFormat="1" customHeight="1" s="56">
      <c r="A400" s="92" t="n"/>
      <c r="B400" s="92" t="n"/>
      <c r="C400" s="92" t="n"/>
      <c r="D400" s="92" t="n"/>
      <c r="E400" s="92" t="n"/>
      <c r="F400" s="92" t="n"/>
      <c r="G400" s="92" t="n"/>
      <c r="H400" s="92" t="n"/>
      <c r="I400" s="92" t="n"/>
      <c r="J400" s="92" t="n"/>
      <c r="K400" s="92" t="n"/>
      <c r="L400" s="92" t="n"/>
      <c r="M400" s="92" t="n"/>
      <c r="N400" s="92" t="n"/>
      <c r="O400" s="92" t="n"/>
      <c r="P400" s="92" t="n"/>
      <c r="Q400" s="92" t="n"/>
      <c r="R400" s="92" t="n"/>
      <c r="S400" s="92" t="n"/>
      <c r="T400" s="92" t="n"/>
      <c r="U400" s="92" t="n"/>
      <c r="V400" s="92" t="n"/>
      <c r="W400" s="92" t="n"/>
      <c r="X400" s="92" t="n"/>
      <c r="Y400" s="92" t="n"/>
      <c r="Z400" s="92" t="n"/>
      <c r="AA400" s="92" t="n"/>
      <c r="AB400" s="92" t="n"/>
      <c r="AC400" s="92" t="n"/>
      <c r="AD400" s="92" t="n"/>
      <c r="AE400" s="92" t="n"/>
      <c r="AF400" s="92" t="n"/>
      <c r="AG400" s="92" t="n"/>
      <c r="AH400" s="92" t="n"/>
      <c r="AI400" s="92" t="n"/>
      <c r="AJ400" s="92" t="n"/>
      <c r="AK400" s="92" t="n"/>
      <c r="AL400" s="92" t="n"/>
      <c r="AM400" s="92" t="n"/>
      <c r="AN400" s="92" t="n"/>
      <c r="AO400" s="92" t="n"/>
      <c r="AP400" s="92" t="n"/>
      <c r="AQ400" s="92" t="n"/>
      <c r="AR400" s="92" t="n"/>
      <c r="AS400" s="92" t="n"/>
      <c r="AT400" s="92" t="n"/>
      <c r="AU400" s="92" t="n"/>
      <c r="AV400" s="92" t="n"/>
      <c r="AX400" s="139" t="inlineStr"/>
      <c r="AY400" s="139" t="inlineStr"/>
    </row>
    <row r="401" ht="16.5" customFormat="1" customHeight="1" s="56">
      <c r="A401" s="92" t="n"/>
      <c r="B401" s="92" t="n"/>
      <c r="C401" s="92" t="n"/>
      <c r="D401" s="92" t="n"/>
      <c r="E401" s="92" t="n"/>
      <c r="F401" s="92" t="n"/>
      <c r="G401" s="92" t="n"/>
      <c r="H401" s="92" t="n"/>
      <c r="I401" s="92" t="n"/>
      <c r="J401" s="92" t="n"/>
      <c r="K401" s="92" t="n"/>
      <c r="L401" s="92" t="n"/>
      <c r="M401" s="92" t="n"/>
      <c r="N401" s="92" t="n"/>
      <c r="O401" s="92" t="n"/>
      <c r="P401" s="92" t="n"/>
      <c r="Q401" s="92" t="n"/>
      <c r="R401" s="92" t="n"/>
      <c r="S401" s="92" t="n"/>
      <c r="T401" s="92" t="n"/>
      <c r="U401" s="92" t="n"/>
      <c r="V401" s="92" t="n"/>
      <c r="W401" s="92" t="n"/>
      <c r="X401" s="92" t="n"/>
      <c r="Y401" s="92" t="n"/>
      <c r="Z401" s="92" t="n"/>
      <c r="AA401" s="92" t="n"/>
      <c r="AB401" s="92" t="n"/>
      <c r="AC401" s="92" t="n"/>
      <c r="AD401" s="92" t="n"/>
      <c r="AE401" s="92" t="n"/>
      <c r="AF401" s="92" t="n"/>
      <c r="AG401" s="92" t="n"/>
      <c r="AH401" s="92" t="n"/>
      <c r="AI401" s="92" t="n"/>
      <c r="AJ401" s="92" t="n"/>
      <c r="AK401" s="92" t="n"/>
      <c r="AL401" s="92" t="n"/>
      <c r="AM401" s="92" t="n"/>
      <c r="AN401" s="92" t="n"/>
      <c r="AO401" s="92" t="n"/>
      <c r="AP401" s="92" t="n"/>
      <c r="AQ401" s="92" t="n"/>
      <c r="AR401" s="92" t="n"/>
      <c r="AS401" s="92" t="n"/>
      <c r="AT401" s="92" t="n"/>
      <c r="AU401" s="92" t="n"/>
      <c r="AV401" s="92" t="n"/>
      <c r="AX401" s="139" t="inlineStr"/>
      <c r="AY401" s="139" t="inlineStr"/>
    </row>
    <row r="402" ht="16.5" customFormat="1" customHeight="1" s="56">
      <c r="A402" s="92" t="n"/>
      <c r="B402" s="92" t="n"/>
      <c r="C402" s="92" t="n"/>
      <c r="D402" s="92" t="n"/>
      <c r="E402" s="92" t="n"/>
      <c r="F402" s="92" t="n"/>
      <c r="G402" s="92" t="n"/>
      <c r="H402" s="92" t="n"/>
      <c r="I402" s="92" t="n"/>
      <c r="J402" s="92" t="n"/>
      <c r="K402" s="92" t="n"/>
      <c r="L402" s="92" t="n"/>
      <c r="M402" s="92" t="n"/>
      <c r="N402" s="92" t="n"/>
      <c r="O402" s="92" t="n"/>
      <c r="P402" s="92" t="n"/>
      <c r="Q402" s="92" t="n"/>
      <c r="R402" s="92" t="n"/>
      <c r="S402" s="92" t="n"/>
      <c r="T402" s="92" t="n"/>
      <c r="U402" s="92" t="n"/>
      <c r="V402" s="92" t="n"/>
      <c r="W402" s="92" t="n"/>
      <c r="X402" s="92" t="n"/>
      <c r="Y402" s="92" t="n"/>
      <c r="Z402" s="92" t="n"/>
      <c r="AA402" s="92" t="n"/>
      <c r="AB402" s="92" t="n"/>
      <c r="AC402" s="92" t="n"/>
      <c r="AD402" s="92" t="n"/>
      <c r="AE402" s="92" t="n"/>
      <c r="AF402" s="92" t="n"/>
      <c r="AG402" s="92" t="n"/>
      <c r="AH402" s="92" t="n"/>
      <c r="AI402" s="92" t="n"/>
      <c r="AJ402" s="92" t="n"/>
      <c r="AK402" s="92" t="n"/>
      <c r="AL402" s="92" t="n"/>
      <c r="AM402" s="92" t="n"/>
      <c r="AN402" s="92" t="n"/>
      <c r="AO402" s="92" t="n"/>
      <c r="AP402" s="92" t="n"/>
      <c r="AQ402" s="92" t="n"/>
      <c r="AR402" s="92" t="n"/>
      <c r="AS402" s="92" t="n"/>
      <c r="AT402" s="92" t="n"/>
      <c r="AU402" s="92" t="n"/>
      <c r="AV402" s="92" t="n"/>
      <c r="AX402" s="139" t="inlineStr"/>
      <c r="AY402" s="139" t="inlineStr"/>
    </row>
    <row r="403" ht="16.5" customFormat="1" customHeight="1" s="56">
      <c r="A403" s="92" t="n"/>
      <c r="B403" s="92" t="n"/>
      <c r="C403" s="92" t="n"/>
      <c r="D403" s="92" t="n"/>
      <c r="E403" s="92" t="n"/>
      <c r="F403" s="92" t="n"/>
      <c r="G403" s="92" t="n"/>
      <c r="H403" s="92" t="n"/>
      <c r="I403" s="92" t="n"/>
      <c r="J403" s="92" t="n"/>
      <c r="K403" s="92" t="n"/>
      <c r="L403" s="92" t="n"/>
      <c r="M403" s="92" t="n"/>
      <c r="N403" s="92" t="n"/>
      <c r="O403" s="92" t="n"/>
      <c r="P403" s="92" t="n"/>
      <c r="Q403" s="92" t="n"/>
      <c r="R403" s="92" t="n"/>
      <c r="S403" s="92" t="n"/>
      <c r="T403" s="92" t="n"/>
      <c r="U403" s="92" t="n"/>
      <c r="V403" s="92" t="n"/>
      <c r="W403" s="92" t="n"/>
      <c r="X403" s="92" t="n"/>
      <c r="Y403" s="92" t="n"/>
      <c r="Z403" s="92" t="n"/>
      <c r="AA403" s="92" t="n"/>
      <c r="AB403" s="92" t="n"/>
      <c r="AC403" s="92" t="n"/>
      <c r="AD403" s="92" t="n"/>
      <c r="AE403" s="92" t="n"/>
      <c r="AF403" s="92" t="n"/>
      <c r="AG403" s="92" t="n"/>
      <c r="AH403" s="92" t="n"/>
      <c r="AI403" s="92" t="n"/>
      <c r="AJ403" s="92" t="n"/>
      <c r="AK403" s="92" t="n"/>
      <c r="AL403" s="92" t="n"/>
      <c r="AM403" s="92" t="n"/>
      <c r="AN403" s="92" t="n"/>
      <c r="AO403" s="92" t="n"/>
      <c r="AP403" s="92" t="n"/>
      <c r="AQ403" s="92" t="n"/>
      <c r="AR403" s="92" t="n"/>
      <c r="AS403" s="92" t="n"/>
      <c r="AT403" s="92" t="n"/>
      <c r="AU403" s="92" t="n"/>
      <c r="AV403" s="92" t="n"/>
      <c r="AX403" s="139" t="inlineStr"/>
      <c r="AY403" s="139" t="inlineStr"/>
    </row>
    <row r="404" ht="16.5" customFormat="1" customHeight="1" s="56">
      <c r="A404" s="92" t="n"/>
      <c r="B404" s="92" t="n"/>
      <c r="C404" s="92" t="n"/>
      <c r="D404" s="92" t="n"/>
      <c r="E404" s="92" t="n"/>
      <c r="F404" s="92" t="n"/>
      <c r="G404" s="92" t="n"/>
      <c r="H404" s="92" t="n"/>
      <c r="I404" s="92" t="n"/>
      <c r="J404" s="92" t="n"/>
      <c r="K404" s="92" t="n"/>
      <c r="L404" s="92" t="n"/>
      <c r="M404" s="92" t="n"/>
      <c r="N404" s="92" t="n"/>
      <c r="O404" s="92" t="n"/>
      <c r="P404" s="92" t="n"/>
      <c r="Q404" s="92" t="n"/>
      <c r="R404" s="92" t="n"/>
      <c r="S404" s="92" t="n"/>
      <c r="T404" s="92" t="n"/>
      <c r="U404" s="92" t="n"/>
      <c r="V404" s="92" t="n"/>
      <c r="W404" s="92" t="n"/>
      <c r="X404" s="92" t="n"/>
      <c r="Y404" s="92" t="n"/>
      <c r="Z404" s="92" t="n"/>
      <c r="AA404" s="92" t="n"/>
      <c r="AB404" s="92" t="n"/>
      <c r="AC404" s="92" t="n"/>
      <c r="AD404" s="92" t="n"/>
      <c r="AE404" s="92" t="n"/>
      <c r="AF404" s="92" t="n"/>
      <c r="AG404" s="92" t="n"/>
      <c r="AH404" s="92" t="n"/>
      <c r="AI404" s="92" t="n"/>
      <c r="AJ404" s="92" t="n"/>
      <c r="AK404" s="92" t="n"/>
      <c r="AL404" s="92" t="n"/>
      <c r="AM404" s="92" t="n"/>
      <c r="AN404" s="92" t="n"/>
      <c r="AO404" s="92" t="n"/>
      <c r="AP404" s="92" t="n"/>
      <c r="AQ404" s="92" t="n"/>
      <c r="AR404" s="92" t="n"/>
      <c r="AS404" s="92" t="n"/>
      <c r="AT404" s="92" t="n"/>
      <c r="AU404" s="92" t="n"/>
      <c r="AV404" s="92" t="n"/>
      <c r="AX404" s="139" t="inlineStr"/>
      <c r="AY404" s="139" t="inlineStr"/>
      <c r="AZ404" s="139" t="n"/>
      <c r="BA404" s="113" t="inlineStr">
        <is>
          <t>20평대</t>
        </is>
      </c>
      <c r="BB404" s="140" t="n">
        <v>0</v>
      </c>
      <c r="BC404" s="140" t="n">
        <v>0</v>
      </c>
      <c r="BD404" s="140" t="n">
        <v>0</v>
      </c>
      <c r="BE404" s="140" t="n">
        <v>0</v>
      </c>
      <c r="BF404" s="140" t="n">
        <v>0</v>
      </c>
    </row>
    <row r="405" ht="16.5" customFormat="1" customHeight="1" s="56">
      <c r="A405" s="92" t="n"/>
      <c r="B405" s="92" t="n"/>
      <c r="C405" s="92" t="n"/>
      <c r="D405" s="92" t="n"/>
      <c r="E405" s="92" t="n"/>
      <c r="F405" s="92" t="n"/>
      <c r="G405" s="92" t="n"/>
      <c r="H405" s="92" t="n"/>
      <c r="I405" s="92" t="n"/>
      <c r="J405" s="92" t="n"/>
      <c r="K405" s="92" t="n"/>
      <c r="L405" s="92" t="n"/>
      <c r="M405" s="92" t="n"/>
      <c r="N405" s="92" t="n"/>
      <c r="O405" s="92" t="n"/>
      <c r="P405" s="92" t="n"/>
      <c r="Q405" s="92" t="n"/>
      <c r="R405" s="92" t="n"/>
      <c r="S405" s="92" t="n"/>
      <c r="T405" s="92" t="n"/>
      <c r="U405" s="92" t="n"/>
      <c r="V405" s="92" t="n"/>
      <c r="W405" s="92" t="n"/>
      <c r="X405" s="92" t="n"/>
      <c r="Y405" s="92" t="n"/>
      <c r="Z405" s="92" t="n"/>
      <c r="AA405" s="92" t="n"/>
      <c r="AB405" s="92" t="n"/>
      <c r="AC405" s="92" t="n"/>
      <c r="AD405" s="92" t="n"/>
      <c r="AE405" s="92" t="n"/>
      <c r="AF405" s="92" t="n"/>
      <c r="AG405" s="92" t="n"/>
      <c r="AH405" s="92" t="n"/>
      <c r="AI405" s="92" t="n"/>
      <c r="AJ405" s="92" t="n"/>
      <c r="AK405" s="92" t="n"/>
      <c r="AL405" s="92" t="n"/>
      <c r="AM405" s="92" t="n"/>
      <c r="AN405" s="92" t="n"/>
      <c r="AO405" s="92" t="n"/>
      <c r="AP405" s="92" t="n"/>
      <c r="AQ405" s="92" t="n"/>
      <c r="AR405" s="92" t="n"/>
      <c r="AS405" s="92" t="n"/>
      <c r="AT405" s="92" t="n"/>
      <c r="AU405" s="92" t="n"/>
      <c r="AV405" s="92" t="n"/>
      <c r="AX405" s="139" t="inlineStr"/>
      <c r="AY405" s="139" t="inlineStr"/>
      <c r="AZ405" s="139" t="n"/>
      <c r="BA405" s="113" t="inlineStr">
        <is>
          <t>30평대</t>
        </is>
      </c>
      <c r="BB405" s="140" t="n">
        <v>0</v>
      </c>
      <c r="BC405" s="140" t="n">
        <v>0</v>
      </c>
      <c r="BD405" s="140" t="n">
        <v>0</v>
      </c>
      <c r="BE405" s="140" t="n">
        <v>0</v>
      </c>
      <c r="BF405" s="140" t="n">
        <v>0</v>
      </c>
    </row>
    <row r="406" ht="16.5" customFormat="1" customHeight="1" s="56">
      <c r="A406" s="92" t="n"/>
      <c r="B406" s="92" t="n"/>
      <c r="C406" s="92" t="n"/>
      <c r="D406" s="92" t="n"/>
      <c r="E406" s="92" t="n"/>
      <c r="F406" s="92" t="n"/>
      <c r="G406" s="92" t="n"/>
      <c r="H406" s="92" t="n"/>
      <c r="I406" s="92" t="n"/>
      <c r="J406" s="92" t="n"/>
      <c r="K406" s="92" t="n"/>
      <c r="L406" s="92" t="n"/>
      <c r="M406" s="92" t="n"/>
      <c r="N406" s="92" t="n"/>
      <c r="O406" s="92" t="n"/>
      <c r="P406" s="92" t="n"/>
      <c r="Q406" s="92" t="n"/>
      <c r="R406" s="92" t="n"/>
      <c r="S406" s="92" t="n"/>
      <c r="T406" s="92" t="n"/>
      <c r="U406" s="92" t="n"/>
      <c r="V406" s="92" t="n"/>
      <c r="W406" s="92" t="n"/>
      <c r="X406" s="92" t="n"/>
      <c r="Y406" s="92" t="n"/>
      <c r="Z406" s="92" t="n"/>
      <c r="AA406" s="92" t="n"/>
      <c r="AB406" s="92" t="n"/>
      <c r="AC406" s="92" t="n"/>
      <c r="AD406" s="92" t="n"/>
      <c r="AE406" s="92" t="n"/>
      <c r="AF406" s="92" t="n"/>
      <c r="AG406" s="92" t="n"/>
      <c r="AH406" s="92" t="n"/>
      <c r="AI406" s="92" t="n"/>
      <c r="AJ406" s="92" t="n"/>
      <c r="AK406" s="92" t="n"/>
      <c r="AL406" s="92" t="n"/>
      <c r="AM406" s="92" t="n"/>
      <c r="AN406" s="92" t="n"/>
      <c r="AO406" s="92" t="n"/>
      <c r="AP406" s="92" t="n"/>
      <c r="AQ406" s="92" t="n"/>
      <c r="AR406" s="92" t="n"/>
      <c r="AS406" s="92" t="n"/>
      <c r="AT406" s="92" t="n"/>
      <c r="AU406" s="92" t="n"/>
      <c r="AV406" s="92" t="n"/>
      <c r="AX406" s="139" t="inlineStr"/>
      <c r="AY406" s="139" t="inlineStr"/>
      <c r="AZ406" s="139" t="n"/>
      <c r="BA406" s="113" t="inlineStr">
        <is>
          <t>합계</t>
        </is>
      </c>
      <c r="BB406" s="140" t="n">
        <v>0</v>
      </c>
      <c r="BC406" s="140" t="n">
        <v>0</v>
      </c>
      <c r="BD406" s="140" t="n">
        <v>0</v>
      </c>
      <c r="BE406" s="140" t="n">
        <v>0</v>
      </c>
      <c r="BF406" s="140" t="n">
        <v>0</v>
      </c>
    </row>
    <row r="407" ht="16.5" customFormat="1" customHeight="1" s="56">
      <c r="A407" s="92" t="n"/>
      <c r="B407" s="92" t="n"/>
      <c r="C407" s="92" t="n"/>
      <c r="D407" s="92" t="n"/>
      <c r="E407" s="92" t="n"/>
      <c r="F407" s="92" t="n"/>
      <c r="G407" s="92" t="n"/>
      <c r="H407" s="92" t="n"/>
      <c r="I407" s="92" t="n"/>
      <c r="J407" s="92" t="n"/>
      <c r="K407" s="92" t="n"/>
      <c r="L407" s="92" t="n"/>
      <c r="M407" s="92" t="n"/>
      <c r="N407" s="92" t="n"/>
      <c r="O407" s="92" t="n"/>
      <c r="P407" s="92" t="n"/>
      <c r="Q407" s="92" t="n"/>
      <c r="R407" s="92" t="n"/>
      <c r="S407" s="92" t="n"/>
      <c r="T407" s="92" t="n"/>
      <c r="U407" s="92" t="n"/>
      <c r="V407" s="92" t="n"/>
      <c r="W407" s="92" t="n"/>
      <c r="X407" s="92" t="n"/>
      <c r="Y407" s="92" t="n"/>
      <c r="Z407" s="92" t="n"/>
      <c r="AA407" s="92" t="n"/>
      <c r="AB407" s="92" t="n"/>
      <c r="AC407" s="92" t="n"/>
      <c r="AD407" s="92" t="n"/>
      <c r="AE407" s="92" t="n"/>
      <c r="AF407" s="92" t="n"/>
      <c r="AG407" s="92" t="n"/>
      <c r="AH407" s="92" t="n"/>
      <c r="AI407" s="92" t="n"/>
      <c r="AJ407" s="92" t="n"/>
      <c r="AK407" s="92" t="n"/>
      <c r="AL407" s="92" t="n"/>
      <c r="AM407" s="92" t="n"/>
      <c r="AN407" s="92" t="n"/>
      <c r="AO407" s="92" t="n"/>
      <c r="AP407" s="92" t="n"/>
      <c r="AQ407" s="92" t="n"/>
      <c r="AR407" s="92" t="n"/>
      <c r="AS407" s="92" t="n"/>
      <c r="AT407" s="92" t="n"/>
      <c r="AU407" s="92" t="n"/>
      <c r="AV407" s="92" t="n"/>
      <c r="AX407" s="139" t="inlineStr"/>
      <c r="AY407" s="139" t="inlineStr"/>
      <c r="AZ407" s="139" t="n"/>
      <c r="BA407" s="3" t="n"/>
    </row>
    <row r="408" ht="16.5" customFormat="1" customHeight="1" s="56">
      <c r="A408" s="92" t="n"/>
      <c r="B408" s="92" t="n"/>
      <c r="C408" s="92" t="n"/>
      <c r="D408" s="92" t="n"/>
      <c r="E408" s="92" t="n"/>
      <c r="F408" s="92" t="n"/>
      <c r="G408" s="92" t="n"/>
      <c r="H408" s="92" t="n"/>
      <c r="I408" s="92" t="n"/>
      <c r="J408" s="92" t="n"/>
      <c r="K408" s="92" t="n"/>
      <c r="L408" s="92" t="n"/>
      <c r="M408" s="92" t="n"/>
      <c r="N408" s="92" t="n"/>
      <c r="O408" s="92" t="n"/>
      <c r="P408" s="92" t="n"/>
      <c r="Q408" s="92" t="n"/>
      <c r="R408" s="92" t="n"/>
      <c r="S408" s="92" t="n"/>
      <c r="T408" s="92" t="n"/>
      <c r="U408" s="92" t="n"/>
      <c r="V408" s="92" t="n"/>
      <c r="W408" s="92" t="n"/>
      <c r="X408" s="92" t="n"/>
      <c r="Y408" s="92" t="n"/>
      <c r="Z408" s="92" t="n"/>
      <c r="AA408" s="92" t="n"/>
      <c r="AB408" s="92" t="n"/>
      <c r="AC408" s="92" t="n"/>
      <c r="AD408" s="92" t="n"/>
      <c r="AE408" s="92" t="n"/>
      <c r="AF408" s="92" t="n"/>
      <c r="AG408" s="92" t="n"/>
      <c r="AH408" s="92" t="n"/>
      <c r="AI408" s="92" t="n"/>
      <c r="AJ408" s="92" t="n"/>
      <c r="AK408" s="92" t="n"/>
      <c r="AL408" s="92" t="n"/>
      <c r="AM408" s="92" t="n"/>
      <c r="AN408" s="92" t="n"/>
      <c r="AO408" s="92" t="n"/>
      <c r="AP408" s="92" t="n"/>
      <c r="AQ408" s="92" t="n"/>
      <c r="AR408" s="92" t="n"/>
      <c r="AS408" s="92" t="n"/>
      <c r="AT408" s="92" t="n"/>
      <c r="AU408" s="92" t="n"/>
      <c r="AV408" s="92" t="n"/>
      <c r="AX408" s="139" t="inlineStr"/>
      <c r="AY408" s="139" t="inlineStr"/>
      <c r="AZ408" s="139" t="n"/>
      <c r="BA408" s="113" t="n"/>
      <c r="BB408" s="113" t="inlineStr">
        <is>
          <t>10년 이하</t>
        </is>
      </c>
      <c r="BC408" s="113" t="inlineStr">
        <is>
          <t>10~20년</t>
        </is>
      </c>
      <c r="BD408" s="113" t="inlineStr">
        <is>
          <t>20~30년</t>
        </is>
      </c>
      <c r="BE408" s="113" t="inlineStr">
        <is>
          <t>30년 이상</t>
        </is>
      </c>
      <c r="BF408" s="113" t="inlineStr">
        <is>
          <t>합계</t>
        </is>
      </c>
    </row>
    <row r="409" ht="16.5" customFormat="1" customHeight="1" s="56">
      <c r="A409" s="92" t="n"/>
      <c r="B409" s="92" t="n"/>
      <c r="C409" s="92" t="n"/>
      <c r="D409" s="92" t="n"/>
      <c r="E409" s="92" t="n"/>
      <c r="F409" s="92" t="n"/>
      <c r="G409" s="92" t="n"/>
      <c r="H409" s="92" t="n"/>
      <c r="I409" s="92" t="n"/>
      <c r="J409" s="92" t="n"/>
      <c r="K409" s="92" t="n"/>
      <c r="L409" s="92" t="n"/>
      <c r="M409" s="92" t="n"/>
      <c r="N409" s="92" t="n"/>
      <c r="O409" s="92" t="n"/>
      <c r="P409" s="92" t="n"/>
      <c r="Q409" s="92" t="n"/>
      <c r="R409" s="92" t="n"/>
      <c r="S409" s="92" t="n"/>
      <c r="T409" s="92" t="n"/>
      <c r="U409" s="92" t="n"/>
      <c r="V409" s="92" t="n"/>
      <c r="W409" s="92" t="n"/>
      <c r="X409" s="92" t="n"/>
      <c r="Y409" s="92" t="n"/>
      <c r="Z409" s="92" t="n"/>
      <c r="AA409" s="92" t="n"/>
      <c r="AB409" s="92" t="n"/>
      <c r="AC409" s="92" t="n"/>
      <c r="AD409" s="92" t="n"/>
      <c r="AE409" s="92" t="n"/>
      <c r="AF409" s="92" t="n"/>
      <c r="AG409" s="92" t="n"/>
      <c r="AH409" s="92" t="n"/>
      <c r="AI409" s="92" t="n"/>
      <c r="AJ409" s="92" t="n"/>
      <c r="AK409" s="92" t="n"/>
      <c r="AL409" s="92" t="n"/>
      <c r="AM409" s="92" t="n"/>
      <c r="AN409" s="92" t="n"/>
      <c r="AO409" s="92" t="n"/>
      <c r="AP409" s="92" t="n"/>
      <c r="AQ409" s="92" t="n"/>
      <c r="AR409" s="92" t="n"/>
      <c r="AS409" s="92" t="n"/>
      <c r="AT409" s="92" t="n"/>
      <c r="AU409" s="92" t="n"/>
      <c r="AV409" s="92" t="n"/>
      <c r="AX409" s="139" t="inlineStr"/>
      <c r="AY409" s="139" t="inlineStr"/>
      <c r="BA409" s="113" t="inlineStr">
        <is>
          <t>20평대</t>
        </is>
      </c>
      <c r="BB409" s="142" t="e">
        <v>#DIV/0!</v>
      </c>
      <c r="BC409" s="142" t="e">
        <v>#DIV/0!</v>
      </c>
      <c r="BD409" s="142" t="e">
        <v>#DIV/0!</v>
      </c>
      <c r="BE409" s="142" t="e">
        <v>#DIV/0!</v>
      </c>
      <c r="BF409" s="142" t="e">
        <v>#DIV/0!</v>
      </c>
    </row>
    <row r="410" ht="16.5" customFormat="1" customHeight="1" s="56">
      <c r="A410" s="92" t="n"/>
      <c r="B410" s="92" t="n"/>
      <c r="C410" s="92" t="n"/>
      <c r="D410" s="92" t="n"/>
      <c r="E410" s="92" t="n"/>
      <c r="F410" s="92" t="n"/>
      <c r="G410" s="92" t="n"/>
      <c r="H410" s="92" t="n"/>
      <c r="I410" s="92" t="n"/>
      <c r="J410" s="92" t="n"/>
      <c r="K410" s="92" t="n"/>
      <c r="L410" s="92" t="n"/>
      <c r="M410" s="92" t="n"/>
      <c r="N410" s="92" t="n"/>
      <c r="O410" s="92" t="n"/>
      <c r="P410" s="92" t="n"/>
      <c r="Q410" s="92" t="n"/>
      <c r="R410" s="92" t="n"/>
      <c r="S410" s="92" t="n"/>
      <c r="T410" s="92" t="n"/>
      <c r="U410" s="92" t="n"/>
      <c r="V410" s="92" t="n"/>
      <c r="W410" s="92" t="n"/>
      <c r="X410" s="92" t="n"/>
      <c r="Y410" s="92" t="n"/>
      <c r="Z410" s="92" t="n"/>
      <c r="AA410" s="92" t="n"/>
      <c r="AB410" s="92" t="n"/>
      <c r="AC410" s="92" t="n"/>
      <c r="AD410" s="92" t="n"/>
      <c r="AE410" s="92" t="n"/>
      <c r="AF410" s="92" t="n"/>
      <c r="AG410" s="92" t="n"/>
      <c r="AH410" s="92" t="n"/>
      <c r="AI410" s="92" t="n"/>
      <c r="AJ410" s="92" t="n"/>
      <c r="AK410" s="92" t="n"/>
      <c r="AL410" s="92" t="n"/>
      <c r="AM410" s="92" t="n"/>
      <c r="AN410" s="92" t="n"/>
      <c r="AO410" s="92" t="n"/>
      <c r="AP410" s="92" t="n"/>
      <c r="AQ410" s="92" t="n"/>
      <c r="AR410" s="92" t="n"/>
      <c r="AS410" s="92" t="n"/>
      <c r="AT410" s="92" t="n"/>
      <c r="AU410" s="92" t="n"/>
      <c r="AV410" s="92" t="n"/>
      <c r="AX410" s="139" t="inlineStr"/>
      <c r="AY410" s="139" t="inlineStr"/>
      <c r="BA410" s="113" t="inlineStr">
        <is>
          <t>30평대</t>
        </is>
      </c>
      <c r="BB410" s="142" t="e">
        <v>#DIV/0!</v>
      </c>
      <c r="BC410" s="142" t="e">
        <v>#DIV/0!</v>
      </c>
      <c r="BD410" s="142" t="e">
        <v>#DIV/0!</v>
      </c>
      <c r="BE410" s="142" t="e">
        <v>#DIV/0!</v>
      </c>
      <c r="BF410" s="142" t="e">
        <v>#DIV/0!</v>
      </c>
    </row>
    <row r="411" ht="16.5" customFormat="1" customHeight="1" s="56">
      <c r="A411" s="92" t="n"/>
      <c r="B411" s="92" t="n"/>
      <c r="C411" s="92" t="n"/>
      <c r="D411" s="92" t="n"/>
      <c r="E411" s="92" t="n"/>
      <c r="F411" s="92" t="n"/>
      <c r="G411" s="92" t="n"/>
      <c r="H411" s="92" t="n"/>
      <c r="I411" s="92" t="n"/>
      <c r="J411" s="92" t="n"/>
      <c r="K411" s="92" t="n"/>
      <c r="L411" s="92" t="n"/>
      <c r="M411" s="92" t="n"/>
      <c r="N411" s="92" t="n"/>
      <c r="O411" s="92" t="n"/>
      <c r="P411" s="92" t="n"/>
      <c r="Q411" s="92" t="n"/>
      <c r="R411" s="92" t="n"/>
      <c r="S411" s="92" t="n"/>
      <c r="T411" s="92" t="n"/>
      <c r="U411" s="92" t="n"/>
      <c r="V411" s="92" t="n"/>
      <c r="W411" s="92" t="n"/>
      <c r="X411" s="92" t="n"/>
      <c r="Y411" s="92" t="n"/>
      <c r="Z411" s="92" t="n"/>
      <c r="AA411" s="92" t="n"/>
      <c r="AB411" s="92" t="n"/>
      <c r="AC411" s="92" t="n"/>
      <c r="AD411" s="92" t="n"/>
      <c r="AE411" s="92" t="n"/>
      <c r="AF411" s="92" t="n"/>
      <c r="AG411" s="92" t="n"/>
      <c r="AH411" s="92" t="n"/>
      <c r="AI411" s="92" t="n"/>
      <c r="AJ411" s="92" t="n"/>
      <c r="AK411" s="92" t="n"/>
      <c r="AL411" s="92" t="n"/>
      <c r="AM411" s="92" t="n"/>
      <c r="AN411" s="92" t="n"/>
      <c r="AO411" s="92" t="n"/>
      <c r="AP411" s="92" t="n"/>
      <c r="AQ411" s="92" t="n"/>
      <c r="AR411" s="92" t="n"/>
      <c r="AS411" s="92" t="n"/>
      <c r="AT411" s="92" t="n"/>
      <c r="AU411" s="92" t="n"/>
      <c r="AV411" s="92" t="n"/>
      <c r="AX411" s="139" t="inlineStr"/>
      <c r="AY411" s="139" t="inlineStr"/>
      <c r="BA411" s="113" t="inlineStr">
        <is>
          <t>합계</t>
        </is>
      </c>
      <c r="BB411" s="142" t="e">
        <v>#DIV/0!</v>
      </c>
      <c r="BC411" s="142" t="e">
        <v>#DIV/0!</v>
      </c>
      <c r="BD411" s="142" t="e">
        <v>#DIV/0!</v>
      </c>
      <c r="BE411" s="142" t="e">
        <v>#DIV/0!</v>
      </c>
      <c r="BF411" s="142" t="e">
        <v>#DIV/0!</v>
      </c>
    </row>
    <row r="412" ht="16.5" customFormat="1" customHeight="1" s="56">
      <c r="A412" s="92" t="n"/>
      <c r="B412" s="92" t="n"/>
      <c r="C412" s="92" t="n"/>
      <c r="D412" s="92" t="n"/>
      <c r="E412" s="92" t="n"/>
      <c r="F412" s="92" t="n"/>
      <c r="G412" s="92" t="n"/>
      <c r="H412" s="92" t="n"/>
      <c r="I412" s="92" t="n"/>
      <c r="J412" s="92" t="n"/>
      <c r="K412" s="92" t="n"/>
      <c r="L412" s="92" t="n"/>
      <c r="M412" s="92" t="n"/>
      <c r="N412" s="92" t="n"/>
      <c r="O412" s="92" t="n"/>
      <c r="P412" s="92" t="n"/>
      <c r="Q412" s="92" t="n"/>
      <c r="R412" s="92" t="n"/>
      <c r="S412" s="92" t="n"/>
      <c r="T412" s="92" t="n"/>
      <c r="U412" s="92" t="n"/>
      <c r="V412" s="92" t="n"/>
      <c r="W412" s="92" t="n"/>
      <c r="X412" s="92" t="n"/>
      <c r="Y412" s="92" t="n"/>
      <c r="Z412" s="92" t="n"/>
      <c r="AA412" s="92" t="n"/>
      <c r="AB412" s="92" t="n"/>
      <c r="AC412" s="92" t="n"/>
      <c r="AD412" s="92" t="n"/>
      <c r="AE412" s="92" t="n"/>
      <c r="AF412" s="92" t="n"/>
      <c r="AG412" s="92" t="n"/>
      <c r="AH412" s="92" t="n"/>
      <c r="AI412" s="92" t="n"/>
      <c r="AJ412" s="92" t="n"/>
      <c r="AK412" s="92" t="n"/>
      <c r="AL412" s="92" t="n"/>
      <c r="AM412" s="92" t="n"/>
      <c r="AN412" s="92" t="n"/>
      <c r="AO412" s="92" t="n"/>
      <c r="AP412" s="92" t="n"/>
      <c r="AQ412" s="92" t="n"/>
      <c r="AR412" s="92" t="n"/>
      <c r="AS412" s="92" t="n"/>
      <c r="AT412" s="92" t="n"/>
      <c r="AU412" s="92" t="n"/>
      <c r="AV412" s="92" t="n"/>
      <c r="AX412" s="139" t="inlineStr"/>
      <c r="AY412" s="139" t="inlineStr"/>
    </row>
    <row r="413" ht="16.5" customFormat="1" customHeight="1" s="56">
      <c r="A413" s="92" t="n"/>
      <c r="B413" s="92" t="n"/>
      <c r="C413" s="92" t="n"/>
      <c r="D413" s="92" t="n"/>
      <c r="E413" s="92" t="n"/>
      <c r="F413" s="92" t="n"/>
      <c r="G413" s="92" t="n"/>
      <c r="H413" s="92" t="n"/>
      <c r="I413" s="92" t="n"/>
      <c r="J413" s="92" t="n"/>
      <c r="K413" s="92" t="n"/>
      <c r="L413" s="92" t="n"/>
      <c r="M413" s="92" t="n"/>
      <c r="N413" s="92" t="n"/>
      <c r="O413" s="92" t="n"/>
      <c r="P413" s="92" t="n"/>
      <c r="Q413" s="92" t="n"/>
      <c r="R413" s="92" t="n"/>
      <c r="S413" s="92" t="n"/>
      <c r="T413" s="92" t="n"/>
      <c r="U413" s="92" t="n"/>
      <c r="V413" s="92" t="n"/>
      <c r="W413" s="92" t="n"/>
      <c r="X413" s="92" t="n"/>
      <c r="Y413" s="92" t="n"/>
      <c r="Z413" s="92" t="n"/>
      <c r="AA413" s="92" t="n"/>
      <c r="AB413" s="92" t="n"/>
      <c r="AC413" s="92" t="n"/>
      <c r="AD413" s="92" t="n"/>
      <c r="AE413" s="92" t="n"/>
      <c r="AF413" s="92" t="n"/>
      <c r="AG413" s="92" t="n"/>
      <c r="AH413" s="92" t="n"/>
      <c r="AI413" s="92" t="n"/>
      <c r="AJ413" s="92" t="n"/>
      <c r="AK413" s="92" t="n"/>
      <c r="AL413" s="92" t="n"/>
      <c r="AM413" s="92" t="n"/>
      <c r="AN413" s="92" t="n"/>
      <c r="AO413" s="92" t="n"/>
      <c r="AP413" s="92" t="n"/>
      <c r="AQ413" s="92" t="n"/>
      <c r="AR413" s="92" t="n"/>
      <c r="AS413" s="92" t="n"/>
      <c r="AT413" s="92" t="n"/>
      <c r="AU413" s="92" t="n"/>
      <c r="AV413" s="92" t="n"/>
      <c r="AX413" s="139" t="inlineStr"/>
      <c r="AY413" s="139" t="inlineStr"/>
    </row>
    <row r="414" ht="16.5" customFormat="1" customHeight="1" s="56">
      <c r="A414" s="92" t="n"/>
      <c r="B414" s="92" t="n"/>
      <c r="C414" s="92" t="n"/>
      <c r="D414" s="92" t="n"/>
      <c r="E414" s="92" t="n"/>
      <c r="F414" s="92" t="n"/>
      <c r="G414" s="92" t="n"/>
      <c r="H414" s="92" t="n"/>
      <c r="I414" s="92" t="n"/>
      <c r="J414" s="92" t="n"/>
      <c r="K414" s="92" t="n"/>
      <c r="L414" s="92" t="n"/>
      <c r="M414" s="92" t="n"/>
      <c r="N414" s="92" t="n"/>
      <c r="O414" s="92" t="n"/>
      <c r="P414" s="92" t="n"/>
      <c r="Q414" s="92" t="n"/>
      <c r="R414" s="92" t="n"/>
      <c r="S414" s="92" t="n"/>
      <c r="T414" s="92" t="n"/>
      <c r="U414" s="92" t="n"/>
      <c r="V414" s="92" t="n"/>
      <c r="W414" s="92" t="n"/>
      <c r="X414" s="92" t="n"/>
      <c r="Y414" s="92" t="n"/>
      <c r="Z414" s="92" t="n"/>
      <c r="AA414" s="92" t="n"/>
      <c r="AB414" s="92" t="n"/>
      <c r="AC414" s="92" t="n"/>
      <c r="AD414" s="92" t="n"/>
      <c r="AE414" s="92" t="n"/>
      <c r="AF414" s="92" t="n"/>
      <c r="AG414" s="92" t="n"/>
      <c r="AH414" s="92" t="n"/>
      <c r="AI414" s="92" t="n"/>
      <c r="AJ414" s="92" t="n"/>
      <c r="AK414" s="92" t="n"/>
      <c r="AL414" s="92" t="n"/>
      <c r="AM414" s="92" t="n"/>
      <c r="AN414" s="92" t="n"/>
      <c r="AO414" s="92" t="n"/>
      <c r="AP414" s="92" t="n"/>
      <c r="AQ414" s="92" t="n"/>
      <c r="AR414" s="92" t="n"/>
      <c r="AS414" s="92" t="n"/>
      <c r="AT414" s="92" t="n"/>
      <c r="AU414" s="92" t="n"/>
      <c r="AV414" s="92" t="n"/>
      <c r="AX414" s="139" t="inlineStr"/>
      <c r="AY414" s="139" t="inlineStr"/>
    </row>
    <row r="415" ht="16.5" customFormat="1" customHeight="1" s="56">
      <c r="A415" s="92" t="n"/>
      <c r="B415" s="92" t="n"/>
      <c r="C415" s="92" t="n"/>
      <c r="D415" s="92" t="n"/>
      <c r="E415" s="92" t="n"/>
      <c r="F415" s="92" t="n"/>
      <c r="G415" s="92" t="n"/>
      <c r="H415" s="92" t="n"/>
      <c r="I415" s="92" t="n"/>
      <c r="J415" s="92" t="n"/>
      <c r="K415" s="92" t="n"/>
      <c r="L415" s="92" t="n"/>
      <c r="M415" s="92" t="n"/>
      <c r="N415" s="92" t="n"/>
      <c r="O415" s="92" t="n"/>
      <c r="P415" s="92" t="n"/>
      <c r="Q415" s="92" t="n"/>
      <c r="R415" s="92" t="n"/>
      <c r="S415" s="92" t="n"/>
      <c r="T415" s="92" t="n"/>
      <c r="U415" s="92" t="n"/>
      <c r="V415" s="92" t="n"/>
      <c r="W415" s="92" t="n"/>
      <c r="X415" s="92" t="n"/>
      <c r="Y415" s="92" t="n"/>
      <c r="Z415" s="92" t="n"/>
      <c r="AA415" s="92" t="n"/>
      <c r="AB415" s="92" t="n"/>
      <c r="AC415" s="92" t="n"/>
      <c r="AD415" s="92" t="n"/>
      <c r="AE415" s="92" t="n"/>
      <c r="AF415" s="92" t="n"/>
      <c r="AG415" s="92" t="n"/>
      <c r="AH415" s="92" t="n"/>
      <c r="AI415" s="92" t="n"/>
      <c r="AJ415" s="92" t="n"/>
      <c r="AK415" s="92" t="n"/>
      <c r="AL415" s="92" t="n"/>
      <c r="AM415" s="92" t="n"/>
      <c r="AN415" s="92" t="n"/>
      <c r="AO415" s="92" t="n"/>
      <c r="AP415" s="92" t="n"/>
      <c r="AQ415" s="92" t="n"/>
      <c r="AR415" s="92" t="n"/>
      <c r="AS415" s="92" t="n"/>
      <c r="AT415" s="92" t="n"/>
      <c r="AU415" s="92" t="n"/>
      <c r="AV415" s="92" t="n"/>
      <c r="AX415" s="139" t="inlineStr"/>
      <c r="AY415" s="139" t="inlineStr"/>
    </row>
    <row r="416" ht="16.5" customFormat="1" customHeight="1" s="56">
      <c r="A416" s="92" t="n"/>
      <c r="B416" s="92" t="n"/>
      <c r="C416" s="92" t="n"/>
      <c r="D416" s="92" t="n"/>
      <c r="E416" s="92" t="n"/>
      <c r="F416" s="92" t="n"/>
      <c r="G416" s="92" t="n"/>
      <c r="H416" s="92" t="n"/>
      <c r="I416" s="92" t="n"/>
      <c r="J416" s="92" t="n"/>
      <c r="K416" s="92" t="n"/>
      <c r="L416" s="92" t="n"/>
      <c r="M416" s="92" t="n"/>
      <c r="N416" s="92" t="n"/>
      <c r="O416" s="92" t="n"/>
      <c r="P416" s="92" t="n"/>
      <c r="Q416" s="92" t="n"/>
      <c r="R416" s="92" t="n"/>
      <c r="S416" s="92" t="n"/>
      <c r="T416" s="92" t="n"/>
      <c r="U416" s="92" t="n"/>
      <c r="V416" s="92" t="n"/>
      <c r="W416" s="92" t="n"/>
      <c r="X416" s="92" t="n"/>
      <c r="Y416" s="92" t="n"/>
      <c r="Z416" s="92" t="n"/>
      <c r="AA416" s="92" t="n"/>
      <c r="AB416" s="92" t="n"/>
      <c r="AC416" s="92" t="n"/>
      <c r="AD416" s="92" t="n"/>
      <c r="AE416" s="92" t="n"/>
      <c r="AF416" s="92" t="n"/>
      <c r="AG416" s="92" t="n"/>
      <c r="AH416" s="92" t="n"/>
      <c r="AI416" s="92" t="n"/>
      <c r="AJ416" s="92" t="n"/>
      <c r="AK416" s="92" t="n"/>
      <c r="AL416" s="92" t="n"/>
      <c r="AM416" s="92" t="n"/>
      <c r="AN416" s="92" t="n"/>
      <c r="AO416" s="92" t="n"/>
      <c r="AP416" s="92" t="n"/>
      <c r="AQ416" s="92" t="n"/>
      <c r="AR416" s="92" t="n"/>
      <c r="AS416" s="92" t="n"/>
      <c r="AT416" s="92" t="n"/>
      <c r="AU416" s="92" t="n"/>
      <c r="AV416" s="92" t="n"/>
      <c r="AX416" s="139" t="inlineStr"/>
      <c r="AY416" s="139" t="inlineStr"/>
    </row>
    <row r="417" ht="16.5" customFormat="1" customHeight="1" s="56">
      <c r="A417" s="92" t="n"/>
      <c r="B417" s="92" t="n"/>
      <c r="C417" s="92" t="n"/>
      <c r="D417" s="92" t="n"/>
      <c r="E417" s="92" t="n"/>
      <c r="F417" s="92" t="n"/>
      <c r="G417" s="92" t="n"/>
      <c r="H417" s="92" t="n"/>
      <c r="I417" s="92" t="n"/>
      <c r="J417" s="92" t="n"/>
      <c r="K417" s="92" t="n"/>
      <c r="L417" s="92" t="n"/>
      <c r="M417" s="92" t="n"/>
      <c r="N417" s="92" t="n"/>
      <c r="O417" s="92" t="n"/>
      <c r="P417" s="92" t="n"/>
      <c r="Q417" s="92" t="n"/>
      <c r="R417" s="92" t="n"/>
      <c r="S417" s="92" t="n"/>
      <c r="T417" s="92" t="n"/>
      <c r="U417" s="92" t="n"/>
      <c r="V417" s="92" t="n"/>
      <c r="W417" s="92" t="n"/>
      <c r="X417" s="92" t="n"/>
      <c r="Y417" s="92" t="n"/>
      <c r="Z417" s="92" t="n"/>
      <c r="AA417" s="92" t="n"/>
      <c r="AB417" s="92" t="n"/>
      <c r="AC417" s="92" t="n"/>
      <c r="AD417" s="92" t="n"/>
      <c r="AE417" s="92" t="n"/>
      <c r="AF417" s="92" t="n"/>
      <c r="AG417" s="92" t="n"/>
      <c r="AH417" s="92" t="n"/>
      <c r="AI417" s="92" t="n"/>
      <c r="AJ417" s="92" t="n"/>
      <c r="AK417" s="92" t="n"/>
      <c r="AL417" s="92" t="n"/>
      <c r="AM417" s="92" t="n"/>
      <c r="AN417" s="92" t="n"/>
      <c r="AO417" s="92" t="n"/>
      <c r="AP417" s="92" t="n"/>
      <c r="AQ417" s="92" t="n"/>
      <c r="AR417" s="92" t="n"/>
      <c r="AS417" s="92" t="n"/>
      <c r="AT417" s="92" t="n"/>
      <c r="AU417" s="92" t="n"/>
      <c r="AV417" s="92" t="n"/>
      <c r="AX417" s="139" t="inlineStr"/>
      <c r="AY417" s="139" t="inlineStr"/>
    </row>
    <row r="418" ht="16.5" customFormat="1" customHeight="1" s="56">
      <c r="A418" s="92" t="n"/>
      <c r="B418" s="92" t="n"/>
      <c r="C418" s="92" t="n"/>
      <c r="D418" s="92" t="n"/>
      <c r="E418" s="92" t="n"/>
      <c r="F418" s="92" t="n"/>
      <c r="G418" s="92" t="n"/>
      <c r="H418" s="92" t="n"/>
      <c r="I418" s="92" t="n"/>
      <c r="J418" s="92" t="n"/>
      <c r="K418" s="92" t="n"/>
      <c r="L418" s="92" t="n"/>
      <c r="M418" s="92" t="n"/>
      <c r="N418" s="92" t="n"/>
      <c r="O418" s="92" t="n"/>
      <c r="P418" s="92" t="n"/>
      <c r="Q418" s="92" t="n"/>
      <c r="R418" s="92" t="n"/>
      <c r="S418" s="92" t="n"/>
      <c r="T418" s="92" t="n"/>
      <c r="U418" s="92" t="n"/>
      <c r="V418" s="92" t="n"/>
      <c r="W418" s="92" t="n"/>
      <c r="X418" s="92" t="n"/>
      <c r="Y418" s="92" t="n"/>
      <c r="Z418" s="92" t="n"/>
      <c r="AA418" s="92" t="n"/>
      <c r="AB418" s="92" t="n"/>
      <c r="AC418" s="92" t="n"/>
      <c r="AD418" s="92" t="n"/>
      <c r="AE418" s="92" t="n"/>
      <c r="AF418" s="92" t="n"/>
      <c r="AG418" s="92" t="n"/>
      <c r="AH418" s="92" t="n"/>
      <c r="AI418" s="92" t="n"/>
      <c r="AJ418" s="92" t="n"/>
      <c r="AK418" s="92" t="n"/>
      <c r="AL418" s="92" t="n"/>
      <c r="AM418" s="92" t="n"/>
      <c r="AN418" s="92" t="n"/>
      <c r="AO418" s="92" t="n"/>
      <c r="AP418" s="92" t="n"/>
      <c r="AQ418" s="92" t="n"/>
      <c r="AR418" s="92" t="n"/>
      <c r="AS418" s="92" t="n"/>
      <c r="AT418" s="92" t="n"/>
      <c r="AU418" s="92" t="n"/>
      <c r="AV418" s="92" t="n"/>
      <c r="AX418" s="139" t="inlineStr"/>
      <c r="AY418" s="139" t="inlineStr"/>
    </row>
    <row r="419" ht="16.5" customFormat="1" customHeight="1" s="56">
      <c r="A419" s="92" t="n"/>
      <c r="B419" s="92" t="n"/>
      <c r="C419" s="92" t="n"/>
      <c r="D419" s="92" t="n"/>
      <c r="E419" s="92" t="n"/>
      <c r="F419" s="92" t="n"/>
      <c r="G419" s="92" t="n"/>
      <c r="H419" s="92" t="n"/>
      <c r="I419" s="92" t="n"/>
      <c r="J419" s="92" t="n"/>
      <c r="K419" s="92" t="n"/>
      <c r="L419" s="92" t="n"/>
      <c r="M419" s="92" t="n"/>
      <c r="N419" s="92" t="n"/>
      <c r="O419" s="92" t="n"/>
      <c r="P419" s="92" t="n"/>
      <c r="Q419" s="92" t="n"/>
      <c r="R419" s="92" t="n"/>
      <c r="S419" s="92" t="n"/>
      <c r="T419" s="92" t="n"/>
      <c r="U419" s="92" t="n"/>
      <c r="V419" s="92" t="n"/>
      <c r="W419" s="92" t="n"/>
      <c r="X419" s="92" t="n"/>
      <c r="Y419" s="92" t="n"/>
      <c r="Z419" s="92" t="n"/>
      <c r="AA419" s="92" t="n"/>
      <c r="AB419" s="92" t="n"/>
      <c r="AC419" s="92" t="n"/>
      <c r="AD419" s="92" t="n"/>
      <c r="AE419" s="92" t="n"/>
      <c r="AF419" s="92" t="n"/>
      <c r="AG419" s="92" t="n"/>
      <c r="AH419" s="92" t="n"/>
      <c r="AI419" s="92" t="n"/>
      <c r="AJ419" s="92" t="n"/>
      <c r="AK419" s="92" t="n"/>
      <c r="AL419" s="92" t="n"/>
      <c r="AM419" s="92" t="n"/>
      <c r="AN419" s="92" t="n"/>
      <c r="AO419" s="92" t="n"/>
      <c r="AP419" s="92" t="n"/>
      <c r="AQ419" s="92" t="n"/>
      <c r="AR419" s="92" t="n"/>
      <c r="AS419" s="92" t="n"/>
      <c r="AT419" s="92" t="n"/>
      <c r="AU419" s="92" t="n"/>
      <c r="AV419" s="92" t="n"/>
      <c r="AX419" s="139" t="inlineStr"/>
      <c r="AY419" s="139" t="inlineStr"/>
    </row>
    <row r="420" ht="16.5" customFormat="1" customHeight="1" s="56">
      <c r="A420" s="92" t="n"/>
      <c r="B420" s="92" t="n"/>
      <c r="C420" s="92" t="n"/>
      <c r="D420" s="92" t="n"/>
      <c r="E420" s="92" t="n"/>
      <c r="F420" s="92" t="n"/>
      <c r="G420" s="92" t="n"/>
      <c r="H420" s="92" t="n"/>
      <c r="I420" s="92" t="n"/>
      <c r="J420" s="92" t="n"/>
      <c r="K420" s="92" t="n"/>
      <c r="L420" s="92" t="n"/>
      <c r="M420" s="92" t="n"/>
      <c r="N420" s="92" t="n"/>
      <c r="O420" s="92" t="n"/>
      <c r="P420" s="92" t="n"/>
      <c r="Q420" s="92" t="n"/>
      <c r="R420" s="92" t="n"/>
      <c r="S420" s="92" t="n"/>
      <c r="T420" s="92" t="n"/>
      <c r="U420" s="92" t="n"/>
      <c r="V420" s="92" t="n"/>
      <c r="W420" s="92" t="n"/>
      <c r="X420" s="92" t="n"/>
      <c r="Y420" s="92" t="n"/>
      <c r="Z420" s="92" t="n"/>
      <c r="AA420" s="92" t="n"/>
      <c r="AB420" s="92" t="n"/>
      <c r="AC420" s="92" t="n"/>
      <c r="AD420" s="92" t="n"/>
      <c r="AE420" s="92" t="n"/>
      <c r="AF420" s="92" t="n"/>
      <c r="AG420" s="92" t="n"/>
      <c r="AH420" s="92" t="n"/>
      <c r="AI420" s="92" t="n"/>
      <c r="AJ420" s="92" t="n"/>
      <c r="AK420" s="92" t="n"/>
      <c r="AL420" s="92" t="n"/>
      <c r="AM420" s="92" t="n"/>
      <c r="AN420" s="92" t="n"/>
      <c r="AO420" s="92" t="n"/>
      <c r="AP420" s="92" t="n"/>
      <c r="AQ420" s="92" t="n"/>
      <c r="AR420" s="92" t="n"/>
      <c r="AS420" s="92" t="n"/>
      <c r="AT420" s="92" t="n"/>
      <c r="AU420" s="92" t="n"/>
      <c r="AV420" s="92" t="n"/>
      <c r="AX420" s="139" t="inlineStr"/>
      <c r="AY420" s="139" t="inlineStr"/>
    </row>
    <row r="421" ht="16.5" customFormat="1" customHeight="1" s="56">
      <c r="A421" s="92" t="n"/>
      <c r="B421" s="92" t="n"/>
      <c r="C421" s="92" t="n"/>
      <c r="D421" s="92" t="n"/>
      <c r="E421" s="92" t="n"/>
      <c r="F421" s="92" t="n"/>
      <c r="G421" s="92" t="n"/>
      <c r="H421" s="92" t="n"/>
      <c r="I421" s="92" t="n"/>
      <c r="J421" s="92" t="n"/>
      <c r="K421" s="92" t="n"/>
      <c r="L421" s="92" t="n"/>
      <c r="M421" s="92" t="n"/>
      <c r="N421" s="92" t="n"/>
      <c r="O421" s="92" t="n"/>
      <c r="P421" s="92" t="n"/>
      <c r="Q421" s="92" t="n"/>
      <c r="R421" s="92" t="n"/>
      <c r="S421" s="92" t="n"/>
      <c r="T421" s="92" t="n"/>
      <c r="U421" s="92" t="n"/>
      <c r="V421" s="92" t="n"/>
      <c r="W421" s="92" t="n"/>
      <c r="X421" s="92" t="n"/>
      <c r="Y421" s="92" t="n"/>
      <c r="Z421" s="92" t="n"/>
      <c r="AA421" s="92" t="n"/>
      <c r="AB421" s="92" t="n"/>
      <c r="AC421" s="92" t="n"/>
      <c r="AD421" s="92" t="n"/>
      <c r="AE421" s="92" t="n"/>
      <c r="AF421" s="92" t="n"/>
      <c r="AG421" s="92" t="n"/>
      <c r="AH421" s="92" t="n"/>
      <c r="AI421" s="92" t="n"/>
      <c r="AJ421" s="92" t="n"/>
      <c r="AK421" s="92" t="n"/>
      <c r="AL421" s="92" t="n"/>
      <c r="AM421" s="92" t="n"/>
      <c r="AN421" s="92" t="n"/>
      <c r="AO421" s="92" t="n"/>
      <c r="AP421" s="92" t="n"/>
      <c r="AQ421" s="92" t="n"/>
      <c r="AR421" s="92" t="n"/>
      <c r="AS421" s="92" t="n"/>
      <c r="AT421" s="92" t="n"/>
      <c r="AU421" s="92" t="n"/>
      <c r="AV421" s="92" t="n"/>
      <c r="AX421" s="139" t="inlineStr"/>
      <c r="AY421" s="139" t="inlineStr"/>
    </row>
    <row r="422" ht="16.5" customFormat="1" customHeight="1" s="56">
      <c r="A422" s="92" t="n"/>
      <c r="B422" s="92" t="n"/>
      <c r="C422" s="92" t="n"/>
      <c r="D422" s="92" t="n"/>
      <c r="E422" s="92" t="n"/>
      <c r="F422" s="92" t="n"/>
      <c r="G422" s="92" t="n"/>
      <c r="H422" s="92" t="n"/>
      <c r="I422" s="92" t="n"/>
      <c r="J422" s="92" t="n"/>
      <c r="K422" s="92" t="n"/>
      <c r="L422" s="92" t="n"/>
      <c r="M422" s="92" t="n"/>
      <c r="N422" s="92" t="n"/>
      <c r="O422" s="92" t="n"/>
      <c r="P422" s="92" t="n"/>
      <c r="Q422" s="92" t="n"/>
      <c r="R422" s="92" t="n"/>
      <c r="S422" s="92" t="n"/>
      <c r="T422" s="92" t="n"/>
      <c r="U422" s="92" t="n"/>
      <c r="V422" s="92" t="n"/>
      <c r="W422" s="92" t="n"/>
      <c r="X422" s="92" t="n"/>
      <c r="Y422" s="92" t="n"/>
      <c r="Z422" s="92" t="n"/>
      <c r="AA422" s="92" t="n"/>
      <c r="AB422" s="92" t="n"/>
      <c r="AC422" s="92" t="n"/>
      <c r="AD422" s="92" t="n"/>
      <c r="AE422" s="92" t="n"/>
      <c r="AF422" s="92" t="n"/>
      <c r="AG422" s="92" t="n"/>
      <c r="AH422" s="92" t="n"/>
      <c r="AI422" s="92" t="n"/>
      <c r="AJ422" s="92" t="n"/>
      <c r="AK422" s="92" t="n"/>
      <c r="AL422" s="92" t="n"/>
      <c r="AM422" s="92" t="n"/>
      <c r="AN422" s="92" t="n"/>
      <c r="AO422" s="92" t="n"/>
      <c r="AP422" s="92" t="n"/>
      <c r="AQ422" s="92" t="n"/>
      <c r="AR422" s="92" t="n"/>
      <c r="AS422" s="92" t="n"/>
      <c r="AT422" s="92" t="n"/>
      <c r="AU422" s="92" t="n"/>
      <c r="AV422" s="92" t="n"/>
      <c r="AX422" s="139" t="inlineStr"/>
      <c r="AY422" s="139" t="inlineStr"/>
      <c r="AZ422" s="139" t="n"/>
      <c r="BA422" s="113" t="inlineStr">
        <is>
          <t>20평대</t>
        </is>
      </c>
      <c r="BB422" s="140" t="n">
        <v>0</v>
      </c>
      <c r="BC422" s="140" t="n">
        <v>0</v>
      </c>
      <c r="BD422" s="140" t="n">
        <v>0</v>
      </c>
      <c r="BE422" s="140" t="n">
        <v>0</v>
      </c>
      <c r="BF422" s="140" t="n">
        <v>0</v>
      </c>
    </row>
    <row r="423" ht="16.5" customFormat="1" customHeight="1" s="56">
      <c r="A423" s="92" t="n"/>
      <c r="B423" s="92" t="n"/>
      <c r="C423" s="92" t="n"/>
      <c r="D423" s="92" t="n"/>
      <c r="E423" s="92" t="n"/>
      <c r="F423" s="92" t="n"/>
      <c r="G423" s="92" t="n"/>
      <c r="H423" s="92" t="n"/>
      <c r="I423" s="92" t="n"/>
      <c r="J423" s="92" t="n"/>
      <c r="K423" s="92" t="n"/>
      <c r="L423" s="92" t="n"/>
      <c r="M423" s="92" t="n"/>
      <c r="N423" s="92" t="n"/>
      <c r="O423" s="92" t="n"/>
      <c r="P423" s="92" t="n"/>
      <c r="Q423" s="92" t="n"/>
      <c r="R423" s="92" t="n"/>
      <c r="S423" s="92" t="n"/>
      <c r="T423" s="92" t="n"/>
      <c r="U423" s="92" t="n"/>
      <c r="V423" s="92" t="n"/>
      <c r="W423" s="92" t="n"/>
      <c r="X423" s="92" t="n"/>
      <c r="Y423" s="92" t="n"/>
      <c r="Z423" s="92" t="n"/>
      <c r="AA423" s="92" t="n"/>
      <c r="AB423" s="92" t="n"/>
      <c r="AC423" s="92" t="n"/>
      <c r="AD423" s="92" t="n"/>
      <c r="AE423" s="92" t="n"/>
      <c r="AF423" s="92" t="n"/>
      <c r="AG423" s="92" t="n"/>
      <c r="AH423" s="92" t="n"/>
      <c r="AI423" s="92" t="n"/>
      <c r="AJ423" s="92" t="n"/>
      <c r="AK423" s="92" t="n"/>
      <c r="AL423" s="92" t="n"/>
      <c r="AM423" s="92" t="n"/>
      <c r="AN423" s="92" t="n"/>
      <c r="AO423" s="92" t="n"/>
      <c r="AP423" s="92" t="n"/>
      <c r="AQ423" s="92" t="n"/>
      <c r="AR423" s="92" t="n"/>
      <c r="AS423" s="92" t="n"/>
      <c r="AT423" s="92" t="n"/>
      <c r="AU423" s="92" t="n"/>
      <c r="AV423" s="92" t="n"/>
      <c r="AX423" s="139" t="inlineStr"/>
      <c r="AY423" s="139" t="inlineStr"/>
      <c r="AZ423" s="139" t="n"/>
      <c r="BA423" s="113" t="inlineStr">
        <is>
          <t>30평대</t>
        </is>
      </c>
      <c r="BB423" s="140" t="n">
        <v>0</v>
      </c>
      <c r="BC423" s="140" t="n">
        <v>0</v>
      </c>
      <c r="BD423" s="140" t="n">
        <v>0</v>
      </c>
      <c r="BE423" s="140" t="n">
        <v>0</v>
      </c>
      <c r="BF423" s="140" t="n">
        <v>0</v>
      </c>
    </row>
    <row r="424" ht="16.5" customFormat="1" customHeight="1" s="56">
      <c r="A424" s="92" t="n"/>
      <c r="B424" s="92" t="n"/>
      <c r="C424" s="92" t="n"/>
      <c r="D424" s="92" t="n"/>
      <c r="E424" s="92" t="n"/>
      <c r="F424" s="92" t="n"/>
      <c r="G424" s="92" t="n"/>
      <c r="H424" s="92" t="n"/>
      <c r="I424" s="92" t="n"/>
      <c r="J424" s="92" t="n"/>
      <c r="K424" s="92" t="n"/>
      <c r="L424" s="92" t="n"/>
      <c r="M424" s="92" t="n"/>
      <c r="N424" s="92" t="n"/>
      <c r="O424" s="92" t="n"/>
      <c r="P424" s="92" t="n"/>
      <c r="Q424" s="92" t="n"/>
      <c r="R424" s="92" t="n"/>
      <c r="S424" s="92" t="n"/>
      <c r="T424" s="92" t="n"/>
      <c r="U424" s="92" t="n"/>
      <c r="V424" s="92" t="n"/>
      <c r="W424" s="92" t="n"/>
      <c r="X424" s="92" t="n"/>
      <c r="Y424" s="92" t="n"/>
      <c r="Z424" s="92" t="n"/>
      <c r="AA424" s="92" t="n"/>
      <c r="AB424" s="92" t="n"/>
      <c r="AC424" s="92" t="n"/>
      <c r="AD424" s="92" t="n"/>
      <c r="AE424" s="92" t="n"/>
      <c r="AF424" s="92" t="n"/>
      <c r="AG424" s="92" t="n"/>
      <c r="AH424" s="92" t="n"/>
      <c r="AI424" s="92" t="n"/>
      <c r="AJ424" s="92" t="n"/>
      <c r="AK424" s="92" t="n"/>
      <c r="AL424" s="92" t="n"/>
      <c r="AM424" s="92" t="n"/>
      <c r="AN424" s="92" t="n"/>
      <c r="AO424" s="92" t="n"/>
      <c r="AP424" s="92" t="n"/>
      <c r="AQ424" s="92" t="n"/>
      <c r="AR424" s="92" t="n"/>
      <c r="AS424" s="92" t="n"/>
      <c r="AT424" s="92" t="n"/>
      <c r="AU424" s="92" t="n"/>
      <c r="AV424" s="92" t="n"/>
      <c r="AX424" s="139" t="inlineStr"/>
      <c r="AY424" s="139" t="inlineStr"/>
      <c r="AZ424" s="139" t="n"/>
      <c r="BA424" s="115" t="inlineStr">
        <is>
          <t>40평대↑</t>
        </is>
      </c>
      <c r="BB424" s="141" t="n">
        <v>0</v>
      </c>
      <c r="BC424" s="141" t="n">
        <v>0</v>
      </c>
      <c r="BD424" s="141" t="n">
        <v>0</v>
      </c>
      <c r="BE424" s="141" t="n">
        <v>0</v>
      </c>
      <c r="BF424" s="141" t="n">
        <v>0</v>
      </c>
    </row>
    <row r="425" ht="16.5" customFormat="1" customHeight="1" s="56">
      <c r="A425" s="92" t="n"/>
      <c r="B425" s="92" t="n"/>
      <c r="C425" s="92" t="n"/>
      <c r="D425" s="92" t="n"/>
      <c r="E425" s="92" t="n"/>
      <c r="F425" s="92" t="n"/>
      <c r="G425" s="92" t="n"/>
      <c r="H425" s="92" t="n"/>
      <c r="I425" s="92" t="n"/>
      <c r="J425" s="92" t="n"/>
      <c r="K425" s="92" t="n"/>
      <c r="L425" s="92" t="n"/>
      <c r="M425" s="92" t="n"/>
      <c r="N425" s="92" t="n"/>
      <c r="O425" s="92" t="n"/>
      <c r="P425" s="92" t="n"/>
      <c r="Q425" s="92" t="n"/>
      <c r="R425" s="92" t="n"/>
      <c r="S425" s="92" t="n"/>
      <c r="T425" s="92" t="n"/>
      <c r="U425" s="92" t="n"/>
      <c r="V425" s="92" t="n"/>
      <c r="W425" s="92" t="n"/>
      <c r="X425" s="92" t="n"/>
      <c r="Y425" s="92" t="n"/>
      <c r="Z425" s="92" t="n"/>
      <c r="AA425" s="92" t="n"/>
      <c r="AB425" s="92" t="n"/>
      <c r="AC425" s="92" t="n"/>
      <c r="AD425" s="92" t="n"/>
      <c r="AE425" s="92" t="n"/>
      <c r="AF425" s="92" t="n"/>
      <c r="AG425" s="92" t="n"/>
      <c r="AH425" s="92" t="n"/>
      <c r="AI425" s="92" t="n"/>
      <c r="AJ425" s="92" t="n"/>
      <c r="AK425" s="92" t="n"/>
      <c r="AL425" s="92" t="n"/>
      <c r="AM425" s="92" t="n"/>
      <c r="AN425" s="92" t="n"/>
      <c r="AO425" s="92" t="n"/>
      <c r="AP425" s="92" t="n"/>
      <c r="AQ425" s="92" t="n"/>
      <c r="AR425" s="92" t="n"/>
      <c r="AS425" s="92" t="n"/>
      <c r="AT425" s="92" t="n"/>
      <c r="AU425" s="92" t="n"/>
      <c r="AV425" s="92" t="n"/>
      <c r="AX425" s="139" t="inlineStr"/>
      <c r="AY425" s="139" t="inlineStr"/>
      <c r="AZ425" s="139" t="n"/>
      <c r="BA425" s="3" t="n"/>
    </row>
    <row r="426" ht="16.5" customFormat="1" customHeight="1" s="56">
      <c r="A426" s="92" t="n"/>
      <c r="B426" s="92" t="n"/>
      <c r="C426" s="92" t="n"/>
      <c r="D426" s="92" t="n"/>
      <c r="E426" s="92" t="n"/>
      <c r="F426" s="92" t="n"/>
      <c r="G426" s="92" t="n"/>
      <c r="H426" s="92" t="n"/>
      <c r="I426" s="92" t="n"/>
      <c r="J426" s="92" t="n"/>
      <c r="K426" s="92" t="n"/>
      <c r="L426" s="92" t="n"/>
      <c r="M426" s="92" t="n"/>
      <c r="N426" s="92" t="n"/>
      <c r="O426" s="92" t="n"/>
      <c r="P426" s="92" t="n"/>
      <c r="Q426" s="92" t="n"/>
      <c r="R426" s="92" t="n"/>
      <c r="S426" s="92" t="n"/>
      <c r="T426" s="92" t="n"/>
      <c r="U426" s="92" t="n"/>
      <c r="V426" s="92" t="n"/>
      <c r="W426" s="92" t="n"/>
      <c r="X426" s="92" t="n"/>
      <c r="Y426" s="92" t="n"/>
      <c r="Z426" s="92" t="n"/>
      <c r="AA426" s="92" t="n"/>
      <c r="AB426" s="92" t="n"/>
      <c r="AC426" s="92" t="n"/>
      <c r="AD426" s="92" t="n"/>
      <c r="AE426" s="92" t="n"/>
      <c r="AF426" s="92" t="n"/>
      <c r="AG426" s="92" t="n"/>
      <c r="AH426" s="92" t="n"/>
      <c r="AI426" s="92" t="n"/>
      <c r="AJ426" s="92" t="n"/>
      <c r="AK426" s="92" t="n"/>
      <c r="AL426" s="92" t="n"/>
      <c r="AM426" s="92" t="n"/>
      <c r="AN426" s="92" t="n"/>
      <c r="AO426" s="92" t="n"/>
      <c r="AP426" s="92" t="n"/>
      <c r="AQ426" s="92" t="n"/>
      <c r="AR426" s="92" t="n"/>
      <c r="AS426" s="92" t="n"/>
      <c r="AT426" s="92" t="n"/>
      <c r="AU426" s="92" t="n"/>
      <c r="AV426" s="92" t="n"/>
      <c r="AX426" s="139" t="inlineStr"/>
      <c r="AY426" s="139" t="inlineStr"/>
      <c r="AZ426" s="139" t="n"/>
      <c r="BA426" s="113" t="inlineStr">
        <is>
          <t>10평대</t>
        </is>
      </c>
      <c r="BB426" s="142" t="e">
        <v>#DIV/0!</v>
      </c>
      <c r="BC426" s="142" t="e">
        <v>#DIV/0!</v>
      </c>
      <c r="BD426" s="142" t="e">
        <v>#DIV/0!</v>
      </c>
      <c r="BE426" s="142" t="e">
        <v>#DIV/0!</v>
      </c>
      <c r="BF426" s="142" t="e">
        <v>#DIV/0!</v>
      </c>
    </row>
    <row r="427" ht="16.5" customFormat="1" customHeight="1" s="56">
      <c r="A427" s="92" t="n"/>
      <c r="B427" s="92" t="n"/>
      <c r="C427" s="92" t="n"/>
      <c r="D427" s="92" t="n"/>
      <c r="E427" s="92" t="n"/>
      <c r="F427" s="92" t="n"/>
      <c r="G427" s="92" t="n"/>
      <c r="H427" s="92" t="n"/>
      <c r="I427" s="92" t="n"/>
      <c r="J427" s="92" t="n"/>
      <c r="K427" s="92" t="n"/>
      <c r="L427" s="92" t="n"/>
      <c r="M427" s="92" t="n"/>
      <c r="N427" s="92" t="n"/>
      <c r="O427" s="92" t="n"/>
      <c r="P427" s="92" t="n"/>
      <c r="Q427" s="92" t="n"/>
      <c r="R427" s="92" t="n"/>
      <c r="S427" s="92" t="n"/>
      <c r="T427" s="92" t="n"/>
      <c r="U427" s="92" t="n"/>
      <c r="V427" s="92" t="n"/>
      <c r="W427" s="92" t="n"/>
      <c r="X427" s="92" t="n"/>
      <c r="Y427" s="92" t="n"/>
      <c r="Z427" s="92" t="n"/>
      <c r="AA427" s="92" t="n"/>
      <c r="AB427" s="92" t="n"/>
      <c r="AC427" s="92" t="n"/>
      <c r="AD427" s="92" t="n"/>
      <c r="AE427" s="92" t="n"/>
      <c r="AF427" s="92" t="n"/>
      <c r="AG427" s="92" t="n"/>
      <c r="AH427" s="92" t="n"/>
      <c r="AI427" s="92" t="n"/>
      <c r="AJ427" s="92" t="n"/>
      <c r="AK427" s="92" t="n"/>
      <c r="AL427" s="92" t="n"/>
      <c r="AM427" s="92" t="n"/>
      <c r="AN427" s="92" t="n"/>
      <c r="AO427" s="92" t="n"/>
      <c r="AP427" s="92" t="n"/>
      <c r="AQ427" s="92" t="n"/>
      <c r="AR427" s="92" t="n"/>
      <c r="AS427" s="92" t="n"/>
      <c r="AT427" s="92" t="n"/>
      <c r="AU427" s="92" t="n"/>
      <c r="AV427" s="92" t="n"/>
      <c r="AX427" s="139" t="inlineStr"/>
      <c r="AY427" s="139" t="inlineStr"/>
      <c r="BA427" s="113" t="inlineStr">
        <is>
          <t>30평대</t>
        </is>
      </c>
      <c r="BB427" s="142" t="e">
        <v>#DIV/0!</v>
      </c>
      <c r="BC427" s="142" t="e">
        <v>#DIV/0!</v>
      </c>
      <c r="BD427" s="142" t="e">
        <v>#DIV/0!</v>
      </c>
      <c r="BE427" s="142" t="e">
        <v>#DIV/0!</v>
      </c>
      <c r="BF427" s="142" t="e">
        <v>#DIV/0!</v>
      </c>
    </row>
    <row r="428" ht="16.5" customFormat="1" customHeight="1" s="56">
      <c r="A428" s="92" t="n"/>
      <c r="B428" s="92" t="n"/>
      <c r="C428" s="92" t="n"/>
      <c r="D428" s="92" t="n"/>
      <c r="E428" s="92" t="n"/>
      <c r="F428" s="92" t="n"/>
      <c r="G428" s="92" t="n"/>
      <c r="H428" s="92" t="n"/>
      <c r="I428" s="92" t="n"/>
      <c r="J428" s="92" t="n"/>
      <c r="K428" s="92" t="n"/>
      <c r="L428" s="92" t="n"/>
      <c r="M428" s="92" t="n"/>
      <c r="N428" s="92" t="n"/>
      <c r="O428" s="92" t="n"/>
      <c r="P428" s="92" t="n"/>
      <c r="Q428" s="92" t="n"/>
      <c r="R428" s="92" t="n"/>
      <c r="S428" s="92" t="n"/>
      <c r="T428" s="92" t="n"/>
      <c r="U428" s="92" t="n"/>
      <c r="V428" s="92" t="n"/>
      <c r="W428" s="92" t="n"/>
      <c r="X428" s="92" t="n"/>
      <c r="Y428" s="92" t="n"/>
      <c r="Z428" s="92" t="n"/>
      <c r="AA428" s="92" t="n"/>
      <c r="AB428" s="92" t="n"/>
      <c r="AC428" s="92" t="n"/>
      <c r="AD428" s="92" t="n"/>
      <c r="AE428" s="92" t="n"/>
      <c r="AF428" s="92" t="n"/>
      <c r="AG428" s="92" t="n"/>
      <c r="AH428" s="92" t="n"/>
      <c r="AI428" s="92" t="n"/>
      <c r="AJ428" s="92" t="n"/>
      <c r="AK428" s="92" t="n"/>
      <c r="AL428" s="92" t="n"/>
      <c r="AM428" s="92" t="n"/>
      <c r="AN428" s="92" t="n"/>
      <c r="AO428" s="92" t="n"/>
      <c r="AP428" s="92" t="n"/>
      <c r="AQ428" s="92" t="n"/>
      <c r="AR428" s="92" t="n"/>
      <c r="AS428" s="92" t="n"/>
      <c r="AT428" s="92" t="n"/>
      <c r="AU428" s="92" t="n"/>
      <c r="AV428" s="92" t="n"/>
      <c r="AX428" s="139" t="inlineStr"/>
      <c r="AY428" s="139" t="inlineStr"/>
      <c r="BA428" s="115" t="inlineStr">
        <is>
          <t>40평대↑</t>
        </is>
      </c>
      <c r="BB428" s="143" t="e">
        <v>#DIV/0!</v>
      </c>
      <c r="BC428" s="143" t="e">
        <v>#DIV/0!</v>
      </c>
      <c r="BD428" s="143" t="e">
        <v>#DIV/0!</v>
      </c>
      <c r="BE428" s="143" t="e">
        <v>#DIV/0!</v>
      </c>
      <c r="BF428" s="143" t="e">
        <v>#DIV/0!</v>
      </c>
    </row>
    <row r="429" ht="16.5" customFormat="1" customHeight="1" s="56">
      <c r="A429" s="92" t="n"/>
      <c r="B429" s="92" t="n"/>
      <c r="C429" s="92" t="n"/>
      <c r="D429" s="92" t="n"/>
      <c r="E429" s="92" t="n"/>
      <c r="F429" s="92" t="n"/>
      <c r="G429" s="92" t="n"/>
      <c r="H429" s="92" t="n"/>
      <c r="I429" s="92" t="n"/>
      <c r="J429" s="92" t="n"/>
      <c r="K429" s="92" t="n"/>
      <c r="L429" s="92" t="n"/>
      <c r="M429" s="92" t="n"/>
      <c r="N429" s="92" t="n"/>
      <c r="O429" s="92" t="n"/>
      <c r="P429" s="92" t="n"/>
      <c r="Q429" s="92" t="n"/>
      <c r="R429" s="92" t="n"/>
      <c r="S429" s="92" t="n"/>
      <c r="T429" s="92" t="n"/>
      <c r="U429" s="92" t="n"/>
      <c r="V429" s="92" t="n"/>
      <c r="W429" s="92" t="n"/>
      <c r="X429" s="92" t="n"/>
      <c r="Y429" s="92" t="n"/>
      <c r="Z429" s="92" t="n"/>
      <c r="AA429" s="92" t="n"/>
      <c r="AB429" s="92" t="n"/>
      <c r="AC429" s="92" t="n"/>
      <c r="AD429" s="92" t="n"/>
      <c r="AE429" s="92" t="n"/>
      <c r="AF429" s="92" t="n"/>
      <c r="AG429" s="92" t="n"/>
      <c r="AH429" s="92" t="n"/>
      <c r="AI429" s="92" t="n"/>
      <c r="AJ429" s="92" t="n"/>
      <c r="AK429" s="92" t="n"/>
      <c r="AL429" s="92" t="n"/>
      <c r="AM429" s="92" t="n"/>
      <c r="AN429" s="92" t="n"/>
      <c r="AO429" s="92" t="n"/>
      <c r="AP429" s="92" t="n"/>
      <c r="AQ429" s="92" t="n"/>
      <c r="AR429" s="92" t="n"/>
      <c r="AS429" s="92" t="n"/>
      <c r="AT429" s="92" t="n"/>
      <c r="AU429" s="92" t="n"/>
      <c r="AV429" s="92" t="n"/>
      <c r="AX429" s="139" t="inlineStr"/>
      <c r="AY429" s="139" t="inlineStr"/>
      <c r="BA429" s="113" t="inlineStr">
        <is>
          <t>합계</t>
        </is>
      </c>
      <c r="BB429" s="142" t="e">
        <v>#DIV/0!</v>
      </c>
      <c r="BC429" s="142" t="e">
        <v>#DIV/0!</v>
      </c>
      <c r="BD429" s="142" t="e">
        <v>#DIV/0!</v>
      </c>
      <c r="BE429" s="142" t="e">
        <v>#DIV/0!</v>
      </c>
      <c r="BF429" s="142" t="e">
        <v>#DIV/0!</v>
      </c>
    </row>
    <row r="430" ht="16.5" customFormat="1" customHeight="1" s="56">
      <c r="A430" s="92" t="n"/>
      <c r="B430" s="92" t="n"/>
      <c r="C430" s="92" t="n"/>
      <c r="D430" s="92" t="n"/>
      <c r="E430" s="92" t="n"/>
      <c r="F430" s="92" t="n"/>
      <c r="G430" s="92" t="n"/>
      <c r="H430" s="92" t="n"/>
      <c r="I430" s="92" t="n"/>
      <c r="J430" s="92" t="n"/>
      <c r="K430" s="92" t="n"/>
      <c r="L430" s="92" t="n"/>
      <c r="M430" s="92" t="n"/>
      <c r="N430" s="92" t="n"/>
      <c r="O430" s="92" t="n"/>
      <c r="P430" s="92" t="n"/>
      <c r="Q430" s="92" t="n"/>
      <c r="R430" s="92" t="n"/>
      <c r="S430" s="92" t="n"/>
      <c r="T430" s="92" t="n"/>
      <c r="U430" s="92" t="n"/>
      <c r="V430" s="92" t="n"/>
      <c r="W430" s="92" t="n"/>
      <c r="X430" s="92" t="n"/>
      <c r="Y430" s="92" t="n"/>
      <c r="Z430" s="92" t="n"/>
      <c r="AA430" s="92" t="n"/>
      <c r="AB430" s="92" t="n"/>
      <c r="AC430" s="92" t="n"/>
      <c r="AD430" s="92" t="n"/>
      <c r="AE430" s="92" t="n"/>
      <c r="AF430" s="92" t="n"/>
      <c r="AG430" s="92" t="n"/>
      <c r="AH430" s="92" t="n"/>
      <c r="AI430" s="92" t="n"/>
      <c r="AJ430" s="92" t="n"/>
      <c r="AK430" s="92" t="n"/>
      <c r="AL430" s="92" t="n"/>
      <c r="AM430" s="92" t="n"/>
      <c r="AN430" s="92" t="n"/>
      <c r="AO430" s="92" t="n"/>
      <c r="AP430" s="92" t="n"/>
      <c r="AQ430" s="92" t="n"/>
      <c r="AR430" s="92" t="n"/>
      <c r="AS430" s="92" t="n"/>
      <c r="AT430" s="92" t="n"/>
      <c r="AU430" s="92" t="n"/>
      <c r="AV430" s="92" t="n"/>
      <c r="AX430" s="139" t="inlineStr"/>
      <c r="AY430" s="139" t="inlineStr"/>
    </row>
    <row r="431" ht="16.5" customFormat="1" customHeight="1" s="56">
      <c r="A431" s="92" t="n"/>
      <c r="B431" s="92" t="n"/>
      <c r="C431" s="92" t="n"/>
      <c r="D431" s="92" t="n"/>
      <c r="E431" s="92" t="n"/>
      <c r="F431" s="92" t="n"/>
      <c r="G431" s="92" t="n"/>
      <c r="H431" s="92" t="n"/>
      <c r="I431" s="92" t="n"/>
      <c r="J431" s="92" t="n"/>
      <c r="K431" s="92" t="n"/>
      <c r="L431" s="92" t="n"/>
      <c r="M431" s="92" t="n"/>
      <c r="N431" s="92" t="n"/>
      <c r="O431" s="92" t="n"/>
      <c r="P431" s="92" t="n"/>
      <c r="Q431" s="92" t="n"/>
      <c r="R431" s="92" t="n"/>
      <c r="S431" s="92" t="n"/>
      <c r="T431" s="92" t="n"/>
      <c r="U431" s="92" t="n"/>
      <c r="V431" s="92" t="n"/>
      <c r="W431" s="92" t="n"/>
      <c r="X431" s="92" t="n"/>
      <c r="Y431" s="92" t="n"/>
      <c r="Z431" s="92" t="n"/>
      <c r="AA431" s="92" t="n"/>
      <c r="AB431" s="92" t="n"/>
      <c r="AC431" s="92" t="n"/>
      <c r="AD431" s="92" t="n"/>
      <c r="AE431" s="92" t="n"/>
      <c r="AF431" s="92" t="n"/>
      <c r="AG431" s="92" t="n"/>
      <c r="AH431" s="92" t="n"/>
      <c r="AI431" s="92" t="n"/>
      <c r="AJ431" s="92" t="n"/>
      <c r="AK431" s="92" t="n"/>
      <c r="AL431" s="92" t="n"/>
      <c r="AM431" s="92" t="n"/>
      <c r="AN431" s="92" t="n"/>
      <c r="AO431" s="92" t="n"/>
      <c r="AP431" s="92" t="n"/>
      <c r="AQ431" s="92" t="n"/>
      <c r="AR431" s="92" t="n"/>
      <c r="AS431" s="92" t="n"/>
      <c r="AT431" s="92" t="n"/>
      <c r="AU431" s="92" t="n"/>
      <c r="AV431" s="92" t="n"/>
      <c r="AX431" s="139" t="inlineStr"/>
      <c r="AY431" s="139" t="inlineStr"/>
    </row>
    <row r="432" ht="16.5" customFormat="1" customHeight="1" s="56">
      <c r="A432" s="92" t="n"/>
      <c r="B432" s="92" t="n"/>
      <c r="C432" s="92" t="n"/>
      <c r="D432" s="92" t="n"/>
      <c r="E432" s="92" t="n"/>
      <c r="F432" s="92" t="n"/>
      <c r="G432" s="92" t="n"/>
      <c r="H432" s="92" t="n"/>
      <c r="I432" s="92" t="n"/>
      <c r="J432" s="92" t="n"/>
      <c r="K432" s="92" t="n"/>
      <c r="L432" s="92" t="n"/>
      <c r="M432" s="92" t="n"/>
      <c r="N432" s="92" t="n"/>
      <c r="O432" s="92" t="n"/>
      <c r="P432" s="92" t="n"/>
      <c r="Q432" s="92" t="n"/>
      <c r="R432" s="92" t="n"/>
      <c r="S432" s="92" t="n"/>
      <c r="T432" s="92" t="n"/>
      <c r="U432" s="92" t="n"/>
      <c r="V432" s="92" t="n"/>
      <c r="W432" s="92" t="n"/>
      <c r="X432" s="92" t="n"/>
      <c r="Y432" s="92" t="n"/>
      <c r="Z432" s="92" t="n"/>
      <c r="AA432" s="92" t="n"/>
      <c r="AB432" s="92" t="n"/>
      <c r="AC432" s="92" t="n"/>
      <c r="AD432" s="92" t="n"/>
      <c r="AE432" s="92" t="n"/>
      <c r="AF432" s="92" t="n"/>
      <c r="AG432" s="92" t="n"/>
      <c r="AH432" s="92" t="n"/>
      <c r="AI432" s="92" t="n"/>
      <c r="AJ432" s="92" t="n"/>
      <c r="AK432" s="92" t="n"/>
      <c r="AL432" s="92" t="n"/>
      <c r="AM432" s="92" t="n"/>
      <c r="AN432" s="92" t="n"/>
      <c r="AO432" s="92" t="n"/>
      <c r="AP432" s="92" t="n"/>
      <c r="AQ432" s="92" t="n"/>
      <c r="AR432" s="92" t="n"/>
      <c r="AS432" s="92" t="n"/>
      <c r="AT432" s="92" t="n"/>
      <c r="AU432" s="92" t="n"/>
      <c r="AV432" s="92" t="n"/>
      <c r="AX432" s="139" t="inlineStr"/>
      <c r="AY432" s="139" t="inlineStr"/>
    </row>
    <row r="433" ht="16.5" customFormat="1" customHeight="1" s="56">
      <c r="A433" s="92" t="n"/>
      <c r="B433" s="92" t="n"/>
      <c r="C433" s="92" t="n"/>
      <c r="D433" s="92" t="n"/>
      <c r="E433" s="92" t="n"/>
      <c r="F433" s="92" t="n"/>
      <c r="G433" s="92" t="n"/>
      <c r="H433" s="92" t="n"/>
      <c r="I433" s="92" t="n"/>
      <c r="J433" s="92" t="n"/>
      <c r="K433" s="92" t="n"/>
      <c r="L433" s="92" t="n"/>
      <c r="M433" s="92" t="n"/>
      <c r="N433" s="92" t="n"/>
      <c r="O433" s="92" t="n"/>
      <c r="P433" s="92" t="n"/>
      <c r="Q433" s="92" t="n"/>
      <c r="R433" s="92" t="n"/>
      <c r="S433" s="92" t="n"/>
      <c r="T433" s="92" t="n"/>
      <c r="U433" s="92" t="n"/>
      <c r="V433" s="92" t="n"/>
      <c r="W433" s="92" t="n"/>
      <c r="X433" s="92" t="n"/>
      <c r="Y433" s="92" t="n"/>
      <c r="Z433" s="92" t="n"/>
      <c r="AA433" s="92" t="n"/>
      <c r="AB433" s="92" t="n"/>
      <c r="AC433" s="92" t="n"/>
      <c r="AD433" s="92" t="n"/>
      <c r="AE433" s="92" t="n"/>
      <c r="AF433" s="92" t="n"/>
      <c r="AG433" s="92" t="n"/>
      <c r="AH433" s="92" t="n"/>
      <c r="AI433" s="92" t="n"/>
      <c r="AJ433" s="92" t="n"/>
      <c r="AK433" s="92" t="n"/>
      <c r="AL433" s="92" t="n"/>
      <c r="AM433" s="92" t="n"/>
      <c r="AN433" s="92" t="n"/>
      <c r="AO433" s="92" t="n"/>
      <c r="AP433" s="92" t="n"/>
      <c r="AQ433" s="92" t="n"/>
      <c r="AR433" s="92" t="n"/>
      <c r="AS433" s="92" t="n"/>
      <c r="AT433" s="92" t="n"/>
      <c r="AU433" s="92" t="n"/>
      <c r="AV433" s="92" t="n"/>
      <c r="AX433" s="139" t="inlineStr"/>
      <c r="AY433" s="139" t="inlineStr"/>
    </row>
    <row r="434" ht="16.5" customFormat="1" customHeight="1" s="56">
      <c r="A434" s="92" t="n"/>
      <c r="B434" s="92" t="n"/>
      <c r="C434" s="92" t="n"/>
      <c r="D434" s="92" t="n"/>
      <c r="E434" s="92" t="n"/>
      <c r="F434" s="92" t="n"/>
      <c r="G434" s="92" t="n"/>
      <c r="H434" s="92" t="n"/>
      <c r="I434" s="92" t="n"/>
      <c r="J434" s="92" t="n"/>
      <c r="K434" s="92" t="n"/>
      <c r="L434" s="92" t="n"/>
      <c r="M434" s="92" t="n"/>
      <c r="N434" s="92" t="n"/>
      <c r="O434" s="92" t="n"/>
      <c r="P434" s="92" t="n"/>
      <c r="Q434" s="92" t="n"/>
      <c r="R434" s="92" t="n"/>
      <c r="S434" s="92" t="n"/>
      <c r="T434" s="92" t="n"/>
      <c r="U434" s="92" t="n"/>
      <c r="V434" s="92" t="n"/>
      <c r="W434" s="92" t="n"/>
      <c r="X434" s="92" t="n"/>
      <c r="Y434" s="92" t="n"/>
      <c r="Z434" s="92" t="n"/>
      <c r="AA434" s="92" t="n"/>
      <c r="AB434" s="92" t="n"/>
      <c r="AC434" s="92" t="n"/>
      <c r="AD434" s="92" t="n"/>
      <c r="AE434" s="92" t="n"/>
      <c r="AF434" s="92" t="n"/>
      <c r="AG434" s="92" t="n"/>
      <c r="AH434" s="92" t="n"/>
      <c r="AI434" s="92" t="n"/>
      <c r="AJ434" s="92" t="n"/>
      <c r="AK434" s="92" t="n"/>
      <c r="AL434" s="92" t="n"/>
      <c r="AM434" s="92" t="n"/>
      <c r="AN434" s="92" t="n"/>
      <c r="AO434" s="92" t="n"/>
      <c r="AP434" s="92" t="n"/>
      <c r="AQ434" s="92" t="n"/>
      <c r="AR434" s="92" t="n"/>
      <c r="AS434" s="92" t="n"/>
      <c r="AT434" s="92" t="n"/>
      <c r="AU434" s="92" t="n"/>
      <c r="AV434" s="92" t="n"/>
      <c r="AX434" s="139" t="inlineStr"/>
      <c r="AY434" s="139" t="inlineStr"/>
    </row>
    <row r="435" ht="16.5" customFormat="1" customHeight="1" s="56">
      <c r="A435" s="92" t="n"/>
      <c r="B435" s="92" t="n"/>
      <c r="C435" s="92" t="n"/>
      <c r="D435" s="92" t="n"/>
      <c r="E435" s="92" t="n"/>
      <c r="F435" s="92" t="n"/>
      <c r="G435" s="92" t="n"/>
      <c r="H435" s="92" t="n"/>
      <c r="I435" s="92" t="n"/>
      <c r="J435" s="92" t="n"/>
      <c r="K435" s="92" t="n"/>
      <c r="L435" s="92" t="n"/>
      <c r="M435" s="92" t="n"/>
      <c r="N435" s="92" t="n"/>
      <c r="O435" s="92" t="n"/>
      <c r="P435" s="92" t="n"/>
      <c r="Q435" s="92" t="n"/>
      <c r="R435" s="92" t="n"/>
      <c r="S435" s="92" t="n"/>
      <c r="T435" s="92" t="n"/>
      <c r="U435" s="92" t="n"/>
      <c r="V435" s="92" t="n"/>
      <c r="W435" s="92" t="n"/>
      <c r="X435" s="92" t="n"/>
      <c r="Y435" s="92" t="n"/>
      <c r="Z435" s="92" t="n"/>
      <c r="AA435" s="92" t="n"/>
      <c r="AB435" s="92" t="n"/>
      <c r="AC435" s="92" t="n"/>
      <c r="AD435" s="92" t="n"/>
      <c r="AE435" s="92" t="n"/>
      <c r="AF435" s="92" t="n"/>
      <c r="AG435" s="92" t="n"/>
      <c r="AH435" s="92" t="n"/>
      <c r="AI435" s="92" t="n"/>
      <c r="AJ435" s="92" t="n"/>
      <c r="AK435" s="92" t="n"/>
      <c r="AL435" s="92" t="n"/>
      <c r="AM435" s="92" t="n"/>
      <c r="AN435" s="92" t="n"/>
      <c r="AO435" s="92" t="n"/>
      <c r="AP435" s="92" t="n"/>
      <c r="AQ435" s="92" t="n"/>
      <c r="AR435" s="92" t="n"/>
      <c r="AS435" s="92" t="n"/>
      <c r="AT435" s="92" t="n"/>
      <c r="AU435" s="92" t="n"/>
      <c r="AV435" s="92" t="n"/>
      <c r="AX435" s="139" t="inlineStr"/>
      <c r="AY435" s="139" t="inlineStr"/>
    </row>
    <row r="436" ht="16.5" customFormat="1" customHeight="1" s="56">
      <c r="A436" s="92" t="n"/>
      <c r="B436" s="92" t="n"/>
      <c r="C436" s="92" t="n"/>
      <c r="D436" s="92" t="n"/>
      <c r="E436" s="92" t="n"/>
      <c r="F436" s="92" t="n"/>
      <c r="G436" s="92" t="n"/>
      <c r="H436" s="92" t="n"/>
      <c r="I436" s="92" t="n"/>
      <c r="J436" s="92" t="n"/>
      <c r="K436" s="92" t="n"/>
      <c r="L436" s="92" t="n"/>
      <c r="M436" s="92" t="n"/>
      <c r="N436" s="92" t="n"/>
      <c r="O436" s="92" t="n"/>
      <c r="P436" s="92" t="n"/>
      <c r="Q436" s="92" t="n"/>
      <c r="R436" s="92" t="n"/>
      <c r="S436" s="92" t="n"/>
      <c r="T436" s="92" t="n"/>
      <c r="U436" s="92" t="n"/>
      <c r="V436" s="92" t="n"/>
      <c r="W436" s="92" t="n"/>
      <c r="X436" s="92" t="n"/>
      <c r="Y436" s="92" t="n"/>
      <c r="Z436" s="92" t="n"/>
      <c r="AA436" s="92" t="n"/>
      <c r="AB436" s="92" t="n"/>
      <c r="AC436" s="92" t="n"/>
      <c r="AD436" s="92" t="n"/>
      <c r="AE436" s="92" t="n"/>
      <c r="AF436" s="92" t="n"/>
      <c r="AG436" s="92" t="n"/>
      <c r="AH436" s="92" t="n"/>
      <c r="AI436" s="92" t="n"/>
      <c r="AJ436" s="92" t="n"/>
      <c r="AK436" s="92" t="n"/>
      <c r="AL436" s="92" t="n"/>
      <c r="AM436" s="92" t="n"/>
      <c r="AN436" s="92" t="n"/>
      <c r="AO436" s="92" t="n"/>
      <c r="AP436" s="92" t="n"/>
      <c r="AQ436" s="92" t="n"/>
      <c r="AR436" s="92" t="n"/>
      <c r="AS436" s="92" t="n"/>
      <c r="AT436" s="92" t="n"/>
      <c r="AU436" s="92" t="n"/>
      <c r="AV436" s="92" t="n"/>
      <c r="AX436" s="139" t="inlineStr"/>
      <c r="AY436" s="139" t="inlineStr"/>
    </row>
    <row r="437" ht="16.5" customFormat="1" customHeight="1" s="56">
      <c r="A437" s="92" t="n"/>
      <c r="B437" s="92" t="n"/>
      <c r="C437" s="92" t="n"/>
      <c r="D437" s="92" t="n"/>
      <c r="E437" s="92" t="n"/>
      <c r="F437" s="92" t="n"/>
      <c r="G437" s="92" t="n"/>
      <c r="H437" s="92" t="n"/>
      <c r="I437" s="92" t="n"/>
      <c r="J437" s="92" t="n"/>
      <c r="K437" s="92" t="n"/>
      <c r="L437" s="92" t="n"/>
      <c r="M437" s="92" t="n"/>
      <c r="N437" s="92" t="n"/>
      <c r="O437" s="92" t="n"/>
      <c r="P437" s="92" t="n"/>
      <c r="Q437" s="92" t="n"/>
      <c r="R437" s="92" t="n"/>
      <c r="S437" s="92" t="n"/>
      <c r="T437" s="92" t="n"/>
      <c r="U437" s="92" t="n"/>
      <c r="V437" s="92" t="n"/>
      <c r="W437" s="92" t="n"/>
      <c r="X437" s="92" t="n"/>
      <c r="Y437" s="92" t="n"/>
      <c r="Z437" s="92" t="n"/>
      <c r="AA437" s="92" t="n"/>
      <c r="AB437" s="92" t="n"/>
      <c r="AC437" s="92" t="n"/>
      <c r="AD437" s="92" t="n"/>
      <c r="AE437" s="92" t="n"/>
      <c r="AF437" s="92" t="n"/>
      <c r="AG437" s="92" t="n"/>
      <c r="AH437" s="92" t="n"/>
      <c r="AI437" s="92" t="n"/>
      <c r="AJ437" s="92" t="n"/>
      <c r="AK437" s="92" t="n"/>
      <c r="AL437" s="92" t="n"/>
      <c r="AM437" s="92" t="n"/>
      <c r="AN437" s="92" t="n"/>
      <c r="AO437" s="92" t="n"/>
      <c r="AP437" s="92" t="n"/>
      <c r="AQ437" s="92" t="n"/>
      <c r="AR437" s="92" t="n"/>
      <c r="AS437" s="92" t="n"/>
      <c r="AT437" s="92" t="n"/>
      <c r="AU437" s="92" t="n"/>
      <c r="AV437" s="92" t="n"/>
      <c r="AX437" s="139" t="inlineStr"/>
      <c r="AY437" s="139" t="inlineStr"/>
    </row>
    <row r="438" ht="16.5" customFormat="1" customHeight="1" s="56">
      <c r="A438" s="92" t="n"/>
      <c r="B438" s="92" t="n"/>
      <c r="C438" s="92" t="n"/>
      <c r="D438" s="92" t="n"/>
      <c r="E438" s="92" t="n"/>
      <c r="F438" s="92" t="n"/>
      <c r="G438" s="92" t="n"/>
      <c r="H438" s="92" t="n"/>
      <c r="I438" s="92" t="n"/>
      <c r="J438" s="92" t="n"/>
      <c r="K438" s="92" t="n"/>
      <c r="L438" s="92" t="n"/>
      <c r="M438" s="92" t="n"/>
      <c r="N438" s="92" t="n"/>
      <c r="O438" s="92" t="n"/>
      <c r="P438" s="92" t="n"/>
      <c r="Q438" s="92" t="n"/>
      <c r="R438" s="92" t="n"/>
      <c r="S438" s="92" t="n"/>
      <c r="T438" s="92" t="n"/>
      <c r="U438" s="92" t="n"/>
      <c r="V438" s="92" t="n"/>
      <c r="W438" s="92" t="n"/>
      <c r="X438" s="92" t="n"/>
      <c r="Y438" s="92" t="n"/>
      <c r="Z438" s="92" t="n"/>
      <c r="AA438" s="92" t="n"/>
      <c r="AB438" s="92" t="n"/>
      <c r="AC438" s="92" t="n"/>
      <c r="AD438" s="92" t="n"/>
      <c r="AE438" s="92" t="n"/>
      <c r="AF438" s="92" t="n"/>
      <c r="AG438" s="92" t="n"/>
      <c r="AH438" s="92" t="n"/>
      <c r="AI438" s="92" t="n"/>
      <c r="AJ438" s="92" t="n"/>
      <c r="AK438" s="92" t="n"/>
      <c r="AL438" s="92" t="n"/>
      <c r="AM438" s="92" t="n"/>
      <c r="AN438" s="92" t="n"/>
      <c r="AO438" s="92" t="n"/>
      <c r="AP438" s="92" t="n"/>
      <c r="AQ438" s="92" t="n"/>
      <c r="AR438" s="92" t="n"/>
      <c r="AS438" s="92" t="n"/>
      <c r="AT438" s="92" t="n"/>
      <c r="AU438" s="92" t="n"/>
      <c r="AV438" s="92" t="n"/>
      <c r="AX438" s="139" t="inlineStr"/>
      <c r="AY438" s="139" t="inlineStr"/>
    </row>
    <row r="439" ht="16.5" customFormat="1" customHeight="1" s="56">
      <c r="A439" s="92" t="n"/>
      <c r="B439" s="92" t="n"/>
      <c r="C439" s="92" t="n"/>
      <c r="D439" s="92" t="n"/>
      <c r="E439" s="92" t="n"/>
      <c r="F439" s="92" t="n"/>
      <c r="G439" s="92" t="n"/>
      <c r="H439" s="92" t="n"/>
      <c r="I439" s="92" t="n"/>
      <c r="J439" s="92" t="n"/>
      <c r="K439" s="92" t="n"/>
      <c r="L439" s="92" t="n"/>
      <c r="M439" s="92" t="n"/>
      <c r="N439" s="92" t="n"/>
      <c r="O439" s="92" t="n"/>
      <c r="P439" s="92" t="n"/>
      <c r="Q439" s="92" t="n"/>
      <c r="R439" s="92" t="n"/>
      <c r="S439" s="92" t="n"/>
      <c r="T439" s="92" t="n"/>
      <c r="U439" s="92" t="n"/>
      <c r="V439" s="92" t="n"/>
      <c r="W439" s="92" t="n"/>
      <c r="X439" s="92" t="n"/>
      <c r="Y439" s="92" t="n"/>
      <c r="Z439" s="92" t="n"/>
      <c r="AA439" s="92" t="n"/>
      <c r="AB439" s="92" t="n"/>
      <c r="AC439" s="92" t="n"/>
      <c r="AD439" s="92" t="n"/>
      <c r="AE439" s="92" t="n"/>
      <c r="AF439" s="92" t="n"/>
      <c r="AG439" s="92" t="n"/>
      <c r="AH439" s="92" t="n"/>
      <c r="AI439" s="92" t="n"/>
      <c r="AJ439" s="92" t="n"/>
      <c r="AK439" s="92" t="n"/>
      <c r="AL439" s="92" t="n"/>
      <c r="AM439" s="92" t="n"/>
      <c r="AN439" s="92" t="n"/>
      <c r="AO439" s="92" t="n"/>
      <c r="AP439" s="92" t="n"/>
      <c r="AQ439" s="92" t="n"/>
      <c r="AR439" s="92" t="n"/>
      <c r="AS439" s="92" t="n"/>
      <c r="AT439" s="92" t="n"/>
      <c r="AU439" s="92" t="n"/>
      <c r="AV439" s="92" t="n"/>
      <c r="AX439" s="139" t="inlineStr"/>
      <c r="AY439" s="139" t="inlineStr"/>
    </row>
    <row r="440" ht="16.5" customFormat="1" customHeight="1" s="56">
      <c r="A440" s="92" t="n"/>
      <c r="B440" s="92" t="n"/>
      <c r="C440" s="92" t="n"/>
      <c r="D440" s="92" t="n"/>
      <c r="E440" s="92" t="n"/>
      <c r="F440" s="92" t="n"/>
      <c r="G440" s="92" t="n"/>
      <c r="H440" s="92" t="n"/>
      <c r="I440" s="92" t="n"/>
      <c r="J440" s="92" t="n"/>
      <c r="K440" s="92" t="n"/>
      <c r="L440" s="92" t="n"/>
      <c r="M440" s="92" t="n"/>
      <c r="N440" s="92" t="n"/>
      <c r="O440" s="92" t="n"/>
      <c r="P440" s="92" t="n"/>
      <c r="Q440" s="92" t="n"/>
      <c r="R440" s="92" t="n"/>
      <c r="S440" s="92" t="n"/>
      <c r="T440" s="92" t="n"/>
      <c r="U440" s="92" t="n"/>
      <c r="V440" s="92" t="n"/>
      <c r="W440" s="92" t="n"/>
      <c r="X440" s="92" t="n"/>
      <c r="Y440" s="92" t="n"/>
      <c r="Z440" s="92" t="n"/>
      <c r="AA440" s="92" t="n"/>
      <c r="AB440" s="92" t="n"/>
      <c r="AC440" s="92" t="n"/>
      <c r="AD440" s="92" t="n"/>
      <c r="AE440" s="92" t="n"/>
      <c r="AF440" s="92" t="n"/>
      <c r="AG440" s="92" t="n"/>
      <c r="AH440" s="92" t="n"/>
      <c r="AI440" s="92" t="n"/>
      <c r="AJ440" s="92" t="n"/>
      <c r="AK440" s="92" t="n"/>
      <c r="AL440" s="92" t="n"/>
      <c r="AM440" s="92" t="n"/>
      <c r="AN440" s="92" t="n"/>
      <c r="AO440" s="92" t="n"/>
      <c r="AP440" s="92" t="n"/>
      <c r="AQ440" s="92" t="n"/>
      <c r="AR440" s="92" t="n"/>
      <c r="AS440" s="92" t="n"/>
      <c r="AT440" s="92" t="n"/>
      <c r="AU440" s="92" t="n"/>
      <c r="AV440" s="92" t="n"/>
      <c r="AX440" s="139" t="inlineStr"/>
      <c r="AY440" s="139" t="inlineStr"/>
    </row>
    <row r="441" ht="16.5" customFormat="1" customHeight="1" s="56">
      <c r="A441" s="92" t="n"/>
      <c r="B441" s="92" t="n"/>
      <c r="C441" s="92" t="n"/>
      <c r="D441" s="92" t="n"/>
      <c r="E441" s="92" t="n"/>
      <c r="F441" s="92" t="n"/>
      <c r="G441" s="92" t="n"/>
      <c r="H441" s="92" t="n"/>
      <c r="I441" s="92" t="n"/>
      <c r="J441" s="92" t="n"/>
      <c r="K441" s="92" t="n"/>
      <c r="L441" s="92" t="n"/>
      <c r="M441" s="92" t="n"/>
      <c r="N441" s="92" t="n"/>
      <c r="O441" s="92" t="n"/>
      <c r="P441" s="92" t="n"/>
      <c r="Q441" s="92" t="n"/>
      <c r="R441" s="92" t="n"/>
      <c r="S441" s="92" t="n"/>
      <c r="T441" s="92" t="n"/>
      <c r="U441" s="92" t="n"/>
      <c r="V441" s="92" t="n"/>
      <c r="W441" s="92" t="n"/>
      <c r="X441" s="92" t="n"/>
      <c r="Y441" s="92" t="n"/>
      <c r="Z441" s="92" t="n"/>
      <c r="AA441" s="92" t="n"/>
      <c r="AB441" s="92" t="n"/>
      <c r="AC441" s="92" t="n"/>
      <c r="AD441" s="92" t="n"/>
      <c r="AE441" s="92" t="n"/>
      <c r="AF441" s="92" t="n"/>
      <c r="AG441" s="92" t="n"/>
      <c r="AH441" s="92" t="n"/>
      <c r="AI441" s="92" t="n"/>
      <c r="AJ441" s="92" t="n"/>
      <c r="AK441" s="92" t="n"/>
      <c r="AL441" s="92" t="n"/>
      <c r="AM441" s="92" t="n"/>
      <c r="AN441" s="92" t="n"/>
      <c r="AO441" s="92" t="n"/>
      <c r="AP441" s="92" t="n"/>
      <c r="AQ441" s="92" t="n"/>
      <c r="AR441" s="92" t="n"/>
      <c r="AS441" s="92" t="n"/>
      <c r="AT441" s="92" t="n"/>
      <c r="AU441" s="92" t="n"/>
      <c r="AV441" s="92" t="n"/>
      <c r="AX441" s="139" t="inlineStr"/>
      <c r="AY441" s="139" t="inlineStr"/>
    </row>
    <row r="442" ht="16.5" customFormat="1" customHeight="1" s="56">
      <c r="A442" s="92" t="n"/>
      <c r="B442" s="92" t="n"/>
      <c r="C442" s="92" t="n"/>
      <c r="D442" s="92" t="n"/>
      <c r="E442" s="92" t="n"/>
      <c r="F442" s="92" t="n"/>
      <c r="G442" s="92" t="n"/>
      <c r="H442" s="92" t="n"/>
      <c r="I442" s="92" t="n"/>
      <c r="J442" s="92" t="n"/>
      <c r="K442" s="92" t="n"/>
      <c r="L442" s="92" t="n"/>
      <c r="M442" s="92" t="n"/>
      <c r="N442" s="92" t="n"/>
      <c r="O442" s="92" t="n"/>
      <c r="P442" s="92" t="n"/>
      <c r="Q442" s="92" t="n"/>
      <c r="R442" s="92" t="n"/>
      <c r="S442" s="92" t="n"/>
      <c r="T442" s="92" t="n"/>
      <c r="U442" s="92" t="n"/>
      <c r="V442" s="92" t="n"/>
      <c r="W442" s="92" t="n"/>
      <c r="X442" s="92" t="n"/>
      <c r="Y442" s="92" t="n"/>
      <c r="Z442" s="92" t="n"/>
      <c r="AA442" s="92" t="n"/>
      <c r="AB442" s="92" t="n"/>
      <c r="AC442" s="92" t="n"/>
      <c r="AD442" s="92" t="n"/>
      <c r="AE442" s="92" t="n"/>
      <c r="AF442" s="92" t="n"/>
      <c r="AG442" s="92" t="n"/>
      <c r="AH442" s="92" t="n"/>
      <c r="AI442" s="92" t="n"/>
      <c r="AJ442" s="92" t="n"/>
      <c r="AK442" s="92" t="n"/>
      <c r="AL442" s="92" t="n"/>
      <c r="AM442" s="92" t="n"/>
      <c r="AN442" s="92" t="n"/>
      <c r="AO442" s="92" t="n"/>
      <c r="AP442" s="92" t="n"/>
      <c r="AQ442" s="92" t="n"/>
      <c r="AR442" s="92" t="n"/>
      <c r="AS442" s="92" t="n"/>
      <c r="AT442" s="92" t="n"/>
      <c r="AU442" s="92" t="n"/>
      <c r="AV442" s="92" t="n"/>
      <c r="AX442" s="139" t="inlineStr"/>
      <c r="AY442" s="139" t="inlineStr"/>
    </row>
    <row r="443" ht="16.5" customFormat="1" customHeight="1" s="56">
      <c r="A443" s="92" t="n"/>
      <c r="B443" s="92" t="n"/>
      <c r="C443" s="92" t="n"/>
      <c r="D443" s="92" t="n"/>
      <c r="E443" s="92" t="n"/>
      <c r="F443" s="92" t="n"/>
      <c r="G443" s="92" t="n"/>
      <c r="H443" s="92" t="n"/>
      <c r="I443" s="92" t="n"/>
      <c r="J443" s="92" t="n"/>
      <c r="K443" s="92" t="n"/>
      <c r="L443" s="92" t="n"/>
      <c r="M443" s="92" t="n"/>
      <c r="N443" s="92" t="n"/>
      <c r="O443" s="92" t="n"/>
      <c r="P443" s="92" t="n"/>
      <c r="Q443" s="92" t="n"/>
      <c r="R443" s="92" t="n"/>
      <c r="S443" s="92" t="n"/>
      <c r="T443" s="92" t="n"/>
      <c r="U443" s="92" t="n"/>
      <c r="V443" s="92" t="n"/>
      <c r="W443" s="92" t="n"/>
      <c r="X443" s="92" t="n"/>
      <c r="Y443" s="92" t="n"/>
      <c r="Z443" s="92" t="n"/>
      <c r="AA443" s="92" t="n"/>
      <c r="AB443" s="92" t="n"/>
      <c r="AC443" s="92" t="n"/>
      <c r="AD443" s="92" t="n"/>
      <c r="AE443" s="92" t="n"/>
      <c r="AF443" s="92" t="n"/>
      <c r="AG443" s="92" t="n"/>
      <c r="AH443" s="92" t="n"/>
      <c r="AI443" s="92" t="n"/>
      <c r="AJ443" s="92" t="n"/>
      <c r="AK443" s="92" t="n"/>
      <c r="AL443" s="92" t="n"/>
      <c r="AM443" s="92" t="n"/>
      <c r="AN443" s="92" t="n"/>
      <c r="AO443" s="92" t="n"/>
      <c r="AP443" s="92" t="n"/>
      <c r="AQ443" s="92" t="n"/>
      <c r="AR443" s="92" t="n"/>
      <c r="AS443" s="92" t="n"/>
      <c r="AT443" s="92" t="n"/>
      <c r="AU443" s="92" t="n"/>
      <c r="AV443" s="92" t="n"/>
      <c r="AX443" s="139" t="inlineStr"/>
      <c r="AY443" s="139" t="inlineStr"/>
    </row>
    <row r="444" ht="16.5" customFormat="1" customHeight="1" s="56">
      <c r="A444" s="92" t="n"/>
      <c r="B444" s="92" t="n"/>
      <c r="C444" s="92" t="n"/>
      <c r="D444" s="92" t="n"/>
      <c r="E444" s="92" t="n"/>
      <c r="F444" s="92" t="n"/>
      <c r="G444" s="92" t="n"/>
      <c r="H444" s="92" t="n"/>
      <c r="I444" s="92" t="n"/>
      <c r="J444" s="92" t="n"/>
      <c r="K444" s="92" t="n"/>
      <c r="L444" s="92" t="n"/>
      <c r="M444" s="92" t="n"/>
      <c r="N444" s="92" t="n"/>
      <c r="O444" s="92" t="n"/>
      <c r="P444" s="92" t="n"/>
      <c r="Q444" s="92" t="n"/>
      <c r="R444" s="92" t="n"/>
      <c r="S444" s="92" t="n"/>
      <c r="T444" s="92" t="n"/>
      <c r="U444" s="92" t="n"/>
      <c r="V444" s="92" t="n"/>
      <c r="W444" s="92" t="n"/>
      <c r="X444" s="92" t="n"/>
      <c r="Y444" s="92" t="n"/>
      <c r="Z444" s="92" t="n"/>
      <c r="AA444" s="92" t="n"/>
      <c r="AB444" s="92" t="n"/>
      <c r="AC444" s="92" t="n"/>
      <c r="AD444" s="92" t="n"/>
      <c r="AE444" s="92" t="n"/>
      <c r="AF444" s="92" t="n"/>
      <c r="AG444" s="92" t="n"/>
      <c r="AH444" s="92" t="n"/>
      <c r="AI444" s="92" t="n"/>
      <c r="AJ444" s="92" t="n"/>
      <c r="AK444" s="92" t="n"/>
      <c r="AL444" s="92" t="n"/>
      <c r="AM444" s="92" t="n"/>
      <c r="AN444" s="92" t="n"/>
      <c r="AO444" s="92" t="n"/>
      <c r="AP444" s="92" t="n"/>
      <c r="AQ444" s="92" t="n"/>
      <c r="AR444" s="92" t="n"/>
      <c r="AS444" s="92" t="n"/>
      <c r="AT444" s="92" t="n"/>
      <c r="AU444" s="92" t="n"/>
      <c r="AV444" s="92" t="n"/>
      <c r="AX444" s="139" t="inlineStr"/>
      <c r="AY444" s="139" t="inlineStr"/>
    </row>
    <row r="445" ht="16.5" customFormat="1" customHeight="1" s="56">
      <c r="A445" s="92" t="n"/>
      <c r="B445" s="92" t="n"/>
      <c r="C445" s="92" t="n"/>
      <c r="D445" s="92" t="n"/>
      <c r="E445" s="92" t="n"/>
      <c r="F445" s="92" t="n"/>
      <c r="G445" s="92" t="n"/>
      <c r="H445" s="92" t="n"/>
      <c r="I445" s="92" t="n"/>
      <c r="J445" s="92" t="n"/>
      <c r="K445" s="92" t="n"/>
      <c r="L445" s="92" t="n"/>
      <c r="M445" s="92" t="n"/>
      <c r="N445" s="92" t="n"/>
      <c r="O445" s="92" t="n"/>
      <c r="P445" s="92" t="n"/>
      <c r="Q445" s="92" t="n"/>
      <c r="R445" s="92" t="n"/>
      <c r="S445" s="92" t="n"/>
      <c r="T445" s="92" t="n"/>
      <c r="U445" s="92" t="n"/>
      <c r="V445" s="92" t="n"/>
      <c r="W445" s="92" t="n"/>
      <c r="X445" s="92" t="n"/>
      <c r="Y445" s="92" t="n"/>
      <c r="Z445" s="92" t="n"/>
      <c r="AA445" s="92" t="n"/>
      <c r="AB445" s="92" t="n"/>
      <c r="AC445" s="92" t="n"/>
      <c r="AD445" s="92" t="n"/>
      <c r="AE445" s="92" t="n"/>
      <c r="AF445" s="92" t="n"/>
      <c r="AG445" s="92" t="n"/>
      <c r="AH445" s="92" t="n"/>
      <c r="AI445" s="92" t="n"/>
      <c r="AJ445" s="92" t="n"/>
      <c r="AK445" s="92" t="n"/>
      <c r="AL445" s="92" t="n"/>
      <c r="AM445" s="92" t="n"/>
      <c r="AN445" s="92" t="n"/>
      <c r="AO445" s="92" t="n"/>
      <c r="AP445" s="92" t="n"/>
      <c r="AQ445" s="92" t="n"/>
      <c r="AR445" s="92" t="n"/>
      <c r="AS445" s="92" t="n"/>
      <c r="AT445" s="92" t="n"/>
      <c r="AU445" s="92" t="n"/>
      <c r="AV445" s="92" t="n"/>
      <c r="AX445" s="139" t="inlineStr"/>
      <c r="AY445" s="139" t="inlineStr"/>
    </row>
    <row r="446" ht="16.5" customFormat="1" customHeight="1" s="56">
      <c r="A446" s="92" t="n"/>
      <c r="B446" s="92" t="n"/>
      <c r="C446" s="92" t="n"/>
      <c r="D446" s="92" t="n"/>
      <c r="E446" s="92" t="n"/>
      <c r="F446" s="92" t="n"/>
      <c r="G446" s="92" t="n"/>
      <c r="H446" s="92" t="n"/>
      <c r="I446" s="92" t="n"/>
      <c r="J446" s="92" t="n"/>
      <c r="K446" s="92" t="n"/>
      <c r="L446" s="92" t="n"/>
      <c r="M446" s="92" t="n"/>
      <c r="N446" s="92" t="n"/>
      <c r="O446" s="92" t="n"/>
      <c r="P446" s="92" t="n"/>
      <c r="Q446" s="92" t="n"/>
      <c r="R446" s="92" t="n"/>
      <c r="S446" s="92" t="n"/>
      <c r="T446" s="92" t="n"/>
      <c r="U446" s="92" t="n"/>
      <c r="V446" s="92" t="n"/>
      <c r="W446" s="92" t="n"/>
      <c r="X446" s="92" t="n"/>
      <c r="Y446" s="92" t="n"/>
      <c r="Z446" s="92" t="n"/>
      <c r="AA446" s="92" t="n"/>
      <c r="AB446" s="92" t="n"/>
      <c r="AC446" s="92" t="n"/>
      <c r="AD446" s="92" t="n"/>
      <c r="AE446" s="92" t="n"/>
      <c r="AF446" s="92" t="n"/>
      <c r="AG446" s="92" t="n"/>
      <c r="AH446" s="92" t="n"/>
      <c r="AI446" s="92" t="n"/>
      <c r="AJ446" s="92" t="n"/>
      <c r="AK446" s="92" t="n"/>
      <c r="AL446" s="92" t="n"/>
      <c r="AM446" s="92" t="n"/>
      <c r="AN446" s="92" t="n"/>
      <c r="AO446" s="92" t="n"/>
      <c r="AP446" s="92" t="n"/>
      <c r="AQ446" s="92" t="n"/>
      <c r="AR446" s="92" t="n"/>
      <c r="AS446" s="92" t="n"/>
      <c r="AT446" s="92" t="n"/>
      <c r="AU446" s="92" t="n"/>
      <c r="AV446" s="92" t="n"/>
      <c r="AX446" s="139" t="inlineStr"/>
      <c r="AY446" s="139" t="inlineStr"/>
    </row>
    <row r="447" ht="16.5" customFormat="1" customHeight="1" s="56">
      <c r="A447" s="92" t="n"/>
      <c r="B447" s="92" t="n"/>
      <c r="C447" s="92" t="n"/>
      <c r="D447" s="92" t="n"/>
      <c r="E447" s="92" t="n"/>
      <c r="F447" s="92" t="n"/>
      <c r="G447" s="92" t="n"/>
      <c r="H447" s="92" t="n"/>
      <c r="I447" s="92" t="n"/>
      <c r="J447" s="92" t="n"/>
      <c r="K447" s="92" t="n"/>
      <c r="L447" s="92" t="n"/>
      <c r="M447" s="92" t="n"/>
      <c r="N447" s="92" t="n"/>
      <c r="O447" s="92" t="n"/>
      <c r="P447" s="92" t="n"/>
      <c r="Q447" s="92" t="n"/>
      <c r="R447" s="92" t="n"/>
      <c r="S447" s="92" t="n"/>
      <c r="T447" s="92" t="n"/>
      <c r="U447" s="92" t="n"/>
      <c r="V447" s="92" t="n"/>
      <c r="W447" s="92" t="n"/>
      <c r="X447" s="92" t="n"/>
      <c r="Y447" s="92" t="n"/>
      <c r="Z447" s="92" t="n"/>
      <c r="AA447" s="92" t="n"/>
      <c r="AB447" s="92" t="n"/>
      <c r="AC447" s="92" t="n"/>
      <c r="AD447" s="92" t="n"/>
      <c r="AE447" s="92" t="n"/>
      <c r="AF447" s="92" t="n"/>
      <c r="AG447" s="92" t="n"/>
      <c r="AH447" s="92" t="n"/>
      <c r="AI447" s="92" t="n"/>
      <c r="AJ447" s="92" t="n"/>
      <c r="AK447" s="92" t="n"/>
      <c r="AL447" s="92" t="n"/>
      <c r="AM447" s="92" t="n"/>
      <c r="AN447" s="92" t="n"/>
      <c r="AO447" s="92" t="n"/>
      <c r="AP447" s="92" t="n"/>
      <c r="AQ447" s="92" t="n"/>
      <c r="AR447" s="92" t="n"/>
      <c r="AS447" s="92" t="n"/>
      <c r="AT447" s="92" t="n"/>
      <c r="AU447" s="92" t="n"/>
      <c r="AV447" s="92" t="n"/>
      <c r="AX447" s="139" t="inlineStr"/>
      <c r="AY447" s="139" t="inlineStr"/>
    </row>
    <row r="448" ht="16.5" customFormat="1" customHeight="1" s="56">
      <c r="A448" s="92" t="n"/>
      <c r="B448" s="92" t="n"/>
      <c r="C448" s="92" t="n"/>
      <c r="D448" s="92" t="n"/>
      <c r="E448" s="92" t="n"/>
      <c r="F448" s="92" t="n"/>
      <c r="G448" s="92" t="n"/>
      <c r="H448" s="92" t="n"/>
      <c r="I448" s="92" t="n"/>
      <c r="J448" s="92" t="n"/>
      <c r="K448" s="92" t="n"/>
      <c r="L448" s="92" t="n"/>
      <c r="M448" s="92" t="n"/>
      <c r="N448" s="92" t="n"/>
      <c r="O448" s="92" t="n"/>
      <c r="P448" s="92" t="n"/>
      <c r="Q448" s="92" t="n"/>
      <c r="R448" s="92" t="n"/>
      <c r="S448" s="92" t="n"/>
      <c r="T448" s="92" t="n"/>
      <c r="U448" s="92" t="n"/>
      <c r="V448" s="92" t="n"/>
      <c r="W448" s="92" t="n"/>
      <c r="X448" s="92" t="n"/>
      <c r="Y448" s="92" t="n"/>
      <c r="Z448" s="92" t="n"/>
      <c r="AA448" s="92" t="n"/>
      <c r="AB448" s="92" t="n"/>
      <c r="AC448" s="92" t="n"/>
      <c r="AD448" s="92" t="n"/>
      <c r="AE448" s="92" t="n"/>
      <c r="AF448" s="92" t="n"/>
      <c r="AG448" s="92" t="n"/>
      <c r="AH448" s="92" t="n"/>
      <c r="AI448" s="92" t="n"/>
      <c r="AJ448" s="92" t="n"/>
      <c r="AK448" s="92" t="n"/>
      <c r="AL448" s="92" t="n"/>
      <c r="AM448" s="92" t="n"/>
      <c r="AN448" s="92" t="n"/>
      <c r="AO448" s="92" t="n"/>
      <c r="AP448" s="92" t="n"/>
      <c r="AQ448" s="92" t="n"/>
      <c r="AR448" s="92" t="n"/>
      <c r="AS448" s="92" t="n"/>
      <c r="AT448" s="92" t="n"/>
      <c r="AU448" s="92" t="n"/>
      <c r="AV448" s="92" t="n"/>
      <c r="AX448" s="139" t="inlineStr"/>
      <c r="AY448" s="139" t="inlineStr"/>
    </row>
    <row r="449" ht="16.5" customFormat="1" customHeight="1" s="56">
      <c r="A449" s="92" t="n"/>
      <c r="B449" s="92" t="n"/>
      <c r="C449" s="92" t="n"/>
      <c r="D449" s="92" t="n"/>
      <c r="E449" s="92" t="n"/>
      <c r="F449" s="92" t="n"/>
      <c r="G449" s="92" t="n"/>
      <c r="H449" s="92" t="n"/>
      <c r="I449" s="92" t="n"/>
      <c r="J449" s="92" t="n"/>
      <c r="K449" s="92" t="n"/>
      <c r="L449" s="92" t="n"/>
      <c r="M449" s="92" t="n"/>
      <c r="N449" s="92" t="n"/>
      <c r="O449" s="92" t="n"/>
      <c r="P449" s="92" t="n"/>
      <c r="Q449" s="92" t="n"/>
      <c r="R449" s="92" t="n"/>
      <c r="S449" s="92" t="n"/>
      <c r="T449" s="92" t="n"/>
      <c r="U449" s="92" t="n"/>
      <c r="V449" s="92" t="n"/>
      <c r="W449" s="92" t="n"/>
      <c r="X449" s="92" t="n"/>
      <c r="Y449" s="92" t="n"/>
      <c r="Z449" s="92" t="n"/>
      <c r="AA449" s="92" t="n"/>
      <c r="AB449" s="92" t="n"/>
      <c r="AC449" s="92" t="n"/>
      <c r="AD449" s="92" t="n"/>
      <c r="AE449" s="92" t="n"/>
      <c r="AF449" s="92" t="n"/>
      <c r="AG449" s="92" t="n"/>
      <c r="AH449" s="92" t="n"/>
      <c r="AI449" s="92" t="n"/>
      <c r="AJ449" s="92" t="n"/>
      <c r="AK449" s="92" t="n"/>
      <c r="AL449" s="92" t="n"/>
      <c r="AM449" s="92" t="n"/>
      <c r="AN449" s="92" t="n"/>
      <c r="AO449" s="92" t="n"/>
      <c r="AP449" s="92" t="n"/>
      <c r="AQ449" s="92" t="n"/>
      <c r="AR449" s="92" t="n"/>
      <c r="AS449" s="92" t="n"/>
      <c r="AT449" s="92" t="n"/>
      <c r="AU449" s="92" t="n"/>
      <c r="AV449" s="92" t="n"/>
      <c r="AX449" s="139" t="inlineStr"/>
      <c r="AY449" s="139" t="inlineStr"/>
    </row>
    <row r="450" ht="16.5" customFormat="1" customHeight="1" s="56">
      <c r="A450" s="92" t="n"/>
      <c r="B450" s="92" t="n"/>
      <c r="C450" s="92" t="n"/>
      <c r="D450" s="92" t="n"/>
      <c r="E450" s="92" t="n"/>
      <c r="F450" s="92" t="n"/>
      <c r="G450" s="92" t="n"/>
      <c r="H450" s="92" t="n"/>
      <c r="I450" s="92" t="n"/>
      <c r="J450" s="92" t="n"/>
      <c r="K450" s="92" t="n"/>
      <c r="L450" s="92" t="n"/>
      <c r="M450" s="92" t="n"/>
      <c r="N450" s="92" t="n"/>
      <c r="O450" s="92" t="n"/>
      <c r="P450" s="92" t="n"/>
      <c r="Q450" s="92" t="n"/>
      <c r="R450" s="92" t="n"/>
      <c r="S450" s="92" t="n"/>
      <c r="T450" s="92" t="n"/>
      <c r="U450" s="92" t="n"/>
      <c r="V450" s="92" t="n"/>
      <c r="W450" s="92" t="n"/>
      <c r="X450" s="92" t="n"/>
      <c r="Y450" s="92" t="n"/>
      <c r="Z450" s="92" t="n"/>
      <c r="AA450" s="92" t="n"/>
      <c r="AB450" s="92" t="n"/>
      <c r="AC450" s="92" t="n"/>
      <c r="AD450" s="92" t="n"/>
      <c r="AE450" s="92" t="n"/>
      <c r="AF450" s="92" t="n"/>
      <c r="AG450" s="92" t="n"/>
      <c r="AH450" s="92" t="n"/>
      <c r="AI450" s="92" t="n"/>
      <c r="AJ450" s="92" t="n"/>
      <c r="AK450" s="92" t="n"/>
      <c r="AL450" s="92" t="n"/>
      <c r="AM450" s="92" t="n"/>
      <c r="AN450" s="92" t="n"/>
      <c r="AO450" s="92" t="n"/>
      <c r="AP450" s="92" t="n"/>
      <c r="AQ450" s="92" t="n"/>
      <c r="AR450" s="92" t="n"/>
      <c r="AS450" s="92" t="n"/>
      <c r="AT450" s="92" t="n"/>
      <c r="AU450" s="92" t="n"/>
      <c r="AV450" s="92" t="n"/>
      <c r="AX450" s="139" t="inlineStr"/>
      <c r="AY450" s="139" t="inlineStr"/>
    </row>
    <row r="451" ht="16.5" customFormat="1" customHeight="1" s="56">
      <c r="A451" s="92" t="n"/>
      <c r="B451" s="92" t="n"/>
      <c r="C451" s="92" t="n"/>
      <c r="D451" s="92" t="n"/>
      <c r="E451" s="92" t="n"/>
      <c r="F451" s="92" t="n"/>
      <c r="G451" s="92" t="n"/>
      <c r="H451" s="92" t="n"/>
      <c r="I451" s="92" t="n"/>
      <c r="J451" s="92" t="n"/>
      <c r="K451" s="92" t="n"/>
      <c r="L451" s="92" t="n"/>
      <c r="M451" s="92" t="n"/>
      <c r="N451" s="92" t="n"/>
      <c r="O451" s="92" t="n"/>
      <c r="P451" s="92" t="n"/>
      <c r="Q451" s="92" t="n"/>
      <c r="R451" s="92" t="n"/>
      <c r="S451" s="92" t="n"/>
      <c r="T451" s="92" t="n"/>
      <c r="U451" s="92" t="n"/>
      <c r="V451" s="92" t="n"/>
      <c r="W451" s="92" t="n"/>
      <c r="X451" s="92" t="n"/>
      <c r="Y451" s="92" t="n"/>
      <c r="Z451" s="92" t="n"/>
      <c r="AA451" s="92" t="n"/>
      <c r="AB451" s="92" t="n"/>
      <c r="AC451" s="92" t="n"/>
      <c r="AD451" s="92" t="n"/>
      <c r="AE451" s="92" t="n"/>
      <c r="AF451" s="92" t="n"/>
      <c r="AG451" s="92" t="n"/>
      <c r="AH451" s="92" t="n"/>
      <c r="AI451" s="92" t="n"/>
      <c r="AJ451" s="92" t="n"/>
      <c r="AK451" s="92" t="n"/>
      <c r="AL451" s="92" t="n"/>
      <c r="AM451" s="92" t="n"/>
      <c r="AN451" s="92" t="n"/>
      <c r="AO451" s="92" t="n"/>
      <c r="AP451" s="92" t="n"/>
      <c r="AQ451" s="92" t="n"/>
      <c r="AR451" s="92" t="n"/>
      <c r="AS451" s="92" t="n"/>
      <c r="AT451" s="92" t="n"/>
      <c r="AU451" s="92" t="n"/>
      <c r="AV451" s="92" t="n"/>
      <c r="AX451" s="139" t="inlineStr"/>
      <c r="AY451" s="139" t="inlineStr"/>
    </row>
    <row r="452" ht="16.5" customFormat="1" customHeight="1" s="56">
      <c r="A452" s="92" t="n"/>
      <c r="B452" s="92" t="n"/>
      <c r="C452" s="92" t="n"/>
      <c r="D452" s="92" t="n"/>
      <c r="E452" s="92" t="n"/>
      <c r="F452" s="92" t="n"/>
      <c r="G452" s="92" t="n"/>
      <c r="H452" s="92" t="n"/>
      <c r="I452" s="92" t="n"/>
      <c r="J452" s="92" t="n"/>
      <c r="K452" s="92" t="n"/>
      <c r="L452" s="92" t="n"/>
      <c r="M452" s="92" t="n"/>
      <c r="N452" s="92" t="n"/>
      <c r="O452" s="92" t="n"/>
      <c r="P452" s="92" t="n"/>
      <c r="Q452" s="92" t="n"/>
      <c r="R452" s="92" t="n"/>
      <c r="S452" s="92" t="n"/>
      <c r="T452" s="92" t="n"/>
      <c r="U452" s="92" t="n"/>
      <c r="V452" s="92" t="n"/>
      <c r="W452" s="92" t="n"/>
      <c r="X452" s="92" t="n"/>
      <c r="Y452" s="92" t="n"/>
      <c r="Z452" s="92" t="n"/>
      <c r="AA452" s="92" t="n"/>
      <c r="AB452" s="92" t="n"/>
      <c r="AC452" s="92" t="n"/>
      <c r="AD452" s="92" t="n"/>
      <c r="AE452" s="92" t="n"/>
      <c r="AF452" s="92" t="n"/>
      <c r="AG452" s="92" t="n"/>
      <c r="AH452" s="92" t="n"/>
      <c r="AI452" s="92" t="n"/>
      <c r="AJ452" s="92" t="n"/>
      <c r="AK452" s="92" t="n"/>
      <c r="AL452" s="92" t="n"/>
      <c r="AM452" s="92" t="n"/>
      <c r="AN452" s="92" t="n"/>
      <c r="AO452" s="92" t="n"/>
      <c r="AP452" s="92" t="n"/>
      <c r="AQ452" s="92" t="n"/>
      <c r="AR452" s="92" t="n"/>
      <c r="AS452" s="92" t="n"/>
      <c r="AT452" s="92" t="n"/>
      <c r="AU452" s="92" t="n"/>
      <c r="AV452" s="92" t="n"/>
      <c r="AX452" s="139" t="inlineStr"/>
      <c r="AY452" s="139" t="inlineStr"/>
    </row>
    <row r="453" ht="16.5" customFormat="1" customHeight="1" s="56">
      <c r="A453" s="92" t="n"/>
      <c r="B453" s="92" t="n"/>
      <c r="C453" s="92" t="n"/>
      <c r="D453" s="92" t="n"/>
      <c r="E453" s="92" t="n"/>
      <c r="F453" s="92" t="n"/>
      <c r="G453" s="92" t="n"/>
      <c r="H453" s="92" t="n"/>
      <c r="I453" s="92" t="n"/>
      <c r="J453" s="92" t="n"/>
      <c r="K453" s="92" t="n"/>
      <c r="L453" s="92" t="n"/>
      <c r="M453" s="92" t="n"/>
      <c r="N453" s="92" t="n"/>
      <c r="O453" s="92" t="n"/>
      <c r="P453" s="92" t="n"/>
      <c r="Q453" s="92" t="n"/>
      <c r="R453" s="92" t="n"/>
      <c r="S453" s="92" t="n"/>
      <c r="T453" s="92" t="n"/>
      <c r="U453" s="92" t="n"/>
      <c r="V453" s="92" t="n"/>
      <c r="W453" s="92" t="n"/>
      <c r="X453" s="92" t="n"/>
      <c r="Y453" s="92" t="n"/>
      <c r="Z453" s="92" t="n"/>
      <c r="AA453" s="92" t="n"/>
      <c r="AB453" s="92" t="n"/>
      <c r="AC453" s="92" t="n"/>
      <c r="AD453" s="92" t="n"/>
      <c r="AE453" s="92" t="n"/>
      <c r="AF453" s="92" t="n"/>
      <c r="AG453" s="92" t="n"/>
      <c r="AH453" s="92" t="n"/>
      <c r="AI453" s="92" t="n"/>
      <c r="AJ453" s="92" t="n"/>
      <c r="AK453" s="92" t="n"/>
      <c r="AL453" s="92" t="n"/>
      <c r="AM453" s="92" t="n"/>
      <c r="AN453" s="92" t="n"/>
      <c r="AO453" s="92" t="n"/>
      <c r="AP453" s="92" t="n"/>
      <c r="AQ453" s="92" t="n"/>
      <c r="AR453" s="92" t="n"/>
      <c r="AS453" s="92" t="n"/>
      <c r="AT453" s="92" t="n"/>
      <c r="AU453" s="92" t="n"/>
      <c r="AV453" s="92" t="n"/>
      <c r="AX453" s="139" t="inlineStr"/>
      <c r="AY453" s="139" t="inlineStr"/>
    </row>
    <row r="454" ht="16.5" customFormat="1" customHeight="1" s="56">
      <c r="A454" s="92" t="n"/>
      <c r="B454" s="92" t="n"/>
      <c r="C454" s="92" t="n"/>
      <c r="D454" s="92" t="n"/>
      <c r="E454" s="92" t="n"/>
      <c r="F454" s="92" t="n"/>
      <c r="G454" s="92" t="n"/>
      <c r="H454" s="92" t="n"/>
      <c r="I454" s="92" t="n"/>
      <c r="J454" s="92" t="n"/>
      <c r="K454" s="92" t="n"/>
      <c r="L454" s="92" t="n"/>
      <c r="M454" s="92" t="n"/>
      <c r="N454" s="92" t="n"/>
      <c r="O454" s="92" t="n"/>
      <c r="P454" s="92" t="n"/>
      <c r="Q454" s="92" t="n"/>
      <c r="R454" s="92" t="n"/>
      <c r="S454" s="92" t="n"/>
      <c r="T454" s="92" t="n"/>
      <c r="U454" s="92" t="n"/>
      <c r="V454" s="92" t="n"/>
      <c r="W454" s="92" t="n"/>
      <c r="X454" s="92" t="n"/>
      <c r="Y454" s="92" t="n"/>
      <c r="Z454" s="92" t="n"/>
      <c r="AA454" s="92" t="n"/>
      <c r="AB454" s="92" t="n"/>
      <c r="AC454" s="92" t="n"/>
      <c r="AD454" s="92" t="n"/>
      <c r="AE454" s="92" t="n"/>
      <c r="AF454" s="92" t="n"/>
      <c r="AG454" s="92" t="n"/>
      <c r="AH454" s="92" t="n"/>
      <c r="AI454" s="92" t="n"/>
      <c r="AJ454" s="92" t="n"/>
      <c r="AK454" s="92" t="n"/>
      <c r="AL454" s="92" t="n"/>
      <c r="AM454" s="92" t="n"/>
      <c r="AN454" s="92" t="n"/>
      <c r="AO454" s="92" t="n"/>
      <c r="AP454" s="92" t="n"/>
      <c r="AQ454" s="92" t="n"/>
      <c r="AR454" s="92" t="n"/>
      <c r="AS454" s="92" t="n"/>
      <c r="AT454" s="92" t="n"/>
      <c r="AU454" s="92" t="n"/>
      <c r="AV454" s="92" t="n"/>
      <c r="AX454" s="139" t="inlineStr"/>
      <c r="AY454" s="139" t="inlineStr"/>
    </row>
    <row r="455" ht="16.5" customFormat="1" customHeight="1" s="56">
      <c r="A455" s="92" t="n"/>
      <c r="B455" s="92" t="n"/>
      <c r="C455" s="92" t="n"/>
      <c r="D455" s="92" t="n"/>
      <c r="E455" s="92" t="n"/>
      <c r="F455" s="92" t="n"/>
      <c r="G455" s="92" t="n"/>
      <c r="H455" s="92" t="n"/>
      <c r="I455" s="92" t="n"/>
      <c r="J455" s="92" t="n"/>
      <c r="K455" s="92" t="n"/>
      <c r="L455" s="92" t="n"/>
      <c r="M455" s="92" t="n"/>
      <c r="N455" s="92" t="n"/>
      <c r="O455" s="92" t="n"/>
      <c r="P455" s="92" t="n"/>
      <c r="Q455" s="92" t="n"/>
      <c r="R455" s="92" t="n"/>
      <c r="S455" s="92" t="n"/>
      <c r="T455" s="92" t="n"/>
      <c r="U455" s="92" t="n"/>
      <c r="V455" s="92" t="n"/>
      <c r="W455" s="92" t="n"/>
      <c r="X455" s="92" t="n"/>
      <c r="Y455" s="92" t="n"/>
      <c r="Z455" s="92" t="n"/>
      <c r="AA455" s="92" t="n"/>
      <c r="AB455" s="92" t="n"/>
      <c r="AC455" s="92" t="n"/>
      <c r="AD455" s="92" t="n"/>
      <c r="AE455" s="92" t="n"/>
      <c r="AF455" s="92" t="n"/>
      <c r="AG455" s="92" t="n"/>
      <c r="AH455" s="92" t="n"/>
      <c r="AI455" s="92" t="n"/>
      <c r="AJ455" s="92" t="n"/>
      <c r="AK455" s="92" t="n"/>
      <c r="AL455" s="92" t="n"/>
      <c r="AM455" s="92" t="n"/>
      <c r="AN455" s="92" t="n"/>
      <c r="AO455" s="92" t="n"/>
      <c r="AP455" s="92" t="n"/>
      <c r="AQ455" s="92" t="n"/>
      <c r="AR455" s="92" t="n"/>
      <c r="AS455" s="92" t="n"/>
      <c r="AT455" s="92" t="n"/>
      <c r="AU455" s="92" t="n"/>
      <c r="AV455" s="92" t="n"/>
      <c r="AX455" s="139" t="inlineStr"/>
      <c r="AY455" s="139" t="inlineStr"/>
    </row>
    <row r="456" ht="16.5" customFormat="1" customHeight="1" s="56">
      <c r="A456" s="92" t="n"/>
      <c r="B456" s="92" t="n"/>
      <c r="C456" s="92" t="n"/>
      <c r="D456" s="92" t="n"/>
      <c r="E456" s="92" t="n"/>
      <c r="F456" s="92" t="n"/>
      <c r="G456" s="92" t="n"/>
      <c r="H456" s="92" t="n"/>
      <c r="I456" s="92" t="n"/>
      <c r="J456" s="92" t="n"/>
      <c r="K456" s="92" t="n"/>
      <c r="L456" s="92" t="n"/>
      <c r="M456" s="92" t="n"/>
      <c r="N456" s="92" t="n"/>
      <c r="O456" s="92" t="n"/>
      <c r="P456" s="92" t="n"/>
      <c r="Q456" s="92" t="n"/>
      <c r="R456" s="92" t="n"/>
      <c r="S456" s="92" t="n"/>
      <c r="T456" s="92" t="n"/>
      <c r="U456" s="92" t="n"/>
      <c r="V456" s="92" t="n"/>
      <c r="W456" s="92" t="n"/>
      <c r="X456" s="92" t="n"/>
      <c r="Y456" s="92" t="n"/>
      <c r="Z456" s="92" t="n"/>
      <c r="AA456" s="92" t="n"/>
      <c r="AB456" s="92" t="n"/>
      <c r="AC456" s="92" t="n"/>
      <c r="AD456" s="92" t="n"/>
      <c r="AE456" s="92" t="n"/>
      <c r="AF456" s="92" t="n"/>
      <c r="AG456" s="92" t="n"/>
      <c r="AH456" s="92" t="n"/>
      <c r="AI456" s="92" t="n"/>
      <c r="AJ456" s="92" t="n"/>
      <c r="AK456" s="92" t="n"/>
      <c r="AL456" s="92" t="n"/>
      <c r="AM456" s="92" t="n"/>
      <c r="AN456" s="92" t="n"/>
      <c r="AO456" s="92" t="n"/>
      <c r="AP456" s="92" t="n"/>
      <c r="AQ456" s="92" t="n"/>
      <c r="AR456" s="92" t="n"/>
      <c r="AS456" s="92" t="n"/>
      <c r="AT456" s="92" t="n"/>
      <c r="AU456" s="92" t="n"/>
      <c r="AV456" s="92" t="n"/>
      <c r="AX456" s="139" t="inlineStr"/>
      <c r="AY456" s="139" t="inlineStr"/>
    </row>
    <row r="457" ht="16.5" customFormat="1" customHeight="1" s="56">
      <c r="A457" s="92" t="n"/>
      <c r="B457" s="92" t="n"/>
      <c r="C457" s="92" t="n"/>
      <c r="D457" s="92" t="n"/>
      <c r="E457" s="92" t="n"/>
      <c r="F457" s="92" t="n"/>
      <c r="G457" s="92" t="n"/>
      <c r="H457" s="92" t="n"/>
      <c r="I457" s="92" t="n"/>
      <c r="J457" s="92" t="n"/>
      <c r="K457" s="92" t="n"/>
      <c r="L457" s="92" t="n"/>
      <c r="M457" s="92" t="n"/>
      <c r="N457" s="92" t="n"/>
      <c r="O457" s="92" t="n"/>
      <c r="P457" s="92" t="n"/>
      <c r="Q457" s="92" t="n"/>
      <c r="R457" s="92" t="n"/>
      <c r="S457" s="92" t="n"/>
      <c r="T457" s="92" t="n"/>
      <c r="U457" s="92" t="n"/>
      <c r="V457" s="92" t="n"/>
      <c r="W457" s="92" t="n"/>
      <c r="X457" s="92" t="n"/>
      <c r="Y457" s="92" t="n"/>
      <c r="Z457" s="92" t="n"/>
      <c r="AA457" s="92" t="n"/>
      <c r="AB457" s="92" t="n"/>
      <c r="AC457" s="92" t="n"/>
      <c r="AD457" s="92" t="n"/>
      <c r="AE457" s="92" t="n"/>
      <c r="AF457" s="92" t="n"/>
      <c r="AG457" s="92" t="n"/>
      <c r="AH457" s="92" t="n"/>
      <c r="AI457" s="92" t="n"/>
      <c r="AJ457" s="92" t="n"/>
      <c r="AK457" s="92" t="n"/>
      <c r="AL457" s="92" t="n"/>
      <c r="AM457" s="92" t="n"/>
      <c r="AN457" s="92" t="n"/>
      <c r="AO457" s="92" t="n"/>
      <c r="AP457" s="92" t="n"/>
      <c r="AQ457" s="92" t="n"/>
      <c r="AR457" s="92" t="n"/>
      <c r="AS457" s="92" t="n"/>
      <c r="AT457" s="92" t="n"/>
      <c r="AU457" s="92" t="n"/>
      <c r="AV457" s="92" t="n"/>
      <c r="AX457" s="139" t="inlineStr"/>
      <c r="AY457" s="139" t="inlineStr"/>
    </row>
    <row r="458" ht="16.5" customFormat="1" customHeight="1" s="56">
      <c r="A458" s="92" t="n"/>
      <c r="B458" s="92" t="n"/>
      <c r="C458" s="92" t="n"/>
      <c r="D458" s="92" t="n"/>
      <c r="E458" s="92" t="n"/>
      <c r="F458" s="92" t="n"/>
      <c r="G458" s="92" t="n"/>
      <c r="H458" s="92" t="n"/>
      <c r="I458" s="92" t="n"/>
      <c r="J458" s="92" t="n"/>
      <c r="K458" s="92" t="n"/>
      <c r="L458" s="92" t="n"/>
      <c r="M458" s="92" t="n"/>
      <c r="N458" s="92" t="n"/>
      <c r="O458" s="92" t="n"/>
      <c r="P458" s="92" t="n"/>
      <c r="Q458" s="92" t="n"/>
      <c r="R458" s="92" t="n"/>
      <c r="S458" s="92" t="n"/>
      <c r="T458" s="92" t="n"/>
      <c r="U458" s="92" t="n"/>
      <c r="V458" s="92" t="n"/>
      <c r="W458" s="92" t="n"/>
      <c r="X458" s="92" t="n"/>
      <c r="Y458" s="92" t="n"/>
      <c r="Z458" s="92" t="n"/>
      <c r="AA458" s="92" t="n"/>
      <c r="AB458" s="92" t="n"/>
      <c r="AC458" s="92" t="n"/>
      <c r="AD458" s="92" t="n"/>
      <c r="AE458" s="92" t="n"/>
      <c r="AF458" s="92" t="n"/>
      <c r="AG458" s="92" t="n"/>
      <c r="AH458" s="92" t="n"/>
      <c r="AI458" s="92" t="n"/>
      <c r="AJ458" s="92" t="n"/>
      <c r="AK458" s="92" t="n"/>
      <c r="AL458" s="92" t="n"/>
      <c r="AM458" s="92" t="n"/>
      <c r="AN458" s="92" t="n"/>
      <c r="AO458" s="92" t="n"/>
      <c r="AP458" s="92" t="n"/>
      <c r="AQ458" s="92" t="n"/>
      <c r="AR458" s="92" t="n"/>
      <c r="AS458" s="92" t="n"/>
      <c r="AT458" s="92" t="n"/>
      <c r="AU458" s="92" t="n"/>
      <c r="AV458" s="92" t="n"/>
      <c r="AX458" s="139" t="inlineStr"/>
      <c r="AY458" s="139" t="inlineStr"/>
    </row>
    <row r="459" ht="16.5" customFormat="1" customHeight="1" s="56">
      <c r="A459" s="92" t="n"/>
      <c r="B459" s="92" t="n"/>
      <c r="C459" s="92" t="n"/>
      <c r="D459" s="92" t="n"/>
      <c r="E459" s="92" t="n"/>
      <c r="F459" s="92" t="n"/>
      <c r="G459" s="92" t="n"/>
      <c r="H459" s="92" t="n"/>
      <c r="I459" s="92" t="n"/>
      <c r="J459" s="92" t="n"/>
      <c r="K459" s="92" t="n"/>
      <c r="L459" s="92" t="n"/>
      <c r="M459" s="92" t="n"/>
      <c r="N459" s="92" t="n"/>
      <c r="O459" s="92" t="n"/>
      <c r="P459" s="92" t="n"/>
      <c r="Q459" s="92" t="n"/>
      <c r="R459" s="92" t="n"/>
      <c r="S459" s="92" t="n"/>
      <c r="T459" s="92" t="n"/>
      <c r="U459" s="92" t="n"/>
      <c r="V459" s="92" t="n"/>
      <c r="W459" s="92" t="n"/>
      <c r="X459" s="92" t="n"/>
      <c r="Y459" s="92" t="n"/>
      <c r="Z459" s="92" t="n"/>
      <c r="AA459" s="92" t="n"/>
      <c r="AB459" s="92" t="n"/>
      <c r="AC459" s="92" t="n"/>
      <c r="AD459" s="92" t="n"/>
      <c r="AE459" s="92" t="n"/>
      <c r="AF459" s="92" t="n"/>
      <c r="AG459" s="92" t="n"/>
      <c r="AH459" s="92" t="n"/>
      <c r="AI459" s="92" t="n"/>
      <c r="AJ459" s="92" t="n"/>
      <c r="AK459" s="92" t="n"/>
      <c r="AL459" s="92" t="n"/>
      <c r="AM459" s="92" t="n"/>
      <c r="AN459" s="92" t="n"/>
      <c r="AO459" s="92" t="n"/>
      <c r="AP459" s="92" t="n"/>
      <c r="AQ459" s="92" t="n"/>
      <c r="AR459" s="92" t="n"/>
      <c r="AS459" s="92" t="n"/>
      <c r="AT459" s="92" t="n"/>
      <c r="AU459" s="92" t="n"/>
      <c r="AV459" s="92" t="n"/>
      <c r="AX459" s="139" t="inlineStr"/>
      <c r="AY459" s="139" t="inlineStr"/>
    </row>
    <row r="460" ht="16.5" customFormat="1" customHeight="1" s="56">
      <c r="A460" s="92" t="n"/>
      <c r="B460" s="92" t="n"/>
      <c r="C460" s="92" t="n"/>
      <c r="D460" s="92" t="n"/>
      <c r="E460" s="92" t="n"/>
      <c r="F460" s="92" t="n"/>
      <c r="G460" s="92" t="n"/>
      <c r="H460" s="92" t="n"/>
      <c r="I460" s="92" t="n"/>
      <c r="J460" s="92" t="n"/>
      <c r="K460" s="92" t="n"/>
      <c r="L460" s="92" t="n"/>
      <c r="M460" s="92" t="n"/>
      <c r="N460" s="92" t="n"/>
      <c r="O460" s="92" t="n"/>
      <c r="P460" s="92" t="n"/>
      <c r="Q460" s="92" t="n"/>
      <c r="R460" s="92" t="n"/>
      <c r="S460" s="92" t="n"/>
      <c r="T460" s="92" t="n"/>
      <c r="U460" s="92" t="n"/>
      <c r="V460" s="92" t="n"/>
      <c r="W460" s="92" t="n"/>
      <c r="X460" s="92" t="n"/>
      <c r="Y460" s="92" t="n"/>
      <c r="Z460" s="92" t="n"/>
      <c r="AA460" s="92" t="n"/>
      <c r="AB460" s="92" t="n"/>
      <c r="AC460" s="92" t="n"/>
      <c r="AD460" s="92" t="n"/>
      <c r="AE460" s="92" t="n"/>
      <c r="AF460" s="92" t="n"/>
      <c r="AG460" s="92" t="n"/>
      <c r="AH460" s="92" t="n"/>
      <c r="AI460" s="92" t="n"/>
      <c r="AJ460" s="92" t="n"/>
      <c r="AK460" s="92" t="n"/>
      <c r="AL460" s="92" t="n"/>
      <c r="AM460" s="92" t="n"/>
      <c r="AN460" s="92" t="n"/>
      <c r="AO460" s="92" t="n"/>
      <c r="AP460" s="92" t="n"/>
      <c r="AQ460" s="92" t="n"/>
      <c r="AR460" s="92" t="n"/>
      <c r="AS460" s="92" t="n"/>
      <c r="AT460" s="92" t="n"/>
      <c r="AU460" s="92" t="n"/>
      <c r="AV460" s="92" t="n"/>
      <c r="AX460" s="139" t="inlineStr"/>
      <c r="AY460" s="139" t="inlineStr"/>
    </row>
    <row r="461" ht="16.5" customFormat="1" customHeight="1" s="56">
      <c r="A461" s="92" t="n"/>
      <c r="B461" s="92" t="n"/>
      <c r="C461" s="92" t="n"/>
      <c r="D461" s="92" t="n"/>
      <c r="E461" s="92" t="n"/>
      <c r="F461" s="92" t="n"/>
      <c r="G461" s="92" t="n"/>
      <c r="H461" s="92" t="n"/>
      <c r="I461" s="92" t="n"/>
      <c r="J461" s="92" t="n"/>
      <c r="K461" s="92" t="n"/>
      <c r="L461" s="92" t="n"/>
      <c r="M461" s="92" t="n"/>
      <c r="N461" s="92" t="n"/>
      <c r="O461" s="92" t="n"/>
      <c r="P461" s="92" t="n"/>
      <c r="Q461" s="92" t="n"/>
      <c r="R461" s="92" t="n"/>
      <c r="S461" s="92" t="n"/>
      <c r="T461" s="92" t="n"/>
      <c r="U461" s="92" t="n"/>
      <c r="V461" s="92" t="n"/>
      <c r="W461" s="92" t="n"/>
      <c r="X461" s="92" t="n"/>
      <c r="Y461" s="92" t="n"/>
      <c r="Z461" s="92" t="n"/>
      <c r="AA461" s="92" t="n"/>
      <c r="AB461" s="92" t="n"/>
      <c r="AC461" s="92" t="n"/>
      <c r="AD461" s="92" t="n"/>
      <c r="AE461" s="92" t="n"/>
      <c r="AF461" s="92" t="n"/>
      <c r="AG461" s="92" t="n"/>
      <c r="AH461" s="92" t="n"/>
      <c r="AI461" s="92" t="n"/>
      <c r="AJ461" s="92" t="n"/>
      <c r="AK461" s="92" t="n"/>
      <c r="AL461" s="92" t="n"/>
      <c r="AM461" s="92" t="n"/>
      <c r="AN461" s="92" t="n"/>
      <c r="AO461" s="92" t="n"/>
      <c r="AP461" s="92" t="n"/>
      <c r="AQ461" s="92" t="n"/>
      <c r="AR461" s="92" t="n"/>
      <c r="AS461" s="92" t="n"/>
      <c r="AT461" s="92" t="n"/>
      <c r="AU461" s="92" t="n"/>
      <c r="AV461" s="92" t="n"/>
      <c r="AX461" s="139" t="inlineStr"/>
      <c r="AY461" s="139" t="inlineStr"/>
    </row>
    <row r="462" ht="16.5" customFormat="1" customHeight="1" s="56">
      <c r="A462" s="92" t="n"/>
      <c r="B462" s="92" t="n"/>
      <c r="C462" s="92" t="n"/>
      <c r="D462" s="92" t="n"/>
      <c r="E462" s="92" t="n"/>
      <c r="F462" s="92" t="n"/>
      <c r="G462" s="92" t="n"/>
      <c r="H462" s="92" t="n"/>
      <c r="I462" s="92" t="n"/>
      <c r="J462" s="92" t="n"/>
      <c r="K462" s="92" t="n"/>
      <c r="L462" s="92" t="n"/>
      <c r="M462" s="92" t="n"/>
      <c r="N462" s="92" t="n"/>
      <c r="O462" s="92" t="n"/>
      <c r="P462" s="92" t="n"/>
      <c r="Q462" s="92" t="n"/>
      <c r="R462" s="92" t="n"/>
      <c r="S462" s="92" t="n"/>
      <c r="T462" s="92" t="n"/>
      <c r="U462" s="92" t="n"/>
      <c r="V462" s="92" t="n"/>
      <c r="W462" s="92" t="n"/>
      <c r="X462" s="92" t="n"/>
      <c r="Y462" s="92" t="n"/>
      <c r="Z462" s="92" t="n"/>
      <c r="AA462" s="92" t="n"/>
      <c r="AB462" s="92" t="n"/>
      <c r="AC462" s="92" t="n"/>
      <c r="AD462" s="92" t="n"/>
      <c r="AE462" s="92" t="n"/>
      <c r="AF462" s="92" t="n"/>
      <c r="AG462" s="92" t="n"/>
      <c r="AH462" s="92" t="n"/>
      <c r="AI462" s="92" t="n"/>
      <c r="AJ462" s="92" t="n"/>
      <c r="AK462" s="92" t="n"/>
      <c r="AL462" s="92" t="n"/>
      <c r="AM462" s="92" t="n"/>
      <c r="AN462" s="92" t="n"/>
      <c r="AO462" s="92" t="n"/>
      <c r="AP462" s="92" t="n"/>
      <c r="AQ462" s="92" t="n"/>
      <c r="AR462" s="92" t="n"/>
      <c r="AS462" s="92" t="n"/>
      <c r="AT462" s="92" t="n"/>
      <c r="AU462" s="92" t="n"/>
      <c r="AV462" s="92" t="n"/>
      <c r="AX462" s="139" t="inlineStr"/>
      <c r="AY462" s="139" t="inlineStr"/>
    </row>
    <row r="463" ht="16.5" customFormat="1" customHeight="1" s="56">
      <c r="A463" s="92" t="n"/>
      <c r="B463" s="92" t="n"/>
      <c r="C463" s="92" t="n"/>
      <c r="D463" s="92" t="n"/>
      <c r="E463" s="92" t="n"/>
      <c r="F463" s="92" t="n"/>
      <c r="G463" s="92" t="n"/>
      <c r="H463" s="92" t="n"/>
      <c r="I463" s="92" t="n"/>
      <c r="J463" s="92" t="n"/>
      <c r="K463" s="92" t="n"/>
      <c r="L463" s="92" t="n"/>
      <c r="M463" s="92" t="n"/>
      <c r="N463" s="92" t="n"/>
      <c r="O463" s="92" t="n"/>
      <c r="P463" s="92" t="n"/>
      <c r="Q463" s="92" t="n"/>
      <c r="R463" s="92" t="n"/>
      <c r="S463" s="92" t="n"/>
      <c r="T463" s="92" t="n"/>
      <c r="U463" s="92" t="n"/>
      <c r="V463" s="92" t="n"/>
      <c r="W463" s="92" t="n"/>
      <c r="X463" s="92" t="n"/>
      <c r="Y463" s="92" t="n"/>
      <c r="Z463" s="92" t="n"/>
      <c r="AA463" s="92" t="n"/>
      <c r="AB463" s="92" t="n"/>
      <c r="AC463" s="92" t="n"/>
      <c r="AD463" s="92" t="n"/>
      <c r="AE463" s="92" t="n"/>
      <c r="AF463" s="92" t="n"/>
      <c r="AG463" s="92" t="n"/>
      <c r="AH463" s="92" t="n"/>
      <c r="AI463" s="92" t="n"/>
      <c r="AJ463" s="92" t="n"/>
      <c r="AK463" s="92" t="n"/>
      <c r="AL463" s="92" t="n"/>
      <c r="AM463" s="92" t="n"/>
      <c r="AN463" s="92" t="n"/>
      <c r="AO463" s="92" t="n"/>
      <c r="AP463" s="92" t="n"/>
      <c r="AQ463" s="92" t="n"/>
      <c r="AR463" s="92" t="n"/>
      <c r="AS463" s="92" t="n"/>
      <c r="AT463" s="92" t="n"/>
      <c r="AU463" s="92" t="n"/>
      <c r="AV463" s="92" t="n"/>
      <c r="AX463" s="139" t="inlineStr"/>
      <c r="AY463" s="139" t="inlineStr"/>
    </row>
    <row r="464" ht="16.5" customFormat="1" customHeight="1" s="56">
      <c r="A464" s="92" t="n"/>
      <c r="B464" s="92" t="n"/>
      <c r="C464" s="92" t="n"/>
      <c r="D464" s="92" t="n"/>
      <c r="E464" s="92" t="n"/>
      <c r="F464" s="92" t="n"/>
      <c r="G464" s="92" t="n"/>
      <c r="H464" s="92" t="n"/>
      <c r="I464" s="92" t="n"/>
      <c r="J464" s="92" t="n"/>
      <c r="K464" s="92" t="n"/>
      <c r="L464" s="92" t="n"/>
      <c r="M464" s="92" t="n"/>
      <c r="N464" s="92" t="n"/>
      <c r="O464" s="92" t="n"/>
      <c r="P464" s="92" t="n"/>
      <c r="Q464" s="92" t="n"/>
      <c r="R464" s="92" t="n"/>
      <c r="S464" s="92" t="n"/>
      <c r="T464" s="92" t="n"/>
      <c r="U464" s="92" t="n"/>
      <c r="V464" s="92" t="n"/>
      <c r="W464" s="92" t="n"/>
      <c r="X464" s="92" t="n"/>
      <c r="Y464" s="92" t="n"/>
      <c r="Z464" s="92" t="n"/>
      <c r="AA464" s="92" t="n"/>
      <c r="AB464" s="92" t="n"/>
      <c r="AC464" s="92" t="n"/>
      <c r="AD464" s="92" t="n"/>
      <c r="AE464" s="92" t="n"/>
      <c r="AF464" s="92" t="n"/>
      <c r="AG464" s="92" t="n"/>
      <c r="AH464" s="92" t="n"/>
      <c r="AI464" s="92" t="n"/>
      <c r="AJ464" s="92" t="n"/>
      <c r="AK464" s="92" t="n"/>
      <c r="AL464" s="92" t="n"/>
      <c r="AM464" s="92" t="n"/>
      <c r="AN464" s="92" t="n"/>
      <c r="AO464" s="92" t="n"/>
      <c r="AP464" s="92" t="n"/>
      <c r="AQ464" s="92" t="n"/>
      <c r="AR464" s="92" t="n"/>
      <c r="AS464" s="92" t="n"/>
      <c r="AT464" s="92" t="n"/>
      <c r="AU464" s="92" t="n"/>
      <c r="AV464" s="92" t="n"/>
      <c r="AX464" s="139" t="inlineStr"/>
      <c r="AY464" s="139" t="inlineStr"/>
      <c r="AZ464" s="139" t="n"/>
      <c r="BA464" s="113" t="inlineStr">
        <is>
          <t>20평대</t>
        </is>
      </c>
      <c r="BB464" s="140" t="n">
        <v>0</v>
      </c>
      <c r="BC464" s="140" t="n">
        <v>0</v>
      </c>
      <c r="BD464" s="140" t="n">
        <v>0</v>
      </c>
      <c r="BE464" s="140" t="n">
        <v>0</v>
      </c>
      <c r="BF464" s="140" t="n">
        <v>0</v>
      </c>
    </row>
    <row r="465" ht="16.5" customFormat="1" customHeight="1" s="56">
      <c r="A465" s="92" t="n"/>
      <c r="B465" s="92" t="n"/>
      <c r="C465" s="92" t="n"/>
      <c r="D465" s="92" t="n"/>
      <c r="E465" s="92" t="n"/>
      <c r="F465" s="92" t="n"/>
      <c r="G465" s="92" t="n"/>
      <c r="H465" s="92" t="n"/>
      <c r="I465" s="92" t="n"/>
      <c r="J465" s="92" t="n"/>
      <c r="K465" s="92" t="n"/>
      <c r="L465" s="92" t="n"/>
      <c r="M465" s="92" t="n"/>
      <c r="N465" s="92" t="n"/>
      <c r="O465" s="92" t="n"/>
      <c r="P465" s="92" t="n"/>
      <c r="Q465" s="92" t="n"/>
      <c r="R465" s="92" t="n"/>
      <c r="S465" s="92" t="n"/>
      <c r="T465" s="92" t="n"/>
      <c r="U465" s="92" t="n"/>
      <c r="V465" s="92" t="n"/>
      <c r="W465" s="92" t="n"/>
      <c r="X465" s="92" t="n"/>
      <c r="Y465" s="92" t="n"/>
      <c r="Z465" s="92" t="n"/>
      <c r="AA465" s="92" t="n"/>
      <c r="AB465" s="92" t="n"/>
      <c r="AC465" s="92" t="n"/>
      <c r="AD465" s="92" t="n"/>
      <c r="AE465" s="92" t="n"/>
      <c r="AF465" s="92" t="n"/>
      <c r="AG465" s="92" t="n"/>
      <c r="AH465" s="92" t="n"/>
      <c r="AI465" s="92" t="n"/>
      <c r="AJ465" s="92" t="n"/>
      <c r="AK465" s="92" t="n"/>
      <c r="AL465" s="92" t="n"/>
      <c r="AM465" s="92" t="n"/>
      <c r="AN465" s="92" t="n"/>
      <c r="AO465" s="92" t="n"/>
      <c r="AP465" s="92" t="n"/>
      <c r="AQ465" s="92" t="n"/>
      <c r="AR465" s="92" t="n"/>
      <c r="AS465" s="92" t="n"/>
      <c r="AT465" s="92" t="n"/>
      <c r="AU465" s="92" t="n"/>
      <c r="AV465" s="92" t="n"/>
      <c r="AX465" s="139" t="inlineStr"/>
      <c r="AY465" s="139" t="inlineStr"/>
      <c r="AZ465" s="139" t="n"/>
      <c r="BA465" s="113" t="inlineStr">
        <is>
          <t>30평대</t>
        </is>
      </c>
      <c r="BB465" s="140" t="n">
        <v>0</v>
      </c>
      <c r="BC465" s="140" t="n">
        <v>0</v>
      </c>
      <c r="BD465" s="140" t="n">
        <v>0</v>
      </c>
      <c r="BE465" s="140" t="n">
        <v>0</v>
      </c>
      <c r="BF465" s="140" t="n">
        <v>0</v>
      </c>
    </row>
    <row r="466" ht="16.5" customFormat="1" customHeight="1" s="56">
      <c r="A466" s="92" t="n"/>
      <c r="B466" s="92" t="n"/>
      <c r="C466" s="92" t="n"/>
      <c r="D466" s="92" t="n"/>
      <c r="E466" s="92" t="n"/>
      <c r="F466" s="92" t="n"/>
      <c r="G466" s="92" t="n"/>
      <c r="H466" s="92" t="n"/>
      <c r="I466" s="92" t="n"/>
      <c r="J466" s="92" t="n"/>
      <c r="K466" s="92" t="n"/>
      <c r="L466" s="92" t="n"/>
      <c r="M466" s="92" t="n"/>
      <c r="N466" s="92" t="n"/>
      <c r="O466" s="92" t="n"/>
      <c r="P466" s="92" t="n"/>
      <c r="Q466" s="92" t="n"/>
      <c r="R466" s="92" t="n"/>
      <c r="S466" s="92" t="n"/>
      <c r="T466" s="92" t="n"/>
      <c r="U466" s="92" t="n"/>
      <c r="V466" s="92" t="n"/>
      <c r="W466" s="92" t="n"/>
      <c r="X466" s="92" t="n"/>
      <c r="Y466" s="92" t="n"/>
      <c r="Z466" s="92" t="n"/>
      <c r="AA466" s="92" t="n"/>
      <c r="AB466" s="92" t="n"/>
      <c r="AC466" s="92" t="n"/>
      <c r="AD466" s="92" t="n"/>
      <c r="AE466" s="92" t="n"/>
      <c r="AF466" s="92" t="n"/>
      <c r="AG466" s="92" t="n"/>
      <c r="AH466" s="92" t="n"/>
      <c r="AI466" s="92" t="n"/>
      <c r="AJ466" s="92" t="n"/>
      <c r="AK466" s="92" t="n"/>
      <c r="AL466" s="92" t="n"/>
      <c r="AM466" s="92" t="n"/>
      <c r="AN466" s="92" t="n"/>
      <c r="AO466" s="92" t="n"/>
      <c r="AP466" s="92" t="n"/>
      <c r="AQ466" s="92" t="n"/>
      <c r="AR466" s="92" t="n"/>
      <c r="AS466" s="92" t="n"/>
      <c r="AT466" s="92" t="n"/>
      <c r="AU466" s="92" t="n"/>
      <c r="AV466" s="92" t="n"/>
      <c r="AX466" s="139" t="inlineStr"/>
      <c r="AY466" s="139" t="inlineStr"/>
      <c r="AZ466" s="139" t="n"/>
      <c r="BA466" s="115" t="inlineStr">
        <is>
          <t>40평대↑</t>
        </is>
      </c>
      <c r="BB466" s="141" t="n">
        <v>0</v>
      </c>
      <c r="BC466" s="141" t="n">
        <v>0</v>
      </c>
      <c r="BD466" s="141" t="n">
        <v>0</v>
      </c>
      <c r="BE466" s="141" t="n">
        <v>0</v>
      </c>
      <c r="BF466" s="141" t="n">
        <v>0</v>
      </c>
    </row>
    <row r="467" ht="16.5" customFormat="1" customHeight="1" s="56">
      <c r="A467" s="92" t="n"/>
      <c r="B467" s="92" t="n"/>
      <c r="C467" s="92" t="n"/>
      <c r="D467" s="92" t="n"/>
      <c r="E467" s="92" t="n"/>
      <c r="F467" s="92" t="n"/>
      <c r="G467" s="92" t="n"/>
      <c r="H467" s="92" t="n"/>
      <c r="I467" s="92" t="n"/>
      <c r="J467" s="92" t="n"/>
      <c r="K467" s="92" t="n"/>
      <c r="L467" s="92" t="n"/>
      <c r="M467" s="92" t="n"/>
      <c r="N467" s="92" t="n"/>
      <c r="O467" s="92" t="n"/>
      <c r="P467" s="92" t="n"/>
      <c r="Q467" s="92" t="n"/>
      <c r="R467" s="92" t="n"/>
      <c r="S467" s="92" t="n"/>
      <c r="T467" s="92" t="n"/>
      <c r="U467" s="92" t="n"/>
      <c r="V467" s="92" t="n"/>
      <c r="W467" s="92" t="n"/>
      <c r="X467" s="92" t="n"/>
      <c r="Y467" s="92" t="n"/>
      <c r="Z467" s="92" t="n"/>
      <c r="AA467" s="92" t="n"/>
      <c r="AB467" s="92" t="n"/>
      <c r="AC467" s="92" t="n"/>
      <c r="AD467" s="92" t="n"/>
      <c r="AE467" s="92" t="n"/>
      <c r="AF467" s="92" t="n"/>
      <c r="AG467" s="92" t="n"/>
      <c r="AH467" s="92" t="n"/>
      <c r="AI467" s="92" t="n"/>
      <c r="AJ467" s="92" t="n"/>
      <c r="AK467" s="92" t="n"/>
      <c r="AL467" s="92" t="n"/>
      <c r="AM467" s="92" t="n"/>
      <c r="AN467" s="92" t="n"/>
      <c r="AO467" s="92" t="n"/>
      <c r="AP467" s="92" t="n"/>
      <c r="AQ467" s="92" t="n"/>
      <c r="AR467" s="92" t="n"/>
      <c r="AS467" s="92" t="n"/>
      <c r="AT467" s="92" t="n"/>
      <c r="AU467" s="92" t="n"/>
      <c r="AV467" s="92" t="n"/>
      <c r="AX467" s="139" t="inlineStr"/>
      <c r="AY467" s="139" t="inlineStr"/>
      <c r="AZ467" s="139" t="n"/>
      <c r="BA467" s="113" t="inlineStr">
        <is>
          <t>합계</t>
        </is>
      </c>
      <c r="BB467" s="140" t="n">
        <v>0</v>
      </c>
      <c r="BC467" s="140" t="n">
        <v>0</v>
      </c>
      <c r="BD467" s="140" t="n">
        <v>0</v>
      </c>
      <c r="BE467" s="140" t="n">
        <v>0</v>
      </c>
      <c r="BF467" s="140" t="n">
        <v>0</v>
      </c>
    </row>
    <row r="468" ht="16.5" customFormat="1" customHeight="1" s="56">
      <c r="A468" s="92" t="n"/>
      <c r="B468" s="92" t="n"/>
      <c r="C468" s="92" t="n"/>
      <c r="D468" s="92" t="n"/>
      <c r="E468" s="92" t="n"/>
      <c r="F468" s="92" t="n"/>
      <c r="G468" s="92" t="n"/>
      <c r="H468" s="92" t="n"/>
      <c r="I468" s="92" t="n"/>
      <c r="J468" s="92" t="n"/>
      <c r="K468" s="92" t="n"/>
      <c r="L468" s="92" t="n"/>
      <c r="M468" s="92" t="n"/>
      <c r="N468" s="92" t="n"/>
      <c r="O468" s="92" t="n"/>
      <c r="P468" s="92" t="n"/>
      <c r="Q468" s="92" t="n"/>
      <c r="R468" s="92" t="n"/>
      <c r="S468" s="92" t="n"/>
      <c r="T468" s="92" t="n"/>
      <c r="U468" s="92" t="n"/>
      <c r="V468" s="92" t="n"/>
      <c r="W468" s="92" t="n"/>
      <c r="X468" s="92" t="n"/>
      <c r="Y468" s="92" t="n"/>
      <c r="Z468" s="92" t="n"/>
      <c r="AA468" s="92" t="n"/>
      <c r="AB468" s="92" t="n"/>
      <c r="AC468" s="92" t="n"/>
      <c r="AD468" s="92" t="n"/>
      <c r="AE468" s="92" t="n"/>
      <c r="AF468" s="92" t="n"/>
      <c r="AG468" s="92" t="n"/>
      <c r="AH468" s="92" t="n"/>
      <c r="AI468" s="92" t="n"/>
      <c r="AJ468" s="92" t="n"/>
      <c r="AK468" s="92" t="n"/>
      <c r="AL468" s="92" t="n"/>
      <c r="AM468" s="92" t="n"/>
      <c r="AN468" s="92" t="n"/>
      <c r="AO468" s="92" t="n"/>
      <c r="AP468" s="92" t="n"/>
      <c r="AQ468" s="92" t="n"/>
      <c r="AR468" s="92" t="n"/>
      <c r="AS468" s="92" t="n"/>
      <c r="AT468" s="92" t="n"/>
      <c r="AU468" s="92" t="n"/>
      <c r="AV468" s="92" t="n"/>
      <c r="AX468" s="139" t="inlineStr"/>
      <c r="AY468" s="139" t="inlineStr"/>
      <c r="AZ468" s="139" t="n"/>
      <c r="BA468" s="113" t="n"/>
      <c r="BB468" s="113" t="inlineStr">
        <is>
          <t>10년 이하</t>
        </is>
      </c>
      <c r="BC468" s="113" t="inlineStr">
        <is>
          <t>10~20년</t>
        </is>
      </c>
      <c r="BD468" s="113" t="inlineStr">
        <is>
          <t>20~30년</t>
        </is>
      </c>
      <c r="BE468" s="113" t="inlineStr">
        <is>
          <t>30년 이상</t>
        </is>
      </c>
      <c r="BF468" s="113" t="inlineStr">
        <is>
          <t>합계</t>
        </is>
      </c>
    </row>
    <row r="469" ht="16.5" customFormat="1" customHeight="1" s="56">
      <c r="A469" s="92" t="n"/>
      <c r="B469" s="92" t="n"/>
      <c r="C469" s="92" t="n"/>
      <c r="D469" s="92" t="n"/>
      <c r="E469" s="92" t="n"/>
      <c r="F469" s="92" t="n"/>
      <c r="G469" s="92" t="n"/>
      <c r="H469" s="92" t="n"/>
      <c r="I469" s="92" t="n"/>
      <c r="J469" s="92" t="n"/>
      <c r="K469" s="92" t="n"/>
      <c r="L469" s="92" t="n"/>
      <c r="M469" s="92" t="n"/>
      <c r="N469" s="92" t="n"/>
      <c r="O469" s="92" t="n"/>
      <c r="P469" s="92" t="n"/>
      <c r="Q469" s="92" t="n"/>
      <c r="R469" s="92" t="n"/>
      <c r="S469" s="92" t="n"/>
      <c r="T469" s="92" t="n"/>
      <c r="U469" s="92" t="n"/>
      <c r="V469" s="92" t="n"/>
      <c r="W469" s="92" t="n"/>
      <c r="X469" s="92" t="n"/>
      <c r="Y469" s="92" t="n"/>
      <c r="Z469" s="92" t="n"/>
      <c r="AA469" s="92" t="n"/>
      <c r="AB469" s="92" t="n"/>
      <c r="AC469" s="92" t="n"/>
      <c r="AD469" s="92" t="n"/>
      <c r="AE469" s="92" t="n"/>
      <c r="AF469" s="92" t="n"/>
      <c r="AG469" s="92" t="n"/>
      <c r="AH469" s="92" t="n"/>
      <c r="AI469" s="92" t="n"/>
      <c r="AJ469" s="92" t="n"/>
      <c r="AK469" s="92" t="n"/>
      <c r="AL469" s="92" t="n"/>
      <c r="AM469" s="92" t="n"/>
      <c r="AN469" s="92" t="n"/>
      <c r="AO469" s="92" t="n"/>
      <c r="AP469" s="92" t="n"/>
      <c r="AQ469" s="92" t="n"/>
      <c r="AR469" s="92" t="n"/>
      <c r="AS469" s="92" t="n"/>
      <c r="AT469" s="92" t="n"/>
      <c r="AU469" s="92" t="n"/>
      <c r="AV469" s="92" t="n"/>
      <c r="AX469" s="139" t="inlineStr"/>
      <c r="AY469" s="139" t="inlineStr"/>
      <c r="AZ469" s="139" t="n"/>
      <c r="BA469" s="113" t="inlineStr">
        <is>
          <t>10평대</t>
        </is>
      </c>
      <c r="BB469" s="142" t="e">
        <v>#DIV/0!</v>
      </c>
      <c r="BC469" s="142" t="e">
        <v>#DIV/0!</v>
      </c>
      <c r="BD469" s="142" t="e">
        <v>#DIV/0!</v>
      </c>
      <c r="BE469" s="142" t="e">
        <v>#DIV/0!</v>
      </c>
      <c r="BF469" s="142" t="e">
        <v>#DIV/0!</v>
      </c>
    </row>
    <row r="470" ht="16.5" customFormat="1" customHeight="1" s="56">
      <c r="A470" s="92" t="n"/>
      <c r="B470" s="92" t="n"/>
      <c r="C470" s="92" t="n"/>
      <c r="D470" s="92" t="n"/>
      <c r="E470" s="92" t="n"/>
      <c r="F470" s="92" t="n"/>
      <c r="G470" s="92" t="n"/>
      <c r="H470" s="92" t="n"/>
      <c r="I470" s="92" t="n"/>
      <c r="J470" s="92" t="n"/>
      <c r="K470" s="92" t="n"/>
      <c r="L470" s="92" t="n"/>
      <c r="M470" s="92" t="n"/>
      <c r="N470" s="92" t="n"/>
      <c r="O470" s="92" t="n"/>
      <c r="P470" s="92" t="n"/>
      <c r="Q470" s="92" t="n"/>
      <c r="R470" s="92" t="n"/>
      <c r="S470" s="92" t="n"/>
      <c r="T470" s="92" t="n"/>
      <c r="U470" s="92" t="n"/>
      <c r="V470" s="92" t="n"/>
      <c r="W470" s="92" t="n"/>
      <c r="X470" s="92" t="n"/>
      <c r="Y470" s="92" t="n"/>
      <c r="Z470" s="92" t="n"/>
      <c r="AA470" s="92" t="n"/>
      <c r="AB470" s="92" t="n"/>
      <c r="AC470" s="92" t="n"/>
      <c r="AD470" s="92" t="n"/>
      <c r="AE470" s="92" t="n"/>
      <c r="AF470" s="92" t="n"/>
      <c r="AG470" s="92" t="n"/>
      <c r="AH470" s="92" t="n"/>
      <c r="AI470" s="92" t="n"/>
      <c r="AJ470" s="92" t="n"/>
      <c r="AK470" s="92" t="n"/>
      <c r="AL470" s="92" t="n"/>
      <c r="AM470" s="92" t="n"/>
      <c r="AN470" s="92" t="n"/>
      <c r="AO470" s="92" t="n"/>
      <c r="AP470" s="92" t="n"/>
      <c r="AQ470" s="92" t="n"/>
      <c r="AR470" s="92" t="n"/>
      <c r="AS470" s="92" t="n"/>
      <c r="AT470" s="92" t="n"/>
      <c r="AU470" s="92" t="n"/>
      <c r="AV470" s="92" t="n"/>
      <c r="AX470" s="139" t="inlineStr"/>
      <c r="AY470" s="139" t="inlineStr"/>
      <c r="BA470" s="113" t="inlineStr">
        <is>
          <t>20평대</t>
        </is>
      </c>
      <c r="BB470" s="142" t="e">
        <v>#DIV/0!</v>
      </c>
      <c r="BC470" s="142" t="e">
        <v>#DIV/0!</v>
      </c>
      <c r="BD470" s="142" t="e">
        <v>#DIV/0!</v>
      </c>
      <c r="BE470" s="142" t="e">
        <v>#DIV/0!</v>
      </c>
      <c r="BF470" s="142" t="e">
        <v>#DIV/0!</v>
      </c>
    </row>
    <row r="471" ht="16.5" customFormat="1" customHeight="1" s="56">
      <c r="A471" s="92" t="n"/>
      <c r="B471" s="92" t="n"/>
      <c r="C471" s="92" t="n"/>
      <c r="D471" s="92" t="n"/>
      <c r="E471" s="92" t="n"/>
      <c r="F471" s="92" t="n"/>
      <c r="G471" s="92" t="n"/>
      <c r="H471" s="92" t="n"/>
      <c r="I471" s="92" t="n"/>
      <c r="J471" s="92" t="n"/>
      <c r="K471" s="92" t="n"/>
      <c r="L471" s="92" t="n"/>
      <c r="M471" s="92" t="n"/>
      <c r="N471" s="92" t="n"/>
      <c r="O471" s="92" t="n"/>
      <c r="P471" s="92" t="n"/>
      <c r="Q471" s="92" t="n"/>
      <c r="R471" s="92" t="n"/>
      <c r="S471" s="92" t="n"/>
      <c r="T471" s="92" t="n"/>
      <c r="U471" s="92" t="n"/>
      <c r="V471" s="92" t="n"/>
      <c r="W471" s="92" t="n"/>
      <c r="X471" s="92" t="n"/>
      <c r="Y471" s="92" t="n"/>
      <c r="Z471" s="92" t="n"/>
      <c r="AA471" s="92" t="n"/>
      <c r="AB471" s="92" t="n"/>
      <c r="AC471" s="92" t="n"/>
      <c r="AD471" s="92" t="n"/>
      <c r="AE471" s="92" t="n"/>
      <c r="AF471" s="92" t="n"/>
      <c r="AG471" s="92" t="n"/>
      <c r="AH471" s="92" t="n"/>
      <c r="AI471" s="92" t="n"/>
      <c r="AJ471" s="92" t="n"/>
      <c r="AK471" s="92" t="n"/>
      <c r="AL471" s="92" t="n"/>
      <c r="AM471" s="92" t="n"/>
      <c r="AN471" s="92" t="n"/>
      <c r="AO471" s="92" t="n"/>
      <c r="AP471" s="92" t="n"/>
      <c r="AQ471" s="92" t="n"/>
      <c r="AR471" s="92" t="n"/>
      <c r="AS471" s="92" t="n"/>
      <c r="AT471" s="92" t="n"/>
      <c r="AU471" s="92" t="n"/>
      <c r="AV471" s="92" t="n"/>
      <c r="AX471" s="139" t="inlineStr"/>
      <c r="AY471" s="139" t="inlineStr"/>
      <c r="BA471" s="115" t="inlineStr">
        <is>
          <t>40평대↑</t>
        </is>
      </c>
      <c r="BB471" s="143" t="e">
        <v>#DIV/0!</v>
      </c>
      <c r="BC471" s="143" t="e">
        <v>#DIV/0!</v>
      </c>
      <c r="BD471" s="143" t="e">
        <v>#DIV/0!</v>
      </c>
      <c r="BE471" s="143" t="e">
        <v>#DIV/0!</v>
      </c>
      <c r="BF471" s="143" t="e">
        <v>#DIV/0!</v>
      </c>
    </row>
    <row r="472" ht="16.5" customFormat="1" customHeight="1" s="56">
      <c r="A472" s="92" t="n"/>
      <c r="B472" s="92" t="n"/>
      <c r="C472" s="92" t="n"/>
      <c r="D472" s="92" t="n"/>
      <c r="E472" s="92" t="n"/>
      <c r="F472" s="92" t="n"/>
      <c r="G472" s="92" t="n"/>
      <c r="H472" s="92" t="n"/>
      <c r="I472" s="92" t="n"/>
      <c r="J472" s="92" t="n"/>
      <c r="K472" s="92" t="n"/>
      <c r="L472" s="92" t="n"/>
      <c r="M472" s="92" t="n"/>
      <c r="N472" s="92" t="n"/>
      <c r="O472" s="92" t="n"/>
      <c r="P472" s="92" t="n"/>
      <c r="Q472" s="92" t="n"/>
      <c r="R472" s="92" t="n"/>
      <c r="S472" s="92" t="n"/>
      <c r="T472" s="92" t="n"/>
      <c r="U472" s="92" t="n"/>
      <c r="V472" s="92" t="n"/>
      <c r="W472" s="92" t="n"/>
      <c r="X472" s="92" t="n"/>
      <c r="Y472" s="92" t="n"/>
      <c r="Z472" s="92" t="n"/>
      <c r="AA472" s="92" t="n"/>
      <c r="AB472" s="92" t="n"/>
      <c r="AC472" s="92" t="n"/>
      <c r="AD472" s="92" t="n"/>
      <c r="AE472" s="92" t="n"/>
      <c r="AF472" s="92" t="n"/>
      <c r="AG472" s="92" t="n"/>
      <c r="AH472" s="92" t="n"/>
      <c r="AI472" s="92" t="n"/>
      <c r="AJ472" s="92" t="n"/>
      <c r="AK472" s="92" t="n"/>
      <c r="AL472" s="92" t="n"/>
      <c r="AM472" s="92" t="n"/>
      <c r="AN472" s="92" t="n"/>
      <c r="AO472" s="92" t="n"/>
      <c r="AP472" s="92" t="n"/>
      <c r="AQ472" s="92" t="n"/>
      <c r="AR472" s="92" t="n"/>
      <c r="AS472" s="92" t="n"/>
      <c r="AT472" s="92" t="n"/>
      <c r="AU472" s="92" t="n"/>
      <c r="AV472" s="92" t="n"/>
      <c r="AX472" s="139" t="inlineStr"/>
      <c r="AY472" s="139" t="inlineStr"/>
      <c r="BA472" s="113" t="inlineStr">
        <is>
          <t>합계</t>
        </is>
      </c>
      <c r="BB472" s="142" t="e">
        <v>#DIV/0!</v>
      </c>
      <c r="BC472" s="142" t="e">
        <v>#DIV/0!</v>
      </c>
      <c r="BD472" s="142" t="e">
        <v>#DIV/0!</v>
      </c>
      <c r="BE472" s="142" t="e">
        <v>#DIV/0!</v>
      </c>
      <c r="BF472" s="142" t="e">
        <v>#DIV/0!</v>
      </c>
    </row>
    <row r="473" ht="16.5" customFormat="1" customHeight="1" s="56">
      <c r="A473" s="92" t="n"/>
      <c r="B473" s="92" t="n"/>
      <c r="C473" s="92" t="n"/>
      <c r="D473" s="92" t="n"/>
      <c r="E473" s="92" t="n"/>
      <c r="F473" s="92" t="n"/>
      <c r="G473" s="92" t="n"/>
      <c r="H473" s="92" t="n"/>
      <c r="I473" s="92" t="n"/>
      <c r="J473" s="92" t="n"/>
      <c r="K473" s="92" t="n"/>
      <c r="L473" s="92" t="n"/>
      <c r="M473" s="92" t="n"/>
      <c r="N473" s="92" t="n"/>
      <c r="O473" s="92" t="n"/>
      <c r="P473" s="92" t="n"/>
      <c r="Q473" s="92" t="n"/>
      <c r="R473" s="92" t="n"/>
      <c r="S473" s="92" t="n"/>
      <c r="T473" s="92" t="n"/>
      <c r="U473" s="92" t="n"/>
      <c r="V473" s="92" t="n"/>
      <c r="W473" s="92" t="n"/>
      <c r="X473" s="92" t="n"/>
      <c r="Y473" s="92" t="n"/>
      <c r="Z473" s="92" t="n"/>
      <c r="AA473" s="92" t="n"/>
      <c r="AB473" s="92" t="n"/>
      <c r="AC473" s="92" t="n"/>
      <c r="AD473" s="92" t="n"/>
      <c r="AE473" s="92" t="n"/>
      <c r="AF473" s="92" t="n"/>
      <c r="AG473" s="92" t="n"/>
      <c r="AH473" s="92" t="n"/>
      <c r="AI473" s="92" t="n"/>
      <c r="AJ473" s="92" t="n"/>
      <c r="AK473" s="92" t="n"/>
      <c r="AL473" s="92" t="n"/>
      <c r="AM473" s="92" t="n"/>
      <c r="AN473" s="92" t="n"/>
      <c r="AO473" s="92" t="n"/>
      <c r="AP473" s="92" t="n"/>
      <c r="AQ473" s="92" t="n"/>
      <c r="AR473" s="92" t="n"/>
      <c r="AS473" s="92" t="n"/>
      <c r="AT473" s="92" t="n"/>
      <c r="AU473" s="92" t="n"/>
      <c r="AV473" s="92" t="n"/>
      <c r="AX473" s="139" t="inlineStr"/>
      <c r="AY473" s="139" t="inlineStr"/>
    </row>
    <row r="474" ht="16.5" customFormat="1" customHeight="1" s="56">
      <c r="A474" s="92" t="n"/>
      <c r="B474" s="92" t="n"/>
      <c r="C474" s="92" t="n"/>
      <c r="D474" s="92" t="n"/>
      <c r="E474" s="92" t="n"/>
      <c r="F474" s="92" t="n"/>
      <c r="G474" s="92" t="n"/>
      <c r="H474" s="92" t="n"/>
      <c r="I474" s="92" t="n"/>
      <c r="J474" s="92" t="n"/>
      <c r="K474" s="92" t="n"/>
      <c r="L474" s="92" t="n"/>
      <c r="M474" s="92" t="n"/>
      <c r="N474" s="92" t="n"/>
      <c r="O474" s="92" t="n"/>
      <c r="P474" s="92" t="n"/>
      <c r="Q474" s="92" t="n"/>
      <c r="R474" s="92" t="n"/>
      <c r="S474" s="92" t="n"/>
      <c r="T474" s="92" t="n"/>
      <c r="U474" s="92" t="n"/>
      <c r="V474" s="92" t="n"/>
      <c r="W474" s="92" t="n"/>
      <c r="X474" s="92" t="n"/>
      <c r="Y474" s="92" t="n"/>
      <c r="Z474" s="92" t="n"/>
      <c r="AA474" s="92" t="n"/>
      <c r="AB474" s="92" t="n"/>
      <c r="AC474" s="92" t="n"/>
      <c r="AD474" s="92" t="n"/>
      <c r="AE474" s="92" t="n"/>
      <c r="AF474" s="92" t="n"/>
      <c r="AG474" s="92" t="n"/>
      <c r="AH474" s="92" t="n"/>
      <c r="AI474" s="92" t="n"/>
      <c r="AJ474" s="92" t="n"/>
      <c r="AK474" s="92" t="n"/>
      <c r="AL474" s="92" t="n"/>
      <c r="AM474" s="92" t="n"/>
      <c r="AN474" s="92" t="n"/>
      <c r="AO474" s="92" t="n"/>
      <c r="AP474" s="92" t="n"/>
      <c r="AQ474" s="92" t="n"/>
      <c r="AR474" s="92" t="n"/>
      <c r="AS474" s="92" t="n"/>
      <c r="AT474" s="92" t="n"/>
      <c r="AU474" s="92" t="n"/>
      <c r="AV474" s="92" t="n"/>
      <c r="AX474" s="139" t="inlineStr"/>
      <c r="AY474" s="139" t="inlineStr"/>
    </row>
    <row r="475" ht="16.5" customFormat="1" customHeight="1" s="56">
      <c r="A475" s="92" t="n"/>
      <c r="B475" s="92" t="n"/>
      <c r="C475" s="92" t="n"/>
      <c r="D475" s="92" t="n"/>
      <c r="E475" s="92" t="n"/>
      <c r="F475" s="92" t="n"/>
      <c r="G475" s="92" t="n"/>
      <c r="H475" s="92" t="n"/>
      <c r="I475" s="92" t="n"/>
      <c r="J475" s="92" t="n"/>
      <c r="K475" s="92" t="n"/>
      <c r="L475" s="92" t="n"/>
      <c r="M475" s="92" t="n"/>
      <c r="N475" s="92" t="n"/>
      <c r="O475" s="92" t="n"/>
      <c r="P475" s="92" t="n"/>
      <c r="Q475" s="92" t="n"/>
      <c r="R475" s="92" t="n"/>
      <c r="S475" s="92" t="n"/>
      <c r="T475" s="92" t="n"/>
      <c r="U475" s="92" t="n"/>
      <c r="V475" s="92" t="n"/>
      <c r="W475" s="92" t="n"/>
      <c r="X475" s="92" t="n"/>
      <c r="Y475" s="92" t="n"/>
      <c r="Z475" s="92" t="n"/>
      <c r="AA475" s="92" t="n"/>
      <c r="AB475" s="92" t="n"/>
      <c r="AC475" s="92" t="n"/>
      <c r="AD475" s="92" t="n"/>
      <c r="AE475" s="92" t="n"/>
      <c r="AF475" s="92" t="n"/>
      <c r="AG475" s="92" t="n"/>
      <c r="AH475" s="92" t="n"/>
      <c r="AI475" s="92" t="n"/>
      <c r="AJ475" s="92" t="n"/>
      <c r="AK475" s="92" t="n"/>
      <c r="AL475" s="92" t="n"/>
      <c r="AM475" s="92" t="n"/>
      <c r="AN475" s="92" t="n"/>
      <c r="AO475" s="92" t="n"/>
      <c r="AP475" s="92" t="n"/>
      <c r="AQ475" s="92" t="n"/>
      <c r="AR475" s="92" t="n"/>
      <c r="AS475" s="92" t="n"/>
      <c r="AT475" s="92" t="n"/>
      <c r="AU475" s="92" t="n"/>
      <c r="AV475" s="92" t="n"/>
      <c r="AX475" s="139" t="inlineStr"/>
      <c r="AY475" s="139" t="inlineStr"/>
    </row>
    <row r="476" ht="16.5" customFormat="1" customHeight="1" s="56">
      <c r="A476" s="92" t="n"/>
      <c r="B476" s="92" t="n"/>
      <c r="C476" s="92" t="n"/>
      <c r="D476" s="92" t="n"/>
      <c r="E476" s="92" t="n"/>
      <c r="F476" s="92" t="n"/>
      <c r="G476" s="92" t="n"/>
      <c r="H476" s="92" t="n"/>
      <c r="I476" s="92" t="n"/>
      <c r="J476" s="92" t="n"/>
      <c r="K476" s="92" t="n"/>
      <c r="L476" s="92" t="n"/>
      <c r="M476" s="92" t="n"/>
      <c r="N476" s="92" t="n"/>
      <c r="O476" s="92" t="n"/>
      <c r="P476" s="92" t="n"/>
      <c r="Q476" s="92" t="n"/>
      <c r="R476" s="92" t="n"/>
      <c r="S476" s="92" t="n"/>
      <c r="T476" s="92" t="n"/>
      <c r="U476" s="92" t="n"/>
      <c r="V476" s="92" t="n"/>
      <c r="W476" s="92" t="n"/>
      <c r="X476" s="92" t="n"/>
      <c r="Y476" s="92" t="n"/>
      <c r="Z476" s="92" t="n"/>
      <c r="AA476" s="92" t="n"/>
      <c r="AB476" s="92" t="n"/>
      <c r="AC476" s="92" t="n"/>
      <c r="AD476" s="92" t="n"/>
      <c r="AE476" s="92" t="n"/>
      <c r="AF476" s="92" t="n"/>
      <c r="AG476" s="92" t="n"/>
      <c r="AH476" s="92" t="n"/>
      <c r="AI476" s="92" t="n"/>
      <c r="AJ476" s="92" t="n"/>
      <c r="AK476" s="92" t="n"/>
      <c r="AL476" s="92" t="n"/>
      <c r="AM476" s="92" t="n"/>
      <c r="AN476" s="92" t="n"/>
      <c r="AO476" s="92" t="n"/>
      <c r="AP476" s="92" t="n"/>
      <c r="AQ476" s="92" t="n"/>
      <c r="AR476" s="92" t="n"/>
      <c r="AS476" s="92" t="n"/>
      <c r="AT476" s="92" t="n"/>
      <c r="AU476" s="92" t="n"/>
      <c r="AV476" s="92" t="n"/>
      <c r="AX476" s="139" t="inlineStr"/>
      <c r="AY476" s="139" t="inlineStr"/>
    </row>
    <row r="477" ht="16.5" customFormat="1" customHeight="1" s="56">
      <c r="A477" s="92" t="n"/>
      <c r="B477" s="92" t="n"/>
      <c r="C477" s="92" t="n"/>
      <c r="D477" s="92" t="n"/>
      <c r="E477" s="92" t="n"/>
      <c r="F477" s="92" t="n"/>
      <c r="G477" s="92" t="n"/>
      <c r="H477" s="92" t="n"/>
      <c r="I477" s="92" t="n"/>
      <c r="J477" s="92" t="n"/>
      <c r="K477" s="92" t="n"/>
      <c r="L477" s="92" t="n"/>
      <c r="M477" s="92" t="n"/>
      <c r="N477" s="92" t="n"/>
      <c r="O477" s="92" t="n"/>
      <c r="P477" s="92" t="n"/>
      <c r="Q477" s="92" t="n"/>
      <c r="R477" s="92" t="n"/>
      <c r="S477" s="92" t="n"/>
      <c r="T477" s="92" t="n"/>
      <c r="U477" s="92" t="n"/>
      <c r="V477" s="92" t="n"/>
      <c r="W477" s="92" t="n"/>
      <c r="X477" s="92" t="n"/>
      <c r="Y477" s="92" t="n"/>
      <c r="Z477" s="92" t="n"/>
      <c r="AA477" s="92" t="n"/>
      <c r="AB477" s="92" t="n"/>
      <c r="AC477" s="92" t="n"/>
      <c r="AD477" s="92" t="n"/>
      <c r="AE477" s="92" t="n"/>
      <c r="AF477" s="92" t="n"/>
      <c r="AG477" s="92" t="n"/>
      <c r="AH477" s="92" t="n"/>
      <c r="AI477" s="92" t="n"/>
      <c r="AJ477" s="92" t="n"/>
      <c r="AK477" s="92" t="n"/>
      <c r="AL477" s="92" t="n"/>
      <c r="AM477" s="92" t="n"/>
      <c r="AN477" s="92" t="n"/>
      <c r="AO477" s="92" t="n"/>
      <c r="AP477" s="92" t="n"/>
      <c r="AQ477" s="92" t="n"/>
      <c r="AR477" s="92" t="n"/>
      <c r="AS477" s="92" t="n"/>
      <c r="AT477" s="92" t="n"/>
      <c r="AU477" s="92" t="n"/>
      <c r="AV477" s="92" t="n"/>
      <c r="AX477" s="139" t="inlineStr"/>
      <c r="AY477" s="139" t="inlineStr"/>
    </row>
    <row r="478" ht="16.5" customFormat="1" customHeight="1" s="56">
      <c r="A478" s="92" t="n"/>
      <c r="B478" s="92" t="n"/>
      <c r="C478" s="92" t="n"/>
      <c r="D478" s="92" t="n"/>
      <c r="E478" s="92" t="n"/>
      <c r="F478" s="92" t="n"/>
      <c r="G478" s="92" t="n"/>
      <c r="H478" s="92" t="n"/>
      <c r="I478" s="92" t="n"/>
      <c r="J478" s="92" t="n"/>
      <c r="K478" s="92" t="n"/>
      <c r="L478" s="92" t="n"/>
      <c r="M478" s="92" t="n"/>
      <c r="N478" s="92" t="n"/>
      <c r="O478" s="92" t="n"/>
      <c r="P478" s="92" t="n"/>
      <c r="Q478" s="92" t="n"/>
      <c r="R478" s="92" t="n"/>
      <c r="S478" s="92" t="n"/>
      <c r="T478" s="92" t="n"/>
      <c r="U478" s="92" t="n"/>
      <c r="V478" s="92" t="n"/>
      <c r="W478" s="92" t="n"/>
      <c r="X478" s="92" t="n"/>
      <c r="Y478" s="92" t="n"/>
      <c r="Z478" s="92" t="n"/>
      <c r="AA478" s="92" t="n"/>
      <c r="AB478" s="92" t="n"/>
      <c r="AC478" s="92" t="n"/>
      <c r="AD478" s="92" t="n"/>
      <c r="AE478" s="92" t="n"/>
      <c r="AF478" s="92" t="n"/>
      <c r="AG478" s="92" t="n"/>
      <c r="AH478" s="92" t="n"/>
      <c r="AI478" s="92" t="n"/>
      <c r="AJ478" s="92" t="n"/>
      <c r="AK478" s="92" t="n"/>
      <c r="AL478" s="92" t="n"/>
      <c r="AM478" s="92" t="n"/>
      <c r="AN478" s="92" t="n"/>
      <c r="AO478" s="92" t="n"/>
      <c r="AP478" s="92" t="n"/>
      <c r="AQ478" s="92" t="n"/>
      <c r="AR478" s="92" t="n"/>
      <c r="AS478" s="92" t="n"/>
      <c r="AT478" s="92" t="n"/>
      <c r="AU478" s="92" t="n"/>
      <c r="AV478" s="92" t="n"/>
      <c r="AX478" s="139" t="inlineStr"/>
      <c r="AY478" s="139" t="inlineStr"/>
    </row>
    <row r="479" ht="16.5" customFormat="1" customHeight="1" s="56">
      <c r="A479" s="92" t="n"/>
      <c r="B479" s="92" t="n"/>
      <c r="C479" s="92" t="n"/>
      <c r="D479" s="92" t="n"/>
      <c r="E479" s="92" t="n"/>
      <c r="F479" s="92" t="n"/>
      <c r="G479" s="92" t="n"/>
      <c r="H479" s="92" t="n"/>
      <c r="I479" s="92" t="n"/>
      <c r="J479" s="92" t="n"/>
      <c r="K479" s="92" t="n"/>
      <c r="L479" s="92" t="n"/>
      <c r="M479" s="92" t="n"/>
      <c r="N479" s="92" t="n"/>
      <c r="O479" s="92" t="n"/>
      <c r="P479" s="92" t="n"/>
      <c r="Q479" s="92" t="n"/>
      <c r="R479" s="92" t="n"/>
      <c r="S479" s="92" t="n"/>
      <c r="T479" s="92" t="n"/>
      <c r="U479" s="92" t="n"/>
      <c r="V479" s="92" t="n"/>
      <c r="W479" s="92" t="n"/>
      <c r="X479" s="92" t="n"/>
      <c r="Y479" s="92" t="n"/>
      <c r="Z479" s="92" t="n"/>
      <c r="AA479" s="92" t="n"/>
      <c r="AB479" s="92" t="n"/>
      <c r="AC479" s="92" t="n"/>
      <c r="AD479" s="92" t="n"/>
      <c r="AE479" s="92" t="n"/>
      <c r="AF479" s="92" t="n"/>
      <c r="AG479" s="92" t="n"/>
      <c r="AH479" s="92" t="n"/>
      <c r="AI479" s="92" t="n"/>
      <c r="AJ479" s="92" t="n"/>
      <c r="AK479" s="92" t="n"/>
      <c r="AL479" s="92" t="n"/>
      <c r="AM479" s="92" t="n"/>
      <c r="AN479" s="92" t="n"/>
      <c r="AO479" s="92" t="n"/>
      <c r="AP479" s="92" t="n"/>
      <c r="AQ479" s="92" t="n"/>
      <c r="AR479" s="92" t="n"/>
      <c r="AS479" s="92" t="n"/>
      <c r="AT479" s="92" t="n"/>
      <c r="AU479" s="92" t="n"/>
      <c r="AV479" s="92" t="n"/>
      <c r="AX479" s="139" t="inlineStr"/>
      <c r="AY479" s="139" t="inlineStr"/>
    </row>
    <row r="480" ht="16.5" customFormat="1" customHeight="1" s="56">
      <c r="A480" s="92" t="n"/>
      <c r="B480" s="92" t="n"/>
      <c r="C480" s="92" t="n"/>
      <c r="D480" s="92" t="n"/>
      <c r="E480" s="92" t="n"/>
      <c r="F480" s="92" t="n"/>
      <c r="G480" s="92" t="n"/>
      <c r="H480" s="92" t="n"/>
      <c r="I480" s="92" t="n"/>
      <c r="J480" s="92" t="n"/>
      <c r="K480" s="92" t="n"/>
      <c r="L480" s="92" t="n"/>
      <c r="M480" s="92" t="n"/>
      <c r="N480" s="92" t="n"/>
      <c r="O480" s="92" t="n"/>
      <c r="P480" s="92" t="n"/>
      <c r="Q480" s="92" t="n"/>
      <c r="R480" s="92" t="n"/>
      <c r="S480" s="92" t="n"/>
      <c r="T480" s="92" t="n"/>
      <c r="U480" s="92" t="n"/>
      <c r="V480" s="92" t="n"/>
      <c r="W480" s="92" t="n"/>
      <c r="X480" s="92" t="n"/>
      <c r="Y480" s="92" t="n"/>
      <c r="Z480" s="92" t="n"/>
      <c r="AA480" s="92" t="n"/>
      <c r="AB480" s="92" t="n"/>
      <c r="AC480" s="92" t="n"/>
      <c r="AD480" s="92" t="n"/>
      <c r="AE480" s="92" t="n"/>
      <c r="AF480" s="92" t="n"/>
      <c r="AG480" s="92" t="n"/>
      <c r="AH480" s="92" t="n"/>
      <c r="AI480" s="92" t="n"/>
      <c r="AJ480" s="92" t="n"/>
      <c r="AK480" s="92" t="n"/>
      <c r="AL480" s="92" t="n"/>
      <c r="AM480" s="92" t="n"/>
      <c r="AN480" s="92" t="n"/>
      <c r="AO480" s="92" t="n"/>
      <c r="AP480" s="92" t="n"/>
      <c r="AQ480" s="92" t="n"/>
      <c r="AR480" s="92" t="n"/>
      <c r="AS480" s="92" t="n"/>
      <c r="AT480" s="92" t="n"/>
      <c r="AU480" s="92" t="n"/>
      <c r="AV480" s="92" t="n"/>
      <c r="AX480" s="139" t="inlineStr"/>
      <c r="AY480" s="139" t="inlineStr"/>
    </row>
    <row r="481" ht="16.5" customFormat="1" customHeight="1" s="56">
      <c r="A481" s="92" t="n"/>
      <c r="B481" s="92" t="n"/>
      <c r="C481" s="92" t="n"/>
      <c r="D481" s="92" t="n"/>
      <c r="E481" s="92" t="n"/>
      <c r="F481" s="92" t="n"/>
      <c r="G481" s="92" t="n"/>
      <c r="H481" s="92" t="n"/>
      <c r="I481" s="92" t="n"/>
      <c r="J481" s="92" t="n"/>
      <c r="K481" s="92" t="n"/>
      <c r="L481" s="92" t="n"/>
      <c r="M481" s="92" t="n"/>
      <c r="N481" s="92" t="n"/>
      <c r="O481" s="92" t="n"/>
      <c r="P481" s="92" t="n"/>
      <c r="Q481" s="92" t="n"/>
      <c r="R481" s="92" t="n"/>
      <c r="S481" s="92" t="n"/>
      <c r="T481" s="92" t="n"/>
      <c r="U481" s="92" t="n"/>
      <c r="V481" s="92" t="n"/>
      <c r="W481" s="92" t="n"/>
      <c r="X481" s="92" t="n"/>
      <c r="Y481" s="92" t="n"/>
      <c r="Z481" s="92" t="n"/>
      <c r="AA481" s="92" t="n"/>
      <c r="AB481" s="92" t="n"/>
      <c r="AC481" s="92" t="n"/>
      <c r="AD481" s="92" t="n"/>
      <c r="AE481" s="92" t="n"/>
      <c r="AF481" s="92" t="n"/>
      <c r="AG481" s="92" t="n"/>
      <c r="AH481" s="92" t="n"/>
      <c r="AI481" s="92" t="n"/>
      <c r="AJ481" s="92" t="n"/>
      <c r="AK481" s="92" t="n"/>
      <c r="AL481" s="92" t="n"/>
      <c r="AM481" s="92" t="n"/>
      <c r="AN481" s="92" t="n"/>
      <c r="AO481" s="92" t="n"/>
      <c r="AP481" s="92" t="n"/>
      <c r="AQ481" s="92" t="n"/>
      <c r="AR481" s="92" t="n"/>
      <c r="AS481" s="92" t="n"/>
      <c r="AT481" s="92" t="n"/>
      <c r="AU481" s="92" t="n"/>
      <c r="AV481" s="92" t="n"/>
      <c r="AX481" s="139" t="inlineStr"/>
      <c r="AY481" s="139" t="inlineStr"/>
    </row>
    <row r="482" ht="16.5" customFormat="1" customHeight="1" s="56">
      <c r="A482" s="92" t="n"/>
      <c r="B482" s="92" t="n"/>
      <c r="C482" s="92" t="n"/>
      <c r="D482" s="92" t="n"/>
      <c r="E482" s="92" t="n"/>
      <c r="F482" s="92" t="n"/>
      <c r="G482" s="92" t="n"/>
      <c r="H482" s="92" t="n"/>
      <c r="I482" s="92" t="n"/>
      <c r="J482" s="92" t="n"/>
      <c r="K482" s="92" t="n"/>
      <c r="L482" s="92" t="n"/>
      <c r="M482" s="92" t="n"/>
      <c r="N482" s="92" t="n"/>
      <c r="O482" s="92" t="n"/>
      <c r="P482" s="92" t="n"/>
      <c r="Q482" s="92" t="n"/>
      <c r="R482" s="92" t="n"/>
      <c r="S482" s="92" t="n"/>
      <c r="T482" s="92" t="n"/>
      <c r="U482" s="92" t="n"/>
      <c r="V482" s="92" t="n"/>
      <c r="W482" s="92" t="n"/>
      <c r="X482" s="92" t="n"/>
      <c r="Y482" s="92" t="n"/>
      <c r="Z482" s="92" t="n"/>
      <c r="AA482" s="92" t="n"/>
      <c r="AB482" s="92" t="n"/>
      <c r="AC482" s="92" t="n"/>
      <c r="AD482" s="92" t="n"/>
      <c r="AE482" s="92" t="n"/>
      <c r="AF482" s="92" t="n"/>
      <c r="AG482" s="92" t="n"/>
      <c r="AH482" s="92" t="n"/>
      <c r="AI482" s="92" t="n"/>
      <c r="AJ482" s="92" t="n"/>
      <c r="AK482" s="92" t="n"/>
      <c r="AL482" s="92" t="n"/>
      <c r="AM482" s="92" t="n"/>
      <c r="AN482" s="92" t="n"/>
      <c r="AO482" s="92" t="n"/>
      <c r="AP482" s="92" t="n"/>
      <c r="AQ482" s="92" t="n"/>
      <c r="AR482" s="92" t="n"/>
      <c r="AS482" s="92" t="n"/>
      <c r="AT482" s="92" t="n"/>
      <c r="AU482" s="92" t="n"/>
      <c r="AV482" s="92" t="n"/>
      <c r="AX482" s="139" t="inlineStr"/>
      <c r="AY482" s="139" t="inlineStr"/>
    </row>
    <row r="483" ht="16.5" customFormat="1" customHeight="1" s="56">
      <c r="A483" s="92" t="n"/>
      <c r="B483" s="92" t="n"/>
      <c r="C483" s="92" t="n"/>
      <c r="D483" s="92" t="n"/>
      <c r="E483" s="92" t="n"/>
      <c r="F483" s="92" t="n"/>
      <c r="G483" s="92" t="n"/>
      <c r="H483" s="92" t="n"/>
      <c r="I483" s="92" t="n"/>
      <c r="J483" s="92" t="n"/>
      <c r="K483" s="92" t="n"/>
      <c r="L483" s="92" t="n"/>
      <c r="M483" s="92" t="n"/>
      <c r="N483" s="92" t="n"/>
      <c r="O483" s="92" t="n"/>
      <c r="P483" s="92" t="n"/>
      <c r="Q483" s="92" t="n"/>
      <c r="R483" s="92" t="n"/>
      <c r="S483" s="92" t="n"/>
      <c r="T483" s="92" t="n"/>
      <c r="U483" s="92" t="n"/>
      <c r="V483" s="92" t="n"/>
      <c r="W483" s="92" t="n"/>
      <c r="X483" s="92" t="n"/>
      <c r="Y483" s="92" t="n"/>
      <c r="Z483" s="92" t="n"/>
      <c r="AA483" s="92" t="n"/>
      <c r="AB483" s="92" t="n"/>
      <c r="AC483" s="92" t="n"/>
      <c r="AD483" s="92" t="n"/>
      <c r="AE483" s="92" t="n"/>
      <c r="AF483" s="92" t="n"/>
      <c r="AG483" s="92" t="n"/>
      <c r="AH483" s="92" t="n"/>
      <c r="AI483" s="92" t="n"/>
      <c r="AJ483" s="92" t="n"/>
      <c r="AK483" s="92" t="n"/>
      <c r="AL483" s="92" t="n"/>
      <c r="AM483" s="92" t="n"/>
      <c r="AN483" s="92" t="n"/>
      <c r="AO483" s="92" t="n"/>
      <c r="AP483" s="92" t="n"/>
      <c r="AQ483" s="92" t="n"/>
      <c r="AR483" s="92" t="n"/>
      <c r="AS483" s="92" t="n"/>
      <c r="AT483" s="92" t="n"/>
      <c r="AU483" s="92" t="n"/>
      <c r="AV483" s="92" t="n"/>
      <c r="AX483" s="139" t="inlineStr"/>
      <c r="AY483" s="139" t="inlineStr"/>
    </row>
    <row r="484" ht="16.5" customFormat="1" customHeight="1" s="56">
      <c r="A484" s="92" t="n"/>
      <c r="B484" s="92" t="n"/>
      <c r="C484" s="92" t="n"/>
      <c r="D484" s="92" t="n"/>
      <c r="E484" s="92" t="n"/>
      <c r="F484" s="92" t="n"/>
      <c r="G484" s="92" t="n"/>
      <c r="H484" s="92" t="n"/>
      <c r="I484" s="92" t="n"/>
      <c r="J484" s="92" t="n"/>
      <c r="K484" s="92" t="n"/>
      <c r="L484" s="92" t="n"/>
      <c r="M484" s="92" t="n"/>
      <c r="N484" s="92" t="n"/>
      <c r="O484" s="92" t="n"/>
      <c r="P484" s="92" t="n"/>
      <c r="Q484" s="92" t="n"/>
      <c r="R484" s="92" t="n"/>
      <c r="S484" s="92" t="n"/>
      <c r="T484" s="92" t="n"/>
      <c r="U484" s="92" t="n"/>
      <c r="V484" s="92" t="n"/>
      <c r="W484" s="92" t="n"/>
      <c r="X484" s="92" t="n"/>
      <c r="Y484" s="92" t="n"/>
      <c r="Z484" s="92" t="n"/>
      <c r="AA484" s="92" t="n"/>
      <c r="AB484" s="92" t="n"/>
      <c r="AC484" s="92" t="n"/>
      <c r="AD484" s="92" t="n"/>
      <c r="AE484" s="92" t="n"/>
      <c r="AF484" s="92" t="n"/>
      <c r="AG484" s="92" t="n"/>
      <c r="AH484" s="92" t="n"/>
      <c r="AI484" s="92" t="n"/>
      <c r="AJ484" s="92" t="n"/>
      <c r="AK484" s="92" t="n"/>
      <c r="AL484" s="92" t="n"/>
      <c r="AM484" s="92" t="n"/>
      <c r="AN484" s="92" t="n"/>
      <c r="AO484" s="92" t="n"/>
      <c r="AP484" s="92" t="n"/>
      <c r="AQ484" s="92" t="n"/>
      <c r="AR484" s="92" t="n"/>
      <c r="AS484" s="92" t="n"/>
      <c r="AT484" s="92" t="n"/>
      <c r="AU484" s="92" t="n"/>
      <c r="AV484" s="92" t="n"/>
      <c r="AX484" s="139" t="inlineStr"/>
      <c r="AY484" s="139" t="inlineStr"/>
    </row>
    <row r="485" ht="16.5" customFormat="1" customHeight="1" s="56">
      <c r="A485" s="92" t="n"/>
      <c r="B485" s="92" t="n"/>
      <c r="C485" s="92" t="n"/>
      <c r="D485" s="92" t="n"/>
      <c r="E485" s="92" t="n"/>
      <c r="F485" s="92" t="n"/>
      <c r="G485" s="92" t="n"/>
      <c r="H485" s="92" t="n"/>
      <c r="I485" s="92" t="n"/>
      <c r="J485" s="92" t="n"/>
      <c r="K485" s="92" t="n"/>
      <c r="L485" s="92" t="n"/>
      <c r="M485" s="92" t="n"/>
      <c r="N485" s="92" t="n"/>
      <c r="O485" s="92" t="n"/>
      <c r="P485" s="92" t="n"/>
      <c r="Q485" s="92" t="n"/>
      <c r="R485" s="92" t="n"/>
      <c r="S485" s="92" t="n"/>
      <c r="T485" s="92" t="n"/>
      <c r="U485" s="92" t="n"/>
      <c r="V485" s="92" t="n"/>
      <c r="W485" s="92" t="n"/>
      <c r="X485" s="92" t="n"/>
      <c r="Y485" s="92" t="n"/>
      <c r="Z485" s="92" t="n"/>
      <c r="AA485" s="92" t="n"/>
      <c r="AB485" s="92" t="n"/>
      <c r="AC485" s="92" t="n"/>
      <c r="AD485" s="92" t="n"/>
      <c r="AE485" s="92" t="n"/>
      <c r="AF485" s="92" t="n"/>
      <c r="AG485" s="92" t="n"/>
      <c r="AH485" s="92" t="n"/>
      <c r="AI485" s="92" t="n"/>
      <c r="AJ485" s="92" t="n"/>
      <c r="AK485" s="92" t="n"/>
      <c r="AL485" s="92" t="n"/>
      <c r="AM485" s="92" t="n"/>
      <c r="AN485" s="92" t="n"/>
      <c r="AO485" s="92" t="n"/>
      <c r="AP485" s="92" t="n"/>
      <c r="AQ485" s="92" t="n"/>
      <c r="AR485" s="92" t="n"/>
      <c r="AS485" s="92" t="n"/>
      <c r="AT485" s="92" t="n"/>
      <c r="AU485" s="92" t="n"/>
      <c r="AV485" s="92" t="n"/>
      <c r="AX485" s="139" t="inlineStr"/>
      <c r="AY485" s="139" t="inlineStr"/>
    </row>
    <row r="486" ht="16.5" customFormat="1" customHeight="1" s="56">
      <c r="A486" s="92" t="n"/>
      <c r="B486" s="92" t="n"/>
      <c r="C486" s="92" t="n"/>
      <c r="D486" s="92" t="n"/>
      <c r="E486" s="92" t="n"/>
      <c r="F486" s="92" t="n"/>
      <c r="G486" s="92" t="n"/>
      <c r="H486" s="92" t="n"/>
      <c r="I486" s="92" t="n"/>
      <c r="J486" s="92" t="n"/>
      <c r="K486" s="92" t="n"/>
      <c r="L486" s="92" t="n"/>
      <c r="M486" s="92" t="n"/>
      <c r="N486" s="92" t="n"/>
      <c r="O486" s="92" t="n"/>
      <c r="P486" s="92" t="n"/>
      <c r="Q486" s="92" t="n"/>
      <c r="R486" s="92" t="n"/>
      <c r="S486" s="92" t="n"/>
      <c r="T486" s="92" t="n"/>
      <c r="U486" s="92" t="n"/>
      <c r="V486" s="92" t="n"/>
      <c r="W486" s="92" t="n"/>
      <c r="X486" s="92" t="n"/>
      <c r="Y486" s="92" t="n"/>
      <c r="Z486" s="92" t="n"/>
      <c r="AA486" s="92" t="n"/>
      <c r="AB486" s="92" t="n"/>
      <c r="AC486" s="92" t="n"/>
      <c r="AD486" s="92" t="n"/>
      <c r="AE486" s="92" t="n"/>
      <c r="AF486" s="92" t="n"/>
      <c r="AG486" s="92" t="n"/>
      <c r="AH486" s="92" t="n"/>
      <c r="AI486" s="92" t="n"/>
      <c r="AJ486" s="92" t="n"/>
      <c r="AK486" s="92" t="n"/>
      <c r="AL486" s="92" t="n"/>
      <c r="AM486" s="92" t="n"/>
      <c r="AN486" s="92" t="n"/>
      <c r="AO486" s="92" t="n"/>
      <c r="AP486" s="92" t="n"/>
      <c r="AQ486" s="92" t="n"/>
      <c r="AR486" s="92" t="n"/>
      <c r="AS486" s="92" t="n"/>
      <c r="AT486" s="92" t="n"/>
      <c r="AU486" s="92" t="n"/>
      <c r="AV486" s="92" t="n"/>
      <c r="AX486" s="139" t="inlineStr"/>
      <c r="AY486" s="139" t="inlineStr"/>
    </row>
    <row r="487" ht="16.5" customFormat="1" customHeight="1" s="56">
      <c r="A487" s="92" t="n"/>
      <c r="B487" s="92" t="n"/>
      <c r="C487" s="92" t="n"/>
      <c r="D487" s="92" t="n"/>
      <c r="E487" s="92" t="n"/>
      <c r="F487" s="92" t="n"/>
      <c r="G487" s="92" t="n"/>
      <c r="H487" s="92" t="n"/>
      <c r="I487" s="92" t="n"/>
      <c r="J487" s="92" t="n"/>
      <c r="K487" s="92" t="n"/>
      <c r="L487" s="92" t="n"/>
      <c r="M487" s="92" t="n"/>
      <c r="N487" s="92" t="n"/>
      <c r="O487" s="92" t="n"/>
      <c r="P487" s="92" t="n"/>
      <c r="Q487" s="92" t="n"/>
      <c r="R487" s="92" t="n"/>
      <c r="S487" s="92" t="n"/>
      <c r="T487" s="92" t="n"/>
      <c r="U487" s="92" t="n"/>
      <c r="V487" s="92" t="n"/>
      <c r="W487" s="92" t="n"/>
      <c r="X487" s="92" t="n"/>
      <c r="Y487" s="92" t="n"/>
      <c r="Z487" s="92" t="n"/>
      <c r="AA487" s="92" t="n"/>
      <c r="AB487" s="92" t="n"/>
      <c r="AC487" s="92" t="n"/>
      <c r="AD487" s="92" t="n"/>
      <c r="AE487" s="92" t="n"/>
      <c r="AF487" s="92" t="n"/>
      <c r="AG487" s="92" t="n"/>
      <c r="AH487" s="92" t="n"/>
      <c r="AI487" s="92" t="n"/>
      <c r="AJ487" s="92" t="n"/>
      <c r="AK487" s="92" t="n"/>
      <c r="AL487" s="92" t="n"/>
      <c r="AM487" s="92" t="n"/>
      <c r="AN487" s="92" t="n"/>
      <c r="AO487" s="92" t="n"/>
      <c r="AP487" s="92" t="n"/>
      <c r="AQ487" s="92" t="n"/>
      <c r="AR487" s="92" t="n"/>
      <c r="AS487" s="92" t="n"/>
      <c r="AT487" s="92" t="n"/>
      <c r="AU487" s="92" t="n"/>
      <c r="AV487" s="92" t="n"/>
      <c r="AX487" s="139" t="inlineStr"/>
      <c r="AY487" s="139" t="inlineStr"/>
    </row>
    <row r="488" ht="16.5" customFormat="1" customHeight="1" s="56">
      <c r="A488" s="92" t="n"/>
      <c r="B488" s="92" t="n"/>
      <c r="C488" s="92" t="n"/>
      <c r="D488" s="92" t="n"/>
      <c r="E488" s="92" t="n"/>
      <c r="F488" s="92" t="n"/>
      <c r="G488" s="92" t="n"/>
      <c r="H488" s="92" t="n"/>
      <c r="I488" s="92" t="n"/>
      <c r="J488" s="92" t="n"/>
      <c r="K488" s="92" t="n"/>
      <c r="L488" s="92" t="n"/>
      <c r="M488" s="92" t="n"/>
      <c r="N488" s="92" t="n"/>
      <c r="O488" s="92" t="n"/>
      <c r="P488" s="92" t="n"/>
      <c r="Q488" s="92" t="n"/>
      <c r="R488" s="92" t="n"/>
      <c r="S488" s="92" t="n"/>
      <c r="T488" s="92" t="n"/>
      <c r="U488" s="92" t="n"/>
      <c r="V488" s="92" t="n"/>
      <c r="W488" s="92" t="n"/>
      <c r="X488" s="92" t="n"/>
      <c r="Y488" s="92" t="n"/>
      <c r="Z488" s="92" t="n"/>
      <c r="AA488" s="92" t="n"/>
      <c r="AB488" s="92" t="n"/>
      <c r="AC488" s="92" t="n"/>
      <c r="AD488" s="92" t="n"/>
      <c r="AE488" s="92" t="n"/>
      <c r="AF488" s="92" t="n"/>
      <c r="AG488" s="92" t="n"/>
      <c r="AH488" s="92" t="n"/>
      <c r="AI488" s="92" t="n"/>
      <c r="AJ488" s="92" t="n"/>
      <c r="AK488" s="92" t="n"/>
      <c r="AL488" s="92" t="n"/>
      <c r="AM488" s="92" t="n"/>
      <c r="AN488" s="92" t="n"/>
      <c r="AO488" s="92" t="n"/>
      <c r="AP488" s="92" t="n"/>
      <c r="AQ488" s="92" t="n"/>
      <c r="AR488" s="92" t="n"/>
      <c r="AS488" s="92" t="n"/>
      <c r="AT488" s="92" t="n"/>
      <c r="AU488" s="92" t="n"/>
      <c r="AV488" s="92" t="n"/>
      <c r="AX488" s="139" t="inlineStr"/>
      <c r="AY488" s="139" t="inlineStr"/>
    </row>
    <row r="489" ht="16.5" customFormat="1" customHeight="1" s="56">
      <c r="A489" s="92" t="n"/>
      <c r="B489" s="92" t="n"/>
      <c r="C489" s="92" t="n"/>
      <c r="D489" s="92" t="n"/>
      <c r="E489" s="92" t="n"/>
      <c r="F489" s="92" t="n"/>
      <c r="G489" s="92" t="n"/>
      <c r="H489" s="92" t="n"/>
      <c r="I489" s="92" t="n"/>
      <c r="J489" s="92" t="n"/>
      <c r="K489" s="92" t="n"/>
      <c r="L489" s="92" t="n"/>
      <c r="M489" s="92" t="n"/>
      <c r="N489" s="92" t="n"/>
      <c r="O489" s="92" t="n"/>
      <c r="P489" s="92" t="n"/>
      <c r="Q489" s="92" t="n"/>
      <c r="R489" s="92" t="n"/>
      <c r="S489" s="92" t="n"/>
      <c r="T489" s="92" t="n"/>
      <c r="U489" s="92" t="n"/>
      <c r="V489" s="92" t="n"/>
      <c r="W489" s="92" t="n"/>
      <c r="X489" s="92" t="n"/>
      <c r="Y489" s="92" t="n"/>
      <c r="Z489" s="92" t="n"/>
      <c r="AA489" s="92" t="n"/>
      <c r="AB489" s="92" t="n"/>
      <c r="AC489" s="92" t="n"/>
      <c r="AD489" s="92" t="n"/>
      <c r="AE489" s="92" t="n"/>
      <c r="AF489" s="92" t="n"/>
      <c r="AG489" s="92" t="n"/>
      <c r="AH489" s="92" t="n"/>
      <c r="AI489" s="92" t="n"/>
      <c r="AJ489" s="92" t="n"/>
      <c r="AK489" s="92" t="n"/>
      <c r="AL489" s="92" t="n"/>
      <c r="AM489" s="92" t="n"/>
      <c r="AN489" s="92" t="n"/>
      <c r="AO489" s="92" t="n"/>
      <c r="AP489" s="92" t="n"/>
      <c r="AQ489" s="92" t="n"/>
      <c r="AR489" s="92" t="n"/>
      <c r="AS489" s="92" t="n"/>
      <c r="AT489" s="92" t="n"/>
      <c r="AU489" s="92" t="n"/>
      <c r="AV489" s="92" t="n"/>
      <c r="AX489" s="139" t="inlineStr"/>
      <c r="AY489" s="139" t="inlineStr"/>
    </row>
    <row r="490" ht="16.5" customFormat="1" customHeight="1" s="56">
      <c r="A490" s="92" t="n"/>
      <c r="B490" s="92" t="n"/>
      <c r="C490" s="92" t="n"/>
      <c r="D490" s="92" t="n"/>
      <c r="E490" s="92" t="n"/>
      <c r="F490" s="92" t="n"/>
      <c r="G490" s="92" t="n"/>
      <c r="H490" s="92" t="n"/>
      <c r="I490" s="92" t="n"/>
      <c r="J490" s="92" t="n"/>
      <c r="K490" s="92" t="n"/>
      <c r="L490" s="92" t="n"/>
      <c r="M490" s="92" t="n"/>
      <c r="N490" s="92" t="n"/>
      <c r="O490" s="92" t="n"/>
      <c r="P490" s="92" t="n"/>
      <c r="Q490" s="92" t="n"/>
      <c r="R490" s="92" t="n"/>
      <c r="S490" s="92" t="n"/>
      <c r="T490" s="92" t="n"/>
      <c r="U490" s="92" t="n"/>
      <c r="V490" s="92" t="n"/>
      <c r="W490" s="92" t="n"/>
      <c r="X490" s="92" t="n"/>
      <c r="Y490" s="92" t="n"/>
      <c r="Z490" s="92" t="n"/>
      <c r="AA490" s="92" t="n"/>
      <c r="AB490" s="92" t="n"/>
      <c r="AC490" s="92" t="n"/>
      <c r="AD490" s="92" t="n"/>
      <c r="AE490" s="92" t="n"/>
      <c r="AF490" s="92" t="n"/>
      <c r="AG490" s="92" t="n"/>
      <c r="AH490" s="92" t="n"/>
      <c r="AI490" s="92" t="n"/>
      <c r="AJ490" s="92" t="n"/>
      <c r="AK490" s="92" t="n"/>
      <c r="AL490" s="92" t="n"/>
      <c r="AM490" s="92" t="n"/>
      <c r="AN490" s="92" t="n"/>
      <c r="AO490" s="92" t="n"/>
      <c r="AP490" s="92" t="n"/>
      <c r="AQ490" s="92" t="n"/>
      <c r="AR490" s="92" t="n"/>
      <c r="AS490" s="92" t="n"/>
      <c r="AT490" s="92" t="n"/>
      <c r="AU490" s="92" t="n"/>
      <c r="AV490" s="92" t="n"/>
      <c r="AX490" s="139" t="inlineStr"/>
      <c r="AY490" s="139" t="inlineStr"/>
    </row>
    <row r="491" ht="16.5" customFormat="1" customHeight="1" s="56">
      <c r="A491" s="92" t="n"/>
      <c r="B491" s="92" t="n"/>
      <c r="C491" s="92" t="n"/>
      <c r="D491" s="92" t="n"/>
      <c r="E491" s="92" t="n"/>
      <c r="F491" s="92" t="n"/>
      <c r="G491" s="92" t="n"/>
      <c r="H491" s="92" t="n"/>
      <c r="I491" s="92" t="n"/>
      <c r="J491" s="92" t="n"/>
      <c r="K491" s="92" t="n"/>
      <c r="L491" s="92" t="n"/>
      <c r="M491" s="92" t="n"/>
      <c r="N491" s="92" t="n"/>
      <c r="O491" s="92" t="n"/>
      <c r="P491" s="92" t="n"/>
      <c r="Q491" s="92" t="n"/>
      <c r="R491" s="92" t="n"/>
      <c r="S491" s="92" t="n"/>
      <c r="T491" s="92" t="n"/>
      <c r="U491" s="92" t="n"/>
      <c r="V491" s="92" t="n"/>
      <c r="W491" s="92" t="n"/>
      <c r="X491" s="92" t="n"/>
      <c r="Y491" s="92" t="n"/>
      <c r="Z491" s="92" t="n"/>
      <c r="AA491" s="92" t="n"/>
      <c r="AB491" s="92" t="n"/>
      <c r="AC491" s="92" t="n"/>
      <c r="AD491" s="92" t="n"/>
      <c r="AE491" s="92" t="n"/>
      <c r="AF491" s="92" t="n"/>
      <c r="AG491" s="92" t="n"/>
      <c r="AH491" s="92" t="n"/>
      <c r="AI491" s="92" t="n"/>
      <c r="AJ491" s="92" t="n"/>
      <c r="AK491" s="92" t="n"/>
      <c r="AL491" s="92" t="n"/>
      <c r="AM491" s="92" t="n"/>
      <c r="AN491" s="92" t="n"/>
      <c r="AO491" s="92" t="n"/>
      <c r="AP491" s="92" t="n"/>
      <c r="AQ491" s="92" t="n"/>
      <c r="AR491" s="92" t="n"/>
      <c r="AS491" s="92" t="n"/>
      <c r="AT491" s="92" t="n"/>
      <c r="AU491" s="92" t="n"/>
      <c r="AV491" s="92" t="n"/>
      <c r="AX491" s="139" t="inlineStr"/>
      <c r="AY491" s="139" t="inlineStr"/>
    </row>
    <row r="492" ht="16.5" customFormat="1" customHeight="1" s="56">
      <c r="A492" s="92" t="n"/>
      <c r="B492" s="92" t="n"/>
      <c r="C492" s="92" t="n"/>
      <c r="D492" s="92" t="n"/>
      <c r="E492" s="92" t="n"/>
      <c r="F492" s="92" t="n"/>
      <c r="G492" s="92" t="n"/>
      <c r="H492" s="92" t="n"/>
      <c r="I492" s="92" t="n"/>
      <c r="J492" s="92" t="n"/>
      <c r="K492" s="92" t="n"/>
      <c r="L492" s="92" t="n"/>
      <c r="M492" s="92" t="n"/>
      <c r="N492" s="92" t="n"/>
      <c r="O492" s="92" t="n"/>
      <c r="P492" s="92" t="n"/>
      <c r="Q492" s="92" t="n"/>
      <c r="R492" s="92" t="n"/>
      <c r="S492" s="92" t="n"/>
      <c r="T492" s="92" t="n"/>
      <c r="U492" s="92" t="n"/>
      <c r="V492" s="92" t="n"/>
      <c r="W492" s="92" t="n"/>
      <c r="X492" s="92" t="n"/>
      <c r="Y492" s="92" t="n"/>
      <c r="Z492" s="92" t="n"/>
      <c r="AA492" s="92" t="n"/>
      <c r="AB492" s="92" t="n"/>
      <c r="AC492" s="92" t="n"/>
      <c r="AD492" s="92" t="n"/>
      <c r="AE492" s="92" t="n"/>
      <c r="AF492" s="92" t="n"/>
      <c r="AG492" s="92" t="n"/>
      <c r="AH492" s="92" t="n"/>
      <c r="AI492" s="92" t="n"/>
      <c r="AJ492" s="92" t="n"/>
      <c r="AK492" s="92" t="n"/>
      <c r="AL492" s="92" t="n"/>
      <c r="AM492" s="92" t="n"/>
      <c r="AN492" s="92" t="n"/>
      <c r="AO492" s="92" t="n"/>
      <c r="AP492" s="92" t="n"/>
      <c r="AQ492" s="92" t="n"/>
      <c r="AR492" s="92" t="n"/>
      <c r="AS492" s="92" t="n"/>
      <c r="AT492" s="92" t="n"/>
      <c r="AU492" s="92" t="n"/>
      <c r="AV492" s="92" t="n"/>
      <c r="AX492" s="139" t="inlineStr"/>
      <c r="AY492" s="139" t="inlineStr"/>
    </row>
    <row r="493" ht="16.5" customFormat="1" customHeight="1" s="56">
      <c r="A493" s="92" t="n"/>
      <c r="B493" s="92" t="n"/>
      <c r="C493" s="92" t="n"/>
      <c r="D493" s="92" t="n"/>
      <c r="E493" s="92" t="n"/>
      <c r="F493" s="92" t="n"/>
      <c r="G493" s="92" t="n"/>
      <c r="H493" s="92" t="n"/>
      <c r="I493" s="92" t="n"/>
      <c r="J493" s="92" t="n"/>
      <c r="K493" s="92" t="n"/>
      <c r="L493" s="92" t="n"/>
      <c r="M493" s="92" t="n"/>
      <c r="N493" s="92" t="n"/>
      <c r="O493" s="92" t="n"/>
      <c r="P493" s="92" t="n"/>
      <c r="Q493" s="92" t="n"/>
      <c r="R493" s="92" t="n"/>
      <c r="S493" s="92" t="n"/>
      <c r="T493" s="92" t="n"/>
      <c r="U493" s="92" t="n"/>
      <c r="V493" s="92" t="n"/>
      <c r="W493" s="92" t="n"/>
      <c r="X493" s="92" t="n"/>
      <c r="Y493" s="92" t="n"/>
      <c r="Z493" s="92" t="n"/>
      <c r="AA493" s="92" t="n"/>
      <c r="AB493" s="92" t="n"/>
      <c r="AC493" s="92" t="n"/>
      <c r="AD493" s="92" t="n"/>
      <c r="AE493" s="92" t="n"/>
      <c r="AF493" s="92" t="n"/>
      <c r="AG493" s="92" t="n"/>
      <c r="AH493" s="92" t="n"/>
      <c r="AI493" s="92" t="n"/>
      <c r="AJ493" s="92" t="n"/>
      <c r="AK493" s="92" t="n"/>
      <c r="AL493" s="92" t="n"/>
      <c r="AM493" s="92" t="n"/>
      <c r="AN493" s="92" t="n"/>
      <c r="AO493" s="92" t="n"/>
      <c r="AP493" s="92" t="n"/>
      <c r="AQ493" s="92" t="n"/>
      <c r="AR493" s="92" t="n"/>
      <c r="AS493" s="92" t="n"/>
      <c r="AT493" s="92" t="n"/>
      <c r="AU493" s="92" t="n"/>
      <c r="AV493" s="92" t="n"/>
      <c r="AX493" s="139" t="inlineStr"/>
      <c r="AY493" s="139" t="inlineStr"/>
    </row>
    <row r="494" ht="16.5" customFormat="1" customHeight="1" s="56">
      <c r="A494" s="92" t="n"/>
      <c r="B494" s="92" t="n"/>
      <c r="C494" s="92" t="n"/>
      <c r="D494" s="92" t="n"/>
      <c r="E494" s="92" t="n"/>
      <c r="F494" s="92" t="n"/>
      <c r="G494" s="92" t="n"/>
      <c r="H494" s="92" t="n"/>
      <c r="I494" s="92" t="n"/>
      <c r="J494" s="92" t="n"/>
      <c r="K494" s="92" t="n"/>
      <c r="L494" s="92" t="n"/>
      <c r="M494" s="92" t="n"/>
      <c r="N494" s="92" t="n"/>
      <c r="O494" s="92" t="n"/>
      <c r="P494" s="92" t="n"/>
      <c r="Q494" s="92" t="n"/>
      <c r="R494" s="92" t="n"/>
      <c r="S494" s="92" t="n"/>
      <c r="T494" s="92" t="n"/>
      <c r="U494" s="92" t="n"/>
      <c r="V494" s="92" t="n"/>
      <c r="W494" s="92" t="n"/>
      <c r="X494" s="92" t="n"/>
      <c r="Y494" s="92" t="n"/>
      <c r="Z494" s="92" t="n"/>
      <c r="AA494" s="92" t="n"/>
      <c r="AB494" s="92" t="n"/>
      <c r="AC494" s="92" t="n"/>
      <c r="AD494" s="92" t="n"/>
      <c r="AE494" s="92" t="n"/>
      <c r="AF494" s="92" t="n"/>
      <c r="AG494" s="92" t="n"/>
      <c r="AH494" s="92" t="n"/>
      <c r="AI494" s="92" t="n"/>
      <c r="AJ494" s="92" t="n"/>
      <c r="AK494" s="92" t="n"/>
      <c r="AL494" s="92" t="n"/>
      <c r="AM494" s="92" t="n"/>
      <c r="AN494" s="92" t="n"/>
      <c r="AO494" s="92" t="n"/>
      <c r="AP494" s="92" t="n"/>
      <c r="AQ494" s="92" t="n"/>
      <c r="AR494" s="92" t="n"/>
      <c r="AS494" s="92" t="n"/>
      <c r="AT494" s="92" t="n"/>
      <c r="AU494" s="92" t="n"/>
      <c r="AV494" s="92" t="n"/>
      <c r="AX494" s="139" t="inlineStr"/>
      <c r="AY494" s="139" t="inlineStr"/>
    </row>
    <row r="495" ht="16.5" customFormat="1" customHeight="1" s="56">
      <c r="A495" s="92" t="n"/>
      <c r="B495" s="92" t="n"/>
      <c r="C495" s="92" t="n"/>
      <c r="D495" s="92" t="n"/>
      <c r="E495" s="92" t="n"/>
      <c r="F495" s="92" t="n"/>
      <c r="G495" s="92" t="n"/>
      <c r="H495" s="92" t="n"/>
      <c r="I495" s="92" t="n"/>
      <c r="J495" s="92" t="n"/>
      <c r="K495" s="92" t="n"/>
      <c r="L495" s="92" t="n"/>
      <c r="M495" s="92" t="n"/>
      <c r="N495" s="92" t="n"/>
      <c r="O495" s="92" t="n"/>
      <c r="P495" s="92" t="n"/>
      <c r="Q495" s="92" t="n"/>
      <c r="R495" s="92" t="n"/>
      <c r="S495" s="92" t="n"/>
      <c r="T495" s="92" t="n"/>
      <c r="U495" s="92" t="n"/>
      <c r="V495" s="92" t="n"/>
      <c r="W495" s="92" t="n"/>
      <c r="X495" s="92" t="n"/>
      <c r="Y495" s="92" t="n"/>
      <c r="Z495" s="92" t="n"/>
      <c r="AA495" s="92" t="n"/>
      <c r="AB495" s="92" t="n"/>
      <c r="AC495" s="92" t="n"/>
      <c r="AD495" s="92" t="n"/>
      <c r="AE495" s="92" t="n"/>
      <c r="AF495" s="92" t="n"/>
      <c r="AG495" s="92" t="n"/>
      <c r="AH495" s="92" t="n"/>
      <c r="AI495" s="92" t="n"/>
      <c r="AJ495" s="92" t="n"/>
      <c r="AK495" s="92" t="n"/>
      <c r="AL495" s="92" t="n"/>
      <c r="AM495" s="92" t="n"/>
      <c r="AN495" s="92" t="n"/>
      <c r="AO495" s="92" t="n"/>
      <c r="AP495" s="92" t="n"/>
      <c r="AQ495" s="92" t="n"/>
      <c r="AR495" s="92" t="n"/>
      <c r="AS495" s="92" t="n"/>
      <c r="AT495" s="92" t="n"/>
      <c r="AU495" s="92" t="n"/>
      <c r="AV495" s="92" t="n"/>
      <c r="AX495" s="139" t="inlineStr"/>
      <c r="AY495" s="139" t="inlineStr"/>
    </row>
    <row r="496" ht="16.5" customFormat="1" customHeight="1" s="56">
      <c r="A496" s="92" t="n"/>
      <c r="B496" s="92" t="n"/>
      <c r="C496" s="92" t="n"/>
      <c r="D496" s="92" t="n"/>
      <c r="E496" s="92" t="n"/>
      <c r="F496" s="92" t="n"/>
      <c r="G496" s="92" t="n"/>
      <c r="H496" s="92" t="n"/>
      <c r="I496" s="92" t="n"/>
      <c r="J496" s="92" t="n"/>
      <c r="K496" s="92" t="n"/>
      <c r="L496" s="92" t="n"/>
      <c r="M496" s="92" t="n"/>
      <c r="N496" s="92" t="n"/>
      <c r="O496" s="92" t="n"/>
      <c r="P496" s="92" t="n"/>
      <c r="Q496" s="92" t="n"/>
      <c r="R496" s="92" t="n"/>
      <c r="S496" s="92" t="n"/>
      <c r="T496" s="92" t="n"/>
      <c r="U496" s="92" t="n"/>
      <c r="V496" s="92" t="n"/>
      <c r="W496" s="92" t="n"/>
      <c r="X496" s="92" t="n"/>
      <c r="Y496" s="92" t="n"/>
      <c r="Z496" s="92" t="n"/>
      <c r="AA496" s="92" t="n"/>
      <c r="AB496" s="92" t="n"/>
      <c r="AC496" s="92" t="n"/>
      <c r="AD496" s="92" t="n"/>
      <c r="AE496" s="92" t="n"/>
      <c r="AF496" s="92" t="n"/>
      <c r="AG496" s="92" t="n"/>
      <c r="AH496" s="92" t="n"/>
      <c r="AI496" s="92" t="n"/>
      <c r="AJ496" s="92" t="n"/>
      <c r="AK496" s="92" t="n"/>
      <c r="AL496" s="92" t="n"/>
      <c r="AM496" s="92" t="n"/>
      <c r="AN496" s="92" t="n"/>
      <c r="AO496" s="92" t="n"/>
      <c r="AP496" s="92" t="n"/>
      <c r="AQ496" s="92" t="n"/>
      <c r="AR496" s="92" t="n"/>
      <c r="AS496" s="92" t="n"/>
      <c r="AT496" s="92" t="n"/>
      <c r="AU496" s="92" t="n"/>
      <c r="AV496" s="92" t="n"/>
      <c r="AX496" s="139" t="inlineStr"/>
      <c r="AY496" s="139" t="inlineStr"/>
    </row>
    <row r="497" ht="16.5" customFormat="1" customHeight="1" s="56">
      <c r="A497" s="92" t="n"/>
      <c r="B497" s="92" t="n"/>
      <c r="C497" s="92" t="n"/>
      <c r="D497" s="92" t="n"/>
      <c r="E497" s="92" t="n"/>
      <c r="F497" s="92" t="n"/>
      <c r="G497" s="92" t="n"/>
      <c r="H497" s="92" t="n"/>
      <c r="I497" s="92" t="n"/>
      <c r="J497" s="92" t="n"/>
      <c r="K497" s="92" t="n"/>
      <c r="L497" s="92" t="n"/>
      <c r="M497" s="92" t="n"/>
      <c r="N497" s="92" t="n"/>
      <c r="O497" s="92" t="n"/>
      <c r="P497" s="92" t="n"/>
      <c r="Q497" s="92" t="n"/>
      <c r="R497" s="92" t="n"/>
      <c r="S497" s="92" t="n"/>
      <c r="T497" s="92" t="n"/>
      <c r="U497" s="92" t="n"/>
      <c r="V497" s="92" t="n"/>
      <c r="W497" s="92" t="n"/>
      <c r="X497" s="92" t="n"/>
      <c r="Y497" s="92" t="n"/>
      <c r="Z497" s="92" t="n"/>
      <c r="AA497" s="92" t="n"/>
      <c r="AB497" s="92" t="n"/>
      <c r="AC497" s="92" t="n"/>
      <c r="AD497" s="92" t="n"/>
      <c r="AE497" s="92" t="n"/>
      <c r="AF497" s="92" t="n"/>
      <c r="AG497" s="92" t="n"/>
      <c r="AH497" s="92" t="n"/>
      <c r="AI497" s="92" t="n"/>
      <c r="AJ497" s="92" t="n"/>
      <c r="AK497" s="92" t="n"/>
      <c r="AL497" s="92" t="n"/>
      <c r="AM497" s="92" t="n"/>
      <c r="AN497" s="92" t="n"/>
      <c r="AO497" s="92" t="n"/>
      <c r="AP497" s="92" t="n"/>
      <c r="AQ497" s="92" t="n"/>
      <c r="AR497" s="92" t="n"/>
      <c r="AS497" s="92" t="n"/>
      <c r="AT497" s="92" t="n"/>
      <c r="AU497" s="92" t="n"/>
      <c r="AV497" s="92" t="n"/>
      <c r="AX497" s="139" t="inlineStr"/>
      <c r="AY497" s="139" t="inlineStr"/>
    </row>
    <row r="498" ht="16.5" customFormat="1" customHeight="1" s="56">
      <c r="A498" s="92" t="n"/>
      <c r="B498" s="92" t="n"/>
      <c r="C498" s="92" t="n"/>
      <c r="D498" s="92" t="n"/>
      <c r="E498" s="92" t="n"/>
      <c r="F498" s="92" t="n"/>
      <c r="G498" s="92" t="n"/>
      <c r="H498" s="92" t="n"/>
      <c r="I498" s="92" t="n"/>
      <c r="J498" s="92" t="n"/>
      <c r="K498" s="92" t="n"/>
      <c r="L498" s="92" t="n"/>
      <c r="M498" s="92" t="n"/>
      <c r="N498" s="92" t="n"/>
      <c r="O498" s="92" t="n"/>
      <c r="P498" s="92" t="n"/>
      <c r="Q498" s="92" t="n"/>
      <c r="R498" s="92" t="n"/>
      <c r="S498" s="92" t="n"/>
      <c r="T498" s="92" t="n"/>
      <c r="U498" s="92" t="n"/>
      <c r="V498" s="92" t="n"/>
      <c r="W498" s="92" t="n"/>
      <c r="X498" s="92" t="n"/>
      <c r="Y498" s="92" t="n"/>
      <c r="Z498" s="92" t="n"/>
      <c r="AA498" s="92" t="n"/>
      <c r="AB498" s="92" t="n"/>
      <c r="AC498" s="92" t="n"/>
      <c r="AD498" s="92" t="n"/>
      <c r="AE498" s="92" t="n"/>
      <c r="AF498" s="92" t="n"/>
      <c r="AG498" s="92" t="n"/>
      <c r="AH498" s="92" t="n"/>
      <c r="AI498" s="92" t="n"/>
      <c r="AJ498" s="92" t="n"/>
      <c r="AK498" s="92" t="n"/>
      <c r="AL498" s="92" t="n"/>
      <c r="AM498" s="92" t="n"/>
      <c r="AN498" s="92" t="n"/>
      <c r="AO498" s="92" t="n"/>
      <c r="AP498" s="92" t="n"/>
      <c r="AQ498" s="92" t="n"/>
      <c r="AR498" s="92" t="n"/>
      <c r="AS498" s="92" t="n"/>
      <c r="AT498" s="92" t="n"/>
      <c r="AU498" s="92" t="n"/>
      <c r="AV498" s="92" t="n"/>
      <c r="AX498" s="139" t="inlineStr"/>
      <c r="AY498" s="139" t="inlineStr"/>
    </row>
    <row r="499" ht="16.5" customFormat="1" customHeight="1" s="56">
      <c r="A499" s="92" t="n"/>
      <c r="B499" s="92" t="n"/>
      <c r="C499" s="92" t="n"/>
      <c r="D499" s="92" t="n"/>
      <c r="E499" s="92" t="n"/>
      <c r="F499" s="92" t="n"/>
      <c r="G499" s="92" t="n"/>
      <c r="H499" s="92" t="n"/>
      <c r="I499" s="92" t="n"/>
      <c r="J499" s="92" t="n"/>
      <c r="K499" s="92" t="n"/>
      <c r="L499" s="92" t="n"/>
      <c r="M499" s="92" t="n"/>
      <c r="N499" s="92" t="n"/>
      <c r="O499" s="92" t="n"/>
      <c r="P499" s="92" t="n"/>
      <c r="Q499" s="92" t="n"/>
      <c r="R499" s="92" t="n"/>
      <c r="S499" s="92" t="n"/>
      <c r="T499" s="92" t="n"/>
      <c r="U499" s="92" t="n"/>
      <c r="V499" s="92" t="n"/>
      <c r="W499" s="92" t="n"/>
      <c r="X499" s="92" t="n"/>
      <c r="Y499" s="92" t="n"/>
      <c r="Z499" s="92" t="n"/>
      <c r="AA499" s="92" t="n"/>
      <c r="AB499" s="92" t="n"/>
      <c r="AC499" s="92" t="n"/>
      <c r="AD499" s="92" t="n"/>
      <c r="AE499" s="92" t="n"/>
      <c r="AF499" s="92" t="n"/>
      <c r="AG499" s="92" t="n"/>
      <c r="AH499" s="92" t="n"/>
      <c r="AI499" s="92" t="n"/>
      <c r="AJ499" s="92" t="n"/>
      <c r="AK499" s="92" t="n"/>
      <c r="AL499" s="92" t="n"/>
      <c r="AM499" s="92" t="n"/>
      <c r="AN499" s="92" t="n"/>
      <c r="AO499" s="92" t="n"/>
      <c r="AP499" s="92" t="n"/>
      <c r="AQ499" s="92" t="n"/>
      <c r="AR499" s="92" t="n"/>
      <c r="AS499" s="92" t="n"/>
      <c r="AT499" s="92" t="n"/>
      <c r="AU499" s="92" t="n"/>
      <c r="AV499" s="92" t="n"/>
      <c r="AX499" s="139" t="inlineStr"/>
      <c r="AY499" s="139" t="inlineStr"/>
    </row>
    <row r="500" ht="16.5" customFormat="1" customHeight="1" s="56">
      <c r="A500" s="92" t="n"/>
      <c r="B500" s="92" t="n"/>
      <c r="C500" s="92" t="n"/>
      <c r="D500" s="92" t="n"/>
      <c r="E500" s="92" t="n"/>
      <c r="F500" s="92" t="n"/>
      <c r="G500" s="92" t="n"/>
      <c r="H500" s="92" t="n"/>
      <c r="I500" s="92" t="n"/>
      <c r="J500" s="92" t="n"/>
      <c r="K500" s="92" t="n"/>
      <c r="L500" s="92" t="n"/>
      <c r="M500" s="92" t="n"/>
      <c r="N500" s="92" t="n"/>
      <c r="O500" s="92" t="n"/>
      <c r="P500" s="92" t="n"/>
      <c r="Q500" s="92" t="n"/>
      <c r="R500" s="92" t="n"/>
      <c r="S500" s="92" t="n"/>
      <c r="T500" s="92" t="n"/>
      <c r="U500" s="92" t="n"/>
      <c r="V500" s="92" t="n"/>
      <c r="W500" s="92" t="n"/>
      <c r="X500" s="92" t="n"/>
      <c r="Y500" s="92" t="n"/>
      <c r="Z500" s="92" t="n"/>
      <c r="AA500" s="92" t="n"/>
      <c r="AB500" s="92" t="n"/>
      <c r="AC500" s="92" t="n"/>
      <c r="AD500" s="92" t="n"/>
      <c r="AE500" s="92" t="n"/>
      <c r="AF500" s="92" t="n"/>
      <c r="AG500" s="92" t="n"/>
      <c r="AH500" s="92" t="n"/>
      <c r="AI500" s="92" t="n"/>
      <c r="AJ500" s="92" t="n"/>
      <c r="AK500" s="92" t="n"/>
      <c r="AL500" s="92" t="n"/>
      <c r="AM500" s="92" t="n"/>
      <c r="AN500" s="92" t="n"/>
      <c r="AO500" s="92" t="n"/>
      <c r="AP500" s="92" t="n"/>
      <c r="AQ500" s="92" t="n"/>
      <c r="AR500" s="92" t="n"/>
      <c r="AS500" s="92" t="n"/>
      <c r="AT500" s="92" t="n"/>
      <c r="AU500" s="92" t="n"/>
      <c r="AV500" s="92" t="n"/>
      <c r="AX500" s="139" t="inlineStr"/>
      <c r="AY500" s="139" t="inlineStr"/>
    </row>
    <row r="501" ht="16.5" customFormat="1" customHeight="1" s="56">
      <c r="A501" s="92" t="n"/>
      <c r="B501" s="92" t="n"/>
      <c r="C501" s="92" t="n"/>
      <c r="D501" s="92" t="n"/>
      <c r="E501" s="92" t="n"/>
      <c r="F501" s="92" t="n"/>
      <c r="G501" s="92" t="n"/>
      <c r="H501" s="92" t="n"/>
      <c r="I501" s="92" t="n"/>
      <c r="J501" s="92" t="n"/>
      <c r="K501" s="92" t="n"/>
      <c r="L501" s="92" t="n"/>
      <c r="M501" s="92" t="n"/>
      <c r="N501" s="92" t="n"/>
      <c r="O501" s="92" t="n"/>
      <c r="P501" s="92" t="n"/>
      <c r="Q501" s="92" t="n"/>
      <c r="R501" s="92" t="n"/>
      <c r="S501" s="92" t="n"/>
      <c r="T501" s="92" t="n"/>
      <c r="U501" s="92" t="n"/>
      <c r="V501" s="92" t="n"/>
      <c r="W501" s="92" t="n"/>
      <c r="X501" s="92" t="n"/>
      <c r="Y501" s="92" t="n"/>
      <c r="Z501" s="92" t="n"/>
      <c r="AA501" s="92" t="n"/>
      <c r="AB501" s="92" t="n"/>
      <c r="AC501" s="92" t="n"/>
      <c r="AD501" s="92" t="n"/>
      <c r="AE501" s="92" t="n"/>
      <c r="AF501" s="92" t="n"/>
      <c r="AG501" s="92" t="n"/>
      <c r="AH501" s="92" t="n"/>
      <c r="AI501" s="92" t="n"/>
      <c r="AJ501" s="92" t="n"/>
      <c r="AK501" s="92" t="n"/>
      <c r="AL501" s="92" t="n"/>
      <c r="AM501" s="92" t="n"/>
      <c r="AN501" s="92" t="n"/>
      <c r="AO501" s="92" t="n"/>
      <c r="AP501" s="92" t="n"/>
      <c r="AQ501" s="92" t="n"/>
      <c r="AR501" s="92" t="n"/>
      <c r="AS501" s="92" t="n"/>
      <c r="AT501" s="92" t="n"/>
      <c r="AU501" s="92" t="n"/>
      <c r="AV501" s="92" t="n"/>
      <c r="AX501" s="139" t="inlineStr"/>
      <c r="AY501" s="139" t="inlineStr"/>
    </row>
    <row r="502" ht="16.5" customFormat="1" customHeight="1" s="56">
      <c r="A502" s="92" t="n"/>
      <c r="B502" s="92" t="n"/>
      <c r="C502" s="92" t="n"/>
      <c r="D502" s="92" t="n"/>
      <c r="E502" s="92" t="n"/>
      <c r="F502" s="92" t="n"/>
      <c r="G502" s="92" t="n"/>
      <c r="H502" s="92" t="n"/>
      <c r="I502" s="92" t="n"/>
      <c r="J502" s="92" t="n"/>
      <c r="K502" s="92" t="n"/>
      <c r="L502" s="92" t="n"/>
      <c r="M502" s="92" t="n"/>
      <c r="N502" s="92" t="n"/>
      <c r="O502" s="92" t="n"/>
      <c r="P502" s="92" t="n"/>
      <c r="Q502" s="92" t="n"/>
      <c r="R502" s="92" t="n"/>
      <c r="S502" s="92" t="n"/>
      <c r="T502" s="92" t="n"/>
      <c r="U502" s="92" t="n"/>
      <c r="V502" s="92" t="n"/>
      <c r="W502" s="92" t="n"/>
      <c r="X502" s="92" t="n"/>
      <c r="Y502" s="92" t="n"/>
      <c r="Z502" s="92" t="n"/>
      <c r="AA502" s="92" t="n"/>
      <c r="AB502" s="92" t="n"/>
      <c r="AC502" s="92" t="n"/>
      <c r="AD502" s="92" t="n"/>
      <c r="AE502" s="92" t="n"/>
      <c r="AF502" s="92" t="n"/>
      <c r="AG502" s="92" t="n"/>
      <c r="AH502" s="92" t="n"/>
      <c r="AI502" s="92" t="n"/>
      <c r="AJ502" s="92" t="n"/>
      <c r="AK502" s="92" t="n"/>
      <c r="AL502" s="92" t="n"/>
      <c r="AM502" s="92" t="n"/>
      <c r="AN502" s="92" t="n"/>
      <c r="AO502" s="92" t="n"/>
      <c r="AP502" s="92" t="n"/>
      <c r="AQ502" s="92" t="n"/>
      <c r="AR502" s="92" t="n"/>
      <c r="AS502" s="92" t="n"/>
      <c r="AT502" s="92" t="n"/>
      <c r="AU502" s="92" t="n"/>
      <c r="AV502" s="92" t="n"/>
      <c r="AX502" s="139" t="inlineStr"/>
      <c r="AY502" s="139" t="inlineStr"/>
    </row>
    <row r="503" ht="16.5" customFormat="1" customHeight="1" s="56">
      <c r="A503" s="92" t="n"/>
      <c r="B503" s="92" t="n"/>
      <c r="C503" s="92" t="n"/>
      <c r="D503" s="92" t="n"/>
      <c r="E503" s="92" t="n"/>
      <c r="F503" s="92" t="n"/>
      <c r="G503" s="92" t="n"/>
      <c r="H503" s="92" t="n"/>
      <c r="I503" s="92" t="n"/>
      <c r="J503" s="92" t="n"/>
      <c r="K503" s="92" t="n"/>
      <c r="L503" s="92" t="n"/>
      <c r="M503" s="92" t="n"/>
      <c r="N503" s="92" t="n"/>
      <c r="O503" s="92" t="n"/>
      <c r="P503" s="92" t="n"/>
      <c r="Q503" s="92" t="n"/>
      <c r="R503" s="92" t="n"/>
      <c r="S503" s="92" t="n"/>
      <c r="T503" s="92" t="n"/>
      <c r="U503" s="92" t="n"/>
      <c r="V503" s="92" t="n"/>
      <c r="W503" s="92" t="n"/>
      <c r="X503" s="92" t="n"/>
      <c r="Y503" s="92" t="n"/>
      <c r="Z503" s="92" t="n"/>
      <c r="AA503" s="92" t="n"/>
      <c r="AB503" s="92" t="n"/>
      <c r="AC503" s="92" t="n"/>
      <c r="AD503" s="92" t="n"/>
      <c r="AE503" s="92" t="n"/>
      <c r="AF503" s="92" t="n"/>
      <c r="AG503" s="92" t="n"/>
      <c r="AH503" s="92" t="n"/>
      <c r="AI503" s="92" t="n"/>
      <c r="AJ503" s="92" t="n"/>
      <c r="AK503" s="92" t="n"/>
      <c r="AL503" s="92" t="n"/>
      <c r="AM503" s="92" t="n"/>
      <c r="AN503" s="92" t="n"/>
      <c r="AO503" s="92" t="n"/>
      <c r="AP503" s="92" t="n"/>
      <c r="AQ503" s="92" t="n"/>
      <c r="AR503" s="92" t="n"/>
      <c r="AS503" s="92" t="n"/>
      <c r="AT503" s="92" t="n"/>
      <c r="AU503" s="92" t="n"/>
      <c r="AV503" s="92" t="n"/>
      <c r="AX503" s="139" t="inlineStr"/>
      <c r="AY503" s="139" t="inlineStr"/>
    </row>
    <row r="504" ht="16.5" customFormat="1" customHeight="1" s="56">
      <c r="A504" s="92" t="n"/>
      <c r="B504" s="92" t="n"/>
      <c r="C504" s="92" t="n"/>
      <c r="D504" s="92" t="n"/>
      <c r="E504" s="92" t="n"/>
      <c r="F504" s="92" t="n"/>
      <c r="G504" s="92" t="n"/>
      <c r="H504" s="92" t="n"/>
      <c r="I504" s="92" t="n"/>
      <c r="J504" s="92" t="n"/>
      <c r="K504" s="92" t="n"/>
      <c r="L504" s="92" t="n"/>
      <c r="M504" s="92" t="n"/>
      <c r="N504" s="92" t="n"/>
      <c r="O504" s="92" t="n"/>
      <c r="P504" s="92" t="n"/>
      <c r="Q504" s="92" t="n"/>
      <c r="R504" s="92" t="n"/>
      <c r="S504" s="92" t="n"/>
      <c r="T504" s="92" t="n"/>
      <c r="U504" s="92" t="n"/>
      <c r="V504" s="92" t="n"/>
      <c r="W504" s="92" t="n"/>
      <c r="X504" s="92" t="n"/>
      <c r="Y504" s="92" t="n"/>
      <c r="Z504" s="92" t="n"/>
      <c r="AA504" s="92" t="n"/>
      <c r="AB504" s="92" t="n"/>
      <c r="AC504" s="92" t="n"/>
      <c r="AD504" s="92" t="n"/>
      <c r="AE504" s="92" t="n"/>
      <c r="AF504" s="92" t="n"/>
      <c r="AG504" s="92" t="n"/>
      <c r="AH504" s="92" t="n"/>
      <c r="AI504" s="92" t="n"/>
      <c r="AJ504" s="92" t="n"/>
      <c r="AK504" s="92" t="n"/>
      <c r="AL504" s="92" t="n"/>
      <c r="AM504" s="92" t="n"/>
      <c r="AN504" s="92" t="n"/>
      <c r="AO504" s="92" t="n"/>
      <c r="AP504" s="92" t="n"/>
      <c r="AQ504" s="92" t="n"/>
      <c r="AR504" s="92" t="n"/>
      <c r="AS504" s="92" t="n"/>
      <c r="AT504" s="92" t="n"/>
      <c r="AU504" s="92" t="n"/>
      <c r="AV504" s="92" t="n"/>
      <c r="AX504" s="139" t="inlineStr"/>
      <c r="AY504" s="139" t="inlineStr"/>
    </row>
    <row r="505" ht="16.5" customFormat="1" customHeight="1" s="56">
      <c r="A505" s="92" t="n"/>
      <c r="B505" s="92" t="n"/>
      <c r="C505" s="92" t="n"/>
      <c r="D505" s="92" t="n"/>
      <c r="E505" s="92" t="n"/>
      <c r="F505" s="92" t="n"/>
      <c r="G505" s="92" t="n"/>
      <c r="H505" s="92" t="n"/>
      <c r="I505" s="92" t="n"/>
      <c r="J505" s="92" t="n"/>
      <c r="K505" s="92" t="n"/>
      <c r="L505" s="92" t="n"/>
      <c r="M505" s="92" t="n"/>
      <c r="N505" s="92" t="n"/>
      <c r="O505" s="92" t="n"/>
      <c r="P505" s="92" t="n"/>
      <c r="Q505" s="92" t="n"/>
      <c r="R505" s="92" t="n"/>
      <c r="S505" s="92" t="n"/>
      <c r="T505" s="92" t="n"/>
      <c r="U505" s="92" t="n"/>
      <c r="V505" s="92" t="n"/>
      <c r="W505" s="92" t="n"/>
      <c r="X505" s="92" t="n"/>
      <c r="Y505" s="92" t="n"/>
      <c r="Z505" s="92" t="n"/>
      <c r="AA505" s="92" t="n"/>
      <c r="AB505" s="92" t="n"/>
      <c r="AC505" s="92" t="n"/>
      <c r="AD505" s="92" t="n"/>
      <c r="AE505" s="92" t="n"/>
      <c r="AF505" s="92" t="n"/>
      <c r="AG505" s="92" t="n"/>
      <c r="AH505" s="92" t="n"/>
      <c r="AI505" s="92" t="n"/>
      <c r="AJ505" s="92" t="n"/>
      <c r="AK505" s="92" t="n"/>
      <c r="AL505" s="92" t="n"/>
      <c r="AM505" s="92" t="n"/>
      <c r="AN505" s="92" t="n"/>
      <c r="AO505" s="92" t="n"/>
      <c r="AP505" s="92" t="n"/>
      <c r="AQ505" s="92" t="n"/>
      <c r="AR505" s="92" t="n"/>
      <c r="AS505" s="92" t="n"/>
      <c r="AT505" s="92" t="n"/>
      <c r="AU505" s="92" t="n"/>
      <c r="AV505" s="92" t="n"/>
      <c r="AX505" s="139" t="inlineStr"/>
      <c r="AY505" s="139" t="inlineStr"/>
    </row>
    <row r="506" ht="16.5" customFormat="1" customHeight="1" s="56">
      <c r="A506" s="92" t="n"/>
      <c r="B506" s="92" t="n"/>
      <c r="C506" s="92" t="n"/>
      <c r="D506" s="92" t="n"/>
      <c r="E506" s="92" t="n"/>
      <c r="F506" s="92" t="n"/>
      <c r="G506" s="92" t="n"/>
      <c r="H506" s="92" t="n"/>
      <c r="I506" s="92" t="n"/>
      <c r="J506" s="92" t="n"/>
      <c r="K506" s="92" t="n"/>
      <c r="L506" s="92" t="n"/>
      <c r="M506" s="92" t="n"/>
      <c r="N506" s="92" t="n"/>
      <c r="O506" s="92" t="n"/>
      <c r="P506" s="92" t="n"/>
      <c r="Q506" s="92" t="n"/>
      <c r="R506" s="92" t="n"/>
      <c r="S506" s="92" t="n"/>
      <c r="T506" s="92" t="n"/>
      <c r="U506" s="92" t="n"/>
      <c r="V506" s="92" t="n"/>
      <c r="W506" s="92" t="n"/>
      <c r="X506" s="92" t="n"/>
      <c r="Y506" s="92" t="n"/>
      <c r="Z506" s="92" t="n"/>
      <c r="AA506" s="92" t="n"/>
      <c r="AB506" s="92" t="n"/>
      <c r="AC506" s="92" t="n"/>
      <c r="AD506" s="92" t="n"/>
      <c r="AE506" s="92" t="n"/>
      <c r="AF506" s="92" t="n"/>
      <c r="AG506" s="92" t="n"/>
      <c r="AH506" s="92" t="n"/>
      <c r="AI506" s="92" t="n"/>
      <c r="AJ506" s="92" t="n"/>
      <c r="AK506" s="92" t="n"/>
      <c r="AL506" s="92" t="n"/>
      <c r="AM506" s="92" t="n"/>
      <c r="AN506" s="92" t="n"/>
      <c r="AO506" s="92" t="n"/>
      <c r="AP506" s="92" t="n"/>
      <c r="AQ506" s="92" t="n"/>
      <c r="AR506" s="92" t="n"/>
      <c r="AS506" s="92" t="n"/>
      <c r="AT506" s="92" t="n"/>
      <c r="AU506" s="92" t="n"/>
      <c r="AV506" s="92" t="n"/>
      <c r="AX506" s="139" t="inlineStr"/>
      <c r="AY506" s="139" t="inlineStr"/>
    </row>
    <row r="507" ht="16.5" customFormat="1" customHeight="1" s="56">
      <c r="A507" s="92" t="n"/>
      <c r="B507" s="92" t="n"/>
      <c r="C507" s="92" t="n"/>
      <c r="D507" s="92" t="n"/>
      <c r="E507" s="92" t="n"/>
      <c r="F507" s="92" t="n"/>
      <c r="G507" s="92" t="n"/>
      <c r="H507" s="92" t="n"/>
      <c r="I507" s="92" t="n"/>
      <c r="J507" s="92" t="n"/>
      <c r="K507" s="92" t="n"/>
      <c r="L507" s="92" t="n"/>
      <c r="M507" s="92" t="n"/>
      <c r="N507" s="92" t="n"/>
      <c r="O507" s="92" t="n"/>
      <c r="P507" s="92" t="n"/>
      <c r="Q507" s="92" t="n"/>
      <c r="R507" s="92" t="n"/>
      <c r="S507" s="92" t="n"/>
      <c r="T507" s="92" t="n"/>
      <c r="U507" s="92" t="n"/>
      <c r="V507" s="92" t="n"/>
      <c r="W507" s="92" t="n"/>
      <c r="X507" s="92" t="n"/>
      <c r="Y507" s="92" t="n"/>
      <c r="Z507" s="92" t="n"/>
      <c r="AA507" s="92" t="n"/>
      <c r="AB507" s="92" t="n"/>
      <c r="AC507" s="92" t="n"/>
      <c r="AD507" s="92" t="n"/>
      <c r="AE507" s="92" t="n"/>
      <c r="AF507" s="92" t="n"/>
      <c r="AG507" s="92" t="n"/>
      <c r="AH507" s="92" t="n"/>
      <c r="AI507" s="92" t="n"/>
      <c r="AJ507" s="92" t="n"/>
      <c r="AK507" s="92" t="n"/>
      <c r="AL507" s="92" t="n"/>
      <c r="AM507" s="92" t="n"/>
      <c r="AN507" s="92" t="n"/>
      <c r="AO507" s="92" t="n"/>
      <c r="AP507" s="92" t="n"/>
      <c r="AQ507" s="92" t="n"/>
      <c r="AR507" s="92" t="n"/>
      <c r="AS507" s="92" t="n"/>
      <c r="AT507" s="92" t="n"/>
      <c r="AU507" s="92" t="n"/>
      <c r="AV507" s="92" t="n"/>
      <c r="AX507" s="139" t="inlineStr"/>
      <c r="AY507" s="139" t="inlineStr"/>
    </row>
    <row r="508" ht="16.5" customFormat="1" customHeight="1" s="56">
      <c r="A508" s="92" t="n"/>
      <c r="B508" s="92" t="n"/>
      <c r="C508" s="92" t="n"/>
      <c r="D508" s="92" t="n"/>
      <c r="E508" s="92" t="n"/>
      <c r="F508" s="92" t="n"/>
      <c r="G508" s="92" t="n"/>
      <c r="H508" s="92" t="n"/>
      <c r="I508" s="92" t="n"/>
      <c r="J508" s="92" t="n"/>
      <c r="K508" s="92" t="n"/>
      <c r="L508" s="92" t="n"/>
      <c r="M508" s="92" t="n"/>
      <c r="N508" s="92" t="n"/>
      <c r="O508" s="92" t="n"/>
      <c r="P508" s="92" t="n"/>
      <c r="Q508" s="92" t="n"/>
      <c r="R508" s="92" t="n"/>
      <c r="S508" s="92" t="n"/>
      <c r="T508" s="92" t="n"/>
      <c r="U508" s="92" t="n"/>
      <c r="V508" s="92" t="n"/>
      <c r="W508" s="92" t="n"/>
      <c r="X508" s="92" t="n"/>
      <c r="Y508" s="92" t="n"/>
      <c r="Z508" s="92" t="n"/>
      <c r="AA508" s="92" t="n"/>
      <c r="AB508" s="92" t="n"/>
      <c r="AC508" s="92" t="n"/>
      <c r="AD508" s="92" t="n"/>
      <c r="AE508" s="92" t="n"/>
      <c r="AF508" s="92" t="n"/>
      <c r="AG508" s="92" t="n"/>
      <c r="AH508" s="92" t="n"/>
      <c r="AI508" s="92" t="n"/>
      <c r="AJ508" s="92" t="n"/>
      <c r="AK508" s="92" t="n"/>
      <c r="AL508" s="92" t="n"/>
      <c r="AM508" s="92" t="n"/>
      <c r="AN508" s="92" t="n"/>
      <c r="AO508" s="92" t="n"/>
      <c r="AP508" s="92" t="n"/>
      <c r="AQ508" s="92" t="n"/>
      <c r="AR508" s="92" t="n"/>
      <c r="AS508" s="92" t="n"/>
      <c r="AT508" s="92" t="n"/>
      <c r="AU508" s="92" t="n"/>
      <c r="AV508" s="92" t="n"/>
      <c r="AX508" s="139" t="inlineStr"/>
      <c r="AY508" s="139" t="inlineStr"/>
    </row>
    <row r="509" ht="16.5" customFormat="1" customHeight="1" s="56">
      <c r="A509" s="92" t="n"/>
      <c r="B509" s="92" t="n"/>
      <c r="C509" s="92" t="n"/>
      <c r="D509" s="92" t="n"/>
      <c r="E509" s="92" t="n"/>
      <c r="F509" s="92" t="n"/>
      <c r="G509" s="92" t="n"/>
      <c r="H509" s="92" t="n"/>
      <c r="I509" s="92" t="n"/>
      <c r="J509" s="92" t="n"/>
      <c r="K509" s="92" t="n"/>
      <c r="L509" s="92" t="n"/>
      <c r="M509" s="92" t="n"/>
      <c r="N509" s="92" t="n"/>
      <c r="O509" s="92" t="n"/>
      <c r="P509" s="92" t="n"/>
      <c r="Q509" s="92" t="n"/>
      <c r="R509" s="92" t="n"/>
      <c r="S509" s="92" t="n"/>
      <c r="T509" s="92" t="n"/>
      <c r="U509" s="92" t="n"/>
      <c r="V509" s="92" t="n"/>
      <c r="W509" s="92" t="n"/>
      <c r="X509" s="92" t="n"/>
      <c r="Y509" s="92" t="n"/>
      <c r="Z509" s="92" t="n"/>
      <c r="AA509" s="92" t="n"/>
      <c r="AB509" s="92" t="n"/>
      <c r="AC509" s="92" t="n"/>
      <c r="AD509" s="92" t="n"/>
      <c r="AE509" s="92" t="n"/>
      <c r="AF509" s="92" t="n"/>
      <c r="AG509" s="92" t="n"/>
      <c r="AH509" s="92" t="n"/>
      <c r="AI509" s="92" t="n"/>
      <c r="AJ509" s="92" t="n"/>
      <c r="AK509" s="92" t="n"/>
      <c r="AL509" s="92" t="n"/>
      <c r="AM509" s="92" t="n"/>
      <c r="AN509" s="92" t="n"/>
      <c r="AO509" s="92" t="n"/>
      <c r="AP509" s="92" t="n"/>
      <c r="AQ509" s="92" t="n"/>
      <c r="AR509" s="92" t="n"/>
      <c r="AS509" s="92" t="n"/>
      <c r="AT509" s="92" t="n"/>
      <c r="AU509" s="92" t="n"/>
      <c r="AV509" s="92" t="n"/>
      <c r="AX509" s="139" t="inlineStr"/>
      <c r="AY509" s="139" t="inlineStr"/>
    </row>
    <row r="510" ht="16.5" customFormat="1" customHeight="1" s="56">
      <c r="A510" s="92" t="n"/>
      <c r="B510" s="92" t="n"/>
      <c r="C510" s="92" t="n"/>
      <c r="D510" s="92" t="n"/>
      <c r="E510" s="92" t="n"/>
      <c r="F510" s="92" t="n"/>
      <c r="G510" s="92" t="n"/>
      <c r="H510" s="92" t="n"/>
      <c r="I510" s="92" t="n"/>
      <c r="J510" s="92" t="n"/>
      <c r="K510" s="92" t="n"/>
      <c r="L510" s="92" t="n"/>
      <c r="M510" s="92" t="n"/>
      <c r="N510" s="92" t="n"/>
      <c r="O510" s="92" t="n"/>
      <c r="P510" s="92" t="n"/>
      <c r="Q510" s="92" t="n"/>
      <c r="R510" s="92" t="n"/>
      <c r="S510" s="92" t="n"/>
      <c r="T510" s="92" t="n"/>
      <c r="U510" s="92" t="n"/>
      <c r="V510" s="92" t="n"/>
      <c r="W510" s="92" t="n"/>
      <c r="X510" s="92" t="n"/>
      <c r="Y510" s="92" t="n"/>
      <c r="Z510" s="92" t="n"/>
      <c r="AA510" s="92" t="n"/>
      <c r="AB510" s="92" t="n"/>
      <c r="AC510" s="92" t="n"/>
      <c r="AD510" s="92" t="n"/>
      <c r="AE510" s="92" t="n"/>
      <c r="AF510" s="92" t="n"/>
      <c r="AG510" s="92" t="n"/>
      <c r="AH510" s="92" t="n"/>
      <c r="AI510" s="92" t="n"/>
      <c r="AJ510" s="92" t="n"/>
      <c r="AK510" s="92" t="n"/>
      <c r="AL510" s="92" t="n"/>
      <c r="AM510" s="92" t="n"/>
      <c r="AN510" s="92" t="n"/>
      <c r="AO510" s="92" t="n"/>
      <c r="AP510" s="92" t="n"/>
      <c r="AQ510" s="92" t="n"/>
      <c r="AR510" s="92" t="n"/>
      <c r="AS510" s="92" t="n"/>
      <c r="AT510" s="92" t="n"/>
      <c r="AU510" s="92" t="n"/>
      <c r="AV510" s="92" t="n"/>
      <c r="AX510" s="139" t="inlineStr"/>
      <c r="AY510" s="139" t="inlineStr"/>
    </row>
    <row r="511" ht="16.5" customFormat="1" customHeight="1" s="56">
      <c r="A511" s="92" t="n"/>
      <c r="B511" s="92" t="n"/>
      <c r="C511" s="92" t="n"/>
      <c r="D511" s="92" t="n"/>
      <c r="E511" s="92" t="n"/>
      <c r="F511" s="92" t="n"/>
      <c r="G511" s="92" t="n"/>
      <c r="H511" s="92" t="n"/>
      <c r="I511" s="92" t="n"/>
      <c r="J511" s="92" t="n"/>
      <c r="K511" s="92" t="n"/>
      <c r="L511" s="92" t="n"/>
      <c r="M511" s="92" t="n"/>
      <c r="N511" s="92" t="n"/>
      <c r="O511" s="92" t="n"/>
      <c r="P511" s="92" t="n"/>
      <c r="Q511" s="92" t="n"/>
      <c r="R511" s="92" t="n"/>
      <c r="S511" s="92" t="n"/>
      <c r="T511" s="92" t="n"/>
      <c r="U511" s="92" t="n"/>
      <c r="V511" s="92" t="n"/>
      <c r="W511" s="92" t="n"/>
      <c r="X511" s="92" t="n"/>
      <c r="Y511" s="92" t="n"/>
      <c r="Z511" s="92" t="n"/>
      <c r="AA511" s="92" t="n"/>
      <c r="AB511" s="92" t="n"/>
      <c r="AC511" s="92" t="n"/>
      <c r="AD511" s="92" t="n"/>
      <c r="AE511" s="92" t="n"/>
      <c r="AF511" s="92" t="n"/>
      <c r="AG511" s="92" t="n"/>
      <c r="AH511" s="92" t="n"/>
      <c r="AI511" s="92" t="n"/>
      <c r="AJ511" s="92" t="n"/>
      <c r="AK511" s="92" t="n"/>
      <c r="AL511" s="92" t="n"/>
      <c r="AM511" s="92" t="n"/>
      <c r="AN511" s="92" t="n"/>
      <c r="AO511" s="92" t="n"/>
      <c r="AP511" s="92" t="n"/>
      <c r="AQ511" s="92" t="n"/>
      <c r="AR511" s="92" t="n"/>
      <c r="AS511" s="92" t="n"/>
      <c r="AT511" s="92" t="n"/>
      <c r="AU511" s="92" t="n"/>
      <c r="AV511" s="92" t="n"/>
      <c r="AX511" s="139" t="inlineStr"/>
      <c r="AY511" s="139" t="inlineStr"/>
    </row>
    <row r="512" ht="16.5" customFormat="1" customHeight="1" s="56">
      <c r="A512" s="92" t="n"/>
      <c r="B512" s="92" t="n"/>
      <c r="C512" s="92" t="n"/>
      <c r="D512" s="92" t="n"/>
      <c r="E512" s="92" t="n"/>
      <c r="F512" s="92" t="n"/>
      <c r="G512" s="92" t="n"/>
      <c r="H512" s="92" t="n"/>
      <c r="I512" s="92" t="n"/>
      <c r="J512" s="92" t="n"/>
      <c r="K512" s="92" t="n"/>
      <c r="L512" s="92" t="n"/>
      <c r="M512" s="92" t="n"/>
      <c r="N512" s="92" t="n"/>
      <c r="O512" s="92" t="n"/>
      <c r="P512" s="92" t="n"/>
      <c r="Q512" s="92" t="n"/>
      <c r="R512" s="92" t="n"/>
      <c r="S512" s="92" t="n"/>
      <c r="T512" s="92" t="n"/>
      <c r="U512" s="92" t="n"/>
      <c r="V512" s="92" t="n"/>
      <c r="W512" s="92" t="n"/>
      <c r="X512" s="92" t="n"/>
      <c r="Y512" s="92" t="n"/>
      <c r="Z512" s="92" t="n"/>
      <c r="AA512" s="92" t="n"/>
      <c r="AB512" s="92" t="n"/>
      <c r="AC512" s="92" t="n"/>
      <c r="AD512" s="92" t="n"/>
      <c r="AE512" s="92" t="n"/>
      <c r="AF512" s="92" t="n"/>
      <c r="AG512" s="92" t="n"/>
      <c r="AH512" s="92" t="n"/>
      <c r="AI512" s="92" t="n"/>
      <c r="AJ512" s="92" t="n"/>
      <c r="AK512" s="92" t="n"/>
      <c r="AL512" s="92" t="n"/>
      <c r="AM512" s="92" t="n"/>
      <c r="AN512" s="92" t="n"/>
      <c r="AO512" s="92" t="n"/>
      <c r="AP512" s="92" t="n"/>
      <c r="AQ512" s="92" t="n"/>
      <c r="AR512" s="92" t="n"/>
      <c r="AS512" s="92" t="n"/>
      <c r="AT512" s="92" t="n"/>
      <c r="AU512" s="92" t="n"/>
      <c r="AV512" s="92" t="n"/>
      <c r="AX512" s="139" t="inlineStr"/>
      <c r="AY512" s="139" t="inlineStr"/>
    </row>
    <row r="513" ht="16.5" customFormat="1" customHeight="1" s="56">
      <c r="A513" s="92" t="n"/>
      <c r="B513" s="92" t="n"/>
      <c r="C513" s="92" t="n"/>
      <c r="D513" s="92" t="n"/>
      <c r="E513" s="92" t="n"/>
      <c r="F513" s="92" t="n"/>
      <c r="G513" s="92" t="n"/>
      <c r="H513" s="92" t="n"/>
      <c r="I513" s="92" t="n"/>
      <c r="J513" s="92" t="n"/>
      <c r="K513" s="92" t="n"/>
      <c r="L513" s="92" t="n"/>
      <c r="M513" s="92" t="n"/>
      <c r="N513" s="92" t="n"/>
      <c r="O513" s="92" t="n"/>
      <c r="P513" s="92" t="n"/>
      <c r="Q513" s="92" t="n"/>
      <c r="R513" s="92" t="n"/>
      <c r="S513" s="92" t="n"/>
      <c r="T513" s="92" t="n"/>
      <c r="U513" s="92" t="n"/>
      <c r="V513" s="92" t="n"/>
      <c r="W513" s="92" t="n"/>
      <c r="X513" s="92" t="n"/>
      <c r="Y513" s="92" t="n"/>
      <c r="Z513" s="92" t="n"/>
      <c r="AA513" s="92" t="n"/>
      <c r="AB513" s="92" t="n"/>
      <c r="AC513" s="92" t="n"/>
      <c r="AD513" s="92" t="n"/>
      <c r="AE513" s="92" t="n"/>
      <c r="AF513" s="92" t="n"/>
      <c r="AG513" s="92" t="n"/>
      <c r="AH513" s="92" t="n"/>
      <c r="AI513" s="92" t="n"/>
      <c r="AJ513" s="92" t="n"/>
      <c r="AK513" s="92" t="n"/>
      <c r="AL513" s="92" t="n"/>
      <c r="AM513" s="92" t="n"/>
      <c r="AN513" s="92" t="n"/>
      <c r="AO513" s="92" t="n"/>
      <c r="AP513" s="92" t="n"/>
      <c r="AQ513" s="92" t="n"/>
      <c r="AR513" s="92" t="n"/>
      <c r="AS513" s="92" t="n"/>
      <c r="AT513" s="92" t="n"/>
      <c r="AU513" s="92" t="n"/>
      <c r="AV513" s="92" t="n"/>
      <c r="AX513" s="139" t="inlineStr"/>
      <c r="AY513" s="139" t="inlineStr"/>
    </row>
    <row r="514" ht="16.5" customFormat="1" customHeight="1" s="56">
      <c r="A514" s="92" t="n"/>
      <c r="B514" s="92" t="n"/>
      <c r="C514" s="92" t="n"/>
      <c r="D514" s="92" t="n"/>
      <c r="E514" s="92" t="n"/>
      <c r="F514" s="92" t="n"/>
      <c r="G514" s="92" t="n"/>
      <c r="H514" s="92" t="n"/>
      <c r="I514" s="92" t="n"/>
      <c r="J514" s="92" t="n"/>
      <c r="K514" s="92" t="n"/>
      <c r="L514" s="92" t="n"/>
      <c r="M514" s="92" t="n"/>
      <c r="N514" s="92" t="n"/>
      <c r="O514" s="92" t="n"/>
      <c r="P514" s="92" t="n"/>
      <c r="Q514" s="92" t="n"/>
      <c r="R514" s="92" t="n"/>
      <c r="S514" s="92" t="n"/>
      <c r="T514" s="92" t="n"/>
      <c r="U514" s="92" t="n"/>
      <c r="V514" s="92" t="n"/>
      <c r="W514" s="92" t="n"/>
      <c r="X514" s="92" t="n"/>
      <c r="Y514" s="92" t="n"/>
      <c r="Z514" s="92" t="n"/>
      <c r="AA514" s="92" t="n"/>
      <c r="AB514" s="92" t="n"/>
      <c r="AC514" s="92" t="n"/>
      <c r="AD514" s="92" t="n"/>
      <c r="AE514" s="92" t="n"/>
      <c r="AF514" s="92" t="n"/>
      <c r="AG514" s="92" t="n"/>
      <c r="AH514" s="92" t="n"/>
      <c r="AI514" s="92" t="n"/>
      <c r="AJ514" s="92" t="n"/>
      <c r="AK514" s="92" t="n"/>
      <c r="AL514" s="92" t="n"/>
      <c r="AM514" s="92" t="n"/>
      <c r="AN514" s="92" t="n"/>
      <c r="AO514" s="92" t="n"/>
      <c r="AP514" s="92" t="n"/>
      <c r="AQ514" s="92" t="n"/>
      <c r="AR514" s="92" t="n"/>
      <c r="AS514" s="92" t="n"/>
      <c r="AT514" s="92" t="n"/>
      <c r="AU514" s="92" t="n"/>
      <c r="AV514" s="92" t="n"/>
      <c r="AX514" s="139" t="inlineStr"/>
      <c r="AY514" s="139" t="inlineStr"/>
    </row>
    <row r="515" ht="16.5" customFormat="1" customHeight="1" s="56">
      <c r="A515" s="92" t="n"/>
      <c r="B515" s="92" t="n"/>
      <c r="C515" s="92" t="n"/>
      <c r="D515" s="92" t="n"/>
      <c r="E515" s="92" t="n"/>
      <c r="F515" s="92" t="n"/>
      <c r="G515" s="92" t="n"/>
      <c r="H515" s="92" t="n"/>
      <c r="I515" s="92" t="n"/>
      <c r="J515" s="92" t="n"/>
      <c r="K515" s="92" t="n"/>
      <c r="L515" s="92" t="n"/>
      <c r="M515" s="92" t="n"/>
      <c r="N515" s="92" t="n"/>
      <c r="O515" s="92" t="n"/>
      <c r="P515" s="92" t="n"/>
      <c r="Q515" s="92" t="n"/>
      <c r="R515" s="92" t="n"/>
      <c r="S515" s="92" t="n"/>
      <c r="T515" s="92" t="n"/>
      <c r="U515" s="92" t="n"/>
      <c r="V515" s="92" t="n"/>
      <c r="W515" s="92" t="n"/>
      <c r="X515" s="92" t="n"/>
      <c r="Y515" s="92" t="n"/>
      <c r="Z515" s="92" t="n"/>
      <c r="AA515" s="92" t="n"/>
      <c r="AB515" s="92" t="n"/>
      <c r="AC515" s="92" t="n"/>
      <c r="AD515" s="92" t="n"/>
      <c r="AE515" s="92" t="n"/>
      <c r="AF515" s="92" t="n"/>
      <c r="AG515" s="92" t="n"/>
      <c r="AH515" s="92" t="n"/>
      <c r="AI515" s="92" t="n"/>
      <c r="AJ515" s="92" t="n"/>
      <c r="AK515" s="92" t="n"/>
      <c r="AL515" s="92" t="n"/>
      <c r="AM515" s="92" t="n"/>
      <c r="AN515" s="92" t="n"/>
      <c r="AO515" s="92" t="n"/>
      <c r="AP515" s="92" t="n"/>
      <c r="AQ515" s="92" t="n"/>
      <c r="AR515" s="92" t="n"/>
      <c r="AS515" s="92" t="n"/>
      <c r="AT515" s="92" t="n"/>
      <c r="AU515" s="92" t="n"/>
      <c r="AV515" s="92" t="n"/>
      <c r="AX515" s="139" t="inlineStr"/>
      <c r="AY515" s="139" t="inlineStr"/>
    </row>
    <row r="516" ht="16.5" customFormat="1" customHeight="1" s="56">
      <c r="A516" s="92" t="n"/>
      <c r="B516" s="92" t="n"/>
      <c r="C516" s="92" t="n"/>
      <c r="D516" s="92" t="n"/>
      <c r="E516" s="92" t="n"/>
      <c r="F516" s="92" t="n"/>
      <c r="G516" s="92" t="n"/>
      <c r="H516" s="92" t="n"/>
      <c r="I516" s="92" t="n"/>
      <c r="J516" s="92" t="n"/>
      <c r="K516" s="92" t="n"/>
      <c r="L516" s="92" t="n"/>
      <c r="M516" s="92" t="n"/>
      <c r="N516" s="92" t="n"/>
      <c r="O516" s="92" t="n"/>
      <c r="P516" s="92" t="n"/>
      <c r="Q516" s="92" t="n"/>
      <c r="R516" s="92" t="n"/>
      <c r="S516" s="92" t="n"/>
      <c r="T516" s="92" t="n"/>
      <c r="U516" s="92" t="n"/>
      <c r="V516" s="92" t="n"/>
      <c r="W516" s="92" t="n"/>
      <c r="X516" s="92" t="n"/>
      <c r="Y516" s="92" t="n"/>
      <c r="Z516" s="92" t="n"/>
      <c r="AA516" s="92" t="n"/>
      <c r="AB516" s="92" t="n"/>
      <c r="AC516" s="92" t="n"/>
      <c r="AD516" s="92" t="n"/>
      <c r="AE516" s="92" t="n"/>
      <c r="AF516" s="92" t="n"/>
      <c r="AG516" s="92" t="n"/>
      <c r="AH516" s="92" t="n"/>
      <c r="AI516" s="92" t="n"/>
      <c r="AJ516" s="92" t="n"/>
      <c r="AK516" s="92" t="n"/>
      <c r="AL516" s="92" t="n"/>
      <c r="AM516" s="92" t="n"/>
      <c r="AN516" s="92" t="n"/>
      <c r="AO516" s="92" t="n"/>
      <c r="AP516" s="92" t="n"/>
      <c r="AQ516" s="92" t="n"/>
      <c r="AR516" s="92" t="n"/>
      <c r="AS516" s="92" t="n"/>
      <c r="AT516" s="92" t="n"/>
      <c r="AU516" s="92" t="n"/>
      <c r="AV516" s="92" t="n"/>
      <c r="AX516" s="139" t="inlineStr"/>
      <c r="AY516" s="139" t="inlineStr"/>
    </row>
    <row r="517" ht="16.5" customFormat="1" customHeight="1" s="56">
      <c r="A517" s="92" t="n"/>
      <c r="B517" s="92" t="n"/>
      <c r="C517" s="92" t="n"/>
      <c r="D517" s="92" t="n"/>
      <c r="E517" s="92" t="n"/>
      <c r="F517" s="92" t="n"/>
      <c r="G517" s="92" t="n"/>
      <c r="H517" s="92" t="n"/>
      <c r="I517" s="92" t="n"/>
      <c r="J517" s="92" t="n"/>
      <c r="K517" s="92" t="n"/>
      <c r="L517" s="92" t="n"/>
      <c r="M517" s="92" t="n"/>
      <c r="N517" s="92" t="n"/>
      <c r="O517" s="92" t="n"/>
      <c r="P517" s="92" t="n"/>
      <c r="Q517" s="92" t="n"/>
      <c r="R517" s="92" t="n"/>
      <c r="S517" s="92" t="n"/>
      <c r="T517" s="92" t="n"/>
      <c r="U517" s="92" t="n"/>
      <c r="V517" s="92" t="n"/>
      <c r="W517" s="92" t="n"/>
      <c r="X517" s="92" t="n"/>
      <c r="Y517" s="92" t="n"/>
      <c r="Z517" s="92" t="n"/>
      <c r="AA517" s="92" t="n"/>
      <c r="AB517" s="92" t="n"/>
      <c r="AC517" s="92" t="n"/>
      <c r="AD517" s="92" t="n"/>
      <c r="AE517" s="92" t="n"/>
      <c r="AF517" s="92" t="n"/>
      <c r="AG517" s="92" t="n"/>
      <c r="AH517" s="92" t="n"/>
      <c r="AI517" s="92" t="n"/>
      <c r="AJ517" s="92" t="n"/>
      <c r="AK517" s="92" t="n"/>
      <c r="AL517" s="92" t="n"/>
      <c r="AM517" s="92" t="n"/>
      <c r="AN517" s="92" t="n"/>
      <c r="AO517" s="92" t="n"/>
      <c r="AP517" s="92" t="n"/>
      <c r="AQ517" s="92" t="n"/>
      <c r="AR517" s="92" t="n"/>
      <c r="AS517" s="92" t="n"/>
      <c r="AT517" s="92" t="n"/>
      <c r="AU517" s="92" t="n"/>
      <c r="AV517" s="92" t="n"/>
      <c r="AX517" s="139" t="inlineStr"/>
      <c r="AY517" s="139" t="inlineStr"/>
    </row>
    <row r="518" ht="16.5" customFormat="1" customHeight="1" s="56">
      <c r="A518" s="92" t="n"/>
      <c r="B518" s="92" t="n"/>
      <c r="C518" s="92" t="n"/>
      <c r="D518" s="92" t="n"/>
      <c r="E518" s="92" t="n"/>
      <c r="F518" s="92" t="n"/>
      <c r="G518" s="92" t="n"/>
      <c r="H518" s="92" t="n"/>
      <c r="I518" s="92" t="n"/>
      <c r="J518" s="92" t="n"/>
      <c r="K518" s="92" t="n"/>
      <c r="L518" s="92" t="n"/>
      <c r="M518" s="92" t="n"/>
      <c r="N518" s="92" t="n"/>
      <c r="O518" s="92" t="n"/>
      <c r="P518" s="92" t="n"/>
      <c r="Q518" s="92" t="n"/>
      <c r="R518" s="92" t="n"/>
      <c r="S518" s="92" t="n"/>
      <c r="T518" s="92" t="n"/>
      <c r="U518" s="92" t="n"/>
      <c r="V518" s="92" t="n"/>
      <c r="W518" s="92" t="n"/>
      <c r="X518" s="92" t="n"/>
      <c r="Y518" s="92" t="n"/>
      <c r="Z518" s="92" t="n"/>
      <c r="AA518" s="92" t="n"/>
      <c r="AB518" s="92" t="n"/>
      <c r="AC518" s="92" t="n"/>
      <c r="AD518" s="92" t="n"/>
      <c r="AE518" s="92" t="n"/>
      <c r="AF518" s="92" t="n"/>
      <c r="AG518" s="92" t="n"/>
      <c r="AH518" s="92" t="n"/>
      <c r="AI518" s="92" t="n"/>
      <c r="AJ518" s="92" t="n"/>
      <c r="AK518" s="92" t="n"/>
      <c r="AL518" s="92" t="n"/>
      <c r="AM518" s="92" t="n"/>
      <c r="AN518" s="92" t="n"/>
      <c r="AO518" s="92" t="n"/>
      <c r="AP518" s="92" t="n"/>
      <c r="AQ518" s="92" t="n"/>
      <c r="AR518" s="92" t="n"/>
      <c r="AS518" s="92" t="n"/>
      <c r="AT518" s="92" t="n"/>
      <c r="AU518" s="92" t="n"/>
      <c r="AV518" s="92" t="n"/>
      <c r="AX518" s="139" t="inlineStr"/>
      <c r="AY518" s="139" t="inlineStr"/>
    </row>
    <row r="519" ht="16.5" customFormat="1" customHeight="1" s="56">
      <c r="A519" s="92" t="n"/>
      <c r="B519" s="92" t="n"/>
      <c r="C519" s="92" t="n"/>
      <c r="D519" s="92" t="n"/>
      <c r="E519" s="92" t="n"/>
      <c r="F519" s="92" t="n"/>
      <c r="G519" s="92" t="n"/>
      <c r="H519" s="92" t="n"/>
      <c r="I519" s="92" t="n"/>
      <c r="J519" s="92" t="n"/>
      <c r="K519" s="92" t="n"/>
      <c r="L519" s="92" t="n"/>
      <c r="M519" s="92" t="n"/>
      <c r="N519" s="92" t="n"/>
      <c r="O519" s="92" t="n"/>
      <c r="P519" s="92" t="n"/>
      <c r="Q519" s="92" t="n"/>
      <c r="R519" s="92" t="n"/>
      <c r="S519" s="92" t="n"/>
      <c r="T519" s="92" t="n"/>
      <c r="U519" s="92" t="n"/>
      <c r="V519" s="92" t="n"/>
      <c r="W519" s="92" t="n"/>
      <c r="X519" s="92" t="n"/>
      <c r="Y519" s="92" t="n"/>
      <c r="Z519" s="92" t="n"/>
      <c r="AA519" s="92" t="n"/>
      <c r="AB519" s="92" t="n"/>
      <c r="AC519" s="92" t="n"/>
      <c r="AD519" s="92" t="n"/>
      <c r="AE519" s="92" t="n"/>
      <c r="AF519" s="92" t="n"/>
      <c r="AG519" s="92" t="n"/>
      <c r="AH519" s="92" t="n"/>
      <c r="AI519" s="92" t="n"/>
      <c r="AJ519" s="92" t="n"/>
      <c r="AK519" s="92" t="n"/>
      <c r="AL519" s="92" t="n"/>
      <c r="AM519" s="92" t="n"/>
      <c r="AN519" s="92" t="n"/>
      <c r="AO519" s="92" t="n"/>
      <c r="AP519" s="92" t="n"/>
      <c r="AQ519" s="92" t="n"/>
      <c r="AR519" s="92" t="n"/>
      <c r="AS519" s="92" t="n"/>
      <c r="AT519" s="92" t="n"/>
      <c r="AU519" s="92" t="n"/>
      <c r="AV519" s="92" t="n"/>
      <c r="AX519" s="139" t="inlineStr"/>
      <c r="AY519" s="139" t="inlineStr"/>
    </row>
    <row r="520" ht="16.5" customFormat="1" customHeight="1" s="56">
      <c r="A520" s="92" t="n"/>
      <c r="B520" s="92" t="n"/>
      <c r="C520" s="92" t="n"/>
      <c r="D520" s="92" t="n"/>
      <c r="E520" s="92" t="n"/>
      <c r="F520" s="92" t="n"/>
      <c r="G520" s="92" t="n"/>
      <c r="H520" s="92" t="n"/>
      <c r="I520" s="92" t="n"/>
      <c r="J520" s="92" t="n"/>
      <c r="K520" s="92" t="n"/>
      <c r="L520" s="92" t="n"/>
      <c r="M520" s="92" t="n"/>
      <c r="N520" s="92" t="n"/>
      <c r="O520" s="92" t="n"/>
      <c r="P520" s="92" t="n"/>
      <c r="Q520" s="92" t="n"/>
      <c r="R520" s="92" t="n"/>
      <c r="S520" s="92" t="n"/>
      <c r="T520" s="92" t="n"/>
      <c r="U520" s="92" t="n"/>
      <c r="V520" s="92" t="n"/>
      <c r="W520" s="92" t="n"/>
      <c r="X520" s="92" t="n"/>
      <c r="Y520" s="92" t="n"/>
      <c r="Z520" s="92" t="n"/>
      <c r="AA520" s="92" t="n"/>
      <c r="AB520" s="92" t="n"/>
      <c r="AC520" s="92" t="n"/>
      <c r="AD520" s="92" t="n"/>
      <c r="AE520" s="92" t="n"/>
      <c r="AF520" s="92" t="n"/>
      <c r="AG520" s="92" t="n"/>
      <c r="AH520" s="92" t="n"/>
      <c r="AI520" s="92" t="n"/>
      <c r="AJ520" s="92" t="n"/>
      <c r="AK520" s="92" t="n"/>
      <c r="AL520" s="92" t="n"/>
      <c r="AM520" s="92" t="n"/>
      <c r="AN520" s="92" t="n"/>
      <c r="AO520" s="92" t="n"/>
      <c r="AP520" s="92" t="n"/>
      <c r="AQ520" s="92" t="n"/>
      <c r="AR520" s="92" t="n"/>
      <c r="AS520" s="92" t="n"/>
      <c r="AT520" s="92" t="n"/>
      <c r="AU520" s="92" t="n"/>
      <c r="AV520" s="92" t="n"/>
      <c r="AX520" s="139" t="inlineStr"/>
      <c r="AY520" s="139" t="inlineStr"/>
    </row>
    <row r="521" ht="16.5" customFormat="1" customHeight="1" s="56">
      <c r="A521" s="92" t="n"/>
      <c r="B521" s="92" t="n"/>
      <c r="C521" s="92" t="n"/>
      <c r="D521" s="92" t="n"/>
      <c r="E521" s="92" t="n"/>
      <c r="F521" s="92" t="n"/>
      <c r="G521" s="92" t="n"/>
      <c r="H521" s="92" t="n"/>
      <c r="I521" s="92" t="n"/>
      <c r="J521" s="92" t="n"/>
      <c r="K521" s="92" t="n"/>
      <c r="L521" s="92" t="n"/>
      <c r="M521" s="92" t="n"/>
      <c r="N521" s="92" t="n"/>
      <c r="O521" s="92" t="n"/>
      <c r="P521" s="92" t="n"/>
      <c r="Q521" s="92" t="n"/>
      <c r="R521" s="92" t="n"/>
      <c r="S521" s="92" t="n"/>
      <c r="T521" s="92" t="n"/>
      <c r="U521" s="92" t="n"/>
      <c r="V521" s="92" t="n"/>
      <c r="W521" s="92" t="n"/>
      <c r="X521" s="92" t="n"/>
      <c r="Y521" s="92" t="n"/>
      <c r="Z521" s="92" t="n"/>
      <c r="AA521" s="92" t="n"/>
      <c r="AB521" s="92" t="n"/>
      <c r="AC521" s="92" t="n"/>
      <c r="AD521" s="92" t="n"/>
      <c r="AE521" s="92" t="n"/>
      <c r="AF521" s="92" t="n"/>
      <c r="AG521" s="92" t="n"/>
      <c r="AH521" s="92" t="n"/>
      <c r="AI521" s="92" t="n"/>
      <c r="AJ521" s="92" t="n"/>
      <c r="AK521" s="92" t="n"/>
      <c r="AL521" s="92" t="n"/>
      <c r="AM521" s="92" t="n"/>
      <c r="AN521" s="92" t="n"/>
      <c r="AO521" s="92" t="n"/>
      <c r="AP521" s="92" t="n"/>
      <c r="AQ521" s="92" t="n"/>
      <c r="AR521" s="92" t="n"/>
      <c r="AS521" s="92" t="n"/>
      <c r="AT521" s="92" t="n"/>
      <c r="AU521" s="92" t="n"/>
      <c r="AV521" s="92" t="n"/>
      <c r="AX521" s="139" t="inlineStr"/>
      <c r="AY521" s="139" t="inlineStr"/>
    </row>
    <row r="522" ht="16.5" customFormat="1" customHeight="1" s="56">
      <c r="A522" s="92" t="n"/>
      <c r="B522" s="92" t="n"/>
      <c r="C522" s="92" t="n"/>
      <c r="D522" s="92" t="n"/>
      <c r="E522" s="92" t="n"/>
      <c r="F522" s="92" t="n"/>
      <c r="G522" s="92" t="n"/>
      <c r="H522" s="92" t="n"/>
      <c r="I522" s="92" t="n"/>
      <c r="J522" s="92" t="n"/>
      <c r="K522" s="92" t="n"/>
      <c r="L522" s="92" t="n"/>
      <c r="M522" s="92" t="n"/>
      <c r="N522" s="92" t="n"/>
      <c r="O522" s="92" t="n"/>
      <c r="P522" s="92" t="n"/>
      <c r="Q522" s="92" t="n"/>
      <c r="R522" s="92" t="n"/>
      <c r="S522" s="92" t="n"/>
      <c r="T522" s="92" t="n"/>
      <c r="U522" s="92" t="n"/>
      <c r="V522" s="92" t="n"/>
      <c r="W522" s="92" t="n"/>
      <c r="X522" s="92" t="n"/>
      <c r="Y522" s="92" t="n"/>
      <c r="Z522" s="92" t="n"/>
      <c r="AA522" s="92" t="n"/>
      <c r="AB522" s="92" t="n"/>
      <c r="AC522" s="92" t="n"/>
      <c r="AD522" s="92" t="n"/>
      <c r="AE522" s="92" t="n"/>
      <c r="AF522" s="92" t="n"/>
      <c r="AG522" s="92" t="n"/>
      <c r="AH522" s="92" t="n"/>
      <c r="AI522" s="92" t="n"/>
      <c r="AJ522" s="92" t="n"/>
      <c r="AK522" s="92" t="n"/>
      <c r="AL522" s="92" t="n"/>
      <c r="AM522" s="92" t="n"/>
      <c r="AN522" s="92" t="n"/>
      <c r="AO522" s="92" t="n"/>
      <c r="AP522" s="92" t="n"/>
      <c r="AQ522" s="92" t="n"/>
      <c r="AR522" s="92" t="n"/>
      <c r="AS522" s="92" t="n"/>
      <c r="AT522" s="92" t="n"/>
      <c r="AU522" s="92" t="n"/>
      <c r="AV522" s="92" t="n"/>
      <c r="AX522" s="139" t="inlineStr"/>
      <c r="AY522" s="139" t="inlineStr"/>
    </row>
    <row r="523" ht="16.5" customFormat="1" customHeight="1" s="56">
      <c r="A523" s="92" t="n"/>
      <c r="B523" s="92" t="n"/>
      <c r="C523" s="92" t="n"/>
      <c r="D523" s="92" t="n"/>
      <c r="E523" s="92" t="n"/>
      <c r="F523" s="92" t="n"/>
      <c r="G523" s="92" t="n"/>
      <c r="H523" s="92" t="n"/>
      <c r="I523" s="92" t="n"/>
      <c r="J523" s="92" t="n"/>
      <c r="K523" s="92" t="n"/>
      <c r="L523" s="92" t="n"/>
      <c r="M523" s="92" t="n"/>
      <c r="N523" s="92" t="n"/>
      <c r="O523" s="92" t="n"/>
      <c r="P523" s="92" t="n"/>
      <c r="Q523" s="92" t="n"/>
      <c r="R523" s="92" t="n"/>
      <c r="S523" s="92" t="n"/>
      <c r="T523" s="92" t="n"/>
      <c r="U523" s="92" t="n"/>
      <c r="V523" s="92" t="n"/>
      <c r="W523" s="92" t="n"/>
      <c r="X523" s="92" t="n"/>
      <c r="Y523" s="92" t="n"/>
      <c r="Z523" s="92" t="n"/>
      <c r="AA523" s="92" t="n"/>
      <c r="AB523" s="92" t="n"/>
      <c r="AC523" s="92" t="n"/>
      <c r="AD523" s="92" t="n"/>
      <c r="AE523" s="92" t="n"/>
      <c r="AF523" s="92" t="n"/>
      <c r="AG523" s="92" t="n"/>
      <c r="AH523" s="92" t="n"/>
      <c r="AI523" s="92" t="n"/>
      <c r="AJ523" s="92" t="n"/>
      <c r="AK523" s="92" t="n"/>
      <c r="AL523" s="92" t="n"/>
      <c r="AM523" s="92" t="n"/>
      <c r="AN523" s="92" t="n"/>
      <c r="AO523" s="92" t="n"/>
      <c r="AP523" s="92" t="n"/>
      <c r="AQ523" s="92" t="n"/>
      <c r="AR523" s="92" t="n"/>
      <c r="AS523" s="92" t="n"/>
      <c r="AT523" s="92" t="n"/>
      <c r="AU523" s="92" t="n"/>
      <c r="AV523" s="92" t="n"/>
      <c r="AX523" s="139" t="inlineStr"/>
      <c r="AY523" s="139" t="inlineStr"/>
    </row>
    <row r="524" ht="16.5" customFormat="1" customHeight="1" s="56">
      <c r="A524" s="92" t="n"/>
      <c r="B524" s="92" t="n"/>
      <c r="C524" s="92" t="n"/>
      <c r="D524" s="92" t="n"/>
      <c r="E524" s="92" t="n"/>
      <c r="F524" s="92" t="n"/>
      <c r="G524" s="92" t="n"/>
      <c r="H524" s="92" t="n"/>
      <c r="I524" s="92" t="n"/>
      <c r="J524" s="92" t="n"/>
      <c r="K524" s="92" t="n"/>
      <c r="L524" s="92" t="n"/>
      <c r="M524" s="92" t="n"/>
      <c r="N524" s="92" t="n"/>
      <c r="O524" s="92" t="n"/>
      <c r="P524" s="92" t="n"/>
      <c r="Q524" s="92" t="n"/>
      <c r="R524" s="92" t="n"/>
      <c r="S524" s="92" t="n"/>
      <c r="T524" s="92" t="n"/>
      <c r="U524" s="92" t="n"/>
      <c r="V524" s="92" t="n"/>
      <c r="W524" s="92" t="n"/>
      <c r="X524" s="92" t="n"/>
      <c r="Y524" s="92" t="n"/>
      <c r="Z524" s="92" t="n"/>
      <c r="AA524" s="92" t="n"/>
      <c r="AB524" s="92" t="n"/>
      <c r="AC524" s="92" t="n"/>
      <c r="AD524" s="92" t="n"/>
      <c r="AE524" s="92" t="n"/>
      <c r="AF524" s="92" t="n"/>
      <c r="AG524" s="92" t="n"/>
      <c r="AH524" s="92" t="n"/>
      <c r="AI524" s="92" t="n"/>
      <c r="AJ524" s="92" t="n"/>
      <c r="AK524" s="92" t="n"/>
      <c r="AL524" s="92" t="n"/>
      <c r="AM524" s="92" t="n"/>
      <c r="AN524" s="92" t="n"/>
      <c r="AO524" s="92" t="n"/>
      <c r="AP524" s="92" t="n"/>
      <c r="AQ524" s="92" t="n"/>
      <c r="AR524" s="92" t="n"/>
      <c r="AS524" s="92" t="n"/>
      <c r="AT524" s="92" t="n"/>
      <c r="AU524" s="92" t="n"/>
      <c r="AV524" s="92" t="n"/>
      <c r="AX524" s="139" t="inlineStr"/>
      <c r="AY524" s="139" t="inlineStr"/>
    </row>
    <row r="525" ht="16.5" customFormat="1" customHeight="1" s="56">
      <c r="A525" s="92" t="n"/>
      <c r="B525" s="92" t="n"/>
      <c r="C525" s="92" t="n"/>
      <c r="D525" s="92" t="n"/>
      <c r="E525" s="92" t="n"/>
      <c r="F525" s="92" t="n"/>
      <c r="G525" s="92" t="n"/>
      <c r="H525" s="92" t="n"/>
      <c r="I525" s="92" t="n"/>
      <c r="J525" s="92" t="n"/>
      <c r="K525" s="92" t="n"/>
      <c r="L525" s="92" t="n"/>
      <c r="M525" s="92" t="n"/>
      <c r="N525" s="92" t="n"/>
      <c r="O525" s="92" t="n"/>
      <c r="P525" s="92" t="n"/>
      <c r="Q525" s="92" t="n"/>
      <c r="R525" s="92" t="n"/>
      <c r="S525" s="92" t="n"/>
      <c r="T525" s="92" t="n"/>
      <c r="U525" s="92" t="n"/>
      <c r="V525" s="92" t="n"/>
      <c r="W525" s="92" t="n"/>
      <c r="X525" s="92" t="n"/>
      <c r="Y525" s="92" t="n"/>
      <c r="Z525" s="92" t="n"/>
      <c r="AA525" s="92" t="n"/>
      <c r="AB525" s="92" t="n"/>
      <c r="AC525" s="92" t="n"/>
      <c r="AD525" s="92" t="n"/>
      <c r="AE525" s="92" t="n"/>
      <c r="AF525" s="92" t="n"/>
      <c r="AG525" s="92" t="n"/>
      <c r="AH525" s="92" t="n"/>
      <c r="AI525" s="92" t="n"/>
      <c r="AJ525" s="92" t="n"/>
      <c r="AK525" s="92" t="n"/>
      <c r="AL525" s="92" t="n"/>
      <c r="AM525" s="92" t="n"/>
      <c r="AN525" s="92" t="n"/>
      <c r="AO525" s="92" t="n"/>
      <c r="AP525" s="92" t="n"/>
      <c r="AQ525" s="92" t="n"/>
      <c r="AR525" s="92" t="n"/>
      <c r="AS525" s="92" t="n"/>
      <c r="AT525" s="92" t="n"/>
      <c r="AU525" s="92" t="n"/>
      <c r="AV525" s="92" t="n"/>
      <c r="AX525" s="139" t="inlineStr"/>
      <c r="AY525" s="139" t="inlineStr"/>
    </row>
    <row r="526" ht="16.5" customFormat="1" customHeight="1" s="56">
      <c r="A526" s="92" t="n"/>
      <c r="B526" s="92" t="n"/>
      <c r="C526" s="92" t="n"/>
      <c r="D526" s="92" t="n"/>
      <c r="E526" s="92" t="n"/>
      <c r="F526" s="92" t="n"/>
      <c r="G526" s="92" t="n"/>
      <c r="H526" s="92" t="n"/>
      <c r="I526" s="92" t="n"/>
      <c r="J526" s="92" t="n"/>
      <c r="K526" s="92" t="n"/>
      <c r="L526" s="92" t="n"/>
      <c r="M526" s="92" t="n"/>
      <c r="N526" s="92" t="n"/>
      <c r="O526" s="92" t="n"/>
      <c r="P526" s="92" t="n"/>
      <c r="Q526" s="92" t="n"/>
      <c r="R526" s="92" t="n"/>
      <c r="S526" s="92" t="n"/>
      <c r="T526" s="92" t="n"/>
      <c r="U526" s="92" t="n"/>
      <c r="V526" s="92" t="n"/>
      <c r="W526" s="92" t="n"/>
      <c r="X526" s="92" t="n"/>
      <c r="Y526" s="92" t="n"/>
      <c r="Z526" s="92" t="n"/>
      <c r="AA526" s="92" t="n"/>
      <c r="AB526" s="92" t="n"/>
      <c r="AC526" s="92" t="n"/>
      <c r="AD526" s="92" t="n"/>
      <c r="AE526" s="92" t="n"/>
      <c r="AF526" s="92" t="n"/>
      <c r="AG526" s="92" t="n"/>
      <c r="AH526" s="92" t="n"/>
      <c r="AI526" s="92" t="n"/>
      <c r="AJ526" s="92" t="n"/>
      <c r="AK526" s="92" t="n"/>
      <c r="AL526" s="92" t="n"/>
      <c r="AM526" s="92" t="n"/>
      <c r="AN526" s="92" t="n"/>
      <c r="AO526" s="92" t="n"/>
      <c r="AP526" s="92" t="n"/>
      <c r="AQ526" s="92" t="n"/>
      <c r="AR526" s="92" t="n"/>
      <c r="AS526" s="92" t="n"/>
      <c r="AT526" s="92" t="n"/>
      <c r="AU526" s="92" t="n"/>
      <c r="AV526" s="92" t="n"/>
      <c r="AX526" s="139" t="inlineStr"/>
      <c r="AY526" s="139" t="inlineStr"/>
    </row>
    <row r="527" ht="16.5" customFormat="1" customHeight="1" s="56">
      <c r="A527" s="92" t="n"/>
      <c r="B527" s="92" t="n"/>
      <c r="C527" s="92" t="n"/>
      <c r="D527" s="92" t="n"/>
      <c r="E527" s="92" t="n"/>
      <c r="F527" s="92" t="n"/>
      <c r="G527" s="92" t="n"/>
      <c r="H527" s="92" t="n"/>
      <c r="I527" s="92" t="n"/>
      <c r="J527" s="92" t="n"/>
      <c r="K527" s="92" t="n"/>
      <c r="L527" s="92" t="n"/>
      <c r="M527" s="92" t="n"/>
      <c r="N527" s="92" t="n"/>
      <c r="O527" s="92" t="n"/>
      <c r="P527" s="92" t="n"/>
      <c r="Q527" s="92" t="n"/>
      <c r="R527" s="92" t="n"/>
      <c r="S527" s="92" t="n"/>
      <c r="T527" s="92" t="n"/>
      <c r="U527" s="92" t="n"/>
      <c r="V527" s="92" t="n"/>
      <c r="W527" s="92" t="n"/>
      <c r="X527" s="92" t="n"/>
      <c r="Y527" s="92" t="n"/>
      <c r="Z527" s="92" t="n"/>
      <c r="AA527" s="92" t="n"/>
      <c r="AB527" s="92" t="n"/>
      <c r="AC527" s="92" t="n"/>
      <c r="AD527" s="92" t="n"/>
      <c r="AE527" s="92" t="n"/>
      <c r="AF527" s="92" t="n"/>
      <c r="AG527" s="92" t="n"/>
      <c r="AH527" s="92" t="n"/>
      <c r="AI527" s="92" t="n"/>
      <c r="AJ527" s="92" t="n"/>
      <c r="AK527" s="92" t="n"/>
      <c r="AL527" s="92" t="n"/>
      <c r="AM527" s="92" t="n"/>
      <c r="AN527" s="92" t="n"/>
      <c r="AO527" s="92" t="n"/>
      <c r="AP527" s="92" t="n"/>
      <c r="AQ527" s="92" t="n"/>
      <c r="AR527" s="92" t="n"/>
      <c r="AS527" s="92" t="n"/>
      <c r="AT527" s="92" t="n"/>
      <c r="AU527" s="92" t="n"/>
      <c r="AV527" s="92" t="n"/>
      <c r="AX527" s="139" t="inlineStr"/>
      <c r="AY527" s="139" t="inlineStr"/>
    </row>
    <row r="528" ht="16.5" customFormat="1" customHeight="1" s="56">
      <c r="A528" s="92" t="n"/>
      <c r="B528" s="92" t="n"/>
      <c r="C528" s="92" t="n"/>
      <c r="D528" s="92" t="n"/>
      <c r="E528" s="92" t="n"/>
      <c r="F528" s="92" t="n"/>
      <c r="G528" s="92" t="n"/>
      <c r="H528" s="92" t="n"/>
      <c r="I528" s="92" t="n"/>
      <c r="J528" s="92" t="n"/>
      <c r="K528" s="92" t="n"/>
      <c r="L528" s="92" t="n"/>
      <c r="M528" s="92" t="n"/>
      <c r="N528" s="92" t="n"/>
      <c r="O528" s="92" t="n"/>
      <c r="P528" s="92" t="n"/>
      <c r="Q528" s="92" t="n"/>
      <c r="R528" s="92" t="n"/>
      <c r="S528" s="92" t="n"/>
      <c r="T528" s="92" t="n"/>
      <c r="U528" s="92" t="n"/>
      <c r="V528" s="92" t="n"/>
      <c r="W528" s="92" t="n"/>
      <c r="X528" s="92" t="n"/>
      <c r="Y528" s="92" t="n"/>
      <c r="Z528" s="92" t="n"/>
      <c r="AA528" s="92" t="n"/>
      <c r="AB528" s="92" t="n"/>
      <c r="AC528" s="92" t="n"/>
      <c r="AD528" s="92" t="n"/>
      <c r="AE528" s="92" t="n"/>
      <c r="AF528" s="92" t="n"/>
      <c r="AG528" s="92" t="n"/>
      <c r="AH528" s="92" t="n"/>
      <c r="AI528" s="92" t="n"/>
      <c r="AJ528" s="92" t="n"/>
      <c r="AK528" s="92" t="n"/>
      <c r="AL528" s="92" t="n"/>
      <c r="AM528" s="92" t="n"/>
      <c r="AN528" s="92" t="n"/>
      <c r="AO528" s="92" t="n"/>
      <c r="AP528" s="92" t="n"/>
      <c r="AQ528" s="92" t="n"/>
      <c r="AR528" s="92" t="n"/>
      <c r="AS528" s="92" t="n"/>
      <c r="AT528" s="92" t="n"/>
      <c r="AU528" s="92" t="n"/>
      <c r="AV528" s="92" t="n"/>
      <c r="AX528" s="139" t="inlineStr"/>
      <c r="AY528" s="139" t="inlineStr"/>
      <c r="AZ528" s="139" t="n"/>
      <c r="BA528" s="113" t="inlineStr">
        <is>
          <t>20평대</t>
        </is>
      </c>
      <c r="BB528" s="140" t="n">
        <v>0</v>
      </c>
      <c r="BC528" s="140" t="n">
        <v>0</v>
      </c>
      <c r="BD528" s="140" t="n">
        <v>0</v>
      </c>
      <c r="BE528" s="140" t="n">
        <v>0</v>
      </c>
      <c r="BF528" s="140" t="n">
        <v>0</v>
      </c>
    </row>
    <row r="529" ht="16.5" customFormat="1" customHeight="1" s="56">
      <c r="A529" s="92" t="n"/>
      <c r="B529" s="92" t="n"/>
      <c r="C529" s="92" t="n"/>
      <c r="D529" s="92" t="n"/>
      <c r="E529" s="92" t="n"/>
      <c r="F529" s="92" t="n"/>
      <c r="G529" s="92" t="n"/>
      <c r="H529" s="92" t="n"/>
      <c r="I529" s="92" t="n"/>
      <c r="J529" s="92" t="n"/>
      <c r="K529" s="92" t="n"/>
      <c r="L529" s="92" t="n"/>
      <c r="M529" s="92" t="n"/>
      <c r="N529" s="92" t="n"/>
      <c r="O529" s="92" t="n"/>
      <c r="P529" s="92" t="n"/>
      <c r="Q529" s="92" t="n"/>
      <c r="R529" s="92" t="n"/>
      <c r="S529" s="92" t="n"/>
      <c r="T529" s="92" t="n"/>
      <c r="U529" s="92" t="n"/>
      <c r="V529" s="92" t="n"/>
      <c r="W529" s="92" t="n"/>
      <c r="X529" s="92" t="n"/>
      <c r="Y529" s="92" t="n"/>
      <c r="Z529" s="92" t="n"/>
      <c r="AA529" s="92" t="n"/>
      <c r="AB529" s="92" t="n"/>
      <c r="AC529" s="92" t="n"/>
      <c r="AD529" s="92" t="n"/>
      <c r="AE529" s="92" t="n"/>
      <c r="AF529" s="92" t="n"/>
      <c r="AG529" s="92" t="n"/>
      <c r="AH529" s="92" t="n"/>
      <c r="AI529" s="92" t="n"/>
      <c r="AJ529" s="92" t="n"/>
      <c r="AK529" s="92" t="n"/>
      <c r="AL529" s="92" t="n"/>
      <c r="AM529" s="92" t="n"/>
      <c r="AN529" s="92" t="n"/>
      <c r="AO529" s="92" t="n"/>
      <c r="AP529" s="92" t="n"/>
      <c r="AQ529" s="92" t="n"/>
      <c r="AR529" s="92" t="n"/>
      <c r="AS529" s="92" t="n"/>
      <c r="AT529" s="92" t="n"/>
      <c r="AU529" s="92" t="n"/>
      <c r="AV529" s="92" t="n"/>
      <c r="AX529" s="139" t="inlineStr"/>
      <c r="AY529" s="139" t="inlineStr"/>
      <c r="AZ529" s="139" t="n"/>
      <c r="BA529" s="113" t="inlineStr">
        <is>
          <t>30평대</t>
        </is>
      </c>
      <c r="BB529" s="140" t="n">
        <v>0</v>
      </c>
      <c r="BC529" s="140" t="n">
        <v>0</v>
      </c>
      <c r="BD529" s="140" t="n">
        <v>0</v>
      </c>
      <c r="BE529" s="140" t="n">
        <v>0</v>
      </c>
      <c r="BF529" s="140" t="n">
        <v>0</v>
      </c>
    </row>
    <row r="530" ht="16.5" customFormat="1" customHeight="1" s="56">
      <c r="A530" s="92" t="n"/>
      <c r="B530" s="92" t="n"/>
      <c r="C530" s="92" t="n"/>
      <c r="D530" s="92" t="n"/>
      <c r="E530" s="92" t="n"/>
      <c r="F530" s="92" t="n"/>
      <c r="G530" s="92" t="n"/>
      <c r="H530" s="92" t="n"/>
      <c r="I530" s="92" t="n"/>
      <c r="J530" s="92" t="n"/>
      <c r="K530" s="92" t="n"/>
      <c r="L530" s="92" t="n"/>
      <c r="M530" s="92" t="n"/>
      <c r="N530" s="92" t="n"/>
      <c r="O530" s="92" t="n"/>
      <c r="P530" s="92" t="n"/>
      <c r="Q530" s="92" t="n"/>
      <c r="R530" s="92" t="n"/>
      <c r="S530" s="92" t="n"/>
      <c r="T530" s="92" t="n"/>
      <c r="U530" s="92" t="n"/>
      <c r="V530" s="92" t="n"/>
      <c r="W530" s="92" t="n"/>
      <c r="X530" s="92" t="n"/>
      <c r="Y530" s="92" t="n"/>
      <c r="Z530" s="92" t="n"/>
      <c r="AA530" s="92" t="n"/>
      <c r="AB530" s="92" t="n"/>
      <c r="AC530" s="92" t="n"/>
      <c r="AD530" s="92" t="n"/>
      <c r="AE530" s="92" t="n"/>
      <c r="AF530" s="92" t="n"/>
      <c r="AG530" s="92" t="n"/>
      <c r="AH530" s="92" t="n"/>
      <c r="AI530" s="92" t="n"/>
      <c r="AJ530" s="92" t="n"/>
      <c r="AK530" s="92" t="n"/>
      <c r="AL530" s="92" t="n"/>
      <c r="AM530" s="92" t="n"/>
      <c r="AN530" s="92" t="n"/>
      <c r="AO530" s="92" t="n"/>
      <c r="AP530" s="92" t="n"/>
      <c r="AQ530" s="92" t="n"/>
      <c r="AR530" s="92" t="n"/>
      <c r="AS530" s="92" t="n"/>
      <c r="AT530" s="92" t="n"/>
      <c r="AU530" s="92" t="n"/>
      <c r="AV530" s="92" t="n"/>
      <c r="AX530" s="139" t="inlineStr"/>
      <c r="AY530" s="139" t="inlineStr"/>
      <c r="AZ530" s="139" t="n"/>
      <c r="BA530" s="113" t="inlineStr">
        <is>
          <t>합계</t>
        </is>
      </c>
      <c r="BB530" s="140" t="n">
        <v>0</v>
      </c>
      <c r="BC530" s="140" t="n">
        <v>0</v>
      </c>
      <c r="BD530" s="140" t="n">
        <v>0</v>
      </c>
      <c r="BE530" s="140" t="n">
        <v>0</v>
      </c>
      <c r="BF530" s="140" t="n">
        <v>0</v>
      </c>
    </row>
    <row r="531" ht="16.5" customFormat="1" customHeight="1" s="56">
      <c r="A531" s="92" t="n"/>
      <c r="B531" s="92" t="n"/>
      <c r="C531" s="92" t="n"/>
      <c r="D531" s="92" t="n"/>
      <c r="E531" s="92" t="n"/>
      <c r="F531" s="92" t="n"/>
      <c r="G531" s="92" t="n"/>
      <c r="H531" s="92" t="n"/>
      <c r="I531" s="92" t="n"/>
      <c r="J531" s="92" t="n"/>
      <c r="K531" s="92" t="n"/>
      <c r="L531" s="92" t="n"/>
      <c r="M531" s="92" t="n"/>
      <c r="N531" s="92" t="n"/>
      <c r="O531" s="92" t="n"/>
      <c r="P531" s="92" t="n"/>
      <c r="Q531" s="92" t="n"/>
      <c r="R531" s="92" t="n"/>
      <c r="S531" s="92" t="n"/>
      <c r="T531" s="92" t="n"/>
      <c r="U531" s="92" t="n"/>
      <c r="V531" s="92" t="n"/>
      <c r="W531" s="92" t="n"/>
      <c r="X531" s="92" t="n"/>
      <c r="Y531" s="92" t="n"/>
      <c r="Z531" s="92" t="n"/>
      <c r="AA531" s="92" t="n"/>
      <c r="AB531" s="92" t="n"/>
      <c r="AC531" s="92" t="n"/>
      <c r="AD531" s="92" t="n"/>
      <c r="AE531" s="92" t="n"/>
      <c r="AF531" s="92" t="n"/>
      <c r="AG531" s="92" t="n"/>
      <c r="AH531" s="92" t="n"/>
      <c r="AI531" s="92" t="n"/>
      <c r="AJ531" s="92" t="n"/>
      <c r="AK531" s="92" t="n"/>
      <c r="AL531" s="92" t="n"/>
      <c r="AM531" s="92" t="n"/>
      <c r="AN531" s="92" t="n"/>
      <c r="AO531" s="92" t="n"/>
      <c r="AP531" s="92" t="n"/>
      <c r="AQ531" s="92" t="n"/>
      <c r="AR531" s="92" t="n"/>
      <c r="AS531" s="92" t="n"/>
      <c r="AT531" s="92" t="n"/>
      <c r="AU531" s="92" t="n"/>
      <c r="AV531" s="92" t="n"/>
      <c r="AX531" s="139" t="inlineStr"/>
      <c r="AY531" s="139" t="inlineStr"/>
      <c r="AZ531" s="139" t="n"/>
      <c r="BA531" s="3" t="n"/>
    </row>
    <row r="532" ht="16.5" customFormat="1" customHeight="1" s="56">
      <c r="A532" s="92" t="n"/>
      <c r="B532" s="92" t="n"/>
      <c r="C532" s="92" t="n"/>
      <c r="D532" s="92" t="n"/>
      <c r="E532" s="92" t="n"/>
      <c r="F532" s="92" t="n"/>
      <c r="G532" s="92" t="n"/>
      <c r="H532" s="92" t="n"/>
      <c r="I532" s="92" t="n"/>
      <c r="J532" s="92" t="n"/>
      <c r="K532" s="92" t="n"/>
      <c r="L532" s="92" t="n"/>
      <c r="M532" s="92" t="n"/>
      <c r="N532" s="92" t="n"/>
      <c r="O532" s="92" t="n"/>
      <c r="P532" s="92" t="n"/>
      <c r="Q532" s="92" t="n"/>
      <c r="R532" s="92" t="n"/>
      <c r="S532" s="92" t="n"/>
      <c r="T532" s="92" t="n"/>
      <c r="U532" s="92" t="n"/>
      <c r="V532" s="92" t="n"/>
      <c r="W532" s="92" t="n"/>
      <c r="X532" s="92" t="n"/>
      <c r="Y532" s="92" t="n"/>
      <c r="Z532" s="92" t="n"/>
      <c r="AA532" s="92" t="n"/>
      <c r="AB532" s="92" t="n"/>
      <c r="AC532" s="92" t="n"/>
      <c r="AD532" s="92" t="n"/>
      <c r="AE532" s="92" t="n"/>
      <c r="AF532" s="92" t="n"/>
      <c r="AG532" s="92" t="n"/>
      <c r="AH532" s="92" t="n"/>
      <c r="AI532" s="92" t="n"/>
      <c r="AJ532" s="92" t="n"/>
      <c r="AK532" s="92" t="n"/>
      <c r="AL532" s="92" t="n"/>
      <c r="AM532" s="92" t="n"/>
      <c r="AN532" s="92" t="n"/>
      <c r="AO532" s="92" t="n"/>
      <c r="AP532" s="92" t="n"/>
      <c r="AQ532" s="92" t="n"/>
      <c r="AR532" s="92" t="n"/>
      <c r="AS532" s="92" t="n"/>
      <c r="AT532" s="92" t="n"/>
      <c r="AU532" s="92" t="n"/>
      <c r="AV532" s="92" t="n"/>
      <c r="AX532" s="139" t="inlineStr"/>
      <c r="AY532" s="139" t="inlineStr"/>
      <c r="AZ532" s="139" t="n"/>
      <c r="BA532" s="113" t="n"/>
      <c r="BB532" s="113" t="inlineStr">
        <is>
          <t>10년 이하</t>
        </is>
      </c>
      <c r="BC532" s="113" t="inlineStr">
        <is>
          <t>10~20년</t>
        </is>
      </c>
      <c r="BD532" s="113" t="inlineStr">
        <is>
          <t>20~30년</t>
        </is>
      </c>
      <c r="BE532" s="113" t="inlineStr">
        <is>
          <t>30년 이상</t>
        </is>
      </c>
      <c r="BF532" s="113" t="inlineStr">
        <is>
          <t>합계</t>
        </is>
      </c>
    </row>
    <row r="533" ht="16.5" customFormat="1" customHeight="1" s="56">
      <c r="A533" s="92" t="n"/>
      <c r="B533" s="92" t="n"/>
      <c r="C533" s="92" t="n"/>
      <c r="D533" s="92" t="n"/>
      <c r="E533" s="92" t="n"/>
      <c r="F533" s="92" t="n"/>
      <c r="G533" s="92" t="n"/>
      <c r="H533" s="92" t="n"/>
      <c r="I533" s="92" t="n"/>
      <c r="J533" s="92" t="n"/>
      <c r="K533" s="92" t="n"/>
      <c r="L533" s="92" t="n"/>
      <c r="M533" s="92" t="n"/>
      <c r="N533" s="92" t="n"/>
      <c r="O533" s="92" t="n"/>
      <c r="P533" s="92" t="n"/>
      <c r="Q533" s="92" t="n"/>
      <c r="R533" s="92" t="n"/>
      <c r="S533" s="92" t="n"/>
      <c r="T533" s="92" t="n"/>
      <c r="U533" s="92" t="n"/>
      <c r="V533" s="92" t="n"/>
      <c r="W533" s="92" t="n"/>
      <c r="X533" s="92" t="n"/>
      <c r="Y533" s="92" t="n"/>
      <c r="Z533" s="92" t="n"/>
      <c r="AA533" s="92" t="n"/>
      <c r="AB533" s="92" t="n"/>
      <c r="AC533" s="92" t="n"/>
      <c r="AD533" s="92" t="n"/>
      <c r="AE533" s="92" t="n"/>
      <c r="AF533" s="92" t="n"/>
      <c r="AG533" s="92" t="n"/>
      <c r="AH533" s="92" t="n"/>
      <c r="AI533" s="92" t="n"/>
      <c r="AJ533" s="92" t="n"/>
      <c r="AK533" s="92" t="n"/>
      <c r="AL533" s="92" t="n"/>
      <c r="AM533" s="92" t="n"/>
      <c r="AN533" s="92" t="n"/>
      <c r="AO533" s="92" t="n"/>
      <c r="AP533" s="92" t="n"/>
      <c r="AQ533" s="92" t="n"/>
      <c r="AR533" s="92" t="n"/>
      <c r="AS533" s="92" t="n"/>
      <c r="AT533" s="92" t="n"/>
      <c r="AU533" s="92" t="n"/>
      <c r="AV533" s="92" t="n"/>
      <c r="AX533" s="139" t="inlineStr"/>
      <c r="AY533" s="139" t="inlineStr"/>
      <c r="BA533" s="113" t="inlineStr">
        <is>
          <t>20평대</t>
        </is>
      </c>
      <c r="BB533" s="142" t="e">
        <v>#DIV/0!</v>
      </c>
      <c r="BC533" s="142" t="e">
        <v>#DIV/0!</v>
      </c>
      <c r="BD533" s="142" t="e">
        <v>#DIV/0!</v>
      </c>
      <c r="BE533" s="142" t="e">
        <v>#DIV/0!</v>
      </c>
      <c r="BF533" s="142" t="e">
        <v>#DIV/0!</v>
      </c>
    </row>
    <row r="534" ht="16.5" customFormat="1" customHeight="1" s="56">
      <c r="A534" s="92" t="n"/>
      <c r="B534" s="92" t="n"/>
      <c r="C534" s="92" t="n"/>
      <c r="D534" s="92" t="n"/>
      <c r="E534" s="92" t="n"/>
      <c r="F534" s="92" t="n"/>
      <c r="G534" s="92" t="n"/>
      <c r="H534" s="92" t="n"/>
      <c r="I534" s="92" t="n"/>
      <c r="J534" s="92" t="n"/>
      <c r="K534" s="92" t="n"/>
      <c r="L534" s="92" t="n"/>
      <c r="M534" s="92" t="n"/>
      <c r="N534" s="92" t="n"/>
      <c r="O534" s="92" t="n"/>
      <c r="P534" s="92" t="n"/>
      <c r="Q534" s="92" t="n"/>
      <c r="R534" s="92" t="n"/>
      <c r="S534" s="92" t="n"/>
      <c r="T534" s="92" t="n"/>
      <c r="U534" s="92" t="n"/>
      <c r="V534" s="92" t="n"/>
      <c r="W534" s="92" t="n"/>
      <c r="X534" s="92" t="n"/>
      <c r="Y534" s="92" t="n"/>
      <c r="Z534" s="92" t="n"/>
      <c r="AA534" s="92" t="n"/>
      <c r="AB534" s="92" t="n"/>
      <c r="AC534" s="92" t="n"/>
      <c r="AD534" s="92" t="n"/>
      <c r="AE534" s="92" t="n"/>
      <c r="AF534" s="92" t="n"/>
      <c r="AG534" s="92" t="n"/>
      <c r="AH534" s="92" t="n"/>
      <c r="AI534" s="92" t="n"/>
      <c r="AJ534" s="92" t="n"/>
      <c r="AK534" s="92" t="n"/>
      <c r="AL534" s="92" t="n"/>
      <c r="AM534" s="92" t="n"/>
      <c r="AN534" s="92" t="n"/>
      <c r="AO534" s="92" t="n"/>
      <c r="AP534" s="92" t="n"/>
      <c r="AQ534" s="92" t="n"/>
      <c r="AR534" s="92" t="n"/>
      <c r="AS534" s="92" t="n"/>
      <c r="AT534" s="92" t="n"/>
      <c r="AU534" s="92" t="n"/>
      <c r="AV534" s="92" t="n"/>
      <c r="AX534" s="139" t="inlineStr"/>
      <c r="AY534" s="139" t="inlineStr"/>
      <c r="BA534" s="113" t="inlineStr">
        <is>
          <t>30평대</t>
        </is>
      </c>
      <c r="BB534" s="142" t="e">
        <v>#DIV/0!</v>
      </c>
      <c r="BC534" s="142" t="e">
        <v>#DIV/0!</v>
      </c>
      <c r="BD534" s="142" t="e">
        <v>#DIV/0!</v>
      </c>
      <c r="BE534" s="142" t="e">
        <v>#DIV/0!</v>
      </c>
      <c r="BF534" s="142" t="e">
        <v>#DIV/0!</v>
      </c>
    </row>
    <row r="535" ht="16.5" customFormat="1" customHeight="1" s="56">
      <c r="A535" s="92" t="n"/>
      <c r="B535" s="92" t="n"/>
      <c r="C535" s="92" t="n"/>
      <c r="D535" s="92" t="n"/>
      <c r="E535" s="92" t="n"/>
      <c r="F535" s="92" t="n"/>
      <c r="G535" s="92" t="n"/>
      <c r="H535" s="92" t="n"/>
      <c r="I535" s="92" t="n"/>
      <c r="J535" s="92" t="n"/>
      <c r="K535" s="92" t="n"/>
      <c r="L535" s="92" t="n"/>
      <c r="M535" s="92" t="n"/>
      <c r="N535" s="92" t="n"/>
      <c r="O535" s="92" t="n"/>
      <c r="P535" s="92" t="n"/>
      <c r="Q535" s="92" t="n"/>
      <c r="R535" s="92" t="n"/>
      <c r="S535" s="92" t="n"/>
      <c r="T535" s="92" t="n"/>
      <c r="U535" s="92" t="n"/>
      <c r="V535" s="92" t="n"/>
      <c r="W535" s="92" t="n"/>
      <c r="X535" s="92" t="n"/>
      <c r="Y535" s="92" t="n"/>
      <c r="Z535" s="92" t="n"/>
      <c r="AA535" s="92" t="n"/>
      <c r="AB535" s="92" t="n"/>
      <c r="AC535" s="92" t="n"/>
      <c r="AD535" s="92" t="n"/>
      <c r="AE535" s="92" t="n"/>
      <c r="AF535" s="92" t="n"/>
      <c r="AG535" s="92" t="n"/>
      <c r="AH535" s="92" t="n"/>
      <c r="AI535" s="92" t="n"/>
      <c r="AJ535" s="92" t="n"/>
      <c r="AK535" s="92" t="n"/>
      <c r="AL535" s="92" t="n"/>
      <c r="AM535" s="92" t="n"/>
      <c r="AN535" s="92" t="n"/>
      <c r="AO535" s="92" t="n"/>
      <c r="AP535" s="92" t="n"/>
      <c r="AQ535" s="92" t="n"/>
      <c r="AR535" s="92" t="n"/>
      <c r="AS535" s="92" t="n"/>
      <c r="AT535" s="92" t="n"/>
      <c r="AU535" s="92" t="n"/>
      <c r="AV535" s="92" t="n"/>
      <c r="AX535" s="139" t="inlineStr"/>
      <c r="AY535" s="139" t="inlineStr"/>
      <c r="BA535" s="113" t="inlineStr">
        <is>
          <t>합계</t>
        </is>
      </c>
      <c r="BB535" s="142" t="e">
        <v>#DIV/0!</v>
      </c>
      <c r="BC535" s="142" t="e">
        <v>#DIV/0!</v>
      </c>
      <c r="BD535" s="142" t="e">
        <v>#DIV/0!</v>
      </c>
      <c r="BE535" s="142" t="e">
        <v>#DIV/0!</v>
      </c>
      <c r="BF535" s="142" t="e">
        <v>#DIV/0!</v>
      </c>
    </row>
    <row r="536" ht="16.5" customFormat="1" customHeight="1" s="56">
      <c r="A536" s="92" t="n"/>
      <c r="B536" s="92" t="n"/>
      <c r="C536" s="92" t="n"/>
      <c r="D536" s="92" t="n"/>
      <c r="E536" s="92" t="n"/>
      <c r="F536" s="92" t="n"/>
      <c r="G536" s="92" t="n"/>
      <c r="H536" s="92" t="n"/>
      <c r="I536" s="92" t="n"/>
      <c r="J536" s="92" t="n"/>
      <c r="K536" s="92" t="n"/>
      <c r="L536" s="92" t="n"/>
      <c r="M536" s="92" t="n"/>
      <c r="N536" s="92" t="n"/>
      <c r="O536" s="92" t="n"/>
      <c r="P536" s="92" t="n"/>
      <c r="Q536" s="92" t="n"/>
      <c r="R536" s="92" t="n"/>
      <c r="S536" s="92" t="n"/>
      <c r="T536" s="92" t="n"/>
      <c r="U536" s="92" t="n"/>
      <c r="V536" s="92" t="n"/>
      <c r="W536" s="92" t="n"/>
      <c r="X536" s="92" t="n"/>
      <c r="Y536" s="92" t="n"/>
      <c r="Z536" s="92" t="n"/>
      <c r="AA536" s="92" t="n"/>
      <c r="AB536" s="92" t="n"/>
      <c r="AC536" s="92" t="n"/>
      <c r="AD536" s="92" t="n"/>
      <c r="AE536" s="92" t="n"/>
      <c r="AF536" s="92" t="n"/>
      <c r="AG536" s="92" t="n"/>
      <c r="AH536" s="92" t="n"/>
      <c r="AI536" s="92" t="n"/>
      <c r="AJ536" s="92" t="n"/>
      <c r="AK536" s="92" t="n"/>
      <c r="AL536" s="92" t="n"/>
      <c r="AM536" s="92" t="n"/>
      <c r="AN536" s="92" t="n"/>
      <c r="AO536" s="92" t="n"/>
      <c r="AP536" s="92" t="n"/>
      <c r="AQ536" s="92" t="n"/>
      <c r="AR536" s="92" t="n"/>
      <c r="AS536" s="92" t="n"/>
      <c r="AT536" s="92" t="n"/>
      <c r="AU536" s="92" t="n"/>
      <c r="AV536" s="92" t="n"/>
      <c r="AX536" s="139" t="inlineStr"/>
      <c r="AY536" s="139" t="inlineStr"/>
    </row>
    <row r="537" ht="16.5" customFormat="1" customHeight="1" s="56">
      <c r="A537" s="92" t="n"/>
      <c r="B537" s="92" t="n"/>
      <c r="C537" s="92" t="n"/>
      <c r="D537" s="92" t="n"/>
      <c r="E537" s="92" t="n"/>
      <c r="F537" s="92" t="n"/>
      <c r="G537" s="92" t="n"/>
      <c r="H537" s="92" t="n"/>
      <c r="I537" s="92" t="n"/>
      <c r="J537" s="92" t="n"/>
      <c r="K537" s="92" t="n"/>
      <c r="L537" s="92" t="n"/>
      <c r="M537" s="92" t="n"/>
      <c r="N537" s="92" t="n"/>
      <c r="O537" s="92" t="n"/>
      <c r="P537" s="92" t="n"/>
      <c r="Q537" s="92" t="n"/>
      <c r="R537" s="92" t="n"/>
      <c r="S537" s="92" t="n"/>
      <c r="T537" s="92" t="n"/>
      <c r="U537" s="92" t="n"/>
      <c r="V537" s="92" t="n"/>
      <c r="W537" s="92" t="n"/>
      <c r="X537" s="92" t="n"/>
      <c r="Y537" s="92" t="n"/>
      <c r="Z537" s="92" t="n"/>
      <c r="AA537" s="92" t="n"/>
      <c r="AB537" s="92" t="n"/>
      <c r="AC537" s="92" t="n"/>
      <c r="AD537" s="92" t="n"/>
      <c r="AE537" s="92" t="n"/>
      <c r="AF537" s="92" t="n"/>
      <c r="AG537" s="92" t="n"/>
      <c r="AH537" s="92" t="n"/>
      <c r="AI537" s="92" t="n"/>
      <c r="AJ537" s="92" t="n"/>
      <c r="AK537" s="92" t="n"/>
      <c r="AL537" s="92" t="n"/>
      <c r="AM537" s="92" t="n"/>
      <c r="AN537" s="92" t="n"/>
      <c r="AO537" s="92" t="n"/>
      <c r="AP537" s="92" t="n"/>
      <c r="AQ537" s="92" t="n"/>
      <c r="AR537" s="92" t="n"/>
      <c r="AS537" s="92" t="n"/>
      <c r="AT537" s="92" t="n"/>
      <c r="AU537" s="92" t="n"/>
      <c r="AV537" s="92" t="n"/>
      <c r="AX537" s="139" t="inlineStr"/>
      <c r="AY537" s="139" t="inlineStr"/>
    </row>
    <row r="538" ht="16.5" customFormat="1" customHeight="1" s="56">
      <c r="A538" s="92" t="n"/>
      <c r="B538" s="92" t="n"/>
      <c r="C538" s="92" t="n"/>
      <c r="D538" s="92" t="n"/>
      <c r="E538" s="92" t="n"/>
      <c r="F538" s="92" t="n"/>
      <c r="G538" s="92" t="n"/>
      <c r="H538" s="92" t="n"/>
      <c r="I538" s="92" t="n"/>
      <c r="J538" s="92" t="n"/>
      <c r="K538" s="92" t="n"/>
      <c r="L538" s="92" t="n"/>
      <c r="M538" s="92" t="n"/>
      <c r="N538" s="92" t="n"/>
      <c r="O538" s="92" t="n"/>
      <c r="P538" s="92" t="n"/>
      <c r="Q538" s="92" t="n"/>
      <c r="R538" s="92" t="n"/>
      <c r="S538" s="92" t="n"/>
      <c r="T538" s="92" t="n"/>
      <c r="U538" s="92" t="n"/>
      <c r="V538" s="92" t="n"/>
      <c r="W538" s="92" t="n"/>
      <c r="X538" s="92" t="n"/>
      <c r="Y538" s="92" t="n"/>
      <c r="Z538" s="92" t="n"/>
      <c r="AA538" s="92" t="n"/>
      <c r="AB538" s="92" t="n"/>
      <c r="AC538" s="92" t="n"/>
      <c r="AD538" s="92" t="n"/>
      <c r="AE538" s="92" t="n"/>
      <c r="AF538" s="92" t="n"/>
      <c r="AG538" s="92" t="n"/>
      <c r="AH538" s="92" t="n"/>
      <c r="AI538" s="92" t="n"/>
      <c r="AJ538" s="92" t="n"/>
      <c r="AK538" s="92" t="n"/>
      <c r="AL538" s="92" t="n"/>
      <c r="AM538" s="92" t="n"/>
      <c r="AN538" s="92" t="n"/>
      <c r="AO538" s="92" t="n"/>
      <c r="AP538" s="92" t="n"/>
      <c r="AQ538" s="92" t="n"/>
      <c r="AR538" s="92" t="n"/>
      <c r="AS538" s="92" t="n"/>
      <c r="AT538" s="92" t="n"/>
      <c r="AU538" s="92" t="n"/>
      <c r="AV538" s="92" t="n"/>
      <c r="AX538" s="139" t="inlineStr"/>
      <c r="AY538" s="139" t="inlineStr"/>
    </row>
    <row r="539" ht="16.5" customFormat="1" customHeight="1" s="56">
      <c r="A539" s="92" t="n"/>
      <c r="B539" s="92" t="n"/>
      <c r="C539" s="92" t="n"/>
      <c r="D539" s="92" t="n"/>
      <c r="E539" s="92" t="n"/>
      <c r="F539" s="92" t="n"/>
      <c r="G539" s="92" t="n"/>
      <c r="H539" s="92" t="n"/>
      <c r="I539" s="92" t="n"/>
      <c r="J539" s="92" t="n"/>
      <c r="K539" s="92" t="n"/>
      <c r="L539" s="92" t="n"/>
      <c r="M539" s="92" t="n"/>
      <c r="N539" s="92" t="n"/>
      <c r="O539" s="92" t="n"/>
      <c r="P539" s="92" t="n"/>
      <c r="Q539" s="92" t="n"/>
      <c r="R539" s="92" t="n"/>
      <c r="S539" s="92" t="n"/>
      <c r="T539" s="92" t="n"/>
      <c r="U539" s="92" t="n"/>
      <c r="V539" s="92" t="n"/>
      <c r="W539" s="92" t="n"/>
      <c r="X539" s="92" t="n"/>
      <c r="Y539" s="92" t="n"/>
      <c r="Z539" s="92" t="n"/>
      <c r="AA539" s="92" t="n"/>
      <c r="AB539" s="92" t="n"/>
      <c r="AC539" s="92" t="n"/>
      <c r="AD539" s="92" t="n"/>
      <c r="AE539" s="92" t="n"/>
      <c r="AF539" s="92" t="n"/>
      <c r="AG539" s="92" t="n"/>
      <c r="AH539" s="92" t="n"/>
      <c r="AI539" s="92" t="n"/>
      <c r="AJ539" s="92" t="n"/>
      <c r="AK539" s="92" t="n"/>
      <c r="AL539" s="92" t="n"/>
      <c r="AM539" s="92" t="n"/>
      <c r="AN539" s="92" t="n"/>
      <c r="AO539" s="92" t="n"/>
      <c r="AP539" s="92" t="n"/>
      <c r="AQ539" s="92" t="n"/>
      <c r="AR539" s="92" t="n"/>
      <c r="AS539" s="92" t="n"/>
      <c r="AT539" s="92" t="n"/>
      <c r="AU539" s="92" t="n"/>
      <c r="AV539" s="92" t="n"/>
      <c r="AX539" s="139" t="inlineStr"/>
      <c r="AY539" s="139" t="inlineStr"/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69562" operator="lessThan" dxfId="2">
      <formula>15.1</formula>
    </cfRule>
    <cfRule type="cellIs" priority="69563" operator="lessThan" dxfId="11060">
      <formula>18.1</formula>
    </cfRule>
    <cfRule type="cellIs" priority="69564" operator="lessThan" dxfId="11059">
      <formula>21.1</formula>
    </cfRule>
    <cfRule type="cellIs" priority="69565" operator="lessThan" dxfId="11058">
      <formula>24.1</formula>
    </cfRule>
    <cfRule type="cellIs" priority="69566" operator="lessThan" dxfId="1">
      <formula>30</formula>
    </cfRule>
    <cfRule type="cellIs" priority="69567" operator="lessThan" dxfId="11056">
      <formula>34.1</formula>
    </cfRule>
  </conditionalFormatting>
  <conditionalFormatting sqref="Z3">
    <cfRule type="colorScale" priority="69561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69559" operator="greaterThan" dxfId="13">
      <formula>0.9</formula>
    </cfRule>
    <cfRule type="cellIs" priority="69560" operator="greaterThan" dxfId="12">
      <formula>0.85</formula>
    </cfRule>
  </conditionalFormatting>
  <conditionalFormatting sqref="N2">
    <cfRule type="cellIs" priority="69557" operator="greaterThan" dxfId="13">
      <formula>0.9</formula>
    </cfRule>
    <cfRule type="cellIs" priority="69558" operator="greaterThan" dxfId="12">
      <formula>0.85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A1" sqref="A1"/>
    </sheetView>
  </sheetViews>
  <sheetFormatPr baseColWidth="8" defaultColWidth="9" defaultRowHeight="14.1" customHeight="1"/>
  <cols>
    <col width="22.5" bestFit="1" customWidth="1" style="119" min="1" max="1"/>
    <col width="5.625" bestFit="1" customWidth="1" style="119" min="2" max="2"/>
    <col width="6.625" bestFit="1" customWidth="1" style="119" min="3" max="3"/>
    <col width="5.625" bestFit="1" customWidth="1" style="119" min="4" max="4"/>
    <col width="4.625" bestFit="1" customWidth="1" style="119" min="5" max="5"/>
    <col width="5.625" bestFit="1" customWidth="1" style="119" min="6" max="6"/>
    <col width="4.625" bestFit="1" customWidth="1" style="119" min="7" max="7"/>
    <col width="6.625" bestFit="1" customWidth="1" style="119" min="8" max="8"/>
    <col width="7.75" bestFit="1" customWidth="1" style="119" min="9" max="9"/>
    <col width="4" bestFit="1" customWidth="1" style="119" min="10" max="10"/>
    <col width="6.875" bestFit="1" customWidth="1" style="119" min="11" max="11"/>
    <col width="4" bestFit="1" customWidth="1" style="119" min="12" max="12"/>
    <col width="6.875" bestFit="1" customWidth="1" style="119" min="13" max="13"/>
    <col width="4.625" bestFit="1" customWidth="1" style="119" min="14" max="14"/>
    <col width="7.625" bestFit="1" customWidth="1" style="119" min="15" max="16"/>
    <col width="3.25" bestFit="1" customWidth="1" style="119" min="17" max="19"/>
    <col width="10.125" customWidth="1" style="119" min="20" max="20"/>
    <col width="25" customWidth="1" style="119" min="21" max="21"/>
    <col width="9" customWidth="1" style="119" min="22" max="22"/>
    <col width="9" customWidth="1" style="42" min="23" max="16384"/>
  </cols>
  <sheetData>
    <row r="1" ht="17.25" customHeight="1" s="131">
      <c r="A1" s="41">
        <f>단지추출!A1</f>
        <v/>
      </c>
      <c r="B1" s="42" t="n"/>
      <c r="C1" s="43" t="n"/>
      <c r="D1" s="42" t="n"/>
      <c r="E1" s="42" t="n"/>
      <c r="F1" s="42" t="n"/>
      <c r="G1" s="42" t="n"/>
      <c r="H1" s="43" t="n"/>
      <c r="I1" s="42" t="n"/>
      <c r="J1" s="122" t="inlineStr">
        <is>
          <t>유사평형제거</t>
        </is>
      </c>
      <c r="K1" s="132" t="n"/>
      <c r="L1" s="63" t="inlineStr">
        <is>
          <t>O</t>
        </is>
      </c>
      <c r="M1" s="0" t="n"/>
      <c r="N1" s="122" t="inlineStr">
        <is>
          <t>추출기준세대수</t>
        </is>
      </c>
      <c r="O1" s="132" t="n"/>
      <c r="P1" s="133" t="n">
        <v>30</v>
      </c>
      <c r="Q1" s="123" t="inlineStr">
        <is>
          <t>세대이상</t>
        </is>
      </c>
      <c r="R1" s="134" t="n"/>
      <c r="S1" s="132" t="n"/>
      <c r="T1" s="45" t="n"/>
      <c r="U1" s="42" t="n"/>
      <c r="V1" s="42" t="n"/>
    </row>
    <row r="2" ht="12" customHeight="1" s="131">
      <c r="A2" s="135">
        <f>단지추출!A2</f>
        <v/>
      </c>
      <c r="B2" s="44" t="n"/>
      <c r="C2" s="43" t="n"/>
      <c r="D2" s="42" t="n"/>
      <c r="E2" s="42" t="n"/>
      <c r="F2" s="42" t="n"/>
      <c r="G2" s="42" t="n"/>
      <c r="H2" s="43" t="n"/>
      <c r="I2" s="42" t="n"/>
      <c r="J2" s="42" t="n"/>
      <c r="K2" s="42" t="n"/>
      <c r="L2" s="42" t="n"/>
      <c r="M2" s="42" t="n"/>
      <c r="N2" s="42" t="n"/>
      <c r="O2" s="42" t="n"/>
      <c r="P2" s="42" t="n"/>
      <c r="Q2" s="45" t="n"/>
      <c r="R2" s="45" t="n"/>
      <c r="S2" s="44" t="n"/>
      <c r="T2" s="45" t="n"/>
      <c r="U2" s="46" t="n"/>
      <c r="V2" s="42" t="n"/>
    </row>
    <row r="3" ht="26.25" customHeight="1" s="131">
      <c r="A3" s="50" t="inlineStr">
        <is>
          <t>단지명</t>
        </is>
      </c>
      <c r="B3" s="50" t="inlineStr">
        <is>
          <t>입주
연도</t>
        </is>
      </c>
      <c r="C3" s="50" t="inlineStr">
        <is>
          <t>총세
대수</t>
        </is>
      </c>
      <c r="D3" s="50" t="inlineStr">
        <is>
          <t>공급
(m2)</t>
        </is>
      </c>
      <c r="E3" s="50" t="inlineStr">
        <is>
          <t>공급
면적</t>
        </is>
      </c>
      <c r="F3" s="50" t="inlineStr">
        <is>
          <t>전용
(m2)</t>
        </is>
      </c>
      <c r="G3" s="50" t="inlineStr">
        <is>
          <t>전용
면적</t>
        </is>
      </c>
      <c r="H3" s="122" t="inlineStr">
        <is>
          <t>세대</t>
        </is>
      </c>
      <c r="I3" s="51" t="inlineStr">
        <is>
          <t>매매
최저가</t>
        </is>
      </c>
      <c r="J3" s="51" t="inlineStr">
        <is>
          <t>층</t>
        </is>
      </c>
      <c r="K3" s="51" t="inlineStr">
        <is>
          <t>전세
최고가</t>
        </is>
      </c>
      <c r="L3" s="51" t="inlineStr">
        <is>
          <t>층</t>
        </is>
      </c>
      <c r="M3" s="122" t="inlineStr">
        <is>
          <t>갭</t>
        </is>
      </c>
      <c r="N3" s="50" t="inlineStr">
        <is>
          <t>전세
가율</t>
        </is>
      </c>
      <c r="O3" s="51" t="inlineStr">
        <is>
          <t>매매
평단</t>
        </is>
      </c>
      <c r="P3" s="51" t="inlineStr">
        <is>
          <t>전세
평단</t>
        </is>
      </c>
      <c r="Q3" s="52" t="inlineStr">
        <is>
          <t>방</t>
        </is>
      </c>
      <c r="R3" s="52" t="inlineStr">
        <is>
          <t>욕
실</t>
        </is>
      </c>
      <c r="S3" s="50" t="inlineStr">
        <is>
          <t>구
조</t>
        </is>
      </c>
      <c r="T3" s="53" t="inlineStr">
        <is>
          <t>매/전/월
Type</t>
        </is>
      </c>
      <c r="U3" s="122" t="inlineStr">
        <is>
          <t>비고</t>
        </is>
      </c>
      <c r="V3" s="42" t="n"/>
    </row>
    <row r="4" ht="16.5" customFormat="1" customHeight="1" s="56">
      <c r="A4" s="119" t="n"/>
      <c r="B4" s="119" t="n"/>
      <c r="C4" s="119" t="n"/>
      <c r="D4" s="119" t="n"/>
      <c r="E4" s="119" t="n"/>
      <c r="F4" s="119" t="n"/>
      <c r="G4" s="119" t="n"/>
      <c r="H4" s="119" t="n"/>
      <c r="I4" s="119" t="n"/>
      <c r="J4" s="119" t="n"/>
      <c r="K4" s="119" t="n"/>
      <c r="L4" s="119" t="n"/>
      <c r="M4" s="119" t="n"/>
      <c r="N4" s="119" t="n"/>
      <c r="O4" s="119" t="n"/>
      <c r="P4" s="119" t="n"/>
      <c r="Q4" s="119" t="n"/>
      <c r="R4" s="119" t="n"/>
      <c r="S4" s="119" t="n"/>
      <c r="T4" s="119" t="n"/>
      <c r="U4" s="119" t="n"/>
      <c r="V4" s="119" t="n"/>
    </row>
    <row r="5" ht="16.5" customFormat="1" customHeight="1" s="56">
      <c r="A5" s="119" t="n"/>
      <c r="B5" s="119" t="n"/>
      <c r="C5" s="119" t="n"/>
      <c r="D5" s="119" t="n"/>
      <c r="E5" s="119" t="n"/>
      <c r="F5" s="119" t="n"/>
      <c r="G5" s="119" t="n"/>
      <c r="H5" s="119" t="n"/>
      <c r="I5" s="119" t="n"/>
      <c r="J5" s="119" t="n"/>
      <c r="K5" s="119" t="n"/>
      <c r="L5" s="119" t="n"/>
      <c r="M5" s="119" t="n"/>
      <c r="N5" s="119" t="n"/>
      <c r="O5" s="119" t="n"/>
      <c r="P5" s="119" t="n"/>
      <c r="Q5" s="119" t="n"/>
      <c r="R5" s="119" t="n"/>
      <c r="S5" s="119" t="n"/>
      <c r="T5" s="119" t="n"/>
      <c r="U5" s="119" t="n"/>
      <c r="V5" s="119" t="n"/>
    </row>
    <row r="6" ht="16.5" customFormat="1" customHeight="1" s="56">
      <c r="A6" s="119" t="n"/>
      <c r="B6" s="119" t="n"/>
      <c r="C6" s="119" t="n"/>
      <c r="D6" s="119" t="n"/>
      <c r="E6" s="119" t="n"/>
      <c r="F6" s="119" t="n"/>
      <c r="G6" s="119" t="n"/>
      <c r="H6" s="119" t="n"/>
      <c r="I6" s="119" t="n"/>
      <c r="J6" s="119" t="n"/>
      <c r="K6" s="119" t="n"/>
      <c r="L6" s="119" t="n"/>
      <c r="M6" s="119" t="n"/>
      <c r="N6" s="119" t="n"/>
      <c r="O6" s="119" t="n"/>
      <c r="P6" s="119" t="n"/>
      <c r="Q6" s="119" t="n"/>
      <c r="R6" s="119" t="n"/>
      <c r="S6" s="119" t="n"/>
      <c r="T6" s="119" t="n"/>
      <c r="U6" s="119" t="n"/>
      <c r="V6" s="119" t="n"/>
    </row>
    <row r="7" ht="16.5" customFormat="1" customHeight="1" s="56">
      <c r="A7" s="119" t="n"/>
      <c r="B7" s="119" t="n"/>
      <c r="C7" s="119" t="n"/>
      <c r="D7" s="119" t="n"/>
      <c r="E7" s="119" t="n"/>
      <c r="F7" s="119" t="n"/>
      <c r="G7" s="119" t="n"/>
      <c r="H7" s="119" t="n"/>
      <c r="I7" s="119" t="n"/>
      <c r="J7" s="119" t="n"/>
      <c r="K7" s="119" t="n"/>
      <c r="L7" s="119" t="n"/>
      <c r="M7" s="119" t="n"/>
      <c r="N7" s="119" t="n"/>
      <c r="O7" s="119" t="n"/>
      <c r="P7" s="119" t="n"/>
      <c r="Q7" s="119" t="n"/>
      <c r="R7" s="119" t="n"/>
      <c r="S7" s="119" t="n"/>
      <c r="T7" s="119" t="n"/>
      <c r="U7" s="119" t="n"/>
      <c r="V7" s="119" t="n"/>
    </row>
    <row r="8" ht="16.5" customFormat="1" customHeight="1" s="56">
      <c r="A8" s="119" t="n"/>
      <c r="B8" s="119" t="n"/>
      <c r="C8" s="119" t="n"/>
      <c r="D8" s="119" t="n"/>
      <c r="E8" s="119" t="n"/>
      <c r="F8" s="119" t="n"/>
      <c r="G8" s="119" t="n"/>
      <c r="H8" s="119" t="n"/>
      <c r="I8" s="119" t="n"/>
      <c r="J8" s="119" t="n"/>
      <c r="K8" s="119" t="n"/>
      <c r="L8" s="119" t="n"/>
      <c r="M8" s="119" t="n"/>
      <c r="N8" s="119" t="n"/>
      <c r="O8" s="119" t="n"/>
      <c r="P8" s="119" t="n"/>
      <c r="Q8" s="119" t="n"/>
      <c r="R8" s="119" t="n"/>
      <c r="S8" s="119" t="n"/>
      <c r="T8" s="119" t="n"/>
      <c r="U8" s="119" t="n"/>
      <c r="V8" s="119" t="n"/>
    </row>
    <row r="9" ht="16.5" customFormat="1" customHeight="1" s="56">
      <c r="A9" s="119" t="n"/>
      <c r="B9" s="119" t="n"/>
      <c r="C9" s="119" t="n"/>
      <c r="D9" s="119" t="n"/>
      <c r="E9" s="119" t="n"/>
      <c r="F9" s="119" t="n"/>
      <c r="G9" s="119" t="n"/>
      <c r="H9" s="119" t="n"/>
      <c r="I9" s="119" t="n"/>
      <c r="J9" s="119" t="n"/>
      <c r="K9" s="119" t="n"/>
      <c r="L9" s="119" t="n"/>
      <c r="M9" s="119" t="n"/>
      <c r="N9" s="119" t="n"/>
      <c r="O9" s="119" t="n"/>
      <c r="P9" s="119" t="n"/>
      <c r="Q9" s="119" t="n"/>
      <c r="R9" s="119" t="n"/>
      <c r="S9" s="119" t="n"/>
      <c r="T9" s="119" t="n"/>
      <c r="U9" s="119" t="n"/>
      <c r="V9" s="119" t="n"/>
    </row>
    <row r="10" ht="16.5" customFormat="1" customHeight="1" s="56">
      <c r="A10" s="119" t="n"/>
      <c r="B10" s="119" t="n"/>
      <c r="C10" s="119" t="n"/>
      <c r="D10" s="119" t="n"/>
      <c r="E10" s="119" t="n"/>
      <c r="F10" s="119" t="n"/>
      <c r="G10" s="119" t="n"/>
      <c r="H10" s="119" t="n"/>
      <c r="I10" s="119" t="n"/>
      <c r="J10" s="119" t="n"/>
      <c r="K10" s="119" t="n"/>
      <c r="L10" s="119" t="n"/>
      <c r="M10" s="119" t="n"/>
      <c r="N10" s="119" t="n"/>
      <c r="O10" s="119" t="n"/>
      <c r="P10" s="119" t="n"/>
      <c r="Q10" s="119" t="n"/>
      <c r="R10" s="119" t="n"/>
      <c r="S10" s="119" t="n"/>
      <c r="T10" s="119" t="n"/>
      <c r="U10" s="119" t="n"/>
      <c r="V10" s="119" t="n"/>
    </row>
    <row r="11" ht="16.5" customFormat="1" customHeight="1" s="56">
      <c r="A11" s="119" t="n"/>
      <c r="B11" s="119" t="n"/>
      <c r="C11" s="119" t="n"/>
      <c r="D11" s="119" t="n"/>
      <c r="E11" s="119" t="n"/>
      <c r="F11" s="119" t="n"/>
      <c r="G11" s="119" t="n"/>
      <c r="H11" s="119" t="n"/>
      <c r="I11" s="119" t="n"/>
      <c r="J11" s="119" t="n"/>
      <c r="K11" s="119" t="n"/>
      <c r="L11" s="119" t="n"/>
      <c r="M11" s="119" t="n"/>
      <c r="N11" s="119" t="n"/>
      <c r="O11" s="119" t="n"/>
      <c r="P11" s="119" t="n"/>
      <c r="Q11" s="119" t="n"/>
      <c r="R11" s="119" t="n"/>
      <c r="S11" s="119" t="n"/>
      <c r="T11" s="119" t="n"/>
      <c r="U11" s="119" t="n"/>
      <c r="V11" s="119" t="n"/>
    </row>
    <row r="12" ht="16.5" customFormat="1" customHeight="1" s="56">
      <c r="A12" s="119" t="n"/>
      <c r="B12" s="119" t="n"/>
      <c r="C12" s="119" t="n"/>
      <c r="D12" s="119" t="n"/>
      <c r="E12" s="119" t="n"/>
      <c r="F12" s="119" t="n"/>
      <c r="G12" s="119" t="n"/>
      <c r="H12" s="119" t="n"/>
      <c r="I12" s="119" t="n"/>
      <c r="J12" s="119" t="n"/>
      <c r="K12" s="119" t="n"/>
      <c r="L12" s="119" t="n"/>
      <c r="M12" s="119" t="n"/>
      <c r="N12" s="119" t="n"/>
      <c r="O12" s="119" t="n"/>
      <c r="P12" s="119" t="n"/>
      <c r="Q12" s="119" t="n"/>
      <c r="R12" s="119" t="n"/>
      <c r="S12" s="119" t="n"/>
      <c r="T12" s="119" t="n"/>
      <c r="U12" s="119" t="n"/>
      <c r="V12" s="119" t="n"/>
    </row>
    <row r="13" ht="16.5" customFormat="1" customHeight="1" s="56">
      <c r="A13" s="119" t="n"/>
      <c r="B13" s="119" t="n"/>
      <c r="C13" s="119" t="n"/>
      <c r="D13" s="119" t="n"/>
      <c r="E13" s="119" t="n"/>
      <c r="F13" s="119" t="n"/>
      <c r="G13" s="119" t="n"/>
      <c r="H13" s="119" t="n"/>
      <c r="I13" s="119" t="n"/>
      <c r="J13" s="119" t="n"/>
      <c r="K13" s="119" t="n"/>
      <c r="L13" s="119" t="n"/>
      <c r="M13" s="119" t="n"/>
      <c r="N13" s="119" t="n"/>
      <c r="O13" s="119" t="n"/>
      <c r="P13" s="119" t="n"/>
      <c r="Q13" s="119" t="n"/>
      <c r="R13" s="119" t="n"/>
      <c r="S13" s="119" t="n"/>
      <c r="T13" s="119" t="n"/>
      <c r="U13" s="119" t="n"/>
      <c r="V13" s="119" t="n"/>
    </row>
    <row r="14" ht="16.5" customFormat="1" customHeight="1" s="56">
      <c r="A14" s="119" t="n"/>
      <c r="B14" s="119" t="n"/>
      <c r="C14" s="119" t="n"/>
      <c r="D14" s="119" t="n"/>
      <c r="E14" s="119" t="n"/>
      <c r="F14" s="119" t="n"/>
      <c r="G14" s="119" t="n"/>
      <c r="H14" s="119" t="n"/>
      <c r="I14" s="119" t="n"/>
      <c r="J14" s="119" t="n"/>
      <c r="K14" s="119" t="n"/>
      <c r="L14" s="119" t="n"/>
      <c r="M14" s="119" t="n"/>
      <c r="N14" s="119" t="n"/>
      <c r="O14" s="119" t="n"/>
      <c r="P14" s="119" t="n"/>
      <c r="Q14" s="119" t="n"/>
      <c r="R14" s="119" t="n"/>
      <c r="S14" s="119" t="n"/>
      <c r="T14" s="119" t="n"/>
      <c r="U14" s="119" t="n"/>
      <c r="V14" s="119" t="n"/>
    </row>
    <row r="15" ht="16.5" customFormat="1" customHeight="1" s="56">
      <c r="A15" s="119" t="n"/>
      <c r="B15" s="119" t="n"/>
      <c r="C15" s="119" t="n"/>
      <c r="D15" s="119" t="n"/>
      <c r="E15" s="119" t="n"/>
      <c r="F15" s="119" t="n"/>
      <c r="G15" s="119" t="n"/>
      <c r="H15" s="119" t="n"/>
      <c r="I15" s="119" t="n"/>
      <c r="J15" s="119" t="n"/>
      <c r="K15" s="119" t="n"/>
      <c r="L15" s="119" t="n"/>
      <c r="M15" s="119" t="n"/>
      <c r="N15" s="119" t="n"/>
      <c r="O15" s="119" t="n"/>
      <c r="P15" s="119" t="n"/>
      <c r="Q15" s="119" t="n"/>
      <c r="R15" s="119" t="n"/>
      <c r="S15" s="119" t="n"/>
      <c r="T15" s="119" t="n"/>
      <c r="U15" s="119" t="n"/>
      <c r="V15" s="119" t="n"/>
    </row>
    <row r="16" ht="16.5" customFormat="1" customHeight="1" s="56">
      <c r="A16" s="119" t="n"/>
      <c r="B16" s="119" t="n"/>
      <c r="C16" s="119" t="n"/>
      <c r="D16" s="119" t="n"/>
      <c r="E16" s="119" t="n"/>
      <c r="F16" s="119" t="n"/>
      <c r="G16" s="119" t="n"/>
      <c r="H16" s="119" t="n"/>
      <c r="I16" s="119" t="n"/>
      <c r="J16" s="119" t="n"/>
      <c r="K16" s="119" t="n"/>
      <c r="L16" s="119" t="n"/>
      <c r="M16" s="119" t="n"/>
      <c r="N16" s="119" t="n"/>
      <c r="O16" s="119" t="n"/>
      <c r="P16" s="119" t="n"/>
      <c r="Q16" s="119" t="n"/>
      <c r="R16" s="119" t="n"/>
      <c r="S16" s="119" t="n"/>
      <c r="T16" s="119" t="n"/>
      <c r="U16" s="119" t="n"/>
      <c r="V16" s="119" t="n"/>
    </row>
    <row r="17" ht="16.5" customFormat="1" customHeight="1" s="56">
      <c r="A17" s="119" t="n"/>
      <c r="B17" s="119" t="n"/>
      <c r="C17" s="119" t="n"/>
      <c r="D17" s="119" t="n"/>
      <c r="E17" s="119" t="n"/>
      <c r="F17" s="119" t="n"/>
      <c r="G17" s="119" t="n"/>
      <c r="H17" s="119" t="n"/>
      <c r="I17" s="119" t="n"/>
      <c r="J17" s="119" t="n"/>
      <c r="K17" s="119" t="n"/>
      <c r="L17" s="119" t="n"/>
      <c r="M17" s="119" t="n"/>
      <c r="N17" s="119" t="n"/>
      <c r="O17" s="119" t="n"/>
      <c r="P17" s="119" t="n"/>
      <c r="Q17" s="119" t="n"/>
      <c r="R17" s="119" t="n"/>
      <c r="S17" s="119" t="n"/>
      <c r="T17" s="119" t="n"/>
      <c r="U17" s="119" t="n"/>
      <c r="V17" s="119" t="n"/>
    </row>
    <row r="18" ht="16.5" customFormat="1" customHeight="1" s="56">
      <c r="A18" s="119" t="n"/>
      <c r="B18" s="119" t="n"/>
      <c r="C18" s="119" t="n"/>
      <c r="D18" s="119" t="n"/>
      <c r="E18" s="119" t="n"/>
      <c r="F18" s="119" t="n"/>
      <c r="G18" s="119" t="n"/>
      <c r="H18" s="119" t="n"/>
      <c r="I18" s="119" t="n"/>
      <c r="J18" s="119" t="n"/>
      <c r="K18" s="119" t="n"/>
      <c r="L18" s="119" t="n"/>
      <c r="M18" s="119" t="n"/>
      <c r="N18" s="119" t="n"/>
      <c r="O18" s="119" t="n"/>
      <c r="P18" s="119" t="n"/>
      <c r="Q18" s="119" t="n"/>
      <c r="R18" s="119" t="n"/>
      <c r="S18" s="119" t="n"/>
      <c r="T18" s="119" t="n"/>
      <c r="U18" s="119" t="n"/>
      <c r="V18" s="119" t="n"/>
    </row>
    <row r="19" ht="16.5" customFormat="1" customHeight="1" s="56">
      <c r="A19" s="119" t="n"/>
      <c r="B19" s="119" t="n"/>
      <c r="C19" s="119" t="n"/>
      <c r="D19" s="119" t="n"/>
      <c r="E19" s="119" t="n"/>
      <c r="F19" s="119" t="n"/>
      <c r="G19" s="119" t="n"/>
      <c r="H19" s="119" t="n"/>
      <c r="I19" s="119" t="n"/>
      <c r="J19" s="119" t="n"/>
      <c r="K19" s="119" t="n"/>
      <c r="L19" s="119" t="n"/>
      <c r="M19" s="119" t="n"/>
      <c r="N19" s="119" t="n"/>
      <c r="O19" s="119" t="n"/>
      <c r="P19" s="119" t="n"/>
      <c r="Q19" s="119" t="n"/>
      <c r="R19" s="119" t="n"/>
      <c r="S19" s="119" t="n"/>
      <c r="T19" s="119" t="n"/>
      <c r="U19" s="119" t="n"/>
      <c r="V19" s="119" t="n"/>
    </row>
    <row r="20" ht="16.5" customFormat="1" customHeight="1" s="56">
      <c r="A20" s="119" t="n"/>
      <c r="B20" s="119" t="n"/>
      <c r="C20" s="119" t="n"/>
      <c r="D20" s="119" t="n"/>
      <c r="E20" s="119" t="n"/>
      <c r="F20" s="119" t="n"/>
      <c r="G20" s="119" t="n"/>
      <c r="H20" s="119" t="n"/>
      <c r="I20" s="119" t="n"/>
      <c r="J20" s="119" t="n"/>
      <c r="K20" s="119" t="n"/>
      <c r="L20" s="119" t="n"/>
      <c r="M20" s="119" t="n"/>
      <c r="N20" s="119" t="n"/>
      <c r="O20" s="119" t="n"/>
      <c r="P20" s="119" t="n"/>
      <c r="Q20" s="119" t="n"/>
      <c r="R20" s="119" t="n"/>
      <c r="S20" s="119" t="n"/>
      <c r="T20" s="119" t="n"/>
      <c r="U20" s="119" t="n"/>
      <c r="V20" s="119" t="n"/>
    </row>
    <row r="21" ht="16.5" customFormat="1" customHeight="1" s="56">
      <c r="A21" s="119" t="n"/>
      <c r="B21" s="119" t="n"/>
      <c r="C21" s="119" t="n"/>
      <c r="D21" s="119" t="n"/>
      <c r="E21" s="119" t="n"/>
      <c r="F21" s="119" t="n"/>
      <c r="G21" s="119" t="n"/>
      <c r="H21" s="119" t="n"/>
      <c r="I21" s="119" t="n"/>
      <c r="J21" s="119" t="n"/>
      <c r="K21" s="119" t="n"/>
      <c r="L21" s="119" t="n"/>
      <c r="M21" s="119" t="n"/>
      <c r="N21" s="119" t="n"/>
      <c r="O21" s="119" t="n"/>
      <c r="P21" s="119" t="n"/>
      <c r="Q21" s="119" t="n"/>
      <c r="R21" s="119" t="n"/>
      <c r="S21" s="119" t="n"/>
      <c r="T21" s="119" t="n"/>
      <c r="U21" s="119" t="n"/>
      <c r="V21" s="119" t="n"/>
    </row>
    <row r="22" ht="16.5" customFormat="1" customHeight="1" s="56">
      <c r="A22" s="119" t="n"/>
      <c r="B22" s="119" t="n"/>
      <c r="C22" s="119" t="n"/>
      <c r="D22" s="119" t="n"/>
      <c r="E22" s="119" t="n"/>
      <c r="F22" s="119" t="n"/>
      <c r="G22" s="119" t="n"/>
      <c r="H22" s="119" t="n"/>
      <c r="I22" s="119" t="n"/>
      <c r="J22" s="119" t="n"/>
      <c r="K22" s="119" t="n"/>
      <c r="L22" s="119" t="n"/>
      <c r="M22" s="119" t="n"/>
      <c r="N22" s="119" t="n"/>
      <c r="O22" s="119" t="n"/>
      <c r="P22" s="119" t="n"/>
      <c r="Q22" s="119" t="n"/>
      <c r="R22" s="119" t="n"/>
      <c r="S22" s="119" t="n"/>
      <c r="T22" s="119" t="n"/>
      <c r="U22" s="119" t="n"/>
      <c r="V22" s="119" t="n"/>
    </row>
    <row r="23" ht="16.5" customFormat="1" customHeight="1" s="56">
      <c r="A23" s="119" t="n"/>
      <c r="B23" s="119" t="n"/>
      <c r="C23" s="119" t="n"/>
      <c r="D23" s="119" t="n"/>
      <c r="E23" s="119" t="n"/>
      <c r="F23" s="119" t="n"/>
      <c r="G23" s="119" t="n"/>
      <c r="H23" s="119" t="n"/>
      <c r="I23" s="119" t="n"/>
      <c r="J23" s="119" t="n"/>
      <c r="K23" s="119" t="n"/>
      <c r="L23" s="119" t="n"/>
      <c r="M23" s="119" t="n"/>
      <c r="N23" s="119" t="n"/>
      <c r="O23" s="119" t="n"/>
      <c r="P23" s="119" t="n"/>
      <c r="Q23" s="119" t="n"/>
      <c r="R23" s="119" t="n"/>
      <c r="S23" s="119" t="n"/>
      <c r="T23" s="119" t="n"/>
      <c r="U23" s="119" t="n"/>
      <c r="V23" s="119" t="n"/>
    </row>
    <row r="24" ht="16.5" customFormat="1" customHeight="1" s="56">
      <c r="A24" s="119" t="n"/>
      <c r="B24" s="119" t="n"/>
      <c r="C24" s="119" t="n"/>
      <c r="D24" s="119" t="n"/>
      <c r="E24" s="119" t="n"/>
      <c r="F24" s="119" t="n"/>
      <c r="G24" s="119" t="n"/>
      <c r="H24" s="119" t="n"/>
      <c r="I24" s="119" t="n"/>
      <c r="J24" s="119" t="n"/>
      <c r="K24" s="119" t="n"/>
      <c r="L24" s="119" t="n"/>
      <c r="M24" s="119" t="n"/>
      <c r="N24" s="119" t="n"/>
      <c r="O24" s="119" t="n"/>
      <c r="P24" s="119" t="n"/>
      <c r="Q24" s="119" t="n"/>
      <c r="R24" s="119" t="n"/>
      <c r="S24" s="119" t="n"/>
      <c r="T24" s="119" t="n"/>
      <c r="U24" s="119" t="n"/>
      <c r="V24" s="119" t="n"/>
    </row>
    <row r="25" ht="16.5" customFormat="1" customHeight="1" s="56">
      <c r="A25" s="119" t="n"/>
      <c r="B25" s="119" t="n"/>
      <c r="C25" s="119" t="n"/>
      <c r="D25" s="119" t="n"/>
      <c r="E25" s="119" t="n"/>
      <c r="F25" s="119" t="n"/>
      <c r="G25" s="119" t="n"/>
      <c r="H25" s="119" t="n"/>
      <c r="I25" s="119" t="n"/>
      <c r="J25" s="119" t="n"/>
      <c r="K25" s="119" t="n"/>
      <c r="L25" s="119" t="n"/>
      <c r="M25" s="119" t="n"/>
      <c r="N25" s="119" t="n"/>
      <c r="O25" s="119" t="n"/>
      <c r="P25" s="119" t="n"/>
      <c r="Q25" s="119" t="n"/>
      <c r="R25" s="119" t="n"/>
      <c r="S25" s="119" t="n"/>
      <c r="T25" s="119" t="n"/>
      <c r="U25" s="119" t="n"/>
      <c r="V25" s="119" t="n"/>
    </row>
    <row r="26" ht="16.5" customFormat="1" customHeight="1" s="56">
      <c r="A26" s="119" t="n"/>
      <c r="B26" s="119" t="n"/>
      <c r="C26" s="119" t="n"/>
      <c r="D26" s="119" t="n"/>
      <c r="E26" s="119" t="n"/>
      <c r="F26" s="119" t="n"/>
      <c r="G26" s="119" t="n"/>
      <c r="H26" s="119" t="n"/>
      <c r="I26" s="119" t="n"/>
      <c r="J26" s="119" t="n"/>
      <c r="K26" s="119" t="n"/>
      <c r="L26" s="119" t="n"/>
      <c r="M26" s="119" t="n"/>
      <c r="N26" s="119" t="n"/>
      <c r="O26" s="119" t="n"/>
      <c r="P26" s="119" t="n"/>
      <c r="Q26" s="119" t="n"/>
      <c r="R26" s="119" t="n"/>
      <c r="S26" s="119" t="n"/>
      <c r="T26" s="119" t="n"/>
      <c r="U26" s="119" t="n"/>
      <c r="V26" s="119" t="n"/>
    </row>
    <row r="27" ht="16.5" customFormat="1" customHeight="1" s="56">
      <c r="A27" s="119" t="n"/>
      <c r="B27" s="119" t="n"/>
      <c r="C27" s="119" t="n"/>
      <c r="D27" s="119" t="n"/>
      <c r="E27" s="119" t="n"/>
      <c r="F27" s="119" t="n"/>
      <c r="G27" s="119" t="n"/>
      <c r="H27" s="119" t="n"/>
      <c r="I27" s="119" t="n"/>
      <c r="J27" s="119" t="n"/>
      <c r="K27" s="119" t="n"/>
      <c r="L27" s="119" t="n"/>
      <c r="M27" s="119" t="n"/>
      <c r="N27" s="119" t="n"/>
      <c r="O27" s="119" t="n"/>
      <c r="P27" s="119" t="n"/>
      <c r="Q27" s="119" t="n"/>
      <c r="R27" s="119" t="n"/>
      <c r="S27" s="119" t="n"/>
      <c r="T27" s="119" t="n"/>
      <c r="U27" s="119" t="n"/>
      <c r="V27" s="119" t="n"/>
    </row>
    <row r="28" ht="16.5" customFormat="1" customHeight="1" s="56">
      <c r="A28" s="119" t="n"/>
      <c r="B28" s="119" t="n"/>
      <c r="C28" s="119" t="n"/>
      <c r="D28" s="119" t="n"/>
      <c r="E28" s="119" t="n"/>
      <c r="F28" s="119" t="n"/>
      <c r="G28" s="119" t="n"/>
      <c r="H28" s="119" t="n"/>
      <c r="I28" s="119" t="n"/>
      <c r="J28" s="119" t="n"/>
      <c r="K28" s="119" t="n"/>
      <c r="L28" s="119" t="n"/>
      <c r="M28" s="119" t="n"/>
      <c r="N28" s="119" t="n"/>
      <c r="O28" s="119" t="n"/>
      <c r="P28" s="119" t="n"/>
      <c r="Q28" s="119" t="n"/>
      <c r="R28" s="119" t="n"/>
      <c r="S28" s="119" t="n"/>
      <c r="T28" s="119" t="n"/>
      <c r="U28" s="119" t="n"/>
      <c r="V28" s="119" t="n"/>
    </row>
    <row r="29" ht="16.5" customFormat="1" customHeight="1" s="56">
      <c r="A29" s="119" t="n"/>
      <c r="B29" s="119" t="n"/>
      <c r="C29" s="119" t="n"/>
      <c r="D29" s="119" t="n"/>
      <c r="E29" s="119" t="n"/>
      <c r="F29" s="119" t="n"/>
      <c r="G29" s="119" t="n"/>
      <c r="H29" s="119" t="n"/>
      <c r="I29" s="119" t="n"/>
      <c r="J29" s="119" t="n"/>
      <c r="K29" s="119" t="n"/>
      <c r="L29" s="119" t="n"/>
      <c r="M29" s="119" t="n"/>
      <c r="N29" s="119" t="n"/>
      <c r="O29" s="119" t="n"/>
      <c r="P29" s="119" t="n"/>
      <c r="Q29" s="119" t="n"/>
      <c r="R29" s="119" t="n"/>
      <c r="S29" s="119" t="n"/>
      <c r="T29" s="119" t="n"/>
      <c r="U29" s="119" t="n"/>
      <c r="V29" s="119" t="n"/>
    </row>
    <row r="30" ht="16.5" customFormat="1" customHeight="1" s="56">
      <c r="A30" s="119" t="n"/>
      <c r="B30" s="119" t="n"/>
      <c r="C30" s="119" t="n"/>
      <c r="D30" s="119" t="n"/>
      <c r="E30" s="119" t="n"/>
      <c r="F30" s="119" t="n"/>
      <c r="G30" s="119" t="n"/>
      <c r="H30" s="119" t="n"/>
      <c r="I30" s="119" t="n"/>
      <c r="J30" s="119" t="n"/>
      <c r="K30" s="119" t="n"/>
      <c r="L30" s="119" t="n"/>
      <c r="M30" s="119" t="n"/>
      <c r="N30" s="119" t="n"/>
      <c r="O30" s="119" t="n"/>
      <c r="P30" s="119" t="n"/>
      <c r="Q30" s="119" t="n"/>
      <c r="R30" s="119" t="n"/>
      <c r="S30" s="119" t="n"/>
      <c r="T30" s="119" t="n"/>
      <c r="U30" s="119" t="n"/>
      <c r="V30" s="119" t="n"/>
    </row>
    <row r="31" ht="16.5" customFormat="1" customHeight="1" s="56">
      <c r="A31" s="119" t="n"/>
      <c r="B31" s="119" t="n"/>
      <c r="C31" s="119" t="n"/>
      <c r="D31" s="119" t="n"/>
      <c r="E31" s="119" t="n"/>
      <c r="F31" s="119" t="n"/>
      <c r="G31" s="119" t="n"/>
      <c r="H31" s="119" t="n"/>
      <c r="I31" s="119" t="n"/>
      <c r="J31" s="119" t="n"/>
      <c r="K31" s="119" t="n"/>
      <c r="L31" s="119" t="n"/>
      <c r="M31" s="119" t="n"/>
      <c r="N31" s="119" t="n"/>
      <c r="O31" s="119" t="n"/>
      <c r="P31" s="119" t="n"/>
      <c r="Q31" s="119" t="n"/>
      <c r="R31" s="119" t="n"/>
      <c r="S31" s="119" t="n"/>
      <c r="T31" s="119" t="n"/>
      <c r="U31" s="119" t="n"/>
      <c r="V31" s="119" t="n"/>
    </row>
    <row r="32" ht="16.5" customFormat="1" customHeight="1" s="56">
      <c r="A32" s="119" t="n"/>
      <c r="B32" s="119" t="n"/>
      <c r="C32" s="119" t="n"/>
      <c r="D32" s="119" t="n"/>
      <c r="E32" s="119" t="n"/>
      <c r="F32" s="119" t="n"/>
      <c r="G32" s="119" t="n"/>
      <c r="H32" s="119" t="n"/>
      <c r="I32" s="119" t="n"/>
      <c r="J32" s="119" t="n"/>
      <c r="K32" s="119" t="n"/>
      <c r="L32" s="119" t="n"/>
      <c r="M32" s="119" t="n"/>
      <c r="N32" s="119" t="n"/>
      <c r="O32" s="119" t="n"/>
      <c r="P32" s="119" t="n"/>
      <c r="Q32" s="119" t="n"/>
      <c r="R32" s="119" t="n"/>
      <c r="S32" s="119" t="n"/>
      <c r="T32" s="119" t="n"/>
      <c r="U32" s="119" t="n"/>
      <c r="V32" s="119" t="n"/>
    </row>
    <row r="33" ht="16.5" customFormat="1" customHeight="1" s="56">
      <c r="A33" s="119" t="n"/>
      <c r="B33" s="119" t="n"/>
      <c r="C33" s="119" t="n"/>
      <c r="D33" s="119" t="n"/>
      <c r="E33" s="119" t="n"/>
      <c r="F33" s="119" t="n"/>
      <c r="G33" s="119" t="n"/>
      <c r="H33" s="119" t="n"/>
      <c r="I33" s="119" t="n"/>
      <c r="J33" s="119" t="n"/>
      <c r="K33" s="119" t="n"/>
      <c r="L33" s="119" t="n"/>
      <c r="M33" s="119" t="n"/>
      <c r="N33" s="119" t="n"/>
      <c r="O33" s="119" t="n"/>
      <c r="P33" s="119" t="n"/>
      <c r="Q33" s="119" t="n"/>
      <c r="R33" s="119" t="n"/>
      <c r="S33" s="119" t="n"/>
      <c r="T33" s="119" t="n"/>
      <c r="U33" s="119" t="n"/>
      <c r="V33" s="119" t="n"/>
    </row>
    <row r="34" ht="16.5" customFormat="1" customHeight="1" s="56">
      <c r="A34" s="119" t="n"/>
      <c r="B34" s="119" t="n"/>
      <c r="C34" s="119" t="n"/>
      <c r="D34" s="119" t="n"/>
      <c r="E34" s="119" t="n"/>
      <c r="F34" s="119" t="n"/>
      <c r="G34" s="119" t="n"/>
      <c r="H34" s="119" t="n"/>
      <c r="I34" s="119" t="n"/>
      <c r="J34" s="119" t="n"/>
      <c r="K34" s="119" t="n"/>
      <c r="L34" s="119" t="n"/>
      <c r="M34" s="119" t="n"/>
      <c r="N34" s="119" t="n"/>
      <c r="O34" s="119" t="n"/>
      <c r="P34" s="119" t="n"/>
      <c r="Q34" s="119" t="n"/>
      <c r="R34" s="119" t="n"/>
      <c r="S34" s="119" t="n"/>
      <c r="T34" s="119" t="n"/>
      <c r="U34" s="119" t="n"/>
      <c r="V34" s="119" t="n"/>
    </row>
    <row r="35" ht="16.5" customFormat="1" customHeight="1" s="56">
      <c r="A35" s="119" t="n"/>
      <c r="B35" s="119" t="n"/>
      <c r="C35" s="119" t="n"/>
      <c r="D35" s="119" t="n"/>
      <c r="E35" s="119" t="n"/>
      <c r="F35" s="119" t="n"/>
      <c r="G35" s="119" t="n"/>
      <c r="H35" s="119" t="n"/>
      <c r="I35" s="119" t="n"/>
      <c r="J35" s="119" t="n"/>
      <c r="K35" s="119" t="n"/>
      <c r="L35" s="119" t="n"/>
      <c r="M35" s="119" t="n"/>
      <c r="N35" s="119" t="n"/>
      <c r="O35" s="119" t="n"/>
      <c r="P35" s="119" t="n"/>
      <c r="Q35" s="119" t="n"/>
      <c r="R35" s="119" t="n"/>
      <c r="S35" s="119" t="n"/>
      <c r="T35" s="119" t="n"/>
      <c r="U35" s="119" t="n"/>
      <c r="V35" s="119" t="n"/>
    </row>
    <row r="36" ht="16.5" customFormat="1" customHeight="1" s="56">
      <c r="A36" s="119" t="n"/>
      <c r="B36" s="119" t="n"/>
      <c r="C36" s="119" t="n"/>
      <c r="D36" s="119" t="n"/>
      <c r="E36" s="119" t="n"/>
      <c r="F36" s="119" t="n"/>
      <c r="G36" s="119" t="n"/>
      <c r="H36" s="119" t="n"/>
      <c r="I36" s="119" t="n"/>
      <c r="J36" s="119" t="n"/>
      <c r="K36" s="119" t="n"/>
      <c r="L36" s="119" t="n"/>
      <c r="M36" s="119" t="n"/>
      <c r="N36" s="119" t="n"/>
      <c r="O36" s="119" t="n"/>
      <c r="P36" s="119" t="n"/>
      <c r="Q36" s="119" t="n"/>
      <c r="R36" s="119" t="n"/>
      <c r="S36" s="119" t="n"/>
      <c r="T36" s="119" t="n"/>
      <c r="U36" s="119" t="n"/>
      <c r="V36" s="119" t="n"/>
    </row>
    <row r="37" ht="16.5" customFormat="1" customHeight="1" s="56">
      <c r="A37" s="119" t="n"/>
      <c r="B37" s="119" t="n"/>
      <c r="C37" s="119" t="n"/>
      <c r="D37" s="119" t="n"/>
      <c r="E37" s="119" t="n"/>
      <c r="F37" s="119" t="n"/>
      <c r="G37" s="119" t="n"/>
      <c r="H37" s="119" t="n"/>
      <c r="I37" s="119" t="n"/>
      <c r="J37" s="119" t="n"/>
      <c r="K37" s="119" t="n"/>
      <c r="L37" s="119" t="n"/>
      <c r="M37" s="119" t="n"/>
      <c r="N37" s="119" t="n"/>
      <c r="O37" s="119" t="n"/>
      <c r="P37" s="119" t="n"/>
      <c r="Q37" s="119" t="n"/>
      <c r="R37" s="119" t="n"/>
      <c r="S37" s="119" t="n"/>
      <c r="T37" s="119" t="n"/>
      <c r="U37" s="119" t="n"/>
      <c r="V37" s="119" t="n"/>
    </row>
    <row r="38" ht="16.5" customFormat="1" customHeight="1" s="56">
      <c r="A38" s="119" t="n"/>
      <c r="B38" s="119" t="n"/>
      <c r="C38" s="119" t="n"/>
      <c r="D38" s="119" t="n"/>
      <c r="E38" s="119" t="n"/>
      <c r="F38" s="119" t="n"/>
      <c r="G38" s="119" t="n"/>
      <c r="H38" s="119" t="n"/>
      <c r="I38" s="119" t="n"/>
      <c r="J38" s="119" t="n"/>
      <c r="K38" s="119" t="n"/>
      <c r="L38" s="119" t="n"/>
      <c r="M38" s="119" t="n"/>
      <c r="N38" s="119" t="n"/>
      <c r="O38" s="119" t="n"/>
      <c r="P38" s="119" t="n"/>
      <c r="Q38" s="119" t="n"/>
      <c r="R38" s="119" t="n"/>
      <c r="S38" s="119" t="n"/>
      <c r="T38" s="119" t="n"/>
      <c r="U38" s="119" t="n"/>
      <c r="V38" s="119" t="n"/>
    </row>
    <row r="39" ht="16.5" customFormat="1" customHeight="1" s="56">
      <c r="A39" s="119" t="n"/>
      <c r="B39" s="119" t="n"/>
      <c r="C39" s="119" t="n"/>
      <c r="D39" s="119" t="n"/>
      <c r="E39" s="119" t="n"/>
      <c r="F39" s="119" t="n"/>
      <c r="G39" s="119" t="n"/>
      <c r="H39" s="119" t="n"/>
      <c r="I39" s="119" t="n"/>
      <c r="J39" s="119" t="n"/>
      <c r="K39" s="119" t="n"/>
      <c r="L39" s="119" t="n"/>
      <c r="M39" s="119" t="n"/>
      <c r="N39" s="119" t="n"/>
      <c r="O39" s="119" t="n"/>
      <c r="P39" s="119" t="n"/>
      <c r="Q39" s="119" t="n"/>
      <c r="R39" s="119" t="n"/>
      <c r="S39" s="119" t="n"/>
      <c r="T39" s="119" t="n"/>
      <c r="U39" s="119" t="n"/>
      <c r="V39" s="119" t="n"/>
    </row>
    <row r="40" ht="16.5" customFormat="1" customHeight="1" s="56">
      <c r="A40" s="119" t="n"/>
      <c r="B40" s="119" t="n"/>
      <c r="C40" s="119" t="n"/>
      <c r="D40" s="119" t="n"/>
      <c r="E40" s="119" t="n"/>
      <c r="F40" s="119" t="n"/>
      <c r="G40" s="119" t="n"/>
      <c r="H40" s="119" t="n"/>
      <c r="I40" s="119" t="n"/>
      <c r="J40" s="119" t="n"/>
      <c r="K40" s="119" t="n"/>
      <c r="L40" s="119" t="n"/>
      <c r="M40" s="119" t="n"/>
      <c r="N40" s="119" t="n"/>
      <c r="O40" s="119" t="n"/>
      <c r="P40" s="119" t="n"/>
      <c r="Q40" s="119" t="n"/>
      <c r="R40" s="119" t="n"/>
      <c r="S40" s="119" t="n"/>
      <c r="T40" s="119" t="n"/>
      <c r="U40" s="119" t="n"/>
      <c r="V40" s="119" t="n"/>
    </row>
    <row r="41" ht="16.5" customFormat="1" customHeight="1" s="56">
      <c r="A41" s="119" t="n"/>
      <c r="B41" s="119" t="n"/>
      <c r="C41" s="119" t="n"/>
      <c r="D41" s="119" t="n"/>
      <c r="E41" s="119" t="n"/>
      <c r="F41" s="119" t="n"/>
      <c r="G41" s="119" t="n"/>
      <c r="H41" s="119" t="n"/>
      <c r="I41" s="119" t="n"/>
      <c r="J41" s="119" t="n"/>
      <c r="K41" s="119" t="n"/>
      <c r="L41" s="119" t="n"/>
      <c r="M41" s="119" t="n"/>
      <c r="N41" s="119" t="n"/>
      <c r="O41" s="119" t="n"/>
      <c r="P41" s="119" t="n"/>
      <c r="Q41" s="119" t="n"/>
      <c r="R41" s="119" t="n"/>
      <c r="S41" s="119" t="n"/>
      <c r="T41" s="119" t="n"/>
      <c r="U41" s="119" t="n"/>
      <c r="V41" s="119" t="n"/>
    </row>
    <row r="42" ht="16.5" customFormat="1" customHeight="1" s="56">
      <c r="A42" s="119" t="n"/>
      <c r="B42" s="119" t="n"/>
      <c r="C42" s="119" t="n"/>
      <c r="D42" s="119" t="n"/>
      <c r="E42" s="119" t="n"/>
      <c r="F42" s="119" t="n"/>
      <c r="G42" s="119" t="n"/>
      <c r="H42" s="119" t="n"/>
      <c r="I42" s="119" t="n"/>
      <c r="J42" s="119" t="n"/>
      <c r="K42" s="119" t="n"/>
      <c r="L42" s="119" t="n"/>
      <c r="M42" s="119" t="n"/>
      <c r="N42" s="119" t="n"/>
      <c r="O42" s="119" t="n"/>
      <c r="P42" s="119" t="n"/>
      <c r="Q42" s="119" t="n"/>
      <c r="R42" s="119" t="n"/>
      <c r="S42" s="119" t="n"/>
      <c r="T42" s="119" t="n"/>
      <c r="U42" s="119" t="n"/>
      <c r="V42" s="119" t="n"/>
    </row>
    <row r="43" ht="16.5" customFormat="1" customHeight="1" s="56">
      <c r="A43" s="119" t="n"/>
      <c r="B43" s="119" t="n"/>
      <c r="C43" s="119" t="n"/>
      <c r="D43" s="119" t="n"/>
      <c r="E43" s="119" t="n"/>
      <c r="F43" s="119" t="n"/>
      <c r="G43" s="119" t="n"/>
      <c r="H43" s="119" t="n"/>
      <c r="I43" s="119" t="n"/>
      <c r="J43" s="119" t="n"/>
      <c r="K43" s="119" t="n"/>
      <c r="L43" s="119" t="n"/>
      <c r="M43" s="119" t="n"/>
      <c r="N43" s="119" t="n"/>
      <c r="O43" s="119" t="n"/>
      <c r="P43" s="119" t="n"/>
      <c r="Q43" s="119" t="n"/>
      <c r="R43" s="119" t="n"/>
      <c r="S43" s="119" t="n"/>
      <c r="T43" s="119" t="n"/>
      <c r="U43" s="119" t="n"/>
      <c r="V43" s="119" t="n"/>
    </row>
    <row r="44" ht="16.5" customFormat="1" customHeight="1" s="56">
      <c r="A44" s="119" t="n"/>
      <c r="B44" s="119" t="n"/>
      <c r="C44" s="119" t="n"/>
      <c r="D44" s="119" t="n"/>
      <c r="E44" s="119" t="n"/>
      <c r="F44" s="119" t="n"/>
      <c r="G44" s="119" t="n"/>
      <c r="H44" s="119" t="n"/>
      <c r="I44" s="119" t="n"/>
      <c r="J44" s="119" t="n"/>
      <c r="K44" s="119" t="n"/>
      <c r="L44" s="119" t="n"/>
      <c r="M44" s="119" t="n"/>
      <c r="N44" s="119" t="n"/>
      <c r="O44" s="119" t="n"/>
      <c r="P44" s="119" t="n"/>
      <c r="Q44" s="119" t="n"/>
      <c r="R44" s="119" t="n"/>
      <c r="S44" s="119" t="n"/>
      <c r="T44" s="119" t="n"/>
      <c r="U44" s="119" t="n"/>
      <c r="V44" s="119" t="n"/>
    </row>
    <row r="45" ht="16.5" customFormat="1" customHeight="1" s="56">
      <c r="A45" s="119" t="n"/>
      <c r="B45" s="119" t="n"/>
      <c r="C45" s="119" t="n"/>
      <c r="D45" s="119" t="n"/>
      <c r="E45" s="119" t="n"/>
      <c r="F45" s="119" t="n"/>
      <c r="G45" s="119" t="n"/>
      <c r="H45" s="119" t="n"/>
      <c r="I45" s="119" t="n"/>
      <c r="J45" s="119" t="n"/>
      <c r="K45" s="119" t="n"/>
      <c r="L45" s="119" t="n"/>
      <c r="M45" s="119" t="n"/>
      <c r="N45" s="119" t="n"/>
      <c r="O45" s="119" t="n"/>
      <c r="P45" s="119" t="n"/>
      <c r="Q45" s="119" t="n"/>
      <c r="R45" s="119" t="n"/>
      <c r="S45" s="119" t="n"/>
      <c r="T45" s="119" t="n"/>
      <c r="U45" s="119" t="n"/>
      <c r="V45" s="119" t="n"/>
    </row>
    <row r="46" ht="16.5" customFormat="1" customHeight="1" s="56">
      <c r="A46" s="119" t="n"/>
      <c r="B46" s="119" t="n"/>
      <c r="C46" s="119" t="n"/>
      <c r="D46" s="119" t="n"/>
      <c r="E46" s="119" t="n"/>
      <c r="F46" s="119" t="n"/>
      <c r="G46" s="119" t="n"/>
      <c r="H46" s="119" t="n"/>
      <c r="I46" s="119" t="n"/>
      <c r="J46" s="119" t="n"/>
      <c r="K46" s="119" t="n"/>
      <c r="L46" s="119" t="n"/>
      <c r="M46" s="119" t="n"/>
      <c r="N46" s="119" t="n"/>
      <c r="O46" s="119" t="n"/>
      <c r="P46" s="119" t="n"/>
      <c r="Q46" s="119" t="n"/>
      <c r="R46" s="119" t="n"/>
      <c r="S46" s="119" t="n"/>
      <c r="T46" s="119" t="n"/>
      <c r="U46" s="119" t="n"/>
      <c r="V46" s="119" t="n"/>
    </row>
    <row r="47" ht="16.5" customFormat="1" customHeight="1" s="56">
      <c r="A47" s="119" t="n"/>
      <c r="B47" s="119" t="n"/>
      <c r="C47" s="119" t="n"/>
      <c r="D47" s="119" t="n"/>
      <c r="E47" s="119" t="n"/>
      <c r="F47" s="119" t="n"/>
      <c r="G47" s="119" t="n"/>
      <c r="H47" s="119" t="n"/>
      <c r="I47" s="119" t="n"/>
      <c r="J47" s="119" t="n"/>
      <c r="K47" s="119" t="n"/>
      <c r="L47" s="119" t="n"/>
      <c r="M47" s="119" t="n"/>
      <c r="N47" s="119" t="n"/>
      <c r="O47" s="119" t="n"/>
      <c r="P47" s="119" t="n"/>
      <c r="Q47" s="119" t="n"/>
      <c r="R47" s="119" t="n"/>
      <c r="S47" s="119" t="n"/>
      <c r="T47" s="119" t="n"/>
      <c r="U47" s="119" t="n"/>
      <c r="V47" s="119" t="n"/>
    </row>
    <row r="48" ht="16.5" customFormat="1" customHeight="1" s="56">
      <c r="A48" s="119" t="n"/>
      <c r="B48" s="119" t="n"/>
      <c r="C48" s="119" t="n"/>
      <c r="D48" s="119" t="n"/>
      <c r="E48" s="119" t="n"/>
      <c r="F48" s="119" t="n"/>
      <c r="G48" s="119" t="n"/>
      <c r="H48" s="119" t="n"/>
      <c r="I48" s="119" t="n"/>
      <c r="J48" s="119" t="n"/>
      <c r="K48" s="119" t="n"/>
      <c r="L48" s="119" t="n"/>
      <c r="M48" s="119" t="n"/>
      <c r="N48" s="119" t="n"/>
      <c r="O48" s="119" t="n"/>
      <c r="P48" s="119" t="n"/>
      <c r="Q48" s="119" t="n"/>
      <c r="R48" s="119" t="n"/>
      <c r="S48" s="119" t="n"/>
      <c r="T48" s="119" t="n"/>
      <c r="U48" s="119" t="n"/>
      <c r="V48" s="119" t="n"/>
    </row>
    <row r="49" ht="16.5" customFormat="1" customHeight="1" s="56">
      <c r="A49" s="119" t="n"/>
      <c r="B49" s="119" t="n"/>
      <c r="C49" s="119" t="n"/>
      <c r="D49" s="119" t="n"/>
      <c r="E49" s="119" t="n"/>
      <c r="F49" s="119" t="n"/>
      <c r="G49" s="119" t="n"/>
      <c r="H49" s="119" t="n"/>
      <c r="I49" s="119" t="n"/>
      <c r="J49" s="119" t="n"/>
      <c r="K49" s="119" t="n"/>
      <c r="L49" s="119" t="n"/>
      <c r="M49" s="119" t="n"/>
      <c r="N49" s="119" t="n"/>
      <c r="O49" s="119" t="n"/>
      <c r="P49" s="119" t="n"/>
      <c r="Q49" s="119" t="n"/>
      <c r="R49" s="119" t="n"/>
      <c r="S49" s="119" t="n"/>
      <c r="T49" s="119" t="n"/>
      <c r="U49" s="119" t="n"/>
      <c r="V49" s="119" t="n"/>
    </row>
    <row r="50" ht="16.5" customFormat="1" customHeight="1" s="56">
      <c r="A50" s="119" t="n"/>
      <c r="B50" s="119" t="n"/>
      <c r="C50" s="119" t="n"/>
      <c r="D50" s="119" t="n"/>
      <c r="E50" s="119" t="n"/>
      <c r="F50" s="119" t="n"/>
      <c r="G50" s="119" t="n"/>
      <c r="H50" s="119" t="n"/>
      <c r="I50" s="119" t="n"/>
      <c r="J50" s="119" t="n"/>
      <c r="K50" s="119" t="n"/>
      <c r="L50" s="119" t="n"/>
      <c r="M50" s="119" t="n"/>
      <c r="N50" s="119" t="n"/>
      <c r="O50" s="119" t="n"/>
      <c r="P50" s="119" t="n"/>
      <c r="Q50" s="119" t="n"/>
      <c r="R50" s="119" t="n"/>
      <c r="S50" s="119" t="n"/>
      <c r="T50" s="119" t="n"/>
      <c r="U50" s="119" t="n"/>
      <c r="V50" s="119" t="n"/>
    </row>
    <row r="51" ht="16.5" customFormat="1" customHeight="1" s="56">
      <c r="A51" s="119" t="n"/>
      <c r="B51" s="119" t="n"/>
      <c r="C51" s="119" t="n"/>
      <c r="D51" s="119" t="n"/>
      <c r="E51" s="119" t="n"/>
      <c r="F51" s="119" t="n"/>
      <c r="G51" s="119" t="n"/>
      <c r="H51" s="119" t="n"/>
      <c r="I51" s="119" t="n"/>
      <c r="J51" s="119" t="n"/>
      <c r="K51" s="119" t="n"/>
      <c r="L51" s="119" t="n"/>
      <c r="M51" s="119" t="n"/>
      <c r="N51" s="119" t="n"/>
      <c r="O51" s="119" t="n"/>
      <c r="P51" s="119" t="n"/>
      <c r="Q51" s="119" t="n"/>
      <c r="R51" s="119" t="n"/>
      <c r="S51" s="119" t="n"/>
      <c r="T51" s="119" t="n"/>
      <c r="U51" s="119" t="n"/>
      <c r="V51" s="119" t="n"/>
    </row>
    <row r="52" ht="16.5" customFormat="1" customHeight="1" s="56">
      <c r="A52" s="119" t="n"/>
      <c r="B52" s="119" t="n"/>
      <c r="C52" s="119" t="n"/>
      <c r="D52" s="119" t="n"/>
      <c r="E52" s="119" t="n"/>
      <c r="F52" s="119" t="n"/>
      <c r="G52" s="119" t="n"/>
      <c r="H52" s="119" t="n"/>
      <c r="I52" s="119" t="n"/>
      <c r="J52" s="119" t="n"/>
      <c r="K52" s="119" t="n"/>
      <c r="L52" s="119" t="n"/>
      <c r="M52" s="119" t="n"/>
      <c r="N52" s="119" t="n"/>
      <c r="O52" s="119" t="n"/>
      <c r="P52" s="119" t="n"/>
      <c r="Q52" s="119" t="n"/>
      <c r="R52" s="119" t="n"/>
      <c r="S52" s="119" t="n"/>
      <c r="T52" s="119" t="n"/>
      <c r="U52" s="119" t="n"/>
      <c r="V52" s="119" t="n"/>
    </row>
    <row r="53" ht="16.5" customFormat="1" customHeight="1" s="56">
      <c r="A53" s="119" t="n"/>
      <c r="B53" s="119" t="n"/>
      <c r="C53" s="119" t="n"/>
      <c r="D53" s="119" t="n"/>
      <c r="E53" s="119" t="n"/>
      <c r="F53" s="119" t="n"/>
      <c r="G53" s="119" t="n"/>
      <c r="H53" s="119" t="n"/>
      <c r="I53" s="119" t="n"/>
      <c r="J53" s="119" t="n"/>
      <c r="K53" s="119" t="n"/>
      <c r="L53" s="119" t="n"/>
      <c r="M53" s="119" t="n"/>
      <c r="N53" s="119" t="n"/>
      <c r="O53" s="119" t="n"/>
      <c r="P53" s="119" t="n"/>
      <c r="Q53" s="119" t="n"/>
      <c r="R53" s="119" t="n"/>
      <c r="S53" s="119" t="n"/>
      <c r="T53" s="119" t="n"/>
      <c r="U53" s="119" t="n"/>
      <c r="V53" s="119" t="n"/>
    </row>
    <row r="54" ht="16.5" customFormat="1" customHeight="1" s="56">
      <c r="A54" s="119" t="n"/>
      <c r="B54" s="119" t="n"/>
      <c r="C54" s="119" t="n"/>
      <c r="D54" s="119" t="n"/>
      <c r="E54" s="119" t="n"/>
      <c r="F54" s="119" t="n"/>
      <c r="G54" s="119" t="n"/>
      <c r="H54" s="119" t="n"/>
      <c r="I54" s="119" t="n"/>
      <c r="J54" s="119" t="n"/>
      <c r="K54" s="119" t="n"/>
      <c r="L54" s="119" t="n"/>
      <c r="M54" s="119" t="n"/>
      <c r="N54" s="119" t="n"/>
      <c r="O54" s="119" t="n"/>
      <c r="P54" s="119" t="n"/>
      <c r="Q54" s="119" t="n"/>
      <c r="R54" s="119" t="n"/>
      <c r="S54" s="119" t="n"/>
      <c r="T54" s="119" t="n"/>
      <c r="U54" s="119" t="n"/>
      <c r="V54" s="119" t="n"/>
    </row>
    <row r="55" ht="16.5" customFormat="1" customHeight="1" s="56">
      <c r="A55" s="119" t="n"/>
      <c r="B55" s="119" t="n"/>
      <c r="C55" s="119" t="n"/>
      <c r="D55" s="119" t="n"/>
      <c r="E55" s="119" t="n"/>
      <c r="F55" s="119" t="n"/>
      <c r="G55" s="119" t="n"/>
      <c r="H55" s="119" t="n"/>
      <c r="I55" s="119" t="n"/>
      <c r="J55" s="119" t="n"/>
      <c r="K55" s="119" t="n"/>
      <c r="L55" s="119" t="n"/>
      <c r="M55" s="119" t="n"/>
      <c r="N55" s="119" t="n"/>
      <c r="O55" s="119" t="n"/>
      <c r="P55" s="119" t="n"/>
      <c r="Q55" s="119" t="n"/>
      <c r="R55" s="119" t="n"/>
      <c r="S55" s="119" t="n"/>
      <c r="T55" s="119" t="n"/>
      <c r="U55" s="119" t="n"/>
      <c r="V55" s="119" t="n"/>
    </row>
    <row r="56" ht="16.5" customFormat="1" customHeight="1" s="56">
      <c r="A56" s="119" t="n"/>
      <c r="B56" s="119" t="n"/>
      <c r="C56" s="119" t="n"/>
      <c r="D56" s="119" t="n"/>
      <c r="E56" s="119" t="n"/>
      <c r="F56" s="119" t="n"/>
      <c r="G56" s="119" t="n"/>
      <c r="H56" s="119" t="n"/>
      <c r="I56" s="119" t="n"/>
      <c r="J56" s="119" t="n"/>
      <c r="K56" s="119" t="n"/>
      <c r="L56" s="119" t="n"/>
      <c r="M56" s="119" t="n"/>
      <c r="N56" s="119" t="n"/>
      <c r="O56" s="119" t="n"/>
      <c r="P56" s="119" t="n"/>
      <c r="Q56" s="119" t="n"/>
      <c r="R56" s="119" t="n"/>
      <c r="S56" s="119" t="n"/>
      <c r="T56" s="119" t="n"/>
      <c r="U56" s="119" t="n"/>
      <c r="V56" s="119" t="n"/>
    </row>
    <row r="57" ht="16.5" customFormat="1" customHeight="1" s="56">
      <c r="A57" s="119" t="n"/>
      <c r="B57" s="119" t="n"/>
      <c r="C57" s="119" t="n"/>
      <c r="D57" s="119" t="n"/>
      <c r="E57" s="119" t="n"/>
      <c r="F57" s="119" t="n"/>
      <c r="G57" s="119" t="n"/>
      <c r="H57" s="119" t="n"/>
      <c r="I57" s="119" t="n"/>
      <c r="J57" s="119" t="n"/>
      <c r="K57" s="119" t="n"/>
      <c r="L57" s="119" t="n"/>
      <c r="M57" s="119" t="n"/>
      <c r="N57" s="119" t="n"/>
      <c r="O57" s="119" t="n"/>
      <c r="P57" s="119" t="n"/>
      <c r="Q57" s="119" t="n"/>
      <c r="R57" s="119" t="n"/>
      <c r="S57" s="119" t="n"/>
      <c r="T57" s="119" t="n"/>
      <c r="U57" s="119" t="n"/>
      <c r="V57" s="119" t="n"/>
    </row>
    <row r="58" ht="16.5" customFormat="1" customHeight="1" s="56">
      <c r="A58" s="119" t="n"/>
      <c r="B58" s="119" t="n"/>
      <c r="C58" s="119" t="n"/>
      <c r="D58" s="119" t="n"/>
      <c r="E58" s="119" t="n"/>
      <c r="F58" s="119" t="n"/>
      <c r="G58" s="119" t="n"/>
      <c r="H58" s="119" t="n"/>
      <c r="I58" s="119" t="n"/>
      <c r="J58" s="119" t="n"/>
      <c r="K58" s="119" t="n"/>
      <c r="L58" s="119" t="n"/>
      <c r="M58" s="119" t="n"/>
      <c r="N58" s="119" t="n"/>
      <c r="O58" s="119" t="n"/>
      <c r="P58" s="119" t="n"/>
      <c r="Q58" s="119" t="n"/>
      <c r="R58" s="119" t="n"/>
      <c r="S58" s="119" t="n"/>
      <c r="T58" s="119" t="n"/>
      <c r="U58" s="119" t="n"/>
      <c r="V58" s="119" t="n"/>
    </row>
    <row r="59" ht="16.5" customFormat="1" customHeight="1" s="56">
      <c r="A59" s="119" t="n"/>
      <c r="B59" s="119" t="n"/>
      <c r="C59" s="119" t="n"/>
      <c r="D59" s="119" t="n"/>
      <c r="E59" s="119" t="n"/>
      <c r="F59" s="119" t="n"/>
      <c r="G59" s="119" t="n"/>
      <c r="H59" s="119" t="n"/>
      <c r="I59" s="119" t="n"/>
      <c r="J59" s="119" t="n"/>
      <c r="K59" s="119" t="n"/>
      <c r="L59" s="119" t="n"/>
      <c r="M59" s="119" t="n"/>
      <c r="N59" s="119" t="n"/>
      <c r="O59" s="119" t="n"/>
      <c r="P59" s="119" t="n"/>
      <c r="Q59" s="119" t="n"/>
      <c r="R59" s="119" t="n"/>
      <c r="S59" s="119" t="n"/>
      <c r="T59" s="119" t="n"/>
      <c r="U59" s="119" t="n"/>
      <c r="V59" s="119" t="n"/>
    </row>
    <row r="60" ht="16.5" customFormat="1" customHeight="1" s="56">
      <c r="A60" s="119" t="n"/>
      <c r="B60" s="119" t="n"/>
      <c r="C60" s="119" t="n"/>
      <c r="D60" s="119" t="n"/>
      <c r="E60" s="119" t="n"/>
      <c r="F60" s="119" t="n"/>
      <c r="G60" s="119" t="n"/>
      <c r="H60" s="119" t="n"/>
      <c r="I60" s="119" t="n"/>
      <c r="J60" s="119" t="n"/>
      <c r="K60" s="119" t="n"/>
      <c r="L60" s="119" t="n"/>
      <c r="M60" s="119" t="n"/>
      <c r="N60" s="119" t="n"/>
      <c r="O60" s="119" t="n"/>
      <c r="P60" s="119" t="n"/>
      <c r="Q60" s="119" t="n"/>
      <c r="R60" s="119" t="n"/>
      <c r="S60" s="119" t="n"/>
      <c r="T60" s="119" t="n"/>
      <c r="U60" s="119" t="n"/>
      <c r="V60" s="119" t="n"/>
    </row>
    <row r="61" ht="16.5" customFormat="1" customHeight="1" s="56">
      <c r="A61" s="119" t="n"/>
      <c r="B61" s="119" t="n"/>
      <c r="C61" s="119" t="n"/>
      <c r="D61" s="119" t="n"/>
      <c r="E61" s="119" t="n"/>
      <c r="F61" s="119" t="n"/>
      <c r="G61" s="119" t="n"/>
      <c r="H61" s="119" t="n"/>
      <c r="I61" s="119" t="n"/>
      <c r="J61" s="119" t="n"/>
      <c r="K61" s="119" t="n"/>
      <c r="L61" s="119" t="n"/>
      <c r="M61" s="119" t="n"/>
      <c r="N61" s="119" t="n"/>
      <c r="O61" s="119" t="n"/>
      <c r="P61" s="119" t="n"/>
      <c r="Q61" s="119" t="n"/>
      <c r="R61" s="119" t="n"/>
      <c r="S61" s="119" t="n"/>
      <c r="T61" s="119" t="n"/>
      <c r="U61" s="119" t="n"/>
      <c r="V61" s="119" t="n"/>
    </row>
    <row r="62" ht="16.5" customFormat="1" customHeight="1" s="56">
      <c r="A62" s="119" t="n"/>
      <c r="B62" s="119" t="n"/>
      <c r="C62" s="119" t="n"/>
      <c r="D62" s="119" t="n"/>
      <c r="E62" s="119" t="n"/>
      <c r="F62" s="119" t="n"/>
      <c r="G62" s="119" t="n"/>
      <c r="H62" s="119" t="n"/>
      <c r="I62" s="119" t="n"/>
      <c r="J62" s="119" t="n"/>
      <c r="K62" s="119" t="n"/>
      <c r="L62" s="119" t="n"/>
      <c r="M62" s="119" t="n"/>
      <c r="N62" s="119" t="n"/>
      <c r="O62" s="119" t="n"/>
      <c r="P62" s="119" t="n"/>
      <c r="Q62" s="119" t="n"/>
      <c r="R62" s="119" t="n"/>
      <c r="S62" s="119" t="n"/>
      <c r="T62" s="119" t="n"/>
      <c r="U62" s="119" t="n"/>
      <c r="V62" s="119" t="n"/>
    </row>
    <row r="63" ht="16.5" customFormat="1" customHeight="1" s="56">
      <c r="A63" s="119" t="n"/>
      <c r="B63" s="119" t="n"/>
      <c r="C63" s="119" t="n"/>
      <c r="D63" s="119" t="n"/>
      <c r="E63" s="119" t="n"/>
      <c r="F63" s="119" t="n"/>
      <c r="G63" s="119" t="n"/>
      <c r="H63" s="119" t="n"/>
      <c r="I63" s="119" t="n"/>
      <c r="J63" s="119" t="n"/>
      <c r="K63" s="119" t="n"/>
      <c r="L63" s="119" t="n"/>
      <c r="M63" s="119" t="n"/>
      <c r="N63" s="119" t="n"/>
      <c r="O63" s="119" t="n"/>
      <c r="P63" s="119" t="n"/>
      <c r="Q63" s="119" t="n"/>
      <c r="R63" s="119" t="n"/>
      <c r="S63" s="119" t="n"/>
      <c r="T63" s="119" t="n"/>
      <c r="U63" s="119" t="n"/>
      <c r="V63" s="119" t="n"/>
    </row>
    <row r="64" ht="16.5" customFormat="1" customHeight="1" s="56">
      <c r="A64" s="119" t="n"/>
      <c r="B64" s="119" t="n"/>
      <c r="C64" s="119" t="n"/>
      <c r="D64" s="119" t="n"/>
      <c r="E64" s="119" t="n"/>
      <c r="F64" s="119" t="n"/>
      <c r="G64" s="119" t="n"/>
      <c r="H64" s="119" t="n"/>
      <c r="I64" s="119" t="n"/>
      <c r="J64" s="119" t="n"/>
      <c r="K64" s="119" t="n"/>
      <c r="L64" s="119" t="n"/>
      <c r="M64" s="119" t="n"/>
      <c r="N64" s="119" t="n"/>
      <c r="O64" s="119" t="n"/>
      <c r="P64" s="119" t="n"/>
      <c r="Q64" s="119" t="n"/>
      <c r="R64" s="119" t="n"/>
      <c r="S64" s="119" t="n"/>
      <c r="T64" s="119" t="n"/>
      <c r="U64" s="119" t="n"/>
      <c r="V64" s="119" t="n"/>
    </row>
    <row r="65" ht="16.5" customFormat="1" customHeight="1" s="56">
      <c r="A65" s="119" t="n"/>
      <c r="B65" s="119" t="n"/>
      <c r="C65" s="119" t="n"/>
      <c r="D65" s="119" t="n"/>
      <c r="E65" s="119" t="n"/>
      <c r="F65" s="119" t="n"/>
      <c r="G65" s="119" t="n"/>
      <c r="H65" s="119" t="n"/>
      <c r="I65" s="119" t="n"/>
      <c r="J65" s="119" t="n"/>
      <c r="K65" s="119" t="n"/>
      <c r="L65" s="119" t="n"/>
      <c r="M65" s="119" t="n"/>
      <c r="N65" s="119" t="n"/>
      <c r="O65" s="119" t="n"/>
      <c r="P65" s="119" t="n"/>
      <c r="Q65" s="119" t="n"/>
      <c r="R65" s="119" t="n"/>
      <c r="S65" s="119" t="n"/>
      <c r="T65" s="119" t="n"/>
      <c r="U65" s="119" t="n"/>
      <c r="V65" s="119" t="n"/>
    </row>
    <row r="66" ht="16.5" customFormat="1" customHeight="1" s="56">
      <c r="A66" s="119" t="n"/>
      <c r="B66" s="119" t="n"/>
      <c r="C66" s="119" t="n"/>
      <c r="D66" s="119" t="n"/>
      <c r="E66" s="119" t="n"/>
      <c r="F66" s="119" t="n"/>
      <c r="G66" s="119" t="n"/>
      <c r="H66" s="119" t="n"/>
      <c r="I66" s="119" t="n"/>
      <c r="J66" s="119" t="n"/>
      <c r="K66" s="119" t="n"/>
      <c r="L66" s="119" t="n"/>
      <c r="M66" s="119" t="n"/>
      <c r="N66" s="119" t="n"/>
      <c r="O66" s="119" t="n"/>
      <c r="P66" s="119" t="n"/>
      <c r="Q66" s="119" t="n"/>
      <c r="R66" s="119" t="n"/>
      <c r="S66" s="119" t="n"/>
      <c r="T66" s="119" t="n"/>
      <c r="U66" s="119" t="n"/>
      <c r="V66" s="119" t="n"/>
    </row>
    <row r="67" ht="16.5" customFormat="1" customHeight="1" s="56">
      <c r="A67" s="119" t="n"/>
      <c r="B67" s="119" t="n"/>
      <c r="C67" s="119" t="n"/>
      <c r="D67" s="119" t="n"/>
      <c r="E67" s="119" t="n"/>
      <c r="F67" s="119" t="n"/>
      <c r="G67" s="119" t="n"/>
      <c r="H67" s="119" t="n"/>
      <c r="I67" s="119" t="n"/>
      <c r="J67" s="119" t="n"/>
      <c r="K67" s="119" t="n"/>
      <c r="L67" s="119" t="n"/>
      <c r="M67" s="119" t="n"/>
      <c r="N67" s="119" t="n"/>
      <c r="O67" s="119" t="n"/>
      <c r="P67" s="119" t="n"/>
      <c r="Q67" s="119" t="n"/>
      <c r="R67" s="119" t="n"/>
      <c r="S67" s="119" t="n"/>
      <c r="T67" s="119" t="n"/>
      <c r="U67" s="119" t="n"/>
      <c r="V67" s="119" t="n"/>
    </row>
    <row r="68" ht="16.5" customFormat="1" customHeight="1" s="56">
      <c r="A68" s="119" t="n"/>
      <c r="B68" s="119" t="n"/>
      <c r="C68" s="119" t="n"/>
      <c r="D68" s="119" t="n"/>
      <c r="E68" s="119" t="n"/>
      <c r="F68" s="119" t="n"/>
      <c r="G68" s="119" t="n"/>
      <c r="H68" s="119" t="n"/>
      <c r="I68" s="119" t="n"/>
      <c r="J68" s="119" t="n"/>
      <c r="K68" s="119" t="n"/>
      <c r="L68" s="119" t="n"/>
      <c r="M68" s="119" t="n"/>
      <c r="N68" s="119" t="n"/>
      <c r="O68" s="119" t="n"/>
      <c r="P68" s="119" t="n"/>
      <c r="Q68" s="119" t="n"/>
      <c r="R68" s="119" t="n"/>
      <c r="S68" s="119" t="n"/>
      <c r="T68" s="119" t="n"/>
      <c r="U68" s="119" t="n"/>
      <c r="V68" s="119" t="n"/>
    </row>
    <row r="69" ht="16.5" customFormat="1" customHeight="1" s="56">
      <c r="A69" s="119" t="n"/>
      <c r="B69" s="119" t="n"/>
      <c r="C69" s="119" t="n"/>
      <c r="D69" s="119" t="n"/>
      <c r="E69" s="119" t="n"/>
      <c r="F69" s="119" t="n"/>
      <c r="G69" s="119" t="n"/>
      <c r="H69" s="119" t="n"/>
      <c r="I69" s="119" t="n"/>
      <c r="J69" s="119" t="n"/>
      <c r="K69" s="119" t="n"/>
      <c r="L69" s="119" t="n"/>
      <c r="M69" s="119" t="n"/>
      <c r="N69" s="119" t="n"/>
      <c r="O69" s="119" t="n"/>
      <c r="P69" s="119" t="n"/>
      <c r="Q69" s="119" t="n"/>
      <c r="R69" s="119" t="n"/>
      <c r="S69" s="119" t="n"/>
      <c r="T69" s="119" t="n"/>
      <c r="U69" s="119" t="n"/>
      <c r="V69" s="119" t="n"/>
    </row>
    <row r="70" ht="16.5" customFormat="1" customHeight="1" s="56">
      <c r="A70" s="119" t="n"/>
      <c r="B70" s="119" t="n"/>
      <c r="C70" s="119" t="n"/>
      <c r="D70" s="119" t="n"/>
      <c r="E70" s="119" t="n"/>
      <c r="F70" s="119" t="n"/>
      <c r="G70" s="119" t="n"/>
      <c r="H70" s="119" t="n"/>
      <c r="I70" s="119" t="n"/>
      <c r="J70" s="119" t="n"/>
      <c r="K70" s="119" t="n"/>
      <c r="L70" s="119" t="n"/>
      <c r="M70" s="119" t="n"/>
      <c r="N70" s="119" t="n"/>
      <c r="O70" s="119" t="n"/>
      <c r="P70" s="119" t="n"/>
      <c r="Q70" s="119" t="n"/>
      <c r="R70" s="119" t="n"/>
      <c r="S70" s="119" t="n"/>
      <c r="T70" s="119" t="n"/>
      <c r="U70" s="119" t="n"/>
      <c r="V70" s="119" t="n"/>
    </row>
    <row r="71" ht="16.5" customFormat="1" customHeight="1" s="56">
      <c r="A71" s="119" t="n"/>
      <c r="B71" s="119" t="n"/>
      <c r="C71" s="119" t="n"/>
      <c r="D71" s="119" t="n"/>
      <c r="E71" s="119" t="n"/>
      <c r="F71" s="119" t="n"/>
      <c r="G71" s="119" t="n"/>
      <c r="H71" s="119" t="n"/>
      <c r="I71" s="119" t="n"/>
      <c r="J71" s="119" t="n"/>
      <c r="K71" s="119" t="n"/>
      <c r="L71" s="119" t="n"/>
      <c r="M71" s="119" t="n"/>
      <c r="N71" s="119" t="n"/>
      <c r="O71" s="119" t="n"/>
      <c r="P71" s="119" t="n"/>
      <c r="Q71" s="119" t="n"/>
      <c r="R71" s="119" t="n"/>
      <c r="S71" s="119" t="n"/>
      <c r="T71" s="119" t="n"/>
      <c r="U71" s="119" t="n"/>
      <c r="V71" s="119" t="n"/>
    </row>
    <row r="72" ht="16.5" customFormat="1" customHeight="1" s="56">
      <c r="A72" s="119" t="n"/>
      <c r="B72" s="119" t="n"/>
      <c r="C72" s="119" t="n"/>
      <c r="D72" s="119" t="n"/>
      <c r="E72" s="119" t="n"/>
      <c r="F72" s="119" t="n"/>
      <c r="G72" s="119" t="n"/>
      <c r="H72" s="119" t="n"/>
      <c r="I72" s="119" t="n"/>
      <c r="J72" s="119" t="n"/>
      <c r="K72" s="119" t="n"/>
      <c r="L72" s="119" t="n"/>
      <c r="M72" s="119" t="n"/>
      <c r="N72" s="119" t="n"/>
      <c r="O72" s="119" t="n"/>
      <c r="P72" s="119" t="n"/>
      <c r="Q72" s="119" t="n"/>
      <c r="R72" s="119" t="n"/>
      <c r="S72" s="119" t="n"/>
      <c r="T72" s="119" t="n"/>
      <c r="U72" s="119" t="n"/>
      <c r="V72" s="119" t="n"/>
    </row>
    <row r="73" ht="16.5" customFormat="1" customHeight="1" s="56">
      <c r="A73" s="119" t="n"/>
      <c r="B73" s="119" t="n"/>
      <c r="C73" s="119" t="n"/>
      <c r="D73" s="119" t="n"/>
      <c r="E73" s="119" t="n"/>
      <c r="F73" s="119" t="n"/>
      <c r="G73" s="119" t="n"/>
      <c r="H73" s="119" t="n"/>
      <c r="I73" s="119" t="n"/>
      <c r="J73" s="119" t="n"/>
      <c r="K73" s="119" t="n"/>
      <c r="L73" s="119" t="n"/>
      <c r="M73" s="119" t="n"/>
      <c r="N73" s="119" t="n"/>
      <c r="O73" s="119" t="n"/>
      <c r="P73" s="119" t="n"/>
      <c r="Q73" s="119" t="n"/>
      <c r="R73" s="119" t="n"/>
      <c r="S73" s="119" t="n"/>
      <c r="T73" s="119" t="n"/>
      <c r="U73" s="119" t="n"/>
      <c r="V73" s="119" t="n"/>
    </row>
    <row r="74" ht="16.5" customFormat="1" customHeight="1" s="56">
      <c r="A74" s="119" t="n"/>
      <c r="B74" s="119" t="n"/>
      <c r="C74" s="119" t="n"/>
      <c r="D74" s="119" t="n"/>
      <c r="E74" s="119" t="n"/>
      <c r="F74" s="119" t="n"/>
      <c r="G74" s="119" t="n"/>
      <c r="H74" s="119" t="n"/>
      <c r="I74" s="119" t="n"/>
      <c r="J74" s="119" t="n"/>
      <c r="K74" s="119" t="n"/>
      <c r="L74" s="119" t="n"/>
      <c r="M74" s="119" t="n"/>
      <c r="N74" s="119" t="n"/>
      <c r="O74" s="119" t="n"/>
      <c r="P74" s="119" t="n"/>
      <c r="Q74" s="119" t="n"/>
      <c r="R74" s="119" t="n"/>
      <c r="S74" s="119" t="n"/>
      <c r="T74" s="119" t="n"/>
      <c r="U74" s="119" t="n"/>
      <c r="V74" s="119" t="n"/>
    </row>
    <row r="75" ht="16.5" customFormat="1" customHeight="1" s="56">
      <c r="A75" s="119" t="n"/>
      <c r="B75" s="119" t="n"/>
      <c r="C75" s="119" t="n"/>
      <c r="D75" s="119" t="n"/>
      <c r="E75" s="119" t="n"/>
      <c r="F75" s="119" t="n"/>
      <c r="G75" s="119" t="n"/>
      <c r="H75" s="119" t="n"/>
      <c r="I75" s="119" t="n"/>
      <c r="J75" s="119" t="n"/>
      <c r="K75" s="119" t="n"/>
      <c r="L75" s="119" t="n"/>
      <c r="M75" s="119" t="n"/>
      <c r="N75" s="119" t="n"/>
      <c r="O75" s="119" t="n"/>
      <c r="P75" s="119" t="n"/>
      <c r="Q75" s="119" t="n"/>
      <c r="R75" s="119" t="n"/>
      <c r="S75" s="119" t="n"/>
      <c r="T75" s="119" t="n"/>
      <c r="U75" s="119" t="n"/>
      <c r="V75" s="119" t="n"/>
    </row>
    <row r="76" ht="16.5" customFormat="1" customHeight="1" s="56">
      <c r="A76" s="119" t="n"/>
      <c r="B76" s="119" t="n"/>
      <c r="C76" s="119" t="n"/>
      <c r="D76" s="119" t="n"/>
      <c r="E76" s="119" t="n"/>
      <c r="F76" s="119" t="n"/>
      <c r="G76" s="119" t="n"/>
      <c r="H76" s="119" t="n"/>
      <c r="I76" s="119" t="n"/>
      <c r="J76" s="119" t="n"/>
      <c r="K76" s="119" t="n"/>
      <c r="L76" s="119" t="n"/>
      <c r="M76" s="119" t="n"/>
      <c r="N76" s="119" t="n"/>
      <c r="O76" s="119" t="n"/>
      <c r="P76" s="119" t="n"/>
      <c r="Q76" s="119" t="n"/>
      <c r="R76" s="119" t="n"/>
      <c r="S76" s="119" t="n"/>
      <c r="T76" s="119" t="n"/>
      <c r="U76" s="119" t="n"/>
      <c r="V76" s="119" t="n"/>
    </row>
    <row r="77" ht="16.5" customFormat="1" customHeight="1" s="56">
      <c r="A77" s="119" t="n"/>
      <c r="B77" s="119" t="n"/>
      <c r="C77" s="119" t="n"/>
      <c r="D77" s="119" t="n"/>
      <c r="E77" s="119" t="n"/>
      <c r="F77" s="119" t="n"/>
      <c r="G77" s="119" t="n"/>
      <c r="H77" s="119" t="n"/>
      <c r="I77" s="119" t="n"/>
      <c r="J77" s="119" t="n"/>
      <c r="K77" s="119" t="n"/>
      <c r="L77" s="119" t="n"/>
      <c r="M77" s="119" t="n"/>
      <c r="N77" s="119" t="n"/>
      <c r="O77" s="119" t="n"/>
      <c r="P77" s="119" t="n"/>
      <c r="Q77" s="119" t="n"/>
      <c r="R77" s="119" t="n"/>
      <c r="S77" s="119" t="n"/>
      <c r="T77" s="119" t="n"/>
      <c r="U77" s="119" t="n"/>
      <c r="V77" s="119" t="n"/>
    </row>
    <row r="78" ht="16.5" customFormat="1" customHeight="1" s="56">
      <c r="A78" s="119" t="n"/>
      <c r="B78" s="119" t="n"/>
      <c r="C78" s="119" t="n"/>
      <c r="D78" s="119" t="n"/>
      <c r="E78" s="119" t="n"/>
      <c r="F78" s="119" t="n"/>
      <c r="G78" s="119" t="n"/>
      <c r="H78" s="119" t="n"/>
      <c r="I78" s="119" t="n"/>
      <c r="J78" s="119" t="n"/>
      <c r="K78" s="119" t="n"/>
      <c r="L78" s="119" t="n"/>
      <c r="M78" s="119" t="n"/>
      <c r="N78" s="119" t="n"/>
      <c r="O78" s="119" t="n"/>
      <c r="P78" s="119" t="n"/>
      <c r="Q78" s="119" t="n"/>
      <c r="R78" s="119" t="n"/>
      <c r="S78" s="119" t="n"/>
      <c r="T78" s="119" t="n"/>
      <c r="U78" s="119" t="n"/>
      <c r="V78" s="119" t="n"/>
    </row>
    <row r="79" ht="16.5" customFormat="1" customHeight="1" s="56">
      <c r="A79" s="119" t="n"/>
      <c r="B79" s="119" t="n"/>
      <c r="C79" s="119" t="n"/>
      <c r="D79" s="119" t="n"/>
      <c r="E79" s="119" t="n"/>
      <c r="F79" s="119" t="n"/>
      <c r="G79" s="119" t="n"/>
      <c r="H79" s="119" t="n"/>
      <c r="I79" s="119" t="n"/>
      <c r="J79" s="119" t="n"/>
      <c r="K79" s="119" t="n"/>
      <c r="L79" s="119" t="n"/>
      <c r="M79" s="119" t="n"/>
      <c r="N79" s="119" t="n"/>
      <c r="O79" s="119" t="n"/>
      <c r="P79" s="119" t="n"/>
      <c r="Q79" s="119" t="n"/>
      <c r="R79" s="119" t="n"/>
      <c r="S79" s="119" t="n"/>
      <c r="T79" s="119" t="n"/>
      <c r="U79" s="119" t="n"/>
      <c r="V79" s="119" t="n"/>
    </row>
    <row r="80" ht="16.5" customFormat="1" customHeight="1" s="56">
      <c r="A80" s="119" t="n"/>
      <c r="B80" s="119" t="n"/>
      <c r="C80" s="119" t="n"/>
      <c r="D80" s="119" t="n"/>
      <c r="E80" s="119" t="n"/>
      <c r="F80" s="119" t="n"/>
      <c r="G80" s="119" t="n"/>
      <c r="H80" s="119" t="n"/>
      <c r="I80" s="119" t="n"/>
      <c r="J80" s="119" t="n"/>
      <c r="K80" s="119" t="n"/>
      <c r="L80" s="119" t="n"/>
      <c r="M80" s="119" t="n"/>
      <c r="N80" s="119" t="n"/>
      <c r="O80" s="119" t="n"/>
      <c r="P80" s="119" t="n"/>
      <c r="Q80" s="119" t="n"/>
      <c r="R80" s="119" t="n"/>
      <c r="S80" s="119" t="n"/>
      <c r="T80" s="119" t="n"/>
      <c r="U80" s="119" t="n"/>
      <c r="V80" s="119" t="n"/>
    </row>
    <row r="81" ht="16.5" customFormat="1" customHeight="1" s="56">
      <c r="A81" s="119" t="n"/>
      <c r="B81" s="119" t="n"/>
      <c r="C81" s="119" t="n"/>
      <c r="D81" s="119" t="n"/>
      <c r="E81" s="119" t="n"/>
      <c r="F81" s="119" t="n"/>
      <c r="G81" s="119" t="n"/>
      <c r="H81" s="119" t="n"/>
      <c r="I81" s="119" t="n"/>
      <c r="J81" s="119" t="n"/>
      <c r="K81" s="119" t="n"/>
      <c r="L81" s="119" t="n"/>
      <c r="M81" s="119" t="n"/>
      <c r="N81" s="119" t="n"/>
      <c r="O81" s="119" t="n"/>
      <c r="P81" s="119" t="n"/>
      <c r="Q81" s="119" t="n"/>
      <c r="R81" s="119" t="n"/>
      <c r="S81" s="119" t="n"/>
      <c r="T81" s="119" t="n"/>
      <c r="U81" s="119" t="n"/>
      <c r="V81" s="119" t="n"/>
    </row>
    <row r="82" ht="16.5" customFormat="1" customHeight="1" s="56">
      <c r="A82" s="119" t="n"/>
      <c r="B82" s="119" t="n"/>
      <c r="C82" s="119" t="n"/>
      <c r="D82" s="119" t="n"/>
      <c r="E82" s="119" t="n"/>
      <c r="F82" s="119" t="n"/>
      <c r="G82" s="119" t="n"/>
      <c r="H82" s="119" t="n"/>
      <c r="I82" s="119" t="n"/>
      <c r="J82" s="119" t="n"/>
      <c r="K82" s="119" t="n"/>
      <c r="L82" s="119" t="n"/>
      <c r="M82" s="119" t="n"/>
      <c r="N82" s="119" t="n"/>
      <c r="O82" s="119" t="n"/>
      <c r="P82" s="119" t="n"/>
      <c r="Q82" s="119" t="n"/>
      <c r="R82" s="119" t="n"/>
      <c r="S82" s="119" t="n"/>
      <c r="T82" s="119" t="n"/>
      <c r="U82" s="119" t="n"/>
      <c r="V82" s="119" t="n"/>
    </row>
    <row r="83" ht="16.5" customFormat="1" customHeight="1" s="56">
      <c r="A83" s="119" t="n"/>
      <c r="B83" s="119" t="n"/>
      <c r="C83" s="119" t="n"/>
      <c r="D83" s="119" t="n"/>
      <c r="E83" s="119" t="n"/>
      <c r="F83" s="119" t="n"/>
      <c r="G83" s="119" t="n"/>
      <c r="H83" s="119" t="n"/>
      <c r="I83" s="119" t="n"/>
      <c r="J83" s="119" t="n"/>
      <c r="K83" s="119" t="n"/>
      <c r="L83" s="119" t="n"/>
      <c r="M83" s="119" t="n"/>
      <c r="N83" s="119" t="n"/>
      <c r="O83" s="119" t="n"/>
      <c r="P83" s="119" t="n"/>
      <c r="Q83" s="119" t="n"/>
      <c r="R83" s="119" t="n"/>
      <c r="S83" s="119" t="n"/>
      <c r="T83" s="119" t="n"/>
      <c r="U83" s="119" t="n"/>
      <c r="V83" s="119" t="n"/>
    </row>
    <row r="84" ht="16.5" customFormat="1" customHeight="1" s="56">
      <c r="A84" s="119" t="n"/>
      <c r="B84" s="119" t="n"/>
      <c r="C84" s="119" t="n"/>
      <c r="D84" s="119" t="n"/>
      <c r="E84" s="119" t="n"/>
      <c r="F84" s="119" t="n"/>
      <c r="G84" s="119" t="n"/>
      <c r="H84" s="119" t="n"/>
      <c r="I84" s="119" t="n"/>
      <c r="J84" s="119" t="n"/>
      <c r="K84" s="119" t="n"/>
      <c r="L84" s="119" t="n"/>
      <c r="M84" s="119" t="n"/>
      <c r="N84" s="119" t="n"/>
      <c r="O84" s="119" t="n"/>
      <c r="P84" s="119" t="n"/>
      <c r="Q84" s="119" t="n"/>
      <c r="R84" s="119" t="n"/>
      <c r="S84" s="119" t="n"/>
      <c r="T84" s="119" t="n"/>
      <c r="U84" s="119" t="n"/>
      <c r="V84" s="119" t="n"/>
    </row>
    <row r="85" ht="16.5" customFormat="1" customHeight="1" s="56">
      <c r="A85" s="119" t="n"/>
      <c r="B85" s="119" t="n"/>
      <c r="C85" s="119" t="n"/>
      <c r="D85" s="119" t="n"/>
      <c r="E85" s="119" t="n"/>
      <c r="F85" s="119" t="n"/>
      <c r="G85" s="119" t="n"/>
      <c r="H85" s="119" t="n"/>
      <c r="I85" s="119" t="n"/>
      <c r="J85" s="119" t="n"/>
      <c r="K85" s="119" t="n"/>
      <c r="L85" s="119" t="n"/>
      <c r="M85" s="119" t="n"/>
      <c r="N85" s="119" t="n"/>
      <c r="O85" s="119" t="n"/>
      <c r="P85" s="119" t="n"/>
      <c r="Q85" s="119" t="n"/>
      <c r="R85" s="119" t="n"/>
      <c r="S85" s="119" t="n"/>
      <c r="T85" s="119" t="n"/>
      <c r="U85" s="119" t="n"/>
      <c r="V85" s="119" t="n"/>
    </row>
    <row r="86" ht="16.5" customFormat="1" customHeight="1" s="56">
      <c r="A86" s="119" t="n"/>
      <c r="B86" s="119" t="n"/>
      <c r="C86" s="119" t="n"/>
      <c r="D86" s="119" t="n"/>
      <c r="E86" s="119" t="n"/>
      <c r="F86" s="119" t="n"/>
      <c r="G86" s="119" t="n"/>
      <c r="H86" s="119" t="n"/>
      <c r="I86" s="119" t="n"/>
      <c r="J86" s="119" t="n"/>
      <c r="K86" s="119" t="n"/>
      <c r="L86" s="119" t="n"/>
      <c r="M86" s="119" t="n"/>
      <c r="N86" s="119" t="n"/>
      <c r="O86" s="119" t="n"/>
      <c r="P86" s="119" t="n"/>
      <c r="Q86" s="119" t="n"/>
      <c r="R86" s="119" t="n"/>
      <c r="S86" s="119" t="n"/>
      <c r="T86" s="119" t="n"/>
      <c r="U86" s="119" t="n"/>
      <c r="V86" s="119" t="n"/>
    </row>
    <row r="87" ht="16.5" customFormat="1" customHeight="1" s="56">
      <c r="A87" s="119" t="n"/>
      <c r="B87" s="119" t="n"/>
      <c r="C87" s="119" t="n"/>
      <c r="D87" s="119" t="n"/>
      <c r="E87" s="119" t="n"/>
      <c r="F87" s="119" t="n"/>
      <c r="G87" s="119" t="n"/>
      <c r="H87" s="119" t="n"/>
      <c r="I87" s="119" t="n"/>
      <c r="J87" s="119" t="n"/>
      <c r="K87" s="119" t="n"/>
      <c r="L87" s="119" t="n"/>
      <c r="M87" s="119" t="n"/>
      <c r="N87" s="119" t="n"/>
      <c r="O87" s="119" t="n"/>
      <c r="P87" s="119" t="n"/>
      <c r="Q87" s="119" t="n"/>
      <c r="R87" s="119" t="n"/>
      <c r="S87" s="119" t="n"/>
      <c r="T87" s="119" t="n"/>
      <c r="U87" s="119" t="n"/>
      <c r="V87" s="119" t="n"/>
    </row>
    <row r="88" ht="16.5" customFormat="1" customHeight="1" s="56">
      <c r="A88" s="119" t="n"/>
      <c r="B88" s="119" t="n"/>
      <c r="C88" s="119" t="n"/>
      <c r="D88" s="119" t="n"/>
      <c r="E88" s="119" t="n"/>
      <c r="F88" s="119" t="n"/>
      <c r="G88" s="119" t="n"/>
      <c r="H88" s="119" t="n"/>
      <c r="I88" s="119" t="n"/>
      <c r="J88" s="119" t="n"/>
      <c r="K88" s="119" t="n"/>
      <c r="L88" s="119" t="n"/>
      <c r="M88" s="119" t="n"/>
      <c r="N88" s="119" t="n"/>
      <c r="O88" s="119" t="n"/>
      <c r="P88" s="119" t="n"/>
      <c r="Q88" s="119" t="n"/>
      <c r="R88" s="119" t="n"/>
      <c r="S88" s="119" t="n"/>
      <c r="T88" s="119" t="n"/>
      <c r="U88" s="119" t="n"/>
      <c r="V88" s="119" t="n"/>
    </row>
    <row r="89" ht="16.5" customFormat="1" customHeight="1" s="56">
      <c r="A89" s="119" t="n"/>
      <c r="B89" s="119" t="n"/>
      <c r="C89" s="119" t="n"/>
      <c r="D89" s="119" t="n"/>
      <c r="E89" s="119" t="n"/>
      <c r="F89" s="119" t="n"/>
      <c r="G89" s="119" t="n"/>
      <c r="H89" s="119" t="n"/>
      <c r="I89" s="119" t="n"/>
      <c r="J89" s="119" t="n"/>
      <c r="K89" s="119" t="n"/>
      <c r="L89" s="119" t="n"/>
      <c r="M89" s="119" t="n"/>
      <c r="N89" s="119" t="n"/>
      <c r="O89" s="119" t="n"/>
      <c r="P89" s="119" t="n"/>
      <c r="Q89" s="119" t="n"/>
      <c r="R89" s="119" t="n"/>
      <c r="S89" s="119" t="n"/>
      <c r="T89" s="119" t="n"/>
      <c r="U89" s="119" t="n"/>
      <c r="V89" s="119" t="n"/>
    </row>
    <row r="90" ht="16.5" customFormat="1" customHeight="1" s="56">
      <c r="A90" s="119" t="n"/>
      <c r="B90" s="119" t="n"/>
      <c r="C90" s="119" t="n"/>
      <c r="D90" s="119" t="n"/>
      <c r="E90" s="119" t="n"/>
      <c r="F90" s="119" t="n"/>
      <c r="G90" s="119" t="n"/>
      <c r="H90" s="119" t="n"/>
      <c r="I90" s="119" t="n"/>
      <c r="J90" s="119" t="n"/>
      <c r="K90" s="119" t="n"/>
      <c r="L90" s="119" t="n"/>
      <c r="M90" s="119" t="n"/>
      <c r="N90" s="119" t="n"/>
      <c r="O90" s="119" t="n"/>
      <c r="P90" s="119" t="n"/>
      <c r="Q90" s="119" t="n"/>
      <c r="R90" s="119" t="n"/>
      <c r="S90" s="119" t="n"/>
      <c r="T90" s="119" t="n"/>
      <c r="U90" s="119" t="n"/>
      <c r="V90" s="119" t="n"/>
    </row>
    <row r="91" ht="16.5" customFormat="1" customHeight="1" s="56">
      <c r="A91" s="119" t="n"/>
      <c r="B91" s="119" t="n"/>
      <c r="C91" s="119" t="n"/>
      <c r="D91" s="119" t="n"/>
      <c r="E91" s="119" t="n"/>
      <c r="F91" s="119" t="n"/>
      <c r="G91" s="119" t="n"/>
      <c r="H91" s="119" t="n"/>
      <c r="I91" s="119" t="n"/>
      <c r="J91" s="119" t="n"/>
      <c r="K91" s="119" t="n"/>
      <c r="L91" s="119" t="n"/>
      <c r="M91" s="119" t="n"/>
      <c r="N91" s="119" t="n"/>
      <c r="O91" s="119" t="n"/>
      <c r="P91" s="119" t="n"/>
      <c r="Q91" s="119" t="n"/>
      <c r="R91" s="119" t="n"/>
      <c r="S91" s="119" t="n"/>
      <c r="T91" s="119" t="n"/>
      <c r="U91" s="119" t="n"/>
      <c r="V91" s="119" t="n"/>
    </row>
    <row r="92" ht="16.5" customFormat="1" customHeight="1" s="56">
      <c r="A92" s="119" t="n"/>
      <c r="B92" s="119" t="n"/>
      <c r="C92" s="119" t="n"/>
      <c r="D92" s="119" t="n"/>
      <c r="E92" s="119" t="n"/>
      <c r="F92" s="119" t="n"/>
      <c r="G92" s="119" t="n"/>
      <c r="H92" s="119" t="n"/>
      <c r="I92" s="119" t="n"/>
      <c r="J92" s="119" t="n"/>
      <c r="K92" s="119" t="n"/>
      <c r="L92" s="119" t="n"/>
      <c r="M92" s="119" t="n"/>
      <c r="N92" s="119" t="n"/>
      <c r="O92" s="119" t="n"/>
      <c r="P92" s="119" t="n"/>
      <c r="Q92" s="119" t="n"/>
      <c r="R92" s="119" t="n"/>
      <c r="S92" s="119" t="n"/>
      <c r="T92" s="119" t="n"/>
      <c r="U92" s="119" t="n"/>
      <c r="V92" s="119" t="n"/>
    </row>
    <row r="93" ht="16.5" customFormat="1" customHeight="1" s="56">
      <c r="A93" s="119" t="n"/>
      <c r="B93" s="119" t="n"/>
      <c r="C93" s="119" t="n"/>
      <c r="D93" s="119" t="n"/>
      <c r="E93" s="119" t="n"/>
      <c r="F93" s="119" t="n"/>
      <c r="G93" s="119" t="n"/>
      <c r="H93" s="119" t="n"/>
      <c r="I93" s="119" t="n"/>
      <c r="J93" s="119" t="n"/>
      <c r="K93" s="119" t="n"/>
      <c r="L93" s="119" t="n"/>
      <c r="M93" s="119" t="n"/>
      <c r="N93" s="119" t="n"/>
      <c r="O93" s="119" t="n"/>
      <c r="P93" s="119" t="n"/>
      <c r="Q93" s="119" t="n"/>
      <c r="R93" s="119" t="n"/>
      <c r="S93" s="119" t="n"/>
      <c r="T93" s="119" t="n"/>
      <c r="U93" s="119" t="n"/>
      <c r="V93" s="119" t="n"/>
    </row>
    <row r="94" ht="16.5" customFormat="1" customHeight="1" s="56">
      <c r="A94" s="119" t="n"/>
      <c r="B94" s="119" t="n"/>
      <c r="C94" s="119" t="n"/>
      <c r="D94" s="119" t="n"/>
      <c r="E94" s="119" t="n"/>
      <c r="F94" s="119" t="n"/>
      <c r="G94" s="119" t="n"/>
      <c r="H94" s="119" t="n"/>
      <c r="I94" s="119" t="n"/>
      <c r="J94" s="119" t="n"/>
      <c r="K94" s="119" t="n"/>
      <c r="L94" s="119" t="n"/>
      <c r="M94" s="119" t="n"/>
      <c r="N94" s="119" t="n"/>
      <c r="O94" s="119" t="n"/>
      <c r="P94" s="119" t="n"/>
      <c r="Q94" s="119" t="n"/>
      <c r="R94" s="119" t="n"/>
      <c r="S94" s="119" t="n"/>
      <c r="T94" s="119" t="n"/>
      <c r="U94" s="119" t="n"/>
      <c r="V94" s="119" t="n"/>
    </row>
    <row r="95" ht="16.5" customFormat="1" customHeight="1" s="56">
      <c r="A95" s="119" t="n"/>
      <c r="B95" s="119" t="n"/>
      <c r="C95" s="119" t="n"/>
      <c r="D95" s="119" t="n"/>
      <c r="E95" s="119" t="n"/>
      <c r="F95" s="119" t="n"/>
      <c r="G95" s="119" t="n"/>
      <c r="H95" s="119" t="n"/>
      <c r="I95" s="119" t="n"/>
      <c r="J95" s="119" t="n"/>
      <c r="K95" s="119" t="n"/>
      <c r="L95" s="119" t="n"/>
      <c r="M95" s="119" t="n"/>
      <c r="N95" s="119" t="n"/>
      <c r="O95" s="119" t="n"/>
      <c r="P95" s="119" t="n"/>
      <c r="Q95" s="119" t="n"/>
      <c r="R95" s="119" t="n"/>
      <c r="S95" s="119" t="n"/>
      <c r="T95" s="119" t="n"/>
      <c r="U95" s="119" t="n"/>
      <c r="V95" s="119" t="n"/>
    </row>
    <row r="96" ht="16.5" customFormat="1" customHeight="1" s="56">
      <c r="A96" s="119" t="n"/>
      <c r="B96" s="119" t="n"/>
      <c r="C96" s="119" t="n"/>
      <c r="D96" s="119" t="n"/>
      <c r="E96" s="119" t="n"/>
      <c r="F96" s="119" t="n"/>
      <c r="G96" s="119" t="n"/>
      <c r="H96" s="119" t="n"/>
      <c r="I96" s="119" t="n"/>
      <c r="J96" s="119" t="n"/>
      <c r="K96" s="119" t="n"/>
      <c r="L96" s="119" t="n"/>
      <c r="M96" s="119" t="n"/>
      <c r="N96" s="119" t="n"/>
      <c r="O96" s="119" t="n"/>
      <c r="P96" s="119" t="n"/>
      <c r="Q96" s="119" t="n"/>
      <c r="R96" s="119" t="n"/>
      <c r="S96" s="119" t="n"/>
      <c r="T96" s="119" t="n"/>
      <c r="U96" s="119" t="n"/>
      <c r="V96" s="119" t="n"/>
    </row>
    <row r="97" ht="16.5" customFormat="1" customHeight="1" s="56">
      <c r="A97" s="119" t="n"/>
      <c r="B97" s="119" t="n"/>
      <c r="C97" s="119" t="n"/>
      <c r="D97" s="119" t="n"/>
      <c r="E97" s="119" t="n"/>
      <c r="F97" s="119" t="n"/>
      <c r="G97" s="119" t="n"/>
      <c r="H97" s="119" t="n"/>
      <c r="I97" s="119" t="n"/>
      <c r="J97" s="119" t="n"/>
      <c r="K97" s="119" t="n"/>
      <c r="L97" s="119" t="n"/>
      <c r="M97" s="119" t="n"/>
      <c r="N97" s="119" t="n"/>
      <c r="O97" s="119" t="n"/>
      <c r="P97" s="119" t="n"/>
      <c r="Q97" s="119" t="n"/>
      <c r="R97" s="119" t="n"/>
      <c r="S97" s="119" t="n"/>
      <c r="T97" s="119" t="n"/>
      <c r="U97" s="119" t="n"/>
      <c r="V97" s="119" t="n"/>
    </row>
    <row r="98" ht="16.5" customFormat="1" customHeight="1" s="56">
      <c r="A98" s="119" t="n"/>
      <c r="B98" s="119" t="n"/>
      <c r="C98" s="119" t="n"/>
      <c r="D98" s="119" t="n"/>
      <c r="E98" s="119" t="n"/>
      <c r="F98" s="119" t="n"/>
      <c r="G98" s="119" t="n"/>
      <c r="H98" s="119" t="n"/>
      <c r="I98" s="119" t="n"/>
      <c r="J98" s="119" t="n"/>
      <c r="K98" s="119" t="n"/>
      <c r="L98" s="119" t="n"/>
      <c r="M98" s="119" t="n"/>
      <c r="N98" s="119" t="n"/>
      <c r="O98" s="119" t="n"/>
      <c r="P98" s="119" t="n"/>
      <c r="Q98" s="119" t="n"/>
      <c r="R98" s="119" t="n"/>
      <c r="S98" s="119" t="n"/>
      <c r="T98" s="119" t="n"/>
      <c r="U98" s="119" t="n"/>
      <c r="V98" s="119" t="n"/>
    </row>
    <row r="99" ht="16.5" customFormat="1" customHeight="1" s="56">
      <c r="A99" s="119" t="n"/>
      <c r="B99" s="119" t="n"/>
      <c r="C99" s="119" t="n"/>
      <c r="D99" s="119" t="n"/>
      <c r="E99" s="119" t="n"/>
      <c r="F99" s="119" t="n"/>
      <c r="G99" s="119" t="n"/>
      <c r="H99" s="119" t="n"/>
      <c r="I99" s="119" t="n"/>
      <c r="J99" s="119" t="n"/>
      <c r="K99" s="119" t="n"/>
      <c r="L99" s="119" t="n"/>
      <c r="M99" s="119" t="n"/>
      <c r="N99" s="119" t="n"/>
      <c r="O99" s="119" t="n"/>
      <c r="P99" s="119" t="n"/>
      <c r="Q99" s="119" t="n"/>
      <c r="R99" s="119" t="n"/>
      <c r="S99" s="119" t="n"/>
      <c r="T99" s="119" t="n"/>
      <c r="U99" s="119" t="n"/>
      <c r="V99" s="119" t="n"/>
    </row>
    <row r="100" ht="16.5" customFormat="1" customHeight="1" s="56">
      <c r="A100" s="119" t="n"/>
      <c r="B100" s="119" t="n"/>
      <c r="C100" s="119" t="n"/>
      <c r="D100" s="119" t="n"/>
      <c r="E100" s="119" t="n"/>
      <c r="F100" s="119" t="n"/>
      <c r="G100" s="119" t="n"/>
      <c r="H100" s="119" t="n"/>
      <c r="I100" s="119" t="n"/>
      <c r="J100" s="119" t="n"/>
      <c r="K100" s="119" t="n"/>
      <c r="L100" s="119" t="n"/>
      <c r="M100" s="119" t="n"/>
      <c r="N100" s="119" t="n"/>
      <c r="O100" s="119" t="n"/>
      <c r="P100" s="119" t="n"/>
      <c r="Q100" s="119" t="n"/>
      <c r="R100" s="119" t="n"/>
      <c r="S100" s="119" t="n"/>
      <c r="T100" s="119" t="n"/>
      <c r="U100" s="119" t="n"/>
      <c r="V100" s="119" t="n"/>
    </row>
    <row r="101" ht="16.5" customFormat="1" customHeight="1" s="56">
      <c r="A101" s="119" t="n"/>
      <c r="B101" s="119" t="n"/>
      <c r="C101" s="119" t="n"/>
      <c r="D101" s="119" t="n"/>
      <c r="E101" s="119" t="n"/>
      <c r="F101" s="119" t="n"/>
      <c r="G101" s="119" t="n"/>
      <c r="H101" s="119" t="n"/>
      <c r="I101" s="119" t="n"/>
      <c r="J101" s="119" t="n"/>
      <c r="K101" s="119" t="n"/>
      <c r="L101" s="119" t="n"/>
      <c r="M101" s="119" t="n"/>
      <c r="N101" s="119" t="n"/>
      <c r="O101" s="119" t="n"/>
      <c r="P101" s="119" t="n"/>
      <c r="Q101" s="119" t="n"/>
      <c r="R101" s="119" t="n"/>
      <c r="S101" s="119" t="n"/>
      <c r="T101" s="119" t="n"/>
      <c r="U101" s="119" t="n"/>
      <c r="V101" s="119" t="n"/>
    </row>
    <row r="102" ht="16.5" customFormat="1" customHeight="1" s="56">
      <c r="A102" s="119" t="n"/>
      <c r="B102" s="119" t="n"/>
      <c r="C102" s="119" t="n"/>
      <c r="D102" s="119" t="n"/>
      <c r="E102" s="119" t="n"/>
      <c r="F102" s="119" t="n"/>
      <c r="G102" s="119" t="n"/>
      <c r="H102" s="119" t="n"/>
      <c r="I102" s="119" t="n"/>
      <c r="J102" s="119" t="n"/>
      <c r="K102" s="119" t="n"/>
      <c r="L102" s="119" t="n"/>
      <c r="M102" s="119" t="n"/>
      <c r="N102" s="119" t="n"/>
      <c r="O102" s="119" t="n"/>
      <c r="P102" s="119" t="n"/>
      <c r="Q102" s="119" t="n"/>
      <c r="R102" s="119" t="n"/>
      <c r="S102" s="119" t="n"/>
      <c r="T102" s="119" t="n"/>
      <c r="U102" s="119" t="n"/>
      <c r="V102" s="119" t="n"/>
    </row>
    <row r="103" ht="16.5" customFormat="1" customHeight="1" s="56">
      <c r="A103" s="119" t="n"/>
      <c r="B103" s="119" t="n"/>
      <c r="C103" s="119" t="n"/>
      <c r="D103" s="119" t="n"/>
      <c r="E103" s="119" t="n"/>
      <c r="F103" s="119" t="n"/>
      <c r="G103" s="119" t="n"/>
      <c r="H103" s="119" t="n"/>
      <c r="I103" s="119" t="n"/>
      <c r="J103" s="119" t="n"/>
      <c r="K103" s="119" t="n"/>
      <c r="L103" s="119" t="n"/>
      <c r="M103" s="119" t="n"/>
      <c r="N103" s="119" t="n"/>
      <c r="O103" s="119" t="n"/>
      <c r="P103" s="119" t="n"/>
      <c r="Q103" s="119" t="n"/>
      <c r="R103" s="119" t="n"/>
      <c r="S103" s="119" t="n"/>
      <c r="T103" s="119" t="n"/>
      <c r="U103" s="119" t="n"/>
      <c r="V103" s="119" t="n"/>
    </row>
    <row r="104" ht="16.5" customFormat="1" customHeight="1" s="56">
      <c r="A104" s="119" t="n"/>
      <c r="B104" s="119" t="n"/>
      <c r="C104" s="119" t="n"/>
      <c r="D104" s="119" t="n"/>
      <c r="E104" s="119" t="n"/>
      <c r="F104" s="119" t="n"/>
      <c r="G104" s="119" t="n"/>
      <c r="H104" s="119" t="n"/>
      <c r="I104" s="119" t="n"/>
      <c r="J104" s="119" t="n"/>
      <c r="K104" s="119" t="n"/>
      <c r="L104" s="119" t="n"/>
      <c r="M104" s="119" t="n"/>
      <c r="N104" s="119" t="n"/>
      <c r="O104" s="119" t="n"/>
      <c r="P104" s="119" t="n"/>
      <c r="Q104" s="119" t="n"/>
      <c r="R104" s="119" t="n"/>
      <c r="S104" s="119" t="n"/>
      <c r="T104" s="119" t="n"/>
      <c r="U104" s="119" t="n"/>
      <c r="V104" s="119" t="n"/>
    </row>
    <row r="105" ht="16.5" customFormat="1" customHeight="1" s="56">
      <c r="A105" s="119" t="n"/>
      <c r="B105" s="119" t="n"/>
      <c r="C105" s="119" t="n"/>
      <c r="D105" s="119" t="n"/>
      <c r="E105" s="119" t="n"/>
      <c r="F105" s="119" t="n"/>
      <c r="G105" s="119" t="n"/>
      <c r="H105" s="119" t="n"/>
      <c r="I105" s="119" t="n"/>
      <c r="J105" s="119" t="n"/>
      <c r="K105" s="119" t="n"/>
      <c r="L105" s="119" t="n"/>
      <c r="M105" s="119" t="n"/>
      <c r="N105" s="119" t="n"/>
      <c r="O105" s="119" t="n"/>
      <c r="P105" s="119" t="n"/>
      <c r="Q105" s="119" t="n"/>
      <c r="R105" s="119" t="n"/>
      <c r="S105" s="119" t="n"/>
      <c r="T105" s="119" t="n"/>
      <c r="U105" s="119" t="n"/>
      <c r="V105" s="119" t="n"/>
    </row>
    <row r="106" ht="16.5" customFormat="1" customHeight="1" s="56">
      <c r="A106" s="119" t="n"/>
      <c r="B106" s="119" t="n"/>
      <c r="C106" s="119" t="n"/>
      <c r="D106" s="119" t="n"/>
      <c r="E106" s="119" t="n"/>
      <c r="F106" s="119" t="n"/>
      <c r="G106" s="119" t="n"/>
      <c r="H106" s="119" t="n"/>
      <c r="I106" s="119" t="n"/>
      <c r="J106" s="119" t="n"/>
      <c r="K106" s="119" t="n"/>
      <c r="L106" s="119" t="n"/>
      <c r="M106" s="119" t="n"/>
      <c r="N106" s="119" t="n"/>
      <c r="O106" s="119" t="n"/>
      <c r="P106" s="119" t="n"/>
      <c r="Q106" s="119" t="n"/>
      <c r="R106" s="119" t="n"/>
      <c r="S106" s="119" t="n"/>
      <c r="T106" s="119" t="n"/>
      <c r="U106" s="119" t="n"/>
      <c r="V106" s="119" t="n"/>
    </row>
    <row r="107" ht="16.5" customFormat="1" customHeight="1" s="56">
      <c r="A107" s="119" t="n"/>
      <c r="B107" s="119" t="n"/>
      <c r="C107" s="119" t="n"/>
      <c r="D107" s="119" t="n"/>
      <c r="E107" s="119" t="n"/>
      <c r="F107" s="119" t="n"/>
      <c r="G107" s="119" t="n"/>
      <c r="H107" s="119" t="n"/>
      <c r="I107" s="119" t="n"/>
      <c r="J107" s="119" t="n"/>
      <c r="K107" s="119" t="n"/>
      <c r="L107" s="119" t="n"/>
      <c r="M107" s="119" t="n"/>
      <c r="N107" s="119" t="n"/>
      <c r="O107" s="119" t="n"/>
      <c r="P107" s="119" t="n"/>
      <c r="Q107" s="119" t="n"/>
      <c r="R107" s="119" t="n"/>
      <c r="S107" s="119" t="n"/>
      <c r="T107" s="119" t="n"/>
      <c r="U107" s="119" t="n"/>
      <c r="V107" s="119" t="n"/>
    </row>
    <row r="108" ht="16.5" customFormat="1" customHeight="1" s="56">
      <c r="A108" s="119" t="n"/>
      <c r="B108" s="119" t="n"/>
      <c r="C108" s="119" t="n"/>
      <c r="D108" s="119" t="n"/>
      <c r="E108" s="119" t="n"/>
      <c r="F108" s="119" t="n"/>
      <c r="G108" s="119" t="n"/>
      <c r="H108" s="119" t="n"/>
      <c r="I108" s="119" t="n"/>
      <c r="J108" s="119" t="n"/>
      <c r="K108" s="119" t="n"/>
      <c r="L108" s="119" t="n"/>
      <c r="M108" s="119" t="n"/>
      <c r="N108" s="119" t="n"/>
      <c r="O108" s="119" t="n"/>
      <c r="P108" s="119" t="n"/>
      <c r="Q108" s="119" t="n"/>
      <c r="R108" s="119" t="n"/>
      <c r="S108" s="119" t="n"/>
      <c r="T108" s="119" t="n"/>
      <c r="U108" s="119" t="n"/>
      <c r="V108" s="119" t="n"/>
    </row>
    <row r="109" ht="16.5" customFormat="1" customHeight="1" s="56">
      <c r="A109" s="119" t="n"/>
      <c r="B109" s="119" t="n"/>
      <c r="C109" s="119" t="n"/>
      <c r="D109" s="119" t="n"/>
      <c r="E109" s="119" t="n"/>
      <c r="F109" s="119" t="n"/>
      <c r="G109" s="119" t="n"/>
      <c r="H109" s="119" t="n"/>
      <c r="I109" s="119" t="n"/>
      <c r="J109" s="119" t="n"/>
      <c r="K109" s="119" t="n"/>
      <c r="L109" s="119" t="n"/>
      <c r="M109" s="119" t="n"/>
      <c r="N109" s="119" t="n"/>
      <c r="O109" s="119" t="n"/>
      <c r="P109" s="119" t="n"/>
      <c r="Q109" s="119" t="n"/>
      <c r="R109" s="119" t="n"/>
      <c r="S109" s="119" t="n"/>
      <c r="T109" s="119" t="n"/>
      <c r="U109" s="119" t="n"/>
      <c r="V109" s="119" t="n"/>
    </row>
    <row r="110" ht="16.5" customFormat="1" customHeight="1" s="56">
      <c r="A110" s="119" t="n"/>
      <c r="B110" s="119" t="n"/>
      <c r="C110" s="119" t="n"/>
      <c r="D110" s="119" t="n"/>
      <c r="E110" s="119" t="n"/>
      <c r="F110" s="119" t="n"/>
      <c r="G110" s="119" t="n"/>
      <c r="H110" s="119" t="n"/>
      <c r="I110" s="119" t="n"/>
      <c r="J110" s="119" t="n"/>
      <c r="K110" s="119" t="n"/>
      <c r="L110" s="119" t="n"/>
      <c r="M110" s="119" t="n"/>
      <c r="N110" s="119" t="n"/>
      <c r="O110" s="119" t="n"/>
      <c r="P110" s="119" t="n"/>
      <c r="Q110" s="119" t="n"/>
      <c r="R110" s="119" t="n"/>
      <c r="S110" s="119" t="n"/>
      <c r="T110" s="119" t="n"/>
      <c r="U110" s="119" t="n"/>
      <c r="V110" s="119" t="n"/>
    </row>
    <row r="111" ht="16.5" customFormat="1" customHeight="1" s="56">
      <c r="A111" s="119" t="n"/>
      <c r="B111" s="119" t="n"/>
      <c r="C111" s="119" t="n"/>
      <c r="D111" s="119" t="n"/>
      <c r="E111" s="119" t="n"/>
      <c r="F111" s="119" t="n"/>
      <c r="G111" s="119" t="n"/>
      <c r="H111" s="119" t="n"/>
      <c r="I111" s="119" t="n"/>
      <c r="J111" s="119" t="n"/>
      <c r="K111" s="119" t="n"/>
      <c r="L111" s="119" t="n"/>
      <c r="M111" s="119" t="n"/>
      <c r="N111" s="119" t="n"/>
      <c r="O111" s="119" t="n"/>
      <c r="P111" s="119" t="n"/>
      <c r="Q111" s="119" t="n"/>
      <c r="R111" s="119" t="n"/>
      <c r="S111" s="119" t="n"/>
      <c r="T111" s="119" t="n"/>
      <c r="U111" s="119" t="n"/>
      <c r="V111" s="119" t="n"/>
    </row>
    <row r="112" ht="16.5" customFormat="1" customHeight="1" s="56">
      <c r="A112" s="119" t="n"/>
      <c r="B112" s="119" t="n"/>
      <c r="C112" s="119" t="n"/>
      <c r="D112" s="119" t="n"/>
      <c r="E112" s="119" t="n"/>
      <c r="F112" s="119" t="n"/>
      <c r="G112" s="119" t="n"/>
      <c r="H112" s="119" t="n"/>
      <c r="I112" s="119" t="n"/>
      <c r="J112" s="119" t="n"/>
      <c r="K112" s="119" t="n"/>
      <c r="L112" s="119" t="n"/>
      <c r="M112" s="119" t="n"/>
      <c r="N112" s="119" t="n"/>
      <c r="O112" s="119" t="n"/>
      <c r="P112" s="119" t="n"/>
      <c r="Q112" s="119" t="n"/>
      <c r="R112" s="119" t="n"/>
      <c r="S112" s="119" t="n"/>
      <c r="T112" s="119" t="n"/>
      <c r="U112" s="119" t="n"/>
      <c r="V112" s="119" t="n"/>
    </row>
    <row r="113" ht="16.5" customFormat="1" customHeight="1" s="56">
      <c r="A113" s="119" t="n"/>
      <c r="B113" s="119" t="n"/>
      <c r="C113" s="119" t="n"/>
      <c r="D113" s="119" t="n"/>
      <c r="E113" s="119" t="n"/>
      <c r="F113" s="119" t="n"/>
      <c r="G113" s="119" t="n"/>
      <c r="H113" s="119" t="n"/>
      <c r="I113" s="119" t="n"/>
      <c r="J113" s="119" t="n"/>
      <c r="K113" s="119" t="n"/>
      <c r="L113" s="119" t="n"/>
      <c r="M113" s="119" t="n"/>
      <c r="N113" s="119" t="n"/>
      <c r="O113" s="119" t="n"/>
      <c r="P113" s="119" t="n"/>
      <c r="Q113" s="119" t="n"/>
      <c r="R113" s="119" t="n"/>
      <c r="S113" s="119" t="n"/>
      <c r="T113" s="119" t="n"/>
      <c r="U113" s="119" t="n"/>
      <c r="V113" s="119" t="n"/>
    </row>
    <row r="114" ht="16.5" customFormat="1" customHeight="1" s="56">
      <c r="A114" s="119" t="n"/>
      <c r="B114" s="119" t="n"/>
      <c r="C114" s="119" t="n"/>
      <c r="D114" s="119" t="n"/>
      <c r="E114" s="119" t="n"/>
      <c r="F114" s="119" t="n"/>
      <c r="G114" s="119" t="n"/>
      <c r="H114" s="119" t="n"/>
      <c r="I114" s="119" t="n"/>
      <c r="J114" s="119" t="n"/>
      <c r="K114" s="119" t="n"/>
      <c r="L114" s="119" t="n"/>
      <c r="M114" s="119" t="n"/>
      <c r="N114" s="119" t="n"/>
      <c r="O114" s="119" t="n"/>
      <c r="P114" s="119" t="n"/>
      <c r="Q114" s="119" t="n"/>
      <c r="R114" s="119" t="n"/>
      <c r="S114" s="119" t="n"/>
      <c r="T114" s="119" t="n"/>
      <c r="U114" s="119" t="n"/>
      <c r="V114" s="119" t="n"/>
    </row>
    <row r="115" ht="16.5" customFormat="1" customHeight="1" s="56">
      <c r="A115" s="119" t="n"/>
      <c r="B115" s="119" t="n"/>
      <c r="C115" s="119" t="n"/>
      <c r="D115" s="119" t="n"/>
      <c r="E115" s="119" t="n"/>
      <c r="F115" s="119" t="n"/>
      <c r="G115" s="119" t="n"/>
      <c r="H115" s="119" t="n"/>
      <c r="I115" s="119" t="n"/>
      <c r="J115" s="119" t="n"/>
      <c r="K115" s="119" t="n"/>
      <c r="L115" s="119" t="n"/>
      <c r="M115" s="119" t="n"/>
      <c r="N115" s="119" t="n"/>
      <c r="O115" s="119" t="n"/>
      <c r="P115" s="119" t="n"/>
      <c r="Q115" s="119" t="n"/>
      <c r="R115" s="119" t="n"/>
      <c r="S115" s="119" t="n"/>
      <c r="T115" s="119" t="n"/>
      <c r="U115" s="119" t="n"/>
      <c r="V115" s="119" t="n"/>
    </row>
    <row r="116" ht="16.5" customFormat="1" customHeight="1" s="56">
      <c r="A116" s="119" t="n"/>
      <c r="B116" s="119" t="n"/>
      <c r="C116" s="119" t="n"/>
      <c r="D116" s="119" t="n"/>
      <c r="E116" s="119" t="n"/>
      <c r="F116" s="119" t="n"/>
      <c r="G116" s="119" t="n"/>
      <c r="H116" s="119" t="n"/>
      <c r="I116" s="119" t="n"/>
      <c r="J116" s="119" t="n"/>
      <c r="K116" s="119" t="n"/>
      <c r="L116" s="119" t="n"/>
      <c r="M116" s="119" t="n"/>
      <c r="N116" s="119" t="n"/>
      <c r="O116" s="119" t="n"/>
      <c r="P116" s="119" t="n"/>
      <c r="Q116" s="119" t="n"/>
      <c r="R116" s="119" t="n"/>
      <c r="S116" s="119" t="n"/>
      <c r="T116" s="119" t="n"/>
      <c r="U116" s="119" t="n"/>
      <c r="V116" s="119" t="n"/>
    </row>
    <row r="117" ht="16.5" customFormat="1" customHeight="1" s="56">
      <c r="A117" s="119" t="n"/>
      <c r="B117" s="119" t="n"/>
      <c r="C117" s="119" t="n"/>
      <c r="D117" s="119" t="n"/>
      <c r="E117" s="119" t="n"/>
      <c r="F117" s="119" t="n"/>
      <c r="G117" s="119" t="n"/>
      <c r="H117" s="119" t="n"/>
      <c r="I117" s="119" t="n"/>
      <c r="J117" s="119" t="n"/>
      <c r="K117" s="119" t="n"/>
      <c r="L117" s="119" t="n"/>
      <c r="M117" s="119" t="n"/>
      <c r="N117" s="119" t="n"/>
      <c r="O117" s="119" t="n"/>
      <c r="P117" s="119" t="n"/>
      <c r="Q117" s="119" t="n"/>
      <c r="R117" s="119" t="n"/>
      <c r="S117" s="119" t="n"/>
      <c r="T117" s="119" t="n"/>
      <c r="U117" s="119" t="n"/>
      <c r="V117" s="119" t="n"/>
    </row>
    <row r="118" ht="16.5" customFormat="1" customHeight="1" s="56">
      <c r="A118" s="119" t="n"/>
      <c r="B118" s="119" t="n"/>
      <c r="C118" s="119" t="n"/>
      <c r="D118" s="119" t="n"/>
      <c r="E118" s="119" t="n"/>
      <c r="F118" s="119" t="n"/>
      <c r="G118" s="119" t="n"/>
      <c r="H118" s="119" t="n"/>
      <c r="I118" s="119" t="n"/>
      <c r="J118" s="119" t="n"/>
      <c r="K118" s="119" t="n"/>
      <c r="L118" s="119" t="n"/>
      <c r="M118" s="119" t="n"/>
      <c r="N118" s="119" t="n"/>
      <c r="O118" s="119" t="n"/>
      <c r="P118" s="119" t="n"/>
      <c r="Q118" s="119" t="n"/>
      <c r="R118" s="119" t="n"/>
      <c r="S118" s="119" t="n"/>
      <c r="T118" s="119" t="n"/>
      <c r="U118" s="119" t="n"/>
      <c r="V118" s="119" t="n"/>
    </row>
    <row r="119" ht="16.5" customFormat="1" customHeight="1" s="56">
      <c r="A119" s="119" t="n"/>
      <c r="B119" s="119" t="n"/>
      <c r="C119" s="119" t="n"/>
      <c r="D119" s="119" t="n"/>
      <c r="E119" s="119" t="n"/>
      <c r="F119" s="119" t="n"/>
      <c r="G119" s="119" t="n"/>
      <c r="H119" s="119" t="n"/>
      <c r="I119" s="119" t="n"/>
      <c r="J119" s="119" t="n"/>
      <c r="K119" s="119" t="n"/>
      <c r="L119" s="119" t="n"/>
      <c r="M119" s="119" t="n"/>
      <c r="N119" s="119" t="n"/>
      <c r="O119" s="119" t="n"/>
      <c r="P119" s="119" t="n"/>
      <c r="Q119" s="119" t="n"/>
      <c r="R119" s="119" t="n"/>
      <c r="S119" s="119" t="n"/>
      <c r="T119" s="119" t="n"/>
      <c r="U119" s="119" t="n"/>
      <c r="V119" s="119" t="n"/>
    </row>
    <row r="120" ht="16.5" customFormat="1" customHeight="1" s="56">
      <c r="A120" s="119" t="n"/>
      <c r="B120" s="119" t="n"/>
      <c r="C120" s="119" t="n"/>
      <c r="D120" s="119" t="n"/>
      <c r="E120" s="119" t="n"/>
      <c r="F120" s="119" t="n"/>
      <c r="G120" s="119" t="n"/>
      <c r="H120" s="119" t="n"/>
      <c r="I120" s="119" t="n"/>
      <c r="J120" s="119" t="n"/>
      <c r="K120" s="119" t="n"/>
      <c r="L120" s="119" t="n"/>
      <c r="M120" s="119" t="n"/>
      <c r="N120" s="119" t="n"/>
      <c r="O120" s="119" t="n"/>
      <c r="P120" s="119" t="n"/>
      <c r="Q120" s="119" t="n"/>
      <c r="R120" s="119" t="n"/>
      <c r="S120" s="119" t="n"/>
      <c r="T120" s="119" t="n"/>
      <c r="U120" s="119" t="n"/>
      <c r="V120" s="119" t="n"/>
    </row>
    <row r="121" ht="16.5" customFormat="1" customHeight="1" s="56">
      <c r="A121" s="119" t="n"/>
      <c r="B121" s="119" t="n"/>
      <c r="C121" s="119" t="n"/>
      <c r="D121" s="119" t="n"/>
      <c r="E121" s="119" t="n"/>
      <c r="F121" s="119" t="n"/>
      <c r="G121" s="119" t="n"/>
      <c r="H121" s="119" t="n"/>
      <c r="I121" s="119" t="n"/>
      <c r="J121" s="119" t="n"/>
      <c r="K121" s="119" t="n"/>
      <c r="L121" s="119" t="n"/>
      <c r="M121" s="119" t="n"/>
      <c r="N121" s="119" t="n"/>
      <c r="O121" s="119" t="n"/>
      <c r="P121" s="119" t="n"/>
      <c r="Q121" s="119" t="n"/>
      <c r="R121" s="119" t="n"/>
      <c r="S121" s="119" t="n"/>
      <c r="T121" s="119" t="n"/>
      <c r="U121" s="119" t="n"/>
      <c r="V121" s="119" t="n"/>
    </row>
    <row r="122" ht="16.5" customFormat="1" customHeight="1" s="56">
      <c r="A122" s="119" t="n"/>
      <c r="B122" s="119" t="n"/>
      <c r="C122" s="119" t="n"/>
      <c r="D122" s="119" t="n"/>
      <c r="E122" s="119" t="n"/>
      <c r="F122" s="119" t="n"/>
      <c r="G122" s="119" t="n"/>
      <c r="H122" s="119" t="n"/>
      <c r="I122" s="119" t="n"/>
      <c r="J122" s="119" t="n"/>
      <c r="K122" s="119" t="n"/>
      <c r="L122" s="119" t="n"/>
      <c r="M122" s="119" t="n"/>
      <c r="N122" s="119" t="n"/>
      <c r="O122" s="119" t="n"/>
      <c r="P122" s="119" t="n"/>
      <c r="Q122" s="119" t="n"/>
      <c r="R122" s="119" t="n"/>
      <c r="S122" s="119" t="n"/>
      <c r="T122" s="119" t="n"/>
      <c r="U122" s="119" t="n"/>
      <c r="V122" s="119" t="n"/>
    </row>
    <row r="123" ht="16.5" customFormat="1" customHeight="1" s="56">
      <c r="A123" s="119" t="n"/>
      <c r="B123" s="119" t="n"/>
      <c r="C123" s="119" t="n"/>
      <c r="D123" s="119" t="n"/>
      <c r="E123" s="119" t="n"/>
      <c r="F123" s="119" t="n"/>
      <c r="G123" s="119" t="n"/>
      <c r="H123" s="119" t="n"/>
      <c r="I123" s="119" t="n"/>
      <c r="J123" s="119" t="n"/>
      <c r="K123" s="119" t="n"/>
      <c r="L123" s="119" t="n"/>
      <c r="M123" s="119" t="n"/>
      <c r="N123" s="119" t="n"/>
      <c r="O123" s="119" t="n"/>
      <c r="P123" s="119" t="n"/>
      <c r="Q123" s="119" t="n"/>
      <c r="R123" s="119" t="n"/>
      <c r="S123" s="119" t="n"/>
      <c r="T123" s="119" t="n"/>
      <c r="U123" s="119" t="n"/>
      <c r="V123" s="119" t="n"/>
    </row>
    <row r="124" ht="16.5" customFormat="1" customHeight="1" s="56">
      <c r="A124" s="119" t="n"/>
      <c r="B124" s="119" t="n"/>
      <c r="C124" s="119" t="n"/>
      <c r="D124" s="119" t="n"/>
      <c r="E124" s="119" t="n"/>
      <c r="F124" s="119" t="n"/>
      <c r="G124" s="119" t="n"/>
      <c r="H124" s="119" t="n"/>
      <c r="I124" s="119" t="n"/>
      <c r="J124" s="119" t="n"/>
      <c r="K124" s="119" t="n"/>
      <c r="L124" s="119" t="n"/>
      <c r="M124" s="119" t="n"/>
      <c r="N124" s="119" t="n"/>
      <c r="O124" s="119" t="n"/>
      <c r="P124" s="119" t="n"/>
      <c r="Q124" s="119" t="n"/>
      <c r="R124" s="119" t="n"/>
      <c r="S124" s="119" t="n"/>
      <c r="T124" s="119" t="n"/>
      <c r="U124" s="119" t="n"/>
      <c r="V124" s="119" t="n"/>
    </row>
    <row r="125" ht="16.5" customFormat="1" customHeight="1" s="56">
      <c r="A125" s="119" t="n"/>
      <c r="B125" s="119" t="n"/>
      <c r="C125" s="119" t="n"/>
      <c r="D125" s="119" t="n"/>
      <c r="E125" s="119" t="n"/>
      <c r="F125" s="119" t="n"/>
      <c r="G125" s="119" t="n"/>
      <c r="H125" s="119" t="n"/>
      <c r="I125" s="119" t="n"/>
      <c r="J125" s="119" t="n"/>
      <c r="K125" s="119" t="n"/>
      <c r="L125" s="119" t="n"/>
      <c r="M125" s="119" t="n"/>
      <c r="N125" s="119" t="n"/>
      <c r="O125" s="119" t="n"/>
      <c r="P125" s="119" t="n"/>
      <c r="Q125" s="119" t="n"/>
      <c r="R125" s="119" t="n"/>
      <c r="S125" s="119" t="n"/>
      <c r="T125" s="119" t="n"/>
      <c r="U125" s="119" t="n"/>
      <c r="V125" s="119" t="n"/>
    </row>
    <row r="126" ht="16.5" customFormat="1" customHeight="1" s="56">
      <c r="A126" s="119" t="n"/>
      <c r="B126" s="119" t="n"/>
      <c r="C126" s="119" t="n"/>
      <c r="D126" s="119" t="n"/>
      <c r="E126" s="119" t="n"/>
      <c r="F126" s="119" t="n"/>
      <c r="G126" s="119" t="n"/>
      <c r="H126" s="119" t="n"/>
      <c r="I126" s="119" t="n"/>
      <c r="J126" s="119" t="n"/>
      <c r="K126" s="119" t="n"/>
      <c r="L126" s="119" t="n"/>
      <c r="M126" s="119" t="n"/>
      <c r="N126" s="119" t="n"/>
      <c r="O126" s="119" t="n"/>
      <c r="P126" s="119" t="n"/>
      <c r="Q126" s="119" t="n"/>
      <c r="R126" s="119" t="n"/>
      <c r="S126" s="119" t="n"/>
      <c r="T126" s="119" t="n"/>
      <c r="U126" s="119" t="n"/>
      <c r="V126" s="119" t="n"/>
    </row>
    <row r="127" ht="16.5" customFormat="1" customHeight="1" s="56">
      <c r="A127" s="119" t="n"/>
      <c r="B127" s="119" t="n"/>
      <c r="C127" s="119" t="n"/>
      <c r="D127" s="119" t="n"/>
      <c r="E127" s="119" t="n"/>
      <c r="F127" s="119" t="n"/>
      <c r="G127" s="119" t="n"/>
      <c r="H127" s="119" t="n"/>
      <c r="I127" s="119" t="n"/>
      <c r="J127" s="119" t="n"/>
      <c r="K127" s="119" t="n"/>
      <c r="L127" s="119" t="n"/>
      <c r="M127" s="119" t="n"/>
      <c r="N127" s="119" t="n"/>
      <c r="O127" s="119" t="n"/>
      <c r="P127" s="119" t="n"/>
      <c r="Q127" s="119" t="n"/>
      <c r="R127" s="119" t="n"/>
      <c r="S127" s="119" t="n"/>
      <c r="T127" s="119" t="n"/>
      <c r="U127" s="119" t="n"/>
      <c r="V127" s="119" t="n"/>
    </row>
    <row r="128" ht="16.5" customFormat="1" customHeight="1" s="56">
      <c r="A128" s="119" t="n"/>
      <c r="B128" s="119" t="n"/>
      <c r="C128" s="119" t="n"/>
      <c r="D128" s="119" t="n"/>
      <c r="E128" s="119" t="n"/>
      <c r="F128" s="119" t="n"/>
      <c r="G128" s="119" t="n"/>
      <c r="H128" s="119" t="n"/>
      <c r="I128" s="119" t="n"/>
      <c r="J128" s="119" t="n"/>
      <c r="K128" s="119" t="n"/>
      <c r="L128" s="119" t="n"/>
      <c r="M128" s="119" t="n"/>
      <c r="N128" s="119" t="n"/>
      <c r="O128" s="119" t="n"/>
      <c r="P128" s="119" t="n"/>
      <c r="Q128" s="119" t="n"/>
      <c r="R128" s="119" t="n"/>
      <c r="S128" s="119" t="n"/>
      <c r="T128" s="119" t="n"/>
      <c r="U128" s="119" t="n"/>
      <c r="V128" s="119" t="n"/>
    </row>
    <row r="129" ht="16.5" customFormat="1" customHeight="1" s="56">
      <c r="A129" s="119" t="n"/>
      <c r="B129" s="119" t="n"/>
      <c r="C129" s="119" t="n"/>
      <c r="D129" s="119" t="n"/>
      <c r="E129" s="119" t="n"/>
      <c r="F129" s="119" t="n"/>
      <c r="G129" s="119" t="n"/>
      <c r="H129" s="119" t="n"/>
      <c r="I129" s="119" t="n"/>
      <c r="J129" s="119" t="n"/>
      <c r="K129" s="119" t="n"/>
      <c r="L129" s="119" t="n"/>
      <c r="M129" s="119" t="n"/>
      <c r="N129" s="119" t="n"/>
      <c r="O129" s="119" t="n"/>
      <c r="P129" s="119" t="n"/>
      <c r="Q129" s="119" t="n"/>
      <c r="R129" s="119" t="n"/>
      <c r="S129" s="119" t="n"/>
      <c r="T129" s="119" t="n"/>
      <c r="U129" s="119" t="n"/>
      <c r="V129" s="119" t="n"/>
    </row>
    <row r="130" ht="16.5" customFormat="1" customHeight="1" s="56">
      <c r="A130" s="119" t="n"/>
      <c r="B130" s="119" t="n"/>
      <c r="C130" s="119" t="n"/>
      <c r="D130" s="119" t="n"/>
      <c r="E130" s="119" t="n"/>
      <c r="F130" s="119" t="n"/>
      <c r="G130" s="119" t="n"/>
      <c r="H130" s="119" t="n"/>
      <c r="I130" s="119" t="n"/>
      <c r="J130" s="119" t="n"/>
      <c r="K130" s="119" t="n"/>
      <c r="L130" s="119" t="n"/>
      <c r="M130" s="119" t="n"/>
      <c r="N130" s="119" t="n"/>
      <c r="O130" s="119" t="n"/>
      <c r="P130" s="119" t="n"/>
      <c r="Q130" s="119" t="n"/>
      <c r="R130" s="119" t="n"/>
      <c r="S130" s="119" t="n"/>
      <c r="T130" s="119" t="n"/>
      <c r="U130" s="119" t="n"/>
      <c r="V130" s="119" t="n"/>
    </row>
    <row r="131" ht="16.5" customFormat="1" customHeight="1" s="56">
      <c r="A131" s="119" t="n"/>
      <c r="B131" s="119" t="n"/>
      <c r="C131" s="119" t="n"/>
      <c r="D131" s="119" t="n"/>
      <c r="E131" s="119" t="n"/>
      <c r="F131" s="119" t="n"/>
      <c r="G131" s="119" t="n"/>
      <c r="H131" s="119" t="n"/>
      <c r="I131" s="119" t="n"/>
      <c r="J131" s="119" t="n"/>
      <c r="K131" s="119" t="n"/>
      <c r="L131" s="119" t="n"/>
      <c r="M131" s="119" t="n"/>
      <c r="N131" s="119" t="n"/>
      <c r="O131" s="119" t="n"/>
      <c r="P131" s="119" t="n"/>
      <c r="Q131" s="119" t="n"/>
      <c r="R131" s="119" t="n"/>
      <c r="S131" s="119" t="n"/>
      <c r="T131" s="119" t="n"/>
      <c r="U131" s="119" t="n"/>
      <c r="V131" s="119" t="n"/>
    </row>
    <row r="132" ht="16.5" customFormat="1" customHeight="1" s="56">
      <c r="A132" s="119" t="n"/>
      <c r="B132" s="119" t="n"/>
      <c r="C132" s="119" t="n"/>
      <c r="D132" s="119" t="n"/>
      <c r="E132" s="119" t="n"/>
      <c r="F132" s="119" t="n"/>
      <c r="G132" s="119" t="n"/>
      <c r="H132" s="119" t="n"/>
      <c r="I132" s="119" t="n"/>
      <c r="J132" s="119" t="n"/>
      <c r="K132" s="119" t="n"/>
      <c r="L132" s="119" t="n"/>
      <c r="M132" s="119" t="n"/>
      <c r="N132" s="119" t="n"/>
      <c r="O132" s="119" t="n"/>
      <c r="P132" s="119" t="n"/>
      <c r="Q132" s="119" t="n"/>
      <c r="R132" s="119" t="n"/>
      <c r="S132" s="119" t="n"/>
      <c r="T132" s="119" t="n"/>
      <c r="U132" s="119" t="n"/>
      <c r="V132" s="119" t="n"/>
    </row>
    <row r="133" ht="16.5" customFormat="1" customHeight="1" s="56">
      <c r="A133" s="119" t="n"/>
      <c r="B133" s="119" t="n"/>
      <c r="C133" s="119" t="n"/>
      <c r="D133" s="119" t="n"/>
      <c r="E133" s="119" t="n"/>
      <c r="F133" s="119" t="n"/>
      <c r="G133" s="119" t="n"/>
      <c r="H133" s="119" t="n"/>
      <c r="I133" s="119" t="n"/>
      <c r="J133" s="119" t="n"/>
      <c r="K133" s="119" t="n"/>
      <c r="L133" s="119" t="n"/>
      <c r="M133" s="119" t="n"/>
      <c r="N133" s="119" t="n"/>
      <c r="O133" s="119" t="n"/>
      <c r="P133" s="119" t="n"/>
      <c r="Q133" s="119" t="n"/>
      <c r="R133" s="119" t="n"/>
      <c r="S133" s="119" t="n"/>
      <c r="T133" s="119" t="n"/>
      <c r="U133" s="119" t="n"/>
      <c r="V133" s="119" t="n"/>
    </row>
    <row r="134" ht="16.5" customFormat="1" customHeight="1" s="56">
      <c r="A134" s="119" t="n"/>
      <c r="B134" s="119" t="n"/>
      <c r="C134" s="119" t="n"/>
      <c r="D134" s="119" t="n"/>
      <c r="E134" s="119" t="n"/>
      <c r="F134" s="119" t="n"/>
      <c r="G134" s="119" t="n"/>
      <c r="H134" s="119" t="n"/>
      <c r="I134" s="119" t="n"/>
      <c r="J134" s="119" t="n"/>
      <c r="K134" s="119" t="n"/>
      <c r="L134" s="119" t="n"/>
      <c r="M134" s="119" t="n"/>
      <c r="N134" s="119" t="n"/>
      <c r="O134" s="119" t="n"/>
      <c r="P134" s="119" t="n"/>
      <c r="Q134" s="119" t="n"/>
      <c r="R134" s="119" t="n"/>
      <c r="S134" s="119" t="n"/>
      <c r="T134" s="119" t="n"/>
      <c r="U134" s="119" t="n"/>
      <c r="V134" s="119" t="n"/>
    </row>
    <row r="135" ht="16.5" customFormat="1" customHeight="1" s="56">
      <c r="A135" s="119" t="n"/>
      <c r="B135" s="119" t="n"/>
      <c r="C135" s="119" t="n"/>
      <c r="D135" s="119" t="n"/>
      <c r="E135" s="119" t="n"/>
      <c r="F135" s="119" t="n"/>
      <c r="G135" s="119" t="n"/>
      <c r="H135" s="119" t="n"/>
      <c r="I135" s="119" t="n"/>
      <c r="J135" s="119" t="n"/>
      <c r="K135" s="119" t="n"/>
      <c r="L135" s="119" t="n"/>
      <c r="M135" s="119" t="n"/>
      <c r="N135" s="119" t="n"/>
      <c r="O135" s="119" t="n"/>
      <c r="P135" s="119" t="n"/>
      <c r="Q135" s="119" t="n"/>
      <c r="R135" s="119" t="n"/>
      <c r="S135" s="119" t="n"/>
      <c r="T135" s="119" t="n"/>
      <c r="U135" s="119" t="n"/>
      <c r="V135" s="119" t="n"/>
    </row>
    <row r="136" ht="16.5" customFormat="1" customHeight="1" s="56">
      <c r="A136" s="119" t="n"/>
      <c r="B136" s="119" t="n"/>
      <c r="C136" s="119" t="n"/>
      <c r="D136" s="119" t="n"/>
      <c r="E136" s="119" t="n"/>
      <c r="F136" s="119" t="n"/>
      <c r="G136" s="119" t="n"/>
      <c r="H136" s="119" t="n"/>
      <c r="I136" s="119" t="n"/>
      <c r="J136" s="119" t="n"/>
      <c r="K136" s="119" t="n"/>
      <c r="L136" s="119" t="n"/>
      <c r="M136" s="119" t="n"/>
      <c r="N136" s="119" t="n"/>
      <c r="O136" s="119" t="n"/>
      <c r="P136" s="119" t="n"/>
      <c r="Q136" s="119" t="n"/>
      <c r="R136" s="119" t="n"/>
      <c r="S136" s="119" t="n"/>
      <c r="T136" s="119" t="n"/>
      <c r="U136" s="119" t="n"/>
      <c r="V136" s="119" t="n"/>
    </row>
    <row r="137" ht="16.5" customFormat="1" customHeight="1" s="56">
      <c r="A137" s="119" t="n"/>
      <c r="B137" s="119" t="n"/>
      <c r="C137" s="119" t="n"/>
      <c r="D137" s="119" t="n"/>
      <c r="E137" s="119" t="n"/>
      <c r="F137" s="119" t="n"/>
      <c r="G137" s="119" t="n"/>
      <c r="H137" s="119" t="n"/>
      <c r="I137" s="119" t="n"/>
      <c r="J137" s="119" t="n"/>
      <c r="K137" s="119" t="n"/>
      <c r="L137" s="119" t="n"/>
      <c r="M137" s="119" t="n"/>
      <c r="N137" s="119" t="n"/>
      <c r="O137" s="119" t="n"/>
      <c r="P137" s="119" t="n"/>
      <c r="Q137" s="119" t="n"/>
      <c r="R137" s="119" t="n"/>
      <c r="S137" s="119" t="n"/>
      <c r="T137" s="119" t="n"/>
      <c r="U137" s="119" t="n"/>
      <c r="V137" s="119" t="n"/>
    </row>
    <row r="138" ht="16.5" customFormat="1" customHeight="1" s="56">
      <c r="A138" s="119" t="n"/>
      <c r="B138" s="119" t="n"/>
      <c r="C138" s="119" t="n"/>
      <c r="D138" s="119" t="n"/>
      <c r="E138" s="119" t="n"/>
      <c r="F138" s="119" t="n"/>
      <c r="G138" s="119" t="n"/>
      <c r="H138" s="119" t="n"/>
      <c r="I138" s="119" t="n"/>
      <c r="J138" s="119" t="n"/>
      <c r="K138" s="119" t="n"/>
      <c r="L138" s="119" t="n"/>
      <c r="M138" s="119" t="n"/>
      <c r="N138" s="119" t="n"/>
      <c r="O138" s="119" t="n"/>
      <c r="P138" s="119" t="n"/>
      <c r="Q138" s="119" t="n"/>
      <c r="R138" s="119" t="n"/>
      <c r="S138" s="119" t="n"/>
      <c r="T138" s="119" t="n"/>
      <c r="U138" s="119" t="n"/>
      <c r="V138" s="119" t="n"/>
    </row>
    <row r="139" ht="16.5" customFormat="1" customHeight="1" s="56">
      <c r="A139" s="119" t="n"/>
      <c r="B139" s="119" t="n"/>
      <c r="C139" s="119" t="n"/>
      <c r="D139" s="119" t="n"/>
      <c r="E139" s="119" t="n"/>
      <c r="F139" s="119" t="n"/>
      <c r="G139" s="119" t="n"/>
      <c r="H139" s="119" t="n"/>
      <c r="I139" s="119" t="n"/>
      <c r="J139" s="119" t="n"/>
      <c r="K139" s="119" t="n"/>
      <c r="L139" s="119" t="n"/>
      <c r="M139" s="119" t="n"/>
      <c r="N139" s="119" t="n"/>
      <c r="O139" s="119" t="n"/>
      <c r="P139" s="119" t="n"/>
      <c r="Q139" s="119" t="n"/>
      <c r="R139" s="119" t="n"/>
      <c r="S139" s="119" t="n"/>
      <c r="T139" s="119" t="n"/>
      <c r="U139" s="119" t="n"/>
      <c r="V139" s="119" t="n"/>
    </row>
    <row r="140" ht="16.5" customFormat="1" customHeight="1" s="56">
      <c r="A140" s="119" t="n"/>
      <c r="B140" s="119" t="n"/>
      <c r="C140" s="119" t="n"/>
      <c r="D140" s="119" t="n"/>
      <c r="E140" s="119" t="n"/>
      <c r="F140" s="119" t="n"/>
      <c r="G140" s="119" t="n"/>
      <c r="H140" s="119" t="n"/>
      <c r="I140" s="119" t="n"/>
      <c r="J140" s="119" t="n"/>
      <c r="K140" s="119" t="n"/>
      <c r="L140" s="119" t="n"/>
      <c r="M140" s="119" t="n"/>
      <c r="N140" s="119" t="n"/>
      <c r="O140" s="119" t="n"/>
      <c r="P140" s="119" t="n"/>
      <c r="Q140" s="119" t="n"/>
      <c r="R140" s="119" t="n"/>
      <c r="S140" s="119" t="n"/>
      <c r="T140" s="119" t="n"/>
      <c r="U140" s="119" t="n"/>
      <c r="V140" s="119" t="n"/>
    </row>
    <row r="141" ht="16.5" customFormat="1" customHeight="1" s="56">
      <c r="A141" s="119" t="n"/>
      <c r="B141" s="119" t="n"/>
      <c r="C141" s="119" t="n"/>
      <c r="D141" s="119" t="n"/>
      <c r="E141" s="119" t="n"/>
      <c r="F141" s="119" t="n"/>
      <c r="G141" s="119" t="n"/>
      <c r="H141" s="119" t="n"/>
      <c r="I141" s="119" t="n"/>
      <c r="J141" s="119" t="n"/>
      <c r="K141" s="119" t="n"/>
      <c r="L141" s="119" t="n"/>
      <c r="M141" s="119" t="n"/>
      <c r="N141" s="119" t="n"/>
      <c r="O141" s="119" t="n"/>
      <c r="P141" s="119" t="n"/>
      <c r="Q141" s="119" t="n"/>
      <c r="R141" s="119" t="n"/>
      <c r="S141" s="119" t="n"/>
      <c r="T141" s="119" t="n"/>
      <c r="U141" s="119" t="n"/>
      <c r="V141" s="119" t="n"/>
    </row>
    <row r="142" ht="16.5" customFormat="1" customHeight="1" s="56">
      <c r="A142" s="119" t="n"/>
      <c r="B142" s="119" t="n"/>
      <c r="C142" s="119" t="n"/>
      <c r="D142" s="119" t="n"/>
      <c r="E142" s="119" t="n"/>
      <c r="F142" s="119" t="n"/>
      <c r="G142" s="119" t="n"/>
      <c r="H142" s="119" t="n"/>
      <c r="I142" s="119" t="n"/>
      <c r="J142" s="119" t="n"/>
      <c r="K142" s="119" t="n"/>
      <c r="L142" s="119" t="n"/>
      <c r="M142" s="119" t="n"/>
      <c r="N142" s="119" t="n"/>
      <c r="O142" s="119" t="n"/>
      <c r="P142" s="119" t="n"/>
      <c r="Q142" s="119" t="n"/>
      <c r="R142" s="119" t="n"/>
      <c r="S142" s="119" t="n"/>
      <c r="T142" s="119" t="n"/>
      <c r="U142" s="119" t="n"/>
      <c r="V142" s="119" t="n"/>
    </row>
    <row r="143" ht="16.5" customFormat="1" customHeight="1" s="56">
      <c r="A143" s="119" t="n"/>
      <c r="B143" s="119" t="n"/>
      <c r="C143" s="119" t="n"/>
      <c r="D143" s="119" t="n"/>
      <c r="E143" s="119" t="n"/>
      <c r="F143" s="119" t="n"/>
      <c r="G143" s="119" t="n"/>
      <c r="H143" s="119" t="n"/>
      <c r="I143" s="119" t="n"/>
      <c r="J143" s="119" t="n"/>
      <c r="K143" s="119" t="n"/>
      <c r="L143" s="119" t="n"/>
      <c r="M143" s="119" t="n"/>
      <c r="N143" s="119" t="n"/>
      <c r="O143" s="119" t="n"/>
      <c r="P143" s="119" t="n"/>
      <c r="Q143" s="119" t="n"/>
      <c r="R143" s="119" t="n"/>
      <c r="S143" s="119" t="n"/>
      <c r="T143" s="119" t="n"/>
      <c r="U143" s="119" t="n"/>
      <c r="V143" s="119" t="n"/>
    </row>
    <row r="144" ht="16.5" customFormat="1" customHeight="1" s="56">
      <c r="A144" s="119" t="n"/>
      <c r="B144" s="119" t="n"/>
      <c r="C144" s="119" t="n"/>
      <c r="D144" s="119" t="n"/>
      <c r="E144" s="119" t="n"/>
      <c r="F144" s="119" t="n"/>
      <c r="G144" s="119" t="n"/>
      <c r="H144" s="119" t="n"/>
      <c r="I144" s="119" t="n"/>
      <c r="J144" s="119" t="n"/>
      <c r="K144" s="119" t="n"/>
      <c r="L144" s="119" t="n"/>
      <c r="M144" s="119" t="n"/>
      <c r="N144" s="119" t="n"/>
      <c r="O144" s="119" t="n"/>
      <c r="P144" s="119" t="n"/>
      <c r="Q144" s="119" t="n"/>
      <c r="R144" s="119" t="n"/>
      <c r="S144" s="119" t="n"/>
      <c r="T144" s="119" t="n"/>
      <c r="U144" s="119" t="n"/>
      <c r="V144" s="119" t="n"/>
    </row>
    <row r="145" ht="16.5" customFormat="1" customHeight="1" s="56">
      <c r="A145" s="119" t="n"/>
      <c r="B145" s="119" t="n"/>
      <c r="C145" s="119" t="n"/>
      <c r="D145" s="119" t="n"/>
      <c r="E145" s="119" t="n"/>
      <c r="F145" s="119" t="n"/>
      <c r="G145" s="119" t="n"/>
      <c r="H145" s="119" t="n"/>
      <c r="I145" s="119" t="n"/>
      <c r="J145" s="119" t="n"/>
      <c r="K145" s="119" t="n"/>
      <c r="L145" s="119" t="n"/>
      <c r="M145" s="119" t="n"/>
      <c r="N145" s="119" t="n"/>
      <c r="O145" s="119" t="n"/>
      <c r="P145" s="119" t="n"/>
      <c r="Q145" s="119" t="n"/>
      <c r="R145" s="119" t="n"/>
      <c r="S145" s="119" t="n"/>
      <c r="T145" s="119" t="n"/>
      <c r="U145" s="119" t="n"/>
      <c r="V145" s="119" t="n"/>
    </row>
    <row r="146" ht="16.5" customFormat="1" customHeight="1" s="56">
      <c r="A146" s="119" t="n"/>
      <c r="B146" s="119" t="n"/>
      <c r="C146" s="119" t="n"/>
      <c r="D146" s="119" t="n"/>
      <c r="E146" s="119" t="n"/>
      <c r="F146" s="119" t="n"/>
      <c r="G146" s="119" t="n"/>
      <c r="H146" s="119" t="n"/>
      <c r="I146" s="119" t="n"/>
      <c r="J146" s="119" t="n"/>
      <c r="K146" s="119" t="n"/>
      <c r="L146" s="119" t="n"/>
      <c r="M146" s="119" t="n"/>
      <c r="N146" s="119" t="n"/>
      <c r="O146" s="119" t="n"/>
      <c r="P146" s="119" t="n"/>
      <c r="Q146" s="119" t="n"/>
      <c r="R146" s="119" t="n"/>
      <c r="S146" s="119" t="n"/>
      <c r="T146" s="119" t="n"/>
      <c r="U146" s="119" t="n"/>
      <c r="V146" s="119" t="n"/>
    </row>
    <row r="147" ht="16.5" customFormat="1" customHeight="1" s="56">
      <c r="A147" s="119" t="n"/>
      <c r="B147" s="119" t="n"/>
      <c r="C147" s="119" t="n"/>
      <c r="D147" s="119" t="n"/>
      <c r="E147" s="119" t="n"/>
      <c r="F147" s="119" t="n"/>
      <c r="G147" s="119" t="n"/>
      <c r="H147" s="119" t="n"/>
      <c r="I147" s="119" t="n"/>
      <c r="J147" s="119" t="n"/>
      <c r="K147" s="119" t="n"/>
      <c r="L147" s="119" t="n"/>
      <c r="M147" s="119" t="n"/>
      <c r="N147" s="119" t="n"/>
      <c r="O147" s="119" t="n"/>
      <c r="P147" s="119" t="n"/>
      <c r="Q147" s="119" t="n"/>
      <c r="R147" s="119" t="n"/>
      <c r="S147" s="119" t="n"/>
      <c r="T147" s="119" t="n"/>
      <c r="U147" s="119" t="n"/>
      <c r="V147" s="119" t="n"/>
    </row>
    <row r="148" ht="16.5" customFormat="1" customHeight="1" s="56">
      <c r="A148" s="119" t="n"/>
      <c r="B148" s="119" t="n"/>
      <c r="C148" s="119" t="n"/>
      <c r="D148" s="119" t="n"/>
      <c r="E148" s="119" t="n"/>
      <c r="F148" s="119" t="n"/>
      <c r="G148" s="119" t="n"/>
      <c r="H148" s="119" t="n"/>
      <c r="I148" s="119" t="n"/>
      <c r="J148" s="119" t="n"/>
      <c r="K148" s="119" t="n"/>
      <c r="L148" s="119" t="n"/>
      <c r="M148" s="119" t="n"/>
      <c r="N148" s="119" t="n"/>
      <c r="O148" s="119" t="n"/>
      <c r="P148" s="119" t="n"/>
      <c r="Q148" s="119" t="n"/>
      <c r="R148" s="119" t="n"/>
      <c r="S148" s="119" t="n"/>
      <c r="T148" s="119" t="n"/>
      <c r="U148" s="119" t="n"/>
      <c r="V148" s="119" t="n"/>
    </row>
    <row r="149" ht="16.5" customFormat="1" customHeight="1" s="56">
      <c r="A149" s="119" t="n"/>
      <c r="B149" s="119" t="n"/>
      <c r="C149" s="119" t="n"/>
      <c r="D149" s="119" t="n"/>
      <c r="E149" s="119" t="n"/>
      <c r="F149" s="119" t="n"/>
      <c r="G149" s="119" t="n"/>
      <c r="H149" s="119" t="n"/>
      <c r="I149" s="119" t="n"/>
      <c r="J149" s="119" t="n"/>
      <c r="K149" s="119" t="n"/>
      <c r="L149" s="119" t="n"/>
      <c r="M149" s="119" t="n"/>
      <c r="N149" s="119" t="n"/>
      <c r="O149" s="119" t="n"/>
      <c r="P149" s="119" t="n"/>
      <c r="Q149" s="119" t="n"/>
      <c r="R149" s="119" t="n"/>
      <c r="S149" s="119" t="n"/>
      <c r="T149" s="119" t="n"/>
      <c r="U149" s="119" t="n"/>
      <c r="V149" s="119" t="n"/>
    </row>
    <row r="150" ht="16.5" customFormat="1" customHeight="1" s="56">
      <c r="A150" s="119" t="n"/>
      <c r="B150" s="119" t="n"/>
      <c r="C150" s="119" t="n"/>
      <c r="D150" s="119" t="n"/>
      <c r="E150" s="119" t="n"/>
      <c r="F150" s="119" t="n"/>
      <c r="G150" s="119" t="n"/>
      <c r="H150" s="119" t="n"/>
      <c r="I150" s="119" t="n"/>
      <c r="J150" s="119" t="n"/>
      <c r="K150" s="119" t="n"/>
      <c r="L150" s="119" t="n"/>
      <c r="M150" s="119" t="n"/>
      <c r="N150" s="119" t="n"/>
      <c r="O150" s="119" t="n"/>
      <c r="P150" s="119" t="n"/>
      <c r="Q150" s="119" t="n"/>
      <c r="R150" s="119" t="n"/>
      <c r="S150" s="119" t="n"/>
      <c r="T150" s="119" t="n"/>
      <c r="U150" s="119" t="n"/>
      <c r="V150" s="119" t="n"/>
    </row>
    <row r="151" ht="16.5" customFormat="1" customHeight="1" s="56">
      <c r="A151" s="119" t="n"/>
      <c r="B151" s="119" t="n"/>
      <c r="C151" s="119" t="n"/>
      <c r="D151" s="119" t="n"/>
      <c r="E151" s="119" t="n"/>
      <c r="F151" s="119" t="n"/>
      <c r="G151" s="119" t="n"/>
      <c r="H151" s="119" t="n"/>
      <c r="I151" s="119" t="n"/>
      <c r="J151" s="119" t="n"/>
      <c r="K151" s="119" t="n"/>
      <c r="L151" s="119" t="n"/>
      <c r="M151" s="119" t="n"/>
      <c r="N151" s="119" t="n"/>
      <c r="O151" s="119" t="n"/>
      <c r="P151" s="119" t="n"/>
      <c r="Q151" s="119" t="n"/>
      <c r="R151" s="119" t="n"/>
      <c r="S151" s="119" t="n"/>
      <c r="T151" s="119" t="n"/>
      <c r="U151" s="119" t="n"/>
      <c r="V151" s="119" t="n"/>
    </row>
    <row r="152" ht="16.5" customFormat="1" customHeight="1" s="56">
      <c r="A152" s="119" t="n"/>
      <c r="B152" s="119" t="n"/>
      <c r="C152" s="119" t="n"/>
      <c r="D152" s="119" t="n"/>
      <c r="E152" s="119" t="n"/>
      <c r="F152" s="119" t="n"/>
      <c r="G152" s="119" t="n"/>
      <c r="H152" s="119" t="n"/>
      <c r="I152" s="119" t="n"/>
      <c r="J152" s="119" t="n"/>
      <c r="K152" s="119" t="n"/>
      <c r="L152" s="119" t="n"/>
      <c r="M152" s="119" t="n"/>
      <c r="N152" s="119" t="n"/>
      <c r="O152" s="119" t="n"/>
      <c r="P152" s="119" t="n"/>
      <c r="Q152" s="119" t="n"/>
      <c r="R152" s="119" t="n"/>
      <c r="S152" s="119" t="n"/>
      <c r="T152" s="119" t="n"/>
      <c r="U152" s="119" t="n"/>
      <c r="V152" s="119" t="n"/>
    </row>
    <row r="153" ht="16.5" customFormat="1" customHeight="1" s="56">
      <c r="A153" s="119" t="n"/>
      <c r="B153" s="119" t="n"/>
      <c r="C153" s="119" t="n"/>
      <c r="D153" s="119" t="n"/>
      <c r="E153" s="119" t="n"/>
      <c r="F153" s="119" t="n"/>
      <c r="G153" s="119" t="n"/>
      <c r="H153" s="119" t="n"/>
      <c r="I153" s="119" t="n"/>
      <c r="J153" s="119" t="n"/>
      <c r="K153" s="119" t="n"/>
      <c r="L153" s="119" t="n"/>
      <c r="M153" s="119" t="n"/>
      <c r="N153" s="119" t="n"/>
      <c r="O153" s="119" t="n"/>
      <c r="P153" s="119" t="n"/>
      <c r="Q153" s="119" t="n"/>
      <c r="R153" s="119" t="n"/>
      <c r="S153" s="119" t="n"/>
      <c r="T153" s="119" t="n"/>
      <c r="U153" s="119" t="n"/>
      <c r="V153" s="119" t="n"/>
    </row>
    <row r="154" ht="16.5" customFormat="1" customHeight="1" s="56">
      <c r="A154" s="119" t="n"/>
      <c r="B154" s="119" t="n"/>
      <c r="C154" s="119" t="n"/>
      <c r="D154" s="119" t="n"/>
      <c r="E154" s="119" t="n"/>
      <c r="F154" s="119" t="n"/>
      <c r="G154" s="119" t="n"/>
      <c r="H154" s="119" t="n"/>
      <c r="I154" s="119" t="n"/>
      <c r="J154" s="119" t="n"/>
      <c r="K154" s="119" t="n"/>
      <c r="L154" s="119" t="n"/>
      <c r="M154" s="119" t="n"/>
      <c r="N154" s="119" t="n"/>
      <c r="O154" s="119" t="n"/>
      <c r="P154" s="119" t="n"/>
      <c r="Q154" s="119" t="n"/>
      <c r="R154" s="119" t="n"/>
      <c r="S154" s="119" t="n"/>
      <c r="T154" s="119" t="n"/>
      <c r="U154" s="119" t="n"/>
      <c r="V154" s="119" t="n"/>
    </row>
    <row r="155" ht="16.5" customFormat="1" customHeight="1" s="56">
      <c r="A155" s="119" t="n"/>
      <c r="B155" s="119" t="n"/>
      <c r="C155" s="119" t="n"/>
      <c r="D155" s="119" t="n"/>
      <c r="E155" s="119" t="n"/>
      <c r="F155" s="119" t="n"/>
      <c r="G155" s="119" t="n"/>
      <c r="H155" s="119" t="n"/>
      <c r="I155" s="119" t="n"/>
      <c r="J155" s="119" t="n"/>
      <c r="K155" s="119" t="n"/>
      <c r="L155" s="119" t="n"/>
      <c r="M155" s="119" t="n"/>
      <c r="N155" s="119" t="n"/>
      <c r="O155" s="119" t="n"/>
      <c r="P155" s="119" t="n"/>
      <c r="Q155" s="119" t="n"/>
      <c r="R155" s="119" t="n"/>
      <c r="S155" s="119" t="n"/>
      <c r="T155" s="119" t="n"/>
      <c r="U155" s="119" t="n"/>
      <c r="V155" s="119" t="n"/>
    </row>
    <row r="156" ht="16.5" customFormat="1" customHeight="1" s="56">
      <c r="A156" s="119" t="n"/>
      <c r="B156" s="119" t="n"/>
      <c r="C156" s="119" t="n"/>
      <c r="D156" s="119" t="n"/>
      <c r="E156" s="119" t="n"/>
      <c r="F156" s="119" t="n"/>
      <c r="G156" s="119" t="n"/>
      <c r="H156" s="119" t="n"/>
      <c r="I156" s="119" t="n"/>
      <c r="J156" s="119" t="n"/>
      <c r="K156" s="119" t="n"/>
      <c r="L156" s="119" t="n"/>
      <c r="M156" s="119" t="n"/>
      <c r="N156" s="119" t="n"/>
      <c r="O156" s="119" t="n"/>
      <c r="P156" s="119" t="n"/>
      <c r="Q156" s="119" t="n"/>
      <c r="R156" s="119" t="n"/>
      <c r="S156" s="119" t="n"/>
      <c r="T156" s="119" t="n"/>
      <c r="U156" s="119" t="n"/>
      <c r="V156" s="119" t="n"/>
    </row>
    <row r="157" ht="16.5" customFormat="1" customHeight="1" s="56">
      <c r="A157" s="119" t="n"/>
      <c r="B157" s="119" t="n"/>
      <c r="C157" s="119" t="n"/>
      <c r="D157" s="119" t="n"/>
      <c r="E157" s="119" t="n"/>
      <c r="F157" s="119" t="n"/>
      <c r="G157" s="119" t="n"/>
      <c r="H157" s="119" t="n"/>
      <c r="I157" s="119" t="n"/>
      <c r="J157" s="119" t="n"/>
      <c r="K157" s="119" t="n"/>
      <c r="L157" s="119" t="n"/>
      <c r="M157" s="119" t="n"/>
      <c r="N157" s="119" t="n"/>
      <c r="O157" s="119" t="n"/>
      <c r="P157" s="119" t="n"/>
      <c r="Q157" s="119" t="n"/>
      <c r="R157" s="119" t="n"/>
      <c r="S157" s="119" t="n"/>
      <c r="T157" s="119" t="n"/>
      <c r="U157" s="119" t="n"/>
      <c r="V157" s="119" t="n"/>
    </row>
    <row r="158" ht="16.5" customFormat="1" customHeight="1" s="56">
      <c r="A158" s="119" t="n"/>
      <c r="B158" s="119" t="n"/>
      <c r="C158" s="119" t="n"/>
      <c r="D158" s="119" t="n"/>
      <c r="E158" s="119" t="n"/>
      <c r="F158" s="119" t="n"/>
      <c r="G158" s="119" t="n"/>
      <c r="H158" s="119" t="n"/>
      <c r="I158" s="119" t="n"/>
      <c r="J158" s="119" t="n"/>
      <c r="K158" s="119" t="n"/>
      <c r="L158" s="119" t="n"/>
      <c r="M158" s="119" t="n"/>
      <c r="N158" s="119" t="n"/>
      <c r="O158" s="119" t="n"/>
      <c r="P158" s="119" t="n"/>
      <c r="Q158" s="119" t="n"/>
      <c r="R158" s="119" t="n"/>
      <c r="S158" s="119" t="n"/>
      <c r="T158" s="119" t="n"/>
      <c r="U158" s="119" t="n"/>
      <c r="V158" s="119" t="n"/>
    </row>
    <row r="159" ht="16.5" customFormat="1" customHeight="1" s="56">
      <c r="A159" s="119" t="n"/>
      <c r="B159" s="119" t="n"/>
      <c r="C159" s="119" t="n"/>
      <c r="D159" s="119" t="n"/>
      <c r="E159" s="119" t="n"/>
      <c r="F159" s="119" t="n"/>
      <c r="G159" s="119" t="n"/>
      <c r="H159" s="119" t="n"/>
      <c r="I159" s="119" t="n"/>
      <c r="J159" s="119" t="n"/>
      <c r="K159" s="119" t="n"/>
      <c r="L159" s="119" t="n"/>
      <c r="M159" s="119" t="n"/>
      <c r="N159" s="119" t="n"/>
      <c r="O159" s="119" t="n"/>
      <c r="P159" s="119" t="n"/>
      <c r="Q159" s="119" t="n"/>
      <c r="R159" s="119" t="n"/>
      <c r="S159" s="119" t="n"/>
      <c r="T159" s="119" t="n"/>
      <c r="U159" s="119" t="n"/>
      <c r="V159" s="119" t="n"/>
    </row>
    <row r="160" ht="16.5" customFormat="1" customHeight="1" s="56">
      <c r="A160" s="119" t="n"/>
      <c r="B160" s="119" t="n"/>
      <c r="C160" s="119" t="n"/>
      <c r="D160" s="119" t="n"/>
      <c r="E160" s="119" t="n"/>
      <c r="F160" s="119" t="n"/>
      <c r="G160" s="119" t="n"/>
      <c r="H160" s="119" t="n"/>
      <c r="I160" s="119" t="n"/>
      <c r="J160" s="119" t="n"/>
      <c r="K160" s="119" t="n"/>
      <c r="L160" s="119" t="n"/>
      <c r="M160" s="119" t="n"/>
      <c r="N160" s="119" t="n"/>
      <c r="O160" s="119" t="n"/>
      <c r="P160" s="119" t="n"/>
      <c r="Q160" s="119" t="n"/>
      <c r="R160" s="119" t="n"/>
      <c r="S160" s="119" t="n"/>
      <c r="T160" s="119" t="n"/>
      <c r="U160" s="119" t="n"/>
      <c r="V160" s="119" t="n"/>
    </row>
    <row r="161" ht="16.5" customFormat="1" customHeight="1" s="56">
      <c r="A161" s="119" t="n"/>
      <c r="B161" s="119" t="n"/>
      <c r="C161" s="119" t="n"/>
      <c r="D161" s="119" t="n"/>
      <c r="E161" s="119" t="n"/>
      <c r="F161" s="119" t="n"/>
      <c r="G161" s="119" t="n"/>
      <c r="H161" s="119" t="n"/>
      <c r="I161" s="119" t="n"/>
      <c r="J161" s="119" t="n"/>
      <c r="K161" s="119" t="n"/>
      <c r="L161" s="119" t="n"/>
      <c r="M161" s="119" t="n"/>
      <c r="N161" s="119" t="n"/>
      <c r="O161" s="119" t="n"/>
      <c r="P161" s="119" t="n"/>
      <c r="Q161" s="119" t="n"/>
      <c r="R161" s="119" t="n"/>
      <c r="S161" s="119" t="n"/>
      <c r="T161" s="119" t="n"/>
      <c r="U161" s="119" t="n"/>
      <c r="V161" s="119" t="n"/>
    </row>
    <row r="162" ht="16.5" customFormat="1" customHeight="1" s="56">
      <c r="A162" s="119" t="n"/>
      <c r="B162" s="119" t="n"/>
      <c r="C162" s="119" t="n"/>
      <c r="D162" s="119" t="n"/>
      <c r="E162" s="119" t="n"/>
      <c r="F162" s="119" t="n"/>
      <c r="G162" s="119" t="n"/>
      <c r="H162" s="119" t="n"/>
      <c r="I162" s="119" t="n"/>
      <c r="J162" s="119" t="n"/>
      <c r="K162" s="119" t="n"/>
      <c r="L162" s="119" t="n"/>
      <c r="M162" s="119" t="n"/>
      <c r="N162" s="119" t="n"/>
      <c r="O162" s="119" t="n"/>
      <c r="P162" s="119" t="n"/>
      <c r="Q162" s="119" t="n"/>
      <c r="R162" s="119" t="n"/>
      <c r="S162" s="119" t="n"/>
      <c r="T162" s="119" t="n"/>
      <c r="U162" s="119" t="n"/>
      <c r="V162" s="119" t="n"/>
    </row>
    <row r="163" ht="16.5" customFormat="1" customHeight="1" s="56">
      <c r="A163" s="119" t="n"/>
      <c r="B163" s="119" t="n"/>
      <c r="C163" s="119" t="n"/>
      <c r="D163" s="119" t="n"/>
      <c r="E163" s="119" t="n"/>
      <c r="F163" s="119" t="n"/>
      <c r="G163" s="119" t="n"/>
      <c r="H163" s="119" t="n"/>
      <c r="I163" s="119" t="n"/>
      <c r="J163" s="119" t="n"/>
      <c r="K163" s="119" t="n"/>
      <c r="L163" s="119" t="n"/>
      <c r="M163" s="119" t="n"/>
      <c r="N163" s="119" t="n"/>
      <c r="O163" s="119" t="n"/>
      <c r="P163" s="119" t="n"/>
      <c r="Q163" s="119" t="n"/>
      <c r="R163" s="119" t="n"/>
      <c r="S163" s="119" t="n"/>
      <c r="T163" s="119" t="n"/>
      <c r="U163" s="119" t="n"/>
      <c r="V163" s="119" t="n"/>
    </row>
    <row r="164" ht="16.5" customFormat="1" customHeight="1" s="56">
      <c r="A164" s="119" t="n"/>
      <c r="B164" s="119" t="n"/>
      <c r="C164" s="119" t="n"/>
      <c r="D164" s="119" t="n"/>
      <c r="E164" s="119" t="n"/>
      <c r="F164" s="119" t="n"/>
      <c r="G164" s="119" t="n"/>
      <c r="H164" s="119" t="n"/>
      <c r="I164" s="119" t="n"/>
      <c r="J164" s="119" t="n"/>
      <c r="K164" s="119" t="n"/>
      <c r="L164" s="119" t="n"/>
      <c r="M164" s="119" t="n"/>
      <c r="N164" s="119" t="n"/>
      <c r="O164" s="119" t="n"/>
      <c r="P164" s="119" t="n"/>
      <c r="Q164" s="119" t="n"/>
      <c r="R164" s="119" t="n"/>
      <c r="S164" s="119" t="n"/>
      <c r="T164" s="119" t="n"/>
      <c r="U164" s="119" t="n"/>
      <c r="V164" s="119" t="n"/>
    </row>
    <row r="165" ht="16.5" customFormat="1" customHeight="1" s="56">
      <c r="A165" s="119" t="n"/>
      <c r="B165" s="119" t="n"/>
      <c r="C165" s="119" t="n"/>
      <c r="D165" s="119" t="n"/>
      <c r="E165" s="119" t="n"/>
      <c r="F165" s="119" t="n"/>
      <c r="G165" s="119" t="n"/>
      <c r="H165" s="119" t="n"/>
      <c r="I165" s="119" t="n"/>
      <c r="J165" s="119" t="n"/>
      <c r="K165" s="119" t="n"/>
      <c r="L165" s="119" t="n"/>
      <c r="M165" s="119" t="n"/>
      <c r="N165" s="119" t="n"/>
      <c r="O165" s="119" t="n"/>
      <c r="P165" s="119" t="n"/>
      <c r="Q165" s="119" t="n"/>
      <c r="R165" s="119" t="n"/>
      <c r="S165" s="119" t="n"/>
      <c r="T165" s="119" t="n"/>
      <c r="U165" s="119" t="n"/>
      <c r="V165" s="119" t="n"/>
    </row>
    <row r="166" ht="16.5" customFormat="1" customHeight="1" s="56">
      <c r="A166" s="119" t="n"/>
      <c r="B166" s="119" t="n"/>
      <c r="C166" s="119" t="n"/>
      <c r="D166" s="119" t="n"/>
      <c r="E166" s="119" t="n"/>
      <c r="F166" s="119" t="n"/>
      <c r="G166" s="119" t="n"/>
      <c r="H166" s="119" t="n"/>
      <c r="I166" s="119" t="n"/>
      <c r="J166" s="119" t="n"/>
      <c r="K166" s="119" t="n"/>
      <c r="L166" s="119" t="n"/>
      <c r="M166" s="119" t="n"/>
      <c r="N166" s="119" t="n"/>
      <c r="O166" s="119" t="n"/>
      <c r="P166" s="119" t="n"/>
      <c r="Q166" s="119" t="n"/>
      <c r="R166" s="119" t="n"/>
      <c r="S166" s="119" t="n"/>
      <c r="T166" s="119" t="n"/>
      <c r="U166" s="119" t="n"/>
      <c r="V166" s="119" t="n"/>
    </row>
    <row r="167" ht="16.5" customFormat="1" customHeight="1" s="56">
      <c r="A167" s="119" t="n"/>
      <c r="B167" s="119" t="n"/>
      <c r="C167" s="119" t="n"/>
      <c r="D167" s="119" t="n"/>
      <c r="E167" s="119" t="n"/>
      <c r="F167" s="119" t="n"/>
      <c r="G167" s="119" t="n"/>
      <c r="H167" s="119" t="n"/>
      <c r="I167" s="119" t="n"/>
      <c r="J167" s="119" t="n"/>
      <c r="K167" s="119" t="n"/>
      <c r="L167" s="119" t="n"/>
      <c r="M167" s="119" t="n"/>
      <c r="N167" s="119" t="n"/>
      <c r="O167" s="119" t="n"/>
      <c r="P167" s="119" t="n"/>
      <c r="Q167" s="119" t="n"/>
      <c r="R167" s="119" t="n"/>
      <c r="S167" s="119" t="n"/>
      <c r="T167" s="119" t="n"/>
      <c r="U167" s="119" t="n"/>
      <c r="V167" s="119" t="n"/>
    </row>
    <row r="168" ht="16.5" customFormat="1" customHeight="1" s="56">
      <c r="A168" s="119" t="n"/>
      <c r="B168" s="119" t="n"/>
      <c r="C168" s="119" t="n"/>
      <c r="D168" s="119" t="n"/>
      <c r="E168" s="119" t="n"/>
      <c r="F168" s="119" t="n"/>
      <c r="G168" s="119" t="n"/>
      <c r="H168" s="119" t="n"/>
      <c r="I168" s="119" t="n"/>
      <c r="J168" s="119" t="n"/>
      <c r="K168" s="119" t="n"/>
      <c r="L168" s="119" t="n"/>
      <c r="M168" s="119" t="n"/>
      <c r="N168" s="119" t="n"/>
      <c r="O168" s="119" t="n"/>
      <c r="P168" s="119" t="n"/>
      <c r="Q168" s="119" t="n"/>
      <c r="R168" s="119" t="n"/>
      <c r="S168" s="119" t="n"/>
      <c r="T168" s="119" t="n"/>
      <c r="U168" s="119" t="n"/>
      <c r="V168" s="119" t="n"/>
    </row>
    <row r="169" ht="16.5" customFormat="1" customHeight="1" s="56">
      <c r="A169" s="119" t="n"/>
      <c r="B169" s="119" t="n"/>
      <c r="C169" s="119" t="n"/>
      <c r="D169" s="119" t="n"/>
      <c r="E169" s="119" t="n"/>
      <c r="F169" s="119" t="n"/>
      <c r="G169" s="119" t="n"/>
      <c r="H169" s="119" t="n"/>
      <c r="I169" s="119" t="n"/>
      <c r="J169" s="119" t="n"/>
      <c r="K169" s="119" t="n"/>
      <c r="L169" s="119" t="n"/>
      <c r="M169" s="119" t="n"/>
      <c r="N169" s="119" t="n"/>
      <c r="O169" s="119" t="n"/>
      <c r="P169" s="119" t="n"/>
      <c r="Q169" s="119" t="n"/>
      <c r="R169" s="119" t="n"/>
      <c r="S169" s="119" t="n"/>
      <c r="T169" s="119" t="n"/>
      <c r="U169" s="119" t="n"/>
      <c r="V169" s="119" t="n"/>
    </row>
    <row r="170" ht="16.5" customFormat="1" customHeight="1" s="56">
      <c r="A170" s="119" t="n"/>
      <c r="B170" s="119" t="n"/>
      <c r="C170" s="119" t="n"/>
      <c r="D170" s="119" t="n"/>
      <c r="E170" s="119" t="n"/>
      <c r="F170" s="119" t="n"/>
      <c r="G170" s="119" t="n"/>
      <c r="H170" s="119" t="n"/>
      <c r="I170" s="119" t="n"/>
      <c r="J170" s="119" t="n"/>
      <c r="K170" s="119" t="n"/>
      <c r="L170" s="119" t="n"/>
      <c r="M170" s="119" t="n"/>
      <c r="N170" s="119" t="n"/>
      <c r="O170" s="119" t="n"/>
      <c r="P170" s="119" t="n"/>
      <c r="Q170" s="119" t="n"/>
      <c r="R170" s="119" t="n"/>
      <c r="S170" s="119" t="n"/>
      <c r="T170" s="119" t="n"/>
      <c r="U170" s="119" t="n"/>
      <c r="V170" s="119" t="n"/>
    </row>
    <row r="171" ht="16.5" customFormat="1" customHeight="1" s="56">
      <c r="A171" s="119" t="n"/>
      <c r="B171" s="119" t="n"/>
      <c r="C171" s="119" t="n"/>
      <c r="D171" s="119" t="n"/>
      <c r="E171" s="119" t="n"/>
      <c r="F171" s="119" t="n"/>
      <c r="G171" s="119" t="n"/>
      <c r="H171" s="119" t="n"/>
      <c r="I171" s="119" t="n"/>
      <c r="J171" s="119" t="n"/>
      <c r="K171" s="119" t="n"/>
      <c r="L171" s="119" t="n"/>
      <c r="M171" s="119" t="n"/>
      <c r="N171" s="119" t="n"/>
      <c r="O171" s="119" t="n"/>
      <c r="P171" s="119" t="n"/>
      <c r="Q171" s="119" t="n"/>
      <c r="R171" s="119" t="n"/>
      <c r="S171" s="119" t="n"/>
      <c r="T171" s="119" t="n"/>
      <c r="U171" s="119" t="n"/>
      <c r="V171" s="119" t="n"/>
    </row>
    <row r="172" ht="16.5" customFormat="1" customHeight="1" s="56">
      <c r="A172" s="119" t="n"/>
      <c r="B172" s="119" t="n"/>
      <c r="C172" s="119" t="n"/>
      <c r="D172" s="119" t="n"/>
      <c r="E172" s="119" t="n"/>
      <c r="F172" s="119" t="n"/>
      <c r="G172" s="119" t="n"/>
      <c r="H172" s="119" t="n"/>
      <c r="I172" s="119" t="n"/>
      <c r="J172" s="119" t="n"/>
      <c r="K172" s="119" t="n"/>
      <c r="L172" s="119" t="n"/>
      <c r="M172" s="119" t="n"/>
      <c r="N172" s="119" t="n"/>
      <c r="O172" s="119" t="n"/>
      <c r="P172" s="119" t="n"/>
      <c r="Q172" s="119" t="n"/>
      <c r="R172" s="119" t="n"/>
      <c r="S172" s="119" t="n"/>
      <c r="T172" s="119" t="n"/>
      <c r="U172" s="119" t="n"/>
      <c r="V172" s="119" t="n"/>
    </row>
    <row r="173" ht="16.5" customFormat="1" customHeight="1" s="56">
      <c r="A173" s="119" t="n"/>
      <c r="B173" s="119" t="n"/>
      <c r="C173" s="119" t="n"/>
      <c r="D173" s="119" t="n"/>
      <c r="E173" s="119" t="n"/>
      <c r="F173" s="119" t="n"/>
      <c r="G173" s="119" t="n"/>
      <c r="H173" s="119" t="n"/>
      <c r="I173" s="119" t="n"/>
      <c r="J173" s="119" t="n"/>
      <c r="K173" s="119" t="n"/>
      <c r="L173" s="119" t="n"/>
      <c r="M173" s="119" t="n"/>
      <c r="N173" s="119" t="n"/>
      <c r="O173" s="119" t="n"/>
      <c r="P173" s="119" t="n"/>
      <c r="Q173" s="119" t="n"/>
      <c r="R173" s="119" t="n"/>
      <c r="S173" s="119" t="n"/>
      <c r="T173" s="119" t="n"/>
      <c r="U173" s="119" t="n"/>
      <c r="V173" s="119" t="n"/>
    </row>
    <row r="174" ht="16.5" customFormat="1" customHeight="1" s="56">
      <c r="A174" s="119" t="n"/>
      <c r="B174" s="119" t="n"/>
      <c r="C174" s="119" t="n"/>
      <c r="D174" s="119" t="n"/>
      <c r="E174" s="119" t="n"/>
      <c r="F174" s="119" t="n"/>
      <c r="G174" s="119" t="n"/>
      <c r="H174" s="119" t="n"/>
      <c r="I174" s="119" t="n"/>
      <c r="J174" s="119" t="n"/>
      <c r="K174" s="119" t="n"/>
      <c r="L174" s="119" t="n"/>
      <c r="M174" s="119" t="n"/>
      <c r="N174" s="119" t="n"/>
      <c r="O174" s="119" t="n"/>
      <c r="P174" s="119" t="n"/>
      <c r="Q174" s="119" t="n"/>
      <c r="R174" s="119" t="n"/>
      <c r="S174" s="119" t="n"/>
      <c r="T174" s="119" t="n"/>
      <c r="U174" s="119" t="n"/>
      <c r="V174" s="119" t="n"/>
    </row>
    <row r="175" ht="16.5" customFormat="1" customHeight="1" s="56">
      <c r="A175" s="119" t="n"/>
      <c r="B175" s="119" t="n"/>
      <c r="C175" s="119" t="n"/>
      <c r="D175" s="119" t="n"/>
      <c r="E175" s="119" t="n"/>
      <c r="F175" s="119" t="n"/>
      <c r="G175" s="119" t="n"/>
      <c r="H175" s="119" t="n"/>
      <c r="I175" s="119" t="n"/>
      <c r="J175" s="119" t="n"/>
      <c r="K175" s="119" t="n"/>
      <c r="L175" s="119" t="n"/>
      <c r="M175" s="119" t="n"/>
      <c r="N175" s="119" t="n"/>
      <c r="O175" s="119" t="n"/>
      <c r="P175" s="119" t="n"/>
      <c r="Q175" s="119" t="n"/>
      <c r="R175" s="119" t="n"/>
      <c r="S175" s="119" t="n"/>
      <c r="T175" s="119" t="n"/>
      <c r="U175" s="119" t="n"/>
      <c r="V175" s="119" t="n"/>
    </row>
    <row r="176" ht="16.5" customFormat="1" customHeight="1" s="56">
      <c r="A176" s="119" t="n"/>
      <c r="B176" s="119" t="n"/>
      <c r="C176" s="119" t="n"/>
      <c r="D176" s="119" t="n"/>
      <c r="E176" s="119" t="n"/>
      <c r="F176" s="119" t="n"/>
      <c r="G176" s="119" t="n"/>
      <c r="H176" s="119" t="n"/>
      <c r="I176" s="119" t="n"/>
      <c r="J176" s="119" t="n"/>
      <c r="K176" s="119" t="n"/>
      <c r="L176" s="119" t="n"/>
      <c r="M176" s="119" t="n"/>
      <c r="N176" s="119" t="n"/>
      <c r="O176" s="119" t="n"/>
      <c r="P176" s="119" t="n"/>
      <c r="Q176" s="119" t="n"/>
      <c r="R176" s="119" t="n"/>
      <c r="S176" s="119" t="n"/>
      <c r="T176" s="119" t="n"/>
      <c r="U176" s="119" t="n"/>
      <c r="V176" s="119" t="n"/>
    </row>
    <row r="177" ht="16.5" customFormat="1" customHeight="1" s="56">
      <c r="A177" s="119" t="n"/>
      <c r="B177" s="119" t="n"/>
      <c r="C177" s="119" t="n"/>
      <c r="D177" s="119" t="n"/>
      <c r="E177" s="119" t="n"/>
      <c r="F177" s="119" t="n"/>
      <c r="G177" s="119" t="n"/>
      <c r="H177" s="119" t="n"/>
      <c r="I177" s="119" t="n"/>
      <c r="J177" s="119" t="n"/>
      <c r="K177" s="119" t="n"/>
      <c r="L177" s="119" t="n"/>
      <c r="M177" s="119" t="n"/>
      <c r="N177" s="119" t="n"/>
      <c r="O177" s="119" t="n"/>
      <c r="P177" s="119" t="n"/>
      <c r="Q177" s="119" t="n"/>
      <c r="R177" s="119" t="n"/>
      <c r="S177" s="119" t="n"/>
      <c r="T177" s="119" t="n"/>
      <c r="U177" s="119" t="n"/>
      <c r="V177" s="119" t="n"/>
    </row>
    <row r="178" ht="16.5" customFormat="1" customHeight="1" s="56">
      <c r="A178" s="119" t="n"/>
      <c r="B178" s="119" t="n"/>
      <c r="C178" s="119" t="n"/>
      <c r="D178" s="119" t="n"/>
      <c r="E178" s="119" t="n"/>
      <c r="F178" s="119" t="n"/>
      <c r="G178" s="119" t="n"/>
      <c r="H178" s="119" t="n"/>
      <c r="I178" s="119" t="n"/>
      <c r="J178" s="119" t="n"/>
      <c r="K178" s="119" t="n"/>
      <c r="L178" s="119" t="n"/>
      <c r="M178" s="119" t="n"/>
      <c r="N178" s="119" t="n"/>
      <c r="O178" s="119" t="n"/>
      <c r="P178" s="119" t="n"/>
      <c r="Q178" s="119" t="n"/>
      <c r="R178" s="119" t="n"/>
      <c r="S178" s="119" t="n"/>
      <c r="T178" s="119" t="n"/>
      <c r="U178" s="119" t="n"/>
      <c r="V178" s="119" t="n"/>
    </row>
    <row r="179" ht="16.5" customFormat="1" customHeight="1" s="56">
      <c r="A179" s="119" t="n"/>
      <c r="B179" s="119" t="n"/>
      <c r="C179" s="119" t="n"/>
      <c r="D179" s="119" t="n"/>
      <c r="E179" s="119" t="n"/>
      <c r="F179" s="119" t="n"/>
      <c r="G179" s="119" t="n"/>
      <c r="H179" s="119" t="n"/>
      <c r="I179" s="119" t="n"/>
      <c r="J179" s="119" t="n"/>
      <c r="K179" s="119" t="n"/>
      <c r="L179" s="119" t="n"/>
      <c r="M179" s="119" t="n"/>
      <c r="N179" s="119" t="n"/>
      <c r="O179" s="119" t="n"/>
      <c r="P179" s="119" t="n"/>
      <c r="Q179" s="119" t="n"/>
      <c r="R179" s="119" t="n"/>
      <c r="S179" s="119" t="n"/>
      <c r="T179" s="119" t="n"/>
      <c r="U179" s="119" t="n"/>
      <c r="V179" s="119" t="n"/>
    </row>
    <row r="180" ht="16.5" customFormat="1" customHeight="1" s="56">
      <c r="A180" s="119" t="n"/>
      <c r="B180" s="119" t="n"/>
      <c r="C180" s="119" t="n"/>
      <c r="D180" s="119" t="n"/>
      <c r="E180" s="119" t="n"/>
      <c r="F180" s="119" t="n"/>
      <c r="G180" s="119" t="n"/>
      <c r="H180" s="119" t="n"/>
      <c r="I180" s="119" t="n"/>
      <c r="J180" s="119" t="n"/>
      <c r="K180" s="119" t="n"/>
      <c r="L180" s="119" t="n"/>
      <c r="M180" s="119" t="n"/>
      <c r="N180" s="119" t="n"/>
      <c r="O180" s="119" t="n"/>
      <c r="P180" s="119" t="n"/>
      <c r="Q180" s="119" t="n"/>
      <c r="R180" s="119" t="n"/>
      <c r="S180" s="119" t="n"/>
      <c r="T180" s="119" t="n"/>
      <c r="U180" s="119" t="n"/>
      <c r="V180" s="119" t="n"/>
    </row>
    <row r="181" ht="16.5" customFormat="1" customHeight="1" s="56">
      <c r="A181" s="119" t="n"/>
      <c r="B181" s="119" t="n"/>
      <c r="C181" s="119" t="n"/>
      <c r="D181" s="119" t="n"/>
      <c r="E181" s="119" t="n"/>
      <c r="F181" s="119" t="n"/>
      <c r="G181" s="119" t="n"/>
      <c r="H181" s="119" t="n"/>
      <c r="I181" s="119" t="n"/>
      <c r="J181" s="119" t="n"/>
      <c r="K181" s="119" t="n"/>
      <c r="L181" s="119" t="n"/>
      <c r="M181" s="119" t="n"/>
      <c r="N181" s="119" t="n"/>
      <c r="O181" s="119" t="n"/>
      <c r="P181" s="119" t="n"/>
      <c r="Q181" s="119" t="n"/>
      <c r="R181" s="119" t="n"/>
      <c r="S181" s="119" t="n"/>
      <c r="T181" s="119" t="n"/>
      <c r="U181" s="119" t="n"/>
      <c r="V181" s="119" t="n"/>
    </row>
    <row r="182" ht="16.5" customFormat="1" customHeight="1" s="56">
      <c r="A182" s="119" t="n"/>
      <c r="B182" s="119" t="n"/>
      <c r="C182" s="119" t="n"/>
      <c r="D182" s="119" t="n"/>
      <c r="E182" s="119" t="n"/>
      <c r="F182" s="119" t="n"/>
      <c r="G182" s="119" t="n"/>
      <c r="H182" s="119" t="n"/>
      <c r="I182" s="119" t="n"/>
      <c r="J182" s="119" t="n"/>
      <c r="K182" s="119" t="n"/>
      <c r="L182" s="119" t="n"/>
      <c r="M182" s="119" t="n"/>
      <c r="N182" s="119" t="n"/>
      <c r="O182" s="119" t="n"/>
      <c r="P182" s="119" t="n"/>
      <c r="Q182" s="119" t="n"/>
      <c r="R182" s="119" t="n"/>
      <c r="S182" s="119" t="n"/>
      <c r="T182" s="119" t="n"/>
      <c r="U182" s="119" t="n"/>
      <c r="V182" s="119" t="n"/>
    </row>
    <row r="183" ht="16.5" customFormat="1" customHeight="1" s="56">
      <c r="A183" s="119" t="n"/>
      <c r="B183" s="119" t="n"/>
      <c r="C183" s="119" t="n"/>
      <c r="D183" s="119" t="n"/>
      <c r="E183" s="119" t="n"/>
      <c r="F183" s="119" t="n"/>
      <c r="G183" s="119" t="n"/>
      <c r="H183" s="119" t="n"/>
      <c r="I183" s="119" t="n"/>
      <c r="J183" s="119" t="n"/>
      <c r="K183" s="119" t="n"/>
      <c r="L183" s="119" t="n"/>
      <c r="M183" s="119" t="n"/>
      <c r="N183" s="119" t="n"/>
      <c r="O183" s="119" t="n"/>
      <c r="P183" s="119" t="n"/>
      <c r="Q183" s="119" t="n"/>
      <c r="R183" s="119" t="n"/>
      <c r="S183" s="119" t="n"/>
      <c r="T183" s="119" t="n"/>
      <c r="U183" s="119" t="n"/>
      <c r="V183" s="119" t="n"/>
    </row>
    <row r="184" ht="16.5" customFormat="1" customHeight="1" s="56">
      <c r="A184" s="119" t="n"/>
      <c r="B184" s="119" t="n"/>
      <c r="C184" s="119" t="n"/>
      <c r="D184" s="119" t="n"/>
      <c r="E184" s="119" t="n"/>
      <c r="F184" s="119" t="n"/>
      <c r="G184" s="119" t="n"/>
      <c r="H184" s="119" t="n"/>
      <c r="I184" s="119" t="n"/>
      <c r="J184" s="119" t="n"/>
      <c r="K184" s="119" t="n"/>
      <c r="L184" s="119" t="n"/>
      <c r="M184" s="119" t="n"/>
      <c r="N184" s="119" t="n"/>
      <c r="O184" s="119" t="n"/>
      <c r="P184" s="119" t="n"/>
      <c r="Q184" s="119" t="n"/>
      <c r="R184" s="119" t="n"/>
      <c r="S184" s="119" t="n"/>
      <c r="T184" s="119" t="n"/>
      <c r="U184" s="119" t="n"/>
      <c r="V184" s="119" t="n"/>
    </row>
    <row r="185" ht="16.5" customFormat="1" customHeight="1" s="56">
      <c r="A185" s="119" t="n"/>
      <c r="B185" s="119" t="n"/>
      <c r="C185" s="119" t="n"/>
      <c r="D185" s="119" t="n"/>
      <c r="E185" s="119" t="n"/>
      <c r="F185" s="119" t="n"/>
      <c r="G185" s="119" t="n"/>
      <c r="H185" s="119" t="n"/>
      <c r="I185" s="119" t="n"/>
      <c r="J185" s="119" t="n"/>
      <c r="K185" s="119" t="n"/>
      <c r="L185" s="119" t="n"/>
      <c r="M185" s="119" t="n"/>
      <c r="N185" s="119" t="n"/>
      <c r="O185" s="119" t="n"/>
      <c r="P185" s="119" t="n"/>
      <c r="Q185" s="119" t="n"/>
      <c r="R185" s="119" t="n"/>
      <c r="S185" s="119" t="n"/>
      <c r="T185" s="119" t="n"/>
      <c r="U185" s="119" t="n"/>
      <c r="V185" s="119" t="n"/>
    </row>
    <row r="186" ht="16.5" customFormat="1" customHeight="1" s="56">
      <c r="A186" s="119" t="n"/>
      <c r="B186" s="119" t="n"/>
      <c r="C186" s="119" t="n"/>
      <c r="D186" s="119" t="n"/>
      <c r="E186" s="119" t="n"/>
      <c r="F186" s="119" t="n"/>
      <c r="G186" s="119" t="n"/>
      <c r="H186" s="119" t="n"/>
      <c r="I186" s="119" t="n"/>
      <c r="J186" s="119" t="n"/>
      <c r="K186" s="119" t="n"/>
      <c r="L186" s="119" t="n"/>
      <c r="M186" s="119" t="n"/>
      <c r="N186" s="119" t="n"/>
      <c r="O186" s="119" t="n"/>
      <c r="P186" s="119" t="n"/>
      <c r="Q186" s="119" t="n"/>
      <c r="R186" s="119" t="n"/>
      <c r="S186" s="119" t="n"/>
      <c r="T186" s="119" t="n"/>
      <c r="U186" s="119" t="n"/>
      <c r="V186" s="119" t="n"/>
    </row>
    <row r="187" ht="16.5" customFormat="1" customHeight="1" s="56">
      <c r="A187" s="119" t="n"/>
      <c r="B187" s="119" t="n"/>
      <c r="C187" s="119" t="n"/>
      <c r="D187" s="119" t="n"/>
      <c r="E187" s="119" t="n"/>
      <c r="F187" s="119" t="n"/>
      <c r="G187" s="119" t="n"/>
      <c r="H187" s="119" t="n"/>
      <c r="I187" s="119" t="n"/>
      <c r="J187" s="119" t="n"/>
      <c r="K187" s="119" t="n"/>
      <c r="L187" s="119" t="n"/>
      <c r="M187" s="119" t="n"/>
      <c r="N187" s="119" t="n"/>
      <c r="O187" s="119" t="n"/>
      <c r="P187" s="119" t="n"/>
      <c r="Q187" s="119" t="n"/>
      <c r="R187" s="119" t="n"/>
      <c r="S187" s="119" t="n"/>
      <c r="T187" s="119" t="n"/>
      <c r="U187" s="119" t="n"/>
      <c r="V187" s="119" t="n"/>
    </row>
    <row r="188" ht="16.5" customFormat="1" customHeight="1" s="56">
      <c r="A188" s="119" t="n"/>
      <c r="B188" s="119" t="n"/>
      <c r="C188" s="119" t="n"/>
      <c r="D188" s="119" t="n"/>
      <c r="E188" s="119" t="n"/>
      <c r="F188" s="119" t="n"/>
      <c r="G188" s="119" t="n"/>
      <c r="H188" s="119" t="n"/>
      <c r="I188" s="119" t="n"/>
      <c r="J188" s="119" t="n"/>
      <c r="K188" s="119" t="n"/>
      <c r="L188" s="119" t="n"/>
      <c r="M188" s="119" t="n"/>
      <c r="N188" s="119" t="n"/>
      <c r="O188" s="119" t="n"/>
      <c r="P188" s="119" t="n"/>
      <c r="Q188" s="119" t="n"/>
      <c r="R188" s="119" t="n"/>
      <c r="S188" s="119" t="n"/>
      <c r="T188" s="119" t="n"/>
      <c r="U188" s="119" t="n"/>
      <c r="V188" s="119" t="n"/>
    </row>
    <row r="189" ht="16.5" customFormat="1" customHeight="1" s="56">
      <c r="A189" s="119" t="n"/>
      <c r="B189" s="119" t="n"/>
      <c r="C189" s="119" t="n"/>
      <c r="D189" s="119" t="n"/>
      <c r="E189" s="119" t="n"/>
      <c r="F189" s="119" t="n"/>
      <c r="G189" s="119" t="n"/>
      <c r="H189" s="119" t="n"/>
      <c r="I189" s="119" t="n"/>
      <c r="J189" s="119" t="n"/>
      <c r="K189" s="119" t="n"/>
      <c r="L189" s="119" t="n"/>
      <c r="M189" s="119" t="n"/>
      <c r="N189" s="119" t="n"/>
      <c r="O189" s="119" t="n"/>
      <c r="P189" s="119" t="n"/>
      <c r="Q189" s="119" t="n"/>
      <c r="R189" s="119" t="n"/>
      <c r="S189" s="119" t="n"/>
      <c r="T189" s="119" t="n"/>
      <c r="U189" s="119" t="n"/>
      <c r="V189" s="119" t="n"/>
    </row>
    <row r="190" ht="16.5" customFormat="1" customHeight="1" s="56">
      <c r="A190" s="119" t="n"/>
      <c r="B190" s="119" t="n"/>
      <c r="C190" s="119" t="n"/>
      <c r="D190" s="119" t="n"/>
      <c r="E190" s="119" t="n"/>
      <c r="F190" s="119" t="n"/>
      <c r="G190" s="119" t="n"/>
      <c r="H190" s="119" t="n"/>
      <c r="I190" s="119" t="n"/>
      <c r="J190" s="119" t="n"/>
      <c r="K190" s="119" t="n"/>
      <c r="L190" s="119" t="n"/>
      <c r="M190" s="119" t="n"/>
      <c r="N190" s="119" t="n"/>
      <c r="O190" s="119" t="n"/>
      <c r="P190" s="119" t="n"/>
      <c r="Q190" s="119" t="n"/>
      <c r="R190" s="119" t="n"/>
      <c r="S190" s="119" t="n"/>
      <c r="T190" s="119" t="n"/>
      <c r="U190" s="119" t="n"/>
      <c r="V190" s="119" t="n"/>
    </row>
    <row r="191" ht="16.5" customFormat="1" customHeight="1" s="56">
      <c r="A191" s="119" t="n"/>
      <c r="B191" s="119" t="n"/>
      <c r="C191" s="119" t="n"/>
      <c r="D191" s="119" t="n"/>
      <c r="E191" s="119" t="n"/>
      <c r="F191" s="119" t="n"/>
      <c r="G191" s="119" t="n"/>
      <c r="H191" s="119" t="n"/>
      <c r="I191" s="119" t="n"/>
      <c r="J191" s="119" t="n"/>
      <c r="K191" s="119" t="n"/>
      <c r="L191" s="119" t="n"/>
      <c r="M191" s="119" t="n"/>
      <c r="N191" s="119" t="n"/>
      <c r="O191" s="119" t="n"/>
      <c r="P191" s="119" t="n"/>
      <c r="Q191" s="119" t="n"/>
      <c r="R191" s="119" t="n"/>
      <c r="S191" s="119" t="n"/>
      <c r="T191" s="119" t="n"/>
      <c r="U191" s="119" t="n"/>
      <c r="V191" s="119" t="n"/>
    </row>
    <row r="192" ht="16.5" customFormat="1" customHeight="1" s="56">
      <c r="A192" s="119" t="n"/>
      <c r="B192" s="119" t="n"/>
      <c r="C192" s="119" t="n"/>
      <c r="D192" s="119" t="n"/>
      <c r="E192" s="119" t="n"/>
      <c r="F192" s="119" t="n"/>
      <c r="G192" s="119" t="n"/>
      <c r="H192" s="119" t="n"/>
      <c r="I192" s="119" t="n"/>
      <c r="J192" s="119" t="n"/>
      <c r="K192" s="119" t="n"/>
      <c r="L192" s="119" t="n"/>
      <c r="M192" s="119" t="n"/>
      <c r="N192" s="119" t="n"/>
      <c r="O192" s="119" t="n"/>
      <c r="P192" s="119" t="n"/>
      <c r="Q192" s="119" t="n"/>
      <c r="R192" s="119" t="n"/>
      <c r="S192" s="119" t="n"/>
      <c r="T192" s="119" t="n"/>
      <c r="U192" s="119" t="n"/>
      <c r="V192" s="119" t="n"/>
    </row>
    <row r="193" ht="16.5" customFormat="1" customHeight="1" s="56">
      <c r="A193" s="119" t="n"/>
      <c r="B193" s="119" t="n"/>
      <c r="C193" s="119" t="n"/>
      <c r="D193" s="119" t="n"/>
      <c r="E193" s="119" t="n"/>
      <c r="F193" s="119" t="n"/>
      <c r="G193" s="119" t="n"/>
      <c r="H193" s="119" t="n"/>
      <c r="I193" s="119" t="n"/>
      <c r="J193" s="119" t="n"/>
      <c r="K193" s="119" t="n"/>
      <c r="L193" s="119" t="n"/>
      <c r="M193" s="119" t="n"/>
      <c r="N193" s="119" t="n"/>
      <c r="O193" s="119" t="n"/>
      <c r="P193" s="119" t="n"/>
      <c r="Q193" s="119" t="n"/>
      <c r="R193" s="119" t="n"/>
      <c r="S193" s="119" t="n"/>
      <c r="T193" s="119" t="n"/>
      <c r="U193" s="119" t="n"/>
      <c r="V193" s="119" t="n"/>
    </row>
    <row r="194" ht="16.5" customFormat="1" customHeight="1" s="56">
      <c r="A194" s="119" t="n"/>
      <c r="B194" s="119" t="n"/>
      <c r="C194" s="119" t="n"/>
      <c r="D194" s="119" t="n"/>
      <c r="E194" s="119" t="n"/>
      <c r="F194" s="119" t="n"/>
      <c r="G194" s="119" t="n"/>
      <c r="H194" s="119" t="n"/>
      <c r="I194" s="119" t="n"/>
      <c r="J194" s="119" t="n"/>
      <c r="K194" s="119" t="n"/>
      <c r="L194" s="119" t="n"/>
      <c r="M194" s="119" t="n"/>
      <c r="N194" s="119" t="n"/>
      <c r="O194" s="119" t="n"/>
      <c r="P194" s="119" t="n"/>
      <c r="Q194" s="119" t="n"/>
      <c r="R194" s="119" t="n"/>
      <c r="S194" s="119" t="n"/>
      <c r="T194" s="119" t="n"/>
      <c r="U194" s="119" t="n"/>
      <c r="V194" s="119" t="n"/>
    </row>
    <row r="195" ht="16.5" customFormat="1" customHeight="1" s="56">
      <c r="A195" s="119" t="n"/>
      <c r="B195" s="119" t="n"/>
      <c r="C195" s="119" t="n"/>
      <c r="D195" s="119" t="n"/>
      <c r="E195" s="119" t="n"/>
      <c r="F195" s="119" t="n"/>
      <c r="G195" s="119" t="n"/>
      <c r="H195" s="119" t="n"/>
      <c r="I195" s="119" t="n"/>
      <c r="J195" s="119" t="n"/>
      <c r="K195" s="119" t="n"/>
      <c r="L195" s="119" t="n"/>
      <c r="M195" s="119" t="n"/>
      <c r="N195" s="119" t="n"/>
      <c r="O195" s="119" t="n"/>
      <c r="P195" s="119" t="n"/>
      <c r="Q195" s="119" t="n"/>
      <c r="R195" s="119" t="n"/>
      <c r="S195" s="119" t="n"/>
      <c r="T195" s="119" t="n"/>
      <c r="U195" s="119" t="n"/>
      <c r="V195" s="119" t="n"/>
    </row>
    <row r="196" ht="16.5" customFormat="1" customHeight="1" s="56">
      <c r="A196" s="119" t="n"/>
      <c r="B196" s="119" t="n"/>
      <c r="C196" s="119" t="n"/>
      <c r="D196" s="119" t="n"/>
      <c r="E196" s="119" t="n"/>
      <c r="F196" s="119" t="n"/>
      <c r="G196" s="119" t="n"/>
      <c r="H196" s="119" t="n"/>
      <c r="I196" s="119" t="n"/>
      <c r="J196" s="119" t="n"/>
      <c r="K196" s="119" t="n"/>
      <c r="L196" s="119" t="n"/>
      <c r="M196" s="119" t="n"/>
      <c r="N196" s="119" t="n"/>
      <c r="O196" s="119" t="n"/>
      <c r="P196" s="119" t="n"/>
      <c r="Q196" s="119" t="n"/>
      <c r="R196" s="119" t="n"/>
      <c r="S196" s="119" t="n"/>
      <c r="T196" s="119" t="n"/>
      <c r="U196" s="119" t="n"/>
      <c r="V196" s="119" t="n"/>
    </row>
    <row r="197" ht="16.5" customFormat="1" customHeight="1" s="56">
      <c r="A197" s="119" t="n"/>
      <c r="B197" s="119" t="n"/>
      <c r="C197" s="119" t="n"/>
      <c r="D197" s="119" t="n"/>
      <c r="E197" s="119" t="n"/>
      <c r="F197" s="119" t="n"/>
      <c r="G197" s="119" t="n"/>
      <c r="H197" s="119" t="n"/>
      <c r="I197" s="119" t="n"/>
      <c r="J197" s="119" t="n"/>
      <c r="K197" s="119" t="n"/>
      <c r="L197" s="119" t="n"/>
      <c r="M197" s="119" t="n"/>
      <c r="N197" s="119" t="n"/>
      <c r="O197" s="119" t="n"/>
      <c r="P197" s="119" t="n"/>
      <c r="Q197" s="119" t="n"/>
      <c r="R197" s="119" t="n"/>
      <c r="S197" s="119" t="n"/>
      <c r="T197" s="119" t="n"/>
      <c r="U197" s="119" t="n"/>
      <c r="V197" s="119" t="n"/>
    </row>
    <row r="198" ht="16.5" customFormat="1" customHeight="1" s="56">
      <c r="A198" s="119" t="n"/>
      <c r="B198" s="119" t="n"/>
      <c r="C198" s="119" t="n"/>
      <c r="D198" s="119" t="n"/>
      <c r="E198" s="119" t="n"/>
      <c r="F198" s="119" t="n"/>
      <c r="G198" s="119" t="n"/>
      <c r="H198" s="119" t="n"/>
      <c r="I198" s="119" t="n"/>
      <c r="J198" s="119" t="n"/>
      <c r="K198" s="119" t="n"/>
      <c r="L198" s="119" t="n"/>
      <c r="M198" s="119" t="n"/>
      <c r="N198" s="119" t="n"/>
      <c r="O198" s="119" t="n"/>
      <c r="P198" s="119" t="n"/>
      <c r="Q198" s="119" t="n"/>
      <c r="R198" s="119" t="n"/>
      <c r="S198" s="119" t="n"/>
      <c r="T198" s="119" t="n"/>
      <c r="U198" s="119" t="n"/>
      <c r="V198" s="119" t="n"/>
    </row>
    <row r="199" ht="16.5" customFormat="1" customHeight="1" s="56">
      <c r="A199" s="119" t="n"/>
      <c r="B199" s="119" t="n"/>
      <c r="C199" s="119" t="n"/>
      <c r="D199" s="119" t="n"/>
      <c r="E199" s="119" t="n"/>
      <c r="F199" s="119" t="n"/>
      <c r="G199" s="119" t="n"/>
      <c r="H199" s="119" t="n"/>
      <c r="I199" s="119" t="n"/>
      <c r="J199" s="119" t="n"/>
      <c r="K199" s="119" t="n"/>
      <c r="L199" s="119" t="n"/>
      <c r="M199" s="119" t="n"/>
      <c r="N199" s="119" t="n"/>
      <c r="O199" s="119" t="n"/>
      <c r="P199" s="119" t="n"/>
      <c r="Q199" s="119" t="n"/>
      <c r="R199" s="119" t="n"/>
      <c r="S199" s="119" t="n"/>
      <c r="T199" s="119" t="n"/>
      <c r="U199" s="119" t="n"/>
      <c r="V199" s="119" t="n"/>
    </row>
    <row r="200" ht="16.5" customFormat="1" customHeight="1" s="56">
      <c r="A200" s="119" t="n"/>
      <c r="B200" s="119" t="n"/>
      <c r="C200" s="119" t="n"/>
      <c r="D200" s="119" t="n"/>
      <c r="E200" s="119" t="n"/>
      <c r="F200" s="119" t="n"/>
      <c r="G200" s="119" t="n"/>
      <c r="H200" s="119" t="n"/>
      <c r="I200" s="119" t="n"/>
      <c r="J200" s="119" t="n"/>
      <c r="K200" s="119" t="n"/>
      <c r="L200" s="119" t="n"/>
      <c r="M200" s="119" t="n"/>
      <c r="N200" s="119" t="n"/>
      <c r="O200" s="119" t="n"/>
      <c r="P200" s="119" t="n"/>
      <c r="Q200" s="119" t="n"/>
      <c r="R200" s="119" t="n"/>
      <c r="S200" s="119" t="n"/>
      <c r="T200" s="119" t="n"/>
      <c r="U200" s="119" t="n"/>
      <c r="V200" s="119" t="n"/>
    </row>
    <row r="201" ht="16.5" customFormat="1" customHeight="1" s="56">
      <c r="A201" s="119" t="n"/>
      <c r="B201" s="119" t="n"/>
      <c r="C201" s="119" t="n"/>
      <c r="D201" s="119" t="n"/>
      <c r="E201" s="119" t="n"/>
      <c r="F201" s="119" t="n"/>
      <c r="G201" s="119" t="n"/>
      <c r="H201" s="119" t="n"/>
      <c r="I201" s="119" t="n"/>
      <c r="J201" s="119" t="n"/>
      <c r="K201" s="119" t="n"/>
      <c r="L201" s="119" t="n"/>
      <c r="M201" s="119" t="n"/>
      <c r="N201" s="119" t="n"/>
      <c r="O201" s="119" t="n"/>
      <c r="P201" s="119" t="n"/>
      <c r="Q201" s="119" t="n"/>
      <c r="R201" s="119" t="n"/>
      <c r="S201" s="119" t="n"/>
      <c r="T201" s="119" t="n"/>
      <c r="U201" s="119" t="n"/>
      <c r="V201" s="119" t="n"/>
    </row>
    <row r="202" ht="16.5" customFormat="1" customHeight="1" s="56">
      <c r="A202" s="119" t="n"/>
      <c r="B202" s="119" t="n"/>
      <c r="C202" s="119" t="n"/>
      <c r="D202" s="119" t="n"/>
      <c r="E202" s="119" t="n"/>
      <c r="F202" s="119" t="n"/>
      <c r="G202" s="119" t="n"/>
      <c r="H202" s="119" t="n"/>
      <c r="I202" s="119" t="n"/>
      <c r="J202" s="119" t="n"/>
      <c r="K202" s="119" t="n"/>
      <c r="L202" s="119" t="n"/>
      <c r="M202" s="119" t="n"/>
      <c r="N202" s="119" t="n"/>
      <c r="O202" s="119" t="n"/>
      <c r="P202" s="119" t="n"/>
      <c r="Q202" s="119" t="n"/>
      <c r="R202" s="119" t="n"/>
      <c r="S202" s="119" t="n"/>
      <c r="T202" s="119" t="n"/>
      <c r="U202" s="119" t="n"/>
      <c r="V202" s="119" t="n"/>
    </row>
    <row r="203" ht="16.5" customFormat="1" customHeight="1" s="56">
      <c r="A203" s="119" t="n"/>
      <c r="B203" s="119" t="n"/>
      <c r="C203" s="119" t="n"/>
      <c r="D203" s="119" t="n"/>
      <c r="E203" s="119" t="n"/>
      <c r="F203" s="119" t="n"/>
      <c r="G203" s="119" t="n"/>
      <c r="H203" s="119" t="n"/>
      <c r="I203" s="119" t="n"/>
      <c r="J203" s="119" t="n"/>
      <c r="K203" s="119" t="n"/>
      <c r="L203" s="119" t="n"/>
      <c r="M203" s="119" t="n"/>
      <c r="N203" s="119" t="n"/>
      <c r="O203" s="119" t="n"/>
      <c r="P203" s="119" t="n"/>
      <c r="Q203" s="119" t="n"/>
      <c r="R203" s="119" t="n"/>
      <c r="S203" s="119" t="n"/>
      <c r="T203" s="119" t="n"/>
      <c r="U203" s="119" t="n"/>
      <c r="V203" s="119" t="n"/>
    </row>
    <row r="204" ht="16.5" customFormat="1" customHeight="1" s="56">
      <c r="A204" s="119" t="n"/>
      <c r="B204" s="119" t="n"/>
      <c r="C204" s="119" t="n"/>
      <c r="D204" s="119" t="n"/>
      <c r="E204" s="119" t="n"/>
      <c r="F204" s="119" t="n"/>
      <c r="G204" s="119" t="n"/>
      <c r="H204" s="119" t="n"/>
      <c r="I204" s="119" t="n"/>
      <c r="J204" s="119" t="n"/>
      <c r="K204" s="119" t="n"/>
      <c r="L204" s="119" t="n"/>
      <c r="M204" s="119" t="n"/>
      <c r="N204" s="119" t="n"/>
      <c r="O204" s="119" t="n"/>
      <c r="P204" s="119" t="n"/>
      <c r="Q204" s="119" t="n"/>
      <c r="R204" s="119" t="n"/>
      <c r="S204" s="119" t="n"/>
      <c r="T204" s="119" t="n"/>
      <c r="U204" s="119" t="n"/>
      <c r="V204" s="119" t="n"/>
    </row>
    <row r="205" ht="16.5" customFormat="1" customHeight="1" s="56">
      <c r="A205" s="119" t="n"/>
      <c r="B205" s="119" t="n"/>
      <c r="C205" s="119" t="n"/>
      <c r="D205" s="119" t="n"/>
      <c r="E205" s="119" t="n"/>
      <c r="F205" s="119" t="n"/>
      <c r="G205" s="119" t="n"/>
      <c r="H205" s="119" t="n"/>
      <c r="I205" s="119" t="n"/>
      <c r="J205" s="119" t="n"/>
      <c r="K205" s="119" t="n"/>
      <c r="L205" s="119" t="n"/>
      <c r="M205" s="119" t="n"/>
      <c r="N205" s="119" t="n"/>
      <c r="O205" s="119" t="n"/>
      <c r="P205" s="119" t="n"/>
      <c r="Q205" s="119" t="n"/>
      <c r="R205" s="119" t="n"/>
      <c r="S205" s="119" t="n"/>
      <c r="T205" s="119" t="n"/>
      <c r="U205" s="119" t="n"/>
      <c r="V205" s="119" t="n"/>
    </row>
    <row r="206" ht="16.5" customFormat="1" customHeight="1" s="56">
      <c r="A206" s="119" t="n"/>
      <c r="B206" s="119" t="n"/>
      <c r="C206" s="119" t="n"/>
      <c r="D206" s="119" t="n"/>
      <c r="E206" s="119" t="n"/>
      <c r="F206" s="119" t="n"/>
      <c r="G206" s="119" t="n"/>
      <c r="H206" s="119" t="n"/>
      <c r="I206" s="119" t="n"/>
      <c r="J206" s="119" t="n"/>
      <c r="K206" s="119" t="n"/>
      <c r="L206" s="119" t="n"/>
      <c r="M206" s="119" t="n"/>
      <c r="N206" s="119" t="n"/>
      <c r="O206" s="119" t="n"/>
      <c r="P206" s="119" t="n"/>
      <c r="Q206" s="119" t="n"/>
      <c r="R206" s="119" t="n"/>
      <c r="S206" s="119" t="n"/>
      <c r="T206" s="119" t="n"/>
      <c r="U206" s="119" t="n"/>
      <c r="V206" s="119" t="n"/>
    </row>
    <row r="207" ht="16.5" customFormat="1" customHeight="1" s="56">
      <c r="A207" s="119" t="n"/>
      <c r="B207" s="119" t="n"/>
      <c r="C207" s="119" t="n"/>
      <c r="D207" s="119" t="n"/>
      <c r="E207" s="119" t="n"/>
      <c r="F207" s="119" t="n"/>
      <c r="G207" s="119" t="n"/>
      <c r="H207" s="119" t="n"/>
      <c r="I207" s="119" t="n"/>
      <c r="J207" s="119" t="n"/>
      <c r="K207" s="119" t="n"/>
      <c r="L207" s="119" t="n"/>
      <c r="M207" s="119" t="n"/>
      <c r="N207" s="119" t="n"/>
      <c r="O207" s="119" t="n"/>
      <c r="P207" s="119" t="n"/>
      <c r="Q207" s="119" t="n"/>
      <c r="R207" s="119" t="n"/>
      <c r="S207" s="119" t="n"/>
      <c r="T207" s="119" t="n"/>
      <c r="U207" s="119" t="n"/>
      <c r="V207" s="119" t="n"/>
    </row>
    <row r="208" ht="16.5" customFormat="1" customHeight="1" s="56">
      <c r="A208" s="119" t="n"/>
      <c r="B208" s="119" t="n"/>
      <c r="C208" s="119" t="n"/>
      <c r="D208" s="119" t="n"/>
      <c r="E208" s="119" t="n"/>
      <c r="F208" s="119" t="n"/>
      <c r="G208" s="119" t="n"/>
      <c r="H208" s="119" t="n"/>
      <c r="I208" s="119" t="n"/>
      <c r="J208" s="119" t="n"/>
      <c r="K208" s="119" t="n"/>
      <c r="L208" s="119" t="n"/>
      <c r="M208" s="119" t="n"/>
      <c r="N208" s="119" t="n"/>
      <c r="O208" s="119" t="n"/>
      <c r="P208" s="119" t="n"/>
      <c r="Q208" s="119" t="n"/>
      <c r="R208" s="119" t="n"/>
      <c r="S208" s="119" t="n"/>
      <c r="T208" s="119" t="n"/>
      <c r="U208" s="119" t="n"/>
      <c r="V208" s="119" t="n"/>
    </row>
    <row r="209" ht="16.5" customFormat="1" customHeight="1" s="56">
      <c r="A209" s="119" t="n"/>
      <c r="B209" s="119" t="n"/>
      <c r="C209" s="119" t="n"/>
      <c r="D209" s="119" t="n"/>
      <c r="E209" s="119" t="n"/>
      <c r="F209" s="119" t="n"/>
      <c r="G209" s="119" t="n"/>
      <c r="H209" s="119" t="n"/>
      <c r="I209" s="119" t="n"/>
      <c r="J209" s="119" t="n"/>
      <c r="K209" s="119" t="n"/>
      <c r="L209" s="119" t="n"/>
      <c r="M209" s="119" t="n"/>
      <c r="N209" s="119" t="n"/>
      <c r="O209" s="119" t="n"/>
      <c r="P209" s="119" t="n"/>
      <c r="Q209" s="119" t="n"/>
      <c r="R209" s="119" t="n"/>
      <c r="S209" s="119" t="n"/>
      <c r="T209" s="119" t="n"/>
      <c r="U209" s="119" t="n"/>
      <c r="V209" s="119" t="n"/>
    </row>
    <row r="210" ht="16.5" customFormat="1" customHeight="1" s="56">
      <c r="A210" s="119" t="n"/>
      <c r="B210" s="119" t="n"/>
      <c r="C210" s="119" t="n"/>
      <c r="D210" s="119" t="n"/>
      <c r="E210" s="119" t="n"/>
      <c r="F210" s="119" t="n"/>
      <c r="G210" s="119" t="n"/>
      <c r="H210" s="119" t="n"/>
      <c r="I210" s="119" t="n"/>
      <c r="J210" s="119" t="n"/>
      <c r="K210" s="119" t="n"/>
      <c r="L210" s="119" t="n"/>
      <c r="M210" s="119" t="n"/>
      <c r="N210" s="119" t="n"/>
      <c r="O210" s="119" t="n"/>
      <c r="P210" s="119" t="n"/>
      <c r="Q210" s="119" t="n"/>
      <c r="R210" s="119" t="n"/>
      <c r="S210" s="119" t="n"/>
      <c r="T210" s="119" t="n"/>
      <c r="U210" s="119" t="n"/>
      <c r="V210" s="119" t="n"/>
    </row>
    <row r="211" ht="16.5" customFormat="1" customHeight="1" s="56">
      <c r="A211" s="119" t="n"/>
      <c r="B211" s="119" t="n"/>
      <c r="C211" s="119" t="n"/>
      <c r="D211" s="119" t="n"/>
      <c r="E211" s="119" t="n"/>
      <c r="F211" s="119" t="n"/>
      <c r="G211" s="119" t="n"/>
      <c r="H211" s="119" t="n"/>
      <c r="I211" s="119" t="n"/>
      <c r="J211" s="119" t="n"/>
      <c r="K211" s="119" t="n"/>
      <c r="L211" s="119" t="n"/>
      <c r="M211" s="119" t="n"/>
      <c r="N211" s="119" t="n"/>
      <c r="O211" s="119" t="n"/>
      <c r="P211" s="119" t="n"/>
      <c r="Q211" s="119" t="n"/>
      <c r="R211" s="119" t="n"/>
      <c r="S211" s="119" t="n"/>
      <c r="T211" s="119" t="n"/>
      <c r="U211" s="119" t="n"/>
      <c r="V211" s="119" t="n"/>
    </row>
    <row r="212" ht="16.5" customFormat="1" customHeight="1" s="56">
      <c r="A212" s="119" t="n"/>
      <c r="B212" s="119" t="n"/>
      <c r="C212" s="119" t="n"/>
      <c r="D212" s="119" t="n"/>
      <c r="E212" s="119" t="n"/>
      <c r="F212" s="119" t="n"/>
      <c r="G212" s="119" t="n"/>
      <c r="H212" s="119" t="n"/>
      <c r="I212" s="119" t="n"/>
      <c r="J212" s="119" t="n"/>
      <c r="K212" s="119" t="n"/>
      <c r="L212" s="119" t="n"/>
      <c r="M212" s="119" t="n"/>
      <c r="N212" s="119" t="n"/>
      <c r="O212" s="119" t="n"/>
      <c r="P212" s="119" t="n"/>
      <c r="Q212" s="119" t="n"/>
      <c r="R212" s="119" t="n"/>
      <c r="S212" s="119" t="n"/>
      <c r="T212" s="119" t="n"/>
      <c r="U212" s="119" t="n"/>
      <c r="V212" s="119" t="n"/>
    </row>
    <row r="213" ht="16.5" customFormat="1" customHeight="1" s="56">
      <c r="A213" s="119" t="n"/>
      <c r="B213" s="119" t="n"/>
      <c r="C213" s="119" t="n"/>
      <c r="D213" s="119" t="n"/>
      <c r="E213" s="119" t="n"/>
      <c r="F213" s="119" t="n"/>
      <c r="G213" s="119" t="n"/>
      <c r="H213" s="119" t="n"/>
      <c r="I213" s="119" t="n"/>
      <c r="J213" s="119" t="n"/>
      <c r="K213" s="119" t="n"/>
      <c r="L213" s="119" t="n"/>
      <c r="M213" s="119" t="n"/>
      <c r="N213" s="119" t="n"/>
      <c r="O213" s="119" t="n"/>
      <c r="P213" s="119" t="n"/>
      <c r="Q213" s="119" t="n"/>
      <c r="R213" s="119" t="n"/>
      <c r="S213" s="119" t="n"/>
      <c r="T213" s="119" t="n"/>
      <c r="U213" s="119" t="n"/>
      <c r="V213" s="119" t="n"/>
    </row>
    <row r="214" ht="16.5" customFormat="1" customHeight="1" s="56">
      <c r="A214" s="119" t="n"/>
      <c r="B214" s="119" t="n"/>
      <c r="C214" s="119" t="n"/>
      <c r="D214" s="119" t="n"/>
      <c r="E214" s="119" t="n"/>
      <c r="F214" s="119" t="n"/>
      <c r="G214" s="119" t="n"/>
      <c r="H214" s="119" t="n"/>
      <c r="I214" s="119" t="n"/>
      <c r="J214" s="119" t="n"/>
      <c r="K214" s="119" t="n"/>
      <c r="L214" s="119" t="n"/>
      <c r="M214" s="119" t="n"/>
      <c r="N214" s="119" t="n"/>
      <c r="O214" s="119" t="n"/>
      <c r="P214" s="119" t="n"/>
      <c r="Q214" s="119" t="n"/>
      <c r="R214" s="119" t="n"/>
      <c r="S214" s="119" t="n"/>
      <c r="T214" s="119" t="n"/>
      <c r="U214" s="119" t="n"/>
      <c r="V214" s="119" t="n"/>
    </row>
    <row r="215" ht="16.5" customFormat="1" customHeight="1" s="56">
      <c r="A215" s="119" t="n"/>
      <c r="B215" s="119" t="n"/>
      <c r="C215" s="119" t="n"/>
      <c r="D215" s="119" t="n"/>
      <c r="E215" s="119" t="n"/>
      <c r="F215" s="119" t="n"/>
      <c r="G215" s="119" t="n"/>
      <c r="H215" s="119" t="n"/>
      <c r="I215" s="119" t="n"/>
      <c r="J215" s="119" t="n"/>
      <c r="K215" s="119" t="n"/>
      <c r="L215" s="119" t="n"/>
      <c r="M215" s="119" t="n"/>
      <c r="N215" s="119" t="n"/>
      <c r="O215" s="119" t="n"/>
      <c r="P215" s="119" t="n"/>
      <c r="Q215" s="119" t="n"/>
      <c r="R215" s="119" t="n"/>
      <c r="S215" s="119" t="n"/>
      <c r="T215" s="119" t="n"/>
      <c r="U215" s="119" t="n"/>
      <c r="V215" s="119" t="n"/>
    </row>
    <row r="216" ht="16.5" customFormat="1" customHeight="1" s="56">
      <c r="A216" s="119" t="n"/>
      <c r="B216" s="119" t="n"/>
      <c r="C216" s="119" t="n"/>
      <c r="D216" s="119" t="n"/>
      <c r="E216" s="119" t="n"/>
      <c r="F216" s="119" t="n"/>
      <c r="G216" s="119" t="n"/>
      <c r="H216" s="119" t="n"/>
      <c r="I216" s="119" t="n"/>
      <c r="J216" s="119" t="n"/>
      <c r="K216" s="119" t="n"/>
      <c r="L216" s="119" t="n"/>
      <c r="M216" s="119" t="n"/>
      <c r="N216" s="119" t="n"/>
      <c r="O216" s="119" t="n"/>
      <c r="P216" s="119" t="n"/>
      <c r="Q216" s="119" t="n"/>
      <c r="R216" s="119" t="n"/>
      <c r="S216" s="119" t="n"/>
      <c r="T216" s="119" t="n"/>
      <c r="U216" s="119" t="n"/>
      <c r="V216" s="119" t="n"/>
    </row>
    <row r="217" ht="16.5" customFormat="1" customHeight="1" s="56">
      <c r="A217" s="119" t="n"/>
      <c r="B217" s="119" t="n"/>
      <c r="C217" s="119" t="n"/>
      <c r="D217" s="119" t="n"/>
      <c r="E217" s="119" t="n"/>
      <c r="F217" s="119" t="n"/>
      <c r="G217" s="119" t="n"/>
      <c r="H217" s="119" t="n"/>
      <c r="I217" s="119" t="n"/>
      <c r="J217" s="119" t="n"/>
      <c r="K217" s="119" t="n"/>
      <c r="L217" s="119" t="n"/>
      <c r="M217" s="119" t="n"/>
      <c r="N217" s="119" t="n"/>
      <c r="O217" s="119" t="n"/>
      <c r="P217" s="119" t="n"/>
      <c r="Q217" s="119" t="n"/>
      <c r="R217" s="119" t="n"/>
      <c r="S217" s="119" t="n"/>
      <c r="T217" s="119" t="n"/>
      <c r="U217" s="119" t="n"/>
      <c r="V217" s="119" t="n"/>
    </row>
    <row r="218" ht="16.5" customFormat="1" customHeight="1" s="56">
      <c r="A218" s="119" t="n"/>
      <c r="B218" s="119" t="n"/>
      <c r="C218" s="119" t="n"/>
      <c r="D218" s="119" t="n"/>
      <c r="E218" s="119" t="n"/>
      <c r="F218" s="119" t="n"/>
      <c r="G218" s="119" t="n"/>
      <c r="H218" s="119" t="n"/>
      <c r="I218" s="119" t="n"/>
      <c r="J218" s="119" t="n"/>
      <c r="K218" s="119" t="n"/>
      <c r="L218" s="119" t="n"/>
      <c r="M218" s="119" t="n"/>
      <c r="N218" s="119" t="n"/>
      <c r="O218" s="119" t="n"/>
      <c r="P218" s="119" t="n"/>
      <c r="Q218" s="119" t="n"/>
      <c r="R218" s="119" t="n"/>
      <c r="S218" s="119" t="n"/>
      <c r="T218" s="119" t="n"/>
      <c r="U218" s="119" t="n"/>
      <c r="V218" s="119" t="n"/>
    </row>
    <row r="219" ht="16.5" customFormat="1" customHeight="1" s="56">
      <c r="A219" s="119" t="n"/>
      <c r="B219" s="119" t="n"/>
      <c r="C219" s="119" t="n"/>
      <c r="D219" s="119" t="n"/>
      <c r="E219" s="119" t="n"/>
      <c r="F219" s="119" t="n"/>
      <c r="G219" s="119" t="n"/>
      <c r="H219" s="119" t="n"/>
      <c r="I219" s="119" t="n"/>
      <c r="J219" s="119" t="n"/>
      <c r="K219" s="119" t="n"/>
      <c r="L219" s="119" t="n"/>
      <c r="M219" s="119" t="n"/>
      <c r="N219" s="119" t="n"/>
      <c r="O219" s="119" t="n"/>
      <c r="P219" s="119" t="n"/>
      <c r="Q219" s="119" t="n"/>
      <c r="R219" s="119" t="n"/>
      <c r="S219" s="119" t="n"/>
      <c r="T219" s="119" t="n"/>
      <c r="U219" s="119" t="n"/>
      <c r="V219" s="119" t="n"/>
    </row>
    <row r="220" ht="16.5" customFormat="1" customHeight="1" s="56">
      <c r="A220" s="119" t="n"/>
      <c r="B220" s="119" t="n"/>
      <c r="C220" s="119" t="n"/>
      <c r="D220" s="119" t="n"/>
      <c r="E220" s="119" t="n"/>
      <c r="F220" s="119" t="n"/>
      <c r="G220" s="119" t="n"/>
      <c r="H220" s="119" t="n"/>
      <c r="I220" s="119" t="n"/>
      <c r="J220" s="119" t="n"/>
      <c r="K220" s="119" t="n"/>
      <c r="L220" s="119" t="n"/>
      <c r="M220" s="119" t="n"/>
      <c r="N220" s="119" t="n"/>
      <c r="O220" s="119" t="n"/>
      <c r="P220" s="119" t="n"/>
      <c r="Q220" s="119" t="n"/>
      <c r="R220" s="119" t="n"/>
      <c r="S220" s="119" t="n"/>
      <c r="T220" s="119" t="n"/>
      <c r="U220" s="119" t="n"/>
      <c r="V220" s="119" t="n"/>
    </row>
    <row r="221" ht="16.5" customFormat="1" customHeight="1" s="56">
      <c r="A221" s="119" t="n"/>
      <c r="B221" s="119" t="n"/>
      <c r="C221" s="119" t="n"/>
      <c r="D221" s="119" t="n"/>
      <c r="E221" s="119" t="n"/>
      <c r="F221" s="119" t="n"/>
      <c r="G221" s="119" t="n"/>
      <c r="H221" s="119" t="n"/>
      <c r="I221" s="119" t="n"/>
      <c r="J221" s="119" t="n"/>
      <c r="K221" s="119" t="n"/>
      <c r="L221" s="119" t="n"/>
      <c r="M221" s="119" t="n"/>
      <c r="N221" s="119" t="n"/>
      <c r="O221" s="119" t="n"/>
      <c r="P221" s="119" t="n"/>
      <c r="Q221" s="119" t="n"/>
      <c r="R221" s="119" t="n"/>
      <c r="S221" s="119" t="n"/>
      <c r="T221" s="119" t="n"/>
      <c r="U221" s="119" t="n"/>
      <c r="V221" s="119" t="n"/>
    </row>
    <row r="222" ht="16.5" customFormat="1" customHeight="1" s="56">
      <c r="A222" s="119" t="n"/>
      <c r="B222" s="119" t="n"/>
      <c r="C222" s="119" t="n"/>
      <c r="D222" s="119" t="n"/>
      <c r="E222" s="119" t="n"/>
      <c r="F222" s="119" t="n"/>
      <c r="G222" s="119" t="n"/>
      <c r="H222" s="119" t="n"/>
      <c r="I222" s="119" t="n"/>
      <c r="J222" s="119" t="n"/>
      <c r="K222" s="119" t="n"/>
      <c r="L222" s="119" t="n"/>
      <c r="M222" s="119" t="n"/>
      <c r="N222" s="119" t="n"/>
      <c r="O222" s="119" t="n"/>
      <c r="P222" s="119" t="n"/>
      <c r="Q222" s="119" t="n"/>
      <c r="R222" s="119" t="n"/>
      <c r="S222" s="119" t="n"/>
      <c r="T222" s="119" t="n"/>
      <c r="U222" s="119" t="n"/>
      <c r="V222" s="119" t="n"/>
    </row>
    <row r="223" ht="16.5" customFormat="1" customHeight="1" s="56">
      <c r="A223" s="119" t="n"/>
      <c r="B223" s="119" t="n"/>
      <c r="C223" s="119" t="n"/>
      <c r="D223" s="119" t="n"/>
      <c r="E223" s="119" t="n"/>
      <c r="F223" s="119" t="n"/>
      <c r="G223" s="119" t="n"/>
      <c r="H223" s="119" t="n"/>
      <c r="I223" s="119" t="n"/>
      <c r="J223" s="119" t="n"/>
      <c r="K223" s="119" t="n"/>
      <c r="L223" s="119" t="n"/>
      <c r="M223" s="119" t="n"/>
      <c r="N223" s="119" t="n"/>
      <c r="O223" s="119" t="n"/>
      <c r="P223" s="119" t="n"/>
      <c r="Q223" s="119" t="n"/>
      <c r="R223" s="119" t="n"/>
      <c r="S223" s="119" t="n"/>
      <c r="T223" s="119" t="n"/>
      <c r="U223" s="119" t="n"/>
      <c r="V223" s="119" t="n"/>
    </row>
    <row r="224" ht="16.5" customFormat="1" customHeight="1" s="56">
      <c r="A224" s="119" t="n"/>
      <c r="B224" s="119" t="n"/>
      <c r="C224" s="119" t="n"/>
      <c r="D224" s="119" t="n"/>
      <c r="E224" s="119" t="n"/>
      <c r="F224" s="119" t="n"/>
      <c r="G224" s="119" t="n"/>
      <c r="H224" s="119" t="n"/>
      <c r="I224" s="119" t="n"/>
      <c r="J224" s="119" t="n"/>
      <c r="K224" s="119" t="n"/>
      <c r="L224" s="119" t="n"/>
      <c r="M224" s="119" t="n"/>
      <c r="N224" s="119" t="n"/>
      <c r="O224" s="119" t="n"/>
      <c r="P224" s="119" t="n"/>
      <c r="Q224" s="119" t="n"/>
      <c r="R224" s="119" t="n"/>
      <c r="S224" s="119" t="n"/>
      <c r="T224" s="119" t="n"/>
      <c r="U224" s="119" t="n"/>
      <c r="V224" s="119" t="n"/>
    </row>
    <row r="225" ht="16.5" customFormat="1" customHeight="1" s="56">
      <c r="A225" s="119" t="n"/>
      <c r="B225" s="119" t="n"/>
      <c r="C225" s="119" t="n"/>
      <c r="D225" s="119" t="n"/>
      <c r="E225" s="119" t="n"/>
      <c r="F225" s="119" t="n"/>
      <c r="G225" s="119" t="n"/>
      <c r="H225" s="119" t="n"/>
      <c r="I225" s="119" t="n"/>
      <c r="J225" s="119" t="n"/>
      <c r="K225" s="119" t="n"/>
      <c r="L225" s="119" t="n"/>
      <c r="M225" s="119" t="n"/>
      <c r="N225" s="119" t="n"/>
      <c r="O225" s="119" t="n"/>
      <c r="P225" s="119" t="n"/>
      <c r="Q225" s="119" t="n"/>
      <c r="R225" s="119" t="n"/>
      <c r="S225" s="119" t="n"/>
      <c r="T225" s="119" t="n"/>
      <c r="U225" s="119" t="n"/>
      <c r="V225" s="119" t="n"/>
    </row>
    <row r="226" ht="16.5" customFormat="1" customHeight="1" s="56">
      <c r="A226" s="119" t="n"/>
      <c r="B226" s="119" t="n"/>
      <c r="C226" s="119" t="n"/>
      <c r="D226" s="119" t="n"/>
      <c r="E226" s="119" t="n"/>
      <c r="F226" s="119" t="n"/>
      <c r="G226" s="119" t="n"/>
      <c r="H226" s="119" t="n"/>
      <c r="I226" s="119" t="n"/>
      <c r="J226" s="119" t="n"/>
      <c r="K226" s="119" t="n"/>
      <c r="L226" s="119" t="n"/>
      <c r="M226" s="119" t="n"/>
      <c r="N226" s="119" t="n"/>
      <c r="O226" s="119" t="n"/>
      <c r="P226" s="119" t="n"/>
      <c r="Q226" s="119" t="n"/>
      <c r="R226" s="119" t="n"/>
      <c r="S226" s="119" t="n"/>
      <c r="T226" s="119" t="n"/>
      <c r="U226" s="119" t="n"/>
      <c r="V226" s="119" t="n"/>
    </row>
    <row r="227" ht="16.5" customFormat="1" customHeight="1" s="56">
      <c r="A227" s="119" t="n"/>
      <c r="B227" s="119" t="n"/>
      <c r="C227" s="119" t="n"/>
      <c r="D227" s="119" t="n"/>
      <c r="E227" s="119" t="n"/>
      <c r="F227" s="119" t="n"/>
      <c r="G227" s="119" t="n"/>
      <c r="H227" s="119" t="n"/>
      <c r="I227" s="119" t="n"/>
      <c r="J227" s="119" t="n"/>
      <c r="K227" s="119" t="n"/>
      <c r="L227" s="119" t="n"/>
      <c r="M227" s="119" t="n"/>
      <c r="N227" s="119" t="n"/>
      <c r="O227" s="119" t="n"/>
      <c r="P227" s="119" t="n"/>
      <c r="Q227" s="119" t="n"/>
      <c r="R227" s="119" t="n"/>
      <c r="S227" s="119" t="n"/>
      <c r="T227" s="119" t="n"/>
      <c r="U227" s="119" t="n"/>
      <c r="V227" s="119" t="n"/>
    </row>
    <row r="228" ht="16.5" customFormat="1" customHeight="1" s="56">
      <c r="A228" s="119" t="n"/>
      <c r="B228" s="119" t="n"/>
      <c r="C228" s="119" t="n"/>
      <c r="D228" s="119" t="n"/>
      <c r="E228" s="119" t="n"/>
      <c r="F228" s="119" t="n"/>
      <c r="G228" s="119" t="n"/>
      <c r="H228" s="119" t="n"/>
      <c r="I228" s="119" t="n"/>
      <c r="J228" s="119" t="n"/>
      <c r="K228" s="119" t="n"/>
      <c r="L228" s="119" t="n"/>
      <c r="M228" s="119" t="n"/>
      <c r="N228" s="119" t="n"/>
      <c r="O228" s="119" t="n"/>
      <c r="P228" s="119" t="n"/>
      <c r="Q228" s="119" t="n"/>
      <c r="R228" s="119" t="n"/>
      <c r="S228" s="119" t="n"/>
      <c r="T228" s="119" t="n"/>
      <c r="U228" s="119" t="n"/>
      <c r="V228" s="119" t="n"/>
    </row>
    <row r="229" ht="16.5" customFormat="1" customHeight="1" s="56">
      <c r="A229" s="119" t="n"/>
      <c r="B229" s="119" t="n"/>
      <c r="C229" s="119" t="n"/>
      <c r="D229" s="119" t="n"/>
      <c r="E229" s="119" t="n"/>
      <c r="F229" s="119" t="n"/>
      <c r="G229" s="119" t="n"/>
      <c r="H229" s="119" t="n"/>
      <c r="I229" s="119" t="n"/>
      <c r="J229" s="119" t="n"/>
      <c r="K229" s="119" t="n"/>
      <c r="L229" s="119" t="n"/>
      <c r="M229" s="119" t="n"/>
      <c r="N229" s="119" t="n"/>
      <c r="O229" s="119" t="n"/>
      <c r="P229" s="119" t="n"/>
      <c r="Q229" s="119" t="n"/>
      <c r="R229" s="119" t="n"/>
      <c r="S229" s="119" t="n"/>
      <c r="T229" s="119" t="n"/>
      <c r="U229" s="119" t="n"/>
      <c r="V229" s="119" t="n"/>
    </row>
    <row r="230" ht="16.5" customFormat="1" customHeight="1" s="56">
      <c r="A230" s="119" t="n"/>
      <c r="B230" s="119" t="n"/>
      <c r="C230" s="119" t="n"/>
      <c r="D230" s="119" t="n"/>
      <c r="E230" s="119" t="n"/>
      <c r="F230" s="119" t="n"/>
      <c r="G230" s="119" t="n"/>
      <c r="H230" s="119" t="n"/>
      <c r="I230" s="119" t="n"/>
      <c r="J230" s="119" t="n"/>
      <c r="K230" s="119" t="n"/>
      <c r="L230" s="119" t="n"/>
      <c r="M230" s="119" t="n"/>
      <c r="N230" s="119" t="n"/>
      <c r="O230" s="119" t="n"/>
      <c r="P230" s="119" t="n"/>
      <c r="Q230" s="119" t="n"/>
      <c r="R230" s="119" t="n"/>
      <c r="S230" s="119" t="n"/>
      <c r="T230" s="119" t="n"/>
      <c r="U230" s="119" t="n"/>
      <c r="V230" s="119" t="n"/>
    </row>
    <row r="231" ht="16.5" customFormat="1" customHeight="1" s="56">
      <c r="A231" s="119" t="n"/>
      <c r="B231" s="119" t="n"/>
      <c r="C231" s="119" t="n"/>
      <c r="D231" s="119" t="n"/>
      <c r="E231" s="119" t="n"/>
      <c r="F231" s="119" t="n"/>
      <c r="G231" s="119" t="n"/>
      <c r="H231" s="119" t="n"/>
      <c r="I231" s="119" t="n"/>
      <c r="J231" s="119" t="n"/>
      <c r="K231" s="119" t="n"/>
      <c r="L231" s="119" t="n"/>
      <c r="M231" s="119" t="n"/>
      <c r="N231" s="119" t="n"/>
      <c r="O231" s="119" t="n"/>
      <c r="P231" s="119" t="n"/>
      <c r="Q231" s="119" t="n"/>
      <c r="R231" s="119" t="n"/>
      <c r="S231" s="119" t="n"/>
      <c r="T231" s="119" t="n"/>
      <c r="U231" s="119" t="n"/>
      <c r="V231" s="119" t="n"/>
    </row>
    <row r="232" ht="16.5" customFormat="1" customHeight="1" s="56">
      <c r="A232" s="119" t="n"/>
      <c r="B232" s="119" t="n"/>
      <c r="C232" s="119" t="n"/>
      <c r="D232" s="119" t="n"/>
      <c r="E232" s="119" t="n"/>
      <c r="F232" s="119" t="n"/>
      <c r="G232" s="119" t="n"/>
      <c r="H232" s="119" t="n"/>
      <c r="I232" s="119" t="n"/>
      <c r="J232" s="119" t="n"/>
      <c r="K232" s="119" t="n"/>
      <c r="L232" s="119" t="n"/>
      <c r="M232" s="119" t="n"/>
      <c r="N232" s="119" t="n"/>
      <c r="O232" s="119" t="n"/>
      <c r="P232" s="119" t="n"/>
      <c r="Q232" s="119" t="n"/>
      <c r="R232" s="119" t="n"/>
      <c r="S232" s="119" t="n"/>
      <c r="T232" s="119" t="n"/>
      <c r="U232" s="119" t="n"/>
      <c r="V232" s="119" t="n"/>
    </row>
    <row r="233" ht="16.5" customFormat="1" customHeight="1" s="56">
      <c r="A233" s="119" t="n"/>
      <c r="B233" s="119" t="n"/>
      <c r="C233" s="119" t="n"/>
      <c r="D233" s="119" t="n"/>
      <c r="E233" s="119" t="n"/>
      <c r="F233" s="119" t="n"/>
      <c r="G233" s="119" t="n"/>
      <c r="H233" s="119" t="n"/>
      <c r="I233" s="119" t="n"/>
      <c r="J233" s="119" t="n"/>
      <c r="K233" s="119" t="n"/>
      <c r="L233" s="119" t="n"/>
      <c r="M233" s="119" t="n"/>
      <c r="N233" s="119" t="n"/>
      <c r="O233" s="119" t="n"/>
      <c r="P233" s="119" t="n"/>
      <c r="Q233" s="119" t="n"/>
      <c r="R233" s="119" t="n"/>
      <c r="S233" s="119" t="n"/>
      <c r="T233" s="119" t="n"/>
      <c r="U233" s="119" t="n"/>
      <c r="V233" s="119" t="n"/>
    </row>
    <row r="234" ht="16.5" customFormat="1" customHeight="1" s="56">
      <c r="A234" s="119" t="n"/>
      <c r="B234" s="119" t="n"/>
      <c r="C234" s="119" t="n"/>
      <c r="D234" s="119" t="n"/>
      <c r="E234" s="119" t="n"/>
      <c r="F234" s="119" t="n"/>
      <c r="G234" s="119" t="n"/>
      <c r="H234" s="119" t="n"/>
      <c r="I234" s="119" t="n"/>
      <c r="J234" s="119" t="n"/>
      <c r="K234" s="119" t="n"/>
      <c r="L234" s="119" t="n"/>
      <c r="M234" s="119" t="n"/>
      <c r="N234" s="119" t="n"/>
      <c r="O234" s="119" t="n"/>
      <c r="P234" s="119" t="n"/>
      <c r="Q234" s="119" t="n"/>
      <c r="R234" s="119" t="n"/>
      <c r="S234" s="119" t="n"/>
      <c r="T234" s="119" t="n"/>
      <c r="U234" s="119" t="n"/>
      <c r="V234" s="119" t="n"/>
    </row>
    <row r="235" ht="16.5" customFormat="1" customHeight="1" s="56">
      <c r="A235" s="119" t="n"/>
      <c r="B235" s="119" t="n"/>
      <c r="C235" s="119" t="n"/>
      <c r="D235" s="119" t="n"/>
      <c r="E235" s="119" t="n"/>
      <c r="F235" s="119" t="n"/>
      <c r="G235" s="119" t="n"/>
      <c r="H235" s="119" t="n"/>
      <c r="I235" s="119" t="n"/>
      <c r="J235" s="119" t="n"/>
      <c r="K235" s="119" t="n"/>
      <c r="L235" s="119" t="n"/>
      <c r="M235" s="119" t="n"/>
      <c r="N235" s="119" t="n"/>
      <c r="O235" s="119" t="n"/>
      <c r="P235" s="119" t="n"/>
      <c r="Q235" s="119" t="n"/>
      <c r="R235" s="119" t="n"/>
      <c r="S235" s="119" t="n"/>
      <c r="T235" s="119" t="n"/>
      <c r="U235" s="119" t="n"/>
      <c r="V235" s="119" t="n"/>
    </row>
    <row r="236" ht="16.5" customFormat="1" customHeight="1" s="56">
      <c r="A236" s="119" t="n"/>
      <c r="B236" s="119" t="n"/>
      <c r="C236" s="119" t="n"/>
      <c r="D236" s="119" t="n"/>
      <c r="E236" s="119" t="n"/>
      <c r="F236" s="119" t="n"/>
      <c r="G236" s="119" t="n"/>
      <c r="H236" s="119" t="n"/>
      <c r="I236" s="119" t="n"/>
      <c r="J236" s="119" t="n"/>
      <c r="K236" s="119" t="n"/>
      <c r="L236" s="119" t="n"/>
      <c r="M236" s="119" t="n"/>
      <c r="N236" s="119" t="n"/>
      <c r="O236" s="119" t="n"/>
      <c r="P236" s="119" t="n"/>
      <c r="Q236" s="119" t="n"/>
      <c r="R236" s="119" t="n"/>
      <c r="S236" s="119" t="n"/>
      <c r="T236" s="119" t="n"/>
      <c r="U236" s="119" t="n"/>
      <c r="V236" s="119" t="n"/>
    </row>
    <row r="237" ht="16.5" customFormat="1" customHeight="1" s="56">
      <c r="A237" s="119" t="n"/>
      <c r="B237" s="119" t="n"/>
      <c r="C237" s="119" t="n"/>
      <c r="D237" s="119" t="n"/>
      <c r="E237" s="119" t="n"/>
      <c r="F237" s="119" t="n"/>
      <c r="G237" s="119" t="n"/>
      <c r="H237" s="119" t="n"/>
      <c r="I237" s="119" t="n"/>
      <c r="J237" s="119" t="n"/>
      <c r="K237" s="119" t="n"/>
      <c r="L237" s="119" t="n"/>
      <c r="M237" s="119" t="n"/>
      <c r="N237" s="119" t="n"/>
      <c r="O237" s="119" t="n"/>
      <c r="P237" s="119" t="n"/>
      <c r="Q237" s="119" t="n"/>
      <c r="R237" s="119" t="n"/>
      <c r="S237" s="119" t="n"/>
      <c r="T237" s="119" t="n"/>
      <c r="U237" s="119" t="n"/>
      <c r="V237" s="119" t="n"/>
    </row>
    <row r="238" ht="16.5" customFormat="1" customHeight="1" s="56">
      <c r="A238" s="119" t="n"/>
      <c r="B238" s="119" t="n"/>
      <c r="C238" s="119" t="n"/>
      <c r="D238" s="119" t="n"/>
      <c r="E238" s="119" t="n"/>
      <c r="F238" s="119" t="n"/>
      <c r="G238" s="119" t="n"/>
      <c r="H238" s="119" t="n"/>
      <c r="I238" s="119" t="n"/>
      <c r="J238" s="119" t="n"/>
      <c r="K238" s="119" t="n"/>
      <c r="L238" s="119" t="n"/>
      <c r="M238" s="119" t="n"/>
      <c r="N238" s="119" t="n"/>
      <c r="O238" s="119" t="n"/>
      <c r="P238" s="119" t="n"/>
      <c r="Q238" s="119" t="n"/>
      <c r="R238" s="119" t="n"/>
      <c r="S238" s="119" t="n"/>
      <c r="T238" s="119" t="n"/>
      <c r="U238" s="119" t="n"/>
      <c r="V238" s="119" t="n"/>
    </row>
    <row r="239" ht="16.5" customFormat="1" customHeight="1" s="56">
      <c r="A239" s="119" t="n"/>
      <c r="B239" s="119" t="n"/>
      <c r="C239" s="119" t="n"/>
      <c r="D239" s="119" t="n"/>
      <c r="E239" s="119" t="n"/>
      <c r="F239" s="119" t="n"/>
      <c r="G239" s="119" t="n"/>
      <c r="H239" s="119" t="n"/>
      <c r="I239" s="119" t="n"/>
      <c r="J239" s="119" t="n"/>
      <c r="K239" s="119" t="n"/>
      <c r="L239" s="119" t="n"/>
      <c r="M239" s="119" t="n"/>
      <c r="N239" s="119" t="n"/>
      <c r="O239" s="119" t="n"/>
      <c r="P239" s="119" t="n"/>
      <c r="Q239" s="119" t="n"/>
      <c r="R239" s="119" t="n"/>
      <c r="S239" s="119" t="n"/>
      <c r="T239" s="119" t="n"/>
      <c r="U239" s="119" t="n"/>
      <c r="V239" s="119" t="n"/>
    </row>
    <row r="240" ht="16.5" customFormat="1" customHeight="1" s="56">
      <c r="A240" s="119" t="n"/>
      <c r="B240" s="119" t="n"/>
      <c r="C240" s="119" t="n"/>
      <c r="D240" s="119" t="n"/>
      <c r="E240" s="119" t="n"/>
      <c r="F240" s="119" t="n"/>
      <c r="G240" s="119" t="n"/>
      <c r="H240" s="119" t="n"/>
      <c r="I240" s="119" t="n"/>
      <c r="J240" s="119" t="n"/>
      <c r="K240" s="119" t="n"/>
      <c r="L240" s="119" t="n"/>
      <c r="M240" s="119" t="n"/>
      <c r="N240" s="119" t="n"/>
      <c r="O240" s="119" t="n"/>
      <c r="P240" s="119" t="n"/>
      <c r="Q240" s="119" t="n"/>
      <c r="R240" s="119" t="n"/>
      <c r="S240" s="119" t="n"/>
      <c r="T240" s="119" t="n"/>
      <c r="U240" s="119" t="n"/>
      <c r="V240" s="119" t="n"/>
    </row>
    <row r="241" ht="16.5" customFormat="1" customHeight="1" s="56">
      <c r="A241" s="119" t="n"/>
      <c r="B241" s="119" t="n"/>
      <c r="C241" s="119" t="n"/>
      <c r="D241" s="119" t="n"/>
      <c r="E241" s="119" t="n"/>
      <c r="F241" s="119" t="n"/>
      <c r="G241" s="119" t="n"/>
      <c r="H241" s="119" t="n"/>
      <c r="I241" s="119" t="n"/>
      <c r="J241" s="119" t="n"/>
      <c r="K241" s="119" t="n"/>
      <c r="L241" s="119" t="n"/>
      <c r="M241" s="119" t="n"/>
      <c r="N241" s="119" t="n"/>
      <c r="O241" s="119" t="n"/>
      <c r="P241" s="119" t="n"/>
      <c r="Q241" s="119" t="n"/>
      <c r="R241" s="119" t="n"/>
      <c r="S241" s="119" t="n"/>
      <c r="T241" s="119" t="n"/>
      <c r="U241" s="119" t="n"/>
      <c r="V241" s="119" t="n"/>
    </row>
    <row r="242" ht="16.5" customFormat="1" customHeight="1" s="56">
      <c r="A242" s="119" t="n"/>
      <c r="B242" s="119" t="n"/>
      <c r="C242" s="119" t="n"/>
      <c r="D242" s="119" t="n"/>
      <c r="E242" s="119" t="n"/>
      <c r="F242" s="119" t="n"/>
      <c r="G242" s="119" t="n"/>
      <c r="H242" s="119" t="n"/>
      <c r="I242" s="119" t="n"/>
      <c r="J242" s="119" t="n"/>
      <c r="K242" s="119" t="n"/>
      <c r="L242" s="119" t="n"/>
      <c r="M242" s="119" t="n"/>
      <c r="N242" s="119" t="n"/>
      <c r="O242" s="119" t="n"/>
      <c r="P242" s="119" t="n"/>
      <c r="Q242" s="119" t="n"/>
      <c r="R242" s="119" t="n"/>
      <c r="S242" s="119" t="n"/>
      <c r="T242" s="119" t="n"/>
      <c r="U242" s="119" t="n"/>
      <c r="V242" s="119" t="n"/>
    </row>
    <row r="243" ht="16.5" customFormat="1" customHeight="1" s="56">
      <c r="A243" s="119" t="n"/>
      <c r="B243" s="119" t="n"/>
      <c r="C243" s="119" t="n"/>
      <c r="D243" s="119" t="n"/>
      <c r="E243" s="119" t="n"/>
      <c r="F243" s="119" t="n"/>
      <c r="G243" s="119" t="n"/>
      <c r="H243" s="119" t="n"/>
      <c r="I243" s="119" t="n"/>
      <c r="J243" s="119" t="n"/>
      <c r="K243" s="119" t="n"/>
      <c r="L243" s="119" t="n"/>
      <c r="M243" s="119" t="n"/>
      <c r="N243" s="119" t="n"/>
      <c r="O243" s="119" t="n"/>
      <c r="P243" s="119" t="n"/>
      <c r="Q243" s="119" t="n"/>
      <c r="R243" s="119" t="n"/>
      <c r="S243" s="119" t="n"/>
      <c r="T243" s="119" t="n"/>
      <c r="U243" s="119" t="n"/>
      <c r="V243" s="119" t="n"/>
    </row>
    <row r="244" ht="16.5" customFormat="1" customHeight="1" s="56">
      <c r="A244" s="119" t="n"/>
      <c r="B244" s="119" t="n"/>
      <c r="C244" s="119" t="n"/>
      <c r="D244" s="119" t="n"/>
      <c r="E244" s="119" t="n"/>
      <c r="F244" s="119" t="n"/>
      <c r="G244" s="119" t="n"/>
      <c r="H244" s="119" t="n"/>
      <c r="I244" s="119" t="n"/>
      <c r="J244" s="119" t="n"/>
      <c r="K244" s="119" t="n"/>
      <c r="L244" s="119" t="n"/>
      <c r="M244" s="119" t="n"/>
      <c r="N244" s="119" t="n"/>
      <c r="O244" s="119" t="n"/>
      <c r="P244" s="119" t="n"/>
      <c r="Q244" s="119" t="n"/>
      <c r="R244" s="119" t="n"/>
      <c r="S244" s="119" t="n"/>
      <c r="T244" s="119" t="n"/>
      <c r="U244" s="119" t="n"/>
      <c r="V244" s="119" t="n"/>
    </row>
    <row r="245" ht="16.5" customFormat="1" customHeight="1" s="56">
      <c r="A245" s="119" t="n"/>
      <c r="B245" s="119" t="n"/>
      <c r="C245" s="119" t="n"/>
      <c r="D245" s="119" t="n"/>
      <c r="E245" s="119" t="n"/>
      <c r="F245" s="119" t="n"/>
      <c r="G245" s="119" t="n"/>
      <c r="H245" s="119" t="n"/>
      <c r="I245" s="119" t="n"/>
      <c r="J245" s="119" t="n"/>
      <c r="K245" s="119" t="n"/>
      <c r="L245" s="119" t="n"/>
      <c r="M245" s="119" t="n"/>
      <c r="N245" s="119" t="n"/>
      <c r="O245" s="119" t="n"/>
      <c r="P245" s="119" t="n"/>
      <c r="Q245" s="119" t="n"/>
      <c r="R245" s="119" t="n"/>
      <c r="S245" s="119" t="n"/>
      <c r="T245" s="119" t="n"/>
      <c r="U245" s="119" t="n"/>
      <c r="V245" s="119" t="n"/>
    </row>
    <row r="246" ht="16.5" customFormat="1" customHeight="1" s="56">
      <c r="A246" s="119" t="n"/>
      <c r="B246" s="119" t="n"/>
      <c r="C246" s="119" t="n"/>
      <c r="D246" s="119" t="n"/>
      <c r="E246" s="119" t="n"/>
      <c r="F246" s="119" t="n"/>
      <c r="G246" s="119" t="n"/>
      <c r="H246" s="119" t="n"/>
      <c r="I246" s="119" t="n"/>
      <c r="J246" s="119" t="n"/>
      <c r="K246" s="119" t="n"/>
      <c r="L246" s="119" t="n"/>
      <c r="M246" s="119" t="n"/>
      <c r="N246" s="119" t="n"/>
      <c r="O246" s="119" t="n"/>
      <c r="P246" s="119" t="n"/>
      <c r="Q246" s="119" t="n"/>
      <c r="R246" s="119" t="n"/>
      <c r="S246" s="119" t="n"/>
      <c r="T246" s="119" t="n"/>
      <c r="U246" s="119" t="n"/>
      <c r="V246" s="119" t="n"/>
    </row>
    <row r="247" ht="16.5" customFormat="1" customHeight="1" s="56">
      <c r="A247" s="119" t="n"/>
      <c r="B247" s="119" t="n"/>
      <c r="C247" s="119" t="n"/>
      <c r="D247" s="119" t="n"/>
      <c r="E247" s="119" t="n"/>
      <c r="F247" s="119" t="n"/>
      <c r="G247" s="119" t="n"/>
      <c r="H247" s="119" t="n"/>
      <c r="I247" s="119" t="n"/>
      <c r="J247" s="119" t="n"/>
      <c r="K247" s="119" t="n"/>
      <c r="L247" s="119" t="n"/>
      <c r="M247" s="119" t="n"/>
      <c r="N247" s="119" t="n"/>
      <c r="O247" s="119" t="n"/>
      <c r="P247" s="119" t="n"/>
      <c r="Q247" s="119" t="n"/>
      <c r="R247" s="119" t="n"/>
      <c r="S247" s="119" t="n"/>
      <c r="T247" s="119" t="n"/>
      <c r="U247" s="119" t="n"/>
      <c r="V247" s="119" t="n"/>
    </row>
    <row r="248" ht="16.5" customFormat="1" customHeight="1" s="56">
      <c r="A248" s="119" t="n"/>
      <c r="B248" s="119" t="n"/>
      <c r="C248" s="119" t="n"/>
      <c r="D248" s="119" t="n"/>
      <c r="E248" s="119" t="n"/>
      <c r="F248" s="119" t="n"/>
      <c r="G248" s="119" t="n"/>
      <c r="H248" s="119" t="n"/>
      <c r="I248" s="119" t="n"/>
      <c r="J248" s="119" t="n"/>
      <c r="K248" s="119" t="n"/>
      <c r="L248" s="119" t="n"/>
      <c r="M248" s="119" t="n"/>
      <c r="N248" s="119" t="n"/>
      <c r="O248" s="119" t="n"/>
      <c r="P248" s="119" t="n"/>
      <c r="Q248" s="119" t="n"/>
      <c r="R248" s="119" t="n"/>
      <c r="S248" s="119" t="n"/>
      <c r="T248" s="119" t="n"/>
      <c r="U248" s="119" t="n"/>
      <c r="V248" s="119" t="n"/>
    </row>
    <row r="249" ht="16.5" customFormat="1" customHeight="1" s="56">
      <c r="A249" s="119" t="n"/>
      <c r="B249" s="119" t="n"/>
      <c r="C249" s="119" t="n"/>
      <c r="D249" s="119" t="n"/>
      <c r="E249" s="119" t="n"/>
      <c r="F249" s="119" t="n"/>
      <c r="G249" s="119" t="n"/>
      <c r="H249" s="119" t="n"/>
      <c r="I249" s="119" t="n"/>
      <c r="J249" s="119" t="n"/>
      <c r="K249" s="119" t="n"/>
      <c r="L249" s="119" t="n"/>
      <c r="M249" s="119" t="n"/>
      <c r="N249" s="119" t="n"/>
      <c r="O249" s="119" t="n"/>
      <c r="P249" s="119" t="n"/>
      <c r="Q249" s="119" t="n"/>
      <c r="R249" s="119" t="n"/>
      <c r="S249" s="119" t="n"/>
      <c r="T249" s="119" t="n"/>
      <c r="U249" s="119" t="n"/>
      <c r="V249" s="119" t="n"/>
    </row>
    <row r="250" ht="16.5" customFormat="1" customHeight="1" s="56">
      <c r="A250" s="119" t="n"/>
      <c r="B250" s="119" t="n"/>
      <c r="C250" s="119" t="n"/>
      <c r="D250" s="119" t="n"/>
      <c r="E250" s="119" t="n"/>
      <c r="F250" s="119" t="n"/>
      <c r="G250" s="119" t="n"/>
      <c r="H250" s="119" t="n"/>
      <c r="I250" s="119" t="n"/>
      <c r="J250" s="119" t="n"/>
      <c r="K250" s="119" t="n"/>
      <c r="L250" s="119" t="n"/>
      <c r="M250" s="119" t="n"/>
      <c r="N250" s="119" t="n"/>
      <c r="O250" s="119" t="n"/>
      <c r="P250" s="119" t="n"/>
      <c r="Q250" s="119" t="n"/>
      <c r="R250" s="119" t="n"/>
      <c r="S250" s="119" t="n"/>
      <c r="T250" s="119" t="n"/>
      <c r="U250" s="119" t="n"/>
      <c r="V250" s="119" t="n"/>
    </row>
    <row r="251" ht="16.5" customFormat="1" customHeight="1" s="56">
      <c r="A251" s="119" t="n"/>
      <c r="B251" s="119" t="n"/>
      <c r="C251" s="119" t="n"/>
      <c r="D251" s="119" t="n"/>
      <c r="E251" s="119" t="n"/>
      <c r="F251" s="119" t="n"/>
      <c r="G251" s="119" t="n"/>
      <c r="H251" s="119" t="n"/>
      <c r="I251" s="119" t="n"/>
      <c r="J251" s="119" t="n"/>
      <c r="K251" s="119" t="n"/>
      <c r="L251" s="119" t="n"/>
      <c r="M251" s="119" t="n"/>
      <c r="N251" s="119" t="n"/>
      <c r="O251" s="119" t="n"/>
      <c r="P251" s="119" t="n"/>
      <c r="Q251" s="119" t="n"/>
      <c r="R251" s="119" t="n"/>
      <c r="S251" s="119" t="n"/>
      <c r="T251" s="119" t="n"/>
      <c r="U251" s="119" t="n"/>
      <c r="V251" s="119" t="n"/>
    </row>
    <row r="252" ht="16.5" customFormat="1" customHeight="1" s="56">
      <c r="A252" s="119" t="n"/>
      <c r="B252" s="119" t="n"/>
      <c r="C252" s="119" t="n"/>
      <c r="D252" s="119" t="n"/>
      <c r="E252" s="119" t="n"/>
      <c r="F252" s="119" t="n"/>
      <c r="G252" s="119" t="n"/>
      <c r="H252" s="119" t="n"/>
      <c r="I252" s="119" t="n"/>
      <c r="J252" s="119" t="n"/>
      <c r="K252" s="119" t="n"/>
      <c r="L252" s="119" t="n"/>
      <c r="M252" s="119" t="n"/>
      <c r="N252" s="119" t="n"/>
      <c r="O252" s="119" t="n"/>
      <c r="P252" s="119" t="n"/>
      <c r="Q252" s="119" t="n"/>
      <c r="R252" s="119" t="n"/>
      <c r="S252" s="119" t="n"/>
      <c r="T252" s="119" t="n"/>
      <c r="U252" s="119" t="n"/>
      <c r="V252" s="119" t="n"/>
    </row>
    <row r="253" ht="16.5" customFormat="1" customHeight="1" s="56">
      <c r="A253" s="119" t="n"/>
      <c r="B253" s="119" t="n"/>
      <c r="C253" s="119" t="n"/>
      <c r="D253" s="119" t="n"/>
      <c r="E253" s="119" t="n"/>
      <c r="F253" s="119" t="n"/>
      <c r="G253" s="119" t="n"/>
      <c r="H253" s="119" t="n"/>
      <c r="I253" s="119" t="n"/>
      <c r="J253" s="119" t="n"/>
      <c r="K253" s="119" t="n"/>
      <c r="L253" s="119" t="n"/>
      <c r="M253" s="119" t="n"/>
      <c r="N253" s="119" t="n"/>
      <c r="O253" s="119" t="n"/>
      <c r="P253" s="119" t="n"/>
      <c r="Q253" s="119" t="n"/>
      <c r="R253" s="119" t="n"/>
      <c r="S253" s="119" t="n"/>
      <c r="T253" s="119" t="n"/>
      <c r="U253" s="119" t="n"/>
      <c r="V253" s="119" t="n"/>
    </row>
    <row r="254" ht="16.5" customFormat="1" customHeight="1" s="56">
      <c r="A254" s="119" t="n"/>
      <c r="B254" s="119" t="n"/>
      <c r="C254" s="119" t="n"/>
      <c r="D254" s="119" t="n"/>
      <c r="E254" s="119" t="n"/>
      <c r="F254" s="119" t="n"/>
      <c r="G254" s="119" t="n"/>
      <c r="H254" s="119" t="n"/>
      <c r="I254" s="119" t="n"/>
      <c r="J254" s="119" t="n"/>
      <c r="K254" s="119" t="n"/>
      <c r="L254" s="119" t="n"/>
      <c r="M254" s="119" t="n"/>
      <c r="N254" s="119" t="n"/>
      <c r="O254" s="119" t="n"/>
      <c r="P254" s="119" t="n"/>
      <c r="Q254" s="119" t="n"/>
      <c r="R254" s="119" t="n"/>
      <c r="S254" s="119" t="n"/>
      <c r="T254" s="119" t="n"/>
      <c r="U254" s="119" t="n"/>
      <c r="V254" s="119" t="n"/>
    </row>
    <row r="255" ht="16.5" customFormat="1" customHeight="1" s="56">
      <c r="A255" s="119" t="n"/>
      <c r="B255" s="119" t="n"/>
      <c r="C255" s="119" t="n"/>
      <c r="D255" s="119" t="n"/>
      <c r="E255" s="119" t="n"/>
      <c r="F255" s="119" t="n"/>
      <c r="G255" s="119" t="n"/>
      <c r="H255" s="119" t="n"/>
      <c r="I255" s="119" t="n"/>
      <c r="J255" s="119" t="n"/>
      <c r="K255" s="119" t="n"/>
      <c r="L255" s="119" t="n"/>
      <c r="M255" s="119" t="n"/>
      <c r="N255" s="119" t="n"/>
      <c r="O255" s="119" t="n"/>
      <c r="P255" s="119" t="n"/>
      <c r="Q255" s="119" t="n"/>
      <c r="R255" s="119" t="n"/>
      <c r="S255" s="119" t="n"/>
      <c r="T255" s="119" t="n"/>
      <c r="U255" s="119" t="n"/>
      <c r="V255" s="119" t="n"/>
    </row>
    <row r="256" ht="16.5" customFormat="1" customHeight="1" s="56">
      <c r="A256" s="119" t="n"/>
      <c r="B256" s="119" t="n"/>
      <c r="C256" s="119" t="n"/>
      <c r="D256" s="119" t="n"/>
      <c r="E256" s="119" t="n"/>
      <c r="F256" s="119" t="n"/>
      <c r="G256" s="119" t="n"/>
      <c r="H256" s="119" t="n"/>
      <c r="I256" s="119" t="n"/>
      <c r="J256" s="119" t="n"/>
      <c r="K256" s="119" t="n"/>
      <c r="L256" s="119" t="n"/>
      <c r="M256" s="119" t="n"/>
      <c r="N256" s="119" t="n"/>
      <c r="O256" s="119" t="n"/>
      <c r="P256" s="119" t="n"/>
      <c r="Q256" s="119" t="n"/>
      <c r="R256" s="119" t="n"/>
      <c r="S256" s="119" t="n"/>
      <c r="T256" s="119" t="n"/>
      <c r="U256" s="119" t="n"/>
      <c r="V256" s="119" t="n"/>
    </row>
    <row r="257" ht="16.5" customFormat="1" customHeight="1" s="56">
      <c r="A257" s="119" t="n"/>
      <c r="B257" s="119" t="n"/>
      <c r="C257" s="119" t="n"/>
      <c r="D257" s="119" t="n"/>
      <c r="E257" s="119" t="n"/>
      <c r="F257" s="119" t="n"/>
      <c r="G257" s="119" t="n"/>
      <c r="H257" s="119" t="n"/>
      <c r="I257" s="119" t="n"/>
      <c r="J257" s="119" t="n"/>
      <c r="K257" s="119" t="n"/>
      <c r="L257" s="119" t="n"/>
      <c r="M257" s="119" t="n"/>
      <c r="N257" s="119" t="n"/>
      <c r="O257" s="119" t="n"/>
      <c r="P257" s="119" t="n"/>
      <c r="Q257" s="119" t="n"/>
      <c r="R257" s="119" t="n"/>
      <c r="S257" s="119" t="n"/>
      <c r="T257" s="119" t="n"/>
      <c r="U257" s="119" t="n"/>
      <c r="V257" s="119" t="n"/>
    </row>
    <row r="258" ht="16.5" customFormat="1" customHeight="1" s="56">
      <c r="A258" s="119" t="n"/>
      <c r="B258" s="119" t="n"/>
      <c r="C258" s="119" t="n"/>
      <c r="D258" s="119" t="n"/>
      <c r="E258" s="119" t="n"/>
      <c r="F258" s="119" t="n"/>
      <c r="G258" s="119" t="n"/>
      <c r="H258" s="119" t="n"/>
      <c r="I258" s="119" t="n"/>
      <c r="J258" s="119" t="n"/>
      <c r="K258" s="119" t="n"/>
      <c r="L258" s="119" t="n"/>
      <c r="M258" s="119" t="n"/>
      <c r="N258" s="119" t="n"/>
      <c r="O258" s="119" t="n"/>
      <c r="P258" s="119" t="n"/>
      <c r="Q258" s="119" t="n"/>
      <c r="R258" s="119" t="n"/>
      <c r="S258" s="119" t="n"/>
      <c r="T258" s="119" t="n"/>
      <c r="U258" s="119" t="n"/>
      <c r="V258" s="119" t="n"/>
    </row>
    <row r="259" ht="16.5" customFormat="1" customHeight="1" s="56">
      <c r="A259" s="119" t="n"/>
      <c r="B259" s="119" t="n"/>
      <c r="C259" s="119" t="n"/>
      <c r="D259" s="119" t="n"/>
      <c r="E259" s="119" t="n"/>
      <c r="F259" s="119" t="n"/>
      <c r="G259" s="119" t="n"/>
      <c r="H259" s="119" t="n"/>
      <c r="I259" s="119" t="n"/>
      <c r="J259" s="119" t="n"/>
      <c r="K259" s="119" t="n"/>
      <c r="L259" s="119" t="n"/>
      <c r="M259" s="119" t="n"/>
      <c r="N259" s="119" t="n"/>
      <c r="O259" s="119" t="n"/>
      <c r="P259" s="119" t="n"/>
      <c r="Q259" s="119" t="n"/>
      <c r="R259" s="119" t="n"/>
      <c r="S259" s="119" t="n"/>
      <c r="T259" s="119" t="n"/>
      <c r="U259" s="119" t="n"/>
      <c r="V259" s="119" t="n"/>
    </row>
    <row r="260" ht="16.5" customFormat="1" customHeight="1" s="56">
      <c r="A260" s="119" t="n"/>
      <c r="B260" s="119" t="n"/>
      <c r="C260" s="119" t="n"/>
      <c r="D260" s="119" t="n"/>
      <c r="E260" s="119" t="n"/>
      <c r="F260" s="119" t="n"/>
      <c r="G260" s="119" t="n"/>
      <c r="H260" s="119" t="n"/>
      <c r="I260" s="119" t="n"/>
      <c r="J260" s="119" t="n"/>
      <c r="K260" s="119" t="n"/>
      <c r="L260" s="119" t="n"/>
      <c r="M260" s="119" t="n"/>
      <c r="N260" s="119" t="n"/>
      <c r="O260" s="119" t="n"/>
      <c r="P260" s="119" t="n"/>
      <c r="Q260" s="119" t="n"/>
      <c r="R260" s="119" t="n"/>
      <c r="S260" s="119" t="n"/>
      <c r="T260" s="119" t="n"/>
      <c r="U260" s="119" t="n"/>
      <c r="V260" s="119" t="n"/>
    </row>
    <row r="261" ht="16.5" customFormat="1" customHeight="1" s="56">
      <c r="A261" s="119" t="n"/>
      <c r="B261" s="119" t="n"/>
      <c r="C261" s="119" t="n"/>
      <c r="D261" s="119" t="n"/>
      <c r="E261" s="119" t="n"/>
      <c r="F261" s="119" t="n"/>
      <c r="G261" s="119" t="n"/>
      <c r="H261" s="119" t="n"/>
      <c r="I261" s="119" t="n"/>
      <c r="J261" s="119" t="n"/>
      <c r="K261" s="119" t="n"/>
      <c r="L261" s="119" t="n"/>
      <c r="M261" s="119" t="n"/>
      <c r="N261" s="119" t="n"/>
      <c r="O261" s="119" t="n"/>
      <c r="P261" s="119" t="n"/>
      <c r="Q261" s="119" t="n"/>
      <c r="R261" s="119" t="n"/>
      <c r="S261" s="119" t="n"/>
      <c r="T261" s="119" t="n"/>
      <c r="U261" s="119" t="n"/>
      <c r="V261" s="119" t="n"/>
    </row>
    <row r="262" ht="16.5" customFormat="1" customHeight="1" s="56">
      <c r="A262" s="119" t="n"/>
      <c r="B262" s="119" t="n"/>
      <c r="C262" s="119" t="n"/>
      <c r="D262" s="119" t="n"/>
      <c r="E262" s="119" t="n"/>
      <c r="F262" s="119" t="n"/>
      <c r="G262" s="119" t="n"/>
      <c r="H262" s="119" t="n"/>
      <c r="I262" s="119" t="n"/>
      <c r="J262" s="119" t="n"/>
      <c r="K262" s="119" t="n"/>
      <c r="L262" s="119" t="n"/>
      <c r="M262" s="119" t="n"/>
      <c r="N262" s="119" t="n"/>
      <c r="O262" s="119" t="n"/>
      <c r="P262" s="119" t="n"/>
      <c r="Q262" s="119" t="n"/>
      <c r="R262" s="119" t="n"/>
      <c r="S262" s="119" t="n"/>
      <c r="T262" s="119" t="n"/>
      <c r="U262" s="119" t="n"/>
      <c r="V262" s="119" t="n"/>
    </row>
    <row r="263" ht="16.5" customFormat="1" customHeight="1" s="56">
      <c r="A263" s="119" t="n"/>
      <c r="B263" s="119" t="n"/>
      <c r="C263" s="119" t="n"/>
      <c r="D263" s="119" t="n"/>
      <c r="E263" s="119" t="n"/>
      <c r="F263" s="119" t="n"/>
      <c r="G263" s="119" t="n"/>
      <c r="H263" s="119" t="n"/>
      <c r="I263" s="119" t="n"/>
      <c r="J263" s="119" t="n"/>
      <c r="K263" s="119" t="n"/>
      <c r="L263" s="119" t="n"/>
      <c r="M263" s="119" t="n"/>
      <c r="N263" s="119" t="n"/>
      <c r="O263" s="119" t="n"/>
      <c r="P263" s="119" t="n"/>
      <c r="Q263" s="119" t="n"/>
      <c r="R263" s="119" t="n"/>
      <c r="S263" s="119" t="n"/>
      <c r="T263" s="119" t="n"/>
      <c r="U263" s="119" t="n"/>
      <c r="V263" s="119" t="n"/>
    </row>
    <row r="264" ht="16.5" customFormat="1" customHeight="1" s="56">
      <c r="A264" s="119" t="n"/>
      <c r="B264" s="119" t="n"/>
      <c r="C264" s="119" t="n"/>
      <c r="D264" s="119" t="n"/>
      <c r="E264" s="119" t="n"/>
      <c r="F264" s="119" t="n"/>
      <c r="G264" s="119" t="n"/>
      <c r="H264" s="119" t="n"/>
      <c r="I264" s="119" t="n"/>
      <c r="J264" s="119" t="n"/>
      <c r="K264" s="119" t="n"/>
      <c r="L264" s="119" t="n"/>
      <c r="M264" s="119" t="n"/>
      <c r="N264" s="119" t="n"/>
      <c r="O264" s="119" t="n"/>
      <c r="P264" s="119" t="n"/>
      <c r="Q264" s="119" t="n"/>
      <c r="R264" s="119" t="n"/>
      <c r="S264" s="119" t="n"/>
      <c r="T264" s="119" t="n"/>
      <c r="U264" s="119" t="n"/>
      <c r="V264" s="119" t="n"/>
    </row>
    <row r="265" ht="16.5" customFormat="1" customHeight="1" s="56">
      <c r="A265" s="119" t="n"/>
      <c r="B265" s="119" t="n"/>
      <c r="C265" s="119" t="n"/>
      <c r="D265" s="119" t="n"/>
      <c r="E265" s="119" t="n"/>
      <c r="F265" s="119" t="n"/>
      <c r="G265" s="119" t="n"/>
      <c r="H265" s="119" t="n"/>
      <c r="I265" s="119" t="n"/>
      <c r="J265" s="119" t="n"/>
      <c r="K265" s="119" t="n"/>
      <c r="L265" s="119" t="n"/>
      <c r="M265" s="119" t="n"/>
      <c r="N265" s="119" t="n"/>
      <c r="O265" s="119" t="n"/>
      <c r="P265" s="119" t="n"/>
      <c r="Q265" s="119" t="n"/>
      <c r="R265" s="119" t="n"/>
      <c r="S265" s="119" t="n"/>
      <c r="T265" s="119" t="n"/>
      <c r="U265" s="119" t="n"/>
      <c r="V265" s="119" t="n"/>
    </row>
    <row r="266" ht="16.5" customFormat="1" customHeight="1" s="56">
      <c r="A266" s="119" t="n"/>
      <c r="B266" s="119" t="n"/>
      <c r="C266" s="119" t="n"/>
      <c r="D266" s="119" t="n"/>
      <c r="E266" s="119" t="n"/>
      <c r="F266" s="119" t="n"/>
      <c r="G266" s="119" t="n"/>
      <c r="H266" s="119" t="n"/>
      <c r="I266" s="119" t="n"/>
      <c r="J266" s="119" t="n"/>
      <c r="K266" s="119" t="n"/>
      <c r="L266" s="119" t="n"/>
      <c r="M266" s="119" t="n"/>
      <c r="N266" s="119" t="n"/>
      <c r="O266" s="119" t="n"/>
      <c r="P266" s="119" t="n"/>
      <c r="Q266" s="119" t="n"/>
      <c r="R266" s="119" t="n"/>
      <c r="S266" s="119" t="n"/>
      <c r="T266" s="119" t="n"/>
      <c r="U266" s="119" t="n"/>
      <c r="V266" s="119" t="n"/>
    </row>
    <row r="267" ht="16.5" customFormat="1" customHeight="1" s="56">
      <c r="A267" s="119" t="n"/>
      <c r="B267" s="119" t="n"/>
      <c r="C267" s="119" t="n"/>
      <c r="D267" s="119" t="n"/>
      <c r="E267" s="119" t="n"/>
      <c r="F267" s="119" t="n"/>
      <c r="G267" s="119" t="n"/>
      <c r="H267" s="119" t="n"/>
      <c r="I267" s="119" t="n"/>
      <c r="J267" s="119" t="n"/>
      <c r="K267" s="119" t="n"/>
      <c r="L267" s="119" t="n"/>
      <c r="M267" s="119" t="n"/>
      <c r="N267" s="119" t="n"/>
      <c r="O267" s="119" t="n"/>
      <c r="P267" s="119" t="n"/>
      <c r="Q267" s="119" t="n"/>
      <c r="R267" s="119" t="n"/>
      <c r="S267" s="119" t="n"/>
      <c r="T267" s="119" t="n"/>
      <c r="U267" s="119" t="n"/>
      <c r="V267" s="119" t="n"/>
    </row>
    <row r="268" ht="16.5" customFormat="1" customHeight="1" s="56">
      <c r="A268" s="119" t="n"/>
      <c r="B268" s="119" t="n"/>
      <c r="C268" s="119" t="n"/>
      <c r="D268" s="119" t="n"/>
      <c r="E268" s="119" t="n"/>
      <c r="F268" s="119" t="n"/>
      <c r="G268" s="119" t="n"/>
      <c r="H268" s="119" t="n"/>
      <c r="I268" s="119" t="n"/>
      <c r="J268" s="119" t="n"/>
      <c r="K268" s="119" t="n"/>
      <c r="L268" s="119" t="n"/>
      <c r="M268" s="119" t="n"/>
      <c r="N268" s="119" t="n"/>
      <c r="O268" s="119" t="n"/>
      <c r="P268" s="119" t="n"/>
      <c r="Q268" s="119" t="n"/>
      <c r="R268" s="119" t="n"/>
      <c r="S268" s="119" t="n"/>
      <c r="T268" s="119" t="n"/>
      <c r="U268" s="119" t="n"/>
      <c r="V268" s="119" t="n"/>
    </row>
    <row r="269" ht="16.5" customFormat="1" customHeight="1" s="56">
      <c r="A269" s="119" t="n"/>
      <c r="B269" s="119" t="n"/>
      <c r="C269" s="119" t="n"/>
      <c r="D269" s="119" t="n"/>
      <c r="E269" s="119" t="n"/>
      <c r="F269" s="119" t="n"/>
      <c r="G269" s="119" t="n"/>
      <c r="H269" s="119" t="n"/>
      <c r="I269" s="119" t="n"/>
      <c r="J269" s="119" t="n"/>
      <c r="K269" s="119" t="n"/>
      <c r="L269" s="119" t="n"/>
      <c r="M269" s="119" t="n"/>
      <c r="N269" s="119" t="n"/>
      <c r="O269" s="119" t="n"/>
      <c r="P269" s="119" t="n"/>
      <c r="Q269" s="119" t="n"/>
      <c r="R269" s="119" t="n"/>
      <c r="S269" s="119" t="n"/>
      <c r="T269" s="119" t="n"/>
      <c r="U269" s="119" t="n"/>
      <c r="V269" s="119" t="n"/>
    </row>
    <row r="270" ht="16.5" customFormat="1" customHeight="1" s="56">
      <c r="A270" s="119" t="n"/>
      <c r="B270" s="119" t="n"/>
      <c r="C270" s="119" t="n"/>
      <c r="D270" s="119" t="n"/>
      <c r="E270" s="119" t="n"/>
      <c r="F270" s="119" t="n"/>
      <c r="G270" s="119" t="n"/>
      <c r="H270" s="119" t="n"/>
      <c r="I270" s="119" t="n"/>
      <c r="J270" s="119" t="n"/>
      <c r="K270" s="119" t="n"/>
      <c r="L270" s="119" t="n"/>
      <c r="M270" s="119" t="n"/>
      <c r="N270" s="119" t="n"/>
      <c r="O270" s="119" t="n"/>
      <c r="P270" s="119" t="n"/>
      <c r="Q270" s="119" t="n"/>
      <c r="R270" s="119" t="n"/>
      <c r="S270" s="119" t="n"/>
      <c r="T270" s="119" t="n"/>
      <c r="U270" s="119" t="n"/>
      <c r="V270" s="119" t="n"/>
    </row>
    <row r="271" ht="16.5" customFormat="1" customHeight="1" s="56">
      <c r="A271" s="119" t="n"/>
      <c r="B271" s="119" t="n"/>
      <c r="C271" s="119" t="n"/>
      <c r="D271" s="119" t="n"/>
      <c r="E271" s="119" t="n"/>
      <c r="F271" s="119" t="n"/>
      <c r="G271" s="119" t="n"/>
      <c r="H271" s="119" t="n"/>
      <c r="I271" s="119" t="n"/>
      <c r="J271" s="119" t="n"/>
      <c r="K271" s="119" t="n"/>
      <c r="L271" s="119" t="n"/>
      <c r="M271" s="119" t="n"/>
      <c r="N271" s="119" t="n"/>
      <c r="O271" s="119" t="n"/>
      <c r="P271" s="119" t="n"/>
      <c r="Q271" s="119" t="n"/>
      <c r="R271" s="119" t="n"/>
      <c r="S271" s="119" t="n"/>
      <c r="T271" s="119" t="n"/>
      <c r="U271" s="119" t="n"/>
      <c r="V271" s="119" t="n"/>
    </row>
    <row r="272" ht="16.5" customFormat="1" customHeight="1" s="56">
      <c r="A272" s="119" t="n"/>
      <c r="B272" s="119" t="n"/>
      <c r="C272" s="119" t="n"/>
      <c r="D272" s="119" t="n"/>
      <c r="E272" s="119" t="n"/>
      <c r="F272" s="119" t="n"/>
      <c r="G272" s="119" t="n"/>
      <c r="H272" s="119" t="n"/>
      <c r="I272" s="119" t="n"/>
      <c r="J272" s="119" t="n"/>
      <c r="K272" s="119" t="n"/>
      <c r="L272" s="119" t="n"/>
      <c r="M272" s="119" t="n"/>
      <c r="N272" s="119" t="n"/>
      <c r="O272" s="119" t="n"/>
      <c r="P272" s="119" t="n"/>
      <c r="Q272" s="119" t="n"/>
      <c r="R272" s="119" t="n"/>
      <c r="S272" s="119" t="n"/>
      <c r="T272" s="119" t="n"/>
      <c r="U272" s="119" t="n"/>
      <c r="V272" s="119" t="n"/>
    </row>
    <row r="273" ht="16.5" customFormat="1" customHeight="1" s="56">
      <c r="A273" s="119" t="n"/>
      <c r="B273" s="119" t="n"/>
      <c r="C273" s="119" t="n"/>
      <c r="D273" s="119" t="n"/>
      <c r="E273" s="119" t="n"/>
      <c r="F273" s="119" t="n"/>
      <c r="G273" s="119" t="n"/>
      <c r="H273" s="119" t="n"/>
      <c r="I273" s="119" t="n"/>
      <c r="J273" s="119" t="n"/>
      <c r="K273" s="119" t="n"/>
      <c r="L273" s="119" t="n"/>
      <c r="M273" s="119" t="n"/>
      <c r="N273" s="119" t="n"/>
      <c r="O273" s="119" t="n"/>
      <c r="P273" s="119" t="n"/>
      <c r="Q273" s="119" t="n"/>
      <c r="R273" s="119" t="n"/>
      <c r="S273" s="119" t="n"/>
      <c r="T273" s="119" t="n"/>
      <c r="U273" s="119" t="n"/>
      <c r="V273" s="119" t="n"/>
    </row>
    <row r="274" ht="16.5" customFormat="1" customHeight="1" s="56">
      <c r="A274" s="119" t="n"/>
      <c r="B274" s="119" t="n"/>
      <c r="C274" s="119" t="n"/>
      <c r="D274" s="119" t="n"/>
      <c r="E274" s="119" t="n"/>
      <c r="F274" s="119" t="n"/>
      <c r="G274" s="119" t="n"/>
      <c r="H274" s="119" t="n"/>
      <c r="I274" s="119" t="n"/>
      <c r="J274" s="119" t="n"/>
      <c r="K274" s="119" t="n"/>
      <c r="L274" s="119" t="n"/>
      <c r="M274" s="119" t="n"/>
      <c r="N274" s="119" t="n"/>
      <c r="O274" s="119" t="n"/>
      <c r="P274" s="119" t="n"/>
      <c r="Q274" s="119" t="n"/>
      <c r="R274" s="119" t="n"/>
      <c r="S274" s="119" t="n"/>
      <c r="T274" s="119" t="n"/>
      <c r="U274" s="119" t="n"/>
      <c r="V274" s="119" t="n"/>
    </row>
    <row r="275" ht="16.5" customFormat="1" customHeight="1" s="56">
      <c r="A275" s="119" t="n"/>
      <c r="B275" s="119" t="n"/>
      <c r="C275" s="119" t="n"/>
      <c r="D275" s="119" t="n"/>
      <c r="E275" s="119" t="n"/>
      <c r="F275" s="119" t="n"/>
      <c r="G275" s="119" t="n"/>
      <c r="H275" s="119" t="n"/>
      <c r="I275" s="119" t="n"/>
      <c r="J275" s="119" t="n"/>
      <c r="K275" s="119" t="n"/>
      <c r="L275" s="119" t="n"/>
      <c r="M275" s="119" t="n"/>
      <c r="N275" s="119" t="n"/>
      <c r="O275" s="119" t="n"/>
      <c r="P275" s="119" t="n"/>
      <c r="Q275" s="119" t="n"/>
      <c r="R275" s="119" t="n"/>
      <c r="S275" s="119" t="n"/>
      <c r="T275" s="119" t="n"/>
      <c r="U275" s="119" t="n"/>
      <c r="V275" s="119" t="n"/>
    </row>
    <row r="276" ht="16.5" customFormat="1" customHeight="1" s="56">
      <c r="A276" s="119" t="n"/>
      <c r="B276" s="119" t="n"/>
      <c r="C276" s="119" t="n"/>
      <c r="D276" s="119" t="n"/>
      <c r="E276" s="119" t="n"/>
      <c r="F276" s="119" t="n"/>
      <c r="G276" s="119" t="n"/>
      <c r="H276" s="119" t="n"/>
      <c r="I276" s="119" t="n"/>
      <c r="J276" s="119" t="n"/>
      <c r="K276" s="119" t="n"/>
      <c r="L276" s="119" t="n"/>
      <c r="M276" s="119" t="n"/>
      <c r="N276" s="119" t="n"/>
      <c r="O276" s="119" t="n"/>
      <c r="P276" s="119" t="n"/>
      <c r="Q276" s="119" t="n"/>
      <c r="R276" s="119" t="n"/>
      <c r="S276" s="119" t="n"/>
      <c r="T276" s="119" t="n"/>
      <c r="U276" s="119" t="n"/>
      <c r="V276" s="119" t="n"/>
    </row>
    <row r="277" ht="16.5" customFormat="1" customHeight="1" s="56">
      <c r="A277" s="119" t="n"/>
      <c r="B277" s="119" t="n"/>
      <c r="C277" s="119" t="n"/>
      <c r="D277" s="119" t="n"/>
      <c r="E277" s="119" t="n"/>
      <c r="F277" s="119" t="n"/>
      <c r="G277" s="119" t="n"/>
      <c r="H277" s="119" t="n"/>
      <c r="I277" s="119" t="n"/>
      <c r="J277" s="119" t="n"/>
      <c r="K277" s="119" t="n"/>
      <c r="L277" s="119" t="n"/>
      <c r="M277" s="119" t="n"/>
      <c r="N277" s="119" t="n"/>
      <c r="O277" s="119" t="n"/>
      <c r="P277" s="119" t="n"/>
      <c r="Q277" s="119" t="n"/>
      <c r="R277" s="119" t="n"/>
      <c r="S277" s="119" t="n"/>
      <c r="T277" s="119" t="n"/>
      <c r="U277" s="119" t="n"/>
      <c r="V277" s="119" t="n"/>
    </row>
    <row r="278" ht="16.5" customFormat="1" customHeight="1" s="56">
      <c r="A278" s="119" t="n"/>
      <c r="B278" s="119" t="n"/>
      <c r="C278" s="119" t="n"/>
      <c r="D278" s="119" t="n"/>
      <c r="E278" s="119" t="n"/>
      <c r="F278" s="119" t="n"/>
      <c r="G278" s="119" t="n"/>
      <c r="H278" s="119" t="n"/>
      <c r="I278" s="119" t="n"/>
      <c r="J278" s="119" t="n"/>
      <c r="K278" s="119" t="n"/>
      <c r="L278" s="119" t="n"/>
      <c r="M278" s="119" t="n"/>
      <c r="N278" s="119" t="n"/>
      <c r="O278" s="119" t="n"/>
      <c r="P278" s="119" t="n"/>
      <c r="Q278" s="119" t="n"/>
      <c r="R278" s="119" t="n"/>
      <c r="S278" s="119" t="n"/>
      <c r="T278" s="119" t="n"/>
      <c r="U278" s="119" t="n"/>
      <c r="V278" s="119" t="n"/>
    </row>
    <row r="279" ht="16.5" customFormat="1" customHeight="1" s="56">
      <c r="A279" s="119" t="n"/>
      <c r="B279" s="119" t="n"/>
      <c r="C279" s="119" t="n"/>
      <c r="D279" s="119" t="n"/>
      <c r="E279" s="119" t="n"/>
      <c r="F279" s="119" t="n"/>
      <c r="G279" s="119" t="n"/>
      <c r="H279" s="119" t="n"/>
      <c r="I279" s="119" t="n"/>
      <c r="J279" s="119" t="n"/>
      <c r="K279" s="119" t="n"/>
      <c r="L279" s="119" t="n"/>
      <c r="M279" s="119" t="n"/>
      <c r="N279" s="119" t="n"/>
      <c r="O279" s="119" t="n"/>
      <c r="P279" s="119" t="n"/>
      <c r="Q279" s="119" t="n"/>
      <c r="R279" s="119" t="n"/>
      <c r="S279" s="119" t="n"/>
      <c r="T279" s="119" t="n"/>
      <c r="U279" s="119" t="n"/>
      <c r="V279" s="119" t="n"/>
    </row>
    <row r="280" ht="16.5" customFormat="1" customHeight="1" s="56">
      <c r="A280" s="119" t="n"/>
      <c r="B280" s="119" t="n"/>
      <c r="C280" s="119" t="n"/>
      <c r="D280" s="119" t="n"/>
      <c r="E280" s="119" t="n"/>
      <c r="F280" s="119" t="n"/>
      <c r="G280" s="119" t="n"/>
      <c r="H280" s="119" t="n"/>
      <c r="I280" s="119" t="n"/>
      <c r="J280" s="119" t="n"/>
      <c r="K280" s="119" t="n"/>
      <c r="L280" s="119" t="n"/>
      <c r="M280" s="119" t="n"/>
      <c r="N280" s="119" t="n"/>
      <c r="O280" s="119" t="n"/>
      <c r="P280" s="119" t="n"/>
      <c r="Q280" s="119" t="n"/>
      <c r="R280" s="119" t="n"/>
      <c r="S280" s="119" t="n"/>
      <c r="T280" s="119" t="n"/>
      <c r="U280" s="119" t="n"/>
      <c r="V280" s="119" t="n"/>
    </row>
    <row r="281" ht="16.5" customFormat="1" customHeight="1" s="56">
      <c r="A281" s="119" t="n"/>
      <c r="B281" s="119" t="n"/>
      <c r="C281" s="119" t="n"/>
      <c r="D281" s="119" t="n"/>
      <c r="E281" s="119" t="n"/>
      <c r="F281" s="119" t="n"/>
      <c r="G281" s="119" t="n"/>
      <c r="H281" s="119" t="n"/>
      <c r="I281" s="119" t="n"/>
      <c r="J281" s="119" t="n"/>
      <c r="K281" s="119" t="n"/>
      <c r="L281" s="119" t="n"/>
      <c r="M281" s="119" t="n"/>
      <c r="N281" s="119" t="n"/>
      <c r="O281" s="119" t="n"/>
      <c r="P281" s="119" t="n"/>
      <c r="Q281" s="119" t="n"/>
      <c r="R281" s="119" t="n"/>
      <c r="S281" s="119" t="n"/>
      <c r="T281" s="119" t="n"/>
      <c r="U281" s="119" t="n"/>
      <c r="V281" s="119" t="n"/>
    </row>
    <row r="282" ht="16.5" customFormat="1" customHeight="1" s="56">
      <c r="A282" s="119" t="n"/>
      <c r="B282" s="119" t="n"/>
      <c r="C282" s="119" t="n"/>
      <c r="D282" s="119" t="n"/>
      <c r="E282" s="119" t="n"/>
      <c r="F282" s="119" t="n"/>
      <c r="G282" s="119" t="n"/>
      <c r="H282" s="119" t="n"/>
      <c r="I282" s="119" t="n"/>
      <c r="J282" s="119" t="n"/>
      <c r="K282" s="119" t="n"/>
      <c r="L282" s="119" t="n"/>
      <c r="M282" s="119" t="n"/>
      <c r="N282" s="119" t="n"/>
      <c r="O282" s="119" t="n"/>
      <c r="P282" s="119" t="n"/>
      <c r="Q282" s="119" t="n"/>
      <c r="R282" s="119" t="n"/>
      <c r="S282" s="119" t="n"/>
      <c r="T282" s="119" t="n"/>
      <c r="U282" s="119" t="n"/>
      <c r="V282" s="119" t="n"/>
    </row>
    <row r="283" ht="16.5" customFormat="1" customHeight="1" s="56">
      <c r="A283" s="119" t="n"/>
      <c r="B283" s="119" t="n"/>
      <c r="C283" s="119" t="n"/>
      <c r="D283" s="119" t="n"/>
      <c r="E283" s="119" t="n"/>
      <c r="F283" s="119" t="n"/>
      <c r="G283" s="119" t="n"/>
      <c r="H283" s="119" t="n"/>
      <c r="I283" s="119" t="n"/>
      <c r="J283" s="119" t="n"/>
      <c r="K283" s="119" t="n"/>
      <c r="L283" s="119" t="n"/>
      <c r="M283" s="119" t="n"/>
      <c r="N283" s="119" t="n"/>
      <c r="O283" s="119" t="n"/>
      <c r="P283" s="119" t="n"/>
      <c r="Q283" s="119" t="n"/>
      <c r="R283" s="119" t="n"/>
      <c r="S283" s="119" t="n"/>
      <c r="T283" s="119" t="n"/>
      <c r="U283" s="119" t="n"/>
      <c r="V283" s="119" t="n"/>
    </row>
    <row r="284" ht="16.5" customFormat="1" customHeight="1" s="56">
      <c r="A284" s="119" t="n"/>
      <c r="B284" s="119" t="n"/>
      <c r="C284" s="119" t="n"/>
      <c r="D284" s="119" t="n"/>
      <c r="E284" s="119" t="n"/>
      <c r="F284" s="119" t="n"/>
      <c r="G284" s="119" t="n"/>
      <c r="H284" s="119" t="n"/>
      <c r="I284" s="119" t="n"/>
      <c r="J284" s="119" t="n"/>
      <c r="K284" s="119" t="n"/>
      <c r="L284" s="119" t="n"/>
      <c r="M284" s="119" t="n"/>
      <c r="N284" s="119" t="n"/>
      <c r="O284" s="119" t="n"/>
      <c r="P284" s="119" t="n"/>
      <c r="Q284" s="119" t="n"/>
      <c r="R284" s="119" t="n"/>
      <c r="S284" s="119" t="n"/>
      <c r="T284" s="119" t="n"/>
      <c r="U284" s="119" t="n"/>
      <c r="V284" s="119" t="n"/>
    </row>
    <row r="285" ht="16.5" customFormat="1" customHeight="1" s="56">
      <c r="A285" s="119" t="n"/>
      <c r="B285" s="119" t="n"/>
      <c r="C285" s="119" t="n"/>
      <c r="D285" s="119" t="n"/>
      <c r="E285" s="119" t="n"/>
      <c r="F285" s="119" t="n"/>
      <c r="G285" s="119" t="n"/>
      <c r="H285" s="119" t="n"/>
      <c r="I285" s="119" t="n"/>
      <c r="J285" s="119" t="n"/>
      <c r="K285" s="119" t="n"/>
      <c r="L285" s="119" t="n"/>
      <c r="M285" s="119" t="n"/>
      <c r="N285" s="119" t="n"/>
      <c r="O285" s="119" t="n"/>
      <c r="P285" s="119" t="n"/>
      <c r="Q285" s="119" t="n"/>
      <c r="R285" s="119" t="n"/>
      <c r="S285" s="119" t="n"/>
      <c r="T285" s="119" t="n"/>
      <c r="U285" s="119" t="n"/>
      <c r="V285" s="119" t="n"/>
    </row>
    <row r="286" ht="16.5" customFormat="1" customHeight="1" s="56">
      <c r="A286" s="119" t="n"/>
      <c r="B286" s="119" t="n"/>
      <c r="C286" s="119" t="n"/>
      <c r="D286" s="119" t="n"/>
      <c r="E286" s="119" t="n"/>
      <c r="F286" s="119" t="n"/>
      <c r="G286" s="119" t="n"/>
      <c r="H286" s="119" t="n"/>
      <c r="I286" s="119" t="n"/>
      <c r="J286" s="119" t="n"/>
      <c r="K286" s="119" t="n"/>
      <c r="L286" s="119" t="n"/>
      <c r="M286" s="119" t="n"/>
      <c r="N286" s="119" t="n"/>
      <c r="O286" s="119" t="n"/>
      <c r="P286" s="119" t="n"/>
      <c r="Q286" s="119" t="n"/>
      <c r="R286" s="119" t="n"/>
      <c r="S286" s="119" t="n"/>
      <c r="T286" s="119" t="n"/>
      <c r="U286" s="119" t="n"/>
      <c r="V286" s="119" t="n"/>
    </row>
    <row r="287" ht="16.5" customFormat="1" customHeight="1" s="56">
      <c r="A287" s="119" t="n"/>
      <c r="B287" s="119" t="n"/>
      <c r="C287" s="119" t="n"/>
      <c r="D287" s="119" t="n"/>
      <c r="E287" s="119" t="n"/>
      <c r="F287" s="119" t="n"/>
      <c r="G287" s="119" t="n"/>
      <c r="H287" s="119" t="n"/>
      <c r="I287" s="119" t="n"/>
      <c r="J287" s="119" t="n"/>
      <c r="K287" s="119" t="n"/>
      <c r="L287" s="119" t="n"/>
      <c r="M287" s="119" t="n"/>
      <c r="N287" s="119" t="n"/>
      <c r="O287" s="119" t="n"/>
      <c r="P287" s="119" t="n"/>
      <c r="Q287" s="119" t="n"/>
      <c r="R287" s="119" t="n"/>
      <c r="S287" s="119" t="n"/>
      <c r="T287" s="119" t="n"/>
      <c r="U287" s="119" t="n"/>
      <c r="V287" s="119" t="n"/>
    </row>
    <row r="288" ht="16.5" customFormat="1" customHeight="1" s="56">
      <c r="A288" s="119" t="n"/>
      <c r="B288" s="119" t="n"/>
      <c r="C288" s="119" t="n"/>
      <c r="D288" s="119" t="n"/>
      <c r="E288" s="119" t="n"/>
      <c r="F288" s="119" t="n"/>
      <c r="G288" s="119" t="n"/>
      <c r="H288" s="119" t="n"/>
      <c r="I288" s="119" t="n"/>
      <c r="J288" s="119" t="n"/>
      <c r="K288" s="119" t="n"/>
      <c r="L288" s="119" t="n"/>
      <c r="M288" s="119" t="n"/>
      <c r="N288" s="119" t="n"/>
      <c r="O288" s="119" t="n"/>
      <c r="P288" s="119" t="n"/>
      <c r="Q288" s="119" t="n"/>
      <c r="R288" s="119" t="n"/>
      <c r="S288" s="119" t="n"/>
      <c r="T288" s="119" t="n"/>
      <c r="U288" s="119" t="n"/>
      <c r="V288" s="119" t="n"/>
    </row>
    <row r="289" ht="16.5" customFormat="1" customHeight="1" s="56">
      <c r="A289" s="119" t="n"/>
      <c r="B289" s="119" t="n"/>
      <c r="C289" s="119" t="n"/>
      <c r="D289" s="119" t="n"/>
      <c r="E289" s="119" t="n"/>
      <c r="F289" s="119" t="n"/>
      <c r="G289" s="119" t="n"/>
      <c r="H289" s="119" t="n"/>
      <c r="I289" s="119" t="n"/>
      <c r="J289" s="119" t="n"/>
      <c r="K289" s="119" t="n"/>
      <c r="L289" s="119" t="n"/>
      <c r="M289" s="119" t="n"/>
      <c r="N289" s="119" t="n"/>
      <c r="O289" s="119" t="n"/>
      <c r="P289" s="119" t="n"/>
      <c r="Q289" s="119" t="n"/>
      <c r="R289" s="119" t="n"/>
      <c r="S289" s="119" t="n"/>
      <c r="T289" s="119" t="n"/>
      <c r="U289" s="119" t="n"/>
      <c r="V289" s="119" t="n"/>
    </row>
    <row r="290" ht="16.5" customFormat="1" customHeight="1" s="56">
      <c r="A290" s="119" t="n"/>
      <c r="B290" s="119" t="n"/>
      <c r="C290" s="119" t="n"/>
      <c r="D290" s="119" t="n"/>
      <c r="E290" s="119" t="n"/>
      <c r="F290" s="119" t="n"/>
      <c r="G290" s="119" t="n"/>
      <c r="H290" s="119" t="n"/>
      <c r="I290" s="119" t="n"/>
      <c r="J290" s="119" t="n"/>
      <c r="K290" s="119" t="n"/>
      <c r="L290" s="119" t="n"/>
      <c r="M290" s="119" t="n"/>
      <c r="N290" s="119" t="n"/>
      <c r="O290" s="119" t="n"/>
      <c r="P290" s="119" t="n"/>
      <c r="Q290" s="119" t="n"/>
      <c r="R290" s="119" t="n"/>
      <c r="S290" s="119" t="n"/>
      <c r="T290" s="119" t="n"/>
      <c r="U290" s="119" t="n"/>
      <c r="V290" s="119" t="n"/>
    </row>
    <row r="291" ht="16.5" customFormat="1" customHeight="1" s="56">
      <c r="A291" s="119" t="n"/>
      <c r="B291" s="119" t="n"/>
      <c r="C291" s="119" t="n"/>
      <c r="D291" s="119" t="n"/>
      <c r="E291" s="119" t="n"/>
      <c r="F291" s="119" t="n"/>
      <c r="G291" s="119" t="n"/>
      <c r="H291" s="119" t="n"/>
      <c r="I291" s="119" t="n"/>
      <c r="J291" s="119" t="n"/>
      <c r="K291" s="119" t="n"/>
      <c r="L291" s="119" t="n"/>
      <c r="M291" s="119" t="n"/>
      <c r="N291" s="119" t="n"/>
      <c r="O291" s="119" t="n"/>
      <c r="P291" s="119" t="n"/>
      <c r="Q291" s="119" t="n"/>
      <c r="R291" s="119" t="n"/>
      <c r="S291" s="119" t="n"/>
      <c r="T291" s="119" t="n"/>
      <c r="U291" s="119" t="n"/>
      <c r="V291" s="119" t="n"/>
    </row>
    <row r="292" ht="16.5" customFormat="1" customHeight="1" s="56">
      <c r="A292" s="119" t="n"/>
      <c r="B292" s="119" t="n"/>
      <c r="C292" s="119" t="n"/>
      <c r="D292" s="119" t="n"/>
      <c r="E292" s="119" t="n"/>
      <c r="F292" s="119" t="n"/>
      <c r="G292" s="119" t="n"/>
      <c r="H292" s="119" t="n"/>
      <c r="I292" s="119" t="n"/>
      <c r="J292" s="119" t="n"/>
      <c r="K292" s="119" t="n"/>
      <c r="L292" s="119" t="n"/>
      <c r="M292" s="119" t="n"/>
      <c r="N292" s="119" t="n"/>
      <c r="O292" s="119" t="n"/>
      <c r="P292" s="119" t="n"/>
      <c r="Q292" s="119" t="n"/>
      <c r="R292" s="119" t="n"/>
      <c r="S292" s="119" t="n"/>
      <c r="T292" s="119" t="n"/>
      <c r="U292" s="119" t="n"/>
      <c r="V292" s="119" t="n"/>
    </row>
    <row r="293" ht="16.5" customFormat="1" customHeight="1" s="56">
      <c r="A293" s="119" t="n"/>
      <c r="B293" s="119" t="n"/>
      <c r="C293" s="119" t="n"/>
      <c r="D293" s="119" t="n"/>
      <c r="E293" s="119" t="n"/>
      <c r="F293" s="119" t="n"/>
      <c r="G293" s="119" t="n"/>
      <c r="H293" s="119" t="n"/>
      <c r="I293" s="119" t="n"/>
      <c r="J293" s="119" t="n"/>
      <c r="K293" s="119" t="n"/>
      <c r="L293" s="119" t="n"/>
      <c r="M293" s="119" t="n"/>
      <c r="N293" s="119" t="n"/>
      <c r="O293" s="119" t="n"/>
      <c r="P293" s="119" t="n"/>
      <c r="Q293" s="119" t="n"/>
      <c r="R293" s="119" t="n"/>
      <c r="S293" s="119" t="n"/>
      <c r="T293" s="119" t="n"/>
      <c r="U293" s="119" t="n"/>
      <c r="V293" s="119" t="n"/>
    </row>
    <row r="294" ht="16.5" customFormat="1" customHeight="1" s="56">
      <c r="A294" s="119" t="n"/>
      <c r="B294" s="119" t="n"/>
      <c r="C294" s="119" t="n"/>
      <c r="D294" s="119" t="n"/>
      <c r="E294" s="119" t="n"/>
      <c r="F294" s="119" t="n"/>
      <c r="G294" s="119" t="n"/>
      <c r="H294" s="119" t="n"/>
      <c r="I294" s="119" t="n"/>
      <c r="J294" s="119" t="n"/>
      <c r="K294" s="119" t="n"/>
      <c r="L294" s="119" t="n"/>
      <c r="M294" s="119" t="n"/>
      <c r="N294" s="119" t="n"/>
      <c r="O294" s="119" t="n"/>
      <c r="P294" s="119" t="n"/>
      <c r="Q294" s="119" t="n"/>
      <c r="R294" s="119" t="n"/>
      <c r="S294" s="119" t="n"/>
      <c r="T294" s="119" t="n"/>
      <c r="U294" s="119" t="n"/>
      <c r="V294" s="119" t="n"/>
    </row>
    <row r="295" ht="16.5" customFormat="1" customHeight="1" s="56">
      <c r="A295" s="119" t="n"/>
      <c r="B295" s="119" t="n"/>
      <c r="C295" s="119" t="n"/>
      <c r="D295" s="119" t="n"/>
      <c r="E295" s="119" t="n"/>
      <c r="F295" s="119" t="n"/>
      <c r="G295" s="119" t="n"/>
      <c r="H295" s="119" t="n"/>
      <c r="I295" s="119" t="n"/>
      <c r="J295" s="119" t="n"/>
      <c r="K295" s="119" t="n"/>
      <c r="L295" s="119" t="n"/>
      <c r="M295" s="119" t="n"/>
      <c r="N295" s="119" t="n"/>
      <c r="O295" s="119" t="n"/>
      <c r="P295" s="119" t="n"/>
      <c r="Q295" s="119" t="n"/>
      <c r="R295" s="119" t="n"/>
      <c r="S295" s="119" t="n"/>
      <c r="T295" s="119" t="n"/>
      <c r="U295" s="119" t="n"/>
      <c r="V295" s="119" t="n"/>
    </row>
    <row r="296" ht="16.5" customFormat="1" customHeight="1" s="56">
      <c r="A296" s="119" t="n"/>
      <c r="B296" s="119" t="n"/>
      <c r="C296" s="119" t="n"/>
      <c r="D296" s="119" t="n"/>
      <c r="E296" s="119" t="n"/>
      <c r="F296" s="119" t="n"/>
      <c r="G296" s="119" t="n"/>
      <c r="H296" s="119" t="n"/>
      <c r="I296" s="119" t="n"/>
      <c r="J296" s="119" t="n"/>
      <c r="K296" s="119" t="n"/>
      <c r="L296" s="119" t="n"/>
      <c r="M296" s="119" t="n"/>
      <c r="N296" s="119" t="n"/>
      <c r="O296" s="119" t="n"/>
      <c r="P296" s="119" t="n"/>
      <c r="Q296" s="119" t="n"/>
      <c r="R296" s="119" t="n"/>
      <c r="S296" s="119" t="n"/>
      <c r="T296" s="119" t="n"/>
      <c r="U296" s="119" t="n"/>
      <c r="V296" s="119" t="n"/>
    </row>
    <row r="297" ht="16.5" customFormat="1" customHeight="1" s="56">
      <c r="A297" s="119" t="n"/>
      <c r="B297" s="119" t="n"/>
      <c r="C297" s="119" t="n"/>
      <c r="D297" s="119" t="n"/>
      <c r="E297" s="119" t="n"/>
      <c r="F297" s="119" t="n"/>
      <c r="G297" s="119" t="n"/>
      <c r="H297" s="119" t="n"/>
      <c r="I297" s="119" t="n"/>
      <c r="J297" s="119" t="n"/>
      <c r="K297" s="119" t="n"/>
      <c r="L297" s="119" t="n"/>
      <c r="M297" s="119" t="n"/>
      <c r="N297" s="119" t="n"/>
      <c r="O297" s="119" t="n"/>
      <c r="P297" s="119" t="n"/>
      <c r="Q297" s="119" t="n"/>
      <c r="R297" s="119" t="n"/>
      <c r="S297" s="119" t="n"/>
      <c r="T297" s="119" t="n"/>
      <c r="U297" s="119" t="n"/>
      <c r="V297" s="119" t="n"/>
    </row>
    <row r="298" ht="16.5" customFormat="1" customHeight="1" s="56">
      <c r="A298" s="119" t="n"/>
      <c r="B298" s="119" t="n"/>
      <c r="C298" s="119" t="n"/>
      <c r="D298" s="119" t="n"/>
      <c r="E298" s="119" t="n"/>
      <c r="F298" s="119" t="n"/>
      <c r="G298" s="119" t="n"/>
      <c r="H298" s="119" t="n"/>
      <c r="I298" s="119" t="n"/>
      <c r="J298" s="119" t="n"/>
      <c r="K298" s="119" t="n"/>
      <c r="L298" s="119" t="n"/>
      <c r="M298" s="119" t="n"/>
      <c r="N298" s="119" t="n"/>
      <c r="O298" s="119" t="n"/>
      <c r="P298" s="119" t="n"/>
      <c r="Q298" s="119" t="n"/>
      <c r="R298" s="119" t="n"/>
      <c r="S298" s="119" t="n"/>
      <c r="T298" s="119" t="n"/>
      <c r="U298" s="119" t="n"/>
      <c r="V298" s="119" t="n"/>
    </row>
    <row r="299" ht="16.5" customFormat="1" customHeight="1" s="56">
      <c r="A299" s="119" t="n"/>
      <c r="B299" s="119" t="n"/>
      <c r="C299" s="119" t="n"/>
      <c r="D299" s="119" t="n"/>
      <c r="E299" s="119" t="n"/>
      <c r="F299" s="119" t="n"/>
      <c r="G299" s="119" t="n"/>
      <c r="H299" s="119" t="n"/>
      <c r="I299" s="119" t="n"/>
      <c r="J299" s="119" t="n"/>
      <c r="K299" s="119" t="n"/>
      <c r="L299" s="119" t="n"/>
      <c r="M299" s="119" t="n"/>
      <c r="N299" s="119" t="n"/>
      <c r="O299" s="119" t="n"/>
      <c r="P299" s="119" t="n"/>
      <c r="Q299" s="119" t="n"/>
      <c r="R299" s="119" t="n"/>
      <c r="S299" s="119" t="n"/>
      <c r="T299" s="119" t="n"/>
      <c r="U299" s="119" t="n"/>
      <c r="V299" s="119" t="n"/>
    </row>
    <row r="300" ht="16.5" customFormat="1" customHeight="1" s="56">
      <c r="A300" s="119" t="n"/>
      <c r="B300" s="119" t="n"/>
      <c r="C300" s="119" t="n"/>
      <c r="D300" s="119" t="n"/>
      <c r="E300" s="119" t="n"/>
      <c r="F300" s="119" t="n"/>
      <c r="G300" s="119" t="n"/>
      <c r="H300" s="119" t="n"/>
      <c r="I300" s="119" t="n"/>
      <c r="J300" s="119" t="n"/>
      <c r="K300" s="119" t="n"/>
      <c r="L300" s="119" t="n"/>
      <c r="M300" s="119" t="n"/>
      <c r="N300" s="119" t="n"/>
      <c r="O300" s="119" t="n"/>
      <c r="P300" s="119" t="n"/>
      <c r="Q300" s="119" t="n"/>
      <c r="R300" s="119" t="n"/>
      <c r="S300" s="119" t="n"/>
      <c r="T300" s="119" t="n"/>
      <c r="U300" s="119" t="n"/>
      <c r="V300" s="119" t="n"/>
    </row>
    <row r="301" ht="16.5" customFormat="1" customHeight="1" s="56">
      <c r="A301" s="119" t="n"/>
      <c r="B301" s="119" t="n"/>
      <c r="C301" s="119" t="n"/>
      <c r="D301" s="119" t="n"/>
      <c r="E301" s="119" t="n"/>
      <c r="F301" s="119" t="n"/>
      <c r="G301" s="119" t="n"/>
      <c r="H301" s="119" t="n"/>
      <c r="I301" s="119" t="n"/>
      <c r="J301" s="119" t="n"/>
      <c r="K301" s="119" t="n"/>
      <c r="L301" s="119" t="n"/>
      <c r="M301" s="119" t="n"/>
      <c r="N301" s="119" t="n"/>
      <c r="O301" s="119" t="n"/>
      <c r="P301" s="119" t="n"/>
      <c r="Q301" s="119" t="n"/>
      <c r="R301" s="119" t="n"/>
      <c r="S301" s="119" t="n"/>
      <c r="T301" s="119" t="n"/>
      <c r="U301" s="119" t="n"/>
      <c r="V301" s="119" t="n"/>
    </row>
    <row r="302" ht="16.5" customFormat="1" customHeight="1" s="56">
      <c r="A302" s="119" t="n"/>
      <c r="B302" s="119" t="n"/>
      <c r="C302" s="119" t="n"/>
      <c r="D302" s="119" t="n"/>
      <c r="E302" s="119" t="n"/>
      <c r="F302" s="119" t="n"/>
      <c r="G302" s="119" t="n"/>
      <c r="H302" s="119" t="n"/>
      <c r="I302" s="119" t="n"/>
      <c r="J302" s="119" t="n"/>
      <c r="K302" s="119" t="n"/>
      <c r="L302" s="119" t="n"/>
      <c r="M302" s="119" t="n"/>
      <c r="N302" s="119" t="n"/>
      <c r="O302" s="119" t="n"/>
      <c r="P302" s="119" t="n"/>
      <c r="Q302" s="119" t="n"/>
      <c r="R302" s="119" t="n"/>
      <c r="S302" s="119" t="n"/>
      <c r="T302" s="119" t="n"/>
      <c r="U302" s="119" t="n"/>
      <c r="V302" s="119" t="n"/>
    </row>
    <row r="303" ht="16.5" customFormat="1" customHeight="1" s="56">
      <c r="A303" s="119" t="n"/>
      <c r="B303" s="119" t="n"/>
      <c r="C303" s="119" t="n"/>
      <c r="D303" s="119" t="n"/>
      <c r="E303" s="119" t="n"/>
      <c r="F303" s="119" t="n"/>
      <c r="G303" s="119" t="n"/>
      <c r="H303" s="119" t="n"/>
      <c r="I303" s="119" t="n"/>
      <c r="J303" s="119" t="n"/>
      <c r="K303" s="119" t="n"/>
      <c r="L303" s="119" t="n"/>
      <c r="M303" s="119" t="n"/>
      <c r="N303" s="119" t="n"/>
      <c r="O303" s="119" t="n"/>
      <c r="P303" s="119" t="n"/>
      <c r="Q303" s="119" t="n"/>
      <c r="R303" s="119" t="n"/>
      <c r="S303" s="119" t="n"/>
      <c r="T303" s="119" t="n"/>
      <c r="U303" s="119" t="n"/>
      <c r="V303" s="119" t="n"/>
    </row>
    <row r="304" ht="16.5" customFormat="1" customHeight="1" s="56">
      <c r="A304" s="119" t="n"/>
      <c r="B304" s="119" t="n"/>
      <c r="C304" s="119" t="n"/>
      <c r="D304" s="119" t="n"/>
      <c r="E304" s="119" t="n"/>
      <c r="F304" s="119" t="n"/>
      <c r="G304" s="119" t="n"/>
      <c r="H304" s="119" t="n"/>
      <c r="I304" s="119" t="n"/>
      <c r="J304" s="119" t="n"/>
      <c r="K304" s="119" t="n"/>
      <c r="L304" s="119" t="n"/>
      <c r="M304" s="119" t="n"/>
      <c r="N304" s="119" t="n"/>
      <c r="O304" s="119" t="n"/>
      <c r="P304" s="119" t="n"/>
      <c r="Q304" s="119" t="n"/>
      <c r="R304" s="119" t="n"/>
      <c r="S304" s="119" t="n"/>
      <c r="T304" s="119" t="n"/>
      <c r="U304" s="119" t="n"/>
      <c r="V304" s="119" t="n"/>
    </row>
    <row r="305" ht="16.5" customFormat="1" customHeight="1" s="56">
      <c r="A305" s="119" t="n"/>
      <c r="B305" s="119" t="n"/>
      <c r="C305" s="119" t="n"/>
      <c r="D305" s="119" t="n"/>
      <c r="E305" s="119" t="n"/>
      <c r="F305" s="119" t="n"/>
      <c r="G305" s="119" t="n"/>
      <c r="H305" s="119" t="n"/>
      <c r="I305" s="119" t="n"/>
      <c r="J305" s="119" t="n"/>
      <c r="K305" s="119" t="n"/>
      <c r="L305" s="119" t="n"/>
      <c r="M305" s="119" t="n"/>
      <c r="N305" s="119" t="n"/>
      <c r="O305" s="119" t="n"/>
      <c r="P305" s="119" t="n"/>
      <c r="Q305" s="119" t="n"/>
      <c r="R305" s="119" t="n"/>
      <c r="S305" s="119" t="n"/>
      <c r="T305" s="119" t="n"/>
      <c r="U305" s="119" t="n"/>
      <c r="V305" s="119" t="n"/>
    </row>
    <row r="306" ht="16.5" customFormat="1" customHeight="1" s="56">
      <c r="A306" s="119" t="n"/>
      <c r="B306" s="119" t="n"/>
      <c r="C306" s="119" t="n"/>
      <c r="D306" s="119" t="n"/>
      <c r="E306" s="119" t="n"/>
      <c r="F306" s="119" t="n"/>
      <c r="G306" s="119" t="n"/>
      <c r="H306" s="119" t="n"/>
      <c r="I306" s="119" t="n"/>
      <c r="J306" s="119" t="n"/>
      <c r="K306" s="119" t="n"/>
      <c r="L306" s="119" t="n"/>
      <c r="M306" s="119" t="n"/>
      <c r="N306" s="119" t="n"/>
      <c r="O306" s="119" t="n"/>
      <c r="P306" s="119" t="n"/>
      <c r="Q306" s="119" t="n"/>
      <c r="R306" s="119" t="n"/>
      <c r="S306" s="119" t="n"/>
      <c r="T306" s="119" t="n"/>
      <c r="U306" s="119" t="n"/>
      <c r="V306" s="119" t="n"/>
    </row>
    <row r="307" ht="16.5" customFormat="1" customHeight="1" s="56">
      <c r="A307" s="119" t="n"/>
      <c r="B307" s="119" t="n"/>
      <c r="C307" s="119" t="n"/>
      <c r="D307" s="119" t="n"/>
      <c r="E307" s="119" t="n"/>
      <c r="F307" s="119" t="n"/>
      <c r="G307" s="119" t="n"/>
      <c r="H307" s="119" t="n"/>
      <c r="I307" s="119" t="n"/>
      <c r="J307" s="119" t="n"/>
      <c r="K307" s="119" t="n"/>
      <c r="L307" s="119" t="n"/>
      <c r="M307" s="119" t="n"/>
      <c r="N307" s="119" t="n"/>
      <c r="O307" s="119" t="n"/>
      <c r="P307" s="119" t="n"/>
      <c r="Q307" s="119" t="n"/>
      <c r="R307" s="119" t="n"/>
      <c r="S307" s="119" t="n"/>
      <c r="T307" s="119" t="n"/>
      <c r="U307" s="119" t="n"/>
      <c r="V307" s="119" t="n"/>
    </row>
    <row r="308" ht="16.5" customFormat="1" customHeight="1" s="56">
      <c r="A308" s="119" t="n"/>
      <c r="B308" s="119" t="n"/>
      <c r="C308" s="119" t="n"/>
      <c r="D308" s="119" t="n"/>
      <c r="E308" s="119" t="n"/>
      <c r="F308" s="119" t="n"/>
      <c r="G308" s="119" t="n"/>
      <c r="H308" s="119" t="n"/>
      <c r="I308" s="119" t="n"/>
      <c r="J308" s="119" t="n"/>
      <c r="K308" s="119" t="n"/>
      <c r="L308" s="119" t="n"/>
      <c r="M308" s="119" t="n"/>
      <c r="N308" s="119" t="n"/>
      <c r="O308" s="119" t="n"/>
      <c r="P308" s="119" t="n"/>
      <c r="Q308" s="119" t="n"/>
      <c r="R308" s="119" t="n"/>
      <c r="S308" s="119" t="n"/>
      <c r="T308" s="119" t="n"/>
      <c r="U308" s="119" t="n"/>
      <c r="V308" s="119" t="n"/>
    </row>
    <row r="309" ht="16.5" customFormat="1" customHeight="1" s="56">
      <c r="A309" s="119" t="n"/>
      <c r="B309" s="119" t="n"/>
      <c r="C309" s="119" t="n"/>
      <c r="D309" s="119" t="n"/>
      <c r="E309" s="119" t="n"/>
      <c r="F309" s="119" t="n"/>
      <c r="G309" s="119" t="n"/>
      <c r="H309" s="119" t="n"/>
      <c r="I309" s="119" t="n"/>
      <c r="J309" s="119" t="n"/>
      <c r="K309" s="119" t="n"/>
      <c r="L309" s="119" t="n"/>
      <c r="M309" s="119" t="n"/>
      <c r="N309" s="119" t="n"/>
      <c r="O309" s="119" t="n"/>
      <c r="P309" s="119" t="n"/>
      <c r="Q309" s="119" t="n"/>
      <c r="R309" s="119" t="n"/>
      <c r="S309" s="119" t="n"/>
      <c r="T309" s="119" t="n"/>
      <c r="U309" s="119" t="n"/>
      <c r="V309" s="119" t="n"/>
    </row>
    <row r="310" ht="16.5" customFormat="1" customHeight="1" s="56">
      <c r="A310" s="119" t="n"/>
      <c r="B310" s="119" t="n"/>
      <c r="C310" s="119" t="n"/>
      <c r="D310" s="119" t="n"/>
      <c r="E310" s="119" t="n"/>
      <c r="F310" s="119" t="n"/>
      <c r="G310" s="119" t="n"/>
      <c r="H310" s="119" t="n"/>
      <c r="I310" s="119" t="n"/>
      <c r="J310" s="119" t="n"/>
      <c r="K310" s="119" t="n"/>
      <c r="L310" s="119" t="n"/>
      <c r="M310" s="119" t="n"/>
      <c r="N310" s="119" t="n"/>
      <c r="O310" s="119" t="n"/>
      <c r="P310" s="119" t="n"/>
      <c r="Q310" s="119" t="n"/>
      <c r="R310" s="119" t="n"/>
      <c r="S310" s="119" t="n"/>
      <c r="T310" s="119" t="n"/>
      <c r="U310" s="119" t="n"/>
      <c r="V310" s="119" t="n"/>
    </row>
    <row r="311" ht="16.5" customFormat="1" customHeight="1" s="56">
      <c r="A311" s="119" t="n"/>
      <c r="B311" s="119" t="n"/>
      <c r="C311" s="119" t="n"/>
      <c r="D311" s="119" t="n"/>
      <c r="E311" s="119" t="n"/>
      <c r="F311" s="119" t="n"/>
      <c r="G311" s="119" t="n"/>
      <c r="H311" s="119" t="n"/>
      <c r="I311" s="119" t="n"/>
      <c r="J311" s="119" t="n"/>
      <c r="K311" s="119" t="n"/>
      <c r="L311" s="119" t="n"/>
      <c r="M311" s="119" t="n"/>
      <c r="N311" s="119" t="n"/>
      <c r="O311" s="119" t="n"/>
      <c r="P311" s="119" t="n"/>
      <c r="Q311" s="119" t="n"/>
      <c r="R311" s="119" t="n"/>
      <c r="S311" s="119" t="n"/>
      <c r="T311" s="119" t="n"/>
      <c r="U311" s="119" t="n"/>
      <c r="V311" s="119" t="n"/>
    </row>
    <row r="312" ht="16.5" customFormat="1" customHeight="1" s="56">
      <c r="A312" s="119" t="n"/>
      <c r="B312" s="119" t="n"/>
      <c r="C312" s="119" t="n"/>
      <c r="D312" s="119" t="n"/>
      <c r="E312" s="119" t="n"/>
      <c r="F312" s="119" t="n"/>
      <c r="G312" s="119" t="n"/>
      <c r="H312" s="119" t="n"/>
      <c r="I312" s="119" t="n"/>
      <c r="J312" s="119" t="n"/>
      <c r="K312" s="119" t="n"/>
      <c r="L312" s="119" t="n"/>
      <c r="M312" s="119" t="n"/>
      <c r="N312" s="119" t="n"/>
      <c r="O312" s="119" t="n"/>
      <c r="P312" s="119" t="n"/>
      <c r="Q312" s="119" t="n"/>
      <c r="R312" s="119" t="n"/>
      <c r="S312" s="119" t="n"/>
      <c r="T312" s="119" t="n"/>
      <c r="U312" s="119" t="n"/>
      <c r="V312" s="119" t="n"/>
    </row>
    <row r="313" ht="16.5" customFormat="1" customHeight="1" s="56">
      <c r="A313" s="119" t="n"/>
      <c r="B313" s="119" t="n"/>
      <c r="C313" s="119" t="n"/>
      <c r="D313" s="119" t="n"/>
      <c r="E313" s="119" t="n"/>
      <c r="F313" s="119" t="n"/>
      <c r="G313" s="119" t="n"/>
      <c r="H313" s="119" t="n"/>
      <c r="I313" s="119" t="n"/>
      <c r="J313" s="119" t="n"/>
      <c r="K313" s="119" t="n"/>
      <c r="L313" s="119" t="n"/>
      <c r="M313" s="119" t="n"/>
      <c r="N313" s="119" t="n"/>
      <c r="O313" s="119" t="n"/>
      <c r="P313" s="119" t="n"/>
      <c r="Q313" s="119" t="n"/>
      <c r="R313" s="119" t="n"/>
      <c r="S313" s="119" t="n"/>
      <c r="T313" s="119" t="n"/>
      <c r="U313" s="119" t="n"/>
      <c r="V313" s="119" t="n"/>
    </row>
    <row r="314" ht="16.5" customFormat="1" customHeight="1" s="56">
      <c r="A314" s="119" t="n"/>
      <c r="B314" s="119" t="n"/>
      <c r="C314" s="119" t="n"/>
      <c r="D314" s="119" t="n"/>
      <c r="E314" s="119" t="n"/>
      <c r="F314" s="119" t="n"/>
      <c r="G314" s="119" t="n"/>
      <c r="H314" s="119" t="n"/>
      <c r="I314" s="119" t="n"/>
      <c r="J314" s="119" t="n"/>
      <c r="K314" s="119" t="n"/>
      <c r="L314" s="119" t="n"/>
      <c r="M314" s="119" t="n"/>
      <c r="N314" s="119" t="n"/>
      <c r="O314" s="119" t="n"/>
      <c r="P314" s="119" t="n"/>
      <c r="Q314" s="119" t="n"/>
      <c r="R314" s="119" t="n"/>
      <c r="S314" s="119" t="n"/>
      <c r="T314" s="119" t="n"/>
      <c r="U314" s="119" t="n"/>
      <c r="V314" s="119" t="n"/>
    </row>
    <row r="315" ht="16.5" customFormat="1" customHeight="1" s="56">
      <c r="A315" s="119" t="n"/>
      <c r="B315" s="119" t="n"/>
      <c r="C315" s="119" t="n"/>
      <c r="D315" s="119" t="n"/>
      <c r="E315" s="119" t="n"/>
      <c r="F315" s="119" t="n"/>
      <c r="G315" s="119" t="n"/>
      <c r="H315" s="119" t="n"/>
      <c r="I315" s="119" t="n"/>
      <c r="J315" s="119" t="n"/>
      <c r="K315" s="119" t="n"/>
      <c r="L315" s="119" t="n"/>
      <c r="M315" s="119" t="n"/>
      <c r="N315" s="119" t="n"/>
      <c r="O315" s="119" t="n"/>
      <c r="P315" s="119" t="n"/>
      <c r="Q315" s="119" t="n"/>
      <c r="R315" s="119" t="n"/>
      <c r="S315" s="119" t="n"/>
      <c r="T315" s="119" t="n"/>
      <c r="U315" s="119" t="n"/>
      <c r="V315" s="119" t="n"/>
    </row>
    <row r="316" ht="16.5" customFormat="1" customHeight="1" s="56">
      <c r="A316" s="119" t="n"/>
      <c r="B316" s="119" t="n"/>
      <c r="C316" s="119" t="n"/>
      <c r="D316" s="119" t="n"/>
      <c r="E316" s="119" t="n"/>
      <c r="F316" s="119" t="n"/>
      <c r="G316" s="119" t="n"/>
      <c r="H316" s="119" t="n"/>
      <c r="I316" s="119" t="n"/>
      <c r="J316" s="119" t="n"/>
      <c r="K316" s="119" t="n"/>
      <c r="L316" s="119" t="n"/>
      <c r="M316" s="119" t="n"/>
      <c r="N316" s="119" t="n"/>
      <c r="O316" s="119" t="n"/>
      <c r="P316" s="119" t="n"/>
      <c r="Q316" s="119" t="n"/>
      <c r="R316" s="119" t="n"/>
      <c r="S316" s="119" t="n"/>
      <c r="T316" s="119" t="n"/>
      <c r="U316" s="119" t="n"/>
      <c r="V316" s="119" t="n"/>
    </row>
    <row r="317" ht="16.5" customFormat="1" customHeight="1" s="56">
      <c r="A317" s="119" t="n"/>
      <c r="B317" s="119" t="n"/>
      <c r="C317" s="119" t="n"/>
      <c r="D317" s="119" t="n"/>
      <c r="E317" s="119" t="n"/>
      <c r="F317" s="119" t="n"/>
      <c r="G317" s="119" t="n"/>
      <c r="H317" s="119" t="n"/>
      <c r="I317" s="119" t="n"/>
      <c r="J317" s="119" t="n"/>
      <c r="K317" s="119" t="n"/>
      <c r="L317" s="119" t="n"/>
      <c r="M317" s="119" t="n"/>
      <c r="N317" s="119" t="n"/>
      <c r="O317" s="119" t="n"/>
      <c r="P317" s="119" t="n"/>
      <c r="Q317" s="119" t="n"/>
      <c r="R317" s="119" t="n"/>
      <c r="S317" s="119" t="n"/>
      <c r="T317" s="119" t="n"/>
      <c r="U317" s="119" t="n"/>
      <c r="V317" s="119" t="n"/>
    </row>
    <row r="318" ht="16.5" customFormat="1" customHeight="1" s="56">
      <c r="A318" s="119" t="n"/>
      <c r="B318" s="119" t="n"/>
      <c r="C318" s="119" t="n"/>
      <c r="D318" s="119" t="n"/>
      <c r="E318" s="119" t="n"/>
      <c r="F318" s="119" t="n"/>
      <c r="G318" s="119" t="n"/>
      <c r="H318" s="119" t="n"/>
      <c r="I318" s="119" t="n"/>
      <c r="J318" s="119" t="n"/>
      <c r="K318" s="119" t="n"/>
      <c r="L318" s="119" t="n"/>
      <c r="M318" s="119" t="n"/>
      <c r="N318" s="119" t="n"/>
      <c r="O318" s="119" t="n"/>
      <c r="P318" s="119" t="n"/>
      <c r="Q318" s="119" t="n"/>
      <c r="R318" s="119" t="n"/>
      <c r="S318" s="119" t="n"/>
      <c r="T318" s="119" t="n"/>
      <c r="U318" s="119" t="n"/>
      <c r="V318" s="119" t="n"/>
    </row>
    <row r="319" ht="16.5" customFormat="1" customHeight="1" s="56">
      <c r="A319" s="119" t="n"/>
      <c r="B319" s="119" t="n"/>
      <c r="C319" s="119" t="n"/>
      <c r="D319" s="119" t="n"/>
      <c r="E319" s="119" t="n"/>
      <c r="F319" s="119" t="n"/>
      <c r="G319" s="119" t="n"/>
      <c r="H319" s="119" t="n"/>
      <c r="I319" s="119" t="n"/>
      <c r="J319" s="119" t="n"/>
      <c r="K319" s="119" t="n"/>
      <c r="L319" s="119" t="n"/>
      <c r="M319" s="119" t="n"/>
      <c r="N319" s="119" t="n"/>
      <c r="O319" s="119" t="n"/>
      <c r="P319" s="119" t="n"/>
      <c r="Q319" s="119" t="n"/>
      <c r="R319" s="119" t="n"/>
      <c r="S319" s="119" t="n"/>
      <c r="T319" s="119" t="n"/>
      <c r="U319" s="119" t="n"/>
      <c r="V319" s="119" t="n"/>
    </row>
    <row r="320" ht="16.5" customFormat="1" customHeight="1" s="56">
      <c r="A320" s="119" t="n"/>
      <c r="B320" s="119" t="n"/>
      <c r="C320" s="119" t="n"/>
      <c r="D320" s="119" t="n"/>
      <c r="E320" s="119" t="n"/>
      <c r="F320" s="119" t="n"/>
      <c r="G320" s="119" t="n"/>
      <c r="H320" s="119" t="n"/>
      <c r="I320" s="119" t="n"/>
      <c r="J320" s="119" t="n"/>
      <c r="K320" s="119" t="n"/>
      <c r="L320" s="119" t="n"/>
      <c r="M320" s="119" t="n"/>
      <c r="N320" s="119" t="n"/>
      <c r="O320" s="119" t="n"/>
      <c r="P320" s="119" t="n"/>
      <c r="Q320" s="119" t="n"/>
      <c r="R320" s="119" t="n"/>
      <c r="S320" s="119" t="n"/>
      <c r="T320" s="119" t="n"/>
      <c r="U320" s="119" t="n"/>
      <c r="V320" s="119" t="n"/>
    </row>
    <row r="321" ht="16.5" customFormat="1" customHeight="1" s="56">
      <c r="A321" s="119" t="n"/>
      <c r="B321" s="119" t="n"/>
      <c r="C321" s="119" t="n"/>
      <c r="D321" s="119" t="n"/>
      <c r="E321" s="119" t="n"/>
      <c r="F321" s="119" t="n"/>
      <c r="G321" s="119" t="n"/>
      <c r="H321" s="119" t="n"/>
      <c r="I321" s="119" t="n"/>
      <c r="J321" s="119" t="n"/>
      <c r="K321" s="119" t="n"/>
      <c r="L321" s="119" t="n"/>
      <c r="M321" s="119" t="n"/>
      <c r="N321" s="119" t="n"/>
      <c r="O321" s="119" t="n"/>
      <c r="P321" s="119" t="n"/>
      <c r="Q321" s="119" t="n"/>
      <c r="R321" s="119" t="n"/>
      <c r="S321" s="119" t="n"/>
      <c r="T321" s="119" t="n"/>
      <c r="U321" s="119" t="n"/>
      <c r="V321" s="119" t="n"/>
    </row>
    <row r="322" ht="16.5" customFormat="1" customHeight="1" s="56">
      <c r="A322" s="119" t="n"/>
      <c r="B322" s="119" t="n"/>
      <c r="C322" s="119" t="n"/>
      <c r="D322" s="119" t="n"/>
      <c r="E322" s="119" t="n"/>
      <c r="F322" s="119" t="n"/>
      <c r="G322" s="119" t="n"/>
      <c r="H322" s="119" t="n"/>
      <c r="I322" s="119" t="n"/>
      <c r="J322" s="119" t="n"/>
      <c r="K322" s="119" t="n"/>
      <c r="L322" s="119" t="n"/>
      <c r="M322" s="119" t="n"/>
      <c r="N322" s="119" t="n"/>
      <c r="O322" s="119" t="n"/>
      <c r="P322" s="119" t="n"/>
      <c r="Q322" s="119" t="n"/>
      <c r="R322" s="119" t="n"/>
      <c r="S322" s="119" t="n"/>
      <c r="T322" s="119" t="n"/>
      <c r="U322" s="119" t="n"/>
      <c r="V322" s="119" t="n"/>
    </row>
    <row r="323" ht="16.5" customFormat="1" customHeight="1" s="56">
      <c r="A323" s="119" t="n"/>
      <c r="B323" s="119" t="n"/>
      <c r="C323" s="119" t="n"/>
      <c r="D323" s="119" t="n"/>
      <c r="E323" s="119" t="n"/>
      <c r="F323" s="119" t="n"/>
      <c r="G323" s="119" t="n"/>
      <c r="H323" s="119" t="n"/>
      <c r="I323" s="119" t="n"/>
      <c r="J323" s="119" t="n"/>
      <c r="K323" s="119" t="n"/>
      <c r="L323" s="119" t="n"/>
      <c r="M323" s="119" t="n"/>
      <c r="N323" s="119" t="n"/>
      <c r="O323" s="119" t="n"/>
      <c r="P323" s="119" t="n"/>
      <c r="Q323" s="119" t="n"/>
      <c r="R323" s="119" t="n"/>
      <c r="S323" s="119" t="n"/>
      <c r="T323" s="119" t="n"/>
      <c r="U323" s="119" t="n"/>
      <c r="V323" s="119" t="n"/>
    </row>
    <row r="324" ht="16.5" customFormat="1" customHeight="1" s="56">
      <c r="A324" s="119" t="n"/>
      <c r="B324" s="119" t="n"/>
      <c r="C324" s="119" t="n"/>
      <c r="D324" s="119" t="n"/>
      <c r="E324" s="119" t="n"/>
      <c r="F324" s="119" t="n"/>
      <c r="G324" s="119" t="n"/>
      <c r="H324" s="119" t="n"/>
      <c r="I324" s="119" t="n"/>
      <c r="J324" s="119" t="n"/>
      <c r="K324" s="119" t="n"/>
      <c r="L324" s="119" t="n"/>
      <c r="M324" s="119" t="n"/>
      <c r="N324" s="119" t="n"/>
      <c r="O324" s="119" t="n"/>
      <c r="P324" s="119" t="n"/>
      <c r="Q324" s="119" t="n"/>
      <c r="R324" s="119" t="n"/>
      <c r="S324" s="119" t="n"/>
      <c r="T324" s="119" t="n"/>
      <c r="U324" s="119" t="n"/>
      <c r="V324" s="119" t="n"/>
    </row>
    <row r="325" ht="16.5" customFormat="1" customHeight="1" s="56">
      <c r="A325" s="119" t="n"/>
      <c r="B325" s="119" t="n"/>
      <c r="C325" s="119" t="n"/>
      <c r="D325" s="119" t="n"/>
      <c r="E325" s="119" t="n"/>
      <c r="F325" s="119" t="n"/>
      <c r="G325" s="119" t="n"/>
      <c r="H325" s="119" t="n"/>
      <c r="I325" s="119" t="n"/>
      <c r="J325" s="119" t="n"/>
      <c r="K325" s="119" t="n"/>
      <c r="L325" s="119" t="n"/>
      <c r="M325" s="119" t="n"/>
      <c r="N325" s="119" t="n"/>
      <c r="O325" s="119" t="n"/>
      <c r="P325" s="119" t="n"/>
      <c r="Q325" s="119" t="n"/>
      <c r="R325" s="119" t="n"/>
      <c r="S325" s="119" t="n"/>
      <c r="T325" s="119" t="n"/>
      <c r="U325" s="119" t="n"/>
      <c r="V325" s="119" t="n"/>
    </row>
    <row r="326" ht="16.5" customFormat="1" customHeight="1" s="56">
      <c r="A326" s="119" t="n"/>
      <c r="B326" s="119" t="n"/>
      <c r="C326" s="119" t="n"/>
      <c r="D326" s="119" t="n"/>
      <c r="E326" s="119" t="n"/>
      <c r="F326" s="119" t="n"/>
      <c r="G326" s="119" t="n"/>
      <c r="H326" s="119" t="n"/>
      <c r="I326" s="119" t="n"/>
      <c r="J326" s="119" t="n"/>
      <c r="K326" s="119" t="n"/>
      <c r="L326" s="119" t="n"/>
      <c r="M326" s="119" t="n"/>
      <c r="N326" s="119" t="n"/>
      <c r="O326" s="119" t="n"/>
      <c r="P326" s="119" t="n"/>
      <c r="Q326" s="119" t="n"/>
      <c r="R326" s="119" t="n"/>
      <c r="S326" s="119" t="n"/>
      <c r="T326" s="119" t="n"/>
      <c r="U326" s="119" t="n"/>
      <c r="V326" s="119" t="n"/>
    </row>
    <row r="327" ht="16.5" customFormat="1" customHeight="1" s="56">
      <c r="A327" s="119" t="n"/>
      <c r="B327" s="119" t="n"/>
      <c r="C327" s="119" t="n"/>
      <c r="D327" s="119" t="n"/>
      <c r="E327" s="119" t="n"/>
      <c r="F327" s="119" t="n"/>
      <c r="G327" s="119" t="n"/>
      <c r="H327" s="119" t="n"/>
      <c r="I327" s="119" t="n"/>
      <c r="J327" s="119" t="n"/>
      <c r="K327" s="119" t="n"/>
      <c r="L327" s="119" t="n"/>
      <c r="M327" s="119" t="n"/>
      <c r="N327" s="119" t="n"/>
      <c r="O327" s="119" t="n"/>
      <c r="P327" s="119" t="n"/>
      <c r="Q327" s="119" t="n"/>
      <c r="R327" s="119" t="n"/>
      <c r="S327" s="119" t="n"/>
      <c r="T327" s="119" t="n"/>
      <c r="U327" s="119" t="n"/>
      <c r="V327" s="119" t="n"/>
    </row>
    <row r="328" ht="16.5" customFormat="1" customHeight="1" s="56">
      <c r="A328" s="119" t="n"/>
      <c r="B328" s="119" t="n"/>
      <c r="C328" s="119" t="n"/>
      <c r="D328" s="119" t="n"/>
      <c r="E328" s="119" t="n"/>
      <c r="F328" s="119" t="n"/>
      <c r="G328" s="119" t="n"/>
      <c r="H328" s="119" t="n"/>
      <c r="I328" s="119" t="n"/>
      <c r="J328" s="119" t="n"/>
      <c r="K328" s="119" t="n"/>
      <c r="L328" s="119" t="n"/>
      <c r="M328" s="119" t="n"/>
      <c r="N328" s="119" t="n"/>
      <c r="O328" s="119" t="n"/>
      <c r="P328" s="119" t="n"/>
      <c r="Q328" s="119" t="n"/>
      <c r="R328" s="119" t="n"/>
      <c r="S328" s="119" t="n"/>
      <c r="T328" s="119" t="n"/>
      <c r="U328" s="119" t="n"/>
      <c r="V328" s="119" t="n"/>
    </row>
    <row r="329" ht="16.5" customFormat="1" customHeight="1" s="56">
      <c r="A329" s="119" t="n"/>
      <c r="B329" s="119" t="n"/>
      <c r="C329" s="119" t="n"/>
      <c r="D329" s="119" t="n"/>
      <c r="E329" s="119" t="n"/>
      <c r="F329" s="119" t="n"/>
      <c r="G329" s="119" t="n"/>
      <c r="H329" s="119" t="n"/>
      <c r="I329" s="119" t="n"/>
      <c r="J329" s="119" t="n"/>
      <c r="K329" s="119" t="n"/>
      <c r="L329" s="119" t="n"/>
      <c r="M329" s="119" t="n"/>
      <c r="N329" s="119" t="n"/>
      <c r="O329" s="119" t="n"/>
      <c r="P329" s="119" t="n"/>
      <c r="Q329" s="119" t="n"/>
      <c r="R329" s="119" t="n"/>
      <c r="S329" s="119" t="n"/>
      <c r="T329" s="119" t="n"/>
      <c r="U329" s="119" t="n"/>
      <c r="V329" s="119" t="n"/>
    </row>
    <row r="330" ht="16.5" customFormat="1" customHeight="1" s="56">
      <c r="A330" s="119" t="n"/>
      <c r="B330" s="119" t="n"/>
      <c r="C330" s="119" t="n"/>
      <c r="D330" s="119" t="n"/>
      <c r="E330" s="119" t="n"/>
      <c r="F330" s="119" t="n"/>
      <c r="G330" s="119" t="n"/>
      <c r="H330" s="119" t="n"/>
      <c r="I330" s="119" t="n"/>
      <c r="J330" s="119" t="n"/>
      <c r="K330" s="119" t="n"/>
      <c r="L330" s="119" t="n"/>
      <c r="M330" s="119" t="n"/>
      <c r="N330" s="119" t="n"/>
      <c r="O330" s="119" t="n"/>
      <c r="P330" s="119" t="n"/>
      <c r="Q330" s="119" t="n"/>
      <c r="R330" s="119" t="n"/>
      <c r="S330" s="119" t="n"/>
      <c r="T330" s="119" t="n"/>
      <c r="U330" s="119" t="n"/>
      <c r="V330" s="119" t="n"/>
    </row>
    <row r="331" ht="16.5" customFormat="1" customHeight="1" s="56">
      <c r="A331" s="119" t="n"/>
      <c r="B331" s="119" t="n"/>
      <c r="C331" s="119" t="n"/>
      <c r="D331" s="119" t="n"/>
      <c r="E331" s="119" t="n"/>
      <c r="F331" s="119" t="n"/>
      <c r="G331" s="119" t="n"/>
      <c r="H331" s="119" t="n"/>
      <c r="I331" s="119" t="n"/>
      <c r="J331" s="119" t="n"/>
      <c r="K331" s="119" t="n"/>
      <c r="L331" s="119" t="n"/>
      <c r="M331" s="119" t="n"/>
      <c r="N331" s="119" t="n"/>
      <c r="O331" s="119" t="n"/>
      <c r="P331" s="119" t="n"/>
      <c r="Q331" s="119" t="n"/>
      <c r="R331" s="119" t="n"/>
      <c r="S331" s="119" t="n"/>
      <c r="T331" s="119" t="n"/>
      <c r="U331" s="119" t="n"/>
      <c r="V331" s="119" t="n"/>
    </row>
    <row r="332" ht="16.5" customFormat="1" customHeight="1" s="56">
      <c r="A332" s="119" t="n"/>
      <c r="B332" s="119" t="n"/>
      <c r="C332" s="119" t="n"/>
      <c r="D332" s="119" t="n"/>
      <c r="E332" s="119" t="n"/>
      <c r="F332" s="119" t="n"/>
      <c r="G332" s="119" t="n"/>
      <c r="H332" s="119" t="n"/>
      <c r="I332" s="119" t="n"/>
      <c r="J332" s="119" t="n"/>
      <c r="K332" s="119" t="n"/>
      <c r="L332" s="119" t="n"/>
      <c r="M332" s="119" t="n"/>
      <c r="N332" s="119" t="n"/>
      <c r="O332" s="119" t="n"/>
      <c r="P332" s="119" t="n"/>
      <c r="Q332" s="119" t="n"/>
      <c r="R332" s="119" t="n"/>
      <c r="S332" s="119" t="n"/>
      <c r="T332" s="119" t="n"/>
      <c r="U332" s="119" t="n"/>
      <c r="V332" s="119" t="n"/>
    </row>
    <row r="333" ht="16.5" customFormat="1" customHeight="1" s="56">
      <c r="A333" s="119" t="n"/>
      <c r="B333" s="119" t="n"/>
      <c r="C333" s="119" t="n"/>
      <c r="D333" s="119" t="n"/>
      <c r="E333" s="119" t="n"/>
      <c r="F333" s="119" t="n"/>
      <c r="G333" s="119" t="n"/>
      <c r="H333" s="119" t="n"/>
      <c r="I333" s="119" t="n"/>
      <c r="J333" s="119" t="n"/>
      <c r="K333" s="119" t="n"/>
      <c r="L333" s="119" t="n"/>
      <c r="M333" s="119" t="n"/>
      <c r="N333" s="119" t="n"/>
      <c r="O333" s="119" t="n"/>
      <c r="P333" s="119" t="n"/>
      <c r="Q333" s="119" t="n"/>
      <c r="R333" s="119" t="n"/>
      <c r="S333" s="119" t="n"/>
      <c r="T333" s="119" t="n"/>
      <c r="U333" s="119" t="n"/>
      <c r="V333" s="119" t="n"/>
    </row>
    <row r="334" ht="16.5" customFormat="1" customHeight="1" s="56">
      <c r="A334" s="119" t="n"/>
      <c r="B334" s="119" t="n"/>
      <c r="C334" s="119" t="n"/>
      <c r="D334" s="119" t="n"/>
      <c r="E334" s="119" t="n"/>
      <c r="F334" s="119" t="n"/>
      <c r="G334" s="119" t="n"/>
      <c r="H334" s="119" t="n"/>
      <c r="I334" s="119" t="n"/>
      <c r="J334" s="119" t="n"/>
      <c r="K334" s="119" t="n"/>
      <c r="L334" s="119" t="n"/>
      <c r="M334" s="119" t="n"/>
      <c r="N334" s="119" t="n"/>
      <c r="O334" s="119" t="n"/>
      <c r="P334" s="119" t="n"/>
      <c r="Q334" s="119" t="n"/>
      <c r="R334" s="119" t="n"/>
      <c r="S334" s="119" t="n"/>
      <c r="T334" s="119" t="n"/>
      <c r="U334" s="119" t="n"/>
      <c r="V334" s="119" t="n"/>
    </row>
    <row r="335" ht="16.5" customFormat="1" customHeight="1" s="56">
      <c r="A335" s="119" t="n"/>
      <c r="B335" s="119" t="n"/>
      <c r="C335" s="119" t="n"/>
      <c r="D335" s="119" t="n"/>
      <c r="E335" s="119" t="n"/>
      <c r="F335" s="119" t="n"/>
      <c r="G335" s="119" t="n"/>
      <c r="H335" s="119" t="n"/>
      <c r="I335" s="119" t="n"/>
      <c r="J335" s="119" t="n"/>
      <c r="K335" s="119" t="n"/>
      <c r="L335" s="119" t="n"/>
      <c r="M335" s="119" t="n"/>
      <c r="N335" s="119" t="n"/>
      <c r="O335" s="119" t="n"/>
      <c r="P335" s="119" t="n"/>
      <c r="Q335" s="119" t="n"/>
      <c r="R335" s="119" t="n"/>
      <c r="S335" s="119" t="n"/>
      <c r="T335" s="119" t="n"/>
      <c r="U335" s="119" t="n"/>
      <c r="V335" s="119" t="n"/>
    </row>
    <row r="336" ht="16.5" customFormat="1" customHeight="1" s="56">
      <c r="A336" s="119" t="n"/>
      <c r="B336" s="119" t="n"/>
      <c r="C336" s="119" t="n"/>
      <c r="D336" s="119" t="n"/>
      <c r="E336" s="119" t="n"/>
      <c r="F336" s="119" t="n"/>
      <c r="G336" s="119" t="n"/>
      <c r="H336" s="119" t="n"/>
      <c r="I336" s="119" t="n"/>
      <c r="J336" s="119" t="n"/>
      <c r="K336" s="119" t="n"/>
      <c r="L336" s="119" t="n"/>
      <c r="M336" s="119" t="n"/>
      <c r="N336" s="119" t="n"/>
      <c r="O336" s="119" t="n"/>
      <c r="P336" s="119" t="n"/>
      <c r="Q336" s="119" t="n"/>
      <c r="R336" s="119" t="n"/>
      <c r="S336" s="119" t="n"/>
      <c r="T336" s="119" t="n"/>
      <c r="U336" s="119" t="n"/>
      <c r="V336" s="119" t="n"/>
    </row>
    <row r="337" ht="16.5" customFormat="1" customHeight="1" s="56">
      <c r="A337" s="119" t="n"/>
      <c r="B337" s="119" t="n"/>
      <c r="C337" s="119" t="n"/>
      <c r="D337" s="119" t="n"/>
      <c r="E337" s="119" t="n"/>
      <c r="F337" s="119" t="n"/>
      <c r="G337" s="119" t="n"/>
      <c r="H337" s="119" t="n"/>
      <c r="I337" s="119" t="n"/>
      <c r="J337" s="119" t="n"/>
      <c r="K337" s="119" t="n"/>
      <c r="L337" s="119" t="n"/>
      <c r="M337" s="119" t="n"/>
      <c r="N337" s="119" t="n"/>
      <c r="O337" s="119" t="n"/>
      <c r="P337" s="119" t="n"/>
      <c r="Q337" s="119" t="n"/>
      <c r="R337" s="119" t="n"/>
      <c r="S337" s="119" t="n"/>
      <c r="T337" s="119" t="n"/>
      <c r="U337" s="119" t="n"/>
      <c r="V337" s="119" t="n"/>
    </row>
    <row r="338" ht="16.5" customFormat="1" customHeight="1" s="56">
      <c r="A338" s="119" t="n"/>
      <c r="B338" s="119" t="n"/>
      <c r="C338" s="119" t="n"/>
      <c r="D338" s="119" t="n"/>
      <c r="E338" s="119" t="n"/>
      <c r="F338" s="119" t="n"/>
      <c r="G338" s="119" t="n"/>
      <c r="H338" s="119" t="n"/>
      <c r="I338" s="119" t="n"/>
      <c r="J338" s="119" t="n"/>
      <c r="K338" s="119" t="n"/>
      <c r="L338" s="119" t="n"/>
      <c r="M338" s="119" t="n"/>
      <c r="N338" s="119" t="n"/>
      <c r="O338" s="119" t="n"/>
      <c r="P338" s="119" t="n"/>
      <c r="Q338" s="119" t="n"/>
      <c r="R338" s="119" t="n"/>
      <c r="S338" s="119" t="n"/>
      <c r="T338" s="119" t="n"/>
      <c r="U338" s="119" t="n"/>
      <c r="V338" s="119" t="n"/>
    </row>
    <row r="339" ht="16.5" customFormat="1" customHeight="1" s="56">
      <c r="A339" s="119" t="n"/>
      <c r="B339" s="119" t="n"/>
      <c r="C339" s="119" t="n"/>
      <c r="D339" s="119" t="n"/>
      <c r="E339" s="119" t="n"/>
      <c r="F339" s="119" t="n"/>
      <c r="G339" s="119" t="n"/>
      <c r="H339" s="119" t="n"/>
      <c r="I339" s="119" t="n"/>
      <c r="J339" s="119" t="n"/>
      <c r="K339" s="119" t="n"/>
      <c r="L339" s="119" t="n"/>
      <c r="M339" s="119" t="n"/>
      <c r="N339" s="119" t="n"/>
      <c r="O339" s="119" t="n"/>
      <c r="P339" s="119" t="n"/>
      <c r="Q339" s="119" t="n"/>
      <c r="R339" s="119" t="n"/>
      <c r="S339" s="119" t="n"/>
      <c r="T339" s="119" t="n"/>
      <c r="U339" s="119" t="n"/>
      <c r="V339" s="119" t="n"/>
    </row>
    <row r="340" ht="16.5" customFormat="1" customHeight="1" s="56">
      <c r="A340" s="119" t="n"/>
      <c r="B340" s="119" t="n"/>
      <c r="C340" s="119" t="n"/>
      <c r="D340" s="119" t="n"/>
      <c r="E340" s="119" t="n"/>
      <c r="F340" s="119" t="n"/>
      <c r="G340" s="119" t="n"/>
      <c r="H340" s="119" t="n"/>
      <c r="I340" s="119" t="n"/>
      <c r="J340" s="119" t="n"/>
      <c r="K340" s="119" t="n"/>
      <c r="L340" s="119" t="n"/>
      <c r="M340" s="119" t="n"/>
      <c r="N340" s="119" t="n"/>
      <c r="O340" s="119" t="n"/>
      <c r="P340" s="119" t="n"/>
      <c r="Q340" s="119" t="n"/>
      <c r="R340" s="119" t="n"/>
      <c r="S340" s="119" t="n"/>
      <c r="T340" s="119" t="n"/>
      <c r="U340" s="119" t="n"/>
      <c r="V340" s="119" t="n"/>
    </row>
    <row r="341" ht="16.5" customFormat="1" customHeight="1" s="56">
      <c r="A341" s="119" t="n"/>
      <c r="B341" s="119" t="n"/>
      <c r="C341" s="119" t="n"/>
      <c r="D341" s="119" t="n"/>
      <c r="E341" s="119" t="n"/>
      <c r="F341" s="119" t="n"/>
      <c r="G341" s="119" t="n"/>
      <c r="H341" s="119" t="n"/>
      <c r="I341" s="119" t="n"/>
      <c r="J341" s="119" t="n"/>
      <c r="K341" s="119" t="n"/>
      <c r="L341" s="119" t="n"/>
      <c r="M341" s="119" t="n"/>
      <c r="N341" s="119" t="n"/>
      <c r="O341" s="119" t="n"/>
      <c r="P341" s="119" t="n"/>
      <c r="Q341" s="119" t="n"/>
      <c r="R341" s="119" t="n"/>
      <c r="S341" s="119" t="n"/>
      <c r="T341" s="119" t="n"/>
      <c r="U341" s="119" t="n"/>
      <c r="V341" s="119" t="n"/>
    </row>
    <row r="342" ht="16.5" customFormat="1" customHeight="1" s="56">
      <c r="A342" s="119" t="n"/>
      <c r="B342" s="119" t="n"/>
      <c r="C342" s="119" t="n"/>
      <c r="D342" s="119" t="n"/>
      <c r="E342" s="119" t="n"/>
      <c r="F342" s="119" t="n"/>
      <c r="G342" s="119" t="n"/>
      <c r="H342" s="119" t="n"/>
      <c r="I342" s="119" t="n"/>
      <c r="J342" s="119" t="n"/>
      <c r="K342" s="119" t="n"/>
      <c r="L342" s="119" t="n"/>
      <c r="M342" s="119" t="n"/>
      <c r="N342" s="119" t="n"/>
      <c r="O342" s="119" t="n"/>
      <c r="P342" s="119" t="n"/>
      <c r="Q342" s="119" t="n"/>
      <c r="R342" s="119" t="n"/>
      <c r="S342" s="119" t="n"/>
      <c r="T342" s="119" t="n"/>
      <c r="U342" s="119" t="n"/>
      <c r="V342" s="119" t="n"/>
    </row>
    <row r="343" ht="16.5" customFormat="1" customHeight="1" s="56">
      <c r="A343" s="119" t="n"/>
      <c r="B343" s="119" t="n"/>
      <c r="C343" s="119" t="n"/>
      <c r="D343" s="119" t="n"/>
      <c r="E343" s="119" t="n"/>
      <c r="F343" s="119" t="n"/>
      <c r="G343" s="119" t="n"/>
      <c r="H343" s="119" t="n"/>
      <c r="I343" s="119" t="n"/>
      <c r="J343" s="119" t="n"/>
      <c r="K343" s="119" t="n"/>
      <c r="L343" s="119" t="n"/>
      <c r="M343" s="119" t="n"/>
      <c r="N343" s="119" t="n"/>
      <c r="O343" s="119" t="n"/>
      <c r="P343" s="119" t="n"/>
      <c r="Q343" s="119" t="n"/>
      <c r="R343" s="119" t="n"/>
      <c r="S343" s="119" t="n"/>
      <c r="T343" s="119" t="n"/>
      <c r="U343" s="119" t="n"/>
      <c r="V343" s="119" t="n"/>
    </row>
    <row r="344" ht="16.5" customFormat="1" customHeight="1" s="56">
      <c r="A344" s="119" t="n"/>
      <c r="B344" s="119" t="n"/>
      <c r="C344" s="119" t="n"/>
      <c r="D344" s="119" t="n"/>
      <c r="E344" s="119" t="n"/>
      <c r="F344" s="119" t="n"/>
      <c r="G344" s="119" t="n"/>
      <c r="H344" s="119" t="n"/>
      <c r="I344" s="119" t="n"/>
      <c r="J344" s="119" t="n"/>
      <c r="K344" s="119" t="n"/>
      <c r="L344" s="119" t="n"/>
      <c r="M344" s="119" t="n"/>
      <c r="N344" s="119" t="n"/>
      <c r="O344" s="119" t="n"/>
      <c r="P344" s="119" t="n"/>
      <c r="Q344" s="119" t="n"/>
      <c r="R344" s="119" t="n"/>
      <c r="S344" s="119" t="n"/>
      <c r="T344" s="119" t="n"/>
      <c r="U344" s="119" t="n"/>
      <c r="V344" s="119" t="n"/>
    </row>
    <row r="345" ht="16.5" customFormat="1" customHeight="1" s="56">
      <c r="A345" s="119" t="n"/>
      <c r="B345" s="119" t="n"/>
      <c r="C345" s="119" t="n"/>
      <c r="D345" s="119" t="n"/>
      <c r="E345" s="119" t="n"/>
      <c r="F345" s="119" t="n"/>
      <c r="G345" s="119" t="n"/>
      <c r="H345" s="119" t="n"/>
      <c r="I345" s="119" t="n"/>
      <c r="J345" s="119" t="n"/>
      <c r="K345" s="119" t="n"/>
      <c r="L345" s="119" t="n"/>
      <c r="M345" s="119" t="n"/>
      <c r="N345" s="119" t="n"/>
      <c r="O345" s="119" t="n"/>
      <c r="P345" s="119" t="n"/>
      <c r="Q345" s="119" t="n"/>
      <c r="R345" s="119" t="n"/>
      <c r="S345" s="119" t="n"/>
      <c r="T345" s="119" t="n"/>
      <c r="U345" s="119" t="n"/>
      <c r="V345" s="119" t="n"/>
    </row>
    <row r="346" ht="16.5" customFormat="1" customHeight="1" s="56">
      <c r="A346" s="119" t="n"/>
      <c r="B346" s="119" t="n"/>
      <c r="C346" s="119" t="n"/>
      <c r="D346" s="119" t="n"/>
      <c r="E346" s="119" t="n"/>
      <c r="F346" s="119" t="n"/>
      <c r="G346" s="119" t="n"/>
      <c r="H346" s="119" t="n"/>
      <c r="I346" s="119" t="n"/>
      <c r="J346" s="119" t="n"/>
      <c r="K346" s="119" t="n"/>
      <c r="L346" s="119" t="n"/>
      <c r="M346" s="119" t="n"/>
      <c r="N346" s="119" t="n"/>
      <c r="O346" s="119" t="n"/>
      <c r="P346" s="119" t="n"/>
      <c r="Q346" s="119" t="n"/>
      <c r="R346" s="119" t="n"/>
      <c r="S346" s="119" t="n"/>
      <c r="T346" s="119" t="n"/>
      <c r="U346" s="119" t="n"/>
      <c r="V346" s="119" t="n"/>
    </row>
    <row r="347" ht="16.5" customFormat="1" customHeight="1" s="56">
      <c r="A347" s="119" t="n"/>
      <c r="B347" s="119" t="n"/>
      <c r="C347" s="119" t="n"/>
      <c r="D347" s="119" t="n"/>
      <c r="E347" s="119" t="n"/>
      <c r="F347" s="119" t="n"/>
      <c r="G347" s="119" t="n"/>
      <c r="H347" s="119" t="n"/>
      <c r="I347" s="119" t="n"/>
      <c r="J347" s="119" t="n"/>
      <c r="K347" s="119" t="n"/>
      <c r="L347" s="119" t="n"/>
      <c r="M347" s="119" t="n"/>
      <c r="N347" s="119" t="n"/>
      <c r="O347" s="119" t="n"/>
      <c r="P347" s="119" t="n"/>
      <c r="Q347" s="119" t="n"/>
      <c r="R347" s="119" t="n"/>
      <c r="S347" s="119" t="n"/>
      <c r="T347" s="119" t="n"/>
      <c r="U347" s="119" t="n"/>
      <c r="V347" s="119" t="n"/>
    </row>
    <row r="348" ht="16.5" customFormat="1" customHeight="1" s="56">
      <c r="A348" s="119" t="n"/>
      <c r="B348" s="119" t="n"/>
      <c r="C348" s="119" t="n"/>
      <c r="D348" s="119" t="n"/>
      <c r="E348" s="119" t="n"/>
      <c r="F348" s="119" t="n"/>
      <c r="G348" s="119" t="n"/>
      <c r="H348" s="119" t="n"/>
      <c r="I348" s="119" t="n"/>
      <c r="J348" s="119" t="n"/>
      <c r="K348" s="119" t="n"/>
      <c r="L348" s="119" t="n"/>
      <c r="M348" s="119" t="n"/>
      <c r="N348" s="119" t="n"/>
      <c r="O348" s="119" t="n"/>
      <c r="P348" s="119" t="n"/>
      <c r="Q348" s="119" t="n"/>
      <c r="R348" s="119" t="n"/>
      <c r="S348" s="119" t="n"/>
      <c r="T348" s="119" t="n"/>
      <c r="U348" s="119" t="n"/>
      <c r="V348" s="119" t="n"/>
    </row>
    <row r="349" ht="16.5" customFormat="1" customHeight="1" s="56">
      <c r="A349" s="119" t="n"/>
      <c r="B349" s="119" t="n"/>
      <c r="C349" s="119" t="n"/>
      <c r="D349" s="119" t="n"/>
      <c r="E349" s="119" t="n"/>
      <c r="F349" s="119" t="n"/>
      <c r="G349" s="119" t="n"/>
      <c r="H349" s="119" t="n"/>
      <c r="I349" s="119" t="n"/>
      <c r="J349" s="119" t="n"/>
      <c r="K349" s="119" t="n"/>
      <c r="L349" s="119" t="n"/>
      <c r="M349" s="119" t="n"/>
      <c r="N349" s="119" t="n"/>
      <c r="O349" s="119" t="n"/>
      <c r="P349" s="119" t="n"/>
      <c r="Q349" s="119" t="n"/>
      <c r="R349" s="119" t="n"/>
      <c r="S349" s="119" t="n"/>
      <c r="T349" s="119" t="n"/>
      <c r="U349" s="119" t="n"/>
      <c r="V349" s="119" t="n"/>
    </row>
    <row r="350" ht="16.5" customFormat="1" customHeight="1" s="56">
      <c r="A350" s="119" t="n"/>
      <c r="B350" s="119" t="n"/>
      <c r="C350" s="119" t="n"/>
      <c r="D350" s="119" t="n"/>
      <c r="E350" s="119" t="n"/>
      <c r="F350" s="119" t="n"/>
      <c r="G350" s="119" t="n"/>
      <c r="H350" s="119" t="n"/>
      <c r="I350" s="119" t="n"/>
      <c r="J350" s="119" t="n"/>
      <c r="K350" s="119" t="n"/>
      <c r="L350" s="119" t="n"/>
      <c r="M350" s="119" t="n"/>
      <c r="N350" s="119" t="n"/>
      <c r="O350" s="119" t="n"/>
      <c r="P350" s="119" t="n"/>
      <c r="Q350" s="119" t="n"/>
      <c r="R350" s="119" t="n"/>
      <c r="S350" s="119" t="n"/>
      <c r="T350" s="119" t="n"/>
      <c r="U350" s="119" t="n"/>
      <c r="V350" s="119" t="n"/>
    </row>
    <row r="351" ht="16.5" customFormat="1" customHeight="1" s="56">
      <c r="A351" s="119" t="n"/>
      <c r="B351" s="119" t="n"/>
      <c r="C351" s="119" t="n"/>
      <c r="D351" s="119" t="n"/>
      <c r="E351" s="119" t="n"/>
      <c r="F351" s="119" t="n"/>
      <c r="G351" s="119" t="n"/>
      <c r="H351" s="119" t="n"/>
      <c r="I351" s="119" t="n"/>
      <c r="J351" s="119" t="n"/>
      <c r="K351" s="119" t="n"/>
      <c r="L351" s="119" t="n"/>
      <c r="M351" s="119" t="n"/>
      <c r="N351" s="119" t="n"/>
      <c r="O351" s="119" t="n"/>
      <c r="P351" s="119" t="n"/>
      <c r="Q351" s="119" t="n"/>
      <c r="R351" s="119" t="n"/>
      <c r="S351" s="119" t="n"/>
      <c r="T351" s="119" t="n"/>
      <c r="U351" s="119" t="n"/>
      <c r="V351" s="119" t="n"/>
    </row>
    <row r="352" ht="16.5" customFormat="1" customHeight="1" s="56">
      <c r="A352" s="119" t="n"/>
      <c r="B352" s="119" t="n"/>
      <c r="C352" s="119" t="n"/>
      <c r="D352" s="119" t="n"/>
      <c r="E352" s="119" t="n"/>
      <c r="F352" s="119" t="n"/>
      <c r="G352" s="119" t="n"/>
      <c r="H352" s="119" t="n"/>
      <c r="I352" s="119" t="n"/>
      <c r="J352" s="119" t="n"/>
      <c r="K352" s="119" t="n"/>
      <c r="L352" s="119" t="n"/>
      <c r="M352" s="119" t="n"/>
      <c r="N352" s="119" t="n"/>
      <c r="O352" s="119" t="n"/>
      <c r="P352" s="119" t="n"/>
      <c r="Q352" s="119" t="n"/>
      <c r="R352" s="119" t="n"/>
      <c r="S352" s="119" t="n"/>
      <c r="T352" s="119" t="n"/>
      <c r="U352" s="119" t="n"/>
      <c r="V352" s="119" t="n"/>
    </row>
    <row r="353" ht="16.5" customFormat="1" customHeight="1" s="56">
      <c r="A353" s="119" t="n"/>
      <c r="B353" s="119" t="n"/>
      <c r="C353" s="119" t="n"/>
      <c r="D353" s="119" t="n"/>
      <c r="E353" s="119" t="n"/>
      <c r="F353" s="119" t="n"/>
      <c r="G353" s="119" t="n"/>
      <c r="H353" s="119" t="n"/>
      <c r="I353" s="119" t="n"/>
      <c r="J353" s="119" t="n"/>
      <c r="K353" s="119" t="n"/>
      <c r="L353" s="119" t="n"/>
      <c r="M353" s="119" t="n"/>
      <c r="N353" s="119" t="n"/>
      <c r="O353" s="119" t="n"/>
      <c r="P353" s="119" t="n"/>
      <c r="Q353" s="119" t="n"/>
      <c r="R353" s="119" t="n"/>
      <c r="S353" s="119" t="n"/>
      <c r="T353" s="119" t="n"/>
      <c r="U353" s="119" t="n"/>
      <c r="V353" s="119" t="n"/>
    </row>
    <row r="354" ht="16.5" customFormat="1" customHeight="1" s="56">
      <c r="A354" s="119" t="n"/>
      <c r="B354" s="119" t="n"/>
      <c r="C354" s="119" t="n"/>
      <c r="D354" s="119" t="n"/>
      <c r="E354" s="119" t="n"/>
      <c r="F354" s="119" t="n"/>
      <c r="G354" s="119" t="n"/>
      <c r="H354" s="119" t="n"/>
      <c r="I354" s="119" t="n"/>
      <c r="J354" s="119" t="n"/>
      <c r="K354" s="119" t="n"/>
      <c r="L354" s="119" t="n"/>
      <c r="M354" s="119" t="n"/>
      <c r="N354" s="119" t="n"/>
      <c r="O354" s="119" t="n"/>
      <c r="P354" s="119" t="n"/>
      <c r="Q354" s="119" t="n"/>
      <c r="R354" s="119" t="n"/>
      <c r="S354" s="119" t="n"/>
      <c r="T354" s="119" t="n"/>
      <c r="U354" s="119" t="n"/>
      <c r="V354" s="119" t="n"/>
    </row>
    <row r="355" ht="16.5" customFormat="1" customHeight="1" s="56">
      <c r="A355" s="119" t="n"/>
      <c r="B355" s="119" t="n"/>
      <c r="C355" s="119" t="n"/>
      <c r="D355" s="119" t="n"/>
      <c r="E355" s="119" t="n"/>
      <c r="F355" s="119" t="n"/>
      <c r="G355" s="119" t="n"/>
      <c r="H355" s="119" t="n"/>
      <c r="I355" s="119" t="n"/>
      <c r="J355" s="119" t="n"/>
      <c r="K355" s="119" t="n"/>
      <c r="L355" s="119" t="n"/>
      <c r="M355" s="119" t="n"/>
      <c r="N355" s="119" t="n"/>
      <c r="O355" s="119" t="n"/>
      <c r="P355" s="119" t="n"/>
      <c r="Q355" s="119" t="n"/>
      <c r="R355" s="119" t="n"/>
      <c r="S355" s="119" t="n"/>
      <c r="T355" s="119" t="n"/>
      <c r="U355" s="119" t="n"/>
      <c r="V355" s="119" t="n"/>
    </row>
    <row r="356" ht="16.5" customFormat="1" customHeight="1" s="56">
      <c r="A356" s="119" t="n"/>
      <c r="B356" s="119" t="n"/>
      <c r="C356" s="119" t="n"/>
      <c r="D356" s="119" t="n"/>
      <c r="E356" s="119" t="n"/>
      <c r="F356" s="119" t="n"/>
      <c r="G356" s="119" t="n"/>
      <c r="H356" s="119" t="n"/>
      <c r="I356" s="119" t="n"/>
      <c r="J356" s="119" t="n"/>
      <c r="K356" s="119" t="n"/>
      <c r="L356" s="119" t="n"/>
      <c r="M356" s="119" t="n"/>
      <c r="N356" s="119" t="n"/>
      <c r="O356" s="119" t="n"/>
      <c r="P356" s="119" t="n"/>
      <c r="Q356" s="119" t="n"/>
      <c r="R356" s="119" t="n"/>
      <c r="S356" s="119" t="n"/>
      <c r="T356" s="119" t="n"/>
      <c r="U356" s="119" t="n"/>
      <c r="V356" s="119" t="n"/>
    </row>
    <row r="357" ht="16.5" customFormat="1" customHeight="1" s="56">
      <c r="A357" s="119" t="n"/>
      <c r="B357" s="119" t="n"/>
      <c r="C357" s="119" t="n"/>
      <c r="D357" s="119" t="n"/>
      <c r="E357" s="119" t="n"/>
      <c r="F357" s="119" t="n"/>
      <c r="G357" s="119" t="n"/>
      <c r="H357" s="119" t="n"/>
      <c r="I357" s="119" t="n"/>
      <c r="J357" s="119" t="n"/>
      <c r="K357" s="119" t="n"/>
      <c r="L357" s="119" t="n"/>
      <c r="M357" s="119" t="n"/>
      <c r="N357" s="119" t="n"/>
      <c r="O357" s="119" t="n"/>
      <c r="P357" s="119" t="n"/>
      <c r="Q357" s="119" t="n"/>
      <c r="R357" s="119" t="n"/>
      <c r="S357" s="119" t="n"/>
      <c r="T357" s="119" t="n"/>
      <c r="U357" s="119" t="n"/>
      <c r="V357" s="119" t="n"/>
    </row>
    <row r="358" ht="16.5" customFormat="1" customHeight="1" s="56">
      <c r="A358" s="119" t="n"/>
      <c r="B358" s="119" t="n"/>
      <c r="C358" s="119" t="n"/>
      <c r="D358" s="119" t="n"/>
      <c r="E358" s="119" t="n"/>
      <c r="F358" s="119" t="n"/>
      <c r="G358" s="119" t="n"/>
      <c r="H358" s="119" t="n"/>
      <c r="I358" s="119" t="n"/>
      <c r="J358" s="119" t="n"/>
      <c r="K358" s="119" t="n"/>
      <c r="L358" s="119" t="n"/>
      <c r="M358" s="119" t="n"/>
      <c r="N358" s="119" t="n"/>
      <c r="O358" s="119" t="n"/>
      <c r="P358" s="119" t="n"/>
      <c r="Q358" s="119" t="n"/>
      <c r="R358" s="119" t="n"/>
      <c r="S358" s="119" t="n"/>
      <c r="T358" s="119" t="n"/>
      <c r="U358" s="119" t="n"/>
      <c r="V358" s="119" t="n"/>
    </row>
    <row r="359" ht="16.5" customFormat="1" customHeight="1" s="56">
      <c r="A359" s="119" t="n"/>
      <c r="B359" s="119" t="n"/>
      <c r="C359" s="119" t="n"/>
      <c r="D359" s="119" t="n"/>
      <c r="E359" s="119" t="n"/>
      <c r="F359" s="119" t="n"/>
      <c r="G359" s="119" t="n"/>
      <c r="H359" s="119" t="n"/>
      <c r="I359" s="119" t="n"/>
      <c r="J359" s="119" t="n"/>
      <c r="K359" s="119" t="n"/>
      <c r="L359" s="119" t="n"/>
      <c r="M359" s="119" t="n"/>
      <c r="N359" s="119" t="n"/>
      <c r="O359" s="119" t="n"/>
      <c r="P359" s="119" t="n"/>
      <c r="Q359" s="119" t="n"/>
      <c r="R359" s="119" t="n"/>
      <c r="S359" s="119" t="n"/>
      <c r="T359" s="119" t="n"/>
      <c r="U359" s="119" t="n"/>
      <c r="V359" s="119" t="n"/>
    </row>
    <row r="360" ht="16.5" customFormat="1" customHeight="1" s="56">
      <c r="A360" s="119" t="n"/>
      <c r="B360" s="119" t="n"/>
      <c r="C360" s="119" t="n"/>
      <c r="D360" s="119" t="n"/>
      <c r="E360" s="119" t="n"/>
      <c r="F360" s="119" t="n"/>
      <c r="G360" s="119" t="n"/>
      <c r="H360" s="119" t="n"/>
      <c r="I360" s="119" t="n"/>
      <c r="J360" s="119" t="n"/>
      <c r="K360" s="119" t="n"/>
      <c r="L360" s="119" t="n"/>
      <c r="M360" s="119" t="n"/>
      <c r="N360" s="119" t="n"/>
      <c r="O360" s="119" t="n"/>
      <c r="P360" s="119" t="n"/>
      <c r="Q360" s="119" t="n"/>
      <c r="R360" s="119" t="n"/>
      <c r="S360" s="119" t="n"/>
      <c r="T360" s="119" t="n"/>
      <c r="U360" s="119" t="n"/>
      <c r="V360" s="119" t="n"/>
    </row>
    <row r="361" ht="16.5" customFormat="1" customHeight="1" s="56">
      <c r="A361" s="119" t="n"/>
      <c r="B361" s="119" t="n"/>
      <c r="C361" s="119" t="n"/>
      <c r="D361" s="119" t="n"/>
      <c r="E361" s="119" t="n"/>
      <c r="F361" s="119" t="n"/>
      <c r="G361" s="119" t="n"/>
      <c r="H361" s="119" t="n"/>
      <c r="I361" s="119" t="n"/>
      <c r="J361" s="119" t="n"/>
      <c r="K361" s="119" t="n"/>
      <c r="L361" s="119" t="n"/>
      <c r="M361" s="119" t="n"/>
      <c r="N361" s="119" t="n"/>
      <c r="O361" s="119" t="n"/>
      <c r="P361" s="119" t="n"/>
      <c r="Q361" s="119" t="n"/>
      <c r="R361" s="119" t="n"/>
      <c r="S361" s="119" t="n"/>
      <c r="T361" s="119" t="n"/>
      <c r="U361" s="119" t="n"/>
      <c r="V361" s="119" t="n"/>
    </row>
    <row r="362" ht="16.5" customFormat="1" customHeight="1" s="56">
      <c r="A362" s="119" t="n"/>
      <c r="B362" s="119" t="n"/>
      <c r="C362" s="119" t="n"/>
      <c r="D362" s="119" t="n"/>
      <c r="E362" s="119" t="n"/>
      <c r="F362" s="119" t="n"/>
      <c r="G362" s="119" t="n"/>
      <c r="H362" s="119" t="n"/>
      <c r="I362" s="119" t="n"/>
      <c r="J362" s="119" t="n"/>
      <c r="K362" s="119" t="n"/>
      <c r="L362" s="119" t="n"/>
      <c r="M362" s="119" t="n"/>
      <c r="N362" s="119" t="n"/>
      <c r="O362" s="119" t="n"/>
      <c r="P362" s="119" t="n"/>
      <c r="Q362" s="119" t="n"/>
      <c r="R362" s="119" t="n"/>
      <c r="S362" s="119" t="n"/>
      <c r="T362" s="119" t="n"/>
      <c r="U362" s="119" t="n"/>
      <c r="V362" s="119" t="n"/>
    </row>
    <row r="363" ht="16.5" customFormat="1" customHeight="1" s="56">
      <c r="A363" s="119" t="n"/>
      <c r="B363" s="119" t="n"/>
      <c r="C363" s="119" t="n"/>
      <c r="D363" s="119" t="n"/>
      <c r="E363" s="119" t="n"/>
      <c r="F363" s="119" t="n"/>
      <c r="G363" s="119" t="n"/>
      <c r="H363" s="119" t="n"/>
      <c r="I363" s="119" t="n"/>
      <c r="J363" s="119" t="n"/>
      <c r="K363" s="119" t="n"/>
      <c r="L363" s="119" t="n"/>
      <c r="M363" s="119" t="n"/>
      <c r="N363" s="119" t="n"/>
      <c r="O363" s="119" t="n"/>
      <c r="P363" s="119" t="n"/>
      <c r="Q363" s="119" t="n"/>
      <c r="R363" s="119" t="n"/>
      <c r="S363" s="119" t="n"/>
      <c r="T363" s="119" t="n"/>
      <c r="U363" s="119" t="n"/>
      <c r="V363" s="119" t="n"/>
    </row>
    <row r="364" ht="16.5" customFormat="1" customHeight="1" s="56">
      <c r="A364" s="119" t="n"/>
      <c r="B364" s="119" t="n"/>
      <c r="C364" s="119" t="n"/>
      <c r="D364" s="119" t="n"/>
      <c r="E364" s="119" t="n"/>
      <c r="F364" s="119" t="n"/>
      <c r="G364" s="119" t="n"/>
      <c r="H364" s="119" t="n"/>
      <c r="I364" s="119" t="n"/>
      <c r="J364" s="119" t="n"/>
      <c r="K364" s="119" t="n"/>
      <c r="L364" s="119" t="n"/>
      <c r="M364" s="119" t="n"/>
      <c r="N364" s="119" t="n"/>
      <c r="O364" s="119" t="n"/>
      <c r="P364" s="119" t="n"/>
      <c r="Q364" s="119" t="n"/>
      <c r="R364" s="119" t="n"/>
      <c r="S364" s="119" t="n"/>
      <c r="T364" s="119" t="n"/>
      <c r="U364" s="119" t="n"/>
      <c r="V364" s="119" t="n"/>
    </row>
    <row r="365" ht="16.5" customFormat="1" customHeight="1" s="56">
      <c r="A365" s="119" t="n"/>
      <c r="B365" s="119" t="n"/>
      <c r="C365" s="119" t="n"/>
      <c r="D365" s="119" t="n"/>
      <c r="E365" s="119" t="n"/>
      <c r="F365" s="119" t="n"/>
      <c r="G365" s="119" t="n"/>
      <c r="H365" s="119" t="n"/>
      <c r="I365" s="119" t="n"/>
      <c r="J365" s="119" t="n"/>
      <c r="K365" s="119" t="n"/>
      <c r="L365" s="119" t="n"/>
      <c r="M365" s="119" t="n"/>
      <c r="N365" s="119" t="n"/>
      <c r="O365" s="119" t="n"/>
      <c r="P365" s="119" t="n"/>
      <c r="Q365" s="119" t="n"/>
      <c r="R365" s="119" t="n"/>
      <c r="S365" s="119" t="n"/>
      <c r="T365" s="119" t="n"/>
      <c r="U365" s="119" t="n"/>
      <c r="V365" s="119" t="n"/>
    </row>
    <row r="366" ht="16.5" customFormat="1" customHeight="1" s="56">
      <c r="A366" s="119" t="n"/>
      <c r="B366" s="119" t="n"/>
      <c r="C366" s="119" t="n"/>
      <c r="D366" s="119" t="n"/>
      <c r="E366" s="119" t="n"/>
      <c r="F366" s="119" t="n"/>
      <c r="G366" s="119" t="n"/>
      <c r="H366" s="119" t="n"/>
      <c r="I366" s="119" t="n"/>
      <c r="J366" s="119" t="n"/>
      <c r="K366" s="119" t="n"/>
      <c r="L366" s="119" t="n"/>
      <c r="M366" s="119" t="n"/>
      <c r="N366" s="119" t="n"/>
      <c r="O366" s="119" t="n"/>
      <c r="P366" s="119" t="n"/>
      <c r="Q366" s="119" t="n"/>
      <c r="R366" s="119" t="n"/>
      <c r="S366" s="119" t="n"/>
      <c r="T366" s="119" t="n"/>
      <c r="U366" s="119" t="n"/>
      <c r="V366" s="119" t="n"/>
    </row>
    <row r="367" ht="16.5" customFormat="1" customHeight="1" s="56">
      <c r="A367" s="119" t="n"/>
      <c r="B367" s="119" t="n"/>
      <c r="C367" s="119" t="n"/>
      <c r="D367" s="119" t="n"/>
      <c r="E367" s="119" t="n"/>
      <c r="F367" s="119" t="n"/>
      <c r="G367" s="119" t="n"/>
      <c r="H367" s="119" t="n"/>
      <c r="I367" s="119" t="n"/>
      <c r="J367" s="119" t="n"/>
      <c r="K367" s="119" t="n"/>
      <c r="L367" s="119" t="n"/>
      <c r="M367" s="119" t="n"/>
      <c r="N367" s="119" t="n"/>
      <c r="O367" s="119" t="n"/>
      <c r="P367" s="119" t="n"/>
      <c r="Q367" s="119" t="n"/>
      <c r="R367" s="119" t="n"/>
      <c r="S367" s="119" t="n"/>
      <c r="T367" s="119" t="n"/>
      <c r="U367" s="119" t="n"/>
      <c r="V367" s="119" t="n"/>
    </row>
    <row r="368" ht="16.5" customFormat="1" customHeight="1" s="56">
      <c r="A368" s="119" t="n"/>
      <c r="B368" s="119" t="n"/>
      <c r="C368" s="119" t="n"/>
      <c r="D368" s="119" t="n"/>
      <c r="E368" s="119" t="n"/>
      <c r="F368" s="119" t="n"/>
      <c r="G368" s="119" t="n"/>
      <c r="H368" s="119" t="n"/>
      <c r="I368" s="119" t="n"/>
      <c r="J368" s="119" t="n"/>
      <c r="K368" s="119" t="n"/>
      <c r="L368" s="119" t="n"/>
      <c r="M368" s="119" t="n"/>
      <c r="N368" s="119" t="n"/>
      <c r="O368" s="119" t="n"/>
      <c r="P368" s="119" t="n"/>
      <c r="Q368" s="119" t="n"/>
      <c r="R368" s="119" t="n"/>
      <c r="S368" s="119" t="n"/>
      <c r="T368" s="119" t="n"/>
      <c r="U368" s="119" t="n"/>
      <c r="V368" s="119" t="n"/>
    </row>
    <row r="369" ht="16.5" customFormat="1" customHeight="1" s="56">
      <c r="A369" s="119" t="n"/>
      <c r="B369" s="119" t="n"/>
      <c r="C369" s="119" t="n"/>
      <c r="D369" s="119" t="n"/>
      <c r="E369" s="119" t="n"/>
      <c r="F369" s="119" t="n"/>
      <c r="G369" s="119" t="n"/>
      <c r="H369" s="119" t="n"/>
      <c r="I369" s="119" t="n"/>
      <c r="J369" s="119" t="n"/>
      <c r="K369" s="119" t="n"/>
      <c r="L369" s="119" t="n"/>
      <c r="M369" s="119" t="n"/>
      <c r="N369" s="119" t="n"/>
      <c r="O369" s="119" t="n"/>
      <c r="P369" s="119" t="n"/>
      <c r="Q369" s="119" t="n"/>
      <c r="R369" s="119" t="n"/>
      <c r="S369" s="119" t="n"/>
      <c r="T369" s="119" t="n"/>
      <c r="U369" s="119" t="n"/>
      <c r="V369" s="119" t="n"/>
    </row>
    <row r="370" ht="16.5" customFormat="1" customHeight="1" s="56">
      <c r="A370" s="119" t="n"/>
      <c r="B370" s="119" t="n"/>
      <c r="C370" s="119" t="n"/>
      <c r="D370" s="119" t="n"/>
      <c r="E370" s="119" t="n"/>
      <c r="F370" s="119" t="n"/>
      <c r="G370" s="119" t="n"/>
      <c r="H370" s="119" t="n"/>
      <c r="I370" s="119" t="n"/>
      <c r="J370" s="119" t="n"/>
      <c r="K370" s="119" t="n"/>
      <c r="L370" s="119" t="n"/>
      <c r="M370" s="119" t="n"/>
      <c r="N370" s="119" t="n"/>
      <c r="O370" s="119" t="n"/>
      <c r="P370" s="119" t="n"/>
      <c r="Q370" s="119" t="n"/>
      <c r="R370" s="119" t="n"/>
      <c r="S370" s="119" t="n"/>
      <c r="T370" s="119" t="n"/>
      <c r="U370" s="119" t="n"/>
      <c r="V370" s="119" t="n"/>
    </row>
    <row r="371" ht="16.5" customFormat="1" customHeight="1" s="56">
      <c r="A371" s="119" t="n"/>
      <c r="B371" s="119" t="n"/>
      <c r="C371" s="119" t="n"/>
      <c r="D371" s="119" t="n"/>
      <c r="E371" s="119" t="n"/>
      <c r="F371" s="119" t="n"/>
      <c r="G371" s="119" t="n"/>
      <c r="H371" s="119" t="n"/>
      <c r="I371" s="119" t="n"/>
      <c r="J371" s="119" t="n"/>
      <c r="K371" s="119" t="n"/>
      <c r="L371" s="119" t="n"/>
      <c r="M371" s="119" t="n"/>
      <c r="N371" s="119" t="n"/>
      <c r="O371" s="119" t="n"/>
      <c r="P371" s="119" t="n"/>
      <c r="Q371" s="119" t="n"/>
      <c r="R371" s="119" t="n"/>
      <c r="S371" s="119" t="n"/>
      <c r="T371" s="119" t="n"/>
      <c r="U371" s="119" t="n"/>
      <c r="V371" s="119" t="n"/>
    </row>
    <row r="372" ht="16.5" customFormat="1" customHeight="1" s="56">
      <c r="A372" s="119" t="n"/>
      <c r="B372" s="119" t="n"/>
      <c r="C372" s="119" t="n"/>
      <c r="D372" s="119" t="n"/>
      <c r="E372" s="119" t="n"/>
      <c r="F372" s="119" t="n"/>
      <c r="G372" s="119" t="n"/>
      <c r="H372" s="119" t="n"/>
      <c r="I372" s="119" t="n"/>
      <c r="J372" s="119" t="n"/>
      <c r="K372" s="119" t="n"/>
      <c r="L372" s="119" t="n"/>
      <c r="M372" s="119" t="n"/>
      <c r="N372" s="119" t="n"/>
      <c r="O372" s="119" t="n"/>
      <c r="P372" s="119" t="n"/>
      <c r="Q372" s="119" t="n"/>
      <c r="R372" s="119" t="n"/>
      <c r="S372" s="119" t="n"/>
      <c r="T372" s="119" t="n"/>
      <c r="U372" s="119" t="n"/>
      <c r="V372" s="119" t="n"/>
    </row>
    <row r="373" ht="16.5" customFormat="1" customHeight="1" s="56">
      <c r="A373" s="119" t="n"/>
      <c r="B373" s="119" t="n"/>
      <c r="C373" s="119" t="n"/>
      <c r="D373" s="119" t="n"/>
      <c r="E373" s="119" t="n"/>
      <c r="F373" s="119" t="n"/>
      <c r="G373" s="119" t="n"/>
      <c r="H373" s="119" t="n"/>
      <c r="I373" s="119" t="n"/>
      <c r="J373" s="119" t="n"/>
      <c r="K373" s="119" t="n"/>
      <c r="L373" s="119" t="n"/>
      <c r="M373" s="119" t="n"/>
      <c r="N373" s="119" t="n"/>
      <c r="O373" s="119" t="n"/>
      <c r="P373" s="119" t="n"/>
      <c r="Q373" s="119" t="n"/>
      <c r="R373" s="119" t="n"/>
      <c r="S373" s="119" t="n"/>
      <c r="T373" s="119" t="n"/>
      <c r="U373" s="119" t="n"/>
      <c r="V373" s="119" t="n"/>
    </row>
    <row r="374" ht="16.5" customFormat="1" customHeight="1" s="56">
      <c r="A374" s="119" t="n"/>
      <c r="B374" s="119" t="n"/>
      <c r="C374" s="119" t="n"/>
      <c r="D374" s="119" t="n"/>
      <c r="E374" s="119" t="n"/>
      <c r="F374" s="119" t="n"/>
      <c r="G374" s="119" t="n"/>
      <c r="H374" s="119" t="n"/>
      <c r="I374" s="119" t="n"/>
      <c r="J374" s="119" t="n"/>
      <c r="K374" s="119" t="n"/>
      <c r="L374" s="119" t="n"/>
      <c r="M374" s="119" t="n"/>
      <c r="N374" s="119" t="n"/>
      <c r="O374" s="119" t="n"/>
      <c r="P374" s="119" t="n"/>
      <c r="Q374" s="119" t="n"/>
      <c r="R374" s="119" t="n"/>
      <c r="S374" s="119" t="n"/>
      <c r="T374" s="119" t="n"/>
      <c r="U374" s="119" t="n"/>
      <c r="V374" s="119" t="n"/>
    </row>
    <row r="375" ht="16.5" customFormat="1" customHeight="1" s="56">
      <c r="A375" s="119" t="n"/>
      <c r="B375" s="119" t="n"/>
      <c r="C375" s="119" t="n"/>
      <c r="D375" s="119" t="n"/>
      <c r="E375" s="119" t="n"/>
      <c r="F375" s="119" t="n"/>
      <c r="G375" s="119" t="n"/>
      <c r="H375" s="119" t="n"/>
      <c r="I375" s="119" t="n"/>
      <c r="J375" s="119" t="n"/>
      <c r="K375" s="119" t="n"/>
      <c r="L375" s="119" t="n"/>
      <c r="M375" s="119" t="n"/>
      <c r="N375" s="119" t="n"/>
      <c r="O375" s="119" t="n"/>
      <c r="P375" s="119" t="n"/>
      <c r="Q375" s="119" t="n"/>
      <c r="R375" s="119" t="n"/>
      <c r="S375" s="119" t="n"/>
      <c r="T375" s="119" t="n"/>
      <c r="U375" s="119" t="n"/>
      <c r="V375" s="119" t="n"/>
    </row>
    <row r="376" ht="16.5" customFormat="1" customHeight="1" s="56">
      <c r="A376" s="119" t="n"/>
      <c r="B376" s="119" t="n"/>
      <c r="C376" s="119" t="n"/>
      <c r="D376" s="119" t="n"/>
      <c r="E376" s="119" t="n"/>
      <c r="F376" s="119" t="n"/>
      <c r="G376" s="119" t="n"/>
      <c r="H376" s="119" t="n"/>
      <c r="I376" s="119" t="n"/>
      <c r="J376" s="119" t="n"/>
      <c r="K376" s="119" t="n"/>
      <c r="L376" s="119" t="n"/>
      <c r="M376" s="119" t="n"/>
      <c r="N376" s="119" t="n"/>
      <c r="O376" s="119" t="n"/>
      <c r="P376" s="119" t="n"/>
      <c r="Q376" s="119" t="n"/>
      <c r="R376" s="119" t="n"/>
      <c r="S376" s="119" t="n"/>
      <c r="T376" s="119" t="n"/>
      <c r="U376" s="119" t="n"/>
      <c r="V376" s="119" t="n"/>
    </row>
    <row r="377" ht="16.5" customFormat="1" customHeight="1" s="56">
      <c r="A377" s="119" t="n"/>
      <c r="B377" s="119" t="n"/>
      <c r="C377" s="119" t="n"/>
      <c r="D377" s="119" t="n"/>
      <c r="E377" s="119" t="n"/>
      <c r="F377" s="119" t="n"/>
      <c r="G377" s="119" t="n"/>
      <c r="H377" s="119" t="n"/>
      <c r="I377" s="119" t="n"/>
      <c r="J377" s="119" t="n"/>
      <c r="K377" s="119" t="n"/>
      <c r="L377" s="119" t="n"/>
      <c r="M377" s="119" t="n"/>
      <c r="N377" s="119" t="n"/>
      <c r="O377" s="119" t="n"/>
      <c r="P377" s="119" t="n"/>
      <c r="Q377" s="119" t="n"/>
      <c r="R377" s="119" t="n"/>
      <c r="S377" s="119" t="n"/>
      <c r="T377" s="119" t="n"/>
      <c r="U377" s="119" t="n"/>
      <c r="V377" s="119" t="n"/>
    </row>
    <row r="378" ht="16.5" customFormat="1" customHeight="1" s="56">
      <c r="A378" s="119" t="n"/>
      <c r="B378" s="119" t="n"/>
      <c r="C378" s="119" t="n"/>
      <c r="D378" s="119" t="n"/>
      <c r="E378" s="119" t="n"/>
      <c r="F378" s="119" t="n"/>
      <c r="G378" s="119" t="n"/>
      <c r="H378" s="119" t="n"/>
      <c r="I378" s="119" t="n"/>
      <c r="J378" s="119" t="n"/>
      <c r="K378" s="119" t="n"/>
      <c r="L378" s="119" t="n"/>
      <c r="M378" s="119" t="n"/>
      <c r="N378" s="119" t="n"/>
      <c r="O378" s="119" t="n"/>
      <c r="P378" s="119" t="n"/>
      <c r="Q378" s="119" t="n"/>
      <c r="R378" s="119" t="n"/>
      <c r="S378" s="119" t="n"/>
      <c r="T378" s="119" t="n"/>
      <c r="U378" s="119" t="n"/>
      <c r="V378" s="119" t="n"/>
    </row>
    <row r="379" ht="16.5" customFormat="1" customHeight="1" s="56">
      <c r="A379" s="119" t="n"/>
      <c r="B379" s="119" t="n"/>
      <c r="C379" s="119" t="n"/>
      <c r="D379" s="119" t="n"/>
      <c r="E379" s="119" t="n"/>
      <c r="F379" s="119" t="n"/>
      <c r="G379" s="119" t="n"/>
      <c r="H379" s="119" t="n"/>
      <c r="I379" s="119" t="n"/>
      <c r="J379" s="119" t="n"/>
      <c r="K379" s="119" t="n"/>
      <c r="L379" s="119" t="n"/>
      <c r="M379" s="119" t="n"/>
      <c r="N379" s="119" t="n"/>
      <c r="O379" s="119" t="n"/>
      <c r="P379" s="119" t="n"/>
      <c r="Q379" s="119" t="n"/>
      <c r="R379" s="119" t="n"/>
      <c r="S379" s="119" t="n"/>
      <c r="T379" s="119" t="n"/>
      <c r="U379" s="119" t="n"/>
      <c r="V379" s="119" t="n"/>
    </row>
    <row r="380" ht="16.5" customFormat="1" customHeight="1" s="56">
      <c r="A380" s="119" t="n"/>
      <c r="B380" s="119" t="n"/>
      <c r="C380" s="119" t="n"/>
      <c r="D380" s="119" t="n"/>
      <c r="E380" s="119" t="n"/>
      <c r="F380" s="119" t="n"/>
      <c r="G380" s="119" t="n"/>
      <c r="H380" s="119" t="n"/>
      <c r="I380" s="119" t="n"/>
      <c r="J380" s="119" t="n"/>
      <c r="K380" s="119" t="n"/>
      <c r="L380" s="119" t="n"/>
      <c r="M380" s="119" t="n"/>
      <c r="N380" s="119" t="n"/>
      <c r="O380" s="119" t="n"/>
      <c r="P380" s="119" t="n"/>
      <c r="Q380" s="119" t="n"/>
      <c r="R380" s="119" t="n"/>
      <c r="S380" s="119" t="n"/>
      <c r="T380" s="119" t="n"/>
      <c r="U380" s="119" t="n"/>
      <c r="V380" s="119" t="n"/>
    </row>
    <row r="381" ht="16.5" customFormat="1" customHeight="1" s="56">
      <c r="A381" s="119" t="n"/>
      <c r="B381" s="119" t="n"/>
      <c r="C381" s="119" t="n"/>
      <c r="D381" s="119" t="n"/>
      <c r="E381" s="119" t="n"/>
      <c r="F381" s="119" t="n"/>
      <c r="G381" s="119" t="n"/>
      <c r="H381" s="119" t="n"/>
      <c r="I381" s="119" t="n"/>
      <c r="J381" s="119" t="n"/>
      <c r="K381" s="119" t="n"/>
      <c r="L381" s="119" t="n"/>
      <c r="M381" s="119" t="n"/>
      <c r="N381" s="119" t="n"/>
      <c r="O381" s="119" t="n"/>
      <c r="P381" s="119" t="n"/>
      <c r="Q381" s="119" t="n"/>
      <c r="R381" s="119" t="n"/>
      <c r="S381" s="119" t="n"/>
      <c r="T381" s="119" t="n"/>
      <c r="U381" s="119" t="n"/>
      <c r="V381" s="119" t="n"/>
    </row>
    <row r="382" ht="16.5" customFormat="1" customHeight="1" s="56">
      <c r="A382" s="119" t="n"/>
      <c r="B382" s="119" t="n"/>
      <c r="C382" s="119" t="n"/>
      <c r="D382" s="119" t="n"/>
      <c r="E382" s="119" t="n"/>
      <c r="F382" s="119" t="n"/>
      <c r="G382" s="119" t="n"/>
      <c r="H382" s="119" t="n"/>
      <c r="I382" s="119" t="n"/>
      <c r="J382" s="119" t="n"/>
      <c r="K382" s="119" t="n"/>
      <c r="L382" s="119" t="n"/>
      <c r="M382" s="119" t="n"/>
      <c r="N382" s="119" t="n"/>
      <c r="O382" s="119" t="n"/>
      <c r="P382" s="119" t="n"/>
      <c r="Q382" s="119" t="n"/>
      <c r="R382" s="119" t="n"/>
      <c r="S382" s="119" t="n"/>
      <c r="T382" s="119" t="n"/>
      <c r="U382" s="119" t="n"/>
      <c r="V382" s="119" t="n"/>
    </row>
    <row r="383" ht="16.5" customFormat="1" customHeight="1" s="56">
      <c r="A383" s="119" t="n"/>
      <c r="B383" s="119" t="n"/>
      <c r="C383" s="119" t="n"/>
      <c r="D383" s="119" t="n"/>
      <c r="E383" s="119" t="n"/>
      <c r="F383" s="119" t="n"/>
      <c r="G383" s="119" t="n"/>
      <c r="H383" s="119" t="n"/>
      <c r="I383" s="119" t="n"/>
      <c r="J383" s="119" t="n"/>
      <c r="K383" s="119" t="n"/>
      <c r="L383" s="119" t="n"/>
      <c r="M383" s="119" t="n"/>
      <c r="N383" s="119" t="n"/>
      <c r="O383" s="119" t="n"/>
      <c r="P383" s="119" t="n"/>
      <c r="Q383" s="119" t="n"/>
      <c r="R383" s="119" t="n"/>
      <c r="S383" s="119" t="n"/>
      <c r="T383" s="119" t="n"/>
      <c r="U383" s="119" t="n"/>
      <c r="V383" s="119" t="n"/>
    </row>
    <row r="384" ht="16.5" customFormat="1" customHeight="1" s="56">
      <c r="A384" s="119" t="n"/>
      <c r="B384" s="119" t="n"/>
      <c r="C384" s="119" t="n"/>
      <c r="D384" s="119" t="n"/>
      <c r="E384" s="119" t="n"/>
      <c r="F384" s="119" t="n"/>
      <c r="G384" s="119" t="n"/>
      <c r="H384" s="119" t="n"/>
      <c r="I384" s="119" t="n"/>
      <c r="J384" s="119" t="n"/>
      <c r="K384" s="119" t="n"/>
      <c r="L384" s="119" t="n"/>
      <c r="M384" s="119" t="n"/>
      <c r="N384" s="119" t="n"/>
      <c r="O384" s="119" t="n"/>
      <c r="P384" s="119" t="n"/>
      <c r="Q384" s="119" t="n"/>
      <c r="R384" s="119" t="n"/>
      <c r="S384" s="119" t="n"/>
      <c r="T384" s="119" t="n"/>
      <c r="U384" s="119" t="n"/>
      <c r="V384" s="119" t="n"/>
    </row>
    <row r="385" ht="16.5" customFormat="1" customHeight="1" s="56">
      <c r="A385" s="119" t="n"/>
      <c r="B385" s="119" t="n"/>
      <c r="C385" s="119" t="n"/>
      <c r="D385" s="119" t="n"/>
      <c r="E385" s="119" t="n"/>
      <c r="F385" s="119" t="n"/>
      <c r="G385" s="119" t="n"/>
      <c r="H385" s="119" t="n"/>
      <c r="I385" s="119" t="n"/>
      <c r="J385" s="119" t="n"/>
      <c r="K385" s="119" t="n"/>
      <c r="L385" s="119" t="n"/>
      <c r="M385" s="119" t="n"/>
      <c r="N385" s="119" t="n"/>
      <c r="O385" s="119" t="n"/>
      <c r="P385" s="119" t="n"/>
      <c r="Q385" s="119" t="n"/>
      <c r="R385" s="119" t="n"/>
      <c r="S385" s="119" t="n"/>
      <c r="T385" s="119" t="n"/>
      <c r="U385" s="119" t="n"/>
      <c r="V385" s="119" t="n"/>
    </row>
    <row r="386" ht="16.5" customFormat="1" customHeight="1" s="56">
      <c r="A386" s="119" t="n"/>
      <c r="B386" s="119" t="n"/>
      <c r="C386" s="119" t="n"/>
      <c r="D386" s="119" t="n"/>
      <c r="E386" s="119" t="n"/>
      <c r="F386" s="119" t="n"/>
      <c r="G386" s="119" t="n"/>
      <c r="H386" s="119" t="n"/>
      <c r="I386" s="119" t="n"/>
      <c r="J386" s="119" t="n"/>
      <c r="K386" s="119" t="n"/>
      <c r="L386" s="119" t="n"/>
      <c r="M386" s="119" t="n"/>
      <c r="N386" s="119" t="n"/>
      <c r="O386" s="119" t="n"/>
      <c r="P386" s="119" t="n"/>
      <c r="Q386" s="119" t="n"/>
      <c r="R386" s="119" t="n"/>
      <c r="S386" s="119" t="n"/>
      <c r="T386" s="119" t="n"/>
      <c r="U386" s="119" t="n"/>
      <c r="V386" s="119" t="n"/>
    </row>
    <row r="387" ht="16.5" customFormat="1" customHeight="1" s="56">
      <c r="A387" s="119" t="n"/>
      <c r="B387" s="119" t="n"/>
      <c r="C387" s="119" t="n"/>
      <c r="D387" s="119" t="n"/>
      <c r="E387" s="119" t="n"/>
      <c r="F387" s="119" t="n"/>
      <c r="G387" s="119" t="n"/>
      <c r="H387" s="119" t="n"/>
      <c r="I387" s="119" t="n"/>
      <c r="J387" s="119" t="n"/>
      <c r="K387" s="119" t="n"/>
      <c r="L387" s="119" t="n"/>
      <c r="M387" s="119" t="n"/>
      <c r="N387" s="119" t="n"/>
      <c r="O387" s="119" t="n"/>
      <c r="P387" s="119" t="n"/>
      <c r="Q387" s="119" t="n"/>
      <c r="R387" s="119" t="n"/>
      <c r="S387" s="119" t="n"/>
      <c r="T387" s="119" t="n"/>
      <c r="U387" s="119" t="n"/>
      <c r="V387" s="119" t="n"/>
    </row>
    <row r="388" ht="16.5" customFormat="1" customHeight="1" s="56">
      <c r="A388" s="119" t="n"/>
      <c r="B388" s="119" t="n"/>
      <c r="C388" s="119" t="n"/>
      <c r="D388" s="119" t="n"/>
      <c r="E388" s="119" t="n"/>
      <c r="F388" s="119" t="n"/>
      <c r="G388" s="119" t="n"/>
      <c r="H388" s="119" t="n"/>
      <c r="I388" s="119" t="n"/>
      <c r="J388" s="119" t="n"/>
      <c r="K388" s="119" t="n"/>
      <c r="L388" s="119" t="n"/>
      <c r="M388" s="119" t="n"/>
      <c r="N388" s="119" t="n"/>
      <c r="O388" s="119" t="n"/>
      <c r="P388" s="119" t="n"/>
      <c r="Q388" s="119" t="n"/>
      <c r="R388" s="119" t="n"/>
      <c r="S388" s="119" t="n"/>
      <c r="T388" s="119" t="n"/>
      <c r="U388" s="119" t="n"/>
      <c r="V388" s="119" t="n"/>
    </row>
    <row r="389" ht="16.5" customFormat="1" customHeight="1" s="56">
      <c r="A389" s="119" t="n"/>
      <c r="B389" s="119" t="n"/>
      <c r="C389" s="119" t="n"/>
      <c r="D389" s="119" t="n"/>
      <c r="E389" s="119" t="n"/>
      <c r="F389" s="119" t="n"/>
      <c r="G389" s="119" t="n"/>
      <c r="H389" s="119" t="n"/>
      <c r="I389" s="119" t="n"/>
      <c r="J389" s="119" t="n"/>
      <c r="K389" s="119" t="n"/>
      <c r="L389" s="119" t="n"/>
      <c r="M389" s="119" t="n"/>
      <c r="N389" s="119" t="n"/>
      <c r="O389" s="119" t="n"/>
      <c r="P389" s="119" t="n"/>
      <c r="Q389" s="119" t="n"/>
      <c r="R389" s="119" t="n"/>
      <c r="S389" s="119" t="n"/>
      <c r="T389" s="119" t="n"/>
      <c r="U389" s="119" t="n"/>
      <c r="V389" s="119" t="n"/>
    </row>
    <row r="390" ht="16.5" customFormat="1" customHeight="1" s="56">
      <c r="A390" s="119" t="n"/>
      <c r="B390" s="119" t="n"/>
      <c r="C390" s="119" t="n"/>
      <c r="D390" s="119" t="n"/>
      <c r="E390" s="119" t="n"/>
      <c r="F390" s="119" t="n"/>
      <c r="G390" s="119" t="n"/>
      <c r="H390" s="119" t="n"/>
      <c r="I390" s="119" t="n"/>
      <c r="J390" s="119" t="n"/>
      <c r="K390" s="119" t="n"/>
      <c r="L390" s="119" t="n"/>
      <c r="M390" s="119" t="n"/>
      <c r="N390" s="119" t="n"/>
      <c r="O390" s="119" t="n"/>
      <c r="P390" s="119" t="n"/>
      <c r="Q390" s="119" t="n"/>
      <c r="R390" s="119" t="n"/>
      <c r="S390" s="119" t="n"/>
      <c r="T390" s="119" t="n"/>
      <c r="U390" s="119" t="n"/>
      <c r="V390" s="119" t="n"/>
    </row>
    <row r="391" ht="16.5" customFormat="1" customHeight="1" s="56">
      <c r="A391" s="119" t="n"/>
      <c r="B391" s="119" t="n"/>
      <c r="C391" s="119" t="n"/>
      <c r="D391" s="119" t="n"/>
      <c r="E391" s="119" t="n"/>
      <c r="F391" s="119" t="n"/>
      <c r="G391" s="119" t="n"/>
      <c r="H391" s="119" t="n"/>
      <c r="I391" s="119" t="n"/>
      <c r="J391" s="119" t="n"/>
      <c r="K391" s="119" t="n"/>
      <c r="L391" s="119" t="n"/>
      <c r="M391" s="119" t="n"/>
      <c r="N391" s="119" t="n"/>
      <c r="O391" s="119" t="n"/>
      <c r="P391" s="119" t="n"/>
      <c r="Q391" s="119" t="n"/>
      <c r="R391" s="119" t="n"/>
      <c r="S391" s="119" t="n"/>
      <c r="T391" s="119" t="n"/>
      <c r="U391" s="119" t="n"/>
      <c r="V391" s="119" t="n"/>
    </row>
    <row r="392" ht="16.5" customFormat="1" customHeight="1" s="56">
      <c r="A392" s="119" t="n"/>
      <c r="B392" s="119" t="n"/>
      <c r="C392" s="119" t="n"/>
      <c r="D392" s="119" t="n"/>
      <c r="E392" s="119" t="n"/>
      <c r="F392" s="119" t="n"/>
      <c r="G392" s="119" t="n"/>
      <c r="H392" s="119" t="n"/>
      <c r="I392" s="119" t="n"/>
      <c r="J392" s="119" t="n"/>
      <c r="K392" s="119" t="n"/>
      <c r="L392" s="119" t="n"/>
      <c r="M392" s="119" t="n"/>
      <c r="N392" s="119" t="n"/>
      <c r="O392" s="119" t="n"/>
      <c r="P392" s="119" t="n"/>
      <c r="Q392" s="119" t="n"/>
      <c r="R392" s="119" t="n"/>
      <c r="S392" s="119" t="n"/>
      <c r="T392" s="119" t="n"/>
      <c r="U392" s="119" t="n"/>
      <c r="V392" s="119" t="n"/>
    </row>
    <row r="393" ht="16.5" customFormat="1" customHeight="1" s="56">
      <c r="A393" s="119" t="n"/>
      <c r="B393" s="119" t="n"/>
      <c r="C393" s="119" t="n"/>
      <c r="D393" s="119" t="n"/>
      <c r="E393" s="119" t="n"/>
      <c r="F393" s="119" t="n"/>
      <c r="G393" s="119" t="n"/>
      <c r="H393" s="119" t="n"/>
      <c r="I393" s="119" t="n"/>
      <c r="J393" s="119" t="n"/>
      <c r="K393" s="119" t="n"/>
      <c r="L393" s="119" t="n"/>
      <c r="M393" s="119" t="n"/>
      <c r="N393" s="119" t="n"/>
      <c r="O393" s="119" t="n"/>
      <c r="P393" s="119" t="n"/>
      <c r="Q393" s="119" t="n"/>
      <c r="R393" s="119" t="n"/>
      <c r="S393" s="119" t="n"/>
      <c r="T393" s="119" t="n"/>
      <c r="U393" s="119" t="n"/>
      <c r="V393" s="119" t="n"/>
    </row>
    <row r="394" ht="16.5" customFormat="1" customHeight="1" s="56">
      <c r="A394" s="119" t="n"/>
      <c r="B394" s="119" t="n"/>
      <c r="C394" s="119" t="n"/>
      <c r="D394" s="119" t="n"/>
      <c r="E394" s="119" t="n"/>
      <c r="F394" s="119" t="n"/>
      <c r="G394" s="119" t="n"/>
      <c r="H394" s="119" t="n"/>
      <c r="I394" s="119" t="n"/>
      <c r="J394" s="119" t="n"/>
      <c r="K394" s="119" t="n"/>
      <c r="L394" s="119" t="n"/>
      <c r="M394" s="119" t="n"/>
      <c r="N394" s="119" t="n"/>
      <c r="O394" s="119" t="n"/>
      <c r="P394" s="119" t="n"/>
      <c r="Q394" s="119" t="n"/>
      <c r="R394" s="119" t="n"/>
      <c r="S394" s="119" t="n"/>
      <c r="T394" s="119" t="n"/>
      <c r="U394" s="119" t="n"/>
      <c r="V394" s="119" t="n"/>
    </row>
    <row r="395" ht="16.5" customFormat="1" customHeight="1" s="56">
      <c r="A395" s="119" t="n"/>
      <c r="B395" s="119" t="n"/>
      <c r="C395" s="119" t="n"/>
      <c r="D395" s="119" t="n"/>
      <c r="E395" s="119" t="n"/>
      <c r="F395" s="119" t="n"/>
      <c r="G395" s="119" t="n"/>
      <c r="H395" s="119" t="n"/>
      <c r="I395" s="119" t="n"/>
      <c r="J395" s="119" t="n"/>
      <c r="K395" s="119" t="n"/>
      <c r="L395" s="119" t="n"/>
      <c r="M395" s="119" t="n"/>
      <c r="N395" s="119" t="n"/>
      <c r="O395" s="119" t="n"/>
      <c r="P395" s="119" t="n"/>
      <c r="Q395" s="119" t="n"/>
      <c r="R395" s="119" t="n"/>
      <c r="S395" s="119" t="n"/>
      <c r="T395" s="119" t="n"/>
      <c r="U395" s="119" t="n"/>
      <c r="V395" s="119" t="n"/>
    </row>
    <row r="396" ht="16.5" customFormat="1" customHeight="1" s="56">
      <c r="A396" s="119" t="n"/>
      <c r="B396" s="119" t="n"/>
      <c r="C396" s="119" t="n"/>
      <c r="D396" s="119" t="n"/>
      <c r="E396" s="119" t="n"/>
      <c r="F396" s="119" t="n"/>
      <c r="G396" s="119" t="n"/>
      <c r="H396" s="119" t="n"/>
      <c r="I396" s="119" t="n"/>
      <c r="J396" s="119" t="n"/>
      <c r="K396" s="119" t="n"/>
      <c r="L396" s="119" t="n"/>
      <c r="M396" s="119" t="n"/>
      <c r="N396" s="119" t="n"/>
      <c r="O396" s="119" t="n"/>
      <c r="P396" s="119" t="n"/>
      <c r="Q396" s="119" t="n"/>
      <c r="R396" s="119" t="n"/>
      <c r="S396" s="119" t="n"/>
      <c r="T396" s="119" t="n"/>
      <c r="U396" s="119" t="n"/>
      <c r="V396" s="119" t="n"/>
    </row>
    <row r="397" ht="16.5" customFormat="1" customHeight="1" s="56">
      <c r="A397" s="119" t="n"/>
      <c r="B397" s="119" t="n"/>
      <c r="C397" s="119" t="n"/>
      <c r="D397" s="119" t="n"/>
      <c r="E397" s="119" t="n"/>
      <c r="F397" s="119" t="n"/>
      <c r="G397" s="119" t="n"/>
      <c r="H397" s="119" t="n"/>
      <c r="I397" s="119" t="n"/>
      <c r="J397" s="119" t="n"/>
      <c r="K397" s="119" t="n"/>
      <c r="L397" s="119" t="n"/>
      <c r="M397" s="119" t="n"/>
      <c r="N397" s="119" t="n"/>
      <c r="O397" s="119" t="n"/>
      <c r="P397" s="119" t="n"/>
      <c r="Q397" s="119" t="n"/>
      <c r="R397" s="119" t="n"/>
      <c r="S397" s="119" t="n"/>
      <c r="T397" s="119" t="n"/>
      <c r="U397" s="119" t="n"/>
      <c r="V397" s="119" t="n"/>
    </row>
    <row r="398" ht="16.5" customFormat="1" customHeight="1" s="56">
      <c r="A398" s="119" t="n"/>
      <c r="B398" s="119" t="n"/>
      <c r="C398" s="119" t="n"/>
      <c r="D398" s="119" t="n"/>
      <c r="E398" s="119" t="n"/>
      <c r="F398" s="119" t="n"/>
      <c r="G398" s="119" t="n"/>
      <c r="H398" s="119" t="n"/>
      <c r="I398" s="119" t="n"/>
      <c r="J398" s="119" t="n"/>
      <c r="K398" s="119" t="n"/>
      <c r="L398" s="119" t="n"/>
      <c r="M398" s="119" t="n"/>
      <c r="N398" s="119" t="n"/>
      <c r="O398" s="119" t="n"/>
      <c r="P398" s="119" t="n"/>
      <c r="Q398" s="119" t="n"/>
      <c r="R398" s="119" t="n"/>
      <c r="S398" s="119" t="n"/>
      <c r="T398" s="119" t="n"/>
      <c r="U398" s="119" t="n"/>
      <c r="V398" s="119" t="n"/>
    </row>
    <row r="399" ht="16.5" customFormat="1" customHeight="1" s="56">
      <c r="A399" s="119" t="n"/>
      <c r="B399" s="119" t="n"/>
      <c r="C399" s="119" t="n"/>
      <c r="D399" s="119" t="n"/>
      <c r="E399" s="119" t="n"/>
      <c r="F399" s="119" t="n"/>
      <c r="G399" s="119" t="n"/>
      <c r="H399" s="119" t="n"/>
      <c r="I399" s="119" t="n"/>
      <c r="J399" s="119" t="n"/>
      <c r="K399" s="119" t="n"/>
      <c r="L399" s="119" t="n"/>
      <c r="M399" s="119" t="n"/>
      <c r="N399" s="119" t="n"/>
      <c r="O399" s="119" t="n"/>
      <c r="P399" s="119" t="n"/>
      <c r="Q399" s="119" t="n"/>
      <c r="R399" s="119" t="n"/>
      <c r="S399" s="119" t="n"/>
      <c r="T399" s="119" t="n"/>
      <c r="U399" s="119" t="n"/>
      <c r="V399" s="119" t="n"/>
    </row>
    <row r="400" ht="16.5" customFormat="1" customHeight="1" s="56">
      <c r="A400" s="119" t="n"/>
      <c r="B400" s="119" t="n"/>
      <c r="C400" s="119" t="n"/>
      <c r="D400" s="119" t="n"/>
      <c r="E400" s="119" t="n"/>
      <c r="F400" s="119" t="n"/>
      <c r="G400" s="119" t="n"/>
      <c r="H400" s="119" t="n"/>
      <c r="I400" s="119" t="n"/>
      <c r="J400" s="119" t="n"/>
      <c r="K400" s="119" t="n"/>
      <c r="L400" s="119" t="n"/>
      <c r="M400" s="119" t="n"/>
      <c r="N400" s="119" t="n"/>
      <c r="O400" s="119" t="n"/>
      <c r="P400" s="119" t="n"/>
      <c r="Q400" s="119" t="n"/>
      <c r="R400" s="119" t="n"/>
      <c r="S400" s="119" t="n"/>
      <c r="T400" s="119" t="n"/>
      <c r="U400" s="119" t="n"/>
      <c r="V400" s="119" t="n"/>
    </row>
    <row r="401" ht="16.5" customFormat="1" customHeight="1" s="56">
      <c r="A401" s="119" t="n"/>
      <c r="B401" s="119" t="n"/>
      <c r="C401" s="119" t="n"/>
      <c r="D401" s="119" t="n"/>
      <c r="E401" s="119" t="n"/>
      <c r="F401" s="119" t="n"/>
      <c r="G401" s="119" t="n"/>
      <c r="H401" s="119" t="n"/>
      <c r="I401" s="119" t="n"/>
      <c r="J401" s="119" t="n"/>
      <c r="K401" s="119" t="n"/>
      <c r="L401" s="119" t="n"/>
      <c r="M401" s="119" t="n"/>
      <c r="N401" s="119" t="n"/>
      <c r="O401" s="119" t="n"/>
      <c r="P401" s="119" t="n"/>
      <c r="Q401" s="119" t="n"/>
      <c r="R401" s="119" t="n"/>
      <c r="S401" s="119" t="n"/>
      <c r="T401" s="119" t="n"/>
      <c r="U401" s="119" t="n"/>
      <c r="V401" s="119" t="n"/>
    </row>
    <row r="402" ht="16.5" customFormat="1" customHeight="1" s="56">
      <c r="A402" s="119" t="n"/>
      <c r="B402" s="119" t="n"/>
      <c r="C402" s="119" t="n"/>
      <c r="D402" s="119" t="n"/>
      <c r="E402" s="119" t="n"/>
      <c r="F402" s="119" t="n"/>
      <c r="G402" s="119" t="n"/>
      <c r="H402" s="119" t="n"/>
      <c r="I402" s="119" t="n"/>
      <c r="J402" s="119" t="n"/>
      <c r="K402" s="119" t="n"/>
      <c r="L402" s="119" t="n"/>
      <c r="M402" s="119" t="n"/>
      <c r="N402" s="119" t="n"/>
      <c r="O402" s="119" t="n"/>
      <c r="P402" s="119" t="n"/>
      <c r="Q402" s="119" t="n"/>
      <c r="R402" s="119" t="n"/>
      <c r="S402" s="119" t="n"/>
      <c r="T402" s="119" t="n"/>
      <c r="U402" s="119" t="n"/>
      <c r="V402" s="119" t="n"/>
    </row>
    <row r="403" ht="16.5" customFormat="1" customHeight="1" s="56">
      <c r="A403" s="119" t="n"/>
      <c r="B403" s="119" t="n"/>
      <c r="C403" s="119" t="n"/>
      <c r="D403" s="119" t="n"/>
      <c r="E403" s="119" t="n"/>
      <c r="F403" s="119" t="n"/>
      <c r="G403" s="119" t="n"/>
      <c r="H403" s="119" t="n"/>
      <c r="I403" s="119" t="n"/>
      <c r="J403" s="119" t="n"/>
      <c r="K403" s="119" t="n"/>
      <c r="L403" s="119" t="n"/>
      <c r="M403" s="119" t="n"/>
      <c r="N403" s="119" t="n"/>
      <c r="O403" s="119" t="n"/>
      <c r="P403" s="119" t="n"/>
      <c r="Q403" s="119" t="n"/>
      <c r="R403" s="119" t="n"/>
      <c r="S403" s="119" t="n"/>
      <c r="T403" s="119" t="n"/>
      <c r="U403" s="119" t="n"/>
      <c r="V403" s="119" t="n"/>
    </row>
    <row r="404" ht="16.5" customFormat="1" customHeight="1" s="56">
      <c r="A404" s="119" t="n"/>
      <c r="B404" s="119" t="n"/>
      <c r="C404" s="119" t="n"/>
      <c r="D404" s="119" t="n"/>
      <c r="E404" s="119" t="n"/>
      <c r="F404" s="119" t="n"/>
      <c r="G404" s="119" t="n"/>
      <c r="H404" s="119" t="n"/>
      <c r="I404" s="119" t="n"/>
      <c r="J404" s="119" t="n"/>
      <c r="K404" s="119" t="n"/>
      <c r="L404" s="119" t="n"/>
      <c r="M404" s="119" t="n"/>
      <c r="N404" s="119" t="n"/>
      <c r="O404" s="119" t="n"/>
      <c r="P404" s="119" t="n"/>
      <c r="Q404" s="119" t="n"/>
      <c r="R404" s="119" t="n"/>
      <c r="S404" s="119" t="n"/>
      <c r="T404" s="119" t="n"/>
      <c r="U404" s="119" t="n"/>
      <c r="V404" s="119" t="n"/>
    </row>
    <row r="405" ht="16.5" customFormat="1" customHeight="1" s="56">
      <c r="A405" s="119" t="n"/>
      <c r="B405" s="119" t="n"/>
      <c r="C405" s="119" t="n"/>
      <c r="D405" s="119" t="n"/>
      <c r="E405" s="119" t="n"/>
      <c r="F405" s="119" t="n"/>
      <c r="G405" s="119" t="n"/>
      <c r="H405" s="119" t="n"/>
      <c r="I405" s="119" t="n"/>
      <c r="J405" s="119" t="n"/>
      <c r="K405" s="119" t="n"/>
      <c r="L405" s="119" t="n"/>
      <c r="M405" s="119" t="n"/>
      <c r="N405" s="119" t="n"/>
      <c r="O405" s="119" t="n"/>
      <c r="P405" s="119" t="n"/>
      <c r="Q405" s="119" t="n"/>
      <c r="R405" s="119" t="n"/>
      <c r="S405" s="119" t="n"/>
      <c r="T405" s="119" t="n"/>
      <c r="U405" s="119" t="n"/>
      <c r="V405" s="119" t="n"/>
    </row>
    <row r="406" ht="16.5" customFormat="1" customHeight="1" s="56">
      <c r="A406" s="119" t="n"/>
      <c r="B406" s="119" t="n"/>
      <c r="C406" s="119" t="n"/>
      <c r="D406" s="119" t="n"/>
      <c r="E406" s="119" t="n"/>
      <c r="F406" s="119" t="n"/>
      <c r="G406" s="119" t="n"/>
      <c r="H406" s="119" t="n"/>
      <c r="I406" s="119" t="n"/>
      <c r="J406" s="119" t="n"/>
      <c r="K406" s="119" t="n"/>
      <c r="L406" s="119" t="n"/>
      <c r="M406" s="119" t="n"/>
      <c r="N406" s="119" t="n"/>
      <c r="O406" s="119" t="n"/>
      <c r="P406" s="119" t="n"/>
      <c r="Q406" s="119" t="n"/>
      <c r="R406" s="119" t="n"/>
      <c r="S406" s="119" t="n"/>
      <c r="T406" s="119" t="n"/>
      <c r="U406" s="119" t="n"/>
      <c r="V406" s="119" t="n"/>
    </row>
    <row r="407" ht="16.5" customFormat="1" customHeight="1" s="56">
      <c r="A407" s="119" t="n"/>
      <c r="B407" s="119" t="n"/>
      <c r="C407" s="119" t="n"/>
      <c r="D407" s="119" t="n"/>
      <c r="E407" s="119" t="n"/>
      <c r="F407" s="119" t="n"/>
      <c r="G407" s="119" t="n"/>
      <c r="H407" s="119" t="n"/>
      <c r="I407" s="119" t="n"/>
      <c r="J407" s="119" t="n"/>
      <c r="K407" s="119" t="n"/>
      <c r="L407" s="119" t="n"/>
      <c r="M407" s="119" t="n"/>
      <c r="N407" s="119" t="n"/>
      <c r="O407" s="119" t="n"/>
      <c r="P407" s="119" t="n"/>
      <c r="Q407" s="119" t="n"/>
      <c r="R407" s="119" t="n"/>
      <c r="S407" s="119" t="n"/>
      <c r="T407" s="119" t="n"/>
      <c r="U407" s="119" t="n"/>
      <c r="V407" s="119" t="n"/>
    </row>
    <row r="408" ht="16.5" customFormat="1" customHeight="1" s="56">
      <c r="A408" s="119" t="n"/>
      <c r="B408" s="119" t="n"/>
      <c r="C408" s="119" t="n"/>
      <c r="D408" s="119" t="n"/>
      <c r="E408" s="119" t="n"/>
      <c r="F408" s="119" t="n"/>
      <c r="G408" s="119" t="n"/>
      <c r="H408" s="119" t="n"/>
      <c r="I408" s="119" t="n"/>
      <c r="J408" s="119" t="n"/>
      <c r="K408" s="119" t="n"/>
      <c r="L408" s="119" t="n"/>
      <c r="M408" s="119" t="n"/>
      <c r="N408" s="119" t="n"/>
      <c r="O408" s="119" t="n"/>
      <c r="P408" s="119" t="n"/>
      <c r="Q408" s="119" t="n"/>
      <c r="R408" s="119" t="n"/>
      <c r="S408" s="119" t="n"/>
      <c r="T408" s="119" t="n"/>
      <c r="U408" s="119" t="n"/>
      <c r="V408" s="119" t="n"/>
    </row>
    <row r="409" ht="16.5" customFormat="1" customHeight="1" s="56">
      <c r="A409" s="119" t="n"/>
      <c r="B409" s="119" t="n"/>
      <c r="C409" s="119" t="n"/>
      <c r="D409" s="119" t="n"/>
      <c r="E409" s="119" t="n"/>
      <c r="F409" s="119" t="n"/>
      <c r="G409" s="119" t="n"/>
      <c r="H409" s="119" t="n"/>
      <c r="I409" s="119" t="n"/>
      <c r="J409" s="119" t="n"/>
      <c r="K409" s="119" t="n"/>
      <c r="L409" s="119" t="n"/>
      <c r="M409" s="119" t="n"/>
      <c r="N409" s="119" t="n"/>
      <c r="O409" s="119" t="n"/>
      <c r="P409" s="119" t="n"/>
      <c r="Q409" s="119" t="n"/>
      <c r="R409" s="119" t="n"/>
      <c r="S409" s="119" t="n"/>
      <c r="T409" s="119" t="n"/>
      <c r="U409" s="119" t="n"/>
      <c r="V409" s="119" t="n"/>
    </row>
    <row r="410" ht="16.5" customFormat="1" customHeight="1" s="56">
      <c r="A410" s="119" t="n"/>
      <c r="B410" s="119" t="n"/>
      <c r="C410" s="119" t="n"/>
      <c r="D410" s="119" t="n"/>
      <c r="E410" s="119" t="n"/>
      <c r="F410" s="119" t="n"/>
      <c r="G410" s="119" t="n"/>
      <c r="H410" s="119" t="n"/>
      <c r="I410" s="119" t="n"/>
      <c r="J410" s="119" t="n"/>
      <c r="K410" s="119" t="n"/>
      <c r="L410" s="119" t="n"/>
      <c r="M410" s="119" t="n"/>
      <c r="N410" s="119" t="n"/>
      <c r="O410" s="119" t="n"/>
      <c r="P410" s="119" t="n"/>
      <c r="Q410" s="119" t="n"/>
      <c r="R410" s="119" t="n"/>
      <c r="S410" s="119" t="n"/>
      <c r="T410" s="119" t="n"/>
      <c r="U410" s="119" t="n"/>
      <c r="V410" s="119" t="n"/>
    </row>
    <row r="411" ht="16.5" customFormat="1" customHeight="1" s="56">
      <c r="A411" s="119" t="n"/>
      <c r="B411" s="119" t="n"/>
      <c r="C411" s="119" t="n"/>
      <c r="D411" s="119" t="n"/>
      <c r="E411" s="119" t="n"/>
      <c r="F411" s="119" t="n"/>
      <c r="G411" s="119" t="n"/>
      <c r="H411" s="119" t="n"/>
      <c r="I411" s="119" t="n"/>
      <c r="J411" s="119" t="n"/>
      <c r="K411" s="119" t="n"/>
      <c r="L411" s="119" t="n"/>
      <c r="M411" s="119" t="n"/>
      <c r="N411" s="119" t="n"/>
      <c r="O411" s="119" t="n"/>
      <c r="P411" s="119" t="n"/>
      <c r="Q411" s="119" t="n"/>
      <c r="R411" s="119" t="n"/>
      <c r="S411" s="119" t="n"/>
      <c r="T411" s="119" t="n"/>
      <c r="U411" s="119" t="n"/>
      <c r="V411" s="119" t="n"/>
    </row>
    <row r="412" ht="16.5" customFormat="1" customHeight="1" s="56">
      <c r="A412" s="119" t="n"/>
      <c r="B412" s="119" t="n"/>
      <c r="C412" s="119" t="n"/>
      <c r="D412" s="119" t="n"/>
      <c r="E412" s="119" t="n"/>
      <c r="F412" s="119" t="n"/>
      <c r="G412" s="119" t="n"/>
      <c r="H412" s="119" t="n"/>
      <c r="I412" s="119" t="n"/>
      <c r="J412" s="119" t="n"/>
      <c r="K412" s="119" t="n"/>
      <c r="L412" s="119" t="n"/>
      <c r="M412" s="119" t="n"/>
      <c r="N412" s="119" t="n"/>
      <c r="O412" s="119" t="n"/>
      <c r="P412" s="119" t="n"/>
      <c r="Q412" s="119" t="n"/>
      <c r="R412" s="119" t="n"/>
      <c r="S412" s="119" t="n"/>
      <c r="T412" s="119" t="n"/>
      <c r="U412" s="119" t="n"/>
      <c r="V412" s="119" t="n"/>
    </row>
    <row r="413" ht="16.5" customFormat="1" customHeight="1" s="56">
      <c r="A413" s="119" t="n"/>
      <c r="B413" s="119" t="n"/>
      <c r="C413" s="119" t="n"/>
      <c r="D413" s="119" t="n"/>
      <c r="E413" s="119" t="n"/>
      <c r="F413" s="119" t="n"/>
      <c r="G413" s="119" t="n"/>
      <c r="H413" s="119" t="n"/>
      <c r="I413" s="119" t="n"/>
      <c r="J413" s="119" t="n"/>
      <c r="K413" s="119" t="n"/>
      <c r="L413" s="119" t="n"/>
      <c r="M413" s="119" t="n"/>
      <c r="N413" s="119" t="n"/>
      <c r="O413" s="119" t="n"/>
      <c r="P413" s="119" t="n"/>
      <c r="Q413" s="119" t="n"/>
      <c r="R413" s="119" t="n"/>
      <c r="S413" s="119" t="n"/>
      <c r="T413" s="119" t="n"/>
      <c r="U413" s="119" t="n"/>
      <c r="V413" s="119" t="n"/>
    </row>
    <row r="414" ht="16.5" customFormat="1" customHeight="1" s="56">
      <c r="A414" s="119" t="n"/>
      <c r="B414" s="119" t="n"/>
      <c r="C414" s="119" t="n"/>
      <c r="D414" s="119" t="n"/>
      <c r="E414" s="119" t="n"/>
      <c r="F414" s="119" t="n"/>
      <c r="G414" s="119" t="n"/>
      <c r="H414" s="119" t="n"/>
      <c r="I414" s="119" t="n"/>
      <c r="J414" s="119" t="n"/>
      <c r="K414" s="119" t="n"/>
      <c r="L414" s="119" t="n"/>
      <c r="M414" s="119" t="n"/>
      <c r="N414" s="119" t="n"/>
      <c r="O414" s="119" t="n"/>
      <c r="P414" s="119" t="n"/>
      <c r="Q414" s="119" t="n"/>
      <c r="R414" s="119" t="n"/>
      <c r="S414" s="119" t="n"/>
      <c r="T414" s="119" t="n"/>
      <c r="U414" s="119" t="n"/>
      <c r="V414" s="119" t="n"/>
    </row>
    <row r="415" ht="16.5" customFormat="1" customHeight="1" s="56">
      <c r="A415" s="119" t="n"/>
      <c r="B415" s="119" t="n"/>
      <c r="C415" s="119" t="n"/>
      <c r="D415" s="119" t="n"/>
      <c r="E415" s="119" t="n"/>
      <c r="F415" s="119" t="n"/>
      <c r="G415" s="119" t="n"/>
      <c r="H415" s="119" t="n"/>
      <c r="I415" s="119" t="n"/>
      <c r="J415" s="119" t="n"/>
      <c r="K415" s="119" t="n"/>
      <c r="L415" s="119" t="n"/>
      <c r="M415" s="119" t="n"/>
      <c r="N415" s="119" t="n"/>
      <c r="O415" s="119" t="n"/>
      <c r="P415" s="119" t="n"/>
      <c r="Q415" s="119" t="n"/>
      <c r="R415" s="119" t="n"/>
      <c r="S415" s="119" t="n"/>
      <c r="T415" s="119" t="n"/>
      <c r="U415" s="119" t="n"/>
      <c r="V415" s="119" t="n"/>
    </row>
    <row r="416" ht="16.5" customFormat="1" customHeight="1" s="56">
      <c r="A416" s="119" t="n"/>
      <c r="B416" s="119" t="n"/>
      <c r="C416" s="119" t="n"/>
      <c r="D416" s="119" t="n"/>
      <c r="E416" s="119" t="n"/>
      <c r="F416" s="119" t="n"/>
      <c r="G416" s="119" t="n"/>
      <c r="H416" s="119" t="n"/>
      <c r="I416" s="119" t="n"/>
      <c r="J416" s="119" t="n"/>
      <c r="K416" s="119" t="n"/>
      <c r="L416" s="119" t="n"/>
      <c r="M416" s="119" t="n"/>
      <c r="N416" s="119" t="n"/>
      <c r="O416" s="119" t="n"/>
      <c r="P416" s="119" t="n"/>
      <c r="Q416" s="119" t="n"/>
      <c r="R416" s="119" t="n"/>
      <c r="S416" s="119" t="n"/>
      <c r="T416" s="119" t="n"/>
      <c r="U416" s="119" t="n"/>
      <c r="V416" s="119" t="n"/>
    </row>
    <row r="417" ht="16.5" customFormat="1" customHeight="1" s="56">
      <c r="A417" s="119" t="n"/>
      <c r="B417" s="119" t="n"/>
      <c r="C417" s="119" t="n"/>
      <c r="D417" s="119" t="n"/>
      <c r="E417" s="119" t="n"/>
      <c r="F417" s="119" t="n"/>
      <c r="G417" s="119" t="n"/>
      <c r="H417" s="119" t="n"/>
      <c r="I417" s="119" t="n"/>
      <c r="J417" s="119" t="n"/>
      <c r="K417" s="119" t="n"/>
      <c r="L417" s="119" t="n"/>
      <c r="M417" s="119" t="n"/>
      <c r="N417" s="119" t="n"/>
      <c r="O417" s="119" t="n"/>
      <c r="P417" s="119" t="n"/>
      <c r="Q417" s="119" t="n"/>
      <c r="R417" s="119" t="n"/>
      <c r="S417" s="119" t="n"/>
      <c r="T417" s="119" t="n"/>
      <c r="U417" s="119" t="n"/>
      <c r="V417" s="119" t="n"/>
    </row>
    <row r="418" ht="16.5" customFormat="1" customHeight="1" s="56">
      <c r="A418" s="119" t="n"/>
      <c r="B418" s="119" t="n"/>
      <c r="C418" s="119" t="n"/>
      <c r="D418" s="119" t="n"/>
      <c r="E418" s="119" t="n"/>
      <c r="F418" s="119" t="n"/>
      <c r="G418" s="119" t="n"/>
      <c r="H418" s="119" t="n"/>
      <c r="I418" s="119" t="n"/>
      <c r="J418" s="119" t="n"/>
      <c r="K418" s="119" t="n"/>
      <c r="L418" s="119" t="n"/>
      <c r="M418" s="119" t="n"/>
      <c r="N418" s="119" t="n"/>
      <c r="O418" s="119" t="n"/>
      <c r="P418" s="119" t="n"/>
      <c r="Q418" s="119" t="n"/>
      <c r="R418" s="119" t="n"/>
      <c r="S418" s="119" t="n"/>
      <c r="T418" s="119" t="n"/>
      <c r="U418" s="119" t="n"/>
      <c r="V418" s="119" t="n"/>
    </row>
    <row r="419" ht="16.5" customFormat="1" customHeight="1" s="56">
      <c r="A419" s="119" t="n"/>
      <c r="B419" s="119" t="n"/>
      <c r="C419" s="119" t="n"/>
      <c r="D419" s="119" t="n"/>
      <c r="E419" s="119" t="n"/>
      <c r="F419" s="119" t="n"/>
      <c r="G419" s="119" t="n"/>
      <c r="H419" s="119" t="n"/>
      <c r="I419" s="119" t="n"/>
      <c r="J419" s="119" t="n"/>
      <c r="K419" s="119" t="n"/>
      <c r="L419" s="119" t="n"/>
      <c r="M419" s="119" t="n"/>
      <c r="N419" s="119" t="n"/>
      <c r="O419" s="119" t="n"/>
      <c r="P419" s="119" t="n"/>
      <c r="Q419" s="119" t="n"/>
      <c r="R419" s="119" t="n"/>
      <c r="S419" s="119" t="n"/>
      <c r="T419" s="119" t="n"/>
      <c r="U419" s="119" t="n"/>
      <c r="V419" s="119" t="n"/>
    </row>
    <row r="420" ht="16.5" customFormat="1" customHeight="1" s="56">
      <c r="A420" s="119" t="n"/>
      <c r="B420" s="119" t="n"/>
      <c r="C420" s="119" t="n"/>
      <c r="D420" s="119" t="n"/>
      <c r="E420" s="119" t="n"/>
      <c r="F420" s="119" t="n"/>
      <c r="G420" s="119" t="n"/>
      <c r="H420" s="119" t="n"/>
      <c r="I420" s="119" t="n"/>
      <c r="J420" s="119" t="n"/>
      <c r="K420" s="119" t="n"/>
      <c r="L420" s="119" t="n"/>
      <c r="M420" s="119" t="n"/>
      <c r="N420" s="119" t="n"/>
      <c r="O420" s="119" t="n"/>
      <c r="P420" s="119" t="n"/>
      <c r="Q420" s="119" t="n"/>
      <c r="R420" s="119" t="n"/>
      <c r="S420" s="119" t="n"/>
      <c r="T420" s="119" t="n"/>
      <c r="U420" s="119" t="n"/>
      <c r="V420" s="119" t="n"/>
    </row>
    <row r="421" ht="16.5" customFormat="1" customHeight="1" s="56">
      <c r="A421" s="119" t="n"/>
      <c r="B421" s="119" t="n"/>
      <c r="C421" s="119" t="n"/>
      <c r="D421" s="119" t="n"/>
      <c r="E421" s="119" t="n"/>
      <c r="F421" s="119" t="n"/>
      <c r="G421" s="119" t="n"/>
      <c r="H421" s="119" t="n"/>
      <c r="I421" s="119" t="n"/>
      <c r="J421" s="119" t="n"/>
      <c r="K421" s="119" t="n"/>
      <c r="L421" s="119" t="n"/>
      <c r="M421" s="119" t="n"/>
      <c r="N421" s="119" t="n"/>
      <c r="O421" s="119" t="n"/>
      <c r="P421" s="119" t="n"/>
      <c r="Q421" s="119" t="n"/>
      <c r="R421" s="119" t="n"/>
      <c r="S421" s="119" t="n"/>
      <c r="T421" s="119" t="n"/>
      <c r="U421" s="119" t="n"/>
      <c r="V421" s="119" t="n"/>
    </row>
    <row r="422" ht="16.5" customFormat="1" customHeight="1" s="56">
      <c r="A422" s="119" t="n"/>
      <c r="B422" s="119" t="n"/>
      <c r="C422" s="119" t="n"/>
      <c r="D422" s="119" t="n"/>
      <c r="E422" s="119" t="n"/>
      <c r="F422" s="119" t="n"/>
      <c r="G422" s="119" t="n"/>
      <c r="H422" s="119" t="n"/>
      <c r="I422" s="119" t="n"/>
      <c r="J422" s="119" t="n"/>
      <c r="K422" s="119" t="n"/>
      <c r="L422" s="119" t="n"/>
      <c r="M422" s="119" t="n"/>
      <c r="N422" s="119" t="n"/>
      <c r="O422" s="119" t="n"/>
      <c r="P422" s="119" t="n"/>
      <c r="Q422" s="119" t="n"/>
      <c r="R422" s="119" t="n"/>
      <c r="S422" s="119" t="n"/>
      <c r="T422" s="119" t="n"/>
      <c r="U422" s="119" t="n"/>
      <c r="V422" s="119" t="n"/>
    </row>
    <row r="423" ht="16.5" customFormat="1" customHeight="1" s="56">
      <c r="A423" s="119" t="n"/>
      <c r="B423" s="119" t="n"/>
      <c r="C423" s="119" t="n"/>
      <c r="D423" s="119" t="n"/>
      <c r="E423" s="119" t="n"/>
      <c r="F423" s="119" t="n"/>
      <c r="G423" s="119" t="n"/>
      <c r="H423" s="119" t="n"/>
      <c r="I423" s="119" t="n"/>
      <c r="J423" s="119" t="n"/>
      <c r="K423" s="119" t="n"/>
      <c r="L423" s="119" t="n"/>
      <c r="M423" s="119" t="n"/>
      <c r="N423" s="119" t="n"/>
      <c r="O423" s="119" t="n"/>
      <c r="P423" s="119" t="n"/>
      <c r="Q423" s="119" t="n"/>
      <c r="R423" s="119" t="n"/>
      <c r="S423" s="119" t="n"/>
      <c r="T423" s="119" t="n"/>
      <c r="U423" s="119" t="n"/>
      <c r="V423" s="119" t="n"/>
    </row>
    <row r="424" ht="16.5" customFormat="1" customHeight="1" s="56">
      <c r="A424" s="119" t="n"/>
      <c r="B424" s="119" t="n"/>
      <c r="C424" s="119" t="n"/>
      <c r="D424" s="119" t="n"/>
      <c r="E424" s="119" t="n"/>
      <c r="F424" s="119" t="n"/>
      <c r="G424" s="119" t="n"/>
      <c r="H424" s="119" t="n"/>
      <c r="I424" s="119" t="n"/>
      <c r="J424" s="119" t="n"/>
      <c r="K424" s="119" t="n"/>
      <c r="L424" s="119" t="n"/>
      <c r="M424" s="119" t="n"/>
      <c r="N424" s="119" t="n"/>
      <c r="O424" s="119" t="n"/>
      <c r="P424" s="119" t="n"/>
      <c r="Q424" s="119" t="n"/>
      <c r="R424" s="119" t="n"/>
      <c r="S424" s="119" t="n"/>
      <c r="T424" s="119" t="n"/>
      <c r="U424" s="119" t="n"/>
      <c r="V424" s="119" t="n"/>
    </row>
    <row r="425" ht="16.5" customFormat="1" customHeight="1" s="56">
      <c r="A425" s="119" t="n"/>
      <c r="B425" s="119" t="n"/>
      <c r="C425" s="119" t="n"/>
      <c r="D425" s="119" t="n"/>
      <c r="E425" s="119" t="n"/>
      <c r="F425" s="119" t="n"/>
      <c r="G425" s="119" t="n"/>
      <c r="H425" s="119" t="n"/>
      <c r="I425" s="119" t="n"/>
      <c r="J425" s="119" t="n"/>
      <c r="K425" s="119" t="n"/>
      <c r="L425" s="119" t="n"/>
      <c r="M425" s="119" t="n"/>
      <c r="N425" s="119" t="n"/>
      <c r="O425" s="119" t="n"/>
      <c r="P425" s="119" t="n"/>
      <c r="Q425" s="119" t="n"/>
      <c r="R425" s="119" t="n"/>
      <c r="S425" s="119" t="n"/>
      <c r="T425" s="119" t="n"/>
      <c r="U425" s="119" t="n"/>
      <c r="V425" s="119" t="n"/>
    </row>
    <row r="426" ht="16.5" customFormat="1" customHeight="1" s="56">
      <c r="A426" s="119" t="n"/>
      <c r="B426" s="119" t="n"/>
      <c r="C426" s="119" t="n"/>
      <c r="D426" s="119" t="n"/>
      <c r="E426" s="119" t="n"/>
      <c r="F426" s="119" t="n"/>
      <c r="G426" s="119" t="n"/>
      <c r="H426" s="119" t="n"/>
      <c r="I426" s="119" t="n"/>
      <c r="J426" s="119" t="n"/>
      <c r="K426" s="119" t="n"/>
      <c r="L426" s="119" t="n"/>
      <c r="M426" s="119" t="n"/>
      <c r="N426" s="119" t="n"/>
      <c r="O426" s="119" t="n"/>
      <c r="P426" s="119" t="n"/>
      <c r="Q426" s="119" t="n"/>
      <c r="R426" s="119" t="n"/>
      <c r="S426" s="119" t="n"/>
      <c r="T426" s="119" t="n"/>
      <c r="U426" s="119" t="n"/>
      <c r="V426" s="119" t="n"/>
    </row>
    <row r="427" ht="16.5" customFormat="1" customHeight="1" s="56">
      <c r="A427" s="119" t="n"/>
      <c r="B427" s="119" t="n"/>
      <c r="C427" s="119" t="n"/>
      <c r="D427" s="119" t="n"/>
      <c r="E427" s="119" t="n"/>
      <c r="F427" s="119" t="n"/>
      <c r="G427" s="119" t="n"/>
      <c r="H427" s="119" t="n"/>
      <c r="I427" s="119" t="n"/>
      <c r="J427" s="119" t="n"/>
      <c r="K427" s="119" t="n"/>
      <c r="L427" s="119" t="n"/>
      <c r="M427" s="119" t="n"/>
      <c r="N427" s="119" t="n"/>
      <c r="O427" s="119" t="n"/>
      <c r="P427" s="119" t="n"/>
      <c r="Q427" s="119" t="n"/>
      <c r="R427" s="119" t="n"/>
      <c r="S427" s="119" t="n"/>
      <c r="T427" s="119" t="n"/>
      <c r="U427" s="119" t="n"/>
      <c r="V427" s="119" t="n"/>
    </row>
    <row r="428" ht="16.5" customFormat="1" customHeight="1" s="56">
      <c r="A428" s="119" t="n"/>
      <c r="B428" s="119" t="n"/>
      <c r="C428" s="119" t="n"/>
      <c r="D428" s="119" t="n"/>
      <c r="E428" s="119" t="n"/>
      <c r="F428" s="119" t="n"/>
      <c r="G428" s="119" t="n"/>
      <c r="H428" s="119" t="n"/>
      <c r="I428" s="119" t="n"/>
      <c r="J428" s="119" t="n"/>
      <c r="K428" s="119" t="n"/>
      <c r="L428" s="119" t="n"/>
      <c r="M428" s="119" t="n"/>
      <c r="N428" s="119" t="n"/>
      <c r="O428" s="119" t="n"/>
      <c r="P428" s="119" t="n"/>
      <c r="Q428" s="119" t="n"/>
      <c r="R428" s="119" t="n"/>
      <c r="S428" s="119" t="n"/>
      <c r="T428" s="119" t="n"/>
      <c r="U428" s="119" t="n"/>
      <c r="V428" s="119" t="n"/>
    </row>
    <row r="429" ht="16.5" customFormat="1" customHeight="1" s="56">
      <c r="A429" s="119" t="n"/>
      <c r="B429" s="119" t="n"/>
      <c r="C429" s="119" t="n"/>
      <c r="D429" s="119" t="n"/>
      <c r="E429" s="119" t="n"/>
      <c r="F429" s="119" t="n"/>
      <c r="G429" s="119" t="n"/>
      <c r="H429" s="119" t="n"/>
      <c r="I429" s="119" t="n"/>
      <c r="J429" s="119" t="n"/>
      <c r="K429" s="119" t="n"/>
      <c r="L429" s="119" t="n"/>
      <c r="M429" s="119" t="n"/>
      <c r="N429" s="119" t="n"/>
      <c r="O429" s="119" t="n"/>
      <c r="P429" s="119" t="n"/>
      <c r="Q429" s="119" t="n"/>
      <c r="R429" s="119" t="n"/>
      <c r="S429" s="119" t="n"/>
      <c r="T429" s="119" t="n"/>
      <c r="U429" s="119" t="n"/>
      <c r="V429" s="119" t="n"/>
    </row>
    <row r="430" ht="16.5" customFormat="1" customHeight="1" s="56">
      <c r="A430" s="119" t="n"/>
      <c r="B430" s="119" t="n"/>
      <c r="C430" s="119" t="n"/>
      <c r="D430" s="119" t="n"/>
      <c r="E430" s="119" t="n"/>
      <c r="F430" s="119" t="n"/>
      <c r="G430" s="119" t="n"/>
      <c r="H430" s="119" t="n"/>
      <c r="I430" s="119" t="n"/>
      <c r="J430" s="119" t="n"/>
      <c r="K430" s="119" t="n"/>
      <c r="L430" s="119" t="n"/>
      <c r="M430" s="119" t="n"/>
      <c r="N430" s="119" t="n"/>
      <c r="O430" s="119" t="n"/>
      <c r="P430" s="119" t="n"/>
      <c r="Q430" s="119" t="n"/>
      <c r="R430" s="119" t="n"/>
      <c r="S430" s="119" t="n"/>
      <c r="T430" s="119" t="n"/>
      <c r="U430" s="119" t="n"/>
      <c r="V430" s="119" t="n"/>
    </row>
    <row r="431" ht="16.5" customFormat="1" customHeight="1" s="56">
      <c r="A431" s="119" t="n"/>
      <c r="B431" s="119" t="n"/>
      <c r="C431" s="119" t="n"/>
      <c r="D431" s="119" t="n"/>
      <c r="E431" s="119" t="n"/>
      <c r="F431" s="119" t="n"/>
      <c r="G431" s="119" t="n"/>
      <c r="H431" s="119" t="n"/>
      <c r="I431" s="119" t="n"/>
      <c r="J431" s="119" t="n"/>
      <c r="K431" s="119" t="n"/>
      <c r="L431" s="119" t="n"/>
      <c r="M431" s="119" t="n"/>
      <c r="N431" s="119" t="n"/>
      <c r="O431" s="119" t="n"/>
      <c r="P431" s="119" t="n"/>
      <c r="Q431" s="119" t="n"/>
      <c r="R431" s="119" t="n"/>
      <c r="S431" s="119" t="n"/>
      <c r="T431" s="119" t="n"/>
      <c r="U431" s="119" t="n"/>
      <c r="V431" s="119" t="n"/>
    </row>
    <row r="432" ht="16.5" customFormat="1" customHeight="1" s="56">
      <c r="A432" s="119" t="n"/>
      <c r="B432" s="119" t="n"/>
      <c r="C432" s="119" t="n"/>
      <c r="D432" s="119" t="n"/>
      <c r="E432" s="119" t="n"/>
      <c r="F432" s="119" t="n"/>
      <c r="G432" s="119" t="n"/>
      <c r="H432" s="119" t="n"/>
      <c r="I432" s="119" t="n"/>
      <c r="J432" s="119" t="n"/>
      <c r="K432" s="119" t="n"/>
      <c r="L432" s="119" t="n"/>
      <c r="M432" s="119" t="n"/>
      <c r="N432" s="119" t="n"/>
      <c r="O432" s="119" t="n"/>
      <c r="P432" s="119" t="n"/>
      <c r="Q432" s="119" t="n"/>
      <c r="R432" s="119" t="n"/>
      <c r="S432" s="119" t="n"/>
      <c r="T432" s="119" t="n"/>
      <c r="U432" s="119" t="n"/>
      <c r="V432" s="119" t="n"/>
    </row>
    <row r="433" ht="16.5" customFormat="1" customHeight="1" s="56">
      <c r="A433" s="119" t="n"/>
      <c r="B433" s="119" t="n"/>
      <c r="C433" s="119" t="n"/>
      <c r="D433" s="119" t="n"/>
      <c r="E433" s="119" t="n"/>
      <c r="F433" s="119" t="n"/>
      <c r="G433" s="119" t="n"/>
      <c r="H433" s="119" t="n"/>
      <c r="I433" s="119" t="n"/>
      <c r="J433" s="119" t="n"/>
      <c r="K433" s="119" t="n"/>
      <c r="L433" s="119" t="n"/>
      <c r="M433" s="119" t="n"/>
      <c r="N433" s="119" t="n"/>
      <c r="O433" s="119" t="n"/>
      <c r="P433" s="119" t="n"/>
      <c r="Q433" s="119" t="n"/>
      <c r="R433" s="119" t="n"/>
      <c r="S433" s="119" t="n"/>
      <c r="T433" s="119" t="n"/>
      <c r="U433" s="119" t="n"/>
      <c r="V433" s="119" t="n"/>
    </row>
    <row r="434" ht="16.5" customFormat="1" customHeight="1" s="56">
      <c r="A434" s="119" t="n"/>
      <c r="B434" s="119" t="n"/>
      <c r="C434" s="119" t="n"/>
      <c r="D434" s="119" t="n"/>
      <c r="E434" s="119" t="n"/>
      <c r="F434" s="119" t="n"/>
      <c r="G434" s="119" t="n"/>
      <c r="H434" s="119" t="n"/>
      <c r="I434" s="119" t="n"/>
      <c r="J434" s="119" t="n"/>
      <c r="K434" s="119" t="n"/>
      <c r="L434" s="119" t="n"/>
      <c r="M434" s="119" t="n"/>
      <c r="N434" s="119" t="n"/>
      <c r="O434" s="119" t="n"/>
      <c r="P434" s="119" t="n"/>
      <c r="Q434" s="119" t="n"/>
      <c r="R434" s="119" t="n"/>
      <c r="S434" s="119" t="n"/>
      <c r="T434" s="119" t="n"/>
      <c r="U434" s="119" t="n"/>
      <c r="V434" s="119" t="n"/>
    </row>
    <row r="435" ht="16.5" customFormat="1" customHeight="1" s="56">
      <c r="A435" s="119" t="n"/>
      <c r="B435" s="119" t="n"/>
      <c r="C435" s="119" t="n"/>
      <c r="D435" s="119" t="n"/>
      <c r="E435" s="119" t="n"/>
      <c r="F435" s="119" t="n"/>
      <c r="G435" s="119" t="n"/>
      <c r="H435" s="119" t="n"/>
      <c r="I435" s="119" t="n"/>
      <c r="J435" s="119" t="n"/>
      <c r="K435" s="119" t="n"/>
      <c r="L435" s="119" t="n"/>
      <c r="M435" s="119" t="n"/>
      <c r="N435" s="119" t="n"/>
      <c r="O435" s="119" t="n"/>
      <c r="P435" s="119" t="n"/>
      <c r="Q435" s="119" t="n"/>
      <c r="R435" s="119" t="n"/>
      <c r="S435" s="119" t="n"/>
      <c r="T435" s="119" t="n"/>
      <c r="U435" s="119" t="n"/>
      <c r="V435" s="119" t="n"/>
    </row>
    <row r="436" ht="16.5" customFormat="1" customHeight="1" s="56">
      <c r="A436" s="119" t="n"/>
      <c r="B436" s="119" t="n"/>
      <c r="C436" s="119" t="n"/>
      <c r="D436" s="119" t="n"/>
      <c r="E436" s="119" t="n"/>
      <c r="F436" s="119" t="n"/>
      <c r="G436" s="119" t="n"/>
      <c r="H436" s="119" t="n"/>
      <c r="I436" s="119" t="n"/>
      <c r="J436" s="119" t="n"/>
      <c r="K436" s="119" t="n"/>
      <c r="L436" s="119" t="n"/>
      <c r="M436" s="119" t="n"/>
      <c r="N436" s="119" t="n"/>
      <c r="O436" s="119" t="n"/>
      <c r="P436" s="119" t="n"/>
      <c r="Q436" s="119" t="n"/>
      <c r="R436" s="119" t="n"/>
      <c r="S436" s="119" t="n"/>
      <c r="T436" s="119" t="n"/>
      <c r="U436" s="119" t="n"/>
      <c r="V436" s="119" t="n"/>
    </row>
    <row r="437" ht="16.5" customFormat="1" customHeight="1" s="56">
      <c r="A437" s="119" t="n"/>
      <c r="B437" s="119" t="n"/>
      <c r="C437" s="119" t="n"/>
      <c r="D437" s="119" t="n"/>
      <c r="E437" s="119" t="n"/>
      <c r="F437" s="119" t="n"/>
      <c r="G437" s="119" t="n"/>
      <c r="H437" s="119" t="n"/>
      <c r="I437" s="119" t="n"/>
      <c r="J437" s="119" t="n"/>
      <c r="K437" s="119" t="n"/>
      <c r="L437" s="119" t="n"/>
      <c r="M437" s="119" t="n"/>
      <c r="N437" s="119" t="n"/>
      <c r="O437" s="119" t="n"/>
      <c r="P437" s="119" t="n"/>
      <c r="Q437" s="119" t="n"/>
      <c r="R437" s="119" t="n"/>
      <c r="S437" s="119" t="n"/>
      <c r="T437" s="119" t="n"/>
      <c r="U437" s="119" t="n"/>
      <c r="V437" s="119" t="n"/>
    </row>
    <row r="438" ht="16.5" customFormat="1" customHeight="1" s="56">
      <c r="A438" s="119" t="n"/>
      <c r="B438" s="119" t="n"/>
      <c r="C438" s="119" t="n"/>
      <c r="D438" s="119" t="n"/>
      <c r="E438" s="119" t="n"/>
      <c r="F438" s="119" t="n"/>
      <c r="G438" s="119" t="n"/>
      <c r="H438" s="119" t="n"/>
      <c r="I438" s="119" t="n"/>
      <c r="J438" s="119" t="n"/>
      <c r="K438" s="119" t="n"/>
      <c r="L438" s="119" t="n"/>
      <c r="M438" s="119" t="n"/>
      <c r="N438" s="119" t="n"/>
      <c r="O438" s="119" t="n"/>
      <c r="P438" s="119" t="n"/>
      <c r="Q438" s="119" t="n"/>
      <c r="R438" s="119" t="n"/>
      <c r="S438" s="119" t="n"/>
      <c r="T438" s="119" t="n"/>
      <c r="U438" s="119" t="n"/>
      <c r="V438" s="119" t="n"/>
    </row>
    <row r="439" ht="16.5" customFormat="1" customHeight="1" s="56">
      <c r="A439" s="119" t="n"/>
      <c r="B439" s="119" t="n"/>
      <c r="C439" s="119" t="n"/>
      <c r="D439" s="119" t="n"/>
      <c r="E439" s="119" t="n"/>
      <c r="F439" s="119" t="n"/>
      <c r="G439" s="119" t="n"/>
      <c r="H439" s="119" t="n"/>
      <c r="I439" s="119" t="n"/>
      <c r="J439" s="119" t="n"/>
      <c r="K439" s="119" t="n"/>
      <c r="L439" s="119" t="n"/>
      <c r="M439" s="119" t="n"/>
      <c r="N439" s="119" t="n"/>
      <c r="O439" s="119" t="n"/>
      <c r="P439" s="119" t="n"/>
      <c r="Q439" s="119" t="n"/>
      <c r="R439" s="119" t="n"/>
      <c r="S439" s="119" t="n"/>
      <c r="T439" s="119" t="n"/>
      <c r="U439" s="119" t="n"/>
      <c r="V439" s="119" t="n"/>
    </row>
    <row r="440" ht="16.5" customFormat="1" customHeight="1" s="56">
      <c r="A440" s="119" t="n"/>
      <c r="B440" s="119" t="n"/>
      <c r="C440" s="119" t="n"/>
      <c r="D440" s="119" t="n"/>
      <c r="E440" s="119" t="n"/>
      <c r="F440" s="119" t="n"/>
      <c r="G440" s="119" t="n"/>
      <c r="H440" s="119" t="n"/>
      <c r="I440" s="119" t="n"/>
      <c r="J440" s="119" t="n"/>
      <c r="K440" s="119" t="n"/>
      <c r="L440" s="119" t="n"/>
      <c r="M440" s="119" t="n"/>
      <c r="N440" s="119" t="n"/>
      <c r="O440" s="119" t="n"/>
      <c r="P440" s="119" t="n"/>
      <c r="Q440" s="119" t="n"/>
      <c r="R440" s="119" t="n"/>
      <c r="S440" s="119" t="n"/>
      <c r="T440" s="119" t="n"/>
      <c r="U440" s="119" t="n"/>
      <c r="V440" s="119" t="n"/>
    </row>
    <row r="441" ht="16.5" customFormat="1" customHeight="1" s="56">
      <c r="A441" s="119" t="n"/>
      <c r="B441" s="119" t="n"/>
      <c r="C441" s="119" t="n"/>
      <c r="D441" s="119" t="n"/>
      <c r="E441" s="119" t="n"/>
      <c r="F441" s="119" t="n"/>
      <c r="G441" s="119" t="n"/>
      <c r="H441" s="119" t="n"/>
      <c r="I441" s="119" t="n"/>
      <c r="J441" s="119" t="n"/>
      <c r="K441" s="119" t="n"/>
      <c r="L441" s="119" t="n"/>
      <c r="M441" s="119" t="n"/>
      <c r="N441" s="119" t="n"/>
      <c r="O441" s="119" t="n"/>
      <c r="P441" s="119" t="n"/>
      <c r="Q441" s="119" t="n"/>
      <c r="R441" s="119" t="n"/>
      <c r="S441" s="119" t="n"/>
      <c r="T441" s="119" t="n"/>
      <c r="U441" s="119" t="n"/>
      <c r="V441" s="119" t="n"/>
    </row>
    <row r="442" ht="16.5" customFormat="1" customHeight="1" s="56">
      <c r="A442" s="119" t="n"/>
      <c r="B442" s="119" t="n"/>
      <c r="C442" s="119" t="n"/>
      <c r="D442" s="119" t="n"/>
      <c r="E442" s="119" t="n"/>
      <c r="F442" s="119" t="n"/>
      <c r="G442" s="119" t="n"/>
      <c r="H442" s="119" t="n"/>
      <c r="I442" s="119" t="n"/>
      <c r="J442" s="119" t="n"/>
      <c r="K442" s="119" t="n"/>
      <c r="L442" s="119" t="n"/>
      <c r="M442" s="119" t="n"/>
      <c r="N442" s="119" t="n"/>
      <c r="O442" s="119" t="n"/>
      <c r="P442" s="119" t="n"/>
      <c r="Q442" s="119" t="n"/>
      <c r="R442" s="119" t="n"/>
      <c r="S442" s="119" t="n"/>
      <c r="T442" s="119" t="n"/>
      <c r="U442" s="119" t="n"/>
      <c r="V442" s="119" t="n"/>
    </row>
    <row r="443" ht="16.5" customFormat="1" customHeight="1" s="56">
      <c r="A443" s="119" t="n"/>
      <c r="B443" s="119" t="n"/>
      <c r="C443" s="119" t="n"/>
      <c r="D443" s="119" t="n"/>
      <c r="E443" s="119" t="n"/>
      <c r="F443" s="119" t="n"/>
      <c r="G443" s="119" t="n"/>
      <c r="H443" s="119" t="n"/>
      <c r="I443" s="119" t="n"/>
      <c r="J443" s="119" t="n"/>
      <c r="K443" s="119" t="n"/>
      <c r="L443" s="119" t="n"/>
      <c r="M443" s="119" t="n"/>
      <c r="N443" s="119" t="n"/>
      <c r="O443" s="119" t="n"/>
      <c r="P443" s="119" t="n"/>
      <c r="Q443" s="119" t="n"/>
      <c r="R443" s="119" t="n"/>
      <c r="S443" s="119" t="n"/>
      <c r="T443" s="119" t="n"/>
      <c r="U443" s="119" t="n"/>
      <c r="V443" s="119" t="n"/>
    </row>
    <row r="444" ht="16.5" customFormat="1" customHeight="1" s="56">
      <c r="A444" s="119" t="n"/>
      <c r="B444" s="119" t="n"/>
      <c r="C444" s="119" t="n"/>
      <c r="D444" s="119" t="n"/>
      <c r="E444" s="119" t="n"/>
      <c r="F444" s="119" t="n"/>
      <c r="G444" s="119" t="n"/>
      <c r="H444" s="119" t="n"/>
      <c r="I444" s="119" t="n"/>
      <c r="J444" s="119" t="n"/>
      <c r="K444" s="119" t="n"/>
      <c r="L444" s="119" t="n"/>
      <c r="M444" s="119" t="n"/>
      <c r="N444" s="119" t="n"/>
      <c r="O444" s="119" t="n"/>
      <c r="P444" s="119" t="n"/>
      <c r="Q444" s="119" t="n"/>
      <c r="R444" s="119" t="n"/>
      <c r="S444" s="119" t="n"/>
      <c r="T444" s="119" t="n"/>
      <c r="U444" s="119" t="n"/>
      <c r="V444" s="119" t="n"/>
    </row>
    <row r="445" ht="16.5" customFormat="1" customHeight="1" s="56">
      <c r="A445" s="119" t="n"/>
      <c r="B445" s="119" t="n"/>
      <c r="C445" s="119" t="n"/>
      <c r="D445" s="119" t="n"/>
      <c r="E445" s="119" t="n"/>
      <c r="F445" s="119" t="n"/>
      <c r="G445" s="119" t="n"/>
      <c r="H445" s="119" t="n"/>
      <c r="I445" s="119" t="n"/>
      <c r="J445" s="119" t="n"/>
      <c r="K445" s="119" t="n"/>
      <c r="L445" s="119" t="n"/>
      <c r="M445" s="119" t="n"/>
      <c r="N445" s="119" t="n"/>
      <c r="O445" s="119" t="n"/>
      <c r="P445" s="119" t="n"/>
      <c r="Q445" s="119" t="n"/>
      <c r="R445" s="119" t="n"/>
      <c r="S445" s="119" t="n"/>
      <c r="T445" s="119" t="n"/>
      <c r="U445" s="119" t="n"/>
      <c r="V445" s="119" t="n"/>
    </row>
    <row r="446" ht="16.5" customFormat="1" customHeight="1" s="56">
      <c r="A446" s="119" t="n"/>
      <c r="B446" s="119" t="n"/>
      <c r="C446" s="119" t="n"/>
      <c r="D446" s="119" t="n"/>
      <c r="E446" s="119" t="n"/>
      <c r="F446" s="119" t="n"/>
      <c r="G446" s="119" t="n"/>
      <c r="H446" s="119" t="n"/>
      <c r="I446" s="119" t="n"/>
      <c r="J446" s="119" t="n"/>
      <c r="K446" s="119" t="n"/>
      <c r="L446" s="119" t="n"/>
      <c r="M446" s="119" t="n"/>
      <c r="N446" s="119" t="n"/>
      <c r="O446" s="119" t="n"/>
      <c r="P446" s="119" t="n"/>
      <c r="Q446" s="119" t="n"/>
      <c r="R446" s="119" t="n"/>
      <c r="S446" s="119" t="n"/>
      <c r="T446" s="119" t="n"/>
      <c r="U446" s="119" t="n"/>
      <c r="V446" s="119" t="n"/>
    </row>
    <row r="447" ht="16.5" customFormat="1" customHeight="1" s="56">
      <c r="A447" s="119" t="n"/>
      <c r="B447" s="119" t="n"/>
      <c r="C447" s="119" t="n"/>
      <c r="D447" s="119" t="n"/>
      <c r="E447" s="119" t="n"/>
      <c r="F447" s="119" t="n"/>
      <c r="G447" s="119" t="n"/>
      <c r="H447" s="119" t="n"/>
      <c r="I447" s="119" t="n"/>
      <c r="J447" s="119" t="n"/>
      <c r="K447" s="119" t="n"/>
      <c r="L447" s="119" t="n"/>
      <c r="M447" s="119" t="n"/>
      <c r="N447" s="119" t="n"/>
      <c r="O447" s="119" t="n"/>
      <c r="P447" s="119" t="n"/>
      <c r="Q447" s="119" t="n"/>
      <c r="R447" s="119" t="n"/>
      <c r="S447" s="119" t="n"/>
      <c r="T447" s="119" t="n"/>
      <c r="U447" s="119" t="n"/>
      <c r="V447" s="119" t="n"/>
    </row>
    <row r="448" ht="16.5" customFormat="1" customHeight="1" s="56">
      <c r="A448" s="119" t="n"/>
      <c r="B448" s="119" t="n"/>
      <c r="C448" s="119" t="n"/>
      <c r="D448" s="119" t="n"/>
      <c r="E448" s="119" t="n"/>
      <c r="F448" s="119" t="n"/>
      <c r="G448" s="119" t="n"/>
      <c r="H448" s="119" t="n"/>
      <c r="I448" s="119" t="n"/>
      <c r="J448" s="119" t="n"/>
      <c r="K448" s="119" t="n"/>
      <c r="L448" s="119" t="n"/>
      <c r="M448" s="119" t="n"/>
      <c r="N448" s="119" t="n"/>
      <c r="O448" s="119" t="n"/>
      <c r="P448" s="119" t="n"/>
      <c r="Q448" s="119" t="n"/>
      <c r="R448" s="119" t="n"/>
      <c r="S448" s="119" t="n"/>
      <c r="T448" s="119" t="n"/>
      <c r="U448" s="119" t="n"/>
      <c r="V448" s="119" t="n"/>
    </row>
    <row r="449" ht="16.5" customFormat="1" customHeight="1" s="56">
      <c r="A449" s="119" t="n"/>
      <c r="B449" s="119" t="n"/>
      <c r="C449" s="119" t="n"/>
      <c r="D449" s="119" t="n"/>
      <c r="E449" s="119" t="n"/>
      <c r="F449" s="119" t="n"/>
      <c r="G449" s="119" t="n"/>
      <c r="H449" s="119" t="n"/>
      <c r="I449" s="119" t="n"/>
      <c r="J449" s="119" t="n"/>
      <c r="K449" s="119" t="n"/>
      <c r="L449" s="119" t="n"/>
      <c r="M449" s="119" t="n"/>
      <c r="N449" s="119" t="n"/>
      <c r="O449" s="119" t="n"/>
      <c r="P449" s="119" t="n"/>
      <c r="Q449" s="119" t="n"/>
      <c r="R449" s="119" t="n"/>
      <c r="S449" s="119" t="n"/>
      <c r="T449" s="119" t="n"/>
      <c r="U449" s="119" t="n"/>
      <c r="V449" s="119" t="n"/>
    </row>
    <row r="450" ht="16.5" customFormat="1" customHeight="1" s="56">
      <c r="A450" s="119" t="n"/>
      <c r="B450" s="119" t="n"/>
      <c r="C450" s="119" t="n"/>
      <c r="D450" s="119" t="n"/>
      <c r="E450" s="119" t="n"/>
      <c r="F450" s="119" t="n"/>
      <c r="G450" s="119" t="n"/>
      <c r="H450" s="119" t="n"/>
      <c r="I450" s="119" t="n"/>
      <c r="J450" s="119" t="n"/>
      <c r="K450" s="119" t="n"/>
      <c r="L450" s="119" t="n"/>
      <c r="M450" s="119" t="n"/>
      <c r="N450" s="119" t="n"/>
      <c r="O450" s="119" t="n"/>
      <c r="P450" s="119" t="n"/>
      <c r="Q450" s="119" t="n"/>
      <c r="R450" s="119" t="n"/>
      <c r="S450" s="119" t="n"/>
      <c r="T450" s="119" t="n"/>
      <c r="U450" s="119" t="n"/>
      <c r="V450" s="119" t="n"/>
    </row>
  </sheetData>
  <mergeCells count="3">
    <mergeCell ref="J1:K1"/>
    <mergeCell ref="N1:O1"/>
    <mergeCell ref="Q1:S1"/>
  </mergeCells>
  <conditionalFormatting sqref="N2">
    <cfRule type="cellIs" priority="34334" operator="greaterThan" dxfId="13">
      <formula>0.9</formula>
    </cfRule>
    <cfRule type="cellIs" priority="34335" operator="greaterThan" dxfId="12">
      <formula>0.85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zoomScaleNormal="100" workbookViewId="0">
      <selection activeCell="A1" sqref="A1"/>
    </sheetView>
  </sheetViews>
  <sheetFormatPr baseColWidth="8" defaultColWidth="17.5" defaultRowHeight="13.5"/>
  <cols>
    <col width="4.625" bestFit="1" customWidth="1" style="74" min="1" max="1"/>
    <col width="3.375" customWidth="1" style="74" min="2" max="2"/>
    <col width="4.625" bestFit="1" customWidth="1" style="74" min="3" max="3"/>
    <col width="29.125" customWidth="1" style="75" min="4" max="9"/>
    <col width="25" customWidth="1" style="75" min="10" max="23"/>
    <col width="17.5" customWidth="1" style="75" min="24" max="48"/>
    <col width="17.5" customWidth="1" style="74" min="49" max="16384"/>
  </cols>
  <sheetData>
    <row r="1">
      <c r="D1" s="74" t="n"/>
      <c r="E1" s="74" t="n"/>
      <c r="F1" s="74" t="n"/>
      <c r="G1" s="74" t="n"/>
      <c r="H1" s="74" t="n"/>
      <c r="I1" s="74" t="n"/>
      <c r="J1" s="74" t="n"/>
      <c r="K1" s="74" t="n"/>
      <c r="L1" s="74" t="n"/>
      <c r="M1" s="74" t="n"/>
      <c r="N1" s="74" t="n"/>
      <c r="O1" s="74" t="n"/>
      <c r="P1" s="74" t="n"/>
      <c r="Q1" s="74" t="n"/>
      <c r="R1" s="74" t="n"/>
      <c r="S1" s="74" t="n"/>
      <c r="T1" s="74" t="n"/>
      <c r="U1" s="74" t="n"/>
      <c r="V1" s="74" t="n"/>
      <c r="W1" s="74" t="n"/>
      <c r="X1" s="74" t="n"/>
      <c r="Y1" s="74" t="n"/>
      <c r="Z1" s="74" t="n"/>
      <c r="AA1" s="74" t="n"/>
      <c r="AB1" s="74" t="n"/>
      <c r="AC1" s="74" t="n"/>
      <c r="AD1" s="74" t="n"/>
      <c r="AE1" s="74" t="n"/>
      <c r="AF1" s="74" t="n"/>
      <c r="AG1" s="74" t="n"/>
      <c r="AH1" s="74" t="n"/>
      <c r="AI1" s="74" t="n"/>
      <c r="AJ1" s="74" t="n"/>
      <c r="AK1" s="74" t="n"/>
      <c r="AL1" s="74" t="n"/>
      <c r="AM1" s="74" t="n"/>
      <c r="AN1" s="74" t="n"/>
      <c r="AO1" s="74" t="n"/>
      <c r="AP1" s="74" t="n"/>
      <c r="AQ1" s="74" t="n"/>
      <c r="AR1" s="74" t="n"/>
      <c r="AS1" s="74" t="n"/>
      <c r="AT1" s="74" t="n"/>
      <c r="AU1" s="74" t="n"/>
      <c r="AV1" s="74" t="n"/>
    </row>
    <row r="2">
      <c r="D2" s="74" t="n"/>
      <c r="E2" s="74" t="n"/>
      <c r="F2" s="74" t="n"/>
      <c r="G2" s="74" t="n"/>
      <c r="H2" s="74" t="n"/>
      <c r="I2" s="74" t="n"/>
      <c r="J2" s="74" t="n"/>
      <c r="K2" s="74" t="n"/>
      <c r="L2" s="74" t="n"/>
      <c r="M2" s="74" t="n"/>
      <c r="N2" s="74" t="n"/>
      <c r="O2" s="74" t="n"/>
      <c r="P2" s="74" t="n"/>
      <c r="Q2" s="74" t="n"/>
      <c r="R2" s="74" t="n"/>
      <c r="S2" s="74" t="n"/>
      <c r="T2" s="74" t="n"/>
      <c r="U2" s="74" t="n"/>
      <c r="V2" s="74" t="n"/>
      <c r="W2" s="74" t="n"/>
      <c r="X2" s="74" t="n"/>
      <c r="Y2" s="74" t="n"/>
      <c r="Z2" s="74" t="n"/>
      <c r="AA2" s="74" t="n"/>
      <c r="AB2" s="74" t="n"/>
      <c r="AC2" s="74" t="n"/>
      <c r="AD2" s="74" t="n"/>
      <c r="AE2" s="74" t="n"/>
      <c r="AF2" s="74" t="n"/>
      <c r="AG2" s="74" t="n"/>
      <c r="AH2" s="74" t="n"/>
      <c r="AI2" s="74" t="n"/>
      <c r="AJ2" s="74" t="n"/>
      <c r="AK2" s="74" t="n"/>
      <c r="AL2" s="74" t="n"/>
      <c r="AM2" s="74" t="n"/>
      <c r="AN2" s="74" t="n"/>
      <c r="AO2" s="74" t="n"/>
      <c r="AP2" s="74" t="n"/>
      <c r="AQ2" s="74" t="n"/>
      <c r="AR2" s="74" t="n"/>
      <c r="AS2" s="74" t="n"/>
      <c r="AT2" s="74" t="n"/>
      <c r="AU2" s="74" t="n"/>
      <c r="AV2" s="74" t="n"/>
    </row>
    <row r="3">
      <c r="D3" s="74" t="n"/>
      <c r="E3" s="74" t="n"/>
      <c r="F3" s="74" t="n"/>
      <c r="G3" s="74" t="n"/>
      <c r="H3" s="74" t="n"/>
      <c r="I3" s="74" t="n"/>
      <c r="J3" s="74" t="n"/>
      <c r="K3" s="74" t="n"/>
      <c r="L3" s="74" t="n"/>
      <c r="M3" s="74" t="n"/>
      <c r="N3" s="74" t="n"/>
      <c r="O3" s="74" t="n"/>
      <c r="P3" s="74" t="n"/>
      <c r="Q3" s="74" t="n"/>
      <c r="R3" s="74" t="n"/>
      <c r="S3" s="74" t="n"/>
      <c r="T3" s="74" t="n"/>
      <c r="U3" s="74" t="n"/>
      <c r="V3" s="74" t="n"/>
      <c r="W3" s="74" t="n"/>
      <c r="X3" s="74" t="n"/>
      <c r="Y3" s="74" t="n"/>
      <c r="Z3" s="74" t="n"/>
      <c r="AA3" s="74" t="n"/>
      <c r="AB3" s="74" t="n"/>
      <c r="AC3" s="74" t="n"/>
      <c r="AD3" s="74" t="n"/>
      <c r="AE3" s="74" t="n"/>
      <c r="AF3" s="74" t="n"/>
      <c r="AG3" s="74" t="n"/>
      <c r="AH3" s="74" t="n"/>
      <c r="AI3" s="74" t="n"/>
      <c r="AJ3" s="74" t="n"/>
      <c r="AK3" s="74" t="n"/>
      <c r="AL3" s="74" t="n"/>
      <c r="AM3" s="74" t="n"/>
      <c r="AN3" s="74" t="n"/>
      <c r="AO3" s="74" t="n"/>
      <c r="AP3" s="74" t="n"/>
      <c r="AQ3" s="74" t="n"/>
      <c r="AR3" s="74" t="n"/>
      <c r="AS3" s="74" t="n"/>
      <c r="AT3" s="74" t="n"/>
      <c r="AU3" s="74" t="n"/>
      <c r="AV3" s="74" t="n"/>
    </row>
    <row r="4">
      <c r="A4" s="127" t="inlineStr">
        <is>
          <t>동1</t>
        </is>
      </c>
      <c r="D4" s="74" t="n"/>
      <c r="E4" s="74" t="n"/>
      <c r="F4" s="74" t="n"/>
      <c r="G4" s="74" t="n"/>
      <c r="H4" s="74" t="n"/>
      <c r="I4" s="74" t="n"/>
      <c r="J4" s="74" t="n"/>
      <c r="K4" s="74" t="n"/>
      <c r="L4" s="74" t="n"/>
      <c r="M4" s="74" t="n"/>
      <c r="N4" s="74" t="n"/>
      <c r="O4" s="74" t="n"/>
      <c r="P4" s="74" t="n"/>
      <c r="Q4" s="74" t="n"/>
      <c r="R4" s="74" t="n"/>
      <c r="S4" s="74" t="n"/>
      <c r="T4" s="74" t="n"/>
      <c r="U4" s="74" t="n"/>
      <c r="V4" s="74" t="n"/>
      <c r="W4" s="74" t="n"/>
      <c r="X4" s="74" t="n"/>
      <c r="Y4" s="74" t="n"/>
      <c r="Z4" s="74" t="n"/>
      <c r="AA4" s="74" t="n"/>
      <c r="AB4" s="74" t="n"/>
      <c r="AC4" s="74" t="n"/>
      <c r="AD4" s="74" t="n"/>
      <c r="AE4" s="74" t="n"/>
      <c r="AF4" s="74" t="n"/>
      <c r="AG4" s="74" t="n"/>
      <c r="AH4" s="74" t="n"/>
      <c r="AI4" s="74" t="n"/>
      <c r="AJ4" s="74" t="n"/>
      <c r="AK4" s="74" t="n"/>
      <c r="AL4" s="74" t="n"/>
      <c r="AM4" s="74" t="n"/>
      <c r="AN4" s="74" t="n"/>
      <c r="AO4" s="74" t="n"/>
      <c r="AP4" s="74" t="n"/>
      <c r="AQ4" s="74" t="n"/>
      <c r="AR4" s="74" t="n"/>
      <c r="AS4" s="74" t="n"/>
      <c r="AT4" s="74" t="n"/>
      <c r="AU4" s="74" t="n"/>
      <c r="AV4" s="74" t="n"/>
    </row>
    <row r="5">
      <c r="A5" s="127" t="inlineStr">
        <is>
          <t>동2</t>
        </is>
      </c>
    </row>
    <row r="6">
      <c r="A6" s="127" t="inlineStr">
        <is>
          <t>동3</t>
        </is>
      </c>
    </row>
    <row r="7">
      <c r="A7" s="76" t="inlineStr">
        <is>
          <t>전체</t>
        </is>
      </c>
      <c r="B7" s="77" t="n"/>
      <c r="C7" s="78" t="n"/>
      <c r="D7" s="79">
        <f>D4&amp;IF(D5="","",","&amp;D5)&amp;IF(D6="","",","&amp;D6)</f>
        <v/>
      </c>
      <c r="E7" s="79">
        <f>E4&amp;IF(E5="","",","&amp;E5)&amp;IF(E6="","",","&amp;E6)</f>
        <v/>
      </c>
      <c r="F7" s="79">
        <f>F4&amp;IF(F5="","",","&amp;F5)&amp;IF(F6="","",","&amp;F6)</f>
        <v/>
      </c>
      <c r="G7" s="79">
        <f>G4&amp;IF(G5="","",","&amp;G5)&amp;IF(G6="","",","&amp;G6)</f>
        <v/>
      </c>
      <c r="H7" s="79">
        <f>H4&amp;IF(H5="","",","&amp;H5)&amp;IF(H6="","",","&amp;H6)</f>
        <v/>
      </c>
      <c r="I7" s="79">
        <f>I4&amp;IF(I5="","",","&amp;I5)&amp;IF(I6="","",","&amp;I6)</f>
        <v/>
      </c>
      <c r="J7" s="79">
        <f>J4&amp;IF(J5="","",","&amp;J5)&amp;IF(J6="","",","&amp;J6)</f>
        <v/>
      </c>
      <c r="K7" s="79">
        <f>K4&amp;IF(K5="","",","&amp;K5)&amp;IF(K6="","",","&amp;K6)</f>
        <v/>
      </c>
      <c r="L7" s="79">
        <f>L4&amp;IF(L5="","",","&amp;L5)&amp;IF(L6="","",","&amp;L6)</f>
        <v/>
      </c>
      <c r="M7" s="79">
        <f>M4&amp;IF(M5="","",","&amp;M5)&amp;IF(M6="","",","&amp;M6)</f>
        <v/>
      </c>
      <c r="N7" s="79">
        <f>N4&amp;IF(N5="","",","&amp;N5)&amp;IF(N6="","",","&amp;N6)</f>
        <v/>
      </c>
      <c r="O7" s="79">
        <f>O4&amp;IF(O5="","",","&amp;O5)&amp;IF(O6="","",","&amp;O6)</f>
        <v/>
      </c>
      <c r="P7" s="79">
        <f>P4&amp;IF(P5="","",","&amp;P5)&amp;IF(P6="","",","&amp;P6)</f>
        <v/>
      </c>
      <c r="Q7" s="79">
        <f>Q4&amp;IF(Q5="","",","&amp;Q5)&amp;IF(Q6="","",","&amp;Q6)</f>
        <v/>
      </c>
      <c r="R7" s="79">
        <f>R4&amp;IF(R5="","",","&amp;R5)&amp;IF(R6="","",","&amp;R6)</f>
        <v/>
      </c>
      <c r="S7" s="79">
        <f>S4&amp;IF(S5="","",","&amp;S5)&amp;IF(S6="","",","&amp;S6)</f>
        <v/>
      </c>
      <c r="T7" s="79">
        <f>T4&amp;IF(T5="","",","&amp;T5)&amp;IF(T6="","",","&amp;T6)</f>
        <v/>
      </c>
      <c r="U7" s="79">
        <f>U4&amp;IF(U5="","",","&amp;U5)&amp;IF(U6="","",","&amp;U6)</f>
        <v/>
      </c>
      <c r="V7" s="79">
        <f>V4&amp;IF(V5="","",","&amp;V5)&amp;IF(V6="","",","&amp;V6)</f>
        <v/>
      </c>
      <c r="W7" s="79">
        <f>W4&amp;IF(W5="","",","&amp;W5)&amp;IF(W6="","",","&amp;W6)</f>
        <v/>
      </c>
    </row>
    <row r="8">
      <c r="A8" s="144" t="n">
        <v>8</v>
      </c>
      <c r="B8" s="82" t="inlineStr">
        <is>
          <t>~</t>
        </is>
      </c>
      <c r="C8" s="145" t="n"/>
      <c r="D8" s="83" t="n"/>
      <c r="E8" s="83" t="n"/>
      <c r="F8" s="83" t="n"/>
      <c r="G8" s="83" t="n"/>
      <c r="H8" s="83" t="n"/>
      <c r="I8" s="83" t="n"/>
      <c r="J8" s="83" t="n"/>
      <c r="K8" s="83" t="n"/>
      <c r="L8" s="83" t="n"/>
      <c r="M8" s="83" t="n"/>
      <c r="N8" s="83" t="n"/>
      <c r="O8" s="83" t="n"/>
      <c r="P8" s="83" t="n"/>
      <c r="Q8" s="83" t="n"/>
      <c r="R8" s="83" t="n"/>
      <c r="S8" s="83" t="n"/>
      <c r="T8" s="83" t="n"/>
      <c r="U8" s="83" t="n"/>
      <c r="V8" s="83" t="n"/>
      <c r="W8" s="83" t="n"/>
    </row>
    <row r="9">
      <c r="A9" s="146" t="n">
        <v>7</v>
      </c>
      <c r="B9" s="84" t="inlineStr">
        <is>
          <t>~</t>
        </is>
      </c>
      <c r="C9" s="147" t="n">
        <v>8</v>
      </c>
      <c r="D9" s="83" t="n"/>
      <c r="E9" s="83" t="n"/>
      <c r="F9" s="83" t="n"/>
      <c r="G9" s="83" t="n"/>
      <c r="H9" s="83" t="n"/>
      <c r="I9" s="83" t="n"/>
      <c r="J9" s="83" t="n"/>
      <c r="K9" s="83" t="n"/>
      <c r="L9" s="83" t="n"/>
      <c r="M9" s="83" t="n"/>
      <c r="N9" s="83" t="n"/>
      <c r="O9" s="83" t="n"/>
      <c r="P9" s="83" t="n"/>
      <c r="Q9" s="83" t="n"/>
      <c r="R9" s="83" t="n"/>
      <c r="S9" s="83" t="n"/>
      <c r="T9" s="83" t="n"/>
      <c r="U9" s="83" t="n"/>
      <c r="V9" s="83" t="n"/>
      <c r="W9" s="83" t="n"/>
    </row>
    <row r="10">
      <c r="A10" s="148" t="n">
        <v>6</v>
      </c>
      <c r="B10" s="80" t="inlineStr">
        <is>
          <t>~</t>
        </is>
      </c>
      <c r="C10" s="149" t="n">
        <v>7</v>
      </c>
      <c r="D10" s="81" t="n"/>
      <c r="E10" s="81" t="n"/>
      <c r="F10" s="81" t="n"/>
      <c r="G10" s="81" t="n"/>
      <c r="H10" s="81" t="n"/>
      <c r="I10" s="81" t="n"/>
      <c r="J10" s="81" t="n"/>
      <c r="K10" s="81" t="n"/>
      <c r="L10" s="81" t="n"/>
      <c r="M10" s="81" t="n"/>
      <c r="N10" s="81" t="n"/>
      <c r="O10" s="81" t="n"/>
      <c r="P10" s="81" t="n"/>
      <c r="Q10" s="81" t="n"/>
      <c r="R10" s="81" t="n"/>
      <c r="S10" s="81" t="n"/>
      <c r="T10" s="81" t="n"/>
      <c r="U10" s="81" t="n"/>
      <c r="V10" s="81" t="n"/>
      <c r="W10" s="81" t="n"/>
    </row>
    <row r="11">
      <c r="A11" s="148" t="n">
        <v>5</v>
      </c>
      <c r="B11" s="80" t="inlineStr">
        <is>
          <t>~</t>
        </is>
      </c>
      <c r="C11" s="149" t="n">
        <v>6</v>
      </c>
      <c r="D11" s="81" t="n"/>
      <c r="E11" s="81" t="n"/>
      <c r="F11" s="81" t="n"/>
      <c r="G11" s="81" t="n"/>
      <c r="H11" s="81" t="n"/>
      <c r="I11" s="81" t="n"/>
      <c r="J11" s="81" t="n"/>
      <c r="K11" s="81" t="n"/>
      <c r="L11" s="81" t="n"/>
      <c r="M11" s="81" t="n"/>
      <c r="N11" s="81" t="n"/>
      <c r="O11" s="81" t="n"/>
      <c r="P11" s="81" t="n"/>
      <c r="Q11" s="81" t="n"/>
      <c r="R11" s="81" t="n"/>
      <c r="S11" s="81" t="n"/>
      <c r="T11" s="81" t="n"/>
      <c r="U11" s="81" t="n"/>
      <c r="V11" s="81" t="n"/>
      <c r="W11" s="81" t="n"/>
    </row>
    <row r="12">
      <c r="A12" s="148" t="n">
        <v>4</v>
      </c>
      <c r="B12" s="80" t="inlineStr">
        <is>
          <t>~</t>
        </is>
      </c>
      <c r="C12" s="149" t="n">
        <v>5</v>
      </c>
      <c r="D12" s="81" t="n"/>
      <c r="E12" s="81" t="n"/>
      <c r="F12" s="81" t="n"/>
      <c r="G12" s="81" t="n"/>
      <c r="H12" s="81" t="n"/>
      <c r="I12" s="81" t="n"/>
      <c r="J12" s="81" t="n"/>
      <c r="K12" s="81" t="n"/>
      <c r="L12" s="81" t="n"/>
      <c r="M12" s="81" t="n"/>
      <c r="N12" s="81" t="n"/>
      <c r="O12" s="81" t="n"/>
      <c r="P12" s="81" t="n"/>
      <c r="Q12" s="81" t="n"/>
      <c r="R12" s="81" t="n"/>
      <c r="S12" s="81" t="n"/>
      <c r="T12" s="81" t="n"/>
      <c r="U12" s="81" t="n"/>
      <c r="V12" s="81" t="n"/>
      <c r="W12" s="81" t="n"/>
    </row>
    <row r="13">
      <c r="A13" s="150" t="n">
        <v>3</v>
      </c>
      <c r="B13" s="85" t="inlineStr">
        <is>
          <t>~</t>
        </is>
      </c>
      <c r="C13" s="151" t="n">
        <v>4</v>
      </c>
      <c r="D13" s="86" t="n"/>
      <c r="E13" s="86" t="n"/>
      <c r="F13" s="86" t="n"/>
      <c r="G13" s="86" t="n"/>
      <c r="H13" s="86" t="n"/>
      <c r="I13" s="86" t="n"/>
      <c r="J13" s="86" t="n"/>
      <c r="K13" s="86" t="n"/>
      <c r="L13" s="86" t="n"/>
      <c r="M13" s="86" t="n"/>
      <c r="N13" s="86" t="n"/>
      <c r="O13" s="86" t="n"/>
      <c r="P13" s="86" t="n"/>
      <c r="Q13" s="86" t="n"/>
      <c r="R13" s="86" t="n"/>
      <c r="S13" s="86" t="n"/>
      <c r="T13" s="86" t="n"/>
      <c r="U13" s="86" t="n"/>
      <c r="V13" s="86" t="n"/>
      <c r="W13" s="86" t="n"/>
    </row>
    <row r="14">
      <c r="A14" s="150" t="n">
        <v>2.5</v>
      </c>
      <c r="B14" s="85" t="inlineStr">
        <is>
          <t>~</t>
        </is>
      </c>
      <c r="C14" s="151" t="n">
        <v>3</v>
      </c>
      <c r="D14" s="86" t="n"/>
      <c r="E14" s="86" t="n"/>
      <c r="F14" s="86" t="n"/>
      <c r="G14" s="86" t="n"/>
      <c r="H14" s="86" t="n"/>
      <c r="I14" s="86" t="n"/>
      <c r="J14" s="86" t="n"/>
      <c r="K14" s="86" t="n"/>
      <c r="L14" s="86" t="n"/>
      <c r="M14" s="86" t="n"/>
      <c r="N14" s="86" t="n"/>
      <c r="O14" s="86" t="n"/>
      <c r="P14" s="86" t="n"/>
      <c r="Q14" s="86" t="n"/>
      <c r="R14" s="86" t="n"/>
      <c r="S14" s="86" t="n"/>
      <c r="T14" s="86" t="n"/>
      <c r="U14" s="86" t="n"/>
      <c r="V14" s="86" t="n"/>
      <c r="W14" s="86" t="n"/>
    </row>
    <row r="15">
      <c r="A15" s="150" t="n">
        <v>2</v>
      </c>
      <c r="B15" s="85" t="inlineStr">
        <is>
          <t>~</t>
        </is>
      </c>
      <c r="C15" s="151" t="n">
        <v>2.5</v>
      </c>
      <c r="D15" s="86" t="n"/>
      <c r="E15" s="86" t="n"/>
      <c r="F15" s="86" t="n"/>
      <c r="G15" s="86" t="n"/>
      <c r="H15" s="86" t="n"/>
      <c r="I15" s="86" t="n"/>
      <c r="J15" s="86" t="n"/>
      <c r="K15" s="86" t="n"/>
      <c r="L15" s="86" t="n"/>
      <c r="M15" s="86" t="n"/>
      <c r="N15" s="86" t="n"/>
      <c r="O15" s="86" t="n"/>
      <c r="P15" s="86" t="n"/>
      <c r="Q15" s="86" t="n"/>
      <c r="R15" s="86" t="n"/>
      <c r="S15" s="86" t="n"/>
      <c r="T15" s="86" t="n"/>
      <c r="U15" s="86" t="n"/>
      <c r="V15" s="86" t="n"/>
      <c r="W15" s="86" t="n"/>
    </row>
    <row r="16">
      <c r="A16" s="152" t="n">
        <v>1.5</v>
      </c>
      <c r="B16" s="87" t="inlineStr">
        <is>
          <t>~</t>
        </is>
      </c>
      <c r="C16" s="153" t="n">
        <v>2</v>
      </c>
      <c r="D16" s="88" t="n"/>
      <c r="E16" s="88" t="n"/>
      <c r="F16" s="88" t="n"/>
      <c r="G16" s="88" t="n"/>
      <c r="H16" s="88" t="n"/>
      <c r="I16" s="88" t="n"/>
      <c r="J16" s="88" t="n"/>
      <c r="K16" s="88" t="n"/>
      <c r="L16" s="88" t="n"/>
      <c r="M16" s="88" t="n"/>
      <c r="N16" s="88" t="n"/>
      <c r="O16" s="88" t="n"/>
      <c r="P16" s="88" t="n"/>
      <c r="Q16" s="88" t="n"/>
      <c r="R16" s="88" t="n"/>
      <c r="S16" s="88" t="n"/>
      <c r="T16" s="88" t="n"/>
      <c r="U16" s="88" t="n"/>
      <c r="V16" s="88" t="n"/>
      <c r="W16" s="88" t="n"/>
    </row>
    <row r="17">
      <c r="A17" s="152" t="n">
        <v>1</v>
      </c>
      <c r="B17" s="87" t="inlineStr">
        <is>
          <t>~</t>
        </is>
      </c>
      <c r="C17" s="153" t="n">
        <v>1.5</v>
      </c>
      <c r="D17" s="88" t="n"/>
      <c r="E17" s="88" t="n"/>
      <c r="F17" s="88" t="n"/>
      <c r="G17" s="88" t="n"/>
      <c r="H17" s="88" t="n"/>
      <c r="I17" s="88" t="n"/>
      <c r="J17" s="88" t="n"/>
      <c r="K17" s="88" t="n"/>
      <c r="L17" s="88" t="n"/>
      <c r="M17" s="88" t="n"/>
      <c r="N17" s="88" t="n"/>
      <c r="O17" s="88" t="n"/>
      <c r="P17" s="88" t="n"/>
      <c r="Q17" s="88" t="n"/>
      <c r="R17" s="88" t="n"/>
      <c r="S17" s="88" t="n"/>
      <c r="T17" s="88" t="n"/>
      <c r="U17" s="88" t="n"/>
      <c r="V17" s="88" t="n"/>
      <c r="W17" s="88" t="n"/>
    </row>
    <row r="20">
      <c r="A20" s="76" t="inlineStr">
        <is>
          <t>30평대</t>
        </is>
      </c>
      <c r="B20" s="77" t="n"/>
      <c r="C20" s="78" t="n"/>
      <c r="D20" s="79">
        <f>D7</f>
        <v/>
      </c>
      <c r="E20" s="79">
        <f>E7</f>
        <v/>
      </c>
      <c r="F20" s="79">
        <f>F7</f>
        <v/>
      </c>
      <c r="G20" s="79">
        <f>G7</f>
        <v/>
      </c>
      <c r="H20" s="79">
        <f>H7</f>
        <v/>
      </c>
      <c r="I20" s="79">
        <f>I7</f>
        <v/>
      </c>
      <c r="J20" s="79">
        <f>J7</f>
        <v/>
      </c>
      <c r="K20" s="79">
        <f>K7</f>
        <v/>
      </c>
      <c r="L20" s="79">
        <f>L7</f>
        <v/>
      </c>
      <c r="M20" s="79">
        <f>M7</f>
        <v/>
      </c>
      <c r="N20" s="79">
        <f>N7</f>
        <v/>
      </c>
      <c r="O20" s="79">
        <f>O7</f>
        <v/>
      </c>
      <c r="P20" s="79">
        <f>P7</f>
        <v/>
      </c>
      <c r="Q20" s="79">
        <f>Q7</f>
        <v/>
      </c>
      <c r="R20" s="79">
        <f>R7</f>
        <v/>
      </c>
      <c r="S20" s="79">
        <f>S7</f>
        <v/>
      </c>
      <c r="T20" s="79">
        <f>T7</f>
        <v/>
      </c>
      <c r="U20" s="79">
        <f>U7</f>
        <v/>
      </c>
      <c r="V20" s="79">
        <f>V7</f>
        <v/>
      </c>
      <c r="W20" s="79">
        <f>W7</f>
        <v/>
      </c>
    </row>
    <row r="21">
      <c r="A21" s="144">
        <f>IF(A8="","",A8)</f>
        <v/>
      </c>
      <c r="B21" s="82">
        <f>IF(B8="","",B8)</f>
        <v/>
      </c>
      <c r="C21" s="145">
        <f>IF(C8="","",C8)</f>
        <v/>
      </c>
      <c r="D21" s="83" t="n"/>
      <c r="E21" s="83" t="n"/>
      <c r="F21" s="83" t="n"/>
      <c r="G21" s="83" t="n"/>
      <c r="H21" s="83" t="n"/>
      <c r="I21" s="83" t="n"/>
      <c r="J21" s="83" t="n"/>
      <c r="K21" s="83" t="n"/>
      <c r="L21" s="83" t="n"/>
      <c r="M21" s="83" t="n"/>
      <c r="N21" s="83" t="n"/>
      <c r="O21" s="83" t="n"/>
      <c r="P21" s="83" t="n"/>
      <c r="Q21" s="83" t="n"/>
      <c r="R21" s="83" t="n"/>
      <c r="S21" s="83" t="n"/>
      <c r="T21" s="83" t="n"/>
      <c r="U21" s="83" t="n"/>
      <c r="V21" s="83" t="n"/>
      <c r="W21" s="83" t="n"/>
    </row>
    <row r="22">
      <c r="A22" s="146">
        <f>IF(A9="","",A9)</f>
        <v/>
      </c>
      <c r="B22" s="84">
        <f>IF(B9="","",B9)</f>
        <v/>
      </c>
      <c r="C22" s="147">
        <f>IF(C9="","",C9)</f>
        <v/>
      </c>
      <c r="D22" s="83" t="n"/>
      <c r="E22" s="83" t="n"/>
      <c r="F22" s="83" t="n"/>
      <c r="G22" s="83" t="n"/>
      <c r="H22" s="83" t="n"/>
      <c r="I22" s="83" t="n"/>
      <c r="J22" s="83" t="n"/>
      <c r="K22" s="83" t="n"/>
      <c r="L22" s="83" t="n"/>
      <c r="M22" s="83" t="n"/>
      <c r="N22" s="83" t="n"/>
      <c r="O22" s="83" t="n"/>
      <c r="P22" s="83" t="n"/>
      <c r="Q22" s="83" t="n"/>
      <c r="R22" s="83" t="n"/>
      <c r="S22" s="83" t="n"/>
      <c r="T22" s="83" t="n"/>
      <c r="U22" s="83" t="n"/>
      <c r="V22" s="83" t="n"/>
      <c r="W22" s="83" t="n"/>
    </row>
    <row r="23">
      <c r="A23" s="148">
        <f>IF(A10="","",A10)</f>
        <v/>
      </c>
      <c r="B23" s="80">
        <f>IF(B10="","",B10)</f>
        <v/>
      </c>
      <c r="C23" s="149">
        <f>IF(C10="","",C10)</f>
        <v/>
      </c>
      <c r="D23" s="81" t="n"/>
      <c r="E23" s="81" t="n"/>
      <c r="F23" s="81" t="n"/>
      <c r="G23" s="81" t="n"/>
      <c r="H23" s="81" t="n"/>
      <c r="I23" s="81" t="n"/>
      <c r="J23" s="81" t="n"/>
      <c r="K23" s="81" t="n"/>
      <c r="L23" s="81" t="n"/>
      <c r="M23" s="81" t="n"/>
      <c r="N23" s="81" t="n"/>
      <c r="O23" s="81" t="n"/>
      <c r="P23" s="81" t="n"/>
      <c r="Q23" s="81" t="n"/>
      <c r="R23" s="81" t="n"/>
      <c r="S23" s="81" t="n"/>
      <c r="T23" s="81" t="n"/>
      <c r="U23" s="81" t="n"/>
      <c r="V23" s="81" t="n"/>
      <c r="W23" s="81" t="n"/>
    </row>
    <row r="24">
      <c r="A24" s="148">
        <f>IF(A11="","",A11)</f>
        <v/>
      </c>
      <c r="B24" s="80">
        <f>IF(B11="","",B11)</f>
        <v/>
      </c>
      <c r="C24" s="149">
        <f>IF(C11="","",C11)</f>
        <v/>
      </c>
      <c r="D24" s="81" t="n"/>
      <c r="E24" s="81" t="n"/>
      <c r="F24" s="81" t="n"/>
      <c r="G24" s="81" t="n"/>
      <c r="H24" s="81" t="n"/>
      <c r="I24" s="81" t="n"/>
      <c r="J24" s="81" t="n"/>
      <c r="K24" s="81" t="n"/>
      <c r="L24" s="81" t="n"/>
      <c r="M24" s="81" t="n"/>
      <c r="N24" s="81" t="n"/>
      <c r="O24" s="81" t="n"/>
      <c r="P24" s="81" t="n"/>
      <c r="Q24" s="81" t="n"/>
      <c r="R24" s="81" t="n"/>
      <c r="S24" s="81" t="n"/>
      <c r="T24" s="81" t="n"/>
      <c r="U24" s="81" t="n"/>
      <c r="V24" s="81" t="n"/>
      <c r="W24" s="81" t="n"/>
    </row>
    <row r="25">
      <c r="A25" s="148">
        <f>IF(A12="","",A12)</f>
        <v/>
      </c>
      <c r="B25" s="80">
        <f>IF(B12="","",B12)</f>
        <v/>
      </c>
      <c r="C25" s="149">
        <f>IF(C12="","",C12)</f>
        <v/>
      </c>
      <c r="D25" s="81" t="n"/>
      <c r="E25" s="81" t="n"/>
      <c r="F25" s="81" t="n"/>
      <c r="G25" s="81" t="n"/>
      <c r="H25" s="81" t="n"/>
      <c r="I25" s="81" t="n"/>
      <c r="J25" s="81" t="n"/>
      <c r="K25" s="81" t="n"/>
      <c r="L25" s="81" t="n"/>
      <c r="M25" s="81" t="n"/>
      <c r="N25" s="81" t="n"/>
      <c r="O25" s="81" t="n"/>
      <c r="P25" s="81" t="n"/>
      <c r="Q25" s="81" t="n"/>
      <c r="R25" s="81" t="n"/>
      <c r="S25" s="81" t="n"/>
      <c r="T25" s="81" t="n"/>
      <c r="U25" s="81" t="n"/>
      <c r="V25" s="81" t="n"/>
      <c r="W25" s="81" t="n"/>
    </row>
    <row r="26">
      <c r="A26" s="150">
        <f>IF(A13="","",A13)</f>
        <v/>
      </c>
      <c r="B26" s="85">
        <f>IF(B13="","",B13)</f>
        <v/>
      </c>
      <c r="C26" s="151">
        <f>IF(C13="","",C13)</f>
        <v/>
      </c>
      <c r="D26" s="86" t="n"/>
      <c r="E26" s="86" t="n"/>
      <c r="F26" s="86" t="n"/>
      <c r="G26" s="86" t="n"/>
      <c r="H26" s="86" t="n"/>
      <c r="I26" s="86" t="n"/>
      <c r="J26" s="86" t="n"/>
      <c r="K26" s="86" t="n"/>
      <c r="L26" s="86" t="n"/>
      <c r="M26" s="86" t="n"/>
      <c r="N26" s="86" t="n"/>
      <c r="O26" s="86" t="n"/>
      <c r="P26" s="86" t="n"/>
      <c r="Q26" s="86" t="n"/>
      <c r="R26" s="86" t="n"/>
      <c r="S26" s="86" t="n"/>
      <c r="T26" s="86" t="n"/>
      <c r="U26" s="86" t="n"/>
      <c r="V26" s="86" t="n"/>
      <c r="W26" s="86" t="n"/>
    </row>
    <row r="27">
      <c r="A27" s="150">
        <f>IF(A14="","",A14)</f>
        <v/>
      </c>
      <c r="B27" s="85">
        <f>IF(B14="","",B14)</f>
        <v/>
      </c>
      <c r="C27" s="151">
        <f>IF(C14="","",C14)</f>
        <v/>
      </c>
      <c r="D27" s="86" t="n"/>
      <c r="E27" s="86" t="n"/>
      <c r="F27" s="86" t="n"/>
      <c r="G27" s="86" t="n"/>
      <c r="H27" s="86" t="n"/>
      <c r="I27" s="86" t="n"/>
      <c r="J27" s="86" t="n"/>
      <c r="K27" s="86" t="n"/>
      <c r="L27" s="86" t="n"/>
      <c r="M27" s="86" t="n"/>
      <c r="N27" s="86" t="n"/>
      <c r="O27" s="86" t="n"/>
      <c r="P27" s="86" t="n"/>
      <c r="Q27" s="86" t="n"/>
      <c r="R27" s="86" t="n"/>
      <c r="S27" s="86" t="n"/>
      <c r="T27" s="86" t="n"/>
      <c r="U27" s="86" t="n"/>
      <c r="V27" s="86" t="n"/>
      <c r="W27" s="86" t="n"/>
    </row>
    <row r="28">
      <c r="A28" s="150">
        <f>IF(A15="","",A15)</f>
        <v/>
      </c>
      <c r="B28" s="85">
        <f>IF(B15="","",B15)</f>
        <v/>
      </c>
      <c r="C28" s="151">
        <f>IF(C15="","",C15)</f>
        <v/>
      </c>
      <c r="D28" s="86" t="n"/>
      <c r="E28" s="86" t="n"/>
      <c r="F28" s="86" t="n"/>
      <c r="G28" s="86" t="n"/>
      <c r="H28" s="86" t="n"/>
      <c r="I28" s="86" t="n"/>
      <c r="J28" s="86" t="n"/>
      <c r="K28" s="86" t="n"/>
      <c r="L28" s="86" t="n"/>
      <c r="M28" s="86" t="n"/>
      <c r="N28" s="86" t="n"/>
      <c r="O28" s="86" t="n"/>
      <c r="P28" s="86" t="n"/>
      <c r="Q28" s="86" t="n"/>
      <c r="R28" s="86" t="n"/>
      <c r="S28" s="86" t="n"/>
      <c r="T28" s="86" t="n"/>
      <c r="U28" s="86" t="n"/>
      <c r="V28" s="86" t="n"/>
      <c r="W28" s="86" t="n"/>
    </row>
    <row r="29">
      <c r="A29" s="152">
        <f>IF(A16="","",A16)</f>
        <v/>
      </c>
      <c r="B29" s="87">
        <f>IF(B16="","",B16)</f>
        <v/>
      </c>
      <c r="C29" s="153">
        <f>IF(C16="","",C16)</f>
        <v/>
      </c>
      <c r="D29" s="88" t="n"/>
      <c r="E29" s="88" t="n"/>
      <c r="F29" s="88" t="n"/>
      <c r="G29" s="88" t="n"/>
      <c r="H29" s="88" t="n"/>
      <c r="I29" s="88" t="n"/>
      <c r="J29" s="88" t="n"/>
      <c r="K29" s="88" t="n"/>
      <c r="L29" s="88" t="n"/>
      <c r="M29" s="88" t="n"/>
      <c r="N29" s="88" t="n"/>
      <c r="O29" s="88" t="n"/>
      <c r="P29" s="88" t="n"/>
      <c r="Q29" s="88" t="n"/>
      <c r="R29" s="88" t="n"/>
      <c r="S29" s="88" t="n"/>
      <c r="T29" s="88" t="n"/>
      <c r="U29" s="88" t="n"/>
      <c r="V29" s="88" t="n"/>
      <c r="W29" s="88" t="n"/>
    </row>
    <row r="30">
      <c r="A30" s="152">
        <f>IF(A17="","",A17)</f>
        <v/>
      </c>
      <c r="B30" s="87">
        <f>IF(B17="","",B17)</f>
        <v/>
      </c>
      <c r="C30" s="153">
        <f>IF(C17="","",C17)</f>
        <v/>
      </c>
      <c r="D30" s="88" t="n"/>
      <c r="E30" s="88" t="n"/>
      <c r="F30" s="88" t="n"/>
      <c r="G30" s="88" t="n"/>
      <c r="H30" s="88" t="n"/>
      <c r="I30" s="88" t="n"/>
      <c r="J30" s="88" t="n"/>
      <c r="K30" s="88" t="n"/>
      <c r="L30" s="88" t="n"/>
      <c r="M30" s="88" t="n"/>
      <c r="N30" s="88" t="n"/>
      <c r="O30" s="88" t="n"/>
      <c r="P30" s="88" t="n"/>
      <c r="Q30" s="88" t="n"/>
      <c r="R30" s="88" t="n"/>
      <c r="S30" s="88" t="n"/>
      <c r="T30" s="88" t="n"/>
      <c r="U30" s="88" t="n"/>
      <c r="V30" s="88" t="n"/>
      <c r="W30" s="88" t="n"/>
    </row>
    <row r="33">
      <c r="A33" s="76" t="inlineStr">
        <is>
          <t>20평대(방3)</t>
        </is>
      </c>
      <c r="B33" s="77" t="n"/>
      <c r="C33" s="78" t="n"/>
      <c r="D33" s="79">
        <f>D20</f>
        <v/>
      </c>
      <c r="E33" s="79">
        <f>E20</f>
        <v/>
      </c>
      <c r="F33" s="79">
        <f>F20</f>
        <v/>
      </c>
      <c r="G33" s="79">
        <f>G20</f>
        <v/>
      </c>
      <c r="H33" s="79">
        <f>H20</f>
        <v/>
      </c>
      <c r="I33" s="79">
        <f>I20</f>
        <v/>
      </c>
      <c r="J33" s="79">
        <f>J20</f>
        <v/>
      </c>
      <c r="K33" s="79">
        <f>K20</f>
        <v/>
      </c>
      <c r="L33" s="79">
        <f>L20</f>
        <v/>
      </c>
      <c r="M33" s="79">
        <f>M20</f>
        <v/>
      </c>
      <c r="N33" s="79">
        <f>N20</f>
        <v/>
      </c>
      <c r="O33" s="79">
        <f>O20</f>
        <v/>
      </c>
      <c r="P33" s="79">
        <f>P20</f>
        <v/>
      </c>
      <c r="Q33" s="79">
        <f>Q20</f>
        <v/>
      </c>
      <c r="R33" s="79">
        <f>R20</f>
        <v/>
      </c>
      <c r="S33" s="79">
        <f>S20</f>
        <v/>
      </c>
      <c r="T33" s="79">
        <f>T20</f>
        <v/>
      </c>
      <c r="U33" s="79">
        <f>U20</f>
        <v/>
      </c>
      <c r="V33" s="79">
        <f>V20</f>
        <v/>
      </c>
      <c r="W33" s="79">
        <f>W20</f>
        <v/>
      </c>
    </row>
    <row r="34">
      <c r="A34" s="144">
        <f>IF(A21="","",A21)</f>
        <v/>
      </c>
      <c r="B34" s="82">
        <f>IF(B21="","",B21)</f>
        <v/>
      </c>
      <c r="C34" s="145">
        <f>IF(C21="","",C21)</f>
        <v/>
      </c>
      <c r="D34" s="83" t="n"/>
      <c r="E34" s="83" t="n"/>
      <c r="F34" s="83" t="n"/>
      <c r="G34" s="83" t="n"/>
      <c r="H34" s="83" t="n"/>
      <c r="I34" s="83" t="n"/>
      <c r="J34" s="83" t="n"/>
      <c r="K34" s="83" t="n"/>
      <c r="L34" s="83" t="n"/>
      <c r="M34" s="83" t="n"/>
      <c r="N34" s="83" t="n"/>
      <c r="O34" s="83" t="n"/>
      <c r="P34" s="83" t="n"/>
      <c r="Q34" s="83" t="n"/>
      <c r="R34" s="83" t="n"/>
      <c r="S34" s="83" t="n"/>
      <c r="T34" s="83" t="n"/>
      <c r="U34" s="83" t="n"/>
      <c r="V34" s="83" t="n"/>
      <c r="W34" s="83" t="n"/>
    </row>
    <row r="35">
      <c r="A35" s="146">
        <f>IF(A22="","",A22)</f>
        <v/>
      </c>
      <c r="B35" s="84">
        <f>IF(B22="","",B22)</f>
        <v/>
      </c>
      <c r="C35" s="147">
        <f>IF(C22="","",C22)</f>
        <v/>
      </c>
      <c r="D35" s="83" t="n"/>
      <c r="E35" s="83" t="n"/>
      <c r="F35" s="83" t="n"/>
      <c r="G35" s="83" t="n"/>
      <c r="H35" s="83" t="n"/>
      <c r="I35" s="83" t="n"/>
      <c r="J35" s="83" t="n"/>
      <c r="K35" s="83" t="n"/>
      <c r="L35" s="83" t="n"/>
      <c r="M35" s="83" t="n"/>
      <c r="N35" s="83" t="n"/>
      <c r="O35" s="83" t="n"/>
      <c r="P35" s="83" t="n"/>
      <c r="Q35" s="83" t="n"/>
      <c r="R35" s="83" t="n"/>
      <c r="S35" s="83" t="n"/>
      <c r="T35" s="83" t="n"/>
      <c r="U35" s="83" t="n"/>
      <c r="V35" s="83" t="n"/>
      <c r="W35" s="83" t="n"/>
    </row>
    <row r="36">
      <c r="A36" s="148">
        <f>IF(A23="","",A23)</f>
        <v/>
      </c>
      <c r="B36" s="80">
        <f>IF(B23="","",B23)</f>
        <v/>
      </c>
      <c r="C36" s="149">
        <f>IF(C23="","",C23)</f>
        <v/>
      </c>
      <c r="D36" s="81" t="n"/>
      <c r="E36" s="81" t="n"/>
      <c r="F36" s="81" t="n"/>
      <c r="G36" s="81" t="n"/>
      <c r="H36" s="81" t="n"/>
      <c r="I36" s="81" t="n"/>
      <c r="J36" s="81" t="n"/>
      <c r="K36" s="81" t="n"/>
      <c r="L36" s="81" t="n"/>
      <c r="M36" s="81" t="n"/>
      <c r="N36" s="81" t="n"/>
      <c r="O36" s="81" t="n"/>
      <c r="P36" s="81" t="n"/>
      <c r="Q36" s="81" t="n"/>
      <c r="R36" s="81" t="n"/>
      <c r="S36" s="81" t="n"/>
      <c r="T36" s="81" t="n"/>
      <c r="U36" s="81" t="n"/>
      <c r="V36" s="81" t="n"/>
      <c r="W36" s="81" t="n"/>
    </row>
    <row r="37">
      <c r="A37" s="148">
        <f>IF(A24="","",A24)</f>
        <v/>
      </c>
      <c r="B37" s="80">
        <f>IF(B24="","",B24)</f>
        <v/>
      </c>
      <c r="C37" s="149">
        <f>IF(C24="","",C24)</f>
        <v/>
      </c>
      <c r="D37" s="81" t="n"/>
      <c r="E37" s="81" t="n"/>
      <c r="F37" s="81" t="n"/>
      <c r="G37" s="81" t="n"/>
      <c r="H37" s="81" t="n"/>
      <c r="I37" s="81" t="n"/>
      <c r="J37" s="81" t="n"/>
      <c r="K37" s="81" t="n"/>
      <c r="L37" s="81" t="n"/>
      <c r="M37" s="81" t="n"/>
      <c r="N37" s="81" t="n"/>
      <c r="O37" s="81" t="n"/>
      <c r="P37" s="81" t="n"/>
      <c r="Q37" s="81" t="n"/>
      <c r="R37" s="81" t="n"/>
      <c r="S37" s="81" t="n"/>
      <c r="T37" s="81" t="n"/>
      <c r="U37" s="81" t="n"/>
      <c r="V37" s="81" t="n"/>
      <c r="W37" s="81" t="n"/>
    </row>
    <row r="38">
      <c r="A38" s="148">
        <f>IF(A25="","",A25)</f>
        <v/>
      </c>
      <c r="B38" s="80">
        <f>IF(B25="","",B25)</f>
        <v/>
      </c>
      <c r="C38" s="149">
        <f>IF(C25="","",C25)</f>
        <v/>
      </c>
      <c r="D38" s="81" t="n"/>
      <c r="E38" s="81" t="n"/>
      <c r="F38" s="81" t="n"/>
      <c r="G38" s="81" t="n"/>
      <c r="H38" s="81" t="n"/>
      <c r="I38" s="81" t="n"/>
      <c r="J38" s="81" t="n"/>
      <c r="K38" s="81" t="n"/>
      <c r="L38" s="81" t="n"/>
      <c r="M38" s="81" t="n"/>
      <c r="N38" s="81" t="n"/>
      <c r="O38" s="81" t="n"/>
      <c r="P38" s="81" t="n"/>
      <c r="Q38" s="81" t="n"/>
      <c r="R38" s="81" t="n"/>
      <c r="S38" s="81" t="n"/>
      <c r="T38" s="81" t="n"/>
      <c r="U38" s="81" t="n"/>
      <c r="V38" s="81" t="n"/>
      <c r="W38" s="81" t="n"/>
    </row>
    <row r="39">
      <c r="A39" s="150">
        <f>IF(A26="","",A26)</f>
        <v/>
      </c>
      <c r="B39" s="85">
        <f>IF(B26="","",B26)</f>
        <v/>
      </c>
      <c r="C39" s="151">
        <f>IF(C26="","",C26)</f>
        <v/>
      </c>
      <c r="D39" s="86" t="n"/>
      <c r="E39" s="86" t="n"/>
      <c r="F39" s="86" t="n"/>
      <c r="G39" s="86" t="n"/>
      <c r="H39" s="86" t="n"/>
      <c r="I39" s="86" t="n"/>
      <c r="J39" s="86" t="n"/>
      <c r="K39" s="86" t="n"/>
      <c r="L39" s="86" t="n"/>
      <c r="M39" s="86" t="n"/>
      <c r="N39" s="86" t="n"/>
      <c r="O39" s="86" t="n"/>
      <c r="P39" s="86" t="n"/>
      <c r="Q39" s="86" t="n"/>
      <c r="R39" s="86" t="n"/>
      <c r="S39" s="86" t="n"/>
      <c r="T39" s="86" t="n"/>
      <c r="U39" s="86" t="n"/>
      <c r="V39" s="86" t="n"/>
      <c r="W39" s="86" t="n"/>
    </row>
    <row r="40">
      <c r="A40" s="150">
        <f>IF(A27="","",A27)</f>
        <v/>
      </c>
      <c r="B40" s="85">
        <f>IF(B27="","",B27)</f>
        <v/>
      </c>
      <c r="C40" s="151">
        <f>IF(C27="","",C27)</f>
        <v/>
      </c>
      <c r="D40" s="86" t="n"/>
      <c r="E40" s="86" t="n"/>
      <c r="F40" s="86" t="n"/>
      <c r="G40" s="86" t="n"/>
      <c r="H40" s="86" t="n"/>
      <c r="I40" s="86" t="n"/>
      <c r="J40" s="86" t="n"/>
      <c r="K40" s="86" t="n"/>
      <c r="L40" s="86" t="n"/>
      <c r="M40" s="86" t="n"/>
      <c r="N40" s="86" t="n"/>
      <c r="O40" s="86" t="n"/>
      <c r="P40" s="86" t="n"/>
      <c r="Q40" s="86" t="n"/>
      <c r="R40" s="86" t="n"/>
      <c r="S40" s="86" t="n"/>
      <c r="T40" s="86" t="n"/>
      <c r="U40" s="86" t="n"/>
      <c r="V40" s="86" t="n"/>
      <c r="W40" s="86" t="n"/>
    </row>
    <row r="41">
      <c r="A41" s="150">
        <f>IF(A28="","",A28)</f>
        <v/>
      </c>
      <c r="B41" s="85">
        <f>IF(B28="","",B28)</f>
        <v/>
      </c>
      <c r="C41" s="151">
        <f>IF(C28="","",C28)</f>
        <v/>
      </c>
      <c r="D41" s="86" t="n"/>
      <c r="E41" s="86" t="n"/>
      <c r="F41" s="86" t="n"/>
      <c r="G41" s="86" t="n"/>
      <c r="H41" s="86" t="n"/>
      <c r="I41" s="86" t="n"/>
      <c r="J41" s="86" t="n"/>
      <c r="K41" s="86" t="n"/>
      <c r="L41" s="86" t="n"/>
      <c r="M41" s="86" t="n"/>
      <c r="N41" s="86" t="n"/>
      <c r="O41" s="86" t="n"/>
      <c r="P41" s="86" t="n"/>
      <c r="Q41" s="86" t="n"/>
      <c r="R41" s="86" t="n"/>
      <c r="S41" s="86" t="n"/>
      <c r="T41" s="86" t="n"/>
      <c r="U41" s="86" t="n"/>
      <c r="V41" s="86" t="n"/>
      <c r="W41" s="86" t="n"/>
    </row>
    <row r="42">
      <c r="A42" s="152">
        <f>IF(A29="","",A29)</f>
        <v/>
      </c>
      <c r="B42" s="87">
        <f>IF(B29="","",B29)</f>
        <v/>
      </c>
      <c r="C42" s="153">
        <f>IF(C29="","",C29)</f>
        <v/>
      </c>
      <c r="D42" s="88" t="n"/>
      <c r="E42" s="88" t="n"/>
      <c r="F42" s="88" t="n"/>
      <c r="G42" s="88" t="n"/>
      <c r="H42" s="88" t="n"/>
      <c r="I42" s="88" t="n"/>
      <c r="J42" s="88" t="n"/>
      <c r="K42" s="88" t="n"/>
      <c r="L42" s="88" t="n"/>
      <c r="M42" s="88" t="n"/>
      <c r="N42" s="88" t="n"/>
      <c r="O42" s="88" t="n"/>
      <c r="P42" s="88" t="n"/>
      <c r="Q42" s="88" t="n"/>
      <c r="R42" s="88" t="n"/>
      <c r="S42" s="88" t="n"/>
      <c r="T42" s="88" t="n"/>
      <c r="U42" s="88" t="n"/>
      <c r="V42" s="88" t="n"/>
      <c r="W42" s="88" t="n"/>
    </row>
    <row r="43">
      <c r="A43" s="152">
        <f>IF(A30="","",A30)</f>
        <v/>
      </c>
      <c r="B43" s="87">
        <f>IF(B30="","",B30)</f>
        <v/>
      </c>
      <c r="C43" s="153">
        <f>IF(C30="","",C30)</f>
        <v/>
      </c>
      <c r="D43" s="88" t="n"/>
      <c r="E43" s="88" t="n"/>
      <c r="F43" s="88" t="n"/>
      <c r="G43" s="88" t="n"/>
      <c r="H43" s="88" t="n"/>
      <c r="I43" s="88" t="n"/>
      <c r="J43" s="88" t="n"/>
      <c r="K43" s="88" t="n"/>
      <c r="L43" s="88" t="n"/>
      <c r="M43" s="88" t="n"/>
      <c r="N43" s="88" t="n"/>
      <c r="O43" s="88" t="n"/>
      <c r="P43" s="88" t="n"/>
      <c r="Q43" s="88" t="n"/>
      <c r="R43" s="88" t="n"/>
      <c r="S43" s="88" t="n"/>
      <c r="T43" s="88" t="n"/>
      <c r="U43" s="88" t="n"/>
      <c r="V43" s="88" t="n"/>
      <c r="W43" s="88" t="n"/>
    </row>
    <row r="46">
      <c r="A46" s="76" t="inlineStr">
        <is>
          <t>20평대(방2)</t>
        </is>
      </c>
      <c r="B46" s="77" t="n"/>
      <c r="C46" s="78" t="n"/>
      <c r="D46" s="79">
        <f>D33</f>
        <v/>
      </c>
      <c r="E46" s="79">
        <f>E33</f>
        <v/>
      </c>
      <c r="F46" s="79">
        <f>F33</f>
        <v/>
      </c>
      <c r="G46" s="79">
        <f>G33</f>
        <v/>
      </c>
      <c r="H46" s="79">
        <f>H33</f>
        <v/>
      </c>
      <c r="I46" s="79">
        <f>I33</f>
        <v/>
      </c>
      <c r="J46" s="79">
        <f>J33</f>
        <v/>
      </c>
      <c r="K46" s="79">
        <f>K33</f>
        <v/>
      </c>
      <c r="L46" s="79">
        <f>L33</f>
        <v/>
      </c>
      <c r="M46" s="79">
        <f>M33</f>
        <v/>
      </c>
      <c r="N46" s="79">
        <f>N33</f>
        <v/>
      </c>
      <c r="O46" s="79">
        <f>O33</f>
        <v/>
      </c>
      <c r="P46" s="79">
        <f>P33</f>
        <v/>
      </c>
      <c r="Q46" s="79">
        <f>Q33</f>
        <v/>
      </c>
      <c r="R46" s="79">
        <f>R33</f>
        <v/>
      </c>
      <c r="S46" s="79">
        <f>S33</f>
        <v/>
      </c>
      <c r="T46" s="79">
        <f>T33</f>
        <v/>
      </c>
      <c r="U46" s="79">
        <f>U33</f>
        <v/>
      </c>
      <c r="V46" s="79">
        <f>V33</f>
        <v/>
      </c>
      <c r="W46" s="79">
        <f>W33</f>
        <v/>
      </c>
    </row>
    <row r="47">
      <c r="A47" s="144">
        <f>IF(A34="","",A34)</f>
        <v/>
      </c>
      <c r="B47" s="82">
        <f>IF(B34="","",B34)</f>
        <v/>
      </c>
      <c r="C47" s="145">
        <f>IF(C34="","",C34)</f>
        <v/>
      </c>
      <c r="D47" s="83" t="n"/>
      <c r="E47" s="83" t="n"/>
      <c r="F47" s="83" t="n"/>
      <c r="G47" s="83" t="n"/>
      <c r="H47" s="83" t="n"/>
      <c r="I47" s="83" t="n"/>
      <c r="J47" s="83" t="n"/>
      <c r="K47" s="83" t="n"/>
      <c r="L47" s="83" t="n"/>
      <c r="M47" s="83" t="n"/>
      <c r="N47" s="83" t="n"/>
      <c r="O47" s="83" t="n"/>
      <c r="P47" s="83" t="n"/>
      <c r="Q47" s="83" t="n"/>
      <c r="R47" s="83" t="n"/>
      <c r="S47" s="83" t="n"/>
      <c r="T47" s="83" t="n"/>
      <c r="U47" s="83" t="n"/>
      <c r="V47" s="83" t="n"/>
      <c r="W47" s="83" t="n"/>
    </row>
    <row r="48">
      <c r="A48" s="146">
        <f>IF(A35="","",A35)</f>
        <v/>
      </c>
      <c r="B48" s="84">
        <f>IF(B35="","",B35)</f>
        <v/>
      </c>
      <c r="C48" s="147">
        <f>IF(C35="","",C35)</f>
        <v/>
      </c>
      <c r="D48" s="83" t="n"/>
      <c r="E48" s="83" t="n"/>
      <c r="F48" s="83" t="n"/>
      <c r="G48" s="83" t="n"/>
      <c r="H48" s="83" t="n"/>
      <c r="I48" s="83" t="n"/>
      <c r="J48" s="83" t="n"/>
      <c r="K48" s="83" t="n"/>
      <c r="L48" s="83" t="n"/>
      <c r="M48" s="83" t="n"/>
      <c r="N48" s="83" t="n"/>
      <c r="O48" s="83" t="n"/>
      <c r="P48" s="83" t="n"/>
      <c r="Q48" s="83" t="n"/>
      <c r="R48" s="83" t="n"/>
      <c r="S48" s="83" t="n"/>
      <c r="T48" s="83" t="n"/>
      <c r="U48" s="83" t="n"/>
      <c r="V48" s="83" t="n"/>
      <c r="W48" s="83" t="n"/>
    </row>
    <row r="49">
      <c r="A49" s="148">
        <f>IF(A36="","",A36)</f>
        <v/>
      </c>
      <c r="B49" s="80">
        <f>IF(B36="","",B36)</f>
        <v/>
      </c>
      <c r="C49" s="149">
        <f>IF(C36="","",C36)</f>
        <v/>
      </c>
      <c r="D49" s="81" t="n"/>
      <c r="E49" s="81" t="n"/>
      <c r="F49" s="81" t="n"/>
      <c r="G49" s="81" t="n"/>
      <c r="H49" s="81" t="n"/>
      <c r="I49" s="81" t="n"/>
      <c r="J49" s="81" t="n"/>
      <c r="K49" s="81" t="n"/>
      <c r="L49" s="81" t="n"/>
      <c r="M49" s="81" t="n"/>
      <c r="N49" s="81" t="n"/>
      <c r="O49" s="81" t="n"/>
      <c r="P49" s="81" t="n"/>
      <c r="Q49" s="81" t="n"/>
      <c r="R49" s="81" t="n"/>
      <c r="S49" s="81" t="n"/>
      <c r="T49" s="81" t="n"/>
      <c r="U49" s="81" t="n"/>
      <c r="V49" s="81" t="n"/>
      <c r="W49" s="81" t="n"/>
    </row>
    <row r="50">
      <c r="A50" s="148">
        <f>IF(A37="","",A37)</f>
        <v/>
      </c>
      <c r="B50" s="80">
        <f>IF(B37="","",B37)</f>
        <v/>
      </c>
      <c r="C50" s="149">
        <f>IF(C37="","",C37)</f>
        <v/>
      </c>
      <c r="D50" s="81" t="n"/>
      <c r="E50" s="81" t="n"/>
      <c r="F50" s="81" t="n"/>
      <c r="G50" s="81" t="n"/>
      <c r="H50" s="81" t="n"/>
      <c r="I50" s="81" t="n"/>
      <c r="J50" s="81" t="n"/>
      <c r="K50" s="81" t="n"/>
      <c r="L50" s="81" t="n"/>
      <c r="M50" s="81" t="n"/>
      <c r="N50" s="81" t="n"/>
      <c r="O50" s="81" t="n"/>
      <c r="P50" s="81" t="n"/>
      <c r="Q50" s="81" t="n"/>
      <c r="R50" s="81" t="n"/>
      <c r="S50" s="81" t="n"/>
      <c r="T50" s="81" t="n"/>
      <c r="U50" s="81" t="n"/>
      <c r="V50" s="81" t="n"/>
      <c r="W50" s="81" t="n"/>
    </row>
    <row r="51">
      <c r="A51" s="148">
        <f>IF(A38="","",A38)</f>
        <v/>
      </c>
      <c r="B51" s="80">
        <f>IF(B38="","",B38)</f>
        <v/>
      </c>
      <c r="C51" s="149">
        <f>IF(C38="","",C38)</f>
        <v/>
      </c>
      <c r="D51" s="81" t="n"/>
      <c r="E51" s="81" t="n"/>
      <c r="F51" s="81" t="n"/>
      <c r="G51" s="81" t="n"/>
      <c r="H51" s="81" t="n"/>
      <c r="I51" s="81" t="n"/>
      <c r="J51" s="81" t="n"/>
      <c r="K51" s="81" t="n"/>
      <c r="L51" s="81" t="n"/>
      <c r="M51" s="81" t="n"/>
      <c r="N51" s="81" t="n"/>
      <c r="O51" s="81" t="n"/>
      <c r="P51" s="81" t="n"/>
      <c r="Q51" s="81" t="n"/>
      <c r="R51" s="81" t="n"/>
      <c r="S51" s="81" t="n"/>
      <c r="T51" s="81" t="n"/>
      <c r="U51" s="81" t="n"/>
      <c r="V51" s="81" t="n"/>
      <c r="W51" s="81" t="n"/>
    </row>
    <row r="52">
      <c r="A52" s="150">
        <f>IF(A39="","",A39)</f>
        <v/>
      </c>
      <c r="B52" s="85">
        <f>IF(B39="","",B39)</f>
        <v/>
      </c>
      <c r="C52" s="151">
        <f>IF(C39="","",C39)</f>
        <v/>
      </c>
      <c r="D52" s="86" t="n"/>
      <c r="E52" s="86" t="n"/>
      <c r="F52" s="86" t="n"/>
      <c r="G52" s="86" t="n"/>
      <c r="H52" s="86" t="n"/>
      <c r="I52" s="86" t="n"/>
      <c r="J52" s="86" t="n"/>
      <c r="K52" s="86" t="n"/>
      <c r="L52" s="86" t="n"/>
      <c r="M52" s="86" t="n"/>
      <c r="N52" s="86" t="n"/>
      <c r="O52" s="86" t="n"/>
      <c r="P52" s="86" t="n"/>
      <c r="Q52" s="86" t="n"/>
      <c r="R52" s="86" t="n"/>
      <c r="S52" s="86" t="n"/>
      <c r="T52" s="86" t="n"/>
      <c r="U52" s="86" t="n"/>
      <c r="V52" s="86" t="n"/>
      <c r="W52" s="86" t="n"/>
    </row>
    <row r="53">
      <c r="A53" s="150">
        <f>IF(A40="","",A40)</f>
        <v/>
      </c>
      <c r="B53" s="85">
        <f>IF(B40="","",B40)</f>
        <v/>
      </c>
      <c r="C53" s="151">
        <f>IF(C40="","",C40)</f>
        <v/>
      </c>
      <c r="D53" s="86" t="n"/>
      <c r="E53" s="86" t="n"/>
      <c r="F53" s="86" t="n"/>
      <c r="G53" s="86" t="n"/>
      <c r="H53" s="86" t="n"/>
      <c r="I53" s="86" t="n"/>
      <c r="J53" s="86" t="n"/>
      <c r="K53" s="86" t="n"/>
      <c r="L53" s="86" t="n"/>
      <c r="M53" s="86" t="n"/>
      <c r="N53" s="86" t="n"/>
      <c r="O53" s="86" t="n"/>
      <c r="P53" s="86" t="n"/>
      <c r="Q53" s="86" t="n"/>
      <c r="R53" s="86" t="n"/>
      <c r="S53" s="86" t="n"/>
      <c r="T53" s="86" t="n"/>
      <c r="U53" s="86" t="n"/>
      <c r="V53" s="86" t="n"/>
      <c r="W53" s="86" t="n"/>
    </row>
    <row r="54">
      <c r="A54" s="150">
        <f>IF(A41="","",A41)</f>
        <v/>
      </c>
      <c r="B54" s="85">
        <f>IF(B41="","",B41)</f>
        <v/>
      </c>
      <c r="C54" s="151">
        <f>IF(C41="","",C41)</f>
        <v/>
      </c>
      <c r="D54" s="86" t="n"/>
      <c r="E54" s="86" t="n"/>
      <c r="F54" s="86" t="n"/>
      <c r="G54" s="86" t="n"/>
      <c r="H54" s="86" t="n"/>
      <c r="I54" s="86" t="n"/>
      <c r="J54" s="86" t="n"/>
      <c r="K54" s="86" t="n"/>
      <c r="L54" s="86" t="n"/>
      <c r="M54" s="86" t="n"/>
      <c r="N54" s="86" t="n"/>
      <c r="O54" s="86" t="n"/>
      <c r="P54" s="86" t="n"/>
      <c r="Q54" s="86" t="n"/>
      <c r="R54" s="86" t="n"/>
      <c r="S54" s="86" t="n"/>
      <c r="T54" s="86" t="n"/>
      <c r="U54" s="86" t="n"/>
      <c r="V54" s="86" t="n"/>
      <c r="W54" s="86" t="n"/>
    </row>
    <row r="55">
      <c r="A55" s="152">
        <f>IF(A42="","",A42)</f>
        <v/>
      </c>
      <c r="B55" s="87">
        <f>IF(B42="","",B42)</f>
        <v/>
      </c>
      <c r="C55" s="153">
        <f>IF(C42="","",C42)</f>
        <v/>
      </c>
      <c r="D55" s="88" t="n"/>
      <c r="E55" s="88" t="n"/>
      <c r="F55" s="88" t="n"/>
      <c r="G55" s="88" t="n"/>
      <c r="H55" s="88" t="n"/>
      <c r="I55" s="88" t="n"/>
      <c r="J55" s="88" t="n"/>
      <c r="K55" s="88" t="n"/>
      <c r="L55" s="88" t="n"/>
      <c r="M55" s="88" t="n"/>
      <c r="N55" s="88" t="n"/>
      <c r="O55" s="88" t="n"/>
      <c r="P55" s="88" t="n"/>
      <c r="Q55" s="88" t="n"/>
      <c r="R55" s="88" t="n"/>
      <c r="S55" s="88" t="n"/>
      <c r="T55" s="88" t="n"/>
      <c r="U55" s="88" t="n"/>
      <c r="V55" s="88" t="n"/>
      <c r="W55" s="88" t="n"/>
    </row>
    <row r="56">
      <c r="A56" s="152">
        <f>IF(A43="","",A43)</f>
        <v/>
      </c>
      <c r="B56" s="87">
        <f>IF(B43="","",B43)</f>
        <v/>
      </c>
      <c r="C56" s="153">
        <f>IF(C43="","",C43)</f>
        <v/>
      </c>
      <c r="D56" s="88" t="n"/>
      <c r="E56" s="88" t="n"/>
      <c r="F56" s="88" t="n"/>
      <c r="G56" s="88" t="n"/>
      <c r="H56" s="88" t="n"/>
      <c r="I56" s="88" t="n"/>
      <c r="J56" s="88" t="n"/>
      <c r="K56" s="88" t="n"/>
      <c r="L56" s="88" t="n"/>
      <c r="M56" s="88" t="n"/>
      <c r="N56" s="88" t="n"/>
      <c r="O56" s="88" t="n"/>
      <c r="P56" s="88" t="n"/>
      <c r="Q56" s="88" t="n"/>
      <c r="R56" s="88" t="n"/>
      <c r="S56" s="88" t="n"/>
      <c r="T56" s="88" t="n"/>
      <c r="U56" s="88" t="n"/>
      <c r="V56" s="88" t="n"/>
      <c r="W56" s="88" t="n"/>
    </row>
    <row r="59">
      <c r="A59" s="76" t="inlineStr">
        <is>
          <t>10평대</t>
        </is>
      </c>
      <c r="B59" s="77" t="n"/>
      <c r="C59" s="78" t="n"/>
      <c r="D59" s="79">
        <f>D46</f>
        <v/>
      </c>
      <c r="E59" s="79">
        <f>E46</f>
        <v/>
      </c>
      <c r="F59" s="79">
        <f>F46</f>
        <v/>
      </c>
      <c r="G59" s="79">
        <f>G46</f>
        <v/>
      </c>
      <c r="H59" s="79">
        <f>H46</f>
        <v/>
      </c>
      <c r="I59" s="79">
        <f>I46</f>
        <v/>
      </c>
      <c r="J59" s="79">
        <f>J46</f>
        <v/>
      </c>
      <c r="K59" s="79">
        <f>K46</f>
        <v/>
      </c>
      <c r="L59" s="79">
        <f>L46</f>
        <v/>
      </c>
      <c r="M59" s="79">
        <f>M46</f>
        <v/>
      </c>
      <c r="N59" s="79">
        <f>N46</f>
        <v/>
      </c>
      <c r="O59" s="79">
        <f>O46</f>
        <v/>
      </c>
      <c r="P59" s="79">
        <f>P46</f>
        <v/>
      </c>
      <c r="Q59" s="79">
        <f>Q46</f>
        <v/>
      </c>
      <c r="R59" s="79">
        <f>R46</f>
        <v/>
      </c>
      <c r="S59" s="79">
        <f>S46</f>
        <v/>
      </c>
      <c r="T59" s="79">
        <f>T46</f>
        <v/>
      </c>
      <c r="U59" s="79">
        <f>U46</f>
        <v/>
      </c>
      <c r="V59" s="79">
        <f>V46</f>
        <v/>
      </c>
      <c r="W59" s="79">
        <f>W46</f>
        <v/>
      </c>
    </row>
    <row r="60">
      <c r="A60" s="144">
        <f>IF(A47="","",A47)</f>
        <v/>
      </c>
      <c r="B60" s="82">
        <f>IF(B47="","",B47)</f>
        <v/>
      </c>
      <c r="C60" s="145">
        <f>IF(C47="","",C47)</f>
        <v/>
      </c>
      <c r="D60" s="83" t="n"/>
      <c r="E60" s="83" t="n"/>
      <c r="F60" s="83" t="n"/>
      <c r="G60" s="83" t="n"/>
      <c r="H60" s="83" t="n"/>
      <c r="I60" s="83" t="n"/>
      <c r="J60" s="83" t="n"/>
      <c r="K60" s="83" t="n"/>
      <c r="L60" s="83" t="n"/>
      <c r="M60" s="83" t="n"/>
      <c r="N60" s="83" t="n"/>
      <c r="O60" s="83" t="n"/>
      <c r="P60" s="83" t="n"/>
      <c r="Q60" s="83" t="n"/>
      <c r="R60" s="83" t="n"/>
      <c r="S60" s="83" t="n"/>
      <c r="T60" s="83" t="n"/>
      <c r="U60" s="83" t="n"/>
      <c r="V60" s="83" t="n"/>
      <c r="W60" s="83" t="n"/>
    </row>
    <row r="61">
      <c r="A61" s="146">
        <f>IF(A48="","",A48)</f>
        <v/>
      </c>
      <c r="B61" s="84">
        <f>IF(B48="","",B48)</f>
        <v/>
      </c>
      <c r="C61" s="147">
        <f>IF(C48="","",C48)</f>
        <v/>
      </c>
      <c r="D61" s="83" t="n"/>
      <c r="E61" s="83" t="n"/>
      <c r="F61" s="83" t="n"/>
      <c r="G61" s="83" t="n"/>
      <c r="H61" s="83" t="n"/>
      <c r="I61" s="83" t="n"/>
      <c r="J61" s="83" t="n"/>
      <c r="K61" s="83" t="n"/>
      <c r="L61" s="83" t="n"/>
      <c r="M61" s="83" t="n"/>
      <c r="N61" s="83" t="n"/>
      <c r="O61" s="83" t="n"/>
      <c r="P61" s="83" t="n"/>
      <c r="Q61" s="83" t="n"/>
      <c r="R61" s="83" t="n"/>
      <c r="S61" s="83" t="n"/>
      <c r="T61" s="83" t="n"/>
      <c r="U61" s="83" t="n"/>
      <c r="V61" s="83" t="n"/>
      <c r="W61" s="83" t="n"/>
    </row>
    <row r="62">
      <c r="A62" s="148">
        <f>IF(A49="","",A49)</f>
        <v/>
      </c>
      <c r="B62" s="80">
        <f>IF(B49="","",B49)</f>
        <v/>
      </c>
      <c r="C62" s="149">
        <f>IF(C49="","",C49)</f>
        <v/>
      </c>
      <c r="D62" s="81" t="n"/>
      <c r="E62" s="81" t="n"/>
      <c r="F62" s="81" t="n"/>
      <c r="G62" s="81" t="n"/>
      <c r="H62" s="81" t="n"/>
      <c r="I62" s="81" t="n"/>
      <c r="J62" s="81" t="n"/>
      <c r="K62" s="81" t="n"/>
      <c r="L62" s="81" t="n"/>
      <c r="M62" s="81" t="n"/>
      <c r="N62" s="81" t="n"/>
      <c r="O62" s="81" t="n"/>
      <c r="P62" s="81" t="n"/>
      <c r="Q62" s="81" t="n"/>
      <c r="R62" s="81" t="n"/>
      <c r="S62" s="81" t="n"/>
      <c r="T62" s="81" t="n"/>
      <c r="U62" s="81" t="n"/>
      <c r="V62" s="81" t="n"/>
      <c r="W62" s="81" t="n"/>
    </row>
    <row r="63">
      <c r="A63" s="148">
        <f>IF(A50="","",A50)</f>
        <v/>
      </c>
      <c r="B63" s="80">
        <f>IF(B50="","",B50)</f>
        <v/>
      </c>
      <c r="C63" s="149">
        <f>IF(C50="","",C50)</f>
        <v/>
      </c>
      <c r="D63" s="81" t="n"/>
      <c r="E63" s="81" t="n"/>
      <c r="F63" s="81" t="n"/>
      <c r="G63" s="81" t="n"/>
      <c r="H63" s="81" t="n"/>
      <c r="I63" s="81" t="n"/>
      <c r="J63" s="81" t="n"/>
      <c r="K63" s="81" t="n"/>
      <c r="L63" s="81" t="n"/>
      <c r="M63" s="81" t="n"/>
      <c r="N63" s="81" t="n"/>
      <c r="O63" s="81" t="n"/>
      <c r="P63" s="81" t="n"/>
      <c r="Q63" s="81" t="n"/>
      <c r="R63" s="81" t="n"/>
      <c r="S63" s="81" t="n"/>
      <c r="T63" s="81" t="n"/>
      <c r="U63" s="81" t="n"/>
      <c r="V63" s="81" t="n"/>
      <c r="W63" s="81" t="n"/>
    </row>
    <row r="64">
      <c r="A64" s="148">
        <f>IF(A51="","",A51)</f>
        <v/>
      </c>
      <c r="B64" s="80">
        <f>IF(B51="","",B51)</f>
        <v/>
      </c>
      <c r="C64" s="149">
        <f>IF(C51="","",C51)</f>
        <v/>
      </c>
      <c r="D64" s="81" t="n"/>
      <c r="E64" s="81" t="n"/>
      <c r="F64" s="81" t="n"/>
      <c r="G64" s="81" t="n"/>
      <c r="H64" s="81" t="n"/>
      <c r="I64" s="81" t="n"/>
      <c r="J64" s="81" t="n"/>
      <c r="K64" s="81" t="n"/>
      <c r="L64" s="81" t="n"/>
      <c r="M64" s="81" t="n"/>
      <c r="N64" s="81" t="n"/>
      <c r="O64" s="81" t="n"/>
      <c r="P64" s="81" t="n"/>
      <c r="Q64" s="81" t="n"/>
      <c r="R64" s="81" t="n"/>
      <c r="S64" s="81" t="n"/>
      <c r="T64" s="81" t="n"/>
      <c r="U64" s="81" t="n"/>
      <c r="V64" s="81" t="n"/>
      <c r="W64" s="81" t="n"/>
    </row>
    <row r="65">
      <c r="A65" s="150">
        <f>IF(A52="","",A52)</f>
        <v/>
      </c>
      <c r="B65" s="85">
        <f>IF(B52="","",B52)</f>
        <v/>
      </c>
      <c r="C65" s="151">
        <f>IF(C52="","",C52)</f>
        <v/>
      </c>
      <c r="D65" s="86" t="n"/>
      <c r="E65" s="86" t="n"/>
      <c r="F65" s="86" t="n"/>
      <c r="G65" s="86" t="n"/>
      <c r="H65" s="86" t="n"/>
      <c r="I65" s="86" t="n"/>
      <c r="J65" s="86" t="n"/>
      <c r="K65" s="86" t="n"/>
      <c r="L65" s="86" t="n"/>
      <c r="M65" s="86" t="n"/>
      <c r="N65" s="86" t="n"/>
      <c r="O65" s="86" t="n"/>
      <c r="P65" s="86" t="n"/>
      <c r="Q65" s="86" t="n"/>
      <c r="R65" s="86" t="n"/>
      <c r="S65" s="86" t="n"/>
      <c r="T65" s="86" t="n"/>
      <c r="U65" s="86" t="n"/>
      <c r="V65" s="86" t="n"/>
      <c r="W65" s="86" t="n"/>
    </row>
    <row r="66">
      <c r="A66" s="150">
        <f>IF(A53="","",A53)</f>
        <v/>
      </c>
      <c r="B66" s="85">
        <f>IF(B53="","",B53)</f>
        <v/>
      </c>
      <c r="C66" s="151">
        <f>IF(C53="","",C53)</f>
        <v/>
      </c>
      <c r="D66" s="86" t="n"/>
      <c r="E66" s="86" t="n"/>
      <c r="F66" s="86" t="n"/>
      <c r="G66" s="86" t="n"/>
      <c r="H66" s="86" t="n"/>
      <c r="I66" s="86" t="n"/>
      <c r="J66" s="86" t="n"/>
      <c r="K66" s="86" t="n"/>
      <c r="L66" s="86" t="n"/>
      <c r="M66" s="86" t="n"/>
      <c r="N66" s="86" t="n"/>
      <c r="O66" s="86" t="n"/>
      <c r="P66" s="86" t="n"/>
      <c r="Q66" s="86" t="n"/>
      <c r="R66" s="86" t="n"/>
      <c r="S66" s="86" t="n"/>
      <c r="T66" s="86" t="n"/>
      <c r="U66" s="86" t="n"/>
      <c r="V66" s="86" t="n"/>
      <c r="W66" s="86" t="n"/>
    </row>
    <row r="67">
      <c r="A67" s="150">
        <f>IF(A54="","",A54)</f>
        <v/>
      </c>
      <c r="B67" s="85">
        <f>IF(B54="","",B54)</f>
        <v/>
      </c>
      <c r="C67" s="151">
        <f>IF(C54="","",C54)</f>
        <v/>
      </c>
      <c r="D67" s="86" t="n"/>
      <c r="E67" s="86" t="n"/>
      <c r="F67" s="86" t="n"/>
      <c r="G67" s="86" t="n"/>
      <c r="H67" s="86" t="n"/>
      <c r="I67" s="86" t="n"/>
      <c r="J67" s="86" t="n"/>
      <c r="K67" s="86" t="n"/>
      <c r="L67" s="86" t="n"/>
      <c r="M67" s="86" t="n"/>
      <c r="N67" s="86" t="n"/>
      <c r="O67" s="86" t="n"/>
      <c r="P67" s="86" t="n"/>
      <c r="Q67" s="86" t="n"/>
      <c r="R67" s="86" t="n"/>
      <c r="S67" s="86" t="n"/>
      <c r="T67" s="86" t="n"/>
      <c r="U67" s="86" t="n"/>
      <c r="V67" s="86" t="n"/>
      <c r="W67" s="86" t="n"/>
    </row>
    <row r="68">
      <c r="A68" s="152">
        <f>IF(A55="","",A55)</f>
        <v/>
      </c>
      <c r="B68" s="87">
        <f>IF(B55="","",B55)</f>
        <v/>
      </c>
      <c r="C68" s="153">
        <f>IF(C55="","",C55)</f>
        <v/>
      </c>
      <c r="D68" s="88" t="n"/>
      <c r="E68" s="88" t="n"/>
      <c r="F68" s="88" t="n"/>
      <c r="G68" s="88" t="n"/>
      <c r="H68" s="88" t="n"/>
      <c r="I68" s="88" t="n"/>
      <c r="J68" s="88" t="n"/>
      <c r="K68" s="88" t="n"/>
      <c r="L68" s="88" t="n"/>
      <c r="M68" s="88" t="n"/>
      <c r="N68" s="88" t="n"/>
      <c r="O68" s="88" t="n"/>
      <c r="P68" s="88" t="n"/>
      <c r="Q68" s="88" t="n"/>
      <c r="R68" s="88" t="n"/>
      <c r="S68" s="88" t="n"/>
      <c r="T68" s="88" t="n"/>
      <c r="U68" s="88" t="n"/>
      <c r="V68" s="88" t="n"/>
      <c r="W68" s="88" t="n"/>
    </row>
    <row r="69">
      <c r="A69" s="152">
        <f>IF(A56="","",A56)</f>
        <v/>
      </c>
      <c r="B69" s="87">
        <f>IF(B56="","",B56)</f>
        <v/>
      </c>
      <c r="C69" s="153">
        <f>IF(C56="","",C56)</f>
        <v/>
      </c>
      <c r="D69" s="88" t="n"/>
      <c r="E69" s="88" t="n"/>
      <c r="F69" s="88" t="n"/>
      <c r="G69" s="88" t="n"/>
      <c r="H69" s="88" t="n"/>
      <c r="I69" s="88" t="n"/>
      <c r="J69" s="88" t="n"/>
      <c r="K69" s="88" t="n"/>
      <c r="L69" s="88" t="n"/>
      <c r="M69" s="88" t="n"/>
      <c r="N69" s="88" t="n"/>
      <c r="O69" s="88" t="n"/>
      <c r="P69" s="88" t="n"/>
      <c r="Q69" s="88" t="n"/>
      <c r="R69" s="88" t="n"/>
      <c r="S69" s="88" t="n"/>
      <c r="T69" s="88" t="n"/>
      <c r="U69" s="88" t="n"/>
      <c r="V69" s="88" t="n"/>
      <c r="W69" s="88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31">
      <c r="A1" s="111" t="inlineStr">
        <is>
          <t>동 이름 :</t>
        </is>
      </c>
      <c r="B1" s="112" t="n"/>
    </row>
    <row r="2">
      <c r="A2" s="0" t="inlineStr">
        <is>
          <t>KB 평면도입력</t>
        </is>
      </c>
    </row>
    <row r="3" ht="23.25" customHeight="1" s="131"/>
    <row r="7" ht="22.5" customHeight="1" s="131"/>
    <row r="9" ht="17.25" customHeight="1" s="131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3397"/>
  <sheetViews>
    <sheetView zoomScaleNormal="100" workbookViewId="0">
      <selection activeCell="G10" sqref="G10"/>
    </sheetView>
  </sheetViews>
  <sheetFormatPr baseColWidth="8" defaultRowHeight="16.5"/>
  <sheetData>
    <row r="1">
      <c r="A1" s="0" t="inlineStr">
        <is>
          <t>[강일동]</t>
        </is>
      </c>
      <c r="B1" s="0" t="n">
        <v>127671</v>
      </c>
      <c r="C1" s="0" t="n">
        <v>1</v>
      </c>
      <c r="D1" s="0" t="inlineStr">
        <is>
          <t>강동리버스트4단지</t>
        </is>
      </c>
      <c r="E1" s="0" t="inlineStr">
        <is>
          <t>2020.08.</t>
        </is>
      </c>
      <c r="F1" s="0" t="n">
        <v>1239</v>
      </c>
      <c r="G1" s="0" t="n">
        <v>22.21</v>
      </c>
      <c r="H1" s="0" t="n">
        <v>73.45</v>
      </c>
      <c r="I1" s="0" t="n">
        <v>15.07</v>
      </c>
      <c r="J1" s="0" t="n">
        <v>49.82</v>
      </c>
      <c r="K1" s="0" t="n">
        <v>345</v>
      </c>
      <c r="T1" s="0" t="n">
        <v>2</v>
      </c>
      <c r="U1" s="0" t="n">
        <v>1</v>
      </c>
      <c r="V1" s="0" t="inlineStr">
        <is>
          <t>계단식</t>
        </is>
      </c>
      <c r="W1" s="0" t="inlineStr">
        <is>
          <t>73A</t>
        </is>
      </c>
      <c r="X1" s="0" t="n">
        <v>24</v>
      </c>
      <c r="Y1" s="0" t="n">
        <v>8</v>
      </c>
      <c r="Z1" s="0" t="inlineStr">
        <is>
          <t>https://new.land.naver.com/complexes/127671?tab=detail&amp;rf=Y</t>
        </is>
      </c>
      <c r="AA1" s="0" t="inlineStr">
        <is>
          <t>서울시 강동구 강일동 114</t>
        </is>
      </c>
      <c r="AB1" s="0" t="inlineStr">
        <is>
          <t>서울시</t>
        </is>
      </c>
      <c r="AC1" s="0" t="inlineStr">
        <is>
          <t>강동구</t>
        </is>
      </c>
      <c r="AD1" s="0" t="inlineStr">
        <is>
          <t>강일동</t>
        </is>
      </c>
      <c r="AG1" s="0" t="inlineStr">
        <is>
          <t>서울시 강동구 아리수로93가길 110</t>
        </is>
      </c>
      <c r="AH1" s="0" t="n">
        <v>597</v>
      </c>
      <c r="AI1" s="0" t="n">
        <v>0</v>
      </c>
      <c r="AJ1" s="0" t="n">
        <v>0</v>
      </c>
      <c r="AK1" s="0" t="n">
        <v>1154</v>
      </c>
      <c r="AL1" s="0" t="n">
        <v>0.93</v>
      </c>
    </row>
    <row r="2">
      <c r="A2" s="0" t="inlineStr">
        <is>
          <t>[강일동]</t>
        </is>
      </c>
      <c r="B2" s="0" t="n">
        <v>127671</v>
      </c>
      <c r="C2" s="0" t="n">
        <v>2</v>
      </c>
      <c r="D2" s="0" t="inlineStr">
        <is>
          <t>강동리버스트4단지</t>
        </is>
      </c>
      <c r="E2" s="0" t="inlineStr">
        <is>
          <t>2020.08.</t>
        </is>
      </c>
      <c r="F2" s="0" t="n">
        <v>1239</v>
      </c>
      <c r="G2" s="0" t="n">
        <v>26.57</v>
      </c>
      <c r="H2" s="0" t="n">
        <v>87.84999999999999</v>
      </c>
      <c r="I2" s="0" t="n">
        <v>18.14</v>
      </c>
      <c r="J2" s="0" t="n">
        <v>59.99</v>
      </c>
      <c r="K2" s="0" t="n">
        <v>297</v>
      </c>
      <c r="T2" s="0" t="n">
        <v>3</v>
      </c>
      <c r="U2" s="0" t="n">
        <v>2</v>
      </c>
      <c r="V2" s="0" t="inlineStr">
        <is>
          <t>계단식</t>
        </is>
      </c>
      <c r="W2" s="0" t="inlineStr">
        <is>
          <t>87A</t>
        </is>
      </c>
      <c r="X2" s="0" t="n">
        <v>24</v>
      </c>
      <c r="Y2" s="0" t="n">
        <v>8</v>
      </c>
      <c r="Z2" s="0" t="inlineStr">
        <is>
          <t>https://new.land.naver.com/complexes/127671?tab=detail&amp;rf=Y</t>
        </is>
      </c>
      <c r="AA2" s="0" t="inlineStr">
        <is>
          <t>서울시 강동구 강일동 114</t>
        </is>
      </c>
      <c r="AB2" s="0" t="inlineStr">
        <is>
          <t>서울시</t>
        </is>
      </c>
      <c r="AC2" s="0" t="inlineStr">
        <is>
          <t>강동구</t>
        </is>
      </c>
      <c r="AD2" s="0" t="inlineStr">
        <is>
          <t>강일동</t>
        </is>
      </c>
      <c r="AG2" s="0" t="inlineStr">
        <is>
          <t>서울시 강동구 아리수로93가길 110</t>
        </is>
      </c>
      <c r="AH2" s="0" t="n">
        <v>597</v>
      </c>
      <c r="AI2" s="0" t="n">
        <v>0</v>
      </c>
      <c r="AJ2" s="0" t="n">
        <v>0</v>
      </c>
      <c r="AK2" s="0" t="n">
        <v>1154</v>
      </c>
      <c r="AL2" s="0" t="n">
        <v>0.93</v>
      </c>
    </row>
    <row r="3">
      <c r="A3" s="0" t="inlineStr">
        <is>
          <t>[강일동]</t>
        </is>
      </c>
      <c r="B3" s="0" t="n">
        <v>27477</v>
      </c>
      <c r="C3" s="0" t="n">
        <v>1</v>
      </c>
      <c r="D3" s="0" t="inlineStr">
        <is>
          <t>강일리버파크5단지</t>
        </is>
      </c>
      <c r="E3" s="0" t="inlineStr">
        <is>
          <t>2009.07.</t>
        </is>
      </c>
      <c r="F3" s="0" t="n">
        <v>722</v>
      </c>
      <c r="G3" s="0" t="n">
        <v>24.82</v>
      </c>
      <c r="H3" s="0" t="n">
        <v>82.06999999999999</v>
      </c>
      <c r="I3" s="0" t="n">
        <v>18.11</v>
      </c>
      <c r="J3" s="0" t="n">
        <v>59.87</v>
      </c>
      <c r="K3" s="0" t="n">
        <v>82</v>
      </c>
      <c r="T3" s="0" t="n">
        <v>3</v>
      </c>
      <c r="U3" s="0" t="n">
        <v>2</v>
      </c>
      <c r="V3" s="0" t="inlineStr">
        <is>
          <t>계단식</t>
        </is>
      </c>
      <c r="W3" s="0" t="inlineStr">
        <is>
          <t>82A</t>
        </is>
      </c>
      <c r="X3" s="0" t="n">
        <v>15</v>
      </c>
      <c r="Y3" s="0" t="n">
        <v>12</v>
      </c>
      <c r="Z3" s="0" t="inlineStr">
        <is>
          <t>https://new.land.naver.com/complexes/27477?tab=detail&amp;rf=Y</t>
        </is>
      </c>
      <c r="AA3" s="0" t="inlineStr">
        <is>
          <t>서울시 강동구 강일동 670</t>
        </is>
      </c>
      <c r="AB3" s="0" t="inlineStr">
        <is>
          <t>서울시</t>
        </is>
      </c>
      <c r="AC3" s="0" t="inlineStr">
        <is>
          <t>강동구</t>
        </is>
      </c>
      <c r="AD3" s="0" t="inlineStr">
        <is>
          <t>강일동</t>
        </is>
      </c>
      <c r="AG3" s="0" t="inlineStr">
        <is>
          <t>서울시 강동구 아리수로97길 20</t>
        </is>
      </c>
      <c r="AH3" s="0" t="n">
        <v>432</v>
      </c>
      <c r="AI3" s="0" t="n">
        <v>170</v>
      </c>
      <c r="AJ3" s="0" t="n">
        <v>15</v>
      </c>
      <c r="AK3" s="0" t="n">
        <v>814</v>
      </c>
      <c r="AL3" s="0" t="n">
        <v>1.13</v>
      </c>
    </row>
    <row r="4">
      <c r="A4" s="0" t="inlineStr">
        <is>
          <t>[강일동]</t>
        </is>
      </c>
      <c r="B4" s="0" t="n">
        <v>27477</v>
      </c>
      <c r="C4" s="0" t="n">
        <v>2</v>
      </c>
      <c r="D4" s="0" t="inlineStr">
        <is>
          <t>강일리버파크5단지</t>
        </is>
      </c>
      <c r="E4" s="0" t="inlineStr">
        <is>
          <t>2009.07.</t>
        </is>
      </c>
      <c r="F4" s="0" t="n">
        <v>722</v>
      </c>
      <c r="G4" s="0" t="n">
        <v>33.27</v>
      </c>
      <c r="H4" s="0" t="n">
        <v>109.99</v>
      </c>
      <c r="I4" s="0" t="n">
        <v>25.66</v>
      </c>
      <c r="J4" s="0" t="n">
        <v>84.83</v>
      </c>
      <c r="K4" s="0" t="n">
        <v>152</v>
      </c>
      <c r="T4" s="0" t="n">
        <v>3</v>
      </c>
      <c r="U4" s="0" t="n">
        <v>2</v>
      </c>
      <c r="V4" s="0" t="inlineStr">
        <is>
          <t>계단식</t>
        </is>
      </c>
      <c r="W4" s="0" t="inlineStr">
        <is>
          <t>109A</t>
        </is>
      </c>
      <c r="X4" s="0" t="n">
        <v>15</v>
      </c>
      <c r="Y4" s="0" t="n">
        <v>12</v>
      </c>
      <c r="Z4" s="0" t="inlineStr">
        <is>
          <t>https://new.land.naver.com/complexes/27477?tab=detail&amp;rf=Y</t>
        </is>
      </c>
      <c r="AA4" s="0" t="inlineStr">
        <is>
          <t>서울시 강동구 강일동 670</t>
        </is>
      </c>
      <c r="AB4" s="0" t="inlineStr">
        <is>
          <t>서울시</t>
        </is>
      </c>
      <c r="AC4" s="0" t="inlineStr">
        <is>
          <t>강동구</t>
        </is>
      </c>
      <c r="AD4" s="0" t="inlineStr">
        <is>
          <t>강일동</t>
        </is>
      </c>
      <c r="AG4" s="0" t="inlineStr">
        <is>
          <t>서울시 강동구 아리수로97길 20</t>
        </is>
      </c>
      <c r="AH4" s="0" t="n">
        <v>432</v>
      </c>
      <c r="AI4" s="0" t="n">
        <v>170</v>
      </c>
      <c r="AJ4" s="0" t="n">
        <v>15</v>
      </c>
      <c r="AK4" s="0" t="n">
        <v>814</v>
      </c>
      <c r="AL4" s="0" t="n">
        <v>1.13</v>
      </c>
    </row>
    <row r="5">
      <c r="A5" s="0" t="inlineStr">
        <is>
          <t>[강일동]</t>
        </is>
      </c>
      <c r="B5" s="0" t="n">
        <v>27477</v>
      </c>
      <c r="C5" s="0" t="n">
        <v>3</v>
      </c>
      <c r="D5" s="0" t="inlineStr">
        <is>
          <t>강일리버파크5단지</t>
        </is>
      </c>
      <c r="E5" s="0" t="inlineStr">
        <is>
          <t>2009.07.</t>
        </is>
      </c>
      <c r="F5" s="0" t="n">
        <v>722</v>
      </c>
      <c r="G5" s="0" t="n">
        <v>33.53</v>
      </c>
      <c r="H5" s="0" t="n">
        <v>110.87</v>
      </c>
      <c r="I5" s="0" t="n">
        <v>25.57</v>
      </c>
      <c r="J5" s="0" t="n">
        <v>84.53</v>
      </c>
      <c r="K5" s="0" t="n">
        <v>28</v>
      </c>
      <c r="T5" s="0" t="n">
        <v>3</v>
      </c>
      <c r="U5" s="0" t="n">
        <v>2</v>
      </c>
      <c r="V5" s="0" t="inlineStr">
        <is>
          <t>계단식</t>
        </is>
      </c>
      <c r="W5" s="0" t="inlineStr">
        <is>
          <t>110B</t>
        </is>
      </c>
      <c r="X5" s="0" t="n">
        <v>15</v>
      </c>
      <c r="Y5" s="0" t="n">
        <v>12</v>
      </c>
      <c r="Z5" s="0" t="inlineStr">
        <is>
          <t>https://new.land.naver.com/complexes/27477?tab=detail&amp;rf=Y</t>
        </is>
      </c>
      <c r="AA5" s="0" t="inlineStr">
        <is>
          <t>서울시 강동구 강일동 670</t>
        </is>
      </c>
      <c r="AB5" s="0" t="inlineStr">
        <is>
          <t>서울시</t>
        </is>
      </c>
      <c r="AC5" s="0" t="inlineStr">
        <is>
          <t>강동구</t>
        </is>
      </c>
      <c r="AD5" s="0" t="inlineStr">
        <is>
          <t>강일동</t>
        </is>
      </c>
      <c r="AG5" s="0" t="inlineStr">
        <is>
          <t>서울시 강동구 아리수로97길 20</t>
        </is>
      </c>
      <c r="AH5" s="0" t="n">
        <v>432</v>
      </c>
      <c r="AI5" s="0" t="n">
        <v>170</v>
      </c>
      <c r="AJ5" s="0" t="n">
        <v>15</v>
      </c>
      <c r="AK5" s="0" t="n">
        <v>814</v>
      </c>
      <c r="AL5" s="0" t="n">
        <v>1.13</v>
      </c>
    </row>
    <row r="6">
      <c r="A6" s="0" t="inlineStr">
        <is>
          <t>[강일동]</t>
        </is>
      </c>
      <c r="B6" s="0" t="n">
        <v>27477</v>
      </c>
      <c r="C6" s="0" t="n">
        <v>4</v>
      </c>
      <c r="D6" s="0" t="inlineStr">
        <is>
          <t>강일리버파크5단지</t>
        </is>
      </c>
      <c r="E6" s="0" t="inlineStr">
        <is>
          <t>2009.07.</t>
        </is>
      </c>
      <c r="F6" s="0" t="n">
        <v>722</v>
      </c>
      <c r="G6" s="0" t="n">
        <v>33.45</v>
      </c>
      <c r="H6" s="0" t="n">
        <v>110.59</v>
      </c>
      <c r="I6" s="0" t="n">
        <v>25.63</v>
      </c>
      <c r="J6" s="0" t="n">
        <v>84.73999999999999</v>
      </c>
      <c r="K6" s="0" t="n">
        <v>28</v>
      </c>
      <c r="T6" s="0" t="n">
        <v>3</v>
      </c>
      <c r="U6" s="0" t="n">
        <v>2</v>
      </c>
      <c r="V6" s="0" t="inlineStr">
        <is>
          <t>계단식</t>
        </is>
      </c>
      <c r="W6" s="0" t="inlineStr">
        <is>
          <t>110C</t>
        </is>
      </c>
      <c r="X6" s="0" t="n">
        <v>15</v>
      </c>
      <c r="Y6" s="0" t="n">
        <v>12</v>
      </c>
      <c r="Z6" s="0" t="inlineStr">
        <is>
          <t>https://new.land.naver.com/complexes/27477?tab=detail&amp;rf=Y</t>
        </is>
      </c>
      <c r="AA6" s="0" t="inlineStr">
        <is>
          <t>서울시 강동구 강일동 670</t>
        </is>
      </c>
      <c r="AB6" s="0" t="inlineStr">
        <is>
          <t>서울시</t>
        </is>
      </c>
      <c r="AC6" s="0" t="inlineStr">
        <is>
          <t>강동구</t>
        </is>
      </c>
      <c r="AD6" s="0" t="inlineStr">
        <is>
          <t>강일동</t>
        </is>
      </c>
      <c r="AG6" s="0" t="inlineStr">
        <is>
          <t>서울시 강동구 아리수로97길 20</t>
        </is>
      </c>
      <c r="AH6" s="0" t="n">
        <v>432</v>
      </c>
      <c r="AI6" s="0" t="n">
        <v>170</v>
      </c>
      <c r="AJ6" s="0" t="n">
        <v>15</v>
      </c>
      <c r="AK6" s="0" t="n">
        <v>814</v>
      </c>
      <c r="AL6" s="0" t="n">
        <v>1.13</v>
      </c>
    </row>
    <row r="7">
      <c r="A7" s="0" t="inlineStr">
        <is>
          <t>[강일동]</t>
        </is>
      </c>
      <c r="B7" s="0" t="n">
        <v>27478</v>
      </c>
      <c r="C7" s="0" t="n">
        <v>1</v>
      </c>
      <c r="D7" s="0" t="inlineStr">
        <is>
          <t>강일리버파크6단지</t>
        </is>
      </c>
      <c r="E7" s="0" t="inlineStr">
        <is>
          <t>2009.03.</t>
        </is>
      </c>
      <c r="F7" s="0" t="n">
        <v>553</v>
      </c>
      <c r="G7" s="0" t="n">
        <v>33.24</v>
      </c>
      <c r="H7" s="0" t="n">
        <v>109.89</v>
      </c>
      <c r="I7" s="0" t="n">
        <v>25.66</v>
      </c>
      <c r="J7" s="0" t="n">
        <v>84.83</v>
      </c>
      <c r="K7" s="0" t="n">
        <v>20</v>
      </c>
      <c r="T7" s="0" t="n">
        <v>3</v>
      </c>
      <c r="U7" s="0" t="n">
        <v>2</v>
      </c>
      <c r="V7" s="0" t="inlineStr">
        <is>
          <t>계단식</t>
        </is>
      </c>
      <c r="W7" s="0" t="inlineStr">
        <is>
          <t>109A</t>
        </is>
      </c>
      <c r="X7" s="0" t="n">
        <v>15</v>
      </c>
      <c r="Y7" s="0" t="n">
        <v>10</v>
      </c>
      <c r="Z7" s="0" t="inlineStr">
        <is>
          <t>https://new.land.naver.com/complexes/27478?tab=detail&amp;rf=Y</t>
        </is>
      </c>
      <c r="AA7" s="0" t="inlineStr">
        <is>
          <t>서울시 강동구 강일동 684</t>
        </is>
      </c>
      <c r="AB7" s="0" t="inlineStr">
        <is>
          <t>서울시</t>
        </is>
      </c>
      <c r="AC7" s="0" t="inlineStr">
        <is>
          <t>강동구</t>
        </is>
      </c>
      <c r="AD7" s="0" t="inlineStr">
        <is>
          <t>강일동</t>
        </is>
      </c>
      <c r="AG7" s="0" t="inlineStr">
        <is>
          <t>서울시 강동구 아리수로94길 19</t>
        </is>
      </c>
      <c r="AH7" s="0" t="n">
        <v>323</v>
      </c>
      <c r="AI7" s="0" t="n">
        <v>164</v>
      </c>
      <c r="AJ7" s="0" t="n">
        <v>16</v>
      </c>
      <c r="AK7" s="0" t="n">
        <v>631</v>
      </c>
      <c r="AL7" s="0" t="n">
        <v>1.14</v>
      </c>
    </row>
    <row r="8">
      <c r="A8" s="0" t="inlineStr">
        <is>
          <t>[강일동]</t>
        </is>
      </c>
      <c r="B8" s="0" t="n">
        <v>27478</v>
      </c>
      <c r="C8" s="0" t="n">
        <v>2</v>
      </c>
      <c r="D8" s="0" t="inlineStr">
        <is>
          <t>강일리버파크6단지</t>
        </is>
      </c>
      <c r="E8" s="0" t="inlineStr">
        <is>
          <t>2009.03.</t>
        </is>
      </c>
      <c r="F8" s="0" t="n">
        <v>553</v>
      </c>
      <c r="G8" s="0" t="n">
        <v>33.5</v>
      </c>
      <c r="H8" s="0" t="n">
        <v>110.77</v>
      </c>
      <c r="I8" s="0" t="n">
        <v>25.57</v>
      </c>
      <c r="J8" s="0" t="n">
        <v>84.53</v>
      </c>
      <c r="K8" s="0" t="n">
        <v>112</v>
      </c>
      <c r="T8" s="0" t="n">
        <v>3</v>
      </c>
      <c r="U8" s="0" t="n">
        <v>2</v>
      </c>
      <c r="V8" s="0" t="inlineStr">
        <is>
          <t>계단식</t>
        </is>
      </c>
      <c r="W8" s="0" t="inlineStr">
        <is>
          <t>110B</t>
        </is>
      </c>
      <c r="X8" s="0" t="n">
        <v>15</v>
      </c>
      <c r="Y8" s="0" t="n">
        <v>10</v>
      </c>
      <c r="Z8" s="0" t="inlineStr">
        <is>
          <t>https://new.land.naver.com/complexes/27478?tab=detail&amp;rf=Y</t>
        </is>
      </c>
      <c r="AA8" s="0" t="inlineStr">
        <is>
          <t>서울시 강동구 강일동 684</t>
        </is>
      </c>
      <c r="AB8" s="0" t="inlineStr">
        <is>
          <t>서울시</t>
        </is>
      </c>
      <c r="AC8" s="0" t="inlineStr">
        <is>
          <t>강동구</t>
        </is>
      </c>
      <c r="AD8" s="0" t="inlineStr">
        <is>
          <t>강일동</t>
        </is>
      </c>
      <c r="AG8" s="0" t="inlineStr">
        <is>
          <t>서울시 강동구 아리수로94길 19</t>
        </is>
      </c>
      <c r="AH8" s="0" t="n">
        <v>323</v>
      </c>
      <c r="AI8" s="0" t="n">
        <v>164</v>
      </c>
      <c r="AJ8" s="0" t="n">
        <v>16</v>
      </c>
      <c r="AK8" s="0" t="n">
        <v>631</v>
      </c>
      <c r="AL8" s="0" t="n">
        <v>1.14</v>
      </c>
    </row>
    <row r="9">
      <c r="A9" s="0" t="inlineStr">
        <is>
          <t>[강일동]</t>
        </is>
      </c>
      <c r="B9" s="0" t="n">
        <v>27478</v>
      </c>
      <c r="C9" s="0" t="n">
        <v>3</v>
      </c>
      <c r="D9" s="0" t="inlineStr">
        <is>
          <t>강일리버파크6단지</t>
        </is>
      </c>
      <c r="E9" s="0" t="inlineStr">
        <is>
          <t>2009.03.</t>
        </is>
      </c>
      <c r="F9" s="0" t="n">
        <v>553</v>
      </c>
      <c r="G9" s="0" t="n">
        <v>33.42</v>
      </c>
      <c r="H9" s="0" t="n">
        <v>110.49</v>
      </c>
      <c r="I9" s="0" t="n">
        <v>25.63</v>
      </c>
      <c r="J9" s="0" t="n">
        <v>84.73999999999999</v>
      </c>
      <c r="K9" s="0" t="n">
        <v>98</v>
      </c>
      <c r="T9" s="0" t="n">
        <v>3</v>
      </c>
      <c r="U9" s="0" t="n">
        <v>2</v>
      </c>
      <c r="V9" s="0" t="inlineStr">
        <is>
          <t>계단식</t>
        </is>
      </c>
      <c r="W9" s="0" t="inlineStr">
        <is>
          <t>110C</t>
        </is>
      </c>
      <c r="X9" s="0" t="n">
        <v>15</v>
      </c>
      <c r="Y9" s="0" t="n">
        <v>10</v>
      </c>
      <c r="Z9" s="0" t="inlineStr">
        <is>
          <t>https://new.land.naver.com/complexes/27478?tab=detail&amp;rf=Y</t>
        </is>
      </c>
      <c r="AA9" s="0" t="inlineStr">
        <is>
          <t>서울시 강동구 강일동 684</t>
        </is>
      </c>
      <c r="AB9" s="0" t="inlineStr">
        <is>
          <t>서울시</t>
        </is>
      </c>
      <c r="AC9" s="0" t="inlineStr">
        <is>
          <t>강동구</t>
        </is>
      </c>
      <c r="AD9" s="0" t="inlineStr">
        <is>
          <t>강일동</t>
        </is>
      </c>
      <c r="AG9" s="0" t="inlineStr">
        <is>
          <t>서울시 강동구 아리수로94길 19</t>
        </is>
      </c>
      <c r="AH9" s="0" t="n">
        <v>323</v>
      </c>
      <c r="AI9" s="0" t="n">
        <v>164</v>
      </c>
      <c r="AJ9" s="0" t="n">
        <v>16</v>
      </c>
      <c r="AK9" s="0" t="n">
        <v>631</v>
      </c>
      <c r="AL9" s="0" t="n">
        <v>1.14</v>
      </c>
    </row>
    <row r="10">
      <c r="A10" s="0" t="inlineStr">
        <is>
          <t>[강일동]</t>
        </is>
      </c>
      <c r="B10" s="0" t="n">
        <v>27482</v>
      </c>
      <c r="C10" s="0" t="n">
        <v>1</v>
      </c>
      <c r="D10" s="0" t="inlineStr">
        <is>
          <t>강일리버파크10단지</t>
        </is>
      </c>
      <c r="E10" s="0" t="inlineStr">
        <is>
          <t>2009.04.</t>
        </is>
      </c>
      <c r="F10" s="0" t="n">
        <v>694</v>
      </c>
      <c r="G10" s="0" t="n">
        <v>33.12</v>
      </c>
      <c r="H10" s="0" t="n">
        <v>109.49</v>
      </c>
      <c r="I10" s="0" t="n">
        <v>25.66</v>
      </c>
      <c r="J10" s="0" t="n">
        <v>84.83</v>
      </c>
      <c r="K10" s="0" t="n">
        <v>24</v>
      </c>
      <c r="T10" s="0" t="n">
        <v>3</v>
      </c>
      <c r="U10" s="0" t="n">
        <v>2</v>
      </c>
      <c r="V10" s="0" t="inlineStr">
        <is>
          <t>계단식</t>
        </is>
      </c>
      <c r="W10" s="0" t="inlineStr">
        <is>
          <t>109A</t>
        </is>
      </c>
      <c r="X10" s="0" t="n">
        <v>15</v>
      </c>
      <c r="Y10" s="0" t="n">
        <v>10</v>
      </c>
      <c r="Z10" s="0" t="inlineStr">
        <is>
          <t>https://new.land.naver.com/complexes/27482?tab=detail&amp;rf=Y</t>
        </is>
      </c>
      <c r="AA10" s="0" t="inlineStr">
        <is>
          <t>서울시 강동구 강일동 695</t>
        </is>
      </c>
      <c r="AB10" s="0" t="inlineStr">
        <is>
          <t>서울시</t>
        </is>
      </c>
      <c r="AC10" s="0" t="inlineStr">
        <is>
          <t>강동구</t>
        </is>
      </c>
      <c r="AD10" s="0" t="inlineStr">
        <is>
          <t>강일동</t>
        </is>
      </c>
      <c r="AG10" s="0" t="inlineStr">
        <is>
          <t>서울시 강동구 고덕로97길 20</t>
        </is>
      </c>
      <c r="AH10" s="0" t="n">
        <v>470</v>
      </c>
      <c r="AI10" s="0" t="n">
        <v>177</v>
      </c>
      <c r="AJ10" s="0" t="n">
        <v>17</v>
      </c>
      <c r="AK10" s="0" t="n">
        <v>798</v>
      </c>
      <c r="AL10" s="0" t="n">
        <v>1.15</v>
      </c>
    </row>
    <row r="11">
      <c r="A11" s="0" t="inlineStr">
        <is>
          <t>[강일동]</t>
        </is>
      </c>
      <c r="B11" s="0" t="n">
        <v>27482</v>
      </c>
      <c r="C11" s="0" t="n">
        <v>2</v>
      </c>
      <c r="D11" s="0" t="inlineStr">
        <is>
          <t>강일리버파크10단지</t>
        </is>
      </c>
      <c r="E11" s="0" t="inlineStr">
        <is>
          <t>2009.04.</t>
        </is>
      </c>
      <c r="F11" s="0" t="n">
        <v>694</v>
      </c>
      <c r="G11" s="0" t="n">
        <v>33.3</v>
      </c>
      <c r="H11" s="0" t="n">
        <v>110.09</v>
      </c>
      <c r="I11" s="0" t="n">
        <v>25.63</v>
      </c>
      <c r="J11" s="0" t="n">
        <v>84.73999999999999</v>
      </c>
      <c r="K11" s="0" t="n">
        <v>78</v>
      </c>
      <c r="T11" s="0" t="n">
        <v>3</v>
      </c>
      <c r="U11" s="0" t="n">
        <v>2</v>
      </c>
      <c r="V11" s="0" t="inlineStr">
        <is>
          <t>계단식</t>
        </is>
      </c>
      <c r="W11" s="0" t="inlineStr">
        <is>
          <t>110C</t>
        </is>
      </c>
      <c r="X11" s="0" t="n">
        <v>15</v>
      </c>
      <c r="Y11" s="0" t="n">
        <v>10</v>
      </c>
      <c r="Z11" s="0" t="inlineStr">
        <is>
          <t>https://new.land.naver.com/complexes/27482?tab=detail&amp;rf=Y</t>
        </is>
      </c>
      <c r="AA11" s="0" t="inlineStr">
        <is>
          <t>서울시 강동구 강일동 695</t>
        </is>
      </c>
      <c r="AB11" s="0" t="inlineStr">
        <is>
          <t>서울시</t>
        </is>
      </c>
      <c r="AC11" s="0" t="inlineStr">
        <is>
          <t>강동구</t>
        </is>
      </c>
      <c r="AD11" s="0" t="inlineStr">
        <is>
          <t>강일동</t>
        </is>
      </c>
      <c r="AG11" s="0" t="inlineStr">
        <is>
          <t>서울시 강동구 고덕로97길 20</t>
        </is>
      </c>
      <c r="AH11" s="0" t="n">
        <v>470</v>
      </c>
      <c r="AI11" s="0" t="n">
        <v>177</v>
      </c>
      <c r="AJ11" s="0" t="n">
        <v>17</v>
      </c>
      <c r="AK11" s="0" t="n">
        <v>798</v>
      </c>
      <c r="AL11" s="0" t="n">
        <v>1.15</v>
      </c>
    </row>
    <row r="12">
      <c r="A12" s="0" t="inlineStr">
        <is>
          <t>[강일동]</t>
        </is>
      </c>
      <c r="B12" s="0" t="n">
        <v>27482</v>
      </c>
      <c r="C12" s="0" t="n">
        <v>3</v>
      </c>
      <c r="D12" s="0" t="inlineStr">
        <is>
          <t>강일리버파크10단지</t>
        </is>
      </c>
      <c r="E12" s="0" t="inlineStr">
        <is>
          <t>2009.04.</t>
        </is>
      </c>
      <c r="F12" s="0" t="n">
        <v>694</v>
      </c>
      <c r="G12" s="0" t="n">
        <v>33.38</v>
      </c>
      <c r="H12" s="0" t="n">
        <v>110.37</v>
      </c>
      <c r="I12" s="0" t="n">
        <v>25.57</v>
      </c>
      <c r="J12" s="0" t="n">
        <v>84.53</v>
      </c>
      <c r="K12" s="0" t="n">
        <v>72</v>
      </c>
      <c r="T12" s="0" t="n">
        <v>3</v>
      </c>
      <c r="U12" s="0" t="n">
        <v>2</v>
      </c>
      <c r="V12" s="0" t="inlineStr">
        <is>
          <t>계단식</t>
        </is>
      </c>
      <c r="W12" s="0" t="inlineStr">
        <is>
          <t>110B</t>
        </is>
      </c>
      <c r="X12" s="0" t="n">
        <v>15</v>
      </c>
      <c r="Y12" s="0" t="n">
        <v>10</v>
      </c>
      <c r="Z12" s="0" t="inlineStr">
        <is>
          <t>https://new.land.naver.com/complexes/27482?tab=detail&amp;rf=Y</t>
        </is>
      </c>
      <c r="AA12" s="0" t="inlineStr">
        <is>
          <t>서울시 강동구 강일동 695</t>
        </is>
      </c>
      <c r="AB12" s="0" t="inlineStr">
        <is>
          <t>서울시</t>
        </is>
      </c>
      <c r="AC12" s="0" t="inlineStr">
        <is>
          <t>강동구</t>
        </is>
      </c>
      <c r="AD12" s="0" t="inlineStr">
        <is>
          <t>강일동</t>
        </is>
      </c>
      <c r="AG12" s="0" t="inlineStr">
        <is>
          <t>서울시 강동구 고덕로97길 20</t>
        </is>
      </c>
      <c r="AH12" s="0" t="n">
        <v>470</v>
      </c>
      <c r="AI12" s="0" t="n">
        <v>177</v>
      </c>
      <c r="AJ12" s="0" t="n">
        <v>17</v>
      </c>
      <c r="AK12" s="0" t="n">
        <v>798</v>
      </c>
      <c r="AL12" s="0" t="n">
        <v>1.15</v>
      </c>
    </row>
    <row r="13">
      <c r="A13" s="0" t="inlineStr">
        <is>
          <t>[강일동]</t>
        </is>
      </c>
      <c r="B13" s="0" t="n">
        <v>27482</v>
      </c>
      <c r="C13" s="0" t="n">
        <v>4</v>
      </c>
      <c r="D13" s="0" t="inlineStr">
        <is>
          <t>강일리버파크10단지</t>
        </is>
      </c>
      <c r="E13" s="0" t="inlineStr">
        <is>
          <t>2009.04.</t>
        </is>
      </c>
      <c r="F13" s="0" t="n">
        <v>694</v>
      </c>
      <c r="G13" s="0" t="n">
        <v>42.99</v>
      </c>
      <c r="H13" s="0" t="n">
        <v>142.14</v>
      </c>
      <c r="I13" s="0" t="n">
        <v>34.73</v>
      </c>
      <c r="J13" s="0" t="n">
        <v>114.81</v>
      </c>
      <c r="K13" s="0" t="n">
        <v>50</v>
      </c>
      <c r="T13" s="0" t="n">
        <v>4</v>
      </c>
      <c r="U13" s="0" t="n">
        <v>2</v>
      </c>
      <c r="V13" s="0" t="inlineStr">
        <is>
          <t>계단식</t>
        </is>
      </c>
      <c r="W13" s="0" t="n">
        <v>142</v>
      </c>
      <c r="X13" s="0" t="n">
        <v>15</v>
      </c>
      <c r="Y13" s="0" t="n">
        <v>10</v>
      </c>
      <c r="Z13" s="0" t="inlineStr">
        <is>
          <t>https://new.land.naver.com/complexes/27482?tab=detail&amp;rf=Y</t>
        </is>
      </c>
      <c r="AA13" s="0" t="inlineStr">
        <is>
          <t>서울시 강동구 강일동 695</t>
        </is>
      </c>
      <c r="AB13" s="0" t="inlineStr">
        <is>
          <t>서울시</t>
        </is>
      </c>
      <c r="AC13" s="0" t="inlineStr">
        <is>
          <t>강동구</t>
        </is>
      </c>
      <c r="AD13" s="0" t="inlineStr">
        <is>
          <t>강일동</t>
        </is>
      </c>
      <c r="AG13" s="0" t="inlineStr">
        <is>
          <t>서울시 강동구 고덕로97길 20</t>
        </is>
      </c>
      <c r="AH13" s="0" t="n">
        <v>470</v>
      </c>
      <c r="AI13" s="0" t="n">
        <v>177</v>
      </c>
      <c r="AJ13" s="0" t="n">
        <v>17</v>
      </c>
      <c r="AK13" s="0" t="n">
        <v>798</v>
      </c>
      <c r="AL13" s="0" t="n">
        <v>1.15</v>
      </c>
    </row>
    <row r="14">
      <c r="A14" s="0" t="inlineStr">
        <is>
          <t>[강일동]</t>
        </is>
      </c>
      <c r="B14" s="0" t="n">
        <v>27367</v>
      </c>
      <c r="C14" s="0" t="n">
        <v>1</v>
      </c>
      <c r="D14" s="0" t="inlineStr">
        <is>
          <t>강일리버파크1단지</t>
        </is>
      </c>
      <c r="E14" s="0" t="inlineStr">
        <is>
          <t>2009.03.</t>
        </is>
      </c>
      <c r="F14" s="0" t="n">
        <v>282</v>
      </c>
      <c r="G14" s="0" t="n">
        <v>24.98</v>
      </c>
      <c r="H14" s="0" t="n">
        <v>82.58</v>
      </c>
      <c r="I14" s="0" t="n">
        <v>18.11</v>
      </c>
      <c r="J14" s="0" t="n">
        <v>59.87</v>
      </c>
      <c r="K14" s="0" t="n">
        <v>20</v>
      </c>
      <c r="T14" s="0" t="n">
        <v>3</v>
      </c>
      <c r="U14" s="0" t="n">
        <v>2</v>
      </c>
      <c r="V14" s="0" t="inlineStr">
        <is>
          <t>계단식</t>
        </is>
      </c>
      <c r="W14" s="0" t="inlineStr">
        <is>
          <t>82A</t>
        </is>
      </c>
      <c r="X14" s="0" t="n">
        <v>12</v>
      </c>
      <c r="Y14" s="0" t="n">
        <v>5</v>
      </c>
      <c r="Z14" s="0" t="inlineStr">
        <is>
          <t>https://new.land.naver.com/complexes/27367?tab=detail&amp;rf=Y</t>
        </is>
      </c>
      <c r="AA14" s="0" t="inlineStr">
        <is>
          <t>서울시 강동구 강일동 665</t>
        </is>
      </c>
      <c r="AB14" s="0" t="inlineStr">
        <is>
          <t>서울시</t>
        </is>
      </c>
      <c r="AC14" s="0" t="inlineStr">
        <is>
          <t>강동구</t>
        </is>
      </c>
      <c r="AD14" s="0" t="inlineStr">
        <is>
          <t>강일동</t>
        </is>
      </c>
      <c r="AG14" s="0" t="inlineStr">
        <is>
          <t>서울시 강동구 아리수로93가길 25</t>
        </is>
      </c>
      <c r="AH14" s="0" t="n">
        <v>106</v>
      </c>
      <c r="AI14" s="0" t="n">
        <v>116</v>
      </c>
      <c r="AJ14" s="0" t="n">
        <v>17</v>
      </c>
      <c r="AK14" s="0" t="n">
        <v>327</v>
      </c>
      <c r="AL14" s="0" t="n">
        <v>1.16</v>
      </c>
    </row>
    <row r="15">
      <c r="A15" s="0" t="inlineStr">
        <is>
          <t>[강일동]</t>
        </is>
      </c>
      <c r="B15" s="0" t="n">
        <v>27367</v>
      </c>
      <c r="C15" s="0" t="n">
        <v>2</v>
      </c>
      <c r="D15" s="0" t="inlineStr">
        <is>
          <t>강일리버파크1단지</t>
        </is>
      </c>
      <c r="E15" s="0" t="inlineStr">
        <is>
          <t>2009.03.</t>
        </is>
      </c>
      <c r="F15" s="0" t="n">
        <v>282</v>
      </c>
      <c r="G15" s="0" t="n">
        <v>33.32</v>
      </c>
      <c r="H15" s="0" t="n">
        <v>110.15</v>
      </c>
      <c r="I15" s="0" t="n">
        <v>25.63</v>
      </c>
      <c r="J15" s="0" t="n">
        <v>84.73999999999999</v>
      </c>
      <c r="K15" s="0" t="n">
        <v>70</v>
      </c>
      <c r="T15" s="0" t="n">
        <v>3</v>
      </c>
      <c r="U15" s="0" t="n">
        <v>2</v>
      </c>
      <c r="V15" s="0" t="inlineStr">
        <is>
          <t>계단식</t>
        </is>
      </c>
      <c r="W15" s="0" t="inlineStr">
        <is>
          <t>110C</t>
        </is>
      </c>
      <c r="X15" s="0" t="n">
        <v>12</v>
      </c>
      <c r="Y15" s="0" t="n">
        <v>5</v>
      </c>
      <c r="Z15" s="0" t="inlineStr">
        <is>
          <t>https://new.land.naver.com/complexes/27367?tab=detail&amp;rf=Y</t>
        </is>
      </c>
      <c r="AA15" s="0" t="inlineStr">
        <is>
          <t>서울시 강동구 강일동 665</t>
        </is>
      </c>
      <c r="AB15" s="0" t="inlineStr">
        <is>
          <t>서울시</t>
        </is>
      </c>
      <c r="AC15" s="0" t="inlineStr">
        <is>
          <t>강동구</t>
        </is>
      </c>
      <c r="AD15" s="0" t="inlineStr">
        <is>
          <t>강일동</t>
        </is>
      </c>
      <c r="AG15" s="0" t="inlineStr">
        <is>
          <t>서울시 강동구 아리수로93가길 25</t>
        </is>
      </c>
      <c r="AH15" s="0" t="n">
        <v>106</v>
      </c>
      <c r="AI15" s="0" t="n">
        <v>116</v>
      </c>
      <c r="AJ15" s="0" t="n">
        <v>17</v>
      </c>
      <c r="AK15" s="0" t="n">
        <v>327</v>
      </c>
      <c r="AL15" s="0" t="n">
        <v>1.16</v>
      </c>
    </row>
    <row r="16">
      <c r="A16" s="0" t="inlineStr">
        <is>
          <t>[강일동]</t>
        </is>
      </c>
      <c r="B16" s="0" t="n">
        <v>27367</v>
      </c>
      <c r="C16" s="0" t="n">
        <v>3</v>
      </c>
      <c r="D16" s="0" t="inlineStr">
        <is>
          <t>강일리버파크1단지</t>
        </is>
      </c>
      <c r="E16" s="0" t="inlineStr">
        <is>
          <t>2009.03.</t>
        </is>
      </c>
      <c r="F16" s="0" t="n">
        <v>282</v>
      </c>
      <c r="G16" s="0" t="n">
        <v>33.41</v>
      </c>
      <c r="H16" s="0" t="n">
        <v>110.45</v>
      </c>
      <c r="I16" s="0" t="n">
        <v>25.57</v>
      </c>
      <c r="J16" s="0" t="n">
        <v>84.53</v>
      </c>
      <c r="K16" s="0" t="n">
        <v>64</v>
      </c>
      <c r="T16" s="0" t="n">
        <v>3</v>
      </c>
      <c r="U16" s="0" t="n">
        <v>2</v>
      </c>
      <c r="V16" s="0" t="inlineStr">
        <is>
          <t>계단식</t>
        </is>
      </c>
      <c r="W16" s="0" t="inlineStr">
        <is>
          <t>110B</t>
        </is>
      </c>
      <c r="X16" s="0" t="n">
        <v>12</v>
      </c>
      <c r="Y16" s="0" t="n">
        <v>5</v>
      </c>
      <c r="Z16" s="0" t="inlineStr">
        <is>
          <t>https://new.land.naver.com/complexes/27367?tab=detail&amp;rf=Y</t>
        </is>
      </c>
      <c r="AA16" s="0" t="inlineStr">
        <is>
          <t>서울시 강동구 강일동 665</t>
        </is>
      </c>
      <c r="AB16" s="0" t="inlineStr">
        <is>
          <t>서울시</t>
        </is>
      </c>
      <c r="AC16" s="0" t="inlineStr">
        <is>
          <t>강동구</t>
        </is>
      </c>
      <c r="AD16" s="0" t="inlineStr">
        <is>
          <t>강일동</t>
        </is>
      </c>
      <c r="AG16" s="0" t="inlineStr">
        <is>
          <t>서울시 강동구 아리수로93가길 25</t>
        </is>
      </c>
      <c r="AH16" s="0" t="n">
        <v>106</v>
      </c>
      <c r="AI16" s="0" t="n">
        <v>116</v>
      </c>
      <c r="AJ16" s="0" t="n">
        <v>17</v>
      </c>
      <c r="AK16" s="0" t="n">
        <v>327</v>
      </c>
      <c r="AL16" s="0" t="n">
        <v>1.16</v>
      </c>
    </row>
    <row r="17">
      <c r="A17" s="0" t="inlineStr">
        <is>
          <t>[강일동]</t>
        </is>
      </c>
      <c r="B17" s="0" t="n">
        <v>27367</v>
      </c>
      <c r="C17" s="0" t="n">
        <v>4</v>
      </c>
      <c r="D17" s="0" t="inlineStr">
        <is>
          <t>강일리버파크1단지</t>
        </is>
      </c>
      <c r="E17" s="0" t="inlineStr">
        <is>
          <t>2009.03.</t>
        </is>
      </c>
      <c r="F17" s="0" t="n">
        <v>282</v>
      </c>
      <c r="G17" s="0" t="n">
        <v>33.74</v>
      </c>
      <c r="H17" s="0" t="n">
        <v>111.57</v>
      </c>
      <c r="I17" s="0" t="n">
        <v>25.66</v>
      </c>
      <c r="J17" s="0" t="n">
        <v>84.83</v>
      </c>
      <c r="K17" s="0" t="n">
        <v>22</v>
      </c>
      <c r="T17" s="0" t="n">
        <v>3</v>
      </c>
      <c r="U17" s="0" t="n">
        <v>2</v>
      </c>
      <c r="V17" s="0" t="inlineStr">
        <is>
          <t>계단식</t>
        </is>
      </c>
      <c r="W17" s="0" t="inlineStr">
        <is>
          <t>111A</t>
        </is>
      </c>
      <c r="X17" s="0" t="n">
        <v>12</v>
      </c>
      <c r="Y17" s="0" t="n">
        <v>5</v>
      </c>
      <c r="Z17" s="0" t="inlineStr">
        <is>
          <t>https://new.land.naver.com/complexes/27367?tab=detail&amp;rf=Y</t>
        </is>
      </c>
      <c r="AA17" s="0" t="inlineStr">
        <is>
          <t>서울시 강동구 강일동 665</t>
        </is>
      </c>
      <c r="AB17" s="0" t="inlineStr">
        <is>
          <t>서울시</t>
        </is>
      </c>
      <c r="AC17" s="0" t="inlineStr">
        <is>
          <t>강동구</t>
        </is>
      </c>
      <c r="AD17" s="0" t="inlineStr">
        <is>
          <t>강일동</t>
        </is>
      </c>
      <c r="AG17" s="0" t="inlineStr">
        <is>
          <t>서울시 강동구 아리수로93가길 25</t>
        </is>
      </c>
      <c r="AH17" s="0" t="n">
        <v>106</v>
      </c>
      <c r="AI17" s="0" t="n">
        <v>116</v>
      </c>
      <c r="AJ17" s="0" t="n">
        <v>17</v>
      </c>
      <c r="AK17" s="0" t="n">
        <v>327</v>
      </c>
      <c r="AL17" s="0" t="n">
        <v>1.16</v>
      </c>
    </row>
    <row r="18">
      <c r="A18" s="0" t="inlineStr">
        <is>
          <t>[강일동]</t>
        </is>
      </c>
      <c r="B18" s="0" t="n">
        <v>134510</v>
      </c>
      <c r="C18" s="0" t="n">
        <v>1</v>
      </c>
      <c r="D18" s="0" t="inlineStr">
        <is>
          <t>강동리버스트8단지</t>
        </is>
      </c>
      <c r="E18" s="0" t="inlineStr">
        <is>
          <t>2021.02.</t>
        </is>
      </c>
      <c r="F18" s="0" t="n">
        <v>946</v>
      </c>
      <c r="G18" s="0" t="n">
        <v>21.82</v>
      </c>
      <c r="H18" s="0" t="n">
        <v>72.14</v>
      </c>
      <c r="I18" s="0" t="n">
        <v>15.04</v>
      </c>
      <c r="J18" s="0" t="n">
        <v>49.74</v>
      </c>
      <c r="K18" s="0" t="n">
        <v>242</v>
      </c>
      <c r="T18" s="0" t="n">
        <v>2</v>
      </c>
      <c r="U18" s="0" t="n">
        <v>1</v>
      </c>
      <c r="V18" s="0" t="inlineStr">
        <is>
          <t>계단식</t>
        </is>
      </c>
      <c r="W18" s="0" t="n">
        <v>72</v>
      </c>
      <c r="X18" s="0" t="n">
        <v>22</v>
      </c>
      <c r="Y18" s="0" t="n">
        <v>5</v>
      </c>
      <c r="Z18" s="0" t="inlineStr">
        <is>
          <t>https://new.land.naver.com/complexes/134510?tab=detail&amp;rf=Y</t>
        </is>
      </c>
      <c r="AA18" s="0" t="inlineStr">
        <is>
          <t>서울시 강동구 강일동 66</t>
        </is>
      </c>
      <c r="AB18" s="0" t="inlineStr">
        <is>
          <t>서울시</t>
        </is>
      </c>
      <c r="AC18" s="0" t="inlineStr">
        <is>
          <t>강동구</t>
        </is>
      </c>
      <c r="AD18" s="0" t="inlineStr">
        <is>
          <t>강일동</t>
        </is>
      </c>
      <c r="AG18" s="0" t="inlineStr">
        <is>
          <t>서울시 강동구 아리수로93나길 88</t>
        </is>
      </c>
      <c r="AH18" s="0" t="n">
        <v>420</v>
      </c>
      <c r="AI18" s="0" t="n">
        <v>0</v>
      </c>
      <c r="AJ18" s="0" t="n">
        <v>0</v>
      </c>
      <c r="AK18" s="0" t="n">
        <v>0</v>
      </c>
      <c r="AL18" s="0" t="n">
        <v>0</v>
      </c>
    </row>
    <row r="19">
      <c r="A19" s="0" t="inlineStr">
        <is>
          <t>[강일동]</t>
        </is>
      </c>
      <c r="B19" s="0" t="n">
        <v>134510</v>
      </c>
      <c r="C19" s="0" t="n">
        <v>2</v>
      </c>
      <c r="D19" s="0" t="inlineStr">
        <is>
          <t>강동리버스트8단지</t>
        </is>
      </c>
      <c r="E19" s="0" t="inlineStr">
        <is>
          <t>2021.02.</t>
        </is>
      </c>
      <c r="F19" s="0" t="n">
        <v>946</v>
      </c>
      <c r="G19" s="0" t="n">
        <v>26.29</v>
      </c>
      <c r="H19" s="0" t="n">
        <v>86.91</v>
      </c>
      <c r="I19" s="0" t="n">
        <v>18.14</v>
      </c>
      <c r="J19" s="0" t="n">
        <v>59.97</v>
      </c>
      <c r="K19" s="0" t="n">
        <v>284</v>
      </c>
      <c r="T19" s="0" t="n">
        <v>3</v>
      </c>
      <c r="U19" s="0" t="n">
        <v>2</v>
      </c>
      <c r="V19" s="0" t="inlineStr">
        <is>
          <t>계단식</t>
        </is>
      </c>
      <c r="W19" s="0" t="n">
        <v>86</v>
      </c>
      <c r="X19" s="0" t="n">
        <v>22</v>
      </c>
      <c r="Y19" s="0" t="n">
        <v>5</v>
      </c>
      <c r="Z19" s="0" t="inlineStr">
        <is>
          <t>https://new.land.naver.com/complexes/134510?tab=detail&amp;rf=Y</t>
        </is>
      </c>
      <c r="AA19" s="0" t="inlineStr">
        <is>
          <t>서울시 강동구 강일동 66</t>
        </is>
      </c>
      <c r="AB19" s="0" t="inlineStr">
        <is>
          <t>서울시</t>
        </is>
      </c>
      <c r="AC19" s="0" t="inlineStr">
        <is>
          <t>강동구</t>
        </is>
      </c>
      <c r="AD19" s="0" t="inlineStr">
        <is>
          <t>강일동</t>
        </is>
      </c>
      <c r="AG19" s="0" t="inlineStr">
        <is>
          <t>서울시 강동구 아리수로93나길 88</t>
        </is>
      </c>
      <c r="AH19" s="0" t="n">
        <v>420</v>
      </c>
      <c r="AI19" s="0" t="n">
        <v>0</v>
      </c>
      <c r="AJ19" s="0" t="n">
        <v>0</v>
      </c>
      <c r="AK19" s="0" t="n">
        <v>0</v>
      </c>
      <c r="AL19" s="0" t="n">
        <v>0</v>
      </c>
    </row>
    <row r="20">
      <c r="A20" s="0" t="inlineStr">
        <is>
          <t>[강일동]</t>
        </is>
      </c>
      <c r="B20" s="0" t="n">
        <v>27474</v>
      </c>
      <c r="C20" s="0" t="n">
        <v>1</v>
      </c>
      <c r="D20" s="0" t="inlineStr">
        <is>
          <t>강일리버파크3단지</t>
        </is>
      </c>
      <c r="E20" s="0" t="inlineStr">
        <is>
          <t>2009.03.</t>
        </is>
      </c>
      <c r="F20" s="0" t="n">
        <v>987</v>
      </c>
      <c r="G20" s="0" t="n">
        <v>24.81</v>
      </c>
      <c r="H20" s="0" t="n">
        <v>82.04000000000001</v>
      </c>
      <c r="I20" s="0" t="n">
        <v>18.11</v>
      </c>
      <c r="J20" s="0" t="n">
        <v>59.87</v>
      </c>
      <c r="K20" s="0" t="n">
        <v>78</v>
      </c>
      <c r="T20" s="0" t="n">
        <v>3</v>
      </c>
      <c r="U20" s="0" t="n">
        <v>2</v>
      </c>
      <c r="V20" s="0" t="inlineStr">
        <is>
          <t>계단식</t>
        </is>
      </c>
      <c r="W20" s="0" t="inlineStr">
        <is>
          <t>82A</t>
        </is>
      </c>
      <c r="X20" s="0" t="n">
        <v>15</v>
      </c>
      <c r="Y20" s="0" t="n">
        <v>11</v>
      </c>
      <c r="Z20" s="0" t="inlineStr">
        <is>
          <t>https://new.land.naver.com/complexes/27474?tab=detail&amp;rf=Y</t>
        </is>
      </c>
      <c r="AA20" s="0" t="inlineStr">
        <is>
          <t>서울시 강동구 강일동 674</t>
        </is>
      </c>
      <c r="AB20" s="0" t="inlineStr">
        <is>
          <t>서울시</t>
        </is>
      </c>
      <c r="AC20" s="0" t="inlineStr">
        <is>
          <t>강동구</t>
        </is>
      </c>
      <c r="AD20" s="0" t="inlineStr">
        <is>
          <t>강일동</t>
        </is>
      </c>
      <c r="AG20" s="0" t="inlineStr">
        <is>
          <t>서울시 강동구 아리수로93길 40</t>
        </is>
      </c>
      <c r="AH20" s="0" t="n">
        <v>615</v>
      </c>
      <c r="AI20" s="0" t="n">
        <v>173</v>
      </c>
      <c r="AJ20" s="0" t="n">
        <v>17</v>
      </c>
      <c r="AK20" s="0" t="n">
        <v>1105</v>
      </c>
      <c r="AL20" s="0" t="n">
        <v>1.12</v>
      </c>
    </row>
    <row r="21">
      <c r="A21" s="0" t="inlineStr">
        <is>
          <t>[강일동]</t>
        </is>
      </c>
      <c r="B21" s="0" t="n">
        <v>27474</v>
      </c>
      <c r="C21" s="0" t="n">
        <v>2</v>
      </c>
      <c r="D21" s="0" t="inlineStr">
        <is>
          <t>강일리버파크3단지</t>
        </is>
      </c>
      <c r="E21" s="0" t="inlineStr">
        <is>
          <t>2009.03.</t>
        </is>
      </c>
      <c r="F21" s="0" t="n">
        <v>987</v>
      </c>
      <c r="G21" s="0" t="n">
        <v>24.84</v>
      </c>
      <c r="H21" s="0" t="n">
        <v>82.13</v>
      </c>
      <c r="I21" s="0" t="n">
        <v>18.11</v>
      </c>
      <c r="J21" s="0" t="n">
        <v>59.88</v>
      </c>
      <c r="K21" s="0" t="n">
        <v>24</v>
      </c>
      <c r="T21" s="0" t="n">
        <v>3</v>
      </c>
      <c r="U21" s="0" t="n">
        <v>2</v>
      </c>
      <c r="V21" s="0" t="inlineStr">
        <is>
          <t>계단식</t>
        </is>
      </c>
      <c r="W21" s="0" t="inlineStr">
        <is>
          <t>82C2</t>
        </is>
      </c>
      <c r="X21" s="0" t="n">
        <v>15</v>
      </c>
      <c r="Y21" s="0" t="n">
        <v>11</v>
      </c>
      <c r="Z21" s="0" t="inlineStr">
        <is>
          <t>https://new.land.naver.com/complexes/27474?tab=detail&amp;rf=Y</t>
        </is>
      </c>
      <c r="AA21" s="0" t="inlineStr">
        <is>
          <t>서울시 강동구 강일동 674</t>
        </is>
      </c>
      <c r="AB21" s="0" t="inlineStr">
        <is>
          <t>서울시</t>
        </is>
      </c>
      <c r="AC21" s="0" t="inlineStr">
        <is>
          <t>강동구</t>
        </is>
      </c>
      <c r="AD21" s="0" t="inlineStr">
        <is>
          <t>강일동</t>
        </is>
      </c>
      <c r="AG21" s="0" t="inlineStr">
        <is>
          <t>서울시 강동구 아리수로93길 40</t>
        </is>
      </c>
      <c r="AH21" s="0" t="n">
        <v>615</v>
      </c>
      <c r="AI21" s="0" t="n">
        <v>173</v>
      </c>
      <c r="AJ21" s="0" t="n">
        <v>17</v>
      </c>
      <c r="AK21" s="0" t="n">
        <v>1105</v>
      </c>
      <c r="AL21" s="0" t="n">
        <v>1.12</v>
      </c>
    </row>
    <row r="22">
      <c r="A22" s="0" t="inlineStr">
        <is>
          <t>[강일동]</t>
        </is>
      </c>
      <c r="B22" s="0" t="n">
        <v>27474</v>
      </c>
      <c r="C22" s="0" t="n">
        <v>3</v>
      </c>
      <c r="D22" s="0" t="inlineStr">
        <is>
          <t>강일리버파크3단지</t>
        </is>
      </c>
      <c r="E22" s="0" t="inlineStr">
        <is>
          <t>2009.03.</t>
        </is>
      </c>
      <c r="F22" s="0" t="n">
        <v>987</v>
      </c>
      <c r="G22" s="0" t="n">
        <v>25.03</v>
      </c>
      <c r="H22" s="0" t="n">
        <v>82.75</v>
      </c>
      <c r="I22" s="0" t="n">
        <v>18.05</v>
      </c>
      <c r="J22" s="0" t="n">
        <v>59.7</v>
      </c>
      <c r="K22" s="0" t="n">
        <v>12</v>
      </c>
      <c r="T22" s="0" t="n">
        <v>3</v>
      </c>
      <c r="U22" s="0" t="n">
        <v>2</v>
      </c>
      <c r="V22" s="0" t="inlineStr">
        <is>
          <t>계단식</t>
        </is>
      </c>
      <c r="W22" s="0" t="inlineStr">
        <is>
          <t>82D2</t>
        </is>
      </c>
      <c r="X22" s="0" t="n">
        <v>15</v>
      </c>
      <c r="Y22" s="0" t="n">
        <v>11</v>
      </c>
      <c r="Z22" s="0" t="inlineStr">
        <is>
          <t>https://new.land.naver.com/complexes/27474?tab=detail&amp;rf=Y</t>
        </is>
      </c>
      <c r="AA22" s="0" t="inlineStr">
        <is>
          <t>서울시 강동구 강일동 674</t>
        </is>
      </c>
      <c r="AB22" s="0" t="inlineStr">
        <is>
          <t>서울시</t>
        </is>
      </c>
      <c r="AC22" s="0" t="inlineStr">
        <is>
          <t>강동구</t>
        </is>
      </c>
      <c r="AD22" s="0" t="inlineStr">
        <is>
          <t>강일동</t>
        </is>
      </c>
      <c r="AG22" s="0" t="inlineStr">
        <is>
          <t>서울시 강동구 아리수로93길 40</t>
        </is>
      </c>
      <c r="AH22" s="0" t="n">
        <v>615</v>
      </c>
      <c r="AI22" s="0" t="n">
        <v>173</v>
      </c>
      <c r="AJ22" s="0" t="n">
        <v>17</v>
      </c>
      <c r="AK22" s="0" t="n">
        <v>1105</v>
      </c>
      <c r="AL22" s="0" t="n">
        <v>1.12</v>
      </c>
    </row>
    <row r="23">
      <c r="A23" s="0" t="inlineStr">
        <is>
          <t>[강일동]</t>
        </is>
      </c>
      <c r="B23" s="0" t="n">
        <v>27474</v>
      </c>
      <c r="C23" s="0" t="n">
        <v>4</v>
      </c>
      <c r="D23" s="0" t="inlineStr">
        <is>
          <t>강일리버파크3단지</t>
        </is>
      </c>
      <c r="E23" s="0" t="inlineStr">
        <is>
          <t>2009.03.</t>
        </is>
      </c>
      <c r="F23" s="0" t="n">
        <v>987</v>
      </c>
      <c r="G23" s="0" t="n">
        <v>25.1</v>
      </c>
      <c r="H23" s="0" t="n">
        <v>83</v>
      </c>
      <c r="I23" s="0" t="n">
        <v>18.09</v>
      </c>
      <c r="J23" s="0" t="n">
        <v>59.83</v>
      </c>
      <c r="K23" s="0" t="n">
        <v>24</v>
      </c>
      <c r="T23" s="0" t="n">
        <v>3</v>
      </c>
      <c r="U23" s="0" t="n">
        <v>2</v>
      </c>
      <c r="V23" s="0" t="inlineStr">
        <is>
          <t>계단식</t>
        </is>
      </c>
      <c r="W23" s="0" t="inlineStr">
        <is>
          <t>83B2</t>
        </is>
      </c>
      <c r="X23" s="0" t="n">
        <v>15</v>
      </c>
      <c r="Y23" s="0" t="n">
        <v>11</v>
      </c>
      <c r="Z23" s="0" t="inlineStr">
        <is>
          <t>https://new.land.naver.com/complexes/27474?tab=detail&amp;rf=Y</t>
        </is>
      </c>
      <c r="AA23" s="0" t="inlineStr">
        <is>
          <t>서울시 강동구 강일동 674</t>
        </is>
      </c>
      <c r="AB23" s="0" t="inlineStr">
        <is>
          <t>서울시</t>
        </is>
      </c>
      <c r="AC23" s="0" t="inlineStr">
        <is>
          <t>강동구</t>
        </is>
      </c>
      <c r="AD23" s="0" t="inlineStr">
        <is>
          <t>강일동</t>
        </is>
      </c>
      <c r="AG23" s="0" t="inlineStr">
        <is>
          <t>서울시 강동구 아리수로93길 40</t>
        </is>
      </c>
      <c r="AH23" s="0" t="n">
        <v>615</v>
      </c>
      <c r="AI23" s="0" t="n">
        <v>173</v>
      </c>
      <c r="AJ23" s="0" t="n">
        <v>17</v>
      </c>
      <c r="AK23" s="0" t="n">
        <v>1105</v>
      </c>
      <c r="AL23" s="0" t="n">
        <v>1.12</v>
      </c>
    </row>
    <row r="24">
      <c r="A24" s="0" t="inlineStr">
        <is>
          <t>[강일동]</t>
        </is>
      </c>
      <c r="B24" s="0" t="n">
        <v>27474</v>
      </c>
      <c r="C24" s="0" t="n">
        <v>5</v>
      </c>
      <c r="D24" s="0" t="inlineStr">
        <is>
          <t>강일리버파크3단지</t>
        </is>
      </c>
      <c r="E24" s="0" t="inlineStr">
        <is>
          <t>2009.03.</t>
        </is>
      </c>
      <c r="F24" s="0" t="n">
        <v>987</v>
      </c>
      <c r="G24" s="0" t="n">
        <v>33.19</v>
      </c>
      <c r="H24" s="0" t="n">
        <v>109.74</v>
      </c>
      <c r="I24" s="0" t="n">
        <v>25.66</v>
      </c>
      <c r="J24" s="0" t="n">
        <v>84.83</v>
      </c>
      <c r="K24" s="0" t="n">
        <v>44</v>
      </c>
      <c r="T24" s="0" t="n">
        <v>3</v>
      </c>
      <c r="U24" s="0" t="n">
        <v>2</v>
      </c>
      <c r="V24" s="0" t="inlineStr">
        <is>
          <t>계단식</t>
        </is>
      </c>
      <c r="W24" s="0" t="inlineStr">
        <is>
          <t>109A</t>
        </is>
      </c>
      <c r="X24" s="0" t="n">
        <v>15</v>
      </c>
      <c r="Y24" s="0" t="n">
        <v>11</v>
      </c>
      <c r="Z24" s="0" t="inlineStr">
        <is>
          <t>https://new.land.naver.com/complexes/27474?tab=detail&amp;rf=Y</t>
        </is>
      </c>
      <c r="AA24" s="0" t="inlineStr">
        <is>
          <t>서울시 강동구 강일동 674</t>
        </is>
      </c>
      <c r="AB24" s="0" t="inlineStr">
        <is>
          <t>서울시</t>
        </is>
      </c>
      <c r="AC24" s="0" t="inlineStr">
        <is>
          <t>강동구</t>
        </is>
      </c>
      <c r="AD24" s="0" t="inlineStr">
        <is>
          <t>강일동</t>
        </is>
      </c>
      <c r="AG24" s="0" t="inlineStr">
        <is>
          <t>서울시 강동구 아리수로93길 40</t>
        </is>
      </c>
      <c r="AH24" s="0" t="n">
        <v>615</v>
      </c>
      <c r="AI24" s="0" t="n">
        <v>173</v>
      </c>
      <c r="AJ24" s="0" t="n">
        <v>17</v>
      </c>
      <c r="AK24" s="0" t="n">
        <v>1105</v>
      </c>
      <c r="AL24" s="0" t="n">
        <v>1.12</v>
      </c>
    </row>
    <row r="25">
      <c r="A25" s="0" t="inlineStr">
        <is>
          <t>[강일동]</t>
        </is>
      </c>
      <c r="B25" s="0" t="n">
        <v>27474</v>
      </c>
      <c r="C25" s="0" t="n">
        <v>6</v>
      </c>
      <c r="D25" s="0" t="inlineStr">
        <is>
          <t>강일리버파크3단지</t>
        </is>
      </c>
      <c r="E25" s="0" t="inlineStr">
        <is>
          <t>2009.03.</t>
        </is>
      </c>
      <c r="F25" s="0" t="n">
        <v>987</v>
      </c>
      <c r="G25" s="0" t="n">
        <v>33.46</v>
      </c>
      <c r="H25" s="0" t="n">
        <v>110.62</v>
      </c>
      <c r="I25" s="0" t="n">
        <v>25.57</v>
      </c>
      <c r="J25" s="0" t="n">
        <v>84.53</v>
      </c>
      <c r="K25" s="0" t="n">
        <v>96</v>
      </c>
      <c r="T25" s="0" t="n">
        <v>3</v>
      </c>
      <c r="U25" s="0" t="n">
        <v>2</v>
      </c>
      <c r="V25" s="0" t="inlineStr">
        <is>
          <t>계단식</t>
        </is>
      </c>
      <c r="W25" s="0" t="inlineStr">
        <is>
          <t>110B</t>
        </is>
      </c>
      <c r="X25" s="0" t="n">
        <v>15</v>
      </c>
      <c r="Y25" s="0" t="n">
        <v>11</v>
      </c>
      <c r="Z25" s="0" t="inlineStr">
        <is>
          <t>https://new.land.naver.com/complexes/27474?tab=detail&amp;rf=Y</t>
        </is>
      </c>
      <c r="AA25" s="0" t="inlineStr">
        <is>
          <t>서울시 강동구 강일동 674</t>
        </is>
      </c>
      <c r="AB25" s="0" t="inlineStr">
        <is>
          <t>서울시</t>
        </is>
      </c>
      <c r="AC25" s="0" t="inlineStr">
        <is>
          <t>강동구</t>
        </is>
      </c>
      <c r="AD25" s="0" t="inlineStr">
        <is>
          <t>강일동</t>
        </is>
      </c>
      <c r="AG25" s="0" t="inlineStr">
        <is>
          <t>서울시 강동구 아리수로93길 40</t>
        </is>
      </c>
      <c r="AH25" s="0" t="n">
        <v>615</v>
      </c>
      <c r="AI25" s="0" t="n">
        <v>173</v>
      </c>
      <c r="AJ25" s="0" t="n">
        <v>17</v>
      </c>
      <c r="AK25" s="0" t="n">
        <v>1105</v>
      </c>
      <c r="AL25" s="0" t="n">
        <v>1.12</v>
      </c>
    </row>
    <row r="26">
      <c r="A26" s="0" t="inlineStr">
        <is>
          <t>[강일동]</t>
        </is>
      </c>
      <c r="B26" s="0" t="n">
        <v>27474</v>
      </c>
      <c r="C26" s="0" t="n">
        <v>7</v>
      </c>
      <c r="D26" s="0" t="inlineStr">
        <is>
          <t>강일리버파크3단지</t>
        </is>
      </c>
      <c r="E26" s="0" t="inlineStr">
        <is>
          <t>2009.03.</t>
        </is>
      </c>
      <c r="F26" s="0" t="n">
        <v>987</v>
      </c>
      <c r="G26" s="0" t="n">
        <v>33.37</v>
      </c>
      <c r="H26" s="0" t="n">
        <v>110.34</v>
      </c>
      <c r="I26" s="0" t="n">
        <v>25.63</v>
      </c>
      <c r="J26" s="0" t="n">
        <v>84.73999999999999</v>
      </c>
      <c r="K26" s="0" t="n">
        <v>94</v>
      </c>
      <c r="T26" s="0" t="n">
        <v>3</v>
      </c>
      <c r="U26" s="0" t="n">
        <v>2</v>
      </c>
      <c r="V26" s="0" t="inlineStr">
        <is>
          <t>계단식</t>
        </is>
      </c>
      <c r="W26" s="0" t="inlineStr">
        <is>
          <t>110C</t>
        </is>
      </c>
      <c r="X26" s="0" t="n">
        <v>15</v>
      </c>
      <c r="Y26" s="0" t="n">
        <v>11</v>
      </c>
      <c r="Z26" s="0" t="inlineStr">
        <is>
          <t>https://new.land.naver.com/complexes/27474?tab=detail&amp;rf=Y</t>
        </is>
      </c>
      <c r="AA26" s="0" t="inlineStr">
        <is>
          <t>서울시 강동구 강일동 674</t>
        </is>
      </c>
      <c r="AB26" s="0" t="inlineStr">
        <is>
          <t>서울시</t>
        </is>
      </c>
      <c r="AC26" s="0" t="inlineStr">
        <is>
          <t>강동구</t>
        </is>
      </c>
      <c r="AD26" s="0" t="inlineStr">
        <is>
          <t>강일동</t>
        </is>
      </c>
      <c r="AG26" s="0" t="inlineStr">
        <is>
          <t>서울시 강동구 아리수로93길 40</t>
        </is>
      </c>
      <c r="AH26" s="0" t="n">
        <v>615</v>
      </c>
      <c r="AI26" s="0" t="n">
        <v>173</v>
      </c>
      <c r="AJ26" s="0" t="n">
        <v>17</v>
      </c>
      <c r="AK26" s="0" t="n">
        <v>1105</v>
      </c>
      <c r="AL26" s="0" t="n">
        <v>1.12</v>
      </c>
    </row>
    <row r="27">
      <c r="A27" s="0" t="inlineStr">
        <is>
          <t>[강일동]</t>
        </is>
      </c>
      <c r="B27" s="0" t="n">
        <v>27479</v>
      </c>
      <c r="C27" s="0" t="n">
        <v>1</v>
      </c>
      <c r="D27" s="0" t="inlineStr">
        <is>
          <t>강일리버파크7단지</t>
        </is>
      </c>
      <c r="E27" s="0" t="inlineStr">
        <is>
          <t>2009.06.</t>
        </is>
      </c>
      <c r="F27" s="0" t="n">
        <v>731</v>
      </c>
      <c r="G27" s="0" t="n">
        <v>24.84</v>
      </c>
      <c r="H27" s="0" t="n">
        <v>82.14</v>
      </c>
      <c r="I27" s="0" t="n">
        <v>18.11</v>
      </c>
      <c r="J27" s="0" t="n">
        <v>59.88</v>
      </c>
      <c r="K27" s="0" t="n">
        <v>24</v>
      </c>
      <c r="T27" s="0" t="n">
        <v>3</v>
      </c>
      <c r="U27" s="0" t="n">
        <v>2</v>
      </c>
      <c r="V27" s="0" t="inlineStr">
        <is>
          <t>계단식</t>
        </is>
      </c>
      <c r="W27" s="0" t="inlineStr">
        <is>
          <t>82C</t>
        </is>
      </c>
      <c r="X27" s="0" t="n">
        <v>15</v>
      </c>
      <c r="Y27" s="0" t="n">
        <v>10</v>
      </c>
      <c r="Z27" s="0" t="inlineStr">
        <is>
          <t>https://new.land.naver.com/complexes/27479?tab=detail&amp;rf=Y</t>
        </is>
      </c>
      <c r="AA27" s="0" t="inlineStr">
        <is>
          <t>서울시 강동구 강일동 686</t>
        </is>
      </c>
      <c r="AB27" s="0" t="inlineStr">
        <is>
          <t>서울시</t>
        </is>
      </c>
      <c r="AC27" s="0" t="inlineStr">
        <is>
          <t>강동구</t>
        </is>
      </c>
      <c r="AD27" s="0" t="inlineStr">
        <is>
          <t>강일동</t>
        </is>
      </c>
      <c r="AG27" s="0" t="inlineStr">
        <is>
          <t>서울시 강동구 아리수로98길 25</t>
        </is>
      </c>
      <c r="AH27" s="0" t="n">
        <v>455</v>
      </c>
      <c r="AI27" s="0" t="n">
        <v>179</v>
      </c>
      <c r="AJ27" s="0" t="n">
        <v>17</v>
      </c>
      <c r="AK27" s="0" t="n">
        <v>819</v>
      </c>
      <c r="AL27" s="0" t="n">
        <v>1.12</v>
      </c>
    </row>
    <row r="28">
      <c r="A28" s="0" t="inlineStr">
        <is>
          <t>[강일동]</t>
        </is>
      </c>
      <c r="B28" s="0" t="n">
        <v>27479</v>
      </c>
      <c r="C28" s="0" t="n">
        <v>2</v>
      </c>
      <c r="D28" s="0" t="inlineStr">
        <is>
          <t>강일리버파크7단지</t>
        </is>
      </c>
      <c r="E28" s="0" t="inlineStr">
        <is>
          <t>2009.06.</t>
        </is>
      </c>
      <c r="F28" s="0" t="n">
        <v>731</v>
      </c>
      <c r="G28" s="0" t="n">
        <v>25.03</v>
      </c>
      <c r="H28" s="0" t="n">
        <v>82.76000000000001</v>
      </c>
      <c r="I28" s="0" t="n">
        <v>18.05</v>
      </c>
      <c r="J28" s="0" t="n">
        <v>59.7</v>
      </c>
      <c r="K28" s="0" t="n">
        <v>12</v>
      </c>
      <c r="T28" s="0" t="n">
        <v>3</v>
      </c>
      <c r="U28" s="0" t="n">
        <v>2</v>
      </c>
      <c r="V28" s="0" t="inlineStr">
        <is>
          <t>계단식</t>
        </is>
      </c>
      <c r="W28" s="0" t="inlineStr">
        <is>
          <t>82D</t>
        </is>
      </c>
      <c r="X28" s="0" t="n">
        <v>15</v>
      </c>
      <c r="Y28" s="0" t="n">
        <v>10</v>
      </c>
      <c r="Z28" s="0" t="inlineStr">
        <is>
          <t>https://new.land.naver.com/complexes/27479?tab=detail&amp;rf=Y</t>
        </is>
      </c>
      <c r="AA28" s="0" t="inlineStr">
        <is>
          <t>서울시 강동구 강일동 686</t>
        </is>
      </c>
      <c r="AB28" s="0" t="inlineStr">
        <is>
          <t>서울시</t>
        </is>
      </c>
      <c r="AC28" s="0" t="inlineStr">
        <is>
          <t>강동구</t>
        </is>
      </c>
      <c r="AD28" s="0" t="inlineStr">
        <is>
          <t>강일동</t>
        </is>
      </c>
      <c r="AG28" s="0" t="inlineStr">
        <is>
          <t>서울시 강동구 아리수로98길 25</t>
        </is>
      </c>
      <c r="AH28" s="0" t="n">
        <v>455</v>
      </c>
      <c r="AI28" s="0" t="n">
        <v>179</v>
      </c>
      <c r="AJ28" s="0" t="n">
        <v>17</v>
      </c>
      <c r="AK28" s="0" t="n">
        <v>819</v>
      </c>
      <c r="AL28" s="0" t="n">
        <v>1.12</v>
      </c>
    </row>
    <row r="29">
      <c r="A29" s="0" t="inlineStr">
        <is>
          <t>[강일동]</t>
        </is>
      </c>
      <c r="B29" s="0" t="n">
        <v>27479</v>
      </c>
      <c r="C29" s="0" t="n">
        <v>3</v>
      </c>
      <c r="D29" s="0" t="inlineStr">
        <is>
          <t>강일리버파크7단지</t>
        </is>
      </c>
      <c r="E29" s="0" t="inlineStr">
        <is>
          <t>2009.06.</t>
        </is>
      </c>
      <c r="F29" s="0" t="n">
        <v>731</v>
      </c>
      <c r="G29" s="0" t="n">
        <v>25.11</v>
      </c>
      <c r="H29" s="0" t="n">
        <v>83.01000000000001</v>
      </c>
      <c r="I29" s="0" t="n">
        <v>18.09</v>
      </c>
      <c r="J29" s="0" t="n">
        <v>59.83</v>
      </c>
      <c r="K29" s="0" t="n">
        <v>24</v>
      </c>
      <c r="T29" s="0" t="n">
        <v>3</v>
      </c>
      <c r="U29" s="0" t="n">
        <v>2</v>
      </c>
      <c r="V29" s="0" t="inlineStr">
        <is>
          <t>계단식</t>
        </is>
      </c>
      <c r="W29" s="0" t="inlineStr">
        <is>
          <t>83B</t>
        </is>
      </c>
      <c r="X29" s="0" t="n">
        <v>15</v>
      </c>
      <c r="Y29" s="0" t="n">
        <v>10</v>
      </c>
      <c r="Z29" s="0" t="inlineStr">
        <is>
          <t>https://new.land.naver.com/complexes/27479?tab=detail&amp;rf=Y</t>
        </is>
      </c>
      <c r="AA29" s="0" t="inlineStr">
        <is>
          <t>서울시 강동구 강일동 686</t>
        </is>
      </c>
      <c r="AB29" s="0" t="inlineStr">
        <is>
          <t>서울시</t>
        </is>
      </c>
      <c r="AC29" s="0" t="inlineStr">
        <is>
          <t>강동구</t>
        </is>
      </c>
      <c r="AD29" s="0" t="inlineStr">
        <is>
          <t>강일동</t>
        </is>
      </c>
      <c r="AG29" s="0" t="inlineStr">
        <is>
          <t>서울시 강동구 아리수로98길 25</t>
        </is>
      </c>
      <c r="AH29" s="0" t="n">
        <v>455</v>
      </c>
      <c r="AI29" s="0" t="n">
        <v>179</v>
      </c>
      <c r="AJ29" s="0" t="n">
        <v>17</v>
      </c>
      <c r="AK29" s="0" t="n">
        <v>819</v>
      </c>
      <c r="AL29" s="0" t="n">
        <v>1.12</v>
      </c>
    </row>
    <row r="30">
      <c r="A30" s="0" t="inlineStr">
        <is>
          <t>[강일동]</t>
        </is>
      </c>
      <c r="B30" s="0" t="n">
        <v>27479</v>
      </c>
      <c r="C30" s="0" t="n">
        <v>4</v>
      </c>
      <c r="D30" s="0" t="inlineStr">
        <is>
          <t>강일리버파크7단지</t>
        </is>
      </c>
      <c r="E30" s="0" t="inlineStr">
        <is>
          <t>2009.06.</t>
        </is>
      </c>
      <c r="F30" s="0" t="n">
        <v>731</v>
      </c>
      <c r="G30" s="0" t="n">
        <v>33.25</v>
      </c>
      <c r="H30" s="0" t="n">
        <v>109.94</v>
      </c>
      <c r="I30" s="0" t="n">
        <v>25.66</v>
      </c>
      <c r="J30" s="0" t="n">
        <v>84.83</v>
      </c>
      <c r="K30" s="0" t="n">
        <v>52</v>
      </c>
      <c r="T30" s="0" t="n">
        <v>3</v>
      </c>
      <c r="U30" s="0" t="n">
        <v>2</v>
      </c>
      <c r="V30" s="0" t="inlineStr">
        <is>
          <t>계단식</t>
        </is>
      </c>
      <c r="W30" s="0" t="inlineStr">
        <is>
          <t>109A</t>
        </is>
      </c>
      <c r="X30" s="0" t="n">
        <v>15</v>
      </c>
      <c r="Y30" s="0" t="n">
        <v>10</v>
      </c>
      <c r="Z30" s="0" t="inlineStr">
        <is>
          <t>https://new.land.naver.com/complexes/27479?tab=detail&amp;rf=Y</t>
        </is>
      </c>
      <c r="AA30" s="0" t="inlineStr">
        <is>
          <t>서울시 강동구 강일동 686</t>
        </is>
      </c>
      <c r="AB30" s="0" t="inlineStr">
        <is>
          <t>서울시</t>
        </is>
      </c>
      <c r="AC30" s="0" t="inlineStr">
        <is>
          <t>강동구</t>
        </is>
      </c>
      <c r="AD30" s="0" t="inlineStr">
        <is>
          <t>강일동</t>
        </is>
      </c>
      <c r="AG30" s="0" t="inlineStr">
        <is>
          <t>서울시 강동구 아리수로98길 25</t>
        </is>
      </c>
      <c r="AH30" s="0" t="n">
        <v>455</v>
      </c>
      <c r="AI30" s="0" t="n">
        <v>179</v>
      </c>
      <c r="AJ30" s="0" t="n">
        <v>17</v>
      </c>
      <c r="AK30" s="0" t="n">
        <v>819</v>
      </c>
      <c r="AL30" s="0" t="n">
        <v>1.12</v>
      </c>
    </row>
    <row r="31">
      <c r="A31" s="0" t="inlineStr">
        <is>
          <t>[강일동]</t>
        </is>
      </c>
      <c r="B31" s="0" t="n">
        <v>27479</v>
      </c>
      <c r="C31" s="0" t="n">
        <v>5</v>
      </c>
      <c r="D31" s="0" t="inlineStr">
        <is>
          <t>강일리버파크7단지</t>
        </is>
      </c>
      <c r="E31" s="0" t="inlineStr">
        <is>
          <t>2009.06.</t>
        </is>
      </c>
      <c r="F31" s="0" t="n">
        <v>731</v>
      </c>
      <c r="G31" s="0" t="n">
        <v>33.52</v>
      </c>
      <c r="H31" s="0" t="n">
        <v>110.82</v>
      </c>
      <c r="I31" s="0" t="n">
        <v>25.57</v>
      </c>
      <c r="J31" s="0" t="n">
        <v>84.53</v>
      </c>
      <c r="K31" s="0" t="n">
        <v>82</v>
      </c>
      <c r="T31" s="0" t="n">
        <v>3</v>
      </c>
      <c r="U31" s="0" t="n">
        <v>2</v>
      </c>
      <c r="V31" s="0" t="inlineStr">
        <is>
          <t>계단식</t>
        </is>
      </c>
      <c r="W31" s="0" t="inlineStr">
        <is>
          <t>110B</t>
        </is>
      </c>
      <c r="X31" s="0" t="n">
        <v>15</v>
      </c>
      <c r="Y31" s="0" t="n">
        <v>10</v>
      </c>
      <c r="Z31" s="0" t="inlineStr">
        <is>
          <t>https://new.land.naver.com/complexes/27479?tab=detail&amp;rf=Y</t>
        </is>
      </c>
      <c r="AA31" s="0" t="inlineStr">
        <is>
          <t>서울시 강동구 강일동 686</t>
        </is>
      </c>
      <c r="AB31" s="0" t="inlineStr">
        <is>
          <t>서울시</t>
        </is>
      </c>
      <c r="AC31" s="0" t="inlineStr">
        <is>
          <t>강동구</t>
        </is>
      </c>
      <c r="AD31" s="0" t="inlineStr">
        <is>
          <t>강일동</t>
        </is>
      </c>
      <c r="AG31" s="0" t="inlineStr">
        <is>
          <t>서울시 강동구 아리수로98길 25</t>
        </is>
      </c>
      <c r="AH31" s="0" t="n">
        <v>455</v>
      </c>
      <c r="AI31" s="0" t="n">
        <v>179</v>
      </c>
      <c r="AJ31" s="0" t="n">
        <v>17</v>
      </c>
      <c r="AK31" s="0" t="n">
        <v>819</v>
      </c>
      <c r="AL31" s="0" t="n">
        <v>1.12</v>
      </c>
    </row>
    <row r="32">
      <c r="A32" s="0" t="inlineStr">
        <is>
          <t>[강일동]</t>
        </is>
      </c>
      <c r="B32" s="0" t="n">
        <v>27479</v>
      </c>
      <c r="C32" s="0" t="n">
        <v>6</v>
      </c>
      <c r="D32" s="0" t="inlineStr">
        <is>
          <t>강일리버파크7단지</t>
        </is>
      </c>
      <c r="E32" s="0" t="inlineStr">
        <is>
          <t>2009.06.</t>
        </is>
      </c>
      <c r="F32" s="0" t="n">
        <v>731</v>
      </c>
      <c r="G32" s="0" t="n">
        <v>33.43</v>
      </c>
      <c r="H32" s="0" t="n">
        <v>110.54</v>
      </c>
      <c r="I32" s="0" t="n">
        <v>25.63</v>
      </c>
      <c r="J32" s="0" t="n">
        <v>84.73999999999999</v>
      </c>
      <c r="K32" s="0" t="n">
        <v>82</v>
      </c>
      <c r="T32" s="0" t="n">
        <v>3</v>
      </c>
      <c r="U32" s="0" t="n">
        <v>2</v>
      </c>
      <c r="V32" s="0" t="inlineStr">
        <is>
          <t>계단식</t>
        </is>
      </c>
      <c r="W32" s="0" t="inlineStr">
        <is>
          <t>110C</t>
        </is>
      </c>
      <c r="X32" s="0" t="n">
        <v>15</v>
      </c>
      <c r="Y32" s="0" t="n">
        <v>10</v>
      </c>
      <c r="Z32" s="0" t="inlineStr">
        <is>
          <t>https://new.land.naver.com/complexes/27479?tab=detail&amp;rf=Y</t>
        </is>
      </c>
      <c r="AA32" s="0" t="inlineStr">
        <is>
          <t>서울시 강동구 강일동 686</t>
        </is>
      </c>
      <c r="AB32" s="0" t="inlineStr">
        <is>
          <t>서울시</t>
        </is>
      </c>
      <c r="AC32" s="0" t="inlineStr">
        <is>
          <t>강동구</t>
        </is>
      </c>
      <c r="AD32" s="0" t="inlineStr">
        <is>
          <t>강일동</t>
        </is>
      </c>
      <c r="AG32" s="0" t="inlineStr">
        <is>
          <t>서울시 강동구 아리수로98길 25</t>
        </is>
      </c>
      <c r="AH32" s="0" t="n">
        <v>455</v>
      </c>
      <c r="AI32" s="0" t="n">
        <v>179</v>
      </c>
      <c r="AJ32" s="0" t="n">
        <v>17</v>
      </c>
      <c r="AK32" s="0" t="n">
        <v>819</v>
      </c>
      <c r="AL32" s="0" t="n">
        <v>1.12</v>
      </c>
    </row>
    <row r="33">
      <c r="A33" s="0" t="inlineStr">
        <is>
          <t>[강일동]</t>
        </is>
      </c>
      <c r="B33" s="0" t="n">
        <v>27480</v>
      </c>
      <c r="C33" s="0" t="n">
        <v>1</v>
      </c>
      <c r="D33" s="0" t="inlineStr">
        <is>
          <t>강일리버파크8단지</t>
        </is>
      </c>
      <c r="E33" s="0" t="inlineStr">
        <is>
          <t>2009.03.</t>
        </is>
      </c>
      <c r="F33" s="0" t="n">
        <v>410</v>
      </c>
      <c r="G33" s="0" t="n">
        <v>33.52</v>
      </c>
      <c r="H33" s="0" t="n">
        <v>110.82</v>
      </c>
      <c r="I33" s="0" t="n">
        <v>25.66</v>
      </c>
      <c r="J33" s="0" t="n">
        <v>84.83</v>
      </c>
      <c r="K33" s="0" t="n">
        <v>116</v>
      </c>
      <c r="T33" s="0" t="n">
        <v>3</v>
      </c>
      <c r="U33" s="0" t="n">
        <v>2</v>
      </c>
      <c r="V33" s="0" t="inlineStr">
        <is>
          <t>계단식</t>
        </is>
      </c>
      <c r="W33" s="0" t="inlineStr">
        <is>
          <t>110A</t>
        </is>
      </c>
      <c r="X33" s="0" t="n">
        <v>14</v>
      </c>
      <c r="Y33" s="0" t="n">
        <v>5</v>
      </c>
      <c r="Z33" s="0" t="inlineStr">
        <is>
          <t>https://new.land.naver.com/complexes/27480?tab=detail&amp;rf=Y</t>
        </is>
      </c>
      <c r="AA33" s="0" t="inlineStr">
        <is>
          <t>서울시 강동구 강일동 701</t>
        </is>
      </c>
      <c r="AB33" s="0" t="inlineStr">
        <is>
          <t>서울시</t>
        </is>
      </c>
      <c r="AC33" s="0" t="inlineStr">
        <is>
          <t>강동구</t>
        </is>
      </c>
      <c r="AD33" s="0" t="inlineStr">
        <is>
          <t>강일동</t>
        </is>
      </c>
      <c r="AG33" s="0" t="inlineStr">
        <is>
          <t>서울시 강동구 아리수로94길 72</t>
        </is>
      </c>
      <c r="AH33" s="0" t="n">
        <v>206</v>
      </c>
      <c r="AI33" s="0" t="n">
        <v>144</v>
      </c>
      <c r="AJ33" s="0" t="n">
        <v>18</v>
      </c>
      <c r="AK33" s="0" t="n">
        <v>465</v>
      </c>
      <c r="AL33" s="0" t="n">
        <v>1.13</v>
      </c>
    </row>
    <row r="34">
      <c r="A34" s="0" t="inlineStr">
        <is>
          <t>[강일동]</t>
        </is>
      </c>
      <c r="B34" s="0" t="n">
        <v>27480</v>
      </c>
      <c r="C34" s="0" t="n">
        <v>2</v>
      </c>
      <c r="D34" s="0" t="inlineStr">
        <is>
          <t>강일리버파크8단지</t>
        </is>
      </c>
      <c r="E34" s="0" t="inlineStr">
        <is>
          <t>2009.03.</t>
        </is>
      </c>
      <c r="F34" s="0" t="n">
        <v>410</v>
      </c>
      <c r="G34" s="0" t="n">
        <v>33.78</v>
      </c>
      <c r="H34" s="0" t="n">
        <v>111.7</v>
      </c>
      <c r="I34" s="0" t="n">
        <v>25.57</v>
      </c>
      <c r="J34" s="0" t="n">
        <v>84.53</v>
      </c>
      <c r="K34" s="0" t="n">
        <v>46</v>
      </c>
      <c r="T34" s="0" t="n">
        <v>3</v>
      </c>
      <c r="U34" s="0" t="n">
        <v>2</v>
      </c>
      <c r="V34" s="0" t="inlineStr">
        <is>
          <t>계단식</t>
        </is>
      </c>
      <c r="W34" s="0" t="inlineStr">
        <is>
          <t>111B</t>
        </is>
      </c>
      <c r="X34" s="0" t="n">
        <v>14</v>
      </c>
      <c r="Y34" s="0" t="n">
        <v>5</v>
      </c>
      <c r="Z34" s="0" t="inlineStr">
        <is>
          <t>https://new.land.naver.com/complexes/27480?tab=detail&amp;rf=Y</t>
        </is>
      </c>
      <c r="AA34" s="0" t="inlineStr">
        <is>
          <t>서울시 강동구 강일동 701</t>
        </is>
      </c>
      <c r="AB34" s="0" t="inlineStr">
        <is>
          <t>서울시</t>
        </is>
      </c>
      <c r="AC34" s="0" t="inlineStr">
        <is>
          <t>강동구</t>
        </is>
      </c>
      <c r="AD34" s="0" t="inlineStr">
        <is>
          <t>강일동</t>
        </is>
      </c>
      <c r="AG34" s="0" t="inlineStr">
        <is>
          <t>서울시 강동구 아리수로94길 72</t>
        </is>
      </c>
      <c r="AH34" s="0" t="n">
        <v>206</v>
      </c>
      <c r="AI34" s="0" t="n">
        <v>144</v>
      </c>
      <c r="AJ34" s="0" t="n">
        <v>18</v>
      </c>
      <c r="AK34" s="0" t="n">
        <v>465</v>
      </c>
      <c r="AL34" s="0" t="n">
        <v>1.13</v>
      </c>
    </row>
    <row r="35">
      <c r="A35" s="0" t="inlineStr">
        <is>
          <t>[강일동]</t>
        </is>
      </c>
      <c r="B35" s="0" t="n">
        <v>27480</v>
      </c>
      <c r="C35" s="0" t="n">
        <v>3</v>
      </c>
      <c r="D35" s="0" t="inlineStr">
        <is>
          <t>강일리버파크8단지</t>
        </is>
      </c>
      <c r="E35" s="0" t="inlineStr">
        <is>
          <t>2009.03.</t>
        </is>
      </c>
      <c r="F35" s="0" t="n">
        <v>410</v>
      </c>
      <c r="G35" s="0" t="n">
        <v>33.7</v>
      </c>
      <c r="H35" s="0" t="n">
        <v>111.42</v>
      </c>
      <c r="I35" s="0" t="n">
        <v>25.63</v>
      </c>
      <c r="J35" s="0" t="n">
        <v>84.73999999999999</v>
      </c>
      <c r="K35" s="0" t="n">
        <v>42</v>
      </c>
      <c r="T35" s="0" t="n">
        <v>3</v>
      </c>
      <c r="U35" s="0" t="n">
        <v>2</v>
      </c>
      <c r="V35" s="0" t="inlineStr">
        <is>
          <t>계단식</t>
        </is>
      </c>
      <c r="W35" s="0" t="inlineStr">
        <is>
          <t>111C</t>
        </is>
      </c>
      <c r="X35" s="0" t="n">
        <v>14</v>
      </c>
      <c r="Y35" s="0" t="n">
        <v>5</v>
      </c>
      <c r="Z35" s="0" t="inlineStr">
        <is>
          <t>https://new.land.naver.com/complexes/27480?tab=detail&amp;rf=Y</t>
        </is>
      </c>
      <c r="AA35" s="0" t="inlineStr">
        <is>
          <t>서울시 강동구 강일동 701</t>
        </is>
      </c>
      <c r="AB35" s="0" t="inlineStr">
        <is>
          <t>서울시</t>
        </is>
      </c>
      <c r="AC35" s="0" t="inlineStr">
        <is>
          <t>강동구</t>
        </is>
      </c>
      <c r="AD35" s="0" t="inlineStr">
        <is>
          <t>강일동</t>
        </is>
      </c>
      <c r="AG35" s="0" t="inlineStr">
        <is>
          <t>서울시 강동구 아리수로94길 72</t>
        </is>
      </c>
      <c r="AH35" s="0" t="n">
        <v>206</v>
      </c>
      <c r="AI35" s="0" t="n">
        <v>144</v>
      </c>
      <c r="AJ35" s="0" t="n">
        <v>18</v>
      </c>
      <c r="AK35" s="0" t="n">
        <v>465</v>
      </c>
      <c r="AL35" s="0" t="n">
        <v>1.13</v>
      </c>
    </row>
    <row r="36">
      <c r="A36" s="0" t="inlineStr">
        <is>
          <t>[강일동]</t>
        </is>
      </c>
      <c r="B36" s="0" t="n">
        <v>102234</v>
      </c>
      <c r="C36" s="0" t="n">
        <v>1</v>
      </c>
      <c r="D36" s="0" t="inlineStr">
        <is>
          <t>고덕리엔파크2단지</t>
        </is>
      </c>
      <c r="E36" s="0" t="inlineStr">
        <is>
          <t>2011.01.</t>
        </is>
      </c>
      <c r="F36" s="0" t="n">
        <v>636</v>
      </c>
      <c r="G36" s="0" t="n">
        <v>23.83</v>
      </c>
      <c r="H36" s="0" t="n">
        <v>78.78</v>
      </c>
      <c r="I36" s="0" t="n">
        <v>18.09</v>
      </c>
      <c r="J36" s="0" t="n">
        <v>59.83</v>
      </c>
      <c r="K36" s="0" t="n">
        <v>24</v>
      </c>
      <c r="T36" s="0" t="n">
        <v>3</v>
      </c>
      <c r="U36" s="0" t="n">
        <v>2</v>
      </c>
      <c r="V36" s="0" t="inlineStr">
        <is>
          <t>계단식</t>
        </is>
      </c>
      <c r="W36" s="0" t="inlineStr">
        <is>
          <t>78A</t>
        </is>
      </c>
      <c r="X36" s="0" t="n">
        <v>17</v>
      </c>
      <c r="Y36" s="0" t="n">
        <v>11</v>
      </c>
      <c r="Z36" s="0" t="inlineStr">
        <is>
          <t>https://new.land.naver.com/complexes/102234?tab=detail&amp;rf=Y</t>
        </is>
      </c>
      <c r="AA36" s="0" t="inlineStr">
        <is>
          <t>서울시 강동구 강일동 717</t>
        </is>
      </c>
      <c r="AB36" s="0" t="inlineStr">
        <is>
          <t>서울시</t>
        </is>
      </c>
      <c r="AC36" s="0" t="inlineStr">
        <is>
          <t>강동구</t>
        </is>
      </c>
      <c r="AD36" s="0" t="inlineStr">
        <is>
          <t>강일동</t>
        </is>
      </c>
      <c r="AG36" s="0" t="inlineStr">
        <is>
          <t>서울시 강동구 고덕로 427</t>
        </is>
      </c>
      <c r="AH36" s="0" t="n">
        <v>443</v>
      </c>
      <c r="AI36" s="0" t="n">
        <v>169</v>
      </c>
      <c r="AJ36" s="0" t="n">
        <v>27</v>
      </c>
      <c r="AK36" s="0" t="n">
        <v>726</v>
      </c>
      <c r="AL36" s="0" t="n">
        <v>1.14</v>
      </c>
    </row>
    <row r="37">
      <c r="A37" s="0" t="inlineStr">
        <is>
          <t>[강일동]</t>
        </is>
      </c>
      <c r="B37" s="0" t="n">
        <v>102234</v>
      </c>
      <c r="C37" s="0" t="n">
        <v>2</v>
      </c>
      <c r="D37" s="0" t="inlineStr">
        <is>
          <t>고덕리엔파크2단지</t>
        </is>
      </c>
      <c r="E37" s="0" t="inlineStr">
        <is>
          <t>2011.01.</t>
        </is>
      </c>
      <c r="F37" s="0" t="n">
        <v>636</v>
      </c>
      <c r="G37" s="0" t="n">
        <v>23.82</v>
      </c>
      <c r="H37" s="0" t="n">
        <v>78.75</v>
      </c>
      <c r="I37" s="0" t="n">
        <v>18.06</v>
      </c>
      <c r="J37" s="0" t="n">
        <v>59.72</v>
      </c>
      <c r="K37" s="0" t="n">
        <v>24</v>
      </c>
      <c r="T37" s="0" t="n">
        <v>3</v>
      </c>
      <c r="U37" s="0" t="n">
        <v>2</v>
      </c>
      <c r="V37" s="0" t="inlineStr">
        <is>
          <t>계단식</t>
        </is>
      </c>
      <c r="W37" s="0" t="inlineStr">
        <is>
          <t>78B</t>
        </is>
      </c>
      <c r="X37" s="0" t="n">
        <v>17</v>
      </c>
      <c r="Y37" s="0" t="n">
        <v>11</v>
      </c>
      <c r="Z37" s="0" t="inlineStr">
        <is>
          <t>https://new.land.naver.com/complexes/102234?tab=detail&amp;rf=Y</t>
        </is>
      </c>
      <c r="AA37" s="0" t="inlineStr">
        <is>
          <t>서울시 강동구 강일동 717</t>
        </is>
      </c>
      <c r="AB37" s="0" t="inlineStr">
        <is>
          <t>서울시</t>
        </is>
      </c>
      <c r="AC37" s="0" t="inlineStr">
        <is>
          <t>강동구</t>
        </is>
      </c>
      <c r="AD37" s="0" t="inlineStr">
        <is>
          <t>강일동</t>
        </is>
      </c>
      <c r="AG37" s="0" t="inlineStr">
        <is>
          <t>서울시 강동구 고덕로 427</t>
        </is>
      </c>
      <c r="AH37" s="0" t="n">
        <v>443</v>
      </c>
      <c r="AI37" s="0" t="n">
        <v>169</v>
      </c>
      <c r="AJ37" s="0" t="n">
        <v>27</v>
      </c>
      <c r="AK37" s="0" t="n">
        <v>726</v>
      </c>
      <c r="AL37" s="0" t="n">
        <v>1.14</v>
      </c>
    </row>
    <row r="38">
      <c r="A38" s="0" t="inlineStr">
        <is>
          <t>[강일동]</t>
        </is>
      </c>
      <c r="B38" s="0" t="n">
        <v>102234</v>
      </c>
      <c r="C38" s="0" t="n">
        <v>3</v>
      </c>
      <c r="D38" s="0" t="inlineStr">
        <is>
          <t>고덕리엔파크2단지</t>
        </is>
      </c>
      <c r="E38" s="0" t="inlineStr">
        <is>
          <t>2011.01.</t>
        </is>
      </c>
      <c r="F38" s="0" t="n">
        <v>636</v>
      </c>
      <c r="G38" s="0" t="n">
        <v>33.52</v>
      </c>
      <c r="H38" s="0" t="n">
        <v>110.82</v>
      </c>
      <c r="I38" s="0" t="n">
        <v>25.7</v>
      </c>
      <c r="J38" s="0" t="n">
        <v>84.98</v>
      </c>
      <c r="K38" s="0" t="n">
        <v>30</v>
      </c>
      <c r="T38" s="0" t="n">
        <v>3</v>
      </c>
      <c r="U38" s="0" t="n">
        <v>2</v>
      </c>
      <c r="V38" s="0" t="inlineStr">
        <is>
          <t>계단식</t>
        </is>
      </c>
      <c r="W38" s="0" t="inlineStr">
        <is>
          <t>110D</t>
        </is>
      </c>
      <c r="X38" s="0" t="n">
        <v>17</v>
      </c>
      <c r="Y38" s="0" t="n">
        <v>11</v>
      </c>
      <c r="Z38" s="0" t="inlineStr">
        <is>
          <t>https://new.land.naver.com/complexes/102234?tab=detail&amp;rf=Y</t>
        </is>
      </c>
      <c r="AA38" s="0" t="inlineStr">
        <is>
          <t>서울시 강동구 강일동 717</t>
        </is>
      </c>
      <c r="AB38" s="0" t="inlineStr">
        <is>
          <t>서울시</t>
        </is>
      </c>
      <c r="AC38" s="0" t="inlineStr">
        <is>
          <t>강동구</t>
        </is>
      </c>
      <c r="AD38" s="0" t="inlineStr">
        <is>
          <t>강일동</t>
        </is>
      </c>
      <c r="AG38" s="0" t="inlineStr">
        <is>
          <t>서울시 강동구 고덕로 427</t>
        </is>
      </c>
      <c r="AH38" s="0" t="n">
        <v>443</v>
      </c>
      <c r="AI38" s="0" t="n">
        <v>169</v>
      </c>
      <c r="AJ38" s="0" t="n">
        <v>27</v>
      </c>
      <c r="AK38" s="0" t="n">
        <v>726</v>
      </c>
      <c r="AL38" s="0" t="n">
        <v>1.14</v>
      </c>
    </row>
    <row r="39">
      <c r="A39" s="0" t="inlineStr">
        <is>
          <t>[강일동]</t>
        </is>
      </c>
      <c r="B39" s="0" t="n">
        <v>102234</v>
      </c>
      <c r="C39" s="0" t="n">
        <v>4</v>
      </c>
      <c r="D39" s="0" t="inlineStr">
        <is>
          <t>고덕리엔파크2단지</t>
        </is>
      </c>
      <c r="E39" s="0" t="inlineStr">
        <is>
          <t>2011.01.</t>
        </is>
      </c>
      <c r="F39" s="0" t="n">
        <v>636</v>
      </c>
      <c r="G39" s="0" t="n">
        <v>33.6</v>
      </c>
      <c r="H39" s="0" t="n">
        <v>111.08</v>
      </c>
      <c r="I39" s="0" t="n">
        <v>25.67</v>
      </c>
      <c r="J39" s="0" t="n">
        <v>84.87</v>
      </c>
      <c r="K39" s="0" t="n">
        <v>38</v>
      </c>
      <c r="T39" s="0" t="n">
        <v>3</v>
      </c>
      <c r="U39" s="0" t="n">
        <v>2</v>
      </c>
      <c r="V39" s="0" t="inlineStr">
        <is>
          <t>계단식</t>
        </is>
      </c>
      <c r="W39" s="0" t="inlineStr">
        <is>
          <t>111B</t>
        </is>
      </c>
      <c r="X39" s="0" t="n">
        <v>17</v>
      </c>
      <c r="Y39" s="0" t="n">
        <v>11</v>
      </c>
      <c r="Z39" s="0" t="inlineStr">
        <is>
          <t>https://new.land.naver.com/complexes/102234?tab=detail&amp;rf=Y</t>
        </is>
      </c>
      <c r="AA39" s="0" t="inlineStr">
        <is>
          <t>서울시 강동구 강일동 717</t>
        </is>
      </c>
      <c r="AB39" s="0" t="inlineStr">
        <is>
          <t>서울시</t>
        </is>
      </c>
      <c r="AC39" s="0" t="inlineStr">
        <is>
          <t>강동구</t>
        </is>
      </c>
      <c r="AD39" s="0" t="inlineStr">
        <is>
          <t>강일동</t>
        </is>
      </c>
      <c r="AG39" s="0" t="inlineStr">
        <is>
          <t>서울시 강동구 고덕로 427</t>
        </is>
      </c>
      <c r="AH39" s="0" t="n">
        <v>443</v>
      </c>
      <c r="AI39" s="0" t="n">
        <v>169</v>
      </c>
      <c r="AJ39" s="0" t="n">
        <v>27</v>
      </c>
      <c r="AK39" s="0" t="n">
        <v>726</v>
      </c>
      <c r="AL39" s="0" t="n">
        <v>1.14</v>
      </c>
    </row>
    <row r="40">
      <c r="A40" s="0" t="inlineStr">
        <is>
          <t>[강일동]</t>
        </is>
      </c>
      <c r="B40" s="0" t="n">
        <v>102234</v>
      </c>
      <c r="C40" s="0" t="n">
        <v>5</v>
      </c>
      <c r="D40" s="0" t="inlineStr">
        <is>
          <t>고덕리엔파크2단지</t>
        </is>
      </c>
      <c r="E40" s="0" t="inlineStr">
        <is>
          <t>2011.01.</t>
        </is>
      </c>
      <c r="F40" s="0" t="n">
        <v>636</v>
      </c>
      <c r="G40" s="0" t="n">
        <v>33.82</v>
      </c>
      <c r="H40" s="0" t="n">
        <v>111.83</v>
      </c>
      <c r="I40" s="0" t="n">
        <v>25.66</v>
      </c>
      <c r="J40" s="0" t="n">
        <v>84.83</v>
      </c>
      <c r="K40" s="0" t="n">
        <v>30</v>
      </c>
      <c r="T40" s="0" t="n">
        <v>3</v>
      </c>
      <c r="U40" s="0" t="n">
        <v>2</v>
      </c>
      <c r="V40" s="0" t="inlineStr">
        <is>
          <t>계단식</t>
        </is>
      </c>
      <c r="W40" s="0" t="inlineStr">
        <is>
          <t>111C</t>
        </is>
      </c>
      <c r="X40" s="0" t="n">
        <v>17</v>
      </c>
      <c r="Y40" s="0" t="n">
        <v>11</v>
      </c>
      <c r="Z40" s="0" t="inlineStr">
        <is>
          <t>https://new.land.naver.com/complexes/102234?tab=detail&amp;rf=Y</t>
        </is>
      </c>
      <c r="AA40" s="0" t="inlineStr">
        <is>
          <t>서울시 강동구 강일동 717</t>
        </is>
      </c>
      <c r="AB40" s="0" t="inlineStr">
        <is>
          <t>서울시</t>
        </is>
      </c>
      <c r="AC40" s="0" t="inlineStr">
        <is>
          <t>강동구</t>
        </is>
      </c>
      <c r="AD40" s="0" t="inlineStr">
        <is>
          <t>강일동</t>
        </is>
      </c>
      <c r="AG40" s="0" t="inlineStr">
        <is>
          <t>서울시 강동구 고덕로 427</t>
        </is>
      </c>
      <c r="AH40" s="0" t="n">
        <v>443</v>
      </c>
      <c r="AI40" s="0" t="n">
        <v>169</v>
      </c>
      <c r="AJ40" s="0" t="n">
        <v>27</v>
      </c>
      <c r="AK40" s="0" t="n">
        <v>726</v>
      </c>
      <c r="AL40" s="0" t="n">
        <v>1.14</v>
      </c>
    </row>
    <row r="41">
      <c r="A41" s="0" t="inlineStr">
        <is>
          <t>[강일동]</t>
        </is>
      </c>
      <c r="B41" s="0" t="n">
        <v>102234</v>
      </c>
      <c r="C41" s="0" t="n">
        <v>6</v>
      </c>
      <c r="D41" s="0" t="inlineStr">
        <is>
          <t>고덕리엔파크2단지</t>
        </is>
      </c>
      <c r="E41" s="0" t="inlineStr">
        <is>
          <t>2011.01.</t>
        </is>
      </c>
      <c r="F41" s="0" t="n">
        <v>636</v>
      </c>
      <c r="G41" s="0" t="n">
        <v>45.16</v>
      </c>
      <c r="H41" s="0" t="n">
        <v>149.3</v>
      </c>
      <c r="I41" s="0" t="n">
        <v>34.77</v>
      </c>
      <c r="J41" s="0" t="n">
        <v>114.97</v>
      </c>
      <c r="K41" s="0" t="n">
        <v>31</v>
      </c>
      <c r="T41" s="0" t="n">
        <v>4</v>
      </c>
      <c r="U41" s="0" t="n">
        <v>2</v>
      </c>
      <c r="V41" s="0" t="inlineStr">
        <is>
          <t>계단식</t>
        </is>
      </c>
      <c r="W41" s="0" t="inlineStr">
        <is>
          <t>149C</t>
        </is>
      </c>
      <c r="X41" s="0" t="n">
        <v>17</v>
      </c>
      <c r="Y41" s="0" t="n">
        <v>11</v>
      </c>
      <c r="Z41" s="0" t="inlineStr">
        <is>
          <t>https://new.land.naver.com/complexes/102234?tab=detail&amp;rf=Y</t>
        </is>
      </c>
      <c r="AA41" s="0" t="inlineStr">
        <is>
          <t>서울시 강동구 강일동 717</t>
        </is>
      </c>
      <c r="AB41" s="0" t="inlineStr">
        <is>
          <t>서울시</t>
        </is>
      </c>
      <c r="AC41" s="0" t="inlineStr">
        <is>
          <t>강동구</t>
        </is>
      </c>
      <c r="AD41" s="0" t="inlineStr">
        <is>
          <t>강일동</t>
        </is>
      </c>
      <c r="AG41" s="0" t="inlineStr">
        <is>
          <t>서울시 강동구 고덕로 427</t>
        </is>
      </c>
      <c r="AH41" s="0" t="n">
        <v>443</v>
      </c>
      <c r="AI41" s="0" t="n">
        <v>169</v>
      </c>
      <c r="AJ41" s="0" t="n">
        <v>27</v>
      </c>
      <c r="AK41" s="0" t="n">
        <v>726</v>
      </c>
      <c r="AL41" s="0" t="n">
        <v>1.14</v>
      </c>
    </row>
    <row r="42">
      <c r="A42" s="0" t="inlineStr">
        <is>
          <t>[강일동]</t>
        </is>
      </c>
      <c r="B42" s="0" t="n">
        <v>102234</v>
      </c>
      <c r="C42" s="0" t="n">
        <v>7</v>
      </c>
      <c r="D42" s="0" t="inlineStr">
        <is>
          <t>고덕리엔파크2단지</t>
        </is>
      </c>
      <c r="E42" s="0" t="inlineStr">
        <is>
          <t>2011.01.</t>
        </is>
      </c>
      <c r="F42" s="0" t="n">
        <v>636</v>
      </c>
      <c r="G42" s="0" t="n">
        <v>45.34</v>
      </c>
      <c r="H42" s="0" t="n">
        <v>149.89</v>
      </c>
      <c r="I42" s="0" t="n">
        <v>34.78</v>
      </c>
      <c r="J42" s="0" t="n">
        <v>114.98</v>
      </c>
      <c r="K42" s="0" t="n">
        <v>16</v>
      </c>
      <c r="T42" s="0" t="n">
        <v>4</v>
      </c>
      <c r="U42" s="0" t="n">
        <v>2</v>
      </c>
      <c r="V42" s="0" t="inlineStr">
        <is>
          <t>계단식</t>
        </is>
      </c>
      <c r="W42" s="0" t="inlineStr">
        <is>
          <t>149D</t>
        </is>
      </c>
      <c r="X42" s="0" t="n">
        <v>17</v>
      </c>
      <c r="Y42" s="0" t="n">
        <v>11</v>
      </c>
      <c r="Z42" s="0" t="inlineStr">
        <is>
          <t>https://new.land.naver.com/complexes/102234?tab=detail&amp;rf=Y</t>
        </is>
      </c>
      <c r="AA42" s="0" t="inlineStr">
        <is>
          <t>서울시 강동구 강일동 717</t>
        </is>
      </c>
      <c r="AB42" s="0" t="inlineStr">
        <is>
          <t>서울시</t>
        </is>
      </c>
      <c r="AC42" s="0" t="inlineStr">
        <is>
          <t>강동구</t>
        </is>
      </c>
      <c r="AD42" s="0" t="inlineStr">
        <is>
          <t>강일동</t>
        </is>
      </c>
      <c r="AG42" s="0" t="inlineStr">
        <is>
          <t>서울시 강동구 고덕로 427</t>
        </is>
      </c>
      <c r="AH42" s="0" t="n">
        <v>443</v>
      </c>
      <c r="AI42" s="0" t="n">
        <v>169</v>
      </c>
      <c r="AJ42" s="0" t="n">
        <v>27</v>
      </c>
      <c r="AK42" s="0" t="n">
        <v>726</v>
      </c>
      <c r="AL42" s="0" t="n">
        <v>1.14</v>
      </c>
    </row>
    <row r="43">
      <c r="A43" s="0" t="inlineStr">
        <is>
          <t>[강일동]</t>
        </is>
      </c>
      <c r="B43" s="0" t="n">
        <v>27476</v>
      </c>
      <c r="C43" s="0" t="n">
        <v>1</v>
      </c>
      <c r="D43" s="0" t="inlineStr">
        <is>
          <t>강일리버파크4단지</t>
        </is>
      </c>
      <c r="E43" s="0" t="inlineStr">
        <is>
          <t>2009.03.</t>
        </is>
      </c>
      <c r="F43" s="0" t="n">
        <v>748</v>
      </c>
      <c r="G43" s="0" t="n">
        <v>33.25</v>
      </c>
      <c r="H43" s="0" t="n">
        <v>109.92</v>
      </c>
      <c r="I43" s="0" t="n">
        <v>25.66</v>
      </c>
      <c r="J43" s="0" t="n">
        <v>84.83</v>
      </c>
      <c r="K43" s="0" t="n">
        <v>122</v>
      </c>
      <c r="T43" s="0" t="n">
        <v>3</v>
      </c>
      <c r="U43" s="0" t="n">
        <v>2</v>
      </c>
      <c r="V43" s="0" t="inlineStr">
        <is>
          <t>계단식</t>
        </is>
      </c>
      <c r="W43" s="0" t="inlineStr">
        <is>
          <t>109A</t>
        </is>
      </c>
      <c r="X43" s="0" t="n">
        <v>15</v>
      </c>
      <c r="Y43" s="0" t="n">
        <v>11</v>
      </c>
      <c r="Z43" s="0" t="inlineStr">
        <is>
          <t>https://new.land.naver.com/complexes/27476?tab=detail&amp;rf=Y</t>
        </is>
      </c>
      <c r="AA43" s="0" t="inlineStr">
        <is>
          <t>서울시 강동구 강일동 673</t>
        </is>
      </c>
      <c r="AB43" s="0" t="inlineStr">
        <is>
          <t>서울시</t>
        </is>
      </c>
      <c r="AC43" s="0" t="inlineStr">
        <is>
          <t>강동구</t>
        </is>
      </c>
      <c r="AD43" s="0" t="inlineStr">
        <is>
          <t>강일동</t>
        </is>
      </c>
      <c r="AG43" s="0" t="inlineStr">
        <is>
          <t>서울시 강동구 아리수로97길 19</t>
        </is>
      </c>
      <c r="AH43" s="0" t="n">
        <v>470</v>
      </c>
      <c r="AI43" s="0" t="n">
        <v>179</v>
      </c>
      <c r="AJ43" s="0" t="n">
        <v>17</v>
      </c>
      <c r="AK43" s="0" t="n">
        <v>831</v>
      </c>
      <c r="AL43" s="0" t="n">
        <v>1.11</v>
      </c>
    </row>
    <row r="44">
      <c r="A44" s="0" t="inlineStr">
        <is>
          <t>[강일동]</t>
        </is>
      </c>
      <c r="B44" s="0" t="n">
        <v>27476</v>
      </c>
      <c r="C44" s="0" t="n">
        <v>2</v>
      </c>
      <c r="D44" s="0" t="inlineStr">
        <is>
          <t>강일리버파크4단지</t>
        </is>
      </c>
      <c r="E44" s="0" t="inlineStr">
        <is>
          <t>2009.03.</t>
        </is>
      </c>
      <c r="F44" s="0" t="n">
        <v>748</v>
      </c>
      <c r="G44" s="0" t="n">
        <v>33.43</v>
      </c>
      <c r="H44" s="0" t="n">
        <v>110.52</v>
      </c>
      <c r="I44" s="0" t="n">
        <v>25.63</v>
      </c>
      <c r="J44" s="0" t="n">
        <v>84.73999999999999</v>
      </c>
      <c r="K44" s="0" t="n">
        <v>80</v>
      </c>
      <c r="T44" s="0" t="n">
        <v>3</v>
      </c>
      <c r="U44" s="0" t="n">
        <v>2</v>
      </c>
      <c r="V44" s="0" t="inlineStr">
        <is>
          <t>계단식</t>
        </is>
      </c>
      <c r="W44" s="0" t="inlineStr">
        <is>
          <t>110C</t>
        </is>
      </c>
      <c r="X44" s="0" t="n">
        <v>15</v>
      </c>
      <c r="Y44" s="0" t="n">
        <v>11</v>
      </c>
      <c r="Z44" s="0" t="inlineStr">
        <is>
          <t>https://new.land.naver.com/complexes/27476?tab=detail&amp;rf=Y</t>
        </is>
      </c>
      <c r="AA44" s="0" t="inlineStr">
        <is>
          <t>서울시 강동구 강일동 673</t>
        </is>
      </c>
      <c r="AB44" s="0" t="inlineStr">
        <is>
          <t>서울시</t>
        </is>
      </c>
      <c r="AC44" s="0" t="inlineStr">
        <is>
          <t>강동구</t>
        </is>
      </c>
      <c r="AD44" s="0" t="inlineStr">
        <is>
          <t>강일동</t>
        </is>
      </c>
      <c r="AG44" s="0" t="inlineStr">
        <is>
          <t>서울시 강동구 아리수로97길 19</t>
        </is>
      </c>
      <c r="AH44" s="0" t="n">
        <v>470</v>
      </c>
      <c r="AI44" s="0" t="n">
        <v>179</v>
      </c>
      <c r="AJ44" s="0" t="n">
        <v>17</v>
      </c>
      <c r="AK44" s="0" t="n">
        <v>831</v>
      </c>
      <c r="AL44" s="0" t="n">
        <v>1.11</v>
      </c>
    </row>
    <row r="45">
      <c r="A45" s="0" t="inlineStr">
        <is>
          <t>[강일동]</t>
        </is>
      </c>
      <c r="B45" s="0" t="n">
        <v>27476</v>
      </c>
      <c r="C45" s="0" t="n">
        <v>3</v>
      </c>
      <c r="D45" s="0" t="inlineStr">
        <is>
          <t>강일리버파크4단지</t>
        </is>
      </c>
      <c r="E45" s="0" t="inlineStr">
        <is>
          <t>2009.03.</t>
        </is>
      </c>
      <c r="F45" s="0" t="n">
        <v>748</v>
      </c>
      <c r="G45" s="0" t="n">
        <v>33.51</v>
      </c>
      <c r="H45" s="0" t="n">
        <v>110.8</v>
      </c>
      <c r="I45" s="0" t="n">
        <v>25.57</v>
      </c>
      <c r="J45" s="0" t="n">
        <v>84.53</v>
      </c>
      <c r="K45" s="0" t="n">
        <v>76</v>
      </c>
      <c r="T45" s="0" t="n">
        <v>3</v>
      </c>
      <c r="U45" s="0" t="n">
        <v>2</v>
      </c>
      <c r="V45" s="0" t="inlineStr">
        <is>
          <t>계단식</t>
        </is>
      </c>
      <c r="W45" s="0" t="inlineStr">
        <is>
          <t>110B</t>
        </is>
      </c>
      <c r="X45" s="0" t="n">
        <v>15</v>
      </c>
      <c r="Y45" s="0" t="n">
        <v>11</v>
      </c>
      <c r="Z45" s="0" t="inlineStr">
        <is>
          <t>https://new.land.naver.com/complexes/27476?tab=detail&amp;rf=Y</t>
        </is>
      </c>
      <c r="AA45" s="0" t="inlineStr">
        <is>
          <t>서울시 강동구 강일동 673</t>
        </is>
      </c>
      <c r="AB45" s="0" t="inlineStr">
        <is>
          <t>서울시</t>
        </is>
      </c>
      <c r="AC45" s="0" t="inlineStr">
        <is>
          <t>강동구</t>
        </is>
      </c>
      <c r="AD45" s="0" t="inlineStr">
        <is>
          <t>강일동</t>
        </is>
      </c>
      <c r="AG45" s="0" t="inlineStr">
        <is>
          <t>서울시 강동구 아리수로97길 19</t>
        </is>
      </c>
      <c r="AH45" s="0" t="n">
        <v>470</v>
      </c>
      <c r="AI45" s="0" t="n">
        <v>179</v>
      </c>
      <c r="AJ45" s="0" t="n">
        <v>17</v>
      </c>
      <c r="AK45" s="0" t="n">
        <v>831</v>
      </c>
      <c r="AL45" s="0" t="n">
        <v>1.11</v>
      </c>
    </row>
    <row r="46">
      <c r="A46" s="0" t="inlineStr">
        <is>
          <t>[강일동]</t>
        </is>
      </c>
      <c r="B46" s="0" t="n">
        <v>138204</v>
      </c>
      <c r="C46" s="0" t="n">
        <v>1</v>
      </c>
      <c r="D46" s="0" t="inlineStr">
        <is>
          <t>힐스테이트리슈빌강일</t>
        </is>
      </c>
      <c r="E46" s="0" t="inlineStr">
        <is>
          <t>2023.09.</t>
        </is>
      </c>
      <c r="F46" s="0" t="n">
        <v>809</v>
      </c>
      <c r="G46" s="0" t="n">
        <v>33.04</v>
      </c>
      <c r="H46" s="0" t="n">
        <v>109.23</v>
      </c>
      <c r="I46" s="0" t="n">
        <v>25.63</v>
      </c>
      <c r="J46" s="0" t="n">
        <v>84.73</v>
      </c>
      <c r="K46" s="0" t="n">
        <v>81</v>
      </c>
      <c r="T46" s="0" t="n">
        <v>3</v>
      </c>
      <c r="U46" s="0" t="n">
        <v>2</v>
      </c>
      <c r="V46" s="0" t="inlineStr">
        <is>
          <t>계단식</t>
        </is>
      </c>
      <c r="W46" s="0" t="inlineStr">
        <is>
          <t>109TA</t>
        </is>
      </c>
      <c r="X46" s="0" t="n">
        <v>27</v>
      </c>
      <c r="Y46" s="0" t="n">
        <v>6</v>
      </c>
      <c r="Z46" s="0" t="inlineStr">
        <is>
          <t>https://new.land.naver.com/complexes/138204?tab=detail&amp;rf=Y</t>
        </is>
      </c>
      <c r="AA46" s="0" t="inlineStr">
        <is>
          <t>서울시 강동구 강일동 고덕강일공공주택지구 5블럭</t>
        </is>
      </c>
      <c r="AB46" s="0" t="inlineStr">
        <is>
          <t>서울시</t>
        </is>
      </c>
      <c r="AC46" s="0" t="inlineStr">
        <is>
          <t>강동구</t>
        </is>
      </c>
      <c r="AD46" s="0" t="inlineStr">
        <is>
          <t>강일동</t>
        </is>
      </c>
      <c r="AG46" s="0" t="inlineStr">
        <is>
          <t>서울시 강동구</t>
        </is>
      </c>
      <c r="AH46" s="0" t="n">
        <v>0</v>
      </c>
      <c r="AI46" s="0" t="n">
        <v>0</v>
      </c>
      <c r="AJ46" s="0" t="n">
        <v>0</v>
      </c>
      <c r="AK46" s="0" t="n">
        <v>1063</v>
      </c>
      <c r="AL46" s="0" t="n">
        <v>1.31</v>
      </c>
    </row>
    <row r="47">
      <c r="A47" s="0" t="inlineStr">
        <is>
          <t>[강일동]</t>
        </is>
      </c>
      <c r="B47" s="0" t="n">
        <v>138204</v>
      </c>
      <c r="C47" s="0" t="n">
        <v>2</v>
      </c>
      <c r="D47" s="0" t="inlineStr">
        <is>
          <t>힐스테이트리슈빌강일</t>
        </is>
      </c>
      <c r="E47" s="0" t="inlineStr">
        <is>
          <t>2023.09.</t>
        </is>
      </c>
      <c r="F47" s="0" t="n">
        <v>809</v>
      </c>
      <c r="G47" s="0" t="n">
        <v>33.16</v>
      </c>
      <c r="H47" s="0" t="n">
        <v>109.65</v>
      </c>
      <c r="I47" s="0" t="n">
        <v>25.7</v>
      </c>
      <c r="J47" s="0" t="n">
        <v>84.98</v>
      </c>
      <c r="K47" s="0" t="n">
        <v>16</v>
      </c>
      <c r="T47" s="0" t="n">
        <v>3</v>
      </c>
      <c r="U47" s="0" t="n">
        <v>2</v>
      </c>
      <c r="V47" s="0" t="inlineStr">
        <is>
          <t>계단식</t>
        </is>
      </c>
      <c r="W47" s="0" t="inlineStr">
        <is>
          <t>109LD</t>
        </is>
      </c>
      <c r="X47" s="0" t="n">
        <v>27</v>
      </c>
      <c r="Y47" s="0" t="n">
        <v>6</v>
      </c>
      <c r="Z47" s="0" t="inlineStr">
        <is>
          <t>https://new.land.naver.com/complexes/138204?tab=detail&amp;rf=Y</t>
        </is>
      </c>
      <c r="AA47" s="0" t="inlineStr">
        <is>
          <t>서울시 강동구 강일동 고덕강일공공주택지구 5블럭</t>
        </is>
      </c>
      <c r="AB47" s="0" t="inlineStr">
        <is>
          <t>서울시</t>
        </is>
      </c>
      <c r="AC47" s="0" t="inlineStr">
        <is>
          <t>강동구</t>
        </is>
      </c>
      <c r="AD47" s="0" t="inlineStr">
        <is>
          <t>강일동</t>
        </is>
      </c>
      <c r="AG47" s="0" t="inlineStr">
        <is>
          <t>서울시 강동구</t>
        </is>
      </c>
      <c r="AH47" s="0" t="n">
        <v>0</v>
      </c>
      <c r="AI47" s="0" t="n">
        <v>0</v>
      </c>
      <c r="AJ47" s="0" t="n">
        <v>0</v>
      </c>
      <c r="AK47" s="0" t="n">
        <v>1063</v>
      </c>
      <c r="AL47" s="0" t="n">
        <v>1.31</v>
      </c>
    </row>
    <row r="48">
      <c r="A48" s="0" t="inlineStr">
        <is>
          <t>[강일동]</t>
        </is>
      </c>
      <c r="B48" s="0" t="n">
        <v>138204</v>
      </c>
      <c r="C48" s="0" t="n">
        <v>3</v>
      </c>
      <c r="D48" s="0" t="inlineStr">
        <is>
          <t>힐스테이트리슈빌강일</t>
        </is>
      </c>
      <c r="E48" s="0" t="inlineStr">
        <is>
          <t>2023.09.</t>
        </is>
      </c>
      <c r="F48" s="0" t="n">
        <v>809</v>
      </c>
      <c r="G48" s="0" t="n">
        <v>33.33</v>
      </c>
      <c r="H48" s="0" t="n">
        <v>110.2</v>
      </c>
      <c r="I48" s="0" t="n">
        <v>25.67</v>
      </c>
      <c r="J48" s="0" t="n">
        <v>84.89</v>
      </c>
      <c r="K48" s="0" t="n">
        <v>176</v>
      </c>
      <c r="T48" s="0" t="n">
        <v>3</v>
      </c>
      <c r="U48" s="0" t="n">
        <v>2</v>
      </c>
      <c r="V48" s="0" t="inlineStr">
        <is>
          <t>계단식</t>
        </is>
      </c>
      <c r="W48" s="0" t="inlineStr">
        <is>
          <t>110TB</t>
        </is>
      </c>
      <c r="X48" s="0" t="n">
        <v>27</v>
      </c>
      <c r="Y48" s="0" t="n">
        <v>6</v>
      </c>
      <c r="Z48" s="0" t="inlineStr">
        <is>
          <t>https://new.land.naver.com/complexes/138204?tab=detail&amp;rf=Y</t>
        </is>
      </c>
      <c r="AA48" s="0" t="inlineStr">
        <is>
          <t>서울시 강동구 강일동 고덕강일공공주택지구 5블럭</t>
        </is>
      </c>
      <c r="AB48" s="0" t="inlineStr">
        <is>
          <t>서울시</t>
        </is>
      </c>
      <c r="AC48" s="0" t="inlineStr">
        <is>
          <t>강동구</t>
        </is>
      </c>
      <c r="AD48" s="0" t="inlineStr">
        <is>
          <t>강일동</t>
        </is>
      </c>
      <c r="AG48" s="0" t="inlineStr">
        <is>
          <t>서울시 강동구</t>
        </is>
      </c>
      <c r="AH48" s="0" t="n">
        <v>0</v>
      </c>
      <c r="AI48" s="0" t="n">
        <v>0</v>
      </c>
      <c r="AJ48" s="0" t="n">
        <v>0</v>
      </c>
      <c r="AK48" s="0" t="n">
        <v>1063</v>
      </c>
      <c r="AL48" s="0" t="n">
        <v>1.31</v>
      </c>
    </row>
    <row r="49">
      <c r="A49" s="0" t="inlineStr">
        <is>
          <t>[강일동]</t>
        </is>
      </c>
      <c r="B49" s="0" t="n">
        <v>138204</v>
      </c>
      <c r="C49" s="0" t="n">
        <v>4</v>
      </c>
      <c r="D49" s="0" t="inlineStr">
        <is>
          <t>힐스테이트리슈빌강일</t>
        </is>
      </c>
      <c r="E49" s="0" t="inlineStr">
        <is>
          <t>2023.09.</t>
        </is>
      </c>
      <c r="F49" s="0" t="n">
        <v>809</v>
      </c>
      <c r="G49" s="0" t="n">
        <v>33.5</v>
      </c>
      <c r="H49" s="0" t="n">
        <v>110.76</v>
      </c>
      <c r="I49" s="0" t="n">
        <v>25.67</v>
      </c>
      <c r="J49" s="0" t="n">
        <v>84.89</v>
      </c>
      <c r="K49" s="0" t="n">
        <v>88</v>
      </c>
      <c r="T49" s="0" t="n">
        <v>3</v>
      </c>
      <c r="U49" s="0" t="n">
        <v>2</v>
      </c>
      <c r="V49" s="0" t="inlineStr">
        <is>
          <t>계단식</t>
        </is>
      </c>
      <c r="W49" s="0" t="inlineStr">
        <is>
          <t>110LAC</t>
        </is>
      </c>
      <c r="X49" s="0" t="n">
        <v>27</v>
      </c>
      <c r="Y49" s="0" t="n">
        <v>6</v>
      </c>
      <c r="Z49" s="0" t="inlineStr">
        <is>
          <t>https://new.land.naver.com/complexes/138204?tab=detail&amp;rf=Y</t>
        </is>
      </c>
      <c r="AA49" s="0" t="inlineStr">
        <is>
          <t>서울시 강동구 강일동 고덕강일공공주택지구 5블럭</t>
        </is>
      </c>
      <c r="AB49" s="0" t="inlineStr">
        <is>
          <t>서울시</t>
        </is>
      </c>
      <c r="AC49" s="0" t="inlineStr">
        <is>
          <t>강동구</t>
        </is>
      </c>
      <c r="AD49" s="0" t="inlineStr">
        <is>
          <t>강일동</t>
        </is>
      </c>
      <c r="AG49" s="0" t="inlineStr">
        <is>
          <t>서울시 강동구</t>
        </is>
      </c>
      <c r="AH49" s="0" t="n">
        <v>0</v>
      </c>
      <c r="AI49" s="0" t="n">
        <v>0</v>
      </c>
      <c r="AJ49" s="0" t="n">
        <v>0</v>
      </c>
      <c r="AK49" s="0" t="n">
        <v>1063</v>
      </c>
      <c r="AL49" s="0" t="n">
        <v>1.31</v>
      </c>
    </row>
    <row r="50">
      <c r="A50" s="0" t="inlineStr">
        <is>
          <t>[강일동]</t>
        </is>
      </c>
      <c r="B50" s="0" t="n">
        <v>138204</v>
      </c>
      <c r="C50" s="0" t="n">
        <v>5</v>
      </c>
      <c r="D50" s="0" t="inlineStr">
        <is>
          <t>힐스테이트리슈빌강일</t>
        </is>
      </c>
      <c r="E50" s="0" t="inlineStr">
        <is>
          <t>2023.09.</t>
        </is>
      </c>
      <c r="F50" s="0" t="n">
        <v>809</v>
      </c>
      <c r="G50" s="0" t="n">
        <v>33.54</v>
      </c>
      <c r="H50" s="0" t="n">
        <v>110.89</v>
      </c>
      <c r="I50" s="0" t="n">
        <v>25.6</v>
      </c>
      <c r="J50" s="0" t="n">
        <v>84.63</v>
      </c>
      <c r="K50" s="0" t="n">
        <v>58</v>
      </c>
      <c r="T50" s="0" t="n">
        <v>3</v>
      </c>
      <c r="U50" s="0" t="n">
        <v>2</v>
      </c>
      <c r="V50" s="0" t="inlineStr">
        <is>
          <t>계단식</t>
        </is>
      </c>
      <c r="W50" s="0" t="inlineStr">
        <is>
          <t>110LB</t>
        </is>
      </c>
      <c r="X50" s="0" t="n">
        <v>27</v>
      </c>
      <c r="Y50" s="0" t="n">
        <v>6</v>
      </c>
      <c r="Z50" s="0" t="inlineStr">
        <is>
          <t>https://new.land.naver.com/complexes/138204?tab=detail&amp;rf=Y</t>
        </is>
      </c>
      <c r="AA50" s="0" t="inlineStr">
        <is>
          <t>서울시 강동구 강일동 고덕강일공공주택지구 5블럭</t>
        </is>
      </c>
      <c r="AB50" s="0" t="inlineStr">
        <is>
          <t>서울시</t>
        </is>
      </c>
      <c r="AC50" s="0" t="inlineStr">
        <is>
          <t>강동구</t>
        </is>
      </c>
      <c r="AD50" s="0" t="inlineStr">
        <is>
          <t>강일동</t>
        </is>
      </c>
      <c r="AG50" s="0" t="inlineStr">
        <is>
          <t>서울시 강동구</t>
        </is>
      </c>
      <c r="AH50" s="0" t="n">
        <v>0</v>
      </c>
      <c r="AI50" s="0" t="n">
        <v>0</v>
      </c>
      <c r="AJ50" s="0" t="n">
        <v>0</v>
      </c>
      <c r="AK50" s="0" t="n">
        <v>1063</v>
      </c>
      <c r="AL50" s="0" t="n">
        <v>1.31</v>
      </c>
    </row>
    <row r="51">
      <c r="A51" s="0" t="inlineStr">
        <is>
          <t>[강일동]</t>
        </is>
      </c>
      <c r="B51" s="0" t="n">
        <v>138204</v>
      </c>
      <c r="C51" s="0" t="n">
        <v>6</v>
      </c>
      <c r="D51" s="0" t="inlineStr">
        <is>
          <t>힐스테이트리슈빌강일</t>
        </is>
      </c>
      <c r="E51" s="0" t="inlineStr">
        <is>
          <t>2023.09.</t>
        </is>
      </c>
      <c r="F51" s="0" t="n">
        <v>809</v>
      </c>
      <c r="G51" s="0" t="n">
        <v>33.5</v>
      </c>
      <c r="H51" s="0" t="n">
        <v>110.76</v>
      </c>
      <c r="I51" s="0" t="n">
        <v>25.67</v>
      </c>
      <c r="J51" s="0" t="n">
        <v>84.89</v>
      </c>
      <c r="K51" s="0" t="n">
        <v>54</v>
      </c>
      <c r="T51" s="0" t="n">
        <v>3</v>
      </c>
      <c r="U51" s="0" t="n">
        <v>2</v>
      </c>
      <c r="V51" s="0" t="inlineStr">
        <is>
          <t>계단식</t>
        </is>
      </c>
      <c r="W51" s="0" t="inlineStr">
        <is>
          <t>110LA</t>
        </is>
      </c>
      <c r="X51" s="0" t="n">
        <v>27</v>
      </c>
      <c r="Y51" s="0" t="n">
        <v>6</v>
      </c>
      <c r="Z51" s="0" t="inlineStr">
        <is>
          <t>https://new.land.naver.com/complexes/138204?tab=detail&amp;rf=Y</t>
        </is>
      </c>
      <c r="AA51" s="0" t="inlineStr">
        <is>
          <t>서울시 강동구 강일동 고덕강일공공주택지구 5블럭</t>
        </is>
      </c>
      <c r="AB51" s="0" t="inlineStr">
        <is>
          <t>서울시</t>
        </is>
      </c>
      <c r="AC51" s="0" t="inlineStr">
        <is>
          <t>강동구</t>
        </is>
      </c>
      <c r="AD51" s="0" t="inlineStr">
        <is>
          <t>강일동</t>
        </is>
      </c>
      <c r="AG51" s="0" t="inlineStr">
        <is>
          <t>서울시 강동구</t>
        </is>
      </c>
      <c r="AH51" s="0" t="n">
        <v>0</v>
      </c>
      <c r="AI51" s="0" t="n">
        <v>0</v>
      </c>
      <c r="AJ51" s="0" t="n">
        <v>0</v>
      </c>
      <c r="AK51" s="0" t="n">
        <v>1063</v>
      </c>
      <c r="AL51" s="0" t="n">
        <v>1.31</v>
      </c>
    </row>
    <row r="52">
      <c r="A52" s="0" t="inlineStr">
        <is>
          <t>[강일동]</t>
        </is>
      </c>
      <c r="B52" s="0" t="n">
        <v>138204</v>
      </c>
      <c r="C52" s="0" t="n">
        <v>7</v>
      </c>
      <c r="D52" s="0" t="inlineStr">
        <is>
          <t>힐스테이트리슈빌강일</t>
        </is>
      </c>
      <c r="E52" s="0" t="inlineStr">
        <is>
          <t>2023.09.</t>
        </is>
      </c>
      <c r="F52" s="0" t="n">
        <v>809</v>
      </c>
      <c r="G52" s="0" t="n">
        <v>33.72</v>
      </c>
      <c r="H52" s="0" t="n">
        <v>111.48</v>
      </c>
      <c r="I52" s="0" t="n">
        <v>25.61</v>
      </c>
      <c r="J52" s="0" t="n">
        <v>84.69</v>
      </c>
      <c r="K52" s="0" t="n">
        <v>19</v>
      </c>
      <c r="T52" s="0" t="n">
        <v>3</v>
      </c>
      <c r="U52" s="0" t="n">
        <v>2</v>
      </c>
      <c r="V52" s="0" t="inlineStr">
        <is>
          <t>계단식</t>
        </is>
      </c>
      <c r="W52" s="0" t="inlineStr">
        <is>
          <t>111LDB</t>
        </is>
      </c>
      <c r="X52" s="0" t="n">
        <v>27</v>
      </c>
      <c r="Y52" s="0" t="n">
        <v>6</v>
      </c>
      <c r="Z52" s="0" t="inlineStr">
        <is>
          <t>https://new.land.naver.com/complexes/138204?tab=detail&amp;rf=Y</t>
        </is>
      </c>
      <c r="AA52" s="0" t="inlineStr">
        <is>
          <t>서울시 강동구 강일동 고덕강일공공주택지구 5블럭</t>
        </is>
      </c>
      <c r="AB52" s="0" t="inlineStr">
        <is>
          <t>서울시</t>
        </is>
      </c>
      <c r="AC52" s="0" t="inlineStr">
        <is>
          <t>강동구</t>
        </is>
      </c>
      <c r="AD52" s="0" t="inlineStr">
        <is>
          <t>강일동</t>
        </is>
      </c>
      <c r="AG52" s="0" t="inlineStr">
        <is>
          <t>서울시 강동구</t>
        </is>
      </c>
      <c r="AH52" s="0" t="n">
        <v>0</v>
      </c>
      <c r="AI52" s="0" t="n">
        <v>0</v>
      </c>
      <c r="AJ52" s="0" t="n">
        <v>0</v>
      </c>
      <c r="AK52" s="0" t="n">
        <v>1063</v>
      </c>
      <c r="AL52" s="0" t="n">
        <v>1.31</v>
      </c>
    </row>
    <row r="53">
      <c r="A53" s="0" t="inlineStr">
        <is>
          <t>[강일동]</t>
        </is>
      </c>
      <c r="B53" s="0" t="n">
        <v>138204</v>
      </c>
      <c r="C53" s="0" t="n">
        <v>8</v>
      </c>
      <c r="D53" s="0" t="inlineStr">
        <is>
          <t>힐스테이트리슈빌강일</t>
        </is>
      </c>
      <c r="E53" s="0" t="inlineStr">
        <is>
          <t>2023.09.</t>
        </is>
      </c>
      <c r="F53" s="0" t="n">
        <v>809</v>
      </c>
      <c r="G53" s="0" t="n">
        <v>33.79</v>
      </c>
      <c r="H53" s="0" t="n">
        <v>111.73</v>
      </c>
      <c r="I53" s="0" t="n">
        <v>25.68</v>
      </c>
      <c r="J53" s="0" t="n">
        <v>84.91</v>
      </c>
      <c r="K53" s="0" t="n">
        <v>19</v>
      </c>
      <c r="T53" s="0" t="n">
        <v>3</v>
      </c>
      <c r="U53" s="0" t="n">
        <v>2</v>
      </c>
      <c r="V53" s="0" t="inlineStr">
        <is>
          <t>계단식</t>
        </is>
      </c>
      <c r="W53" s="0" t="inlineStr">
        <is>
          <t>111LDC</t>
        </is>
      </c>
      <c r="X53" s="0" t="n">
        <v>27</v>
      </c>
      <c r="Y53" s="0" t="n">
        <v>6</v>
      </c>
      <c r="Z53" s="0" t="inlineStr">
        <is>
          <t>https://new.land.naver.com/complexes/138204?tab=detail&amp;rf=Y</t>
        </is>
      </c>
      <c r="AA53" s="0" t="inlineStr">
        <is>
          <t>서울시 강동구 강일동 고덕강일공공주택지구 5블럭</t>
        </is>
      </c>
      <c r="AB53" s="0" t="inlineStr">
        <is>
          <t>서울시</t>
        </is>
      </c>
      <c r="AC53" s="0" t="inlineStr">
        <is>
          <t>강동구</t>
        </is>
      </c>
      <c r="AD53" s="0" t="inlineStr">
        <is>
          <t>강일동</t>
        </is>
      </c>
      <c r="AG53" s="0" t="inlineStr">
        <is>
          <t>서울시 강동구</t>
        </is>
      </c>
      <c r="AH53" s="0" t="n">
        <v>0</v>
      </c>
      <c r="AI53" s="0" t="n">
        <v>0</v>
      </c>
      <c r="AJ53" s="0" t="n">
        <v>0</v>
      </c>
      <c r="AK53" s="0" t="n">
        <v>1063</v>
      </c>
      <c r="AL53" s="0" t="n">
        <v>1.31</v>
      </c>
    </row>
    <row r="54">
      <c r="A54" s="0" t="inlineStr">
        <is>
          <t>[강일동]</t>
        </is>
      </c>
      <c r="B54" s="0" t="n">
        <v>138204</v>
      </c>
      <c r="C54" s="0" t="n">
        <v>9</v>
      </c>
      <c r="D54" s="0" t="inlineStr">
        <is>
          <t>힐스테이트리슈빌강일</t>
        </is>
      </c>
      <c r="E54" s="0" t="inlineStr">
        <is>
          <t>2023.09.</t>
        </is>
      </c>
      <c r="F54" s="0" t="n">
        <v>809</v>
      </c>
      <c r="G54" s="0" t="n">
        <v>33.88</v>
      </c>
      <c r="H54" s="0" t="n">
        <v>112.02</v>
      </c>
      <c r="I54" s="0" t="n">
        <v>25.69</v>
      </c>
      <c r="J54" s="0" t="n">
        <v>84.93000000000001</v>
      </c>
      <c r="K54" s="0" t="n">
        <v>20</v>
      </c>
      <c r="T54" s="0" t="n">
        <v>3</v>
      </c>
      <c r="U54" s="0" t="n">
        <v>2</v>
      </c>
      <c r="V54" s="0" t="inlineStr">
        <is>
          <t>계단식</t>
        </is>
      </c>
      <c r="W54" s="0" t="inlineStr">
        <is>
          <t>112LC</t>
        </is>
      </c>
      <c r="X54" s="0" t="n">
        <v>27</v>
      </c>
      <c r="Y54" s="0" t="n">
        <v>6</v>
      </c>
      <c r="Z54" s="0" t="inlineStr">
        <is>
          <t>https://new.land.naver.com/complexes/138204?tab=detail&amp;rf=Y</t>
        </is>
      </c>
      <c r="AA54" s="0" t="inlineStr">
        <is>
          <t>서울시 강동구 강일동 고덕강일공공주택지구 5블럭</t>
        </is>
      </c>
      <c r="AB54" s="0" t="inlineStr">
        <is>
          <t>서울시</t>
        </is>
      </c>
      <c r="AC54" s="0" t="inlineStr">
        <is>
          <t>강동구</t>
        </is>
      </c>
      <c r="AD54" s="0" t="inlineStr">
        <is>
          <t>강일동</t>
        </is>
      </c>
      <c r="AG54" s="0" t="inlineStr">
        <is>
          <t>서울시 강동구</t>
        </is>
      </c>
      <c r="AH54" s="0" t="n">
        <v>0</v>
      </c>
      <c r="AI54" s="0" t="n">
        <v>0</v>
      </c>
      <c r="AJ54" s="0" t="n">
        <v>0</v>
      </c>
      <c r="AK54" s="0" t="n">
        <v>1063</v>
      </c>
      <c r="AL54" s="0" t="n">
        <v>1.31</v>
      </c>
    </row>
    <row r="55">
      <c r="A55" s="0" t="inlineStr">
        <is>
          <t>[강일동]</t>
        </is>
      </c>
      <c r="B55" s="0" t="n">
        <v>138204</v>
      </c>
      <c r="C55" s="0" t="n">
        <v>10</v>
      </c>
      <c r="D55" s="0" t="inlineStr">
        <is>
          <t>힐스테이트리슈빌강일</t>
        </is>
      </c>
      <c r="E55" s="0" t="inlineStr">
        <is>
          <t>2023.09.</t>
        </is>
      </c>
      <c r="F55" s="0" t="n">
        <v>809</v>
      </c>
      <c r="G55" s="0" t="n">
        <v>33.91</v>
      </c>
      <c r="H55" s="0" t="n">
        <v>112.11</v>
      </c>
      <c r="I55" s="0" t="n">
        <v>25.6</v>
      </c>
      <c r="J55" s="0" t="n">
        <v>84.65000000000001</v>
      </c>
      <c r="K55" s="0" t="n">
        <v>15</v>
      </c>
      <c r="T55" s="0" t="n">
        <v>3</v>
      </c>
      <c r="U55" s="0" t="n">
        <v>2</v>
      </c>
      <c r="V55" s="0" t="inlineStr">
        <is>
          <t>계단식</t>
        </is>
      </c>
      <c r="W55" s="0" t="inlineStr">
        <is>
          <t>112LDA</t>
        </is>
      </c>
      <c r="X55" s="0" t="n">
        <v>27</v>
      </c>
      <c r="Y55" s="0" t="n">
        <v>6</v>
      </c>
      <c r="Z55" s="0" t="inlineStr">
        <is>
          <t>https://new.land.naver.com/complexes/138204?tab=detail&amp;rf=Y</t>
        </is>
      </c>
      <c r="AA55" s="0" t="inlineStr">
        <is>
          <t>서울시 강동구 강일동 고덕강일공공주택지구 5블럭</t>
        </is>
      </c>
      <c r="AB55" s="0" t="inlineStr">
        <is>
          <t>서울시</t>
        </is>
      </c>
      <c r="AC55" s="0" t="inlineStr">
        <is>
          <t>강동구</t>
        </is>
      </c>
      <c r="AD55" s="0" t="inlineStr">
        <is>
          <t>강일동</t>
        </is>
      </c>
      <c r="AG55" s="0" t="inlineStr">
        <is>
          <t>서울시 강동구</t>
        </is>
      </c>
      <c r="AH55" s="0" t="n">
        <v>0</v>
      </c>
      <c r="AI55" s="0" t="n">
        <v>0</v>
      </c>
      <c r="AJ55" s="0" t="n">
        <v>0</v>
      </c>
      <c r="AK55" s="0" t="n">
        <v>1063</v>
      </c>
      <c r="AL55" s="0" t="n">
        <v>1.31</v>
      </c>
    </row>
    <row r="56">
      <c r="A56" s="0" t="inlineStr">
        <is>
          <t>[강일동]</t>
        </is>
      </c>
      <c r="B56" s="0" t="n">
        <v>138204</v>
      </c>
      <c r="C56" s="0" t="n">
        <v>11</v>
      </c>
      <c r="D56" s="0" t="inlineStr">
        <is>
          <t>힐스테이트리슈빌강일</t>
        </is>
      </c>
      <c r="E56" s="0" t="inlineStr">
        <is>
          <t>2023.09.</t>
        </is>
      </c>
      <c r="F56" s="0" t="n">
        <v>809</v>
      </c>
      <c r="G56" s="0" t="n">
        <v>34.39</v>
      </c>
      <c r="H56" s="0" t="n">
        <v>113.69</v>
      </c>
      <c r="I56" s="0" t="n">
        <v>25.7</v>
      </c>
      <c r="J56" s="0" t="n">
        <v>84.95999999999999</v>
      </c>
      <c r="K56" s="0" t="n">
        <v>16</v>
      </c>
      <c r="T56" s="0" t="n">
        <v>3</v>
      </c>
      <c r="U56" s="0" t="n">
        <v>2</v>
      </c>
      <c r="V56" s="0" t="inlineStr">
        <is>
          <t>계단식</t>
        </is>
      </c>
      <c r="W56" s="0" t="inlineStr">
        <is>
          <t>113TC</t>
        </is>
      </c>
      <c r="X56" s="0" t="n">
        <v>27</v>
      </c>
      <c r="Y56" s="0" t="n">
        <v>6</v>
      </c>
      <c r="Z56" s="0" t="inlineStr">
        <is>
          <t>https://new.land.naver.com/complexes/138204?tab=detail&amp;rf=Y</t>
        </is>
      </c>
      <c r="AA56" s="0" t="inlineStr">
        <is>
          <t>서울시 강동구 강일동 고덕강일공공주택지구 5블럭</t>
        </is>
      </c>
      <c r="AB56" s="0" t="inlineStr">
        <is>
          <t>서울시</t>
        </is>
      </c>
      <c r="AC56" s="0" t="inlineStr">
        <is>
          <t>강동구</t>
        </is>
      </c>
      <c r="AD56" s="0" t="inlineStr">
        <is>
          <t>강일동</t>
        </is>
      </c>
      <c r="AG56" s="0" t="inlineStr">
        <is>
          <t>서울시 강동구</t>
        </is>
      </c>
      <c r="AH56" s="0" t="n">
        <v>0</v>
      </c>
      <c r="AI56" s="0" t="n">
        <v>0</v>
      </c>
      <c r="AJ56" s="0" t="n">
        <v>0</v>
      </c>
      <c r="AK56" s="0" t="n">
        <v>1063</v>
      </c>
      <c r="AL56" s="0" t="n">
        <v>1.31</v>
      </c>
    </row>
    <row r="57">
      <c r="A57" s="0" t="inlineStr">
        <is>
          <t>[강일동]</t>
        </is>
      </c>
      <c r="B57" s="0" t="n">
        <v>138204</v>
      </c>
      <c r="C57" s="0" t="n">
        <v>12</v>
      </c>
      <c r="D57" s="0" t="inlineStr">
        <is>
          <t>힐스테이트리슈빌강일</t>
        </is>
      </c>
      <c r="E57" s="0" t="inlineStr">
        <is>
          <t>2023.09.</t>
        </is>
      </c>
      <c r="F57" s="0" t="n">
        <v>809</v>
      </c>
      <c r="G57" s="0" t="n">
        <v>39.86</v>
      </c>
      <c r="H57" s="0" t="n">
        <v>131.8</v>
      </c>
      <c r="I57" s="0" t="n">
        <v>30.67</v>
      </c>
      <c r="J57" s="0" t="n">
        <v>101.39</v>
      </c>
      <c r="K57" s="0" t="n">
        <v>82</v>
      </c>
      <c r="T57" s="0" t="n">
        <v>3</v>
      </c>
      <c r="U57" s="0" t="n">
        <v>2</v>
      </c>
      <c r="V57" s="0" t="inlineStr">
        <is>
          <t>계단식</t>
        </is>
      </c>
      <c r="W57" s="0" t="inlineStr">
        <is>
          <t>131TA</t>
        </is>
      </c>
      <c r="X57" s="0" t="n">
        <v>27</v>
      </c>
      <c r="Y57" s="0" t="n">
        <v>6</v>
      </c>
      <c r="Z57" s="0" t="inlineStr">
        <is>
          <t>https://new.land.naver.com/complexes/138204?tab=detail&amp;rf=Y</t>
        </is>
      </c>
      <c r="AA57" s="0" t="inlineStr">
        <is>
          <t>서울시 강동구 강일동 고덕강일공공주택지구 5블럭</t>
        </is>
      </c>
      <c r="AB57" s="0" t="inlineStr">
        <is>
          <t>서울시</t>
        </is>
      </c>
      <c r="AC57" s="0" t="inlineStr">
        <is>
          <t>강동구</t>
        </is>
      </c>
      <c r="AD57" s="0" t="inlineStr">
        <is>
          <t>강일동</t>
        </is>
      </c>
      <c r="AG57" s="0" t="inlineStr">
        <is>
          <t>서울시 강동구</t>
        </is>
      </c>
      <c r="AH57" s="0" t="n">
        <v>0</v>
      </c>
      <c r="AI57" s="0" t="n">
        <v>0</v>
      </c>
      <c r="AJ57" s="0" t="n">
        <v>0</v>
      </c>
      <c r="AK57" s="0" t="n">
        <v>1063</v>
      </c>
      <c r="AL57" s="0" t="n">
        <v>1.31</v>
      </c>
    </row>
    <row r="58">
      <c r="A58" s="0" t="inlineStr">
        <is>
          <t>[강일동]</t>
        </is>
      </c>
      <c r="B58" s="0" t="n">
        <v>138204</v>
      </c>
      <c r="C58" s="0" t="n">
        <v>13</v>
      </c>
      <c r="D58" s="0" t="inlineStr">
        <is>
          <t>힐스테이트리슈빌강일</t>
        </is>
      </c>
      <c r="E58" s="0" t="inlineStr">
        <is>
          <t>2023.09.</t>
        </is>
      </c>
      <c r="F58" s="0" t="n">
        <v>809</v>
      </c>
      <c r="G58" s="0" t="n">
        <v>39.74</v>
      </c>
      <c r="H58" s="0" t="n">
        <v>131.38</v>
      </c>
      <c r="I58" s="0" t="n">
        <v>30.76</v>
      </c>
      <c r="J58" s="0" t="n">
        <v>101.7</v>
      </c>
      <c r="K58" s="0" t="n">
        <v>51</v>
      </c>
      <c r="T58" s="0" t="n">
        <v>3</v>
      </c>
      <c r="U58" s="0" t="n">
        <v>2</v>
      </c>
      <c r="V58" s="0" t="inlineStr">
        <is>
          <t>계단식</t>
        </is>
      </c>
      <c r="W58" s="0" t="inlineStr">
        <is>
          <t>131LA</t>
        </is>
      </c>
      <c r="X58" s="0" t="n">
        <v>27</v>
      </c>
      <c r="Y58" s="0" t="n">
        <v>6</v>
      </c>
      <c r="Z58" s="0" t="inlineStr">
        <is>
          <t>https://new.land.naver.com/complexes/138204?tab=detail&amp;rf=Y</t>
        </is>
      </c>
      <c r="AA58" s="0" t="inlineStr">
        <is>
          <t>서울시 강동구 강일동 고덕강일공공주택지구 5블럭</t>
        </is>
      </c>
      <c r="AB58" s="0" t="inlineStr">
        <is>
          <t>서울시</t>
        </is>
      </c>
      <c r="AC58" s="0" t="inlineStr">
        <is>
          <t>강동구</t>
        </is>
      </c>
      <c r="AD58" s="0" t="inlineStr">
        <is>
          <t>강일동</t>
        </is>
      </c>
      <c r="AG58" s="0" t="inlineStr">
        <is>
          <t>서울시 강동구</t>
        </is>
      </c>
      <c r="AH58" s="0" t="n">
        <v>0</v>
      </c>
      <c r="AI58" s="0" t="n">
        <v>0</v>
      </c>
      <c r="AJ58" s="0" t="n">
        <v>0</v>
      </c>
      <c r="AK58" s="0" t="n">
        <v>1063</v>
      </c>
      <c r="AL58" s="0" t="n">
        <v>1.31</v>
      </c>
    </row>
    <row r="59">
      <c r="A59" s="0" t="inlineStr">
        <is>
          <t>[강일동]</t>
        </is>
      </c>
      <c r="B59" s="0" t="n">
        <v>138204</v>
      </c>
      <c r="C59" s="0" t="n">
        <v>14</v>
      </c>
      <c r="D59" s="0" t="inlineStr">
        <is>
          <t>힐스테이트리슈빌강일</t>
        </is>
      </c>
      <c r="E59" s="0" t="inlineStr">
        <is>
          <t>2023.09.</t>
        </is>
      </c>
      <c r="F59" s="0" t="n">
        <v>809</v>
      </c>
      <c r="G59" s="0" t="n">
        <v>39.74</v>
      </c>
      <c r="H59" s="0" t="n">
        <v>131.38</v>
      </c>
      <c r="I59" s="0" t="n">
        <v>30.76</v>
      </c>
      <c r="J59" s="0" t="n">
        <v>101.7</v>
      </c>
      <c r="K59" s="0" t="n">
        <v>42</v>
      </c>
      <c r="T59" s="0" t="n">
        <v>3</v>
      </c>
      <c r="U59" s="0" t="n">
        <v>2</v>
      </c>
      <c r="V59" s="0" t="inlineStr">
        <is>
          <t>계단식</t>
        </is>
      </c>
      <c r="W59" s="0" t="inlineStr">
        <is>
          <t>131LB</t>
        </is>
      </c>
      <c r="X59" s="0" t="n">
        <v>27</v>
      </c>
      <c r="Y59" s="0" t="n">
        <v>6</v>
      </c>
      <c r="Z59" s="0" t="inlineStr">
        <is>
          <t>https://new.land.naver.com/complexes/138204?tab=detail&amp;rf=Y</t>
        </is>
      </c>
      <c r="AA59" s="0" t="inlineStr">
        <is>
          <t>서울시 강동구 강일동 고덕강일공공주택지구 5블럭</t>
        </is>
      </c>
      <c r="AB59" s="0" t="inlineStr">
        <is>
          <t>서울시</t>
        </is>
      </c>
      <c r="AC59" s="0" t="inlineStr">
        <is>
          <t>강동구</t>
        </is>
      </c>
      <c r="AD59" s="0" t="inlineStr">
        <is>
          <t>강일동</t>
        </is>
      </c>
      <c r="AG59" s="0" t="inlineStr">
        <is>
          <t>서울시 강동구</t>
        </is>
      </c>
      <c r="AH59" s="0" t="n">
        <v>0</v>
      </c>
      <c r="AI59" s="0" t="n">
        <v>0</v>
      </c>
      <c r="AJ59" s="0" t="n">
        <v>0</v>
      </c>
      <c r="AK59" s="0" t="n">
        <v>1063</v>
      </c>
      <c r="AL59" s="0" t="n">
        <v>1.31</v>
      </c>
    </row>
    <row r="60">
      <c r="A60" s="0" t="inlineStr">
        <is>
          <t>[강일동]</t>
        </is>
      </c>
      <c r="B60" s="0" t="n">
        <v>138204</v>
      </c>
      <c r="C60" s="0" t="n">
        <v>15</v>
      </c>
      <c r="D60" s="0" t="inlineStr">
        <is>
          <t>힐스테이트리슈빌강일</t>
        </is>
      </c>
      <c r="E60" s="0" t="inlineStr">
        <is>
          <t>2023.09.</t>
        </is>
      </c>
      <c r="F60" s="0" t="n">
        <v>809</v>
      </c>
      <c r="G60" s="0" t="n">
        <v>40.02</v>
      </c>
      <c r="H60" s="0" t="n">
        <v>132.3</v>
      </c>
      <c r="I60" s="0" t="n">
        <v>30.8</v>
      </c>
      <c r="J60" s="0" t="n">
        <v>101.84</v>
      </c>
      <c r="K60" s="0" t="n">
        <v>72</v>
      </c>
      <c r="T60" s="0" t="n">
        <v>3</v>
      </c>
      <c r="U60" s="0" t="n">
        <v>2</v>
      </c>
      <c r="V60" s="0" t="inlineStr">
        <is>
          <t>계단식</t>
        </is>
      </c>
      <c r="W60" s="0" t="inlineStr">
        <is>
          <t>132TB</t>
        </is>
      </c>
      <c r="X60" s="0" t="n">
        <v>27</v>
      </c>
      <c r="Y60" s="0" t="n">
        <v>6</v>
      </c>
      <c r="Z60" s="0" t="inlineStr">
        <is>
          <t>https://new.land.naver.com/complexes/138204?tab=detail&amp;rf=Y</t>
        </is>
      </c>
      <c r="AA60" s="0" t="inlineStr">
        <is>
          <t>서울시 강동구 강일동 고덕강일공공주택지구 5블럭</t>
        </is>
      </c>
      <c r="AB60" s="0" t="inlineStr">
        <is>
          <t>서울시</t>
        </is>
      </c>
      <c r="AC60" s="0" t="inlineStr">
        <is>
          <t>강동구</t>
        </is>
      </c>
      <c r="AD60" s="0" t="inlineStr">
        <is>
          <t>강일동</t>
        </is>
      </c>
      <c r="AG60" s="0" t="inlineStr">
        <is>
          <t>서울시 강동구</t>
        </is>
      </c>
      <c r="AH60" s="0" t="n">
        <v>0</v>
      </c>
      <c r="AI60" s="0" t="n">
        <v>0</v>
      </c>
      <c r="AJ60" s="0" t="n">
        <v>0</v>
      </c>
      <c r="AK60" s="0" t="n">
        <v>1063</v>
      </c>
      <c r="AL60" s="0" t="n">
        <v>1.31</v>
      </c>
    </row>
    <row r="61">
      <c r="A61" s="0" t="inlineStr">
        <is>
          <t>[강일동]</t>
        </is>
      </c>
      <c r="B61" s="0" t="n">
        <v>27481</v>
      </c>
      <c r="C61" s="0" t="n">
        <v>1</v>
      </c>
      <c r="D61" s="0" t="inlineStr">
        <is>
          <t>강일리버파크9단지</t>
        </is>
      </c>
      <c r="E61" s="0" t="inlineStr">
        <is>
          <t>2009.04.</t>
        </is>
      </c>
      <c r="F61" s="0" t="n">
        <v>841</v>
      </c>
      <c r="G61" s="0" t="n">
        <v>33.52</v>
      </c>
      <c r="H61" s="0" t="n">
        <v>110.83</v>
      </c>
      <c r="I61" s="0" t="n">
        <v>25.63</v>
      </c>
      <c r="J61" s="0" t="n">
        <v>84.73999999999999</v>
      </c>
      <c r="K61" s="0" t="n">
        <v>52</v>
      </c>
      <c r="T61" s="0" t="n">
        <v>3</v>
      </c>
      <c r="U61" s="0" t="n">
        <v>2</v>
      </c>
      <c r="V61" s="0" t="inlineStr">
        <is>
          <t>계단식</t>
        </is>
      </c>
      <c r="W61" s="0" t="inlineStr">
        <is>
          <t>110C</t>
        </is>
      </c>
      <c r="X61" s="0" t="n">
        <v>15</v>
      </c>
      <c r="Y61" s="0" t="n">
        <v>12</v>
      </c>
      <c r="Z61" s="0" t="inlineStr">
        <is>
          <t>https://new.land.naver.com/complexes/27481?tab=detail&amp;rf=Y</t>
        </is>
      </c>
      <c r="AA61" s="0" t="inlineStr">
        <is>
          <t>서울시 강동구 강일동 699</t>
        </is>
      </c>
      <c r="AB61" s="0" t="inlineStr">
        <is>
          <t>서울시</t>
        </is>
      </c>
      <c r="AC61" s="0" t="inlineStr">
        <is>
          <t>강동구</t>
        </is>
      </c>
      <c r="AD61" s="0" t="inlineStr">
        <is>
          <t>강일동</t>
        </is>
      </c>
      <c r="AG61" s="0" t="inlineStr">
        <is>
          <t>서울시 강동구 고덕로97길 29</t>
        </is>
      </c>
      <c r="AH61" s="0" t="n">
        <v>737</v>
      </c>
      <c r="AI61" s="0" t="n">
        <v>163</v>
      </c>
      <c r="AJ61" s="0" t="n">
        <v>15</v>
      </c>
      <c r="AK61" s="0" t="n">
        <v>980</v>
      </c>
      <c r="AL61" s="0" t="n">
        <v>1.17</v>
      </c>
    </row>
    <row r="62">
      <c r="A62" s="0" t="inlineStr">
        <is>
          <t>[강일동]</t>
        </is>
      </c>
      <c r="B62" s="0" t="n">
        <v>27481</v>
      </c>
      <c r="C62" s="0" t="n">
        <v>2</v>
      </c>
      <c r="D62" s="0" t="inlineStr">
        <is>
          <t>강일리버파크9단지</t>
        </is>
      </c>
      <c r="E62" s="0" t="inlineStr">
        <is>
          <t>2009.04.</t>
        </is>
      </c>
      <c r="F62" s="0" t="n">
        <v>841</v>
      </c>
      <c r="G62" s="0" t="n">
        <v>33.61</v>
      </c>
      <c r="H62" s="0" t="n">
        <v>111.11</v>
      </c>
      <c r="I62" s="0" t="n">
        <v>25.57</v>
      </c>
      <c r="J62" s="0" t="n">
        <v>84.53</v>
      </c>
      <c r="K62" s="0" t="n">
        <v>52</v>
      </c>
      <c r="T62" s="0" t="n">
        <v>3</v>
      </c>
      <c r="U62" s="0" t="n">
        <v>2</v>
      </c>
      <c r="V62" s="0" t="inlineStr">
        <is>
          <t>계단식</t>
        </is>
      </c>
      <c r="W62" s="0" t="inlineStr">
        <is>
          <t>111B</t>
        </is>
      </c>
      <c r="X62" s="0" t="n">
        <v>15</v>
      </c>
      <c r="Y62" s="0" t="n">
        <v>12</v>
      </c>
      <c r="Z62" s="0" t="inlineStr">
        <is>
          <t>https://new.land.naver.com/complexes/27481?tab=detail&amp;rf=Y</t>
        </is>
      </c>
      <c r="AA62" s="0" t="inlineStr">
        <is>
          <t>서울시 강동구 강일동 699</t>
        </is>
      </c>
      <c r="AB62" s="0" t="inlineStr">
        <is>
          <t>서울시</t>
        </is>
      </c>
      <c r="AC62" s="0" t="inlineStr">
        <is>
          <t>강동구</t>
        </is>
      </c>
      <c r="AD62" s="0" t="inlineStr">
        <is>
          <t>강일동</t>
        </is>
      </c>
      <c r="AG62" s="0" t="inlineStr">
        <is>
          <t>서울시 강동구 고덕로97길 29</t>
        </is>
      </c>
      <c r="AH62" s="0" t="n">
        <v>737</v>
      </c>
      <c r="AI62" s="0" t="n">
        <v>163</v>
      </c>
      <c r="AJ62" s="0" t="n">
        <v>15</v>
      </c>
      <c r="AK62" s="0" t="n">
        <v>980</v>
      </c>
      <c r="AL62" s="0" t="n">
        <v>1.17</v>
      </c>
    </row>
    <row r="63">
      <c r="A63" s="0" t="inlineStr">
        <is>
          <t>[강일동]</t>
        </is>
      </c>
      <c r="B63" s="0" t="n">
        <v>102233</v>
      </c>
      <c r="C63" s="0" t="n">
        <v>1</v>
      </c>
      <c r="D63" s="0" t="inlineStr">
        <is>
          <t>고덕리엔파크1단지</t>
        </is>
      </c>
      <c r="E63" s="0" t="inlineStr">
        <is>
          <t>2011.01.</t>
        </is>
      </c>
      <c r="F63" s="0" t="n">
        <v>605</v>
      </c>
      <c r="G63" s="0" t="n">
        <v>24.25</v>
      </c>
      <c r="H63" s="0" t="n">
        <v>80.19</v>
      </c>
      <c r="I63" s="0" t="n">
        <v>18.09</v>
      </c>
      <c r="J63" s="0" t="n">
        <v>59.83</v>
      </c>
      <c r="K63" s="0" t="n">
        <v>9</v>
      </c>
      <c r="T63" s="0" t="n">
        <v>3</v>
      </c>
      <c r="U63" s="0" t="n">
        <v>2</v>
      </c>
      <c r="V63" s="0" t="inlineStr">
        <is>
          <t>계단식</t>
        </is>
      </c>
      <c r="W63" s="0" t="inlineStr">
        <is>
          <t>80A2</t>
        </is>
      </c>
      <c r="X63" s="0" t="n">
        <v>15</v>
      </c>
      <c r="Y63" s="0" t="n">
        <v>8</v>
      </c>
      <c r="Z63" s="0" t="inlineStr">
        <is>
          <t>https://new.land.naver.com/complexes/102233?tab=detail&amp;rf=Y</t>
        </is>
      </c>
      <c r="AA63" s="0" t="inlineStr">
        <is>
          <t>서울시 강동구 강일동 707</t>
        </is>
      </c>
      <c r="AB63" s="0" t="inlineStr">
        <is>
          <t>서울시</t>
        </is>
      </c>
      <c r="AC63" s="0" t="inlineStr">
        <is>
          <t>강동구</t>
        </is>
      </c>
      <c r="AD63" s="0" t="inlineStr">
        <is>
          <t>강일동</t>
        </is>
      </c>
      <c r="AG63" s="0" t="inlineStr">
        <is>
          <t>서울시 강동구 상일로 152</t>
        </is>
      </c>
      <c r="AH63" s="0" t="n">
        <v>459</v>
      </c>
      <c r="AI63" s="0" t="n">
        <v>196</v>
      </c>
      <c r="AJ63" s="0" t="n">
        <v>23</v>
      </c>
      <c r="AK63" s="0" t="n">
        <v>693</v>
      </c>
      <c r="AL63" s="0" t="n">
        <v>1.15</v>
      </c>
    </row>
    <row r="64">
      <c r="A64" s="0" t="inlineStr">
        <is>
          <t>[강일동]</t>
        </is>
      </c>
      <c r="B64" s="0" t="n">
        <v>102233</v>
      </c>
      <c r="C64" s="0" t="n">
        <v>2</v>
      </c>
      <c r="D64" s="0" t="inlineStr">
        <is>
          <t>고덕리엔파크1단지</t>
        </is>
      </c>
      <c r="E64" s="0" t="inlineStr">
        <is>
          <t>2011.01.</t>
        </is>
      </c>
      <c r="F64" s="0" t="n">
        <v>605</v>
      </c>
      <c r="G64" s="0" t="n">
        <v>24.25</v>
      </c>
      <c r="H64" s="0" t="n">
        <v>80.19</v>
      </c>
      <c r="I64" s="0" t="n">
        <v>18.09</v>
      </c>
      <c r="J64" s="0" t="n">
        <v>59.83</v>
      </c>
      <c r="K64" s="0" t="n">
        <v>2</v>
      </c>
      <c r="T64" s="0" t="n">
        <v>3</v>
      </c>
      <c r="U64" s="0" t="n">
        <v>2</v>
      </c>
      <c r="V64" s="0" t="inlineStr">
        <is>
          <t>계단식</t>
        </is>
      </c>
      <c r="W64" s="0" t="inlineStr">
        <is>
          <t>80A</t>
        </is>
      </c>
      <c r="X64" s="0" t="n">
        <v>15</v>
      </c>
      <c r="Y64" s="0" t="n">
        <v>8</v>
      </c>
      <c r="Z64" s="0" t="inlineStr">
        <is>
          <t>https://new.land.naver.com/complexes/102233?tab=detail&amp;rf=Y</t>
        </is>
      </c>
      <c r="AA64" s="0" t="inlineStr">
        <is>
          <t>서울시 강동구 강일동 707</t>
        </is>
      </c>
      <c r="AB64" s="0" t="inlineStr">
        <is>
          <t>서울시</t>
        </is>
      </c>
      <c r="AC64" s="0" t="inlineStr">
        <is>
          <t>강동구</t>
        </is>
      </c>
      <c r="AD64" s="0" t="inlineStr">
        <is>
          <t>강일동</t>
        </is>
      </c>
      <c r="AG64" s="0" t="inlineStr">
        <is>
          <t>서울시 강동구 상일로 152</t>
        </is>
      </c>
      <c r="AH64" s="0" t="n">
        <v>459</v>
      </c>
      <c r="AI64" s="0" t="n">
        <v>196</v>
      </c>
      <c r="AJ64" s="0" t="n">
        <v>23</v>
      </c>
      <c r="AK64" s="0" t="n">
        <v>693</v>
      </c>
      <c r="AL64" s="0" t="n">
        <v>1.15</v>
      </c>
    </row>
    <row r="65">
      <c r="A65" s="0" t="inlineStr">
        <is>
          <t>[강일동]</t>
        </is>
      </c>
      <c r="B65" s="0" t="n">
        <v>102233</v>
      </c>
      <c r="C65" s="0" t="n">
        <v>3</v>
      </c>
      <c r="D65" s="0" t="inlineStr">
        <is>
          <t>고덕리엔파크1단지</t>
        </is>
      </c>
      <c r="E65" s="0" t="inlineStr">
        <is>
          <t>2011.01.</t>
        </is>
      </c>
      <c r="F65" s="0" t="n">
        <v>605</v>
      </c>
      <c r="G65" s="0" t="n">
        <v>24.24</v>
      </c>
      <c r="H65" s="0" t="n">
        <v>80.15000000000001</v>
      </c>
      <c r="I65" s="0" t="n">
        <v>18.06</v>
      </c>
      <c r="J65" s="0" t="n">
        <v>59.72</v>
      </c>
      <c r="K65" s="0" t="n">
        <v>2</v>
      </c>
      <c r="T65" s="0" t="n">
        <v>3</v>
      </c>
      <c r="U65" s="0" t="n">
        <v>2</v>
      </c>
      <c r="V65" s="0" t="inlineStr">
        <is>
          <t>계단식</t>
        </is>
      </c>
      <c r="W65" s="0" t="inlineStr">
        <is>
          <t>80B</t>
        </is>
      </c>
      <c r="X65" s="0" t="n">
        <v>15</v>
      </c>
      <c r="Y65" s="0" t="n">
        <v>8</v>
      </c>
      <c r="Z65" s="0" t="inlineStr">
        <is>
          <t>https://new.land.naver.com/complexes/102233?tab=detail&amp;rf=Y</t>
        </is>
      </c>
      <c r="AA65" s="0" t="inlineStr">
        <is>
          <t>서울시 강동구 강일동 707</t>
        </is>
      </c>
      <c r="AB65" s="0" t="inlineStr">
        <is>
          <t>서울시</t>
        </is>
      </c>
      <c r="AC65" s="0" t="inlineStr">
        <is>
          <t>강동구</t>
        </is>
      </c>
      <c r="AD65" s="0" t="inlineStr">
        <is>
          <t>강일동</t>
        </is>
      </c>
      <c r="AG65" s="0" t="inlineStr">
        <is>
          <t>서울시 강동구 상일로 152</t>
        </is>
      </c>
      <c r="AH65" s="0" t="n">
        <v>459</v>
      </c>
      <c r="AI65" s="0" t="n">
        <v>196</v>
      </c>
      <c r="AJ65" s="0" t="n">
        <v>23</v>
      </c>
      <c r="AK65" s="0" t="n">
        <v>693</v>
      </c>
      <c r="AL65" s="0" t="n">
        <v>1.15</v>
      </c>
    </row>
    <row r="66">
      <c r="A66" s="0" t="inlineStr">
        <is>
          <t>[강일동]</t>
        </is>
      </c>
      <c r="B66" s="0" t="n">
        <v>102233</v>
      </c>
      <c r="C66" s="0" t="n">
        <v>4</v>
      </c>
      <c r="D66" s="0" t="inlineStr">
        <is>
          <t>고덕리엔파크1단지</t>
        </is>
      </c>
      <c r="E66" s="0" t="inlineStr">
        <is>
          <t>2011.01.</t>
        </is>
      </c>
      <c r="F66" s="0" t="n">
        <v>605</v>
      </c>
      <c r="G66" s="0" t="n">
        <v>34.12</v>
      </c>
      <c r="H66" s="0" t="n">
        <v>112.82</v>
      </c>
      <c r="I66" s="0" t="n">
        <v>25.7</v>
      </c>
      <c r="J66" s="0" t="n">
        <v>84.98</v>
      </c>
      <c r="K66" s="0" t="n">
        <v>30</v>
      </c>
      <c r="T66" s="0" t="n">
        <v>3</v>
      </c>
      <c r="U66" s="0" t="n">
        <v>2</v>
      </c>
      <c r="V66" s="0" t="inlineStr">
        <is>
          <t>계단식</t>
        </is>
      </c>
      <c r="W66" s="0" t="inlineStr">
        <is>
          <t>112D</t>
        </is>
      </c>
      <c r="X66" s="0" t="n">
        <v>15</v>
      </c>
      <c r="Y66" s="0" t="n">
        <v>8</v>
      </c>
      <c r="Z66" s="0" t="inlineStr">
        <is>
          <t>https://new.land.naver.com/complexes/102233?tab=detail&amp;rf=Y</t>
        </is>
      </c>
      <c r="AA66" s="0" t="inlineStr">
        <is>
          <t>서울시 강동구 강일동 707</t>
        </is>
      </c>
      <c r="AB66" s="0" t="inlineStr">
        <is>
          <t>서울시</t>
        </is>
      </c>
      <c r="AC66" s="0" t="inlineStr">
        <is>
          <t>강동구</t>
        </is>
      </c>
      <c r="AD66" s="0" t="inlineStr">
        <is>
          <t>강일동</t>
        </is>
      </c>
      <c r="AG66" s="0" t="inlineStr">
        <is>
          <t>서울시 강동구 상일로 152</t>
        </is>
      </c>
      <c r="AH66" s="0" t="n">
        <v>459</v>
      </c>
      <c r="AI66" s="0" t="n">
        <v>196</v>
      </c>
      <c r="AJ66" s="0" t="n">
        <v>23</v>
      </c>
      <c r="AK66" s="0" t="n">
        <v>693</v>
      </c>
      <c r="AL66" s="0" t="n">
        <v>1.15</v>
      </c>
    </row>
    <row r="67">
      <c r="A67" s="0" t="inlineStr">
        <is>
          <t>[강일동]</t>
        </is>
      </c>
      <c r="B67" s="0" t="n">
        <v>102233</v>
      </c>
      <c r="C67" s="0" t="n">
        <v>5</v>
      </c>
      <c r="D67" s="0" t="inlineStr">
        <is>
          <t>고덕리엔파크1단지</t>
        </is>
      </c>
      <c r="E67" s="0" t="inlineStr">
        <is>
          <t>2011.01.</t>
        </is>
      </c>
      <c r="F67" s="0" t="n">
        <v>605</v>
      </c>
      <c r="G67" s="0" t="n">
        <v>34.2</v>
      </c>
      <c r="H67" s="0" t="n">
        <v>113.09</v>
      </c>
      <c r="I67" s="0" t="n">
        <v>25.67</v>
      </c>
      <c r="J67" s="0" t="n">
        <v>84.87</v>
      </c>
      <c r="K67" s="0" t="n">
        <v>30</v>
      </c>
      <c r="T67" s="0" t="n">
        <v>3</v>
      </c>
      <c r="U67" s="0" t="n">
        <v>2</v>
      </c>
      <c r="V67" s="0" t="inlineStr">
        <is>
          <t>계단식</t>
        </is>
      </c>
      <c r="W67" s="0" t="inlineStr">
        <is>
          <t>113B</t>
        </is>
      </c>
      <c r="X67" s="0" t="n">
        <v>15</v>
      </c>
      <c r="Y67" s="0" t="n">
        <v>8</v>
      </c>
      <c r="Z67" s="0" t="inlineStr">
        <is>
          <t>https://new.land.naver.com/complexes/102233?tab=detail&amp;rf=Y</t>
        </is>
      </c>
      <c r="AA67" s="0" t="inlineStr">
        <is>
          <t>서울시 강동구 강일동 707</t>
        </is>
      </c>
      <c r="AB67" s="0" t="inlineStr">
        <is>
          <t>서울시</t>
        </is>
      </c>
      <c r="AC67" s="0" t="inlineStr">
        <is>
          <t>강동구</t>
        </is>
      </c>
      <c r="AD67" s="0" t="inlineStr">
        <is>
          <t>강일동</t>
        </is>
      </c>
      <c r="AG67" s="0" t="inlineStr">
        <is>
          <t>서울시 강동구 상일로 152</t>
        </is>
      </c>
      <c r="AH67" s="0" t="n">
        <v>459</v>
      </c>
      <c r="AI67" s="0" t="n">
        <v>196</v>
      </c>
      <c r="AJ67" s="0" t="n">
        <v>23</v>
      </c>
      <c r="AK67" s="0" t="n">
        <v>693</v>
      </c>
      <c r="AL67" s="0" t="n">
        <v>1.15</v>
      </c>
    </row>
    <row r="68">
      <c r="A68" s="0" t="inlineStr">
        <is>
          <t>[강일동]</t>
        </is>
      </c>
      <c r="B68" s="0" t="n">
        <v>102233</v>
      </c>
      <c r="C68" s="0" t="n">
        <v>6</v>
      </c>
      <c r="D68" s="0" t="inlineStr">
        <is>
          <t>고덕리엔파크1단지</t>
        </is>
      </c>
      <c r="E68" s="0" t="inlineStr">
        <is>
          <t>2011.01.</t>
        </is>
      </c>
      <c r="F68" s="0" t="n">
        <v>605</v>
      </c>
      <c r="G68" s="0" t="n">
        <v>34.43</v>
      </c>
      <c r="H68" s="0" t="n">
        <v>113.83</v>
      </c>
      <c r="I68" s="0" t="n">
        <v>25.66</v>
      </c>
      <c r="J68" s="0" t="n">
        <v>84.83</v>
      </c>
      <c r="K68" s="0" t="n">
        <v>30</v>
      </c>
      <c r="T68" s="0" t="n">
        <v>3</v>
      </c>
      <c r="U68" s="0" t="n">
        <v>2</v>
      </c>
      <c r="V68" s="0" t="inlineStr">
        <is>
          <t>계단식</t>
        </is>
      </c>
      <c r="W68" s="0" t="inlineStr">
        <is>
          <t>113C</t>
        </is>
      </c>
      <c r="X68" s="0" t="n">
        <v>15</v>
      </c>
      <c r="Y68" s="0" t="n">
        <v>8</v>
      </c>
      <c r="Z68" s="0" t="inlineStr">
        <is>
          <t>https://new.land.naver.com/complexes/102233?tab=detail&amp;rf=Y</t>
        </is>
      </c>
      <c r="AA68" s="0" t="inlineStr">
        <is>
          <t>서울시 강동구 강일동 707</t>
        </is>
      </c>
      <c r="AB68" s="0" t="inlineStr">
        <is>
          <t>서울시</t>
        </is>
      </c>
      <c r="AC68" s="0" t="inlineStr">
        <is>
          <t>강동구</t>
        </is>
      </c>
      <c r="AD68" s="0" t="inlineStr">
        <is>
          <t>강일동</t>
        </is>
      </c>
      <c r="AG68" s="0" t="inlineStr">
        <is>
          <t>서울시 강동구 상일로 152</t>
        </is>
      </c>
      <c r="AH68" s="0" t="n">
        <v>459</v>
      </c>
      <c r="AI68" s="0" t="n">
        <v>196</v>
      </c>
      <c r="AJ68" s="0" t="n">
        <v>23</v>
      </c>
      <c r="AK68" s="0" t="n">
        <v>693</v>
      </c>
      <c r="AL68" s="0" t="n">
        <v>1.15</v>
      </c>
    </row>
    <row r="69">
      <c r="A69" s="0" t="inlineStr">
        <is>
          <t>[강일동]</t>
        </is>
      </c>
      <c r="B69" s="0" t="n">
        <v>102233</v>
      </c>
      <c r="C69" s="0" t="n">
        <v>7</v>
      </c>
      <c r="D69" s="0" t="inlineStr">
        <is>
          <t>고덕리엔파크1단지</t>
        </is>
      </c>
      <c r="E69" s="0" t="inlineStr">
        <is>
          <t>2011.01.</t>
        </is>
      </c>
      <c r="F69" s="0" t="n">
        <v>605</v>
      </c>
      <c r="G69" s="0" t="n">
        <v>45.98</v>
      </c>
      <c r="H69" s="0" t="n">
        <v>152.01</v>
      </c>
      <c r="I69" s="0" t="n">
        <v>34.77</v>
      </c>
      <c r="J69" s="0" t="n">
        <v>114.97</v>
      </c>
      <c r="K69" s="0" t="n">
        <v>28</v>
      </c>
      <c r="T69" s="0" t="n">
        <v>4</v>
      </c>
      <c r="U69" s="0" t="n">
        <v>2</v>
      </c>
      <c r="V69" s="0" t="inlineStr">
        <is>
          <t>계단식</t>
        </is>
      </c>
      <c r="W69" s="0" t="inlineStr">
        <is>
          <t>152C</t>
        </is>
      </c>
      <c r="X69" s="0" t="n">
        <v>15</v>
      </c>
      <c r="Y69" s="0" t="n">
        <v>8</v>
      </c>
      <c r="Z69" s="0" t="inlineStr">
        <is>
          <t>https://new.land.naver.com/complexes/102233?tab=detail&amp;rf=Y</t>
        </is>
      </c>
      <c r="AA69" s="0" t="inlineStr">
        <is>
          <t>서울시 강동구 강일동 707</t>
        </is>
      </c>
      <c r="AB69" s="0" t="inlineStr">
        <is>
          <t>서울시</t>
        </is>
      </c>
      <c r="AC69" s="0" t="inlineStr">
        <is>
          <t>강동구</t>
        </is>
      </c>
      <c r="AD69" s="0" t="inlineStr">
        <is>
          <t>강일동</t>
        </is>
      </c>
      <c r="AG69" s="0" t="inlineStr">
        <is>
          <t>서울시 강동구 상일로 152</t>
        </is>
      </c>
      <c r="AH69" s="0" t="n">
        <v>459</v>
      </c>
      <c r="AI69" s="0" t="n">
        <v>196</v>
      </c>
      <c r="AJ69" s="0" t="n">
        <v>23</v>
      </c>
      <c r="AK69" s="0" t="n">
        <v>693</v>
      </c>
      <c r="AL69" s="0" t="n">
        <v>1.15</v>
      </c>
    </row>
    <row r="70">
      <c r="A70" s="0" t="inlineStr">
        <is>
          <t>[강일동]</t>
        </is>
      </c>
      <c r="B70" s="0" t="n">
        <v>102233</v>
      </c>
      <c r="C70" s="0" t="n">
        <v>8</v>
      </c>
      <c r="D70" s="0" t="inlineStr">
        <is>
          <t>고덕리엔파크1단지</t>
        </is>
      </c>
      <c r="E70" s="0" t="inlineStr">
        <is>
          <t>2011.01.</t>
        </is>
      </c>
      <c r="F70" s="0" t="n">
        <v>605</v>
      </c>
      <c r="G70" s="0" t="n">
        <v>46.16</v>
      </c>
      <c r="H70" s="0" t="n">
        <v>152.6</v>
      </c>
      <c r="I70" s="0" t="n">
        <v>34.78</v>
      </c>
      <c r="J70" s="0" t="n">
        <v>114.98</v>
      </c>
      <c r="K70" s="0" t="n">
        <v>15</v>
      </c>
      <c r="T70" s="0" t="n">
        <v>4</v>
      </c>
      <c r="U70" s="0" t="n">
        <v>2</v>
      </c>
      <c r="V70" s="0" t="inlineStr">
        <is>
          <t>계단식</t>
        </is>
      </c>
      <c r="W70" s="0" t="inlineStr">
        <is>
          <t>152D</t>
        </is>
      </c>
      <c r="X70" s="0" t="n">
        <v>15</v>
      </c>
      <c r="Y70" s="0" t="n">
        <v>8</v>
      </c>
      <c r="Z70" s="0" t="inlineStr">
        <is>
          <t>https://new.land.naver.com/complexes/102233?tab=detail&amp;rf=Y</t>
        </is>
      </c>
      <c r="AA70" s="0" t="inlineStr">
        <is>
          <t>서울시 강동구 강일동 707</t>
        </is>
      </c>
      <c r="AB70" s="0" t="inlineStr">
        <is>
          <t>서울시</t>
        </is>
      </c>
      <c r="AC70" s="0" t="inlineStr">
        <is>
          <t>강동구</t>
        </is>
      </c>
      <c r="AD70" s="0" t="inlineStr">
        <is>
          <t>강일동</t>
        </is>
      </c>
      <c r="AG70" s="0" t="inlineStr">
        <is>
          <t>서울시 강동구 상일로 152</t>
        </is>
      </c>
      <c r="AH70" s="0" t="n">
        <v>459</v>
      </c>
      <c r="AI70" s="0" t="n">
        <v>196</v>
      </c>
      <c r="AJ70" s="0" t="n">
        <v>23</v>
      </c>
      <c r="AK70" s="0" t="n">
        <v>693</v>
      </c>
      <c r="AL70" s="0" t="n">
        <v>1.15</v>
      </c>
    </row>
    <row r="71">
      <c r="A71" s="0" t="inlineStr">
        <is>
          <t>[강일동]</t>
        </is>
      </c>
      <c r="B71" s="0" t="n">
        <v>27475</v>
      </c>
      <c r="C71" s="0" t="n">
        <v>1</v>
      </c>
      <c r="D71" s="0" t="inlineStr">
        <is>
          <t>강일리버파크2단지</t>
        </is>
      </c>
      <c r="E71" s="0" t="inlineStr">
        <is>
          <t>2009.03.</t>
        </is>
      </c>
      <c r="F71" s="0" t="n">
        <v>442</v>
      </c>
      <c r="G71" s="0" t="n">
        <v>33.49</v>
      </c>
      <c r="H71" s="0" t="n">
        <v>110.74</v>
      </c>
      <c r="I71" s="0" t="n">
        <v>25.63</v>
      </c>
      <c r="J71" s="0" t="n">
        <v>84.73999999999999</v>
      </c>
      <c r="K71" s="0" t="n">
        <v>66</v>
      </c>
      <c r="T71" s="0" t="n">
        <v>3</v>
      </c>
      <c r="U71" s="0" t="n">
        <v>2</v>
      </c>
      <c r="V71" s="0" t="inlineStr">
        <is>
          <t>계단식</t>
        </is>
      </c>
      <c r="W71" s="0" t="inlineStr">
        <is>
          <t>110C</t>
        </is>
      </c>
      <c r="X71" s="0" t="n">
        <v>14</v>
      </c>
      <c r="Y71" s="0" t="n">
        <v>11</v>
      </c>
      <c r="Z71" s="0" t="inlineStr">
        <is>
          <t>https://new.land.naver.com/complexes/27475?tab=detail&amp;rf=Y</t>
        </is>
      </c>
      <c r="AA71" s="0" t="inlineStr">
        <is>
          <t>서울시 강동구 강일동 668</t>
        </is>
      </c>
      <c r="AB71" s="0" t="inlineStr">
        <is>
          <t>서울시</t>
        </is>
      </c>
      <c r="AC71" s="0" t="inlineStr">
        <is>
          <t>강동구</t>
        </is>
      </c>
      <c r="AD71" s="0" t="inlineStr">
        <is>
          <t>강일동</t>
        </is>
      </c>
      <c r="AG71" s="0" t="inlineStr">
        <is>
          <t>서울시 강동구</t>
        </is>
      </c>
      <c r="AH71" s="0" t="n">
        <v>268</v>
      </c>
      <c r="AI71" s="0" t="n">
        <v>152</v>
      </c>
      <c r="AJ71" s="0" t="n">
        <v>16</v>
      </c>
      <c r="AK71" s="0" t="n">
        <v>571</v>
      </c>
      <c r="AL71" s="0" t="n">
        <v>1.29</v>
      </c>
    </row>
    <row r="72">
      <c r="A72" s="0" t="inlineStr">
        <is>
          <t>[강일동]</t>
        </is>
      </c>
      <c r="B72" s="0" t="n">
        <v>27475</v>
      </c>
      <c r="C72" s="0" t="n">
        <v>2</v>
      </c>
      <c r="D72" s="0" t="inlineStr">
        <is>
          <t>강일리버파크2단지</t>
        </is>
      </c>
      <c r="E72" s="0" t="inlineStr">
        <is>
          <t>2009.03.</t>
        </is>
      </c>
      <c r="F72" s="0" t="n">
        <v>442</v>
      </c>
      <c r="G72" s="0" t="n">
        <v>33.28</v>
      </c>
      <c r="H72" s="0" t="n">
        <v>110.04</v>
      </c>
      <c r="I72" s="0" t="n">
        <v>25.66</v>
      </c>
      <c r="J72" s="0" t="n">
        <v>84.83</v>
      </c>
      <c r="K72" s="0" t="n">
        <v>44</v>
      </c>
      <c r="T72" s="0" t="n">
        <v>3</v>
      </c>
      <c r="U72" s="0" t="n">
        <v>2</v>
      </c>
      <c r="V72" s="0" t="inlineStr">
        <is>
          <t>계단식</t>
        </is>
      </c>
      <c r="W72" s="0" t="inlineStr">
        <is>
          <t>110A</t>
        </is>
      </c>
      <c r="X72" s="0" t="n">
        <v>14</v>
      </c>
      <c r="Y72" s="0" t="n">
        <v>11</v>
      </c>
      <c r="Z72" s="0" t="inlineStr">
        <is>
          <t>https://new.land.naver.com/complexes/27475?tab=detail&amp;rf=Y</t>
        </is>
      </c>
      <c r="AA72" s="0" t="inlineStr">
        <is>
          <t>서울시 강동구 강일동 668</t>
        </is>
      </c>
      <c r="AB72" s="0" t="inlineStr">
        <is>
          <t>서울시</t>
        </is>
      </c>
      <c r="AC72" s="0" t="inlineStr">
        <is>
          <t>강동구</t>
        </is>
      </c>
      <c r="AD72" s="0" t="inlineStr">
        <is>
          <t>강일동</t>
        </is>
      </c>
      <c r="AG72" s="0" t="inlineStr">
        <is>
          <t>서울시 강동구</t>
        </is>
      </c>
      <c r="AH72" s="0" t="n">
        <v>268</v>
      </c>
      <c r="AI72" s="0" t="n">
        <v>152</v>
      </c>
      <c r="AJ72" s="0" t="n">
        <v>16</v>
      </c>
      <c r="AK72" s="0" t="n">
        <v>571</v>
      </c>
      <c r="AL72" s="0" t="n">
        <v>1.29</v>
      </c>
    </row>
    <row r="73">
      <c r="A73" s="0" t="inlineStr">
        <is>
          <t>[강일동]</t>
        </is>
      </c>
      <c r="B73" s="0" t="n">
        <v>27475</v>
      </c>
      <c r="C73" s="0" t="n">
        <v>3</v>
      </c>
      <c r="D73" s="0" t="inlineStr">
        <is>
          <t>강일리버파크2단지</t>
        </is>
      </c>
      <c r="E73" s="0" t="inlineStr">
        <is>
          <t>2009.03.</t>
        </is>
      </c>
      <c r="F73" s="0" t="n">
        <v>442</v>
      </c>
      <c r="G73" s="0" t="n">
        <v>33.59</v>
      </c>
      <c r="H73" s="0" t="n">
        <v>111.05</v>
      </c>
      <c r="I73" s="0" t="n">
        <v>25.57</v>
      </c>
      <c r="J73" s="0" t="n">
        <v>84.53</v>
      </c>
      <c r="K73" s="0" t="n">
        <v>64</v>
      </c>
      <c r="T73" s="0" t="n">
        <v>3</v>
      </c>
      <c r="U73" s="0" t="n">
        <v>2</v>
      </c>
      <c r="V73" s="0" t="inlineStr">
        <is>
          <t>계단식</t>
        </is>
      </c>
      <c r="W73" s="0" t="inlineStr">
        <is>
          <t>111B</t>
        </is>
      </c>
      <c r="X73" s="0" t="n">
        <v>14</v>
      </c>
      <c r="Y73" s="0" t="n">
        <v>11</v>
      </c>
      <c r="Z73" s="0" t="inlineStr">
        <is>
          <t>https://new.land.naver.com/complexes/27475?tab=detail&amp;rf=Y</t>
        </is>
      </c>
      <c r="AA73" s="0" t="inlineStr">
        <is>
          <t>서울시 강동구 강일동 668</t>
        </is>
      </c>
      <c r="AB73" s="0" t="inlineStr">
        <is>
          <t>서울시</t>
        </is>
      </c>
      <c r="AC73" s="0" t="inlineStr">
        <is>
          <t>강동구</t>
        </is>
      </c>
      <c r="AD73" s="0" t="inlineStr">
        <is>
          <t>강일동</t>
        </is>
      </c>
      <c r="AG73" s="0" t="inlineStr">
        <is>
          <t>서울시 강동구</t>
        </is>
      </c>
      <c r="AH73" s="0" t="n">
        <v>268</v>
      </c>
      <c r="AI73" s="0" t="n">
        <v>152</v>
      </c>
      <c r="AJ73" s="0" t="n">
        <v>16</v>
      </c>
      <c r="AK73" s="0" t="n">
        <v>571</v>
      </c>
      <c r="AL73" s="0" t="n">
        <v>1.29</v>
      </c>
    </row>
    <row r="74">
      <c r="A74" s="0" t="inlineStr">
        <is>
          <t>[고덕동]</t>
        </is>
      </c>
      <c r="B74" s="0" t="n">
        <v>140148</v>
      </c>
      <c r="C74" s="0" t="n">
        <v>1</v>
      </c>
      <c r="D74" s="0" t="inlineStr">
        <is>
          <t>고덕강일제일풍경채</t>
        </is>
      </c>
      <c r="E74" s="0" t="inlineStr">
        <is>
          <t>2024.01.</t>
        </is>
      </c>
      <c r="F74" s="0" t="n">
        <v>780</v>
      </c>
      <c r="G74" s="0" t="n">
        <v>35.05</v>
      </c>
      <c r="H74" s="0" t="n">
        <v>115.87</v>
      </c>
      <c r="I74" s="0" t="n">
        <v>25.41</v>
      </c>
      <c r="J74" s="0" t="n">
        <v>84.03</v>
      </c>
      <c r="K74" s="0" t="n">
        <v>100</v>
      </c>
      <c r="T74" s="0" t="n">
        <v>3</v>
      </c>
      <c r="U74" s="0" t="n">
        <v>2</v>
      </c>
      <c r="V74" s="0" t="inlineStr">
        <is>
          <t>계단식</t>
        </is>
      </c>
      <c r="W74" s="0" t="inlineStr">
        <is>
          <t>115B</t>
        </is>
      </c>
      <c r="X74" s="0" t="n">
        <v>27</v>
      </c>
      <c r="Y74" s="0" t="n">
        <v>2</v>
      </c>
      <c r="Z74" s="0" t="inlineStr">
        <is>
          <t>https://new.land.naver.com/complexes/140148?tab=detail&amp;rf=Y</t>
        </is>
      </c>
      <c r="AA74" s="0" t="inlineStr">
        <is>
          <t>서울시 강동구 고덕동 136 일원 (고덕강일공공주택지구 1블록)</t>
        </is>
      </c>
      <c r="AB74" s="0" t="inlineStr">
        <is>
          <t>서울시</t>
        </is>
      </c>
      <c r="AC74" s="0" t="inlineStr">
        <is>
          <t>강동구</t>
        </is>
      </c>
      <c r="AD74" s="0" t="inlineStr">
        <is>
          <t>고덕동</t>
        </is>
      </c>
      <c r="AG74" s="0" t="inlineStr">
        <is>
          <t>서울시 강동구</t>
        </is>
      </c>
      <c r="AH74" s="0" t="n">
        <v>0</v>
      </c>
      <c r="AI74" s="0" t="n">
        <v>0</v>
      </c>
      <c r="AJ74" s="0" t="n">
        <v>0</v>
      </c>
      <c r="AK74" s="0" t="n">
        <v>1350</v>
      </c>
      <c r="AL74" s="0" t="n">
        <v>1.73</v>
      </c>
    </row>
    <row r="75">
      <c r="A75" s="0" t="inlineStr">
        <is>
          <t>[고덕동]</t>
        </is>
      </c>
      <c r="B75" s="0" t="n">
        <v>140148</v>
      </c>
      <c r="C75" s="0" t="n">
        <v>2</v>
      </c>
      <c r="D75" s="0" t="inlineStr">
        <is>
          <t>고덕강일제일풍경채</t>
        </is>
      </c>
      <c r="E75" s="0" t="inlineStr">
        <is>
          <t>2024.01.</t>
        </is>
      </c>
      <c r="F75" s="0" t="n">
        <v>780</v>
      </c>
      <c r="G75" s="0" t="n">
        <v>35.2</v>
      </c>
      <c r="H75" s="0" t="n">
        <v>116.38</v>
      </c>
      <c r="I75" s="0" t="n">
        <v>25.45</v>
      </c>
      <c r="J75" s="0" t="n">
        <v>84.15000000000001</v>
      </c>
      <c r="K75" s="0" t="n">
        <v>219</v>
      </c>
      <c r="T75" s="0" t="n">
        <v>4</v>
      </c>
      <c r="U75" s="0" t="n">
        <v>2</v>
      </c>
      <c r="V75" s="0" t="inlineStr">
        <is>
          <t>계단식</t>
        </is>
      </c>
      <c r="W75" s="0" t="inlineStr">
        <is>
          <t>116A</t>
        </is>
      </c>
      <c r="X75" s="0" t="n">
        <v>27</v>
      </c>
      <c r="Y75" s="0" t="n">
        <v>2</v>
      </c>
      <c r="Z75" s="0" t="inlineStr">
        <is>
          <t>https://new.land.naver.com/complexes/140148?tab=detail&amp;rf=Y</t>
        </is>
      </c>
      <c r="AA75" s="0" t="inlineStr">
        <is>
          <t>서울시 강동구 고덕동 136 일원 (고덕강일공공주택지구 1블록)</t>
        </is>
      </c>
      <c r="AB75" s="0" t="inlineStr">
        <is>
          <t>서울시</t>
        </is>
      </c>
      <c r="AC75" s="0" t="inlineStr">
        <is>
          <t>강동구</t>
        </is>
      </c>
      <c r="AD75" s="0" t="inlineStr">
        <is>
          <t>고덕동</t>
        </is>
      </c>
      <c r="AG75" s="0" t="inlineStr">
        <is>
          <t>서울시 강동구</t>
        </is>
      </c>
      <c r="AH75" s="0" t="n">
        <v>0</v>
      </c>
      <c r="AI75" s="0" t="n">
        <v>0</v>
      </c>
      <c r="AJ75" s="0" t="n">
        <v>0</v>
      </c>
      <c r="AK75" s="0" t="n">
        <v>1350</v>
      </c>
      <c r="AL75" s="0" t="n">
        <v>1.73</v>
      </c>
    </row>
    <row r="76">
      <c r="A76" s="0" t="inlineStr">
        <is>
          <t>[고덕동]</t>
        </is>
      </c>
      <c r="B76" s="0" t="n">
        <v>140148</v>
      </c>
      <c r="C76" s="0" t="n">
        <v>3</v>
      </c>
      <c r="D76" s="0" t="inlineStr">
        <is>
          <t>고덕강일제일풍경채</t>
        </is>
      </c>
      <c r="E76" s="0" t="inlineStr">
        <is>
          <t>2024.01.</t>
        </is>
      </c>
      <c r="F76" s="0" t="n">
        <v>780</v>
      </c>
      <c r="G76" s="0" t="n">
        <v>35.25</v>
      </c>
      <c r="H76" s="0" t="n">
        <v>116.54</v>
      </c>
      <c r="I76" s="0" t="n">
        <v>25.41</v>
      </c>
      <c r="J76" s="0" t="n">
        <v>84.02</v>
      </c>
      <c r="K76" s="0" t="n">
        <v>8</v>
      </c>
      <c r="T76" s="0" t="n">
        <v>3</v>
      </c>
      <c r="U76" s="0" t="n">
        <v>2</v>
      </c>
      <c r="V76" s="0" t="inlineStr">
        <is>
          <t>계단식</t>
        </is>
      </c>
      <c r="W76" s="0" t="inlineStr">
        <is>
          <t>116HA</t>
        </is>
      </c>
      <c r="X76" s="0" t="n">
        <v>27</v>
      </c>
      <c r="Y76" s="0" t="n">
        <v>2</v>
      </c>
      <c r="Z76" s="0" t="inlineStr">
        <is>
          <t>https://new.land.naver.com/complexes/140148?tab=detail&amp;rf=Y</t>
        </is>
      </c>
      <c r="AA76" s="0" t="inlineStr">
        <is>
          <t>서울시 강동구 고덕동 136 일원 (고덕강일공공주택지구 1블록)</t>
        </is>
      </c>
      <c r="AB76" s="0" t="inlineStr">
        <is>
          <t>서울시</t>
        </is>
      </c>
      <c r="AC76" s="0" t="inlineStr">
        <is>
          <t>강동구</t>
        </is>
      </c>
      <c r="AD76" s="0" t="inlineStr">
        <is>
          <t>고덕동</t>
        </is>
      </c>
      <c r="AG76" s="0" t="inlineStr">
        <is>
          <t>서울시 강동구</t>
        </is>
      </c>
      <c r="AH76" s="0" t="n">
        <v>0</v>
      </c>
      <c r="AI76" s="0" t="n">
        <v>0</v>
      </c>
      <c r="AJ76" s="0" t="n">
        <v>0</v>
      </c>
      <c r="AK76" s="0" t="n">
        <v>1350</v>
      </c>
      <c r="AL76" s="0" t="n">
        <v>1.73</v>
      </c>
    </row>
    <row r="77">
      <c r="A77" s="0" t="inlineStr">
        <is>
          <t>[고덕동]</t>
        </is>
      </c>
      <c r="B77" s="0" t="n">
        <v>140148</v>
      </c>
      <c r="C77" s="0" t="n">
        <v>4</v>
      </c>
      <c r="D77" s="0" t="inlineStr">
        <is>
          <t>고덕강일제일풍경채</t>
        </is>
      </c>
      <c r="E77" s="0" t="inlineStr">
        <is>
          <t>2024.01.</t>
        </is>
      </c>
      <c r="F77" s="0" t="n">
        <v>780</v>
      </c>
      <c r="G77" s="0" t="n">
        <v>35.59</v>
      </c>
      <c r="H77" s="0" t="n">
        <v>117.68</v>
      </c>
      <c r="I77" s="0" t="n">
        <v>25.44</v>
      </c>
      <c r="J77" s="0" t="n">
        <v>84.09999999999999</v>
      </c>
      <c r="K77" s="0" t="n">
        <v>58</v>
      </c>
      <c r="T77" s="0" t="n">
        <v>3</v>
      </c>
      <c r="U77" s="0" t="n">
        <v>2</v>
      </c>
      <c r="V77" s="0" t="inlineStr">
        <is>
          <t>계단식</t>
        </is>
      </c>
      <c r="W77" s="0" t="inlineStr">
        <is>
          <t>117D</t>
        </is>
      </c>
      <c r="X77" s="0" t="n">
        <v>27</v>
      </c>
      <c r="Y77" s="0" t="n">
        <v>2</v>
      </c>
      <c r="Z77" s="0" t="inlineStr">
        <is>
          <t>https://new.land.naver.com/complexes/140148?tab=detail&amp;rf=Y</t>
        </is>
      </c>
      <c r="AA77" s="0" t="inlineStr">
        <is>
          <t>서울시 강동구 고덕동 136 일원 (고덕강일공공주택지구 1블록)</t>
        </is>
      </c>
      <c r="AB77" s="0" t="inlineStr">
        <is>
          <t>서울시</t>
        </is>
      </c>
      <c r="AC77" s="0" t="inlineStr">
        <is>
          <t>강동구</t>
        </is>
      </c>
      <c r="AD77" s="0" t="inlineStr">
        <is>
          <t>고덕동</t>
        </is>
      </c>
      <c r="AG77" s="0" t="inlineStr">
        <is>
          <t>서울시 강동구</t>
        </is>
      </c>
      <c r="AH77" s="0" t="n">
        <v>0</v>
      </c>
      <c r="AI77" s="0" t="n">
        <v>0</v>
      </c>
      <c r="AJ77" s="0" t="n">
        <v>0</v>
      </c>
      <c r="AK77" s="0" t="n">
        <v>1350</v>
      </c>
      <c r="AL77" s="0" t="n">
        <v>1.73</v>
      </c>
    </row>
    <row r="78">
      <c r="A78" s="0" t="inlineStr">
        <is>
          <t>[고덕동]</t>
        </is>
      </c>
      <c r="B78" s="0" t="n">
        <v>140148</v>
      </c>
      <c r="C78" s="0" t="n">
        <v>5</v>
      </c>
      <c r="D78" s="0" t="inlineStr">
        <is>
          <t>고덕강일제일풍경채</t>
        </is>
      </c>
      <c r="E78" s="0" t="inlineStr">
        <is>
          <t>2024.01.</t>
        </is>
      </c>
      <c r="F78" s="0" t="n">
        <v>780</v>
      </c>
      <c r="G78" s="0" t="n">
        <v>35.59</v>
      </c>
      <c r="H78" s="0" t="n">
        <v>117.68</v>
      </c>
      <c r="I78" s="0" t="n">
        <v>25.44</v>
      </c>
      <c r="J78" s="0" t="n">
        <v>84.09999999999999</v>
      </c>
      <c r="K78" s="0" t="n">
        <v>56</v>
      </c>
      <c r="T78" s="0" t="n">
        <v>3</v>
      </c>
      <c r="U78" s="0" t="n">
        <v>2</v>
      </c>
      <c r="V78" s="0" t="inlineStr">
        <is>
          <t>계단식</t>
        </is>
      </c>
      <c r="W78" s="0" t="inlineStr">
        <is>
          <t>117C</t>
        </is>
      </c>
      <c r="X78" s="0" t="n">
        <v>27</v>
      </c>
      <c r="Y78" s="0" t="n">
        <v>2</v>
      </c>
      <c r="Z78" s="0" t="inlineStr">
        <is>
          <t>https://new.land.naver.com/complexes/140148?tab=detail&amp;rf=Y</t>
        </is>
      </c>
      <c r="AA78" s="0" t="inlineStr">
        <is>
          <t>서울시 강동구 고덕동 136 일원 (고덕강일공공주택지구 1블록)</t>
        </is>
      </c>
      <c r="AB78" s="0" t="inlineStr">
        <is>
          <t>서울시</t>
        </is>
      </c>
      <c r="AC78" s="0" t="inlineStr">
        <is>
          <t>강동구</t>
        </is>
      </c>
      <c r="AD78" s="0" t="inlineStr">
        <is>
          <t>고덕동</t>
        </is>
      </c>
      <c r="AG78" s="0" t="inlineStr">
        <is>
          <t>서울시 강동구</t>
        </is>
      </c>
      <c r="AH78" s="0" t="n">
        <v>0</v>
      </c>
      <c r="AI78" s="0" t="n">
        <v>0</v>
      </c>
      <c r="AJ78" s="0" t="n">
        <v>0</v>
      </c>
      <c r="AK78" s="0" t="n">
        <v>1350</v>
      </c>
      <c r="AL78" s="0" t="n">
        <v>1.73</v>
      </c>
    </row>
    <row r="79">
      <c r="A79" s="0" t="inlineStr">
        <is>
          <t>[고덕동]</t>
        </is>
      </c>
      <c r="B79" s="0" t="n">
        <v>140148</v>
      </c>
      <c r="C79" s="0" t="n">
        <v>6</v>
      </c>
      <c r="D79" s="0" t="inlineStr">
        <is>
          <t>고덕강일제일풍경채</t>
        </is>
      </c>
      <c r="E79" s="0" t="inlineStr">
        <is>
          <t>2024.01.</t>
        </is>
      </c>
      <c r="F79" s="0" t="n">
        <v>780</v>
      </c>
      <c r="G79" s="0" t="n">
        <v>35.5</v>
      </c>
      <c r="H79" s="0" t="n">
        <v>117.37</v>
      </c>
      <c r="I79" s="0" t="n">
        <v>25.6</v>
      </c>
      <c r="J79" s="0" t="n">
        <v>84.64</v>
      </c>
      <c r="K79" s="0" t="n">
        <v>12</v>
      </c>
      <c r="T79" s="0" t="n">
        <v>3</v>
      </c>
      <c r="U79" s="0" t="n">
        <v>2</v>
      </c>
      <c r="V79" s="0" t="inlineStr">
        <is>
          <t>계단식</t>
        </is>
      </c>
      <c r="W79" s="0" t="inlineStr">
        <is>
          <t>117HB</t>
        </is>
      </c>
      <c r="X79" s="0" t="n">
        <v>27</v>
      </c>
      <c r="Y79" s="0" t="n">
        <v>2</v>
      </c>
      <c r="Z79" s="0" t="inlineStr">
        <is>
          <t>https://new.land.naver.com/complexes/140148?tab=detail&amp;rf=Y</t>
        </is>
      </c>
      <c r="AA79" s="0" t="inlineStr">
        <is>
          <t>서울시 강동구 고덕동 136 일원 (고덕강일공공주택지구 1블록)</t>
        </is>
      </c>
      <c r="AB79" s="0" t="inlineStr">
        <is>
          <t>서울시</t>
        </is>
      </c>
      <c r="AC79" s="0" t="inlineStr">
        <is>
          <t>강동구</t>
        </is>
      </c>
      <c r="AD79" s="0" t="inlineStr">
        <is>
          <t>고덕동</t>
        </is>
      </c>
      <c r="AG79" s="0" t="inlineStr">
        <is>
          <t>서울시 강동구</t>
        </is>
      </c>
      <c r="AH79" s="0" t="n">
        <v>0</v>
      </c>
      <c r="AI79" s="0" t="n">
        <v>0</v>
      </c>
      <c r="AJ79" s="0" t="n">
        <v>0</v>
      </c>
      <c r="AK79" s="0" t="n">
        <v>1350</v>
      </c>
      <c r="AL79" s="0" t="n">
        <v>1.73</v>
      </c>
    </row>
    <row r="80">
      <c r="A80" s="0" t="inlineStr">
        <is>
          <t>[고덕동]</t>
        </is>
      </c>
      <c r="B80" s="0" t="n">
        <v>140148</v>
      </c>
      <c r="C80" s="0" t="n">
        <v>7</v>
      </c>
      <c r="D80" s="0" t="inlineStr">
        <is>
          <t>고덕강일제일풍경채</t>
        </is>
      </c>
      <c r="E80" s="0" t="inlineStr">
        <is>
          <t>2024.01.</t>
        </is>
      </c>
      <c r="F80" s="0" t="n">
        <v>780</v>
      </c>
      <c r="G80" s="0" t="n">
        <v>35.55</v>
      </c>
      <c r="H80" s="0" t="n">
        <v>117.54</v>
      </c>
      <c r="I80" s="0" t="n">
        <v>25.47</v>
      </c>
      <c r="J80" s="0" t="n">
        <v>84.23</v>
      </c>
      <c r="K80" s="0" t="n">
        <v>10</v>
      </c>
      <c r="T80" s="0" t="n">
        <v>3</v>
      </c>
      <c r="U80" s="0" t="n">
        <v>2</v>
      </c>
      <c r="V80" s="0" t="inlineStr">
        <is>
          <t>계단식</t>
        </is>
      </c>
      <c r="W80" s="0" t="inlineStr">
        <is>
          <t>117MB</t>
        </is>
      </c>
      <c r="X80" s="0" t="n">
        <v>27</v>
      </c>
      <c r="Y80" s="0" t="n">
        <v>2</v>
      </c>
      <c r="Z80" s="0" t="inlineStr">
        <is>
          <t>https://new.land.naver.com/complexes/140148?tab=detail&amp;rf=Y</t>
        </is>
      </c>
      <c r="AA80" s="0" t="inlineStr">
        <is>
          <t>서울시 강동구 고덕동 136 일원 (고덕강일공공주택지구 1블록)</t>
        </is>
      </c>
      <c r="AB80" s="0" t="inlineStr">
        <is>
          <t>서울시</t>
        </is>
      </c>
      <c r="AC80" s="0" t="inlineStr">
        <is>
          <t>강동구</t>
        </is>
      </c>
      <c r="AD80" s="0" t="inlineStr">
        <is>
          <t>고덕동</t>
        </is>
      </c>
      <c r="AG80" s="0" t="inlineStr">
        <is>
          <t>서울시 강동구</t>
        </is>
      </c>
      <c r="AH80" s="0" t="n">
        <v>0</v>
      </c>
      <c r="AI80" s="0" t="n">
        <v>0</v>
      </c>
      <c r="AJ80" s="0" t="n">
        <v>0</v>
      </c>
      <c r="AK80" s="0" t="n">
        <v>1350</v>
      </c>
      <c r="AL80" s="0" t="n">
        <v>1.73</v>
      </c>
    </row>
    <row r="81">
      <c r="A81" s="0" t="inlineStr">
        <is>
          <t>[고덕동]</t>
        </is>
      </c>
      <c r="B81" s="0" t="n">
        <v>140148</v>
      </c>
      <c r="C81" s="0" t="n">
        <v>8</v>
      </c>
      <c r="D81" s="0" t="inlineStr">
        <is>
          <t>고덕강일제일풍경채</t>
        </is>
      </c>
      <c r="E81" s="0" t="inlineStr">
        <is>
          <t>2024.01.</t>
        </is>
      </c>
      <c r="F81" s="0" t="n">
        <v>780</v>
      </c>
      <c r="G81" s="0" t="n">
        <v>35.64</v>
      </c>
      <c r="H81" s="0" t="n">
        <v>117.85</v>
      </c>
      <c r="I81" s="0" t="n">
        <v>25.67</v>
      </c>
      <c r="J81" s="0" t="n">
        <v>84.87</v>
      </c>
      <c r="K81" s="0" t="n">
        <v>2</v>
      </c>
      <c r="T81" s="0" t="n">
        <v>3</v>
      </c>
      <c r="U81" s="0" t="n">
        <v>2</v>
      </c>
      <c r="V81" s="0" t="inlineStr">
        <is>
          <t>계단식</t>
        </is>
      </c>
      <c r="W81" s="0" t="inlineStr">
        <is>
          <t>117SE</t>
        </is>
      </c>
      <c r="X81" s="0" t="n">
        <v>27</v>
      </c>
      <c r="Y81" s="0" t="n">
        <v>2</v>
      </c>
      <c r="Z81" s="0" t="inlineStr">
        <is>
          <t>https://new.land.naver.com/complexes/140148?tab=detail&amp;rf=Y</t>
        </is>
      </c>
      <c r="AA81" s="0" t="inlineStr">
        <is>
          <t>서울시 강동구 고덕동 136 일원 (고덕강일공공주택지구 1블록)</t>
        </is>
      </c>
      <c r="AB81" s="0" t="inlineStr">
        <is>
          <t>서울시</t>
        </is>
      </c>
      <c r="AC81" s="0" t="inlineStr">
        <is>
          <t>강동구</t>
        </is>
      </c>
      <c r="AD81" s="0" t="inlineStr">
        <is>
          <t>고덕동</t>
        </is>
      </c>
      <c r="AG81" s="0" t="inlineStr">
        <is>
          <t>서울시 강동구</t>
        </is>
      </c>
      <c r="AH81" s="0" t="n">
        <v>0</v>
      </c>
      <c r="AI81" s="0" t="n">
        <v>0</v>
      </c>
      <c r="AJ81" s="0" t="n">
        <v>0</v>
      </c>
      <c r="AK81" s="0" t="n">
        <v>1350</v>
      </c>
      <c r="AL81" s="0" t="n">
        <v>1.73</v>
      </c>
    </row>
    <row r="82">
      <c r="A82" s="0" t="inlineStr">
        <is>
          <t>[고덕동]</t>
        </is>
      </c>
      <c r="B82" s="0" t="n">
        <v>140148</v>
      </c>
      <c r="C82" s="0" t="n">
        <v>9</v>
      </c>
      <c r="D82" s="0" t="inlineStr">
        <is>
          <t>고덕강일제일풍경채</t>
        </is>
      </c>
      <c r="E82" s="0" t="inlineStr">
        <is>
          <t>2024.01.</t>
        </is>
      </c>
      <c r="F82" s="0" t="n">
        <v>780</v>
      </c>
      <c r="G82" s="0" t="n">
        <v>35.65</v>
      </c>
      <c r="H82" s="0" t="n">
        <v>117.86</v>
      </c>
      <c r="I82" s="0" t="n">
        <v>25.56</v>
      </c>
      <c r="J82" s="0" t="n">
        <v>84.5</v>
      </c>
      <c r="K82" s="0" t="n">
        <v>1</v>
      </c>
      <c r="T82" s="0" t="n">
        <v>2</v>
      </c>
      <c r="U82" s="0" t="n">
        <v>2</v>
      </c>
      <c r="V82" s="0" t="inlineStr">
        <is>
          <t>계단식</t>
        </is>
      </c>
      <c r="W82" s="0" t="inlineStr">
        <is>
          <t>117ME</t>
        </is>
      </c>
      <c r="X82" s="0" t="n">
        <v>27</v>
      </c>
      <c r="Y82" s="0" t="n">
        <v>2</v>
      </c>
      <c r="Z82" s="0" t="inlineStr">
        <is>
          <t>https://new.land.naver.com/complexes/140148?tab=detail&amp;rf=Y</t>
        </is>
      </c>
      <c r="AA82" s="0" t="inlineStr">
        <is>
          <t>서울시 강동구 고덕동 136 일원 (고덕강일공공주택지구 1블록)</t>
        </is>
      </c>
      <c r="AB82" s="0" t="inlineStr">
        <is>
          <t>서울시</t>
        </is>
      </c>
      <c r="AC82" s="0" t="inlineStr">
        <is>
          <t>강동구</t>
        </is>
      </c>
      <c r="AD82" s="0" t="inlineStr">
        <is>
          <t>고덕동</t>
        </is>
      </c>
      <c r="AG82" s="0" t="inlineStr">
        <is>
          <t>서울시 강동구</t>
        </is>
      </c>
      <c r="AH82" s="0" t="n">
        <v>0</v>
      </c>
      <c r="AI82" s="0" t="n">
        <v>0</v>
      </c>
      <c r="AJ82" s="0" t="n">
        <v>0</v>
      </c>
      <c r="AK82" s="0" t="n">
        <v>1350</v>
      </c>
      <c r="AL82" s="0" t="n">
        <v>1.73</v>
      </c>
    </row>
    <row r="83">
      <c r="A83" s="0" t="inlineStr">
        <is>
          <t>[고덕동]</t>
        </is>
      </c>
      <c r="B83" s="0" t="n">
        <v>140148</v>
      </c>
      <c r="C83" s="0" t="n">
        <v>10</v>
      </c>
      <c r="D83" s="0" t="inlineStr">
        <is>
          <t>고덕강일제일풍경채</t>
        </is>
      </c>
      <c r="E83" s="0" t="inlineStr">
        <is>
          <t>2024.01.</t>
        </is>
      </c>
      <c r="F83" s="0" t="n">
        <v>780</v>
      </c>
      <c r="G83" s="0" t="n">
        <v>35.76</v>
      </c>
      <c r="H83" s="0" t="n">
        <v>118.24</v>
      </c>
      <c r="I83" s="0" t="n">
        <v>25.61</v>
      </c>
      <c r="J83" s="0" t="n">
        <v>84.67</v>
      </c>
      <c r="K83" s="0" t="n">
        <v>22</v>
      </c>
      <c r="T83" s="0" t="n">
        <v>3</v>
      </c>
      <c r="U83" s="0" t="n">
        <v>2</v>
      </c>
      <c r="V83" s="0" t="inlineStr">
        <is>
          <t>계단식</t>
        </is>
      </c>
      <c r="W83" s="0" t="inlineStr">
        <is>
          <t>118MA</t>
        </is>
      </c>
      <c r="X83" s="0" t="n">
        <v>27</v>
      </c>
      <c r="Y83" s="0" t="n">
        <v>2</v>
      </c>
      <c r="Z83" s="0" t="inlineStr">
        <is>
          <t>https://new.land.naver.com/complexes/140148?tab=detail&amp;rf=Y</t>
        </is>
      </c>
      <c r="AA83" s="0" t="inlineStr">
        <is>
          <t>서울시 강동구 고덕동 136 일원 (고덕강일공공주택지구 1블록)</t>
        </is>
      </c>
      <c r="AB83" s="0" t="inlineStr">
        <is>
          <t>서울시</t>
        </is>
      </c>
      <c r="AC83" s="0" t="inlineStr">
        <is>
          <t>강동구</t>
        </is>
      </c>
      <c r="AD83" s="0" t="inlineStr">
        <is>
          <t>고덕동</t>
        </is>
      </c>
      <c r="AG83" s="0" t="inlineStr">
        <is>
          <t>서울시 강동구</t>
        </is>
      </c>
      <c r="AH83" s="0" t="n">
        <v>0</v>
      </c>
      <c r="AI83" s="0" t="n">
        <v>0</v>
      </c>
      <c r="AJ83" s="0" t="n">
        <v>0</v>
      </c>
      <c r="AK83" s="0" t="n">
        <v>1350</v>
      </c>
      <c r="AL83" s="0" t="n">
        <v>1.73</v>
      </c>
    </row>
    <row r="84">
      <c r="A84" s="0" t="inlineStr">
        <is>
          <t>[고덕동]</t>
        </is>
      </c>
      <c r="B84" s="0" t="n">
        <v>140148</v>
      </c>
      <c r="C84" s="0" t="n">
        <v>11</v>
      </c>
      <c r="D84" s="0" t="inlineStr">
        <is>
          <t>고덕강일제일풍경채</t>
        </is>
      </c>
      <c r="E84" s="0" t="inlineStr">
        <is>
          <t>2024.01.</t>
        </is>
      </c>
      <c r="F84" s="0" t="n">
        <v>780</v>
      </c>
      <c r="G84" s="0" t="n">
        <v>35.79</v>
      </c>
      <c r="H84" s="0" t="n">
        <v>118.33</v>
      </c>
      <c r="I84" s="0" t="n">
        <v>25.49</v>
      </c>
      <c r="J84" s="0" t="n">
        <v>84.27</v>
      </c>
      <c r="K84" s="0" t="n">
        <v>20</v>
      </c>
      <c r="T84" s="0" t="n">
        <v>3</v>
      </c>
      <c r="U84" s="0" t="n">
        <v>2</v>
      </c>
      <c r="V84" s="0" t="inlineStr">
        <is>
          <t>계단식</t>
        </is>
      </c>
      <c r="W84" s="0" t="inlineStr">
        <is>
          <t>118SB</t>
        </is>
      </c>
      <c r="X84" s="0" t="n">
        <v>27</v>
      </c>
      <c r="Y84" s="0" t="n">
        <v>2</v>
      </c>
      <c r="Z84" s="0" t="inlineStr">
        <is>
          <t>https://new.land.naver.com/complexes/140148?tab=detail&amp;rf=Y</t>
        </is>
      </c>
      <c r="AA84" s="0" t="inlineStr">
        <is>
          <t>서울시 강동구 고덕동 136 일원 (고덕강일공공주택지구 1블록)</t>
        </is>
      </c>
      <c r="AB84" s="0" t="inlineStr">
        <is>
          <t>서울시</t>
        </is>
      </c>
      <c r="AC84" s="0" t="inlineStr">
        <is>
          <t>강동구</t>
        </is>
      </c>
      <c r="AD84" s="0" t="inlineStr">
        <is>
          <t>고덕동</t>
        </is>
      </c>
      <c r="AG84" s="0" t="inlineStr">
        <is>
          <t>서울시 강동구</t>
        </is>
      </c>
      <c r="AH84" s="0" t="n">
        <v>0</v>
      </c>
      <c r="AI84" s="0" t="n">
        <v>0</v>
      </c>
      <c r="AJ84" s="0" t="n">
        <v>0</v>
      </c>
      <c r="AK84" s="0" t="n">
        <v>1350</v>
      </c>
      <c r="AL84" s="0" t="n">
        <v>1.73</v>
      </c>
    </row>
    <row r="85">
      <c r="A85" s="0" t="inlineStr">
        <is>
          <t>[고덕동]</t>
        </is>
      </c>
      <c r="B85" s="0" t="n">
        <v>140148</v>
      </c>
      <c r="C85" s="0" t="n">
        <v>12</v>
      </c>
      <c r="D85" s="0" t="inlineStr">
        <is>
          <t>고덕강일제일풍경채</t>
        </is>
      </c>
      <c r="E85" s="0" t="inlineStr">
        <is>
          <t>2024.01.</t>
        </is>
      </c>
      <c r="F85" s="0" t="n">
        <v>780</v>
      </c>
      <c r="G85" s="0" t="n">
        <v>35.77</v>
      </c>
      <c r="H85" s="0" t="n">
        <v>118.28</v>
      </c>
      <c r="I85" s="0" t="n">
        <v>25.49</v>
      </c>
      <c r="J85" s="0" t="n">
        <v>84.28</v>
      </c>
      <c r="K85" s="0" t="n">
        <v>7</v>
      </c>
      <c r="T85" s="0" t="n">
        <v>3</v>
      </c>
      <c r="U85" s="0" t="n">
        <v>2</v>
      </c>
      <c r="V85" s="0" t="inlineStr">
        <is>
          <t>계단식</t>
        </is>
      </c>
      <c r="W85" s="0" t="inlineStr">
        <is>
          <t>118HC</t>
        </is>
      </c>
      <c r="X85" s="0" t="n">
        <v>27</v>
      </c>
      <c r="Y85" s="0" t="n">
        <v>2</v>
      </c>
      <c r="Z85" s="0" t="inlineStr">
        <is>
          <t>https://new.land.naver.com/complexes/140148?tab=detail&amp;rf=Y</t>
        </is>
      </c>
      <c r="AA85" s="0" t="inlineStr">
        <is>
          <t>서울시 강동구 고덕동 136 일원 (고덕강일공공주택지구 1블록)</t>
        </is>
      </c>
      <c r="AB85" s="0" t="inlineStr">
        <is>
          <t>서울시</t>
        </is>
      </c>
      <c r="AC85" s="0" t="inlineStr">
        <is>
          <t>강동구</t>
        </is>
      </c>
      <c r="AD85" s="0" t="inlineStr">
        <is>
          <t>고덕동</t>
        </is>
      </c>
      <c r="AG85" s="0" t="inlineStr">
        <is>
          <t>서울시 강동구</t>
        </is>
      </c>
      <c r="AH85" s="0" t="n">
        <v>0</v>
      </c>
      <c r="AI85" s="0" t="n">
        <v>0</v>
      </c>
      <c r="AJ85" s="0" t="n">
        <v>0</v>
      </c>
      <c r="AK85" s="0" t="n">
        <v>1350</v>
      </c>
      <c r="AL85" s="0" t="n">
        <v>1.73</v>
      </c>
    </row>
    <row r="86">
      <c r="A86" s="0" t="inlineStr">
        <is>
          <t>[고덕동]</t>
        </is>
      </c>
      <c r="B86" s="0" t="n">
        <v>140148</v>
      </c>
      <c r="C86" s="0" t="n">
        <v>13</v>
      </c>
      <c r="D86" s="0" t="inlineStr">
        <is>
          <t>고덕강일제일풍경채</t>
        </is>
      </c>
      <c r="E86" s="0" t="inlineStr">
        <is>
          <t>2024.01.</t>
        </is>
      </c>
      <c r="F86" s="0" t="n">
        <v>780</v>
      </c>
      <c r="G86" s="0" t="n">
        <v>35.96</v>
      </c>
      <c r="H86" s="0" t="n">
        <v>118.88</v>
      </c>
      <c r="I86" s="0" t="n">
        <v>25.69</v>
      </c>
      <c r="J86" s="0" t="n">
        <v>84.94</v>
      </c>
      <c r="K86" s="0" t="n">
        <v>5</v>
      </c>
      <c r="T86" s="0" t="n">
        <v>3</v>
      </c>
      <c r="U86" s="0" t="n">
        <v>2</v>
      </c>
      <c r="V86" s="0" t="inlineStr">
        <is>
          <t>계단식</t>
        </is>
      </c>
      <c r="W86" s="0" t="inlineStr">
        <is>
          <t>118SD</t>
        </is>
      </c>
      <c r="X86" s="0" t="n">
        <v>27</v>
      </c>
      <c r="Y86" s="0" t="n">
        <v>2</v>
      </c>
      <c r="Z86" s="0" t="inlineStr">
        <is>
          <t>https://new.land.naver.com/complexes/140148?tab=detail&amp;rf=Y</t>
        </is>
      </c>
      <c r="AA86" s="0" t="inlineStr">
        <is>
          <t>서울시 강동구 고덕동 136 일원 (고덕강일공공주택지구 1블록)</t>
        </is>
      </c>
      <c r="AB86" s="0" t="inlineStr">
        <is>
          <t>서울시</t>
        </is>
      </c>
      <c r="AC86" s="0" t="inlineStr">
        <is>
          <t>강동구</t>
        </is>
      </c>
      <c r="AD86" s="0" t="inlineStr">
        <is>
          <t>고덕동</t>
        </is>
      </c>
      <c r="AG86" s="0" t="inlineStr">
        <is>
          <t>서울시 강동구</t>
        </is>
      </c>
      <c r="AH86" s="0" t="n">
        <v>0</v>
      </c>
      <c r="AI86" s="0" t="n">
        <v>0</v>
      </c>
      <c r="AJ86" s="0" t="n">
        <v>0</v>
      </c>
      <c r="AK86" s="0" t="n">
        <v>1350</v>
      </c>
      <c r="AL86" s="0" t="n">
        <v>1.73</v>
      </c>
    </row>
    <row r="87">
      <c r="A87" s="0" t="inlineStr">
        <is>
          <t>[고덕동]</t>
        </is>
      </c>
      <c r="B87" s="0" t="n">
        <v>140148</v>
      </c>
      <c r="C87" s="0" t="n">
        <v>14</v>
      </c>
      <c r="D87" s="0" t="inlineStr">
        <is>
          <t>고덕강일제일풍경채</t>
        </is>
      </c>
      <c r="E87" s="0" t="inlineStr">
        <is>
          <t>2024.01.</t>
        </is>
      </c>
      <c r="F87" s="0" t="n">
        <v>780</v>
      </c>
      <c r="G87" s="0" t="n">
        <v>35.91</v>
      </c>
      <c r="H87" s="0" t="n">
        <v>118.72</v>
      </c>
      <c r="I87" s="0" t="n">
        <v>25.62</v>
      </c>
      <c r="J87" s="0" t="n">
        <v>84.72</v>
      </c>
      <c r="K87" s="0" t="n">
        <v>3</v>
      </c>
      <c r="T87" s="0" t="n">
        <v>3</v>
      </c>
      <c r="U87" s="0" t="n">
        <v>2</v>
      </c>
      <c r="V87" s="0" t="inlineStr">
        <is>
          <t>계단식</t>
        </is>
      </c>
      <c r="W87" s="0" t="inlineStr">
        <is>
          <t>118MC</t>
        </is>
      </c>
      <c r="X87" s="0" t="n">
        <v>27</v>
      </c>
      <c r="Y87" s="0" t="n">
        <v>2</v>
      </c>
      <c r="Z87" s="0" t="inlineStr">
        <is>
          <t>https://new.land.naver.com/complexes/140148?tab=detail&amp;rf=Y</t>
        </is>
      </c>
      <c r="AA87" s="0" t="inlineStr">
        <is>
          <t>서울시 강동구 고덕동 136 일원 (고덕강일공공주택지구 1블록)</t>
        </is>
      </c>
      <c r="AB87" s="0" t="inlineStr">
        <is>
          <t>서울시</t>
        </is>
      </c>
      <c r="AC87" s="0" t="inlineStr">
        <is>
          <t>강동구</t>
        </is>
      </c>
      <c r="AD87" s="0" t="inlineStr">
        <is>
          <t>고덕동</t>
        </is>
      </c>
      <c r="AG87" s="0" t="inlineStr">
        <is>
          <t>서울시 강동구</t>
        </is>
      </c>
      <c r="AH87" s="0" t="n">
        <v>0</v>
      </c>
      <c r="AI87" s="0" t="n">
        <v>0</v>
      </c>
      <c r="AJ87" s="0" t="n">
        <v>0</v>
      </c>
      <c r="AK87" s="0" t="n">
        <v>1350</v>
      </c>
      <c r="AL87" s="0" t="n">
        <v>1.73</v>
      </c>
    </row>
    <row r="88">
      <c r="A88" s="0" t="inlineStr">
        <is>
          <t>[고덕동]</t>
        </is>
      </c>
      <c r="B88" s="0" t="n">
        <v>140148</v>
      </c>
      <c r="C88" s="0" t="n">
        <v>15</v>
      </c>
      <c r="D88" s="0" t="inlineStr">
        <is>
          <t>고덕강일제일풍경채</t>
        </is>
      </c>
      <c r="E88" s="0" t="inlineStr">
        <is>
          <t>2024.01.</t>
        </is>
      </c>
      <c r="F88" s="0" t="n">
        <v>780</v>
      </c>
      <c r="G88" s="0" t="n">
        <v>35.95</v>
      </c>
      <c r="H88" s="0" t="n">
        <v>118.86</v>
      </c>
      <c r="I88" s="0" t="n">
        <v>25.69</v>
      </c>
      <c r="J88" s="0" t="n">
        <v>84.94</v>
      </c>
      <c r="K88" s="0" t="n">
        <v>3</v>
      </c>
      <c r="T88" s="0" t="n">
        <v>3</v>
      </c>
      <c r="U88" s="0" t="n">
        <v>2</v>
      </c>
      <c r="V88" s="0" t="inlineStr">
        <is>
          <t>계단식</t>
        </is>
      </c>
      <c r="W88" s="0" t="inlineStr">
        <is>
          <t>118SG</t>
        </is>
      </c>
      <c r="X88" s="0" t="n">
        <v>27</v>
      </c>
      <c r="Y88" s="0" t="n">
        <v>2</v>
      </c>
      <c r="Z88" s="0" t="inlineStr">
        <is>
          <t>https://new.land.naver.com/complexes/140148?tab=detail&amp;rf=Y</t>
        </is>
      </c>
      <c r="AA88" s="0" t="inlineStr">
        <is>
          <t>서울시 강동구 고덕동 136 일원 (고덕강일공공주택지구 1블록)</t>
        </is>
      </c>
      <c r="AB88" s="0" t="inlineStr">
        <is>
          <t>서울시</t>
        </is>
      </c>
      <c r="AC88" s="0" t="inlineStr">
        <is>
          <t>강동구</t>
        </is>
      </c>
      <c r="AD88" s="0" t="inlineStr">
        <is>
          <t>고덕동</t>
        </is>
      </c>
      <c r="AG88" s="0" t="inlineStr">
        <is>
          <t>서울시 강동구</t>
        </is>
      </c>
      <c r="AH88" s="0" t="n">
        <v>0</v>
      </c>
      <c r="AI88" s="0" t="n">
        <v>0</v>
      </c>
      <c r="AJ88" s="0" t="n">
        <v>0</v>
      </c>
      <c r="AK88" s="0" t="n">
        <v>1350</v>
      </c>
      <c r="AL88" s="0" t="n">
        <v>1.73</v>
      </c>
    </row>
    <row r="89">
      <c r="A89" s="0" t="inlineStr">
        <is>
          <t>[고덕동]</t>
        </is>
      </c>
      <c r="B89" s="0" t="n">
        <v>140148</v>
      </c>
      <c r="C89" s="0" t="n">
        <v>16</v>
      </c>
      <c r="D89" s="0" t="inlineStr">
        <is>
          <t>고덕강일제일풍경채</t>
        </is>
      </c>
      <c r="E89" s="0" t="inlineStr">
        <is>
          <t>2024.01.</t>
        </is>
      </c>
      <c r="F89" s="0" t="n">
        <v>780</v>
      </c>
      <c r="G89" s="0" t="n">
        <v>35.84</v>
      </c>
      <c r="H89" s="0" t="n">
        <v>118.51</v>
      </c>
      <c r="I89" s="0" t="n">
        <v>25.5</v>
      </c>
      <c r="J89" s="0" t="n">
        <v>84.31999999999999</v>
      </c>
      <c r="K89" s="0" t="n">
        <v>2</v>
      </c>
      <c r="T89" s="0" t="n">
        <v>3</v>
      </c>
      <c r="U89" s="0" t="n">
        <v>2</v>
      </c>
      <c r="V89" s="0" t="inlineStr">
        <is>
          <t>계단식</t>
        </is>
      </c>
      <c r="W89" s="0" t="inlineStr">
        <is>
          <t>118MD</t>
        </is>
      </c>
      <c r="X89" s="0" t="n">
        <v>27</v>
      </c>
      <c r="Y89" s="0" t="n">
        <v>2</v>
      </c>
      <c r="Z89" s="0" t="inlineStr">
        <is>
          <t>https://new.land.naver.com/complexes/140148?tab=detail&amp;rf=Y</t>
        </is>
      </c>
      <c r="AA89" s="0" t="inlineStr">
        <is>
          <t>서울시 강동구 고덕동 136 일원 (고덕강일공공주택지구 1블록)</t>
        </is>
      </c>
      <c r="AB89" s="0" t="inlineStr">
        <is>
          <t>서울시</t>
        </is>
      </c>
      <c r="AC89" s="0" t="inlineStr">
        <is>
          <t>강동구</t>
        </is>
      </c>
      <c r="AD89" s="0" t="inlineStr">
        <is>
          <t>고덕동</t>
        </is>
      </c>
      <c r="AG89" s="0" t="inlineStr">
        <is>
          <t>서울시 강동구</t>
        </is>
      </c>
      <c r="AH89" s="0" t="n">
        <v>0</v>
      </c>
      <c r="AI89" s="0" t="n">
        <v>0</v>
      </c>
      <c r="AJ89" s="0" t="n">
        <v>0</v>
      </c>
      <c r="AK89" s="0" t="n">
        <v>1350</v>
      </c>
      <c r="AL89" s="0" t="n">
        <v>1.73</v>
      </c>
    </row>
    <row r="90">
      <c r="A90" s="0" t="inlineStr">
        <is>
          <t>[고덕동]</t>
        </is>
      </c>
      <c r="B90" s="0" t="n">
        <v>140148</v>
      </c>
      <c r="C90" s="0" t="n">
        <v>17</v>
      </c>
      <c r="D90" s="0" t="inlineStr">
        <is>
          <t>고덕강일제일풍경채</t>
        </is>
      </c>
      <c r="E90" s="0" t="inlineStr">
        <is>
          <t>2024.01.</t>
        </is>
      </c>
      <c r="F90" s="0" t="n">
        <v>780</v>
      </c>
      <c r="G90" s="0" t="n">
        <v>35.97</v>
      </c>
      <c r="H90" s="0" t="n">
        <v>118.91</v>
      </c>
      <c r="I90" s="0" t="n">
        <v>25.43</v>
      </c>
      <c r="J90" s="0" t="n">
        <v>84.06999999999999</v>
      </c>
      <c r="K90" s="0" t="n">
        <v>2</v>
      </c>
      <c r="T90" s="0" t="n">
        <v>3</v>
      </c>
      <c r="U90" s="0" t="n">
        <v>2</v>
      </c>
      <c r="V90" s="0" t="inlineStr">
        <is>
          <t>계단식</t>
        </is>
      </c>
      <c r="W90" s="0" t="inlineStr">
        <is>
          <t>118SI</t>
        </is>
      </c>
      <c r="X90" s="0" t="n">
        <v>27</v>
      </c>
      <c r="Y90" s="0" t="n">
        <v>2</v>
      </c>
      <c r="Z90" s="0" t="inlineStr">
        <is>
          <t>https://new.land.naver.com/complexes/140148?tab=detail&amp;rf=Y</t>
        </is>
      </c>
      <c r="AA90" s="0" t="inlineStr">
        <is>
          <t>서울시 강동구 고덕동 136 일원 (고덕강일공공주택지구 1블록)</t>
        </is>
      </c>
      <c r="AB90" s="0" t="inlineStr">
        <is>
          <t>서울시</t>
        </is>
      </c>
      <c r="AC90" s="0" t="inlineStr">
        <is>
          <t>강동구</t>
        </is>
      </c>
      <c r="AD90" s="0" t="inlineStr">
        <is>
          <t>고덕동</t>
        </is>
      </c>
      <c r="AG90" s="0" t="inlineStr">
        <is>
          <t>서울시 강동구</t>
        </is>
      </c>
      <c r="AH90" s="0" t="n">
        <v>0</v>
      </c>
      <c r="AI90" s="0" t="n">
        <v>0</v>
      </c>
      <c r="AJ90" s="0" t="n">
        <v>0</v>
      </c>
      <c r="AK90" s="0" t="n">
        <v>1350</v>
      </c>
      <c r="AL90" s="0" t="n">
        <v>1.73</v>
      </c>
    </row>
    <row r="91">
      <c r="A91" s="0" t="inlineStr">
        <is>
          <t>[고덕동]</t>
        </is>
      </c>
      <c r="B91" s="0" t="n">
        <v>140148</v>
      </c>
      <c r="C91" s="0" t="n">
        <v>18</v>
      </c>
      <c r="D91" s="0" t="inlineStr">
        <is>
          <t>고덕강일제일풍경채</t>
        </is>
      </c>
      <c r="E91" s="0" t="inlineStr">
        <is>
          <t>2024.01.</t>
        </is>
      </c>
      <c r="F91" s="0" t="n">
        <v>780</v>
      </c>
      <c r="G91" s="0" t="n">
        <v>36.08</v>
      </c>
      <c r="H91" s="0" t="n">
        <v>119.28</v>
      </c>
      <c r="I91" s="0" t="n">
        <v>25.46</v>
      </c>
      <c r="J91" s="0" t="n">
        <v>84.19</v>
      </c>
      <c r="K91" s="0" t="n">
        <v>22</v>
      </c>
      <c r="T91" s="0" t="n">
        <v>3</v>
      </c>
      <c r="U91" s="0" t="n">
        <v>2</v>
      </c>
      <c r="V91" s="0" t="inlineStr">
        <is>
          <t>계단식</t>
        </is>
      </c>
      <c r="W91" s="0" t="inlineStr">
        <is>
          <t>119SA</t>
        </is>
      </c>
      <c r="X91" s="0" t="n">
        <v>27</v>
      </c>
      <c r="Y91" s="0" t="n">
        <v>2</v>
      </c>
      <c r="Z91" s="0" t="inlineStr">
        <is>
          <t>https://new.land.naver.com/complexes/140148?tab=detail&amp;rf=Y</t>
        </is>
      </c>
      <c r="AA91" s="0" t="inlineStr">
        <is>
          <t>서울시 강동구 고덕동 136 일원 (고덕강일공공주택지구 1블록)</t>
        </is>
      </c>
      <c r="AB91" s="0" t="inlineStr">
        <is>
          <t>서울시</t>
        </is>
      </c>
      <c r="AC91" s="0" t="inlineStr">
        <is>
          <t>강동구</t>
        </is>
      </c>
      <c r="AD91" s="0" t="inlineStr">
        <is>
          <t>고덕동</t>
        </is>
      </c>
      <c r="AG91" s="0" t="inlineStr">
        <is>
          <t>서울시 강동구</t>
        </is>
      </c>
      <c r="AH91" s="0" t="n">
        <v>0</v>
      </c>
      <c r="AI91" s="0" t="n">
        <v>0</v>
      </c>
      <c r="AJ91" s="0" t="n">
        <v>0</v>
      </c>
      <c r="AK91" s="0" t="n">
        <v>1350</v>
      </c>
      <c r="AL91" s="0" t="n">
        <v>1.73</v>
      </c>
    </row>
    <row r="92">
      <c r="A92" s="0" t="inlineStr">
        <is>
          <t>[고덕동]</t>
        </is>
      </c>
      <c r="B92" s="0" t="n">
        <v>140148</v>
      </c>
      <c r="C92" s="0" t="n">
        <v>19</v>
      </c>
      <c r="D92" s="0" t="inlineStr">
        <is>
          <t>고덕강일제일풍경채</t>
        </is>
      </c>
      <c r="E92" s="0" t="inlineStr">
        <is>
          <t>2024.01.</t>
        </is>
      </c>
      <c r="F92" s="0" t="n">
        <v>780</v>
      </c>
      <c r="G92" s="0" t="n">
        <v>36.01</v>
      </c>
      <c r="H92" s="0" t="n">
        <v>119.06</v>
      </c>
      <c r="I92" s="0" t="n">
        <v>25.68</v>
      </c>
      <c r="J92" s="0" t="n">
        <v>84.91</v>
      </c>
      <c r="K92" s="0" t="n">
        <v>3</v>
      </c>
      <c r="T92" s="0" t="n">
        <v>3</v>
      </c>
      <c r="U92" s="0" t="n">
        <v>2</v>
      </c>
      <c r="V92" s="0" t="inlineStr">
        <is>
          <t>계단식</t>
        </is>
      </c>
      <c r="W92" s="0" t="inlineStr">
        <is>
          <t>119SF</t>
        </is>
      </c>
      <c r="X92" s="0" t="n">
        <v>27</v>
      </c>
      <c r="Y92" s="0" t="n">
        <v>2</v>
      </c>
      <c r="Z92" s="0" t="inlineStr">
        <is>
          <t>https://new.land.naver.com/complexes/140148?tab=detail&amp;rf=Y</t>
        </is>
      </c>
      <c r="AA92" s="0" t="inlineStr">
        <is>
          <t>서울시 강동구 고덕동 136 일원 (고덕강일공공주택지구 1블록)</t>
        </is>
      </c>
      <c r="AB92" s="0" t="inlineStr">
        <is>
          <t>서울시</t>
        </is>
      </c>
      <c r="AC92" s="0" t="inlineStr">
        <is>
          <t>강동구</t>
        </is>
      </c>
      <c r="AD92" s="0" t="inlineStr">
        <is>
          <t>고덕동</t>
        </is>
      </c>
      <c r="AG92" s="0" t="inlineStr">
        <is>
          <t>서울시 강동구</t>
        </is>
      </c>
      <c r="AH92" s="0" t="n">
        <v>0</v>
      </c>
      <c r="AI92" s="0" t="n">
        <v>0</v>
      </c>
      <c r="AJ92" s="0" t="n">
        <v>0</v>
      </c>
      <c r="AK92" s="0" t="n">
        <v>1350</v>
      </c>
      <c r="AL92" s="0" t="n">
        <v>1.73</v>
      </c>
    </row>
    <row r="93">
      <c r="A93" s="0" t="inlineStr">
        <is>
          <t>[고덕동]</t>
        </is>
      </c>
      <c r="B93" s="0" t="n">
        <v>140148</v>
      </c>
      <c r="C93" s="0" t="n">
        <v>20</v>
      </c>
      <c r="D93" s="0" t="inlineStr">
        <is>
          <t>고덕강일제일풍경채</t>
        </is>
      </c>
      <c r="E93" s="0" t="inlineStr">
        <is>
          <t>2024.01.</t>
        </is>
      </c>
      <c r="F93" s="0" t="n">
        <v>780</v>
      </c>
      <c r="G93" s="0" t="n">
        <v>36.23</v>
      </c>
      <c r="H93" s="0" t="n">
        <v>119.77</v>
      </c>
      <c r="I93" s="0" t="n">
        <v>25.54</v>
      </c>
      <c r="J93" s="0" t="n">
        <v>84.45</v>
      </c>
      <c r="K93" s="0" t="n">
        <v>2</v>
      </c>
      <c r="T93" s="0" t="n">
        <v>2</v>
      </c>
      <c r="U93" s="0" t="n">
        <v>2</v>
      </c>
      <c r="V93" s="0" t="inlineStr">
        <is>
          <t>계단식</t>
        </is>
      </c>
      <c r="W93" s="0" t="inlineStr">
        <is>
          <t>119SC</t>
        </is>
      </c>
      <c r="X93" s="0" t="n">
        <v>27</v>
      </c>
      <c r="Y93" s="0" t="n">
        <v>2</v>
      </c>
      <c r="Z93" s="0" t="inlineStr">
        <is>
          <t>https://new.land.naver.com/complexes/140148?tab=detail&amp;rf=Y</t>
        </is>
      </c>
      <c r="AA93" s="0" t="inlineStr">
        <is>
          <t>서울시 강동구 고덕동 136 일원 (고덕강일공공주택지구 1블록)</t>
        </is>
      </c>
      <c r="AB93" s="0" t="inlineStr">
        <is>
          <t>서울시</t>
        </is>
      </c>
      <c r="AC93" s="0" t="inlineStr">
        <is>
          <t>강동구</t>
        </is>
      </c>
      <c r="AD93" s="0" t="inlineStr">
        <is>
          <t>고덕동</t>
        </is>
      </c>
      <c r="AG93" s="0" t="inlineStr">
        <is>
          <t>서울시 강동구</t>
        </is>
      </c>
      <c r="AH93" s="0" t="n">
        <v>0</v>
      </c>
      <c r="AI93" s="0" t="n">
        <v>0</v>
      </c>
      <c r="AJ93" s="0" t="n">
        <v>0</v>
      </c>
      <c r="AK93" s="0" t="n">
        <v>1350</v>
      </c>
      <c r="AL93" s="0" t="n">
        <v>1.73</v>
      </c>
    </row>
    <row r="94">
      <c r="A94" s="0" t="inlineStr">
        <is>
          <t>[고덕동]</t>
        </is>
      </c>
      <c r="B94" s="0" t="n">
        <v>140148</v>
      </c>
      <c r="C94" s="0" t="n">
        <v>21</v>
      </c>
      <c r="D94" s="0" t="inlineStr">
        <is>
          <t>고덕강일제일풍경채</t>
        </is>
      </c>
      <c r="E94" s="0" t="inlineStr">
        <is>
          <t>2024.01.</t>
        </is>
      </c>
      <c r="F94" s="0" t="n">
        <v>780</v>
      </c>
      <c r="G94" s="0" t="n">
        <v>36.17</v>
      </c>
      <c r="H94" s="0" t="n">
        <v>119.59</v>
      </c>
      <c r="I94" s="0" t="n">
        <v>25.69</v>
      </c>
      <c r="J94" s="0" t="n">
        <v>84.95</v>
      </c>
      <c r="K94" s="0" t="n">
        <v>2</v>
      </c>
      <c r="T94" s="0" t="n">
        <v>3</v>
      </c>
      <c r="U94" s="0" t="n">
        <v>2</v>
      </c>
      <c r="V94" s="0" t="inlineStr">
        <is>
          <t>계단식</t>
        </is>
      </c>
      <c r="W94" s="0" t="inlineStr">
        <is>
          <t>119SH</t>
        </is>
      </c>
      <c r="X94" s="0" t="n">
        <v>27</v>
      </c>
      <c r="Y94" s="0" t="n">
        <v>2</v>
      </c>
      <c r="Z94" s="0" t="inlineStr">
        <is>
          <t>https://new.land.naver.com/complexes/140148?tab=detail&amp;rf=Y</t>
        </is>
      </c>
      <c r="AA94" s="0" t="inlineStr">
        <is>
          <t>서울시 강동구 고덕동 136 일원 (고덕강일공공주택지구 1블록)</t>
        </is>
      </c>
      <c r="AB94" s="0" t="inlineStr">
        <is>
          <t>서울시</t>
        </is>
      </c>
      <c r="AC94" s="0" t="inlineStr">
        <is>
          <t>강동구</t>
        </is>
      </c>
      <c r="AD94" s="0" t="inlineStr">
        <is>
          <t>고덕동</t>
        </is>
      </c>
      <c r="AG94" s="0" t="inlineStr">
        <is>
          <t>서울시 강동구</t>
        </is>
      </c>
      <c r="AH94" s="0" t="n">
        <v>0</v>
      </c>
      <c r="AI94" s="0" t="n">
        <v>0</v>
      </c>
      <c r="AJ94" s="0" t="n">
        <v>0</v>
      </c>
      <c r="AK94" s="0" t="n">
        <v>1350</v>
      </c>
      <c r="AL94" s="0" t="n">
        <v>1.73</v>
      </c>
    </row>
    <row r="95">
      <c r="A95" s="0" t="inlineStr">
        <is>
          <t>[고덕동]</t>
        </is>
      </c>
      <c r="B95" s="0" t="n">
        <v>140148</v>
      </c>
      <c r="C95" s="0" t="n">
        <v>22</v>
      </c>
      <c r="D95" s="0" t="inlineStr">
        <is>
          <t>고덕강일제일풍경채</t>
        </is>
      </c>
      <c r="E95" s="0" t="inlineStr">
        <is>
          <t>2024.01.</t>
        </is>
      </c>
      <c r="F95" s="0" t="n">
        <v>780</v>
      </c>
      <c r="G95" s="0" t="n">
        <v>36.16</v>
      </c>
      <c r="H95" s="0" t="n">
        <v>119.56</v>
      </c>
      <c r="I95" s="0" t="n">
        <v>25.45</v>
      </c>
      <c r="J95" s="0" t="n">
        <v>84.14</v>
      </c>
      <c r="K95" s="0" t="n">
        <v>1</v>
      </c>
      <c r="T95" s="0" t="n">
        <v>3</v>
      </c>
      <c r="U95" s="0" t="n">
        <v>2</v>
      </c>
      <c r="V95" s="0" t="inlineStr">
        <is>
          <t>계단식</t>
        </is>
      </c>
      <c r="W95" s="0" t="inlineStr">
        <is>
          <t>119SJ</t>
        </is>
      </c>
      <c r="X95" s="0" t="n">
        <v>27</v>
      </c>
      <c r="Y95" s="0" t="n">
        <v>2</v>
      </c>
      <c r="Z95" s="0" t="inlineStr">
        <is>
          <t>https://new.land.naver.com/complexes/140148?tab=detail&amp;rf=Y</t>
        </is>
      </c>
      <c r="AA95" s="0" t="inlineStr">
        <is>
          <t>서울시 강동구 고덕동 136 일원 (고덕강일공공주택지구 1블록)</t>
        </is>
      </c>
      <c r="AB95" s="0" t="inlineStr">
        <is>
          <t>서울시</t>
        </is>
      </c>
      <c r="AC95" s="0" t="inlineStr">
        <is>
          <t>강동구</t>
        </is>
      </c>
      <c r="AD95" s="0" t="inlineStr">
        <is>
          <t>고덕동</t>
        </is>
      </c>
      <c r="AG95" s="0" t="inlineStr">
        <is>
          <t>서울시 강동구</t>
        </is>
      </c>
      <c r="AH95" s="0" t="n">
        <v>0</v>
      </c>
      <c r="AI95" s="0" t="n">
        <v>0</v>
      </c>
      <c r="AJ95" s="0" t="n">
        <v>0</v>
      </c>
      <c r="AK95" s="0" t="n">
        <v>1350</v>
      </c>
      <c r="AL95" s="0" t="n">
        <v>1.73</v>
      </c>
    </row>
    <row r="96">
      <c r="A96" s="0" t="inlineStr">
        <is>
          <t>[고덕동]</t>
        </is>
      </c>
      <c r="B96" s="0" t="n">
        <v>140148</v>
      </c>
      <c r="C96" s="0" t="n">
        <v>23</v>
      </c>
      <c r="D96" s="0" t="inlineStr">
        <is>
          <t>고덕강일제일풍경채</t>
        </is>
      </c>
      <c r="E96" s="0" t="inlineStr">
        <is>
          <t>2024.01.</t>
        </is>
      </c>
      <c r="F96" s="0" t="n">
        <v>780</v>
      </c>
      <c r="G96" s="0" t="n">
        <v>36.14</v>
      </c>
      <c r="H96" s="0" t="n">
        <v>119.48</v>
      </c>
      <c r="I96" s="0" t="n">
        <v>25.45</v>
      </c>
      <c r="J96" s="0" t="n">
        <v>84.14</v>
      </c>
      <c r="K96" s="0" t="n">
        <v>1</v>
      </c>
      <c r="T96" s="0" t="n">
        <v>3</v>
      </c>
      <c r="U96" s="0" t="n">
        <v>2</v>
      </c>
      <c r="V96" s="0" t="inlineStr">
        <is>
          <t>계단식</t>
        </is>
      </c>
      <c r="W96" s="0" t="inlineStr">
        <is>
          <t>119SK</t>
        </is>
      </c>
      <c r="X96" s="0" t="n">
        <v>27</v>
      </c>
      <c r="Y96" s="0" t="n">
        <v>2</v>
      </c>
      <c r="Z96" s="0" t="inlineStr">
        <is>
          <t>https://new.land.naver.com/complexes/140148?tab=detail&amp;rf=Y</t>
        </is>
      </c>
      <c r="AA96" s="0" t="inlineStr">
        <is>
          <t>서울시 강동구 고덕동 136 일원 (고덕강일공공주택지구 1블록)</t>
        </is>
      </c>
      <c r="AB96" s="0" t="inlineStr">
        <is>
          <t>서울시</t>
        </is>
      </c>
      <c r="AC96" s="0" t="inlineStr">
        <is>
          <t>강동구</t>
        </is>
      </c>
      <c r="AD96" s="0" t="inlineStr">
        <is>
          <t>고덕동</t>
        </is>
      </c>
      <c r="AG96" s="0" t="inlineStr">
        <is>
          <t>서울시 강동구</t>
        </is>
      </c>
      <c r="AH96" s="0" t="n">
        <v>0</v>
      </c>
      <c r="AI96" s="0" t="n">
        <v>0</v>
      </c>
      <c r="AJ96" s="0" t="n">
        <v>0</v>
      </c>
      <c r="AK96" s="0" t="n">
        <v>1350</v>
      </c>
      <c r="AL96" s="0" t="n">
        <v>1.73</v>
      </c>
    </row>
    <row r="97">
      <c r="A97" s="0" t="inlineStr">
        <is>
          <t>[고덕동]</t>
        </is>
      </c>
      <c r="B97" s="0" t="n">
        <v>140148</v>
      </c>
      <c r="C97" s="0" t="n">
        <v>24</v>
      </c>
      <c r="D97" s="0" t="inlineStr">
        <is>
          <t>고덕강일제일풍경채</t>
        </is>
      </c>
      <c r="E97" s="0" t="inlineStr">
        <is>
          <t>2024.01.</t>
        </is>
      </c>
      <c r="F97" s="0" t="n">
        <v>780</v>
      </c>
      <c r="G97" s="0" t="n">
        <v>42.01</v>
      </c>
      <c r="H97" s="0" t="n">
        <v>138.88</v>
      </c>
      <c r="I97" s="0" t="n">
        <v>30.56</v>
      </c>
      <c r="J97" s="0" t="n">
        <v>101.04</v>
      </c>
      <c r="K97" s="0" t="n">
        <v>82</v>
      </c>
      <c r="T97" s="0" t="n">
        <v>4</v>
      </c>
      <c r="U97" s="0" t="n">
        <v>2</v>
      </c>
      <c r="V97" s="0" t="inlineStr">
        <is>
          <t>계단식</t>
        </is>
      </c>
      <c r="W97" s="0" t="inlineStr">
        <is>
          <t>138A</t>
        </is>
      </c>
      <c r="X97" s="0" t="n">
        <v>27</v>
      </c>
      <c r="Y97" s="0" t="n">
        <v>2</v>
      </c>
      <c r="Z97" s="0" t="inlineStr">
        <is>
          <t>https://new.land.naver.com/complexes/140148?tab=detail&amp;rf=Y</t>
        </is>
      </c>
      <c r="AA97" s="0" t="inlineStr">
        <is>
          <t>서울시 강동구 고덕동 136 일원 (고덕강일공공주택지구 1블록)</t>
        </is>
      </c>
      <c r="AB97" s="0" t="inlineStr">
        <is>
          <t>서울시</t>
        </is>
      </c>
      <c r="AC97" s="0" t="inlineStr">
        <is>
          <t>강동구</t>
        </is>
      </c>
      <c r="AD97" s="0" t="inlineStr">
        <is>
          <t>고덕동</t>
        </is>
      </c>
      <c r="AG97" s="0" t="inlineStr">
        <is>
          <t>서울시 강동구</t>
        </is>
      </c>
      <c r="AH97" s="0" t="n">
        <v>0</v>
      </c>
      <c r="AI97" s="0" t="n">
        <v>0</v>
      </c>
      <c r="AJ97" s="0" t="n">
        <v>0</v>
      </c>
      <c r="AK97" s="0" t="n">
        <v>1350</v>
      </c>
      <c r="AL97" s="0" t="n">
        <v>1.73</v>
      </c>
    </row>
    <row r="98">
      <c r="A98" s="0" t="inlineStr">
        <is>
          <t>[고덕동]</t>
        </is>
      </c>
      <c r="B98" s="0" t="n">
        <v>140148</v>
      </c>
      <c r="C98" s="0" t="n">
        <v>25</v>
      </c>
      <c r="D98" s="0" t="inlineStr">
        <is>
          <t>고덕강일제일풍경채</t>
        </is>
      </c>
      <c r="E98" s="0" t="inlineStr">
        <is>
          <t>2024.01.</t>
        </is>
      </c>
      <c r="F98" s="0" t="n">
        <v>780</v>
      </c>
      <c r="G98" s="0" t="n">
        <v>42.18</v>
      </c>
      <c r="H98" s="0" t="n">
        <v>139.46</v>
      </c>
      <c r="I98" s="0" t="n">
        <v>30.56</v>
      </c>
      <c r="J98" s="0" t="n">
        <v>101.05</v>
      </c>
      <c r="K98" s="0" t="n">
        <v>37</v>
      </c>
      <c r="T98" s="0" t="n">
        <v>3</v>
      </c>
      <c r="U98" s="0" t="n">
        <v>2</v>
      </c>
      <c r="V98" s="0" t="inlineStr">
        <is>
          <t>계단식</t>
        </is>
      </c>
      <c r="W98" s="0" t="inlineStr">
        <is>
          <t>139B</t>
        </is>
      </c>
      <c r="X98" s="0" t="n">
        <v>27</v>
      </c>
      <c r="Y98" s="0" t="n">
        <v>2</v>
      </c>
      <c r="Z98" s="0" t="inlineStr">
        <is>
          <t>https://new.land.naver.com/complexes/140148?tab=detail&amp;rf=Y</t>
        </is>
      </c>
      <c r="AA98" s="0" t="inlineStr">
        <is>
          <t>서울시 강동구 고덕동 136 일원 (고덕강일공공주택지구 1블록)</t>
        </is>
      </c>
      <c r="AB98" s="0" t="inlineStr">
        <is>
          <t>서울시</t>
        </is>
      </c>
      <c r="AC98" s="0" t="inlineStr">
        <is>
          <t>강동구</t>
        </is>
      </c>
      <c r="AD98" s="0" t="inlineStr">
        <is>
          <t>고덕동</t>
        </is>
      </c>
      <c r="AG98" s="0" t="inlineStr">
        <is>
          <t>서울시 강동구</t>
        </is>
      </c>
      <c r="AH98" s="0" t="n">
        <v>0</v>
      </c>
      <c r="AI98" s="0" t="n">
        <v>0</v>
      </c>
      <c r="AJ98" s="0" t="n">
        <v>0</v>
      </c>
      <c r="AK98" s="0" t="n">
        <v>1350</v>
      </c>
      <c r="AL98" s="0" t="n">
        <v>1.73</v>
      </c>
    </row>
    <row r="99">
      <c r="A99" s="0" t="inlineStr">
        <is>
          <t>[고덕동]</t>
        </is>
      </c>
      <c r="B99" s="0" t="n">
        <v>140148</v>
      </c>
      <c r="C99" s="0" t="n">
        <v>26</v>
      </c>
      <c r="D99" s="0" t="inlineStr">
        <is>
          <t>고덕강일제일풍경채</t>
        </is>
      </c>
      <c r="E99" s="0" t="inlineStr">
        <is>
          <t>2024.01.</t>
        </is>
      </c>
      <c r="F99" s="0" t="n">
        <v>780</v>
      </c>
      <c r="G99" s="0" t="n">
        <v>42.69</v>
      </c>
      <c r="H99" s="0" t="n">
        <v>141.15</v>
      </c>
      <c r="I99" s="0" t="n">
        <v>30.64</v>
      </c>
      <c r="J99" s="0" t="n">
        <v>101.3</v>
      </c>
      <c r="K99" s="0" t="n">
        <v>24</v>
      </c>
      <c r="T99" s="0" t="n">
        <v>3</v>
      </c>
      <c r="U99" s="0" t="n">
        <v>2</v>
      </c>
      <c r="V99" s="0" t="inlineStr">
        <is>
          <t>계단식</t>
        </is>
      </c>
      <c r="W99" s="0" t="inlineStr">
        <is>
          <t>141D</t>
        </is>
      </c>
      <c r="X99" s="0" t="n">
        <v>27</v>
      </c>
      <c r="Y99" s="0" t="n">
        <v>2</v>
      </c>
      <c r="Z99" s="0" t="inlineStr">
        <is>
          <t>https://new.land.naver.com/complexes/140148?tab=detail&amp;rf=Y</t>
        </is>
      </c>
      <c r="AA99" s="0" t="inlineStr">
        <is>
          <t>서울시 강동구 고덕동 136 일원 (고덕강일공공주택지구 1블록)</t>
        </is>
      </c>
      <c r="AB99" s="0" t="inlineStr">
        <is>
          <t>서울시</t>
        </is>
      </c>
      <c r="AC99" s="0" t="inlineStr">
        <is>
          <t>강동구</t>
        </is>
      </c>
      <c r="AD99" s="0" t="inlineStr">
        <is>
          <t>고덕동</t>
        </is>
      </c>
      <c r="AG99" s="0" t="inlineStr">
        <is>
          <t>서울시 강동구</t>
        </is>
      </c>
      <c r="AH99" s="0" t="n">
        <v>0</v>
      </c>
      <c r="AI99" s="0" t="n">
        <v>0</v>
      </c>
      <c r="AJ99" s="0" t="n">
        <v>0</v>
      </c>
      <c r="AK99" s="0" t="n">
        <v>1350</v>
      </c>
      <c r="AL99" s="0" t="n">
        <v>1.73</v>
      </c>
    </row>
    <row r="100">
      <c r="A100" s="0" t="inlineStr">
        <is>
          <t>[고덕동]</t>
        </is>
      </c>
      <c r="B100" s="0" t="n">
        <v>140148</v>
      </c>
      <c r="C100" s="0" t="n">
        <v>27</v>
      </c>
      <c r="D100" s="0" t="inlineStr">
        <is>
          <t>고덕강일제일풍경채</t>
        </is>
      </c>
      <c r="E100" s="0" t="inlineStr">
        <is>
          <t>2024.01.</t>
        </is>
      </c>
      <c r="F100" s="0" t="n">
        <v>780</v>
      </c>
      <c r="G100" s="0" t="n">
        <v>43.02</v>
      </c>
      <c r="H100" s="0" t="n">
        <v>142.22</v>
      </c>
      <c r="I100" s="0" t="n">
        <v>30.63</v>
      </c>
      <c r="J100" s="0" t="n">
        <v>101.27</v>
      </c>
      <c r="K100" s="0" t="n">
        <v>76</v>
      </c>
      <c r="T100" s="0" t="n">
        <v>3</v>
      </c>
      <c r="U100" s="0" t="n">
        <v>2</v>
      </c>
      <c r="V100" s="0" t="inlineStr">
        <is>
          <t>계단식</t>
        </is>
      </c>
      <c r="W100" s="0" t="inlineStr">
        <is>
          <t>142C</t>
        </is>
      </c>
      <c r="X100" s="0" t="n">
        <v>27</v>
      </c>
      <c r="Y100" s="0" t="n">
        <v>2</v>
      </c>
      <c r="Z100" s="0" t="inlineStr">
        <is>
          <t>https://new.land.naver.com/complexes/140148?tab=detail&amp;rf=Y</t>
        </is>
      </c>
      <c r="AA100" s="0" t="inlineStr">
        <is>
          <t>서울시 강동구 고덕동 136 일원 (고덕강일공공주택지구 1블록)</t>
        </is>
      </c>
      <c r="AB100" s="0" t="inlineStr">
        <is>
          <t>서울시</t>
        </is>
      </c>
      <c r="AC100" s="0" t="inlineStr">
        <is>
          <t>강동구</t>
        </is>
      </c>
      <c r="AD100" s="0" t="inlineStr">
        <is>
          <t>고덕동</t>
        </is>
      </c>
      <c r="AG100" s="0" t="inlineStr">
        <is>
          <t>서울시 강동구</t>
        </is>
      </c>
      <c r="AH100" s="0" t="n">
        <v>0</v>
      </c>
      <c r="AI100" s="0" t="n">
        <v>0</v>
      </c>
      <c r="AJ100" s="0" t="n">
        <v>0</v>
      </c>
      <c r="AK100" s="0" t="n">
        <v>1350</v>
      </c>
      <c r="AL100" s="0" t="n">
        <v>1.73</v>
      </c>
    </row>
    <row r="101">
      <c r="A101" s="0" t="inlineStr">
        <is>
          <t>[고덕동]</t>
        </is>
      </c>
      <c r="B101" s="0" t="n">
        <v>117842</v>
      </c>
      <c r="C101" s="0" t="n">
        <v>1</v>
      </c>
      <c r="D101" s="0" t="inlineStr">
        <is>
          <t>고덕센트럴푸르지오</t>
        </is>
      </c>
      <c r="E101" s="0" t="inlineStr">
        <is>
          <t>2020.08.</t>
        </is>
      </c>
      <c r="F101" s="0" t="n">
        <v>656</v>
      </c>
      <c r="G101" s="0" t="n">
        <v>18.66</v>
      </c>
      <c r="H101" s="0" t="n">
        <v>61.71</v>
      </c>
      <c r="I101" s="0" t="n">
        <v>12.12</v>
      </c>
      <c r="J101" s="0" t="n">
        <v>40.09</v>
      </c>
      <c r="K101" s="0" t="n">
        <v>8</v>
      </c>
      <c r="T101" s="0" t="n">
        <v>1</v>
      </c>
      <c r="U101" s="0" t="n">
        <v>1</v>
      </c>
      <c r="V101" s="0" t="inlineStr">
        <is>
          <t>계단식</t>
        </is>
      </c>
      <c r="W101" s="0" t="inlineStr">
        <is>
          <t>61A</t>
        </is>
      </c>
      <c r="X101" s="0" t="n">
        <v>36</v>
      </c>
      <c r="Y101" s="0" t="n">
        <v>22</v>
      </c>
      <c r="Z101" s="0" t="inlineStr">
        <is>
          <t>https://new.land.naver.com/complexes/117842?tab=detail&amp;rf=Y</t>
        </is>
      </c>
      <c r="AA101" s="0" t="inlineStr">
        <is>
          <t>서울시 강동구 고덕동 210-1</t>
        </is>
      </c>
      <c r="AB101" s="0" t="inlineStr">
        <is>
          <t>서울시</t>
        </is>
      </c>
      <c r="AC101" s="0" t="inlineStr">
        <is>
          <t>강동구</t>
        </is>
      </c>
      <c r="AD101" s="0" t="inlineStr">
        <is>
          <t>고덕동</t>
        </is>
      </c>
      <c r="AG101" s="0" t="inlineStr">
        <is>
          <t>서울시 강동구 고덕로 399</t>
        </is>
      </c>
      <c r="AH101" s="0" t="n">
        <v>116</v>
      </c>
      <c r="AI101" s="0" t="n">
        <v>499</v>
      </c>
      <c r="AJ101" s="0" t="n">
        <v>57</v>
      </c>
      <c r="AK101" s="0" t="n">
        <v>656</v>
      </c>
      <c r="AL101" s="0" t="n">
        <v>1</v>
      </c>
    </row>
    <row r="102">
      <c r="A102" s="0" t="inlineStr">
        <is>
          <t>[고덕동]</t>
        </is>
      </c>
      <c r="B102" s="0" t="n">
        <v>117842</v>
      </c>
      <c r="C102" s="0" t="n">
        <v>2</v>
      </c>
      <c r="D102" s="0" t="inlineStr">
        <is>
          <t>고덕센트럴푸르지오</t>
        </is>
      </c>
      <c r="E102" s="0" t="inlineStr">
        <is>
          <t>2020.08.</t>
        </is>
      </c>
      <c r="F102" s="0" t="n">
        <v>656</v>
      </c>
      <c r="G102" s="0" t="n">
        <v>18.99</v>
      </c>
      <c r="H102" s="0" t="n">
        <v>62.79</v>
      </c>
      <c r="I102" s="0" t="n">
        <v>12.37</v>
      </c>
      <c r="J102" s="0" t="n">
        <v>40.92</v>
      </c>
      <c r="K102" s="0" t="n">
        <v>26</v>
      </c>
      <c r="T102" s="0" t="n">
        <v>1</v>
      </c>
      <c r="U102" s="0" t="n">
        <v>1</v>
      </c>
      <c r="V102" s="0" t="inlineStr">
        <is>
          <t>계단식</t>
        </is>
      </c>
      <c r="W102" s="0" t="inlineStr">
        <is>
          <t>62B</t>
        </is>
      </c>
      <c r="X102" s="0" t="n">
        <v>36</v>
      </c>
      <c r="Y102" s="0" t="n">
        <v>22</v>
      </c>
      <c r="Z102" s="0" t="inlineStr">
        <is>
          <t>https://new.land.naver.com/complexes/117842?tab=detail&amp;rf=Y</t>
        </is>
      </c>
      <c r="AA102" s="0" t="inlineStr">
        <is>
          <t>서울시 강동구 고덕동 210-1</t>
        </is>
      </c>
      <c r="AB102" s="0" t="inlineStr">
        <is>
          <t>서울시</t>
        </is>
      </c>
      <c r="AC102" s="0" t="inlineStr">
        <is>
          <t>강동구</t>
        </is>
      </c>
      <c r="AD102" s="0" t="inlineStr">
        <is>
          <t>고덕동</t>
        </is>
      </c>
      <c r="AG102" s="0" t="inlineStr">
        <is>
          <t>서울시 강동구 고덕로 399</t>
        </is>
      </c>
      <c r="AH102" s="0" t="n">
        <v>116</v>
      </c>
      <c r="AI102" s="0" t="n">
        <v>499</v>
      </c>
      <c r="AJ102" s="0" t="n">
        <v>57</v>
      </c>
      <c r="AK102" s="0" t="n">
        <v>656</v>
      </c>
      <c r="AL102" s="0" t="n">
        <v>1</v>
      </c>
    </row>
    <row r="103">
      <c r="A103" s="0" t="inlineStr">
        <is>
          <t>[고덕동]</t>
        </is>
      </c>
      <c r="B103" s="0" t="n">
        <v>117842</v>
      </c>
      <c r="C103" s="0" t="n">
        <v>3</v>
      </c>
      <c r="D103" s="0" t="inlineStr">
        <is>
          <t>고덕센트럴푸르지오</t>
        </is>
      </c>
      <c r="E103" s="0" t="inlineStr">
        <is>
          <t>2020.08.</t>
        </is>
      </c>
      <c r="F103" s="0" t="n">
        <v>656</v>
      </c>
      <c r="G103" s="0" t="n">
        <v>24.86</v>
      </c>
      <c r="H103" s="0" t="n">
        <v>82.2</v>
      </c>
      <c r="I103" s="0" t="n">
        <v>17.88</v>
      </c>
      <c r="J103" s="0" t="n">
        <v>59.14</v>
      </c>
      <c r="K103" s="0" t="n">
        <v>280</v>
      </c>
      <c r="T103" s="0" t="n">
        <v>3</v>
      </c>
      <c r="U103" s="0" t="n">
        <v>2</v>
      </c>
      <c r="V103" s="0" t="inlineStr">
        <is>
          <t>계단식</t>
        </is>
      </c>
      <c r="W103" s="0" t="inlineStr">
        <is>
          <t>82A</t>
        </is>
      </c>
      <c r="X103" s="0" t="n">
        <v>36</v>
      </c>
      <c r="Y103" s="0" t="n">
        <v>22</v>
      </c>
      <c r="Z103" s="0" t="inlineStr">
        <is>
          <t>https://new.land.naver.com/complexes/117842?tab=detail&amp;rf=Y</t>
        </is>
      </c>
      <c r="AA103" s="0" t="inlineStr">
        <is>
          <t>서울시 강동구 고덕동 210-1</t>
        </is>
      </c>
      <c r="AB103" s="0" t="inlineStr">
        <is>
          <t>서울시</t>
        </is>
      </c>
      <c r="AC103" s="0" t="inlineStr">
        <is>
          <t>강동구</t>
        </is>
      </c>
      <c r="AD103" s="0" t="inlineStr">
        <is>
          <t>고덕동</t>
        </is>
      </c>
      <c r="AG103" s="0" t="inlineStr">
        <is>
          <t>서울시 강동구 고덕로 399</t>
        </is>
      </c>
      <c r="AH103" s="0" t="n">
        <v>116</v>
      </c>
      <c r="AI103" s="0" t="n">
        <v>499</v>
      </c>
      <c r="AJ103" s="0" t="n">
        <v>57</v>
      </c>
      <c r="AK103" s="0" t="n">
        <v>656</v>
      </c>
      <c r="AL103" s="0" t="n">
        <v>1</v>
      </c>
    </row>
    <row r="104">
      <c r="A104" s="0" t="inlineStr">
        <is>
          <t>[고덕동]</t>
        </is>
      </c>
      <c r="B104" s="0" t="n">
        <v>117842</v>
      </c>
      <c r="C104" s="0" t="n">
        <v>4</v>
      </c>
      <c r="D104" s="0" t="inlineStr">
        <is>
          <t>고덕센트럴푸르지오</t>
        </is>
      </c>
      <c r="E104" s="0" t="inlineStr">
        <is>
          <t>2020.08.</t>
        </is>
      </c>
      <c r="F104" s="0" t="n">
        <v>656</v>
      </c>
      <c r="G104" s="0" t="n">
        <v>24.96</v>
      </c>
      <c r="H104" s="0" t="n">
        <v>82.53</v>
      </c>
      <c r="I104" s="0" t="n">
        <v>17.87</v>
      </c>
      <c r="J104" s="0" t="n">
        <v>59.09</v>
      </c>
      <c r="K104" s="0" t="n">
        <v>115</v>
      </c>
      <c r="T104" s="0" t="n">
        <v>3</v>
      </c>
      <c r="U104" s="0" t="n">
        <v>2</v>
      </c>
      <c r="V104" s="0" t="inlineStr">
        <is>
          <t>계단식</t>
        </is>
      </c>
      <c r="W104" s="0" t="inlineStr">
        <is>
          <t>82D</t>
        </is>
      </c>
      <c r="X104" s="0" t="n">
        <v>36</v>
      </c>
      <c r="Y104" s="0" t="n">
        <v>22</v>
      </c>
      <c r="Z104" s="0" t="inlineStr">
        <is>
          <t>https://new.land.naver.com/complexes/117842?tab=detail&amp;rf=Y</t>
        </is>
      </c>
      <c r="AA104" s="0" t="inlineStr">
        <is>
          <t>서울시 강동구 고덕동 210-1</t>
        </is>
      </c>
      <c r="AB104" s="0" t="inlineStr">
        <is>
          <t>서울시</t>
        </is>
      </c>
      <c r="AC104" s="0" t="inlineStr">
        <is>
          <t>강동구</t>
        </is>
      </c>
      <c r="AD104" s="0" t="inlineStr">
        <is>
          <t>고덕동</t>
        </is>
      </c>
      <c r="AG104" s="0" t="inlineStr">
        <is>
          <t>서울시 강동구 고덕로 399</t>
        </is>
      </c>
      <c r="AH104" s="0" t="n">
        <v>116</v>
      </c>
      <c r="AI104" s="0" t="n">
        <v>499</v>
      </c>
      <c r="AJ104" s="0" t="n">
        <v>57</v>
      </c>
      <c r="AK104" s="0" t="n">
        <v>656</v>
      </c>
      <c r="AL104" s="0" t="n">
        <v>1</v>
      </c>
    </row>
    <row r="105">
      <c r="A105" s="0" t="inlineStr">
        <is>
          <t>[고덕동]</t>
        </is>
      </c>
      <c r="B105" s="0" t="n">
        <v>117842</v>
      </c>
      <c r="C105" s="0" t="n">
        <v>5</v>
      </c>
      <c r="D105" s="0" t="inlineStr">
        <is>
          <t>고덕센트럴푸르지오</t>
        </is>
      </c>
      <c r="E105" s="0" t="inlineStr">
        <is>
          <t>2020.08.</t>
        </is>
      </c>
      <c r="F105" s="0" t="n">
        <v>656</v>
      </c>
      <c r="G105" s="0" t="n">
        <v>24.95</v>
      </c>
      <c r="H105" s="0" t="n">
        <v>82.5</v>
      </c>
      <c r="I105" s="0" t="n">
        <v>17.86</v>
      </c>
      <c r="J105" s="0" t="n">
        <v>59.06</v>
      </c>
      <c r="K105" s="0" t="n">
        <v>89</v>
      </c>
      <c r="T105" s="0" t="n">
        <v>3</v>
      </c>
      <c r="U105" s="0" t="n">
        <v>2</v>
      </c>
      <c r="V105" s="0" t="inlineStr">
        <is>
          <t>계단식</t>
        </is>
      </c>
      <c r="W105" s="0" t="inlineStr">
        <is>
          <t>82C</t>
        </is>
      </c>
      <c r="X105" s="0" t="n">
        <v>36</v>
      </c>
      <c r="Y105" s="0" t="n">
        <v>22</v>
      </c>
      <c r="Z105" s="0" t="inlineStr">
        <is>
          <t>https://new.land.naver.com/complexes/117842?tab=detail&amp;rf=Y</t>
        </is>
      </c>
      <c r="AA105" s="0" t="inlineStr">
        <is>
          <t>서울시 강동구 고덕동 210-1</t>
        </is>
      </c>
      <c r="AB105" s="0" t="inlineStr">
        <is>
          <t>서울시</t>
        </is>
      </c>
      <c r="AC105" s="0" t="inlineStr">
        <is>
          <t>강동구</t>
        </is>
      </c>
      <c r="AD105" s="0" t="inlineStr">
        <is>
          <t>고덕동</t>
        </is>
      </c>
      <c r="AG105" s="0" t="inlineStr">
        <is>
          <t>서울시 강동구 고덕로 399</t>
        </is>
      </c>
      <c r="AH105" s="0" t="n">
        <v>116</v>
      </c>
      <c r="AI105" s="0" t="n">
        <v>499</v>
      </c>
      <c r="AJ105" s="0" t="n">
        <v>57</v>
      </c>
      <c r="AK105" s="0" t="n">
        <v>656</v>
      </c>
      <c r="AL105" s="0" t="n">
        <v>1</v>
      </c>
    </row>
    <row r="106">
      <c r="A106" s="0" t="inlineStr">
        <is>
          <t>[고덕동]</t>
        </is>
      </c>
      <c r="B106" s="0" t="n">
        <v>117842</v>
      </c>
      <c r="C106" s="0" t="n">
        <v>6</v>
      </c>
      <c r="D106" s="0" t="inlineStr">
        <is>
          <t>고덕센트럴푸르지오</t>
        </is>
      </c>
      <c r="E106" s="0" t="inlineStr">
        <is>
          <t>2020.08.</t>
        </is>
      </c>
      <c r="F106" s="0" t="n">
        <v>656</v>
      </c>
      <c r="G106" s="0" t="n">
        <v>24.91</v>
      </c>
      <c r="H106" s="0" t="n">
        <v>82.36</v>
      </c>
      <c r="I106" s="0" t="n">
        <v>17.89</v>
      </c>
      <c r="J106" s="0" t="n">
        <v>59.16</v>
      </c>
      <c r="K106" s="0" t="n">
        <v>17</v>
      </c>
      <c r="T106" s="0" t="n">
        <v>3</v>
      </c>
      <c r="U106" s="0" t="n">
        <v>2</v>
      </c>
      <c r="V106" s="0" t="inlineStr">
        <is>
          <t>계단식</t>
        </is>
      </c>
      <c r="W106" s="0" t="inlineStr">
        <is>
          <t>82B</t>
        </is>
      </c>
      <c r="X106" s="0" t="n">
        <v>36</v>
      </c>
      <c r="Y106" s="0" t="n">
        <v>22</v>
      </c>
      <c r="Z106" s="0" t="inlineStr">
        <is>
          <t>https://new.land.naver.com/complexes/117842?tab=detail&amp;rf=Y</t>
        </is>
      </c>
      <c r="AA106" s="0" t="inlineStr">
        <is>
          <t>서울시 강동구 고덕동 210-1</t>
        </is>
      </c>
      <c r="AB106" s="0" t="inlineStr">
        <is>
          <t>서울시</t>
        </is>
      </c>
      <c r="AC106" s="0" t="inlineStr">
        <is>
          <t>강동구</t>
        </is>
      </c>
      <c r="AD106" s="0" t="inlineStr">
        <is>
          <t>고덕동</t>
        </is>
      </c>
      <c r="AG106" s="0" t="inlineStr">
        <is>
          <t>서울시 강동구 고덕로 399</t>
        </is>
      </c>
      <c r="AH106" s="0" t="n">
        <v>116</v>
      </c>
      <c r="AI106" s="0" t="n">
        <v>499</v>
      </c>
      <c r="AJ106" s="0" t="n">
        <v>57</v>
      </c>
      <c r="AK106" s="0" t="n">
        <v>656</v>
      </c>
      <c r="AL106" s="0" t="n">
        <v>1</v>
      </c>
    </row>
    <row r="107">
      <c r="A107" s="0" t="inlineStr">
        <is>
          <t>[고덕동]</t>
        </is>
      </c>
      <c r="B107" s="0" t="n">
        <v>117842</v>
      </c>
      <c r="C107" s="0" t="n">
        <v>7</v>
      </c>
      <c r="D107" s="0" t="inlineStr">
        <is>
          <t>고덕센트럴푸르지오</t>
        </is>
      </c>
      <c r="E107" s="0" t="inlineStr">
        <is>
          <t>2020.08.</t>
        </is>
      </c>
      <c r="F107" s="0" t="n">
        <v>656</v>
      </c>
      <c r="G107" s="0" t="n">
        <v>36.05</v>
      </c>
      <c r="H107" s="0" t="n">
        <v>119.2</v>
      </c>
      <c r="I107" s="0" t="n">
        <v>25.69</v>
      </c>
      <c r="J107" s="0" t="n">
        <v>84.95</v>
      </c>
      <c r="K107" s="0" t="n">
        <v>4</v>
      </c>
      <c r="T107" s="0" t="n">
        <v>3</v>
      </c>
      <c r="U107" s="0" t="n">
        <v>2</v>
      </c>
      <c r="V107" s="0" t="inlineStr">
        <is>
          <t>계단식</t>
        </is>
      </c>
      <c r="W107" s="0" t="inlineStr">
        <is>
          <t>119A</t>
        </is>
      </c>
      <c r="X107" s="0" t="n">
        <v>36</v>
      </c>
      <c r="Y107" s="0" t="n">
        <v>22</v>
      </c>
      <c r="Z107" s="0" t="inlineStr">
        <is>
          <t>https://new.land.naver.com/complexes/117842?tab=detail&amp;rf=Y</t>
        </is>
      </c>
      <c r="AA107" s="0" t="inlineStr">
        <is>
          <t>서울시 강동구 고덕동 210-1</t>
        </is>
      </c>
      <c r="AB107" s="0" t="inlineStr">
        <is>
          <t>서울시</t>
        </is>
      </c>
      <c r="AC107" s="0" t="inlineStr">
        <is>
          <t>강동구</t>
        </is>
      </c>
      <c r="AD107" s="0" t="inlineStr">
        <is>
          <t>고덕동</t>
        </is>
      </c>
      <c r="AG107" s="0" t="inlineStr">
        <is>
          <t>서울시 강동구 고덕로 399</t>
        </is>
      </c>
      <c r="AH107" s="0" t="n">
        <v>116</v>
      </c>
      <c r="AI107" s="0" t="n">
        <v>499</v>
      </c>
      <c r="AJ107" s="0" t="n">
        <v>57</v>
      </c>
      <c r="AK107" s="0" t="n">
        <v>656</v>
      </c>
      <c r="AL107" s="0" t="n">
        <v>1</v>
      </c>
    </row>
    <row r="108">
      <c r="A108" s="0" t="inlineStr">
        <is>
          <t>[고덕동]</t>
        </is>
      </c>
      <c r="B108" s="0" t="n">
        <v>117842</v>
      </c>
      <c r="C108" s="0" t="n">
        <v>8</v>
      </c>
      <c r="D108" s="0" t="inlineStr">
        <is>
          <t>고덕센트럴푸르지오</t>
        </is>
      </c>
      <c r="E108" s="0" t="inlineStr">
        <is>
          <t>2020.08.</t>
        </is>
      </c>
      <c r="F108" s="0" t="n">
        <v>656</v>
      </c>
      <c r="G108" s="0" t="n">
        <v>36</v>
      </c>
      <c r="H108" s="0" t="n">
        <v>119.02</v>
      </c>
      <c r="I108" s="0" t="n">
        <v>25.7</v>
      </c>
      <c r="J108" s="0" t="n">
        <v>84.98999999999999</v>
      </c>
      <c r="K108" s="0" t="n">
        <v>1</v>
      </c>
      <c r="T108" s="0" t="n">
        <v>3</v>
      </c>
      <c r="U108" s="0" t="n">
        <v>2</v>
      </c>
      <c r="V108" s="0" t="inlineStr">
        <is>
          <t>계단식</t>
        </is>
      </c>
      <c r="W108" s="0" t="inlineStr">
        <is>
          <t>119B</t>
        </is>
      </c>
      <c r="X108" s="0" t="n">
        <v>36</v>
      </c>
      <c r="Y108" s="0" t="n">
        <v>22</v>
      </c>
      <c r="Z108" s="0" t="inlineStr">
        <is>
          <t>https://new.land.naver.com/complexes/117842?tab=detail&amp;rf=Y</t>
        </is>
      </c>
      <c r="AA108" s="0" t="inlineStr">
        <is>
          <t>서울시 강동구 고덕동 210-1</t>
        </is>
      </c>
      <c r="AB108" s="0" t="inlineStr">
        <is>
          <t>서울시</t>
        </is>
      </c>
      <c r="AC108" s="0" t="inlineStr">
        <is>
          <t>강동구</t>
        </is>
      </c>
      <c r="AD108" s="0" t="inlineStr">
        <is>
          <t>고덕동</t>
        </is>
      </c>
      <c r="AG108" s="0" t="inlineStr">
        <is>
          <t>서울시 강동구 고덕로 399</t>
        </is>
      </c>
      <c r="AH108" s="0" t="n">
        <v>116</v>
      </c>
      <c r="AI108" s="0" t="n">
        <v>499</v>
      </c>
      <c r="AJ108" s="0" t="n">
        <v>57</v>
      </c>
      <c r="AK108" s="0" t="n">
        <v>656</v>
      </c>
      <c r="AL108" s="0" t="n">
        <v>1</v>
      </c>
    </row>
    <row r="109">
      <c r="A109" s="0" t="inlineStr">
        <is>
          <t>[고덕동]</t>
        </is>
      </c>
      <c r="B109" s="0" t="n">
        <v>1123</v>
      </c>
      <c r="C109" s="0" t="n">
        <v>1</v>
      </c>
      <c r="D109" s="0" t="inlineStr">
        <is>
          <t>대우</t>
        </is>
      </c>
      <c r="E109" s="0" t="inlineStr">
        <is>
          <t>1986.05.</t>
        </is>
      </c>
      <c r="F109" s="0" t="n">
        <v>99</v>
      </c>
      <c r="G109" s="0" t="n">
        <v>30.74</v>
      </c>
      <c r="H109" s="0" t="n">
        <v>101.64</v>
      </c>
      <c r="I109" s="0" t="n">
        <v>21.78</v>
      </c>
      <c r="J109" s="0" t="n">
        <v>72.03</v>
      </c>
      <c r="K109" s="0" t="n">
        <v>27</v>
      </c>
      <c r="T109" s="0" t="n">
        <v>3</v>
      </c>
      <c r="U109" s="0" t="n">
        <v>1</v>
      </c>
      <c r="V109" s="0" t="inlineStr">
        <is>
          <t>복도식</t>
        </is>
      </c>
      <c r="W109" s="0" t="n">
        <v>101</v>
      </c>
      <c r="X109" s="0" t="n">
        <v>9</v>
      </c>
      <c r="Y109" s="0" t="n">
        <v>9</v>
      </c>
      <c r="Z109" s="0" t="inlineStr">
        <is>
          <t>https://new.land.naver.com/complexes/1123?tab=detail&amp;rf=Y</t>
        </is>
      </c>
      <c r="AA109" s="0" t="inlineStr">
        <is>
          <t>서울시 강동구 고덕동 470</t>
        </is>
      </c>
      <c r="AB109" s="0" t="inlineStr">
        <is>
          <t>서울시</t>
        </is>
      </c>
      <c r="AC109" s="0" t="inlineStr">
        <is>
          <t>강동구</t>
        </is>
      </c>
      <c r="AD109" s="0" t="inlineStr">
        <is>
          <t>고덕동</t>
        </is>
      </c>
      <c r="AG109" s="0" t="inlineStr">
        <is>
          <t>서울시 강동구 양재대로 1716</t>
        </is>
      </c>
      <c r="AH109" s="0" t="n">
        <v>0</v>
      </c>
      <c r="AI109" s="0" t="n">
        <v>175</v>
      </c>
      <c r="AJ109" s="0" t="n">
        <v>0</v>
      </c>
      <c r="AK109" s="0" t="n">
        <v>102</v>
      </c>
      <c r="AL109" s="0" t="n">
        <v>1.03</v>
      </c>
    </row>
    <row r="110">
      <c r="A110" s="0" t="inlineStr">
        <is>
          <t>[고덕동]</t>
        </is>
      </c>
      <c r="B110" s="0" t="n">
        <v>1123</v>
      </c>
      <c r="C110" s="0" t="n">
        <v>2</v>
      </c>
      <c r="D110" s="0" t="inlineStr">
        <is>
          <t>대우</t>
        </is>
      </c>
      <c r="E110" s="0" t="inlineStr">
        <is>
          <t>1986.05.</t>
        </is>
      </c>
      <c r="F110" s="0" t="n">
        <v>99</v>
      </c>
      <c r="G110" s="0" t="n">
        <v>35.56</v>
      </c>
      <c r="H110" s="0" t="n">
        <v>117.58</v>
      </c>
      <c r="I110" s="0" t="n">
        <v>29.04</v>
      </c>
      <c r="J110" s="0" t="n">
        <v>96</v>
      </c>
      <c r="K110" s="0" t="n">
        <v>72</v>
      </c>
      <c r="T110" s="0" t="n">
        <v>4</v>
      </c>
      <c r="U110" s="0" t="n">
        <v>1</v>
      </c>
      <c r="V110" s="0" t="inlineStr">
        <is>
          <t>계단식</t>
        </is>
      </c>
      <c r="W110" s="0" t="n">
        <v>117</v>
      </c>
      <c r="X110" s="0" t="n">
        <v>9</v>
      </c>
      <c r="Y110" s="0" t="n">
        <v>9</v>
      </c>
      <c r="Z110" s="0" t="inlineStr">
        <is>
          <t>https://new.land.naver.com/complexes/1123?tab=detail&amp;rf=Y</t>
        </is>
      </c>
      <c r="AA110" s="0" t="inlineStr">
        <is>
          <t>서울시 강동구 고덕동 470</t>
        </is>
      </c>
      <c r="AB110" s="0" t="inlineStr">
        <is>
          <t>서울시</t>
        </is>
      </c>
      <c r="AC110" s="0" t="inlineStr">
        <is>
          <t>강동구</t>
        </is>
      </c>
      <c r="AD110" s="0" t="inlineStr">
        <is>
          <t>고덕동</t>
        </is>
      </c>
      <c r="AG110" s="0" t="inlineStr">
        <is>
          <t>서울시 강동구 양재대로 1716</t>
        </is>
      </c>
      <c r="AH110" s="0" t="n">
        <v>0</v>
      </c>
      <c r="AI110" s="0" t="n">
        <v>175</v>
      </c>
      <c r="AJ110" s="0" t="n">
        <v>0</v>
      </c>
      <c r="AK110" s="0" t="n">
        <v>102</v>
      </c>
      <c r="AL110" s="0" t="n">
        <v>1.03</v>
      </c>
    </row>
    <row r="111">
      <c r="A111" s="0" t="inlineStr">
        <is>
          <t>[고덕동]</t>
        </is>
      </c>
      <c r="B111" s="0" t="n">
        <v>1156</v>
      </c>
      <c r="C111" s="0" t="n">
        <v>1</v>
      </c>
      <c r="D111" s="0" t="inlineStr">
        <is>
          <t>아남</t>
        </is>
      </c>
      <c r="E111" s="0" t="inlineStr">
        <is>
          <t>1996.03.</t>
        </is>
      </c>
      <c r="F111" s="0" t="n">
        <v>807</v>
      </c>
      <c r="G111" s="0" t="n">
        <v>18.43</v>
      </c>
      <c r="H111" s="0" t="n">
        <v>60.95</v>
      </c>
      <c r="I111" s="0" t="n">
        <v>15.18</v>
      </c>
      <c r="J111" s="0" t="n">
        <v>50.2</v>
      </c>
      <c r="K111" s="0" t="n">
        <v>82</v>
      </c>
      <c r="T111" s="0" t="n">
        <v>2</v>
      </c>
      <c r="U111" s="0" t="n">
        <v>1</v>
      </c>
      <c r="V111" s="0" t="inlineStr">
        <is>
          <t>복도식</t>
        </is>
      </c>
      <c r="W111" s="0" t="n">
        <v>60</v>
      </c>
      <c r="X111" s="0" t="n">
        <v>19</v>
      </c>
      <c r="Y111" s="0" t="n">
        <v>9</v>
      </c>
      <c r="Z111" s="0" t="inlineStr">
        <is>
          <t>https://new.land.naver.com/complexes/1156?tab=detail&amp;rf=Y</t>
        </is>
      </c>
      <c r="AA111" s="0" t="inlineStr">
        <is>
          <t>서울시 강동구 고덕동 486</t>
        </is>
      </c>
      <c r="AB111" s="0" t="inlineStr">
        <is>
          <t>서울시</t>
        </is>
      </c>
      <c r="AC111" s="0" t="inlineStr">
        <is>
          <t>강동구</t>
        </is>
      </c>
      <c r="AD111" s="0" t="inlineStr">
        <is>
          <t>고덕동</t>
        </is>
      </c>
      <c r="AG111" s="0" t="inlineStr">
        <is>
          <t>서울시 강동구 양재대로 1706</t>
        </is>
      </c>
      <c r="AH111" s="0" t="n">
        <v>0</v>
      </c>
      <c r="AI111" s="0" t="n">
        <v>296</v>
      </c>
      <c r="AJ111" s="0" t="n">
        <v>20</v>
      </c>
      <c r="AK111" s="0" t="n">
        <v>692</v>
      </c>
      <c r="AL111" s="0" t="n">
        <v>0.86</v>
      </c>
    </row>
    <row r="112">
      <c r="A112" s="0" t="inlineStr">
        <is>
          <t>[고덕동]</t>
        </is>
      </c>
      <c r="B112" s="0" t="n">
        <v>1156</v>
      </c>
      <c r="C112" s="0" t="n">
        <v>2</v>
      </c>
      <c r="D112" s="0" t="inlineStr">
        <is>
          <t>아남</t>
        </is>
      </c>
      <c r="E112" s="0" t="inlineStr">
        <is>
          <t>1996.03.</t>
        </is>
      </c>
      <c r="F112" s="0" t="n">
        <v>807</v>
      </c>
      <c r="G112" s="0" t="n">
        <v>26.15</v>
      </c>
      <c r="H112" s="0" t="n">
        <v>86.45</v>
      </c>
      <c r="I112" s="0" t="n">
        <v>21.53</v>
      </c>
      <c r="J112" s="0" t="n">
        <v>71.2</v>
      </c>
      <c r="K112" s="0" t="n">
        <v>63</v>
      </c>
      <c r="T112" s="0" t="n">
        <v>3</v>
      </c>
      <c r="U112" s="0" t="n">
        <v>1</v>
      </c>
      <c r="V112" s="0" t="inlineStr">
        <is>
          <t>복도식</t>
        </is>
      </c>
      <c r="W112" s="0" t="n">
        <v>86</v>
      </c>
      <c r="X112" s="0" t="n">
        <v>19</v>
      </c>
      <c r="Y112" s="0" t="n">
        <v>9</v>
      </c>
      <c r="Z112" s="0" t="inlineStr">
        <is>
          <t>https://new.land.naver.com/complexes/1156?tab=detail&amp;rf=Y</t>
        </is>
      </c>
      <c r="AA112" s="0" t="inlineStr">
        <is>
          <t>서울시 강동구 고덕동 486</t>
        </is>
      </c>
      <c r="AB112" s="0" t="inlineStr">
        <is>
          <t>서울시</t>
        </is>
      </c>
      <c r="AC112" s="0" t="inlineStr">
        <is>
          <t>강동구</t>
        </is>
      </c>
      <c r="AD112" s="0" t="inlineStr">
        <is>
          <t>고덕동</t>
        </is>
      </c>
      <c r="AG112" s="0" t="inlineStr">
        <is>
          <t>서울시 강동구 양재대로 1706</t>
        </is>
      </c>
      <c r="AH112" s="0" t="n">
        <v>0</v>
      </c>
      <c r="AI112" s="0" t="n">
        <v>296</v>
      </c>
      <c r="AJ112" s="0" t="n">
        <v>20</v>
      </c>
      <c r="AK112" s="0" t="n">
        <v>692</v>
      </c>
      <c r="AL112" s="0" t="n">
        <v>0.86</v>
      </c>
    </row>
    <row r="113">
      <c r="A113" s="0" t="inlineStr">
        <is>
          <t>[고덕동]</t>
        </is>
      </c>
      <c r="B113" s="0" t="n">
        <v>1156</v>
      </c>
      <c r="C113" s="0" t="n">
        <v>3</v>
      </c>
      <c r="D113" s="0" t="inlineStr">
        <is>
          <t>아남</t>
        </is>
      </c>
      <c r="E113" s="0" t="inlineStr">
        <is>
          <t>1996.03.</t>
        </is>
      </c>
      <c r="F113" s="0" t="n">
        <v>807</v>
      </c>
      <c r="G113" s="0" t="n">
        <v>28.76</v>
      </c>
      <c r="H113" s="0" t="n">
        <v>95.08</v>
      </c>
      <c r="I113" s="0" t="n">
        <v>23.68</v>
      </c>
      <c r="J113" s="0" t="n">
        <v>78.3</v>
      </c>
      <c r="K113" s="0" t="n">
        <v>106</v>
      </c>
      <c r="T113" s="0" t="n">
        <v>3</v>
      </c>
      <c r="U113" s="0" t="n">
        <v>1</v>
      </c>
      <c r="V113" s="0" t="inlineStr">
        <is>
          <t>계단식</t>
        </is>
      </c>
      <c r="W113" s="0" t="n">
        <v>95</v>
      </c>
      <c r="X113" s="0" t="n">
        <v>19</v>
      </c>
      <c r="Y113" s="0" t="n">
        <v>9</v>
      </c>
      <c r="Z113" s="0" t="inlineStr">
        <is>
          <t>https://new.land.naver.com/complexes/1156?tab=detail&amp;rf=Y</t>
        </is>
      </c>
      <c r="AA113" s="0" t="inlineStr">
        <is>
          <t>서울시 강동구 고덕동 486</t>
        </is>
      </c>
      <c r="AB113" s="0" t="inlineStr">
        <is>
          <t>서울시</t>
        </is>
      </c>
      <c r="AC113" s="0" t="inlineStr">
        <is>
          <t>강동구</t>
        </is>
      </c>
      <c r="AD113" s="0" t="inlineStr">
        <is>
          <t>고덕동</t>
        </is>
      </c>
      <c r="AG113" s="0" t="inlineStr">
        <is>
          <t>서울시 강동구 양재대로 1706</t>
        </is>
      </c>
      <c r="AH113" s="0" t="n">
        <v>0</v>
      </c>
      <c r="AI113" s="0" t="n">
        <v>296</v>
      </c>
      <c r="AJ113" s="0" t="n">
        <v>20</v>
      </c>
      <c r="AK113" s="0" t="n">
        <v>692</v>
      </c>
      <c r="AL113" s="0" t="n">
        <v>0.86</v>
      </c>
    </row>
    <row r="114">
      <c r="A114" s="0" t="inlineStr">
        <is>
          <t>[고덕동]</t>
        </is>
      </c>
      <c r="B114" s="0" t="n">
        <v>1156</v>
      </c>
      <c r="C114" s="0" t="n">
        <v>4</v>
      </c>
      <c r="D114" s="0" t="inlineStr">
        <is>
          <t>아남</t>
        </is>
      </c>
      <c r="E114" s="0" t="inlineStr">
        <is>
          <t>1996.03.</t>
        </is>
      </c>
      <c r="F114" s="0" t="n">
        <v>807</v>
      </c>
      <c r="G114" s="0" t="n">
        <v>31.18</v>
      </c>
      <c r="H114" s="0" t="n">
        <v>103.1</v>
      </c>
      <c r="I114" s="0" t="n">
        <v>25.68</v>
      </c>
      <c r="J114" s="0" t="n">
        <v>84.91</v>
      </c>
      <c r="K114" s="0" t="n">
        <v>556</v>
      </c>
      <c r="T114" s="0" t="n">
        <v>3</v>
      </c>
      <c r="U114" s="0" t="n">
        <v>2</v>
      </c>
      <c r="V114" s="0" t="inlineStr">
        <is>
          <t>계단식</t>
        </is>
      </c>
      <c r="W114" s="0" t="n">
        <v>103</v>
      </c>
      <c r="X114" s="0" t="n">
        <v>19</v>
      </c>
      <c r="Y114" s="0" t="n">
        <v>9</v>
      </c>
      <c r="Z114" s="0" t="inlineStr">
        <is>
          <t>https://new.land.naver.com/complexes/1156?tab=detail&amp;rf=Y</t>
        </is>
      </c>
      <c r="AA114" s="0" t="inlineStr">
        <is>
          <t>서울시 강동구 고덕동 486</t>
        </is>
      </c>
      <c r="AB114" s="0" t="inlineStr">
        <is>
          <t>서울시</t>
        </is>
      </c>
      <c r="AC114" s="0" t="inlineStr">
        <is>
          <t>강동구</t>
        </is>
      </c>
      <c r="AD114" s="0" t="inlineStr">
        <is>
          <t>고덕동</t>
        </is>
      </c>
      <c r="AG114" s="0" t="inlineStr">
        <is>
          <t>서울시 강동구 양재대로 1706</t>
        </is>
      </c>
      <c r="AH114" s="0" t="n">
        <v>0</v>
      </c>
      <c r="AI114" s="0" t="n">
        <v>296</v>
      </c>
      <c r="AJ114" s="0" t="n">
        <v>20</v>
      </c>
      <c r="AK114" s="0" t="n">
        <v>692</v>
      </c>
      <c r="AL114" s="0" t="n">
        <v>0.86</v>
      </c>
    </row>
    <row r="115">
      <c r="A115" s="0" t="inlineStr">
        <is>
          <t>[고덕동]</t>
        </is>
      </c>
      <c r="B115" s="0" t="n">
        <v>108187</v>
      </c>
      <c r="C115" s="0" t="n">
        <v>1</v>
      </c>
      <c r="D115" s="0" t="inlineStr">
        <is>
          <t>고덕래미안힐스테이트</t>
        </is>
      </c>
      <c r="E115" s="0" t="inlineStr">
        <is>
          <t>2016.12.</t>
        </is>
      </c>
      <c r="F115" s="0" t="n">
        <v>3658</v>
      </c>
      <c r="G115" s="0" t="n">
        <v>24.97</v>
      </c>
      <c r="H115" s="0" t="n">
        <v>82.55</v>
      </c>
      <c r="I115" s="0" t="n">
        <v>17.95</v>
      </c>
      <c r="J115" s="0" t="n">
        <v>59.35</v>
      </c>
      <c r="K115" s="0" t="n">
        <v>480</v>
      </c>
      <c r="T115" s="0" t="n">
        <v>3</v>
      </c>
      <c r="U115" s="0" t="n">
        <v>2</v>
      </c>
      <c r="V115" s="0" t="inlineStr">
        <is>
          <t>계단식</t>
        </is>
      </c>
      <c r="W115" s="0" t="inlineStr">
        <is>
          <t>82P</t>
        </is>
      </c>
      <c r="X115" s="0" t="n">
        <v>35</v>
      </c>
      <c r="Y115" s="0" t="n">
        <v>15</v>
      </c>
      <c r="Z115" s="0" t="inlineStr">
        <is>
          <t>https://new.land.naver.com/complexes/108187?tab=detail&amp;rf=Y</t>
        </is>
      </c>
      <c r="AA115" s="0" t="inlineStr">
        <is>
          <t>서울시 강동구 고덕동 688</t>
        </is>
      </c>
      <c r="AB115" s="0" t="inlineStr">
        <is>
          <t>서울시</t>
        </is>
      </c>
      <c r="AC115" s="0" t="inlineStr">
        <is>
          <t>강동구</t>
        </is>
      </c>
      <c r="AD115" s="0" t="inlineStr">
        <is>
          <t>고덕동</t>
        </is>
      </c>
      <c r="AG115" s="0" t="inlineStr">
        <is>
          <t>서울시 강동구 아리수로50길 50</t>
        </is>
      </c>
      <c r="AH115" s="0" t="n">
        <v>211</v>
      </c>
      <c r="AI115" s="0" t="n">
        <v>249</v>
      </c>
      <c r="AJ115" s="0" t="n">
        <v>19</v>
      </c>
      <c r="AK115" s="0" t="n">
        <v>6019</v>
      </c>
      <c r="AL115" s="0" t="n">
        <v>1.65</v>
      </c>
    </row>
    <row r="116">
      <c r="A116" s="0" t="inlineStr">
        <is>
          <t>[고덕동]</t>
        </is>
      </c>
      <c r="B116" s="0" t="n">
        <v>108187</v>
      </c>
      <c r="C116" s="0" t="n">
        <v>2</v>
      </c>
      <c r="D116" s="0" t="inlineStr">
        <is>
          <t>고덕래미안힐스테이트</t>
        </is>
      </c>
      <c r="E116" s="0" t="inlineStr">
        <is>
          <t>2016.12.</t>
        </is>
      </c>
      <c r="F116" s="0" t="n">
        <v>3658</v>
      </c>
      <c r="G116" s="0" t="n">
        <v>24.97</v>
      </c>
      <c r="H116" s="0" t="n">
        <v>82.55</v>
      </c>
      <c r="I116" s="0" t="n">
        <v>18.13</v>
      </c>
      <c r="J116" s="0" t="n">
        <v>59.96</v>
      </c>
      <c r="K116" s="0" t="n">
        <v>182</v>
      </c>
      <c r="T116" s="0" t="n">
        <v>3</v>
      </c>
      <c r="U116" s="0" t="n">
        <v>2</v>
      </c>
      <c r="V116" s="0" t="inlineStr">
        <is>
          <t>계단식</t>
        </is>
      </c>
      <c r="W116" s="0" t="inlineStr">
        <is>
          <t>82TWB</t>
        </is>
      </c>
      <c r="X116" s="0" t="n">
        <v>35</v>
      </c>
      <c r="Y116" s="0" t="n">
        <v>15</v>
      </c>
      <c r="Z116" s="0" t="inlineStr">
        <is>
          <t>https://new.land.naver.com/complexes/108187?tab=detail&amp;rf=Y</t>
        </is>
      </c>
      <c r="AA116" s="0" t="inlineStr">
        <is>
          <t>서울시 강동구 고덕동 688</t>
        </is>
      </c>
      <c r="AB116" s="0" t="inlineStr">
        <is>
          <t>서울시</t>
        </is>
      </c>
      <c r="AC116" s="0" t="inlineStr">
        <is>
          <t>강동구</t>
        </is>
      </c>
      <c r="AD116" s="0" t="inlineStr">
        <is>
          <t>고덕동</t>
        </is>
      </c>
      <c r="AG116" s="0" t="inlineStr">
        <is>
          <t>서울시 강동구 아리수로50길 50</t>
        </is>
      </c>
      <c r="AH116" s="0" t="n">
        <v>211</v>
      </c>
      <c r="AI116" s="0" t="n">
        <v>249</v>
      </c>
      <c r="AJ116" s="0" t="n">
        <v>19</v>
      </c>
      <c r="AK116" s="0" t="n">
        <v>6019</v>
      </c>
      <c r="AL116" s="0" t="n">
        <v>1.65</v>
      </c>
    </row>
    <row r="117">
      <c r="A117" s="0" t="inlineStr">
        <is>
          <t>[고덕동]</t>
        </is>
      </c>
      <c r="B117" s="0" t="n">
        <v>108187</v>
      </c>
      <c r="C117" s="0" t="n">
        <v>3</v>
      </c>
      <c r="D117" s="0" t="inlineStr">
        <is>
          <t>고덕래미안힐스테이트</t>
        </is>
      </c>
      <c r="E117" s="0" t="inlineStr">
        <is>
          <t>2016.12.</t>
        </is>
      </c>
      <c r="F117" s="0" t="n">
        <v>3658</v>
      </c>
      <c r="G117" s="0" t="n">
        <v>24.97</v>
      </c>
      <c r="H117" s="0" t="n">
        <v>82.56999999999999</v>
      </c>
      <c r="I117" s="0" t="n">
        <v>17.91</v>
      </c>
      <c r="J117" s="0" t="n">
        <v>59.23</v>
      </c>
      <c r="K117" s="0" t="n">
        <v>177</v>
      </c>
      <c r="T117" s="0" t="n">
        <v>3</v>
      </c>
      <c r="U117" s="0" t="n">
        <v>2</v>
      </c>
      <c r="V117" s="0" t="inlineStr">
        <is>
          <t>계단식</t>
        </is>
      </c>
      <c r="W117" s="0" t="inlineStr">
        <is>
          <t>82TWA</t>
        </is>
      </c>
      <c r="X117" s="0" t="n">
        <v>35</v>
      </c>
      <c r="Y117" s="0" t="n">
        <v>15</v>
      </c>
      <c r="Z117" s="0" t="inlineStr">
        <is>
          <t>https://new.land.naver.com/complexes/108187?tab=detail&amp;rf=Y</t>
        </is>
      </c>
      <c r="AA117" s="0" t="inlineStr">
        <is>
          <t>서울시 강동구 고덕동 688</t>
        </is>
      </c>
      <c r="AB117" s="0" t="inlineStr">
        <is>
          <t>서울시</t>
        </is>
      </c>
      <c r="AC117" s="0" t="inlineStr">
        <is>
          <t>강동구</t>
        </is>
      </c>
      <c r="AD117" s="0" t="inlineStr">
        <is>
          <t>고덕동</t>
        </is>
      </c>
      <c r="AG117" s="0" t="inlineStr">
        <is>
          <t>서울시 강동구 아리수로50길 50</t>
        </is>
      </c>
      <c r="AH117" s="0" t="n">
        <v>211</v>
      </c>
      <c r="AI117" s="0" t="n">
        <v>249</v>
      </c>
      <c r="AJ117" s="0" t="n">
        <v>19</v>
      </c>
      <c r="AK117" s="0" t="n">
        <v>6019</v>
      </c>
      <c r="AL117" s="0" t="n">
        <v>1.65</v>
      </c>
    </row>
    <row r="118">
      <c r="A118" s="0" t="inlineStr">
        <is>
          <t>[고덕동]</t>
        </is>
      </c>
      <c r="B118" s="0" t="n">
        <v>108187</v>
      </c>
      <c r="C118" s="0" t="n">
        <v>4</v>
      </c>
      <c r="D118" s="0" t="inlineStr">
        <is>
          <t>고덕래미안힐스테이트</t>
        </is>
      </c>
      <c r="E118" s="0" t="inlineStr">
        <is>
          <t>2016.12.</t>
        </is>
      </c>
      <c r="F118" s="0" t="n">
        <v>3658</v>
      </c>
      <c r="G118" s="0" t="n">
        <v>28.49</v>
      </c>
      <c r="H118" s="0" t="n">
        <v>94.2</v>
      </c>
      <c r="I118" s="0" t="n">
        <v>18.12</v>
      </c>
      <c r="J118" s="0" t="n">
        <v>59.92</v>
      </c>
      <c r="K118" s="0" t="n">
        <v>24</v>
      </c>
      <c r="T118" s="0" t="n">
        <v>3</v>
      </c>
      <c r="U118" s="0" t="n">
        <v>2</v>
      </c>
      <c r="V118" s="0" t="inlineStr">
        <is>
          <t>계단식</t>
        </is>
      </c>
      <c r="W118" s="0" t="inlineStr">
        <is>
          <t>94TR</t>
        </is>
      </c>
      <c r="X118" s="0" t="n">
        <v>35</v>
      </c>
      <c r="Y118" s="0" t="n">
        <v>15</v>
      </c>
      <c r="Z118" s="0" t="inlineStr">
        <is>
          <t>https://new.land.naver.com/complexes/108187?tab=detail&amp;rf=Y</t>
        </is>
      </c>
      <c r="AA118" s="0" t="inlineStr">
        <is>
          <t>서울시 강동구 고덕동 688</t>
        </is>
      </c>
      <c r="AB118" s="0" t="inlineStr">
        <is>
          <t>서울시</t>
        </is>
      </c>
      <c r="AC118" s="0" t="inlineStr">
        <is>
          <t>강동구</t>
        </is>
      </c>
      <c r="AD118" s="0" t="inlineStr">
        <is>
          <t>고덕동</t>
        </is>
      </c>
      <c r="AG118" s="0" t="inlineStr">
        <is>
          <t>서울시 강동구 아리수로50길 50</t>
        </is>
      </c>
      <c r="AH118" s="0" t="n">
        <v>211</v>
      </c>
      <c r="AI118" s="0" t="n">
        <v>249</v>
      </c>
      <c r="AJ118" s="0" t="n">
        <v>19</v>
      </c>
      <c r="AK118" s="0" t="n">
        <v>6019</v>
      </c>
      <c r="AL118" s="0" t="n">
        <v>1.65</v>
      </c>
    </row>
    <row r="119">
      <c r="A119" s="0" t="inlineStr">
        <is>
          <t>[고덕동]</t>
        </is>
      </c>
      <c r="B119" s="0" t="n">
        <v>108187</v>
      </c>
      <c r="C119" s="0" t="n">
        <v>5</v>
      </c>
      <c r="D119" s="0" t="inlineStr">
        <is>
          <t>고덕래미안힐스테이트</t>
        </is>
      </c>
      <c r="E119" s="0" t="inlineStr">
        <is>
          <t>2016.12.</t>
        </is>
      </c>
      <c r="F119" s="0" t="n">
        <v>3658</v>
      </c>
      <c r="G119" s="0" t="n">
        <v>29.95</v>
      </c>
      <c r="H119" s="0" t="n">
        <v>99.01000000000001</v>
      </c>
      <c r="I119" s="0" t="n">
        <v>21.78</v>
      </c>
      <c r="J119" s="0" t="n">
        <v>72.02</v>
      </c>
      <c r="K119" s="0" t="n">
        <v>96</v>
      </c>
      <c r="T119" s="0" t="n">
        <v>3</v>
      </c>
      <c r="U119" s="0" t="n">
        <v>2</v>
      </c>
      <c r="V119" s="0" t="inlineStr">
        <is>
          <t>계단식</t>
        </is>
      </c>
      <c r="W119" s="0" t="inlineStr">
        <is>
          <t>99P</t>
        </is>
      </c>
      <c r="X119" s="0" t="n">
        <v>35</v>
      </c>
      <c r="Y119" s="0" t="n">
        <v>15</v>
      </c>
      <c r="Z119" s="0" t="inlineStr">
        <is>
          <t>https://new.land.naver.com/complexes/108187?tab=detail&amp;rf=Y</t>
        </is>
      </c>
      <c r="AA119" s="0" t="inlineStr">
        <is>
          <t>서울시 강동구 고덕동 688</t>
        </is>
      </c>
      <c r="AB119" s="0" t="inlineStr">
        <is>
          <t>서울시</t>
        </is>
      </c>
      <c r="AC119" s="0" t="inlineStr">
        <is>
          <t>강동구</t>
        </is>
      </c>
      <c r="AD119" s="0" t="inlineStr">
        <is>
          <t>고덕동</t>
        </is>
      </c>
      <c r="AG119" s="0" t="inlineStr">
        <is>
          <t>서울시 강동구 아리수로50길 50</t>
        </is>
      </c>
      <c r="AH119" s="0" t="n">
        <v>211</v>
      </c>
      <c r="AI119" s="0" t="n">
        <v>249</v>
      </c>
      <c r="AJ119" s="0" t="n">
        <v>19</v>
      </c>
      <c r="AK119" s="0" t="n">
        <v>6019</v>
      </c>
      <c r="AL119" s="0" t="n">
        <v>1.65</v>
      </c>
    </row>
    <row r="120">
      <c r="A120" s="0" t="inlineStr">
        <is>
          <t>[고덕동]</t>
        </is>
      </c>
      <c r="B120" s="0" t="n">
        <v>108187</v>
      </c>
      <c r="C120" s="0" t="n">
        <v>6</v>
      </c>
      <c r="D120" s="0" t="inlineStr">
        <is>
          <t>고덕래미안힐스테이트</t>
        </is>
      </c>
      <c r="E120" s="0" t="inlineStr">
        <is>
          <t>2016.12.</t>
        </is>
      </c>
      <c r="F120" s="0" t="n">
        <v>3658</v>
      </c>
      <c r="G120" s="0" t="n">
        <v>34.92</v>
      </c>
      <c r="H120" s="0" t="n">
        <v>115.47</v>
      </c>
      <c r="I120" s="0" t="n">
        <v>25.67</v>
      </c>
      <c r="J120" s="0" t="n">
        <v>84.88</v>
      </c>
      <c r="K120" s="0" t="n">
        <v>490</v>
      </c>
      <c r="T120" s="0" t="n">
        <v>3</v>
      </c>
      <c r="U120" s="0" t="n">
        <v>2</v>
      </c>
      <c r="V120" s="0" t="inlineStr">
        <is>
          <t>계단식</t>
        </is>
      </c>
      <c r="W120" s="0" t="inlineStr">
        <is>
          <t>115D</t>
        </is>
      </c>
      <c r="X120" s="0" t="n">
        <v>35</v>
      </c>
      <c r="Y120" s="0" t="n">
        <v>15</v>
      </c>
      <c r="Z120" s="0" t="inlineStr">
        <is>
          <t>https://new.land.naver.com/complexes/108187?tab=detail&amp;rf=Y</t>
        </is>
      </c>
      <c r="AA120" s="0" t="inlineStr">
        <is>
          <t>서울시 강동구 고덕동 688</t>
        </is>
      </c>
      <c r="AB120" s="0" t="inlineStr">
        <is>
          <t>서울시</t>
        </is>
      </c>
      <c r="AC120" s="0" t="inlineStr">
        <is>
          <t>강동구</t>
        </is>
      </c>
      <c r="AD120" s="0" t="inlineStr">
        <is>
          <t>고덕동</t>
        </is>
      </c>
      <c r="AG120" s="0" t="inlineStr">
        <is>
          <t>서울시 강동구 아리수로50길 50</t>
        </is>
      </c>
      <c r="AH120" s="0" t="n">
        <v>211</v>
      </c>
      <c r="AI120" s="0" t="n">
        <v>249</v>
      </c>
      <c r="AJ120" s="0" t="n">
        <v>19</v>
      </c>
      <c r="AK120" s="0" t="n">
        <v>6019</v>
      </c>
      <c r="AL120" s="0" t="n">
        <v>1.65</v>
      </c>
    </row>
    <row r="121">
      <c r="A121" s="0" t="inlineStr">
        <is>
          <t>[고덕동]</t>
        </is>
      </c>
      <c r="B121" s="0" t="n">
        <v>108187</v>
      </c>
      <c r="C121" s="0" t="n">
        <v>7</v>
      </c>
      <c r="D121" s="0" t="inlineStr">
        <is>
          <t>고덕래미안힐스테이트</t>
        </is>
      </c>
      <c r="E121" s="0" t="inlineStr">
        <is>
          <t>2016.12.</t>
        </is>
      </c>
      <c r="F121" s="0" t="n">
        <v>3658</v>
      </c>
      <c r="G121" s="0" t="n">
        <v>34.95</v>
      </c>
      <c r="H121" s="0" t="n">
        <v>115.54</v>
      </c>
      <c r="I121" s="0" t="n">
        <v>25.68</v>
      </c>
      <c r="J121" s="0" t="n">
        <v>84.90000000000001</v>
      </c>
      <c r="K121" s="0" t="n">
        <v>468</v>
      </c>
      <c r="T121" s="0" t="n">
        <v>3</v>
      </c>
      <c r="U121" s="0" t="n">
        <v>2</v>
      </c>
      <c r="V121" s="0" t="inlineStr">
        <is>
          <t>계단식</t>
        </is>
      </c>
      <c r="W121" s="0" t="inlineStr">
        <is>
          <t>115P</t>
        </is>
      </c>
      <c r="X121" s="0" t="n">
        <v>35</v>
      </c>
      <c r="Y121" s="0" t="n">
        <v>15</v>
      </c>
      <c r="Z121" s="0" t="inlineStr">
        <is>
          <t>https://new.land.naver.com/complexes/108187?tab=detail&amp;rf=Y</t>
        </is>
      </c>
      <c r="AA121" s="0" t="inlineStr">
        <is>
          <t>서울시 강동구 고덕동 688</t>
        </is>
      </c>
      <c r="AB121" s="0" t="inlineStr">
        <is>
          <t>서울시</t>
        </is>
      </c>
      <c r="AC121" s="0" t="inlineStr">
        <is>
          <t>강동구</t>
        </is>
      </c>
      <c r="AD121" s="0" t="inlineStr">
        <is>
          <t>고덕동</t>
        </is>
      </c>
      <c r="AG121" s="0" t="inlineStr">
        <is>
          <t>서울시 강동구 아리수로50길 50</t>
        </is>
      </c>
      <c r="AH121" s="0" t="n">
        <v>211</v>
      </c>
      <c r="AI121" s="0" t="n">
        <v>249</v>
      </c>
      <c r="AJ121" s="0" t="n">
        <v>19</v>
      </c>
      <c r="AK121" s="0" t="n">
        <v>6019</v>
      </c>
      <c r="AL121" s="0" t="n">
        <v>1.65</v>
      </c>
    </row>
    <row r="122">
      <c r="A122" s="0" t="inlineStr">
        <is>
          <t>[고덕동]</t>
        </is>
      </c>
      <c r="B122" s="0" t="n">
        <v>108187</v>
      </c>
      <c r="C122" s="0" t="n">
        <v>8</v>
      </c>
      <c r="D122" s="0" t="inlineStr">
        <is>
          <t>고덕래미안힐스테이트</t>
        </is>
      </c>
      <c r="E122" s="0" t="inlineStr">
        <is>
          <t>2016.12.</t>
        </is>
      </c>
      <c r="F122" s="0" t="n">
        <v>3658</v>
      </c>
      <c r="G122" s="0" t="n">
        <v>34.89</v>
      </c>
      <c r="H122" s="0" t="n">
        <v>115.36</v>
      </c>
      <c r="I122" s="0" t="n">
        <v>25.66</v>
      </c>
      <c r="J122" s="0" t="n">
        <v>84.83</v>
      </c>
      <c r="K122" s="0" t="n">
        <v>386</v>
      </c>
      <c r="T122" s="0" t="n">
        <v>3</v>
      </c>
      <c r="U122" s="0" t="n">
        <v>2</v>
      </c>
      <c r="V122" s="0" t="inlineStr">
        <is>
          <t>계단식</t>
        </is>
      </c>
      <c r="W122" s="0" t="inlineStr">
        <is>
          <t>115A</t>
        </is>
      </c>
      <c r="X122" s="0" t="n">
        <v>35</v>
      </c>
      <c r="Y122" s="0" t="n">
        <v>15</v>
      </c>
      <c r="Z122" s="0" t="inlineStr">
        <is>
          <t>https://new.land.naver.com/complexes/108187?tab=detail&amp;rf=Y</t>
        </is>
      </c>
      <c r="AA122" s="0" t="inlineStr">
        <is>
          <t>서울시 강동구 고덕동 688</t>
        </is>
      </c>
      <c r="AB122" s="0" t="inlineStr">
        <is>
          <t>서울시</t>
        </is>
      </c>
      <c r="AC122" s="0" t="inlineStr">
        <is>
          <t>강동구</t>
        </is>
      </c>
      <c r="AD122" s="0" t="inlineStr">
        <is>
          <t>고덕동</t>
        </is>
      </c>
      <c r="AG122" s="0" t="inlineStr">
        <is>
          <t>서울시 강동구 아리수로50길 50</t>
        </is>
      </c>
      <c r="AH122" s="0" t="n">
        <v>211</v>
      </c>
      <c r="AI122" s="0" t="n">
        <v>249</v>
      </c>
      <c r="AJ122" s="0" t="n">
        <v>19</v>
      </c>
      <c r="AK122" s="0" t="n">
        <v>6019</v>
      </c>
      <c r="AL122" s="0" t="n">
        <v>1.65</v>
      </c>
    </row>
    <row r="123">
      <c r="A123" s="0" t="inlineStr">
        <is>
          <t>[고덕동]</t>
        </is>
      </c>
      <c r="B123" s="0" t="n">
        <v>108187</v>
      </c>
      <c r="C123" s="0" t="n">
        <v>9</v>
      </c>
      <c r="D123" s="0" t="inlineStr">
        <is>
          <t>고덕래미안힐스테이트</t>
        </is>
      </c>
      <c r="E123" s="0" t="inlineStr">
        <is>
          <t>2016.12.</t>
        </is>
      </c>
      <c r="F123" s="0" t="n">
        <v>3658</v>
      </c>
      <c r="G123" s="0" t="n">
        <v>34.98</v>
      </c>
      <c r="H123" s="0" t="n">
        <v>115.64</v>
      </c>
      <c r="I123" s="0" t="n">
        <v>25.69</v>
      </c>
      <c r="J123" s="0" t="n">
        <v>84.94</v>
      </c>
      <c r="K123" s="0" t="n">
        <v>386</v>
      </c>
      <c r="T123" s="0" t="n">
        <v>3</v>
      </c>
      <c r="U123" s="0" t="n">
        <v>2</v>
      </c>
      <c r="V123" s="0" t="inlineStr">
        <is>
          <t>계단식</t>
        </is>
      </c>
      <c r="W123" s="0" t="inlineStr">
        <is>
          <t>115B</t>
        </is>
      </c>
      <c r="X123" s="0" t="n">
        <v>35</v>
      </c>
      <c r="Y123" s="0" t="n">
        <v>15</v>
      </c>
      <c r="Z123" s="0" t="inlineStr">
        <is>
          <t>https://new.land.naver.com/complexes/108187?tab=detail&amp;rf=Y</t>
        </is>
      </c>
      <c r="AA123" s="0" t="inlineStr">
        <is>
          <t>서울시 강동구 고덕동 688</t>
        </is>
      </c>
      <c r="AB123" s="0" t="inlineStr">
        <is>
          <t>서울시</t>
        </is>
      </c>
      <c r="AC123" s="0" t="inlineStr">
        <is>
          <t>강동구</t>
        </is>
      </c>
      <c r="AD123" s="0" t="inlineStr">
        <is>
          <t>고덕동</t>
        </is>
      </c>
      <c r="AG123" s="0" t="inlineStr">
        <is>
          <t>서울시 강동구 아리수로50길 50</t>
        </is>
      </c>
      <c r="AH123" s="0" t="n">
        <v>211</v>
      </c>
      <c r="AI123" s="0" t="n">
        <v>249</v>
      </c>
      <c r="AJ123" s="0" t="n">
        <v>19</v>
      </c>
      <c r="AK123" s="0" t="n">
        <v>6019</v>
      </c>
      <c r="AL123" s="0" t="n">
        <v>1.65</v>
      </c>
    </row>
    <row r="124">
      <c r="A124" s="0" t="inlineStr">
        <is>
          <t>[고덕동]</t>
        </is>
      </c>
      <c r="B124" s="0" t="n">
        <v>108187</v>
      </c>
      <c r="C124" s="0" t="n">
        <v>10</v>
      </c>
      <c r="D124" s="0" t="inlineStr">
        <is>
          <t>고덕래미안힐스테이트</t>
        </is>
      </c>
      <c r="E124" s="0" t="inlineStr">
        <is>
          <t>2016.12.</t>
        </is>
      </c>
      <c r="F124" s="0" t="n">
        <v>3658</v>
      </c>
      <c r="G124" s="0" t="n">
        <v>34.8</v>
      </c>
      <c r="H124" s="0" t="n">
        <v>115.05</v>
      </c>
      <c r="I124" s="0" t="n">
        <v>25.68</v>
      </c>
      <c r="J124" s="0" t="n">
        <v>84.90000000000001</v>
      </c>
      <c r="K124" s="0" t="n">
        <v>144</v>
      </c>
      <c r="T124" s="0" t="n">
        <v>3</v>
      </c>
      <c r="U124" s="0" t="n">
        <v>2</v>
      </c>
      <c r="V124" s="0" t="inlineStr">
        <is>
          <t>계단식</t>
        </is>
      </c>
      <c r="W124" s="0" t="inlineStr">
        <is>
          <t>115P1</t>
        </is>
      </c>
      <c r="X124" s="0" t="n">
        <v>35</v>
      </c>
      <c r="Y124" s="0" t="n">
        <v>15</v>
      </c>
      <c r="Z124" s="0" t="inlineStr">
        <is>
          <t>https://new.land.naver.com/complexes/108187?tab=detail&amp;rf=Y</t>
        </is>
      </c>
      <c r="AA124" s="0" t="inlineStr">
        <is>
          <t>서울시 강동구 고덕동 688</t>
        </is>
      </c>
      <c r="AB124" s="0" t="inlineStr">
        <is>
          <t>서울시</t>
        </is>
      </c>
      <c r="AC124" s="0" t="inlineStr">
        <is>
          <t>강동구</t>
        </is>
      </c>
      <c r="AD124" s="0" t="inlineStr">
        <is>
          <t>고덕동</t>
        </is>
      </c>
      <c r="AG124" s="0" t="inlineStr">
        <is>
          <t>서울시 강동구 아리수로50길 50</t>
        </is>
      </c>
      <c r="AH124" s="0" t="n">
        <v>211</v>
      </c>
      <c r="AI124" s="0" t="n">
        <v>249</v>
      </c>
      <c r="AJ124" s="0" t="n">
        <v>19</v>
      </c>
      <c r="AK124" s="0" t="n">
        <v>6019</v>
      </c>
      <c r="AL124" s="0" t="n">
        <v>1.65</v>
      </c>
    </row>
    <row r="125">
      <c r="A125" s="0" t="inlineStr">
        <is>
          <t>[고덕동]</t>
        </is>
      </c>
      <c r="B125" s="0" t="n">
        <v>108187</v>
      </c>
      <c r="C125" s="0" t="n">
        <v>11</v>
      </c>
      <c r="D125" s="0" t="inlineStr">
        <is>
          <t>고덕래미안힐스테이트</t>
        </is>
      </c>
      <c r="E125" s="0" t="inlineStr">
        <is>
          <t>2016.12.</t>
        </is>
      </c>
      <c r="F125" s="0" t="n">
        <v>3658</v>
      </c>
      <c r="G125" s="0" t="n">
        <v>34.95</v>
      </c>
      <c r="H125" s="0" t="n">
        <v>115.57</v>
      </c>
      <c r="I125" s="0" t="n">
        <v>25.63</v>
      </c>
      <c r="J125" s="0" t="n">
        <v>84.73999999999999</v>
      </c>
      <c r="K125" s="0" t="n">
        <v>129</v>
      </c>
      <c r="T125" s="0" t="n">
        <v>3</v>
      </c>
      <c r="U125" s="0" t="n">
        <v>2</v>
      </c>
      <c r="V125" s="0" t="inlineStr">
        <is>
          <t>계단식</t>
        </is>
      </c>
      <c r="W125" s="0" t="inlineStr">
        <is>
          <t>115C</t>
        </is>
      </c>
      <c r="X125" s="0" t="n">
        <v>35</v>
      </c>
      <c r="Y125" s="0" t="n">
        <v>15</v>
      </c>
      <c r="Z125" s="0" t="inlineStr">
        <is>
          <t>https://new.land.naver.com/complexes/108187?tab=detail&amp;rf=Y</t>
        </is>
      </c>
      <c r="AA125" s="0" t="inlineStr">
        <is>
          <t>서울시 강동구 고덕동 688</t>
        </is>
      </c>
      <c r="AB125" s="0" t="inlineStr">
        <is>
          <t>서울시</t>
        </is>
      </c>
      <c r="AC125" s="0" t="inlineStr">
        <is>
          <t>강동구</t>
        </is>
      </c>
      <c r="AD125" s="0" t="inlineStr">
        <is>
          <t>고덕동</t>
        </is>
      </c>
      <c r="AG125" s="0" t="inlineStr">
        <is>
          <t>서울시 강동구 아리수로50길 50</t>
        </is>
      </c>
      <c r="AH125" s="0" t="n">
        <v>211</v>
      </c>
      <c r="AI125" s="0" t="n">
        <v>249</v>
      </c>
      <c r="AJ125" s="0" t="n">
        <v>19</v>
      </c>
      <c r="AK125" s="0" t="n">
        <v>6019</v>
      </c>
      <c r="AL125" s="0" t="n">
        <v>1.65</v>
      </c>
    </row>
    <row r="126">
      <c r="A126" s="0" t="inlineStr">
        <is>
          <t>[고덕동]</t>
        </is>
      </c>
      <c r="B126" s="0" t="n">
        <v>108187</v>
      </c>
      <c r="C126" s="0" t="n">
        <v>12</v>
      </c>
      <c r="D126" s="0" t="inlineStr">
        <is>
          <t>고덕래미안힐스테이트</t>
        </is>
      </c>
      <c r="E126" s="0" t="inlineStr">
        <is>
          <t>2016.12.</t>
        </is>
      </c>
      <c r="F126" s="0" t="n">
        <v>3658</v>
      </c>
      <c r="G126" s="0" t="n">
        <v>39.95</v>
      </c>
      <c r="H126" s="0" t="n">
        <v>132.08</v>
      </c>
      <c r="I126" s="0" t="n">
        <v>29.42</v>
      </c>
      <c r="J126" s="0" t="n">
        <v>97.26000000000001</v>
      </c>
      <c r="K126" s="0" t="n">
        <v>262</v>
      </c>
      <c r="T126" s="0" t="n">
        <v>4</v>
      </c>
      <c r="U126" s="0" t="n">
        <v>2</v>
      </c>
      <c r="V126" s="0" t="inlineStr">
        <is>
          <t>계단식</t>
        </is>
      </c>
      <c r="W126" s="0" t="inlineStr">
        <is>
          <t>132A</t>
        </is>
      </c>
      <c r="X126" s="0" t="n">
        <v>35</v>
      </c>
      <c r="Y126" s="0" t="n">
        <v>15</v>
      </c>
      <c r="Z126" s="0" t="inlineStr">
        <is>
          <t>https://new.land.naver.com/complexes/108187?tab=detail&amp;rf=Y</t>
        </is>
      </c>
      <c r="AA126" s="0" t="inlineStr">
        <is>
          <t>서울시 강동구 고덕동 688</t>
        </is>
      </c>
      <c r="AB126" s="0" t="inlineStr">
        <is>
          <t>서울시</t>
        </is>
      </c>
      <c r="AC126" s="0" t="inlineStr">
        <is>
          <t>강동구</t>
        </is>
      </c>
      <c r="AD126" s="0" t="inlineStr">
        <is>
          <t>고덕동</t>
        </is>
      </c>
      <c r="AG126" s="0" t="inlineStr">
        <is>
          <t>서울시 강동구 아리수로50길 50</t>
        </is>
      </c>
      <c r="AH126" s="0" t="n">
        <v>211</v>
      </c>
      <c r="AI126" s="0" t="n">
        <v>249</v>
      </c>
      <c r="AJ126" s="0" t="n">
        <v>19</v>
      </c>
      <c r="AK126" s="0" t="n">
        <v>6019</v>
      </c>
      <c r="AL126" s="0" t="n">
        <v>1.65</v>
      </c>
    </row>
    <row r="127">
      <c r="A127" s="0" t="inlineStr">
        <is>
          <t>[고덕동]</t>
        </is>
      </c>
      <c r="B127" s="0" t="n">
        <v>108187</v>
      </c>
      <c r="C127" s="0" t="n">
        <v>13</v>
      </c>
      <c r="D127" s="0" t="inlineStr">
        <is>
          <t>고덕래미안힐스테이트</t>
        </is>
      </c>
      <c r="E127" s="0" t="inlineStr">
        <is>
          <t>2016.12.</t>
        </is>
      </c>
      <c r="F127" s="0" t="n">
        <v>3658</v>
      </c>
      <c r="G127" s="0" t="n">
        <v>39.95</v>
      </c>
      <c r="H127" s="0" t="n">
        <v>132.08</v>
      </c>
      <c r="I127" s="0" t="n">
        <v>29.42</v>
      </c>
      <c r="J127" s="0" t="n">
        <v>97.26000000000001</v>
      </c>
      <c r="K127" s="0" t="n">
        <v>55</v>
      </c>
      <c r="T127" s="0" t="n">
        <v>4</v>
      </c>
      <c r="U127" s="0" t="n">
        <v>2</v>
      </c>
      <c r="V127" s="0" t="inlineStr">
        <is>
          <t>계단식</t>
        </is>
      </c>
      <c r="W127" s="0" t="inlineStr">
        <is>
          <t>132B</t>
        </is>
      </c>
      <c r="X127" s="0" t="n">
        <v>35</v>
      </c>
      <c r="Y127" s="0" t="n">
        <v>15</v>
      </c>
      <c r="Z127" s="0" t="inlineStr">
        <is>
          <t>https://new.land.naver.com/complexes/108187?tab=detail&amp;rf=Y</t>
        </is>
      </c>
      <c r="AA127" s="0" t="inlineStr">
        <is>
          <t>서울시 강동구 고덕동 688</t>
        </is>
      </c>
      <c r="AB127" s="0" t="inlineStr">
        <is>
          <t>서울시</t>
        </is>
      </c>
      <c r="AC127" s="0" t="inlineStr">
        <is>
          <t>강동구</t>
        </is>
      </c>
      <c r="AD127" s="0" t="inlineStr">
        <is>
          <t>고덕동</t>
        </is>
      </c>
      <c r="AG127" s="0" t="inlineStr">
        <is>
          <t>서울시 강동구 아리수로50길 50</t>
        </is>
      </c>
      <c r="AH127" s="0" t="n">
        <v>211</v>
      </c>
      <c r="AI127" s="0" t="n">
        <v>249</v>
      </c>
      <c r="AJ127" s="0" t="n">
        <v>19</v>
      </c>
      <c r="AK127" s="0" t="n">
        <v>6019</v>
      </c>
      <c r="AL127" s="0" t="n">
        <v>1.65</v>
      </c>
    </row>
    <row r="128">
      <c r="A128" s="0" t="inlineStr">
        <is>
          <t>[고덕동]</t>
        </is>
      </c>
      <c r="B128" s="0" t="n">
        <v>108187</v>
      </c>
      <c r="C128" s="0" t="n">
        <v>14</v>
      </c>
      <c r="D128" s="0" t="inlineStr">
        <is>
          <t>고덕래미안힐스테이트</t>
        </is>
      </c>
      <c r="E128" s="0" t="inlineStr">
        <is>
          <t>2016.12.</t>
        </is>
      </c>
      <c r="F128" s="0" t="n">
        <v>3658</v>
      </c>
      <c r="G128" s="0" t="n">
        <v>39.98</v>
      </c>
      <c r="H128" s="0" t="n">
        <v>132.18</v>
      </c>
      <c r="I128" s="0" t="n">
        <v>29.34</v>
      </c>
      <c r="J128" s="0" t="n">
        <v>97</v>
      </c>
      <c r="K128" s="0" t="n">
        <v>55</v>
      </c>
      <c r="T128" s="0" t="n">
        <v>3</v>
      </c>
      <c r="U128" s="0" t="n">
        <v>2</v>
      </c>
      <c r="V128" s="0" t="inlineStr">
        <is>
          <t>계단식</t>
        </is>
      </c>
      <c r="W128" s="0" t="inlineStr">
        <is>
          <t>132C</t>
        </is>
      </c>
      <c r="X128" s="0" t="n">
        <v>35</v>
      </c>
      <c r="Y128" s="0" t="n">
        <v>15</v>
      </c>
      <c r="Z128" s="0" t="inlineStr">
        <is>
          <t>https://new.land.naver.com/complexes/108187?tab=detail&amp;rf=Y</t>
        </is>
      </c>
      <c r="AA128" s="0" t="inlineStr">
        <is>
          <t>서울시 강동구 고덕동 688</t>
        </is>
      </c>
      <c r="AB128" s="0" t="inlineStr">
        <is>
          <t>서울시</t>
        </is>
      </c>
      <c r="AC128" s="0" t="inlineStr">
        <is>
          <t>강동구</t>
        </is>
      </c>
      <c r="AD128" s="0" t="inlineStr">
        <is>
          <t>고덕동</t>
        </is>
      </c>
      <c r="AG128" s="0" t="inlineStr">
        <is>
          <t>서울시 강동구 아리수로50길 50</t>
        </is>
      </c>
      <c r="AH128" s="0" t="n">
        <v>211</v>
      </c>
      <c r="AI128" s="0" t="n">
        <v>249</v>
      </c>
      <c r="AJ128" s="0" t="n">
        <v>19</v>
      </c>
      <c r="AK128" s="0" t="n">
        <v>6019</v>
      </c>
      <c r="AL128" s="0" t="n">
        <v>1.65</v>
      </c>
    </row>
    <row r="129">
      <c r="A129" s="0" t="inlineStr">
        <is>
          <t>[고덕동]</t>
        </is>
      </c>
      <c r="B129" s="0" t="n">
        <v>108187</v>
      </c>
      <c r="C129" s="0" t="n">
        <v>15</v>
      </c>
      <c r="D129" s="0" t="inlineStr">
        <is>
          <t>고덕래미안힐스테이트</t>
        </is>
      </c>
      <c r="E129" s="0" t="inlineStr">
        <is>
          <t>2016.12.</t>
        </is>
      </c>
      <c r="F129" s="0" t="n">
        <v>3658</v>
      </c>
      <c r="G129" s="0" t="n">
        <v>41.9</v>
      </c>
      <c r="H129" s="0" t="n">
        <v>138.54</v>
      </c>
      <c r="I129" s="0" t="n">
        <v>30.59</v>
      </c>
      <c r="J129" s="0" t="n">
        <v>101.14</v>
      </c>
      <c r="K129" s="0" t="n">
        <v>4</v>
      </c>
      <c r="T129" s="0" t="n">
        <v>4</v>
      </c>
      <c r="U129" s="0" t="n">
        <v>2</v>
      </c>
      <c r="V129" s="0" t="inlineStr">
        <is>
          <t>계단식</t>
        </is>
      </c>
      <c r="W129" s="0" t="inlineStr">
        <is>
          <t>138PH</t>
        </is>
      </c>
      <c r="X129" s="0" t="n">
        <v>35</v>
      </c>
      <c r="Y129" s="0" t="n">
        <v>15</v>
      </c>
      <c r="Z129" s="0" t="inlineStr">
        <is>
          <t>https://new.land.naver.com/complexes/108187?tab=detail&amp;rf=Y</t>
        </is>
      </c>
      <c r="AA129" s="0" t="inlineStr">
        <is>
          <t>서울시 강동구 고덕동 688</t>
        </is>
      </c>
      <c r="AB129" s="0" t="inlineStr">
        <is>
          <t>서울시</t>
        </is>
      </c>
      <c r="AC129" s="0" t="inlineStr">
        <is>
          <t>강동구</t>
        </is>
      </c>
      <c r="AD129" s="0" t="inlineStr">
        <is>
          <t>고덕동</t>
        </is>
      </c>
      <c r="AG129" s="0" t="inlineStr">
        <is>
          <t>서울시 강동구 아리수로50길 50</t>
        </is>
      </c>
      <c r="AH129" s="0" t="n">
        <v>211</v>
      </c>
      <c r="AI129" s="0" t="n">
        <v>249</v>
      </c>
      <c r="AJ129" s="0" t="n">
        <v>19</v>
      </c>
      <c r="AK129" s="0" t="n">
        <v>6019</v>
      </c>
      <c r="AL129" s="0" t="n">
        <v>1.65</v>
      </c>
    </row>
    <row r="130">
      <c r="A130" s="0" t="inlineStr">
        <is>
          <t>[고덕동]</t>
        </is>
      </c>
      <c r="B130" s="0" t="n">
        <v>108187</v>
      </c>
      <c r="C130" s="0" t="n">
        <v>16</v>
      </c>
      <c r="D130" s="0" t="inlineStr">
        <is>
          <t>고덕래미안힐스테이트</t>
        </is>
      </c>
      <c r="E130" s="0" t="inlineStr">
        <is>
          <t>2016.12.</t>
        </is>
      </c>
      <c r="F130" s="0" t="n">
        <v>3658</v>
      </c>
      <c r="G130" s="0" t="n">
        <v>42.49</v>
      </c>
      <c r="H130" s="0" t="n">
        <v>140.47</v>
      </c>
      <c r="I130" s="0" t="n">
        <v>25.69</v>
      </c>
      <c r="J130" s="0" t="n">
        <v>84.93000000000001</v>
      </c>
      <c r="K130" s="0" t="n">
        <v>6</v>
      </c>
      <c r="T130" s="0" t="n">
        <v>3</v>
      </c>
      <c r="U130" s="0" t="n">
        <v>2</v>
      </c>
      <c r="V130" s="0" t="inlineStr">
        <is>
          <t>계단식</t>
        </is>
      </c>
      <c r="W130" s="0" t="inlineStr">
        <is>
          <t>140TR</t>
        </is>
      </c>
      <c r="X130" s="0" t="n">
        <v>35</v>
      </c>
      <c r="Y130" s="0" t="n">
        <v>15</v>
      </c>
      <c r="Z130" s="0" t="inlineStr">
        <is>
          <t>https://new.land.naver.com/complexes/108187?tab=detail&amp;rf=Y</t>
        </is>
      </c>
      <c r="AA130" s="0" t="inlineStr">
        <is>
          <t>서울시 강동구 고덕동 688</t>
        </is>
      </c>
      <c r="AB130" s="0" t="inlineStr">
        <is>
          <t>서울시</t>
        </is>
      </c>
      <c r="AC130" s="0" t="inlineStr">
        <is>
          <t>강동구</t>
        </is>
      </c>
      <c r="AD130" s="0" t="inlineStr">
        <is>
          <t>고덕동</t>
        </is>
      </c>
      <c r="AG130" s="0" t="inlineStr">
        <is>
          <t>서울시 강동구 아리수로50길 50</t>
        </is>
      </c>
      <c r="AH130" s="0" t="n">
        <v>211</v>
      </c>
      <c r="AI130" s="0" t="n">
        <v>249</v>
      </c>
      <c r="AJ130" s="0" t="n">
        <v>19</v>
      </c>
      <c r="AK130" s="0" t="n">
        <v>6019</v>
      </c>
      <c r="AL130" s="0" t="n">
        <v>1.65</v>
      </c>
    </row>
    <row r="131">
      <c r="A131" s="0" t="inlineStr">
        <is>
          <t>[고덕동]</t>
        </is>
      </c>
      <c r="B131" s="0" t="n">
        <v>108187</v>
      </c>
      <c r="C131" s="0" t="n">
        <v>17</v>
      </c>
      <c r="D131" s="0" t="inlineStr">
        <is>
          <t>고덕래미안힐스테이트</t>
        </is>
      </c>
      <c r="E131" s="0" t="inlineStr">
        <is>
          <t>2016.12.</t>
        </is>
      </c>
      <c r="F131" s="0" t="n">
        <v>3658</v>
      </c>
      <c r="G131" s="0" t="n">
        <v>44.96</v>
      </c>
      <c r="H131" s="0" t="n">
        <v>148.63</v>
      </c>
      <c r="I131" s="0" t="n">
        <v>33.21</v>
      </c>
      <c r="J131" s="0" t="n">
        <v>109.81</v>
      </c>
      <c r="K131" s="0" t="n">
        <v>64</v>
      </c>
      <c r="T131" s="0" t="n">
        <v>4</v>
      </c>
      <c r="U131" s="0" t="n">
        <v>2</v>
      </c>
      <c r="V131" s="0" t="inlineStr">
        <is>
          <t>계단식</t>
        </is>
      </c>
      <c r="W131" s="0" t="n">
        <v>148</v>
      </c>
      <c r="X131" s="0" t="n">
        <v>35</v>
      </c>
      <c r="Y131" s="0" t="n">
        <v>15</v>
      </c>
      <c r="Z131" s="0" t="inlineStr">
        <is>
          <t>https://new.land.naver.com/complexes/108187?tab=detail&amp;rf=Y</t>
        </is>
      </c>
      <c r="AA131" s="0" t="inlineStr">
        <is>
          <t>서울시 강동구 고덕동 688</t>
        </is>
      </c>
      <c r="AB131" s="0" t="inlineStr">
        <is>
          <t>서울시</t>
        </is>
      </c>
      <c r="AC131" s="0" t="inlineStr">
        <is>
          <t>강동구</t>
        </is>
      </c>
      <c r="AD131" s="0" t="inlineStr">
        <is>
          <t>고덕동</t>
        </is>
      </c>
      <c r="AG131" s="0" t="inlineStr">
        <is>
          <t>서울시 강동구 아리수로50길 50</t>
        </is>
      </c>
      <c r="AH131" s="0" t="n">
        <v>211</v>
      </c>
      <c r="AI131" s="0" t="n">
        <v>249</v>
      </c>
      <c r="AJ131" s="0" t="n">
        <v>19</v>
      </c>
      <c r="AK131" s="0" t="n">
        <v>6019</v>
      </c>
      <c r="AL131" s="0" t="n">
        <v>1.65</v>
      </c>
    </row>
    <row r="132">
      <c r="A132" s="0" t="inlineStr">
        <is>
          <t>[고덕동]</t>
        </is>
      </c>
      <c r="B132" s="0" t="n">
        <v>108187</v>
      </c>
      <c r="C132" s="0" t="n">
        <v>18</v>
      </c>
      <c r="D132" s="0" t="inlineStr">
        <is>
          <t>고덕래미안힐스테이트</t>
        </is>
      </c>
      <c r="E132" s="0" t="inlineStr">
        <is>
          <t>2016.12.</t>
        </is>
      </c>
      <c r="F132" s="0" t="n">
        <v>3658</v>
      </c>
      <c r="G132" s="0" t="n">
        <v>48.99</v>
      </c>
      <c r="H132" s="0" t="n">
        <v>161.96</v>
      </c>
      <c r="I132" s="0" t="n">
        <v>36.3</v>
      </c>
      <c r="J132" s="0" t="n">
        <v>120.01</v>
      </c>
      <c r="K132" s="0" t="n">
        <v>32</v>
      </c>
      <c r="T132" s="0" t="n">
        <v>4</v>
      </c>
      <c r="U132" s="0" t="n">
        <v>2</v>
      </c>
      <c r="V132" s="0" t="inlineStr">
        <is>
          <t>계단식</t>
        </is>
      </c>
      <c r="W132" s="0" t="n">
        <v>161</v>
      </c>
      <c r="X132" s="0" t="n">
        <v>35</v>
      </c>
      <c r="Y132" s="0" t="n">
        <v>15</v>
      </c>
      <c r="Z132" s="0" t="inlineStr">
        <is>
          <t>https://new.land.naver.com/complexes/108187?tab=detail&amp;rf=Y</t>
        </is>
      </c>
      <c r="AA132" s="0" t="inlineStr">
        <is>
          <t>서울시 강동구 고덕동 688</t>
        </is>
      </c>
      <c r="AB132" s="0" t="inlineStr">
        <is>
          <t>서울시</t>
        </is>
      </c>
      <c r="AC132" s="0" t="inlineStr">
        <is>
          <t>강동구</t>
        </is>
      </c>
      <c r="AD132" s="0" t="inlineStr">
        <is>
          <t>고덕동</t>
        </is>
      </c>
      <c r="AG132" s="0" t="inlineStr">
        <is>
          <t>서울시 강동구 아리수로50길 50</t>
        </is>
      </c>
      <c r="AH132" s="0" t="n">
        <v>211</v>
      </c>
      <c r="AI132" s="0" t="n">
        <v>249</v>
      </c>
      <c r="AJ132" s="0" t="n">
        <v>19</v>
      </c>
      <c r="AK132" s="0" t="n">
        <v>6019</v>
      </c>
      <c r="AL132" s="0" t="n">
        <v>1.65</v>
      </c>
    </row>
    <row r="133">
      <c r="A133" s="0" t="inlineStr">
        <is>
          <t>[고덕동]</t>
        </is>
      </c>
      <c r="B133" s="0" t="n">
        <v>108187</v>
      </c>
      <c r="C133" s="0" t="n">
        <v>19</v>
      </c>
      <c r="D133" s="0" t="inlineStr">
        <is>
          <t>고덕래미안힐스테이트</t>
        </is>
      </c>
      <c r="E133" s="0" t="inlineStr">
        <is>
          <t>2016.12.</t>
        </is>
      </c>
      <c r="F133" s="0" t="n">
        <v>3658</v>
      </c>
      <c r="G133" s="0" t="n">
        <v>58.7</v>
      </c>
      <c r="H133" s="0" t="n">
        <v>194.06</v>
      </c>
      <c r="I133" s="0" t="n">
        <v>42.84</v>
      </c>
      <c r="J133" s="0" t="n">
        <v>141.64</v>
      </c>
      <c r="K133" s="0" t="n">
        <v>4</v>
      </c>
      <c r="T133" s="0" t="n">
        <v>3</v>
      </c>
      <c r="U133" s="0" t="n">
        <v>2</v>
      </c>
      <c r="V133" s="0" t="inlineStr">
        <is>
          <t>계단식</t>
        </is>
      </c>
      <c r="W133" s="0" t="n">
        <v>194</v>
      </c>
      <c r="X133" s="0" t="n">
        <v>35</v>
      </c>
      <c r="Y133" s="0" t="n">
        <v>15</v>
      </c>
      <c r="Z133" s="0" t="inlineStr">
        <is>
          <t>https://new.land.naver.com/complexes/108187?tab=detail&amp;rf=Y</t>
        </is>
      </c>
      <c r="AA133" s="0" t="inlineStr">
        <is>
          <t>서울시 강동구 고덕동 688</t>
        </is>
      </c>
      <c r="AB133" s="0" t="inlineStr">
        <is>
          <t>서울시</t>
        </is>
      </c>
      <c r="AC133" s="0" t="inlineStr">
        <is>
          <t>강동구</t>
        </is>
      </c>
      <c r="AD133" s="0" t="inlineStr">
        <is>
          <t>고덕동</t>
        </is>
      </c>
      <c r="AG133" s="0" t="inlineStr">
        <is>
          <t>서울시 강동구 아리수로50길 50</t>
        </is>
      </c>
      <c r="AH133" s="0" t="n">
        <v>211</v>
      </c>
      <c r="AI133" s="0" t="n">
        <v>249</v>
      </c>
      <c r="AJ133" s="0" t="n">
        <v>19</v>
      </c>
      <c r="AK133" s="0" t="n">
        <v>6019</v>
      </c>
      <c r="AL133" s="0" t="n">
        <v>1.65</v>
      </c>
    </row>
    <row r="134">
      <c r="A134" s="0" t="inlineStr">
        <is>
          <t>[고덕동]</t>
        </is>
      </c>
      <c r="B134" s="0" t="n">
        <v>108187</v>
      </c>
      <c r="C134" s="0" t="n">
        <v>20</v>
      </c>
      <c r="D134" s="0" t="inlineStr">
        <is>
          <t>고덕래미안힐스테이트</t>
        </is>
      </c>
      <c r="E134" s="0" t="inlineStr">
        <is>
          <t>2016.12.</t>
        </is>
      </c>
      <c r="F134" s="0" t="n">
        <v>3658</v>
      </c>
      <c r="G134" s="0" t="n">
        <v>67.06999999999999</v>
      </c>
      <c r="H134" s="0" t="n">
        <v>221.73</v>
      </c>
      <c r="I134" s="0" t="n">
        <v>48.91</v>
      </c>
      <c r="J134" s="0" t="n">
        <v>161.69</v>
      </c>
      <c r="K134" s="0" t="n">
        <v>1</v>
      </c>
      <c r="T134" s="0" t="n">
        <v>4</v>
      </c>
      <c r="U134" s="0" t="n">
        <v>2</v>
      </c>
      <c r="V134" s="0" t="inlineStr">
        <is>
          <t>계단식</t>
        </is>
      </c>
      <c r="W134" s="0" t="inlineStr">
        <is>
          <t>221B</t>
        </is>
      </c>
      <c r="X134" s="0" t="n">
        <v>35</v>
      </c>
      <c r="Y134" s="0" t="n">
        <v>15</v>
      </c>
      <c r="Z134" s="0" t="inlineStr">
        <is>
          <t>https://new.land.naver.com/complexes/108187?tab=detail&amp;rf=Y</t>
        </is>
      </c>
      <c r="AA134" s="0" t="inlineStr">
        <is>
          <t>서울시 강동구 고덕동 688</t>
        </is>
      </c>
      <c r="AB134" s="0" t="inlineStr">
        <is>
          <t>서울시</t>
        </is>
      </c>
      <c r="AC134" s="0" t="inlineStr">
        <is>
          <t>강동구</t>
        </is>
      </c>
      <c r="AD134" s="0" t="inlineStr">
        <is>
          <t>고덕동</t>
        </is>
      </c>
      <c r="AG134" s="0" t="inlineStr">
        <is>
          <t>서울시 강동구 아리수로50길 50</t>
        </is>
      </c>
      <c r="AH134" s="0" t="n">
        <v>211</v>
      </c>
      <c r="AI134" s="0" t="n">
        <v>249</v>
      </c>
      <c r="AJ134" s="0" t="n">
        <v>19</v>
      </c>
      <c r="AK134" s="0" t="n">
        <v>6019</v>
      </c>
      <c r="AL134" s="0" t="n">
        <v>1.65</v>
      </c>
    </row>
    <row r="135">
      <c r="A135" s="0" t="inlineStr">
        <is>
          <t>[고덕동]</t>
        </is>
      </c>
      <c r="B135" s="0" t="n">
        <v>108187</v>
      </c>
      <c r="C135" s="0" t="n">
        <v>21</v>
      </c>
      <c r="D135" s="0" t="inlineStr">
        <is>
          <t>고덕래미안힐스테이트</t>
        </is>
      </c>
      <c r="E135" s="0" t="inlineStr">
        <is>
          <t>2016.12.</t>
        </is>
      </c>
      <c r="F135" s="0" t="n">
        <v>3658</v>
      </c>
      <c r="G135" s="0" t="n">
        <v>67.5</v>
      </c>
      <c r="H135" s="0" t="n">
        <v>223.15</v>
      </c>
      <c r="I135" s="0" t="n">
        <v>48.98</v>
      </c>
      <c r="J135" s="0" t="n">
        <v>161.93</v>
      </c>
      <c r="K135" s="0" t="n">
        <v>1</v>
      </c>
      <c r="T135" s="0" t="n">
        <v>4</v>
      </c>
      <c r="U135" s="0" t="n">
        <v>2</v>
      </c>
      <c r="V135" s="0" t="inlineStr">
        <is>
          <t>계단식</t>
        </is>
      </c>
      <c r="W135" s="0" t="inlineStr">
        <is>
          <t>223A</t>
        </is>
      </c>
      <c r="X135" s="0" t="n">
        <v>35</v>
      </c>
      <c r="Y135" s="0" t="n">
        <v>15</v>
      </c>
      <c r="Z135" s="0" t="inlineStr">
        <is>
          <t>https://new.land.naver.com/complexes/108187?tab=detail&amp;rf=Y</t>
        </is>
      </c>
      <c r="AA135" s="0" t="inlineStr">
        <is>
          <t>서울시 강동구 고덕동 688</t>
        </is>
      </c>
      <c r="AB135" s="0" t="inlineStr">
        <is>
          <t>서울시</t>
        </is>
      </c>
      <c r="AC135" s="0" t="inlineStr">
        <is>
          <t>강동구</t>
        </is>
      </c>
      <c r="AD135" s="0" t="inlineStr">
        <is>
          <t>고덕동</t>
        </is>
      </c>
      <c r="AG135" s="0" t="inlineStr">
        <is>
          <t>서울시 강동구 아리수로50길 50</t>
        </is>
      </c>
      <c r="AH135" s="0" t="n">
        <v>211</v>
      </c>
      <c r="AI135" s="0" t="n">
        <v>249</v>
      </c>
      <c r="AJ135" s="0" t="n">
        <v>19</v>
      </c>
      <c r="AK135" s="0" t="n">
        <v>6019</v>
      </c>
      <c r="AL135" s="0" t="n">
        <v>1.65</v>
      </c>
    </row>
    <row r="136">
      <c r="A136" s="0" t="inlineStr">
        <is>
          <t>[고덕동]</t>
        </is>
      </c>
      <c r="B136" s="0" t="n">
        <v>108187</v>
      </c>
      <c r="C136" s="0" t="n">
        <v>22</v>
      </c>
      <c r="D136" s="0" t="inlineStr">
        <is>
          <t>고덕래미안힐스테이트</t>
        </is>
      </c>
      <c r="E136" s="0" t="inlineStr">
        <is>
          <t>2016.12.</t>
        </is>
      </c>
      <c r="F136" s="0" t="n">
        <v>3658</v>
      </c>
      <c r="G136" s="0" t="n">
        <v>79.64</v>
      </c>
      <c r="H136" s="0" t="n">
        <v>263.29</v>
      </c>
      <c r="I136" s="0" t="n">
        <v>58.25</v>
      </c>
      <c r="J136" s="0" t="n">
        <v>192.58</v>
      </c>
      <c r="K136" s="0" t="n">
        <v>1</v>
      </c>
      <c r="T136" s="0" t="n">
        <v>4</v>
      </c>
      <c r="U136" s="0" t="n">
        <v>2</v>
      </c>
      <c r="V136" s="0" t="inlineStr">
        <is>
          <t>계단식</t>
        </is>
      </c>
      <c r="W136" s="0" t="n">
        <v>263</v>
      </c>
      <c r="X136" s="0" t="n">
        <v>35</v>
      </c>
      <c r="Y136" s="0" t="n">
        <v>15</v>
      </c>
      <c r="Z136" s="0" t="inlineStr">
        <is>
          <t>https://new.land.naver.com/complexes/108187?tab=detail&amp;rf=Y</t>
        </is>
      </c>
      <c r="AA136" s="0" t="inlineStr">
        <is>
          <t>서울시 강동구 고덕동 688</t>
        </is>
      </c>
      <c r="AB136" s="0" t="inlineStr">
        <is>
          <t>서울시</t>
        </is>
      </c>
      <c r="AC136" s="0" t="inlineStr">
        <is>
          <t>강동구</t>
        </is>
      </c>
      <c r="AD136" s="0" t="inlineStr">
        <is>
          <t>고덕동</t>
        </is>
      </c>
      <c r="AG136" s="0" t="inlineStr">
        <is>
          <t>서울시 강동구 아리수로50길 50</t>
        </is>
      </c>
      <c r="AH136" s="0" t="n">
        <v>211</v>
      </c>
      <c r="AI136" s="0" t="n">
        <v>249</v>
      </c>
      <c r="AJ136" s="0" t="n">
        <v>19</v>
      </c>
      <c r="AK136" s="0" t="n">
        <v>6019</v>
      </c>
      <c r="AL136" s="0" t="n">
        <v>1.65</v>
      </c>
    </row>
    <row r="137">
      <c r="A137" s="0" t="inlineStr">
        <is>
          <t>[고덕동]</t>
        </is>
      </c>
      <c r="B137" s="0" t="n">
        <v>25874</v>
      </c>
      <c r="C137" s="0" t="n">
        <v>1</v>
      </c>
      <c r="D137" s="0" t="inlineStr">
        <is>
          <t>고덕아이파크</t>
        </is>
      </c>
      <c r="E137" s="0" t="inlineStr">
        <is>
          <t>2011.12.</t>
        </is>
      </c>
      <c r="F137" s="0" t="n">
        <v>1142</v>
      </c>
      <c r="G137" s="0" t="n">
        <v>25.73</v>
      </c>
      <c r="H137" s="0" t="n">
        <v>85.06999999999999</v>
      </c>
      <c r="I137" s="0" t="n">
        <v>18.14</v>
      </c>
      <c r="J137" s="0" t="n">
        <v>59.99</v>
      </c>
      <c r="K137" s="0" t="n">
        <v>136</v>
      </c>
      <c r="T137" s="0" t="n">
        <v>3</v>
      </c>
      <c r="U137" s="0" t="n">
        <v>2</v>
      </c>
      <c r="V137" s="0" t="inlineStr">
        <is>
          <t>계단식</t>
        </is>
      </c>
      <c r="W137" s="0" t="n">
        <v>85</v>
      </c>
      <c r="X137" s="0" t="n">
        <v>20</v>
      </c>
      <c r="Y137" s="0" t="n">
        <v>12</v>
      </c>
      <c r="Z137" s="0" t="inlineStr">
        <is>
          <t>https://new.land.naver.com/complexes/25874?tab=detail&amp;rf=Y</t>
        </is>
      </c>
      <c r="AA137" s="0" t="inlineStr">
        <is>
          <t>서울시 강동구 고덕동 499</t>
        </is>
      </c>
      <c r="AB137" s="0" t="inlineStr">
        <is>
          <t>서울시</t>
        </is>
      </c>
      <c r="AC137" s="0" t="inlineStr">
        <is>
          <t>강동구</t>
        </is>
      </c>
      <c r="AD137" s="0" t="inlineStr">
        <is>
          <t>고덕동</t>
        </is>
      </c>
      <c r="AG137" s="0" t="inlineStr">
        <is>
          <t>서울시 강동구 동남로79길 26</t>
        </is>
      </c>
      <c r="AH137" s="0" t="n">
        <v>128</v>
      </c>
      <c r="AI137" s="0" t="n">
        <v>240</v>
      </c>
      <c r="AJ137" s="0" t="n">
        <v>21</v>
      </c>
      <c r="AK137" s="0" t="n">
        <v>2024</v>
      </c>
      <c r="AL137" s="0" t="n">
        <v>1.77</v>
      </c>
    </row>
    <row r="138">
      <c r="A138" s="0" t="inlineStr">
        <is>
          <t>[고덕동]</t>
        </is>
      </c>
      <c r="B138" s="0" t="n">
        <v>25874</v>
      </c>
      <c r="C138" s="0" t="n">
        <v>2</v>
      </c>
      <c r="D138" s="0" t="inlineStr">
        <is>
          <t>고덕아이파크</t>
        </is>
      </c>
      <c r="E138" s="0" t="inlineStr">
        <is>
          <t>2011.12.</t>
        </is>
      </c>
      <c r="F138" s="0" t="n">
        <v>1142</v>
      </c>
      <c r="G138" s="0" t="n">
        <v>34.22</v>
      </c>
      <c r="H138" s="0" t="n">
        <v>113.15</v>
      </c>
      <c r="I138" s="0" t="n">
        <v>25.7</v>
      </c>
      <c r="J138" s="0" t="n">
        <v>84.98</v>
      </c>
      <c r="K138" s="0" t="n">
        <v>186</v>
      </c>
      <c r="T138" s="0" t="n">
        <v>3</v>
      </c>
      <c r="U138" s="0" t="n">
        <v>2</v>
      </c>
      <c r="V138" s="0" t="inlineStr">
        <is>
          <t>계단식</t>
        </is>
      </c>
      <c r="W138" s="0" t="inlineStr">
        <is>
          <t>113A</t>
        </is>
      </c>
      <c r="X138" s="0" t="n">
        <v>20</v>
      </c>
      <c r="Y138" s="0" t="n">
        <v>12</v>
      </c>
      <c r="Z138" s="0" t="inlineStr">
        <is>
          <t>https://new.land.naver.com/complexes/25874?tab=detail&amp;rf=Y</t>
        </is>
      </c>
      <c r="AA138" s="0" t="inlineStr">
        <is>
          <t>서울시 강동구 고덕동 499</t>
        </is>
      </c>
      <c r="AB138" s="0" t="inlineStr">
        <is>
          <t>서울시</t>
        </is>
      </c>
      <c r="AC138" s="0" t="inlineStr">
        <is>
          <t>강동구</t>
        </is>
      </c>
      <c r="AD138" s="0" t="inlineStr">
        <is>
          <t>고덕동</t>
        </is>
      </c>
      <c r="AG138" s="0" t="inlineStr">
        <is>
          <t>서울시 강동구 동남로79길 26</t>
        </is>
      </c>
      <c r="AH138" s="0" t="n">
        <v>128</v>
      </c>
      <c r="AI138" s="0" t="n">
        <v>240</v>
      </c>
      <c r="AJ138" s="0" t="n">
        <v>21</v>
      </c>
      <c r="AK138" s="0" t="n">
        <v>2024</v>
      </c>
      <c r="AL138" s="0" t="n">
        <v>1.77</v>
      </c>
    </row>
    <row r="139">
      <c r="A139" s="0" t="inlineStr">
        <is>
          <t>[고덕동]</t>
        </is>
      </c>
      <c r="B139" s="0" t="n">
        <v>25874</v>
      </c>
      <c r="C139" s="0" t="n">
        <v>3</v>
      </c>
      <c r="D139" s="0" t="inlineStr">
        <is>
          <t>고덕아이파크</t>
        </is>
      </c>
      <c r="E139" s="0" t="inlineStr">
        <is>
          <t>2011.12.</t>
        </is>
      </c>
      <c r="F139" s="0" t="n">
        <v>1142</v>
      </c>
      <c r="G139" s="0" t="n">
        <v>34.52</v>
      </c>
      <c r="H139" s="0" t="n">
        <v>114.14</v>
      </c>
      <c r="I139" s="0" t="n">
        <v>25.7</v>
      </c>
      <c r="J139" s="0" t="n">
        <v>84.98</v>
      </c>
      <c r="K139" s="0" t="n">
        <v>186</v>
      </c>
      <c r="T139" s="0" t="n">
        <v>3</v>
      </c>
      <c r="U139" s="0" t="n">
        <v>2</v>
      </c>
      <c r="V139" s="0" t="inlineStr">
        <is>
          <t>계단식</t>
        </is>
      </c>
      <c r="W139" s="0" t="inlineStr">
        <is>
          <t>114B</t>
        </is>
      </c>
      <c r="X139" s="0" t="n">
        <v>20</v>
      </c>
      <c r="Y139" s="0" t="n">
        <v>12</v>
      </c>
      <c r="Z139" s="0" t="inlineStr">
        <is>
          <t>https://new.land.naver.com/complexes/25874?tab=detail&amp;rf=Y</t>
        </is>
      </c>
      <c r="AA139" s="0" t="inlineStr">
        <is>
          <t>서울시 강동구 고덕동 499</t>
        </is>
      </c>
      <c r="AB139" s="0" t="inlineStr">
        <is>
          <t>서울시</t>
        </is>
      </c>
      <c r="AC139" s="0" t="inlineStr">
        <is>
          <t>강동구</t>
        </is>
      </c>
      <c r="AD139" s="0" t="inlineStr">
        <is>
          <t>고덕동</t>
        </is>
      </c>
      <c r="AG139" s="0" t="inlineStr">
        <is>
          <t>서울시 강동구 동남로79길 26</t>
        </is>
      </c>
      <c r="AH139" s="0" t="n">
        <v>128</v>
      </c>
      <c r="AI139" s="0" t="n">
        <v>240</v>
      </c>
      <c r="AJ139" s="0" t="n">
        <v>21</v>
      </c>
      <c r="AK139" s="0" t="n">
        <v>2024</v>
      </c>
      <c r="AL139" s="0" t="n">
        <v>1.77</v>
      </c>
    </row>
    <row r="140">
      <c r="A140" s="0" t="inlineStr">
        <is>
          <t>[고덕동]</t>
        </is>
      </c>
      <c r="B140" s="0" t="n">
        <v>25874</v>
      </c>
      <c r="C140" s="0" t="n">
        <v>4</v>
      </c>
      <c r="D140" s="0" t="inlineStr">
        <is>
          <t>고덕아이파크</t>
        </is>
      </c>
      <c r="E140" s="0" t="inlineStr">
        <is>
          <t>2011.12.</t>
        </is>
      </c>
      <c r="F140" s="0" t="n">
        <v>1142</v>
      </c>
      <c r="G140" s="0" t="n">
        <v>34.53</v>
      </c>
      <c r="H140" s="0" t="n">
        <v>114.16</v>
      </c>
      <c r="I140" s="0" t="n">
        <v>25.7</v>
      </c>
      <c r="J140" s="0" t="n">
        <v>84.98</v>
      </c>
      <c r="K140" s="0" t="n">
        <v>102</v>
      </c>
      <c r="T140" s="0" t="n">
        <v>3</v>
      </c>
      <c r="U140" s="0" t="n">
        <v>2</v>
      </c>
      <c r="V140" s="0" t="inlineStr">
        <is>
          <t>계단식</t>
        </is>
      </c>
      <c r="W140" s="0" t="n">
        <v>114</v>
      </c>
      <c r="X140" s="0" t="n">
        <v>20</v>
      </c>
      <c r="Y140" s="0" t="n">
        <v>12</v>
      </c>
      <c r="Z140" s="0" t="inlineStr">
        <is>
          <t>https://new.land.naver.com/complexes/25874?tab=detail&amp;rf=Y</t>
        </is>
      </c>
      <c r="AA140" s="0" t="inlineStr">
        <is>
          <t>서울시 강동구 고덕동 499</t>
        </is>
      </c>
      <c r="AB140" s="0" t="inlineStr">
        <is>
          <t>서울시</t>
        </is>
      </c>
      <c r="AC140" s="0" t="inlineStr">
        <is>
          <t>강동구</t>
        </is>
      </c>
      <c r="AD140" s="0" t="inlineStr">
        <is>
          <t>고덕동</t>
        </is>
      </c>
      <c r="AG140" s="0" t="inlineStr">
        <is>
          <t>서울시 강동구 동남로79길 26</t>
        </is>
      </c>
      <c r="AH140" s="0" t="n">
        <v>128</v>
      </c>
      <c r="AI140" s="0" t="n">
        <v>240</v>
      </c>
      <c r="AJ140" s="0" t="n">
        <v>21</v>
      </c>
      <c r="AK140" s="0" t="n">
        <v>2024</v>
      </c>
      <c r="AL140" s="0" t="n">
        <v>1.77</v>
      </c>
    </row>
    <row r="141">
      <c r="A141" s="0" t="inlineStr">
        <is>
          <t>[고덕동]</t>
        </is>
      </c>
      <c r="B141" s="0" t="n">
        <v>25874</v>
      </c>
      <c r="C141" s="0" t="n">
        <v>5</v>
      </c>
      <c r="D141" s="0" t="inlineStr">
        <is>
          <t>고덕아이파크</t>
        </is>
      </c>
      <c r="E141" s="0" t="inlineStr">
        <is>
          <t>2011.12.</t>
        </is>
      </c>
      <c r="F141" s="0" t="n">
        <v>1142</v>
      </c>
      <c r="G141" s="0" t="n">
        <v>44.73</v>
      </c>
      <c r="H141" s="0" t="n">
        <v>147.9</v>
      </c>
      <c r="I141" s="0" t="n">
        <v>34.78</v>
      </c>
      <c r="J141" s="0" t="n">
        <v>114.98</v>
      </c>
      <c r="K141" s="0" t="n">
        <v>170</v>
      </c>
      <c r="T141" s="0" t="n">
        <v>4</v>
      </c>
      <c r="U141" s="0" t="n">
        <v>2</v>
      </c>
      <c r="V141" s="0" t="inlineStr">
        <is>
          <t>계단식</t>
        </is>
      </c>
      <c r="W141" s="0" t="n">
        <v>147</v>
      </c>
      <c r="X141" s="0" t="n">
        <v>20</v>
      </c>
      <c r="Y141" s="0" t="n">
        <v>12</v>
      </c>
      <c r="Z141" s="0" t="inlineStr">
        <is>
          <t>https://new.land.naver.com/complexes/25874?tab=detail&amp;rf=Y</t>
        </is>
      </c>
      <c r="AA141" s="0" t="inlineStr">
        <is>
          <t>서울시 강동구 고덕동 499</t>
        </is>
      </c>
      <c r="AB141" s="0" t="inlineStr">
        <is>
          <t>서울시</t>
        </is>
      </c>
      <c r="AC141" s="0" t="inlineStr">
        <is>
          <t>강동구</t>
        </is>
      </c>
      <c r="AD141" s="0" t="inlineStr">
        <is>
          <t>고덕동</t>
        </is>
      </c>
      <c r="AG141" s="0" t="inlineStr">
        <is>
          <t>서울시 강동구 동남로79길 26</t>
        </is>
      </c>
      <c r="AH141" s="0" t="n">
        <v>128</v>
      </c>
      <c r="AI141" s="0" t="n">
        <v>240</v>
      </c>
      <c r="AJ141" s="0" t="n">
        <v>21</v>
      </c>
      <c r="AK141" s="0" t="n">
        <v>2024</v>
      </c>
      <c r="AL141" s="0" t="n">
        <v>1.77</v>
      </c>
    </row>
    <row r="142">
      <c r="A142" s="0" t="inlineStr">
        <is>
          <t>[고덕동]</t>
        </is>
      </c>
      <c r="B142" s="0" t="n">
        <v>25874</v>
      </c>
      <c r="C142" s="0" t="n">
        <v>6</v>
      </c>
      <c r="D142" s="0" t="inlineStr">
        <is>
          <t>고덕아이파크</t>
        </is>
      </c>
      <c r="E142" s="0" t="inlineStr">
        <is>
          <t>2011.12.</t>
        </is>
      </c>
      <c r="F142" s="0" t="n">
        <v>1142</v>
      </c>
      <c r="G142" s="0" t="n">
        <v>44.62</v>
      </c>
      <c r="H142" s="0" t="n">
        <v>147.52</v>
      </c>
      <c r="I142" s="0" t="n">
        <v>34.92</v>
      </c>
      <c r="J142" s="0" t="n">
        <v>115.45</v>
      </c>
      <c r="K142" s="0" t="n">
        <v>39</v>
      </c>
      <c r="T142" s="0" t="n">
        <v>4</v>
      </c>
      <c r="U142" s="0" t="n">
        <v>2</v>
      </c>
      <c r="V142" s="0" t="inlineStr">
        <is>
          <t>계단식</t>
        </is>
      </c>
      <c r="W142" s="0" t="inlineStr">
        <is>
          <t>147A</t>
        </is>
      </c>
      <c r="X142" s="0" t="n">
        <v>20</v>
      </c>
      <c r="Y142" s="0" t="n">
        <v>12</v>
      </c>
      <c r="Z142" s="0" t="inlineStr">
        <is>
          <t>https://new.land.naver.com/complexes/25874?tab=detail&amp;rf=Y</t>
        </is>
      </c>
      <c r="AA142" s="0" t="inlineStr">
        <is>
          <t>서울시 강동구 고덕동 499</t>
        </is>
      </c>
      <c r="AB142" s="0" t="inlineStr">
        <is>
          <t>서울시</t>
        </is>
      </c>
      <c r="AC142" s="0" t="inlineStr">
        <is>
          <t>강동구</t>
        </is>
      </c>
      <c r="AD142" s="0" t="inlineStr">
        <is>
          <t>고덕동</t>
        </is>
      </c>
      <c r="AG142" s="0" t="inlineStr">
        <is>
          <t>서울시 강동구 동남로79길 26</t>
        </is>
      </c>
      <c r="AH142" s="0" t="n">
        <v>128</v>
      </c>
      <c r="AI142" s="0" t="n">
        <v>240</v>
      </c>
      <c r="AJ142" s="0" t="n">
        <v>21</v>
      </c>
      <c r="AK142" s="0" t="n">
        <v>2024</v>
      </c>
      <c r="AL142" s="0" t="n">
        <v>1.77</v>
      </c>
    </row>
    <row r="143">
      <c r="A143" s="0" t="inlineStr">
        <is>
          <t>[고덕동]</t>
        </is>
      </c>
      <c r="B143" s="0" t="n">
        <v>25874</v>
      </c>
      <c r="C143" s="0" t="n">
        <v>7</v>
      </c>
      <c r="D143" s="0" t="inlineStr">
        <is>
          <t>고덕아이파크</t>
        </is>
      </c>
      <c r="E143" s="0" t="inlineStr">
        <is>
          <t>2011.12.</t>
        </is>
      </c>
      <c r="F143" s="0" t="n">
        <v>1142</v>
      </c>
      <c r="G143" s="0" t="n">
        <v>54.31</v>
      </c>
      <c r="H143" s="0" t="n">
        <v>179.54</v>
      </c>
      <c r="I143" s="0" t="n">
        <v>43.92</v>
      </c>
      <c r="J143" s="0" t="n">
        <v>145.22</v>
      </c>
      <c r="K143" s="0" t="n">
        <v>78</v>
      </c>
      <c r="T143" s="0" t="n">
        <v>4</v>
      </c>
      <c r="U143" s="0" t="n">
        <v>2</v>
      </c>
      <c r="V143" s="0" t="inlineStr">
        <is>
          <t>계단식</t>
        </is>
      </c>
      <c r="W143" s="0" t="inlineStr">
        <is>
          <t>179A</t>
        </is>
      </c>
      <c r="X143" s="0" t="n">
        <v>20</v>
      </c>
      <c r="Y143" s="0" t="n">
        <v>12</v>
      </c>
      <c r="Z143" s="0" t="inlineStr">
        <is>
          <t>https://new.land.naver.com/complexes/25874?tab=detail&amp;rf=Y</t>
        </is>
      </c>
      <c r="AA143" s="0" t="inlineStr">
        <is>
          <t>서울시 강동구 고덕동 499</t>
        </is>
      </c>
      <c r="AB143" s="0" t="inlineStr">
        <is>
          <t>서울시</t>
        </is>
      </c>
      <c r="AC143" s="0" t="inlineStr">
        <is>
          <t>강동구</t>
        </is>
      </c>
      <c r="AD143" s="0" t="inlineStr">
        <is>
          <t>고덕동</t>
        </is>
      </c>
      <c r="AG143" s="0" t="inlineStr">
        <is>
          <t>서울시 강동구 동남로79길 26</t>
        </is>
      </c>
      <c r="AH143" s="0" t="n">
        <v>128</v>
      </c>
      <c r="AI143" s="0" t="n">
        <v>240</v>
      </c>
      <c r="AJ143" s="0" t="n">
        <v>21</v>
      </c>
      <c r="AK143" s="0" t="n">
        <v>2024</v>
      </c>
      <c r="AL143" s="0" t="n">
        <v>1.77</v>
      </c>
    </row>
    <row r="144">
      <c r="A144" s="0" t="inlineStr">
        <is>
          <t>[고덕동]</t>
        </is>
      </c>
      <c r="B144" s="0" t="n">
        <v>25874</v>
      </c>
      <c r="C144" s="0" t="n">
        <v>8</v>
      </c>
      <c r="D144" s="0" t="inlineStr">
        <is>
          <t>고덕아이파크</t>
        </is>
      </c>
      <c r="E144" s="0" t="inlineStr">
        <is>
          <t>2011.12.</t>
        </is>
      </c>
      <c r="F144" s="0" t="n">
        <v>1142</v>
      </c>
      <c r="G144" s="0" t="n">
        <v>54.96</v>
      </c>
      <c r="H144" s="0" t="n">
        <v>181.7</v>
      </c>
      <c r="I144" s="0" t="n">
        <v>43.86</v>
      </c>
      <c r="J144" s="0" t="n">
        <v>145</v>
      </c>
      <c r="K144" s="0" t="n">
        <v>39</v>
      </c>
      <c r="T144" s="0" t="n">
        <v>4</v>
      </c>
      <c r="U144" s="0" t="n">
        <v>2</v>
      </c>
      <c r="V144" s="0" t="inlineStr">
        <is>
          <t>계단식</t>
        </is>
      </c>
      <c r="W144" s="0" t="inlineStr">
        <is>
          <t>181B</t>
        </is>
      </c>
      <c r="X144" s="0" t="n">
        <v>20</v>
      </c>
      <c r="Y144" s="0" t="n">
        <v>12</v>
      </c>
      <c r="Z144" s="0" t="inlineStr">
        <is>
          <t>https://new.land.naver.com/complexes/25874?tab=detail&amp;rf=Y</t>
        </is>
      </c>
      <c r="AA144" s="0" t="inlineStr">
        <is>
          <t>서울시 강동구 고덕동 499</t>
        </is>
      </c>
      <c r="AB144" s="0" t="inlineStr">
        <is>
          <t>서울시</t>
        </is>
      </c>
      <c r="AC144" s="0" t="inlineStr">
        <is>
          <t>강동구</t>
        </is>
      </c>
      <c r="AD144" s="0" t="inlineStr">
        <is>
          <t>고덕동</t>
        </is>
      </c>
      <c r="AG144" s="0" t="inlineStr">
        <is>
          <t>서울시 강동구 동남로79길 26</t>
        </is>
      </c>
      <c r="AH144" s="0" t="n">
        <v>128</v>
      </c>
      <c r="AI144" s="0" t="n">
        <v>240</v>
      </c>
      <c r="AJ144" s="0" t="n">
        <v>21</v>
      </c>
      <c r="AK144" s="0" t="n">
        <v>2024</v>
      </c>
      <c r="AL144" s="0" t="n">
        <v>1.77</v>
      </c>
    </row>
    <row r="145">
      <c r="A145" s="0" t="inlineStr">
        <is>
          <t>[고덕동]</t>
        </is>
      </c>
      <c r="B145" s="0" t="n">
        <v>25874</v>
      </c>
      <c r="C145" s="0" t="n">
        <v>9</v>
      </c>
      <c r="D145" s="0" t="inlineStr">
        <is>
          <t>고덕아이파크</t>
        </is>
      </c>
      <c r="E145" s="0" t="inlineStr">
        <is>
          <t>2011.12.</t>
        </is>
      </c>
      <c r="F145" s="0" t="n">
        <v>1142</v>
      </c>
      <c r="G145" s="0" t="n">
        <v>65.3</v>
      </c>
      <c r="H145" s="0" t="n">
        <v>215.88</v>
      </c>
      <c r="I145" s="0" t="n">
        <v>53.84</v>
      </c>
      <c r="J145" s="0" t="n">
        <v>177.99</v>
      </c>
      <c r="K145" s="0" t="n">
        <v>78</v>
      </c>
      <c r="T145" s="0" t="n">
        <v>4</v>
      </c>
      <c r="U145" s="0" t="n">
        <v>3</v>
      </c>
      <c r="V145" s="0" t="inlineStr">
        <is>
          <t>계단식</t>
        </is>
      </c>
      <c r="W145" s="0" t="n">
        <v>215</v>
      </c>
      <c r="X145" s="0" t="n">
        <v>20</v>
      </c>
      <c r="Y145" s="0" t="n">
        <v>12</v>
      </c>
      <c r="Z145" s="0" t="inlineStr">
        <is>
          <t>https://new.land.naver.com/complexes/25874?tab=detail&amp;rf=Y</t>
        </is>
      </c>
      <c r="AA145" s="0" t="inlineStr">
        <is>
          <t>서울시 강동구 고덕동 499</t>
        </is>
      </c>
      <c r="AB145" s="0" t="inlineStr">
        <is>
          <t>서울시</t>
        </is>
      </c>
      <c r="AC145" s="0" t="inlineStr">
        <is>
          <t>강동구</t>
        </is>
      </c>
      <c r="AD145" s="0" t="inlineStr">
        <is>
          <t>고덕동</t>
        </is>
      </c>
      <c r="AG145" s="0" t="inlineStr">
        <is>
          <t>서울시 강동구 동남로79길 26</t>
        </is>
      </c>
      <c r="AH145" s="0" t="n">
        <v>128</v>
      </c>
      <c r="AI145" s="0" t="n">
        <v>240</v>
      </c>
      <c r="AJ145" s="0" t="n">
        <v>21</v>
      </c>
      <c r="AK145" s="0" t="n">
        <v>2024</v>
      </c>
      <c r="AL145" s="0" t="n">
        <v>1.77</v>
      </c>
    </row>
    <row r="146">
      <c r="A146" s="0" t="inlineStr">
        <is>
          <t>[고덕동]</t>
        </is>
      </c>
      <c r="B146" s="0" t="n">
        <v>113907</v>
      </c>
      <c r="C146" s="0" t="n">
        <v>1</v>
      </c>
      <c r="D146" s="0" t="inlineStr">
        <is>
          <t>고덕그라시움</t>
        </is>
      </c>
      <c r="E146" s="0" t="inlineStr">
        <is>
          <t>2019.09.</t>
        </is>
      </c>
      <c r="F146" s="0" t="n">
        <v>4932</v>
      </c>
      <c r="G146" s="0" t="n">
        <v>24.97</v>
      </c>
      <c r="H146" s="0" t="n">
        <v>82.55</v>
      </c>
      <c r="I146" s="0" t="n">
        <v>18.08</v>
      </c>
      <c r="J146" s="0" t="n">
        <v>59.78</v>
      </c>
      <c r="K146" s="0" t="n">
        <v>1331</v>
      </c>
      <c r="T146" s="0" t="n">
        <v>3</v>
      </c>
      <c r="U146" s="0" t="n">
        <v>2</v>
      </c>
      <c r="V146" s="0" t="inlineStr">
        <is>
          <t>계단식</t>
        </is>
      </c>
      <c r="W146" s="0" t="inlineStr">
        <is>
          <t>82A</t>
        </is>
      </c>
      <c r="X146" s="0" t="n">
        <v>35</v>
      </c>
      <c r="Y146" s="0" t="n">
        <v>9</v>
      </c>
      <c r="Z146" s="0" t="inlineStr">
        <is>
          <t>https://new.land.naver.com/complexes/113907?tab=detail&amp;rf=Y</t>
        </is>
      </c>
      <c r="AA146" s="0" t="inlineStr">
        <is>
          <t>서울시 강동구 고덕동 693</t>
        </is>
      </c>
      <c r="AB146" s="0" t="inlineStr">
        <is>
          <t>서울시</t>
        </is>
      </c>
      <c r="AC146" s="0" t="inlineStr">
        <is>
          <t>강동구</t>
        </is>
      </c>
      <c r="AD146" s="0" t="inlineStr">
        <is>
          <t>고덕동</t>
        </is>
      </c>
      <c r="AG146" s="0" t="inlineStr">
        <is>
          <t>서울시 강동구 고덕로 333</t>
        </is>
      </c>
      <c r="AH146" s="0" t="n">
        <v>140</v>
      </c>
      <c r="AI146" s="0" t="n">
        <v>249</v>
      </c>
      <c r="AJ146" s="0" t="n">
        <v>20</v>
      </c>
      <c r="AK146" s="0" t="n">
        <v>7150</v>
      </c>
      <c r="AL146" s="0" t="n">
        <v>1.45</v>
      </c>
    </row>
    <row r="147">
      <c r="A147" s="0" t="inlineStr">
        <is>
          <t>[고덕동]</t>
        </is>
      </c>
      <c r="B147" s="0" t="n">
        <v>113907</v>
      </c>
      <c r="C147" s="0" t="n">
        <v>2</v>
      </c>
      <c r="D147" s="0" t="inlineStr">
        <is>
          <t>고덕그라시움</t>
        </is>
      </c>
      <c r="E147" s="0" t="inlineStr">
        <is>
          <t>2019.09.</t>
        </is>
      </c>
      <c r="F147" s="0" t="n">
        <v>4932</v>
      </c>
      <c r="G147" s="0" t="n">
        <v>24.92</v>
      </c>
      <c r="H147" s="0" t="n">
        <v>82.40000000000001</v>
      </c>
      <c r="I147" s="0" t="n">
        <v>17.85</v>
      </c>
      <c r="J147" s="0" t="n">
        <v>59.02</v>
      </c>
      <c r="K147" s="0" t="n">
        <v>275</v>
      </c>
      <c r="T147" s="0" t="n">
        <v>3</v>
      </c>
      <c r="U147" s="0" t="n">
        <v>2</v>
      </c>
      <c r="V147" s="0" t="inlineStr">
        <is>
          <t>계단식</t>
        </is>
      </c>
      <c r="W147" s="0" t="inlineStr">
        <is>
          <t>82C</t>
        </is>
      </c>
      <c r="X147" s="0" t="n">
        <v>35</v>
      </c>
      <c r="Y147" s="0" t="n">
        <v>9</v>
      </c>
      <c r="Z147" s="0" t="inlineStr">
        <is>
          <t>https://new.land.naver.com/complexes/113907?tab=detail&amp;rf=Y</t>
        </is>
      </c>
      <c r="AA147" s="0" t="inlineStr">
        <is>
          <t>서울시 강동구 고덕동 693</t>
        </is>
      </c>
      <c r="AB147" s="0" t="inlineStr">
        <is>
          <t>서울시</t>
        </is>
      </c>
      <c r="AC147" s="0" t="inlineStr">
        <is>
          <t>강동구</t>
        </is>
      </c>
      <c r="AD147" s="0" t="inlineStr">
        <is>
          <t>고덕동</t>
        </is>
      </c>
      <c r="AG147" s="0" t="inlineStr">
        <is>
          <t>서울시 강동구 고덕로 333</t>
        </is>
      </c>
      <c r="AH147" s="0" t="n">
        <v>140</v>
      </c>
      <c r="AI147" s="0" t="n">
        <v>249</v>
      </c>
      <c r="AJ147" s="0" t="n">
        <v>20</v>
      </c>
      <c r="AK147" s="0" t="n">
        <v>7150</v>
      </c>
      <c r="AL147" s="0" t="n">
        <v>1.45</v>
      </c>
    </row>
    <row r="148">
      <c r="A148" s="0" t="inlineStr">
        <is>
          <t>[고덕동]</t>
        </is>
      </c>
      <c r="B148" s="0" t="n">
        <v>113907</v>
      </c>
      <c r="C148" s="0" t="n">
        <v>3</v>
      </c>
      <c r="D148" s="0" t="inlineStr">
        <is>
          <t>고덕그라시움</t>
        </is>
      </c>
      <c r="E148" s="0" t="inlineStr">
        <is>
          <t>2019.09.</t>
        </is>
      </c>
      <c r="F148" s="0" t="n">
        <v>4932</v>
      </c>
      <c r="G148" s="0" t="n">
        <v>24.91</v>
      </c>
      <c r="H148" s="0" t="n">
        <v>82.36</v>
      </c>
      <c r="I148" s="0" t="n">
        <v>17.86</v>
      </c>
      <c r="J148" s="0" t="n">
        <v>59.05</v>
      </c>
      <c r="K148" s="0" t="n">
        <v>162</v>
      </c>
      <c r="T148" s="0" t="n">
        <v>3</v>
      </c>
      <c r="U148" s="0" t="n">
        <v>2</v>
      </c>
      <c r="V148" s="0" t="inlineStr">
        <is>
          <t>계단식</t>
        </is>
      </c>
      <c r="W148" s="0" t="inlineStr">
        <is>
          <t>82D</t>
        </is>
      </c>
      <c r="X148" s="0" t="n">
        <v>35</v>
      </c>
      <c r="Y148" s="0" t="n">
        <v>9</v>
      </c>
      <c r="Z148" s="0" t="inlineStr">
        <is>
          <t>https://new.land.naver.com/complexes/113907?tab=detail&amp;rf=Y</t>
        </is>
      </c>
      <c r="AA148" s="0" t="inlineStr">
        <is>
          <t>서울시 강동구 고덕동 693</t>
        </is>
      </c>
      <c r="AB148" s="0" t="inlineStr">
        <is>
          <t>서울시</t>
        </is>
      </c>
      <c r="AC148" s="0" t="inlineStr">
        <is>
          <t>강동구</t>
        </is>
      </c>
      <c r="AD148" s="0" t="inlineStr">
        <is>
          <t>고덕동</t>
        </is>
      </c>
      <c r="AG148" s="0" t="inlineStr">
        <is>
          <t>서울시 강동구 고덕로 333</t>
        </is>
      </c>
      <c r="AH148" s="0" t="n">
        <v>140</v>
      </c>
      <c r="AI148" s="0" t="n">
        <v>249</v>
      </c>
      <c r="AJ148" s="0" t="n">
        <v>20</v>
      </c>
      <c r="AK148" s="0" t="n">
        <v>7150</v>
      </c>
      <c r="AL148" s="0" t="n">
        <v>1.45</v>
      </c>
    </row>
    <row r="149">
      <c r="A149" s="0" t="inlineStr">
        <is>
          <t>[고덕동]</t>
        </is>
      </c>
      <c r="B149" s="0" t="n">
        <v>113907</v>
      </c>
      <c r="C149" s="0" t="n">
        <v>4</v>
      </c>
      <c r="D149" s="0" t="inlineStr">
        <is>
          <t>고덕그라시움</t>
        </is>
      </c>
      <c r="E149" s="0" t="inlineStr">
        <is>
          <t>2019.09.</t>
        </is>
      </c>
      <c r="F149" s="0" t="n">
        <v>4932</v>
      </c>
      <c r="G149" s="0" t="n">
        <v>24.98</v>
      </c>
      <c r="H149" s="0" t="n">
        <v>82.59</v>
      </c>
      <c r="I149" s="0" t="n">
        <v>17.99</v>
      </c>
      <c r="J149" s="0" t="n">
        <v>59.5</v>
      </c>
      <c r="K149" s="0" t="n">
        <v>56</v>
      </c>
      <c r="T149" s="0" t="n">
        <v>3</v>
      </c>
      <c r="U149" s="0" t="n">
        <v>2</v>
      </c>
      <c r="V149" s="0" t="inlineStr">
        <is>
          <t>계단식</t>
        </is>
      </c>
      <c r="W149" s="0" t="inlineStr">
        <is>
          <t>82B</t>
        </is>
      </c>
      <c r="X149" s="0" t="n">
        <v>35</v>
      </c>
      <c r="Y149" s="0" t="n">
        <v>9</v>
      </c>
      <c r="Z149" s="0" t="inlineStr">
        <is>
          <t>https://new.land.naver.com/complexes/113907?tab=detail&amp;rf=Y</t>
        </is>
      </c>
      <c r="AA149" s="0" t="inlineStr">
        <is>
          <t>서울시 강동구 고덕동 693</t>
        </is>
      </c>
      <c r="AB149" s="0" t="inlineStr">
        <is>
          <t>서울시</t>
        </is>
      </c>
      <c r="AC149" s="0" t="inlineStr">
        <is>
          <t>강동구</t>
        </is>
      </c>
      <c r="AD149" s="0" t="inlineStr">
        <is>
          <t>고덕동</t>
        </is>
      </c>
      <c r="AG149" s="0" t="inlineStr">
        <is>
          <t>서울시 강동구 고덕로 333</t>
        </is>
      </c>
      <c r="AH149" s="0" t="n">
        <v>140</v>
      </c>
      <c r="AI149" s="0" t="n">
        <v>249</v>
      </c>
      <c r="AJ149" s="0" t="n">
        <v>20</v>
      </c>
      <c r="AK149" s="0" t="n">
        <v>7150</v>
      </c>
      <c r="AL149" s="0" t="n">
        <v>1.45</v>
      </c>
    </row>
    <row r="150">
      <c r="A150" s="0" t="inlineStr">
        <is>
          <t>[고덕동]</t>
        </is>
      </c>
      <c r="B150" s="0" t="n">
        <v>113907</v>
      </c>
      <c r="C150" s="0" t="n">
        <v>5</v>
      </c>
      <c r="D150" s="0" t="inlineStr">
        <is>
          <t>고덕그라시움</t>
        </is>
      </c>
      <c r="E150" s="0" t="inlineStr">
        <is>
          <t>2019.09.</t>
        </is>
      </c>
      <c r="F150" s="0" t="n">
        <v>4932</v>
      </c>
      <c r="G150" s="0" t="n">
        <v>30.53</v>
      </c>
      <c r="H150" s="0" t="n">
        <v>100.95</v>
      </c>
      <c r="I150" s="0" t="n">
        <v>22.34</v>
      </c>
      <c r="J150" s="0" t="n">
        <v>73.87</v>
      </c>
      <c r="K150" s="0" t="n">
        <v>513</v>
      </c>
      <c r="T150" s="0" t="n">
        <v>3</v>
      </c>
      <c r="U150" s="0" t="n">
        <v>2</v>
      </c>
      <c r="V150" s="0" t="inlineStr">
        <is>
          <t>계단식</t>
        </is>
      </c>
      <c r="W150" s="0" t="inlineStr">
        <is>
          <t>100A</t>
        </is>
      </c>
      <c r="X150" s="0" t="n">
        <v>35</v>
      </c>
      <c r="Y150" s="0" t="n">
        <v>9</v>
      </c>
      <c r="Z150" s="0" t="inlineStr">
        <is>
          <t>https://new.land.naver.com/complexes/113907?tab=detail&amp;rf=Y</t>
        </is>
      </c>
      <c r="AA150" s="0" t="inlineStr">
        <is>
          <t>서울시 강동구 고덕동 693</t>
        </is>
      </c>
      <c r="AB150" s="0" t="inlineStr">
        <is>
          <t>서울시</t>
        </is>
      </c>
      <c r="AC150" s="0" t="inlineStr">
        <is>
          <t>강동구</t>
        </is>
      </c>
      <c r="AD150" s="0" t="inlineStr">
        <is>
          <t>고덕동</t>
        </is>
      </c>
      <c r="AG150" s="0" t="inlineStr">
        <is>
          <t>서울시 강동구 고덕로 333</t>
        </is>
      </c>
      <c r="AH150" s="0" t="n">
        <v>140</v>
      </c>
      <c r="AI150" s="0" t="n">
        <v>249</v>
      </c>
      <c r="AJ150" s="0" t="n">
        <v>20</v>
      </c>
      <c r="AK150" s="0" t="n">
        <v>7150</v>
      </c>
      <c r="AL150" s="0" t="n">
        <v>1.45</v>
      </c>
    </row>
    <row r="151">
      <c r="A151" s="0" t="inlineStr">
        <is>
          <t>[고덕동]</t>
        </is>
      </c>
      <c r="B151" s="0" t="n">
        <v>113907</v>
      </c>
      <c r="C151" s="0" t="n">
        <v>6</v>
      </c>
      <c r="D151" s="0" t="inlineStr">
        <is>
          <t>고덕그라시움</t>
        </is>
      </c>
      <c r="E151" s="0" t="inlineStr">
        <is>
          <t>2019.09.</t>
        </is>
      </c>
      <c r="F151" s="0" t="n">
        <v>4932</v>
      </c>
      <c r="G151" s="0" t="n">
        <v>30.78</v>
      </c>
      <c r="H151" s="0" t="n">
        <v>101.76</v>
      </c>
      <c r="I151" s="0" t="n">
        <v>22.25</v>
      </c>
      <c r="J151" s="0" t="n">
        <v>73.56</v>
      </c>
      <c r="K151" s="0" t="n">
        <v>249</v>
      </c>
      <c r="T151" s="0" t="n">
        <v>3</v>
      </c>
      <c r="U151" s="0" t="n">
        <v>2</v>
      </c>
      <c r="V151" s="0" t="inlineStr">
        <is>
          <t>계단식</t>
        </is>
      </c>
      <c r="W151" s="0" t="inlineStr">
        <is>
          <t>101B</t>
        </is>
      </c>
      <c r="X151" s="0" t="n">
        <v>35</v>
      </c>
      <c r="Y151" s="0" t="n">
        <v>9</v>
      </c>
      <c r="Z151" s="0" t="inlineStr">
        <is>
          <t>https://new.land.naver.com/complexes/113907?tab=detail&amp;rf=Y</t>
        </is>
      </c>
      <c r="AA151" s="0" t="inlineStr">
        <is>
          <t>서울시 강동구 고덕동 693</t>
        </is>
      </c>
      <c r="AB151" s="0" t="inlineStr">
        <is>
          <t>서울시</t>
        </is>
      </c>
      <c r="AC151" s="0" t="inlineStr">
        <is>
          <t>강동구</t>
        </is>
      </c>
      <c r="AD151" s="0" t="inlineStr">
        <is>
          <t>고덕동</t>
        </is>
      </c>
      <c r="AG151" s="0" t="inlineStr">
        <is>
          <t>서울시 강동구 고덕로 333</t>
        </is>
      </c>
      <c r="AH151" s="0" t="n">
        <v>140</v>
      </c>
      <c r="AI151" s="0" t="n">
        <v>249</v>
      </c>
      <c r="AJ151" s="0" t="n">
        <v>20</v>
      </c>
      <c r="AK151" s="0" t="n">
        <v>7150</v>
      </c>
      <c r="AL151" s="0" t="n">
        <v>1.45</v>
      </c>
    </row>
    <row r="152">
      <c r="A152" s="0" t="inlineStr">
        <is>
          <t>[고덕동]</t>
        </is>
      </c>
      <c r="B152" s="0" t="n">
        <v>113907</v>
      </c>
      <c r="C152" s="0" t="n">
        <v>7</v>
      </c>
      <c r="D152" s="0" t="inlineStr">
        <is>
          <t>고덕그라시움</t>
        </is>
      </c>
      <c r="E152" s="0" t="inlineStr">
        <is>
          <t>2019.09.</t>
        </is>
      </c>
      <c r="F152" s="0" t="n">
        <v>4932</v>
      </c>
      <c r="G152" s="0" t="n">
        <v>34.68</v>
      </c>
      <c r="H152" s="0" t="n">
        <v>114.66</v>
      </c>
      <c r="I152" s="0" t="n">
        <v>25.48</v>
      </c>
      <c r="J152" s="0" t="n">
        <v>84.23999999999999</v>
      </c>
      <c r="K152" s="0" t="n">
        <v>955</v>
      </c>
      <c r="T152" s="0" t="n">
        <v>3</v>
      </c>
      <c r="U152" s="0" t="n">
        <v>2</v>
      </c>
      <c r="V152" s="0" t="inlineStr">
        <is>
          <t>계단식</t>
        </is>
      </c>
      <c r="W152" s="0" t="inlineStr">
        <is>
          <t>114A</t>
        </is>
      </c>
      <c r="X152" s="0" t="n">
        <v>35</v>
      </c>
      <c r="Y152" s="0" t="n">
        <v>9</v>
      </c>
      <c r="Z152" s="0" t="inlineStr">
        <is>
          <t>https://new.land.naver.com/complexes/113907?tab=detail&amp;rf=Y</t>
        </is>
      </c>
      <c r="AA152" s="0" t="inlineStr">
        <is>
          <t>서울시 강동구 고덕동 693</t>
        </is>
      </c>
      <c r="AB152" s="0" t="inlineStr">
        <is>
          <t>서울시</t>
        </is>
      </c>
      <c r="AC152" s="0" t="inlineStr">
        <is>
          <t>강동구</t>
        </is>
      </c>
      <c r="AD152" s="0" t="inlineStr">
        <is>
          <t>고덕동</t>
        </is>
      </c>
      <c r="AG152" s="0" t="inlineStr">
        <is>
          <t>서울시 강동구 고덕로 333</t>
        </is>
      </c>
      <c r="AH152" s="0" t="n">
        <v>140</v>
      </c>
      <c r="AI152" s="0" t="n">
        <v>249</v>
      </c>
      <c r="AJ152" s="0" t="n">
        <v>20</v>
      </c>
      <c r="AK152" s="0" t="n">
        <v>7150</v>
      </c>
      <c r="AL152" s="0" t="n">
        <v>1.45</v>
      </c>
    </row>
    <row r="153">
      <c r="A153" s="0" t="inlineStr">
        <is>
          <t>[고덕동]</t>
        </is>
      </c>
      <c r="B153" s="0" t="n">
        <v>113907</v>
      </c>
      <c r="C153" s="0" t="n">
        <v>8</v>
      </c>
      <c r="D153" s="0" t="inlineStr">
        <is>
          <t>고덕그라시움</t>
        </is>
      </c>
      <c r="E153" s="0" t="inlineStr">
        <is>
          <t>2019.09.</t>
        </is>
      </c>
      <c r="F153" s="0" t="n">
        <v>4932</v>
      </c>
      <c r="G153" s="0" t="n">
        <v>34.97</v>
      </c>
      <c r="H153" s="0" t="n">
        <v>115.63</v>
      </c>
      <c r="I153" s="0" t="n">
        <v>25.48</v>
      </c>
      <c r="J153" s="0" t="n">
        <v>84.23999999999999</v>
      </c>
      <c r="K153" s="0" t="n">
        <v>451</v>
      </c>
      <c r="T153" s="0" t="n">
        <v>3</v>
      </c>
      <c r="U153" s="0" t="n">
        <v>2</v>
      </c>
      <c r="V153" s="0" t="inlineStr">
        <is>
          <t>계단식</t>
        </is>
      </c>
      <c r="W153" s="0" t="inlineStr">
        <is>
          <t>115D</t>
        </is>
      </c>
      <c r="X153" s="0" t="n">
        <v>35</v>
      </c>
      <c r="Y153" s="0" t="n">
        <v>9</v>
      </c>
      <c r="Z153" s="0" t="inlineStr">
        <is>
          <t>https://new.land.naver.com/complexes/113907?tab=detail&amp;rf=Y</t>
        </is>
      </c>
      <c r="AA153" s="0" t="inlineStr">
        <is>
          <t>서울시 강동구 고덕동 693</t>
        </is>
      </c>
      <c r="AB153" s="0" t="inlineStr">
        <is>
          <t>서울시</t>
        </is>
      </c>
      <c r="AC153" s="0" t="inlineStr">
        <is>
          <t>강동구</t>
        </is>
      </c>
      <c r="AD153" s="0" t="inlineStr">
        <is>
          <t>고덕동</t>
        </is>
      </c>
      <c r="AG153" s="0" t="inlineStr">
        <is>
          <t>서울시 강동구 고덕로 333</t>
        </is>
      </c>
      <c r="AH153" s="0" t="n">
        <v>140</v>
      </c>
      <c r="AI153" s="0" t="n">
        <v>249</v>
      </c>
      <c r="AJ153" s="0" t="n">
        <v>20</v>
      </c>
      <c r="AK153" s="0" t="n">
        <v>7150</v>
      </c>
      <c r="AL153" s="0" t="n">
        <v>1.45</v>
      </c>
    </row>
    <row r="154">
      <c r="A154" s="0" t="inlineStr">
        <is>
          <t>[고덕동]</t>
        </is>
      </c>
      <c r="B154" s="0" t="n">
        <v>113907</v>
      </c>
      <c r="C154" s="0" t="n">
        <v>9</v>
      </c>
      <c r="D154" s="0" t="inlineStr">
        <is>
          <t>고덕그라시움</t>
        </is>
      </c>
      <c r="E154" s="0" t="inlineStr">
        <is>
          <t>2019.09.</t>
        </is>
      </c>
      <c r="F154" s="0" t="n">
        <v>4932</v>
      </c>
      <c r="G154" s="0" t="n">
        <v>34.99</v>
      </c>
      <c r="H154" s="0" t="n">
        <v>115.67</v>
      </c>
      <c r="I154" s="0" t="n">
        <v>25.42</v>
      </c>
      <c r="J154" s="0" t="n">
        <v>84.04000000000001</v>
      </c>
      <c r="K154" s="0" t="n">
        <v>381</v>
      </c>
      <c r="T154" s="0" t="n">
        <v>3</v>
      </c>
      <c r="U154" s="0" t="n">
        <v>2</v>
      </c>
      <c r="V154" s="0" t="inlineStr">
        <is>
          <t>계단식</t>
        </is>
      </c>
      <c r="W154" s="0" t="inlineStr">
        <is>
          <t>115C</t>
        </is>
      </c>
      <c r="X154" s="0" t="n">
        <v>35</v>
      </c>
      <c r="Y154" s="0" t="n">
        <v>9</v>
      </c>
      <c r="Z154" s="0" t="inlineStr">
        <is>
          <t>https://new.land.naver.com/complexes/113907?tab=detail&amp;rf=Y</t>
        </is>
      </c>
      <c r="AA154" s="0" t="inlineStr">
        <is>
          <t>서울시 강동구 고덕동 693</t>
        </is>
      </c>
      <c r="AB154" s="0" t="inlineStr">
        <is>
          <t>서울시</t>
        </is>
      </c>
      <c r="AC154" s="0" t="inlineStr">
        <is>
          <t>강동구</t>
        </is>
      </c>
      <c r="AD154" s="0" t="inlineStr">
        <is>
          <t>고덕동</t>
        </is>
      </c>
      <c r="AG154" s="0" t="inlineStr">
        <is>
          <t>서울시 강동구 고덕로 333</t>
        </is>
      </c>
      <c r="AH154" s="0" t="n">
        <v>140</v>
      </c>
      <c r="AI154" s="0" t="n">
        <v>249</v>
      </c>
      <c r="AJ154" s="0" t="n">
        <v>20</v>
      </c>
      <c r="AK154" s="0" t="n">
        <v>7150</v>
      </c>
      <c r="AL154" s="0" t="n">
        <v>1.45</v>
      </c>
    </row>
    <row r="155">
      <c r="A155" s="0" t="inlineStr">
        <is>
          <t>[고덕동]</t>
        </is>
      </c>
      <c r="B155" s="0" t="n">
        <v>113907</v>
      </c>
      <c r="C155" s="0" t="n">
        <v>10</v>
      </c>
      <c r="D155" s="0" t="inlineStr">
        <is>
          <t>고덕그라시움</t>
        </is>
      </c>
      <c r="E155" s="0" t="inlineStr">
        <is>
          <t>2019.09.</t>
        </is>
      </c>
      <c r="F155" s="0" t="n">
        <v>4932</v>
      </c>
      <c r="G155" s="0" t="n">
        <v>34.83</v>
      </c>
      <c r="H155" s="0" t="n">
        <v>115.16</v>
      </c>
      <c r="I155" s="0" t="n">
        <v>25.5</v>
      </c>
      <c r="J155" s="0" t="n">
        <v>84.3</v>
      </c>
      <c r="K155" s="0" t="n">
        <v>49</v>
      </c>
      <c r="T155" s="0" t="n">
        <v>3</v>
      </c>
      <c r="U155" s="0" t="n">
        <v>2</v>
      </c>
      <c r="V155" s="0" t="inlineStr">
        <is>
          <t>계단식</t>
        </is>
      </c>
      <c r="W155" s="0" t="inlineStr">
        <is>
          <t>115B</t>
        </is>
      </c>
      <c r="X155" s="0" t="n">
        <v>35</v>
      </c>
      <c r="Y155" s="0" t="n">
        <v>9</v>
      </c>
      <c r="Z155" s="0" t="inlineStr">
        <is>
          <t>https://new.land.naver.com/complexes/113907?tab=detail&amp;rf=Y</t>
        </is>
      </c>
      <c r="AA155" s="0" t="inlineStr">
        <is>
          <t>서울시 강동구 고덕동 693</t>
        </is>
      </c>
      <c r="AB155" s="0" t="inlineStr">
        <is>
          <t>서울시</t>
        </is>
      </c>
      <c r="AC155" s="0" t="inlineStr">
        <is>
          <t>강동구</t>
        </is>
      </c>
      <c r="AD155" s="0" t="inlineStr">
        <is>
          <t>고덕동</t>
        </is>
      </c>
      <c r="AG155" s="0" t="inlineStr">
        <is>
          <t>서울시 강동구 고덕로 333</t>
        </is>
      </c>
      <c r="AH155" s="0" t="n">
        <v>140</v>
      </c>
      <c r="AI155" s="0" t="n">
        <v>249</v>
      </c>
      <c r="AJ155" s="0" t="n">
        <v>20</v>
      </c>
      <c r="AK155" s="0" t="n">
        <v>7150</v>
      </c>
      <c r="AL155" s="0" t="n">
        <v>1.45</v>
      </c>
    </row>
    <row r="156">
      <c r="A156" s="0" t="inlineStr">
        <is>
          <t>[고덕동]</t>
        </is>
      </c>
      <c r="B156" s="0" t="n">
        <v>113907</v>
      </c>
      <c r="C156" s="0" t="n">
        <v>11</v>
      </c>
      <c r="D156" s="0" t="inlineStr">
        <is>
          <t>고덕그라시움</t>
        </is>
      </c>
      <c r="E156" s="0" t="inlineStr">
        <is>
          <t>2019.09.</t>
        </is>
      </c>
      <c r="F156" s="0" t="n">
        <v>4932</v>
      </c>
      <c r="G156" s="0" t="n">
        <v>40.13</v>
      </c>
      <c r="H156" s="0" t="n">
        <v>132.69</v>
      </c>
      <c r="I156" s="0" t="n">
        <v>29.57</v>
      </c>
      <c r="J156" s="0" t="n">
        <v>97.78</v>
      </c>
      <c r="K156" s="0" t="n">
        <v>112</v>
      </c>
      <c r="T156" s="0" t="n">
        <v>4</v>
      </c>
      <c r="U156" s="0" t="n">
        <v>2</v>
      </c>
      <c r="V156" s="0" t="inlineStr">
        <is>
          <t>계단식</t>
        </is>
      </c>
      <c r="W156" s="0" t="inlineStr">
        <is>
          <t>132B</t>
        </is>
      </c>
      <c r="X156" s="0" t="n">
        <v>35</v>
      </c>
      <c r="Y156" s="0" t="n">
        <v>9</v>
      </c>
      <c r="Z156" s="0" t="inlineStr">
        <is>
          <t>https://new.land.naver.com/complexes/113907?tab=detail&amp;rf=Y</t>
        </is>
      </c>
      <c r="AA156" s="0" t="inlineStr">
        <is>
          <t>서울시 강동구 고덕동 693</t>
        </is>
      </c>
      <c r="AB156" s="0" t="inlineStr">
        <is>
          <t>서울시</t>
        </is>
      </c>
      <c r="AC156" s="0" t="inlineStr">
        <is>
          <t>강동구</t>
        </is>
      </c>
      <c r="AD156" s="0" t="inlineStr">
        <is>
          <t>고덕동</t>
        </is>
      </c>
      <c r="AG156" s="0" t="inlineStr">
        <is>
          <t>서울시 강동구 고덕로 333</t>
        </is>
      </c>
      <c r="AH156" s="0" t="n">
        <v>140</v>
      </c>
      <c r="AI156" s="0" t="n">
        <v>249</v>
      </c>
      <c r="AJ156" s="0" t="n">
        <v>20</v>
      </c>
      <c r="AK156" s="0" t="n">
        <v>7150</v>
      </c>
      <c r="AL156" s="0" t="n">
        <v>1.45</v>
      </c>
    </row>
    <row r="157">
      <c r="A157" s="0" t="inlineStr">
        <is>
          <t>[고덕동]</t>
        </is>
      </c>
      <c r="B157" s="0" t="n">
        <v>113907</v>
      </c>
      <c r="C157" s="0" t="n">
        <v>12</v>
      </c>
      <c r="D157" s="0" t="inlineStr">
        <is>
          <t>고덕그라시움</t>
        </is>
      </c>
      <c r="E157" s="0" t="inlineStr">
        <is>
          <t>2019.09.</t>
        </is>
      </c>
      <c r="F157" s="0" t="n">
        <v>4932</v>
      </c>
      <c r="G157" s="0" t="n">
        <v>40.35</v>
      </c>
      <c r="H157" s="0" t="n">
        <v>133.41</v>
      </c>
      <c r="I157" s="0" t="n">
        <v>29.58</v>
      </c>
      <c r="J157" s="0" t="n">
        <v>97.8</v>
      </c>
      <c r="K157" s="0" t="n">
        <v>112</v>
      </c>
      <c r="T157" s="0" t="n">
        <v>3</v>
      </c>
      <c r="U157" s="0" t="n">
        <v>2</v>
      </c>
      <c r="V157" s="0" t="inlineStr">
        <is>
          <t>계단식</t>
        </is>
      </c>
      <c r="W157" s="0" t="inlineStr">
        <is>
          <t>133A</t>
        </is>
      </c>
      <c r="X157" s="0" t="n">
        <v>35</v>
      </c>
      <c r="Y157" s="0" t="n">
        <v>9</v>
      </c>
      <c r="Z157" s="0" t="inlineStr">
        <is>
          <t>https://new.land.naver.com/complexes/113907?tab=detail&amp;rf=Y</t>
        </is>
      </c>
      <c r="AA157" s="0" t="inlineStr">
        <is>
          <t>서울시 강동구 고덕동 693</t>
        </is>
      </c>
      <c r="AB157" s="0" t="inlineStr">
        <is>
          <t>서울시</t>
        </is>
      </c>
      <c r="AC157" s="0" t="inlineStr">
        <is>
          <t>강동구</t>
        </is>
      </c>
      <c r="AD157" s="0" t="inlineStr">
        <is>
          <t>고덕동</t>
        </is>
      </c>
      <c r="AG157" s="0" t="inlineStr">
        <is>
          <t>서울시 강동구 고덕로 333</t>
        </is>
      </c>
      <c r="AH157" s="0" t="n">
        <v>140</v>
      </c>
      <c r="AI157" s="0" t="n">
        <v>249</v>
      </c>
      <c r="AJ157" s="0" t="n">
        <v>20</v>
      </c>
      <c r="AK157" s="0" t="n">
        <v>7150</v>
      </c>
      <c r="AL157" s="0" t="n">
        <v>1.45</v>
      </c>
    </row>
    <row r="158">
      <c r="A158" s="0" t="inlineStr">
        <is>
          <t>[고덕동]</t>
        </is>
      </c>
      <c r="B158" s="0" t="n">
        <v>113907</v>
      </c>
      <c r="C158" s="0" t="n">
        <v>13</v>
      </c>
      <c r="D158" s="0" t="inlineStr">
        <is>
          <t>고덕그라시움</t>
        </is>
      </c>
      <c r="E158" s="0" t="inlineStr">
        <is>
          <t>2019.09.</t>
        </is>
      </c>
      <c r="F158" s="0" t="n">
        <v>4932</v>
      </c>
      <c r="G158" s="0" t="n">
        <v>46.55</v>
      </c>
      <c r="H158" s="0" t="n">
        <v>153.91</v>
      </c>
      <c r="I158" s="0" t="n">
        <v>34.24</v>
      </c>
      <c r="J158" s="0" t="n">
        <v>113.22</v>
      </c>
      <c r="K158" s="0" t="n">
        <v>33</v>
      </c>
      <c r="T158" s="0" t="n">
        <v>4</v>
      </c>
      <c r="U158" s="0" t="n">
        <v>2</v>
      </c>
      <c r="V158" s="0" t="inlineStr">
        <is>
          <t>계단식</t>
        </is>
      </c>
      <c r="W158" s="0" t="inlineStr">
        <is>
          <t>153A</t>
        </is>
      </c>
      <c r="X158" s="0" t="n">
        <v>35</v>
      </c>
      <c r="Y158" s="0" t="n">
        <v>9</v>
      </c>
      <c r="Z158" s="0" t="inlineStr">
        <is>
          <t>https://new.land.naver.com/complexes/113907?tab=detail&amp;rf=Y</t>
        </is>
      </c>
      <c r="AA158" s="0" t="inlineStr">
        <is>
          <t>서울시 강동구 고덕동 693</t>
        </is>
      </c>
      <c r="AB158" s="0" t="inlineStr">
        <is>
          <t>서울시</t>
        </is>
      </c>
      <c r="AC158" s="0" t="inlineStr">
        <is>
          <t>강동구</t>
        </is>
      </c>
      <c r="AD158" s="0" t="inlineStr">
        <is>
          <t>고덕동</t>
        </is>
      </c>
      <c r="AG158" s="0" t="inlineStr">
        <is>
          <t>서울시 강동구 고덕로 333</t>
        </is>
      </c>
      <c r="AH158" s="0" t="n">
        <v>140</v>
      </c>
      <c r="AI158" s="0" t="n">
        <v>249</v>
      </c>
      <c r="AJ158" s="0" t="n">
        <v>20</v>
      </c>
      <c r="AK158" s="0" t="n">
        <v>7150</v>
      </c>
      <c r="AL158" s="0" t="n">
        <v>1.45</v>
      </c>
    </row>
    <row r="159">
      <c r="A159" s="0" t="inlineStr">
        <is>
          <t>[고덕동]</t>
        </is>
      </c>
      <c r="B159" s="0" t="n">
        <v>113907</v>
      </c>
      <c r="C159" s="0" t="n">
        <v>14</v>
      </c>
      <c r="D159" s="0" t="inlineStr">
        <is>
          <t>고덕그라시움</t>
        </is>
      </c>
      <c r="E159" s="0" t="inlineStr">
        <is>
          <t>2019.09.</t>
        </is>
      </c>
      <c r="F159" s="0" t="n">
        <v>4932</v>
      </c>
      <c r="G159" s="0" t="n">
        <v>46.68</v>
      </c>
      <c r="H159" s="0" t="n">
        <v>154.34</v>
      </c>
      <c r="I159" s="0" t="n">
        <v>34.3</v>
      </c>
      <c r="J159" s="0" t="n">
        <v>113.39</v>
      </c>
      <c r="K159" s="0" t="n">
        <v>33</v>
      </c>
      <c r="T159" s="0" t="n">
        <v>4</v>
      </c>
      <c r="U159" s="0" t="n">
        <v>3</v>
      </c>
      <c r="V159" s="0" t="inlineStr">
        <is>
          <t>계단식</t>
        </is>
      </c>
      <c r="W159" s="0" t="inlineStr">
        <is>
          <t>154C</t>
        </is>
      </c>
      <c r="X159" s="0" t="n">
        <v>35</v>
      </c>
      <c r="Y159" s="0" t="n">
        <v>9</v>
      </c>
      <c r="Z159" s="0" t="inlineStr">
        <is>
          <t>https://new.land.naver.com/complexes/113907?tab=detail&amp;rf=Y</t>
        </is>
      </c>
      <c r="AA159" s="0" t="inlineStr">
        <is>
          <t>서울시 강동구 고덕동 693</t>
        </is>
      </c>
      <c r="AB159" s="0" t="inlineStr">
        <is>
          <t>서울시</t>
        </is>
      </c>
      <c r="AC159" s="0" t="inlineStr">
        <is>
          <t>강동구</t>
        </is>
      </c>
      <c r="AD159" s="0" t="inlineStr">
        <is>
          <t>고덕동</t>
        </is>
      </c>
      <c r="AG159" s="0" t="inlineStr">
        <is>
          <t>서울시 강동구 고덕로 333</t>
        </is>
      </c>
      <c r="AH159" s="0" t="n">
        <v>140</v>
      </c>
      <c r="AI159" s="0" t="n">
        <v>249</v>
      </c>
      <c r="AJ159" s="0" t="n">
        <v>20</v>
      </c>
      <c r="AK159" s="0" t="n">
        <v>7150</v>
      </c>
      <c r="AL159" s="0" t="n">
        <v>1.45</v>
      </c>
    </row>
    <row r="160">
      <c r="A160" s="0" t="inlineStr">
        <is>
          <t>[고덕동]</t>
        </is>
      </c>
      <c r="B160" s="0" t="n">
        <v>113907</v>
      </c>
      <c r="C160" s="0" t="n">
        <v>15</v>
      </c>
      <c r="D160" s="0" t="inlineStr">
        <is>
          <t>고덕그라시움</t>
        </is>
      </c>
      <c r="E160" s="0" t="inlineStr">
        <is>
          <t>2019.09.</t>
        </is>
      </c>
      <c r="F160" s="0" t="n">
        <v>4932</v>
      </c>
      <c r="G160" s="0" t="n">
        <v>46.96</v>
      </c>
      <c r="H160" s="0" t="n">
        <v>155.27</v>
      </c>
      <c r="I160" s="0" t="n">
        <v>34.23</v>
      </c>
      <c r="J160" s="0" t="n">
        <v>113.19</v>
      </c>
      <c r="K160" s="0" t="n">
        <v>33</v>
      </c>
      <c r="T160" s="0" t="n">
        <v>4</v>
      </c>
      <c r="U160" s="0" t="n">
        <v>2</v>
      </c>
      <c r="V160" s="0" t="inlineStr">
        <is>
          <t>계단식</t>
        </is>
      </c>
      <c r="W160" s="0" t="inlineStr">
        <is>
          <t>155B</t>
        </is>
      </c>
      <c r="X160" s="0" t="n">
        <v>35</v>
      </c>
      <c r="Y160" s="0" t="n">
        <v>9</v>
      </c>
      <c r="Z160" s="0" t="inlineStr">
        <is>
          <t>https://new.land.naver.com/complexes/113907?tab=detail&amp;rf=Y</t>
        </is>
      </c>
      <c r="AA160" s="0" t="inlineStr">
        <is>
          <t>서울시 강동구 고덕동 693</t>
        </is>
      </c>
      <c r="AB160" s="0" t="inlineStr">
        <is>
          <t>서울시</t>
        </is>
      </c>
      <c r="AC160" s="0" t="inlineStr">
        <is>
          <t>강동구</t>
        </is>
      </c>
      <c r="AD160" s="0" t="inlineStr">
        <is>
          <t>고덕동</t>
        </is>
      </c>
      <c r="AG160" s="0" t="inlineStr">
        <is>
          <t>서울시 강동구 고덕로 333</t>
        </is>
      </c>
      <c r="AH160" s="0" t="n">
        <v>140</v>
      </c>
      <c r="AI160" s="0" t="n">
        <v>249</v>
      </c>
      <c r="AJ160" s="0" t="n">
        <v>20</v>
      </c>
      <c r="AK160" s="0" t="n">
        <v>7150</v>
      </c>
      <c r="AL160" s="0" t="n">
        <v>1.45</v>
      </c>
    </row>
    <row r="161">
      <c r="A161" s="0" t="inlineStr">
        <is>
          <t>[고덕동]</t>
        </is>
      </c>
      <c r="B161" s="0" t="n">
        <v>113907</v>
      </c>
      <c r="C161" s="0" t="n">
        <v>16</v>
      </c>
      <c r="D161" s="0" t="inlineStr">
        <is>
          <t>고덕그라시움</t>
        </is>
      </c>
      <c r="E161" s="0" t="inlineStr">
        <is>
          <t>2019.09.</t>
        </is>
      </c>
      <c r="F161" s="0" t="n">
        <v>4932</v>
      </c>
      <c r="G161" s="0" t="n">
        <v>52.32</v>
      </c>
      <c r="H161" s="0" t="n">
        <v>172.99</v>
      </c>
      <c r="I161" s="0" t="n">
        <v>38.64</v>
      </c>
      <c r="J161" s="0" t="n">
        <v>127.76</v>
      </c>
      <c r="K161" s="0" t="n">
        <v>33</v>
      </c>
      <c r="T161" s="0" t="n">
        <v>4</v>
      </c>
      <c r="U161" s="0" t="n">
        <v>2</v>
      </c>
      <c r="V161" s="0" t="inlineStr">
        <is>
          <t>계단식</t>
        </is>
      </c>
      <c r="W161" s="0" t="n">
        <v>172</v>
      </c>
      <c r="X161" s="0" t="n">
        <v>35</v>
      </c>
      <c r="Y161" s="0" t="n">
        <v>9</v>
      </c>
      <c r="Z161" s="0" t="inlineStr">
        <is>
          <t>https://new.land.naver.com/complexes/113907?tab=detail&amp;rf=Y</t>
        </is>
      </c>
      <c r="AA161" s="0" t="inlineStr">
        <is>
          <t>서울시 강동구 고덕동 693</t>
        </is>
      </c>
      <c r="AB161" s="0" t="inlineStr">
        <is>
          <t>서울시</t>
        </is>
      </c>
      <c r="AC161" s="0" t="inlineStr">
        <is>
          <t>강동구</t>
        </is>
      </c>
      <c r="AD161" s="0" t="inlineStr">
        <is>
          <t>고덕동</t>
        </is>
      </c>
      <c r="AG161" s="0" t="inlineStr">
        <is>
          <t>서울시 강동구 고덕로 333</t>
        </is>
      </c>
      <c r="AH161" s="0" t="n">
        <v>140</v>
      </c>
      <c r="AI161" s="0" t="n">
        <v>249</v>
      </c>
      <c r="AJ161" s="0" t="n">
        <v>20</v>
      </c>
      <c r="AK161" s="0" t="n">
        <v>7150</v>
      </c>
      <c r="AL161" s="0" t="n">
        <v>1.45</v>
      </c>
    </row>
    <row r="162">
      <c r="A162" s="0" t="inlineStr">
        <is>
          <t>[고덕동]</t>
        </is>
      </c>
      <c r="B162" s="0" t="n">
        <v>113907</v>
      </c>
      <c r="C162" s="0" t="n">
        <v>17</v>
      </c>
      <c r="D162" s="0" t="inlineStr">
        <is>
          <t>고덕그라시움</t>
        </is>
      </c>
      <c r="E162" s="0" t="inlineStr">
        <is>
          <t>2019.09.</t>
        </is>
      </c>
      <c r="F162" s="0" t="n">
        <v>4932</v>
      </c>
      <c r="G162" s="0" t="n">
        <v>55.85</v>
      </c>
      <c r="H162" s="0" t="n">
        <v>184.64</v>
      </c>
      <c r="I162" s="0" t="n">
        <v>40.27</v>
      </c>
      <c r="J162" s="0" t="n">
        <v>133.15</v>
      </c>
      <c r="K162" s="0" t="n">
        <v>6</v>
      </c>
      <c r="T162" s="0" t="n">
        <v>3</v>
      </c>
      <c r="U162" s="0" t="n">
        <v>2</v>
      </c>
      <c r="V162" s="0" t="inlineStr">
        <is>
          <t>계단식</t>
        </is>
      </c>
      <c r="W162" s="0" t="inlineStr">
        <is>
          <t>184A</t>
        </is>
      </c>
      <c r="X162" s="0" t="n">
        <v>35</v>
      </c>
      <c r="Y162" s="0" t="n">
        <v>9</v>
      </c>
      <c r="Z162" s="0" t="inlineStr">
        <is>
          <t>https://new.land.naver.com/complexes/113907?tab=detail&amp;rf=Y</t>
        </is>
      </c>
      <c r="AA162" s="0" t="inlineStr">
        <is>
          <t>서울시 강동구 고덕동 693</t>
        </is>
      </c>
      <c r="AB162" s="0" t="inlineStr">
        <is>
          <t>서울시</t>
        </is>
      </c>
      <c r="AC162" s="0" t="inlineStr">
        <is>
          <t>강동구</t>
        </is>
      </c>
      <c r="AD162" s="0" t="inlineStr">
        <is>
          <t>고덕동</t>
        </is>
      </c>
      <c r="AG162" s="0" t="inlineStr">
        <is>
          <t>서울시 강동구 고덕로 333</t>
        </is>
      </c>
      <c r="AH162" s="0" t="n">
        <v>140</v>
      </c>
      <c r="AI162" s="0" t="n">
        <v>249</v>
      </c>
      <c r="AJ162" s="0" t="n">
        <v>20</v>
      </c>
      <c r="AK162" s="0" t="n">
        <v>7150</v>
      </c>
      <c r="AL162" s="0" t="n">
        <v>1.45</v>
      </c>
    </row>
    <row r="163">
      <c r="A163" s="0" t="inlineStr">
        <is>
          <t>[고덕동]</t>
        </is>
      </c>
      <c r="B163" s="0" t="n">
        <v>113907</v>
      </c>
      <c r="C163" s="0" t="n">
        <v>18</v>
      </c>
      <c r="D163" s="0" t="inlineStr">
        <is>
          <t>고덕그라시움</t>
        </is>
      </c>
      <c r="E163" s="0" t="inlineStr">
        <is>
          <t>2019.09.</t>
        </is>
      </c>
      <c r="F163" s="0" t="n">
        <v>4932</v>
      </c>
      <c r="G163" s="0" t="n">
        <v>55.93</v>
      </c>
      <c r="H163" s="0" t="n">
        <v>184.92</v>
      </c>
      <c r="I163" s="0" t="n">
        <v>40.23</v>
      </c>
      <c r="J163" s="0" t="n">
        <v>133.01</v>
      </c>
      <c r="K163" s="0" t="n">
        <v>3</v>
      </c>
      <c r="T163" s="0" t="n">
        <v>4</v>
      </c>
      <c r="U163" s="0" t="n">
        <v>2</v>
      </c>
      <c r="V163" s="0" t="inlineStr">
        <is>
          <t>계단식</t>
        </is>
      </c>
      <c r="W163" s="0" t="inlineStr">
        <is>
          <t>184B</t>
        </is>
      </c>
      <c r="X163" s="0" t="n">
        <v>35</v>
      </c>
      <c r="Y163" s="0" t="n">
        <v>9</v>
      </c>
      <c r="Z163" s="0" t="inlineStr">
        <is>
          <t>https://new.land.naver.com/complexes/113907?tab=detail&amp;rf=Y</t>
        </is>
      </c>
      <c r="AA163" s="0" t="inlineStr">
        <is>
          <t>서울시 강동구 고덕동 693</t>
        </is>
      </c>
      <c r="AB163" s="0" t="inlineStr">
        <is>
          <t>서울시</t>
        </is>
      </c>
      <c r="AC163" s="0" t="inlineStr">
        <is>
          <t>강동구</t>
        </is>
      </c>
      <c r="AD163" s="0" t="inlineStr">
        <is>
          <t>고덕동</t>
        </is>
      </c>
      <c r="AG163" s="0" t="inlineStr">
        <is>
          <t>서울시 강동구 고덕로 333</t>
        </is>
      </c>
      <c r="AH163" s="0" t="n">
        <v>140</v>
      </c>
      <c r="AI163" s="0" t="n">
        <v>249</v>
      </c>
      <c r="AJ163" s="0" t="n">
        <v>20</v>
      </c>
      <c r="AK163" s="0" t="n">
        <v>7150</v>
      </c>
      <c r="AL163" s="0" t="n">
        <v>1.45</v>
      </c>
    </row>
    <row r="164">
      <c r="A164" s="0" t="inlineStr">
        <is>
          <t>[고덕동]</t>
        </is>
      </c>
      <c r="B164" s="0" t="n">
        <v>113907</v>
      </c>
      <c r="C164" s="0" t="n">
        <v>19</v>
      </c>
      <c r="D164" s="0" t="inlineStr">
        <is>
          <t>고덕그라시움</t>
        </is>
      </c>
      <c r="E164" s="0" t="inlineStr">
        <is>
          <t>2019.09.</t>
        </is>
      </c>
      <c r="F164" s="0" t="n">
        <v>4932</v>
      </c>
      <c r="G164" s="0" t="n">
        <v>60.79</v>
      </c>
      <c r="H164" s="0" t="n">
        <v>200.96</v>
      </c>
      <c r="I164" s="0" t="n">
        <v>43.33</v>
      </c>
      <c r="J164" s="0" t="n">
        <v>143.26</v>
      </c>
      <c r="K164" s="0" t="n">
        <v>1</v>
      </c>
      <c r="T164" s="0" t="n">
        <v>4</v>
      </c>
      <c r="U164" s="0" t="n">
        <v>3</v>
      </c>
      <c r="V164" s="0" t="inlineStr">
        <is>
          <t>계단식</t>
        </is>
      </c>
      <c r="W164" s="0" t="n">
        <v>200</v>
      </c>
      <c r="X164" s="0" t="n">
        <v>35</v>
      </c>
      <c r="Y164" s="0" t="n">
        <v>9</v>
      </c>
      <c r="Z164" s="0" t="inlineStr">
        <is>
          <t>https://new.land.naver.com/complexes/113907?tab=detail&amp;rf=Y</t>
        </is>
      </c>
      <c r="AA164" s="0" t="inlineStr">
        <is>
          <t>서울시 강동구 고덕동 693</t>
        </is>
      </c>
      <c r="AB164" s="0" t="inlineStr">
        <is>
          <t>서울시</t>
        </is>
      </c>
      <c r="AC164" s="0" t="inlineStr">
        <is>
          <t>강동구</t>
        </is>
      </c>
      <c r="AD164" s="0" t="inlineStr">
        <is>
          <t>고덕동</t>
        </is>
      </c>
      <c r="AG164" s="0" t="inlineStr">
        <is>
          <t>서울시 강동구 고덕로 333</t>
        </is>
      </c>
      <c r="AH164" s="0" t="n">
        <v>140</v>
      </c>
      <c r="AI164" s="0" t="n">
        <v>249</v>
      </c>
      <c r="AJ164" s="0" t="n">
        <v>20</v>
      </c>
      <c r="AK164" s="0" t="n">
        <v>7150</v>
      </c>
      <c r="AL164" s="0" t="n">
        <v>1.45</v>
      </c>
    </row>
    <row r="165">
      <c r="A165" s="0" t="inlineStr">
        <is>
          <t>[고덕동]</t>
        </is>
      </c>
      <c r="B165" s="0" t="n">
        <v>113907</v>
      </c>
      <c r="C165" s="0" t="n">
        <v>20</v>
      </c>
      <c r="D165" s="0" t="inlineStr">
        <is>
          <t>고덕그라시움</t>
        </is>
      </c>
      <c r="E165" s="0" t="inlineStr">
        <is>
          <t>2019.09.</t>
        </is>
      </c>
      <c r="F165" s="0" t="n">
        <v>4932</v>
      </c>
      <c r="G165" s="0" t="n">
        <v>73.5</v>
      </c>
      <c r="H165" s="0" t="n">
        <v>242.99</v>
      </c>
      <c r="I165" s="0" t="n">
        <v>53.2</v>
      </c>
      <c r="J165" s="0" t="n">
        <v>175.9</v>
      </c>
      <c r="K165" s="0" t="n">
        <v>1</v>
      </c>
      <c r="T165" s="0" t="n">
        <v>4</v>
      </c>
      <c r="U165" s="0" t="n">
        <v>3</v>
      </c>
      <c r="V165" s="0" t="inlineStr">
        <is>
          <t>계단식</t>
        </is>
      </c>
      <c r="W165" s="0" t="inlineStr">
        <is>
          <t>242B</t>
        </is>
      </c>
      <c r="X165" s="0" t="n">
        <v>35</v>
      </c>
      <c r="Y165" s="0" t="n">
        <v>9</v>
      </c>
      <c r="Z165" s="0" t="inlineStr">
        <is>
          <t>https://new.land.naver.com/complexes/113907?tab=detail&amp;rf=Y</t>
        </is>
      </c>
      <c r="AA165" s="0" t="inlineStr">
        <is>
          <t>서울시 강동구 고덕동 693</t>
        </is>
      </c>
      <c r="AB165" s="0" t="inlineStr">
        <is>
          <t>서울시</t>
        </is>
      </c>
      <c r="AC165" s="0" t="inlineStr">
        <is>
          <t>강동구</t>
        </is>
      </c>
      <c r="AD165" s="0" t="inlineStr">
        <is>
          <t>고덕동</t>
        </is>
      </c>
      <c r="AG165" s="0" t="inlineStr">
        <is>
          <t>서울시 강동구 고덕로 333</t>
        </is>
      </c>
      <c r="AH165" s="0" t="n">
        <v>140</v>
      </c>
      <c r="AI165" s="0" t="n">
        <v>249</v>
      </c>
      <c r="AJ165" s="0" t="n">
        <v>20</v>
      </c>
      <c r="AK165" s="0" t="n">
        <v>7150</v>
      </c>
      <c r="AL165" s="0" t="n">
        <v>1.45</v>
      </c>
    </row>
    <row r="166">
      <c r="A166" s="0" t="inlineStr">
        <is>
          <t>[고덕동]</t>
        </is>
      </c>
      <c r="B166" s="0" t="n">
        <v>113907</v>
      </c>
      <c r="C166" s="0" t="n">
        <v>21</v>
      </c>
      <c r="D166" s="0" t="inlineStr">
        <is>
          <t>고덕그라시움</t>
        </is>
      </c>
      <c r="E166" s="0" t="inlineStr">
        <is>
          <t>2019.09.</t>
        </is>
      </c>
      <c r="F166" s="0" t="n">
        <v>4932</v>
      </c>
      <c r="G166" s="0" t="n">
        <v>73.69</v>
      </c>
      <c r="H166" s="0" t="n">
        <v>243.62</v>
      </c>
      <c r="I166" s="0" t="n">
        <v>53.02</v>
      </c>
      <c r="J166" s="0" t="n">
        <v>175.29</v>
      </c>
      <c r="K166" s="0" t="n">
        <v>2</v>
      </c>
      <c r="T166" s="0" t="n">
        <v>4</v>
      </c>
      <c r="U166" s="0" t="n">
        <v>3</v>
      </c>
      <c r="V166" s="0" t="inlineStr">
        <is>
          <t>계단식</t>
        </is>
      </c>
      <c r="W166" s="0" t="inlineStr">
        <is>
          <t>243C</t>
        </is>
      </c>
      <c r="X166" s="0" t="n">
        <v>35</v>
      </c>
      <c r="Y166" s="0" t="n">
        <v>9</v>
      </c>
      <c r="Z166" s="0" t="inlineStr">
        <is>
          <t>https://new.land.naver.com/complexes/113907?tab=detail&amp;rf=Y</t>
        </is>
      </c>
      <c r="AA166" s="0" t="inlineStr">
        <is>
          <t>서울시 강동구 고덕동 693</t>
        </is>
      </c>
      <c r="AB166" s="0" t="inlineStr">
        <is>
          <t>서울시</t>
        </is>
      </c>
      <c r="AC166" s="0" t="inlineStr">
        <is>
          <t>강동구</t>
        </is>
      </c>
      <c r="AD166" s="0" t="inlineStr">
        <is>
          <t>고덕동</t>
        </is>
      </c>
      <c r="AG166" s="0" t="inlineStr">
        <is>
          <t>서울시 강동구 고덕로 333</t>
        </is>
      </c>
      <c r="AH166" s="0" t="n">
        <v>140</v>
      </c>
      <c r="AI166" s="0" t="n">
        <v>249</v>
      </c>
      <c r="AJ166" s="0" t="n">
        <v>20</v>
      </c>
      <c r="AK166" s="0" t="n">
        <v>7150</v>
      </c>
      <c r="AL166" s="0" t="n">
        <v>1.45</v>
      </c>
    </row>
    <row r="167">
      <c r="A167" s="0" t="inlineStr">
        <is>
          <t>[고덕동]</t>
        </is>
      </c>
      <c r="B167" s="0" t="n">
        <v>113907</v>
      </c>
      <c r="C167" s="0" t="n">
        <v>22</v>
      </c>
      <c r="D167" s="0" t="inlineStr">
        <is>
          <t>고덕그라시움</t>
        </is>
      </c>
      <c r="E167" s="0" t="inlineStr">
        <is>
          <t>2019.09.</t>
        </is>
      </c>
      <c r="F167" s="0" t="n">
        <v>4932</v>
      </c>
      <c r="G167" s="0" t="n">
        <v>73.66</v>
      </c>
      <c r="H167" s="0" t="n">
        <v>243.52</v>
      </c>
      <c r="I167" s="0" t="n">
        <v>52.97</v>
      </c>
      <c r="J167" s="0" t="n">
        <v>175.11</v>
      </c>
      <c r="K167" s="0" t="n">
        <v>1</v>
      </c>
      <c r="T167" s="0" t="n">
        <v>4</v>
      </c>
      <c r="U167" s="0" t="n">
        <v>3</v>
      </c>
      <c r="V167" s="0" t="inlineStr">
        <is>
          <t>계단식</t>
        </is>
      </c>
      <c r="W167" s="0" t="inlineStr">
        <is>
          <t>243A</t>
        </is>
      </c>
      <c r="X167" s="0" t="n">
        <v>35</v>
      </c>
      <c r="Y167" s="0" t="n">
        <v>9</v>
      </c>
      <c r="Z167" s="0" t="inlineStr">
        <is>
          <t>https://new.land.naver.com/complexes/113907?tab=detail&amp;rf=Y</t>
        </is>
      </c>
      <c r="AA167" s="0" t="inlineStr">
        <is>
          <t>서울시 강동구 고덕동 693</t>
        </is>
      </c>
      <c r="AB167" s="0" t="inlineStr">
        <is>
          <t>서울시</t>
        </is>
      </c>
      <c r="AC167" s="0" t="inlineStr">
        <is>
          <t>강동구</t>
        </is>
      </c>
      <c r="AD167" s="0" t="inlineStr">
        <is>
          <t>고덕동</t>
        </is>
      </c>
      <c r="AG167" s="0" t="inlineStr">
        <is>
          <t>서울시 강동구 고덕로 333</t>
        </is>
      </c>
      <c r="AH167" s="0" t="n">
        <v>140</v>
      </c>
      <c r="AI167" s="0" t="n">
        <v>249</v>
      </c>
      <c r="AJ167" s="0" t="n">
        <v>20</v>
      </c>
      <c r="AK167" s="0" t="n">
        <v>7150</v>
      </c>
      <c r="AL167" s="0" t="n">
        <v>1.45</v>
      </c>
    </row>
    <row r="168">
      <c r="A168" s="0" t="inlineStr">
        <is>
          <t>[고덕동]</t>
        </is>
      </c>
      <c r="B168" s="0" t="n">
        <v>875</v>
      </c>
      <c r="C168" s="0" t="n">
        <v>1</v>
      </c>
      <c r="D168" s="0" t="inlineStr">
        <is>
          <t>배재현대</t>
        </is>
      </c>
      <c r="E168" s="0" t="inlineStr">
        <is>
          <t>1995.11.</t>
        </is>
      </c>
      <c r="F168" s="0" t="n">
        <v>448</v>
      </c>
      <c r="G168" s="0" t="n">
        <v>29</v>
      </c>
      <c r="H168" s="0" t="n">
        <v>95.87</v>
      </c>
      <c r="I168" s="0" t="n">
        <v>18.13</v>
      </c>
      <c r="J168" s="0" t="n">
        <v>59.94</v>
      </c>
      <c r="K168" s="0" t="n">
        <v>230</v>
      </c>
      <c r="T168" s="0" t="n">
        <v>3</v>
      </c>
      <c r="U168" s="0" t="n">
        <v>1</v>
      </c>
      <c r="V168" s="0" t="inlineStr">
        <is>
          <t>복도식</t>
        </is>
      </c>
      <c r="W168" s="0" t="n">
        <v>95</v>
      </c>
      <c r="X168" s="0" t="n">
        <v>22</v>
      </c>
      <c r="Y168" s="0" t="n">
        <v>14</v>
      </c>
      <c r="Z168" s="0" t="inlineStr">
        <is>
          <t>https://new.land.naver.com/complexes/875?tab=detail&amp;rf=Y</t>
        </is>
      </c>
      <c r="AA168" s="0" t="inlineStr">
        <is>
          <t>서울시 강동구 고덕동 312</t>
        </is>
      </c>
      <c r="AB168" s="0" t="inlineStr">
        <is>
          <t>서울시</t>
        </is>
      </c>
      <c r="AC168" s="0" t="inlineStr">
        <is>
          <t>강동구</t>
        </is>
      </c>
      <c r="AD168" s="0" t="inlineStr">
        <is>
          <t>고덕동</t>
        </is>
      </c>
      <c r="AG168" s="0" t="inlineStr">
        <is>
          <t>서울시 강동구 고덕로61길 37</t>
        </is>
      </c>
      <c r="AH168" s="0" t="n">
        <v>0</v>
      </c>
      <c r="AI168" s="0" t="n">
        <v>399</v>
      </c>
      <c r="AJ168" s="0" t="n">
        <v>24</v>
      </c>
      <c r="AK168" s="0" t="n">
        <v>456</v>
      </c>
      <c r="AL168" s="0" t="n">
        <v>1.02</v>
      </c>
    </row>
    <row r="169">
      <c r="A169" s="0" t="inlineStr">
        <is>
          <t>[고덕동]</t>
        </is>
      </c>
      <c r="B169" s="0" t="n">
        <v>875</v>
      </c>
      <c r="C169" s="0" t="n">
        <v>2</v>
      </c>
      <c r="D169" s="0" t="inlineStr">
        <is>
          <t>배재현대</t>
        </is>
      </c>
      <c r="E169" s="0" t="inlineStr">
        <is>
          <t>1995.11.</t>
        </is>
      </c>
      <c r="F169" s="0" t="n">
        <v>448</v>
      </c>
      <c r="G169" s="0" t="n">
        <v>36</v>
      </c>
      <c r="H169" s="0" t="n">
        <v>119.01</v>
      </c>
      <c r="I169" s="0" t="n">
        <v>25.68</v>
      </c>
      <c r="J169" s="0" t="n">
        <v>84.90000000000001</v>
      </c>
      <c r="K169" s="0" t="n">
        <v>218</v>
      </c>
      <c r="T169" s="0" t="n">
        <v>3</v>
      </c>
      <c r="U169" s="0" t="n">
        <v>2</v>
      </c>
      <c r="V169" s="0" t="inlineStr">
        <is>
          <t>계단식</t>
        </is>
      </c>
      <c r="W169" s="0" t="n">
        <v>119</v>
      </c>
      <c r="X169" s="0" t="n">
        <v>22</v>
      </c>
      <c r="Y169" s="0" t="n">
        <v>14</v>
      </c>
      <c r="Z169" s="0" t="inlineStr">
        <is>
          <t>https://new.land.naver.com/complexes/875?tab=detail&amp;rf=Y</t>
        </is>
      </c>
      <c r="AA169" s="0" t="inlineStr">
        <is>
          <t>서울시 강동구 고덕동 312</t>
        </is>
      </c>
      <c r="AB169" s="0" t="inlineStr">
        <is>
          <t>서울시</t>
        </is>
      </c>
      <c r="AC169" s="0" t="inlineStr">
        <is>
          <t>강동구</t>
        </is>
      </c>
      <c r="AD169" s="0" t="inlineStr">
        <is>
          <t>고덕동</t>
        </is>
      </c>
      <c r="AG169" s="0" t="inlineStr">
        <is>
          <t>서울시 강동구 고덕로61길 37</t>
        </is>
      </c>
      <c r="AH169" s="0" t="n">
        <v>0</v>
      </c>
      <c r="AI169" s="0" t="n">
        <v>399</v>
      </c>
      <c r="AJ169" s="0" t="n">
        <v>24</v>
      </c>
      <c r="AK169" s="0" t="n">
        <v>456</v>
      </c>
      <c r="AL169" s="0" t="n">
        <v>1.02</v>
      </c>
    </row>
    <row r="170">
      <c r="A170" s="0" t="inlineStr">
        <is>
          <t>[길동]</t>
        </is>
      </c>
      <c r="B170" s="0" t="n">
        <v>105855</v>
      </c>
      <c r="C170" s="0" t="n">
        <v>1</v>
      </c>
      <c r="D170" s="0" t="inlineStr">
        <is>
          <t>골드빌4차</t>
        </is>
      </c>
      <c r="E170" s="0" t="inlineStr">
        <is>
          <t>2004.04.</t>
        </is>
      </c>
      <c r="F170" s="0" t="n">
        <v>19</v>
      </c>
      <c r="G170" s="0" t="n">
        <v>28.71</v>
      </c>
      <c r="H170" s="0" t="n">
        <v>94.94</v>
      </c>
      <c r="I170" s="0" t="n">
        <v>25.68</v>
      </c>
      <c r="J170" s="0" t="n">
        <v>84.92</v>
      </c>
      <c r="K170" s="0" t="n">
        <v>19</v>
      </c>
      <c r="T170" s="0" t="n">
        <v>3</v>
      </c>
      <c r="U170" s="0" t="n">
        <v>2</v>
      </c>
      <c r="V170" s="0" t="inlineStr">
        <is>
          <t>계단식</t>
        </is>
      </c>
      <c r="W170" s="0" t="n">
        <v>94</v>
      </c>
      <c r="X170" s="0" t="n">
        <v>12</v>
      </c>
      <c r="Y170" s="0" t="n">
        <v>12</v>
      </c>
      <c r="Z170" s="0" t="inlineStr">
        <is>
          <t>https://new.land.naver.com/complexes/105855?tab=detail&amp;rf=Y</t>
        </is>
      </c>
      <c r="AA170" s="0" t="inlineStr">
        <is>
          <t>서울시 강동구 길동 384-2</t>
        </is>
      </c>
      <c r="AB170" s="0" t="inlineStr">
        <is>
          <t>서울시</t>
        </is>
      </c>
      <c r="AC170" s="0" t="inlineStr">
        <is>
          <t>강동구</t>
        </is>
      </c>
      <c r="AD170" s="0" t="inlineStr">
        <is>
          <t>길동</t>
        </is>
      </c>
      <c r="AG170" s="0" t="inlineStr">
        <is>
          <t>서울시 강동구 성안로 174</t>
        </is>
      </c>
      <c r="AH170" s="0" t="n">
        <v>0</v>
      </c>
      <c r="AI170" s="0" t="n">
        <v>540</v>
      </c>
      <c r="AJ170" s="0" t="n">
        <v>56</v>
      </c>
      <c r="AK170" s="0" t="n">
        <v>18</v>
      </c>
      <c r="AL170" s="0" t="n">
        <v>0.95</v>
      </c>
    </row>
    <row r="171">
      <c r="A171" s="0" t="inlineStr">
        <is>
          <t>[길동]</t>
        </is>
      </c>
      <c r="B171" s="0" t="n">
        <v>113527</v>
      </c>
      <c r="C171" s="0" t="n">
        <v>1</v>
      </c>
      <c r="D171" s="0" t="inlineStr">
        <is>
          <t>한미스카이캐슬(도시형)</t>
        </is>
      </c>
      <c r="E171" s="0" t="inlineStr">
        <is>
          <t>2016.08.</t>
        </is>
      </c>
      <c r="F171" s="0" t="n">
        <v>104</v>
      </c>
      <c r="G171" s="0" t="n">
        <v>5.81</v>
      </c>
      <c r="H171" s="0" t="n">
        <v>19.21</v>
      </c>
      <c r="I171" s="0" t="n">
        <v>3.69</v>
      </c>
      <c r="J171" s="0" t="n">
        <v>12.22</v>
      </c>
      <c r="K171" s="0" t="n">
        <v>100</v>
      </c>
      <c r="T171" s="0" t="n">
        <v>1</v>
      </c>
      <c r="U171" s="0" t="n">
        <v>1</v>
      </c>
      <c r="V171" s="0" t="inlineStr">
        <is>
          <t>계단식</t>
        </is>
      </c>
      <c r="W171" s="0" t="n">
        <v>19</v>
      </c>
      <c r="X171" s="0" t="n">
        <v>15</v>
      </c>
      <c r="Y171" s="0" t="n">
        <v>15</v>
      </c>
      <c r="Z171" s="0" t="inlineStr">
        <is>
          <t>https://new.land.naver.com/complexes/113527?tab=detail&amp;rf=Y</t>
        </is>
      </c>
      <c r="AA171" s="0" t="inlineStr">
        <is>
          <t>서울시 강동구 길동 413-8</t>
        </is>
      </c>
      <c r="AB171" s="0" t="inlineStr">
        <is>
          <t>서울시</t>
        </is>
      </c>
      <c r="AC171" s="0" t="inlineStr">
        <is>
          <t>강동구</t>
        </is>
      </c>
      <c r="AD171" s="0" t="inlineStr">
        <is>
          <t>길동</t>
        </is>
      </c>
      <c r="AG171" s="0" t="inlineStr">
        <is>
          <t>서울시 강동구 천호대로177길 50</t>
        </is>
      </c>
      <c r="AH171" s="0" t="n">
        <v>0</v>
      </c>
      <c r="AI171" s="0" t="n">
        <v>499</v>
      </c>
      <c r="AJ171" s="0" t="n">
        <v>55</v>
      </c>
      <c r="AK171" s="0" t="n">
        <v>24</v>
      </c>
      <c r="AL171" s="0" t="n">
        <v>0.23</v>
      </c>
    </row>
    <row r="172">
      <c r="A172" s="0" t="inlineStr">
        <is>
          <t>[길동]</t>
        </is>
      </c>
      <c r="B172" s="0" t="n">
        <v>113527</v>
      </c>
      <c r="C172" s="0" t="n">
        <v>2</v>
      </c>
      <c r="D172" s="0" t="inlineStr">
        <is>
          <t>한미스카이캐슬(도시형)</t>
        </is>
      </c>
      <c r="E172" s="0" t="inlineStr">
        <is>
          <t>2016.08.</t>
        </is>
      </c>
      <c r="F172" s="0" t="n">
        <v>104</v>
      </c>
      <c r="G172" s="0" t="n">
        <v>8.029999999999999</v>
      </c>
      <c r="H172" s="0" t="n">
        <v>26.55</v>
      </c>
      <c r="I172" s="0" t="n">
        <v>5.1</v>
      </c>
      <c r="J172" s="0" t="n">
        <v>16.89</v>
      </c>
      <c r="K172" s="0" t="n">
        <v>4</v>
      </c>
      <c r="T172" s="0" t="n">
        <v>1</v>
      </c>
      <c r="U172" s="0" t="n">
        <v>1</v>
      </c>
      <c r="V172" s="0" t="inlineStr">
        <is>
          <t>계단식</t>
        </is>
      </c>
      <c r="W172" s="0" t="n">
        <v>26</v>
      </c>
      <c r="X172" s="0" t="n">
        <v>15</v>
      </c>
      <c r="Y172" s="0" t="n">
        <v>15</v>
      </c>
      <c r="Z172" s="0" t="inlineStr">
        <is>
          <t>https://new.land.naver.com/complexes/113527?tab=detail&amp;rf=Y</t>
        </is>
      </c>
      <c r="AA172" s="0" t="inlineStr">
        <is>
          <t>서울시 강동구 길동 413-8</t>
        </is>
      </c>
      <c r="AB172" s="0" t="inlineStr">
        <is>
          <t>서울시</t>
        </is>
      </c>
      <c r="AC172" s="0" t="inlineStr">
        <is>
          <t>강동구</t>
        </is>
      </c>
      <c r="AD172" s="0" t="inlineStr">
        <is>
          <t>길동</t>
        </is>
      </c>
      <c r="AG172" s="0" t="inlineStr">
        <is>
          <t>서울시 강동구 천호대로177길 50</t>
        </is>
      </c>
      <c r="AH172" s="0" t="n">
        <v>0</v>
      </c>
      <c r="AI172" s="0" t="n">
        <v>499</v>
      </c>
      <c r="AJ172" s="0" t="n">
        <v>55</v>
      </c>
      <c r="AK172" s="0" t="n">
        <v>24</v>
      </c>
      <c r="AL172" s="0" t="n">
        <v>0.23</v>
      </c>
    </row>
    <row r="173">
      <c r="A173" s="0" t="inlineStr">
        <is>
          <t>[길동]</t>
        </is>
      </c>
      <c r="B173" s="0" t="n">
        <v>18987</v>
      </c>
      <c r="C173" s="0" t="n">
        <v>1</v>
      </c>
      <c r="D173" s="0" t="inlineStr">
        <is>
          <t>에스엠이로빌(379)</t>
        </is>
      </c>
      <c r="E173" s="0" t="inlineStr">
        <is>
          <t>2004.04.</t>
        </is>
      </c>
      <c r="F173" s="0" t="n">
        <v>36</v>
      </c>
      <c r="G173" s="0" t="n">
        <v>17.41</v>
      </c>
      <c r="H173" s="0" t="n">
        <v>57.56</v>
      </c>
      <c r="I173" s="0" t="n">
        <v>13.96</v>
      </c>
      <c r="J173" s="0" t="n">
        <v>46.18</v>
      </c>
      <c r="K173" s="0" t="n">
        <v>1</v>
      </c>
      <c r="T173" s="0" t="n">
        <v>2</v>
      </c>
      <c r="U173" s="0" t="n">
        <v>1</v>
      </c>
      <c r="V173" s="0" t="inlineStr">
        <is>
          <t>계단식</t>
        </is>
      </c>
      <c r="W173" s="0" t="n">
        <v>57</v>
      </c>
      <c r="X173" s="0" t="n">
        <v>9</v>
      </c>
      <c r="Y173" s="0" t="n">
        <v>9</v>
      </c>
      <c r="Z173" s="0" t="inlineStr">
        <is>
          <t>https://new.land.naver.com/complexes/18987?tab=detail&amp;rf=Y</t>
        </is>
      </c>
      <c r="AA173" s="0" t="inlineStr">
        <is>
          <t>서울시 강동구 길동 379</t>
        </is>
      </c>
      <c r="AB173" s="0" t="inlineStr">
        <is>
          <t>서울시</t>
        </is>
      </c>
      <c r="AC173" s="0" t="inlineStr">
        <is>
          <t>강동구</t>
        </is>
      </c>
      <c r="AD173" s="0" t="inlineStr">
        <is>
          <t>길동</t>
        </is>
      </c>
      <c r="AG173" s="0" t="inlineStr">
        <is>
          <t>서울시 강동구 천중로42길 53</t>
        </is>
      </c>
      <c r="AH173" s="0" t="n">
        <v>0</v>
      </c>
      <c r="AI173" s="0" t="n">
        <v>215</v>
      </c>
      <c r="AJ173" s="0" t="n">
        <v>27</v>
      </c>
      <c r="AK173" s="0" t="n">
        <v>39</v>
      </c>
      <c r="AL173" s="0" t="n">
        <v>1.08</v>
      </c>
    </row>
    <row r="174">
      <c r="A174" s="0" t="inlineStr">
        <is>
          <t>[길동]</t>
        </is>
      </c>
      <c r="B174" s="0" t="n">
        <v>18987</v>
      </c>
      <c r="C174" s="0" t="n">
        <v>2</v>
      </c>
      <c r="D174" s="0" t="inlineStr">
        <is>
          <t>에스엠이로빌(379)</t>
        </is>
      </c>
      <c r="E174" s="0" t="inlineStr">
        <is>
          <t>2004.04.</t>
        </is>
      </c>
      <c r="F174" s="0" t="n">
        <v>36</v>
      </c>
      <c r="G174" s="0" t="n">
        <v>22.49</v>
      </c>
      <c r="H174" s="0" t="n">
        <v>74.34999999999999</v>
      </c>
      <c r="I174" s="0" t="n">
        <v>18.4</v>
      </c>
      <c r="J174" s="0" t="n">
        <v>60.84</v>
      </c>
      <c r="K174" s="0" t="n">
        <v>8</v>
      </c>
      <c r="T174" s="0" t="n">
        <v>2</v>
      </c>
      <c r="U174" s="0" t="n">
        <v>1</v>
      </c>
      <c r="V174" s="0" t="inlineStr">
        <is>
          <t>계단식</t>
        </is>
      </c>
      <c r="W174" s="0" t="n">
        <v>74</v>
      </c>
      <c r="X174" s="0" t="n">
        <v>9</v>
      </c>
      <c r="Y174" s="0" t="n">
        <v>9</v>
      </c>
      <c r="Z174" s="0" t="inlineStr">
        <is>
          <t>https://new.land.naver.com/complexes/18987?tab=detail&amp;rf=Y</t>
        </is>
      </c>
      <c r="AA174" s="0" t="inlineStr">
        <is>
          <t>서울시 강동구 길동 379</t>
        </is>
      </c>
      <c r="AB174" s="0" t="inlineStr">
        <is>
          <t>서울시</t>
        </is>
      </c>
      <c r="AC174" s="0" t="inlineStr">
        <is>
          <t>강동구</t>
        </is>
      </c>
      <c r="AD174" s="0" t="inlineStr">
        <is>
          <t>길동</t>
        </is>
      </c>
      <c r="AG174" s="0" t="inlineStr">
        <is>
          <t>서울시 강동구 천중로42길 53</t>
        </is>
      </c>
      <c r="AH174" s="0" t="n">
        <v>0</v>
      </c>
      <c r="AI174" s="0" t="n">
        <v>215</v>
      </c>
      <c r="AJ174" s="0" t="n">
        <v>27</v>
      </c>
      <c r="AK174" s="0" t="n">
        <v>39</v>
      </c>
      <c r="AL174" s="0" t="n">
        <v>1.08</v>
      </c>
    </row>
    <row r="175">
      <c r="A175" s="0" t="inlineStr">
        <is>
          <t>[길동]</t>
        </is>
      </c>
      <c r="B175" s="0" t="n">
        <v>18987</v>
      </c>
      <c r="C175" s="0" t="n">
        <v>3</v>
      </c>
      <c r="D175" s="0" t="inlineStr">
        <is>
          <t>에스엠이로빌(379)</t>
        </is>
      </c>
      <c r="E175" s="0" t="inlineStr">
        <is>
          <t>2004.04.</t>
        </is>
      </c>
      <c r="F175" s="0" t="n">
        <v>36</v>
      </c>
      <c r="G175" s="0" t="n">
        <v>23.7</v>
      </c>
      <c r="H175" s="0" t="n">
        <v>78.34999999999999</v>
      </c>
      <c r="I175" s="0" t="n">
        <v>18.67</v>
      </c>
      <c r="J175" s="0" t="n">
        <v>61.72</v>
      </c>
      <c r="K175" s="0" t="n">
        <v>3</v>
      </c>
      <c r="T175" s="0" t="n">
        <v>3</v>
      </c>
      <c r="U175" s="0" t="n">
        <v>2</v>
      </c>
      <c r="V175" s="0" t="inlineStr">
        <is>
          <t>계단식</t>
        </is>
      </c>
      <c r="W175" s="0" t="n">
        <v>78</v>
      </c>
      <c r="X175" s="0" t="n">
        <v>9</v>
      </c>
      <c r="Y175" s="0" t="n">
        <v>9</v>
      </c>
      <c r="Z175" s="0" t="inlineStr">
        <is>
          <t>https://new.land.naver.com/complexes/18987?tab=detail&amp;rf=Y</t>
        </is>
      </c>
      <c r="AA175" s="0" t="inlineStr">
        <is>
          <t>서울시 강동구 길동 379</t>
        </is>
      </c>
      <c r="AB175" s="0" t="inlineStr">
        <is>
          <t>서울시</t>
        </is>
      </c>
      <c r="AC175" s="0" t="inlineStr">
        <is>
          <t>강동구</t>
        </is>
      </c>
      <c r="AD175" s="0" t="inlineStr">
        <is>
          <t>길동</t>
        </is>
      </c>
      <c r="AG175" s="0" t="inlineStr">
        <is>
          <t>서울시 강동구 천중로42길 53</t>
        </is>
      </c>
      <c r="AH175" s="0" t="n">
        <v>0</v>
      </c>
      <c r="AI175" s="0" t="n">
        <v>215</v>
      </c>
      <c r="AJ175" s="0" t="n">
        <v>27</v>
      </c>
      <c r="AK175" s="0" t="n">
        <v>39</v>
      </c>
      <c r="AL175" s="0" t="n">
        <v>1.08</v>
      </c>
    </row>
    <row r="176">
      <c r="A176" s="0" t="inlineStr">
        <is>
          <t>[길동]</t>
        </is>
      </c>
      <c r="B176" s="0" t="n">
        <v>18987</v>
      </c>
      <c r="C176" s="0" t="n">
        <v>4</v>
      </c>
      <c r="D176" s="0" t="inlineStr">
        <is>
          <t>에스엠이로빌(379)</t>
        </is>
      </c>
      <c r="E176" s="0" t="inlineStr">
        <is>
          <t>2004.04.</t>
        </is>
      </c>
      <c r="F176" s="0" t="n">
        <v>36</v>
      </c>
      <c r="G176" s="0" t="n">
        <v>29.71</v>
      </c>
      <c r="H176" s="0" t="n">
        <v>98.22</v>
      </c>
      <c r="I176" s="0" t="n">
        <v>24.65</v>
      </c>
      <c r="J176" s="0" t="n">
        <v>81.5</v>
      </c>
      <c r="K176" s="0" t="n">
        <v>3</v>
      </c>
      <c r="T176" s="0" t="n">
        <v>3</v>
      </c>
      <c r="U176" s="0" t="n">
        <v>2</v>
      </c>
      <c r="V176" s="0" t="inlineStr">
        <is>
          <t>계단식</t>
        </is>
      </c>
      <c r="W176" s="0" t="n">
        <v>98</v>
      </c>
      <c r="X176" s="0" t="n">
        <v>9</v>
      </c>
      <c r="Y176" s="0" t="n">
        <v>9</v>
      </c>
      <c r="Z176" s="0" t="inlineStr">
        <is>
          <t>https://new.land.naver.com/complexes/18987?tab=detail&amp;rf=Y</t>
        </is>
      </c>
      <c r="AA176" s="0" t="inlineStr">
        <is>
          <t>서울시 강동구 길동 379</t>
        </is>
      </c>
      <c r="AB176" s="0" t="inlineStr">
        <is>
          <t>서울시</t>
        </is>
      </c>
      <c r="AC176" s="0" t="inlineStr">
        <is>
          <t>강동구</t>
        </is>
      </c>
      <c r="AD176" s="0" t="inlineStr">
        <is>
          <t>길동</t>
        </is>
      </c>
      <c r="AG176" s="0" t="inlineStr">
        <is>
          <t>서울시 강동구 천중로42길 53</t>
        </is>
      </c>
      <c r="AH176" s="0" t="n">
        <v>0</v>
      </c>
      <c r="AI176" s="0" t="n">
        <v>215</v>
      </c>
      <c r="AJ176" s="0" t="n">
        <v>27</v>
      </c>
      <c r="AK176" s="0" t="n">
        <v>39</v>
      </c>
      <c r="AL176" s="0" t="n">
        <v>1.08</v>
      </c>
    </row>
    <row r="177">
      <c r="A177" s="0" t="inlineStr">
        <is>
          <t>[길동]</t>
        </is>
      </c>
      <c r="B177" s="0" t="n">
        <v>18987</v>
      </c>
      <c r="C177" s="0" t="n">
        <v>5</v>
      </c>
      <c r="D177" s="0" t="inlineStr">
        <is>
          <t>에스엠이로빌(379)</t>
        </is>
      </c>
      <c r="E177" s="0" t="inlineStr">
        <is>
          <t>2004.04.</t>
        </is>
      </c>
      <c r="F177" s="0" t="n">
        <v>36</v>
      </c>
      <c r="G177" s="0" t="n">
        <v>31</v>
      </c>
      <c r="H177" s="0" t="n">
        <v>102.51</v>
      </c>
      <c r="I177" s="0" t="n">
        <v>25.67</v>
      </c>
      <c r="J177" s="0" t="n">
        <v>84.89</v>
      </c>
      <c r="K177" s="0" t="n">
        <v>21</v>
      </c>
      <c r="T177" s="0" t="n">
        <v>3</v>
      </c>
      <c r="U177" s="0" t="n">
        <v>2</v>
      </c>
      <c r="V177" s="0" t="inlineStr">
        <is>
          <t>계단식</t>
        </is>
      </c>
      <c r="W177" s="0" t="n">
        <v>102</v>
      </c>
      <c r="X177" s="0" t="n">
        <v>9</v>
      </c>
      <c r="Y177" s="0" t="n">
        <v>9</v>
      </c>
      <c r="Z177" s="0" t="inlineStr">
        <is>
          <t>https://new.land.naver.com/complexes/18987?tab=detail&amp;rf=Y</t>
        </is>
      </c>
      <c r="AA177" s="0" t="inlineStr">
        <is>
          <t>서울시 강동구 길동 379</t>
        </is>
      </c>
      <c r="AB177" s="0" t="inlineStr">
        <is>
          <t>서울시</t>
        </is>
      </c>
      <c r="AC177" s="0" t="inlineStr">
        <is>
          <t>강동구</t>
        </is>
      </c>
      <c r="AD177" s="0" t="inlineStr">
        <is>
          <t>길동</t>
        </is>
      </c>
      <c r="AG177" s="0" t="inlineStr">
        <is>
          <t>서울시 강동구 천중로42길 53</t>
        </is>
      </c>
      <c r="AH177" s="0" t="n">
        <v>0</v>
      </c>
      <c r="AI177" s="0" t="n">
        <v>215</v>
      </c>
      <c r="AJ177" s="0" t="n">
        <v>27</v>
      </c>
      <c r="AK177" s="0" t="n">
        <v>39</v>
      </c>
      <c r="AL177" s="0" t="n">
        <v>1.08</v>
      </c>
    </row>
    <row r="178">
      <c r="A178" s="0" t="inlineStr">
        <is>
          <t>[길동]</t>
        </is>
      </c>
      <c r="B178" s="0" t="n">
        <v>107583</v>
      </c>
      <c r="C178" s="0" t="n">
        <v>1</v>
      </c>
      <c r="D178" s="0" t="inlineStr">
        <is>
          <t>청광플러스원큐브3차(도시형)</t>
        </is>
      </c>
      <c r="E178" s="0" t="inlineStr">
        <is>
          <t>2014.10.</t>
        </is>
      </c>
      <c r="F178" s="0" t="n">
        <v>207</v>
      </c>
      <c r="G178" s="0" t="n">
        <v>6.76</v>
      </c>
      <c r="H178" s="0" t="n">
        <v>22.35</v>
      </c>
      <c r="I178" s="0" t="n">
        <v>4.01</v>
      </c>
      <c r="J178" s="0" t="n">
        <v>13.26</v>
      </c>
      <c r="K178" s="0" t="n">
        <v>195</v>
      </c>
      <c r="T178" s="0" t="n">
        <v>1</v>
      </c>
      <c r="U178" s="0" t="n">
        <v>1</v>
      </c>
      <c r="V178" s="0" t="inlineStr">
        <is>
          <t>복도식</t>
        </is>
      </c>
      <c r="W178" s="0" t="inlineStr">
        <is>
          <t>22A</t>
        </is>
      </c>
      <c r="X178" s="0" t="n">
        <v>19</v>
      </c>
      <c r="Y178" s="0" t="n">
        <v>19</v>
      </c>
      <c r="Z178" s="0" t="inlineStr">
        <is>
          <t>https://new.land.naver.com/complexes/107583?tab=detail&amp;rf=Y</t>
        </is>
      </c>
      <c r="AA178" s="0" t="inlineStr">
        <is>
          <t>서울시 강동구 길동 415-16</t>
        </is>
      </c>
      <c r="AB178" s="0" t="inlineStr">
        <is>
          <t>서울시</t>
        </is>
      </c>
      <c r="AC178" s="0" t="inlineStr">
        <is>
          <t>강동구</t>
        </is>
      </c>
      <c r="AD178" s="0" t="inlineStr">
        <is>
          <t>길동</t>
        </is>
      </c>
      <c r="AG178" s="0" t="inlineStr">
        <is>
          <t>서울시 강동구 진황도로 87</t>
        </is>
      </c>
      <c r="AH178" s="0" t="n">
        <v>0</v>
      </c>
      <c r="AI178" s="0" t="n">
        <v>769</v>
      </c>
      <c r="AJ178" s="0" t="n">
        <v>57</v>
      </c>
      <c r="AK178" s="0" t="n">
        <v>17</v>
      </c>
      <c r="AL178" s="0" t="n">
        <v>0.08</v>
      </c>
    </row>
    <row r="179">
      <c r="A179" s="0" t="inlineStr">
        <is>
          <t>[길동]</t>
        </is>
      </c>
      <c r="B179" s="0" t="n">
        <v>107583</v>
      </c>
      <c r="C179" s="0" t="n">
        <v>2</v>
      </c>
      <c r="D179" s="0" t="inlineStr">
        <is>
          <t>청광플러스원큐브3차(도시형)</t>
        </is>
      </c>
      <c r="E179" s="0" t="inlineStr">
        <is>
          <t>2014.10.</t>
        </is>
      </c>
      <c r="F179" s="0" t="n">
        <v>207</v>
      </c>
      <c r="G179" s="0" t="n">
        <v>7.76</v>
      </c>
      <c r="H179" s="0" t="n">
        <v>25.68</v>
      </c>
      <c r="I179" s="0" t="n">
        <v>4.61</v>
      </c>
      <c r="J179" s="0" t="n">
        <v>15.24</v>
      </c>
      <c r="K179" s="0" t="n">
        <v>12</v>
      </c>
      <c r="T179" s="0" t="n">
        <v>1</v>
      </c>
      <c r="U179" s="0" t="n">
        <v>1</v>
      </c>
      <c r="V179" s="0" t="inlineStr">
        <is>
          <t>복도식</t>
        </is>
      </c>
      <c r="W179" s="0" t="inlineStr">
        <is>
          <t>25B</t>
        </is>
      </c>
      <c r="X179" s="0" t="n">
        <v>19</v>
      </c>
      <c r="Y179" s="0" t="n">
        <v>19</v>
      </c>
      <c r="Z179" s="0" t="inlineStr">
        <is>
          <t>https://new.land.naver.com/complexes/107583?tab=detail&amp;rf=Y</t>
        </is>
      </c>
      <c r="AA179" s="0" t="inlineStr">
        <is>
          <t>서울시 강동구 길동 415-16</t>
        </is>
      </c>
      <c r="AB179" s="0" t="inlineStr">
        <is>
          <t>서울시</t>
        </is>
      </c>
      <c r="AC179" s="0" t="inlineStr">
        <is>
          <t>강동구</t>
        </is>
      </c>
      <c r="AD179" s="0" t="inlineStr">
        <is>
          <t>길동</t>
        </is>
      </c>
      <c r="AG179" s="0" t="inlineStr">
        <is>
          <t>서울시 강동구 진황도로 87</t>
        </is>
      </c>
      <c r="AH179" s="0" t="n">
        <v>0</v>
      </c>
      <c r="AI179" s="0" t="n">
        <v>769</v>
      </c>
      <c r="AJ179" s="0" t="n">
        <v>57</v>
      </c>
      <c r="AK179" s="0" t="n">
        <v>17</v>
      </c>
      <c r="AL179" s="0" t="n">
        <v>0.08</v>
      </c>
    </row>
    <row r="180">
      <c r="A180" s="0" t="inlineStr">
        <is>
          <t>[길동]</t>
        </is>
      </c>
      <c r="B180" s="0" t="n">
        <v>112377</v>
      </c>
      <c r="C180" s="0" t="n">
        <v>1</v>
      </c>
      <c r="D180" s="0" t="inlineStr">
        <is>
          <t>드림하이츠(도시형)</t>
        </is>
      </c>
      <c r="E180" s="0" t="inlineStr">
        <is>
          <t>2015.07.</t>
        </is>
      </c>
      <c r="F180" s="0" t="n">
        <v>24</v>
      </c>
      <c r="G180" s="0" t="n">
        <v>13.47</v>
      </c>
      <c r="H180" s="0" t="n">
        <v>44.56</v>
      </c>
      <c r="I180" s="0" t="n">
        <v>9.130000000000001</v>
      </c>
      <c r="J180" s="0" t="n">
        <v>30.19</v>
      </c>
      <c r="K180" s="0" t="n">
        <v>8</v>
      </c>
      <c r="T180" s="0" t="n">
        <v>1</v>
      </c>
      <c r="U180" s="0" t="n">
        <v>1</v>
      </c>
      <c r="V180" s="0" t="inlineStr">
        <is>
          <t>계단식</t>
        </is>
      </c>
      <c r="W180" s="0" t="n">
        <v>44</v>
      </c>
      <c r="X180" s="0" t="n">
        <v>12</v>
      </c>
      <c r="Y180" s="0" t="n">
        <v>12</v>
      </c>
      <c r="Z180" s="0" t="inlineStr">
        <is>
          <t>https://new.land.naver.com/complexes/112377?tab=detail&amp;rf=Y</t>
        </is>
      </c>
      <c r="AA180" s="0" t="inlineStr">
        <is>
          <t>서울시 강동구 길동 416-13</t>
        </is>
      </c>
      <c r="AB180" s="0" t="inlineStr">
        <is>
          <t>서울시</t>
        </is>
      </c>
      <c r="AC180" s="0" t="inlineStr">
        <is>
          <t>강동구</t>
        </is>
      </c>
      <c r="AD180" s="0" t="inlineStr">
        <is>
          <t>길동</t>
        </is>
      </c>
      <c r="AG180" s="0" t="inlineStr">
        <is>
          <t>서울시 강동구 천호대로173길 37</t>
        </is>
      </c>
      <c r="AH180" s="0" t="n">
        <v>0</v>
      </c>
      <c r="AI180" s="0" t="n">
        <v>472</v>
      </c>
      <c r="AJ180" s="0" t="n">
        <v>53</v>
      </c>
      <c r="AK180" s="0" t="n">
        <v>12</v>
      </c>
      <c r="AL180" s="0" t="n">
        <v>0.5</v>
      </c>
    </row>
    <row r="181">
      <c r="A181" s="0" t="inlineStr">
        <is>
          <t>[길동]</t>
        </is>
      </c>
      <c r="B181" s="0" t="n">
        <v>112377</v>
      </c>
      <c r="C181" s="0" t="n">
        <v>2</v>
      </c>
      <c r="D181" s="0" t="inlineStr">
        <is>
          <t>드림하이츠(도시형)</t>
        </is>
      </c>
      <c r="E181" s="0" t="inlineStr">
        <is>
          <t>2015.07.</t>
        </is>
      </c>
      <c r="F181" s="0" t="n">
        <v>24</v>
      </c>
      <c r="G181" s="0" t="n">
        <v>14.87</v>
      </c>
      <c r="H181" s="0" t="n">
        <v>49.19</v>
      </c>
      <c r="I181" s="0" t="n">
        <v>10.08</v>
      </c>
      <c r="J181" s="0" t="n">
        <v>33.33</v>
      </c>
      <c r="K181" s="0" t="n">
        <v>8</v>
      </c>
      <c r="T181" s="0" t="n">
        <v>1</v>
      </c>
      <c r="U181" s="0" t="n">
        <v>1</v>
      </c>
      <c r="V181" s="0" t="inlineStr">
        <is>
          <t>계단식</t>
        </is>
      </c>
      <c r="W181" s="0" t="n">
        <v>49</v>
      </c>
      <c r="X181" s="0" t="n">
        <v>12</v>
      </c>
      <c r="Y181" s="0" t="n">
        <v>12</v>
      </c>
      <c r="Z181" s="0" t="inlineStr">
        <is>
          <t>https://new.land.naver.com/complexes/112377?tab=detail&amp;rf=Y</t>
        </is>
      </c>
      <c r="AA181" s="0" t="inlineStr">
        <is>
          <t>서울시 강동구 길동 416-13</t>
        </is>
      </c>
      <c r="AB181" s="0" t="inlineStr">
        <is>
          <t>서울시</t>
        </is>
      </c>
      <c r="AC181" s="0" t="inlineStr">
        <is>
          <t>강동구</t>
        </is>
      </c>
      <c r="AD181" s="0" t="inlineStr">
        <is>
          <t>길동</t>
        </is>
      </c>
      <c r="AG181" s="0" t="inlineStr">
        <is>
          <t>서울시 강동구 천호대로173길 37</t>
        </is>
      </c>
      <c r="AH181" s="0" t="n">
        <v>0</v>
      </c>
      <c r="AI181" s="0" t="n">
        <v>472</v>
      </c>
      <c r="AJ181" s="0" t="n">
        <v>53</v>
      </c>
      <c r="AK181" s="0" t="n">
        <v>12</v>
      </c>
      <c r="AL181" s="0" t="n">
        <v>0.5</v>
      </c>
    </row>
    <row r="182">
      <c r="A182" s="0" t="inlineStr">
        <is>
          <t>[길동]</t>
        </is>
      </c>
      <c r="B182" s="0" t="n">
        <v>112377</v>
      </c>
      <c r="C182" s="0" t="n">
        <v>3</v>
      </c>
      <c r="D182" s="0" t="inlineStr">
        <is>
          <t>드림하이츠(도시형)</t>
        </is>
      </c>
      <c r="E182" s="0" t="inlineStr">
        <is>
          <t>2015.07.</t>
        </is>
      </c>
      <c r="F182" s="0" t="n">
        <v>24</v>
      </c>
      <c r="G182" s="0" t="n">
        <v>17.05</v>
      </c>
      <c r="H182" s="0" t="n">
        <v>56.38</v>
      </c>
      <c r="I182" s="0" t="n">
        <v>11.55</v>
      </c>
      <c r="J182" s="0" t="n">
        <v>38.2</v>
      </c>
      <c r="K182" s="0" t="n">
        <v>8</v>
      </c>
      <c r="T182" s="0" t="n">
        <v>1</v>
      </c>
      <c r="U182" s="0" t="n">
        <v>1</v>
      </c>
      <c r="V182" s="0" t="inlineStr">
        <is>
          <t>계단식</t>
        </is>
      </c>
      <c r="W182" s="0" t="n">
        <v>56</v>
      </c>
      <c r="X182" s="0" t="n">
        <v>12</v>
      </c>
      <c r="Y182" s="0" t="n">
        <v>12</v>
      </c>
      <c r="Z182" s="0" t="inlineStr">
        <is>
          <t>https://new.land.naver.com/complexes/112377?tab=detail&amp;rf=Y</t>
        </is>
      </c>
      <c r="AA182" s="0" t="inlineStr">
        <is>
          <t>서울시 강동구 길동 416-13</t>
        </is>
      </c>
      <c r="AB182" s="0" t="inlineStr">
        <is>
          <t>서울시</t>
        </is>
      </c>
      <c r="AC182" s="0" t="inlineStr">
        <is>
          <t>강동구</t>
        </is>
      </c>
      <c r="AD182" s="0" t="inlineStr">
        <is>
          <t>길동</t>
        </is>
      </c>
      <c r="AG182" s="0" t="inlineStr">
        <is>
          <t>서울시 강동구 천호대로173길 37</t>
        </is>
      </c>
      <c r="AH182" s="0" t="n">
        <v>0</v>
      </c>
      <c r="AI182" s="0" t="n">
        <v>472</v>
      </c>
      <c r="AJ182" s="0" t="n">
        <v>53</v>
      </c>
      <c r="AK182" s="0" t="n">
        <v>12</v>
      </c>
      <c r="AL182" s="0" t="n">
        <v>0.5</v>
      </c>
    </row>
    <row r="183">
      <c r="A183" s="0" t="inlineStr">
        <is>
          <t>[길동]</t>
        </is>
      </c>
      <c r="B183" s="0" t="n">
        <v>18611</v>
      </c>
      <c r="C183" s="0" t="n">
        <v>1</v>
      </c>
      <c r="D183" s="0" t="inlineStr">
        <is>
          <t>골든빌</t>
        </is>
      </c>
      <c r="E183" s="0" t="inlineStr">
        <is>
          <t>2004.05.</t>
        </is>
      </c>
      <c r="F183" s="0" t="n">
        <v>19</v>
      </c>
      <c r="G183" s="0" t="n">
        <v>31.29</v>
      </c>
      <c r="H183" s="0" t="n">
        <v>103.46</v>
      </c>
      <c r="I183" s="0" t="n">
        <v>27.71</v>
      </c>
      <c r="J183" s="0" t="n">
        <v>91.62</v>
      </c>
      <c r="K183" s="0" t="n">
        <v>1</v>
      </c>
      <c r="T183" s="0" t="n">
        <v>3</v>
      </c>
      <c r="U183" s="0" t="n">
        <v>2</v>
      </c>
      <c r="V183" s="0" t="inlineStr">
        <is>
          <t>계단식</t>
        </is>
      </c>
      <c r="W183" s="0" t="n">
        <v>103</v>
      </c>
      <c r="X183" s="0" t="n">
        <v>7</v>
      </c>
      <c r="Y183" s="0" t="n">
        <v>2</v>
      </c>
      <c r="Z183" s="0" t="inlineStr">
        <is>
          <t>https://new.land.naver.com/complexes/18611?tab=detail&amp;rf=Y</t>
        </is>
      </c>
      <c r="AA183" s="0" t="inlineStr">
        <is>
          <t>서울시 강동구 길동 74</t>
        </is>
      </c>
      <c r="AB183" s="0" t="inlineStr">
        <is>
          <t>서울시</t>
        </is>
      </c>
      <c r="AC183" s="0" t="inlineStr">
        <is>
          <t>강동구</t>
        </is>
      </c>
      <c r="AD183" s="0" t="inlineStr">
        <is>
          <t>길동</t>
        </is>
      </c>
      <c r="AG183" s="0" t="inlineStr">
        <is>
          <t>서울시 강동구 명일로26길 5</t>
        </is>
      </c>
      <c r="AH183" s="0" t="n">
        <v>0</v>
      </c>
      <c r="AI183" s="0" t="n">
        <v>277</v>
      </c>
      <c r="AJ183" s="0" t="n">
        <v>56</v>
      </c>
      <c r="AK183" s="0" t="n">
        <v>0</v>
      </c>
      <c r="AL183" s="0" t="n">
        <v>0</v>
      </c>
    </row>
    <row r="184">
      <c r="A184" s="0" t="inlineStr">
        <is>
          <t>[길동]</t>
        </is>
      </c>
      <c r="B184" s="0" t="n">
        <v>18611</v>
      </c>
      <c r="C184" s="0" t="n">
        <v>2</v>
      </c>
      <c r="D184" s="0" t="inlineStr">
        <is>
          <t>골든빌</t>
        </is>
      </c>
      <c r="E184" s="0" t="inlineStr">
        <is>
          <t>2004.05.</t>
        </is>
      </c>
      <c r="F184" s="0" t="n">
        <v>19</v>
      </c>
      <c r="G184" s="0" t="n">
        <v>32.02</v>
      </c>
      <c r="H184" s="0" t="n">
        <v>105.87</v>
      </c>
      <c r="I184" s="0" t="n">
        <v>28.44</v>
      </c>
      <c r="J184" s="0" t="n">
        <v>94.02</v>
      </c>
      <c r="K184" s="0" t="n">
        <v>6</v>
      </c>
      <c r="T184" s="0" t="n">
        <v>3</v>
      </c>
      <c r="U184" s="0" t="n">
        <v>2</v>
      </c>
      <c r="V184" s="0" t="inlineStr">
        <is>
          <t>계단식</t>
        </is>
      </c>
      <c r="W184" s="0" t="inlineStr">
        <is>
          <t>105A</t>
        </is>
      </c>
      <c r="X184" s="0" t="n">
        <v>7</v>
      </c>
      <c r="Y184" s="0" t="n">
        <v>2</v>
      </c>
      <c r="Z184" s="0" t="inlineStr">
        <is>
          <t>https://new.land.naver.com/complexes/18611?tab=detail&amp;rf=Y</t>
        </is>
      </c>
      <c r="AA184" s="0" t="inlineStr">
        <is>
          <t>서울시 강동구 길동 74</t>
        </is>
      </c>
      <c r="AB184" s="0" t="inlineStr">
        <is>
          <t>서울시</t>
        </is>
      </c>
      <c r="AC184" s="0" t="inlineStr">
        <is>
          <t>강동구</t>
        </is>
      </c>
      <c r="AD184" s="0" t="inlineStr">
        <is>
          <t>길동</t>
        </is>
      </c>
      <c r="AG184" s="0" t="inlineStr">
        <is>
          <t>서울시 강동구 명일로26길 5</t>
        </is>
      </c>
      <c r="AH184" s="0" t="n">
        <v>0</v>
      </c>
      <c r="AI184" s="0" t="n">
        <v>277</v>
      </c>
      <c r="AJ184" s="0" t="n">
        <v>56</v>
      </c>
      <c r="AK184" s="0" t="n">
        <v>0</v>
      </c>
      <c r="AL184" s="0" t="n">
        <v>0</v>
      </c>
    </row>
    <row r="185">
      <c r="A185" s="0" t="inlineStr">
        <is>
          <t>[길동]</t>
        </is>
      </c>
      <c r="B185" s="0" t="n">
        <v>18611</v>
      </c>
      <c r="C185" s="0" t="n">
        <v>3</v>
      </c>
      <c r="D185" s="0" t="inlineStr">
        <is>
          <t>골든빌</t>
        </is>
      </c>
      <c r="E185" s="0" t="inlineStr">
        <is>
          <t>2004.05.</t>
        </is>
      </c>
      <c r="F185" s="0" t="n">
        <v>19</v>
      </c>
      <c r="G185" s="0" t="n">
        <v>32.31</v>
      </c>
      <c r="H185" s="0" t="n">
        <v>106.81</v>
      </c>
      <c r="I185" s="0" t="n">
        <v>28.72</v>
      </c>
      <c r="J185" s="0" t="n">
        <v>94.95999999999999</v>
      </c>
      <c r="K185" s="0" t="n">
        <v>6</v>
      </c>
      <c r="T185" s="0" t="n">
        <v>3</v>
      </c>
      <c r="U185" s="0" t="n">
        <v>2</v>
      </c>
      <c r="V185" s="0" t="inlineStr">
        <is>
          <t>계단식</t>
        </is>
      </c>
      <c r="W185" s="0" t="inlineStr">
        <is>
          <t>106B</t>
        </is>
      </c>
      <c r="X185" s="0" t="n">
        <v>7</v>
      </c>
      <c r="Y185" s="0" t="n">
        <v>2</v>
      </c>
      <c r="Z185" s="0" t="inlineStr">
        <is>
          <t>https://new.land.naver.com/complexes/18611?tab=detail&amp;rf=Y</t>
        </is>
      </c>
      <c r="AA185" s="0" t="inlineStr">
        <is>
          <t>서울시 강동구 길동 74</t>
        </is>
      </c>
      <c r="AB185" s="0" t="inlineStr">
        <is>
          <t>서울시</t>
        </is>
      </c>
      <c r="AC185" s="0" t="inlineStr">
        <is>
          <t>강동구</t>
        </is>
      </c>
      <c r="AD185" s="0" t="inlineStr">
        <is>
          <t>길동</t>
        </is>
      </c>
      <c r="AG185" s="0" t="inlineStr">
        <is>
          <t>서울시 강동구 명일로26길 5</t>
        </is>
      </c>
      <c r="AH185" s="0" t="n">
        <v>0</v>
      </c>
      <c r="AI185" s="0" t="n">
        <v>277</v>
      </c>
      <c r="AJ185" s="0" t="n">
        <v>56</v>
      </c>
      <c r="AK185" s="0" t="n">
        <v>0</v>
      </c>
      <c r="AL185" s="0" t="n">
        <v>0</v>
      </c>
    </row>
    <row r="186">
      <c r="A186" s="0" t="inlineStr">
        <is>
          <t>[길동]</t>
        </is>
      </c>
      <c r="B186" s="0" t="n">
        <v>18611</v>
      </c>
      <c r="C186" s="0" t="n">
        <v>4</v>
      </c>
      <c r="D186" s="0" t="inlineStr">
        <is>
          <t>골든빌</t>
        </is>
      </c>
      <c r="E186" s="0" t="inlineStr">
        <is>
          <t>2004.05.</t>
        </is>
      </c>
      <c r="F186" s="0" t="n">
        <v>19</v>
      </c>
      <c r="G186" s="0" t="n">
        <v>32.48</v>
      </c>
      <c r="H186" s="0" t="n">
        <v>107.38</v>
      </c>
      <c r="I186" s="0" t="n">
        <v>28.89</v>
      </c>
      <c r="J186" s="0" t="n">
        <v>95.52</v>
      </c>
      <c r="K186" s="0" t="n">
        <v>4</v>
      </c>
      <c r="T186" s="0" t="n">
        <v>3</v>
      </c>
      <c r="U186" s="0" t="n">
        <v>2</v>
      </c>
      <c r="V186" s="0" t="inlineStr">
        <is>
          <t>계단식</t>
        </is>
      </c>
      <c r="W186" s="0" t="inlineStr">
        <is>
          <t>107C</t>
        </is>
      </c>
      <c r="X186" s="0" t="n">
        <v>7</v>
      </c>
      <c r="Y186" s="0" t="n">
        <v>2</v>
      </c>
      <c r="Z186" s="0" t="inlineStr">
        <is>
          <t>https://new.land.naver.com/complexes/18611?tab=detail&amp;rf=Y</t>
        </is>
      </c>
      <c r="AA186" s="0" t="inlineStr">
        <is>
          <t>서울시 강동구 길동 74</t>
        </is>
      </c>
      <c r="AB186" s="0" t="inlineStr">
        <is>
          <t>서울시</t>
        </is>
      </c>
      <c r="AC186" s="0" t="inlineStr">
        <is>
          <t>강동구</t>
        </is>
      </c>
      <c r="AD186" s="0" t="inlineStr">
        <is>
          <t>길동</t>
        </is>
      </c>
      <c r="AG186" s="0" t="inlineStr">
        <is>
          <t>서울시 강동구 명일로26길 5</t>
        </is>
      </c>
      <c r="AH186" s="0" t="n">
        <v>0</v>
      </c>
      <c r="AI186" s="0" t="n">
        <v>277</v>
      </c>
      <c r="AJ186" s="0" t="n">
        <v>56</v>
      </c>
      <c r="AK186" s="0" t="n">
        <v>0</v>
      </c>
      <c r="AL186" s="0" t="n">
        <v>0</v>
      </c>
    </row>
    <row r="187">
      <c r="A187" s="0" t="inlineStr">
        <is>
          <t>[길동]</t>
        </is>
      </c>
      <c r="B187" s="0" t="n">
        <v>18611</v>
      </c>
      <c r="C187" s="0" t="n">
        <v>5</v>
      </c>
      <c r="D187" s="0" t="inlineStr">
        <is>
          <t>골든빌</t>
        </is>
      </c>
      <c r="E187" s="0" t="inlineStr">
        <is>
          <t>2004.05.</t>
        </is>
      </c>
      <c r="F187" s="0" t="n">
        <v>19</v>
      </c>
      <c r="G187" s="0" t="n">
        <v>54.74</v>
      </c>
      <c r="H187" s="0" t="n">
        <v>180.96</v>
      </c>
      <c r="I187" s="0" t="n">
        <v>48.54</v>
      </c>
      <c r="J187" s="0" t="n">
        <v>160.47</v>
      </c>
      <c r="K187" s="0" t="n">
        <v>1</v>
      </c>
      <c r="T187" s="0" t="n">
        <v>5</v>
      </c>
      <c r="U187" s="0" t="n">
        <v>3</v>
      </c>
      <c r="V187" s="0" t="inlineStr">
        <is>
          <t>계단식</t>
        </is>
      </c>
      <c r="W187" s="0" t="n">
        <v>180</v>
      </c>
      <c r="X187" s="0" t="n">
        <v>7</v>
      </c>
      <c r="Y187" s="0" t="n">
        <v>2</v>
      </c>
      <c r="Z187" s="0" t="inlineStr">
        <is>
          <t>https://new.land.naver.com/complexes/18611?tab=detail&amp;rf=Y</t>
        </is>
      </c>
      <c r="AA187" s="0" t="inlineStr">
        <is>
          <t>서울시 강동구 길동 74</t>
        </is>
      </c>
      <c r="AB187" s="0" t="inlineStr">
        <is>
          <t>서울시</t>
        </is>
      </c>
      <c r="AC187" s="0" t="inlineStr">
        <is>
          <t>강동구</t>
        </is>
      </c>
      <c r="AD187" s="0" t="inlineStr">
        <is>
          <t>길동</t>
        </is>
      </c>
      <c r="AG187" s="0" t="inlineStr">
        <is>
          <t>서울시 강동구 명일로26길 5</t>
        </is>
      </c>
      <c r="AH187" s="0" t="n">
        <v>0</v>
      </c>
      <c r="AI187" s="0" t="n">
        <v>277</v>
      </c>
      <c r="AJ187" s="0" t="n">
        <v>56</v>
      </c>
      <c r="AK187" s="0" t="n">
        <v>0</v>
      </c>
      <c r="AL187" s="0" t="n">
        <v>0</v>
      </c>
    </row>
    <row r="188">
      <c r="A188" s="0" t="inlineStr">
        <is>
          <t>[길동]</t>
        </is>
      </c>
      <c r="B188" s="0" t="n">
        <v>18611</v>
      </c>
      <c r="C188" s="0" t="n">
        <v>6</v>
      </c>
      <c r="D188" s="0" t="inlineStr">
        <is>
          <t>골든빌</t>
        </is>
      </c>
      <c r="E188" s="0" t="inlineStr">
        <is>
          <t>2004.05.</t>
        </is>
      </c>
      <c r="F188" s="0" t="n">
        <v>19</v>
      </c>
      <c r="G188" s="0" t="n">
        <v>64.97</v>
      </c>
      <c r="H188" s="0" t="n">
        <v>214.78</v>
      </c>
      <c r="I188" s="0" t="n">
        <v>57.42</v>
      </c>
      <c r="J188" s="0" t="n">
        <v>189.84</v>
      </c>
      <c r="K188" s="0" t="n">
        <v>1</v>
      </c>
      <c r="T188" s="0" t="n">
        <v>5</v>
      </c>
      <c r="U188" s="0" t="n">
        <v>3</v>
      </c>
      <c r="V188" s="0" t="inlineStr">
        <is>
          <t>계단식</t>
        </is>
      </c>
      <c r="W188" s="0" t="n">
        <v>214</v>
      </c>
      <c r="X188" s="0" t="n">
        <v>7</v>
      </c>
      <c r="Y188" s="0" t="n">
        <v>2</v>
      </c>
      <c r="Z188" s="0" t="inlineStr">
        <is>
          <t>https://new.land.naver.com/complexes/18611?tab=detail&amp;rf=Y</t>
        </is>
      </c>
      <c r="AA188" s="0" t="inlineStr">
        <is>
          <t>서울시 강동구 길동 74</t>
        </is>
      </c>
      <c r="AB188" s="0" t="inlineStr">
        <is>
          <t>서울시</t>
        </is>
      </c>
      <c r="AC188" s="0" t="inlineStr">
        <is>
          <t>강동구</t>
        </is>
      </c>
      <c r="AD188" s="0" t="inlineStr">
        <is>
          <t>길동</t>
        </is>
      </c>
      <c r="AG188" s="0" t="inlineStr">
        <is>
          <t>서울시 강동구 명일로26길 5</t>
        </is>
      </c>
      <c r="AH188" s="0" t="n">
        <v>0</v>
      </c>
      <c r="AI188" s="0" t="n">
        <v>277</v>
      </c>
      <c r="AJ188" s="0" t="n">
        <v>56</v>
      </c>
      <c r="AK188" s="0" t="n">
        <v>0</v>
      </c>
      <c r="AL188" s="0" t="n">
        <v>0</v>
      </c>
    </row>
    <row r="189">
      <c r="A189" s="0" t="inlineStr">
        <is>
          <t>[길동]</t>
        </is>
      </c>
      <c r="B189" s="0" t="n">
        <v>19726</v>
      </c>
      <c r="C189" s="0" t="n">
        <v>1</v>
      </c>
      <c r="D189" s="0" t="inlineStr">
        <is>
          <t>M.프라자</t>
        </is>
      </c>
      <c r="E189" s="0" t="inlineStr">
        <is>
          <t>2004.10.</t>
        </is>
      </c>
      <c r="F189" s="0" t="n">
        <v>28</v>
      </c>
      <c r="G189" s="0" t="n">
        <v>10.19</v>
      </c>
      <c r="H189" s="0" t="n">
        <v>33.69</v>
      </c>
      <c r="I189" s="0" t="n">
        <v>8.75</v>
      </c>
      <c r="J189" s="0" t="n">
        <v>28.95</v>
      </c>
      <c r="K189" s="0" t="n">
        <v>1</v>
      </c>
      <c r="T189" s="0" t="n">
        <v>2</v>
      </c>
      <c r="U189" s="0" t="n">
        <v>1</v>
      </c>
      <c r="V189" s="0" t="inlineStr">
        <is>
          <t>복도식</t>
        </is>
      </c>
      <c r="W189" s="0" t="n">
        <v>33</v>
      </c>
      <c r="X189" s="0" t="n">
        <v>7</v>
      </c>
      <c r="Y189" s="0" t="n">
        <v>7</v>
      </c>
      <c r="Z189" s="0" t="inlineStr">
        <is>
          <t>https://new.land.naver.com/complexes/19726?tab=detail&amp;rf=Y</t>
        </is>
      </c>
      <c r="AA189" s="0" t="inlineStr">
        <is>
          <t>서울시 강동구 길동 152-3</t>
        </is>
      </c>
      <c r="AB189" s="0" t="inlineStr">
        <is>
          <t>서울시</t>
        </is>
      </c>
      <c r="AC189" s="0" t="inlineStr">
        <is>
          <t>강동구</t>
        </is>
      </c>
      <c r="AD189" s="0" t="inlineStr">
        <is>
          <t>길동</t>
        </is>
      </c>
      <c r="AG189" s="0" t="inlineStr">
        <is>
          <t>서울시 강동구 진황도로49길 59</t>
        </is>
      </c>
      <c r="AH189" s="0" t="n">
        <v>0</v>
      </c>
      <c r="AI189" s="0" t="n">
        <v>0</v>
      </c>
      <c r="AJ189" s="0" t="n">
        <v>0</v>
      </c>
      <c r="AK189" s="0" t="n">
        <v>28</v>
      </c>
      <c r="AL189" s="0" t="n">
        <v>1</v>
      </c>
    </row>
    <row r="190">
      <c r="A190" s="0" t="inlineStr">
        <is>
          <t>[길동]</t>
        </is>
      </c>
      <c r="B190" s="0" t="n">
        <v>19726</v>
      </c>
      <c r="C190" s="0" t="n">
        <v>2</v>
      </c>
      <c r="D190" s="0" t="inlineStr">
        <is>
          <t>M.프라자</t>
        </is>
      </c>
      <c r="E190" s="0" t="inlineStr">
        <is>
          <t>2004.10.</t>
        </is>
      </c>
      <c r="F190" s="0" t="n">
        <v>28</v>
      </c>
      <c r="G190" s="0" t="n">
        <v>15.59</v>
      </c>
      <c r="H190" s="0" t="n">
        <v>51.56</v>
      </c>
      <c r="I190" s="0" t="n">
        <v>13.61</v>
      </c>
      <c r="J190" s="0" t="n">
        <v>45.02</v>
      </c>
      <c r="K190" s="0" t="n">
        <v>3</v>
      </c>
      <c r="T190" s="0" t="n">
        <v>2</v>
      </c>
      <c r="U190" s="0" t="n">
        <v>1</v>
      </c>
      <c r="V190" s="0" t="inlineStr">
        <is>
          <t>복도식</t>
        </is>
      </c>
      <c r="W190" s="0" t="n">
        <v>51</v>
      </c>
      <c r="X190" s="0" t="n">
        <v>7</v>
      </c>
      <c r="Y190" s="0" t="n">
        <v>7</v>
      </c>
      <c r="Z190" s="0" t="inlineStr">
        <is>
          <t>https://new.land.naver.com/complexes/19726?tab=detail&amp;rf=Y</t>
        </is>
      </c>
      <c r="AA190" s="0" t="inlineStr">
        <is>
          <t>서울시 강동구 길동 152-3</t>
        </is>
      </c>
      <c r="AB190" s="0" t="inlineStr">
        <is>
          <t>서울시</t>
        </is>
      </c>
      <c r="AC190" s="0" t="inlineStr">
        <is>
          <t>강동구</t>
        </is>
      </c>
      <c r="AD190" s="0" t="inlineStr">
        <is>
          <t>길동</t>
        </is>
      </c>
      <c r="AG190" s="0" t="inlineStr">
        <is>
          <t>서울시 강동구 진황도로49길 59</t>
        </is>
      </c>
      <c r="AH190" s="0" t="n">
        <v>0</v>
      </c>
      <c r="AI190" s="0" t="n">
        <v>0</v>
      </c>
      <c r="AJ190" s="0" t="n">
        <v>0</v>
      </c>
      <c r="AK190" s="0" t="n">
        <v>28</v>
      </c>
      <c r="AL190" s="0" t="n">
        <v>1</v>
      </c>
    </row>
    <row r="191">
      <c r="A191" s="0" t="inlineStr">
        <is>
          <t>[길동]</t>
        </is>
      </c>
      <c r="B191" s="0" t="n">
        <v>19726</v>
      </c>
      <c r="C191" s="0" t="n">
        <v>3</v>
      </c>
      <c r="D191" s="0" t="inlineStr">
        <is>
          <t>M.프라자</t>
        </is>
      </c>
      <c r="E191" s="0" t="inlineStr">
        <is>
          <t>2004.10.</t>
        </is>
      </c>
      <c r="F191" s="0" t="n">
        <v>28</v>
      </c>
      <c r="G191" s="0" t="n">
        <v>18.38</v>
      </c>
      <c r="H191" s="0" t="n">
        <v>60.79</v>
      </c>
      <c r="I191" s="0" t="n">
        <v>15.8</v>
      </c>
      <c r="J191" s="0" t="n">
        <v>52.25</v>
      </c>
      <c r="K191" s="0" t="n">
        <v>1</v>
      </c>
      <c r="T191" s="0" t="n">
        <v>2</v>
      </c>
      <c r="U191" s="0" t="n">
        <v>1</v>
      </c>
      <c r="V191" s="0" t="inlineStr">
        <is>
          <t>복도식</t>
        </is>
      </c>
      <c r="W191" s="0" t="n">
        <v>60</v>
      </c>
      <c r="X191" s="0" t="n">
        <v>7</v>
      </c>
      <c r="Y191" s="0" t="n">
        <v>7</v>
      </c>
      <c r="Z191" s="0" t="inlineStr">
        <is>
          <t>https://new.land.naver.com/complexes/19726?tab=detail&amp;rf=Y</t>
        </is>
      </c>
      <c r="AA191" s="0" t="inlineStr">
        <is>
          <t>서울시 강동구 길동 152-3</t>
        </is>
      </c>
      <c r="AB191" s="0" t="inlineStr">
        <is>
          <t>서울시</t>
        </is>
      </c>
      <c r="AC191" s="0" t="inlineStr">
        <is>
          <t>강동구</t>
        </is>
      </c>
      <c r="AD191" s="0" t="inlineStr">
        <is>
          <t>길동</t>
        </is>
      </c>
      <c r="AG191" s="0" t="inlineStr">
        <is>
          <t>서울시 강동구 진황도로49길 59</t>
        </is>
      </c>
      <c r="AH191" s="0" t="n">
        <v>0</v>
      </c>
      <c r="AI191" s="0" t="n">
        <v>0</v>
      </c>
      <c r="AJ191" s="0" t="n">
        <v>0</v>
      </c>
      <c r="AK191" s="0" t="n">
        <v>28</v>
      </c>
      <c r="AL191" s="0" t="n">
        <v>1</v>
      </c>
    </row>
    <row r="192">
      <c r="A192" s="0" t="inlineStr">
        <is>
          <t>[길동]</t>
        </is>
      </c>
      <c r="B192" s="0" t="n">
        <v>19726</v>
      </c>
      <c r="C192" s="0" t="n">
        <v>4</v>
      </c>
      <c r="D192" s="0" t="inlineStr">
        <is>
          <t>M.프라자</t>
        </is>
      </c>
      <c r="E192" s="0" t="inlineStr">
        <is>
          <t>2004.10.</t>
        </is>
      </c>
      <c r="F192" s="0" t="n">
        <v>28</v>
      </c>
      <c r="G192" s="0" t="n">
        <v>23.16</v>
      </c>
      <c r="H192" s="0" t="n">
        <v>76.59</v>
      </c>
      <c r="I192" s="0" t="n">
        <v>20.23</v>
      </c>
      <c r="J192" s="0" t="n">
        <v>66.88</v>
      </c>
      <c r="K192" s="0" t="n">
        <v>3</v>
      </c>
      <c r="T192" s="0" t="n">
        <v>3</v>
      </c>
      <c r="U192" s="0" t="n">
        <v>1</v>
      </c>
      <c r="V192" s="0" t="inlineStr">
        <is>
          <t>복도식</t>
        </is>
      </c>
      <c r="W192" s="0" t="n">
        <v>76</v>
      </c>
      <c r="X192" s="0" t="n">
        <v>7</v>
      </c>
      <c r="Y192" s="0" t="n">
        <v>7</v>
      </c>
      <c r="Z192" s="0" t="inlineStr">
        <is>
          <t>https://new.land.naver.com/complexes/19726?tab=detail&amp;rf=Y</t>
        </is>
      </c>
      <c r="AA192" s="0" t="inlineStr">
        <is>
          <t>서울시 강동구 길동 152-3</t>
        </is>
      </c>
      <c r="AB192" s="0" t="inlineStr">
        <is>
          <t>서울시</t>
        </is>
      </c>
      <c r="AC192" s="0" t="inlineStr">
        <is>
          <t>강동구</t>
        </is>
      </c>
      <c r="AD192" s="0" t="inlineStr">
        <is>
          <t>길동</t>
        </is>
      </c>
      <c r="AG192" s="0" t="inlineStr">
        <is>
          <t>서울시 강동구 진황도로49길 59</t>
        </is>
      </c>
      <c r="AH192" s="0" t="n">
        <v>0</v>
      </c>
      <c r="AI192" s="0" t="n">
        <v>0</v>
      </c>
      <c r="AJ192" s="0" t="n">
        <v>0</v>
      </c>
      <c r="AK192" s="0" t="n">
        <v>28</v>
      </c>
      <c r="AL192" s="0" t="n">
        <v>1</v>
      </c>
    </row>
    <row r="193">
      <c r="A193" s="0" t="inlineStr">
        <is>
          <t>[길동]</t>
        </is>
      </c>
      <c r="B193" s="0" t="n">
        <v>19726</v>
      </c>
      <c r="C193" s="0" t="n">
        <v>5</v>
      </c>
      <c r="D193" s="0" t="inlineStr">
        <is>
          <t>M.프라자</t>
        </is>
      </c>
      <c r="E193" s="0" t="inlineStr">
        <is>
          <t>2004.10.</t>
        </is>
      </c>
      <c r="F193" s="0" t="n">
        <v>28</v>
      </c>
      <c r="G193" s="0" t="n">
        <v>26.34</v>
      </c>
      <c r="H193" s="0" t="n">
        <v>87.09999999999999</v>
      </c>
      <c r="I193" s="0" t="n">
        <v>23</v>
      </c>
      <c r="J193" s="0" t="n">
        <v>76.05</v>
      </c>
      <c r="K193" s="0" t="n">
        <v>3</v>
      </c>
      <c r="T193" s="0" t="n">
        <v>3</v>
      </c>
      <c r="U193" s="0" t="n">
        <v>2</v>
      </c>
      <c r="V193" s="0" t="inlineStr">
        <is>
          <t>복도식</t>
        </is>
      </c>
      <c r="W193" s="0" t="n">
        <v>87</v>
      </c>
      <c r="X193" s="0" t="n">
        <v>7</v>
      </c>
      <c r="Y193" s="0" t="n">
        <v>7</v>
      </c>
      <c r="Z193" s="0" t="inlineStr">
        <is>
          <t>https://new.land.naver.com/complexes/19726?tab=detail&amp;rf=Y</t>
        </is>
      </c>
      <c r="AA193" s="0" t="inlineStr">
        <is>
          <t>서울시 강동구 길동 152-3</t>
        </is>
      </c>
      <c r="AB193" s="0" t="inlineStr">
        <is>
          <t>서울시</t>
        </is>
      </c>
      <c r="AC193" s="0" t="inlineStr">
        <is>
          <t>강동구</t>
        </is>
      </c>
      <c r="AD193" s="0" t="inlineStr">
        <is>
          <t>길동</t>
        </is>
      </c>
      <c r="AG193" s="0" t="inlineStr">
        <is>
          <t>서울시 강동구 진황도로49길 59</t>
        </is>
      </c>
      <c r="AH193" s="0" t="n">
        <v>0</v>
      </c>
      <c r="AI193" s="0" t="n">
        <v>0</v>
      </c>
      <c r="AJ193" s="0" t="n">
        <v>0</v>
      </c>
      <c r="AK193" s="0" t="n">
        <v>28</v>
      </c>
      <c r="AL193" s="0" t="n">
        <v>1</v>
      </c>
    </row>
    <row r="194">
      <c r="A194" s="0" t="inlineStr">
        <is>
          <t>[길동]</t>
        </is>
      </c>
      <c r="B194" s="0" t="n">
        <v>19726</v>
      </c>
      <c r="C194" s="0" t="n">
        <v>6</v>
      </c>
      <c r="D194" s="0" t="inlineStr">
        <is>
          <t>M.프라자</t>
        </is>
      </c>
      <c r="E194" s="0" t="inlineStr">
        <is>
          <t>2004.10.</t>
        </is>
      </c>
      <c r="F194" s="0" t="n">
        <v>28</v>
      </c>
      <c r="G194" s="0" t="n">
        <v>26.6</v>
      </c>
      <c r="H194" s="0" t="n">
        <v>87.95999999999999</v>
      </c>
      <c r="I194" s="0" t="n">
        <v>22.86</v>
      </c>
      <c r="J194" s="0" t="n">
        <v>75.59999999999999</v>
      </c>
      <c r="K194" s="0" t="n">
        <v>1</v>
      </c>
      <c r="T194" s="0" t="n">
        <v>3</v>
      </c>
      <c r="U194" s="0" t="n">
        <v>2</v>
      </c>
      <c r="V194" s="0" t="inlineStr">
        <is>
          <t>복도식</t>
        </is>
      </c>
      <c r="W194" s="0" t="n">
        <v>87</v>
      </c>
      <c r="X194" s="0" t="n">
        <v>7</v>
      </c>
      <c r="Y194" s="0" t="n">
        <v>7</v>
      </c>
      <c r="Z194" s="0" t="inlineStr">
        <is>
          <t>https://new.land.naver.com/complexes/19726?tab=detail&amp;rf=Y</t>
        </is>
      </c>
      <c r="AA194" s="0" t="inlineStr">
        <is>
          <t>서울시 강동구 길동 152-3</t>
        </is>
      </c>
      <c r="AB194" s="0" t="inlineStr">
        <is>
          <t>서울시</t>
        </is>
      </c>
      <c r="AC194" s="0" t="inlineStr">
        <is>
          <t>강동구</t>
        </is>
      </c>
      <c r="AD194" s="0" t="inlineStr">
        <is>
          <t>길동</t>
        </is>
      </c>
      <c r="AG194" s="0" t="inlineStr">
        <is>
          <t>서울시 강동구 진황도로49길 59</t>
        </is>
      </c>
      <c r="AH194" s="0" t="n">
        <v>0</v>
      </c>
      <c r="AI194" s="0" t="n">
        <v>0</v>
      </c>
      <c r="AJ194" s="0" t="n">
        <v>0</v>
      </c>
      <c r="AK194" s="0" t="n">
        <v>28</v>
      </c>
      <c r="AL194" s="0" t="n">
        <v>1</v>
      </c>
    </row>
    <row r="195">
      <c r="A195" s="0" t="inlineStr">
        <is>
          <t>[길동]</t>
        </is>
      </c>
      <c r="B195" s="0" t="n">
        <v>19726</v>
      </c>
      <c r="C195" s="0" t="n">
        <v>7</v>
      </c>
      <c r="D195" s="0" t="inlineStr">
        <is>
          <t>M.프라자</t>
        </is>
      </c>
      <c r="E195" s="0" t="inlineStr">
        <is>
          <t>2004.10.</t>
        </is>
      </c>
      <c r="F195" s="0" t="n">
        <v>28</v>
      </c>
      <c r="G195" s="0" t="n">
        <v>28.69</v>
      </c>
      <c r="H195" s="0" t="n">
        <v>94.86</v>
      </c>
      <c r="I195" s="0" t="n">
        <v>25.05</v>
      </c>
      <c r="J195" s="0" t="n">
        <v>82.83</v>
      </c>
      <c r="K195" s="0" t="n">
        <v>16</v>
      </c>
      <c r="T195" s="0" t="n">
        <v>3</v>
      </c>
      <c r="U195" s="0" t="n">
        <v>2</v>
      </c>
      <c r="V195" s="0" t="inlineStr">
        <is>
          <t>복도식</t>
        </is>
      </c>
      <c r="W195" s="0" t="n">
        <v>94</v>
      </c>
      <c r="X195" s="0" t="n">
        <v>7</v>
      </c>
      <c r="Y195" s="0" t="n">
        <v>7</v>
      </c>
      <c r="Z195" s="0" t="inlineStr">
        <is>
          <t>https://new.land.naver.com/complexes/19726?tab=detail&amp;rf=Y</t>
        </is>
      </c>
      <c r="AA195" s="0" t="inlineStr">
        <is>
          <t>서울시 강동구 길동 152-3</t>
        </is>
      </c>
      <c r="AB195" s="0" t="inlineStr">
        <is>
          <t>서울시</t>
        </is>
      </c>
      <c r="AC195" s="0" t="inlineStr">
        <is>
          <t>강동구</t>
        </is>
      </c>
      <c r="AD195" s="0" t="inlineStr">
        <is>
          <t>길동</t>
        </is>
      </c>
      <c r="AG195" s="0" t="inlineStr">
        <is>
          <t>서울시 강동구 진황도로49길 59</t>
        </is>
      </c>
      <c r="AH195" s="0" t="n">
        <v>0</v>
      </c>
      <c r="AI195" s="0" t="n">
        <v>0</v>
      </c>
      <c r="AJ195" s="0" t="n">
        <v>0</v>
      </c>
      <c r="AK195" s="0" t="n">
        <v>28</v>
      </c>
      <c r="AL195" s="0" t="n">
        <v>1</v>
      </c>
    </row>
    <row r="196">
      <c r="A196" s="0" t="inlineStr">
        <is>
          <t>[길동]</t>
        </is>
      </c>
      <c r="B196" s="0" t="n">
        <v>1293</v>
      </c>
      <c r="C196" s="0" t="n">
        <v>1</v>
      </c>
      <c r="D196" s="0" t="inlineStr">
        <is>
          <t>우성(332)</t>
        </is>
      </c>
      <c r="E196" s="0" t="inlineStr">
        <is>
          <t>1989.10.</t>
        </is>
      </c>
      <c r="F196" s="0" t="n">
        <v>162</v>
      </c>
      <c r="G196" s="0" t="n">
        <v>27.64</v>
      </c>
      <c r="H196" s="0" t="n">
        <v>91.39</v>
      </c>
      <c r="I196" s="0" t="n">
        <v>24.66</v>
      </c>
      <c r="J196" s="0" t="n">
        <v>81.54000000000001</v>
      </c>
      <c r="K196" s="0" t="n">
        <v>90</v>
      </c>
      <c r="T196" s="0" t="n">
        <v>3</v>
      </c>
      <c r="U196" s="0" t="n">
        <v>2</v>
      </c>
      <c r="V196" s="0" t="inlineStr">
        <is>
          <t>계단식</t>
        </is>
      </c>
      <c r="W196" s="0" t="n">
        <v>91</v>
      </c>
      <c r="X196" s="0" t="n">
        <v>9</v>
      </c>
      <c r="Y196" s="0" t="n">
        <v>9</v>
      </c>
      <c r="Z196" s="0" t="inlineStr">
        <is>
          <t>https://new.land.naver.com/complexes/1293?tab=detail&amp;rf=Y</t>
        </is>
      </c>
      <c r="AA196" s="0" t="inlineStr">
        <is>
          <t>서울시 강동구 길동 332</t>
        </is>
      </c>
      <c r="AB196" s="0" t="inlineStr">
        <is>
          <t>서울시</t>
        </is>
      </c>
      <c r="AC196" s="0" t="inlineStr">
        <is>
          <t>강동구</t>
        </is>
      </c>
      <c r="AD196" s="0" t="inlineStr">
        <is>
          <t>길동</t>
        </is>
      </c>
      <c r="AG196" s="0" t="inlineStr">
        <is>
          <t>서울시 강동구 천중로49길 58</t>
        </is>
      </c>
      <c r="AH196" s="0" t="n">
        <v>0</v>
      </c>
      <c r="AI196" s="0" t="n">
        <v>212</v>
      </c>
      <c r="AJ196" s="0" t="n">
        <v>24</v>
      </c>
      <c r="AK196" s="0" t="n">
        <v>146</v>
      </c>
      <c r="AL196" s="0" t="n">
        <v>0.9</v>
      </c>
    </row>
    <row r="197">
      <c r="A197" s="0" t="inlineStr">
        <is>
          <t>[길동]</t>
        </is>
      </c>
      <c r="B197" s="0" t="n">
        <v>1293</v>
      </c>
      <c r="C197" s="0" t="n">
        <v>2</v>
      </c>
      <c r="D197" s="0" t="inlineStr">
        <is>
          <t>우성(332)</t>
        </is>
      </c>
      <c r="E197" s="0" t="inlineStr">
        <is>
          <t>1989.10.</t>
        </is>
      </c>
      <c r="F197" s="0" t="n">
        <v>162</v>
      </c>
      <c r="G197" s="0" t="n">
        <v>30.69</v>
      </c>
      <c r="H197" s="0" t="n">
        <v>101.46</v>
      </c>
      <c r="I197" s="0" t="n">
        <v>24.69</v>
      </c>
      <c r="J197" s="0" t="n">
        <v>81.63</v>
      </c>
      <c r="K197" s="0" t="n">
        <v>72</v>
      </c>
      <c r="T197" s="0" t="n">
        <v>3</v>
      </c>
      <c r="U197" s="0" t="n">
        <v>2</v>
      </c>
      <c r="V197" s="0" t="inlineStr">
        <is>
          <t>계단식</t>
        </is>
      </c>
      <c r="W197" s="0" t="n">
        <v>101</v>
      </c>
      <c r="X197" s="0" t="n">
        <v>9</v>
      </c>
      <c r="Y197" s="0" t="n">
        <v>9</v>
      </c>
      <c r="Z197" s="0" t="inlineStr">
        <is>
          <t>https://new.land.naver.com/complexes/1293?tab=detail&amp;rf=Y</t>
        </is>
      </c>
      <c r="AA197" s="0" t="inlineStr">
        <is>
          <t>서울시 강동구 길동 332</t>
        </is>
      </c>
      <c r="AB197" s="0" t="inlineStr">
        <is>
          <t>서울시</t>
        </is>
      </c>
      <c r="AC197" s="0" t="inlineStr">
        <is>
          <t>강동구</t>
        </is>
      </c>
      <c r="AD197" s="0" t="inlineStr">
        <is>
          <t>길동</t>
        </is>
      </c>
      <c r="AG197" s="0" t="inlineStr">
        <is>
          <t>서울시 강동구 천중로49길 58</t>
        </is>
      </c>
      <c r="AH197" s="0" t="n">
        <v>0</v>
      </c>
      <c r="AI197" s="0" t="n">
        <v>212</v>
      </c>
      <c r="AJ197" s="0" t="n">
        <v>24</v>
      </c>
      <c r="AK197" s="0" t="n">
        <v>146</v>
      </c>
      <c r="AL197" s="0" t="n">
        <v>0.9</v>
      </c>
    </row>
    <row r="198">
      <c r="A198" s="0" t="inlineStr">
        <is>
          <t>[길동]</t>
        </is>
      </c>
      <c r="B198" s="0" t="n">
        <v>118623</v>
      </c>
      <c r="C198" s="0" t="n">
        <v>1</v>
      </c>
      <c r="D198" s="0" t="inlineStr">
        <is>
          <t>기풍트윈빌(도시형)</t>
        </is>
      </c>
      <c r="E198" s="0" t="inlineStr">
        <is>
          <t>2015.12.</t>
        </is>
      </c>
      <c r="F198" s="0" t="n">
        <v>29</v>
      </c>
      <c r="G198" s="0" t="n">
        <v>9.789999999999999</v>
      </c>
      <c r="H198" s="0" t="n">
        <v>32.39</v>
      </c>
      <c r="I198" s="0" t="n">
        <v>8.01</v>
      </c>
      <c r="J198" s="0" t="n">
        <v>26.48</v>
      </c>
      <c r="K198" s="0" t="n">
        <v>8</v>
      </c>
      <c r="T198" s="0" t="n">
        <v>1</v>
      </c>
      <c r="U198" s="0" t="n">
        <v>1</v>
      </c>
      <c r="V198" s="0" t="inlineStr">
        <is>
          <t>계단식</t>
        </is>
      </c>
      <c r="W198" s="0" t="inlineStr">
        <is>
          <t>32B</t>
        </is>
      </c>
      <c r="X198" s="0" t="n">
        <v>6</v>
      </c>
      <c r="Y198" s="0" t="n">
        <v>5</v>
      </c>
      <c r="Z198" s="0" t="inlineStr">
        <is>
          <t>https://new.land.naver.com/complexes/118623?tab=detail&amp;rf=Y</t>
        </is>
      </c>
      <c r="AA198" s="0" t="inlineStr">
        <is>
          <t>서울시 강동구 길동 382-4</t>
        </is>
      </c>
      <c r="AB198" s="0" t="inlineStr">
        <is>
          <t>서울시</t>
        </is>
      </c>
      <c r="AC198" s="0" t="inlineStr">
        <is>
          <t>강동구</t>
        </is>
      </c>
      <c r="AD198" s="0" t="inlineStr">
        <is>
          <t>길동</t>
        </is>
      </c>
      <c r="AG198" s="0" t="inlineStr">
        <is>
          <t>서울시 강동구 양재대로115길 49</t>
        </is>
      </c>
      <c r="AH198" s="0" t="n">
        <v>0</v>
      </c>
      <c r="AI198" s="0" t="n">
        <v>192</v>
      </c>
      <c r="AJ198" s="0" t="n">
        <v>49</v>
      </c>
      <c r="AK198" s="0" t="n">
        <v>21</v>
      </c>
      <c r="AL198" s="0" t="n">
        <v>0.72</v>
      </c>
    </row>
    <row r="199">
      <c r="A199" s="0" t="inlineStr">
        <is>
          <t>[길동]</t>
        </is>
      </c>
      <c r="B199" s="0" t="n">
        <v>118623</v>
      </c>
      <c r="C199" s="0" t="n">
        <v>2</v>
      </c>
      <c r="D199" s="0" t="inlineStr">
        <is>
          <t>기풍트윈빌(도시형)</t>
        </is>
      </c>
      <c r="E199" s="0" t="inlineStr">
        <is>
          <t>2015.12.</t>
        </is>
      </c>
      <c r="F199" s="0" t="n">
        <v>29</v>
      </c>
      <c r="G199" s="0" t="n">
        <v>9.789999999999999</v>
      </c>
      <c r="H199" s="0" t="n">
        <v>32.38</v>
      </c>
      <c r="I199" s="0" t="n">
        <v>8.01</v>
      </c>
      <c r="J199" s="0" t="n">
        <v>26.48</v>
      </c>
      <c r="K199" s="0" t="n">
        <v>1</v>
      </c>
      <c r="T199" s="0" t="n">
        <v>1</v>
      </c>
      <c r="U199" s="0" t="n">
        <v>1</v>
      </c>
      <c r="V199" s="0" t="inlineStr">
        <is>
          <t>계단식</t>
        </is>
      </c>
      <c r="W199" s="0" t="inlineStr">
        <is>
          <t>32A</t>
        </is>
      </c>
      <c r="X199" s="0" t="n">
        <v>6</v>
      </c>
      <c r="Y199" s="0" t="n">
        <v>5</v>
      </c>
      <c r="Z199" s="0" t="inlineStr">
        <is>
          <t>https://new.land.naver.com/complexes/118623?tab=detail&amp;rf=Y</t>
        </is>
      </c>
      <c r="AA199" s="0" t="inlineStr">
        <is>
          <t>서울시 강동구 길동 382-4</t>
        </is>
      </c>
      <c r="AB199" s="0" t="inlineStr">
        <is>
          <t>서울시</t>
        </is>
      </c>
      <c r="AC199" s="0" t="inlineStr">
        <is>
          <t>강동구</t>
        </is>
      </c>
      <c r="AD199" s="0" t="inlineStr">
        <is>
          <t>길동</t>
        </is>
      </c>
      <c r="AG199" s="0" t="inlineStr">
        <is>
          <t>서울시 강동구 양재대로115길 49</t>
        </is>
      </c>
      <c r="AH199" s="0" t="n">
        <v>0</v>
      </c>
      <c r="AI199" s="0" t="n">
        <v>192</v>
      </c>
      <c r="AJ199" s="0" t="n">
        <v>49</v>
      </c>
      <c r="AK199" s="0" t="n">
        <v>21</v>
      </c>
      <c r="AL199" s="0" t="n">
        <v>0.72</v>
      </c>
    </row>
    <row r="200">
      <c r="A200" s="0" t="inlineStr">
        <is>
          <t>[길동]</t>
        </is>
      </c>
      <c r="B200" s="0" t="n">
        <v>118623</v>
      </c>
      <c r="C200" s="0" t="n">
        <v>3</v>
      </c>
      <c r="D200" s="0" t="inlineStr">
        <is>
          <t>기풍트윈빌(도시형)</t>
        </is>
      </c>
      <c r="E200" s="0" t="inlineStr">
        <is>
          <t>2015.12.</t>
        </is>
      </c>
      <c r="F200" s="0" t="n">
        <v>29</v>
      </c>
      <c r="G200" s="0" t="n">
        <v>14.85</v>
      </c>
      <c r="H200" s="0" t="n">
        <v>49.11</v>
      </c>
      <c r="I200" s="0" t="n">
        <v>12.14</v>
      </c>
      <c r="J200" s="0" t="n">
        <v>40.16</v>
      </c>
      <c r="K200" s="0" t="n">
        <v>8</v>
      </c>
      <c r="T200" s="0" t="n">
        <v>2</v>
      </c>
      <c r="U200" s="0" t="n">
        <v>1</v>
      </c>
      <c r="V200" s="0" t="inlineStr">
        <is>
          <t>계단식</t>
        </is>
      </c>
      <c r="W200" s="0" t="inlineStr">
        <is>
          <t>49A</t>
        </is>
      </c>
      <c r="X200" s="0" t="n">
        <v>6</v>
      </c>
      <c r="Y200" s="0" t="n">
        <v>5</v>
      </c>
      <c r="Z200" s="0" t="inlineStr">
        <is>
          <t>https://new.land.naver.com/complexes/118623?tab=detail&amp;rf=Y</t>
        </is>
      </c>
      <c r="AA200" s="0" t="inlineStr">
        <is>
          <t>서울시 강동구 길동 382-4</t>
        </is>
      </c>
      <c r="AB200" s="0" t="inlineStr">
        <is>
          <t>서울시</t>
        </is>
      </c>
      <c r="AC200" s="0" t="inlineStr">
        <is>
          <t>강동구</t>
        </is>
      </c>
      <c r="AD200" s="0" t="inlineStr">
        <is>
          <t>길동</t>
        </is>
      </c>
      <c r="AG200" s="0" t="inlineStr">
        <is>
          <t>서울시 강동구 양재대로115길 49</t>
        </is>
      </c>
      <c r="AH200" s="0" t="n">
        <v>0</v>
      </c>
      <c r="AI200" s="0" t="n">
        <v>192</v>
      </c>
      <c r="AJ200" s="0" t="n">
        <v>49</v>
      </c>
      <c r="AK200" s="0" t="n">
        <v>21</v>
      </c>
      <c r="AL200" s="0" t="n">
        <v>0.72</v>
      </c>
    </row>
    <row r="201">
      <c r="A201" s="0" t="inlineStr">
        <is>
          <t>[길동]</t>
        </is>
      </c>
      <c r="B201" s="0" t="n">
        <v>118623</v>
      </c>
      <c r="C201" s="0" t="n">
        <v>4</v>
      </c>
      <c r="D201" s="0" t="inlineStr">
        <is>
          <t>기풍트윈빌(도시형)</t>
        </is>
      </c>
      <c r="E201" s="0" t="inlineStr">
        <is>
          <t>2015.12.</t>
        </is>
      </c>
      <c r="F201" s="0" t="n">
        <v>29</v>
      </c>
      <c r="G201" s="0" t="n">
        <v>14.85</v>
      </c>
      <c r="H201" s="0" t="n">
        <v>49.12</v>
      </c>
      <c r="I201" s="0" t="n">
        <v>12.14</v>
      </c>
      <c r="J201" s="0" t="n">
        <v>40.16</v>
      </c>
      <c r="K201" s="0" t="n">
        <v>8</v>
      </c>
      <c r="T201" s="0" t="n">
        <v>2</v>
      </c>
      <c r="U201" s="0" t="n">
        <v>1</v>
      </c>
      <c r="V201" s="0" t="inlineStr">
        <is>
          <t>계단식</t>
        </is>
      </c>
      <c r="W201" s="0" t="inlineStr">
        <is>
          <t>49B</t>
        </is>
      </c>
      <c r="X201" s="0" t="n">
        <v>6</v>
      </c>
      <c r="Y201" s="0" t="n">
        <v>5</v>
      </c>
      <c r="Z201" s="0" t="inlineStr">
        <is>
          <t>https://new.land.naver.com/complexes/118623?tab=detail&amp;rf=Y</t>
        </is>
      </c>
      <c r="AA201" s="0" t="inlineStr">
        <is>
          <t>서울시 강동구 길동 382-4</t>
        </is>
      </c>
      <c r="AB201" s="0" t="inlineStr">
        <is>
          <t>서울시</t>
        </is>
      </c>
      <c r="AC201" s="0" t="inlineStr">
        <is>
          <t>강동구</t>
        </is>
      </c>
      <c r="AD201" s="0" t="inlineStr">
        <is>
          <t>길동</t>
        </is>
      </c>
      <c r="AG201" s="0" t="inlineStr">
        <is>
          <t>서울시 강동구 양재대로115길 49</t>
        </is>
      </c>
      <c r="AH201" s="0" t="n">
        <v>0</v>
      </c>
      <c r="AI201" s="0" t="n">
        <v>192</v>
      </c>
      <c r="AJ201" s="0" t="n">
        <v>49</v>
      </c>
      <c r="AK201" s="0" t="n">
        <v>21</v>
      </c>
      <c r="AL201" s="0" t="n">
        <v>0.72</v>
      </c>
    </row>
    <row r="202">
      <c r="A202" s="0" t="inlineStr">
        <is>
          <t>[길동]</t>
        </is>
      </c>
      <c r="B202" s="0" t="n">
        <v>118623</v>
      </c>
      <c r="C202" s="0" t="n">
        <v>5</v>
      </c>
      <c r="D202" s="0" t="inlineStr">
        <is>
          <t>기풍트윈빌(도시형)</t>
        </is>
      </c>
      <c r="E202" s="0" t="inlineStr">
        <is>
          <t>2015.12.</t>
        </is>
      </c>
      <c r="F202" s="0" t="n">
        <v>29</v>
      </c>
      <c r="G202" s="0" t="n">
        <v>15.89</v>
      </c>
      <c r="H202" s="0" t="n">
        <v>52.54</v>
      </c>
      <c r="I202" s="0" t="n">
        <v>12.99</v>
      </c>
      <c r="J202" s="0" t="n">
        <v>42.96</v>
      </c>
      <c r="K202" s="0" t="n">
        <v>2</v>
      </c>
      <c r="T202" s="0" t="n">
        <v>2</v>
      </c>
      <c r="U202" s="0" t="n">
        <v>1</v>
      </c>
      <c r="V202" s="0" t="inlineStr">
        <is>
          <t>계단식</t>
        </is>
      </c>
      <c r="W202" s="0" t="n">
        <v>52</v>
      </c>
      <c r="X202" s="0" t="n">
        <v>6</v>
      </c>
      <c r="Y202" s="0" t="n">
        <v>5</v>
      </c>
      <c r="Z202" s="0" t="inlineStr">
        <is>
          <t>https://new.land.naver.com/complexes/118623?tab=detail&amp;rf=Y</t>
        </is>
      </c>
      <c r="AA202" s="0" t="inlineStr">
        <is>
          <t>서울시 강동구 길동 382-4</t>
        </is>
      </c>
      <c r="AB202" s="0" t="inlineStr">
        <is>
          <t>서울시</t>
        </is>
      </c>
      <c r="AC202" s="0" t="inlineStr">
        <is>
          <t>강동구</t>
        </is>
      </c>
      <c r="AD202" s="0" t="inlineStr">
        <is>
          <t>길동</t>
        </is>
      </c>
      <c r="AG202" s="0" t="inlineStr">
        <is>
          <t>서울시 강동구 양재대로115길 49</t>
        </is>
      </c>
      <c r="AH202" s="0" t="n">
        <v>0</v>
      </c>
      <c r="AI202" s="0" t="n">
        <v>192</v>
      </c>
      <c r="AJ202" s="0" t="n">
        <v>49</v>
      </c>
      <c r="AK202" s="0" t="n">
        <v>21</v>
      </c>
      <c r="AL202" s="0" t="n">
        <v>0.72</v>
      </c>
    </row>
    <row r="203">
      <c r="A203" s="0" t="inlineStr">
        <is>
          <t>[길동]</t>
        </is>
      </c>
      <c r="B203" s="0" t="n">
        <v>118623</v>
      </c>
      <c r="C203" s="0" t="n">
        <v>6</v>
      </c>
      <c r="D203" s="0" t="inlineStr">
        <is>
          <t>기풍트윈빌(도시형)</t>
        </is>
      </c>
      <c r="E203" s="0" t="inlineStr">
        <is>
          <t>2015.12.</t>
        </is>
      </c>
      <c r="F203" s="0" t="n">
        <v>29</v>
      </c>
      <c r="G203" s="0" t="n">
        <v>20.72</v>
      </c>
      <c r="H203" s="0" t="n">
        <v>68.52</v>
      </c>
      <c r="I203" s="0" t="n">
        <v>16.94</v>
      </c>
      <c r="J203" s="0" t="n">
        <v>56.03</v>
      </c>
      <c r="K203" s="0" t="n">
        <v>2</v>
      </c>
      <c r="T203" s="0" t="n">
        <v>3</v>
      </c>
      <c r="U203" s="0" t="n">
        <v>1</v>
      </c>
      <c r="V203" s="0" t="inlineStr">
        <is>
          <t>계단식</t>
        </is>
      </c>
      <c r="W203" s="0" t="n">
        <v>68</v>
      </c>
      <c r="X203" s="0" t="n">
        <v>6</v>
      </c>
      <c r="Y203" s="0" t="n">
        <v>5</v>
      </c>
      <c r="Z203" s="0" t="inlineStr">
        <is>
          <t>https://new.land.naver.com/complexes/118623?tab=detail&amp;rf=Y</t>
        </is>
      </c>
      <c r="AA203" s="0" t="inlineStr">
        <is>
          <t>서울시 강동구 길동 382-4</t>
        </is>
      </c>
      <c r="AB203" s="0" t="inlineStr">
        <is>
          <t>서울시</t>
        </is>
      </c>
      <c r="AC203" s="0" t="inlineStr">
        <is>
          <t>강동구</t>
        </is>
      </c>
      <c r="AD203" s="0" t="inlineStr">
        <is>
          <t>길동</t>
        </is>
      </c>
      <c r="AG203" s="0" t="inlineStr">
        <is>
          <t>서울시 강동구 양재대로115길 49</t>
        </is>
      </c>
      <c r="AH203" s="0" t="n">
        <v>0</v>
      </c>
      <c r="AI203" s="0" t="n">
        <v>192</v>
      </c>
      <c r="AJ203" s="0" t="n">
        <v>49</v>
      </c>
      <c r="AK203" s="0" t="n">
        <v>21</v>
      </c>
      <c r="AL203" s="0" t="n">
        <v>0.72</v>
      </c>
    </row>
    <row r="204">
      <c r="A204" s="0" t="inlineStr">
        <is>
          <t>[길동]</t>
        </is>
      </c>
      <c r="B204" s="0" t="n">
        <v>12932</v>
      </c>
      <c r="C204" s="0" t="n">
        <v>1</v>
      </c>
      <c r="D204" s="0" t="inlineStr">
        <is>
          <t>길동하나플러스</t>
        </is>
      </c>
      <c r="E204" s="0" t="inlineStr">
        <is>
          <t>2004.09.</t>
        </is>
      </c>
      <c r="F204" s="0" t="n">
        <v>68</v>
      </c>
      <c r="G204" s="0" t="n">
        <v>31.01</v>
      </c>
      <c r="H204" s="0" t="n">
        <v>102.54</v>
      </c>
      <c r="I204" s="0" t="n">
        <v>25.66</v>
      </c>
      <c r="J204" s="0" t="n">
        <v>84.84999999999999</v>
      </c>
      <c r="K204" s="0" t="n">
        <v>24</v>
      </c>
      <c r="T204" s="0" t="n">
        <v>3</v>
      </c>
      <c r="U204" s="0" t="n">
        <v>2</v>
      </c>
      <c r="V204" s="0" t="inlineStr">
        <is>
          <t>계단식</t>
        </is>
      </c>
      <c r="W204" s="0" t="inlineStr">
        <is>
          <t>102C</t>
        </is>
      </c>
      <c r="X204" s="0" t="n">
        <v>12</v>
      </c>
      <c r="Y204" s="0" t="n">
        <v>6</v>
      </c>
      <c r="Z204" s="0" t="inlineStr">
        <is>
          <t>https://new.land.naver.com/complexes/12932?tab=detail&amp;rf=Y</t>
        </is>
      </c>
      <c r="AA204" s="0" t="inlineStr">
        <is>
          <t>서울시 강동구 길동 401-1</t>
        </is>
      </c>
      <c r="AB204" s="0" t="inlineStr">
        <is>
          <t>서울시</t>
        </is>
      </c>
      <c r="AC204" s="0" t="inlineStr">
        <is>
          <t>강동구</t>
        </is>
      </c>
      <c r="AD204" s="0" t="inlineStr">
        <is>
          <t>길동</t>
        </is>
      </c>
      <c r="AG204" s="0" t="inlineStr">
        <is>
          <t>서울시 강동구 양재대로112길 77</t>
        </is>
      </c>
      <c r="AH204" s="0" t="n">
        <v>0</v>
      </c>
      <c r="AI204" s="0" t="n">
        <v>249</v>
      </c>
      <c r="AJ204" s="0" t="n">
        <v>28</v>
      </c>
      <c r="AK204" s="0" t="n">
        <v>77</v>
      </c>
      <c r="AL204" s="0" t="n">
        <v>1.13</v>
      </c>
    </row>
    <row r="205">
      <c r="A205" s="0" t="inlineStr">
        <is>
          <t>[길동]</t>
        </is>
      </c>
      <c r="B205" s="0" t="n">
        <v>12932</v>
      </c>
      <c r="C205" s="0" t="n">
        <v>2</v>
      </c>
      <c r="D205" s="0" t="inlineStr">
        <is>
          <t>길동하나플러스</t>
        </is>
      </c>
      <c r="E205" s="0" t="inlineStr">
        <is>
          <t>2004.09.</t>
        </is>
      </c>
      <c r="F205" s="0" t="n">
        <v>68</v>
      </c>
      <c r="G205" s="0" t="n">
        <v>30.86</v>
      </c>
      <c r="H205" s="0" t="n">
        <v>102.02</v>
      </c>
      <c r="I205" s="0" t="n">
        <v>25.62</v>
      </c>
      <c r="J205" s="0" t="n">
        <v>84.7</v>
      </c>
      <c r="K205" s="0" t="n">
        <v>12</v>
      </c>
      <c r="T205" s="0" t="n">
        <v>3</v>
      </c>
      <c r="U205" s="0" t="n">
        <v>2</v>
      </c>
      <c r="V205" s="0" t="inlineStr">
        <is>
          <t>계단식</t>
        </is>
      </c>
      <c r="W205" s="0" t="inlineStr">
        <is>
          <t>102A</t>
        </is>
      </c>
      <c r="X205" s="0" t="n">
        <v>12</v>
      </c>
      <c r="Y205" s="0" t="n">
        <v>6</v>
      </c>
      <c r="Z205" s="0" t="inlineStr">
        <is>
          <t>https://new.land.naver.com/complexes/12932?tab=detail&amp;rf=Y</t>
        </is>
      </c>
      <c r="AA205" s="0" t="inlineStr">
        <is>
          <t>서울시 강동구 길동 401-1</t>
        </is>
      </c>
      <c r="AB205" s="0" t="inlineStr">
        <is>
          <t>서울시</t>
        </is>
      </c>
      <c r="AC205" s="0" t="inlineStr">
        <is>
          <t>강동구</t>
        </is>
      </c>
      <c r="AD205" s="0" t="inlineStr">
        <is>
          <t>길동</t>
        </is>
      </c>
      <c r="AG205" s="0" t="inlineStr">
        <is>
          <t>서울시 강동구 양재대로112길 77</t>
        </is>
      </c>
      <c r="AH205" s="0" t="n">
        <v>0</v>
      </c>
      <c r="AI205" s="0" t="n">
        <v>249</v>
      </c>
      <c r="AJ205" s="0" t="n">
        <v>28</v>
      </c>
      <c r="AK205" s="0" t="n">
        <v>77</v>
      </c>
      <c r="AL205" s="0" t="n">
        <v>1.13</v>
      </c>
    </row>
    <row r="206">
      <c r="A206" s="0" t="inlineStr">
        <is>
          <t>[길동]</t>
        </is>
      </c>
      <c r="B206" s="0" t="n">
        <v>12932</v>
      </c>
      <c r="C206" s="0" t="n">
        <v>3</v>
      </c>
      <c r="D206" s="0" t="inlineStr">
        <is>
          <t>길동하나플러스</t>
        </is>
      </c>
      <c r="E206" s="0" t="inlineStr">
        <is>
          <t>2004.09.</t>
        </is>
      </c>
      <c r="F206" s="0" t="n">
        <v>68</v>
      </c>
      <c r="G206" s="0" t="n">
        <v>30.97</v>
      </c>
      <c r="H206" s="0" t="n">
        <v>102.39</v>
      </c>
      <c r="I206" s="0" t="n">
        <v>25.66</v>
      </c>
      <c r="J206" s="0" t="n">
        <v>84.84</v>
      </c>
      <c r="K206" s="0" t="n">
        <v>12</v>
      </c>
      <c r="T206" s="0" t="n">
        <v>3</v>
      </c>
      <c r="U206" s="0" t="n">
        <v>2</v>
      </c>
      <c r="V206" s="0" t="inlineStr">
        <is>
          <t>계단식</t>
        </is>
      </c>
      <c r="W206" s="0" t="inlineStr">
        <is>
          <t>102B</t>
        </is>
      </c>
      <c r="X206" s="0" t="n">
        <v>12</v>
      </c>
      <c r="Y206" s="0" t="n">
        <v>6</v>
      </c>
      <c r="Z206" s="0" t="inlineStr">
        <is>
          <t>https://new.land.naver.com/complexes/12932?tab=detail&amp;rf=Y</t>
        </is>
      </c>
      <c r="AA206" s="0" t="inlineStr">
        <is>
          <t>서울시 강동구 길동 401-1</t>
        </is>
      </c>
      <c r="AB206" s="0" t="inlineStr">
        <is>
          <t>서울시</t>
        </is>
      </c>
      <c r="AC206" s="0" t="inlineStr">
        <is>
          <t>강동구</t>
        </is>
      </c>
      <c r="AD206" s="0" t="inlineStr">
        <is>
          <t>길동</t>
        </is>
      </c>
      <c r="AG206" s="0" t="inlineStr">
        <is>
          <t>서울시 강동구 양재대로112길 77</t>
        </is>
      </c>
      <c r="AH206" s="0" t="n">
        <v>0</v>
      </c>
      <c r="AI206" s="0" t="n">
        <v>249</v>
      </c>
      <c r="AJ206" s="0" t="n">
        <v>28</v>
      </c>
      <c r="AK206" s="0" t="n">
        <v>77</v>
      </c>
      <c r="AL206" s="0" t="n">
        <v>1.13</v>
      </c>
    </row>
    <row r="207">
      <c r="A207" s="0" t="inlineStr">
        <is>
          <t>[길동]</t>
        </is>
      </c>
      <c r="B207" s="0" t="n">
        <v>12932</v>
      </c>
      <c r="C207" s="0" t="n">
        <v>4</v>
      </c>
      <c r="D207" s="0" t="inlineStr">
        <is>
          <t>길동하나플러스</t>
        </is>
      </c>
      <c r="E207" s="0" t="inlineStr">
        <is>
          <t>2004.09.</t>
        </is>
      </c>
      <c r="F207" s="0" t="n">
        <v>68</v>
      </c>
      <c r="G207" s="0" t="n">
        <v>31.07</v>
      </c>
      <c r="H207" s="0" t="n">
        <v>102.73</v>
      </c>
      <c r="I207" s="0" t="n">
        <v>25.66</v>
      </c>
      <c r="J207" s="0" t="n">
        <v>84.84999999999999</v>
      </c>
      <c r="K207" s="0" t="n">
        <v>11</v>
      </c>
      <c r="T207" s="0" t="n">
        <v>3</v>
      </c>
      <c r="U207" s="0" t="n">
        <v>2</v>
      </c>
      <c r="V207" s="0" t="inlineStr">
        <is>
          <t>계단식</t>
        </is>
      </c>
      <c r="W207" s="0" t="inlineStr">
        <is>
          <t>102D</t>
        </is>
      </c>
      <c r="X207" s="0" t="n">
        <v>12</v>
      </c>
      <c r="Y207" s="0" t="n">
        <v>6</v>
      </c>
      <c r="Z207" s="0" t="inlineStr">
        <is>
          <t>https://new.land.naver.com/complexes/12932?tab=detail&amp;rf=Y</t>
        </is>
      </c>
      <c r="AA207" s="0" t="inlineStr">
        <is>
          <t>서울시 강동구 길동 401-1</t>
        </is>
      </c>
      <c r="AB207" s="0" t="inlineStr">
        <is>
          <t>서울시</t>
        </is>
      </c>
      <c r="AC207" s="0" t="inlineStr">
        <is>
          <t>강동구</t>
        </is>
      </c>
      <c r="AD207" s="0" t="inlineStr">
        <is>
          <t>길동</t>
        </is>
      </c>
      <c r="AG207" s="0" t="inlineStr">
        <is>
          <t>서울시 강동구 양재대로112길 77</t>
        </is>
      </c>
      <c r="AH207" s="0" t="n">
        <v>0</v>
      </c>
      <c r="AI207" s="0" t="n">
        <v>249</v>
      </c>
      <c r="AJ207" s="0" t="n">
        <v>28</v>
      </c>
      <c r="AK207" s="0" t="n">
        <v>77</v>
      </c>
      <c r="AL207" s="0" t="n">
        <v>1.13</v>
      </c>
    </row>
    <row r="208">
      <c r="A208" s="0" t="inlineStr">
        <is>
          <t>[길동]</t>
        </is>
      </c>
      <c r="B208" s="0" t="n">
        <v>12932</v>
      </c>
      <c r="C208" s="0" t="n">
        <v>5</v>
      </c>
      <c r="D208" s="0" t="inlineStr">
        <is>
          <t>길동하나플러스</t>
        </is>
      </c>
      <c r="E208" s="0" t="inlineStr">
        <is>
          <t>2004.09.</t>
        </is>
      </c>
      <c r="F208" s="0" t="n">
        <v>68</v>
      </c>
      <c r="G208" s="0" t="n">
        <v>31.21</v>
      </c>
      <c r="H208" s="0" t="n">
        <v>103.2</v>
      </c>
      <c r="I208" s="0" t="n">
        <v>25.67</v>
      </c>
      <c r="J208" s="0" t="n">
        <v>84.88</v>
      </c>
      <c r="K208" s="0" t="n">
        <v>9</v>
      </c>
      <c r="T208" s="0" t="n">
        <v>3</v>
      </c>
      <c r="U208" s="0" t="n">
        <v>2</v>
      </c>
      <c r="V208" s="0" t="inlineStr">
        <is>
          <t>계단식</t>
        </is>
      </c>
      <c r="W208" s="0" t="inlineStr">
        <is>
          <t>103E</t>
        </is>
      </c>
      <c r="X208" s="0" t="n">
        <v>12</v>
      </c>
      <c r="Y208" s="0" t="n">
        <v>6</v>
      </c>
      <c r="Z208" s="0" t="inlineStr">
        <is>
          <t>https://new.land.naver.com/complexes/12932?tab=detail&amp;rf=Y</t>
        </is>
      </c>
      <c r="AA208" s="0" t="inlineStr">
        <is>
          <t>서울시 강동구 길동 401-1</t>
        </is>
      </c>
      <c r="AB208" s="0" t="inlineStr">
        <is>
          <t>서울시</t>
        </is>
      </c>
      <c r="AC208" s="0" t="inlineStr">
        <is>
          <t>강동구</t>
        </is>
      </c>
      <c r="AD208" s="0" t="inlineStr">
        <is>
          <t>길동</t>
        </is>
      </c>
      <c r="AG208" s="0" t="inlineStr">
        <is>
          <t>서울시 강동구 양재대로112길 77</t>
        </is>
      </c>
      <c r="AH208" s="0" t="n">
        <v>0</v>
      </c>
      <c r="AI208" s="0" t="n">
        <v>249</v>
      </c>
      <c r="AJ208" s="0" t="n">
        <v>28</v>
      </c>
      <c r="AK208" s="0" t="n">
        <v>77</v>
      </c>
      <c r="AL208" s="0" t="n">
        <v>1.13</v>
      </c>
    </row>
    <row r="209">
      <c r="A209" s="0" t="inlineStr">
        <is>
          <t>[길동]</t>
        </is>
      </c>
      <c r="B209" s="0" t="n">
        <v>102894</v>
      </c>
      <c r="C209" s="0" t="n">
        <v>1</v>
      </c>
      <c r="D209" s="0" t="inlineStr">
        <is>
          <t>다성팰리스</t>
        </is>
      </c>
      <c r="E209" s="0" t="inlineStr">
        <is>
          <t>2004.03.</t>
        </is>
      </c>
      <c r="F209" s="0" t="n">
        <v>19</v>
      </c>
      <c r="G209" s="0" t="n">
        <v>18.54</v>
      </c>
      <c r="H209" s="0" t="n">
        <v>61.32</v>
      </c>
      <c r="I209" s="0" t="n">
        <v>15.89</v>
      </c>
      <c r="J209" s="0" t="n">
        <v>52.54</v>
      </c>
      <c r="K209" s="0" t="n">
        <v>1</v>
      </c>
      <c r="T209" s="0" t="n">
        <v>2</v>
      </c>
      <c r="U209" s="0" t="n">
        <v>1</v>
      </c>
      <c r="V209" s="0" t="inlineStr">
        <is>
          <t>계단식</t>
        </is>
      </c>
      <c r="W209" s="0" t="n">
        <v>61</v>
      </c>
      <c r="X209" s="0" t="n">
        <v>5</v>
      </c>
      <c r="Y209" s="0" t="n">
        <v>5</v>
      </c>
      <c r="Z209" s="0" t="inlineStr">
        <is>
          <t>https://new.land.naver.com/complexes/102894?tab=detail&amp;rf=Y</t>
        </is>
      </c>
      <c r="AA209" s="0" t="inlineStr">
        <is>
          <t>서울시 강동구 길동 358-3</t>
        </is>
      </c>
      <c r="AB209" s="0" t="inlineStr">
        <is>
          <t>서울시</t>
        </is>
      </c>
      <c r="AC209" s="0" t="inlineStr">
        <is>
          <t>강동구</t>
        </is>
      </c>
      <c r="AD209" s="0" t="inlineStr">
        <is>
          <t>길동</t>
        </is>
      </c>
      <c r="AG209" s="0" t="inlineStr">
        <is>
          <t>서울시 강동구 천중로48길 19-14</t>
        </is>
      </c>
      <c r="AH209" s="0" t="n">
        <v>0</v>
      </c>
      <c r="AI209" s="0" t="n">
        <v>213</v>
      </c>
      <c r="AJ209" s="0" t="n">
        <v>51</v>
      </c>
      <c r="AK209" s="0" t="n">
        <v>19</v>
      </c>
      <c r="AL209" s="0" t="n">
        <v>1</v>
      </c>
    </row>
    <row r="210">
      <c r="A210" s="0" t="inlineStr">
        <is>
          <t>[길동]</t>
        </is>
      </c>
      <c r="B210" s="0" t="n">
        <v>102894</v>
      </c>
      <c r="C210" s="0" t="n">
        <v>2</v>
      </c>
      <c r="D210" s="0" t="inlineStr">
        <is>
          <t>다성팰리스</t>
        </is>
      </c>
      <c r="E210" s="0" t="inlineStr">
        <is>
          <t>2004.03.</t>
        </is>
      </c>
      <c r="F210" s="0" t="n">
        <v>19</v>
      </c>
      <c r="G210" s="0" t="n">
        <v>19.79</v>
      </c>
      <c r="H210" s="0" t="n">
        <v>65.45</v>
      </c>
      <c r="I210" s="0" t="n">
        <v>16.96</v>
      </c>
      <c r="J210" s="0" t="n">
        <v>56.08</v>
      </c>
      <c r="K210" s="0" t="n">
        <v>1</v>
      </c>
      <c r="T210" s="0" t="n">
        <v>2</v>
      </c>
      <c r="U210" s="0" t="n">
        <v>1</v>
      </c>
      <c r="V210" s="0" t="inlineStr">
        <is>
          <t>계단식</t>
        </is>
      </c>
      <c r="W210" s="0" t="inlineStr">
        <is>
          <t>65A</t>
        </is>
      </c>
      <c r="X210" s="0" t="n">
        <v>5</v>
      </c>
      <c r="Y210" s="0" t="n">
        <v>5</v>
      </c>
      <c r="Z210" s="0" t="inlineStr">
        <is>
          <t>https://new.land.naver.com/complexes/102894?tab=detail&amp;rf=Y</t>
        </is>
      </c>
      <c r="AA210" s="0" t="inlineStr">
        <is>
          <t>서울시 강동구 길동 358-3</t>
        </is>
      </c>
      <c r="AB210" s="0" t="inlineStr">
        <is>
          <t>서울시</t>
        </is>
      </c>
      <c r="AC210" s="0" t="inlineStr">
        <is>
          <t>강동구</t>
        </is>
      </c>
      <c r="AD210" s="0" t="inlineStr">
        <is>
          <t>길동</t>
        </is>
      </c>
      <c r="AG210" s="0" t="inlineStr">
        <is>
          <t>서울시 강동구 천중로48길 19-14</t>
        </is>
      </c>
      <c r="AH210" s="0" t="n">
        <v>0</v>
      </c>
      <c r="AI210" s="0" t="n">
        <v>213</v>
      </c>
      <c r="AJ210" s="0" t="n">
        <v>51</v>
      </c>
      <c r="AK210" s="0" t="n">
        <v>19</v>
      </c>
      <c r="AL210" s="0" t="n">
        <v>1</v>
      </c>
    </row>
    <row r="211">
      <c r="A211" s="0" t="inlineStr">
        <is>
          <t>[길동]</t>
        </is>
      </c>
      <c r="B211" s="0" t="n">
        <v>102894</v>
      </c>
      <c r="C211" s="0" t="n">
        <v>3</v>
      </c>
      <c r="D211" s="0" t="inlineStr">
        <is>
          <t>다성팰리스</t>
        </is>
      </c>
      <c r="E211" s="0" t="inlineStr">
        <is>
          <t>2004.03.</t>
        </is>
      </c>
      <c r="F211" s="0" t="n">
        <v>19</v>
      </c>
      <c r="G211" s="0" t="n">
        <v>20.25</v>
      </c>
      <c r="H211" s="0" t="n">
        <v>66.95</v>
      </c>
      <c r="I211" s="0" t="n">
        <v>17.35</v>
      </c>
      <c r="J211" s="0" t="n">
        <v>57.37</v>
      </c>
      <c r="K211" s="0" t="n">
        <v>1</v>
      </c>
      <c r="T211" s="0" t="n">
        <v>2</v>
      </c>
      <c r="U211" s="0" t="n">
        <v>1</v>
      </c>
      <c r="V211" s="0" t="inlineStr">
        <is>
          <t>계단식</t>
        </is>
      </c>
      <c r="W211" s="0" t="inlineStr">
        <is>
          <t>66B</t>
        </is>
      </c>
      <c r="X211" s="0" t="n">
        <v>5</v>
      </c>
      <c r="Y211" s="0" t="n">
        <v>5</v>
      </c>
      <c r="Z211" s="0" t="inlineStr">
        <is>
          <t>https://new.land.naver.com/complexes/102894?tab=detail&amp;rf=Y</t>
        </is>
      </c>
      <c r="AA211" s="0" t="inlineStr">
        <is>
          <t>서울시 강동구 길동 358-3</t>
        </is>
      </c>
      <c r="AB211" s="0" t="inlineStr">
        <is>
          <t>서울시</t>
        </is>
      </c>
      <c r="AC211" s="0" t="inlineStr">
        <is>
          <t>강동구</t>
        </is>
      </c>
      <c r="AD211" s="0" t="inlineStr">
        <is>
          <t>길동</t>
        </is>
      </c>
      <c r="AG211" s="0" t="inlineStr">
        <is>
          <t>서울시 강동구 천중로48길 19-14</t>
        </is>
      </c>
      <c r="AH211" s="0" t="n">
        <v>0</v>
      </c>
      <c r="AI211" s="0" t="n">
        <v>213</v>
      </c>
      <c r="AJ211" s="0" t="n">
        <v>51</v>
      </c>
      <c r="AK211" s="0" t="n">
        <v>19</v>
      </c>
      <c r="AL211" s="0" t="n">
        <v>1</v>
      </c>
    </row>
    <row r="212">
      <c r="A212" s="0" t="inlineStr">
        <is>
          <t>[길동]</t>
        </is>
      </c>
      <c r="B212" s="0" t="n">
        <v>102894</v>
      </c>
      <c r="C212" s="0" t="n">
        <v>4</v>
      </c>
      <c r="D212" s="0" t="inlineStr">
        <is>
          <t>다성팰리스</t>
        </is>
      </c>
      <c r="E212" s="0" t="inlineStr">
        <is>
          <t>2004.03.</t>
        </is>
      </c>
      <c r="F212" s="0" t="n">
        <v>19</v>
      </c>
      <c r="G212" s="0" t="n">
        <v>21.06</v>
      </c>
      <c r="H212" s="0" t="n">
        <v>69.65000000000001</v>
      </c>
      <c r="I212" s="0" t="n">
        <v>18.05</v>
      </c>
      <c r="J212" s="0" t="n">
        <v>59.68</v>
      </c>
      <c r="K212" s="0" t="n">
        <v>1</v>
      </c>
      <c r="T212" s="0" t="n">
        <v>2</v>
      </c>
      <c r="U212" s="0" t="n">
        <v>1</v>
      </c>
      <c r="V212" s="0" t="inlineStr">
        <is>
          <t>계단식</t>
        </is>
      </c>
      <c r="W212" s="0" t="n">
        <v>69</v>
      </c>
      <c r="X212" s="0" t="n">
        <v>5</v>
      </c>
      <c r="Y212" s="0" t="n">
        <v>5</v>
      </c>
      <c r="Z212" s="0" t="inlineStr">
        <is>
          <t>https://new.land.naver.com/complexes/102894?tab=detail&amp;rf=Y</t>
        </is>
      </c>
      <c r="AA212" s="0" t="inlineStr">
        <is>
          <t>서울시 강동구 길동 358-3</t>
        </is>
      </c>
      <c r="AB212" s="0" t="inlineStr">
        <is>
          <t>서울시</t>
        </is>
      </c>
      <c r="AC212" s="0" t="inlineStr">
        <is>
          <t>강동구</t>
        </is>
      </c>
      <c r="AD212" s="0" t="inlineStr">
        <is>
          <t>길동</t>
        </is>
      </c>
      <c r="AG212" s="0" t="inlineStr">
        <is>
          <t>서울시 강동구 천중로48길 19-14</t>
        </is>
      </c>
      <c r="AH212" s="0" t="n">
        <v>0</v>
      </c>
      <c r="AI212" s="0" t="n">
        <v>213</v>
      </c>
      <c r="AJ212" s="0" t="n">
        <v>51</v>
      </c>
      <c r="AK212" s="0" t="n">
        <v>19</v>
      </c>
      <c r="AL212" s="0" t="n">
        <v>1</v>
      </c>
    </row>
    <row r="213">
      <c r="A213" s="0" t="inlineStr">
        <is>
          <t>[길동]</t>
        </is>
      </c>
      <c r="B213" s="0" t="n">
        <v>102894</v>
      </c>
      <c r="C213" s="0" t="n">
        <v>5</v>
      </c>
      <c r="D213" s="0" t="inlineStr">
        <is>
          <t>다성팰리스</t>
        </is>
      </c>
      <c r="E213" s="0" t="inlineStr">
        <is>
          <t>2004.03.</t>
        </is>
      </c>
      <c r="F213" s="0" t="n">
        <v>19</v>
      </c>
      <c r="G213" s="0" t="n">
        <v>25.78</v>
      </c>
      <c r="H213" s="0" t="n">
        <v>85.23</v>
      </c>
      <c r="I213" s="0" t="n">
        <v>22.09</v>
      </c>
      <c r="J213" s="0" t="n">
        <v>73.04000000000001</v>
      </c>
      <c r="K213" s="0" t="n">
        <v>4</v>
      </c>
      <c r="T213" s="0" t="n">
        <v>3</v>
      </c>
      <c r="U213" s="0" t="n">
        <v>2</v>
      </c>
      <c r="V213" s="0" t="inlineStr">
        <is>
          <t>계단식</t>
        </is>
      </c>
      <c r="W213" s="0" t="inlineStr">
        <is>
          <t>85A</t>
        </is>
      </c>
      <c r="X213" s="0" t="n">
        <v>5</v>
      </c>
      <c r="Y213" s="0" t="n">
        <v>5</v>
      </c>
      <c r="Z213" s="0" t="inlineStr">
        <is>
          <t>https://new.land.naver.com/complexes/102894?tab=detail&amp;rf=Y</t>
        </is>
      </c>
      <c r="AA213" s="0" t="inlineStr">
        <is>
          <t>서울시 강동구 길동 358-3</t>
        </is>
      </c>
      <c r="AB213" s="0" t="inlineStr">
        <is>
          <t>서울시</t>
        </is>
      </c>
      <c r="AC213" s="0" t="inlineStr">
        <is>
          <t>강동구</t>
        </is>
      </c>
      <c r="AD213" s="0" t="inlineStr">
        <is>
          <t>길동</t>
        </is>
      </c>
      <c r="AG213" s="0" t="inlineStr">
        <is>
          <t>서울시 강동구 천중로48길 19-14</t>
        </is>
      </c>
      <c r="AH213" s="0" t="n">
        <v>0</v>
      </c>
      <c r="AI213" s="0" t="n">
        <v>213</v>
      </c>
      <c r="AJ213" s="0" t="n">
        <v>51</v>
      </c>
      <c r="AK213" s="0" t="n">
        <v>19</v>
      </c>
      <c r="AL213" s="0" t="n">
        <v>1</v>
      </c>
    </row>
    <row r="214">
      <c r="A214" s="0" t="inlineStr">
        <is>
          <t>[길동]</t>
        </is>
      </c>
      <c r="B214" s="0" t="n">
        <v>102894</v>
      </c>
      <c r="C214" s="0" t="n">
        <v>6</v>
      </c>
      <c r="D214" s="0" t="inlineStr">
        <is>
          <t>다성팰리스</t>
        </is>
      </c>
      <c r="E214" s="0" t="inlineStr">
        <is>
          <t>2004.03.</t>
        </is>
      </c>
      <c r="F214" s="0" t="n">
        <v>19</v>
      </c>
      <c r="G214" s="0" t="n">
        <v>26.28</v>
      </c>
      <c r="H214" s="0" t="n">
        <v>86.88</v>
      </c>
      <c r="I214" s="0" t="n">
        <v>22.51</v>
      </c>
      <c r="J214" s="0" t="n">
        <v>74.44</v>
      </c>
      <c r="K214" s="0" t="n">
        <v>7</v>
      </c>
      <c r="T214" s="0" t="n">
        <v>3</v>
      </c>
      <c r="U214" s="0" t="n">
        <v>2</v>
      </c>
      <c r="V214" s="0" t="inlineStr">
        <is>
          <t>계단식</t>
        </is>
      </c>
      <c r="W214" s="0" t="inlineStr">
        <is>
          <t>86B</t>
        </is>
      </c>
      <c r="X214" s="0" t="n">
        <v>5</v>
      </c>
      <c r="Y214" s="0" t="n">
        <v>5</v>
      </c>
      <c r="Z214" s="0" t="inlineStr">
        <is>
          <t>https://new.land.naver.com/complexes/102894?tab=detail&amp;rf=Y</t>
        </is>
      </c>
      <c r="AA214" s="0" t="inlineStr">
        <is>
          <t>서울시 강동구 길동 358-3</t>
        </is>
      </c>
      <c r="AB214" s="0" t="inlineStr">
        <is>
          <t>서울시</t>
        </is>
      </c>
      <c r="AC214" s="0" t="inlineStr">
        <is>
          <t>강동구</t>
        </is>
      </c>
      <c r="AD214" s="0" t="inlineStr">
        <is>
          <t>길동</t>
        </is>
      </c>
      <c r="AG214" s="0" t="inlineStr">
        <is>
          <t>서울시 강동구 천중로48길 19-14</t>
        </is>
      </c>
      <c r="AH214" s="0" t="n">
        <v>0</v>
      </c>
      <c r="AI214" s="0" t="n">
        <v>213</v>
      </c>
      <c r="AJ214" s="0" t="n">
        <v>51</v>
      </c>
      <c r="AK214" s="0" t="n">
        <v>19</v>
      </c>
      <c r="AL214" s="0" t="n">
        <v>1</v>
      </c>
    </row>
    <row r="215">
      <c r="A215" s="0" t="inlineStr">
        <is>
          <t>[길동]</t>
        </is>
      </c>
      <c r="B215" s="0" t="n">
        <v>102894</v>
      </c>
      <c r="C215" s="0" t="n">
        <v>7</v>
      </c>
      <c r="D215" s="0" t="inlineStr">
        <is>
          <t>다성팰리스</t>
        </is>
      </c>
      <c r="E215" s="0" t="inlineStr">
        <is>
          <t>2004.03.</t>
        </is>
      </c>
      <c r="F215" s="0" t="n">
        <v>19</v>
      </c>
      <c r="G215" s="0" t="n">
        <v>26.91</v>
      </c>
      <c r="H215" s="0" t="n">
        <v>88.97</v>
      </c>
      <c r="I215" s="0" t="n">
        <v>23.06</v>
      </c>
      <c r="J215" s="0" t="n">
        <v>76.23999999999999</v>
      </c>
      <c r="K215" s="0" t="n">
        <v>4</v>
      </c>
      <c r="T215" s="0" t="n">
        <v>3</v>
      </c>
      <c r="U215" s="0" t="n">
        <v>2</v>
      </c>
      <c r="V215" s="0" t="inlineStr">
        <is>
          <t>계단식</t>
        </is>
      </c>
      <c r="W215" s="0" t="n">
        <v>88</v>
      </c>
      <c r="X215" s="0" t="n">
        <v>5</v>
      </c>
      <c r="Y215" s="0" t="n">
        <v>5</v>
      </c>
      <c r="Z215" s="0" t="inlineStr">
        <is>
          <t>https://new.land.naver.com/complexes/102894?tab=detail&amp;rf=Y</t>
        </is>
      </c>
      <c r="AA215" s="0" t="inlineStr">
        <is>
          <t>서울시 강동구 길동 358-3</t>
        </is>
      </c>
      <c r="AB215" s="0" t="inlineStr">
        <is>
          <t>서울시</t>
        </is>
      </c>
      <c r="AC215" s="0" t="inlineStr">
        <is>
          <t>강동구</t>
        </is>
      </c>
      <c r="AD215" s="0" t="inlineStr">
        <is>
          <t>길동</t>
        </is>
      </c>
      <c r="AG215" s="0" t="inlineStr">
        <is>
          <t>서울시 강동구 천중로48길 19-14</t>
        </is>
      </c>
      <c r="AH215" s="0" t="n">
        <v>0</v>
      </c>
      <c r="AI215" s="0" t="n">
        <v>213</v>
      </c>
      <c r="AJ215" s="0" t="n">
        <v>51</v>
      </c>
      <c r="AK215" s="0" t="n">
        <v>19</v>
      </c>
      <c r="AL215" s="0" t="n">
        <v>1</v>
      </c>
    </row>
    <row r="216">
      <c r="A216" s="0" t="inlineStr">
        <is>
          <t>[길동]</t>
        </is>
      </c>
      <c r="B216" s="0" t="n">
        <v>15910</v>
      </c>
      <c r="C216" s="0" t="n">
        <v>1</v>
      </c>
      <c r="D216" s="0" t="inlineStr">
        <is>
          <t>광남캐스빌610V</t>
        </is>
      </c>
      <c r="E216" s="0" t="inlineStr">
        <is>
          <t>2003.06.</t>
        </is>
      </c>
      <c r="F216" s="0" t="n">
        <v>17</v>
      </c>
      <c r="G216" s="0" t="n">
        <v>16.26</v>
      </c>
      <c r="H216" s="0" t="n">
        <v>53.77</v>
      </c>
      <c r="I216" s="0" t="n">
        <v>14.45</v>
      </c>
      <c r="J216" s="0" t="n">
        <v>47.78</v>
      </c>
      <c r="K216" s="0" t="n">
        <v>1</v>
      </c>
      <c r="T216" s="0" t="n">
        <v>2</v>
      </c>
      <c r="U216" s="0" t="n">
        <v>1</v>
      </c>
      <c r="V216" s="0" t="inlineStr">
        <is>
          <t>계단식</t>
        </is>
      </c>
      <c r="W216" s="0" t="n">
        <v>53</v>
      </c>
      <c r="X216" s="0" t="n">
        <v>7</v>
      </c>
      <c r="Y216" s="0" t="n">
        <v>6</v>
      </c>
      <c r="Z216" s="0" t="inlineStr">
        <is>
          <t>https://new.land.naver.com/complexes/15910?tab=detail&amp;rf=Y</t>
        </is>
      </c>
      <c r="AA216" s="0" t="inlineStr">
        <is>
          <t>서울시 강동구 길동 410-3</t>
        </is>
      </c>
      <c r="AB216" s="0" t="inlineStr">
        <is>
          <t>서울시</t>
        </is>
      </c>
      <c r="AC216" s="0" t="inlineStr">
        <is>
          <t>강동구</t>
        </is>
      </c>
      <c r="AD216" s="0" t="inlineStr">
        <is>
          <t>길동</t>
        </is>
      </c>
      <c r="AG216" s="0" t="inlineStr">
        <is>
          <t>서울시 강동구 양재대로112길 26</t>
        </is>
      </c>
      <c r="AH216" s="0" t="n">
        <v>0</v>
      </c>
      <c r="AI216" s="0" t="n">
        <v>265</v>
      </c>
      <c r="AJ216" s="0" t="n">
        <v>50</v>
      </c>
      <c r="AK216" s="0" t="n">
        <v>15</v>
      </c>
      <c r="AL216" s="0" t="n">
        <v>0.88</v>
      </c>
    </row>
    <row r="217">
      <c r="A217" s="0" t="inlineStr">
        <is>
          <t>[길동]</t>
        </is>
      </c>
      <c r="B217" s="0" t="n">
        <v>15910</v>
      </c>
      <c r="C217" s="0" t="n">
        <v>2</v>
      </c>
      <c r="D217" s="0" t="inlineStr">
        <is>
          <t>광남캐스빌610V</t>
        </is>
      </c>
      <c r="E217" s="0" t="inlineStr">
        <is>
          <t>2003.06.</t>
        </is>
      </c>
      <c r="F217" s="0" t="n">
        <v>17</v>
      </c>
      <c r="G217" s="0" t="n">
        <v>17.75</v>
      </c>
      <c r="H217" s="0" t="n">
        <v>58.68</v>
      </c>
      <c r="I217" s="0" t="n">
        <v>15.77</v>
      </c>
      <c r="J217" s="0" t="n">
        <v>52.14</v>
      </c>
      <c r="K217" s="0" t="n">
        <v>1</v>
      </c>
      <c r="T217" s="0" t="n">
        <v>2</v>
      </c>
      <c r="U217" s="0" t="n">
        <v>1</v>
      </c>
      <c r="V217" s="0" t="inlineStr">
        <is>
          <t>계단식</t>
        </is>
      </c>
      <c r="W217" s="0" t="inlineStr">
        <is>
          <t>58A</t>
        </is>
      </c>
      <c r="X217" s="0" t="n">
        <v>7</v>
      </c>
      <c r="Y217" s="0" t="n">
        <v>6</v>
      </c>
      <c r="Z217" s="0" t="inlineStr">
        <is>
          <t>https://new.land.naver.com/complexes/15910?tab=detail&amp;rf=Y</t>
        </is>
      </c>
      <c r="AA217" s="0" t="inlineStr">
        <is>
          <t>서울시 강동구 길동 410-3</t>
        </is>
      </c>
      <c r="AB217" s="0" t="inlineStr">
        <is>
          <t>서울시</t>
        </is>
      </c>
      <c r="AC217" s="0" t="inlineStr">
        <is>
          <t>강동구</t>
        </is>
      </c>
      <c r="AD217" s="0" t="inlineStr">
        <is>
          <t>길동</t>
        </is>
      </c>
      <c r="AG217" s="0" t="inlineStr">
        <is>
          <t>서울시 강동구 양재대로112길 26</t>
        </is>
      </c>
      <c r="AH217" s="0" t="n">
        <v>0</v>
      </c>
      <c r="AI217" s="0" t="n">
        <v>265</v>
      </c>
      <c r="AJ217" s="0" t="n">
        <v>50</v>
      </c>
      <c r="AK217" s="0" t="n">
        <v>15</v>
      </c>
      <c r="AL217" s="0" t="n">
        <v>0.88</v>
      </c>
    </row>
    <row r="218">
      <c r="A218" s="0" t="inlineStr">
        <is>
          <t>[길동]</t>
        </is>
      </c>
      <c r="B218" s="0" t="n">
        <v>15910</v>
      </c>
      <c r="C218" s="0" t="n">
        <v>3</v>
      </c>
      <c r="D218" s="0" t="inlineStr">
        <is>
          <t>광남캐스빌610V</t>
        </is>
      </c>
      <c r="E218" s="0" t="inlineStr">
        <is>
          <t>2003.06.</t>
        </is>
      </c>
      <c r="F218" s="0" t="n">
        <v>17</v>
      </c>
      <c r="G218" s="0" t="n">
        <v>18.36</v>
      </c>
      <c r="H218" s="0" t="n">
        <v>60.71</v>
      </c>
      <c r="I218" s="0" t="n">
        <v>16.31</v>
      </c>
      <c r="J218" s="0" t="n">
        <v>53.94</v>
      </c>
      <c r="K218" s="0" t="n">
        <v>4</v>
      </c>
      <c r="T218" s="0" t="n">
        <v>2</v>
      </c>
      <c r="U218" s="0" t="n">
        <v>1</v>
      </c>
      <c r="V218" s="0" t="inlineStr">
        <is>
          <t>계단식</t>
        </is>
      </c>
      <c r="W218" s="0" t="inlineStr">
        <is>
          <t>60B</t>
        </is>
      </c>
      <c r="X218" s="0" t="n">
        <v>7</v>
      </c>
      <c r="Y218" s="0" t="n">
        <v>6</v>
      </c>
      <c r="Z218" s="0" t="inlineStr">
        <is>
          <t>https://new.land.naver.com/complexes/15910?tab=detail&amp;rf=Y</t>
        </is>
      </c>
      <c r="AA218" s="0" t="inlineStr">
        <is>
          <t>서울시 강동구 길동 410-3</t>
        </is>
      </c>
      <c r="AB218" s="0" t="inlineStr">
        <is>
          <t>서울시</t>
        </is>
      </c>
      <c r="AC218" s="0" t="inlineStr">
        <is>
          <t>강동구</t>
        </is>
      </c>
      <c r="AD218" s="0" t="inlineStr">
        <is>
          <t>길동</t>
        </is>
      </c>
      <c r="AG218" s="0" t="inlineStr">
        <is>
          <t>서울시 강동구 양재대로112길 26</t>
        </is>
      </c>
      <c r="AH218" s="0" t="n">
        <v>0</v>
      </c>
      <c r="AI218" s="0" t="n">
        <v>265</v>
      </c>
      <c r="AJ218" s="0" t="n">
        <v>50</v>
      </c>
      <c r="AK218" s="0" t="n">
        <v>15</v>
      </c>
      <c r="AL218" s="0" t="n">
        <v>0.88</v>
      </c>
    </row>
    <row r="219">
      <c r="A219" s="0" t="inlineStr">
        <is>
          <t>[길동]</t>
        </is>
      </c>
      <c r="B219" s="0" t="n">
        <v>15910</v>
      </c>
      <c r="C219" s="0" t="n">
        <v>4</v>
      </c>
      <c r="D219" s="0" t="inlineStr">
        <is>
          <t>광남캐스빌610V</t>
        </is>
      </c>
      <c r="E219" s="0" t="inlineStr">
        <is>
          <t>2003.06.</t>
        </is>
      </c>
      <c r="F219" s="0" t="n">
        <v>17</v>
      </c>
      <c r="G219" s="0" t="n">
        <v>23.66</v>
      </c>
      <c r="H219" s="0" t="n">
        <v>78.23999999999999</v>
      </c>
      <c r="I219" s="0" t="n">
        <v>21.02</v>
      </c>
      <c r="J219" s="0" t="n">
        <v>69.52</v>
      </c>
      <c r="K219" s="0" t="n">
        <v>1</v>
      </c>
      <c r="T219" s="0" t="n">
        <v>3</v>
      </c>
      <c r="U219" s="0" t="n">
        <v>1</v>
      </c>
      <c r="V219" s="0" t="inlineStr">
        <is>
          <t>계단식</t>
        </is>
      </c>
      <c r="W219" s="0" t="n">
        <v>78</v>
      </c>
      <c r="X219" s="0" t="n">
        <v>7</v>
      </c>
      <c r="Y219" s="0" t="n">
        <v>6</v>
      </c>
      <c r="Z219" s="0" t="inlineStr">
        <is>
          <t>https://new.land.naver.com/complexes/15910?tab=detail&amp;rf=Y</t>
        </is>
      </c>
      <c r="AA219" s="0" t="inlineStr">
        <is>
          <t>서울시 강동구 길동 410-3</t>
        </is>
      </c>
      <c r="AB219" s="0" t="inlineStr">
        <is>
          <t>서울시</t>
        </is>
      </c>
      <c r="AC219" s="0" t="inlineStr">
        <is>
          <t>강동구</t>
        </is>
      </c>
      <c r="AD219" s="0" t="inlineStr">
        <is>
          <t>길동</t>
        </is>
      </c>
      <c r="AG219" s="0" t="inlineStr">
        <is>
          <t>서울시 강동구 양재대로112길 26</t>
        </is>
      </c>
      <c r="AH219" s="0" t="n">
        <v>0</v>
      </c>
      <c r="AI219" s="0" t="n">
        <v>265</v>
      </c>
      <c r="AJ219" s="0" t="n">
        <v>50</v>
      </c>
      <c r="AK219" s="0" t="n">
        <v>15</v>
      </c>
      <c r="AL219" s="0" t="n">
        <v>0.88</v>
      </c>
    </row>
    <row r="220">
      <c r="A220" s="0" t="inlineStr">
        <is>
          <t>[길동]</t>
        </is>
      </c>
      <c r="B220" s="0" t="n">
        <v>15910</v>
      </c>
      <c r="C220" s="0" t="n">
        <v>5</v>
      </c>
      <c r="D220" s="0" t="inlineStr">
        <is>
          <t>광남캐스빌610V</t>
        </is>
      </c>
      <c r="E220" s="0" t="inlineStr">
        <is>
          <t>2003.06.</t>
        </is>
      </c>
      <c r="F220" s="0" t="n">
        <v>17</v>
      </c>
      <c r="G220" s="0" t="n">
        <v>25.02</v>
      </c>
      <c r="H220" s="0" t="n">
        <v>82.73999999999999</v>
      </c>
      <c r="I220" s="0" t="n">
        <v>22.24</v>
      </c>
      <c r="J220" s="0" t="n">
        <v>73.53</v>
      </c>
      <c r="K220" s="0" t="n">
        <v>1</v>
      </c>
      <c r="T220" s="0" t="n">
        <v>3</v>
      </c>
      <c r="U220" s="0" t="n">
        <v>2</v>
      </c>
      <c r="V220" s="0" t="inlineStr">
        <is>
          <t>복도식</t>
        </is>
      </c>
      <c r="W220" s="0" t="n">
        <v>82</v>
      </c>
      <c r="X220" s="0" t="n">
        <v>7</v>
      </c>
      <c r="Y220" s="0" t="n">
        <v>6</v>
      </c>
      <c r="Z220" s="0" t="inlineStr">
        <is>
          <t>https://new.land.naver.com/complexes/15910?tab=detail&amp;rf=Y</t>
        </is>
      </c>
      <c r="AA220" s="0" t="inlineStr">
        <is>
          <t>서울시 강동구 길동 410-3</t>
        </is>
      </c>
      <c r="AB220" s="0" t="inlineStr">
        <is>
          <t>서울시</t>
        </is>
      </c>
      <c r="AC220" s="0" t="inlineStr">
        <is>
          <t>강동구</t>
        </is>
      </c>
      <c r="AD220" s="0" t="inlineStr">
        <is>
          <t>길동</t>
        </is>
      </c>
      <c r="AG220" s="0" t="inlineStr">
        <is>
          <t>서울시 강동구 양재대로112길 26</t>
        </is>
      </c>
      <c r="AH220" s="0" t="n">
        <v>0</v>
      </c>
      <c r="AI220" s="0" t="n">
        <v>265</v>
      </c>
      <c r="AJ220" s="0" t="n">
        <v>50</v>
      </c>
      <c r="AK220" s="0" t="n">
        <v>15</v>
      </c>
      <c r="AL220" s="0" t="n">
        <v>0.88</v>
      </c>
    </row>
    <row r="221">
      <c r="A221" s="0" t="inlineStr">
        <is>
          <t>[길동]</t>
        </is>
      </c>
      <c r="B221" s="0" t="n">
        <v>15910</v>
      </c>
      <c r="C221" s="0" t="n">
        <v>6</v>
      </c>
      <c r="D221" s="0" t="inlineStr">
        <is>
          <t>광남캐스빌610V</t>
        </is>
      </c>
      <c r="E221" s="0" t="inlineStr">
        <is>
          <t>2003.06.</t>
        </is>
      </c>
      <c r="F221" s="0" t="n">
        <v>17</v>
      </c>
      <c r="G221" s="0" t="n">
        <v>25.83</v>
      </c>
      <c r="H221" s="0" t="n">
        <v>85.42</v>
      </c>
      <c r="I221" s="0" t="n">
        <v>22.96</v>
      </c>
      <c r="J221" s="0" t="n">
        <v>75.91</v>
      </c>
      <c r="K221" s="0" t="n">
        <v>4</v>
      </c>
      <c r="T221" s="0" t="n">
        <v>3</v>
      </c>
      <c r="U221" s="0" t="n">
        <v>2</v>
      </c>
      <c r="V221" s="0" t="inlineStr">
        <is>
          <t>계단식</t>
        </is>
      </c>
      <c r="W221" s="0" t="inlineStr">
        <is>
          <t>85A</t>
        </is>
      </c>
      <c r="X221" s="0" t="n">
        <v>7</v>
      </c>
      <c r="Y221" s="0" t="n">
        <v>6</v>
      </c>
      <c r="Z221" s="0" t="inlineStr">
        <is>
          <t>https://new.land.naver.com/complexes/15910?tab=detail&amp;rf=Y</t>
        </is>
      </c>
      <c r="AA221" s="0" t="inlineStr">
        <is>
          <t>서울시 강동구 길동 410-3</t>
        </is>
      </c>
      <c r="AB221" s="0" t="inlineStr">
        <is>
          <t>서울시</t>
        </is>
      </c>
      <c r="AC221" s="0" t="inlineStr">
        <is>
          <t>강동구</t>
        </is>
      </c>
      <c r="AD221" s="0" t="inlineStr">
        <is>
          <t>길동</t>
        </is>
      </c>
      <c r="AG221" s="0" t="inlineStr">
        <is>
          <t>서울시 강동구 양재대로112길 26</t>
        </is>
      </c>
      <c r="AH221" s="0" t="n">
        <v>0</v>
      </c>
      <c r="AI221" s="0" t="n">
        <v>265</v>
      </c>
      <c r="AJ221" s="0" t="n">
        <v>50</v>
      </c>
      <c r="AK221" s="0" t="n">
        <v>15</v>
      </c>
      <c r="AL221" s="0" t="n">
        <v>0.88</v>
      </c>
    </row>
    <row r="222">
      <c r="A222" s="0" t="inlineStr">
        <is>
          <t>[길동]</t>
        </is>
      </c>
      <c r="B222" s="0" t="n">
        <v>15910</v>
      </c>
      <c r="C222" s="0" t="n">
        <v>7</v>
      </c>
      <c r="D222" s="0" t="inlineStr">
        <is>
          <t>광남캐스빌610V</t>
        </is>
      </c>
      <c r="E222" s="0" t="inlineStr">
        <is>
          <t>2003.06.</t>
        </is>
      </c>
      <c r="F222" s="0" t="n">
        <v>17</v>
      </c>
      <c r="G222" s="0" t="n">
        <v>25.84</v>
      </c>
      <c r="H222" s="0" t="n">
        <v>85.45</v>
      </c>
      <c r="I222" s="0" t="n">
        <v>22.96</v>
      </c>
      <c r="J222" s="0" t="n">
        <v>75.93000000000001</v>
      </c>
      <c r="K222" s="0" t="n">
        <v>4</v>
      </c>
      <c r="T222" s="0" t="n">
        <v>3</v>
      </c>
      <c r="U222" s="0" t="n">
        <v>2</v>
      </c>
      <c r="V222" s="0" t="inlineStr">
        <is>
          <t>계단식</t>
        </is>
      </c>
      <c r="W222" s="0" t="inlineStr">
        <is>
          <t>85B</t>
        </is>
      </c>
      <c r="X222" s="0" t="n">
        <v>7</v>
      </c>
      <c r="Y222" s="0" t="n">
        <v>6</v>
      </c>
      <c r="Z222" s="0" t="inlineStr">
        <is>
          <t>https://new.land.naver.com/complexes/15910?tab=detail&amp;rf=Y</t>
        </is>
      </c>
      <c r="AA222" s="0" t="inlineStr">
        <is>
          <t>서울시 강동구 길동 410-3</t>
        </is>
      </c>
      <c r="AB222" s="0" t="inlineStr">
        <is>
          <t>서울시</t>
        </is>
      </c>
      <c r="AC222" s="0" t="inlineStr">
        <is>
          <t>강동구</t>
        </is>
      </c>
      <c r="AD222" s="0" t="inlineStr">
        <is>
          <t>길동</t>
        </is>
      </c>
      <c r="AG222" s="0" t="inlineStr">
        <is>
          <t>서울시 강동구 양재대로112길 26</t>
        </is>
      </c>
      <c r="AH222" s="0" t="n">
        <v>0</v>
      </c>
      <c r="AI222" s="0" t="n">
        <v>265</v>
      </c>
      <c r="AJ222" s="0" t="n">
        <v>50</v>
      </c>
      <c r="AK222" s="0" t="n">
        <v>15</v>
      </c>
      <c r="AL222" s="0" t="n">
        <v>0.88</v>
      </c>
    </row>
    <row r="223">
      <c r="A223" s="0" t="inlineStr">
        <is>
          <t>[길동]</t>
        </is>
      </c>
      <c r="B223" s="0" t="n">
        <v>15910</v>
      </c>
      <c r="C223" s="0" t="n">
        <v>8</v>
      </c>
      <c r="D223" s="0" t="inlineStr">
        <is>
          <t>광남캐스빌610V</t>
        </is>
      </c>
      <c r="E223" s="0" t="inlineStr">
        <is>
          <t>2003.06.</t>
        </is>
      </c>
      <c r="F223" s="0" t="n">
        <v>17</v>
      </c>
      <c r="G223" s="0" t="n">
        <v>28.89</v>
      </c>
      <c r="H223" s="0" t="n">
        <v>95.52</v>
      </c>
      <c r="I223" s="0" t="n">
        <v>25.67</v>
      </c>
      <c r="J223" s="0" t="n">
        <v>84.88</v>
      </c>
      <c r="K223" s="0" t="n">
        <v>1</v>
      </c>
      <c r="T223" s="0" t="n">
        <v>3</v>
      </c>
      <c r="U223" s="0" t="n">
        <v>2</v>
      </c>
      <c r="V223" s="0" t="inlineStr">
        <is>
          <t>계단식</t>
        </is>
      </c>
      <c r="W223" s="0" t="n">
        <v>95</v>
      </c>
      <c r="X223" s="0" t="n">
        <v>7</v>
      </c>
      <c r="Y223" s="0" t="n">
        <v>6</v>
      </c>
      <c r="Z223" s="0" t="inlineStr">
        <is>
          <t>https://new.land.naver.com/complexes/15910?tab=detail&amp;rf=Y</t>
        </is>
      </c>
      <c r="AA223" s="0" t="inlineStr">
        <is>
          <t>서울시 강동구 길동 410-3</t>
        </is>
      </c>
      <c r="AB223" s="0" t="inlineStr">
        <is>
          <t>서울시</t>
        </is>
      </c>
      <c r="AC223" s="0" t="inlineStr">
        <is>
          <t>강동구</t>
        </is>
      </c>
      <c r="AD223" s="0" t="inlineStr">
        <is>
          <t>길동</t>
        </is>
      </c>
      <c r="AG223" s="0" t="inlineStr">
        <is>
          <t>서울시 강동구 양재대로112길 26</t>
        </is>
      </c>
      <c r="AH223" s="0" t="n">
        <v>0</v>
      </c>
      <c r="AI223" s="0" t="n">
        <v>265</v>
      </c>
      <c r="AJ223" s="0" t="n">
        <v>50</v>
      </c>
      <c r="AK223" s="0" t="n">
        <v>15</v>
      </c>
      <c r="AL223" s="0" t="n">
        <v>0.88</v>
      </c>
    </row>
    <row r="224">
      <c r="A224" s="0" t="inlineStr">
        <is>
          <t>[길동]</t>
        </is>
      </c>
      <c r="B224" s="0" t="n">
        <v>140927</v>
      </c>
      <c r="C224" s="0" t="n">
        <v>1</v>
      </c>
      <c r="D224" s="0" t="inlineStr">
        <is>
          <t>비바체하임(도시형)</t>
        </is>
      </c>
      <c r="E224" s="0" t="inlineStr">
        <is>
          <t>2019.06.</t>
        </is>
      </c>
      <c r="F224" s="0" t="n">
        <v>29</v>
      </c>
      <c r="G224" s="0" t="n">
        <v>9.970000000000001</v>
      </c>
      <c r="H224" s="0" t="n">
        <v>32.96</v>
      </c>
      <c r="I224" s="0" t="n">
        <v>8.789999999999999</v>
      </c>
      <c r="J224" s="0" t="n">
        <v>29.06</v>
      </c>
      <c r="K224" s="0" t="n">
        <v>2</v>
      </c>
      <c r="T224" s="0" t="n">
        <v>1</v>
      </c>
      <c r="U224" s="0" t="n">
        <v>1</v>
      </c>
      <c r="V224" s="0" t="inlineStr">
        <is>
          <t>복도식</t>
        </is>
      </c>
      <c r="W224" s="0" t="n">
        <v>32</v>
      </c>
      <c r="X224" s="0" t="n">
        <v>9</v>
      </c>
      <c r="Y224" s="0" t="n">
        <v>8</v>
      </c>
      <c r="Z224" s="0" t="inlineStr">
        <is>
          <t>https://new.land.naver.com/complexes/140927?tab=detail&amp;rf=Y</t>
        </is>
      </c>
      <c r="AA224" s="0" t="inlineStr">
        <is>
          <t>서울시 강동구 길동 97-5</t>
        </is>
      </c>
      <c r="AB224" s="0" t="inlineStr">
        <is>
          <t>서울시</t>
        </is>
      </c>
      <c r="AC224" s="0" t="inlineStr">
        <is>
          <t>강동구</t>
        </is>
      </c>
      <c r="AD224" s="0" t="inlineStr">
        <is>
          <t>길동</t>
        </is>
      </c>
      <c r="AG224" s="0" t="inlineStr">
        <is>
          <t>서울시 강동구 천중로56길 1</t>
        </is>
      </c>
      <c r="AH224" s="0" t="n">
        <v>0</v>
      </c>
      <c r="AI224" s="0" t="n">
        <v>249</v>
      </c>
      <c r="AJ224" s="0" t="n">
        <v>43</v>
      </c>
      <c r="AK224" s="0" t="n">
        <v>23</v>
      </c>
      <c r="AL224" s="0" t="n">
        <v>0.79</v>
      </c>
    </row>
    <row r="225">
      <c r="A225" s="0" t="inlineStr">
        <is>
          <t>[길동]</t>
        </is>
      </c>
      <c r="B225" s="0" t="n">
        <v>140927</v>
      </c>
      <c r="C225" s="0" t="n">
        <v>2</v>
      </c>
      <c r="D225" s="0" t="inlineStr">
        <is>
          <t>비바체하임(도시형)</t>
        </is>
      </c>
      <c r="E225" s="0" t="inlineStr">
        <is>
          <t>2019.06.</t>
        </is>
      </c>
      <c r="F225" s="0" t="n">
        <v>29</v>
      </c>
      <c r="G225" s="0" t="n">
        <v>10.91</v>
      </c>
      <c r="H225" s="0" t="n">
        <v>36.09</v>
      </c>
      <c r="I225" s="0" t="n">
        <v>9.619999999999999</v>
      </c>
      <c r="J225" s="0" t="n">
        <v>31.82</v>
      </c>
      <c r="K225" s="0" t="n">
        <v>2</v>
      </c>
      <c r="T225" s="0" t="n">
        <v>1</v>
      </c>
      <c r="U225" s="0" t="n">
        <v>1</v>
      </c>
      <c r="V225" s="0" t="inlineStr">
        <is>
          <t>복도식</t>
        </is>
      </c>
      <c r="W225" s="0" t="inlineStr">
        <is>
          <t>36A</t>
        </is>
      </c>
      <c r="X225" s="0" t="n">
        <v>9</v>
      </c>
      <c r="Y225" s="0" t="n">
        <v>8</v>
      </c>
      <c r="Z225" s="0" t="inlineStr">
        <is>
          <t>https://new.land.naver.com/complexes/140927?tab=detail&amp;rf=Y</t>
        </is>
      </c>
      <c r="AA225" s="0" t="inlineStr">
        <is>
          <t>서울시 강동구 길동 97-5</t>
        </is>
      </c>
      <c r="AB225" s="0" t="inlineStr">
        <is>
          <t>서울시</t>
        </is>
      </c>
      <c r="AC225" s="0" t="inlineStr">
        <is>
          <t>강동구</t>
        </is>
      </c>
      <c r="AD225" s="0" t="inlineStr">
        <is>
          <t>길동</t>
        </is>
      </c>
      <c r="AG225" s="0" t="inlineStr">
        <is>
          <t>서울시 강동구 천중로56길 1</t>
        </is>
      </c>
      <c r="AH225" s="0" t="n">
        <v>0</v>
      </c>
      <c r="AI225" s="0" t="n">
        <v>249</v>
      </c>
      <c r="AJ225" s="0" t="n">
        <v>43</v>
      </c>
      <c r="AK225" s="0" t="n">
        <v>23</v>
      </c>
      <c r="AL225" s="0" t="n">
        <v>0.79</v>
      </c>
    </row>
    <row r="226">
      <c r="A226" s="0" t="inlineStr">
        <is>
          <t>[길동]</t>
        </is>
      </c>
      <c r="B226" s="0" t="n">
        <v>140927</v>
      </c>
      <c r="C226" s="0" t="n">
        <v>3</v>
      </c>
      <c r="D226" s="0" t="inlineStr">
        <is>
          <t>비바체하임(도시형)</t>
        </is>
      </c>
      <c r="E226" s="0" t="inlineStr">
        <is>
          <t>2019.06.</t>
        </is>
      </c>
      <c r="F226" s="0" t="n">
        <v>29</v>
      </c>
      <c r="G226" s="0" t="n">
        <v>11.11</v>
      </c>
      <c r="H226" s="0" t="n">
        <v>36.73</v>
      </c>
      <c r="I226" s="0" t="n">
        <v>9.789999999999999</v>
      </c>
      <c r="J226" s="0" t="n">
        <v>32.39</v>
      </c>
      <c r="K226" s="0" t="n">
        <v>2</v>
      </c>
      <c r="T226" s="0" t="n">
        <v>1</v>
      </c>
      <c r="U226" s="0" t="n">
        <v>1</v>
      </c>
      <c r="V226" s="0" t="inlineStr">
        <is>
          <t>복도식</t>
        </is>
      </c>
      <c r="W226" s="0" t="inlineStr">
        <is>
          <t>36B</t>
        </is>
      </c>
      <c r="X226" s="0" t="n">
        <v>9</v>
      </c>
      <c r="Y226" s="0" t="n">
        <v>8</v>
      </c>
      <c r="Z226" s="0" t="inlineStr">
        <is>
          <t>https://new.land.naver.com/complexes/140927?tab=detail&amp;rf=Y</t>
        </is>
      </c>
      <c r="AA226" s="0" t="inlineStr">
        <is>
          <t>서울시 강동구 길동 97-5</t>
        </is>
      </c>
      <c r="AB226" s="0" t="inlineStr">
        <is>
          <t>서울시</t>
        </is>
      </c>
      <c r="AC226" s="0" t="inlineStr">
        <is>
          <t>강동구</t>
        </is>
      </c>
      <c r="AD226" s="0" t="inlineStr">
        <is>
          <t>길동</t>
        </is>
      </c>
      <c r="AG226" s="0" t="inlineStr">
        <is>
          <t>서울시 강동구 천중로56길 1</t>
        </is>
      </c>
      <c r="AH226" s="0" t="n">
        <v>0</v>
      </c>
      <c r="AI226" s="0" t="n">
        <v>249</v>
      </c>
      <c r="AJ226" s="0" t="n">
        <v>43</v>
      </c>
      <c r="AK226" s="0" t="n">
        <v>23</v>
      </c>
      <c r="AL226" s="0" t="n">
        <v>0.79</v>
      </c>
    </row>
    <row r="227">
      <c r="A227" s="0" t="inlineStr">
        <is>
          <t>[길동]</t>
        </is>
      </c>
      <c r="B227" s="0" t="n">
        <v>140927</v>
      </c>
      <c r="C227" s="0" t="n">
        <v>4</v>
      </c>
      <c r="D227" s="0" t="inlineStr">
        <is>
          <t>비바체하임(도시형)</t>
        </is>
      </c>
      <c r="E227" s="0" t="inlineStr">
        <is>
          <t>2019.06.</t>
        </is>
      </c>
      <c r="F227" s="0" t="n">
        <v>29</v>
      </c>
      <c r="G227" s="0" t="n">
        <v>13.24</v>
      </c>
      <c r="H227" s="0" t="n">
        <v>43.77</v>
      </c>
      <c r="I227" s="0" t="n">
        <v>11.67</v>
      </c>
      <c r="J227" s="0" t="n">
        <v>38.6</v>
      </c>
      <c r="K227" s="0" t="n">
        <v>8</v>
      </c>
      <c r="T227" s="0" t="n">
        <v>1</v>
      </c>
      <c r="U227" s="0" t="n">
        <v>1</v>
      </c>
      <c r="V227" s="0" t="inlineStr">
        <is>
          <t>복도식</t>
        </is>
      </c>
      <c r="W227" s="0" t="n">
        <v>43</v>
      </c>
      <c r="X227" s="0" t="n">
        <v>9</v>
      </c>
      <c r="Y227" s="0" t="n">
        <v>8</v>
      </c>
      <c r="Z227" s="0" t="inlineStr">
        <is>
          <t>https://new.land.naver.com/complexes/140927?tab=detail&amp;rf=Y</t>
        </is>
      </c>
      <c r="AA227" s="0" t="inlineStr">
        <is>
          <t>서울시 강동구 길동 97-5</t>
        </is>
      </c>
      <c r="AB227" s="0" t="inlineStr">
        <is>
          <t>서울시</t>
        </is>
      </c>
      <c r="AC227" s="0" t="inlineStr">
        <is>
          <t>강동구</t>
        </is>
      </c>
      <c r="AD227" s="0" t="inlineStr">
        <is>
          <t>길동</t>
        </is>
      </c>
      <c r="AG227" s="0" t="inlineStr">
        <is>
          <t>서울시 강동구 천중로56길 1</t>
        </is>
      </c>
      <c r="AH227" s="0" t="n">
        <v>0</v>
      </c>
      <c r="AI227" s="0" t="n">
        <v>249</v>
      </c>
      <c r="AJ227" s="0" t="n">
        <v>43</v>
      </c>
      <c r="AK227" s="0" t="n">
        <v>23</v>
      </c>
      <c r="AL227" s="0" t="n">
        <v>0.79</v>
      </c>
    </row>
    <row r="228">
      <c r="A228" s="0" t="inlineStr">
        <is>
          <t>[길동]</t>
        </is>
      </c>
      <c r="B228" s="0" t="n">
        <v>140927</v>
      </c>
      <c r="C228" s="0" t="n">
        <v>5</v>
      </c>
      <c r="D228" s="0" t="inlineStr">
        <is>
          <t>비바체하임(도시형)</t>
        </is>
      </c>
      <c r="E228" s="0" t="inlineStr">
        <is>
          <t>2019.06.</t>
        </is>
      </c>
      <c r="F228" s="0" t="n">
        <v>29</v>
      </c>
      <c r="G228" s="0" t="n">
        <v>13.65</v>
      </c>
      <c r="H228" s="0" t="n">
        <v>45.15</v>
      </c>
      <c r="I228" s="0" t="n">
        <v>12.04</v>
      </c>
      <c r="J228" s="0" t="n">
        <v>39.81</v>
      </c>
      <c r="K228" s="0" t="n">
        <v>7</v>
      </c>
      <c r="T228" s="0" t="n">
        <v>1</v>
      </c>
      <c r="U228" s="0" t="n">
        <v>1</v>
      </c>
      <c r="V228" s="0" t="inlineStr">
        <is>
          <t>복도식</t>
        </is>
      </c>
      <c r="W228" s="0" t="inlineStr">
        <is>
          <t>45A</t>
        </is>
      </c>
      <c r="X228" s="0" t="n">
        <v>9</v>
      </c>
      <c r="Y228" s="0" t="n">
        <v>8</v>
      </c>
      <c r="Z228" s="0" t="inlineStr">
        <is>
          <t>https://new.land.naver.com/complexes/140927?tab=detail&amp;rf=Y</t>
        </is>
      </c>
      <c r="AA228" s="0" t="inlineStr">
        <is>
          <t>서울시 강동구 길동 97-5</t>
        </is>
      </c>
      <c r="AB228" s="0" t="inlineStr">
        <is>
          <t>서울시</t>
        </is>
      </c>
      <c r="AC228" s="0" t="inlineStr">
        <is>
          <t>강동구</t>
        </is>
      </c>
      <c r="AD228" s="0" t="inlineStr">
        <is>
          <t>길동</t>
        </is>
      </c>
      <c r="AG228" s="0" t="inlineStr">
        <is>
          <t>서울시 강동구 천중로56길 1</t>
        </is>
      </c>
      <c r="AH228" s="0" t="n">
        <v>0</v>
      </c>
      <c r="AI228" s="0" t="n">
        <v>249</v>
      </c>
      <c r="AJ228" s="0" t="n">
        <v>43</v>
      </c>
      <c r="AK228" s="0" t="n">
        <v>23</v>
      </c>
      <c r="AL228" s="0" t="n">
        <v>0.79</v>
      </c>
    </row>
    <row r="229">
      <c r="A229" s="0" t="inlineStr">
        <is>
          <t>[길동]</t>
        </is>
      </c>
      <c r="B229" s="0" t="n">
        <v>140927</v>
      </c>
      <c r="C229" s="0" t="n">
        <v>6</v>
      </c>
      <c r="D229" s="0" t="inlineStr">
        <is>
          <t>비바체하임(도시형)</t>
        </is>
      </c>
      <c r="E229" s="0" t="inlineStr">
        <is>
          <t>2019.06.</t>
        </is>
      </c>
      <c r="F229" s="0" t="n">
        <v>29</v>
      </c>
      <c r="G229" s="0" t="n">
        <v>14.06</v>
      </c>
      <c r="H229" s="0" t="n">
        <v>46.49</v>
      </c>
      <c r="I229" s="0" t="n">
        <v>12.39</v>
      </c>
      <c r="J229" s="0" t="n">
        <v>40.99</v>
      </c>
      <c r="K229" s="0" t="n">
        <v>8</v>
      </c>
      <c r="T229" s="0" t="n">
        <v>1</v>
      </c>
      <c r="U229" s="0" t="n">
        <v>1</v>
      </c>
      <c r="V229" s="0" t="inlineStr">
        <is>
          <t>복도식</t>
        </is>
      </c>
      <c r="W229" s="0" t="inlineStr">
        <is>
          <t>46B</t>
        </is>
      </c>
      <c r="X229" s="0" t="n">
        <v>9</v>
      </c>
      <c r="Y229" s="0" t="n">
        <v>8</v>
      </c>
      <c r="Z229" s="0" t="inlineStr">
        <is>
          <t>https://new.land.naver.com/complexes/140927?tab=detail&amp;rf=Y</t>
        </is>
      </c>
      <c r="AA229" s="0" t="inlineStr">
        <is>
          <t>서울시 강동구 길동 97-5</t>
        </is>
      </c>
      <c r="AB229" s="0" t="inlineStr">
        <is>
          <t>서울시</t>
        </is>
      </c>
      <c r="AC229" s="0" t="inlineStr">
        <is>
          <t>강동구</t>
        </is>
      </c>
      <c r="AD229" s="0" t="inlineStr">
        <is>
          <t>길동</t>
        </is>
      </c>
      <c r="AG229" s="0" t="inlineStr">
        <is>
          <t>서울시 강동구 천중로56길 1</t>
        </is>
      </c>
      <c r="AH229" s="0" t="n">
        <v>0</v>
      </c>
      <c r="AI229" s="0" t="n">
        <v>249</v>
      </c>
      <c r="AJ229" s="0" t="n">
        <v>43</v>
      </c>
      <c r="AK229" s="0" t="n">
        <v>23</v>
      </c>
      <c r="AL229" s="0" t="n">
        <v>0.79</v>
      </c>
    </row>
    <row r="230">
      <c r="A230" s="0" t="inlineStr">
        <is>
          <t>[길동]</t>
        </is>
      </c>
      <c r="B230" s="0" t="n">
        <v>100575</v>
      </c>
      <c r="C230" s="0" t="n">
        <v>1</v>
      </c>
      <c r="D230" s="0" t="inlineStr">
        <is>
          <t>SM해그린12차</t>
        </is>
      </c>
      <c r="E230" s="0" t="inlineStr">
        <is>
          <t>2006.08.</t>
        </is>
      </c>
      <c r="F230" s="0" t="n">
        <v>47</v>
      </c>
      <c r="G230" s="0" t="n">
        <v>12.47</v>
      </c>
      <c r="H230" s="0" t="n">
        <v>41.25</v>
      </c>
      <c r="I230" s="0" t="n">
        <v>10.04</v>
      </c>
      <c r="J230" s="0" t="n">
        <v>33.21</v>
      </c>
      <c r="K230" s="0" t="n">
        <v>1</v>
      </c>
      <c r="T230" s="0" t="n">
        <v>2</v>
      </c>
      <c r="U230" s="0" t="n">
        <v>1</v>
      </c>
      <c r="V230" s="0" t="inlineStr">
        <is>
          <t>계단식</t>
        </is>
      </c>
      <c r="W230" s="0" t="n">
        <v>41</v>
      </c>
      <c r="X230" s="0" t="n">
        <v>8</v>
      </c>
      <c r="Y230" s="0" t="n">
        <v>8</v>
      </c>
      <c r="Z230" s="0" t="inlineStr">
        <is>
          <t>https://new.land.naver.com/complexes/100575?tab=detail&amp;rf=Y</t>
        </is>
      </c>
      <c r="AA230" s="0" t="inlineStr">
        <is>
          <t>서울시 강동구 길동 97-6</t>
        </is>
      </c>
      <c r="AB230" s="0" t="inlineStr">
        <is>
          <t>서울시</t>
        </is>
      </c>
      <c r="AC230" s="0" t="inlineStr">
        <is>
          <t>강동구</t>
        </is>
      </c>
      <c r="AD230" s="0" t="inlineStr">
        <is>
          <t>길동</t>
        </is>
      </c>
      <c r="AG230" s="0" t="inlineStr">
        <is>
          <t>서울시 강동구 천중로56길 13</t>
        </is>
      </c>
      <c r="AH230" s="0" t="n">
        <v>0</v>
      </c>
      <c r="AI230" s="0" t="n">
        <v>249</v>
      </c>
      <c r="AJ230" s="0" t="n">
        <v>37</v>
      </c>
      <c r="AK230" s="0" t="n">
        <v>50</v>
      </c>
      <c r="AL230" s="0" t="n">
        <v>1.06</v>
      </c>
    </row>
    <row r="231">
      <c r="A231" s="0" t="inlineStr">
        <is>
          <t>[길동]</t>
        </is>
      </c>
      <c r="B231" s="0" t="n">
        <v>100575</v>
      </c>
      <c r="C231" s="0" t="n">
        <v>2</v>
      </c>
      <c r="D231" s="0" t="inlineStr">
        <is>
          <t>SM해그린12차</t>
        </is>
      </c>
      <c r="E231" s="0" t="inlineStr">
        <is>
          <t>2006.08.</t>
        </is>
      </c>
      <c r="F231" s="0" t="n">
        <v>47</v>
      </c>
      <c r="G231" s="0" t="n">
        <v>21.43</v>
      </c>
      <c r="H231" s="0" t="n">
        <v>70.87</v>
      </c>
      <c r="I231" s="0" t="n">
        <v>17.49</v>
      </c>
      <c r="J231" s="0" t="n">
        <v>57.83</v>
      </c>
      <c r="K231" s="0" t="n">
        <v>1</v>
      </c>
      <c r="T231" s="0" t="n">
        <v>3</v>
      </c>
      <c r="U231" s="0" t="n">
        <v>1</v>
      </c>
      <c r="V231" s="0" t="inlineStr">
        <is>
          <t>계단식</t>
        </is>
      </c>
      <c r="W231" s="0" t="n">
        <v>70</v>
      </c>
      <c r="X231" s="0" t="n">
        <v>8</v>
      </c>
      <c r="Y231" s="0" t="n">
        <v>8</v>
      </c>
      <c r="Z231" s="0" t="inlineStr">
        <is>
          <t>https://new.land.naver.com/complexes/100575?tab=detail&amp;rf=Y</t>
        </is>
      </c>
      <c r="AA231" s="0" t="inlineStr">
        <is>
          <t>서울시 강동구 길동 97-6</t>
        </is>
      </c>
      <c r="AB231" s="0" t="inlineStr">
        <is>
          <t>서울시</t>
        </is>
      </c>
      <c r="AC231" s="0" t="inlineStr">
        <is>
          <t>강동구</t>
        </is>
      </c>
      <c r="AD231" s="0" t="inlineStr">
        <is>
          <t>길동</t>
        </is>
      </c>
      <c r="AG231" s="0" t="inlineStr">
        <is>
          <t>서울시 강동구 천중로56길 13</t>
        </is>
      </c>
      <c r="AH231" s="0" t="n">
        <v>0</v>
      </c>
      <c r="AI231" s="0" t="n">
        <v>249</v>
      </c>
      <c r="AJ231" s="0" t="n">
        <v>37</v>
      </c>
      <c r="AK231" s="0" t="n">
        <v>50</v>
      </c>
      <c r="AL231" s="0" t="n">
        <v>1.06</v>
      </c>
    </row>
    <row r="232">
      <c r="A232" s="0" t="inlineStr">
        <is>
          <t>[길동]</t>
        </is>
      </c>
      <c r="B232" s="0" t="n">
        <v>100575</v>
      </c>
      <c r="C232" s="0" t="n">
        <v>3</v>
      </c>
      <c r="D232" s="0" t="inlineStr">
        <is>
          <t>SM해그린12차</t>
        </is>
      </c>
      <c r="E232" s="0" t="inlineStr">
        <is>
          <t>2006.08.</t>
        </is>
      </c>
      <c r="F232" s="0" t="n">
        <v>47</v>
      </c>
      <c r="G232" s="0" t="n">
        <v>22.47</v>
      </c>
      <c r="H232" s="0" t="n">
        <v>74.29000000000001</v>
      </c>
      <c r="I232" s="0" t="n">
        <v>18.34</v>
      </c>
      <c r="J232" s="0" t="n">
        <v>60.66</v>
      </c>
      <c r="K232" s="0" t="n">
        <v>5</v>
      </c>
      <c r="T232" s="0" t="n">
        <v>3</v>
      </c>
      <c r="U232" s="0" t="n">
        <v>1</v>
      </c>
      <c r="V232" s="0" t="inlineStr">
        <is>
          <t>계단식</t>
        </is>
      </c>
      <c r="W232" s="0" t="n">
        <v>74</v>
      </c>
      <c r="X232" s="0" t="n">
        <v>8</v>
      </c>
      <c r="Y232" s="0" t="n">
        <v>8</v>
      </c>
      <c r="Z232" s="0" t="inlineStr">
        <is>
          <t>https://new.land.naver.com/complexes/100575?tab=detail&amp;rf=Y</t>
        </is>
      </c>
      <c r="AA232" s="0" t="inlineStr">
        <is>
          <t>서울시 강동구 길동 97-6</t>
        </is>
      </c>
      <c r="AB232" s="0" t="inlineStr">
        <is>
          <t>서울시</t>
        </is>
      </c>
      <c r="AC232" s="0" t="inlineStr">
        <is>
          <t>강동구</t>
        </is>
      </c>
      <c r="AD232" s="0" t="inlineStr">
        <is>
          <t>길동</t>
        </is>
      </c>
      <c r="AG232" s="0" t="inlineStr">
        <is>
          <t>서울시 강동구 천중로56길 13</t>
        </is>
      </c>
      <c r="AH232" s="0" t="n">
        <v>0</v>
      </c>
      <c r="AI232" s="0" t="n">
        <v>249</v>
      </c>
      <c r="AJ232" s="0" t="n">
        <v>37</v>
      </c>
      <c r="AK232" s="0" t="n">
        <v>50</v>
      </c>
      <c r="AL232" s="0" t="n">
        <v>1.06</v>
      </c>
    </row>
    <row r="233">
      <c r="A233" s="0" t="inlineStr">
        <is>
          <t>[길동]</t>
        </is>
      </c>
      <c r="B233" s="0" t="n">
        <v>100575</v>
      </c>
      <c r="C233" s="0" t="n">
        <v>4</v>
      </c>
      <c r="D233" s="0" t="inlineStr">
        <is>
          <t>SM해그린12차</t>
        </is>
      </c>
      <c r="E233" s="0" t="inlineStr">
        <is>
          <t>2006.08.</t>
        </is>
      </c>
      <c r="F233" s="0" t="n">
        <v>47</v>
      </c>
      <c r="G233" s="0" t="n">
        <v>26.63</v>
      </c>
      <c r="H233" s="0" t="n">
        <v>88.05</v>
      </c>
      <c r="I233" s="0" t="n">
        <v>21.81</v>
      </c>
      <c r="J233" s="0" t="n">
        <v>72.12</v>
      </c>
      <c r="K233" s="0" t="n">
        <v>1</v>
      </c>
      <c r="T233" s="0" t="n">
        <v>3</v>
      </c>
      <c r="U233" s="0" t="n">
        <v>1</v>
      </c>
      <c r="V233" s="0" t="inlineStr">
        <is>
          <t>계단식</t>
        </is>
      </c>
      <c r="W233" s="0" t="n">
        <v>88</v>
      </c>
      <c r="X233" s="0" t="n">
        <v>8</v>
      </c>
      <c r="Y233" s="0" t="n">
        <v>8</v>
      </c>
      <c r="Z233" s="0" t="inlineStr">
        <is>
          <t>https://new.land.naver.com/complexes/100575?tab=detail&amp;rf=Y</t>
        </is>
      </c>
      <c r="AA233" s="0" t="inlineStr">
        <is>
          <t>서울시 강동구 길동 97-6</t>
        </is>
      </c>
      <c r="AB233" s="0" t="inlineStr">
        <is>
          <t>서울시</t>
        </is>
      </c>
      <c r="AC233" s="0" t="inlineStr">
        <is>
          <t>강동구</t>
        </is>
      </c>
      <c r="AD233" s="0" t="inlineStr">
        <is>
          <t>길동</t>
        </is>
      </c>
      <c r="AG233" s="0" t="inlineStr">
        <is>
          <t>서울시 강동구 천중로56길 13</t>
        </is>
      </c>
      <c r="AH233" s="0" t="n">
        <v>0</v>
      </c>
      <c r="AI233" s="0" t="n">
        <v>249</v>
      </c>
      <c r="AJ233" s="0" t="n">
        <v>37</v>
      </c>
      <c r="AK233" s="0" t="n">
        <v>50</v>
      </c>
      <c r="AL233" s="0" t="n">
        <v>1.06</v>
      </c>
    </row>
    <row r="234">
      <c r="A234" s="0" t="inlineStr">
        <is>
          <t>[길동]</t>
        </is>
      </c>
      <c r="B234" s="0" t="n">
        <v>100575</v>
      </c>
      <c r="C234" s="0" t="n">
        <v>5</v>
      </c>
      <c r="D234" s="0" t="inlineStr">
        <is>
          <t>SM해그린12차</t>
        </is>
      </c>
      <c r="E234" s="0" t="inlineStr">
        <is>
          <t>2006.08.</t>
        </is>
      </c>
      <c r="F234" s="0" t="n">
        <v>47</v>
      </c>
      <c r="G234" s="0" t="n">
        <v>29.71</v>
      </c>
      <c r="H234" s="0" t="n">
        <v>98.23999999999999</v>
      </c>
      <c r="I234" s="0" t="n">
        <v>24.44</v>
      </c>
      <c r="J234" s="0" t="n">
        <v>80.81999999999999</v>
      </c>
      <c r="K234" s="0" t="n">
        <v>5</v>
      </c>
      <c r="T234" s="0" t="n">
        <v>3</v>
      </c>
      <c r="U234" s="0" t="n">
        <v>2</v>
      </c>
      <c r="V234" s="0" t="inlineStr">
        <is>
          <t>계단식</t>
        </is>
      </c>
      <c r="W234" s="0" t="n">
        <v>98</v>
      </c>
      <c r="X234" s="0" t="n">
        <v>8</v>
      </c>
      <c r="Y234" s="0" t="n">
        <v>8</v>
      </c>
      <c r="Z234" s="0" t="inlineStr">
        <is>
          <t>https://new.land.naver.com/complexes/100575?tab=detail&amp;rf=Y</t>
        </is>
      </c>
      <c r="AA234" s="0" t="inlineStr">
        <is>
          <t>서울시 강동구 길동 97-6</t>
        </is>
      </c>
      <c r="AB234" s="0" t="inlineStr">
        <is>
          <t>서울시</t>
        </is>
      </c>
      <c r="AC234" s="0" t="inlineStr">
        <is>
          <t>강동구</t>
        </is>
      </c>
      <c r="AD234" s="0" t="inlineStr">
        <is>
          <t>길동</t>
        </is>
      </c>
      <c r="AG234" s="0" t="inlineStr">
        <is>
          <t>서울시 강동구 천중로56길 13</t>
        </is>
      </c>
      <c r="AH234" s="0" t="n">
        <v>0</v>
      </c>
      <c r="AI234" s="0" t="n">
        <v>249</v>
      </c>
      <c r="AJ234" s="0" t="n">
        <v>37</v>
      </c>
      <c r="AK234" s="0" t="n">
        <v>50</v>
      </c>
      <c r="AL234" s="0" t="n">
        <v>1.06</v>
      </c>
    </row>
    <row r="235">
      <c r="A235" s="0" t="inlineStr">
        <is>
          <t>[길동]</t>
        </is>
      </c>
      <c r="B235" s="0" t="n">
        <v>100575</v>
      </c>
      <c r="C235" s="0" t="n">
        <v>6</v>
      </c>
      <c r="D235" s="0" t="inlineStr">
        <is>
          <t>SM해그린12차</t>
        </is>
      </c>
      <c r="E235" s="0" t="inlineStr">
        <is>
          <t>2006.08.</t>
        </is>
      </c>
      <c r="F235" s="0" t="n">
        <v>47</v>
      </c>
      <c r="G235" s="0" t="n">
        <v>31.13</v>
      </c>
      <c r="H235" s="0" t="n">
        <v>102.91</v>
      </c>
      <c r="I235" s="0" t="n">
        <v>25.57</v>
      </c>
      <c r="J235" s="0" t="n">
        <v>84.56</v>
      </c>
      <c r="K235" s="0" t="n">
        <v>34</v>
      </c>
      <c r="T235" s="0" t="n">
        <v>3</v>
      </c>
      <c r="U235" s="0" t="n">
        <v>2</v>
      </c>
      <c r="V235" s="0" t="inlineStr">
        <is>
          <t>계단식</t>
        </is>
      </c>
      <c r="W235" s="0" t="n">
        <v>102</v>
      </c>
      <c r="X235" s="0" t="n">
        <v>8</v>
      </c>
      <c r="Y235" s="0" t="n">
        <v>8</v>
      </c>
      <c r="Z235" s="0" t="inlineStr">
        <is>
          <t>https://new.land.naver.com/complexes/100575?tab=detail&amp;rf=Y</t>
        </is>
      </c>
      <c r="AA235" s="0" t="inlineStr">
        <is>
          <t>서울시 강동구 길동 97-6</t>
        </is>
      </c>
      <c r="AB235" s="0" t="inlineStr">
        <is>
          <t>서울시</t>
        </is>
      </c>
      <c r="AC235" s="0" t="inlineStr">
        <is>
          <t>강동구</t>
        </is>
      </c>
      <c r="AD235" s="0" t="inlineStr">
        <is>
          <t>길동</t>
        </is>
      </c>
      <c r="AG235" s="0" t="inlineStr">
        <is>
          <t>서울시 강동구 천중로56길 13</t>
        </is>
      </c>
      <c r="AH235" s="0" t="n">
        <v>0</v>
      </c>
      <c r="AI235" s="0" t="n">
        <v>249</v>
      </c>
      <c r="AJ235" s="0" t="n">
        <v>37</v>
      </c>
      <c r="AK235" s="0" t="n">
        <v>50</v>
      </c>
      <c r="AL235" s="0" t="n">
        <v>1.06</v>
      </c>
    </row>
    <row r="236">
      <c r="A236" s="0" t="inlineStr">
        <is>
          <t>[길동]</t>
        </is>
      </c>
      <c r="B236" s="0" t="n">
        <v>14092</v>
      </c>
      <c r="C236" s="0" t="n">
        <v>1</v>
      </c>
      <c r="D236" s="0" t="inlineStr">
        <is>
          <t>광남(380-18)</t>
        </is>
      </c>
      <c r="E236" s="0" t="inlineStr">
        <is>
          <t>2003.10.</t>
        </is>
      </c>
      <c r="F236" s="0" t="n">
        <v>32</v>
      </c>
      <c r="G236" s="0" t="n">
        <v>24.29</v>
      </c>
      <c r="H236" s="0" t="n">
        <v>80.31</v>
      </c>
      <c r="I236" s="0" t="n">
        <v>20.75</v>
      </c>
      <c r="J236" s="0" t="n">
        <v>68.59999999999999</v>
      </c>
      <c r="K236" s="0" t="n">
        <v>1</v>
      </c>
      <c r="T236" s="0" t="n">
        <v>3</v>
      </c>
      <c r="U236" s="0" t="n">
        <v>1</v>
      </c>
      <c r="V236" s="0" t="inlineStr">
        <is>
          <t>계단식</t>
        </is>
      </c>
      <c r="W236" s="0" t="n">
        <v>80</v>
      </c>
      <c r="X236" s="0" t="n">
        <v>7</v>
      </c>
      <c r="Y236" s="0" t="n">
        <v>7</v>
      </c>
      <c r="Z236" s="0" t="inlineStr">
        <is>
          <t>https://new.land.naver.com/complexes/14092?tab=detail&amp;rf=Y</t>
        </is>
      </c>
      <c r="AA236" s="0" t="inlineStr">
        <is>
          <t>서울시 강동구 길동 380-18</t>
        </is>
      </c>
      <c r="AB236" s="0" t="inlineStr">
        <is>
          <t>서울시</t>
        </is>
      </c>
      <c r="AC236" s="0" t="inlineStr">
        <is>
          <t>강동구</t>
        </is>
      </c>
      <c r="AD236" s="0" t="inlineStr">
        <is>
          <t>길동</t>
        </is>
      </c>
      <c r="AG236" s="0" t="inlineStr">
        <is>
          <t>서울시 강동구 천중로42길 58</t>
        </is>
      </c>
      <c r="AH236" s="0" t="n">
        <v>0</v>
      </c>
      <c r="AI236" s="0" t="n">
        <v>230</v>
      </c>
      <c r="AJ236" s="0" t="n">
        <v>38</v>
      </c>
      <c r="AK236" s="0" t="n">
        <v>0</v>
      </c>
      <c r="AL236" s="0" t="n">
        <v>0</v>
      </c>
    </row>
    <row r="237">
      <c r="A237" s="0" t="inlineStr">
        <is>
          <t>[길동]</t>
        </is>
      </c>
      <c r="B237" s="0" t="n">
        <v>14092</v>
      </c>
      <c r="C237" s="0" t="n">
        <v>2</v>
      </c>
      <c r="D237" s="0" t="inlineStr">
        <is>
          <t>광남(380-18)</t>
        </is>
      </c>
      <c r="E237" s="0" t="inlineStr">
        <is>
          <t>2003.10.</t>
        </is>
      </c>
      <c r="F237" s="0" t="n">
        <v>32</v>
      </c>
      <c r="G237" s="0" t="n">
        <v>26.25</v>
      </c>
      <c r="H237" s="0" t="n">
        <v>86.78</v>
      </c>
      <c r="I237" s="0" t="n">
        <v>22.42</v>
      </c>
      <c r="J237" s="0" t="n">
        <v>74.13</v>
      </c>
      <c r="K237" s="0" t="n">
        <v>1</v>
      </c>
      <c r="T237" s="0" t="n">
        <v>3</v>
      </c>
      <c r="U237" s="0" t="n">
        <v>2</v>
      </c>
      <c r="V237" s="0" t="inlineStr">
        <is>
          <t>계단식</t>
        </is>
      </c>
      <c r="W237" s="0" t="n">
        <v>86</v>
      </c>
      <c r="X237" s="0" t="n">
        <v>7</v>
      </c>
      <c r="Y237" s="0" t="n">
        <v>7</v>
      </c>
      <c r="Z237" s="0" t="inlineStr">
        <is>
          <t>https://new.land.naver.com/complexes/14092?tab=detail&amp;rf=Y</t>
        </is>
      </c>
      <c r="AA237" s="0" t="inlineStr">
        <is>
          <t>서울시 강동구 길동 380-18</t>
        </is>
      </c>
      <c r="AB237" s="0" t="inlineStr">
        <is>
          <t>서울시</t>
        </is>
      </c>
      <c r="AC237" s="0" t="inlineStr">
        <is>
          <t>강동구</t>
        </is>
      </c>
      <c r="AD237" s="0" t="inlineStr">
        <is>
          <t>길동</t>
        </is>
      </c>
      <c r="AG237" s="0" t="inlineStr">
        <is>
          <t>서울시 강동구 천중로42길 58</t>
        </is>
      </c>
      <c r="AH237" s="0" t="n">
        <v>0</v>
      </c>
      <c r="AI237" s="0" t="n">
        <v>230</v>
      </c>
      <c r="AJ237" s="0" t="n">
        <v>38</v>
      </c>
      <c r="AK237" s="0" t="n">
        <v>0</v>
      </c>
      <c r="AL237" s="0" t="n">
        <v>0</v>
      </c>
    </row>
    <row r="238">
      <c r="A238" s="0" t="inlineStr">
        <is>
          <t>[길동]</t>
        </is>
      </c>
      <c r="B238" s="0" t="n">
        <v>14092</v>
      </c>
      <c r="C238" s="0" t="n">
        <v>3</v>
      </c>
      <c r="D238" s="0" t="inlineStr">
        <is>
          <t>광남(380-18)</t>
        </is>
      </c>
      <c r="E238" s="0" t="inlineStr">
        <is>
          <t>2003.10.</t>
        </is>
      </c>
      <c r="F238" s="0" t="n">
        <v>32</v>
      </c>
      <c r="G238" s="0" t="n">
        <v>28.01</v>
      </c>
      <c r="H238" s="0" t="n">
        <v>92.61</v>
      </c>
      <c r="I238" s="0" t="n">
        <v>23.92</v>
      </c>
      <c r="J238" s="0" t="n">
        <v>79.09999999999999</v>
      </c>
      <c r="K238" s="0" t="n">
        <v>1</v>
      </c>
      <c r="T238" s="0" t="n">
        <v>3</v>
      </c>
      <c r="U238" s="0" t="n">
        <v>2</v>
      </c>
      <c r="V238" s="0" t="inlineStr">
        <is>
          <t>계단식</t>
        </is>
      </c>
      <c r="W238" s="0" t="n">
        <v>92</v>
      </c>
      <c r="X238" s="0" t="n">
        <v>7</v>
      </c>
      <c r="Y238" s="0" t="n">
        <v>7</v>
      </c>
      <c r="Z238" s="0" t="inlineStr">
        <is>
          <t>https://new.land.naver.com/complexes/14092?tab=detail&amp;rf=Y</t>
        </is>
      </c>
      <c r="AA238" s="0" t="inlineStr">
        <is>
          <t>서울시 강동구 길동 380-18</t>
        </is>
      </c>
      <c r="AB238" s="0" t="inlineStr">
        <is>
          <t>서울시</t>
        </is>
      </c>
      <c r="AC238" s="0" t="inlineStr">
        <is>
          <t>강동구</t>
        </is>
      </c>
      <c r="AD238" s="0" t="inlineStr">
        <is>
          <t>길동</t>
        </is>
      </c>
      <c r="AG238" s="0" t="inlineStr">
        <is>
          <t>서울시 강동구 천중로42길 58</t>
        </is>
      </c>
      <c r="AH238" s="0" t="n">
        <v>0</v>
      </c>
      <c r="AI238" s="0" t="n">
        <v>230</v>
      </c>
      <c r="AJ238" s="0" t="n">
        <v>38</v>
      </c>
      <c r="AK238" s="0" t="n">
        <v>0</v>
      </c>
      <c r="AL238" s="0" t="n">
        <v>0</v>
      </c>
    </row>
    <row r="239">
      <c r="A239" s="0" t="inlineStr">
        <is>
          <t>[길동]</t>
        </is>
      </c>
      <c r="B239" s="0" t="n">
        <v>14092</v>
      </c>
      <c r="C239" s="0" t="n">
        <v>4</v>
      </c>
      <c r="D239" s="0" t="inlineStr">
        <is>
          <t>광남(380-18)</t>
        </is>
      </c>
      <c r="E239" s="0" t="inlineStr">
        <is>
          <t>2003.10.</t>
        </is>
      </c>
      <c r="F239" s="0" t="n">
        <v>32</v>
      </c>
      <c r="G239" s="0" t="n">
        <v>28.89</v>
      </c>
      <c r="H239" s="0" t="n">
        <v>95.53</v>
      </c>
      <c r="I239" s="0" t="n">
        <v>25.3</v>
      </c>
      <c r="J239" s="0" t="n">
        <v>83.65000000000001</v>
      </c>
      <c r="K239" s="0" t="n">
        <v>1</v>
      </c>
      <c r="T239" s="0" t="n">
        <v>3</v>
      </c>
      <c r="U239" s="0" t="n">
        <v>2</v>
      </c>
      <c r="V239" s="0" t="inlineStr">
        <is>
          <t>계단식</t>
        </is>
      </c>
      <c r="W239" s="0" t="inlineStr">
        <is>
          <t>95A</t>
        </is>
      </c>
      <c r="X239" s="0" t="n">
        <v>7</v>
      </c>
      <c r="Y239" s="0" t="n">
        <v>7</v>
      </c>
      <c r="Z239" s="0" t="inlineStr">
        <is>
          <t>https://new.land.naver.com/complexes/14092?tab=detail&amp;rf=Y</t>
        </is>
      </c>
      <c r="AA239" s="0" t="inlineStr">
        <is>
          <t>서울시 강동구 길동 380-18</t>
        </is>
      </c>
      <c r="AB239" s="0" t="inlineStr">
        <is>
          <t>서울시</t>
        </is>
      </c>
      <c r="AC239" s="0" t="inlineStr">
        <is>
          <t>강동구</t>
        </is>
      </c>
      <c r="AD239" s="0" t="inlineStr">
        <is>
          <t>길동</t>
        </is>
      </c>
      <c r="AG239" s="0" t="inlineStr">
        <is>
          <t>서울시 강동구 천중로42길 58</t>
        </is>
      </c>
      <c r="AH239" s="0" t="n">
        <v>0</v>
      </c>
      <c r="AI239" s="0" t="n">
        <v>230</v>
      </c>
      <c r="AJ239" s="0" t="n">
        <v>38</v>
      </c>
      <c r="AK239" s="0" t="n">
        <v>0</v>
      </c>
      <c r="AL239" s="0" t="n">
        <v>0</v>
      </c>
    </row>
    <row r="240">
      <c r="A240" s="0" t="inlineStr">
        <is>
          <t>[길동]</t>
        </is>
      </c>
      <c r="B240" s="0" t="n">
        <v>14092</v>
      </c>
      <c r="C240" s="0" t="n">
        <v>5</v>
      </c>
      <c r="D240" s="0" t="inlineStr">
        <is>
          <t>광남(380-18)</t>
        </is>
      </c>
      <c r="E240" s="0" t="inlineStr">
        <is>
          <t>2003.10.</t>
        </is>
      </c>
      <c r="F240" s="0" t="n">
        <v>32</v>
      </c>
      <c r="G240" s="0" t="n">
        <v>29.37</v>
      </c>
      <c r="H240" s="0" t="n">
        <v>97.09999999999999</v>
      </c>
      <c r="I240" s="0" t="n">
        <v>25.7</v>
      </c>
      <c r="J240" s="0" t="n">
        <v>84.97</v>
      </c>
      <c r="K240" s="0" t="n">
        <v>12</v>
      </c>
      <c r="T240" s="0" t="n">
        <v>3</v>
      </c>
      <c r="U240" s="0" t="n">
        <v>2</v>
      </c>
      <c r="V240" s="0" t="inlineStr">
        <is>
          <t>계단식</t>
        </is>
      </c>
      <c r="W240" s="0" t="inlineStr">
        <is>
          <t>97B</t>
        </is>
      </c>
      <c r="X240" s="0" t="n">
        <v>7</v>
      </c>
      <c r="Y240" s="0" t="n">
        <v>7</v>
      </c>
      <c r="Z240" s="0" t="inlineStr">
        <is>
          <t>https://new.land.naver.com/complexes/14092?tab=detail&amp;rf=Y</t>
        </is>
      </c>
      <c r="AA240" s="0" t="inlineStr">
        <is>
          <t>서울시 강동구 길동 380-18</t>
        </is>
      </c>
      <c r="AB240" s="0" t="inlineStr">
        <is>
          <t>서울시</t>
        </is>
      </c>
      <c r="AC240" s="0" t="inlineStr">
        <is>
          <t>강동구</t>
        </is>
      </c>
      <c r="AD240" s="0" t="inlineStr">
        <is>
          <t>길동</t>
        </is>
      </c>
      <c r="AG240" s="0" t="inlineStr">
        <is>
          <t>서울시 강동구 천중로42길 58</t>
        </is>
      </c>
      <c r="AH240" s="0" t="n">
        <v>0</v>
      </c>
      <c r="AI240" s="0" t="n">
        <v>230</v>
      </c>
      <c r="AJ240" s="0" t="n">
        <v>38</v>
      </c>
      <c r="AK240" s="0" t="n">
        <v>0</v>
      </c>
      <c r="AL240" s="0" t="n">
        <v>0</v>
      </c>
    </row>
    <row r="241">
      <c r="A241" s="0" t="inlineStr">
        <is>
          <t>[길동]</t>
        </is>
      </c>
      <c r="B241" s="0" t="n">
        <v>14092</v>
      </c>
      <c r="C241" s="0" t="n">
        <v>6</v>
      </c>
      <c r="D241" s="0" t="inlineStr">
        <is>
          <t>광남(380-18)</t>
        </is>
      </c>
      <c r="E241" s="0" t="inlineStr">
        <is>
          <t>2003.10.</t>
        </is>
      </c>
      <c r="F241" s="0" t="n">
        <v>32</v>
      </c>
      <c r="G241" s="0" t="n">
        <v>30.08</v>
      </c>
      <c r="H241" s="0" t="n">
        <v>99.47</v>
      </c>
      <c r="I241" s="0" t="n">
        <v>25.7</v>
      </c>
      <c r="J241" s="0" t="n">
        <v>84.98</v>
      </c>
      <c r="K241" s="0" t="n">
        <v>16</v>
      </c>
      <c r="T241" s="0" t="n">
        <v>3</v>
      </c>
      <c r="U241" s="0" t="n">
        <v>2</v>
      </c>
      <c r="V241" s="0" t="inlineStr">
        <is>
          <t>계단식</t>
        </is>
      </c>
      <c r="W241" s="0" t="n">
        <v>99</v>
      </c>
      <c r="X241" s="0" t="n">
        <v>7</v>
      </c>
      <c r="Y241" s="0" t="n">
        <v>7</v>
      </c>
      <c r="Z241" s="0" t="inlineStr">
        <is>
          <t>https://new.land.naver.com/complexes/14092?tab=detail&amp;rf=Y</t>
        </is>
      </c>
      <c r="AA241" s="0" t="inlineStr">
        <is>
          <t>서울시 강동구 길동 380-18</t>
        </is>
      </c>
      <c r="AB241" s="0" t="inlineStr">
        <is>
          <t>서울시</t>
        </is>
      </c>
      <c r="AC241" s="0" t="inlineStr">
        <is>
          <t>강동구</t>
        </is>
      </c>
      <c r="AD241" s="0" t="inlineStr">
        <is>
          <t>길동</t>
        </is>
      </c>
      <c r="AG241" s="0" t="inlineStr">
        <is>
          <t>서울시 강동구 천중로42길 58</t>
        </is>
      </c>
      <c r="AH241" s="0" t="n">
        <v>0</v>
      </c>
      <c r="AI241" s="0" t="n">
        <v>230</v>
      </c>
      <c r="AJ241" s="0" t="n">
        <v>38</v>
      </c>
      <c r="AK241" s="0" t="n">
        <v>0</v>
      </c>
      <c r="AL241" s="0" t="n">
        <v>0</v>
      </c>
    </row>
    <row r="242">
      <c r="A242" s="0" t="inlineStr">
        <is>
          <t>[길동]</t>
        </is>
      </c>
      <c r="B242" s="0" t="n">
        <v>10069</v>
      </c>
      <c r="C242" s="0" t="n">
        <v>1</v>
      </c>
      <c r="D242" s="0" t="inlineStr">
        <is>
          <t>희훈리치파크</t>
        </is>
      </c>
      <c r="E242" s="0" t="inlineStr">
        <is>
          <t>2002.12.</t>
        </is>
      </c>
      <c r="F242" s="0" t="n">
        <v>102</v>
      </c>
      <c r="G242" s="0" t="n">
        <v>28.35</v>
      </c>
      <c r="H242" s="0" t="n">
        <v>93.73</v>
      </c>
      <c r="I242" s="0" t="n">
        <v>22.48</v>
      </c>
      <c r="J242" s="0" t="n">
        <v>74.34</v>
      </c>
      <c r="K242" s="0" t="n">
        <v>2</v>
      </c>
      <c r="T242" s="0" t="n">
        <v>3</v>
      </c>
      <c r="U242" s="0" t="n">
        <v>2</v>
      </c>
      <c r="V242" s="0" t="inlineStr">
        <is>
          <t>계단식</t>
        </is>
      </c>
      <c r="W242" s="0" t="n">
        <v>93</v>
      </c>
      <c r="X242" s="0" t="n">
        <v>15</v>
      </c>
      <c r="Y242" s="0" t="n">
        <v>5</v>
      </c>
      <c r="Z242" s="0" t="inlineStr">
        <is>
          <t>https://new.land.naver.com/complexes/10069?tab=detail&amp;rf=Y</t>
        </is>
      </c>
      <c r="AA242" s="0" t="inlineStr">
        <is>
          <t>서울시 강동구 길동 472</t>
        </is>
      </c>
      <c r="AB242" s="0" t="inlineStr">
        <is>
          <t>서울시</t>
        </is>
      </c>
      <c r="AC242" s="0" t="inlineStr">
        <is>
          <t>강동구</t>
        </is>
      </c>
      <c r="AD242" s="0" t="inlineStr">
        <is>
          <t>길동</t>
        </is>
      </c>
      <c r="AG242" s="0" t="inlineStr">
        <is>
          <t>서울시 강동구 천중로44길 40</t>
        </is>
      </c>
      <c r="AH242" s="0" t="n">
        <v>0</v>
      </c>
      <c r="AI242" s="0" t="n">
        <v>268</v>
      </c>
      <c r="AJ242" s="0" t="n">
        <v>31</v>
      </c>
      <c r="AK242" s="0" t="n">
        <v>112</v>
      </c>
      <c r="AL242" s="0" t="n">
        <v>1.1</v>
      </c>
    </row>
    <row r="243">
      <c r="A243" s="0" t="inlineStr">
        <is>
          <t>[길동]</t>
        </is>
      </c>
      <c r="B243" s="0" t="n">
        <v>10069</v>
      </c>
      <c r="C243" s="0" t="n">
        <v>2</v>
      </c>
      <c r="D243" s="0" t="inlineStr">
        <is>
          <t>희훈리치파크</t>
        </is>
      </c>
      <c r="E243" s="0" t="inlineStr">
        <is>
          <t>2002.12.</t>
        </is>
      </c>
      <c r="F243" s="0" t="n">
        <v>102</v>
      </c>
      <c r="G243" s="0" t="n">
        <v>29.45</v>
      </c>
      <c r="H243" s="0" t="n">
        <v>97.36</v>
      </c>
      <c r="I243" s="0" t="n">
        <v>23.2</v>
      </c>
      <c r="J243" s="0" t="n">
        <v>76.72</v>
      </c>
      <c r="K243" s="0" t="n">
        <v>8</v>
      </c>
      <c r="T243" s="0" t="n">
        <v>3</v>
      </c>
      <c r="U243" s="0" t="n">
        <v>2</v>
      </c>
      <c r="V243" s="0" t="inlineStr">
        <is>
          <t>계단식</t>
        </is>
      </c>
      <c r="W243" s="0" t="inlineStr">
        <is>
          <t>97A</t>
        </is>
      </c>
      <c r="X243" s="0" t="n">
        <v>15</v>
      </c>
      <c r="Y243" s="0" t="n">
        <v>5</v>
      </c>
      <c r="Z243" s="0" t="inlineStr">
        <is>
          <t>https://new.land.naver.com/complexes/10069?tab=detail&amp;rf=Y</t>
        </is>
      </c>
      <c r="AA243" s="0" t="inlineStr">
        <is>
          <t>서울시 강동구 길동 472</t>
        </is>
      </c>
      <c r="AB243" s="0" t="inlineStr">
        <is>
          <t>서울시</t>
        </is>
      </c>
      <c r="AC243" s="0" t="inlineStr">
        <is>
          <t>강동구</t>
        </is>
      </c>
      <c r="AD243" s="0" t="inlineStr">
        <is>
          <t>길동</t>
        </is>
      </c>
      <c r="AG243" s="0" t="inlineStr">
        <is>
          <t>서울시 강동구 천중로44길 40</t>
        </is>
      </c>
      <c r="AH243" s="0" t="n">
        <v>0</v>
      </c>
      <c r="AI243" s="0" t="n">
        <v>268</v>
      </c>
      <c r="AJ243" s="0" t="n">
        <v>31</v>
      </c>
      <c r="AK243" s="0" t="n">
        <v>112</v>
      </c>
      <c r="AL243" s="0" t="n">
        <v>1.1</v>
      </c>
    </row>
    <row r="244">
      <c r="A244" s="0" t="inlineStr">
        <is>
          <t>[길동]</t>
        </is>
      </c>
      <c r="B244" s="0" t="n">
        <v>10069</v>
      </c>
      <c r="C244" s="0" t="n">
        <v>3</v>
      </c>
      <c r="D244" s="0" t="inlineStr">
        <is>
          <t>희훈리치파크</t>
        </is>
      </c>
      <c r="E244" s="0" t="inlineStr">
        <is>
          <t>2002.12.</t>
        </is>
      </c>
      <c r="F244" s="0" t="n">
        <v>102</v>
      </c>
      <c r="G244" s="0" t="n">
        <v>29.79</v>
      </c>
      <c r="H244" s="0" t="n">
        <v>98.48999999999999</v>
      </c>
      <c r="I244" s="0" t="n">
        <v>23.18</v>
      </c>
      <c r="J244" s="0" t="n">
        <v>76.66</v>
      </c>
      <c r="K244" s="0" t="n">
        <v>8</v>
      </c>
      <c r="T244" s="0" t="n">
        <v>3</v>
      </c>
      <c r="U244" s="0" t="n">
        <v>2</v>
      </c>
      <c r="V244" s="0" t="inlineStr">
        <is>
          <t>계단식</t>
        </is>
      </c>
      <c r="W244" s="0" t="inlineStr">
        <is>
          <t>98B</t>
        </is>
      </c>
      <c r="X244" s="0" t="n">
        <v>15</v>
      </c>
      <c r="Y244" s="0" t="n">
        <v>5</v>
      </c>
      <c r="Z244" s="0" t="inlineStr">
        <is>
          <t>https://new.land.naver.com/complexes/10069?tab=detail&amp;rf=Y</t>
        </is>
      </c>
      <c r="AA244" s="0" t="inlineStr">
        <is>
          <t>서울시 강동구 길동 472</t>
        </is>
      </c>
      <c r="AB244" s="0" t="inlineStr">
        <is>
          <t>서울시</t>
        </is>
      </c>
      <c r="AC244" s="0" t="inlineStr">
        <is>
          <t>강동구</t>
        </is>
      </c>
      <c r="AD244" s="0" t="inlineStr">
        <is>
          <t>길동</t>
        </is>
      </c>
      <c r="AG244" s="0" t="inlineStr">
        <is>
          <t>서울시 강동구 천중로44길 40</t>
        </is>
      </c>
      <c r="AH244" s="0" t="n">
        <v>0</v>
      </c>
      <c r="AI244" s="0" t="n">
        <v>268</v>
      </c>
      <c r="AJ244" s="0" t="n">
        <v>31</v>
      </c>
      <c r="AK244" s="0" t="n">
        <v>112</v>
      </c>
      <c r="AL244" s="0" t="n">
        <v>1.1</v>
      </c>
    </row>
    <row r="245">
      <c r="A245" s="0" t="inlineStr">
        <is>
          <t>[길동]</t>
        </is>
      </c>
      <c r="B245" s="0" t="n">
        <v>10069</v>
      </c>
      <c r="C245" s="0" t="n">
        <v>4</v>
      </c>
      <c r="D245" s="0" t="inlineStr">
        <is>
          <t>희훈리치파크</t>
        </is>
      </c>
      <c r="E245" s="0" t="inlineStr">
        <is>
          <t>2002.12.</t>
        </is>
      </c>
      <c r="F245" s="0" t="n">
        <v>102</v>
      </c>
      <c r="G245" s="0" t="n">
        <v>31.39</v>
      </c>
      <c r="H245" s="0" t="n">
        <v>103.8</v>
      </c>
      <c r="I245" s="0" t="n">
        <v>24.93</v>
      </c>
      <c r="J245" s="0" t="n">
        <v>82.42</v>
      </c>
      <c r="K245" s="0" t="n">
        <v>26</v>
      </c>
      <c r="T245" s="0" t="n">
        <v>3</v>
      </c>
      <c r="U245" s="0" t="n">
        <v>2</v>
      </c>
      <c r="V245" s="0" t="inlineStr">
        <is>
          <t>계단식</t>
        </is>
      </c>
      <c r="W245" s="0" t="n">
        <v>103</v>
      </c>
      <c r="X245" s="0" t="n">
        <v>15</v>
      </c>
      <c r="Y245" s="0" t="n">
        <v>5</v>
      </c>
      <c r="Z245" s="0" t="inlineStr">
        <is>
          <t>https://new.land.naver.com/complexes/10069?tab=detail&amp;rf=Y</t>
        </is>
      </c>
      <c r="AA245" s="0" t="inlineStr">
        <is>
          <t>서울시 강동구 길동 472</t>
        </is>
      </c>
      <c r="AB245" s="0" t="inlineStr">
        <is>
          <t>서울시</t>
        </is>
      </c>
      <c r="AC245" s="0" t="inlineStr">
        <is>
          <t>강동구</t>
        </is>
      </c>
      <c r="AD245" s="0" t="inlineStr">
        <is>
          <t>길동</t>
        </is>
      </c>
      <c r="AG245" s="0" t="inlineStr">
        <is>
          <t>서울시 강동구 천중로44길 40</t>
        </is>
      </c>
      <c r="AH245" s="0" t="n">
        <v>0</v>
      </c>
      <c r="AI245" s="0" t="n">
        <v>268</v>
      </c>
      <c r="AJ245" s="0" t="n">
        <v>31</v>
      </c>
      <c r="AK245" s="0" t="n">
        <v>112</v>
      </c>
      <c r="AL245" s="0" t="n">
        <v>1.1</v>
      </c>
    </row>
    <row r="246">
      <c r="A246" s="0" t="inlineStr">
        <is>
          <t>[길동]</t>
        </is>
      </c>
      <c r="B246" s="0" t="n">
        <v>10069</v>
      </c>
      <c r="C246" s="0" t="n">
        <v>5</v>
      </c>
      <c r="D246" s="0" t="inlineStr">
        <is>
          <t>희훈리치파크</t>
        </is>
      </c>
      <c r="E246" s="0" t="inlineStr">
        <is>
          <t>2002.12.</t>
        </is>
      </c>
      <c r="F246" s="0" t="n">
        <v>102</v>
      </c>
      <c r="G246" s="0" t="n">
        <v>32.04</v>
      </c>
      <c r="H246" s="0" t="n">
        <v>105.93</v>
      </c>
      <c r="I246" s="0" t="n">
        <v>25.42</v>
      </c>
      <c r="J246" s="0" t="n">
        <v>84.05</v>
      </c>
      <c r="K246" s="0" t="n">
        <v>43</v>
      </c>
      <c r="T246" s="0" t="n">
        <v>3</v>
      </c>
      <c r="U246" s="0" t="n">
        <v>2</v>
      </c>
      <c r="V246" s="0" t="inlineStr">
        <is>
          <t>계단식</t>
        </is>
      </c>
      <c r="W246" s="0" t="inlineStr">
        <is>
          <t>105B</t>
        </is>
      </c>
      <c r="X246" s="0" t="n">
        <v>15</v>
      </c>
      <c r="Y246" s="0" t="n">
        <v>5</v>
      </c>
      <c r="Z246" s="0" t="inlineStr">
        <is>
          <t>https://new.land.naver.com/complexes/10069?tab=detail&amp;rf=Y</t>
        </is>
      </c>
      <c r="AA246" s="0" t="inlineStr">
        <is>
          <t>서울시 강동구 길동 472</t>
        </is>
      </c>
      <c r="AB246" s="0" t="inlineStr">
        <is>
          <t>서울시</t>
        </is>
      </c>
      <c r="AC246" s="0" t="inlineStr">
        <is>
          <t>강동구</t>
        </is>
      </c>
      <c r="AD246" s="0" t="inlineStr">
        <is>
          <t>길동</t>
        </is>
      </c>
      <c r="AG246" s="0" t="inlineStr">
        <is>
          <t>서울시 강동구 천중로44길 40</t>
        </is>
      </c>
      <c r="AH246" s="0" t="n">
        <v>0</v>
      </c>
      <c r="AI246" s="0" t="n">
        <v>268</v>
      </c>
      <c r="AJ246" s="0" t="n">
        <v>31</v>
      </c>
      <c r="AK246" s="0" t="n">
        <v>112</v>
      </c>
      <c r="AL246" s="0" t="n">
        <v>1.1</v>
      </c>
    </row>
    <row r="247">
      <c r="A247" s="0" t="inlineStr">
        <is>
          <t>[길동]</t>
        </is>
      </c>
      <c r="B247" s="0" t="n">
        <v>10069</v>
      </c>
      <c r="C247" s="0" t="n">
        <v>6</v>
      </c>
      <c r="D247" s="0" t="inlineStr">
        <is>
          <t>희훈리치파크</t>
        </is>
      </c>
      <c r="E247" s="0" t="inlineStr">
        <is>
          <t>2002.12.</t>
        </is>
      </c>
      <c r="F247" s="0" t="n">
        <v>102</v>
      </c>
      <c r="G247" s="0" t="n">
        <v>32.03</v>
      </c>
      <c r="H247" s="0" t="n">
        <v>105.9</v>
      </c>
      <c r="I247" s="0" t="n">
        <v>25.39</v>
      </c>
      <c r="J247" s="0" t="n">
        <v>83.94</v>
      </c>
      <c r="K247" s="0" t="n">
        <v>15</v>
      </c>
      <c r="T247" s="0" t="n">
        <v>3</v>
      </c>
      <c r="U247" s="0" t="n">
        <v>2</v>
      </c>
      <c r="V247" s="0" t="inlineStr">
        <is>
          <t>계단식</t>
        </is>
      </c>
      <c r="W247" s="0" t="inlineStr">
        <is>
          <t>105A</t>
        </is>
      </c>
      <c r="X247" s="0" t="n">
        <v>15</v>
      </c>
      <c r="Y247" s="0" t="n">
        <v>5</v>
      </c>
      <c r="Z247" s="0" t="inlineStr">
        <is>
          <t>https://new.land.naver.com/complexes/10069?tab=detail&amp;rf=Y</t>
        </is>
      </c>
      <c r="AA247" s="0" t="inlineStr">
        <is>
          <t>서울시 강동구 길동 472</t>
        </is>
      </c>
      <c r="AB247" s="0" t="inlineStr">
        <is>
          <t>서울시</t>
        </is>
      </c>
      <c r="AC247" s="0" t="inlineStr">
        <is>
          <t>강동구</t>
        </is>
      </c>
      <c r="AD247" s="0" t="inlineStr">
        <is>
          <t>길동</t>
        </is>
      </c>
      <c r="AG247" s="0" t="inlineStr">
        <is>
          <t>서울시 강동구 천중로44길 40</t>
        </is>
      </c>
      <c r="AH247" s="0" t="n">
        <v>0</v>
      </c>
      <c r="AI247" s="0" t="n">
        <v>268</v>
      </c>
      <c r="AJ247" s="0" t="n">
        <v>31</v>
      </c>
      <c r="AK247" s="0" t="n">
        <v>112</v>
      </c>
      <c r="AL247" s="0" t="n">
        <v>1.1</v>
      </c>
    </row>
    <row r="248">
      <c r="A248" s="0" t="inlineStr">
        <is>
          <t>[길동]</t>
        </is>
      </c>
      <c r="B248" s="0" t="n">
        <v>11306</v>
      </c>
      <c r="C248" s="0" t="n">
        <v>1</v>
      </c>
      <c r="D248" s="0" t="inlineStr">
        <is>
          <t>양촌</t>
        </is>
      </c>
      <c r="E248" s="0" t="inlineStr">
        <is>
          <t>2003.02.</t>
        </is>
      </c>
      <c r="F248" s="0" t="n">
        <v>19</v>
      </c>
      <c r="G248" s="0" t="n">
        <v>24.98</v>
      </c>
      <c r="H248" s="0" t="n">
        <v>82.59</v>
      </c>
      <c r="I248" s="0" t="n">
        <v>22.89</v>
      </c>
      <c r="J248" s="0" t="n">
        <v>75.69</v>
      </c>
      <c r="K248" s="0" t="n">
        <v>4</v>
      </c>
      <c r="T248" s="0" t="n">
        <v>3</v>
      </c>
      <c r="U248" s="0" t="n">
        <v>2</v>
      </c>
      <c r="V248" s="0" t="inlineStr">
        <is>
          <t>계단식</t>
        </is>
      </c>
      <c r="W248" s="0" t="n">
        <v>82</v>
      </c>
      <c r="X248" s="0" t="n">
        <v>5</v>
      </c>
      <c r="Y248" s="0" t="n">
        <v>5</v>
      </c>
      <c r="Z248" s="0" t="inlineStr">
        <is>
          <t>https://new.land.naver.com/complexes/11306?tab=detail&amp;rf=Y</t>
        </is>
      </c>
      <c r="AA248" s="0" t="inlineStr">
        <is>
          <t>서울시 강동구 길동 352-3</t>
        </is>
      </c>
      <c r="AB248" s="0" t="inlineStr">
        <is>
          <t>서울시</t>
        </is>
      </c>
      <c r="AC248" s="0" t="inlineStr">
        <is>
          <t>강동구</t>
        </is>
      </c>
      <c r="AD248" s="0" t="inlineStr">
        <is>
          <t>길동</t>
        </is>
      </c>
      <c r="AG248" s="0" t="inlineStr">
        <is>
          <t>서울시 강동구 천중로54길 9-9</t>
        </is>
      </c>
      <c r="AH248" s="0" t="n">
        <v>0</v>
      </c>
      <c r="AI248" s="0" t="n">
        <v>161</v>
      </c>
      <c r="AJ248" s="0" t="n">
        <v>35</v>
      </c>
      <c r="AK248" s="0" t="n">
        <v>19</v>
      </c>
      <c r="AL248" s="0" t="n">
        <v>1</v>
      </c>
    </row>
    <row r="249">
      <c r="A249" s="0" t="inlineStr">
        <is>
          <t>[길동]</t>
        </is>
      </c>
      <c r="B249" s="0" t="n">
        <v>11306</v>
      </c>
      <c r="C249" s="0" t="n">
        <v>2</v>
      </c>
      <c r="D249" s="0" t="inlineStr">
        <is>
          <t>양촌</t>
        </is>
      </c>
      <c r="E249" s="0" t="inlineStr">
        <is>
          <t>2003.02.</t>
        </is>
      </c>
      <c r="F249" s="0" t="n">
        <v>19</v>
      </c>
      <c r="G249" s="0" t="n">
        <v>26.21</v>
      </c>
      <c r="H249" s="0" t="n">
        <v>86.67</v>
      </c>
      <c r="I249" s="0" t="n">
        <v>24.01</v>
      </c>
      <c r="J249" s="0" t="n">
        <v>79.40000000000001</v>
      </c>
      <c r="K249" s="0" t="n">
        <v>15</v>
      </c>
      <c r="T249" s="0" t="n">
        <v>3</v>
      </c>
      <c r="U249" s="0" t="n">
        <v>2</v>
      </c>
      <c r="V249" s="0" t="inlineStr">
        <is>
          <t>계단식</t>
        </is>
      </c>
      <c r="W249" s="0" t="n">
        <v>86</v>
      </c>
      <c r="X249" s="0" t="n">
        <v>5</v>
      </c>
      <c r="Y249" s="0" t="n">
        <v>5</v>
      </c>
      <c r="Z249" s="0" t="inlineStr">
        <is>
          <t>https://new.land.naver.com/complexes/11306?tab=detail&amp;rf=Y</t>
        </is>
      </c>
      <c r="AA249" s="0" t="inlineStr">
        <is>
          <t>서울시 강동구 길동 352-3</t>
        </is>
      </c>
      <c r="AB249" s="0" t="inlineStr">
        <is>
          <t>서울시</t>
        </is>
      </c>
      <c r="AC249" s="0" t="inlineStr">
        <is>
          <t>강동구</t>
        </is>
      </c>
      <c r="AD249" s="0" t="inlineStr">
        <is>
          <t>길동</t>
        </is>
      </c>
      <c r="AG249" s="0" t="inlineStr">
        <is>
          <t>서울시 강동구 천중로54길 9-9</t>
        </is>
      </c>
      <c r="AH249" s="0" t="n">
        <v>0</v>
      </c>
      <c r="AI249" s="0" t="n">
        <v>161</v>
      </c>
      <c r="AJ249" s="0" t="n">
        <v>35</v>
      </c>
      <c r="AK249" s="0" t="n">
        <v>19</v>
      </c>
      <c r="AL249" s="0" t="n">
        <v>1</v>
      </c>
    </row>
    <row r="250">
      <c r="A250" s="0" t="inlineStr">
        <is>
          <t>[길동]</t>
        </is>
      </c>
      <c r="B250" s="0" t="n">
        <v>985</v>
      </c>
      <c r="C250" s="0" t="n">
        <v>1</v>
      </c>
      <c r="D250" s="0" t="inlineStr">
        <is>
          <t>삼익세라믹</t>
        </is>
      </c>
      <c r="E250" s="0" t="inlineStr">
        <is>
          <t>1992.06.</t>
        </is>
      </c>
      <c r="F250" s="0" t="n">
        <v>83</v>
      </c>
      <c r="G250" s="0" t="n">
        <v>31.92</v>
      </c>
      <c r="H250" s="0" t="n">
        <v>105.55</v>
      </c>
      <c r="I250" s="0" t="n">
        <v>25.66</v>
      </c>
      <c r="J250" s="0" t="n">
        <v>84.84999999999999</v>
      </c>
      <c r="K250" s="0" t="n">
        <v>83</v>
      </c>
      <c r="T250" s="0" t="n">
        <v>3</v>
      </c>
      <c r="U250" s="0" t="n">
        <v>2</v>
      </c>
      <c r="V250" s="0" t="inlineStr">
        <is>
          <t>복도식</t>
        </is>
      </c>
      <c r="W250" s="0" t="n">
        <v>105</v>
      </c>
      <c r="X250" s="0" t="n">
        <v>11</v>
      </c>
      <c r="Y250" s="0" t="n">
        <v>9</v>
      </c>
      <c r="Z250" s="0" t="inlineStr">
        <is>
          <t>https://new.land.naver.com/complexes/985?tab=detail&amp;rf=Y</t>
        </is>
      </c>
      <c r="AA250" s="0" t="inlineStr">
        <is>
          <t>서울시 강동구 길동 184</t>
        </is>
      </c>
      <c r="AB250" s="0" t="inlineStr">
        <is>
          <t>서울시</t>
        </is>
      </c>
      <c r="AC250" s="0" t="inlineStr">
        <is>
          <t>강동구</t>
        </is>
      </c>
      <c r="AD250" s="0" t="inlineStr">
        <is>
          <t>길동</t>
        </is>
      </c>
      <c r="AG250" s="0" t="inlineStr">
        <is>
          <t>서울시 강동구 천호대로199길 40</t>
        </is>
      </c>
      <c r="AH250" s="0" t="n">
        <v>0</v>
      </c>
      <c r="AI250" s="0" t="n">
        <v>0</v>
      </c>
      <c r="AJ250" s="0" t="n">
        <v>0</v>
      </c>
      <c r="AK250" s="0" t="n">
        <v>57</v>
      </c>
      <c r="AL250" s="0" t="n">
        <v>0.6899999999999999</v>
      </c>
    </row>
    <row r="251">
      <c r="A251" s="0" t="inlineStr">
        <is>
          <t>[길동]</t>
        </is>
      </c>
      <c r="B251" s="0" t="n">
        <v>105873</v>
      </c>
      <c r="C251" s="0" t="n">
        <v>1</v>
      </c>
      <c r="D251" s="0" t="inlineStr">
        <is>
          <t>길동청광플러스원큐브1차(도시형)</t>
        </is>
      </c>
      <c r="E251" s="0" t="inlineStr">
        <is>
          <t>2012.11.</t>
        </is>
      </c>
      <c r="F251" s="0" t="n">
        <v>112</v>
      </c>
      <c r="G251" s="0" t="n">
        <v>7.57</v>
      </c>
      <c r="H251" s="0" t="n">
        <v>25.05</v>
      </c>
      <c r="I251" s="0" t="n">
        <v>5.04</v>
      </c>
      <c r="J251" s="0" t="n">
        <v>16.68</v>
      </c>
      <c r="K251" s="0" t="n">
        <v>80</v>
      </c>
      <c r="T251" s="0" t="n">
        <v>1</v>
      </c>
      <c r="U251" s="0" t="n">
        <v>1</v>
      </c>
      <c r="V251" s="0" t="inlineStr">
        <is>
          <t>복도식</t>
        </is>
      </c>
      <c r="W251" s="0" t="inlineStr">
        <is>
          <t>25A</t>
        </is>
      </c>
      <c r="X251" s="0" t="n">
        <v>13</v>
      </c>
      <c r="Y251" s="0" t="n">
        <v>13</v>
      </c>
      <c r="Z251" s="0" t="inlineStr">
        <is>
          <t>https://new.land.naver.com/complexes/105873?tab=detail&amp;rf=Y</t>
        </is>
      </c>
      <c r="AA251" s="0" t="inlineStr">
        <is>
          <t>서울시 강동구 길동 387-5</t>
        </is>
      </c>
      <c r="AB251" s="0" t="inlineStr">
        <is>
          <t>서울시</t>
        </is>
      </c>
      <c r="AC251" s="0" t="inlineStr">
        <is>
          <t>강동구</t>
        </is>
      </c>
      <c r="AD251" s="0" t="inlineStr">
        <is>
          <t>길동</t>
        </is>
      </c>
      <c r="AG251" s="0" t="inlineStr">
        <is>
          <t>서울시 강동구 천중로42길 70</t>
        </is>
      </c>
      <c r="AH251" s="0" t="n">
        <v>0</v>
      </c>
      <c r="AI251" s="0" t="n">
        <v>499</v>
      </c>
      <c r="AJ251" s="0" t="n">
        <v>47</v>
      </c>
      <c r="AK251" s="0" t="n">
        <v>30</v>
      </c>
      <c r="AL251" s="0" t="n">
        <v>0.27</v>
      </c>
    </row>
    <row r="252">
      <c r="A252" s="0" t="inlineStr">
        <is>
          <t>[길동]</t>
        </is>
      </c>
      <c r="B252" s="0" t="n">
        <v>105873</v>
      </c>
      <c r="C252" s="0" t="n">
        <v>2</v>
      </c>
      <c r="D252" s="0" t="inlineStr">
        <is>
          <t>길동청광플러스원큐브1차(도시형)</t>
        </is>
      </c>
      <c r="E252" s="0" t="inlineStr">
        <is>
          <t>2012.11.</t>
        </is>
      </c>
      <c r="F252" s="0" t="n">
        <v>112</v>
      </c>
      <c r="G252" s="0" t="n">
        <v>7.75</v>
      </c>
      <c r="H252" s="0" t="n">
        <v>25.63</v>
      </c>
      <c r="I252" s="0" t="n">
        <v>5.16</v>
      </c>
      <c r="J252" s="0" t="n">
        <v>17.07</v>
      </c>
      <c r="K252" s="0" t="n">
        <v>32</v>
      </c>
      <c r="T252" s="0" t="n">
        <v>1</v>
      </c>
      <c r="U252" s="0" t="n">
        <v>1</v>
      </c>
      <c r="V252" s="0" t="inlineStr">
        <is>
          <t>복도식</t>
        </is>
      </c>
      <c r="W252" s="0" t="inlineStr">
        <is>
          <t>25B</t>
        </is>
      </c>
      <c r="X252" s="0" t="n">
        <v>13</v>
      </c>
      <c r="Y252" s="0" t="n">
        <v>13</v>
      </c>
      <c r="Z252" s="0" t="inlineStr">
        <is>
          <t>https://new.land.naver.com/complexes/105873?tab=detail&amp;rf=Y</t>
        </is>
      </c>
      <c r="AA252" s="0" t="inlineStr">
        <is>
          <t>서울시 강동구 길동 387-5</t>
        </is>
      </c>
      <c r="AB252" s="0" t="inlineStr">
        <is>
          <t>서울시</t>
        </is>
      </c>
      <c r="AC252" s="0" t="inlineStr">
        <is>
          <t>강동구</t>
        </is>
      </c>
      <c r="AD252" s="0" t="inlineStr">
        <is>
          <t>길동</t>
        </is>
      </c>
      <c r="AG252" s="0" t="inlineStr">
        <is>
          <t>서울시 강동구 천중로42길 70</t>
        </is>
      </c>
      <c r="AH252" s="0" t="n">
        <v>0</v>
      </c>
      <c r="AI252" s="0" t="n">
        <v>499</v>
      </c>
      <c r="AJ252" s="0" t="n">
        <v>47</v>
      </c>
      <c r="AK252" s="0" t="n">
        <v>30</v>
      </c>
      <c r="AL252" s="0" t="n">
        <v>0.27</v>
      </c>
    </row>
    <row r="253">
      <c r="A253" s="0" t="inlineStr">
        <is>
          <t>[길동]</t>
        </is>
      </c>
      <c r="B253" s="0" t="n">
        <v>106642</v>
      </c>
      <c r="C253" s="0" t="n">
        <v>1</v>
      </c>
      <c r="D253" s="0" t="inlineStr">
        <is>
          <t>에스엠이로빌(358-1)</t>
        </is>
      </c>
      <c r="E253" s="0" t="inlineStr">
        <is>
          <t>2004.06.</t>
        </is>
      </c>
      <c r="F253" s="0" t="n">
        <v>19</v>
      </c>
      <c r="G253" s="0" t="n">
        <v>20.73</v>
      </c>
      <c r="H253" s="0" t="n">
        <v>68.54000000000001</v>
      </c>
      <c r="I253" s="0" t="n">
        <v>18.35</v>
      </c>
      <c r="J253" s="0" t="n">
        <v>60.67</v>
      </c>
      <c r="K253" s="0" t="n">
        <v>2</v>
      </c>
      <c r="T253" s="0" t="n">
        <v>2</v>
      </c>
      <c r="U253" s="0" t="n">
        <v>1</v>
      </c>
      <c r="V253" s="0" t="inlineStr">
        <is>
          <t>계단식</t>
        </is>
      </c>
      <c r="W253" s="0" t="inlineStr">
        <is>
          <t>68A</t>
        </is>
      </c>
      <c r="X253" s="0" t="n">
        <v>6</v>
      </c>
      <c r="Y253" s="0" t="n">
        <v>5</v>
      </c>
      <c r="Z253" s="0" t="inlineStr">
        <is>
          <t>https://new.land.naver.com/complexes/106642?tab=detail&amp;rf=Y</t>
        </is>
      </c>
      <c r="AA253" s="0" t="inlineStr">
        <is>
          <t>서울시 강동구 길동 358-1</t>
        </is>
      </c>
      <c r="AB253" s="0" t="inlineStr">
        <is>
          <t>서울시</t>
        </is>
      </c>
      <c r="AC253" s="0" t="inlineStr">
        <is>
          <t>강동구</t>
        </is>
      </c>
      <c r="AD253" s="0" t="inlineStr">
        <is>
          <t>길동</t>
        </is>
      </c>
      <c r="AG253" s="0" t="inlineStr">
        <is>
          <t>서울시 강동구 천중로48길 27</t>
        </is>
      </c>
      <c r="AH253" s="0" t="n">
        <v>0</v>
      </c>
      <c r="AI253" s="0" t="n">
        <v>256</v>
      </c>
      <c r="AJ253" s="0" t="n">
        <v>58</v>
      </c>
      <c r="AK253" s="0" t="n">
        <v>21</v>
      </c>
      <c r="AL253" s="0" t="n">
        <v>1.11</v>
      </c>
    </row>
    <row r="254">
      <c r="A254" s="0" t="inlineStr">
        <is>
          <t>[길동]</t>
        </is>
      </c>
      <c r="B254" s="0" t="n">
        <v>106642</v>
      </c>
      <c r="C254" s="0" t="n">
        <v>2</v>
      </c>
      <c r="D254" s="0" t="inlineStr">
        <is>
          <t>에스엠이로빌(358-1)</t>
        </is>
      </c>
      <c r="E254" s="0" t="inlineStr">
        <is>
          <t>2004.06.</t>
        </is>
      </c>
      <c r="F254" s="0" t="n">
        <v>19</v>
      </c>
      <c r="G254" s="0" t="n">
        <v>21.14</v>
      </c>
      <c r="H254" s="0" t="n">
        <v>69.89</v>
      </c>
      <c r="I254" s="0" t="n">
        <v>18.71</v>
      </c>
      <c r="J254" s="0" t="n">
        <v>61.87</v>
      </c>
      <c r="K254" s="0" t="n">
        <v>1</v>
      </c>
      <c r="T254" s="0" t="n">
        <v>2</v>
      </c>
      <c r="U254" s="0" t="n">
        <v>1</v>
      </c>
      <c r="V254" s="0" t="inlineStr">
        <is>
          <t>계단식</t>
        </is>
      </c>
      <c r="W254" s="0" t="inlineStr">
        <is>
          <t>69B</t>
        </is>
      </c>
      <c r="X254" s="0" t="n">
        <v>6</v>
      </c>
      <c r="Y254" s="0" t="n">
        <v>5</v>
      </c>
      <c r="Z254" s="0" t="inlineStr">
        <is>
          <t>https://new.land.naver.com/complexes/106642?tab=detail&amp;rf=Y</t>
        </is>
      </c>
      <c r="AA254" s="0" t="inlineStr">
        <is>
          <t>서울시 강동구 길동 358-1</t>
        </is>
      </c>
      <c r="AB254" s="0" t="inlineStr">
        <is>
          <t>서울시</t>
        </is>
      </c>
      <c r="AC254" s="0" t="inlineStr">
        <is>
          <t>강동구</t>
        </is>
      </c>
      <c r="AD254" s="0" t="inlineStr">
        <is>
          <t>길동</t>
        </is>
      </c>
      <c r="AG254" s="0" t="inlineStr">
        <is>
          <t>서울시 강동구 천중로48길 27</t>
        </is>
      </c>
      <c r="AH254" s="0" t="n">
        <v>0</v>
      </c>
      <c r="AI254" s="0" t="n">
        <v>256</v>
      </c>
      <c r="AJ254" s="0" t="n">
        <v>58</v>
      </c>
      <c r="AK254" s="0" t="n">
        <v>21</v>
      </c>
      <c r="AL254" s="0" t="n">
        <v>1.11</v>
      </c>
    </row>
    <row r="255">
      <c r="A255" s="0" t="inlineStr">
        <is>
          <t>[길동]</t>
        </is>
      </c>
      <c r="B255" s="0" t="n">
        <v>106642</v>
      </c>
      <c r="C255" s="0" t="n">
        <v>3</v>
      </c>
      <c r="D255" s="0" t="inlineStr">
        <is>
          <t>에스엠이로빌(358-1)</t>
        </is>
      </c>
      <c r="E255" s="0" t="inlineStr">
        <is>
          <t>2004.06.</t>
        </is>
      </c>
      <c r="F255" s="0" t="n">
        <v>19</v>
      </c>
      <c r="G255" s="0" t="n">
        <v>27.51</v>
      </c>
      <c r="H255" s="0" t="n">
        <v>90.97</v>
      </c>
      <c r="I255" s="0" t="n">
        <v>24.36</v>
      </c>
      <c r="J255" s="0" t="n">
        <v>80.53</v>
      </c>
      <c r="K255" s="0" t="n">
        <v>2</v>
      </c>
      <c r="T255" s="0" t="n">
        <v>3</v>
      </c>
      <c r="U255" s="0" t="n">
        <v>2</v>
      </c>
      <c r="V255" s="0" t="inlineStr">
        <is>
          <t>계단식</t>
        </is>
      </c>
      <c r="W255" s="0" t="inlineStr">
        <is>
          <t>90A</t>
        </is>
      </c>
      <c r="X255" s="0" t="n">
        <v>6</v>
      </c>
      <c r="Y255" s="0" t="n">
        <v>5</v>
      </c>
      <c r="Z255" s="0" t="inlineStr">
        <is>
          <t>https://new.land.naver.com/complexes/106642?tab=detail&amp;rf=Y</t>
        </is>
      </c>
      <c r="AA255" s="0" t="inlineStr">
        <is>
          <t>서울시 강동구 길동 358-1</t>
        </is>
      </c>
      <c r="AB255" s="0" t="inlineStr">
        <is>
          <t>서울시</t>
        </is>
      </c>
      <c r="AC255" s="0" t="inlineStr">
        <is>
          <t>강동구</t>
        </is>
      </c>
      <c r="AD255" s="0" t="inlineStr">
        <is>
          <t>길동</t>
        </is>
      </c>
      <c r="AG255" s="0" t="inlineStr">
        <is>
          <t>서울시 강동구 천중로48길 27</t>
        </is>
      </c>
      <c r="AH255" s="0" t="n">
        <v>0</v>
      </c>
      <c r="AI255" s="0" t="n">
        <v>256</v>
      </c>
      <c r="AJ255" s="0" t="n">
        <v>58</v>
      </c>
      <c r="AK255" s="0" t="n">
        <v>21</v>
      </c>
      <c r="AL255" s="0" t="n">
        <v>1.11</v>
      </c>
    </row>
    <row r="256">
      <c r="A256" s="0" t="inlineStr">
        <is>
          <t>[길동]</t>
        </is>
      </c>
      <c r="B256" s="0" t="n">
        <v>106642</v>
      </c>
      <c r="C256" s="0" t="n">
        <v>4</v>
      </c>
      <c r="D256" s="0" t="inlineStr">
        <is>
          <t>에스엠이로빌(358-1)</t>
        </is>
      </c>
      <c r="E256" s="0" t="inlineStr">
        <is>
          <t>2004.06.</t>
        </is>
      </c>
      <c r="F256" s="0" t="n">
        <v>19</v>
      </c>
      <c r="G256" s="0" t="n">
        <v>27.96</v>
      </c>
      <c r="H256" s="0" t="n">
        <v>92.45999999999999</v>
      </c>
      <c r="I256" s="0" t="n">
        <v>24.75</v>
      </c>
      <c r="J256" s="0" t="n">
        <v>81.84999999999999</v>
      </c>
      <c r="K256" s="0" t="n">
        <v>1</v>
      </c>
      <c r="T256" s="0" t="n">
        <v>3</v>
      </c>
      <c r="U256" s="0" t="n">
        <v>2</v>
      </c>
      <c r="V256" s="0" t="inlineStr">
        <is>
          <t>계단식</t>
        </is>
      </c>
      <c r="W256" s="0" t="inlineStr">
        <is>
          <t>92B</t>
        </is>
      </c>
      <c r="X256" s="0" t="n">
        <v>6</v>
      </c>
      <c r="Y256" s="0" t="n">
        <v>5</v>
      </c>
      <c r="Z256" s="0" t="inlineStr">
        <is>
          <t>https://new.land.naver.com/complexes/106642?tab=detail&amp;rf=Y</t>
        </is>
      </c>
      <c r="AA256" s="0" t="inlineStr">
        <is>
          <t>서울시 강동구 길동 358-1</t>
        </is>
      </c>
      <c r="AB256" s="0" t="inlineStr">
        <is>
          <t>서울시</t>
        </is>
      </c>
      <c r="AC256" s="0" t="inlineStr">
        <is>
          <t>강동구</t>
        </is>
      </c>
      <c r="AD256" s="0" t="inlineStr">
        <is>
          <t>길동</t>
        </is>
      </c>
      <c r="AG256" s="0" t="inlineStr">
        <is>
          <t>서울시 강동구 천중로48길 27</t>
        </is>
      </c>
      <c r="AH256" s="0" t="n">
        <v>0</v>
      </c>
      <c r="AI256" s="0" t="n">
        <v>256</v>
      </c>
      <c r="AJ256" s="0" t="n">
        <v>58</v>
      </c>
      <c r="AK256" s="0" t="n">
        <v>21</v>
      </c>
      <c r="AL256" s="0" t="n">
        <v>1.11</v>
      </c>
    </row>
    <row r="257">
      <c r="A257" s="0" t="inlineStr">
        <is>
          <t>[길동]</t>
        </is>
      </c>
      <c r="B257" s="0" t="n">
        <v>106642</v>
      </c>
      <c r="C257" s="0" t="n">
        <v>5</v>
      </c>
      <c r="D257" s="0" t="inlineStr">
        <is>
          <t>에스엠이로빌(358-1)</t>
        </is>
      </c>
      <c r="E257" s="0" t="inlineStr">
        <is>
          <t>2004.06.</t>
        </is>
      </c>
      <c r="F257" s="0" t="n">
        <v>19</v>
      </c>
      <c r="G257" s="0" t="n">
        <v>28.68</v>
      </c>
      <c r="H257" s="0" t="n">
        <v>94.81</v>
      </c>
      <c r="I257" s="0" t="n">
        <v>25.38</v>
      </c>
      <c r="J257" s="0" t="n">
        <v>83.93000000000001</v>
      </c>
      <c r="K257" s="0" t="n">
        <v>9</v>
      </c>
      <c r="T257" s="0" t="n">
        <v>3</v>
      </c>
      <c r="U257" s="0" t="n">
        <v>2</v>
      </c>
      <c r="V257" s="0" t="inlineStr">
        <is>
          <t>계단식</t>
        </is>
      </c>
      <c r="W257" s="0" t="inlineStr">
        <is>
          <t>94A</t>
        </is>
      </c>
      <c r="X257" s="0" t="n">
        <v>6</v>
      </c>
      <c r="Y257" s="0" t="n">
        <v>5</v>
      </c>
      <c r="Z257" s="0" t="inlineStr">
        <is>
          <t>https://new.land.naver.com/complexes/106642?tab=detail&amp;rf=Y</t>
        </is>
      </c>
      <c r="AA257" s="0" t="inlineStr">
        <is>
          <t>서울시 강동구 길동 358-1</t>
        </is>
      </c>
      <c r="AB257" s="0" t="inlineStr">
        <is>
          <t>서울시</t>
        </is>
      </c>
      <c r="AC257" s="0" t="inlineStr">
        <is>
          <t>강동구</t>
        </is>
      </c>
      <c r="AD257" s="0" t="inlineStr">
        <is>
          <t>길동</t>
        </is>
      </c>
      <c r="AG257" s="0" t="inlineStr">
        <is>
          <t>서울시 강동구 천중로48길 27</t>
        </is>
      </c>
      <c r="AH257" s="0" t="n">
        <v>0</v>
      </c>
      <c r="AI257" s="0" t="n">
        <v>256</v>
      </c>
      <c r="AJ257" s="0" t="n">
        <v>58</v>
      </c>
      <c r="AK257" s="0" t="n">
        <v>21</v>
      </c>
      <c r="AL257" s="0" t="n">
        <v>1.11</v>
      </c>
    </row>
    <row r="258">
      <c r="A258" s="0" t="inlineStr">
        <is>
          <t>[길동]</t>
        </is>
      </c>
      <c r="B258" s="0" t="n">
        <v>106642</v>
      </c>
      <c r="C258" s="0" t="n">
        <v>6</v>
      </c>
      <c r="D258" s="0" t="inlineStr">
        <is>
          <t>에스엠이로빌(358-1)</t>
        </is>
      </c>
      <c r="E258" s="0" t="inlineStr">
        <is>
          <t>2004.06.</t>
        </is>
      </c>
      <c r="F258" s="0" t="n">
        <v>19</v>
      </c>
      <c r="G258" s="0" t="n">
        <v>29.04</v>
      </c>
      <c r="H258" s="0" t="n">
        <v>96</v>
      </c>
      <c r="I258" s="0" t="n">
        <v>25.7</v>
      </c>
      <c r="J258" s="0" t="n">
        <v>84.98</v>
      </c>
      <c r="K258" s="0" t="n">
        <v>3</v>
      </c>
      <c r="T258" s="0" t="n">
        <v>3</v>
      </c>
      <c r="U258" s="0" t="n">
        <v>2</v>
      </c>
      <c r="V258" s="0" t="inlineStr">
        <is>
          <t>계단식</t>
        </is>
      </c>
      <c r="W258" s="0" t="inlineStr">
        <is>
          <t>96B</t>
        </is>
      </c>
      <c r="X258" s="0" t="n">
        <v>6</v>
      </c>
      <c r="Y258" s="0" t="n">
        <v>5</v>
      </c>
      <c r="Z258" s="0" t="inlineStr">
        <is>
          <t>https://new.land.naver.com/complexes/106642?tab=detail&amp;rf=Y</t>
        </is>
      </c>
      <c r="AA258" s="0" t="inlineStr">
        <is>
          <t>서울시 강동구 길동 358-1</t>
        </is>
      </c>
      <c r="AB258" s="0" t="inlineStr">
        <is>
          <t>서울시</t>
        </is>
      </c>
      <c r="AC258" s="0" t="inlineStr">
        <is>
          <t>강동구</t>
        </is>
      </c>
      <c r="AD258" s="0" t="inlineStr">
        <is>
          <t>길동</t>
        </is>
      </c>
      <c r="AG258" s="0" t="inlineStr">
        <is>
          <t>서울시 강동구 천중로48길 27</t>
        </is>
      </c>
      <c r="AH258" s="0" t="n">
        <v>0</v>
      </c>
      <c r="AI258" s="0" t="n">
        <v>256</v>
      </c>
      <c r="AJ258" s="0" t="n">
        <v>58</v>
      </c>
      <c r="AK258" s="0" t="n">
        <v>21</v>
      </c>
      <c r="AL258" s="0" t="n">
        <v>1.11</v>
      </c>
    </row>
    <row r="259">
      <c r="A259" s="0" t="inlineStr">
        <is>
          <t>[길동]</t>
        </is>
      </c>
      <c r="B259" s="0" t="n">
        <v>106642</v>
      </c>
      <c r="C259" s="0" t="n">
        <v>7</v>
      </c>
      <c r="D259" s="0" t="inlineStr">
        <is>
          <t>에스엠이로빌(358-1)</t>
        </is>
      </c>
      <c r="E259" s="0" t="inlineStr">
        <is>
          <t>2004.06.</t>
        </is>
      </c>
      <c r="F259" s="0" t="n">
        <v>19</v>
      </c>
      <c r="G259" s="0" t="n">
        <v>38.75</v>
      </c>
      <c r="H259" s="0" t="n">
        <v>128.11</v>
      </c>
      <c r="I259" s="0" t="n">
        <v>34.3</v>
      </c>
      <c r="J259" s="0" t="n">
        <v>113.4</v>
      </c>
      <c r="K259" s="0" t="n">
        <v>1</v>
      </c>
      <c r="T259" s="0" t="n">
        <v>3</v>
      </c>
      <c r="U259" s="0" t="n">
        <v>2</v>
      </c>
      <c r="V259" s="0" t="inlineStr">
        <is>
          <t>계단식</t>
        </is>
      </c>
      <c r="W259" s="0" t="n">
        <v>128</v>
      </c>
      <c r="X259" s="0" t="n">
        <v>6</v>
      </c>
      <c r="Y259" s="0" t="n">
        <v>5</v>
      </c>
      <c r="Z259" s="0" t="inlineStr">
        <is>
          <t>https://new.land.naver.com/complexes/106642?tab=detail&amp;rf=Y</t>
        </is>
      </c>
      <c r="AA259" s="0" t="inlineStr">
        <is>
          <t>서울시 강동구 길동 358-1</t>
        </is>
      </c>
      <c r="AB259" s="0" t="inlineStr">
        <is>
          <t>서울시</t>
        </is>
      </c>
      <c r="AC259" s="0" t="inlineStr">
        <is>
          <t>강동구</t>
        </is>
      </c>
      <c r="AD259" s="0" t="inlineStr">
        <is>
          <t>길동</t>
        </is>
      </c>
      <c r="AG259" s="0" t="inlineStr">
        <is>
          <t>서울시 강동구 천중로48길 27</t>
        </is>
      </c>
      <c r="AH259" s="0" t="n">
        <v>0</v>
      </c>
      <c r="AI259" s="0" t="n">
        <v>256</v>
      </c>
      <c r="AJ259" s="0" t="n">
        <v>58</v>
      </c>
      <c r="AK259" s="0" t="n">
        <v>21</v>
      </c>
      <c r="AL259" s="0" t="n">
        <v>1.11</v>
      </c>
    </row>
    <row r="260">
      <c r="A260" s="0" t="inlineStr">
        <is>
          <t>[길동]</t>
        </is>
      </c>
      <c r="B260" s="0" t="n">
        <v>105870</v>
      </c>
      <c r="C260" s="0" t="n">
        <v>1</v>
      </c>
      <c r="D260" s="0" t="inlineStr">
        <is>
          <t>강동큐브2차(도시형)</t>
        </is>
      </c>
      <c r="E260" s="0" t="inlineStr">
        <is>
          <t>2013.04.</t>
        </is>
      </c>
      <c r="F260" s="0" t="n">
        <v>236</v>
      </c>
      <c r="G260" s="0" t="n">
        <v>6.04</v>
      </c>
      <c r="H260" s="0" t="n">
        <v>19.98</v>
      </c>
      <c r="I260" s="0" t="n">
        <v>3.78</v>
      </c>
      <c r="J260" s="0" t="n">
        <v>12.52</v>
      </c>
      <c r="K260" s="0" t="n">
        <v>28</v>
      </c>
      <c r="T260" s="0" t="n">
        <v>1</v>
      </c>
      <c r="U260" s="0" t="n">
        <v>1</v>
      </c>
      <c r="V260" s="0" t="inlineStr">
        <is>
          <t>복도식</t>
        </is>
      </c>
      <c r="W260" s="0" t="inlineStr">
        <is>
          <t>19C</t>
        </is>
      </c>
      <c r="X260" s="0" t="n">
        <v>15</v>
      </c>
      <c r="Y260" s="0" t="n">
        <v>14</v>
      </c>
      <c r="Z260" s="0" t="inlineStr">
        <is>
          <t>https://new.land.naver.com/complexes/105870?tab=detail&amp;rf=Y</t>
        </is>
      </c>
      <c r="AA260" s="0" t="inlineStr">
        <is>
          <t>서울시 강동구 길동 415-13</t>
        </is>
      </c>
      <c r="AB260" s="0" t="inlineStr">
        <is>
          <t>서울시</t>
        </is>
      </c>
      <c r="AC260" s="0" t="inlineStr">
        <is>
          <t>강동구</t>
        </is>
      </c>
      <c r="AD260" s="0" t="inlineStr">
        <is>
          <t>길동</t>
        </is>
      </c>
      <c r="AG260" s="0" t="inlineStr">
        <is>
          <t>서울시 강동구 진황도로 85</t>
        </is>
      </c>
      <c r="AH260" s="0" t="n">
        <v>0</v>
      </c>
      <c r="AI260" s="0" t="n">
        <v>602</v>
      </c>
      <c r="AJ260" s="0" t="n">
        <v>59</v>
      </c>
      <c r="AK260" s="0" t="n">
        <v>52</v>
      </c>
      <c r="AL260" s="0" t="n">
        <v>0.22</v>
      </c>
    </row>
    <row r="261">
      <c r="A261" s="0" t="inlineStr">
        <is>
          <t>[길동]</t>
        </is>
      </c>
      <c r="B261" s="0" t="n">
        <v>105870</v>
      </c>
      <c r="C261" s="0" t="n">
        <v>2</v>
      </c>
      <c r="D261" s="0" t="inlineStr">
        <is>
          <t>강동큐브2차(도시형)</t>
        </is>
      </c>
      <c r="E261" s="0" t="inlineStr">
        <is>
          <t>2013.04.</t>
        </is>
      </c>
      <c r="F261" s="0" t="n">
        <v>236</v>
      </c>
      <c r="G261" s="0" t="n">
        <v>6.91</v>
      </c>
      <c r="H261" s="0" t="n">
        <v>22.85</v>
      </c>
      <c r="I261" s="0" t="n">
        <v>4.33</v>
      </c>
      <c r="J261" s="0" t="n">
        <v>14.32</v>
      </c>
      <c r="K261" s="0" t="n">
        <v>68</v>
      </c>
      <c r="T261" s="0" t="n">
        <v>1</v>
      </c>
      <c r="U261" s="0" t="n">
        <v>1</v>
      </c>
      <c r="V261" s="0" t="inlineStr">
        <is>
          <t>복도식</t>
        </is>
      </c>
      <c r="W261" s="0" t="inlineStr">
        <is>
          <t>22B</t>
        </is>
      </c>
      <c r="X261" s="0" t="n">
        <v>15</v>
      </c>
      <c r="Y261" s="0" t="n">
        <v>14</v>
      </c>
      <c r="Z261" s="0" t="inlineStr">
        <is>
          <t>https://new.land.naver.com/complexes/105870?tab=detail&amp;rf=Y</t>
        </is>
      </c>
      <c r="AA261" s="0" t="inlineStr">
        <is>
          <t>서울시 강동구 길동 415-13</t>
        </is>
      </c>
      <c r="AB261" s="0" t="inlineStr">
        <is>
          <t>서울시</t>
        </is>
      </c>
      <c r="AC261" s="0" t="inlineStr">
        <is>
          <t>강동구</t>
        </is>
      </c>
      <c r="AD261" s="0" t="inlineStr">
        <is>
          <t>길동</t>
        </is>
      </c>
      <c r="AG261" s="0" t="inlineStr">
        <is>
          <t>서울시 강동구 진황도로 85</t>
        </is>
      </c>
      <c r="AH261" s="0" t="n">
        <v>0</v>
      </c>
      <c r="AI261" s="0" t="n">
        <v>602</v>
      </c>
      <c r="AJ261" s="0" t="n">
        <v>59</v>
      </c>
      <c r="AK261" s="0" t="n">
        <v>52</v>
      </c>
      <c r="AL261" s="0" t="n">
        <v>0.22</v>
      </c>
    </row>
    <row r="262">
      <c r="A262" s="0" t="inlineStr">
        <is>
          <t>[길동]</t>
        </is>
      </c>
      <c r="B262" s="0" t="n">
        <v>105870</v>
      </c>
      <c r="C262" s="0" t="n">
        <v>3</v>
      </c>
      <c r="D262" s="0" t="inlineStr">
        <is>
          <t>강동큐브2차(도시형)</t>
        </is>
      </c>
      <c r="E262" s="0" t="inlineStr">
        <is>
          <t>2013.04.</t>
        </is>
      </c>
      <c r="F262" s="0" t="n">
        <v>236</v>
      </c>
      <c r="G262" s="0" t="n">
        <v>7.29</v>
      </c>
      <c r="H262" s="0" t="n">
        <v>24.13</v>
      </c>
      <c r="I262" s="0" t="n">
        <v>4.57</v>
      </c>
      <c r="J262" s="0" t="n">
        <v>15.12</v>
      </c>
      <c r="K262" s="0" t="n">
        <v>130</v>
      </c>
      <c r="T262" s="0" t="n">
        <v>1</v>
      </c>
      <c r="U262" s="0" t="n">
        <v>1</v>
      </c>
      <c r="V262" s="0" t="inlineStr">
        <is>
          <t>복도식</t>
        </is>
      </c>
      <c r="W262" s="0" t="inlineStr">
        <is>
          <t>24A</t>
        </is>
      </c>
      <c r="X262" s="0" t="n">
        <v>15</v>
      </c>
      <c r="Y262" s="0" t="n">
        <v>14</v>
      </c>
      <c r="Z262" s="0" t="inlineStr">
        <is>
          <t>https://new.land.naver.com/complexes/105870?tab=detail&amp;rf=Y</t>
        </is>
      </c>
      <c r="AA262" s="0" t="inlineStr">
        <is>
          <t>서울시 강동구 길동 415-13</t>
        </is>
      </c>
      <c r="AB262" s="0" t="inlineStr">
        <is>
          <t>서울시</t>
        </is>
      </c>
      <c r="AC262" s="0" t="inlineStr">
        <is>
          <t>강동구</t>
        </is>
      </c>
      <c r="AD262" s="0" t="inlineStr">
        <is>
          <t>길동</t>
        </is>
      </c>
      <c r="AG262" s="0" t="inlineStr">
        <is>
          <t>서울시 강동구 진황도로 85</t>
        </is>
      </c>
      <c r="AH262" s="0" t="n">
        <v>0</v>
      </c>
      <c r="AI262" s="0" t="n">
        <v>602</v>
      </c>
      <c r="AJ262" s="0" t="n">
        <v>59</v>
      </c>
      <c r="AK262" s="0" t="n">
        <v>52</v>
      </c>
      <c r="AL262" s="0" t="n">
        <v>0.22</v>
      </c>
    </row>
    <row r="263">
      <c r="A263" s="0" t="inlineStr">
        <is>
          <t>[길동]</t>
        </is>
      </c>
      <c r="B263" s="0" t="n">
        <v>105870</v>
      </c>
      <c r="C263" s="0" t="n">
        <v>4</v>
      </c>
      <c r="D263" s="0" t="inlineStr">
        <is>
          <t>강동큐브2차(도시형)</t>
        </is>
      </c>
      <c r="E263" s="0" t="inlineStr">
        <is>
          <t>2013.04.</t>
        </is>
      </c>
      <c r="F263" s="0" t="n">
        <v>236</v>
      </c>
      <c r="G263" s="0" t="n">
        <v>7.29</v>
      </c>
      <c r="H263" s="0" t="n">
        <v>24.13</v>
      </c>
      <c r="I263" s="0" t="n">
        <v>4.57</v>
      </c>
      <c r="J263" s="0" t="n">
        <v>15.12</v>
      </c>
      <c r="K263" s="0" t="n">
        <v>10</v>
      </c>
      <c r="T263" s="0" t="n">
        <v>1</v>
      </c>
      <c r="U263" s="0" t="n">
        <v>1</v>
      </c>
      <c r="V263" s="0" t="inlineStr">
        <is>
          <t>복도식</t>
        </is>
      </c>
      <c r="W263" s="0" t="inlineStr">
        <is>
          <t>24D</t>
        </is>
      </c>
      <c r="X263" s="0" t="n">
        <v>15</v>
      </c>
      <c r="Y263" s="0" t="n">
        <v>14</v>
      </c>
      <c r="Z263" s="0" t="inlineStr">
        <is>
          <t>https://new.land.naver.com/complexes/105870?tab=detail&amp;rf=Y</t>
        </is>
      </c>
      <c r="AA263" s="0" t="inlineStr">
        <is>
          <t>서울시 강동구 길동 415-13</t>
        </is>
      </c>
      <c r="AB263" s="0" t="inlineStr">
        <is>
          <t>서울시</t>
        </is>
      </c>
      <c r="AC263" s="0" t="inlineStr">
        <is>
          <t>강동구</t>
        </is>
      </c>
      <c r="AD263" s="0" t="inlineStr">
        <is>
          <t>길동</t>
        </is>
      </c>
      <c r="AG263" s="0" t="inlineStr">
        <is>
          <t>서울시 강동구 진황도로 85</t>
        </is>
      </c>
      <c r="AH263" s="0" t="n">
        <v>0</v>
      </c>
      <c r="AI263" s="0" t="n">
        <v>602</v>
      </c>
      <c r="AJ263" s="0" t="n">
        <v>59</v>
      </c>
      <c r="AK263" s="0" t="n">
        <v>52</v>
      </c>
      <c r="AL263" s="0" t="n">
        <v>0.22</v>
      </c>
    </row>
    <row r="264">
      <c r="A264" s="0" t="inlineStr">
        <is>
          <t>[길동]</t>
        </is>
      </c>
      <c r="B264" s="0" t="n">
        <v>17726</v>
      </c>
      <c r="C264" s="0" t="n">
        <v>1</v>
      </c>
      <c r="D264" s="0" t="inlineStr">
        <is>
          <t>길동예전이룸1차</t>
        </is>
      </c>
      <c r="E264" s="0" t="inlineStr">
        <is>
          <t>2004.12.</t>
        </is>
      </c>
      <c r="F264" s="0" t="n">
        <v>62</v>
      </c>
      <c r="G264" s="0" t="n">
        <v>19.73</v>
      </c>
      <c r="H264" s="0" t="n">
        <v>65.23999999999999</v>
      </c>
      <c r="I264" s="0" t="n">
        <v>16.08</v>
      </c>
      <c r="J264" s="0" t="n">
        <v>53.17</v>
      </c>
      <c r="K264" s="0" t="n">
        <v>2</v>
      </c>
      <c r="T264" s="0" t="n">
        <v>3</v>
      </c>
      <c r="U264" s="0" t="n">
        <v>1</v>
      </c>
      <c r="V264" s="0" t="inlineStr">
        <is>
          <t>계단식</t>
        </is>
      </c>
      <c r="W264" s="0" t="n">
        <v>65</v>
      </c>
      <c r="X264" s="0" t="n">
        <v>10</v>
      </c>
      <c r="Y264" s="0" t="n">
        <v>8</v>
      </c>
      <c r="Z264" s="0" t="inlineStr">
        <is>
          <t>https://new.land.naver.com/complexes/17726?tab=detail&amp;rf=Y</t>
        </is>
      </c>
      <c r="AA264" s="0" t="inlineStr">
        <is>
          <t>서울시 강동구 길동 242-6</t>
        </is>
      </c>
      <c r="AB264" s="0" t="inlineStr">
        <is>
          <t>서울시</t>
        </is>
      </c>
      <c r="AC264" s="0" t="inlineStr">
        <is>
          <t>강동구</t>
        </is>
      </c>
      <c r="AD264" s="0" t="inlineStr">
        <is>
          <t>길동</t>
        </is>
      </c>
      <c r="AG264" s="0" t="inlineStr">
        <is>
          <t>서울시 강동구 양재대로110길 28</t>
        </is>
      </c>
      <c r="AH264" s="0" t="n">
        <v>0</v>
      </c>
      <c r="AI264" s="0" t="n">
        <v>250</v>
      </c>
      <c r="AJ264" s="0" t="n">
        <v>31</v>
      </c>
      <c r="AK264" s="0" t="n">
        <v>62</v>
      </c>
      <c r="AL264" s="0" t="n">
        <v>1</v>
      </c>
    </row>
    <row r="265">
      <c r="A265" s="0" t="inlineStr">
        <is>
          <t>[길동]</t>
        </is>
      </c>
      <c r="B265" s="0" t="n">
        <v>17726</v>
      </c>
      <c r="C265" s="0" t="n">
        <v>2</v>
      </c>
      <c r="D265" s="0" t="inlineStr">
        <is>
          <t>길동예전이룸1차</t>
        </is>
      </c>
      <c r="E265" s="0" t="inlineStr">
        <is>
          <t>2004.12.</t>
        </is>
      </c>
      <c r="F265" s="0" t="n">
        <v>62</v>
      </c>
      <c r="G265" s="0" t="n">
        <v>23.72</v>
      </c>
      <c r="H265" s="0" t="n">
        <v>78.42</v>
      </c>
      <c r="I265" s="0" t="n">
        <v>19.53</v>
      </c>
      <c r="J265" s="0" t="n">
        <v>64.58</v>
      </c>
      <c r="K265" s="0" t="n">
        <v>1</v>
      </c>
      <c r="T265" s="0" t="n">
        <v>3</v>
      </c>
      <c r="U265" s="0" t="n">
        <v>1</v>
      </c>
      <c r="V265" s="0" t="inlineStr">
        <is>
          <t>계단식</t>
        </is>
      </c>
      <c r="W265" s="0" t="n">
        <v>78</v>
      </c>
      <c r="X265" s="0" t="n">
        <v>10</v>
      </c>
      <c r="Y265" s="0" t="n">
        <v>8</v>
      </c>
      <c r="Z265" s="0" t="inlineStr">
        <is>
          <t>https://new.land.naver.com/complexes/17726?tab=detail&amp;rf=Y</t>
        </is>
      </c>
      <c r="AA265" s="0" t="inlineStr">
        <is>
          <t>서울시 강동구 길동 242-6</t>
        </is>
      </c>
      <c r="AB265" s="0" t="inlineStr">
        <is>
          <t>서울시</t>
        </is>
      </c>
      <c r="AC265" s="0" t="inlineStr">
        <is>
          <t>강동구</t>
        </is>
      </c>
      <c r="AD265" s="0" t="inlineStr">
        <is>
          <t>길동</t>
        </is>
      </c>
      <c r="AG265" s="0" t="inlineStr">
        <is>
          <t>서울시 강동구 양재대로110길 28</t>
        </is>
      </c>
      <c r="AH265" s="0" t="n">
        <v>0</v>
      </c>
      <c r="AI265" s="0" t="n">
        <v>250</v>
      </c>
      <c r="AJ265" s="0" t="n">
        <v>31</v>
      </c>
      <c r="AK265" s="0" t="n">
        <v>62</v>
      </c>
      <c r="AL265" s="0" t="n">
        <v>1</v>
      </c>
    </row>
    <row r="266">
      <c r="A266" s="0" t="inlineStr">
        <is>
          <t>[길동]</t>
        </is>
      </c>
      <c r="B266" s="0" t="n">
        <v>17726</v>
      </c>
      <c r="C266" s="0" t="n">
        <v>3</v>
      </c>
      <c r="D266" s="0" t="inlineStr">
        <is>
          <t>길동예전이룸1차</t>
        </is>
      </c>
      <c r="E266" s="0" t="inlineStr">
        <is>
          <t>2004.12.</t>
        </is>
      </c>
      <c r="F266" s="0" t="n">
        <v>62</v>
      </c>
      <c r="G266" s="0" t="n">
        <v>25.86</v>
      </c>
      <c r="H266" s="0" t="n">
        <v>85.48999999999999</v>
      </c>
      <c r="I266" s="0" t="n">
        <v>21.58</v>
      </c>
      <c r="J266" s="0" t="n">
        <v>71.37</v>
      </c>
      <c r="K266" s="0" t="n">
        <v>9</v>
      </c>
      <c r="T266" s="0" t="n">
        <v>3</v>
      </c>
      <c r="U266" s="0" t="n">
        <v>2</v>
      </c>
      <c r="V266" s="0" t="inlineStr">
        <is>
          <t>계단식</t>
        </is>
      </c>
      <c r="W266" s="0" t="inlineStr">
        <is>
          <t>85A</t>
        </is>
      </c>
      <c r="X266" s="0" t="n">
        <v>10</v>
      </c>
      <c r="Y266" s="0" t="n">
        <v>8</v>
      </c>
      <c r="Z266" s="0" t="inlineStr">
        <is>
          <t>https://new.land.naver.com/complexes/17726?tab=detail&amp;rf=Y</t>
        </is>
      </c>
      <c r="AA266" s="0" t="inlineStr">
        <is>
          <t>서울시 강동구 길동 242-6</t>
        </is>
      </c>
      <c r="AB266" s="0" t="inlineStr">
        <is>
          <t>서울시</t>
        </is>
      </c>
      <c r="AC266" s="0" t="inlineStr">
        <is>
          <t>강동구</t>
        </is>
      </c>
      <c r="AD266" s="0" t="inlineStr">
        <is>
          <t>길동</t>
        </is>
      </c>
      <c r="AG266" s="0" t="inlineStr">
        <is>
          <t>서울시 강동구 양재대로110길 28</t>
        </is>
      </c>
      <c r="AH266" s="0" t="n">
        <v>0</v>
      </c>
      <c r="AI266" s="0" t="n">
        <v>250</v>
      </c>
      <c r="AJ266" s="0" t="n">
        <v>31</v>
      </c>
      <c r="AK266" s="0" t="n">
        <v>62</v>
      </c>
      <c r="AL266" s="0" t="n">
        <v>1</v>
      </c>
    </row>
    <row r="267">
      <c r="A267" s="0" t="inlineStr">
        <is>
          <t>[길동]</t>
        </is>
      </c>
      <c r="B267" s="0" t="n">
        <v>17726</v>
      </c>
      <c r="C267" s="0" t="n">
        <v>4</v>
      </c>
      <c r="D267" s="0" t="inlineStr">
        <is>
          <t>길동예전이룸1차</t>
        </is>
      </c>
      <c r="E267" s="0" t="inlineStr">
        <is>
          <t>2004.12.</t>
        </is>
      </c>
      <c r="F267" s="0" t="n">
        <v>62</v>
      </c>
      <c r="G267" s="0" t="n">
        <v>26.02</v>
      </c>
      <c r="H267" s="0" t="n">
        <v>86.03</v>
      </c>
      <c r="I267" s="0" t="n">
        <v>21.62</v>
      </c>
      <c r="J267" s="0" t="n">
        <v>71.48999999999999</v>
      </c>
      <c r="K267" s="0" t="n">
        <v>7</v>
      </c>
      <c r="T267" s="0" t="n">
        <v>3</v>
      </c>
      <c r="U267" s="0" t="n">
        <v>2</v>
      </c>
      <c r="V267" s="0" t="inlineStr">
        <is>
          <t>계단식</t>
        </is>
      </c>
      <c r="W267" s="0" t="inlineStr">
        <is>
          <t>86B</t>
        </is>
      </c>
      <c r="X267" s="0" t="n">
        <v>10</v>
      </c>
      <c r="Y267" s="0" t="n">
        <v>8</v>
      </c>
      <c r="Z267" s="0" t="inlineStr">
        <is>
          <t>https://new.land.naver.com/complexes/17726?tab=detail&amp;rf=Y</t>
        </is>
      </c>
      <c r="AA267" s="0" t="inlineStr">
        <is>
          <t>서울시 강동구 길동 242-6</t>
        </is>
      </c>
      <c r="AB267" s="0" t="inlineStr">
        <is>
          <t>서울시</t>
        </is>
      </c>
      <c r="AC267" s="0" t="inlineStr">
        <is>
          <t>강동구</t>
        </is>
      </c>
      <c r="AD267" s="0" t="inlineStr">
        <is>
          <t>길동</t>
        </is>
      </c>
      <c r="AG267" s="0" t="inlineStr">
        <is>
          <t>서울시 강동구 양재대로110길 28</t>
        </is>
      </c>
      <c r="AH267" s="0" t="n">
        <v>0</v>
      </c>
      <c r="AI267" s="0" t="n">
        <v>250</v>
      </c>
      <c r="AJ267" s="0" t="n">
        <v>31</v>
      </c>
      <c r="AK267" s="0" t="n">
        <v>62</v>
      </c>
      <c r="AL267" s="0" t="n">
        <v>1</v>
      </c>
    </row>
    <row r="268">
      <c r="A268" s="0" t="inlineStr">
        <is>
          <t>[길동]</t>
        </is>
      </c>
      <c r="B268" s="0" t="n">
        <v>17726</v>
      </c>
      <c r="C268" s="0" t="n">
        <v>5</v>
      </c>
      <c r="D268" s="0" t="inlineStr">
        <is>
          <t>길동예전이룸1차</t>
        </is>
      </c>
      <c r="E268" s="0" t="inlineStr">
        <is>
          <t>2004.12.</t>
        </is>
      </c>
      <c r="F268" s="0" t="n">
        <v>62</v>
      </c>
      <c r="G268" s="0" t="n">
        <v>27.38</v>
      </c>
      <c r="H268" s="0" t="n">
        <v>90.52</v>
      </c>
      <c r="I268" s="0" t="n">
        <v>22.66</v>
      </c>
      <c r="J268" s="0" t="n">
        <v>74.94</v>
      </c>
      <c r="K268" s="0" t="n">
        <v>3</v>
      </c>
      <c r="T268" s="0" t="n">
        <v>3</v>
      </c>
      <c r="U268" s="0" t="n">
        <v>2</v>
      </c>
      <c r="V268" s="0" t="inlineStr">
        <is>
          <t>계단식</t>
        </is>
      </c>
      <c r="W268" s="0" t="n">
        <v>90</v>
      </c>
      <c r="X268" s="0" t="n">
        <v>10</v>
      </c>
      <c r="Y268" s="0" t="n">
        <v>8</v>
      </c>
      <c r="Z268" s="0" t="inlineStr">
        <is>
          <t>https://new.land.naver.com/complexes/17726?tab=detail&amp;rf=Y</t>
        </is>
      </c>
      <c r="AA268" s="0" t="inlineStr">
        <is>
          <t>서울시 강동구 길동 242-6</t>
        </is>
      </c>
      <c r="AB268" s="0" t="inlineStr">
        <is>
          <t>서울시</t>
        </is>
      </c>
      <c r="AC268" s="0" t="inlineStr">
        <is>
          <t>강동구</t>
        </is>
      </c>
      <c r="AD268" s="0" t="inlineStr">
        <is>
          <t>길동</t>
        </is>
      </c>
      <c r="AG268" s="0" t="inlineStr">
        <is>
          <t>서울시 강동구 양재대로110길 28</t>
        </is>
      </c>
      <c r="AH268" s="0" t="n">
        <v>0</v>
      </c>
      <c r="AI268" s="0" t="n">
        <v>250</v>
      </c>
      <c r="AJ268" s="0" t="n">
        <v>31</v>
      </c>
      <c r="AK268" s="0" t="n">
        <v>62</v>
      </c>
      <c r="AL268" s="0" t="n">
        <v>1</v>
      </c>
    </row>
    <row r="269">
      <c r="A269" s="0" t="inlineStr">
        <is>
          <t>[길동]</t>
        </is>
      </c>
      <c r="B269" s="0" t="n">
        <v>17726</v>
      </c>
      <c r="C269" s="0" t="n">
        <v>6</v>
      </c>
      <c r="D269" s="0" t="inlineStr">
        <is>
          <t>길동예전이룸1차</t>
        </is>
      </c>
      <c r="E269" s="0" t="inlineStr">
        <is>
          <t>2004.12.</t>
        </is>
      </c>
      <c r="F269" s="0" t="n">
        <v>62</v>
      </c>
      <c r="G269" s="0" t="n">
        <v>28.01</v>
      </c>
      <c r="H269" s="0" t="n">
        <v>92.62</v>
      </c>
      <c r="I269" s="0" t="n">
        <v>23.16</v>
      </c>
      <c r="J269" s="0" t="n">
        <v>76.56999999999999</v>
      </c>
      <c r="K269" s="0" t="n">
        <v>26</v>
      </c>
      <c r="T269" s="0" t="n">
        <v>3</v>
      </c>
      <c r="U269" s="0" t="n">
        <v>2</v>
      </c>
      <c r="V269" s="0" t="inlineStr">
        <is>
          <t>계단식</t>
        </is>
      </c>
      <c r="W269" s="0" t="inlineStr">
        <is>
          <t>92A</t>
        </is>
      </c>
      <c r="X269" s="0" t="n">
        <v>10</v>
      </c>
      <c r="Y269" s="0" t="n">
        <v>8</v>
      </c>
      <c r="Z269" s="0" t="inlineStr">
        <is>
          <t>https://new.land.naver.com/complexes/17726?tab=detail&amp;rf=Y</t>
        </is>
      </c>
      <c r="AA269" s="0" t="inlineStr">
        <is>
          <t>서울시 강동구 길동 242-6</t>
        </is>
      </c>
      <c r="AB269" s="0" t="inlineStr">
        <is>
          <t>서울시</t>
        </is>
      </c>
      <c r="AC269" s="0" t="inlineStr">
        <is>
          <t>강동구</t>
        </is>
      </c>
      <c r="AD269" s="0" t="inlineStr">
        <is>
          <t>길동</t>
        </is>
      </c>
      <c r="AG269" s="0" t="inlineStr">
        <is>
          <t>서울시 강동구 양재대로110길 28</t>
        </is>
      </c>
      <c r="AH269" s="0" t="n">
        <v>0</v>
      </c>
      <c r="AI269" s="0" t="n">
        <v>250</v>
      </c>
      <c r="AJ269" s="0" t="n">
        <v>31</v>
      </c>
      <c r="AK269" s="0" t="n">
        <v>62</v>
      </c>
      <c r="AL269" s="0" t="n">
        <v>1</v>
      </c>
    </row>
    <row r="270">
      <c r="A270" s="0" t="inlineStr">
        <is>
          <t>[길동]</t>
        </is>
      </c>
      <c r="B270" s="0" t="n">
        <v>17726</v>
      </c>
      <c r="C270" s="0" t="n">
        <v>7</v>
      </c>
      <c r="D270" s="0" t="inlineStr">
        <is>
          <t>길동예전이룸1차</t>
        </is>
      </c>
      <c r="E270" s="0" t="inlineStr">
        <is>
          <t>2004.12.</t>
        </is>
      </c>
      <c r="F270" s="0" t="n">
        <v>62</v>
      </c>
      <c r="G270" s="0" t="n">
        <v>28.11</v>
      </c>
      <c r="H270" s="0" t="n">
        <v>92.95</v>
      </c>
      <c r="I270" s="0" t="n">
        <v>23.33</v>
      </c>
      <c r="J270" s="0" t="n">
        <v>77.15000000000001</v>
      </c>
      <c r="K270" s="0" t="n">
        <v>14</v>
      </c>
      <c r="T270" s="0" t="n">
        <v>3</v>
      </c>
      <c r="U270" s="0" t="n">
        <v>2</v>
      </c>
      <c r="V270" s="0" t="inlineStr">
        <is>
          <t>계단식</t>
        </is>
      </c>
      <c r="W270" s="0" t="inlineStr">
        <is>
          <t>92B</t>
        </is>
      </c>
      <c r="X270" s="0" t="n">
        <v>10</v>
      </c>
      <c r="Y270" s="0" t="n">
        <v>8</v>
      </c>
      <c r="Z270" s="0" t="inlineStr">
        <is>
          <t>https://new.land.naver.com/complexes/17726?tab=detail&amp;rf=Y</t>
        </is>
      </c>
      <c r="AA270" s="0" t="inlineStr">
        <is>
          <t>서울시 강동구 길동 242-6</t>
        </is>
      </c>
      <c r="AB270" s="0" t="inlineStr">
        <is>
          <t>서울시</t>
        </is>
      </c>
      <c r="AC270" s="0" t="inlineStr">
        <is>
          <t>강동구</t>
        </is>
      </c>
      <c r="AD270" s="0" t="inlineStr">
        <is>
          <t>길동</t>
        </is>
      </c>
      <c r="AG270" s="0" t="inlineStr">
        <is>
          <t>서울시 강동구 양재대로110길 28</t>
        </is>
      </c>
      <c r="AH270" s="0" t="n">
        <v>0</v>
      </c>
      <c r="AI270" s="0" t="n">
        <v>250</v>
      </c>
      <c r="AJ270" s="0" t="n">
        <v>31</v>
      </c>
      <c r="AK270" s="0" t="n">
        <v>62</v>
      </c>
      <c r="AL270" s="0" t="n">
        <v>1</v>
      </c>
    </row>
    <row r="271">
      <c r="A271" s="0" t="inlineStr">
        <is>
          <t>[길동]</t>
        </is>
      </c>
      <c r="B271" s="0" t="n">
        <v>19250</v>
      </c>
      <c r="C271" s="0" t="n">
        <v>1</v>
      </c>
      <c r="D271" s="0" t="inlineStr">
        <is>
          <t>한솔브리즈</t>
        </is>
      </c>
      <c r="E271" s="0" t="inlineStr">
        <is>
          <t>2004.10.</t>
        </is>
      </c>
      <c r="F271" s="0" t="n">
        <v>35</v>
      </c>
      <c r="G271" s="0" t="n">
        <v>30.52</v>
      </c>
      <c r="H271" s="0" t="n">
        <v>100.9</v>
      </c>
      <c r="I271" s="0" t="n">
        <v>25.67</v>
      </c>
      <c r="J271" s="0" t="n">
        <v>84.89</v>
      </c>
      <c r="K271" s="0" t="n">
        <v>26</v>
      </c>
      <c r="T271" s="0" t="n">
        <v>3</v>
      </c>
      <c r="U271" s="0" t="n">
        <v>2</v>
      </c>
      <c r="V271" s="0" t="inlineStr">
        <is>
          <t>계단식</t>
        </is>
      </c>
      <c r="W271" s="0" t="n">
        <v>100</v>
      </c>
      <c r="X271" s="0" t="n">
        <v>14</v>
      </c>
      <c r="Y271" s="0" t="n">
        <v>10</v>
      </c>
      <c r="Z271" s="0" t="inlineStr">
        <is>
          <t>https://new.land.naver.com/complexes/19250?tab=detail&amp;rf=Y</t>
        </is>
      </c>
      <c r="AA271" s="0" t="inlineStr">
        <is>
          <t>서울시 강동구 길동 415-11</t>
        </is>
      </c>
      <c r="AB271" s="0" t="inlineStr">
        <is>
          <t>서울시</t>
        </is>
      </c>
      <c r="AC271" s="0" t="inlineStr">
        <is>
          <t>강동구</t>
        </is>
      </c>
      <c r="AD271" s="0" t="inlineStr">
        <is>
          <t>길동</t>
        </is>
      </c>
      <c r="AG271" s="0" t="inlineStr">
        <is>
          <t>서울시 강동구 천호대로173길 50</t>
        </is>
      </c>
      <c r="AH271" s="0" t="n">
        <v>0</v>
      </c>
      <c r="AI271" s="0" t="n">
        <v>358</v>
      </c>
      <c r="AJ271" s="0" t="n">
        <v>56</v>
      </c>
      <c r="AK271" s="0" t="n">
        <v>41</v>
      </c>
      <c r="AL271" s="0" t="n">
        <v>1.17</v>
      </c>
    </row>
    <row r="272">
      <c r="A272" s="0" t="inlineStr">
        <is>
          <t>[길동]</t>
        </is>
      </c>
      <c r="B272" s="0" t="n">
        <v>19250</v>
      </c>
      <c r="C272" s="0" t="n">
        <v>2</v>
      </c>
      <c r="D272" s="0" t="inlineStr">
        <is>
          <t>한솔브리즈</t>
        </is>
      </c>
      <c r="E272" s="0" t="inlineStr">
        <is>
          <t>2004.10.</t>
        </is>
      </c>
      <c r="F272" s="0" t="n">
        <v>35</v>
      </c>
      <c r="G272" s="0" t="n">
        <v>44.96</v>
      </c>
      <c r="H272" s="0" t="n">
        <v>148.63</v>
      </c>
      <c r="I272" s="0" t="n">
        <v>37.82</v>
      </c>
      <c r="J272" s="0" t="n">
        <v>125.04</v>
      </c>
      <c r="K272" s="0" t="n">
        <v>9</v>
      </c>
      <c r="T272" s="0" t="n">
        <v>4</v>
      </c>
      <c r="U272" s="0" t="n">
        <v>2</v>
      </c>
      <c r="V272" s="0" t="inlineStr">
        <is>
          <t>계단식</t>
        </is>
      </c>
      <c r="W272" s="0" t="n">
        <v>148</v>
      </c>
      <c r="X272" s="0" t="n">
        <v>14</v>
      </c>
      <c r="Y272" s="0" t="n">
        <v>10</v>
      </c>
      <c r="Z272" s="0" t="inlineStr">
        <is>
          <t>https://new.land.naver.com/complexes/19250?tab=detail&amp;rf=Y</t>
        </is>
      </c>
      <c r="AA272" s="0" t="inlineStr">
        <is>
          <t>서울시 강동구 길동 415-11</t>
        </is>
      </c>
      <c r="AB272" s="0" t="inlineStr">
        <is>
          <t>서울시</t>
        </is>
      </c>
      <c r="AC272" s="0" t="inlineStr">
        <is>
          <t>강동구</t>
        </is>
      </c>
      <c r="AD272" s="0" t="inlineStr">
        <is>
          <t>길동</t>
        </is>
      </c>
      <c r="AG272" s="0" t="inlineStr">
        <is>
          <t>서울시 강동구 천호대로173길 50</t>
        </is>
      </c>
      <c r="AH272" s="0" t="n">
        <v>0</v>
      </c>
      <c r="AI272" s="0" t="n">
        <v>358</v>
      </c>
      <c r="AJ272" s="0" t="n">
        <v>56</v>
      </c>
      <c r="AK272" s="0" t="n">
        <v>41</v>
      </c>
      <c r="AL272" s="0" t="n">
        <v>1.17</v>
      </c>
    </row>
    <row r="273">
      <c r="A273" s="0" t="inlineStr">
        <is>
          <t>[길동]</t>
        </is>
      </c>
      <c r="B273" s="0" t="n">
        <v>9606</v>
      </c>
      <c r="C273" s="0" t="n">
        <v>1</v>
      </c>
      <c r="D273" s="0" t="inlineStr">
        <is>
          <t>문화</t>
        </is>
      </c>
      <c r="E273" s="0" t="inlineStr">
        <is>
          <t>1998.07.</t>
        </is>
      </c>
      <c r="F273" s="0" t="n">
        <v>43</v>
      </c>
      <c r="G273" s="0" t="n">
        <v>23.2</v>
      </c>
      <c r="H273" s="0" t="n">
        <v>76.70999999999999</v>
      </c>
      <c r="I273" s="0" t="n">
        <v>18.12</v>
      </c>
      <c r="J273" s="0" t="n">
        <v>59.92</v>
      </c>
      <c r="K273" s="0" t="n">
        <v>22</v>
      </c>
      <c r="T273" s="0" t="n">
        <v>3</v>
      </c>
      <c r="U273" s="0" t="n">
        <v>1</v>
      </c>
      <c r="V273" s="0" t="inlineStr">
        <is>
          <t>계단식</t>
        </is>
      </c>
      <c r="W273" s="0" t="n">
        <v>76</v>
      </c>
      <c r="X273" s="0" t="n">
        <v>11</v>
      </c>
      <c r="Y273" s="0" t="n">
        <v>10</v>
      </c>
      <c r="Z273" s="0" t="inlineStr">
        <is>
          <t>https://new.land.naver.com/complexes/9606?tab=detail&amp;rf=Y</t>
        </is>
      </c>
      <c r="AA273" s="0" t="inlineStr">
        <is>
          <t>서울시 강동구 길동 356-8</t>
        </is>
      </c>
      <c r="AB273" s="0" t="inlineStr">
        <is>
          <t>서울시</t>
        </is>
      </c>
      <c r="AC273" s="0" t="inlineStr">
        <is>
          <t>강동구</t>
        </is>
      </c>
      <c r="AD273" s="0" t="inlineStr">
        <is>
          <t>길동</t>
        </is>
      </c>
      <c r="AG273" s="0" t="inlineStr">
        <is>
          <t>서울시 강동구 천중로52길 24-1</t>
        </is>
      </c>
      <c r="AH273" s="0" t="n">
        <v>0</v>
      </c>
      <c r="AI273" s="0" t="n">
        <v>0</v>
      </c>
      <c r="AJ273" s="0" t="n">
        <v>0</v>
      </c>
      <c r="AK273" s="0" t="n">
        <v>48</v>
      </c>
      <c r="AL273" s="0" t="n">
        <v>1.12</v>
      </c>
    </row>
    <row r="274">
      <c r="A274" s="0" t="inlineStr">
        <is>
          <t>[길동]</t>
        </is>
      </c>
      <c r="B274" s="0" t="n">
        <v>9606</v>
      </c>
      <c r="C274" s="0" t="n">
        <v>2</v>
      </c>
      <c r="D274" s="0" t="inlineStr">
        <is>
          <t>문화</t>
        </is>
      </c>
      <c r="E274" s="0" t="inlineStr">
        <is>
          <t>1998.07.</t>
        </is>
      </c>
      <c r="F274" s="0" t="n">
        <v>43</v>
      </c>
      <c r="G274" s="0" t="n">
        <v>28.93</v>
      </c>
      <c r="H274" s="0" t="n">
        <v>95.66</v>
      </c>
      <c r="I274" s="0" t="n">
        <v>22.6</v>
      </c>
      <c r="J274" s="0" t="n">
        <v>74.73999999999999</v>
      </c>
      <c r="K274" s="0" t="n">
        <v>1</v>
      </c>
      <c r="T274" s="0" t="n">
        <v>3</v>
      </c>
      <c r="U274" s="0" t="n">
        <v>1</v>
      </c>
      <c r="V274" s="0" t="inlineStr">
        <is>
          <t>계단식</t>
        </is>
      </c>
      <c r="W274" s="0" t="n">
        <v>95</v>
      </c>
      <c r="X274" s="0" t="n">
        <v>11</v>
      </c>
      <c r="Y274" s="0" t="n">
        <v>10</v>
      </c>
      <c r="Z274" s="0" t="inlineStr">
        <is>
          <t>https://new.land.naver.com/complexes/9606?tab=detail&amp;rf=Y</t>
        </is>
      </c>
      <c r="AA274" s="0" t="inlineStr">
        <is>
          <t>서울시 강동구 길동 356-8</t>
        </is>
      </c>
      <c r="AB274" s="0" t="inlineStr">
        <is>
          <t>서울시</t>
        </is>
      </c>
      <c r="AC274" s="0" t="inlineStr">
        <is>
          <t>강동구</t>
        </is>
      </c>
      <c r="AD274" s="0" t="inlineStr">
        <is>
          <t>길동</t>
        </is>
      </c>
      <c r="AG274" s="0" t="inlineStr">
        <is>
          <t>서울시 강동구 천중로52길 24-1</t>
        </is>
      </c>
      <c r="AH274" s="0" t="n">
        <v>0</v>
      </c>
      <c r="AI274" s="0" t="n">
        <v>0</v>
      </c>
      <c r="AJ274" s="0" t="n">
        <v>0</v>
      </c>
      <c r="AK274" s="0" t="n">
        <v>48</v>
      </c>
      <c r="AL274" s="0" t="n">
        <v>1.12</v>
      </c>
    </row>
    <row r="275">
      <c r="A275" s="0" t="inlineStr">
        <is>
          <t>[길동]</t>
        </is>
      </c>
      <c r="B275" s="0" t="n">
        <v>9606</v>
      </c>
      <c r="C275" s="0" t="n">
        <v>3</v>
      </c>
      <c r="D275" s="0" t="inlineStr">
        <is>
          <t>문화</t>
        </is>
      </c>
      <c r="E275" s="0" t="inlineStr">
        <is>
          <t>1998.07.</t>
        </is>
      </c>
      <c r="F275" s="0" t="n">
        <v>43</v>
      </c>
      <c r="G275" s="0" t="n">
        <v>32.05</v>
      </c>
      <c r="H275" s="0" t="n">
        <v>105.96</v>
      </c>
      <c r="I275" s="0" t="n">
        <v>25.03</v>
      </c>
      <c r="J275" s="0" t="n">
        <v>82.76000000000001</v>
      </c>
      <c r="K275" s="0" t="n">
        <v>20</v>
      </c>
      <c r="T275" s="0" t="n">
        <v>3</v>
      </c>
      <c r="U275" s="0" t="n">
        <v>2</v>
      </c>
      <c r="V275" s="0" t="inlineStr">
        <is>
          <t>계단식</t>
        </is>
      </c>
      <c r="W275" s="0" t="n">
        <v>105</v>
      </c>
      <c r="X275" s="0" t="n">
        <v>11</v>
      </c>
      <c r="Y275" s="0" t="n">
        <v>10</v>
      </c>
      <c r="Z275" s="0" t="inlineStr">
        <is>
          <t>https://new.land.naver.com/complexes/9606?tab=detail&amp;rf=Y</t>
        </is>
      </c>
      <c r="AA275" s="0" t="inlineStr">
        <is>
          <t>서울시 강동구 길동 356-8</t>
        </is>
      </c>
      <c r="AB275" s="0" t="inlineStr">
        <is>
          <t>서울시</t>
        </is>
      </c>
      <c r="AC275" s="0" t="inlineStr">
        <is>
          <t>강동구</t>
        </is>
      </c>
      <c r="AD275" s="0" t="inlineStr">
        <is>
          <t>길동</t>
        </is>
      </c>
      <c r="AG275" s="0" t="inlineStr">
        <is>
          <t>서울시 강동구 천중로52길 24-1</t>
        </is>
      </c>
      <c r="AH275" s="0" t="n">
        <v>0</v>
      </c>
      <c r="AI275" s="0" t="n">
        <v>0</v>
      </c>
      <c r="AJ275" s="0" t="n">
        <v>0</v>
      </c>
      <c r="AK275" s="0" t="n">
        <v>48</v>
      </c>
      <c r="AL275" s="0" t="n">
        <v>1.12</v>
      </c>
    </row>
    <row r="276">
      <c r="A276" s="0" t="inlineStr">
        <is>
          <t>[길동]</t>
        </is>
      </c>
      <c r="B276" s="0" t="n">
        <v>1283</v>
      </c>
      <c r="C276" s="0" t="n">
        <v>1</v>
      </c>
      <c r="D276" s="0" t="inlineStr">
        <is>
          <t>삼익파크맨숀</t>
        </is>
      </c>
      <c r="E276" s="0" t="inlineStr">
        <is>
          <t>1982.09.</t>
        </is>
      </c>
      <c r="F276" s="0" t="n">
        <v>1092</v>
      </c>
      <c r="G276" s="0" t="n">
        <v>18.06</v>
      </c>
      <c r="H276" s="0" t="n">
        <v>59.73</v>
      </c>
      <c r="I276" s="0" t="n">
        <v>16.84</v>
      </c>
      <c r="J276" s="0" t="n">
        <v>55.7</v>
      </c>
      <c r="K276" s="0" t="n">
        <v>33</v>
      </c>
      <c r="T276" s="0" t="n">
        <v>2</v>
      </c>
      <c r="U276" s="0" t="n">
        <v>1</v>
      </c>
      <c r="V276" s="0" t="inlineStr">
        <is>
          <t>복도식</t>
        </is>
      </c>
      <c r="W276" s="0" t="inlineStr">
        <is>
          <t>59A</t>
        </is>
      </c>
      <c r="X276" s="0" t="n">
        <v>12</v>
      </c>
      <c r="Y276" s="0" t="n">
        <v>12</v>
      </c>
      <c r="Z276" s="0" t="inlineStr">
        <is>
          <t>https://new.land.naver.com/complexes/1283?tab=detail&amp;rf=Y</t>
        </is>
      </c>
      <c r="AA276" s="0" t="inlineStr">
        <is>
          <t>서울시 강동구 길동 54</t>
        </is>
      </c>
      <c r="AB276" s="0" t="inlineStr">
        <is>
          <t>서울시</t>
        </is>
      </c>
      <c r="AC276" s="0" t="inlineStr">
        <is>
          <t>강동구</t>
        </is>
      </c>
      <c r="AD276" s="0" t="inlineStr">
        <is>
          <t>길동</t>
        </is>
      </c>
      <c r="AG276" s="0" t="inlineStr">
        <is>
          <t>서울시 강동구 명일로 293</t>
        </is>
      </c>
      <c r="AH276" s="0" t="n">
        <v>0</v>
      </c>
      <c r="AI276" s="0" t="n">
        <v>188</v>
      </c>
      <c r="AJ276" s="0" t="n">
        <v>0</v>
      </c>
      <c r="AK276" s="0" t="n">
        <v>1102</v>
      </c>
      <c r="AL276" s="0" t="n">
        <v>1.01</v>
      </c>
    </row>
    <row r="277">
      <c r="A277" s="0" t="inlineStr">
        <is>
          <t>[길동]</t>
        </is>
      </c>
      <c r="B277" s="0" t="n">
        <v>1283</v>
      </c>
      <c r="C277" s="0" t="n">
        <v>2</v>
      </c>
      <c r="D277" s="0" t="inlineStr">
        <is>
          <t>삼익파크맨숀</t>
        </is>
      </c>
      <c r="E277" s="0" t="inlineStr">
        <is>
          <t>1982.09.</t>
        </is>
      </c>
      <c r="F277" s="0" t="n">
        <v>1092</v>
      </c>
      <c r="G277" s="0" t="n">
        <v>18.22</v>
      </c>
      <c r="H277" s="0" t="n">
        <v>60.24</v>
      </c>
      <c r="I277" s="0" t="n">
        <v>16.99</v>
      </c>
      <c r="J277" s="0" t="n">
        <v>56.17</v>
      </c>
      <c r="K277" s="0" t="n">
        <v>33</v>
      </c>
      <c r="T277" s="0" t="n">
        <v>2</v>
      </c>
      <c r="U277" s="0" t="n">
        <v>1</v>
      </c>
      <c r="V277" s="0" t="inlineStr">
        <is>
          <t>복도식</t>
        </is>
      </c>
      <c r="W277" s="0" t="inlineStr">
        <is>
          <t>60B</t>
        </is>
      </c>
      <c r="X277" s="0" t="n">
        <v>12</v>
      </c>
      <c r="Y277" s="0" t="n">
        <v>12</v>
      </c>
      <c r="Z277" s="0" t="inlineStr">
        <is>
          <t>https://new.land.naver.com/complexes/1283?tab=detail&amp;rf=Y</t>
        </is>
      </c>
      <c r="AA277" s="0" t="inlineStr">
        <is>
          <t>서울시 강동구 길동 54</t>
        </is>
      </c>
      <c r="AB277" s="0" t="inlineStr">
        <is>
          <t>서울시</t>
        </is>
      </c>
      <c r="AC277" s="0" t="inlineStr">
        <is>
          <t>강동구</t>
        </is>
      </c>
      <c r="AD277" s="0" t="inlineStr">
        <is>
          <t>길동</t>
        </is>
      </c>
      <c r="AG277" s="0" t="inlineStr">
        <is>
          <t>서울시 강동구 명일로 293</t>
        </is>
      </c>
      <c r="AH277" s="0" t="n">
        <v>0</v>
      </c>
      <c r="AI277" s="0" t="n">
        <v>188</v>
      </c>
      <c r="AJ277" s="0" t="n">
        <v>0</v>
      </c>
      <c r="AK277" s="0" t="n">
        <v>1102</v>
      </c>
      <c r="AL277" s="0" t="n">
        <v>1.01</v>
      </c>
    </row>
    <row r="278">
      <c r="A278" s="0" t="inlineStr">
        <is>
          <t>[길동]</t>
        </is>
      </c>
      <c r="B278" s="0" t="n">
        <v>1283</v>
      </c>
      <c r="C278" s="0" t="n">
        <v>3</v>
      </c>
      <c r="D278" s="0" t="inlineStr">
        <is>
          <t>삼익파크맨숀</t>
        </is>
      </c>
      <c r="E278" s="0" t="inlineStr">
        <is>
          <t>1982.09.</t>
        </is>
      </c>
      <c r="F278" s="0" t="n">
        <v>1092</v>
      </c>
      <c r="G278" s="0" t="n">
        <v>18.21</v>
      </c>
      <c r="H278" s="0" t="n">
        <v>60.23</v>
      </c>
      <c r="I278" s="0" t="n">
        <v>16.98</v>
      </c>
      <c r="J278" s="0" t="n">
        <v>56.16</v>
      </c>
      <c r="K278" s="0" t="n">
        <v>33</v>
      </c>
      <c r="T278" s="0" t="n">
        <v>2</v>
      </c>
      <c r="U278" s="0" t="n">
        <v>1</v>
      </c>
      <c r="V278" s="0" t="inlineStr">
        <is>
          <t>복도식</t>
        </is>
      </c>
      <c r="W278" s="0" t="inlineStr">
        <is>
          <t>60C</t>
        </is>
      </c>
      <c r="X278" s="0" t="n">
        <v>12</v>
      </c>
      <c r="Y278" s="0" t="n">
        <v>12</v>
      </c>
      <c r="Z278" s="0" t="inlineStr">
        <is>
          <t>https://new.land.naver.com/complexes/1283?tab=detail&amp;rf=Y</t>
        </is>
      </c>
      <c r="AA278" s="0" t="inlineStr">
        <is>
          <t>서울시 강동구 길동 54</t>
        </is>
      </c>
      <c r="AB278" s="0" t="inlineStr">
        <is>
          <t>서울시</t>
        </is>
      </c>
      <c r="AC278" s="0" t="inlineStr">
        <is>
          <t>강동구</t>
        </is>
      </c>
      <c r="AD278" s="0" t="inlineStr">
        <is>
          <t>길동</t>
        </is>
      </c>
      <c r="AG278" s="0" t="inlineStr">
        <is>
          <t>서울시 강동구 명일로 293</t>
        </is>
      </c>
      <c r="AH278" s="0" t="n">
        <v>0</v>
      </c>
      <c r="AI278" s="0" t="n">
        <v>188</v>
      </c>
      <c r="AJ278" s="0" t="n">
        <v>0</v>
      </c>
      <c r="AK278" s="0" t="n">
        <v>1102</v>
      </c>
      <c r="AL278" s="0" t="n">
        <v>1.01</v>
      </c>
    </row>
    <row r="279">
      <c r="A279" s="0" t="inlineStr">
        <is>
          <t>[길동]</t>
        </is>
      </c>
      <c r="B279" s="0" t="n">
        <v>1283</v>
      </c>
      <c r="C279" s="0" t="n">
        <v>4</v>
      </c>
      <c r="D279" s="0" t="inlineStr">
        <is>
          <t>삼익파크맨숀</t>
        </is>
      </c>
      <c r="E279" s="0" t="inlineStr">
        <is>
          <t>1982.09.</t>
        </is>
      </c>
      <c r="F279" s="0" t="n">
        <v>1092</v>
      </c>
      <c r="G279" s="0" t="n">
        <v>18.31</v>
      </c>
      <c r="H279" s="0" t="n">
        <v>60.56</v>
      </c>
      <c r="I279" s="0" t="n">
        <v>17.1</v>
      </c>
      <c r="J279" s="0" t="n">
        <v>56.53</v>
      </c>
      <c r="K279" s="0" t="n">
        <v>3</v>
      </c>
      <c r="T279" s="0" t="n">
        <v>2</v>
      </c>
      <c r="U279" s="0" t="n">
        <v>1</v>
      </c>
      <c r="V279" s="0" t="inlineStr">
        <is>
          <t>계단식</t>
        </is>
      </c>
      <c r="W279" s="0" t="inlineStr">
        <is>
          <t>60D</t>
        </is>
      </c>
      <c r="X279" s="0" t="n">
        <v>12</v>
      </c>
      <c r="Y279" s="0" t="n">
        <v>12</v>
      </c>
      <c r="Z279" s="0" t="inlineStr">
        <is>
          <t>https://new.land.naver.com/complexes/1283?tab=detail&amp;rf=Y</t>
        </is>
      </c>
      <c r="AA279" s="0" t="inlineStr">
        <is>
          <t>서울시 강동구 길동 54</t>
        </is>
      </c>
      <c r="AB279" s="0" t="inlineStr">
        <is>
          <t>서울시</t>
        </is>
      </c>
      <c r="AC279" s="0" t="inlineStr">
        <is>
          <t>강동구</t>
        </is>
      </c>
      <c r="AD279" s="0" t="inlineStr">
        <is>
          <t>길동</t>
        </is>
      </c>
      <c r="AG279" s="0" t="inlineStr">
        <is>
          <t>서울시 강동구 명일로 293</t>
        </is>
      </c>
      <c r="AH279" s="0" t="n">
        <v>0</v>
      </c>
      <c r="AI279" s="0" t="n">
        <v>188</v>
      </c>
      <c r="AJ279" s="0" t="n">
        <v>0</v>
      </c>
      <c r="AK279" s="0" t="n">
        <v>1102</v>
      </c>
      <c r="AL279" s="0" t="n">
        <v>1.01</v>
      </c>
    </row>
    <row r="280">
      <c r="A280" s="0" t="inlineStr">
        <is>
          <t>[길동]</t>
        </is>
      </c>
      <c r="B280" s="0" t="n">
        <v>1283</v>
      </c>
      <c r="C280" s="0" t="n">
        <v>5</v>
      </c>
      <c r="D280" s="0" t="inlineStr">
        <is>
          <t>삼익파크맨숀</t>
        </is>
      </c>
      <c r="E280" s="0" t="inlineStr">
        <is>
          <t>1982.09.</t>
        </is>
      </c>
      <c r="F280" s="0" t="n">
        <v>1092</v>
      </c>
      <c r="G280" s="0" t="n">
        <v>18.5</v>
      </c>
      <c r="H280" s="0" t="n">
        <v>61.16</v>
      </c>
      <c r="I280" s="0" t="n">
        <v>17.26</v>
      </c>
      <c r="J280" s="0" t="n">
        <v>57.09</v>
      </c>
      <c r="K280" s="0" t="n">
        <v>3</v>
      </c>
      <c r="T280" s="0" t="n">
        <v>2</v>
      </c>
      <c r="U280" s="0" t="n">
        <v>1</v>
      </c>
      <c r="V280" s="0" t="inlineStr">
        <is>
          <t>계단식</t>
        </is>
      </c>
      <c r="W280" s="0" t="inlineStr">
        <is>
          <t>61A</t>
        </is>
      </c>
      <c r="X280" s="0" t="n">
        <v>12</v>
      </c>
      <c r="Y280" s="0" t="n">
        <v>12</v>
      </c>
      <c r="Z280" s="0" t="inlineStr">
        <is>
          <t>https://new.land.naver.com/complexes/1283?tab=detail&amp;rf=Y</t>
        </is>
      </c>
      <c r="AA280" s="0" t="inlineStr">
        <is>
          <t>서울시 강동구 길동 54</t>
        </is>
      </c>
      <c r="AB280" s="0" t="inlineStr">
        <is>
          <t>서울시</t>
        </is>
      </c>
      <c r="AC280" s="0" t="inlineStr">
        <is>
          <t>강동구</t>
        </is>
      </c>
      <c r="AD280" s="0" t="inlineStr">
        <is>
          <t>길동</t>
        </is>
      </c>
      <c r="AG280" s="0" t="inlineStr">
        <is>
          <t>서울시 강동구 명일로 293</t>
        </is>
      </c>
      <c r="AH280" s="0" t="n">
        <v>0</v>
      </c>
      <c r="AI280" s="0" t="n">
        <v>188</v>
      </c>
      <c r="AJ280" s="0" t="n">
        <v>0</v>
      </c>
      <c r="AK280" s="0" t="n">
        <v>1102</v>
      </c>
      <c r="AL280" s="0" t="n">
        <v>1.01</v>
      </c>
    </row>
    <row r="281">
      <c r="A281" s="0" t="inlineStr">
        <is>
          <t>[길동]</t>
        </is>
      </c>
      <c r="B281" s="0" t="n">
        <v>1283</v>
      </c>
      <c r="C281" s="0" t="n">
        <v>6</v>
      </c>
      <c r="D281" s="0" t="inlineStr">
        <is>
          <t>삼익파크맨숀</t>
        </is>
      </c>
      <c r="E281" s="0" t="inlineStr">
        <is>
          <t>1982.09.</t>
        </is>
      </c>
      <c r="F281" s="0" t="n">
        <v>1092</v>
      </c>
      <c r="G281" s="0" t="n">
        <v>18.5</v>
      </c>
      <c r="H281" s="0" t="n">
        <v>61.17</v>
      </c>
      <c r="I281" s="0" t="n">
        <v>17.27</v>
      </c>
      <c r="J281" s="0" t="n">
        <v>57.1</v>
      </c>
      <c r="K281" s="0" t="n">
        <v>3</v>
      </c>
      <c r="T281" s="0" t="n">
        <v>2</v>
      </c>
      <c r="U281" s="0" t="n">
        <v>1</v>
      </c>
      <c r="V281" s="0" t="inlineStr">
        <is>
          <t>복도식</t>
        </is>
      </c>
      <c r="W281" s="0" t="inlineStr">
        <is>
          <t>61C</t>
        </is>
      </c>
      <c r="X281" s="0" t="n">
        <v>12</v>
      </c>
      <c r="Y281" s="0" t="n">
        <v>12</v>
      </c>
      <c r="Z281" s="0" t="inlineStr">
        <is>
          <t>https://new.land.naver.com/complexes/1283?tab=detail&amp;rf=Y</t>
        </is>
      </c>
      <c r="AA281" s="0" t="inlineStr">
        <is>
          <t>서울시 강동구 길동 54</t>
        </is>
      </c>
      <c r="AB281" s="0" t="inlineStr">
        <is>
          <t>서울시</t>
        </is>
      </c>
      <c r="AC281" s="0" t="inlineStr">
        <is>
          <t>강동구</t>
        </is>
      </c>
      <c r="AD281" s="0" t="inlineStr">
        <is>
          <t>길동</t>
        </is>
      </c>
      <c r="AG281" s="0" t="inlineStr">
        <is>
          <t>서울시 강동구 명일로 293</t>
        </is>
      </c>
      <c r="AH281" s="0" t="n">
        <v>0</v>
      </c>
      <c r="AI281" s="0" t="n">
        <v>188</v>
      </c>
      <c r="AJ281" s="0" t="n">
        <v>0</v>
      </c>
      <c r="AK281" s="0" t="n">
        <v>1102</v>
      </c>
      <c r="AL281" s="0" t="n">
        <v>1.01</v>
      </c>
    </row>
    <row r="282">
      <c r="A282" s="0" t="inlineStr">
        <is>
          <t>[길동]</t>
        </is>
      </c>
      <c r="B282" s="0" t="n">
        <v>1283</v>
      </c>
      <c r="C282" s="0" t="n">
        <v>7</v>
      </c>
      <c r="D282" s="0" t="inlineStr">
        <is>
          <t>삼익파크맨숀</t>
        </is>
      </c>
      <c r="E282" s="0" t="inlineStr">
        <is>
          <t>1982.09.</t>
        </is>
      </c>
      <c r="F282" s="0" t="n">
        <v>1092</v>
      </c>
      <c r="G282" s="0" t="n">
        <v>19.16</v>
      </c>
      <c r="H282" s="0" t="n">
        <v>63.35</v>
      </c>
      <c r="I282" s="0" t="n">
        <v>18.04</v>
      </c>
      <c r="J282" s="0" t="n">
        <v>59.65</v>
      </c>
      <c r="K282" s="0" t="n">
        <v>84</v>
      </c>
      <c r="T282" s="0" t="n">
        <v>2</v>
      </c>
      <c r="U282" s="0" t="n">
        <v>1</v>
      </c>
      <c r="V282" s="0" t="inlineStr">
        <is>
          <t>복도식</t>
        </is>
      </c>
      <c r="W282" s="0" t="inlineStr">
        <is>
          <t>63B</t>
        </is>
      </c>
      <c r="X282" s="0" t="n">
        <v>12</v>
      </c>
      <c r="Y282" s="0" t="n">
        <v>12</v>
      </c>
      <c r="Z282" s="0" t="inlineStr">
        <is>
          <t>https://new.land.naver.com/complexes/1283?tab=detail&amp;rf=Y</t>
        </is>
      </c>
      <c r="AA282" s="0" t="inlineStr">
        <is>
          <t>서울시 강동구 길동 54</t>
        </is>
      </c>
      <c r="AB282" s="0" t="inlineStr">
        <is>
          <t>서울시</t>
        </is>
      </c>
      <c r="AC282" s="0" t="inlineStr">
        <is>
          <t>강동구</t>
        </is>
      </c>
      <c r="AD282" s="0" t="inlineStr">
        <is>
          <t>길동</t>
        </is>
      </c>
      <c r="AG282" s="0" t="inlineStr">
        <is>
          <t>서울시 강동구 명일로 293</t>
        </is>
      </c>
      <c r="AH282" s="0" t="n">
        <v>0</v>
      </c>
      <c r="AI282" s="0" t="n">
        <v>188</v>
      </c>
      <c r="AJ282" s="0" t="n">
        <v>0</v>
      </c>
      <c r="AK282" s="0" t="n">
        <v>1102</v>
      </c>
      <c r="AL282" s="0" t="n">
        <v>1.01</v>
      </c>
    </row>
    <row r="283">
      <c r="A283" s="0" t="inlineStr">
        <is>
          <t>[길동]</t>
        </is>
      </c>
      <c r="B283" s="0" t="n">
        <v>1283</v>
      </c>
      <c r="C283" s="0" t="n">
        <v>8</v>
      </c>
      <c r="D283" s="0" t="inlineStr">
        <is>
          <t>삼익파크맨숀</t>
        </is>
      </c>
      <c r="E283" s="0" t="inlineStr">
        <is>
          <t>1982.09.</t>
        </is>
      </c>
      <c r="F283" s="0" t="n">
        <v>1092</v>
      </c>
      <c r="G283" s="0" t="n">
        <v>21.15</v>
      </c>
      <c r="H283" s="0" t="n">
        <v>69.93000000000001</v>
      </c>
      <c r="I283" s="0" t="n">
        <v>19.03</v>
      </c>
      <c r="J283" s="0" t="n">
        <v>62.91</v>
      </c>
      <c r="K283" s="0" t="n">
        <v>176</v>
      </c>
      <c r="T283" s="0" t="n">
        <v>3</v>
      </c>
      <c r="U283" s="0" t="n">
        <v>1</v>
      </c>
      <c r="V283" s="0" t="inlineStr">
        <is>
          <t>복도식</t>
        </is>
      </c>
      <c r="W283" s="0" t="inlineStr">
        <is>
          <t>69A</t>
        </is>
      </c>
      <c r="X283" s="0" t="n">
        <v>12</v>
      </c>
      <c r="Y283" s="0" t="n">
        <v>12</v>
      </c>
      <c r="Z283" s="0" t="inlineStr">
        <is>
          <t>https://new.land.naver.com/complexes/1283?tab=detail&amp;rf=Y</t>
        </is>
      </c>
      <c r="AA283" s="0" t="inlineStr">
        <is>
          <t>서울시 강동구 길동 54</t>
        </is>
      </c>
      <c r="AB283" s="0" t="inlineStr">
        <is>
          <t>서울시</t>
        </is>
      </c>
      <c r="AC283" s="0" t="inlineStr">
        <is>
          <t>강동구</t>
        </is>
      </c>
      <c r="AD283" s="0" t="inlineStr">
        <is>
          <t>길동</t>
        </is>
      </c>
      <c r="AG283" s="0" t="inlineStr">
        <is>
          <t>서울시 강동구 명일로 293</t>
        </is>
      </c>
      <c r="AH283" s="0" t="n">
        <v>0</v>
      </c>
      <c r="AI283" s="0" t="n">
        <v>188</v>
      </c>
      <c r="AJ283" s="0" t="n">
        <v>0</v>
      </c>
      <c r="AK283" s="0" t="n">
        <v>1102</v>
      </c>
      <c r="AL283" s="0" t="n">
        <v>1.01</v>
      </c>
    </row>
    <row r="284">
      <c r="A284" s="0" t="inlineStr">
        <is>
          <t>[길동]</t>
        </is>
      </c>
      <c r="B284" s="0" t="n">
        <v>1283</v>
      </c>
      <c r="C284" s="0" t="n">
        <v>9</v>
      </c>
      <c r="D284" s="0" t="inlineStr">
        <is>
          <t>삼익파크맨숀</t>
        </is>
      </c>
      <c r="E284" s="0" t="inlineStr">
        <is>
          <t>1982.09.</t>
        </is>
      </c>
      <c r="F284" s="0" t="n">
        <v>1092</v>
      </c>
      <c r="G284" s="0" t="n">
        <v>21.25</v>
      </c>
      <c r="H284" s="0" t="n">
        <v>70.25</v>
      </c>
      <c r="I284" s="0" t="n">
        <v>19.15</v>
      </c>
      <c r="J284" s="0" t="n">
        <v>63.32</v>
      </c>
      <c r="K284" s="0" t="n">
        <v>110</v>
      </c>
      <c r="T284" s="0" t="n">
        <v>3</v>
      </c>
      <c r="U284" s="0" t="n">
        <v>1</v>
      </c>
      <c r="V284" s="0" t="inlineStr">
        <is>
          <t>복도식</t>
        </is>
      </c>
      <c r="W284" s="0" t="inlineStr">
        <is>
          <t>70C</t>
        </is>
      </c>
      <c r="X284" s="0" t="n">
        <v>12</v>
      </c>
      <c r="Y284" s="0" t="n">
        <v>12</v>
      </c>
      <c r="Z284" s="0" t="inlineStr">
        <is>
          <t>https://new.land.naver.com/complexes/1283?tab=detail&amp;rf=Y</t>
        </is>
      </c>
      <c r="AA284" s="0" t="inlineStr">
        <is>
          <t>서울시 강동구 길동 54</t>
        </is>
      </c>
      <c r="AB284" s="0" t="inlineStr">
        <is>
          <t>서울시</t>
        </is>
      </c>
      <c r="AC284" s="0" t="inlineStr">
        <is>
          <t>강동구</t>
        </is>
      </c>
      <c r="AD284" s="0" t="inlineStr">
        <is>
          <t>길동</t>
        </is>
      </c>
      <c r="AG284" s="0" t="inlineStr">
        <is>
          <t>서울시 강동구 명일로 293</t>
        </is>
      </c>
      <c r="AH284" s="0" t="n">
        <v>0</v>
      </c>
      <c r="AI284" s="0" t="n">
        <v>188</v>
      </c>
      <c r="AJ284" s="0" t="n">
        <v>0</v>
      </c>
      <c r="AK284" s="0" t="n">
        <v>1102</v>
      </c>
      <c r="AL284" s="0" t="n">
        <v>1.01</v>
      </c>
    </row>
    <row r="285">
      <c r="A285" s="0" t="inlineStr">
        <is>
          <t>[길동]</t>
        </is>
      </c>
      <c r="B285" s="0" t="n">
        <v>1283</v>
      </c>
      <c r="C285" s="0" t="n">
        <v>10</v>
      </c>
      <c r="D285" s="0" t="inlineStr">
        <is>
          <t>삼익파크맨숀</t>
        </is>
      </c>
      <c r="E285" s="0" t="inlineStr">
        <is>
          <t>1982.09.</t>
        </is>
      </c>
      <c r="F285" s="0" t="n">
        <v>1092</v>
      </c>
      <c r="G285" s="0" t="n">
        <v>21.28</v>
      </c>
      <c r="H285" s="0" t="n">
        <v>70.37</v>
      </c>
      <c r="I285" s="0" t="n">
        <v>19.16</v>
      </c>
      <c r="J285" s="0" t="n">
        <v>63.35</v>
      </c>
      <c r="K285" s="0" t="n">
        <v>16</v>
      </c>
      <c r="T285" s="0" t="n">
        <v>3</v>
      </c>
      <c r="U285" s="0" t="n">
        <v>1</v>
      </c>
      <c r="V285" s="0" t="inlineStr">
        <is>
          <t>복도식</t>
        </is>
      </c>
      <c r="W285" s="0" t="inlineStr">
        <is>
          <t>70D</t>
        </is>
      </c>
      <c r="X285" s="0" t="n">
        <v>12</v>
      </c>
      <c r="Y285" s="0" t="n">
        <v>12</v>
      </c>
      <c r="Z285" s="0" t="inlineStr">
        <is>
          <t>https://new.land.naver.com/complexes/1283?tab=detail&amp;rf=Y</t>
        </is>
      </c>
      <c r="AA285" s="0" t="inlineStr">
        <is>
          <t>서울시 강동구 길동 54</t>
        </is>
      </c>
      <c r="AB285" s="0" t="inlineStr">
        <is>
          <t>서울시</t>
        </is>
      </c>
      <c r="AC285" s="0" t="inlineStr">
        <is>
          <t>강동구</t>
        </is>
      </c>
      <c r="AD285" s="0" t="inlineStr">
        <is>
          <t>길동</t>
        </is>
      </c>
      <c r="AG285" s="0" t="inlineStr">
        <is>
          <t>서울시 강동구 명일로 293</t>
        </is>
      </c>
      <c r="AH285" s="0" t="n">
        <v>0</v>
      </c>
      <c r="AI285" s="0" t="n">
        <v>188</v>
      </c>
      <c r="AJ285" s="0" t="n">
        <v>0</v>
      </c>
      <c r="AK285" s="0" t="n">
        <v>1102</v>
      </c>
      <c r="AL285" s="0" t="n">
        <v>1.01</v>
      </c>
    </row>
    <row r="286">
      <c r="A286" s="0" t="inlineStr">
        <is>
          <t>[길동]</t>
        </is>
      </c>
      <c r="B286" s="0" t="n">
        <v>1283</v>
      </c>
      <c r="C286" s="0" t="n">
        <v>11</v>
      </c>
      <c r="D286" s="0" t="inlineStr">
        <is>
          <t>삼익파크맨숀</t>
        </is>
      </c>
      <c r="E286" s="0" t="inlineStr">
        <is>
          <t>1982.09.</t>
        </is>
      </c>
      <c r="F286" s="0" t="n">
        <v>1092</v>
      </c>
      <c r="G286" s="0" t="n">
        <v>21.48</v>
      </c>
      <c r="H286" s="0" t="n">
        <v>71.04000000000001</v>
      </c>
      <c r="I286" s="0" t="n">
        <v>19.39</v>
      </c>
      <c r="J286" s="0" t="n">
        <v>64.11</v>
      </c>
      <c r="K286" s="0" t="n">
        <v>10</v>
      </c>
      <c r="T286" s="0" t="n">
        <v>3</v>
      </c>
      <c r="U286" s="0" t="n">
        <v>1</v>
      </c>
      <c r="V286" s="0" t="inlineStr">
        <is>
          <t>복도식</t>
        </is>
      </c>
      <c r="W286" s="0" t="inlineStr">
        <is>
          <t>71B</t>
        </is>
      </c>
      <c r="X286" s="0" t="n">
        <v>12</v>
      </c>
      <c r="Y286" s="0" t="n">
        <v>12</v>
      </c>
      <c r="Z286" s="0" t="inlineStr">
        <is>
          <t>https://new.land.naver.com/complexes/1283?tab=detail&amp;rf=Y</t>
        </is>
      </c>
      <c r="AA286" s="0" t="inlineStr">
        <is>
          <t>서울시 강동구 길동 54</t>
        </is>
      </c>
      <c r="AB286" s="0" t="inlineStr">
        <is>
          <t>서울시</t>
        </is>
      </c>
      <c r="AC286" s="0" t="inlineStr">
        <is>
          <t>강동구</t>
        </is>
      </c>
      <c r="AD286" s="0" t="inlineStr">
        <is>
          <t>길동</t>
        </is>
      </c>
      <c r="AG286" s="0" t="inlineStr">
        <is>
          <t>서울시 강동구 명일로 293</t>
        </is>
      </c>
      <c r="AH286" s="0" t="n">
        <v>0</v>
      </c>
      <c r="AI286" s="0" t="n">
        <v>188</v>
      </c>
      <c r="AJ286" s="0" t="n">
        <v>0</v>
      </c>
      <c r="AK286" s="0" t="n">
        <v>1102</v>
      </c>
      <c r="AL286" s="0" t="n">
        <v>1.01</v>
      </c>
    </row>
    <row r="287">
      <c r="A287" s="0" t="inlineStr">
        <is>
          <t>[길동]</t>
        </is>
      </c>
      <c r="B287" s="0" t="n">
        <v>1283</v>
      </c>
      <c r="C287" s="0" t="n">
        <v>12</v>
      </c>
      <c r="D287" s="0" t="inlineStr">
        <is>
          <t>삼익파크맨숀</t>
        </is>
      </c>
      <c r="E287" s="0" t="inlineStr">
        <is>
          <t>1982.09.</t>
        </is>
      </c>
      <c r="F287" s="0" t="n">
        <v>1092</v>
      </c>
      <c r="G287" s="0" t="n">
        <v>23.44</v>
      </c>
      <c r="H287" s="0" t="n">
        <v>77.52</v>
      </c>
      <c r="I287" s="0" t="n">
        <v>21.87</v>
      </c>
      <c r="J287" s="0" t="n">
        <v>72.3</v>
      </c>
      <c r="K287" s="0" t="n">
        <v>44</v>
      </c>
      <c r="T287" s="0" t="n">
        <v>3</v>
      </c>
      <c r="U287" s="0" t="n">
        <v>1</v>
      </c>
      <c r="V287" s="0" t="inlineStr">
        <is>
          <t>복도식</t>
        </is>
      </c>
      <c r="W287" s="0" t="n">
        <v>77</v>
      </c>
      <c r="X287" s="0" t="n">
        <v>12</v>
      </c>
      <c r="Y287" s="0" t="n">
        <v>12</v>
      </c>
      <c r="Z287" s="0" t="inlineStr">
        <is>
          <t>https://new.land.naver.com/complexes/1283?tab=detail&amp;rf=Y</t>
        </is>
      </c>
      <c r="AA287" s="0" t="inlineStr">
        <is>
          <t>서울시 강동구 길동 54</t>
        </is>
      </c>
      <c r="AB287" s="0" t="inlineStr">
        <is>
          <t>서울시</t>
        </is>
      </c>
      <c r="AC287" s="0" t="inlineStr">
        <is>
          <t>강동구</t>
        </is>
      </c>
      <c r="AD287" s="0" t="inlineStr">
        <is>
          <t>길동</t>
        </is>
      </c>
      <c r="AG287" s="0" t="inlineStr">
        <is>
          <t>서울시 강동구 명일로 293</t>
        </is>
      </c>
      <c r="AH287" s="0" t="n">
        <v>0</v>
      </c>
      <c r="AI287" s="0" t="n">
        <v>188</v>
      </c>
      <c r="AJ287" s="0" t="n">
        <v>0</v>
      </c>
      <c r="AK287" s="0" t="n">
        <v>1102</v>
      </c>
      <c r="AL287" s="0" t="n">
        <v>1.01</v>
      </c>
    </row>
    <row r="288">
      <c r="A288" s="0" t="inlineStr">
        <is>
          <t>[길동]</t>
        </is>
      </c>
      <c r="B288" s="0" t="n">
        <v>1283</v>
      </c>
      <c r="C288" s="0" t="n">
        <v>13</v>
      </c>
      <c r="D288" s="0" t="inlineStr">
        <is>
          <t>삼익파크맨숀</t>
        </is>
      </c>
      <c r="E288" s="0" t="inlineStr">
        <is>
          <t>1982.09.</t>
        </is>
      </c>
      <c r="F288" s="0" t="n">
        <v>1092</v>
      </c>
      <c r="G288" s="0" t="n">
        <v>23.64</v>
      </c>
      <c r="H288" s="0" t="n">
        <v>78.18000000000001</v>
      </c>
      <c r="I288" s="0" t="n">
        <v>22.04</v>
      </c>
      <c r="J288" s="0" t="n">
        <v>72.89</v>
      </c>
      <c r="K288" s="0" t="n">
        <v>66</v>
      </c>
      <c r="T288" s="0" t="n">
        <v>3</v>
      </c>
      <c r="U288" s="0" t="n">
        <v>1</v>
      </c>
      <c r="V288" s="0" t="inlineStr">
        <is>
          <t>복도식</t>
        </is>
      </c>
      <c r="W288" s="0" t="inlineStr">
        <is>
          <t>78A</t>
        </is>
      </c>
      <c r="X288" s="0" t="n">
        <v>12</v>
      </c>
      <c r="Y288" s="0" t="n">
        <v>12</v>
      </c>
      <c r="Z288" s="0" t="inlineStr">
        <is>
          <t>https://new.land.naver.com/complexes/1283?tab=detail&amp;rf=Y</t>
        </is>
      </c>
      <c r="AA288" s="0" t="inlineStr">
        <is>
          <t>서울시 강동구 길동 54</t>
        </is>
      </c>
      <c r="AB288" s="0" t="inlineStr">
        <is>
          <t>서울시</t>
        </is>
      </c>
      <c r="AC288" s="0" t="inlineStr">
        <is>
          <t>강동구</t>
        </is>
      </c>
      <c r="AD288" s="0" t="inlineStr">
        <is>
          <t>길동</t>
        </is>
      </c>
      <c r="AG288" s="0" t="inlineStr">
        <is>
          <t>서울시 강동구 명일로 293</t>
        </is>
      </c>
      <c r="AH288" s="0" t="n">
        <v>0</v>
      </c>
      <c r="AI288" s="0" t="n">
        <v>188</v>
      </c>
      <c r="AJ288" s="0" t="n">
        <v>0</v>
      </c>
      <c r="AK288" s="0" t="n">
        <v>1102</v>
      </c>
      <c r="AL288" s="0" t="n">
        <v>1.01</v>
      </c>
    </row>
    <row r="289">
      <c r="A289" s="0" t="inlineStr">
        <is>
          <t>[길동]</t>
        </is>
      </c>
      <c r="B289" s="0" t="n">
        <v>1283</v>
      </c>
      <c r="C289" s="0" t="n">
        <v>14</v>
      </c>
      <c r="D289" s="0" t="inlineStr">
        <is>
          <t>삼익파크맨숀</t>
        </is>
      </c>
      <c r="E289" s="0" t="inlineStr">
        <is>
          <t>1982.09.</t>
        </is>
      </c>
      <c r="F289" s="0" t="n">
        <v>1092</v>
      </c>
      <c r="G289" s="0" t="n">
        <v>23.77</v>
      </c>
      <c r="H289" s="0" t="n">
        <v>78.58</v>
      </c>
      <c r="I289" s="0" t="n">
        <v>22.19</v>
      </c>
      <c r="J289" s="0" t="n">
        <v>73.36</v>
      </c>
      <c r="K289" s="0" t="n">
        <v>4</v>
      </c>
      <c r="T289" s="0" t="n">
        <v>3</v>
      </c>
      <c r="U289" s="0" t="n">
        <v>1</v>
      </c>
      <c r="V289" s="0" t="inlineStr">
        <is>
          <t>복도식</t>
        </is>
      </c>
      <c r="W289" s="0" t="inlineStr">
        <is>
          <t>78C</t>
        </is>
      </c>
      <c r="X289" s="0" t="n">
        <v>12</v>
      </c>
      <c r="Y289" s="0" t="n">
        <v>12</v>
      </c>
      <c r="Z289" s="0" t="inlineStr">
        <is>
          <t>https://new.land.naver.com/complexes/1283?tab=detail&amp;rf=Y</t>
        </is>
      </c>
      <c r="AA289" s="0" t="inlineStr">
        <is>
          <t>서울시 강동구 길동 54</t>
        </is>
      </c>
      <c r="AB289" s="0" t="inlineStr">
        <is>
          <t>서울시</t>
        </is>
      </c>
      <c r="AC289" s="0" t="inlineStr">
        <is>
          <t>강동구</t>
        </is>
      </c>
      <c r="AD289" s="0" t="inlineStr">
        <is>
          <t>길동</t>
        </is>
      </c>
      <c r="AG289" s="0" t="inlineStr">
        <is>
          <t>서울시 강동구 명일로 293</t>
        </is>
      </c>
      <c r="AH289" s="0" t="n">
        <v>0</v>
      </c>
      <c r="AI289" s="0" t="n">
        <v>188</v>
      </c>
      <c r="AJ289" s="0" t="n">
        <v>0</v>
      </c>
      <c r="AK289" s="0" t="n">
        <v>1102</v>
      </c>
      <c r="AL289" s="0" t="n">
        <v>1.01</v>
      </c>
    </row>
    <row r="290">
      <c r="A290" s="0" t="inlineStr">
        <is>
          <t>[길동]</t>
        </is>
      </c>
      <c r="B290" s="0" t="n">
        <v>1283</v>
      </c>
      <c r="C290" s="0" t="n">
        <v>15</v>
      </c>
      <c r="D290" s="0" t="inlineStr">
        <is>
          <t>삼익파크맨숀</t>
        </is>
      </c>
      <c r="E290" s="0" t="inlineStr">
        <is>
          <t>1982.09.</t>
        </is>
      </c>
      <c r="F290" s="0" t="n">
        <v>1092</v>
      </c>
      <c r="G290" s="0" t="n">
        <v>24</v>
      </c>
      <c r="H290" s="0" t="n">
        <v>79.37</v>
      </c>
      <c r="I290" s="0" t="n">
        <v>22.4</v>
      </c>
      <c r="J290" s="0" t="n">
        <v>74.08</v>
      </c>
      <c r="K290" s="0" t="n">
        <v>6</v>
      </c>
      <c r="T290" s="0" t="n">
        <v>3</v>
      </c>
      <c r="U290" s="0" t="n">
        <v>1</v>
      </c>
      <c r="V290" s="0" t="inlineStr">
        <is>
          <t>복도식</t>
        </is>
      </c>
      <c r="W290" s="0" t="inlineStr">
        <is>
          <t>79B</t>
        </is>
      </c>
      <c r="X290" s="0" t="n">
        <v>12</v>
      </c>
      <c r="Y290" s="0" t="n">
        <v>12</v>
      </c>
      <c r="Z290" s="0" t="inlineStr">
        <is>
          <t>https://new.land.naver.com/complexes/1283?tab=detail&amp;rf=Y</t>
        </is>
      </c>
      <c r="AA290" s="0" t="inlineStr">
        <is>
          <t>서울시 강동구 길동 54</t>
        </is>
      </c>
      <c r="AB290" s="0" t="inlineStr">
        <is>
          <t>서울시</t>
        </is>
      </c>
      <c r="AC290" s="0" t="inlineStr">
        <is>
          <t>강동구</t>
        </is>
      </c>
      <c r="AD290" s="0" t="inlineStr">
        <is>
          <t>길동</t>
        </is>
      </c>
      <c r="AG290" s="0" t="inlineStr">
        <is>
          <t>서울시 강동구 명일로 293</t>
        </is>
      </c>
      <c r="AH290" s="0" t="n">
        <v>0</v>
      </c>
      <c r="AI290" s="0" t="n">
        <v>188</v>
      </c>
      <c r="AJ290" s="0" t="n">
        <v>0</v>
      </c>
      <c r="AK290" s="0" t="n">
        <v>1102</v>
      </c>
      <c r="AL290" s="0" t="n">
        <v>1.01</v>
      </c>
    </row>
    <row r="291">
      <c r="A291" s="0" t="inlineStr">
        <is>
          <t>[길동]</t>
        </is>
      </c>
      <c r="B291" s="0" t="n">
        <v>1283</v>
      </c>
      <c r="C291" s="0" t="n">
        <v>16</v>
      </c>
      <c r="D291" s="0" t="inlineStr">
        <is>
          <t>삼익파크맨숀</t>
        </is>
      </c>
      <c r="E291" s="0" t="inlineStr">
        <is>
          <t>1982.09.</t>
        </is>
      </c>
      <c r="F291" s="0" t="n">
        <v>1092</v>
      </c>
      <c r="G291" s="0" t="n">
        <v>25.71</v>
      </c>
      <c r="H291" s="0" t="n">
        <v>85</v>
      </c>
      <c r="I291" s="0" t="n">
        <v>24.06</v>
      </c>
      <c r="J291" s="0" t="n">
        <v>79.56999999999999</v>
      </c>
      <c r="K291" s="0" t="n">
        <v>72</v>
      </c>
      <c r="T291" s="0" t="n">
        <v>3</v>
      </c>
      <c r="U291" s="0" t="n">
        <v>1</v>
      </c>
      <c r="V291" s="0" t="inlineStr">
        <is>
          <t>복도식</t>
        </is>
      </c>
      <c r="W291" s="0" t="n">
        <v>85</v>
      </c>
      <c r="X291" s="0" t="n">
        <v>12</v>
      </c>
      <c r="Y291" s="0" t="n">
        <v>12</v>
      </c>
      <c r="Z291" s="0" t="inlineStr">
        <is>
          <t>https://new.land.naver.com/complexes/1283?tab=detail&amp;rf=Y</t>
        </is>
      </c>
      <c r="AA291" s="0" t="inlineStr">
        <is>
          <t>서울시 강동구 길동 54</t>
        </is>
      </c>
      <c r="AB291" s="0" t="inlineStr">
        <is>
          <t>서울시</t>
        </is>
      </c>
      <c r="AC291" s="0" t="inlineStr">
        <is>
          <t>강동구</t>
        </is>
      </c>
      <c r="AD291" s="0" t="inlineStr">
        <is>
          <t>길동</t>
        </is>
      </c>
      <c r="AG291" s="0" t="inlineStr">
        <is>
          <t>서울시 강동구 명일로 293</t>
        </is>
      </c>
      <c r="AH291" s="0" t="n">
        <v>0</v>
      </c>
      <c r="AI291" s="0" t="n">
        <v>188</v>
      </c>
      <c r="AJ291" s="0" t="n">
        <v>0</v>
      </c>
      <c r="AK291" s="0" t="n">
        <v>1102</v>
      </c>
      <c r="AL291" s="0" t="n">
        <v>1.01</v>
      </c>
    </row>
    <row r="292">
      <c r="A292" s="0" t="inlineStr">
        <is>
          <t>[길동]</t>
        </is>
      </c>
      <c r="B292" s="0" t="n">
        <v>1283</v>
      </c>
      <c r="C292" s="0" t="n">
        <v>17</v>
      </c>
      <c r="D292" s="0" t="inlineStr">
        <is>
          <t>삼익파크맨숀</t>
        </is>
      </c>
      <c r="E292" s="0" t="inlineStr">
        <is>
          <t>1982.09.</t>
        </is>
      </c>
      <c r="F292" s="0" t="n">
        <v>1092</v>
      </c>
      <c r="G292" s="0" t="n">
        <v>31.32</v>
      </c>
      <c r="H292" s="0" t="n">
        <v>103.57</v>
      </c>
      <c r="I292" s="0" t="n">
        <v>29</v>
      </c>
      <c r="J292" s="0" t="n">
        <v>95.87</v>
      </c>
      <c r="K292" s="0" t="n">
        <v>72</v>
      </c>
      <c r="T292" s="0" t="n">
        <v>3</v>
      </c>
      <c r="U292" s="0" t="n">
        <v>2</v>
      </c>
      <c r="V292" s="0" t="inlineStr">
        <is>
          <t>계단식</t>
        </is>
      </c>
      <c r="W292" s="0" t="inlineStr">
        <is>
          <t>103A</t>
        </is>
      </c>
      <c r="X292" s="0" t="n">
        <v>12</v>
      </c>
      <c r="Y292" s="0" t="n">
        <v>12</v>
      </c>
      <c r="Z292" s="0" t="inlineStr">
        <is>
          <t>https://new.land.naver.com/complexes/1283?tab=detail&amp;rf=Y</t>
        </is>
      </c>
      <c r="AA292" s="0" t="inlineStr">
        <is>
          <t>서울시 강동구 길동 54</t>
        </is>
      </c>
      <c r="AB292" s="0" t="inlineStr">
        <is>
          <t>서울시</t>
        </is>
      </c>
      <c r="AC292" s="0" t="inlineStr">
        <is>
          <t>강동구</t>
        </is>
      </c>
      <c r="AD292" s="0" t="inlineStr">
        <is>
          <t>길동</t>
        </is>
      </c>
      <c r="AG292" s="0" t="inlineStr">
        <is>
          <t>서울시 강동구 명일로 293</t>
        </is>
      </c>
      <c r="AH292" s="0" t="n">
        <v>0</v>
      </c>
      <c r="AI292" s="0" t="n">
        <v>188</v>
      </c>
      <c r="AJ292" s="0" t="n">
        <v>0</v>
      </c>
      <c r="AK292" s="0" t="n">
        <v>1102</v>
      </c>
      <c r="AL292" s="0" t="n">
        <v>1.01</v>
      </c>
    </row>
    <row r="293">
      <c r="A293" s="0" t="inlineStr">
        <is>
          <t>[길동]</t>
        </is>
      </c>
      <c r="B293" s="0" t="n">
        <v>1283</v>
      </c>
      <c r="C293" s="0" t="n">
        <v>18</v>
      </c>
      <c r="D293" s="0" t="inlineStr">
        <is>
          <t>삼익파크맨숀</t>
        </is>
      </c>
      <c r="E293" s="0" t="inlineStr">
        <is>
          <t>1982.09.</t>
        </is>
      </c>
      <c r="F293" s="0" t="n">
        <v>1092</v>
      </c>
      <c r="G293" s="0" t="n">
        <v>31.35</v>
      </c>
      <c r="H293" s="0" t="n">
        <v>103.66</v>
      </c>
      <c r="I293" s="0" t="n">
        <v>29.02</v>
      </c>
      <c r="J293" s="0" t="n">
        <v>95.95999999999999</v>
      </c>
      <c r="K293" s="0" t="n">
        <v>48</v>
      </c>
      <c r="T293" s="0" t="n">
        <v>3</v>
      </c>
      <c r="U293" s="0" t="n">
        <v>2</v>
      </c>
      <c r="V293" s="0" t="inlineStr">
        <is>
          <t>계단식</t>
        </is>
      </c>
      <c r="W293" s="0" t="inlineStr">
        <is>
          <t>103B</t>
        </is>
      </c>
      <c r="X293" s="0" t="n">
        <v>12</v>
      </c>
      <c r="Y293" s="0" t="n">
        <v>12</v>
      </c>
      <c r="Z293" s="0" t="inlineStr">
        <is>
          <t>https://new.land.naver.com/complexes/1283?tab=detail&amp;rf=Y</t>
        </is>
      </c>
      <c r="AA293" s="0" t="inlineStr">
        <is>
          <t>서울시 강동구 길동 54</t>
        </is>
      </c>
      <c r="AB293" s="0" t="inlineStr">
        <is>
          <t>서울시</t>
        </is>
      </c>
      <c r="AC293" s="0" t="inlineStr">
        <is>
          <t>강동구</t>
        </is>
      </c>
      <c r="AD293" s="0" t="inlineStr">
        <is>
          <t>길동</t>
        </is>
      </c>
      <c r="AG293" s="0" t="inlineStr">
        <is>
          <t>서울시 강동구 명일로 293</t>
        </is>
      </c>
      <c r="AH293" s="0" t="n">
        <v>0</v>
      </c>
      <c r="AI293" s="0" t="n">
        <v>188</v>
      </c>
      <c r="AJ293" s="0" t="n">
        <v>0</v>
      </c>
      <c r="AK293" s="0" t="n">
        <v>1102</v>
      </c>
      <c r="AL293" s="0" t="n">
        <v>1.01</v>
      </c>
    </row>
    <row r="294">
      <c r="A294" s="0" t="inlineStr">
        <is>
          <t>[길동]</t>
        </is>
      </c>
      <c r="B294" s="0" t="n">
        <v>1283</v>
      </c>
      <c r="C294" s="0" t="n">
        <v>19</v>
      </c>
      <c r="D294" s="0" t="inlineStr">
        <is>
          <t>삼익파크맨숀</t>
        </is>
      </c>
      <c r="E294" s="0" t="inlineStr">
        <is>
          <t>1982.09.</t>
        </is>
      </c>
      <c r="F294" s="0" t="n">
        <v>1092</v>
      </c>
      <c r="G294" s="0" t="n">
        <v>31.33</v>
      </c>
      <c r="H294" s="0" t="n">
        <v>103.6</v>
      </c>
      <c r="I294" s="0" t="n">
        <v>29.23</v>
      </c>
      <c r="J294" s="0" t="n">
        <v>96.63</v>
      </c>
      <c r="K294" s="0" t="n">
        <v>22</v>
      </c>
      <c r="T294" s="0" t="n">
        <v>3</v>
      </c>
      <c r="U294" s="0" t="n">
        <v>2</v>
      </c>
      <c r="V294" s="0" t="inlineStr">
        <is>
          <t>계단식</t>
        </is>
      </c>
      <c r="W294" s="0" t="inlineStr">
        <is>
          <t>103C</t>
        </is>
      </c>
      <c r="X294" s="0" t="n">
        <v>12</v>
      </c>
      <c r="Y294" s="0" t="n">
        <v>12</v>
      </c>
      <c r="Z294" s="0" t="inlineStr">
        <is>
          <t>https://new.land.naver.com/complexes/1283?tab=detail&amp;rf=Y</t>
        </is>
      </c>
      <c r="AA294" s="0" t="inlineStr">
        <is>
          <t>서울시 강동구 길동 54</t>
        </is>
      </c>
      <c r="AB294" s="0" t="inlineStr">
        <is>
          <t>서울시</t>
        </is>
      </c>
      <c r="AC294" s="0" t="inlineStr">
        <is>
          <t>강동구</t>
        </is>
      </c>
      <c r="AD294" s="0" t="inlineStr">
        <is>
          <t>길동</t>
        </is>
      </c>
      <c r="AG294" s="0" t="inlineStr">
        <is>
          <t>서울시 강동구 명일로 293</t>
        </is>
      </c>
      <c r="AH294" s="0" t="n">
        <v>0</v>
      </c>
      <c r="AI294" s="0" t="n">
        <v>188</v>
      </c>
      <c r="AJ294" s="0" t="n">
        <v>0</v>
      </c>
      <c r="AK294" s="0" t="n">
        <v>1102</v>
      </c>
      <c r="AL294" s="0" t="n">
        <v>1.01</v>
      </c>
    </row>
    <row r="295">
      <c r="A295" s="0" t="inlineStr">
        <is>
          <t>[길동]</t>
        </is>
      </c>
      <c r="B295" s="0" t="n">
        <v>1283</v>
      </c>
      <c r="C295" s="0" t="n">
        <v>20</v>
      </c>
      <c r="D295" s="0" t="inlineStr">
        <is>
          <t>삼익파크맨숀</t>
        </is>
      </c>
      <c r="E295" s="0" t="inlineStr">
        <is>
          <t>1982.09.</t>
        </is>
      </c>
      <c r="F295" s="0" t="n">
        <v>1092</v>
      </c>
      <c r="G295" s="0" t="n">
        <v>31.54</v>
      </c>
      <c r="H295" s="0" t="n">
        <v>104.29</v>
      </c>
      <c r="I295" s="0" t="n">
        <v>29.4</v>
      </c>
      <c r="J295" s="0" t="n">
        <v>97.22</v>
      </c>
      <c r="K295" s="0" t="n">
        <v>22</v>
      </c>
      <c r="T295" s="0" t="n">
        <v>3</v>
      </c>
      <c r="U295" s="0" t="n">
        <v>1</v>
      </c>
      <c r="V295" s="0" t="inlineStr">
        <is>
          <t>복도식</t>
        </is>
      </c>
      <c r="W295" s="0" t="inlineStr">
        <is>
          <t>104A</t>
        </is>
      </c>
      <c r="X295" s="0" t="n">
        <v>12</v>
      </c>
      <c r="Y295" s="0" t="n">
        <v>12</v>
      </c>
      <c r="Z295" s="0" t="inlineStr">
        <is>
          <t>https://new.land.naver.com/complexes/1283?tab=detail&amp;rf=Y</t>
        </is>
      </c>
      <c r="AA295" s="0" t="inlineStr">
        <is>
          <t>서울시 강동구 길동 54</t>
        </is>
      </c>
      <c r="AB295" s="0" t="inlineStr">
        <is>
          <t>서울시</t>
        </is>
      </c>
      <c r="AC295" s="0" t="inlineStr">
        <is>
          <t>강동구</t>
        </is>
      </c>
      <c r="AD295" s="0" t="inlineStr">
        <is>
          <t>길동</t>
        </is>
      </c>
      <c r="AG295" s="0" t="inlineStr">
        <is>
          <t>서울시 강동구 명일로 293</t>
        </is>
      </c>
      <c r="AH295" s="0" t="n">
        <v>0</v>
      </c>
      <c r="AI295" s="0" t="n">
        <v>188</v>
      </c>
      <c r="AJ295" s="0" t="n">
        <v>0</v>
      </c>
      <c r="AK295" s="0" t="n">
        <v>1102</v>
      </c>
      <c r="AL295" s="0" t="n">
        <v>1.01</v>
      </c>
    </row>
    <row r="296">
      <c r="A296" s="0" t="inlineStr">
        <is>
          <t>[길동]</t>
        </is>
      </c>
      <c r="B296" s="0" t="n">
        <v>1283</v>
      </c>
      <c r="C296" s="0" t="n">
        <v>21</v>
      </c>
      <c r="D296" s="0" t="inlineStr">
        <is>
          <t>삼익파크맨숀</t>
        </is>
      </c>
      <c r="E296" s="0" t="inlineStr">
        <is>
          <t>1982.09.</t>
        </is>
      </c>
      <c r="F296" s="0" t="n">
        <v>1092</v>
      </c>
      <c r="G296" s="0" t="n">
        <v>31.54</v>
      </c>
      <c r="H296" s="0" t="n">
        <v>104.28</v>
      </c>
      <c r="I296" s="0" t="n">
        <v>29.4</v>
      </c>
      <c r="J296" s="0" t="n">
        <v>97.20999999999999</v>
      </c>
      <c r="K296" s="0" t="n">
        <v>22</v>
      </c>
      <c r="T296" s="0" t="n">
        <v>3</v>
      </c>
      <c r="U296" s="0" t="n">
        <v>1</v>
      </c>
      <c r="V296" s="0" t="inlineStr">
        <is>
          <t>복도식</t>
        </is>
      </c>
      <c r="W296" s="0" t="inlineStr">
        <is>
          <t>104C</t>
        </is>
      </c>
      <c r="X296" s="0" t="n">
        <v>12</v>
      </c>
      <c r="Y296" s="0" t="n">
        <v>12</v>
      </c>
      <c r="Z296" s="0" t="inlineStr">
        <is>
          <t>https://new.land.naver.com/complexes/1283?tab=detail&amp;rf=Y</t>
        </is>
      </c>
      <c r="AA296" s="0" t="inlineStr">
        <is>
          <t>서울시 강동구 길동 54</t>
        </is>
      </c>
      <c r="AB296" s="0" t="inlineStr">
        <is>
          <t>서울시</t>
        </is>
      </c>
      <c r="AC296" s="0" t="inlineStr">
        <is>
          <t>강동구</t>
        </is>
      </c>
      <c r="AD296" s="0" t="inlineStr">
        <is>
          <t>길동</t>
        </is>
      </c>
      <c r="AG296" s="0" t="inlineStr">
        <is>
          <t>서울시 강동구 명일로 293</t>
        </is>
      </c>
      <c r="AH296" s="0" t="n">
        <v>0</v>
      </c>
      <c r="AI296" s="0" t="n">
        <v>188</v>
      </c>
      <c r="AJ296" s="0" t="n">
        <v>0</v>
      </c>
      <c r="AK296" s="0" t="n">
        <v>1102</v>
      </c>
      <c r="AL296" s="0" t="n">
        <v>1.01</v>
      </c>
    </row>
    <row r="297">
      <c r="A297" s="0" t="inlineStr">
        <is>
          <t>[길동]</t>
        </is>
      </c>
      <c r="B297" s="0" t="n">
        <v>1283</v>
      </c>
      <c r="C297" s="0" t="n">
        <v>22</v>
      </c>
      <c r="D297" s="0" t="inlineStr">
        <is>
          <t>삼익파크맨숀</t>
        </is>
      </c>
      <c r="E297" s="0" t="inlineStr">
        <is>
          <t>1982.09.</t>
        </is>
      </c>
      <c r="F297" s="0" t="n">
        <v>1092</v>
      </c>
      <c r="G297" s="0" t="n">
        <v>31.78</v>
      </c>
      <c r="H297" s="0" t="n">
        <v>105.06</v>
      </c>
      <c r="I297" s="0" t="n">
        <v>29.66</v>
      </c>
      <c r="J297" s="0" t="n">
        <v>98.08</v>
      </c>
      <c r="K297" s="0" t="n">
        <v>2</v>
      </c>
      <c r="T297" s="0" t="n">
        <v>3</v>
      </c>
      <c r="U297" s="0" t="n">
        <v>1</v>
      </c>
      <c r="V297" s="0" t="inlineStr">
        <is>
          <t>복도식</t>
        </is>
      </c>
      <c r="W297" s="0" t="inlineStr">
        <is>
          <t>105B</t>
        </is>
      </c>
      <c r="X297" s="0" t="n">
        <v>12</v>
      </c>
      <c r="Y297" s="0" t="n">
        <v>12</v>
      </c>
      <c r="Z297" s="0" t="inlineStr">
        <is>
          <t>https://new.land.naver.com/complexes/1283?tab=detail&amp;rf=Y</t>
        </is>
      </c>
      <c r="AA297" s="0" t="inlineStr">
        <is>
          <t>서울시 강동구 길동 54</t>
        </is>
      </c>
      <c r="AB297" s="0" t="inlineStr">
        <is>
          <t>서울시</t>
        </is>
      </c>
      <c r="AC297" s="0" t="inlineStr">
        <is>
          <t>강동구</t>
        </is>
      </c>
      <c r="AD297" s="0" t="inlineStr">
        <is>
          <t>길동</t>
        </is>
      </c>
      <c r="AG297" s="0" t="inlineStr">
        <is>
          <t>서울시 강동구 명일로 293</t>
        </is>
      </c>
      <c r="AH297" s="0" t="n">
        <v>0</v>
      </c>
      <c r="AI297" s="0" t="n">
        <v>188</v>
      </c>
      <c r="AJ297" s="0" t="n">
        <v>0</v>
      </c>
      <c r="AK297" s="0" t="n">
        <v>1102</v>
      </c>
      <c r="AL297" s="0" t="n">
        <v>1.01</v>
      </c>
    </row>
    <row r="298">
      <c r="A298" s="0" t="inlineStr">
        <is>
          <t>[길동]</t>
        </is>
      </c>
      <c r="B298" s="0" t="n">
        <v>1283</v>
      </c>
      <c r="C298" s="0" t="n">
        <v>23</v>
      </c>
      <c r="D298" s="0" t="inlineStr">
        <is>
          <t>삼익파크맨숀</t>
        </is>
      </c>
      <c r="E298" s="0" t="inlineStr">
        <is>
          <t>1982.09.</t>
        </is>
      </c>
      <c r="F298" s="0" t="n">
        <v>1092</v>
      </c>
      <c r="G298" s="0" t="n">
        <v>32.02</v>
      </c>
      <c r="H298" s="0" t="n">
        <v>105.88</v>
      </c>
      <c r="I298" s="0" t="n">
        <v>29.89</v>
      </c>
      <c r="J298" s="0" t="n">
        <v>98.81</v>
      </c>
      <c r="K298" s="0" t="n">
        <v>2</v>
      </c>
      <c r="T298" s="0" t="n">
        <v>3</v>
      </c>
      <c r="U298" s="0" t="n">
        <v>1</v>
      </c>
      <c r="V298" s="0" t="inlineStr">
        <is>
          <t>복도식</t>
        </is>
      </c>
      <c r="W298" s="0" t="inlineStr">
        <is>
          <t>105D</t>
        </is>
      </c>
      <c r="X298" s="0" t="n">
        <v>12</v>
      </c>
      <c r="Y298" s="0" t="n">
        <v>12</v>
      </c>
      <c r="Z298" s="0" t="inlineStr">
        <is>
          <t>https://new.land.naver.com/complexes/1283?tab=detail&amp;rf=Y</t>
        </is>
      </c>
      <c r="AA298" s="0" t="inlineStr">
        <is>
          <t>서울시 강동구 길동 54</t>
        </is>
      </c>
      <c r="AB298" s="0" t="inlineStr">
        <is>
          <t>서울시</t>
        </is>
      </c>
      <c r="AC298" s="0" t="inlineStr">
        <is>
          <t>강동구</t>
        </is>
      </c>
      <c r="AD298" s="0" t="inlineStr">
        <is>
          <t>길동</t>
        </is>
      </c>
      <c r="AG298" s="0" t="inlineStr">
        <is>
          <t>서울시 강동구 명일로 293</t>
        </is>
      </c>
      <c r="AH298" s="0" t="n">
        <v>0</v>
      </c>
      <c r="AI298" s="0" t="n">
        <v>188</v>
      </c>
      <c r="AJ298" s="0" t="n">
        <v>0</v>
      </c>
      <c r="AK298" s="0" t="n">
        <v>1102</v>
      </c>
      <c r="AL298" s="0" t="n">
        <v>1.01</v>
      </c>
    </row>
    <row r="299">
      <c r="A299" s="0" t="inlineStr">
        <is>
          <t>[길동]</t>
        </is>
      </c>
      <c r="B299" s="0" t="n">
        <v>1283</v>
      </c>
      <c r="C299" s="0" t="n">
        <v>24</v>
      </c>
      <c r="D299" s="0" t="inlineStr">
        <is>
          <t>삼익파크맨숀</t>
        </is>
      </c>
      <c r="E299" s="0" t="inlineStr">
        <is>
          <t>1982.09.</t>
        </is>
      </c>
      <c r="F299" s="0" t="n">
        <v>1092</v>
      </c>
      <c r="G299" s="0" t="n">
        <v>32.03</v>
      </c>
      <c r="H299" s="0" t="n">
        <v>105.89</v>
      </c>
      <c r="I299" s="0" t="n">
        <v>29.89</v>
      </c>
      <c r="J299" s="0" t="n">
        <v>98.81999999999999</v>
      </c>
      <c r="K299" s="0" t="n">
        <v>2</v>
      </c>
      <c r="T299" s="0" t="n">
        <v>3</v>
      </c>
      <c r="U299" s="0" t="n">
        <v>1</v>
      </c>
      <c r="V299" s="0" t="inlineStr">
        <is>
          <t>복도식</t>
        </is>
      </c>
      <c r="W299" s="0" t="inlineStr">
        <is>
          <t>105E</t>
        </is>
      </c>
      <c r="X299" s="0" t="n">
        <v>12</v>
      </c>
      <c r="Y299" s="0" t="n">
        <v>12</v>
      </c>
      <c r="Z299" s="0" t="inlineStr">
        <is>
          <t>https://new.land.naver.com/complexes/1283?tab=detail&amp;rf=Y</t>
        </is>
      </c>
      <c r="AA299" s="0" t="inlineStr">
        <is>
          <t>서울시 강동구 길동 54</t>
        </is>
      </c>
      <c r="AB299" s="0" t="inlineStr">
        <is>
          <t>서울시</t>
        </is>
      </c>
      <c r="AC299" s="0" t="inlineStr">
        <is>
          <t>강동구</t>
        </is>
      </c>
      <c r="AD299" s="0" t="inlineStr">
        <is>
          <t>길동</t>
        </is>
      </c>
      <c r="AG299" s="0" t="inlineStr">
        <is>
          <t>서울시 강동구 명일로 293</t>
        </is>
      </c>
      <c r="AH299" s="0" t="n">
        <v>0</v>
      </c>
      <c r="AI299" s="0" t="n">
        <v>188</v>
      </c>
      <c r="AJ299" s="0" t="n">
        <v>0</v>
      </c>
      <c r="AK299" s="0" t="n">
        <v>1102</v>
      </c>
      <c r="AL299" s="0" t="n">
        <v>1.01</v>
      </c>
    </row>
    <row r="300">
      <c r="A300" s="0" t="inlineStr">
        <is>
          <t>[길동]</t>
        </is>
      </c>
      <c r="B300" s="0" t="n">
        <v>1283</v>
      </c>
      <c r="C300" s="0" t="n">
        <v>25</v>
      </c>
      <c r="D300" s="0" t="inlineStr">
        <is>
          <t>삼익파크맨숀</t>
        </is>
      </c>
      <c r="E300" s="0" t="inlineStr">
        <is>
          <t>1982.09.</t>
        </is>
      </c>
      <c r="F300" s="0" t="n">
        <v>1092</v>
      </c>
      <c r="G300" s="0" t="n">
        <v>32.58</v>
      </c>
      <c r="H300" s="0" t="n">
        <v>107.73</v>
      </c>
      <c r="I300" s="0" t="n">
        <v>26.68</v>
      </c>
      <c r="J300" s="0" t="n">
        <v>88.23</v>
      </c>
      <c r="K300" s="0" t="n">
        <v>12</v>
      </c>
      <c r="T300" s="0" t="n">
        <v>3</v>
      </c>
      <c r="U300" s="0" t="n">
        <v>1</v>
      </c>
      <c r="V300" s="0" t="inlineStr">
        <is>
          <t>계단식</t>
        </is>
      </c>
      <c r="W300" s="0" t="n">
        <v>107</v>
      </c>
      <c r="X300" s="0" t="n">
        <v>12</v>
      </c>
      <c r="Y300" s="0" t="n">
        <v>12</v>
      </c>
      <c r="Z300" s="0" t="inlineStr">
        <is>
          <t>https://new.land.naver.com/complexes/1283?tab=detail&amp;rf=Y</t>
        </is>
      </c>
      <c r="AA300" s="0" t="inlineStr">
        <is>
          <t>서울시 강동구 길동 54</t>
        </is>
      </c>
      <c r="AB300" s="0" t="inlineStr">
        <is>
          <t>서울시</t>
        </is>
      </c>
      <c r="AC300" s="0" t="inlineStr">
        <is>
          <t>강동구</t>
        </is>
      </c>
      <c r="AD300" s="0" t="inlineStr">
        <is>
          <t>길동</t>
        </is>
      </c>
      <c r="AG300" s="0" t="inlineStr">
        <is>
          <t>서울시 강동구 명일로 293</t>
        </is>
      </c>
      <c r="AH300" s="0" t="n">
        <v>0</v>
      </c>
      <c r="AI300" s="0" t="n">
        <v>188</v>
      </c>
      <c r="AJ300" s="0" t="n">
        <v>0</v>
      </c>
      <c r="AK300" s="0" t="n">
        <v>1102</v>
      </c>
      <c r="AL300" s="0" t="n">
        <v>1.01</v>
      </c>
    </row>
    <row r="301">
      <c r="A301" s="0" t="inlineStr">
        <is>
          <t>[길동]</t>
        </is>
      </c>
      <c r="B301" s="0" t="n">
        <v>1283</v>
      </c>
      <c r="C301" s="0" t="n">
        <v>26</v>
      </c>
      <c r="D301" s="0" t="inlineStr">
        <is>
          <t>삼익파크맨숀</t>
        </is>
      </c>
      <c r="E301" s="0" t="inlineStr">
        <is>
          <t>1982.09.</t>
        </is>
      </c>
      <c r="F301" s="0" t="n">
        <v>1092</v>
      </c>
      <c r="G301" s="0" t="n">
        <v>42.72</v>
      </c>
      <c r="H301" s="0" t="n">
        <v>141.25</v>
      </c>
      <c r="I301" s="0" t="n">
        <v>39.57</v>
      </c>
      <c r="J301" s="0" t="n">
        <v>130.84</v>
      </c>
      <c r="K301" s="0" t="n">
        <v>54</v>
      </c>
      <c r="T301" s="0" t="n">
        <v>4</v>
      </c>
      <c r="U301" s="0" t="n">
        <v>2</v>
      </c>
      <c r="V301" s="0" t="inlineStr">
        <is>
          <t>계단식</t>
        </is>
      </c>
      <c r="W301" s="0" t="inlineStr">
        <is>
          <t>141A</t>
        </is>
      </c>
      <c r="X301" s="0" t="n">
        <v>12</v>
      </c>
      <c r="Y301" s="0" t="n">
        <v>12</v>
      </c>
      <c r="Z301" s="0" t="inlineStr">
        <is>
          <t>https://new.land.naver.com/complexes/1283?tab=detail&amp;rf=Y</t>
        </is>
      </c>
      <c r="AA301" s="0" t="inlineStr">
        <is>
          <t>서울시 강동구 길동 54</t>
        </is>
      </c>
      <c r="AB301" s="0" t="inlineStr">
        <is>
          <t>서울시</t>
        </is>
      </c>
      <c r="AC301" s="0" t="inlineStr">
        <is>
          <t>강동구</t>
        </is>
      </c>
      <c r="AD301" s="0" t="inlineStr">
        <is>
          <t>길동</t>
        </is>
      </c>
      <c r="AG301" s="0" t="inlineStr">
        <is>
          <t>서울시 강동구 명일로 293</t>
        </is>
      </c>
      <c r="AH301" s="0" t="n">
        <v>0</v>
      </c>
      <c r="AI301" s="0" t="n">
        <v>188</v>
      </c>
      <c r="AJ301" s="0" t="n">
        <v>0</v>
      </c>
      <c r="AK301" s="0" t="n">
        <v>1102</v>
      </c>
      <c r="AL301" s="0" t="n">
        <v>1.01</v>
      </c>
    </row>
    <row r="302">
      <c r="A302" s="0" t="inlineStr">
        <is>
          <t>[길동]</t>
        </is>
      </c>
      <c r="B302" s="0" t="n">
        <v>1283</v>
      </c>
      <c r="C302" s="0" t="n">
        <v>27</v>
      </c>
      <c r="D302" s="0" t="inlineStr">
        <is>
          <t>삼익파크맨숀</t>
        </is>
      </c>
      <c r="E302" s="0" t="inlineStr">
        <is>
          <t>1982.09.</t>
        </is>
      </c>
      <c r="F302" s="0" t="n">
        <v>1092</v>
      </c>
      <c r="G302" s="0" t="n">
        <v>42.74</v>
      </c>
      <c r="H302" s="0" t="n">
        <v>141.31</v>
      </c>
      <c r="I302" s="0" t="n">
        <v>39.57</v>
      </c>
      <c r="J302" s="0" t="n">
        <v>130.83</v>
      </c>
      <c r="K302" s="0" t="n">
        <v>1</v>
      </c>
      <c r="T302" s="0" t="n">
        <v>4</v>
      </c>
      <c r="U302" s="0" t="n">
        <v>2</v>
      </c>
      <c r="V302" s="0" t="inlineStr">
        <is>
          <t>계단식</t>
        </is>
      </c>
      <c r="W302" s="0" t="inlineStr">
        <is>
          <t>141C</t>
        </is>
      </c>
      <c r="X302" s="0" t="n">
        <v>12</v>
      </c>
      <c r="Y302" s="0" t="n">
        <v>12</v>
      </c>
      <c r="Z302" s="0" t="inlineStr">
        <is>
          <t>https://new.land.naver.com/complexes/1283?tab=detail&amp;rf=Y</t>
        </is>
      </c>
      <c r="AA302" s="0" t="inlineStr">
        <is>
          <t>서울시 강동구 길동 54</t>
        </is>
      </c>
      <c r="AB302" s="0" t="inlineStr">
        <is>
          <t>서울시</t>
        </is>
      </c>
      <c r="AC302" s="0" t="inlineStr">
        <is>
          <t>강동구</t>
        </is>
      </c>
      <c r="AD302" s="0" t="inlineStr">
        <is>
          <t>길동</t>
        </is>
      </c>
      <c r="AG302" s="0" t="inlineStr">
        <is>
          <t>서울시 강동구 명일로 293</t>
        </is>
      </c>
      <c r="AH302" s="0" t="n">
        <v>0</v>
      </c>
      <c r="AI302" s="0" t="n">
        <v>188</v>
      </c>
      <c r="AJ302" s="0" t="n">
        <v>0</v>
      </c>
      <c r="AK302" s="0" t="n">
        <v>1102</v>
      </c>
      <c r="AL302" s="0" t="n">
        <v>1.01</v>
      </c>
    </row>
    <row r="303">
      <c r="A303" s="0" t="inlineStr">
        <is>
          <t>[길동]</t>
        </is>
      </c>
      <c r="B303" s="0" t="n">
        <v>1283</v>
      </c>
      <c r="C303" s="0" t="n">
        <v>28</v>
      </c>
      <c r="D303" s="0" t="inlineStr">
        <is>
          <t>삼익파크맨숀</t>
        </is>
      </c>
      <c r="E303" s="0" t="inlineStr">
        <is>
          <t>1982.09.</t>
        </is>
      </c>
      <c r="F303" s="0" t="n">
        <v>1092</v>
      </c>
      <c r="G303" s="0" t="n">
        <v>43.04</v>
      </c>
      <c r="H303" s="0" t="n">
        <v>142.31</v>
      </c>
      <c r="I303" s="0" t="n">
        <v>39.89</v>
      </c>
      <c r="J303" s="0" t="n">
        <v>131.9</v>
      </c>
      <c r="K303" s="0" t="n">
        <v>3</v>
      </c>
      <c r="T303" s="0" t="n">
        <v>4</v>
      </c>
      <c r="U303" s="0" t="n">
        <v>2</v>
      </c>
      <c r="V303" s="0" t="inlineStr">
        <is>
          <t>계단식</t>
        </is>
      </c>
      <c r="W303" s="0" t="inlineStr">
        <is>
          <t>142D</t>
        </is>
      </c>
      <c r="X303" s="0" t="n">
        <v>12</v>
      </c>
      <c r="Y303" s="0" t="n">
        <v>12</v>
      </c>
      <c r="Z303" s="0" t="inlineStr">
        <is>
          <t>https://new.land.naver.com/complexes/1283?tab=detail&amp;rf=Y</t>
        </is>
      </c>
      <c r="AA303" s="0" t="inlineStr">
        <is>
          <t>서울시 강동구 길동 54</t>
        </is>
      </c>
      <c r="AB303" s="0" t="inlineStr">
        <is>
          <t>서울시</t>
        </is>
      </c>
      <c r="AC303" s="0" t="inlineStr">
        <is>
          <t>강동구</t>
        </is>
      </c>
      <c r="AD303" s="0" t="inlineStr">
        <is>
          <t>길동</t>
        </is>
      </c>
      <c r="AG303" s="0" t="inlineStr">
        <is>
          <t>서울시 강동구 명일로 293</t>
        </is>
      </c>
      <c r="AH303" s="0" t="n">
        <v>0</v>
      </c>
      <c r="AI303" s="0" t="n">
        <v>188</v>
      </c>
      <c r="AJ303" s="0" t="n">
        <v>0</v>
      </c>
      <c r="AK303" s="0" t="n">
        <v>1102</v>
      </c>
      <c r="AL303" s="0" t="n">
        <v>1.01</v>
      </c>
    </row>
    <row r="304">
      <c r="A304" s="0" t="inlineStr">
        <is>
          <t>[길동]</t>
        </is>
      </c>
      <c r="B304" s="0" t="n">
        <v>1283</v>
      </c>
      <c r="C304" s="0" t="n">
        <v>29</v>
      </c>
      <c r="D304" s="0" t="inlineStr">
        <is>
          <t>삼익파크맨숀</t>
        </is>
      </c>
      <c r="E304" s="0" t="inlineStr">
        <is>
          <t>1982.09.</t>
        </is>
      </c>
      <c r="F304" s="0" t="n">
        <v>1092</v>
      </c>
      <c r="G304" s="0" t="n">
        <v>43.04</v>
      </c>
      <c r="H304" s="0" t="n">
        <v>142.31</v>
      </c>
      <c r="I304" s="0" t="n">
        <v>39.87</v>
      </c>
      <c r="J304" s="0" t="n">
        <v>131.83</v>
      </c>
      <c r="K304" s="0" t="n">
        <v>2</v>
      </c>
      <c r="T304" s="0" t="n">
        <v>4</v>
      </c>
      <c r="U304" s="0" t="n">
        <v>2</v>
      </c>
      <c r="V304" s="0" t="inlineStr">
        <is>
          <t>계단식</t>
        </is>
      </c>
      <c r="W304" s="0" t="inlineStr">
        <is>
          <t>142B</t>
        </is>
      </c>
      <c r="X304" s="0" t="n">
        <v>12</v>
      </c>
      <c r="Y304" s="0" t="n">
        <v>12</v>
      </c>
      <c r="Z304" s="0" t="inlineStr">
        <is>
          <t>https://new.land.naver.com/complexes/1283?tab=detail&amp;rf=Y</t>
        </is>
      </c>
      <c r="AA304" s="0" t="inlineStr">
        <is>
          <t>서울시 강동구 길동 54</t>
        </is>
      </c>
      <c r="AB304" s="0" t="inlineStr">
        <is>
          <t>서울시</t>
        </is>
      </c>
      <c r="AC304" s="0" t="inlineStr">
        <is>
          <t>강동구</t>
        </is>
      </c>
      <c r="AD304" s="0" t="inlineStr">
        <is>
          <t>길동</t>
        </is>
      </c>
      <c r="AG304" s="0" t="inlineStr">
        <is>
          <t>서울시 강동구 명일로 293</t>
        </is>
      </c>
      <c r="AH304" s="0" t="n">
        <v>0</v>
      </c>
      <c r="AI304" s="0" t="n">
        <v>188</v>
      </c>
      <c r="AJ304" s="0" t="n">
        <v>0</v>
      </c>
      <c r="AK304" s="0" t="n">
        <v>1102</v>
      </c>
      <c r="AL304" s="0" t="n">
        <v>1.01</v>
      </c>
    </row>
    <row r="305">
      <c r="A305" s="0" t="inlineStr">
        <is>
          <t>[길동]</t>
        </is>
      </c>
      <c r="B305" s="0" t="n">
        <v>1283</v>
      </c>
      <c r="C305" s="0" t="n">
        <v>30</v>
      </c>
      <c r="D305" s="0" t="inlineStr">
        <is>
          <t>삼익파크맨숀</t>
        </is>
      </c>
      <c r="E305" s="0" t="inlineStr">
        <is>
          <t>1982.09.</t>
        </is>
      </c>
      <c r="F305" s="0" t="n">
        <v>1092</v>
      </c>
      <c r="G305" s="0" t="n">
        <v>44.94</v>
      </c>
      <c r="H305" s="0" t="n">
        <v>148.58</v>
      </c>
      <c r="I305" s="0" t="n">
        <v>41.65</v>
      </c>
      <c r="J305" s="0" t="n">
        <v>137.7</v>
      </c>
      <c r="K305" s="0" t="n">
        <v>48</v>
      </c>
      <c r="T305" s="0" t="n">
        <v>4</v>
      </c>
      <c r="U305" s="0" t="n">
        <v>2</v>
      </c>
      <c r="V305" s="0" t="inlineStr">
        <is>
          <t>계단식</t>
        </is>
      </c>
      <c r="W305" s="0" t="n">
        <v>148</v>
      </c>
      <c r="X305" s="0" t="n">
        <v>12</v>
      </c>
      <c r="Y305" s="0" t="n">
        <v>12</v>
      </c>
      <c r="Z305" s="0" t="inlineStr">
        <is>
          <t>https://new.land.naver.com/complexes/1283?tab=detail&amp;rf=Y</t>
        </is>
      </c>
      <c r="AA305" s="0" t="inlineStr">
        <is>
          <t>서울시 강동구 길동 54</t>
        </is>
      </c>
      <c r="AB305" s="0" t="inlineStr">
        <is>
          <t>서울시</t>
        </is>
      </c>
      <c r="AC305" s="0" t="inlineStr">
        <is>
          <t>강동구</t>
        </is>
      </c>
      <c r="AD305" s="0" t="inlineStr">
        <is>
          <t>길동</t>
        </is>
      </c>
      <c r="AG305" s="0" t="inlineStr">
        <is>
          <t>서울시 강동구 명일로 293</t>
        </is>
      </c>
      <c r="AH305" s="0" t="n">
        <v>0</v>
      </c>
      <c r="AI305" s="0" t="n">
        <v>188</v>
      </c>
      <c r="AJ305" s="0" t="n">
        <v>0</v>
      </c>
      <c r="AK305" s="0" t="n">
        <v>1102</v>
      </c>
      <c r="AL305" s="0" t="n">
        <v>1.01</v>
      </c>
    </row>
    <row r="306">
      <c r="A306" s="0" t="inlineStr">
        <is>
          <t>[길동]</t>
        </is>
      </c>
      <c r="B306" s="0" t="n">
        <v>1283</v>
      </c>
      <c r="C306" s="0" t="n">
        <v>31</v>
      </c>
      <c r="D306" s="0" t="inlineStr">
        <is>
          <t>삼익파크맨숀</t>
        </is>
      </c>
      <c r="E306" s="0" t="inlineStr">
        <is>
          <t>1982.09.</t>
        </is>
      </c>
      <c r="F306" s="0" t="n">
        <v>1092</v>
      </c>
      <c r="G306" s="0" t="n">
        <v>48.11</v>
      </c>
      <c r="H306" s="0" t="n">
        <v>159.06</v>
      </c>
      <c r="I306" s="0" t="n">
        <v>39.43</v>
      </c>
      <c r="J306" s="0" t="n">
        <v>130.38</v>
      </c>
      <c r="K306" s="0" t="n">
        <v>12</v>
      </c>
      <c r="T306" s="0" t="n">
        <v>3</v>
      </c>
      <c r="U306" s="0" t="n">
        <v>2</v>
      </c>
      <c r="V306" s="0" t="inlineStr">
        <is>
          <t>계단식</t>
        </is>
      </c>
      <c r="W306" s="0" t="n">
        <v>159</v>
      </c>
      <c r="X306" s="0" t="n">
        <v>12</v>
      </c>
      <c r="Y306" s="0" t="n">
        <v>12</v>
      </c>
      <c r="Z306" s="0" t="inlineStr">
        <is>
          <t>https://new.land.naver.com/complexes/1283?tab=detail&amp;rf=Y</t>
        </is>
      </c>
      <c r="AA306" s="0" t="inlineStr">
        <is>
          <t>서울시 강동구 길동 54</t>
        </is>
      </c>
      <c r="AB306" s="0" t="inlineStr">
        <is>
          <t>서울시</t>
        </is>
      </c>
      <c r="AC306" s="0" t="inlineStr">
        <is>
          <t>강동구</t>
        </is>
      </c>
      <c r="AD306" s="0" t="inlineStr">
        <is>
          <t>길동</t>
        </is>
      </c>
      <c r="AG306" s="0" t="inlineStr">
        <is>
          <t>서울시 강동구 명일로 293</t>
        </is>
      </c>
      <c r="AH306" s="0" t="n">
        <v>0</v>
      </c>
      <c r="AI306" s="0" t="n">
        <v>188</v>
      </c>
      <c r="AJ306" s="0" t="n">
        <v>0</v>
      </c>
      <c r="AK306" s="0" t="n">
        <v>1102</v>
      </c>
      <c r="AL306" s="0" t="n">
        <v>1.01</v>
      </c>
    </row>
    <row r="307">
      <c r="A307" s="0" t="inlineStr">
        <is>
          <t>[길동]</t>
        </is>
      </c>
      <c r="B307" s="0" t="n">
        <v>1283</v>
      </c>
      <c r="C307" s="0" t="n">
        <v>32</v>
      </c>
      <c r="D307" s="0" t="inlineStr">
        <is>
          <t>삼익파크맨숀</t>
        </is>
      </c>
      <c r="E307" s="0" t="inlineStr">
        <is>
          <t>1982.09.</t>
        </is>
      </c>
      <c r="F307" s="0" t="n">
        <v>1092</v>
      </c>
      <c r="G307" s="0" t="n">
        <v>49.5</v>
      </c>
      <c r="H307" s="0" t="n">
        <v>163.64</v>
      </c>
      <c r="I307" s="0" t="n">
        <v>45.81</v>
      </c>
      <c r="J307" s="0" t="n">
        <v>151.44</v>
      </c>
      <c r="K307" s="0" t="n">
        <v>33</v>
      </c>
      <c r="T307" s="0" t="n">
        <v>4</v>
      </c>
      <c r="U307" s="0" t="n">
        <v>2</v>
      </c>
      <c r="V307" s="0" t="inlineStr">
        <is>
          <t>계단식</t>
        </is>
      </c>
      <c r="W307" s="0" t="inlineStr">
        <is>
          <t>163A</t>
        </is>
      </c>
      <c r="X307" s="0" t="n">
        <v>12</v>
      </c>
      <c r="Y307" s="0" t="n">
        <v>12</v>
      </c>
      <c r="Z307" s="0" t="inlineStr">
        <is>
          <t>https://new.land.naver.com/complexes/1283?tab=detail&amp;rf=Y</t>
        </is>
      </c>
      <c r="AA307" s="0" t="inlineStr">
        <is>
          <t>서울시 강동구 길동 54</t>
        </is>
      </c>
      <c r="AB307" s="0" t="inlineStr">
        <is>
          <t>서울시</t>
        </is>
      </c>
      <c r="AC307" s="0" t="inlineStr">
        <is>
          <t>강동구</t>
        </is>
      </c>
      <c r="AD307" s="0" t="inlineStr">
        <is>
          <t>길동</t>
        </is>
      </c>
      <c r="AG307" s="0" t="inlineStr">
        <is>
          <t>서울시 강동구 명일로 293</t>
        </is>
      </c>
      <c r="AH307" s="0" t="n">
        <v>0</v>
      </c>
      <c r="AI307" s="0" t="n">
        <v>188</v>
      </c>
      <c r="AJ307" s="0" t="n">
        <v>0</v>
      </c>
      <c r="AK307" s="0" t="n">
        <v>1102</v>
      </c>
      <c r="AL307" s="0" t="n">
        <v>1.01</v>
      </c>
    </row>
    <row r="308">
      <c r="A308" s="0" t="inlineStr">
        <is>
          <t>[길동]</t>
        </is>
      </c>
      <c r="B308" s="0" t="n">
        <v>1283</v>
      </c>
      <c r="C308" s="0" t="n">
        <v>33</v>
      </c>
      <c r="D308" s="0" t="inlineStr">
        <is>
          <t>삼익파크맨숀</t>
        </is>
      </c>
      <c r="E308" s="0" t="inlineStr">
        <is>
          <t>1982.09.</t>
        </is>
      </c>
      <c r="F308" s="0" t="n">
        <v>1092</v>
      </c>
      <c r="G308" s="0" t="n">
        <v>49.48</v>
      </c>
      <c r="H308" s="0" t="n">
        <v>163.6</v>
      </c>
      <c r="I308" s="0" t="n">
        <v>45.81</v>
      </c>
      <c r="J308" s="0" t="n">
        <v>151.47</v>
      </c>
      <c r="K308" s="0" t="n">
        <v>22</v>
      </c>
      <c r="T308" s="0" t="n">
        <v>5</v>
      </c>
      <c r="U308" s="0" t="n">
        <v>2</v>
      </c>
      <c r="V308" s="0" t="inlineStr">
        <is>
          <t>계단식</t>
        </is>
      </c>
      <c r="W308" s="0" t="n">
        <v>163</v>
      </c>
      <c r="X308" s="0" t="n">
        <v>12</v>
      </c>
      <c r="Y308" s="0" t="n">
        <v>12</v>
      </c>
      <c r="Z308" s="0" t="inlineStr">
        <is>
          <t>https://new.land.naver.com/complexes/1283?tab=detail&amp;rf=Y</t>
        </is>
      </c>
      <c r="AA308" s="0" t="inlineStr">
        <is>
          <t>서울시 강동구 길동 54</t>
        </is>
      </c>
      <c r="AB308" s="0" t="inlineStr">
        <is>
          <t>서울시</t>
        </is>
      </c>
      <c r="AC308" s="0" t="inlineStr">
        <is>
          <t>강동구</t>
        </is>
      </c>
      <c r="AD308" s="0" t="inlineStr">
        <is>
          <t>길동</t>
        </is>
      </c>
      <c r="AG308" s="0" t="inlineStr">
        <is>
          <t>서울시 강동구 명일로 293</t>
        </is>
      </c>
      <c r="AH308" s="0" t="n">
        <v>0</v>
      </c>
      <c r="AI308" s="0" t="n">
        <v>188</v>
      </c>
      <c r="AJ308" s="0" t="n">
        <v>0</v>
      </c>
      <c r="AK308" s="0" t="n">
        <v>1102</v>
      </c>
      <c r="AL308" s="0" t="n">
        <v>1.01</v>
      </c>
    </row>
    <row r="309">
      <c r="A309" s="0" t="inlineStr">
        <is>
          <t>[길동]</t>
        </is>
      </c>
      <c r="B309" s="0" t="n">
        <v>1283</v>
      </c>
      <c r="C309" s="0" t="n">
        <v>34</v>
      </c>
      <c r="D309" s="0" t="inlineStr">
        <is>
          <t>삼익파크맨숀</t>
        </is>
      </c>
      <c r="E309" s="0" t="inlineStr">
        <is>
          <t>1982.09.</t>
        </is>
      </c>
      <c r="F309" s="0" t="n">
        <v>1092</v>
      </c>
      <c r="G309" s="0" t="n">
        <v>49.83</v>
      </c>
      <c r="H309" s="0" t="n">
        <v>164.76</v>
      </c>
      <c r="I309" s="0" t="n">
        <v>46.14</v>
      </c>
      <c r="J309" s="0" t="n">
        <v>152.56</v>
      </c>
      <c r="K309" s="0" t="n">
        <v>3</v>
      </c>
      <c r="T309" s="0" t="n">
        <v>5</v>
      </c>
      <c r="U309" s="0" t="n">
        <v>2</v>
      </c>
      <c r="V309" s="0" t="inlineStr">
        <is>
          <t>계단식</t>
        </is>
      </c>
      <c r="W309" s="0" t="inlineStr">
        <is>
          <t>164B</t>
        </is>
      </c>
      <c r="X309" s="0" t="n">
        <v>12</v>
      </c>
      <c r="Y309" s="0" t="n">
        <v>12</v>
      </c>
      <c r="Z309" s="0" t="inlineStr">
        <is>
          <t>https://new.land.naver.com/complexes/1283?tab=detail&amp;rf=Y</t>
        </is>
      </c>
      <c r="AA309" s="0" t="inlineStr">
        <is>
          <t>서울시 강동구 길동 54</t>
        </is>
      </c>
      <c r="AB309" s="0" t="inlineStr">
        <is>
          <t>서울시</t>
        </is>
      </c>
      <c r="AC309" s="0" t="inlineStr">
        <is>
          <t>강동구</t>
        </is>
      </c>
      <c r="AD309" s="0" t="inlineStr">
        <is>
          <t>길동</t>
        </is>
      </c>
      <c r="AG309" s="0" t="inlineStr">
        <is>
          <t>서울시 강동구 명일로 293</t>
        </is>
      </c>
      <c r="AH309" s="0" t="n">
        <v>0</v>
      </c>
      <c r="AI309" s="0" t="n">
        <v>188</v>
      </c>
      <c r="AJ309" s="0" t="n">
        <v>0</v>
      </c>
      <c r="AK309" s="0" t="n">
        <v>1102</v>
      </c>
      <c r="AL309" s="0" t="n">
        <v>1.01</v>
      </c>
    </row>
    <row r="310">
      <c r="A310" s="0" t="inlineStr">
        <is>
          <t>[길동]</t>
        </is>
      </c>
      <c r="B310" s="0" t="n">
        <v>1283</v>
      </c>
      <c r="C310" s="0" t="n">
        <v>35</v>
      </c>
      <c r="D310" s="0" t="inlineStr">
        <is>
          <t>삼익파크맨숀</t>
        </is>
      </c>
      <c r="E310" s="0" t="inlineStr">
        <is>
          <t>1982.09.</t>
        </is>
      </c>
      <c r="F310" s="0" t="n">
        <v>1092</v>
      </c>
      <c r="G310" s="0" t="n">
        <v>49.83</v>
      </c>
      <c r="H310" s="0" t="n">
        <v>164.76</v>
      </c>
      <c r="I310" s="0" t="n">
        <v>46.17</v>
      </c>
      <c r="J310" s="0" t="n">
        <v>152.63</v>
      </c>
      <c r="K310" s="0" t="n">
        <v>2</v>
      </c>
      <c r="T310" s="0" t="n">
        <v>5</v>
      </c>
      <c r="U310" s="0" t="n">
        <v>2</v>
      </c>
      <c r="V310" s="0" t="inlineStr">
        <is>
          <t>계단식</t>
        </is>
      </c>
      <c r="W310" s="0" t="n">
        <v>164</v>
      </c>
      <c r="X310" s="0" t="n">
        <v>12</v>
      </c>
      <c r="Y310" s="0" t="n">
        <v>12</v>
      </c>
      <c r="Z310" s="0" t="inlineStr">
        <is>
          <t>https://new.land.naver.com/complexes/1283?tab=detail&amp;rf=Y</t>
        </is>
      </c>
      <c r="AA310" s="0" t="inlineStr">
        <is>
          <t>서울시 강동구 길동 54</t>
        </is>
      </c>
      <c r="AB310" s="0" t="inlineStr">
        <is>
          <t>서울시</t>
        </is>
      </c>
      <c r="AC310" s="0" t="inlineStr">
        <is>
          <t>강동구</t>
        </is>
      </c>
      <c r="AD310" s="0" t="inlineStr">
        <is>
          <t>길동</t>
        </is>
      </c>
      <c r="AG310" s="0" t="inlineStr">
        <is>
          <t>서울시 강동구 명일로 293</t>
        </is>
      </c>
      <c r="AH310" s="0" t="n">
        <v>0</v>
      </c>
      <c r="AI310" s="0" t="n">
        <v>188</v>
      </c>
      <c r="AJ310" s="0" t="n">
        <v>0</v>
      </c>
      <c r="AK310" s="0" t="n">
        <v>1102</v>
      </c>
      <c r="AL310" s="0" t="n">
        <v>1.01</v>
      </c>
    </row>
    <row r="311">
      <c r="A311" s="0" t="inlineStr">
        <is>
          <t>[길동]</t>
        </is>
      </c>
      <c r="B311" s="0" t="n">
        <v>1283</v>
      </c>
      <c r="C311" s="0" t="n">
        <v>36</v>
      </c>
      <c r="D311" s="0" t="inlineStr">
        <is>
          <t>삼익파크맨숀</t>
        </is>
      </c>
      <c r="E311" s="0" t="inlineStr">
        <is>
          <t>1982.09.</t>
        </is>
      </c>
      <c r="F311" s="0" t="n">
        <v>1092</v>
      </c>
      <c r="G311" s="0" t="n">
        <v>50.49</v>
      </c>
      <c r="H311" s="0" t="n">
        <v>166.93</v>
      </c>
      <c r="I311" s="0" t="n">
        <v>41.39</v>
      </c>
      <c r="J311" s="0" t="n">
        <v>136.83</v>
      </c>
      <c r="K311" s="0" t="n">
        <v>12</v>
      </c>
      <c r="T311" s="0" t="n">
        <v>4</v>
      </c>
      <c r="U311" s="0" t="n">
        <v>2</v>
      </c>
      <c r="V311" s="0" t="inlineStr">
        <is>
          <t>계단식</t>
        </is>
      </c>
      <c r="W311" s="0" t="n">
        <v>166</v>
      </c>
      <c r="X311" s="0" t="n">
        <v>12</v>
      </c>
      <c r="Y311" s="0" t="n">
        <v>12</v>
      </c>
      <c r="Z311" s="0" t="inlineStr">
        <is>
          <t>https://new.land.naver.com/complexes/1283?tab=detail&amp;rf=Y</t>
        </is>
      </c>
      <c r="AA311" s="0" t="inlineStr">
        <is>
          <t>서울시 강동구 길동 54</t>
        </is>
      </c>
      <c r="AB311" s="0" t="inlineStr">
        <is>
          <t>서울시</t>
        </is>
      </c>
      <c r="AC311" s="0" t="inlineStr">
        <is>
          <t>강동구</t>
        </is>
      </c>
      <c r="AD311" s="0" t="inlineStr">
        <is>
          <t>길동</t>
        </is>
      </c>
      <c r="AG311" s="0" t="inlineStr">
        <is>
          <t>서울시 강동구 명일로 293</t>
        </is>
      </c>
      <c r="AH311" s="0" t="n">
        <v>0</v>
      </c>
      <c r="AI311" s="0" t="n">
        <v>188</v>
      </c>
      <c r="AJ311" s="0" t="n">
        <v>0</v>
      </c>
      <c r="AK311" s="0" t="n">
        <v>1102</v>
      </c>
      <c r="AL311" s="0" t="n">
        <v>1.01</v>
      </c>
    </row>
    <row r="312">
      <c r="A312" s="0" t="inlineStr">
        <is>
          <t>[길동]</t>
        </is>
      </c>
      <c r="B312" s="0" t="n">
        <v>100338</v>
      </c>
      <c r="C312" s="0" t="n">
        <v>1</v>
      </c>
      <c r="D312" s="0" t="inlineStr">
        <is>
          <t>주풍그린빌</t>
        </is>
      </c>
      <c r="E312" s="0" t="inlineStr">
        <is>
          <t>1996.12.</t>
        </is>
      </c>
      <c r="F312" s="0" t="n">
        <v>19</v>
      </c>
      <c r="G312" s="0" t="n">
        <v>46.13</v>
      </c>
      <c r="H312" s="0" t="n">
        <v>152.51</v>
      </c>
      <c r="I312" s="0" t="n">
        <v>42.23</v>
      </c>
      <c r="J312" s="0" t="n">
        <v>139.61</v>
      </c>
      <c r="K312" s="0" t="n">
        <v>15</v>
      </c>
      <c r="T312" s="0" t="n">
        <v>4</v>
      </c>
      <c r="U312" s="0" t="n">
        <v>2</v>
      </c>
      <c r="V312" s="0" t="inlineStr">
        <is>
          <t>계단식</t>
        </is>
      </c>
      <c r="W312" s="0" t="n">
        <v>152</v>
      </c>
      <c r="X312" s="0" t="n">
        <v>6</v>
      </c>
      <c r="Y312" s="0" t="n">
        <v>5</v>
      </c>
      <c r="Z312" s="0" t="inlineStr">
        <is>
          <t>https://new.land.naver.com/complexes/100338?tab=detail&amp;rf=Y</t>
        </is>
      </c>
      <c r="AA312" s="0" t="inlineStr">
        <is>
          <t>서울시 강동구 길동 323-1</t>
        </is>
      </c>
      <c r="AB312" s="0" t="inlineStr">
        <is>
          <t>서울시</t>
        </is>
      </c>
      <c r="AC312" s="0" t="inlineStr">
        <is>
          <t>강동구</t>
        </is>
      </c>
      <c r="AD312" s="0" t="inlineStr">
        <is>
          <t>길동</t>
        </is>
      </c>
      <c r="AG312" s="0" t="inlineStr">
        <is>
          <t>서울시 강동구 천중로49길 76</t>
        </is>
      </c>
      <c r="AH312" s="0" t="n">
        <v>0</v>
      </c>
      <c r="AI312" s="0" t="n">
        <v>219</v>
      </c>
      <c r="AJ312" s="0" t="n">
        <v>43</v>
      </c>
      <c r="AK312" s="0" t="n">
        <v>27</v>
      </c>
      <c r="AL312" s="0" t="n">
        <v>1.42</v>
      </c>
    </row>
    <row r="313">
      <c r="A313" s="0" t="inlineStr">
        <is>
          <t>[길동]</t>
        </is>
      </c>
      <c r="B313" s="0" t="n">
        <v>100338</v>
      </c>
      <c r="C313" s="0" t="n">
        <v>2</v>
      </c>
      <c r="D313" s="0" t="inlineStr">
        <is>
          <t>주풍그린빌</t>
        </is>
      </c>
      <c r="E313" s="0" t="inlineStr">
        <is>
          <t>1996.12.</t>
        </is>
      </c>
      <c r="F313" s="0" t="n">
        <v>19</v>
      </c>
      <c r="G313" s="0" t="n">
        <v>74.18000000000001</v>
      </c>
      <c r="H313" s="0" t="n">
        <v>245.25</v>
      </c>
      <c r="I313" s="0" t="n">
        <v>67.90000000000001</v>
      </c>
      <c r="J313" s="0" t="n">
        <v>224.47</v>
      </c>
      <c r="K313" s="0" t="n">
        <v>2</v>
      </c>
      <c r="T313" s="0" t="n">
        <v>6</v>
      </c>
      <c r="U313" s="0" t="n">
        <v>3</v>
      </c>
      <c r="V313" s="0" t="inlineStr">
        <is>
          <t>계단식</t>
        </is>
      </c>
      <c r="W313" s="0" t="n">
        <v>245</v>
      </c>
      <c r="X313" s="0" t="n">
        <v>6</v>
      </c>
      <c r="Y313" s="0" t="n">
        <v>5</v>
      </c>
      <c r="Z313" s="0" t="inlineStr">
        <is>
          <t>https://new.land.naver.com/complexes/100338?tab=detail&amp;rf=Y</t>
        </is>
      </c>
      <c r="AA313" s="0" t="inlineStr">
        <is>
          <t>서울시 강동구 길동 323-1</t>
        </is>
      </c>
      <c r="AB313" s="0" t="inlineStr">
        <is>
          <t>서울시</t>
        </is>
      </c>
      <c r="AC313" s="0" t="inlineStr">
        <is>
          <t>강동구</t>
        </is>
      </c>
      <c r="AD313" s="0" t="inlineStr">
        <is>
          <t>길동</t>
        </is>
      </c>
      <c r="AG313" s="0" t="inlineStr">
        <is>
          <t>서울시 강동구 천중로49길 76</t>
        </is>
      </c>
      <c r="AH313" s="0" t="n">
        <v>0</v>
      </c>
      <c r="AI313" s="0" t="n">
        <v>219</v>
      </c>
      <c r="AJ313" s="0" t="n">
        <v>43</v>
      </c>
      <c r="AK313" s="0" t="n">
        <v>27</v>
      </c>
      <c r="AL313" s="0" t="n">
        <v>1.42</v>
      </c>
    </row>
    <row r="314">
      <c r="A314" s="0" t="inlineStr">
        <is>
          <t>[길동]</t>
        </is>
      </c>
      <c r="B314" s="0" t="n">
        <v>100338</v>
      </c>
      <c r="C314" s="0" t="n">
        <v>3</v>
      </c>
      <c r="D314" s="0" t="inlineStr">
        <is>
          <t>주풍그린빌</t>
        </is>
      </c>
      <c r="E314" s="0" t="inlineStr">
        <is>
          <t>1996.12.</t>
        </is>
      </c>
      <c r="F314" s="0" t="n">
        <v>19</v>
      </c>
      <c r="G314" s="0" t="n">
        <v>77.34</v>
      </c>
      <c r="H314" s="0" t="n">
        <v>255.68</v>
      </c>
      <c r="I314" s="0" t="n">
        <v>70.78</v>
      </c>
      <c r="J314" s="0" t="n">
        <v>234.01</v>
      </c>
      <c r="K314" s="0" t="n">
        <v>2</v>
      </c>
      <c r="T314" s="0" t="n">
        <v>6</v>
      </c>
      <c r="U314" s="0" t="n">
        <v>3</v>
      </c>
      <c r="V314" s="0" t="inlineStr">
        <is>
          <t>계단식</t>
        </is>
      </c>
      <c r="W314" s="0" t="n">
        <v>255</v>
      </c>
      <c r="X314" s="0" t="n">
        <v>6</v>
      </c>
      <c r="Y314" s="0" t="n">
        <v>5</v>
      </c>
      <c r="Z314" s="0" t="inlineStr">
        <is>
          <t>https://new.land.naver.com/complexes/100338?tab=detail&amp;rf=Y</t>
        </is>
      </c>
      <c r="AA314" s="0" t="inlineStr">
        <is>
          <t>서울시 강동구 길동 323-1</t>
        </is>
      </c>
      <c r="AB314" s="0" t="inlineStr">
        <is>
          <t>서울시</t>
        </is>
      </c>
      <c r="AC314" s="0" t="inlineStr">
        <is>
          <t>강동구</t>
        </is>
      </c>
      <c r="AD314" s="0" t="inlineStr">
        <is>
          <t>길동</t>
        </is>
      </c>
      <c r="AG314" s="0" t="inlineStr">
        <is>
          <t>서울시 강동구 천중로49길 76</t>
        </is>
      </c>
      <c r="AH314" s="0" t="n">
        <v>0</v>
      </c>
      <c r="AI314" s="0" t="n">
        <v>219</v>
      </c>
      <c r="AJ314" s="0" t="n">
        <v>43</v>
      </c>
      <c r="AK314" s="0" t="n">
        <v>27</v>
      </c>
      <c r="AL314" s="0" t="n">
        <v>1.42</v>
      </c>
    </row>
    <row r="315">
      <c r="A315" s="0" t="inlineStr">
        <is>
          <t>[길동]</t>
        </is>
      </c>
      <c r="B315" s="0" t="n">
        <v>986</v>
      </c>
      <c r="C315" s="0" t="n">
        <v>1</v>
      </c>
      <c r="D315" s="0" t="inlineStr">
        <is>
          <t>길동대상</t>
        </is>
      </c>
      <c r="E315" s="0" t="inlineStr">
        <is>
          <t>1999.03.</t>
        </is>
      </c>
      <c r="F315" s="0" t="n">
        <v>80</v>
      </c>
      <c r="G315" s="0" t="n">
        <v>24.12</v>
      </c>
      <c r="H315" s="0" t="n">
        <v>79.76000000000001</v>
      </c>
      <c r="I315" s="0" t="n">
        <v>18.12</v>
      </c>
      <c r="J315" s="0" t="n">
        <v>59.91</v>
      </c>
      <c r="K315" s="0" t="n">
        <v>32</v>
      </c>
      <c r="T315" s="0" t="n">
        <v>3</v>
      </c>
      <c r="U315" s="0" t="n">
        <v>1</v>
      </c>
      <c r="V315" s="0" t="inlineStr">
        <is>
          <t>복도식</t>
        </is>
      </c>
      <c r="W315" s="0" t="n">
        <v>79</v>
      </c>
      <c r="X315" s="0" t="n">
        <v>16</v>
      </c>
      <c r="Y315" s="0" t="n">
        <v>16</v>
      </c>
      <c r="Z315" s="0" t="inlineStr">
        <is>
          <t>https://new.land.naver.com/complexes/986?tab=detail&amp;rf=Y</t>
        </is>
      </c>
      <c r="AA315" s="0" t="inlineStr">
        <is>
          <t>서울시 강동구 길동 344-5</t>
        </is>
      </c>
      <c r="AB315" s="0" t="inlineStr">
        <is>
          <t>서울시</t>
        </is>
      </c>
      <c r="AC315" s="0" t="inlineStr">
        <is>
          <t>강동구</t>
        </is>
      </c>
      <c r="AD315" s="0" t="inlineStr">
        <is>
          <t>길동</t>
        </is>
      </c>
      <c r="AG315" s="0" t="inlineStr">
        <is>
          <t>서울시 강동구 천중로 221</t>
        </is>
      </c>
      <c r="AH315" s="0" t="n">
        <v>0</v>
      </c>
      <c r="AI315" s="0" t="n">
        <v>348</v>
      </c>
      <c r="AJ315" s="0" t="n">
        <v>25</v>
      </c>
      <c r="AK315" s="0" t="n">
        <v>80</v>
      </c>
      <c r="AL315" s="0" t="n">
        <v>1</v>
      </c>
    </row>
    <row r="316">
      <c r="A316" s="0" t="inlineStr">
        <is>
          <t>[길동]</t>
        </is>
      </c>
      <c r="B316" s="0" t="n">
        <v>986</v>
      </c>
      <c r="C316" s="0" t="n">
        <v>2</v>
      </c>
      <c r="D316" s="0" t="inlineStr">
        <is>
          <t>길동대상</t>
        </is>
      </c>
      <c r="E316" s="0" t="inlineStr">
        <is>
          <t>1999.03.</t>
        </is>
      </c>
      <c r="F316" s="0" t="n">
        <v>80</v>
      </c>
      <c r="G316" s="0" t="n">
        <v>34.22</v>
      </c>
      <c r="H316" s="0" t="n">
        <v>113.15</v>
      </c>
      <c r="I316" s="0" t="n">
        <v>25.7</v>
      </c>
      <c r="J316" s="0" t="n">
        <v>84.98</v>
      </c>
      <c r="K316" s="0" t="n">
        <v>32</v>
      </c>
      <c r="T316" s="0" t="n">
        <v>3</v>
      </c>
      <c r="U316" s="0" t="n">
        <v>2</v>
      </c>
      <c r="V316" s="0" t="inlineStr">
        <is>
          <t>복도식</t>
        </is>
      </c>
      <c r="W316" s="0" t="n">
        <v>113</v>
      </c>
      <c r="X316" s="0" t="n">
        <v>16</v>
      </c>
      <c r="Y316" s="0" t="n">
        <v>16</v>
      </c>
      <c r="Z316" s="0" t="inlineStr">
        <is>
          <t>https://new.land.naver.com/complexes/986?tab=detail&amp;rf=Y</t>
        </is>
      </c>
      <c r="AA316" s="0" t="inlineStr">
        <is>
          <t>서울시 강동구 길동 344-5</t>
        </is>
      </c>
      <c r="AB316" s="0" t="inlineStr">
        <is>
          <t>서울시</t>
        </is>
      </c>
      <c r="AC316" s="0" t="inlineStr">
        <is>
          <t>강동구</t>
        </is>
      </c>
      <c r="AD316" s="0" t="inlineStr">
        <is>
          <t>길동</t>
        </is>
      </c>
      <c r="AG316" s="0" t="inlineStr">
        <is>
          <t>서울시 강동구 천중로 221</t>
        </is>
      </c>
      <c r="AH316" s="0" t="n">
        <v>0</v>
      </c>
      <c r="AI316" s="0" t="n">
        <v>348</v>
      </c>
      <c r="AJ316" s="0" t="n">
        <v>25</v>
      </c>
      <c r="AK316" s="0" t="n">
        <v>80</v>
      </c>
      <c r="AL316" s="0" t="n">
        <v>1</v>
      </c>
    </row>
    <row r="317">
      <c r="A317" s="0" t="inlineStr">
        <is>
          <t>[길동]</t>
        </is>
      </c>
      <c r="B317" s="0" t="n">
        <v>986</v>
      </c>
      <c r="C317" s="0" t="n">
        <v>3</v>
      </c>
      <c r="D317" s="0" t="inlineStr">
        <is>
          <t>길동대상</t>
        </is>
      </c>
      <c r="E317" s="0" t="inlineStr">
        <is>
          <t>1999.03.</t>
        </is>
      </c>
      <c r="F317" s="0" t="n">
        <v>80</v>
      </c>
      <c r="G317" s="0" t="n">
        <v>46.29</v>
      </c>
      <c r="H317" s="0" t="n">
        <v>153.04</v>
      </c>
      <c r="I317" s="0" t="n">
        <v>34.76</v>
      </c>
      <c r="J317" s="0" t="n">
        <v>114.94</v>
      </c>
      <c r="K317" s="0" t="n">
        <v>16</v>
      </c>
      <c r="T317" s="0" t="n">
        <v>4</v>
      </c>
      <c r="U317" s="0" t="n">
        <v>2</v>
      </c>
      <c r="V317" s="0" t="inlineStr">
        <is>
          <t>복도식</t>
        </is>
      </c>
      <c r="W317" s="0" t="n">
        <v>153</v>
      </c>
      <c r="X317" s="0" t="n">
        <v>16</v>
      </c>
      <c r="Y317" s="0" t="n">
        <v>16</v>
      </c>
      <c r="Z317" s="0" t="inlineStr">
        <is>
          <t>https://new.land.naver.com/complexes/986?tab=detail&amp;rf=Y</t>
        </is>
      </c>
      <c r="AA317" s="0" t="inlineStr">
        <is>
          <t>서울시 강동구 길동 344-5</t>
        </is>
      </c>
      <c r="AB317" s="0" t="inlineStr">
        <is>
          <t>서울시</t>
        </is>
      </c>
      <c r="AC317" s="0" t="inlineStr">
        <is>
          <t>강동구</t>
        </is>
      </c>
      <c r="AD317" s="0" t="inlineStr">
        <is>
          <t>길동</t>
        </is>
      </c>
      <c r="AG317" s="0" t="inlineStr">
        <is>
          <t>서울시 강동구 천중로 221</t>
        </is>
      </c>
      <c r="AH317" s="0" t="n">
        <v>0</v>
      </c>
      <c r="AI317" s="0" t="n">
        <v>348</v>
      </c>
      <c r="AJ317" s="0" t="n">
        <v>25</v>
      </c>
      <c r="AK317" s="0" t="n">
        <v>80</v>
      </c>
      <c r="AL317" s="0" t="n">
        <v>1</v>
      </c>
    </row>
    <row r="318">
      <c r="A318" s="0" t="inlineStr">
        <is>
          <t>[길동]</t>
        </is>
      </c>
      <c r="B318" s="0" t="n">
        <v>117909</v>
      </c>
      <c r="C318" s="0" t="n">
        <v>1</v>
      </c>
      <c r="D318" s="0" t="inlineStr">
        <is>
          <t>율전에버그린</t>
        </is>
      </c>
      <c r="E318" s="0" t="inlineStr">
        <is>
          <t>2016.02.</t>
        </is>
      </c>
      <c r="F318" s="0" t="n">
        <v>28</v>
      </c>
      <c r="G318" s="0" t="n">
        <v>8.56</v>
      </c>
      <c r="H318" s="0" t="n">
        <v>28.31</v>
      </c>
      <c r="I318" s="0" t="n">
        <v>7.07</v>
      </c>
      <c r="J318" s="0" t="n">
        <v>23.39</v>
      </c>
      <c r="K318" s="0" t="n">
        <v>1</v>
      </c>
      <c r="T318" s="0" t="n">
        <v>1</v>
      </c>
      <c r="U318" s="0" t="n">
        <v>1</v>
      </c>
      <c r="V318" s="0" t="inlineStr">
        <is>
          <t>계단식</t>
        </is>
      </c>
      <c r="W318" s="0" t="n">
        <v>28</v>
      </c>
      <c r="X318" s="0" t="n">
        <v>8</v>
      </c>
      <c r="Y318" s="0" t="n">
        <v>8</v>
      </c>
      <c r="Z318" s="0" t="inlineStr">
        <is>
          <t>https://new.land.naver.com/complexes/117909?tab=detail&amp;rf=Y</t>
        </is>
      </c>
      <c r="AA318" s="0" t="inlineStr">
        <is>
          <t>서울시 강동구 길동 394-17</t>
        </is>
      </c>
      <c r="AB318" s="0" t="inlineStr">
        <is>
          <t>서울시</t>
        </is>
      </c>
      <c r="AC318" s="0" t="inlineStr">
        <is>
          <t>강동구</t>
        </is>
      </c>
      <c r="AD318" s="0" t="inlineStr">
        <is>
          <t>길동</t>
        </is>
      </c>
      <c r="AG318" s="0" t="inlineStr">
        <is>
          <t>서울시 강동구 양재대로112길 17</t>
        </is>
      </c>
      <c r="AH318" s="0" t="n">
        <v>0</v>
      </c>
      <c r="AI318" s="0" t="n">
        <v>199</v>
      </c>
      <c r="AJ318" s="0" t="n">
        <v>38</v>
      </c>
      <c r="AK318" s="0" t="n">
        <v>22</v>
      </c>
      <c r="AL318" s="0" t="n">
        <v>0.79</v>
      </c>
    </row>
    <row r="319">
      <c r="A319" s="0" t="inlineStr">
        <is>
          <t>[길동]</t>
        </is>
      </c>
      <c r="B319" s="0" t="n">
        <v>117909</v>
      </c>
      <c r="C319" s="0" t="n">
        <v>2</v>
      </c>
      <c r="D319" s="0" t="inlineStr">
        <is>
          <t>율전에버그린</t>
        </is>
      </c>
      <c r="E319" s="0" t="inlineStr">
        <is>
          <t>2016.02.</t>
        </is>
      </c>
      <c r="F319" s="0" t="n">
        <v>28</v>
      </c>
      <c r="G319" s="0" t="n">
        <v>10.01</v>
      </c>
      <c r="H319" s="0" t="n">
        <v>33.1</v>
      </c>
      <c r="I319" s="0" t="n">
        <v>8.27</v>
      </c>
      <c r="J319" s="0" t="n">
        <v>27.35</v>
      </c>
      <c r="K319" s="0" t="n">
        <v>1</v>
      </c>
      <c r="T319" s="0" t="n">
        <v>1</v>
      </c>
      <c r="U319" s="0" t="n">
        <v>1</v>
      </c>
      <c r="V319" s="0" t="inlineStr">
        <is>
          <t>계단식</t>
        </is>
      </c>
      <c r="W319" s="0" t="n">
        <v>33</v>
      </c>
      <c r="X319" s="0" t="n">
        <v>8</v>
      </c>
      <c r="Y319" s="0" t="n">
        <v>8</v>
      </c>
      <c r="Z319" s="0" t="inlineStr">
        <is>
          <t>https://new.land.naver.com/complexes/117909?tab=detail&amp;rf=Y</t>
        </is>
      </c>
      <c r="AA319" s="0" t="inlineStr">
        <is>
          <t>서울시 강동구 길동 394-17</t>
        </is>
      </c>
      <c r="AB319" s="0" t="inlineStr">
        <is>
          <t>서울시</t>
        </is>
      </c>
      <c r="AC319" s="0" t="inlineStr">
        <is>
          <t>강동구</t>
        </is>
      </c>
      <c r="AD319" s="0" t="inlineStr">
        <is>
          <t>길동</t>
        </is>
      </c>
      <c r="AG319" s="0" t="inlineStr">
        <is>
          <t>서울시 강동구 양재대로112길 17</t>
        </is>
      </c>
      <c r="AH319" s="0" t="n">
        <v>0</v>
      </c>
      <c r="AI319" s="0" t="n">
        <v>199</v>
      </c>
      <c r="AJ319" s="0" t="n">
        <v>38</v>
      </c>
      <c r="AK319" s="0" t="n">
        <v>22</v>
      </c>
      <c r="AL319" s="0" t="n">
        <v>0.79</v>
      </c>
    </row>
    <row r="320">
      <c r="A320" s="0" t="inlineStr">
        <is>
          <t>[길동]</t>
        </is>
      </c>
      <c r="B320" s="0" t="n">
        <v>117909</v>
      </c>
      <c r="C320" s="0" t="n">
        <v>3</v>
      </c>
      <c r="D320" s="0" t="inlineStr">
        <is>
          <t>율전에버그린</t>
        </is>
      </c>
      <c r="E320" s="0" t="inlineStr">
        <is>
          <t>2016.02.</t>
        </is>
      </c>
      <c r="F320" s="0" t="n">
        <v>28</v>
      </c>
      <c r="G320" s="0" t="n">
        <v>12.3</v>
      </c>
      <c r="H320" s="0" t="n">
        <v>40.67</v>
      </c>
      <c r="I320" s="0" t="n">
        <v>10.16</v>
      </c>
      <c r="J320" s="0" t="n">
        <v>33.6</v>
      </c>
      <c r="K320" s="0" t="n">
        <v>1</v>
      </c>
      <c r="T320" s="0" t="n">
        <v>1</v>
      </c>
      <c r="U320" s="0" t="n">
        <v>1</v>
      </c>
      <c r="V320" s="0" t="inlineStr">
        <is>
          <t>계단식</t>
        </is>
      </c>
      <c r="W320" s="0" t="n">
        <v>40</v>
      </c>
      <c r="X320" s="0" t="n">
        <v>8</v>
      </c>
      <c r="Y320" s="0" t="n">
        <v>8</v>
      </c>
      <c r="Z320" s="0" t="inlineStr">
        <is>
          <t>https://new.land.naver.com/complexes/117909?tab=detail&amp;rf=Y</t>
        </is>
      </c>
      <c r="AA320" s="0" t="inlineStr">
        <is>
          <t>서울시 강동구 길동 394-17</t>
        </is>
      </c>
      <c r="AB320" s="0" t="inlineStr">
        <is>
          <t>서울시</t>
        </is>
      </c>
      <c r="AC320" s="0" t="inlineStr">
        <is>
          <t>강동구</t>
        </is>
      </c>
      <c r="AD320" s="0" t="inlineStr">
        <is>
          <t>길동</t>
        </is>
      </c>
      <c r="AG320" s="0" t="inlineStr">
        <is>
          <t>서울시 강동구 양재대로112길 17</t>
        </is>
      </c>
      <c r="AH320" s="0" t="n">
        <v>0</v>
      </c>
      <c r="AI320" s="0" t="n">
        <v>199</v>
      </c>
      <c r="AJ320" s="0" t="n">
        <v>38</v>
      </c>
      <c r="AK320" s="0" t="n">
        <v>22</v>
      </c>
      <c r="AL320" s="0" t="n">
        <v>0.79</v>
      </c>
    </row>
    <row r="321">
      <c r="A321" s="0" t="inlineStr">
        <is>
          <t>[길동]</t>
        </is>
      </c>
      <c r="B321" s="0" t="n">
        <v>117909</v>
      </c>
      <c r="C321" s="0" t="n">
        <v>4</v>
      </c>
      <c r="D321" s="0" t="inlineStr">
        <is>
          <t>율전에버그린</t>
        </is>
      </c>
      <c r="E321" s="0" t="inlineStr">
        <is>
          <t>2016.02.</t>
        </is>
      </c>
      <c r="F321" s="0" t="n">
        <v>28</v>
      </c>
      <c r="G321" s="0" t="n">
        <v>12.75</v>
      </c>
      <c r="H321" s="0" t="n">
        <v>42.16</v>
      </c>
      <c r="I321" s="0" t="n">
        <v>10.53</v>
      </c>
      <c r="J321" s="0" t="n">
        <v>34.83</v>
      </c>
      <c r="K321" s="0" t="n">
        <v>1</v>
      </c>
      <c r="T321" s="0" t="n">
        <v>1</v>
      </c>
      <c r="U321" s="0" t="n">
        <v>1</v>
      </c>
      <c r="V321" s="0" t="inlineStr">
        <is>
          <t>계단식</t>
        </is>
      </c>
      <c r="W321" s="0" t="n">
        <v>42</v>
      </c>
      <c r="X321" s="0" t="n">
        <v>8</v>
      </c>
      <c r="Y321" s="0" t="n">
        <v>8</v>
      </c>
      <c r="Z321" s="0" t="inlineStr">
        <is>
          <t>https://new.land.naver.com/complexes/117909?tab=detail&amp;rf=Y</t>
        </is>
      </c>
      <c r="AA321" s="0" t="inlineStr">
        <is>
          <t>서울시 강동구 길동 394-17</t>
        </is>
      </c>
      <c r="AB321" s="0" t="inlineStr">
        <is>
          <t>서울시</t>
        </is>
      </c>
      <c r="AC321" s="0" t="inlineStr">
        <is>
          <t>강동구</t>
        </is>
      </c>
      <c r="AD321" s="0" t="inlineStr">
        <is>
          <t>길동</t>
        </is>
      </c>
      <c r="AG321" s="0" t="inlineStr">
        <is>
          <t>서울시 강동구 양재대로112길 17</t>
        </is>
      </c>
      <c r="AH321" s="0" t="n">
        <v>0</v>
      </c>
      <c r="AI321" s="0" t="n">
        <v>199</v>
      </c>
      <c r="AJ321" s="0" t="n">
        <v>38</v>
      </c>
      <c r="AK321" s="0" t="n">
        <v>22</v>
      </c>
      <c r="AL321" s="0" t="n">
        <v>0.79</v>
      </c>
    </row>
    <row r="322">
      <c r="A322" s="0" t="inlineStr">
        <is>
          <t>[길동]</t>
        </is>
      </c>
      <c r="B322" s="0" t="n">
        <v>117909</v>
      </c>
      <c r="C322" s="0" t="n">
        <v>5</v>
      </c>
      <c r="D322" s="0" t="inlineStr">
        <is>
          <t>율전에버그린</t>
        </is>
      </c>
      <c r="E322" s="0" t="inlineStr">
        <is>
          <t>2016.02.</t>
        </is>
      </c>
      <c r="F322" s="0" t="n">
        <v>28</v>
      </c>
      <c r="G322" s="0" t="n">
        <v>14.72</v>
      </c>
      <c r="H322" s="0" t="n">
        <v>48.69</v>
      </c>
      <c r="I322" s="0" t="n">
        <v>12.16</v>
      </c>
      <c r="J322" s="0" t="n">
        <v>40.23</v>
      </c>
      <c r="K322" s="0" t="n">
        <v>1</v>
      </c>
      <c r="T322" s="0" t="n">
        <v>2</v>
      </c>
      <c r="U322" s="0" t="n">
        <v>1</v>
      </c>
      <c r="V322" s="0" t="inlineStr">
        <is>
          <t>계단식</t>
        </is>
      </c>
      <c r="W322" s="0" t="n">
        <v>48</v>
      </c>
      <c r="X322" s="0" t="n">
        <v>8</v>
      </c>
      <c r="Y322" s="0" t="n">
        <v>8</v>
      </c>
      <c r="Z322" s="0" t="inlineStr">
        <is>
          <t>https://new.land.naver.com/complexes/117909?tab=detail&amp;rf=Y</t>
        </is>
      </c>
      <c r="AA322" s="0" t="inlineStr">
        <is>
          <t>서울시 강동구 길동 394-17</t>
        </is>
      </c>
      <c r="AB322" s="0" t="inlineStr">
        <is>
          <t>서울시</t>
        </is>
      </c>
      <c r="AC322" s="0" t="inlineStr">
        <is>
          <t>강동구</t>
        </is>
      </c>
      <c r="AD322" s="0" t="inlineStr">
        <is>
          <t>길동</t>
        </is>
      </c>
      <c r="AG322" s="0" t="inlineStr">
        <is>
          <t>서울시 강동구 양재대로112길 17</t>
        </is>
      </c>
      <c r="AH322" s="0" t="n">
        <v>0</v>
      </c>
      <c r="AI322" s="0" t="n">
        <v>199</v>
      </c>
      <c r="AJ322" s="0" t="n">
        <v>38</v>
      </c>
      <c r="AK322" s="0" t="n">
        <v>22</v>
      </c>
      <c r="AL322" s="0" t="n">
        <v>0.79</v>
      </c>
    </row>
    <row r="323">
      <c r="A323" s="0" t="inlineStr">
        <is>
          <t>[길동]</t>
        </is>
      </c>
      <c r="B323" s="0" t="n">
        <v>117909</v>
      </c>
      <c r="C323" s="0" t="n">
        <v>6</v>
      </c>
      <c r="D323" s="0" t="inlineStr">
        <is>
          <t>율전에버그린</t>
        </is>
      </c>
      <c r="E323" s="0" t="inlineStr">
        <is>
          <t>2016.02.</t>
        </is>
      </c>
      <c r="F323" s="0" t="n">
        <v>28</v>
      </c>
      <c r="G323" s="0" t="n">
        <v>15.77</v>
      </c>
      <c r="H323" s="0" t="n">
        <v>52.16</v>
      </c>
      <c r="I323" s="0" t="n">
        <v>13.03</v>
      </c>
      <c r="J323" s="0" t="n">
        <v>43.1</v>
      </c>
      <c r="K323" s="0" t="n">
        <v>6</v>
      </c>
      <c r="T323" s="0" t="n">
        <v>2</v>
      </c>
      <c r="U323" s="0" t="n">
        <v>1</v>
      </c>
      <c r="V323" s="0" t="inlineStr">
        <is>
          <t>계단식</t>
        </is>
      </c>
      <c r="W323" s="0" t="inlineStr">
        <is>
          <t>52B</t>
        </is>
      </c>
      <c r="X323" s="0" t="n">
        <v>8</v>
      </c>
      <c r="Y323" s="0" t="n">
        <v>8</v>
      </c>
      <c r="Z323" s="0" t="inlineStr">
        <is>
          <t>https://new.land.naver.com/complexes/117909?tab=detail&amp;rf=Y</t>
        </is>
      </c>
      <c r="AA323" s="0" t="inlineStr">
        <is>
          <t>서울시 강동구 길동 394-17</t>
        </is>
      </c>
      <c r="AB323" s="0" t="inlineStr">
        <is>
          <t>서울시</t>
        </is>
      </c>
      <c r="AC323" s="0" t="inlineStr">
        <is>
          <t>강동구</t>
        </is>
      </c>
      <c r="AD323" s="0" t="inlineStr">
        <is>
          <t>길동</t>
        </is>
      </c>
      <c r="AG323" s="0" t="inlineStr">
        <is>
          <t>서울시 강동구 양재대로112길 17</t>
        </is>
      </c>
      <c r="AH323" s="0" t="n">
        <v>0</v>
      </c>
      <c r="AI323" s="0" t="n">
        <v>199</v>
      </c>
      <c r="AJ323" s="0" t="n">
        <v>38</v>
      </c>
      <c r="AK323" s="0" t="n">
        <v>22</v>
      </c>
      <c r="AL323" s="0" t="n">
        <v>0.79</v>
      </c>
    </row>
    <row r="324">
      <c r="A324" s="0" t="inlineStr">
        <is>
          <t>[길동]</t>
        </is>
      </c>
      <c r="B324" s="0" t="n">
        <v>117909</v>
      </c>
      <c r="C324" s="0" t="n">
        <v>7</v>
      </c>
      <c r="D324" s="0" t="inlineStr">
        <is>
          <t>율전에버그린</t>
        </is>
      </c>
      <c r="E324" s="0" t="inlineStr">
        <is>
          <t>2016.02.</t>
        </is>
      </c>
      <c r="F324" s="0" t="n">
        <v>28</v>
      </c>
      <c r="G324" s="0" t="n">
        <v>15.92</v>
      </c>
      <c r="H324" s="0" t="n">
        <v>52.64</v>
      </c>
      <c r="I324" s="0" t="n">
        <v>13.15</v>
      </c>
      <c r="J324" s="0" t="n">
        <v>43.49</v>
      </c>
      <c r="K324" s="0" t="n">
        <v>6</v>
      </c>
      <c r="T324" s="0" t="n">
        <v>2</v>
      </c>
      <c r="U324" s="0" t="n">
        <v>1</v>
      </c>
      <c r="V324" s="0" t="inlineStr">
        <is>
          <t>계단식</t>
        </is>
      </c>
      <c r="W324" s="0" t="inlineStr">
        <is>
          <t>52C</t>
        </is>
      </c>
      <c r="X324" s="0" t="n">
        <v>8</v>
      </c>
      <c r="Y324" s="0" t="n">
        <v>8</v>
      </c>
      <c r="Z324" s="0" t="inlineStr">
        <is>
          <t>https://new.land.naver.com/complexes/117909?tab=detail&amp;rf=Y</t>
        </is>
      </c>
      <c r="AA324" s="0" t="inlineStr">
        <is>
          <t>서울시 강동구 길동 394-17</t>
        </is>
      </c>
      <c r="AB324" s="0" t="inlineStr">
        <is>
          <t>서울시</t>
        </is>
      </c>
      <c r="AC324" s="0" t="inlineStr">
        <is>
          <t>강동구</t>
        </is>
      </c>
      <c r="AD324" s="0" t="inlineStr">
        <is>
          <t>길동</t>
        </is>
      </c>
      <c r="AG324" s="0" t="inlineStr">
        <is>
          <t>서울시 강동구 양재대로112길 17</t>
        </is>
      </c>
      <c r="AH324" s="0" t="n">
        <v>0</v>
      </c>
      <c r="AI324" s="0" t="n">
        <v>199</v>
      </c>
      <c r="AJ324" s="0" t="n">
        <v>38</v>
      </c>
      <c r="AK324" s="0" t="n">
        <v>22</v>
      </c>
      <c r="AL324" s="0" t="n">
        <v>0.79</v>
      </c>
    </row>
    <row r="325">
      <c r="A325" s="0" t="inlineStr">
        <is>
          <t>[길동]</t>
        </is>
      </c>
      <c r="B325" s="0" t="n">
        <v>117909</v>
      </c>
      <c r="C325" s="0" t="n">
        <v>8</v>
      </c>
      <c r="D325" s="0" t="inlineStr">
        <is>
          <t>율전에버그린</t>
        </is>
      </c>
      <c r="E325" s="0" t="inlineStr">
        <is>
          <t>2016.02.</t>
        </is>
      </c>
      <c r="F325" s="0" t="n">
        <v>28</v>
      </c>
      <c r="G325" s="0" t="n">
        <v>15.76</v>
      </c>
      <c r="H325" s="0" t="n">
        <v>52.1</v>
      </c>
      <c r="I325" s="0" t="n">
        <v>13.02</v>
      </c>
      <c r="J325" s="0" t="n">
        <v>43.05</v>
      </c>
      <c r="K325" s="0" t="n">
        <v>4</v>
      </c>
      <c r="T325" s="0" t="n">
        <v>2</v>
      </c>
      <c r="U325" s="0" t="n">
        <v>1</v>
      </c>
      <c r="V325" s="0" t="inlineStr">
        <is>
          <t>계단식</t>
        </is>
      </c>
      <c r="W325" s="0" t="inlineStr">
        <is>
          <t>52A</t>
        </is>
      </c>
      <c r="X325" s="0" t="n">
        <v>8</v>
      </c>
      <c r="Y325" s="0" t="n">
        <v>8</v>
      </c>
      <c r="Z325" s="0" t="inlineStr">
        <is>
          <t>https://new.land.naver.com/complexes/117909?tab=detail&amp;rf=Y</t>
        </is>
      </c>
      <c r="AA325" s="0" t="inlineStr">
        <is>
          <t>서울시 강동구 길동 394-17</t>
        </is>
      </c>
      <c r="AB325" s="0" t="inlineStr">
        <is>
          <t>서울시</t>
        </is>
      </c>
      <c r="AC325" s="0" t="inlineStr">
        <is>
          <t>강동구</t>
        </is>
      </c>
      <c r="AD325" s="0" t="inlineStr">
        <is>
          <t>길동</t>
        </is>
      </c>
      <c r="AG325" s="0" t="inlineStr">
        <is>
          <t>서울시 강동구 양재대로112길 17</t>
        </is>
      </c>
      <c r="AH325" s="0" t="n">
        <v>0</v>
      </c>
      <c r="AI325" s="0" t="n">
        <v>199</v>
      </c>
      <c r="AJ325" s="0" t="n">
        <v>38</v>
      </c>
      <c r="AK325" s="0" t="n">
        <v>22</v>
      </c>
      <c r="AL325" s="0" t="n">
        <v>0.79</v>
      </c>
    </row>
    <row r="326">
      <c r="A326" s="0" t="inlineStr">
        <is>
          <t>[길동]</t>
        </is>
      </c>
      <c r="B326" s="0" t="n">
        <v>117909</v>
      </c>
      <c r="C326" s="0" t="n">
        <v>9</v>
      </c>
      <c r="D326" s="0" t="inlineStr">
        <is>
          <t>율전에버그린</t>
        </is>
      </c>
      <c r="E326" s="0" t="inlineStr">
        <is>
          <t>2016.02.</t>
        </is>
      </c>
      <c r="F326" s="0" t="n">
        <v>28</v>
      </c>
      <c r="G326" s="0" t="n">
        <v>16.37</v>
      </c>
      <c r="H326" s="0" t="n">
        <v>54.13</v>
      </c>
      <c r="I326" s="0" t="n">
        <v>13.52</v>
      </c>
      <c r="J326" s="0" t="n">
        <v>44.72</v>
      </c>
      <c r="K326" s="0" t="n">
        <v>6</v>
      </c>
      <c r="T326" s="0" t="n">
        <v>2</v>
      </c>
      <c r="U326" s="0" t="n">
        <v>1</v>
      </c>
      <c r="V326" s="0" t="inlineStr">
        <is>
          <t>계단식</t>
        </is>
      </c>
      <c r="W326" s="0" t="inlineStr">
        <is>
          <t>54D</t>
        </is>
      </c>
      <c r="X326" s="0" t="n">
        <v>8</v>
      </c>
      <c r="Y326" s="0" t="n">
        <v>8</v>
      </c>
      <c r="Z326" s="0" t="inlineStr">
        <is>
          <t>https://new.land.naver.com/complexes/117909?tab=detail&amp;rf=Y</t>
        </is>
      </c>
      <c r="AA326" s="0" t="inlineStr">
        <is>
          <t>서울시 강동구 길동 394-17</t>
        </is>
      </c>
      <c r="AB326" s="0" t="inlineStr">
        <is>
          <t>서울시</t>
        </is>
      </c>
      <c r="AC326" s="0" t="inlineStr">
        <is>
          <t>강동구</t>
        </is>
      </c>
      <c r="AD326" s="0" t="inlineStr">
        <is>
          <t>길동</t>
        </is>
      </c>
      <c r="AG326" s="0" t="inlineStr">
        <is>
          <t>서울시 강동구 양재대로112길 17</t>
        </is>
      </c>
      <c r="AH326" s="0" t="n">
        <v>0</v>
      </c>
      <c r="AI326" s="0" t="n">
        <v>199</v>
      </c>
      <c r="AJ326" s="0" t="n">
        <v>38</v>
      </c>
      <c r="AK326" s="0" t="n">
        <v>22</v>
      </c>
      <c r="AL326" s="0" t="n">
        <v>0.79</v>
      </c>
    </row>
    <row r="327">
      <c r="A327" s="0" t="inlineStr">
        <is>
          <t>[길동]</t>
        </is>
      </c>
      <c r="B327" s="0" t="n">
        <v>117909</v>
      </c>
      <c r="C327" s="0" t="n">
        <v>10</v>
      </c>
      <c r="D327" s="0" t="inlineStr">
        <is>
          <t>율전에버그린</t>
        </is>
      </c>
      <c r="E327" s="0" t="inlineStr">
        <is>
          <t>2016.02.</t>
        </is>
      </c>
      <c r="F327" s="0" t="n">
        <v>28</v>
      </c>
      <c r="G327" s="0" t="n">
        <v>17.95</v>
      </c>
      <c r="H327" s="0" t="n">
        <v>59.35</v>
      </c>
      <c r="I327" s="0" t="n">
        <v>14.83</v>
      </c>
      <c r="J327" s="0" t="n">
        <v>49.04</v>
      </c>
      <c r="K327" s="0" t="n">
        <v>1</v>
      </c>
      <c r="T327" s="0" t="n">
        <v>2</v>
      </c>
      <c r="U327" s="0" t="n">
        <v>1</v>
      </c>
      <c r="V327" s="0" t="inlineStr">
        <is>
          <t>계단식</t>
        </is>
      </c>
      <c r="W327" s="0" t="n">
        <v>59</v>
      </c>
      <c r="X327" s="0" t="n">
        <v>8</v>
      </c>
      <c r="Y327" s="0" t="n">
        <v>8</v>
      </c>
      <c r="Z327" s="0" t="inlineStr">
        <is>
          <t>https://new.land.naver.com/complexes/117909?tab=detail&amp;rf=Y</t>
        </is>
      </c>
      <c r="AA327" s="0" t="inlineStr">
        <is>
          <t>서울시 강동구 길동 394-17</t>
        </is>
      </c>
      <c r="AB327" s="0" t="inlineStr">
        <is>
          <t>서울시</t>
        </is>
      </c>
      <c r="AC327" s="0" t="inlineStr">
        <is>
          <t>강동구</t>
        </is>
      </c>
      <c r="AD327" s="0" t="inlineStr">
        <is>
          <t>길동</t>
        </is>
      </c>
      <c r="AG327" s="0" t="inlineStr">
        <is>
          <t>서울시 강동구 양재대로112길 17</t>
        </is>
      </c>
      <c r="AH327" s="0" t="n">
        <v>0</v>
      </c>
      <c r="AI327" s="0" t="n">
        <v>199</v>
      </c>
      <c r="AJ327" s="0" t="n">
        <v>38</v>
      </c>
      <c r="AK327" s="0" t="n">
        <v>22</v>
      </c>
      <c r="AL327" s="0" t="n">
        <v>0.79</v>
      </c>
    </row>
    <row r="328">
      <c r="A328" s="0" t="inlineStr">
        <is>
          <t>[길동]</t>
        </is>
      </c>
      <c r="B328" s="0" t="n">
        <v>119933</v>
      </c>
      <c r="C328" s="0" t="n">
        <v>1</v>
      </c>
      <c r="D328" s="0" t="inlineStr">
        <is>
          <t>e편한세상강동에코포레</t>
        </is>
      </c>
      <c r="E328" s="0" t="inlineStr">
        <is>
          <t>2020.04.</t>
        </is>
      </c>
      <c r="F328" s="0" t="n">
        <v>366</v>
      </c>
      <c r="G328" s="0" t="n">
        <v>22.64</v>
      </c>
      <c r="H328" s="0" t="n">
        <v>74.84999999999999</v>
      </c>
      <c r="I328" s="0" t="n">
        <v>15.62</v>
      </c>
      <c r="J328" s="0" t="n">
        <v>51.65</v>
      </c>
      <c r="K328" s="0" t="n">
        <v>5</v>
      </c>
      <c r="T328" s="0" t="n">
        <v>2</v>
      </c>
      <c r="U328" s="0" t="n">
        <v>1</v>
      </c>
      <c r="V328" s="0" t="inlineStr">
        <is>
          <t>계단식</t>
        </is>
      </c>
      <c r="W328" s="0" t="n">
        <v>74</v>
      </c>
      <c r="X328" s="0" t="n">
        <v>21</v>
      </c>
      <c r="Y328" s="0" t="n">
        <v>18</v>
      </c>
      <c r="Z328" s="0" t="inlineStr">
        <is>
          <t>https://new.land.naver.com/complexes/119933?tab=detail&amp;rf=Y</t>
        </is>
      </c>
      <c r="AA328" s="0" t="inlineStr">
        <is>
          <t>서울시 강동구 길동 477</t>
        </is>
      </c>
      <c r="AB328" s="0" t="inlineStr">
        <is>
          <t>서울시</t>
        </is>
      </c>
      <c r="AC328" s="0" t="inlineStr">
        <is>
          <t>강동구</t>
        </is>
      </c>
      <c r="AD328" s="0" t="inlineStr">
        <is>
          <t>길동</t>
        </is>
      </c>
      <c r="AG328" s="0" t="inlineStr">
        <is>
          <t>서울시 강동구 천중로 253</t>
        </is>
      </c>
      <c r="AH328" s="0" t="n">
        <v>38</v>
      </c>
      <c r="AI328" s="0" t="n">
        <v>290</v>
      </c>
      <c r="AJ328" s="0" t="n">
        <v>23</v>
      </c>
      <c r="AK328" s="0" t="n">
        <v>482</v>
      </c>
      <c r="AL328" s="0" t="n">
        <v>1.32</v>
      </c>
    </row>
    <row r="329">
      <c r="A329" s="0" t="inlineStr">
        <is>
          <t>[길동]</t>
        </is>
      </c>
      <c r="B329" s="0" t="n">
        <v>119933</v>
      </c>
      <c r="C329" s="0" t="n">
        <v>2</v>
      </c>
      <c r="D329" s="0" t="inlineStr">
        <is>
          <t>e편한세상강동에코포레</t>
        </is>
      </c>
      <c r="E329" s="0" t="inlineStr">
        <is>
          <t>2020.04.</t>
        </is>
      </c>
      <c r="F329" s="0" t="n">
        <v>366</v>
      </c>
      <c r="G329" s="0" t="n">
        <v>25.01</v>
      </c>
      <c r="H329" s="0" t="n">
        <v>82.70999999999999</v>
      </c>
      <c r="I329" s="0" t="n">
        <v>18.14</v>
      </c>
      <c r="J329" s="0" t="n">
        <v>59.97</v>
      </c>
      <c r="K329" s="0" t="n">
        <v>127</v>
      </c>
      <c r="T329" s="0" t="n">
        <v>3</v>
      </c>
      <c r="U329" s="0" t="n">
        <v>2</v>
      </c>
      <c r="V329" s="0" t="inlineStr">
        <is>
          <t>계단식</t>
        </is>
      </c>
      <c r="W329" s="0" t="inlineStr">
        <is>
          <t>82A</t>
        </is>
      </c>
      <c r="X329" s="0" t="n">
        <v>21</v>
      </c>
      <c r="Y329" s="0" t="n">
        <v>18</v>
      </c>
      <c r="Z329" s="0" t="inlineStr">
        <is>
          <t>https://new.land.naver.com/complexes/119933?tab=detail&amp;rf=Y</t>
        </is>
      </c>
      <c r="AA329" s="0" t="inlineStr">
        <is>
          <t>서울시 강동구 길동 477</t>
        </is>
      </c>
      <c r="AB329" s="0" t="inlineStr">
        <is>
          <t>서울시</t>
        </is>
      </c>
      <c r="AC329" s="0" t="inlineStr">
        <is>
          <t>강동구</t>
        </is>
      </c>
      <c r="AD329" s="0" t="inlineStr">
        <is>
          <t>길동</t>
        </is>
      </c>
      <c r="AG329" s="0" t="inlineStr">
        <is>
          <t>서울시 강동구 천중로 253</t>
        </is>
      </c>
      <c r="AH329" s="0" t="n">
        <v>38</v>
      </c>
      <c r="AI329" s="0" t="n">
        <v>290</v>
      </c>
      <c r="AJ329" s="0" t="n">
        <v>23</v>
      </c>
      <c r="AK329" s="0" t="n">
        <v>482</v>
      </c>
      <c r="AL329" s="0" t="n">
        <v>1.32</v>
      </c>
    </row>
    <row r="330">
      <c r="A330" s="0" t="inlineStr">
        <is>
          <t>[길동]</t>
        </is>
      </c>
      <c r="B330" s="0" t="n">
        <v>119933</v>
      </c>
      <c r="C330" s="0" t="n">
        <v>3</v>
      </c>
      <c r="D330" s="0" t="inlineStr">
        <is>
          <t>e편한세상강동에코포레</t>
        </is>
      </c>
      <c r="E330" s="0" t="inlineStr">
        <is>
          <t>2020.04.</t>
        </is>
      </c>
      <c r="F330" s="0" t="n">
        <v>366</v>
      </c>
      <c r="G330" s="0" t="n">
        <v>25.23</v>
      </c>
      <c r="H330" s="0" t="n">
        <v>83.43000000000001</v>
      </c>
      <c r="I330" s="0" t="n">
        <v>18.14</v>
      </c>
      <c r="J330" s="0" t="n">
        <v>59.99</v>
      </c>
      <c r="K330" s="0" t="n">
        <v>59</v>
      </c>
      <c r="T330" s="0" t="n">
        <v>3</v>
      </c>
      <c r="U330" s="0" t="n">
        <v>2</v>
      </c>
      <c r="V330" s="0" t="inlineStr">
        <is>
          <t>계단식</t>
        </is>
      </c>
      <c r="W330" s="0" t="inlineStr">
        <is>
          <t>83B</t>
        </is>
      </c>
      <c r="X330" s="0" t="n">
        <v>21</v>
      </c>
      <c r="Y330" s="0" t="n">
        <v>18</v>
      </c>
      <c r="Z330" s="0" t="inlineStr">
        <is>
          <t>https://new.land.naver.com/complexes/119933?tab=detail&amp;rf=Y</t>
        </is>
      </c>
      <c r="AA330" s="0" t="inlineStr">
        <is>
          <t>서울시 강동구 길동 477</t>
        </is>
      </c>
      <c r="AB330" s="0" t="inlineStr">
        <is>
          <t>서울시</t>
        </is>
      </c>
      <c r="AC330" s="0" t="inlineStr">
        <is>
          <t>강동구</t>
        </is>
      </c>
      <c r="AD330" s="0" t="inlineStr">
        <is>
          <t>길동</t>
        </is>
      </c>
      <c r="AG330" s="0" t="inlineStr">
        <is>
          <t>서울시 강동구 천중로 253</t>
        </is>
      </c>
      <c r="AH330" s="0" t="n">
        <v>38</v>
      </c>
      <c r="AI330" s="0" t="n">
        <v>290</v>
      </c>
      <c r="AJ330" s="0" t="n">
        <v>23</v>
      </c>
      <c r="AK330" s="0" t="n">
        <v>482</v>
      </c>
      <c r="AL330" s="0" t="n">
        <v>1.32</v>
      </c>
    </row>
    <row r="331">
      <c r="A331" s="0" t="inlineStr">
        <is>
          <t>[길동]</t>
        </is>
      </c>
      <c r="B331" s="0" t="n">
        <v>119933</v>
      </c>
      <c r="C331" s="0" t="n">
        <v>4</v>
      </c>
      <c r="D331" s="0" t="inlineStr">
        <is>
          <t>e편한세상강동에코포레</t>
        </is>
      </c>
      <c r="E331" s="0" t="inlineStr">
        <is>
          <t>2020.04.</t>
        </is>
      </c>
      <c r="F331" s="0" t="n">
        <v>366</v>
      </c>
      <c r="G331" s="0" t="n">
        <v>25.36</v>
      </c>
      <c r="H331" s="0" t="n">
        <v>83.84999999999999</v>
      </c>
      <c r="I331" s="0" t="n">
        <v>18.14</v>
      </c>
      <c r="J331" s="0" t="n">
        <v>59.99</v>
      </c>
      <c r="K331" s="0" t="n">
        <v>21</v>
      </c>
      <c r="T331" s="0" t="n">
        <v>3</v>
      </c>
      <c r="U331" s="0" t="n">
        <v>2</v>
      </c>
      <c r="V331" s="0" t="inlineStr">
        <is>
          <t>계단식</t>
        </is>
      </c>
      <c r="W331" s="0" t="inlineStr">
        <is>
          <t>83C</t>
        </is>
      </c>
      <c r="X331" s="0" t="n">
        <v>21</v>
      </c>
      <c r="Y331" s="0" t="n">
        <v>18</v>
      </c>
      <c r="Z331" s="0" t="inlineStr">
        <is>
          <t>https://new.land.naver.com/complexes/119933?tab=detail&amp;rf=Y</t>
        </is>
      </c>
      <c r="AA331" s="0" t="inlineStr">
        <is>
          <t>서울시 강동구 길동 477</t>
        </is>
      </c>
      <c r="AB331" s="0" t="inlineStr">
        <is>
          <t>서울시</t>
        </is>
      </c>
      <c r="AC331" s="0" t="inlineStr">
        <is>
          <t>강동구</t>
        </is>
      </c>
      <c r="AD331" s="0" t="inlineStr">
        <is>
          <t>길동</t>
        </is>
      </c>
      <c r="AG331" s="0" t="inlineStr">
        <is>
          <t>서울시 강동구 천중로 253</t>
        </is>
      </c>
      <c r="AH331" s="0" t="n">
        <v>38</v>
      </c>
      <c r="AI331" s="0" t="n">
        <v>290</v>
      </c>
      <c r="AJ331" s="0" t="n">
        <v>23</v>
      </c>
      <c r="AK331" s="0" t="n">
        <v>482</v>
      </c>
      <c r="AL331" s="0" t="n">
        <v>1.32</v>
      </c>
    </row>
    <row r="332">
      <c r="A332" s="0" t="inlineStr">
        <is>
          <t>[길동]</t>
        </is>
      </c>
      <c r="B332" s="0" t="n">
        <v>119933</v>
      </c>
      <c r="C332" s="0" t="n">
        <v>5</v>
      </c>
      <c r="D332" s="0" t="inlineStr">
        <is>
          <t>e편한세상강동에코포레</t>
        </is>
      </c>
      <c r="E332" s="0" t="inlineStr">
        <is>
          <t>2020.04.</t>
        </is>
      </c>
      <c r="F332" s="0" t="n">
        <v>366</v>
      </c>
      <c r="G332" s="0" t="n">
        <v>32.87</v>
      </c>
      <c r="H332" s="0" t="n">
        <v>108.69</v>
      </c>
      <c r="I332" s="0" t="n">
        <v>25.7</v>
      </c>
      <c r="J332" s="0" t="n">
        <v>84.97</v>
      </c>
      <c r="K332" s="0" t="n">
        <v>40</v>
      </c>
      <c r="T332" s="0" t="n">
        <v>3</v>
      </c>
      <c r="U332" s="0" t="n">
        <v>2</v>
      </c>
      <c r="V332" s="0" t="inlineStr">
        <is>
          <t>계단식</t>
        </is>
      </c>
      <c r="W332" s="0" t="inlineStr">
        <is>
          <t>108A</t>
        </is>
      </c>
      <c r="X332" s="0" t="n">
        <v>21</v>
      </c>
      <c r="Y332" s="0" t="n">
        <v>18</v>
      </c>
      <c r="Z332" s="0" t="inlineStr">
        <is>
          <t>https://new.land.naver.com/complexes/119933?tab=detail&amp;rf=Y</t>
        </is>
      </c>
      <c r="AA332" s="0" t="inlineStr">
        <is>
          <t>서울시 강동구 길동 477</t>
        </is>
      </c>
      <c r="AB332" s="0" t="inlineStr">
        <is>
          <t>서울시</t>
        </is>
      </c>
      <c r="AC332" s="0" t="inlineStr">
        <is>
          <t>강동구</t>
        </is>
      </c>
      <c r="AD332" s="0" t="inlineStr">
        <is>
          <t>길동</t>
        </is>
      </c>
      <c r="AG332" s="0" t="inlineStr">
        <is>
          <t>서울시 강동구 천중로 253</t>
        </is>
      </c>
      <c r="AH332" s="0" t="n">
        <v>38</v>
      </c>
      <c r="AI332" s="0" t="n">
        <v>290</v>
      </c>
      <c r="AJ332" s="0" t="n">
        <v>23</v>
      </c>
      <c r="AK332" s="0" t="n">
        <v>482</v>
      </c>
      <c r="AL332" s="0" t="n">
        <v>1.32</v>
      </c>
    </row>
    <row r="333">
      <c r="A333" s="0" t="inlineStr">
        <is>
          <t>[길동]</t>
        </is>
      </c>
      <c r="B333" s="0" t="n">
        <v>119933</v>
      </c>
      <c r="C333" s="0" t="n">
        <v>6</v>
      </c>
      <c r="D333" s="0" t="inlineStr">
        <is>
          <t>e편한세상강동에코포레</t>
        </is>
      </c>
      <c r="E333" s="0" t="inlineStr">
        <is>
          <t>2020.04.</t>
        </is>
      </c>
      <c r="F333" s="0" t="n">
        <v>366</v>
      </c>
      <c r="G333" s="0" t="n">
        <v>33.43</v>
      </c>
      <c r="H333" s="0" t="n">
        <v>110.52</v>
      </c>
      <c r="I333" s="0" t="n">
        <v>25.7</v>
      </c>
      <c r="J333" s="0" t="n">
        <v>84.98999999999999</v>
      </c>
      <c r="K333" s="0" t="n">
        <v>76</v>
      </c>
      <c r="T333" s="0" t="n">
        <v>3</v>
      </c>
      <c r="U333" s="0" t="n">
        <v>2</v>
      </c>
      <c r="V333" s="0" t="inlineStr">
        <is>
          <t>계단식</t>
        </is>
      </c>
      <c r="W333" s="0" t="inlineStr">
        <is>
          <t>110B</t>
        </is>
      </c>
      <c r="X333" s="0" t="n">
        <v>21</v>
      </c>
      <c r="Y333" s="0" t="n">
        <v>18</v>
      </c>
      <c r="Z333" s="0" t="inlineStr">
        <is>
          <t>https://new.land.naver.com/complexes/119933?tab=detail&amp;rf=Y</t>
        </is>
      </c>
      <c r="AA333" s="0" t="inlineStr">
        <is>
          <t>서울시 강동구 길동 477</t>
        </is>
      </c>
      <c r="AB333" s="0" t="inlineStr">
        <is>
          <t>서울시</t>
        </is>
      </c>
      <c r="AC333" s="0" t="inlineStr">
        <is>
          <t>강동구</t>
        </is>
      </c>
      <c r="AD333" s="0" t="inlineStr">
        <is>
          <t>길동</t>
        </is>
      </c>
      <c r="AG333" s="0" t="inlineStr">
        <is>
          <t>서울시 강동구 천중로 253</t>
        </is>
      </c>
      <c r="AH333" s="0" t="n">
        <v>38</v>
      </c>
      <c r="AI333" s="0" t="n">
        <v>290</v>
      </c>
      <c r="AJ333" s="0" t="n">
        <v>23</v>
      </c>
      <c r="AK333" s="0" t="n">
        <v>482</v>
      </c>
      <c r="AL333" s="0" t="n">
        <v>1.32</v>
      </c>
    </row>
    <row r="334">
      <c r="A334" s="0" t="inlineStr">
        <is>
          <t>[길동]</t>
        </is>
      </c>
      <c r="B334" s="0" t="n">
        <v>13587</v>
      </c>
      <c r="C334" s="0" t="n">
        <v>1</v>
      </c>
      <c r="D334" s="0" t="inlineStr">
        <is>
          <t>탑건위너빌</t>
        </is>
      </c>
      <c r="E334" s="0" t="inlineStr">
        <is>
          <t>2001.11.</t>
        </is>
      </c>
      <c r="F334" s="0" t="n">
        <v>19</v>
      </c>
      <c r="G334" s="0" t="n">
        <v>25.37</v>
      </c>
      <c r="H334" s="0" t="n">
        <v>83.90000000000001</v>
      </c>
      <c r="I334" s="0" t="n">
        <v>21.74</v>
      </c>
      <c r="J334" s="0" t="n">
        <v>71.89</v>
      </c>
      <c r="K334" s="0" t="n">
        <v>5</v>
      </c>
      <c r="T334" s="0" t="n">
        <v>3</v>
      </c>
      <c r="U334" s="0" t="n">
        <v>1</v>
      </c>
      <c r="V334" s="0" t="inlineStr">
        <is>
          <t>계단식</t>
        </is>
      </c>
      <c r="W334" s="0" t="inlineStr">
        <is>
          <t>83B</t>
        </is>
      </c>
      <c r="X334" s="0" t="n">
        <v>7</v>
      </c>
      <c r="Y334" s="0" t="n">
        <v>6</v>
      </c>
      <c r="Z334" s="0" t="inlineStr">
        <is>
          <t>https://new.land.naver.com/complexes/13587?tab=detail&amp;rf=Y</t>
        </is>
      </c>
      <c r="AA334" s="0" t="inlineStr">
        <is>
          <t>서울시 강동구 길동 229-3</t>
        </is>
      </c>
      <c r="AB334" s="0" t="inlineStr">
        <is>
          <t>서울시</t>
        </is>
      </c>
      <c r="AC334" s="0" t="inlineStr">
        <is>
          <t>강동구</t>
        </is>
      </c>
      <c r="AD334" s="0" t="inlineStr">
        <is>
          <t>길동</t>
        </is>
      </c>
      <c r="AG334" s="0" t="inlineStr">
        <is>
          <t>서울시 강동구 진황도로49길 31</t>
        </is>
      </c>
      <c r="AH334" s="0" t="n">
        <v>0</v>
      </c>
      <c r="AI334" s="0" t="n">
        <v>197</v>
      </c>
      <c r="AJ334" s="0" t="n">
        <v>33</v>
      </c>
      <c r="AK334" s="0" t="n">
        <v>20</v>
      </c>
      <c r="AL334" s="0" t="n">
        <v>1.05</v>
      </c>
    </row>
    <row r="335">
      <c r="A335" s="0" t="inlineStr">
        <is>
          <t>[길동]</t>
        </is>
      </c>
      <c r="B335" s="0" t="n">
        <v>13587</v>
      </c>
      <c r="C335" s="0" t="n">
        <v>2</v>
      </c>
      <c r="D335" s="0" t="inlineStr">
        <is>
          <t>탑건위너빌</t>
        </is>
      </c>
      <c r="E335" s="0" t="inlineStr">
        <is>
          <t>2001.11.</t>
        </is>
      </c>
      <c r="F335" s="0" t="n">
        <v>19</v>
      </c>
      <c r="G335" s="0" t="n">
        <v>25.2</v>
      </c>
      <c r="H335" s="0" t="n">
        <v>83.31</v>
      </c>
      <c r="I335" s="0" t="n">
        <v>21.58</v>
      </c>
      <c r="J335" s="0" t="n">
        <v>71.37</v>
      </c>
      <c r="K335" s="0" t="n">
        <v>1</v>
      </c>
      <c r="T335" s="0" t="n">
        <v>3</v>
      </c>
      <c r="U335" s="0" t="n">
        <v>2</v>
      </c>
      <c r="V335" s="0" t="inlineStr">
        <is>
          <t>계단식</t>
        </is>
      </c>
      <c r="W335" s="0" t="inlineStr">
        <is>
          <t>83A</t>
        </is>
      </c>
      <c r="X335" s="0" t="n">
        <v>7</v>
      </c>
      <c r="Y335" s="0" t="n">
        <v>6</v>
      </c>
      <c r="Z335" s="0" t="inlineStr">
        <is>
          <t>https://new.land.naver.com/complexes/13587?tab=detail&amp;rf=Y</t>
        </is>
      </c>
      <c r="AA335" s="0" t="inlineStr">
        <is>
          <t>서울시 강동구 길동 229-3</t>
        </is>
      </c>
      <c r="AB335" s="0" t="inlineStr">
        <is>
          <t>서울시</t>
        </is>
      </c>
      <c r="AC335" s="0" t="inlineStr">
        <is>
          <t>강동구</t>
        </is>
      </c>
      <c r="AD335" s="0" t="inlineStr">
        <is>
          <t>길동</t>
        </is>
      </c>
      <c r="AG335" s="0" t="inlineStr">
        <is>
          <t>서울시 강동구 진황도로49길 31</t>
        </is>
      </c>
      <c r="AH335" s="0" t="n">
        <v>0</v>
      </c>
      <c r="AI335" s="0" t="n">
        <v>197</v>
      </c>
      <c r="AJ335" s="0" t="n">
        <v>33</v>
      </c>
      <c r="AK335" s="0" t="n">
        <v>20</v>
      </c>
      <c r="AL335" s="0" t="n">
        <v>1.05</v>
      </c>
    </row>
    <row r="336">
      <c r="A336" s="0" t="inlineStr">
        <is>
          <t>[길동]</t>
        </is>
      </c>
      <c r="B336" s="0" t="n">
        <v>13587</v>
      </c>
      <c r="C336" s="0" t="n">
        <v>3</v>
      </c>
      <c r="D336" s="0" t="inlineStr">
        <is>
          <t>탑건위너빌</t>
        </is>
      </c>
      <c r="E336" s="0" t="inlineStr">
        <is>
          <t>2001.11.</t>
        </is>
      </c>
      <c r="F336" s="0" t="n">
        <v>19</v>
      </c>
      <c r="G336" s="0" t="n">
        <v>27.35</v>
      </c>
      <c r="H336" s="0" t="n">
        <v>90.44</v>
      </c>
      <c r="I336" s="0" t="n">
        <v>23.44</v>
      </c>
      <c r="J336" s="0" t="n">
        <v>77.48999999999999</v>
      </c>
      <c r="K336" s="0" t="n">
        <v>6</v>
      </c>
      <c r="T336" s="0" t="n">
        <v>3</v>
      </c>
      <c r="U336" s="0" t="n">
        <v>2</v>
      </c>
      <c r="V336" s="0" t="inlineStr">
        <is>
          <t>계단식</t>
        </is>
      </c>
      <c r="W336" s="0" t="n">
        <v>90</v>
      </c>
      <c r="X336" s="0" t="n">
        <v>7</v>
      </c>
      <c r="Y336" s="0" t="n">
        <v>6</v>
      </c>
      <c r="Z336" s="0" t="inlineStr">
        <is>
          <t>https://new.land.naver.com/complexes/13587?tab=detail&amp;rf=Y</t>
        </is>
      </c>
      <c r="AA336" s="0" t="inlineStr">
        <is>
          <t>서울시 강동구 길동 229-3</t>
        </is>
      </c>
      <c r="AB336" s="0" t="inlineStr">
        <is>
          <t>서울시</t>
        </is>
      </c>
      <c r="AC336" s="0" t="inlineStr">
        <is>
          <t>강동구</t>
        </is>
      </c>
      <c r="AD336" s="0" t="inlineStr">
        <is>
          <t>길동</t>
        </is>
      </c>
      <c r="AG336" s="0" t="inlineStr">
        <is>
          <t>서울시 강동구 진황도로49길 31</t>
        </is>
      </c>
      <c r="AH336" s="0" t="n">
        <v>0</v>
      </c>
      <c r="AI336" s="0" t="n">
        <v>197</v>
      </c>
      <c r="AJ336" s="0" t="n">
        <v>33</v>
      </c>
      <c r="AK336" s="0" t="n">
        <v>20</v>
      </c>
      <c r="AL336" s="0" t="n">
        <v>1.05</v>
      </c>
    </row>
    <row r="337">
      <c r="A337" s="0" t="inlineStr">
        <is>
          <t>[길동]</t>
        </is>
      </c>
      <c r="B337" s="0" t="n">
        <v>13587</v>
      </c>
      <c r="C337" s="0" t="n">
        <v>4</v>
      </c>
      <c r="D337" s="0" t="inlineStr">
        <is>
          <t>탑건위너빌</t>
        </is>
      </c>
      <c r="E337" s="0" t="inlineStr">
        <is>
          <t>2001.11.</t>
        </is>
      </c>
      <c r="F337" s="0" t="n">
        <v>19</v>
      </c>
      <c r="G337" s="0" t="n">
        <v>28.73</v>
      </c>
      <c r="H337" s="0" t="n">
        <v>94.98</v>
      </c>
      <c r="I337" s="0" t="n">
        <v>24.61</v>
      </c>
      <c r="J337" s="0" t="n">
        <v>81.38</v>
      </c>
      <c r="K337" s="0" t="n">
        <v>5</v>
      </c>
      <c r="T337" s="0" t="n">
        <v>3</v>
      </c>
      <c r="U337" s="0" t="n">
        <v>2</v>
      </c>
      <c r="V337" s="0" t="inlineStr">
        <is>
          <t>계단식</t>
        </is>
      </c>
      <c r="W337" s="0" t="inlineStr">
        <is>
          <t>94A</t>
        </is>
      </c>
      <c r="X337" s="0" t="n">
        <v>7</v>
      </c>
      <c r="Y337" s="0" t="n">
        <v>6</v>
      </c>
      <c r="Z337" s="0" t="inlineStr">
        <is>
          <t>https://new.land.naver.com/complexes/13587?tab=detail&amp;rf=Y</t>
        </is>
      </c>
      <c r="AA337" s="0" t="inlineStr">
        <is>
          <t>서울시 강동구 길동 229-3</t>
        </is>
      </c>
      <c r="AB337" s="0" t="inlineStr">
        <is>
          <t>서울시</t>
        </is>
      </c>
      <c r="AC337" s="0" t="inlineStr">
        <is>
          <t>강동구</t>
        </is>
      </c>
      <c r="AD337" s="0" t="inlineStr">
        <is>
          <t>길동</t>
        </is>
      </c>
      <c r="AG337" s="0" t="inlineStr">
        <is>
          <t>서울시 강동구 진황도로49길 31</t>
        </is>
      </c>
      <c r="AH337" s="0" t="n">
        <v>0</v>
      </c>
      <c r="AI337" s="0" t="n">
        <v>197</v>
      </c>
      <c r="AJ337" s="0" t="n">
        <v>33</v>
      </c>
      <c r="AK337" s="0" t="n">
        <v>20</v>
      </c>
      <c r="AL337" s="0" t="n">
        <v>1.05</v>
      </c>
    </row>
    <row r="338">
      <c r="A338" s="0" t="inlineStr">
        <is>
          <t>[길동]</t>
        </is>
      </c>
      <c r="B338" s="0" t="n">
        <v>13587</v>
      </c>
      <c r="C338" s="0" t="n">
        <v>5</v>
      </c>
      <c r="D338" s="0" t="inlineStr">
        <is>
          <t>탑건위너빌</t>
        </is>
      </c>
      <c r="E338" s="0" t="inlineStr">
        <is>
          <t>2001.11.</t>
        </is>
      </c>
      <c r="F338" s="0" t="n">
        <v>19</v>
      </c>
      <c r="G338" s="0" t="n">
        <v>28.91</v>
      </c>
      <c r="H338" s="0" t="n">
        <v>95.59999999999999</v>
      </c>
      <c r="I338" s="0" t="n">
        <v>24.77</v>
      </c>
      <c r="J338" s="0" t="n">
        <v>81.90000000000001</v>
      </c>
      <c r="K338" s="0" t="n">
        <v>1</v>
      </c>
      <c r="T338" s="0" t="n">
        <v>3</v>
      </c>
      <c r="U338" s="0" t="n">
        <v>1</v>
      </c>
      <c r="V338" s="0" t="inlineStr">
        <is>
          <t>계단식</t>
        </is>
      </c>
      <c r="W338" s="0" t="inlineStr">
        <is>
          <t>95B</t>
        </is>
      </c>
      <c r="X338" s="0" t="n">
        <v>7</v>
      </c>
      <c r="Y338" s="0" t="n">
        <v>6</v>
      </c>
      <c r="Z338" s="0" t="inlineStr">
        <is>
          <t>https://new.land.naver.com/complexes/13587?tab=detail&amp;rf=Y</t>
        </is>
      </c>
      <c r="AA338" s="0" t="inlineStr">
        <is>
          <t>서울시 강동구 길동 229-3</t>
        </is>
      </c>
      <c r="AB338" s="0" t="inlineStr">
        <is>
          <t>서울시</t>
        </is>
      </c>
      <c r="AC338" s="0" t="inlineStr">
        <is>
          <t>강동구</t>
        </is>
      </c>
      <c r="AD338" s="0" t="inlineStr">
        <is>
          <t>길동</t>
        </is>
      </c>
      <c r="AG338" s="0" t="inlineStr">
        <is>
          <t>서울시 강동구 진황도로49길 31</t>
        </is>
      </c>
      <c r="AH338" s="0" t="n">
        <v>0</v>
      </c>
      <c r="AI338" s="0" t="n">
        <v>197</v>
      </c>
      <c r="AJ338" s="0" t="n">
        <v>33</v>
      </c>
      <c r="AK338" s="0" t="n">
        <v>20</v>
      </c>
      <c r="AL338" s="0" t="n">
        <v>1.05</v>
      </c>
    </row>
    <row r="339">
      <c r="A339" s="0" t="inlineStr">
        <is>
          <t>[길동]</t>
        </is>
      </c>
      <c r="B339" s="0" t="n">
        <v>13587</v>
      </c>
      <c r="C339" s="0" t="n">
        <v>6</v>
      </c>
      <c r="D339" s="0" t="inlineStr">
        <is>
          <t>탑건위너빌</t>
        </is>
      </c>
      <c r="E339" s="0" t="inlineStr">
        <is>
          <t>2001.11.</t>
        </is>
      </c>
      <c r="F339" s="0" t="n">
        <v>19</v>
      </c>
      <c r="G339" s="0" t="n">
        <v>36.11</v>
      </c>
      <c r="H339" s="0" t="n">
        <v>119.38</v>
      </c>
      <c r="I339" s="0" t="n">
        <v>30.93</v>
      </c>
      <c r="J339" s="0" t="n">
        <v>102.28</v>
      </c>
      <c r="K339" s="0" t="n">
        <v>1</v>
      </c>
      <c r="T339" s="0" t="n">
        <v>4</v>
      </c>
      <c r="U339" s="0" t="n">
        <v>2</v>
      </c>
      <c r="V339" s="0" t="inlineStr">
        <is>
          <t>계단식</t>
        </is>
      </c>
      <c r="W339" s="0" t="n">
        <v>119</v>
      </c>
      <c r="X339" s="0" t="n">
        <v>7</v>
      </c>
      <c r="Y339" s="0" t="n">
        <v>6</v>
      </c>
      <c r="Z339" s="0" t="inlineStr">
        <is>
          <t>https://new.land.naver.com/complexes/13587?tab=detail&amp;rf=Y</t>
        </is>
      </c>
      <c r="AA339" s="0" t="inlineStr">
        <is>
          <t>서울시 강동구 길동 229-3</t>
        </is>
      </c>
      <c r="AB339" s="0" t="inlineStr">
        <is>
          <t>서울시</t>
        </is>
      </c>
      <c r="AC339" s="0" t="inlineStr">
        <is>
          <t>강동구</t>
        </is>
      </c>
      <c r="AD339" s="0" t="inlineStr">
        <is>
          <t>길동</t>
        </is>
      </c>
      <c r="AG339" s="0" t="inlineStr">
        <is>
          <t>서울시 강동구 진황도로49길 31</t>
        </is>
      </c>
      <c r="AH339" s="0" t="n">
        <v>0</v>
      </c>
      <c r="AI339" s="0" t="n">
        <v>197</v>
      </c>
      <c r="AJ339" s="0" t="n">
        <v>33</v>
      </c>
      <c r="AK339" s="0" t="n">
        <v>20</v>
      </c>
      <c r="AL339" s="0" t="n">
        <v>1.05</v>
      </c>
    </row>
    <row r="340">
      <c r="A340" s="0" t="inlineStr">
        <is>
          <t>[길동]</t>
        </is>
      </c>
      <c r="B340" s="0" t="n">
        <v>102878</v>
      </c>
      <c r="C340" s="0" t="n">
        <v>1</v>
      </c>
      <c r="D340" s="0" t="inlineStr">
        <is>
          <t>다성이즈빌(357-7)</t>
        </is>
      </c>
      <c r="E340" s="0" t="inlineStr">
        <is>
          <t>2006.08.</t>
        </is>
      </c>
      <c r="F340" s="0" t="n">
        <v>18</v>
      </c>
      <c r="G340" s="0" t="n">
        <v>34.31</v>
      </c>
      <c r="H340" s="0" t="n">
        <v>113.45</v>
      </c>
      <c r="I340" s="0" t="n">
        <v>30.93</v>
      </c>
      <c r="J340" s="0" t="n">
        <v>102.26</v>
      </c>
      <c r="K340" s="0" t="n">
        <v>6</v>
      </c>
      <c r="T340" s="0" t="n">
        <v>3</v>
      </c>
      <c r="U340" s="0" t="n">
        <v>2</v>
      </c>
      <c r="V340" s="0" t="inlineStr">
        <is>
          <t>계단식</t>
        </is>
      </c>
      <c r="W340" s="0" t="n">
        <v>113</v>
      </c>
      <c r="X340" s="0" t="n">
        <v>7</v>
      </c>
      <c r="Y340" s="0" t="n">
        <v>7</v>
      </c>
      <c r="Z340" s="0" t="inlineStr">
        <is>
          <t>https://new.land.naver.com/complexes/102878?tab=detail&amp;rf=Y</t>
        </is>
      </c>
      <c r="AA340" s="0" t="inlineStr">
        <is>
          <t>서울시 강동구 길동 357-7</t>
        </is>
      </c>
      <c r="AB340" s="0" t="inlineStr">
        <is>
          <t>서울시</t>
        </is>
      </c>
      <c r="AC340" s="0" t="inlineStr">
        <is>
          <t>강동구</t>
        </is>
      </c>
      <c r="AD340" s="0" t="inlineStr">
        <is>
          <t>길동</t>
        </is>
      </c>
      <c r="AG340" s="0" t="inlineStr">
        <is>
          <t>서울시 강동구 천중로48길 19-5</t>
        </is>
      </c>
      <c r="AH340" s="0" t="n">
        <v>0</v>
      </c>
      <c r="AI340" s="0" t="n">
        <v>249</v>
      </c>
      <c r="AJ340" s="0" t="n">
        <v>48</v>
      </c>
      <c r="AK340" s="0" t="n">
        <v>33</v>
      </c>
      <c r="AL340" s="0" t="n">
        <v>1.83</v>
      </c>
    </row>
    <row r="341">
      <c r="A341" s="0" t="inlineStr">
        <is>
          <t>[길동]</t>
        </is>
      </c>
      <c r="B341" s="0" t="n">
        <v>102878</v>
      </c>
      <c r="C341" s="0" t="n">
        <v>2</v>
      </c>
      <c r="D341" s="0" t="inlineStr">
        <is>
          <t>다성이즈빌(357-7)</t>
        </is>
      </c>
      <c r="E341" s="0" t="inlineStr">
        <is>
          <t>2006.08.</t>
        </is>
      </c>
      <c r="F341" s="0" t="n">
        <v>18</v>
      </c>
      <c r="G341" s="0" t="n">
        <v>44.41</v>
      </c>
      <c r="H341" s="0" t="n">
        <v>146.83</v>
      </c>
      <c r="I341" s="0" t="n">
        <v>40.03</v>
      </c>
      <c r="J341" s="0" t="n">
        <v>132.35</v>
      </c>
      <c r="K341" s="0" t="n">
        <v>6</v>
      </c>
      <c r="T341" s="0" t="n">
        <v>3</v>
      </c>
      <c r="U341" s="0" t="n">
        <v>2</v>
      </c>
      <c r="V341" s="0" t="inlineStr">
        <is>
          <t>계단식</t>
        </is>
      </c>
      <c r="W341" s="0" t="n">
        <v>146</v>
      </c>
      <c r="X341" s="0" t="n">
        <v>7</v>
      </c>
      <c r="Y341" s="0" t="n">
        <v>7</v>
      </c>
      <c r="Z341" s="0" t="inlineStr">
        <is>
          <t>https://new.land.naver.com/complexes/102878?tab=detail&amp;rf=Y</t>
        </is>
      </c>
      <c r="AA341" s="0" t="inlineStr">
        <is>
          <t>서울시 강동구 길동 357-7</t>
        </is>
      </c>
      <c r="AB341" s="0" t="inlineStr">
        <is>
          <t>서울시</t>
        </is>
      </c>
      <c r="AC341" s="0" t="inlineStr">
        <is>
          <t>강동구</t>
        </is>
      </c>
      <c r="AD341" s="0" t="inlineStr">
        <is>
          <t>길동</t>
        </is>
      </c>
      <c r="AG341" s="0" t="inlineStr">
        <is>
          <t>서울시 강동구 천중로48길 19-5</t>
        </is>
      </c>
      <c r="AH341" s="0" t="n">
        <v>0</v>
      </c>
      <c r="AI341" s="0" t="n">
        <v>249</v>
      </c>
      <c r="AJ341" s="0" t="n">
        <v>48</v>
      </c>
      <c r="AK341" s="0" t="n">
        <v>33</v>
      </c>
      <c r="AL341" s="0" t="n">
        <v>1.83</v>
      </c>
    </row>
    <row r="342">
      <c r="A342" s="0" t="inlineStr">
        <is>
          <t>[길동]</t>
        </is>
      </c>
      <c r="B342" s="0" t="n">
        <v>102878</v>
      </c>
      <c r="C342" s="0" t="n">
        <v>3</v>
      </c>
      <c r="D342" s="0" t="inlineStr">
        <is>
          <t>다성이즈빌(357-7)</t>
        </is>
      </c>
      <c r="E342" s="0" t="inlineStr">
        <is>
          <t>2006.08.</t>
        </is>
      </c>
      <c r="F342" s="0" t="n">
        <v>18</v>
      </c>
      <c r="G342" s="0" t="n">
        <v>48.47</v>
      </c>
      <c r="H342" s="0" t="n">
        <v>160.26</v>
      </c>
      <c r="I342" s="0" t="n">
        <v>43.69</v>
      </c>
      <c r="J342" s="0" t="n">
        <v>144.44</v>
      </c>
      <c r="K342" s="0" t="n">
        <v>1</v>
      </c>
      <c r="T342" s="0" t="n">
        <v>4</v>
      </c>
      <c r="U342" s="0" t="n">
        <v>2</v>
      </c>
      <c r="V342" s="0" t="inlineStr">
        <is>
          <t>계단식</t>
        </is>
      </c>
      <c r="W342" s="0" t="n">
        <v>160</v>
      </c>
      <c r="X342" s="0" t="n">
        <v>7</v>
      </c>
      <c r="Y342" s="0" t="n">
        <v>7</v>
      </c>
      <c r="Z342" s="0" t="inlineStr">
        <is>
          <t>https://new.land.naver.com/complexes/102878?tab=detail&amp;rf=Y</t>
        </is>
      </c>
      <c r="AA342" s="0" t="inlineStr">
        <is>
          <t>서울시 강동구 길동 357-7</t>
        </is>
      </c>
      <c r="AB342" s="0" t="inlineStr">
        <is>
          <t>서울시</t>
        </is>
      </c>
      <c r="AC342" s="0" t="inlineStr">
        <is>
          <t>강동구</t>
        </is>
      </c>
      <c r="AD342" s="0" t="inlineStr">
        <is>
          <t>길동</t>
        </is>
      </c>
      <c r="AG342" s="0" t="inlineStr">
        <is>
          <t>서울시 강동구 천중로48길 19-5</t>
        </is>
      </c>
      <c r="AH342" s="0" t="n">
        <v>0</v>
      </c>
      <c r="AI342" s="0" t="n">
        <v>249</v>
      </c>
      <c r="AJ342" s="0" t="n">
        <v>48</v>
      </c>
      <c r="AK342" s="0" t="n">
        <v>33</v>
      </c>
      <c r="AL342" s="0" t="n">
        <v>1.83</v>
      </c>
    </row>
    <row r="343">
      <c r="A343" s="0" t="inlineStr">
        <is>
          <t>[길동]</t>
        </is>
      </c>
      <c r="B343" s="0" t="n">
        <v>102878</v>
      </c>
      <c r="C343" s="0" t="n">
        <v>4</v>
      </c>
      <c r="D343" s="0" t="inlineStr">
        <is>
          <t>다성이즈빌(357-7)</t>
        </is>
      </c>
      <c r="E343" s="0" t="inlineStr">
        <is>
          <t>2006.08.</t>
        </is>
      </c>
      <c r="F343" s="0" t="n">
        <v>18</v>
      </c>
      <c r="G343" s="0" t="n">
        <v>50.06</v>
      </c>
      <c r="H343" s="0" t="n">
        <v>165.5</v>
      </c>
      <c r="I343" s="0" t="n">
        <v>45.12</v>
      </c>
      <c r="J343" s="0" t="n">
        <v>149.17</v>
      </c>
      <c r="K343" s="0" t="n">
        <v>1</v>
      </c>
      <c r="T343" s="0" t="n">
        <v>4</v>
      </c>
      <c r="U343" s="0" t="n">
        <v>2</v>
      </c>
      <c r="V343" s="0" t="inlineStr">
        <is>
          <t>계단식</t>
        </is>
      </c>
      <c r="W343" s="0" t="n">
        <v>165</v>
      </c>
      <c r="X343" s="0" t="n">
        <v>7</v>
      </c>
      <c r="Y343" s="0" t="n">
        <v>7</v>
      </c>
      <c r="Z343" s="0" t="inlineStr">
        <is>
          <t>https://new.land.naver.com/complexes/102878?tab=detail&amp;rf=Y</t>
        </is>
      </c>
      <c r="AA343" s="0" t="inlineStr">
        <is>
          <t>서울시 강동구 길동 357-7</t>
        </is>
      </c>
      <c r="AB343" s="0" t="inlineStr">
        <is>
          <t>서울시</t>
        </is>
      </c>
      <c r="AC343" s="0" t="inlineStr">
        <is>
          <t>강동구</t>
        </is>
      </c>
      <c r="AD343" s="0" t="inlineStr">
        <is>
          <t>길동</t>
        </is>
      </c>
      <c r="AG343" s="0" t="inlineStr">
        <is>
          <t>서울시 강동구 천중로48길 19-5</t>
        </is>
      </c>
      <c r="AH343" s="0" t="n">
        <v>0</v>
      </c>
      <c r="AI343" s="0" t="n">
        <v>249</v>
      </c>
      <c r="AJ343" s="0" t="n">
        <v>48</v>
      </c>
      <c r="AK343" s="0" t="n">
        <v>33</v>
      </c>
      <c r="AL343" s="0" t="n">
        <v>1.83</v>
      </c>
    </row>
    <row r="344">
      <c r="A344" s="0" t="inlineStr">
        <is>
          <t>[길동]</t>
        </is>
      </c>
      <c r="B344" s="0" t="n">
        <v>102878</v>
      </c>
      <c r="C344" s="0" t="n">
        <v>5</v>
      </c>
      <c r="D344" s="0" t="inlineStr">
        <is>
          <t>다성이즈빌(357-7)</t>
        </is>
      </c>
      <c r="E344" s="0" t="inlineStr">
        <is>
          <t>2006.08.</t>
        </is>
      </c>
      <c r="F344" s="0" t="n">
        <v>18</v>
      </c>
      <c r="G344" s="0" t="n">
        <v>51.76</v>
      </c>
      <c r="H344" s="0" t="n">
        <v>171.12</v>
      </c>
      <c r="I344" s="0" t="n">
        <v>46.65</v>
      </c>
      <c r="J344" s="0" t="n">
        <v>154.24</v>
      </c>
      <c r="K344" s="0" t="n">
        <v>4</v>
      </c>
      <c r="T344" s="0" t="n">
        <v>4</v>
      </c>
      <c r="U344" s="0" t="n">
        <v>2</v>
      </c>
      <c r="V344" s="0" t="inlineStr">
        <is>
          <t>계단식</t>
        </is>
      </c>
      <c r="W344" s="0" t="n">
        <v>171</v>
      </c>
      <c r="X344" s="0" t="n">
        <v>7</v>
      </c>
      <c r="Y344" s="0" t="n">
        <v>7</v>
      </c>
      <c r="Z344" s="0" t="inlineStr">
        <is>
          <t>https://new.land.naver.com/complexes/102878?tab=detail&amp;rf=Y</t>
        </is>
      </c>
      <c r="AA344" s="0" t="inlineStr">
        <is>
          <t>서울시 강동구 길동 357-7</t>
        </is>
      </c>
      <c r="AB344" s="0" t="inlineStr">
        <is>
          <t>서울시</t>
        </is>
      </c>
      <c r="AC344" s="0" t="inlineStr">
        <is>
          <t>강동구</t>
        </is>
      </c>
      <c r="AD344" s="0" t="inlineStr">
        <is>
          <t>길동</t>
        </is>
      </c>
      <c r="AG344" s="0" t="inlineStr">
        <is>
          <t>서울시 강동구 천중로48길 19-5</t>
        </is>
      </c>
      <c r="AH344" s="0" t="n">
        <v>0</v>
      </c>
      <c r="AI344" s="0" t="n">
        <v>249</v>
      </c>
      <c r="AJ344" s="0" t="n">
        <v>48</v>
      </c>
      <c r="AK344" s="0" t="n">
        <v>33</v>
      </c>
      <c r="AL344" s="0" t="n">
        <v>1.83</v>
      </c>
    </row>
    <row r="345">
      <c r="A345" s="0" t="inlineStr">
        <is>
          <t>[길동]</t>
        </is>
      </c>
      <c r="B345" s="0" t="n">
        <v>13112</v>
      </c>
      <c r="C345" s="0" t="n">
        <v>1</v>
      </c>
      <c r="D345" s="0" t="inlineStr">
        <is>
          <t>유덕휴먼빌</t>
        </is>
      </c>
      <c r="E345" s="0" t="inlineStr">
        <is>
          <t>2003.08.</t>
        </is>
      </c>
      <c r="F345" s="0" t="n">
        <v>38</v>
      </c>
      <c r="G345" s="0" t="n">
        <v>26.12</v>
      </c>
      <c r="H345" s="0" t="n">
        <v>86.34999999999999</v>
      </c>
      <c r="I345" s="0" t="n">
        <v>21.15</v>
      </c>
      <c r="J345" s="0" t="n">
        <v>69.92</v>
      </c>
      <c r="K345" s="0" t="n">
        <v>2</v>
      </c>
      <c r="T345" s="0" t="n">
        <v>3</v>
      </c>
      <c r="U345" s="0" t="n">
        <v>1</v>
      </c>
      <c r="V345" s="0" t="inlineStr">
        <is>
          <t>계단식</t>
        </is>
      </c>
      <c r="W345" s="0" t="n">
        <v>86</v>
      </c>
      <c r="X345" s="0" t="n">
        <v>9</v>
      </c>
      <c r="Y345" s="0" t="n">
        <v>6</v>
      </c>
      <c r="Z345" s="0" t="inlineStr">
        <is>
          <t>https://new.land.naver.com/complexes/13112?tab=detail&amp;rf=Y</t>
        </is>
      </c>
      <c r="AA345" s="0" t="inlineStr">
        <is>
          <t>서울시 강동구 길동 353-40</t>
        </is>
      </c>
      <c r="AB345" s="0" t="inlineStr">
        <is>
          <t>서울시</t>
        </is>
      </c>
      <c r="AC345" s="0" t="inlineStr">
        <is>
          <t>강동구</t>
        </is>
      </c>
      <c r="AD345" s="0" t="inlineStr">
        <is>
          <t>길동</t>
        </is>
      </c>
      <c r="AG345" s="0" t="inlineStr">
        <is>
          <t>서울시 강동구 천중로54길 9-14</t>
        </is>
      </c>
      <c r="AH345" s="0" t="n">
        <v>0</v>
      </c>
      <c r="AI345" s="0" t="n">
        <v>262</v>
      </c>
      <c r="AJ345" s="0" t="n">
        <v>42</v>
      </c>
      <c r="AK345" s="0" t="n">
        <v>43</v>
      </c>
      <c r="AL345" s="0" t="n">
        <v>1.13</v>
      </c>
    </row>
    <row r="346">
      <c r="A346" s="0" t="inlineStr">
        <is>
          <t>[길동]</t>
        </is>
      </c>
      <c r="B346" s="0" t="n">
        <v>13112</v>
      </c>
      <c r="C346" s="0" t="n">
        <v>2</v>
      </c>
      <c r="D346" s="0" t="inlineStr">
        <is>
          <t>유덕휴먼빌</t>
        </is>
      </c>
      <c r="E346" s="0" t="inlineStr">
        <is>
          <t>2003.08.</t>
        </is>
      </c>
      <c r="F346" s="0" t="n">
        <v>38</v>
      </c>
      <c r="G346" s="0" t="n">
        <v>27.08</v>
      </c>
      <c r="H346" s="0" t="n">
        <v>89.54000000000001</v>
      </c>
      <c r="I346" s="0" t="n">
        <v>21.75</v>
      </c>
      <c r="J346" s="0" t="n">
        <v>71.91</v>
      </c>
      <c r="K346" s="0" t="n">
        <v>7</v>
      </c>
      <c r="T346" s="0" t="n">
        <v>3</v>
      </c>
      <c r="U346" s="0" t="n">
        <v>1</v>
      </c>
      <c r="V346" s="0" t="inlineStr">
        <is>
          <t>계단식</t>
        </is>
      </c>
      <c r="W346" s="0" t="inlineStr">
        <is>
          <t>89B</t>
        </is>
      </c>
      <c r="X346" s="0" t="n">
        <v>9</v>
      </c>
      <c r="Y346" s="0" t="n">
        <v>6</v>
      </c>
      <c r="Z346" s="0" t="inlineStr">
        <is>
          <t>https://new.land.naver.com/complexes/13112?tab=detail&amp;rf=Y</t>
        </is>
      </c>
      <c r="AA346" s="0" t="inlineStr">
        <is>
          <t>서울시 강동구 길동 353-40</t>
        </is>
      </c>
      <c r="AB346" s="0" t="inlineStr">
        <is>
          <t>서울시</t>
        </is>
      </c>
      <c r="AC346" s="0" t="inlineStr">
        <is>
          <t>강동구</t>
        </is>
      </c>
      <c r="AD346" s="0" t="inlineStr">
        <is>
          <t>길동</t>
        </is>
      </c>
      <c r="AG346" s="0" t="inlineStr">
        <is>
          <t>서울시 강동구 천중로54길 9-14</t>
        </is>
      </c>
      <c r="AH346" s="0" t="n">
        <v>0</v>
      </c>
      <c r="AI346" s="0" t="n">
        <v>262</v>
      </c>
      <c r="AJ346" s="0" t="n">
        <v>42</v>
      </c>
      <c r="AK346" s="0" t="n">
        <v>43</v>
      </c>
      <c r="AL346" s="0" t="n">
        <v>1.13</v>
      </c>
    </row>
    <row r="347">
      <c r="A347" s="0" t="inlineStr">
        <is>
          <t>[길동]</t>
        </is>
      </c>
      <c r="B347" s="0" t="n">
        <v>13112</v>
      </c>
      <c r="C347" s="0" t="n">
        <v>3</v>
      </c>
      <c r="D347" s="0" t="inlineStr">
        <is>
          <t>유덕휴먼빌</t>
        </is>
      </c>
      <c r="E347" s="0" t="inlineStr">
        <is>
          <t>2003.08.</t>
        </is>
      </c>
      <c r="F347" s="0" t="n">
        <v>38</v>
      </c>
      <c r="G347" s="0" t="n">
        <v>26.92</v>
      </c>
      <c r="H347" s="0" t="n">
        <v>89.01000000000001</v>
      </c>
      <c r="I347" s="0" t="n">
        <v>21.65</v>
      </c>
      <c r="J347" s="0" t="n">
        <v>71.58</v>
      </c>
      <c r="K347" s="0" t="n">
        <v>1</v>
      </c>
      <c r="T347" s="0" t="n">
        <v>3</v>
      </c>
      <c r="U347" s="0" t="n">
        <v>1</v>
      </c>
      <c r="V347" s="0" t="inlineStr">
        <is>
          <t>계단식</t>
        </is>
      </c>
      <c r="W347" s="0" t="inlineStr">
        <is>
          <t>89A</t>
        </is>
      </c>
      <c r="X347" s="0" t="n">
        <v>9</v>
      </c>
      <c r="Y347" s="0" t="n">
        <v>6</v>
      </c>
      <c r="Z347" s="0" t="inlineStr">
        <is>
          <t>https://new.land.naver.com/complexes/13112?tab=detail&amp;rf=Y</t>
        </is>
      </c>
      <c r="AA347" s="0" t="inlineStr">
        <is>
          <t>서울시 강동구 길동 353-40</t>
        </is>
      </c>
      <c r="AB347" s="0" t="inlineStr">
        <is>
          <t>서울시</t>
        </is>
      </c>
      <c r="AC347" s="0" t="inlineStr">
        <is>
          <t>강동구</t>
        </is>
      </c>
      <c r="AD347" s="0" t="inlineStr">
        <is>
          <t>길동</t>
        </is>
      </c>
      <c r="AG347" s="0" t="inlineStr">
        <is>
          <t>서울시 강동구 천중로54길 9-14</t>
        </is>
      </c>
      <c r="AH347" s="0" t="n">
        <v>0</v>
      </c>
      <c r="AI347" s="0" t="n">
        <v>262</v>
      </c>
      <c r="AJ347" s="0" t="n">
        <v>42</v>
      </c>
      <c r="AK347" s="0" t="n">
        <v>43</v>
      </c>
      <c r="AL347" s="0" t="n">
        <v>1.13</v>
      </c>
    </row>
    <row r="348">
      <c r="A348" s="0" t="inlineStr">
        <is>
          <t>[길동]</t>
        </is>
      </c>
      <c r="B348" s="0" t="n">
        <v>13112</v>
      </c>
      <c r="C348" s="0" t="n">
        <v>4</v>
      </c>
      <c r="D348" s="0" t="inlineStr">
        <is>
          <t>유덕휴먼빌</t>
        </is>
      </c>
      <c r="E348" s="0" t="inlineStr">
        <is>
          <t>2003.08.</t>
        </is>
      </c>
      <c r="F348" s="0" t="n">
        <v>38</v>
      </c>
      <c r="G348" s="0" t="n">
        <v>28.6</v>
      </c>
      <c r="H348" s="0" t="n">
        <v>94.56</v>
      </c>
      <c r="I348" s="0" t="n">
        <v>23.18</v>
      </c>
      <c r="J348" s="0" t="n">
        <v>76.66</v>
      </c>
      <c r="K348" s="0" t="n">
        <v>5</v>
      </c>
      <c r="T348" s="0" t="n">
        <v>3</v>
      </c>
      <c r="U348" s="0" t="n">
        <v>1</v>
      </c>
      <c r="V348" s="0" t="inlineStr">
        <is>
          <t>계단식</t>
        </is>
      </c>
      <c r="W348" s="0" t="n">
        <v>94</v>
      </c>
      <c r="X348" s="0" t="n">
        <v>9</v>
      </c>
      <c r="Y348" s="0" t="n">
        <v>6</v>
      </c>
      <c r="Z348" s="0" t="inlineStr">
        <is>
          <t>https://new.land.naver.com/complexes/13112?tab=detail&amp;rf=Y</t>
        </is>
      </c>
      <c r="AA348" s="0" t="inlineStr">
        <is>
          <t>서울시 강동구 길동 353-40</t>
        </is>
      </c>
      <c r="AB348" s="0" t="inlineStr">
        <is>
          <t>서울시</t>
        </is>
      </c>
      <c r="AC348" s="0" t="inlineStr">
        <is>
          <t>강동구</t>
        </is>
      </c>
      <c r="AD348" s="0" t="inlineStr">
        <is>
          <t>길동</t>
        </is>
      </c>
      <c r="AG348" s="0" t="inlineStr">
        <is>
          <t>서울시 강동구 천중로54길 9-14</t>
        </is>
      </c>
      <c r="AH348" s="0" t="n">
        <v>0</v>
      </c>
      <c r="AI348" s="0" t="n">
        <v>262</v>
      </c>
      <c r="AJ348" s="0" t="n">
        <v>42</v>
      </c>
      <c r="AK348" s="0" t="n">
        <v>43</v>
      </c>
      <c r="AL348" s="0" t="n">
        <v>1.13</v>
      </c>
    </row>
    <row r="349">
      <c r="A349" s="0" t="inlineStr">
        <is>
          <t>[길동]</t>
        </is>
      </c>
      <c r="B349" s="0" t="n">
        <v>13112</v>
      </c>
      <c r="C349" s="0" t="n">
        <v>5</v>
      </c>
      <c r="D349" s="0" t="inlineStr">
        <is>
          <t>유덕휴먼빌</t>
        </is>
      </c>
      <c r="E349" s="0" t="inlineStr">
        <is>
          <t>2003.08.</t>
        </is>
      </c>
      <c r="F349" s="0" t="n">
        <v>38</v>
      </c>
      <c r="G349" s="0" t="n">
        <v>30.48</v>
      </c>
      <c r="H349" s="0" t="n">
        <v>100.79</v>
      </c>
      <c r="I349" s="0" t="n">
        <v>24.78</v>
      </c>
      <c r="J349" s="0" t="n">
        <v>81.94</v>
      </c>
      <c r="K349" s="0" t="n">
        <v>16</v>
      </c>
      <c r="T349" s="0" t="n">
        <v>3</v>
      </c>
      <c r="U349" s="0" t="n">
        <v>2</v>
      </c>
      <c r="V349" s="0" t="inlineStr">
        <is>
          <t>계단식</t>
        </is>
      </c>
      <c r="W349" s="0" t="n">
        <v>100</v>
      </c>
      <c r="X349" s="0" t="n">
        <v>9</v>
      </c>
      <c r="Y349" s="0" t="n">
        <v>6</v>
      </c>
      <c r="Z349" s="0" t="inlineStr">
        <is>
          <t>https://new.land.naver.com/complexes/13112?tab=detail&amp;rf=Y</t>
        </is>
      </c>
      <c r="AA349" s="0" t="inlineStr">
        <is>
          <t>서울시 강동구 길동 353-40</t>
        </is>
      </c>
      <c r="AB349" s="0" t="inlineStr">
        <is>
          <t>서울시</t>
        </is>
      </c>
      <c r="AC349" s="0" t="inlineStr">
        <is>
          <t>강동구</t>
        </is>
      </c>
      <c r="AD349" s="0" t="inlineStr">
        <is>
          <t>길동</t>
        </is>
      </c>
      <c r="AG349" s="0" t="inlineStr">
        <is>
          <t>서울시 강동구 천중로54길 9-14</t>
        </is>
      </c>
      <c r="AH349" s="0" t="n">
        <v>0</v>
      </c>
      <c r="AI349" s="0" t="n">
        <v>262</v>
      </c>
      <c r="AJ349" s="0" t="n">
        <v>42</v>
      </c>
      <c r="AK349" s="0" t="n">
        <v>43</v>
      </c>
      <c r="AL349" s="0" t="n">
        <v>1.13</v>
      </c>
    </row>
    <row r="350">
      <c r="A350" s="0" t="inlineStr">
        <is>
          <t>[길동]</t>
        </is>
      </c>
      <c r="B350" s="0" t="n">
        <v>13112</v>
      </c>
      <c r="C350" s="0" t="n">
        <v>6</v>
      </c>
      <c r="D350" s="0" t="inlineStr">
        <is>
          <t>유덕휴먼빌</t>
        </is>
      </c>
      <c r="E350" s="0" t="inlineStr">
        <is>
          <t>2003.08.</t>
        </is>
      </c>
      <c r="F350" s="0" t="n">
        <v>38</v>
      </c>
      <c r="G350" s="0" t="n">
        <v>36.73</v>
      </c>
      <c r="H350" s="0" t="n">
        <v>121.45</v>
      </c>
      <c r="I350" s="0" t="n">
        <v>29.89</v>
      </c>
      <c r="J350" s="0" t="n">
        <v>98.84</v>
      </c>
      <c r="K350" s="0" t="n">
        <v>7</v>
      </c>
      <c r="T350" s="0" t="n">
        <v>3</v>
      </c>
      <c r="U350" s="0" t="n">
        <v>2</v>
      </c>
      <c r="V350" s="0" t="inlineStr">
        <is>
          <t>계단식</t>
        </is>
      </c>
      <c r="W350" s="0" t="n">
        <v>121</v>
      </c>
      <c r="X350" s="0" t="n">
        <v>9</v>
      </c>
      <c r="Y350" s="0" t="n">
        <v>6</v>
      </c>
      <c r="Z350" s="0" t="inlineStr">
        <is>
          <t>https://new.land.naver.com/complexes/13112?tab=detail&amp;rf=Y</t>
        </is>
      </c>
      <c r="AA350" s="0" t="inlineStr">
        <is>
          <t>서울시 강동구 길동 353-40</t>
        </is>
      </c>
      <c r="AB350" s="0" t="inlineStr">
        <is>
          <t>서울시</t>
        </is>
      </c>
      <c r="AC350" s="0" t="inlineStr">
        <is>
          <t>강동구</t>
        </is>
      </c>
      <c r="AD350" s="0" t="inlineStr">
        <is>
          <t>길동</t>
        </is>
      </c>
      <c r="AG350" s="0" t="inlineStr">
        <is>
          <t>서울시 강동구 천중로54길 9-14</t>
        </is>
      </c>
      <c r="AH350" s="0" t="n">
        <v>0</v>
      </c>
      <c r="AI350" s="0" t="n">
        <v>262</v>
      </c>
      <c r="AJ350" s="0" t="n">
        <v>42</v>
      </c>
      <c r="AK350" s="0" t="n">
        <v>43</v>
      </c>
      <c r="AL350" s="0" t="n">
        <v>1.13</v>
      </c>
    </row>
    <row r="351">
      <c r="A351" s="0" t="inlineStr">
        <is>
          <t>[길동]</t>
        </is>
      </c>
      <c r="B351" s="0" t="n">
        <v>3070</v>
      </c>
      <c r="C351" s="0" t="n">
        <v>1</v>
      </c>
      <c r="D351" s="0" t="inlineStr">
        <is>
          <t>현대</t>
        </is>
      </c>
      <c r="E351" s="0" t="inlineStr">
        <is>
          <t>1996.08.</t>
        </is>
      </c>
      <c r="F351" s="0" t="n">
        <v>264</v>
      </c>
      <c r="G351" s="0" t="n">
        <v>24.78</v>
      </c>
      <c r="H351" s="0" t="n">
        <v>81.93000000000001</v>
      </c>
      <c r="I351" s="0" t="n">
        <v>18.11</v>
      </c>
      <c r="J351" s="0" t="n">
        <v>59.88</v>
      </c>
      <c r="K351" s="0" t="n">
        <v>28</v>
      </c>
      <c r="T351" s="0" t="n">
        <v>3</v>
      </c>
      <c r="U351" s="0" t="n">
        <v>1</v>
      </c>
      <c r="V351" s="0" t="inlineStr">
        <is>
          <t>계단식</t>
        </is>
      </c>
      <c r="W351" s="0" t="inlineStr">
        <is>
          <t>81C</t>
        </is>
      </c>
      <c r="X351" s="0" t="n">
        <v>18</v>
      </c>
      <c r="Y351" s="0" t="n">
        <v>9</v>
      </c>
      <c r="Z351" s="0" t="inlineStr">
        <is>
          <t>https://new.land.naver.com/complexes/3070?tab=detail&amp;rf=Y</t>
        </is>
      </c>
      <c r="AA351" s="0" t="inlineStr">
        <is>
          <t>서울시 강동구 길동 470</t>
        </is>
      </c>
      <c r="AB351" s="0" t="inlineStr">
        <is>
          <t>서울시</t>
        </is>
      </c>
      <c r="AC351" s="0" t="inlineStr">
        <is>
          <t>강동구</t>
        </is>
      </c>
      <c r="AD351" s="0" t="inlineStr">
        <is>
          <t>길동</t>
        </is>
      </c>
      <c r="AG351" s="0" t="inlineStr">
        <is>
          <t>서울시 강동구 천호대로 1231</t>
        </is>
      </c>
      <c r="AH351" s="0" t="n">
        <v>0</v>
      </c>
      <c r="AI351" s="0" t="n">
        <v>376</v>
      </c>
      <c r="AJ351" s="0" t="n">
        <v>32</v>
      </c>
      <c r="AK351" s="0" t="n">
        <v>271</v>
      </c>
      <c r="AL351" s="0" t="n">
        <v>1.03</v>
      </c>
    </row>
    <row r="352">
      <c r="A352" s="0" t="inlineStr">
        <is>
          <t>[길동]</t>
        </is>
      </c>
      <c r="B352" s="0" t="n">
        <v>3070</v>
      </c>
      <c r="C352" s="0" t="n">
        <v>2</v>
      </c>
      <c r="D352" s="0" t="inlineStr">
        <is>
          <t>현대</t>
        </is>
      </c>
      <c r="E352" s="0" t="inlineStr">
        <is>
          <t>1996.08.</t>
        </is>
      </c>
      <c r="F352" s="0" t="n">
        <v>264</v>
      </c>
      <c r="G352" s="0" t="n">
        <v>24.74</v>
      </c>
      <c r="H352" s="0" t="n">
        <v>81.8</v>
      </c>
      <c r="I352" s="0" t="n">
        <v>18.08</v>
      </c>
      <c r="J352" s="0" t="n">
        <v>59.79</v>
      </c>
      <c r="K352" s="0" t="n">
        <v>18</v>
      </c>
      <c r="T352" s="0" t="n">
        <v>3</v>
      </c>
      <c r="U352" s="0" t="n">
        <v>1</v>
      </c>
      <c r="V352" s="0" t="inlineStr">
        <is>
          <t>계단식</t>
        </is>
      </c>
      <c r="W352" s="0" t="inlineStr">
        <is>
          <t>81A</t>
        </is>
      </c>
      <c r="X352" s="0" t="n">
        <v>18</v>
      </c>
      <c r="Y352" s="0" t="n">
        <v>9</v>
      </c>
      <c r="Z352" s="0" t="inlineStr">
        <is>
          <t>https://new.land.naver.com/complexes/3070?tab=detail&amp;rf=Y</t>
        </is>
      </c>
      <c r="AA352" s="0" t="inlineStr">
        <is>
          <t>서울시 강동구 길동 470</t>
        </is>
      </c>
      <c r="AB352" s="0" t="inlineStr">
        <is>
          <t>서울시</t>
        </is>
      </c>
      <c r="AC352" s="0" t="inlineStr">
        <is>
          <t>강동구</t>
        </is>
      </c>
      <c r="AD352" s="0" t="inlineStr">
        <is>
          <t>길동</t>
        </is>
      </c>
      <c r="AG352" s="0" t="inlineStr">
        <is>
          <t>서울시 강동구 천호대로 1231</t>
        </is>
      </c>
      <c r="AH352" s="0" t="n">
        <v>0</v>
      </c>
      <c r="AI352" s="0" t="n">
        <v>376</v>
      </c>
      <c r="AJ352" s="0" t="n">
        <v>32</v>
      </c>
      <c r="AK352" s="0" t="n">
        <v>271</v>
      </c>
      <c r="AL352" s="0" t="n">
        <v>1.03</v>
      </c>
    </row>
    <row r="353">
      <c r="A353" s="0" t="inlineStr">
        <is>
          <t>[길동]</t>
        </is>
      </c>
      <c r="B353" s="0" t="n">
        <v>3070</v>
      </c>
      <c r="C353" s="0" t="n">
        <v>3</v>
      </c>
      <c r="D353" s="0" t="inlineStr">
        <is>
          <t>현대</t>
        </is>
      </c>
      <c r="E353" s="0" t="inlineStr">
        <is>
          <t>1996.08.</t>
        </is>
      </c>
      <c r="F353" s="0" t="n">
        <v>264</v>
      </c>
      <c r="G353" s="0" t="n">
        <v>24.77</v>
      </c>
      <c r="H353" s="0" t="n">
        <v>81.89</v>
      </c>
      <c r="I353" s="0" t="n">
        <v>18.1</v>
      </c>
      <c r="J353" s="0" t="n">
        <v>59.85</v>
      </c>
      <c r="K353" s="0" t="n">
        <v>18</v>
      </c>
      <c r="T353" s="0" t="n">
        <v>3</v>
      </c>
      <c r="U353" s="0" t="n">
        <v>1</v>
      </c>
      <c r="V353" s="0" t="inlineStr">
        <is>
          <t>계단식</t>
        </is>
      </c>
      <c r="W353" s="0" t="inlineStr">
        <is>
          <t>81B</t>
        </is>
      </c>
      <c r="X353" s="0" t="n">
        <v>18</v>
      </c>
      <c r="Y353" s="0" t="n">
        <v>9</v>
      </c>
      <c r="Z353" s="0" t="inlineStr">
        <is>
          <t>https://new.land.naver.com/complexes/3070?tab=detail&amp;rf=Y</t>
        </is>
      </c>
      <c r="AA353" s="0" t="inlineStr">
        <is>
          <t>서울시 강동구 길동 470</t>
        </is>
      </c>
      <c r="AB353" s="0" t="inlineStr">
        <is>
          <t>서울시</t>
        </is>
      </c>
      <c r="AC353" s="0" t="inlineStr">
        <is>
          <t>강동구</t>
        </is>
      </c>
      <c r="AD353" s="0" t="inlineStr">
        <is>
          <t>길동</t>
        </is>
      </c>
      <c r="AG353" s="0" t="inlineStr">
        <is>
          <t>서울시 강동구 천호대로 1231</t>
        </is>
      </c>
      <c r="AH353" s="0" t="n">
        <v>0</v>
      </c>
      <c r="AI353" s="0" t="n">
        <v>376</v>
      </c>
      <c r="AJ353" s="0" t="n">
        <v>32</v>
      </c>
      <c r="AK353" s="0" t="n">
        <v>271</v>
      </c>
      <c r="AL353" s="0" t="n">
        <v>1.03</v>
      </c>
    </row>
    <row r="354">
      <c r="A354" s="0" t="inlineStr">
        <is>
          <t>[길동]</t>
        </is>
      </c>
      <c r="B354" s="0" t="n">
        <v>3070</v>
      </c>
      <c r="C354" s="0" t="n">
        <v>4</v>
      </c>
      <c r="D354" s="0" t="inlineStr">
        <is>
          <t>현대</t>
        </is>
      </c>
      <c r="E354" s="0" t="inlineStr">
        <is>
          <t>1996.08.</t>
        </is>
      </c>
      <c r="F354" s="0" t="n">
        <v>264</v>
      </c>
      <c r="G354" s="0" t="n">
        <v>24.8</v>
      </c>
      <c r="H354" s="0" t="n">
        <v>82.01000000000001</v>
      </c>
      <c r="I354" s="0" t="n">
        <v>18.13</v>
      </c>
      <c r="J354" s="0" t="n">
        <v>59.94</v>
      </c>
      <c r="K354" s="0" t="n">
        <v>18</v>
      </c>
      <c r="T354" s="0" t="n">
        <v>3</v>
      </c>
      <c r="U354" s="0" t="n">
        <v>1</v>
      </c>
      <c r="V354" s="0" t="inlineStr">
        <is>
          <t>계단식</t>
        </is>
      </c>
      <c r="W354" s="0" t="inlineStr">
        <is>
          <t>82D</t>
        </is>
      </c>
      <c r="X354" s="0" t="n">
        <v>18</v>
      </c>
      <c r="Y354" s="0" t="n">
        <v>9</v>
      </c>
      <c r="Z354" s="0" t="inlineStr">
        <is>
          <t>https://new.land.naver.com/complexes/3070?tab=detail&amp;rf=Y</t>
        </is>
      </c>
      <c r="AA354" s="0" t="inlineStr">
        <is>
          <t>서울시 강동구 길동 470</t>
        </is>
      </c>
      <c r="AB354" s="0" t="inlineStr">
        <is>
          <t>서울시</t>
        </is>
      </c>
      <c r="AC354" s="0" t="inlineStr">
        <is>
          <t>강동구</t>
        </is>
      </c>
      <c r="AD354" s="0" t="inlineStr">
        <is>
          <t>길동</t>
        </is>
      </c>
      <c r="AG354" s="0" t="inlineStr">
        <is>
          <t>서울시 강동구 천호대로 1231</t>
        </is>
      </c>
      <c r="AH354" s="0" t="n">
        <v>0</v>
      </c>
      <c r="AI354" s="0" t="n">
        <v>376</v>
      </c>
      <c r="AJ354" s="0" t="n">
        <v>32</v>
      </c>
      <c r="AK354" s="0" t="n">
        <v>271</v>
      </c>
      <c r="AL354" s="0" t="n">
        <v>1.03</v>
      </c>
    </row>
    <row r="355">
      <c r="A355" s="0" t="inlineStr">
        <is>
          <t>[길동]</t>
        </is>
      </c>
      <c r="B355" s="0" t="n">
        <v>3070</v>
      </c>
      <c r="C355" s="0" t="n">
        <v>5</v>
      </c>
      <c r="D355" s="0" t="inlineStr">
        <is>
          <t>현대</t>
        </is>
      </c>
      <c r="E355" s="0" t="inlineStr">
        <is>
          <t>1996.08.</t>
        </is>
      </c>
      <c r="F355" s="0" t="n">
        <v>264</v>
      </c>
      <c r="G355" s="0" t="n">
        <v>24.82</v>
      </c>
      <c r="H355" s="0" t="n">
        <v>82.06</v>
      </c>
      <c r="I355" s="0" t="n">
        <v>18.14</v>
      </c>
      <c r="J355" s="0" t="n">
        <v>59.98</v>
      </c>
      <c r="K355" s="0" t="n">
        <v>18</v>
      </c>
      <c r="T355" s="0" t="n">
        <v>3</v>
      </c>
      <c r="U355" s="0" t="n">
        <v>1</v>
      </c>
      <c r="V355" s="0" t="inlineStr">
        <is>
          <t>계단식</t>
        </is>
      </c>
      <c r="W355" s="0" t="inlineStr">
        <is>
          <t>82E</t>
        </is>
      </c>
      <c r="X355" s="0" t="n">
        <v>18</v>
      </c>
      <c r="Y355" s="0" t="n">
        <v>9</v>
      </c>
      <c r="Z355" s="0" t="inlineStr">
        <is>
          <t>https://new.land.naver.com/complexes/3070?tab=detail&amp;rf=Y</t>
        </is>
      </c>
      <c r="AA355" s="0" t="inlineStr">
        <is>
          <t>서울시 강동구 길동 470</t>
        </is>
      </c>
      <c r="AB355" s="0" t="inlineStr">
        <is>
          <t>서울시</t>
        </is>
      </c>
      <c r="AC355" s="0" t="inlineStr">
        <is>
          <t>강동구</t>
        </is>
      </c>
      <c r="AD355" s="0" t="inlineStr">
        <is>
          <t>길동</t>
        </is>
      </c>
      <c r="AG355" s="0" t="inlineStr">
        <is>
          <t>서울시 강동구 천호대로 1231</t>
        </is>
      </c>
      <c r="AH355" s="0" t="n">
        <v>0</v>
      </c>
      <c r="AI355" s="0" t="n">
        <v>376</v>
      </c>
      <c r="AJ355" s="0" t="n">
        <v>32</v>
      </c>
      <c r="AK355" s="0" t="n">
        <v>271</v>
      </c>
      <c r="AL355" s="0" t="n">
        <v>1.03</v>
      </c>
    </row>
    <row r="356">
      <c r="A356" s="0" t="inlineStr">
        <is>
          <t>[길동]</t>
        </is>
      </c>
      <c r="B356" s="0" t="n">
        <v>3070</v>
      </c>
      <c r="C356" s="0" t="n">
        <v>6</v>
      </c>
      <c r="D356" s="0" t="inlineStr">
        <is>
          <t>현대</t>
        </is>
      </c>
      <c r="E356" s="0" t="inlineStr">
        <is>
          <t>1996.08.</t>
        </is>
      </c>
      <c r="F356" s="0" t="n">
        <v>264</v>
      </c>
      <c r="G356" s="0" t="n">
        <v>32.47</v>
      </c>
      <c r="H356" s="0" t="n">
        <v>107.37</v>
      </c>
      <c r="I356" s="0" t="n">
        <v>25.67</v>
      </c>
      <c r="J356" s="0" t="n">
        <v>84.87</v>
      </c>
      <c r="K356" s="0" t="n">
        <v>126</v>
      </c>
      <c r="T356" s="0" t="n">
        <v>3</v>
      </c>
      <c r="U356" s="0" t="n">
        <v>2</v>
      </c>
      <c r="V356" s="0" t="inlineStr">
        <is>
          <t>계단식</t>
        </is>
      </c>
      <c r="W356" s="0" t="inlineStr">
        <is>
          <t>107B</t>
        </is>
      </c>
      <c r="X356" s="0" t="n">
        <v>18</v>
      </c>
      <c r="Y356" s="0" t="n">
        <v>9</v>
      </c>
      <c r="Z356" s="0" t="inlineStr">
        <is>
          <t>https://new.land.naver.com/complexes/3070?tab=detail&amp;rf=Y</t>
        </is>
      </c>
      <c r="AA356" s="0" t="inlineStr">
        <is>
          <t>서울시 강동구 길동 470</t>
        </is>
      </c>
      <c r="AB356" s="0" t="inlineStr">
        <is>
          <t>서울시</t>
        </is>
      </c>
      <c r="AC356" s="0" t="inlineStr">
        <is>
          <t>강동구</t>
        </is>
      </c>
      <c r="AD356" s="0" t="inlineStr">
        <is>
          <t>길동</t>
        </is>
      </c>
      <c r="AG356" s="0" t="inlineStr">
        <is>
          <t>서울시 강동구 천호대로 1231</t>
        </is>
      </c>
      <c r="AH356" s="0" t="n">
        <v>0</v>
      </c>
      <c r="AI356" s="0" t="n">
        <v>376</v>
      </c>
      <c r="AJ356" s="0" t="n">
        <v>32</v>
      </c>
      <c r="AK356" s="0" t="n">
        <v>271</v>
      </c>
      <c r="AL356" s="0" t="n">
        <v>1.03</v>
      </c>
    </row>
    <row r="357">
      <c r="A357" s="0" t="inlineStr">
        <is>
          <t>[길동]</t>
        </is>
      </c>
      <c r="B357" s="0" t="n">
        <v>3070</v>
      </c>
      <c r="C357" s="0" t="n">
        <v>7</v>
      </c>
      <c r="D357" s="0" t="inlineStr">
        <is>
          <t>현대</t>
        </is>
      </c>
      <c r="E357" s="0" t="inlineStr">
        <is>
          <t>1996.08.</t>
        </is>
      </c>
      <c r="F357" s="0" t="n">
        <v>264</v>
      </c>
      <c r="G357" s="0" t="n">
        <v>32.38</v>
      </c>
      <c r="H357" s="0" t="n">
        <v>107.07</v>
      </c>
      <c r="I357" s="0" t="n">
        <v>25.6</v>
      </c>
      <c r="J357" s="0" t="n">
        <v>84.63</v>
      </c>
      <c r="K357" s="0" t="n">
        <v>20</v>
      </c>
      <c r="T357" s="0" t="n">
        <v>3</v>
      </c>
      <c r="U357" s="0" t="n">
        <v>2</v>
      </c>
      <c r="V357" s="0" t="inlineStr">
        <is>
          <t>계단식</t>
        </is>
      </c>
      <c r="W357" s="0" t="inlineStr">
        <is>
          <t>107A</t>
        </is>
      </c>
      <c r="X357" s="0" t="n">
        <v>18</v>
      </c>
      <c r="Y357" s="0" t="n">
        <v>9</v>
      </c>
      <c r="Z357" s="0" t="inlineStr">
        <is>
          <t>https://new.land.naver.com/complexes/3070?tab=detail&amp;rf=Y</t>
        </is>
      </c>
      <c r="AA357" s="0" t="inlineStr">
        <is>
          <t>서울시 강동구 길동 470</t>
        </is>
      </c>
      <c r="AB357" s="0" t="inlineStr">
        <is>
          <t>서울시</t>
        </is>
      </c>
      <c r="AC357" s="0" t="inlineStr">
        <is>
          <t>강동구</t>
        </is>
      </c>
      <c r="AD357" s="0" t="inlineStr">
        <is>
          <t>길동</t>
        </is>
      </c>
      <c r="AG357" s="0" t="inlineStr">
        <is>
          <t>서울시 강동구 천호대로 1231</t>
        </is>
      </c>
      <c r="AH357" s="0" t="n">
        <v>0</v>
      </c>
      <c r="AI357" s="0" t="n">
        <v>376</v>
      </c>
      <c r="AJ357" s="0" t="n">
        <v>32</v>
      </c>
      <c r="AK357" s="0" t="n">
        <v>271</v>
      </c>
      <c r="AL357" s="0" t="n">
        <v>1.03</v>
      </c>
    </row>
    <row r="358">
      <c r="A358" s="0" t="inlineStr">
        <is>
          <t>[길동]</t>
        </is>
      </c>
      <c r="B358" s="0" t="n">
        <v>3070</v>
      </c>
      <c r="C358" s="0" t="n">
        <v>8</v>
      </c>
      <c r="D358" s="0" t="inlineStr">
        <is>
          <t>현대</t>
        </is>
      </c>
      <c r="E358" s="0" t="inlineStr">
        <is>
          <t>1996.08.</t>
        </is>
      </c>
      <c r="F358" s="0" t="n">
        <v>264</v>
      </c>
      <c r="G358" s="0" t="n">
        <v>32.51</v>
      </c>
      <c r="H358" s="0" t="n">
        <v>107.48</v>
      </c>
      <c r="I358" s="0" t="n">
        <v>25.7</v>
      </c>
      <c r="J358" s="0" t="n">
        <v>84.95999999999999</v>
      </c>
      <c r="K358" s="0" t="n">
        <v>18</v>
      </c>
      <c r="T358" s="0" t="n">
        <v>3</v>
      </c>
      <c r="U358" s="0" t="n">
        <v>2</v>
      </c>
      <c r="V358" s="0" t="inlineStr">
        <is>
          <t>복도식</t>
        </is>
      </c>
      <c r="W358" s="0" t="n">
        <v>107</v>
      </c>
      <c r="X358" s="0" t="n">
        <v>18</v>
      </c>
      <c r="Y358" s="0" t="n">
        <v>9</v>
      </c>
      <c r="Z358" s="0" t="inlineStr">
        <is>
          <t>https://new.land.naver.com/complexes/3070?tab=detail&amp;rf=Y</t>
        </is>
      </c>
      <c r="AA358" s="0" t="inlineStr">
        <is>
          <t>서울시 강동구 길동 470</t>
        </is>
      </c>
      <c r="AB358" s="0" t="inlineStr">
        <is>
          <t>서울시</t>
        </is>
      </c>
      <c r="AC358" s="0" t="inlineStr">
        <is>
          <t>강동구</t>
        </is>
      </c>
      <c r="AD358" s="0" t="inlineStr">
        <is>
          <t>길동</t>
        </is>
      </c>
      <c r="AG358" s="0" t="inlineStr">
        <is>
          <t>서울시 강동구 천호대로 1231</t>
        </is>
      </c>
      <c r="AH358" s="0" t="n">
        <v>0</v>
      </c>
      <c r="AI358" s="0" t="n">
        <v>376</v>
      </c>
      <c r="AJ358" s="0" t="n">
        <v>32</v>
      </c>
      <c r="AK358" s="0" t="n">
        <v>271</v>
      </c>
      <c r="AL358" s="0" t="n">
        <v>1.03</v>
      </c>
    </row>
    <row r="359">
      <c r="A359" s="0" t="inlineStr">
        <is>
          <t>[길동]</t>
        </is>
      </c>
      <c r="B359" s="0" t="n">
        <v>11011</v>
      </c>
      <c r="C359" s="0" t="n">
        <v>1</v>
      </c>
      <c r="D359" s="0" t="inlineStr">
        <is>
          <t>광남캐스빌(396-1)</t>
        </is>
      </c>
      <c r="E359" s="0" t="inlineStr">
        <is>
          <t>2002.12.</t>
        </is>
      </c>
      <c r="F359" s="0" t="n">
        <v>28</v>
      </c>
      <c r="G359" s="0" t="n">
        <v>17.88</v>
      </c>
      <c r="H359" s="0" t="n">
        <v>59.12</v>
      </c>
      <c r="I359" s="0" t="n">
        <v>14.61</v>
      </c>
      <c r="J359" s="0" t="n">
        <v>48.33</v>
      </c>
      <c r="K359" s="0" t="n">
        <v>1</v>
      </c>
      <c r="T359" s="0" t="n">
        <v>2</v>
      </c>
      <c r="U359" s="0" t="n">
        <v>1</v>
      </c>
      <c r="V359" s="0" t="inlineStr">
        <is>
          <t>계단식</t>
        </is>
      </c>
      <c r="W359" s="0" t="n">
        <v>59</v>
      </c>
      <c r="X359" s="0" t="n">
        <v>7</v>
      </c>
      <c r="Y359" s="0" t="n">
        <v>7</v>
      </c>
      <c r="Z359" s="0" t="inlineStr">
        <is>
          <t>https://new.land.naver.com/complexes/11011?tab=detail&amp;rf=Y</t>
        </is>
      </c>
      <c r="AA359" s="0" t="inlineStr">
        <is>
          <t>서울시 강동구 길동 396-1</t>
        </is>
      </c>
      <c r="AB359" s="0" t="inlineStr">
        <is>
          <t>서울시</t>
        </is>
      </c>
      <c r="AC359" s="0" t="inlineStr">
        <is>
          <t>강동구</t>
        </is>
      </c>
      <c r="AD359" s="0" t="inlineStr">
        <is>
          <t>길동</t>
        </is>
      </c>
      <c r="AG359" s="0" t="inlineStr">
        <is>
          <t>서울시 강동구 천호대로187길 53-15</t>
        </is>
      </c>
      <c r="AH359" s="0" t="n">
        <v>0</v>
      </c>
      <c r="AI359" s="0" t="n">
        <v>247</v>
      </c>
      <c r="AJ359" s="0" t="n">
        <v>38</v>
      </c>
      <c r="AK359" s="0" t="n">
        <v>30</v>
      </c>
      <c r="AL359" s="0" t="n">
        <v>1.07</v>
      </c>
    </row>
    <row r="360">
      <c r="A360" s="0" t="inlineStr">
        <is>
          <t>[길동]</t>
        </is>
      </c>
      <c r="B360" s="0" t="n">
        <v>11011</v>
      </c>
      <c r="C360" s="0" t="n">
        <v>2</v>
      </c>
      <c r="D360" s="0" t="inlineStr">
        <is>
          <t>광남캐스빌(396-1)</t>
        </is>
      </c>
      <c r="E360" s="0" t="inlineStr">
        <is>
          <t>2002.12.</t>
        </is>
      </c>
      <c r="F360" s="0" t="n">
        <v>28</v>
      </c>
      <c r="G360" s="0" t="n">
        <v>24.72</v>
      </c>
      <c r="H360" s="0" t="n">
        <v>81.72</v>
      </c>
      <c r="I360" s="0" t="n">
        <v>20.29</v>
      </c>
      <c r="J360" s="0" t="n">
        <v>67.09</v>
      </c>
      <c r="K360" s="0" t="n">
        <v>1</v>
      </c>
      <c r="T360" s="0" t="n">
        <v>3</v>
      </c>
      <c r="U360" s="0" t="n">
        <v>2</v>
      </c>
      <c r="V360" s="0" t="inlineStr">
        <is>
          <t>계단식</t>
        </is>
      </c>
      <c r="W360" s="0" t="n">
        <v>81</v>
      </c>
      <c r="X360" s="0" t="n">
        <v>7</v>
      </c>
      <c r="Y360" s="0" t="n">
        <v>7</v>
      </c>
      <c r="Z360" s="0" t="inlineStr">
        <is>
          <t>https://new.land.naver.com/complexes/11011?tab=detail&amp;rf=Y</t>
        </is>
      </c>
      <c r="AA360" s="0" t="inlineStr">
        <is>
          <t>서울시 강동구 길동 396-1</t>
        </is>
      </c>
      <c r="AB360" s="0" t="inlineStr">
        <is>
          <t>서울시</t>
        </is>
      </c>
      <c r="AC360" s="0" t="inlineStr">
        <is>
          <t>강동구</t>
        </is>
      </c>
      <c r="AD360" s="0" t="inlineStr">
        <is>
          <t>길동</t>
        </is>
      </c>
      <c r="AG360" s="0" t="inlineStr">
        <is>
          <t>서울시 강동구 천호대로187길 53-15</t>
        </is>
      </c>
      <c r="AH360" s="0" t="n">
        <v>0</v>
      </c>
      <c r="AI360" s="0" t="n">
        <v>247</v>
      </c>
      <c r="AJ360" s="0" t="n">
        <v>38</v>
      </c>
      <c r="AK360" s="0" t="n">
        <v>30</v>
      </c>
      <c r="AL360" s="0" t="n">
        <v>1.07</v>
      </c>
    </row>
    <row r="361">
      <c r="A361" s="0" t="inlineStr">
        <is>
          <t>[길동]</t>
        </is>
      </c>
      <c r="B361" s="0" t="n">
        <v>11011</v>
      </c>
      <c r="C361" s="0" t="n">
        <v>3</v>
      </c>
      <c r="D361" s="0" t="inlineStr">
        <is>
          <t>광남캐스빌(396-1)</t>
        </is>
      </c>
      <c r="E361" s="0" t="inlineStr">
        <is>
          <t>2002.12.</t>
        </is>
      </c>
      <c r="F361" s="0" t="n">
        <v>28</v>
      </c>
      <c r="G361" s="0" t="n">
        <v>27.59</v>
      </c>
      <c r="H361" s="0" t="n">
        <v>91.20999999999999</v>
      </c>
      <c r="I361" s="0" t="n">
        <v>22.82</v>
      </c>
      <c r="J361" s="0" t="n">
        <v>75.45999999999999</v>
      </c>
      <c r="K361" s="0" t="n">
        <v>3</v>
      </c>
      <c r="T361" s="0" t="n">
        <v>3</v>
      </c>
      <c r="U361" s="0" t="n">
        <v>2</v>
      </c>
      <c r="V361" s="0" t="inlineStr">
        <is>
          <t>계단식</t>
        </is>
      </c>
      <c r="W361" s="0" t="n">
        <v>91</v>
      </c>
      <c r="X361" s="0" t="n">
        <v>7</v>
      </c>
      <c r="Y361" s="0" t="n">
        <v>7</v>
      </c>
      <c r="Z361" s="0" t="inlineStr">
        <is>
          <t>https://new.land.naver.com/complexes/11011?tab=detail&amp;rf=Y</t>
        </is>
      </c>
      <c r="AA361" s="0" t="inlineStr">
        <is>
          <t>서울시 강동구 길동 396-1</t>
        </is>
      </c>
      <c r="AB361" s="0" t="inlineStr">
        <is>
          <t>서울시</t>
        </is>
      </c>
      <c r="AC361" s="0" t="inlineStr">
        <is>
          <t>강동구</t>
        </is>
      </c>
      <c r="AD361" s="0" t="inlineStr">
        <is>
          <t>길동</t>
        </is>
      </c>
      <c r="AG361" s="0" t="inlineStr">
        <is>
          <t>서울시 강동구 천호대로187길 53-15</t>
        </is>
      </c>
      <c r="AH361" s="0" t="n">
        <v>0</v>
      </c>
      <c r="AI361" s="0" t="n">
        <v>247</v>
      </c>
      <c r="AJ361" s="0" t="n">
        <v>38</v>
      </c>
      <c r="AK361" s="0" t="n">
        <v>30</v>
      </c>
      <c r="AL361" s="0" t="n">
        <v>1.07</v>
      </c>
    </row>
    <row r="362">
      <c r="A362" s="0" t="inlineStr">
        <is>
          <t>[길동]</t>
        </is>
      </c>
      <c r="B362" s="0" t="n">
        <v>11011</v>
      </c>
      <c r="C362" s="0" t="n">
        <v>4</v>
      </c>
      <c r="D362" s="0" t="inlineStr">
        <is>
          <t>광남캐스빌(396-1)</t>
        </is>
      </c>
      <c r="E362" s="0" t="inlineStr">
        <is>
          <t>2002.12.</t>
        </is>
      </c>
      <c r="F362" s="0" t="n">
        <v>28</v>
      </c>
      <c r="G362" s="0" t="n">
        <v>30</v>
      </c>
      <c r="H362" s="0" t="n">
        <v>99.19</v>
      </c>
      <c r="I362" s="0" t="n">
        <v>24.72</v>
      </c>
      <c r="J362" s="0" t="n">
        <v>81.72</v>
      </c>
      <c r="K362" s="0" t="n">
        <v>23</v>
      </c>
      <c r="T362" s="0" t="n">
        <v>3</v>
      </c>
      <c r="U362" s="0" t="n">
        <v>2</v>
      </c>
      <c r="V362" s="0" t="inlineStr">
        <is>
          <t>계단식</t>
        </is>
      </c>
      <c r="W362" s="0" t="n">
        <v>99</v>
      </c>
      <c r="X362" s="0" t="n">
        <v>7</v>
      </c>
      <c r="Y362" s="0" t="n">
        <v>7</v>
      </c>
      <c r="Z362" s="0" t="inlineStr">
        <is>
          <t>https://new.land.naver.com/complexes/11011?tab=detail&amp;rf=Y</t>
        </is>
      </c>
      <c r="AA362" s="0" t="inlineStr">
        <is>
          <t>서울시 강동구 길동 396-1</t>
        </is>
      </c>
      <c r="AB362" s="0" t="inlineStr">
        <is>
          <t>서울시</t>
        </is>
      </c>
      <c r="AC362" s="0" t="inlineStr">
        <is>
          <t>강동구</t>
        </is>
      </c>
      <c r="AD362" s="0" t="inlineStr">
        <is>
          <t>길동</t>
        </is>
      </c>
      <c r="AG362" s="0" t="inlineStr">
        <is>
          <t>서울시 강동구 천호대로187길 53-15</t>
        </is>
      </c>
      <c r="AH362" s="0" t="n">
        <v>0</v>
      </c>
      <c r="AI362" s="0" t="n">
        <v>247</v>
      </c>
      <c r="AJ362" s="0" t="n">
        <v>38</v>
      </c>
      <c r="AK362" s="0" t="n">
        <v>30</v>
      </c>
      <c r="AL362" s="0" t="n">
        <v>1.07</v>
      </c>
    </row>
    <row r="363">
      <c r="A363" s="0" t="inlineStr">
        <is>
          <t>[길동]</t>
        </is>
      </c>
      <c r="B363" s="0" t="n">
        <v>24173</v>
      </c>
      <c r="C363" s="0" t="n">
        <v>1</v>
      </c>
      <c r="D363" s="0" t="inlineStr">
        <is>
          <t>길동이룸3차</t>
        </is>
      </c>
      <c r="E363" s="0" t="inlineStr">
        <is>
          <t>2005.06.</t>
        </is>
      </c>
      <c r="F363" s="0" t="n">
        <v>38</v>
      </c>
      <c r="G363" s="0" t="n">
        <v>18.24</v>
      </c>
      <c r="H363" s="0" t="n">
        <v>60.33</v>
      </c>
      <c r="I363" s="0" t="n">
        <v>13.15</v>
      </c>
      <c r="J363" s="0" t="n">
        <v>43.49</v>
      </c>
      <c r="K363" s="0" t="n">
        <v>4</v>
      </c>
      <c r="T363" s="0" t="n">
        <v>2</v>
      </c>
      <c r="U363" s="0" t="n">
        <v>1</v>
      </c>
      <c r="V363" s="0" t="inlineStr">
        <is>
          <t>계단식</t>
        </is>
      </c>
      <c r="W363" s="0" t="inlineStr">
        <is>
          <t>60A</t>
        </is>
      </c>
      <c r="X363" s="0" t="n">
        <v>8</v>
      </c>
      <c r="Y363" s="0" t="n">
        <v>6</v>
      </c>
      <c r="Z363" s="0" t="inlineStr">
        <is>
          <t>https://new.land.naver.com/complexes/24173?tab=detail&amp;rf=Y</t>
        </is>
      </c>
      <c r="AA363" s="0" t="inlineStr">
        <is>
          <t>서울시 강동구 길동 146-1</t>
        </is>
      </c>
      <c r="AB363" s="0" t="inlineStr">
        <is>
          <t>서울시</t>
        </is>
      </c>
      <c r="AC363" s="0" t="inlineStr">
        <is>
          <t>강동구</t>
        </is>
      </c>
      <c r="AD363" s="0" t="inlineStr">
        <is>
          <t>길동</t>
        </is>
      </c>
      <c r="AG363" s="0" t="inlineStr">
        <is>
          <t>서울시 강동구 천호대로193길 26</t>
        </is>
      </c>
      <c r="AH363" s="0" t="n">
        <v>0</v>
      </c>
      <c r="AI363" s="0" t="n">
        <v>246</v>
      </c>
      <c r="AJ363" s="0" t="n">
        <v>44</v>
      </c>
      <c r="AK363" s="0" t="n">
        <v>39</v>
      </c>
      <c r="AL363" s="0" t="n">
        <v>1.03</v>
      </c>
    </row>
    <row r="364">
      <c r="A364" s="0" t="inlineStr">
        <is>
          <t>[길동]</t>
        </is>
      </c>
      <c r="B364" s="0" t="n">
        <v>24173</v>
      </c>
      <c r="C364" s="0" t="n">
        <v>2</v>
      </c>
      <c r="D364" s="0" t="inlineStr">
        <is>
          <t>길동이룸3차</t>
        </is>
      </c>
      <c r="E364" s="0" t="inlineStr">
        <is>
          <t>2005.06.</t>
        </is>
      </c>
      <c r="F364" s="0" t="n">
        <v>38</v>
      </c>
      <c r="G364" s="0" t="n">
        <v>18.22</v>
      </c>
      <c r="H364" s="0" t="n">
        <v>60.26</v>
      </c>
      <c r="I364" s="0" t="n">
        <v>14.09</v>
      </c>
      <c r="J364" s="0" t="n">
        <v>46.61</v>
      </c>
      <c r="K364" s="0" t="n">
        <v>1</v>
      </c>
      <c r="T364" s="0" t="n">
        <v>3</v>
      </c>
      <c r="U364" s="0" t="n">
        <v>1</v>
      </c>
      <c r="V364" s="0" t="inlineStr">
        <is>
          <t>계단식</t>
        </is>
      </c>
      <c r="W364" s="0" t="inlineStr">
        <is>
          <t>60B</t>
        </is>
      </c>
      <c r="X364" s="0" t="n">
        <v>8</v>
      </c>
      <c r="Y364" s="0" t="n">
        <v>6</v>
      </c>
      <c r="Z364" s="0" t="inlineStr">
        <is>
          <t>https://new.land.naver.com/complexes/24173?tab=detail&amp;rf=Y</t>
        </is>
      </c>
      <c r="AA364" s="0" t="inlineStr">
        <is>
          <t>서울시 강동구 길동 146-1</t>
        </is>
      </c>
      <c r="AB364" s="0" t="inlineStr">
        <is>
          <t>서울시</t>
        </is>
      </c>
      <c r="AC364" s="0" t="inlineStr">
        <is>
          <t>강동구</t>
        </is>
      </c>
      <c r="AD364" s="0" t="inlineStr">
        <is>
          <t>길동</t>
        </is>
      </c>
      <c r="AG364" s="0" t="inlineStr">
        <is>
          <t>서울시 강동구 천호대로193길 26</t>
        </is>
      </c>
      <c r="AH364" s="0" t="n">
        <v>0</v>
      </c>
      <c r="AI364" s="0" t="n">
        <v>246</v>
      </c>
      <c r="AJ364" s="0" t="n">
        <v>44</v>
      </c>
      <c r="AK364" s="0" t="n">
        <v>39</v>
      </c>
      <c r="AL364" s="0" t="n">
        <v>1.03</v>
      </c>
    </row>
    <row r="365">
      <c r="A365" s="0" t="inlineStr">
        <is>
          <t>[길동]</t>
        </is>
      </c>
      <c r="B365" s="0" t="n">
        <v>24173</v>
      </c>
      <c r="C365" s="0" t="n">
        <v>3</v>
      </c>
      <c r="D365" s="0" t="inlineStr">
        <is>
          <t>길동이룸3차</t>
        </is>
      </c>
      <c r="E365" s="0" t="inlineStr">
        <is>
          <t>2005.06.</t>
        </is>
      </c>
      <c r="F365" s="0" t="n">
        <v>38</v>
      </c>
      <c r="G365" s="0" t="n">
        <v>23.66</v>
      </c>
      <c r="H365" s="0" t="n">
        <v>78.23999999999999</v>
      </c>
      <c r="I365" s="0" t="n">
        <v>18.3</v>
      </c>
      <c r="J365" s="0" t="n">
        <v>60.52</v>
      </c>
      <c r="K365" s="0" t="n">
        <v>4</v>
      </c>
      <c r="T365" s="0" t="n">
        <v>3</v>
      </c>
      <c r="U365" s="0" t="n">
        <v>2</v>
      </c>
      <c r="V365" s="0" t="inlineStr">
        <is>
          <t>계단식</t>
        </is>
      </c>
      <c r="W365" s="0" t="n">
        <v>78</v>
      </c>
      <c r="X365" s="0" t="n">
        <v>8</v>
      </c>
      <c r="Y365" s="0" t="n">
        <v>6</v>
      </c>
      <c r="Z365" s="0" t="inlineStr">
        <is>
          <t>https://new.land.naver.com/complexes/24173?tab=detail&amp;rf=Y</t>
        </is>
      </c>
      <c r="AA365" s="0" t="inlineStr">
        <is>
          <t>서울시 강동구 길동 146-1</t>
        </is>
      </c>
      <c r="AB365" s="0" t="inlineStr">
        <is>
          <t>서울시</t>
        </is>
      </c>
      <c r="AC365" s="0" t="inlineStr">
        <is>
          <t>강동구</t>
        </is>
      </c>
      <c r="AD365" s="0" t="inlineStr">
        <is>
          <t>길동</t>
        </is>
      </c>
      <c r="AG365" s="0" t="inlineStr">
        <is>
          <t>서울시 강동구 천호대로193길 26</t>
        </is>
      </c>
      <c r="AH365" s="0" t="n">
        <v>0</v>
      </c>
      <c r="AI365" s="0" t="n">
        <v>246</v>
      </c>
      <c r="AJ365" s="0" t="n">
        <v>44</v>
      </c>
      <c r="AK365" s="0" t="n">
        <v>39</v>
      </c>
      <c r="AL365" s="0" t="n">
        <v>1.03</v>
      </c>
    </row>
    <row r="366">
      <c r="A366" s="0" t="inlineStr">
        <is>
          <t>[길동]</t>
        </is>
      </c>
      <c r="B366" s="0" t="n">
        <v>24173</v>
      </c>
      <c r="C366" s="0" t="n">
        <v>4</v>
      </c>
      <c r="D366" s="0" t="inlineStr">
        <is>
          <t>길동이룸3차</t>
        </is>
      </c>
      <c r="E366" s="0" t="inlineStr">
        <is>
          <t>2005.06.</t>
        </is>
      </c>
      <c r="F366" s="0" t="n">
        <v>38</v>
      </c>
      <c r="G366" s="0" t="n">
        <v>27.42</v>
      </c>
      <c r="H366" s="0" t="n">
        <v>90.65000000000001</v>
      </c>
      <c r="I366" s="0" t="n">
        <v>21.19</v>
      </c>
      <c r="J366" s="0" t="n">
        <v>70.05</v>
      </c>
      <c r="K366" s="0" t="n">
        <v>1</v>
      </c>
      <c r="T366" s="0" t="n">
        <v>3</v>
      </c>
      <c r="U366" s="0" t="n">
        <v>2</v>
      </c>
      <c r="V366" s="0" t="inlineStr">
        <is>
          <t>복도식</t>
        </is>
      </c>
      <c r="W366" s="0" t="n">
        <v>90</v>
      </c>
      <c r="X366" s="0" t="n">
        <v>8</v>
      </c>
      <c r="Y366" s="0" t="n">
        <v>6</v>
      </c>
      <c r="Z366" s="0" t="inlineStr">
        <is>
          <t>https://new.land.naver.com/complexes/24173?tab=detail&amp;rf=Y</t>
        </is>
      </c>
      <c r="AA366" s="0" t="inlineStr">
        <is>
          <t>서울시 강동구 길동 146-1</t>
        </is>
      </c>
      <c r="AB366" s="0" t="inlineStr">
        <is>
          <t>서울시</t>
        </is>
      </c>
      <c r="AC366" s="0" t="inlineStr">
        <is>
          <t>강동구</t>
        </is>
      </c>
      <c r="AD366" s="0" t="inlineStr">
        <is>
          <t>길동</t>
        </is>
      </c>
      <c r="AG366" s="0" t="inlineStr">
        <is>
          <t>서울시 강동구 천호대로193길 26</t>
        </is>
      </c>
      <c r="AH366" s="0" t="n">
        <v>0</v>
      </c>
      <c r="AI366" s="0" t="n">
        <v>246</v>
      </c>
      <c r="AJ366" s="0" t="n">
        <v>44</v>
      </c>
      <c r="AK366" s="0" t="n">
        <v>39</v>
      </c>
      <c r="AL366" s="0" t="n">
        <v>1.03</v>
      </c>
    </row>
    <row r="367">
      <c r="A367" s="0" t="inlineStr">
        <is>
          <t>[길동]</t>
        </is>
      </c>
      <c r="B367" s="0" t="n">
        <v>24173</v>
      </c>
      <c r="C367" s="0" t="n">
        <v>5</v>
      </c>
      <c r="D367" s="0" t="inlineStr">
        <is>
          <t>길동이룸3차</t>
        </is>
      </c>
      <c r="E367" s="0" t="inlineStr">
        <is>
          <t>2005.06.</t>
        </is>
      </c>
      <c r="F367" s="0" t="n">
        <v>38</v>
      </c>
      <c r="G367" s="0" t="n">
        <v>28.39</v>
      </c>
      <c r="H367" s="0" t="n">
        <v>93.88</v>
      </c>
      <c r="I367" s="0" t="n">
        <v>22.16</v>
      </c>
      <c r="J367" s="0" t="n">
        <v>73.28</v>
      </c>
      <c r="K367" s="0" t="n">
        <v>4</v>
      </c>
      <c r="T367" s="0" t="n">
        <v>3</v>
      </c>
      <c r="U367" s="0" t="n">
        <v>2</v>
      </c>
      <c r="V367" s="0" t="inlineStr">
        <is>
          <t>복도식</t>
        </is>
      </c>
      <c r="W367" s="0" t="n">
        <v>93</v>
      </c>
      <c r="X367" s="0" t="n">
        <v>8</v>
      </c>
      <c r="Y367" s="0" t="n">
        <v>6</v>
      </c>
      <c r="Z367" s="0" t="inlineStr">
        <is>
          <t>https://new.land.naver.com/complexes/24173?tab=detail&amp;rf=Y</t>
        </is>
      </c>
      <c r="AA367" s="0" t="inlineStr">
        <is>
          <t>서울시 강동구 길동 146-1</t>
        </is>
      </c>
      <c r="AB367" s="0" t="inlineStr">
        <is>
          <t>서울시</t>
        </is>
      </c>
      <c r="AC367" s="0" t="inlineStr">
        <is>
          <t>강동구</t>
        </is>
      </c>
      <c r="AD367" s="0" t="inlineStr">
        <is>
          <t>길동</t>
        </is>
      </c>
      <c r="AG367" s="0" t="inlineStr">
        <is>
          <t>서울시 강동구 천호대로193길 26</t>
        </is>
      </c>
      <c r="AH367" s="0" t="n">
        <v>0</v>
      </c>
      <c r="AI367" s="0" t="n">
        <v>246</v>
      </c>
      <c r="AJ367" s="0" t="n">
        <v>44</v>
      </c>
      <c r="AK367" s="0" t="n">
        <v>39</v>
      </c>
      <c r="AL367" s="0" t="n">
        <v>1.03</v>
      </c>
    </row>
    <row r="368">
      <c r="A368" s="0" t="inlineStr">
        <is>
          <t>[길동]</t>
        </is>
      </c>
      <c r="B368" s="0" t="n">
        <v>24173</v>
      </c>
      <c r="C368" s="0" t="n">
        <v>6</v>
      </c>
      <c r="D368" s="0" t="inlineStr">
        <is>
          <t>길동이룸3차</t>
        </is>
      </c>
      <c r="E368" s="0" t="inlineStr">
        <is>
          <t>2005.06.</t>
        </is>
      </c>
      <c r="F368" s="0" t="n">
        <v>38</v>
      </c>
      <c r="G368" s="0" t="n">
        <v>32.44</v>
      </c>
      <c r="H368" s="0" t="n">
        <v>107.27</v>
      </c>
      <c r="I368" s="0" t="n">
        <v>25.05</v>
      </c>
      <c r="J368" s="0" t="n">
        <v>82.81</v>
      </c>
      <c r="K368" s="0" t="n">
        <v>20</v>
      </c>
      <c r="T368" s="0" t="n">
        <v>3</v>
      </c>
      <c r="U368" s="0" t="n">
        <v>2</v>
      </c>
      <c r="V368" s="0" t="inlineStr">
        <is>
          <t>계단식</t>
        </is>
      </c>
      <c r="W368" s="0" t="n">
        <v>107</v>
      </c>
      <c r="X368" s="0" t="n">
        <v>8</v>
      </c>
      <c r="Y368" s="0" t="n">
        <v>6</v>
      </c>
      <c r="Z368" s="0" t="inlineStr">
        <is>
          <t>https://new.land.naver.com/complexes/24173?tab=detail&amp;rf=Y</t>
        </is>
      </c>
      <c r="AA368" s="0" t="inlineStr">
        <is>
          <t>서울시 강동구 길동 146-1</t>
        </is>
      </c>
      <c r="AB368" s="0" t="inlineStr">
        <is>
          <t>서울시</t>
        </is>
      </c>
      <c r="AC368" s="0" t="inlineStr">
        <is>
          <t>강동구</t>
        </is>
      </c>
      <c r="AD368" s="0" t="inlineStr">
        <is>
          <t>길동</t>
        </is>
      </c>
      <c r="AG368" s="0" t="inlineStr">
        <is>
          <t>서울시 강동구 천호대로193길 26</t>
        </is>
      </c>
      <c r="AH368" s="0" t="n">
        <v>0</v>
      </c>
      <c r="AI368" s="0" t="n">
        <v>246</v>
      </c>
      <c r="AJ368" s="0" t="n">
        <v>44</v>
      </c>
      <c r="AK368" s="0" t="n">
        <v>39</v>
      </c>
      <c r="AL368" s="0" t="n">
        <v>1.03</v>
      </c>
    </row>
    <row r="369">
      <c r="A369" s="0" t="inlineStr">
        <is>
          <t>[길동]</t>
        </is>
      </c>
      <c r="B369" s="0" t="n">
        <v>24173</v>
      </c>
      <c r="C369" s="0" t="n">
        <v>7</v>
      </c>
      <c r="D369" s="0" t="inlineStr">
        <is>
          <t>길동이룸3차</t>
        </is>
      </c>
      <c r="E369" s="0" t="inlineStr">
        <is>
          <t>2005.06.</t>
        </is>
      </c>
      <c r="F369" s="0" t="n">
        <v>38</v>
      </c>
      <c r="G369" s="0" t="n">
        <v>32.5</v>
      </c>
      <c r="H369" s="0" t="n">
        <v>107.46</v>
      </c>
      <c r="I369" s="0" t="n">
        <v>25.26</v>
      </c>
      <c r="J369" s="0" t="n">
        <v>83.51000000000001</v>
      </c>
      <c r="K369" s="0" t="n">
        <v>4</v>
      </c>
      <c r="T369" s="0" t="n">
        <v>3</v>
      </c>
      <c r="U369" s="0" t="n">
        <v>2</v>
      </c>
      <c r="V369" s="0" t="inlineStr">
        <is>
          <t>계단식</t>
        </is>
      </c>
      <c r="W369" s="0" t="n">
        <v>107</v>
      </c>
      <c r="X369" s="0" t="n">
        <v>8</v>
      </c>
      <c r="Y369" s="0" t="n">
        <v>6</v>
      </c>
      <c r="Z369" s="0" t="inlineStr">
        <is>
          <t>https://new.land.naver.com/complexes/24173?tab=detail&amp;rf=Y</t>
        </is>
      </c>
      <c r="AA369" s="0" t="inlineStr">
        <is>
          <t>서울시 강동구 길동 146-1</t>
        </is>
      </c>
      <c r="AB369" s="0" t="inlineStr">
        <is>
          <t>서울시</t>
        </is>
      </c>
      <c r="AC369" s="0" t="inlineStr">
        <is>
          <t>강동구</t>
        </is>
      </c>
      <c r="AD369" s="0" t="inlineStr">
        <is>
          <t>길동</t>
        </is>
      </c>
      <c r="AG369" s="0" t="inlineStr">
        <is>
          <t>서울시 강동구 천호대로193길 26</t>
        </is>
      </c>
      <c r="AH369" s="0" t="n">
        <v>0</v>
      </c>
      <c r="AI369" s="0" t="n">
        <v>246</v>
      </c>
      <c r="AJ369" s="0" t="n">
        <v>44</v>
      </c>
      <c r="AK369" s="0" t="n">
        <v>39</v>
      </c>
      <c r="AL369" s="0" t="n">
        <v>1.03</v>
      </c>
    </row>
    <row r="370">
      <c r="A370" s="0" t="inlineStr">
        <is>
          <t>[길동]</t>
        </is>
      </c>
      <c r="B370" s="0" t="n">
        <v>14412</v>
      </c>
      <c r="C370" s="0" t="n">
        <v>1</v>
      </c>
      <c r="D370" s="0" t="inlineStr">
        <is>
          <t>이스트드림힐</t>
        </is>
      </c>
      <c r="E370" s="0" t="inlineStr">
        <is>
          <t>2003.11.</t>
        </is>
      </c>
      <c r="F370" s="0" t="n">
        <v>28</v>
      </c>
      <c r="G370" s="0" t="n">
        <v>20.83</v>
      </c>
      <c r="H370" s="0" t="n">
        <v>68.86</v>
      </c>
      <c r="I370" s="0" t="n">
        <v>17.6</v>
      </c>
      <c r="J370" s="0" t="n">
        <v>58.21</v>
      </c>
      <c r="K370" s="0" t="n">
        <v>1</v>
      </c>
      <c r="T370" s="0" t="n">
        <v>3</v>
      </c>
      <c r="U370" s="0" t="n">
        <v>1</v>
      </c>
      <c r="V370" s="0" t="inlineStr">
        <is>
          <t>계단식</t>
        </is>
      </c>
      <c r="W370" s="0" t="n">
        <v>68</v>
      </c>
      <c r="X370" s="0" t="n">
        <v>12</v>
      </c>
      <c r="Y370" s="0" t="n">
        <v>11</v>
      </c>
      <c r="Z370" s="0" t="inlineStr">
        <is>
          <t>https://new.land.naver.com/complexes/14412?tab=detail&amp;rf=Y</t>
        </is>
      </c>
      <c r="AA370" s="0" t="inlineStr">
        <is>
          <t>서울시 강동구 길동 385-4</t>
        </is>
      </c>
      <c r="AB370" s="0" t="inlineStr">
        <is>
          <t>서울시</t>
        </is>
      </c>
      <c r="AC370" s="0" t="inlineStr">
        <is>
          <t>강동구</t>
        </is>
      </c>
      <c r="AD370" s="0" t="inlineStr">
        <is>
          <t>길동</t>
        </is>
      </c>
      <c r="AG370" s="0" t="inlineStr">
        <is>
          <t>서울시 강동구 양재대로111길 54</t>
        </is>
      </c>
      <c r="AH370" s="0" t="n">
        <v>0</v>
      </c>
      <c r="AI370" s="0" t="n">
        <v>444</v>
      </c>
      <c r="AJ370" s="0" t="n">
        <v>58</v>
      </c>
      <c r="AK370" s="0" t="n">
        <v>30</v>
      </c>
      <c r="AL370" s="0" t="n">
        <v>1.07</v>
      </c>
    </row>
    <row r="371">
      <c r="A371" s="0" t="inlineStr">
        <is>
          <t>[길동]</t>
        </is>
      </c>
      <c r="B371" s="0" t="n">
        <v>14412</v>
      </c>
      <c r="C371" s="0" t="n">
        <v>2</v>
      </c>
      <c r="D371" s="0" t="inlineStr">
        <is>
          <t>이스트드림힐</t>
        </is>
      </c>
      <c r="E371" s="0" t="inlineStr">
        <is>
          <t>2003.11.</t>
        </is>
      </c>
      <c r="F371" s="0" t="n">
        <v>28</v>
      </c>
      <c r="G371" s="0" t="n">
        <v>25.57</v>
      </c>
      <c r="H371" s="0" t="n">
        <v>84.56</v>
      </c>
      <c r="I371" s="0" t="n">
        <v>21.62</v>
      </c>
      <c r="J371" s="0" t="n">
        <v>71.48999999999999</v>
      </c>
      <c r="K371" s="0" t="n">
        <v>1</v>
      </c>
      <c r="T371" s="0" t="n">
        <v>3</v>
      </c>
      <c r="U371" s="0" t="n">
        <v>2</v>
      </c>
      <c r="V371" s="0" t="inlineStr">
        <is>
          <t>계단식</t>
        </is>
      </c>
      <c r="W371" s="0" t="n">
        <v>84</v>
      </c>
      <c r="X371" s="0" t="n">
        <v>12</v>
      </c>
      <c r="Y371" s="0" t="n">
        <v>11</v>
      </c>
      <c r="Z371" s="0" t="inlineStr">
        <is>
          <t>https://new.land.naver.com/complexes/14412?tab=detail&amp;rf=Y</t>
        </is>
      </c>
      <c r="AA371" s="0" t="inlineStr">
        <is>
          <t>서울시 강동구 길동 385-4</t>
        </is>
      </c>
      <c r="AB371" s="0" t="inlineStr">
        <is>
          <t>서울시</t>
        </is>
      </c>
      <c r="AC371" s="0" t="inlineStr">
        <is>
          <t>강동구</t>
        </is>
      </c>
      <c r="AD371" s="0" t="inlineStr">
        <is>
          <t>길동</t>
        </is>
      </c>
      <c r="AG371" s="0" t="inlineStr">
        <is>
          <t>서울시 강동구 양재대로111길 54</t>
        </is>
      </c>
      <c r="AH371" s="0" t="n">
        <v>0</v>
      </c>
      <c r="AI371" s="0" t="n">
        <v>444</v>
      </c>
      <c r="AJ371" s="0" t="n">
        <v>58</v>
      </c>
      <c r="AK371" s="0" t="n">
        <v>30</v>
      </c>
      <c r="AL371" s="0" t="n">
        <v>1.07</v>
      </c>
    </row>
    <row r="372">
      <c r="A372" s="0" t="inlineStr">
        <is>
          <t>[길동]</t>
        </is>
      </c>
      <c r="B372" s="0" t="n">
        <v>14412</v>
      </c>
      <c r="C372" s="0" t="n">
        <v>3</v>
      </c>
      <c r="D372" s="0" t="inlineStr">
        <is>
          <t>이스트드림힐</t>
        </is>
      </c>
      <c r="E372" s="0" t="inlineStr">
        <is>
          <t>2003.11.</t>
        </is>
      </c>
      <c r="F372" s="0" t="n">
        <v>28</v>
      </c>
      <c r="G372" s="0" t="n">
        <v>26.57</v>
      </c>
      <c r="H372" s="0" t="n">
        <v>87.86</v>
      </c>
      <c r="I372" s="0" t="n">
        <v>22.46</v>
      </c>
      <c r="J372" s="0" t="n">
        <v>74.28</v>
      </c>
      <c r="K372" s="0" t="n">
        <v>1</v>
      </c>
      <c r="T372" s="0" t="n">
        <v>3</v>
      </c>
      <c r="U372" s="0" t="n">
        <v>2</v>
      </c>
      <c r="V372" s="0" t="inlineStr">
        <is>
          <t>계단식</t>
        </is>
      </c>
      <c r="W372" s="0" t="n">
        <v>87</v>
      </c>
      <c r="X372" s="0" t="n">
        <v>12</v>
      </c>
      <c r="Y372" s="0" t="n">
        <v>11</v>
      </c>
      <c r="Z372" s="0" t="inlineStr">
        <is>
          <t>https://new.land.naver.com/complexes/14412?tab=detail&amp;rf=Y</t>
        </is>
      </c>
      <c r="AA372" s="0" t="inlineStr">
        <is>
          <t>서울시 강동구 길동 385-4</t>
        </is>
      </c>
      <c r="AB372" s="0" t="inlineStr">
        <is>
          <t>서울시</t>
        </is>
      </c>
      <c r="AC372" s="0" t="inlineStr">
        <is>
          <t>강동구</t>
        </is>
      </c>
      <c r="AD372" s="0" t="inlineStr">
        <is>
          <t>길동</t>
        </is>
      </c>
      <c r="AG372" s="0" t="inlineStr">
        <is>
          <t>서울시 강동구 양재대로111길 54</t>
        </is>
      </c>
      <c r="AH372" s="0" t="n">
        <v>0</v>
      </c>
      <c r="AI372" s="0" t="n">
        <v>444</v>
      </c>
      <c r="AJ372" s="0" t="n">
        <v>58</v>
      </c>
      <c r="AK372" s="0" t="n">
        <v>30</v>
      </c>
      <c r="AL372" s="0" t="n">
        <v>1.07</v>
      </c>
    </row>
    <row r="373">
      <c r="A373" s="0" t="inlineStr">
        <is>
          <t>[길동]</t>
        </is>
      </c>
      <c r="B373" s="0" t="n">
        <v>14412</v>
      </c>
      <c r="C373" s="0" t="n">
        <v>4</v>
      </c>
      <c r="D373" s="0" t="inlineStr">
        <is>
          <t>이스트드림힐</t>
        </is>
      </c>
      <c r="E373" s="0" t="inlineStr">
        <is>
          <t>2003.11.</t>
        </is>
      </c>
      <c r="F373" s="0" t="n">
        <v>28</v>
      </c>
      <c r="G373" s="0" t="n">
        <v>28.68</v>
      </c>
      <c r="H373" s="0" t="n">
        <v>94.83</v>
      </c>
      <c r="I373" s="0" t="n">
        <v>24.25</v>
      </c>
      <c r="J373" s="0" t="n">
        <v>80.17</v>
      </c>
      <c r="K373" s="0" t="n">
        <v>1</v>
      </c>
      <c r="T373" s="0" t="n">
        <v>3</v>
      </c>
      <c r="U373" s="0" t="n">
        <v>2</v>
      </c>
      <c r="V373" s="0" t="inlineStr">
        <is>
          <t>계단식</t>
        </is>
      </c>
      <c r="W373" s="0" t="inlineStr">
        <is>
          <t>94A</t>
        </is>
      </c>
      <c r="X373" s="0" t="n">
        <v>12</v>
      </c>
      <c r="Y373" s="0" t="n">
        <v>11</v>
      </c>
      <c r="Z373" s="0" t="inlineStr">
        <is>
          <t>https://new.land.naver.com/complexes/14412?tab=detail&amp;rf=Y</t>
        </is>
      </c>
      <c r="AA373" s="0" t="inlineStr">
        <is>
          <t>서울시 강동구 길동 385-4</t>
        </is>
      </c>
      <c r="AB373" s="0" t="inlineStr">
        <is>
          <t>서울시</t>
        </is>
      </c>
      <c r="AC373" s="0" t="inlineStr">
        <is>
          <t>강동구</t>
        </is>
      </c>
      <c r="AD373" s="0" t="inlineStr">
        <is>
          <t>길동</t>
        </is>
      </c>
      <c r="AG373" s="0" t="inlineStr">
        <is>
          <t>서울시 강동구 양재대로111길 54</t>
        </is>
      </c>
      <c r="AH373" s="0" t="n">
        <v>0</v>
      </c>
      <c r="AI373" s="0" t="n">
        <v>444</v>
      </c>
      <c r="AJ373" s="0" t="n">
        <v>58</v>
      </c>
      <c r="AK373" s="0" t="n">
        <v>30</v>
      </c>
      <c r="AL373" s="0" t="n">
        <v>1.07</v>
      </c>
    </row>
    <row r="374">
      <c r="A374" s="0" t="inlineStr">
        <is>
          <t>[길동]</t>
        </is>
      </c>
      <c r="B374" s="0" t="n">
        <v>14412</v>
      </c>
      <c r="C374" s="0" t="n">
        <v>5</v>
      </c>
      <c r="D374" s="0" t="inlineStr">
        <is>
          <t>이스트드림힐</t>
        </is>
      </c>
      <c r="E374" s="0" t="inlineStr">
        <is>
          <t>2003.11.</t>
        </is>
      </c>
      <c r="F374" s="0" t="n">
        <v>28</v>
      </c>
      <c r="G374" s="0" t="n">
        <v>28.85</v>
      </c>
      <c r="H374" s="0" t="n">
        <v>95.40000000000001</v>
      </c>
      <c r="I374" s="0" t="n">
        <v>24.39</v>
      </c>
      <c r="J374" s="0" t="n">
        <v>80.65000000000001</v>
      </c>
      <c r="K374" s="0" t="n">
        <v>1</v>
      </c>
      <c r="T374" s="0" t="n">
        <v>3</v>
      </c>
      <c r="U374" s="0" t="n">
        <v>2</v>
      </c>
      <c r="V374" s="0" t="inlineStr">
        <is>
          <t>계단식</t>
        </is>
      </c>
      <c r="W374" s="0" t="inlineStr">
        <is>
          <t>95B</t>
        </is>
      </c>
      <c r="X374" s="0" t="n">
        <v>12</v>
      </c>
      <c r="Y374" s="0" t="n">
        <v>11</v>
      </c>
      <c r="Z374" s="0" t="inlineStr">
        <is>
          <t>https://new.land.naver.com/complexes/14412?tab=detail&amp;rf=Y</t>
        </is>
      </c>
      <c r="AA374" s="0" t="inlineStr">
        <is>
          <t>서울시 강동구 길동 385-4</t>
        </is>
      </c>
      <c r="AB374" s="0" t="inlineStr">
        <is>
          <t>서울시</t>
        </is>
      </c>
      <c r="AC374" s="0" t="inlineStr">
        <is>
          <t>강동구</t>
        </is>
      </c>
      <c r="AD374" s="0" t="inlineStr">
        <is>
          <t>길동</t>
        </is>
      </c>
      <c r="AG374" s="0" t="inlineStr">
        <is>
          <t>서울시 강동구 양재대로111길 54</t>
        </is>
      </c>
      <c r="AH374" s="0" t="n">
        <v>0</v>
      </c>
      <c r="AI374" s="0" t="n">
        <v>444</v>
      </c>
      <c r="AJ374" s="0" t="n">
        <v>58</v>
      </c>
      <c r="AK374" s="0" t="n">
        <v>30</v>
      </c>
      <c r="AL374" s="0" t="n">
        <v>1.07</v>
      </c>
    </row>
    <row r="375">
      <c r="A375" s="0" t="inlineStr">
        <is>
          <t>[길동]</t>
        </is>
      </c>
      <c r="B375" s="0" t="n">
        <v>14412</v>
      </c>
      <c r="C375" s="0" t="n">
        <v>6</v>
      </c>
      <c r="D375" s="0" t="inlineStr">
        <is>
          <t>이스트드림힐</t>
        </is>
      </c>
      <c r="E375" s="0" t="inlineStr">
        <is>
          <t>2003.11.</t>
        </is>
      </c>
      <c r="F375" s="0" t="n">
        <v>28</v>
      </c>
      <c r="G375" s="0" t="n">
        <v>30.33</v>
      </c>
      <c r="H375" s="0" t="n">
        <v>100.27</v>
      </c>
      <c r="I375" s="0" t="n">
        <v>25.64</v>
      </c>
      <c r="J375" s="0" t="n">
        <v>84.77</v>
      </c>
      <c r="K375" s="0" t="n">
        <v>8</v>
      </c>
      <c r="T375" s="0" t="n">
        <v>3</v>
      </c>
      <c r="U375" s="0" t="n">
        <v>2</v>
      </c>
      <c r="V375" s="0" t="inlineStr">
        <is>
          <t>계단식</t>
        </is>
      </c>
      <c r="W375" s="0" t="inlineStr">
        <is>
          <t>100A</t>
        </is>
      </c>
      <c r="X375" s="0" t="n">
        <v>12</v>
      </c>
      <c r="Y375" s="0" t="n">
        <v>11</v>
      </c>
      <c r="Z375" s="0" t="inlineStr">
        <is>
          <t>https://new.land.naver.com/complexes/14412?tab=detail&amp;rf=Y</t>
        </is>
      </c>
      <c r="AA375" s="0" t="inlineStr">
        <is>
          <t>서울시 강동구 길동 385-4</t>
        </is>
      </c>
      <c r="AB375" s="0" t="inlineStr">
        <is>
          <t>서울시</t>
        </is>
      </c>
      <c r="AC375" s="0" t="inlineStr">
        <is>
          <t>강동구</t>
        </is>
      </c>
      <c r="AD375" s="0" t="inlineStr">
        <is>
          <t>길동</t>
        </is>
      </c>
      <c r="AG375" s="0" t="inlineStr">
        <is>
          <t>서울시 강동구 양재대로111길 54</t>
        </is>
      </c>
      <c r="AH375" s="0" t="n">
        <v>0</v>
      </c>
      <c r="AI375" s="0" t="n">
        <v>444</v>
      </c>
      <c r="AJ375" s="0" t="n">
        <v>58</v>
      </c>
      <c r="AK375" s="0" t="n">
        <v>30</v>
      </c>
      <c r="AL375" s="0" t="n">
        <v>1.07</v>
      </c>
    </row>
    <row r="376">
      <c r="A376" s="0" t="inlineStr">
        <is>
          <t>[길동]</t>
        </is>
      </c>
      <c r="B376" s="0" t="n">
        <v>14412</v>
      </c>
      <c r="C376" s="0" t="n">
        <v>7</v>
      </c>
      <c r="D376" s="0" t="inlineStr">
        <is>
          <t>이스트드림힐</t>
        </is>
      </c>
      <c r="E376" s="0" t="inlineStr">
        <is>
          <t>2003.11.</t>
        </is>
      </c>
      <c r="F376" s="0" t="n">
        <v>28</v>
      </c>
      <c r="G376" s="0" t="n">
        <v>30.31</v>
      </c>
      <c r="H376" s="0" t="n">
        <v>100.23</v>
      </c>
      <c r="I376" s="0" t="n">
        <v>25.63</v>
      </c>
      <c r="J376" s="0" t="n">
        <v>84.73</v>
      </c>
      <c r="K376" s="0" t="n">
        <v>8</v>
      </c>
      <c r="T376" s="0" t="n">
        <v>3</v>
      </c>
      <c r="U376" s="0" t="n">
        <v>2</v>
      </c>
      <c r="V376" s="0" t="inlineStr">
        <is>
          <t>계단식</t>
        </is>
      </c>
      <c r="W376" s="0" t="inlineStr">
        <is>
          <t>100B</t>
        </is>
      </c>
      <c r="X376" s="0" t="n">
        <v>12</v>
      </c>
      <c r="Y376" s="0" t="n">
        <v>11</v>
      </c>
      <c r="Z376" s="0" t="inlineStr">
        <is>
          <t>https://new.land.naver.com/complexes/14412?tab=detail&amp;rf=Y</t>
        </is>
      </c>
      <c r="AA376" s="0" t="inlineStr">
        <is>
          <t>서울시 강동구 길동 385-4</t>
        </is>
      </c>
      <c r="AB376" s="0" t="inlineStr">
        <is>
          <t>서울시</t>
        </is>
      </c>
      <c r="AC376" s="0" t="inlineStr">
        <is>
          <t>강동구</t>
        </is>
      </c>
      <c r="AD376" s="0" t="inlineStr">
        <is>
          <t>길동</t>
        </is>
      </c>
      <c r="AG376" s="0" t="inlineStr">
        <is>
          <t>서울시 강동구 양재대로111길 54</t>
        </is>
      </c>
      <c r="AH376" s="0" t="n">
        <v>0</v>
      </c>
      <c r="AI376" s="0" t="n">
        <v>444</v>
      </c>
      <c r="AJ376" s="0" t="n">
        <v>58</v>
      </c>
      <c r="AK376" s="0" t="n">
        <v>30</v>
      </c>
      <c r="AL376" s="0" t="n">
        <v>1.07</v>
      </c>
    </row>
    <row r="377">
      <c r="A377" s="0" t="inlineStr">
        <is>
          <t>[길동]</t>
        </is>
      </c>
      <c r="B377" s="0" t="n">
        <v>14412</v>
      </c>
      <c r="C377" s="0" t="n">
        <v>8</v>
      </c>
      <c r="D377" s="0" t="inlineStr">
        <is>
          <t>이스트드림힐</t>
        </is>
      </c>
      <c r="E377" s="0" t="inlineStr">
        <is>
          <t>2003.11.</t>
        </is>
      </c>
      <c r="F377" s="0" t="n">
        <v>28</v>
      </c>
      <c r="G377" s="0" t="n">
        <v>30.38</v>
      </c>
      <c r="H377" s="0" t="n">
        <v>100.45</v>
      </c>
      <c r="I377" s="0" t="n">
        <v>25.68</v>
      </c>
      <c r="J377" s="0" t="n">
        <v>84.92</v>
      </c>
      <c r="K377" s="0" t="n">
        <v>7</v>
      </c>
      <c r="T377" s="0" t="n">
        <v>3</v>
      </c>
      <c r="U377" s="0" t="n">
        <v>2</v>
      </c>
      <c r="V377" s="0" t="inlineStr">
        <is>
          <t>계단식</t>
        </is>
      </c>
      <c r="W377" s="0" t="inlineStr">
        <is>
          <t>100C</t>
        </is>
      </c>
      <c r="X377" s="0" t="n">
        <v>12</v>
      </c>
      <c r="Y377" s="0" t="n">
        <v>11</v>
      </c>
      <c r="Z377" s="0" t="inlineStr">
        <is>
          <t>https://new.land.naver.com/complexes/14412?tab=detail&amp;rf=Y</t>
        </is>
      </c>
      <c r="AA377" s="0" t="inlineStr">
        <is>
          <t>서울시 강동구 길동 385-4</t>
        </is>
      </c>
      <c r="AB377" s="0" t="inlineStr">
        <is>
          <t>서울시</t>
        </is>
      </c>
      <c r="AC377" s="0" t="inlineStr">
        <is>
          <t>강동구</t>
        </is>
      </c>
      <c r="AD377" s="0" t="inlineStr">
        <is>
          <t>길동</t>
        </is>
      </c>
      <c r="AG377" s="0" t="inlineStr">
        <is>
          <t>서울시 강동구 양재대로111길 54</t>
        </is>
      </c>
      <c r="AH377" s="0" t="n">
        <v>0</v>
      </c>
      <c r="AI377" s="0" t="n">
        <v>444</v>
      </c>
      <c r="AJ377" s="0" t="n">
        <v>58</v>
      </c>
      <c r="AK377" s="0" t="n">
        <v>30</v>
      </c>
      <c r="AL377" s="0" t="n">
        <v>1.07</v>
      </c>
    </row>
    <row r="378">
      <c r="A378" s="0" t="inlineStr">
        <is>
          <t>[길동]</t>
        </is>
      </c>
      <c r="B378" s="0" t="n">
        <v>13849</v>
      </c>
      <c r="C378" s="0" t="n">
        <v>1</v>
      </c>
      <c r="D378" s="0" t="inlineStr">
        <is>
          <t>청원파크빌2차</t>
        </is>
      </c>
      <c r="E378" s="0" t="inlineStr">
        <is>
          <t>2004.11.</t>
        </is>
      </c>
      <c r="F378" s="0" t="n">
        <v>46</v>
      </c>
      <c r="G378" s="0" t="n">
        <v>17.99</v>
      </c>
      <c r="H378" s="0" t="n">
        <v>59.5</v>
      </c>
      <c r="I378" s="0" t="n">
        <v>14.4</v>
      </c>
      <c r="J378" s="0" t="n">
        <v>47.61</v>
      </c>
      <c r="K378" s="0" t="n">
        <v>1</v>
      </c>
      <c r="T378" s="0" t="n">
        <v>1</v>
      </c>
      <c r="U378" s="0" t="n">
        <v>1</v>
      </c>
      <c r="V378" s="0" t="inlineStr">
        <is>
          <t>계단식</t>
        </is>
      </c>
      <c r="W378" s="0" t="inlineStr">
        <is>
          <t>59A</t>
        </is>
      </c>
      <c r="X378" s="0" t="n">
        <v>8</v>
      </c>
      <c r="Y378" s="0" t="n">
        <v>7</v>
      </c>
      <c r="Z378" s="0" t="inlineStr">
        <is>
          <t>https://new.land.naver.com/complexes/13849?tab=detail&amp;rf=Y</t>
        </is>
      </c>
      <c r="AA378" s="0" t="inlineStr">
        <is>
          <t>서울시 강동구 길동 361-18</t>
        </is>
      </c>
      <c r="AB378" s="0" t="inlineStr">
        <is>
          <t>서울시</t>
        </is>
      </c>
      <c r="AC378" s="0" t="inlineStr">
        <is>
          <t>강동구</t>
        </is>
      </c>
      <c r="AD378" s="0" t="inlineStr">
        <is>
          <t>길동</t>
        </is>
      </c>
      <c r="AG378" s="0" t="inlineStr">
        <is>
          <t>서울시 강동구 명일로17길 18</t>
        </is>
      </c>
      <c r="AH378" s="0" t="n">
        <v>0</v>
      </c>
      <c r="AI378" s="0" t="n">
        <v>240</v>
      </c>
      <c r="AJ378" s="0" t="n">
        <v>39</v>
      </c>
      <c r="AK378" s="0" t="n">
        <v>49</v>
      </c>
      <c r="AL378" s="0" t="n">
        <v>1.07</v>
      </c>
    </row>
    <row r="379">
      <c r="A379" s="0" t="inlineStr">
        <is>
          <t>[길동]</t>
        </is>
      </c>
      <c r="B379" s="0" t="n">
        <v>13849</v>
      </c>
      <c r="C379" s="0" t="n">
        <v>2</v>
      </c>
      <c r="D379" s="0" t="inlineStr">
        <is>
          <t>청원파크빌2차</t>
        </is>
      </c>
      <c r="E379" s="0" t="inlineStr">
        <is>
          <t>2004.11.</t>
        </is>
      </c>
      <c r="F379" s="0" t="n">
        <v>46</v>
      </c>
      <c r="G379" s="0" t="n">
        <v>18.96</v>
      </c>
      <c r="H379" s="0" t="n">
        <v>62.69</v>
      </c>
      <c r="I379" s="0" t="n">
        <v>15.14</v>
      </c>
      <c r="J379" s="0" t="n">
        <v>50.05</v>
      </c>
      <c r="K379" s="0" t="n">
        <v>1</v>
      </c>
      <c r="T379" s="0" t="n">
        <v>1</v>
      </c>
      <c r="U379" s="0" t="n">
        <v>1</v>
      </c>
      <c r="V379" s="0" t="inlineStr">
        <is>
          <t>계단식</t>
        </is>
      </c>
      <c r="W379" s="0" t="inlineStr">
        <is>
          <t>62B</t>
        </is>
      </c>
      <c r="X379" s="0" t="n">
        <v>8</v>
      </c>
      <c r="Y379" s="0" t="n">
        <v>7</v>
      </c>
      <c r="Z379" s="0" t="inlineStr">
        <is>
          <t>https://new.land.naver.com/complexes/13849?tab=detail&amp;rf=Y</t>
        </is>
      </c>
      <c r="AA379" s="0" t="inlineStr">
        <is>
          <t>서울시 강동구 길동 361-18</t>
        </is>
      </c>
      <c r="AB379" s="0" t="inlineStr">
        <is>
          <t>서울시</t>
        </is>
      </c>
      <c r="AC379" s="0" t="inlineStr">
        <is>
          <t>강동구</t>
        </is>
      </c>
      <c r="AD379" s="0" t="inlineStr">
        <is>
          <t>길동</t>
        </is>
      </c>
      <c r="AG379" s="0" t="inlineStr">
        <is>
          <t>서울시 강동구 명일로17길 18</t>
        </is>
      </c>
      <c r="AH379" s="0" t="n">
        <v>0</v>
      </c>
      <c r="AI379" s="0" t="n">
        <v>240</v>
      </c>
      <c r="AJ379" s="0" t="n">
        <v>39</v>
      </c>
      <c r="AK379" s="0" t="n">
        <v>49</v>
      </c>
      <c r="AL379" s="0" t="n">
        <v>1.07</v>
      </c>
    </row>
    <row r="380">
      <c r="A380" s="0" t="inlineStr">
        <is>
          <t>[길동]</t>
        </is>
      </c>
      <c r="B380" s="0" t="n">
        <v>13849</v>
      </c>
      <c r="C380" s="0" t="n">
        <v>3</v>
      </c>
      <c r="D380" s="0" t="inlineStr">
        <is>
          <t>청원파크빌2차</t>
        </is>
      </c>
      <c r="E380" s="0" t="inlineStr">
        <is>
          <t>2004.11.</t>
        </is>
      </c>
      <c r="F380" s="0" t="n">
        <v>46</v>
      </c>
      <c r="G380" s="0" t="n">
        <v>23.62</v>
      </c>
      <c r="H380" s="0" t="n">
        <v>78.11</v>
      </c>
      <c r="I380" s="0" t="n">
        <v>19.16</v>
      </c>
      <c r="J380" s="0" t="n">
        <v>63.36</v>
      </c>
      <c r="K380" s="0" t="n">
        <v>1</v>
      </c>
      <c r="T380" s="0" t="n">
        <v>2</v>
      </c>
      <c r="U380" s="0" t="n">
        <v>1</v>
      </c>
      <c r="V380" s="0" t="inlineStr">
        <is>
          <t>계단식</t>
        </is>
      </c>
      <c r="W380" s="0" t="n">
        <v>78</v>
      </c>
      <c r="X380" s="0" t="n">
        <v>8</v>
      </c>
      <c r="Y380" s="0" t="n">
        <v>7</v>
      </c>
      <c r="Z380" s="0" t="inlineStr">
        <is>
          <t>https://new.land.naver.com/complexes/13849?tab=detail&amp;rf=Y</t>
        </is>
      </c>
      <c r="AA380" s="0" t="inlineStr">
        <is>
          <t>서울시 강동구 길동 361-18</t>
        </is>
      </c>
      <c r="AB380" s="0" t="inlineStr">
        <is>
          <t>서울시</t>
        </is>
      </c>
      <c r="AC380" s="0" t="inlineStr">
        <is>
          <t>강동구</t>
        </is>
      </c>
      <c r="AD380" s="0" t="inlineStr">
        <is>
          <t>길동</t>
        </is>
      </c>
      <c r="AG380" s="0" t="inlineStr">
        <is>
          <t>서울시 강동구 명일로17길 18</t>
        </is>
      </c>
      <c r="AH380" s="0" t="n">
        <v>0</v>
      </c>
      <c r="AI380" s="0" t="n">
        <v>240</v>
      </c>
      <c r="AJ380" s="0" t="n">
        <v>39</v>
      </c>
      <c r="AK380" s="0" t="n">
        <v>49</v>
      </c>
      <c r="AL380" s="0" t="n">
        <v>1.07</v>
      </c>
    </row>
    <row r="381">
      <c r="A381" s="0" t="inlineStr">
        <is>
          <t>[길동]</t>
        </is>
      </c>
      <c r="B381" s="0" t="n">
        <v>13849</v>
      </c>
      <c r="C381" s="0" t="n">
        <v>4</v>
      </c>
      <c r="D381" s="0" t="inlineStr">
        <is>
          <t>청원파크빌2차</t>
        </is>
      </c>
      <c r="E381" s="0" t="inlineStr">
        <is>
          <t>2004.11.</t>
        </is>
      </c>
      <c r="F381" s="0" t="n">
        <v>46</v>
      </c>
      <c r="G381" s="0" t="n">
        <v>26.97</v>
      </c>
      <c r="H381" s="0" t="n">
        <v>89.18000000000001</v>
      </c>
      <c r="I381" s="0" t="n">
        <v>21.96</v>
      </c>
      <c r="J381" s="0" t="n">
        <v>72.61</v>
      </c>
      <c r="K381" s="0" t="n">
        <v>4</v>
      </c>
      <c r="T381" s="0" t="n">
        <v>2</v>
      </c>
      <c r="U381" s="0" t="n">
        <v>1</v>
      </c>
      <c r="V381" s="0" t="inlineStr">
        <is>
          <t>계단식</t>
        </is>
      </c>
      <c r="W381" s="0" t="n">
        <v>89</v>
      </c>
      <c r="X381" s="0" t="n">
        <v>8</v>
      </c>
      <c r="Y381" s="0" t="n">
        <v>7</v>
      </c>
      <c r="Z381" s="0" t="inlineStr">
        <is>
          <t>https://new.land.naver.com/complexes/13849?tab=detail&amp;rf=Y</t>
        </is>
      </c>
      <c r="AA381" s="0" t="inlineStr">
        <is>
          <t>서울시 강동구 길동 361-18</t>
        </is>
      </c>
      <c r="AB381" s="0" t="inlineStr">
        <is>
          <t>서울시</t>
        </is>
      </c>
      <c r="AC381" s="0" t="inlineStr">
        <is>
          <t>강동구</t>
        </is>
      </c>
      <c r="AD381" s="0" t="inlineStr">
        <is>
          <t>길동</t>
        </is>
      </c>
      <c r="AG381" s="0" t="inlineStr">
        <is>
          <t>서울시 강동구 명일로17길 18</t>
        </is>
      </c>
      <c r="AH381" s="0" t="n">
        <v>0</v>
      </c>
      <c r="AI381" s="0" t="n">
        <v>240</v>
      </c>
      <c r="AJ381" s="0" t="n">
        <v>39</v>
      </c>
      <c r="AK381" s="0" t="n">
        <v>49</v>
      </c>
      <c r="AL381" s="0" t="n">
        <v>1.07</v>
      </c>
    </row>
    <row r="382">
      <c r="A382" s="0" t="inlineStr">
        <is>
          <t>[길동]</t>
        </is>
      </c>
      <c r="B382" s="0" t="n">
        <v>13849</v>
      </c>
      <c r="C382" s="0" t="n">
        <v>5</v>
      </c>
      <c r="D382" s="0" t="inlineStr">
        <is>
          <t>청원파크빌2차</t>
        </is>
      </c>
      <c r="E382" s="0" t="inlineStr">
        <is>
          <t>2004.11.</t>
        </is>
      </c>
      <c r="F382" s="0" t="n">
        <v>46</v>
      </c>
      <c r="G382" s="0" t="n">
        <v>27.24</v>
      </c>
      <c r="H382" s="0" t="n">
        <v>90.06999999999999</v>
      </c>
      <c r="I382" s="0" t="n">
        <v>22.15</v>
      </c>
      <c r="J382" s="0" t="n">
        <v>73.23</v>
      </c>
      <c r="K382" s="0" t="n">
        <v>5</v>
      </c>
      <c r="T382" s="0" t="n">
        <v>3</v>
      </c>
      <c r="U382" s="0" t="n">
        <v>2</v>
      </c>
      <c r="V382" s="0" t="inlineStr">
        <is>
          <t>계단식</t>
        </is>
      </c>
      <c r="W382" s="0" t="n">
        <v>90</v>
      </c>
      <c r="X382" s="0" t="n">
        <v>8</v>
      </c>
      <c r="Y382" s="0" t="n">
        <v>7</v>
      </c>
      <c r="Z382" s="0" t="inlineStr">
        <is>
          <t>https://new.land.naver.com/complexes/13849?tab=detail&amp;rf=Y</t>
        </is>
      </c>
      <c r="AA382" s="0" t="inlineStr">
        <is>
          <t>서울시 강동구 길동 361-18</t>
        </is>
      </c>
      <c r="AB382" s="0" t="inlineStr">
        <is>
          <t>서울시</t>
        </is>
      </c>
      <c r="AC382" s="0" t="inlineStr">
        <is>
          <t>강동구</t>
        </is>
      </c>
      <c r="AD382" s="0" t="inlineStr">
        <is>
          <t>길동</t>
        </is>
      </c>
      <c r="AG382" s="0" t="inlineStr">
        <is>
          <t>서울시 강동구 명일로17길 18</t>
        </is>
      </c>
      <c r="AH382" s="0" t="n">
        <v>0</v>
      </c>
      <c r="AI382" s="0" t="n">
        <v>240</v>
      </c>
      <c r="AJ382" s="0" t="n">
        <v>39</v>
      </c>
      <c r="AK382" s="0" t="n">
        <v>49</v>
      </c>
      <c r="AL382" s="0" t="n">
        <v>1.07</v>
      </c>
    </row>
    <row r="383">
      <c r="A383" s="0" t="inlineStr">
        <is>
          <t>[길동]</t>
        </is>
      </c>
      <c r="B383" s="0" t="n">
        <v>13849</v>
      </c>
      <c r="C383" s="0" t="n">
        <v>6</v>
      </c>
      <c r="D383" s="0" t="inlineStr">
        <is>
          <t>청원파크빌2차</t>
        </is>
      </c>
      <c r="E383" s="0" t="inlineStr">
        <is>
          <t>2004.11.</t>
        </is>
      </c>
      <c r="F383" s="0" t="n">
        <v>46</v>
      </c>
      <c r="G383" s="0" t="n">
        <v>28.74</v>
      </c>
      <c r="H383" s="0" t="n">
        <v>95.02</v>
      </c>
      <c r="I383" s="0" t="n">
        <v>23.34</v>
      </c>
      <c r="J383" s="0" t="n">
        <v>77.19</v>
      </c>
      <c r="K383" s="0" t="n">
        <v>6</v>
      </c>
      <c r="T383" s="0" t="n">
        <v>3</v>
      </c>
      <c r="U383" s="0" t="n">
        <v>2</v>
      </c>
      <c r="V383" s="0" t="inlineStr">
        <is>
          <t>계단식</t>
        </is>
      </c>
      <c r="W383" s="0" t="n">
        <v>95</v>
      </c>
      <c r="X383" s="0" t="n">
        <v>8</v>
      </c>
      <c r="Y383" s="0" t="n">
        <v>7</v>
      </c>
      <c r="Z383" s="0" t="inlineStr">
        <is>
          <t>https://new.land.naver.com/complexes/13849?tab=detail&amp;rf=Y</t>
        </is>
      </c>
      <c r="AA383" s="0" t="inlineStr">
        <is>
          <t>서울시 강동구 길동 361-18</t>
        </is>
      </c>
      <c r="AB383" s="0" t="inlineStr">
        <is>
          <t>서울시</t>
        </is>
      </c>
      <c r="AC383" s="0" t="inlineStr">
        <is>
          <t>강동구</t>
        </is>
      </c>
      <c r="AD383" s="0" t="inlineStr">
        <is>
          <t>길동</t>
        </is>
      </c>
      <c r="AG383" s="0" t="inlineStr">
        <is>
          <t>서울시 강동구 명일로17길 18</t>
        </is>
      </c>
      <c r="AH383" s="0" t="n">
        <v>0</v>
      </c>
      <c r="AI383" s="0" t="n">
        <v>240</v>
      </c>
      <c r="AJ383" s="0" t="n">
        <v>39</v>
      </c>
      <c r="AK383" s="0" t="n">
        <v>49</v>
      </c>
      <c r="AL383" s="0" t="n">
        <v>1.07</v>
      </c>
    </row>
    <row r="384">
      <c r="A384" s="0" t="inlineStr">
        <is>
          <t>[길동]</t>
        </is>
      </c>
      <c r="B384" s="0" t="n">
        <v>13849</v>
      </c>
      <c r="C384" s="0" t="n">
        <v>7</v>
      </c>
      <c r="D384" s="0" t="inlineStr">
        <is>
          <t>청원파크빌2차</t>
        </is>
      </c>
      <c r="E384" s="0" t="inlineStr">
        <is>
          <t>2004.11.</t>
        </is>
      </c>
      <c r="F384" s="0" t="n">
        <v>46</v>
      </c>
      <c r="G384" s="0" t="n">
        <v>31.49</v>
      </c>
      <c r="H384" s="0" t="n">
        <v>104.11</v>
      </c>
      <c r="I384" s="0" t="n">
        <v>25.69</v>
      </c>
      <c r="J384" s="0" t="n">
        <v>84.95</v>
      </c>
      <c r="K384" s="0" t="n">
        <v>28</v>
      </c>
      <c r="T384" s="0" t="n">
        <v>3</v>
      </c>
      <c r="U384" s="0" t="n">
        <v>2</v>
      </c>
      <c r="V384" s="0" t="inlineStr">
        <is>
          <t>계단식</t>
        </is>
      </c>
      <c r="W384" s="0" t="n">
        <v>104</v>
      </c>
      <c r="X384" s="0" t="n">
        <v>8</v>
      </c>
      <c r="Y384" s="0" t="n">
        <v>7</v>
      </c>
      <c r="Z384" s="0" t="inlineStr">
        <is>
          <t>https://new.land.naver.com/complexes/13849?tab=detail&amp;rf=Y</t>
        </is>
      </c>
      <c r="AA384" s="0" t="inlineStr">
        <is>
          <t>서울시 강동구 길동 361-18</t>
        </is>
      </c>
      <c r="AB384" s="0" t="inlineStr">
        <is>
          <t>서울시</t>
        </is>
      </c>
      <c r="AC384" s="0" t="inlineStr">
        <is>
          <t>강동구</t>
        </is>
      </c>
      <c r="AD384" s="0" t="inlineStr">
        <is>
          <t>길동</t>
        </is>
      </c>
      <c r="AG384" s="0" t="inlineStr">
        <is>
          <t>서울시 강동구 명일로17길 18</t>
        </is>
      </c>
      <c r="AH384" s="0" t="n">
        <v>0</v>
      </c>
      <c r="AI384" s="0" t="n">
        <v>240</v>
      </c>
      <c r="AJ384" s="0" t="n">
        <v>39</v>
      </c>
      <c r="AK384" s="0" t="n">
        <v>49</v>
      </c>
      <c r="AL384" s="0" t="n">
        <v>1.07</v>
      </c>
    </row>
    <row r="385">
      <c r="A385" s="0" t="inlineStr">
        <is>
          <t>[길동]</t>
        </is>
      </c>
      <c r="B385" s="0" t="n">
        <v>9201</v>
      </c>
      <c r="C385" s="0" t="n">
        <v>1</v>
      </c>
      <c r="D385" s="0" t="inlineStr">
        <is>
          <t>동삼빌라트</t>
        </is>
      </c>
      <c r="E385" s="0" t="inlineStr">
        <is>
          <t>1998.07.</t>
        </is>
      </c>
      <c r="F385" s="0" t="n">
        <v>47</v>
      </c>
      <c r="G385" s="0" t="n">
        <v>20.95</v>
      </c>
      <c r="H385" s="0" t="n">
        <v>69.26000000000001</v>
      </c>
      <c r="I385" s="0" t="n">
        <v>17.83</v>
      </c>
      <c r="J385" s="0" t="n">
        <v>58.96</v>
      </c>
      <c r="K385" s="0" t="n">
        <v>8</v>
      </c>
      <c r="T385" s="0" t="n">
        <v>3</v>
      </c>
      <c r="U385" s="0" t="n">
        <v>1</v>
      </c>
      <c r="V385" s="0" t="inlineStr">
        <is>
          <t>계단식</t>
        </is>
      </c>
      <c r="W385" s="0" t="inlineStr">
        <is>
          <t>69A</t>
        </is>
      </c>
      <c r="X385" s="0" t="n">
        <v>8</v>
      </c>
      <c r="Y385" s="0" t="n">
        <v>8</v>
      </c>
      <c r="Z385" s="0" t="inlineStr">
        <is>
          <t>https://new.land.naver.com/complexes/9201?tab=detail&amp;rf=Y</t>
        </is>
      </c>
      <c r="AA385" s="0" t="inlineStr">
        <is>
          <t>서울시 강동구 길동 107</t>
        </is>
      </c>
      <c r="AB385" s="0" t="inlineStr">
        <is>
          <t>서울시</t>
        </is>
      </c>
      <c r="AC385" s="0" t="inlineStr">
        <is>
          <t>강동구</t>
        </is>
      </c>
      <c r="AD385" s="0" t="inlineStr">
        <is>
          <t>길동</t>
        </is>
      </c>
      <c r="AG385" s="0" t="inlineStr">
        <is>
          <t>서울시 강동구 천호대로197길 70</t>
        </is>
      </c>
      <c r="AH385" s="0" t="n">
        <v>0</v>
      </c>
      <c r="AI385" s="0" t="n">
        <v>226</v>
      </c>
      <c r="AJ385" s="0" t="n">
        <v>32</v>
      </c>
      <c r="AK385" s="0" t="n">
        <v>49</v>
      </c>
      <c r="AL385" s="0" t="n">
        <v>1.04</v>
      </c>
    </row>
    <row r="386">
      <c r="A386" s="0" t="inlineStr">
        <is>
          <t>[길동]</t>
        </is>
      </c>
      <c r="B386" s="0" t="n">
        <v>9201</v>
      </c>
      <c r="C386" s="0" t="n">
        <v>2</v>
      </c>
      <c r="D386" s="0" t="inlineStr">
        <is>
          <t>동삼빌라트</t>
        </is>
      </c>
      <c r="E386" s="0" t="inlineStr">
        <is>
          <t>1998.07.</t>
        </is>
      </c>
      <c r="F386" s="0" t="n">
        <v>47</v>
      </c>
      <c r="G386" s="0" t="n">
        <v>21.05</v>
      </c>
      <c r="H386" s="0" t="n">
        <v>69.61</v>
      </c>
      <c r="I386" s="0" t="n">
        <v>17.89</v>
      </c>
      <c r="J386" s="0" t="n">
        <v>59.16</v>
      </c>
      <c r="K386" s="0" t="n">
        <v>2</v>
      </c>
      <c r="T386" s="0" t="n">
        <v>2</v>
      </c>
      <c r="U386" s="0" t="n">
        <v>1</v>
      </c>
      <c r="V386" s="0" t="inlineStr">
        <is>
          <t>계단식</t>
        </is>
      </c>
      <c r="W386" s="0" t="inlineStr">
        <is>
          <t>69B</t>
        </is>
      </c>
      <c r="X386" s="0" t="n">
        <v>8</v>
      </c>
      <c r="Y386" s="0" t="n">
        <v>8</v>
      </c>
      <c r="Z386" s="0" t="inlineStr">
        <is>
          <t>https://new.land.naver.com/complexes/9201?tab=detail&amp;rf=Y</t>
        </is>
      </c>
      <c r="AA386" s="0" t="inlineStr">
        <is>
          <t>서울시 강동구 길동 107</t>
        </is>
      </c>
      <c r="AB386" s="0" t="inlineStr">
        <is>
          <t>서울시</t>
        </is>
      </c>
      <c r="AC386" s="0" t="inlineStr">
        <is>
          <t>강동구</t>
        </is>
      </c>
      <c r="AD386" s="0" t="inlineStr">
        <is>
          <t>길동</t>
        </is>
      </c>
      <c r="AG386" s="0" t="inlineStr">
        <is>
          <t>서울시 강동구 천호대로197길 70</t>
        </is>
      </c>
      <c r="AH386" s="0" t="n">
        <v>0</v>
      </c>
      <c r="AI386" s="0" t="n">
        <v>226</v>
      </c>
      <c r="AJ386" s="0" t="n">
        <v>32</v>
      </c>
      <c r="AK386" s="0" t="n">
        <v>49</v>
      </c>
      <c r="AL386" s="0" t="n">
        <v>1.04</v>
      </c>
    </row>
    <row r="387">
      <c r="A387" s="0" t="inlineStr">
        <is>
          <t>[길동]</t>
        </is>
      </c>
      <c r="B387" s="0" t="n">
        <v>9201</v>
      </c>
      <c r="C387" s="0" t="n">
        <v>3</v>
      </c>
      <c r="D387" s="0" t="inlineStr">
        <is>
          <t>동삼빌라트</t>
        </is>
      </c>
      <c r="E387" s="0" t="inlineStr">
        <is>
          <t>1998.07.</t>
        </is>
      </c>
      <c r="F387" s="0" t="n">
        <v>47</v>
      </c>
      <c r="G387" s="0" t="n">
        <v>28.83</v>
      </c>
      <c r="H387" s="0" t="n">
        <v>95.33</v>
      </c>
      <c r="I387" s="0" t="n">
        <v>24.55</v>
      </c>
      <c r="J387" s="0" t="n">
        <v>81.16</v>
      </c>
      <c r="K387" s="0" t="n">
        <v>37</v>
      </c>
      <c r="T387" s="0" t="n">
        <v>3</v>
      </c>
      <c r="U387" s="0" t="n">
        <v>2</v>
      </c>
      <c r="V387" s="0" t="inlineStr">
        <is>
          <t>계단식</t>
        </is>
      </c>
      <c r="W387" s="0" t="n">
        <v>95</v>
      </c>
      <c r="X387" s="0" t="n">
        <v>8</v>
      </c>
      <c r="Y387" s="0" t="n">
        <v>8</v>
      </c>
      <c r="Z387" s="0" t="inlineStr">
        <is>
          <t>https://new.land.naver.com/complexes/9201?tab=detail&amp;rf=Y</t>
        </is>
      </c>
      <c r="AA387" s="0" t="inlineStr">
        <is>
          <t>서울시 강동구 길동 107</t>
        </is>
      </c>
      <c r="AB387" s="0" t="inlineStr">
        <is>
          <t>서울시</t>
        </is>
      </c>
      <c r="AC387" s="0" t="inlineStr">
        <is>
          <t>강동구</t>
        </is>
      </c>
      <c r="AD387" s="0" t="inlineStr">
        <is>
          <t>길동</t>
        </is>
      </c>
      <c r="AG387" s="0" t="inlineStr">
        <is>
          <t>서울시 강동구 천호대로197길 70</t>
        </is>
      </c>
      <c r="AH387" s="0" t="n">
        <v>0</v>
      </c>
      <c r="AI387" s="0" t="n">
        <v>226</v>
      </c>
      <c r="AJ387" s="0" t="n">
        <v>32</v>
      </c>
      <c r="AK387" s="0" t="n">
        <v>49</v>
      </c>
      <c r="AL387" s="0" t="n">
        <v>1.04</v>
      </c>
    </row>
    <row r="388">
      <c r="A388" s="0" t="inlineStr">
        <is>
          <t>[길동]</t>
        </is>
      </c>
      <c r="B388" s="0" t="n">
        <v>104776</v>
      </c>
      <c r="C388" s="0" t="n">
        <v>1</v>
      </c>
      <c r="D388" s="0" t="inlineStr">
        <is>
          <t>다성이즈빌(도시형)</t>
        </is>
      </c>
      <c r="E388" s="0" t="inlineStr">
        <is>
          <t>2012.04.</t>
        </is>
      </c>
      <c r="F388" s="0" t="n">
        <v>96</v>
      </c>
      <c r="G388" s="0" t="n">
        <v>8.029999999999999</v>
      </c>
      <c r="H388" s="0" t="n">
        <v>26.57</v>
      </c>
      <c r="I388" s="0" t="n">
        <v>5.2</v>
      </c>
      <c r="J388" s="0" t="n">
        <v>17.2</v>
      </c>
      <c r="K388" s="0" t="n">
        <v>64</v>
      </c>
      <c r="T388" s="0" t="n">
        <v>1</v>
      </c>
      <c r="U388" s="0" t="n">
        <v>1</v>
      </c>
      <c r="V388" s="0" t="inlineStr">
        <is>
          <t>복도식</t>
        </is>
      </c>
      <c r="W388" s="0" t="inlineStr">
        <is>
          <t>26B</t>
        </is>
      </c>
      <c r="X388" s="0" t="n">
        <v>9</v>
      </c>
      <c r="Y388" s="0" t="n">
        <v>9</v>
      </c>
      <c r="Z388" s="0" t="inlineStr">
        <is>
          <t>https://new.land.naver.com/complexes/104776?tab=detail&amp;rf=Y</t>
        </is>
      </c>
      <c r="AA388" s="0" t="inlineStr">
        <is>
          <t>서울시 강동구 길동 349-1</t>
        </is>
      </c>
      <c r="AB388" s="0" t="inlineStr">
        <is>
          <t>서울시</t>
        </is>
      </c>
      <c r="AC388" s="0" t="inlineStr">
        <is>
          <t>강동구</t>
        </is>
      </c>
      <c r="AD388" s="0" t="inlineStr">
        <is>
          <t>길동</t>
        </is>
      </c>
      <c r="AG388" s="0" t="inlineStr">
        <is>
          <t>서울시 강동구 천중로 200</t>
        </is>
      </c>
      <c r="AH388" s="0" t="n">
        <v>0</v>
      </c>
      <c r="AI388" s="0" t="n">
        <v>249</v>
      </c>
      <c r="AJ388" s="0" t="n">
        <v>41</v>
      </c>
      <c r="AK388" s="0" t="n">
        <v>31</v>
      </c>
      <c r="AL388" s="0" t="n">
        <v>0.32</v>
      </c>
    </row>
    <row r="389">
      <c r="A389" s="0" t="inlineStr">
        <is>
          <t>[길동]</t>
        </is>
      </c>
      <c r="B389" s="0" t="n">
        <v>104776</v>
      </c>
      <c r="C389" s="0" t="n">
        <v>2</v>
      </c>
      <c r="D389" s="0" t="inlineStr">
        <is>
          <t>다성이즈빌(도시형)</t>
        </is>
      </c>
      <c r="E389" s="0" t="inlineStr">
        <is>
          <t>2012.04.</t>
        </is>
      </c>
      <c r="F389" s="0" t="n">
        <v>96</v>
      </c>
      <c r="G389" s="0" t="n">
        <v>7.88</v>
      </c>
      <c r="H389" s="0" t="n">
        <v>26.07</v>
      </c>
      <c r="I389" s="0" t="n">
        <v>5.1</v>
      </c>
      <c r="J389" s="0" t="n">
        <v>16.88</v>
      </c>
      <c r="K389" s="0" t="n">
        <v>16</v>
      </c>
      <c r="T389" s="0" t="n">
        <v>1</v>
      </c>
      <c r="U389" s="0" t="n">
        <v>1</v>
      </c>
      <c r="V389" s="0" t="inlineStr">
        <is>
          <t>복도식</t>
        </is>
      </c>
      <c r="W389" s="0" t="inlineStr">
        <is>
          <t>26A</t>
        </is>
      </c>
      <c r="X389" s="0" t="n">
        <v>9</v>
      </c>
      <c r="Y389" s="0" t="n">
        <v>9</v>
      </c>
      <c r="Z389" s="0" t="inlineStr">
        <is>
          <t>https://new.land.naver.com/complexes/104776?tab=detail&amp;rf=Y</t>
        </is>
      </c>
      <c r="AA389" s="0" t="inlineStr">
        <is>
          <t>서울시 강동구 길동 349-1</t>
        </is>
      </c>
      <c r="AB389" s="0" t="inlineStr">
        <is>
          <t>서울시</t>
        </is>
      </c>
      <c r="AC389" s="0" t="inlineStr">
        <is>
          <t>강동구</t>
        </is>
      </c>
      <c r="AD389" s="0" t="inlineStr">
        <is>
          <t>길동</t>
        </is>
      </c>
      <c r="AG389" s="0" t="inlineStr">
        <is>
          <t>서울시 강동구 천중로 200</t>
        </is>
      </c>
      <c r="AH389" s="0" t="n">
        <v>0</v>
      </c>
      <c r="AI389" s="0" t="n">
        <v>249</v>
      </c>
      <c r="AJ389" s="0" t="n">
        <v>41</v>
      </c>
      <c r="AK389" s="0" t="n">
        <v>31</v>
      </c>
      <c r="AL389" s="0" t="n">
        <v>0.32</v>
      </c>
    </row>
    <row r="390">
      <c r="A390" s="0" t="inlineStr">
        <is>
          <t>[길동]</t>
        </is>
      </c>
      <c r="B390" s="0" t="n">
        <v>104776</v>
      </c>
      <c r="C390" s="0" t="n">
        <v>3</v>
      </c>
      <c r="D390" s="0" t="inlineStr">
        <is>
          <t>다성이즈빌(도시형)</t>
        </is>
      </c>
      <c r="E390" s="0" t="inlineStr">
        <is>
          <t>2012.04.</t>
        </is>
      </c>
      <c r="F390" s="0" t="n">
        <v>96</v>
      </c>
      <c r="G390" s="0" t="n">
        <v>8.48</v>
      </c>
      <c r="H390" s="0" t="n">
        <v>28.05</v>
      </c>
      <c r="I390" s="0" t="n">
        <v>5.49</v>
      </c>
      <c r="J390" s="0" t="n">
        <v>18.16</v>
      </c>
      <c r="K390" s="0" t="n">
        <v>16</v>
      </c>
      <c r="T390" s="0" t="n">
        <v>1</v>
      </c>
      <c r="U390" s="0" t="n">
        <v>1</v>
      </c>
      <c r="V390" s="0" t="inlineStr">
        <is>
          <t>복도식</t>
        </is>
      </c>
      <c r="W390" s="0" t="inlineStr">
        <is>
          <t>28C</t>
        </is>
      </c>
      <c r="X390" s="0" t="n">
        <v>9</v>
      </c>
      <c r="Y390" s="0" t="n">
        <v>9</v>
      </c>
      <c r="Z390" s="0" t="inlineStr">
        <is>
          <t>https://new.land.naver.com/complexes/104776?tab=detail&amp;rf=Y</t>
        </is>
      </c>
      <c r="AA390" s="0" t="inlineStr">
        <is>
          <t>서울시 강동구 길동 349-1</t>
        </is>
      </c>
      <c r="AB390" s="0" t="inlineStr">
        <is>
          <t>서울시</t>
        </is>
      </c>
      <c r="AC390" s="0" t="inlineStr">
        <is>
          <t>강동구</t>
        </is>
      </c>
      <c r="AD390" s="0" t="inlineStr">
        <is>
          <t>길동</t>
        </is>
      </c>
      <c r="AG390" s="0" t="inlineStr">
        <is>
          <t>서울시 강동구 천중로 200</t>
        </is>
      </c>
      <c r="AH390" s="0" t="n">
        <v>0</v>
      </c>
      <c r="AI390" s="0" t="n">
        <v>249</v>
      </c>
      <c r="AJ390" s="0" t="n">
        <v>41</v>
      </c>
      <c r="AK390" s="0" t="n">
        <v>31</v>
      </c>
      <c r="AL390" s="0" t="n">
        <v>0.32</v>
      </c>
    </row>
    <row r="391">
      <c r="A391" s="0" t="inlineStr">
        <is>
          <t>[길동]</t>
        </is>
      </c>
      <c r="B391" s="0" t="n">
        <v>13386</v>
      </c>
      <c r="C391" s="0" t="n">
        <v>1</v>
      </c>
      <c r="D391" s="0" t="inlineStr">
        <is>
          <t>장인이즈빌</t>
        </is>
      </c>
      <c r="E391" s="0" t="inlineStr">
        <is>
          <t>2004.01.</t>
        </is>
      </c>
      <c r="F391" s="0" t="n">
        <v>49</v>
      </c>
      <c r="G391" s="0" t="n">
        <v>25.27</v>
      </c>
      <c r="H391" s="0" t="n">
        <v>83.55</v>
      </c>
      <c r="I391" s="0" t="n">
        <v>20.09</v>
      </c>
      <c r="J391" s="0" t="n">
        <v>66.43000000000001</v>
      </c>
      <c r="K391" s="0" t="n">
        <v>18</v>
      </c>
      <c r="T391" s="0" t="n">
        <v>3</v>
      </c>
      <c r="U391" s="0" t="n">
        <v>1</v>
      </c>
      <c r="V391" s="0" t="inlineStr">
        <is>
          <t>계단식</t>
        </is>
      </c>
      <c r="W391" s="0" t="n">
        <v>83</v>
      </c>
      <c r="X391" s="0" t="n">
        <v>11</v>
      </c>
      <c r="Y391" s="0" t="n">
        <v>9</v>
      </c>
      <c r="Z391" s="0" t="inlineStr">
        <is>
          <t>https://new.land.naver.com/complexes/13386?tab=detail&amp;rf=Y</t>
        </is>
      </c>
      <c r="AA391" s="0" t="inlineStr">
        <is>
          <t>서울시 강동구 길동 475</t>
        </is>
      </c>
      <c r="AB391" s="0" t="inlineStr">
        <is>
          <t>서울시</t>
        </is>
      </c>
      <c r="AC391" s="0" t="inlineStr">
        <is>
          <t>강동구</t>
        </is>
      </c>
      <c r="AD391" s="0" t="inlineStr">
        <is>
          <t>길동</t>
        </is>
      </c>
      <c r="AG391" s="0" t="inlineStr">
        <is>
          <t>서울시 강동구 천중로50길 11-12</t>
        </is>
      </c>
      <c r="AH391" s="0" t="n">
        <v>0</v>
      </c>
      <c r="AI391" s="0" t="n">
        <v>269</v>
      </c>
      <c r="AJ391" s="0" t="n">
        <v>34</v>
      </c>
      <c r="AK391" s="0" t="n">
        <v>52</v>
      </c>
      <c r="AL391" s="0" t="n">
        <v>1.06</v>
      </c>
    </row>
    <row r="392">
      <c r="A392" s="0" t="inlineStr">
        <is>
          <t>[길동]</t>
        </is>
      </c>
      <c r="B392" s="0" t="n">
        <v>13386</v>
      </c>
      <c r="C392" s="0" t="n">
        <v>2</v>
      </c>
      <c r="D392" s="0" t="inlineStr">
        <is>
          <t>장인이즈빌</t>
        </is>
      </c>
      <c r="E392" s="0" t="inlineStr">
        <is>
          <t>2004.01.</t>
        </is>
      </c>
      <c r="F392" s="0" t="n">
        <v>49</v>
      </c>
      <c r="G392" s="0" t="n">
        <v>30.8</v>
      </c>
      <c r="H392" s="0" t="n">
        <v>101.83</v>
      </c>
      <c r="I392" s="0" t="n">
        <v>25.08</v>
      </c>
      <c r="J392" s="0" t="n">
        <v>82.91</v>
      </c>
      <c r="K392" s="0" t="n">
        <v>10</v>
      </c>
      <c r="T392" s="0" t="n">
        <v>3</v>
      </c>
      <c r="U392" s="0" t="n">
        <v>2</v>
      </c>
      <c r="V392" s="0" t="inlineStr">
        <is>
          <t>계단식</t>
        </is>
      </c>
      <c r="W392" s="0" t="inlineStr">
        <is>
          <t>101A</t>
        </is>
      </c>
      <c r="X392" s="0" t="n">
        <v>11</v>
      </c>
      <c r="Y392" s="0" t="n">
        <v>9</v>
      </c>
      <c r="Z392" s="0" t="inlineStr">
        <is>
          <t>https://new.land.naver.com/complexes/13386?tab=detail&amp;rf=Y</t>
        </is>
      </c>
      <c r="AA392" s="0" t="inlineStr">
        <is>
          <t>서울시 강동구 길동 475</t>
        </is>
      </c>
      <c r="AB392" s="0" t="inlineStr">
        <is>
          <t>서울시</t>
        </is>
      </c>
      <c r="AC392" s="0" t="inlineStr">
        <is>
          <t>강동구</t>
        </is>
      </c>
      <c r="AD392" s="0" t="inlineStr">
        <is>
          <t>길동</t>
        </is>
      </c>
      <c r="AG392" s="0" t="inlineStr">
        <is>
          <t>서울시 강동구 천중로50길 11-12</t>
        </is>
      </c>
      <c r="AH392" s="0" t="n">
        <v>0</v>
      </c>
      <c r="AI392" s="0" t="n">
        <v>269</v>
      </c>
      <c r="AJ392" s="0" t="n">
        <v>34</v>
      </c>
      <c r="AK392" s="0" t="n">
        <v>52</v>
      </c>
      <c r="AL392" s="0" t="n">
        <v>1.06</v>
      </c>
    </row>
    <row r="393">
      <c r="A393" s="0" t="inlineStr">
        <is>
          <t>[길동]</t>
        </is>
      </c>
      <c r="B393" s="0" t="n">
        <v>13386</v>
      </c>
      <c r="C393" s="0" t="n">
        <v>3</v>
      </c>
      <c r="D393" s="0" t="inlineStr">
        <is>
          <t>장인이즈빌</t>
        </is>
      </c>
      <c r="E393" s="0" t="inlineStr">
        <is>
          <t>2004.01.</t>
        </is>
      </c>
      <c r="F393" s="0" t="n">
        <v>49</v>
      </c>
      <c r="G393" s="0" t="n">
        <v>31.02</v>
      </c>
      <c r="H393" s="0" t="n">
        <v>102.56</v>
      </c>
      <c r="I393" s="0" t="n">
        <v>25.32</v>
      </c>
      <c r="J393" s="0" t="n">
        <v>83.70999999999999</v>
      </c>
      <c r="K393" s="0" t="n">
        <v>10</v>
      </c>
      <c r="T393" s="0" t="n">
        <v>3</v>
      </c>
      <c r="U393" s="0" t="n">
        <v>2</v>
      </c>
      <c r="V393" s="0" t="inlineStr">
        <is>
          <t>계단식</t>
        </is>
      </c>
      <c r="W393" s="0" t="inlineStr">
        <is>
          <t>102B</t>
        </is>
      </c>
      <c r="X393" s="0" t="n">
        <v>11</v>
      </c>
      <c r="Y393" s="0" t="n">
        <v>9</v>
      </c>
      <c r="Z393" s="0" t="inlineStr">
        <is>
          <t>https://new.land.naver.com/complexes/13386?tab=detail&amp;rf=Y</t>
        </is>
      </c>
      <c r="AA393" s="0" t="inlineStr">
        <is>
          <t>서울시 강동구 길동 475</t>
        </is>
      </c>
      <c r="AB393" s="0" t="inlineStr">
        <is>
          <t>서울시</t>
        </is>
      </c>
      <c r="AC393" s="0" t="inlineStr">
        <is>
          <t>강동구</t>
        </is>
      </c>
      <c r="AD393" s="0" t="inlineStr">
        <is>
          <t>길동</t>
        </is>
      </c>
      <c r="AG393" s="0" t="inlineStr">
        <is>
          <t>서울시 강동구 천중로50길 11-12</t>
        </is>
      </c>
      <c r="AH393" s="0" t="n">
        <v>0</v>
      </c>
      <c r="AI393" s="0" t="n">
        <v>269</v>
      </c>
      <c r="AJ393" s="0" t="n">
        <v>34</v>
      </c>
      <c r="AK393" s="0" t="n">
        <v>52</v>
      </c>
      <c r="AL393" s="0" t="n">
        <v>1.06</v>
      </c>
    </row>
    <row r="394">
      <c r="A394" s="0" t="inlineStr">
        <is>
          <t>[길동]</t>
        </is>
      </c>
      <c r="B394" s="0" t="n">
        <v>13386</v>
      </c>
      <c r="C394" s="0" t="n">
        <v>4</v>
      </c>
      <c r="D394" s="0" t="inlineStr">
        <is>
          <t>장인이즈빌</t>
        </is>
      </c>
      <c r="E394" s="0" t="inlineStr">
        <is>
          <t>2004.01.</t>
        </is>
      </c>
      <c r="F394" s="0" t="n">
        <v>49</v>
      </c>
      <c r="G394" s="0" t="n">
        <v>32.87</v>
      </c>
      <c r="H394" s="0" t="n">
        <v>108.69</v>
      </c>
      <c r="I394" s="0" t="n">
        <v>22.01</v>
      </c>
      <c r="J394" s="0" t="n">
        <v>72.77</v>
      </c>
      <c r="K394" s="0" t="n">
        <v>11</v>
      </c>
      <c r="T394" s="0" t="n">
        <v>3</v>
      </c>
      <c r="U394" s="0" t="n">
        <v>2</v>
      </c>
      <c r="V394" s="0" t="inlineStr">
        <is>
          <t>계단식</t>
        </is>
      </c>
      <c r="W394" s="0" t="n">
        <v>108</v>
      </c>
      <c r="X394" s="0" t="n">
        <v>11</v>
      </c>
      <c r="Y394" s="0" t="n">
        <v>9</v>
      </c>
      <c r="Z394" s="0" t="inlineStr">
        <is>
          <t>https://new.land.naver.com/complexes/13386?tab=detail&amp;rf=Y</t>
        </is>
      </c>
      <c r="AA394" s="0" t="inlineStr">
        <is>
          <t>서울시 강동구 길동 475</t>
        </is>
      </c>
      <c r="AB394" s="0" t="inlineStr">
        <is>
          <t>서울시</t>
        </is>
      </c>
      <c r="AC394" s="0" t="inlineStr">
        <is>
          <t>강동구</t>
        </is>
      </c>
      <c r="AD394" s="0" t="inlineStr">
        <is>
          <t>길동</t>
        </is>
      </c>
      <c r="AG394" s="0" t="inlineStr">
        <is>
          <t>서울시 강동구 천중로50길 11-12</t>
        </is>
      </c>
      <c r="AH394" s="0" t="n">
        <v>0</v>
      </c>
      <c r="AI394" s="0" t="n">
        <v>269</v>
      </c>
      <c r="AJ394" s="0" t="n">
        <v>34</v>
      </c>
      <c r="AK394" s="0" t="n">
        <v>52</v>
      </c>
      <c r="AL394" s="0" t="n">
        <v>1.06</v>
      </c>
    </row>
    <row r="395">
      <c r="A395" s="0" t="inlineStr">
        <is>
          <t>[길동]</t>
        </is>
      </c>
      <c r="B395" s="0" t="n">
        <v>8489</v>
      </c>
      <c r="C395" s="0" t="n">
        <v>1</v>
      </c>
      <c r="D395" s="0" t="inlineStr">
        <is>
          <t>SM베스트빌</t>
        </is>
      </c>
      <c r="E395" s="0" t="inlineStr">
        <is>
          <t>2001.09.</t>
        </is>
      </c>
      <c r="F395" s="0" t="n">
        <v>19</v>
      </c>
      <c r="G395" s="0" t="n">
        <v>45.63</v>
      </c>
      <c r="H395" s="0" t="n">
        <v>150.87</v>
      </c>
      <c r="I395" s="0" t="n">
        <v>38.5</v>
      </c>
      <c r="J395" s="0" t="n">
        <v>127.29</v>
      </c>
      <c r="K395" s="0" t="n">
        <v>1</v>
      </c>
      <c r="T395" s="0" t="n">
        <v>4</v>
      </c>
      <c r="U395" s="0" t="n">
        <v>2</v>
      </c>
      <c r="V395" s="0" t="inlineStr">
        <is>
          <t>계단식</t>
        </is>
      </c>
      <c r="W395" s="0" t="inlineStr">
        <is>
          <t>150A</t>
        </is>
      </c>
      <c r="X395" s="0" t="n">
        <v>10</v>
      </c>
      <c r="Y395" s="0" t="n">
        <v>9</v>
      </c>
      <c r="Z395" s="0" t="inlineStr">
        <is>
          <t>https://new.land.naver.com/complexes/8489?tab=detail&amp;rf=Y</t>
        </is>
      </c>
      <c r="AA395" s="0" t="inlineStr">
        <is>
          <t>서울시 강동구 길동 380-1</t>
        </is>
      </c>
      <c r="AB395" s="0" t="inlineStr">
        <is>
          <t>서울시</t>
        </is>
      </c>
      <c r="AC395" s="0" t="inlineStr">
        <is>
          <t>강동구</t>
        </is>
      </c>
      <c r="AD395" s="0" t="inlineStr">
        <is>
          <t>길동</t>
        </is>
      </c>
      <c r="AG395" s="0" t="inlineStr">
        <is>
          <t>서울시 강동구 천중로40길 45</t>
        </is>
      </c>
      <c r="AH395" s="0" t="n">
        <v>0</v>
      </c>
      <c r="AI395" s="0" t="n">
        <v>293</v>
      </c>
      <c r="AJ395" s="0" t="n">
        <v>33</v>
      </c>
      <c r="AK395" s="0" t="n">
        <v>32</v>
      </c>
      <c r="AL395" s="0" t="n">
        <v>1.68</v>
      </c>
    </row>
    <row r="396">
      <c r="A396" s="0" t="inlineStr">
        <is>
          <t>[길동]</t>
        </is>
      </c>
      <c r="B396" s="0" t="n">
        <v>8489</v>
      </c>
      <c r="C396" s="0" t="n">
        <v>2</v>
      </c>
      <c r="D396" s="0" t="inlineStr">
        <is>
          <t>SM베스트빌</t>
        </is>
      </c>
      <c r="E396" s="0" t="inlineStr">
        <is>
          <t>2001.09.</t>
        </is>
      </c>
      <c r="F396" s="0" t="n">
        <v>19</v>
      </c>
      <c r="G396" s="0" t="n">
        <v>46.14</v>
      </c>
      <c r="H396" s="0" t="n">
        <v>152.55</v>
      </c>
      <c r="I396" s="0" t="n">
        <v>38.93</v>
      </c>
      <c r="J396" s="0" t="n">
        <v>128.7</v>
      </c>
      <c r="K396" s="0" t="n">
        <v>18</v>
      </c>
      <c r="T396" s="0" t="n">
        <v>3</v>
      </c>
      <c r="U396" s="0" t="n">
        <v>2</v>
      </c>
      <c r="V396" s="0" t="inlineStr">
        <is>
          <t>계단식</t>
        </is>
      </c>
      <c r="W396" s="0" t="inlineStr">
        <is>
          <t>152B</t>
        </is>
      </c>
      <c r="X396" s="0" t="n">
        <v>10</v>
      </c>
      <c r="Y396" s="0" t="n">
        <v>9</v>
      </c>
      <c r="Z396" s="0" t="inlineStr">
        <is>
          <t>https://new.land.naver.com/complexes/8489?tab=detail&amp;rf=Y</t>
        </is>
      </c>
      <c r="AA396" s="0" t="inlineStr">
        <is>
          <t>서울시 강동구 길동 380-1</t>
        </is>
      </c>
      <c r="AB396" s="0" t="inlineStr">
        <is>
          <t>서울시</t>
        </is>
      </c>
      <c r="AC396" s="0" t="inlineStr">
        <is>
          <t>강동구</t>
        </is>
      </c>
      <c r="AD396" s="0" t="inlineStr">
        <is>
          <t>길동</t>
        </is>
      </c>
      <c r="AG396" s="0" t="inlineStr">
        <is>
          <t>서울시 강동구 천중로40길 45</t>
        </is>
      </c>
      <c r="AH396" s="0" t="n">
        <v>0</v>
      </c>
      <c r="AI396" s="0" t="n">
        <v>293</v>
      </c>
      <c r="AJ396" s="0" t="n">
        <v>33</v>
      </c>
      <c r="AK396" s="0" t="n">
        <v>32</v>
      </c>
      <c r="AL396" s="0" t="n">
        <v>1.68</v>
      </c>
    </row>
    <row r="397">
      <c r="A397" s="0" t="inlineStr">
        <is>
          <t>[길동]</t>
        </is>
      </c>
      <c r="B397" s="0" t="n">
        <v>25652</v>
      </c>
      <c r="C397" s="0" t="n">
        <v>1</v>
      </c>
      <c r="D397" s="0" t="inlineStr">
        <is>
          <t>태흥</t>
        </is>
      </c>
      <c r="E397" s="0" t="inlineStr">
        <is>
          <t>2004.09.</t>
        </is>
      </c>
      <c r="F397" s="0" t="n">
        <v>18</v>
      </c>
      <c r="G397" s="0" t="n">
        <v>24.8</v>
      </c>
      <c r="H397" s="0" t="n">
        <v>82.01000000000001</v>
      </c>
      <c r="I397" s="0" t="n">
        <v>22.22</v>
      </c>
      <c r="J397" s="0" t="n">
        <v>73.45999999999999</v>
      </c>
      <c r="K397" s="0" t="n">
        <v>1</v>
      </c>
      <c r="T397" s="0" t="n">
        <v>3</v>
      </c>
      <c r="U397" s="0" t="n">
        <v>2</v>
      </c>
      <c r="V397" s="0" t="inlineStr">
        <is>
          <t>계단식</t>
        </is>
      </c>
      <c r="W397" s="0" t="inlineStr">
        <is>
          <t>82A</t>
        </is>
      </c>
      <c r="X397" s="0" t="n">
        <v>7</v>
      </c>
      <c r="Y397" s="0" t="n">
        <v>7</v>
      </c>
      <c r="Z397" s="0" t="inlineStr">
        <is>
          <t>https://new.land.naver.com/complexes/25652?tab=detail&amp;rf=Y</t>
        </is>
      </c>
      <c r="AA397" s="0" t="inlineStr">
        <is>
          <t>서울시 강동구 길동 350-9</t>
        </is>
      </c>
      <c r="AB397" s="0" t="inlineStr">
        <is>
          <t>서울시</t>
        </is>
      </c>
      <c r="AC397" s="0" t="inlineStr">
        <is>
          <t>강동구</t>
        </is>
      </c>
      <c r="AD397" s="0" t="inlineStr">
        <is>
          <t>길동</t>
        </is>
      </c>
      <c r="AG397" s="0" t="inlineStr">
        <is>
          <t>서울시 강동구 천중로50길 11-13</t>
        </is>
      </c>
      <c r="AH397" s="0" t="n">
        <v>0</v>
      </c>
      <c r="AI397" s="0" t="n">
        <v>249</v>
      </c>
      <c r="AJ397" s="0" t="n">
        <v>47</v>
      </c>
      <c r="AK397" s="0" t="n">
        <v>19</v>
      </c>
      <c r="AL397" s="0" t="n">
        <v>1.06</v>
      </c>
    </row>
    <row r="398">
      <c r="A398" s="0" t="inlineStr">
        <is>
          <t>[길동]</t>
        </is>
      </c>
      <c r="B398" s="0" t="n">
        <v>25652</v>
      </c>
      <c r="C398" s="0" t="n">
        <v>2</v>
      </c>
      <c r="D398" s="0" t="inlineStr">
        <is>
          <t>태흥</t>
        </is>
      </c>
      <c r="E398" s="0" t="inlineStr">
        <is>
          <t>2004.09.</t>
        </is>
      </c>
      <c r="F398" s="0" t="n">
        <v>18</v>
      </c>
      <c r="G398" s="0" t="n">
        <v>25.07</v>
      </c>
      <c r="H398" s="0" t="n">
        <v>82.88</v>
      </c>
      <c r="I398" s="0" t="n">
        <v>22.45</v>
      </c>
      <c r="J398" s="0" t="n">
        <v>74.23999999999999</v>
      </c>
      <c r="K398" s="0" t="n">
        <v>1</v>
      </c>
      <c r="T398" s="0" t="n">
        <v>3</v>
      </c>
      <c r="U398" s="0" t="n">
        <v>2</v>
      </c>
      <c r="V398" s="0" t="inlineStr">
        <is>
          <t>계단식</t>
        </is>
      </c>
      <c r="W398" s="0" t="inlineStr">
        <is>
          <t>82B</t>
        </is>
      </c>
      <c r="X398" s="0" t="n">
        <v>7</v>
      </c>
      <c r="Y398" s="0" t="n">
        <v>7</v>
      </c>
      <c r="Z398" s="0" t="inlineStr">
        <is>
          <t>https://new.land.naver.com/complexes/25652?tab=detail&amp;rf=Y</t>
        </is>
      </c>
      <c r="AA398" s="0" t="inlineStr">
        <is>
          <t>서울시 강동구 길동 350-9</t>
        </is>
      </c>
      <c r="AB398" s="0" t="inlineStr">
        <is>
          <t>서울시</t>
        </is>
      </c>
      <c r="AC398" s="0" t="inlineStr">
        <is>
          <t>강동구</t>
        </is>
      </c>
      <c r="AD398" s="0" t="inlineStr">
        <is>
          <t>길동</t>
        </is>
      </c>
      <c r="AG398" s="0" t="inlineStr">
        <is>
          <t>서울시 강동구 천중로50길 11-13</t>
        </is>
      </c>
      <c r="AH398" s="0" t="n">
        <v>0</v>
      </c>
      <c r="AI398" s="0" t="n">
        <v>249</v>
      </c>
      <c r="AJ398" s="0" t="n">
        <v>47</v>
      </c>
      <c r="AK398" s="0" t="n">
        <v>19</v>
      </c>
      <c r="AL398" s="0" t="n">
        <v>1.06</v>
      </c>
    </row>
    <row r="399">
      <c r="A399" s="0" t="inlineStr">
        <is>
          <t>[길동]</t>
        </is>
      </c>
      <c r="B399" s="0" t="n">
        <v>25652</v>
      </c>
      <c r="C399" s="0" t="n">
        <v>3</v>
      </c>
      <c r="D399" s="0" t="inlineStr">
        <is>
          <t>태흥</t>
        </is>
      </c>
      <c r="E399" s="0" t="inlineStr">
        <is>
          <t>2004.09.</t>
        </is>
      </c>
      <c r="F399" s="0" t="n">
        <v>18</v>
      </c>
      <c r="G399" s="0" t="n">
        <v>28.11</v>
      </c>
      <c r="H399" s="0" t="n">
        <v>92.93000000000001</v>
      </c>
      <c r="I399" s="0" t="n">
        <v>25.18</v>
      </c>
      <c r="J399" s="0" t="n">
        <v>83.25</v>
      </c>
      <c r="K399" s="0" t="n">
        <v>6</v>
      </c>
      <c r="T399" s="0" t="n">
        <v>3</v>
      </c>
      <c r="U399" s="0" t="n">
        <v>2</v>
      </c>
      <c r="V399" s="0" t="inlineStr">
        <is>
          <t>계단식</t>
        </is>
      </c>
      <c r="W399" s="0" t="inlineStr">
        <is>
          <t>92B</t>
        </is>
      </c>
      <c r="X399" s="0" t="n">
        <v>7</v>
      </c>
      <c r="Y399" s="0" t="n">
        <v>7</v>
      </c>
      <c r="Z399" s="0" t="inlineStr">
        <is>
          <t>https://new.land.naver.com/complexes/25652?tab=detail&amp;rf=Y</t>
        </is>
      </c>
      <c r="AA399" s="0" t="inlineStr">
        <is>
          <t>서울시 강동구 길동 350-9</t>
        </is>
      </c>
      <c r="AB399" s="0" t="inlineStr">
        <is>
          <t>서울시</t>
        </is>
      </c>
      <c r="AC399" s="0" t="inlineStr">
        <is>
          <t>강동구</t>
        </is>
      </c>
      <c r="AD399" s="0" t="inlineStr">
        <is>
          <t>길동</t>
        </is>
      </c>
      <c r="AG399" s="0" t="inlineStr">
        <is>
          <t>서울시 강동구 천중로50길 11-13</t>
        </is>
      </c>
      <c r="AH399" s="0" t="n">
        <v>0</v>
      </c>
      <c r="AI399" s="0" t="n">
        <v>249</v>
      </c>
      <c r="AJ399" s="0" t="n">
        <v>47</v>
      </c>
      <c r="AK399" s="0" t="n">
        <v>19</v>
      </c>
      <c r="AL399" s="0" t="n">
        <v>1.06</v>
      </c>
    </row>
    <row r="400">
      <c r="A400" s="0" t="inlineStr">
        <is>
          <t>[길동]</t>
        </is>
      </c>
      <c r="B400" s="0" t="n">
        <v>25652</v>
      </c>
      <c r="C400" s="0" t="n">
        <v>4</v>
      </c>
      <c r="D400" s="0" t="inlineStr">
        <is>
          <t>태흥</t>
        </is>
      </c>
      <c r="E400" s="0" t="inlineStr">
        <is>
          <t>2004.09.</t>
        </is>
      </c>
      <c r="F400" s="0" t="n">
        <v>18</v>
      </c>
      <c r="G400" s="0" t="n">
        <v>28</v>
      </c>
      <c r="H400" s="0" t="n">
        <v>92.58</v>
      </c>
      <c r="I400" s="0" t="n">
        <v>25.08</v>
      </c>
      <c r="J400" s="0" t="n">
        <v>82.94</v>
      </c>
      <c r="K400" s="0" t="n">
        <v>5</v>
      </c>
      <c r="T400" s="0" t="n">
        <v>3</v>
      </c>
      <c r="U400" s="0" t="n">
        <v>2</v>
      </c>
      <c r="V400" s="0" t="inlineStr">
        <is>
          <t>계단식</t>
        </is>
      </c>
      <c r="W400" s="0" t="inlineStr">
        <is>
          <t>92A</t>
        </is>
      </c>
      <c r="X400" s="0" t="n">
        <v>7</v>
      </c>
      <c r="Y400" s="0" t="n">
        <v>7</v>
      </c>
      <c r="Z400" s="0" t="inlineStr">
        <is>
          <t>https://new.land.naver.com/complexes/25652?tab=detail&amp;rf=Y</t>
        </is>
      </c>
      <c r="AA400" s="0" t="inlineStr">
        <is>
          <t>서울시 강동구 길동 350-9</t>
        </is>
      </c>
      <c r="AB400" s="0" t="inlineStr">
        <is>
          <t>서울시</t>
        </is>
      </c>
      <c r="AC400" s="0" t="inlineStr">
        <is>
          <t>강동구</t>
        </is>
      </c>
      <c r="AD400" s="0" t="inlineStr">
        <is>
          <t>길동</t>
        </is>
      </c>
      <c r="AG400" s="0" t="inlineStr">
        <is>
          <t>서울시 강동구 천중로50길 11-13</t>
        </is>
      </c>
      <c r="AH400" s="0" t="n">
        <v>0</v>
      </c>
      <c r="AI400" s="0" t="n">
        <v>249</v>
      </c>
      <c r="AJ400" s="0" t="n">
        <v>47</v>
      </c>
      <c r="AK400" s="0" t="n">
        <v>19</v>
      </c>
      <c r="AL400" s="0" t="n">
        <v>1.06</v>
      </c>
    </row>
    <row r="401">
      <c r="A401" s="0" t="inlineStr">
        <is>
          <t>[길동]</t>
        </is>
      </c>
      <c r="B401" s="0" t="n">
        <v>25652</v>
      </c>
      <c r="C401" s="0" t="n">
        <v>5</v>
      </c>
      <c r="D401" s="0" t="inlineStr">
        <is>
          <t>태흥</t>
        </is>
      </c>
      <c r="E401" s="0" t="inlineStr">
        <is>
          <t>2004.09.</t>
        </is>
      </c>
      <c r="F401" s="0" t="n">
        <v>18</v>
      </c>
      <c r="G401" s="0" t="n">
        <v>28.26</v>
      </c>
      <c r="H401" s="0" t="n">
        <v>93.45</v>
      </c>
      <c r="I401" s="0" t="n">
        <v>25.32</v>
      </c>
      <c r="J401" s="0" t="n">
        <v>83.72</v>
      </c>
      <c r="K401" s="0" t="n">
        <v>5</v>
      </c>
      <c r="T401" s="0" t="n">
        <v>3</v>
      </c>
      <c r="U401" s="0" t="n">
        <v>2</v>
      </c>
      <c r="V401" s="0" t="inlineStr">
        <is>
          <t>계단식</t>
        </is>
      </c>
      <c r="W401" s="0" t="inlineStr">
        <is>
          <t>93C</t>
        </is>
      </c>
      <c r="X401" s="0" t="n">
        <v>7</v>
      </c>
      <c r="Y401" s="0" t="n">
        <v>7</v>
      </c>
      <c r="Z401" s="0" t="inlineStr">
        <is>
          <t>https://new.land.naver.com/complexes/25652?tab=detail&amp;rf=Y</t>
        </is>
      </c>
      <c r="AA401" s="0" t="inlineStr">
        <is>
          <t>서울시 강동구 길동 350-9</t>
        </is>
      </c>
      <c r="AB401" s="0" t="inlineStr">
        <is>
          <t>서울시</t>
        </is>
      </c>
      <c r="AC401" s="0" t="inlineStr">
        <is>
          <t>강동구</t>
        </is>
      </c>
      <c r="AD401" s="0" t="inlineStr">
        <is>
          <t>길동</t>
        </is>
      </c>
      <c r="AG401" s="0" t="inlineStr">
        <is>
          <t>서울시 강동구 천중로50길 11-13</t>
        </is>
      </c>
      <c r="AH401" s="0" t="n">
        <v>0</v>
      </c>
      <c r="AI401" s="0" t="n">
        <v>249</v>
      </c>
      <c r="AJ401" s="0" t="n">
        <v>47</v>
      </c>
      <c r="AK401" s="0" t="n">
        <v>19</v>
      </c>
      <c r="AL401" s="0" t="n">
        <v>1.06</v>
      </c>
    </row>
    <row r="402">
      <c r="A402" s="0" t="inlineStr">
        <is>
          <t>[길동]</t>
        </is>
      </c>
      <c r="B402" s="0" t="n">
        <v>114327</v>
      </c>
      <c r="C402" s="0" t="n">
        <v>1</v>
      </c>
      <c r="D402" s="0" t="inlineStr">
        <is>
          <t>길동다성이즈빌(도시형)</t>
        </is>
      </c>
      <c r="E402" s="0" t="inlineStr">
        <is>
          <t>2013.08.</t>
        </is>
      </c>
      <c r="F402" s="0" t="n">
        <v>15</v>
      </c>
      <c r="G402" s="0" t="n">
        <v>6.77</v>
      </c>
      <c r="H402" s="0" t="n">
        <v>22.41</v>
      </c>
      <c r="I402" s="0" t="n">
        <v>5.1</v>
      </c>
      <c r="J402" s="0" t="n">
        <v>16.89</v>
      </c>
      <c r="K402" s="0" t="n">
        <v>1</v>
      </c>
      <c r="T402" s="0" t="n">
        <v>1</v>
      </c>
      <c r="U402" s="0" t="n">
        <v>1</v>
      </c>
      <c r="V402" s="0" t="inlineStr">
        <is>
          <t>계단식</t>
        </is>
      </c>
      <c r="W402" s="0" t="n">
        <v>22</v>
      </c>
      <c r="X402" s="0" t="n">
        <v>6</v>
      </c>
      <c r="Y402" s="0" t="n">
        <v>6</v>
      </c>
      <c r="Z402" s="0" t="inlineStr">
        <is>
          <t>https://new.land.naver.com/complexes/114327?tab=detail&amp;rf=Y</t>
        </is>
      </c>
      <c r="AA402" s="0" t="inlineStr">
        <is>
          <t>서울시 강동구 길동 46-3</t>
        </is>
      </c>
      <c r="AB402" s="0" t="inlineStr">
        <is>
          <t>서울시</t>
        </is>
      </c>
      <c r="AC402" s="0" t="inlineStr">
        <is>
          <t>강동구</t>
        </is>
      </c>
      <c r="AD402" s="0" t="inlineStr">
        <is>
          <t>길동</t>
        </is>
      </c>
      <c r="AG402" s="0" t="inlineStr">
        <is>
          <t>서울시 강동구 양재대로126길 85</t>
        </is>
      </c>
      <c r="AH402" s="0" t="n">
        <v>0</v>
      </c>
      <c r="AI402" s="0" t="n">
        <v>199</v>
      </c>
      <c r="AJ402" s="0" t="n">
        <v>55</v>
      </c>
      <c r="AK402" s="0" t="n">
        <v>8</v>
      </c>
      <c r="AL402" s="0" t="n">
        <v>0.53</v>
      </c>
    </row>
    <row r="403">
      <c r="A403" s="0" t="inlineStr">
        <is>
          <t>[길동]</t>
        </is>
      </c>
      <c r="B403" s="0" t="n">
        <v>114327</v>
      </c>
      <c r="C403" s="0" t="n">
        <v>2</v>
      </c>
      <c r="D403" s="0" t="inlineStr">
        <is>
          <t>길동다성이즈빌(도시형)</t>
        </is>
      </c>
      <c r="E403" s="0" t="inlineStr">
        <is>
          <t>2013.08.</t>
        </is>
      </c>
      <c r="F403" s="0" t="n">
        <v>15</v>
      </c>
      <c r="G403" s="0" t="n">
        <v>7.57</v>
      </c>
      <c r="H403" s="0" t="n">
        <v>25.04</v>
      </c>
      <c r="I403" s="0" t="n">
        <v>5.71</v>
      </c>
      <c r="J403" s="0" t="n">
        <v>18.88</v>
      </c>
      <c r="K403" s="0" t="n">
        <v>1</v>
      </c>
      <c r="T403" s="0" t="n">
        <v>1</v>
      </c>
      <c r="U403" s="0" t="n">
        <v>1</v>
      </c>
      <c r="V403" s="0" t="inlineStr">
        <is>
          <t>계단식</t>
        </is>
      </c>
      <c r="W403" s="0" t="n">
        <v>25</v>
      </c>
      <c r="X403" s="0" t="n">
        <v>6</v>
      </c>
      <c r="Y403" s="0" t="n">
        <v>6</v>
      </c>
      <c r="Z403" s="0" t="inlineStr">
        <is>
          <t>https://new.land.naver.com/complexes/114327?tab=detail&amp;rf=Y</t>
        </is>
      </c>
      <c r="AA403" s="0" t="inlineStr">
        <is>
          <t>서울시 강동구 길동 46-3</t>
        </is>
      </c>
      <c r="AB403" s="0" t="inlineStr">
        <is>
          <t>서울시</t>
        </is>
      </c>
      <c r="AC403" s="0" t="inlineStr">
        <is>
          <t>강동구</t>
        </is>
      </c>
      <c r="AD403" s="0" t="inlineStr">
        <is>
          <t>길동</t>
        </is>
      </c>
      <c r="AG403" s="0" t="inlineStr">
        <is>
          <t>서울시 강동구 양재대로126길 85</t>
        </is>
      </c>
      <c r="AH403" s="0" t="n">
        <v>0</v>
      </c>
      <c r="AI403" s="0" t="n">
        <v>199</v>
      </c>
      <c r="AJ403" s="0" t="n">
        <v>55</v>
      </c>
      <c r="AK403" s="0" t="n">
        <v>8</v>
      </c>
      <c r="AL403" s="0" t="n">
        <v>0.53</v>
      </c>
    </row>
    <row r="404">
      <c r="A404" s="0" t="inlineStr">
        <is>
          <t>[길동]</t>
        </is>
      </c>
      <c r="B404" s="0" t="n">
        <v>114327</v>
      </c>
      <c r="C404" s="0" t="n">
        <v>3</v>
      </c>
      <c r="D404" s="0" t="inlineStr">
        <is>
          <t>길동다성이즈빌(도시형)</t>
        </is>
      </c>
      <c r="E404" s="0" t="inlineStr">
        <is>
          <t>2013.08.</t>
        </is>
      </c>
      <c r="F404" s="0" t="n">
        <v>15</v>
      </c>
      <c r="G404" s="0" t="n">
        <v>10</v>
      </c>
      <c r="H404" s="0" t="n">
        <v>33.06</v>
      </c>
      <c r="I404" s="0" t="n">
        <v>7.53</v>
      </c>
      <c r="J404" s="0" t="n">
        <v>24.92</v>
      </c>
      <c r="K404" s="0" t="n">
        <v>4</v>
      </c>
      <c r="T404" s="0" t="n">
        <v>1</v>
      </c>
      <c r="U404" s="0" t="n">
        <v>1</v>
      </c>
      <c r="V404" s="0" t="inlineStr">
        <is>
          <t>계단식</t>
        </is>
      </c>
      <c r="W404" s="0" t="n">
        <v>33</v>
      </c>
      <c r="X404" s="0" t="n">
        <v>6</v>
      </c>
      <c r="Y404" s="0" t="n">
        <v>6</v>
      </c>
      <c r="Z404" s="0" t="inlineStr">
        <is>
          <t>https://new.land.naver.com/complexes/114327?tab=detail&amp;rf=Y</t>
        </is>
      </c>
      <c r="AA404" s="0" t="inlineStr">
        <is>
          <t>서울시 강동구 길동 46-3</t>
        </is>
      </c>
      <c r="AB404" s="0" t="inlineStr">
        <is>
          <t>서울시</t>
        </is>
      </c>
      <c r="AC404" s="0" t="inlineStr">
        <is>
          <t>강동구</t>
        </is>
      </c>
      <c r="AD404" s="0" t="inlineStr">
        <is>
          <t>길동</t>
        </is>
      </c>
      <c r="AG404" s="0" t="inlineStr">
        <is>
          <t>서울시 강동구 양재대로126길 85</t>
        </is>
      </c>
      <c r="AH404" s="0" t="n">
        <v>0</v>
      </c>
      <c r="AI404" s="0" t="n">
        <v>199</v>
      </c>
      <c r="AJ404" s="0" t="n">
        <v>55</v>
      </c>
      <c r="AK404" s="0" t="n">
        <v>8</v>
      </c>
      <c r="AL404" s="0" t="n">
        <v>0.53</v>
      </c>
    </row>
    <row r="405">
      <c r="A405" s="0" t="inlineStr">
        <is>
          <t>[길동]</t>
        </is>
      </c>
      <c r="B405" s="0" t="n">
        <v>114327</v>
      </c>
      <c r="C405" s="0" t="n">
        <v>4</v>
      </c>
      <c r="D405" s="0" t="inlineStr">
        <is>
          <t>길동다성이즈빌(도시형)</t>
        </is>
      </c>
      <c r="E405" s="0" t="inlineStr">
        <is>
          <t>2013.08.</t>
        </is>
      </c>
      <c r="F405" s="0" t="n">
        <v>15</v>
      </c>
      <c r="G405" s="0" t="n">
        <v>11.17</v>
      </c>
      <c r="H405" s="0" t="n">
        <v>36.93</v>
      </c>
      <c r="I405" s="0" t="n">
        <v>8.42</v>
      </c>
      <c r="J405" s="0" t="n">
        <v>27.84</v>
      </c>
      <c r="K405" s="0" t="n">
        <v>4</v>
      </c>
      <c r="T405" s="0" t="n">
        <v>1</v>
      </c>
      <c r="U405" s="0" t="n">
        <v>1</v>
      </c>
      <c r="V405" s="0" t="inlineStr">
        <is>
          <t>계단식</t>
        </is>
      </c>
      <c r="W405" s="0" t="inlineStr">
        <is>
          <t>36A</t>
        </is>
      </c>
      <c r="X405" s="0" t="n">
        <v>6</v>
      </c>
      <c r="Y405" s="0" t="n">
        <v>6</v>
      </c>
      <c r="Z405" s="0" t="inlineStr">
        <is>
          <t>https://new.land.naver.com/complexes/114327?tab=detail&amp;rf=Y</t>
        </is>
      </c>
      <c r="AA405" s="0" t="inlineStr">
        <is>
          <t>서울시 강동구 길동 46-3</t>
        </is>
      </c>
      <c r="AB405" s="0" t="inlineStr">
        <is>
          <t>서울시</t>
        </is>
      </c>
      <c r="AC405" s="0" t="inlineStr">
        <is>
          <t>강동구</t>
        </is>
      </c>
      <c r="AD405" s="0" t="inlineStr">
        <is>
          <t>길동</t>
        </is>
      </c>
      <c r="AG405" s="0" t="inlineStr">
        <is>
          <t>서울시 강동구 양재대로126길 85</t>
        </is>
      </c>
      <c r="AH405" s="0" t="n">
        <v>0</v>
      </c>
      <c r="AI405" s="0" t="n">
        <v>199</v>
      </c>
      <c r="AJ405" s="0" t="n">
        <v>55</v>
      </c>
      <c r="AK405" s="0" t="n">
        <v>8</v>
      </c>
      <c r="AL405" s="0" t="n">
        <v>0.53</v>
      </c>
    </row>
    <row r="406">
      <c r="A406" s="0" t="inlineStr">
        <is>
          <t>[길동]</t>
        </is>
      </c>
      <c r="B406" s="0" t="n">
        <v>114327</v>
      </c>
      <c r="C406" s="0" t="n">
        <v>5</v>
      </c>
      <c r="D406" s="0" t="inlineStr">
        <is>
          <t>길동다성이즈빌(도시형)</t>
        </is>
      </c>
      <c r="E406" s="0" t="inlineStr">
        <is>
          <t>2013.08.</t>
        </is>
      </c>
      <c r="F406" s="0" t="n">
        <v>15</v>
      </c>
      <c r="G406" s="0" t="n">
        <v>11.22</v>
      </c>
      <c r="H406" s="0" t="n">
        <v>37.11</v>
      </c>
      <c r="I406" s="0" t="n">
        <v>8.460000000000001</v>
      </c>
      <c r="J406" s="0" t="n">
        <v>27.97</v>
      </c>
      <c r="K406" s="0" t="n">
        <v>5</v>
      </c>
      <c r="T406" s="0" t="n">
        <v>1</v>
      </c>
      <c r="U406" s="0" t="n">
        <v>1</v>
      </c>
      <c r="V406" s="0" t="inlineStr">
        <is>
          <t>계단식</t>
        </is>
      </c>
      <c r="W406" s="0" t="inlineStr">
        <is>
          <t>37B</t>
        </is>
      </c>
      <c r="X406" s="0" t="n">
        <v>6</v>
      </c>
      <c r="Y406" s="0" t="n">
        <v>6</v>
      </c>
      <c r="Z406" s="0" t="inlineStr">
        <is>
          <t>https://new.land.naver.com/complexes/114327?tab=detail&amp;rf=Y</t>
        </is>
      </c>
      <c r="AA406" s="0" t="inlineStr">
        <is>
          <t>서울시 강동구 길동 46-3</t>
        </is>
      </c>
      <c r="AB406" s="0" t="inlineStr">
        <is>
          <t>서울시</t>
        </is>
      </c>
      <c r="AC406" s="0" t="inlineStr">
        <is>
          <t>강동구</t>
        </is>
      </c>
      <c r="AD406" s="0" t="inlineStr">
        <is>
          <t>길동</t>
        </is>
      </c>
      <c r="AG406" s="0" t="inlineStr">
        <is>
          <t>서울시 강동구 양재대로126길 85</t>
        </is>
      </c>
      <c r="AH406" s="0" t="n">
        <v>0</v>
      </c>
      <c r="AI406" s="0" t="n">
        <v>199</v>
      </c>
      <c r="AJ406" s="0" t="n">
        <v>55</v>
      </c>
      <c r="AK406" s="0" t="n">
        <v>8</v>
      </c>
      <c r="AL406" s="0" t="n">
        <v>0.53</v>
      </c>
    </row>
    <row r="407">
      <c r="A407" s="0" t="inlineStr">
        <is>
          <t>[길동]</t>
        </is>
      </c>
      <c r="B407" s="0" t="n">
        <v>8560</v>
      </c>
      <c r="C407" s="0" t="n">
        <v>1</v>
      </c>
      <c r="D407" s="0" t="inlineStr">
        <is>
          <t>도림시티빌</t>
        </is>
      </c>
      <c r="E407" s="0" t="inlineStr">
        <is>
          <t>2001.05.</t>
        </is>
      </c>
      <c r="F407" s="0" t="n">
        <v>42</v>
      </c>
      <c r="G407" s="0" t="n">
        <v>26.56</v>
      </c>
      <c r="H407" s="0" t="n">
        <v>87.81</v>
      </c>
      <c r="I407" s="0" t="n">
        <v>20.76</v>
      </c>
      <c r="J407" s="0" t="n">
        <v>68.64</v>
      </c>
      <c r="K407" s="0" t="n">
        <v>2</v>
      </c>
      <c r="T407" s="0" t="n">
        <v>2</v>
      </c>
      <c r="U407" s="0" t="n">
        <v>2</v>
      </c>
      <c r="V407" s="0" t="inlineStr">
        <is>
          <t>계단식</t>
        </is>
      </c>
      <c r="W407" s="0" t="n">
        <v>87</v>
      </c>
      <c r="X407" s="0" t="n">
        <v>8</v>
      </c>
      <c r="Y407" s="0" t="n">
        <v>8</v>
      </c>
      <c r="Z407" s="0" t="inlineStr">
        <is>
          <t>https://new.land.naver.com/complexes/8560?tab=detail&amp;rf=Y</t>
        </is>
      </c>
      <c r="AA407" s="0" t="inlineStr">
        <is>
          <t>서울시 강동구 길동 99-1</t>
        </is>
      </c>
      <c r="AB407" s="0" t="inlineStr">
        <is>
          <t>서울시</t>
        </is>
      </c>
      <c r="AC407" s="0" t="inlineStr">
        <is>
          <t>강동구</t>
        </is>
      </c>
      <c r="AD407" s="0" t="inlineStr">
        <is>
          <t>길동</t>
        </is>
      </c>
      <c r="AG407" s="0" t="inlineStr">
        <is>
          <t>서울시 강동구 명일로 238</t>
        </is>
      </c>
      <c r="AH407" s="0" t="n">
        <v>0</v>
      </c>
      <c r="AI407" s="0" t="n">
        <v>236</v>
      </c>
      <c r="AJ407" s="0" t="n">
        <v>48</v>
      </c>
      <c r="AK407" s="0" t="n">
        <v>0</v>
      </c>
      <c r="AL407" s="0" t="n">
        <v>0</v>
      </c>
    </row>
    <row r="408">
      <c r="A408" s="0" t="inlineStr">
        <is>
          <t>[길동]</t>
        </is>
      </c>
      <c r="B408" s="0" t="n">
        <v>8560</v>
      </c>
      <c r="C408" s="0" t="n">
        <v>2</v>
      </c>
      <c r="D408" s="0" t="inlineStr">
        <is>
          <t>도림시티빌</t>
        </is>
      </c>
      <c r="E408" s="0" t="inlineStr">
        <is>
          <t>2001.05.</t>
        </is>
      </c>
      <c r="F408" s="0" t="n">
        <v>42</v>
      </c>
      <c r="G408" s="0" t="n">
        <v>31.3</v>
      </c>
      <c r="H408" s="0" t="n">
        <v>103.48</v>
      </c>
      <c r="I408" s="0" t="n">
        <v>24.47</v>
      </c>
      <c r="J408" s="0" t="n">
        <v>80.91</v>
      </c>
      <c r="K408" s="0" t="n">
        <v>6</v>
      </c>
      <c r="T408" s="0" t="n">
        <v>3</v>
      </c>
      <c r="U408" s="0" t="n">
        <v>2</v>
      </c>
      <c r="V408" s="0" t="inlineStr">
        <is>
          <t>계단식</t>
        </is>
      </c>
      <c r="W408" s="0" t="n">
        <v>103</v>
      </c>
      <c r="X408" s="0" t="n">
        <v>8</v>
      </c>
      <c r="Y408" s="0" t="n">
        <v>8</v>
      </c>
      <c r="Z408" s="0" t="inlineStr">
        <is>
          <t>https://new.land.naver.com/complexes/8560?tab=detail&amp;rf=Y</t>
        </is>
      </c>
      <c r="AA408" s="0" t="inlineStr">
        <is>
          <t>서울시 강동구 길동 99-1</t>
        </is>
      </c>
      <c r="AB408" s="0" t="inlineStr">
        <is>
          <t>서울시</t>
        </is>
      </c>
      <c r="AC408" s="0" t="inlineStr">
        <is>
          <t>강동구</t>
        </is>
      </c>
      <c r="AD408" s="0" t="inlineStr">
        <is>
          <t>길동</t>
        </is>
      </c>
      <c r="AG408" s="0" t="inlineStr">
        <is>
          <t>서울시 강동구 명일로 238</t>
        </is>
      </c>
      <c r="AH408" s="0" t="n">
        <v>0</v>
      </c>
      <c r="AI408" s="0" t="n">
        <v>236</v>
      </c>
      <c r="AJ408" s="0" t="n">
        <v>48</v>
      </c>
      <c r="AK408" s="0" t="n">
        <v>0</v>
      </c>
      <c r="AL408" s="0" t="n">
        <v>0</v>
      </c>
    </row>
    <row r="409">
      <c r="A409" s="0" t="inlineStr">
        <is>
          <t>[길동]</t>
        </is>
      </c>
      <c r="B409" s="0" t="n">
        <v>8560</v>
      </c>
      <c r="C409" s="0" t="n">
        <v>3</v>
      </c>
      <c r="D409" s="0" t="inlineStr">
        <is>
          <t>도림시티빌</t>
        </is>
      </c>
      <c r="E409" s="0" t="inlineStr">
        <is>
          <t>2001.05.</t>
        </is>
      </c>
      <c r="F409" s="0" t="n">
        <v>42</v>
      </c>
      <c r="G409" s="0" t="n">
        <v>32.76</v>
      </c>
      <c r="H409" s="0" t="n">
        <v>108.32</v>
      </c>
      <c r="I409" s="0" t="n">
        <v>25.61</v>
      </c>
      <c r="J409" s="0" t="n">
        <v>84.69</v>
      </c>
      <c r="K409" s="0" t="n">
        <v>30</v>
      </c>
      <c r="T409" s="0" t="n">
        <v>3</v>
      </c>
      <c r="U409" s="0" t="n">
        <v>2</v>
      </c>
      <c r="V409" s="0" t="inlineStr">
        <is>
          <t>계단식</t>
        </is>
      </c>
      <c r="W409" s="0" t="n">
        <v>108</v>
      </c>
      <c r="X409" s="0" t="n">
        <v>8</v>
      </c>
      <c r="Y409" s="0" t="n">
        <v>8</v>
      </c>
      <c r="Z409" s="0" t="inlineStr">
        <is>
          <t>https://new.land.naver.com/complexes/8560?tab=detail&amp;rf=Y</t>
        </is>
      </c>
      <c r="AA409" s="0" t="inlineStr">
        <is>
          <t>서울시 강동구 길동 99-1</t>
        </is>
      </c>
      <c r="AB409" s="0" t="inlineStr">
        <is>
          <t>서울시</t>
        </is>
      </c>
      <c r="AC409" s="0" t="inlineStr">
        <is>
          <t>강동구</t>
        </is>
      </c>
      <c r="AD409" s="0" t="inlineStr">
        <is>
          <t>길동</t>
        </is>
      </c>
      <c r="AG409" s="0" t="inlineStr">
        <is>
          <t>서울시 강동구 명일로 238</t>
        </is>
      </c>
      <c r="AH409" s="0" t="n">
        <v>0</v>
      </c>
      <c r="AI409" s="0" t="n">
        <v>236</v>
      </c>
      <c r="AJ409" s="0" t="n">
        <v>48</v>
      </c>
      <c r="AK409" s="0" t="n">
        <v>0</v>
      </c>
      <c r="AL409" s="0" t="n">
        <v>0</v>
      </c>
    </row>
    <row r="410">
      <c r="A410" s="0" t="inlineStr">
        <is>
          <t>[길동]</t>
        </is>
      </c>
      <c r="B410" s="0" t="n">
        <v>8560</v>
      </c>
      <c r="C410" s="0" t="n">
        <v>4</v>
      </c>
      <c r="D410" s="0" t="inlineStr">
        <is>
          <t>도림시티빌</t>
        </is>
      </c>
      <c r="E410" s="0" t="inlineStr">
        <is>
          <t>2001.05.</t>
        </is>
      </c>
      <c r="F410" s="0" t="n">
        <v>42</v>
      </c>
      <c r="G410" s="0" t="n">
        <v>51.28</v>
      </c>
      <c r="H410" s="0" t="n">
        <v>169.53</v>
      </c>
      <c r="I410" s="0" t="n">
        <v>40.1</v>
      </c>
      <c r="J410" s="0" t="n">
        <v>132.57</v>
      </c>
      <c r="K410" s="0" t="n">
        <v>4</v>
      </c>
      <c r="T410" s="0" t="n">
        <v>4</v>
      </c>
      <c r="U410" s="0" t="n">
        <v>3</v>
      </c>
      <c r="V410" s="0" t="inlineStr">
        <is>
          <t>계단식</t>
        </is>
      </c>
      <c r="W410" s="0" t="n">
        <v>169</v>
      </c>
      <c r="X410" s="0" t="n">
        <v>8</v>
      </c>
      <c r="Y410" s="0" t="n">
        <v>8</v>
      </c>
      <c r="Z410" s="0" t="inlineStr">
        <is>
          <t>https://new.land.naver.com/complexes/8560?tab=detail&amp;rf=Y</t>
        </is>
      </c>
      <c r="AA410" s="0" t="inlineStr">
        <is>
          <t>서울시 강동구 길동 99-1</t>
        </is>
      </c>
      <c r="AB410" s="0" t="inlineStr">
        <is>
          <t>서울시</t>
        </is>
      </c>
      <c r="AC410" s="0" t="inlineStr">
        <is>
          <t>강동구</t>
        </is>
      </c>
      <c r="AD410" s="0" t="inlineStr">
        <is>
          <t>길동</t>
        </is>
      </c>
      <c r="AG410" s="0" t="inlineStr">
        <is>
          <t>서울시 강동구 명일로 238</t>
        </is>
      </c>
      <c r="AH410" s="0" t="n">
        <v>0</v>
      </c>
      <c r="AI410" s="0" t="n">
        <v>236</v>
      </c>
      <c r="AJ410" s="0" t="n">
        <v>48</v>
      </c>
      <c r="AK410" s="0" t="n">
        <v>0</v>
      </c>
      <c r="AL410" s="0" t="n">
        <v>0</v>
      </c>
    </row>
    <row r="411">
      <c r="A411" s="0" t="inlineStr">
        <is>
          <t>[길동]</t>
        </is>
      </c>
      <c r="B411" s="0" t="n">
        <v>124070</v>
      </c>
      <c r="C411" s="0" t="n">
        <v>1</v>
      </c>
      <c r="D411" s="0" t="inlineStr">
        <is>
          <t>다성이즈빌(387-4)</t>
        </is>
      </c>
      <c r="E411" s="0" t="inlineStr">
        <is>
          <t>2018.12.</t>
        </is>
      </c>
      <c r="F411" s="0" t="n">
        <v>50</v>
      </c>
      <c r="G411" s="0" t="n">
        <v>5.68</v>
      </c>
      <c r="H411" s="0" t="n">
        <v>18.78</v>
      </c>
      <c r="I411" s="0" t="n">
        <v>4.37</v>
      </c>
      <c r="J411" s="0" t="n">
        <v>14.45</v>
      </c>
      <c r="K411" s="0" t="n">
        <v>10</v>
      </c>
      <c r="T411" s="0" t="n">
        <v>1</v>
      </c>
      <c r="U411" s="0" t="n">
        <v>1</v>
      </c>
      <c r="V411" s="0" t="inlineStr">
        <is>
          <t>복도식</t>
        </is>
      </c>
      <c r="W411" s="0" t="inlineStr">
        <is>
          <t>18A</t>
        </is>
      </c>
      <c r="X411" s="0" t="n">
        <v>16</v>
      </c>
      <c r="Y411" s="0" t="n">
        <v>16</v>
      </c>
      <c r="Z411" s="0" t="inlineStr">
        <is>
          <t>https://new.land.naver.com/complexes/124070?tab=detail&amp;rf=Y</t>
        </is>
      </c>
      <c r="AA411" s="0" t="inlineStr">
        <is>
          <t>서울시 강동구 길동 387-4</t>
        </is>
      </c>
      <c r="AB411" s="0" t="inlineStr">
        <is>
          <t>서울시</t>
        </is>
      </c>
      <c r="AC411" s="0" t="inlineStr">
        <is>
          <t>강동구</t>
        </is>
      </c>
      <c r="AD411" s="0" t="inlineStr">
        <is>
          <t>길동</t>
        </is>
      </c>
      <c r="AG411" s="0" t="inlineStr">
        <is>
          <t>서울시 강동구 천중로42길 68</t>
        </is>
      </c>
      <c r="AH411" s="0" t="n">
        <v>0</v>
      </c>
      <c r="AI411" s="0" t="n">
        <v>499</v>
      </c>
      <c r="AJ411" s="0" t="n">
        <v>57</v>
      </c>
      <c r="AK411" s="0" t="n">
        <v>32</v>
      </c>
      <c r="AL411" s="0" t="n">
        <v>0.64</v>
      </c>
    </row>
    <row r="412">
      <c r="A412" s="0" t="inlineStr">
        <is>
          <t>[길동]</t>
        </is>
      </c>
      <c r="B412" s="0" t="n">
        <v>124070</v>
      </c>
      <c r="C412" s="0" t="n">
        <v>2</v>
      </c>
      <c r="D412" s="0" t="inlineStr">
        <is>
          <t>다성이즈빌(387-4)</t>
        </is>
      </c>
      <c r="E412" s="0" t="inlineStr">
        <is>
          <t>2018.12.</t>
        </is>
      </c>
      <c r="F412" s="0" t="n">
        <v>50</v>
      </c>
      <c r="G412" s="0" t="n">
        <v>5.79</v>
      </c>
      <c r="H412" s="0" t="n">
        <v>19.17</v>
      </c>
      <c r="I412" s="0" t="n">
        <v>4.46</v>
      </c>
      <c r="J412" s="0" t="n">
        <v>14.75</v>
      </c>
      <c r="K412" s="0" t="n">
        <v>10</v>
      </c>
      <c r="T412" s="0" t="n">
        <v>1</v>
      </c>
      <c r="U412" s="0" t="n">
        <v>1</v>
      </c>
      <c r="V412" s="0" t="inlineStr">
        <is>
          <t>복도식</t>
        </is>
      </c>
      <c r="W412" s="0" t="inlineStr">
        <is>
          <t>19B</t>
        </is>
      </c>
      <c r="X412" s="0" t="n">
        <v>16</v>
      </c>
      <c r="Y412" s="0" t="n">
        <v>16</v>
      </c>
      <c r="Z412" s="0" t="inlineStr">
        <is>
          <t>https://new.land.naver.com/complexes/124070?tab=detail&amp;rf=Y</t>
        </is>
      </c>
      <c r="AA412" s="0" t="inlineStr">
        <is>
          <t>서울시 강동구 길동 387-4</t>
        </is>
      </c>
      <c r="AB412" s="0" t="inlineStr">
        <is>
          <t>서울시</t>
        </is>
      </c>
      <c r="AC412" s="0" t="inlineStr">
        <is>
          <t>강동구</t>
        </is>
      </c>
      <c r="AD412" s="0" t="inlineStr">
        <is>
          <t>길동</t>
        </is>
      </c>
      <c r="AG412" s="0" t="inlineStr">
        <is>
          <t>서울시 강동구 천중로42길 68</t>
        </is>
      </c>
      <c r="AH412" s="0" t="n">
        <v>0</v>
      </c>
      <c r="AI412" s="0" t="n">
        <v>499</v>
      </c>
      <c r="AJ412" s="0" t="n">
        <v>57</v>
      </c>
      <c r="AK412" s="0" t="n">
        <v>32</v>
      </c>
      <c r="AL412" s="0" t="n">
        <v>0.64</v>
      </c>
    </row>
    <row r="413">
      <c r="A413" s="0" t="inlineStr">
        <is>
          <t>[길동]</t>
        </is>
      </c>
      <c r="B413" s="0" t="n">
        <v>124070</v>
      </c>
      <c r="C413" s="0" t="n">
        <v>3</v>
      </c>
      <c r="D413" s="0" t="inlineStr">
        <is>
          <t>다성이즈빌(387-4)</t>
        </is>
      </c>
      <c r="E413" s="0" t="inlineStr">
        <is>
          <t>2018.12.</t>
        </is>
      </c>
      <c r="F413" s="0" t="n">
        <v>50</v>
      </c>
      <c r="G413" s="0" t="n">
        <v>8.369999999999999</v>
      </c>
      <c r="H413" s="0" t="n">
        <v>27.7</v>
      </c>
      <c r="I413" s="0" t="n">
        <v>6.44</v>
      </c>
      <c r="J413" s="0" t="n">
        <v>21.32</v>
      </c>
      <c r="K413" s="0" t="n">
        <v>10</v>
      </c>
      <c r="T413" s="0" t="n">
        <v>2</v>
      </c>
      <c r="U413" s="0" t="n">
        <v>1</v>
      </c>
      <c r="V413" s="0" t="inlineStr">
        <is>
          <t>복도식</t>
        </is>
      </c>
      <c r="W413" s="0" t="n">
        <v>27</v>
      </c>
      <c r="X413" s="0" t="n">
        <v>16</v>
      </c>
      <c r="Y413" s="0" t="n">
        <v>16</v>
      </c>
      <c r="Z413" s="0" t="inlineStr">
        <is>
          <t>https://new.land.naver.com/complexes/124070?tab=detail&amp;rf=Y</t>
        </is>
      </c>
      <c r="AA413" s="0" t="inlineStr">
        <is>
          <t>서울시 강동구 길동 387-4</t>
        </is>
      </c>
      <c r="AB413" s="0" t="inlineStr">
        <is>
          <t>서울시</t>
        </is>
      </c>
      <c r="AC413" s="0" t="inlineStr">
        <is>
          <t>강동구</t>
        </is>
      </c>
      <c r="AD413" s="0" t="inlineStr">
        <is>
          <t>길동</t>
        </is>
      </c>
      <c r="AG413" s="0" t="inlineStr">
        <is>
          <t>서울시 강동구 천중로42길 68</t>
        </is>
      </c>
      <c r="AH413" s="0" t="n">
        <v>0</v>
      </c>
      <c r="AI413" s="0" t="n">
        <v>499</v>
      </c>
      <c r="AJ413" s="0" t="n">
        <v>57</v>
      </c>
      <c r="AK413" s="0" t="n">
        <v>32</v>
      </c>
      <c r="AL413" s="0" t="n">
        <v>0.64</v>
      </c>
    </row>
    <row r="414">
      <c r="A414" s="0" t="inlineStr">
        <is>
          <t>[길동]</t>
        </is>
      </c>
      <c r="B414" s="0" t="n">
        <v>124070</v>
      </c>
      <c r="C414" s="0" t="n">
        <v>4</v>
      </c>
      <c r="D414" s="0" t="inlineStr">
        <is>
          <t>다성이즈빌(387-4)</t>
        </is>
      </c>
      <c r="E414" s="0" t="inlineStr">
        <is>
          <t>2018.12.</t>
        </is>
      </c>
      <c r="F414" s="0" t="n">
        <v>50</v>
      </c>
      <c r="G414" s="0" t="n">
        <v>8.73</v>
      </c>
      <c r="H414" s="0" t="n">
        <v>28.86</v>
      </c>
      <c r="I414" s="0" t="n">
        <v>6.71</v>
      </c>
      <c r="J414" s="0" t="n">
        <v>22.21</v>
      </c>
      <c r="K414" s="0" t="n">
        <v>10</v>
      </c>
      <c r="T414" s="0" t="n">
        <v>2</v>
      </c>
      <c r="U414" s="0" t="n">
        <v>1</v>
      </c>
      <c r="V414" s="0" t="inlineStr">
        <is>
          <t>복도식</t>
        </is>
      </c>
      <c r="W414" s="0" t="n">
        <v>28</v>
      </c>
      <c r="X414" s="0" t="n">
        <v>16</v>
      </c>
      <c r="Y414" s="0" t="n">
        <v>16</v>
      </c>
      <c r="Z414" s="0" t="inlineStr">
        <is>
          <t>https://new.land.naver.com/complexes/124070?tab=detail&amp;rf=Y</t>
        </is>
      </c>
      <c r="AA414" s="0" t="inlineStr">
        <is>
          <t>서울시 강동구 길동 387-4</t>
        </is>
      </c>
      <c r="AB414" s="0" t="inlineStr">
        <is>
          <t>서울시</t>
        </is>
      </c>
      <c r="AC414" s="0" t="inlineStr">
        <is>
          <t>강동구</t>
        </is>
      </c>
      <c r="AD414" s="0" t="inlineStr">
        <is>
          <t>길동</t>
        </is>
      </c>
      <c r="AG414" s="0" t="inlineStr">
        <is>
          <t>서울시 강동구 천중로42길 68</t>
        </is>
      </c>
      <c r="AH414" s="0" t="n">
        <v>0</v>
      </c>
      <c r="AI414" s="0" t="n">
        <v>499</v>
      </c>
      <c r="AJ414" s="0" t="n">
        <v>57</v>
      </c>
      <c r="AK414" s="0" t="n">
        <v>32</v>
      </c>
      <c r="AL414" s="0" t="n">
        <v>0.64</v>
      </c>
    </row>
    <row r="415">
      <c r="A415" s="0" t="inlineStr">
        <is>
          <t>[길동]</t>
        </is>
      </c>
      <c r="B415" s="0" t="n">
        <v>124070</v>
      </c>
      <c r="C415" s="0" t="n">
        <v>5</v>
      </c>
      <c r="D415" s="0" t="inlineStr">
        <is>
          <t>다성이즈빌(387-4)</t>
        </is>
      </c>
      <c r="E415" s="0" t="inlineStr">
        <is>
          <t>2018.12.</t>
        </is>
      </c>
      <c r="F415" s="0" t="n">
        <v>50</v>
      </c>
      <c r="G415" s="0" t="n">
        <v>12.73</v>
      </c>
      <c r="H415" s="0" t="n">
        <v>42.09</v>
      </c>
      <c r="I415" s="0" t="n">
        <v>9.800000000000001</v>
      </c>
      <c r="J415" s="0" t="n">
        <v>32.4</v>
      </c>
      <c r="K415" s="0" t="n">
        <v>10</v>
      </c>
      <c r="T415" s="0" t="n">
        <v>3</v>
      </c>
      <c r="U415" s="0" t="n">
        <v>1</v>
      </c>
      <c r="V415" s="0" t="inlineStr">
        <is>
          <t>복도식</t>
        </is>
      </c>
      <c r="W415" s="0" t="n">
        <v>42</v>
      </c>
      <c r="X415" s="0" t="n">
        <v>16</v>
      </c>
      <c r="Y415" s="0" t="n">
        <v>16</v>
      </c>
      <c r="Z415" s="0" t="inlineStr">
        <is>
          <t>https://new.land.naver.com/complexes/124070?tab=detail&amp;rf=Y</t>
        </is>
      </c>
      <c r="AA415" s="0" t="inlineStr">
        <is>
          <t>서울시 강동구 길동 387-4</t>
        </is>
      </c>
      <c r="AB415" s="0" t="inlineStr">
        <is>
          <t>서울시</t>
        </is>
      </c>
      <c r="AC415" s="0" t="inlineStr">
        <is>
          <t>강동구</t>
        </is>
      </c>
      <c r="AD415" s="0" t="inlineStr">
        <is>
          <t>길동</t>
        </is>
      </c>
      <c r="AG415" s="0" t="inlineStr">
        <is>
          <t>서울시 강동구 천중로42길 68</t>
        </is>
      </c>
      <c r="AH415" s="0" t="n">
        <v>0</v>
      </c>
      <c r="AI415" s="0" t="n">
        <v>499</v>
      </c>
      <c r="AJ415" s="0" t="n">
        <v>57</v>
      </c>
      <c r="AK415" s="0" t="n">
        <v>32</v>
      </c>
      <c r="AL415" s="0" t="n">
        <v>0.64</v>
      </c>
    </row>
    <row r="416">
      <c r="A416" s="0" t="inlineStr">
        <is>
          <t>[길동]</t>
        </is>
      </c>
      <c r="B416" s="0" t="n">
        <v>26782</v>
      </c>
      <c r="C416" s="0" t="n">
        <v>1</v>
      </c>
      <c r="D416" s="0" t="inlineStr">
        <is>
          <t>청원파크빌3차</t>
        </is>
      </c>
      <c r="E416" s="0" t="inlineStr">
        <is>
          <t>2006.12.</t>
        </is>
      </c>
      <c r="F416" s="0" t="n">
        <v>28</v>
      </c>
      <c r="G416" s="0" t="n">
        <v>25.68</v>
      </c>
      <c r="H416" s="0" t="n">
        <v>84.90000000000001</v>
      </c>
      <c r="I416" s="0" t="n">
        <v>21.78</v>
      </c>
      <c r="J416" s="0" t="n">
        <v>72.03</v>
      </c>
      <c r="K416" s="0" t="n">
        <v>1</v>
      </c>
      <c r="T416" s="0" t="n">
        <v>3</v>
      </c>
      <c r="U416" s="0" t="n">
        <v>2</v>
      </c>
      <c r="V416" s="0" t="inlineStr">
        <is>
          <t>복도식</t>
        </is>
      </c>
      <c r="W416" s="0" t="n">
        <v>84</v>
      </c>
      <c r="X416" s="0" t="n">
        <v>7</v>
      </c>
      <c r="Y416" s="0" t="n">
        <v>7</v>
      </c>
      <c r="Z416" s="0" t="inlineStr">
        <is>
          <t>https://new.land.naver.com/complexes/26782?tab=detail&amp;rf=Y</t>
        </is>
      </c>
      <c r="AA416" s="0" t="inlineStr">
        <is>
          <t>서울시 강동구 길동 103-5</t>
        </is>
      </c>
      <c r="AB416" s="0" t="inlineStr">
        <is>
          <t>서울시</t>
        </is>
      </c>
      <c r="AC416" s="0" t="inlineStr">
        <is>
          <t>강동구</t>
        </is>
      </c>
      <c r="AD416" s="0" t="inlineStr">
        <is>
          <t>길동</t>
        </is>
      </c>
      <c r="AG416" s="0" t="inlineStr">
        <is>
          <t>서울시 강동구 천중로56길 41</t>
        </is>
      </c>
      <c r="AH416" s="0" t="n">
        <v>0</v>
      </c>
      <c r="AI416" s="0" t="n">
        <v>245</v>
      </c>
      <c r="AJ416" s="0" t="n">
        <v>38</v>
      </c>
      <c r="AK416" s="0" t="n">
        <v>32</v>
      </c>
      <c r="AL416" s="0" t="n">
        <v>1.14</v>
      </c>
    </row>
    <row r="417">
      <c r="A417" s="0" t="inlineStr">
        <is>
          <t>[길동]</t>
        </is>
      </c>
      <c r="B417" s="0" t="n">
        <v>26782</v>
      </c>
      <c r="C417" s="0" t="n">
        <v>2</v>
      </c>
      <c r="D417" s="0" t="inlineStr">
        <is>
          <t>청원파크빌3차</t>
        </is>
      </c>
      <c r="E417" s="0" t="inlineStr">
        <is>
          <t>2006.12.</t>
        </is>
      </c>
      <c r="F417" s="0" t="n">
        <v>28</v>
      </c>
      <c r="G417" s="0" t="n">
        <v>26.93</v>
      </c>
      <c r="H417" s="0" t="n">
        <v>89.03</v>
      </c>
      <c r="I417" s="0" t="n">
        <v>22.71</v>
      </c>
      <c r="J417" s="0" t="n">
        <v>75.09999999999999</v>
      </c>
      <c r="K417" s="0" t="n">
        <v>1</v>
      </c>
      <c r="T417" s="0" t="n">
        <v>3</v>
      </c>
      <c r="U417" s="0" t="n">
        <v>2</v>
      </c>
      <c r="V417" s="0" t="inlineStr">
        <is>
          <t>복도식</t>
        </is>
      </c>
      <c r="W417" s="0" t="n">
        <v>89</v>
      </c>
      <c r="X417" s="0" t="n">
        <v>7</v>
      </c>
      <c r="Y417" s="0" t="n">
        <v>7</v>
      </c>
      <c r="Z417" s="0" t="inlineStr">
        <is>
          <t>https://new.land.naver.com/complexes/26782?tab=detail&amp;rf=Y</t>
        </is>
      </c>
      <c r="AA417" s="0" t="inlineStr">
        <is>
          <t>서울시 강동구 길동 103-5</t>
        </is>
      </c>
      <c r="AB417" s="0" t="inlineStr">
        <is>
          <t>서울시</t>
        </is>
      </c>
      <c r="AC417" s="0" t="inlineStr">
        <is>
          <t>강동구</t>
        </is>
      </c>
      <c r="AD417" s="0" t="inlineStr">
        <is>
          <t>길동</t>
        </is>
      </c>
      <c r="AG417" s="0" t="inlineStr">
        <is>
          <t>서울시 강동구 천중로56길 41</t>
        </is>
      </c>
      <c r="AH417" s="0" t="n">
        <v>0</v>
      </c>
      <c r="AI417" s="0" t="n">
        <v>245</v>
      </c>
      <c r="AJ417" s="0" t="n">
        <v>38</v>
      </c>
      <c r="AK417" s="0" t="n">
        <v>32</v>
      </c>
      <c r="AL417" s="0" t="n">
        <v>1.14</v>
      </c>
    </row>
    <row r="418">
      <c r="A418" s="0" t="inlineStr">
        <is>
          <t>[길동]</t>
        </is>
      </c>
      <c r="B418" s="0" t="n">
        <v>26782</v>
      </c>
      <c r="C418" s="0" t="n">
        <v>3</v>
      </c>
      <c r="D418" s="0" t="inlineStr">
        <is>
          <t>청원파크빌3차</t>
        </is>
      </c>
      <c r="E418" s="0" t="inlineStr">
        <is>
          <t>2006.12.</t>
        </is>
      </c>
      <c r="F418" s="0" t="n">
        <v>28</v>
      </c>
      <c r="G418" s="0" t="n">
        <v>27.6</v>
      </c>
      <c r="H418" s="0" t="n">
        <v>91.26000000000001</v>
      </c>
      <c r="I418" s="0" t="n">
        <v>23.37</v>
      </c>
      <c r="J418" s="0" t="n">
        <v>77.27</v>
      </c>
      <c r="K418" s="0" t="n">
        <v>5</v>
      </c>
      <c r="T418" s="0" t="n">
        <v>3</v>
      </c>
      <c r="U418" s="0" t="n">
        <v>2</v>
      </c>
      <c r="V418" s="0" t="inlineStr">
        <is>
          <t>복도식</t>
        </is>
      </c>
      <c r="W418" s="0" t="inlineStr">
        <is>
          <t>91A</t>
        </is>
      </c>
      <c r="X418" s="0" t="n">
        <v>7</v>
      </c>
      <c r="Y418" s="0" t="n">
        <v>7</v>
      </c>
      <c r="Z418" s="0" t="inlineStr">
        <is>
          <t>https://new.land.naver.com/complexes/26782?tab=detail&amp;rf=Y</t>
        </is>
      </c>
      <c r="AA418" s="0" t="inlineStr">
        <is>
          <t>서울시 강동구 길동 103-5</t>
        </is>
      </c>
      <c r="AB418" s="0" t="inlineStr">
        <is>
          <t>서울시</t>
        </is>
      </c>
      <c r="AC418" s="0" t="inlineStr">
        <is>
          <t>강동구</t>
        </is>
      </c>
      <c r="AD418" s="0" t="inlineStr">
        <is>
          <t>길동</t>
        </is>
      </c>
      <c r="AG418" s="0" t="inlineStr">
        <is>
          <t>서울시 강동구 천중로56길 41</t>
        </is>
      </c>
      <c r="AH418" s="0" t="n">
        <v>0</v>
      </c>
      <c r="AI418" s="0" t="n">
        <v>245</v>
      </c>
      <c r="AJ418" s="0" t="n">
        <v>38</v>
      </c>
      <c r="AK418" s="0" t="n">
        <v>32</v>
      </c>
      <c r="AL418" s="0" t="n">
        <v>1.14</v>
      </c>
    </row>
    <row r="419">
      <c r="A419" s="0" t="inlineStr">
        <is>
          <t>[길동]</t>
        </is>
      </c>
      <c r="B419" s="0" t="n">
        <v>26782</v>
      </c>
      <c r="C419" s="0" t="n">
        <v>4</v>
      </c>
      <c r="D419" s="0" t="inlineStr">
        <is>
          <t>청원파크빌3차</t>
        </is>
      </c>
      <c r="E419" s="0" t="inlineStr">
        <is>
          <t>2006.12.</t>
        </is>
      </c>
      <c r="F419" s="0" t="n">
        <v>28</v>
      </c>
      <c r="G419" s="0" t="n">
        <v>28.25</v>
      </c>
      <c r="H419" s="0" t="n">
        <v>93.42</v>
      </c>
      <c r="I419" s="0" t="n">
        <v>24.03</v>
      </c>
      <c r="J419" s="0" t="n">
        <v>79.47</v>
      </c>
      <c r="K419" s="0" t="n">
        <v>2</v>
      </c>
      <c r="T419" s="0" t="n">
        <v>3</v>
      </c>
      <c r="U419" s="0" t="n">
        <v>2</v>
      </c>
      <c r="V419" s="0" t="inlineStr">
        <is>
          <t>복도식</t>
        </is>
      </c>
      <c r="W419" s="0" t="inlineStr">
        <is>
          <t>93B</t>
        </is>
      </c>
      <c r="X419" s="0" t="n">
        <v>7</v>
      </c>
      <c r="Y419" s="0" t="n">
        <v>7</v>
      </c>
      <c r="Z419" s="0" t="inlineStr">
        <is>
          <t>https://new.land.naver.com/complexes/26782?tab=detail&amp;rf=Y</t>
        </is>
      </c>
      <c r="AA419" s="0" t="inlineStr">
        <is>
          <t>서울시 강동구 길동 103-5</t>
        </is>
      </c>
      <c r="AB419" s="0" t="inlineStr">
        <is>
          <t>서울시</t>
        </is>
      </c>
      <c r="AC419" s="0" t="inlineStr">
        <is>
          <t>강동구</t>
        </is>
      </c>
      <c r="AD419" s="0" t="inlineStr">
        <is>
          <t>길동</t>
        </is>
      </c>
      <c r="AG419" s="0" t="inlineStr">
        <is>
          <t>서울시 강동구 천중로56길 41</t>
        </is>
      </c>
      <c r="AH419" s="0" t="n">
        <v>0</v>
      </c>
      <c r="AI419" s="0" t="n">
        <v>245</v>
      </c>
      <c r="AJ419" s="0" t="n">
        <v>38</v>
      </c>
      <c r="AK419" s="0" t="n">
        <v>32</v>
      </c>
      <c r="AL419" s="0" t="n">
        <v>1.14</v>
      </c>
    </row>
    <row r="420">
      <c r="A420" s="0" t="inlineStr">
        <is>
          <t>[길동]</t>
        </is>
      </c>
      <c r="B420" s="0" t="n">
        <v>26782</v>
      </c>
      <c r="C420" s="0" t="n">
        <v>5</v>
      </c>
      <c r="D420" s="0" t="inlineStr">
        <is>
          <t>청원파크빌3차</t>
        </is>
      </c>
      <c r="E420" s="0" t="inlineStr">
        <is>
          <t>2006.12.</t>
        </is>
      </c>
      <c r="F420" s="0" t="n">
        <v>28</v>
      </c>
      <c r="G420" s="0" t="n">
        <v>28.36</v>
      </c>
      <c r="H420" s="0" t="n">
        <v>93.77</v>
      </c>
      <c r="I420" s="0" t="n">
        <v>24.06</v>
      </c>
      <c r="J420" s="0" t="n">
        <v>79.56</v>
      </c>
      <c r="K420" s="0" t="n">
        <v>1</v>
      </c>
      <c r="T420" s="0" t="n">
        <v>3</v>
      </c>
      <c r="U420" s="0" t="n">
        <v>2</v>
      </c>
      <c r="V420" s="0" t="inlineStr">
        <is>
          <t>복도식</t>
        </is>
      </c>
      <c r="W420" s="0" t="inlineStr">
        <is>
          <t>93C</t>
        </is>
      </c>
      <c r="X420" s="0" t="n">
        <v>7</v>
      </c>
      <c r="Y420" s="0" t="n">
        <v>7</v>
      </c>
      <c r="Z420" s="0" t="inlineStr">
        <is>
          <t>https://new.land.naver.com/complexes/26782?tab=detail&amp;rf=Y</t>
        </is>
      </c>
      <c r="AA420" s="0" t="inlineStr">
        <is>
          <t>서울시 강동구 길동 103-5</t>
        </is>
      </c>
      <c r="AB420" s="0" t="inlineStr">
        <is>
          <t>서울시</t>
        </is>
      </c>
      <c r="AC420" s="0" t="inlineStr">
        <is>
          <t>강동구</t>
        </is>
      </c>
      <c r="AD420" s="0" t="inlineStr">
        <is>
          <t>길동</t>
        </is>
      </c>
      <c r="AG420" s="0" t="inlineStr">
        <is>
          <t>서울시 강동구 천중로56길 41</t>
        </is>
      </c>
      <c r="AH420" s="0" t="n">
        <v>0</v>
      </c>
      <c r="AI420" s="0" t="n">
        <v>245</v>
      </c>
      <c r="AJ420" s="0" t="n">
        <v>38</v>
      </c>
      <c r="AK420" s="0" t="n">
        <v>32</v>
      </c>
      <c r="AL420" s="0" t="n">
        <v>1.14</v>
      </c>
    </row>
    <row r="421">
      <c r="A421" s="0" t="inlineStr">
        <is>
          <t>[길동]</t>
        </is>
      </c>
      <c r="B421" s="0" t="n">
        <v>26782</v>
      </c>
      <c r="C421" s="0" t="n">
        <v>6</v>
      </c>
      <c r="D421" s="0" t="inlineStr">
        <is>
          <t>청원파크빌3차</t>
        </is>
      </c>
      <c r="E421" s="0" t="inlineStr">
        <is>
          <t>2006.12.</t>
        </is>
      </c>
      <c r="F421" s="0" t="n">
        <v>28</v>
      </c>
      <c r="G421" s="0" t="n">
        <v>29.87</v>
      </c>
      <c r="H421" s="0" t="n">
        <v>98.77</v>
      </c>
      <c r="I421" s="0" t="n">
        <v>24.75</v>
      </c>
      <c r="J421" s="0" t="n">
        <v>81.84</v>
      </c>
      <c r="K421" s="0" t="n">
        <v>1</v>
      </c>
      <c r="T421" s="0" t="n">
        <v>3</v>
      </c>
      <c r="U421" s="0" t="n">
        <v>2</v>
      </c>
      <c r="V421" s="0" t="inlineStr">
        <is>
          <t>복도식</t>
        </is>
      </c>
      <c r="W421" s="0" t="inlineStr">
        <is>
          <t>98D</t>
        </is>
      </c>
      <c r="X421" s="0" t="n">
        <v>7</v>
      </c>
      <c r="Y421" s="0" t="n">
        <v>7</v>
      </c>
      <c r="Z421" s="0" t="inlineStr">
        <is>
          <t>https://new.land.naver.com/complexes/26782?tab=detail&amp;rf=Y</t>
        </is>
      </c>
      <c r="AA421" s="0" t="inlineStr">
        <is>
          <t>서울시 강동구 길동 103-5</t>
        </is>
      </c>
      <c r="AB421" s="0" t="inlineStr">
        <is>
          <t>서울시</t>
        </is>
      </c>
      <c r="AC421" s="0" t="inlineStr">
        <is>
          <t>강동구</t>
        </is>
      </c>
      <c r="AD421" s="0" t="inlineStr">
        <is>
          <t>길동</t>
        </is>
      </c>
      <c r="AG421" s="0" t="inlineStr">
        <is>
          <t>서울시 강동구 천중로56길 41</t>
        </is>
      </c>
      <c r="AH421" s="0" t="n">
        <v>0</v>
      </c>
      <c r="AI421" s="0" t="n">
        <v>245</v>
      </c>
      <c r="AJ421" s="0" t="n">
        <v>38</v>
      </c>
      <c r="AK421" s="0" t="n">
        <v>32</v>
      </c>
      <c r="AL421" s="0" t="n">
        <v>1.14</v>
      </c>
    </row>
    <row r="422">
      <c r="A422" s="0" t="inlineStr">
        <is>
          <t>[길동]</t>
        </is>
      </c>
      <c r="B422" s="0" t="n">
        <v>26782</v>
      </c>
      <c r="C422" s="0" t="n">
        <v>7</v>
      </c>
      <c r="D422" s="0" t="inlineStr">
        <is>
          <t>청원파크빌3차</t>
        </is>
      </c>
      <c r="E422" s="0" t="inlineStr">
        <is>
          <t>2006.12.</t>
        </is>
      </c>
      <c r="F422" s="0" t="n">
        <v>28</v>
      </c>
      <c r="G422" s="0" t="n">
        <v>30.07</v>
      </c>
      <c r="H422" s="0" t="n">
        <v>99.43000000000001</v>
      </c>
      <c r="I422" s="0" t="n">
        <v>25.45</v>
      </c>
      <c r="J422" s="0" t="n">
        <v>84.15000000000001</v>
      </c>
      <c r="K422" s="0" t="n">
        <v>9</v>
      </c>
      <c r="T422" s="0" t="n">
        <v>3</v>
      </c>
      <c r="U422" s="0" t="n">
        <v>2</v>
      </c>
      <c r="V422" s="0" t="inlineStr">
        <is>
          <t>복도식</t>
        </is>
      </c>
      <c r="W422" s="0" t="inlineStr">
        <is>
          <t>99C</t>
        </is>
      </c>
      <c r="X422" s="0" t="n">
        <v>7</v>
      </c>
      <c r="Y422" s="0" t="n">
        <v>7</v>
      </c>
      <c r="Z422" s="0" t="inlineStr">
        <is>
          <t>https://new.land.naver.com/complexes/26782?tab=detail&amp;rf=Y</t>
        </is>
      </c>
      <c r="AA422" s="0" t="inlineStr">
        <is>
          <t>서울시 강동구 길동 103-5</t>
        </is>
      </c>
      <c r="AB422" s="0" t="inlineStr">
        <is>
          <t>서울시</t>
        </is>
      </c>
      <c r="AC422" s="0" t="inlineStr">
        <is>
          <t>강동구</t>
        </is>
      </c>
      <c r="AD422" s="0" t="inlineStr">
        <is>
          <t>길동</t>
        </is>
      </c>
      <c r="AG422" s="0" t="inlineStr">
        <is>
          <t>서울시 강동구 천중로56길 41</t>
        </is>
      </c>
      <c r="AH422" s="0" t="n">
        <v>0</v>
      </c>
      <c r="AI422" s="0" t="n">
        <v>245</v>
      </c>
      <c r="AJ422" s="0" t="n">
        <v>38</v>
      </c>
      <c r="AK422" s="0" t="n">
        <v>32</v>
      </c>
      <c r="AL422" s="0" t="n">
        <v>1.14</v>
      </c>
    </row>
    <row r="423">
      <c r="A423" s="0" t="inlineStr">
        <is>
          <t>[길동]</t>
        </is>
      </c>
      <c r="B423" s="0" t="n">
        <v>26782</v>
      </c>
      <c r="C423" s="0" t="n">
        <v>8</v>
      </c>
      <c r="D423" s="0" t="inlineStr">
        <is>
          <t>청원파크빌3차</t>
        </is>
      </c>
      <c r="E423" s="0" t="inlineStr">
        <is>
          <t>2006.12.</t>
        </is>
      </c>
      <c r="F423" s="0" t="n">
        <v>28</v>
      </c>
      <c r="G423" s="0" t="n">
        <v>30.14</v>
      </c>
      <c r="H423" s="0" t="n">
        <v>99.66</v>
      </c>
      <c r="I423" s="0" t="n">
        <v>25.45</v>
      </c>
      <c r="J423" s="0" t="n">
        <v>84.14</v>
      </c>
      <c r="K423" s="0" t="n">
        <v>5</v>
      </c>
      <c r="T423" s="0" t="n">
        <v>3</v>
      </c>
      <c r="U423" s="0" t="n">
        <v>2</v>
      </c>
      <c r="V423" s="0" t="inlineStr">
        <is>
          <t>복도식</t>
        </is>
      </c>
      <c r="W423" s="0" t="inlineStr">
        <is>
          <t>99B</t>
        </is>
      </c>
      <c r="X423" s="0" t="n">
        <v>7</v>
      </c>
      <c r="Y423" s="0" t="n">
        <v>7</v>
      </c>
      <c r="Z423" s="0" t="inlineStr">
        <is>
          <t>https://new.land.naver.com/complexes/26782?tab=detail&amp;rf=Y</t>
        </is>
      </c>
      <c r="AA423" s="0" t="inlineStr">
        <is>
          <t>서울시 강동구 길동 103-5</t>
        </is>
      </c>
      <c r="AB423" s="0" t="inlineStr">
        <is>
          <t>서울시</t>
        </is>
      </c>
      <c r="AC423" s="0" t="inlineStr">
        <is>
          <t>강동구</t>
        </is>
      </c>
      <c r="AD423" s="0" t="inlineStr">
        <is>
          <t>길동</t>
        </is>
      </c>
      <c r="AG423" s="0" t="inlineStr">
        <is>
          <t>서울시 강동구 천중로56길 41</t>
        </is>
      </c>
      <c r="AH423" s="0" t="n">
        <v>0</v>
      </c>
      <c r="AI423" s="0" t="n">
        <v>245</v>
      </c>
      <c r="AJ423" s="0" t="n">
        <v>38</v>
      </c>
      <c r="AK423" s="0" t="n">
        <v>32</v>
      </c>
      <c r="AL423" s="0" t="n">
        <v>1.14</v>
      </c>
    </row>
    <row r="424">
      <c r="A424" s="0" t="inlineStr">
        <is>
          <t>[길동]</t>
        </is>
      </c>
      <c r="B424" s="0" t="n">
        <v>26782</v>
      </c>
      <c r="C424" s="0" t="n">
        <v>9</v>
      </c>
      <c r="D424" s="0" t="inlineStr">
        <is>
          <t>청원파크빌3차</t>
        </is>
      </c>
      <c r="E424" s="0" t="inlineStr">
        <is>
          <t>2006.12.</t>
        </is>
      </c>
      <c r="F424" s="0" t="n">
        <v>28</v>
      </c>
      <c r="G424" s="0" t="n">
        <v>30.21</v>
      </c>
      <c r="H424" s="0" t="n">
        <v>99.90000000000001</v>
      </c>
      <c r="I424" s="0" t="n">
        <v>24.83</v>
      </c>
      <c r="J424" s="0" t="n">
        <v>82.11</v>
      </c>
      <c r="K424" s="0" t="n">
        <v>1</v>
      </c>
      <c r="T424" s="0" t="n">
        <v>3</v>
      </c>
      <c r="U424" s="0" t="n">
        <v>2</v>
      </c>
      <c r="V424" s="0" t="inlineStr">
        <is>
          <t>복도식</t>
        </is>
      </c>
      <c r="W424" s="0" t="inlineStr">
        <is>
          <t>99A</t>
        </is>
      </c>
      <c r="X424" s="0" t="n">
        <v>7</v>
      </c>
      <c r="Y424" s="0" t="n">
        <v>7</v>
      </c>
      <c r="Z424" s="0" t="inlineStr">
        <is>
          <t>https://new.land.naver.com/complexes/26782?tab=detail&amp;rf=Y</t>
        </is>
      </c>
      <c r="AA424" s="0" t="inlineStr">
        <is>
          <t>서울시 강동구 길동 103-5</t>
        </is>
      </c>
      <c r="AB424" s="0" t="inlineStr">
        <is>
          <t>서울시</t>
        </is>
      </c>
      <c r="AC424" s="0" t="inlineStr">
        <is>
          <t>강동구</t>
        </is>
      </c>
      <c r="AD424" s="0" t="inlineStr">
        <is>
          <t>길동</t>
        </is>
      </c>
      <c r="AG424" s="0" t="inlineStr">
        <is>
          <t>서울시 강동구 천중로56길 41</t>
        </is>
      </c>
      <c r="AH424" s="0" t="n">
        <v>0</v>
      </c>
      <c r="AI424" s="0" t="n">
        <v>245</v>
      </c>
      <c r="AJ424" s="0" t="n">
        <v>38</v>
      </c>
      <c r="AK424" s="0" t="n">
        <v>32</v>
      </c>
      <c r="AL424" s="0" t="n">
        <v>1.14</v>
      </c>
    </row>
    <row r="425">
      <c r="A425" s="0" t="inlineStr">
        <is>
          <t>[길동]</t>
        </is>
      </c>
      <c r="B425" s="0" t="n">
        <v>26782</v>
      </c>
      <c r="C425" s="0" t="n">
        <v>10</v>
      </c>
      <c r="D425" s="0" t="inlineStr">
        <is>
          <t>청원파크빌3차</t>
        </is>
      </c>
      <c r="E425" s="0" t="inlineStr">
        <is>
          <t>2006.12.</t>
        </is>
      </c>
      <c r="F425" s="0" t="n">
        <v>28</v>
      </c>
      <c r="G425" s="0" t="n">
        <v>32.78</v>
      </c>
      <c r="H425" s="0" t="n">
        <v>108.39</v>
      </c>
      <c r="I425" s="0" t="n">
        <v>27.08</v>
      </c>
      <c r="J425" s="0" t="n">
        <v>89.55</v>
      </c>
      <c r="K425" s="0" t="n">
        <v>1</v>
      </c>
      <c r="T425" s="0" t="n">
        <v>3</v>
      </c>
      <c r="U425" s="0" t="n">
        <v>2</v>
      </c>
      <c r="V425" s="0" t="inlineStr">
        <is>
          <t>복도식</t>
        </is>
      </c>
      <c r="W425" s="0" t="inlineStr">
        <is>
          <t>108A</t>
        </is>
      </c>
      <c r="X425" s="0" t="n">
        <v>7</v>
      </c>
      <c r="Y425" s="0" t="n">
        <v>7</v>
      </c>
      <c r="Z425" s="0" t="inlineStr">
        <is>
          <t>https://new.land.naver.com/complexes/26782?tab=detail&amp;rf=Y</t>
        </is>
      </c>
      <c r="AA425" s="0" t="inlineStr">
        <is>
          <t>서울시 강동구 길동 103-5</t>
        </is>
      </c>
      <c r="AB425" s="0" t="inlineStr">
        <is>
          <t>서울시</t>
        </is>
      </c>
      <c r="AC425" s="0" t="inlineStr">
        <is>
          <t>강동구</t>
        </is>
      </c>
      <c r="AD425" s="0" t="inlineStr">
        <is>
          <t>길동</t>
        </is>
      </c>
      <c r="AG425" s="0" t="inlineStr">
        <is>
          <t>서울시 강동구 천중로56길 41</t>
        </is>
      </c>
      <c r="AH425" s="0" t="n">
        <v>0</v>
      </c>
      <c r="AI425" s="0" t="n">
        <v>245</v>
      </c>
      <c r="AJ425" s="0" t="n">
        <v>38</v>
      </c>
      <c r="AK425" s="0" t="n">
        <v>32</v>
      </c>
      <c r="AL425" s="0" t="n">
        <v>1.14</v>
      </c>
    </row>
    <row r="426">
      <c r="A426" s="0" t="inlineStr">
        <is>
          <t>[길동]</t>
        </is>
      </c>
      <c r="B426" s="0" t="n">
        <v>26782</v>
      </c>
      <c r="C426" s="0" t="n">
        <v>11</v>
      </c>
      <c r="D426" s="0" t="inlineStr">
        <is>
          <t>청원파크빌3차</t>
        </is>
      </c>
      <c r="E426" s="0" t="inlineStr">
        <is>
          <t>2006.12.</t>
        </is>
      </c>
      <c r="F426" s="0" t="n">
        <v>28</v>
      </c>
      <c r="G426" s="0" t="n">
        <v>33.1</v>
      </c>
      <c r="H426" s="0" t="n">
        <v>109.44</v>
      </c>
      <c r="I426" s="0" t="n">
        <v>27.19</v>
      </c>
      <c r="J426" s="0" t="n">
        <v>89.90000000000001</v>
      </c>
      <c r="K426" s="0" t="n">
        <v>1</v>
      </c>
      <c r="T426" s="0" t="n">
        <v>3</v>
      </c>
      <c r="U426" s="0" t="n">
        <v>2</v>
      </c>
      <c r="V426" s="0" t="inlineStr">
        <is>
          <t>복도식</t>
        </is>
      </c>
      <c r="W426" s="0" t="inlineStr">
        <is>
          <t>109B</t>
        </is>
      </c>
      <c r="X426" s="0" t="n">
        <v>7</v>
      </c>
      <c r="Y426" s="0" t="n">
        <v>7</v>
      </c>
      <c r="Z426" s="0" t="inlineStr">
        <is>
          <t>https://new.land.naver.com/complexes/26782?tab=detail&amp;rf=Y</t>
        </is>
      </c>
      <c r="AA426" s="0" t="inlineStr">
        <is>
          <t>서울시 강동구 길동 103-5</t>
        </is>
      </c>
      <c r="AB426" s="0" t="inlineStr">
        <is>
          <t>서울시</t>
        </is>
      </c>
      <c r="AC426" s="0" t="inlineStr">
        <is>
          <t>강동구</t>
        </is>
      </c>
      <c r="AD426" s="0" t="inlineStr">
        <is>
          <t>길동</t>
        </is>
      </c>
      <c r="AG426" s="0" t="inlineStr">
        <is>
          <t>서울시 강동구 천중로56길 41</t>
        </is>
      </c>
      <c r="AH426" s="0" t="n">
        <v>0</v>
      </c>
      <c r="AI426" s="0" t="n">
        <v>245</v>
      </c>
      <c r="AJ426" s="0" t="n">
        <v>38</v>
      </c>
      <c r="AK426" s="0" t="n">
        <v>32</v>
      </c>
      <c r="AL426" s="0" t="n">
        <v>1.14</v>
      </c>
    </row>
    <row r="427">
      <c r="A427" s="0" t="inlineStr">
        <is>
          <t>[길동]</t>
        </is>
      </c>
      <c r="B427" s="0" t="n">
        <v>102000</v>
      </c>
      <c r="C427" s="0" t="n">
        <v>1</v>
      </c>
      <c r="D427" s="0" t="inlineStr">
        <is>
          <t>광남(355-2)</t>
        </is>
      </c>
      <c r="E427" s="0" t="inlineStr">
        <is>
          <t>2004.01.</t>
        </is>
      </c>
      <c r="F427" s="0" t="n">
        <v>18</v>
      </c>
      <c r="G427" s="0" t="n">
        <v>27.11</v>
      </c>
      <c r="H427" s="0" t="n">
        <v>89.64</v>
      </c>
      <c r="I427" s="0" t="n">
        <v>23.14</v>
      </c>
      <c r="J427" s="0" t="n">
        <v>76.5</v>
      </c>
      <c r="K427" s="0" t="n">
        <v>1</v>
      </c>
      <c r="T427" s="0" t="n">
        <v>3</v>
      </c>
      <c r="U427" s="0" t="n">
        <v>2</v>
      </c>
      <c r="V427" s="0" t="inlineStr">
        <is>
          <t>계단식</t>
        </is>
      </c>
      <c r="W427" s="0" t="n">
        <v>89</v>
      </c>
      <c r="X427" s="0" t="n">
        <v>7</v>
      </c>
      <c r="Y427" s="0" t="n">
        <v>7</v>
      </c>
      <c r="Z427" s="0" t="inlineStr">
        <is>
          <t>https://new.land.naver.com/complexes/102000?tab=detail&amp;rf=Y</t>
        </is>
      </c>
      <c r="AA427" s="0" t="inlineStr">
        <is>
          <t>서울시 강동구 길동 355-2</t>
        </is>
      </c>
      <c r="AB427" s="0" t="inlineStr">
        <is>
          <t>서울시</t>
        </is>
      </c>
      <c r="AC427" s="0" t="inlineStr">
        <is>
          <t>강동구</t>
        </is>
      </c>
      <c r="AD427" s="0" t="inlineStr">
        <is>
          <t>길동</t>
        </is>
      </c>
      <c r="AG427" s="0" t="inlineStr">
        <is>
          <t>서울시 강동구 천중로52길 9-10</t>
        </is>
      </c>
      <c r="AH427" s="0" t="n">
        <v>0</v>
      </c>
      <c r="AI427" s="0" t="n">
        <v>207</v>
      </c>
      <c r="AJ427" s="0" t="n">
        <v>36</v>
      </c>
      <c r="AK427" s="0" t="n">
        <v>21</v>
      </c>
      <c r="AL427" s="0" t="n">
        <v>1.17</v>
      </c>
    </row>
    <row r="428">
      <c r="A428" s="0" t="inlineStr">
        <is>
          <t>[길동]</t>
        </is>
      </c>
      <c r="B428" s="0" t="n">
        <v>102000</v>
      </c>
      <c r="C428" s="0" t="n">
        <v>2</v>
      </c>
      <c r="D428" s="0" t="inlineStr">
        <is>
          <t>광남(355-2)</t>
        </is>
      </c>
      <c r="E428" s="0" t="inlineStr">
        <is>
          <t>2004.01.</t>
        </is>
      </c>
      <c r="F428" s="0" t="n">
        <v>18</v>
      </c>
      <c r="G428" s="0" t="n">
        <v>28.15</v>
      </c>
      <c r="H428" s="0" t="n">
        <v>93.08</v>
      </c>
      <c r="I428" s="0" t="n">
        <v>24.03</v>
      </c>
      <c r="J428" s="0" t="n">
        <v>79.44</v>
      </c>
      <c r="K428" s="0" t="n">
        <v>1</v>
      </c>
      <c r="T428" s="0" t="n">
        <v>3</v>
      </c>
      <c r="U428" s="0" t="n">
        <v>2</v>
      </c>
      <c r="V428" s="0" t="inlineStr">
        <is>
          <t>계단식</t>
        </is>
      </c>
      <c r="W428" s="0" t="n">
        <v>93</v>
      </c>
      <c r="X428" s="0" t="n">
        <v>7</v>
      </c>
      <c r="Y428" s="0" t="n">
        <v>7</v>
      </c>
      <c r="Z428" s="0" t="inlineStr">
        <is>
          <t>https://new.land.naver.com/complexes/102000?tab=detail&amp;rf=Y</t>
        </is>
      </c>
      <c r="AA428" s="0" t="inlineStr">
        <is>
          <t>서울시 강동구 길동 355-2</t>
        </is>
      </c>
      <c r="AB428" s="0" t="inlineStr">
        <is>
          <t>서울시</t>
        </is>
      </c>
      <c r="AC428" s="0" t="inlineStr">
        <is>
          <t>강동구</t>
        </is>
      </c>
      <c r="AD428" s="0" t="inlineStr">
        <is>
          <t>길동</t>
        </is>
      </c>
      <c r="AG428" s="0" t="inlineStr">
        <is>
          <t>서울시 강동구 천중로52길 9-10</t>
        </is>
      </c>
      <c r="AH428" s="0" t="n">
        <v>0</v>
      </c>
      <c r="AI428" s="0" t="n">
        <v>207</v>
      </c>
      <c r="AJ428" s="0" t="n">
        <v>36</v>
      </c>
      <c r="AK428" s="0" t="n">
        <v>21</v>
      </c>
      <c r="AL428" s="0" t="n">
        <v>1.17</v>
      </c>
    </row>
    <row r="429">
      <c r="A429" s="0" t="inlineStr">
        <is>
          <t>[길동]</t>
        </is>
      </c>
      <c r="B429" s="0" t="n">
        <v>102000</v>
      </c>
      <c r="C429" s="0" t="n">
        <v>3</v>
      </c>
      <c r="D429" s="0" t="inlineStr">
        <is>
          <t>광남(355-2)</t>
        </is>
      </c>
      <c r="E429" s="0" t="inlineStr">
        <is>
          <t>2004.01.</t>
        </is>
      </c>
      <c r="F429" s="0" t="n">
        <v>18</v>
      </c>
      <c r="G429" s="0" t="n">
        <v>29.93</v>
      </c>
      <c r="H429" s="0" t="n">
        <v>98.95</v>
      </c>
      <c r="I429" s="0" t="n">
        <v>25.54</v>
      </c>
      <c r="J429" s="0" t="n">
        <v>84.43000000000001</v>
      </c>
      <c r="K429" s="0" t="n">
        <v>6</v>
      </c>
      <c r="T429" s="0" t="n">
        <v>3</v>
      </c>
      <c r="U429" s="0" t="n">
        <v>2</v>
      </c>
      <c r="V429" s="0" t="inlineStr">
        <is>
          <t>계단식</t>
        </is>
      </c>
      <c r="W429" s="0" t="inlineStr">
        <is>
          <t>98B</t>
        </is>
      </c>
      <c r="X429" s="0" t="n">
        <v>7</v>
      </c>
      <c r="Y429" s="0" t="n">
        <v>7</v>
      </c>
      <c r="Z429" s="0" t="inlineStr">
        <is>
          <t>https://new.land.naver.com/complexes/102000?tab=detail&amp;rf=Y</t>
        </is>
      </c>
      <c r="AA429" s="0" t="inlineStr">
        <is>
          <t>서울시 강동구 길동 355-2</t>
        </is>
      </c>
      <c r="AB429" s="0" t="inlineStr">
        <is>
          <t>서울시</t>
        </is>
      </c>
      <c r="AC429" s="0" t="inlineStr">
        <is>
          <t>강동구</t>
        </is>
      </c>
      <c r="AD429" s="0" t="inlineStr">
        <is>
          <t>길동</t>
        </is>
      </c>
      <c r="AG429" s="0" t="inlineStr">
        <is>
          <t>서울시 강동구 천중로52길 9-10</t>
        </is>
      </c>
      <c r="AH429" s="0" t="n">
        <v>0</v>
      </c>
      <c r="AI429" s="0" t="n">
        <v>207</v>
      </c>
      <c r="AJ429" s="0" t="n">
        <v>36</v>
      </c>
      <c r="AK429" s="0" t="n">
        <v>21</v>
      </c>
      <c r="AL429" s="0" t="n">
        <v>1.17</v>
      </c>
    </row>
    <row r="430">
      <c r="A430" s="0" t="inlineStr">
        <is>
          <t>[길동]</t>
        </is>
      </c>
      <c r="B430" s="0" t="n">
        <v>102000</v>
      </c>
      <c r="C430" s="0" t="n">
        <v>4</v>
      </c>
      <c r="D430" s="0" t="inlineStr">
        <is>
          <t>광남(355-2)</t>
        </is>
      </c>
      <c r="E430" s="0" t="inlineStr">
        <is>
          <t>2004.01.</t>
        </is>
      </c>
      <c r="F430" s="0" t="n">
        <v>18</v>
      </c>
      <c r="G430" s="0" t="n">
        <v>29.88</v>
      </c>
      <c r="H430" s="0" t="n">
        <v>98.8</v>
      </c>
      <c r="I430" s="0" t="n">
        <v>25.5</v>
      </c>
      <c r="J430" s="0" t="n">
        <v>84.3</v>
      </c>
      <c r="K430" s="0" t="n">
        <v>5</v>
      </c>
      <c r="T430" s="0" t="n">
        <v>3</v>
      </c>
      <c r="U430" s="0" t="n">
        <v>2</v>
      </c>
      <c r="V430" s="0" t="inlineStr">
        <is>
          <t>계단식</t>
        </is>
      </c>
      <c r="W430" s="0" t="inlineStr">
        <is>
          <t>98A</t>
        </is>
      </c>
      <c r="X430" s="0" t="n">
        <v>7</v>
      </c>
      <c r="Y430" s="0" t="n">
        <v>7</v>
      </c>
      <c r="Z430" s="0" t="inlineStr">
        <is>
          <t>https://new.land.naver.com/complexes/102000?tab=detail&amp;rf=Y</t>
        </is>
      </c>
      <c r="AA430" s="0" t="inlineStr">
        <is>
          <t>서울시 강동구 길동 355-2</t>
        </is>
      </c>
      <c r="AB430" s="0" t="inlineStr">
        <is>
          <t>서울시</t>
        </is>
      </c>
      <c r="AC430" s="0" t="inlineStr">
        <is>
          <t>강동구</t>
        </is>
      </c>
      <c r="AD430" s="0" t="inlineStr">
        <is>
          <t>길동</t>
        </is>
      </c>
      <c r="AG430" s="0" t="inlineStr">
        <is>
          <t>서울시 강동구 천중로52길 9-10</t>
        </is>
      </c>
      <c r="AH430" s="0" t="n">
        <v>0</v>
      </c>
      <c r="AI430" s="0" t="n">
        <v>207</v>
      </c>
      <c r="AJ430" s="0" t="n">
        <v>36</v>
      </c>
      <c r="AK430" s="0" t="n">
        <v>21</v>
      </c>
      <c r="AL430" s="0" t="n">
        <v>1.17</v>
      </c>
    </row>
    <row r="431">
      <c r="A431" s="0" t="inlineStr">
        <is>
          <t>[길동]</t>
        </is>
      </c>
      <c r="B431" s="0" t="n">
        <v>102000</v>
      </c>
      <c r="C431" s="0" t="n">
        <v>5</v>
      </c>
      <c r="D431" s="0" t="inlineStr">
        <is>
          <t>광남(355-2)</t>
        </is>
      </c>
      <c r="E431" s="0" t="inlineStr">
        <is>
          <t>2004.01.</t>
        </is>
      </c>
      <c r="F431" s="0" t="n">
        <v>18</v>
      </c>
      <c r="G431" s="0" t="n">
        <v>30.08</v>
      </c>
      <c r="H431" s="0" t="n">
        <v>99.44</v>
      </c>
      <c r="I431" s="0" t="n">
        <v>25.66</v>
      </c>
      <c r="J431" s="0" t="n">
        <v>84.84999999999999</v>
      </c>
      <c r="K431" s="0" t="n">
        <v>5</v>
      </c>
      <c r="T431" s="0" t="n">
        <v>3</v>
      </c>
      <c r="U431" s="0" t="n">
        <v>2</v>
      </c>
      <c r="V431" s="0" t="inlineStr">
        <is>
          <t>계단식</t>
        </is>
      </c>
      <c r="W431" s="0" t="inlineStr">
        <is>
          <t>99C</t>
        </is>
      </c>
      <c r="X431" s="0" t="n">
        <v>7</v>
      </c>
      <c r="Y431" s="0" t="n">
        <v>7</v>
      </c>
      <c r="Z431" s="0" t="inlineStr">
        <is>
          <t>https://new.land.naver.com/complexes/102000?tab=detail&amp;rf=Y</t>
        </is>
      </c>
      <c r="AA431" s="0" t="inlineStr">
        <is>
          <t>서울시 강동구 길동 355-2</t>
        </is>
      </c>
      <c r="AB431" s="0" t="inlineStr">
        <is>
          <t>서울시</t>
        </is>
      </c>
      <c r="AC431" s="0" t="inlineStr">
        <is>
          <t>강동구</t>
        </is>
      </c>
      <c r="AD431" s="0" t="inlineStr">
        <is>
          <t>길동</t>
        </is>
      </c>
      <c r="AG431" s="0" t="inlineStr">
        <is>
          <t>서울시 강동구 천중로52길 9-10</t>
        </is>
      </c>
      <c r="AH431" s="0" t="n">
        <v>0</v>
      </c>
      <c r="AI431" s="0" t="n">
        <v>207</v>
      </c>
      <c r="AJ431" s="0" t="n">
        <v>36</v>
      </c>
      <c r="AK431" s="0" t="n">
        <v>21</v>
      </c>
      <c r="AL431" s="0" t="n">
        <v>1.17</v>
      </c>
    </row>
    <row r="432">
      <c r="A432" s="0" t="inlineStr">
        <is>
          <t>[길동]</t>
        </is>
      </c>
      <c r="B432" s="0" t="n">
        <v>10149</v>
      </c>
      <c r="C432" s="0" t="n">
        <v>1</v>
      </c>
      <c r="D432" s="0" t="inlineStr">
        <is>
          <t>우림루미아트</t>
        </is>
      </c>
      <c r="E432" s="0" t="inlineStr">
        <is>
          <t>2003.12.</t>
        </is>
      </c>
      <c r="F432" s="0" t="n">
        <v>78</v>
      </c>
      <c r="G432" s="0" t="n">
        <v>29.1</v>
      </c>
      <c r="H432" s="0" t="n">
        <v>96.2</v>
      </c>
      <c r="I432" s="0" t="n">
        <v>23.47</v>
      </c>
      <c r="J432" s="0" t="n">
        <v>77.59999999999999</v>
      </c>
      <c r="K432" s="0" t="n">
        <v>4</v>
      </c>
      <c r="T432" s="0" t="n">
        <v>3</v>
      </c>
      <c r="U432" s="0" t="n">
        <v>2</v>
      </c>
      <c r="V432" s="0" t="inlineStr">
        <is>
          <t>계단식</t>
        </is>
      </c>
      <c r="W432" s="0" t="n">
        <v>96</v>
      </c>
      <c r="X432" s="0" t="n">
        <v>12</v>
      </c>
      <c r="Y432" s="0" t="n">
        <v>8</v>
      </c>
      <c r="Z432" s="0" t="inlineStr">
        <is>
          <t>https://new.land.naver.com/complexes/10149?tab=detail&amp;rf=Y</t>
        </is>
      </c>
      <c r="AA432" s="0" t="inlineStr">
        <is>
          <t>서울시 강동구 길동 45</t>
        </is>
      </c>
      <c r="AB432" s="0" t="inlineStr">
        <is>
          <t>서울시</t>
        </is>
      </c>
      <c r="AC432" s="0" t="inlineStr">
        <is>
          <t>강동구</t>
        </is>
      </c>
      <c r="AD432" s="0" t="inlineStr">
        <is>
          <t>길동</t>
        </is>
      </c>
      <c r="AG432" s="0" t="inlineStr">
        <is>
          <t>서울시 강동구 명일로26길 20</t>
        </is>
      </c>
      <c r="AH432" s="0" t="n">
        <v>0</v>
      </c>
      <c r="AI432" s="0" t="n">
        <v>277</v>
      </c>
      <c r="AJ432" s="0" t="n">
        <v>28</v>
      </c>
      <c r="AK432" s="0" t="n">
        <v>87</v>
      </c>
      <c r="AL432" s="0" t="n">
        <v>1.12</v>
      </c>
    </row>
    <row r="433">
      <c r="A433" s="0" t="inlineStr">
        <is>
          <t>[길동]</t>
        </is>
      </c>
      <c r="B433" s="0" t="n">
        <v>10149</v>
      </c>
      <c r="C433" s="0" t="n">
        <v>2</v>
      </c>
      <c r="D433" s="0" t="inlineStr">
        <is>
          <t>우림루미아트</t>
        </is>
      </c>
      <c r="E433" s="0" t="inlineStr">
        <is>
          <t>2003.12.</t>
        </is>
      </c>
      <c r="F433" s="0" t="n">
        <v>78</v>
      </c>
      <c r="G433" s="0" t="n">
        <v>30.4</v>
      </c>
      <c r="H433" s="0" t="n">
        <v>100.5</v>
      </c>
      <c r="I433" s="0" t="n">
        <v>24.43</v>
      </c>
      <c r="J433" s="0" t="n">
        <v>80.79000000000001</v>
      </c>
      <c r="K433" s="0" t="n">
        <v>11</v>
      </c>
      <c r="T433" s="0" t="n">
        <v>3</v>
      </c>
      <c r="U433" s="0" t="n">
        <v>2</v>
      </c>
      <c r="V433" s="0" t="inlineStr">
        <is>
          <t>계단식</t>
        </is>
      </c>
      <c r="W433" s="0" t="n">
        <v>100</v>
      </c>
      <c r="X433" s="0" t="n">
        <v>12</v>
      </c>
      <c r="Y433" s="0" t="n">
        <v>8</v>
      </c>
      <c r="Z433" s="0" t="inlineStr">
        <is>
          <t>https://new.land.naver.com/complexes/10149?tab=detail&amp;rf=Y</t>
        </is>
      </c>
      <c r="AA433" s="0" t="inlineStr">
        <is>
          <t>서울시 강동구 길동 45</t>
        </is>
      </c>
      <c r="AB433" s="0" t="inlineStr">
        <is>
          <t>서울시</t>
        </is>
      </c>
      <c r="AC433" s="0" t="inlineStr">
        <is>
          <t>강동구</t>
        </is>
      </c>
      <c r="AD433" s="0" t="inlineStr">
        <is>
          <t>길동</t>
        </is>
      </c>
      <c r="AG433" s="0" t="inlineStr">
        <is>
          <t>서울시 강동구 명일로26길 20</t>
        </is>
      </c>
      <c r="AH433" s="0" t="n">
        <v>0</v>
      </c>
      <c r="AI433" s="0" t="n">
        <v>277</v>
      </c>
      <c r="AJ433" s="0" t="n">
        <v>28</v>
      </c>
      <c r="AK433" s="0" t="n">
        <v>87</v>
      </c>
      <c r="AL433" s="0" t="n">
        <v>1.12</v>
      </c>
    </row>
    <row r="434">
      <c r="A434" s="0" t="inlineStr">
        <is>
          <t>[길동]</t>
        </is>
      </c>
      <c r="B434" s="0" t="n">
        <v>10149</v>
      </c>
      <c r="C434" s="0" t="n">
        <v>3</v>
      </c>
      <c r="D434" s="0" t="inlineStr">
        <is>
          <t>우림루미아트</t>
        </is>
      </c>
      <c r="E434" s="0" t="inlineStr">
        <is>
          <t>2003.12.</t>
        </is>
      </c>
      <c r="F434" s="0" t="n">
        <v>78</v>
      </c>
      <c r="G434" s="0" t="n">
        <v>31.63</v>
      </c>
      <c r="H434" s="0" t="n">
        <v>104.58</v>
      </c>
      <c r="I434" s="0" t="n">
        <v>25.43</v>
      </c>
      <c r="J434" s="0" t="n">
        <v>84.06999999999999</v>
      </c>
      <c r="K434" s="0" t="n">
        <v>44</v>
      </c>
      <c r="T434" s="0" t="n">
        <v>3</v>
      </c>
      <c r="U434" s="0" t="n">
        <v>2</v>
      </c>
      <c r="V434" s="0" t="inlineStr">
        <is>
          <t>계단식</t>
        </is>
      </c>
      <c r="W434" s="0" t="inlineStr">
        <is>
          <t>104A</t>
        </is>
      </c>
      <c r="X434" s="0" t="n">
        <v>12</v>
      </c>
      <c r="Y434" s="0" t="n">
        <v>8</v>
      </c>
      <c r="Z434" s="0" t="inlineStr">
        <is>
          <t>https://new.land.naver.com/complexes/10149?tab=detail&amp;rf=Y</t>
        </is>
      </c>
      <c r="AA434" s="0" t="inlineStr">
        <is>
          <t>서울시 강동구 길동 45</t>
        </is>
      </c>
      <c r="AB434" s="0" t="inlineStr">
        <is>
          <t>서울시</t>
        </is>
      </c>
      <c r="AC434" s="0" t="inlineStr">
        <is>
          <t>강동구</t>
        </is>
      </c>
      <c r="AD434" s="0" t="inlineStr">
        <is>
          <t>길동</t>
        </is>
      </c>
      <c r="AG434" s="0" t="inlineStr">
        <is>
          <t>서울시 강동구 명일로26길 20</t>
        </is>
      </c>
      <c r="AH434" s="0" t="n">
        <v>0</v>
      </c>
      <c r="AI434" s="0" t="n">
        <v>277</v>
      </c>
      <c r="AJ434" s="0" t="n">
        <v>28</v>
      </c>
      <c r="AK434" s="0" t="n">
        <v>87</v>
      </c>
      <c r="AL434" s="0" t="n">
        <v>1.12</v>
      </c>
    </row>
    <row r="435">
      <c r="A435" s="0" t="inlineStr">
        <is>
          <t>[길동]</t>
        </is>
      </c>
      <c r="B435" s="0" t="n">
        <v>10149</v>
      </c>
      <c r="C435" s="0" t="n">
        <v>4</v>
      </c>
      <c r="D435" s="0" t="inlineStr">
        <is>
          <t>우림루미아트</t>
        </is>
      </c>
      <c r="E435" s="0" t="inlineStr">
        <is>
          <t>2003.12.</t>
        </is>
      </c>
      <c r="F435" s="0" t="n">
        <v>78</v>
      </c>
      <c r="G435" s="0" t="n">
        <v>31.52</v>
      </c>
      <c r="H435" s="0" t="n">
        <v>104.2</v>
      </c>
      <c r="I435" s="0" t="n">
        <v>25.58</v>
      </c>
      <c r="J435" s="0" t="n">
        <v>84.56999999999999</v>
      </c>
      <c r="K435" s="0" t="n">
        <v>19</v>
      </c>
      <c r="T435" s="0" t="n">
        <v>3</v>
      </c>
      <c r="U435" s="0" t="n">
        <v>2</v>
      </c>
      <c r="V435" s="0" t="inlineStr">
        <is>
          <t>계단식</t>
        </is>
      </c>
      <c r="W435" s="0" t="inlineStr">
        <is>
          <t>104B</t>
        </is>
      </c>
      <c r="X435" s="0" t="n">
        <v>12</v>
      </c>
      <c r="Y435" s="0" t="n">
        <v>8</v>
      </c>
      <c r="Z435" s="0" t="inlineStr">
        <is>
          <t>https://new.land.naver.com/complexes/10149?tab=detail&amp;rf=Y</t>
        </is>
      </c>
      <c r="AA435" s="0" t="inlineStr">
        <is>
          <t>서울시 강동구 길동 45</t>
        </is>
      </c>
      <c r="AB435" s="0" t="inlineStr">
        <is>
          <t>서울시</t>
        </is>
      </c>
      <c r="AC435" s="0" t="inlineStr">
        <is>
          <t>강동구</t>
        </is>
      </c>
      <c r="AD435" s="0" t="inlineStr">
        <is>
          <t>길동</t>
        </is>
      </c>
      <c r="AG435" s="0" t="inlineStr">
        <is>
          <t>서울시 강동구 명일로26길 20</t>
        </is>
      </c>
      <c r="AH435" s="0" t="n">
        <v>0</v>
      </c>
      <c r="AI435" s="0" t="n">
        <v>277</v>
      </c>
      <c r="AJ435" s="0" t="n">
        <v>28</v>
      </c>
      <c r="AK435" s="0" t="n">
        <v>87</v>
      </c>
      <c r="AL435" s="0" t="n">
        <v>1.12</v>
      </c>
    </row>
    <row r="436">
      <c r="A436" s="0" t="inlineStr">
        <is>
          <t>[길동]</t>
        </is>
      </c>
      <c r="B436" s="0" t="n">
        <v>27165</v>
      </c>
      <c r="C436" s="0" t="n">
        <v>1</v>
      </c>
      <c r="D436" s="0" t="inlineStr">
        <is>
          <t>하이존</t>
        </is>
      </c>
      <c r="E436" s="0" t="inlineStr">
        <is>
          <t>2004.04.</t>
        </is>
      </c>
      <c r="F436" s="0" t="n">
        <v>19</v>
      </c>
      <c r="G436" s="0" t="n">
        <v>23.14</v>
      </c>
      <c r="H436" s="0" t="n">
        <v>76.51000000000001</v>
      </c>
      <c r="I436" s="0" t="n">
        <v>19.63</v>
      </c>
      <c r="J436" s="0" t="n">
        <v>64.91</v>
      </c>
      <c r="K436" s="0" t="n">
        <v>2</v>
      </c>
      <c r="T436" s="0" t="n">
        <v>3</v>
      </c>
      <c r="U436" s="0" t="n">
        <v>1</v>
      </c>
      <c r="V436" s="0" t="inlineStr">
        <is>
          <t>복도식</t>
        </is>
      </c>
      <c r="W436" s="0" t="n">
        <v>76</v>
      </c>
      <c r="X436" s="0" t="n">
        <v>7</v>
      </c>
      <c r="Y436" s="0" t="n">
        <v>7</v>
      </c>
      <c r="Z436" s="0" t="inlineStr">
        <is>
          <t>https://new.land.naver.com/complexes/27165?tab=detail&amp;rf=Y</t>
        </is>
      </c>
      <c r="AA436" s="0" t="inlineStr">
        <is>
          <t>서울시 강동구 길동 106</t>
        </is>
      </c>
      <c r="AB436" s="0" t="inlineStr">
        <is>
          <t>서울시</t>
        </is>
      </c>
      <c r="AC436" s="0" t="inlineStr">
        <is>
          <t>강동구</t>
        </is>
      </c>
      <c r="AD436" s="0" t="inlineStr">
        <is>
          <t>길동</t>
        </is>
      </c>
      <c r="AG436" s="0" t="inlineStr">
        <is>
          <t>서울시 강동구 명일로 222</t>
        </is>
      </c>
      <c r="AH436" s="0" t="n">
        <v>0</v>
      </c>
      <c r="AI436" s="0" t="n">
        <v>297</v>
      </c>
      <c r="AJ436" s="0" t="n">
        <v>51</v>
      </c>
      <c r="AK436" s="0" t="n">
        <v>22</v>
      </c>
      <c r="AL436" s="0" t="n">
        <v>1.16</v>
      </c>
    </row>
    <row r="437">
      <c r="A437" s="0" t="inlineStr">
        <is>
          <t>[길동]</t>
        </is>
      </c>
      <c r="B437" s="0" t="n">
        <v>27165</v>
      </c>
      <c r="C437" s="0" t="n">
        <v>2</v>
      </c>
      <c r="D437" s="0" t="inlineStr">
        <is>
          <t>하이존</t>
        </is>
      </c>
      <c r="E437" s="0" t="inlineStr">
        <is>
          <t>2004.04.</t>
        </is>
      </c>
      <c r="F437" s="0" t="n">
        <v>19</v>
      </c>
      <c r="G437" s="0" t="n">
        <v>24.47</v>
      </c>
      <c r="H437" s="0" t="n">
        <v>80.91</v>
      </c>
      <c r="I437" s="0" t="n">
        <v>20.76</v>
      </c>
      <c r="J437" s="0" t="n">
        <v>68.65000000000001</v>
      </c>
      <c r="K437" s="0" t="n">
        <v>1</v>
      </c>
      <c r="T437" s="0" t="n">
        <v>3</v>
      </c>
      <c r="U437" s="0" t="n">
        <v>1</v>
      </c>
      <c r="V437" s="0" t="inlineStr">
        <is>
          <t>복도식</t>
        </is>
      </c>
      <c r="W437" s="0" t="n">
        <v>80</v>
      </c>
      <c r="X437" s="0" t="n">
        <v>7</v>
      </c>
      <c r="Y437" s="0" t="n">
        <v>7</v>
      </c>
      <c r="Z437" s="0" t="inlineStr">
        <is>
          <t>https://new.land.naver.com/complexes/27165?tab=detail&amp;rf=Y</t>
        </is>
      </c>
      <c r="AA437" s="0" t="inlineStr">
        <is>
          <t>서울시 강동구 길동 106</t>
        </is>
      </c>
      <c r="AB437" s="0" t="inlineStr">
        <is>
          <t>서울시</t>
        </is>
      </c>
      <c r="AC437" s="0" t="inlineStr">
        <is>
          <t>강동구</t>
        </is>
      </c>
      <c r="AD437" s="0" t="inlineStr">
        <is>
          <t>길동</t>
        </is>
      </c>
      <c r="AG437" s="0" t="inlineStr">
        <is>
          <t>서울시 강동구 명일로 222</t>
        </is>
      </c>
      <c r="AH437" s="0" t="n">
        <v>0</v>
      </c>
      <c r="AI437" s="0" t="n">
        <v>297</v>
      </c>
      <c r="AJ437" s="0" t="n">
        <v>51</v>
      </c>
      <c r="AK437" s="0" t="n">
        <v>22</v>
      </c>
      <c r="AL437" s="0" t="n">
        <v>1.16</v>
      </c>
    </row>
    <row r="438">
      <c r="A438" s="0" t="inlineStr">
        <is>
          <t>[길동]</t>
        </is>
      </c>
      <c r="B438" s="0" t="n">
        <v>27165</v>
      </c>
      <c r="C438" s="0" t="n">
        <v>3</v>
      </c>
      <c r="D438" s="0" t="inlineStr">
        <is>
          <t>하이존</t>
        </is>
      </c>
      <c r="E438" s="0" t="inlineStr">
        <is>
          <t>2004.04.</t>
        </is>
      </c>
      <c r="F438" s="0" t="n">
        <v>19</v>
      </c>
      <c r="G438" s="0" t="n">
        <v>29.46</v>
      </c>
      <c r="H438" s="0" t="n">
        <v>97.40000000000001</v>
      </c>
      <c r="I438" s="0" t="n">
        <v>24.99</v>
      </c>
      <c r="J438" s="0" t="n">
        <v>82.64</v>
      </c>
      <c r="K438" s="0" t="n">
        <v>2</v>
      </c>
      <c r="T438" s="0" t="n">
        <v>3</v>
      </c>
      <c r="U438" s="0" t="n">
        <v>2</v>
      </c>
      <c r="V438" s="0" t="inlineStr">
        <is>
          <t>복도식</t>
        </is>
      </c>
      <c r="W438" s="0" t="n">
        <v>97</v>
      </c>
      <c r="X438" s="0" t="n">
        <v>7</v>
      </c>
      <c r="Y438" s="0" t="n">
        <v>7</v>
      </c>
      <c r="Z438" s="0" t="inlineStr">
        <is>
          <t>https://new.land.naver.com/complexes/27165?tab=detail&amp;rf=Y</t>
        </is>
      </c>
      <c r="AA438" s="0" t="inlineStr">
        <is>
          <t>서울시 강동구 길동 106</t>
        </is>
      </c>
      <c r="AB438" s="0" t="inlineStr">
        <is>
          <t>서울시</t>
        </is>
      </c>
      <c r="AC438" s="0" t="inlineStr">
        <is>
          <t>강동구</t>
        </is>
      </c>
      <c r="AD438" s="0" t="inlineStr">
        <is>
          <t>길동</t>
        </is>
      </c>
      <c r="AG438" s="0" t="inlineStr">
        <is>
          <t>서울시 강동구 명일로 222</t>
        </is>
      </c>
      <c r="AH438" s="0" t="n">
        <v>0</v>
      </c>
      <c r="AI438" s="0" t="n">
        <v>297</v>
      </c>
      <c r="AJ438" s="0" t="n">
        <v>51</v>
      </c>
      <c r="AK438" s="0" t="n">
        <v>22</v>
      </c>
      <c r="AL438" s="0" t="n">
        <v>1.16</v>
      </c>
    </row>
    <row r="439">
      <c r="A439" s="0" t="inlineStr">
        <is>
          <t>[길동]</t>
        </is>
      </c>
      <c r="B439" s="0" t="n">
        <v>27165</v>
      </c>
      <c r="C439" s="0" t="n">
        <v>4</v>
      </c>
      <c r="D439" s="0" t="inlineStr">
        <is>
          <t>하이존</t>
        </is>
      </c>
      <c r="E439" s="0" t="inlineStr">
        <is>
          <t>2004.04.</t>
        </is>
      </c>
      <c r="F439" s="0" t="n">
        <v>19</v>
      </c>
      <c r="G439" s="0" t="n">
        <v>30</v>
      </c>
      <c r="H439" s="0" t="n">
        <v>99.18000000000001</v>
      </c>
      <c r="I439" s="0" t="n">
        <v>25.45</v>
      </c>
      <c r="J439" s="0" t="n">
        <v>84.14</v>
      </c>
      <c r="K439" s="0" t="n">
        <v>9</v>
      </c>
      <c r="T439" s="0" t="n">
        <v>3</v>
      </c>
      <c r="U439" s="0" t="n">
        <v>2</v>
      </c>
      <c r="V439" s="0" t="inlineStr">
        <is>
          <t>계단식</t>
        </is>
      </c>
      <c r="W439" s="0" t="inlineStr">
        <is>
          <t>99A</t>
        </is>
      </c>
      <c r="X439" s="0" t="n">
        <v>7</v>
      </c>
      <c r="Y439" s="0" t="n">
        <v>7</v>
      </c>
      <c r="Z439" s="0" t="inlineStr">
        <is>
          <t>https://new.land.naver.com/complexes/27165?tab=detail&amp;rf=Y</t>
        </is>
      </c>
      <c r="AA439" s="0" t="inlineStr">
        <is>
          <t>서울시 강동구 길동 106</t>
        </is>
      </c>
      <c r="AB439" s="0" t="inlineStr">
        <is>
          <t>서울시</t>
        </is>
      </c>
      <c r="AC439" s="0" t="inlineStr">
        <is>
          <t>강동구</t>
        </is>
      </c>
      <c r="AD439" s="0" t="inlineStr">
        <is>
          <t>길동</t>
        </is>
      </c>
      <c r="AG439" s="0" t="inlineStr">
        <is>
          <t>서울시 강동구 명일로 222</t>
        </is>
      </c>
      <c r="AH439" s="0" t="n">
        <v>0</v>
      </c>
      <c r="AI439" s="0" t="n">
        <v>297</v>
      </c>
      <c r="AJ439" s="0" t="n">
        <v>51</v>
      </c>
      <c r="AK439" s="0" t="n">
        <v>22</v>
      </c>
      <c r="AL439" s="0" t="n">
        <v>1.16</v>
      </c>
    </row>
    <row r="440">
      <c r="A440" s="0" t="inlineStr">
        <is>
          <t>[길동]</t>
        </is>
      </c>
      <c r="B440" s="0" t="n">
        <v>27165</v>
      </c>
      <c r="C440" s="0" t="n">
        <v>5</v>
      </c>
      <c r="D440" s="0" t="inlineStr">
        <is>
          <t>하이존</t>
        </is>
      </c>
      <c r="E440" s="0" t="inlineStr">
        <is>
          <t>2004.04.</t>
        </is>
      </c>
      <c r="F440" s="0" t="n">
        <v>19</v>
      </c>
      <c r="G440" s="0" t="n">
        <v>30.15</v>
      </c>
      <c r="H440" s="0" t="n">
        <v>99.69</v>
      </c>
      <c r="I440" s="0" t="n">
        <v>25.58</v>
      </c>
      <c r="J440" s="0" t="n">
        <v>84.56999999999999</v>
      </c>
      <c r="K440" s="0" t="n">
        <v>5</v>
      </c>
      <c r="T440" s="0" t="n">
        <v>3</v>
      </c>
      <c r="U440" s="0" t="n">
        <v>2</v>
      </c>
      <c r="V440" s="0" t="inlineStr">
        <is>
          <t>계단식</t>
        </is>
      </c>
      <c r="W440" s="0" t="inlineStr">
        <is>
          <t>99B</t>
        </is>
      </c>
      <c r="X440" s="0" t="n">
        <v>7</v>
      </c>
      <c r="Y440" s="0" t="n">
        <v>7</v>
      </c>
      <c r="Z440" s="0" t="inlineStr">
        <is>
          <t>https://new.land.naver.com/complexes/27165?tab=detail&amp;rf=Y</t>
        </is>
      </c>
      <c r="AA440" s="0" t="inlineStr">
        <is>
          <t>서울시 강동구 길동 106</t>
        </is>
      </c>
      <c r="AB440" s="0" t="inlineStr">
        <is>
          <t>서울시</t>
        </is>
      </c>
      <c r="AC440" s="0" t="inlineStr">
        <is>
          <t>강동구</t>
        </is>
      </c>
      <c r="AD440" s="0" t="inlineStr">
        <is>
          <t>길동</t>
        </is>
      </c>
      <c r="AG440" s="0" t="inlineStr">
        <is>
          <t>서울시 강동구 명일로 222</t>
        </is>
      </c>
      <c r="AH440" s="0" t="n">
        <v>0</v>
      </c>
      <c r="AI440" s="0" t="n">
        <v>297</v>
      </c>
      <c r="AJ440" s="0" t="n">
        <v>51</v>
      </c>
      <c r="AK440" s="0" t="n">
        <v>22</v>
      </c>
      <c r="AL440" s="0" t="n">
        <v>1.16</v>
      </c>
    </row>
    <row r="441">
      <c r="A441" s="0" t="inlineStr">
        <is>
          <t>[길동]</t>
        </is>
      </c>
      <c r="B441" s="0" t="n">
        <v>118048</v>
      </c>
      <c r="C441" s="0" t="n">
        <v>1</v>
      </c>
      <c r="D441" s="0" t="inlineStr">
        <is>
          <t>백천이스트하임(도시형)</t>
        </is>
      </c>
      <c r="E441" s="0" t="inlineStr">
        <is>
          <t>2012.12.</t>
        </is>
      </c>
      <c r="F441" s="0" t="n">
        <v>84</v>
      </c>
      <c r="G441" s="0" t="n">
        <v>7.9</v>
      </c>
      <c r="H441" s="0" t="n">
        <v>26.12</v>
      </c>
      <c r="I441" s="0" t="n">
        <v>5.26</v>
      </c>
      <c r="J441" s="0" t="n">
        <v>17.39</v>
      </c>
      <c r="K441" s="0" t="n">
        <v>70</v>
      </c>
      <c r="T441" s="0" t="n">
        <v>1</v>
      </c>
      <c r="U441" s="0" t="n">
        <v>1</v>
      </c>
      <c r="V441" s="0" t="inlineStr">
        <is>
          <t>복도식</t>
        </is>
      </c>
      <c r="W441" s="0" t="n">
        <v>26</v>
      </c>
      <c r="X441" s="0" t="n">
        <v>8</v>
      </c>
      <c r="Y441" s="0" t="n">
        <v>8</v>
      </c>
      <c r="Z441" s="0" t="inlineStr">
        <is>
          <t>https://new.land.naver.com/complexes/118048?tab=detail&amp;rf=Y</t>
        </is>
      </c>
      <c r="AA441" s="0" t="inlineStr">
        <is>
          <t>서울시 강동구 길동 366-13</t>
        </is>
      </c>
      <c r="AB441" s="0" t="inlineStr">
        <is>
          <t>서울시</t>
        </is>
      </c>
      <c r="AC441" s="0" t="inlineStr">
        <is>
          <t>강동구</t>
        </is>
      </c>
      <c r="AD441" s="0" t="inlineStr">
        <is>
          <t>길동</t>
        </is>
      </c>
      <c r="AG441" s="0" t="inlineStr">
        <is>
          <t>서울시 강동구 양재대로 1500</t>
        </is>
      </c>
      <c r="AH441" s="0" t="n">
        <v>0</v>
      </c>
      <c r="AI441" s="0" t="n">
        <v>249</v>
      </c>
      <c r="AJ441" s="0" t="n">
        <v>47</v>
      </c>
      <c r="AK441" s="0" t="n">
        <v>28</v>
      </c>
      <c r="AL441" s="0" t="n">
        <v>0.33</v>
      </c>
    </row>
    <row r="442">
      <c r="A442" s="0" t="inlineStr">
        <is>
          <t>[길동]</t>
        </is>
      </c>
      <c r="B442" s="0" t="n">
        <v>118048</v>
      </c>
      <c r="C442" s="0" t="n">
        <v>2</v>
      </c>
      <c r="D442" s="0" t="inlineStr">
        <is>
          <t>백천이스트하임(도시형)</t>
        </is>
      </c>
      <c r="E442" s="0" t="inlineStr">
        <is>
          <t>2012.12.</t>
        </is>
      </c>
      <c r="F442" s="0" t="n">
        <v>84</v>
      </c>
      <c r="G442" s="0" t="n">
        <v>9.74</v>
      </c>
      <c r="H442" s="0" t="n">
        <v>32.22</v>
      </c>
      <c r="I442" s="0" t="n">
        <v>6.48</v>
      </c>
      <c r="J442" s="0" t="n">
        <v>21.44</v>
      </c>
      <c r="K442" s="0" t="n">
        <v>14</v>
      </c>
      <c r="T442" s="0" t="n">
        <v>1</v>
      </c>
      <c r="U442" s="0" t="n">
        <v>1</v>
      </c>
      <c r="V442" s="0" t="inlineStr">
        <is>
          <t>복도식</t>
        </is>
      </c>
      <c r="W442" s="0" t="n">
        <v>32</v>
      </c>
      <c r="X442" s="0" t="n">
        <v>8</v>
      </c>
      <c r="Y442" s="0" t="n">
        <v>8</v>
      </c>
      <c r="Z442" s="0" t="inlineStr">
        <is>
          <t>https://new.land.naver.com/complexes/118048?tab=detail&amp;rf=Y</t>
        </is>
      </c>
      <c r="AA442" s="0" t="inlineStr">
        <is>
          <t>서울시 강동구 길동 366-13</t>
        </is>
      </c>
      <c r="AB442" s="0" t="inlineStr">
        <is>
          <t>서울시</t>
        </is>
      </c>
      <c r="AC442" s="0" t="inlineStr">
        <is>
          <t>강동구</t>
        </is>
      </c>
      <c r="AD442" s="0" t="inlineStr">
        <is>
          <t>길동</t>
        </is>
      </c>
      <c r="AG442" s="0" t="inlineStr">
        <is>
          <t>서울시 강동구 양재대로 1500</t>
        </is>
      </c>
      <c r="AH442" s="0" t="n">
        <v>0</v>
      </c>
      <c r="AI442" s="0" t="n">
        <v>249</v>
      </c>
      <c r="AJ442" s="0" t="n">
        <v>47</v>
      </c>
      <c r="AK442" s="0" t="n">
        <v>28</v>
      </c>
      <c r="AL442" s="0" t="n">
        <v>0.33</v>
      </c>
    </row>
    <row r="443">
      <c r="A443" s="0" t="inlineStr">
        <is>
          <t>[길동]</t>
        </is>
      </c>
      <c r="B443" s="0" t="n">
        <v>14159</v>
      </c>
      <c r="C443" s="0" t="n">
        <v>1</v>
      </c>
      <c r="D443" s="0" t="inlineStr">
        <is>
          <t>우성(382-6)</t>
        </is>
      </c>
      <c r="E443" s="0" t="inlineStr">
        <is>
          <t>1996.05.</t>
        </is>
      </c>
      <c r="F443" s="0" t="n">
        <v>49</v>
      </c>
      <c r="G443" s="0" t="n">
        <v>19.68</v>
      </c>
      <c r="H443" s="0" t="n">
        <v>65.09</v>
      </c>
      <c r="I443" s="0" t="n">
        <v>13.52</v>
      </c>
      <c r="J443" s="0" t="n">
        <v>44.7</v>
      </c>
      <c r="K443" s="0" t="n">
        <v>1</v>
      </c>
      <c r="T443" s="0" t="n">
        <v>2</v>
      </c>
      <c r="U443" s="0" t="n">
        <v>1</v>
      </c>
      <c r="V443" s="0" t="inlineStr">
        <is>
          <t>복도식</t>
        </is>
      </c>
      <c r="W443" s="0" t="n">
        <v>65</v>
      </c>
      <c r="X443" s="0" t="n">
        <v>7</v>
      </c>
      <c r="Y443" s="0" t="n">
        <v>7</v>
      </c>
      <c r="Z443" s="0" t="inlineStr">
        <is>
          <t>https://new.land.naver.com/complexes/14159?tab=detail&amp;rf=Y</t>
        </is>
      </c>
      <c r="AA443" s="0" t="inlineStr">
        <is>
          <t>서울시 강동구 길동 382-6</t>
        </is>
      </c>
      <c r="AB443" s="0" t="inlineStr">
        <is>
          <t>서울시</t>
        </is>
      </c>
      <c r="AC443" s="0" t="inlineStr">
        <is>
          <t>강동구</t>
        </is>
      </c>
      <c r="AD443" s="0" t="inlineStr">
        <is>
          <t>길동</t>
        </is>
      </c>
      <c r="AG443" s="0" t="inlineStr">
        <is>
          <t>서울시 강동구 양재대로113길 50</t>
        </is>
      </c>
      <c r="AH443" s="0" t="n">
        <v>0</v>
      </c>
      <c r="AI443" s="0" t="n">
        <v>240</v>
      </c>
      <c r="AJ443" s="0" t="n">
        <v>30</v>
      </c>
      <c r="AK443" s="0" t="n">
        <v>49</v>
      </c>
      <c r="AL443" s="0" t="n">
        <v>1</v>
      </c>
    </row>
    <row r="444">
      <c r="A444" s="0" t="inlineStr">
        <is>
          <t>[길동]</t>
        </is>
      </c>
      <c r="B444" s="0" t="n">
        <v>14159</v>
      </c>
      <c r="C444" s="0" t="n">
        <v>2</v>
      </c>
      <c r="D444" s="0" t="inlineStr">
        <is>
          <t>우성(382-6)</t>
        </is>
      </c>
      <c r="E444" s="0" t="inlineStr">
        <is>
          <t>1996.05.</t>
        </is>
      </c>
      <c r="F444" s="0" t="n">
        <v>49</v>
      </c>
      <c r="G444" s="0" t="n">
        <v>21.27</v>
      </c>
      <c r="H444" s="0" t="n">
        <v>70.31999999999999</v>
      </c>
      <c r="I444" s="0" t="n">
        <v>14.61</v>
      </c>
      <c r="J444" s="0" t="n">
        <v>48.3</v>
      </c>
      <c r="K444" s="0" t="n">
        <v>48</v>
      </c>
      <c r="T444" s="0" t="n">
        <v>2</v>
      </c>
      <c r="U444" s="0" t="n">
        <v>1</v>
      </c>
      <c r="V444" s="0" t="inlineStr">
        <is>
          <t>복도식</t>
        </is>
      </c>
      <c r="W444" s="0" t="n">
        <v>70</v>
      </c>
      <c r="X444" s="0" t="n">
        <v>7</v>
      </c>
      <c r="Y444" s="0" t="n">
        <v>7</v>
      </c>
      <c r="Z444" s="0" t="inlineStr">
        <is>
          <t>https://new.land.naver.com/complexes/14159?tab=detail&amp;rf=Y</t>
        </is>
      </c>
      <c r="AA444" s="0" t="inlineStr">
        <is>
          <t>서울시 강동구 길동 382-6</t>
        </is>
      </c>
      <c r="AB444" s="0" t="inlineStr">
        <is>
          <t>서울시</t>
        </is>
      </c>
      <c r="AC444" s="0" t="inlineStr">
        <is>
          <t>강동구</t>
        </is>
      </c>
      <c r="AD444" s="0" t="inlineStr">
        <is>
          <t>길동</t>
        </is>
      </c>
      <c r="AG444" s="0" t="inlineStr">
        <is>
          <t>서울시 강동구 양재대로113길 50</t>
        </is>
      </c>
      <c r="AH444" s="0" t="n">
        <v>0</v>
      </c>
      <c r="AI444" s="0" t="n">
        <v>240</v>
      </c>
      <c r="AJ444" s="0" t="n">
        <v>30</v>
      </c>
      <c r="AK444" s="0" t="n">
        <v>49</v>
      </c>
      <c r="AL444" s="0" t="n">
        <v>1</v>
      </c>
    </row>
    <row r="445">
      <c r="A445" s="0" t="inlineStr">
        <is>
          <t>[길동]</t>
        </is>
      </c>
      <c r="B445" s="0" t="n">
        <v>23206</v>
      </c>
      <c r="C445" s="0" t="n">
        <v>1</v>
      </c>
      <c r="D445" s="0" t="inlineStr">
        <is>
          <t>다오아트빌</t>
        </is>
      </c>
      <c r="E445" s="0" t="inlineStr">
        <is>
          <t>2001.07.</t>
        </is>
      </c>
      <c r="F445" s="0" t="n">
        <v>29</v>
      </c>
      <c r="G445" s="0" t="n">
        <v>27.85</v>
      </c>
      <c r="H445" s="0" t="n">
        <v>92.06999999999999</v>
      </c>
      <c r="I445" s="0" t="n">
        <v>22.52</v>
      </c>
      <c r="J445" s="0" t="n">
        <v>74.47</v>
      </c>
      <c r="K445" s="0" t="n">
        <v>29</v>
      </c>
      <c r="T445" s="0" t="n">
        <v>3</v>
      </c>
      <c r="U445" s="0" t="n">
        <v>2</v>
      </c>
      <c r="V445" s="0" t="inlineStr">
        <is>
          <t>계단식</t>
        </is>
      </c>
      <c r="W445" s="0" t="n">
        <v>92</v>
      </c>
      <c r="X445" s="0" t="n">
        <v>10</v>
      </c>
      <c r="Y445" s="0" t="n">
        <v>10</v>
      </c>
      <c r="Z445" s="0" t="inlineStr">
        <is>
          <t>https://new.land.naver.com/complexes/23206?tab=detail&amp;rf=Y</t>
        </is>
      </c>
      <c r="AA445" s="0" t="inlineStr">
        <is>
          <t>서울시 강동구 길동 383-7</t>
        </is>
      </c>
      <c r="AB445" s="0" t="inlineStr">
        <is>
          <t>서울시</t>
        </is>
      </c>
      <c r="AC445" s="0" t="inlineStr">
        <is>
          <t>강동구</t>
        </is>
      </c>
      <c r="AD445" s="0" t="inlineStr">
        <is>
          <t>길동</t>
        </is>
      </c>
      <c r="AG445" s="0" t="inlineStr">
        <is>
          <t>서울시 강동구 성안로 184</t>
        </is>
      </c>
      <c r="AH445" s="0" t="n">
        <v>0</v>
      </c>
      <c r="AI445" s="0" t="n">
        <v>299</v>
      </c>
      <c r="AJ445" s="0" t="n">
        <v>33</v>
      </c>
      <c r="AK445" s="0" t="n">
        <v>29</v>
      </c>
      <c r="AL445" s="0" t="n">
        <v>1</v>
      </c>
    </row>
    <row r="446">
      <c r="A446" s="0" t="inlineStr">
        <is>
          <t>[길동]</t>
        </is>
      </c>
      <c r="B446" s="0" t="n">
        <v>102973</v>
      </c>
      <c r="C446" s="0" t="n">
        <v>1</v>
      </c>
      <c r="D446" s="0" t="inlineStr">
        <is>
          <t>다성이즈텔</t>
        </is>
      </c>
      <c r="E446" s="0" t="inlineStr">
        <is>
          <t>2004.02.</t>
        </is>
      </c>
      <c r="F446" s="0" t="n">
        <v>23</v>
      </c>
      <c r="G446" s="0" t="n">
        <v>31</v>
      </c>
      <c r="H446" s="0" t="n">
        <v>102.49</v>
      </c>
      <c r="I446" s="0" t="n">
        <v>25.67</v>
      </c>
      <c r="J446" s="0" t="n">
        <v>84.88</v>
      </c>
      <c r="K446" s="0" t="n">
        <v>23</v>
      </c>
      <c r="T446" s="0" t="n">
        <v>3</v>
      </c>
      <c r="U446" s="0" t="n">
        <v>2</v>
      </c>
      <c r="V446" s="0" t="inlineStr">
        <is>
          <t>계단식</t>
        </is>
      </c>
      <c r="W446" s="0" t="n">
        <v>102</v>
      </c>
      <c r="X446" s="0" t="n">
        <v>15</v>
      </c>
      <c r="Y446" s="0" t="n">
        <v>15</v>
      </c>
      <c r="Z446" s="0" t="inlineStr">
        <is>
          <t>https://new.land.naver.com/complexes/102973?tab=detail&amp;rf=Y</t>
        </is>
      </c>
      <c r="AA446" s="0" t="inlineStr">
        <is>
          <t>서울시 강동구 길동 416-3</t>
        </is>
      </c>
      <c r="AB446" s="0" t="inlineStr">
        <is>
          <t>서울시</t>
        </is>
      </c>
      <c r="AC446" s="0" t="inlineStr">
        <is>
          <t>강동구</t>
        </is>
      </c>
      <c r="AD446" s="0" t="inlineStr">
        <is>
          <t>길동</t>
        </is>
      </c>
      <c r="AG446" s="0" t="inlineStr">
        <is>
          <t>서울시 강동구 성안로 162</t>
        </is>
      </c>
      <c r="AH446" s="0" t="n">
        <v>0</v>
      </c>
      <c r="AI446" s="0" t="n">
        <v>537</v>
      </c>
      <c r="AJ446" s="0" t="n">
        <v>44</v>
      </c>
      <c r="AK446" s="0" t="n">
        <v>28</v>
      </c>
      <c r="AL446" s="0" t="n">
        <v>1.22</v>
      </c>
    </row>
    <row r="447">
      <c r="A447" s="0" t="inlineStr">
        <is>
          <t>[길동]</t>
        </is>
      </c>
      <c r="B447" s="0" t="n">
        <v>1287</v>
      </c>
      <c r="C447" s="0" t="n">
        <v>1</v>
      </c>
      <c r="D447" s="0" t="inlineStr">
        <is>
          <t>신동아1,2차</t>
        </is>
      </c>
      <c r="E447" s="0" t="inlineStr">
        <is>
          <t>1983.06.</t>
        </is>
      </c>
      <c r="F447" s="0" t="n">
        <v>972</v>
      </c>
      <c r="G447" s="0" t="n">
        <v>19.52</v>
      </c>
      <c r="H447" s="0" t="n">
        <v>64.56</v>
      </c>
      <c r="I447" s="0" t="n">
        <v>18.27</v>
      </c>
      <c r="J447" s="0" t="n">
        <v>60.42</v>
      </c>
      <c r="K447" s="0" t="n">
        <v>288</v>
      </c>
      <c r="T447" s="0" t="n">
        <v>2</v>
      </c>
      <c r="U447" s="0" t="n">
        <v>1</v>
      </c>
      <c r="V447" s="0" t="inlineStr">
        <is>
          <t>복도식</t>
        </is>
      </c>
      <c r="W447" s="0" t="n">
        <v>64</v>
      </c>
      <c r="X447" s="0" t="n">
        <v>12</v>
      </c>
      <c r="Y447" s="0" t="n">
        <v>12</v>
      </c>
      <c r="Z447" s="0" t="inlineStr">
        <is>
          <t>https://new.land.naver.com/complexes/1287?tab=detail&amp;rf=Y</t>
        </is>
      </c>
      <c r="AA447" s="0" t="inlineStr">
        <is>
          <t>서울시 강동구 길동 160</t>
        </is>
      </c>
      <c r="AB447" s="0" t="inlineStr">
        <is>
          <t>서울시</t>
        </is>
      </c>
      <c r="AC447" s="0" t="inlineStr">
        <is>
          <t>강동구</t>
        </is>
      </c>
      <c r="AD447" s="0" t="inlineStr">
        <is>
          <t>길동</t>
        </is>
      </c>
      <c r="AG447" s="0" t="inlineStr">
        <is>
          <t>서울시 강동구 천중로 264</t>
        </is>
      </c>
      <c r="AH447" s="0" t="n">
        <v>0</v>
      </c>
      <c r="AI447" s="0" t="n">
        <v>167</v>
      </c>
      <c r="AJ447" s="0" t="n">
        <v>15</v>
      </c>
      <c r="AK447" s="0" t="n">
        <v>713</v>
      </c>
      <c r="AL447" s="0" t="n">
        <v>0.73</v>
      </c>
    </row>
    <row r="448">
      <c r="A448" s="0" t="inlineStr">
        <is>
          <t>[길동]</t>
        </is>
      </c>
      <c r="B448" s="0" t="n">
        <v>1287</v>
      </c>
      <c r="C448" s="0" t="n">
        <v>2</v>
      </c>
      <c r="D448" s="0" t="inlineStr">
        <is>
          <t>신동아1,2차</t>
        </is>
      </c>
      <c r="E448" s="0" t="inlineStr">
        <is>
          <t>1983.06.</t>
        </is>
      </c>
      <c r="F448" s="0" t="n">
        <v>972</v>
      </c>
      <c r="G448" s="0" t="n">
        <v>23.73</v>
      </c>
      <c r="H448" s="0" t="n">
        <v>78.45</v>
      </c>
      <c r="I448" s="0" t="n">
        <v>21.91</v>
      </c>
      <c r="J448" s="0" t="n">
        <v>72.44</v>
      </c>
      <c r="K448" s="0" t="n">
        <v>264</v>
      </c>
      <c r="T448" s="0" t="n">
        <v>3</v>
      </c>
      <c r="U448" s="0" t="n">
        <v>1</v>
      </c>
      <c r="V448" s="0" t="inlineStr">
        <is>
          <t>복도식</t>
        </is>
      </c>
      <c r="W448" s="0" t="n">
        <v>78</v>
      </c>
      <c r="X448" s="0" t="n">
        <v>12</v>
      </c>
      <c r="Y448" s="0" t="n">
        <v>12</v>
      </c>
      <c r="Z448" s="0" t="inlineStr">
        <is>
          <t>https://new.land.naver.com/complexes/1287?tab=detail&amp;rf=Y</t>
        </is>
      </c>
      <c r="AA448" s="0" t="inlineStr">
        <is>
          <t>서울시 강동구 길동 160</t>
        </is>
      </c>
      <c r="AB448" s="0" t="inlineStr">
        <is>
          <t>서울시</t>
        </is>
      </c>
      <c r="AC448" s="0" t="inlineStr">
        <is>
          <t>강동구</t>
        </is>
      </c>
      <c r="AD448" s="0" t="inlineStr">
        <is>
          <t>길동</t>
        </is>
      </c>
      <c r="AG448" s="0" t="inlineStr">
        <is>
          <t>서울시 강동구 천중로 264</t>
        </is>
      </c>
      <c r="AH448" s="0" t="n">
        <v>0</v>
      </c>
      <c r="AI448" s="0" t="n">
        <v>167</v>
      </c>
      <c r="AJ448" s="0" t="n">
        <v>15</v>
      </c>
      <c r="AK448" s="0" t="n">
        <v>713</v>
      </c>
      <c r="AL448" s="0" t="n">
        <v>0.73</v>
      </c>
    </row>
    <row r="449">
      <c r="A449" s="0" t="inlineStr">
        <is>
          <t>[길동]</t>
        </is>
      </c>
      <c r="B449" s="0" t="n">
        <v>1287</v>
      </c>
      <c r="C449" s="0" t="n">
        <v>3</v>
      </c>
      <c r="D449" s="0" t="inlineStr">
        <is>
          <t>신동아1,2차</t>
        </is>
      </c>
      <c r="E449" s="0" t="inlineStr">
        <is>
          <t>1983.06.</t>
        </is>
      </c>
      <c r="F449" s="0" t="n">
        <v>972</v>
      </c>
      <c r="G449" s="0" t="n">
        <v>28.04</v>
      </c>
      <c r="H449" s="0" t="n">
        <v>92.7</v>
      </c>
      <c r="I449" s="0" t="n">
        <v>25.85</v>
      </c>
      <c r="J449" s="0" t="n">
        <v>85.45999999999999</v>
      </c>
      <c r="K449" s="0" t="n">
        <v>204</v>
      </c>
      <c r="T449" s="0" t="n">
        <v>2</v>
      </c>
      <c r="U449" s="0" t="n">
        <v>1</v>
      </c>
      <c r="V449" s="0" t="inlineStr">
        <is>
          <t>복도식</t>
        </is>
      </c>
      <c r="W449" s="0" t="n">
        <v>92</v>
      </c>
      <c r="X449" s="0" t="n">
        <v>12</v>
      </c>
      <c r="Y449" s="0" t="n">
        <v>12</v>
      </c>
      <c r="Z449" s="0" t="inlineStr">
        <is>
          <t>https://new.land.naver.com/complexes/1287?tab=detail&amp;rf=Y</t>
        </is>
      </c>
      <c r="AA449" s="0" t="inlineStr">
        <is>
          <t>서울시 강동구 길동 160</t>
        </is>
      </c>
      <c r="AB449" s="0" t="inlineStr">
        <is>
          <t>서울시</t>
        </is>
      </c>
      <c r="AC449" s="0" t="inlineStr">
        <is>
          <t>강동구</t>
        </is>
      </c>
      <c r="AD449" s="0" t="inlineStr">
        <is>
          <t>길동</t>
        </is>
      </c>
      <c r="AG449" s="0" t="inlineStr">
        <is>
          <t>서울시 강동구 천중로 264</t>
        </is>
      </c>
      <c r="AH449" s="0" t="n">
        <v>0</v>
      </c>
      <c r="AI449" s="0" t="n">
        <v>167</v>
      </c>
      <c r="AJ449" s="0" t="n">
        <v>15</v>
      </c>
      <c r="AK449" s="0" t="n">
        <v>713</v>
      </c>
      <c r="AL449" s="0" t="n">
        <v>0.73</v>
      </c>
    </row>
    <row r="450">
      <c r="A450" s="0" t="inlineStr">
        <is>
          <t>[길동]</t>
        </is>
      </c>
      <c r="B450" s="0" t="n">
        <v>1287</v>
      </c>
      <c r="C450" s="0" t="n">
        <v>4</v>
      </c>
      <c r="D450" s="0" t="inlineStr">
        <is>
          <t>신동아1,2차</t>
        </is>
      </c>
      <c r="E450" s="0" t="inlineStr">
        <is>
          <t>1983.06.</t>
        </is>
      </c>
      <c r="F450" s="0" t="n">
        <v>972</v>
      </c>
      <c r="G450" s="0" t="n">
        <v>33.73</v>
      </c>
      <c r="H450" s="0" t="n">
        <v>111.51</v>
      </c>
      <c r="I450" s="0" t="n">
        <v>31.09</v>
      </c>
      <c r="J450" s="0" t="n">
        <v>102.8</v>
      </c>
      <c r="K450" s="0" t="n">
        <v>216</v>
      </c>
      <c r="T450" s="0" t="n">
        <v>3</v>
      </c>
      <c r="U450" s="0" t="n">
        <v>1</v>
      </c>
      <c r="V450" s="0" t="inlineStr">
        <is>
          <t>복도식</t>
        </is>
      </c>
      <c r="W450" s="0" t="n">
        <v>111</v>
      </c>
      <c r="X450" s="0" t="n">
        <v>12</v>
      </c>
      <c r="Y450" s="0" t="n">
        <v>12</v>
      </c>
      <c r="Z450" s="0" t="inlineStr">
        <is>
          <t>https://new.land.naver.com/complexes/1287?tab=detail&amp;rf=Y</t>
        </is>
      </c>
      <c r="AA450" s="0" t="inlineStr">
        <is>
          <t>서울시 강동구 길동 160</t>
        </is>
      </c>
      <c r="AB450" s="0" t="inlineStr">
        <is>
          <t>서울시</t>
        </is>
      </c>
      <c r="AC450" s="0" t="inlineStr">
        <is>
          <t>강동구</t>
        </is>
      </c>
      <c r="AD450" s="0" t="inlineStr">
        <is>
          <t>길동</t>
        </is>
      </c>
      <c r="AG450" s="0" t="inlineStr">
        <is>
          <t>서울시 강동구 천중로 264</t>
        </is>
      </c>
      <c r="AH450" s="0" t="n">
        <v>0</v>
      </c>
      <c r="AI450" s="0" t="n">
        <v>167</v>
      </c>
      <c r="AJ450" s="0" t="n">
        <v>15</v>
      </c>
      <c r="AK450" s="0" t="n">
        <v>713</v>
      </c>
      <c r="AL450" s="0" t="n">
        <v>0.73</v>
      </c>
    </row>
    <row r="451">
      <c r="A451" s="0" t="inlineStr">
        <is>
          <t>[길동]</t>
        </is>
      </c>
      <c r="B451" s="0" t="n">
        <v>22116</v>
      </c>
      <c r="C451" s="0" t="n">
        <v>1</v>
      </c>
      <c r="D451" s="0" t="inlineStr">
        <is>
          <t>강동한신휴플러스</t>
        </is>
      </c>
      <c r="E451" s="0" t="inlineStr">
        <is>
          <t>2006.11.</t>
        </is>
      </c>
      <c r="F451" s="0" t="n">
        <v>124</v>
      </c>
      <c r="G451" s="0" t="n">
        <v>29.68</v>
      </c>
      <c r="H451" s="0" t="n">
        <v>98.13</v>
      </c>
      <c r="I451" s="0" t="n">
        <v>23.11</v>
      </c>
      <c r="J451" s="0" t="n">
        <v>76.40000000000001</v>
      </c>
      <c r="K451" s="0" t="n">
        <v>2</v>
      </c>
      <c r="T451" s="0" t="n">
        <v>3</v>
      </c>
      <c r="U451" s="0" t="n">
        <v>2</v>
      </c>
      <c r="V451" s="0" t="inlineStr">
        <is>
          <t>복도식</t>
        </is>
      </c>
      <c r="W451" s="0" t="inlineStr">
        <is>
          <t>98A</t>
        </is>
      </c>
      <c r="X451" s="0" t="n">
        <v>15</v>
      </c>
      <c r="Y451" s="0" t="n">
        <v>11</v>
      </c>
      <c r="Z451" s="0" t="inlineStr">
        <is>
          <t>https://new.land.naver.com/complexes/22116?tab=detail&amp;rf=Y</t>
        </is>
      </c>
      <c r="AA451" s="0" t="inlineStr">
        <is>
          <t>서울시 강동구 길동 414-10</t>
        </is>
      </c>
      <c r="AB451" s="0" t="inlineStr">
        <is>
          <t>서울시</t>
        </is>
      </c>
      <c r="AC451" s="0" t="inlineStr">
        <is>
          <t>강동구</t>
        </is>
      </c>
      <c r="AD451" s="0" t="inlineStr">
        <is>
          <t>길동</t>
        </is>
      </c>
      <c r="AG451" s="0" t="inlineStr">
        <is>
          <t>서울시 강동구 진황도로 99</t>
        </is>
      </c>
      <c r="AH451" s="0" t="n">
        <v>0</v>
      </c>
      <c r="AI451" s="0" t="n">
        <v>519</v>
      </c>
      <c r="AJ451" s="0" t="n">
        <v>59</v>
      </c>
      <c r="AK451" s="0" t="n">
        <v>192</v>
      </c>
      <c r="AL451" s="0" t="n">
        <v>1.55</v>
      </c>
    </row>
    <row r="452">
      <c r="A452" s="0" t="inlineStr">
        <is>
          <t>[길동]</t>
        </is>
      </c>
      <c r="B452" s="0" t="n">
        <v>22116</v>
      </c>
      <c r="C452" s="0" t="n">
        <v>2</v>
      </c>
      <c r="D452" s="0" t="inlineStr">
        <is>
          <t>강동한신휴플러스</t>
        </is>
      </c>
      <c r="E452" s="0" t="inlineStr">
        <is>
          <t>2006.11.</t>
        </is>
      </c>
      <c r="F452" s="0" t="n">
        <v>124</v>
      </c>
      <c r="G452" s="0" t="n">
        <v>30.25</v>
      </c>
      <c r="H452" s="0" t="n">
        <v>100.02</v>
      </c>
      <c r="I452" s="0" t="n">
        <v>23.54</v>
      </c>
      <c r="J452" s="0" t="n">
        <v>77.81999999999999</v>
      </c>
      <c r="K452" s="0" t="n">
        <v>16</v>
      </c>
      <c r="T452" s="0" t="n">
        <v>3</v>
      </c>
      <c r="U452" s="0" t="n">
        <v>2</v>
      </c>
      <c r="V452" s="0" t="inlineStr">
        <is>
          <t>복도식</t>
        </is>
      </c>
      <c r="W452" s="0" t="inlineStr">
        <is>
          <t>100B</t>
        </is>
      </c>
      <c r="X452" s="0" t="n">
        <v>15</v>
      </c>
      <c r="Y452" s="0" t="n">
        <v>11</v>
      </c>
      <c r="Z452" s="0" t="inlineStr">
        <is>
          <t>https://new.land.naver.com/complexes/22116?tab=detail&amp;rf=Y</t>
        </is>
      </c>
      <c r="AA452" s="0" t="inlineStr">
        <is>
          <t>서울시 강동구 길동 414-10</t>
        </is>
      </c>
      <c r="AB452" s="0" t="inlineStr">
        <is>
          <t>서울시</t>
        </is>
      </c>
      <c r="AC452" s="0" t="inlineStr">
        <is>
          <t>강동구</t>
        </is>
      </c>
      <c r="AD452" s="0" t="inlineStr">
        <is>
          <t>길동</t>
        </is>
      </c>
      <c r="AG452" s="0" t="inlineStr">
        <is>
          <t>서울시 강동구 진황도로 99</t>
        </is>
      </c>
      <c r="AH452" s="0" t="n">
        <v>0</v>
      </c>
      <c r="AI452" s="0" t="n">
        <v>519</v>
      </c>
      <c r="AJ452" s="0" t="n">
        <v>59</v>
      </c>
      <c r="AK452" s="0" t="n">
        <v>192</v>
      </c>
      <c r="AL452" s="0" t="n">
        <v>1.55</v>
      </c>
    </row>
    <row r="453">
      <c r="A453" s="0" t="inlineStr">
        <is>
          <t>[길동]</t>
        </is>
      </c>
      <c r="B453" s="0" t="n">
        <v>22116</v>
      </c>
      <c r="C453" s="0" t="n">
        <v>3</v>
      </c>
      <c r="D453" s="0" t="inlineStr">
        <is>
          <t>강동한신휴플러스</t>
        </is>
      </c>
      <c r="E453" s="0" t="inlineStr">
        <is>
          <t>2006.11.</t>
        </is>
      </c>
      <c r="F453" s="0" t="n">
        <v>124</v>
      </c>
      <c r="G453" s="0" t="n">
        <v>31.48</v>
      </c>
      <c r="H453" s="0" t="n">
        <v>104.08</v>
      </c>
      <c r="I453" s="0" t="n">
        <v>24.5</v>
      </c>
      <c r="J453" s="0" t="n">
        <v>81.02</v>
      </c>
      <c r="K453" s="0" t="n">
        <v>1</v>
      </c>
      <c r="T453" s="0" t="n">
        <v>3</v>
      </c>
      <c r="U453" s="0" t="n">
        <v>2</v>
      </c>
      <c r="V453" s="0" t="inlineStr">
        <is>
          <t>복도식</t>
        </is>
      </c>
      <c r="W453" s="0" t="n">
        <v>104</v>
      </c>
      <c r="X453" s="0" t="n">
        <v>15</v>
      </c>
      <c r="Y453" s="0" t="n">
        <v>11</v>
      </c>
      <c r="Z453" s="0" t="inlineStr">
        <is>
          <t>https://new.land.naver.com/complexes/22116?tab=detail&amp;rf=Y</t>
        </is>
      </c>
      <c r="AA453" s="0" t="inlineStr">
        <is>
          <t>서울시 강동구 길동 414-10</t>
        </is>
      </c>
      <c r="AB453" s="0" t="inlineStr">
        <is>
          <t>서울시</t>
        </is>
      </c>
      <c r="AC453" s="0" t="inlineStr">
        <is>
          <t>강동구</t>
        </is>
      </c>
      <c r="AD453" s="0" t="inlineStr">
        <is>
          <t>길동</t>
        </is>
      </c>
      <c r="AG453" s="0" t="inlineStr">
        <is>
          <t>서울시 강동구 진황도로 99</t>
        </is>
      </c>
      <c r="AH453" s="0" t="n">
        <v>0</v>
      </c>
      <c r="AI453" s="0" t="n">
        <v>519</v>
      </c>
      <c r="AJ453" s="0" t="n">
        <v>59</v>
      </c>
      <c r="AK453" s="0" t="n">
        <v>192</v>
      </c>
      <c r="AL453" s="0" t="n">
        <v>1.55</v>
      </c>
    </row>
    <row r="454">
      <c r="A454" s="0" t="inlineStr">
        <is>
          <t>[길동]</t>
        </is>
      </c>
      <c r="B454" s="0" t="n">
        <v>22116</v>
      </c>
      <c r="C454" s="0" t="n">
        <v>4</v>
      </c>
      <c r="D454" s="0" t="inlineStr">
        <is>
          <t>강동한신휴플러스</t>
        </is>
      </c>
      <c r="E454" s="0" t="inlineStr">
        <is>
          <t>2006.11.</t>
        </is>
      </c>
      <c r="F454" s="0" t="n">
        <v>124</v>
      </c>
      <c r="G454" s="0" t="n">
        <v>32.94</v>
      </c>
      <c r="H454" s="0" t="n">
        <v>108.9</v>
      </c>
      <c r="I454" s="0" t="n">
        <v>25.7</v>
      </c>
      <c r="J454" s="0" t="n">
        <v>84.98</v>
      </c>
      <c r="K454" s="0" t="n">
        <v>48</v>
      </c>
      <c r="T454" s="0" t="n">
        <v>3</v>
      </c>
      <c r="U454" s="0" t="n">
        <v>2</v>
      </c>
      <c r="V454" s="0" t="inlineStr">
        <is>
          <t>복도식</t>
        </is>
      </c>
      <c r="W454" s="0" t="inlineStr">
        <is>
          <t>108C</t>
        </is>
      </c>
      <c r="X454" s="0" t="n">
        <v>15</v>
      </c>
      <c r="Y454" s="0" t="n">
        <v>11</v>
      </c>
      <c r="Z454" s="0" t="inlineStr">
        <is>
          <t>https://new.land.naver.com/complexes/22116?tab=detail&amp;rf=Y</t>
        </is>
      </c>
      <c r="AA454" s="0" t="inlineStr">
        <is>
          <t>서울시 강동구 길동 414-10</t>
        </is>
      </c>
      <c r="AB454" s="0" t="inlineStr">
        <is>
          <t>서울시</t>
        </is>
      </c>
      <c r="AC454" s="0" t="inlineStr">
        <is>
          <t>강동구</t>
        </is>
      </c>
      <c r="AD454" s="0" t="inlineStr">
        <is>
          <t>길동</t>
        </is>
      </c>
      <c r="AG454" s="0" t="inlineStr">
        <is>
          <t>서울시 강동구 진황도로 99</t>
        </is>
      </c>
      <c r="AH454" s="0" t="n">
        <v>0</v>
      </c>
      <c r="AI454" s="0" t="n">
        <v>519</v>
      </c>
      <c r="AJ454" s="0" t="n">
        <v>59</v>
      </c>
      <c r="AK454" s="0" t="n">
        <v>192</v>
      </c>
      <c r="AL454" s="0" t="n">
        <v>1.55</v>
      </c>
    </row>
    <row r="455">
      <c r="A455" s="0" t="inlineStr">
        <is>
          <t>[길동]</t>
        </is>
      </c>
      <c r="B455" s="0" t="n">
        <v>22116</v>
      </c>
      <c r="C455" s="0" t="n">
        <v>5</v>
      </c>
      <c r="D455" s="0" t="inlineStr">
        <is>
          <t>강동한신휴플러스</t>
        </is>
      </c>
      <c r="E455" s="0" t="inlineStr">
        <is>
          <t>2006.11.</t>
        </is>
      </c>
      <c r="F455" s="0" t="n">
        <v>124</v>
      </c>
      <c r="G455" s="0" t="n">
        <v>32.97</v>
      </c>
      <c r="H455" s="0" t="n">
        <v>109.02</v>
      </c>
      <c r="I455" s="0" t="n">
        <v>25.59</v>
      </c>
      <c r="J455" s="0" t="n">
        <v>84.61</v>
      </c>
      <c r="K455" s="0" t="n">
        <v>36</v>
      </c>
      <c r="T455" s="0" t="n">
        <v>3</v>
      </c>
      <c r="U455" s="0" t="n">
        <v>2</v>
      </c>
      <c r="V455" s="0" t="inlineStr">
        <is>
          <t>복도식</t>
        </is>
      </c>
      <c r="W455" s="0" t="inlineStr">
        <is>
          <t>109A</t>
        </is>
      </c>
      <c r="X455" s="0" t="n">
        <v>15</v>
      </c>
      <c r="Y455" s="0" t="n">
        <v>11</v>
      </c>
      <c r="Z455" s="0" t="inlineStr">
        <is>
          <t>https://new.land.naver.com/complexes/22116?tab=detail&amp;rf=Y</t>
        </is>
      </c>
      <c r="AA455" s="0" t="inlineStr">
        <is>
          <t>서울시 강동구 길동 414-10</t>
        </is>
      </c>
      <c r="AB455" s="0" t="inlineStr">
        <is>
          <t>서울시</t>
        </is>
      </c>
      <c r="AC455" s="0" t="inlineStr">
        <is>
          <t>강동구</t>
        </is>
      </c>
      <c r="AD455" s="0" t="inlineStr">
        <is>
          <t>길동</t>
        </is>
      </c>
      <c r="AG455" s="0" t="inlineStr">
        <is>
          <t>서울시 강동구 진황도로 99</t>
        </is>
      </c>
      <c r="AH455" s="0" t="n">
        <v>0</v>
      </c>
      <c r="AI455" s="0" t="n">
        <v>519</v>
      </c>
      <c r="AJ455" s="0" t="n">
        <v>59</v>
      </c>
      <c r="AK455" s="0" t="n">
        <v>192</v>
      </c>
      <c r="AL455" s="0" t="n">
        <v>1.55</v>
      </c>
    </row>
    <row r="456">
      <c r="A456" s="0" t="inlineStr">
        <is>
          <t>[길동]</t>
        </is>
      </c>
      <c r="B456" s="0" t="n">
        <v>22116</v>
      </c>
      <c r="C456" s="0" t="n">
        <v>6</v>
      </c>
      <c r="D456" s="0" t="inlineStr">
        <is>
          <t>강동한신휴플러스</t>
        </is>
      </c>
      <c r="E456" s="0" t="inlineStr">
        <is>
          <t>2006.11.</t>
        </is>
      </c>
      <c r="F456" s="0" t="n">
        <v>124</v>
      </c>
      <c r="G456" s="0" t="n">
        <v>32.99</v>
      </c>
      <c r="H456" s="0" t="n">
        <v>109.09</v>
      </c>
      <c r="I456" s="0" t="n">
        <v>25.69</v>
      </c>
      <c r="J456" s="0" t="n">
        <v>84.93000000000001</v>
      </c>
      <c r="K456" s="0" t="n">
        <v>17</v>
      </c>
      <c r="T456" s="0" t="n">
        <v>3</v>
      </c>
      <c r="U456" s="0" t="n">
        <v>2</v>
      </c>
      <c r="V456" s="0" t="inlineStr">
        <is>
          <t>복도식</t>
        </is>
      </c>
      <c r="W456" s="0" t="inlineStr">
        <is>
          <t>109B</t>
        </is>
      </c>
      <c r="X456" s="0" t="n">
        <v>15</v>
      </c>
      <c r="Y456" s="0" t="n">
        <v>11</v>
      </c>
      <c r="Z456" s="0" t="inlineStr">
        <is>
          <t>https://new.land.naver.com/complexes/22116?tab=detail&amp;rf=Y</t>
        </is>
      </c>
      <c r="AA456" s="0" t="inlineStr">
        <is>
          <t>서울시 강동구 길동 414-10</t>
        </is>
      </c>
      <c r="AB456" s="0" t="inlineStr">
        <is>
          <t>서울시</t>
        </is>
      </c>
      <c r="AC456" s="0" t="inlineStr">
        <is>
          <t>강동구</t>
        </is>
      </c>
      <c r="AD456" s="0" t="inlineStr">
        <is>
          <t>길동</t>
        </is>
      </c>
      <c r="AG456" s="0" t="inlineStr">
        <is>
          <t>서울시 강동구 진황도로 99</t>
        </is>
      </c>
      <c r="AH456" s="0" t="n">
        <v>0</v>
      </c>
      <c r="AI456" s="0" t="n">
        <v>519</v>
      </c>
      <c r="AJ456" s="0" t="n">
        <v>59</v>
      </c>
      <c r="AK456" s="0" t="n">
        <v>192</v>
      </c>
      <c r="AL456" s="0" t="n">
        <v>1.55</v>
      </c>
    </row>
    <row r="457">
      <c r="A457" s="0" t="inlineStr">
        <is>
          <t>[길동]</t>
        </is>
      </c>
      <c r="B457" s="0" t="n">
        <v>22116</v>
      </c>
      <c r="C457" s="0" t="n">
        <v>7</v>
      </c>
      <c r="D457" s="0" t="inlineStr">
        <is>
          <t>강동한신휴플러스</t>
        </is>
      </c>
      <c r="E457" s="0" t="inlineStr">
        <is>
          <t>2006.11.</t>
        </is>
      </c>
      <c r="F457" s="0" t="n">
        <v>124</v>
      </c>
      <c r="G457" s="0" t="n">
        <v>33.53</v>
      </c>
      <c r="H457" s="0" t="n">
        <v>110.85</v>
      </c>
      <c r="I457" s="0" t="n">
        <v>25.68</v>
      </c>
      <c r="J457" s="0" t="n">
        <v>84.91</v>
      </c>
      <c r="K457" s="0" t="n">
        <v>2</v>
      </c>
      <c r="T457" s="0" t="n">
        <v>3</v>
      </c>
      <c r="U457" s="0" t="n">
        <v>2</v>
      </c>
      <c r="V457" s="0" t="inlineStr">
        <is>
          <t>복도식</t>
        </is>
      </c>
      <c r="W457" s="0" t="n">
        <v>110</v>
      </c>
      <c r="X457" s="0" t="n">
        <v>15</v>
      </c>
      <c r="Y457" s="0" t="n">
        <v>11</v>
      </c>
      <c r="Z457" s="0" t="inlineStr">
        <is>
          <t>https://new.land.naver.com/complexes/22116?tab=detail&amp;rf=Y</t>
        </is>
      </c>
      <c r="AA457" s="0" t="inlineStr">
        <is>
          <t>서울시 강동구 길동 414-10</t>
        </is>
      </c>
      <c r="AB457" s="0" t="inlineStr">
        <is>
          <t>서울시</t>
        </is>
      </c>
      <c r="AC457" s="0" t="inlineStr">
        <is>
          <t>강동구</t>
        </is>
      </c>
      <c r="AD457" s="0" t="inlineStr">
        <is>
          <t>길동</t>
        </is>
      </c>
      <c r="AG457" s="0" t="inlineStr">
        <is>
          <t>서울시 강동구 진황도로 99</t>
        </is>
      </c>
      <c r="AH457" s="0" t="n">
        <v>0</v>
      </c>
      <c r="AI457" s="0" t="n">
        <v>519</v>
      </c>
      <c r="AJ457" s="0" t="n">
        <v>59</v>
      </c>
      <c r="AK457" s="0" t="n">
        <v>192</v>
      </c>
      <c r="AL457" s="0" t="n">
        <v>1.55</v>
      </c>
    </row>
    <row r="458">
      <c r="A458" s="0" t="inlineStr">
        <is>
          <t>[길동]</t>
        </is>
      </c>
      <c r="B458" s="0" t="n">
        <v>22116</v>
      </c>
      <c r="C458" s="0" t="n">
        <v>8</v>
      </c>
      <c r="D458" s="0" t="inlineStr">
        <is>
          <t>강동한신휴플러스</t>
        </is>
      </c>
      <c r="E458" s="0" t="inlineStr">
        <is>
          <t>2006.11.</t>
        </is>
      </c>
      <c r="F458" s="0" t="n">
        <v>124</v>
      </c>
      <c r="G458" s="0" t="n">
        <v>33.49</v>
      </c>
      <c r="H458" s="0" t="n">
        <v>110.74</v>
      </c>
      <c r="I458" s="0" t="n">
        <v>25.63</v>
      </c>
      <c r="J458" s="0" t="n">
        <v>84.76000000000001</v>
      </c>
      <c r="K458" s="0" t="n">
        <v>2</v>
      </c>
      <c r="T458" s="0" t="n">
        <v>3</v>
      </c>
      <c r="U458" s="0" t="n">
        <v>2</v>
      </c>
      <c r="V458" s="0" t="inlineStr">
        <is>
          <t>복도식</t>
        </is>
      </c>
      <c r="W458" s="0" t="inlineStr">
        <is>
          <t>110D</t>
        </is>
      </c>
      <c r="X458" s="0" t="n">
        <v>15</v>
      </c>
      <c r="Y458" s="0" t="n">
        <v>11</v>
      </c>
      <c r="Z458" s="0" t="inlineStr">
        <is>
          <t>https://new.land.naver.com/complexes/22116?tab=detail&amp;rf=Y</t>
        </is>
      </c>
      <c r="AA458" s="0" t="inlineStr">
        <is>
          <t>서울시 강동구 길동 414-10</t>
        </is>
      </c>
      <c r="AB458" s="0" t="inlineStr">
        <is>
          <t>서울시</t>
        </is>
      </c>
      <c r="AC458" s="0" t="inlineStr">
        <is>
          <t>강동구</t>
        </is>
      </c>
      <c r="AD458" s="0" t="inlineStr">
        <is>
          <t>길동</t>
        </is>
      </c>
      <c r="AG458" s="0" t="inlineStr">
        <is>
          <t>서울시 강동구 진황도로 99</t>
        </is>
      </c>
      <c r="AH458" s="0" t="n">
        <v>0</v>
      </c>
      <c r="AI458" s="0" t="n">
        <v>519</v>
      </c>
      <c r="AJ458" s="0" t="n">
        <v>59</v>
      </c>
      <c r="AK458" s="0" t="n">
        <v>192</v>
      </c>
      <c r="AL458" s="0" t="n">
        <v>1.55</v>
      </c>
    </row>
    <row r="459">
      <c r="A459" s="0" t="inlineStr">
        <is>
          <t>[길동]</t>
        </is>
      </c>
      <c r="B459" s="0" t="n">
        <v>106736</v>
      </c>
      <c r="C459" s="0" t="n">
        <v>1</v>
      </c>
      <c r="D459" s="0" t="inlineStr">
        <is>
          <t>우성아트빌</t>
        </is>
      </c>
      <c r="E459" s="0" t="inlineStr">
        <is>
          <t>2013.04.</t>
        </is>
      </c>
      <c r="F459" s="0" t="n">
        <v>39</v>
      </c>
      <c r="G459" s="0" t="n">
        <v>24.81</v>
      </c>
      <c r="H459" s="0" t="n">
        <v>82.02</v>
      </c>
      <c r="I459" s="0" t="n">
        <v>19.79</v>
      </c>
      <c r="J459" s="0" t="n">
        <v>65.43000000000001</v>
      </c>
      <c r="K459" s="0" t="n">
        <v>2</v>
      </c>
      <c r="T459" s="0" t="n">
        <v>3</v>
      </c>
      <c r="U459" s="0" t="n">
        <v>2</v>
      </c>
      <c r="V459" s="0" t="inlineStr">
        <is>
          <t>복도식</t>
        </is>
      </c>
      <c r="W459" s="0" t="n">
        <v>82</v>
      </c>
      <c r="X459" s="0" t="n">
        <v>15</v>
      </c>
      <c r="Y459" s="0" t="n">
        <v>15</v>
      </c>
      <c r="Z459" s="0" t="inlineStr">
        <is>
          <t>https://new.land.naver.com/complexes/106736?tab=detail&amp;rf=Y</t>
        </is>
      </c>
      <c r="AA459" s="0" t="inlineStr">
        <is>
          <t>서울시 강동구 길동 385-6</t>
        </is>
      </c>
      <c r="AB459" s="0" t="inlineStr">
        <is>
          <t>서울시</t>
        </is>
      </c>
      <c r="AC459" s="0" t="inlineStr">
        <is>
          <t>강동구</t>
        </is>
      </c>
      <c r="AD459" s="0" t="inlineStr">
        <is>
          <t>길동</t>
        </is>
      </c>
      <c r="AG459" s="0" t="inlineStr">
        <is>
          <t>서울시 강동구 양재대로113길 51</t>
        </is>
      </c>
      <c r="AH459" s="0" t="n">
        <v>0</v>
      </c>
      <c r="AI459" s="0" t="n">
        <v>541</v>
      </c>
      <c r="AJ459" s="0" t="n">
        <v>55</v>
      </c>
      <c r="AK459" s="0" t="n">
        <v>65</v>
      </c>
      <c r="AL459" s="0" t="n">
        <v>1.67</v>
      </c>
    </row>
    <row r="460">
      <c r="A460" s="0" t="inlineStr">
        <is>
          <t>[길동]</t>
        </is>
      </c>
      <c r="B460" s="0" t="n">
        <v>106736</v>
      </c>
      <c r="C460" s="0" t="n">
        <v>2</v>
      </c>
      <c r="D460" s="0" t="inlineStr">
        <is>
          <t>우성아트빌</t>
        </is>
      </c>
      <c r="E460" s="0" t="inlineStr">
        <is>
          <t>2013.04.</t>
        </is>
      </c>
      <c r="F460" s="0" t="n">
        <v>39</v>
      </c>
      <c r="G460" s="0" t="n">
        <v>32.58</v>
      </c>
      <c r="H460" s="0" t="n">
        <v>107.73</v>
      </c>
      <c r="I460" s="0" t="n">
        <v>25.99</v>
      </c>
      <c r="J460" s="0" t="n">
        <v>85.94</v>
      </c>
      <c r="K460" s="0" t="n">
        <v>1</v>
      </c>
      <c r="T460" s="0" t="n">
        <v>3</v>
      </c>
      <c r="U460" s="0" t="n">
        <v>2</v>
      </c>
      <c r="V460" s="0" t="inlineStr">
        <is>
          <t>복도식</t>
        </is>
      </c>
      <c r="W460" s="0" t="n">
        <v>107</v>
      </c>
      <c r="X460" s="0" t="n">
        <v>15</v>
      </c>
      <c r="Y460" s="0" t="n">
        <v>15</v>
      </c>
      <c r="Z460" s="0" t="inlineStr">
        <is>
          <t>https://new.land.naver.com/complexes/106736?tab=detail&amp;rf=Y</t>
        </is>
      </c>
      <c r="AA460" s="0" t="inlineStr">
        <is>
          <t>서울시 강동구 길동 385-6</t>
        </is>
      </c>
      <c r="AB460" s="0" t="inlineStr">
        <is>
          <t>서울시</t>
        </is>
      </c>
      <c r="AC460" s="0" t="inlineStr">
        <is>
          <t>강동구</t>
        </is>
      </c>
      <c r="AD460" s="0" t="inlineStr">
        <is>
          <t>길동</t>
        </is>
      </c>
      <c r="AG460" s="0" t="inlineStr">
        <is>
          <t>서울시 강동구 양재대로113길 51</t>
        </is>
      </c>
      <c r="AH460" s="0" t="n">
        <v>0</v>
      </c>
      <c r="AI460" s="0" t="n">
        <v>541</v>
      </c>
      <c r="AJ460" s="0" t="n">
        <v>55</v>
      </c>
      <c r="AK460" s="0" t="n">
        <v>65</v>
      </c>
      <c r="AL460" s="0" t="n">
        <v>1.67</v>
      </c>
    </row>
    <row r="461">
      <c r="A461" s="0" t="inlineStr">
        <is>
          <t>[길동]</t>
        </is>
      </c>
      <c r="B461" s="0" t="n">
        <v>106736</v>
      </c>
      <c r="C461" s="0" t="n">
        <v>3</v>
      </c>
      <c r="D461" s="0" t="inlineStr">
        <is>
          <t>우성아트빌</t>
        </is>
      </c>
      <c r="E461" s="0" t="inlineStr">
        <is>
          <t>2013.04.</t>
        </is>
      </c>
      <c r="F461" s="0" t="n">
        <v>39</v>
      </c>
      <c r="G461" s="0" t="n">
        <v>34.98</v>
      </c>
      <c r="H461" s="0" t="n">
        <v>115.64</v>
      </c>
      <c r="I461" s="0" t="n">
        <v>27.9</v>
      </c>
      <c r="J461" s="0" t="n">
        <v>92.25</v>
      </c>
      <c r="K461" s="0" t="n">
        <v>1</v>
      </c>
      <c r="T461" s="0" t="n">
        <v>3</v>
      </c>
      <c r="U461" s="0" t="n">
        <v>2</v>
      </c>
      <c r="V461" s="0" t="inlineStr">
        <is>
          <t>복도식</t>
        </is>
      </c>
      <c r="W461" s="0" t="n">
        <v>115</v>
      </c>
      <c r="X461" s="0" t="n">
        <v>15</v>
      </c>
      <c r="Y461" s="0" t="n">
        <v>15</v>
      </c>
      <c r="Z461" s="0" t="inlineStr">
        <is>
          <t>https://new.land.naver.com/complexes/106736?tab=detail&amp;rf=Y</t>
        </is>
      </c>
      <c r="AA461" s="0" t="inlineStr">
        <is>
          <t>서울시 강동구 길동 385-6</t>
        </is>
      </c>
      <c r="AB461" s="0" t="inlineStr">
        <is>
          <t>서울시</t>
        </is>
      </c>
      <c r="AC461" s="0" t="inlineStr">
        <is>
          <t>강동구</t>
        </is>
      </c>
      <c r="AD461" s="0" t="inlineStr">
        <is>
          <t>길동</t>
        </is>
      </c>
      <c r="AG461" s="0" t="inlineStr">
        <is>
          <t>서울시 강동구 양재대로113길 51</t>
        </is>
      </c>
      <c r="AH461" s="0" t="n">
        <v>0</v>
      </c>
      <c r="AI461" s="0" t="n">
        <v>541</v>
      </c>
      <c r="AJ461" s="0" t="n">
        <v>55</v>
      </c>
      <c r="AK461" s="0" t="n">
        <v>65</v>
      </c>
      <c r="AL461" s="0" t="n">
        <v>1.67</v>
      </c>
    </row>
    <row r="462">
      <c r="A462" s="0" t="inlineStr">
        <is>
          <t>[길동]</t>
        </is>
      </c>
      <c r="B462" s="0" t="n">
        <v>106736</v>
      </c>
      <c r="C462" s="0" t="n">
        <v>4</v>
      </c>
      <c r="D462" s="0" t="inlineStr">
        <is>
          <t>우성아트빌</t>
        </is>
      </c>
      <c r="E462" s="0" t="inlineStr">
        <is>
          <t>2013.04.</t>
        </is>
      </c>
      <c r="F462" s="0" t="n">
        <v>39</v>
      </c>
      <c r="G462" s="0" t="n">
        <v>37.6</v>
      </c>
      <c r="H462" s="0" t="n">
        <v>124.3</v>
      </c>
      <c r="I462" s="0" t="n">
        <v>29.99</v>
      </c>
      <c r="J462" s="0" t="n">
        <v>99.16</v>
      </c>
      <c r="K462" s="0" t="n">
        <v>1</v>
      </c>
      <c r="T462" s="0" t="n">
        <v>3</v>
      </c>
      <c r="U462" s="0" t="n">
        <v>2</v>
      </c>
      <c r="V462" s="0" t="inlineStr">
        <is>
          <t>복도식</t>
        </is>
      </c>
      <c r="W462" s="0" t="n">
        <v>124</v>
      </c>
      <c r="X462" s="0" t="n">
        <v>15</v>
      </c>
      <c r="Y462" s="0" t="n">
        <v>15</v>
      </c>
      <c r="Z462" s="0" t="inlineStr">
        <is>
          <t>https://new.land.naver.com/complexes/106736?tab=detail&amp;rf=Y</t>
        </is>
      </c>
      <c r="AA462" s="0" t="inlineStr">
        <is>
          <t>서울시 강동구 길동 385-6</t>
        </is>
      </c>
      <c r="AB462" s="0" t="inlineStr">
        <is>
          <t>서울시</t>
        </is>
      </c>
      <c r="AC462" s="0" t="inlineStr">
        <is>
          <t>강동구</t>
        </is>
      </c>
      <c r="AD462" s="0" t="inlineStr">
        <is>
          <t>길동</t>
        </is>
      </c>
      <c r="AG462" s="0" t="inlineStr">
        <is>
          <t>서울시 강동구 양재대로113길 51</t>
        </is>
      </c>
      <c r="AH462" s="0" t="n">
        <v>0</v>
      </c>
      <c r="AI462" s="0" t="n">
        <v>541</v>
      </c>
      <c r="AJ462" s="0" t="n">
        <v>55</v>
      </c>
      <c r="AK462" s="0" t="n">
        <v>65</v>
      </c>
      <c r="AL462" s="0" t="n">
        <v>1.67</v>
      </c>
    </row>
    <row r="463">
      <c r="A463" s="0" t="inlineStr">
        <is>
          <t>[길동]</t>
        </is>
      </c>
      <c r="B463" s="0" t="n">
        <v>106736</v>
      </c>
      <c r="C463" s="0" t="n">
        <v>5</v>
      </c>
      <c r="D463" s="0" t="inlineStr">
        <is>
          <t>우성아트빌</t>
        </is>
      </c>
      <c r="E463" s="0" t="inlineStr">
        <is>
          <t>2013.04.</t>
        </is>
      </c>
      <c r="F463" s="0" t="n">
        <v>39</v>
      </c>
      <c r="G463" s="0" t="n">
        <v>38.76</v>
      </c>
      <c r="H463" s="0" t="n">
        <v>128.16</v>
      </c>
      <c r="I463" s="0" t="n">
        <v>30.92</v>
      </c>
      <c r="J463" s="0" t="n">
        <v>102.24</v>
      </c>
      <c r="K463" s="0" t="n">
        <v>7</v>
      </c>
      <c r="T463" s="0" t="n">
        <v>3</v>
      </c>
      <c r="U463" s="0" t="n">
        <v>2</v>
      </c>
      <c r="V463" s="0" t="inlineStr">
        <is>
          <t>복도식</t>
        </is>
      </c>
      <c r="W463" s="0" t="n">
        <v>128</v>
      </c>
      <c r="X463" s="0" t="n">
        <v>15</v>
      </c>
      <c r="Y463" s="0" t="n">
        <v>15</v>
      </c>
      <c r="Z463" s="0" t="inlineStr">
        <is>
          <t>https://new.land.naver.com/complexes/106736?tab=detail&amp;rf=Y</t>
        </is>
      </c>
      <c r="AA463" s="0" t="inlineStr">
        <is>
          <t>서울시 강동구 길동 385-6</t>
        </is>
      </c>
      <c r="AB463" s="0" t="inlineStr">
        <is>
          <t>서울시</t>
        </is>
      </c>
      <c r="AC463" s="0" t="inlineStr">
        <is>
          <t>강동구</t>
        </is>
      </c>
      <c r="AD463" s="0" t="inlineStr">
        <is>
          <t>길동</t>
        </is>
      </c>
      <c r="AG463" s="0" t="inlineStr">
        <is>
          <t>서울시 강동구 양재대로113길 51</t>
        </is>
      </c>
      <c r="AH463" s="0" t="n">
        <v>0</v>
      </c>
      <c r="AI463" s="0" t="n">
        <v>541</v>
      </c>
      <c r="AJ463" s="0" t="n">
        <v>55</v>
      </c>
      <c r="AK463" s="0" t="n">
        <v>65</v>
      </c>
      <c r="AL463" s="0" t="n">
        <v>1.67</v>
      </c>
    </row>
    <row r="464">
      <c r="A464" s="0" t="inlineStr">
        <is>
          <t>[길동]</t>
        </is>
      </c>
      <c r="B464" s="0" t="n">
        <v>106736</v>
      </c>
      <c r="C464" s="0" t="n">
        <v>6</v>
      </c>
      <c r="D464" s="0" t="inlineStr">
        <is>
          <t>우성아트빌</t>
        </is>
      </c>
      <c r="E464" s="0" t="inlineStr">
        <is>
          <t>2013.04.</t>
        </is>
      </c>
      <c r="F464" s="0" t="n">
        <v>39</v>
      </c>
      <c r="G464" s="0" t="n">
        <v>39.66</v>
      </c>
      <c r="H464" s="0" t="n">
        <v>131.14</v>
      </c>
      <c r="I464" s="0" t="n">
        <v>31.64</v>
      </c>
      <c r="J464" s="0" t="n">
        <v>104.62</v>
      </c>
      <c r="K464" s="0" t="n">
        <v>8</v>
      </c>
      <c r="T464" s="0" t="n">
        <v>3</v>
      </c>
      <c r="U464" s="0" t="n">
        <v>2</v>
      </c>
      <c r="V464" s="0" t="inlineStr">
        <is>
          <t>복도식</t>
        </is>
      </c>
      <c r="W464" s="0" t="n">
        <v>131</v>
      </c>
      <c r="X464" s="0" t="n">
        <v>15</v>
      </c>
      <c r="Y464" s="0" t="n">
        <v>15</v>
      </c>
      <c r="Z464" s="0" t="inlineStr">
        <is>
          <t>https://new.land.naver.com/complexes/106736?tab=detail&amp;rf=Y</t>
        </is>
      </c>
      <c r="AA464" s="0" t="inlineStr">
        <is>
          <t>서울시 강동구 길동 385-6</t>
        </is>
      </c>
      <c r="AB464" s="0" t="inlineStr">
        <is>
          <t>서울시</t>
        </is>
      </c>
      <c r="AC464" s="0" t="inlineStr">
        <is>
          <t>강동구</t>
        </is>
      </c>
      <c r="AD464" s="0" t="inlineStr">
        <is>
          <t>길동</t>
        </is>
      </c>
      <c r="AG464" s="0" t="inlineStr">
        <is>
          <t>서울시 강동구 양재대로113길 51</t>
        </is>
      </c>
      <c r="AH464" s="0" t="n">
        <v>0</v>
      </c>
      <c r="AI464" s="0" t="n">
        <v>541</v>
      </c>
      <c r="AJ464" s="0" t="n">
        <v>55</v>
      </c>
      <c r="AK464" s="0" t="n">
        <v>65</v>
      </c>
      <c r="AL464" s="0" t="n">
        <v>1.67</v>
      </c>
    </row>
    <row r="465">
      <c r="A465" s="0" t="inlineStr">
        <is>
          <t>[길동]</t>
        </is>
      </c>
      <c r="B465" s="0" t="n">
        <v>106736</v>
      </c>
      <c r="C465" s="0" t="n">
        <v>7</v>
      </c>
      <c r="D465" s="0" t="inlineStr">
        <is>
          <t>우성아트빌</t>
        </is>
      </c>
      <c r="E465" s="0" t="inlineStr">
        <is>
          <t>2013.04.</t>
        </is>
      </c>
      <c r="F465" s="0" t="n">
        <v>39</v>
      </c>
      <c r="G465" s="0" t="n">
        <v>42.42</v>
      </c>
      <c r="H465" s="0" t="n">
        <v>140.24</v>
      </c>
      <c r="I465" s="0" t="n">
        <v>33.84</v>
      </c>
      <c r="J465" s="0" t="n">
        <v>111.87</v>
      </c>
      <c r="K465" s="0" t="n">
        <v>2</v>
      </c>
      <c r="T465" s="0" t="n">
        <v>4</v>
      </c>
      <c r="U465" s="0" t="n">
        <v>2</v>
      </c>
      <c r="V465" s="0" t="inlineStr">
        <is>
          <t>복도식</t>
        </is>
      </c>
      <c r="W465" s="0" t="n">
        <v>140</v>
      </c>
      <c r="X465" s="0" t="n">
        <v>15</v>
      </c>
      <c r="Y465" s="0" t="n">
        <v>15</v>
      </c>
      <c r="Z465" s="0" t="inlineStr">
        <is>
          <t>https://new.land.naver.com/complexes/106736?tab=detail&amp;rf=Y</t>
        </is>
      </c>
      <c r="AA465" s="0" t="inlineStr">
        <is>
          <t>서울시 강동구 길동 385-6</t>
        </is>
      </c>
      <c r="AB465" s="0" t="inlineStr">
        <is>
          <t>서울시</t>
        </is>
      </c>
      <c r="AC465" s="0" t="inlineStr">
        <is>
          <t>강동구</t>
        </is>
      </c>
      <c r="AD465" s="0" t="inlineStr">
        <is>
          <t>길동</t>
        </is>
      </c>
      <c r="AG465" s="0" t="inlineStr">
        <is>
          <t>서울시 강동구 양재대로113길 51</t>
        </is>
      </c>
      <c r="AH465" s="0" t="n">
        <v>0</v>
      </c>
      <c r="AI465" s="0" t="n">
        <v>541</v>
      </c>
      <c r="AJ465" s="0" t="n">
        <v>55</v>
      </c>
      <c r="AK465" s="0" t="n">
        <v>65</v>
      </c>
      <c r="AL465" s="0" t="n">
        <v>1.67</v>
      </c>
    </row>
    <row r="466">
      <c r="A466" s="0" t="inlineStr">
        <is>
          <t>[길동]</t>
        </is>
      </c>
      <c r="B466" s="0" t="n">
        <v>106736</v>
      </c>
      <c r="C466" s="0" t="n">
        <v>8</v>
      </c>
      <c r="D466" s="0" t="inlineStr">
        <is>
          <t>우성아트빌</t>
        </is>
      </c>
      <c r="E466" s="0" t="inlineStr">
        <is>
          <t>2013.04.</t>
        </is>
      </c>
      <c r="F466" s="0" t="n">
        <v>39</v>
      </c>
      <c r="G466" s="0" t="n">
        <v>44.09</v>
      </c>
      <c r="H466" s="0" t="n">
        <v>145.76</v>
      </c>
      <c r="I466" s="0" t="n">
        <v>35.17</v>
      </c>
      <c r="J466" s="0" t="n">
        <v>116.28</v>
      </c>
      <c r="K466" s="0" t="n">
        <v>15</v>
      </c>
      <c r="T466" s="0" t="n">
        <v>4</v>
      </c>
      <c r="U466" s="0" t="n">
        <v>2</v>
      </c>
      <c r="V466" s="0" t="inlineStr">
        <is>
          <t>복도식</t>
        </is>
      </c>
      <c r="W466" s="0" t="n">
        <v>145</v>
      </c>
      <c r="X466" s="0" t="n">
        <v>15</v>
      </c>
      <c r="Y466" s="0" t="n">
        <v>15</v>
      </c>
      <c r="Z466" s="0" t="inlineStr">
        <is>
          <t>https://new.land.naver.com/complexes/106736?tab=detail&amp;rf=Y</t>
        </is>
      </c>
      <c r="AA466" s="0" t="inlineStr">
        <is>
          <t>서울시 강동구 길동 385-6</t>
        </is>
      </c>
      <c r="AB466" s="0" t="inlineStr">
        <is>
          <t>서울시</t>
        </is>
      </c>
      <c r="AC466" s="0" t="inlineStr">
        <is>
          <t>강동구</t>
        </is>
      </c>
      <c r="AD466" s="0" t="inlineStr">
        <is>
          <t>길동</t>
        </is>
      </c>
      <c r="AG466" s="0" t="inlineStr">
        <is>
          <t>서울시 강동구 양재대로113길 51</t>
        </is>
      </c>
      <c r="AH466" s="0" t="n">
        <v>0</v>
      </c>
      <c r="AI466" s="0" t="n">
        <v>541</v>
      </c>
      <c r="AJ466" s="0" t="n">
        <v>55</v>
      </c>
      <c r="AK466" s="0" t="n">
        <v>65</v>
      </c>
      <c r="AL466" s="0" t="n">
        <v>1.67</v>
      </c>
    </row>
    <row r="467">
      <c r="A467" s="0" t="inlineStr">
        <is>
          <t>[길동]</t>
        </is>
      </c>
      <c r="B467" s="0" t="n">
        <v>106736</v>
      </c>
      <c r="C467" s="0" t="n">
        <v>9</v>
      </c>
      <c r="D467" s="0" t="inlineStr">
        <is>
          <t>우성아트빌</t>
        </is>
      </c>
      <c r="E467" s="0" t="inlineStr">
        <is>
          <t>2013.04.</t>
        </is>
      </c>
      <c r="F467" s="0" t="n">
        <v>39</v>
      </c>
      <c r="G467" s="0" t="n">
        <v>45.83</v>
      </c>
      <c r="H467" s="0" t="n">
        <v>151.52</v>
      </c>
      <c r="I467" s="0" t="n">
        <v>36.56</v>
      </c>
      <c r="J467" s="0" t="n">
        <v>120.87</v>
      </c>
      <c r="K467" s="0" t="n">
        <v>2</v>
      </c>
      <c r="T467" s="0" t="n">
        <v>4</v>
      </c>
      <c r="U467" s="0" t="n">
        <v>2</v>
      </c>
      <c r="V467" s="0" t="inlineStr">
        <is>
          <t>복도식</t>
        </is>
      </c>
      <c r="W467" s="0" t="n">
        <v>151</v>
      </c>
      <c r="X467" s="0" t="n">
        <v>15</v>
      </c>
      <c r="Y467" s="0" t="n">
        <v>15</v>
      </c>
      <c r="Z467" s="0" t="inlineStr">
        <is>
          <t>https://new.land.naver.com/complexes/106736?tab=detail&amp;rf=Y</t>
        </is>
      </c>
      <c r="AA467" s="0" t="inlineStr">
        <is>
          <t>서울시 강동구 길동 385-6</t>
        </is>
      </c>
      <c r="AB467" s="0" t="inlineStr">
        <is>
          <t>서울시</t>
        </is>
      </c>
      <c r="AC467" s="0" t="inlineStr">
        <is>
          <t>강동구</t>
        </is>
      </c>
      <c r="AD467" s="0" t="inlineStr">
        <is>
          <t>길동</t>
        </is>
      </c>
      <c r="AG467" s="0" t="inlineStr">
        <is>
          <t>서울시 강동구 양재대로113길 51</t>
        </is>
      </c>
      <c r="AH467" s="0" t="n">
        <v>0</v>
      </c>
      <c r="AI467" s="0" t="n">
        <v>541</v>
      </c>
      <c r="AJ467" s="0" t="n">
        <v>55</v>
      </c>
      <c r="AK467" s="0" t="n">
        <v>65</v>
      </c>
      <c r="AL467" s="0" t="n">
        <v>1.67</v>
      </c>
    </row>
    <row r="468">
      <c r="A468" s="0" t="inlineStr">
        <is>
          <t>[길동]</t>
        </is>
      </c>
      <c r="B468" s="0" t="n">
        <v>19246</v>
      </c>
      <c r="C468" s="0" t="n">
        <v>1</v>
      </c>
      <c r="D468" s="0" t="inlineStr">
        <is>
          <t>강동역SK허브</t>
        </is>
      </c>
      <c r="E468" s="0" t="inlineStr">
        <is>
          <t>2006.12.</t>
        </is>
      </c>
      <c r="F468" s="0" t="n">
        <v>94</v>
      </c>
      <c r="G468" s="0" t="n">
        <v>23.06</v>
      </c>
      <c r="H468" s="0" t="n">
        <v>76.26000000000001</v>
      </c>
      <c r="I468" s="0" t="n">
        <v>18.04</v>
      </c>
      <c r="J468" s="0" t="n">
        <v>59.66</v>
      </c>
      <c r="K468" s="0" t="n">
        <v>2</v>
      </c>
      <c r="T468" s="0" t="n">
        <v>2</v>
      </c>
      <c r="U468" s="0" t="n">
        <v>1</v>
      </c>
      <c r="V468" s="0" t="inlineStr">
        <is>
          <t>계단식</t>
        </is>
      </c>
      <c r="W468" s="0" t="inlineStr">
        <is>
          <t>76D</t>
        </is>
      </c>
      <c r="X468" s="0" t="n">
        <v>24</v>
      </c>
      <c r="Y468" s="0" t="n">
        <v>24</v>
      </c>
      <c r="Z468" s="0" t="inlineStr">
        <is>
          <t>https://new.land.naver.com/complexes/19246?tab=detail&amp;rf=Y</t>
        </is>
      </c>
      <c r="AA468" s="0" t="inlineStr">
        <is>
          <t>서울시 강동구 길동 445-1</t>
        </is>
      </c>
      <c r="AB468" s="0" t="inlineStr">
        <is>
          <t>서울시</t>
        </is>
      </c>
      <c r="AC468" s="0" t="inlineStr">
        <is>
          <t>강동구</t>
        </is>
      </c>
      <c r="AD468" s="0" t="inlineStr">
        <is>
          <t>길동</t>
        </is>
      </c>
      <c r="AG468" s="0" t="inlineStr">
        <is>
          <t>서울시 강동구 천호대로 1107</t>
        </is>
      </c>
      <c r="AH468" s="0" t="n">
        <v>0</v>
      </c>
      <c r="AI468" s="0" t="n">
        <v>896</v>
      </c>
      <c r="AJ468" s="0" t="n">
        <v>49</v>
      </c>
      <c r="AK468" s="0" t="n">
        <v>175</v>
      </c>
      <c r="AL468" s="0" t="n">
        <v>1.86</v>
      </c>
    </row>
    <row r="469">
      <c r="A469" s="0" t="inlineStr">
        <is>
          <t>[길동]</t>
        </is>
      </c>
      <c r="B469" s="0" t="n">
        <v>19246</v>
      </c>
      <c r="C469" s="0" t="n">
        <v>2</v>
      </c>
      <c r="D469" s="0" t="inlineStr">
        <is>
          <t>강동역SK허브</t>
        </is>
      </c>
      <c r="E469" s="0" t="inlineStr">
        <is>
          <t>2006.12.</t>
        </is>
      </c>
      <c r="F469" s="0" t="n">
        <v>94</v>
      </c>
      <c r="G469" s="0" t="n">
        <v>32.79</v>
      </c>
      <c r="H469" s="0" t="n">
        <v>108.42</v>
      </c>
      <c r="I469" s="0" t="n">
        <v>25.65</v>
      </c>
      <c r="J469" s="0" t="n">
        <v>84.81</v>
      </c>
      <c r="K469" s="0" t="n">
        <v>30</v>
      </c>
      <c r="T469" s="0" t="n">
        <v>3</v>
      </c>
      <c r="U469" s="0" t="n">
        <v>2</v>
      </c>
      <c r="V469" s="0" t="inlineStr">
        <is>
          <t>계단식</t>
        </is>
      </c>
      <c r="W469" s="0" t="inlineStr">
        <is>
          <t>108B</t>
        </is>
      </c>
      <c r="X469" s="0" t="n">
        <v>24</v>
      </c>
      <c r="Y469" s="0" t="n">
        <v>24</v>
      </c>
      <c r="Z469" s="0" t="inlineStr">
        <is>
          <t>https://new.land.naver.com/complexes/19246?tab=detail&amp;rf=Y</t>
        </is>
      </c>
      <c r="AA469" s="0" t="inlineStr">
        <is>
          <t>서울시 강동구 길동 445-1</t>
        </is>
      </c>
      <c r="AB469" s="0" t="inlineStr">
        <is>
          <t>서울시</t>
        </is>
      </c>
      <c r="AC469" s="0" t="inlineStr">
        <is>
          <t>강동구</t>
        </is>
      </c>
      <c r="AD469" s="0" t="inlineStr">
        <is>
          <t>길동</t>
        </is>
      </c>
      <c r="AG469" s="0" t="inlineStr">
        <is>
          <t>서울시 강동구 천호대로 1107</t>
        </is>
      </c>
      <c r="AH469" s="0" t="n">
        <v>0</v>
      </c>
      <c r="AI469" s="0" t="n">
        <v>896</v>
      </c>
      <c r="AJ469" s="0" t="n">
        <v>49</v>
      </c>
      <c r="AK469" s="0" t="n">
        <v>175</v>
      </c>
      <c r="AL469" s="0" t="n">
        <v>1.86</v>
      </c>
    </row>
    <row r="470">
      <c r="A470" s="0" t="inlineStr">
        <is>
          <t>[길동]</t>
        </is>
      </c>
      <c r="B470" s="0" t="n">
        <v>19246</v>
      </c>
      <c r="C470" s="0" t="n">
        <v>3</v>
      </c>
      <c r="D470" s="0" t="inlineStr">
        <is>
          <t>강동역SK허브</t>
        </is>
      </c>
      <c r="E470" s="0" t="inlineStr">
        <is>
          <t>2006.12.</t>
        </is>
      </c>
      <c r="F470" s="0" t="n">
        <v>94</v>
      </c>
      <c r="G470" s="0" t="n">
        <v>32.84</v>
      </c>
      <c r="H470" s="0" t="n">
        <v>108.57</v>
      </c>
      <c r="I470" s="0" t="n">
        <v>25.69</v>
      </c>
      <c r="J470" s="0" t="n">
        <v>84.94</v>
      </c>
      <c r="K470" s="0" t="n">
        <v>30</v>
      </c>
      <c r="T470" s="0" t="n">
        <v>3</v>
      </c>
      <c r="U470" s="0" t="n">
        <v>2</v>
      </c>
      <c r="V470" s="0" t="inlineStr">
        <is>
          <t>계단식</t>
        </is>
      </c>
      <c r="W470" s="0" t="inlineStr">
        <is>
          <t>108C</t>
        </is>
      </c>
      <c r="X470" s="0" t="n">
        <v>24</v>
      </c>
      <c r="Y470" s="0" t="n">
        <v>24</v>
      </c>
      <c r="Z470" s="0" t="inlineStr">
        <is>
          <t>https://new.land.naver.com/complexes/19246?tab=detail&amp;rf=Y</t>
        </is>
      </c>
      <c r="AA470" s="0" t="inlineStr">
        <is>
          <t>서울시 강동구 길동 445-1</t>
        </is>
      </c>
      <c r="AB470" s="0" t="inlineStr">
        <is>
          <t>서울시</t>
        </is>
      </c>
      <c r="AC470" s="0" t="inlineStr">
        <is>
          <t>강동구</t>
        </is>
      </c>
      <c r="AD470" s="0" t="inlineStr">
        <is>
          <t>길동</t>
        </is>
      </c>
      <c r="AG470" s="0" t="inlineStr">
        <is>
          <t>서울시 강동구 천호대로 1107</t>
        </is>
      </c>
      <c r="AH470" s="0" t="n">
        <v>0</v>
      </c>
      <c r="AI470" s="0" t="n">
        <v>896</v>
      </c>
      <c r="AJ470" s="0" t="n">
        <v>49</v>
      </c>
      <c r="AK470" s="0" t="n">
        <v>175</v>
      </c>
      <c r="AL470" s="0" t="n">
        <v>1.86</v>
      </c>
    </row>
    <row r="471">
      <c r="A471" s="0" t="inlineStr">
        <is>
          <t>[길동]</t>
        </is>
      </c>
      <c r="B471" s="0" t="n">
        <v>19246</v>
      </c>
      <c r="C471" s="0" t="n">
        <v>4</v>
      </c>
      <c r="D471" s="0" t="inlineStr">
        <is>
          <t>강동역SK허브</t>
        </is>
      </c>
      <c r="E471" s="0" t="inlineStr">
        <is>
          <t>2006.12.</t>
        </is>
      </c>
      <c r="F471" s="0" t="n">
        <v>94</v>
      </c>
      <c r="G471" s="0" t="n">
        <v>38.49</v>
      </c>
      <c r="H471" s="0" t="n">
        <v>127.26</v>
      </c>
      <c r="I471" s="0" t="n">
        <v>30.11</v>
      </c>
      <c r="J471" s="0" t="n">
        <v>99.55</v>
      </c>
      <c r="K471" s="0" t="n">
        <v>32</v>
      </c>
      <c r="T471" s="0" t="n">
        <v>3</v>
      </c>
      <c r="U471" s="0" t="n">
        <v>2</v>
      </c>
      <c r="V471" s="0" t="inlineStr">
        <is>
          <t>계단식</t>
        </is>
      </c>
      <c r="W471" s="0" t="inlineStr">
        <is>
          <t>127A</t>
        </is>
      </c>
      <c r="X471" s="0" t="n">
        <v>24</v>
      </c>
      <c r="Y471" s="0" t="n">
        <v>24</v>
      </c>
      <c r="Z471" s="0" t="inlineStr">
        <is>
          <t>https://new.land.naver.com/complexes/19246?tab=detail&amp;rf=Y</t>
        </is>
      </c>
      <c r="AA471" s="0" t="inlineStr">
        <is>
          <t>서울시 강동구 길동 445-1</t>
        </is>
      </c>
      <c r="AB471" s="0" t="inlineStr">
        <is>
          <t>서울시</t>
        </is>
      </c>
      <c r="AC471" s="0" t="inlineStr">
        <is>
          <t>강동구</t>
        </is>
      </c>
      <c r="AD471" s="0" t="inlineStr">
        <is>
          <t>길동</t>
        </is>
      </c>
      <c r="AG471" s="0" t="inlineStr">
        <is>
          <t>서울시 강동구 천호대로 1107</t>
        </is>
      </c>
      <c r="AH471" s="0" t="n">
        <v>0</v>
      </c>
      <c r="AI471" s="0" t="n">
        <v>896</v>
      </c>
      <c r="AJ471" s="0" t="n">
        <v>49</v>
      </c>
      <c r="AK471" s="0" t="n">
        <v>175</v>
      </c>
      <c r="AL471" s="0" t="n">
        <v>1.86</v>
      </c>
    </row>
    <row r="472">
      <c r="A472" s="0" t="inlineStr">
        <is>
          <t>[길동]</t>
        </is>
      </c>
      <c r="B472" s="0" t="n">
        <v>101408</v>
      </c>
      <c r="C472" s="0" t="n">
        <v>1</v>
      </c>
      <c r="D472" s="0" t="inlineStr">
        <is>
          <t>동서울오네뜨</t>
        </is>
      </c>
      <c r="E472" s="0" t="inlineStr">
        <is>
          <t>2009.11.</t>
        </is>
      </c>
      <c r="F472" s="0" t="n">
        <v>71</v>
      </c>
      <c r="G472" s="0" t="n">
        <v>20.95</v>
      </c>
      <c r="H472" s="0" t="n">
        <v>69.26000000000001</v>
      </c>
      <c r="I472" s="0" t="n">
        <v>16.37</v>
      </c>
      <c r="J472" s="0" t="n">
        <v>54.12</v>
      </c>
      <c r="K472" s="0" t="n">
        <v>3</v>
      </c>
      <c r="T472" s="0" t="n">
        <v>3</v>
      </c>
      <c r="U472" s="0" t="n">
        <v>2</v>
      </c>
      <c r="V472" s="0" t="inlineStr">
        <is>
          <t>계단식</t>
        </is>
      </c>
      <c r="W472" s="0" t="n">
        <v>69</v>
      </c>
      <c r="X472" s="0" t="n">
        <v>12</v>
      </c>
      <c r="Y472" s="0" t="n">
        <v>10</v>
      </c>
      <c r="Z472" s="0" t="inlineStr">
        <is>
          <t>https://new.land.naver.com/complexes/101408?tab=detail&amp;rf=Y</t>
        </is>
      </c>
      <c r="AA472" s="0" t="inlineStr">
        <is>
          <t>서울시 강동구 길동 339-1</t>
        </is>
      </c>
      <c r="AB472" s="0" t="inlineStr">
        <is>
          <t>서울시</t>
        </is>
      </c>
      <c r="AC472" s="0" t="inlineStr">
        <is>
          <t>강동구</t>
        </is>
      </c>
      <c r="AD472" s="0" t="inlineStr">
        <is>
          <t>길동</t>
        </is>
      </c>
      <c r="AG472" s="0" t="inlineStr">
        <is>
          <t>서울시 강동구 양재대로124길 32</t>
        </is>
      </c>
      <c r="AH472" s="0" t="n">
        <v>0</v>
      </c>
      <c r="AI472" s="0" t="n">
        <v>365</v>
      </c>
      <c r="AJ472" s="0" t="n">
        <v>59</v>
      </c>
      <c r="AK472" s="0" t="n">
        <v>125</v>
      </c>
      <c r="AL472" s="0" t="n">
        <v>1.76</v>
      </c>
    </row>
    <row r="473">
      <c r="A473" s="0" t="inlineStr">
        <is>
          <t>[길동]</t>
        </is>
      </c>
      <c r="B473" s="0" t="n">
        <v>101408</v>
      </c>
      <c r="C473" s="0" t="n">
        <v>2</v>
      </c>
      <c r="D473" s="0" t="inlineStr">
        <is>
          <t>동서울오네뜨</t>
        </is>
      </c>
      <c r="E473" s="0" t="inlineStr">
        <is>
          <t>2009.11.</t>
        </is>
      </c>
      <c r="F473" s="0" t="n">
        <v>71</v>
      </c>
      <c r="G473" s="0" t="n">
        <v>24.65</v>
      </c>
      <c r="H473" s="0" t="n">
        <v>81.48999999999999</v>
      </c>
      <c r="I473" s="0" t="n">
        <v>18.87</v>
      </c>
      <c r="J473" s="0" t="n">
        <v>62.39</v>
      </c>
      <c r="K473" s="0" t="n">
        <v>4</v>
      </c>
      <c r="T473" s="0" t="n">
        <v>3</v>
      </c>
      <c r="U473" s="0" t="n">
        <v>2</v>
      </c>
      <c r="V473" s="0" t="inlineStr">
        <is>
          <t>계단식</t>
        </is>
      </c>
      <c r="W473" s="0" t="n">
        <v>81</v>
      </c>
      <c r="X473" s="0" t="n">
        <v>12</v>
      </c>
      <c r="Y473" s="0" t="n">
        <v>10</v>
      </c>
      <c r="Z473" s="0" t="inlineStr">
        <is>
          <t>https://new.land.naver.com/complexes/101408?tab=detail&amp;rf=Y</t>
        </is>
      </c>
      <c r="AA473" s="0" t="inlineStr">
        <is>
          <t>서울시 강동구 길동 339-1</t>
        </is>
      </c>
      <c r="AB473" s="0" t="inlineStr">
        <is>
          <t>서울시</t>
        </is>
      </c>
      <c r="AC473" s="0" t="inlineStr">
        <is>
          <t>강동구</t>
        </is>
      </c>
      <c r="AD473" s="0" t="inlineStr">
        <is>
          <t>길동</t>
        </is>
      </c>
      <c r="AG473" s="0" t="inlineStr">
        <is>
          <t>서울시 강동구 양재대로124길 32</t>
        </is>
      </c>
      <c r="AH473" s="0" t="n">
        <v>0</v>
      </c>
      <c r="AI473" s="0" t="n">
        <v>365</v>
      </c>
      <c r="AJ473" s="0" t="n">
        <v>59</v>
      </c>
      <c r="AK473" s="0" t="n">
        <v>125</v>
      </c>
      <c r="AL473" s="0" t="n">
        <v>1.76</v>
      </c>
    </row>
    <row r="474">
      <c r="A474" s="0" t="inlineStr">
        <is>
          <t>[길동]</t>
        </is>
      </c>
      <c r="B474" s="0" t="n">
        <v>101408</v>
      </c>
      <c r="C474" s="0" t="n">
        <v>3</v>
      </c>
      <c r="D474" s="0" t="inlineStr">
        <is>
          <t>동서울오네뜨</t>
        </is>
      </c>
      <c r="E474" s="0" t="inlineStr">
        <is>
          <t>2009.11.</t>
        </is>
      </c>
      <c r="F474" s="0" t="n">
        <v>71</v>
      </c>
      <c r="G474" s="0" t="n">
        <v>28.71</v>
      </c>
      <c r="H474" s="0" t="n">
        <v>94.91</v>
      </c>
      <c r="I474" s="0" t="n">
        <v>22.4</v>
      </c>
      <c r="J474" s="0" t="n">
        <v>74.05</v>
      </c>
      <c r="K474" s="0" t="n">
        <v>3</v>
      </c>
      <c r="T474" s="0" t="n">
        <v>3</v>
      </c>
      <c r="U474" s="0" t="n">
        <v>2</v>
      </c>
      <c r="V474" s="0" t="inlineStr">
        <is>
          <t>계단식</t>
        </is>
      </c>
      <c r="W474" s="0" t="n">
        <v>94</v>
      </c>
      <c r="X474" s="0" t="n">
        <v>12</v>
      </c>
      <c r="Y474" s="0" t="n">
        <v>10</v>
      </c>
      <c r="Z474" s="0" t="inlineStr">
        <is>
          <t>https://new.land.naver.com/complexes/101408?tab=detail&amp;rf=Y</t>
        </is>
      </c>
      <c r="AA474" s="0" t="inlineStr">
        <is>
          <t>서울시 강동구 길동 339-1</t>
        </is>
      </c>
      <c r="AB474" s="0" t="inlineStr">
        <is>
          <t>서울시</t>
        </is>
      </c>
      <c r="AC474" s="0" t="inlineStr">
        <is>
          <t>강동구</t>
        </is>
      </c>
      <c r="AD474" s="0" t="inlineStr">
        <is>
          <t>길동</t>
        </is>
      </c>
      <c r="AG474" s="0" t="inlineStr">
        <is>
          <t>서울시 강동구 양재대로124길 32</t>
        </is>
      </c>
      <c r="AH474" s="0" t="n">
        <v>0</v>
      </c>
      <c r="AI474" s="0" t="n">
        <v>365</v>
      </c>
      <c r="AJ474" s="0" t="n">
        <v>59</v>
      </c>
      <c r="AK474" s="0" t="n">
        <v>125</v>
      </c>
      <c r="AL474" s="0" t="n">
        <v>1.76</v>
      </c>
    </row>
    <row r="475">
      <c r="A475" s="0" t="inlineStr">
        <is>
          <t>[길동]</t>
        </is>
      </c>
      <c r="B475" s="0" t="n">
        <v>101408</v>
      </c>
      <c r="C475" s="0" t="n">
        <v>4</v>
      </c>
      <c r="D475" s="0" t="inlineStr">
        <is>
          <t>동서울오네뜨</t>
        </is>
      </c>
      <c r="E475" s="0" t="inlineStr">
        <is>
          <t>2009.11.</t>
        </is>
      </c>
      <c r="F475" s="0" t="n">
        <v>71</v>
      </c>
      <c r="G475" s="0" t="n">
        <v>34.29</v>
      </c>
      <c r="H475" s="0" t="n">
        <v>113.36</v>
      </c>
      <c r="I475" s="0" t="n">
        <v>25.65</v>
      </c>
      <c r="J475" s="0" t="n">
        <v>84.81999999999999</v>
      </c>
      <c r="K475" s="0" t="n">
        <v>28</v>
      </c>
      <c r="T475" s="0" t="n">
        <v>3</v>
      </c>
      <c r="U475" s="0" t="n">
        <v>2</v>
      </c>
      <c r="V475" s="0" t="inlineStr">
        <is>
          <t>계단식</t>
        </is>
      </c>
      <c r="W475" s="0" t="inlineStr">
        <is>
          <t>113B</t>
        </is>
      </c>
      <c r="X475" s="0" t="n">
        <v>12</v>
      </c>
      <c r="Y475" s="0" t="n">
        <v>10</v>
      </c>
      <c r="Z475" s="0" t="inlineStr">
        <is>
          <t>https://new.land.naver.com/complexes/101408?tab=detail&amp;rf=Y</t>
        </is>
      </c>
      <c r="AA475" s="0" t="inlineStr">
        <is>
          <t>서울시 강동구 길동 339-1</t>
        </is>
      </c>
      <c r="AB475" s="0" t="inlineStr">
        <is>
          <t>서울시</t>
        </is>
      </c>
      <c r="AC475" s="0" t="inlineStr">
        <is>
          <t>강동구</t>
        </is>
      </c>
      <c r="AD475" s="0" t="inlineStr">
        <is>
          <t>길동</t>
        </is>
      </c>
      <c r="AG475" s="0" t="inlineStr">
        <is>
          <t>서울시 강동구 양재대로124길 32</t>
        </is>
      </c>
      <c r="AH475" s="0" t="n">
        <v>0</v>
      </c>
      <c r="AI475" s="0" t="n">
        <v>365</v>
      </c>
      <c r="AJ475" s="0" t="n">
        <v>59</v>
      </c>
      <c r="AK475" s="0" t="n">
        <v>125</v>
      </c>
      <c r="AL475" s="0" t="n">
        <v>1.76</v>
      </c>
    </row>
    <row r="476">
      <c r="A476" s="0" t="inlineStr">
        <is>
          <t>[길동]</t>
        </is>
      </c>
      <c r="B476" s="0" t="n">
        <v>101408</v>
      </c>
      <c r="C476" s="0" t="n">
        <v>5</v>
      </c>
      <c r="D476" s="0" t="inlineStr">
        <is>
          <t>동서울오네뜨</t>
        </is>
      </c>
      <c r="E476" s="0" t="inlineStr">
        <is>
          <t>2009.11.</t>
        </is>
      </c>
      <c r="F476" s="0" t="n">
        <v>71</v>
      </c>
      <c r="G476" s="0" t="n">
        <v>34.4</v>
      </c>
      <c r="H476" s="0" t="n">
        <v>113.75</v>
      </c>
      <c r="I476" s="0" t="n">
        <v>25</v>
      </c>
      <c r="J476" s="0" t="n">
        <v>82.65000000000001</v>
      </c>
      <c r="K476" s="0" t="n">
        <v>4</v>
      </c>
      <c r="T476" s="0" t="n">
        <v>3</v>
      </c>
      <c r="U476" s="0" t="n">
        <v>2</v>
      </c>
      <c r="V476" s="0" t="inlineStr">
        <is>
          <t>계단식</t>
        </is>
      </c>
      <c r="W476" s="0" t="inlineStr">
        <is>
          <t>113A</t>
        </is>
      </c>
      <c r="X476" s="0" t="n">
        <v>12</v>
      </c>
      <c r="Y476" s="0" t="n">
        <v>10</v>
      </c>
      <c r="Z476" s="0" t="inlineStr">
        <is>
          <t>https://new.land.naver.com/complexes/101408?tab=detail&amp;rf=Y</t>
        </is>
      </c>
      <c r="AA476" s="0" t="inlineStr">
        <is>
          <t>서울시 강동구 길동 339-1</t>
        </is>
      </c>
      <c r="AB476" s="0" t="inlineStr">
        <is>
          <t>서울시</t>
        </is>
      </c>
      <c r="AC476" s="0" t="inlineStr">
        <is>
          <t>강동구</t>
        </is>
      </c>
      <c r="AD476" s="0" t="inlineStr">
        <is>
          <t>길동</t>
        </is>
      </c>
      <c r="AG476" s="0" t="inlineStr">
        <is>
          <t>서울시 강동구 양재대로124길 32</t>
        </is>
      </c>
      <c r="AH476" s="0" t="n">
        <v>0</v>
      </c>
      <c r="AI476" s="0" t="n">
        <v>365</v>
      </c>
      <c r="AJ476" s="0" t="n">
        <v>59</v>
      </c>
      <c r="AK476" s="0" t="n">
        <v>125</v>
      </c>
      <c r="AL476" s="0" t="n">
        <v>1.76</v>
      </c>
    </row>
    <row r="477">
      <c r="A477" s="0" t="inlineStr">
        <is>
          <t>[길동]</t>
        </is>
      </c>
      <c r="B477" s="0" t="n">
        <v>101408</v>
      </c>
      <c r="C477" s="0" t="n">
        <v>6</v>
      </c>
      <c r="D477" s="0" t="inlineStr">
        <is>
          <t>동서울오네뜨</t>
        </is>
      </c>
      <c r="E477" s="0" t="inlineStr">
        <is>
          <t>2009.11.</t>
        </is>
      </c>
      <c r="F477" s="0" t="n">
        <v>71</v>
      </c>
      <c r="G477" s="0" t="n">
        <v>35.02</v>
      </c>
      <c r="H477" s="0" t="n">
        <v>115.77</v>
      </c>
      <c r="I477" s="0" t="n">
        <v>25.67</v>
      </c>
      <c r="J477" s="0" t="n">
        <v>84.87</v>
      </c>
      <c r="K477" s="0" t="n">
        <v>24</v>
      </c>
      <c r="T477" s="0" t="n">
        <v>3</v>
      </c>
      <c r="U477" s="0" t="n">
        <v>2</v>
      </c>
      <c r="V477" s="0" t="inlineStr">
        <is>
          <t>계단식</t>
        </is>
      </c>
      <c r="W477" s="0" t="n">
        <v>115</v>
      </c>
      <c r="X477" s="0" t="n">
        <v>12</v>
      </c>
      <c r="Y477" s="0" t="n">
        <v>10</v>
      </c>
      <c r="Z477" s="0" t="inlineStr">
        <is>
          <t>https://new.land.naver.com/complexes/101408?tab=detail&amp;rf=Y</t>
        </is>
      </c>
      <c r="AA477" s="0" t="inlineStr">
        <is>
          <t>서울시 강동구 길동 339-1</t>
        </is>
      </c>
      <c r="AB477" s="0" t="inlineStr">
        <is>
          <t>서울시</t>
        </is>
      </c>
      <c r="AC477" s="0" t="inlineStr">
        <is>
          <t>강동구</t>
        </is>
      </c>
      <c r="AD477" s="0" t="inlineStr">
        <is>
          <t>길동</t>
        </is>
      </c>
      <c r="AG477" s="0" t="inlineStr">
        <is>
          <t>서울시 강동구 양재대로124길 32</t>
        </is>
      </c>
      <c r="AH477" s="0" t="n">
        <v>0</v>
      </c>
      <c r="AI477" s="0" t="n">
        <v>365</v>
      </c>
      <c r="AJ477" s="0" t="n">
        <v>59</v>
      </c>
      <c r="AK477" s="0" t="n">
        <v>125</v>
      </c>
      <c r="AL477" s="0" t="n">
        <v>1.76</v>
      </c>
    </row>
    <row r="478">
      <c r="A478" s="0" t="inlineStr">
        <is>
          <t>[길동]</t>
        </is>
      </c>
      <c r="B478" s="0" t="n">
        <v>101408</v>
      </c>
      <c r="C478" s="0" t="n">
        <v>7</v>
      </c>
      <c r="D478" s="0" t="inlineStr">
        <is>
          <t>동서울오네뜨</t>
        </is>
      </c>
      <c r="E478" s="0" t="inlineStr">
        <is>
          <t>2009.11.</t>
        </is>
      </c>
      <c r="F478" s="0" t="n">
        <v>71</v>
      </c>
      <c r="G478" s="0" t="n">
        <v>37.47</v>
      </c>
      <c r="H478" s="0" t="n">
        <v>123.88</v>
      </c>
      <c r="I478" s="0" t="n">
        <v>29.25</v>
      </c>
      <c r="J478" s="0" t="n">
        <v>96.70999999999999</v>
      </c>
      <c r="K478" s="0" t="n">
        <v>4</v>
      </c>
      <c r="T478" s="0" t="n">
        <v>3</v>
      </c>
      <c r="U478" s="0" t="n">
        <v>2</v>
      </c>
      <c r="V478" s="0" t="inlineStr">
        <is>
          <t>계단식</t>
        </is>
      </c>
      <c r="W478" s="0" t="n">
        <v>123</v>
      </c>
      <c r="X478" s="0" t="n">
        <v>12</v>
      </c>
      <c r="Y478" s="0" t="n">
        <v>10</v>
      </c>
      <c r="Z478" s="0" t="inlineStr">
        <is>
          <t>https://new.land.naver.com/complexes/101408?tab=detail&amp;rf=Y</t>
        </is>
      </c>
      <c r="AA478" s="0" t="inlineStr">
        <is>
          <t>서울시 강동구 길동 339-1</t>
        </is>
      </c>
      <c r="AB478" s="0" t="inlineStr">
        <is>
          <t>서울시</t>
        </is>
      </c>
      <c r="AC478" s="0" t="inlineStr">
        <is>
          <t>강동구</t>
        </is>
      </c>
      <c r="AD478" s="0" t="inlineStr">
        <is>
          <t>길동</t>
        </is>
      </c>
      <c r="AG478" s="0" t="inlineStr">
        <is>
          <t>서울시 강동구 양재대로124길 32</t>
        </is>
      </c>
      <c r="AH478" s="0" t="n">
        <v>0</v>
      </c>
      <c r="AI478" s="0" t="n">
        <v>365</v>
      </c>
      <c r="AJ478" s="0" t="n">
        <v>59</v>
      </c>
      <c r="AK478" s="0" t="n">
        <v>125</v>
      </c>
      <c r="AL478" s="0" t="n">
        <v>1.76</v>
      </c>
    </row>
    <row r="479">
      <c r="A479" s="0" t="inlineStr">
        <is>
          <t>[길동]</t>
        </is>
      </c>
      <c r="B479" s="0" t="n">
        <v>101408</v>
      </c>
      <c r="C479" s="0" t="n">
        <v>8</v>
      </c>
      <c r="D479" s="0" t="inlineStr">
        <is>
          <t>동서울오네뜨</t>
        </is>
      </c>
      <c r="E479" s="0" t="inlineStr">
        <is>
          <t>2009.11.</t>
        </is>
      </c>
      <c r="F479" s="0" t="n">
        <v>71</v>
      </c>
      <c r="G479" s="0" t="n">
        <v>53.52</v>
      </c>
      <c r="H479" s="0" t="n">
        <v>176.95</v>
      </c>
      <c r="I479" s="0" t="n">
        <v>42.51</v>
      </c>
      <c r="J479" s="0" t="n">
        <v>140.54</v>
      </c>
      <c r="K479" s="0" t="n">
        <v>1</v>
      </c>
      <c r="T479" s="0" t="n">
        <v>3</v>
      </c>
      <c r="U479" s="0" t="n">
        <v>2</v>
      </c>
      <c r="V479" s="0" t="inlineStr">
        <is>
          <t>계단식</t>
        </is>
      </c>
      <c r="W479" s="0" t="n">
        <v>176</v>
      </c>
      <c r="X479" s="0" t="n">
        <v>12</v>
      </c>
      <c r="Y479" s="0" t="n">
        <v>10</v>
      </c>
      <c r="Z479" s="0" t="inlineStr">
        <is>
          <t>https://new.land.naver.com/complexes/101408?tab=detail&amp;rf=Y</t>
        </is>
      </c>
      <c r="AA479" s="0" t="inlineStr">
        <is>
          <t>서울시 강동구 길동 339-1</t>
        </is>
      </c>
      <c r="AB479" s="0" t="inlineStr">
        <is>
          <t>서울시</t>
        </is>
      </c>
      <c r="AC479" s="0" t="inlineStr">
        <is>
          <t>강동구</t>
        </is>
      </c>
      <c r="AD479" s="0" t="inlineStr">
        <is>
          <t>길동</t>
        </is>
      </c>
      <c r="AG479" s="0" t="inlineStr">
        <is>
          <t>서울시 강동구 양재대로124길 32</t>
        </is>
      </c>
      <c r="AH479" s="0" t="n">
        <v>0</v>
      </c>
      <c r="AI479" s="0" t="n">
        <v>365</v>
      </c>
      <c r="AJ479" s="0" t="n">
        <v>59</v>
      </c>
      <c r="AK479" s="0" t="n">
        <v>125</v>
      </c>
      <c r="AL479" s="0" t="n">
        <v>1.76</v>
      </c>
    </row>
    <row r="480">
      <c r="A480" s="0" t="inlineStr">
        <is>
          <t>[길동]</t>
        </is>
      </c>
      <c r="B480" s="0" t="n">
        <v>104140</v>
      </c>
      <c r="C480" s="0" t="n">
        <v>1</v>
      </c>
      <c r="D480" s="0" t="inlineStr">
        <is>
          <t>다성이즈빌(348-4)</t>
        </is>
      </c>
      <c r="E480" s="0" t="inlineStr">
        <is>
          <t>2008.01.</t>
        </is>
      </c>
      <c r="F480" s="0" t="n">
        <v>28</v>
      </c>
      <c r="G480" s="0" t="n">
        <v>17.61</v>
      </c>
      <c r="H480" s="0" t="n">
        <v>58.22</v>
      </c>
      <c r="I480" s="0" t="n">
        <v>14.41</v>
      </c>
      <c r="J480" s="0" t="n">
        <v>47.65</v>
      </c>
      <c r="K480" s="0" t="n">
        <v>1</v>
      </c>
      <c r="T480" s="0" t="n">
        <v>2</v>
      </c>
      <c r="U480" s="0" t="n">
        <v>1</v>
      </c>
      <c r="V480" s="0" t="inlineStr">
        <is>
          <t>계단식</t>
        </is>
      </c>
      <c r="W480" s="0" t="n">
        <v>58</v>
      </c>
      <c r="X480" s="0" t="n">
        <v>8</v>
      </c>
      <c r="Y480" s="0" t="n">
        <v>8</v>
      </c>
      <c r="Z480" s="0" t="inlineStr">
        <is>
          <t>https://new.land.naver.com/complexes/104140?tab=detail&amp;rf=Y</t>
        </is>
      </c>
      <c r="AA480" s="0" t="inlineStr">
        <is>
          <t>서울시 강동구 길동 348-4</t>
        </is>
      </c>
      <c r="AB480" s="0" t="inlineStr">
        <is>
          <t>서울시</t>
        </is>
      </c>
      <c r="AC480" s="0" t="inlineStr">
        <is>
          <t>강동구</t>
        </is>
      </c>
      <c r="AD480" s="0" t="inlineStr">
        <is>
          <t>길동</t>
        </is>
      </c>
      <c r="AG480" s="0" t="inlineStr">
        <is>
          <t>서울시 강동구 천중로48길 8</t>
        </is>
      </c>
      <c r="AH480" s="0" t="n">
        <v>0</v>
      </c>
      <c r="AI480" s="0" t="n">
        <v>235</v>
      </c>
      <c r="AJ480" s="0" t="n">
        <v>46</v>
      </c>
      <c r="AK480" s="0" t="n">
        <v>33</v>
      </c>
      <c r="AL480" s="0" t="n">
        <v>1.18</v>
      </c>
    </row>
    <row r="481">
      <c r="A481" s="0" t="inlineStr">
        <is>
          <t>[길동]</t>
        </is>
      </c>
      <c r="B481" s="0" t="n">
        <v>104140</v>
      </c>
      <c r="C481" s="0" t="n">
        <v>2</v>
      </c>
      <c r="D481" s="0" t="inlineStr">
        <is>
          <t>다성이즈빌(348-4)</t>
        </is>
      </c>
      <c r="E481" s="0" t="inlineStr">
        <is>
          <t>2008.01.</t>
        </is>
      </c>
      <c r="F481" s="0" t="n">
        <v>28</v>
      </c>
      <c r="G481" s="0" t="n">
        <v>21.17</v>
      </c>
      <c r="H481" s="0" t="n">
        <v>70.01000000000001</v>
      </c>
      <c r="I481" s="0" t="n">
        <v>17.38</v>
      </c>
      <c r="J481" s="0" t="n">
        <v>57.46</v>
      </c>
      <c r="K481" s="0" t="n">
        <v>3</v>
      </c>
      <c r="T481" s="0" t="n">
        <v>3</v>
      </c>
      <c r="U481" s="0" t="n">
        <v>1</v>
      </c>
      <c r="V481" s="0" t="inlineStr">
        <is>
          <t>계단식</t>
        </is>
      </c>
      <c r="W481" s="0" t="n">
        <v>70</v>
      </c>
      <c r="X481" s="0" t="n">
        <v>8</v>
      </c>
      <c r="Y481" s="0" t="n">
        <v>8</v>
      </c>
      <c r="Z481" s="0" t="inlineStr">
        <is>
          <t>https://new.land.naver.com/complexes/104140?tab=detail&amp;rf=Y</t>
        </is>
      </c>
      <c r="AA481" s="0" t="inlineStr">
        <is>
          <t>서울시 강동구 길동 348-4</t>
        </is>
      </c>
      <c r="AB481" s="0" t="inlineStr">
        <is>
          <t>서울시</t>
        </is>
      </c>
      <c r="AC481" s="0" t="inlineStr">
        <is>
          <t>강동구</t>
        </is>
      </c>
      <c r="AD481" s="0" t="inlineStr">
        <is>
          <t>길동</t>
        </is>
      </c>
      <c r="AG481" s="0" t="inlineStr">
        <is>
          <t>서울시 강동구 천중로48길 8</t>
        </is>
      </c>
      <c r="AH481" s="0" t="n">
        <v>0</v>
      </c>
      <c r="AI481" s="0" t="n">
        <v>235</v>
      </c>
      <c r="AJ481" s="0" t="n">
        <v>46</v>
      </c>
      <c r="AK481" s="0" t="n">
        <v>33</v>
      </c>
      <c r="AL481" s="0" t="n">
        <v>1.18</v>
      </c>
    </row>
    <row r="482">
      <c r="A482" s="0" t="inlineStr">
        <is>
          <t>[길동]</t>
        </is>
      </c>
      <c r="B482" s="0" t="n">
        <v>104140</v>
      </c>
      <c r="C482" s="0" t="n">
        <v>3</v>
      </c>
      <c r="D482" s="0" t="inlineStr">
        <is>
          <t>다성이즈빌(348-4)</t>
        </is>
      </c>
      <c r="E482" s="0" t="inlineStr">
        <is>
          <t>2008.01.</t>
        </is>
      </c>
      <c r="F482" s="0" t="n">
        <v>28</v>
      </c>
      <c r="G482" s="0" t="n">
        <v>28.61</v>
      </c>
      <c r="H482" s="0" t="n">
        <v>94.59999999999999</v>
      </c>
      <c r="I482" s="0" t="n">
        <v>23.67</v>
      </c>
      <c r="J482" s="0" t="n">
        <v>78.28</v>
      </c>
      <c r="K482" s="0" t="n">
        <v>1</v>
      </c>
      <c r="T482" s="0" t="n">
        <v>3</v>
      </c>
      <c r="U482" s="0" t="n">
        <v>2</v>
      </c>
      <c r="V482" s="0" t="inlineStr">
        <is>
          <t>계단식</t>
        </is>
      </c>
      <c r="W482" s="0" t="inlineStr">
        <is>
          <t>94A</t>
        </is>
      </c>
      <c r="X482" s="0" t="n">
        <v>8</v>
      </c>
      <c r="Y482" s="0" t="n">
        <v>8</v>
      </c>
      <c r="Z482" s="0" t="inlineStr">
        <is>
          <t>https://new.land.naver.com/complexes/104140?tab=detail&amp;rf=Y</t>
        </is>
      </c>
      <c r="AA482" s="0" t="inlineStr">
        <is>
          <t>서울시 강동구 길동 348-4</t>
        </is>
      </c>
      <c r="AB482" s="0" t="inlineStr">
        <is>
          <t>서울시</t>
        </is>
      </c>
      <c r="AC482" s="0" t="inlineStr">
        <is>
          <t>강동구</t>
        </is>
      </c>
      <c r="AD482" s="0" t="inlineStr">
        <is>
          <t>길동</t>
        </is>
      </c>
      <c r="AG482" s="0" t="inlineStr">
        <is>
          <t>서울시 강동구 천중로48길 8</t>
        </is>
      </c>
      <c r="AH482" s="0" t="n">
        <v>0</v>
      </c>
      <c r="AI482" s="0" t="n">
        <v>235</v>
      </c>
      <c r="AJ482" s="0" t="n">
        <v>46</v>
      </c>
      <c r="AK482" s="0" t="n">
        <v>33</v>
      </c>
      <c r="AL482" s="0" t="n">
        <v>1.18</v>
      </c>
    </row>
    <row r="483">
      <c r="A483" s="0" t="inlineStr">
        <is>
          <t>[길동]</t>
        </is>
      </c>
      <c r="B483" s="0" t="n">
        <v>104140</v>
      </c>
      <c r="C483" s="0" t="n">
        <v>4</v>
      </c>
      <c r="D483" s="0" t="inlineStr">
        <is>
          <t>다성이즈빌(348-4)</t>
        </is>
      </c>
      <c r="E483" s="0" t="inlineStr">
        <is>
          <t>2008.01.</t>
        </is>
      </c>
      <c r="F483" s="0" t="n">
        <v>28</v>
      </c>
      <c r="G483" s="0" t="n">
        <v>29.35</v>
      </c>
      <c r="H483" s="0" t="n">
        <v>97.05</v>
      </c>
      <c r="I483" s="0" t="n">
        <v>24.28</v>
      </c>
      <c r="J483" s="0" t="n">
        <v>80.28</v>
      </c>
      <c r="K483" s="0" t="n">
        <v>3</v>
      </c>
      <c r="T483" s="0" t="n">
        <v>3</v>
      </c>
      <c r="U483" s="0" t="n">
        <v>2</v>
      </c>
      <c r="V483" s="0" t="inlineStr">
        <is>
          <t>계단식</t>
        </is>
      </c>
      <c r="W483" s="0" t="inlineStr">
        <is>
          <t>97B</t>
        </is>
      </c>
      <c r="X483" s="0" t="n">
        <v>8</v>
      </c>
      <c r="Y483" s="0" t="n">
        <v>8</v>
      </c>
      <c r="Z483" s="0" t="inlineStr">
        <is>
          <t>https://new.land.naver.com/complexes/104140?tab=detail&amp;rf=Y</t>
        </is>
      </c>
      <c r="AA483" s="0" t="inlineStr">
        <is>
          <t>서울시 강동구 길동 348-4</t>
        </is>
      </c>
      <c r="AB483" s="0" t="inlineStr">
        <is>
          <t>서울시</t>
        </is>
      </c>
      <c r="AC483" s="0" t="inlineStr">
        <is>
          <t>강동구</t>
        </is>
      </c>
      <c r="AD483" s="0" t="inlineStr">
        <is>
          <t>길동</t>
        </is>
      </c>
      <c r="AG483" s="0" t="inlineStr">
        <is>
          <t>서울시 강동구 천중로48길 8</t>
        </is>
      </c>
      <c r="AH483" s="0" t="n">
        <v>0</v>
      </c>
      <c r="AI483" s="0" t="n">
        <v>235</v>
      </c>
      <c r="AJ483" s="0" t="n">
        <v>46</v>
      </c>
      <c r="AK483" s="0" t="n">
        <v>33</v>
      </c>
      <c r="AL483" s="0" t="n">
        <v>1.18</v>
      </c>
    </row>
    <row r="484">
      <c r="A484" s="0" t="inlineStr">
        <is>
          <t>[길동]</t>
        </is>
      </c>
      <c r="B484" s="0" t="n">
        <v>104140</v>
      </c>
      <c r="C484" s="0" t="n">
        <v>5</v>
      </c>
      <c r="D484" s="0" t="inlineStr">
        <is>
          <t>다성이즈빌(348-4)</t>
        </is>
      </c>
      <c r="E484" s="0" t="inlineStr">
        <is>
          <t>2008.01.</t>
        </is>
      </c>
      <c r="F484" s="0" t="n">
        <v>28</v>
      </c>
      <c r="G484" s="0" t="n">
        <v>31.02</v>
      </c>
      <c r="H484" s="0" t="n">
        <v>102.56</v>
      </c>
      <c r="I484" s="0" t="n">
        <v>25.7</v>
      </c>
      <c r="J484" s="0" t="n">
        <v>84.95999999999999</v>
      </c>
      <c r="K484" s="0" t="n">
        <v>15</v>
      </c>
      <c r="T484" s="0" t="n">
        <v>3</v>
      </c>
      <c r="U484" s="0" t="n">
        <v>2</v>
      </c>
      <c r="V484" s="0" t="inlineStr">
        <is>
          <t>계단식</t>
        </is>
      </c>
      <c r="W484" s="0" t="n">
        <v>102</v>
      </c>
      <c r="X484" s="0" t="n">
        <v>8</v>
      </c>
      <c r="Y484" s="0" t="n">
        <v>8</v>
      </c>
      <c r="Z484" s="0" t="inlineStr">
        <is>
          <t>https://new.land.naver.com/complexes/104140?tab=detail&amp;rf=Y</t>
        </is>
      </c>
      <c r="AA484" s="0" t="inlineStr">
        <is>
          <t>서울시 강동구 길동 348-4</t>
        </is>
      </c>
      <c r="AB484" s="0" t="inlineStr">
        <is>
          <t>서울시</t>
        </is>
      </c>
      <c r="AC484" s="0" t="inlineStr">
        <is>
          <t>강동구</t>
        </is>
      </c>
      <c r="AD484" s="0" t="inlineStr">
        <is>
          <t>길동</t>
        </is>
      </c>
      <c r="AG484" s="0" t="inlineStr">
        <is>
          <t>서울시 강동구 천중로48길 8</t>
        </is>
      </c>
      <c r="AH484" s="0" t="n">
        <v>0</v>
      </c>
      <c r="AI484" s="0" t="n">
        <v>235</v>
      </c>
      <c r="AJ484" s="0" t="n">
        <v>46</v>
      </c>
      <c r="AK484" s="0" t="n">
        <v>33</v>
      </c>
      <c r="AL484" s="0" t="n">
        <v>1.18</v>
      </c>
    </row>
    <row r="485">
      <c r="A485" s="0" t="inlineStr">
        <is>
          <t>[길동]</t>
        </is>
      </c>
      <c r="B485" s="0" t="n">
        <v>104140</v>
      </c>
      <c r="C485" s="0" t="n">
        <v>6</v>
      </c>
      <c r="D485" s="0" t="inlineStr">
        <is>
          <t>다성이즈빌(348-4)</t>
        </is>
      </c>
      <c r="E485" s="0" t="inlineStr">
        <is>
          <t>2008.01.</t>
        </is>
      </c>
      <c r="F485" s="0" t="n">
        <v>28</v>
      </c>
      <c r="G485" s="0" t="n">
        <v>35.65</v>
      </c>
      <c r="H485" s="0" t="n">
        <v>117.86</v>
      </c>
      <c r="I485" s="0" t="n">
        <v>29.67</v>
      </c>
      <c r="J485" s="0" t="n">
        <v>98.09</v>
      </c>
      <c r="K485" s="0" t="n">
        <v>1</v>
      </c>
      <c r="T485" s="0" t="n">
        <v>3</v>
      </c>
      <c r="U485" s="0" t="n">
        <v>2</v>
      </c>
      <c r="V485" s="0" t="inlineStr">
        <is>
          <t>계단식</t>
        </is>
      </c>
      <c r="W485" s="0" t="n">
        <v>117</v>
      </c>
      <c r="X485" s="0" t="n">
        <v>8</v>
      </c>
      <c r="Y485" s="0" t="n">
        <v>8</v>
      </c>
      <c r="Z485" s="0" t="inlineStr">
        <is>
          <t>https://new.land.naver.com/complexes/104140?tab=detail&amp;rf=Y</t>
        </is>
      </c>
      <c r="AA485" s="0" t="inlineStr">
        <is>
          <t>서울시 강동구 길동 348-4</t>
        </is>
      </c>
      <c r="AB485" s="0" t="inlineStr">
        <is>
          <t>서울시</t>
        </is>
      </c>
      <c r="AC485" s="0" t="inlineStr">
        <is>
          <t>강동구</t>
        </is>
      </c>
      <c r="AD485" s="0" t="inlineStr">
        <is>
          <t>길동</t>
        </is>
      </c>
      <c r="AG485" s="0" t="inlineStr">
        <is>
          <t>서울시 강동구 천중로48길 8</t>
        </is>
      </c>
      <c r="AH485" s="0" t="n">
        <v>0</v>
      </c>
      <c r="AI485" s="0" t="n">
        <v>235</v>
      </c>
      <c r="AJ485" s="0" t="n">
        <v>46</v>
      </c>
      <c r="AK485" s="0" t="n">
        <v>33</v>
      </c>
      <c r="AL485" s="0" t="n">
        <v>1.18</v>
      </c>
    </row>
    <row r="486">
      <c r="A486" s="0" t="inlineStr">
        <is>
          <t>[길동]</t>
        </is>
      </c>
      <c r="B486" s="0" t="n">
        <v>104140</v>
      </c>
      <c r="C486" s="0" t="n">
        <v>7</v>
      </c>
      <c r="D486" s="0" t="inlineStr">
        <is>
          <t>다성이즈빌(348-4)</t>
        </is>
      </c>
      <c r="E486" s="0" t="inlineStr">
        <is>
          <t>2008.01.</t>
        </is>
      </c>
      <c r="F486" s="0" t="n">
        <v>28</v>
      </c>
      <c r="G486" s="0" t="n">
        <v>38.73</v>
      </c>
      <c r="H486" s="0" t="n">
        <v>128.04</v>
      </c>
      <c r="I486" s="0" t="n">
        <v>32.25</v>
      </c>
      <c r="J486" s="0" t="n">
        <v>106.64</v>
      </c>
      <c r="K486" s="0" t="n">
        <v>4</v>
      </c>
      <c r="T486" s="0" t="n">
        <v>3</v>
      </c>
      <c r="U486" s="0" t="n">
        <v>2</v>
      </c>
      <c r="V486" s="0" t="inlineStr">
        <is>
          <t>계단식</t>
        </is>
      </c>
      <c r="W486" s="0" t="n">
        <v>128</v>
      </c>
      <c r="X486" s="0" t="n">
        <v>8</v>
      </c>
      <c r="Y486" s="0" t="n">
        <v>8</v>
      </c>
      <c r="Z486" s="0" t="inlineStr">
        <is>
          <t>https://new.land.naver.com/complexes/104140?tab=detail&amp;rf=Y</t>
        </is>
      </c>
      <c r="AA486" s="0" t="inlineStr">
        <is>
          <t>서울시 강동구 길동 348-4</t>
        </is>
      </c>
      <c r="AB486" s="0" t="inlineStr">
        <is>
          <t>서울시</t>
        </is>
      </c>
      <c r="AC486" s="0" t="inlineStr">
        <is>
          <t>강동구</t>
        </is>
      </c>
      <c r="AD486" s="0" t="inlineStr">
        <is>
          <t>길동</t>
        </is>
      </c>
      <c r="AG486" s="0" t="inlineStr">
        <is>
          <t>서울시 강동구 천중로48길 8</t>
        </is>
      </c>
      <c r="AH486" s="0" t="n">
        <v>0</v>
      </c>
      <c r="AI486" s="0" t="n">
        <v>235</v>
      </c>
      <c r="AJ486" s="0" t="n">
        <v>46</v>
      </c>
      <c r="AK486" s="0" t="n">
        <v>33</v>
      </c>
      <c r="AL486" s="0" t="n">
        <v>1.18</v>
      </c>
    </row>
    <row r="487">
      <c r="A487" s="0" t="inlineStr">
        <is>
          <t>[길동]</t>
        </is>
      </c>
      <c r="B487" s="0" t="n">
        <v>103296</v>
      </c>
      <c r="C487" s="0" t="n">
        <v>1</v>
      </c>
      <c r="D487" s="0" t="inlineStr">
        <is>
          <t>다성이즈빌(324-6)</t>
        </is>
      </c>
      <c r="E487" s="0" t="inlineStr">
        <is>
          <t>2005.08.</t>
        </is>
      </c>
      <c r="F487" s="0" t="n">
        <v>13</v>
      </c>
      <c r="G487" s="0" t="n">
        <v>29.54</v>
      </c>
      <c r="H487" s="0" t="n">
        <v>97.66</v>
      </c>
      <c r="I487" s="0" t="n">
        <v>25.69</v>
      </c>
      <c r="J487" s="0" t="n">
        <v>84.93000000000001</v>
      </c>
      <c r="K487" s="0" t="n">
        <v>13</v>
      </c>
      <c r="T487" s="0" t="n">
        <v>3</v>
      </c>
      <c r="U487" s="0" t="n">
        <v>2</v>
      </c>
      <c r="V487" s="0" t="inlineStr">
        <is>
          <t>계단식</t>
        </is>
      </c>
      <c r="W487" s="0" t="n">
        <v>97</v>
      </c>
      <c r="X487" s="0" t="n">
        <v>7</v>
      </c>
      <c r="Y487" s="0" t="n">
        <v>7</v>
      </c>
      <c r="Z487" s="0" t="inlineStr">
        <is>
          <t>https://new.land.naver.com/complexes/103296?tab=detail&amp;rf=Y</t>
        </is>
      </c>
      <c r="AA487" s="0" t="inlineStr">
        <is>
          <t>서울시 강동구 길동 324-6</t>
        </is>
      </c>
      <c r="AB487" s="0" t="inlineStr">
        <is>
          <t>서울시</t>
        </is>
      </c>
      <c r="AC487" s="0" t="inlineStr">
        <is>
          <t>강동구</t>
        </is>
      </c>
      <c r="AD487" s="0" t="inlineStr">
        <is>
          <t>길동</t>
        </is>
      </c>
      <c r="AG487" s="0" t="inlineStr">
        <is>
          <t>서울시 강동구 양재대로126길 49</t>
        </is>
      </c>
      <c r="AH487" s="0" t="n">
        <v>0</v>
      </c>
      <c r="AI487" s="0" t="n">
        <v>215</v>
      </c>
      <c r="AJ487" s="0" t="n">
        <v>36</v>
      </c>
      <c r="AK487" s="0" t="n">
        <v>15</v>
      </c>
      <c r="AL487" s="0" t="n">
        <v>1.15</v>
      </c>
    </row>
    <row r="488">
      <c r="A488" s="0" t="inlineStr">
        <is>
          <t>[길동]</t>
        </is>
      </c>
      <c r="B488" s="0" t="n">
        <v>13410</v>
      </c>
      <c r="C488" s="0" t="n">
        <v>1</v>
      </c>
      <c r="D488" s="0" t="inlineStr">
        <is>
          <t>신암</t>
        </is>
      </c>
      <c r="E488" s="0" t="inlineStr">
        <is>
          <t>2000.12.</t>
        </is>
      </c>
      <c r="F488" s="0" t="n">
        <v>12</v>
      </c>
      <c r="G488" s="0" t="n">
        <v>29.1</v>
      </c>
      <c r="H488" s="0" t="n">
        <v>96.22</v>
      </c>
      <c r="I488" s="0" t="n">
        <v>25.56</v>
      </c>
      <c r="J488" s="0" t="n">
        <v>84.51000000000001</v>
      </c>
      <c r="K488" s="0" t="n">
        <v>12</v>
      </c>
      <c r="T488" s="0" t="n">
        <v>3</v>
      </c>
      <c r="U488" s="0" t="n">
        <v>2</v>
      </c>
      <c r="V488" s="0" t="inlineStr">
        <is>
          <t>계단식</t>
        </is>
      </c>
      <c r="W488" s="0" t="n">
        <v>96</v>
      </c>
      <c r="X488" s="0" t="n">
        <v>7</v>
      </c>
      <c r="Y488" s="0" t="n">
        <v>7</v>
      </c>
      <c r="Z488" s="0" t="inlineStr">
        <is>
          <t>https://new.land.naver.com/complexes/13410?tab=detail&amp;rf=Y</t>
        </is>
      </c>
      <c r="AA488" s="0" t="inlineStr">
        <is>
          <t>서울시 강동구 길동 373-7</t>
        </is>
      </c>
      <c r="AB488" s="0" t="inlineStr">
        <is>
          <t>서울시</t>
        </is>
      </c>
      <c r="AC488" s="0" t="inlineStr">
        <is>
          <t>강동구</t>
        </is>
      </c>
      <c r="AD488" s="0" t="inlineStr">
        <is>
          <t>길동</t>
        </is>
      </c>
      <c r="AG488" s="0" t="inlineStr">
        <is>
          <t>서울시 강동구 성안로 192</t>
        </is>
      </c>
      <c r="AH488" s="0" t="n">
        <v>0</v>
      </c>
      <c r="AI488" s="0" t="n">
        <v>291</v>
      </c>
      <c r="AJ488" s="0" t="n">
        <v>53</v>
      </c>
      <c r="AK488" s="0" t="n">
        <v>16</v>
      </c>
      <c r="AL488" s="0" t="n">
        <v>1.33</v>
      </c>
    </row>
    <row r="489">
      <c r="A489" s="0" t="inlineStr">
        <is>
          <t>[길동]</t>
        </is>
      </c>
      <c r="B489" s="0" t="n">
        <v>984</v>
      </c>
      <c r="C489" s="0" t="n">
        <v>1</v>
      </c>
      <c r="D489" s="0" t="inlineStr">
        <is>
          <t>라인</t>
        </is>
      </c>
      <c r="E489" s="0" t="inlineStr">
        <is>
          <t>1998.09.</t>
        </is>
      </c>
      <c r="F489" s="0" t="n">
        <v>128</v>
      </c>
      <c r="G489" s="0" t="n">
        <v>25.95</v>
      </c>
      <c r="H489" s="0" t="n">
        <v>85.79000000000001</v>
      </c>
      <c r="I489" s="0" t="n">
        <v>18.13</v>
      </c>
      <c r="J489" s="0" t="n">
        <v>59.94</v>
      </c>
      <c r="K489" s="0" t="n">
        <v>67</v>
      </c>
      <c r="T489" s="0" t="n">
        <v>3</v>
      </c>
      <c r="U489" s="0" t="n">
        <v>1</v>
      </c>
      <c r="V489" s="0" t="inlineStr">
        <is>
          <t>복도식</t>
        </is>
      </c>
      <c r="W489" s="0" t="n">
        <v>85</v>
      </c>
      <c r="X489" s="0" t="n">
        <v>17</v>
      </c>
      <c r="Y489" s="0" t="n">
        <v>5</v>
      </c>
      <c r="Z489" s="0" t="inlineStr">
        <is>
          <t>https://new.land.naver.com/complexes/984?tab=detail&amp;rf=Y</t>
        </is>
      </c>
      <c r="AA489" s="0" t="inlineStr">
        <is>
          <t>서울시 강동구 길동 365-1</t>
        </is>
      </c>
      <c r="AB489" s="0" t="inlineStr">
        <is>
          <t>서울시</t>
        </is>
      </c>
      <c r="AC489" s="0" t="inlineStr">
        <is>
          <t>강동구</t>
        </is>
      </c>
      <c r="AD489" s="0" t="inlineStr">
        <is>
          <t>길동</t>
        </is>
      </c>
      <c r="AG489" s="0" t="inlineStr">
        <is>
          <t>서울시 강동구 천중로50길 48-12</t>
        </is>
      </c>
      <c r="AH489" s="0" t="n">
        <v>0</v>
      </c>
      <c r="AI489" s="0" t="n">
        <v>369</v>
      </c>
      <c r="AJ489" s="0" t="n">
        <v>34</v>
      </c>
      <c r="AK489" s="0" t="n">
        <v>140</v>
      </c>
      <c r="AL489" s="0" t="n">
        <v>1.09</v>
      </c>
    </row>
    <row r="490">
      <c r="A490" s="0" t="inlineStr">
        <is>
          <t>[길동]</t>
        </is>
      </c>
      <c r="B490" s="0" t="n">
        <v>984</v>
      </c>
      <c r="C490" s="0" t="n">
        <v>2</v>
      </c>
      <c r="D490" s="0" t="inlineStr">
        <is>
          <t>라인</t>
        </is>
      </c>
      <c r="E490" s="0" t="inlineStr">
        <is>
          <t>1998.09.</t>
        </is>
      </c>
      <c r="F490" s="0" t="n">
        <v>128</v>
      </c>
      <c r="G490" s="0" t="n">
        <v>33.49</v>
      </c>
      <c r="H490" s="0" t="n">
        <v>110.73</v>
      </c>
      <c r="I490" s="0" t="n">
        <v>25.7</v>
      </c>
      <c r="J490" s="0" t="n">
        <v>84.98999999999999</v>
      </c>
      <c r="K490" s="0" t="n">
        <v>27</v>
      </c>
      <c r="T490" s="0" t="n">
        <v>3</v>
      </c>
      <c r="U490" s="0" t="n">
        <v>2</v>
      </c>
      <c r="V490" s="0" t="inlineStr">
        <is>
          <t>계단식</t>
        </is>
      </c>
      <c r="W490" s="0" t="n">
        <v>110</v>
      </c>
      <c r="X490" s="0" t="n">
        <v>17</v>
      </c>
      <c r="Y490" s="0" t="n">
        <v>5</v>
      </c>
      <c r="Z490" s="0" t="inlineStr">
        <is>
          <t>https://new.land.naver.com/complexes/984?tab=detail&amp;rf=Y</t>
        </is>
      </c>
      <c r="AA490" s="0" t="inlineStr">
        <is>
          <t>서울시 강동구 길동 365-1</t>
        </is>
      </c>
      <c r="AB490" s="0" t="inlineStr">
        <is>
          <t>서울시</t>
        </is>
      </c>
      <c r="AC490" s="0" t="inlineStr">
        <is>
          <t>강동구</t>
        </is>
      </c>
      <c r="AD490" s="0" t="inlineStr">
        <is>
          <t>길동</t>
        </is>
      </c>
      <c r="AG490" s="0" t="inlineStr">
        <is>
          <t>서울시 강동구 천중로50길 48-12</t>
        </is>
      </c>
      <c r="AH490" s="0" t="n">
        <v>0</v>
      </c>
      <c r="AI490" s="0" t="n">
        <v>369</v>
      </c>
      <c r="AJ490" s="0" t="n">
        <v>34</v>
      </c>
      <c r="AK490" s="0" t="n">
        <v>140</v>
      </c>
      <c r="AL490" s="0" t="n">
        <v>1.09</v>
      </c>
    </row>
    <row r="491">
      <c r="A491" s="0" t="inlineStr">
        <is>
          <t>[길동]</t>
        </is>
      </c>
      <c r="B491" s="0" t="n">
        <v>984</v>
      </c>
      <c r="C491" s="0" t="n">
        <v>3</v>
      </c>
      <c r="D491" s="0" t="inlineStr">
        <is>
          <t>라인</t>
        </is>
      </c>
      <c r="E491" s="0" t="inlineStr">
        <is>
          <t>1998.09.</t>
        </is>
      </c>
      <c r="F491" s="0" t="n">
        <v>128</v>
      </c>
      <c r="G491" s="0" t="n">
        <v>40.4</v>
      </c>
      <c r="H491" s="0" t="n">
        <v>133.58</v>
      </c>
      <c r="I491" s="0" t="n">
        <v>31.97</v>
      </c>
      <c r="J491" s="0" t="n">
        <v>105.71</v>
      </c>
      <c r="K491" s="0" t="n">
        <v>34</v>
      </c>
      <c r="T491" s="0" t="n">
        <v>4</v>
      </c>
      <c r="U491" s="0" t="n">
        <v>2</v>
      </c>
      <c r="V491" s="0" t="inlineStr">
        <is>
          <t>계단식</t>
        </is>
      </c>
      <c r="W491" s="0" t="n">
        <v>133</v>
      </c>
      <c r="X491" s="0" t="n">
        <v>17</v>
      </c>
      <c r="Y491" s="0" t="n">
        <v>5</v>
      </c>
      <c r="Z491" s="0" t="inlineStr">
        <is>
          <t>https://new.land.naver.com/complexes/984?tab=detail&amp;rf=Y</t>
        </is>
      </c>
      <c r="AA491" s="0" t="inlineStr">
        <is>
          <t>서울시 강동구 길동 365-1</t>
        </is>
      </c>
      <c r="AB491" s="0" t="inlineStr">
        <is>
          <t>서울시</t>
        </is>
      </c>
      <c r="AC491" s="0" t="inlineStr">
        <is>
          <t>강동구</t>
        </is>
      </c>
      <c r="AD491" s="0" t="inlineStr">
        <is>
          <t>길동</t>
        </is>
      </c>
      <c r="AG491" s="0" t="inlineStr">
        <is>
          <t>서울시 강동구 천중로50길 48-12</t>
        </is>
      </c>
      <c r="AH491" s="0" t="n">
        <v>0</v>
      </c>
      <c r="AI491" s="0" t="n">
        <v>369</v>
      </c>
      <c r="AJ491" s="0" t="n">
        <v>34</v>
      </c>
      <c r="AK491" s="0" t="n">
        <v>140</v>
      </c>
      <c r="AL491" s="0" t="n">
        <v>1.09</v>
      </c>
    </row>
    <row r="492">
      <c r="A492" s="0" t="inlineStr">
        <is>
          <t>[길동]</t>
        </is>
      </c>
      <c r="B492" s="0" t="n">
        <v>102009</v>
      </c>
      <c r="C492" s="0" t="n">
        <v>1</v>
      </c>
      <c r="D492" s="0" t="inlineStr">
        <is>
          <t>예건타워빌</t>
        </is>
      </c>
      <c r="E492" s="0" t="inlineStr">
        <is>
          <t>2005.01.</t>
        </is>
      </c>
      <c r="F492" s="0" t="n">
        <v>17</v>
      </c>
      <c r="G492" s="0" t="n">
        <v>13.2</v>
      </c>
      <c r="H492" s="0" t="n">
        <v>43.66</v>
      </c>
      <c r="I492" s="0" t="n">
        <v>10.89</v>
      </c>
      <c r="J492" s="0" t="n">
        <v>36.02</v>
      </c>
      <c r="K492" s="0" t="n">
        <v>1</v>
      </c>
      <c r="T492" s="0" t="n">
        <v>2</v>
      </c>
      <c r="U492" s="0" t="n">
        <v>1</v>
      </c>
      <c r="V492" s="0" t="inlineStr">
        <is>
          <t>계단식</t>
        </is>
      </c>
      <c r="W492" s="0" t="n">
        <v>43</v>
      </c>
      <c r="X492" s="0" t="n">
        <v>9</v>
      </c>
      <c r="Y492" s="0" t="n">
        <v>6</v>
      </c>
      <c r="Z492" s="0" t="inlineStr">
        <is>
          <t>https://new.land.naver.com/complexes/102009?tab=detail&amp;rf=Y</t>
        </is>
      </c>
      <c r="AA492" s="0" t="inlineStr">
        <is>
          <t>서울시 강동구 길동 385-1</t>
        </is>
      </c>
      <c r="AB492" s="0" t="inlineStr">
        <is>
          <t>서울시</t>
        </is>
      </c>
      <c r="AC492" s="0" t="inlineStr">
        <is>
          <t>강동구</t>
        </is>
      </c>
      <c r="AD492" s="0" t="inlineStr">
        <is>
          <t>길동</t>
        </is>
      </c>
      <c r="AG492" s="0" t="inlineStr">
        <is>
          <t>서울시 강동구 양재대로113길 53</t>
        </is>
      </c>
      <c r="AH492" s="0" t="n">
        <v>0</v>
      </c>
      <c r="AI492" s="0" t="n">
        <v>385</v>
      </c>
      <c r="AJ492" s="0" t="n">
        <v>59</v>
      </c>
      <c r="AK492" s="0" t="n">
        <v>18</v>
      </c>
      <c r="AL492" s="0" t="n">
        <v>1.06</v>
      </c>
    </row>
    <row r="493">
      <c r="A493" s="0" t="inlineStr">
        <is>
          <t>[길동]</t>
        </is>
      </c>
      <c r="B493" s="0" t="n">
        <v>102009</v>
      </c>
      <c r="C493" s="0" t="n">
        <v>2</v>
      </c>
      <c r="D493" s="0" t="inlineStr">
        <is>
          <t>예건타워빌</t>
        </is>
      </c>
      <c r="E493" s="0" t="inlineStr">
        <is>
          <t>2005.01.</t>
        </is>
      </c>
      <c r="F493" s="0" t="n">
        <v>17</v>
      </c>
      <c r="G493" s="0" t="n">
        <v>13.8</v>
      </c>
      <c r="H493" s="0" t="n">
        <v>45.64</v>
      </c>
      <c r="I493" s="0" t="n">
        <v>11.39</v>
      </c>
      <c r="J493" s="0" t="n">
        <v>37.66</v>
      </c>
      <c r="K493" s="0" t="n">
        <v>3</v>
      </c>
      <c r="T493" s="0" t="n">
        <v>2</v>
      </c>
      <c r="U493" s="0" t="n">
        <v>1</v>
      </c>
      <c r="V493" s="0" t="inlineStr">
        <is>
          <t>계단식</t>
        </is>
      </c>
      <c r="W493" s="0" t="n">
        <v>45</v>
      </c>
      <c r="X493" s="0" t="n">
        <v>9</v>
      </c>
      <c r="Y493" s="0" t="n">
        <v>6</v>
      </c>
      <c r="Z493" s="0" t="inlineStr">
        <is>
          <t>https://new.land.naver.com/complexes/102009?tab=detail&amp;rf=Y</t>
        </is>
      </c>
      <c r="AA493" s="0" t="inlineStr">
        <is>
          <t>서울시 강동구 길동 385-1</t>
        </is>
      </c>
      <c r="AB493" s="0" t="inlineStr">
        <is>
          <t>서울시</t>
        </is>
      </c>
      <c r="AC493" s="0" t="inlineStr">
        <is>
          <t>강동구</t>
        </is>
      </c>
      <c r="AD493" s="0" t="inlineStr">
        <is>
          <t>길동</t>
        </is>
      </c>
      <c r="AG493" s="0" t="inlineStr">
        <is>
          <t>서울시 강동구 양재대로113길 53</t>
        </is>
      </c>
      <c r="AH493" s="0" t="n">
        <v>0</v>
      </c>
      <c r="AI493" s="0" t="n">
        <v>385</v>
      </c>
      <c r="AJ493" s="0" t="n">
        <v>59</v>
      </c>
      <c r="AK493" s="0" t="n">
        <v>18</v>
      </c>
      <c r="AL493" s="0" t="n">
        <v>1.06</v>
      </c>
    </row>
    <row r="494">
      <c r="A494" s="0" t="inlineStr">
        <is>
          <t>[길동]</t>
        </is>
      </c>
      <c r="B494" s="0" t="n">
        <v>102009</v>
      </c>
      <c r="C494" s="0" t="n">
        <v>3</v>
      </c>
      <c r="D494" s="0" t="inlineStr">
        <is>
          <t>예건타워빌</t>
        </is>
      </c>
      <c r="E494" s="0" t="inlineStr">
        <is>
          <t>2005.01.</t>
        </is>
      </c>
      <c r="F494" s="0" t="n">
        <v>17</v>
      </c>
      <c r="G494" s="0" t="n">
        <v>15.24</v>
      </c>
      <c r="H494" s="0" t="n">
        <v>50.39</v>
      </c>
      <c r="I494" s="0" t="n">
        <v>12.57</v>
      </c>
      <c r="J494" s="0" t="n">
        <v>41.58</v>
      </c>
      <c r="K494" s="0" t="n">
        <v>1</v>
      </c>
      <c r="T494" s="0" t="n">
        <v>2</v>
      </c>
      <c r="U494" s="0" t="n">
        <v>1</v>
      </c>
      <c r="V494" s="0" t="inlineStr">
        <is>
          <t>계단식</t>
        </is>
      </c>
      <c r="W494" s="0" t="n">
        <v>50</v>
      </c>
      <c r="X494" s="0" t="n">
        <v>9</v>
      </c>
      <c r="Y494" s="0" t="n">
        <v>6</v>
      </c>
      <c r="Z494" s="0" t="inlineStr">
        <is>
          <t>https://new.land.naver.com/complexes/102009?tab=detail&amp;rf=Y</t>
        </is>
      </c>
      <c r="AA494" s="0" t="inlineStr">
        <is>
          <t>서울시 강동구 길동 385-1</t>
        </is>
      </c>
      <c r="AB494" s="0" t="inlineStr">
        <is>
          <t>서울시</t>
        </is>
      </c>
      <c r="AC494" s="0" t="inlineStr">
        <is>
          <t>강동구</t>
        </is>
      </c>
      <c r="AD494" s="0" t="inlineStr">
        <is>
          <t>길동</t>
        </is>
      </c>
      <c r="AG494" s="0" t="inlineStr">
        <is>
          <t>서울시 강동구 양재대로113길 53</t>
        </is>
      </c>
      <c r="AH494" s="0" t="n">
        <v>0</v>
      </c>
      <c r="AI494" s="0" t="n">
        <v>385</v>
      </c>
      <c r="AJ494" s="0" t="n">
        <v>59</v>
      </c>
      <c r="AK494" s="0" t="n">
        <v>18</v>
      </c>
      <c r="AL494" s="0" t="n">
        <v>1.06</v>
      </c>
    </row>
    <row r="495">
      <c r="A495" s="0" t="inlineStr">
        <is>
          <t>[길동]</t>
        </is>
      </c>
      <c r="B495" s="0" t="n">
        <v>102009</v>
      </c>
      <c r="C495" s="0" t="n">
        <v>4</v>
      </c>
      <c r="D495" s="0" t="inlineStr">
        <is>
          <t>예건타워빌</t>
        </is>
      </c>
      <c r="E495" s="0" t="inlineStr">
        <is>
          <t>2005.01.</t>
        </is>
      </c>
      <c r="F495" s="0" t="n">
        <v>17</v>
      </c>
      <c r="G495" s="0" t="n">
        <v>17.04</v>
      </c>
      <c r="H495" s="0" t="n">
        <v>56.36</v>
      </c>
      <c r="I495" s="0" t="n">
        <v>14.06</v>
      </c>
      <c r="J495" s="0" t="n">
        <v>46.5</v>
      </c>
      <c r="K495" s="0" t="n">
        <v>1</v>
      </c>
      <c r="T495" s="0" t="n">
        <v>2</v>
      </c>
      <c r="U495" s="0" t="n">
        <v>1</v>
      </c>
      <c r="V495" s="0" t="inlineStr">
        <is>
          <t>계단식</t>
        </is>
      </c>
      <c r="W495" s="0" t="n">
        <v>56</v>
      </c>
      <c r="X495" s="0" t="n">
        <v>9</v>
      </c>
      <c r="Y495" s="0" t="n">
        <v>6</v>
      </c>
      <c r="Z495" s="0" t="inlineStr">
        <is>
          <t>https://new.land.naver.com/complexes/102009?tab=detail&amp;rf=Y</t>
        </is>
      </c>
      <c r="AA495" s="0" t="inlineStr">
        <is>
          <t>서울시 강동구 길동 385-1</t>
        </is>
      </c>
      <c r="AB495" s="0" t="inlineStr">
        <is>
          <t>서울시</t>
        </is>
      </c>
      <c r="AC495" s="0" t="inlineStr">
        <is>
          <t>강동구</t>
        </is>
      </c>
      <c r="AD495" s="0" t="inlineStr">
        <is>
          <t>길동</t>
        </is>
      </c>
      <c r="AG495" s="0" t="inlineStr">
        <is>
          <t>서울시 강동구 양재대로113길 53</t>
        </is>
      </c>
      <c r="AH495" s="0" t="n">
        <v>0</v>
      </c>
      <c r="AI495" s="0" t="n">
        <v>385</v>
      </c>
      <c r="AJ495" s="0" t="n">
        <v>59</v>
      </c>
      <c r="AK495" s="0" t="n">
        <v>18</v>
      </c>
      <c r="AL495" s="0" t="n">
        <v>1.06</v>
      </c>
    </row>
    <row r="496">
      <c r="A496" s="0" t="inlineStr">
        <is>
          <t>[길동]</t>
        </is>
      </c>
      <c r="B496" s="0" t="n">
        <v>102009</v>
      </c>
      <c r="C496" s="0" t="n">
        <v>5</v>
      </c>
      <c r="D496" s="0" t="inlineStr">
        <is>
          <t>예건타워빌</t>
        </is>
      </c>
      <c r="E496" s="0" t="inlineStr">
        <is>
          <t>2005.01.</t>
        </is>
      </c>
      <c r="F496" s="0" t="n">
        <v>17</v>
      </c>
      <c r="G496" s="0" t="n">
        <v>21.51</v>
      </c>
      <c r="H496" s="0" t="n">
        <v>71.11</v>
      </c>
      <c r="I496" s="0" t="n">
        <v>17.74</v>
      </c>
      <c r="J496" s="0" t="n">
        <v>58.67</v>
      </c>
      <c r="K496" s="0" t="n">
        <v>1</v>
      </c>
      <c r="T496" s="0" t="n">
        <v>2</v>
      </c>
      <c r="U496" s="0" t="n">
        <v>1</v>
      </c>
      <c r="V496" s="0" t="inlineStr">
        <is>
          <t>계단식</t>
        </is>
      </c>
      <c r="W496" s="0" t="n">
        <v>71</v>
      </c>
      <c r="X496" s="0" t="n">
        <v>9</v>
      </c>
      <c r="Y496" s="0" t="n">
        <v>6</v>
      </c>
      <c r="Z496" s="0" t="inlineStr">
        <is>
          <t>https://new.land.naver.com/complexes/102009?tab=detail&amp;rf=Y</t>
        </is>
      </c>
      <c r="AA496" s="0" t="inlineStr">
        <is>
          <t>서울시 강동구 길동 385-1</t>
        </is>
      </c>
      <c r="AB496" s="0" t="inlineStr">
        <is>
          <t>서울시</t>
        </is>
      </c>
      <c r="AC496" s="0" t="inlineStr">
        <is>
          <t>강동구</t>
        </is>
      </c>
      <c r="AD496" s="0" t="inlineStr">
        <is>
          <t>길동</t>
        </is>
      </c>
      <c r="AG496" s="0" t="inlineStr">
        <is>
          <t>서울시 강동구 양재대로113길 53</t>
        </is>
      </c>
      <c r="AH496" s="0" t="n">
        <v>0</v>
      </c>
      <c r="AI496" s="0" t="n">
        <v>385</v>
      </c>
      <c r="AJ496" s="0" t="n">
        <v>59</v>
      </c>
      <c r="AK496" s="0" t="n">
        <v>18</v>
      </c>
      <c r="AL496" s="0" t="n">
        <v>1.06</v>
      </c>
    </row>
    <row r="497">
      <c r="A497" s="0" t="inlineStr">
        <is>
          <t>[길동]</t>
        </is>
      </c>
      <c r="B497" s="0" t="n">
        <v>102009</v>
      </c>
      <c r="C497" s="0" t="n">
        <v>6</v>
      </c>
      <c r="D497" s="0" t="inlineStr">
        <is>
          <t>예건타워빌</t>
        </is>
      </c>
      <c r="E497" s="0" t="inlineStr">
        <is>
          <t>2005.01.</t>
        </is>
      </c>
      <c r="F497" s="0" t="n">
        <v>17</v>
      </c>
      <c r="G497" s="0" t="n">
        <v>23.54</v>
      </c>
      <c r="H497" s="0" t="n">
        <v>77.81999999999999</v>
      </c>
      <c r="I497" s="0" t="n">
        <v>19.42</v>
      </c>
      <c r="J497" s="0" t="n">
        <v>64.20999999999999</v>
      </c>
      <c r="K497" s="0" t="n">
        <v>1</v>
      </c>
      <c r="T497" s="0" t="n">
        <v>3</v>
      </c>
      <c r="U497" s="0" t="n">
        <v>1</v>
      </c>
      <c r="V497" s="0" t="inlineStr">
        <is>
          <t>계단식</t>
        </is>
      </c>
      <c r="W497" s="0" t="n">
        <v>77</v>
      </c>
      <c r="X497" s="0" t="n">
        <v>9</v>
      </c>
      <c r="Y497" s="0" t="n">
        <v>6</v>
      </c>
      <c r="Z497" s="0" t="inlineStr">
        <is>
          <t>https://new.land.naver.com/complexes/102009?tab=detail&amp;rf=Y</t>
        </is>
      </c>
      <c r="AA497" s="0" t="inlineStr">
        <is>
          <t>서울시 강동구 길동 385-1</t>
        </is>
      </c>
      <c r="AB497" s="0" t="inlineStr">
        <is>
          <t>서울시</t>
        </is>
      </c>
      <c r="AC497" s="0" t="inlineStr">
        <is>
          <t>강동구</t>
        </is>
      </c>
      <c r="AD497" s="0" t="inlineStr">
        <is>
          <t>길동</t>
        </is>
      </c>
      <c r="AG497" s="0" t="inlineStr">
        <is>
          <t>서울시 강동구 양재대로113길 53</t>
        </is>
      </c>
      <c r="AH497" s="0" t="n">
        <v>0</v>
      </c>
      <c r="AI497" s="0" t="n">
        <v>385</v>
      </c>
      <c r="AJ497" s="0" t="n">
        <v>59</v>
      </c>
      <c r="AK497" s="0" t="n">
        <v>18</v>
      </c>
      <c r="AL497" s="0" t="n">
        <v>1.06</v>
      </c>
    </row>
    <row r="498">
      <c r="A498" s="0" t="inlineStr">
        <is>
          <t>[길동]</t>
        </is>
      </c>
      <c r="B498" s="0" t="n">
        <v>102009</v>
      </c>
      <c r="C498" s="0" t="n">
        <v>7</v>
      </c>
      <c r="D498" s="0" t="inlineStr">
        <is>
          <t>예건타워빌</t>
        </is>
      </c>
      <c r="E498" s="0" t="inlineStr">
        <is>
          <t>2005.01.</t>
        </is>
      </c>
      <c r="F498" s="0" t="n">
        <v>17</v>
      </c>
      <c r="G498" s="0" t="n">
        <v>24.71</v>
      </c>
      <c r="H498" s="0" t="n">
        <v>81.69</v>
      </c>
      <c r="I498" s="0" t="n">
        <v>20.38</v>
      </c>
      <c r="J498" s="0" t="n">
        <v>67.40000000000001</v>
      </c>
      <c r="K498" s="0" t="n">
        <v>1</v>
      </c>
      <c r="T498" s="0" t="n">
        <v>3</v>
      </c>
      <c r="U498" s="0" t="n">
        <v>1</v>
      </c>
      <c r="V498" s="0" t="inlineStr">
        <is>
          <t>계단식</t>
        </is>
      </c>
      <c r="W498" s="0" t="inlineStr">
        <is>
          <t>81A</t>
        </is>
      </c>
      <c r="X498" s="0" t="n">
        <v>9</v>
      </c>
      <c r="Y498" s="0" t="n">
        <v>6</v>
      </c>
      <c r="Z498" s="0" t="inlineStr">
        <is>
          <t>https://new.land.naver.com/complexes/102009?tab=detail&amp;rf=Y</t>
        </is>
      </c>
      <c r="AA498" s="0" t="inlineStr">
        <is>
          <t>서울시 강동구 길동 385-1</t>
        </is>
      </c>
      <c r="AB498" s="0" t="inlineStr">
        <is>
          <t>서울시</t>
        </is>
      </c>
      <c r="AC498" s="0" t="inlineStr">
        <is>
          <t>강동구</t>
        </is>
      </c>
      <c r="AD498" s="0" t="inlineStr">
        <is>
          <t>길동</t>
        </is>
      </c>
      <c r="AG498" s="0" t="inlineStr">
        <is>
          <t>서울시 강동구 양재대로113길 53</t>
        </is>
      </c>
      <c r="AH498" s="0" t="n">
        <v>0</v>
      </c>
      <c r="AI498" s="0" t="n">
        <v>385</v>
      </c>
      <c r="AJ498" s="0" t="n">
        <v>59</v>
      </c>
      <c r="AK498" s="0" t="n">
        <v>18</v>
      </c>
      <c r="AL498" s="0" t="n">
        <v>1.06</v>
      </c>
    </row>
    <row r="499">
      <c r="A499" s="0" t="inlineStr">
        <is>
          <t>[길동]</t>
        </is>
      </c>
      <c r="B499" s="0" t="n">
        <v>102009</v>
      </c>
      <c r="C499" s="0" t="n">
        <v>8</v>
      </c>
      <c r="D499" s="0" t="inlineStr">
        <is>
          <t>예건타워빌</t>
        </is>
      </c>
      <c r="E499" s="0" t="inlineStr">
        <is>
          <t>2005.01.</t>
        </is>
      </c>
      <c r="F499" s="0" t="n">
        <v>17</v>
      </c>
      <c r="G499" s="0" t="n">
        <v>24.9</v>
      </c>
      <c r="H499" s="0" t="n">
        <v>82.33</v>
      </c>
      <c r="I499" s="0" t="n">
        <v>20.54</v>
      </c>
      <c r="J499" s="0" t="n">
        <v>67.93000000000001</v>
      </c>
      <c r="K499" s="0" t="n">
        <v>1</v>
      </c>
      <c r="T499" s="0" t="n">
        <v>3</v>
      </c>
      <c r="U499" s="0" t="n">
        <v>1</v>
      </c>
      <c r="V499" s="0" t="inlineStr">
        <is>
          <t>계단식</t>
        </is>
      </c>
      <c r="W499" s="0" t="inlineStr">
        <is>
          <t>82B</t>
        </is>
      </c>
      <c r="X499" s="0" t="n">
        <v>9</v>
      </c>
      <c r="Y499" s="0" t="n">
        <v>6</v>
      </c>
      <c r="Z499" s="0" t="inlineStr">
        <is>
          <t>https://new.land.naver.com/complexes/102009?tab=detail&amp;rf=Y</t>
        </is>
      </c>
      <c r="AA499" s="0" t="inlineStr">
        <is>
          <t>서울시 강동구 길동 385-1</t>
        </is>
      </c>
      <c r="AB499" s="0" t="inlineStr">
        <is>
          <t>서울시</t>
        </is>
      </c>
      <c r="AC499" s="0" t="inlineStr">
        <is>
          <t>강동구</t>
        </is>
      </c>
      <c r="AD499" s="0" t="inlineStr">
        <is>
          <t>길동</t>
        </is>
      </c>
      <c r="AG499" s="0" t="inlineStr">
        <is>
          <t>서울시 강동구 양재대로113길 53</t>
        </is>
      </c>
      <c r="AH499" s="0" t="n">
        <v>0</v>
      </c>
      <c r="AI499" s="0" t="n">
        <v>385</v>
      </c>
      <c r="AJ499" s="0" t="n">
        <v>59</v>
      </c>
      <c r="AK499" s="0" t="n">
        <v>18</v>
      </c>
      <c r="AL499" s="0" t="n">
        <v>1.06</v>
      </c>
    </row>
    <row r="500">
      <c r="A500" s="0" t="inlineStr">
        <is>
          <t>[길동]</t>
        </is>
      </c>
      <c r="B500" s="0" t="n">
        <v>102009</v>
      </c>
      <c r="C500" s="0" t="n">
        <v>9</v>
      </c>
      <c r="D500" s="0" t="inlineStr">
        <is>
          <t>예건타워빌</t>
        </is>
      </c>
      <c r="E500" s="0" t="inlineStr">
        <is>
          <t>2005.01.</t>
        </is>
      </c>
      <c r="F500" s="0" t="n">
        <v>17</v>
      </c>
      <c r="G500" s="0" t="n">
        <v>25.72</v>
      </c>
      <c r="H500" s="0" t="n">
        <v>85.04000000000001</v>
      </c>
      <c r="I500" s="0" t="n">
        <v>21.22</v>
      </c>
      <c r="J500" s="0" t="n">
        <v>70.17</v>
      </c>
      <c r="K500" s="0" t="n">
        <v>1</v>
      </c>
      <c r="T500" s="0" t="n">
        <v>3</v>
      </c>
      <c r="U500" s="0" t="n">
        <v>1</v>
      </c>
      <c r="V500" s="0" t="inlineStr">
        <is>
          <t>계단식</t>
        </is>
      </c>
      <c r="W500" s="0" t="inlineStr">
        <is>
          <t>85A</t>
        </is>
      </c>
      <c r="X500" s="0" t="n">
        <v>9</v>
      </c>
      <c r="Y500" s="0" t="n">
        <v>6</v>
      </c>
      <c r="Z500" s="0" t="inlineStr">
        <is>
          <t>https://new.land.naver.com/complexes/102009?tab=detail&amp;rf=Y</t>
        </is>
      </c>
      <c r="AA500" s="0" t="inlineStr">
        <is>
          <t>서울시 강동구 길동 385-1</t>
        </is>
      </c>
      <c r="AB500" s="0" t="inlineStr">
        <is>
          <t>서울시</t>
        </is>
      </c>
      <c r="AC500" s="0" t="inlineStr">
        <is>
          <t>강동구</t>
        </is>
      </c>
      <c r="AD500" s="0" t="inlineStr">
        <is>
          <t>길동</t>
        </is>
      </c>
      <c r="AG500" s="0" t="inlineStr">
        <is>
          <t>서울시 강동구 양재대로113길 53</t>
        </is>
      </c>
      <c r="AH500" s="0" t="n">
        <v>0</v>
      </c>
      <c r="AI500" s="0" t="n">
        <v>385</v>
      </c>
      <c r="AJ500" s="0" t="n">
        <v>59</v>
      </c>
      <c r="AK500" s="0" t="n">
        <v>18</v>
      </c>
      <c r="AL500" s="0" t="n">
        <v>1.06</v>
      </c>
    </row>
    <row r="501">
      <c r="A501" s="0" t="inlineStr">
        <is>
          <t>[길동]</t>
        </is>
      </c>
      <c r="B501" s="0" t="n">
        <v>102009</v>
      </c>
      <c r="C501" s="0" t="n">
        <v>10</v>
      </c>
      <c r="D501" s="0" t="inlineStr">
        <is>
          <t>예건타워빌</t>
        </is>
      </c>
      <c r="E501" s="0" t="inlineStr">
        <is>
          <t>2005.01.</t>
        </is>
      </c>
      <c r="F501" s="0" t="n">
        <v>17</v>
      </c>
      <c r="G501" s="0" t="n">
        <v>25.87</v>
      </c>
      <c r="H501" s="0" t="n">
        <v>85.54000000000001</v>
      </c>
      <c r="I501" s="0" t="n">
        <v>21.35</v>
      </c>
      <c r="J501" s="0" t="n">
        <v>70.58</v>
      </c>
      <c r="K501" s="0" t="n">
        <v>1</v>
      </c>
      <c r="T501" s="0" t="n">
        <v>3</v>
      </c>
      <c r="U501" s="0" t="n">
        <v>1</v>
      </c>
      <c r="V501" s="0" t="inlineStr">
        <is>
          <t>계단식</t>
        </is>
      </c>
      <c r="W501" s="0" t="inlineStr">
        <is>
          <t>85B</t>
        </is>
      </c>
      <c r="X501" s="0" t="n">
        <v>9</v>
      </c>
      <c r="Y501" s="0" t="n">
        <v>6</v>
      </c>
      <c r="Z501" s="0" t="inlineStr">
        <is>
          <t>https://new.land.naver.com/complexes/102009?tab=detail&amp;rf=Y</t>
        </is>
      </c>
      <c r="AA501" s="0" t="inlineStr">
        <is>
          <t>서울시 강동구 길동 385-1</t>
        </is>
      </c>
      <c r="AB501" s="0" t="inlineStr">
        <is>
          <t>서울시</t>
        </is>
      </c>
      <c r="AC501" s="0" t="inlineStr">
        <is>
          <t>강동구</t>
        </is>
      </c>
      <c r="AD501" s="0" t="inlineStr">
        <is>
          <t>길동</t>
        </is>
      </c>
      <c r="AG501" s="0" t="inlineStr">
        <is>
          <t>서울시 강동구 양재대로113길 53</t>
        </is>
      </c>
      <c r="AH501" s="0" t="n">
        <v>0</v>
      </c>
      <c r="AI501" s="0" t="n">
        <v>385</v>
      </c>
      <c r="AJ501" s="0" t="n">
        <v>59</v>
      </c>
      <c r="AK501" s="0" t="n">
        <v>18</v>
      </c>
      <c r="AL501" s="0" t="n">
        <v>1.06</v>
      </c>
    </row>
    <row r="502">
      <c r="A502" s="0" t="inlineStr">
        <is>
          <t>[길동]</t>
        </is>
      </c>
      <c r="B502" s="0" t="n">
        <v>102009</v>
      </c>
      <c r="C502" s="0" t="n">
        <v>11</v>
      </c>
      <c r="D502" s="0" t="inlineStr">
        <is>
          <t>예건타워빌</t>
        </is>
      </c>
      <c r="E502" s="0" t="inlineStr">
        <is>
          <t>2005.01.</t>
        </is>
      </c>
      <c r="F502" s="0" t="n">
        <v>17</v>
      </c>
      <c r="G502" s="0" t="n">
        <v>26.87</v>
      </c>
      <c r="H502" s="0" t="n">
        <v>88.84</v>
      </c>
      <c r="I502" s="0" t="n">
        <v>22.17</v>
      </c>
      <c r="J502" s="0" t="n">
        <v>73.3</v>
      </c>
      <c r="K502" s="0" t="n">
        <v>1</v>
      </c>
      <c r="T502" s="0" t="n">
        <v>3</v>
      </c>
      <c r="U502" s="0" t="n">
        <v>1</v>
      </c>
      <c r="V502" s="0" t="inlineStr">
        <is>
          <t>계단식</t>
        </is>
      </c>
      <c r="W502" s="0" t="inlineStr">
        <is>
          <t>88A</t>
        </is>
      </c>
      <c r="X502" s="0" t="n">
        <v>9</v>
      </c>
      <c r="Y502" s="0" t="n">
        <v>6</v>
      </c>
      <c r="Z502" s="0" t="inlineStr">
        <is>
          <t>https://new.land.naver.com/complexes/102009?tab=detail&amp;rf=Y</t>
        </is>
      </c>
      <c r="AA502" s="0" t="inlineStr">
        <is>
          <t>서울시 강동구 길동 385-1</t>
        </is>
      </c>
      <c r="AB502" s="0" t="inlineStr">
        <is>
          <t>서울시</t>
        </is>
      </c>
      <c r="AC502" s="0" t="inlineStr">
        <is>
          <t>강동구</t>
        </is>
      </c>
      <c r="AD502" s="0" t="inlineStr">
        <is>
          <t>길동</t>
        </is>
      </c>
      <c r="AG502" s="0" t="inlineStr">
        <is>
          <t>서울시 강동구 양재대로113길 53</t>
        </is>
      </c>
      <c r="AH502" s="0" t="n">
        <v>0</v>
      </c>
      <c r="AI502" s="0" t="n">
        <v>385</v>
      </c>
      <c r="AJ502" s="0" t="n">
        <v>59</v>
      </c>
      <c r="AK502" s="0" t="n">
        <v>18</v>
      </c>
      <c r="AL502" s="0" t="n">
        <v>1.06</v>
      </c>
    </row>
    <row r="503">
      <c r="A503" s="0" t="inlineStr">
        <is>
          <t>[길동]</t>
        </is>
      </c>
      <c r="B503" s="0" t="n">
        <v>102009</v>
      </c>
      <c r="C503" s="0" t="n">
        <v>12</v>
      </c>
      <c r="D503" s="0" t="inlineStr">
        <is>
          <t>예건타워빌</t>
        </is>
      </c>
      <c r="E503" s="0" t="inlineStr">
        <is>
          <t>2005.01.</t>
        </is>
      </c>
      <c r="F503" s="0" t="n">
        <v>17</v>
      </c>
      <c r="G503" s="0" t="n">
        <v>26.95</v>
      </c>
      <c r="H503" s="0" t="n">
        <v>89.11</v>
      </c>
      <c r="I503" s="0" t="n">
        <v>22.23</v>
      </c>
      <c r="J503" s="0" t="n">
        <v>73.52</v>
      </c>
      <c r="K503" s="0" t="n">
        <v>1</v>
      </c>
      <c r="T503" s="0" t="n">
        <v>3</v>
      </c>
      <c r="U503" s="0" t="n">
        <v>1</v>
      </c>
      <c r="V503" s="0" t="inlineStr">
        <is>
          <t>계단식</t>
        </is>
      </c>
      <c r="W503" s="0" t="inlineStr">
        <is>
          <t>89B</t>
        </is>
      </c>
      <c r="X503" s="0" t="n">
        <v>9</v>
      </c>
      <c r="Y503" s="0" t="n">
        <v>6</v>
      </c>
      <c r="Z503" s="0" t="inlineStr">
        <is>
          <t>https://new.land.naver.com/complexes/102009?tab=detail&amp;rf=Y</t>
        </is>
      </c>
      <c r="AA503" s="0" t="inlineStr">
        <is>
          <t>서울시 강동구 길동 385-1</t>
        </is>
      </c>
      <c r="AB503" s="0" t="inlineStr">
        <is>
          <t>서울시</t>
        </is>
      </c>
      <c r="AC503" s="0" t="inlineStr">
        <is>
          <t>강동구</t>
        </is>
      </c>
      <c r="AD503" s="0" t="inlineStr">
        <is>
          <t>길동</t>
        </is>
      </c>
      <c r="AG503" s="0" t="inlineStr">
        <is>
          <t>서울시 강동구 양재대로113길 53</t>
        </is>
      </c>
      <c r="AH503" s="0" t="n">
        <v>0</v>
      </c>
      <c r="AI503" s="0" t="n">
        <v>385</v>
      </c>
      <c r="AJ503" s="0" t="n">
        <v>59</v>
      </c>
      <c r="AK503" s="0" t="n">
        <v>18</v>
      </c>
      <c r="AL503" s="0" t="n">
        <v>1.06</v>
      </c>
    </row>
    <row r="504">
      <c r="A504" s="0" t="inlineStr">
        <is>
          <t>[길동]</t>
        </is>
      </c>
      <c r="B504" s="0" t="n">
        <v>102009</v>
      </c>
      <c r="C504" s="0" t="n">
        <v>13</v>
      </c>
      <c r="D504" s="0" t="inlineStr">
        <is>
          <t>예건타워빌</t>
        </is>
      </c>
      <c r="E504" s="0" t="inlineStr">
        <is>
          <t>2005.01.</t>
        </is>
      </c>
      <c r="F504" s="0" t="n">
        <v>17</v>
      </c>
      <c r="G504" s="0" t="n">
        <v>29.59</v>
      </c>
      <c r="H504" s="0" t="n">
        <v>97.84</v>
      </c>
      <c r="I504" s="0" t="n">
        <v>24.42</v>
      </c>
      <c r="J504" s="0" t="n">
        <v>80.73</v>
      </c>
      <c r="K504" s="0" t="n">
        <v>2</v>
      </c>
      <c r="T504" s="0" t="n">
        <v>3</v>
      </c>
      <c r="U504" s="0" t="n">
        <v>2</v>
      </c>
      <c r="V504" s="0" t="inlineStr">
        <is>
          <t>계단식</t>
        </is>
      </c>
      <c r="W504" s="0" t="n">
        <v>97</v>
      </c>
      <c r="X504" s="0" t="n">
        <v>9</v>
      </c>
      <c r="Y504" s="0" t="n">
        <v>6</v>
      </c>
      <c r="Z504" s="0" t="inlineStr">
        <is>
          <t>https://new.land.naver.com/complexes/102009?tab=detail&amp;rf=Y</t>
        </is>
      </c>
      <c r="AA504" s="0" t="inlineStr">
        <is>
          <t>서울시 강동구 길동 385-1</t>
        </is>
      </c>
      <c r="AB504" s="0" t="inlineStr">
        <is>
          <t>서울시</t>
        </is>
      </c>
      <c r="AC504" s="0" t="inlineStr">
        <is>
          <t>강동구</t>
        </is>
      </c>
      <c r="AD504" s="0" t="inlineStr">
        <is>
          <t>길동</t>
        </is>
      </c>
      <c r="AG504" s="0" t="inlineStr">
        <is>
          <t>서울시 강동구 양재대로113길 53</t>
        </is>
      </c>
      <c r="AH504" s="0" t="n">
        <v>0</v>
      </c>
      <c r="AI504" s="0" t="n">
        <v>385</v>
      </c>
      <c r="AJ504" s="0" t="n">
        <v>59</v>
      </c>
      <c r="AK504" s="0" t="n">
        <v>18</v>
      </c>
      <c r="AL504" s="0" t="n">
        <v>1.06</v>
      </c>
    </row>
    <row r="505">
      <c r="A505" s="0" t="inlineStr">
        <is>
          <t>[길동]</t>
        </is>
      </c>
      <c r="B505" s="0" t="n">
        <v>102009</v>
      </c>
      <c r="C505" s="0" t="n">
        <v>14</v>
      </c>
      <c r="D505" s="0" t="inlineStr">
        <is>
          <t>예건타워빌</t>
        </is>
      </c>
      <c r="E505" s="0" t="inlineStr">
        <is>
          <t>2005.01.</t>
        </is>
      </c>
      <c r="F505" s="0" t="n">
        <v>17</v>
      </c>
      <c r="G505" s="0" t="n">
        <v>31.12</v>
      </c>
      <c r="H505" s="0" t="n">
        <v>102.9</v>
      </c>
      <c r="I505" s="0" t="n">
        <v>25.68</v>
      </c>
      <c r="J505" s="0" t="n">
        <v>84.90000000000001</v>
      </c>
      <c r="K505" s="0" t="n">
        <v>1</v>
      </c>
      <c r="T505" s="0" t="n">
        <v>3</v>
      </c>
      <c r="U505" s="0" t="n">
        <v>2</v>
      </c>
      <c r="V505" s="0" t="inlineStr">
        <is>
          <t>계단식</t>
        </is>
      </c>
      <c r="W505" s="0" t="n">
        <v>102</v>
      </c>
      <c r="X505" s="0" t="n">
        <v>9</v>
      </c>
      <c r="Y505" s="0" t="n">
        <v>6</v>
      </c>
      <c r="Z505" s="0" t="inlineStr">
        <is>
          <t>https://new.land.naver.com/complexes/102009?tab=detail&amp;rf=Y</t>
        </is>
      </c>
      <c r="AA505" s="0" t="inlineStr">
        <is>
          <t>서울시 강동구 길동 385-1</t>
        </is>
      </c>
      <c r="AB505" s="0" t="inlineStr">
        <is>
          <t>서울시</t>
        </is>
      </c>
      <c r="AC505" s="0" t="inlineStr">
        <is>
          <t>강동구</t>
        </is>
      </c>
      <c r="AD505" s="0" t="inlineStr">
        <is>
          <t>길동</t>
        </is>
      </c>
      <c r="AG505" s="0" t="inlineStr">
        <is>
          <t>서울시 강동구 양재대로113길 53</t>
        </is>
      </c>
      <c r="AH505" s="0" t="n">
        <v>0</v>
      </c>
      <c r="AI505" s="0" t="n">
        <v>385</v>
      </c>
      <c r="AJ505" s="0" t="n">
        <v>59</v>
      </c>
      <c r="AK505" s="0" t="n">
        <v>18</v>
      </c>
      <c r="AL505" s="0" t="n">
        <v>1.06</v>
      </c>
    </row>
    <row r="506">
      <c r="A506" s="0" t="inlineStr">
        <is>
          <t>[길동]</t>
        </is>
      </c>
      <c r="B506" s="0" t="n">
        <v>9700</v>
      </c>
      <c r="C506" s="0" t="n">
        <v>1</v>
      </c>
      <c r="D506" s="0" t="inlineStr">
        <is>
          <t>신암가온</t>
        </is>
      </c>
      <c r="E506" s="0" t="inlineStr">
        <is>
          <t>2002.07.</t>
        </is>
      </c>
      <c r="F506" s="0" t="n">
        <v>55</v>
      </c>
      <c r="G506" s="0" t="n">
        <v>22.5</v>
      </c>
      <c r="H506" s="0" t="n">
        <v>74.39</v>
      </c>
      <c r="I506" s="0" t="n">
        <v>17.15</v>
      </c>
      <c r="J506" s="0" t="n">
        <v>56.7</v>
      </c>
      <c r="K506" s="0" t="n">
        <v>55</v>
      </c>
      <c r="T506" s="0" t="n">
        <v>2</v>
      </c>
      <c r="U506" s="0" t="n">
        <v>1</v>
      </c>
      <c r="V506" s="0" t="inlineStr">
        <is>
          <t>복도식</t>
        </is>
      </c>
      <c r="W506" s="0" t="n">
        <v>74</v>
      </c>
      <c r="X506" s="0" t="n">
        <v>10</v>
      </c>
      <c r="Y506" s="0" t="n">
        <v>6</v>
      </c>
      <c r="Z506" s="0" t="inlineStr">
        <is>
          <t>https://new.land.naver.com/complexes/9700?tab=detail&amp;rf=Y</t>
        </is>
      </c>
      <c r="AA506" s="0" t="inlineStr">
        <is>
          <t>서울시 강동구 길동 414-6</t>
        </is>
      </c>
      <c r="AB506" s="0" t="inlineStr">
        <is>
          <t>서울시</t>
        </is>
      </c>
      <c r="AC506" s="0" t="inlineStr">
        <is>
          <t>강동구</t>
        </is>
      </c>
      <c r="AD506" s="0" t="inlineStr">
        <is>
          <t>길동</t>
        </is>
      </c>
      <c r="AG506" s="0" t="inlineStr">
        <is>
          <t>서울시 강동구 천호대로177길 55</t>
        </is>
      </c>
      <c r="AH506" s="0" t="n">
        <v>0</v>
      </c>
      <c r="AI506" s="0" t="n">
        <v>428</v>
      </c>
      <c r="AJ506" s="0" t="n">
        <v>58</v>
      </c>
      <c r="AK506" s="0" t="n">
        <v>51</v>
      </c>
      <c r="AL506" s="0" t="n">
        <v>0.93</v>
      </c>
    </row>
    <row r="507">
      <c r="A507" s="0" t="inlineStr">
        <is>
          <t>[길동]</t>
        </is>
      </c>
      <c r="B507" s="0" t="n">
        <v>101984</v>
      </c>
      <c r="C507" s="0" t="n">
        <v>1</v>
      </c>
      <c r="D507" s="0" t="inlineStr">
        <is>
          <t>삼보프리빌</t>
        </is>
      </c>
      <c r="E507" s="0" t="inlineStr">
        <is>
          <t>2010.01.</t>
        </is>
      </c>
      <c r="F507" s="0" t="n">
        <v>16</v>
      </c>
      <c r="G507" s="0" t="n">
        <v>29.01</v>
      </c>
      <c r="H507" s="0" t="n">
        <v>95.93000000000001</v>
      </c>
      <c r="I507" s="0" t="n">
        <v>21.41</v>
      </c>
      <c r="J507" s="0" t="n">
        <v>70.8</v>
      </c>
      <c r="K507" s="0" t="n">
        <v>4</v>
      </c>
      <c r="T507" s="0" t="n">
        <v>3</v>
      </c>
      <c r="U507" s="0" t="n">
        <v>2</v>
      </c>
      <c r="V507" s="0" t="inlineStr">
        <is>
          <t>계단식</t>
        </is>
      </c>
      <c r="W507" s="0" t="n">
        <v>95</v>
      </c>
      <c r="X507" s="0" t="n">
        <v>8</v>
      </c>
      <c r="Y507" s="0" t="n">
        <v>8</v>
      </c>
      <c r="Z507" s="0" t="inlineStr">
        <is>
          <t>https://new.land.naver.com/complexes/101984?tab=detail&amp;rf=Y</t>
        </is>
      </c>
      <c r="AA507" s="0" t="inlineStr">
        <is>
          <t>서울시 강동구 길동 106-7</t>
        </is>
      </c>
      <c r="AB507" s="0" t="inlineStr">
        <is>
          <t>서울시</t>
        </is>
      </c>
      <c r="AC507" s="0" t="inlineStr">
        <is>
          <t>강동구</t>
        </is>
      </c>
      <c r="AD507" s="0" t="inlineStr">
        <is>
          <t>길동</t>
        </is>
      </c>
      <c r="AG507" s="0" t="inlineStr">
        <is>
          <t>서울시 강동구 명일로 230</t>
        </is>
      </c>
      <c r="AH507" s="0" t="n">
        <v>0</v>
      </c>
      <c r="AI507" s="0" t="n">
        <v>362</v>
      </c>
      <c r="AJ507" s="0" t="n">
        <v>59</v>
      </c>
      <c r="AK507" s="0" t="n">
        <v>30</v>
      </c>
      <c r="AL507" s="0" t="n">
        <v>1.88</v>
      </c>
    </row>
    <row r="508">
      <c r="A508" s="0" t="inlineStr">
        <is>
          <t>[길동]</t>
        </is>
      </c>
      <c r="B508" s="0" t="n">
        <v>101984</v>
      </c>
      <c r="C508" s="0" t="n">
        <v>2</v>
      </c>
      <c r="D508" s="0" t="inlineStr">
        <is>
          <t>삼보프리빌</t>
        </is>
      </c>
      <c r="E508" s="0" t="inlineStr">
        <is>
          <t>2010.01.</t>
        </is>
      </c>
      <c r="F508" s="0" t="n">
        <v>16</v>
      </c>
      <c r="G508" s="0" t="n">
        <v>30.88</v>
      </c>
      <c r="H508" s="0" t="n">
        <v>102.09</v>
      </c>
      <c r="I508" s="0" t="n">
        <v>23.08</v>
      </c>
      <c r="J508" s="0" t="n">
        <v>76.31999999999999</v>
      </c>
      <c r="K508" s="0" t="n">
        <v>6</v>
      </c>
      <c r="T508" s="0" t="n">
        <v>3</v>
      </c>
      <c r="U508" s="0" t="n">
        <v>2</v>
      </c>
      <c r="V508" s="0" t="inlineStr">
        <is>
          <t>계단식</t>
        </is>
      </c>
      <c r="W508" s="0" t="n">
        <v>102</v>
      </c>
      <c r="X508" s="0" t="n">
        <v>8</v>
      </c>
      <c r="Y508" s="0" t="n">
        <v>8</v>
      </c>
      <c r="Z508" s="0" t="inlineStr">
        <is>
          <t>https://new.land.naver.com/complexes/101984?tab=detail&amp;rf=Y</t>
        </is>
      </c>
      <c r="AA508" s="0" t="inlineStr">
        <is>
          <t>서울시 강동구 길동 106-7</t>
        </is>
      </c>
      <c r="AB508" s="0" t="inlineStr">
        <is>
          <t>서울시</t>
        </is>
      </c>
      <c r="AC508" s="0" t="inlineStr">
        <is>
          <t>강동구</t>
        </is>
      </c>
      <c r="AD508" s="0" t="inlineStr">
        <is>
          <t>길동</t>
        </is>
      </c>
      <c r="AG508" s="0" t="inlineStr">
        <is>
          <t>서울시 강동구 명일로 230</t>
        </is>
      </c>
      <c r="AH508" s="0" t="n">
        <v>0</v>
      </c>
      <c r="AI508" s="0" t="n">
        <v>362</v>
      </c>
      <c r="AJ508" s="0" t="n">
        <v>59</v>
      </c>
      <c r="AK508" s="0" t="n">
        <v>30</v>
      </c>
      <c r="AL508" s="0" t="n">
        <v>1.88</v>
      </c>
    </row>
    <row r="509">
      <c r="A509" s="0" t="inlineStr">
        <is>
          <t>[길동]</t>
        </is>
      </c>
      <c r="B509" s="0" t="n">
        <v>101984</v>
      </c>
      <c r="C509" s="0" t="n">
        <v>3</v>
      </c>
      <c r="D509" s="0" t="inlineStr">
        <is>
          <t>삼보프리빌</t>
        </is>
      </c>
      <c r="E509" s="0" t="inlineStr">
        <is>
          <t>2010.01.</t>
        </is>
      </c>
      <c r="F509" s="0" t="n">
        <v>16</v>
      </c>
      <c r="G509" s="0" t="n">
        <v>32.77</v>
      </c>
      <c r="H509" s="0" t="n">
        <v>108.35</v>
      </c>
      <c r="I509" s="0" t="n">
        <v>24.5</v>
      </c>
      <c r="J509" s="0" t="n">
        <v>81</v>
      </c>
      <c r="K509" s="0" t="n">
        <v>6</v>
      </c>
      <c r="T509" s="0" t="n">
        <v>3</v>
      </c>
      <c r="U509" s="0" t="n">
        <v>2</v>
      </c>
      <c r="V509" s="0" t="inlineStr">
        <is>
          <t>계단식</t>
        </is>
      </c>
      <c r="W509" s="0" t="n">
        <v>108</v>
      </c>
      <c r="X509" s="0" t="n">
        <v>8</v>
      </c>
      <c r="Y509" s="0" t="n">
        <v>8</v>
      </c>
      <c r="Z509" s="0" t="inlineStr">
        <is>
          <t>https://new.land.naver.com/complexes/101984?tab=detail&amp;rf=Y</t>
        </is>
      </c>
      <c r="AA509" s="0" t="inlineStr">
        <is>
          <t>서울시 강동구 길동 106-7</t>
        </is>
      </c>
      <c r="AB509" s="0" t="inlineStr">
        <is>
          <t>서울시</t>
        </is>
      </c>
      <c r="AC509" s="0" t="inlineStr">
        <is>
          <t>강동구</t>
        </is>
      </c>
      <c r="AD509" s="0" t="inlineStr">
        <is>
          <t>길동</t>
        </is>
      </c>
      <c r="AG509" s="0" t="inlineStr">
        <is>
          <t>서울시 강동구 명일로 230</t>
        </is>
      </c>
      <c r="AH509" s="0" t="n">
        <v>0</v>
      </c>
      <c r="AI509" s="0" t="n">
        <v>362</v>
      </c>
      <c r="AJ509" s="0" t="n">
        <v>59</v>
      </c>
      <c r="AK509" s="0" t="n">
        <v>30</v>
      </c>
      <c r="AL509" s="0" t="n">
        <v>1.88</v>
      </c>
    </row>
    <row r="510">
      <c r="A510" s="0" t="inlineStr">
        <is>
          <t>[길동]</t>
        </is>
      </c>
      <c r="B510" s="0" t="n">
        <v>22115</v>
      </c>
      <c r="C510" s="0" t="n">
        <v>1</v>
      </c>
      <c r="D510" s="0" t="inlineStr">
        <is>
          <t>광남캐스빌(247)</t>
        </is>
      </c>
      <c r="E510" s="0" t="inlineStr">
        <is>
          <t>2006.11.</t>
        </is>
      </c>
      <c r="F510" s="0" t="n">
        <v>59</v>
      </c>
      <c r="G510" s="0" t="n">
        <v>31</v>
      </c>
      <c r="H510" s="0" t="n">
        <v>102.48</v>
      </c>
      <c r="I510" s="0" t="n">
        <v>23.84</v>
      </c>
      <c r="J510" s="0" t="n">
        <v>78.81999999999999</v>
      </c>
      <c r="K510" s="0" t="n">
        <v>2</v>
      </c>
      <c r="T510" s="0" t="n">
        <v>3</v>
      </c>
      <c r="U510" s="0" t="n">
        <v>2</v>
      </c>
      <c r="V510" s="0" t="inlineStr">
        <is>
          <t>계단식</t>
        </is>
      </c>
      <c r="W510" s="0" t="n">
        <v>102</v>
      </c>
      <c r="X510" s="0" t="n">
        <v>13</v>
      </c>
      <c r="Y510" s="0" t="n">
        <v>9</v>
      </c>
      <c r="Z510" s="0" t="inlineStr">
        <is>
          <t>https://new.land.naver.com/complexes/22115?tab=detail&amp;rf=Y</t>
        </is>
      </c>
      <c r="AA510" s="0" t="inlineStr">
        <is>
          <t>서울시 강동구 길동 247</t>
        </is>
      </c>
      <c r="AB510" s="0" t="inlineStr">
        <is>
          <t>서울시</t>
        </is>
      </c>
      <c r="AC510" s="0" t="inlineStr">
        <is>
          <t>강동구</t>
        </is>
      </c>
      <c r="AD510" s="0" t="inlineStr">
        <is>
          <t>길동</t>
        </is>
      </c>
      <c r="AG510" s="0" t="inlineStr">
        <is>
          <t>서울시 강동구 진황도로 123</t>
        </is>
      </c>
      <c r="AH510" s="0" t="n">
        <v>0</v>
      </c>
      <c r="AI510" s="0" t="n">
        <v>242</v>
      </c>
      <c r="AJ510" s="0" t="n">
        <v>39</v>
      </c>
      <c r="AK510" s="0" t="n">
        <v>83</v>
      </c>
      <c r="AL510" s="0" t="n">
        <v>1.41</v>
      </c>
    </row>
    <row r="511">
      <c r="A511" s="0" t="inlineStr">
        <is>
          <t>[길동]</t>
        </is>
      </c>
      <c r="B511" s="0" t="n">
        <v>22115</v>
      </c>
      <c r="C511" s="0" t="n">
        <v>2</v>
      </c>
      <c r="D511" s="0" t="inlineStr">
        <is>
          <t>광남캐스빌(247)</t>
        </is>
      </c>
      <c r="E511" s="0" t="inlineStr">
        <is>
          <t>2006.11.</t>
        </is>
      </c>
      <c r="F511" s="0" t="n">
        <v>59</v>
      </c>
      <c r="G511" s="0" t="n">
        <v>33.2</v>
      </c>
      <c r="H511" s="0" t="n">
        <v>109.77</v>
      </c>
      <c r="I511" s="0" t="n">
        <v>25.54</v>
      </c>
      <c r="J511" s="0" t="n">
        <v>84.43000000000001</v>
      </c>
      <c r="K511" s="0" t="n">
        <v>25</v>
      </c>
      <c r="T511" s="0" t="n">
        <v>3</v>
      </c>
      <c r="U511" s="0" t="n">
        <v>2</v>
      </c>
      <c r="V511" s="0" t="inlineStr">
        <is>
          <t>계단식</t>
        </is>
      </c>
      <c r="W511" s="0" t="inlineStr">
        <is>
          <t>109A</t>
        </is>
      </c>
      <c r="X511" s="0" t="n">
        <v>13</v>
      </c>
      <c r="Y511" s="0" t="n">
        <v>9</v>
      </c>
      <c r="Z511" s="0" t="inlineStr">
        <is>
          <t>https://new.land.naver.com/complexes/22115?tab=detail&amp;rf=Y</t>
        </is>
      </c>
      <c r="AA511" s="0" t="inlineStr">
        <is>
          <t>서울시 강동구 길동 247</t>
        </is>
      </c>
      <c r="AB511" s="0" t="inlineStr">
        <is>
          <t>서울시</t>
        </is>
      </c>
      <c r="AC511" s="0" t="inlineStr">
        <is>
          <t>강동구</t>
        </is>
      </c>
      <c r="AD511" s="0" t="inlineStr">
        <is>
          <t>길동</t>
        </is>
      </c>
      <c r="AG511" s="0" t="inlineStr">
        <is>
          <t>서울시 강동구 진황도로 123</t>
        </is>
      </c>
      <c r="AH511" s="0" t="n">
        <v>0</v>
      </c>
      <c r="AI511" s="0" t="n">
        <v>242</v>
      </c>
      <c r="AJ511" s="0" t="n">
        <v>39</v>
      </c>
      <c r="AK511" s="0" t="n">
        <v>83</v>
      </c>
      <c r="AL511" s="0" t="n">
        <v>1.41</v>
      </c>
    </row>
    <row r="512">
      <c r="A512" s="0" t="inlineStr">
        <is>
          <t>[길동]</t>
        </is>
      </c>
      <c r="B512" s="0" t="n">
        <v>22115</v>
      </c>
      <c r="C512" s="0" t="n">
        <v>3</v>
      </c>
      <c r="D512" s="0" t="inlineStr">
        <is>
          <t>광남캐스빌(247)</t>
        </is>
      </c>
      <c r="E512" s="0" t="inlineStr">
        <is>
          <t>2006.11.</t>
        </is>
      </c>
      <c r="F512" s="0" t="n">
        <v>59</v>
      </c>
      <c r="G512" s="0" t="n">
        <v>33.2</v>
      </c>
      <c r="H512" s="0" t="n">
        <v>109.78</v>
      </c>
      <c r="I512" s="0" t="n">
        <v>25.54</v>
      </c>
      <c r="J512" s="0" t="n">
        <v>84.44</v>
      </c>
      <c r="K512" s="0" t="n">
        <v>24</v>
      </c>
      <c r="T512" s="0" t="n">
        <v>3</v>
      </c>
      <c r="U512" s="0" t="n">
        <v>2</v>
      </c>
      <c r="V512" s="0" t="inlineStr">
        <is>
          <t>계단식</t>
        </is>
      </c>
      <c r="W512" s="0" t="inlineStr">
        <is>
          <t>109B</t>
        </is>
      </c>
      <c r="X512" s="0" t="n">
        <v>13</v>
      </c>
      <c r="Y512" s="0" t="n">
        <v>9</v>
      </c>
      <c r="Z512" s="0" t="inlineStr">
        <is>
          <t>https://new.land.naver.com/complexes/22115?tab=detail&amp;rf=Y</t>
        </is>
      </c>
      <c r="AA512" s="0" t="inlineStr">
        <is>
          <t>서울시 강동구 길동 247</t>
        </is>
      </c>
      <c r="AB512" s="0" t="inlineStr">
        <is>
          <t>서울시</t>
        </is>
      </c>
      <c r="AC512" s="0" t="inlineStr">
        <is>
          <t>강동구</t>
        </is>
      </c>
      <c r="AD512" s="0" t="inlineStr">
        <is>
          <t>길동</t>
        </is>
      </c>
      <c r="AG512" s="0" t="inlineStr">
        <is>
          <t>서울시 강동구 진황도로 123</t>
        </is>
      </c>
      <c r="AH512" s="0" t="n">
        <v>0</v>
      </c>
      <c r="AI512" s="0" t="n">
        <v>242</v>
      </c>
      <c r="AJ512" s="0" t="n">
        <v>39</v>
      </c>
      <c r="AK512" s="0" t="n">
        <v>83</v>
      </c>
      <c r="AL512" s="0" t="n">
        <v>1.41</v>
      </c>
    </row>
    <row r="513">
      <c r="A513" s="0" t="inlineStr">
        <is>
          <t>[길동]</t>
        </is>
      </c>
      <c r="B513" s="0" t="n">
        <v>22115</v>
      </c>
      <c r="C513" s="0" t="n">
        <v>4</v>
      </c>
      <c r="D513" s="0" t="inlineStr">
        <is>
          <t>광남캐스빌(247)</t>
        </is>
      </c>
      <c r="E513" s="0" t="inlineStr">
        <is>
          <t>2006.11.</t>
        </is>
      </c>
      <c r="F513" s="0" t="n">
        <v>59</v>
      </c>
      <c r="G513" s="0" t="n">
        <v>33.23</v>
      </c>
      <c r="H513" s="0" t="n">
        <v>109.86</v>
      </c>
      <c r="I513" s="0" t="n">
        <v>25.55</v>
      </c>
      <c r="J513" s="0" t="n">
        <v>84.47</v>
      </c>
      <c r="K513" s="0" t="n">
        <v>8</v>
      </c>
      <c r="T513" s="0" t="n">
        <v>3</v>
      </c>
      <c r="U513" s="0" t="n">
        <v>2</v>
      </c>
      <c r="V513" s="0" t="inlineStr">
        <is>
          <t>계단식</t>
        </is>
      </c>
      <c r="W513" s="0" t="inlineStr">
        <is>
          <t>109C</t>
        </is>
      </c>
      <c r="X513" s="0" t="n">
        <v>13</v>
      </c>
      <c r="Y513" s="0" t="n">
        <v>9</v>
      </c>
      <c r="Z513" s="0" t="inlineStr">
        <is>
          <t>https://new.land.naver.com/complexes/22115?tab=detail&amp;rf=Y</t>
        </is>
      </c>
      <c r="AA513" s="0" t="inlineStr">
        <is>
          <t>서울시 강동구 길동 247</t>
        </is>
      </c>
      <c r="AB513" s="0" t="inlineStr">
        <is>
          <t>서울시</t>
        </is>
      </c>
      <c r="AC513" s="0" t="inlineStr">
        <is>
          <t>강동구</t>
        </is>
      </c>
      <c r="AD513" s="0" t="inlineStr">
        <is>
          <t>길동</t>
        </is>
      </c>
      <c r="AG513" s="0" t="inlineStr">
        <is>
          <t>서울시 강동구 진황도로 123</t>
        </is>
      </c>
      <c r="AH513" s="0" t="n">
        <v>0</v>
      </c>
      <c r="AI513" s="0" t="n">
        <v>242</v>
      </c>
      <c r="AJ513" s="0" t="n">
        <v>39</v>
      </c>
      <c r="AK513" s="0" t="n">
        <v>83</v>
      </c>
      <c r="AL513" s="0" t="n">
        <v>1.41</v>
      </c>
    </row>
    <row r="514">
      <c r="A514" s="0" t="inlineStr">
        <is>
          <t>[길동]</t>
        </is>
      </c>
      <c r="B514" s="0" t="n">
        <v>10756</v>
      </c>
      <c r="C514" s="0" t="n">
        <v>1</v>
      </c>
      <c r="D514" s="0" t="inlineStr">
        <is>
          <t>삼유스위트빌</t>
        </is>
      </c>
      <c r="E514" s="0" t="inlineStr">
        <is>
          <t>2002.10.</t>
        </is>
      </c>
      <c r="F514" s="0" t="n">
        <v>19</v>
      </c>
      <c r="G514" s="0" t="n">
        <v>15.97</v>
      </c>
      <c r="H514" s="0" t="n">
        <v>52.8</v>
      </c>
      <c r="I514" s="0" t="n">
        <v>14.23</v>
      </c>
      <c r="J514" s="0" t="n">
        <v>47.07</v>
      </c>
      <c r="K514" s="0" t="n">
        <v>1</v>
      </c>
      <c r="T514" s="0" t="n">
        <v>2</v>
      </c>
      <c r="U514" s="0" t="n">
        <v>1</v>
      </c>
      <c r="V514" s="0" t="inlineStr">
        <is>
          <t>계단식</t>
        </is>
      </c>
      <c r="W514" s="0" t="n">
        <v>52</v>
      </c>
      <c r="X514" s="0" t="n">
        <v>7</v>
      </c>
      <c r="Y514" s="0" t="n">
        <v>6</v>
      </c>
      <c r="Z514" s="0" t="inlineStr">
        <is>
          <t>https://new.land.naver.com/complexes/10756?tab=detail&amp;rf=Y</t>
        </is>
      </c>
      <c r="AA514" s="0" t="inlineStr">
        <is>
          <t>서울시 강동구 길동 241-5</t>
        </is>
      </c>
      <c r="AB514" s="0" t="inlineStr">
        <is>
          <t>서울시</t>
        </is>
      </c>
      <c r="AC514" s="0" t="inlineStr">
        <is>
          <t>강동구</t>
        </is>
      </c>
      <c r="AD514" s="0" t="inlineStr">
        <is>
          <t>길동</t>
        </is>
      </c>
      <c r="AG514" s="0" t="inlineStr">
        <is>
          <t>서울시 강동구 진황도로49길 5</t>
        </is>
      </c>
      <c r="AH514" s="0" t="n">
        <v>0</v>
      </c>
      <c r="AI514" s="0" t="n">
        <v>275</v>
      </c>
      <c r="AJ514" s="0" t="n">
        <v>48</v>
      </c>
      <c r="AK514" s="0" t="n">
        <v>21</v>
      </c>
      <c r="AL514" s="0" t="n">
        <v>1.11</v>
      </c>
    </row>
    <row r="515">
      <c r="A515" s="0" t="inlineStr">
        <is>
          <t>[길동]</t>
        </is>
      </c>
      <c r="B515" s="0" t="n">
        <v>10756</v>
      </c>
      <c r="C515" s="0" t="n">
        <v>2</v>
      </c>
      <c r="D515" s="0" t="inlineStr">
        <is>
          <t>삼유스위트빌</t>
        </is>
      </c>
      <c r="E515" s="0" t="inlineStr">
        <is>
          <t>2002.10.</t>
        </is>
      </c>
      <c r="F515" s="0" t="n">
        <v>19</v>
      </c>
      <c r="G515" s="0" t="n">
        <v>21.78</v>
      </c>
      <c r="H515" s="0" t="n">
        <v>72.02</v>
      </c>
      <c r="I515" s="0" t="n">
        <v>19.42</v>
      </c>
      <c r="J515" s="0" t="n">
        <v>64.2</v>
      </c>
      <c r="K515" s="0" t="n">
        <v>1</v>
      </c>
      <c r="T515" s="0" t="n">
        <v>3</v>
      </c>
      <c r="U515" s="0" t="n">
        <v>1</v>
      </c>
      <c r="V515" s="0" t="inlineStr">
        <is>
          <t>계단식</t>
        </is>
      </c>
      <c r="W515" s="0" t="n">
        <v>72</v>
      </c>
      <c r="X515" s="0" t="n">
        <v>7</v>
      </c>
      <c r="Y515" s="0" t="n">
        <v>6</v>
      </c>
      <c r="Z515" s="0" t="inlineStr">
        <is>
          <t>https://new.land.naver.com/complexes/10756?tab=detail&amp;rf=Y</t>
        </is>
      </c>
      <c r="AA515" s="0" t="inlineStr">
        <is>
          <t>서울시 강동구 길동 241-5</t>
        </is>
      </c>
      <c r="AB515" s="0" t="inlineStr">
        <is>
          <t>서울시</t>
        </is>
      </c>
      <c r="AC515" s="0" t="inlineStr">
        <is>
          <t>강동구</t>
        </is>
      </c>
      <c r="AD515" s="0" t="inlineStr">
        <is>
          <t>길동</t>
        </is>
      </c>
      <c r="AG515" s="0" t="inlineStr">
        <is>
          <t>서울시 강동구 진황도로49길 5</t>
        </is>
      </c>
      <c r="AH515" s="0" t="n">
        <v>0</v>
      </c>
      <c r="AI515" s="0" t="n">
        <v>275</v>
      </c>
      <c r="AJ515" s="0" t="n">
        <v>48</v>
      </c>
      <c r="AK515" s="0" t="n">
        <v>21</v>
      </c>
      <c r="AL515" s="0" t="n">
        <v>1.11</v>
      </c>
    </row>
    <row r="516">
      <c r="A516" s="0" t="inlineStr">
        <is>
          <t>[길동]</t>
        </is>
      </c>
      <c r="B516" s="0" t="n">
        <v>10756</v>
      </c>
      <c r="C516" s="0" t="n">
        <v>3</v>
      </c>
      <c r="D516" s="0" t="inlineStr">
        <is>
          <t>삼유스위트빌</t>
        </is>
      </c>
      <c r="E516" s="0" t="inlineStr">
        <is>
          <t>2002.10.</t>
        </is>
      </c>
      <c r="F516" s="0" t="n">
        <v>19</v>
      </c>
      <c r="G516" s="0" t="n">
        <v>28.1</v>
      </c>
      <c r="H516" s="0" t="n">
        <v>92.90000000000001</v>
      </c>
      <c r="I516" s="0" t="n">
        <v>25.05</v>
      </c>
      <c r="J516" s="0" t="n">
        <v>82.81999999999999</v>
      </c>
      <c r="K516" s="0" t="n">
        <v>10</v>
      </c>
      <c r="T516" s="0" t="n">
        <v>3</v>
      </c>
      <c r="U516" s="0" t="n">
        <v>2</v>
      </c>
      <c r="V516" s="0" t="inlineStr">
        <is>
          <t>계단식</t>
        </is>
      </c>
      <c r="W516" s="0" t="inlineStr">
        <is>
          <t>92A</t>
        </is>
      </c>
      <c r="X516" s="0" t="n">
        <v>7</v>
      </c>
      <c r="Y516" s="0" t="n">
        <v>6</v>
      </c>
      <c r="Z516" s="0" t="inlineStr">
        <is>
          <t>https://new.land.naver.com/complexes/10756?tab=detail&amp;rf=Y</t>
        </is>
      </c>
      <c r="AA516" s="0" t="inlineStr">
        <is>
          <t>서울시 강동구 길동 241-5</t>
        </is>
      </c>
      <c r="AB516" s="0" t="inlineStr">
        <is>
          <t>서울시</t>
        </is>
      </c>
      <c r="AC516" s="0" t="inlineStr">
        <is>
          <t>강동구</t>
        </is>
      </c>
      <c r="AD516" s="0" t="inlineStr">
        <is>
          <t>길동</t>
        </is>
      </c>
      <c r="AG516" s="0" t="inlineStr">
        <is>
          <t>서울시 강동구 진황도로49길 5</t>
        </is>
      </c>
      <c r="AH516" s="0" t="n">
        <v>0</v>
      </c>
      <c r="AI516" s="0" t="n">
        <v>275</v>
      </c>
      <c r="AJ516" s="0" t="n">
        <v>48</v>
      </c>
      <c r="AK516" s="0" t="n">
        <v>21</v>
      </c>
      <c r="AL516" s="0" t="n">
        <v>1.11</v>
      </c>
    </row>
    <row r="517">
      <c r="A517" s="0" t="inlineStr">
        <is>
          <t>[길동]</t>
        </is>
      </c>
      <c r="B517" s="0" t="n">
        <v>10756</v>
      </c>
      <c r="C517" s="0" t="n">
        <v>4</v>
      </c>
      <c r="D517" s="0" t="inlineStr">
        <is>
          <t>삼유스위트빌</t>
        </is>
      </c>
      <c r="E517" s="0" t="inlineStr">
        <is>
          <t>2002.10.</t>
        </is>
      </c>
      <c r="F517" s="0" t="n">
        <v>19</v>
      </c>
      <c r="G517" s="0" t="n">
        <v>28.38</v>
      </c>
      <c r="H517" s="0" t="n">
        <v>93.84999999999999</v>
      </c>
      <c r="I517" s="0" t="n">
        <v>25.3</v>
      </c>
      <c r="J517" s="0" t="n">
        <v>83.66</v>
      </c>
      <c r="K517" s="0" t="n">
        <v>6</v>
      </c>
      <c r="T517" s="0" t="n">
        <v>3</v>
      </c>
      <c r="U517" s="0" t="n">
        <v>2</v>
      </c>
      <c r="V517" s="0" t="inlineStr">
        <is>
          <t>계단식</t>
        </is>
      </c>
      <c r="W517" s="0" t="inlineStr">
        <is>
          <t>93B</t>
        </is>
      </c>
      <c r="X517" s="0" t="n">
        <v>7</v>
      </c>
      <c r="Y517" s="0" t="n">
        <v>6</v>
      </c>
      <c r="Z517" s="0" t="inlineStr">
        <is>
          <t>https://new.land.naver.com/complexes/10756?tab=detail&amp;rf=Y</t>
        </is>
      </c>
      <c r="AA517" s="0" t="inlineStr">
        <is>
          <t>서울시 강동구 길동 241-5</t>
        </is>
      </c>
      <c r="AB517" s="0" t="inlineStr">
        <is>
          <t>서울시</t>
        </is>
      </c>
      <c r="AC517" s="0" t="inlineStr">
        <is>
          <t>강동구</t>
        </is>
      </c>
      <c r="AD517" s="0" t="inlineStr">
        <is>
          <t>길동</t>
        </is>
      </c>
      <c r="AG517" s="0" t="inlineStr">
        <is>
          <t>서울시 강동구 진황도로49길 5</t>
        </is>
      </c>
      <c r="AH517" s="0" t="n">
        <v>0</v>
      </c>
      <c r="AI517" s="0" t="n">
        <v>275</v>
      </c>
      <c r="AJ517" s="0" t="n">
        <v>48</v>
      </c>
      <c r="AK517" s="0" t="n">
        <v>21</v>
      </c>
      <c r="AL517" s="0" t="n">
        <v>1.11</v>
      </c>
    </row>
    <row r="518">
      <c r="A518" s="0" t="inlineStr">
        <is>
          <t>[길동]</t>
        </is>
      </c>
      <c r="B518" s="0" t="n">
        <v>10756</v>
      </c>
      <c r="C518" s="0" t="n">
        <v>5</v>
      </c>
      <c r="D518" s="0" t="inlineStr">
        <is>
          <t>삼유스위트빌</t>
        </is>
      </c>
      <c r="E518" s="0" t="inlineStr">
        <is>
          <t>2002.10.</t>
        </is>
      </c>
      <c r="F518" s="0" t="n">
        <v>19</v>
      </c>
      <c r="G518" s="0" t="n">
        <v>38.15</v>
      </c>
      <c r="H518" s="0" t="n">
        <v>126.14</v>
      </c>
      <c r="I518" s="0" t="n">
        <v>34.01</v>
      </c>
      <c r="J518" s="0" t="n">
        <v>112.45</v>
      </c>
      <c r="K518" s="0" t="n">
        <v>1</v>
      </c>
      <c r="T518" s="0" t="n">
        <v>3</v>
      </c>
      <c r="U518" s="0" t="n">
        <v>2</v>
      </c>
      <c r="V518" s="0" t="inlineStr">
        <is>
          <t>계단식</t>
        </is>
      </c>
      <c r="W518" s="0" t="n">
        <v>126</v>
      </c>
      <c r="X518" s="0" t="n">
        <v>7</v>
      </c>
      <c r="Y518" s="0" t="n">
        <v>6</v>
      </c>
      <c r="Z518" s="0" t="inlineStr">
        <is>
          <t>https://new.land.naver.com/complexes/10756?tab=detail&amp;rf=Y</t>
        </is>
      </c>
      <c r="AA518" s="0" t="inlineStr">
        <is>
          <t>서울시 강동구 길동 241-5</t>
        </is>
      </c>
      <c r="AB518" s="0" t="inlineStr">
        <is>
          <t>서울시</t>
        </is>
      </c>
      <c r="AC518" s="0" t="inlineStr">
        <is>
          <t>강동구</t>
        </is>
      </c>
      <c r="AD518" s="0" t="inlineStr">
        <is>
          <t>길동</t>
        </is>
      </c>
      <c r="AG518" s="0" t="inlineStr">
        <is>
          <t>서울시 강동구 진황도로49길 5</t>
        </is>
      </c>
      <c r="AH518" s="0" t="n">
        <v>0</v>
      </c>
      <c r="AI518" s="0" t="n">
        <v>275</v>
      </c>
      <c r="AJ518" s="0" t="n">
        <v>48</v>
      </c>
      <c r="AK518" s="0" t="n">
        <v>21</v>
      </c>
      <c r="AL518" s="0" t="n">
        <v>1.11</v>
      </c>
    </row>
    <row r="519">
      <c r="A519" s="0" t="inlineStr">
        <is>
          <t>[길동]</t>
        </is>
      </c>
      <c r="B519" s="0" t="n">
        <v>137251</v>
      </c>
      <c r="C519" s="0" t="n">
        <v>1</v>
      </c>
      <c r="D519" s="0" t="inlineStr">
        <is>
          <t>라온</t>
        </is>
      </c>
      <c r="E519" s="0" t="inlineStr">
        <is>
          <t>2020.10.</t>
        </is>
      </c>
      <c r="F519" s="0" t="n">
        <v>19</v>
      </c>
      <c r="G519" s="0" t="n">
        <v>6.12</v>
      </c>
      <c r="H519" s="0" t="n">
        <v>20.24</v>
      </c>
      <c r="I519" s="0" t="n">
        <v>4.26</v>
      </c>
      <c r="J519" s="0" t="n">
        <v>14.11</v>
      </c>
      <c r="K519" s="0" t="n">
        <v>8</v>
      </c>
      <c r="T519" s="0" t="n">
        <v>1</v>
      </c>
      <c r="U519" s="0" t="n">
        <v>1</v>
      </c>
      <c r="V519" s="0" t="inlineStr">
        <is>
          <t>계단식</t>
        </is>
      </c>
      <c r="W519" s="0" t="inlineStr">
        <is>
          <t>20B</t>
        </is>
      </c>
      <c r="X519" s="0" t="n">
        <v>8</v>
      </c>
      <c r="Y519" s="0" t="n">
        <v>7</v>
      </c>
      <c r="Z519" s="0" t="inlineStr">
        <is>
          <t>https://new.land.naver.com/complexes/137251?tab=detail&amp;rf=Y</t>
        </is>
      </c>
      <c r="AA519" s="0" t="inlineStr">
        <is>
          <t>서울시 강동구 길동 347-30</t>
        </is>
      </c>
      <c r="AB519" s="0" t="inlineStr">
        <is>
          <t>서울시</t>
        </is>
      </c>
      <c r="AC519" s="0" t="inlineStr">
        <is>
          <t>강동구</t>
        </is>
      </c>
      <c r="AD519" s="0" t="inlineStr">
        <is>
          <t>길동</t>
        </is>
      </c>
      <c r="AG519" s="0" t="inlineStr">
        <is>
          <t>서울시 강동구 천중로 199</t>
        </is>
      </c>
      <c r="AH519" s="0" t="n">
        <v>0</v>
      </c>
      <c r="AI519" s="0" t="n">
        <v>249</v>
      </c>
      <c r="AJ519" s="0" t="n">
        <v>49</v>
      </c>
      <c r="AK519" s="0" t="n">
        <v>11</v>
      </c>
      <c r="AL519" s="0" t="n">
        <v>0.58</v>
      </c>
    </row>
    <row r="520">
      <c r="A520" s="0" t="inlineStr">
        <is>
          <t>[길동]</t>
        </is>
      </c>
      <c r="B520" s="0" t="n">
        <v>137251</v>
      </c>
      <c r="C520" s="0" t="n">
        <v>2</v>
      </c>
      <c r="D520" s="0" t="inlineStr">
        <is>
          <t>라온</t>
        </is>
      </c>
      <c r="E520" s="0" t="inlineStr">
        <is>
          <t>2020.10.</t>
        </is>
      </c>
      <c r="F520" s="0" t="n">
        <v>19</v>
      </c>
      <c r="G520" s="0" t="n">
        <v>6.08</v>
      </c>
      <c r="H520" s="0" t="n">
        <v>20.11</v>
      </c>
      <c r="I520" s="0" t="n">
        <v>4.24</v>
      </c>
      <c r="J520" s="0" t="n">
        <v>14.02</v>
      </c>
      <c r="K520" s="0" t="n">
        <v>3</v>
      </c>
      <c r="T520" s="0" t="n">
        <v>1</v>
      </c>
      <c r="U520" s="0" t="n">
        <v>1</v>
      </c>
      <c r="V520" s="0" t="inlineStr">
        <is>
          <t>계단식</t>
        </is>
      </c>
      <c r="W520" s="0" t="inlineStr">
        <is>
          <t>20A</t>
        </is>
      </c>
      <c r="X520" s="0" t="n">
        <v>8</v>
      </c>
      <c r="Y520" s="0" t="n">
        <v>7</v>
      </c>
      <c r="Z520" s="0" t="inlineStr">
        <is>
          <t>https://new.land.naver.com/complexes/137251?tab=detail&amp;rf=Y</t>
        </is>
      </c>
      <c r="AA520" s="0" t="inlineStr">
        <is>
          <t>서울시 강동구 길동 347-30</t>
        </is>
      </c>
      <c r="AB520" s="0" t="inlineStr">
        <is>
          <t>서울시</t>
        </is>
      </c>
      <c r="AC520" s="0" t="inlineStr">
        <is>
          <t>강동구</t>
        </is>
      </c>
      <c r="AD520" s="0" t="inlineStr">
        <is>
          <t>길동</t>
        </is>
      </c>
      <c r="AG520" s="0" t="inlineStr">
        <is>
          <t>서울시 강동구 천중로 199</t>
        </is>
      </c>
      <c r="AH520" s="0" t="n">
        <v>0</v>
      </c>
      <c r="AI520" s="0" t="n">
        <v>249</v>
      </c>
      <c r="AJ520" s="0" t="n">
        <v>49</v>
      </c>
      <c r="AK520" s="0" t="n">
        <v>11</v>
      </c>
      <c r="AL520" s="0" t="n">
        <v>0.58</v>
      </c>
    </row>
    <row r="521">
      <c r="A521" s="0" t="inlineStr">
        <is>
          <t>[길동]</t>
        </is>
      </c>
      <c r="B521" s="0" t="n">
        <v>137251</v>
      </c>
      <c r="C521" s="0" t="n">
        <v>3</v>
      </c>
      <c r="D521" s="0" t="inlineStr">
        <is>
          <t>라온</t>
        </is>
      </c>
      <c r="E521" s="0" t="inlineStr">
        <is>
          <t>2020.10.</t>
        </is>
      </c>
      <c r="F521" s="0" t="n">
        <v>19</v>
      </c>
      <c r="G521" s="0" t="n">
        <v>6.27</v>
      </c>
      <c r="H521" s="0" t="n">
        <v>20.73</v>
      </c>
      <c r="I521" s="0" t="n">
        <v>4.37</v>
      </c>
      <c r="J521" s="0" t="n">
        <v>14.45</v>
      </c>
      <c r="K521" s="0" t="n">
        <v>3</v>
      </c>
      <c r="T521" s="0" t="n">
        <v>1</v>
      </c>
      <c r="U521" s="0" t="n">
        <v>1</v>
      </c>
      <c r="V521" s="0" t="inlineStr">
        <is>
          <t>계단식</t>
        </is>
      </c>
      <c r="W521" s="0" t="inlineStr">
        <is>
          <t>20C</t>
        </is>
      </c>
      <c r="X521" s="0" t="n">
        <v>8</v>
      </c>
      <c r="Y521" s="0" t="n">
        <v>7</v>
      </c>
      <c r="Z521" s="0" t="inlineStr">
        <is>
          <t>https://new.land.naver.com/complexes/137251?tab=detail&amp;rf=Y</t>
        </is>
      </c>
      <c r="AA521" s="0" t="inlineStr">
        <is>
          <t>서울시 강동구 길동 347-30</t>
        </is>
      </c>
      <c r="AB521" s="0" t="inlineStr">
        <is>
          <t>서울시</t>
        </is>
      </c>
      <c r="AC521" s="0" t="inlineStr">
        <is>
          <t>강동구</t>
        </is>
      </c>
      <c r="AD521" s="0" t="inlineStr">
        <is>
          <t>길동</t>
        </is>
      </c>
      <c r="AG521" s="0" t="inlineStr">
        <is>
          <t>서울시 강동구 천중로 199</t>
        </is>
      </c>
      <c r="AH521" s="0" t="n">
        <v>0</v>
      </c>
      <c r="AI521" s="0" t="n">
        <v>249</v>
      </c>
      <c r="AJ521" s="0" t="n">
        <v>49</v>
      </c>
      <c r="AK521" s="0" t="n">
        <v>11</v>
      </c>
      <c r="AL521" s="0" t="n">
        <v>0.58</v>
      </c>
    </row>
    <row r="522">
      <c r="A522" s="0" t="inlineStr">
        <is>
          <t>[길동]</t>
        </is>
      </c>
      <c r="B522" s="0" t="n">
        <v>137251</v>
      </c>
      <c r="C522" s="0" t="n">
        <v>4</v>
      </c>
      <c r="D522" s="0" t="inlineStr">
        <is>
          <t>라온</t>
        </is>
      </c>
      <c r="E522" s="0" t="inlineStr">
        <is>
          <t>2020.10.</t>
        </is>
      </c>
      <c r="F522" s="0" t="n">
        <v>19</v>
      </c>
      <c r="G522" s="0" t="n">
        <v>6.32</v>
      </c>
      <c r="H522" s="0" t="n">
        <v>20.9</v>
      </c>
      <c r="I522" s="0" t="n">
        <v>4.4</v>
      </c>
      <c r="J522" s="0" t="n">
        <v>14.57</v>
      </c>
      <c r="K522" s="0" t="n">
        <v>3</v>
      </c>
      <c r="T522" s="0" t="n">
        <v>1</v>
      </c>
      <c r="U522" s="0" t="n">
        <v>1</v>
      </c>
      <c r="V522" s="0" t="inlineStr">
        <is>
          <t>계단식</t>
        </is>
      </c>
      <c r="W522" s="0" t="inlineStr">
        <is>
          <t>20D</t>
        </is>
      </c>
      <c r="X522" s="0" t="n">
        <v>8</v>
      </c>
      <c r="Y522" s="0" t="n">
        <v>7</v>
      </c>
      <c r="Z522" s="0" t="inlineStr">
        <is>
          <t>https://new.land.naver.com/complexes/137251?tab=detail&amp;rf=Y</t>
        </is>
      </c>
      <c r="AA522" s="0" t="inlineStr">
        <is>
          <t>서울시 강동구 길동 347-30</t>
        </is>
      </c>
      <c r="AB522" s="0" t="inlineStr">
        <is>
          <t>서울시</t>
        </is>
      </c>
      <c r="AC522" s="0" t="inlineStr">
        <is>
          <t>강동구</t>
        </is>
      </c>
      <c r="AD522" s="0" t="inlineStr">
        <is>
          <t>길동</t>
        </is>
      </c>
      <c r="AG522" s="0" t="inlineStr">
        <is>
          <t>서울시 강동구 천중로 199</t>
        </is>
      </c>
      <c r="AH522" s="0" t="n">
        <v>0</v>
      </c>
      <c r="AI522" s="0" t="n">
        <v>249</v>
      </c>
      <c r="AJ522" s="0" t="n">
        <v>49</v>
      </c>
      <c r="AK522" s="0" t="n">
        <v>11</v>
      </c>
      <c r="AL522" s="0" t="n">
        <v>0.58</v>
      </c>
    </row>
    <row r="523">
      <c r="A523" s="0" t="inlineStr">
        <is>
          <t>[길동]</t>
        </is>
      </c>
      <c r="B523" s="0" t="n">
        <v>137251</v>
      </c>
      <c r="C523" s="0" t="n">
        <v>5</v>
      </c>
      <c r="D523" s="0" t="inlineStr">
        <is>
          <t>라온</t>
        </is>
      </c>
      <c r="E523" s="0" t="inlineStr">
        <is>
          <t>2020.10.</t>
        </is>
      </c>
      <c r="F523" s="0" t="n">
        <v>19</v>
      </c>
      <c r="G523" s="0" t="n">
        <v>6.88</v>
      </c>
      <c r="H523" s="0" t="n">
        <v>22.77</v>
      </c>
      <c r="I523" s="0" t="n">
        <v>4.77</v>
      </c>
      <c r="J523" s="0" t="n">
        <v>15.78</v>
      </c>
      <c r="K523" s="0" t="n">
        <v>1</v>
      </c>
      <c r="T523" s="0" t="n">
        <v>1</v>
      </c>
      <c r="U523" s="0" t="n">
        <v>1</v>
      </c>
      <c r="V523" s="0" t="inlineStr">
        <is>
          <t>계단식</t>
        </is>
      </c>
      <c r="W523" s="0" t="inlineStr">
        <is>
          <t>22A</t>
        </is>
      </c>
      <c r="X523" s="0" t="n">
        <v>8</v>
      </c>
      <c r="Y523" s="0" t="n">
        <v>7</v>
      </c>
      <c r="Z523" s="0" t="inlineStr">
        <is>
          <t>https://new.land.naver.com/complexes/137251?tab=detail&amp;rf=Y</t>
        </is>
      </c>
      <c r="AA523" s="0" t="inlineStr">
        <is>
          <t>서울시 강동구 길동 347-30</t>
        </is>
      </c>
      <c r="AB523" s="0" t="inlineStr">
        <is>
          <t>서울시</t>
        </is>
      </c>
      <c r="AC523" s="0" t="inlineStr">
        <is>
          <t>강동구</t>
        </is>
      </c>
      <c r="AD523" s="0" t="inlineStr">
        <is>
          <t>길동</t>
        </is>
      </c>
      <c r="AG523" s="0" t="inlineStr">
        <is>
          <t>서울시 강동구 천중로 199</t>
        </is>
      </c>
      <c r="AH523" s="0" t="n">
        <v>0</v>
      </c>
      <c r="AI523" s="0" t="n">
        <v>249</v>
      </c>
      <c r="AJ523" s="0" t="n">
        <v>49</v>
      </c>
      <c r="AK523" s="0" t="n">
        <v>11</v>
      </c>
      <c r="AL523" s="0" t="n">
        <v>0.58</v>
      </c>
    </row>
    <row r="524">
      <c r="A524" s="0" t="inlineStr">
        <is>
          <t>[길동]</t>
        </is>
      </c>
      <c r="B524" s="0" t="n">
        <v>137251</v>
      </c>
      <c r="C524" s="0" t="n">
        <v>6</v>
      </c>
      <c r="D524" s="0" t="inlineStr">
        <is>
          <t>라온</t>
        </is>
      </c>
      <c r="E524" s="0" t="inlineStr">
        <is>
          <t>2020.10.</t>
        </is>
      </c>
      <c r="F524" s="0" t="n">
        <v>19</v>
      </c>
      <c r="G524" s="0" t="n">
        <v>7.48</v>
      </c>
      <c r="H524" s="0" t="n">
        <v>24.74</v>
      </c>
      <c r="I524" s="0" t="n">
        <v>5.18</v>
      </c>
      <c r="J524" s="0" t="n">
        <v>17.15</v>
      </c>
      <c r="K524" s="0" t="n">
        <v>1</v>
      </c>
      <c r="T524" s="0" t="n">
        <v>1</v>
      </c>
      <c r="U524" s="0" t="n">
        <v>1</v>
      </c>
      <c r="V524" s="0" t="inlineStr">
        <is>
          <t>계단식</t>
        </is>
      </c>
      <c r="W524" s="0" t="inlineStr">
        <is>
          <t>24B</t>
        </is>
      </c>
      <c r="X524" s="0" t="n">
        <v>8</v>
      </c>
      <c r="Y524" s="0" t="n">
        <v>7</v>
      </c>
      <c r="Z524" s="0" t="inlineStr">
        <is>
          <t>https://new.land.naver.com/complexes/137251?tab=detail&amp;rf=Y</t>
        </is>
      </c>
      <c r="AA524" s="0" t="inlineStr">
        <is>
          <t>서울시 강동구 길동 347-30</t>
        </is>
      </c>
      <c r="AB524" s="0" t="inlineStr">
        <is>
          <t>서울시</t>
        </is>
      </c>
      <c r="AC524" s="0" t="inlineStr">
        <is>
          <t>강동구</t>
        </is>
      </c>
      <c r="AD524" s="0" t="inlineStr">
        <is>
          <t>길동</t>
        </is>
      </c>
      <c r="AG524" s="0" t="inlineStr">
        <is>
          <t>서울시 강동구 천중로 199</t>
        </is>
      </c>
      <c r="AH524" s="0" t="n">
        <v>0</v>
      </c>
      <c r="AI524" s="0" t="n">
        <v>249</v>
      </c>
      <c r="AJ524" s="0" t="n">
        <v>49</v>
      </c>
      <c r="AK524" s="0" t="n">
        <v>11</v>
      </c>
      <c r="AL524" s="0" t="n">
        <v>0.58</v>
      </c>
    </row>
    <row r="525">
      <c r="A525" s="0" t="inlineStr">
        <is>
          <t>[길동]</t>
        </is>
      </c>
      <c r="B525" s="0" t="n">
        <v>18368</v>
      </c>
      <c r="C525" s="0" t="n">
        <v>1</v>
      </c>
      <c r="D525" s="0" t="inlineStr">
        <is>
          <t>예다움</t>
        </is>
      </c>
      <c r="E525" s="0" t="inlineStr">
        <is>
          <t>2004.07.</t>
        </is>
      </c>
      <c r="F525" s="0" t="n">
        <v>38</v>
      </c>
      <c r="G525" s="0" t="n">
        <v>22.86</v>
      </c>
      <c r="H525" s="0" t="n">
        <v>75.58</v>
      </c>
      <c r="I525" s="0" t="n">
        <v>18.01</v>
      </c>
      <c r="J525" s="0" t="n">
        <v>59.57</v>
      </c>
      <c r="K525" s="0" t="n">
        <v>1</v>
      </c>
      <c r="T525" s="0" t="n">
        <v>3</v>
      </c>
      <c r="U525" s="0" t="n">
        <v>1</v>
      </c>
      <c r="V525" s="0" t="inlineStr">
        <is>
          <t>계단식</t>
        </is>
      </c>
      <c r="W525" s="0" t="n">
        <v>75</v>
      </c>
      <c r="X525" s="0" t="n">
        <v>10</v>
      </c>
      <c r="Y525" s="0" t="n">
        <v>9</v>
      </c>
      <c r="Z525" s="0" t="inlineStr">
        <is>
          <t>https://new.land.naver.com/complexes/18368?tab=detail&amp;rf=Y</t>
        </is>
      </c>
      <c r="AA525" s="0" t="inlineStr">
        <is>
          <t>서울시 강동구 길동 347-27</t>
        </is>
      </c>
      <c r="AB525" s="0" t="inlineStr">
        <is>
          <t>서울시</t>
        </is>
      </c>
      <c r="AC525" s="0" t="inlineStr">
        <is>
          <t>강동구</t>
        </is>
      </c>
      <c r="AD525" s="0" t="inlineStr">
        <is>
          <t>길동</t>
        </is>
      </c>
      <c r="AG525" s="0" t="inlineStr">
        <is>
          <t>서울시 강동구 천중로49길 11</t>
        </is>
      </c>
      <c r="AH525" s="0" t="n">
        <v>0</v>
      </c>
      <c r="AI525" s="0" t="n">
        <v>0</v>
      </c>
      <c r="AJ525" s="0" t="n">
        <v>28</v>
      </c>
      <c r="AK525" s="0" t="n">
        <v>40</v>
      </c>
      <c r="AL525" s="0" t="n">
        <v>1.05</v>
      </c>
    </row>
    <row r="526">
      <c r="A526" s="0" t="inlineStr">
        <is>
          <t>[길동]</t>
        </is>
      </c>
      <c r="B526" s="0" t="n">
        <v>18368</v>
      </c>
      <c r="C526" s="0" t="n">
        <v>2</v>
      </c>
      <c r="D526" s="0" t="inlineStr">
        <is>
          <t>예다움</t>
        </is>
      </c>
      <c r="E526" s="0" t="inlineStr">
        <is>
          <t>2004.07.</t>
        </is>
      </c>
      <c r="F526" s="0" t="n">
        <v>38</v>
      </c>
      <c r="G526" s="0" t="n">
        <v>25.15</v>
      </c>
      <c r="H526" s="0" t="n">
        <v>83.17</v>
      </c>
      <c r="I526" s="0" t="n">
        <v>19.92</v>
      </c>
      <c r="J526" s="0" t="n">
        <v>65.87</v>
      </c>
      <c r="K526" s="0" t="n">
        <v>1</v>
      </c>
      <c r="T526" s="0" t="n">
        <v>3</v>
      </c>
      <c r="U526" s="0" t="n">
        <v>1</v>
      </c>
      <c r="V526" s="0" t="inlineStr">
        <is>
          <t>계단식</t>
        </is>
      </c>
      <c r="W526" s="0" t="n">
        <v>83</v>
      </c>
      <c r="X526" s="0" t="n">
        <v>10</v>
      </c>
      <c r="Y526" s="0" t="n">
        <v>9</v>
      </c>
      <c r="Z526" s="0" t="inlineStr">
        <is>
          <t>https://new.land.naver.com/complexes/18368?tab=detail&amp;rf=Y</t>
        </is>
      </c>
      <c r="AA526" s="0" t="inlineStr">
        <is>
          <t>서울시 강동구 길동 347-27</t>
        </is>
      </c>
      <c r="AB526" s="0" t="inlineStr">
        <is>
          <t>서울시</t>
        </is>
      </c>
      <c r="AC526" s="0" t="inlineStr">
        <is>
          <t>강동구</t>
        </is>
      </c>
      <c r="AD526" s="0" t="inlineStr">
        <is>
          <t>길동</t>
        </is>
      </c>
      <c r="AG526" s="0" t="inlineStr">
        <is>
          <t>서울시 강동구 천중로49길 11</t>
        </is>
      </c>
      <c r="AH526" s="0" t="n">
        <v>0</v>
      </c>
      <c r="AI526" s="0" t="n">
        <v>0</v>
      </c>
      <c r="AJ526" s="0" t="n">
        <v>28</v>
      </c>
      <c r="AK526" s="0" t="n">
        <v>40</v>
      </c>
      <c r="AL526" s="0" t="n">
        <v>1.05</v>
      </c>
    </row>
    <row r="527">
      <c r="A527" s="0" t="inlineStr">
        <is>
          <t>[길동]</t>
        </is>
      </c>
      <c r="B527" s="0" t="n">
        <v>18368</v>
      </c>
      <c r="C527" s="0" t="n">
        <v>3</v>
      </c>
      <c r="D527" s="0" t="inlineStr">
        <is>
          <t>예다움</t>
        </is>
      </c>
      <c r="E527" s="0" t="inlineStr">
        <is>
          <t>2004.07.</t>
        </is>
      </c>
      <c r="F527" s="0" t="n">
        <v>38</v>
      </c>
      <c r="G527" s="0" t="n">
        <v>25.88</v>
      </c>
      <c r="H527" s="0" t="n">
        <v>85.58</v>
      </c>
      <c r="I527" s="0" t="n">
        <v>20.5</v>
      </c>
      <c r="J527" s="0" t="n">
        <v>67.77</v>
      </c>
      <c r="K527" s="0" t="n">
        <v>1</v>
      </c>
      <c r="T527" s="0" t="n">
        <v>3</v>
      </c>
      <c r="U527" s="0" t="n">
        <v>2</v>
      </c>
      <c r="V527" s="0" t="inlineStr">
        <is>
          <t>계단식</t>
        </is>
      </c>
      <c r="W527" s="0" t="inlineStr">
        <is>
          <t>85A</t>
        </is>
      </c>
      <c r="X527" s="0" t="n">
        <v>10</v>
      </c>
      <c r="Y527" s="0" t="n">
        <v>9</v>
      </c>
      <c r="Z527" s="0" t="inlineStr">
        <is>
          <t>https://new.land.naver.com/complexes/18368?tab=detail&amp;rf=Y</t>
        </is>
      </c>
      <c r="AA527" s="0" t="inlineStr">
        <is>
          <t>서울시 강동구 길동 347-27</t>
        </is>
      </c>
      <c r="AB527" s="0" t="inlineStr">
        <is>
          <t>서울시</t>
        </is>
      </c>
      <c r="AC527" s="0" t="inlineStr">
        <is>
          <t>강동구</t>
        </is>
      </c>
      <c r="AD527" s="0" t="inlineStr">
        <is>
          <t>길동</t>
        </is>
      </c>
      <c r="AG527" s="0" t="inlineStr">
        <is>
          <t>서울시 강동구 천중로49길 11</t>
        </is>
      </c>
      <c r="AH527" s="0" t="n">
        <v>0</v>
      </c>
      <c r="AI527" s="0" t="n">
        <v>0</v>
      </c>
      <c r="AJ527" s="0" t="n">
        <v>28</v>
      </c>
      <c r="AK527" s="0" t="n">
        <v>40</v>
      </c>
      <c r="AL527" s="0" t="n">
        <v>1.05</v>
      </c>
    </row>
    <row r="528">
      <c r="A528" s="0" t="inlineStr">
        <is>
          <t>[길동]</t>
        </is>
      </c>
      <c r="B528" s="0" t="n">
        <v>18368</v>
      </c>
      <c r="C528" s="0" t="n">
        <v>4</v>
      </c>
      <c r="D528" s="0" t="inlineStr">
        <is>
          <t>예다움</t>
        </is>
      </c>
      <c r="E528" s="0" t="inlineStr">
        <is>
          <t>2004.07.</t>
        </is>
      </c>
      <c r="F528" s="0" t="n">
        <v>38</v>
      </c>
      <c r="G528" s="0" t="n">
        <v>26.14</v>
      </c>
      <c r="H528" s="0" t="n">
        <v>86.43000000000001</v>
      </c>
      <c r="I528" s="0" t="n">
        <v>20.63</v>
      </c>
      <c r="J528" s="0" t="n">
        <v>68.20999999999999</v>
      </c>
      <c r="K528" s="0" t="n">
        <v>1</v>
      </c>
      <c r="T528" s="0" t="n">
        <v>3</v>
      </c>
      <c r="U528" s="0" t="n">
        <v>2</v>
      </c>
      <c r="V528" s="0" t="inlineStr">
        <is>
          <t>계단식</t>
        </is>
      </c>
      <c r="W528" s="0" t="inlineStr">
        <is>
          <t>86B</t>
        </is>
      </c>
      <c r="X528" s="0" t="n">
        <v>10</v>
      </c>
      <c r="Y528" s="0" t="n">
        <v>9</v>
      </c>
      <c r="Z528" s="0" t="inlineStr">
        <is>
          <t>https://new.land.naver.com/complexes/18368?tab=detail&amp;rf=Y</t>
        </is>
      </c>
      <c r="AA528" s="0" t="inlineStr">
        <is>
          <t>서울시 강동구 길동 347-27</t>
        </is>
      </c>
      <c r="AB528" s="0" t="inlineStr">
        <is>
          <t>서울시</t>
        </is>
      </c>
      <c r="AC528" s="0" t="inlineStr">
        <is>
          <t>강동구</t>
        </is>
      </c>
      <c r="AD528" s="0" t="inlineStr">
        <is>
          <t>길동</t>
        </is>
      </c>
      <c r="AG528" s="0" t="inlineStr">
        <is>
          <t>서울시 강동구 천중로49길 11</t>
        </is>
      </c>
      <c r="AH528" s="0" t="n">
        <v>0</v>
      </c>
      <c r="AI528" s="0" t="n">
        <v>0</v>
      </c>
      <c r="AJ528" s="0" t="n">
        <v>28</v>
      </c>
      <c r="AK528" s="0" t="n">
        <v>40</v>
      </c>
      <c r="AL528" s="0" t="n">
        <v>1.05</v>
      </c>
    </row>
    <row r="529">
      <c r="A529" s="0" t="inlineStr">
        <is>
          <t>[길동]</t>
        </is>
      </c>
      <c r="B529" s="0" t="n">
        <v>18368</v>
      </c>
      <c r="C529" s="0" t="n">
        <v>5</v>
      </c>
      <c r="D529" s="0" t="inlineStr">
        <is>
          <t>예다움</t>
        </is>
      </c>
      <c r="E529" s="0" t="inlineStr">
        <is>
          <t>2004.07.</t>
        </is>
      </c>
      <c r="F529" s="0" t="n">
        <v>38</v>
      </c>
      <c r="G529" s="0" t="n">
        <v>27.5</v>
      </c>
      <c r="H529" s="0" t="n">
        <v>90.94</v>
      </c>
      <c r="I529" s="0" t="n">
        <v>21.79</v>
      </c>
      <c r="J529" s="0" t="n">
        <v>72.05</v>
      </c>
      <c r="K529" s="0" t="n">
        <v>8</v>
      </c>
      <c r="T529" s="0" t="n">
        <v>3</v>
      </c>
      <c r="U529" s="0" t="n">
        <v>2</v>
      </c>
      <c r="V529" s="0" t="inlineStr">
        <is>
          <t>계단식</t>
        </is>
      </c>
      <c r="W529" s="0" t="n">
        <v>90</v>
      </c>
      <c r="X529" s="0" t="n">
        <v>10</v>
      </c>
      <c r="Y529" s="0" t="n">
        <v>9</v>
      </c>
      <c r="Z529" s="0" t="inlineStr">
        <is>
          <t>https://new.land.naver.com/complexes/18368?tab=detail&amp;rf=Y</t>
        </is>
      </c>
      <c r="AA529" s="0" t="inlineStr">
        <is>
          <t>서울시 강동구 길동 347-27</t>
        </is>
      </c>
      <c r="AB529" s="0" t="inlineStr">
        <is>
          <t>서울시</t>
        </is>
      </c>
      <c r="AC529" s="0" t="inlineStr">
        <is>
          <t>강동구</t>
        </is>
      </c>
      <c r="AD529" s="0" t="inlineStr">
        <is>
          <t>길동</t>
        </is>
      </c>
      <c r="AG529" s="0" t="inlineStr">
        <is>
          <t>서울시 강동구 천중로49길 11</t>
        </is>
      </c>
      <c r="AH529" s="0" t="n">
        <v>0</v>
      </c>
      <c r="AI529" s="0" t="n">
        <v>0</v>
      </c>
      <c r="AJ529" s="0" t="n">
        <v>28</v>
      </c>
      <c r="AK529" s="0" t="n">
        <v>40</v>
      </c>
      <c r="AL529" s="0" t="n">
        <v>1.05</v>
      </c>
    </row>
    <row r="530">
      <c r="A530" s="0" t="inlineStr">
        <is>
          <t>[길동]</t>
        </is>
      </c>
      <c r="B530" s="0" t="n">
        <v>18368</v>
      </c>
      <c r="C530" s="0" t="n">
        <v>6</v>
      </c>
      <c r="D530" s="0" t="inlineStr">
        <is>
          <t>예다움</t>
        </is>
      </c>
      <c r="E530" s="0" t="inlineStr">
        <is>
          <t>2004.07.</t>
        </is>
      </c>
      <c r="F530" s="0" t="n">
        <v>38</v>
      </c>
      <c r="G530" s="0" t="n">
        <v>30.13</v>
      </c>
      <c r="H530" s="0" t="n">
        <v>99.62</v>
      </c>
      <c r="I530" s="0" t="n">
        <v>23.97</v>
      </c>
      <c r="J530" s="0" t="n">
        <v>79.25</v>
      </c>
      <c r="K530" s="0" t="n">
        <v>16</v>
      </c>
      <c r="T530" s="0" t="n">
        <v>3</v>
      </c>
      <c r="U530" s="0" t="n">
        <v>2</v>
      </c>
      <c r="V530" s="0" t="inlineStr">
        <is>
          <t>계단식</t>
        </is>
      </c>
      <c r="W530" s="0" t="inlineStr">
        <is>
          <t>99B</t>
        </is>
      </c>
      <c r="X530" s="0" t="n">
        <v>10</v>
      </c>
      <c r="Y530" s="0" t="n">
        <v>9</v>
      </c>
      <c r="Z530" s="0" t="inlineStr">
        <is>
          <t>https://new.land.naver.com/complexes/18368?tab=detail&amp;rf=Y</t>
        </is>
      </c>
      <c r="AA530" s="0" t="inlineStr">
        <is>
          <t>서울시 강동구 길동 347-27</t>
        </is>
      </c>
      <c r="AB530" s="0" t="inlineStr">
        <is>
          <t>서울시</t>
        </is>
      </c>
      <c r="AC530" s="0" t="inlineStr">
        <is>
          <t>강동구</t>
        </is>
      </c>
      <c r="AD530" s="0" t="inlineStr">
        <is>
          <t>길동</t>
        </is>
      </c>
      <c r="AG530" s="0" t="inlineStr">
        <is>
          <t>서울시 강동구 천중로49길 11</t>
        </is>
      </c>
      <c r="AH530" s="0" t="n">
        <v>0</v>
      </c>
      <c r="AI530" s="0" t="n">
        <v>0</v>
      </c>
      <c r="AJ530" s="0" t="n">
        <v>28</v>
      </c>
      <c r="AK530" s="0" t="n">
        <v>40</v>
      </c>
      <c r="AL530" s="0" t="n">
        <v>1.05</v>
      </c>
    </row>
    <row r="531">
      <c r="A531" s="0" t="inlineStr">
        <is>
          <t>[길동]</t>
        </is>
      </c>
      <c r="B531" s="0" t="n">
        <v>18368</v>
      </c>
      <c r="C531" s="0" t="n">
        <v>7</v>
      </c>
      <c r="D531" s="0" t="inlineStr">
        <is>
          <t>예다움</t>
        </is>
      </c>
      <c r="E531" s="0" t="inlineStr">
        <is>
          <t>2004.07.</t>
        </is>
      </c>
      <c r="F531" s="0" t="n">
        <v>38</v>
      </c>
      <c r="G531" s="0" t="n">
        <v>30</v>
      </c>
      <c r="H531" s="0" t="n">
        <v>99.2</v>
      </c>
      <c r="I531" s="0" t="n">
        <v>23.91</v>
      </c>
      <c r="J531" s="0" t="n">
        <v>79.06999999999999</v>
      </c>
      <c r="K531" s="0" t="n">
        <v>8</v>
      </c>
      <c r="T531" s="0" t="n">
        <v>3</v>
      </c>
      <c r="U531" s="0" t="n">
        <v>2</v>
      </c>
      <c r="V531" s="0" t="inlineStr">
        <is>
          <t>계단식</t>
        </is>
      </c>
      <c r="W531" s="0" t="inlineStr">
        <is>
          <t>99A</t>
        </is>
      </c>
      <c r="X531" s="0" t="n">
        <v>10</v>
      </c>
      <c r="Y531" s="0" t="n">
        <v>9</v>
      </c>
      <c r="Z531" s="0" t="inlineStr">
        <is>
          <t>https://new.land.naver.com/complexes/18368?tab=detail&amp;rf=Y</t>
        </is>
      </c>
      <c r="AA531" s="0" t="inlineStr">
        <is>
          <t>서울시 강동구 길동 347-27</t>
        </is>
      </c>
      <c r="AB531" s="0" t="inlineStr">
        <is>
          <t>서울시</t>
        </is>
      </c>
      <c r="AC531" s="0" t="inlineStr">
        <is>
          <t>강동구</t>
        </is>
      </c>
      <c r="AD531" s="0" t="inlineStr">
        <is>
          <t>길동</t>
        </is>
      </c>
      <c r="AG531" s="0" t="inlineStr">
        <is>
          <t>서울시 강동구 천중로49길 11</t>
        </is>
      </c>
      <c r="AH531" s="0" t="n">
        <v>0</v>
      </c>
      <c r="AI531" s="0" t="n">
        <v>0</v>
      </c>
      <c r="AJ531" s="0" t="n">
        <v>28</v>
      </c>
      <c r="AK531" s="0" t="n">
        <v>40</v>
      </c>
      <c r="AL531" s="0" t="n">
        <v>1.05</v>
      </c>
    </row>
    <row r="532">
      <c r="A532" s="0" t="inlineStr">
        <is>
          <t>[길동]</t>
        </is>
      </c>
      <c r="B532" s="0" t="n">
        <v>18368</v>
      </c>
      <c r="C532" s="0" t="n">
        <v>8</v>
      </c>
      <c r="D532" s="0" t="inlineStr">
        <is>
          <t>예다움</t>
        </is>
      </c>
      <c r="E532" s="0" t="inlineStr">
        <is>
          <t>2004.07.</t>
        </is>
      </c>
      <c r="F532" s="0" t="n">
        <v>38</v>
      </c>
      <c r="G532" s="0" t="n">
        <v>37.01</v>
      </c>
      <c r="H532" s="0" t="n">
        <v>122.35</v>
      </c>
      <c r="I532" s="0" t="n">
        <v>28.91</v>
      </c>
      <c r="J532" s="0" t="n">
        <v>95.59</v>
      </c>
      <c r="K532" s="0" t="n">
        <v>1</v>
      </c>
      <c r="T532" s="0" t="n">
        <v>3</v>
      </c>
      <c r="U532" s="0" t="n">
        <v>2</v>
      </c>
      <c r="V532" s="0" t="inlineStr">
        <is>
          <t>계단식</t>
        </is>
      </c>
      <c r="W532" s="0" t="n">
        <v>122</v>
      </c>
      <c r="X532" s="0" t="n">
        <v>10</v>
      </c>
      <c r="Y532" s="0" t="n">
        <v>9</v>
      </c>
      <c r="Z532" s="0" t="inlineStr">
        <is>
          <t>https://new.land.naver.com/complexes/18368?tab=detail&amp;rf=Y</t>
        </is>
      </c>
      <c r="AA532" s="0" t="inlineStr">
        <is>
          <t>서울시 강동구 길동 347-27</t>
        </is>
      </c>
      <c r="AB532" s="0" t="inlineStr">
        <is>
          <t>서울시</t>
        </is>
      </c>
      <c r="AC532" s="0" t="inlineStr">
        <is>
          <t>강동구</t>
        </is>
      </c>
      <c r="AD532" s="0" t="inlineStr">
        <is>
          <t>길동</t>
        </is>
      </c>
      <c r="AG532" s="0" t="inlineStr">
        <is>
          <t>서울시 강동구 천중로49길 11</t>
        </is>
      </c>
      <c r="AH532" s="0" t="n">
        <v>0</v>
      </c>
      <c r="AI532" s="0" t="n">
        <v>0</v>
      </c>
      <c r="AJ532" s="0" t="n">
        <v>28</v>
      </c>
      <c r="AK532" s="0" t="n">
        <v>40</v>
      </c>
      <c r="AL532" s="0" t="n">
        <v>1.05</v>
      </c>
    </row>
    <row r="533">
      <c r="A533" s="0" t="inlineStr">
        <is>
          <t>[길동]</t>
        </is>
      </c>
      <c r="B533" s="0" t="n">
        <v>18368</v>
      </c>
      <c r="C533" s="0" t="n">
        <v>9</v>
      </c>
      <c r="D533" s="0" t="inlineStr">
        <is>
          <t>예다움</t>
        </is>
      </c>
      <c r="E533" s="0" t="inlineStr">
        <is>
          <t>2004.07.</t>
        </is>
      </c>
      <c r="F533" s="0" t="n">
        <v>38</v>
      </c>
      <c r="G533" s="0" t="n">
        <v>38.95</v>
      </c>
      <c r="H533" s="0" t="n">
        <v>128.78</v>
      </c>
      <c r="I533" s="0" t="n">
        <v>30.35</v>
      </c>
      <c r="J533" s="0" t="n">
        <v>100.36</v>
      </c>
      <c r="K533" s="0" t="n">
        <v>1</v>
      </c>
      <c r="T533" s="0" t="n">
        <v>2</v>
      </c>
      <c r="U533" s="0" t="n">
        <v>2</v>
      </c>
      <c r="V533" s="0" t="inlineStr">
        <is>
          <t>계단식</t>
        </is>
      </c>
      <c r="W533" s="0" t="n">
        <v>128</v>
      </c>
      <c r="X533" s="0" t="n">
        <v>10</v>
      </c>
      <c r="Y533" s="0" t="n">
        <v>9</v>
      </c>
      <c r="Z533" s="0" t="inlineStr">
        <is>
          <t>https://new.land.naver.com/complexes/18368?tab=detail&amp;rf=Y</t>
        </is>
      </c>
      <c r="AA533" s="0" t="inlineStr">
        <is>
          <t>서울시 강동구 길동 347-27</t>
        </is>
      </c>
      <c r="AB533" s="0" t="inlineStr">
        <is>
          <t>서울시</t>
        </is>
      </c>
      <c r="AC533" s="0" t="inlineStr">
        <is>
          <t>강동구</t>
        </is>
      </c>
      <c r="AD533" s="0" t="inlineStr">
        <is>
          <t>길동</t>
        </is>
      </c>
      <c r="AG533" s="0" t="inlineStr">
        <is>
          <t>서울시 강동구 천중로49길 11</t>
        </is>
      </c>
      <c r="AH533" s="0" t="n">
        <v>0</v>
      </c>
      <c r="AI533" s="0" t="n">
        <v>0</v>
      </c>
      <c r="AJ533" s="0" t="n">
        <v>28</v>
      </c>
      <c r="AK533" s="0" t="n">
        <v>40</v>
      </c>
      <c r="AL533" s="0" t="n">
        <v>1.05</v>
      </c>
    </row>
    <row r="534">
      <c r="A534" s="0" t="inlineStr">
        <is>
          <t>[길동]</t>
        </is>
      </c>
      <c r="B534" s="0" t="n">
        <v>18397</v>
      </c>
      <c r="C534" s="0" t="n">
        <v>1</v>
      </c>
      <c r="D534" s="0" t="inlineStr">
        <is>
          <t>노블레스</t>
        </is>
      </c>
      <c r="E534" s="0" t="inlineStr">
        <is>
          <t>2004.03.</t>
        </is>
      </c>
      <c r="F534" s="0" t="n">
        <v>19</v>
      </c>
      <c r="G534" s="0" t="n">
        <v>29.37</v>
      </c>
      <c r="H534" s="0" t="n">
        <v>97.09999999999999</v>
      </c>
      <c r="I534" s="0" t="n">
        <v>20.92</v>
      </c>
      <c r="J534" s="0" t="n">
        <v>69.17</v>
      </c>
      <c r="K534" s="0" t="n">
        <v>1</v>
      </c>
      <c r="T534" s="0" t="n">
        <v>3</v>
      </c>
      <c r="U534" s="0" t="n">
        <v>2</v>
      </c>
      <c r="V534" s="0" t="inlineStr">
        <is>
          <t>계단식</t>
        </is>
      </c>
      <c r="W534" s="0" t="n">
        <v>97</v>
      </c>
      <c r="X534" s="0" t="n">
        <v>7</v>
      </c>
      <c r="Y534" s="0" t="n">
        <v>6</v>
      </c>
      <c r="Z534" s="0" t="inlineStr">
        <is>
          <t>https://new.land.naver.com/complexes/18397?tab=detail&amp;rf=Y</t>
        </is>
      </c>
      <c r="AA534" s="0" t="inlineStr">
        <is>
          <t>서울시 강동구 길동 383-8</t>
        </is>
      </c>
      <c r="AB534" s="0" t="inlineStr">
        <is>
          <t>서울시</t>
        </is>
      </c>
      <c r="AC534" s="0" t="inlineStr">
        <is>
          <t>강동구</t>
        </is>
      </c>
      <c r="AD534" s="0" t="inlineStr">
        <is>
          <t>길동</t>
        </is>
      </c>
      <c r="AG534" s="0" t="inlineStr">
        <is>
          <t>서울시 강동구 성안로 182</t>
        </is>
      </c>
      <c r="AH534" s="0" t="n">
        <v>0</v>
      </c>
      <c r="AI534" s="0" t="n">
        <v>0</v>
      </c>
      <c r="AJ534" s="0" t="n">
        <v>0</v>
      </c>
      <c r="AK534" s="0" t="n">
        <v>0</v>
      </c>
      <c r="AL534" s="0" t="n">
        <v>0</v>
      </c>
    </row>
    <row r="535">
      <c r="A535" s="0" t="inlineStr">
        <is>
          <t>[길동]</t>
        </is>
      </c>
      <c r="B535" s="0" t="n">
        <v>18397</v>
      </c>
      <c r="C535" s="0" t="n">
        <v>2</v>
      </c>
      <c r="D535" s="0" t="inlineStr">
        <is>
          <t>노블레스</t>
        </is>
      </c>
      <c r="E535" s="0" t="inlineStr">
        <is>
          <t>2004.03.</t>
        </is>
      </c>
      <c r="F535" s="0" t="n">
        <v>19</v>
      </c>
      <c r="G535" s="0" t="n">
        <v>32.34</v>
      </c>
      <c r="H535" s="0" t="n">
        <v>106.93</v>
      </c>
      <c r="I535" s="0" t="n">
        <v>23.04</v>
      </c>
      <c r="J535" s="0" t="n">
        <v>76.17</v>
      </c>
      <c r="K535" s="0" t="n">
        <v>1</v>
      </c>
      <c r="T535" s="0" t="n">
        <v>3</v>
      </c>
      <c r="U535" s="0" t="n">
        <v>2</v>
      </c>
      <c r="V535" s="0" t="inlineStr">
        <is>
          <t>계단식</t>
        </is>
      </c>
      <c r="W535" s="0" t="n">
        <v>106</v>
      </c>
      <c r="X535" s="0" t="n">
        <v>7</v>
      </c>
      <c r="Y535" s="0" t="n">
        <v>6</v>
      </c>
      <c r="Z535" s="0" t="inlineStr">
        <is>
          <t>https://new.land.naver.com/complexes/18397?tab=detail&amp;rf=Y</t>
        </is>
      </c>
      <c r="AA535" s="0" t="inlineStr">
        <is>
          <t>서울시 강동구 길동 383-8</t>
        </is>
      </c>
      <c r="AB535" s="0" t="inlineStr">
        <is>
          <t>서울시</t>
        </is>
      </c>
      <c r="AC535" s="0" t="inlineStr">
        <is>
          <t>강동구</t>
        </is>
      </c>
      <c r="AD535" s="0" t="inlineStr">
        <is>
          <t>길동</t>
        </is>
      </c>
      <c r="AG535" s="0" t="inlineStr">
        <is>
          <t>서울시 강동구 성안로 182</t>
        </is>
      </c>
      <c r="AH535" s="0" t="n">
        <v>0</v>
      </c>
      <c r="AI535" s="0" t="n">
        <v>0</v>
      </c>
      <c r="AJ535" s="0" t="n">
        <v>0</v>
      </c>
      <c r="AK535" s="0" t="n">
        <v>0</v>
      </c>
      <c r="AL535" s="0" t="n">
        <v>0</v>
      </c>
    </row>
    <row r="536">
      <c r="A536" s="0" t="inlineStr">
        <is>
          <t>[길동]</t>
        </is>
      </c>
      <c r="B536" s="0" t="n">
        <v>18397</v>
      </c>
      <c r="C536" s="0" t="n">
        <v>3</v>
      </c>
      <c r="D536" s="0" t="inlineStr">
        <is>
          <t>노블레스</t>
        </is>
      </c>
      <c r="E536" s="0" t="inlineStr">
        <is>
          <t>2004.03.</t>
        </is>
      </c>
      <c r="F536" s="0" t="n">
        <v>19</v>
      </c>
      <c r="G536" s="0" t="n">
        <v>35.9</v>
      </c>
      <c r="H536" s="0" t="n">
        <v>118.69</v>
      </c>
      <c r="I536" s="0" t="n">
        <v>25.57</v>
      </c>
      <c r="J536" s="0" t="n">
        <v>84.55</v>
      </c>
      <c r="K536" s="0" t="n">
        <v>11</v>
      </c>
      <c r="T536" s="0" t="n">
        <v>3</v>
      </c>
      <c r="U536" s="0" t="n">
        <v>2</v>
      </c>
      <c r="V536" s="0" t="inlineStr">
        <is>
          <t>계단식</t>
        </is>
      </c>
      <c r="W536" s="0" t="inlineStr">
        <is>
          <t>118B</t>
        </is>
      </c>
      <c r="X536" s="0" t="n">
        <v>7</v>
      </c>
      <c r="Y536" s="0" t="n">
        <v>6</v>
      </c>
      <c r="Z536" s="0" t="inlineStr">
        <is>
          <t>https://new.land.naver.com/complexes/18397?tab=detail&amp;rf=Y</t>
        </is>
      </c>
      <c r="AA536" s="0" t="inlineStr">
        <is>
          <t>서울시 강동구 길동 383-8</t>
        </is>
      </c>
      <c r="AB536" s="0" t="inlineStr">
        <is>
          <t>서울시</t>
        </is>
      </c>
      <c r="AC536" s="0" t="inlineStr">
        <is>
          <t>강동구</t>
        </is>
      </c>
      <c r="AD536" s="0" t="inlineStr">
        <is>
          <t>길동</t>
        </is>
      </c>
      <c r="AG536" s="0" t="inlineStr">
        <is>
          <t>서울시 강동구 성안로 182</t>
        </is>
      </c>
      <c r="AH536" s="0" t="n">
        <v>0</v>
      </c>
      <c r="AI536" s="0" t="n">
        <v>0</v>
      </c>
      <c r="AJ536" s="0" t="n">
        <v>0</v>
      </c>
      <c r="AK536" s="0" t="n">
        <v>0</v>
      </c>
      <c r="AL536" s="0" t="n">
        <v>0</v>
      </c>
    </row>
    <row r="537">
      <c r="A537" s="0" t="inlineStr">
        <is>
          <t>[길동]</t>
        </is>
      </c>
      <c r="B537" s="0" t="n">
        <v>18397</v>
      </c>
      <c r="C537" s="0" t="n">
        <v>4</v>
      </c>
      <c r="D537" s="0" t="inlineStr">
        <is>
          <t>노블레스</t>
        </is>
      </c>
      <c r="E537" s="0" t="inlineStr">
        <is>
          <t>2004.03.</t>
        </is>
      </c>
      <c r="F537" s="0" t="n">
        <v>19</v>
      </c>
      <c r="G537" s="0" t="n">
        <v>35.72</v>
      </c>
      <c r="H537" s="0" t="n">
        <v>118.1</v>
      </c>
      <c r="I537" s="0" t="n">
        <v>25.44</v>
      </c>
      <c r="J537" s="0" t="n">
        <v>84.13</v>
      </c>
      <c r="K537" s="0" t="n">
        <v>5</v>
      </c>
      <c r="T537" s="0" t="n">
        <v>3</v>
      </c>
      <c r="U537" s="0" t="n">
        <v>2</v>
      </c>
      <c r="V537" s="0" t="inlineStr">
        <is>
          <t>계단식</t>
        </is>
      </c>
      <c r="W537" s="0" t="inlineStr">
        <is>
          <t>118A</t>
        </is>
      </c>
      <c r="X537" s="0" t="n">
        <v>7</v>
      </c>
      <c r="Y537" s="0" t="n">
        <v>6</v>
      </c>
      <c r="Z537" s="0" t="inlineStr">
        <is>
          <t>https://new.land.naver.com/complexes/18397?tab=detail&amp;rf=Y</t>
        </is>
      </c>
      <c r="AA537" s="0" t="inlineStr">
        <is>
          <t>서울시 강동구 길동 383-8</t>
        </is>
      </c>
      <c r="AB537" s="0" t="inlineStr">
        <is>
          <t>서울시</t>
        </is>
      </c>
      <c r="AC537" s="0" t="inlineStr">
        <is>
          <t>강동구</t>
        </is>
      </c>
      <c r="AD537" s="0" t="inlineStr">
        <is>
          <t>길동</t>
        </is>
      </c>
      <c r="AG537" s="0" t="inlineStr">
        <is>
          <t>서울시 강동구 성안로 182</t>
        </is>
      </c>
      <c r="AH537" s="0" t="n">
        <v>0</v>
      </c>
      <c r="AI537" s="0" t="n">
        <v>0</v>
      </c>
      <c r="AJ537" s="0" t="n">
        <v>0</v>
      </c>
      <c r="AK537" s="0" t="n">
        <v>0</v>
      </c>
      <c r="AL537" s="0" t="n">
        <v>0</v>
      </c>
    </row>
    <row r="538">
      <c r="A538" s="0" t="inlineStr">
        <is>
          <t>[길동]</t>
        </is>
      </c>
      <c r="B538" s="0" t="n">
        <v>18397</v>
      </c>
      <c r="C538" s="0" t="n">
        <v>5</v>
      </c>
      <c r="D538" s="0" t="inlineStr">
        <is>
          <t>노블레스</t>
        </is>
      </c>
      <c r="E538" s="0" t="inlineStr">
        <is>
          <t>2004.03.</t>
        </is>
      </c>
      <c r="F538" s="0" t="n">
        <v>19</v>
      </c>
      <c r="G538" s="0" t="n">
        <v>52.01</v>
      </c>
      <c r="H538" s="0" t="n">
        <v>171.95</v>
      </c>
      <c r="I538" s="0" t="n">
        <v>37.05</v>
      </c>
      <c r="J538" s="0" t="n">
        <v>122.49</v>
      </c>
      <c r="K538" s="0" t="n">
        <v>1</v>
      </c>
      <c r="T538" s="0" t="n">
        <v>3</v>
      </c>
      <c r="U538" s="0" t="n">
        <v>2</v>
      </c>
      <c r="V538" s="0" t="inlineStr">
        <is>
          <t>계단식</t>
        </is>
      </c>
      <c r="W538" s="0" t="n">
        <v>171</v>
      </c>
      <c r="X538" s="0" t="n">
        <v>7</v>
      </c>
      <c r="Y538" s="0" t="n">
        <v>6</v>
      </c>
      <c r="Z538" s="0" t="inlineStr">
        <is>
          <t>https://new.land.naver.com/complexes/18397?tab=detail&amp;rf=Y</t>
        </is>
      </c>
      <c r="AA538" s="0" t="inlineStr">
        <is>
          <t>서울시 강동구 길동 383-8</t>
        </is>
      </c>
      <c r="AB538" s="0" t="inlineStr">
        <is>
          <t>서울시</t>
        </is>
      </c>
      <c r="AC538" s="0" t="inlineStr">
        <is>
          <t>강동구</t>
        </is>
      </c>
      <c r="AD538" s="0" t="inlineStr">
        <is>
          <t>길동</t>
        </is>
      </c>
      <c r="AG538" s="0" t="inlineStr">
        <is>
          <t>서울시 강동구 성안로 182</t>
        </is>
      </c>
      <c r="AH538" s="0" t="n">
        <v>0</v>
      </c>
      <c r="AI538" s="0" t="n">
        <v>0</v>
      </c>
      <c r="AJ538" s="0" t="n">
        <v>0</v>
      </c>
      <c r="AK538" s="0" t="n">
        <v>0</v>
      </c>
      <c r="AL538" s="0" t="n">
        <v>0</v>
      </c>
    </row>
    <row r="539">
      <c r="A539" s="0" t="inlineStr">
        <is>
          <t>[길동]</t>
        </is>
      </c>
      <c r="B539" s="0" t="n">
        <v>13462</v>
      </c>
      <c r="C539" s="0" t="n">
        <v>1</v>
      </c>
      <c r="D539" s="0" t="inlineStr">
        <is>
          <t>광남캐스빌(389-9)</t>
        </is>
      </c>
      <c r="E539" s="0" t="inlineStr">
        <is>
          <t>2005.05.</t>
        </is>
      </c>
      <c r="F539" s="0" t="n">
        <v>28</v>
      </c>
      <c r="G539" s="0" t="n">
        <v>21.6</v>
      </c>
      <c r="H539" s="0" t="n">
        <v>71.43000000000001</v>
      </c>
      <c r="I539" s="0" t="n">
        <v>16.28</v>
      </c>
      <c r="J539" s="0" t="n">
        <v>53.83</v>
      </c>
      <c r="K539" s="0" t="n">
        <v>4</v>
      </c>
      <c r="T539" s="0" t="n">
        <v>2</v>
      </c>
      <c r="U539" s="0" t="n">
        <v>1</v>
      </c>
      <c r="V539" s="0" t="inlineStr">
        <is>
          <t>계단식</t>
        </is>
      </c>
      <c r="W539" s="0" t="n">
        <v>71</v>
      </c>
      <c r="X539" s="0" t="n">
        <v>11</v>
      </c>
      <c r="Y539" s="0" t="n">
        <v>11</v>
      </c>
      <c r="Z539" s="0" t="inlineStr">
        <is>
          <t>https://new.land.naver.com/complexes/13462?tab=detail&amp;rf=Y</t>
        </is>
      </c>
      <c r="AA539" s="0" t="inlineStr">
        <is>
          <t>서울시 강동구 길동 389-9</t>
        </is>
      </c>
      <c r="AB539" s="0" t="inlineStr">
        <is>
          <t>서울시</t>
        </is>
      </c>
      <c r="AC539" s="0" t="inlineStr">
        <is>
          <t>강동구</t>
        </is>
      </c>
      <c r="AD539" s="0" t="inlineStr">
        <is>
          <t>길동</t>
        </is>
      </c>
      <c r="AG539" s="0" t="inlineStr">
        <is>
          <t>서울시 강동구 천중로44길 75</t>
        </is>
      </c>
      <c r="AH539" s="0" t="n">
        <v>0</v>
      </c>
      <c r="AI539" s="0" t="n">
        <v>416</v>
      </c>
      <c r="AJ539" s="0" t="n">
        <v>59</v>
      </c>
      <c r="AK539" s="0" t="n">
        <v>23</v>
      </c>
      <c r="AL539" s="0" t="n">
        <v>0.82</v>
      </c>
    </row>
    <row r="540">
      <c r="A540" s="0" t="inlineStr">
        <is>
          <t>[길동]</t>
        </is>
      </c>
      <c r="B540" s="0" t="n">
        <v>13462</v>
      </c>
      <c r="C540" s="0" t="n">
        <v>2</v>
      </c>
      <c r="D540" s="0" t="inlineStr">
        <is>
          <t>광남캐스빌(389-9)</t>
        </is>
      </c>
      <c r="E540" s="0" t="inlineStr">
        <is>
          <t>2005.05.</t>
        </is>
      </c>
      <c r="F540" s="0" t="n">
        <v>28</v>
      </c>
      <c r="G540" s="0" t="n">
        <v>27.03</v>
      </c>
      <c r="H540" s="0" t="n">
        <v>89.37</v>
      </c>
      <c r="I540" s="0" t="n">
        <v>20.7</v>
      </c>
      <c r="J540" s="0" t="n">
        <v>68.45999999999999</v>
      </c>
      <c r="K540" s="0" t="n">
        <v>4</v>
      </c>
      <c r="T540" s="0" t="n">
        <v>3</v>
      </c>
      <c r="U540" s="0" t="n">
        <v>2</v>
      </c>
      <c r="V540" s="0" t="inlineStr">
        <is>
          <t>계단식</t>
        </is>
      </c>
      <c r="W540" s="0" t="n">
        <v>89</v>
      </c>
      <c r="X540" s="0" t="n">
        <v>11</v>
      </c>
      <c r="Y540" s="0" t="n">
        <v>11</v>
      </c>
      <c r="Z540" s="0" t="inlineStr">
        <is>
          <t>https://new.land.naver.com/complexes/13462?tab=detail&amp;rf=Y</t>
        </is>
      </c>
      <c r="AA540" s="0" t="inlineStr">
        <is>
          <t>서울시 강동구 길동 389-9</t>
        </is>
      </c>
      <c r="AB540" s="0" t="inlineStr">
        <is>
          <t>서울시</t>
        </is>
      </c>
      <c r="AC540" s="0" t="inlineStr">
        <is>
          <t>강동구</t>
        </is>
      </c>
      <c r="AD540" s="0" t="inlineStr">
        <is>
          <t>길동</t>
        </is>
      </c>
      <c r="AG540" s="0" t="inlineStr">
        <is>
          <t>서울시 강동구 천중로44길 75</t>
        </is>
      </c>
      <c r="AH540" s="0" t="n">
        <v>0</v>
      </c>
      <c r="AI540" s="0" t="n">
        <v>416</v>
      </c>
      <c r="AJ540" s="0" t="n">
        <v>59</v>
      </c>
      <c r="AK540" s="0" t="n">
        <v>23</v>
      </c>
      <c r="AL540" s="0" t="n">
        <v>0.82</v>
      </c>
    </row>
    <row r="541">
      <c r="A541" s="0" t="inlineStr">
        <is>
          <t>[길동]</t>
        </is>
      </c>
      <c r="B541" s="0" t="n">
        <v>13462</v>
      </c>
      <c r="C541" s="0" t="n">
        <v>3</v>
      </c>
      <c r="D541" s="0" t="inlineStr">
        <is>
          <t>광남캐스빌(389-9)</t>
        </is>
      </c>
      <c r="E541" s="0" t="inlineStr">
        <is>
          <t>2005.05.</t>
        </is>
      </c>
      <c r="F541" s="0" t="n">
        <v>28</v>
      </c>
      <c r="G541" s="0" t="n">
        <v>33.14</v>
      </c>
      <c r="H541" s="0" t="n">
        <v>109.58</v>
      </c>
      <c r="I541" s="0" t="n">
        <v>25.56</v>
      </c>
      <c r="J541" s="0" t="n">
        <v>84.51000000000001</v>
      </c>
      <c r="K541" s="0" t="n">
        <v>20</v>
      </c>
      <c r="T541" s="0" t="n">
        <v>3</v>
      </c>
      <c r="U541" s="0" t="n">
        <v>2</v>
      </c>
      <c r="V541" s="0" t="inlineStr">
        <is>
          <t>계단식</t>
        </is>
      </c>
      <c r="W541" s="0" t="n">
        <v>109</v>
      </c>
      <c r="X541" s="0" t="n">
        <v>11</v>
      </c>
      <c r="Y541" s="0" t="n">
        <v>11</v>
      </c>
      <c r="Z541" s="0" t="inlineStr">
        <is>
          <t>https://new.land.naver.com/complexes/13462?tab=detail&amp;rf=Y</t>
        </is>
      </c>
      <c r="AA541" s="0" t="inlineStr">
        <is>
          <t>서울시 강동구 길동 389-9</t>
        </is>
      </c>
      <c r="AB541" s="0" t="inlineStr">
        <is>
          <t>서울시</t>
        </is>
      </c>
      <c r="AC541" s="0" t="inlineStr">
        <is>
          <t>강동구</t>
        </is>
      </c>
      <c r="AD541" s="0" t="inlineStr">
        <is>
          <t>길동</t>
        </is>
      </c>
      <c r="AG541" s="0" t="inlineStr">
        <is>
          <t>서울시 강동구 천중로44길 75</t>
        </is>
      </c>
      <c r="AH541" s="0" t="n">
        <v>0</v>
      </c>
      <c r="AI541" s="0" t="n">
        <v>416</v>
      </c>
      <c r="AJ541" s="0" t="n">
        <v>59</v>
      </c>
      <c r="AK541" s="0" t="n">
        <v>23</v>
      </c>
      <c r="AL541" s="0" t="n">
        <v>0.82</v>
      </c>
    </row>
    <row r="542">
      <c r="A542" s="0" t="inlineStr">
        <is>
          <t>[길동]</t>
        </is>
      </c>
      <c r="B542" s="0" t="n">
        <v>21949</v>
      </c>
      <c r="C542" s="0" t="n">
        <v>1</v>
      </c>
      <c r="D542" s="0" t="inlineStr">
        <is>
          <t>다성이즈빌(371-9)</t>
        </is>
      </c>
      <c r="E542" s="0" t="inlineStr">
        <is>
          <t>2003.12.</t>
        </is>
      </c>
      <c r="F542" s="0" t="n">
        <v>47</v>
      </c>
      <c r="G542" s="0" t="n">
        <v>25.49</v>
      </c>
      <c r="H542" s="0" t="n">
        <v>84.27</v>
      </c>
      <c r="I542" s="0" t="n">
        <v>18.72</v>
      </c>
      <c r="J542" s="0" t="n">
        <v>61.89</v>
      </c>
      <c r="K542" s="0" t="n">
        <v>1</v>
      </c>
      <c r="T542" s="0" t="n">
        <v>3</v>
      </c>
      <c r="U542" s="0" t="n">
        <v>2</v>
      </c>
      <c r="V542" s="0" t="inlineStr">
        <is>
          <t>계단식</t>
        </is>
      </c>
      <c r="W542" s="0" t="n">
        <v>84</v>
      </c>
      <c r="X542" s="0" t="n">
        <v>9</v>
      </c>
      <c r="Y542" s="0" t="n">
        <v>7</v>
      </c>
      <c r="Z542" s="0" t="inlineStr">
        <is>
          <t>https://new.land.naver.com/complexes/21949?tab=detail&amp;rf=Y</t>
        </is>
      </c>
      <c r="AA542" s="0" t="inlineStr">
        <is>
          <t>서울시 강동구 길동 371-9</t>
        </is>
      </c>
      <c r="AB542" s="0" t="inlineStr">
        <is>
          <t>서울시</t>
        </is>
      </c>
      <c r="AC542" s="0" t="inlineStr">
        <is>
          <t>강동구</t>
        </is>
      </c>
      <c r="AD542" s="0" t="inlineStr">
        <is>
          <t>길동</t>
        </is>
      </c>
      <c r="AG542" s="0" t="inlineStr">
        <is>
          <t>서울시 강동구 천중로40길 12</t>
        </is>
      </c>
      <c r="AH542" s="0" t="n">
        <v>0</v>
      </c>
      <c r="AI542" s="0" t="n">
        <v>249</v>
      </c>
      <c r="AJ542" s="0" t="n">
        <v>35</v>
      </c>
      <c r="AK542" s="0" t="n">
        <v>52</v>
      </c>
      <c r="AL542" s="0" t="n">
        <v>1.11</v>
      </c>
    </row>
    <row r="543">
      <c r="A543" s="0" t="inlineStr">
        <is>
          <t>[길동]</t>
        </is>
      </c>
      <c r="B543" s="0" t="n">
        <v>21949</v>
      </c>
      <c r="C543" s="0" t="n">
        <v>2</v>
      </c>
      <c r="D543" s="0" t="inlineStr">
        <is>
          <t>다성이즈빌(371-9)</t>
        </is>
      </c>
      <c r="E543" s="0" t="inlineStr">
        <is>
          <t>2003.12.</t>
        </is>
      </c>
      <c r="F543" s="0" t="n">
        <v>47</v>
      </c>
      <c r="G543" s="0" t="n">
        <v>28.73</v>
      </c>
      <c r="H543" s="0" t="n">
        <v>94.98</v>
      </c>
      <c r="I543" s="0" t="n">
        <v>21.16</v>
      </c>
      <c r="J543" s="0" t="n">
        <v>69.98</v>
      </c>
      <c r="K543" s="0" t="n">
        <v>5</v>
      </c>
      <c r="T543" s="0" t="n">
        <v>3</v>
      </c>
      <c r="U543" s="0" t="n">
        <v>2</v>
      </c>
      <c r="V543" s="0" t="inlineStr">
        <is>
          <t>계단식</t>
        </is>
      </c>
      <c r="W543" s="0" t="inlineStr">
        <is>
          <t>94A</t>
        </is>
      </c>
      <c r="X543" s="0" t="n">
        <v>9</v>
      </c>
      <c r="Y543" s="0" t="n">
        <v>7</v>
      </c>
      <c r="Z543" s="0" t="inlineStr">
        <is>
          <t>https://new.land.naver.com/complexes/21949?tab=detail&amp;rf=Y</t>
        </is>
      </c>
      <c r="AA543" s="0" t="inlineStr">
        <is>
          <t>서울시 강동구 길동 371-9</t>
        </is>
      </c>
      <c r="AB543" s="0" t="inlineStr">
        <is>
          <t>서울시</t>
        </is>
      </c>
      <c r="AC543" s="0" t="inlineStr">
        <is>
          <t>강동구</t>
        </is>
      </c>
      <c r="AD543" s="0" t="inlineStr">
        <is>
          <t>길동</t>
        </is>
      </c>
      <c r="AG543" s="0" t="inlineStr">
        <is>
          <t>서울시 강동구 천중로40길 12</t>
        </is>
      </c>
      <c r="AH543" s="0" t="n">
        <v>0</v>
      </c>
      <c r="AI543" s="0" t="n">
        <v>249</v>
      </c>
      <c r="AJ543" s="0" t="n">
        <v>35</v>
      </c>
      <c r="AK543" s="0" t="n">
        <v>52</v>
      </c>
      <c r="AL543" s="0" t="n">
        <v>1.11</v>
      </c>
    </row>
    <row r="544">
      <c r="A544" s="0" t="inlineStr">
        <is>
          <t>[길동]</t>
        </is>
      </c>
      <c r="B544" s="0" t="n">
        <v>21949</v>
      </c>
      <c r="C544" s="0" t="n">
        <v>3</v>
      </c>
      <c r="D544" s="0" t="inlineStr">
        <is>
          <t>다성이즈빌(371-9)</t>
        </is>
      </c>
      <c r="E544" s="0" t="inlineStr">
        <is>
          <t>2003.12.</t>
        </is>
      </c>
      <c r="F544" s="0" t="n">
        <v>47</v>
      </c>
      <c r="G544" s="0" t="n">
        <v>28.75</v>
      </c>
      <c r="H544" s="0" t="n">
        <v>95.06</v>
      </c>
      <c r="I544" s="0" t="n">
        <v>21.22</v>
      </c>
      <c r="J544" s="0" t="n">
        <v>70.17</v>
      </c>
      <c r="K544" s="0" t="n">
        <v>6</v>
      </c>
      <c r="T544" s="0" t="n">
        <v>3</v>
      </c>
      <c r="U544" s="0" t="n">
        <v>2</v>
      </c>
      <c r="V544" s="0" t="inlineStr">
        <is>
          <t>계단식</t>
        </is>
      </c>
      <c r="W544" s="0" t="inlineStr">
        <is>
          <t>95B</t>
        </is>
      </c>
      <c r="X544" s="0" t="n">
        <v>9</v>
      </c>
      <c r="Y544" s="0" t="n">
        <v>7</v>
      </c>
      <c r="Z544" s="0" t="inlineStr">
        <is>
          <t>https://new.land.naver.com/complexes/21949?tab=detail&amp;rf=Y</t>
        </is>
      </c>
      <c r="AA544" s="0" t="inlineStr">
        <is>
          <t>서울시 강동구 길동 371-9</t>
        </is>
      </c>
      <c r="AB544" s="0" t="inlineStr">
        <is>
          <t>서울시</t>
        </is>
      </c>
      <c r="AC544" s="0" t="inlineStr">
        <is>
          <t>강동구</t>
        </is>
      </c>
      <c r="AD544" s="0" t="inlineStr">
        <is>
          <t>길동</t>
        </is>
      </c>
      <c r="AG544" s="0" t="inlineStr">
        <is>
          <t>서울시 강동구 천중로40길 12</t>
        </is>
      </c>
      <c r="AH544" s="0" t="n">
        <v>0</v>
      </c>
      <c r="AI544" s="0" t="n">
        <v>249</v>
      </c>
      <c r="AJ544" s="0" t="n">
        <v>35</v>
      </c>
      <c r="AK544" s="0" t="n">
        <v>52</v>
      </c>
      <c r="AL544" s="0" t="n">
        <v>1.11</v>
      </c>
    </row>
    <row r="545">
      <c r="A545" s="0" t="inlineStr">
        <is>
          <t>[길동]</t>
        </is>
      </c>
      <c r="B545" s="0" t="n">
        <v>21949</v>
      </c>
      <c r="C545" s="0" t="n">
        <v>4</v>
      </c>
      <c r="D545" s="0" t="inlineStr">
        <is>
          <t>다성이즈빌(371-9)</t>
        </is>
      </c>
      <c r="E545" s="0" t="inlineStr">
        <is>
          <t>2003.12.</t>
        </is>
      </c>
      <c r="F545" s="0" t="n">
        <v>47</v>
      </c>
      <c r="G545" s="0" t="n">
        <v>29.89</v>
      </c>
      <c r="H545" s="0" t="n">
        <v>98.84</v>
      </c>
      <c r="I545" s="0" t="n">
        <v>24.45</v>
      </c>
      <c r="J545" s="0" t="n">
        <v>80.84999999999999</v>
      </c>
      <c r="K545" s="0" t="n">
        <v>1</v>
      </c>
      <c r="T545" s="0" t="n">
        <v>3</v>
      </c>
      <c r="U545" s="0" t="n">
        <v>2</v>
      </c>
      <c r="V545" s="0" t="inlineStr">
        <is>
          <t>계단식</t>
        </is>
      </c>
      <c r="W545" s="0" t="n">
        <v>98</v>
      </c>
      <c r="X545" s="0" t="n">
        <v>9</v>
      </c>
      <c r="Y545" s="0" t="n">
        <v>7</v>
      </c>
      <c r="Z545" s="0" t="inlineStr">
        <is>
          <t>https://new.land.naver.com/complexes/21949?tab=detail&amp;rf=Y</t>
        </is>
      </c>
      <c r="AA545" s="0" t="inlineStr">
        <is>
          <t>서울시 강동구 길동 371-9</t>
        </is>
      </c>
      <c r="AB545" s="0" t="inlineStr">
        <is>
          <t>서울시</t>
        </is>
      </c>
      <c r="AC545" s="0" t="inlineStr">
        <is>
          <t>강동구</t>
        </is>
      </c>
      <c r="AD545" s="0" t="inlineStr">
        <is>
          <t>길동</t>
        </is>
      </c>
      <c r="AG545" s="0" t="inlineStr">
        <is>
          <t>서울시 강동구 천중로40길 12</t>
        </is>
      </c>
      <c r="AH545" s="0" t="n">
        <v>0</v>
      </c>
      <c r="AI545" s="0" t="n">
        <v>249</v>
      </c>
      <c r="AJ545" s="0" t="n">
        <v>35</v>
      </c>
      <c r="AK545" s="0" t="n">
        <v>52</v>
      </c>
      <c r="AL545" s="0" t="n">
        <v>1.11</v>
      </c>
    </row>
    <row r="546">
      <c r="A546" s="0" t="inlineStr">
        <is>
          <t>[길동]</t>
        </is>
      </c>
      <c r="B546" s="0" t="n">
        <v>21949</v>
      </c>
      <c r="C546" s="0" t="n">
        <v>5</v>
      </c>
      <c r="D546" s="0" t="inlineStr">
        <is>
          <t>다성이즈빌(371-9)</t>
        </is>
      </c>
      <c r="E546" s="0" t="inlineStr">
        <is>
          <t>2003.12.</t>
        </is>
      </c>
      <c r="F546" s="0" t="n">
        <v>47</v>
      </c>
      <c r="G546" s="0" t="n">
        <v>31.06</v>
      </c>
      <c r="H546" s="0" t="n">
        <v>102.68</v>
      </c>
      <c r="I546" s="0" t="n">
        <v>25.68</v>
      </c>
      <c r="J546" s="0" t="n">
        <v>84.92</v>
      </c>
      <c r="K546" s="0" t="n">
        <v>18</v>
      </c>
      <c r="T546" s="0" t="n">
        <v>3</v>
      </c>
      <c r="U546" s="0" t="n">
        <v>2</v>
      </c>
      <c r="V546" s="0" t="inlineStr">
        <is>
          <t>계단식</t>
        </is>
      </c>
      <c r="W546" s="0" t="inlineStr">
        <is>
          <t>102C</t>
        </is>
      </c>
      <c r="X546" s="0" t="n">
        <v>9</v>
      </c>
      <c r="Y546" s="0" t="n">
        <v>7</v>
      </c>
      <c r="Z546" s="0" t="inlineStr">
        <is>
          <t>https://new.land.naver.com/complexes/21949?tab=detail&amp;rf=Y</t>
        </is>
      </c>
      <c r="AA546" s="0" t="inlineStr">
        <is>
          <t>서울시 강동구 길동 371-9</t>
        </is>
      </c>
      <c r="AB546" s="0" t="inlineStr">
        <is>
          <t>서울시</t>
        </is>
      </c>
      <c r="AC546" s="0" t="inlineStr">
        <is>
          <t>강동구</t>
        </is>
      </c>
      <c r="AD546" s="0" t="inlineStr">
        <is>
          <t>길동</t>
        </is>
      </c>
      <c r="AG546" s="0" t="inlineStr">
        <is>
          <t>서울시 강동구 천중로40길 12</t>
        </is>
      </c>
      <c r="AH546" s="0" t="n">
        <v>0</v>
      </c>
      <c r="AI546" s="0" t="n">
        <v>249</v>
      </c>
      <c r="AJ546" s="0" t="n">
        <v>35</v>
      </c>
      <c r="AK546" s="0" t="n">
        <v>52</v>
      </c>
      <c r="AL546" s="0" t="n">
        <v>1.11</v>
      </c>
    </row>
    <row r="547">
      <c r="A547" s="0" t="inlineStr">
        <is>
          <t>[길동]</t>
        </is>
      </c>
      <c r="B547" s="0" t="n">
        <v>21949</v>
      </c>
      <c r="C547" s="0" t="n">
        <v>6</v>
      </c>
      <c r="D547" s="0" t="inlineStr">
        <is>
          <t>다성이즈빌(371-9)</t>
        </is>
      </c>
      <c r="E547" s="0" t="inlineStr">
        <is>
          <t>2003.12.</t>
        </is>
      </c>
      <c r="F547" s="0" t="n">
        <v>47</v>
      </c>
      <c r="G547" s="0" t="n">
        <v>31.08</v>
      </c>
      <c r="H547" s="0" t="n">
        <v>102.77</v>
      </c>
      <c r="I547" s="0" t="n">
        <v>25.46</v>
      </c>
      <c r="J547" s="0" t="n">
        <v>84.19</v>
      </c>
      <c r="K547" s="0" t="n">
        <v>7</v>
      </c>
      <c r="T547" s="0" t="n">
        <v>3</v>
      </c>
      <c r="U547" s="0" t="n">
        <v>2</v>
      </c>
      <c r="V547" s="0" t="inlineStr">
        <is>
          <t>계단식</t>
        </is>
      </c>
      <c r="W547" s="0" t="inlineStr">
        <is>
          <t>102A</t>
        </is>
      </c>
      <c r="X547" s="0" t="n">
        <v>9</v>
      </c>
      <c r="Y547" s="0" t="n">
        <v>7</v>
      </c>
      <c r="Z547" s="0" t="inlineStr">
        <is>
          <t>https://new.land.naver.com/complexes/21949?tab=detail&amp;rf=Y</t>
        </is>
      </c>
      <c r="AA547" s="0" t="inlineStr">
        <is>
          <t>서울시 강동구 길동 371-9</t>
        </is>
      </c>
      <c r="AB547" s="0" t="inlineStr">
        <is>
          <t>서울시</t>
        </is>
      </c>
      <c r="AC547" s="0" t="inlineStr">
        <is>
          <t>강동구</t>
        </is>
      </c>
      <c r="AD547" s="0" t="inlineStr">
        <is>
          <t>길동</t>
        </is>
      </c>
      <c r="AG547" s="0" t="inlineStr">
        <is>
          <t>서울시 강동구 천중로40길 12</t>
        </is>
      </c>
      <c r="AH547" s="0" t="n">
        <v>0</v>
      </c>
      <c r="AI547" s="0" t="n">
        <v>249</v>
      </c>
      <c r="AJ547" s="0" t="n">
        <v>35</v>
      </c>
      <c r="AK547" s="0" t="n">
        <v>52</v>
      </c>
      <c r="AL547" s="0" t="n">
        <v>1.11</v>
      </c>
    </row>
    <row r="548">
      <c r="A548" s="0" t="inlineStr">
        <is>
          <t>[길동]</t>
        </is>
      </c>
      <c r="B548" s="0" t="n">
        <v>21949</v>
      </c>
      <c r="C548" s="0" t="n">
        <v>7</v>
      </c>
      <c r="D548" s="0" t="inlineStr">
        <is>
          <t>다성이즈빌(371-9)</t>
        </is>
      </c>
      <c r="E548" s="0" t="inlineStr">
        <is>
          <t>2003.12.</t>
        </is>
      </c>
      <c r="F548" s="0" t="n">
        <v>47</v>
      </c>
      <c r="G548" s="0" t="n">
        <v>31.29</v>
      </c>
      <c r="H548" s="0" t="n">
        <v>103.45</v>
      </c>
      <c r="I548" s="0" t="n">
        <v>25.63</v>
      </c>
      <c r="J548" s="0" t="n">
        <v>84.76000000000001</v>
      </c>
      <c r="K548" s="0" t="n">
        <v>9</v>
      </c>
      <c r="T548" s="0" t="n">
        <v>3</v>
      </c>
      <c r="U548" s="0" t="n">
        <v>2</v>
      </c>
      <c r="V548" s="0" t="inlineStr">
        <is>
          <t>계단식</t>
        </is>
      </c>
      <c r="W548" s="0" t="inlineStr">
        <is>
          <t>103B</t>
        </is>
      </c>
      <c r="X548" s="0" t="n">
        <v>9</v>
      </c>
      <c r="Y548" s="0" t="n">
        <v>7</v>
      </c>
      <c r="Z548" s="0" t="inlineStr">
        <is>
          <t>https://new.land.naver.com/complexes/21949?tab=detail&amp;rf=Y</t>
        </is>
      </c>
      <c r="AA548" s="0" t="inlineStr">
        <is>
          <t>서울시 강동구 길동 371-9</t>
        </is>
      </c>
      <c r="AB548" s="0" t="inlineStr">
        <is>
          <t>서울시</t>
        </is>
      </c>
      <c r="AC548" s="0" t="inlineStr">
        <is>
          <t>강동구</t>
        </is>
      </c>
      <c r="AD548" s="0" t="inlineStr">
        <is>
          <t>길동</t>
        </is>
      </c>
      <c r="AG548" s="0" t="inlineStr">
        <is>
          <t>서울시 강동구 천중로40길 12</t>
        </is>
      </c>
      <c r="AH548" s="0" t="n">
        <v>0</v>
      </c>
      <c r="AI548" s="0" t="n">
        <v>249</v>
      </c>
      <c r="AJ548" s="0" t="n">
        <v>35</v>
      </c>
      <c r="AK548" s="0" t="n">
        <v>52</v>
      </c>
      <c r="AL548" s="0" t="n">
        <v>1.11</v>
      </c>
    </row>
    <row r="549">
      <c r="A549" s="0" t="inlineStr">
        <is>
          <t>[길동]</t>
        </is>
      </c>
      <c r="B549" s="0" t="n">
        <v>106172</v>
      </c>
      <c r="C549" s="0" t="n">
        <v>1</v>
      </c>
      <c r="D549" s="0" t="inlineStr">
        <is>
          <t>해맞이</t>
        </is>
      </c>
      <c r="E549" s="0" t="inlineStr">
        <is>
          <t>2005.09.</t>
        </is>
      </c>
      <c r="F549" s="0" t="n">
        <v>24</v>
      </c>
      <c r="G549" s="0" t="n">
        <v>26.9</v>
      </c>
      <c r="H549" s="0" t="n">
        <v>88.95</v>
      </c>
      <c r="I549" s="0" t="n">
        <v>23.51</v>
      </c>
      <c r="J549" s="0" t="n">
        <v>77.72</v>
      </c>
      <c r="K549" s="0" t="n">
        <v>2</v>
      </c>
      <c r="T549" s="0" t="n">
        <v>3</v>
      </c>
      <c r="U549" s="0" t="n">
        <v>2</v>
      </c>
      <c r="V549" s="0" t="inlineStr">
        <is>
          <t>계단식</t>
        </is>
      </c>
      <c r="W549" s="0" t="n">
        <v>88</v>
      </c>
      <c r="X549" s="0" t="n">
        <v>7</v>
      </c>
      <c r="Y549" s="0" t="n">
        <v>7</v>
      </c>
      <c r="Z549" s="0" t="inlineStr">
        <is>
          <t>https://new.land.naver.com/complexes/106172?tab=detail&amp;rf=Y</t>
        </is>
      </c>
      <c r="AA549" s="0" t="inlineStr">
        <is>
          <t>서울시 강동구 길동 228</t>
        </is>
      </c>
      <c r="AB549" s="0" t="inlineStr">
        <is>
          <t>서울시</t>
        </is>
      </c>
      <c r="AC549" s="0" t="inlineStr">
        <is>
          <t>강동구</t>
        </is>
      </c>
      <c r="AD549" s="0" t="inlineStr">
        <is>
          <t>길동</t>
        </is>
      </c>
      <c r="AG549" s="0" t="inlineStr">
        <is>
          <t>서울시 강동구</t>
        </is>
      </c>
      <c r="AH549" s="0" t="n">
        <v>0</v>
      </c>
      <c r="AI549" s="0" t="n">
        <v>0</v>
      </c>
      <c r="AJ549" s="0" t="n">
        <v>0</v>
      </c>
      <c r="AK549" s="0" t="n">
        <v>26</v>
      </c>
      <c r="AL549" s="0" t="n">
        <v>1.08</v>
      </c>
    </row>
    <row r="550">
      <c r="A550" s="0" t="inlineStr">
        <is>
          <t>[길동]</t>
        </is>
      </c>
      <c r="B550" s="0" t="n">
        <v>106172</v>
      </c>
      <c r="C550" s="0" t="n">
        <v>2</v>
      </c>
      <c r="D550" s="0" t="inlineStr">
        <is>
          <t>해맞이</t>
        </is>
      </c>
      <c r="E550" s="0" t="inlineStr">
        <is>
          <t>2005.09.</t>
        </is>
      </c>
      <c r="F550" s="0" t="n">
        <v>24</v>
      </c>
      <c r="G550" s="0" t="n">
        <v>27.68</v>
      </c>
      <c r="H550" s="0" t="n">
        <v>91.52</v>
      </c>
      <c r="I550" s="0" t="n">
        <v>24.21</v>
      </c>
      <c r="J550" s="0" t="n">
        <v>80.04000000000001</v>
      </c>
      <c r="K550" s="0" t="n">
        <v>2</v>
      </c>
      <c r="T550" s="0" t="n">
        <v>3</v>
      </c>
      <c r="U550" s="0" t="n">
        <v>2</v>
      </c>
      <c r="V550" s="0" t="inlineStr">
        <is>
          <t>계단식</t>
        </is>
      </c>
      <c r="W550" s="0" t="n">
        <v>91</v>
      </c>
      <c r="X550" s="0" t="n">
        <v>7</v>
      </c>
      <c r="Y550" s="0" t="n">
        <v>7</v>
      </c>
      <c r="Z550" s="0" t="inlineStr">
        <is>
          <t>https://new.land.naver.com/complexes/106172?tab=detail&amp;rf=Y</t>
        </is>
      </c>
      <c r="AA550" s="0" t="inlineStr">
        <is>
          <t>서울시 강동구 길동 228</t>
        </is>
      </c>
      <c r="AB550" s="0" t="inlineStr">
        <is>
          <t>서울시</t>
        </is>
      </c>
      <c r="AC550" s="0" t="inlineStr">
        <is>
          <t>강동구</t>
        </is>
      </c>
      <c r="AD550" s="0" t="inlineStr">
        <is>
          <t>길동</t>
        </is>
      </c>
      <c r="AG550" s="0" t="inlineStr">
        <is>
          <t>서울시 강동구</t>
        </is>
      </c>
      <c r="AH550" s="0" t="n">
        <v>0</v>
      </c>
      <c r="AI550" s="0" t="n">
        <v>0</v>
      </c>
      <c r="AJ550" s="0" t="n">
        <v>0</v>
      </c>
      <c r="AK550" s="0" t="n">
        <v>26</v>
      </c>
      <c r="AL550" s="0" t="n">
        <v>1.08</v>
      </c>
    </row>
    <row r="551">
      <c r="A551" s="0" t="inlineStr">
        <is>
          <t>[길동]</t>
        </is>
      </c>
      <c r="B551" s="0" t="n">
        <v>106172</v>
      </c>
      <c r="C551" s="0" t="n">
        <v>3</v>
      </c>
      <c r="D551" s="0" t="inlineStr">
        <is>
          <t>해맞이</t>
        </is>
      </c>
      <c r="E551" s="0" t="inlineStr">
        <is>
          <t>2005.09.</t>
        </is>
      </c>
      <c r="F551" s="0" t="n">
        <v>24</v>
      </c>
      <c r="G551" s="0" t="n">
        <v>28.99</v>
      </c>
      <c r="H551" s="0" t="n">
        <v>95.84999999999999</v>
      </c>
      <c r="I551" s="0" t="n">
        <v>25.34</v>
      </c>
      <c r="J551" s="0" t="n">
        <v>83.8</v>
      </c>
      <c r="K551" s="0" t="n">
        <v>10</v>
      </c>
      <c r="T551" s="0" t="n">
        <v>3</v>
      </c>
      <c r="U551" s="0" t="n">
        <v>2</v>
      </c>
      <c r="V551" s="0" t="inlineStr">
        <is>
          <t>계단식</t>
        </is>
      </c>
      <c r="W551" s="0" t="inlineStr">
        <is>
          <t>95A</t>
        </is>
      </c>
      <c r="X551" s="0" t="n">
        <v>7</v>
      </c>
      <c r="Y551" s="0" t="n">
        <v>7</v>
      </c>
      <c r="Z551" s="0" t="inlineStr">
        <is>
          <t>https://new.land.naver.com/complexes/106172?tab=detail&amp;rf=Y</t>
        </is>
      </c>
      <c r="AA551" s="0" t="inlineStr">
        <is>
          <t>서울시 강동구 길동 228</t>
        </is>
      </c>
      <c r="AB551" s="0" t="inlineStr">
        <is>
          <t>서울시</t>
        </is>
      </c>
      <c r="AC551" s="0" t="inlineStr">
        <is>
          <t>강동구</t>
        </is>
      </c>
      <c r="AD551" s="0" t="inlineStr">
        <is>
          <t>길동</t>
        </is>
      </c>
      <c r="AG551" s="0" t="inlineStr">
        <is>
          <t>서울시 강동구</t>
        </is>
      </c>
      <c r="AH551" s="0" t="n">
        <v>0</v>
      </c>
      <c r="AI551" s="0" t="n">
        <v>0</v>
      </c>
      <c r="AJ551" s="0" t="n">
        <v>0</v>
      </c>
      <c r="AK551" s="0" t="n">
        <v>26</v>
      </c>
      <c r="AL551" s="0" t="n">
        <v>1.08</v>
      </c>
    </row>
    <row r="552">
      <c r="A552" s="0" t="inlineStr">
        <is>
          <t>[길동]</t>
        </is>
      </c>
      <c r="B552" s="0" t="n">
        <v>106172</v>
      </c>
      <c r="C552" s="0" t="n">
        <v>4</v>
      </c>
      <c r="D552" s="0" t="inlineStr">
        <is>
          <t>해맞이</t>
        </is>
      </c>
      <c r="E552" s="0" t="inlineStr">
        <is>
          <t>2005.09.</t>
        </is>
      </c>
      <c r="F552" s="0" t="n">
        <v>24</v>
      </c>
      <c r="G552" s="0" t="n">
        <v>29</v>
      </c>
      <c r="H552" s="0" t="n">
        <v>95.90000000000001</v>
      </c>
      <c r="I552" s="0" t="n">
        <v>25.34</v>
      </c>
      <c r="J552" s="0" t="n">
        <v>83.8</v>
      </c>
      <c r="K552" s="0" t="n">
        <v>10</v>
      </c>
      <c r="T552" s="0" t="n">
        <v>3</v>
      </c>
      <c r="U552" s="0" t="n">
        <v>2</v>
      </c>
      <c r="V552" s="0" t="inlineStr">
        <is>
          <t>계단식</t>
        </is>
      </c>
      <c r="W552" s="0" t="inlineStr">
        <is>
          <t>95B</t>
        </is>
      </c>
      <c r="X552" s="0" t="n">
        <v>7</v>
      </c>
      <c r="Y552" s="0" t="n">
        <v>7</v>
      </c>
      <c r="Z552" s="0" t="inlineStr">
        <is>
          <t>https://new.land.naver.com/complexes/106172?tab=detail&amp;rf=Y</t>
        </is>
      </c>
      <c r="AA552" s="0" t="inlineStr">
        <is>
          <t>서울시 강동구 길동 228</t>
        </is>
      </c>
      <c r="AB552" s="0" t="inlineStr">
        <is>
          <t>서울시</t>
        </is>
      </c>
      <c r="AC552" s="0" t="inlineStr">
        <is>
          <t>강동구</t>
        </is>
      </c>
      <c r="AD552" s="0" t="inlineStr">
        <is>
          <t>길동</t>
        </is>
      </c>
      <c r="AG552" s="0" t="inlineStr">
        <is>
          <t>서울시 강동구</t>
        </is>
      </c>
      <c r="AH552" s="0" t="n">
        <v>0</v>
      </c>
      <c r="AI552" s="0" t="n">
        <v>0</v>
      </c>
      <c r="AJ552" s="0" t="n">
        <v>0</v>
      </c>
      <c r="AK552" s="0" t="n">
        <v>26</v>
      </c>
      <c r="AL552" s="0" t="n">
        <v>1.08</v>
      </c>
    </row>
    <row r="553">
      <c r="A553" s="0" t="inlineStr">
        <is>
          <t>[길동]</t>
        </is>
      </c>
      <c r="B553" s="0" t="n">
        <v>101254</v>
      </c>
      <c r="C553" s="0" t="n">
        <v>1</v>
      </c>
      <c r="D553" s="0" t="inlineStr">
        <is>
          <t>태솔</t>
        </is>
      </c>
      <c r="E553" s="0" t="inlineStr">
        <is>
          <t>2009.11.</t>
        </is>
      </c>
      <c r="F553" s="0" t="n">
        <v>18</v>
      </c>
      <c r="G553" s="0" t="n">
        <v>23.13</v>
      </c>
      <c r="H553" s="0" t="n">
        <v>76.48</v>
      </c>
      <c r="I553" s="0" t="n">
        <v>20.29</v>
      </c>
      <c r="J553" s="0" t="n">
        <v>67.08</v>
      </c>
      <c r="K553" s="0" t="n">
        <v>2</v>
      </c>
      <c r="T553" s="0" t="n">
        <v>3</v>
      </c>
      <c r="U553" s="0" t="n">
        <v>1</v>
      </c>
      <c r="V553" s="0" t="inlineStr">
        <is>
          <t>계단식</t>
        </is>
      </c>
      <c r="W553" s="0" t="n">
        <v>76</v>
      </c>
      <c r="X553" s="0" t="n">
        <v>7</v>
      </c>
      <c r="Y553" s="0" t="n">
        <v>7</v>
      </c>
      <c r="Z553" s="0" t="inlineStr">
        <is>
          <t>https://new.land.naver.com/complexes/101254?tab=detail&amp;rf=Y</t>
        </is>
      </c>
      <c r="AA553" s="0" t="inlineStr">
        <is>
          <t>서울시 강동구 길동 347-20</t>
        </is>
      </c>
      <c r="AB553" s="0" t="inlineStr">
        <is>
          <t>서울시</t>
        </is>
      </c>
      <c r="AC553" s="0" t="inlineStr">
        <is>
          <t>강동구</t>
        </is>
      </c>
      <c r="AD553" s="0" t="inlineStr">
        <is>
          <t>길동</t>
        </is>
      </c>
      <c r="AG553" s="0" t="inlineStr">
        <is>
          <t>서울시 강동구 양재대로122길 16</t>
        </is>
      </c>
      <c r="AH553" s="0" t="n">
        <v>0</v>
      </c>
      <c r="AI553" s="0" t="n">
        <v>247</v>
      </c>
      <c r="AJ553" s="0" t="n">
        <v>47</v>
      </c>
      <c r="AK553" s="0" t="n">
        <v>18</v>
      </c>
      <c r="AL553" s="0" t="n">
        <v>1</v>
      </c>
    </row>
    <row r="554">
      <c r="A554" s="0" t="inlineStr">
        <is>
          <t>[길동]</t>
        </is>
      </c>
      <c r="B554" s="0" t="n">
        <v>101254</v>
      </c>
      <c r="C554" s="0" t="n">
        <v>2</v>
      </c>
      <c r="D554" s="0" t="inlineStr">
        <is>
          <t>태솔</t>
        </is>
      </c>
      <c r="E554" s="0" t="inlineStr">
        <is>
          <t>2009.11.</t>
        </is>
      </c>
      <c r="F554" s="0" t="n">
        <v>18</v>
      </c>
      <c r="G554" s="0" t="n">
        <v>25.44</v>
      </c>
      <c r="H554" s="0" t="n">
        <v>84.13</v>
      </c>
      <c r="I554" s="0" t="n">
        <v>22.32</v>
      </c>
      <c r="J554" s="0" t="n">
        <v>73.79000000000001</v>
      </c>
      <c r="K554" s="0" t="n">
        <v>6</v>
      </c>
      <c r="T554" s="0" t="n">
        <v>3</v>
      </c>
      <c r="U554" s="0" t="n">
        <v>2</v>
      </c>
      <c r="V554" s="0" t="inlineStr">
        <is>
          <t>계단식</t>
        </is>
      </c>
      <c r="W554" s="0" t="n">
        <v>84</v>
      </c>
      <c r="X554" s="0" t="n">
        <v>7</v>
      </c>
      <c r="Y554" s="0" t="n">
        <v>7</v>
      </c>
      <c r="Z554" s="0" t="inlineStr">
        <is>
          <t>https://new.land.naver.com/complexes/101254?tab=detail&amp;rf=Y</t>
        </is>
      </c>
      <c r="AA554" s="0" t="inlineStr">
        <is>
          <t>서울시 강동구 길동 347-20</t>
        </is>
      </c>
      <c r="AB554" s="0" t="inlineStr">
        <is>
          <t>서울시</t>
        </is>
      </c>
      <c r="AC554" s="0" t="inlineStr">
        <is>
          <t>강동구</t>
        </is>
      </c>
      <c r="AD554" s="0" t="inlineStr">
        <is>
          <t>길동</t>
        </is>
      </c>
      <c r="AG554" s="0" t="inlineStr">
        <is>
          <t>서울시 강동구 양재대로122길 16</t>
        </is>
      </c>
      <c r="AH554" s="0" t="n">
        <v>0</v>
      </c>
      <c r="AI554" s="0" t="n">
        <v>247</v>
      </c>
      <c r="AJ554" s="0" t="n">
        <v>47</v>
      </c>
      <c r="AK554" s="0" t="n">
        <v>18</v>
      </c>
      <c r="AL554" s="0" t="n">
        <v>1</v>
      </c>
    </row>
    <row r="555">
      <c r="A555" s="0" t="inlineStr">
        <is>
          <t>[길동]</t>
        </is>
      </c>
      <c r="B555" s="0" t="n">
        <v>101254</v>
      </c>
      <c r="C555" s="0" t="n">
        <v>3</v>
      </c>
      <c r="D555" s="0" t="inlineStr">
        <is>
          <t>태솔</t>
        </is>
      </c>
      <c r="E555" s="0" t="inlineStr">
        <is>
          <t>2009.11.</t>
        </is>
      </c>
      <c r="F555" s="0" t="n">
        <v>18</v>
      </c>
      <c r="G555" s="0" t="n">
        <v>26.62</v>
      </c>
      <c r="H555" s="0" t="n">
        <v>88.01000000000001</v>
      </c>
      <c r="I555" s="0" t="n">
        <v>23.34</v>
      </c>
      <c r="J555" s="0" t="n">
        <v>77.19</v>
      </c>
      <c r="K555" s="0" t="n">
        <v>10</v>
      </c>
      <c r="T555" s="0" t="n">
        <v>3</v>
      </c>
      <c r="U555" s="0" t="n">
        <v>2</v>
      </c>
      <c r="V555" s="0" t="inlineStr">
        <is>
          <t>계단식</t>
        </is>
      </c>
      <c r="W555" s="0" t="n">
        <v>88</v>
      </c>
      <c r="X555" s="0" t="n">
        <v>7</v>
      </c>
      <c r="Y555" s="0" t="n">
        <v>7</v>
      </c>
      <c r="Z555" s="0" t="inlineStr">
        <is>
          <t>https://new.land.naver.com/complexes/101254?tab=detail&amp;rf=Y</t>
        </is>
      </c>
      <c r="AA555" s="0" t="inlineStr">
        <is>
          <t>서울시 강동구 길동 347-20</t>
        </is>
      </c>
      <c r="AB555" s="0" t="inlineStr">
        <is>
          <t>서울시</t>
        </is>
      </c>
      <c r="AC555" s="0" t="inlineStr">
        <is>
          <t>강동구</t>
        </is>
      </c>
      <c r="AD555" s="0" t="inlineStr">
        <is>
          <t>길동</t>
        </is>
      </c>
      <c r="AG555" s="0" t="inlineStr">
        <is>
          <t>서울시 강동구 양재대로122길 16</t>
        </is>
      </c>
      <c r="AH555" s="0" t="n">
        <v>0</v>
      </c>
      <c r="AI555" s="0" t="n">
        <v>247</v>
      </c>
      <c r="AJ555" s="0" t="n">
        <v>47</v>
      </c>
      <c r="AK555" s="0" t="n">
        <v>18</v>
      </c>
      <c r="AL555" s="0" t="n">
        <v>1</v>
      </c>
    </row>
    <row r="556">
      <c r="A556" s="0" t="inlineStr">
        <is>
          <t>[길동]</t>
        </is>
      </c>
      <c r="B556" s="0" t="n">
        <v>100114</v>
      </c>
      <c r="C556" s="0" t="n">
        <v>1</v>
      </c>
      <c r="D556" s="0" t="inlineStr">
        <is>
          <t>태천해오름18차</t>
        </is>
      </c>
      <c r="E556" s="0" t="inlineStr">
        <is>
          <t>2003.11.</t>
        </is>
      </c>
      <c r="F556" s="0" t="n">
        <v>18</v>
      </c>
      <c r="G556" s="0" t="n">
        <v>24.12</v>
      </c>
      <c r="H556" s="0" t="n">
        <v>79.76000000000001</v>
      </c>
      <c r="I556" s="0" t="n">
        <v>21.24</v>
      </c>
      <c r="J556" s="0" t="n">
        <v>70.23999999999999</v>
      </c>
      <c r="K556" s="0" t="n">
        <v>1</v>
      </c>
      <c r="T556" s="0" t="n">
        <v>3</v>
      </c>
      <c r="U556" s="0" t="n">
        <v>2</v>
      </c>
      <c r="V556" s="0" t="inlineStr">
        <is>
          <t>계단식</t>
        </is>
      </c>
      <c r="W556" s="0" t="n">
        <v>79</v>
      </c>
      <c r="X556" s="0" t="n">
        <v>7</v>
      </c>
      <c r="Y556" s="0" t="n">
        <v>7</v>
      </c>
      <c r="Z556" s="0" t="inlineStr">
        <is>
          <t>https://new.land.naver.com/complexes/100114?tab=detail&amp;rf=Y</t>
        </is>
      </c>
      <c r="AA556" s="0" t="inlineStr">
        <is>
          <t>서울시 강동구 길동 83-2</t>
        </is>
      </c>
      <c r="AB556" s="0" t="inlineStr">
        <is>
          <t>서울시</t>
        </is>
      </c>
      <c r="AC556" s="0" t="inlineStr">
        <is>
          <t>강동구</t>
        </is>
      </c>
      <c r="AD556" s="0" t="inlineStr">
        <is>
          <t>길동</t>
        </is>
      </c>
      <c r="AG556" s="0" t="inlineStr">
        <is>
          <t>서울시 강동구 명일로24길 11-9</t>
        </is>
      </c>
      <c r="AH556" s="0" t="n">
        <v>0</v>
      </c>
      <c r="AI556" s="0" t="n">
        <v>268</v>
      </c>
      <c r="AJ556" s="0" t="n">
        <v>45</v>
      </c>
      <c r="AK556" s="0" t="n">
        <v>20</v>
      </c>
      <c r="AL556" s="0" t="n">
        <v>1.11</v>
      </c>
    </row>
    <row r="557">
      <c r="A557" s="0" t="inlineStr">
        <is>
          <t>[길동]</t>
        </is>
      </c>
      <c r="B557" s="0" t="n">
        <v>100114</v>
      </c>
      <c r="C557" s="0" t="n">
        <v>2</v>
      </c>
      <c r="D557" s="0" t="inlineStr">
        <is>
          <t>태천해오름18차</t>
        </is>
      </c>
      <c r="E557" s="0" t="inlineStr">
        <is>
          <t>2003.11.</t>
        </is>
      </c>
      <c r="F557" s="0" t="n">
        <v>18</v>
      </c>
      <c r="G557" s="0" t="n">
        <v>25.34</v>
      </c>
      <c r="H557" s="0" t="n">
        <v>83.79000000000001</v>
      </c>
      <c r="I557" s="0" t="n">
        <v>22.31</v>
      </c>
      <c r="J557" s="0" t="n">
        <v>73.78</v>
      </c>
      <c r="K557" s="0" t="n">
        <v>1</v>
      </c>
      <c r="T557" s="0" t="n">
        <v>3</v>
      </c>
      <c r="U557" s="0" t="n">
        <v>2</v>
      </c>
      <c r="V557" s="0" t="inlineStr">
        <is>
          <t>계단식</t>
        </is>
      </c>
      <c r="W557" s="0" t="inlineStr">
        <is>
          <t>83A</t>
        </is>
      </c>
      <c r="X557" s="0" t="n">
        <v>7</v>
      </c>
      <c r="Y557" s="0" t="n">
        <v>7</v>
      </c>
      <c r="Z557" s="0" t="inlineStr">
        <is>
          <t>https://new.land.naver.com/complexes/100114?tab=detail&amp;rf=Y</t>
        </is>
      </c>
      <c r="AA557" s="0" t="inlineStr">
        <is>
          <t>서울시 강동구 길동 83-2</t>
        </is>
      </c>
      <c r="AB557" s="0" t="inlineStr">
        <is>
          <t>서울시</t>
        </is>
      </c>
      <c r="AC557" s="0" t="inlineStr">
        <is>
          <t>강동구</t>
        </is>
      </c>
      <c r="AD557" s="0" t="inlineStr">
        <is>
          <t>길동</t>
        </is>
      </c>
      <c r="AG557" s="0" t="inlineStr">
        <is>
          <t>서울시 강동구 명일로24길 11-9</t>
        </is>
      </c>
      <c r="AH557" s="0" t="n">
        <v>0</v>
      </c>
      <c r="AI557" s="0" t="n">
        <v>268</v>
      </c>
      <c r="AJ557" s="0" t="n">
        <v>45</v>
      </c>
      <c r="AK557" s="0" t="n">
        <v>20</v>
      </c>
      <c r="AL557" s="0" t="n">
        <v>1.11</v>
      </c>
    </row>
    <row r="558">
      <c r="A558" s="0" t="inlineStr">
        <is>
          <t>[길동]</t>
        </is>
      </c>
      <c r="B558" s="0" t="n">
        <v>100114</v>
      </c>
      <c r="C558" s="0" t="n">
        <v>3</v>
      </c>
      <c r="D558" s="0" t="inlineStr">
        <is>
          <t>태천해오름18차</t>
        </is>
      </c>
      <c r="E558" s="0" t="inlineStr">
        <is>
          <t>2003.11.</t>
        </is>
      </c>
      <c r="F558" s="0" t="n">
        <v>18</v>
      </c>
      <c r="G558" s="0" t="n">
        <v>25.38</v>
      </c>
      <c r="H558" s="0" t="n">
        <v>83.91</v>
      </c>
      <c r="I558" s="0" t="n">
        <v>22.35</v>
      </c>
      <c r="J558" s="0" t="n">
        <v>73.89</v>
      </c>
      <c r="K558" s="0" t="n">
        <v>1</v>
      </c>
      <c r="T558" s="0" t="n">
        <v>3</v>
      </c>
      <c r="U558" s="0" t="n">
        <v>2</v>
      </c>
      <c r="V558" s="0" t="inlineStr">
        <is>
          <t>계단식</t>
        </is>
      </c>
      <c r="W558" s="0" t="inlineStr">
        <is>
          <t>83B</t>
        </is>
      </c>
      <c r="X558" s="0" t="n">
        <v>7</v>
      </c>
      <c r="Y558" s="0" t="n">
        <v>7</v>
      </c>
      <c r="Z558" s="0" t="inlineStr">
        <is>
          <t>https://new.land.naver.com/complexes/100114?tab=detail&amp;rf=Y</t>
        </is>
      </c>
      <c r="AA558" s="0" t="inlineStr">
        <is>
          <t>서울시 강동구 길동 83-2</t>
        </is>
      </c>
      <c r="AB558" s="0" t="inlineStr">
        <is>
          <t>서울시</t>
        </is>
      </c>
      <c r="AC558" s="0" t="inlineStr">
        <is>
          <t>강동구</t>
        </is>
      </c>
      <c r="AD558" s="0" t="inlineStr">
        <is>
          <t>길동</t>
        </is>
      </c>
      <c r="AG558" s="0" t="inlineStr">
        <is>
          <t>서울시 강동구 명일로24길 11-9</t>
        </is>
      </c>
      <c r="AH558" s="0" t="n">
        <v>0</v>
      </c>
      <c r="AI558" s="0" t="n">
        <v>268</v>
      </c>
      <c r="AJ558" s="0" t="n">
        <v>45</v>
      </c>
      <c r="AK558" s="0" t="n">
        <v>20</v>
      </c>
      <c r="AL558" s="0" t="n">
        <v>1.11</v>
      </c>
    </row>
    <row r="559">
      <c r="A559" s="0" t="inlineStr">
        <is>
          <t>[길동]</t>
        </is>
      </c>
      <c r="B559" s="0" t="n">
        <v>100114</v>
      </c>
      <c r="C559" s="0" t="n">
        <v>4</v>
      </c>
      <c r="D559" s="0" t="inlineStr">
        <is>
          <t>태천해오름18차</t>
        </is>
      </c>
      <c r="E559" s="0" t="inlineStr">
        <is>
          <t>2003.11.</t>
        </is>
      </c>
      <c r="F559" s="0" t="n">
        <v>18</v>
      </c>
      <c r="G559" s="0" t="n">
        <v>27.66</v>
      </c>
      <c r="H559" s="0" t="n">
        <v>91.45999999999999</v>
      </c>
      <c r="I559" s="0" t="n">
        <v>24.36</v>
      </c>
      <c r="J559" s="0" t="n">
        <v>80.54000000000001</v>
      </c>
      <c r="K559" s="0" t="n">
        <v>1</v>
      </c>
      <c r="T559" s="0" t="n">
        <v>3</v>
      </c>
      <c r="U559" s="0" t="n">
        <v>2</v>
      </c>
      <c r="V559" s="0" t="inlineStr">
        <is>
          <t>계단식</t>
        </is>
      </c>
      <c r="W559" s="0" t="n">
        <v>91</v>
      </c>
      <c r="X559" s="0" t="n">
        <v>7</v>
      </c>
      <c r="Y559" s="0" t="n">
        <v>7</v>
      </c>
      <c r="Z559" s="0" t="inlineStr">
        <is>
          <t>https://new.land.naver.com/complexes/100114?tab=detail&amp;rf=Y</t>
        </is>
      </c>
      <c r="AA559" s="0" t="inlineStr">
        <is>
          <t>서울시 강동구 길동 83-2</t>
        </is>
      </c>
      <c r="AB559" s="0" t="inlineStr">
        <is>
          <t>서울시</t>
        </is>
      </c>
      <c r="AC559" s="0" t="inlineStr">
        <is>
          <t>강동구</t>
        </is>
      </c>
      <c r="AD559" s="0" t="inlineStr">
        <is>
          <t>길동</t>
        </is>
      </c>
      <c r="AG559" s="0" t="inlineStr">
        <is>
          <t>서울시 강동구 명일로24길 11-9</t>
        </is>
      </c>
      <c r="AH559" s="0" t="n">
        <v>0</v>
      </c>
      <c r="AI559" s="0" t="n">
        <v>268</v>
      </c>
      <c r="AJ559" s="0" t="n">
        <v>45</v>
      </c>
      <c r="AK559" s="0" t="n">
        <v>20</v>
      </c>
      <c r="AL559" s="0" t="n">
        <v>1.11</v>
      </c>
    </row>
    <row r="560">
      <c r="A560" s="0" t="inlineStr">
        <is>
          <t>[길동]</t>
        </is>
      </c>
      <c r="B560" s="0" t="n">
        <v>100114</v>
      </c>
      <c r="C560" s="0" t="n">
        <v>5</v>
      </c>
      <c r="D560" s="0" t="inlineStr">
        <is>
          <t>태천해오름18차</t>
        </is>
      </c>
      <c r="E560" s="0" t="inlineStr">
        <is>
          <t>2003.11.</t>
        </is>
      </c>
      <c r="F560" s="0" t="n">
        <v>18</v>
      </c>
      <c r="G560" s="0" t="n">
        <v>28.29</v>
      </c>
      <c r="H560" s="0" t="n">
        <v>93.55</v>
      </c>
      <c r="I560" s="0" t="n">
        <v>24.92</v>
      </c>
      <c r="J560" s="0" t="n">
        <v>82.39</v>
      </c>
      <c r="K560" s="0" t="n">
        <v>5</v>
      </c>
      <c r="T560" s="0" t="n">
        <v>3</v>
      </c>
      <c r="U560" s="0" t="n">
        <v>2</v>
      </c>
      <c r="V560" s="0" t="inlineStr">
        <is>
          <t>계단식</t>
        </is>
      </c>
      <c r="W560" s="0" t="inlineStr">
        <is>
          <t>93A</t>
        </is>
      </c>
      <c r="X560" s="0" t="n">
        <v>7</v>
      </c>
      <c r="Y560" s="0" t="n">
        <v>7</v>
      </c>
      <c r="Z560" s="0" t="inlineStr">
        <is>
          <t>https://new.land.naver.com/complexes/100114?tab=detail&amp;rf=Y</t>
        </is>
      </c>
      <c r="AA560" s="0" t="inlineStr">
        <is>
          <t>서울시 강동구 길동 83-2</t>
        </is>
      </c>
      <c r="AB560" s="0" t="inlineStr">
        <is>
          <t>서울시</t>
        </is>
      </c>
      <c r="AC560" s="0" t="inlineStr">
        <is>
          <t>강동구</t>
        </is>
      </c>
      <c r="AD560" s="0" t="inlineStr">
        <is>
          <t>길동</t>
        </is>
      </c>
      <c r="AG560" s="0" t="inlineStr">
        <is>
          <t>서울시 강동구 명일로24길 11-9</t>
        </is>
      </c>
      <c r="AH560" s="0" t="n">
        <v>0</v>
      </c>
      <c r="AI560" s="0" t="n">
        <v>268</v>
      </c>
      <c r="AJ560" s="0" t="n">
        <v>45</v>
      </c>
      <c r="AK560" s="0" t="n">
        <v>20</v>
      </c>
      <c r="AL560" s="0" t="n">
        <v>1.11</v>
      </c>
    </row>
    <row r="561">
      <c r="A561" s="0" t="inlineStr">
        <is>
          <t>[길동]</t>
        </is>
      </c>
      <c r="B561" s="0" t="n">
        <v>100114</v>
      </c>
      <c r="C561" s="0" t="n">
        <v>6</v>
      </c>
      <c r="D561" s="0" t="inlineStr">
        <is>
          <t>태천해오름18차</t>
        </is>
      </c>
      <c r="E561" s="0" t="inlineStr">
        <is>
          <t>2003.11.</t>
        </is>
      </c>
      <c r="F561" s="0" t="n">
        <v>18</v>
      </c>
      <c r="G561" s="0" t="n">
        <v>28.31</v>
      </c>
      <c r="H561" s="0" t="n">
        <v>93.59999999999999</v>
      </c>
      <c r="I561" s="0" t="n">
        <v>24.93</v>
      </c>
      <c r="J561" s="0" t="n">
        <v>82.43000000000001</v>
      </c>
      <c r="K561" s="0" t="n">
        <v>1</v>
      </c>
      <c r="T561" s="0" t="n">
        <v>3</v>
      </c>
      <c r="U561" s="0" t="n">
        <v>2</v>
      </c>
      <c r="V561" s="0" t="inlineStr">
        <is>
          <t>계단식</t>
        </is>
      </c>
      <c r="W561" s="0" t="inlineStr">
        <is>
          <t>93B</t>
        </is>
      </c>
      <c r="X561" s="0" t="n">
        <v>7</v>
      </c>
      <c r="Y561" s="0" t="n">
        <v>7</v>
      </c>
      <c r="Z561" s="0" t="inlineStr">
        <is>
          <t>https://new.land.naver.com/complexes/100114?tab=detail&amp;rf=Y</t>
        </is>
      </c>
      <c r="AA561" s="0" t="inlineStr">
        <is>
          <t>서울시 강동구 길동 83-2</t>
        </is>
      </c>
      <c r="AB561" s="0" t="inlineStr">
        <is>
          <t>서울시</t>
        </is>
      </c>
      <c r="AC561" s="0" t="inlineStr">
        <is>
          <t>강동구</t>
        </is>
      </c>
      <c r="AD561" s="0" t="inlineStr">
        <is>
          <t>길동</t>
        </is>
      </c>
      <c r="AG561" s="0" t="inlineStr">
        <is>
          <t>서울시 강동구 명일로24길 11-9</t>
        </is>
      </c>
      <c r="AH561" s="0" t="n">
        <v>0</v>
      </c>
      <c r="AI561" s="0" t="n">
        <v>268</v>
      </c>
      <c r="AJ561" s="0" t="n">
        <v>45</v>
      </c>
      <c r="AK561" s="0" t="n">
        <v>20</v>
      </c>
      <c r="AL561" s="0" t="n">
        <v>1.11</v>
      </c>
    </row>
    <row r="562">
      <c r="A562" s="0" t="inlineStr">
        <is>
          <t>[길동]</t>
        </is>
      </c>
      <c r="B562" s="0" t="n">
        <v>100114</v>
      </c>
      <c r="C562" s="0" t="n">
        <v>7</v>
      </c>
      <c r="D562" s="0" t="inlineStr">
        <is>
          <t>태천해오름18차</t>
        </is>
      </c>
      <c r="E562" s="0" t="inlineStr">
        <is>
          <t>2003.11.</t>
        </is>
      </c>
      <c r="F562" s="0" t="n">
        <v>18</v>
      </c>
      <c r="G562" s="0" t="n">
        <v>28.57</v>
      </c>
      <c r="H562" s="0" t="n">
        <v>94.45</v>
      </c>
      <c r="I562" s="0" t="n">
        <v>25.16</v>
      </c>
      <c r="J562" s="0" t="n">
        <v>83.18000000000001</v>
      </c>
      <c r="K562" s="0" t="n">
        <v>4</v>
      </c>
      <c r="T562" s="0" t="n">
        <v>3</v>
      </c>
      <c r="U562" s="0" t="n">
        <v>2</v>
      </c>
      <c r="V562" s="0" t="inlineStr">
        <is>
          <t>계단식</t>
        </is>
      </c>
      <c r="W562" s="0" t="inlineStr">
        <is>
          <t>94C</t>
        </is>
      </c>
      <c r="X562" s="0" t="n">
        <v>7</v>
      </c>
      <c r="Y562" s="0" t="n">
        <v>7</v>
      </c>
      <c r="Z562" s="0" t="inlineStr">
        <is>
          <t>https://new.land.naver.com/complexes/100114?tab=detail&amp;rf=Y</t>
        </is>
      </c>
      <c r="AA562" s="0" t="inlineStr">
        <is>
          <t>서울시 강동구 길동 83-2</t>
        </is>
      </c>
      <c r="AB562" s="0" t="inlineStr">
        <is>
          <t>서울시</t>
        </is>
      </c>
      <c r="AC562" s="0" t="inlineStr">
        <is>
          <t>강동구</t>
        </is>
      </c>
      <c r="AD562" s="0" t="inlineStr">
        <is>
          <t>길동</t>
        </is>
      </c>
      <c r="AG562" s="0" t="inlineStr">
        <is>
          <t>서울시 강동구 명일로24길 11-9</t>
        </is>
      </c>
      <c r="AH562" s="0" t="n">
        <v>0</v>
      </c>
      <c r="AI562" s="0" t="n">
        <v>268</v>
      </c>
      <c r="AJ562" s="0" t="n">
        <v>45</v>
      </c>
      <c r="AK562" s="0" t="n">
        <v>20</v>
      </c>
      <c r="AL562" s="0" t="n">
        <v>1.11</v>
      </c>
    </row>
    <row r="563">
      <c r="A563" s="0" t="inlineStr">
        <is>
          <t>[길동]</t>
        </is>
      </c>
      <c r="B563" s="0" t="n">
        <v>100114</v>
      </c>
      <c r="C563" s="0" t="n">
        <v>8</v>
      </c>
      <c r="D563" s="0" t="inlineStr">
        <is>
          <t>태천해오름18차</t>
        </is>
      </c>
      <c r="E563" s="0" t="inlineStr">
        <is>
          <t>2003.11.</t>
        </is>
      </c>
      <c r="F563" s="0" t="n">
        <v>18</v>
      </c>
      <c r="G563" s="0" t="n">
        <v>28.64</v>
      </c>
      <c r="H563" s="0" t="n">
        <v>94.68000000000001</v>
      </c>
      <c r="I563" s="0" t="n">
        <v>25.22</v>
      </c>
      <c r="J563" s="0" t="n">
        <v>83.38</v>
      </c>
      <c r="K563" s="0" t="n">
        <v>4</v>
      </c>
      <c r="T563" s="0" t="n">
        <v>3</v>
      </c>
      <c r="U563" s="0" t="n">
        <v>2</v>
      </c>
      <c r="V563" s="0" t="inlineStr">
        <is>
          <t>계단식</t>
        </is>
      </c>
      <c r="W563" s="0" t="inlineStr">
        <is>
          <t>94D</t>
        </is>
      </c>
      <c r="X563" s="0" t="n">
        <v>7</v>
      </c>
      <c r="Y563" s="0" t="n">
        <v>7</v>
      </c>
      <c r="Z563" s="0" t="inlineStr">
        <is>
          <t>https://new.land.naver.com/complexes/100114?tab=detail&amp;rf=Y</t>
        </is>
      </c>
      <c r="AA563" s="0" t="inlineStr">
        <is>
          <t>서울시 강동구 길동 83-2</t>
        </is>
      </c>
      <c r="AB563" s="0" t="inlineStr">
        <is>
          <t>서울시</t>
        </is>
      </c>
      <c r="AC563" s="0" t="inlineStr">
        <is>
          <t>강동구</t>
        </is>
      </c>
      <c r="AD563" s="0" t="inlineStr">
        <is>
          <t>길동</t>
        </is>
      </c>
      <c r="AG563" s="0" t="inlineStr">
        <is>
          <t>서울시 강동구 명일로24길 11-9</t>
        </is>
      </c>
      <c r="AH563" s="0" t="n">
        <v>0</v>
      </c>
      <c r="AI563" s="0" t="n">
        <v>268</v>
      </c>
      <c r="AJ563" s="0" t="n">
        <v>45</v>
      </c>
      <c r="AK563" s="0" t="n">
        <v>20</v>
      </c>
      <c r="AL563" s="0" t="n">
        <v>1.11</v>
      </c>
    </row>
    <row r="564">
      <c r="A564" s="0" t="inlineStr">
        <is>
          <t>[길동]</t>
        </is>
      </c>
      <c r="B564" s="0" t="n">
        <v>24887</v>
      </c>
      <c r="C564" s="0" t="n">
        <v>1</v>
      </c>
      <c r="D564" s="0" t="inlineStr">
        <is>
          <t>태성</t>
        </is>
      </c>
      <c r="E564" s="0" t="inlineStr">
        <is>
          <t>2003.11.</t>
        </is>
      </c>
      <c r="F564" s="0" t="n">
        <v>35</v>
      </c>
      <c r="G564" s="0" t="n">
        <v>23.85</v>
      </c>
      <c r="H564" s="0" t="n">
        <v>78.87</v>
      </c>
      <c r="I564" s="0" t="n">
        <v>19.39</v>
      </c>
      <c r="J564" s="0" t="n">
        <v>64.09999999999999</v>
      </c>
      <c r="K564" s="0" t="n">
        <v>3</v>
      </c>
      <c r="T564" s="0" t="n">
        <v>3</v>
      </c>
      <c r="U564" s="0" t="n">
        <v>1</v>
      </c>
      <c r="V564" s="0" t="inlineStr">
        <is>
          <t>계단식</t>
        </is>
      </c>
      <c r="W564" s="0" t="n">
        <v>78</v>
      </c>
      <c r="X564" s="0" t="n">
        <v>9</v>
      </c>
      <c r="Y564" s="0" t="n">
        <v>9</v>
      </c>
      <c r="Z564" s="0" t="inlineStr">
        <is>
          <t>https://new.land.naver.com/complexes/24887?tab=detail&amp;rf=Y</t>
        </is>
      </c>
      <c r="AA564" s="0" t="inlineStr">
        <is>
          <t>서울시 강동구 길동 360-5</t>
        </is>
      </c>
      <c r="AB564" s="0" t="inlineStr">
        <is>
          <t>서울시</t>
        </is>
      </c>
      <c r="AC564" s="0" t="inlineStr">
        <is>
          <t>강동구</t>
        </is>
      </c>
      <c r="AD564" s="0" t="inlineStr">
        <is>
          <t>길동</t>
        </is>
      </c>
      <c r="AG564" s="0" t="inlineStr">
        <is>
          <t>서울시 강동구 명일로17길 40</t>
        </is>
      </c>
      <c r="AH564" s="0" t="n">
        <v>0</v>
      </c>
      <c r="AI564" s="0" t="n">
        <v>233</v>
      </c>
      <c r="AJ564" s="0" t="n">
        <v>29</v>
      </c>
      <c r="AK564" s="0" t="n">
        <v>42</v>
      </c>
      <c r="AL564" s="0" t="n">
        <v>1.2</v>
      </c>
    </row>
    <row r="565">
      <c r="A565" s="0" t="inlineStr">
        <is>
          <t>[길동]</t>
        </is>
      </c>
      <c r="B565" s="0" t="n">
        <v>24887</v>
      </c>
      <c r="C565" s="0" t="n">
        <v>2</v>
      </c>
      <c r="D565" s="0" t="inlineStr">
        <is>
          <t>태성</t>
        </is>
      </c>
      <c r="E565" s="0" t="inlineStr">
        <is>
          <t>2003.11.</t>
        </is>
      </c>
      <c r="F565" s="0" t="n">
        <v>35</v>
      </c>
      <c r="G565" s="0" t="n">
        <v>27.38</v>
      </c>
      <c r="H565" s="0" t="n">
        <v>90.53</v>
      </c>
      <c r="I565" s="0" t="n">
        <v>21.56</v>
      </c>
      <c r="J565" s="0" t="n">
        <v>71.28</v>
      </c>
      <c r="K565" s="0" t="n">
        <v>1</v>
      </c>
      <c r="T565" s="0" t="n">
        <v>3</v>
      </c>
      <c r="U565" s="0" t="n">
        <v>1</v>
      </c>
      <c r="V565" s="0" t="inlineStr">
        <is>
          <t>계단식</t>
        </is>
      </c>
      <c r="W565" s="0" t="n">
        <v>90</v>
      </c>
      <c r="X565" s="0" t="n">
        <v>9</v>
      </c>
      <c r="Y565" s="0" t="n">
        <v>9</v>
      </c>
      <c r="Z565" s="0" t="inlineStr">
        <is>
          <t>https://new.land.naver.com/complexes/24887?tab=detail&amp;rf=Y</t>
        </is>
      </c>
      <c r="AA565" s="0" t="inlineStr">
        <is>
          <t>서울시 강동구 길동 360-5</t>
        </is>
      </c>
      <c r="AB565" s="0" t="inlineStr">
        <is>
          <t>서울시</t>
        </is>
      </c>
      <c r="AC565" s="0" t="inlineStr">
        <is>
          <t>강동구</t>
        </is>
      </c>
      <c r="AD565" s="0" t="inlineStr">
        <is>
          <t>길동</t>
        </is>
      </c>
      <c r="AG565" s="0" t="inlineStr">
        <is>
          <t>서울시 강동구 명일로17길 40</t>
        </is>
      </c>
      <c r="AH565" s="0" t="n">
        <v>0</v>
      </c>
      <c r="AI565" s="0" t="n">
        <v>233</v>
      </c>
      <c r="AJ565" s="0" t="n">
        <v>29</v>
      </c>
      <c r="AK565" s="0" t="n">
        <v>42</v>
      </c>
      <c r="AL565" s="0" t="n">
        <v>1.2</v>
      </c>
    </row>
    <row r="566">
      <c r="A566" s="0" t="inlineStr">
        <is>
          <t>[길동]</t>
        </is>
      </c>
      <c r="B566" s="0" t="n">
        <v>24887</v>
      </c>
      <c r="C566" s="0" t="n">
        <v>3</v>
      </c>
      <c r="D566" s="0" t="inlineStr">
        <is>
          <t>태성</t>
        </is>
      </c>
      <c r="E566" s="0" t="inlineStr">
        <is>
          <t>2003.11.</t>
        </is>
      </c>
      <c r="F566" s="0" t="n">
        <v>35</v>
      </c>
      <c r="G566" s="0" t="n">
        <v>28.39</v>
      </c>
      <c r="H566" s="0" t="n">
        <v>93.86</v>
      </c>
      <c r="I566" s="0" t="n">
        <v>23.12</v>
      </c>
      <c r="J566" s="0" t="n">
        <v>76.45</v>
      </c>
      <c r="K566" s="0" t="n">
        <v>23</v>
      </c>
      <c r="T566" s="0" t="n">
        <v>3</v>
      </c>
      <c r="U566" s="0" t="n">
        <v>1</v>
      </c>
      <c r="V566" s="0" t="inlineStr">
        <is>
          <t>계단식</t>
        </is>
      </c>
      <c r="W566" s="0" t="n">
        <v>93</v>
      </c>
      <c r="X566" s="0" t="n">
        <v>9</v>
      </c>
      <c r="Y566" s="0" t="n">
        <v>9</v>
      </c>
      <c r="Z566" s="0" t="inlineStr">
        <is>
          <t>https://new.land.naver.com/complexes/24887?tab=detail&amp;rf=Y</t>
        </is>
      </c>
      <c r="AA566" s="0" t="inlineStr">
        <is>
          <t>서울시 강동구 길동 360-5</t>
        </is>
      </c>
      <c r="AB566" s="0" t="inlineStr">
        <is>
          <t>서울시</t>
        </is>
      </c>
      <c r="AC566" s="0" t="inlineStr">
        <is>
          <t>강동구</t>
        </is>
      </c>
      <c r="AD566" s="0" t="inlineStr">
        <is>
          <t>길동</t>
        </is>
      </c>
      <c r="AG566" s="0" t="inlineStr">
        <is>
          <t>서울시 강동구 명일로17길 40</t>
        </is>
      </c>
      <c r="AH566" s="0" t="n">
        <v>0</v>
      </c>
      <c r="AI566" s="0" t="n">
        <v>233</v>
      </c>
      <c r="AJ566" s="0" t="n">
        <v>29</v>
      </c>
      <c r="AK566" s="0" t="n">
        <v>42</v>
      </c>
      <c r="AL566" s="0" t="n">
        <v>1.2</v>
      </c>
    </row>
    <row r="567">
      <c r="A567" s="0" t="inlineStr">
        <is>
          <t>[길동]</t>
        </is>
      </c>
      <c r="B567" s="0" t="n">
        <v>24887</v>
      </c>
      <c r="C567" s="0" t="n">
        <v>4</v>
      </c>
      <c r="D567" s="0" t="inlineStr">
        <is>
          <t>태성</t>
        </is>
      </c>
      <c r="E567" s="0" t="inlineStr">
        <is>
          <t>2003.11.</t>
        </is>
      </c>
      <c r="F567" s="0" t="n">
        <v>35</v>
      </c>
      <c r="G567" s="0" t="n">
        <v>35.32</v>
      </c>
      <c r="H567" s="0" t="n">
        <v>116.77</v>
      </c>
      <c r="I567" s="0" t="n">
        <v>29.04</v>
      </c>
      <c r="J567" s="0" t="n">
        <v>96</v>
      </c>
      <c r="K567" s="0" t="n">
        <v>8</v>
      </c>
      <c r="T567" s="0" t="n">
        <v>3</v>
      </c>
      <c r="U567" s="0" t="n">
        <v>2</v>
      </c>
      <c r="V567" s="0" t="inlineStr">
        <is>
          <t>계단식</t>
        </is>
      </c>
      <c r="W567" s="0" t="n">
        <v>116</v>
      </c>
      <c r="X567" s="0" t="n">
        <v>9</v>
      </c>
      <c r="Y567" s="0" t="n">
        <v>9</v>
      </c>
      <c r="Z567" s="0" t="inlineStr">
        <is>
          <t>https://new.land.naver.com/complexes/24887?tab=detail&amp;rf=Y</t>
        </is>
      </c>
      <c r="AA567" s="0" t="inlineStr">
        <is>
          <t>서울시 강동구 길동 360-5</t>
        </is>
      </c>
      <c r="AB567" s="0" t="inlineStr">
        <is>
          <t>서울시</t>
        </is>
      </c>
      <c r="AC567" s="0" t="inlineStr">
        <is>
          <t>강동구</t>
        </is>
      </c>
      <c r="AD567" s="0" t="inlineStr">
        <is>
          <t>길동</t>
        </is>
      </c>
      <c r="AG567" s="0" t="inlineStr">
        <is>
          <t>서울시 강동구 명일로17길 40</t>
        </is>
      </c>
      <c r="AH567" s="0" t="n">
        <v>0</v>
      </c>
      <c r="AI567" s="0" t="n">
        <v>233</v>
      </c>
      <c r="AJ567" s="0" t="n">
        <v>29</v>
      </c>
      <c r="AK567" s="0" t="n">
        <v>42</v>
      </c>
      <c r="AL567" s="0" t="n">
        <v>1.2</v>
      </c>
    </row>
    <row r="568">
      <c r="A568" s="0" t="inlineStr">
        <is>
          <t>[길동]</t>
        </is>
      </c>
      <c r="B568" s="0" t="n">
        <v>144650</v>
      </c>
      <c r="C568" s="0" t="n">
        <v>1</v>
      </c>
      <c r="D568" s="0" t="inlineStr">
        <is>
          <t>골드클래스(주)</t>
        </is>
      </c>
      <c r="E568" s="0" t="inlineStr">
        <is>
          <t>2022.02.</t>
        </is>
      </c>
      <c r="F568" s="0" t="n">
        <v>29</v>
      </c>
      <c r="G568" s="0" t="n">
        <v>22.55</v>
      </c>
      <c r="H568" s="0" t="n">
        <v>74.55</v>
      </c>
      <c r="I568" s="0" t="n">
        <v>17.88</v>
      </c>
      <c r="J568" s="0" t="n">
        <v>59.14</v>
      </c>
      <c r="K568" s="0" t="n">
        <v>9</v>
      </c>
      <c r="T568" s="0" t="n">
        <v>3</v>
      </c>
      <c r="U568" s="0" t="n">
        <v>1</v>
      </c>
      <c r="V568" s="0" t="inlineStr">
        <is>
          <t>계단식</t>
        </is>
      </c>
      <c r="W568" s="0" t="inlineStr">
        <is>
          <t>74B</t>
        </is>
      </c>
      <c r="X568" s="0" t="n">
        <v>15</v>
      </c>
      <c r="Y568" s="0" t="n">
        <v>14</v>
      </c>
      <c r="Z568" s="0" t="inlineStr">
        <is>
          <t>https://new.land.naver.com/complexes/144650?tab=detail&amp;rf=Y</t>
        </is>
      </c>
      <c r="AA568" s="0" t="inlineStr">
        <is>
          <t>서울시 강동구 길동 414-5,18</t>
        </is>
      </c>
      <c r="AB568" s="0" t="inlineStr">
        <is>
          <t>서울시</t>
        </is>
      </c>
      <c r="AC568" s="0" t="inlineStr">
        <is>
          <t>강동구</t>
        </is>
      </c>
      <c r="AD568" s="0" t="inlineStr">
        <is>
          <t>길동</t>
        </is>
      </c>
      <c r="AG568" s="0" t="inlineStr">
        <is>
          <t>서울시 강동구</t>
        </is>
      </c>
      <c r="AH568" s="0" t="n">
        <v>0</v>
      </c>
      <c r="AI568" s="0" t="n">
        <v>572</v>
      </c>
      <c r="AJ568" s="0" t="n">
        <v>59</v>
      </c>
      <c r="AK568" s="0" t="n">
        <v>0</v>
      </c>
      <c r="AL568" s="0" t="n">
        <v>0</v>
      </c>
    </row>
    <row r="569">
      <c r="A569" s="0" t="inlineStr">
        <is>
          <t>[길동]</t>
        </is>
      </c>
      <c r="B569" s="0" t="n">
        <v>144650</v>
      </c>
      <c r="C569" s="0" t="n">
        <v>2</v>
      </c>
      <c r="D569" s="0" t="inlineStr">
        <is>
          <t>골드클래스(주)</t>
        </is>
      </c>
      <c r="E569" s="0" t="inlineStr">
        <is>
          <t>2022.02.</t>
        </is>
      </c>
      <c r="F569" s="0" t="n">
        <v>29</v>
      </c>
      <c r="G569" s="0" t="n">
        <v>22.87</v>
      </c>
      <c r="H569" s="0" t="n">
        <v>75.62</v>
      </c>
      <c r="I569" s="0" t="n">
        <v>18.14</v>
      </c>
      <c r="J569" s="0" t="n">
        <v>59.99</v>
      </c>
      <c r="K569" s="0" t="n">
        <v>10</v>
      </c>
      <c r="T569" s="0" t="n">
        <v>3</v>
      </c>
      <c r="U569" s="0" t="n">
        <v>1</v>
      </c>
      <c r="V569" s="0" t="inlineStr">
        <is>
          <t>계단식</t>
        </is>
      </c>
      <c r="W569" s="0" t="inlineStr">
        <is>
          <t>75A</t>
        </is>
      </c>
      <c r="X569" s="0" t="n">
        <v>15</v>
      </c>
      <c r="Y569" s="0" t="n">
        <v>14</v>
      </c>
      <c r="Z569" s="0" t="inlineStr">
        <is>
          <t>https://new.land.naver.com/complexes/144650?tab=detail&amp;rf=Y</t>
        </is>
      </c>
      <c r="AA569" s="0" t="inlineStr">
        <is>
          <t>서울시 강동구 길동 414-5,18</t>
        </is>
      </c>
      <c r="AB569" s="0" t="inlineStr">
        <is>
          <t>서울시</t>
        </is>
      </c>
      <c r="AC569" s="0" t="inlineStr">
        <is>
          <t>강동구</t>
        </is>
      </c>
      <c r="AD569" s="0" t="inlineStr">
        <is>
          <t>길동</t>
        </is>
      </c>
      <c r="AG569" s="0" t="inlineStr">
        <is>
          <t>서울시 강동구</t>
        </is>
      </c>
      <c r="AH569" s="0" t="n">
        <v>0</v>
      </c>
      <c r="AI569" s="0" t="n">
        <v>572</v>
      </c>
      <c r="AJ569" s="0" t="n">
        <v>59</v>
      </c>
      <c r="AK569" s="0" t="n">
        <v>0</v>
      </c>
      <c r="AL569" s="0" t="n">
        <v>0</v>
      </c>
    </row>
    <row r="570">
      <c r="A570" s="0" t="inlineStr">
        <is>
          <t>[길동]</t>
        </is>
      </c>
      <c r="B570" s="0" t="n">
        <v>144650</v>
      </c>
      <c r="C570" s="0" t="n">
        <v>3</v>
      </c>
      <c r="D570" s="0" t="inlineStr">
        <is>
          <t>골드클래스(주)</t>
        </is>
      </c>
      <c r="E570" s="0" t="inlineStr">
        <is>
          <t>2022.02.</t>
        </is>
      </c>
      <c r="F570" s="0" t="n">
        <v>29</v>
      </c>
      <c r="G570" s="0" t="n">
        <v>22.84</v>
      </c>
      <c r="H570" s="0" t="n">
        <v>75.52</v>
      </c>
      <c r="I570" s="0" t="n">
        <v>18.12</v>
      </c>
      <c r="J570" s="0" t="n">
        <v>59.91</v>
      </c>
      <c r="K570" s="0" t="n">
        <v>10</v>
      </c>
      <c r="T570" s="0" t="n">
        <v>3</v>
      </c>
      <c r="U570" s="0" t="n">
        <v>2</v>
      </c>
      <c r="V570" s="0" t="inlineStr">
        <is>
          <t>계단식</t>
        </is>
      </c>
      <c r="W570" s="0" t="inlineStr">
        <is>
          <t>75C</t>
        </is>
      </c>
      <c r="X570" s="0" t="n">
        <v>15</v>
      </c>
      <c r="Y570" s="0" t="n">
        <v>14</v>
      </c>
      <c r="Z570" s="0" t="inlineStr">
        <is>
          <t>https://new.land.naver.com/complexes/144650?tab=detail&amp;rf=Y</t>
        </is>
      </c>
      <c r="AA570" s="0" t="inlineStr">
        <is>
          <t>서울시 강동구 길동 414-5,18</t>
        </is>
      </c>
      <c r="AB570" s="0" t="inlineStr">
        <is>
          <t>서울시</t>
        </is>
      </c>
      <c r="AC570" s="0" t="inlineStr">
        <is>
          <t>강동구</t>
        </is>
      </c>
      <c r="AD570" s="0" t="inlineStr">
        <is>
          <t>길동</t>
        </is>
      </c>
      <c r="AG570" s="0" t="inlineStr">
        <is>
          <t>서울시 강동구</t>
        </is>
      </c>
      <c r="AH570" s="0" t="n">
        <v>0</v>
      </c>
      <c r="AI570" s="0" t="n">
        <v>572</v>
      </c>
      <c r="AJ570" s="0" t="n">
        <v>59</v>
      </c>
      <c r="AK570" s="0" t="n">
        <v>0</v>
      </c>
      <c r="AL570" s="0" t="n">
        <v>0</v>
      </c>
    </row>
    <row r="571">
      <c r="A571" s="0" t="inlineStr">
        <is>
          <t>[길동]</t>
        </is>
      </c>
      <c r="B571" s="0" t="n">
        <v>18402</v>
      </c>
      <c r="C571" s="0" t="n">
        <v>1</v>
      </c>
      <c r="D571" s="0" t="inlineStr">
        <is>
          <t>길동쎈스빌</t>
        </is>
      </c>
      <c r="E571" s="0" t="inlineStr">
        <is>
          <t>2004.03.</t>
        </is>
      </c>
      <c r="F571" s="0" t="n">
        <v>19</v>
      </c>
      <c r="G571" s="0" t="n">
        <v>30.07</v>
      </c>
      <c r="H571" s="0" t="n">
        <v>99.43000000000001</v>
      </c>
      <c r="I571" s="0" t="n">
        <v>25.57</v>
      </c>
      <c r="J571" s="0" t="n">
        <v>84.54000000000001</v>
      </c>
      <c r="K571" s="0" t="n">
        <v>15</v>
      </c>
      <c r="T571" s="0" t="n">
        <v>3</v>
      </c>
      <c r="U571" s="0" t="n">
        <v>2</v>
      </c>
      <c r="V571" s="0" t="inlineStr">
        <is>
          <t>계단식</t>
        </is>
      </c>
      <c r="W571" s="0" t="inlineStr">
        <is>
          <t>99B</t>
        </is>
      </c>
      <c r="X571" s="0" t="n">
        <v>7</v>
      </c>
      <c r="Y571" s="0" t="n">
        <v>7</v>
      </c>
      <c r="Z571" s="0" t="inlineStr">
        <is>
          <t>https://new.land.naver.com/complexes/18402?tab=detail&amp;rf=Y</t>
        </is>
      </c>
      <c r="AA571" s="0" t="inlineStr">
        <is>
          <t>서울시 강동구 길동 352-4</t>
        </is>
      </c>
      <c r="AB571" s="0" t="inlineStr">
        <is>
          <t>서울시</t>
        </is>
      </c>
      <c r="AC571" s="0" t="inlineStr">
        <is>
          <t>강동구</t>
        </is>
      </c>
      <c r="AD571" s="0" t="inlineStr">
        <is>
          <t>길동</t>
        </is>
      </c>
      <c r="AG571" s="0" t="inlineStr">
        <is>
          <t>서울시 강동구 천중로 232</t>
        </is>
      </c>
      <c r="AH571" s="0" t="n">
        <v>0</v>
      </c>
      <c r="AI571" s="0" t="n">
        <v>297</v>
      </c>
      <c r="AJ571" s="0" t="n">
        <v>53</v>
      </c>
      <c r="AK571" s="0" t="n">
        <v>16</v>
      </c>
      <c r="AL571" s="0" t="n">
        <v>0.84</v>
      </c>
    </row>
    <row r="572">
      <c r="A572" s="0" t="inlineStr">
        <is>
          <t>[길동]</t>
        </is>
      </c>
      <c r="B572" s="0" t="n">
        <v>18402</v>
      </c>
      <c r="C572" s="0" t="n">
        <v>2</v>
      </c>
      <c r="D572" s="0" t="inlineStr">
        <is>
          <t>길동쎈스빌</t>
        </is>
      </c>
      <c r="E572" s="0" t="inlineStr">
        <is>
          <t>2004.03.</t>
        </is>
      </c>
      <c r="F572" s="0" t="n">
        <v>19</v>
      </c>
      <c r="G572" s="0" t="n">
        <v>29.99</v>
      </c>
      <c r="H572" s="0" t="n">
        <v>99.17</v>
      </c>
      <c r="I572" s="0" t="n">
        <v>25.5</v>
      </c>
      <c r="J572" s="0" t="n">
        <v>84.31999999999999</v>
      </c>
      <c r="K572" s="0" t="n">
        <v>4</v>
      </c>
      <c r="T572" s="0" t="n">
        <v>3</v>
      </c>
      <c r="U572" s="0" t="n">
        <v>2</v>
      </c>
      <c r="V572" s="0" t="inlineStr">
        <is>
          <t>계단식</t>
        </is>
      </c>
      <c r="W572" s="0" t="inlineStr">
        <is>
          <t>99A</t>
        </is>
      </c>
      <c r="X572" s="0" t="n">
        <v>7</v>
      </c>
      <c r="Y572" s="0" t="n">
        <v>7</v>
      </c>
      <c r="Z572" s="0" t="inlineStr">
        <is>
          <t>https://new.land.naver.com/complexes/18402?tab=detail&amp;rf=Y</t>
        </is>
      </c>
      <c r="AA572" s="0" t="inlineStr">
        <is>
          <t>서울시 강동구 길동 352-4</t>
        </is>
      </c>
      <c r="AB572" s="0" t="inlineStr">
        <is>
          <t>서울시</t>
        </is>
      </c>
      <c r="AC572" s="0" t="inlineStr">
        <is>
          <t>강동구</t>
        </is>
      </c>
      <c r="AD572" s="0" t="inlineStr">
        <is>
          <t>길동</t>
        </is>
      </c>
      <c r="AG572" s="0" t="inlineStr">
        <is>
          <t>서울시 강동구 천중로 232</t>
        </is>
      </c>
      <c r="AH572" s="0" t="n">
        <v>0</v>
      </c>
      <c r="AI572" s="0" t="n">
        <v>297</v>
      </c>
      <c r="AJ572" s="0" t="n">
        <v>53</v>
      </c>
      <c r="AK572" s="0" t="n">
        <v>16</v>
      </c>
      <c r="AL572" s="0" t="n">
        <v>0.84</v>
      </c>
    </row>
    <row r="573">
      <c r="A573" s="0" t="inlineStr">
        <is>
          <t>[길동]</t>
        </is>
      </c>
      <c r="B573" s="0" t="n">
        <v>105069</v>
      </c>
      <c r="C573" s="0" t="n">
        <v>1</v>
      </c>
      <c r="D573" s="0" t="inlineStr">
        <is>
          <t>현대웰하임1단지(도시형)</t>
        </is>
      </c>
      <c r="E573" s="0" t="inlineStr">
        <is>
          <t>2012.04.</t>
        </is>
      </c>
      <c r="F573" s="0" t="n">
        <v>128</v>
      </c>
      <c r="G573" s="0" t="n">
        <v>7.78</v>
      </c>
      <c r="H573" s="0" t="n">
        <v>25.72</v>
      </c>
      <c r="I573" s="0" t="n">
        <v>5.12</v>
      </c>
      <c r="J573" s="0" t="n">
        <v>16.95</v>
      </c>
      <c r="K573" s="0" t="n">
        <v>128</v>
      </c>
      <c r="T573" s="0" t="n">
        <v>1</v>
      </c>
      <c r="U573" s="0" t="n">
        <v>1</v>
      </c>
      <c r="V573" s="0" t="inlineStr">
        <is>
          <t>복도식</t>
        </is>
      </c>
      <c r="W573" s="0" t="n">
        <v>25</v>
      </c>
      <c r="X573" s="0" t="n">
        <v>15</v>
      </c>
      <c r="Y573" s="0" t="n">
        <v>15</v>
      </c>
      <c r="Z573" s="0" t="inlineStr">
        <is>
          <t>https://new.land.naver.com/complexes/105069?tab=detail&amp;rf=Y</t>
        </is>
      </c>
      <c r="AA573" s="0" t="inlineStr">
        <is>
          <t>서울시 강동구 길동 343-1</t>
        </is>
      </c>
      <c r="AB573" s="0" t="inlineStr">
        <is>
          <t>서울시</t>
        </is>
      </c>
      <c r="AC573" s="0" t="inlineStr">
        <is>
          <t>강동구</t>
        </is>
      </c>
      <c r="AD573" s="0" t="inlineStr">
        <is>
          <t>길동</t>
        </is>
      </c>
      <c r="AG573" s="0" t="inlineStr">
        <is>
          <t>서울시 강동구 천중로53길 6</t>
        </is>
      </c>
      <c r="AH573" s="0" t="n">
        <v>0</v>
      </c>
      <c r="AI573" s="0" t="n">
        <v>249</v>
      </c>
      <c r="AJ573" s="0" t="n">
        <v>30</v>
      </c>
      <c r="AK573" s="0" t="n">
        <v>37</v>
      </c>
      <c r="AL573" s="0" t="n">
        <v>0.29</v>
      </c>
    </row>
    <row r="574">
      <c r="A574" s="0" t="inlineStr">
        <is>
          <t>[길동]</t>
        </is>
      </c>
      <c r="B574" s="0" t="n">
        <v>111400</v>
      </c>
      <c r="C574" s="0" t="n">
        <v>1</v>
      </c>
      <c r="D574" s="0" t="inlineStr">
        <is>
          <t>다성이즈빌(388-7)</t>
        </is>
      </c>
      <c r="E574" s="0" t="inlineStr">
        <is>
          <t>2015.07.</t>
        </is>
      </c>
      <c r="F574" s="0" t="n">
        <v>55</v>
      </c>
      <c r="G574" s="0" t="n">
        <v>7.31</v>
      </c>
      <c r="H574" s="0" t="n">
        <v>24.18</v>
      </c>
      <c r="I574" s="0" t="n">
        <v>5.41</v>
      </c>
      <c r="J574" s="0" t="n">
        <v>17.91</v>
      </c>
      <c r="K574" s="0" t="n">
        <v>11</v>
      </c>
      <c r="T574" s="0" t="n">
        <v>1</v>
      </c>
      <c r="U574" s="0" t="n">
        <v>1</v>
      </c>
      <c r="V574" s="0" t="inlineStr">
        <is>
          <t>복도식</t>
        </is>
      </c>
      <c r="W574" s="0" t="n">
        <v>24</v>
      </c>
      <c r="X574" s="0" t="n">
        <v>16</v>
      </c>
      <c r="Y574" s="0" t="n">
        <v>16</v>
      </c>
      <c r="Z574" s="0" t="inlineStr">
        <is>
          <t>https://new.land.naver.com/complexes/111400?tab=detail&amp;rf=Y</t>
        </is>
      </c>
      <c r="AA574" s="0" t="inlineStr">
        <is>
          <t>서울시 강동구 길동 388-7</t>
        </is>
      </c>
      <c r="AB574" s="0" t="inlineStr">
        <is>
          <t>서울시</t>
        </is>
      </c>
      <c r="AC574" s="0" t="inlineStr">
        <is>
          <t>강동구</t>
        </is>
      </c>
      <c r="AD574" s="0" t="inlineStr">
        <is>
          <t>길동</t>
        </is>
      </c>
      <c r="AG574" s="0" t="inlineStr">
        <is>
          <t>서울시 강동구 천중로42길 69</t>
        </is>
      </c>
      <c r="AH574" s="0" t="n">
        <v>0</v>
      </c>
      <c r="AI574" s="0" t="n">
        <v>498</v>
      </c>
      <c r="AJ574" s="0" t="n">
        <v>49</v>
      </c>
      <c r="AK574" s="0" t="n">
        <v>40</v>
      </c>
      <c r="AL574" s="0" t="n">
        <v>0.73</v>
      </c>
    </row>
    <row r="575">
      <c r="A575" s="0" t="inlineStr">
        <is>
          <t>[길동]</t>
        </is>
      </c>
      <c r="B575" s="0" t="n">
        <v>111400</v>
      </c>
      <c r="C575" s="0" t="n">
        <v>2</v>
      </c>
      <c r="D575" s="0" t="inlineStr">
        <is>
          <t>다성이즈빌(388-7)</t>
        </is>
      </c>
      <c r="E575" s="0" t="inlineStr">
        <is>
          <t>2015.07.</t>
        </is>
      </c>
      <c r="F575" s="0" t="n">
        <v>55</v>
      </c>
      <c r="G575" s="0" t="n">
        <v>14.84</v>
      </c>
      <c r="H575" s="0" t="n">
        <v>49.08</v>
      </c>
      <c r="I575" s="0" t="n">
        <v>10.99</v>
      </c>
      <c r="J575" s="0" t="n">
        <v>36.35</v>
      </c>
      <c r="K575" s="0" t="n">
        <v>22</v>
      </c>
      <c r="T575" s="0" t="n">
        <v>2</v>
      </c>
      <c r="U575" s="0" t="n">
        <v>1</v>
      </c>
      <c r="V575" s="0" t="inlineStr">
        <is>
          <t>복도식</t>
        </is>
      </c>
      <c r="W575" s="0" t="inlineStr">
        <is>
          <t>49A</t>
        </is>
      </c>
      <c r="X575" s="0" t="n">
        <v>16</v>
      </c>
      <c r="Y575" s="0" t="n">
        <v>16</v>
      </c>
      <c r="Z575" s="0" t="inlineStr">
        <is>
          <t>https://new.land.naver.com/complexes/111400?tab=detail&amp;rf=Y</t>
        </is>
      </c>
      <c r="AA575" s="0" t="inlineStr">
        <is>
          <t>서울시 강동구 길동 388-7</t>
        </is>
      </c>
      <c r="AB575" s="0" t="inlineStr">
        <is>
          <t>서울시</t>
        </is>
      </c>
      <c r="AC575" s="0" t="inlineStr">
        <is>
          <t>강동구</t>
        </is>
      </c>
      <c r="AD575" s="0" t="inlineStr">
        <is>
          <t>길동</t>
        </is>
      </c>
      <c r="AG575" s="0" t="inlineStr">
        <is>
          <t>서울시 강동구 천중로42길 69</t>
        </is>
      </c>
      <c r="AH575" s="0" t="n">
        <v>0</v>
      </c>
      <c r="AI575" s="0" t="n">
        <v>498</v>
      </c>
      <c r="AJ575" s="0" t="n">
        <v>49</v>
      </c>
      <c r="AK575" s="0" t="n">
        <v>40</v>
      </c>
      <c r="AL575" s="0" t="n">
        <v>0.73</v>
      </c>
    </row>
    <row r="576">
      <c r="A576" s="0" t="inlineStr">
        <is>
          <t>[길동]</t>
        </is>
      </c>
      <c r="B576" s="0" t="n">
        <v>111400</v>
      </c>
      <c r="C576" s="0" t="n">
        <v>3</v>
      </c>
      <c r="D576" s="0" t="inlineStr">
        <is>
          <t>다성이즈빌(388-7)</t>
        </is>
      </c>
      <c r="E576" s="0" t="inlineStr">
        <is>
          <t>2015.07.</t>
        </is>
      </c>
      <c r="F576" s="0" t="n">
        <v>55</v>
      </c>
      <c r="G576" s="0" t="n">
        <v>14.95</v>
      </c>
      <c r="H576" s="0" t="n">
        <v>49.44</v>
      </c>
      <c r="I576" s="0" t="n">
        <v>11.07</v>
      </c>
      <c r="J576" s="0" t="n">
        <v>36.62</v>
      </c>
      <c r="K576" s="0" t="n">
        <v>11</v>
      </c>
      <c r="T576" s="0" t="n">
        <v>2</v>
      </c>
      <c r="U576" s="0" t="n">
        <v>1</v>
      </c>
      <c r="V576" s="0" t="inlineStr">
        <is>
          <t>복도식</t>
        </is>
      </c>
      <c r="W576" s="0" t="inlineStr">
        <is>
          <t>49B</t>
        </is>
      </c>
      <c r="X576" s="0" t="n">
        <v>16</v>
      </c>
      <c r="Y576" s="0" t="n">
        <v>16</v>
      </c>
      <c r="Z576" s="0" t="inlineStr">
        <is>
          <t>https://new.land.naver.com/complexes/111400?tab=detail&amp;rf=Y</t>
        </is>
      </c>
      <c r="AA576" s="0" t="inlineStr">
        <is>
          <t>서울시 강동구 길동 388-7</t>
        </is>
      </c>
      <c r="AB576" s="0" t="inlineStr">
        <is>
          <t>서울시</t>
        </is>
      </c>
      <c r="AC576" s="0" t="inlineStr">
        <is>
          <t>강동구</t>
        </is>
      </c>
      <c r="AD576" s="0" t="inlineStr">
        <is>
          <t>길동</t>
        </is>
      </c>
      <c r="AG576" s="0" t="inlineStr">
        <is>
          <t>서울시 강동구 천중로42길 69</t>
        </is>
      </c>
      <c r="AH576" s="0" t="n">
        <v>0</v>
      </c>
      <c r="AI576" s="0" t="n">
        <v>498</v>
      </c>
      <c r="AJ576" s="0" t="n">
        <v>49</v>
      </c>
      <c r="AK576" s="0" t="n">
        <v>40</v>
      </c>
      <c r="AL576" s="0" t="n">
        <v>0.73</v>
      </c>
    </row>
    <row r="577">
      <c r="A577" s="0" t="inlineStr">
        <is>
          <t>[길동]</t>
        </is>
      </c>
      <c r="B577" s="0" t="n">
        <v>111400</v>
      </c>
      <c r="C577" s="0" t="n">
        <v>4</v>
      </c>
      <c r="D577" s="0" t="inlineStr">
        <is>
          <t>다성이즈빌(388-7)</t>
        </is>
      </c>
      <c r="E577" s="0" t="inlineStr">
        <is>
          <t>2015.07.</t>
        </is>
      </c>
      <c r="F577" s="0" t="n">
        <v>55</v>
      </c>
      <c r="G577" s="0" t="n">
        <v>16.3</v>
      </c>
      <c r="H577" s="0" t="n">
        <v>53.9</v>
      </c>
      <c r="I577" s="0" t="n">
        <v>12.07</v>
      </c>
      <c r="J577" s="0" t="n">
        <v>39.92</v>
      </c>
      <c r="K577" s="0" t="n">
        <v>11</v>
      </c>
      <c r="T577" s="0" t="n">
        <v>2</v>
      </c>
      <c r="U577" s="0" t="n">
        <v>1</v>
      </c>
      <c r="V577" s="0" t="inlineStr">
        <is>
          <t>복도식</t>
        </is>
      </c>
      <c r="W577" s="0" t="n">
        <v>53</v>
      </c>
      <c r="X577" s="0" t="n">
        <v>16</v>
      </c>
      <c r="Y577" s="0" t="n">
        <v>16</v>
      </c>
      <c r="Z577" s="0" t="inlineStr">
        <is>
          <t>https://new.land.naver.com/complexes/111400?tab=detail&amp;rf=Y</t>
        </is>
      </c>
      <c r="AA577" s="0" t="inlineStr">
        <is>
          <t>서울시 강동구 길동 388-7</t>
        </is>
      </c>
      <c r="AB577" s="0" t="inlineStr">
        <is>
          <t>서울시</t>
        </is>
      </c>
      <c r="AC577" s="0" t="inlineStr">
        <is>
          <t>강동구</t>
        </is>
      </c>
      <c r="AD577" s="0" t="inlineStr">
        <is>
          <t>길동</t>
        </is>
      </c>
      <c r="AG577" s="0" t="inlineStr">
        <is>
          <t>서울시 강동구 천중로42길 69</t>
        </is>
      </c>
      <c r="AH577" s="0" t="n">
        <v>0</v>
      </c>
      <c r="AI577" s="0" t="n">
        <v>498</v>
      </c>
      <c r="AJ577" s="0" t="n">
        <v>49</v>
      </c>
      <c r="AK577" s="0" t="n">
        <v>40</v>
      </c>
      <c r="AL577" s="0" t="n">
        <v>0.73</v>
      </c>
    </row>
    <row r="578">
      <c r="A578" s="0" t="inlineStr">
        <is>
          <t>[길동]</t>
        </is>
      </c>
      <c r="B578" s="0" t="n">
        <v>3069</v>
      </c>
      <c r="C578" s="0" t="n">
        <v>1</v>
      </c>
      <c r="D578" s="0" t="inlineStr">
        <is>
          <t>길동신동아4차</t>
        </is>
      </c>
      <c r="E578" s="0" t="inlineStr">
        <is>
          <t>1999.11.</t>
        </is>
      </c>
      <c r="F578" s="0" t="n">
        <v>95</v>
      </c>
      <c r="G578" s="0" t="n">
        <v>12.4</v>
      </c>
      <c r="H578" s="0" t="n">
        <v>41.01</v>
      </c>
      <c r="I578" s="0" t="n">
        <v>8.59</v>
      </c>
      <c r="J578" s="0" t="n">
        <v>28.4</v>
      </c>
      <c r="K578" s="0" t="n">
        <v>3</v>
      </c>
      <c r="T578" s="0" t="n">
        <v>1</v>
      </c>
      <c r="U578" s="0" t="n">
        <v>1</v>
      </c>
      <c r="V578" s="0" t="inlineStr">
        <is>
          <t>복도식</t>
        </is>
      </c>
      <c r="W578" s="0" t="n">
        <v>41</v>
      </c>
      <c r="X578" s="0" t="n">
        <v>12</v>
      </c>
      <c r="Y578" s="0" t="n">
        <v>8</v>
      </c>
      <c r="Z578" s="0" t="inlineStr">
        <is>
          <t>https://new.land.naver.com/complexes/3069?tab=detail&amp;rf=Y</t>
        </is>
      </c>
      <c r="AA578" s="0" t="inlineStr">
        <is>
          <t>서울시 강동구 길동 92</t>
        </is>
      </c>
      <c r="AB578" s="0" t="inlineStr">
        <is>
          <t>서울시</t>
        </is>
      </c>
      <c r="AC578" s="0" t="inlineStr">
        <is>
          <t>강동구</t>
        </is>
      </c>
      <c r="AD578" s="0" t="inlineStr">
        <is>
          <t>길동</t>
        </is>
      </c>
      <c r="AG578" s="0" t="inlineStr">
        <is>
          <t>서울시 강동구 명일로 260</t>
        </is>
      </c>
      <c r="AH578" s="0" t="n">
        <v>0</v>
      </c>
      <c r="AI578" s="0" t="n">
        <v>0</v>
      </c>
      <c r="AJ578" s="0" t="n">
        <v>0</v>
      </c>
      <c r="AK578" s="0" t="n">
        <v>93</v>
      </c>
      <c r="AL578" s="0" t="n">
        <v>0.98</v>
      </c>
    </row>
    <row r="579">
      <c r="A579" s="0" t="inlineStr">
        <is>
          <t>[길동]</t>
        </is>
      </c>
      <c r="B579" s="0" t="n">
        <v>3069</v>
      </c>
      <c r="C579" s="0" t="n">
        <v>2</v>
      </c>
      <c r="D579" s="0" t="inlineStr">
        <is>
          <t>길동신동아4차</t>
        </is>
      </c>
      <c r="E579" s="0" t="inlineStr">
        <is>
          <t>1999.11.</t>
        </is>
      </c>
      <c r="F579" s="0" t="n">
        <v>95</v>
      </c>
      <c r="G579" s="0" t="n">
        <v>15.46</v>
      </c>
      <c r="H579" s="0" t="n">
        <v>51.14</v>
      </c>
      <c r="I579" s="0" t="n">
        <v>10.71</v>
      </c>
      <c r="J579" s="0" t="n">
        <v>35.42</v>
      </c>
      <c r="K579" s="0" t="n">
        <v>3</v>
      </c>
      <c r="T579" s="0" t="n">
        <v>1</v>
      </c>
      <c r="U579" s="0" t="n">
        <v>1</v>
      </c>
      <c r="V579" s="0" t="inlineStr">
        <is>
          <t>복도식</t>
        </is>
      </c>
      <c r="W579" s="0" t="n">
        <v>51</v>
      </c>
      <c r="X579" s="0" t="n">
        <v>12</v>
      </c>
      <c r="Y579" s="0" t="n">
        <v>8</v>
      </c>
      <c r="Z579" s="0" t="inlineStr">
        <is>
          <t>https://new.land.naver.com/complexes/3069?tab=detail&amp;rf=Y</t>
        </is>
      </c>
      <c r="AA579" s="0" t="inlineStr">
        <is>
          <t>서울시 강동구 길동 92</t>
        </is>
      </c>
      <c r="AB579" s="0" t="inlineStr">
        <is>
          <t>서울시</t>
        </is>
      </c>
      <c r="AC579" s="0" t="inlineStr">
        <is>
          <t>강동구</t>
        </is>
      </c>
      <c r="AD579" s="0" t="inlineStr">
        <is>
          <t>길동</t>
        </is>
      </c>
      <c r="AG579" s="0" t="inlineStr">
        <is>
          <t>서울시 강동구 명일로 260</t>
        </is>
      </c>
      <c r="AH579" s="0" t="n">
        <v>0</v>
      </c>
      <c r="AI579" s="0" t="n">
        <v>0</v>
      </c>
      <c r="AJ579" s="0" t="n">
        <v>0</v>
      </c>
      <c r="AK579" s="0" t="n">
        <v>93</v>
      </c>
      <c r="AL579" s="0" t="n">
        <v>0.98</v>
      </c>
    </row>
    <row r="580">
      <c r="A580" s="0" t="inlineStr">
        <is>
          <t>[길동]</t>
        </is>
      </c>
      <c r="B580" s="0" t="n">
        <v>3069</v>
      </c>
      <c r="C580" s="0" t="n">
        <v>3</v>
      </c>
      <c r="D580" s="0" t="inlineStr">
        <is>
          <t>길동신동아4차</t>
        </is>
      </c>
      <c r="E580" s="0" t="inlineStr">
        <is>
          <t>1999.11.</t>
        </is>
      </c>
      <c r="F580" s="0" t="n">
        <v>95</v>
      </c>
      <c r="G580" s="0" t="n">
        <v>18.54</v>
      </c>
      <c r="H580" s="0" t="n">
        <v>61.29</v>
      </c>
      <c r="I580" s="0" t="n">
        <v>12.83</v>
      </c>
      <c r="J580" s="0" t="n">
        <v>42.44</v>
      </c>
      <c r="K580" s="0" t="n">
        <v>34</v>
      </c>
      <c r="T580" s="0" t="n">
        <v>2</v>
      </c>
      <c r="U580" s="0" t="n">
        <v>1</v>
      </c>
      <c r="V580" s="0" t="inlineStr">
        <is>
          <t>복도식</t>
        </is>
      </c>
      <c r="W580" s="0" t="n">
        <v>61</v>
      </c>
      <c r="X580" s="0" t="n">
        <v>12</v>
      </c>
      <c r="Y580" s="0" t="n">
        <v>8</v>
      </c>
      <c r="Z580" s="0" t="inlineStr">
        <is>
          <t>https://new.land.naver.com/complexes/3069?tab=detail&amp;rf=Y</t>
        </is>
      </c>
      <c r="AA580" s="0" t="inlineStr">
        <is>
          <t>서울시 강동구 길동 92</t>
        </is>
      </c>
      <c r="AB580" s="0" t="inlineStr">
        <is>
          <t>서울시</t>
        </is>
      </c>
      <c r="AC580" s="0" t="inlineStr">
        <is>
          <t>강동구</t>
        </is>
      </c>
      <c r="AD580" s="0" t="inlineStr">
        <is>
          <t>길동</t>
        </is>
      </c>
      <c r="AG580" s="0" t="inlineStr">
        <is>
          <t>서울시 강동구 명일로 260</t>
        </is>
      </c>
      <c r="AH580" s="0" t="n">
        <v>0</v>
      </c>
      <c r="AI580" s="0" t="n">
        <v>0</v>
      </c>
      <c r="AJ580" s="0" t="n">
        <v>0</v>
      </c>
      <c r="AK580" s="0" t="n">
        <v>93</v>
      </c>
      <c r="AL580" s="0" t="n">
        <v>0.98</v>
      </c>
    </row>
    <row r="581">
      <c r="A581" s="0" t="inlineStr">
        <is>
          <t>[길동]</t>
        </is>
      </c>
      <c r="B581" s="0" t="n">
        <v>3069</v>
      </c>
      <c r="C581" s="0" t="n">
        <v>4</v>
      </c>
      <c r="D581" s="0" t="inlineStr">
        <is>
          <t>길동신동아4차</t>
        </is>
      </c>
      <c r="E581" s="0" t="inlineStr">
        <is>
          <t>1999.11.</t>
        </is>
      </c>
      <c r="F581" s="0" t="n">
        <v>95</v>
      </c>
      <c r="G581" s="0" t="n">
        <v>24.96</v>
      </c>
      <c r="H581" s="0" t="n">
        <v>82.53</v>
      </c>
      <c r="I581" s="0" t="n">
        <v>17.28</v>
      </c>
      <c r="J581" s="0" t="n">
        <v>57.15</v>
      </c>
      <c r="K581" s="0" t="n">
        <v>3</v>
      </c>
      <c r="T581" s="0" t="n">
        <v>3</v>
      </c>
      <c r="U581" s="0" t="n">
        <v>1</v>
      </c>
      <c r="V581" s="0" t="inlineStr">
        <is>
          <t>복도식</t>
        </is>
      </c>
      <c r="W581" s="0" t="n">
        <v>82</v>
      </c>
      <c r="X581" s="0" t="n">
        <v>12</v>
      </c>
      <c r="Y581" s="0" t="n">
        <v>8</v>
      </c>
      <c r="Z581" s="0" t="inlineStr">
        <is>
          <t>https://new.land.naver.com/complexes/3069?tab=detail&amp;rf=Y</t>
        </is>
      </c>
      <c r="AA581" s="0" t="inlineStr">
        <is>
          <t>서울시 강동구 길동 92</t>
        </is>
      </c>
      <c r="AB581" s="0" t="inlineStr">
        <is>
          <t>서울시</t>
        </is>
      </c>
      <c r="AC581" s="0" t="inlineStr">
        <is>
          <t>강동구</t>
        </is>
      </c>
      <c r="AD581" s="0" t="inlineStr">
        <is>
          <t>길동</t>
        </is>
      </c>
      <c r="AG581" s="0" t="inlineStr">
        <is>
          <t>서울시 강동구 명일로 260</t>
        </is>
      </c>
      <c r="AH581" s="0" t="n">
        <v>0</v>
      </c>
      <c r="AI581" s="0" t="n">
        <v>0</v>
      </c>
      <c r="AJ581" s="0" t="n">
        <v>0</v>
      </c>
      <c r="AK581" s="0" t="n">
        <v>93</v>
      </c>
      <c r="AL581" s="0" t="n">
        <v>0.98</v>
      </c>
    </row>
    <row r="582">
      <c r="A582" s="0" t="inlineStr">
        <is>
          <t>[길동]</t>
        </is>
      </c>
      <c r="B582" s="0" t="n">
        <v>3069</v>
      </c>
      <c r="C582" s="0" t="n">
        <v>5</v>
      </c>
      <c r="D582" s="0" t="inlineStr">
        <is>
          <t>길동신동아4차</t>
        </is>
      </c>
      <c r="E582" s="0" t="inlineStr">
        <is>
          <t>1999.11.</t>
        </is>
      </c>
      <c r="F582" s="0" t="n">
        <v>95</v>
      </c>
      <c r="G582" s="0" t="n">
        <v>30.6</v>
      </c>
      <c r="H582" s="0" t="n">
        <v>101.16</v>
      </c>
      <c r="I582" s="0" t="n">
        <v>21.19</v>
      </c>
      <c r="J582" s="0" t="n">
        <v>70.05</v>
      </c>
      <c r="K582" s="0" t="n">
        <v>3</v>
      </c>
      <c r="T582" s="0" t="n">
        <v>3</v>
      </c>
      <c r="U582" s="0" t="n">
        <v>2</v>
      </c>
      <c r="V582" s="0" t="inlineStr">
        <is>
          <t>복도식</t>
        </is>
      </c>
      <c r="W582" s="0" t="n">
        <v>101</v>
      </c>
      <c r="X582" s="0" t="n">
        <v>12</v>
      </c>
      <c r="Y582" s="0" t="n">
        <v>8</v>
      </c>
      <c r="Z582" s="0" t="inlineStr">
        <is>
          <t>https://new.land.naver.com/complexes/3069?tab=detail&amp;rf=Y</t>
        </is>
      </c>
      <c r="AA582" s="0" t="inlineStr">
        <is>
          <t>서울시 강동구 길동 92</t>
        </is>
      </c>
      <c r="AB582" s="0" t="inlineStr">
        <is>
          <t>서울시</t>
        </is>
      </c>
      <c r="AC582" s="0" t="inlineStr">
        <is>
          <t>강동구</t>
        </is>
      </c>
      <c r="AD582" s="0" t="inlineStr">
        <is>
          <t>길동</t>
        </is>
      </c>
      <c r="AG582" s="0" t="inlineStr">
        <is>
          <t>서울시 강동구 명일로 260</t>
        </is>
      </c>
      <c r="AH582" s="0" t="n">
        <v>0</v>
      </c>
      <c r="AI582" s="0" t="n">
        <v>0</v>
      </c>
      <c r="AJ582" s="0" t="n">
        <v>0</v>
      </c>
      <c r="AK582" s="0" t="n">
        <v>93</v>
      </c>
      <c r="AL582" s="0" t="n">
        <v>0.98</v>
      </c>
    </row>
    <row r="583">
      <c r="A583" s="0" t="inlineStr">
        <is>
          <t>[길동]</t>
        </is>
      </c>
      <c r="B583" s="0" t="n">
        <v>3069</v>
      </c>
      <c r="C583" s="0" t="n">
        <v>6</v>
      </c>
      <c r="D583" s="0" t="inlineStr">
        <is>
          <t>길동신동아4차</t>
        </is>
      </c>
      <c r="E583" s="0" t="inlineStr">
        <is>
          <t>1999.11.</t>
        </is>
      </c>
      <c r="F583" s="0" t="n">
        <v>95</v>
      </c>
      <c r="G583" s="0" t="n">
        <v>35.47</v>
      </c>
      <c r="H583" s="0" t="n">
        <v>117.28</v>
      </c>
      <c r="I583" s="0" t="n">
        <v>24.56</v>
      </c>
      <c r="J583" s="0" t="n">
        <v>81.2</v>
      </c>
      <c r="K583" s="0" t="n">
        <v>27</v>
      </c>
      <c r="T583" s="0" t="n">
        <v>3</v>
      </c>
      <c r="U583" s="0" t="n">
        <v>2</v>
      </c>
      <c r="V583" s="0" t="inlineStr">
        <is>
          <t>복도식</t>
        </is>
      </c>
      <c r="W583" s="0" t="n">
        <v>117</v>
      </c>
      <c r="X583" s="0" t="n">
        <v>12</v>
      </c>
      <c r="Y583" s="0" t="n">
        <v>8</v>
      </c>
      <c r="Z583" s="0" t="inlineStr">
        <is>
          <t>https://new.land.naver.com/complexes/3069?tab=detail&amp;rf=Y</t>
        </is>
      </c>
      <c r="AA583" s="0" t="inlineStr">
        <is>
          <t>서울시 강동구 길동 92</t>
        </is>
      </c>
      <c r="AB583" s="0" t="inlineStr">
        <is>
          <t>서울시</t>
        </is>
      </c>
      <c r="AC583" s="0" t="inlineStr">
        <is>
          <t>강동구</t>
        </is>
      </c>
      <c r="AD583" s="0" t="inlineStr">
        <is>
          <t>길동</t>
        </is>
      </c>
      <c r="AG583" s="0" t="inlineStr">
        <is>
          <t>서울시 강동구 명일로 260</t>
        </is>
      </c>
      <c r="AH583" s="0" t="n">
        <v>0</v>
      </c>
      <c r="AI583" s="0" t="n">
        <v>0</v>
      </c>
      <c r="AJ583" s="0" t="n">
        <v>0</v>
      </c>
      <c r="AK583" s="0" t="n">
        <v>93</v>
      </c>
      <c r="AL583" s="0" t="n">
        <v>0.98</v>
      </c>
    </row>
    <row r="584">
      <c r="A584" s="0" t="inlineStr">
        <is>
          <t>[길동]</t>
        </is>
      </c>
      <c r="B584" s="0" t="n">
        <v>3069</v>
      </c>
      <c r="C584" s="0" t="n">
        <v>7</v>
      </c>
      <c r="D584" s="0" t="inlineStr">
        <is>
          <t>길동신동아4차</t>
        </is>
      </c>
      <c r="E584" s="0" t="inlineStr">
        <is>
          <t>1999.11.</t>
        </is>
      </c>
      <c r="F584" s="0" t="n">
        <v>95</v>
      </c>
      <c r="G584" s="0" t="n">
        <v>35.6</v>
      </c>
      <c r="H584" s="0" t="n">
        <v>117.71</v>
      </c>
      <c r="I584" s="0" t="n">
        <v>24.65</v>
      </c>
      <c r="J584" s="0" t="n">
        <v>81.5</v>
      </c>
      <c r="K584" s="0" t="n">
        <v>22</v>
      </c>
      <c r="T584" s="0" t="n">
        <v>3</v>
      </c>
      <c r="U584" s="0" t="n">
        <v>2</v>
      </c>
      <c r="V584" s="0" t="inlineStr">
        <is>
          <t>복도식</t>
        </is>
      </c>
      <c r="W584" s="0" t="n">
        <v>117</v>
      </c>
      <c r="X584" s="0" t="n">
        <v>12</v>
      </c>
      <c r="Y584" s="0" t="n">
        <v>8</v>
      </c>
      <c r="Z584" s="0" t="inlineStr">
        <is>
          <t>https://new.land.naver.com/complexes/3069?tab=detail&amp;rf=Y</t>
        </is>
      </c>
      <c r="AA584" s="0" t="inlineStr">
        <is>
          <t>서울시 강동구 길동 92</t>
        </is>
      </c>
      <c r="AB584" s="0" t="inlineStr">
        <is>
          <t>서울시</t>
        </is>
      </c>
      <c r="AC584" s="0" t="inlineStr">
        <is>
          <t>강동구</t>
        </is>
      </c>
      <c r="AD584" s="0" t="inlineStr">
        <is>
          <t>길동</t>
        </is>
      </c>
      <c r="AG584" s="0" t="inlineStr">
        <is>
          <t>서울시 강동구 명일로 260</t>
        </is>
      </c>
      <c r="AH584" s="0" t="n">
        <v>0</v>
      </c>
      <c r="AI584" s="0" t="n">
        <v>0</v>
      </c>
      <c r="AJ584" s="0" t="n">
        <v>0</v>
      </c>
      <c r="AK584" s="0" t="n">
        <v>93</v>
      </c>
      <c r="AL584" s="0" t="n">
        <v>0.98</v>
      </c>
    </row>
    <row r="585">
      <c r="A585" s="0" t="inlineStr">
        <is>
          <t>[길동]</t>
        </is>
      </c>
      <c r="B585" s="0" t="n">
        <v>119039</v>
      </c>
      <c r="C585" s="0" t="n">
        <v>1</v>
      </c>
      <c r="D585" s="0" t="inlineStr">
        <is>
          <t>강동디앤써밋(도시형)</t>
        </is>
      </c>
      <c r="E585" s="0" t="inlineStr">
        <is>
          <t>2019.05.</t>
        </is>
      </c>
      <c r="F585" s="0" t="n">
        <v>40</v>
      </c>
      <c r="G585" s="0" t="n">
        <v>7.33</v>
      </c>
      <c r="H585" s="0" t="n">
        <v>24.26</v>
      </c>
      <c r="I585" s="0" t="n">
        <v>5.73</v>
      </c>
      <c r="J585" s="0" t="n">
        <v>18.95</v>
      </c>
      <c r="K585" s="0" t="n">
        <v>10</v>
      </c>
      <c r="T585" s="0" t="n">
        <v>2</v>
      </c>
      <c r="U585" s="0" t="n">
        <v>1</v>
      </c>
      <c r="V585" s="0" t="inlineStr">
        <is>
          <t>계단식</t>
        </is>
      </c>
      <c r="W585" s="0" t="inlineStr">
        <is>
          <t>24C</t>
        </is>
      </c>
      <c r="X585" s="0" t="n">
        <v>13</v>
      </c>
      <c r="Y585" s="0" t="n">
        <v>12</v>
      </c>
      <c r="Z585" s="0" t="inlineStr">
        <is>
          <t>https://new.land.naver.com/complexes/119039?tab=detail&amp;rf=Y</t>
        </is>
      </c>
      <c r="AA585" s="0" t="inlineStr">
        <is>
          <t>서울시 강동구 길동 320-2</t>
        </is>
      </c>
      <c r="AB585" s="0" t="inlineStr">
        <is>
          <t>서울시</t>
        </is>
      </c>
      <c r="AC585" s="0" t="inlineStr">
        <is>
          <t>강동구</t>
        </is>
      </c>
      <c r="AD585" s="0" t="inlineStr">
        <is>
          <t>길동</t>
        </is>
      </c>
      <c r="AG585" s="0" t="inlineStr">
        <is>
          <t>서울시 강동구 양재대로 1560</t>
        </is>
      </c>
      <c r="AH585" s="0" t="n">
        <v>0</v>
      </c>
      <c r="AI585" s="0" t="n">
        <v>302</v>
      </c>
      <c r="AJ585" s="0" t="n">
        <v>36</v>
      </c>
      <c r="AK585" s="0" t="n">
        <v>23</v>
      </c>
      <c r="AL585" s="0" t="n">
        <v>0.57</v>
      </c>
    </row>
    <row r="586">
      <c r="A586" s="0" t="inlineStr">
        <is>
          <t>[길동]</t>
        </is>
      </c>
      <c r="B586" s="0" t="n">
        <v>119039</v>
      </c>
      <c r="C586" s="0" t="n">
        <v>2</v>
      </c>
      <c r="D586" s="0" t="inlineStr">
        <is>
          <t>강동디앤써밋(도시형)</t>
        </is>
      </c>
      <c r="E586" s="0" t="inlineStr">
        <is>
          <t>2019.05.</t>
        </is>
      </c>
      <c r="F586" s="0" t="n">
        <v>40</v>
      </c>
      <c r="G586" s="0" t="n">
        <v>7.45</v>
      </c>
      <c r="H586" s="0" t="n">
        <v>24.65</v>
      </c>
      <c r="I586" s="0" t="n">
        <v>5.39</v>
      </c>
      <c r="J586" s="0" t="n">
        <v>17.85</v>
      </c>
      <c r="K586" s="0" t="n">
        <v>10</v>
      </c>
      <c r="T586" s="0" t="n">
        <v>2</v>
      </c>
      <c r="U586" s="0" t="n">
        <v>1</v>
      </c>
      <c r="V586" s="0" t="inlineStr">
        <is>
          <t>계단식</t>
        </is>
      </c>
      <c r="W586" s="0" t="inlineStr">
        <is>
          <t>24D</t>
        </is>
      </c>
      <c r="X586" s="0" t="n">
        <v>13</v>
      </c>
      <c r="Y586" s="0" t="n">
        <v>12</v>
      </c>
      <c r="Z586" s="0" t="inlineStr">
        <is>
          <t>https://new.land.naver.com/complexes/119039?tab=detail&amp;rf=Y</t>
        </is>
      </c>
      <c r="AA586" s="0" t="inlineStr">
        <is>
          <t>서울시 강동구 길동 320-2</t>
        </is>
      </c>
      <c r="AB586" s="0" t="inlineStr">
        <is>
          <t>서울시</t>
        </is>
      </c>
      <c r="AC586" s="0" t="inlineStr">
        <is>
          <t>강동구</t>
        </is>
      </c>
      <c r="AD586" s="0" t="inlineStr">
        <is>
          <t>길동</t>
        </is>
      </c>
      <c r="AG586" s="0" t="inlineStr">
        <is>
          <t>서울시 강동구 양재대로 1560</t>
        </is>
      </c>
      <c r="AH586" s="0" t="n">
        <v>0</v>
      </c>
      <c r="AI586" s="0" t="n">
        <v>302</v>
      </c>
      <c r="AJ586" s="0" t="n">
        <v>36</v>
      </c>
      <c r="AK586" s="0" t="n">
        <v>23</v>
      </c>
      <c r="AL586" s="0" t="n">
        <v>0.57</v>
      </c>
    </row>
    <row r="587">
      <c r="A587" s="0" t="inlineStr">
        <is>
          <t>[길동]</t>
        </is>
      </c>
      <c r="B587" s="0" t="n">
        <v>119039</v>
      </c>
      <c r="C587" s="0" t="n">
        <v>3</v>
      </c>
      <c r="D587" s="0" t="inlineStr">
        <is>
          <t>강동디앤써밋(도시형)</t>
        </is>
      </c>
      <c r="E587" s="0" t="inlineStr">
        <is>
          <t>2019.05.</t>
        </is>
      </c>
      <c r="F587" s="0" t="n">
        <v>40</v>
      </c>
      <c r="G587" s="0" t="n">
        <v>7.36</v>
      </c>
      <c r="H587" s="0" t="n">
        <v>24.35</v>
      </c>
      <c r="I587" s="0" t="n">
        <v>5.73</v>
      </c>
      <c r="J587" s="0" t="n">
        <v>18.95</v>
      </c>
      <c r="K587" s="0" t="n">
        <v>10</v>
      </c>
      <c r="T587" s="0" t="n">
        <v>2</v>
      </c>
      <c r="U587" s="0" t="n">
        <v>1</v>
      </c>
      <c r="V587" s="0" t="inlineStr">
        <is>
          <t>계단식</t>
        </is>
      </c>
      <c r="W587" s="0" t="inlineStr">
        <is>
          <t>24G</t>
        </is>
      </c>
      <c r="X587" s="0" t="n">
        <v>13</v>
      </c>
      <c r="Y587" s="0" t="n">
        <v>12</v>
      </c>
      <c r="Z587" s="0" t="inlineStr">
        <is>
          <t>https://new.land.naver.com/complexes/119039?tab=detail&amp;rf=Y</t>
        </is>
      </c>
      <c r="AA587" s="0" t="inlineStr">
        <is>
          <t>서울시 강동구 길동 320-2</t>
        </is>
      </c>
      <c r="AB587" s="0" t="inlineStr">
        <is>
          <t>서울시</t>
        </is>
      </c>
      <c r="AC587" s="0" t="inlineStr">
        <is>
          <t>강동구</t>
        </is>
      </c>
      <c r="AD587" s="0" t="inlineStr">
        <is>
          <t>길동</t>
        </is>
      </c>
      <c r="AG587" s="0" t="inlineStr">
        <is>
          <t>서울시 강동구 양재대로 1560</t>
        </is>
      </c>
      <c r="AH587" s="0" t="n">
        <v>0</v>
      </c>
      <c r="AI587" s="0" t="n">
        <v>302</v>
      </c>
      <c r="AJ587" s="0" t="n">
        <v>36</v>
      </c>
      <c r="AK587" s="0" t="n">
        <v>23</v>
      </c>
      <c r="AL587" s="0" t="n">
        <v>0.57</v>
      </c>
    </row>
    <row r="588">
      <c r="A588" s="0" t="inlineStr">
        <is>
          <t>[길동]</t>
        </is>
      </c>
      <c r="B588" s="0" t="n">
        <v>119039</v>
      </c>
      <c r="C588" s="0" t="n">
        <v>4</v>
      </c>
      <c r="D588" s="0" t="inlineStr">
        <is>
          <t>강동디앤써밋(도시형)</t>
        </is>
      </c>
      <c r="E588" s="0" t="inlineStr">
        <is>
          <t>2019.05.</t>
        </is>
      </c>
      <c r="F588" s="0" t="n">
        <v>40</v>
      </c>
      <c r="G588" s="0" t="n">
        <v>7.3</v>
      </c>
      <c r="H588" s="0" t="n">
        <v>24.15</v>
      </c>
      <c r="I588" s="0" t="n">
        <v>5.39</v>
      </c>
      <c r="J588" s="0" t="n">
        <v>17.85</v>
      </c>
      <c r="K588" s="0" t="n">
        <v>10</v>
      </c>
      <c r="T588" s="0" t="n">
        <v>2</v>
      </c>
      <c r="U588" s="0" t="n">
        <v>1</v>
      </c>
      <c r="V588" s="0" t="inlineStr">
        <is>
          <t>계단식</t>
        </is>
      </c>
      <c r="W588" s="0" t="inlineStr">
        <is>
          <t>24H</t>
        </is>
      </c>
      <c r="X588" s="0" t="n">
        <v>13</v>
      </c>
      <c r="Y588" s="0" t="n">
        <v>12</v>
      </c>
      <c r="Z588" s="0" t="inlineStr">
        <is>
          <t>https://new.land.naver.com/complexes/119039?tab=detail&amp;rf=Y</t>
        </is>
      </c>
      <c r="AA588" s="0" t="inlineStr">
        <is>
          <t>서울시 강동구 길동 320-2</t>
        </is>
      </c>
      <c r="AB588" s="0" t="inlineStr">
        <is>
          <t>서울시</t>
        </is>
      </c>
      <c r="AC588" s="0" t="inlineStr">
        <is>
          <t>강동구</t>
        </is>
      </c>
      <c r="AD588" s="0" t="inlineStr">
        <is>
          <t>길동</t>
        </is>
      </c>
      <c r="AG588" s="0" t="inlineStr">
        <is>
          <t>서울시 강동구 양재대로 1560</t>
        </is>
      </c>
      <c r="AH588" s="0" t="n">
        <v>0</v>
      </c>
      <c r="AI588" s="0" t="n">
        <v>302</v>
      </c>
      <c r="AJ588" s="0" t="n">
        <v>36</v>
      </c>
      <c r="AK588" s="0" t="n">
        <v>23</v>
      </c>
      <c r="AL588" s="0" t="n">
        <v>0.57</v>
      </c>
    </row>
    <row r="589">
      <c r="A589" s="0" t="inlineStr">
        <is>
          <t>[길동]</t>
        </is>
      </c>
      <c r="B589" s="0" t="n">
        <v>14099</v>
      </c>
      <c r="C589" s="0" t="n">
        <v>1</v>
      </c>
      <c r="D589" s="0" t="inlineStr">
        <is>
          <t>동심훼밀리</t>
        </is>
      </c>
      <c r="E589" s="0" t="inlineStr">
        <is>
          <t>2002.12.</t>
        </is>
      </c>
      <c r="F589" s="0" t="n">
        <v>19</v>
      </c>
      <c r="G589" s="0" t="n">
        <v>27.86</v>
      </c>
      <c r="H589" s="0" t="n">
        <v>92.09999999999999</v>
      </c>
      <c r="I589" s="0" t="n">
        <v>24.52</v>
      </c>
      <c r="J589" s="0" t="n">
        <v>81.06999999999999</v>
      </c>
      <c r="K589" s="0" t="n">
        <v>1</v>
      </c>
      <c r="T589" s="0" t="n">
        <v>3</v>
      </c>
      <c r="U589" s="0" t="n">
        <v>2</v>
      </c>
      <c r="V589" s="0" t="inlineStr">
        <is>
          <t>계단식</t>
        </is>
      </c>
      <c r="W589" s="0" t="inlineStr">
        <is>
          <t>92A</t>
        </is>
      </c>
      <c r="X589" s="0" t="n">
        <v>7</v>
      </c>
      <c r="Y589" s="0" t="n">
        <v>5</v>
      </c>
      <c r="Z589" s="0" t="inlineStr">
        <is>
          <t>https://new.land.naver.com/complexes/14099?tab=detail&amp;rf=Y</t>
        </is>
      </c>
      <c r="AA589" s="0" t="inlineStr">
        <is>
          <t>서울시 강동구 길동 383-6</t>
        </is>
      </c>
      <c r="AB589" s="0" t="inlineStr">
        <is>
          <t>서울시</t>
        </is>
      </c>
      <c r="AC589" s="0" t="inlineStr">
        <is>
          <t>강동구</t>
        </is>
      </c>
      <c r="AD589" s="0" t="inlineStr">
        <is>
          <t>길동</t>
        </is>
      </c>
      <c r="AG589" s="0" t="inlineStr">
        <is>
          <t>서울시 강동구 천중로38가길 32</t>
        </is>
      </c>
      <c r="AH589" s="0" t="n">
        <v>0</v>
      </c>
      <c r="AI589" s="0" t="n">
        <v>242</v>
      </c>
      <c r="AJ589" s="0" t="n">
        <v>41</v>
      </c>
      <c r="AK589" s="0" t="n">
        <v>21</v>
      </c>
      <c r="AL589" s="0" t="n">
        <v>1.11</v>
      </c>
    </row>
    <row r="590">
      <c r="A590" s="0" t="inlineStr">
        <is>
          <t>[길동]</t>
        </is>
      </c>
      <c r="B590" s="0" t="n">
        <v>14099</v>
      </c>
      <c r="C590" s="0" t="n">
        <v>2</v>
      </c>
      <c r="D590" s="0" t="inlineStr">
        <is>
          <t>동심훼밀리</t>
        </is>
      </c>
      <c r="E590" s="0" t="inlineStr">
        <is>
          <t>2002.12.</t>
        </is>
      </c>
      <c r="F590" s="0" t="n">
        <v>19</v>
      </c>
      <c r="G590" s="0" t="n">
        <v>27.91</v>
      </c>
      <c r="H590" s="0" t="n">
        <v>92.28</v>
      </c>
      <c r="I590" s="0" t="n">
        <v>24.57</v>
      </c>
      <c r="J590" s="0" t="n">
        <v>81.23999999999999</v>
      </c>
      <c r="K590" s="0" t="n">
        <v>1</v>
      </c>
      <c r="T590" s="0" t="n">
        <v>3</v>
      </c>
      <c r="U590" s="0" t="n">
        <v>2</v>
      </c>
      <c r="V590" s="0" t="inlineStr">
        <is>
          <t>계단식</t>
        </is>
      </c>
      <c r="W590" s="0" t="inlineStr">
        <is>
          <t>92B</t>
        </is>
      </c>
      <c r="X590" s="0" t="n">
        <v>7</v>
      </c>
      <c r="Y590" s="0" t="n">
        <v>5</v>
      </c>
      <c r="Z590" s="0" t="inlineStr">
        <is>
          <t>https://new.land.naver.com/complexes/14099?tab=detail&amp;rf=Y</t>
        </is>
      </c>
      <c r="AA590" s="0" t="inlineStr">
        <is>
          <t>서울시 강동구 길동 383-6</t>
        </is>
      </c>
      <c r="AB590" s="0" t="inlineStr">
        <is>
          <t>서울시</t>
        </is>
      </c>
      <c r="AC590" s="0" t="inlineStr">
        <is>
          <t>강동구</t>
        </is>
      </c>
      <c r="AD590" s="0" t="inlineStr">
        <is>
          <t>길동</t>
        </is>
      </c>
      <c r="AG590" s="0" t="inlineStr">
        <is>
          <t>서울시 강동구 천중로38가길 32</t>
        </is>
      </c>
      <c r="AH590" s="0" t="n">
        <v>0</v>
      </c>
      <c r="AI590" s="0" t="n">
        <v>242</v>
      </c>
      <c r="AJ590" s="0" t="n">
        <v>41</v>
      </c>
      <c r="AK590" s="0" t="n">
        <v>21</v>
      </c>
      <c r="AL590" s="0" t="n">
        <v>1.11</v>
      </c>
    </row>
    <row r="591">
      <c r="A591" s="0" t="inlineStr">
        <is>
          <t>[길동]</t>
        </is>
      </c>
      <c r="B591" s="0" t="n">
        <v>14099</v>
      </c>
      <c r="C591" s="0" t="n">
        <v>3</v>
      </c>
      <c r="D591" s="0" t="inlineStr">
        <is>
          <t>동심훼밀리</t>
        </is>
      </c>
      <c r="E591" s="0" t="inlineStr">
        <is>
          <t>2002.12.</t>
        </is>
      </c>
      <c r="F591" s="0" t="n">
        <v>19</v>
      </c>
      <c r="G591" s="0" t="n">
        <v>28.24</v>
      </c>
      <c r="H591" s="0" t="n">
        <v>93.36</v>
      </c>
      <c r="I591" s="0" t="n">
        <v>24.85</v>
      </c>
      <c r="J591" s="0" t="n">
        <v>82.18000000000001</v>
      </c>
      <c r="K591" s="0" t="n">
        <v>7</v>
      </c>
      <c r="T591" s="0" t="n">
        <v>3</v>
      </c>
      <c r="U591" s="0" t="n">
        <v>2</v>
      </c>
      <c r="V591" s="0" t="inlineStr">
        <is>
          <t>계단식</t>
        </is>
      </c>
      <c r="W591" s="0" t="inlineStr">
        <is>
          <t>93C</t>
        </is>
      </c>
      <c r="X591" s="0" t="n">
        <v>7</v>
      </c>
      <c r="Y591" s="0" t="n">
        <v>5</v>
      </c>
      <c r="Z591" s="0" t="inlineStr">
        <is>
          <t>https://new.land.naver.com/complexes/14099?tab=detail&amp;rf=Y</t>
        </is>
      </c>
      <c r="AA591" s="0" t="inlineStr">
        <is>
          <t>서울시 강동구 길동 383-6</t>
        </is>
      </c>
      <c r="AB591" s="0" t="inlineStr">
        <is>
          <t>서울시</t>
        </is>
      </c>
      <c r="AC591" s="0" t="inlineStr">
        <is>
          <t>강동구</t>
        </is>
      </c>
      <c r="AD591" s="0" t="inlineStr">
        <is>
          <t>길동</t>
        </is>
      </c>
      <c r="AG591" s="0" t="inlineStr">
        <is>
          <t>서울시 강동구 천중로38가길 32</t>
        </is>
      </c>
      <c r="AH591" s="0" t="n">
        <v>0</v>
      </c>
      <c r="AI591" s="0" t="n">
        <v>242</v>
      </c>
      <c r="AJ591" s="0" t="n">
        <v>41</v>
      </c>
      <c r="AK591" s="0" t="n">
        <v>21</v>
      </c>
      <c r="AL591" s="0" t="n">
        <v>1.11</v>
      </c>
    </row>
    <row r="592">
      <c r="A592" s="0" t="inlineStr">
        <is>
          <t>[길동]</t>
        </is>
      </c>
      <c r="B592" s="0" t="n">
        <v>14099</v>
      </c>
      <c r="C592" s="0" t="n">
        <v>4</v>
      </c>
      <c r="D592" s="0" t="inlineStr">
        <is>
          <t>동심훼밀리</t>
        </is>
      </c>
      <c r="E592" s="0" t="inlineStr">
        <is>
          <t>2002.12.</t>
        </is>
      </c>
      <c r="F592" s="0" t="n">
        <v>19</v>
      </c>
      <c r="G592" s="0" t="n">
        <v>28.75</v>
      </c>
      <c r="H592" s="0" t="n">
        <v>95.06</v>
      </c>
      <c r="I592" s="0" t="n">
        <v>25.31</v>
      </c>
      <c r="J592" s="0" t="n">
        <v>83.68000000000001</v>
      </c>
      <c r="K592" s="0" t="n">
        <v>3</v>
      </c>
      <c r="T592" s="0" t="n">
        <v>3</v>
      </c>
      <c r="U592" s="0" t="n">
        <v>2</v>
      </c>
      <c r="V592" s="0" t="inlineStr">
        <is>
          <t>계단식</t>
        </is>
      </c>
      <c r="W592" s="0" t="inlineStr">
        <is>
          <t>95A</t>
        </is>
      </c>
      <c r="X592" s="0" t="n">
        <v>7</v>
      </c>
      <c r="Y592" s="0" t="n">
        <v>5</v>
      </c>
      <c r="Z592" s="0" t="inlineStr">
        <is>
          <t>https://new.land.naver.com/complexes/14099?tab=detail&amp;rf=Y</t>
        </is>
      </c>
      <c r="AA592" s="0" t="inlineStr">
        <is>
          <t>서울시 강동구 길동 383-6</t>
        </is>
      </c>
      <c r="AB592" s="0" t="inlineStr">
        <is>
          <t>서울시</t>
        </is>
      </c>
      <c r="AC592" s="0" t="inlineStr">
        <is>
          <t>강동구</t>
        </is>
      </c>
      <c r="AD592" s="0" t="inlineStr">
        <is>
          <t>길동</t>
        </is>
      </c>
      <c r="AG592" s="0" t="inlineStr">
        <is>
          <t>서울시 강동구 천중로38가길 32</t>
        </is>
      </c>
      <c r="AH592" s="0" t="n">
        <v>0</v>
      </c>
      <c r="AI592" s="0" t="n">
        <v>242</v>
      </c>
      <c r="AJ592" s="0" t="n">
        <v>41</v>
      </c>
      <c r="AK592" s="0" t="n">
        <v>21</v>
      </c>
      <c r="AL592" s="0" t="n">
        <v>1.11</v>
      </c>
    </row>
    <row r="593">
      <c r="A593" s="0" t="inlineStr">
        <is>
          <t>[길동]</t>
        </is>
      </c>
      <c r="B593" s="0" t="n">
        <v>14099</v>
      </c>
      <c r="C593" s="0" t="n">
        <v>5</v>
      </c>
      <c r="D593" s="0" t="inlineStr">
        <is>
          <t>동심훼밀리</t>
        </is>
      </c>
      <c r="E593" s="0" t="inlineStr">
        <is>
          <t>2002.12.</t>
        </is>
      </c>
      <c r="F593" s="0" t="n">
        <v>19</v>
      </c>
      <c r="G593" s="0" t="n">
        <v>29.08</v>
      </c>
      <c r="H593" s="0" t="n">
        <v>96.14</v>
      </c>
      <c r="I593" s="0" t="n">
        <v>25.6</v>
      </c>
      <c r="J593" s="0" t="n">
        <v>84.63</v>
      </c>
      <c r="K593" s="0" t="n">
        <v>6</v>
      </c>
      <c r="T593" s="0" t="n">
        <v>3</v>
      </c>
      <c r="U593" s="0" t="n">
        <v>2</v>
      </c>
      <c r="V593" s="0" t="inlineStr">
        <is>
          <t>계단식</t>
        </is>
      </c>
      <c r="W593" s="0" t="inlineStr">
        <is>
          <t>96B</t>
        </is>
      </c>
      <c r="X593" s="0" t="n">
        <v>7</v>
      </c>
      <c r="Y593" s="0" t="n">
        <v>5</v>
      </c>
      <c r="Z593" s="0" t="inlineStr">
        <is>
          <t>https://new.land.naver.com/complexes/14099?tab=detail&amp;rf=Y</t>
        </is>
      </c>
      <c r="AA593" s="0" t="inlineStr">
        <is>
          <t>서울시 강동구 길동 383-6</t>
        </is>
      </c>
      <c r="AB593" s="0" t="inlineStr">
        <is>
          <t>서울시</t>
        </is>
      </c>
      <c r="AC593" s="0" t="inlineStr">
        <is>
          <t>강동구</t>
        </is>
      </c>
      <c r="AD593" s="0" t="inlineStr">
        <is>
          <t>길동</t>
        </is>
      </c>
      <c r="AG593" s="0" t="inlineStr">
        <is>
          <t>서울시 강동구 천중로38가길 32</t>
        </is>
      </c>
      <c r="AH593" s="0" t="n">
        <v>0</v>
      </c>
      <c r="AI593" s="0" t="n">
        <v>242</v>
      </c>
      <c r="AJ593" s="0" t="n">
        <v>41</v>
      </c>
      <c r="AK593" s="0" t="n">
        <v>21</v>
      </c>
      <c r="AL593" s="0" t="n">
        <v>1.11</v>
      </c>
    </row>
    <row r="594">
      <c r="A594" s="0" t="inlineStr">
        <is>
          <t>[길동]</t>
        </is>
      </c>
      <c r="B594" s="0" t="n">
        <v>14099</v>
      </c>
      <c r="C594" s="0" t="n">
        <v>6</v>
      </c>
      <c r="D594" s="0" t="inlineStr">
        <is>
          <t>동심훼밀리</t>
        </is>
      </c>
      <c r="E594" s="0" t="inlineStr">
        <is>
          <t>2002.12.</t>
        </is>
      </c>
      <c r="F594" s="0" t="n">
        <v>19</v>
      </c>
      <c r="G594" s="0" t="n">
        <v>29.09</v>
      </c>
      <c r="H594" s="0" t="n">
        <v>96.18000000000001</v>
      </c>
      <c r="I594" s="0" t="n">
        <v>25.61</v>
      </c>
      <c r="J594" s="0" t="n">
        <v>84.67</v>
      </c>
      <c r="K594" s="0" t="n">
        <v>1</v>
      </c>
      <c r="T594" s="0" t="n">
        <v>3</v>
      </c>
      <c r="U594" s="0" t="n">
        <v>2</v>
      </c>
      <c r="V594" s="0" t="inlineStr">
        <is>
          <t>계단식</t>
        </is>
      </c>
      <c r="W594" s="0" t="inlineStr">
        <is>
          <t>96C</t>
        </is>
      </c>
      <c r="X594" s="0" t="n">
        <v>7</v>
      </c>
      <c r="Y594" s="0" t="n">
        <v>5</v>
      </c>
      <c r="Z594" s="0" t="inlineStr">
        <is>
          <t>https://new.land.naver.com/complexes/14099?tab=detail&amp;rf=Y</t>
        </is>
      </c>
      <c r="AA594" s="0" t="inlineStr">
        <is>
          <t>서울시 강동구 길동 383-6</t>
        </is>
      </c>
      <c r="AB594" s="0" t="inlineStr">
        <is>
          <t>서울시</t>
        </is>
      </c>
      <c r="AC594" s="0" t="inlineStr">
        <is>
          <t>강동구</t>
        </is>
      </c>
      <c r="AD594" s="0" t="inlineStr">
        <is>
          <t>길동</t>
        </is>
      </c>
      <c r="AG594" s="0" t="inlineStr">
        <is>
          <t>서울시 강동구 천중로38가길 32</t>
        </is>
      </c>
      <c r="AH594" s="0" t="n">
        <v>0</v>
      </c>
      <c r="AI594" s="0" t="n">
        <v>242</v>
      </c>
      <c r="AJ594" s="0" t="n">
        <v>41</v>
      </c>
      <c r="AK594" s="0" t="n">
        <v>21</v>
      </c>
      <c r="AL594" s="0" t="n">
        <v>1.11</v>
      </c>
    </row>
    <row r="595">
      <c r="A595" s="0" t="inlineStr">
        <is>
          <t>[길동]</t>
        </is>
      </c>
      <c r="B595" s="0" t="n">
        <v>109551</v>
      </c>
      <c r="C595" s="0" t="n">
        <v>1</v>
      </c>
      <c r="D595" s="0" t="inlineStr">
        <is>
          <t>도고하임(도시형)</t>
        </is>
      </c>
      <c r="E595" s="0" t="inlineStr">
        <is>
          <t>2014.09.</t>
        </is>
      </c>
      <c r="F595" s="0" t="n">
        <v>80</v>
      </c>
      <c r="G595" s="0" t="n">
        <v>9</v>
      </c>
      <c r="H595" s="0" t="n">
        <v>29.76</v>
      </c>
      <c r="I595" s="0" t="n">
        <v>5.69</v>
      </c>
      <c r="J595" s="0" t="n">
        <v>18.81</v>
      </c>
      <c r="K595" s="0" t="n">
        <v>58</v>
      </c>
      <c r="T595" s="0" t="n">
        <v>1</v>
      </c>
      <c r="U595" s="0" t="n">
        <v>1</v>
      </c>
      <c r="V595" s="0" t="inlineStr">
        <is>
          <t>복도식</t>
        </is>
      </c>
      <c r="W595" s="0" t="n">
        <v>29</v>
      </c>
      <c r="X595" s="0" t="n">
        <v>18</v>
      </c>
      <c r="Y595" s="0" t="n">
        <v>18</v>
      </c>
      <c r="Z595" s="0" t="inlineStr">
        <is>
          <t>https://new.land.naver.com/complexes/109551?tab=detail&amp;rf=Y</t>
        </is>
      </c>
      <c r="AA595" s="0" t="inlineStr">
        <is>
          <t>서울시 강동구 길동 413-54</t>
        </is>
      </c>
      <c r="AB595" s="0" t="inlineStr">
        <is>
          <t>서울시</t>
        </is>
      </c>
      <c r="AC595" s="0" t="inlineStr">
        <is>
          <t>강동구</t>
        </is>
      </c>
      <c r="AD595" s="0" t="inlineStr">
        <is>
          <t>길동</t>
        </is>
      </c>
      <c r="AG595" s="0" t="inlineStr">
        <is>
          <t>서울시 강동구 진황도로 107</t>
        </is>
      </c>
      <c r="AH595" s="0" t="n">
        <v>0</v>
      </c>
      <c r="AI595" s="0" t="n">
        <v>683</v>
      </c>
      <c r="AJ595" s="0" t="n">
        <v>59</v>
      </c>
      <c r="AK595" s="0" t="n">
        <v>41</v>
      </c>
      <c r="AL595" s="0" t="n">
        <v>0.51</v>
      </c>
    </row>
    <row r="596">
      <c r="A596" s="0" t="inlineStr">
        <is>
          <t>[길동]</t>
        </is>
      </c>
      <c r="B596" s="0" t="n">
        <v>109551</v>
      </c>
      <c r="C596" s="0" t="n">
        <v>2</v>
      </c>
      <c r="D596" s="0" t="inlineStr">
        <is>
          <t>도고하임(도시형)</t>
        </is>
      </c>
      <c r="E596" s="0" t="inlineStr">
        <is>
          <t>2014.09.</t>
        </is>
      </c>
      <c r="F596" s="0" t="n">
        <v>80</v>
      </c>
      <c r="G596" s="0" t="n">
        <v>21.45</v>
      </c>
      <c r="H596" s="0" t="n">
        <v>70.92</v>
      </c>
      <c r="I596" s="0" t="n">
        <v>13.56</v>
      </c>
      <c r="J596" s="0" t="n">
        <v>44.83</v>
      </c>
      <c r="K596" s="0" t="n">
        <v>12</v>
      </c>
      <c r="T596" s="0" t="n">
        <v>2</v>
      </c>
      <c r="U596" s="0" t="n">
        <v>1</v>
      </c>
      <c r="V596" s="0" t="inlineStr">
        <is>
          <t>복도식</t>
        </is>
      </c>
      <c r="W596" s="0" t="n">
        <v>70</v>
      </c>
      <c r="X596" s="0" t="n">
        <v>18</v>
      </c>
      <c r="Y596" s="0" t="n">
        <v>18</v>
      </c>
      <c r="Z596" s="0" t="inlineStr">
        <is>
          <t>https://new.land.naver.com/complexes/109551?tab=detail&amp;rf=Y</t>
        </is>
      </c>
      <c r="AA596" s="0" t="inlineStr">
        <is>
          <t>서울시 강동구 길동 413-54</t>
        </is>
      </c>
      <c r="AB596" s="0" t="inlineStr">
        <is>
          <t>서울시</t>
        </is>
      </c>
      <c r="AC596" s="0" t="inlineStr">
        <is>
          <t>강동구</t>
        </is>
      </c>
      <c r="AD596" s="0" t="inlineStr">
        <is>
          <t>길동</t>
        </is>
      </c>
      <c r="AG596" s="0" t="inlineStr">
        <is>
          <t>서울시 강동구 진황도로 107</t>
        </is>
      </c>
      <c r="AH596" s="0" t="n">
        <v>0</v>
      </c>
      <c r="AI596" s="0" t="n">
        <v>683</v>
      </c>
      <c r="AJ596" s="0" t="n">
        <v>59</v>
      </c>
      <c r="AK596" s="0" t="n">
        <v>41</v>
      </c>
      <c r="AL596" s="0" t="n">
        <v>0.51</v>
      </c>
    </row>
    <row r="597">
      <c r="A597" s="0" t="inlineStr">
        <is>
          <t>[길동]</t>
        </is>
      </c>
      <c r="B597" s="0" t="n">
        <v>109551</v>
      </c>
      <c r="C597" s="0" t="n">
        <v>3</v>
      </c>
      <c r="D597" s="0" t="inlineStr">
        <is>
          <t>도고하임(도시형)</t>
        </is>
      </c>
      <c r="E597" s="0" t="inlineStr">
        <is>
          <t>2014.09.</t>
        </is>
      </c>
      <c r="F597" s="0" t="n">
        <v>80</v>
      </c>
      <c r="G597" s="0" t="n">
        <v>22.45</v>
      </c>
      <c r="H597" s="0" t="n">
        <v>74.23999999999999</v>
      </c>
      <c r="I597" s="0" t="n">
        <v>14.19</v>
      </c>
      <c r="J597" s="0" t="n">
        <v>46.93</v>
      </c>
      <c r="K597" s="0" t="n">
        <v>10</v>
      </c>
      <c r="T597" s="0" t="n">
        <v>2</v>
      </c>
      <c r="U597" s="0" t="n">
        <v>1</v>
      </c>
      <c r="V597" s="0" t="inlineStr">
        <is>
          <t>복도식</t>
        </is>
      </c>
      <c r="W597" s="0" t="n">
        <v>74</v>
      </c>
      <c r="X597" s="0" t="n">
        <v>18</v>
      </c>
      <c r="Y597" s="0" t="n">
        <v>18</v>
      </c>
      <c r="Z597" s="0" t="inlineStr">
        <is>
          <t>https://new.land.naver.com/complexes/109551?tab=detail&amp;rf=Y</t>
        </is>
      </c>
      <c r="AA597" s="0" t="inlineStr">
        <is>
          <t>서울시 강동구 길동 413-54</t>
        </is>
      </c>
      <c r="AB597" s="0" t="inlineStr">
        <is>
          <t>서울시</t>
        </is>
      </c>
      <c r="AC597" s="0" t="inlineStr">
        <is>
          <t>강동구</t>
        </is>
      </c>
      <c r="AD597" s="0" t="inlineStr">
        <is>
          <t>길동</t>
        </is>
      </c>
      <c r="AG597" s="0" t="inlineStr">
        <is>
          <t>서울시 강동구 진황도로 107</t>
        </is>
      </c>
      <c r="AH597" s="0" t="n">
        <v>0</v>
      </c>
      <c r="AI597" s="0" t="n">
        <v>683</v>
      </c>
      <c r="AJ597" s="0" t="n">
        <v>59</v>
      </c>
      <c r="AK597" s="0" t="n">
        <v>41</v>
      </c>
      <c r="AL597" s="0" t="n">
        <v>0.51</v>
      </c>
    </row>
    <row r="598">
      <c r="A598" s="0" t="inlineStr">
        <is>
          <t>[길동]</t>
        </is>
      </c>
      <c r="B598" s="0" t="n">
        <v>105877</v>
      </c>
      <c r="C598" s="0" t="n">
        <v>1</v>
      </c>
      <c r="D598" s="0" t="inlineStr">
        <is>
          <t>강동와이시티(도시형)</t>
        </is>
      </c>
      <c r="E598" s="0" t="inlineStr">
        <is>
          <t>2014.01.</t>
        </is>
      </c>
      <c r="F598" s="0" t="n">
        <v>216</v>
      </c>
      <c r="G598" s="0" t="n">
        <v>7.05</v>
      </c>
      <c r="H598" s="0" t="n">
        <v>23.33</v>
      </c>
      <c r="I598" s="0" t="n">
        <v>4.22</v>
      </c>
      <c r="J598" s="0" t="n">
        <v>13.97</v>
      </c>
      <c r="K598" s="0" t="n">
        <v>192</v>
      </c>
      <c r="T598" s="0" t="n">
        <v>1</v>
      </c>
      <c r="U598" s="0" t="n">
        <v>1</v>
      </c>
      <c r="V598" s="0" t="inlineStr">
        <is>
          <t>복도식</t>
        </is>
      </c>
      <c r="W598" s="0" t="inlineStr">
        <is>
          <t>23A</t>
        </is>
      </c>
      <c r="X598" s="0" t="n">
        <v>18</v>
      </c>
      <c r="Y598" s="0" t="n">
        <v>18</v>
      </c>
      <c r="Z598" s="0" t="inlineStr">
        <is>
          <t>https://new.land.naver.com/complexes/105877?tab=detail&amp;rf=Y</t>
        </is>
      </c>
      <c r="AA598" s="0" t="inlineStr">
        <is>
          <t>서울시 강동구 길동 414-4</t>
        </is>
      </c>
      <c r="AB598" s="0" t="inlineStr">
        <is>
          <t>서울시</t>
        </is>
      </c>
      <c r="AC598" s="0" t="inlineStr">
        <is>
          <t>강동구</t>
        </is>
      </c>
      <c r="AD598" s="0" t="inlineStr">
        <is>
          <t>길동</t>
        </is>
      </c>
      <c r="AG598" s="0" t="inlineStr">
        <is>
          <t>서울시 강동구 천호대로175길 42</t>
        </is>
      </c>
      <c r="AH598" s="0" t="n">
        <v>0</v>
      </c>
      <c r="AI598" s="0" t="n">
        <v>596</v>
      </c>
      <c r="AJ598" s="0" t="n">
        <v>53</v>
      </c>
      <c r="AK598" s="0" t="n">
        <v>51</v>
      </c>
      <c r="AL598" s="0" t="n">
        <v>0.24</v>
      </c>
    </row>
    <row r="599">
      <c r="A599" s="0" t="inlineStr">
        <is>
          <t>[길동]</t>
        </is>
      </c>
      <c r="B599" s="0" t="n">
        <v>105877</v>
      </c>
      <c r="C599" s="0" t="n">
        <v>2</v>
      </c>
      <c r="D599" s="0" t="inlineStr">
        <is>
          <t>강동와이시티(도시형)</t>
        </is>
      </c>
      <c r="E599" s="0" t="inlineStr">
        <is>
          <t>2014.01.</t>
        </is>
      </c>
      <c r="F599" s="0" t="n">
        <v>216</v>
      </c>
      <c r="G599" s="0" t="n">
        <v>7.06</v>
      </c>
      <c r="H599" s="0" t="n">
        <v>23.36</v>
      </c>
      <c r="I599" s="0" t="n">
        <v>4.23</v>
      </c>
      <c r="J599" s="0" t="n">
        <v>13.99</v>
      </c>
      <c r="K599" s="0" t="n">
        <v>24</v>
      </c>
      <c r="T599" s="0" t="n">
        <v>1</v>
      </c>
      <c r="U599" s="0" t="n">
        <v>1</v>
      </c>
      <c r="V599" s="0" t="inlineStr">
        <is>
          <t>복도식</t>
        </is>
      </c>
      <c r="W599" s="0" t="inlineStr">
        <is>
          <t>23B</t>
        </is>
      </c>
      <c r="X599" s="0" t="n">
        <v>18</v>
      </c>
      <c r="Y599" s="0" t="n">
        <v>18</v>
      </c>
      <c r="Z599" s="0" t="inlineStr">
        <is>
          <t>https://new.land.naver.com/complexes/105877?tab=detail&amp;rf=Y</t>
        </is>
      </c>
      <c r="AA599" s="0" t="inlineStr">
        <is>
          <t>서울시 강동구 길동 414-4</t>
        </is>
      </c>
      <c r="AB599" s="0" t="inlineStr">
        <is>
          <t>서울시</t>
        </is>
      </c>
      <c r="AC599" s="0" t="inlineStr">
        <is>
          <t>강동구</t>
        </is>
      </c>
      <c r="AD599" s="0" t="inlineStr">
        <is>
          <t>길동</t>
        </is>
      </c>
      <c r="AG599" s="0" t="inlineStr">
        <is>
          <t>서울시 강동구 천호대로175길 42</t>
        </is>
      </c>
      <c r="AH599" s="0" t="n">
        <v>0</v>
      </c>
      <c r="AI599" s="0" t="n">
        <v>596</v>
      </c>
      <c r="AJ599" s="0" t="n">
        <v>53</v>
      </c>
      <c r="AK599" s="0" t="n">
        <v>51</v>
      </c>
      <c r="AL599" s="0" t="n">
        <v>0.24</v>
      </c>
    </row>
    <row r="600">
      <c r="A600" s="0" t="inlineStr">
        <is>
          <t>[길동]</t>
        </is>
      </c>
      <c r="B600" s="0" t="n">
        <v>19345</v>
      </c>
      <c r="C600" s="0" t="n">
        <v>1</v>
      </c>
      <c r="D600" s="0" t="inlineStr">
        <is>
          <t>강동시가오똠</t>
        </is>
      </c>
      <c r="E600" s="0" t="inlineStr">
        <is>
          <t>2004.05.</t>
        </is>
      </c>
      <c r="F600" s="0" t="n">
        <v>36</v>
      </c>
      <c r="G600" s="0" t="n">
        <v>17.95</v>
      </c>
      <c r="H600" s="0" t="n">
        <v>59.37</v>
      </c>
      <c r="I600" s="0" t="n">
        <v>15.72</v>
      </c>
      <c r="J600" s="0" t="n">
        <v>51.99</v>
      </c>
      <c r="K600" s="0" t="n">
        <v>1</v>
      </c>
      <c r="T600" s="0" t="n">
        <v>3</v>
      </c>
      <c r="U600" s="0" t="n">
        <v>1</v>
      </c>
      <c r="V600" s="0" t="inlineStr">
        <is>
          <t>복도식</t>
        </is>
      </c>
      <c r="W600" s="0" t="n">
        <v>59</v>
      </c>
      <c r="X600" s="0" t="n">
        <v>7</v>
      </c>
      <c r="Y600" s="0" t="n">
        <v>7</v>
      </c>
      <c r="Z600" s="0" t="inlineStr">
        <is>
          <t>https://new.land.naver.com/complexes/19345?tab=detail&amp;rf=Y</t>
        </is>
      </c>
      <c r="AA600" s="0" t="inlineStr">
        <is>
          <t>서울시 강동구 길동 334-3</t>
        </is>
      </c>
      <c r="AB600" s="0" t="inlineStr">
        <is>
          <t>서울시</t>
        </is>
      </c>
      <c r="AC600" s="0" t="inlineStr">
        <is>
          <t>강동구</t>
        </is>
      </c>
      <c r="AD600" s="0" t="inlineStr">
        <is>
          <t>길동</t>
        </is>
      </c>
      <c r="AG600" s="0" t="inlineStr">
        <is>
          <t>서울시 강동구 양재대로122가길 26</t>
        </is>
      </c>
      <c r="AH600" s="0" t="n">
        <v>0</v>
      </c>
      <c r="AI600" s="0" t="n">
        <v>0</v>
      </c>
      <c r="AJ600" s="0" t="n">
        <v>0</v>
      </c>
      <c r="AK600" s="0" t="n">
        <v>39</v>
      </c>
      <c r="AL600" s="0" t="n">
        <v>1.08</v>
      </c>
    </row>
    <row r="601">
      <c r="A601" s="0" t="inlineStr">
        <is>
          <t>[길동]</t>
        </is>
      </c>
      <c r="B601" s="0" t="n">
        <v>19345</v>
      </c>
      <c r="C601" s="0" t="n">
        <v>2</v>
      </c>
      <c r="D601" s="0" t="inlineStr">
        <is>
          <t>강동시가오똠</t>
        </is>
      </c>
      <c r="E601" s="0" t="inlineStr">
        <is>
          <t>2004.05.</t>
        </is>
      </c>
      <c r="F601" s="0" t="n">
        <v>36</v>
      </c>
      <c r="G601" s="0" t="n">
        <v>21.51</v>
      </c>
      <c r="H601" s="0" t="n">
        <v>71.13</v>
      </c>
      <c r="I601" s="0" t="n">
        <v>18.83</v>
      </c>
      <c r="J601" s="0" t="n">
        <v>62.28</v>
      </c>
      <c r="K601" s="0" t="n">
        <v>2</v>
      </c>
      <c r="T601" s="0" t="n">
        <v>3</v>
      </c>
      <c r="U601" s="0" t="n">
        <v>1</v>
      </c>
      <c r="V601" s="0" t="inlineStr">
        <is>
          <t>계단식</t>
        </is>
      </c>
      <c r="W601" s="0" t="inlineStr">
        <is>
          <t>71A</t>
        </is>
      </c>
      <c r="X601" s="0" t="n">
        <v>7</v>
      </c>
      <c r="Y601" s="0" t="n">
        <v>7</v>
      </c>
      <c r="Z601" s="0" t="inlineStr">
        <is>
          <t>https://new.land.naver.com/complexes/19345?tab=detail&amp;rf=Y</t>
        </is>
      </c>
      <c r="AA601" s="0" t="inlineStr">
        <is>
          <t>서울시 강동구 길동 334-3</t>
        </is>
      </c>
      <c r="AB601" s="0" t="inlineStr">
        <is>
          <t>서울시</t>
        </is>
      </c>
      <c r="AC601" s="0" t="inlineStr">
        <is>
          <t>강동구</t>
        </is>
      </c>
      <c r="AD601" s="0" t="inlineStr">
        <is>
          <t>길동</t>
        </is>
      </c>
      <c r="AG601" s="0" t="inlineStr">
        <is>
          <t>서울시 강동구 양재대로122가길 26</t>
        </is>
      </c>
      <c r="AH601" s="0" t="n">
        <v>0</v>
      </c>
      <c r="AI601" s="0" t="n">
        <v>0</v>
      </c>
      <c r="AJ601" s="0" t="n">
        <v>0</v>
      </c>
      <c r="AK601" s="0" t="n">
        <v>39</v>
      </c>
      <c r="AL601" s="0" t="n">
        <v>1.08</v>
      </c>
    </row>
    <row r="602">
      <c r="A602" s="0" t="inlineStr">
        <is>
          <t>[길동]</t>
        </is>
      </c>
      <c r="B602" s="0" t="n">
        <v>19345</v>
      </c>
      <c r="C602" s="0" t="n">
        <v>3</v>
      </c>
      <c r="D602" s="0" t="inlineStr">
        <is>
          <t>강동시가오똠</t>
        </is>
      </c>
      <c r="E602" s="0" t="inlineStr">
        <is>
          <t>2004.05.</t>
        </is>
      </c>
      <c r="F602" s="0" t="n">
        <v>36</v>
      </c>
      <c r="G602" s="0" t="n">
        <v>21.9</v>
      </c>
      <c r="H602" s="0" t="n">
        <v>72.40000000000001</v>
      </c>
      <c r="I602" s="0" t="n">
        <v>19.09</v>
      </c>
      <c r="J602" s="0" t="n">
        <v>63.12</v>
      </c>
      <c r="K602" s="0" t="n">
        <v>1</v>
      </c>
      <c r="T602" s="0" t="n">
        <v>3</v>
      </c>
      <c r="U602" s="0" t="n">
        <v>1</v>
      </c>
      <c r="V602" s="0" t="inlineStr">
        <is>
          <t>계단식</t>
        </is>
      </c>
      <c r="W602" s="0" t="inlineStr">
        <is>
          <t>72B</t>
        </is>
      </c>
      <c r="X602" s="0" t="n">
        <v>7</v>
      </c>
      <c r="Y602" s="0" t="n">
        <v>7</v>
      </c>
      <c r="Z602" s="0" t="inlineStr">
        <is>
          <t>https://new.land.naver.com/complexes/19345?tab=detail&amp;rf=Y</t>
        </is>
      </c>
      <c r="AA602" s="0" t="inlineStr">
        <is>
          <t>서울시 강동구 길동 334-3</t>
        </is>
      </c>
      <c r="AB602" s="0" t="inlineStr">
        <is>
          <t>서울시</t>
        </is>
      </c>
      <c r="AC602" s="0" t="inlineStr">
        <is>
          <t>강동구</t>
        </is>
      </c>
      <c r="AD602" s="0" t="inlineStr">
        <is>
          <t>길동</t>
        </is>
      </c>
      <c r="AG602" s="0" t="inlineStr">
        <is>
          <t>서울시 강동구 양재대로122가길 26</t>
        </is>
      </c>
      <c r="AH602" s="0" t="n">
        <v>0</v>
      </c>
      <c r="AI602" s="0" t="n">
        <v>0</v>
      </c>
      <c r="AJ602" s="0" t="n">
        <v>0</v>
      </c>
      <c r="AK602" s="0" t="n">
        <v>39</v>
      </c>
      <c r="AL602" s="0" t="n">
        <v>1.08</v>
      </c>
    </row>
    <row r="603">
      <c r="A603" s="0" t="inlineStr">
        <is>
          <t>[길동]</t>
        </is>
      </c>
      <c r="B603" s="0" t="n">
        <v>19345</v>
      </c>
      <c r="C603" s="0" t="n">
        <v>4</v>
      </c>
      <c r="D603" s="0" t="inlineStr">
        <is>
          <t>강동시가오똠</t>
        </is>
      </c>
      <c r="E603" s="0" t="inlineStr">
        <is>
          <t>2004.05.</t>
        </is>
      </c>
      <c r="F603" s="0" t="n">
        <v>36</v>
      </c>
      <c r="G603" s="0" t="n">
        <v>24.42</v>
      </c>
      <c r="H603" s="0" t="n">
        <v>80.73999999999999</v>
      </c>
      <c r="I603" s="0" t="n">
        <v>21.38</v>
      </c>
      <c r="J603" s="0" t="n">
        <v>70.7</v>
      </c>
      <c r="K603" s="0" t="n">
        <v>1</v>
      </c>
      <c r="T603" s="0" t="n">
        <v>3</v>
      </c>
      <c r="U603" s="0" t="n">
        <v>2</v>
      </c>
      <c r="V603" s="0" t="inlineStr">
        <is>
          <t>복도식</t>
        </is>
      </c>
      <c r="W603" s="0" t="n">
        <v>80</v>
      </c>
      <c r="X603" s="0" t="n">
        <v>7</v>
      </c>
      <c r="Y603" s="0" t="n">
        <v>7</v>
      </c>
      <c r="Z603" s="0" t="inlineStr">
        <is>
          <t>https://new.land.naver.com/complexes/19345?tab=detail&amp;rf=Y</t>
        </is>
      </c>
      <c r="AA603" s="0" t="inlineStr">
        <is>
          <t>서울시 강동구 길동 334-3</t>
        </is>
      </c>
      <c r="AB603" s="0" t="inlineStr">
        <is>
          <t>서울시</t>
        </is>
      </c>
      <c r="AC603" s="0" t="inlineStr">
        <is>
          <t>강동구</t>
        </is>
      </c>
      <c r="AD603" s="0" t="inlineStr">
        <is>
          <t>길동</t>
        </is>
      </c>
      <c r="AG603" s="0" t="inlineStr">
        <is>
          <t>서울시 강동구 양재대로122가길 26</t>
        </is>
      </c>
      <c r="AH603" s="0" t="n">
        <v>0</v>
      </c>
      <c r="AI603" s="0" t="n">
        <v>0</v>
      </c>
      <c r="AJ603" s="0" t="n">
        <v>0</v>
      </c>
      <c r="AK603" s="0" t="n">
        <v>39</v>
      </c>
      <c r="AL603" s="0" t="n">
        <v>1.08</v>
      </c>
    </row>
    <row r="604">
      <c r="A604" s="0" t="inlineStr">
        <is>
          <t>[길동]</t>
        </is>
      </c>
      <c r="B604" s="0" t="n">
        <v>19345</v>
      </c>
      <c r="C604" s="0" t="n">
        <v>5</v>
      </c>
      <c r="D604" s="0" t="inlineStr">
        <is>
          <t>강동시가오똠</t>
        </is>
      </c>
      <c r="E604" s="0" t="inlineStr">
        <is>
          <t>2004.05.</t>
        </is>
      </c>
      <c r="F604" s="0" t="n">
        <v>36</v>
      </c>
      <c r="G604" s="0" t="n">
        <v>26.31</v>
      </c>
      <c r="H604" s="0" t="n">
        <v>86.98</v>
      </c>
      <c r="I604" s="0" t="n">
        <v>23.03</v>
      </c>
      <c r="J604" s="0" t="n">
        <v>76.16</v>
      </c>
      <c r="K604" s="0" t="n">
        <v>2</v>
      </c>
      <c r="T604" s="0" t="n">
        <v>3</v>
      </c>
      <c r="U604" s="0" t="n">
        <v>2</v>
      </c>
      <c r="V604" s="0" t="inlineStr">
        <is>
          <t>계단식</t>
        </is>
      </c>
      <c r="W604" s="0" t="inlineStr">
        <is>
          <t>86B</t>
        </is>
      </c>
      <c r="X604" s="0" t="n">
        <v>7</v>
      </c>
      <c r="Y604" s="0" t="n">
        <v>7</v>
      </c>
      <c r="Z604" s="0" t="inlineStr">
        <is>
          <t>https://new.land.naver.com/complexes/19345?tab=detail&amp;rf=Y</t>
        </is>
      </c>
      <c r="AA604" s="0" t="inlineStr">
        <is>
          <t>서울시 강동구 길동 334-3</t>
        </is>
      </c>
      <c r="AB604" s="0" t="inlineStr">
        <is>
          <t>서울시</t>
        </is>
      </c>
      <c r="AC604" s="0" t="inlineStr">
        <is>
          <t>강동구</t>
        </is>
      </c>
      <c r="AD604" s="0" t="inlineStr">
        <is>
          <t>길동</t>
        </is>
      </c>
      <c r="AG604" s="0" t="inlineStr">
        <is>
          <t>서울시 강동구 양재대로122가길 26</t>
        </is>
      </c>
      <c r="AH604" s="0" t="n">
        <v>0</v>
      </c>
      <c r="AI604" s="0" t="n">
        <v>0</v>
      </c>
      <c r="AJ604" s="0" t="n">
        <v>0</v>
      </c>
      <c r="AK604" s="0" t="n">
        <v>39</v>
      </c>
      <c r="AL604" s="0" t="n">
        <v>1.08</v>
      </c>
    </row>
    <row r="605">
      <c r="A605" s="0" t="inlineStr">
        <is>
          <t>[길동]</t>
        </is>
      </c>
      <c r="B605" s="0" t="n">
        <v>19345</v>
      </c>
      <c r="C605" s="0" t="n">
        <v>6</v>
      </c>
      <c r="D605" s="0" t="inlineStr">
        <is>
          <t>강동시가오똠</t>
        </is>
      </c>
      <c r="E605" s="0" t="inlineStr">
        <is>
          <t>2004.05.</t>
        </is>
      </c>
      <c r="F605" s="0" t="n">
        <v>36</v>
      </c>
      <c r="G605" s="0" t="n">
        <v>26.4</v>
      </c>
      <c r="H605" s="0" t="n">
        <v>87.29000000000001</v>
      </c>
      <c r="I605" s="0" t="n">
        <v>23.02</v>
      </c>
      <c r="J605" s="0" t="n">
        <v>76.09999999999999</v>
      </c>
      <c r="K605" s="0" t="n">
        <v>1</v>
      </c>
      <c r="T605" s="0" t="n">
        <v>3</v>
      </c>
      <c r="U605" s="0" t="n">
        <v>2</v>
      </c>
      <c r="V605" s="0" t="inlineStr">
        <is>
          <t>계단식</t>
        </is>
      </c>
      <c r="W605" s="0" t="inlineStr">
        <is>
          <t>87A</t>
        </is>
      </c>
      <c r="X605" s="0" t="n">
        <v>7</v>
      </c>
      <c r="Y605" s="0" t="n">
        <v>7</v>
      </c>
      <c r="Z605" s="0" t="inlineStr">
        <is>
          <t>https://new.land.naver.com/complexes/19345?tab=detail&amp;rf=Y</t>
        </is>
      </c>
      <c r="AA605" s="0" t="inlineStr">
        <is>
          <t>서울시 강동구 길동 334-3</t>
        </is>
      </c>
      <c r="AB605" s="0" t="inlineStr">
        <is>
          <t>서울시</t>
        </is>
      </c>
      <c r="AC605" s="0" t="inlineStr">
        <is>
          <t>강동구</t>
        </is>
      </c>
      <c r="AD605" s="0" t="inlineStr">
        <is>
          <t>길동</t>
        </is>
      </c>
      <c r="AG605" s="0" t="inlineStr">
        <is>
          <t>서울시 강동구 양재대로122가길 26</t>
        </is>
      </c>
      <c r="AH605" s="0" t="n">
        <v>0</v>
      </c>
      <c r="AI605" s="0" t="n">
        <v>0</v>
      </c>
      <c r="AJ605" s="0" t="n">
        <v>0</v>
      </c>
      <c r="AK605" s="0" t="n">
        <v>39</v>
      </c>
      <c r="AL605" s="0" t="n">
        <v>1.08</v>
      </c>
    </row>
    <row r="606">
      <c r="A606" s="0" t="inlineStr">
        <is>
          <t>[길동]</t>
        </is>
      </c>
      <c r="B606" s="0" t="n">
        <v>19345</v>
      </c>
      <c r="C606" s="0" t="n">
        <v>7</v>
      </c>
      <c r="D606" s="0" t="inlineStr">
        <is>
          <t>강동시가오똠</t>
        </is>
      </c>
      <c r="E606" s="0" t="inlineStr">
        <is>
          <t>2004.05.</t>
        </is>
      </c>
      <c r="F606" s="0" t="n">
        <v>36</v>
      </c>
      <c r="G606" s="0" t="n">
        <v>28.9</v>
      </c>
      <c r="H606" s="0" t="n">
        <v>95.55</v>
      </c>
      <c r="I606" s="0" t="n">
        <v>25.19</v>
      </c>
      <c r="J606" s="0" t="n">
        <v>83.3</v>
      </c>
      <c r="K606" s="0" t="n">
        <v>1</v>
      </c>
      <c r="T606" s="0" t="n">
        <v>3</v>
      </c>
      <c r="U606" s="0" t="n">
        <v>2</v>
      </c>
      <c r="V606" s="0" t="inlineStr">
        <is>
          <t>계단식</t>
        </is>
      </c>
      <c r="W606" s="0" t="inlineStr">
        <is>
          <t>95A</t>
        </is>
      </c>
      <c r="X606" s="0" t="n">
        <v>7</v>
      </c>
      <c r="Y606" s="0" t="n">
        <v>7</v>
      </c>
      <c r="Z606" s="0" t="inlineStr">
        <is>
          <t>https://new.land.naver.com/complexes/19345?tab=detail&amp;rf=Y</t>
        </is>
      </c>
      <c r="AA606" s="0" t="inlineStr">
        <is>
          <t>서울시 강동구 길동 334-3</t>
        </is>
      </c>
      <c r="AB606" s="0" t="inlineStr">
        <is>
          <t>서울시</t>
        </is>
      </c>
      <c r="AC606" s="0" t="inlineStr">
        <is>
          <t>강동구</t>
        </is>
      </c>
      <c r="AD606" s="0" t="inlineStr">
        <is>
          <t>길동</t>
        </is>
      </c>
      <c r="AG606" s="0" t="inlineStr">
        <is>
          <t>서울시 강동구 양재대로122가길 26</t>
        </is>
      </c>
      <c r="AH606" s="0" t="n">
        <v>0</v>
      </c>
      <c r="AI606" s="0" t="n">
        <v>0</v>
      </c>
      <c r="AJ606" s="0" t="n">
        <v>0</v>
      </c>
      <c r="AK606" s="0" t="n">
        <v>39</v>
      </c>
      <c r="AL606" s="0" t="n">
        <v>1.08</v>
      </c>
    </row>
    <row r="607">
      <c r="A607" s="0" t="inlineStr">
        <is>
          <t>[길동]</t>
        </is>
      </c>
      <c r="B607" s="0" t="n">
        <v>19345</v>
      </c>
      <c r="C607" s="0" t="n">
        <v>8</v>
      </c>
      <c r="D607" s="0" t="inlineStr">
        <is>
          <t>강동시가오똠</t>
        </is>
      </c>
      <c r="E607" s="0" t="inlineStr">
        <is>
          <t>2004.05.</t>
        </is>
      </c>
      <c r="F607" s="0" t="n">
        <v>36</v>
      </c>
      <c r="G607" s="0" t="n">
        <v>29.35</v>
      </c>
      <c r="H607" s="0" t="n">
        <v>97.03</v>
      </c>
      <c r="I607" s="0" t="n">
        <v>25.7</v>
      </c>
      <c r="J607" s="0" t="n">
        <v>84.98</v>
      </c>
      <c r="K607" s="0" t="n">
        <v>27</v>
      </c>
      <c r="T607" s="0" t="n">
        <v>3</v>
      </c>
      <c r="U607" s="0" t="n">
        <v>2</v>
      </c>
      <c r="V607" s="0" t="inlineStr">
        <is>
          <t>계단식</t>
        </is>
      </c>
      <c r="W607" s="0" t="inlineStr">
        <is>
          <t>97B</t>
        </is>
      </c>
      <c r="X607" s="0" t="n">
        <v>7</v>
      </c>
      <c r="Y607" s="0" t="n">
        <v>7</v>
      </c>
      <c r="Z607" s="0" t="inlineStr">
        <is>
          <t>https://new.land.naver.com/complexes/19345?tab=detail&amp;rf=Y</t>
        </is>
      </c>
      <c r="AA607" s="0" t="inlineStr">
        <is>
          <t>서울시 강동구 길동 334-3</t>
        </is>
      </c>
      <c r="AB607" s="0" t="inlineStr">
        <is>
          <t>서울시</t>
        </is>
      </c>
      <c r="AC607" s="0" t="inlineStr">
        <is>
          <t>강동구</t>
        </is>
      </c>
      <c r="AD607" s="0" t="inlineStr">
        <is>
          <t>길동</t>
        </is>
      </c>
      <c r="AG607" s="0" t="inlineStr">
        <is>
          <t>서울시 강동구 양재대로122가길 26</t>
        </is>
      </c>
      <c r="AH607" s="0" t="n">
        <v>0</v>
      </c>
      <c r="AI607" s="0" t="n">
        <v>0</v>
      </c>
      <c r="AJ607" s="0" t="n">
        <v>0</v>
      </c>
      <c r="AK607" s="0" t="n">
        <v>39</v>
      </c>
      <c r="AL607" s="0" t="n">
        <v>1.08</v>
      </c>
    </row>
    <row r="608">
      <c r="A608" s="0" t="inlineStr">
        <is>
          <t>[길동]</t>
        </is>
      </c>
      <c r="B608" s="0" t="n">
        <v>21812</v>
      </c>
      <c r="C608" s="0" t="n">
        <v>1</v>
      </c>
      <c r="D608" s="0" t="inlineStr">
        <is>
          <t>다성이즈빌(388-4)</t>
        </is>
      </c>
      <c r="E608" s="0" t="inlineStr">
        <is>
          <t>2004.10.</t>
        </is>
      </c>
      <c r="F608" s="0" t="n">
        <v>53</v>
      </c>
      <c r="G608" s="0" t="n">
        <v>25.47</v>
      </c>
      <c r="H608" s="0" t="n">
        <v>84.2</v>
      </c>
      <c r="I608" s="0" t="n">
        <v>20.57</v>
      </c>
      <c r="J608" s="0" t="n">
        <v>68.03</v>
      </c>
      <c r="K608" s="0" t="n">
        <v>3</v>
      </c>
      <c r="T608" s="0" t="n">
        <v>3</v>
      </c>
      <c r="U608" s="0" t="n">
        <v>2</v>
      </c>
      <c r="V608" s="0" t="inlineStr">
        <is>
          <t>계단식</t>
        </is>
      </c>
      <c r="W608" s="0" t="n">
        <v>84</v>
      </c>
      <c r="X608" s="0" t="n">
        <v>14</v>
      </c>
      <c r="Y608" s="0" t="n">
        <v>11</v>
      </c>
      <c r="Z608" s="0" t="inlineStr">
        <is>
          <t>https://new.land.naver.com/complexes/21812?tab=detail&amp;rf=Y</t>
        </is>
      </c>
      <c r="AA608" s="0" t="inlineStr">
        <is>
          <t>서울시 강동구 길동 388-4</t>
        </is>
      </c>
      <c r="AB608" s="0" t="inlineStr">
        <is>
          <t>서울시</t>
        </is>
      </c>
      <c r="AC608" s="0" t="inlineStr">
        <is>
          <t>강동구</t>
        </is>
      </c>
      <c r="AD608" s="0" t="inlineStr">
        <is>
          <t>길동</t>
        </is>
      </c>
      <c r="AG608" s="0" t="inlineStr">
        <is>
          <t>서울시 강동구 천중로44길 74</t>
        </is>
      </c>
      <c r="AH608" s="0" t="n">
        <v>0</v>
      </c>
      <c r="AI608" s="0" t="n">
        <v>367</v>
      </c>
      <c r="AJ608" s="0" t="n">
        <v>38</v>
      </c>
      <c r="AK608" s="0" t="n">
        <v>64</v>
      </c>
      <c r="AL608" s="0" t="n">
        <v>1.21</v>
      </c>
    </row>
    <row r="609">
      <c r="A609" s="0" t="inlineStr">
        <is>
          <t>[길동]</t>
        </is>
      </c>
      <c r="B609" s="0" t="n">
        <v>21812</v>
      </c>
      <c r="C609" s="0" t="n">
        <v>2</v>
      </c>
      <c r="D609" s="0" t="inlineStr">
        <is>
          <t>다성이즈빌(388-4)</t>
        </is>
      </c>
      <c r="E609" s="0" t="inlineStr">
        <is>
          <t>2004.10.</t>
        </is>
      </c>
      <c r="F609" s="0" t="n">
        <v>53</v>
      </c>
      <c r="G609" s="0" t="n">
        <v>27.3</v>
      </c>
      <c r="H609" s="0" t="n">
        <v>90.28</v>
      </c>
      <c r="I609" s="0" t="n">
        <v>22.16</v>
      </c>
      <c r="J609" s="0" t="n">
        <v>73.26000000000001</v>
      </c>
      <c r="K609" s="0" t="n">
        <v>1</v>
      </c>
      <c r="T609" s="0" t="n">
        <v>3</v>
      </c>
      <c r="U609" s="0" t="n">
        <v>2</v>
      </c>
      <c r="V609" s="0" t="inlineStr">
        <is>
          <t>계단식</t>
        </is>
      </c>
      <c r="W609" s="0" t="n">
        <v>90</v>
      </c>
      <c r="X609" s="0" t="n">
        <v>14</v>
      </c>
      <c r="Y609" s="0" t="n">
        <v>11</v>
      </c>
      <c r="Z609" s="0" t="inlineStr">
        <is>
          <t>https://new.land.naver.com/complexes/21812?tab=detail&amp;rf=Y</t>
        </is>
      </c>
      <c r="AA609" s="0" t="inlineStr">
        <is>
          <t>서울시 강동구 길동 388-4</t>
        </is>
      </c>
      <c r="AB609" s="0" t="inlineStr">
        <is>
          <t>서울시</t>
        </is>
      </c>
      <c r="AC609" s="0" t="inlineStr">
        <is>
          <t>강동구</t>
        </is>
      </c>
      <c r="AD609" s="0" t="inlineStr">
        <is>
          <t>길동</t>
        </is>
      </c>
      <c r="AG609" s="0" t="inlineStr">
        <is>
          <t>서울시 강동구 천중로44길 74</t>
        </is>
      </c>
      <c r="AH609" s="0" t="n">
        <v>0</v>
      </c>
      <c r="AI609" s="0" t="n">
        <v>367</v>
      </c>
      <c r="AJ609" s="0" t="n">
        <v>38</v>
      </c>
      <c r="AK609" s="0" t="n">
        <v>64</v>
      </c>
      <c r="AL609" s="0" t="n">
        <v>1.21</v>
      </c>
    </row>
    <row r="610">
      <c r="A610" s="0" t="inlineStr">
        <is>
          <t>[길동]</t>
        </is>
      </c>
      <c r="B610" s="0" t="n">
        <v>21812</v>
      </c>
      <c r="C610" s="0" t="n">
        <v>3</v>
      </c>
      <c r="D610" s="0" t="inlineStr">
        <is>
          <t>다성이즈빌(388-4)</t>
        </is>
      </c>
      <c r="E610" s="0" t="inlineStr">
        <is>
          <t>2004.10.</t>
        </is>
      </c>
      <c r="F610" s="0" t="n">
        <v>53</v>
      </c>
      <c r="G610" s="0" t="n">
        <v>31.24</v>
      </c>
      <c r="H610" s="0" t="n">
        <v>103.28</v>
      </c>
      <c r="I610" s="0" t="n">
        <v>25.41</v>
      </c>
      <c r="J610" s="0" t="n">
        <v>84.01000000000001</v>
      </c>
      <c r="K610" s="0" t="n">
        <v>49</v>
      </c>
      <c r="T610" s="0" t="n">
        <v>3</v>
      </c>
      <c r="U610" s="0" t="n">
        <v>2</v>
      </c>
      <c r="V610" s="0" t="inlineStr">
        <is>
          <t>계단식</t>
        </is>
      </c>
      <c r="W610" s="0" t="n">
        <v>103</v>
      </c>
      <c r="X610" s="0" t="n">
        <v>14</v>
      </c>
      <c r="Y610" s="0" t="n">
        <v>11</v>
      </c>
      <c r="Z610" s="0" t="inlineStr">
        <is>
          <t>https://new.land.naver.com/complexes/21812?tab=detail&amp;rf=Y</t>
        </is>
      </c>
      <c r="AA610" s="0" t="inlineStr">
        <is>
          <t>서울시 강동구 길동 388-4</t>
        </is>
      </c>
      <c r="AB610" s="0" t="inlineStr">
        <is>
          <t>서울시</t>
        </is>
      </c>
      <c r="AC610" s="0" t="inlineStr">
        <is>
          <t>강동구</t>
        </is>
      </c>
      <c r="AD610" s="0" t="inlineStr">
        <is>
          <t>길동</t>
        </is>
      </c>
      <c r="AG610" s="0" t="inlineStr">
        <is>
          <t>서울시 강동구 천중로44길 74</t>
        </is>
      </c>
      <c r="AH610" s="0" t="n">
        <v>0</v>
      </c>
      <c r="AI610" s="0" t="n">
        <v>367</v>
      </c>
      <c r="AJ610" s="0" t="n">
        <v>38</v>
      </c>
      <c r="AK610" s="0" t="n">
        <v>64</v>
      </c>
      <c r="AL610" s="0" t="n">
        <v>1.21</v>
      </c>
    </row>
    <row r="611">
      <c r="A611" s="0" t="inlineStr">
        <is>
          <t>[길동]</t>
        </is>
      </c>
      <c r="B611" s="0" t="n">
        <v>126639</v>
      </c>
      <c r="C611" s="0" t="n">
        <v>1</v>
      </c>
      <c r="D611" s="0" t="inlineStr">
        <is>
          <t>경지아리움</t>
        </is>
      </c>
      <c r="E611" s="0" t="inlineStr">
        <is>
          <t>2019.06.</t>
        </is>
      </c>
      <c r="F611" s="0" t="n">
        <v>124</v>
      </c>
      <c r="G611" s="0" t="n">
        <v>6.54</v>
      </c>
      <c r="H611" s="0" t="n">
        <v>21.62</v>
      </c>
      <c r="I611" s="0" t="n">
        <v>4.06</v>
      </c>
      <c r="J611" s="0" t="n">
        <v>13.45</v>
      </c>
      <c r="K611" s="0" t="n">
        <v>12</v>
      </c>
      <c r="T611" s="0" t="n">
        <v>1</v>
      </c>
      <c r="U611" s="0" t="n">
        <v>1</v>
      </c>
      <c r="V611" s="0" t="inlineStr">
        <is>
          <t>계단식</t>
        </is>
      </c>
      <c r="W611" s="0" t="inlineStr">
        <is>
          <t>21A</t>
        </is>
      </c>
      <c r="X611" s="0" t="n">
        <v>16</v>
      </c>
      <c r="Y611" s="0" t="n">
        <v>14</v>
      </c>
      <c r="Z611" s="0" t="inlineStr">
        <is>
          <t>https://new.land.naver.com/complexes/126639?tab=detail&amp;rf=Y</t>
        </is>
      </c>
      <c r="AA611" s="0" t="inlineStr">
        <is>
          <t>서울시 강동구 길동 413-11</t>
        </is>
      </c>
      <c r="AB611" s="0" t="inlineStr">
        <is>
          <t>서울시</t>
        </is>
      </c>
      <c r="AC611" s="0" t="inlineStr">
        <is>
          <t>강동구</t>
        </is>
      </c>
      <c r="AD611" s="0" t="inlineStr">
        <is>
          <t>길동</t>
        </is>
      </c>
      <c r="AG611" s="0" t="inlineStr">
        <is>
          <t>서울시 강동구 천호대로177길 40</t>
        </is>
      </c>
      <c r="AH611" s="0" t="n">
        <v>0</v>
      </c>
      <c r="AI611" s="0" t="n">
        <v>552</v>
      </c>
      <c r="AJ611" s="0" t="n">
        <v>59</v>
      </c>
      <c r="AK611" s="0" t="n">
        <v>62</v>
      </c>
      <c r="AL611" s="0" t="n">
        <v>0.5</v>
      </c>
    </row>
    <row r="612">
      <c r="A612" s="0" t="inlineStr">
        <is>
          <t>[길동]</t>
        </is>
      </c>
      <c r="B612" s="0" t="n">
        <v>126639</v>
      </c>
      <c r="C612" s="0" t="n">
        <v>2</v>
      </c>
      <c r="D612" s="0" t="inlineStr">
        <is>
          <t>경지아리움</t>
        </is>
      </c>
      <c r="E612" s="0" t="inlineStr">
        <is>
          <t>2019.06.</t>
        </is>
      </c>
      <c r="F612" s="0" t="n">
        <v>124</v>
      </c>
      <c r="G612" s="0" t="n">
        <v>6.81</v>
      </c>
      <c r="H612" s="0" t="n">
        <v>22.52</v>
      </c>
      <c r="I612" s="0" t="n">
        <v>4.27</v>
      </c>
      <c r="J612" s="0" t="n">
        <v>14.12</v>
      </c>
      <c r="K612" s="0" t="n">
        <v>68</v>
      </c>
      <c r="T612" s="0" t="n">
        <v>1</v>
      </c>
      <c r="U612" s="0" t="n">
        <v>1</v>
      </c>
      <c r="V612" s="0" t="inlineStr">
        <is>
          <t>계단식</t>
        </is>
      </c>
      <c r="W612" s="0" t="inlineStr">
        <is>
          <t>22C</t>
        </is>
      </c>
      <c r="X612" s="0" t="n">
        <v>16</v>
      </c>
      <c r="Y612" s="0" t="n">
        <v>14</v>
      </c>
      <c r="Z612" s="0" t="inlineStr">
        <is>
          <t>https://new.land.naver.com/complexes/126639?tab=detail&amp;rf=Y</t>
        </is>
      </c>
      <c r="AA612" s="0" t="inlineStr">
        <is>
          <t>서울시 강동구 길동 413-11</t>
        </is>
      </c>
      <c r="AB612" s="0" t="inlineStr">
        <is>
          <t>서울시</t>
        </is>
      </c>
      <c r="AC612" s="0" t="inlineStr">
        <is>
          <t>강동구</t>
        </is>
      </c>
      <c r="AD612" s="0" t="inlineStr">
        <is>
          <t>길동</t>
        </is>
      </c>
      <c r="AG612" s="0" t="inlineStr">
        <is>
          <t>서울시 강동구 천호대로177길 40</t>
        </is>
      </c>
      <c r="AH612" s="0" t="n">
        <v>0</v>
      </c>
      <c r="AI612" s="0" t="n">
        <v>552</v>
      </c>
      <c r="AJ612" s="0" t="n">
        <v>59</v>
      </c>
      <c r="AK612" s="0" t="n">
        <v>62</v>
      </c>
      <c r="AL612" s="0" t="n">
        <v>0.5</v>
      </c>
    </row>
    <row r="613">
      <c r="A613" s="0" t="inlineStr">
        <is>
          <t>[길동]</t>
        </is>
      </c>
      <c r="B613" s="0" t="n">
        <v>126639</v>
      </c>
      <c r="C613" s="0" t="n">
        <v>3</v>
      </c>
      <c r="D613" s="0" t="inlineStr">
        <is>
          <t>경지아리움</t>
        </is>
      </c>
      <c r="E613" s="0" t="inlineStr">
        <is>
          <t>2019.06.</t>
        </is>
      </c>
      <c r="F613" s="0" t="n">
        <v>124</v>
      </c>
      <c r="G613" s="0" t="n">
        <v>6.84</v>
      </c>
      <c r="H613" s="0" t="n">
        <v>22.62</v>
      </c>
      <c r="I613" s="0" t="n">
        <v>4.33</v>
      </c>
      <c r="J613" s="0" t="n">
        <v>14.33</v>
      </c>
      <c r="K613" s="0" t="n">
        <v>14</v>
      </c>
      <c r="T613" s="0" t="n">
        <v>1</v>
      </c>
      <c r="U613" s="0" t="n">
        <v>1</v>
      </c>
      <c r="V613" s="0" t="inlineStr">
        <is>
          <t>계단식</t>
        </is>
      </c>
      <c r="W613" s="0" t="inlineStr">
        <is>
          <t>22D</t>
        </is>
      </c>
      <c r="X613" s="0" t="n">
        <v>16</v>
      </c>
      <c r="Y613" s="0" t="n">
        <v>14</v>
      </c>
      <c r="Z613" s="0" t="inlineStr">
        <is>
          <t>https://new.land.naver.com/complexes/126639?tab=detail&amp;rf=Y</t>
        </is>
      </c>
      <c r="AA613" s="0" t="inlineStr">
        <is>
          <t>서울시 강동구 길동 413-11</t>
        </is>
      </c>
      <c r="AB613" s="0" t="inlineStr">
        <is>
          <t>서울시</t>
        </is>
      </c>
      <c r="AC613" s="0" t="inlineStr">
        <is>
          <t>강동구</t>
        </is>
      </c>
      <c r="AD613" s="0" t="inlineStr">
        <is>
          <t>길동</t>
        </is>
      </c>
      <c r="AG613" s="0" t="inlineStr">
        <is>
          <t>서울시 강동구 천호대로177길 40</t>
        </is>
      </c>
      <c r="AH613" s="0" t="n">
        <v>0</v>
      </c>
      <c r="AI613" s="0" t="n">
        <v>552</v>
      </c>
      <c r="AJ613" s="0" t="n">
        <v>59</v>
      </c>
      <c r="AK613" s="0" t="n">
        <v>62</v>
      </c>
      <c r="AL613" s="0" t="n">
        <v>0.5</v>
      </c>
    </row>
    <row r="614">
      <c r="A614" s="0" t="inlineStr">
        <is>
          <t>[길동]</t>
        </is>
      </c>
      <c r="B614" s="0" t="n">
        <v>126639</v>
      </c>
      <c r="C614" s="0" t="n">
        <v>4</v>
      </c>
      <c r="D614" s="0" t="inlineStr">
        <is>
          <t>경지아리움</t>
        </is>
      </c>
      <c r="E614" s="0" t="inlineStr">
        <is>
          <t>2019.06.</t>
        </is>
      </c>
      <c r="F614" s="0" t="n">
        <v>124</v>
      </c>
      <c r="G614" s="0" t="n">
        <v>7.11</v>
      </c>
      <c r="H614" s="0" t="n">
        <v>23.51</v>
      </c>
      <c r="I614" s="0" t="n">
        <v>4.22</v>
      </c>
      <c r="J614" s="0" t="n">
        <v>13.98</v>
      </c>
      <c r="K614" s="0" t="n">
        <v>12</v>
      </c>
      <c r="T614" s="0" t="n">
        <v>1</v>
      </c>
      <c r="U614" s="0" t="n">
        <v>1</v>
      </c>
      <c r="V614" s="0" t="inlineStr">
        <is>
          <t>계단식</t>
        </is>
      </c>
      <c r="W614" s="0" t="inlineStr">
        <is>
          <t>23B</t>
        </is>
      </c>
      <c r="X614" s="0" t="n">
        <v>16</v>
      </c>
      <c r="Y614" s="0" t="n">
        <v>14</v>
      </c>
      <c r="Z614" s="0" t="inlineStr">
        <is>
          <t>https://new.land.naver.com/complexes/126639?tab=detail&amp;rf=Y</t>
        </is>
      </c>
      <c r="AA614" s="0" t="inlineStr">
        <is>
          <t>서울시 강동구 길동 413-11</t>
        </is>
      </c>
      <c r="AB614" s="0" t="inlineStr">
        <is>
          <t>서울시</t>
        </is>
      </c>
      <c r="AC614" s="0" t="inlineStr">
        <is>
          <t>강동구</t>
        </is>
      </c>
      <c r="AD614" s="0" t="inlineStr">
        <is>
          <t>길동</t>
        </is>
      </c>
      <c r="AG614" s="0" t="inlineStr">
        <is>
          <t>서울시 강동구 천호대로177길 40</t>
        </is>
      </c>
      <c r="AH614" s="0" t="n">
        <v>0</v>
      </c>
      <c r="AI614" s="0" t="n">
        <v>552</v>
      </c>
      <c r="AJ614" s="0" t="n">
        <v>59</v>
      </c>
      <c r="AK614" s="0" t="n">
        <v>62</v>
      </c>
      <c r="AL614" s="0" t="n">
        <v>0.5</v>
      </c>
    </row>
    <row r="615">
      <c r="A615" s="0" t="inlineStr">
        <is>
          <t>[길동]</t>
        </is>
      </c>
      <c r="B615" s="0" t="n">
        <v>126639</v>
      </c>
      <c r="C615" s="0" t="n">
        <v>5</v>
      </c>
      <c r="D615" s="0" t="inlineStr">
        <is>
          <t>경지아리움</t>
        </is>
      </c>
      <c r="E615" s="0" t="inlineStr">
        <is>
          <t>2019.06.</t>
        </is>
      </c>
      <c r="F615" s="0" t="n">
        <v>124</v>
      </c>
      <c r="G615" s="0" t="n">
        <v>9.529999999999999</v>
      </c>
      <c r="H615" s="0" t="n">
        <v>31.53</v>
      </c>
      <c r="I615" s="0" t="n">
        <v>5.86</v>
      </c>
      <c r="J615" s="0" t="n">
        <v>19.39</v>
      </c>
      <c r="K615" s="0" t="n">
        <v>14</v>
      </c>
      <c r="T615" s="0" t="n">
        <v>1</v>
      </c>
      <c r="U615" s="0" t="n">
        <v>1</v>
      </c>
      <c r="V615" s="0" t="inlineStr">
        <is>
          <t>계단식</t>
        </is>
      </c>
      <c r="W615" s="0" t="n">
        <v>31</v>
      </c>
      <c r="X615" s="0" t="n">
        <v>16</v>
      </c>
      <c r="Y615" s="0" t="n">
        <v>14</v>
      </c>
      <c r="Z615" s="0" t="inlineStr">
        <is>
          <t>https://new.land.naver.com/complexes/126639?tab=detail&amp;rf=Y</t>
        </is>
      </c>
      <c r="AA615" s="0" t="inlineStr">
        <is>
          <t>서울시 강동구 길동 413-11</t>
        </is>
      </c>
      <c r="AB615" s="0" t="inlineStr">
        <is>
          <t>서울시</t>
        </is>
      </c>
      <c r="AC615" s="0" t="inlineStr">
        <is>
          <t>강동구</t>
        </is>
      </c>
      <c r="AD615" s="0" t="inlineStr">
        <is>
          <t>길동</t>
        </is>
      </c>
      <c r="AG615" s="0" t="inlineStr">
        <is>
          <t>서울시 강동구 천호대로177길 40</t>
        </is>
      </c>
      <c r="AH615" s="0" t="n">
        <v>0</v>
      </c>
      <c r="AI615" s="0" t="n">
        <v>552</v>
      </c>
      <c r="AJ615" s="0" t="n">
        <v>59</v>
      </c>
      <c r="AK615" s="0" t="n">
        <v>62</v>
      </c>
      <c r="AL615" s="0" t="n">
        <v>0.5</v>
      </c>
    </row>
    <row r="616">
      <c r="A616" s="0" t="inlineStr">
        <is>
          <t>[길동]</t>
        </is>
      </c>
      <c r="B616" s="0" t="n">
        <v>126639</v>
      </c>
      <c r="C616" s="0" t="n">
        <v>6</v>
      </c>
      <c r="D616" s="0" t="inlineStr">
        <is>
          <t>경지아리움</t>
        </is>
      </c>
      <c r="E616" s="0" t="inlineStr">
        <is>
          <t>2019.06.</t>
        </is>
      </c>
      <c r="F616" s="0" t="n">
        <v>124</v>
      </c>
      <c r="G616" s="0" t="n">
        <v>10.55</v>
      </c>
      <c r="H616" s="0" t="n">
        <v>34.9</v>
      </c>
      <c r="I616" s="0" t="n">
        <v>6.9</v>
      </c>
      <c r="J616" s="0" t="n">
        <v>22.81</v>
      </c>
      <c r="K616" s="0" t="n">
        <v>2</v>
      </c>
      <c r="T616" s="0" t="n">
        <v>1</v>
      </c>
      <c r="U616" s="0" t="n">
        <v>1</v>
      </c>
      <c r="V616" s="0" t="inlineStr">
        <is>
          <t>계단식</t>
        </is>
      </c>
      <c r="W616" s="0" t="n">
        <v>34</v>
      </c>
      <c r="X616" s="0" t="n">
        <v>16</v>
      </c>
      <c r="Y616" s="0" t="n">
        <v>14</v>
      </c>
      <c r="Z616" s="0" t="inlineStr">
        <is>
          <t>https://new.land.naver.com/complexes/126639?tab=detail&amp;rf=Y</t>
        </is>
      </c>
      <c r="AA616" s="0" t="inlineStr">
        <is>
          <t>서울시 강동구 길동 413-11</t>
        </is>
      </c>
      <c r="AB616" s="0" t="inlineStr">
        <is>
          <t>서울시</t>
        </is>
      </c>
      <c r="AC616" s="0" t="inlineStr">
        <is>
          <t>강동구</t>
        </is>
      </c>
      <c r="AD616" s="0" t="inlineStr">
        <is>
          <t>길동</t>
        </is>
      </c>
      <c r="AG616" s="0" t="inlineStr">
        <is>
          <t>서울시 강동구 천호대로177길 40</t>
        </is>
      </c>
      <c r="AH616" s="0" t="n">
        <v>0</v>
      </c>
      <c r="AI616" s="0" t="n">
        <v>552</v>
      </c>
      <c r="AJ616" s="0" t="n">
        <v>59</v>
      </c>
      <c r="AK616" s="0" t="n">
        <v>62</v>
      </c>
      <c r="AL616" s="0" t="n">
        <v>0.5</v>
      </c>
    </row>
    <row r="617">
      <c r="A617" s="0" t="inlineStr">
        <is>
          <t>[길동]</t>
        </is>
      </c>
      <c r="B617" s="0" t="n">
        <v>126639</v>
      </c>
      <c r="C617" s="0" t="n">
        <v>7</v>
      </c>
      <c r="D617" s="0" t="inlineStr">
        <is>
          <t>경지아리움</t>
        </is>
      </c>
      <c r="E617" s="0" t="inlineStr">
        <is>
          <t>2019.06.</t>
        </is>
      </c>
      <c r="F617" s="0" t="n">
        <v>124</v>
      </c>
      <c r="G617" s="0" t="n">
        <v>12.53</v>
      </c>
      <c r="H617" s="0" t="n">
        <v>41.43</v>
      </c>
      <c r="I617" s="0" t="n">
        <v>7.95</v>
      </c>
      <c r="J617" s="0" t="n">
        <v>26.29</v>
      </c>
      <c r="K617" s="0" t="n">
        <v>2</v>
      </c>
      <c r="T617" s="0" t="n">
        <v>1</v>
      </c>
      <c r="U617" s="0" t="n">
        <v>1</v>
      </c>
      <c r="V617" s="0" t="inlineStr">
        <is>
          <t>계단식</t>
        </is>
      </c>
      <c r="W617" s="0" t="n">
        <v>41</v>
      </c>
      <c r="X617" s="0" t="n">
        <v>16</v>
      </c>
      <c r="Y617" s="0" t="n">
        <v>14</v>
      </c>
      <c r="Z617" s="0" t="inlineStr">
        <is>
          <t>https://new.land.naver.com/complexes/126639?tab=detail&amp;rf=Y</t>
        </is>
      </c>
      <c r="AA617" s="0" t="inlineStr">
        <is>
          <t>서울시 강동구 길동 413-11</t>
        </is>
      </c>
      <c r="AB617" s="0" t="inlineStr">
        <is>
          <t>서울시</t>
        </is>
      </c>
      <c r="AC617" s="0" t="inlineStr">
        <is>
          <t>강동구</t>
        </is>
      </c>
      <c r="AD617" s="0" t="inlineStr">
        <is>
          <t>길동</t>
        </is>
      </c>
      <c r="AG617" s="0" t="inlineStr">
        <is>
          <t>서울시 강동구 천호대로177길 40</t>
        </is>
      </c>
      <c r="AH617" s="0" t="n">
        <v>0</v>
      </c>
      <c r="AI617" s="0" t="n">
        <v>552</v>
      </c>
      <c r="AJ617" s="0" t="n">
        <v>59</v>
      </c>
      <c r="AK617" s="0" t="n">
        <v>62</v>
      </c>
      <c r="AL617" s="0" t="n">
        <v>0.5</v>
      </c>
    </row>
    <row r="618">
      <c r="A618" s="0" t="inlineStr">
        <is>
          <t>[길동]</t>
        </is>
      </c>
      <c r="B618" s="0" t="n">
        <v>125231</v>
      </c>
      <c r="C618" s="0" t="n">
        <v>1</v>
      </c>
      <c r="D618" s="0" t="inlineStr">
        <is>
          <t>아뜨리에빌</t>
        </is>
      </c>
      <c r="E618" s="0" t="inlineStr">
        <is>
          <t>2009.07.</t>
        </is>
      </c>
      <c r="F618" s="0" t="n">
        <v>38</v>
      </c>
      <c r="G618" s="0" t="n">
        <v>18.01</v>
      </c>
      <c r="H618" s="0" t="n">
        <v>59.54</v>
      </c>
      <c r="I618" s="0" t="n">
        <v>15.77</v>
      </c>
      <c r="J618" s="0" t="n">
        <v>52.14</v>
      </c>
      <c r="K618" s="0" t="n">
        <v>1</v>
      </c>
      <c r="T618" s="0" t="n">
        <v>3</v>
      </c>
      <c r="U618" s="0" t="n">
        <v>2</v>
      </c>
      <c r="V618" s="0" t="inlineStr">
        <is>
          <t>계단식</t>
        </is>
      </c>
      <c r="W618" s="0" t="inlineStr">
        <is>
          <t>59A</t>
        </is>
      </c>
      <c r="X618" s="0" t="n">
        <v>6</v>
      </c>
      <c r="Y618" s="0" t="n">
        <v>5</v>
      </c>
      <c r="Z618" s="0" t="inlineStr">
        <is>
          <t>https://new.land.naver.com/complexes/125231?tab=detail&amp;rf=Y</t>
        </is>
      </c>
      <c r="AA618" s="0" t="inlineStr">
        <is>
          <t>서울시 강동구 길동 361-14</t>
        </is>
      </c>
      <c r="AB618" s="0" t="inlineStr">
        <is>
          <t>서울시</t>
        </is>
      </c>
      <c r="AC618" s="0" t="inlineStr">
        <is>
          <t>강동구</t>
        </is>
      </c>
      <c r="AD618" s="0" t="inlineStr">
        <is>
          <t>길동</t>
        </is>
      </c>
      <c r="AG618" s="0" t="inlineStr">
        <is>
          <t>서울시 강동구 천중로54길 29-10</t>
        </is>
      </c>
      <c r="AH618" s="0" t="n">
        <v>0</v>
      </c>
      <c r="AI618" s="0" t="n">
        <v>199</v>
      </c>
      <c r="AJ618" s="0" t="n">
        <v>47</v>
      </c>
      <c r="AK618" s="0" t="n">
        <v>38</v>
      </c>
      <c r="AL618" s="0" t="n">
        <v>1</v>
      </c>
    </row>
    <row r="619">
      <c r="A619" s="0" t="inlineStr">
        <is>
          <t>[길동]</t>
        </is>
      </c>
      <c r="B619" s="0" t="n">
        <v>125231</v>
      </c>
      <c r="C619" s="0" t="n">
        <v>2</v>
      </c>
      <c r="D619" s="0" t="inlineStr">
        <is>
          <t>아뜨리에빌</t>
        </is>
      </c>
      <c r="E619" s="0" t="inlineStr">
        <is>
          <t>2009.07.</t>
        </is>
      </c>
      <c r="F619" s="0" t="n">
        <v>38</v>
      </c>
      <c r="G619" s="0" t="n">
        <v>18.36</v>
      </c>
      <c r="H619" s="0" t="n">
        <v>60.72</v>
      </c>
      <c r="I619" s="0" t="n">
        <v>16.43</v>
      </c>
      <c r="J619" s="0" t="n">
        <v>54.34</v>
      </c>
      <c r="K619" s="0" t="n">
        <v>4</v>
      </c>
      <c r="T619" s="0" t="n">
        <v>3</v>
      </c>
      <c r="U619" s="0" t="n">
        <v>2</v>
      </c>
      <c r="V619" s="0" t="inlineStr">
        <is>
          <t>계단식</t>
        </is>
      </c>
      <c r="W619" s="0" t="inlineStr">
        <is>
          <t>60C</t>
        </is>
      </c>
      <c r="X619" s="0" t="n">
        <v>6</v>
      </c>
      <c r="Y619" s="0" t="n">
        <v>5</v>
      </c>
      <c r="Z619" s="0" t="inlineStr">
        <is>
          <t>https://new.land.naver.com/complexes/125231?tab=detail&amp;rf=Y</t>
        </is>
      </c>
      <c r="AA619" s="0" t="inlineStr">
        <is>
          <t>서울시 강동구 길동 361-14</t>
        </is>
      </c>
      <c r="AB619" s="0" t="inlineStr">
        <is>
          <t>서울시</t>
        </is>
      </c>
      <c r="AC619" s="0" t="inlineStr">
        <is>
          <t>강동구</t>
        </is>
      </c>
      <c r="AD619" s="0" t="inlineStr">
        <is>
          <t>길동</t>
        </is>
      </c>
      <c r="AG619" s="0" t="inlineStr">
        <is>
          <t>서울시 강동구 천중로54길 29-10</t>
        </is>
      </c>
      <c r="AH619" s="0" t="n">
        <v>0</v>
      </c>
      <c r="AI619" s="0" t="n">
        <v>199</v>
      </c>
      <c r="AJ619" s="0" t="n">
        <v>47</v>
      </c>
      <c r="AK619" s="0" t="n">
        <v>38</v>
      </c>
      <c r="AL619" s="0" t="n">
        <v>1</v>
      </c>
    </row>
    <row r="620">
      <c r="A620" s="0" t="inlineStr">
        <is>
          <t>[길동]</t>
        </is>
      </c>
      <c r="B620" s="0" t="n">
        <v>125231</v>
      </c>
      <c r="C620" s="0" t="n">
        <v>3</v>
      </c>
      <c r="D620" s="0" t="inlineStr">
        <is>
          <t>아뜨리에빌</t>
        </is>
      </c>
      <c r="E620" s="0" t="inlineStr">
        <is>
          <t>2009.07.</t>
        </is>
      </c>
      <c r="F620" s="0" t="n">
        <v>38</v>
      </c>
      <c r="G620" s="0" t="n">
        <v>18.45</v>
      </c>
      <c r="H620" s="0" t="n">
        <v>61.01</v>
      </c>
      <c r="I620" s="0" t="n">
        <v>15.84</v>
      </c>
      <c r="J620" s="0" t="n">
        <v>52.37</v>
      </c>
      <c r="K620" s="0" t="n">
        <v>2</v>
      </c>
      <c r="T620" s="0" t="n">
        <v>3</v>
      </c>
      <c r="U620" s="0" t="n">
        <v>2</v>
      </c>
      <c r="V620" s="0" t="inlineStr">
        <is>
          <t>계단식</t>
        </is>
      </c>
      <c r="W620" s="0" t="inlineStr">
        <is>
          <t>61B</t>
        </is>
      </c>
      <c r="X620" s="0" t="n">
        <v>6</v>
      </c>
      <c r="Y620" s="0" t="n">
        <v>5</v>
      </c>
      <c r="Z620" s="0" t="inlineStr">
        <is>
          <t>https://new.land.naver.com/complexes/125231?tab=detail&amp;rf=Y</t>
        </is>
      </c>
      <c r="AA620" s="0" t="inlineStr">
        <is>
          <t>서울시 강동구 길동 361-14</t>
        </is>
      </c>
      <c r="AB620" s="0" t="inlineStr">
        <is>
          <t>서울시</t>
        </is>
      </c>
      <c r="AC620" s="0" t="inlineStr">
        <is>
          <t>강동구</t>
        </is>
      </c>
      <c r="AD620" s="0" t="inlineStr">
        <is>
          <t>길동</t>
        </is>
      </c>
      <c r="AG620" s="0" t="inlineStr">
        <is>
          <t>서울시 강동구 천중로54길 29-10</t>
        </is>
      </c>
      <c r="AH620" s="0" t="n">
        <v>0</v>
      </c>
      <c r="AI620" s="0" t="n">
        <v>199</v>
      </c>
      <c r="AJ620" s="0" t="n">
        <v>47</v>
      </c>
      <c r="AK620" s="0" t="n">
        <v>38</v>
      </c>
      <c r="AL620" s="0" t="n">
        <v>1</v>
      </c>
    </row>
    <row r="621">
      <c r="A621" s="0" t="inlineStr">
        <is>
          <t>[길동]</t>
        </is>
      </c>
      <c r="B621" s="0" t="n">
        <v>125231</v>
      </c>
      <c r="C621" s="0" t="n">
        <v>4</v>
      </c>
      <c r="D621" s="0" t="inlineStr">
        <is>
          <t>아뜨리에빌</t>
        </is>
      </c>
      <c r="E621" s="0" t="inlineStr">
        <is>
          <t>2009.07.</t>
        </is>
      </c>
      <c r="F621" s="0" t="n">
        <v>38</v>
      </c>
      <c r="G621" s="0" t="n">
        <v>18.79</v>
      </c>
      <c r="H621" s="0" t="n">
        <v>62.13</v>
      </c>
      <c r="I621" s="0" t="n">
        <v>16.82</v>
      </c>
      <c r="J621" s="0" t="n">
        <v>55.61</v>
      </c>
      <c r="K621" s="0" t="n">
        <v>4</v>
      </c>
      <c r="T621" s="0" t="n">
        <v>3</v>
      </c>
      <c r="U621" s="0" t="n">
        <v>2</v>
      </c>
      <c r="V621" s="0" t="inlineStr">
        <is>
          <t>계단식</t>
        </is>
      </c>
      <c r="W621" s="0" t="inlineStr">
        <is>
          <t>62B</t>
        </is>
      </c>
      <c r="X621" s="0" t="n">
        <v>6</v>
      </c>
      <c r="Y621" s="0" t="n">
        <v>5</v>
      </c>
      <c r="Z621" s="0" t="inlineStr">
        <is>
          <t>https://new.land.naver.com/complexes/125231?tab=detail&amp;rf=Y</t>
        </is>
      </c>
      <c r="AA621" s="0" t="inlineStr">
        <is>
          <t>서울시 강동구 길동 361-14</t>
        </is>
      </c>
      <c r="AB621" s="0" t="inlineStr">
        <is>
          <t>서울시</t>
        </is>
      </c>
      <c r="AC621" s="0" t="inlineStr">
        <is>
          <t>강동구</t>
        </is>
      </c>
      <c r="AD621" s="0" t="inlineStr">
        <is>
          <t>길동</t>
        </is>
      </c>
      <c r="AG621" s="0" t="inlineStr">
        <is>
          <t>서울시 강동구 천중로54길 29-10</t>
        </is>
      </c>
      <c r="AH621" s="0" t="n">
        <v>0</v>
      </c>
      <c r="AI621" s="0" t="n">
        <v>199</v>
      </c>
      <c r="AJ621" s="0" t="n">
        <v>47</v>
      </c>
      <c r="AK621" s="0" t="n">
        <v>38</v>
      </c>
      <c r="AL621" s="0" t="n">
        <v>1</v>
      </c>
    </row>
    <row r="622">
      <c r="A622" s="0" t="inlineStr">
        <is>
          <t>[길동]</t>
        </is>
      </c>
      <c r="B622" s="0" t="n">
        <v>125231</v>
      </c>
      <c r="C622" s="0" t="n">
        <v>5</v>
      </c>
      <c r="D622" s="0" t="inlineStr">
        <is>
          <t>아뜨리에빌</t>
        </is>
      </c>
      <c r="E622" s="0" t="inlineStr">
        <is>
          <t>2009.07.</t>
        </is>
      </c>
      <c r="F622" s="0" t="n">
        <v>38</v>
      </c>
      <c r="G622" s="0" t="n">
        <v>19.05</v>
      </c>
      <c r="H622" s="0" t="n">
        <v>63</v>
      </c>
      <c r="I622" s="0" t="n">
        <v>16.35</v>
      </c>
      <c r="J622" s="0" t="n">
        <v>54.08</v>
      </c>
      <c r="K622" s="0" t="n">
        <v>6</v>
      </c>
      <c r="T622" s="0" t="n">
        <v>3</v>
      </c>
      <c r="U622" s="0" t="n">
        <v>2</v>
      </c>
      <c r="V622" s="0" t="inlineStr">
        <is>
          <t>계단식</t>
        </is>
      </c>
      <c r="W622" s="0" t="inlineStr">
        <is>
          <t>63A</t>
        </is>
      </c>
      <c r="X622" s="0" t="n">
        <v>6</v>
      </c>
      <c r="Y622" s="0" t="n">
        <v>5</v>
      </c>
      <c r="Z622" s="0" t="inlineStr">
        <is>
          <t>https://new.land.naver.com/complexes/125231?tab=detail&amp;rf=Y</t>
        </is>
      </c>
      <c r="AA622" s="0" t="inlineStr">
        <is>
          <t>서울시 강동구 길동 361-14</t>
        </is>
      </c>
      <c r="AB622" s="0" t="inlineStr">
        <is>
          <t>서울시</t>
        </is>
      </c>
      <c r="AC622" s="0" t="inlineStr">
        <is>
          <t>강동구</t>
        </is>
      </c>
      <c r="AD622" s="0" t="inlineStr">
        <is>
          <t>길동</t>
        </is>
      </c>
      <c r="AG622" s="0" t="inlineStr">
        <is>
          <t>서울시 강동구 천중로54길 29-10</t>
        </is>
      </c>
      <c r="AH622" s="0" t="n">
        <v>0</v>
      </c>
      <c r="AI622" s="0" t="n">
        <v>199</v>
      </c>
      <c r="AJ622" s="0" t="n">
        <v>47</v>
      </c>
      <c r="AK622" s="0" t="n">
        <v>38</v>
      </c>
      <c r="AL622" s="0" t="n">
        <v>1</v>
      </c>
    </row>
    <row r="623">
      <c r="A623" s="0" t="inlineStr">
        <is>
          <t>[길동]</t>
        </is>
      </c>
      <c r="B623" s="0" t="n">
        <v>125231</v>
      </c>
      <c r="C623" s="0" t="n">
        <v>6</v>
      </c>
      <c r="D623" s="0" t="inlineStr">
        <is>
          <t>아뜨리에빌</t>
        </is>
      </c>
      <c r="E623" s="0" t="inlineStr">
        <is>
          <t>2009.07.</t>
        </is>
      </c>
      <c r="F623" s="0" t="n">
        <v>38</v>
      </c>
      <c r="G623" s="0" t="n">
        <v>19.21</v>
      </c>
      <c r="H623" s="0" t="n">
        <v>63.51</v>
      </c>
      <c r="I623" s="0" t="n">
        <v>17.19</v>
      </c>
      <c r="J623" s="0" t="n">
        <v>56.84</v>
      </c>
      <c r="K623" s="0" t="n">
        <v>4</v>
      </c>
      <c r="T623" s="0" t="n">
        <v>3</v>
      </c>
      <c r="U623" s="0" t="n">
        <v>2</v>
      </c>
      <c r="V623" s="0" t="inlineStr">
        <is>
          <t>계단식</t>
        </is>
      </c>
      <c r="W623" s="0" t="inlineStr">
        <is>
          <t>63C</t>
        </is>
      </c>
      <c r="X623" s="0" t="n">
        <v>6</v>
      </c>
      <c r="Y623" s="0" t="n">
        <v>5</v>
      </c>
      <c r="Z623" s="0" t="inlineStr">
        <is>
          <t>https://new.land.naver.com/complexes/125231?tab=detail&amp;rf=Y</t>
        </is>
      </c>
      <c r="AA623" s="0" t="inlineStr">
        <is>
          <t>서울시 강동구 길동 361-14</t>
        </is>
      </c>
      <c r="AB623" s="0" t="inlineStr">
        <is>
          <t>서울시</t>
        </is>
      </c>
      <c r="AC623" s="0" t="inlineStr">
        <is>
          <t>강동구</t>
        </is>
      </c>
      <c r="AD623" s="0" t="inlineStr">
        <is>
          <t>길동</t>
        </is>
      </c>
      <c r="AG623" s="0" t="inlineStr">
        <is>
          <t>서울시 강동구 천중로54길 29-10</t>
        </is>
      </c>
      <c r="AH623" s="0" t="n">
        <v>0</v>
      </c>
      <c r="AI623" s="0" t="n">
        <v>199</v>
      </c>
      <c r="AJ623" s="0" t="n">
        <v>47</v>
      </c>
      <c r="AK623" s="0" t="n">
        <v>38</v>
      </c>
      <c r="AL623" s="0" t="n">
        <v>1</v>
      </c>
    </row>
    <row r="624">
      <c r="A624" s="0" t="inlineStr">
        <is>
          <t>[길동]</t>
        </is>
      </c>
      <c r="B624" s="0" t="n">
        <v>125231</v>
      </c>
      <c r="C624" s="0" t="n">
        <v>7</v>
      </c>
      <c r="D624" s="0" t="inlineStr">
        <is>
          <t>아뜨리에빌</t>
        </is>
      </c>
      <c r="E624" s="0" t="inlineStr">
        <is>
          <t>2009.07.</t>
        </is>
      </c>
      <c r="F624" s="0" t="n">
        <v>38</v>
      </c>
      <c r="G624" s="0" t="n">
        <v>19.24</v>
      </c>
      <c r="H624" s="0" t="n">
        <v>63.63</v>
      </c>
      <c r="I624" s="0" t="n">
        <v>17.22</v>
      </c>
      <c r="J624" s="0" t="n">
        <v>56.95</v>
      </c>
      <c r="K624" s="0" t="n">
        <v>4</v>
      </c>
      <c r="T624" s="0" t="n">
        <v>3</v>
      </c>
      <c r="U624" s="0" t="n">
        <v>2</v>
      </c>
      <c r="V624" s="0" t="inlineStr">
        <is>
          <t>계단식</t>
        </is>
      </c>
      <c r="W624" s="0" t="inlineStr">
        <is>
          <t>63D</t>
        </is>
      </c>
      <c r="X624" s="0" t="n">
        <v>6</v>
      </c>
      <c r="Y624" s="0" t="n">
        <v>5</v>
      </c>
      <c r="Z624" s="0" t="inlineStr">
        <is>
          <t>https://new.land.naver.com/complexes/125231?tab=detail&amp;rf=Y</t>
        </is>
      </c>
      <c r="AA624" s="0" t="inlineStr">
        <is>
          <t>서울시 강동구 길동 361-14</t>
        </is>
      </c>
      <c r="AB624" s="0" t="inlineStr">
        <is>
          <t>서울시</t>
        </is>
      </c>
      <c r="AC624" s="0" t="inlineStr">
        <is>
          <t>강동구</t>
        </is>
      </c>
      <c r="AD624" s="0" t="inlineStr">
        <is>
          <t>길동</t>
        </is>
      </c>
      <c r="AG624" s="0" t="inlineStr">
        <is>
          <t>서울시 강동구 천중로54길 29-10</t>
        </is>
      </c>
      <c r="AH624" s="0" t="n">
        <v>0</v>
      </c>
      <c r="AI624" s="0" t="n">
        <v>199</v>
      </c>
      <c r="AJ624" s="0" t="n">
        <v>47</v>
      </c>
      <c r="AK624" s="0" t="n">
        <v>38</v>
      </c>
      <c r="AL624" s="0" t="n">
        <v>1</v>
      </c>
    </row>
    <row r="625">
      <c r="A625" s="0" t="inlineStr">
        <is>
          <t>[길동]</t>
        </is>
      </c>
      <c r="B625" s="0" t="n">
        <v>125231</v>
      </c>
      <c r="C625" s="0" t="n">
        <v>8</v>
      </c>
      <c r="D625" s="0" t="inlineStr">
        <is>
          <t>아뜨리에빌</t>
        </is>
      </c>
      <c r="E625" s="0" t="inlineStr">
        <is>
          <t>2009.07.</t>
        </is>
      </c>
      <c r="F625" s="0" t="n">
        <v>38</v>
      </c>
      <c r="G625" s="0" t="n">
        <v>20.16</v>
      </c>
      <c r="H625" s="0" t="n">
        <v>66.65000000000001</v>
      </c>
      <c r="I625" s="0" t="n">
        <v>17.65</v>
      </c>
      <c r="J625" s="0" t="n">
        <v>58.35</v>
      </c>
      <c r="K625" s="0" t="n">
        <v>1</v>
      </c>
      <c r="T625" s="0" t="n">
        <v>3</v>
      </c>
      <c r="U625" s="0" t="n">
        <v>2</v>
      </c>
      <c r="V625" s="0" t="inlineStr">
        <is>
          <t>계단식</t>
        </is>
      </c>
      <c r="W625" s="0" t="n">
        <v>66</v>
      </c>
      <c r="X625" s="0" t="n">
        <v>6</v>
      </c>
      <c r="Y625" s="0" t="n">
        <v>5</v>
      </c>
      <c r="Z625" s="0" t="inlineStr">
        <is>
          <t>https://new.land.naver.com/complexes/125231?tab=detail&amp;rf=Y</t>
        </is>
      </c>
      <c r="AA625" s="0" t="inlineStr">
        <is>
          <t>서울시 강동구 길동 361-14</t>
        </is>
      </c>
      <c r="AB625" s="0" t="inlineStr">
        <is>
          <t>서울시</t>
        </is>
      </c>
      <c r="AC625" s="0" t="inlineStr">
        <is>
          <t>강동구</t>
        </is>
      </c>
      <c r="AD625" s="0" t="inlineStr">
        <is>
          <t>길동</t>
        </is>
      </c>
      <c r="AG625" s="0" t="inlineStr">
        <is>
          <t>서울시 강동구 천중로54길 29-10</t>
        </is>
      </c>
      <c r="AH625" s="0" t="n">
        <v>0</v>
      </c>
      <c r="AI625" s="0" t="n">
        <v>199</v>
      </c>
      <c r="AJ625" s="0" t="n">
        <v>47</v>
      </c>
      <c r="AK625" s="0" t="n">
        <v>38</v>
      </c>
      <c r="AL625" s="0" t="n">
        <v>1</v>
      </c>
    </row>
    <row r="626">
      <c r="A626" s="0" t="inlineStr">
        <is>
          <t>[길동]</t>
        </is>
      </c>
      <c r="B626" s="0" t="n">
        <v>125231</v>
      </c>
      <c r="C626" s="0" t="n">
        <v>9</v>
      </c>
      <c r="D626" s="0" t="inlineStr">
        <is>
          <t>아뜨리에빌</t>
        </is>
      </c>
      <c r="E626" s="0" t="inlineStr">
        <is>
          <t>2009.07.</t>
        </is>
      </c>
      <c r="F626" s="0" t="n">
        <v>38</v>
      </c>
      <c r="G626" s="0" t="n">
        <v>20.75</v>
      </c>
      <c r="H626" s="0" t="n">
        <v>68.61</v>
      </c>
      <c r="I626" s="0" t="n">
        <v>18.17</v>
      </c>
      <c r="J626" s="0" t="n">
        <v>60.08</v>
      </c>
      <c r="K626" s="0" t="n">
        <v>3</v>
      </c>
      <c r="T626" s="0" t="n">
        <v>3</v>
      </c>
      <c r="U626" s="0" t="n">
        <v>2</v>
      </c>
      <c r="V626" s="0" t="inlineStr">
        <is>
          <t>계단식</t>
        </is>
      </c>
      <c r="W626" s="0" t="inlineStr">
        <is>
          <t>68A</t>
        </is>
      </c>
      <c r="X626" s="0" t="n">
        <v>6</v>
      </c>
      <c r="Y626" s="0" t="n">
        <v>5</v>
      </c>
      <c r="Z626" s="0" t="inlineStr">
        <is>
          <t>https://new.land.naver.com/complexes/125231?tab=detail&amp;rf=Y</t>
        </is>
      </c>
      <c r="AA626" s="0" t="inlineStr">
        <is>
          <t>서울시 강동구 길동 361-14</t>
        </is>
      </c>
      <c r="AB626" s="0" t="inlineStr">
        <is>
          <t>서울시</t>
        </is>
      </c>
      <c r="AC626" s="0" t="inlineStr">
        <is>
          <t>강동구</t>
        </is>
      </c>
      <c r="AD626" s="0" t="inlineStr">
        <is>
          <t>길동</t>
        </is>
      </c>
      <c r="AG626" s="0" t="inlineStr">
        <is>
          <t>서울시 강동구 천중로54길 29-10</t>
        </is>
      </c>
      <c r="AH626" s="0" t="n">
        <v>0</v>
      </c>
      <c r="AI626" s="0" t="n">
        <v>199</v>
      </c>
      <c r="AJ626" s="0" t="n">
        <v>47</v>
      </c>
      <c r="AK626" s="0" t="n">
        <v>38</v>
      </c>
      <c r="AL626" s="0" t="n">
        <v>1</v>
      </c>
    </row>
    <row r="627">
      <c r="A627" s="0" t="inlineStr">
        <is>
          <t>[길동]</t>
        </is>
      </c>
      <c r="B627" s="0" t="n">
        <v>125231</v>
      </c>
      <c r="C627" s="0" t="n">
        <v>10</v>
      </c>
      <c r="D627" s="0" t="inlineStr">
        <is>
          <t>아뜨리에빌</t>
        </is>
      </c>
      <c r="E627" s="0" t="inlineStr">
        <is>
          <t>2009.07.</t>
        </is>
      </c>
      <c r="F627" s="0" t="n">
        <v>38</v>
      </c>
      <c r="G627" s="0" t="n">
        <v>20.94</v>
      </c>
      <c r="H627" s="0" t="n">
        <v>69.23999999999999</v>
      </c>
      <c r="I627" s="0" t="n">
        <v>18.34</v>
      </c>
      <c r="J627" s="0" t="n">
        <v>60.63</v>
      </c>
      <c r="K627" s="0" t="n">
        <v>1</v>
      </c>
      <c r="T627" s="0" t="n">
        <v>3</v>
      </c>
      <c r="U627" s="0" t="n">
        <v>2</v>
      </c>
      <c r="V627" s="0" t="inlineStr">
        <is>
          <t>계단식</t>
        </is>
      </c>
      <c r="W627" s="0" t="inlineStr">
        <is>
          <t>69B</t>
        </is>
      </c>
      <c r="X627" s="0" t="n">
        <v>6</v>
      </c>
      <c r="Y627" s="0" t="n">
        <v>5</v>
      </c>
      <c r="Z627" s="0" t="inlineStr">
        <is>
          <t>https://new.land.naver.com/complexes/125231?tab=detail&amp;rf=Y</t>
        </is>
      </c>
      <c r="AA627" s="0" t="inlineStr">
        <is>
          <t>서울시 강동구 길동 361-14</t>
        </is>
      </c>
      <c r="AB627" s="0" t="inlineStr">
        <is>
          <t>서울시</t>
        </is>
      </c>
      <c r="AC627" s="0" t="inlineStr">
        <is>
          <t>강동구</t>
        </is>
      </c>
      <c r="AD627" s="0" t="inlineStr">
        <is>
          <t>길동</t>
        </is>
      </c>
      <c r="AG627" s="0" t="inlineStr">
        <is>
          <t>서울시 강동구 천중로54길 29-10</t>
        </is>
      </c>
      <c r="AH627" s="0" t="n">
        <v>0</v>
      </c>
      <c r="AI627" s="0" t="n">
        <v>199</v>
      </c>
      <c r="AJ627" s="0" t="n">
        <v>47</v>
      </c>
      <c r="AK627" s="0" t="n">
        <v>38</v>
      </c>
      <c r="AL627" s="0" t="n">
        <v>1</v>
      </c>
    </row>
    <row r="628">
      <c r="A628" s="0" t="inlineStr">
        <is>
          <t>[길동]</t>
        </is>
      </c>
      <c r="B628" s="0" t="n">
        <v>125231</v>
      </c>
      <c r="C628" s="0" t="n">
        <v>11</v>
      </c>
      <c r="D628" s="0" t="inlineStr">
        <is>
          <t>아뜨리에빌</t>
        </is>
      </c>
      <c r="E628" s="0" t="inlineStr">
        <is>
          <t>2009.07.</t>
        </is>
      </c>
      <c r="F628" s="0" t="n">
        <v>38</v>
      </c>
      <c r="G628" s="0" t="n">
        <v>21.5</v>
      </c>
      <c r="H628" s="0" t="n">
        <v>71.09</v>
      </c>
      <c r="I628" s="0" t="n">
        <v>18.83</v>
      </c>
      <c r="J628" s="0" t="n">
        <v>62.25</v>
      </c>
      <c r="K628" s="0" t="n">
        <v>4</v>
      </c>
      <c r="T628" s="0" t="n">
        <v>3</v>
      </c>
      <c r="U628" s="0" t="n">
        <v>2</v>
      </c>
      <c r="V628" s="0" t="inlineStr">
        <is>
          <t>계단식</t>
        </is>
      </c>
      <c r="W628" s="0" t="inlineStr">
        <is>
          <t>71A</t>
        </is>
      </c>
      <c r="X628" s="0" t="n">
        <v>6</v>
      </c>
      <c r="Y628" s="0" t="n">
        <v>5</v>
      </c>
      <c r="Z628" s="0" t="inlineStr">
        <is>
          <t>https://new.land.naver.com/complexes/125231?tab=detail&amp;rf=Y</t>
        </is>
      </c>
      <c r="AA628" s="0" t="inlineStr">
        <is>
          <t>서울시 강동구 길동 361-14</t>
        </is>
      </c>
      <c r="AB628" s="0" t="inlineStr">
        <is>
          <t>서울시</t>
        </is>
      </c>
      <c r="AC628" s="0" t="inlineStr">
        <is>
          <t>강동구</t>
        </is>
      </c>
      <c r="AD628" s="0" t="inlineStr">
        <is>
          <t>길동</t>
        </is>
      </c>
      <c r="AG628" s="0" t="inlineStr">
        <is>
          <t>서울시 강동구 천중로54길 29-10</t>
        </is>
      </c>
      <c r="AH628" s="0" t="n">
        <v>0</v>
      </c>
      <c r="AI628" s="0" t="n">
        <v>199</v>
      </c>
      <c r="AJ628" s="0" t="n">
        <v>47</v>
      </c>
      <c r="AK628" s="0" t="n">
        <v>38</v>
      </c>
      <c r="AL628" s="0" t="n">
        <v>1</v>
      </c>
    </row>
    <row r="629">
      <c r="A629" s="0" t="inlineStr">
        <is>
          <t>[길동]</t>
        </is>
      </c>
      <c r="B629" s="0" t="n">
        <v>125231</v>
      </c>
      <c r="C629" s="0" t="n">
        <v>12</v>
      </c>
      <c r="D629" s="0" t="inlineStr">
        <is>
          <t>아뜨리에빌</t>
        </is>
      </c>
      <c r="E629" s="0" t="inlineStr">
        <is>
          <t>2009.07.</t>
        </is>
      </c>
      <c r="F629" s="0" t="n">
        <v>38</v>
      </c>
      <c r="G629" s="0" t="n">
        <v>21.77</v>
      </c>
      <c r="H629" s="0" t="n">
        <v>71.98999999999999</v>
      </c>
      <c r="I629" s="0" t="n">
        <v>19.06</v>
      </c>
      <c r="J629" s="0" t="n">
        <v>63.04</v>
      </c>
      <c r="K629" s="0" t="n">
        <v>3</v>
      </c>
      <c r="T629" s="0" t="n">
        <v>3</v>
      </c>
      <c r="U629" s="0" t="n">
        <v>2</v>
      </c>
      <c r="V629" s="0" t="inlineStr">
        <is>
          <t>계단식</t>
        </is>
      </c>
      <c r="W629" s="0" t="inlineStr">
        <is>
          <t>71B</t>
        </is>
      </c>
      <c r="X629" s="0" t="n">
        <v>6</v>
      </c>
      <c r="Y629" s="0" t="n">
        <v>5</v>
      </c>
      <c r="Z629" s="0" t="inlineStr">
        <is>
          <t>https://new.land.naver.com/complexes/125231?tab=detail&amp;rf=Y</t>
        </is>
      </c>
      <c r="AA629" s="0" t="inlineStr">
        <is>
          <t>서울시 강동구 길동 361-14</t>
        </is>
      </c>
      <c r="AB629" s="0" t="inlineStr">
        <is>
          <t>서울시</t>
        </is>
      </c>
      <c r="AC629" s="0" t="inlineStr">
        <is>
          <t>강동구</t>
        </is>
      </c>
      <c r="AD629" s="0" t="inlineStr">
        <is>
          <t>길동</t>
        </is>
      </c>
      <c r="AG629" s="0" t="inlineStr">
        <is>
          <t>서울시 강동구 천중로54길 29-10</t>
        </is>
      </c>
      <c r="AH629" s="0" t="n">
        <v>0</v>
      </c>
      <c r="AI629" s="0" t="n">
        <v>199</v>
      </c>
      <c r="AJ629" s="0" t="n">
        <v>47</v>
      </c>
      <c r="AK629" s="0" t="n">
        <v>38</v>
      </c>
      <c r="AL629" s="0" t="n">
        <v>1</v>
      </c>
    </row>
    <row r="630">
      <c r="A630" s="0" t="inlineStr">
        <is>
          <t>[길동]</t>
        </is>
      </c>
      <c r="B630" s="0" t="n">
        <v>125231</v>
      </c>
      <c r="C630" s="0" t="n">
        <v>13</v>
      </c>
      <c r="D630" s="0" t="inlineStr">
        <is>
          <t>아뜨리에빌</t>
        </is>
      </c>
      <c r="E630" s="0" t="inlineStr">
        <is>
          <t>2009.07.</t>
        </is>
      </c>
      <c r="F630" s="0" t="n">
        <v>38</v>
      </c>
      <c r="G630" s="0" t="n">
        <v>22.15</v>
      </c>
      <c r="H630" s="0" t="n">
        <v>73.25</v>
      </c>
      <c r="I630" s="0" t="n">
        <v>19.39</v>
      </c>
      <c r="J630" s="0" t="n">
        <v>64.13</v>
      </c>
      <c r="K630" s="0" t="n">
        <v>1</v>
      </c>
      <c r="T630" s="0" t="n">
        <v>3</v>
      </c>
      <c r="U630" s="0" t="n">
        <v>2</v>
      </c>
      <c r="V630" s="0" t="inlineStr">
        <is>
          <t>계단식</t>
        </is>
      </c>
      <c r="W630" s="0" t="inlineStr">
        <is>
          <t>73C</t>
        </is>
      </c>
      <c r="X630" s="0" t="n">
        <v>6</v>
      </c>
      <c r="Y630" s="0" t="n">
        <v>5</v>
      </c>
      <c r="Z630" s="0" t="inlineStr">
        <is>
          <t>https://new.land.naver.com/complexes/125231?tab=detail&amp;rf=Y</t>
        </is>
      </c>
      <c r="AA630" s="0" t="inlineStr">
        <is>
          <t>서울시 강동구 길동 361-14</t>
        </is>
      </c>
      <c r="AB630" s="0" t="inlineStr">
        <is>
          <t>서울시</t>
        </is>
      </c>
      <c r="AC630" s="0" t="inlineStr">
        <is>
          <t>강동구</t>
        </is>
      </c>
      <c r="AD630" s="0" t="inlineStr">
        <is>
          <t>길동</t>
        </is>
      </c>
      <c r="AG630" s="0" t="inlineStr">
        <is>
          <t>서울시 강동구 천중로54길 29-10</t>
        </is>
      </c>
      <c r="AH630" s="0" t="n">
        <v>0</v>
      </c>
      <c r="AI630" s="0" t="n">
        <v>199</v>
      </c>
      <c r="AJ630" s="0" t="n">
        <v>47</v>
      </c>
      <c r="AK630" s="0" t="n">
        <v>38</v>
      </c>
      <c r="AL630" s="0" t="n">
        <v>1</v>
      </c>
    </row>
    <row r="631">
      <c r="A631" s="0" t="inlineStr">
        <is>
          <t>[길동]</t>
        </is>
      </c>
      <c r="B631" s="0" t="n">
        <v>23793</v>
      </c>
      <c r="C631" s="0" t="n">
        <v>1</v>
      </c>
      <c r="D631" s="0" t="inlineStr">
        <is>
          <t>서한베네치아</t>
        </is>
      </c>
      <c r="E631" s="0" t="inlineStr">
        <is>
          <t>2005.03.</t>
        </is>
      </c>
      <c r="F631" s="0" t="n">
        <v>18</v>
      </c>
      <c r="G631" s="0" t="n">
        <v>29.2</v>
      </c>
      <c r="H631" s="0" t="n">
        <v>96.56</v>
      </c>
      <c r="I631" s="0" t="n">
        <v>25.36</v>
      </c>
      <c r="J631" s="0" t="n">
        <v>83.86</v>
      </c>
      <c r="K631" s="0" t="n">
        <v>6</v>
      </c>
      <c r="T631" s="0" t="n">
        <v>3</v>
      </c>
      <c r="U631" s="0" t="n">
        <v>2</v>
      </c>
      <c r="V631" s="0" t="inlineStr">
        <is>
          <t>계단식</t>
        </is>
      </c>
      <c r="W631" s="0" t="n">
        <v>96</v>
      </c>
      <c r="X631" s="0" t="n">
        <v>7</v>
      </c>
      <c r="Y631" s="0" t="n">
        <v>7</v>
      </c>
      <c r="Z631" s="0" t="inlineStr">
        <is>
          <t>https://new.land.naver.com/complexes/23793?tab=detail&amp;rf=Y</t>
        </is>
      </c>
      <c r="AA631" s="0" t="inlineStr">
        <is>
          <t>서울시 강동구 길동 143-4</t>
        </is>
      </c>
      <c r="AB631" s="0" t="inlineStr">
        <is>
          <t>서울시</t>
        </is>
      </c>
      <c r="AC631" s="0" t="inlineStr">
        <is>
          <t>강동구</t>
        </is>
      </c>
      <c r="AD631" s="0" t="inlineStr">
        <is>
          <t>길동</t>
        </is>
      </c>
      <c r="AG631" s="0" t="inlineStr">
        <is>
          <t>서울시 강동구 명일로 201</t>
        </is>
      </c>
      <c r="AH631" s="0" t="n">
        <v>0</v>
      </c>
      <c r="AI631" s="0" t="n">
        <v>287</v>
      </c>
      <c r="AJ631" s="0" t="n">
        <v>57</v>
      </c>
      <c r="AK631" s="0" t="n">
        <v>29</v>
      </c>
      <c r="AL631" s="0" t="n">
        <v>1.61</v>
      </c>
    </row>
    <row r="632">
      <c r="A632" s="0" t="inlineStr">
        <is>
          <t>[길동]</t>
        </is>
      </c>
      <c r="B632" s="0" t="n">
        <v>23793</v>
      </c>
      <c r="C632" s="0" t="n">
        <v>2</v>
      </c>
      <c r="D632" s="0" t="inlineStr">
        <is>
          <t>서한베네치아</t>
        </is>
      </c>
      <c r="E632" s="0" t="inlineStr">
        <is>
          <t>2005.03.</t>
        </is>
      </c>
      <c r="F632" s="0" t="n">
        <v>18</v>
      </c>
      <c r="G632" s="0" t="n">
        <v>37.38</v>
      </c>
      <c r="H632" s="0" t="n">
        <v>123.58</v>
      </c>
      <c r="I632" s="0" t="n">
        <v>32.46</v>
      </c>
      <c r="J632" s="0" t="n">
        <v>107.33</v>
      </c>
      <c r="K632" s="0" t="n">
        <v>6</v>
      </c>
      <c r="T632" s="0" t="n">
        <v>4</v>
      </c>
      <c r="U632" s="0" t="n">
        <v>2</v>
      </c>
      <c r="V632" s="0" t="inlineStr">
        <is>
          <t>계단식</t>
        </is>
      </c>
      <c r="W632" s="0" t="n">
        <v>123</v>
      </c>
      <c r="X632" s="0" t="n">
        <v>7</v>
      </c>
      <c r="Y632" s="0" t="n">
        <v>7</v>
      </c>
      <c r="Z632" s="0" t="inlineStr">
        <is>
          <t>https://new.land.naver.com/complexes/23793?tab=detail&amp;rf=Y</t>
        </is>
      </c>
      <c r="AA632" s="0" t="inlineStr">
        <is>
          <t>서울시 강동구 길동 143-4</t>
        </is>
      </c>
      <c r="AB632" s="0" t="inlineStr">
        <is>
          <t>서울시</t>
        </is>
      </c>
      <c r="AC632" s="0" t="inlineStr">
        <is>
          <t>강동구</t>
        </is>
      </c>
      <c r="AD632" s="0" t="inlineStr">
        <is>
          <t>길동</t>
        </is>
      </c>
      <c r="AG632" s="0" t="inlineStr">
        <is>
          <t>서울시 강동구 명일로 201</t>
        </is>
      </c>
      <c r="AH632" s="0" t="n">
        <v>0</v>
      </c>
      <c r="AI632" s="0" t="n">
        <v>287</v>
      </c>
      <c r="AJ632" s="0" t="n">
        <v>57</v>
      </c>
      <c r="AK632" s="0" t="n">
        <v>29</v>
      </c>
      <c r="AL632" s="0" t="n">
        <v>1.61</v>
      </c>
    </row>
    <row r="633">
      <c r="A633" s="0" t="inlineStr">
        <is>
          <t>[길동]</t>
        </is>
      </c>
      <c r="B633" s="0" t="n">
        <v>23793</v>
      </c>
      <c r="C633" s="0" t="n">
        <v>3</v>
      </c>
      <c r="D633" s="0" t="inlineStr">
        <is>
          <t>서한베네치아</t>
        </is>
      </c>
      <c r="E633" s="0" t="inlineStr">
        <is>
          <t>2005.03.</t>
        </is>
      </c>
      <c r="F633" s="0" t="n">
        <v>18</v>
      </c>
      <c r="G633" s="0" t="n">
        <v>37.68</v>
      </c>
      <c r="H633" s="0" t="n">
        <v>124.59</v>
      </c>
      <c r="I633" s="0" t="n">
        <v>32.73</v>
      </c>
      <c r="J633" s="0" t="n">
        <v>108.22</v>
      </c>
      <c r="K633" s="0" t="n">
        <v>1</v>
      </c>
      <c r="T633" s="0" t="n">
        <v>4</v>
      </c>
      <c r="U633" s="0" t="n">
        <v>2</v>
      </c>
      <c r="V633" s="0" t="inlineStr">
        <is>
          <t>계단식</t>
        </is>
      </c>
      <c r="W633" s="0" t="n">
        <v>124</v>
      </c>
      <c r="X633" s="0" t="n">
        <v>7</v>
      </c>
      <c r="Y633" s="0" t="n">
        <v>7</v>
      </c>
      <c r="Z633" s="0" t="inlineStr">
        <is>
          <t>https://new.land.naver.com/complexes/23793?tab=detail&amp;rf=Y</t>
        </is>
      </c>
      <c r="AA633" s="0" t="inlineStr">
        <is>
          <t>서울시 강동구 길동 143-4</t>
        </is>
      </c>
      <c r="AB633" s="0" t="inlineStr">
        <is>
          <t>서울시</t>
        </is>
      </c>
      <c r="AC633" s="0" t="inlineStr">
        <is>
          <t>강동구</t>
        </is>
      </c>
      <c r="AD633" s="0" t="inlineStr">
        <is>
          <t>길동</t>
        </is>
      </c>
      <c r="AG633" s="0" t="inlineStr">
        <is>
          <t>서울시 강동구 명일로 201</t>
        </is>
      </c>
      <c r="AH633" s="0" t="n">
        <v>0</v>
      </c>
      <c r="AI633" s="0" t="n">
        <v>287</v>
      </c>
      <c r="AJ633" s="0" t="n">
        <v>57</v>
      </c>
      <c r="AK633" s="0" t="n">
        <v>29</v>
      </c>
      <c r="AL633" s="0" t="n">
        <v>1.61</v>
      </c>
    </row>
    <row r="634">
      <c r="A634" s="0" t="inlineStr">
        <is>
          <t>[길동]</t>
        </is>
      </c>
      <c r="B634" s="0" t="n">
        <v>23793</v>
      </c>
      <c r="C634" s="0" t="n">
        <v>4</v>
      </c>
      <c r="D634" s="0" t="inlineStr">
        <is>
          <t>서한베네치아</t>
        </is>
      </c>
      <c r="E634" s="0" t="inlineStr">
        <is>
          <t>2005.03.</t>
        </is>
      </c>
      <c r="F634" s="0" t="n">
        <v>18</v>
      </c>
      <c r="G634" s="0" t="n">
        <v>38.72</v>
      </c>
      <c r="H634" s="0" t="n">
        <v>128.03</v>
      </c>
      <c r="I634" s="0" t="n">
        <v>33.63</v>
      </c>
      <c r="J634" s="0" t="n">
        <v>111.2</v>
      </c>
      <c r="K634" s="0" t="n">
        <v>5</v>
      </c>
      <c r="T634" s="0" t="n">
        <v>4</v>
      </c>
      <c r="U634" s="0" t="n">
        <v>2</v>
      </c>
      <c r="V634" s="0" t="inlineStr">
        <is>
          <t>계단식</t>
        </is>
      </c>
      <c r="W634" s="0" t="n">
        <v>128</v>
      </c>
      <c r="X634" s="0" t="n">
        <v>7</v>
      </c>
      <c r="Y634" s="0" t="n">
        <v>7</v>
      </c>
      <c r="Z634" s="0" t="inlineStr">
        <is>
          <t>https://new.land.naver.com/complexes/23793?tab=detail&amp;rf=Y</t>
        </is>
      </c>
      <c r="AA634" s="0" t="inlineStr">
        <is>
          <t>서울시 강동구 길동 143-4</t>
        </is>
      </c>
      <c r="AB634" s="0" t="inlineStr">
        <is>
          <t>서울시</t>
        </is>
      </c>
      <c r="AC634" s="0" t="inlineStr">
        <is>
          <t>강동구</t>
        </is>
      </c>
      <c r="AD634" s="0" t="inlineStr">
        <is>
          <t>길동</t>
        </is>
      </c>
      <c r="AG634" s="0" t="inlineStr">
        <is>
          <t>서울시 강동구 명일로 201</t>
        </is>
      </c>
      <c r="AH634" s="0" t="n">
        <v>0</v>
      </c>
      <c r="AI634" s="0" t="n">
        <v>287</v>
      </c>
      <c r="AJ634" s="0" t="n">
        <v>57</v>
      </c>
      <c r="AK634" s="0" t="n">
        <v>29</v>
      </c>
      <c r="AL634" s="0" t="n">
        <v>1.61</v>
      </c>
    </row>
    <row r="635">
      <c r="A635" s="0" t="inlineStr">
        <is>
          <t>[길동]</t>
        </is>
      </c>
      <c r="B635" s="0" t="n">
        <v>17702</v>
      </c>
      <c r="C635" s="0" t="n">
        <v>1</v>
      </c>
      <c r="D635" s="0" t="inlineStr">
        <is>
          <t>광남벨라스</t>
        </is>
      </c>
      <c r="E635" s="0" t="inlineStr">
        <is>
          <t>2004.04.</t>
        </is>
      </c>
      <c r="F635" s="0" t="n">
        <v>42</v>
      </c>
      <c r="G635" s="0" t="n">
        <v>25.09</v>
      </c>
      <c r="H635" s="0" t="n">
        <v>82.95999999999999</v>
      </c>
      <c r="I635" s="0" t="n">
        <v>19.78</v>
      </c>
      <c r="J635" s="0" t="n">
        <v>65.40000000000001</v>
      </c>
      <c r="K635" s="0" t="n">
        <v>2</v>
      </c>
      <c r="T635" s="0" t="n">
        <v>3</v>
      </c>
      <c r="U635" s="0" t="n">
        <v>1</v>
      </c>
      <c r="V635" s="0" t="inlineStr">
        <is>
          <t>계단식</t>
        </is>
      </c>
      <c r="W635" s="0" t="n">
        <v>82</v>
      </c>
      <c r="X635" s="0" t="n">
        <v>13</v>
      </c>
      <c r="Y635" s="0" t="n">
        <v>12</v>
      </c>
      <c r="Z635" s="0" t="inlineStr">
        <is>
          <t>https://new.land.naver.com/complexes/17702?tab=detail&amp;rf=Y</t>
        </is>
      </c>
      <c r="AA635" s="0" t="inlineStr">
        <is>
          <t>서울시 강동구 길동 385-3</t>
        </is>
      </c>
      <c r="AB635" s="0" t="inlineStr">
        <is>
          <t>서울시</t>
        </is>
      </c>
      <c r="AC635" s="0" t="inlineStr">
        <is>
          <t>강동구</t>
        </is>
      </c>
      <c r="AD635" s="0" t="inlineStr">
        <is>
          <t>길동</t>
        </is>
      </c>
      <c r="AG635" s="0" t="inlineStr">
        <is>
          <t>서울시 강동구 천중로38가길 53</t>
        </is>
      </c>
      <c r="AH635" s="0" t="n">
        <v>0</v>
      </c>
      <c r="AI635" s="0" t="n">
        <v>360</v>
      </c>
      <c r="AJ635" s="0" t="n">
        <v>55</v>
      </c>
      <c r="AK635" s="0" t="n">
        <v>43</v>
      </c>
      <c r="AL635" s="0" t="n">
        <v>1.02</v>
      </c>
    </row>
    <row r="636">
      <c r="A636" s="0" t="inlineStr">
        <is>
          <t>[길동]</t>
        </is>
      </c>
      <c r="B636" s="0" t="n">
        <v>17702</v>
      </c>
      <c r="C636" s="0" t="n">
        <v>2</v>
      </c>
      <c r="D636" s="0" t="inlineStr">
        <is>
          <t>광남벨라스</t>
        </is>
      </c>
      <c r="E636" s="0" t="inlineStr">
        <is>
          <t>2004.04.</t>
        </is>
      </c>
      <c r="F636" s="0" t="n">
        <v>42</v>
      </c>
      <c r="G636" s="0" t="n">
        <v>25.9</v>
      </c>
      <c r="H636" s="0" t="n">
        <v>85.64</v>
      </c>
      <c r="I636" s="0" t="n">
        <v>20.42</v>
      </c>
      <c r="J636" s="0" t="n">
        <v>67.51000000000001</v>
      </c>
      <c r="K636" s="0" t="n">
        <v>1</v>
      </c>
      <c r="T636" s="0" t="n">
        <v>3</v>
      </c>
      <c r="U636" s="0" t="n">
        <v>1</v>
      </c>
      <c r="V636" s="0" t="inlineStr">
        <is>
          <t>계단식</t>
        </is>
      </c>
      <c r="W636" s="0" t="n">
        <v>85</v>
      </c>
      <c r="X636" s="0" t="n">
        <v>13</v>
      </c>
      <c r="Y636" s="0" t="n">
        <v>12</v>
      </c>
      <c r="Z636" s="0" t="inlineStr">
        <is>
          <t>https://new.land.naver.com/complexes/17702?tab=detail&amp;rf=Y</t>
        </is>
      </c>
      <c r="AA636" s="0" t="inlineStr">
        <is>
          <t>서울시 강동구 길동 385-3</t>
        </is>
      </c>
      <c r="AB636" s="0" t="inlineStr">
        <is>
          <t>서울시</t>
        </is>
      </c>
      <c r="AC636" s="0" t="inlineStr">
        <is>
          <t>강동구</t>
        </is>
      </c>
      <c r="AD636" s="0" t="inlineStr">
        <is>
          <t>길동</t>
        </is>
      </c>
      <c r="AG636" s="0" t="inlineStr">
        <is>
          <t>서울시 강동구 천중로38가길 53</t>
        </is>
      </c>
      <c r="AH636" s="0" t="n">
        <v>0</v>
      </c>
      <c r="AI636" s="0" t="n">
        <v>360</v>
      </c>
      <c r="AJ636" s="0" t="n">
        <v>55</v>
      </c>
      <c r="AK636" s="0" t="n">
        <v>43</v>
      </c>
      <c r="AL636" s="0" t="n">
        <v>1.02</v>
      </c>
    </row>
    <row r="637">
      <c r="A637" s="0" t="inlineStr">
        <is>
          <t>[길동]</t>
        </is>
      </c>
      <c r="B637" s="0" t="n">
        <v>17702</v>
      </c>
      <c r="C637" s="0" t="n">
        <v>3</v>
      </c>
      <c r="D637" s="0" t="inlineStr">
        <is>
          <t>광남벨라스</t>
        </is>
      </c>
      <c r="E637" s="0" t="inlineStr">
        <is>
          <t>2004.04.</t>
        </is>
      </c>
      <c r="F637" s="0" t="n">
        <v>42</v>
      </c>
      <c r="G637" s="0" t="n">
        <v>28.59</v>
      </c>
      <c r="H637" s="0" t="n">
        <v>94.52</v>
      </c>
      <c r="I637" s="0" t="n">
        <v>22.54</v>
      </c>
      <c r="J637" s="0" t="n">
        <v>74.53</v>
      </c>
      <c r="K637" s="0" t="n">
        <v>1</v>
      </c>
      <c r="T637" s="0" t="n">
        <v>3</v>
      </c>
      <c r="U637" s="0" t="n">
        <v>2</v>
      </c>
      <c r="V637" s="0" t="inlineStr">
        <is>
          <t>계단식</t>
        </is>
      </c>
      <c r="W637" s="0" t="n">
        <v>94</v>
      </c>
      <c r="X637" s="0" t="n">
        <v>13</v>
      </c>
      <c r="Y637" s="0" t="n">
        <v>12</v>
      </c>
      <c r="Z637" s="0" t="inlineStr">
        <is>
          <t>https://new.land.naver.com/complexes/17702?tab=detail&amp;rf=Y</t>
        </is>
      </c>
      <c r="AA637" s="0" t="inlineStr">
        <is>
          <t>서울시 강동구 길동 385-3</t>
        </is>
      </c>
      <c r="AB637" s="0" t="inlineStr">
        <is>
          <t>서울시</t>
        </is>
      </c>
      <c r="AC637" s="0" t="inlineStr">
        <is>
          <t>강동구</t>
        </is>
      </c>
      <c r="AD637" s="0" t="inlineStr">
        <is>
          <t>길동</t>
        </is>
      </c>
      <c r="AG637" s="0" t="inlineStr">
        <is>
          <t>서울시 강동구 천중로38가길 53</t>
        </is>
      </c>
      <c r="AH637" s="0" t="n">
        <v>0</v>
      </c>
      <c r="AI637" s="0" t="n">
        <v>360</v>
      </c>
      <c r="AJ637" s="0" t="n">
        <v>55</v>
      </c>
      <c r="AK637" s="0" t="n">
        <v>43</v>
      </c>
      <c r="AL637" s="0" t="n">
        <v>1.02</v>
      </c>
    </row>
    <row r="638">
      <c r="A638" s="0" t="inlineStr">
        <is>
          <t>[길동]</t>
        </is>
      </c>
      <c r="B638" s="0" t="n">
        <v>17702</v>
      </c>
      <c r="C638" s="0" t="n">
        <v>4</v>
      </c>
      <c r="D638" s="0" t="inlineStr">
        <is>
          <t>광남벨라스</t>
        </is>
      </c>
      <c r="E638" s="0" t="inlineStr">
        <is>
          <t>2004.04.</t>
        </is>
      </c>
      <c r="F638" s="0" t="n">
        <v>42</v>
      </c>
      <c r="G638" s="0" t="n">
        <v>30.55</v>
      </c>
      <c r="H638" s="0" t="n">
        <v>101.02</v>
      </c>
      <c r="I638" s="0" t="n">
        <v>24.09</v>
      </c>
      <c r="J638" s="0" t="n">
        <v>79.66</v>
      </c>
      <c r="K638" s="0" t="n">
        <v>1</v>
      </c>
      <c r="T638" s="0" t="n">
        <v>3</v>
      </c>
      <c r="U638" s="0" t="n">
        <v>2</v>
      </c>
      <c r="V638" s="0" t="inlineStr">
        <is>
          <t>계단식</t>
        </is>
      </c>
      <c r="W638" s="0" t="inlineStr">
        <is>
          <t>101A</t>
        </is>
      </c>
      <c r="X638" s="0" t="n">
        <v>13</v>
      </c>
      <c r="Y638" s="0" t="n">
        <v>12</v>
      </c>
      <c r="Z638" s="0" t="inlineStr">
        <is>
          <t>https://new.land.naver.com/complexes/17702?tab=detail&amp;rf=Y</t>
        </is>
      </c>
      <c r="AA638" s="0" t="inlineStr">
        <is>
          <t>서울시 강동구 길동 385-3</t>
        </is>
      </c>
      <c r="AB638" s="0" t="inlineStr">
        <is>
          <t>서울시</t>
        </is>
      </c>
      <c r="AC638" s="0" t="inlineStr">
        <is>
          <t>강동구</t>
        </is>
      </c>
      <c r="AD638" s="0" t="inlineStr">
        <is>
          <t>길동</t>
        </is>
      </c>
      <c r="AG638" s="0" t="inlineStr">
        <is>
          <t>서울시 강동구 천중로38가길 53</t>
        </is>
      </c>
      <c r="AH638" s="0" t="n">
        <v>0</v>
      </c>
      <c r="AI638" s="0" t="n">
        <v>360</v>
      </c>
      <c r="AJ638" s="0" t="n">
        <v>55</v>
      </c>
      <c r="AK638" s="0" t="n">
        <v>43</v>
      </c>
      <c r="AL638" s="0" t="n">
        <v>1.02</v>
      </c>
    </row>
    <row r="639">
      <c r="A639" s="0" t="inlineStr">
        <is>
          <t>[길동]</t>
        </is>
      </c>
      <c r="B639" s="0" t="n">
        <v>17702</v>
      </c>
      <c r="C639" s="0" t="n">
        <v>5</v>
      </c>
      <c r="D639" s="0" t="inlineStr">
        <is>
          <t>광남벨라스</t>
        </is>
      </c>
      <c r="E639" s="0" t="inlineStr">
        <is>
          <t>2004.04.</t>
        </is>
      </c>
      <c r="F639" s="0" t="n">
        <v>42</v>
      </c>
      <c r="G639" s="0" t="n">
        <v>30.72</v>
      </c>
      <c r="H639" s="0" t="n">
        <v>101.57</v>
      </c>
      <c r="I639" s="0" t="n">
        <v>24.22</v>
      </c>
      <c r="J639" s="0" t="n">
        <v>80.08</v>
      </c>
      <c r="K639" s="0" t="n">
        <v>1</v>
      </c>
      <c r="T639" s="0" t="n">
        <v>3</v>
      </c>
      <c r="U639" s="0" t="n">
        <v>2</v>
      </c>
      <c r="V639" s="0" t="inlineStr">
        <is>
          <t>계단식</t>
        </is>
      </c>
      <c r="W639" s="0" t="inlineStr">
        <is>
          <t>101B</t>
        </is>
      </c>
      <c r="X639" s="0" t="n">
        <v>13</v>
      </c>
      <c r="Y639" s="0" t="n">
        <v>12</v>
      </c>
      <c r="Z639" s="0" t="inlineStr">
        <is>
          <t>https://new.land.naver.com/complexes/17702?tab=detail&amp;rf=Y</t>
        </is>
      </c>
      <c r="AA639" s="0" t="inlineStr">
        <is>
          <t>서울시 강동구 길동 385-3</t>
        </is>
      </c>
      <c r="AB639" s="0" t="inlineStr">
        <is>
          <t>서울시</t>
        </is>
      </c>
      <c r="AC639" s="0" t="inlineStr">
        <is>
          <t>강동구</t>
        </is>
      </c>
      <c r="AD639" s="0" t="inlineStr">
        <is>
          <t>길동</t>
        </is>
      </c>
      <c r="AG639" s="0" t="inlineStr">
        <is>
          <t>서울시 강동구 천중로38가길 53</t>
        </is>
      </c>
      <c r="AH639" s="0" t="n">
        <v>0</v>
      </c>
      <c r="AI639" s="0" t="n">
        <v>360</v>
      </c>
      <c r="AJ639" s="0" t="n">
        <v>55</v>
      </c>
      <c r="AK639" s="0" t="n">
        <v>43</v>
      </c>
      <c r="AL639" s="0" t="n">
        <v>1.02</v>
      </c>
    </row>
    <row r="640">
      <c r="A640" s="0" t="inlineStr">
        <is>
          <t>[길동]</t>
        </is>
      </c>
      <c r="B640" s="0" t="n">
        <v>17702</v>
      </c>
      <c r="C640" s="0" t="n">
        <v>6</v>
      </c>
      <c r="D640" s="0" t="inlineStr">
        <is>
          <t>광남벨라스</t>
        </is>
      </c>
      <c r="E640" s="0" t="inlineStr">
        <is>
          <t>2004.04.</t>
        </is>
      </c>
      <c r="F640" s="0" t="n">
        <v>42</v>
      </c>
      <c r="G640" s="0" t="n">
        <v>32.25</v>
      </c>
      <c r="H640" s="0" t="n">
        <v>106.64</v>
      </c>
      <c r="I640" s="0" t="n">
        <v>25.44</v>
      </c>
      <c r="J640" s="0" t="n">
        <v>84.13</v>
      </c>
      <c r="K640" s="0" t="n">
        <v>36</v>
      </c>
      <c r="T640" s="0" t="n">
        <v>3</v>
      </c>
      <c r="U640" s="0" t="n">
        <v>2</v>
      </c>
      <c r="V640" s="0" t="inlineStr">
        <is>
          <t>계단식</t>
        </is>
      </c>
      <c r="W640" s="0" t="n">
        <v>106</v>
      </c>
      <c r="X640" s="0" t="n">
        <v>13</v>
      </c>
      <c r="Y640" s="0" t="n">
        <v>12</v>
      </c>
      <c r="Z640" s="0" t="inlineStr">
        <is>
          <t>https://new.land.naver.com/complexes/17702?tab=detail&amp;rf=Y</t>
        </is>
      </c>
      <c r="AA640" s="0" t="inlineStr">
        <is>
          <t>서울시 강동구 길동 385-3</t>
        </is>
      </c>
      <c r="AB640" s="0" t="inlineStr">
        <is>
          <t>서울시</t>
        </is>
      </c>
      <c r="AC640" s="0" t="inlineStr">
        <is>
          <t>강동구</t>
        </is>
      </c>
      <c r="AD640" s="0" t="inlineStr">
        <is>
          <t>길동</t>
        </is>
      </c>
      <c r="AG640" s="0" t="inlineStr">
        <is>
          <t>서울시 강동구 천중로38가길 53</t>
        </is>
      </c>
      <c r="AH640" s="0" t="n">
        <v>0</v>
      </c>
      <c r="AI640" s="0" t="n">
        <v>360</v>
      </c>
      <c r="AJ640" s="0" t="n">
        <v>55</v>
      </c>
      <c r="AK640" s="0" t="n">
        <v>43</v>
      </c>
      <c r="AL640" s="0" t="n">
        <v>1.02</v>
      </c>
    </row>
    <row r="641">
      <c r="A641" s="0" t="inlineStr">
        <is>
          <t>[길동]</t>
        </is>
      </c>
      <c r="B641" s="0" t="n">
        <v>110109</v>
      </c>
      <c r="C641" s="0" t="n">
        <v>1</v>
      </c>
      <c r="D641" s="0" t="inlineStr">
        <is>
          <t>웅주아크로파크</t>
        </is>
      </c>
      <c r="E641" s="0" t="inlineStr">
        <is>
          <t>2006.07.</t>
        </is>
      </c>
      <c r="F641" s="0" t="n">
        <v>19</v>
      </c>
      <c r="G641" s="0" t="n">
        <v>26.42</v>
      </c>
      <c r="H641" s="0" t="n">
        <v>87.34999999999999</v>
      </c>
      <c r="I641" s="0" t="n">
        <v>23.05</v>
      </c>
      <c r="J641" s="0" t="n">
        <v>76.2</v>
      </c>
      <c r="K641" s="0" t="n">
        <v>1</v>
      </c>
      <c r="T641" s="0" t="n">
        <v>3</v>
      </c>
      <c r="U641" s="0" t="n">
        <v>2</v>
      </c>
      <c r="V641" s="0" t="inlineStr">
        <is>
          <t>계단식</t>
        </is>
      </c>
      <c r="W641" s="0" t="n">
        <v>87</v>
      </c>
      <c r="X641" s="0" t="n">
        <v>7</v>
      </c>
      <c r="Y641" s="0" t="n">
        <v>6</v>
      </c>
      <c r="Z641" s="0" t="inlineStr">
        <is>
          <t>https://new.land.naver.com/complexes/110109?tab=detail&amp;rf=Y</t>
        </is>
      </c>
      <c r="AA641" s="0" t="inlineStr">
        <is>
          <t>서울시 강동구 길동 320-9</t>
        </is>
      </c>
      <c r="AB641" s="0" t="inlineStr">
        <is>
          <t>서울시</t>
        </is>
      </c>
      <c r="AC641" s="0" t="inlineStr">
        <is>
          <t>강동구</t>
        </is>
      </c>
      <c r="AD641" s="0" t="inlineStr">
        <is>
          <t>길동</t>
        </is>
      </c>
      <c r="AG641" s="0" t="inlineStr">
        <is>
          <t>서울시 강동구 양재대로122가길 51</t>
        </is>
      </c>
      <c r="AH641" s="0" t="n">
        <v>0</v>
      </c>
      <c r="AI641" s="0" t="n">
        <v>227</v>
      </c>
      <c r="AJ641" s="0" t="n">
        <v>40</v>
      </c>
      <c r="AK641" s="0" t="n">
        <v>26</v>
      </c>
      <c r="AL641" s="0" t="n">
        <v>1.37</v>
      </c>
    </row>
    <row r="642">
      <c r="A642" s="0" t="inlineStr">
        <is>
          <t>[길동]</t>
        </is>
      </c>
      <c r="B642" s="0" t="n">
        <v>110109</v>
      </c>
      <c r="C642" s="0" t="n">
        <v>2</v>
      </c>
      <c r="D642" s="0" t="inlineStr">
        <is>
          <t>웅주아크로파크</t>
        </is>
      </c>
      <c r="E642" s="0" t="inlineStr">
        <is>
          <t>2006.07.</t>
        </is>
      </c>
      <c r="F642" s="0" t="n">
        <v>19</v>
      </c>
      <c r="G642" s="0" t="n">
        <v>29.27</v>
      </c>
      <c r="H642" s="0" t="n">
        <v>96.78</v>
      </c>
      <c r="I642" s="0" t="n">
        <v>25.54</v>
      </c>
      <c r="J642" s="0" t="n">
        <v>84.44</v>
      </c>
      <c r="K642" s="0" t="n">
        <v>6</v>
      </c>
      <c r="T642" s="0" t="n">
        <v>3</v>
      </c>
      <c r="U642" s="0" t="n">
        <v>2</v>
      </c>
      <c r="V642" s="0" t="inlineStr">
        <is>
          <t>계단식</t>
        </is>
      </c>
      <c r="W642" s="0" t="inlineStr">
        <is>
          <t>96B</t>
        </is>
      </c>
      <c r="X642" s="0" t="n">
        <v>7</v>
      </c>
      <c r="Y642" s="0" t="n">
        <v>6</v>
      </c>
      <c r="Z642" s="0" t="inlineStr">
        <is>
          <t>https://new.land.naver.com/complexes/110109?tab=detail&amp;rf=Y</t>
        </is>
      </c>
      <c r="AA642" s="0" t="inlineStr">
        <is>
          <t>서울시 강동구 길동 320-9</t>
        </is>
      </c>
      <c r="AB642" s="0" t="inlineStr">
        <is>
          <t>서울시</t>
        </is>
      </c>
      <c r="AC642" s="0" t="inlineStr">
        <is>
          <t>강동구</t>
        </is>
      </c>
      <c r="AD642" s="0" t="inlineStr">
        <is>
          <t>길동</t>
        </is>
      </c>
      <c r="AG642" s="0" t="inlineStr">
        <is>
          <t>서울시 강동구 양재대로122가길 51</t>
        </is>
      </c>
      <c r="AH642" s="0" t="n">
        <v>0</v>
      </c>
      <c r="AI642" s="0" t="n">
        <v>227</v>
      </c>
      <c r="AJ642" s="0" t="n">
        <v>40</v>
      </c>
      <c r="AK642" s="0" t="n">
        <v>26</v>
      </c>
      <c r="AL642" s="0" t="n">
        <v>1.37</v>
      </c>
    </row>
    <row r="643">
      <c r="A643" s="0" t="inlineStr">
        <is>
          <t>[길동]</t>
        </is>
      </c>
      <c r="B643" s="0" t="n">
        <v>110109</v>
      </c>
      <c r="C643" s="0" t="n">
        <v>3</v>
      </c>
      <c r="D643" s="0" t="inlineStr">
        <is>
          <t>웅주아크로파크</t>
        </is>
      </c>
      <c r="E643" s="0" t="inlineStr">
        <is>
          <t>2006.07.</t>
        </is>
      </c>
      <c r="F643" s="0" t="n">
        <v>19</v>
      </c>
      <c r="G643" s="0" t="n">
        <v>29.1</v>
      </c>
      <c r="H643" s="0" t="n">
        <v>96.23</v>
      </c>
      <c r="I643" s="0" t="n">
        <v>25.39</v>
      </c>
      <c r="J643" s="0" t="n">
        <v>83.95</v>
      </c>
      <c r="K643" s="0" t="n">
        <v>1</v>
      </c>
      <c r="T643" s="0" t="n">
        <v>3</v>
      </c>
      <c r="U643" s="0" t="n">
        <v>2</v>
      </c>
      <c r="V643" s="0" t="inlineStr">
        <is>
          <t>계단식</t>
        </is>
      </c>
      <c r="W643" s="0" t="inlineStr">
        <is>
          <t>96A</t>
        </is>
      </c>
      <c r="X643" s="0" t="n">
        <v>7</v>
      </c>
      <c r="Y643" s="0" t="n">
        <v>6</v>
      </c>
      <c r="Z643" s="0" t="inlineStr">
        <is>
          <t>https://new.land.naver.com/complexes/110109?tab=detail&amp;rf=Y</t>
        </is>
      </c>
      <c r="AA643" s="0" t="inlineStr">
        <is>
          <t>서울시 강동구 길동 320-9</t>
        </is>
      </c>
      <c r="AB643" s="0" t="inlineStr">
        <is>
          <t>서울시</t>
        </is>
      </c>
      <c r="AC643" s="0" t="inlineStr">
        <is>
          <t>강동구</t>
        </is>
      </c>
      <c r="AD643" s="0" t="inlineStr">
        <is>
          <t>길동</t>
        </is>
      </c>
      <c r="AG643" s="0" t="inlineStr">
        <is>
          <t>서울시 강동구 양재대로122가길 51</t>
        </is>
      </c>
      <c r="AH643" s="0" t="n">
        <v>0</v>
      </c>
      <c r="AI643" s="0" t="n">
        <v>227</v>
      </c>
      <c r="AJ643" s="0" t="n">
        <v>40</v>
      </c>
      <c r="AK643" s="0" t="n">
        <v>26</v>
      </c>
      <c r="AL643" s="0" t="n">
        <v>1.37</v>
      </c>
    </row>
    <row r="644">
      <c r="A644" s="0" t="inlineStr">
        <is>
          <t>[길동]</t>
        </is>
      </c>
      <c r="B644" s="0" t="n">
        <v>110109</v>
      </c>
      <c r="C644" s="0" t="n">
        <v>4</v>
      </c>
      <c r="D644" s="0" t="inlineStr">
        <is>
          <t>웅주아크로파크</t>
        </is>
      </c>
      <c r="E644" s="0" t="inlineStr">
        <is>
          <t>2006.07.</t>
        </is>
      </c>
      <c r="F644" s="0" t="n">
        <v>19</v>
      </c>
      <c r="G644" s="0" t="n">
        <v>29.44</v>
      </c>
      <c r="H644" s="0" t="n">
        <v>97.33</v>
      </c>
      <c r="I644" s="0" t="n">
        <v>25.68</v>
      </c>
      <c r="J644" s="0" t="n">
        <v>84.92</v>
      </c>
      <c r="K644" s="0" t="n">
        <v>4</v>
      </c>
      <c r="T644" s="0" t="n">
        <v>3</v>
      </c>
      <c r="U644" s="0" t="n">
        <v>2</v>
      </c>
      <c r="V644" s="0" t="inlineStr">
        <is>
          <t>계단식</t>
        </is>
      </c>
      <c r="W644" s="0" t="inlineStr">
        <is>
          <t>97C</t>
        </is>
      </c>
      <c r="X644" s="0" t="n">
        <v>7</v>
      </c>
      <c r="Y644" s="0" t="n">
        <v>6</v>
      </c>
      <c r="Z644" s="0" t="inlineStr">
        <is>
          <t>https://new.land.naver.com/complexes/110109?tab=detail&amp;rf=Y</t>
        </is>
      </c>
      <c r="AA644" s="0" t="inlineStr">
        <is>
          <t>서울시 강동구 길동 320-9</t>
        </is>
      </c>
      <c r="AB644" s="0" t="inlineStr">
        <is>
          <t>서울시</t>
        </is>
      </c>
      <c r="AC644" s="0" t="inlineStr">
        <is>
          <t>강동구</t>
        </is>
      </c>
      <c r="AD644" s="0" t="inlineStr">
        <is>
          <t>길동</t>
        </is>
      </c>
      <c r="AG644" s="0" t="inlineStr">
        <is>
          <t>서울시 강동구 양재대로122가길 51</t>
        </is>
      </c>
      <c r="AH644" s="0" t="n">
        <v>0</v>
      </c>
      <c r="AI644" s="0" t="n">
        <v>227</v>
      </c>
      <c r="AJ644" s="0" t="n">
        <v>40</v>
      </c>
      <c r="AK644" s="0" t="n">
        <v>26</v>
      </c>
      <c r="AL644" s="0" t="n">
        <v>1.37</v>
      </c>
    </row>
    <row r="645">
      <c r="A645" s="0" t="inlineStr">
        <is>
          <t>[길동]</t>
        </is>
      </c>
      <c r="B645" s="0" t="n">
        <v>110109</v>
      </c>
      <c r="C645" s="0" t="n">
        <v>5</v>
      </c>
      <c r="D645" s="0" t="inlineStr">
        <is>
          <t>웅주아크로파크</t>
        </is>
      </c>
      <c r="E645" s="0" t="inlineStr">
        <is>
          <t>2006.07.</t>
        </is>
      </c>
      <c r="F645" s="0" t="n">
        <v>19</v>
      </c>
      <c r="G645" s="0" t="n">
        <v>36.61</v>
      </c>
      <c r="H645" s="0" t="n">
        <v>121.05</v>
      </c>
      <c r="I645" s="0" t="n">
        <v>31.94</v>
      </c>
      <c r="J645" s="0" t="n">
        <v>105.61</v>
      </c>
      <c r="K645" s="0" t="n">
        <v>5</v>
      </c>
      <c r="T645" s="0" t="n">
        <v>3</v>
      </c>
      <c r="U645" s="0" t="n">
        <v>2</v>
      </c>
      <c r="V645" s="0" t="inlineStr">
        <is>
          <t>계단식</t>
        </is>
      </c>
      <c r="W645" s="0" t="n">
        <v>121</v>
      </c>
      <c r="X645" s="0" t="n">
        <v>7</v>
      </c>
      <c r="Y645" s="0" t="n">
        <v>6</v>
      </c>
      <c r="Z645" s="0" t="inlineStr">
        <is>
          <t>https://new.land.naver.com/complexes/110109?tab=detail&amp;rf=Y</t>
        </is>
      </c>
      <c r="AA645" s="0" t="inlineStr">
        <is>
          <t>서울시 강동구 길동 320-9</t>
        </is>
      </c>
      <c r="AB645" s="0" t="inlineStr">
        <is>
          <t>서울시</t>
        </is>
      </c>
      <c r="AC645" s="0" t="inlineStr">
        <is>
          <t>강동구</t>
        </is>
      </c>
      <c r="AD645" s="0" t="inlineStr">
        <is>
          <t>길동</t>
        </is>
      </c>
      <c r="AG645" s="0" t="inlineStr">
        <is>
          <t>서울시 강동구 양재대로122가길 51</t>
        </is>
      </c>
      <c r="AH645" s="0" t="n">
        <v>0</v>
      </c>
      <c r="AI645" s="0" t="n">
        <v>227</v>
      </c>
      <c r="AJ645" s="0" t="n">
        <v>40</v>
      </c>
      <c r="AK645" s="0" t="n">
        <v>26</v>
      </c>
      <c r="AL645" s="0" t="n">
        <v>1.37</v>
      </c>
    </row>
    <row r="646">
      <c r="A646" s="0" t="inlineStr">
        <is>
          <t>[길동]</t>
        </is>
      </c>
      <c r="B646" s="0" t="n">
        <v>110109</v>
      </c>
      <c r="C646" s="0" t="n">
        <v>6</v>
      </c>
      <c r="D646" s="0" t="inlineStr">
        <is>
          <t>웅주아크로파크</t>
        </is>
      </c>
      <c r="E646" s="0" t="inlineStr">
        <is>
          <t>2006.07.</t>
        </is>
      </c>
      <c r="F646" s="0" t="n">
        <v>19</v>
      </c>
      <c r="G646" s="0" t="n">
        <v>40.34</v>
      </c>
      <c r="H646" s="0" t="n">
        <v>133.37</v>
      </c>
      <c r="I646" s="0" t="n">
        <v>35.19</v>
      </c>
      <c r="J646" s="0" t="n">
        <v>116.35</v>
      </c>
      <c r="K646" s="0" t="n">
        <v>1</v>
      </c>
      <c r="T646" s="0" t="n">
        <v>4</v>
      </c>
      <c r="U646" s="0" t="n">
        <v>2</v>
      </c>
      <c r="V646" s="0" t="inlineStr">
        <is>
          <t>계단식</t>
        </is>
      </c>
      <c r="W646" s="0" t="n">
        <v>133</v>
      </c>
      <c r="X646" s="0" t="n">
        <v>7</v>
      </c>
      <c r="Y646" s="0" t="n">
        <v>6</v>
      </c>
      <c r="Z646" s="0" t="inlineStr">
        <is>
          <t>https://new.land.naver.com/complexes/110109?tab=detail&amp;rf=Y</t>
        </is>
      </c>
      <c r="AA646" s="0" t="inlineStr">
        <is>
          <t>서울시 강동구 길동 320-9</t>
        </is>
      </c>
      <c r="AB646" s="0" t="inlineStr">
        <is>
          <t>서울시</t>
        </is>
      </c>
      <c r="AC646" s="0" t="inlineStr">
        <is>
          <t>강동구</t>
        </is>
      </c>
      <c r="AD646" s="0" t="inlineStr">
        <is>
          <t>길동</t>
        </is>
      </c>
      <c r="AG646" s="0" t="inlineStr">
        <is>
          <t>서울시 강동구 양재대로122가길 51</t>
        </is>
      </c>
      <c r="AH646" s="0" t="n">
        <v>0</v>
      </c>
      <c r="AI646" s="0" t="n">
        <v>227</v>
      </c>
      <c r="AJ646" s="0" t="n">
        <v>40</v>
      </c>
      <c r="AK646" s="0" t="n">
        <v>26</v>
      </c>
      <c r="AL646" s="0" t="n">
        <v>1.37</v>
      </c>
    </row>
    <row r="647">
      <c r="A647" s="0" t="inlineStr">
        <is>
          <t>[길동]</t>
        </is>
      </c>
      <c r="B647" s="0" t="n">
        <v>110109</v>
      </c>
      <c r="C647" s="0" t="n">
        <v>7</v>
      </c>
      <c r="D647" s="0" t="inlineStr">
        <is>
          <t>웅주아크로파크</t>
        </is>
      </c>
      <c r="E647" s="0" t="inlineStr">
        <is>
          <t>2006.07.</t>
        </is>
      </c>
      <c r="F647" s="0" t="n">
        <v>19</v>
      </c>
      <c r="G647" s="0" t="n">
        <v>44.38</v>
      </c>
      <c r="H647" s="0" t="n">
        <v>146.72</v>
      </c>
      <c r="I647" s="0" t="n">
        <v>38.72</v>
      </c>
      <c r="J647" s="0" t="n">
        <v>128</v>
      </c>
      <c r="K647" s="0" t="n">
        <v>1</v>
      </c>
      <c r="T647" s="0" t="n">
        <v>4</v>
      </c>
      <c r="U647" s="0" t="n">
        <v>2</v>
      </c>
      <c r="V647" s="0" t="inlineStr">
        <is>
          <t>계단식</t>
        </is>
      </c>
      <c r="W647" s="0" t="n">
        <v>146</v>
      </c>
      <c r="X647" s="0" t="n">
        <v>7</v>
      </c>
      <c r="Y647" s="0" t="n">
        <v>6</v>
      </c>
      <c r="Z647" s="0" t="inlineStr">
        <is>
          <t>https://new.land.naver.com/complexes/110109?tab=detail&amp;rf=Y</t>
        </is>
      </c>
      <c r="AA647" s="0" t="inlineStr">
        <is>
          <t>서울시 강동구 길동 320-9</t>
        </is>
      </c>
      <c r="AB647" s="0" t="inlineStr">
        <is>
          <t>서울시</t>
        </is>
      </c>
      <c r="AC647" s="0" t="inlineStr">
        <is>
          <t>강동구</t>
        </is>
      </c>
      <c r="AD647" s="0" t="inlineStr">
        <is>
          <t>길동</t>
        </is>
      </c>
      <c r="AG647" s="0" t="inlineStr">
        <is>
          <t>서울시 강동구 양재대로122가길 51</t>
        </is>
      </c>
      <c r="AH647" s="0" t="n">
        <v>0</v>
      </c>
      <c r="AI647" s="0" t="n">
        <v>227</v>
      </c>
      <c r="AJ647" s="0" t="n">
        <v>40</v>
      </c>
      <c r="AK647" s="0" t="n">
        <v>26</v>
      </c>
      <c r="AL647" s="0" t="n">
        <v>1.37</v>
      </c>
    </row>
    <row r="648">
      <c r="A648" s="0" t="inlineStr">
        <is>
          <t>[길동]</t>
        </is>
      </c>
      <c r="B648" s="0" t="n">
        <v>13622</v>
      </c>
      <c r="C648" s="0" t="n">
        <v>1</v>
      </c>
      <c r="D648" s="0" t="inlineStr">
        <is>
          <t>신세대빌라트</t>
        </is>
      </c>
      <c r="E648" s="0" t="inlineStr">
        <is>
          <t>1999.08.</t>
        </is>
      </c>
      <c r="F648" s="0" t="n">
        <v>19</v>
      </c>
      <c r="G648" s="0" t="n">
        <v>42.81</v>
      </c>
      <c r="H648" s="0" t="n">
        <v>141.54</v>
      </c>
      <c r="I648" s="0" t="n">
        <v>40.06</v>
      </c>
      <c r="J648" s="0" t="n">
        <v>132.44</v>
      </c>
      <c r="K648" s="0" t="n">
        <v>1</v>
      </c>
      <c r="T648" s="0" t="n">
        <v>4</v>
      </c>
      <c r="U648" s="0" t="n">
        <v>2</v>
      </c>
      <c r="V648" s="0" t="inlineStr">
        <is>
          <t>계단식</t>
        </is>
      </c>
      <c r="W648" s="0" t="n">
        <v>141</v>
      </c>
      <c r="X648" s="0" t="n">
        <v>10</v>
      </c>
      <c r="Y648" s="0" t="n">
        <v>9</v>
      </c>
      <c r="Z648" s="0" t="inlineStr">
        <is>
          <t>https://new.land.naver.com/complexes/13622?tab=detail&amp;rf=Y</t>
        </is>
      </c>
      <c r="AA648" s="0" t="inlineStr">
        <is>
          <t>서울시 강동구 길동 351-2</t>
        </is>
      </c>
      <c r="AB648" s="0" t="inlineStr">
        <is>
          <t>서울시</t>
        </is>
      </c>
      <c r="AC648" s="0" t="inlineStr">
        <is>
          <t>강동구</t>
        </is>
      </c>
      <c r="AD648" s="0" t="inlineStr">
        <is>
          <t>길동</t>
        </is>
      </c>
      <c r="AG648" s="0" t="inlineStr">
        <is>
          <t>서울시 강동구 천중로 220</t>
        </is>
      </c>
      <c r="AH648" s="0" t="n">
        <v>0</v>
      </c>
      <c r="AI648" s="0" t="n">
        <v>302</v>
      </c>
      <c r="AJ648" s="0" t="n">
        <v>36</v>
      </c>
      <c r="AK648" s="0" t="n">
        <v>30</v>
      </c>
      <c r="AL648" s="0" t="n">
        <v>1.58</v>
      </c>
    </row>
    <row r="649">
      <c r="A649" s="0" t="inlineStr">
        <is>
          <t>[길동]</t>
        </is>
      </c>
      <c r="B649" s="0" t="n">
        <v>13622</v>
      </c>
      <c r="C649" s="0" t="n">
        <v>2</v>
      </c>
      <c r="D649" s="0" t="inlineStr">
        <is>
          <t>신세대빌라트</t>
        </is>
      </c>
      <c r="E649" s="0" t="inlineStr">
        <is>
          <t>1999.08.</t>
        </is>
      </c>
      <c r="F649" s="0" t="n">
        <v>19</v>
      </c>
      <c r="G649" s="0" t="n">
        <v>48.67</v>
      </c>
      <c r="H649" s="0" t="n">
        <v>160.91</v>
      </c>
      <c r="I649" s="0" t="n">
        <v>45.54</v>
      </c>
      <c r="J649" s="0" t="n">
        <v>150.56</v>
      </c>
      <c r="K649" s="0" t="n">
        <v>1</v>
      </c>
      <c r="T649" s="0" t="n">
        <v>4</v>
      </c>
      <c r="U649" s="0" t="n">
        <v>2</v>
      </c>
      <c r="V649" s="0" t="inlineStr">
        <is>
          <t>계단식</t>
        </is>
      </c>
      <c r="W649" s="0" t="n">
        <v>160</v>
      </c>
      <c r="X649" s="0" t="n">
        <v>10</v>
      </c>
      <c r="Y649" s="0" t="n">
        <v>9</v>
      </c>
      <c r="Z649" s="0" t="inlineStr">
        <is>
          <t>https://new.land.naver.com/complexes/13622?tab=detail&amp;rf=Y</t>
        </is>
      </c>
      <c r="AA649" s="0" t="inlineStr">
        <is>
          <t>서울시 강동구 길동 351-2</t>
        </is>
      </c>
      <c r="AB649" s="0" t="inlineStr">
        <is>
          <t>서울시</t>
        </is>
      </c>
      <c r="AC649" s="0" t="inlineStr">
        <is>
          <t>강동구</t>
        </is>
      </c>
      <c r="AD649" s="0" t="inlineStr">
        <is>
          <t>길동</t>
        </is>
      </c>
      <c r="AG649" s="0" t="inlineStr">
        <is>
          <t>서울시 강동구 천중로 220</t>
        </is>
      </c>
      <c r="AH649" s="0" t="n">
        <v>0</v>
      </c>
      <c r="AI649" s="0" t="n">
        <v>302</v>
      </c>
      <c r="AJ649" s="0" t="n">
        <v>36</v>
      </c>
      <c r="AK649" s="0" t="n">
        <v>30</v>
      </c>
      <c r="AL649" s="0" t="n">
        <v>1.58</v>
      </c>
    </row>
    <row r="650">
      <c r="A650" s="0" t="inlineStr">
        <is>
          <t>[길동]</t>
        </is>
      </c>
      <c r="B650" s="0" t="n">
        <v>13622</v>
      </c>
      <c r="C650" s="0" t="n">
        <v>3</v>
      </c>
      <c r="D650" s="0" t="inlineStr">
        <is>
          <t>신세대빌라트</t>
        </is>
      </c>
      <c r="E650" s="0" t="inlineStr">
        <is>
          <t>1999.08.</t>
        </is>
      </c>
      <c r="F650" s="0" t="n">
        <v>19</v>
      </c>
      <c r="G650" s="0" t="n">
        <v>54.14</v>
      </c>
      <c r="H650" s="0" t="n">
        <v>178.99</v>
      </c>
      <c r="I650" s="0" t="n">
        <v>50.66</v>
      </c>
      <c r="J650" s="0" t="n">
        <v>167.48</v>
      </c>
      <c r="K650" s="0" t="n">
        <v>2</v>
      </c>
      <c r="T650" s="0" t="n">
        <v>4</v>
      </c>
      <c r="U650" s="0" t="n">
        <v>2</v>
      </c>
      <c r="V650" s="0" t="inlineStr">
        <is>
          <t>계단식</t>
        </is>
      </c>
      <c r="W650" s="0" t="n">
        <v>178</v>
      </c>
      <c r="X650" s="0" t="n">
        <v>10</v>
      </c>
      <c r="Y650" s="0" t="n">
        <v>9</v>
      </c>
      <c r="Z650" s="0" t="inlineStr">
        <is>
          <t>https://new.land.naver.com/complexes/13622?tab=detail&amp;rf=Y</t>
        </is>
      </c>
      <c r="AA650" s="0" t="inlineStr">
        <is>
          <t>서울시 강동구 길동 351-2</t>
        </is>
      </c>
      <c r="AB650" s="0" t="inlineStr">
        <is>
          <t>서울시</t>
        </is>
      </c>
      <c r="AC650" s="0" t="inlineStr">
        <is>
          <t>강동구</t>
        </is>
      </c>
      <c r="AD650" s="0" t="inlineStr">
        <is>
          <t>길동</t>
        </is>
      </c>
      <c r="AG650" s="0" t="inlineStr">
        <is>
          <t>서울시 강동구 천중로 220</t>
        </is>
      </c>
      <c r="AH650" s="0" t="n">
        <v>0</v>
      </c>
      <c r="AI650" s="0" t="n">
        <v>302</v>
      </c>
      <c r="AJ650" s="0" t="n">
        <v>36</v>
      </c>
      <c r="AK650" s="0" t="n">
        <v>30</v>
      </c>
      <c r="AL650" s="0" t="n">
        <v>1.58</v>
      </c>
    </row>
    <row r="651">
      <c r="A651" s="0" t="inlineStr">
        <is>
          <t>[길동]</t>
        </is>
      </c>
      <c r="B651" s="0" t="n">
        <v>13622</v>
      </c>
      <c r="C651" s="0" t="n">
        <v>4</v>
      </c>
      <c r="D651" s="0" t="inlineStr">
        <is>
          <t>신세대빌라트</t>
        </is>
      </c>
      <c r="E651" s="0" t="inlineStr">
        <is>
          <t>1999.08.</t>
        </is>
      </c>
      <c r="F651" s="0" t="n">
        <v>19</v>
      </c>
      <c r="G651" s="0" t="n">
        <v>58.25</v>
      </c>
      <c r="H651" s="0" t="n">
        <v>192.57</v>
      </c>
      <c r="I651" s="0" t="n">
        <v>54.5</v>
      </c>
      <c r="J651" s="0" t="n">
        <v>180.17</v>
      </c>
      <c r="K651" s="0" t="n">
        <v>14</v>
      </c>
      <c r="T651" s="0" t="n">
        <v>4</v>
      </c>
      <c r="U651" s="0" t="n">
        <v>2</v>
      </c>
      <c r="V651" s="0" t="inlineStr">
        <is>
          <t>계단식</t>
        </is>
      </c>
      <c r="W651" s="0" t="n">
        <v>192</v>
      </c>
      <c r="X651" s="0" t="n">
        <v>10</v>
      </c>
      <c r="Y651" s="0" t="n">
        <v>9</v>
      </c>
      <c r="Z651" s="0" t="inlineStr">
        <is>
          <t>https://new.land.naver.com/complexes/13622?tab=detail&amp;rf=Y</t>
        </is>
      </c>
      <c r="AA651" s="0" t="inlineStr">
        <is>
          <t>서울시 강동구 길동 351-2</t>
        </is>
      </c>
      <c r="AB651" s="0" t="inlineStr">
        <is>
          <t>서울시</t>
        </is>
      </c>
      <c r="AC651" s="0" t="inlineStr">
        <is>
          <t>강동구</t>
        </is>
      </c>
      <c r="AD651" s="0" t="inlineStr">
        <is>
          <t>길동</t>
        </is>
      </c>
      <c r="AG651" s="0" t="inlineStr">
        <is>
          <t>서울시 강동구 천중로 220</t>
        </is>
      </c>
      <c r="AH651" s="0" t="n">
        <v>0</v>
      </c>
      <c r="AI651" s="0" t="n">
        <v>302</v>
      </c>
      <c r="AJ651" s="0" t="n">
        <v>36</v>
      </c>
      <c r="AK651" s="0" t="n">
        <v>30</v>
      </c>
      <c r="AL651" s="0" t="n">
        <v>1.58</v>
      </c>
    </row>
    <row r="652">
      <c r="A652" s="0" t="inlineStr">
        <is>
          <t>[길동]</t>
        </is>
      </c>
      <c r="B652" s="0" t="n">
        <v>13622</v>
      </c>
      <c r="C652" s="0" t="n">
        <v>5</v>
      </c>
      <c r="D652" s="0" t="inlineStr">
        <is>
          <t>신세대빌라트</t>
        </is>
      </c>
      <c r="E652" s="0" t="inlineStr">
        <is>
          <t>1999.08.</t>
        </is>
      </c>
      <c r="F652" s="0" t="n">
        <v>19</v>
      </c>
      <c r="G652" s="0" t="n">
        <v>91.48999999999999</v>
      </c>
      <c r="H652" s="0" t="n">
        <v>302.45</v>
      </c>
      <c r="I652" s="0" t="n">
        <v>85.59999999999999</v>
      </c>
      <c r="J652" s="0" t="n">
        <v>283</v>
      </c>
      <c r="K652" s="0" t="n">
        <v>1</v>
      </c>
      <c r="T652" s="0" t="n">
        <v>5</v>
      </c>
      <c r="U652" s="0" t="n">
        <v>2</v>
      </c>
      <c r="V652" s="0" t="inlineStr">
        <is>
          <t>계단식</t>
        </is>
      </c>
      <c r="W652" s="0" t="n">
        <v>302</v>
      </c>
      <c r="X652" s="0" t="n">
        <v>10</v>
      </c>
      <c r="Y652" s="0" t="n">
        <v>9</v>
      </c>
      <c r="Z652" s="0" t="inlineStr">
        <is>
          <t>https://new.land.naver.com/complexes/13622?tab=detail&amp;rf=Y</t>
        </is>
      </c>
      <c r="AA652" s="0" t="inlineStr">
        <is>
          <t>서울시 강동구 길동 351-2</t>
        </is>
      </c>
      <c r="AB652" s="0" t="inlineStr">
        <is>
          <t>서울시</t>
        </is>
      </c>
      <c r="AC652" s="0" t="inlineStr">
        <is>
          <t>강동구</t>
        </is>
      </c>
      <c r="AD652" s="0" t="inlineStr">
        <is>
          <t>길동</t>
        </is>
      </c>
      <c r="AG652" s="0" t="inlineStr">
        <is>
          <t>서울시 강동구 천중로 220</t>
        </is>
      </c>
      <c r="AH652" s="0" t="n">
        <v>0</v>
      </c>
      <c r="AI652" s="0" t="n">
        <v>302</v>
      </c>
      <c r="AJ652" s="0" t="n">
        <v>36</v>
      </c>
      <c r="AK652" s="0" t="n">
        <v>30</v>
      </c>
      <c r="AL652" s="0" t="n">
        <v>1.58</v>
      </c>
    </row>
    <row r="653">
      <c r="A653" s="0" t="inlineStr">
        <is>
          <t>[길동]</t>
        </is>
      </c>
      <c r="B653" s="0" t="n">
        <v>109159</v>
      </c>
      <c r="C653" s="0" t="n">
        <v>1</v>
      </c>
      <c r="D653" s="0" t="inlineStr">
        <is>
          <t>청광플러스원큐브2차</t>
        </is>
      </c>
      <c r="E653" s="0" t="inlineStr">
        <is>
          <t>2013.07.</t>
        </is>
      </c>
      <c r="F653" s="0" t="n">
        <v>111</v>
      </c>
      <c r="G653" s="0" t="n">
        <v>7.82</v>
      </c>
      <c r="H653" s="0" t="n">
        <v>25.86</v>
      </c>
      <c r="I653" s="0" t="n">
        <v>4.38</v>
      </c>
      <c r="J653" s="0" t="n">
        <v>14.49</v>
      </c>
      <c r="K653" s="0" t="n">
        <v>111</v>
      </c>
      <c r="T653" s="0" t="n">
        <v>1</v>
      </c>
      <c r="U653" s="0" t="n">
        <v>1</v>
      </c>
      <c r="V653" s="0" t="inlineStr">
        <is>
          <t>계단식</t>
        </is>
      </c>
      <c r="W653" s="0" t="n">
        <v>25</v>
      </c>
      <c r="X653" s="0" t="n">
        <v>19</v>
      </c>
      <c r="Y653" s="0" t="n">
        <v>19</v>
      </c>
      <c r="Z653" s="0" t="inlineStr">
        <is>
          <t>https://new.land.naver.com/complexes/109159?tab=detail&amp;rf=Y</t>
        </is>
      </c>
      <c r="AA653" s="0" t="inlineStr">
        <is>
          <t>서울시 강동구 길동 457</t>
        </is>
      </c>
      <c r="AB653" s="0" t="inlineStr">
        <is>
          <t>서울시</t>
        </is>
      </c>
      <c r="AC653" s="0" t="inlineStr">
        <is>
          <t>강동구</t>
        </is>
      </c>
      <c r="AD653" s="0" t="inlineStr">
        <is>
          <t>길동</t>
        </is>
      </c>
      <c r="AG653" s="0" t="inlineStr">
        <is>
          <t>서울시 강동구 천호대로175길 10</t>
        </is>
      </c>
      <c r="AH653" s="0" t="n">
        <v>0</v>
      </c>
      <c r="AI653" s="0" t="n">
        <v>606</v>
      </c>
      <c r="AJ653" s="0" t="n">
        <v>51</v>
      </c>
      <c r="AK653" s="0" t="n">
        <v>25</v>
      </c>
      <c r="AL653" s="0" t="n">
        <v>0.23</v>
      </c>
    </row>
    <row r="654">
      <c r="A654" s="0" t="inlineStr">
        <is>
          <t>[길동]</t>
        </is>
      </c>
      <c r="B654" s="0" t="n">
        <v>22963</v>
      </c>
      <c r="C654" s="0" t="n">
        <v>1</v>
      </c>
      <c r="D654" s="0" t="inlineStr">
        <is>
          <t>형인허브빌</t>
        </is>
      </c>
      <c r="E654" s="0" t="inlineStr">
        <is>
          <t>2005.09.</t>
        </is>
      </c>
      <c r="F654" s="0" t="n">
        <v>48</v>
      </c>
      <c r="G654" s="0" t="n">
        <v>32.04</v>
      </c>
      <c r="H654" s="0" t="n">
        <v>105.92</v>
      </c>
      <c r="I654" s="0" t="n">
        <v>24.9</v>
      </c>
      <c r="J654" s="0" t="n">
        <v>82.34</v>
      </c>
      <c r="K654" s="0" t="n">
        <v>11</v>
      </c>
      <c r="T654" s="0" t="n">
        <v>3</v>
      </c>
      <c r="U654" s="0" t="n">
        <v>2</v>
      </c>
      <c r="V654" s="0" t="inlineStr">
        <is>
          <t>계단식</t>
        </is>
      </c>
      <c r="W654" s="0" t="inlineStr">
        <is>
          <t>105A</t>
        </is>
      </c>
      <c r="X654" s="0" t="n">
        <v>12</v>
      </c>
      <c r="Y654" s="0" t="n">
        <v>9</v>
      </c>
      <c r="Z654" s="0" t="inlineStr">
        <is>
          <t>https://new.land.naver.com/complexes/22963?tab=detail&amp;rf=Y</t>
        </is>
      </c>
      <c r="AA654" s="0" t="inlineStr">
        <is>
          <t>서울시 강동구 길동 100</t>
        </is>
      </c>
      <c r="AB654" s="0" t="inlineStr">
        <is>
          <t>서울시</t>
        </is>
      </c>
      <c r="AC654" s="0" t="inlineStr">
        <is>
          <t>강동구</t>
        </is>
      </c>
      <c r="AD654" s="0" t="inlineStr">
        <is>
          <t>길동</t>
        </is>
      </c>
      <c r="AG654" s="0" t="inlineStr">
        <is>
          <t>서울시 강동구 천호대로197길 84</t>
        </is>
      </c>
      <c r="AH654" s="0" t="n">
        <v>0</v>
      </c>
      <c r="AI654" s="0" t="n">
        <v>245</v>
      </c>
      <c r="AJ654" s="0" t="n">
        <v>27</v>
      </c>
      <c r="AK654" s="0" t="n">
        <v>54</v>
      </c>
      <c r="AL654" s="0" t="n">
        <v>1.12</v>
      </c>
    </row>
    <row r="655">
      <c r="A655" s="0" t="inlineStr">
        <is>
          <t>[길동]</t>
        </is>
      </c>
      <c r="B655" s="0" t="n">
        <v>22963</v>
      </c>
      <c r="C655" s="0" t="n">
        <v>2</v>
      </c>
      <c r="D655" s="0" t="inlineStr">
        <is>
          <t>형인허브빌</t>
        </is>
      </c>
      <c r="E655" s="0" t="inlineStr">
        <is>
          <t>2005.09.</t>
        </is>
      </c>
      <c r="F655" s="0" t="n">
        <v>48</v>
      </c>
      <c r="G655" s="0" t="n">
        <v>32.12</v>
      </c>
      <c r="H655" s="0" t="n">
        <v>106.19</v>
      </c>
      <c r="I655" s="0" t="n">
        <v>25.18</v>
      </c>
      <c r="J655" s="0" t="n">
        <v>83.27</v>
      </c>
      <c r="K655" s="0" t="n">
        <v>18</v>
      </c>
      <c r="T655" s="0" t="n">
        <v>3</v>
      </c>
      <c r="U655" s="0" t="n">
        <v>2</v>
      </c>
      <c r="V655" s="0" t="inlineStr">
        <is>
          <t>계단식</t>
        </is>
      </c>
      <c r="W655" s="0" t="inlineStr">
        <is>
          <t>106B</t>
        </is>
      </c>
      <c r="X655" s="0" t="n">
        <v>12</v>
      </c>
      <c r="Y655" s="0" t="n">
        <v>9</v>
      </c>
      <c r="Z655" s="0" t="inlineStr">
        <is>
          <t>https://new.land.naver.com/complexes/22963?tab=detail&amp;rf=Y</t>
        </is>
      </c>
      <c r="AA655" s="0" t="inlineStr">
        <is>
          <t>서울시 강동구 길동 100</t>
        </is>
      </c>
      <c r="AB655" s="0" t="inlineStr">
        <is>
          <t>서울시</t>
        </is>
      </c>
      <c r="AC655" s="0" t="inlineStr">
        <is>
          <t>강동구</t>
        </is>
      </c>
      <c r="AD655" s="0" t="inlineStr">
        <is>
          <t>길동</t>
        </is>
      </c>
      <c r="AG655" s="0" t="inlineStr">
        <is>
          <t>서울시 강동구 천호대로197길 84</t>
        </is>
      </c>
      <c r="AH655" s="0" t="n">
        <v>0</v>
      </c>
      <c r="AI655" s="0" t="n">
        <v>245</v>
      </c>
      <c r="AJ655" s="0" t="n">
        <v>27</v>
      </c>
      <c r="AK655" s="0" t="n">
        <v>54</v>
      </c>
      <c r="AL655" s="0" t="n">
        <v>1.12</v>
      </c>
    </row>
    <row r="656">
      <c r="A656" s="0" t="inlineStr">
        <is>
          <t>[길동]</t>
        </is>
      </c>
      <c r="B656" s="0" t="n">
        <v>22963</v>
      </c>
      <c r="C656" s="0" t="n">
        <v>3</v>
      </c>
      <c r="D656" s="0" t="inlineStr">
        <is>
          <t>형인허브빌</t>
        </is>
      </c>
      <c r="E656" s="0" t="inlineStr">
        <is>
          <t>2005.09.</t>
        </is>
      </c>
      <c r="F656" s="0" t="n">
        <v>48</v>
      </c>
      <c r="G656" s="0" t="n">
        <v>32.08</v>
      </c>
      <c r="H656" s="0" t="n">
        <v>106.05</v>
      </c>
      <c r="I656" s="0" t="n">
        <v>25.32</v>
      </c>
      <c r="J656" s="0" t="n">
        <v>83.73</v>
      </c>
      <c r="K656" s="0" t="n">
        <v>11</v>
      </c>
      <c r="T656" s="0" t="n">
        <v>3</v>
      </c>
      <c r="U656" s="0" t="n">
        <v>2</v>
      </c>
      <c r="V656" s="0" t="inlineStr">
        <is>
          <t>계단식</t>
        </is>
      </c>
      <c r="W656" s="0" t="inlineStr">
        <is>
          <t>106C</t>
        </is>
      </c>
      <c r="X656" s="0" t="n">
        <v>12</v>
      </c>
      <c r="Y656" s="0" t="n">
        <v>9</v>
      </c>
      <c r="Z656" s="0" t="inlineStr">
        <is>
          <t>https://new.land.naver.com/complexes/22963?tab=detail&amp;rf=Y</t>
        </is>
      </c>
      <c r="AA656" s="0" t="inlineStr">
        <is>
          <t>서울시 강동구 길동 100</t>
        </is>
      </c>
      <c r="AB656" s="0" t="inlineStr">
        <is>
          <t>서울시</t>
        </is>
      </c>
      <c r="AC656" s="0" t="inlineStr">
        <is>
          <t>강동구</t>
        </is>
      </c>
      <c r="AD656" s="0" t="inlineStr">
        <is>
          <t>길동</t>
        </is>
      </c>
      <c r="AG656" s="0" t="inlineStr">
        <is>
          <t>서울시 강동구 천호대로197길 84</t>
        </is>
      </c>
      <c r="AH656" s="0" t="n">
        <v>0</v>
      </c>
      <c r="AI656" s="0" t="n">
        <v>245</v>
      </c>
      <c r="AJ656" s="0" t="n">
        <v>27</v>
      </c>
      <c r="AK656" s="0" t="n">
        <v>54</v>
      </c>
      <c r="AL656" s="0" t="n">
        <v>1.12</v>
      </c>
    </row>
    <row r="657">
      <c r="A657" s="0" t="inlineStr">
        <is>
          <t>[길동]</t>
        </is>
      </c>
      <c r="B657" s="0" t="n">
        <v>22963</v>
      </c>
      <c r="C657" s="0" t="n">
        <v>4</v>
      </c>
      <c r="D657" s="0" t="inlineStr">
        <is>
          <t>형인허브빌</t>
        </is>
      </c>
      <c r="E657" s="0" t="inlineStr">
        <is>
          <t>2005.09.</t>
        </is>
      </c>
      <c r="F657" s="0" t="n">
        <v>48</v>
      </c>
      <c r="G657" s="0" t="n">
        <v>32.76</v>
      </c>
      <c r="H657" s="0" t="n">
        <v>108.32</v>
      </c>
      <c r="I657" s="0" t="n">
        <v>25.18</v>
      </c>
      <c r="J657" s="0" t="n">
        <v>83.23999999999999</v>
      </c>
      <c r="K657" s="0" t="n">
        <v>8</v>
      </c>
      <c r="T657" s="0" t="n">
        <v>3</v>
      </c>
      <c r="U657" s="0" t="n">
        <v>2</v>
      </c>
      <c r="V657" s="0" t="inlineStr">
        <is>
          <t>계단식</t>
        </is>
      </c>
      <c r="W657" s="0" t="n">
        <v>108</v>
      </c>
      <c r="X657" s="0" t="n">
        <v>12</v>
      </c>
      <c r="Y657" s="0" t="n">
        <v>9</v>
      </c>
      <c r="Z657" s="0" t="inlineStr">
        <is>
          <t>https://new.land.naver.com/complexes/22963?tab=detail&amp;rf=Y</t>
        </is>
      </c>
      <c r="AA657" s="0" t="inlineStr">
        <is>
          <t>서울시 강동구 길동 100</t>
        </is>
      </c>
      <c r="AB657" s="0" t="inlineStr">
        <is>
          <t>서울시</t>
        </is>
      </c>
      <c r="AC657" s="0" t="inlineStr">
        <is>
          <t>강동구</t>
        </is>
      </c>
      <c r="AD657" s="0" t="inlineStr">
        <is>
          <t>길동</t>
        </is>
      </c>
      <c r="AG657" s="0" t="inlineStr">
        <is>
          <t>서울시 강동구 천호대로197길 84</t>
        </is>
      </c>
      <c r="AH657" s="0" t="n">
        <v>0</v>
      </c>
      <c r="AI657" s="0" t="n">
        <v>245</v>
      </c>
      <c r="AJ657" s="0" t="n">
        <v>27</v>
      </c>
      <c r="AK657" s="0" t="n">
        <v>54</v>
      </c>
      <c r="AL657" s="0" t="n">
        <v>1.12</v>
      </c>
    </row>
    <row r="658">
      <c r="A658" s="0" t="inlineStr">
        <is>
          <t>[길동]</t>
        </is>
      </c>
      <c r="B658" s="0" t="n">
        <v>113312</v>
      </c>
      <c r="C658" s="0" t="n">
        <v>1</v>
      </c>
      <c r="D658" s="0" t="inlineStr">
        <is>
          <t>강동팰리스(도시형)</t>
        </is>
      </c>
      <c r="E658" s="0" t="inlineStr">
        <is>
          <t>2016.07.</t>
        </is>
      </c>
      <c r="F658" s="0" t="n">
        <v>20</v>
      </c>
      <c r="G658" s="0" t="n">
        <v>8.539999999999999</v>
      </c>
      <c r="H658" s="0" t="n">
        <v>28.24</v>
      </c>
      <c r="I658" s="0" t="n">
        <v>6.76</v>
      </c>
      <c r="J658" s="0" t="n">
        <v>22.35</v>
      </c>
      <c r="K658" s="0" t="n">
        <v>1</v>
      </c>
      <c r="T658" s="0" t="n">
        <v>1</v>
      </c>
      <c r="U658" s="0" t="n">
        <v>1</v>
      </c>
      <c r="V658" s="0" t="inlineStr">
        <is>
          <t>계단식</t>
        </is>
      </c>
      <c r="W658" s="0" t="n">
        <v>28</v>
      </c>
      <c r="X658" s="0" t="n">
        <v>6</v>
      </c>
      <c r="Y658" s="0" t="n">
        <v>6</v>
      </c>
      <c r="Z658" s="0" t="inlineStr">
        <is>
          <t>https://new.land.naver.com/complexes/113312?tab=detail&amp;rf=Y</t>
        </is>
      </c>
      <c r="AA658" s="0" t="inlineStr">
        <is>
          <t>서울시 강동구 길동 228-5</t>
        </is>
      </c>
      <c r="AB658" s="0" t="inlineStr">
        <is>
          <t>서울시</t>
        </is>
      </c>
      <c r="AC658" s="0" t="inlineStr">
        <is>
          <t>강동구</t>
        </is>
      </c>
      <c r="AD658" s="0" t="inlineStr">
        <is>
          <t>길동</t>
        </is>
      </c>
      <c r="AG658" s="0" t="inlineStr">
        <is>
          <t>서울시 강동구 진황도로49길 50</t>
        </is>
      </c>
      <c r="AH658" s="0" t="n">
        <v>0</v>
      </c>
      <c r="AI658" s="0" t="n">
        <v>234</v>
      </c>
      <c r="AJ658" s="0" t="n">
        <v>49</v>
      </c>
      <c r="AK658" s="0" t="n">
        <v>15</v>
      </c>
      <c r="AL658" s="0" t="n">
        <v>0.75</v>
      </c>
    </row>
    <row r="659">
      <c r="A659" s="0" t="inlineStr">
        <is>
          <t>[길동]</t>
        </is>
      </c>
      <c r="B659" s="0" t="n">
        <v>113312</v>
      </c>
      <c r="C659" s="0" t="n">
        <v>2</v>
      </c>
      <c r="D659" s="0" t="inlineStr">
        <is>
          <t>강동팰리스(도시형)</t>
        </is>
      </c>
      <c r="E659" s="0" t="inlineStr">
        <is>
          <t>2016.07.</t>
        </is>
      </c>
      <c r="F659" s="0" t="n">
        <v>20</v>
      </c>
      <c r="G659" s="0" t="n">
        <v>11.1</v>
      </c>
      <c r="H659" s="0" t="n">
        <v>36.72</v>
      </c>
      <c r="I659" s="0" t="n">
        <v>8.789999999999999</v>
      </c>
      <c r="J659" s="0" t="n">
        <v>29.07</v>
      </c>
      <c r="K659" s="0" t="n">
        <v>1</v>
      </c>
      <c r="T659" s="0" t="n">
        <v>1</v>
      </c>
      <c r="U659" s="0" t="n">
        <v>1</v>
      </c>
      <c r="V659" s="0" t="inlineStr">
        <is>
          <t>계단식</t>
        </is>
      </c>
      <c r="W659" s="0" t="inlineStr">
        <is>
          <t>36A</t>
        </is>
      </c>
      <c r="X659" s="0" t="n">
        <v>6</v>
      </c>
      <c r="Y659" s="0" t="n">
        <v>6</v>
      </c>
      <c r="Z659" s="0" t="inlineStr">
        <is>
          <t>https://new.land.naver.com/complexes/113312?tab=detail&amp;rf=Y</t>
        </is>
      </c>
      <c r="AA659" s="0" t="inlineStr">
        <is>
          <t>서울시 강동구 길동 228-5</t>
        </is>
      </c>
      <c r="AB659" s="0" t="inlineStr">
        <is>
          <t>서울시</t>
        </is>
      </c>
      <c r="AC659" s="0" t="inlineStr">
        <is>
          <t>강동구</t>
        </is>
      </c>
      <c r="AD659" s="0" t="inlineStr">
        <is>
          <t>길동</t>
        </is>
      </c>
      <c r="AG659" s="0" t="inlineStr">
        <is>
          <t>서울시 강동구 진황도로49길 50</t>
        </is>
      </c>
      <c r="AH659" s="0" t="n">
        <v>0</v>
      </c>
      <c r="AI659" s="0" t="n">
        <v>234</v>
      </c>
      <c r="AJ659" s="0" t="n">
        <v>49</v>
      </c>
      <c r="AK659" s="0" t="n">
        <v>15</v>
      </c>
      <c r="AL659" s="0" t="n">
        <v>0.75</v>
      </c>
    </row>
    <row r="660">
      <c r="A660" s="0" t="inlineStr">
        <is>
          <t>[길동]</t>
        </is>
      </c>
      <c r="B660" s="0" t="n">
        <v>113312</v>
      </c>
      <c r="C660" s="0" t="n">
        <v>3</v>
      </c>
      <c r="D660" s="0" t="inlineStr">
        <is>
          <t>강동팰리스(도시형)</t>
        </is>
      </c>
      <c r="E660" s="0" t="inlineStr">
        <is>
          <t>2016.07.</t>
        </is>
      </c>
      <c r="F660" s="0" t="n">
        <v>20</v>
      </c>
      <c r="G660" s="0" t="n">
        <v>10.93</v>
      </c>
      <c r="H660" s="0" t="n">
        <v>36.16</v>
      </c>
      <c r="I660" s="0" t="n">
        <v>8.890000000000001</v>
      </c>
      <c r="J660" s="0" t="n">
        <v>29.39</v>
      </c>
      <c r="K660" s="0" t="n">
        <v>1</v>
      </c>
      <c r="T660" s="0" t="n">
        <v>1</v>
      </c>
      <c r="U660" s="0" t="n">
        <v>1</v>
      </c>
      <c r="V660" s="0" t="inlineStr">
        <is>
          <t>계단식</t>
        </is>
      </c>
      <c r="W660" s="0" t="inlineStr">
        <is>
          <t>36B</t>
        </is>
      </c>
      <c r="X660" s="0" t="n">
        <v>6</v>
      </c>
      <c r="Y660" s="0" t="n">
        <v>6</v>
      </c>
      <c r="Z660" s="0" t="inlineStr">
        <is>
          <t>https://new.land.naver.com/complexes/113312?tab=detail&amp;rf=Y</t>
        </is>
      </c>
      <c r="AA660" s="0" t="inlineStr">
        <is>
          <t>서울시 강동구 길동 228-5</t>
        </is>
      </c>
      <c r="AB660" s="0" t="inlineStr">
        <is>
          <t>서울시</t>
        </is>
      </c>
      <c r="AC660" s="0" t="inlineStr">
        <is>
          <t>강동구</t>
        </is>
      </c>
      <c r="AD660" s="0" t="inlineStr">
        <is>
          <t>길동</t>
        </is>
      </c>
      <c r="AG660" s="0" t="inlineStr">
        <is>
          <t>서울시 강동구 진황도로49길 50</t>
        </is>
      </c>
      <c r="AH660" s="0" t="n">
        <v>0</v>
      </c>
      <c r="AI660" s="0" t="n">
        <v>234</v>
      </c>
      <c r="AJ660" s="0" t="n">
        <v>49</v>
      </c>
      <c r="AK660" s="0" t="n">
        <v>15</v>
      </c>
      <c r="AL660" s="0" t="n">
        <v>0.75</v>
      </c>
    </row>
    <row r="661">
      <c r="A661" s="0" t="inlineStr">
        <is>
          <t>[길동]</t>
        </is>
      </c>
      <c r="B661" s="0" t="n">
        <v>113312</v>
      </c>
      <c r="C661" s="0" t="n">
        <v>4</v>
      </c>
      <c r="D661" s="0" t="inlineStr">
        <is>
          <t>강동팰리스(도시형)</t>
        </is>
      </c>
      <c r="E661" s="0" t="inlineStr">
        <is>
          <t>2016.07.</t>
        </is>
      </c>
      <c r="F661" s="0" t="n">
        <v>20</v>
      </c>
      <c r="G661" s="0" t="n">
        <v>11.37</v>
      </c>
      <c r="H661" s="0" t="n">
        <v>37.6</v>
      </c>
      <c r="I661" s="0" t="n">
        <v>9</v>
      </c>
      <c r="J661" s="0" t="n">
        <v>29.76</v>
      </c>
      <c r="K661" s="0" t="n">
        <v>1</v>
      </c>
      <c r="T661" s="0" t="n">
        <v>1</v>
      </c>
      <c r="U661" s="0" t="n">
        <v>1</v>
      </c>
      <c r="V661" s="0" t="inlineStr">
        <is>
          <t>계단식</t>
        </is>
      </c>
      <c r="W661" s="0" t="inlineStr">
        <is>
          <t>37C</t>
        </is>
      </c>
      <c r="X661" s="0" t="n">
        <v>6</v>
      </c>
      <c r="Y661" s="0" t="n">
        <v>6</v>
      </c>
      <c r="Z661" s="0" t="inlineStr">
        <is>
          <t>https://new.land.naver.com/complexes/113312?tab=detail&amp;rf=Y</t>
        </is>
      </c>
      <c r="AA661" s="0" t="inlineStr">
        <is>
          <t>서울시 강동구 길동 228-5</t>
        </is>
      </c>
      <c r="AB661" s="0" t="inlineStr">
        <is>
          <t>서울시</t>
        </is>
      </c>
      <c r="AC661" s="0" t="inlineStr">
        <is>
          <t>강동구</t>
        </is>
      </c>
      <c r="AD661" s="0" t="inlineStr">
        <is>
          <t>길동</t>
        </is>
      </c>
      <c r="AG661" s="0" t="inlineStr">
        <is>
          <t>서울시 강동구 진황도로49길 50</t>
        </is>
      </c>
      <c r="AH661" s="0" t="n">
        <v>0</v>
      </c>
      <c r="AI661" s="0" t="n">
        <v>234</v>
      </c>
      <c r="AJ661" s="0" t="n">
        <v>49</v>
      </c>
      <c r="AK661" s="0" t="n">
        <v>15</v>
      </c>
      <c r="AL661" s="0" t="n">
        <v>0.75</v>
      </c>
    </row>
    <row r="662">
      <c r="A662" s="0" t="inlineStr">
        <is>
          <t>[길동]</t>
        </is>
      </c>
      <c r="B662" s="0" t="n">
        <v>113312</v>
      </c>
      <c r="C662" s="0" t="n">
        <v>5</v>
      </c>
      <c r="D662" s="0" t="inlineStr">
        <is>
          <t>강동팰리스(도시형)</t>
        </is>
      </c>
      <c r="E662" s="0" t="inlineStr">
        <is>
          <t>2016.07.</t>
        </is>
      </c>
      <c r="F662" s="0" t="n">
        <v>20</v>
      </c>
      <c r="G662" s="0" t="n">
        <v>13.97</v>
      </c>
      <c r="H662" s="0" t="n">
        <v>46.2</v>
      </c>
      <c r="I662" s="0" t="n">
        <v>11.36</v>
      </c>
      <c r="J662" s="0" t="n">
        <v>37.56</v>
      </c>
      <c r="K662" s="0" t="n">
        <v>1</v>
      </c>
      <c r="T662" s="0" t="n">
        <v>1</v>
      </c>
      <c r="U662" s="0" t="n">
        <v>1</v>
      </c>
      <c r="V662" s="0" t="inlineStr">
        <is>
          <t>계단식</t>
        </is>
      </c>
      <c r="W662" s="0" t="n">
        <v>46</v>
      </c>
      <c r="X662" s="0" t="n">
        <v>6</v>
      </c>
      <c r="Y662" s="0" t="n">
        <v>6</v>
      </c>
      <c r="Z662" s="0" t="inlineStr">
        <is>
          <t>https://new.land.naver.com/complexes/113312?tab=detail&amp;rf=Y</t>
        </is>
      </c>
      <c r="AA662" s="0" t="inlineStr">
        <is>
          <t>서울시 강동구 길동 228-5</t>
        </is>
      </c>
      <c r="AB662" s="0" t="inlineStr">
        <is>
          <t>서울시</t>
        </is>
      </c>
      <c r="AC662" s="0" t="inlineStr">
        <is>
          <t>강동구</t>
        </is>
      </c>
      <c r="AD662" s="0" t="inlineStr">
        <is>
          <t>길동</t>
        </is>
      </c>
      <c r="AG662" s="0" t="inlineStr">
        <is>
          <t>서울시 강동구 진황도로49길 50</t>
        </is>
      </c>
      <c r="AH662" s="0" t="n">
        <v>0</v>
      </c>
      <c r="AI662" s="0" t="n">
        <v>234</v>
      </c>
      <c r="AJ662" s="0" t="n">
        <v>49</v>
      </c>
      <c r="AK662" s="0" t="n">
        <v>15</v>
      </c>
      <c r="AL662" s="0" t="n">
        <v>0.75</v>
      </c>
    </row>
    <row r="663">
      <c r="A663" s="0" t="inlineStr">
        <is>
          <t>[길동]</t>
        </is>
      </c>
      <c r="B663" s="0" t="n">
        <v>113312</v>
      </c>
      <c r="C663" s="0" t="n">
        <v>6</v>
      </c>
      <c r="D663" s="0" t="inlineStr">
        <is>
          <t>강동팰리스(도시형)</t>
        </is>
      </c>
      <c r="E663" s="0" t="inlineStr">
        <is>
          <t>2016.07.</t>
        </is>
      </c>
      <c r="F663" s="0" t="n">
        <v>20</v>
      </c>
      <c r="G663" s="0" t="n">
        <v>15.4</v>
      </c>
      <c r="H663" s="0" t="n">
        <v>50.92</v>
      </c>
      <c r="I663" s="0" t="n">
        <v>12.52</v>
      </c>
      <c r="J663" s="0" t="n">
        <v>41.4</v>
      </c>
      <c r="K663" s="0" t="n">
        <v>6</v>
      </c>
      <c r="T663" s="0" t="n">
        <v>1</v>
      </c>
      <c r="U663" s="0" t="n">
        <v>1</v>
      </c>
      <c r="V663" s="0" t="inlineStr">
        <is>
          <t>계단식</t>
        </is>
      </c>
      <c r="W663" s="0" t="n">
        <v>50</v>
      </c>
      <c r="X663" s="0" t="n">
        <v>6</v>
      </c>
      <c r="Y663" s="0" t="n">
        <v>6</v>
      </c>
      <c r="Z663" s="0" t="inlineStr">
        <is>
          <t>https://new.land.naver.com/complexes/113312?tab=detail&amp;rf=Y</t>
        </is>
      </c>
      <c r="AA663" s="0" t="inlineStr">
        <is>
          <t>서울시 강동구 길동 228-5</t>
        </is>
      </c>
      <c r="AB663" s="0" t="inlineStr">
        <is>
          <t>서울시</t>
        </is>
      </c>
      <c r="AC663" s="0" t="inlineStr">
        <is>
          <t>강동구</t>
        </is>
      </c>
      <c r="AD663" s="0" t="inlineStr">
        <is>
          <t>길동</t>
        </is>
      </c>
      <c r="AG663" s="0" t="inlineStr">
        <is>
          <t>서울시 강동구 진황도로49길 50</t>
        </is>
      </c>
      <c r="AH663" s="0" t="n">
        <v>0</v>
      </c>
      <c r="AI663" s="0" t="n">
        <v>234</v>
      </c>
      <c r="AJ663" s="0" t="n">
        <v>49</v>
      </c>
      <c r="AK663" s="0" t="n">
        <v>15</v>
      </c>
      <c r="AL663" s="0" t="n">
        <v>0.75</v>
      </c>
    </row>
    <row r="664">
      <c r="A664" s="0" t="inlineStr">
        <is>
          <t>[길동]</t>
        </is>
      </c>
      <c r="B664" s="0" t="n">
        <v>113312</v>
      </c>
      <c r="C664" s="0" t="n">
        <v>7</v>
      </c>
      <c r="D664" s="0" t="inlineStr">
        <is>
          <t>강동팰리스(도시형)</t>
        </is>
      </c>
      <c r="E664" s="0" t="inlineStr">
        <is>
          <t>2016.07.</t>
        </is>
      </c>
      <c r="F664" s="0" t="n">
        <v>20</v>
      </c>
      <c r="G664" s="0" t="n">
        <v>18.14</v>
      </c>
      <c r="H664" s="0" t="n">
        <v>59.98</v>
      </c>
      <c r="I664" s="0" t="n">
        <v>14.36</v>
      </c>
      <c r="J664" s="0" t="n">
        <v>47.48</v>
      </c>
      <c r="K664" s="0" t="n">
        <v>1</v>
      </c>
      <c r="T664" s="0" t="n">
        <v>1</v>
      </c>
      <c r="U664" s="0" t="n">
        <v>1</v>
      </c>
      <c r="V664" s="0" t="inlineStr">
        <is>
          <t>계단식</t>
        </is>
      </c>
      <c r="W664" s="0" t="n">
        <v>59</v>
      </c>
      <c r="X664" s="0" t="n">
        <v>6</v>
      </c>
      <c r="Y664" s="0" t="n">
        <v>6</v>
      </c>
      <c r="Z664" s="0" t="inlineStr">
        <is>
          <t>https://new.land.naver.com/complexes/113312?tab=detail&amp;rf=Y</t>
        </is>
      </c>
      <c r="AA664" s="0" t="inlineStr">
        <is>
          <t>서울시 강동구 길동 228-5</t>
        </is>
      </c>
      <c r="AB664" s="0" t="inlineStr">
        <is>
          <t>서울시</t>
        </is>
      </c>
      <c r="AC664" s="0" t="inlineStr">
        <is>
          <t>강동구</t>
        </is>
      </c>
      <c r="AD664" s="0" t="inlineStr">
        <is>
          <t>길동</t>
        </is>
      </c>
      <c r="AG664" s="0" t="inlineStr">
        <is>
          <t>서울시 강동구 진황도로49길 50</t>
        </is>
      </c>
      <c r="AH664" s="0" t="n">
        <v>0</v>
      </c>
      <c r="AI664" s="0" t="n">
        <v>234</v>
      </c>
      <c r="AJ664" s="0" t="n">
        <v>49</v>
      </c>
      <c r="AK664" s="0" t="n">
        <v>15</v>
      </c>
      <c r="AL664" s="0" t="n">
        <v>0.75</v>
      </c>
    </row>
    <row r="665">
      <c r="A665" s="0" t="inlineStr">
        <is>
          <t>[길동]</t>
        </is>
      </c>
      <c r="B665" s="0" t="n">
        <v>113312</v>
      </c>
      <c r="C665" s="0" t="n">
        <v>8</v>
      </c>
      <c r="D665" s="0" t="inlineStr">
        <is>
          <t>강동팰리스(도시형)</t>
        </is>
      </c>
      <c r="E665" s="0" t="inlineStr">
        <is>
          <t>2016.07.</t>
        </is>
      </c>
      <c r="F665" s="0" t="n">
        <v>20</v>
      </c>
      <c r="G665" s="0" t="n">
        <v>19.78</v>
      </c>
      <c r="H665" s="0" t="n">
        <v>65.39</v>
      </c>
      <c r="I665" s="0" t="n">
        <v>16.08</v>
      </c>
      <c r="J665" s="0" t="n">
        <v>53.16</v>
      </c>
      <c r="K665" s="0" t="n">
        <v>8</v>
      </c>
      <c r="T665" s="0" t="n">
        <v>2</v>
      </c>
      <c r="U665" s="0" t="n">
        <v>1</v>
      </c>
      <c r="V665" s="0" t="inlineStr">
        <is>
          <t>계단식</t>
        </is>
      </c>
      <c r="W665" s="0" t="n">
        <v>65</v>
      </c>
      <c r="X665" s="0" t="n">
        <v>6</v>
      </c>
      <c r="Y665" s="0" t="n">
        <v>6</v>
      </c>
      <c r="Z665" s="0" t="inlineStr">
        <is>
          <t>https://new.land.naver.com/complexes/113312?tab=detail&amp;rf=Y</t>
        </is>
      </c>
      <c r="AA665" s="0" t="inlineStr">
        <is>
          <t>서울시 강동구 길동 228-5</t>
        </is>
      </c>
      <c r="AB665" s="0" t="inlineStr">
        <is>
          <t>서울시</t>
        </is>
      </c>
      <c r="AC665" s="0" t="inlineStr">
        <is>
          <t>강동구</t>
        </is>
      </c>
      <c r="AD665" s="0" t="inlineStr">
        <is>
          <t>길동</t>
        </is>
      </c>
      <c r="AG665" s="0" t="inlineStr">
        <is>
          <t>서울시 강동구 진황도로49길 50</t>
        </is>
      </c>
      <c r="AH665" s="0" t="n">
        <v>0</v>
      </c>
      <c r="AI665" s="0" t="n">
        <v>234</v>
      </c>
      <c r="AJ665" s="0" t="n">
        <v>49</v>
      </c>
      <c r="AK665" s="0" t="n">
        <v>15</v>
      </c>
      <c r="AL665" s="0" t="n">
        <v>0.75</v>
      </c>
    </row>
    <row r="666">
      <c r="A666" s="0" t="inlineStr">
        <is>
          <t>[길동]</t>
        </is>
      </c>
      <c r="B666" s="0" t="n">
        <v>126215</v>
      </c>
      <c r="C666" s="0" t="n">
        <v>1</v>
      </c>
      <c r="D666" s="0" t="inlineStr">
        <is>
          <t>다성이즈빌(387-2)</t>
        </is>
      </c>
      <c r="E666" s="0" t="inlineStr">
        <is>
          <t>2019.06.</t>
        </is>
      </c>
      <c r="F666" s="0" t="n">
        <v>28</v>
      </c>
      <c r="G666" s="0" t="n">
        <v>5.44</v>
      </c>
      <c r="H666" s="0" t="n">
        <v>18.01</v>
      </c>
      <c r="I666" s="0" t="n">
        <v>4.23</v>
      </c>
      <c r="J666" s="0" t="n">
        <v>14</v>
      </c>
      <c r="K666" s="0" t="n">
        <v>7</v>
      </c>
      <c r="T666" s="0" t="n">
        <v>1</v>
      </c>
      <c r="U666" s="0" t="n">
        <v>1</v>
      </c>
      <c r="V666" s="0" t="inlineStr">
        <is>
          <t>계단식</t>
        </is>
      </c>
      <c r="W666" s="0" t="n">
        <v>18</v>
      </c>
      <c r="X666" s="0" t="n">
        <v>16</v>
      </c>
      <c r="Y666" s="0" t="n">
        <v>16</v>
      </c>
      <c r="Z666" s="0" t="inlineStr">
        <is>
          <t>https://new.land.naver.com/complexes/126215?tab=detail&amp;rf=Y</t>
        </is>
      </c>
      <c r="AA666" s="0" t="inlineStr">
        <is>
          <t>서울시 강동구 길동 387-2</t>
        </is>
      </c>
      <c r="AB666" s="0" t="inlineStr">
        <is>
          <t>서울시</t>
        </is>
      </c>
      <c r="AC666" s="0" t="inlineStr">
        <is>
          <t>강동구</t>
        </is>
      </c>
      <c r="AD666" s="0" t="inlineStr">
        <is>
          <t>길동</t>
        </is>
      </c>
      <c r="AG666" s="0" t="inlineStr">
        <is>
          <t>서울시 강동구 천중로40길 67</t>
        </is>
      </c>
      <c r="AH666" s="0" t="n">
        <v>0</v>
      </c>
      <c r="AI666" s="0" t="n">
        <v>562</v>
      </c>
      <c r="AJ666" s="0" t="n">
        <v>59</v>
      </c>
      <c r="AK666" s="0" t="n">
        <v>17</v>
      </c>
      <c r="AL666" s="0" t="n">
        <v>0.61</v>
      </c>
    </row>
    <row r="667">
      <c r="A667" s="0" t="inlineStr">
        <is>
          <t>[길동]</t>
        </is>
      </c>
      <c r="B667" s="0" t="n">
        <v>126215</v>
      </c>
      <c r="C667" s="0" t="n">
        <v>2</v>
      </c>
      <c r="D667" s="0" t="inlineStr">
        <is>
          <t>다성이즈빌(387-2)</t>
        </is>
      </c>
      <c r="E667" s="0" t="inlineStr">
        <is>
          <t>2019.06.</t>
        </is>
      </c>
      <c r="F667" s="0" t="n">
        <v>28</v>
      </c>
      <c r="G667" s="0" t="n">
        <v>7.72</v>
      </c>
      <c r="H667" s="0" t="n">
        <v>25.54</v>
      </c>
      <c r="I667" s="0" t="n">
        <v>6</v>
      </c>
      <c r="J667" s="0" t="n">
        <v>19.86</v>
      </c>
      <c r="K667" s="0" t="n">
        <v>7</v>
      </c>
      <c r="T667" s="0" t="n">
        <v>1</v>
      </c>
      <c r="U667" s="0" t="n">
        <v>1</v>
      </c>
      <c r="V667" s="0" t="inlineStr">
        <is>
          <t>계단식</t>
        </is>
      </c>
      <c r="W667" s="0" t="inlineStr">
        <is>
          <t>25A</t>
        </is>
      </c>
      <c r="X667" s="0" t="n">
        <v>16</v>
      </c>
      <c r="Y667" s="0" t="n">
        <v>16</v>
      </c>
      <c r="Z667" s="0" t="inlineStr">
        <is>
          <t>https://new.land.naver.com/complexes/126215?tab=detail&amp;rf=Y</t>
        </is>
      </c>
      <c r="AA667" s="0" t="inlineStr">
        <is>
          <t>서울시 강동구 길동 387-2</t>
        </is>
      </c>
      <c r="AB667" s="0" t="inlineStr">
        <is>
          <t>서울시</t>
        </is>
      </c>
      <c r="AC667" s="0" t="inlineStr">
        <is>
          <t>강동구</t>
        </is>
      </c>
      <c r="AD667" s="0" t="inlineStr">
        <is>
          <t>길동</t>
        </is>
      </c>
      <c r="AG667" s="0" t="inlineStr">
        <is>
          <t>서울시 강동구 천중로40길 67</t>
        </is>
      </c>
      <c r="AH667" s="0" t="n">
        <v>0</v>
      </c>
      <c r="AI667" s="0" t="n">
        <v>562</v>
      </c>
      <c r="AJ667" s="0" t="n">
        <v>59</v>
      </c>
      <c r="AK667" s="0" t="n">
        <v>17</v>
      </c>
      <c r="AL667" s="0" t="n">
        <v>0.61</v>
      </c>
    </row>
    <row r="668">
      <c r="A668" s="0" t="inlineStr">
        <is>
          <t>[길동]</t>
        </is>
      </c>
      <c r="B668" s="0" t="n">
        <v>126215</v>
      </c>
      <c r="C668" s="0" t="n">
        <v>3</v>
      </c>
      <c r="D668" s="0" t="inlineStr">
        <is>
          <t>다성이즈빌(387-2)</t>
        </is>
      </c>
      <c r="E668" s="0" t="inlineStr">
        <is>
          <t>2019.06.</t>
        </is>
      </c>
      <c r="F668" s="0" t="n">
        <v>28</v>
      </c>
      <c r="G668" s="0" t="n">
        <v>8.039999999999999</v>
      </c>
      <c r="H668" s="0" t="n">
        <v>26.6</v>
      </c>
      <c r="I668" s="0" t="n">
        <v>6.25</v>
      </c>
      <c r="J668" s="0" t="n">
        <v>20.69</v>
      </c>
      <c r="K668" s="0" t="n">
        <v>7</v>
      </c>
      <c r="T668" s="0" t="n">
        <v>1</v>
      </c>
      <c r="U668" s="0" t="n">
        <v>1</v>
      </c>
      <c r="V668" s="0" t="inlineStr">
        <is>
          <t>계단식</t>
        </is>
      </c>
      <c r="W668" s="0" t="inlineStr">
        <is>
          <t>26B</t>
        </is>
      </c>
      <c r="X668" s="0" t="n">
        <v>16</v>
      </c>
      <c r="Y668" s="0" t="n">
        <v>16</v>
      </c>
      <c r="Z668" s="0" t="inlineStr">
        <is>
          <t>https://new.land.naver.com/complexes/126215?tab=detail&amp;rf=Y</t>
        </is>
      </c>
      <c r="AA668" s="0" t="inlineStr">
        <is>
          <t>서울시 강동구 길동 387-2</t>
        </is>
      </c>
      <c r="AB668" s="0" t="inlineStr">
        <is>
          <t>서울시</t>
        </is>
      </c>
      <c r="AC668" s="0" t="inlineStr">
        <is>
          <t>강동구</t>
        </is>
      </c>
      <c r="AD668" s="0" t="inlineStr">
        <is>
          <t>길동</t>
        </is>
      </c>
      <c r="AG668" s="0" t="inlineStr">
        <is>
          <t>서울시 강동구 천중로40길 67</t>
        </is>
      </c>
      <c r="AH668" s="0" t="n">
        <v>0</v>
      </c>
      <c r="AI668" s="0" t="n">
        <v>562</v>
      </c>
      <c r="AJ668" s="0" t="n">
        <v>59</v>
      </c>
      <c r="AK668" s="0" t="n">
        <v>17</v>
      </c>
      <c r="AL668" s="0" t="n">
        <v>0.61</v>
      </c>
    </row>
    <row r="669">
      <c r="A669" s="0" t="inlineStr">
        <is>
          <t>[길동]</t>
        </is>
      </c>
      <c r="B669" s="0" t="n">
        <v>126215</v>
      </c>
      <c r="C669" s="0" t="n">
        <v>4</v>
      </c>
      <c r="D669" s="0" t="inlineStr">
        <is>
          <t>다성이즈빌(387-2)</t>
        </is>
      </c>
      <c r="E669" s="0" t="inlineStr">
        <is>
          <t>2019.06.</t>
        </is>
      </c>
      <c r="F669" s="0" t="n">
        <v>28</v>
      </c>
      <c r="G669" s="0" t="n">
        <v>8.68</v>
      </c>
      <c r="H669" s="0" t="n">
        <v>28.7</v>
      </c>
      <c r="I669" s="0" t="n">
        <v>6.75</v>
      </c>
      <c r="J669" s="0" t="n">
        <v>22.32</v>
      </c>
      <c r="K669" s="0" t="n">
        <v>7</v>
      </c>
      <c r="T669" s="0" t="n">
        <v>1</v>
      </c>
      <c r="U669" s="0" t="n">
        <v>1</v>
      </c>
      <c r="V669" s="0" t="inlineStr">
        <is>
          <t>계단식</t>
        </is>
      </c>
      <c r="W669" s="0" t="n">
        <v>28</v>
      </c>
      <c r="X669" s="0" t="n">
        <v>16</v>
      </c>
      <c r="Y669" s="0" t="n">
        <v>16</v>
      </c>
      <c r="Z669" s="0" t="inlineStr">
        <is>
          <t>https://new.land.naver.com/complexes/126215?tab=detail&amp;rf=Y</t>
        </is>
      </c>
      <c r="AA669" s="0" t="inlineStr">
        <is>
          <t>서울시 강동구 길동 387-2</t>
        </is>
      </c>
      <c r="AB669" s="0" t="inlineStr">
        <is>
          <t>서울시</t>
        </is>
      </c>
      <c r="AC669" s="0" t="inlineStr">
        <is>
          <t>강동구</t>
        </is>
      </c>
      <c r="AD669" s="0" t="inlineStr">
        <is>
          <t>길동</t>
        </is>
      </c>
      <c r="AG669" s="0" t="inlineStr">
        <is>
          <t>서울시 강동구 천중로40길 67</t>
        </is>
      </c>
      <c r="AH669" s="0" t="n">
        <v>0</v>
      </c>
      <c r="AI669" s="0" t="n">
        <v>562</v>
      </c>
      <c r="AJ669" s="0" t="n">
        <v>59</v>
      </c>
      <c r="AK669" s="0" t="n">
        <v>17</v>
      </c>
      <c r="AL669" s="0" t="n">
        <v>0.61</v>
      </c>
    </row>
    <row r="670">
      <c r="A670" s="0" t="inlineStr">
        <is>
          <t>[길동]</t>
        </is>
      </c>
      <c r="B670" s="0" t="n">
        <v>107448</v>
      </c>
      <c r="C670" s="0" t="n">
        <v>1</v>
      </c>
      <c r="D670" s="0" t="inlineStr">
        <is>
          <t>강동렘브란트(도시형)</t>
        </is>
      </c>
      <c r="E670" s="0" t="inlineStr">
        <is>
          <t>2014.02.</t>
        </is>
      </c>
      <c r="F670" s="0" t="n">
        <v>89</v>
      </c>
      <c r="G670" s="0" t="n">
        <v>7.93</v>
      </c>
      <c r="H670" s="0" t="n">
        <v>26.23</v>
      </c>
      <c r="I670" s="0" t="n">
        <v>4.79</v>
      </c>
      <c r="J670" s="0" t="n">
        <v>15.86</v>
      </c>
      <c r="K670" s="0" t="n">
        <v>89</v>
      </c>
      <c r="T670" s="0" t="n">
        <v>1</v>
      </c>
      <c r="U670" s="0" t="n">
        <v>1</v>
      </c>
      <c r="V670" s="0" t="inlineStr">
        <is>
          <t>계단식</t>
        </is>
      </c>
      <c r="W670" s="0" t="n">
        <v>26</v>
      </c>
      <c r="X670" s="0" t="n">
        <v>14</v>
      </c>
      <c r="Y670" s="0" t="n">
        <v>10</v>
      </c>
      <c r="Z670" s="0" t="inlineStr">
        <is>
          <t>https://new.land.naver.com/complexes/107448?tab=detail&amp;rf=Y</t>
        </is>
      </c>
      <c r="AA670" s="0" t="inlineStr">
        <is>
          <t>서울시 강동구 길동 457-1</t>
        </is>
      </c>
      <c r="AB670" s="0" t="inlineStr">
        <is>
          <t>서울시</t>
        </is>
      </c>
      <c r="AC670" s="0" t="inlineStr">
        <is>
          <t>강동구</t>
        </is>
      </c>
      <c r="AD670" s="0" t="inlineStr">
        <is>
          <t>길동</t>
        </is>
      </c>
      <c r="AG670" s="0" t="inlineStr">
        <is>
          <t>서울시 강동구 천호대로177길 9</t>
        </is>
      </c>
      <c r="AH670" s="0" t="n">
        <v>0</v>
      </c>
      <c r="AI670" s="0" t="n">
        <v>536</v>
      </c>
      <c r="AJ670" s="0" t="n">
        <v>57</v>
      </c>
      <c r="AK670" s="0" t="n">
        <v>23</v>
      </c>
      <c r="AL670" s="0" t="n">
        <v>0.26</v>
      </c>
    </row>
    <row r="671">
      <c r="A671" s="0" t="inlineStr">
        <is>
          <t>[길동]</t>
        </is>
      </c>
      <c r="B671" s="0" t="n">
        <v>9496</v>
      </c>
      <c r="C671" s="0" t="n">
        <v>1</v>
      </c>
      <c r="D671" s="0" t="inlineStr">
        <is>
          <t>한건</t>
        </is>
      </c>
      <c r="E671" s="0" t="inlineStr">
        <is>
          <t>2001.12.</t>
        </is>
      </c>
      <c r="F671" s="0" t="n">
        <v>39</v>
      </c>
      <c r="G671" s="0" t="n">
        <v>27.82</v>
      </c>
      <c r="H671" s="0" t="n">
        <v>91.98</v>
      </c>
      <c r="I671" s="0" t="n">
        <v>22.31</v>
      </c>
      <c r="J671" s="0" t="n">
        <v>73.77</v>
      </c>
      <c r="K671" s="0" t="n">
        <v>1</v>
      </c>
      <c r="T671" s="0" t="n">
        <v>3</v>
      </c>
      <c r="U671" s="0" t="n">
        <v>2</v>
      </c>
      <c r="V671" s="0" t="inlineStr">
        <is>
          <t>계단식</t>
        </is>
      </c>
      <c r="W671" s="0" t="inlineStr">
        <is>
          <t>91A</t>
        </is>
      </c>
      <c r="X671" s="0" t="n">
        <v>10</v>
      </c>
      <c r="Y671" s="0" t="n">
        <v>10</v>
      </c>
      <c r="Z671" s="0" t="inlineStr">
        <is>
          <t>https://new.land.naver.com/complexes/9496?tab=detail&amp;rf=Y</t>
        </is>
      </c>
      <c r="AA671" s="0" t="inlineStr">
        <is>
          <t>서울시 강동구 길동 237</t>
        </is>
      </c>
      <c r="AB671" s="0" t="inlineStr">
        <is>
          <t>서울시</t>
        </is>
      </c>
      <c r="AC671" s="0" t="inlineStr">
        <is>
          <t>강동구</t>
        </is>
      </c>
      <c r="AD671" s="0" t="inlineStr">
        <is>
          <t>길동</t>
        </is>
      </c>
      <c r="AG671" s="0" t="inlineStr">
        <is>
          <t>서울시 강동구 진황도로49길 34</t>
        </is>
      </c>
      <c r="AH671" s="0" t="n">
        <v>0</v>
      </c>
      <c r="AI671" s="0" t="n">
        <v>295</v>
      </c>
      <c r="AJ671" s="0" t="n">
        <v>30</v>
      </c>
      <c r="AK671" s="0" t="n">
        <v>41</v>
      </c>
      <c r="AL671" s="0" t="n">
        <v>1.05</v>
      </c>
    </row>
    <row r="672">
      <c r="A672" s="0" t="inlineStr">
        <is>
          <t>[길동]</t>
        </is>
      </c>
      <c r="B672" s="0" t="n">
        <v>9496</v>
      </c>
      <c r="C672" s="0" t="n">
        <v>2</v>
      </c>
      <c r="D672" s="0" t="inlineStr">
        <is>
          <t>한건</t>
        </is>
      </c>
      <c r="E672" s="0" t="inlineStr">
        <is>
          <t>2001.12.</t>
        </is>
      </c>
      <c r="F672" s="0" t="n">
        <v>39</v>
      </c>
      <c r="G672" s="0" t="n">
        <v>28.2</v>
      </c>
      <c r="H672" s="0" t="n">
        <v>93.23999999999999</v>
      </c>
      <c r="I672" s="0" t="n">
        <v>22.61</v>
      </c>
      <c r="J672" s="0" t="n">
        <v>74.75</v>
      </c>
      <c r="K672" s="0" t="n">
        <v>10</v>
      </c>
      <c r="T672" s="0" t="n">
        <v>3</v>
      </c>
      <c r="U672" s="0" t="n">
        <v>2</v>
      </c>
      <c r="V672" s="0" t="inlineStr">
        <is>
          <t>계단식</t>
        </is>
      </c>
      <c r="W672" s="0" t="inlineStr">
        <is>
          <t>93B</t>
        </is>
      </c>
      <c r="X672" s="0" t="n">
        <v>10</v>
      </c>
      <c r="Y672" s="0" t="n">
        <v>10</v>
      </c>
      <c r="Z672" s="0" t="inlineStr">
        <is>
          <t>https://new.land.naver.com/complexes/9496?tab=detail&amp;rf=Y</t>
        </is>
      </c>
      <c r="AA672" s="0" t="inlineStr">
        <is>
          <t>서울시 강동구 길동 237</t>
        </is>
      </c>
      <c r="AB672" s="0" t="inlineStr">
        <is>
          <t>서울시</t>
        </is>
      </c>
      <c r="AC672" s="0" t="inlineStr">
        <is>
          <t>강동구</t>
        </is>
      </c>
      <c r="AD672" s="0" t="inlineStr">
        <is>
          <t>길동</t>
        </is>
      </c>
      <c r="AG672" s="0" t="inlineStr">
        <is>
          <t>서울시 강동구 진황도로49길 34</t>
        </is>
      </c>
      <c r="AH672" s="0" t="n">
        <v>0</v>
      </c>
      <c r="AI672" s="0" t="n">
        <v>295</v>
      </c>
      <c r="AJ672" s="0" t="n">
        <v>30</v>
      </c>
      <c r="AK672" s="0" t="n">
        <v>41</v>
      </c>
      <c r="AL672" s="0" t="n">
        <v>1.05</v>
      </c>
    </row>
    <row r="673">
      <c r="A673" s="0" t="inlineStr">
        <is>
          <t>[길동]</t>
        </is>
      </c>
      <c r="B673" s="0" t="n">
        <v>9496</v>
      </c>
      <c r="C673" s="0" t="n">
        <v>3</v>
      </c>
      <c r="D673" s="0" t="inlineStr">
        <is>
          <t>한건</t>
        </is>
      </c>
      <c r="E673" s="0" t="inlineStr">
        <is>
          <t>2001.12.</t>
        </is>
      </c>
      <c r="F673" s="0" t="n">
        <v>39</v>
      </c>
      <c r="G673" s="0" t="n">
        <v>30.1</v>
      </c>
      <c r="H673" s="0" t="n">
        <v>99.52</v>
      </c>
      <c r="I673" s="0" t="n">
        <v>24.13</v>
      </c>
      <c r="J673" s="0" t="n">
        <v>79.77</v>
      </c>
      <c r="K673" s="0" t="n">
        <v>28</v>
      </c>
      <c r="T673" s="0" t="n">
        <v>3</v>
      </c>
      <c r="U673" s="0" t="n">
        <v>2</v>
      </c>
      <c r="V673" s="0" t="inlineStr">
        <is>
          <t>계단식</t>
        </is>
      </c>
      <c r="W673" s="0" t="n">
        <v>99</v>
      </c>
      <c r="X673" s="0" t="n">
        <v>10</v>
      </c>
      <c r="Y673" s="0" t="n">
        <v>10</v>
      </c>
      <c r="Z673" s="0" t="inlineStr">
        <is>
          <t>https://new.land.naver.com/complexes/9496?tab=detail&amp;rf=Y</t>
        </is>
      </c>
      <c r="AA673" s="0" t="inlineStr">
        <is>
          <t>서울시 강동구 길동 237</t>
        </is>
      </c>
      <c r="AB673" s="0" t="inlineStr">
        <is>
          <t>서울시</t>
        </is>
      </c>
      <c r="AC673" s="0" t="inlineStr">
        <is>
          <t>강동구</t>
        </is>
      </c>
      <c r="AD673" s="0" t="inlineStr">
        <is>
          <t>길동</t>
        </is>
      </c>
      <c r="AG673" s="0" t="inlineStr">
        <is>
          <t>서울시 강동구 진황도로49길 34</t>
        </is>
      </c>
      <c r="AH673" s="0" t="n">
        <v>0</v>
      </c>
      <c r="AI673" s="0" t="n">
        <v>295</v>
      </c>
      <c r="AJ673" s="0" t="n">
        <v>30</v>
      </c>
      <c r="AK673" s="0" t="n">
        <v>41</v>
      </c>
      <c r="AL673" s="0" t="n">
        <v>1.05</v>
      </c>
    </row>
    <row r="674">
      <c r="A674" s="0" t="inlineStr">
        <is>
          <t>[길동]</t>
        </is>
      </c>
      <c r="B674" s="0" t="n">
        <v>103479</v>
      </c>
      <c r="C674" s="0" t="n">
        <v>1</v>
      </c>
      <c r="D674" s="0" t="inlineStr">
        <is>
          <t>강동QV1차(도시형)</t>
        </is>
      </c>
      <c r="E674" s="0" t="inlineStr">
        <is>
          <t>2013.02.</t>
        </is>
      </c>
      <c r="F674" s="0" t="n">
        <v>91</v>
      </c>
      <c r="G674" s="0" t="n">
        <v>7.43</v>
      </c>
      <c r="H674" s="0" t="n">
        <v>24.58</v>
      </c>
      <c r="I674" s="0" t="n">
        <v>3.77</v>
      </c>
      <c r="J674" s="0" t="n">
        <v>12.49</v>
      </c>
      <c r="K674" s="0" t="n">
        <v>91</v>
      </c>
      <c r="T674" s="0" t="n">
        <v>1</v>
      </c>
      <c r="U674" s="0" t="n">
        <v>1</v>
      </c>
      <c r="V674" s="0" t="inlineStr">
        <is>
          <t>계단식</t>
        </is>
      </c>
      <c r="W674" s="0" t="n">
        <v>24</v>
      </c>
      <c r="X674" s="0" t="n">
        <v>20</v>
      </c>
      <c r="Y674" s="0" t="n">
        <v>20</v>
      </c>
      <c r="Z674" s="0" t="inlineStr">
        <is>
          <t>https://new.land.naver.com/complexes/103479?tab=detail&amp;rf=Y</t>
        </is>
      </c>
      <c r="AA674" s="0" t="inlineStr">
        <is>
          <t>서울시 강동구 길동 456-3</t>
        </is>
      </c>
      <c r="AB674" s="0" t="inlineStr">
        <is>
          <t>서울시</t>
        </is>
      </c>
      <c r="AC674" s="0" t="inlineStr">
        <is>
          <t>강동구</t>
        </is>
      </c>
      <c r="AD674" s="0" t="inlineStr">
        <is>
          <t>길동</t>
        </is>
      </c>
      <c r="AG674" s="0" t="inlineStr">
        <is>
          <t>서울시 강동구 천호대로175길 16</t>
        </is>
      </c>
      <c r="AH674" s="0" t="n">
        <v>0</v>
      </c>
      <c r="AI674" s="0" t="n">
        <v>599</v>
      </c>
      <c r="AJ674" s="0" t="n">
        <v>51</v>
      </c>
      <c r="AK674" s="0" t="n">
        <v>23</v>
      </c>
      <c r="AL674" s="0" t="n">
        <v>0.25</v>
      </c>
    </row>
    <row r="675">
      <c r="A675" s="0" t="inlineStr">
        <is>
          <t>[길동]</t>
        </is>
      </c>
      <c r="B675" s="0" t="n">
        <v>11980</v>
      </c>
      <c r="C675" s="0" t="n">
        <v>1</v>
      </c>
      <c r="D675" s="0" t="inlineStr">
        <is>
          <t>한빛</t>
        </is>
      </c>
      <c r="E675" s="0" t="inlineStr">
        <is>
          <t>2001.10.</t>
        </is>
      </c>
      <c r="F675" s="0" t="n">
        <v>317</v>
      </c>
      <c r="G675" s="0" t="n">
        <v>14.25</v>
      </c>
      <c r="H675" s="0" t="n">
        <v>47.11</v>
      </c>
      <c r="I675" s="0" t="n">
        <v>11.7</v>
      </c>
      <c r="J675" s="0" t="n">
        <v>38.7</v>
      </c>
      <c r="K675" s="0" t="n">
        <v>1</v>
      </c>
      <c r="T675" s="0" t="n">
        <v>1</v>
      </c>
      <c r="U675" s="0" t="n">
        <v>1</v>
      </c>
      <c r="V675" s="0" t="inlineStr">
        <is>
          <t>계단식</t>
        </is>
      </c>
      <c r="W675" s="0" t="n">
        <v>47</v>
      </c>
      <c r="X675" s="0" t="n">
        <v>18</v>
      </c>
      <c r="Y675" s="0" t="n">
        <v>11</v>
      </c>
      <c r="Z675" s="0" t="inlineStr">
        <is>
          <t>https://new.land.naver.com/complexes/11980?tab=detail&amp;rf=Y</t>
        </is>
      </c>
      <c r="AA675" s="0" t="inlineStr">
        <is>
          <t>서울시 강동구 길동 384-1</t>
        </is>
      </c>
      <c r="AB675" s="0" t="inlineStr">
        <is>
          <t>서울시</t>
        </is>
      </c>
      <c r="AC675" s="0" t="inlineStr">
        <is>
          <t>강동구</t>
        </is>
      </c>
      <c r="AD675" s="0" t="inlineStr">
        <is>
          <t>길동</t>
        </is>
      </c>
      <c r="AG675" s="0" t="inlineStr">
        <is>
          <t>서울시 강동구 성안로 176</t>
        </is>
      </c>
      <c r="AH675" s="0" t="n">
        <v>0</v>
      </c>
      <c r="AI675" s="0" t="n">
        <v>0</v>
      </c>
      <c r="AJ675" s="0" t="n">
        <v>0</v>
      </c>
      <c r="AK675" s="0" t="n">
        <v>320</v>
      </c>
      <c r="AL675" s="0" t="n">
        <v>1.01</v>
      </c>
    </row>
    <row r="676">
      <c r="A676" s="0" t="inlineStr">
        <is>
          <t>[길동]</t>
        </is>
      </c>
      <c r="B676" s="0" t="n">
        <v>11980</v>
      </c>
      <c r="C676" s="0" t="n">
        <v>2</v>
      </c>
      <c r="D676" s="0" t="inlineStr">
        <is>
          <t>한빛</t>
        </is>
      </c>
      <c r="E676" s="0" t="inlineStr">
        <is>
          <t>2001.10.</t>
        </is>
      </c>
      <c r="F676" s="0" t="n">
        <v>317</v>
      </c>
      <c r="G676" s="0" t="n">
        <v>15.57</v>
      </c>
      <c r="H676" s="0" t="n">
        <v>51.49</v>
      </c>
      <c r="I676" s="0" t="n">
        <v>12.79</v>
      </c>
      <c r="J676" s="0" t="n">
        <v>42.3</v>
      </c>
      <c r="K676" s="0" t="n">
        <v>12</v>
      </c>
      <c r="T676" s="0" t="n">
        <v>1</v>
      </c>
      <c r="U676" s="0" t="n">
        <v>1</v>
      </c>
      <c r="V676" s="0" t="inlineStr">
        <is>
          <t>계단식</t>
        </is>
      </c>
      <c r="W676" s="0" t="n">
        <v>51</v>
      </c>
      <c r="X676" s="0" t="n">
        <v>18</v>
      </c>
      <c r="Y676" s="0" t="n">
        <v>11</v>
      </c>
      <c r="Z676" s="0" t="inlineStr">
        <is>
          <t>https://new.land.naver.com/complexes/11980?tab=detail&amp;rf=Y</t>
        </is>
      </c>
      <c r="AA676" s="0" t="inlineStr">
        <is>
          <t>서울시 강동구 길동 384-1</t>
        </is>
      </c>
      <c r="AB676" s="0" t="inlineStr">
        <is>
          <t>서울시</t>
        </is>
      </c>
      <c r="AC676" s="0" t="inlineStr">
        <is>
          <t>강동구</t>
        </is>
      </c>
      <c r="AD676" s="0" t="inlineStr">
        <is>
          <t>길동</t>
        </is>
      </c>
      <c r="AG676" s="0" t="inlineStr">
        <is>
          <t>서울시 강동구 성안로 176</t>
        </is>
      </c>
      <c r="AH676" s="0" t="n">
        <v>0</v>
      </c>
      <c r="AI676" s="0" t="n">
        <v>0</v>
      </c>
      <c r="AJ676" s="0" t="n">
        <v>0</v>
      </c>
      <c r="AK676" s="0" t="n">
        <v>320</v>
      </c>
      <c r="AL676" s="0" t="n">
        <v>1.01</v>
      </c>
    </row>
    <row r="677">
      <c r="A677" s="0" t="inlineStr">
        <is>
          <t>[길동]</t>
        </is>
      </c>
      <c r="B677" s="0" t="n">
        <v>11980</v>
      </c>
      <c r="C677" s="0" t="n">
        <v>3</v>
      </c>
      <c r="D677" s="0" t="inlineStr">
        <is>
          <t>한빛</t>
        </is>
      </c>
      <c r="E677" s="0" t="inlineStr">
        <is>
          <t>2001.10.</t>
        </is>
      </c>
      <c r="F677" s="0" t="n">
        <v>317</v>
      </c>
      <c r="G677" s="0" t="n">
        <v>18.69</v>
      </c>
      <c r="H677" s="0" t="n">
        <v>61.81</v>
      </c>
      <c r="I677" s="0" t="n">
        <v>14.48</v>
      </c>
      <c r="J677" s="0" t="n">
        <v>47.87</v>
      </c>
      <c r="K677" s="0" t="n">
        <v>3</v>
      </c>
      <c r="T677" s="0" t="n">
        <v>2</v>
      </c>
      <c r="U677" s="0" t="n">
        <v>1</v>
      </c>
      <c r="V677" s="0" t="inlineStr">
        <is>
          <t>계단식</t>
        </is>
      </c>
      <c r="W677" s="0" t="n">
        <v>61</v>
      </c>
      <c r="X677" s="0" t="n">
        <v>18</v>
      </c>
      <c r="Y677" s="0" t="n">
        <v>11</v>
      </c>
      <c r="Z677" s="0" t="inlineStr">
        <is>
          <t>https://new.land.naver.com/complexes/11980?tab=detail&amp;rf=Y</t>
        </is>
      </c>
      <c r="AA677" s="0" t="inlineStr">
        <is>
          <t>서울시 강동구 길동 384-1</t>
        </is>
      </c>
      <c r="AB677" s="0" t="inlineStr">
        <is>
          <t>서울시</t>
        </is>
      </c>
      <c r="AC677" s="0" t="inlineStr">
        <is>
          <t>강동구</t>
        </is>
      </c>
      <c r="AD677" s="0" t="inlineStr">
        <is>
          <t>길동</t>
        </is>
      </c>
      <c r="AG677" s="0" t="inlineStr">
        <is>
          <t>서울시 강동구 성안로 176</t>
        </is>
      </c>
      <c r="AH677" s="0" t="n">
        <v>0</v>
      </c>
      <c r="AI677" s="0" t="n">
        <v>0</v>
      </c>
      <c r="AJ677" s="0" t="n">
        <v>0</v>
      </c>
      <c r="AK677" s="0" t="n">
        <v>320</v>
      </c>
      <c r="AL677" s="0" t="n">
        <v>1.01</v>
      </c>
    </row>
    <row r="678">
      <c r="A678" s="0" t="inlineStr">
        <is>
          <t>[길동]</t>
        </is>
      </c>
      <c r="B678" s="0" t="n">
        <v>11980</v>
      </c>
      <c r="C678" s="0" t="n">
        <v>4</v>
      </c>
      <c r="D678" s="0" t="inlineStr">
        <is>
          <t>한빛</t>
        </is>
      </c>
      <c r="E678" s="0" t="inlineStr">
        <is>
          <t>2001.10.</t>
        </is>
      </c>
      <c r="F678" s="0" t="n">
        <v>317</v>
      </c>
      <c r="G678" s="0" t="n">
        <v>21.1</v>
      </c>
      <c r="H678" s="0" t="n">
        <v>69.76000000000001</v>
      </c>
      <c r="I678" s="0" t="n">
        <v>17.33</v>
      </c>
      <c r="J678" s="0" t="n">
        <v>57.31</v>
      </c>
      <c r="K678" s="0" t="n">
        <v>12</v>
      </c>
      <c r="T678" s="0" t="n">
        <v>2</v>
      </c>
      <c r="U678" s="0" t="n">
        <v>1</v>
      </c>
      <c r="V678" s="0" t="inlineStr">
        <is>
          <t>계단식</t>
        </is>
      </c>
      <c r="W678" s="0" t="n">
        <v>69</v>
      </c>
      <c r="X678" s="0" t="n">
        <v>18</v>
      </c>
      <c r="Y678" s="0" t="n">
        <v>11</v>
      </c>
      <c r="Z678" s="0" t="inlineStr">
        <is>
          <t>https://new.land.naver.com/complexes/11980?tab=detail&amp;rf=Y</t>
        </is>
      </c>
      <c r="AA678" s="0" t="inlineStr">
        <is>
          <t>서울시 강동구 길동 384-1</t>
        </is>
      </c>
      <c r="AB678" s="0" t="inlineStr">
        <is>
          <t>서울시</t>
        </is>
      </c>
      <c r="AC678" s="0" t="inlineStr">
        <is>
          <t>강동구</t>
        </is>
      </c>
      <c r="AD678" s="0" t="inlineStr">
        <is>
          <t>길동</t>
        </is>
      </c>
      <c r="AG678" s="0" t="inlineStr">
        <is>
          <t>서울시 강동구 성안로 176</t>
        </is>
      </c>
      <c r="AH678" s="0" t="n">
        <v>0</v>
      </c>
      <c r="AI678" s="0" t="n">
        <v>0</v>
      </c>
      <c r="AJ678" s="0" t="n">
        <v>0</v>
      </c>
      <c r="AK678" s="0" t="n">
        <v>320</v>
      </c>
      <c r="AL678" s="0" t="n">
        <v>1.01</v>
      </c>
    </row>
    <row r="679">
      <c r="A679" s="0" t="inlineStr">
        <is>
          <t>[길동]</t>
        </is>
      </c>
      <c r="B679" s="0" t="n">
        <v>11980</v>
      </c>
      <c r="C679" s="0" t="n">
        <v>5</v>
      </c>
      <c r="D679" s="0" t="inlineStr">
        <is>
          <t>한빛</t>
        </is>
      </c>
      <c r="E679" s="0" t="inlineStr">
        <is>
          <t>2001.10.</t>
        </is>
      </c>
      <c r="F679" s="0" t="n">
        <v>317</v>
      </c>
      <c r="G679" s="0" t="n">
        <v>21.64</v>
      </c>
      <c r="H679" s="0" t="n">
        <v>71.56</v>
      </c>
      <c r="I679" s="0" t="n">
        <v>17.78</v>
      </c>
      <c r="J679" s="0" t="n">
        <v>58.79</v>
      </c>
      <c r="K679" s="0" t="n">
        <v>2</v>
      </c>
      <c r="T679" s="0" t="n">
        <v>2</v>
      </c>
      <c r="U679" s="0" t="n">
        <v>1</v>
      </c>
      <c r="V679" s="0" t="inlineStr">
        <is>
          <t>계단식</t>
        </is>
      </c>
      <c r="W679" s="0" t="n">
        <v>71</v>
      </c>
      <c r="X679" s="0" t="n">
        <v>18</v>
      </c>
      <c r="Y679" s="0" t="n">
        <v>11</v>
      </c>
      <c r="Z679" s="0" t="inlineStr">
        <is>
          <t>https://new.land.naver.com/complexes/11980?tab=detail&amp;rf=Y</t>
        </is>
      </c>
      <c r="AA679" s="0" t="inlineStr">
        <is>
          <t>서울시 강동구 길동 384-1</t>
        </is>
      </c>
      <c r="AB679" s="0" t="inlineStr">
        <is>
          <t>서울시</t>
        </is>
      </c>
      <c r="AC679" s="0" t="inlineStr">
        <is>
          <t>강동구</t>
        </is>
      </c>
      <c r="AD679" s="0" t="inlineStr">
        <is>
          <t>길동</t>
        </is>
      </c>
      <c r="AG679" s="0" t="inlineStr">
        <is>
          <t>서울시 강동구 성안로 176</t>
        </is>
      </c>
      <c r="AH679" s="0" t="n">
        <v>0</v>
      </c>
      <c r="AI679" s="0" t="n">
        <v>0</v>
      </c>
      <c r="AJ679" s="0" t="n">
        <v>0</v>
      </c>
      <c r="AK679" s="0" t="n">
        <v>320</v>
      </c>
      <c r="AL679" s="0" t="n">
        <v>1.01</v>
      </c>
    </row>
    <row r="680">
      <c r="A680" s="0" t="inlineStr">
        <is>
          <t>[길동]</t>
        </is>
      </c>
      <c r="B680" s="0" t="n">
        <v>11980</v>
      </c>
      <c r="C680" s="0" t="n">
        <v>6</v>
      </c>
      <c r="D680" s="0" t="inlineStr">
        <is>
          <t>한빛</t>
        </is>
      </c>
      <c r="E680" s="0" t="inlineStr">
        <is>
          <t>2001.10.</t>
        </is>
      </c>
      <c r="F680" s="0" t="n">
        <v>317</v>
      </c>
      <c r="G680" s="0" t="n">
        <v>22.97</v>
      </c>
      <c r="H680" s="0" t="n">
        <v>75.94</v>
      </c>
      <c r="I680" s="0" t="n">
        <v>18.87</v>
      </c>
      <c r="J680" s="0" t="n">
        <v>62.39</v>
      </c>
      <c r="K680" s="0" t="n">
        <v>24</v>
      </c>
      <c r="T680" s="0" t="n">
        <v>2</v>
      </c>
      <c r="U680" s="0" t="n">
        <v>1</v>
      </c>
      <c r="V680" s="0" t="inlineStr">
        <is>
          <t>계단식</t>
        </is>
      </c>
      <c r="W680" s="0" t="n">
        <v>75</v>
      </c>
      <c r="X680" s="0" t="n">
        <v>18</v>
      </c>
      <c r="Y680" s="0" t="n">
        <v>11</v>
      </c>
      <c r="Z680" s="0" t="inlineStr">
        <is>
          <t>https://new.land.naver.com/complexes/11980?tab=detail&amp;rf=Y</t>
        </is>
      </c>
      <c r="AA680" s="0" t="inlineStr">
        <is>
          <t>서울시 강동구 길동 384-1</t>
        </is>
      </c>
      <c r="AB680" s="0" t="inlineStr">
        <is>
          <t>서울시</t>
        </is>
      </c>
      <c r="AC680" s="0" t="inlineStr">
        <is>
          <t>강동구</t>
        </is>
      </c>
      <c r="AD680" s="0" t="inlineStr">
        <is>
          <t>길동</t>
        </is>
      </c>
      <c r="AG680" s="0" t="inlineStr">
        <is>
          <t>서울시 강동구 성안로 176</t>
        </is>
      </c>
      <c r="AH680" s="0" t="n">
        <v>0</v>
      </c>
      <c r="AI680" s="0" t="n">
        <v>0</v>
      </c>
      <c r="AJ680" s="0" t="n">
        <v>0</v>
      </c>
      <c r="AK680" s="0" t="n">
        <v>320</v>
      </c>
      <c r="AL680" s="0" t="n">
        <v>1.01</v>
      </c>
    </row>
    <row r="681">
      <c r="A681" s="0" t="inlineStr">
        <is>
          <t>[길동]</t>
        </is>
      </c>
      <c r="B681" s="0" t="n">
        <v>11980</v>
      </c>
      <c r="C681" s="0" t="n">
        <v>7</v>
      </c>
      <c r="D681" s="0" t="inlineStr">
        <is>
          <t>한빛</t>
        </is>
      </c>
      <c r="E681" s="0" t="inlineStr">
        <is>
          <t>2001.10.</t>
        </is>
      </c>
      <c r="F681" s="0" t="n">
        <v>317</v>
      </c>
      <c r="G681" s="0" t="n">
        <v>24.55</v>
      </c>
      <c r="H681" s="0" t="n">
        <v>81.17</v>
      </c>
      <c r="I681" s="0" t="n">
        <v>18.18</v>
      </c>
      <c r="J681" s="0" t="n">
        <v>60.1</v>
      </c>
      <c r="K681" s="0" t="n">
        <v>9</v>
      </c>
      <c r="T681" s="0" t="n">
        <v>3</v>
      </c>
      <c r="U681" s="0" t="n">
        <v>1</v>
      </c>
      <c r="V681" s="0" t="inlineStr">
        <is>
          <t>계단식</t>
        </is>
      </c>
      <c r="W681" s="0" t="inlineStr">
        <is>
          <t>81A</t>
        </is>
      </c>
      <c r="X681" s="0" t="n">
        <v>18</v>
      </c>
      <c r="Y681" s="0" t="n">
        <v>11</v>
      </c>
      <c r="Z681" s="0" t="inlineStr">
        <is>
          <t>https://new.land.naver.com/complexes/11980?tab=detail&amp;rf=Y</t>
        </is>
      </c>
      <c r="AA681" s="0" t="inlineStr">
        <is>
          <t>서울시 강동구 길동 384-1</t>
        </is>
      </c>
      <c r="AB681" s="0" t="inlineStr">
        <is>
          <t>서울시</t>
        </is>
      </c>
      <c r="AC681" s="0" t="inlineStr">
        <is>
          <t>강동구</t>
        </is>
      </c>
      <c r="AD681" s="0" t="inlineStr">
        <is>
          <t>길동</t>
        </is>
      </c>
      <c r="AG681" s="0" t="inlineStr">
        <is>
          <t>서울시 강동구 성안로 176</t>
        </is>
      </c>
      <c r="AH681" s="0" t="n">
        <v>0</v>
      </c>
      <c r="AI681" s="0" t="n">
        <v>0</v>
      </c>
      <c r="AJ681" s="0" t="n">
        <v>0</v>
      </c>
      <c r="AK681" s="0" t="n">
        <v>320</v>
      </c>
      <c r="AL681" s="0" t="n">
        <v>1.01</v>
      </c>
    </row>
    <row r="682">
      <c r="A682" s="0" t="inlineStr">
        <is>
          <t>[길동]</t>
        </is>
      </c>
      <c r="B682" s="0" t="n">
        <v>11980</v>
      </c>
      <c r="C682" s="0" t="n">
        <v>8</v>
      </c>
      <c r="D682" s="0" t="inlineStr">
        <is>
          <t>한빛</t>
        </is>
      </c>
      <c r="E682" s="0" t="inlineStr">
        <is>
          <t>2001.10.</t>
        </is>
      </c>
      <c r="F682" s="0" t="n">
        <v>317</v>
      </c>
      <c r="G682" s="0" t="n">
        <v>25.12</v>
      </c>
      <c r="H682" s="0" t="n">
        <v>83.05</v>
      </c>
      <c r="I682" s="0" t="n">
        <v>19.41</v>
      </c>
      <c r="J682" s="0" t="n">
        <v>64.19</v>
      </c>
      <c r="K682" s="0" t="n">
        <v>75</v>
      </c>
      <c r="T682" s="0" t="n">
        <v>3</v>
      </c>
      <c r="U682" s="0" t="n">
        <v>2</v>
      </c>
      <c r="V682" s="0" t="inlineStr">
        <is>
          <t>계단식</t>
        </is>
      </c>
      <c r="W682" s="0" t="inlineStr">
        <is>
          <t>83B</t>
        </is>
      </c>
      <c r="X682" s="0" t="n">
        <v>18</v>
      </c>
      <c r="Y682" s="0" t="n">
        <v>11</v>
      </c>
      <c r="Z682" s="0" t="inlineStr">
        <is>
          <t>https://new.land.naver.com/complexes/11980?tab=detail&amp;rf=Y</t>
        </is>
      </c>
      <c r="AA682" s="0" t="inlineStr">
        <is>
          <t>서울시 강동구 길동 384-1</t>
        </is>
      </c>
      <c r="AB682" s="0" t="inlineStr">
        <is>
          <t>서울시</t>
        </is>
      </c>
      <c r="AC682" s="0" t="inlineStr">
        <is>
          <t>강동구</t>
        </is>
      </c>
      <c r="AD682" s="0" t="inlineStr">
        <is>
          <t>길동</t>
        </is>
      </c>
      <c r="AG682" s="0" t="inlineStr">
        <is>
          <t>서울시 강동구 성안로 176</t>
        </is>
      </c>
      <c r="AH682" s="0" t="n">
        <v>0</v>
      </c>
      <c r="AI682" s="0" t="n">
        <v>0</v>
      </c>
      <c r="AJ682" s="0" t="n">
        <v>0</v>
      </c>
      <c r="AK682" s="0" t="n">
        <v>320</v>
      </c>
      <c r="AL682" s="0" t="n">
        <v>1.01</v>
      </c>
    </row>
    <row r="683">
      <c r="A683" s="0" t="inlineStr">
        <is>
          <t>[길동]</t>
        </is>
      </c>
      <c r="B683" s="0" t="n">
        <v>11980</v>
      </c>
      <c r="C683" s="0" t="n">
        <v>9</v>
      </c>
      <c r="D683" s="0" t="inlineStr">
        <is>
          <t>한빛</t>
        </is>
      </c>
      <c r="E683" s="0" t="inlineStr">
        <is>
          <t>2001.10.</t>
        </is>
      </c>
      <c r="F683" s="0" t="n">
        <v>317</v>
      </c>
      <c r="G683" s="0" t="n">
        <v>25.61</v>
      </c>
      <c r="H683" s="0" t="n">
        <v>84.67</v>
      </c>
      <c r="I683" s="0" t="n">
        <v>21.04</v>
      </c>
      <c r="J683" s="0" t="n">
        <v>69.56</v>
      </c>
      <c r="K683" s="0" t="n">
        <v>1</v>
      </c>
      <c r="T683" s="0" t="n">
        <v>3</v>
      </c>
      <c r="U683" s="0" t="n">
        <v>1</v>
      </c>
      <c r="V683" s="0" t="inlineStr">
        <is>
          <t>계단식</t>
        </is>
      </c>
      <c r="W683" s="0" t="n">
        <v>84</v>
      </c>
      <c r="X683" s="0" t="n">
        <v>18</v>
      </c>
      <c r="Y683" s="0" t="n">
        <v>11</v>
      </c>
      <c r="Z683" s="0" t="inlineStr">
        <is>
          <t>https://new.land.naver.com/complexes/11980?tab=detail&amp;rf=Y</t>
        </is>
      </c>
      <c r="AA683" s="0" t="inlineStr">
        <is>
          <t>서울시 강동구 길동 384-1</t>
        </is>
      </c>
      <c r="AB683" s="0" t="inlineStr">
        <is>
          <t>서울시</t>
        </is>
      </c>
      <c r="AC683" s="0" t="inlineStr">
        <is>
          <t>강동구</t>
        </is>
      </c>
      <c r="AD683" s="0" t="inlineStr">
        <is>
          <t>길동</t>
        </is>
      </c>
      <c r="AG683" s="0" t="inlineStr">
        <is>
          <t>서울시 강동구 성안로 176</t>
        </is>
      </c>
      <c r="AH683" s="0" t="n">
        <v>0</v>
      </c>
      <c r="AI683" s="0" t="n">
        <v>0</v>
      </c>
      <c r="AJ683" s="0" t="n">
        <v>0</v>
      </c>
      <c r="AK683" s="0" t="n">
        <v>320</v>
      </c>
      <c r="AL683" s="0" t="n">
        <v>1.01</v>
      </c>
    </row>
    <row r="684">
      <c r="A684" s="0" t="inlineStr">
        <is>
          <t>[길동]</t>
        </is>
      </c>
      <c r="B684" s="0" t="n">
        <v>11980</v>
      </c>
      <c r="C684" s="0" t="n">
        <v>10</v>
      </c>
      <c r="D684" s="0" t="inlineStr">
        <is>
          <t>한빛</t>
        </is>
      </c>
      <c r="E684" s="0" t="inlineStr">
        <is>
          <t>2001.10.</t>
        </is>
      </c>
      <c r="F684" s="0" t="n">
        <v>317</v>
      </c>
      <c r="G684" s="0" t="n">
        <v>26.77</v>
      </c>
      <c r="H684" s="0" t="n">
        <v>88.5</v>
      </c>
      <c r="I684" s="0" t="n">
        <v>21.99</v>
      </c>
      <c r="J684" s="0" t="n">
        <v>72.72</v>
      </c>
      <c r="K684" s="0" t="n">
        <v>1</v>
      </c>
      <c r="T684" s="0" t="n">
        <v>3</v>
      </c>
      <c r="U684" s="0" t="n">
        <v>1</v>
      </c>
      <c r="V684" s="0" t="inlineStr">
        <is>
          <t>계단식</t>
        </is>
      </c>
      <c r="W684" s="0" t="inlineStr">
        <is>
          <t>88A</t>
        </is>
      </c>
      <c r="X684" s="0" t="n">
        <v>18</v>
      </c>
      <c r="Y684" s="0" t="n">
        <v>11</v>
      </c>
      <c r="Z684" s="0" t="inlineStr">
        <is>
          <t>https://new.land.naver.com/complexes/11980?tab=detail&amp;rf=Y</t>
        </is>
      </c>
      <c r="AA684" s="0" t="inlineStr">
        <is>
          <t>서울시 강동구 길동 384-1</t>
        </is>
      </c>
      <c r="AB684" s="0" t="inlineStr">
        <is>
          <t>서울시</t>
        </is>
      </c>
      <c r="AC684" s="0" t="inlineStr">
        <is>
          <t>강동구</t>
        </is>
      </c>
      <c r="AD684" s="0" t="inlineStr">
        <is>
          <t>길동</t>
        </is>
      </c>
      <c r="AG684" s="0" t="inlineStr">
        <is>
          <t>서울시 강동구 성안로 176</t>
        </is>
      </c>
      <c r="AH684" s="0" t="n">
        <v>0</v>
      </c>
      <c r="AI684" s="0" t="n">
        <v>0</v>
      </c>
      <c r="AJ684" s="0" t="n">
        <v>0</v>
      </c>
      <c r="AK684" s="0" t="n">
        <v>320</v>
      </c>
      <c r="AL684" s="0" t="n">
        <v>1.01</v>
      </c>
    </row>
    <row r="685">
      <c r="A685" s="0" t="inlineStr">
        <is>
          <t>[길동]</t>
        </is>
      </c>
      <c r="B685" s="0" t="n">
        <v>11980</v>
      </c>
      <c r="C685" s="0" t="n">
        <v>11</v>
      </c>
      <c r="D685" s="0" t="inlineStr">
        <is>
          <t>한빛</t>
        </is>
      </c>
      <c r="E685" s="0" t="inlineStr">
        <is>
          <t>2001.10.</t>
        </is>
      </c>
      <c r="F685" s="0" t="n">
        <v>317</v>
      </c>
      <c r="G685" s="0" t="n">
        <v>27.43</v>
      </c>
      <c r="H685" s="0" t="n">
        <v>90.69</v>
      </c>
      <c r="I685" s="0" t="n">
        <v>22.53</v>
      </c>
      <c r="J685" s="0" t="n">
        <v>74.51000000000001</v>
      </c>
      <c r="K685" s="0" t="n">
        <v>8</v>
      </c>
      <c r="T685" s="0" t="n">
        <v>3</v>
      </c>
      <c r="U685" s="0" t="n">
        <v>1</v>
      </c>
      <c r="V685" s="0" t="inlineStr">
        <is>
          <t>계단식</t>
        </is>
      </c>
      <c r="W685" s="0" t="inlineStr">
        <is>
          <t>90B</t>
        </is>
      </c>
      <c r="X685" s="0" t="n">
        <v>18</v>
      </c>
      <c r="Y685" s="0" t="n">
        <v>11</v>
      </c>
      <c r="Z685" s="0" t="inlineStr">
        <is>
          <t>https://new.land.naver.com/complexes/11980?tab=detail&amp;rf=Y</t>
        </is>
      </c>
      <c r="AA685" s="0" t="inlineStr">
        <is>
          <t>서울시 강동구 길동 384-1</t>
        </is>
      </c>
      <c r="AB685" s="0" t="inlineStr">
        <is>
          <t>서울시</t>
        </is>
      </c>
      <c r="AC685" s="0" t="inlineStr">
        <is>
          <t>강동구</t>
        </is>
      </c>
      <c r="AD685" s="0" t="inlineStr">
        <is>
          <t>길동</t>
        </is>
      </c>
      <c r="AG685" s="0" t="inlineStr">
        <is>
          <t>서울시 강동구 성안로 176</t>
        </is>
      </c>
      <c r="AH685" s="0" t="n">
        <v>0</v>
      </c>
      <c r="AI685" s="0" t="n">
        <v>0</v>
      </c>
      <c r="AJ685" s="0" t="n">
        <v>0</v>
      </c>
      <c r="AK685" s="0" t="n">
        <v>320</v>
      </c>
      <c r="AL685" s="0" t="n">
        <v>1.01</v>
      </c>
    </row>
    <row r="686">
      <c r="A686" s="0" t="inlineStr">
        <is>
          <t>[길동]</t>
        </is>
      </c>
      <c r="B686" s="0" t="n">
        <v>11980</v>
      </c>
      <c r="C686" s="0" t="n">
        <v>12</v>
      </c>
      <c r="D686" s="0" t="inlineStr">
        <is>
          <t>한빛</t>
        </is>
      </c>
      <c r="E686" s="0" t="inlineStr">
        <is>
          <t>2001.10.</t>
        </is>
      </c>
      <c r="F686" s="0" t="n">
        <v>317</v>
      </c>
      <c r="G686" s="0" t="n">
        <v>27.42</v>
      </c>
      <c r="H686" s="0" t="n">
        <v>90.65000000000001</v>
      </c>
      <c r="I686" s="0" t="n">
        <v>20.3</v>
      </c>
      <c r="J686" s="0" t="n">
        <v>67.14</v>
      </c>
      <c r="K686" s="0" t="n">
        <v>2</v>
      </c>
      <c r="T686" s="0" t="n">
        <v>2</v>
      </c>
      <c r="U686" s="0" t="n">
        <v>1</v>
      </c>
      <c r="V686" s="0" t="inlineStr">
        <is>
          <t>계단식</t>
        </is>
      </c>
      <c r="W686" s="0" t="inlineStr">
        <is>
          <t>90C</t>
        </is>
      </c>
      <c r="X686" s="0" t="n">
        <v>18</v>
      </c>
      <c r="Y686" s="0" t="n">
        <v>11</v>
      </c>
      <c r="Z686" s="0" t="inlineStr">
        <is>
          <t>https://new.land.naver.com/complexes/11980?tab=detail&amp;rf=Y</t>
        </is>
      </c>
      <c r="AA686" s="0" t="inlineStr">
        <is>
          <t>서울시 강동구 길동 384-1</t>
        </is>
      </c>
      <c r="AB686" s="0" t="inlineStr">
        <is>
          <t>서울시</t>
        </is>
      </c>
      <c r="AC686" s="0" t="inlineStr">
        <is>
          <t>강동구</t>
        </is>
      </c>
      <c r="AD686" s="0" t="inlineStr">
        <is>
          <t>길동</t>
        </is>
      </c>
      <c r="AG686" s="0" t="inlineStr">
        <is>
          <t>서울시 강동구 성안로 176</t>
        </is>
      </c>
      <c r="AH686" s="0" t="n">
        <v>0</v>
      </c>
      <c r="AI686" s="0" t="n">
        <v>0</v>
      </c>
      <c r="AJ686" s="0" t="n">
        <v>0</v>
      </c>
      <c r="AK686" s="0" t="n">
        <v>320</v>
      </c>
      <c r="AL686" s="0" t="n">
        <v>1.01</v>
      </c>
    </row>
    <row r="687">
      <c r="A687" s="0" t="inlineStr">
        <is>
          <t>[길동]</t>
        </is>
      </c>
      <c r="B687" s="0" t="n">
        <v>11980</v>
      </c>
      <c r="C687" s="0" t="n">
        <v>13</v>
      </c>
      <c r="D687" s="0" t="inlineStr">
        <is>
          <t>한빛</t>
        </is>
      </c>
      <c r="E687" s="0" t="inlineStr">
        <is>
          <t>2001.10.</t>
        </is>
      </c>
      <c r="F687" s="0" t="n">
        <v>317</v>
      </c>
      <c r="G687" s="0" t="n">
        <v>28.76</v>
      </c>
      <c r="H687" s="0" t="n">
        <v>95.09</v>
      </c>
      <c r="I687" s="0" t="n">
        <v>23.63</v>
      </c>
      <c r="J687" s="0" t="n">
        <v>78.13</v>
      </c>
      <c r="K687" s="0" t="n">
        <v>1</v>
      </c>
      <c r="T687" s="0" t="n">
        <v>3</v>
      </c>
      <c r="U687" s="0" t="n">
        <v>2</v>
      </c>
      <c r="V687" s="0" t="inlineStr">
        <is>
          <t>계단식</t>
        </is>
      </c>
      <c r="W687" s="0" t="n">
        <v>95</v>
      </c>
      <c r="X687" s="0" t="n">
        <v>18</v>
      </c>
      <c r="Y687" s="0" t="n">
        <v>11</v>
      </c>
      <c r="Z687" s="0" t="inlineStr">
        <is>
          <t>https://new.land.naver.com/complexes/11980?tab=detail&amp;rf=Y</t>
        </is>
      </c>
      <c r="AA687" s="0" t="inlineStr">
        <is>
          <t>서울시 강동구 길동 384-1</t>
        </is>
      </c>
      <c r="AB687" s="0" t="inlineStr">
        <is>
          <t>서울시</t>
        </is>
      </c>
      <c r="AC687" s="0" t="inlineStr">
        <is>
          <t>강동구</t>
        </is>
      </c>
      <c r="AD687" s="0" t="inlineStr">
        <is>
          <t>길동</t>
        </is>
      </c>
      <c r="AG687" s="0" t="inlineStr">
        <is>
          <t>서울시 강동구 성안로 176</t>
        </is>
      </c>
      <c r="AH687" s="0" t="n">
        <v>0</v>
      </c>
      <c r="AI687" s="0" t="n">
        <v>0</v>
      </c>
      <c r="AJ687" s="0" t="n">
        <v>0</v>
      </c>
      <c r="AK687" s="0" t="n">
        <v>320</v>
      </c>
      <c r="AL687" s="0" t="n">
        <v>1.01</v>
      </c>
    </row>
    <row r="688">
      <c r="A688" s="0" t="inlineStr">
        <is>
          <t>[길동]</t>
        </is>
      </c>
      <c r="B688" s="0" t="n">
        <v>11980</v>
      </c>
      <c r="C688" s="0" t="n">
        <v>14</v>
      </c>
      <c r="D688" s="0" t="inlineStr">
        <is>
          <t>한빛</t>
        </is>
      </c>
      <c r="E688" s="0" t="inlineStr">
        <is>
          <t>2001.10.</t>
        </is>
      </c>
      <c r="F688" s="0" t="n">
        <v>317</v>
      </c>
      <c r="G688" s="0" t="n">
        <v>29.57</v>
      </c>
      <c r="H688" s="0" t="n">
        <v>97.78</v>
      </c>
      <c r="I688" s="0" t="n">
        <v>21.9</v>
      </c>
      <c r="J688" s="0" t="n">
        <v>72.41</v>
      </c>
      <c r="K688" s="0" t="n">
        <v>108</v>
      </c>
      <c r="T688" s="0" t="n">
        <v>3</v>
      </c>
      <c r="U688" s="0" t="n">
        <v>2</v>
      </c>
      <c r="V688" s="0" t="inlineStr">
        <is>
          <t>계단식</t>
        </is>
      </c>
      <c r="W688" s="0" t="inlineStr">
        <is>
          <t>97A</t>
        </is>
      </c>
      <c r="X688" s="0" t="n">
        <v>18</v>
      </c>
      <c r="Y688" s="0" t="n">
        <v>11</v>
      </c>
      <c r="Z688" s="0" t="inlineStr">
        <is>
          <t>https://new.land.naver.com/complexes/11980?tab=detail&amp;rf=Y</t>
        </is>
      </c>
      <c r="AA688" s="0" t="inlineStr">
        <is>
          <t>서울시 강동구 길동 384-1</t>
        </is>
      </c>
      <c r="AB688" s="0" t="inlineStr">
        <is>
          <t>서울시</t>
        </is>
      </c>
      <c r="AC688" s="0" t="inlineStr">
        <is>
          <t>강동구</t>
        </is>
      </c>
      <c r="AD688" s="0" t="inlineStr">
        <is>
          <t>길동</t>
        </is>
      </c>
      <c r="AG688" s="0" t="inlineStr">
        <is>
          <t>서울시 강동구 성안로 176</t>
        </is>
      </c>
      <c r="AH688" s="0" t="n">
        <v>0</v>
      </c>
      <c r="AI688" s="0" t="n">
        <v>0</v>
      </c>
      <c r="AJ688" s="0" t="n">
        <v>0</v>
      </c>
      <c r="AK688" s="0" t="n">
        <v>320</v>
      </c>
      <c r="AL688" s="0" t="n">
        <v>1.01</v>
      </c>
    </row>
    <row r="689">
      <c r="A689" s="0" t="inlineStr">
        <is>
          <t>[길동]</t>
        </is>
      </c>
      <c r="B689" s="0" t="n">
        <v>11980</v>
      </c>
      <c r="C689" s="0" t="n">
        <v>15</v>
      </c>
      <c r="D689" s="0" t="inlineStr">
        <is>
          <t>한빛</t>
        </is>
      </c>
      <c r="E689" s="0" t="inlineStr">
        <is>
          <t>2001.10.</t>
        </is>
      </c>
      <c r="F689" s="0" t="n">
        <v>317</v>
      </c>
      <c r="G689" s="0" t="n">
        <v>29.94</v>
      </c>
      <c r="H689" s="0" t="n">
        <v>98.98999999999999</v>
      </c>
      <c r="I689" s="0" t="n">
        <v>24.6</v>
      </c>
      <c r="J689" s="0" t="n">
        <v>81.33</v>
      </c>
      <c r="K689" s="0" t="n">
        <v>8</v>
      </c>
      <c r="T689" s="0" t="n">
        <v>3</v>
      </c>
      <c r="U689" s="0" t="n">
        <v>2</v>
      </c>
      <c r="V689" s="0" t="inlineStr">
        <is>
          <t>계단식</t>
        </is>
      </c>
      <c r="W689" s="0" t="inlineStr">
        <is>
          <t>98B</t>
        </is>
      </c>
      <c r="X689" s="0" t="n">
        <v>18</v>
      </c>
      <c r="Y689" s="0" t="n">
        <v>11</v>
      </c>
      <c r="Z689" s="0" t="inlineStr">
        <is>
          <t>https://new.land.naver.com/complexes/11980?tab=detail&amp;rf=Y</t>
        </is>
      </c>
      <c r="AA689" s="0" t="inlineStr">
        <is>
          <t>서울시 강동구 길동 384-1</t>
        </is>
      </c>
      <c r="AB689" s="0" t="inlineStr">
        <is>
          <t>서울시</t>
        </is>
      </c>
      <c r="AC689" s="0" t="inlineStr">
        <is>
          <t>강동구</t>
        </is>
      </c>
      <c r="AD689" s="0" t="inlineStr">
        <is>
          <t>길동</t>
        </is>
      </c>
      <c r="AG689" s="0" t="inlineStr">
        <is>
          <t>서울시 강동구 성안로 176</t>
        </is>
      </c>
      <c r="AH689" s="0" t="n">
        <v>0</v>
      </c>
      <c r="AI689" s="0" t="n">
        <v>0</v>
      </c>
      <c r="AJ689" s="0" t="n">
        <v>0</v>
      </c>
      <c r="AK689" s="0" t="n">
        <v>320</v>
      </c>
      <c r="AL689" s="0" t="n">
        <v>1.01</v>
      </c>
    </row>
    <row r="690">
      <c r="A690" s="0" t="inlineStr">
        <is>
          <t>[길동]</t>
        </is>
      </c>
      <c r="B690" s="0" t="n">
        <v>11980</v>
      </c>
      <c r="C690" s="0" t="n">
        <v>16</v>
      </c>
      <c r="D690" s="0" t="inlineStr">
        <is>
          <t>한빛</t>
        </is>
      </c>
      <c r="E690" s="0" t="inlineStr">
        <is>
          <t>2001.10.</t>
        </is>
      </c>
      <c r="F690" s="0" t="n">
        <v>317</v>
      </c>
      <c r="G690" s="0" t="n">
        <v>30.6</v>
      </c>
      <c r="H690" s="0" t="n">
        <v>101.16</v>
      </c>
      <c r="I690" s="0" t="n">
        <v>25.14</v>
      </c>
      <c r="J690" s="0" t="n">
        <v>83.11</v>
      </c>
      <c r="K690" s="0" t="n">
        <v>38</v>
      </c>
      <c r="T690" s="0" t="n">
        <v>3</v>
      </c>
      <c r="U690" s="0" t="n">
        <v>2</v>
      </c>
      <c r="V690" s="0" t="inlineStr">
        <is>
          <t>계단식</t>
        </is>
      </c>
      <c r="W690" s="0" t="n">
        <v>101</v>
      </c>
      <c r="X690" s="0" t="n">
        <v>18</v>
      </c>
      <c r="Y690" s="0" t="n">
        <v>11</v>
      </c>
      <c r="Z690" s="0" t="inlineStr">
        <is>
          <t>https://new.land.naver.com/complexes/11980?tab=detail&amp;rf=Y</t>
        </is>
      </c>
      <c r="AA690" s="0" t="inlineStr">
        <is>
          <t>서울시 강동구 길동 384-1</t>
        </is>
      </c>
      <c r="AB690" s="0" t="inlineStr">
        <is>
          <t>서울시</t>
        </is>
      </c>
      <c r="AC690" s="0" t="inlineStr">
        <is>
          <t>강동구</t>
        </is>
      </c>
      <c r="AD690" s="0" t="inlineStr">
        <is>
          <t>길동</t>
        </is>
      </c>
      <c r="AG690" s="0" t="inlineStr">
        <is>
          <t>서울시 강동구 성안로 176</t>
        </is>
      </c>
      <c r="AH690" s="0" t="n">
        <v>0</v>
      </c>
      <c r="AI690" s="0" t="n">
        <v>0</v>
      </c>
      <c r="AJ690" s="0" t="n">
        <v>0</v>
      </c>
      <c r="AK690" s="0" t="n">
        <v>320</v>
      </c>
      <c r="AL690" s="0" t="n">
        <v>1.01</v>
      </c>
    </row>
    <row r="691">
      <c r="A691" s="0" t="inlineStr">
        <is>
          <t>[길동]</t>
        </is>
      </c>
      <c r="B691" s="0" t="n">
        <v>11980</v>
      </c>
      <c r="C691" s="0" t="n">
        <v>17</v>
      </c>
      <c r="D691" s="0" t="inlineStr">
        <is>
          <t>한빛</t>
        </is>
      </c>
      <c r="E691" s="0" t="inlineStr">
        <is>
          <t>2001.10.</t>
        </is>
      </c>
      <c r="F691" s="0" t="n">
        <v>317</v>
      </c>
      <c r="G691" s="0" t="n">
        <v>34.62</v>
      </c>
      <c r="H691" s="0" t="n">
        <v>114.47</v>
      </c>
      <c r="I691" s="0" t="n">
        <v>25.64</v>
      </c>
      <c r="J691" s="0" t="n">
        <v>84.77</v>
      </c>
      <c r="K691" s="0" t="n">
        <v>12</v>
      </c>
      <c r="T691" s="0" t="n">
        <v>3</v>
      </c>
      <c r="U691" s="0" t="n">
        <v>2</v>
      </c>
      <c r="V691" s="0" t="inlineStr">
        <is>
          <t>계단식</t>
        </is>
      </c>
      <c r="W691" s="0" t="n">
        <v>114</v>
      </c>
      <c r="X691" s="0" t="n">
        <v>18</v>
      </c>
      <c r="Y691" s="0" t="n">
        <v>11</v>
      </c>
      <c r="Z691" s="0" t="inlineStr">
        <is>
          <t>https://new.land.naver.com/complexes/11980?tab=detail&amp;rf=Y</t>
        </is>
      </c>
      <c r="AA691" s="0" t="inlineStr">
        <is>
          <t>서울시 강동구 길동 384-1</t>
        </is>
      </c>
      <c r="AB691" s="0" t="inlineStr">
        <is>
          <t>서울시</t>
        </is>
      </c>
      <c r="AC691" s="0" t="inlineStr">
        <is>
          <t>강동구</t>
        </is>
      </c>
      <c r="AD691" s="0" t="inlineStr">
        <is>
          <t>길동</t>
        </is>
      </c>
      <c r="AG691" s="0" t="inlineStr">
        <is>
          <t>서울시 강동구 성안로 176</t>
        </is>
      </c>
      <c r="AH691" s="0" t="n">
        <v>0</v>
      </c>
      <c r="AI691" s="0" t="n">
        <v>0</v>
      </c>
      <c r="AJ691" s="0" t="n">
        <v>0</v>
      </c>
      <c r="AK691" s="0" t="n">
        <v>320</v>
      </c>
      <c r="AL691" s="0" t="n">
        <v>1.01</v>
      </c>
    </row>
    <row r="692">
      <c r="A692" s="0" t="inlineStr">
        <is>
          <t>[길동]</t>
        </is>
      </c>
      <c r="B692" s="0" t="n">
        <v>10979</v>
      </c>
      <c r="C692" s="0" t="n">
        <v>1</v>
      </c>
      <c r="D692" s="0" t="inlineStr">
        <is>
          <t>SM드림빌</t>
        </is>
      </c>
      <c r="E692" s="0" t="inlineStr">
        <is>
          <t>2002.11.</t>
        </is>
      </c>
      <c r="F692" s="0" t="n">
        <v>39</v>
      </c>
      <c r="G692" s="0" t="n">
        <v>21.58</v>
      </c>
      <c r="H692" s="0" t="n">
        <v>71.36</v>
      </c>
      <c r="I692" s="0" t="n">
        <v>17.19</v>
      </c>
      <c r="J692" s="0" t="n">
        <v>56.84</v>
      </c>
      <c r="K692" s="0" t="n">
        <v>4</v>
      </c>
      <c r="T692" s="0" t="n">
        <v>3</v>
      </c>
      <c r="U692" s="0" t="n">
        <v>1</v>
      </c>
      <c r="V692" s="0" t="inlineStr">
        <is>
          <t>계단식</t>
        </is>
      </c>
      <c r="W692" s="0" t="n">
        <v>71</v>
      </c>
      <c r="X692" s="0" t="n">
        <v>8</v>
      </c>
      <c r="Y692" s="0" t="n">
        <v>7</v>
      </c>
      <c r="Z692" s="0" t="inlineStr">
        <is>
          <t>https://new.land.naver.com/complexes/10979?tab=detail&amp;rf=Y</t>
        </is>
      </c>
      <c r="AA692" s="0" t="inlineStr">
        <is>
          <t>서울시 강동구 길동 378-1</t>
        </is>
      </c>
      <c r="AB692" s="0" t="inlineStr">
        <is>
          <t>서울시</t>
        </is>
      </c>
      <c r="AC692" s="0" t="inlineStr">
        <is>
          <t>강동구</t>
        </is>
      </c>
      <c r="AD692" s="0" t="inlineStr">
        <is>
          <t>길동</t>
        </is>
      </c>
      <c r="AG692" s="0" t="inlineStr">
        <is>
          <t>서울시 강동구 양재대로115길 7</t>
        </is>
      </c>
      <c r="AH692" s="0" t="n">
        <v>0</v>
      </c>
      <c r="AI692" s="0" t="n">
        <v>248</v>
      </c>
      <c r="AJ692" s="0" t="n">
        <v>36</v>
      </c>
      <c r="AK692" s="0" t="n">
        <v>42</v>
      </c>
      <c r="AL692" s="0" t="n">
        <v>1.08</v>
      </c>
    </row>
    <row r="693">
      <c r="A693" s="0" t="inlineStr">
        <is>
          <t>[길동]</t>
        </is>
      </c>
      <c r="B693" s="0" t="n">
        <v>10979</v>
      </c>
      <c r="C693" s="0" t="n">
        <v>2</v>
      </c>
      <c r="D693" s="0" t="inlineStr">
        <is>
          <t>SM드림빌</t>
        </is>
      </c>
      <c r="E693" s="0" t="inlineStr">
        <is>
          <t>2002.11.</t>
        </is>
      </c>
      <c r="F693" s="0" t="n">
        <v>39</v>
      </c>
      <c r="G693" s="0" t="n">
        <v>28.93</v>
      </c>
      <c r="H693" s="0" t="n">
        <v>95.66</v>
      </c>
      <c r="I693" s="0" t="n">
        <v>23.3</v>
      </c>
      <c r="J693" s="0" t="n">
        <v>77.05</v>
      </c>
      <c r="K693" s="0" t="n">
        <v>10</v>
      </c>
      <c r="T693" s="0" t="n">
        <v>3</v>
      </c>
      <c r="U693" s="0" t="n">
        <v>2</v>
      </c>
      <c r="V693" s="0" t="inlineStr">
        <is>
          <t>계단식</t>
        </is>
      </c>
      <c r="W693" s="0" t="n">
        <v>95</v>
      </c>
      <c r="X693" s="0" t="n">
        <v>8</v>
      </c>
      <c r="Y693" s="0" t="n">
        <v>7</v>
      </c>
      <c r="Z693" s="0" t="inlineStr">
        <is>
          <t>https://new.land.naver.com/complexes/10979?tab=detail&amp;rf=Y</t>
        </is>
      </c>
      <c r="AA693" s="0" t="inlineStr">
        <is>
          <t>서울시 강동구 길동 378-1</t>
        </is>
      </c>
      <c r="AB693" s="0" t="inlineStr">
        <is>
          <t>서울시</t>
        </is>
      </c>
      <c r="AC693" s="0" t="inlineStr">
        <is>
          <t>강동구</t>
        </is>
      </c>
      <c r="AD693" s="0" t="inlineStr">
        <is>
          <t>길동</t>
        </is>
      </c>
      <c r="AG693" s="0" t="inlineStr">
        <is>
          <t>서울시 강동구 양재대로115길 7</t>
        </is>
      </c>
      <c r="AH693" s="0" t="n">
        <v>0</v>
      </c>
      <c r="AI693" s="0" t="n">
        <v>248</v>
      </c>
      <c r="AJ693" s="0" t="n">
        <v>36</v>
      </c>
      <c r="AK693" s="0" t="n">
        <v>42</v>
      </c>
      <c r="AL693" s="0" t="n">
        <v>1.08</v>
      </c>
    </row>
    <row r="694">
      <c r="A694" s="0" t="inlineStr">
        <is>
          <t>[길동]</t>
        </is>
      </c>
      <c r="B694" s="0" t="n">
        <v>10979</v>
      </c>
      <c r="C694" s="0" t="n">
        <v>3</v>
      </c>
      <c r="D694" s="0" t="inlineStr">
        <is>
          <t>SM드림빌</t>
        </is>
      </c>
      <c r="E694" s="0" t="inlineStr">
        <is>
          <t>2002.11.</t>
        </is>
      </c>
      <c r="F694" s="0" t="n">
        <v>39</v>
      </c>
      <c r="G694" s="0" t="n">
        <v>31.14</v>
      </c>
      <c r="H694" s="0" t="n">
        <v>102.96</v>
      </c>
      <c r="I694" s="0" t="n">
        <v>25.03</v>
      </c>
      <c r="J694" s="0" t="n">
        <v>82.77</v>
      </c>
      <c r="K694" s="0" t="n">
        <v>25</v>
      </c>
      <c r="T694" s="0" t="n">
        <v>3</v>
      </c>
      <c r="U694" s="0" t="n">
        <v>2</v>
      </c>
      <c r="V694" s="0" t="inlineStr">
        <is>
          <t>계단식</t>
        </is>
      </c>
      <c r="W694" s="0" t="n">
        <v>102</v>
      </c>
      <c r="X694" s="0" t="n">
        <v>8</v>
      </c>
      <c r="Y694" s="0" t="n">
        <v>7</v>
      </c>
      <c r="Z694" s="0" t="inlineStr">
        <is>
          <t>https://new.land.naver.com/complexes/10979?tab=detail&amp;rf=Y</t>
        </is>
      </c>
      <c r="AA694" s="0" t="inlineStr">
        <is>
          <t>서울시 강동구 길동 378-1</t>
        </is>
      </c>
      <c r="AB694" s="0" t="inlineStr">
        <is>
          <t>서울시</t>
        </is>
      </c>
      <c r="AC694" s="0" t="inlineStr">
        <is>
          <t>강동구</t>
        </is>
      </c>
      <c r="AD694" s="0" t="inlineStr">
        <is>
          <t>길동</t>
        </is>
      </c>
      <c r="AG694" s="0" t="inlineStr">
        <is>
          <t>서울시 강동구 양재대로115길 7</t>
        </is>
      </c>
      <c r="AH694" s="0" t="n">
        <v>0</v>
      </c>
      <c r="AI694" s="0" t="n">
        <v>248</v>
      </c>
      <c r="AJ694" s="0" t="n">
        <v>36</v>
      </c>
      <c r="AK694" s="0" t="n">
        <v>42</v>
      </c>
      <c r="AL694" s="0" t="n">
        <v>1.08</v>
      </c>
    </row>
    <row r="695">
      <c r="A695" s="0" t="inlineStr">
        <is>
          <t>[길동]</t>
        </is>
      </c>
      <c r="B695" s="0" t="n">
        <v>25468</v>
      </c>
      <c r="C695" s="0" t="n">
        <v>1</v>
      </c>
      <c r="D695" s="0" t="inlineStr">
        <is>
          <t>하이브</t>
        </is>
      </c>
      <c r="E695" s="0" t="inlineStr">
        <is>
          <t>2006.11.</t>
        </is>
      </c>
      <c r="F695" s="0" t="n">
        <v>73</v>
      </c>
      <c r="G695" s="0" t="n">
        <v>16.54</v>
      </c>
      <c r="H695" s="0" t="n">
        <v>54.69</v>
      </c>
      <c r="I695" s="0" t="n">
        <v>13.95</v>
      </c>
      <c r="J695" s="0" t="n">
        <v>46.13</v>
      </c>
      <c r="K695" s="0" t="n">
        <v>1</v>
      </c>
      <c r="T695" s="0" t="n">
        <v>2</v>
      </c>
      <c r="U695" s="0" t="n">
        <v>1</v>
      </c>
      <c r="V695" s="0" t="inlineStr">
        <is>
          <t>계단식</t>
        </is>
      </c>
      <c r="W695" s="0" t="inlineStr">
        <is>
          <t>54G</t>
        </is>
      </c>
      <c r="X695" s="0" t="n">
        <v>13</v>
      </c>
      <c r="Y695" s="0" t="n">
        <v>10</v>
      </c>
      <c r="Z695" s="0" t="inlineStr">
        <is>
          <t>https://new.land.naver.com/complexes/25468?tab=detail&amp;rf=Y</t>
        </is>
      </c>
      <c r="AA695" s="0" t="inlineStr">
        <is>
          <t>서울시 강동구 길동 456-2</t>
        </is>
      </c>
      <c r="AB695" s="0" t="inlineStr">
        <is>
          <t>서울시</t>
        </is>
      </c>
      <c r="AC695" s="0" t="inlineStr">
        <is>
          <t>강동구</t>
        </is>
      </c>
      <c r="AD695" s="0" t="inlineStr">
        <is>
          <t>길동</t>
        </is>
      </c>
      <c r="AG695" s="0" t="inlineStr">
        <is>
          <t>서울시 강동구 진황도로 100</t>
        </is>
      </c>
      <c r="AH695" s="0" t="n">
        <v>0</v>
      </c>
      <c r="AI695" s="0" t="n">
        <v>564</v>
      </c>
      <c r="AJ695" s="0" t="n">
        <v>59</v>
      </c>
      <c r="AK695" s="0" t="n">
        <v>90</v>
      </c>
      <c r="AL695" s="0" t="n">
        <v>1.23</v>
      </c>
    </row>
    <row r="696">
      <c r="A696" s="0" t="inlineStr">
        <is>
          <t>[길동]</t>
        </is>
      </c>
      <c r="B696" s="0" t="n">
        <v>25468</v>
      </c>
      <c r="C696" s="0" t="n">
        <v>2</v>
      </c>
      <c r="D696" s="0" t="inlineStr">
        <is>
          <t>하이브</t>
        </is>
      </c>
      <c r="E696" s="0" t="inlineStr">
        <is>
          <t>2006.11.</t>
        </is>
      </c>
      <c r="F696" s="0" t="n">
        <v>73</v>
      </c>
      <c r="G696" s="0" t="n">
        <v>18.43</v>
      </c>
      <c r="H696" s="0" t="n">
        <v>60.93</v>
      </c>
      <c r="I696" s="0" t="n">
        <v>15.54</v>
      </c>
      <c r="J696" s="0" t="n">
        <v>51.39</v>
      </c>
      <c r="K696" s="0" t="n">
        <v>2</v>
      </c>
      <c r="T696" s="0" t="n">
        <v>3</v>
      </c>
      <c r="U696" s="0" t="n">
        <v>1</v>
      </c>
      <c r="V696" s="0" t="inlineStr">
        <is>
          <t>계단식</t>
        </is>
      </c>
      <c r="W696" s="0" t="inlineStr">
        <is>
          <t>60F</t>
        </is>
      </c>
      <c r="X696" s="0" t="n">
        <v>13</v>
      </c>
      <c r="Y696" s="0" t="n">
        <v>10</v>
      </c>
      <c r="Z696" s="0" t="inlineStr">
        <is>
          <t>https://new.land.naver.com/complexes/25468?tab=detail&amp;rf=Y</t>
        </is>
      </c>
      <c r="AA696" s="0" t="inlineStr">
        <is>
          <t>서울시 강동구 길동 456-2</t>
        </is>
      </c>
      <c r="AB696" s="0" t="inlineStr">
        <is>
          <t>서울시</t>
        </is>
      </c>
      <c r="AC696" s="0" t="inlineStr">
        <is>
          <t>강동구</t>
        </is>
      </c>
      <c r="AD696" s="0" t="inlineStr">
        <is>
          <t>길동</t>
        </is>
      </c>
      <c r="AG696" s="0" t="inlineStr">
        <is>
          <t>서울시 강동구 진황도로 100</t>
        </is>
      </c>
      <c r="AH696" s="0" t="n">
        <v>0</v>
      </c>
      <c r="AI696" s="0" t="n">
        <v>564</v>
      </c>
      <c r="AJ696" s="0" t="n">
        <v>59</v>
      </c>
      <c r="AK696" s="0" t="n">
        <v>90</v>
      </c>
      <c r="AL696" s="0" t="n">
        <v>1.23</v>
      </c>
    </row>
    <row r="697">
      <c r="A697" s="0" t="inlineStr">
        <is>
          <t>[길동]</t>
        </is>
      </c>
      <c r="B697" s="0" t="n">
        <v>25468</v>
      </c>
      <c r="C697" s="0" t="n">
        <v>3</v>
      </c>
      <c r="D697" s="0" t="inlineStr">
        <is>
          <t>하이브</t>
        </is>
      </c>
      <c r="E697" s="0" t="inlineStr">
        <is>
          <t>2006.11.</t>
        </is>
      </c>
      <c r="F697" s="0" t="n">
        <v>73</v>
      </c>
      <c r="G697" s="0" t="n">
        <v>21.5</v>
      </c>
      <c r="H697" s="0" t="n">
        <v>71.09999999999999</v>
      </c>
      <c r="I697" s="0" t="n">
        <v>18.14</v>
      </c>
      <c r="J697" s="0" t="n">
        <v>59.97</v>
      </c>
      <c r="K697" s="0" t="n">
        <v>12</v>
      </c>
      <c r="T697" s="0" t="n">
        <v>3</v>
      </c>
      <c r="U697" s="0" t="n">
        <v>1</v>
      </c>
      <c r="V697" s="0" t="inlineStr">
        <is>
          <t>계단식</t>
        </is>
      </c>
      <c r="W697" s="0" t="inlineStr">
        <is>
          <t>71E</t>
        </is>
      </c>
      <c r="X697" s="0" t="n">
        <v>13</v>
      </c>
      <c r="Y697" s="0" t="n">
        <v>10</v>
      </c>
      <c r="Z697" s="0" t="inlineStr">
        <is>
          <t>https://new.land.naver.com/complexes/25468?tab=detail&amp;rf=Y</t>
        </is>
      </c>
      <c r="AA697" s="0" t="inlineStr">
        <is>
          <t>서울시 강동구 길동 456-2</t>
        </is>
      </c>
      <c r="AB697" s="0" t="inlineStr">
        <is>
          <t>서울시</t>
        </is>
      </c>
      <c r="AC697" s="0" t="inlineStr">
        <is>
          <t>강동구</t>
        </is>
      </c>
      <c r="AD697" s="0" t="inlineStr">
        <is>
          <t>길동</t>
        </is>
      </c>
      <c r="AG697" s="0" t="inlineStr">
        <is>
          <t>서울시 강동구 진황도로 100</t>
        </is>
      </c>
      <c r="AH697" s="0" t="n">
        <v>0</v>
      </c>
      <c r="AI697" s="0" t="n">
        <v>564</v>
      </c>
      <c r="AJ697" s="0" t="n">
        <v>59</v>
      </c>
      <c r="AK697" s="0" t="n">
        <v>90</v>
      </c>
      <c r="AL697" s="0" t="n">
        <v>1.23</v>
      </c>
    </row>
    <row r="698">
      <c r="A698" s="0" t="inlineStr">
        <is>
          <t>[길동]</t>
        </is>
      </c>
      <c r="B698" s="0" t="n">
        <v>25468</v>
      </c>
      <c r="C698" s="0" t="n">
        <v>4</v>
      </c>
      <c r="D698" s="0" t="inlineStr">
        <is>
          <t>하이브</t>
        </is>
      </c>
      <c r="E698" s="0" t="inlineStr">
        <is>
          <t>2006.11.</t>
        </is>
      </c>
      <c r="F698" s="0" t="n">
        <v>73</v>
      </c>
      <c r="G698" s="0" t="n">
        <v>22.31</v>
      </c>
      <c r="H698" s="0" t="n">
        <v>73.77</v>
      </c>
      <c r="I698" s="0" t="n">
        <v>18.94</v>
      </c>
      <c r="J698" s="0" t="n">
        <v>62.64</v>
      </c>
      <c r="K698" s="0" t="n">
        <v>1</v>
      </c>
      <c r="T698" s="0" t="n">
        <v>2</v>
      </c>
      <c r="U698" s="0" t="n">
        <v>1</v>
      </c>
      <c r="V698" s="0" t="inlineStr">
        <is>
          <t>계단식</t>
        </is>
      </c>
      <c r="W698" s="0" t="inlineStr">
        <is>
          <t>73M</t>
        </is>
      </c>
      <c r="X698" s="0" t="n">
        <v>13</v>
      </c>
      <c r="Y698" s="0" t="n">
        <v>10</v>
      </c>
      <c r="Z698" s="0" t="inlineStr">
        <is>
          <t>https://new.land.naver.com/complexes/25468?tab=detail&amp;rf=Y</t>
        </is>
      </c>
      <c r="AA698" s="0" t="inlineStr">
        <is>
          <t>서울시 강동구 길동 456-2</t>
        </is>
      </c>
      <c r="AB698" s="0" t="inlineStr">
        <is>
          <t>서울시</t>
        </is>
      </c>
      <c r="AC698" s="0" t="inlineStr">
        <is>
          <t>강동구</t>
        </is>
      </c>
      <c r="AD698" s="0" t="inlineStr">
        <is>
          <t>길동</t>
        </is>
      </c>
      <c r="AG698" s="0" t="inlineStr">
        <is>
          <t>서울시 강동구 진황도로 100</t>
        </is>
      </c>
      <c r="AH698" s="0" t="n">
        <v>0</v>
      </c>
      <c r="AI698" s="0" t="n">
        <v>564</v>
      </c>
      <c r="AJ698" s="0" t="n">
        <v>59</v>
      </c>
      <c r="AK698" s="0" t="n">
        <v>90</v>
      </c>
      <c r="AL698" s="0" t="n">
        <v>1.23</v>
      </c>
    </row>
    <row r="699">
      <c r="A699" s="0" t="inlineStr">
        <is>
          <t>[길동]</t>
        </is>
      </c>
      <c r="B699" s="0" t="n">
        <v>25468</v>
      </c>
      <c r="C699" s="0" t="n">
        <v>5</v>
      </c>
      <c r="D699" s="0" t="inlineStr">
        <is>
          <t>하이브</t>
        </is>
      </c>
      <c r="E699" s="0" t="inlineStr">
        <is>
          <t>2006.11.</t>
        </is>
      </c>
      <c r="F699" s="0" t="n">
        <v>73</v>
      </c>
      <c r="G699" s="0" t="n">
        <v>24.75</v>
      </c>
      <c r="H699" s="0" t="n">
        <v>81.83</v>
      </c>
      <c r="I699" s="0" t="n">
        <v>20.87</v>
      </c>
      <c r="J699" s="0" t="n">
        <v>69.02</v>
      </c>
      <c r="K699" s="0" t="n">
        <v>1</v>
      </c>
      <c r="T699" s="0" t="n">
        <v>3</v>
      </c>
      <c r="U699" s="0" t="n">
        <v>2</v>
      </c>
      <c r="V699" s="0" t="inlineStr">
        <is>
          <t>계단식</t>
        </is>
      </c>
      <c r="W699" s="0" t="inlineStr">
        <is>
          <t>81K</t>
        </is>
      </c>
      <c r="X699" s="0" t="n">
        <v>13</v>
      </c>
      <c r="Y699" s="0" t="n">
        <v>10</v>
      </c>
      <c r="Z699" s="0" t="inlineStr">
        <is>
          <t>https://new.land.naver.com/complexes/25468?tab=detail&amp;rf=Y</t>
        </is>
      </c>
      <c r="AA699" s="0" t="inlineStr">
        <is>
          <t>서울시 강동구 길동 456-2</t>
        </is>
      </c>
      <c r="AB699" s="0" t="inlineStr">
        <is>
          <t>서울시</t>
        </is>
      </c>
      <c r="AC699" s="0" t="inlineStr">
        <is>
          <t>강동구</t>
        </is>
      </c>
      <c r="AD699" s="0" t="inlineStr">
        <is>
          <t>길동</t>
        </is>
      </c>
      <c r="AG699" s="0" t="inlineStr">
        <is>
          <t>서울시 강동구 진황도로 100</t>
        </is>
      </c>
      <c r="AH699" s="0" t="n">
        <v>0</v>
      </c>
      <c r="AI699" s="0" t="n">
        <v>564</v>
      </c>
      <c r="AJ699" s="0" t="n">
        <v>59</v>
      </c>
      <c r="AK699" s="0" t="n">
        <v>90</v>
      </c>
      <c r="AL699" s="0" t="n">
        <v>1.23</v>
      </c>
    </row>
    <row r="700">
      <c r="A700" s="0" t="inlineStr">
        <is>
          <t>[길동]</t>
        </is>
      </c>
      <c r="B700" s="0" t="n">
        <v>25468</v>
      </c>
      <c r="C700" s="0" t="n">
        <v>6</v>
      </c>
      <c r="D700" s="0" t="inlineStr">
        <is>
          <t>하이브</t>
        </is>
      </c>
      <c r="E700" s="0" t="inlineStr">
        <is>
          <t>2006.11.</t>
        </is>
      </c>
      <c r="F700" s="0" t="n">
        <v>73</v>
      </c>
      <c r="G700" s="0" t="n">
        <v>27.53</v>
      </c>
      <c r="H700" s="0" t="n">
        <v>91.03</v>
      </c>
      <c r="I700" s="0" t="n">
        <v>23.22</v>
      </c>
      <c r="J700" s="0" t="n">
        <v>76.78</v>
      </c>
      <c r="K700" s="0" t="n">
        <v>1</v>
      </c>
      <c r="T700" s="0" t="n">
        <v>4</v>
      </c>
      <c r="U700" s="0" t="n">
        <v>1</v>
      </c>
      <c r="V700" s="0" t="inlineStr">
        <is>
          <t>계단식</t>
        </is>
      </c>
      <c r="W700" s="0" t="inlineStr">
        <is>
          <t>91L</t>
        </is>
      </c>
      <c r="X700" s="0" t="n">
        <v>13</v>
      </c>
      <c r="Y700" s="0" t="n">
        <v>10</v>
      </c>
      <c r="Z700" s="0" t="inlineStr">
        <is>
          <t>https://new.land.naver.com/complexes/25468?tab=detail&amp;rf=Y</t>
        </is>
      </c>
      <c r="AA700" s="0" t="inlineStr">
        <is>
          <t>서울시 강동구 길동 456-2</t>
        </is>
      </c>
      <c r="AB700" s="0" t="inlineStr">
        <is>
          <t>서울시</t>
        </is>
      </c>
      <c r="AC700" s="0" t="inlineStr">
        <is>
          <t>강동구</t>
        </is>
      </c>
      <c r="AD700" s="0" t="inlineStr">
        <is>
          <t>길동</t>
        </is>
      </c>
      <c r="AG700" s="0" t="inlineStr">
        <is>
          <t>서울시 강동구 진황도로 100</t>
        </is>
      </c>
      <c r="AH700" s="0" t="n">
        <v>0</v>
      </c>
      <c r="AI700" s="0" t="n">
        <v>564</v>
      </c>
      <c r="AJ700" s="0" t="n">
        <v>59</v>
      </c>
      <c r="AK700" s="0" t="n">
        <v>90</v>
      </c>
      <c r="AL700" s="0" t="n">
        <v>1.23</v>
      </c>
    </row>
    <row r="701">
      <c r="A701" s="0" t="inlineStr">
        <is>
          <t>[길동]</t>
        </is>
      </c>
      <c r="B701" s="0" t="n">
        <v>25468</v>
      </c>
      <c r="C701" s="0" t="n">
        <v>7</v>
      </c>
      <c r="D701" s="0" t="inlineStr">
        <is>
          <t>하이브</t>
        </is>
      </c>
      <c r="E701" s="0" t="inlineStr">
        <is>
          <t>2006.11.</t>
        </is>
      </c>
      <c r="F701" s="0" t="n">
        <v>73</v>
      </c>
      <c r="G701" s="0" t="n">
        <v>28.07</v>
      </c>
      <c r="H701" s="0" t="n">
        <v>92.81</v>
      </c>
      <c r="I701" s="0" t="n">
        <v>23.67</v>
      </c>
      <c r="J701" s="0" t="n">
        <v>78.28</v>
      </c>
      <c r="K701" s="0" t="n">
        <v>8</v>
      </c>
      <c r="T701" s="0" t="n">
        <v>3</v>
      </c>
      <c r="U701" s="0" t="n">
        <v>2</v>
      </c>
      <c r="V701" s="0" t="inlineStr">
        <is>
          <t>계단식</t>
        </is>
      </c>
      <c r="W701" s="0" t="inlineStr">
        <is>
          <t>92B</t>
        </is>
      </c>
      <c r="X701" s="0" t="n">
        <v>13</v>
      </c>
      <c r="Y701" s="0" t="n">
        <v>10</v>
      </c>
      <c r="Z701" s="0" t="inlineStr">
        <is>
          <t>https://new.land.naver.com/complexes/25468?tab=detail&amp;rf=Y</t>
        </is>
      </c>
      <c r="AA701" s="0" t="inlineStr">
        <is>
          <t>서울시 강동구 길동 456-2</t>
        </is>
      </c>
      <c r="AB701" s="0" t="inlineStr">
        <is>
          <t>서울시</t>
        </is>
      </c>
      <c r="AC701" s="0" t="inlineStr">
        <is>
          <t>강동구</t>
        </is>
      </c>
      <c r="AD701" s="0" t="inlineStr">
        <is>
          <t>길동</t>
        </is>
      </c>
      <c r="AG701" s="0" t="inlineStr">
        <is>
          <t>서울시 강동구 진황도로 100</t>
        </is>
      </c>
      <c r="AH701" s="0" t="n">
        <v>0</v>
      </c>
      <c r="AI701" s="0" t="n">
        <v>564</v>
      </c>
      <c r="AJ701" s="0" t="n">
        <v>59</v>
      </c>
      <c r="AK701" s="0" t="n">
        <v>90</v>
      </c>
      <c r="AL701" s="0" t="n">
        <v>1.23</v>
      </c>
    </row>
    <row r="702">
      <c r="A702" s="0" t="inlineStr">
        <is>
          <t>[길동]</t>
        </is>
      </c>
      <c r="B702" s="0" t="n">
        <v>25468</v>
      </c>
      <c r="C702" s="0" t="n">
        <v>8</v>
      </c>
      <c r="D702" s="0" t="inlineStr">
        <is>
          <t>하이브</t>
        </is>
      </c>
      <c r="E702" s="0" t="inlineStr">
        <is>
          <t>2006.11.</t>
        </is>
      </c>
      <c r="F702" s="0" t="n">
        <v>73</v>
      </c>
      <c r="G702" s="0" t="n">
        <v>28.16</v>
      </c>
      <c r="H702" s="0" t="n">
        <v>93.11</v>
      </c>
      <c r="I702" s="0" t="n">
        <v>23.75</v>
      </c>
      <c r="J702" s="0" t="n">
        <v>78.54000000000001</v>
      </c>
      <c r="K702" s="0" t="n">
        <v>1</v>
      </c>
      <c r="T702" s="0" t="n">
        <v>3</v>
      </c>
      <c r="U702" s="0" t="n">
        <v>2</v>
      </c>
      <c r="V702" s="0" t="inlineStr">
        <is>
          <t>계단식</t>
        </is>
      </c>
      <c r="W702" s="0" t="inlineStr">
        <is>
          <t>93I</t>
        </is>
      </c>
      <c r="X702" s="0" t="n">
        <v>13</v>
      </c>
      <c r="Y702" s="0" t="n">
        <v>10</v>
      </c>
      <c r="Z702" s="0" t="inlineStr">
        <is>
          <t>https://new.land.naver.com/complexes/25468?tab=detail&amp;rf=Y</t>
        </is>
      </c>
      <c r="AA702" s="0" t="inlineStr">
        <is>
          <t>서울시 강동구 길동 456-2</t>
        </is>
      </c>
      <c r="AB702" s="0" t="inlineStr">
        <is>
          <t>서울시</t>
        </is>
      </c>
      <c r="AC702" s="0" t="inlineStr">
        <is>
          <t>강동구</t>
        </is>
      </c>
      <c r="AD702" s="0" t="inlineStr">
        <is>
          <t>길동</t>
        </is>
      </c>
      <c r="AG702" s="0" t="inlineStr">
        <is>
          <t>서울시 강동구 진황도로 100</t>
        </is>
      </c>
      <c r="AH702" s="0" t="n">
        <v>0</v>
      </c>
      <c r="AI702" s="0" t="n">
        <v>564</v>
      </c>
      <c r="AJ702" s="0" t="n">
        <v>59</v>
      </c>
      <c r="AK702" s="0" t="n">
        <v>90</v>
      </c>
      <c r="AL702" s="0" t="n">
        <v>1.23</v>
      </c>
    </row>
    <row r="703">
      <c r="A703" s="0" t="inlineStr">
        <is>
          <t>[길동]</t>
        </is>
      </c>
      <c r="B703" s="0" t="n">
        <v>25468</v>
      </c>
      <c r="C703" s="0" t="n">
        <v>9</v>
      </c>
      <c r="D703" s="0" t="inlineStr">
        <is>
          <t>하이브</t>
        </is>
      </c>
      <c r="E703" s="0" t="inlineStr">
        <is>
          <t>2006.11.</t>
        </is>
      </c>
      <c r="F703" s="0" t="n">
        <v>73</v>
      </c>
      <c r="G703" s="0" t="n">
        <v>28.77</v>
      </c>
      <c r="H703" s="0" t="n">
        <v>95.11</v>
      </c>
      <c r="I703" s="0" t="n">
        <v>24.26</v>
      </c>
      <c r="J703" s="0" t="n">
        <v>80.23</v>
      </c>
      <c r="K703" s="0" t="n">
        <v>3</v>
      </c>
      <c r="T703" s="0" t="n">
        <v>4</v>
      </c>
      <c r="U703" s="0" t="n">
        <v>2</v>
      </c>
      <c r="V703" s="0" t="inlineStr">
        <is>
          <t>계단식</t>
        </is>
      </c>
      <c r="W703" s="0" t="inlineStr">
        <is>
          <t>95J</t>
        </is>
      </c>
      <c r="X703" s="0" t="n">
        <v>13</v>
      </c>
      <c r="Y703" s="0" t="n">
        <v>10</v>
      </c>
      <c r="Z703" s="0" t="inlineStr">
        <is>
          <t>https://new.land.naver.com/complexes/25468?tab=detail&amp;rf=Y</t>
        </is>
      </c>
      <c r="AA703" s="0" t="inlineStr">
        <is>
          <t>서울시 강동구 길동 456-2</t>
        </is>
      </c>
      <c r="AB703" s="0" t="inlineStr">
        <is>
          <t>서울시</t>
        </is>
      </c>
      <c r="AC703" s="0" t="inlineStr">
        <is>
          <t>강동구</t>
        </is>
      </c>
      <c r="AD703" s="0" t="inlineStr">
        <is>
          <t>길동</t>
        </is>
      </c>
      <c r="AG703" s="0" t="inlineStr">
        <is>
          <t>서울시 강동구 진황도로 100</t>
        </is>
      </c>
      <c r="AH703" s="0" t="n">
        <v>0</v>
      </c>
      <c r="AI703" s="0" t="n">
        <v>564</v>
      </c>
      <c r="AJ703" s="0" t="n">
        <v>59</v>
      </c>
      <c r="AK703" s="0" t="n">
        <v>90</v>
      </c>
      <c r="AL703" s="0" t="n">
        <v>1.23</v>
      </c>
    </row>
    <row r="704">
      <c r="A704" s="0" t="inlineStr">
        <is>
          <t>[길동]</t>
        </is>
      </c>
      <c r="B704" s="0" t="n">
        <v>25468</v>
      </c>
      <c r="C704" s="0" t="n">
        <v>10</v>
      </c>
      <c r="D704" s="0" t="inlineStr">
        <is>
          <t>하이브</t>
        </is>
      </c>
      <c r="E704" s="0" t="inlineStr">
        <is>
          <t>2006.11.</t>
        </is>
      </c>
      <c r="F704" s="0" t="n">
        <v>73</v>
      </c>
      <c r="G704" s="0" t="n">
        <v>28.77</v>
      </c>
      <c r="H704" s="0" t="n">
        <v>95.11</v>
      </c>
      <c r="I704" s="0" t="n">
        <v>24.26</v>
      </c>
      <c r="J704" s="0" t="n">
        <v>80.23</v>
      </c>
      <c r="K704" s="0" t="n">
        <v>3</v>
      </c>
      <c r="T704" s="0" t="n">
        <v>4</v>
      </c>
      <c r="U704" s="0" t="n">
        <v>2</v>
      </c>
      <c r="V704" s="0" t="inlineStr">
        <is>
          <t>계단식</t>
        </is>
      </c>
      <c r="W704" s="0" t="inlineStr">
        <is>
          <t>95N</t>
        </is>
      </c>
      <c r="X704" s="0" t="n">
        <v>13</v>
      </c>
      <c r="Y704" s="0" t="n">
        <v>10</v>
      </c>
      <c r="Z704" s="0" t="inlineStr">
        <is>
          <t>https://new.land.naver.com/complexes/25468?tab=detail&amp;rf=Y</t>
        </is>
      </c>
      <c r="AA704" s="0" t="inlineStr">
        <is>
          <t>서울시 강동구 길동 456-2</t>
        </is>
      </c>
      <c r="AB704" s="0" t="inlineStr">
        <is>
          <t>서울시</t>
        </is>
      </c>
      <c r="AC704" s="0" t="inlineStr">
        <is>
          <t>강동구</t>
        </is>
      </c>
      <c r="AD704" s="0" t="inlineStr">
        <is>
          <t>길동</t>
        </is>
      </c>
      <c r="AG704" s="0" t="inlineStr">
        <is>
          <t>서울시 강동구 진황도로 100</t>
        </is>
      </c>
      <c r="AH704" s="0" t="n">
        <v>0</v>
      </c>
      <c r="AI704" s="0" t="n">
        <v>564</v>
      </c>
      <c r="AJ704" s="0" t="n">
        <v>59</v>
      </c>
      <c r="AK704" s="0" t="n">
        <v>90</v>
      </c>
      <c r="AL704" s="0" t="n">
        <v>1.23</v>
      </c>
    </row>
    <row r="705">
      <c r="A705" s="0" t="inlineStr">
        <is>
          <t>[길동]</t>
        </is>
      </c>
      <c r="B705" s="0" t="n">
        <v>25468</v>
      </c>
      <c r="C705" s="0" t="n">
        <v>11</v>
      </c>
      <c r="D705" s="0" t="inlineStr">
        <is>
          <t>하이브</t>
        </is>
      </c>
      <c r="E705" s="0" t="inlineStr">
        <is>
          <t>2006.11.</t>
        </is>
      </c>
      <c r="F705" s="0" t="n">
        <v>73</v>
      </c>
      <c r="G705" s="0" t="n">
        <v>30.07</v>
      </c>
      <c r="H705" s="0" t="n">
        <v>99.43000000000001</v>
      </c>
      <c r="I705" s="0" t="n">
        <v>25.37</v>
      </c>
      <c r="J705" s="0" t="n">
        <v>83.87</v>
      </c>
      <c r="K705" s="0" t="n">
        <v>7</v>
      </c>
      <c r="T705" s="0" t="n">
        <v>3</v>
      </c>
      <c r="U705" s="0" t="n">
        <v>2</v>
      </c>
      <c r="V705" s="0" t="inlineStr">
        <is>
          <t>계단식</t>
        </is>
      </c>
      <c r="W705" s="0" t="inlineStr">
        <is>
          <t>99D</t>
        </is>
      </c>
      <c r="X705" s="0" t="n">
        <v>13</v>
      </c>
      <c r="Y705" s="0" t="n">
        <v>10</v>
      </c>
      <c r="Z705" s="0" t="inlineStr">
        <is>
          <t>https://new.land.naver.com/complexes/25468?tab=detail&amp;rf=Y</t>
        </is>
      </c>
      <c r="AA705" s="0" t="inlineStr">
        <is>
          <t>서울시 강동구 길동 456-2</t>
        </is>
      </c>
      <c r="AB705" s="0" t="inlineStr">
        <is>
          <t>서울시</t>
        </is>
      </c>
      <c r="AC705" s="0" t="inlineStr">
        <is>
          <t>강동구</t>
        </is>
      </c>
      <c r="AD705" s="0" t="inlineStr">
        <is>
          <t>길동</t>
        </is>
      </c>
      <c r="AG705" s="0" t="inlineStr">
        <is>
          <t>서울시 강동구 진황도로 100</t>
        </is>
      </c>
      <c r="AH705" s="0" t="n">
        <v>0</v>
      </c>
      <c r="AI705" s="0" t="n">
        <v>564</v>
      </c>
      <c r="AJ705" s="0" t="n">
        <v>59</v>
      </c>
      <c r="AK705" s="0" t="n">
        <v>90</v>
      </c>
      <c r="AL705" s="0" t="n">
        <v>1.23</v>
      </c>
    </row>
    <row r="706">
      <c r="A706" s="0" t="inlineStr">
        <is>
          <t>[길동]</t>
        </is>
      </c>
      <c r="B706" s="0" t="n">
        <v>25468</v>
      </c>
      <c r="C706" s="0" t="n">
        <v>12</v>
      </c>
      <c r="D706" s="0" t="inlineStr">
        <is>
          <t>하이브</t>
        </is>
      </c>
      <c r="E706" s="0" t="inlineStr">
        <is>
          <t>2006.11.</t>
        </is>
      </c>
      <c r="F706" s="0" t="n">
        <v>73</v>
      </c>
      <c r="G706" s="0" t="n">
        <v>30.42</v>
      </c>
      <c r="H706" s="0" t="n">
        <v>100.58</v>
      </c>
      <c r="I706" s="0" t="n">
        <v>25.66</v>
      </c>
      <c r="J706" s="0" t="n">
        <v>84.84</v>
      </c>
      <c r="K706" s="0" t="n">
        <v>21</v>
      </c>
      <c r="T706" s="0" t="n">
        <v>3</v>
      </c>
      <c r="U706" s="0" t="n">
        <v>2</v>
      </c>
      <c r="V706" s="0" t="inlineStr">
        <is>
          <t>계단식</t>
        </is>
      </c>
      <c r="W706" s="0" t="inlineStr">
        <is>
          <t>100A</t>
        </is>
      </c>
      <c r="X706" s="0" t="n">
        <v>13</v>
      </c>
      <c r="Y706" s="0" t="n">
        <v>10</v>
      </c>
      <c r="Z706" s="0" t="inlineStr">
        <is>
          <t>https://new.land.naver.com/complexes/25468?tab=detail&amp;rf=Y</t>
        </is>
      </c>
      <c r="AA706" s="0" t="inlineStr">
        <is>
          <t>서울시 강동구 길동 456-2</t>
        </is>
      </c>
      <c r="AB706" s="0" t="inlineStr">
        <is>
          <t>서울시</t>
        </is>
      </c>
      <c r="AC706" s="0" t="inlineStr">
        <is>
          <t>강동구</t>
        </is>
      </c>
      <c r="AD706" s="0" t="inlineStr">
        <is>
          <t>길동</t>
        </is>
      </c>
      <c r="AG706" s="0" t="inlineStr">
        <is>
          <t>서울시 강동구 진황도로 100</t>
        </is>
      </c>
      <c r="AH706" s="0" t="n">
        <v>0</v>
      </c>
      <c r="AI706" s="0" t="n">
        <v>564</v>
      </c>
      <c r="AJ706" s="0" t="n">
        <v>59</v>
      </c>
      <c r="AK706" s="0" t="n">
        <v>90</v>
      </c>
      <c r="AL706" s="0" t="n">
        <v>1.23</v>
      </c>
    </row>
    <row r="707">
      <c r="A707" s="0" t="inlineStr">
        <is>
          <t>[길동]</t>
        </is>
      </c>
      <c r="B707" s="0" t="n">
        <v>25468</v>
      </c>
      <c r="C707" s="0" t="n">
        <v>13</v>
      </c>
      <c r="D707" s="0" t="inlineStr">
        <is>
          <t>하이브</t>
        </is>
      </c>
      <c r="E707" s="0" t="inlineStr">
        <is>
          <t>2006.11.</t>
        </is>
      </c>
      <c r="F707" s="0" t="n">
        <v>73</v>
      </c>
      <c r="G707" s="0" t="n">
        <v>30.46</v>
      </c>
      <c r="H707" s="0" t="n">
        <v>100.7</v>
      </c>
      <c r="I707" s="0" t="n">
        <v>25.69</v>
      </c>
      <c r="J707" s="0" t="n">
        <v>84.94</v>
      </c>
      <c r="K707" s="0" t="n">
        <v>9</v>
      </c>
      <c r="T707" s="0" t="n">
        <v>3</v>
      </c>
      <c r="U707" s="0" t="n">
        <v>2</v>
      </c>
      <c r="V707" s="0" t="inlineStr">
        <is>
          <t>계단식</t>
        </is>
      </c>
      <c r="W707" s="0" t="inlineStr">
        <is>
          <t>100C</t>
        </is>
      </c>
      <c r="X707" s="0" t="n">
        <v>13</v>
      </c>
      <c r="Y707" s="0" t="n">
        <v>10</v>
      </c>
      <c r="Z707" s="0" t="inlineStr">
        <is>
          <t>https://new.land.naver.com/complexes/25468?tab=detail&amp;rf=Y</t>
        </is>
      </c>
      <c r="AA707" s="0" t="inlineStr">
        <is>
          <t>서울시 강동구 길동 456-2</t>
        </is>
      </c>
      <c r="AB707" s="0" t="inlineStr">
        <is>
          <t>서울시</t>
        </is>
      </c>
      <c r="AC707" s="0" t="inlineStr">
        <is>
          <t>강동구</t>
        </is>
      </c>
      <c r="AD707" s="0" t="inlineStr">
        <is>
          <t>길동</t>
        </is>
      </c>
      <c r="AG707" s="0" t="inlineStr">
        <is>
          <t>서울시 강동구 진황도로 100</t>
        </is>
      </c>
      <c r="AH707" s="0" t="n">
        <v>0</v>
      </c>
      <c r="AI707" s="0" t="n">
        <v>564</v>
      </c>
      <c r="AJ707" s="0" t="n">
        <v>59</v>
      </c>
      <c r="AK707" s="0" t="n">
        <v>90</v>
      </c>
      <c r="AL707" s="0" t="n">
        <v>1.23</v>
      </c>
    </row>
    <row r="708">
      <c r="A708" s="0" t="inlineStr">
        <is>
          <t>[길동]</t>
        </is>
      </c>
      <c r="B708" s="0" t="n">
        <v>25468</v>
      </c>
      <c r="C708" s="0" t="n">
        <v>14</v>
      </c>
      <c r="D708" s="0" t="inlineStr">
        <is>
          <t>하이브</t>
        </is>
      </c>
      <c r="E708" s="0" t="inlineStr">
        <is>
          <t>2006.11.</t>
        </is>
      </c>
      <c r="F708" s="0" t="n">
        <v>73</v>
      </c>
      <c r="G708" s="0" t="n">
        <v>36.65</v>
      </c>
      <c r="H708" s="0" t="n">
        <v>121.19</v>
      </c>
      <c r="I708" s="0" t="n">
        <v>30.92</v>
      </c>
      <c r="J708" s="0" t="n">
        <v>102.22</v>
      </c>
      <c r="K708" s="0" t="n">
        <v>3</v>
      </c>
      <c r="T708" s="0" t="n">
        <v>4</v>
      </c>
      <c r="U708" s="0" t="n">
        <v>2</v>
      </c>
      <c r="V708" s="0" t="inlineStr">
        <is>
          <t>계단식</t>
        </is>
      </c>
      <c r="W708" s="0" t="inlineStr">
        <is>
          <t>121H</t>
        </is>
      </c>
      <c r="X708" s="0" t="n">
        <v>13</v>
      </c>
      <c r="Y708" s="0" t="n">
        <v>10</v>
      </c>
      <c r="Z708" s="0" t="inlineStr">
        <is>
          <t>https://new.land.naver.com/complexes/25468?tab=detail&amp;rf=Y</t>
        </is>
      </c>
      <c r="AA708" s="0" t="inlineStr">
        <is>
          <t>서울시 강동구 길동 456-2</t>
        </is>
      </c>
      <c r="AB708" s="0" t="inlineStr">
        <is>
          <t>서울시</t>
        </is>
      </c>
      <c r="AC708" s="0" t="inlineStr">
        <is>
          <t>강동구</t>
        </is>
      </c>
      <c r="AD708" s="0" t="inlineStr">
        <is>
          <t>길동</t>
        </is>
      </c>
      <c r="AG708" s="0" t="inlineStr">
        <is>
          <t>서울시 강동구 진황도로 100</t>
        </is>
      </c>
      <c r="AH708" s="0" t="n">
        <v>0</v>
      </c>
      <c r="AI708" s="0" t="n">
        <v>564</v>
      </c>
      <c r="AJ708" s="0" t="n">
        <v>59</v>
      </c>
      <c r="AK708" s="0" t="n">
        <v>90</v>
      </c>
      <c r="AL708" s="0" t="n">
        <v>1.23</v>
      </c>
    </row>
    <row r="709">
      <c r="A709" s="0" t="inlineStr">
        <is>
          <t>[길동]</t>
        </is>
      </c>
      <c r="B709" s="0" t="n">
        <v>1290</v>
      </c>
      <c r="C709" s="0" t="n">
        <v>1</v>
      </c>
      <c r="D709" s="0" t="inlineStr">
        <is>
          <t>길동우성</t>
        </is>
      </c>
      <c r="E709" s="0" t="inlineStr">
        <is>
          <t>1994.10.</t>
        </is>
      </c>
      <c r="F709" s="0" t="n">
        <v>811</v>
      </c>
      <c r="G709" s="0" t="n">
        <v>16.59</v>
      </c>
      <c r="H709" s="0" t="n">
        <v>54.87</v>
      </c>
      <c r="I709" s="0" t="n">
        <v>12.2</v>
      </c>
      <c r="J709" s="0" t="n">
        <v>40.36</v>
      </c>
      <c r="K709" s="0" t="n">
        <v>91</v>
      </c>
      <c r="T709" s="0" t="n">
        <v>2</v>
      </c>
      <c r="U709" s="0" t="n">
        <v>1</v>
      </c>
      <c r="V709" s="0" t="inlineStr">
        <is>
          <t>계단식</t>
        </is>
      </c>
      <c r="W709" s="0" t="n">
        <v>54</v>
      </c>
      <c r="X709" s="0" t="n">
        <v>18</v>
      </c>
      <c r="Y709" s="0" t="n">
        <v>12</v>
      </c>
      <c r="Z709" s="0" t="inlineStr">
        <is>
          <t>https://new.land.naver.com/complexes/1290?tab=detail&amp;rf=Y</t>
        </is>
      </c>
      <c r="AA709" s="0" t="inlineStr">
        <is>
          <t>서울시 강동구 길동 400</t>
        </is>
      </c>
      <c r="AB709" s="0" t="inlineStr">
        <is>
          <t>서울시</t>
        </is>
      </c>
      <c r="AC709" s="0" t="inlineStr">
        <is>
          <t>강동구</t>
        </is>
      </c>
      <c r="AD709" s="0" t="inlineStr">
        <is>
          <t>길동</t>
        </is>
      </c>
      <c r="AG709" s="0" t="inlineStr">
        <is>
          <t>서울시 강동구 천호대로193길 37</t>
        </is>
      </c>
      <c r="AH709" s="0" t="n">
        <v>0</v>
      </c>
      <c r="AI709" s="0" t="n">
        <v>308</v>
      </c>
      <c r="AJ709" s="0" t="n">
        <v>24</v>
      </c>
      <c r="AK709" s="0" t="n">
        <v>456</v>
      </c>
      <c r="AL709" s="0" t="n">
        <v>0.5600000000000001</v>
      </c>
    </row>
    <row r="710">
      <c r="A710" s="0" t="inlineStr">
        <is>
          <t>[길동]</t>
        </is>
      </c>
      <c r="B710" s="0" t="n">
        <v>1290</v>
      </c>
      <c r="C710" s="0" t="n">
        <v>2</v>
      </c>
      <c r="D710" s="0" t="inlineStr">
        <is>
          <t>길동우성</t>
        </is>
      </c>
      <c r="E710" s="0" t="inlineStr">
        <is>
          <t>1994.10.</t>
        </is>
      </c>
      <c r="F710" s="0" t="n">
        <v>811</v>
      </c>
      <c r="G710" s="0" t="n">
        <v>23.25</v>
      </c>
      <c r="H710" s="0" t="n">
        <v>76.88</v>
      </c>
      <c r="I710" s="0" t="n">
        <v>17.27</v>
      </c>
      <c r="J710" s="0" t="n">
        <v>57.1</v>
      </c>
      <c r="K710" s="0" t="n">
        <v>198</v>
      </c>
      <c r="T710" s="0" t="n">
        <v>2</v>
      </c>
      <c r="U710" s="0" t="n">
        <v>1</v>
      </c>
      <c r="V710" s="0" t="inlineStr">
        <is>
          <t>계단식</t>
        </is>
      </c>
      <c r="W710" s="0" t="n">
        <v>76</v>
      </c>
      <c r="X710" s="0" t="n">
        <v>18</v>
      </c>
      <c r="Y710" s="0" t="n">
        <v>12</v>
      </c>
      <c r="Z710" s="0" t="inlineStr">
        <is>
          <t>https://new.land.naver.com/complexes/1290?tab=detail&amp;rf=Y</t>
        </is>
      </c>
      <c r="AA710" s="0" t="inlineStr">
        <is>
          <t>서울시 강동구 길동 400</t>
        </is>
      </c>
      <c r="AB710" s="0" t="inlineStr">
        <is>
          <t>서울시</t>
        </is>
      </c>
      <c r="AC710" s="0" t="inlineStr">
        <is>
          <t>강동구</t>
        </is>
      </c>
      <c r="AD710" s="0" t="inlineStr">
        <is>
          <t>길동</t>
        </is>
      </c>
      <c r="AG710" s="0" t="inlineStr">
        <is>
          <t>서울시 강동구 천호대로193길 37</t>
        </is>
      </c>
      <c r="AH710" s="0" t="n">
        <v>0</v>
      </c>
      <c r="AI710" s="0" t="n">
        <v>308</v>
      </c>
      <c r="AJ710" s="0" t="n">
        <v>24</v>
      </c>
      <c r="AK710" s="0" t="n">
        <v>456</v>
      </c>
      <c r="AL710" s="0" t="n">
        <v>0.5600000000000001</v>
      </c>
    </row>
    <row r="711">
      <c r="A711" s="0" t="inlineStr">
        <is>
          <t>[길동]</t>
        </is>
      </c>
      <c r="B711" s="0" t="n">
        <v>1290</v>
      </c>
      <c r="C711" s="0" t="n">
        <v>3</v>
      </c>
      <c r="D711" s="0" t="inlineStr">
        <is>
          <t>길동우성</t>
        </is>
      </c>
      <c r="E711" s="0" t="inlineStr">
        <is>
          <t>1994.10.</t>
        </is>
      </c>
      <c r="F711" s="0" t="n">
        <v>811</v>
      </c>
      <c r="G711" s="0" t="n">
        <v>31.8</v>
      </c>
      <c r="H711" s="0" t="n">
        <v>105.15</v>
      </c>
      <c r="I711" s="0" t="n">
        <v>25.63</v>
      </c>
      <c r="J711" s="0" t="n">
        <v>84.75</v>
      </c>
      <c r="K711" s="0" t="n">
        <v>198</v>
      </c>
      <c r="T711" s="0" t="n">
        <v>3</v>
      </c>
      <c r="U711" s="0" t="n">
        <v>2</v>
      </c>
      <c r="V711" s="0" t="inlineStr">
        <is>
          <t>계단식</t>
        </is>
      </c>
      <c r="W711" s="0" t="n">
        <v>105</v>
      </c>
      <c r="X711" s="0" t="n">
        <v>18</v>
      </c>
      <c r="Y711" s="0" t="n">
        <v>12</v>
      </c>
      <c r="Z711" s="0" t="inlineStr">
        <is>
          <t>https://new.land.naver.com/complexes/1290?tab=detail&amp;rf=Y</t>
        </is>
      </c>
      <c r="AA711" s="0" t="inlineStr">
        <is>
          <t>서울시 강동구 길동 400</t>
        </is>
      </c>
      <c r="AB711" s="0" t="inlineStr">
        <is>
          <t>서울시</t>
        </is>
      </c>
      <c r="AC711" s="0" t="inlineStr">
        <is>
          <t>강동구</t>
        </is>
      </c>
      <c r="AD711" s="0" t="inlineStr">
        <is>
          <t>길동</t>
        </is>
      </c>
      <c r="AG711" s="0" t="inlineStr">
        <is>
          <t>서울시 강동구 천호대로193길 37</t>
        </is>
      </c>
      <c r="AH711" s="0" t="n">
        <v>0</v>
      </c>
      <c r="AI711" s="0" t="n">
        <v>308</v>
      </c>
      <c r="AJ711" s="0" t="n">
        <v>24</v>
      </c>
      <c r="AK711" s="0" t="n">
        <v>456</v>
      </c>
      <c r="AL711" s="0" t="n">
        <v>0.5600000000000001</v>
      </c>
    </row>
    <row r="712">
      <c r="A712" s="0" t="inlineStr">
        <is>
          <t>[길동]</t>
        </is>
      </c>
      <c r="B712" s="0" t="n">
        <v>1290</v>
      </c>
      <c r="C712" s="0" t="n">
        <v>4</v>
      </c>
      <c r="D712" s="0" t="inlineStr">
        <is>
          <t>길동우성</t>
        </is>
      </c>
      <c r="E712" s="0" t="inlineStr">
        <is>
          <t>1994.10.</t>
        </is>
      </c>
      <c r="F712" s="0" t="n">
        <v>811</v>
      </c>
      <c r="G712" s="0" t="n">
        <v>32.8</v>
      </c>
      <c r="H712" s="0" t="n">
        <v>108.45</v>
      </c>
      <c r="I712" s="0" t="n">
        <v>25.63</v>
      </c>
      <c r="J712" s="0" t="n">
        <v>84.75</v>
      </c>
      <c r="K712" s="0" t="n">
        <v>324</v>
      </c>
      <c r="T712" s="0" t="n">
        <v>3</v>
      </c>
      <c r="U712" s="0" t="n">
        <v>2</v>
      </c>
      <c r="V712" s="0" t="inlineStr">
        <is>
          <t>계단식</t>
        </is>
      </c>
      <c r="W712" s="0" t="n">
        <v>108</v>
      </c>
      <c r="X712" s="0" t="n">
        <v>18</v>
      </c>
      <c r="Y712" s="0" t="n">
        <v>12</v>
      </c>
      <c r="Z712" s="0" t="inlineStr">
        <is>
          <t>https://new.land.naver.com/complexes/1290?tab=detail&amp;rf=Y</t>
        </is>
      </c>
      <c r="AA712" s="0" t="inlineStr">
        <is>
          <t>서울시 강동구 길동 400</t>
        </is>
      </c>
      <c r="AB712" s="0" t="inlineStr">
        <is>
          <t>서울시</t>
        </is>
      </c>
      <c r="AC712" s="0" t="inlineStr">
        <is>
          <t>강동구</t>
        </is>
      </c>
      <c r="AD712" s="0" t="inlineStr">
        <is>
          <t>길동</t>
        </is>
      </c>
      <c r="AG712" s="0" t="inlineStr">
        <is>
          <t>서울시 강동구 천호대로193길 37</t>
        </is>
      </c>
      <c r="AH712" s="0" t="n">
        <v>0</v>
      </c>
      <c r="AI712" s="0" t="n">
        <v>308</v>
      </c>
      <c r="AJ712" s="0" t="n">
        <v>24</v>
      </c>
      <c r="AK712" s="0" t="n">
        <v>456</v>
      </c>
      <c r="AL712" s="0" t="n">
        <v>0.5600000000000001</v>
      </c>
    </row>
    <row r="713">
      <c r="A713" s="0" t="inlineStr">
        <is>
          <t>[길동]</t>
        </is>
      </c>
      <c r="B713" s="0" t="n">
        <v>123434</v>
      </c>
      <c r="C713" s="0" t="n">
        <v>1</v>
      </c>
      <c r="D713" s="0" t="inlineStr">
        <is>
          <t>다성이즈빌(456-4)</t>
        </is>
      </c>
      <c r="E713" s="0" t="inlineStr">
        <is>
          <t>2018.11.</t>
        </is>
      </c>
      <c r="F713" s="0" t="n">
        <v>105</v>
      </c>
      <c r="G713" s="0" t="n">
        <v>6.31</v>
      </c>
      <c r="H713" s="0" t="n">
        <v>20.88</v>
      </c>
      <c r="I713" s="0" t="n">
        <v>4.82</v>
      </c>
      <c r="J713" s="0" t="n">
        <v>15.96</v>
      </c>
      <c r="K713" s="0" t="n">
        <v>15</v>
      </c>
      <c r="T713" s="0" t="n">
        <v>1</v>
      </c>
      <c r="U713" s="0" t="n">
        <v>1</v>
      </c>
      <c r="V713" s="0" t="inlineStr">
        <is>
          <t>계단식</t>
        </is>
      </c>
      <c r="W713" s="0" t="n">
        <v>20</v>
      </c>
      <c r="X713" s="0" t="n">
        <v>20</v>
      </c>
      <c r="Y713" s="0" t="n">
        <v>20</v>
      </c>
      <c r="Z713" s="0" t="inlineStr">
        <is>
          <t>https://new.land.naver.com/complexes/123434?tab=detail&amp;rf=Y</t>
        </is>
      </c>
      <c r="AA713" s="0" t="inlineStr">
        <is>
          <t>서울시 강동구 길동 456-4</t>
        </is>
      </c>
      <c r="AB713" s="0" t="inlineStr">
        <is>
          <t>서울시</t>
        </is>
      </c>
      <c r="AC713" s="0" t="inlineStr">
        <is>
          <t>강동구</t>
        </is>
      </c>
      <c r="AD713" s="0" t="inlineStr">
        <is>
          <t>길동</t>
        </is>
      </c>
      <c r="AG713" s="0" t="inlineStr">
        <is>
          <t>서울시 강동구 천호대로175길 14</t>
        </is>
      </c>
      <c r="AH713" s="0" t="n">
        <v>0</v>
      </c>
      <c r="AI713" s="0" t="n">
        <v>585</v>
      </c>
      <c r="AJ713" s="0" t="n">
        <v>56</v>
      </c>
      <c r="AK713" s="0" t="n">
        <v>59</v>
      </c>
      <c r="AL713" s="0" t="n">
        <v>0.5600000000000001</v>
      </c>
    </row>
    <row r="714">
      <c r="A714" s="0" t="inlineStr">
        <is>
          <t>[길동]</t>
        </is>
      </c>
      <c r="B714" s="0" t="n">
        <v>123434</v>
      </c>
      <c r="C714" s="0" t="n">
        <v>2</v>
      </c>
      <c r="D714" s="0" t="inlineStr">
        <is>
          <t>다성이즈빌(456-4)</t>
        </is>
      </c>
      <c r="E714" s="0" t="inlineStr">
        <is>
          <t>2018.11.</t>
        </is>
      </c>
      <c r="F714" s="0" t="n">
        <v>105</v>
      </c>
      <c r="G714" s="0" t="n">
        <v>6.87</v>
      </c>
      <c r="H714" s="0" t="n">
        <v>22.74</v>
      </c>
      <c r="I714" s="0" t="n">
        <v>5.25</v>
      </c>
      <c r="J714" s="0" t="n">
        <v>17.38</v>
      </c>
      <c r="K714" s="0" t="n">
        <v>15</v>
      </c>
      <c r="T714" s="0" t="n">
        <v>1</v>
      </c>
      <c r="U714" s="0" t="n">
        <v>1</v>
      </c>
      <c r="V714" s="0" t="inlineStr">
        <is>
          <t>계단식</t>
        </is>
      </c>
      <c r="W714" s="0" t="n">
        <v>22</v>
      </c>
      <c r="X714" s="0" t="n">
        <v>20</v>
      </c>
      <c r="Y714" s="0" t="n">
        <v>20</v>
      </c>
      <c r="Z714" s="0" t="inlineStr">
        <is>
          <t>https://new.land.naver.com/complexes/123434?tab=detail&amp;rf=Y</t>
        </is>
      </c>
      <c r="AA714" s="0" t="inlineStr">
        <is>
          <t>서울시 강동구 길동 456-4</t>
        </is>
      </c>
      <c r="AB714" s="0" t="inlineStr">
        <is>
          <t>서울시</t>
        </is>
      </c>
      <c r="AC714" s="0" t="inlineStr">
        <is>
          <t>강동구</t>
        </is>
      </c>
      <c r="AD714" s="0" t="inlineStr">
        <is>
          <t>길동</t>
        </is>
      </c>
      <c r="AG714" s="0" t="inlineStr">
        <is>
          <t>서울시 강동구 천호대로175길 14</t>
        </is>
      </c>
      <c r="AH714" s="0" t="n">
        <v>0</v>
      </c>
      <c r="AI714" s="0" t="n">
        <v>585</v>
      </c>
      <c r="AJ714" s="0" t="n">
        <v>56</v>
      </c>
      <c r="AK714" s="0" t="n">
        <v>59</v>
      </c>
      <c r="AL714" s="0" t="n">
        <v>0.5600000000000001</v>
      </c>
    </row>
    <row r="715">
      <c r="A715" s="0" t="inlineStr">
        <is>
          <t>[길동]</t>
        </is>
      </c>
      <c r="B715" s="0" t="n">
        <v>123434</v>
      </c>
      <c r="C715" s="0" t="n">
        <v>3</v>
      </c>
      <c r="D715" s="0" t="inlineStr">
        <is>
          <t>다성이즈빌(456-4)</t>
        </is>
      </c>
      <c r="E715" s="0" t="inlineStr">
        <is>
          <t>2018.11.</t>
        </is>
      </c>
      <c r="F715" s="0" t="n">
        <v>105</v>
      </c>
      <c r="G715" s="0" t="n">
        <v>8.25</v>
      </c>
      <c r="H715" s="0" t="n">
        <v>27.29</v>
      </c>
      <c r="I715" s="0" t="n">
        <v>6.3</v>
      </c>
      <c r="J715" s="0" t="n">
        <v>20.85</v>
      </c>
      <c r="K715" s="0" t="n">
        <v>15</v>
      </c>
      <c r="T715" s="0" t="n">
        <v>1</v>
      </c>
      <c r="U715" s="0" t="n">
        <v>1</v>
      </c>
      <c r="V715" s="0" t="inlineStr">
        <is>
          <t>계단식</t>
        </is>
      </c>
      <c r="W715" s="0" t="n">
        <v>27</v>
      </c>
      <c r="X715" s="0" t="n">
        <v>20</v>
      </c>
      <c r="Y715" s="0" t="n">
        <v>20</v>
      </c>
      <c r="Z715" s="0" t="inlineStr">
        <is>
          <t>https://new.land.naver.com/complexes/123434?tab=detail&amp;rf=Y</t>
        </is>
      </c>
      <c r="AA715" s="0" t="inlineStr">
        <is>
          <t>서울시 강동구 길동 456-4</t>
        </is>
      </c>
      <c r="AB715" s="0" t="inlineStr">
        <is>
          <t>서울시</t>
        </is>
      </c>
      <c r="AC715" s="0" t="inlineStr">
        <is>
          <t>강동구</t>
        </is>
      </c>
      <c r="AD715" s="0" t="inlineStr">
        <is>
          <t>길동</t>
        </is>
      </c>
      <c r="AG715" s="0" t="inlineStr">
        <is>
          <t>서울시 강동구 천호대로175길 14</t>
        </is>
      </c>
      <c r="AH715" s="0" t="n">
        <v>0</v>
      </c>
      <c r="AI715" s="0" t="n">
        <v>585</v>
      </c>
      <c r="AJ715" s="0" t="n">
        <v>56</v>
      </c>
      <c r="AK715" s="0" t="n">
        <v>59</v>
      </c>
      <c r="AL715" s="0" t="n">
        <v>0.5600000000000001</v>
      </c>
    </row>
    <row r="716">
      <c r="A716" s="0" t="inlineStr">
        <is>
          <t>[길동]</t>
        </is>
      </c>
      <c r="B716" s="0" t="n">
        <v>123434</v>
      </c>
      <c r="C716" s="0" t="n">
        <v>4</v>
      </c>
      <c r="D716" s="0" t="inlineStr">
        <is>
          <t>다성이즈빌(456-4)</t>
        </is>
      </c>
      <c r="E716" s="0" t="inlineStr">
        <is>
          <t>2018.11.</t>
        </is>
      </c>
      <c r="F716" s="0" t="n">
        <v>105</v>
      </c>
      <c r="G716" s="0" t="n">
        <v>9.029999999999999</v>
      </c>
      <c r="H716" s="0" t="n">
        <v>29.86</v>
      </c>
      <c r="I716" s="0" t="n">
        <v>6.9</v>
      </c>
      <c r="J716" s="0" t="n">
        <v>22.82</v>
      </c>
      <c r="K716" s="0" t="n">
        <v>15</v>
      </c>
      <c r="T716" s="0" t="n">
        <v>2</v>
      </c>
      <c r="U716" s="0" t="n">
        <v>1</v>
      </c>
      <c r="V716" s="0" t="inlineStr">
        <is>
          <t>계단식</t>
        </is>
      </c>
      <c r="W716" s="0" t="inlineStr">
        <is>
          <t>29A</t>
        </is>
      </c>
      <c r="X716" s="0" t="n">
        <v>20</v>
      </c>
      <c r="Y716" s="0" t="n">
        <v>20</v>
      </c>
      <c r="Z716" s="0" t="inlineStr">
        <is>
          <t>https://new.land.naver.com/complexes/123434?tab=detail&amp;rf=Y</t>
        </is>
      </c>
      <c r="AA716" s="0" t="inlineStr">
        <is>
          <t>서울시 강동구 길동 456-4</t>
        </is>
      </c>
      <c r="AB716" s="0" t="inlineStr">
        <is>
          <t>서울시</t>
        </is>
      </c>
      <c r="AC716" s="0" t="inlineStr">
        <is>
          <t>강동구</t>
        </is>
      </c>
      <c r="AD716" s="0" t="inlineStr">
        <is>
          <t>길동</t>
        </is>
      </c>
      <c r="AG716" s="0" t="inlineStr">
        <is>
          <t>서울시 강동구 천호대로175길 14</t>
        </is>
      </c>
      <c r="AH716" s="0" t="n">
        <v>0</v>
      </c>
      <c r="AI716" s="0" t="n">
        <v>585</v>
      </c>
      <c r="AJ716" s="0" t="n">
        <v>56</v>
      </c>
      <c r="AK716" s="0" t="n">
        <v>59</v>
      </c>
      <c r="AL716" s="0" t="n">
        <v>0.5600000000000001</v>
      </c>
    </row>
    <row r="717">
      <c r="A717" s="0" t="inlineStr">
        <is>
          <t>[길동]</t>
        </is>
      </c>
      <c r="B717" s="0" t="n">
        <v>123434</v>
      </c>
      <c r="C717" s="0" t="n">
        <v>5</v>
      </c>
      <c r="D717" s="0" t="inlineStr">
        <is>
          <t>다성이즈빌(456-4)</t>
        </is>
      </c>
      <c r="E717" s="0" t="inlineStr">
        <is>
          <t>2018.11.</t>
        </is>
      </c>
      <c r="F717" s="0" t="n">
        <v>105</v>
      </c>
      <c r="G717" s="0" t="n">
        <v>9.26</v>
      </c>
      <c r="H717" s="0" t="n">
        <v>30.62</v>
      </c>
      <c r="I717" s="0" t="n">
        <v>7.07</v>
      </c>
      <c r="J717" s="0" t="n">
        <v>23.39</v>
      </c>
      <c r="K717" s="0" t="n">
        <v>30</v>
      </c>
      <c r="T717" s="0" t="n">
        <v>2</v>
      </c>
      <c r="U717" s="0" t="n">
        <v>1</v>
      </c>
      <c r="V717" s="0" t="inlineStr">
        <is>
          <t>계단식</t>
        </is>
      </c>
      <c r="W717" s="0" t="inlineStr">
        <is>
          <t>30C</t>
        </is>
      </c>
      <c r="X717" s="0" t="n">
        <v>20</v>
      </c>
      <c r="Y717" s="0" t="n">
        <v>20</v>
      </c>
      <c r="Z717" s="0" t="inlineStr">
        <is>
          <t>https://new.land.naver.com/complexes/123434?tab=detail&amp;rf=Y</t>
        </is>
      </c>
      <c r="AA717" s="0" t="inlineStr">
        <is>
          <t>서울시 강동구 길동 456-4</t>
        </is>
      </c>
      <c r="AB717" s="0" t="inlineStr">
        <is>
          <t>서울시</t>
        </is>
      </c>
      <c r="AC717" s="0" t="inlineStr">
        <is>
          <t>강동구</t>
        </is>
      </c>
      <c r="AD717" s="0" t="inlineStr">
        <is>
          <t>길동</t>
        </is>
      </c>
      <c r="AG717" s="0" t="inlineStr">
        <is>
          <t>서울시 강동구 천호대로175길 14</t>
        </is>
      </c>
      <c r="AH717" s="0" t="n">
        <v>0</v>
      </c>
      <c r="AI717" s="0" t="n">
        <v>585</v>
      </c>
      <c r="AJ717" s="0" t="n">
        <v>56</v>
      </c>
      <c r="AK717" s="0" t="n">
        <v>59</v>
      </c>
      <c r="AL717" s="0" t="n">
        <v>0.5600000000000001</v>
      </c>
    </row>
    <row r="718">
      <c r="A718" s="0" t="inlineStr">
        <is>
          <t>[길동]</t>
        </is>
      </c>
      <c r="B718" s="0" t="n">
        <v>123434</v>
      </c>
      <c r="C718" s="0" t="n">
        <v>6</v>
      </c>
      <c r="D718" s="0" t="inlineStr">
        <is>
          <t>다성이즈빌(456-4)</t>
        </is>
      </c>
      <c r="E718" s="0" t="inlineStr">
        <is>
          <t>2018.11.</t>
        </is>
      </c>
      <c r="F718" s="0" t="n">
        <v>105</v>
      </c>
      <c r="G718" s="0" t="n">
        <v>9.09</v>
      </c>
      <c r="H718" s="0" t="n">
        <v>30.05</v>
      </c>
      <c r="I718" s="0" t="n">
        <v>6.94</v>
      </c>
      <c r="J718" s="0" t="n">
        <v>22.96</v>
      </c>
      <c r="K718" s="0" t="n">
        <v>15</v>
      </c>
      <c r="T718" s="0" t="n">
        <v>2</v>
      </c>
      <c r="U718" s="0" t="n">
        <v>1</v>
      </c>
      <c r="V718" s="0" t="inlineStr">
        <is>
          <t>계단식</t>
        </is>
      </c>
      <c r="W718" s="0" t="inlineStr">
        <is>
          <t>30B</t>
        </is>
      </c>
      <c r="X718" s="0" t="n">
        <v>20</v>
      </c>
      <c r="Y718" s="0" t="n">
        <v>20</v>
      </c>
      <c r="Z718" s="0" t="inlineStr">
        <is>
          <t>https://new.land.naver.com/complexes/123434?tab=detail&amp;rf=Y</t>
        </is>
      </c>
      <c r="AA718" s="0" t="inlineStr">
        <is>
          <t>서울시 강동구 길동 456-4</t>
        </is>
      </c>
      <c r="AB718" s="0" t="inlineStr">
        <is>
          <t>서울시</t>
        </is>
      </c>
      <c r="AC718" s="0" t="inlineStr">
        <is>
          <t>강동구</t>
        </is>
      </c>
      <c r="AD718" s="0" t="inlineStr">
        <is>
          <t>길동</t>
        </is>
      </c>
      <c r="AG718" s="0" t="inlineStr">
        <is>
          <t>서울시 강동구 천호대로175길 14</t>
        </is>
      </c>
      <c r="AH718" s="0" t="n">
        <v>0</v>
      </c>
      <c r="AI718" s="0" t="n">
        <v>585</v>
      </c>
      <c r="AJ718" s="0" t="n">
        <v>56</v>
      </c>
      <c r="AK718" s="0" t="n">
        <v>59</v>
      </c>
      <c r="AL718" s="0" t="n">
        <v>0.5600000000000001</v>
      </c>
    </row>
    <row r="719">
      <c r="A719" s="0" t="inlineStr">
        <is>
          <t>[길동]</t>
        </is>
      </c>
      <c r="B719" s="0" t="n">
        <v>19577</v>
      </c>
      <c r="C719" s="0" t="n">
        <v>1</v>
      </c>
      <c r="D719" s="0" t="inlineStr">
        <is>
          <t>파크하임</t>
        </is>
      </c>
      <c r="E719" s="0" t="inlineStr">
        <is>
          <t>2004.06.</t>
        </is>
      </c>
      <c r="F719" s="0" t="n">
        <v>18</v>
      </c>
      <c r="G719" s="0" t="n">
        <v>27.39</v>
      </c>
      <c r="H719" s="0" t="n">
        <v>90.56</v>
      </c>
      <c r="I719" s="0" t="n">
        <v>22.77</v>
      </c>
      <c r="J719" s="0" t="n">
        <v>75.28</v>
      </c>
      <c r="K719" s="0" t="n">
        <v>1</v>
      </c>
      <c r="T719" s="0" t="n">
        <v>3</v>
      </c>
      <c r="U719" s="0" t="n">
        <v>2</v>
      </c>
      <c r="V719" s="0" t="inlineStr">
        <is>
          <t>복도식</t>
        </is>
      </c>
      <c r="W719" s="0" t="n">
        <v>90</v>
      </c>
      <c r="X719" s="0" t="n">
        <v>7</v>
      </c>
      <c r="Y719" s="0" t="n">
        <v>7</v>
      </c>
      <c r="Z719" s="0" t="inlineStr">
        <is>
          <t>https://new.land.naver.com/complexes/19577?tab=detail&amp;rf=Y</t>
        </is>
      </c>
      <c r="AA719" s="0" t="inlineStr">
        <is>
          <t>서울시 강동구 길동 358-7</t>
        </is>
      </c>
      <c r="AB719" s="0" t="inlineStr">
        <is>
          <t>서울시</t>
        </is>
      </c>
      <c r="AC719" s="0" t="inlineStr">
        <is>
          <t>강동구</t>
        </is>
      </c>
      <c r="AD719" s="0" t="inlineStr">
        <is>
          <t>길동</t>
        </is>
      </c>
      <c r="AG719" s="0" t="inlineStr">
        <is>
          <t>서울시 강동구 양재대로 1500-25</t>
        </is>
      </c>
      <c r="AH719" s="0" t="n">
        <v>0</v>
      </c>
      <c r="AI719" s="0" t="n">
        <v>236</v>
      </c>
      <c r="AJ719" s="0" t="n">
        <v>43</v>
      </c>
      <c r="AK719" s="0" t="n">
        <v>22</v>
      </c>
      <c r="AL719" s="0" t="n">
        <v>1.22</v>
      </c>
    </row>
    <row r="720">
      <c r="A720" s="0" t="inlineStr">
        <is>
          <t>[길동]</t>
        </is>
      </c>
      <c r="B720" s="0" t="n">
        <v>19577</v>
      </c>
      <c r="C720" s="0" t="n">
        <v>2</v>
      </c>
      <c r="D720" s="0" t="inlineStr">
        <is>
          <t>파크하임</t>
        </is>
      </c>
      <c r="E720" s="0" t="inlineStr">
        <is>
          <t>2004.06.</t>
        </is>
      </c>
      <c r="F720" s="0" t="n">
        <v>18</v>
      </c>
      <c r="G720" s="0" t="n">
        <v>29.12</v>
      </c>
      <c r="H720" s="0" t="n">
        <v>96.27</v>
      </c>
      <c r="I720" s="0" t="n">
        <v>24.2</v>
      </c>
      <c r="J720" s="0" t="n">
        <v>80.03</v>
      </c>
      <c r="K720" s="0" t="n">
        <v>1</v>
      </c>
      <c r="T720" s="0" t="n">
        <v>3</v>
      </c>
      <c r="U720" s="0" t="n">
        <v>2</v>
      </c>
      <c r="V720" s="0" t="inlineStr">
        <is>
          <t>계단식</t>
        </is>
      </c>
      <c r="W720" s="0" t="inlineStr">
        <is>
          <t>96A</t>
        </is>
      </c>
      <c r="X720" s="0" t="n">
        <v>7</v>
      </c>
      <c r="Y720" s="0" t="n">
        <v>7</v>
      </c>
      <c r="Z720" s="0" t="inlineStr">
        <is>
          <t>https://new.land.naver.com/complexes/19577?tab=detail&amp;rf=Y</t>
        </is>
      </c>
      <c r="AA720" s="0" t="inlineStr">
        <is>
          <t>서울시 강동구 길동 358-7</t>
        </is>
      </c>
      <c r="AB720" s="0" t="inlineStr">
        <is>
          <t>서울시</t>
        </is>
      </c>
      <c r="AC720" s="0" t="inlineStr">
        <is>
          <t>강동구</t>
        </is>
      </c>
      <c r="AD720" s="0" t="inlineStr">
        <is>
          <t>길동</t>
        </is>
      </c>
      <c r="AG720" s="0" t="inlineStr">
        <is>
          <t>서울시 강동구 양재대로 1500-25</t>
        </is>
      </c>
      <c r="AH720" s="0" t="n">
        <v>0</v>
      </c>
      <c r="AI720" s="0" t="n">
        <v>236</v>
      </c>
      <c r="AJ720" s="0" t="n">
        <v>43</v>
      </c>
      <c r="AK720" s="0" t="n">
        <v>22</v>
      </c>
      <c r="AL720" s="0" t="n">
        <v>1.22</v>
      </c>
    </row>
    <row r="721">
      <c r="A721" s="0" t="inlineStr">
        <is>
          <t>[길동]</t>
        </is>
      </c>
      <c r="B721" s="0" t="n">
        <v>19577</v>
      </c>
      <c r="C721" s="0" t="n">
        <v>3</v>
      </c>
      <c r="D721" s="0" t="inlineStr">
        <is>
          <t>파크하임</t>
        </is>
      </c>
      <c r="E721" s="0" t="inlineStr">
        <is>
          <t>2004.06.</t>
        </is>
      </c>
      <c r="F721" s="0" t="n">
        <v>18</v>
      </c>
      <c r="G721" s="0" t="n">
        <v>29.15</v>
      </c>
      <c r="H721" s="0" t="n">
        <v>96.37</v>
      </c>
      <c r="I721" s="0" t="n">
        <v>24.23</v>
      </c>
      <c r="J721" s="0" t="n">
        <v>80.11</v>
      </c>
      <c r="K721" s="0" t="n">
        <v>1</v>
      </c>
      <c r="T721" s="0" t="n">
        <v>3</v>
      </c>
      <c r="U721" s="0" t="n">
        <v>2</v>
      </c>
      <c r="V721" s="0" t="inlineStr">
        <is>
          <t>계단식</t>
        </is>
      </c>
      <c r="W721" s="0" t="inlineStr">
        <is>
          <t>96B</t>
        </is>
      </c>
      <c r="X721" s="0" t="n">
        <v>7</v>
      </c>
      <c r="Y721" s="0" t="n">
        <v>7</v>
      </c>
      <c r="Z721" s="0" t="inlineStr">
        <is>
          <t>https://new.land.naver.com/complexes/19577?tab=detail&amp;rf=Y</t>
        </is>
      </c>
      <c r="AA721" s="0" t="inlineStr">
        <is>
          <t>서울시 강동구 길동 358-7</t>
        </is>
      </c>
      <c r="AB721" s="0" t="inlineStr">
        <is>
          <t>서울시</t>
        </is>
      </c>
      <c r="AC721" s="0" t="inlineStr">
        <is>
          <t>강동구</t>
        </is>
      </c>
      <c r="AD721" s="0" t="inlineStr">
        <is>
          <t>길동</t>
        </is>
      </c>
      <c r="AG721" s="0" t="inlineStr">
        <is>
          <t>서울시 강동구 양재대로 1500-25</t>
        </is>
      </c>
      <c r="AH721" s="0" t="n">
        <v>0</v>
      </c>
      <c r="AI721" s="0" t="n">
        <v>236</v>
      </c>
      <c r="AJ721" s="0" t="n">
        <v>43</v>
      </c>
      <c r="AK721" s="0" t="n">
        <v>22</v>
      </c>
      <c r="AL721" s="0" t="n">
        <v>1.22</v>
      </c>
    </row>
    <row r="722">
      <c r="A722" s="0" t="inlineStr">
        <is>
          <t>[길동]</t>
        </is>
      </c>
      <c r="B722" s="0" t="n">
        <v>19577</v>
      </c>
      <c r="C722" s="0" t="n">
        <v>4</v>
      </c>
      <c r="D722" s="0" t="inlineStr">
        <is>
          <t>파크하임</t>
        </is>
      </c>
      <c r="E722" s="0" t="inlineStr">
        <is>
          <t>2004.06.</t>
        </is>
      </c>
      <c r="F722" s="0" t="n">
        <v>18</v>
      </c>
      <c r="G722" s="0" t="n">
        <v>30.85</v>
      </c>
      <c r="H722" s="0" t="n">
        <v>101.99</v>
      </c>
      <c r="I722" s="0" t="n">
        <v>25.64</v>
      </c>
      <c r="J722" s="0" t="n">
        <v>84.79000000000001</v>
      </c>
      <c r="K722" s="0" t="n">
        <v>10</v>
      </c>
      <c r="T722" s="0" t="n">
        <v>3</v>
      </c>
      <c r="U722" s="0" t="n">
        <v>2</v>
      </c>
      <c r="V722" s="0" t="inlineStr">
        <is>
          <t>계단식</t>
        </is>
      </c>
      <c r="W722" s="0" t="inlineStr">
        <is>
          <t>101B</t>
        </is>
      </c>
      <c r="X722" s="0" t="n">
        <v>7</v>
      </c>
      <c r="Y722" s="0" t="n">
        <v>7</v>
      </c>
      <c r="Z722" s="0" t="inlineStr">
        <is>
          <t>https://new.land.naver.com/complexes/19577?tab=detail&amp;rf=Y</t>
        </is>
      </c>
      <c r="AA722" s="0" t="inlineStr">
        <is>
          <t>서울시 강동구 길동 358-7</t>
        </is>
      </c>
      <c r="AB722" s="0" t="inlineStr">
        <is>
          <t>서울시</t>
        </is>
      </c>
      <c r="AC722" s="0" t="inlineStr">
        <is>
          <t>강동구</t>
        </is>
      </c>
      <c r="AD722" s="0" t="inlineStr">
        <is>
          <t>길동</t>
        </is>
      </c>
      <c r="AG722" s="0" t="inlineStr">
        <is>
          <t>서울시 강동구 양재대로 1500-25</t>
        </is>
      </c>
      <c r="AH722" s="0" t="n">
        <v>0</v>
      </c>
      <c r="AI722" s="0" t="n">
        <v>236</v>
      </c>
      <c r="AJ722" s="0" t="n">
        <v>43</v>
      </c>
      <c r="AK722" s="0" t="n">
        <v>22</v>
      </c>
      <c r="AL722" s="0" t="n">
        <v>1.22</v>
      </c>
    </row>
    <row r="723">
      <c r="A723" s="0" t="inlineStr">
        <is>
          <t>[길동]</t>
        </is>
      </c>
      <c r="B723" s="0" t="n">
        <v>19577</v>
      </c>
      <c r="C723" s="0" t="n">
        <v>5</v>
      </c>
      <c r="D723" s="0" t="inlineStr">
        <is>
          <t>파크하임</t>
        </is>
      </c>
      <c r="E723" s="0" t="inlineStr">
        <is>
          <t>2004.06.</t>
        </is>
      </c>
      <c r="F723" s="0" t="n">
        <v>18</v>
      </c>
      <c r="G723" s="0" t="n">
        <v>30.82</v>
      </c>
      <c r="H723" s="0" t="n">
        <v>101.89</v>
      </c>
      <c r="I723" s="0" t="n">
        <v>25.62</v>
      </c>
      <c r="J723" s="0" t="n">
        <v>84.70999999999999</v>
      </c>
      <c r="K723" s="0" t="n">
        <v>5</v>
      </c>
      <c r="T723" s="0" t="n">
        <v>3</v>
      </c>
      <c r="U723" s="0" t="n">
        <v>2</v>
      </c>
      <c r="V723" s="0" t="inlineStr">
        <is>
          <t>계단식</t>
        </is>
      </c>
      <c r="W723" s="0" t="inlineStr">
        <is>
          <t>101A</t>
        </is>
      </c>
      <c r="X723" s="0" t="n">
        <v>7</v>
      </c>
      <c r="Y723" s="0" t="n">
        <v>7</v>
      </c>
      <c r="Z723" s="0" t="inlineStr">
        <is>
          <t>https://new.land.naver.com/complexes/19577?tab=detail&amp;rf=Y</t>
        </is>
      </c>
      <c r="AA723" s="0" t="inlineStr">
        <is>
          <t>서울시 강동구 길동 358-7</t>
        </is>
      </c>
      <c r="AB723" s="0" t="inlineStr">
        <is>
          <t>서울시</t>
        </is>
      </c>
      <c r="AC723" s="0" t="inlineStr">
        <is>
          <t>강동구</t>
        </is>
      </c>
      <c r="AD723" s="0" t="inlineStr">
        <is>
          <t>길동</t>
        </is>
      </c>
      <c r="AG723" s="0" t="inlineStr">
        <is>
          <t>서울시 강동구 양재대로 1500-25</t>
        </is>
      </c>
      <c r="AH723" s="0" t="n">
        <v>0</v>
      </c>
      <c r="AI723" s="0" t="n">
        <v>236</v>
      </c>
      <c r="AJ723" s="0" t="n">
        <v>43</v>
      </c>
      <c r="AK723" s="0" t="n">
        <v>22</v>
      </c>
      <c r="AL723" s="0" t="n">
        <v>1.22</v>
      </c>
    </row>
    <row r="724">
      <c r="A724" s="0" t="inlineStr">
        <is>
          <t>[길동]</t>
        </is>
      </c>
      <c r="B724" s="0" t="n">
        <v>8755</v>
      </c>
      <c r="C724" s="0" t="n">
        <v>1</v>
      </c>
      <c r="D724" s="0" t="inlineStr">
        <is>
          <t>GS강동자이</t>
        </is>
      </c>
      <c r="E724" s="0" t="inlineStr">
        <is>
          <t>2003.11.</t>
        </is>
      </c>
      <c r="F724" s="0" t="n">
        <v>596</v>
      </c>
      <c r="G724" s="0" t="n">
        <v>31.59</v>
      </c>
      <c r="H724" s="0" t="n">
        <v>104.46</v>
      </c>
      <c r="I724" s="0" t="n">
        <v>25.46</v>
      </c>
      <c r="J724" s="0" t="n">
        <v>84.17</v>
      </c>
      <c r="K724" s="0" t="n">
        <v>10</v>
      </c>
      <c r="T724" s="0" t="n">
        <v>3</v>
      </c>
      <c r="U724" s="0" t="n">
        <v>2</v>
      </c>
      <c r="V724" s="0" t="inlineStr">
        <is>
          <t>계단식</t>
        </is>
      </c>
      <c r="W724" s="0" t="n">
        <v>104</v>
      </c>
      <c r="X724" s="0" t="n">
        <v>23</v>
      </c>
      <c r="Y724" s="0" t="n">
        <v>10</v>
      </c>
      <c r="Z724" s="0" t="inlineStr">
        <is>
          <t>https://new.land.naver.com/complexes/8755?tab=detail&amp;rf=Y</t>
        </is>
      </c>
      <c r="AA724" s="0" t="inlineStr">
        <is>
          <t>서울시 강동구 길동 474</t>
        </is>
      </c>
      <c r="AB724" s="0" t="inlineStr">
        <is>
          <t>서울시</t>
        </is>
      </c>
      <c r="AC724" s="0" t="inlineStr">
        <is>
          <t>강동구</t>
        </is>
      </c>
      <c r="AD724" s="0" t="inlineStr">
        <is>
          <t>길동</t>
        </is>
      </c>
      <c r="AG724" s="0" t="inlineStr">
        <is>
          <t>서울시 강동구 천호대로 1239</t>
        </is>
      </c>
      <c r="AH724" s="0" t="n">
        <v>0</v>
      </c>
      <c r="AI724" s="0" t="n">
        <v>299</v>
      </c>
      <c r="AJ724" s="0" t="n">
        <v>20</v>
      </c>
      <c r="AK724" s="0" t="n">
        <v>977</v>
      </c>
      <c r="AL724" s="0" t="n">
        <v>1.64</v>
      </c>
    </row>
    <row r="725">
      <c r="A725" s="0" t="inlineStr">
        <is>
          <t>[길동]</t>
        </is>
      </c>
      <c r="B725" s="0" t="n">
        <v>8755</v>
      </c>
      <c r="C725" s="0" t="n">
        <v>2</v>
      </c>
      <c r="D725" s="0" t="inlineStr">
        <is>
          <t>GS강동자이</t>
        </is>
      </c>
      <c r="E725" s="0" t="inlineStr">
        <is>
          <t>2003.11.</t>
        </is>
      </c>
      <c r="F725" s="0" t="n">
        <v>596</v>
      </c>
      <c r="G725" s="0" t="n">
        <v>33.46</v>
      </c>
      <c r="H725" s="0" t="n">
        <v>110.62</v>
      </c>
      <c r="I725" s="0" t="n">
        <v>25.67</v>
      </c>
      <c r="J725" s="0" t="n">
        <v>84.88</v>
      </c>
      <c r="K725" s="0" t="n">
        <v>262</v>
      </c>
      <c r="T725" s="0" t="n">
        <v>3</v>
      </c>
      <c r="U725" s="0" t="n">
        <v>2</v>
      </c>
      <c r="V725" s="0" t="inlineStr">
        <is>
          <t>계단식</t>
        </is>
      </c>
      <c r="W725" s="0" t="n">
        <v>110</v>
      </c>
      <c r="X725" s="0" t="n">
        <v>23</v>
      </c>
      <c r="Y725" s="0" t="n">
        <v>10</v>
      </c>
      <c r="Z725" s="0" t="inlineStr">
        <is>
          <t>https://new.land.naver.com/complexes/8755?tab=detail&amp;rf=Y</t>
        </is>
      </c>
      <c r="AA725" s="0" t="inlineStr">
        <is>
          <t>서울시 강동구 길동 474</t>
        </is>
      </c>
      <c r="AB725" s="0" t="inlineStr">
        <is>
          <t>서울시</t>
        </is>
      </c>
      <c r="AC725" s="0" t="inlineStr">
        <is>
          <t>강동구</t>
        </is>
      </c>
      <c r="AD725" s="0" t="inlineStr">
        <is>
          <t>길동</t>
        </is>
      </c>
      <c r="AG725" s="0" t="inlineStr">
        <is>
          <t>서울시 강동구 천호대로 1239</t>
        </is>
      </c>
      <c r="AH725" s="0" t="n">
        <v>0</v>
      </c>
      <c r="AI725" s="0" t="n">
        <v>299</v>
      </c>
      <c r="AJ725" s="0" t="n">
        <v>20</v>
      </c>
      <c r="AK725" s="0" t="n">
        <v>977</v>
      </c>
      <c r="AL725" s="0" t="n">
        <v>1.64</v>
      </c>
    </row>
    <row r="726">
      <c r="A726" s="0" t="inlineStr">
        <is>
          <t>[길동]</t>
        </is>
      </c>
      <c r="B726" s="0" t="n">
        <v>8755</v>
      </c>
      <c r="C726" s="0" t="n">
        <v>3</v>
      </c>
      <c r="D726" s="0" t="inlineStr">
        <is>
          <t>GS강동자이</t>
        </is>
      </c>
      <c r="E726" s="0" t="inlineStr">
        <is>
          <t>2003.11.</t>
        </is>
      </c>
      <c r="F726" s="0" t="n">
        <v>596</v>
      </c>
      <c r="G726" s="0" t="n">
        <v>45.55</v>
      </c>
      <c r="H726" s="0" t="n">
        <v>150.6</v>
      </c>
      <c r="I726" s="0" t="n">
        <v>38.24</v>
      </c>
      <c r="J726" s="0" t="n">
        <v>126.43</v>
      </c>
      <c r="K726" s="0" t="n">
        <v>249</v>
      </c>
      <c r="T726" s="0" t="n">
        <v>4</v>
      </c>
      <c r="U726" s="0" t="n">
        <v>2</v>
      </c>
      <c r="V726" s="0" t="inlineStr">
        <is>
          <t>계단식</t>
        </is>
      </c>
      <c r="W726" s="0" t="n">
        <v>150</v>
      </c>
      <c r="X726" s="0" t="n">
        <v>23</v>
      </c>
      <c r="Y726" s="0" t="n">
        <v>10</v>
      </c>
      <c r="Z726" s="0" t="inlineStr">
        <is>
          <t>https://new.land.naver.com/complexes/8755?tab=detail&amp;rf=Y</t>
        </is>
      </c>
      <c r="AA726" s="0" t="inlineStr">
        <is>
          <t>서울시 강동구 길동 474</t>
        </is>
      </c>
      <c r="AB726" s="0" t="inlineStr">
        <is>
          <t>서울시</t>
        </is>
      </c>
      <c r="AC726" s="0" t="inlineStr">
        <is>
          <t>강동구</t>
        </is>
      </c>
      <c r="AD726" s="0" t="inlineStr">
        <is>
          <t>길동</t>
        </is>
      </c>
      <c r="AG726" s="0" t="inlineStr">
        <is>
          <t>서울시 강동구 천호대로 1239</t>
        </is>
      </c>
      <c r="AH726" s="0" t="n">
        <v>0</v>
      </c>
      <c r="AI726" s="0" t="n">
        <v>299</v>
      </c>
      <c r="AJ726" s="0" t="n">
        <v>20</v>
      </c>
      <c r="AK726" s="0" t="n">
        <v>977</v>
      </c>
      <c r="AL726" s="0" t="n">
        <v>1.64</v>
      </c>
    </row>
    <row r="727">
      <c r="A727" s="0" t="inlineStr">
        <is>
          <t>[길동]</t>
        </is>
      </c>
      <c r="B727" s="0" t="n">
        <v>8755</v>
      </c>
      <c r="C727" s="0" t="n">
        <v>4</v>
      </c>
      <c r="D727" s="0" t="inlineStr">
        <is>
          <t>GS강동자이</t>
        </is>
      </c>
      <c r="E727" s="0" t="inlineStr">
        <is>
          <t>2003.11.</t>
        </is>
      </c>
      <c r="F727" s="0" t="n">
        <v>596</v>
      </c>
      <c r="G727" s="0" t="n">
        <v>52.15</v>
      </c>
      <c r="H727" s="0" t="n">
        <v>172.42</v>
      </c>
      <c r="I727" s="0" t="n">
        <v>44.51</v>
      </c>
      <c r="J727" s="0" t="n">
        <v>147.17</v>
      </c>
      <c r="K727" s="0" t="n">
        <v>75</v>
      </c>
      <c r="T727" s="0" t="n">
        <v>4</v>
      </c>
      <c r="U727" s="0" t="n">
        <v>2</v>
      </c>
      <c r="V727" s="0" t="inlineStr">
        <is>
          <t>계단식</t>
        </is>
      </c>
      <c r="W727" s="0" t="n">
        <v>172</v>
      </c>
      <c r="X727" s="0" t="n">
        <v>23</v>
      </c>
      <c r="Y727" s="0" t="n">
        <v>10</v>
      </c>
      <c r="Z727" s="0" t="inlineStr">
        <is>
          <t>https://new.land.naver.com/complexes/8755?tab=detail&amp;rf=Y</t>
        </is>
      </c>
      <c r="AA727" s="0" t="inlineStr">
        <is>
          <t>서울시 강동구 길동 474</t>
        </is>
      </c>
      <c r="AB727" s="0" t="inlineStr">
        <is>
          <t>서울시</t>
        </is>
      </c>
      <c r="AC727" s="0" t="inlineStr">
        <is>
          <t>강동구</t>
        </is>
      </c>
      <c r="AD727" s="0" t="inlineStr">
        <is>
          <t>길동</t>
        </is>
      </c>
      <c r="AG727" s="0" t="inlineStr">
        <is>
          <t>서울시 강동구 천호대로 1239</t>
        </is>
      </c>
      <c r="AH727" s="0" t="n">
        <v>0</v>
      </c>
      <c r="AI727" s="0" t="n">
        <v>299</v>
      </c>
      <c r="AJ727" s="0" t="n">
        <v>20</v>
      </c>
      <c r="AK727" s="0" t="n">
        <v>977</v>
      </c>
      <c r="AL727" s="0" t="n">
        <v>1.64</v>
      </c>
    </row>
    <row r="728">
      <c r="A728" s="0" t="inlineStr">
        <is>
          <t>[길동]</t>
        </is>
      </c>
      <c r="B728" s="0" t="n">
        <v>23574</v>
      </c>
      <c r="C728" s="0" t="n">
        <v>1</v>
      </c>
      <c r="D728" s="0" t="inlineStr">
        <is>
          <t>메트로아파텔</t>
        </is>
      </c>
      <c r="E728" s="0" t="inlineStr">
        <is>
          <t>2004.09.</t>
        </is>
      </c>
      <c r="F728" s="0" t="n">
        <v>22</v>
      </c>
      <c r="G728" s="0" t="n">
        <v>24.4</v>
      </c>
      <c r="H728" s="0" t="n">
        <v>80.67</v>
      </c>
      <c r="I728" s="0" t="n">
        <v>22.2</v>
      </c>
      <c r="J728" s="0" t="n">
        <v>73.41</v>
      </c>
      <c r="K728" s="0" t="n">
        <v>2</v>
      </c>
      <c r="T728" s="0" t="n">
        <v>3</v>
      </c>
      <c r="U728" s="0" t="n">
        <v>2</v>
      </c>
      <c r="V728" s="0" t="inlineStr">
        <is>
          <t>계단식</t>
        </is>
      </c>
      <c r="W728" s="0" t="n">
        <v>80</v>
      </c>
      <c r="X728" s="0" t="n">
        <v>11</v>
      </c>
      <c r="Y728" s="0" t="n">
        <v>10</v>
      </c>
      <c r="Z728" s="0" t="inlineStr">
        <is>
          <t>https://new.land.naver.com/complexes/23574?tab=detail&amp;rf=Y</t>
        </is>
      </c>
      <c r="AA728" s="0" t="inlineStr">
        <is>
          <t>서울시 강동구 길동 388-5</t>
        </is>
      </c>
      <c r="AB728" s="0" t="inlineStr">
        <is>
          <t>서울시</t>
        </is>
      </c>
      <c r="AC728" s="0" t="inlineStr">
        <is>
          <t>강동구</t>
        </is>
      </c>
      <c r="AD728" s="0" t="inlineStr">
        <is>
          <t>길동</t>
        </is>
      </c>
      <c r="AG728" s="0" t="inlineStr">
        <is>
          <t>서울시 강동구 천중로44길 82</t>
        </is>
      </c>
      <c r="AH728" s="0" t="n">
        <v>0</v>
      </c>
      <c r="AI728" s="0" t="n">
        <v>361</v>
      </c>
      <c r="AJ728" s="0" t="n">
        <v>41</v>
      </c>
      <c r="AK728" s="0" t="n">
        <v>15</v>
      </c>
      <c r="AL728" s="0" t="n">
        <v>0.68</v>
      </c>
    </row>
    <row r="729">
      <c r="A729" s="0" t="inlineStr">
        <is>
          <t>[길동]</t>
        </is>
      </c>
      <c r="B729" s="0" t="n">
        <v>23574</v>
      </c>
      <c r="C729" s="0" t="n">
        <v>2</v>
      </c>
      <c r="D729" s="0" t="inlineStr">
        <is>
          <t>메트로아파텔</t>
        </is>
      </c>
      <c r="E729" s="0" t="inlineStr">
        <is>
          <t>2004.09.</t>
        </is>
      </c>
      <c r="F729" s="0" t="n">
        <v>22</v>
      </c>
      <c r="G729" s="0" t="n">
        <v>28.16</v>
      </c>
      <c r="H729" s="0" t="n">
        <v>93.12</v>
      </c>
      <c r="I729" s="0" t="n">
        <v>25.63</v>
      </c>
      <c r="J729" s="0" t="n">
        <v>84.75</v>
      </c>
      <c r="K729" s="0" t="n">
        <v>12</v>
      </c>
      <c r="T729" s="0" t="n">
        <v>3</v>
      </c>
      <c r="U729" s="0" t="n">
        <v>2</v>
      </c>
      <c r="V729" s="0" t="inlineStr">
        <is>
          <t>계단식</t>
        </is>
      </c>
      <c r="W729" s="0" t="inlineStr">
        <is>
          <t>93A</t>
        </is>
      </c>
      <c r="X729" s="0" t="n">
        <v>11</v>
      </c>
      <c r="Y729" s="0" t="n">
        <v>10</v>
      </c>
      <c r="Z729" s="0" t="inlineStr">
        <is>
          <t>https://new.land.naver.com/complexes/23574?tab=detail&amp;rf=Y</t>
        </is>
      </c>
      <c r="AA729" s="0" t="inlineStr">
        <is>
          <t>서울시 강동구 길동 388-5</t>
        </is>
      </c>
      <c r="AB729" s="0" t="inlineStr">
        <is>
          <t>서울시</t>
        </is>
      </c>
      <c r="AC729" s="0" t="inlineStr">
        <is>
          <t>강동구</t>
        </is>
      </c>
      <c r="AD729" s="0" t="inlineStr">
        <is>
          <t>길동</t>
        </is>
      </c>
      <c r="AG729" s="0" t="inlineStr">
        <is>
          <t>서울시 강동구 천중로44길 82</t>
        </is>
      </c>
      <c r="AH729" s="0" t="n">
        <v>0</v>
      </c>
      <c r="AI729" s="0" t="n">
        <v>361</v>
      </c>
      <c r="AJ729" s="0" t="n">
        <v>41</v>
      </c>
      <c r="AK729" s="0" t="n">
        <v>15</v>
      </c>
      <c r="AL729" s="0" t="n">
        <v>0.68</v>
      </c>
    </row>
    <row r="730">
      <c r="A730" s="0" t="inlineStr">
        <is>
          <t>[길동]</t>
        </is>
      </c>
      <c r="B730" s="0" t="n">
        <v>23574</v>
      </c>
      <c r="C730" s="0" t="n">
        <v>3</v>
      </c>
      <c r="D730" s="0" t="inlineStr">
        <is>
          <t>메트로아파텔</t>
        </is>
      </c>
      <c r="E730" s="0" t="inlineStr">
        <is>
          <t>2004.09.</t>
        </is>
      </c>
      <c r="F730" s="0" t="n">
        <v>22</v>
      </c>
      <c r="G730" s="0" t="n">
        <v>28.22</v>
      </c>
      <c r="H730" s="0" t="n">
        <v>93.31</v>
      </c>
      <c r="I730" s="0" t="n">
        <v>25.68</v>
      </c>
      <c r="J730" s="0" t="n">
        <v>84.92</v>
      </c>
      <c r="K730" s="0" t="n">
        <v>8</v>
      </c>
      <c r="T730" s="0" t="n">
        <v>3</v>
      </c>
      <c r="U730" s="0" t="n">
        <v>2</v>
      </c>
      <c r="V730" s="0" t="inlineStr">
        <is>
          <t>계단식</t>
        </is>
      </c>
      <c r="W730" s="0" t="inlineStr">
        <is>
          <t>93B</t>
        </is>
      </c>
      <c r="X730" s="0" t="n">
        <v>11</v>
      </c>
      <c r="Y730" s="0" t="n">
        <v>10</v>
      </c>
      <c r="Z730" s="0" t="inlineStr">
        <is>
          <t>https://new.land.naver.com/complexes/23574?tab=detail&amp;rf=Y</t>
        </is>
      </c>
      <c r="AA730" s="0" t="inlineStr">
        <is>
          <t>서울시 강동구 길동 388-5</t>
        </is>
      </c>
      <c r="AB730" s="0" t="inlineStr">
        <is>
          <t>서울시</t>
        </is>
      </c>
      <c r="AC730" s="0" t="inlineStr">
        <is>
          <t>강동구</t>
        </is>
      </c>
      <c r="AD730" s="0" t="inlineStr">
        <is>
          <t>길동</t>
        </is>
      </c>
      <c r="AG730" s="0" t="inlineStr">
        <is>
          <t>서울시 강동구 천중로44길 82</t>
        </is>
      </c>
      <c r="AH730" s="0" t="n">
        <v>0</v>
      </c>
      <c r="AI730" s="0" t="n">
        <v>361</v>
      </c>
      <c r="AJ730" s="0" t="n">
        <v>41</v>
      </c>
      <c r="AK730" s="0" t="n">
        <v>15</v>
      </c>
      <c r="AL730" s="0" t="n">
        <v>0.68</v>
      </c>
    </row>
    <row r="731">
      <c r="A731" s="0" t="inlineStr">
        <is>
          <t>[길동]</t>
        </is>
      </c>
      <c r="B731" s="0" t="n">
        <v>105068</v>
      </c>
      <c r="C731" s="0" t="n">
        <v>1</v>
      </c>
      <c r="D731" s="0" t="inlineStr">
        <is>
          <t>현대웰하임2단지(도시형)</t>
        </is>
      </c>
      <c r="E731" s="0" t="inlineStr">
        <is>
          <t>2012.04.</t>
        </is>
      </c>
      <c r="F731" s="0" t="n">
        <v>139</v>
      </c>
      <c r="G731" s="0" t="n">
        <v>5.78</v>
      </c>
      <c r="H731" s="0" t="n">
        <v>19.12</v>
      </c>
      <c r="I731" s="0" t="n">
        <v>3.96</v>
      </c>
      <c r="J731" s="0" t="n">
        <v>13.1</v>
      </c>
      <c r="K731" s="0" t="n">
        <v>11</v>
      </c>
      <c r="T731" s="0" t="n">
        <v>1</v>
      </c>
      <c r="U731" s="0" t="n">
        <v>1</v>
      </c>
      <c r="V731" s="0" t="inlineStr">
        <is>
          <t>계단식</t>
        </is>
      </c>
      <c r="W731" s="0" t="inlineStr">
        <is>
          <t>19C</t>
        </is>
      </c>
      <c r="X731" s="0" t="n">
        <v>6</v>
      </c>
      <c r="Y731" s="0" t="n">
        <v>6</v>
      </c>
      <c r="Z731" s="0" t="inlineStr">
        <is>
          <t>https://new.land.naver.com/complexes/105068?tab=detail&amp;rf=Y</t>
        </is>
      </c>
      <c r="AA731" s="0" t="inlineStr">
        <is>
          <t>서울시 강동구 길동 343-2</t>
        </is>
      </c>
      <c r="AB731" s="0" t="inlineStr">
        <is>
          <t>서울시</t>
        </is>
      </c>
      <c r="AC731" s="0" t="inlineStr">
        <is>
          <t>강동구</t>
        </is>
      </c>
      <c r="AD731" s="0" t="inlineStr">
        <is>
          <t>길동</t>
        </is>
      </c>
      <c r="AG731" s="0" t="inlineStr">
        <is>
          <t>서울시 강동구 천중로49가길 56</t>
        </is>
      </c>
      <c r="AH731" s="0" t="n">
        <v>0</v>
      </c>
      <c r="AI731" s="0" t="n">
        <v>240</v>
      </c>
      <c r="AJ731" s="0" t="n">
        <v>49</v>
      </c>
      <c r="AK731" s="0" t="n">
        <v>36</v>
      </c>
      <c r="AL731" s="0" t="n">
        <v>0.26</v>
      </c>
    </row>
    <row r="732">
      <c r="A732" s="0" t="inlineStr">
        <is>
          <t>[길동]</t>
        </is>
      </c>
      <c r="B732" s="0" t="n">
        <v>105068</v>
      </c>
      <c r="C732" s="0" t="n">
        <v>2</v>
      </c>
      <c r="D732" s="0" t="inlineStr">
        <is>
          <t>현대웰하임2단지(도시형)</t>
        </is>
      </c>
      <c r="E732" s="0" t="inlineStr">
        <is>
          <t>2012.04.</t>
        </is>
      </c>
      <c r="F732" s="0" t="n">
        <v>139</v>
      </c>
      <c r="G732" s="0" t="n">
        <v>6.07</v>
      </c>
      <c r="H732" s="0" t="n">
        <v>20.09</v>
      </c>
      <c r="I732" s="0" t="n">
        <v>4.16</v>
      </c>
      <c r="J732" s="0" t="n">
        <v>13.77</v>
      </c>
      <c r="K732" s="0" t="n">
        <v>15</v>
      </c>
      <c r="T732" s="0" t="n">
        <v>1</v>
      </c>
      <c r="U732" s="0" t="n">
        <v>1</v>
      </c>
      <c r="V732" s="0" t="inlineStr">
        <is>
          <t>계단식</t>
        </is>
      </c>
      <c r="W732" s="0" t="inlineStr">
        <is>
          <t>20A1</t>
        </is>
      </c>
      <c r="X732" s="0" t="n">
        <v>6</v>
      </c>
      <c r="Y732" s="0" t="n">
        <v>6</v>
      </c>
      <c r="Z732" s="0" t="inlineStr">
        <is>
          <t>https://new.land.naver.com/complexes/105068?tab=detail&amp;rf=Y</t>
        </is>
      </c>
      <c r="AA732" s="0" t="inlineStr">
        <is>
          <t>서울시 강동구 길동 343-2</t>
        </is>
      </c>
      <c r="AB732" s="0" t="inlineStr">
        <is>
          <t>서울시</t>
        </is>
      </c>
      <c r="AC732" s="0" t="inlineStr">
        <is>
          <t>강동구</t>
        </is>
      </c>
      <c r="AD732" s="0" t="inlineStr">
        <is>
          <t>길동</t>
        </is>
      </c>
      <c r="AG732" s="0" t="inlineStr">
        <is>
          <t>서울시 강동구 천중로49가길 56</t>
        </is>
      </c>
      <c r="AH732" s="0" t="n">
        <v>0</v>
      </c>
      <c r="AI732" s="0" t="n">
        <v>240</v>
      </c>
      <c r="AJ732" s="0" t="n">
        <v>49</v>
      </c>
      <c r="AK732" s="0" t="n">
        <v>36</v>
      </c>
      <c r="AL732" s="0" t="n">
        <v>0.26</v>
      </c>
    </row>
    <row r="733">
      <c r="A733" s="0" t="inlineStr">
        <is>
          <t>[길동]</t>
        </is>
      </c>
      <c r="B733" s="0" t="n">
        <v>105068</v>
      </c>
      <c r="C733" s="0" t="n">
        <v>3</v>
      </c>
      <c r="D733" s="0" t="inlineStr">
        <is>
          <t>현대웰하임2단지(도시형)</t>
        </is>
      </c>
      <c r="E733" s="0" t="inlineStr">
        <is>
          <t>2012.04.</t>
        </is>
      </c>
      <c r="F733" s="0" t="n">
        <v>139</v>
      </c>
      <c r="G733" s="0" t="n">
        <v>6.38</v>
      </c>
      <c r="H733" s="0" t="n">
        <v>21.11</v>
      </c>
      <c r="I733" s="0" t="n">
        <v>4.37</v>
      </c>
      <c r="J733" s="0" t="n">
        <v>14.46</v>
      </c>
      <c r="K733" s="0" t="n">
        <v>59</v>
      </c>
      <c r="T733" s="0" t="n">
        <v>1</v>
      </c>
      <c r="U733" s="0" t="n">
        <v>1</v>
      </c>
      <c r="V733" s="0" t="inlineStr">
        <is>
          <t>계단식</t>
        </is>
      </c>
      <c r="W733" s="0" t="inlineStr">
        <is>
          <t>21A</t>
        </is>
      </c>
      <c r="X733" s="0" t="n">
        <v>6</v>
      </c>
      <c r="Y733" s="0" t="n">
        <v>6</v>
      </c>
      <c r="Z733" s="0" t="inlineStr">
        <is>
          <t>https://new.land.naver.com/complexes/105068?tab=detail&amp;rf=Y</t>
        </is>
      </c>
      <c r="AA733" s="0" t="inlineStr">
        <is>
          <t>서울시 강동구 길동 343-2</t>
        </is>
      </c>
      <c r="AB733" s="0" t="inlineStr">
        <is>
          <t>서울시</t>
        </is>
      </c>
      <c r="AC733" s="0" t="inlineStr">
        <is>
          <t>강동구</t>
        </is>
      </c>
      <c r="AD733" s="0" t="inlineStr">
        <is>
          <t>길동</t>
        </is>
      </c>
      <c r="AG733" s="0" t="inlineStr">
        <is>
          <t>서울시 강동구 천중로49가길 56</t>
        </is>
      </c>
      <c r="AH733" s="0" t="n">
        <v>0</v>
      </c>
      <c r="AI733" s="0" t="n">
        <v>240</v>
      </c>
      <c r="AJ733" s="0" t="n">
        <v>49</v>
      </c>
      <c r="AK733" s="0" t="n">
        <v>36</v>
      </c>
      <c r="AL733" s="0" t="n">
        <v>0.26</v>
      </c>
    </row>
    <row r="734">
      <c r="A734" s="0" t="inlineStr">
        <is>
          <t>[길동]</t>
        </is>
      </c>
      <c r="B734" s="0" t="n">
        <v>105068</v>
      </c>
      <c r="C734" s="0" t="n">
        <v>4</v>
      </c>
      <c r="D734" s="0" t="inlineStr">
        <is>
          <t>현대웰하임2단지(도시형)</t>
        </is>
      </c>
      <c r="E734" s="0" t="inlineStr">
        <is>
          <t>2012.04.</t>
        </is>
      </c>
      <c r="F734" s="0" t="n">
        <v>139</v>
      </c>
      <c r="G734" s="0" t="n">
        <v>7.21</v>
      </c>
      <c r="H734" s="0" t="n">
        <v>23.85</v>
      </c>
      <c r="I734" s="0" t="n">
        <v>4.94</v>
      </c>
      <c r="J734" s="0" t="n">
        <v>16.35</v>
      </c>
      <c r="K734" s="0" t="n">
        <v>2</v>
      </c>
      <c r="T734" s="0" t="n">
        <v>1</v>
      </c>
      <c r="U734" s="0" t="n">
        <v>1</v>
      </c>
      <c r="V734" s="0" t="inlineStr">
        <is>
          <t>계단식</t>
        </is>
      </c>
      <c r="W734" s="0" t="inlineStr">
        <is>
          <t>23F</t>
        </is>
      </c>
      <c r="X734" s="0" t="n">
        <v>6</v>
      </c>
      <c r="Y734" s="0" t="n">
        <v>6</v>
      </c>
      <c r="Z734" s="0" t="inlineStr">
        <is>
          <t>https://new.land.naver.com/complexes/105068?tab=detail&amp;rf=Y</t>
        </is>
      </c>
      <c r="AA734" s="0" t="inlineStr">
        <is>
          <t>서울시 강동구 길동 343-2</t>
        </is>
      </c>
      <c r="AB734" s="0" t="inlineStr">
        <is>
          <t>서울시</t>
        </is>
      </c>
      <c r="AC734" s="0" t="inlineStr">
        <is>
          <t>강동구</t>
        </is>
      </c>
      <c r="AD734" s="0" t="inlineStr">
        <is>
          <t>길동</t>
        </is>
      </c>
      <c r="AG734" s="0" t="inlineStr">
        <is>
          <t>서울시 강동구 천중로49가길 56</t>
        </is>
      </c>
      <c r="AH734" s="0" t="n">
        <v>0</v>
      </c>
      <c r="AI734" s="0" t="n">
        <v>240</v>
      </c>
      <c r="AJ734" s="0" t="n">
        <v>49</v>
      </c>
      <c r="AK734" s="0" t="n">
        <v>36</v>
      </c>
      <c r="AL734" s="0" t="n">
        <v>0.26</v>
      </c>
    </row>
    <row r="735">
      <c r="A735" s="0" t="inlineStr">
        <is>
          <t>[길동]</t>
        </is>
      </c>
      <c r="B735" s="0" t="n">
        <v>105068</v>
      </c>
      <c r="C735" s="0" t="n">
        <v>5</v>
      </c>
      <c r="D735" s="0" t="inlineStr">
        <is>
          <t>현대웰하임2단지(도시형)</t>
        </is>
      </c>
      <c r="E735" s="0" t="inlineStr">
        <is>
          <t>2012.04.</t>
        </is>
      </c>
      <c r="F735" s="0" t="n">
        <v>139</v>
      </c>
      <c r="G735" s="0" t="n">
        <v>7.52</v>
      </c>
      <c r="H735" s="0" t="n">
        <v>24.87</v>
      </c>
      <c r="I735" s="0" t="n">
        <v>5.15</v>
      </c>
      <c r="J735" s="0" t="n">
        <v>17.04</v>
      </c>
      <c r="K735" s="0" t="n">
        <v>11</v>
      </c>
      <c r="T735" s="0" t="n">
        <v>1</v>
      </c>
      <c r="U735" s="0" t="n">
        <v>1</v>
      </c>
      <c r="V735" s="0" t="inlineStr">
        <is>
          <t>계단식</t>
        </is>
      </c>
      <c r="W735" s="0" t="inlineStr">
        <is>
          <t>24B1</t>
        </is>
      </c>
      <c r="X735" s="0" t="n">
        <v>6</v>
      </c>
      <c r="Y735" s="0" t="n">
        <v>6</v>
      </c>
      <c r="Z735" s="0" t="inlineStr">
        <is>
          <t>https://new.land.naver.com/complexes/105068?tab=detail&amp;rf=Y</t>
        </is>
      </c>
      <c r="AA735" s="0" t="inlineStr">
        <is>
          <t>서울시 강동구 길동 343-2</t>
        </is>
      </c>
      <c r="AB735" s="0" t="inlineStr">
        <is>
          <t>서울시</t>
        </is>
      </c>
      <c r="AC735" s="0" t="inlineStr">
        <is>
          <t>강동구</t>
        </is>
      </c>
      <c r="AD735" s="0" t="inlineStr">
        <is>
          <t>길동</t>
        </is>
      </c>
      <c r="AG735" s="0" t="inlineStr">
        <is>
          <t>서울시 강동구 천중로49가길 56</t>
        </is>
      </c>
      <c r="AH735" s="0" t="n">
        <v>0</v>
      </c>
      <c r="AI735" s="0" t="n">
        <v>240</v>
      </c>
      <c r="AJ735" s="0" t="n">
        <v>49</v>
      </c>
      <c r="AK735" s="0" t="n">
        <v>36</v>
      </c>
      <c r="AL735" s="0" t="n">
        <v>0.26</v>
      </c>
    </row>
    <row r="736">
      <c r="A736" s="0" t="inlineStr">
        <is>
          <t>[길동]</t>
        </is>
      </c>
      <c r="B736" s="0" t="n">
        <v>105068</v>
      </c>
      <c r="C736" s="0" t="n">
        <v>6</v>
      </c>
      <c r="D736" s="0" t="inlineStr">
        <is>
          <t>현대웰하임2단지(도시형)</t>
        </is>
      </c>
      <c r="E736" s="0" t="inlineStr">
        <is>
          <t>2012.04.</t>
        </is>
      </c>
      <c r="F736" s="0" t="n">
        <v>139</v>
      </c>
      <c r="G736" s="0" t="n">
        <v>7.54</v>
      </c>
      <c r="H736" s="0" t="n">
        <v>24.94</v>
      </c>
      <c r="I736" s="0" t="n">
        <v>5.16</v>
      </c>
      <c r="J736" s="0" t="n">
        <v>17.09</v>
      </c>
      <c r="K736" s="0" t="n">
        <v>1</v>
      </c>
      <c r="T736" s="0" t="n">
        <v>1</v>
      </c>
      <c r="U736" s="0" t="n">
        <v>1</v>
      </c>
      <c r="V736" s="0" t="inlineStr">
        <is>
          <t>계단식</t>
        </is>
      </c>
      <c r="W736" s="0" t="inlineStr">
        <is>
          <t>24E</t>
        </is>
      </c>
      <c r="X736" s="0" t="n">
        <v>6</v>
      </c>
      <c r="Y736" s="0" t="n">
        <v>6</v>
      </c>
      <c r="Z736" s="0" t="inlineStr">
        <is>
          <t>https://new.land.naver.com/complexes/105068?tab=detail&amp;rf=Y</t>
        </is>
      </c>
      <c r="AA736" s="0" t="inlineStr">
        <is>
          <t>서울시 강동구 길동 343-2</t>
        </is>
      </c>
      <c r="AB736" s="0" t="inlineStr">
        <is>
          <t>서울시</t>
        </is>
      </c>
      <c r="AC736" s="0" t="inlineStr">
        <is>
          <t>강동구</t>
        </is>
      </c>
      <c r="AD736" s="0" t="inlineStr">
        <is>
          <t>길동</t>
        </is>
      </c>
      <c r="AG736" s="0" t="inlineStr">
        <is>
          <t>서울시 강동구 천중로49가길 56</t>
        </is>
      </c>
      <c r="AH736" s="0" t="n">
        <v>0</v>
      </c>
      <c r="AI736" s="0" t="n">
        <v>240</v>
      </c>
      <c r="AJ736" s="0" t="n">
        <v>49</v>
      </c>
      <c r="AK736" s="0" t="n">
        <v>36</v>
      </c>
      <c r="AL736" s="0" t="n">
        <v>0.26</v>
      </c>
    </row>
    <row r="737">
      <c r="A737" s="0" t="inlineStr">
        <is>
          <t>[길동]</t>
        </is>
      </c>
      <c r="B737" s="0" t="n">
        <v>105068</v>
      </c>
      <c r="C737" s="0" t="n">
        <v>7</v>
      </c>
      <c r="D737" s="0" t="inlineStr">
        <is>
          <t>현대웰하임2단지(도시형)</t>
        </is>
      </c>
      <c r="E737" s="0" t="inlineStr">
        <is>
          <t>2012.04.</t>
        </is>
      </c>
      <c r="F737" s="0" t="n">
        <v>139</v>
      </c>
      <c r="G737" s="0" t="n">
        <v>7.72</v>
      </c>
      <c r="H737" s="0" t="n">
        <v>25.54</v>
      </c>
      <c r="I737" s="0" t="n">
        <v>5.29</v>
      </c>
      <c r="J737" s="0" t="n">
        <v>17.5</v>
      </c>
      <c r="K737" s="0" t="n">
        <v>29</v>
      </c>
      <c r="T737" s="0" t="n">
        <v>1</v>
      </c>
      <c r="U737" s="0" t="n">
        <v>1</v>
      </c>
      <c r="V737" s="0" t="inlineStr">
        <is>
          <t>계단식</t>
        </is>
      </c>
      <c r="W737" s="0" t="inlineStr">
        <is>
          <t>25B</t>
        </is>
      </c>
      <c r="X737" s="0" t="n">
        <v>6</v>
      </c>
      <c r="Y737" s="0" t="n">
        <v>6</v>
      </c>
      <c r="Z737" s="0" t="inlineStr">
        <is>
          <t>https://new.land.naver.com/complexes/105068?tab=detail&amp;rf=Y</t>
        </is>
      </c>
      <c r="AA737" s="0" t="inlineStr">
        <is>
          <t>서울시 강동구 길동 343-2</t>
        </is>
      </c>
      <c r="AB737" s="0" t="inlineStr">
        <is>
          <t>서울시</t>
        </is>
      </c>
      <c r="AC737" s="0" t="inlineStr">
        <is>
          <t>강동구</t>
        </is>
      </c>
      <c r="AD737" s="0" t="inlineStr">
        <is>
          <t>길동</t>
        </is>
      </c>
      <c r="AG737" s="0" t="inlineStr">
        <is>
          <t>서울시 강동구 천중로49가길 56</t>
        </is>
      </c>
      <c r="AH737" s="0" t="n">
        <v>0</v>
      </c>
      <c r="AI737" s="0" t="n">
        <v>240</v>
      </c>
      <c r="AJ737" s="0" t="n">
        <v>49</v>
      </c>
      <c r="AK737" s="0" t="n">
        <v>36</v>
      </c>
      <c r="AL737" s="0" t="n">
        <v>0.26</v>
      </c>
    </row>
    <row r="738">
      <c r="A738" s="0" t="inlineStr">
        <is>
          <t>[길동]</t>
        </is>
      </c>
      <c r="B738" s="0" t="n">
        <v>105068</v>
      </c>
      <c r="C738" s="0" t="n">
        <v>8</v>
      </c>
      <c r="D738" s="0" t="inlineStr">
        <is>
          <t>현대웰하임2단지(도시형)</t>
        </is>
      </c>
      <c r="E738" s="0" t="inlineStr">
        <is>
          <t>2012.04.</t>
        </is>
      </c>
      <c r="F738" s="0" t="n">
        <v>139</v>
      </c>
      <c r="G738" s="0" t="n">
        <v>8.17</v>
      </c>
      <c r="H738" s="0" t="n">
        <v>27.03</v>
      </c>
      <c r="I738" s="0" t="n">
        <v>5.6</v>
      </c>
      <c r="J738" s="0" t="n">
        <v>18.52</v>
      </c>
      <c r="K738" s="0" t="n">
        <v>11</v>
      </c>
      <c r="T738" s="0" t="n">
        <v>1</v>
      </c>
      <c r="U738" s="0" t="n">
        <v>1</v>
      </c>
      <c r="V738" s="0" t="inlineStr">
        <is>
          <t>계단식</t>
        </is>
      </c>
      <c r="W738" s="0" t="inlineStr">
        <is>
          <t>27D</t>
        </is>
      </c>
      <c r="X738" s="0" t="n">
        <v>6</v>
      </c>
      <c r="Y738" s="0" t="n">
        <v>6</v>
      </c>
      <c r="Z738" s="0" t="inlineStr">
        <is>
          <t>https://new.land.naver.com/complexes/105068?tab=detail&amp;rf=Y</t>
        </is>
      </c>
      <c r="AA738" s="0" t="inlineStr">
        <is>
          <t>서울시 강동구 길동 343-2</t>
        </is>
      </c>
      <c r="AB738" s="0" t="inlineStr">
        <is>
          <t>서울시</t>
        </is>
      </c>
      <c r="AC738" s="0" t="inlineStr">
        <is>
          <t>강동구</t>
        </is>
      </c>
      <c r="AD738" s="0" t="inlineStr">
        <is>
          <t>길동</t>
        </is>
      </c>
      <c r="AG738" s="0" t="inlineStr">
        <is>
          <t>서울시 강동구 천중로49가길 56</t>
        </is>
      </c>
      <c r="AH738" s="0" t="n">
        <v>0</v>
      </c>
      <c r="AI738" s="0" t="n">
        <v>240</v>
      </c>
      <c r="AJ738" s="0" t="n">
        <v>49</v>
      </c>
      <c r="AK738" s="0" t="n">
        <v>36</v>
      </c>
      <c r="AL738" s="0" t="n">
        <v>0.26</v>
      </c>
    </row>
    <row r="739">
      <c r="A739" s="0" t="inlineStr">
        <is>
          <t>[길동]</t>
        </is>
      </c>
      <c r="B739" s="0" t="n">
        <v>13509</v>
      </c>
      <c r="C739" s="0" t="n">
        <v>1</v>
      </c>
      <c r="D739" s="0" t="inlineStr">
        <is>
          <t>에이스빌</t>
        </is>
      </c>
      <c r="E739" s="0" t="inlineStr">
        <is>
          <t>2003.06.</t>
        </is>
      </c>
      <c r="F739" s="0" t="n">
        <v>24</v>
      </c>
      <c r="G739" s="0" t="n">
        <v>38.02</v>
      </c>
      <c r="H739" s="0" t="n">
        <v>125.7</v>
      </c>
      <c r="I739" s="0" t="n">
        <v>34.82</v>
      </c>
      <c r="J739" s="0" t="n">
        <v>115.11</v>
      </c>
      <c r="K739" s="0" t="n">
        <v>1</v>
      </c>
      <c r="T739" s="0" t="n">
        <v>3</v>
      </c>
      <c r="U739" s="0" t="n">
        <v>2</v>
      </c>
      <c r="V739" s="0" t="inlineStr">
        <is>
          <t>계단식</t>
        </is>
      </c>
      <c r="W739" s="0" t="n">
        <v>125</v>
      </c>
      <c r="X739" s="0" t="n">
        <v>7</v>
      </c>
      <c r="Y739" s="0" t="n">
        <v>7</v>
      </c>
      <c r="Z739" s="0" t="inlineStr">
        <is>
          <t>https://new.land.naver.com/complexes/13509?tab=detail&amp;rf=Y</t>
        </is>
      </c>
      <c r="AA739" s="0" t="inlineStr">
        <is>
          <t>서울시 강동구 길동 370-3</t>
        </is>
      </c>
      <c r="AB739" s="0" t="inlineStr">
        <is>
          <t>서울시</t>
        </is>
      </c>
      <c r="AC739" s="0" t="inlineStr">
        <is>
          <t>강동구</t>
        </is>
      </c>
      <c r="AD739" s="0" t="inlineStr">
        <is>
          <t>길동</t>
        </is>
      </c>
      <c r="AG739" s="0" t="inlineStr">
        <is>
          <t>서울시 강동구 천중로40길 11</t>
        </is>
      </c>
      <c r="AH739" s="0" t="n">
        <v>0</v>
      </c>
      <c r="AI739" s="0" t="n">
        <v>220</v>
      </c>
      <c r="AJ739" s="0" t="n">
        <v>38</v>
      </c>
      <c r="AK739" s="0" t="n">
        <v>40</v>
      </c>
      <c r="AL739" s="0" t="n">
        <v>1.67</v>
      </c>
    </row>
    <row r="740">
      <c r="A740" s="0" t="inlineStr">
        <is>
          <t>[길동]</t>
        </is>
      </c>
      <c r="B740" s="0" t="n">
        <v>13509</v>
      </c>
      <c r="C740" s="0" t="n">
        <v>2</v>
      </c>
      <c r="D740" s="0" t="inlineStr">
        <is>
          <t>에이스빌</t>
        </is>
      </c>
      <c r="E740" s="0" t="inlineStr">
        <is>
          <t>2003.06.</t>
        </is>
      </c>
      <c r="F740" s="0" t="n">
        <v>24</v>
      </c>
      <c r="G740" s="0" t="n">
        <v>39.68</v>
      </c>
      <c r="H740" s="0" t="n">
        <v>131.2</v>
      </c>
      <c r="I740" s="0" t="n">
        <v>36.34</v>
      </c>
      <c r="J740" s="0" t="n">
        <v>120.15</v>
      </c>
      <c r="K740" s="0" t="n">
        <v>11</v>
      </c>
      <c r="T740" s="0" t="n">
        <v>4</v>
      </c>
      <c r="U740" s="0" t="n">
        <v>2</v>
      </c>
      <c r="V740" s="0" t="inlineStr">
        <is>
          <t>계단식</t>
        </is>
      </c>
      <c r="W740" s="0" t="n">
        <v>131</v>
      </c>
      <c r="X740" s="0" t="n">
        <v>7</v>
      </c>
      <c r="Y740" s="0" t="n">
        <v>7</v>
      </c>
      <c r="Z740" s="0" t="inlineStr">
        <is>
          <t>https://new.land.naver.com/complexes/13509?tab=detail&amp;rf=Y</t>
        </is>
      </c>
      <c r="AA740" s="0" t="inlineStr">
        <is>
          <t>서울시 강동구 길동 370-3</t>
        </is>
      </c>
      <c r="AB740" s="0" t="inlineStr">
        <is>
          <t>서울시</t>
        </is>
      </c>
      <c r="AC740" s="0" t="inlineStr">
        <is>
          <t>강동구</t>
        </is>
      </c>
      <c r="AD740" s="0" t="inlineStr">
        <is>
          <t>길동</t>
        </is>
      </c>
      <c r="AG740" s="0" t="inlineStr">
        <is>
          <t>서울시 강동구 천중로40길 11</t>
        </is>
      </c>
      <c r="AH740" s="0" t="n">
        <v>0</v>
      </c>
      <c r="AI740" s="0" t="n">
        <v>220</v>
      </c>
      <c r="AJ740" s="0" t="n">
        <v>38</v>
      </c>
      <c r="AK740" s="0" t="n">
        <v>40</v>
      </c>
      <c r="AL740" s="0" t="n">
        <v>1.67</v>
      </c>
    </row>
    <row r="741">
      <c r="A741" s="0" t="inlineStr">
        <is>
          <t>[길동]</t>
        </is>
      </c>
      <c r="B741" s="0" t="n">
        <v>13509</v>
      </c>
      <c r="C741" s="0" t="n">
        <v>3</v>
      </c>
      <c r="D741" s="0" t="inlineStr">
        <is>
          <t>에이스빌</t>
        </is>
      </c>
      <c r="E741" s="0" t="inlineStr">
        <is>
          <t>2003.06.</t>
        </is>
      </c>
      <c r="F741" s="0" t="n">
        <v>24</v>
      </c>
      <c r="G741" s="0" t="n">
        <v>40.8</v>
      </c>
      <c r="H741" s="0" t="n">
        <v>134.9</v>
      </c>
      <c r="I741" s="0" t="n">
        <v>37.55</v>
      </c>
      <c r="J741" s="0" t="n">
        <v>124.14</v>
      </c>
      <c r="K741" s="0" t="n">
        <v>12</v>
      </c>
      <c r="T741" s="0" t="n">
        <v>4</v>
      </c>
      <c r="U741" s="0" t="n">
        <v>2</v>
      </c>
      <c r="V741" s="0" t="inlineStr">
        <is>
          <t>계단식</t>
        </is>
      </c>
      <c r="W741" s="0" t="n">
        <v>134</v>
      </c>
      <c r="X741" s="0" t="n">
        <v>7</v>
      </c>
      <c r="Y741" s="0" t="n">
        <v>7</v>
      </c>
      <c r="Z741" s="0" t="inlineStr">
        <is>
          <t>https://new.land.naver.com/complexes/13509?tab=detail&amp;rf=Y</t>
        </is>
      </c>
      <c r="AA741" s="0" t="inlineStr">
        <is>
          <t>서울시 강동구 길동 370-3</t>
        </is>
      </c>
      <c r="AB741" s="0" t="inlineStr">
        <is>
          <t>서울시</t>
        </is>
      </c>
      <c r="AC741" s="0" t="inlineStr">
        <is>
          <t>강동구</t>
        </is>
      </c>
      <c r="AD741" s="0" t="inlineStr">
        <is>
          <t>길동</t>
        </is>
      </c>
      <c r="AG741" s="0" t="inlineStr">
        <is>
          <t>서울시 강동구 천중로40길 11</t>
        </is>
      </c>
      <c r="AH741" s="0" t="n">
        <v>0</v>
      </c>
      <c r="AI741" s="0" t="n">
        <v>220</v>
      </c>
      <c r="AJ741" s="0" t="n">
        <v>38</v>
      </c>
      <c r="AK741" s="0" t="n">
        <v>40</v>
      </c>
      <c r="AL741" s="0" t="n">
        <v>1.67</v>
      </c>
    </row>
    <row r="742">
      <c r="A742" s="0" t="inlineStr">
        <is>
          <t>[길동]</t>
        </is>
      </c>
      <c r="B742" s="0" t="n">
        <v>122468</v>
      </c>
      <c r="C742" s="0" t="n">
        <v>1</v>
      </c>
      <c r="D742" s="0" t="inlineStr">
        <is>
          <t>효성노바</t>
        </is>
      </c>
      <c r="E742" s="0" t="inlineStr">
        <is>
          <t>2003.05.</t>
        </is>
      </c>
      <c r="F742" s="0" t="n">
        <v>12</v>
      </c>
      <c r="G742" s="0" t="n">
        <v>19.87</v>
      </c>
      <c r="H742" s="0" t="n">
        <v>65.69</v>
      </c>
      <c r="I742" s="0" t="n">
        <v>17.53</v>
      </c>
      <c r="J742" s="0" t="n">
        <v>57.98</v>
      </c>
      <c r="K742" s="0" t="n">
        <v>1</v>
      </c>
      <c r="T742" s="0" t="n">
        <v>3</v>
      </c>
      <c r="U742" s="0" t="n">
        <v>2</v>
      </c>
      <c r="V742" s="0" t="inlineStr">
        <is>
          <t>계단식</t>
        </is>
      </c>
      <c r="W742" s="0" t="n">
        <v>65</v>
      </c>
      <c r="X742" s="0" t="n">
        <v>7</v>
      </c>
      <c r="Y742" s="0" t="n">
        <v>7</v>
      </c>
      <c r="Z742" s="0" t="inlineStr">
        <is>
          <t>https://new.land.naver.com/complexes/122468?tab=detail&amp;rf=Y</t>
        </is>
      </c>
      <c r="AA742" s="0" t="inlineStr">
        <is>
          <t>서울시 강동구 길동 346-1</t>
        </is>
      </c>
      <c r="AB742" s="0" t="inlineStr">
        <is>
          <t>서울시</t>
        </is>
      </c>
      <c r="AC742" s="0" t="inlineStr">
        <is>
          <t>강동구</t>
        </is>
      </c>
      <c r="AD742" s="0" t="inlineStr">
        <is>
          <t>길동</t>
        </is>
      </c>
      <c r="AG742" s="0" t="inlineStr">
        <is>
          <t>서울시 강동구 천중로49길 20</t>
        </is>
      </c>
      <c r="AH742" s="0" t="n">
        <v>0</v>
      </c>
      <c r="AI742" s="0" t="n">
        <v>243</v>
      </c>
      <c r="AJ742" s="0" t="n">
        <v>56</v>
      </c>
      <c r="AK742" s="0" t="n">
        <v>13</v>
      </c>
      <c r="AL742" s="0" t="n">
        <v>1.08</v>
      </c>
    </row>
    <row r="743">
      <c r="A743" s="0" t="inlineStr">
        <is>
          <t>[길동]</t>
        </is>
      </c>
      <c r="B743" s="0" t="n">
        <v>122468</v>
      </c>
      <c r="C743" s="0" t="n">
        <v>2</v>
      </c>
      <c r="D743" s="0" t="inlineStr">
        <is>
          <t>효성노바</t>
        </is>
      </c>
      <c r="E743" s="0" t="inlineStr">
        <is>
          <t>2003.05.</t>
        </is>
      </c>
      <c r="F743" s="0" t="n">
        <v>12</v>
      </c>
      <c r="G743" s="0" t="n">
        <v>22.01</v>
      </c>
      <c r="H743" s="0" t="n">
        <v>72.77</v>
      </c>
      <c r="I743" s="0" t="n">
        <v>19.42</v>
      </c>
      <c r="J743" s="0" t="n">
        <v>64.22</v>
      </c>
      <c r="K743" s="0" t="n">
        <v>1</v>
      </c>
      <c r="T743" s="0" t="n">
        <v>3</v>
      </c>
      <c r="U743" s="0" t="n">
        <v>2</v>
      </c>
      <c r="V743" s="0" t="inlineStr">
        <is>
          <t>계단식</t>
        </is>
      </c>
      <c r="W743" s="0" t="n">
        <v>72</v>
      </c>
      <c r="X743" s="0" t="n">
        <v>7</v>
      </c>
      <c r="Y743" s="0" t="n">
        <v>7</v>
      </c>
      <c r="Z743" s="0" t="inlineStr">
        <is>
          <t>https://new.land.naver.com/complexes/122468?tab=detail&amp;rf=Y</t>
        </is>
      </c>
      <c r="AA743" s="0" t="inlineStr">
        <is>
          <t>서울시 강동구 길동 346-1</t>
        </is>
      </c>
      <c r="AB743" s="0" t="inlineStr">
        <is>
          <t>서울시</t>
        </is>
      </c>
      <c r="AC743" s="0" t="inlineStr">
        <is>
          <t>강동구</t>
        </is>
      </c>
      <c r="AD743" s="0" t="inlineStr">
        <is>
          <t>길동</t>
        </is>
      </c>
      <c r="AG743" s="0" t="inlineStr">
        <is>
          <t>서울시 강동구 천중로49길 20</t>
        </is>
      </c>
      <c r="AH743" s="0" t="n">
        <v>0</v>
      </c>
      <c r="AI743" s="0" t="n">
        <v>243</v>
      </c>
      <c r="AJ743" s="0" t="n">
        <v>56</v>
      </c>
      <c r="AK743" s="0" t="n">
        <v>13</v>
      </c>
      <c r="AL743" s="0" t="n">
        <v>1.08</v>
      </c>
    </row>
    <row r="744">
      <c r="A744" s="0" t="inlineStr">
        <is>
          <t>[길동]</t>
        </is>
      </c>
      <c r="B744" s="0" t="n">
        <v>122468</v>
      </c>
      <c r="C744" s="0" t="n">
        <v>3</v>
      </c>
      <c r="D744" s="0" t="inlineStr">
        <is>
          <t>효성노바</t>
        </is>
      </c>
      <c r="E744" s="0" t="inlineStr">
        <is>
          <t>2003.05.</t>
        </is>
      </c>
      <c r="F744" s="0" t="n">
        <v>12</v>
      </c>
      <c r="G744" s="0" t="n">
        <v>29.11</v>
      </c>
      <c r="H744" s="0" t="n">
        <v>96.25</v>
      </c>
      <c r="I744" s="0" t="n">
        <v>25.7</v>
      </c>
      <c r="J744" s="0" t="n">
        <v>84.98</v>
      </c>
      <c r="K744" s="0" t="n">
        <v>10</v>
      </c>
      <c r="T744" s="0" t="n">
        <v>3</v>
      </c>
      <c r="U744" s="0" t="n">
        <v>2</v>
      </c>
      <c r="V744" s="0" t="inlineStr">
        <is>
          <t>계단식</t>
        </is>
      </c>
      <c r="W744" s="0" t="n">
        <v>96</v>
      </c>
      <c r="X744" s="0" t="n">
        <v>7</v>
      </c>
      <c r="Y744" s="0" t="n">
        <v>7</v>
      </c>
      <c r="Z744" s="0" t="inlineStr">
        <is>
          <t>https://new.land.naver.com/complexes/122468?tab=detail&amp;rf=Y</t>
        </is>
      </c>
      <c r="AA744" s="0" t="inlineStr">
        <is>
          <t>서울시 강동구 길동 346-1</t>
        </is>
      </c>
      <c r="AB744" s="0" t="inlineStr">
        <is>
          <t>서울시</t>
        </is>
      </c>
      <c r="AC744" s="0" t="inlineStr">
        <is>
          <t>강동구</t>
        </is>
      </c>
      <c r="AD744" s="0" t="inlineStr">
        <is>
          <t>길동</t>
        </is>
      </c>
      <c r="AG744" s="0" t="inlineStr">
        <is>
          <t>서울시 강동구 천중로49길 20</t>
        </is>
      </c>
      <c r="AH744" s="0" t="n">
        <v>0</v>
      </c>
      <c r="AI744" s="0" t="n">
        <v>243</v>
      </c>
      <c r="AJ744" s="0" t="n">
        <v>56</v>
      </c>
      <c r="AK744" s="0" t="n">
        <v>13</v>
      </c>
      <c r="AL744" s="0" t="n">
        <v>1.08</v>
      </c>
    </row>
    <row r="745">
      <c r="A745" s="0" t="inlineStr">
        <is>
          <t>[길동]</t>
        </is>
      </c>
      <c r="B745" s="0" t="n">
        <v>17555</v>
      </c>
      <c r="C745" s="0" t="n">
        <v>1</v>
      </c>
      <c r="D745" s="0" t="inlineStr">
        <is>
          <t>길동예전이룸2차</t>
        </is>
      </c>
      <c r="E745" s="0" t="inlineStr">
        <is>
          <t>2004.12.</t>
        </is>
      </c>
      <c r="F745" s="0" t="n">
        <v>64</v>
      </c>
      <c r="G745" s="0" t="n">
        <v>19.06</v>
      </c>
      <c r="H745" s="0" t="n">
        <v>63.01</v>
      </c>
      <c r="I745" s="0" t="n">
        <v>15.76</v>
      </c>
      <c r="J745" s="0" t="n">
        <v>52.12</v>
      </c>
      <c r="K745" s="0" t="n">
        <v>1</v>
      </c>
      <c r="T745" s="0" t="n">
        <v>1</v>
      </c>
      <c r="U745" s="0" t="n">
        <v>1</v>
      </c>
      <c r="V745" s="0" t="inlineStr">
        <is>
          <t>계단식</t>
        </is>
      </c>
      <c r="W745" s="0" t="n">
        <v>63</v>
      </c>
      <c r="X745" s="0" t="n">
        <v>11</v>
      </c>
      <c r="Y745" s="0" t="n">
        <v>7</v>
      </c>
      <c r="Z745" s="0" t="inlineStr">
        <is>
          <t>https://new.land.naver.com/complexes/17555?tab=detail&amp;rf=Y</t>
        </is>
      </c>
      <c r="AA745" s="0" t="inlineStr">
        <is>
          <t>서울시 강동구 길동 337-19</t>
        </is>
      </c>
      <c r="AB745" s="0" t="inlineStr">
        <is>
          <t>서울시</t>
        </is>
      </c>
      <c r="AC745" s="0" t="inlineStr">
        <is>
          <t>강동구</t>
        </is>
      </c>
      <c r="AD745" s="0" t="inlineStr">
        <is>
          <t>길동</t>
        </is>
      </c>
      <c r="AG745" s="0" t="inlineStr">
        <is>
          <t>서울시 강동구 양재대로122가길 14</t>
        </is>
      </c>
      <c r="AH745" s="0" t="n">
        <v>0</v>
      </c>
      <c r="AI745" s="0" t="n">
        <v>237</v>
      </c>
      <c r="AJ745" s="0" t="n">
        <v>27</v>
      </c>
      <c r="AK745" s="0" t="n">
        <v>70</v>
      </c>
      <c r="AL745" s="0" t="n">
        <v>1.09</v>
      </c>
    </row>
    <row r="746">
      <c r="A746" s="0" t="inlineStr">
        <is>
          <t>[길동]</t>
        </is>
      </c>
      <c r="B746" s="0" t="n">
        <v>17555</v>
      </c>
      <c r="C746" s="0" t="n">
        <v>2</v>
      </c>
      <c r="D746" s="0" t="inlineStr">
        <is>
          <t>길동예전이룸2차</t>
        </is>
      </c>
      <c r="E746" s="0" t="inlineStr">
        <is>
          <t>2004.12.</t>
        </is>
      </c>
      <c r="F746" s="0" t="n">
        <v>64</v>
      </c>
      <c r="G746" s="0" t="n">
        <v>21.21</v>
      </c>
      <c r="H746" s="0" t="n">
        <v>70.14</v>
      </c>
      <c r="I746" s="0" t="n">
        <v>17.75</v>
      </c>
      <c r="J746" s="0" t="n">
        <v>58.69</v>
      </c>
      <c r="K746" s="0" t="n">
        <v>2</v>
      </c>
      <c r="T746" s="0" t="n">
        <v>3</v>
      </c>
      <c r="U746" s="0" t="n">
        <v>1</v>
      </c>
      <c r="V746" s="0" t="inlineStr">
        <is>
          <t>계단식</t>
        </is>
      </c>
      <c r="W746" s="0" t="n">
        <v>70</v>
      </c>
      <c r="X746" s="0" t="n">
        <v>11</v>
      </c>
      <c r="Y746" s="0" t="n">
        <v>7</v>
      </c>
      <c r="Z746" s="0" t="inlineStr">
        <is>
          <t>https://new.land.naver.com/complexes/17555?tab=detail&amp;rf=Y</t>
        </is>
      </c>
      <c r="AA746" s="0" t="inlineStr">
        <is>
          <t>서울시 강동구 길동 337-19</t>
        </is>
      </c>
      <c r="AB746" s="0" t="inlineStr">
        <is>
          <t>서울시</t>
        </is>
      </c>
      <c r="AC746" s="0" t="inlineStr">
        <is>
          <t>강동구</t>
        </is>
      </c>
      <c r="AD746" s="0" t="inlineStr">
        <is>
          <t>길동</t>
        </is>
      </c>
      <c r="AG746" s="0" t="inlineStr">
        <is>
          <t>서울시 강동구 양재대로122가길 14</t>
        </is>
      </c>
      <c r="AH746" s="0" t="n">
        <v>0</v>
      </c>
      <c r="AI746" s="0" t="n">
        <v>237</v>
      </c>
      <c r="AJ746" s="0" t="n">
        <v>27</v>
      </c>
      <c r="AK746" s="0" t="n">
        <v>70</v>
      </c>
      <c r="AL746" s="0" t="n">
        <v>1.09</v>
      </c>
    </row>
    <row r="747">
      <c r="A747" s="0" t="inlineStr">
        <is>
          <t>[길동]</t>
        </is>
      </c>
      <c r="B747" s="0" t="n">
        <v>17555</v>
      </c>
      <c r="C747" s="0" t="n">
        <v>3</v>
      </c>
      <c r="D747" s="0" t="inlineStr">
        <is>
          <t>길동예전이룸2차</t>
        </is>
      </c>
      <c r="E747" s="0" t="inlineStr">
        <is>
          <t>2004.12.</t>
        </is>
      </c>
      <c r="F747" s="0" t="n">
        <v>64</v>
      </c>
      <c r="G747" s="0" t="n">
        <v>22.06</v>
      </c>
      <c r="H747" s="0" t="n">
        <v>72.93000000000001</v>
      </c>
      <c r="I747" s="0" t="n">
        <v>18.14</v>
      </c>
      <c r="J747" s="0" t="n">
        <v>59.97</v>
      </c>
      <c r="K747" s="0" t="n">
        <v>1</v>
      </c>
      <c r="T747" s="0" t="n">
        <v>3</v>
      </c>
      <c r="U747" s="0" t="n">
        <v>1</v>
      </c>
      <c r="V747" s="0" t="inlineStr">
        <is>
          <t>계단식</t>
        </is>
      </c>
      <c r="W747" s="0" t="inlineStr">
        <is>
          <t>72A</t>
        </is>
      </c>
      <c r="X747" s="0" t="n">
        <v>11</v>
      </c>
      <c r="Y747" s="0" t="n">
        <v>7</v>
      </c>
      <c r="Z747" s="0" t="inlineStr">
        <is>
          <t>https://new.land.naver.com/complexes/17555?tab=detail&amp;rf=Y</t>
        </is>
      </c>
      <c r="AA747" s="0" t="inlineStr">
        <is>
          <t>서울시 강동구 길동 337-19</t>
        </is>
      </c>
      <c r="AB747" s="0" t="inlineStr">
        <is>
          <t>서울시</t>
        </is>
      </c>
      <c r="AC747" s="0" t="inlineStr">
        <is>
          <t>강동구</t>
        </is>
      </c>
      <c r="AD747" s="0" t="inlineStr">
        <is>
          <t>길동</t>
        </is>
      </c>
      <c r="AG747" s="0" t="inlineStr">
        <is>
          <t>서울시 강동구 양재대로122가길 14</t>
        </is>
      </c>
      <c r="AH747" s="0" t="n">
        <v>0</v>
      </c>
      <c r="AI747" s="0" t="n">
        <v>237</v>
      </c>
      <c r="AJ747" s="0" t="n">
        <v>27</v>
      </c>
      <c r="AK747" s="0" t="n">
        <v>70</v>
      </c>
      <c r="AL747" s="0" t="n">
        <v>1.09</v>
      </c>
    </row>
    <row r="748">
      <c r="A748" s="0" t="inlineStr">
        <is>
          <t>[길동]</t>
        </is>
      </c>
      <c r="B748" s="0" t="n">
        <v>17555</v>
      </c>
      <c r="C748" s="0" t="n">
        <v>4</v>
      </c>
      <c r="D748" s="0" t="inlineStr">
        <is>
          <t>길동예전이룸2차</t>
        </is>
      </c>
      <c r="E748" s="0" t="inlineStr">
        <is>
          <t>2004.12.</t>
        </is>
      </c>
      <c r="F748" s="0" t="n">
        <v>64</v>
      </c>
      <c r="G748" s="0" t="n">
        <v>22.52</v>
      </c>
      <c r="H748" s="0" t="n">
        <v>74.45</v>
      </c>
      <c r="I748" s="0" t="n">
        <v>18.77</v>
      </c>
      <c r="J748" s="0" t="n">
        <v>62.08</v>
      </c>
      <c r="K748" s="0" t="n">
        <v>1</v>
      </c>
      <c r="T748" s="0" t="n">
        <v>2</v>
      </c>
      <c r="U748" s="0" t="n">
        <v>1</v>
      </c>
      <c r="V748" s="0" t="inlineStr">
        <is>
          <t>계단식</t>
        </is>
      </c>
      <c r="W748" s="0" t="inlineStr">
        <is>
          <t>74B</t>
        </is>
      </c>
      <c r="X748" s="0" t="n">
        <v>11</v>
      </c>
      <c r="Y748" s="0" t="n">
        <v>7</v>
      </c>
      <c r="Z748" s="0" t="inlineStr">
        <is>
          <t>https://new.land.naver.com/complexes/17555?tab=detail&amp;rf=Y</t>
        </is>
      </c>
      <c r="AA748" s="0" t="inlineStr">
        <is>
          <t>서울시 강동구 길동 337-19</t>
        </is>
      </c>
      <c r="AB748" s="0" t="inlineStr">
        <is>
          <t>서울시</t>
        </is>
      </c>
      <c r="AC748" s="0" t="inlineStr">
        <is>
          <t>강동구</t>
        </is>
      </c>
      <c r="AD748" s="0" t="inlineStr">
        <is>
          <t>길동</t>
        </is>
      </c>
      <c r="AG748" s="0" t="inlineStr">
        <is>
          <t>서울시 강동구 양재대로122가길 14</t>
        </is>
      </c>
      <c r="AH748" s="0" t="n">
        <v>0</v>
      </c>
      <c r="AI748" s="0" t="n">
        <v>237</v>
      </c>
      <c r="AJ748" s="0" t="n">
        <v>27</v>
      </c>
      <c r="AK748" s="0" t="n">
        <v>70</v>
      </c>
      <c r="AL748" s="0" t="n">
        <v>1.09</v>
      </c>
    </row>
    <row r="749">
      <c r="A749" s="0" t="inlineStr">
        <is>
          <t>[길동]</t>
        </is>
      </c>
      <c r="B749" s="0" t="n">
        <v>17555</v>
      </c>
      <c r="C749" s="0" t="n">
        <v>5</v>
      </c>
      <c r="D749" s="0" t="inlineStr">
        <is>
          <t>길동예전이룸2차</t>
        </is>
      </c>
      <c r="E749" s="0" t="inlineStr">
        <is>
          <t>2004.12.</t>
        </is>
      </c>
      <c r="F749" s="0" t="n">
        <v>64</v>
      </c>
      <c r="G749" s="0" t="n">
        <v>23.55</v>
      </c>
      <c r="H749" s="0" t="n">
        <v>77.87</v>
      </c>
      <c r="I749" s="0" t="n">
        <v>19.62</v>
      </c>
      <c r="J749" s="0" t="n">
        <v>64.89</v>
      </c>
      <c r="K749" s="0" t="n">
        <v>1</v>
      </c>
      <c r="T749" s="0" t="n">
        <v>2</v>
      </c>
      <c r="U749" s="0" t="n">
        <v>1</v>
      </c>
      <c r="V749" s="0" t="inlineStr">
        <is>
          <t>계단식</t>
        </is>
      </c>
      <c r="W749" s="0" t="n">
        <v>77</v>
      </c>
      <c r="X749" s="0" t="n">
        <v>11</v>
      </c>
      <c r="Y749" s="0" t="n">
        <v>7</v>
      </c>
      <c r="Z749" s="0" t="inlineStr">
        <is>
          <t>https://new.land.naver.com/complexes/17555?tab=detail&amp;rf=Y</t>
        </is>
      </c>
      <c r="AA749" s="0" t="inlineStr">
        <is>
          <t>서울시 강동구 길동 337-19</t>
        </is>
      </c>
      <c r="AB749" s="0" t="inlineStr">
        <is>
          <t>서울시</t>
        </is>
      </c>
      <c r="AC749" s="0" t="inlineStr">
        <is>
          <t>강동구</t>
        </is>
      </c>
      <c r="AD749" s="0" t="inlineStr">
        <is>
          <t>길동</t>
        </is>
      </c>
      <c r="AG749" s="0" t="inlineStr">
        <is>
          <t>서울시 강동구 양재대로122가길 14</t>
        </is>
      </c>
      <c r="AH749" s="0" t="n">
        <v>0</v>
      </c>
      <c r="AI749" s="0" t="n">
        <v>237</v>
      </c>
      <c r="AJ749" s="0" t="n">
        <v>27</v>
      </c>
      <c r="AK749" s="0" t="n">
        <v>70</v>
      </c>
      <c r="AL749" s="0" t="n">
        <v>1.09</v>
      </c>
    </row>
    <row r="750">
      <c r="A750" s="0" t="inlineStr">
        <is>
          <t>[길동]</t>
        </is>
      </c>
      <c r="B750" s="0" t="n">
        <v>17555</v>
      </c>
      <c r="C750" s="0" t="n">
        <v>6</v>
      </c>
      <c r="D750" s="0" t="inlineStr">
        <is>
          <t>길동예전이룸2차</t>
        </is>
      </c>
      <c r="E750" s="0" t="inlineStr">
        <is>
          <t>2004.12.</t>
        </is>
      </c>
      <c r="F750" s="0" t="n">
        <v>64</v>
      </c>
      <c r="G750" s="0" t="n">
        <v>24.11</v>
      </c>
      <c r="H750" s="0" t="n">
        <v>79.73</v>
      </c>
      <c r="I750" s="0" t="n">
        <v>20.13</v>
      </c>
      <c r="J750" s="0" t="n">
        <v>66.56</v>
      </c>
      <c r="K750" s="0" t="n">
        <v>6</v>
      </c>
      <c r="T750" s="0" t="n">
        <v>3</v>
      </c>
      <c r="U750" s="0" t="n">
        <v>1</v>
      </c>
      <c r="V750" s="0" t="inlineStr">
        <is>
          <t>계단식</t>
        </is>
      </c>
      <c r="W750" s="0" t="n">
        <v>79</v>
      </c>
      <c r="X750" s="0" t="n">
        <v>11</v>
      </c>
      <c r="Y750" s="0" t="n">
        <v>7</v>
      </c>
      <c r="Z750" s="0" t="inlineStr">
        <is>
          <t>https://new.land.naver.com/complexes/17555?tab=detail&amp;rf=Y</t>
        </is>
      </c>
      <c r="AA750" s="0" t="inlineStr">
        <is>
          <t>서울시 강동구 길동 337-19</t>
        </is>
      </c>
      <c r="AB750" s="0" t="inlineStr">
        <is>
          <t>서울시</t>
        </is>
      </c>
      <c r="AC750" s="0" t="inlineStr">
        <is>
          <t>강동구</t>
        </is>
      </c>
      <c r="AD750" s="0" t="inlineStr">
        <is>
          <t>길동</t>
        </is>
      </c>
      <c r="AG750" s="0" t="inlineStr">
        <is>
          <t>서울시 강동구 양재대로122가길 14</t>
        </is>
      </c>
      <c r="AH750" s="0" t="n">
        <v>0</v>
      </c>
      <c r="AI750" s="0" t="n">
        <v>237</v>
      </c>
      <c r="AJ750" s="0" t="n">
        <v>27</v>
      </c>
      <c r="AK750" s="0" t="n">
        <v>70</v>
      </c>
      <c r="AL750" s="0" t="n">
        <v>1.09</v>
      </c>
    </row>
    <row r="751">
      <c r="A751" s="0" t="inlineStr">
        <is>
          <t>[길동]</t>
        </is>
      </c>
      <c r="B751" s="0" t="n">
        <v>17555</v>
      </c>
      <c r="C751" s="0" t="n">
        <v>7</v>
      </c>
      <c r="D751" s="0" t="inlineStr">
        <is>
          <t>길동예전이룸2차</t>
        </is>
      </c>
      <c r="E751" s="0" t="inlineStr">
        <is>
          <t>2004.12.</t>
        </is>
      </c>
      <c r="F751" s="0" t="n">
        <v>64</v>
      </c>
      <c r="G751" s="0" t="n">
        <v>26.17</v>
      </c>
      <c r="H751" s="0" t="n">
        <v>86.52</v>
      </c>
      <c r="I751" s="0" t="n">
        <v>21.77</v>
      </c>
      <c r="J751" s="0" t="n">
        <v>71.98999999999999</v>
      </c>
      <c r="K751" s="0" t="n">
        <v>1</v>
      </c>
      <c r="T751" s="0" t="n">
        <v>3</v>
      </c>
      <c r="U751" s="0" t="n">
        <v>1</v>
      </c>
      <c r="V751" s="0" t="inlineStr">
        <is>
          <t>계단식</t>
        </is>
      </c>
      <c r="W751" s="0" t="n">
        <v>86</v>
      </c>
      <c r="X751" s="0" t="n">
        <v>11</v>
      </c>
      <c r="Y751" s="0" t="n">
        <v>7</v>
      </c>
      <c r="Z751" s="0" t="inlineStr">
        <is>
          <t>https://new.land.naver.com/complexes/17555?tab=detail&amp;rf=Y</t>
        </is>
      </c>
      <c r="AA751" s="0" t="inlineStr">
        <is>
          <t>서울시 강동구 길동 337-19</t>
        </is>
      </c>
      <c r="AB751" s="0" t="inlineStr">
        <is>
          <t>서울시</t>
        </is>
      </c>
      <c r="AC751" s="0" t="inlineStr">
        <is>
          <t>강동구</t>
        </is>
      </c>
      <c r="AD751" s="0" t="inlineStr">
        <is>
          <t>길동</t>
        </is>
      </c>
      <c r="AG751" s="0" t="inlineStr">
        <is>
          <t>서울시 강동구 양재대로122가길 14</t>
        </is>
      </c>
      <c r="AH751" s="0" t="n">
        <v>0</v>
      </c>
      <c r="AI751" s="0" t="n">
        <v>237</v>
      </c>
      <c r="AJ751" s="0" t="n">
        <v>27</v>
      </c>
      <c r="AK751" s="0" t="n">
        <v>70</v>
      </c>
      <c r="AL751" s="0" t="n">
        <v>1.09</v>
      </c>
    </row>
    <row r="752">
      <c r="A752" s="0" t="inlineStr">
        <is>
          <t>[길동]</t>
        </is>
      </c>
      <c r="B752" s="0" t="n">
        <v>17555</v>
      </c>
      <c r="C752" s="0" t="n">
        <v>8</v>
      </c>
      <c r="D752" s="0" t="inlineStr">
        <is>
          <t>길동예전이룸2차</t>
        </is>
      </c>
      <c r="E752" s="0" t="inlineStr">
        <is>
          <t>2004.12.</t>
        </is>
      </c>
      <c r="F752" s="0" t="n">
        <v>64</v>
      </c>
      <c r="G752" s="0" t="n">
        <v>28.28</v>
      </c>
      <c r="H752" s="0" t="n">
        <v>93.52</v>
      </c>
      <c r="I752" s="0" t="n">
        <v>23.84</v>
      </c>
      <c r="J752" s="0" t="n">
        <v>78.81</v>
      </c>
      <c r="K752" s="0" t="n">
        <v>2</v>
      </c>
      <c r="T752" s="0" t="n">
        <v>3</v>
      </c>
      <c r="U752" s="0" t="n">
        <v>2</v>
      </c>
      <c r="V752" s="0" t="inlineStr">
        <is>
          <t>계단식</t>
        </is>
      </c>
      <c r="W752" s="0" t="n">
        <v>93</v>
      </c>
      <c r="X752" s="0" t="n">
        <v>11</v>
      </c>
      <c r="Y752" s="0" t="n">
        <v>7</v>
      </c>
      <c r="Z752" s="0" t="inlineStr">
        <is>
          <t>https://new.land.naver.com/complexes/17555?tab=detail&amp;rf=Y</t>
        </is>
      </c>
      <c r="AA752" s="0" t="inlineStr">
        <is>
          <t>서울시 강동구 길동 337-19</t>
        </is>
      </c>
      <c r="AB752" s="0" t="inlineStr">
        <is>
          <t>서울시</t>
        </is>
      </c>
      <c r="AC752" s="0" t="inlineStr">
        <is>
          <t>강동구</t>
        </is>
      </c>
      <c r="AD752" s="0" t="inlineStr">
        <is>
          <t>길동</t>
        </is>
      </c>
      <c r="AG752" s="0" t="inlineStr">
        <is>
          <t>서울시 강동구 양재대로122가길 14</t>
        </is>
      </c>
      <c r="AH752" s="0" t="n">
        <v>0</v>
      </c>
      <c r="AI752" s="0" t="n">
        <v>237</v>
      </c>
      <c r="AJ752" s="0" t="n">
        <v>27</v>
      </c>
      <c r="AK752" s="0" t="n">
        <v>70</v>
      </c>
      <c r="AL752" s="0" t="n">
        <v>1.09</v>
      </c>
    </row>
    <row r="753">
      <c r="A753" s="0" t="inlineStr">
        <is>
          <t>[길동]</t>
        </is>
      </c>
      <c r="B753" s="0" t="n">
        <v>17555</v>
      </c>
      <c r="C753" s="0" t="n">
        <v>9</v>
      </c>
      <c r="D753" s="0" t="inlineStr">
        <is>
          <t>길동예전이룸2차</t>
        </is>
      </c>
      <c r="E753" s="0" t="inlineStr">
        <is>
          <t>2004.12.</t>
        </is>
      </c>
      <c r="F753" s="0" t="n">
        <v>64</v>
      </c>
      <c r="G753" s="0" t="n">
        <v>30.02</v>
      </c>
      <c r="H753" s="0" t="n">
        <v>99.26000000000001</v>
      </c>
      <c r="I753" s="0" t="n">
        <v>25.27</v>
      </c>
      <c r="J753" s="0" t="n">
        <v>83.56</v>
      </c>
      <c r="K753" s="0" t="n">
        <v>18</v>
      </c>
      <c r="T753" s="0" t="n">
        <v>3</v>
      </c>
      <c r="U753" s="0" t="n">
        <v>2</v>
      </c>
      <c r="V753" s="0" t="inlineStr">
        <is>
          <t>계단식</t>
        </is>
      </c>
      <c r="W753" s="0" t="inlineStr">
        <is>
          <t>99B</t>
        </is>
      </c>
      <c r="X753" s="0" t="n">
        <v>11</v>
      </c>
      <c r="Y753" s="0" t="n">
        <v>7</v>
      </c>
      <c r="Z753" s="0" t="inlineStr">
        <is>
          <t>https://new.land.naver.com/complexes/17555?tab=detail&amp;rf=Y</t>
        </is>
      </c>
      <c r="AA753" s="0" t="inlineStr">
        <is>
          <t>서울시 강동구 길동 337-19</t>
        </is>
      </c>
      <c r="AB753" s="0" t="inlineStr">
        <is>
          <t>서울시</t>
        </is>
      </c>
      <c r="AC753" s="0" t="inlineStr">
        <is>
          <t>강동구</t>
        </is>
      </c>
      <c r="AD753" s="0" t="inlineStr">
        <is>
          <t>길동</t>
        </is>
      </c>
      <c r="AG753" s="0" t="inlineStr">
        <is>
          <t>서울시 강동구 양재대로122가길 14</t>
        </is>
      </c>
      <c r="AH753" s="0" t="n">
        <v>0</v>
      </c>
      <c r="AI753" s="0" t="n">
        <v>237</v>
      </c>
      <c r="AJ753" s="0" t="n">
        <v>27</v>
      </c>
      <c r="AK753" s="0" t="n">
        <v>70</v>
      </c>
      <c r="AL753" s="0" t="n">
        <v>1.09</v>
      </c>
    </row>
    <row r="754">
      <c r="A754" s="0" t="inlineStr">
        <is>
          <t>[길동]</t>
        </is>
      </c>
      <c r="B754" s="0" t="n">
        <v>17555</v>
      </c>
      <c r="C754" s="0" t="n">
        <v>10</v>
      </c>
      <c r="D754" s="0" t="inlineStr">
        <is>
          <t>길동예전이룸2차</t>
        </is>
      </c>
      <c r="E754" s="0" t="inlineStr">
        <is>
          <t>2004.12.</t>
        </is>
      </c>
      <c r="F754" s="0" t="n">
        <v>64</v>
      </c>
      <c r="G754" s="0" t="n">
        <v>30.32</v>
      </c>
      <c r="H754" s="0" t="n">
        <v>100.25</v>
      </c>
      <c r="I754" s="0" t="n">
        <v>25.41</v>
      </c>
      <c r="J754" s="0" t="n">
        <v>84</v>
      </c>
      <c r="K754" s="0" t="n">
        <v>12</v>
      </c>
      <c r="T754" s="0" t="n">
        <v>3</v>
      </c>
      <c r="U754" s="0" t="n">
        <v>2</v>
      </c>
      <c r="V754" s="0" t="inlineStr">
        <is>
          <t>계단식</t>
        </is>
      </c>
      <c r="W754" s="0" t="inlineStr">
        <is>
          <t>100D</t>
        </is>
      </c>
      <c r="X754" s="0" t="n">
        <v>11</v>
      </c>
      <c r="Y754" s="0" t="n">
        <v>7</v>
      </c>
      <c r="Z754" s="0" t="inlineStr">
        <is>
          <t>https://new.land.naver.com/complexes/17555?tab=detail&amp;rf=Y</t>
        </is>
      </c>
      <c r="AA754" s="0" t="inlineStr">
        <is>
          <t>서울시 강동구 길동 337-19</t>
        </is>
      </c>
      <c r="AB754" s="0" t="inlineStr">
        <is>
          <t>서울시</t>
        </is>
      </c>
      <c r="AC754" s="0" t="inlineStr">
        <is>
          <t>강동구</t>
        </is>
      </c>
      <c r="AD754" s="0" t="inlineStr">
        <is>
          <t>길동</t>
        </is>
      </c>
      <c r="AG754" s="0" t="inlineStr">
        <is>
          <t>서울시 강동구 양재대로122가길 14</t>
        </is>
      </c>
      <c r="AH754" s="0" t="n">
        <v>0</v>
      </c>
      <c r="AI754" s="0" t="n">
        <v>237</v>
      </c>
      <c r="AJ754" s="0" t="n">
        <v>27</v>
      </c>
      <c r="AK754" s="0" t="n">
        <v>70</v>
      </c>
      <c r="AL754" s="0" t="n">
        <v>1.09</v>
      </c>
    </row>
    <row r="755">
      <c r="A755" s="0" t="inlineStr">
        <is>
          <t>[길동]</t>
        </is>
      </c>
      <c r="B755" s="0" t="n">
        <v>17555</v>
      </c>
      <c r="C755" s="0" t="n">
        <v>11</v>
      </c>
      <c r="D755" s="0" t="inlineStr">
        <is>
          <t>길동예전이룸2차</t>
        </is>
      </c>
      <c r="E755" s="0" t="inlineStr">
        <is>
          <t>2004.12.</t>
        </is>
      </c>
      <c r="F755" s="0" t="n">
        <v>64</v>
      </c>
      <c r="G755" s="0" t="n">
        <v>30.53</v>
      </c>
      <c r="H755" s="0" t="n">
        <v>100.95</v>
      </c>
      <c r="I755" s="0" t="n">
        <v>25.44</v>
      </c>
      <c r="J755" s="0" t="n">
        <v>84.13</v>
      </c>
      <c r="K755" s="0" t="n">
        <v>8</v>
      </c>
      <c r="T755" s="0" t="n">
        <v>3</v>
      </c>
      <c r="U755" s="0" t="n">
        <v>2</v>
      </c>
      <c r="V755" s="0" t="inlineStr">
        <is>
          <t>계단식</t>
        </is>
      </c>
      <c r="W755" s="0" t="inlineStr">
        <is>
          <t>100E</t>
        </is>
      </c>
      <c r="X755" s="0" t="n">
        <v>11</v>
      </c>
      <c r="Y755" s="0" t="n">
        <v>7</v>
      </c>
      <c r="Z755" s="0" t="inlineStr">
        <is>
          <t>https://new.land.naver.com/complexes/17555?tab=detail&amp;rf=Y</t>
        </is>
      </c>
      <c r="AA755" s="0" t="inlineStr">
        <is>
          <t>서울시 강동구 길동 337-19</t>
        </is>
      </c>
      <c r="AB755" s="0" t="inlineStr">
        <is>
          <t>서울시</t>
        </is>
      </c>
      <c r="AC755" s="0" t="inlineStr">
        <is>
          <t>강동구</t>
        </is>
      </c>
      <c r="AD755" s="0" t="inlineStr">
        <is>
          <t>길동</t>
        </is>
      </c>
      <c r="AG755" s="0" t="inlineStr">
        <is>
          <t>서울시 강동구 양재대로122가길 14</t>
        </is>
      </c>
      <c r="AH755" s="0" t="n">
        <v>0</v>
      </c>
      <c r="AI755" s="0" t="n">
        <v>237</v>
      </c>
      <c r="AJ755" s="0" t="n">
        <v>27</v>
      </c>
      <c r="AK755" s="0" t="n">
        <v>70</v>
      </c>
      <c r="AL755" s="0" t="n">
        <v>1.09</v>
      </c>
    </row>
    <row r="756">
      <c r="A756" s="0" t="inlineStr">
        <is>
          <t>[길동]</t>
        </is>
      </c>
      <c r="B756" s="0" t="n">
        <v>17555</v>
      </c>
      <c r="C756" s="0" t="n">
        <v>12</v>
      </c>
      <c r="D756" s="0" t="inlineStr">
        <is>
          <t>길동예전이룸2차</t>
        </is>
      </c>
      <c r="E756" s="0" t="inlineStr">
        <is>
          <t>2004.12.</t>
        </is>
      </c>
      <c r="F756" s="0" t="n">
        <v>64</v>
      </c>
      <c r="G756" s="0" t="n">
        <v>30.25</v>
      </c>
      <c r="H756" s="0" t="n">
        <v>100.03</v>
      </c>
      <c r="I756" s="0" t="n">
        <v>25.22</v>
      </c>
      <c r="J756" s="0" t="n">
        <v>83.39</v>
      </c>
      <c r="K756" s="0" t="n">
        <v>6</v>
      </c>
      <c r="T756" s="0" t="n">
        <v>3</v>
      </c>
      <c r="U756" s="0" t="n">
        <v>2</v>
      </c>
      <c r="V756" s="0" t="inlineStr">
        <is>
          <t>계단식</t>
        </is>
      </c>
      <c r="W756" s="0" t="inlineStr">
        <is>
          <t>100A</t>
        </is>
      </c>
      <c r="X756" s="0" t="n">
        <v>11</v>
      </c>
      <c r="Y756" s="0" t="n">
        <v>7</v>
      </c>
      <c r="Z756" s="0" t="inlineStr">
        <is>
          <t>https://new.land.naver.com/complexes/17555?tab=detail&amp;rf=Y</t>
        </is>
      </c>
      <c r="AA756" s="0" t="inlineStr">
        <is>
          <t>서울시 강동구 길동 337-19</t>
        </is>
      </c>
      <c r="AB756" s="0" t="inlineStr">
        <is>
          <t>서울시</t>
        </is>
      </c>
      <c r="AC756" s="0" t="inlineStr">
        <is>
          <t>강동구</t>
        </is>
      </c>
      <c r="AD756" s="0" t="inlineStr">
        <is>
          <t>길동</t>
        </is>
      </c>
      <c r="AG756" s="0" t="inlineStr">
        <is>
          <t>서울시 강동구 양재대로122가길 14</t>
        </is>
      </c>
      <c r="AH756" s="0" t="n">
        <v>0</v>
      </c>
      <c r="AI756" s="0" t="n">
        <v>237</v>
      </c>
      <c r="AJ756" s="0" t="n">
        <v>27</v>
      </c>
      <c r="AK756" s="0" t="n">
        <v>70</v>
      </c>
      <c r="AL756" s="0" t="n">
        <v>1.09</v>
      </c>
    </row>
    <row r="757">
      <c r="A757" s="0" t="inlineStr">
        <is>
          <t>[길동]</t>
        </is>
      </c>
      <c r="B757" s="0" t="n">
        <v>17555</v>
      </c>
      <c r="C757" s="0" t="n">
        <v>13</v>
      </c>
      <c r="D757" s="0" t="inlineStr">
        <is>
          <t>길동예전이룸2차</t>
        </is>
      </c>
      <c r="E757" s="0" t="inlineStr">
        <is>
          <t>2004.12.</t>
        </is>
      </c>
      <c r="F757" s="0" t="n">
        <v>64</v>
      </c>
      <c r="G757" s="0" t="n">
        <v>30.73</v>
      </c>
      <c r="H757" s="0" t="n">
        <v>101.6</v>
      </c>
      <c r="I757" s="0" t="n">
        <v>25.31</v>
      </c>
      <c r="J757" s="0" t="n">
        <v>83.69</v>
      </c>
      <c r="K757" s="0" t="n">
        <v>3</v>
      </c>
      <c r="T757" s="0" t="n">
        <v>3</v>
      </c>
      <c r="U757" s="0" t="n">
        <v>2</v>
      </c>
      <c r="V757" s="0" t="inlineStr">
        <is>
          <t>계단식</t>
        </is>
      </c>
      <c r="W757" s="0" t="inlineStr">
        <is>
          <t>101C</t>
        </is>
      </c>
      <c r="X757" s="0" t="n">
        <v>11</v>
      </c>
      <c r="Y757" s="0" t="n">
        <v>7</v>
      </c>
      <c r="Z757" s="0" t="inlineStr">
        <is>
          <t>https://new.land.naver.com/complexes/17555?tab=detail&amp;rf=Y</t>
        </is>
      </c>
      <c r="AA757" s="0" t="inlineStr">
        <is>
          <t>서울시 강동구 길동 337-19</t>
        </is>
      </c>
      <c r="AB757" s="0" t="inlineStr">
        <is>
          <t>서울시</t>
        </is>
      </c>
      <c r="AC757" s="0" t="inlineStr">
        <is>
          <t>강동구</t>
        </is>
      </c>
      <c r="AD757" s="0" t="inlineStr">
        <is>
          <t>길동</t>
        </is>
      </c>
      <c r="AG757" s="0" t="inlineStr">
        <is>
          <t>서울시 강동구 양재대로122가길 14</t>
        </is>
      </c>
      <c r="AH757" s="0" t="n">
        <v>0</v>
      </c>
      <c r="AI757" s="0" t="n">
        <v>237</v>
      </c>
      <c r="AJ757" s="0" t="n">
        <v>27</v>
      </c>
      <c r="AK757" s="0" t="n">
        <v>70</v>
      </c>
      <c r="AL757" s="0" t="n">
        <v>1.09</v>
      </c>
    </row>
    <row r="758">
      <c r="A758" s="0" t="inlineStr">
        <is>
          <t>[길동]</t>
        </is>
      </c>
      <c r="B758" s="0" t="n">
        <v>17555</v>
      </c>
      <c r="C758" s="0" t="n">
        <v>14</v>
      </c>
      <c r="D758" s="0" t="inlineStr">
        <is>
          <t>길동예전이룸2차</t>
        </is>
      </c>
      <c r="E758" s="0" t="inlineStr">
        <is>
          <t>2004.12.</t>
        </is>
      </c>
      <c r="F758" s="0" t="n">
        <v>64</v>
      </c>
      <c r="G758" s="0" t="n">
        <v>39.1</v>
      </c>
      <c r="H758" s="0" t="n">
        <v>129.28</v>
      </c>
      <c r="I758" s="0" t="n">
        <v>32.23</v>
      </c>
      <c r="J758" s="0" t="n">
        <v>106.56</v>
      </c>
      <c r="K758" s="0" t="n">
        <v>2</v>
      </c>
      <c r="T758" s="0" t="n">
        <v>4</v>
      </c>
      <c r="U758" s="0" t="n">
        <v>2</v>
      </c>
      <c r="V758" s="0" t="inlineStr">
        <is>
          <t>계단식</t>
        </is>
      </c>
      <c r="W758" s="0" t="n">
        <v>129</v>
      </c>
      <c r="X758" s="0" t="n">
        <v>11</v>
      </c>
      <c r="Y758" s="0" t="n">
        <v>7</v>
      </c>
      <c r="Z758" s="0" t="inlineStr">
        <is>
          <t>https://new.land.naver.com/complexes/17555?tab=detail&amp;rf=Y</t>
        </is>
      </c>
      <c r="AA758" s="0" t="inlineStr">
        <is>
          <t>서울시 강동구 길동 337-19</t>
        </is>
      </c>
      <c r="AB758" s="0" t="inlineStr">
        <is>
          <t>서울시</t>
        </is>
      </c>
      <c r="AC758" s="0" t="inlineStr">
        <is>
          <t>강동구</t>
        </is>
      </c>
      <c r="AD758" s="0" t="inlineStr">
        <is>
          <t>길동</t>
        </is>
      </c>
      <c r="AG758" s="0" t="inlineStr">
        <is>
          <t>서울시 강동구 양재대로122가길 14</t>
        </is>
      </c>
      <c r="AH758" s="0" t="n">
        <v>0</v>
      </c>
      <c r="AI758" s="0" t="n">
        <v>237</v>
      </c>
      <c r="AJ758" s="0" t="n">
        <v>27</v>
      </c>
      <c r="AK758" s="0" t="n">
        <v>70</v>
      </c>
      <c r="AL758" s="0" t="n">
        <v>1.09</v>
      </c>
    </row>
    <row r="759">
      <c r="A759" s="0" t="inlineStr">
        <is>
          <t>[둔촌동]</t>
        </is>
      </c>
      <c r="B759" s="0" t="n">
        <v>1301</v>
      </c>
      <c r="C759" s="0" t="n">
        <v>1</v>
      </c>
      <c r="D759" s="0" t="inlineStr">
        <is>
          <t>둔촌현대4차</t>
        </is>
      </c>
      <c r="E759" s="0" t="inlineStr">
        <is>
          <t>1996.02.</t>
        </is>
      </c>
      <c r="F759" s="0" t="n">
        <v>235</v>
      </c>
      <c r="G759" s="0" t="n">
        <v>22.32</v>
      </c>
      <c r="H759" s="0" t="n">
        <v>73.79000000000001</v>
      </c>
      <c r="I759" s="0" t="n">
        <v>17.63</v>
      </c>
      <c r="J759" s="0" t="n">
        <v>58.3</v>
      </c>
      <c r="K759" s="0" t="n">
        <v>14</v>
      </c>
      <c r="T759" s="0" t="n">
        <v>3</v>
      </c>
      <c r="U759" s="0" t="n">
        <v>1</v>
      </c>
      <c r="V759" s="0" t="inlineStr">
        <is>
          <t>복도식</t>
        </is>
      </c>
      <c r="W759" s="0" t="n">
        <v>73</v>
      </c>
      <c r="X759" s="0" t="n">
        <v>19</v>
      </c>
      <c r="Y759" s="0" t="n">
        <v>7</v>
      </c>
      <c r="Z759" s="0" t="inlineStr">
        <is>
          <t>https://new.land.naver.com/complexes/1301?tab=detail&amp;rf=Y</t>
        </is>
      </c>
      <c r="AA759" s="0" t="inlineStr">
        <is>
          <t>서울시 강동구 둔촌동 89</t>
        </is>
      </c>
      <c r="AB759" s="0" t="inlineStr">
        <is>
          <t>서울시</t>
        </is>
      </c>
      <c r="AC759" s="0" t="inlineStr">
        <is>
          <t>강동구</t>
        </is>
      </c>
      <c r="AD759" s="0" t="inlineStr">
        <is>
          <t>둔촌동</t>
        </is>
      </c>
      <c r="AG759" s="0" t="inlineStr">
        <is>
          <t>서울시 강동구 진황도로61길 7</t>
        </is>
      </c>
      <c r="AH759" s="0" t="n">
        <v>0</v>
      </c>
      <c r="AI759" s="0" t="n">
        <v>258</v>
      </c>
      <c r="AJ759" s="0" t="n">
        <v>26</v>
      </c>
      <c r="AK759" s="0" t="n">
        <v>183</v>
      </c>
      <c r="AL759" s="0" t="n">
        <v>0.78</v>
      </c>
    </row>
    <row r="760">
      <c r="A760" s="0" t="inlineStr">
        <is>
          <t>[둔촌동]</t>
        </is>
      </c>
      <c r="B760" s="0" t="n">
        <v>1301</v>
      </c>
      <c r="C760" s="0" t="n">
        <v>2</v>
      </c>
      <c r="D760" s="0" t="inlineStr">
        <is>
          <t>둔촌현대4차</t>
        </is>
      </c>
      <c r="E760" s="0" t="inlineStr">
        <is>
          <t>1996.02.</t>
        </is>
      </c>
      <c r="F760" s="0" t="n">
        <v>235</v>
      </c>
      <c r="G760" s="0" t="n">
        <v>22.77</v>
      </c>
      <c r="H760" s="0" t="n">
        <v>75.3</v>
      </c>
      <c r="I760" s="0" t="n">
        <v>17.99</v>
      </c>
      <c r="J760" s="0" t="n">
        <v>59.49</v>
      </c>
      <c r="K760" s="0" t="n">
        <v>32</v>
      </c>
      <c r="T760" s="0" t="n">
        <v>3</v>
      </c>
      <c r="U760" s="0" t="n">
        <v>1</v>
      </c>
      <c r="V760" s="0" t="inlineStr">
        <is>
          <t>복도식</t>
        </is>
      </c>
      <c r="W760" s="0" t="inlineStr">
        <is>
          <t>75A</t>
        </is>
      </c>
      <c r="X760" s="0" t="n">
        <v>19</v>
      </c>
      <c r="Y760" s="0" t="n">
        <v>7</v>
      </c>
      <c r="Z760" s="0" t="inlineStr">
        <is>
          <t>https://new.land.naver.com/complexes/1301?tab=detail&amp;rf=Y</t>
        </is>
      </c>
      <c r="AA760" s="0" t="inlineStr">
        <is>
          <t>서울시 강동구 둔촌동 89</t>
        </is>
      </c>
      <c r="AB760" s="0" t="inlineStr">
        <is>
          <t>서울시</t>
        </is>
      </c>
      <c r="AC760" s="0" t="inlineStr">
        <is>
          <t>강동구</t>
        </is>
      </c>
      <c r="AD760" s="0" t="inlineStr">
        <is>
          <t>둔촌동</t>
        </is>
      </c>
      <c r="AG760" s="0" t="inlineStr">
        <is>
          <t>서울시 강동구 진황도로61길 7</t>
        </is>
      </c>
      <c r="AH760" s="0" t="n">
        <v>0</v>
      </c>
      <c r="AI760" s="0" t="n">
        <v>258</v>
      </c>
      <c r="AJ760" s="0" t="n">
        <v>26</v>
      </c>
      <c r="AK760" s="0" t="n">
        <v>183</v>
      </c>
      <c r="AL760" s="0" t="n">
        <v>0.78</v>
      </c>
    </row>
    <row r="761">
      <c r="A761" s="0" t="inlineStr">
        <is>
          <t>[둔촌동]</t>
        </is>
      </c>
      <c r="B761" s="0" t="n">
        <v>1301</v>
      </c>
      <c r="C761" s="0" t="n">
        <v>3</v>
      </c>
      <c r="D761" s="0" t="inlineStr">
        <is>
          <t>둔촌현대4차</t>
        </is>
      </c>
      <c r="E761" s="0" t="inlineStr">
        <is>
          <t>1996.02.</t>
        </is>
      </c>
      <c r="F761" s="0" t="n">
        <v>235</v>
      </c>
      <c r="G761" s="0" t="n">
        <v>22.77</v>
      </c>
      <c r="H761" s="0" t="n">
        <v>75.28</v>
      </c>
      <c r="I761" s="0" t="n">
        <v>17.98</v>
      </c>
      <c r="J761" s="0" t="n">
        <v>59.47</v>
      </c>
      <c r="K761" s="0" t="n">
        <v>16</v>
      </c>
      <c r="T761" s="0" t="n">
        <v>3</v>
      </c>
      <c r="U761" s="0" t="n">
        <v>1</v>
      </c>
      <c r="V761" s="0" t="inlineStr">
        <is>
          <t>복도식</t>
        </is>
      </c>
      <c r="W761" s="0" t="inlineStr">
        <is>
          <t>75B</t>
        </is>
      </c>
      <c r="X761" s="0" t="n">
        <v>19</v>
      </c>
      <c r="Y761" s="0" t="n">
        <v>7</v>
      </c>
      <c r="Z761" s="0" t="inlineStr">
        <is>
          <t>https://new.land.naver.com/complexes/1301?tab=detail&amp;rf=Y</t>
        </is>
      </c>
      <c r="AA761" s="0" t="inlineStr">
        <is>
          <t>서울시 강동구 둔촌동 89</t>
        </is>
      </c>
      <c r="AB761" s="0" t="inlineStr">
        <is>
          <t>서울시</t>
        </is>
      </c>
      <c r="AC761" s="0" t="inlineStr">
        <is>
          <t>강동구</t>
        </is>
      </c>
      <c r="AD761" s="0" t="inlineStr">
        <is>
          <t>둔촌동</t>
        </is>
      </c>
      <c r="AG761" s="0" t="inlineStr">
        <is>
          <t>서울시 강동구 진황도로61길 7</t>
        </is>
      </c>
      <c r="AH761" s="0" t="n">
        <v>0</v>
      </c>
      <c r="AI761" s="0" t="n">
        <v>258</v>
      </c>
      <c r="AJ761" s="0" t="n">
        <v>26</v>
      </c>
      <c r="AK761" s="0" t="n">
        <v>183</v>
      </c>
      <c r="AL761" s="0" t="n">
        <v>0.78</v>
      </c>
    </row>
    <row r="762">
      <c r="A762" s="0" t="inlineStr">
        <is>
          <t>[둔촌동]</t>
        </is>
      </c>
      <c r="B762" s="0" t="n">
        <v>1301</v>
      </c>
      <c r="C762" s="0" t="n">
        <v>4</v>
      </c>
      <c r="D762" s="0" t="inlineStr">
        <is>
          <t>둔촌현대4차</t>
        </is>
      </c>
      <c r="E762" s="0" t="inlineStr">
        <is>
          <t>1996.02.</t>
        </is>
      </c>
      <c r="F762" s="0" t="n">
        <v>235</v>
      </c>
      <c r="G762" s="0" t="n">
        <v>32.11</v>
      </c>
      <c r="H762" s="0" t="n">
        <v>106.18</v>
      </c>
      <c r="I762" s="0" t="n">
        <v>25.37</v>
      </c>
      <c r="J762" s="0" t="n">
        <v>83.88</v>
      </c>
      <c r="K762" s="0" t="n">
        <v>15</v>
      </c>
      <c r="T762" s="0" t="n">
        <v>3</v>
      </c>
      <c r="U762" s="0" t="n">
        <v>2</v>
      </c>
      <c r="V762" s="0" t="inlineStr">
        <is>
          <t>계단식</t>
        </is>
      </c>
      <c r="W762" s="0" t="n">
        <v>106</v>
      </c>
      <c r="X762" s="0" t="n">
        <v>19</v>
      </c>
      <c r="Y762" s="0" t="n">
        <v>7</v>
      </c>
      <c r="Z762" s="0" t="inlineStr">
        <is>
          <t>https://new.land.naver.com/complexes/1301?tab=detail&amp;rf=Y</t>
        </is>
      </c>
      <c r="AA762" s="0" t="inlineStr">
        <is>
          <t>서울시 강동구 둔촌동 89</t>
        </is>
      </c>
      <c r="AB762" s="0" t="inlineStr">
        <is>
          <t>서울시</t>
        </is>
      </c>
      <c r="AC762" s="0" t="inlineStr">
        <is>
          <t>강동구</t>
        </is>
      </c>
      <c r="AD762" s="0" t="inlineStr">
        <is>
          <t>둔촌동</t>
        </is>
      </c>
      <c r="AG762" s="0" t="inlineStr">
        <is>
          <t>서울시 강동구 진황도로61길 7</t>
        </is>
      </c>
      <c r="AH762" s="0" t="n">
        <v>0</v>
      </c>
      <c r="AI762" s="0" t="n">
        <v>258</v>
      </c>
      <c r="AJ762" s="0" t="n">
        <v>26</v>
      </c>
      <c r="AK762" s="0" t="n">
        <v>183</v>
      </c>
      <c r="AL762" s="0" t="n">
        <v>0.78</v>
      </c>
    </row>
    <row r="763">
      <c r="A763" s="0" t="inlineStr">
        <is>
          <t>[둔촌동]</t>
        </is>
      </c>
      <c r="B763" s="0" t="n">
        <v>1301</v>
      </c>
      <c r="C763" s="0" t="n">
        <v>5</v>
      </c>
      <c r="D763" s="0" t="inlineStr">
        <is>
          <t>둔촌현대4차</t>
        </is>
      </c>
      <c r="E763" s="0" t="inlineStr">
        <is>
          <t>1996.02.</t>
        </is>
      </c>
      <c r="F763" s="0" t="n">
        <v>235</v>
      </c>
      <c r="G763" s="0" t="n">
        <v>32.52</v>
      </c>
      <c r="H763" s="0" t="n">
        <v>107.52</v>
      </c>
      <c r="I763" s="0" t="n">
        <v>25.69</v>
      </c>
      <c r="J763" s="0" t="n">
        <v>84.94</v>
      </c>
      <c r="K763" s="0" t="n">
        <v>113</v>
      </c>
      <c r="T763" s="0" t="n">
        <v>3</v>
      </c>
      <c r="U763" s="0" t="n">
        <v>2</v>
      </c>
      <c r="V763" s="0" t="inlineStr">
        <is>
          <t>계단식</t>
        </is>
      </c>
      <c r="W763" s="0" t="n">
        <v>107</v>
      </c>
      <c r="X763" s="0" t="n">
        <v>19</v>
      </c>
      <c r="Y763" s="0" t="n">
        <v>7</v>
      </c>
      <c r="Z763" s="0" t="inlineStr">
        <is>
          <t>https://new.land.naver.com/complexes/1301?tab=detail&amp;rf=Y</t>
        </is>
      </c>
      <c r="AA763" s="0" t="inlineStr">
        <is>
          <t>서울시 강동구 둔촌동 89</t>
        </is>
      </c>
      <c r="AB763" s="0" t="inlineStr">
        <is>
          <t>서울시</t>
        </is>
      </c>
      <c r="AC763" s="0" t="inlineStr">
        <is>
          <t>강동구</t>
        </is>
      </c>
      <c r="AD763" s="0" t="inlineStr">
        <is>
          <t>둔촌동</t>
        </is>
      </c>
      <c r="AG763" s="0" t="inlineStr">
        <is>
          <t>서울시 강동구 진황도로61길 7</t>
        </is>
      </c>
      <c r="AH763" s="0" t="n">
        <v>0</v>
      </c>
      <c r="AI763" s="0" t="n">
        <v>258</v>
      </c>
      <c r="AJ763" s="0" t="n">
        <v>26</v>
      </c>
      <c r="AK763" s="0" t="n">
        <v>183</v>
      </c>
      <c r="AL763" s="0" t="n">
        <v>0.78</v>
      </c>
    </row>
    <row r="764">
      <c r="A764" s="0" t="inlineStr">
        <is>
          <t>[둔촌동]</t>
        </is>
      </c>
      <c r="B764" s="0" t="n">
        <v>1301</v>
      </c>
      <c r="C764" s="0" t="n">
        <v>6</v>
      </c>
      <c r="D764" s="0" t="inlineStr">
        <is>
          <t>둔촌현대4차</t>
        </is>
      </c>
      <c r="E764" s="0" t="inlineStr">
        <is>
          <t>1996.02.</t>
        </is>
      </c>
      <c r="F764" s="0" t="n">
        <v>235</v>
      </c>
      <c r="G764" s="0" t="n">
        <v>43.99</v>
      </c>
      <c r="H764" s="0" t="n">
        <v>145.44</v>
      </c>
      <c r="I764" s="0" t="n">
        <v>34.75</v>
      </c>
      <c r="J764" s="0" t="n">
        <v>114.9</v>
      </c>
      <c r="K764" s="0" t="n">
        <v>45</v>
      </c>
      <c r="T764" s="0" t="n">
        <v>4</v>
      </c>
      <c r="U764" s="0" t="n">
        <v>2</v>
      </c>
      <c r="V764" s="0" t="inlineStr">
        <is>
          <t>계단식</t>
        </is>
      </c>
      <c r="W764" s="0" t="n">
        <v>145</v>
      </c>
      <c r="X764" s="0" t="n">
        <v>19</v>
      </c>
      <c r="Y764" s="0" t="n">
        <v>7</v>
      </c>
      <c r="Z764" s="0" t="inlineStr">
        <is>
          <t>https://new.land.naver.com/complexes/1301?tab=detail&amp;rf=Y</t>
        </is>
      </c>
      <c r="AA764" s="0" t="inlineStr">
        <is>
          <t>서울시 강동구 둔촌동 89</t>
        </is>
      </c>
      <c r="AB764" s="0" t="inlineStr">
        <is>
          <t>서울시</t>
        </is>
      </c>
      <c r="AC764" s="0" t="inlineStr">
        <is>
          <t>강동구</t>
        </is>
      </c>
      <c r="AD764" s="0" t="inlineStr">
        <is>
          <t>둔촌동</t>
        </is>
      </c>
      <c r="AG764" s="0" t="inlineStr">
        <is>
          <t>서울시 강동구 진황도로61길 7</t>
        </is>
      </c>
      <c r="AH764" s="0" t="n">
        <v>0</v>
      </c>
      <c r="AI764" s="0" t="n">
        <v>258</v>
      </c>
      <c r="AJ764" s="0" t="n">
        <v>26</v>
      </c>
      <c r="AK764" s="0" t="n">
        <v>183</v>
      </c>
      <c r="AL764" s="0" t="n">
        <v>0.78</v>
      </c>
    </row>
    <row r="765">
      <c r="A765" s="0" t="inlineStr">
        <is>
          <t>[둔촌동]</t>
        </is>
      </c>
      <c r="B765" s="0" t="n">
        <v>17818</v>
      </c>
      <c r="C765" s="0" t="n">
        <v>1</v>
      </c>
      <c r="D765" s="0" t="inlineStr">
        <is>
          <t>광남</t>
        </is>
      </c>
      <c r="E765" s="0" t="inlineStr">
        <is>
          <t>2004.02.</t>
        </is>
      </c>
      <c r="F765" s="0" t="n">
        <v>31</v>
      </c>
      <c r="G765" s="0" t="n">
        <v>25.63</v>
      </c>
      <c r="H765" s="0" t="n">
        <v>84.75</v>
      </c>
      <c r="I765" s="0" t="n">
        <v>22.79</v>
      </c>
      <c r="J765" s="0" t="n">
        <v>75.36</v>
      </c>
      <c r="K765" s="0" t="n">
        <v>1</v>
      </c>
      <c r="T765" s="0" t="n">
        <v>3</v>
      </c>
      <c r="U765" s="0" t="n">
        <v>2</v>
      </c>
      <c r="V765" s="0" t="inlineStr">
        <is>
          <t>복도식</t>
        </is>
      </c>
      <c r="W765" s="0" t="n">
        <v>84</v>
      </c>
      <c r="X765" s="0" t="n">
        <v>7</v>
      </c>
      <c r="Y765" s="0" t="n">
        <v>7</v>
      </c>
      <c r="Z765" s="0" t="inlineStr">
        <is>
          <t>https://new.land.naver.com/complexes/17818?tab=detail&amp;rf=Y</t>
        </is>
      </c>
      <c r="AA765" s="0" t="inlineStr">
        <is>
          <t>서울시 강동구 둔촌동 518-2</t>
        </is>
      </c>
      <c r="AB765" s="0" t="inlineStr">
        <is>
          <t>서울시</t>
        </is>
      </c>
      <c r="AC765" s="0" t="inlineStr">
        <is>
          <t>강동구</t>
        </is>
      </c>
      <c r="AD765" s="0" t="inlineStr">
        <is>
          <t>둔촌동</t>
        </is>
      </c>
      <c r="AG765" s="0" t="inlineStr">
        <is>
          <t>서울시 강동구 풍성로61길 10</t>
        </is>
      </c>
      <c r="AH765" s="0" t="n">
        <v>0</v>
      </c>
      <c r="AI765" s="0" t="n">
        <v>295</v>
      </c>
      <c r="AJ765" s="0" t="n">
        <v>58</v>
      </c>
      <c r="AK765" s="0" t="n">
        <v>36</v>
      </c>
      <c r="AL765" s="0" t="n">
        <v>1.16</v>
      </c>
    </row>
    <row r="766">
      <c r="A766" s="0" t="inlineStr">
        <is>
          <t>[둔촌동]</t>
        </is>
      </c>
      <c r="B766" s="0" t="n">
        <v>17818</v>
      </c>
      <c r="C766" s="0" t="n">
        <v>2</v>
      </c>
      <c r="D766" s="0" t="inlineStr">
        <is>
          <t>광남</t>
        </is>
      </c>
      <c r="E766" s="0" t="inlineStr">
        <is>
          <t>2004.02.</t>
        </is>
      </c>
      <c r="F766" s="0" t="n">
        <v>31</v>
      </c>
      <c r="G766" s="0" t="n">
        <v>27.32</v>
      </c>
      <c r="H766" s="0" t="n">
        <v>90.34</v>
      </c>
      <c r="I766" s="0" t="n">
        <v>24.29</v>
      </c>
      <c r="J766" s="0" t="n">
        <v>80.33</v>
      </c>
      <c r="K766" s="0" t="n">
        <v>1</v>
      </c>
      <c r="T766" s="0" t="n">
        <v>3</v>
      </c>
      <c r="U766" s="0" t="n">
        <v>2</v>
      </c>
      <c r="V766" s="0" t="inlineStr">
        <is>
          <t>복도식</t>
        </is>
      </c>
      <c r="W766" s="0" t="n">
        <v>90</v>
      </c>
      <c r="X766" s="0" t="n">
        <v>7</v>
      </c>
      <c r="Y766" s="0" t="n">
        <v>7</v>
      </c>
      <c r="Z766" s="0" t="inlineStr">
        <is>
          <t>https://new.land.naver.com/complexes/17818?tab=detail&amp;rf=Y</t>
        </is>
      </c>
      <c r="AA766" s="0" t="inlineStr">
        <is>
          <t>서울시 강동구 둔촌동 518-2</t>
        </is>
      </c>
      <c r="AB766" s="0" t="inlineStr">
        <is>
          <t>서울시</t>
        </is>
      </c>
      <c r="AC766" s="0" t="inlineStr">
        <is>
          <t>강동구</t>
        </is>
      </c>
      <c r="AD766" s="0" t="inlineStr">
        <is>
          <t>둔촌동</t>
        </is>
      </c>
      <c r="AG766" s="0" t="inlineStr">
        <is>
          <t>서울시 강동구 풍성로61길 10</t>
        </is>
      </c>
      <c r="AH766" s="0" t="n">
        <v>0</v>
      </c>
      <c r="AI766" s="0" t="n">
        <v>295</v>
      </c>
      <c r="AJ766" s="0" t="n">
        <v>58</v>
      </c>
      <c r="AK766" s="0" t="n">
        <v>36</v>
      </c>
      <c r="AL766" s="0" t="n">
        <v>1.16</v>
      </c>
    </row>
    <row r="767">
      <c r="A767" s="0" t="inlineStr">
        <is>
          <t>[둔촌동]</t>
        </is>
      </c>
      <c r="B767" s="0" t="n">
        <v>17818</v>
      </c>
      <c r="C767" s="0" t="n">
        <v>3</v>
      </c>
      <c r="D767" s="0" t="inlineStr">
        <is>
          <t>광남</t>
        </is>
      </c>
      <c r="E767" s="0" t="inlineStr">
        <is>
          <t>2004.02.</t>
        </is>
      </c>
      <c r="F767" s="0" t="n">
        <v>31</v>
      </c>
      <c r="G767" s="0" t="n">
        <v>27.53</v>
      </c>
      <c r="H767" s="0" t="n">
        <v>91.03</v>
      </c>
      <c r="I767" s="0" t="n">
        <v>23.38</v>
      </c>
      <c r="J767" s="0" t="n">
        <v>77.31999999999999</v>
      </c>
      <c r="K767" s="0" t="n">
        <v>1</v>
      </c>
      <c r="T767" s="0" t="n">
        <v>3</v>
      </c>
      <c r="U767" s="0" t="n">
        <v>2</v>
      </c>
      <c r="V767" s="0" t="inlineStr">
        <is>
          <t>계단식</t>
        </is>
      </c>
      <c r="W767" s="0" t="inlineStr">
        <is>
          <t>91A</t>
        </is>
      </c>
      <c r="X767" s="0" t="n">
        <v>7</v>
      </c>
      <c r="Y767" s="0" t="n">
        <v>7</v>
      </c>
      <c r="Z767" s="0" t="inlineStr">
        <is>
          <t>https://new.land.naver.com/complexes/17818?tab=detail&amp;rf=Y</t>
        </is>
      </c>
      <c r="AA767" s="0" t="inlineStr">
        <is>
          <t>서울시 강동구 둔촌동 518-2</t>
        </is>
      </c>
      <c r="AB767" s="0" t="inlineStr">
        <is>
          <t>서울시</t>
        </is>
      </c>
      <c r="AC767" s="0" t="inlineStr">
        <is>
          <t>강동구</t>
        </is>
      </c>
      <c r="AD767" s="0" t="inlineStr">
        <is>
          <t>둔촌동</t>
        </is>
      </c>
      <c r="AG767" s="0" t="inlineStr">
        <is>
          <t>서울시 강동구 풍성로61길 10</t>
        </is>
      </c>
      <c r="AH767" s="0" t="n">
        <v>0</v>
      </c>
      <c r="AI767" s="0" t="n">
        <v>295</v>
      </c>
      <c r="AJ767" s="0" t="n">
        <v>58</v>
      </c>
      <c r="AK767" s="0" t="n">
        <v>36</v>
      </c>
      <c r="AL767" s="0" t="n">
        <v>1.16</v>
      </c>
    </row>
    <row r="768">
      <c r="A768" s="0" t="inlineStr">
        <is>
          <t>[둔촌동]</t>
        </is>
      </c>
      <c r="B768" s="0" t="n">
        <v>17818</v>
      </c>
      <c r="C768" s="0" t="n">
        <v>4</v>
      </c>
      <c r="D768" s="0" t="inlineStr">
        <is>
          <t>광남</t>
        </is>
      </c>
      <c r="E768" s="0" t="inlineStr">
        <is>
          <t>2004.02.</t>
        </is>
      </c>
      <c r="F768" s="0" t="n">
        <v>31</v>
      </c>
      <c r="G768" s="0" t="n">
        <v>27.58</v>
      </c>
      <c r="H768" s="0" t="n">
        <v>91.19</v>
      </c>
      <c r="I768" s="0" t="n">
        <v>23.42</v>
      </c>
      <c r="J768" s="0" t="n">
        <v>77.45</v>
      </c>
      <c r="K768" s="0" t="n">
        <v>1</v>
      </c>
      <c r="T768" s="0" t="n">
        <v>3</v>
      </c>
      <c r="U768" s="0" t="n">
        <v>2</v>
      </c>
      <c r="V768" s="0" t="inlineStr">
        <is>
          <t>계단식</t>
        </is>
      </c>
      <c r="W768" s="0" t="inlineStr">
        <is>
          <t>91B</t>
        </is>
      </c>
      <c r="X768" s="0" t="n">
        <v>7</v>
      </c>
      <c r="Y768" s="0" t="n">
        <v>7</v>
      </c>
      <c r="Z768" s="0" t="inlineStr">
        <is>
          <t>https://new.land.naver.com/complexes/17818?tab=detail&amp;rf=Y</t>
        </is>
      </c>
      <c r="AA768" s="0" t="inlineStr">
        <is>
          <t>서울시 강동구 둔촌동 518-2</t>
        </is>
      </c>
      <c r="AB768" s="0" t="inlineStr">
        <is>
          <t>서울시</t>
        </is>
      </c>
      <c r="AC768" s="0" t="inlineStr">
        <is>
          <t>강동구</t>
        </is>
      </c>
      <c r="AD768" s="0" t="inlineStr">
        <is>
          <t>둔촌동</t>
        </is>
      </c>
      <c r="AG768" s="0" t="inlineStr">
        <is>
          <t>서울시 강동구 풍성로61길 10</t>
        </is>
      </c>
      <c r="AH768" s="0" t="n">
        <v>0</v>
      </c>
      <c r="AI768" s="0" t="n">
        <v>295</v>
      </c>
      <c r="AJ768" s="0" t="n">
        <v>58</v>
      </c>
      <c r="AK768" s="0" t="n">
        <v>36</v>
      </c>
      <c r="AL768" s="0" t="n">
        <v>1.16</v>
      </c>
    </row>
    <row r="769">
      <c r="A769" s="0" t="inlineStr">
        <is>
          <t>[둔촌동]</t>
        </is>
      </c>
      <c r="B769" s="0" t="n">
        <v>17818</v>
      </c>
      <c r="C769" s="0" t="n">
        <v>5</v>
      </c>
      <c r="D769" s="0" t="inlineStr">
        <is>
          <t>광남</t>
        </is>
      </c>
      <c r="E769" s="0" t="inlineStr">
        <is>
          <t>2004.02.</t>
        </is>
      </c>
      <c r="F769" s="0" t="n">
        <v>31</v>
      </c>
      <c r="G769" s="0" t="n">
        <v>28.73</v>
      </c>
      <c r="H769" s="0" t="n">
        <v>94.98999999999999</v>
      </c>
      <c r="I769" s="0" t="n">
        <v>24.4</v>
      </c>
      <c r="J769" s="0" t="n">
        <v>80.68000000000001</v>
      </c>
      <c r="K769" s="0" t="n">
        <v>1</v>
      </c>
      <c r="T769" s="0" t="n">
        <v>3</v>
      </c>
      <c r="U769" s="0" t="n">
        <v>2</v>
      </c>
      <c r="V769" s="0" t="inlineStr">
        <is>
          <t>계단식</t>
        </is>
      </c>
      <c r="W769" s="0" t="inlineStr">
        <is>
          <t>94A</t>
        </is>
      </c>
      <c r="X769" s="0" t="n">
        <v>7</v>
      </c>
      <c r="Y769" s="0" t="n">
        <v>7</v>
      </c>
      <c r="Z769" s="0" t="inlineStr">
        <is>
          <t>https://new.land.naver.com/complexes/17818?tab=detail&amp;rf=Y</t>
        </is>
      </c>
      <c r="AA769" s="0" t="inlineStr">
        <is>
          <t>서울시 강동구 둔촌동 518-2</t>
        </is>
      </c>
      <c r="AB769" s="0" t="inlineStr">
        <is>
          <t>서울시</t>
        </is>
      </c>
      <c r="AC769" s="0" t="inlineStr">
        <is>
          <t>강동구</t>
        </is>
      </c>
      <c r="AD769" s="0" t="inlineStr">
        <is>
          <t>둔촌동</t>
        </is>
      </c>
      <c r="AG769" s="0" t="inlineStr">
        <is>
          <t>서울시 강동구 풍성로61길 10</t>
        </is>
      </c>
      <c r="AH769" s="0" t="n">
        <v>0</v>
      </c>
      <c r="AI769" s="0" t="n">
        <v>295</v>
      </c>
      <c r="AJ769" s="0" t="n">
        <v>58</v>
      </c>
      <c r="AK769" s="0" t="n">
        <v>36</v>
      </c>
      <c r="AL769" s="0" t="n">
        <v>1.16</v>
      </c>
    </row>
    <row r="770">
      <c r="A770" s="0" t="inlineStr">
        <is>
          <t>[둔촌동]</t>
        </is>
      </c>
      <c r="B770" s="0" t="n">
        <v>17818</v>
      </c>
      <c r="C770" s="0" t="n">
        <v>6</v>
      </c>
      <c r="D770" s="0" t="inlineStr">
        <is>
          <t>광남</t>
        </is>
      </c>
      <c r="E770" s="0" t="inlineStr">
        <is>
          <t>2004.02.</t>
        </is>
      </c>
      <c r="F770" s="0" t="n">
        <v>31</v>
      </c>
      <c r="G770" s="0" t="n">
        <v>28.68</v>
      </c>
      <c r="H770" s="0" t="n">
        <v>94.83</v>
      </c>
      <c r="I770" s="0" t="n">
        <v>25.5</v>
      </c>
      <c r="J770" s="0" t="n">
        <v>84.33</v>
      </c>
      <c r="K770" s="0" t="n">
        <v>1</v>
      </c>
      <c r="T770" s="0" t="n">
        <v>3</v>
      </c>
      <c r="U770" s="0" t="n">
        <v>2</v>
      </c>
      <c r="V770" s="0" t="inlineStr">
        <is>
          <t>계단식</t>
        </is>
      </c>
      <c r="W770" s="0" t="inlineStr">
        <is>
          <t>94B</t>
        </is>
      </c>
      <c r="X770" s="0" t="n">
        <v>7</v>
      </c>
      <c r="Y770" s="0" t="n">
        <v>7</v>
      </c>
      <c r="Z770" s="0" t="inlineStr">
        <is>
          <t>https://new.land.naver.com/complexes/17818?tab=detail&amp;rf=Y</t>
        </is>
      </c>
      <c r="AA770" s="0" t="inlineStr">
        <is>
          <t>서울시 강동구 둔촌동 518-2</t>
        </is>
      </c>
      <c r="AB770" s="0" t="inlineStr">
        <is>
          <t>서울시</t>
        </is>
      </c>
      <c r="AC770" s="0" t="inlineStr">
        <is>
          <t>강동구</t>
        </is>
      </c>
      <c r="AD770" s="0" t="inlineStr">
        <is>
          <t>둔촌동</t>
        </is>
      </c>
      <c r="AG770" s="0" t="inlineStr">
        <is>
          <t>서울시 강동구 풍성로61길 10</t>
        </is>
      </c>
      <c r="AH770" s="0" t="n">
        <v>0</v>
      </c>
      <c r="AI770" s="0" t="n">
        <v>295</v>
      </c>
      <c r="AJ770" s="0" t="n">
        <v>58</v>
      </c>
      <c r="AK770" s="0" t="n">
        <v>36</v>
      </c>
      <c r="AL770" s="0" t="n">
        <v>1.16</v>
      </c>
    </row>
    <row r="771">
      <c r="A771" s="0" t="inlineStr">
        <is>
          <t>[둔촌동]</t>
        </is>
      </c>
      <c r="B771" s="0" t="n">
        <v>17818</v>
      </c>
      <c r="C771" s="0" t="n">
        <v>7</v>
      </c>
      <c r="D771" s="0" t="inlineStr">
        <is>
          <t>광남</t>
        </is>
      </c>
      <c r="E771" s="0" t="inlineStr">
        <is>
          <t>2004.02.</t>
        </is>
      </c>
      <c r="F771" s="0" t="n">
        <v>31</v>
      </c>
      <c r="G771" s="0" t="n">
        <v>28.78</v>
      </c>
      <c r="H771" s="0" t="n">
        <v>95.17</v>
      </c>
      <c r="I771" s="0" t="n">
        <v>25.59</v>
      </c>
      <c r="J771" s="0" t="n">
        <v>84.62</v>
      </c>
      <c r="K771" s="0" t="n">
        <v>5</v>
      </c>
      <c r="T771" s="0" t="n">
        <v>3</v>
      </c>
      <c r="U771" s="0" t="n">
        <v>2</v>
      </c>
      <c r="V771" s="0" t="inlineStr">
        <is>
          <t>계단식</t>
        </is>
      </c>
      <c r="W771" s="0" t="inlineStr">
        <is>
          <t>95C</t>
        </is>
      </c>
      <c r="X771" s="0" t="n">
        <v>7</v>
      </c>
      <c r="Y771" s="0" t="n">
        <v>7</v>
      </c>
      <c r="Z771" s="0" t="inlineStr">
        <is>
          <t>https://new.land.naver.com/complexes/17818?tab=detail&amp;rf=Y</t>
        </is>
      </c>
      <c r="AA771" s="0" t="inlineStr">
        <is>
          <t>서울시 강동구 둔촌동 518-2</t>
        </is>
      </c>
      <c r="AB771" s="0" t="inlineStr">
        <is>
          <t>서울시</t>
        </is>
      </c>
      <c r="AC771" s="0" t="inlineStr">
        <is>
          <t>강동구</t>
        </is>
      </c>
      <c r="AD771" s="0" t="inlineStr">
        <is>
          <t>둔촌동</t>
        </is>
      </c>
      <c r="AG771" s="0" t="inlineStr">
        <is>
          <t>서울시 강동구 풍성로61길 10</t>
        </is>
      </c>
      <c r="AH771" s="0" t="n">
        <v>0</v>
      </c>
      <c r="AI771" s="0" t="n">
        <v>295</v>
      </c>
      <c r="AJ771" s="0" t="n">
        <v>58</v>
      </c>
      <c r="AK771" s="0" t="n">
        <v>36</v>
      </c>
      <c r="AL771" s="0" t="n">
        <v>1.16</v>
      </c>
    </row>
    <row r="772">
      <c r="A772" s="0" t="inlineStr">
        <is>
          <t>[둔촌동]</t>
        </is>
      </c>
      <c r="B772" s="0" t="n">
        <v>17818</v>
      </c>
      <c r="C772" s="0" t="n">
        <v>8</v>
      </c>
      <c r="D772" s="0" t="inlineStr">
        <is>
          <t>광남</t>
        </is>
      </c>
      <c r="E772" s="0" t="inlineStr">
        <is>
          <t>2004.02.</t>
        </is>
      </c>
      <c r="F772" s="0" t="n">
        <v>31</v>
      </c>
      <c r="G772" s="0" t="n">
        <v>28.89</v>
      </c>
      <c r="H772" s="0" t="n">
        <v>95.53</v>
      </c>
      <c r="I772" s="0" t="n">
        <v>25.69</v>
      </c>
      <c r="J772" s="0" t="n">
        <v>84.94</v>
      </c>
      <c r="K772" s="0" t="n">
        <v>4</v>
      </c>
      <c r="T772" s="0" t="n">
        <v>3</v>
      </c>
      <c r="U772" s="0" t="n">
        <v>2</v>
      </c>
      <c r="V772" s="0" t="inlineStr">
        <is>
          <t>계단식</t>
        </is>
      </c>
      <c r="W772" s="0" t="inlineStr">
        <is>
          <t>95E</t>
        </is>
      </c>
      <c r="X772" s="0" t="n">
        <v>7</v>
      </c>
      <c r="Y772" s="0" t="n">
        <v>7</v>
      </c>
      <c r="Z772" s="0" t="inlineStr">
        <is>
          <t>https://new.land.naver.com/complexes/17818?tab=detail&amp;rf=Y</t>
        </is>
      </c>
      <c r="AA772" s="0" t="inlineStr">
        <is>
          <t>서울시 강동구 둔촌동 518-2</t>
        </is>
      </c>
      <c r="AB772" s="0" t="inlineStr">
        <is>
          <t>서울시</t>
        </is>
      </c>
      <c r="AC772" s="0" t="inlineStr">
        <is>
          <t>강동구</t>
        </is>
      </c>
      <c r="AD772" s="0" t="inlineStr">
        <is>
          <t>둔촌동</t>
        </is>
      </c>
      <c r="AG772" s="0" t="inlineStr">
        <is>
          <t>서울시 강동구 풍성로61길 10</t>
        </is>
      </c>
      <c r="AH772" s="0" t="n">
        <v>0</v>
      </c>
      <c r="AI772" s="0" t="n">
        <v>295</v>
      </c>
      <c r="AJ772" s="0" t="n">
        <v>58</v>
      </c>
      <c r="AK772" s="0" t="n">
        <v>36</v>
      </c>
      <c r="AL772" s="0" t="n">
        <v>1.16</v>
      </c>
    </row>
    <row r="773">
      <c r="A773" s="0" t="inlineStr">
        <is>
          <t>[둔촌동]</t>
        </is>
      </c>
      <c r="B773" s="0" t="n">
        <v>17818</v>
      </c>
      <c r="C773" s="0" t="n">
        <v>9</v>
      </c>
      <c r="D773" s="0" t="inlineStr">
        <is>
          <t>광남</t>
        </is>
      </c>
      <c r="E773" s="0" t="inlineStr">
        <is>
          <t>2004.02.</t>
        </is>
      </c>
      <c r="F773" s="0" t="n">
        <v>31</v>
      </c>
      <c r="G773" s="0" t="n">
        <v>28.79</v>
      </c>
      <c r="H773" s="0" t="n">
        <v>95.2</v>
      </c>
      <c r="I773" s="0" t="n">
        <v>25.6</v>
      </c>
      <c r="J773" s="0" t="n">
        <v>84.65000000000001</v>
      </c>
      <c r="K773" s="0" t="n">
        <v>1</v>
      </c>
      <c r="T773" s="0" t="n">
        <v>3</v>
      </c>
      <c r="U773" s="0" t="n">
        <v>2</v>
      </c>
      <c r="V773" s="0" t="inlineStr">
        <is>
          <t>계단식</t>
        </is>
      </c>
      <c r="W773" s="0" t="inlineStr">
        <is>
          <t>95D</t>
        </is>
      </c>
      <c r="X773" s="0" t="n">
        <v>7</v>
      </c>
      <c r="Y773" s="0" t="n">
        <v>7</v>
      </c>
      <c r="Z773" s="0" t="inlineStr">
        <is>
          <t>https://new.land.naver.com/complexes/17818?tab=detail&amp;rf=Y</t>
        </is>
      </c>
      <c r="AA773" s="0" t="inlineStr">
        <is>
          <t>서울시 강동구 둔촌동 518-2</t>
        </is>
      </c>
      <c r="AB773" s="0" t="inlineStr">
        <is>
          <t>서울시</t>
        </is>
      </c>
      <c r="AC773" s="0" t="inlineStr">
        <is>
          <t>강동구</t>
        </is>
      </c>
      <c r="AD773" s="0" t="inlineStr">
        <is>
          <t>둔촌동</t>
        </is>
      </c>
      <c r="AG773" s="0" t="inlineStr">
        <is>
          <t>서울시 강동구 풍성로61길 10</t>
        </is>
      </c>
      <c r="AH773" s="0" t="n">
        <v>0</v>
      </c>
      <c r="AI773" s="0" t="n">
        <v>295</v>
      </c>
      <c r="AJ773" s="0" t="n">
        <v>58</v>
      </c>
      <c r="AK773" s="0" t="n">
        <v>36</v>
      </c>
      <c r="AL773" s="0" t="n">
        <v>1.16</v>
      </c>
    </row>
    <row r="774">
      <c r="A774" s="0" t="inlineStr">
        <is>
          <t>[둔촌동]</t>
        </is>
      </c>
      <c r="B774" s="0" t="n">
        <v>17818</v>
      </c>
      <c r="C774" s="0" t="n">
        <v>10</v>
      </c>
      <c r="D774" s="0" t="inlineStr">
        <is>
          <t>광남</t>
        </is>
      </c>
      <c r="E774" s="0" t="inlineStr">
        <is>
          <t>2004.02.</t>
        </is>
      </c>
      <c r="F774" s="0" t="n">
        <v>31</v>
      </c>
      <c r="G774" s="0" t="n">
        <v>30</v>
      </c>
      <c r="H774" s="0" t="n">
        <v>99.18000000000001</v>
      </c>
      <c r="I774" s="0" t="n">
        <v>25.48</v>
      </c>
      <c r="J774" s="0" t="n">
        <v>84.23999999999999</v>
      </c>
      <c r="K774" s="0" t="n">
        <v>5</v>
      </c>
      <c r="T774" s="0" t="n">
        <v>3</v>
      </c>
      <c r="U774" s="0" t="n">
        <v>2</v>
      </c>
      <c r="V774" s="0" t="inlineStr">
        <is>
          <t>계단식</t>
        </is>
      </c>
      <c r="W774" s="0" t="inlineStr">
        <is>
          <t>99A</t>
        </is>
      </c>
      <c r="X774" s="0" t="n">
        <v>7</v>
      </c>
      <c r="Y774" s="0" t="n">
        <v>7</v>
      </c>
      <c r="Z774" s="0" t="inlineStr">
        <is>
          <t>https://new.land.naver.com/complexes/17818?tab=detail&amp;rf=Y</t>
        </is>
      </c>
      <c r="AA774" s="0" t="inlineStr">
        <is>
          <t>서울시 강동구 둔촌동 518-2</t>
        </is>
      </c>
      <c r="AB774" s="0" t="inlineStr">
        <is>
          <t>서울시</t>
        </is>
      </c>
      <c r="AC774" s="0" t="inlineStr">
        <is>
          <t>강동구</t>
        </is>
      </c>
      <c r="AD774" s="0" t="inlineStr">
        <is>
          <t>둔촌동</t>
        </is>
      </c>
      <c r="AG774" s="0" t="inlineStr">
        <is>
          <t>서울시 강동구 풍성로61길 10</t>
        </is>
      </c>
      <c r="AH774" s="0" t="n">
        <v>0</v>
      </c>
      <c r="AI774" s="0" t="n">
        <v>295</v>
      </c>
      <c r="AJ774" s="0" t="n">
        <v>58</v>
      </c>
      <c r="AK774" s="0" t="n">
        <v>36</v>
      </c>
      <c r="AL774" s="0" t="n">
        <v>1.16</v>
      </c>
    </row>
    <row r="775">
      <c r="A775" s="0" t="inlineStr">
        <is>
          <t>[둔촌동]</t>
        </is>
      </c>
      <c r="B775" s="0" t="n">
        <v>17818</v>
      </c>
      <c r="C775" s="0" t="n">
        <v>11</v>
      </c>
      <c r="D775" s="0" t="inlineStr">
        <is>
          <t>광남</t>
        </is>
      </c>
      <c r="E775" s="0" t="inlineStr">
        <is>
          <t>2004.02.</t>
        </is>
      </c>
      <c r="F775" s="0" t="n">
        <v>31</v>
      </c>
      <c r="G775" s="0" t="n">
        <v>30.04</v>
      </c>
      <c r="H775" s="0" t="n">
        <v>99.31999999999999</v>
      </c>
      <c r="I775" s="0" t="n">
        <v>25.51</v>
      </c>
      <c r="J775" s="0" t="n">
        <v>84.36</v>
      </c>
      <c r="K775" s="0" t="n">
        <v>5</v>
      </c>
      <c r="T775" s="0" t="n">
        <v>3</v>
      </c>
      <c r="U775" s="0" t="n">
        <v>2</v>
      </c>
      <c r="V775" s="0" t="inlineStr">
        <is>
          <t>계단식</t>
        </is>
      </c>
      <c r="W775" s="0" t="inlineStr">
        <is>
          <t>99B</t>
        </is>
      </c>
      <c r="X775" s="0" t="n">
        <v>7</v>
      </c>
      <c r="Y775" s="0" t="n">
        <v>7</v>
      </c>
      <c r="Z775" s="0" t="inlineStr">
        <is>
          <t>https://new.land.naver.com/complexes/17818?tab=detail&amp;rf=Y</t>
        </is>
      </c>
      <c r="AA775" s="0" t="inlineStr">
        <is>
          <t>서울시 강동구 둔촌동 518-2</t>
        </is>
      </c>
      <c r="AB775" s="0" t="inlineStr">
        <is>
          <t>서울시</t>
        </is>
      </c>
      <c r="AC775" s="0" t="inlineStr">
        <is>
          <t>강동구</t>
        </is>
      </c>
      <c r="AD775" s="0" t="inlineStr">
        <is>
          <t>둔촌동</t>
        </is>
      </c>
      <c r="AG775" s="0" t="inlineStr">
        <is>
          <t>서울시 강동구 풍성로61길 10</t>
        </is>
      </c>
      <c r="AH775" s="0" t="n">
        <v>0</v>
      </c>
      <c r="AI775" s="0" t="n">
        <v>295</v>
      </c>
      <c r="AJ775" s="0" t="n">
        <v>58</v>
      </c>
      <c r="AK775" s="0" t="n">
        <v>36</v>
      </c>
      <c r="AL775" s="0" t="n">
        <v>1.16</v>
      </c>
    </row>
    <row r="776">
      <c r="A776" s="0" t="inlineStr">
        <is>
          <t>[둔촌동]</t>
        </is>
      </c>
      <c r="B776" s="0" t="n">
        <v>17818</v>
      </c>
      <c r="C776" s="0" t="n">
        <v>12</v>
      </c>
      <c r="D776" s="0" t="inlineStr">
        <is>
          <t>광남</t>
        </is>
      </c>
      <c r="E776" s="0" t="inlineStr">
        <is>
          <t>2004.02.</t>
        </is>
      </c>
      <c r="F776" s="0" t="n">
        <v>31</v>
      </c>
      <c r="G776" s="0" t="n">
        <v>30.14</v>
      </c>
      <c r="H776" s="0" t="n">
        <v>99.64</v>
      </c>
      <c r="I776" s="0" t="n">
        <v>25.6</v>
      </c>
      <c r="J776" s="0" t="n">
        <v>84.63</v>
      </c>
      <c r="K776" s="0" t="n">
        <v>5</v>
      </c>
      <c r="T776" s="0" t="n">
        <v>3</v>
      </c>
      <c r="U776" s="0" t="n">
        <v>2</v>
      </c>
      <c r="V776" s="0" t="inlineStr">
        <is>
          <t>계단식</t>
        </is>
      </c>
      <c r="W776" s="0" t="inlineStr">
        <is>
          <t>99C</t>
        </is>
      </c>
      <c r="X776" s="0" t="n">
        <v>7</v>
      </c>
      <c r="Y776" s="0" t="n">
        <v>7</v>
      </c>
      <c r="Z776" s="0" t="inlineStr">
        <is>
          <t>https://new.land.naver.com/complexes/17818?tab=detail&amp;rf=Y</t>
        </is>
      </c>
      <c r="AA776" s="0" t="inlineStr">
        <is>
          <t>서울시 강동구 둔촌동 518-2</t>
        </is>
      </c>
      <c r="AB776" s="0" t="inlineStr">
        <is>
          <t>서울시</t>
        </is>
      </c>
      <c r="AC776" s="0" t="inlineStr">
        <is>
          <t>강동구</t>
        </is>
      </c>
      <c r="AD776" s="0" t="inlineStr">
        <is>
          <t>둔촌동</t>
        </is>
      </c>
      <c r="AG776" s="0" t="inlineStr">
        <is>
          <t>서울시 강동구 풍성로61길 10</t>
        </is>
      </c>
      <c r="AH776" s="0" t="n">
        <v>0</v>
      </c>
      <c r="AI776" s="0" t="n">
        <v>295</v>
      </c>
      <c r="AJ776" s="0" t="n">
        <v>58</v>
      </c>
      <c r="AK776" s="0" t="n">
        <v>36</v>
      </c>
      <c r="AL776" s="0" t="n">
        <v>1.16</v>
      </c>
    </row>
    <row r="777">
      <c r="A777" s="0" t="inlineStr">
        <is>
          <t>[둔촌동]</t>
        </is>
      </c>
      <c r="B777" s="0" t="n">
        <v>11448</v>
      </c>
      <c r="C777" s="0" t="n">
        <v>1</v>
      </c>
      <c r="D777" s="0" t="inlineStr">
        <is>
          <t>청원파크빌</t>
        </is>
      </c>
      <c r="E777" s="0" t="inlineStr">
        <is>
          <t>2003.08.</t>
        </is>
      </c>
      <c r="F777" s="0" t="n">
        <v>61</v>
      </c>
      <c r="G777" s="0" t="n">
        <v>27.61</v>
      </c>
      <c r="H777" s="0" t="n">
        <v>91.29000000000001</v>
      </c>
      <c r="I777" s="0" t="n">
        <v>22.13</v>
      </c>
      <c r="J777" s="0" t="n">
        <v>73.19</v>
      </c>
      <c r="K777" s="0" t="n">
        <v>2</v>
      </c>
      <c r="T777" s="0" t="n">
        <v>2</v>
      </c>
      <c r="U777" s="0" t="n">
        <v>1</v>
      </c>
      <c r="V777" s="0" t="inlineStr">
        <is>
          <t>계단식</t>
        </is>
      </c>
      <c r="W777" s="0" t="n">
        <v>91</v>
      </c>
      <c r="X777" s="0" t="n">
        <v>13</v>
      </c>
      <c r="Y777" s="0" t="n">
        <v>12</v>
      </c>
      <c r="Z777" s="0" t="inlineStr">
        <is>
          <t>https://new.land.naver.com/complexes/11448?tab=detail&amp;rf=Y</t>
        </is>
      </c>
      <c r="AA777" s="0" t="inlineStr">
        <is>
          <t>서울시 강동구 둔촌동 90</t>
        </is>
      </c>
      <c r="AB777" s="0" t="inlineStr">
        <is>
          <t>서울시</t>
        </is>
      </c>
      <c r="AC777" s="0" t="inlineStr">
        <is>
          <t>강동구</t>
        </is>
      </c>
      <c r="AD777" s="0" t="inlineStr">
        <is>
          <t>둔촌동</t>
        </is>
      </c>
      <c r="AG777" s="0" t="inlineStr">
        <is>
          <t>서울시 강동구 명일로 143</t>
        </is>
      </c>
      <c r="AH777" s="0" t="n">
        <v>0</v>
      </c>
      <c r="AI777" s="0" t="n">
        <v>278</v>
      </c>
      <c r="AJ777" s="0" t="n">
        <v>25</v>
      </c>
      <c r="AK777" s="0" t="n">
        <v>77</v>
      </c>
      <c r="AL777" s="0" t="n">
        <v>1.26</v>
      </c>
    </row>
    <row r="778">
      <c r="A778" s="0" t="inlineStr">
        <is>
          <t>[둔촌동]</t>
        </is>
      </c>
      <c r="B778" s="0" t="n">
        <v>11448</v>
      </c>
      <c r="C778" s="0" t="n">
        <v>2</v>
      </c>
      <c r="D778" s="0" t="inlineStr">
        <is>
          <t>청원파크빌</t>
        </is>
      </c>
      <c r="E778" s="0" t="inlineStr">
        <is>
          <t>2003.08.</t>
        </is>
      </c>
      <c r="F778" s="0" t="n">
        <v>61</v>
      </c>
      <c r="G778" s="0" t="n">
        <v>31.79</v>
      </c>
      <c r="H778" s="0" t="n">
        <v>105.11</v>
      </c>
      <c r="I778" s="0" t="n">
        <v>25.64</v>
      </c>
      <c r="J778" s="0" t="n">
        <v>84.78</v>
      </c>
      <c r="K778" s="0" t="n">
        <v>24</v>
      </c>
      <c r="T778" s="0" t="n">
        <v>3</v>
      </c>
      <c r="U778" s="0" t="n">
        <v>2</v>
      </c>
      <c r="V778" s="0" t="inlineStr">
        <is>
          <t>계단식</t>
        </is>
      </c>
      <c r="W778" s="0" t="inlineStr">
        <is>
          <t>105A</t>
        </is>
      </c>
      <c r="X778" s="0" t="n">
        <v>13</v>
      </c>
      <c r="Y778" s="0" t="n">
        <v>12</v>
      </c>
      <c r="Z778" s="0" t="inlineStr">
        <is>
          <t>https://new.land.naver.com/complexes/11448?tab=detail&amp;rf=Y</t>
        </is>
      </c>
      <c r="AA778" s="0" t="inlineStr">
        <is>
          <t>서울시 강동구 둔촌동 90</t>
        </is>
      </c>
      <c r="AB778" s="0" t="inlineStr">
        <is>
          <t>서울시</t>
        </is>
      </c>
      <c r="AC778" s="0" t="inlineStr">
        <is>
          <t>강동구</t>
        </is>
      </c>
      <c r="AD778" s="0" t="inlineStr">
        <is>
          <t>둔촌동</t>
        </is>
      </c>
      <c r="AG778" s="0" t="inlineStr">
        <is>
          <t>서울시 강동구 명일로 143</t>
        </is>
      </c>
      <c r="AH778" s="0" t="n">
        <v>0</v>
      </c>
      <c r="AI778" s="0" t="n">
        <v>278</v>
      </c>
      <c r="AJ778" s="0" t="n">
        <v>25</v>
      </c>
      <c r="AK778" s="0" t="n">
        <v>77</v>
      </c>
      <c r="AL778" s="0" t="n">
        <v>1.26</v>
      </c>
    </row>
    <row r="779">
      <c r="A779" s="0" t="inlineStr">
        <is>
          <t>[둔촌동]</t>
        </is>
      </c>
      <c r="B779" s="0" t="n">
        <v>11448</v>
      </c>
      <c r="C779" s="0" t="n">
        <v>3</v>
      </c>
      <c r="D779" s="0" t="inlineStr">
        <is>
          <t>청원파크빌</t>
        </is>
      </c>
      <c r="E779" s="0" t="inlineStr">
        <is>
          <t>2003.08.</t>
        </is>
      </c>
      <c r="F779" s="0" t="n">
        <v>61</v>
      </c>
      <c r="G779" s="0" t="n">
        <v>31.91</v>
      </c>
      <c r="H779" s="0" t="n">
        <v>105.52</v>
      </c>
      <c r="I779" s="0" t="n">
        <v>25.67</v>
      </c>
      <c r="J779" s="0" t="n">
        <v>84.86</v>
      </c>
      <c r="K779" s="0" t="n">
        <v>13</v>
      </c>
      <c r="T779" s="0" t="n">
        <v>3</v>
      </c>
      <c r="U779" s="0" t="n">
        <v>2</v>
      </c>
      <c r="V779" s="0" t="inlineStr">
        <is>
          <t>계단식</t>
        </is>
      </c>
      <c r="W779" s="0" t="inlineStr">
        <is>
          <t>105B</t>
        </is>
      </c>
      <c r="X779" s="0" t="n">
        <v>13</v>
      </c>
      <c r="Y779" s="0" t="n">
        <v>12</v>
      </c>
      <c r="Z779" s="0" t="inlineStr">
        <is>
          <t>https://new.land.naver.com/complexes/11448?tab=detail&amp;rf=Y</t>
        </is>
      </c>
      <c r="AA779" s="0" t="inlineStr">
        <is>
          <t>서울시 강동구 둔촌동 90</t>
        </is>
      </c>
      <c r="AB779" s="0" t="inlineStr">
        <is>
          <t>서울시</t>
        </is>
      </c>
      <c r="AC779" s="0" t="inlineStr">
        <is>
          <t>강동구</t>
        </is>
      </c>
      <c r="AD779" s="0" t="inlineStr">
        <is>
          <t>둔촌동</t>
        </is>
      </c>
      <c r="AG779" s="0" t="inlineStr">
        <is>
          <t>서울시 강동구 명일로 143</t>
        </is>
      </c>
      <c r="AH779" s="0" t="n">
        <v>0</v>
      </c>
      <c r="AI779" s="0" t="n">
        <v>278</v>
      </c>
      <c r="AJ779" s="0" t="n">
        <v>25</v>
      </c>
      <c r="AK779" s="0" t="n">
        <v>77</v>
      </c>
      <c r="AL779" s="0" t="n">
        <v>1.26</v>
      </c>
    </row>
    <row r="780">
      <c r="A780" s="0" t="inlineStr">
        <is>
          <t>[둔촌동]</t>
        </is>
      </c>
      <c r="B780" s="0" t="n">
        <v>11448</v>
      </c>
      <c r="C780" s="0" t="n">
        <v>4</v>
      </c>
      <c r="D780" s="0" t="inlineStr">
        <is>
          <t>청원파크빌</t>
        </is>
      </c>
      <c r="E780" s="0" t="inlineStr">
        <is>
          <t>2003.08.</t>
        </is>
      </c>
      <c r="F780" s="0" t="n">
        <v>61</v>
      </c>
      <c r="G780" s="0" t="n">
        <v>31.91</v>
      </c>
      <c r="H780" s="0" t="n">
        <v>105.52</v>
      </c>
      <c r="I780" s="0" t="n">
        <v>25.67</v>
      </c>
      <c r="J780" s="0" t="n">
        <v>84.86</v>
      </c>
      <c r="K780" s="0" t="n">
        <v>12</v>
      </c>
      <c r="T780" s="0" t="n">
        <v>3</v>
      </c>
      <c r="U780" s="0" t="n">
        <v>2</v>
      </c>
      <c r="V780" s="0" t="inlineStr">
        <is>
          <t>계단식</t>
        </is>
      </c>
      <c r="W780" s="0" t="inlineStr">
        <is>
          <t>105C</t>
        </is>
      </c>
      <c r="X780" s="0" t="n">
        <v>13</v>
      </c>
      <c r="Y780" s="0" t="n">
        <v>12</v>
      </c>
      <c r="Z780" s="0" t="inlineStr">
        <is>
          <t>https://new.land.naver.com/complexes/11448?tab=detail&amp;rf=Y</t>
        </is>
      </c>
      <c r="AA780" s="0" t="inlineStr">
        <is>
          <t>서울시 강동구 둔촌동 90</t>
        </is>
      </c>
      <c r="AB780" s="0" t="inlineStr">
        <is>
          <t>서울시</t>
        </is>
      </c>
      <c r="AC780" s="0" t="inlineStr">
        <is>
          <t>강동구</t>
        </is>
      </c>
      <c r="AD780" s="0" t="inlineStr">
        <is>
          <t>둔촌동</t>
        </is>
      </c>
      <c r="AG780" s="0" t="inlineStr">
        <is>
          <t>서울시 강동구 명일로 143</t>
        </is>
      </c>
      <c r="AH780" s="0" t="n">
        <v>0</v>
      </c>
      <c r="AI780" s="0" t="n">
        <v>278</v>
      </c>
      <c r="AJ780" s="0" t="n">
        <v>25</v>
      </c>
      <c r="AK780" s="0" t="n">
        <v>77</v>
      </c>
      <c r="AL780" s="0" t="n">
        <v>1.26</v>
      </c>
    </row>
    <row r="781">
      <c r="A781" s="0" t="inlineStr">
        <is>
          <t>[둔촌동]</t>
        </is>
      </c>
      <c r="B781" s="0" t="n">
        <v>11448</v>
      </c>
      <c r="C781" s="0" t="n">
        <v>5</v>
      </c>
      <c r="D781" s="0" t="inlineStr">
        <is>
          <t>청원파크빌</t>
        </is>
      </c>
      <c r="E781" s="0" t="inlineStr">
        <is>
          <t>2003.08.</t>
        </is>
      </c>
      <c r="F781" s="0" t="n">
        <v>61</v>
      </c>
      <c r="G781" s="0" t="n">
        <v>40.82</v>
      </c>
      <c r="H781" s="0" t="n">
        <v>134.96</v>
      </c>
      <c r="I781" s="0" t="n">
        <v>33</v>
      </c>
      <c r="J781" s="0" t="n">
        <v>109.11</v>
      </c>
      <c r="K781" s="0" t="n">
        <v>10</v>
      </c>
      <c r="T781" s="0" t="n">
        <v>4</v>
      </c>
      <c r="U781" s="0" t="n">
        <v>2</v>
      </c>
      <c r="V781" s="0" t="inlineStr">
        <is>
          <t>계단식</t>
        </is>
      </c>
      <c r="W781" s="0" t="n">
        <v>134</v>
      </c>
      <c r="X781" s="0" t="n">
        <v>13</v>
      </c>
      <c r="Y781" s="0" t="n">
        <v>12</v>
      </c>
      <c r="Z781" s="0" t="inlineStr">
        <is>
          <t>https://new.land.naver.com/complexes/11448?tab=detail&amp;rf=Y</t>
        </is>
      </c>
      <c r="AA781" s="0" t="inlineStr">
        <is>
          <t>서울시 강동구 둔촌동 90</t>
        </is>
      </c>
      <c r="AB781" s="0" t="inlineStr">
        <is>
          <t>서울시</t>
        </is>
      </c>
      <c r="AC781" s="0" t="inlineStr">
        <is>
          <t>강동구</t>
        </is>
      </c>
      <c r="AD781" s="0" t="inlineStr">
        <is>
          <t>둔촌동</t>
        </is>
      </c>
      <c r="AG781" s="0" t="inlineStr">
        <is>
          <t>서울시 강동구 명일로 143</t>
        </is>
      </c>
      <c r="AH781" s="0" t="n">
        <v>0</v>
      </c>
      <c r="AI781" s="0" t="n">
        <v>278</v>
      </c>
      <c r="AJ781" s="0" t="n">
        <v>25</v>
      </c>
      <c r="AK781" s="0" t="n">
        <v>77</v>
      </c>
      <c r="AL781" s="0" t="n">
        <v>1.26</v>
      </c>
    </row>
    <row r="782">
      <c r="A782" s="0" t="inlineStr">
        <is>
          <t>[둔촌동]</t>
        </is>
      </c>
      <c r="B782" s="0" t="n">
        <v>26369</v>
      </c>
      <c r="C782" s="0" t="n">
        <v>1</v>
      </c>
      <c r="D782" s="0" t="inlineStr">
        <is>
          <t>태천해오름</t>
        </is>
      </c>
      <c r="E782" s="0" t="inlineStr">
        <is>
          <t>2003.07.</t>
        </is>
      </c>
      <c r="F782" s="0" t="n">
        <v>18</v>
      </c>
      <c r="G782" s="0" t="n">
        <v>25.39</v>
      </c>
      <c r="H782" s="0" t="n">
        <v>83.94</v>
      </c>
      <c r="I782" s="0" t="n">
        <v>20.82</v>
      </c>
      <c r="J782" s="0" t="n">
        <v>68.84999999999999</v>
      </c>
      <c r="K782" s="0" t="n">
        <v>1</v>
      </c>
      <c r="T782" s="0" t="n">
        <v>3</v>
      </c>
      <c r="U782" s="0" t="n">
        <v>2</v>
      </c>
      <c r="V782" s="0" t="inlineStr">
        <is>
          <t>계단식</t>
        </is>
      </c>
      <c r="W782" s="0" t="n">
        <v>83</v>
      </c>
      <c r="X782" s="0" t="n">
        <v>7</v>
      </c>
      <c r="Y782" s="0" t="n">
        <v>7</v>
      </c>
      <c r="Z782" s="0" t="inlineStr">
        <is>
          <t>https://new.land.naver.com/complexes/26369?tab=detail&amp;rf=Y</t>
        </is>
      </c>
      <c r="AA782" s="0" t="inlineStr">
        <is>
          <t>서울시 강동구 둔촌동 425-3</t>
        </is>
      </c>
      <c r="AB782" s="0" t="inlineStr">
        <is>
          <t>서울시</t>
        </is>
      </c>
      <c r="AC782" s="0" t="inlineStr">
        <is>
          <t>강동구</t>
        </is>
      </c>
      <c r="AD782" s="0" t="inlineStr">
        <is>
          <t>둔촌동</t>
        </is>
      </c>
      <c r="AG782" s="0" t="inlineStr">
        <is>
          <t>서울시 강동구 천호대로182길 12-6</t>
        </is>
      </c>
      <c r="AH782" s="0" t="n">
        <v>0</v>
      </c>
      <c r="AI782" s="0" t="n">
        <v>201</v>
      </c>
      <c r="AJ782" s="0" t="n">
        <v>35</v>
      </c>
      <c r="AK782" s="0" t="n">
        <v>20</v>
      </c>
      <c r="AL782" s="0" t="n">
        <v>1.11</v>
      </c>
    </row>
    <row r="783">
      <c r="A783" s="0" t="inlineStr">
        <is>
          <t>[둔촌동]</t>
        </is>
      </c>
      <c r="B783" s="0" t="n">
        <v>26369</v>
      </c>
      <c r="C783" s="0" t="n">
        <v>2</v>
      </c>
      <c r="D783" s="0" t="inlineStr">
        <is>
          <t>태천해오름</t>
        </is>
      </c>
      <c r="E783" s="0" t="inlineStr">
        <is>
          <t>2003.07.</t>
        </is>
      </c>
      <c r="F783" s="0" t="n">
        <v>18</v>
      </c>
      <c r="G783" s="0" t="n">
        <v>25.69</v>
      </c>
      <c r="H783" s="0" t="n">
        <v>84.94</v>
      </c>
      <c r="I783" s="0" t="n">
        <v>21.07</v>
      </c>
      <c r="J783" s="0" t="n">
        <v>69.68000000000001</v>
      </c>
      <c r="K783" s="0" t="n">
        <v>1</v>
      </c>
      <c r="T783" s="0" t="n">
        <v>3</v>
      </c>
      <c r="U783" s="0" t="n">
        <v>2</v>
      </c>
      <c r="V783" s="0" t="inlineStr">
        <is>
          <t>계단식</t>
        </is>
      </c>
      <c r="W783" s="0" t="n">
        <v>84</v>
      </c>
      <c r="X783" s="0" t="n">
        <v>7</v>
      </c>
      <c r="Y783" s="0" t="n">
        <v>7</v>
      </c>
      <c r="Z783" s="0" t="inlineStr">
        <is>
          <t>https://new.land.naver.com/complexes/26369?tab=detail&amp;rf=Y</t>
        </is>
      </c>
      <c r="AA783" s="0" t="inlineStr">
        <is>
          <t>서울시 강동구 둔촌동 425-3</t>
        </is>
      </c>
      <c r="AB783" s="0" t="inlineStr">
        <is>
          <t>서울시</t>
        </is>
      </c>
      <c r="AC783" s="0" t="inlineStr">
        <is>
          <t>강동구</t>
        </is>
      </c>
      <c r="AD783" s="0" t="inlineStr">
        <is>
          <t>둔촌동</t>
        </is>
      </c>
      <c r="AG783" s="0" t="inlineStr">
        <is>
          <t>서울시 강동구 천호대로182길 12-6</t>
        </is>
      </c>
      <c r="AH783" s="0" t="n">
        <v>0</v>
      </c>
      <c r="AI783" s="0" t="n">
        <v>201</v>
      </c>
      <c r="AJ783" s="0" t="n">
        <v>35</v>
      </c>
      <c r="AK783" s="0" t="n">
        <v>20</v>
      </c>
      <c r="AL783" s="0" t="n">
        <v>1.11</v>
      </c>
    </row>
    <row r="784">
      <c r="A784" s="0" t="inlineStr">
        <is>
          <t>[둔촌동]</t>
        </is>
      </c>
      <c r="B784" s="0" t="n">
        <v>26369</v>
      </c>
      <c r="C784" s="0" t="n">
        <v>3</v>
      </c>
      <c r="D784" s="0" t="inlineStr">
        <is>
          <t>태천해오름</t>
        </is>
      </c>
      <c r="E784" s="0" t="inlineStr">
        <is>
          <t>2003.07.</t>
        </is>
      </c>
      <c r="F784" s="0" t="n">
        <v>18</v>
      </c>
      <c r="G784" s="0" t="n">
        <v>27.72</v>
      </c>
      <c r="H784" s="0" t="n">
        <v>91.66</v>
      </c>
      <c r="I784" s="0" t="n">
        <v>22.74</v>
      </c>
      <c r="J784" s="0" t="n">
        <v>75.18000000000001</v>
      </c>
      <c r="K784" s="0" t="n">
        <v>5</v>
      </c>
      <c r="T784" s="0" t="n">
        <v>3</v>
      </c>
      <c r="U784" s="0" t="n">
        <v>2</v>
      </c>
      <c r="V784" s="0" t="inlineStr">
        <is>
          <t>계단식</t>
        </is>
      </c>
      <c r="W784" s="0" t="n">
        <v>91</v>
      </c>
      <c r="X784" s="0" t="n">
        <v>7</v>
      </c>
      <c r="Y784" s="0" t="n">
        <v>7</v>
      </c>
      <c r="Z784" s="0" t="inlineStr">
        <is>
          <t>https://new.land.naver.com/complexes/26369?tab=detail&amp;rf=Y</t>
        </is>
      </c>
      <c r="AA784" s="0" t="inlineStr">
        <is>
          <t>서울시 강동구 둔촌동 425-3</t>
        </is>
      </c>
      <c r="AB784" s="0" t="inlineStr">
        <is>
          <t>서울시</t>
        </is>
      </c>
      <c r="AC784" s="0" t="inlineStr">
        <is>
          <t>강동구</t>
        </is>
      </c>
      <c r="AD784" s="0" t="inlineStr">
        <is>
          <t>둔촌동</t>
        </is>
      </c>
      <c r="AG784" s="0" t="inlineStr">
        <is>
          <t>서울시 강동구 천호대로182길 12-6</t>
        </is>
      </c>
      <c r="AH784" s="0" t="n">
        <v>0</v>
      </c>
      <c r="AI784" s="0" t="n">
        <v>201</v>
      </c>
      <c r="AJ784" s="0" t="n">
        <v>35</v>
      </c>
      <c r="AK784" s="0" t="n">
        <v>20</v>
      </c>
      <c r="AL784" s="0" t="n">
        <v>1.11</v>
      </c>
    </row>
    <row r="785">
      <c r="A785" s="0" t="inlineStr">
        <is>
          <t>[둔촌동]</t>
        </is>
      </c>
      <c r="B785" s="0" t="n">
        <v>26369</v>
      </c>
      <c r="C785" s="0" t="n">
        <v>4</v>
      </c>
      <c r="D785" s="0" t="inlineStr">
        <is>
          <t>태천해오름</t>
        </is>
      </c>
      <c r="E785" s="0" t="inlineStr">
        <is>
          <t>2003.07.</t>
        </is>
      </c>
      <c r="F785" s="0" t="n">
        <v>18</v>
      </c>
      <c r="G785" s="0" t="n">
        <v>29.66</v>
      </c>
      <c r="H785" s="0" t="n">
        <v>98.05</v>
      </c>
      <c r="I785" s="0" t="n">
        <v>24.33</v>
      </c>
      <c r="J785" s="0" t="n">
        <v>80.43000000000001</v>
      </c>
      <c r="K785" s="0" t="n">
        <v>1</v>
      </c>
      <c r="T785" s="0" t="n">
        <v>3</v>
      </c>
      <c r="U785" s="0" t="n">
        <v>2</v>
      </c>
      <c r="V785" s="0" t="inlineStr">
        <is>
          <t>계단식</t>
        </is>
      </c>
      <c r="W785" s="0" t="inlineStr">
        <is>
          <t>98A</t>
        </is>
      </c>
      <c r="X785" s="0" t="n">
        <v>7</v>
      </c>
      <c r="Y785" s="0" t="n">
        <v>7</v>
      </c>
      <c r="Z785" s="0" t="inlineStr">
        <is>
          <t>https://new.land.naver.com/complexes/26369?tab=detail&amp;rf=Y</t>
        </is>
      </c>
      <c r="AA785" s="0" t="inlineStr">
        <is>
          <t>서울시 강동구 둔촌동 425-3</t>
        </is>
      </c>
      <c r="AB785" s="0" t="inlineStr">
        <is>
          <t>서울시</t>
        </is>
      </c>
      <c r="AC785" s="0" t="inlineStr">
        <is>
          <t>강동구</t>
        </is>
      </c>
      <c r="AD785" s="0" t="inlineStr">
        <is>
          <t>둔촌동</t>
        </is>
      </c>
      <c r="AG785" s="0" t="inlineStr">
        <is>
          <t>서울시 강동구 천호대로182길 12-6</t>
        </is>
      </c>
      <c r="AH785" s="0" t="n">
        <v>0</v>
      </c>
      <c r="AI785" s="0" t="n">
        <v>201</v>
      </c>
      <c r="AJ785" s="0" t="n">
        <v>35</v>
      </c>
      <c r="AK785" s="0" t="n">
        <v>20</v>
      </c>
      <c r="AL785" s="0" t="n">
        <v>1.11</v>
      </c>
    </row>
    <row r="786">
      <c r="A786" s="0" t="inlineStr">
        <is>
          <t>[둔촌동]</t>
        </is>
      </c>
      <c r="B786" s="0" t="n">
        <v>26369</v>
      </c>
      <c r="C786" s="0" t="n">
        <v>5</v>
      </c>
      <c r="D786" s="0" t="inlineStr">
        <is>
          <t>태천해오름</t>
        </is>
      </c>
      <c r="E786" s="0" t="inlineStr">
        <is>
          <t>2003.07.</t>
        </is>
      </c>
      <c r="F786" s="0" t="n">
        <v>18</v>
      </c>
      <c r="G786" s="0" t="n">
        <v>30.02</v>
      </c>
      <c r="H786" s="0" t="n">
        <v>99.26000000000001</v>
      </c>
      <c r="I786" s="0" t="n">
        <v>24.62</v>
      </c>
      <c r="J786" s="0" t="n">
        <v>81.42</v>
      </c>
      <c r="K786" s="0" t="n">
        <v>5</v>
      </c>
      <c r="T786" s="0" t="n">
        <v>3</v>
      </c>
      <c r="U786" s="0" t="n">
        <v>2</v>
      </c>
      <c r="V786" s="0" t="inlineStr">
        <is>
          <t>계단식</t>
        </is>
      </c>
      <c r="W786" s="0" t="inlineStr">
        <is>
          <t>99B</t>
        </is>
      </c>
      <c r="X786" s="0" t="n">
        <v>7</v>
      </c>
      <c r="Y786" s="0" t="n">
        <v>7</v>
      </c>
      <c r="Z786" s="0" t="inlineStr">
        <is>
          <t>https://new.land.naver.com/complexes/26369?tab=detail&amp;rf=Y</t>
        </is>
      </c>
      <c r="AA786" s="0" t="inlineStr">
        <is>
          <t>서울시 강동구 둔촌동 425-3</t>
        </is>
      </c>
      <c r="AB786" s="0" t="inlineStr">
        <is>
          <t>서울시</t>
        </is>
      </c>
      <c r="AC786" s="0" t="inlineStr">
        <is>
          <t>강동구</t>
        </is>
      </c>
      <c r="AD786" s="0" t="inlineStr">
        <is>
          <t>둔촌동</t>
        </is>
      </c>
      <c r="AG786" s="0" t="inlineStr">
        <is>
          <t>서울시 강동구 천호대로182길 12-6</t>
        </is>
      </c>
      <c r="AH786" s="0" t="n">
        <v>0</v>
      </c>
      <c r="AI786" s="0" t="n">
        <v>201</v>
      </c>
      <c r="AJ786" s="0" t="n">
        <v>35</v>
      </c>
      <c r="AK786" s="0" t="n">
        <v>20</v>
      </c>
      <c r="AL786" s="0" t="n">
        <v>1.11</v>
      </c>
    </row>
    <row r="787">
      <c r="A787" s="0" t="inlineStr">
        <is>
          <t>[둔촌동]</t>
        </is>
      </c>
      <c r="B787" s="0" t="n">
        <v>26369</v>
      </c>
      <c r="C787" s="0" t="n">
        <v>6</v>
      </c>
      <c r="D787" s="0" t="inlineStr">
        <is>
          <t>태천해오름</t>
        </is>
      </c>
      <c r="E787" s="0" t="inlineStr">
        <is>
          <t>2003.07.</t>
        </is>
      </c>
      <c r="F787" s="0" t="n">
        <v>18</v>
      </c>
      <c r="G787" s="0" t="n">
        <v>31.32</v>
      </c>
      <c r="H787" s="0" t="n">
        <v>103.57</v>
      </c>
      <c r="I787" s="0" t="n">
        <v>25.69</v>
      </c>
      <c r="J787" s="0" t="n">
        <v>84.95</v>
      </c>
      <c r="K787" s="0" t="n">
        <v>5</v>
      </c>
      <c r="T787" s="0" t="n">
        <v>3</v>
      </c>
      <c r="U787" s="0" t="n">
        <v>2</v>
      </c>
      <c r="V787" s="0" t="inlineStr">
        <is>
          <t>계단식</t>
        </is>
      </c>
      <c r="W787" s="0" t="n">
        <v>103</v>
      </c>
      <c r="X787" s="0" t="n">
        <v>7</v>
      </c>
      <c r="Y787" s="0" t="n">
        <v>7</v>
      </c>
      <c r="Z787" s="0" t="inlineStr">
        <is>
          <t>https://new.land.naver.com/complexes/26369?tab=detail&amp;rf=Y</t>
        </is>
      </c>
      <c r="AA787" s="0" t="inlineStr">
        <is>
          <t>서울시 강동구 둔촌동 425-3</t>
        </is>
      </c>
      <c r="AB787" s="0" t="inlineStr">
        <is>
          <t>서울시</t>
        </is>
      </c>
      <c r="AC787" s="0" t="inlineStr">
        <is>
          <t>강동구</t>
        </is>
      </c>
      <c r="AD787" s="0" t="inlineStr">
        <is>
          <t>둔촌동</t>
        </is>
      </c>
      <c r="AG787" s="0" t="inlineStr">
        <is>
          <t>서울시 강동구 천호대로182길 12-6</t>
        </is>
      </c>
      <c r="AH787" s="0" t="n">
        <v>0</v>
      </c>
      <c r="AI787" s="0" t="n">
        <v>201</v>
      </c>
      <c r="AJ787" s="0" t="n">
        <v>35</v>
      </c>
      <c r="AK787" s="0" t="n">
        <v>20</v>
      </c>
      <c r="AL787" s="0" t="n">
        <v>1.11</v>
      </c>
    </row>
    <row r="788">
      <c r="A788" s="0" t="inlineStr">
        <is>
          <t>[둔촌동]</t>
        </is>
      </c>
      <c r="B788" s="0" t="n">
        <v>3317</v>
      </c>
      <c r="C788" s="0" t="n">
        <v>1</v>
      </c>
      <c r="D788" s="0" t="inlineStr">
        <is>
          <t>둔촌신동아(파밀리에)</t>
        </is>
      </c>
      <c r="E788" s="0" t="inlineStr">
        <is>
          <t>2002.11.</t>
        </is>
      </c>
      <c r="F788" s="0" t="n">
        <v>357</v>
      </c>
      <c r="G788" s="0" t="n">
        <v>25.66</v>
      </c>
      <c r="H788" s="0" t="n">
        <v>84.84999999999999</v>
      </c>
      <c r="I788" s="0" t="n">
        <v>17.69</v>
      </c>
      <c r="J788" s="0" t="n">
        <v>58.5</v>
      </c>
      <c r="K788" s="0" t="n">
        <v>13</v>
      </c>
      <c r="T788" s="0" t="n">
        <v>3</v>
      </c>
      <c r="U788" s="0" t="n">
        <v>1</v>
      </c>
      <c r="V788" s="0" t="inlineStr">
        <is>
          <t>복도식</t>
        </is>
      </c>
      <c r="W788" s="0" t="inlineStr">
        <is>
          <t>84A</t>
        </is>
      </c>
      <c r="X788" s="0" t="n">
        <v>25</v>
      </c>
      <c r="Y788" s="0" t="n">
        <v>9</v>
      </c>
      <c r="Z788" s="0" t="inlineStr">
        <is>
          <t>https://new.land.naver.com/complexes/3317?tab=detail&amp;rf=Y</t>
        </is>
      </c>
      <c r="AA788" s="0" t="inlineStr">
        <is>
          <t>서울시 강동구 둔촌동 555</t>
        </is>
      </c>
      <c r="AB788" s="0" t="inlineStr">
        <is>
          <t>서울시</t>
        </is>
      </c>
      <c r="AC788" s="0" t="inlineStr">
        <is>
          <t>강동구</t>
        </is>
      </c>
      <c r="AD788" s="0" t="inlineStr">
        <is>
          <t>둔촌동</t>
        </is>
      </c>
      <c r="AG788" s="0" t="inlineStr">
        <is>
          <t>서울시 강동구 양재대로96길 79</t>
        </is>
      </c>
      <c r="AH788" s="0" t="n">
        <v>0</v>
      </c>
      <c r="AI788" s="0" t="n">
        <v>340</v>
      </c>
      <c r="AJ788" s="0" t="n">
        <v>27</v>
      </c>
      <c r="AK788" s="0" t="n">
        <v>400</v>
      </c>
      <c r="AL788" s="0" t="n">
        <v>1.12</v>
      </c>
    </row>
    <row r="789">
      <c r="A789" s="0" t="inlineStr">
        <is>
          <t>[둔촌동]</t>
        </is>
      </c>
      <c r="B789" s="0" t="n">
        <v>3317</v>
      </c>
      <c r="C789" s="0" t="n">
        <v>2</v>
      </c>
      <c r="D789" s="0" t="inlineStr">
        <is>
          <t>둔촌신동아(파밀리에)</t>
        </is>
      </c>
      <c r="E789" s="0" t="inlineStr">
        <is>
          <t>2002.11.</t>
        </is>
      </c>
      <c r="F789" s="0" t="n">
        <v>357</v>
      </c>
      <c r="G789" s="0" t="n">
        <v>25.79</v>
      </c>
      <c r="H789" s="0" t="n">
        <v>85.28</v>
      </c>
      <c r="I789" s="0" t="n">
        <v>17.8</v>
      </c>
      <c r="J789" s="0" t="n">
        <v>58.87</v>
      </c>
      <c r="K789" s="0" t="n">
        <v>20</v>
      </c>
      <c r="T789" s="0" t="n">
        <v>3</v>
      </c>
      <c r="U789" s="0" t="n">
        <v>1</v>
      </c>
      <c r="V789" s="0" t="inlineStr">
        <is>
          <t>복도식</t>
        </is>
      </c>
      <c r="W789" s="0" t="inlineStr">
        <is>
          <t>85C</t>
        </is>
      </c>
      <c r="X789" s="0" t="n">
        <v>25</v>
      </c>
      <c r="Y789" s="0" t="n">
        <v>9</v>
      </c>
      <c r="Z789" s="0" t="inlineStr">
        <is>
          <t>https://new.land.naver.com/complexes/3317?tab=detail&amp;rf=Y</t>
        </is>
      </c>
      <c r="AA789" s="0" t="inlineStr">
        <is>
          <t>서울시 강동구 둔촌동 555</t>
        </is>
      </c>
      <c r="AB789" s="0" t="inlineStr">
        <is>
          <t>서울시</t>
        </is>
      </c>
      <c r="AC789" s="0" t="inlineStr">
        <is>
          <t>강동구</t>
        </is>
      </c>
      <c r="AD789" s="0" t="inlineStr">
        <is>
          <t>둔촌동</t>
        </is>
      </c>
      <c r="AG789" s="0" t="inlineStr">
        <is>
          <t>서울시 강동구 양재대로96길 79</t>
        </is>
      </c>
      <c r="AH789" s="0" t="n">
        <v>0</v>
      </c>
      <c r="AI789" s="0" t="n">
        <v>340</v>
      </c>
      <c r="AJ789" s="0" t="n">
        <v>27</v>
      </c>
      <c r="AK789" s="0" t="n">
        <v>400</v>
      </c>
      <c r="AL789" s="0" t="n">
        <v>1.12</v>
      </c>
    </row>
    <row r="790">
      <c r="A790" s="0" t="inlineStr">
        <is>
          <t>[둔촌동]</t>
        </is>
      </c>
      <c r="B790" s="0" t="n">
        <v>3317</v>
      </c>
      <c r="C790" s="0" t="n">
        <v>3</v>
      </c>
      <c r="D790" s="0" t="inlineStr">
        <is>
          <t>둔촌신동아(파밀리에)</t>
        </is>
      </c>
      <c r="E790" s="0" t="inlineStr">
        <is>
          <t>2002.11.</t>
        </is>
      </c>
      <c r="F790" s="0" t="n">
        <v>357</v>
      </c>
      <c r="G790" s="0" t="n">
        <v>25.74</v>
      </c>
      <c r="H790" s="0" t="n">
        <v>85.09999999999999</v>
      </c>
      <c r="I790" s="0" t="n">
        <v>17.77</v>
      </c>
      <c r="J790" s="0" t="n">
        <v>58.75</v>
      </c>
      <c r="K790" s="0" t="n">
        <v>5</v>
      </c>
      <c r="T790" s="0" t="n">
        <v>3</v>
      </c>
      <c r="U790" s="0" t="n">
        <v>1</v>
      </c>
      <c r="V790" s="0" t="inlineStr">
        <is>
          <t>복도식</t>
        </is>
      </c>
      <c r="W790" s="0" t="inlineStr">
        <is>
          <t>85B</t>
        </is>
      </c>
      <c r="X790" s="0" t="n">
        <v>25</v>
      </c>
      <c r="Y790" s="0" t="n">
        <v>9</v>
      </c>
      <c r="Z790" s="0" t="inlineStr">
        <is>
          <t>https://new.land.naver.com/complexes/3317?tab=detail&amp;rf=Y</t>
        </is>
      </c>
      <c r="AA790" s="0" t="inlineStr">
        <is>
          <t>서울시 강동구 둔촌동 555</t>
        </is>
      </c>
      <c r="AB790" s="0" t="inlineStr">
        <is>
          <t>서울시</t>
        </is>
      </c>
      <c r="AC790" s="0" t="inlineStr">
        <is>
          <t>강동구</t>
        </is>
      </c>
      <c r="AD790" s="0" t="inlineStr">
        <is>
          <t>둔촌동</t>
        </is>
      </c>
      <c r="AG790" s="0" t="inlineStr">
        <is>
          <t>서울시 강동구 양재대로96길 79</t>
        </is>
      </c>
      <c r="AH790" s="0" t="n">
        <v>0</v>
      </c>
      <c r="AI790" s="0" t="n">
        <v>340</v>
      </c>
      <c r="AJ790" s="0" t="n">
        <v>27</v>
      </c>
      <c r="AK790" s="0" t="n">
        <v>400</v>
      </c>
      <c r="AL790" s="0" t="n">
        <v>1.12</v>
      </c>
    </row>
    <row r="791">
      <c r="A791" s="0" t="inlineStr">
        <is>
          <t>[둔촌동]</t>
        </is>
      </c>
      <c r="B791" s="0" t="n">
        <v>3317</v>
      </c>
      <c r="C791" s="0" t="n">
        <v>4</v>
      </c>
      <c r="D791" s="0" t="inlineStr">
        <is>
          <t>둔촌신동아(파밀리에)</t>
        </is>
      </c>
      <c r="E791" s="0" t="inlineStr">
        <is>
          <t>2002.11.</t>
        </is>
      </c>
      <c r="F791" s="0" t="n">
        <v>357</v>
      </c>
      <c r="G791" s="0" t="n">
        <v>26.02</v>
      </c>
      <c r="H791" s="0" t="n">
        <v>86.04000000000001</v>
      </c>
      <c r="I791" s="0" t="n">
        <v>17.96</v>
      </c>
      <c r="J791" s="0" t="n">
        <v>59.4</v>
      </c>
      <c r="K791" s="0" t="n">
        <v>111</v>
      </c>
      <c r="T791" s="0" t="n">
        <v>3</v>
      </c>
      <c r="U791" s="0" t="n">
        <v>1</v>
      </c>
      <c r="V791" s="0" t="inlineStr">
        <is>
          <t>복도식</t>
        </is>
      </c>
      <c r="W791" s="0" t="inlineStr">
        <is>
          <t>86D</t>
        </is>
      </c>
      <c r="X791" s="0" t="n">
        <v>25</v>
      </c>
      <c r="Y791" s="0" t="n">
        <v>9</v>
      </c>
      <c r="Z791" s="0" t="inlineStr">
        <is>
          <t>https://new.land.naver.com/complexes/3317?tab=detail&amp;rf=Y</t>
        </is>
      </c>
      <c r="AA791" s="0" t="inlineStr">
        <is>
          <t>서울시 강동구 둔촌동 555</t>
        </is>
      </c>
      <c r="AB791" s="0" t="inlineStr">
        <is>
          <t>서울시</t>
        </is>
      </c>
      <c r="AC791" s="0" t="inlineStr">
        <is>
          <t>강동구</t>
        </is>
      </c>
      <c r="AD791" s="0" t="inlineStr">
        <is>
          <t>둔촌동</t>
        </is>
      </c>
      <c r="AG791" s="0" t="inlineStr">
        <is>
          <t>서울시 강동구 양재대로96길 79</t>
        </is>
      </c>
      <c r="AH791" s="0" t="n">
        <v>0</v>
      </c>
      <c r="AI791" s="0" t="n">
        <v>340</v>
      </c>
      <c r="AJ791" s="0" t="n">
        <v>27</v>
      </c>
      <c r="AK791" s="0" t="n">
        <v>400</v>
      </c>
      <c r="AL791" s="0" t="n">
        <v>1.12</v>
      </c>
    </row>
    <row r="792">
      <c r="A792" s="0" t="inlineStr">
        <is>
          <t>[둔촌동]</t>
        </is>
      </c>
      <c r="B792" s="0" t="n">
        <v>3317</v>
      </c>
      <c r="C792" s="0" t="n">
        <v>5</v>
      </c>
      <c r="D792" s="0" t="inlineStr">
        <is>
          <t>둔촌신동아(파밀리에)</t>
        </is>
      </c>
      <c r="E792" s="0" t="inlineStr">
        <is>
          <t>2002.11.</t>
        </is>
      </c>
      <c r="F792" s="0" t="n">
        <v>357</v>
      </c>
      <c r="G792" s="0" t="n">
        <v>30.42</v>
      </c>
      <c r="H792" s="0" t="n">
        <v>100.58</v>
      </c>
      <c r="I792" s="0" t="n">
        <v>20.01</v>
      </c>
      <c r="J792" s="0" t="n">
        <v>66.15000000000001</v>
      </c>
      <c r="K792" s="0" t="n">
        <v>3</v>
      </c>
      <c r="T792" s="0" t="n">
        <v>3</v>
      </c>
      <c r="U792" s="0" t="n">
        <v>2</v>
      </c>
      <c r="V792" s="0" t="inlineStr">
        <is>
          <t>복도식</t>
        </is>
      </c>
      <c r="W792" s="0" t="n">
        <v>100</v>
      </c>
      <c r="X792" s="0" t="n">
        <v>25</v>
      </c>
      <c r="Y792" s="0" t="n">
        <v>9</v>
      </c>
      <c r="Z792" s="0" t="inlineStr">
        <is>
          <t>https://new.land.naver.com/complexes/3317?tab=detail&amp;rf=Y</t>
        </is>
      </c>
      <c r="AA792" s="0" t="inlineStr">
        <is>
          <t>서울시 강동구 둔촌동 555</t>
        </is>
      </c>
      <c r="AB792" s="0" t="inlineStr">
        <is>
          <t>서울시</t>
        </is>
      </c>
      <c r="AC792" s="0" t="inlineStr">
        <is>
          <t>강동구</t>
        </is>
      </c>
      <c r="AD792" s="0" t="inlineStr">
        <is>
          <t>둔촌동</t>
        </is>
      </c>
      <c r="AG792" s="0" t="inlineStr">
        <is>
          <t>서울시 강동구 양재대로96길 79</t>
        </is>
      </c>
      <c r="AH792" s="0" t="n">
        <v>0</v>
      </c>
      <c r="AI792" s="0" t="n">
        <v>340</v>
      </c>
      <c r="AJ792" s="0" t="n">
        <v>27</v>
      </c>
      <c r="AK792" s="0" t="n">
        <v>400</v>
      </c>
      <c r="AL792" s="0" t="n">
        <v>1.12</v>
      </c>
    </row>
    <row r="793">
      <c r="A793" s="0" t="inlineStr">
        <is>
          <t>[둔촌동]</t>
        </is>
      </c>
      <c r="B793" s="0" t="n">
        <v>3317</v>
      </c>
      <c r="C793" s="0" t="n">
        <v>6</v>
      </c>
      <c r="D793" s="0" t="inlineStr">
        <is>
          <t>둔촌신동아(파밀리에)</t>
        </is>
      </c>
      <c r="E793" s="0" t="inlineStr">
        <is>
          <t>2002.11.</t>
        </is>
      </c>
      <c r="F793" s="0" t="n">
        <v>357</v>
      </c>
      <c r="G793" s="0" t="n">
        <v>30.79</v>
      </c>
      <c r="H793" s="0" t="n">
        <v>101.8</v>
      </c>
      <c r="I793" s="0" t="n">
        <v>20.25</v>
      </c>
      <c r="J793" s="0" t="n">
        <v>66.95999999999999</v>
      </c>
      <c r="K793" s="0" t="n">
        <v>47</v>
      </c>
      <c r="T793" s="0" t="n">
        <v>3</v>
      </c>
      <c r="U793" s="0" t="n">
        <v>2</v>
      </c>
      <c r="V793" s="0" t="inlineStr">
        <is>
          <t>복도식</t>
        </is>
      </c>
      <c r="W793" s="0" t="n">
        <v>101</v>
      </c>
      <c r="X793" s="0" t="n">
        <v>25</v>
      </c>
      <c r="Y793" s="0" t="n">
        <v>9</v>
      </c>
      <c r="Z793" s="0" t="inlineStr">
        <is>
          <t>https://new.land.naver.com/complexes/3317?tab=detail&amp;rf=Y</t>
        </is>
      </c>
      <c r="AA793" s="0" t="inlineStr">
        <is>
          <t>서울시 강동구 둔촌동 555</t>
        </is>
      </c>
      <c r="AB793" s="0" t="inlineStr">
        <is>
          <t>서울시</t>
        </is>
      </c>
      <c r="AC793" s="0" t="inlineStr">
        <is>
          <t>강동구</t>
        </is>
      </c>
      <c r="AD793" s="0" t="inlineStr">
        <is>
          <t>둔촌동</t>
        </is>
      </c>
      <c r="AG793" s="0" t="inlineStr">
        <is>
          <t>서울시 강동구 양재대로96길 79</t>
        </is>
      </c>
      <c r="AH793" s="0" t="n">
        <v>0</v>
      </c>
      <c r="AI793" s="0" t="n">
        <v>340</v>
      </c>
      <c r="AJ793" s="0" t="n">
        <v>27</v>
      </c>
      <c r="AK793" s="0" t="n">
        <v>400</v>
      </c>
      <c r="AL793" s="0" t="n">
        <v>1.12</v>
      </c>
    </row>
    <row r="794">
      <c r="A794" s="0" t="inlineStr">
        <is>
          <t>[둔촌동]</t>
        </is>
      </c>
      <c r="B794" s="0" t="n">
        <v>3317</v>
      </c>
      <c r="C794" s="0" t="n">
        <v>7</v>
      </c>
      <c r="D794" s="0" t="inlineStr">
        <is>
          <t>둔촌신동아(파밀리에)</t>
        </is>
      </c>
      <c r="E794" s="0" t="inlineStr">
        <is>
          <t>2002.11.</t>
        </is>
      </c>
      <c r="F794" s="0" t="n">
        <v>357</v>
      </c>
      <c r="G794" s="0" t="n">
        <v>31.92</v>
      </c>
      <c r="H794" s="0" t="n">
        <v>105.55</v>
      </c>
      <c r="I794" s="0" t="n">
        <v>25.62</v>
      </c>
      <c r="J794" s="0" t="n">
        <v>84.72</v>
      </c>
      <c r="K794" s="0" t="n">
        <v>27</v>
      </c>
      <c r="T794" s="0" t="n">
        <v>3</v>
      </c>
      <c r="U794" s="0" t="n">
        <v>2</v>
      </c>
      <c r="V794" s="0" t="inlineStr">
        <is>
          <t>복도식</t>
        </is>
      </c>
      <c r="W794" s="0" t="n">
        <v>105</v>
      </c>
      <c r="X794" s="0" t="n">
        <v>25</v>
      </c>
      <c r="Y794" s="0" t="n">
        <v>9</v>
      </c>
      <c r="Z794" s="0" t="inlineStr">
        <is>
          <t>https://new.land.naver.com/complexes/3317?tab=detail&amp;rf=Y</t>
        </is>
      </c>
      <c r="AA794" s="0" t="inlineStr">
        <is>
          <t>서울시 강동구 둔촌동 555</t>
        </is>
      </c>
      <c r="AB794" s="0" t="inlineStr">
        <is>
          <t>서울시</t>
        </is>
      </c>
      <c r="AC794" s="0" t="inlineStr">
        <is>
          <t>강동구</t>
        </is>
      </c>
      <c r="AD794" s="0" t="inlineStr">
        <is>
          <t>둔촌동</t>
        </is>
      </c>
      <c r="AG794" s="0" t="inlineStr">
        <is>
          <t>서울시 강동구 양재대로96길 79</t>
        </is>
      </c>
      <c r="AH794" s="0" t="n">
        <v>0</v>
      </c>
      <c r="AI794" s="0" t="n">
        <v>340</v>
      </c>
      <c r="AJ794" s="0" t="n">
        <v>27</v>
      </c>
      <c r="AK794" s="0" t="n">
        <v>400</v>
      </c>
      <c r="AL794" s="0" t="n">
        <v>1.12</v>
      </c>
    </row>
    <row r="795">
      <c r="A795" s="0" t="inlineStr">
        <is>
          <t>[둔촌동]</t>
        </is>
      </c>
      <c r="B795" s="0" t="n">
        <v>3317</v>
      </c>
      <c r="C795" s="0" t="n">
        <v>8</v>
      </c>
      <c r="D795" s="0" t="inlineStr">
        <is>
          <t>둔촌신동아(파밀리에)</t>
        </is>
      </c>
      <c r="E795" s="0" t="inlineStr">
        <is>
          <t>2002.11.</t>
        </is>
      </c>
      <c r="F795" s="0" t="n">
        <v>357</v>
      </c>
      <c r="G795" s="0" t="n">
        <v>33.19</v>
      </c>
      <c r="H795" s="0" t="n">
        <v>109.74</v>
      </c>
      <c r="I795" s="0" t="n">
        <v>25.45</v>
      </c>
      <c r="J795" s="0" t="n">
        <v>84.16</v>
      </c>
      <c r="K795" s="0" t="n">
        <v>17</v>
      </c>
      <c r="T795" s="0" t="n">
        <v>3</v>
      </c>
      <c r="U795" s="0" t="n">
        <v>2</v>
      </c>
      <c r="V795" s="0" t="inlineStr">
        <is>
          <t>계단식</t>
        </is>
      </c>
      <c r="W795" s="0" t="inlineStr">
        <is>
          <t>109B</t>
        </is>
      </c>
      <c r="X795" s="0" t="n">
        <v>25</v>
      </c>
      <c r="Y795" s="0" t="n">
        <v>9</v>
      </c>
      <c r="Z795" s="0" t="inlineStr">
        <is>
          <t>https://new.land.naver.com/complexes/3317?tab=detail&amp;rf=Y</t>
        </is>
      </c>
      <c r="AA795" s="0" t="inlineStr">
        <is>
          <t>서울시 강동구 둔촌동 555</t>
        </is>
      </c>
      <c r="AB795" s="0" t="inlineStr">
        <is>
          <t>서울시</t>
        </is>
      </c>
      <c r="AC795" s="0" t="inlineStr">
        <is>
          <t>강동구</t>
        </is>
      </c>
      <c r="AD795" s="0" t="inlineStr">
        <is>
          <t>둔촌동</t>
        </is>
      </c>
      <c r="AG795" s="0" t="inlineStr">
        <is>
          <t>서울시 강동구 양재대로96길 79</t>
        </is>
      </c>
      <c r="AH795" s="0" t="n">
        <v>0</v>
      </c>
      <c r="AI795" s="0" t="n">
        <v>340</v>
      </c>
      <c r="AJ795" s="0" t="n">
        <v>27</v>
      </c>
      <c r="AK795" s="0" t="n">
        <v>400</v>
      </c>
      <c r="AL795" s="0" t="n">
        <v>1.12</v>
      </c>
    </row>
    <row r="796">
      <c r="A796" s="0" t="inlineStr">
        <is>
          <t>[둔촌동]</t>
        </is>
      </c>
      <c r="B796" s="0" t="n">
        <v>3317</v>
      </c>
      <c r="C796" s="0" t="n">
        <v>9</v>
      </c>
      <c r="D796" s="0" t="inlineStr">
        <is>
          <t>둔촌신동아(파밀리에)</t>
        </is>
      </c>
      <c r="E796" s="0" t="inlineStr">
        <is>
          <t>2002.11.</t>
        </is>
      </c>
      <c r="F796" s="0" t="n">
        <v>357</v>
      </c>
      <c r="G796" s="0" t="n">
        <v>33.12</v>
      </c>
      <c r="H796" s="0" t="n">
        <v>109.51</v>
      </c>
      <c r="I796" s="0" t="n">
        <v>25.4</v>
      </c>
      <c r="J796" s="0" t="n">
        <v>83.98999999999999</v>
      </c>
      <c r="K796" s="0" t="n">
        <v>4</v>
      </c>
      <c r="T796" s="0" t="n">
        <v>3</v>
      </c>
      <c r="U796" s="0" t="n">
        <v>2</v>
      </c>
      <c r="V796" s="0" t="inlineStr">
        <is>
          <t>계단식</t>
        </is>
      </c>
      <c r="W796" s="0" t="inlineStr">
        <is>
          <t>109A</t>
        </is>
      </c>
      <c r="X796" s="0" t="n">
        <v>25</v>
      </c>
      <c r="Y796" s="0" t="n">
        <v>9</v>
      </c>
      <c r="Z796" s="0" t="inlineStr">
        <is>
          <t>https://new.land.naver.com/complexes/3317?tab=detail&amp;rf=Y</t>
        </is>
      </c>
      <c r="AA796" s="0" t="inlineStr">
        <is>
          <t>서울시 강동구 둔촌동 555</t>
        </is>
      </c>
      <c r="AB796" s="0" t="inlineStr">
        <is>
          <t>서울시</t>
        </is>
      </c>
      <c r="AC796" s="0" t="inlineStr">
        <is>
          <t>강동구</t>
        </is>
      </c>
      <c r="AD796" s="0" t="inlineStr">
        <is>
          <t>둔촌동</t>
        </is>
      </c>
      <c r="AG796" s="0" t="inlineStr">
        <is>
          <t>서울시 강동구 양재대로96길 79</t>
        </is>
      </c>
      <c r="AH796" s="0" t="n">
        <v>0</v>
      </c>
      <c r="AI796" s="0" t="n">
        <v>340</v>
      </c>
      <c r="AJ796" s="0" t="n">
        <v>27</v>
      </c>
      <c r="AK796" s="0" t="n">
        <v>400</v>
      </c>
      <c r="AL796" s="0" t="n">
        <v>1.12</v>
      </c>
    </row>
    <row r="797">
      <c r="A797" s="0" t="inlineStr">
        <is>
          <t>[둔촌동]</t>
        </is>
      </c>
      <c r="B797" s="0" t="n">
        <v>3317</v>
      </c>
      <c r="C797" s="0" t="n">
        <v>10</v>
      </c>
      <c r="D797" s="0" t="inlineStr">
        <is>
          <t>둔촌신동아(파밀리에)</t>
        </is>
      </c>
      <c r="E797" s="0" t="inlineStr">
        <is>
          <t>2002.11.</t>
        </is>
      </c>
      <c r="F797" s="0" t="n">
        <v>357</v>
      </c>
      <c r="G797" s="0" t="n">
        <v>33.49</v>
      </c>
      <c r="H797" s="0" t="n">
        <v>110.74</v>
      </c>
      <c r="I797" s="0" t="n">
        <v>25.69</v>
      </c>
      <c r="J797" s="0" t="n">
        <v>84.93000000000001</v>
      </c>
      <c r="K797" s="0" t="n">
        <v>52</v>
      </c>
      <c r="T797" s="0" t="n">
        <v>3</v>
      </c>
      <c r="U797" s="0" t="n">
        <v>2</v>
      </c>
      <c r="V797" s="0" t="inlineStr">
        <is>
          <t>계단식</t>
        </is>
      </c>
      <c r="W797" s="0" t="n">
        <v>110</v>
      </c>
      <c r="X797" s="0" t="n">
        <v>25</v>
      </c>
      <c r="Y797" s="0" t="n">
        <v>9</v>
      </c>
      <c r="Z797" s="0" t="inlineStr">
        <is>
          <t>https://new.land.naver.com/complexes/3317?tab=detail&amp;rf=Y</t>
        </is>
      </c>
      <c r="AA797" s="0" t="inlineStr">
        <is>
          <t>서울시 강동구 둔촌동 555</t>
        </is>
      </c>
      <c r="AB797" s="0" t="inlineStr">
        <is>
          <t>서울시</t>
        </is>
      </c>
      <c r="AC797" s="0" t="inlineStr">
        <is>
          <t>강동구</t>
        </is>
      </c>
      <c r="AD797" s="0" t="inlineStr">
        <is>
          <t>둔촌동</t>
        </is>
      </c>
      <c r="AG797" s="0" t="inlineStr">
        <is>
          <t>서울시 강동구 양재대로96길 79</t>
        </is>
      </c>
      <c r="AH797" s="0" t="n">
        <v>0</v>
      </c>
      <c r="AI797" s="0" t="n">
        <v>340</v>
      </c>
      <c r="AJ797" s="0" t="n">
        <v>27</v>
      </c>
      <c r="AK797" s="0" t="n">
        <v>400</v>
      </c>
      <c r="AL797" s="0" t="n">
        <v>1.12</v>
      </c>
    </row>
    <row r="798">
      <c r="A798" s="0" t="inlineStr">
        <is>
          <t>[둔촌동]</t>
        </is>
      </c>
      <c r="B798" s="0" t="n">
        <v>3317</v>
      </c>
      <c r="C798" s="0" t="n">
        <v>11</v>
      </c>
      <c r="D798" s="0" t="inlineStr">
        <is>
          <t>둔촌신동아(파밀리에)</t>
        </is>
      </c>
      <c r="E798" s="0" t="inlineStr">
        <is>
          <t>2002.11.</t>
        </is>
      </c>
      <c r="F798" s="0" t="n">
        <v>357</v>
      </c>
      <c r="G798" s="0" t="n">
        <v>33.34</v>
      </c>
      <c r="H798" s="0" t="n">
        <v>110.24</v>
      </c>
      <c r="I798" s="0" t="n">
        <v>25.57</v>
      </c>
      <c r="J798" s="0" t="n">
        <v>84.54000000000001</v>
      </c>
      <c r="K798" s="0" t="n">
        <v>16</v>
      </c>
      <c r="T798" s="0" t="n">
        <v>3</v>
      </c>
      <c r="U798" s="0" t="n">
        <v>2</v>
      </c>
      <c r="V798" s="0" t="inlineStr">
        <is>
          <t>계단식</t>
        </is>
      </c>
      <c r="W798" s="0" t="inlineStr">
        <is>
          <t>110C</t>
        </is>
      </c>
      <c r="X798" s="0" t="n">
        <v>25</v>
      </c>
      <c r="Y798" s="0" t="n">
        <v>9</v>
      </c>
      <c r="Z798" s="0" t="inlineStr">
        <is>
          <t>https://new.land.naver.com/complexes/3317?tab=detail&amp;rf=Y</t>
        </is>
      </c>
      <c r="AA798" s="0" t="inlineStr">
        <is>
          <t>서울시 강동구 둔촌동 555</t>
        </is>
      </c>
      <c r="AB798" s="0" t="inlineStr">
        <is>
          <t>서울시</t>
        </is>
      </c>
      <c r="AC798" s="0" t="inlineStr">
        <is>
          <t>강동구</t>
        </is>
      </c>
      <c r="AD798" s="0" t="inlineStr">
        <is>
          <t>둔촌동</t>
        </is>
      </c>
      <c r="AG798" s="0" t="inlineStr">
        <is>
          <t>서울시 강동구 양재대로96길 79</t>
        </is>
      </c>
      <c r="AH798" s="0" t="n">
        <v>0</v>
      </c>
      <c r="AI798" s="0" t="n">
        <v>340</v>
      </c>
      <c r="AJ798" s="0" t="n">
        <v>27</v>
      </c>
      <c r="AK798" s="0" t="n">
        <v>400</v>
      </c>
      <c r="AL798" s="0" t="n">
        <v>1.12</v>
      </c>
    </row>
    <row r="799">
      <c r="A799" s="0" t="inlineStr">
        <is>
          <t>[둔촌동]</t>
        </is>
      </c>
      <c r="B799" s="0" t="n">
        <v>3317</v>
      </c>
      <c r="C799" s="0" t="n">
        <v>12</v>
      </c>
      <c r="D799" s="0" t="inlineStr">
        <is>
          <t>둔촌신동아(파밀리에)</t>
        </is>
      </c>
      <c r="E799" s="0" t="inlineStr">
        <is>
          <t>2002.11.</t>
        </is>
      </c>
      <c r="F799" s="0" t="n">
        <v>357</v>
      </c>
      <c r="G799" s="0" t="n">
        <v>33.37</v>
      </c>
      <c r="H799" s="0" t="n">
        <v>110.34</v>
      </c>
      <c r="I799" s="0" t="n">
        <v>25.6</v>
      </c>
      <c r="J799" s="0" t="n">
        <v>84.63</v>
      </c>
      <c r="K799" s="0" t="n">
        <v>16</v>
      </c>
      <c r="T799" s="0" t="n">
        <v>3</v>
      </c>
      <c r="U799" s="0" t="n">
        <v>2</v>
      </c>
      <c r="V799" s="0" t="inlineStr">
        <is>
          <t>계단식</t>
        </is>
      </c>
      <c r="W799" s="0" t="inlineStr">
        <is>
          <t>110D</t>
        </is>
      </c>
      <c r="X799" s="0" t="n">
        <v>25</v>
      </c>
      <c r="Y799" s="0" t="n">
        <v>9</v>
      </c>
      <c r="Z799" s="0" t="inlineStr">
        <is>
          <t>https://new.land.naver.com/complexes/3317?tab=detail&amp;rf=Y</t>
        </is>
      </c>
      <c r="AA799" s="0" t="inlineStr">
        <is>
          <t>서울시 강동구 둔촌동 555</t>
        </is>
      </c>
      <c r="AB799" s="0" t="inlineStr">
        <is>
          <t>서울시</t>
        </is>
      </c>
      <c r="AC799" s="0" t="inlineStr">
        <is>
          <t>강동구</t>
        </is>
      </c>
      <c r="AD799" s="0" t="inlineStr">
        <is>
          <t>둔촌동</t>
        </is>
      </c>
      <c r="AG799" s="0" t="inlineStr">
        <is>
          <t>서울시 강동구 양재대로96길 79</t>
        </is>
      </c>
      <c r="AH799" s="0" t="n">
        <v>0</v>
      </c>
      <c r="AI799" s="0" t="n">
        <v>340</v>
      </c>
      <c r="AJ799" s="0" t="n">
        <v>27</v>
      </c>
      <c r="AK799" s="0" t="n">
        <v>400</v>
      </c>
      <c r="AL799" s="0" t="n">
        <v>1.12</v>
      </c>
    </row>
    <row r="800">
      <c r="A800" s="0" t="inlineStr">
        <is>
          <t>[둔촌동]</t>
        </is>
      </c>
      <c r="B800" s="0" t="n">
        <v>3317</v>
      </c>
      <c r="C800" s="0" t="n">
        <v>13</v>
      </c>
      <c r="D800" s="0" t="inlineStr">
        <is>
          <t>둔촌신동아(파밀리에)</t>
        </is>
      </c>
      <c r="E800" s="0" t="inlineStr">
        <is>
          <t>2002.11.</t>
        </is>
      </c>
      <c r="F800" s="0" t="n">
        <v>357</v>
      </c>
      <c r="G800" s="0" t="n">
        <v>39.09</v>
      </c>
      <c r="H800" s="0" t="n">
        <v>129.25</v>
      </c>
      <c r="I800" s="0" t="n">
        <v>31.37</v>
      </c>
      <c r="J800" s="0" t="n">
        <v>103.72</v>
      </c>
      <c r="K800" s="0" t="n">
        <v>26</v>
      </c>
      <c r="T800" s="0" t="n">
        <v>4</v>
      </c>
      <c r="U800" s="0" t="n">
        <v>2</v>
      </c>
      <c r="V800" s="0" t="inlineStr">
        <is>
          <t>복도식</t>
        </is>
      </c>
      <c r="W800" s="0" t="n">
        <v>129</v>
      </c>
      <c r="X800" s="0" t="n">
        <v>25</v>
      </c>
      <c r="Y800" s="0" t="n">
        <v>9</v>
      </c>
      <c r="Z800" s="0" t="inlineStr">
        <is>
          <t>https://new.land.naver.com/complexes/3317?tab=detail&amp;rf=Y</t>
        </is>
      </c>
      <c r="AA800" s="0" t="inlineStr">
        <is>
          <t>서울시 강동구 둔촌동 555</t>
        </is>
      </c>
      <c r="AB800" s="0" t="inlineStr">
        <is>
          <t>서울시</t>
        </is>
      </c>
      <c r="AC800" s="0" t="inlineStr">
        <is>
          <t>강동구</t>
        </is>
      </c>
      <c r="AD800" s="0" t="inlineStr">
        <is>
          <t>둔촌동</t>
        </is>
      </c>
      <c r="AG800" s="0" t="inlineStr">
        <is>
          <t>서울시 강동구 양재대로96길 79</t>
        </is>
      </c>
      <c r="AH800" s="0" t="n">
        <v>0</v>
      </c>
      <c r="AI800" s="0" t="n">
        <v>340</v>
      </c>
      <c r="AJ800" s="0" t="n">
        <v>27</v>
      </c>
      <c r="AK800" s="0" t="n">
        <v>400</v>
      </c>
      <c r="AL800" s="0" t="n">
        <v>1.12</v>
      </c>
    </row>
    <row r="801">
      <c r="A801" s="0" t="inlineStr">
        <is>
          <t>[둔촌동]</t>
        </is>
      </c>
      <c r="B801" s="0" t="n">
        <v>27049</v>
      </c>
      <c r="C801" s="0" t="n">
        <v>1</v>
      </c>
      <c r="D801" s="0" t="inlineStr">
        <is>
          <t>둔촌암펠로스타워</t>
        </is>
      </c>
      <c r="E801" s="0" t="inlineStr">
        <is>
          <t>2006.12.</t>
        </is>
      </c>
      <c r="F801" s="0" t="n">
        <v>32</v>
      </c>
      <c r="G801" s="0" t="n">
        <v>35.58</v>
      </c>
      <c r="H801" s="0" t="n">
        <v>117.65</v>
      </c>
      <c r="I801" s="0" t="n">
        <v>28.64</v>
      </c>
      <c r="J801" s="0" t="n">
        <v>94.7</v>
      </c>
      <c r="K801" s="0" t="n">
        <v>9</v>
      </c>
      <c r="T801" s="0" t="n">
        <v>3</v>
      </c>
      <c r="U801" s="0" t="n">
        <v>2</v>
      </c>
      <c r="V801" s="0" t="inlineStr">
        <is>
          <t>계단식</t>
        </is>
      </c>
      <c r="W801" s="0" t="n">
        <v>117</v>
      </c>
      <c r="X801" s="0" t="n">
        <v>14</v>
      </c>
      <c r="Y801" s="0" t="n">
        <v>11</v>
      </c>
      <c r="Z801" s="0" t="inlineStr">
        <is>
          <t>https://new.land.naver.com/complexes/27049?tab=detail&amp;rf=Y</t>
        </is>
      </c>
      <c r="AA801" s="0" t="inlineStr">
        <is>
          <t>서울시 강동구 둔촌동 556</t>
        </is>
      </c>
      <c r="AB801" s="0" t="inlineStr">
        <is>
          <t>서울시</t>
        </is>
      </c>
      <c r="AC801" s="0" t="inlineStr">
        <is>
          <t>강동구</t>
        </is>
      </c>
      <c r="AD801" s="0" t="inlineStr">
        <is>
          <t>둔촌동</t>
        </is>
      </c>
      <c r="AG801" s="0" t="inlineStr">
        <is>
          <t>서울시 강동구 명일로 110</t>
        </is>
      </c>
      <c r="AH801" s="0" t="n">
        <v>0</v>
      </c>
      <c r="AI801" s="0" t="n">
        <v>249</v>
      </c>
      <c r="AJ801" s="0" t="n">
        <v>49</v>
      </c>
      <c r="AK801" s="0" t="n">
        <v>83</v>
      </c>
      <c r="AL801" s="0" t="n">
        <v>2.59</v>
      </c>
    </row>
    <row r="802">
      <c r="A802" s="0" t="inlineStr">
        <is>
          <t>[둔촌동]</t>
        </is>
      </c>
      <c r="B802" s="0" t="n">
        <v>27049</v>
      </c>
      <c r="C802" s="0" t="n">
        <v>2</v>
      </c>
      <c r="D802" s="0" t="inlineStr">
        <is>
          <t>둔촌암펠로스타워</t>
        </is>
      </c>
      <c r="E802" s="0" t="inlineStr">
        <is>
          <t>2006.12.</t>
        </is>
      </c>
      <c r="F802" s="0" t="n">
        <v>32</v>
      </c>
      <c r="G802" s="0" t="n">
        <v>42.94</v>
      </c>
      <c r="H802" s="0" t="n">
        <v>141.97</v>
      </c>
      <c r="I802" s="0" t="n">
        <v>34.66</v>
      </c>
      <c r="J802" s="0" t="n">
        <v>114.6</v>
      </c>
      <c r="K802" s="0" t="n">
        <v>9</v>
      </c>
      <c r="T802" s="0" t="n">
        <v>4</v>
      </c>
      <c r="U802" s="0" t="n">
        <v>2</v>
      </c>
      <c r="V802" s="0" t="inlineStr">
        <is>
          <t>계단식</t>
        </is>
      </c>
      <c r="W802" s="0" t="n">
        <v>141</v>
      </c>
      <c r="X802" s="0" t="n">
        <v>14</v>
      </c>
      <c r="Y802" s="0" t="n">
        <v>11</v>
      </c>
      <c r="Z802" s="0" t="inlineStr">
        <is>
          <t>https://new.land.naver.com/complexes/27049?tab=detail&amp;rf=Y</t>
        </is>
      </c>
      <c r="AA802" s="0" t="inlineStr">
        <is>
          <t>서울시 강동구 둔촌동 556</t>
        </is>
      </c>
      <c r="AB802" s="0" t="inlineStr">
        <is>
          <t>서울시</t>
        </is>
      </c>
      <c r="AC802" s="0" t="inlineStr">
        <is>
          <t>강동구</t>
        </is>
      </c>
      <c r="AD802" s="0" t="inlineStr">
        <is>
          <t>둔촌동</t>
        </is>
      </c>
      <c r="AG802" s="0" t="inlineStr">
        <is>
          <t>서울시 강동구 명일로 110</t>
        </is>
      </c>
      <c r="AH802" s="0" t="n">
        <v>0</v>
      </c>
      <c r="AI802" s="0" t="n">
        <v>249</v>
      </c>
      <c r="AJ802" s="0" t="n">
        <v>49</v>
      </c>
      <c r="AK802" s="0" t="n">
        <v>83</v>
      </c>
      <c r="AL802" s="0" t="n">
        <v>2.59</v>
      </c>
    </row>
    <row r="803">
      <c r="A803" s="0" t="inlineStr">
        <is>
          <t>[둔촌동]</t>
        </is>
      </c>
      <c r="B803" s="0" t="n">
        <v>27049</v>
      </c>
      <c r="C803" s="0" t="n">
        <v>3</v>
      </c>
      <c r="D803" s="0" t="inlineStr">
        <is>
          <t>둔촌암펠로스타워</t>
        </is>
      </c>
      <c r="E803" s="0" t="inlineStr">
        <is>
          <t>2006.12.</t>
        </is>
      </c>
      <c r="F803" s="0" t="n">
        <v>32</v>
      </c>
      <c r="G803" s="0" t="n">
        <v>45.02</v>
      </c>
      <c r="H803" s="0" t="n">
        <v>148.83</v>
      </c>
      <c r="I803" s="0" t="n">
        <v>36.72</v>
      </c>
      <c r="J803" s="0" t="n">
        <v>121.39</v>
      </c>
      <c r="K803" s="0" t="n">
        <v>9</v>
      </c>
      <c r="T803" s="0" t="n">
        <v>3</v>
      </c>
      <c r="U803" s="0" t="n">
        <v>2</v>
      </c>
      <c r="V803" s="0" t="inlineStr">
        <is>
          <t>계단식</t>
        </is>
      </c>
      <c r="W803" s="0" t="n">
        <v>148</v>
      </c>
      <c r="X803" s="0" t="n">
        <v>14</v>
      </c>
      <c r="Y803" s="0" t="n">
        <v>11</v>
      </c>
      <c r="Z803" s="0" t="inlineStr">
        <is>
          <t>https://new.land.naver.com/complexes/27049?tab=detail&amp;rf=Y</t>
        </is>
      </c>
      <c r="AA803" s="0" t="inlineStr">
        <is>
          <t>서울시 강동구 둔촌동 556</t>
        </is>
      </c>
      <c r="AB803" s="0" t="inlineStr">
        <is>
          <t>서울시</t>
        </is>
      </c>
      <c r="AC803" s="0" t="inlineStr">
        <is>
          <t>강동구</t>
        </is>
      </c>
      <c r="AD803" s="0" t="inlineStr">
        <is>
          <t>둔촌동</t>
        </is>
      </c>
      <c r="AG803" s="0" t="inlineStr">
        <is>
          <t>서울시 강동구 명일로 110</t>
        </is>
      </c>
      <c r="AH803" s="0" t="n">
        <v>0</v>
      </c>
      <c r="AI803" s="0" t="n">
        <v>249</v>
      </c>
      <c r="AJ803" s="0" t="n">
        <v>49</v>
      </c>
      <c r="AK803" s="0" t="n">
        <v>83</v>
      </c>
      <c r="AL803" s="0" t="n">
        <v>2.59</v>
      </c>
    </row>
    <row r="804">
      <c r="A804" s="0" t="inlineStr">
        <is>
          <t>[둔촌동]</t>
        </is>
      </c>
      <c r="B804" s="0" t="n">
        <v>27049</v>
      </c>
      <c r="C804" s="0" t="n">
        <v>4</v>
      </c>
      <c r="D804" s="0" t="inlineStr">
        <is>
          <t>둔촌암펠로스타워</t>
        </is>
      </c>
      <c r="E804" s="0" t="inlineStr">
        <is>
          <t>2006.12.</t>
        </is>
      </c>
      <c r="F804" s="0" t="n">
        <v>32</v>
      </c>
      <c r="G804" s="0" t="n">
        <v>47.92</v>
      </c>
      <c r="H804" s="0" t="n">
        <v>158.42</v>
      </c>
      <c r="I804" s="0" t="n">
        <v>38.91</v>
      </c>
      <c r="J804" s="0" t="n">
        <v>128.63</v>
      </c>
      <c r="K804" s="0" t="n">
        <v>2</v>
      </c>
      <c r="T804" s="0" t="n">
        <v>4</v>
      </c>
      <c r="U804" s="0" t="n">
        <v>2</v>
      </c>
      <c r="V804" s="0" t="inlineStr">
        <is>
          <t>계단식</t>
        </is>
      </c>
      <c r="W804" s="0" t="n">
        <v>158</v>
      </c>
      <c r="X804" s="0" t="n">
        <v>14</v>
      </c>
      <c r="Y804" s="0" t="n">
        <v>11</v>
      </c>
      <c r="Z804" s="0" t="inlineStr">
        <is>
          <t>https://new.land.naver.com/complexes/27049?tab=detail&amp;rf=Y</t>
        </is>
      </c>
      <c r="AA804" s="0" t="inlineStr">
        <is>
          <t>서울시 강동구 둔촌동 556</t>
        </is>
      </c>
      <c r="AB804" s="0" t="inlineStr">
        <is>
          <t>서울시</t>
        </is>
      </c>
      <c r="AC804" s="0" t="inlineStr">
        <is>
          <t>강동구</t>
        </is>
      </c>
      <c r="AD804" s="0" t="inlineStr">
        <is>
          <t>둔촌동</t>
        </is>
      </c>
      <c r="AG804" s="0" t="inlineStr">
        <is>
          <t>서울시 강동구 명일로 110</t>
        </is>
      </c>
      <c r="AH804" s="0" t="n">
        <v>0</v>
      </c>
      <c r="AI804" s="0" t="n">
        <v>249</v>
      </c>
      <c r="AJ804" s="0" t="n">
        <v>49</v>
      </c>
      <c r="AK804" s="0" t="n">
        <v>83</v>
      </c>
      <c r="AL804" s="0" t="n">
        <v>2.59</v>
      </c>
    </row>
    <row r="805">
      <c r="A805" s="0" t="inlineStr">
        <is>
          <t>[둔촌동]</t>
        </is>
      </c>
      <c r="B805" s="0" t="n">
        <v>27049</v>
      </c>
      <c r="C805" s="0" t="n">
        <v>5</v>
      </c>
      <c r="D805" s="0" t="inlineStr">
        <is>
          <t>둔촌암펠로스타워</t>
        </is>
      </c>
      <c r="E805" s="0" t="inlineStr">
        <is>
          <t>2006.12.</t>
        </is>
      </c>
      <c r="F805" s="0" t="n">
        <v>32</v>
      </c>
      <c r="G805" s="0" t="n">
        <v>48.84</v>
      </c>
      <c r="H805" s="0" t="n">
        <v>161.47</v>
      </c>
      <c r="I805" s="0" t="n">
        <v>39.63</v>
      </c>
      <c r="J805" s="0" t="n">
        <v>131.04</v>
      </c>
      <c r="K805" s="0" t="n">
        <v>2</v>
      </c>
      <c r="T805" s="0" t="n">
        <v>4</v>
      </c>
      <c r="U805" s="0" t="n">
        <v>2</v>
      </c>
      <c r="V805" s="0" t="inlineStr">
        <is>
          <t>계단식</t>
        </is>
      </c>
      <c r="W805" s="0" t="n">
        <v>161</v>
      </c>
      <c r="X805" s="0" t="n">
        <v>14</v>
      </c>
      <c r="Y805" s="0" t="n">
        <v>11</v>
      </c>
      <c r="Z805" s="0" t="inlineStr">
        <is>
          <t>https://new.land.naver.com/complexes/27049?tab=detail&amp;rf=Y</t>
        </is>
      </c>
      <c r="AA805" s="0" t="inlineStr">
        <is>
          <t>서울시 강동구 둔촌동 556</t>
        </is>
      </c>
      <c r="AB805" s="0" t="inlineStr">
        <is>
          <t>서울시</t>
        </is>
      </c>
      <c r="AC805" s="0" t="inlineStr">
        <is>
          <t>강동구</t>
        </is>
      </c>
      <c r="AD805" s="0" t="inlineStr">
        <is>
          <t>둔촌동</t>
        </is>
      </c>
      <c r="AG805" s="0" t="inlineStr">
        <is>
          <t>서울시 강동구 명일로 110</t>
        </is>
      </c>
      <c r="AH805" s="0" t="n">
        <v>0</v>
      </c>
      <c r="AI805" s="0" t="n">
        <v>249</v>
      </c>
      <c r="AJ805" s="0" t="n">
        <v>49</v>
      </c>
      <c r="AK805" s="0" t="n">
        <v>83</v>
      </c>
      <c r="AL805" s="0" t="n">
        <v>2.59</v>
      </c>
    </row>
    <row r="806">
      <c r="A806" s="0" t="inlineStr">
        <is>
          <t>[둔촌동]</t>
        </is>
      </c>
      <c r="B806" s="0" t="n">
        <v>27049</v>
      </c>
      <c r="C806" s="0" t="n">
        <v>6</v>
      </c>
      <c r="D806" s="0" t="inlineStr">
        <is>
          <t>둔촌암펠로스타워</t>
        </is>
      </c>
      <c r="E806" s="0" t="inlineStr">
        <is>
          <t>2006.12.</t>
        </is>
      </c>
      <c r="F806" s="0" t="n">
        <v>32</v>
      </c>
      <c r="G806" s="0" t="n">
        <v>80.87</v>
      </c>
      <c r="H806" s="0" t="n">
        <v>267.37</v>
      </c>
      <c r="I806" s="0" t="n">
        <v>64.84999999999999</v>
      </c>
      <c r="J806" s="0" t="n">
        <v>214.4</v>
      </c>
      <c r="K806" s="0" t="n">
        <v>1</v>
      </c>
      <c r="T806" s="0" t="n">
        <v>5</v>
      </c>
      <c r="U806" s="0" t="n">
        <v>2</v>
      </c>
      <c r="V806" s="0" t="inlineStr">
        <is>
          <t>계단식</t>
        </is>
      </c>
      <c r="W806" s="0" t="n">
        <v>267</v>
      </c>
      <c r="X806" s="0" t="n">
        <v>14</v>
      </c>
      <c r="Y806" s="0" t="n">
        <v>11</v>
      </c>
      <c r="Z806" s="0" t="inlineStr">
        <is>
          <t>https://new.land.naver.com/complexes/27049?tab=detail&amp;rf=Y</t>
        </is>
      </c>
      <c r="AA806" s="0" t="inlineStr">
        <is>
          <t>서울시 강동구 둔촌동 556</t>
        </is>
      </c>
      <c r="AB806" s="0" t="inlineStr">
        <is>
          <t>서울시</t>
        </is>
      </c>
      <c r="AC806" s="0" t="inlineStr">
        <is>
          <t>강동구</t>
        </is>
      </c>
      <c r="AD806" s="0" t="inlineStr">
        <is>
          <t>둔촌동</t>
        </is>
      </c>
      <c r="AG806" s="0" t="inlineStr">
        <is>
          <t>서울시 강동구 명일로 110</t>
        </is>
      </c>
      <c r="AH806" s="0" t="n">
        <v>0</v>
      </c>
      <c r="AI806" s="0" t="n">
        <v>249</v>
      </c>
      <c r="AJ806" s="0" t="n">
        <v>49</v>
      </c>
      <c r="AK806" s="0" t="n">
        <v>83</v>
      </c>
      <c r="AL806" s="0" t="n">
        <v>2.59</v>
      </c>
    </row>
    <row r="807">
      <c r="A807" s="0" t="inlineStr">
        <is>
          <t>[둔촌동]</t>
        </is>
      </c>
      <c r="B807" s="0" t="n">
        <v>114622</v>
      </c>
      <c r="C807" s="0" t="n">
        <v>1</v>
      </c>
      <c r="D807" s="0" t="inlineStr">
        <is>
          <t>청호뜨레피움퍼스트</t>
        </is>
      </c>
      <c r="E807" s="0" t="inlineStr">
        <is>
          <t>2016.12.</t>
        </is>
      </c>
      <c r="F807" s="0" t="n">
        <v>40</v>
      </c>
      <c r="G807" s="0" t="n">
        <v>21.84</v>
      </c>
      <c r="H807" s="0" t="n">
        <v>72.20999999999999</v>
      </c>
      <c r="I807" s="0" t="n">
        <v>16.92</v>
      </c>
      <c r="J807" s="0" t="n">
        <v>55.94</v>
      </c>
      <c r="K807" s="0" t="n">
        <v>8</v>
      </c>
      <c r="T807" s="0" t="n">
        <v>3</v>
      </c>
      <c r="U807" s="0" t="n">
        <v>2</v>
      </c>
      <c r="V807" s="0" t="inlineStr">
        <is>
          <t>계단식</t>
        </is>
      </c>
      <c r="W807" s="0" t="inlineStr">
        <is>
          <t>72A</t>
        </is>
      </c>
      <c r="X807" s="0" t="n">
        <v>9</v>
      </c>
      <c r="Y807" s="0" t="n">
        <v>9</v>
      </c>
      <c r="Z807" s="0" t="inlineStr">
        <is>
          <t>https://new.land.naver.com/complexes/114622?tab=detail&amp;rf=Y</t>
        </is>
      </c>
      <c r="AA807" s="0" t="inlineStr">
        <is>
          <t>서울시 강동구 둔촌동 64</t>
        </is>
      </c>
      <c r="AB807" s="0" t="inlineStr">
        <is>
          <t>서울시</t>
        </is>
      </c>
      <c r="AC807" s="0" t="inlineStr">
        <is>
          <t>강동구</t>
        </is>
      </c>
      <c r="AD807" s="0" t="inlineStr">
        <is>
          <t>둔촌동</t>
        </is>
      </c>
      <c r="AG807" s="0" t="inlineStr">
        <is>
          <t>서울시 강동구 천호대로 1176</t>
        </is>
      </c>
      <c r="AH807" s="0" t="n">
        <v>0</v>
      </c>
      <c r="AI807" s="0" t="n">
        <v>249</v>
      </c>
      <c r="AJ807" s="0" t="n">
        <v>45</v>
      </c>
      <c r="AK807" s="0" t="n">
        <v>31</v>
      </c>
      <c r="AL807" s="0" t="n">
        <v>0.78</v>
      </c>
    </row>
    <row r="808">
      <c r="A808" s="0" t="inlineStr">
        <is>
          <t>[둔촌동]</t>
        </is>
      </c>
      <c r="B808" s="0" t="n">
        <v>114622</v>
      </c>
      <c r="C808" s="0" t="n">
        <v>2</v>
      </c>
      <c r="D808" s="0" t="inlineStr">
        <is>
          <t>청호뜨레피움퍼스트</t>
        </is>
      </c>
      <c r="E808" s="0" t="inlineStr">
        <is>
          <t>2016.12.</t>
        </is>
      </c>
      <c r="F808" s="0" t="n">
        <v>40</v>
      </c>
      <c r="G808" s="0" t="n">
        <v>22.12</v>
      </c>
      <c r="H808" s="0" t="n">
        <v>73.13</v>
      </c>
      <c r="I808" s="0" t="n">
        <v>17.13</v>
      </c>
      <c r="J808" s="0" t="n">
        <v>56.65</v>
      </c>
      <c r="K808" s="0" t="n">
        <v>16</v>
      </c>
      <c r="T808" s="0" t="n">
        <v>3</v>
      </c>
      <c r="U808" s="0" t="n">
        <v>2</v>
      </c>
      <c r="V808" s="0" t="inlineStr">
        <is>
          <t>계단식</t>
        </is>
      </c>
      <c r="W808" s="0" t="inlineStr">
        <is>
          <t>73B</t>
        </is>
      </c>
      <c r="X808" s="0" t="n">
        <v>9</v>
      </c>
      <c r="Y808" s="0" t="n">
        <v>9</v>
      </c>
      <c r="Z808" s="0" t="inlineStr">
        <is>
          <t>https://new.land.naver.com/complexes/114622?tab=detail&amp;rf=Y</t>
        </is>
      </c>
      <c r="AA808" s="0" t="inlineStr">
        <is>
          <t>서울시 강동구 둔촌동 64</t>
        </is>
      </c>
      <c r="AB808" s="0" t="inlineStr">
        <is>
          <t>서울시</t>
        </is>
      </c>
      <c r="AC808" s="0" t="inlineStr">
        <is>
          <t>강동구</t>
        </is>
      </c>
      <c r="AD808" s="0" t="inlineStr">
        <is>
          <t>둔촌동</t>
        </is>
      </c>
      <c r="AG808" s="0" t="inlineStr">
        <is>
          <t>서울시 강동구 천호대로 1176</t>
        </is>
      </c>
      <c r="AH808" s="0" t="n">
        <v>0</v>
      </c>
      <c r="AI808" s="0" t="n">
        <v>249</v>
      </c>
      <c r="AJ808" s="0" t="n">
        <v>45</v>
      </c>
      <c r="AK808" s="0" t="n">
        <v>31</v>
      </c>
      <c r="AL808" s="0" t="n">
        <v>0.78</v>
      </c>
    </row>
    <row r="809">
      <c r="A809" s="0" t="inlineStr">
        <is>
          <t>[둔촌동]</t>
        </is>
      </c>
      <c r="B809" s="0" t="n">
        <v>114622</v>
      </c>
      <c r="C809" s="0" t="n">
        <v>3</v>
      </c>
      <c r="D809" s="0" t="inlineStr">
        <is>
          <t>청호뜨레피움퍼스트</t>
        </is>
      </c>
      <c r="E809" s="0" t="inlineStr">
        <is>
          <t>2016.12.</t>
        </is>
      </c>
      <c r="F809" s="0" t="n">
        <v>40</v>
      </c>
      <c r="G809" s="0" t="n">
        <v>22.77</v>
      </c>
      <c r="H809" s="0" t="n">
        <v>75.3</v>
      </c>
      <c r="I809" s="0" t="n">
        <v>17.64</v>
      </c>
      <c r="J809" s="0" t="n">
        <v>58.34</v>
      </c>
      <c r="K809" s="0" t="n">
        <v>8</v>
      </c>
      <c r="T809" s="0" t="n">
        <v>3</v>
      </c>
      <c r="U809" s="0" t="n">
        <v>2</v>
      </c>
      <c r="V809" s="0" t="inlineStr">
        <is>
          <t>계단식</t>
        </is>
      </c>
      <c r="W809" s="0" t="inlineStr">
        <is>
          <t>75A</t>
        </is>
      </c>
      <c r="X809" s="0" t="n">
        <v>9</v>
      </c>
      <c r="Y809" s="0" t="n">
        <v>9</v>
      </c>
      <c r="Z809" s="0" t="inlineStr">
        <is>
          <t>https://new.land.naver.com/complexes/114622?tab=detail&amp;rf=Y</t>
        </is>
      </c>
      <c r="AA809" s="0" t="inlineStr">
        <is>
          <t>서울시 강동구 둔촌동 64</t>
        </is>
      </c>
      <c r="AB809" s="0" t="inlineStr">
        <is>
          <t>서울시</t>
        </is>
      </c>
      <c r="AC809" s="0" t="inlineStr">
        <is>
          <t>강동구</t>
        </is>
      </c>
      <c r="AD809" s="0" t="inlineStr">
        <is>
          <t>둔촌동</t>
        </is>
      </c>
      <c r="AG809" s="0" t="inlineStr">
        <is>
          <t>서울시 강동구 천호대로 1176</t>
        </is>
      </c>
      <c r="AH809" s="0" t="n">
        <v>0</v>
      </c>
      <c r="AI809" s="0" t="n">
        <v>249</v>
      </c>
      <c r="AJ809" s="0" t="n">
        <v>45</v>
      </c>
      <c r="AK809" s="0" t="n">
        <v>31</v>
      </c>
      <c r="AL809" s="0" t="n">
        <v>0.78</v>
      </c>
    </row>
    <row r="810">
      <c r="A810" s="0" t="inlineStr">
        <is>
          <t>[둔촌동]</t>
        </is>
      </c>
      <c r="B810" s="0" t="n">
        <v>114622</v>
      </c>
      <c r="C810" s="0" t="n">
        <v>4</v>
      </c>
      <c r="D810" s="0" t="inlineStr">
        <is>
          <t>청호뜨레피움퍼스트</t>
        </is>
      </c>
      <c r="E810" s="0" t="inlineStr">
        <is>
          <t>2016.12.</t>
        </is>
      </c>
      <c r="F810" s="0" t="n">
        <v>40</v>
      </c>
      <c r="G810" s="0" t="n">
        <v>22.7</v>
      </c>
      <c r="H810" s="0" t="n">
        <v>75.06999999999999</v>
      </c>
      <c r="I810" s="0" t="n">
        <v>17.59</v>
      </c>
      <c r="J810" s="0" t="n">
        <v>58.16</v>
      </c>
      <c r="K810" s="0" t="n">
        <v>8</v>
      </c>
      <c r="T810" s="0" t="n">
        <v>3</v>
      </c>
      <c r="U810" s="0" t="n">
        <v>2</v>
      </c>
      <c r="V810" s="0" t="inlineStr">
        <is>
          <t>계단식</t>
        </is>
      </c>
      <c r="W810" s="0" t="inlineStr">
        <is>
          <t>75B</t>
        </is>
      </c>
      <c r="X810" s="0" t="n">
        <v>9</v>
      </c>
      <c r="Y810" s="0" t="n">
        <v>9</v>
      </c>
      <c r="Z810" s="0" t="inlineStr">
        <is>
          <t>https://new.land.naver.com/complexes/114622?tab=detail&amp;rf=Y</t>
        </is>
      </c>
      <c r="AA810" s="0" t="inlineStr">
        <is>
          <t>서울시 강동구 둔촌동 64</t>
        </is>
      </c>
      <c r="AB810" s="0" t="inlineStr">
        <is>
          <t>서울시</t>
        </is>
      </c>
      <c r="AC810" s="0" t="inlineStr">
        <is>
          <t>강동구</t>
        </is>
      </c>
      <c r="AD810" s="0" t="inlineStr">
        <is>
          <t>둔촌동</t>
        </is>
      </c>
      <c r="AG810" s="0" t="inlineStr">
        <is>
          <t>서울시 강동구 천호대로 1176</t>
        </is>
      </c>
      <c r="AH810" s="0" t="n">
        <v>0</v>
      </c>
      <c r="AI810" s="0" t="n">
        <v>249</v>
      </c>
      <c r="AJ810" s="0" t="n">
        <v>45</v>
      </c>
      <c r="AK810" s="0" t="n">
        <v>31</v>
      </c>
      <c r="AL810" s="0" t="n">
        <v>0.78</v>
      </c>
    </row>
    <row r="811">
      <c r="A811" s="0" t="inlineStr">
        <is>
          <t>[둔촌동]</t>
        </is>
      </c>
      <c r="B811" s="0" t="n">
        <v>829</v>
      </c>
      <c r="C811" s="0" t="n">
        <v>1</v>
      </c>
      <c r="D811" s="0" t="inlineStr">
        <is>
          <t>현대1차</t>
        </is>
      </c>
      <c r="E811" s="0" t="inlineStr">
        <is>
          <t>1984.11.</t>
        </is>
      </c>
      <c r="F811" s="0" t="n">
        <v>498</v>
      </c>
      <c r="G811" s="0" t="n">
        <v>31.26</v>
      </c>
      <c r="H811" s="0" t="n">
        <v>103.35</v>
      </c>
      <c r="I811" s="0" t="n">
        <v>25.51</v>
      </c>
      <c r="J811" s="0" t="n">
        <v>84.36</v>
      </c>
      <c r="K811" s="0" t="n">
        <v>498</v>
      </c>
      <c r="T811" s="0" t="n">
        <v>3</v>
      </c>
      <c r="U811" s="0" t="n">
        <v>1</v>
      </c>
      <c r="V811" s="0" t="inlineStr">
        <is>
          <t>계단식</t>
        </is>
      </c>
      <c r="W811" s="0" t="n">
        <v>103</v>
      </c>
      <c r="X811" s="0" t="n">
        <v>14</v>
      </c>
      <c r="Y811" s="0" t="n">
        <v>11</v>
      </c>
      <c r="Z811" s="0" t="inlineStr">
        <is>
          <t>https://new.land.naver.com/complexes/829?tab=detail&amp;rf=Y</t>
        </is>
      </c>
      <c r="AA811" s="0" t="inlineStr">
        <is>
          <t>서울시 강동구 둔촌동 30-4</t>
        </is>
      </c>
      <c r="AB811" s="0" t="inlineStr">
        <is>
          <t>서울시</t>
        </is>
      </c>
      <c r="AC811" s="0" t="inlineStr">
        <is>
          <t>강동구</t>
        </is>
      </c>
      <c r="AD811" s="0" t="inlineStr">
        <is>
          <t>둔촌동</t>
        </is>
      </c>
      <c r="AG811" s="0" t="inlineStr">
        <is>
          <t>서울시 강동구 동남로49길 57</t>
        </is>
      </c>
      <c r="AH811" s="0" t="n">
        <v>0</v>
      </c>
      <c r="AI811" s="0" t="n">
        <v>179</v>
      </c>
      <c r="AJ811" s="0" t="n">
        <v>15</v>
      </c>
      <c r="AK811" s="0" t="n">
        <v>329</v>
      </c>
      <c r="AL811" s="0" t="n">
        <v>0.66</v>
      </c>
    </row>
    <row r="812">
      <c r="A812" s="0" t="inlineStr">
        <is>
          <t>[둔촌동]</t>
        </is>
      </c>
      <c r="B812" s="0" t="n">
        <v>828</v>
      </c>
      <c r="C812" s="0" t="n">
        <v>1</v>
      </c>
      <c r="D812" s="0" t="inlineStr">
        <is>
          <t>동아(621)</t>
        </is>
      </c>
      <c r="E812" s="0" t="inlineStr">
        <is>
          <t>1997.12.</t>
        </is>
      </c>
      <c r="F812" s="0" t="n">
        <v>170</v>
      </c>
      <c r="G812" s="0" t="n">
        <v>25.84</v>
      </c>
      <c r="H812" s="0" t="n">
        <v>85.44</v>
      </c>
      <c r="I812" s="0" t="n">
        <v>18.03</v>
      </c>
      <c r="J812" s="0" t="n">
        <v>59.63</v>
      </c>
      <c r="K812" s="0" t="n">
        <v>64</v>
      </c>
      <c r="T812" s="0" t="n">
        <v>2</v>
      </c>
      <c r="U812" s="0" t="n">
        <v>1</v>
      </c>
      <c r="V812" s="0" t="inlineStr">
        <is>
          <t>복도식</t>
        </is>
      </c>
      <c r="W812" s="0" t="n">
        <v>85</v>
      </c>
      <c r="X812" s="0" t="n">
        <v>19</v>
      </c>
      <c r="Y812" s="0" t="n">
        <v>6</v>
      </c>
      <c r="Z812" s="0" t="inlineStr">
        <is>
          <t>https://new.land.naver.com/complexes/828?tab=detail&amp;rf=Y</t>
        </is>
      </c>
      <c r="AA812" s="0" t="inlineStr">
        <is>
          <t>서울시 강동구 둔촌동 621</t>
        </is>
      </c>
      <c r="AB812" s="0" t="inlineStr">
        <is>
          <t>서울시</t>
        </is>
      </c>
      <c r="AC812" s="0" t="inlineStr">
        <is>
          <t>강동구</t>
        </is>
      </c>
      <c r="AD812" s="0" t="inlineStr">
        <is>
          <t>둔촌동</t>
        </is>
      </c>
      <c r="AG812" s="0" t="inlineStr">
        <is>
          <t>서울시 강동구 동남로49길 60-5</t>
        </is>
      </c>
      <c r="AH812" s="0" t="n">
        <v>0</v>
      </c>
      <c r="AI812" s="0" t="n">
        <v>279</v>
      </c>
      <c r="AJ812" s="0" t="n">
        <v>28</v>
      </c>
      <c r="AK812" s="0" t="n">
        <v>172</v>
      </c>
      <c r="AL812" s="0" t="n">
        <v>1.01</v>
      </c>
    </row>
    <row r="813">
      <c r="A813" s="0" t="inlineStr">
        <is>
          <t>[둔촌동]</t>
        </is>
      </c>
      <c r="B813" s="0" t="n">
        <v>828</v>
      </c>
      <c r="C813" s="0" t="n">
        <v>2</v>
      </c>
      <c r="D813" s="0" t="inlineStr">
        <is>
          <t>동아(621)</t>
        </is>
      </c>
      <c r="E813" s="0" t="inlineStr">
        <is>
          <t>1997.12.</t>
        </is>
      </c>
      <c r="F813" s="0" t="n">
        <v>170</v>
      </c>
      <c r="G813" s="0" t="n">
        <v>27.6</v>
      </c>
      <c r="H813" s="0" t="n">
        <v>91.25</v>
      </c>
      <c r="I813" s="0" t="n">
        <v>19.26</v>
      </c>
      <c r="J813" s="0" t="n">
        <v>63.68</v>
      </c>
      <c r="K813" s="0" t="n">
        <v>6</v>
      </c>
      <c r="T813" s="0" t="n">
        <v>2</v>
      </c>
      <c r="U813" s="0" t="n">
        <v>1</v>
      </c>
      <c r="V813" s="0" t="inlineStr">
        <is>
          <t>복도식</t>
        </is>
      </c>
      <c r="W813" s="0" t="n">
        <v>91</v>
      </c>
      <c r="X813" s="0" t="n">
        <v>19</v>
      </c>
      <c r="Y813" s="0" t="n">
        <v>6</v>
      </c>
      <c r="Z813" s="0" t="inlineStr">
        <is>
          <t>https://new.land.naver.com/complexes/828?tab=detail&amp;rf=Y</t>
        </is>
      </c>
      <c r="AA813" s="0" t="inlineStr">
        <is>
          <t>서울시 강동구 둔촌동 621</t>
        </is>
      </c>
      <c r="AB813" s="0" t="inlineStr">
        <is>
          <t>서울시</t>
        </is>
      </c>
      <c r="AC813" s="0" t="inlineStr">
        <is>
          <t>강동구</t>
        </is>
      </c>
      <c r="AD813" s="0" t="inlineStr">
        <is>
          <t>둔촌동</t>
        </is>
      </c>
      <c r="AG813" s="0" t="inlineStr">
        <is>
          <t>서울시 강동구 동남로49길 60-5</t>
        </is>
      </c>
      <c r="AH813" s="0" t="n">
        <v>0</v>
      </c>
      <c r="AI813" s="0" t="n">
        <v>279</v>
      </c>
      <c r="AJ813" s="0" t="n">
        <v>28</v>
      </c>
      <c r="AK813" s="0" t="n">
        <v>172</v>
      </c>
      <c r="AL813" s="0" t="n">
        <v>1.01</v>
      </c>
    </row>
    <row r="814">
      <c r="A814" s="0" t="inlineStr">
        <is>
          <t>[둔촌동]</t>
        </is>
      </c>
      <c r="B814" s="0" t="n">
        <v>828</v>
      </c>
      <c r="C814" s="0" t="n">
        <v>3</v>
      </c>
      <c r="D814" s="0" t="inlineStr">
        <is>
          <t>동아(621)</t>
        </is>
      </c>
      <c r="E814" s="0" t="inlineStr">
        <is>
          <t>1997.12.</t>
        </is>
      </c>
      <c r="F814" s="0" t="n">
        <v>170</v>
      </c>
      <c r="G814" s="0" t="n">
        <v>32.77</v>
      </c>
      <c r="H814" s="0" t="n">
        <v>108.36</v>
      </c>
      <c r="I814" s="0" t="n">
        <v>25.51</v>
      </c>
      <c r="J814" s="0" t="n">
        <v>84.34</v>
      </c>
      <c r="K814" s="0" t="n">
        <v>100</v>
      </c>
      <c r="T814" s="0" t="n">
        <v>3</v>
      </c>
      <c r="U814" s="0" t="n">
        <v>2</v>
      </c>
      <c r="V814" s="0" t="inlineStr">
        <is>
          <t>계단식</t>
        </is>
      </c>
      <c r="W814" s="0" t="n">
        <v>108</v>
      </c>
      <c r="X814" s="0" t="n">
        <v>19</v>
      </c>
      <c r="Y814" s="0" t="n">
        <v>6</v>
      </c>
      <c r="Z814" s="0" t="inlineStr">
        <is>
          <t>https://new.land.naver.com/complexes/828?tab=detail&amp;rf=Y</t>
        </is>
      </c>
      <c r="AA814" s="0" t="inlineStr">
        <is>
          <t>서울시 강동구 둔촌동 621</t>
        </is>
      </c>
      <c r="AB814" s="0" t="inlineStr">
        <is>
          <t>서울시</t>
        </is>
      </c>
      <c r="AC814" s="0" t="inlineStr">
        <is>
          <t>강동구</t>
        </is>
      </c>
      <c r="AD814" s="0" t="inlineStr">
        <is>
          <t>둔촌동</t>
        </is>
      </c>
      <c r="AG814" s="0" t="inlineStr">
        <is>
          <t>서울시 강동구 동남로49길 60-5</t>
        </is>
      </c>
      <c r="AH814" s="0" t="n">
        <v>0</v>
      </c>
      <c r="AI814" s="0" t="n">
        <v>279</v>
      </c>
      <c r="AJ814" s="0" t="n">
        <v>28</v>
      </c>
      <c r="AK814" s="0" t="n">
        <v>172</v>
      </c>
      <c r="AL814" s="0" t="n">
        <v>1.01</v>
      </c>
    </row>
    <row r="815">
      <c r="A815" s="0" t="inlineStr">
        <is>
          <t>[둔촌동]</t>
        </is>
      </c>
      <c r="B815" s="0" t="n">
        <v>13378</v>
      </c>
      <c r="C815" s="0" t="n">
        <v>1</v>
      </c>
      <c r="D815" s="0" t="inlineStr">
        <is>
          <t>주풍그린빌라트</t>
        </is>
      </c>
      <c r="E815" s="0" t="inlineStr">
        <is>
          <t>1996.03.</t>
        </is>
      </c>
      <c r="F815" s="0" t="n">
        <v>18</v>
      </c>
      <c r="G815" s="0" t="n">
        <v>42.79</v>
      </c>
      <c r="H815" s="0" t="n">
        <v>141.47</v>
      </c>
      <c r="I815" s="0" t="n">
        <v>40.2</v>
      </c>
      <c r="J815" s="0" t="n">
        <v>132.9</v>
      </c>
      <c r="K815" s="0" t="n">
        <v>1</v>
      </c>
      <c r="T815" s="0" t="n">
        <v>4</v>
      </c>
      <c r="U815" s="0" t="n">
        <v>2</v>
      </c>
      <c r="V815" s="0" t="inlineStr">
        <is>
          <t>계단식</t>
        </is>
      </c>
      <c r="W815" s="0" t="n">
        <v>141</v>
      </c>
      <c r="X815" s="0" t="n">
        <v>9</v>
      </c>
      <c r="Y815" s="0" t="n">
        <v>9</v>
      </c>
      <c r="Z815" s="0" t="inlineStr">
        <is>
          <t>https://new.land.naver.com/complexes/13378?tab=detail&amp;rf=Y</t>
        </is>
      </c>
      <c r="AA815" s="0" t="inlineStr">
        <is>
          <t>서울시 강동구 둔촌동 622-12</t>
        </is>
      </c>
      <c r="AB815" s="0" t="inlineStr">
        <is>
          <t>서울시</t>
        </is>
      </c>
      <c r="AC815" s="0" t="inlineStr">
        <is>
          <t>강동구</t>
        </is>
      </c>
      <c r="AD815" s="0" t="inlineStr">
        <is>
          <t>둔촌동</t>
        </is>
      </c>
      <c r="AG815" s="0" t="inlineStr">
        <is>
          <t>서울시 강동구 명일로 158-5</t>
        </is>
      </c>
      <c r="AH815" s="0" t="n">
        <v>0</v>
      </c>
      <c r="AI815" s="0" t="n">
        <v>249</v>
      </c>
      <c r="AJ815" s="0" t="n">
        <v>37</v>
      </c>
      <c r="AK815" s="0" t="n">
        <v>23</v>
      </c>
      <c r="AL815" s="0" t="n">
        <v>1.28</v>
      </c>
    </row>
    <row r="816">
      <c r="A816" s="0" t="inlineStr">
        <is>
          <t>[둔촌동]</t>
        </is>
      </c>
      <c r="B816" s="0" t="n">
        <v>13378</v>
      </c>
      <c r="C816" s="0" t="n">
        <v>2</v>
      </c>
      <c r="D816" s="0" t="inlineStr">
        <is>
          <t>주풍그린빌라트</t>
        </is>
      </c>
      <c r="E816" s="0" t="inlineStr">
        <is>
          <t>1996.03.</t>
        </is>
      </c>
      <c r="F816" s="0" t="n">
        <v>18</v>
      </c>
      <c r="G816" s="0" t="n">
        <v>49.75</v>
      </c>
      <c r="H816" s="0" t="n">
        <v>164.47</v>
      </c>
      <c r="I816" s="0" t="n">
        <v>46.73</v>
      </c>
      <c r="J816" s="0" t="n">
        <v>154.5</v>
      </c>
      <c r="K816" s="0" t="n">
        <v>1</v>
      </c>
      <c r="T816" s="0" t="n">
        <v>5</v>
      </c>
      <c r="U816" s="0" t="n">
        <v>3</v>
      </c>
      <c r="V816" s="0" t="inlineStr">
        <is>
          <t>계단식</t>
        </is>
      </c>
      <c r="W816" s="0" t="n">
        <v>164</v>
      </c>
      <c r="X816" s="0" t="n">
        <v>9</v>
      </c>
      <c r="Y816" s="0" t="n">
        <v>9</v>
      </c>
      <c r="Z816" s="0" t="inlineStr">
        <is>
          <t>https://new.land.naver.com/complexes/13378?tab=detail&amp;rf=Y</t>
        </is>
      </c>
      <c r="AA816" s="0" t="inlineStr">
        <is>
          <t>서울시 강동구 둔촌동 622-12</t>
        </is>
      </c>
      <c r="AB816" s="0" t="inlineStr">
        <is>
          <t>서울시</t>
        </is>
      </c>
      <c r="AC816" s="0" t="inlineStr">
        <is>
          <t>강동구</t>
        </is>
      </c>
      <c r="AD816" s="0" t="inlineStr">
        <is>
          <t>둔촌동</t>
        </is>
      </c>
      <c r="AG816" s="0" t="inlineStr">
        <is>
          <t>서울시 강동구 명일로 158-5</t>
        </is>
      </c>
      <c r="AH816" s="0" t="n">
        <v>0</v>
      </c>
      <c r="AI816" s="0" t="n">
        <v>249</v>
      </c>
      <c r="AJ816" s="0" t="n">
        <v>37</v>
      </c>
      <c r="AK816" s="0" t="n">
        <v>23</v>
      </c>
      <c r="AL816" s="0" t="n">
        <v>1.28</v>
      </c>
    </row>
    <row r="817">
      <c r="A817" s="0" t="inlineStr">
        <is>
          <t>[둔촌동]</t>
        </is>
      </c>
      <c r="B817" s="0" t="n">
        <v>13378</v>
      </c>
      <c r="C817" s="0" t="n">
        <v>3</v>
      </c>
      <c r="D817" s="0" t="inlineStr">
        <is>
          <t>주풍그린빌라트</t>
        </is>
      </c>
      <c r="E817" s="0" t="inlineStr">
        <is>
          <t>1996.03.</t>
        </is>
      </c>
      <c r="F817" s="0" t="n">
        <v>18</v>
      </c>
      <c r="G817" s="0" t="n">
        <v>53.21</v>
      </c>
      <c r="H817" s="0" t="n">
        <v>175.91</v>
      </c>
      <c r="I817" s="0" t="n">
        <v>49.98</v>
      </c>
      <c r="J817" s="0" t="n">
        <v>165.24</v>
      </c>
      <c r="K817" s="0" t="n">
        <v>7</v>
      </c>
      <c r="T817" s="0" t="n">
        <v>5</v>
      </c>
      <c r="U817" s="0" t="n">
        <v>3</v>
      </c>
      <c r="V817" s="0" t="inlineStr">
        <is>
          <t>계단식</t>
        </is>
      </c>
      <c r="W817" s="0" t="n">
        <v>175</v>
      </c>
      <c r="X817" s="0" t="n">
        <v>9</v>
      </c>
      <c r="Y817" s="0" t="n">
        <v>9</v>
      </c>
      <c r="Z817" s="0" t="inlineStr">
        <is>
          <t>https://new.land.naver.com/complexes/13378?tab=detail&amp;rf=Y</t>
        </is>
      </c>
      <c r="AA817" s="0" t="inlineStr">
        <is>
          <t>서울시 강동구 둔촌동 622-12</t>
        </is>
      </c>
      <c r="AB817" s="0" t="inlineStr">
        <is>
          <t>서울시</t>
        </is>
      </c>
      <c r="AC817" s="0" t="inlineStr">
        <is>
          <t>강동구</t>
        </is>
      </c>
      <c r="AD817" s="0" t="inlineStr">
        <is>
          <t>둔촌동</t>
        </is>
      </c>
      <c r="AG817" s="0" t="inlineStr">
        <is>
          <t>서울시 강동구 명일로 158-5</t>
        </is>
      </c>
      <c r="AH817" s="0" t="n">
        <v>0</v>
      </c>
      <c r="AI817" s="0" t="n">
        <v>249</v>
      </c>
      <c r="AJ817" s="0" t="n">
        <v>37</v>
      </c>
      <c r="AK817" s="0" t="n">
        <v>23</v>
      </c>
      <c r="AL817" s="0" t="n">
        <v>1.28</v>
      </c>
    </row>
    <row r="818">
      <c r="A818" s="0" t="inlineStr">
        <is>
          <t>[둔촌동]</t>
        </is>
      </c>
      <c r="B818" s="0" t="n">
        <v>13378</v>
      </c>
      <c r="C818" s="0" t="n">
        <v>4</v>
      </c>
      <c r="D818" s="0" t="inlineStr">
        <is>
          <t>주풍그린빌라트</t>
        </is>
      </c>
      <c r="E818" s="0" t="inlineStr">
        <is>
          <t>1996.03.</t>
        </is>
      </c>
      <c r="F818" s="0" t="n">
        <v>18</v>
      </c>
      <c r="G818" s="0" t="n">
        <v>57.45</v>
      </c>
      <c r="H818" s="0" t="n">
        <v>189.94</v>
      </c>
      <c r="I818" s="0" t="n">
        <v>53.97</v>
      </c>
      <c r="J818" s="0" t="n">
        <v>178.42</v>
      </c>
      <c r="K818" s="0" t="n">
        <v>1</v>
      </c>
      <c r="T818" s="0" t="n">
        <v>5</v>
      </c>
      <c r="U818" s="0" t="n">
        <v>3</v>
      </c>
      <c r="V818" s="0" t="inlineStr">
        <is>
          <t>계단식</t>
        </is>
      </c>
      <c r="W818" s="0" t="n">
        <v>189</v>
      </c>
      <c r="X818" s="0" t="n">
        <v>9</v>
      </c>
      <c r="Y818" s="0" t="n">
        <v>9</v>
      </c>
      <c r="Z818" s="0" t="inlineStr">
        <is>
          <t>https://new.land.naver.com/complexes/13378?tab=detail&amp;rf=Y</t>
        </is>
      </c>
      <c r="AA818" s="0" t="inlineStr">
        <is>
          <t>서울시 강동구 둔촌동 622-12</t>
        </is>
      </c>
      <c r="AB818" s="0" t="inlineStr">
        <is>
          <t>서울시</t>
        </is>
      </c>
      <c r="AC818" s="0" t="inlineStr">
        <is>
          <t>강동구</t>
        </is>
      </c>
      <c r="AD818" s="0" t="inlineStr">
        <is>
          <t>둔촌동</t>
        </is>
      </c>
      <c r="AG818" s="0" t="inlineStr">
        <is>
          <t>서울시 강동구 명일로 158-5</t>
        </is>
      </c>
      <c r="AH818" s="0" t="n">
        <v>0</v>
      </c>
      <c r="AI818" s="0" t="n">
        <v>249</v>
      </c>
      <c r="AJ818" s="0" t="n">
        <v>37</v>
      </c>
      <c r="AK818" s="0" t="n">
        <v>23</v>
      </c>
      <c r="AL818" s="0" t="n">
        <v>1.28</v>
      </c>
    </row>
    <row r="819">
      <c r="A819" s="0" t="inlineStr">
        <is>
          <t>[둔촌동]</t>
        </is>
      </c>
      <c r="B819" s="0" t="n">
        <v>13378</v>
      </c>
      <c r="C819" s="0" t="n">
        <v>5</v>
      </c>
      <c r="D819" s="0" t="inlineStr">
        <is>
          <t>주풍그린빌라트</t>
        </is>
      </c>
      <c r="E819" s="0" t="inlineStr">
        <is>
          <t>1996.03.</t>
        </is>
      </c>
      <c r="F819" s="0" t="n">
        <v>18</v>
      </c>
      <c r="G819" s="0" t="n">
        <v>60.14</v>
      </c>
      <c r="H819" s="0" t="n">
        <v>198.81</v>
      </c>
      <c r="I819" s="0" t="n">
        <v>56.49</v>
      </c>
      <c r="J819" s="0" t="n">
        <v>186.76</v>
      </c>
      <c r="K819" s="0" t="n">
        <v>8</v>
      </c>
      <c r="T819" s="0" t="n">
        <v>5</v>
      </c>
      <c r="U819" s="0" t="n">
        <v>3</v>
      </c>
      <c r="V819" s="0" t="inlineStr">
        <is>
          <t>계단식</t>
        </is>
      </c>
      <c r="W819" s="0" t="n">
        <v>198</v>
      </c>
      <c r="X819" s="0" t="n">
        <v>9</v>
      </c>
      <c r="Y819" s="0" t="n">
        <v>9</v>
      </c>
      <c r="Z819" s="0" t="inlineStr">
        <is>
          <t>https://new.land.naver.com/complexes/13378?tab=detail&amp;rf=Y</t>
        </is>
      </c>
      <c r="AA819" s="0" t="inlineStr">
        <is>
          <t>서울시 강동구 둔촌동 622-12</t>
        </is>
      </c>
      <c r="AB819" s="0" t="inlineStr">
        <is>
          <t>서울시</t>
        </is>
      </c>
      <c r="AC819" s="0" t="inlineStr">
        <is>
          <t>강동구</t>
        </is>
      </c>
      <c r="AD819" s="0" t="inlineStr">
        <is>
          <t>둔촌동</t>
        </is>
      </c>
      <c r="AG819" s="0" t="inlineStr">
        <is>
          <t>서울시 강동구 명일로 158-5</t>
        </is>
      </c>
      <c r="AH819" s="0" t="n">
        <v>0</v>
      </c>
      <c r="AI819" s="0" t="n">
        <v>249</v>
      </c>
      <c r="AJ819" s="0" t="n">
        <v>37</v>
      </c>
      <c r="AK819" s="0" t="n">
        <v>23</v>
      </c>
      <c r="AL819" s="0" t="n">
        <v>1.28</v>
      </c>
    </row>
    <row r="820">
      <c r="A820" s="0" t="inlineStr">
        <is>
          <t>[둔촌동]</t>
        </is>
      </c>
      <c r="B820" s="0" t="n">
        <v>22858</v>
      </c>
      <c r="C820" s="0" t="n">
        <v>1</v>
      </c>
      <c r="D820" s="0" t="inlineStr">
        <is>
          <t>태상아트빌</t>
        </is>
      </c>
      <c r="E820" s="0" t="inlineStr">
        <is>
          <t>2002.07.</t>
        </is>
      </c>
      <c r="F820" s="0" t="n">
        <v>10</v>
      </c>
      <c r="G820" s="0" t="n">
        <v>17.41</v>
      </c>
      <c r="H820" s="0" t="n">
        <v>57.57</v>
      </c>
      <c r="I820" s="0" t="n">
        <v>12.91</v>
      </c>
      <c r="J820" s="0" t="n">
        <v>42.71</v>
      </c>
      <c r="K820" s="0" t="n">
        <v>1</v>
      </c>
      <c r="T820" s="0" t="n">
        <v>2</v>
      </c>
      <c r="U820" s="0" t="n">
        <v>1</v>
      </c>
      <c r="V820" s="0" t="inlineStr">
        <is>
          <t>복도식</t>
        </is>
      </c>
      <c r="W820" s="0" t="n">
        <v>57</v>
      </c>
      <c r="X820" s="0" t="n">
        <v>5</v>
      </c>
      <c r="Y820" s="0" t="n">
        <v>5</v>
      </c>
      <c r="Z820" s="0" t="inlineStr">
        <is>
          <t>https://new.land.naver.com/complexes/22858?tab=detail&amp;rf=Y</t>
        </is>
      </c>
      <c r="AA820" s="0" t="inlineStr">
        <is>
          <t>서울시 강동구 둔촌동 61-8</t>
        </is>
      </c>
      <c r="AB820" s="0" t="inlineStr">
        <is>
          <t>서울시</t>
        </is>
      </c>
      <c r="AC820" s="0" t="inlineStr">
        <is>
          <t>강동구</t>
        </is>
      </c>
      <c r="AD820" s="0" t="inlineStr">
        <is>
          <t>둔촌동</t>
        </is>
      </c>
      <c r="AG820" s="0" t="inlineStr">
        <is>
          <t>서울시 강동구 천호대로186길 23-9</t>
        </is>
      </c>
      <c r="AH820" s="0" t="n">
        <v>0</v>
      </c>
      <c r="AI820" s="0" t="n">
        <v>241</v>
      </c>
      <c r="AJ820" s="0" t="n">
        <v>58</v>
      </c>
      <c r="AK820" s="0" t="n">
        <v>8</v>
      </c>
      <c r="AL820" s="0" t="n">
        <v>0.8</v>
      </c>
    </row>
    <row r="821">
      <c r="A821" s="0" t="inlineStr">
        <is>
          <t>[둔촌동]</t>
        </is>
      </c>
      <c r="B821" s="0" t="n">
        <v>22858</v>
      </c>
      <c r="C821" s="0" t="n">
        <v>2</v>
      </c>
      <c r="D821" s="0" t="inlineStr">
        <is>
          <t>태상아트빌</t>
        </is>
      </c>
      <c r="E821" s="0" t="inlineStr">
        <is>
          <t>2002.07.</t>
        </is>
      </c>
      <c r="F821" s="0" t="n">
        <v>10</v>
      </c>
      <c r="G821" s="0" t="n">
        <v>18.12</v>
      </c>
      <c r="H821" s="0" t="n">
        <v>59.92</v>
      </c>
      <c r="I821" s="0" t="n">
        <v>13.44</v>
      </c>
      <c r="J821" s="0" t="n">
        <v>44.45</v>
      </c>
      <c r="K821" s="0" t="n">
        <v>1</v>
      </c>
      <c r="T821" s="0" t="n">
        <v>2</v>
      </c>
      <c r="U821" s="0" t="n">
        <v>1</v>
      </c>
      <c r="V821" s="0" t="inlineStr">
        <is>
          <t>복도식</t>
        </is>
      </c>
      <c r="W821" s="0" t="n">
        <v>59</v>
      </c>
      <c r="X821" s="0" t="n">
        <v>5</v>
      </c>
      <c r="Y821" s="0" t="n">
        <v>5</v>
      </c>
      <c r="Z821" s="0" t="inlineStr">
        <is>
          <t>https://new.land.naver.com/complexes/22858?tab=detail&amp;rf=Y</t>
        </is>
      </c>
      <c r="AA821" s="0" t="inlineStr">
        <is>
          <t>서울시 강동구 둔촌동 61-8</t>
        </is>
      </c>
      <c r="AB821" s="0" t="inlineStr">
        <is>
          <t>서울시</t>
        </is>
      </c>
      <c r="AC821" s="0" t="inlineStr">
        <is>
          <t>강동구</t>
        </is>
      </c>
      <c r="AD821" s="0" t="inlineStr">
        <is>
          <t>둔촌동</t>
        </is>
      </c>
      <c r="AG821" s="0" t="inlineStr">
        <is>
          <t>서울시 강동구 천호대로186길 23-9</t>
        </is>
      </c>
      <c r="AH821" s="0" t="n">
        <v>0</v>
      </c>
      <c r="AI821" s="0" t="n">
        <v>241</v>
      </c>
      <c r="AJ821" s="0" t="n">
        <v>58</v>
      </c>
      <c r="AK821" s="0" t="n">
        <v>8</v>
      </c>
      <c r="AL821" s="0" t="n">
        <v>0.8</v>
      </c>
    </row>
    <row r="822">
      <c r="A822" s="0" t="inlineStr">
        <is>
          <t>[둔촌동]</t>
        </is>
      </c>
      <c r="B822" s="0" t="n">
        <v>22858</v>
      </c>
      <c r="C822" s="0" t="n">
        <v>3</v>
      </c>
      <c r="D822" s="0" t="inlineStr">
        <is>
          <t>태상아트빌</t>
        </is>
      </c>
      <c r="E822" s="0" t="inlineStr">
        <is>
          <t>2002.07.</t>
        </is>
      </c>
      <c r="F822" s="0" t="n">
        <v>10</v>
      </c>
      <c r="G822" s="0" t="n">
        <v>23.08</v>
      </c>
      <c r="H822" s="0" t="n">
        <v>76.33</v>
      </c>
      <c r="I822" s="0" t="n">
        <v>17.13</v>
      </c>
      <c r="J822" s="0" t="n">
        <v>56.63</v>
      </c>
      <c r="K822" s="0" t="n">
        <v>1</v>
      </c>
      <c r="T822" s="0" t="n">
        <v>3</v>
      </c>
      <c r="U822" s="0" t="n">
        <v>1</v>
      </c>
      <c r="V822" s="0" t="inlineStr">
        <is>
          <t>복도식</t>
        </is>
      </c>
      <c r="W822" s="0" t="n">
        <v>76</v>
      </c>
      <c r="X822" s="0" t="n">
        <v>5</v>
      </c>
      <c r="Y822" s="0" t="n">
        <v>5</v>
      </c>
      <c r="Z822" s="0" t="inlineStr">
        <is>
          <t>https://new.land.naver.com/complexes/22858?tab=detail&amp;rf=Y</t>
        </is>
      </c>
      <c r="AA822" s="0" t="inlineStr">
        <is>
          <t>서울시 강동구 둔촌동 61-8</t>
        </is>
      </c>
      <c r="AB822" s="0" t="inlineStr">
        <is>
          <t>서울시</t>
        </is>
      </c>
      <c r="AC822" s="0" t="inlineStr">
        <is>
          <t>강동구</t>
        </is>
      </c>
      <c r="AD822" s="0" t="inlineStr">
        <is>
          <t>둔촌동</t>
        </is>
      </c>
      <c r="AG822" s="0" t="inlineStr">
        <is>
          <t>서울시 강동구 천호대로186길 23-9</t>
        </is>
      </c>
      <c r="AH822" s="0" t="n">
        <v>0</v>
      </c>
      <c r="AI822" s="0" t="n">
        <v>241</v>
      </c>
      <c r="AJ822" s="0" t="n">
        <v>58</v>
      </c>
      <c r="AK822" s="0" t="n">
        <v>8</v>
      </c>
      <c r="AL822" s="0" t="n">
        <v>0.8</v>
      </c>
    </row>
    <row r="823">
      <c r="A823" s="0" t="inlineStr">
        <is>
          <t>[둔촌동]</t>
        </is>
      </c>
      <c r="B823" s="0" t="n">
        <v>22858</v>
      </c>
      <c r="C823" s="0" t="n">
        <v>4</v>
      </c>
      <c r="D823" s="0" t="inlineStr">
        <is>
          <t>태상아트빌</t>
        </is>
      </c>
      <c r="E823" s="0" t="inlineStr">
        <is>
          <t>2002.07.</t>
        </is>
      </c>
      <c r="F823" s="0" t="n">
        <v>10</v>
      </c>
      <c r="G823" s="0" t="n">
        <v>24.07</v>
      </c>
      <c r="H823" s="0" t="n">
        <v>79.58</v>
      </c>
      <c r="I823" s="0" t="n">
        <v>17.85</v>
      </c>
      <c r="J823" s="0" t="n">
        <v>59.04</v>
      </c>
      <c r="K823" s="0" t="n">
        <v>1</v>
      </c>
      <c r="T823" s="0" t="n">
        <v>3</v>
      </c>
      <c r="U823" s="0" t="n">
        <v>1</v>
      </c>
      <c r="V823" s="0" t="inlineStr">
        <is>
          <t>복도식</t>
        </is>
      </c>
      <c r="W823" s="0" t="n">
        <v>79</v>
      </c>
      <c r="X823" s="0" t="n">
        <v>5</v>
      </c>
      <c r="Y823" s="0" t="n">
        <v>5</v>
      </c>
      <c r="Z823" s="0" t="inlineStr">
        <is>
          <t>https://new.land.naver.com/complexes/22858?tab=detail&amp;rf=Y</t>
        </is>
      </c>
      <c r="AA823" s="0" t="inlineStr">
        <is>
          <t>서울시 강동구 둔촌동 61-8</t>
        </is>
      </c>
      <c r="AB823" s="0" t="inlineStr">
        <is>
          <t>서울시</t>
        </is>
      </c>
      <c r="AC823" s="0" t="inlineStr">
        <is>
          <t>강동구</t>
        </is>
      </c>
      <c r="AD823" s="0" t="inlineStr">
        <is>
          <t>둔촌동</t>
        </is>
      </c>
      <c r="AG823" s="0" t="inlineStr">
        <is>
          <t>서울시 강동구 천호대로186길 23-9</t>
        </is>
      </c>
      <c r="AH823" s="0" t="n">
        <v>0</v>
      </c>
      <c r="AI823" s="0" t="n">
        <v>241</v>
      </c>
      <c r="AJ823" s="0" t="n">
        <v>58</v>
      </c>
      <c r="AK823" s="0" t="n">
        <v>8</v>
      </c>
      <c r="AL823" s="0" t="n">
        <v>0.8</v>
      </c>
    </row>
    <row r="824">
      <c r="A824" s="0" t="inlineStr">
        <is>
          <t>[둔촌동]</t>
        </is>
      </c>
      <c r="B824" s="0" t="n">
        <v>22858</v>
      </c>
      <c r="C824" s="0" t="n">
        <v>5</v>
      </c>
      <c r="D824" s="0" t="inlineStr">
        <is>
          <t>태상아트빌</t>
        </is>
      </c>
      <c r="E824" s="0" t="inlineStr">
        <is>
          <t>2002.07.</t>
        </is>
      </c>
      <c r="F824" s="0" t="n">
        <v>10</v>
      </c>
      <c r="G824" s="0" t="n">
        <v>29.69</v>
      </c>
      <c r="H824" s="0" t="n">
        <v>98.15000000000001</v>
      </c>
      <c r="I824" s="0" t="n">
        <v>22.02</v>
      </c>
      <c r="J824" s="0" t="n">
        <v>72.81</v>
      </c>
      <c r="K824" s="0" t="n">
        <v>3</v>
      </c>
      <c r="T824" s="0" t="n">
        <v>3</v>
      </c>
      <c r="U824" s="0" t="n">
        <v>2</v>
      </c>
      <c r="V824" s="0" t="inlineStr">
        <is>
          <t>계단식</t>
        </is>
      </c>
      <c r="W824" s="0" t="inlineStr">
        <is>
          <t>98A</t>
        </is>
      </c>
      <c r="X824" s="0" t="n">
        <v>5</v>
      </c>
      <c r="Y824" s="0" t="n">
        <v>5</v>
      </c>
      <c r="Z824" s="0" t="inlineStr">
        <is>
          <t>https://new.land.naver.com/complexes/22858?tab=detail&amp;rf=Y</t>
        </is>
      </c>
      <c r="AA824" s="0" t="inlineStr">
        <is>
          <t>서울시 강동구 둔촌동 61-8</t>
        </is>
      </c>
      <c r="AB824" s="0" t="inlineStr">
        <is>
          <t>서울시</t>
        </is>
      </c>
      <c r="AC824" s="0" t="inlineStr">
        <is>
          <t>강동구</t>
        </is>
      </c>
      <c r="AD824" s="0" t="inlineStr">
        <is>
          <t>둔촌동</t>
        </is>
      </c>
      <c r="AG824" s="0" t="inlineStr">
        <is>
          <t>서울시 강동구 천호대로186길 23-9</t>
        </is>
      </c>
      <c r="AH824" s="0" t="n">
        <v>0</v>
      </c>
      <c r="AI824" s="0" t="n">
        <v>241</v>
      </c>
      <c r="AJ824" s="0" t="n">
        <v>58</v>
      </c>
      <c r="AK824" s="0" t="n">
        <v>8</v>
      </c>
      <c r="AL824" s="0" t="n">
        <v>0.8</v>
      </c>
    </row>
    <row r="825">
      <c r="A825" s="0" t="inlineStr">
        <is>
          <t>[둔촌동]</t>
        </is>
      </c>
      <c r="B825" s="0" t="n">
        <v>22858</v>
      </c>
      <c r="C825" s="0" t="n">
        <v>6</v>
      </c>
      <c r="D825" s="0" t="inlineStr">
        <is>
          <t>태상아트빌</t>
        </is>
      </c>
      <c r="E825" s="0" t="inlineStr">
        <is>
          <t>2002.07.</t>
        </is>
      </c>
      <c r="F825" s="0" t="n">
        <v>10</v>
      </c>
      <c r="G825" s="0" t="n">
        <v>30.35</v>
      </c>
      <c r="H825" s="0" t="n">
        <v>100.36</v>
      </c>
      <c r="I825" s="0" t="n">
        <v>22.52</v>
      </c>
      <c r="J825" s="0" t="n">
        <v>74.45</v>
      </c>
      <c r="K825" s="0" t="n">
        <v>3</v>
      </c>
      <c r="T825" s="0" t="n">
        <v>3</v>
      </c>
      <c r="U825" s="0" t="n">
        <v>2</v>
      </c>
      <c r="V825" s="0" t="inlineStr">
        <is>
          <t>계단식</t>
        </is>
      </c>
      <c r="W825" s="0" t="inlineStr">
        <is>
          <t>100B</t>
        </is>
      </c>
      <c r="X825" s="0" t="n">
        <v>5</v>
      </c>
      <c r="Y825" s="0" t="n">
        <v>5</v>
      </c>
      <c r="Z825" s="0" t="inlineStr">
        <is>
          <t>https://new.land.naver.com/complexes/22858?tab=detail&amp;rf=Y</t>
        </is>
      </c>
      <c r="AA825" s="0" t="inlineStr">
        <is>
          <t>서울시 강동구 둔촌동 61-8</t>
        </is>
      </c>
      <c r="AB825" s="0" t="inlineStr">
        <is>
          <t>서울시</t>
        </is>
      </c>
      <c r="AC825" s="0" t="inlineStr">
        <is>
          <t>강동구</t>
        </is>
      </c>
      <c r="AD825" s="0" t="inlineStr">
        <is>
          <t>둔촌동</t>
        </is>
      </c>
      <c r="AG825" s="0" t="inlineStr">
        <is>
          <t>서울시 강동구 천호대로186길 23-9</t>
        </is>
      </c>
      <c r="AH825" s="0" t="n">
        <v>0</v>
      </c>
      <c r="AI825" s="0" t="n">
        <v>241</v>
      </c>
      <c r="AJ825" s="0" t="n">
        <v>58</v>
      </c>
      <c r="AK825" s="0" t="n">
        <v>8</v>
      </c>
      <c r="AL825" s="0" t="n">
        <v>0.8</v>
      </c>
    </row>
    <row r="826">
      <c r="A826" s="0" t="inlineStr">
        <is>
          <t>[둔촌동]</t>
        </is>
      </c>
      <c r="B826" s="0" t="n">
        <v>27167</v>
      </c>
      <c r="C826" s="0" t="n">
        <v>1</v>
      </c>
      <c r="D826" s="0" t="inlineStr">
        <is>
          <t>율전에버그린</t>
        </is>
      </c>
      <c r="E826" s="0" t="inlineStr">
        <is>
          <t>2007.10.</t>
        </is>
      </c>
      <c r="F826" s="0" t="n">
        <v>18</v>
      </c>
      <c r="G826" s="0" t="n">
        <v>28.64</v>
      </c>
      <c r="H826" s="0" t="n">
        <v>94.7</v>
      </c>
      <c r="I826" s="0" t="n">
        <v>25.48</v>
      </c>
      <c r="J826" s="0" t="n">
        <v>84.23999999999999</v>
      </c>
      <c r="K826" s="0" t="n">
        <v>6</v>
      </c>
      <c r="T826" s="0" t="n">
        <v>3</v>
      </c>
      <c r="U826" s="0" t="n">
        <v>2</v>
      </c>
      <c r="V826" s="0" t="inlineStr">
        <is>
          <t>계단식</t>
        </is>
      </c>
      <c r="W826" s="0" t="inlineStr">
        <is>
          <t>94A</t>
        </is>
      </c>
      <c r="X826" s="0" t="n">
        <v>7</v>
      </c>
      <c r="Y826" s="0" t="n">
        <v>7</v>
      </c>
      <c r="Z826" s="0" t="inlineStr">
        <is>
          <t>https://new.land.naver.com/complexes/27167?tab=detail&amp;rf=Y</t>
        </is>
      </c>
      <c r="AA826" s="0" t="inlineStr">
        <is>
          <t>서울시 강동구 둔촌동 104-3</t>
        </is>
      </c>
      <c r="AB826" s="0" t="inlineStr">
        <is>
          <t>서울시</t>
        </is>
      </c>
      <c r="AC826" s="0" t="inlineStr">
        <is>
          <t>강동구</t>
        </is>
      </c>
      <c r="AD826" s="0" t="inlineStr">
        <is>
          <t>둔촌동</t>
        </is>
      </c>
      <c r="AG826" s="0" t="inlineStr">
        <is>
          <t>서울시 강동구 풍성로73길 17</t>
        </is>
      </c>
      <c r="AH826" s="0" t="n">
        <v>0</v>
      </c>
      <c r="AI826" s="0" t="n">
        <v>182</v>
      </c>
      <c r="AJ826" s="0" t="n">
        <v>38</v>
      </c>
      <c r="AK826" s="0" t="n">
        <v>14</v>
      </c>
      <c r="AL826" s="0" t="n">
        <v>0.78</v>
      </c>
    </row>
    <row r="827">
      <c r="A827" s="0" t="inlineStr">
        <is>
          <t>[둔촌동]</t>
        </is>
      </c>
      <c r="B827" s="0" t="n">
        <v>27167</v>
      </c>
      <c r="C827" s="0" t="n">
        <v>2</v>
      </c>
      <c r="D827" s="0" t="inlineStr">
        <is>
          <t>율전에버그린</t>
        </is>
      </c>
      <c r="E827" s="0" t="inlineStr">
        <is>
          <t>2007.10.</t>
        </is>
      </c>
      <c r="F827" s="0" t="n">
        <v>18</v>
      </c>
      <c r="G827" s="0" t="n">
        <v>28.66</v>
      </c>
      <c r="H827" s="0" t="n">
        <v>94.77</v>
      </c>
      <c r="I827" s="0" t="n">
        <v>25.5</v>
      </c>
      <c r="J827" s="0" t="n">
        <v>84.31</v>
      </c>
      <c r="K827" s="0" t="n">
        <v>6</v>
      </c>
      <c r="T827" s="0" t="n">
        <v>3</v>
      </c>
      <c r="U827" s="0" t="n">
        <v>2</v>
      </c>
      <c r="V827" s="0" t="inlineStr">
        <is>
          <t>계단식</t>
        </is>
      </c>
      <c r="W827" s="0" t="inlineStr">
        <is>
          <t>94B</t>
        </is>
      </c>
      <c r="X827" s="0" t="n">
        <v>7</v>
      </c>
      <c r="Y827" s="0" t="n">
        <v>7</v>
      </c>
      <c r="Z827" s="0" t="inlineStr">
        <is>
          <t>https://new.land.naver.com/complexes/27167?tab=detail&amp;rf=Y</t>
        </is>
      </c>
      <c r="AA827" s="0" t="inlineStr">
        <is>
          <t>서울시 강동구 둔촌동 104-3</t>
        </is>
      </c>
      <c r="AB827" s="0" t="inlineStr">
        <is>
          <t>서울시</t>
        </is>
      </c>
      <c r="AC827" s="0" t="inlineStr">
        <is>
          <t>강동구</t>
        </is>
      </c>
      <c r="AD827" s="0" t="inlineStr">
        <is>
          <t>둔촌동</t>
        </is>
      </c>
      <c r="AG827" s="0" t="inlineStr">
        <is>
          <t>서울시 강동구 풍성로73길 17</t>
        </is>
      </c>
      <c r="AH827" s="0" t="n">
        <v>0</v>
      </c>
      <c r="AI827" s="0" t="n">
        <v>182</v>
      </c>
      <c r="AJ827" s="0" t="n">
        <v>38</v>
      </c>
      <c r="AK827" s="0" t="n">
        <v>14</v>
      </c>
      <c r="AL827" s="0" t="n">
        <v>0.78</v>
      </c>
    </row>
    <row r="828">
      <c r="A828" s="0" t="inlineStr">
        <is>
          <t>[둔촌동]</t>
        </is>
      </c>
      <c r="B828" s="0" t="n">
        <v>27167</v>
      </c>
      <c r="C828" s="0" t="n">
        <v>3</v>
      </c>
      <c r="D828" s="0" t="inlineStr">
        <is>
          <t>율전에버그린</t>
        </is>
      </c>
      <c r="E828" s="0" t="inlineStr">
        <is>
          <t>2007.10.</t>
        </is>
      </c>
      <c r="F828" s="0" t="n">
        <v>18</v>
      </c>
      <c r="G828" s="0" t="n">
        <v>35.85</v>
      </c>
      <c r="H828" s="0" t="n">
        <v>118.54</v>
      </c>
      <c r="I828" s="0" t="n">
        <v>31.89</v>
      </c>
      <c r="J828" s="0" t="n">
        <v>105.45</v>
      </c>
      <c r="K828" s="0" t="n">
        <v>6</v>
      </c>
      <c r="T828" s="0" t="n">
        <v>3</v>
      </c>
      <c r="U828" s="0" t="n">
        <v>2</v>
      </c>
      <c r="V828" s="0" t="inlineStr">
        <is>
          <t>계단식</t>
        </is>
      </c>
      <c r="W828" s="0" t="n">
        <v>118</v>
      </c>
      <c r="X828" s="0" t="n">
        <v>7</v>
      </c>
      <c r="Y828" s="0" t="n">
        <v>7</v>
      </c>
      <c r="Z828" s="0" t="inlineStr">
        <is>
          <t>https://new.land.naver.com/complexes/27167?tab=detail&amp;rf=Y</t>
        </is>
      </c>
      <c r="AA828" s="0" t="inlineStr">
        <is>
          <t>서울시 강동구 둔촌동 104-3</t>
        </is>
      </c>
      <c r="AB828" s="0" t="inlineStr">
        <is>
          <t>서울시</t>
        </is>
      </c>
      <c r="AC828" s="0" t="inlineStr">
        <is>
          <t>강동구</t>
        </is>
      </c>
      <c r="AD828" s="0" t="inlineStr">
        <is>
          <t>둔촌동</t>
        </is>
      </c>
      <c r="AG828" s="0" t="inlineStr">
        <is>
          <t>서울시 강동구 풍성로73길 17</t>
        </is>
      </c>
      <c r="AH828" s="0" t="n">
        <v>0</v>
      </c>
      <c r="AI828" s="0" t="n">
        <v>182</v>
      </c>
      <c r="AJ828" s="0" t="n">
        <v>38</v>
      </c>
      <c r="AK828" s="0" t="n">
        <v>14</v>
      </c>
      <c r="AL828" s="0" t="n">
        <v>0.78</v>
      </c>
    </row>
    <row r="829">
      <c r="A829" s="0" t="inlineStr">
        <is>
          <t>[둔촌동]</t>
        </is>
      </c>
      <c r="B829" s="0" t="n">
        <v>132187</v>
      </c>
      <c r="C829" s="0" t="n">
        <v>1</v>
      </c>
      <c r="D829" s="0" t="inlineStr">
        <is>
          <t>삼성아트빌(도시형)</t>
        </is>
      </c>
      <c r="E829" s="0" t="inlineStr">
        <is>
          <t>2016.09.</t>
        </is>
      </c>
      <c r="F829" s="0" t="n">
        <v>15</v>
      </c>
      <c r="G829" s="0" t="n">
        <v>9.460000000000001</v>
      </c>
      <c r="H829" s="0" t="n">
        <v>31.28</v>
      </c>
      <c r="I829" s="0" t="n">
        <v>8.25</v>
      </c>
      <c r="J829" s="0" t="n">
        <v>27.28</v>
      </c>
      <c r="K829" s="0" t="n">
        <v>1</v>
      </c>
      <c r="T829" s="0" t="n">
        <v>1</v>
      </c>
      <c r="U829" s="0" t="n">
        <v>1</v>
      </c>
      <c r="V829" s="0" t="inlineStr">
        <is>
          <t>계단식</t>
        </is>
      </c>
      <c r="W829" s="0" t="n">
        <v>31</v>
      </c>
      <c r="X829" s="0" t="n">
        <v>6</v>
      </c>
      <c r="Y829" s="0" t="n">
        <v>6</v>
      </c>
      <c r="Z829" s="0" t="inlineStr">
        <is>
          <t>https://new.land.naver.com/complexes/132187?tab=detail&amp;rf=Y</t>
        </is>
      </c>
      <c r="AA829" s="0" t="inlineStr">
        <is>
          <t>서울시 강동구 둔촌동 77-70</t>
        </is>
      </c>
      <c r="AB829" s="0" t="inlineStr">
        <is>
          <t>서울시</t>
        </is>
      </c>
      <c r="AC829" s="0" t="inlineStr">
        <is>
          <t>강동구</t>
        </is>
      </c>
      <c r="AD829" s="0" t="inlineStr">
        <is>
          <t>둔촌동</t>
        </is>
      </c>
      <c r="AG829" s="0" t="inlineStr">
        <is>
          <t>서울시 강동구 양재대로102가길 41</t>
        </is>
      </c>
      <c r="AH829" s="0" t="n">
        <v>0</v>
      </c>
      <c r="AI829" s="0" t="n">
        <v>199</v>
      </c>
      <c r="AJ829" s="0" t="n">
        <v>46</v>
      </c>
      <c r="AK829" s="0" t="n">
        <v>11</v>
      </c>
      <c r="AL829" s="0" t="n">
        <v>0.73</v>
      </c>
    </row>
    <row r="830">
      <c r="A830" s="0" t="inlineStr">
        <is>
          <t>[둔촌동]</t>
        </is>
      </c>
      <c r="B830" s="0" t="n">
        <v>132187</v>
      </c>
      <c r="C830" s="0" t="n">
        <v>2</v>
      </c>
      <c r="D830" s="0" t="inlineStr">
        <is>
          <t>삼성아트빌(도시형)</t>
        </is>
      </c>
      <c r="E830" s="0" t="inlineStr">
        <is>
          <t>2016.09.</t>
        </is>
      </c>
      <c r="F830" s="0" t="n">
        <v>15</v>
      </c>
      <c r="G830" s="0" t="n">
        <v>11.26</v>
      </c>
      <c r="H830" s="0" t="n">
        <v>37.25</v>
      </c>
      <c r="I830" s="0" t="n">
        <v>9.82</v>
      </c>
      <c r="J830" s="0" t="n">
        <v>32.48</v>
      </c>
      <c r="K830" s="0" t="n">
        <v>5</v>
      </c>
      <c r="T830" s="0" t="n">
        <v>1</v>
      </c>
      <c r="U830" s="0" t="n">
        <v>1</v>
      </c>
      <c r="V830" s="0" t="inlineStr">
        <is>
          <t>계단식</t>
        </is>
      </c>
      <c r="W830" s="0" t="n">
        <v>37</v>
      </c>
      <c r="X830" s="0" t="n">
        <v>6</v>
      </c>
      <c r="Y830" s="0" t="n">
        <v>6</v>
      </c>
      <c r="Z830" s="0" t="inlineStr">
        <is>
          <t>https://new.land.naver.com/complexes/132187?tab=detail&amp;rf=Y</t>
        </is>
      </c>
      <c r="AA830" s="0" t="inlineStr">
        <is>
          <t>서울시 강동구 둔촌동 77-70</t>
        </is>
      </c>
      <c r="AB830" s="0" t="inlineStr">
        <is>
          <t>서울시</t>
        </is>
      </c>
      <c r="AC830" s="0" t="inlineStr">
        <is>
          <t>강동구</t>
        </is>
      </c>
      <c r="AD830" s="0" t="inlineStr">
        <is>
          <t>둔촌동</t>
        </is>
      </c>
      <c r="AG830" s="0" t="inlineStr">
        <is>
          <t>서울시 강동구 양재대로102가길 41</t>
        </is>
      </c>
      <c r="AH830" s="0" t="n">
        <v>0</v>
      </c>
      <c r="AI830" s="0" t="n">
        <v>199</v>
      </c>
      <c r="AJ830" s="0" t="n">
        <v>46</v>
      </c>
      <c r="AK830" s="0" t="n">
        <v>11</v>
      </c>
      <c r="AL830" s="0" t="n">
        <v>0.73</v>
      </c>
    </row>
    <row r="831">
      <c r="A831" s="0" t="inlineStr">
        <is>
          <t>[둔촌동]</t>
        </is>
      </c>
      <c r="B831" s="0" t="n">
        <v>132187</v>
      </c>
      <c r="C831" s="0" t="n">
        <v>3</v>
      </c>
      <c r="D831" s="0" t="inlineStr">
        <is>
          <t>삼성아트빌(도시형)</t>
        </is>
      </c>
      <c r="E831" s="0" t="inlineStr">
        <is>
          <t>2016.09.</t>
        </is>
      </c>
      <c r="F831" s="0" t="n">
        <v>15</v>
      </c>
      <c r="G831" s="0" t="n">
        <v>12.86</v>
      </c>
      <c r="H831" s="0" t="n">
        <v>42.53</v>
      </c>
      <c r="I831" s="0" t="n">
        <v>11.21</v>
      </c>
      <c r="J831" s="0" t="n">
        <v>37.09</v>
      </c>
      <c r="K831" s="0" t="n">
        <v>1</v>
      </c>
      <c r="T831" s="0" t="n">
        <v>2</v>
      </c>
      <c r="U831" s="0" t="n">
        <v>1</v>
      </c>
      <c r="V831" s="0" t="inlineStr">
        <is>
          <t>계단식</t>
        </is>
      </c>
      <c r="W831" s="0" t="n">
        <v>42</v>
      </c>
      <c r="X831" s="0" t="n">
        <v>6</v>
      </c>
      <c r="Y831" s="0" t="n">
        <v>6</v>
      </c>
      <c r="Z831" s="0" t="inlineStr">
        <is>
          <t>https://new.land.naver.com/complexes/132187?tab=detail&amp;rf=Y</t>
        </is>
      </c>
      <c r="AA831" s="0" t="inlineStr">
        <is>
          <t>서울시 강동구 둔촌동 77-70</t>
        </is>
      </c>
      <c r="AB831" s="0" t="inlineStr">
        <is>
          <t>서울시</t>
        </is>
      </c>
      <c r="AC831" s="0" t="inlineStr">
        <is>
          <t>강동구</t>
        </is>
      </c>
      <c r="AD831" s="0" t="inlineStr">
        <is>
          <t>둔촌동</t>
        </is>
      </c>
      <c r="AG831" s="0" t="inlineStr">
        <is>
          <t>서울시 강동구 양재대로102가길 41</t>
        </is>
      </c>
      <c r="AH831" s="0" t="n">
        <v>0</v>
      </c>
      <c r="AI831" s="0" t="n">
        <v>199</v>
      </c>
      <c r="AJ831" s="0" t="n">
        <v>46</v>
      </c>
      <c r="AK831" s="0" t="n">
        <v>11</v>
      </c>
      <c r="AL831" s="0" t="n">
        <v>0.73</v>
      </c>
    </row>
    <row r="832">
      <c r="A832" s="0" t="inlineStr">
        <is>
          <t>[둔촌동]</t>
        </is>
      </c>
      <c r="B832" s="0" t="n">
        <v>132187</v>
      </c>
      <c r="C832" s="0" t="n">
        <v>4</v>
      </c>
      <c r="D832" s="0" t="inlineStr">
        <is>
          <t>삼성아트빌(도시형)</t>
        </is>
      </c>
      <c r="E832" s="0" t="inlineStr">
        <is>
          <t>2016.09.</t>
        </is>
      </c>
      <c r="F832" s="0" t="n">
        <v>15</v>
      </c>
      <c r="G832" s="0" t="n">
        <v>15.1</v>
      </c>
      <c r="H832" s="0" t="n">
        <v>49.93</v>
      </c>
      <c r="I832" s="0" t="n">
        <v>13.17</v>
      </c>
      <c r="J832" s="0" t="n">
        <v>43.54</v>
      </c>
      <c r="K832" s="0" t="n">
        <v>4</v>
      </c>
      <c r="T832" s="0" t="n">
        <v>2</v>
      </c>
      <c r="U832" s="0" t="n">
        <v>1</v>
      </c>
      <c r="V832" s="0" t="inlineStr">
        <is>
          <t>계단식</t>
        </is>
      </c>
      <c r="W832" s="0" t="inlineStr">
        <is>
          <t>49A</t>
        </is>
      </c>
      <c r="X832" s="0" t="n">
        <v>6</v>
      </c>
      <c r="Y832" s="0" t="n">
        <v>6</v>
      </c>
      <c r="Z832" s="0" t="inlineStr">
        <is>
          <t>https://new.land.naver.com/complexes/132187?tab=detail&amp;rf=Y</t>
        </is>
      </c>
      <c r="AA832" s="0" t="inlineStr">
        <is>
          <t>서울시 강동구 둔촌동 77-70</t>
        </is>
      </c>
      <c r="AB832" s="0" t="inlineStr">
        <is>
          <t>서울시</t>
        </is>
      </c>
      <c r="AC832" s="0" t="inlineStr">
        <is>
          <t>강동구</t>
        </is>
      </c>
      <c r="AD832" s="0" t="inlineStr">
        <is>
          <t>둔촌동</t>
        </is>
      </c>
      <c r="AG832" s="0" t="inlineStr">
        <is>
          <t>서울시 강동구 양재대로102가길 41</t>
        </is>
      </c>
      <c r="AH832" s="0" t="n">
        <v>0</v>
      </c>
      <c r="AI832" s="0" t="n">
        <v>199</v>
      </c>
      <c r="AJ832" s="0" t="n">
        <v>46</v>
      </c>
      <c r="AK832" s="0" t="n">
        <v>11</v>
      </c>
      <c r="AL832" s="0" t="n">
        <v>0.73</v>
      </c>
    </row>
    <row r="833">
      <c r="A833" s="0" t="inlineStr">
        <is>
          <t>[둔촌동]</t>
        </is>
      </c>
      <c r="B833" s="0" t="n">
        <v>132187</v>
      </c>
      <c r="C833" s="0" t="n">
        <v>5</v>
      </c>
      <c r="D833" s="0" t="inlineStr">
        <is>
          <t>삼성아트빌(도시형)</t>
        </is>
      </c>
      <c r="E833" s="0" t="inlineStr">
        <is>
          <t>2016.09.</t>
        </is>
      </c>
      <c r="F833" s="0" t="n">
        <v>15</v>
      </c>
      <c r="G833" s="0" t="n">
        <v>15.12</v>
      </c>
      <c r="H833" s="0" t="n">
        <v>50</v>
      </c>
      <c r="I833" s="0" t="n">
        <v>13.18</v>
      </c>
      <c r="J833" s="0" t="n">
        <v>43.6</v>
      </c>
      <c r="K833" s="0" t="n">
        <v>4</v>
      </c>
      <c r="T833" s="0" t="n">
        <v>2</v>
      </c>
      <c r="U833" s="0" t="n">
        <v>1</v>
      </c>
      <c r="V833" s="0" t="inlineStr">
        <is>
          <t>계단식</t>
        </is>
      </c>
      <c r="W833" s="0" t="inlineStr">
        <is>
          <t>50B</t>
        </is>
      </c>
      <c r="X833" s="0" t="n">
        <v>6</v>
      </c>
      <c r="Y833" s="0" t="n">
        <v>6</v>
      </c>
      <c r="Z833" s="0" t="inlineStr">
        <is>
          <t>https://new.land.naver.com/complexes/132187?tab=detail&amp;rf=Y</t>
        </is>
      </c>
      <c r="AA833" s="0" t="inlineStr">
        <is>
          <t>서울시 강동구 둔촌동 77-70</t>
        </is>
      </c>
      <c r="AB833" s="0" t="inlineStr">
        <is>
          <t>서울시</t>
        </is>
      </c>
      <c r="AC833" s="0" t="inlineStr">
        <is>
          <t>강동구</t>
        </is>
      </c>
      <c r="AD833" s="0" t="inlineStr">
        <is>
          <t>둔촌동</t>
        </is>
      </c>
      <c r="AG833" s="0" t="inlineStr">
        <is>
          <t>서울시 강동구 양재대로102가길 41</t>
        </is>
      </c>
      <c r="AH833" s="0" t="n">
        <v>0</v>
      </c>
      <c r="AI833" s="0" t="n">
        <v>199</v>
      </c>
      <c r="AJ833" s="0" t="n">
        <v>46</v>
      </c>
      <c r="AK833" s="0" t="n">
        <v>11</v>
      </c>
      <c r="AL833" s="0" t="n">
        <v>0.73</v>
      </c>
    </row>
    <row r="834">
      <c r="A834" s="0" t="inlineStr">
        <is>
          <t>[둔촌동]</t>
        </is>
      </c>
      <c r="B834" s="0" t="n">
        <v>110710</v>
      </c>
      <c r="C834" s="0" t="n">
        <v>1</v>
      </c>
      <c r="D834" s="0" t="inlineStr">
        <is>
          <t>도원빌</t>
        </is>
      </c>
      <c r="E834" s="0" t="inlineStr">
        <is>
          <t>2003.08.</t>
        </is>
      </c>
      <c r="F834" s="0" t="n">
        <v>12</v>
      </c>
      <c r="G834" s="0" t="n">
        <v>18.67</v>
      </c>
      <c r="H834" s="0" t="n">
        <v>61.74</v>
      </c>
      <c r="I834" s="0" t="n">
        <v>16.3</v>
      </c>
      <c r="J834" s="0" t="n">
        <v>53.9</v>
      </c>
      <c r="K834" s="0" t="n">
        <v>1</v>
      </c>
      <c r="T834" s="0" t="n">
        <v>2</v>
      </c>
      <c r="U834" s="0" t="n">
        <v>1</v>
      </c>
      <c r="V834" s="0" t="inlineStr">
        <is>
          <t>계단식</t>
        </is>
      </c>
      <c r="W834" s="0" t="n">
        <v>61</v>
      </c>
      <c r="X834" s="0" t="n">
        <v>7</v>
      </c>
      <c r="Y834" s="0" t="n">
        <v>7</v>
      </c>
      <c r="Z834" s="0" t="inlineStr">
        <is>
          <t>https://new.land.naver.com/complexes/110710?tab=detail&amp;rf=Y</t>
        </is>
      </c>
      <c r="AA834" s="0" t="inlineStr">
        <is>
          <t>서울시 강동구 둔촌동 446-4</t>
        </is>
      </c>
      <c r="AB834" s="0" t="inlineStr">
        <is>
          <t>서울시</t>
        </is>
      </c>
      <c r="AC834" s="0" t="inlineStr">
        <is>
          <t>강동구</t>
        </is>
      </c>
      <c r="AD834" s="0" t="inlineStr">
        <is>
          <t>둔촌동</t>
        </is>
      </c>
      <c r="AG834" s="0" t="inlineStr">
        <is>
          <t>서울시 강동구 양재대로102길 44</t>
        </is>
      </c>
      <c r="AH834" s="0" t="n">
        <v>0</v>
      </c>
      <c r="AI834" s="0" t="n">
        <v>269</v>
      </c>
      <c r="AJ834" s="0" t="n">
        <v>50</v>
      </c>
      <c r="AK834" s="0" t="n">
        <v>13</v>
      </c>
      <c r="AL834" s="0" t="n">
        <v>1.08</v>
      </c>
    </row>
    <row r="835">
      <c r="A835" s="0" t="inlineStr">
        <is>
          <t>[둔촌동]</t>
        </is>
      </c>
      <c r="B835" s="0" t="n">
        <v>110710</v>
      </c>
      <c r="C835" s="0" t="n">
        <v>2</v>
      </c>
      <c r="D835" s="0" t="inlineStr">
        <is>
          <t>도원빌</t>
        </is>
      </c>
      <c r="E835" s="0" t="inlineStr">
        <is>
          <t>2003.08.</t>
        </is>
      </c>
      <c r="F835" s="0" t="n">
        <v>12</v>
      </c>
      <c r="G835" s="0" t="n">
        <v>24.78</v>
      </c>
      <c r="H835" s="0" t="n">
        <v>81.94</v>
      </c>
      <c r="I835" s="0" t="n">
        <v>21.64</v>
      </c>
      <c r="J835" s="0" t="n">
        <v>71.54000000000001</v>
      </c>
      <c r="K835" s="0" t="n">
        <v>1</v>
      </c>
      <c r="T835" s="0" t="n">
        <v>3</v>
      </c>
      <c r="U835" s="0" t="n">
        <v>2</v>
      </c>
      <c r="V835" s="0" t="inlineStr">
        <is>
          <t>계단식</t>
        </is>
      </c>
      <c r="W835" s="0" t="inlineStr">
        <is>
          <t>81A</t>
        </is>
      </c>
      <c r="X835" s="0" t="n">
        <v>7</v>
      </c>
      <c r="Y835" s="0" t="n">
        <v>7</v>
      </c>
      <c r="Z835" s="0" t="inlineStr">
        <is>
          <t>https://new.land.naver.com/complexes/110710?tab=detail&amp;rf=Y</t>
        </is>
      </c>
      <c r="AA835" s="0" t="inlineStr">
        <is>
          <t>서울시 강동구 둔촌동 446-4</t>
        </is>
      </c>
      <c r="AB835" s="0" t="inlineStr">
        <is>
          <t>서울시</t>
        </is>
      </c>
      <c r="AC835" s="0" t="inlineStr">
        <is>
          <t>강동구</t>
        </is>
      </c>
      <c r="AD835" s="0" t="inlineStr">
        <is>
          <t>둔촌동</t>
        </is>
      </c>
      <c r="AG835" s="0" t="inlineStr">
        <is>
          <t>서울시 강동구 양재대로102길 44</t>
        </is>
      </c>
      <c r="AH835" s="0" t="n">
        <v>0</v>
      </c>
      <c r="AI835" s="0" t="n">
        <v>269</v>
      </c>
      <c r="AJ835" s="0" t="n">
        <v>50</v>
      </c>
      <c r="AK835" s="0" t="n">
        <v>13</v>
      </c>
      <c r="AL835" s="0" t="n">
        <v>1.08</v>
      </c>
    </row>
    <row r="836">
      <c r="A836" s="0" t="inlineStr">
        <is>
          <t>[둔촌동]</t>
        </is>
      </c>
      <c r="B836" s="0" t="n">
        <v>110710</v>
      </c>
      <c r="C836" s="0" t="n">
        <v>3</v>
      </c>
      <c r="D836" s="0" t="inlineStr">
        <is>
          <t>도원빌</t>
        </is>
      </c>
      <c r="E836" s="0" t="inlineStr">
        <is>
          <t>2003.08.</t>
        </is>
      </c>
      <c r="F836" s="0" t="n">
        <v>12</v>
      </c>
      <c r="G836" s="0" t="n">
        <v>25.13</v>
      </c>
      <c r="H836" s="0" t="n">
        <v>83.08</v>
      </c>
      <c r="I836" s="0" t="n">
        <v>21.94</v>
      </c>
      <c r="J836" s="0" t="n">
        <v>72.53</v>
      </c>
      <c r="K836" s="0" t="n">
        <v>1</v>
      </c>
      <c r="T836" s="0" t="n">
        <v>3</v>
      </c>
      <c r="U836" s="0" t="n">
        <v>2</v>
      </c>
      <c r="V836" s="0" t="inlineStr">
        <is>
          <t>계단식</t>
        </is>
      </c>
      <c r="W836" s="0" t="inlineStr">
        <is>
          <t>83B</t>
        </is>
      </c>
      <c r="X836" s="0" t="n">
        <v>7</v>
      </c>
      <c r="Y836" s="0" t="n">
        <v>7</v>
      </c>
      <c r="Z836" s="0" t="inlineStr">
        <is>
          <t>https://new.land.naver.com/complexes/110710?tab=detail&amp;rf=Y</t>
        </is>
      </c>
      <c r="AA836" s="0" t="inlineStr">
        <is>
          <t>서울시 강동구 둔촌동 446-4</t>
        </is>
      </c>
      <c r="AB836" s="0" t="inlineStr">
        <is>
          <t>서울시</t>
        </is>
      </c>
      <c r="AC836" s="0" t="inlineStr">
        <is>
          <t>강동구</t>
        </is>
      </c>
      <c r="AD836" s="0" t="inlineStr">
        <is>
          <t>둔촌동</t>
        </is>
      </c>
      <c r="AG836" s="0" t="inlineStr">
        <is>
          <t>서울시 강동구 양재대로102길 44</t>
        </is>
      </c>
      <c r="AH836" s="0" t="n">
        <v>0</v>
      </c>
      <c r="AI836" s="0" t="n">
        <v>269</v>
      </c>
      <c r="AJ836" s="0" t="n">
        <v>50</v>
      </c>
      <c r="AK836" s="0" t="n">
        <v>13</v>
      </c>
      <c r="AL836" s="0" t="n">
        <v>1.08</v>
      </c>
    </row>
    <row r="837">
      <c r="A837" s="0" t="inlineStr">
        <is>
          <t>[둔촌동]</t>
        </is>
      </c>
      <c r="B837" s="0" t="n">
        <v>110710</v>
      </c>
      <c r="C837" s="0" t="n">
        <v>4</v>
      </c>
      <c r="D837" s="0" t="inlineStr">
        <is>
          <t>도원빌</t>
        </is>
      </c>
      <c r="E837" s="0" t="inlineStr">
        <is>
          <t>2003.08.</t>
        </is>
      </c>
      <c r="F837" s="0" t="n">
        <v>12</v>
      </c>
      <c r="G837" s="0" t="n">
        <v>28.9</v>
      </c>
      <c r="H837" s="0" t="n">
        <v>95.55</v>
      </c>
      <c r="I837" s="0" t="n">
        <v>25.23</v>
      </c>
      <c r="J837" s="0" t="n">
        <v>83.42</v>
      </c>
      <c r="K837" s="0" t="n">
        <v>1</v>
      </c>
      <c r="T837" s="0" t="n">
        <v>3</v>
      </c>
      <c r="U837" s="0" t="n">
        <v>2</v>
      </c>
      <c r="V837" s="0" t="inlineStr">
        <is>
          <t>계단식</t>
        </is>
      </c>
      <c r="W837" s="0" t="inlineStr">
        <is>
          <t>95A</t>
        </is>
      </c>
      <c r="X837" s="0" t="n">
        <v>7</v>
      </c>
      <c r="Y837" s="0" t="n">
        <v>7</v>
      </c>
      <c r="Z837" s="0" t="inlineStr">
        <is>
          <t>https://new.land.naver.com/complexes/110710?tab=detail&amp;rf=Y</t>
        </is>
      </c>
      <c r="AA837" s="0" t="inlineStr">
        <is>
          <t>서울시 강동구 둔촌동 446-4</t>
        </is>
      </c>
      <c r="AB837" s="0" t="inlineStr">
        <is>
          <t>서울시</t>
        </is>
      </c>
      <c r="AC837" s="0" t="inlineStr">
        <is>
          <t>강동구</t>
        </is>
      </c>
      <c r="AD837" s="0" t="inlineStr">
        <is>
          <t>둔촌동</t>
        </is>
      </c>
      <c r="AG837" s="0" t="inlineStr">
        <is>
          <t>서울시 강동구 양재대로102길 44</t>
        </is>
      </c>
      <c r="AH837" s="0" t="n">
        <v>0</v>
      </c>
      <c r="AI837" s="0" t="n">
        <v>269</v>
      </c>
      <c r="AJ837" s="0" t="n">
        <v>50</v>
      </c>
      <c r="AK837" s="0" t="n">
        <v>13</v>
      </c>
      <c r="AL837" s="0" t="n">
        <v>1.08</v>
      </c>
    </row>
    <row r="838">
      <c r="A838" s="0" t="inlineStr">
        <is>
          <t>[둔촌동]</t>
        </is>
      </c>
      <c r="B838" s="0" t="n">
        <v>110710</v>
      </c>
      <c r="C838" s="0" t="n">
        <v>5</v>
      </c>
      <c r="D838" s="0" t="inlineStr">
        <is>
          <t>도원빌</t>
        </is>
      </c>
      <c r="E838" s="0" t="inlineStr">
        <is>
          <t>2003.08.</t>
        </is>
      </c>
      <c r="F838" s="0" t="n">
        <v>12</v>
      </c>
      <c r="G838" s="0" t="n">
        <v>29.42</v>
      </c>
      <c r="H838" s="0" t="n">
        <v>97.27</v>
      </c>
      <c r="I838" s="0" t="n">
        <v>25.68</v>
      </c>
      <c r="J838" s="0" t="n">
        <v>84.92</v>
      </c>
      <c r="K838" s="0" t="n">
        <v>8</v>
      </c>
      <c r="T838" s="0" t="n">
        <v>3</v>
      </c>
      <c r="U838" s="0" t="n">
        <v>2</v>
      </c>
      <c r="V838" s="0" t="inlineStr">
        <is>
          <t>계단식</t>
        </is>
      </c>
      <c r="W838" s="0" t="inlineStr">
        <is>
          <t>97B</t>
        </is>
      </c>
      <c r="X838" s="0" t="n">
        <v>7</v>
      </c>
      <c r="Y838" s="0" t="n">
        <v>7</v>
      </c>
      <c r="Z838" s="0" t="inlineStr">
        <is>
          <t>https://new.land.naver.com/complexes/110710?tab=detail&amp;rf=Y</t>
        </is>
      </c>
      <c r="AA838" s="0" t="inlineStr">
        <is>
          <t>서울시 강동구 둔촌동 446-4</t>
        </is>
      </c>
      <c r="AB838" s="0" t="inlineStr">
        <is>
          <t>서울시</t>
        </is>
      </c>
      <c r="AC838" s="0" t="inlineStr">
        <is>
          <t>강동구</t>
        </is>
      </c>
      <c r="AD838" s="0" t="inlineStr">
        <is>
          <t>둔촌동</t>
        </is>
      </c>
      <c r="AG838" s="0" t="inlineStr">
        <is>
          <t>서울시 강동구 양재대로102길 44</t>
        </is>
      </c>
      <c r="AH838" s="0" t="n">
        <v>0</v>
      </c>
      <c r="AI838" s="0" t="n">
        <v>269</v>
      </c>
      <c r="AJ838" s="0" t="n">
        <v>50</v>
      </c>
      <c r="AK838" s="0" t="n">
        <v>13</v>
      </c>
      <c r="AL838" s="0" t="n">
        <v>1.08</v>
      </c>
    </row>
    <row r="839">
      <c r="A839" s="0" t="inlineStr">
        <is>
          <t>[둔촌동]</t>
        </is>
      </c>
      <c r="B839" s="0" t="n">
        <v>107688</v>
      </c>
      <c r="C839" s="0" t="n">
        <v>1</v>
      </c>
      <c r="D839" s="0" t="inlineStr">
        <is>
          <t>찬솔</t>
        </is>
      </c>
      <c r="E839" s="0" t="inlineStr">
        <is>
          <t>2007.07.</t>
        </is>
      </c>
      <c r="F839" s="0" t="n">
        <v>27</v>
      </c>
      <c r="G839" s="0" t="n">
        <v>22.93</v>
      </c>
      <c r="H839" s="0" t="n">
        <v>75.81999999999999</v>
      </c>
      <c r="I839" s="0" t="n">
        <v>18.56</v>
      </c>
      <c r="J839" s="0" t="n">
        <v>61.37</v>
      </c>
      <c r="K839" s="0" t="n">
        <v>1</v>
      </c>
      <c r="T839" s="0" t="n">
        <v>3</v>
      </c>
      <c r="U839" s="0" t="n">
        <v>2</v>
      </c>
      <c r="V839" s="0" t="inlineStr">
        <is>
          <t>복도식</t>
        </is>
      </c>
      <c r="W839" s="0" t="n">
        <v>75</v>
      </c>
      <c r="X839" s="0" t="n">
        <v>7</v>
      </c>
      <c r="Y839" s="0" t="n">
        <v>6</v>
      </c>
      <c r="Z839" s="0" t="inlineStr">
        <is>
          <t>https://new.land.naver.com/complexes/107688?tab=detail&amp;rf=Y</t>
        </is>
      </c>
      <c r="AA839" s="0" t="inlineStr">
        <is>
          <t>서울시 강동구 둔촌동 46-20</t>
        </is>
      </c>
      <c r="AB839" s="0" t="inlineStr">
        <is>
          <t>서울시</t>
        </is>
      </c>
      <c r="AC839" s="0" t="inlineStr">
        <is>
          <t>강동구</t>
        </is>
      </c>
      <c r="AD839" s="0" t="inlineStr">
        <is>
          <t>둔촌동</t>
        </is>
      </c>
      <c r="AG839" s="0" t="inlineStr">
        <is>
          <t>서울시 강동구 명일로 152</t>
        </is>
      </c>
      <c r="AH839" s="0" t="n">
        <v>0</v>
      </c>
      <c r="AI839" s="0" t="n">
        <v>198</v>
      </c>
      <c r="AJ839" s="0" t="n">
        <v>34</v>
      </c>
      <c r="AK839" s="0" t="n">
        <v>29</v>
      </c>
      <c r="AL839" s="0" t="n">
        <v>1.07</v>
      </c>
    </row>
    <row r="840">
      <c r="A840" s="0" t="inlineStr">
        <is>
          <t>[둔촌동]</t>
        </is>
      </c>
      <c r="B840" s="0" t="n">
        <v>107688</v>
      </c>
      <c r="C840" s="0" t="n">
        <v>2</v>
      </c>
      <c r="D840" s="0" t="inlineStr">
        <is>
          <t>찬솔</t>
        </is>
      </c>
      <c r="E840" s="0" t="inlineStr">
        <is>
          <t>2007.07.</t>
        </is>
      </c>
      <c r="F840" s="0" t="n">
        <v>27</v>
      </c>
      <c r="G840" s="0" t="n">
        <v>25.41</v>
      </c>
      <c r="H840" s="0" t="n">
        <v>84.03</v>
      </c>
      <c r="I840" s="0" t="n">
        <v>20.63</v>
      </c>
      <c r="J840" s="0" t="n">
        <v>68.23</v>
      </c>
      <c r="K840" s="0" t="n">
        <v>2</v>
      </c>
      <c r="T840" s="0" t="n">
        <v>3</v>
      </c>
      <c r="U840" s="0" t="n">
        <v>2</v>
      </c>
      <c r="V840" s="0" t="inlineStr">
        <is>
          <t>복도식</t>
        </is>
      </c>
      <c r="W840" s="0" t="n">
        <v>84</v>
      </c>
      <c r="X840" s="0" t="n">
        <v>7</v>
      </c>
      <c r="Y840" s="0" t="n">
        <v>6</v>
      </c>
      <c r="Z840" s="0" t="inlineStr">
        <is>
          <t>https://new.land.naver.com/complexes/107688?tab=detail&amp;rf=Y</t>
        </is>
      </c>
      <c r="AA840" s="0" t="inlineStr">
        <is>
          <t>서울시 강동구 둔촌동 46-20</t>
        </is>
      </c>
      <c r="AB840" s="0" t="inlineStr">
        <is>
          <t>서울시</t>
        </is>
      </c>
      <c r="AC840" s="0" t="inlineStr">
        <is>
          <t>강동구</t>
        </is>
      </c>
      <c r="AD840" s="0" t="inlineStr">
        <is>
          <t>둔촌동</t>
        </is>
      </c>
      <c r="AG840" s="0" t="inlineStr">
        <is>
          <t>서울시 강동구 명일로 152</t>
        </is>
      </c>
      <c r="AH840" s="0" t="n">
        <v>0</v>
      </c>
      <c r="AI840" s="0" t="n">
        <v>198</v>
      </c>
      <c r="AJ840" s="0" t="n">
        <v>34</v>
      </c>
      <c r="AK840" s="0" t="n">
        <v>29</v>
      </c>
      <c r="AL840" s="0" t="n">
        <v>1.07</v>
      </c>
    </row>
    <row r="841">
      <c r="A841" s="0" t="inlineStr">
        <is>
          <t>[둔촌동]</t>
        </is>
      </c>
      <c r="B841" s="0" t="n">
        <v>107688</v>
      </c>
      <c r="C841" s="0" t="n">
        <v>3</v>
      </c>
      <c r="D841" s="0" t="inlineStr">
        <is>
          <t>찬솔</t>
        </is>
      </c>
      <c r="E841" s="0" t="inlineStr">
        <is>
          <t>2007.07.</t>
        </is>
      </c>
      <c r="F841" s="0" t="n">
        <v>27</v>
      </c>
      <c r="G841" s="0" t="n">
        <v>25.88</v>
      </c>
      <c r="H841" s="0" t="n">
        <v>85.56999999999999</v>
      </c>
      <c r="I841" s="0" t="n">
        <v>20.93</v>
      </c>
      <c r="J841" s="0" t="n">
        <v>69.22</v>
      </c>
      <c r="K841" s="0" t="n">
        <v>1</v>
      </c>
      <c r="T841" s="0" t="n">
        <v>3</v>
      </c>
      <c r="U841" s="0" t="n">
        <v>2</v>
      </c>
      <c r="V841" s="0" t="inlineStr">
        <is>
          <t>복도식</t>
        </is>
      </c>
      <c r="W841" s="0" t="n">
        <v>85</v>
      </c>
      <c r="X841" s="0" t="n">
        <v>7</v>
      </c>
      <c r="Y841" s="0" t="n">
        <v>6</v>
      </c>
      <c r="Z841" s="0" t="inlineStr">
        <is>
          <t>https://new.land.naver.com/complexes/107688?tab=detail&amp;rf=Y</t>
        </is>
      </c>
      <c r="AA841" s="0" t="inlineStr">
        <is>
          <t>서울시 강동구 둔촌동 46-20</t>
        </is>
      </c>
      <c r="AB841" s="0" t="inlineStr">
        <is>
          <t>서울시</t>
        </is>
      </c>
      <c r="AC841" s="0" t="inlineStr">
        <is>
          <t>강동구</t>
        </is>
      </c>
      <c r="AD841" s="0" t="inlineStr">
        <is>
          <t>둔촌동</t>
        </is>
      </c>
      <c r="AG841" s="0" t="inlineStr">
        <is>
          <t>서울시 강동구 명일로 152</t>
        </is>
      </c>
      <c r="AH841" s="0" t="n">
        <v>0</v>
      </c>
      <c r="AI841" s="0" t="n">
        <v>198</v>
      </c>
      <c r="AJ841" s="0" t="n">
        <v>34</v>
      </c>
      <c r="AK841" s="0" t="n">
        <v>29</v>
      </c>
      <c r="AL841" s="0" t="n">
        <v>1.07</v>
      </c>
    </row>
    <row r="842">
      <c r="A842" s="0" t="inlineStr">
        <is>
          <t>[둔촌동]</t>
        </is>
      </c>
      <c r="B842" s="0" t="n">
        <v>107688</v>
      </c>
      <c r="C842" s="0" t="n">
        <v>4</v>
      </c>
      <c r="D842" s="0" t="inlineStr">
        <is>
          <t>찬솔</t>
        </is>
      </c>
      <c r="E842" s="0" t="inlineStr">
        <is>
          <t>2007.07.</t>
        </is>
      </c>
      <c r="F842" s="0" t="n">
        <v>27</v>
      </c>
      <c r="G842" s="0" t="n">
        <v>28.18</v>
      </c>
      <c r="H842" s="0" t="n">
        <v>93.19</v>
      </c>
      <c r="I842" s="0" t="n">
        <v>22.77</v>
      </c>
      <c r="J842" s="0" t="n">
        <v>75.29000000000001</v>
      </c>
      <c r="K842" s="0" t="n">
        <v>1</v>
      </c>
      <c r="T842" s="0" t="n">
        <v>3</v>
      </c>
      <c r="U842" s="0" t="n">
        <v>2</v>
      </c>
      <c r="V842" s="0" t="inlineStr">
        <is>
          <t>복도식</t>
        </is>
      </c>
      <c r="W842" s="0" t="inlineStr">
        <is>
          <t>93A</t>
        </is>
      </c>
      <c r="X842" s="0" t="n">
        <v>7</v>
      </c>
      <c r="Y842" s="0" t="n">
        <v>6</v>
      </c>
      <c r="Z842" s="0" t="inlineStr">
        <is>
          <t>https://new.land.naver.com/complexes/107688?tab=detail&amp;rf=Y</t>
        </is>
      </c>
      <c r="AA842" s="0" t="inlineStr">
        <is>
          <t>서울시 강동구 둔촌동 46-20</t>
        </is>
      </c>
      <c r="AB842" s="0" t="inlineStr">
        <is>
          <t>서울시</t>
        </is>
      </c>
      <c r="AC842" s="0" t="inlineStr">
        <is>
          <t>강동구</t>
        </is>
      </c>
      <c r="AD842" s="0" t="inlineStr">
        <is>
          <t>둔촌동</t>
        </is>
      </c>
      <c r="AG842" s="0" t="inlineStr">
        <is>
          <t>서울시 강동구 명일로 152</t>
        </is>
      </c>
      <c r="AH842" s="0" t="n">
        <v>0</v>
      </c>
      <c r="AI842" s="0" t="n">
        <v>198</v>
      </c>
      <c r="AJ842" s="0" t="n">
        <v>34</v>
      </c>
      <c r="AK842" s="0" t="n">
        <v>29</v>
      </c>
      <c r="AL842" s="0" t="n">
        <v>1.07</v>
      </c>
    </row>
    <row r="843">
      <c r="A843" s="0" t="inlineStr">
        <is>
          <t>[둔촌동]</t>
        </is>
      </c>
      <c r="B843" s="0" t="n">
        <v>107688</v>
      </c>
      <c r="C843" s="0" t="n">
        <v>5</v>
      </c>
      <c r="D843" s="0" t="inlineStr">
        <is>
          <t>찬솔</t>
        </is>
      </c>
      <c r="E843" s="0" t="inlineStr">
        <is>
          <t>2007.07.</t>
        </is>
      </c>
      <c r="F843" s="0" t="n">
        <v>27</v>
      </c>
      <c r="G843" s="0" t="n">
        <v>28.27</v>
      </c>
      <c r="H843" s="0" t="n">
        <v>93.45999999999999</v>
      </c>
      <c r="I843" s="0" t="n">
        <v>22.83</v>
      </c>
      <c r="J843" s="0" t="n">
        <v>75.5</v>
      </c>
      <c r="K843" s="0" t="n">
        <v>1</v>
      </c>
      <c r="T843" s="0" t="n">
        <v>3</v>
      </c>
      <c r="U843" s="0" t="n">
        <v>2</v>
      </c>
      <c r="V843" s="0" t="inlineStr">
        <is>
          <t>복도식</t>
        </is>
      </c>
      <c r="W843" s="0" t="inlineStr">
        <is>
          <t>93B</t>
        </is>
      </c>
      <c r="X843" s="0" t="n">
        <v>7</v>
      </c>
      <c r="Y843" s="0" t="n">
        <v>6</v>
      </c>
      <c r="Z843" s="0" t="inlineStr">
        <is>
          <t>https://new.land.naver.com/complexes/107688?tab=detail&amp;rf=Y</t>
        </is>
      </c>
      <c r="AA843" s="0" t="inlineStr">
        <is>
          <t>서울시 강동구 둔촌동 46-20</t>
        </is>
      </c>
      <c r="AB843" s="0" t="inlineStr">
        <is>
          <t>서울시</t>
        </is>
      </c>
      <c r="AC843" s="0" t="inlineStr">
        <is>
          <t>강동구</t>
        </is>
      </c>
      <c r="AD843" s="0" t="inlineStr">
        <is>
          <t>둔촌동</t>
        </is>
      </c>
      <c r="AG843" s="0" t="inlineStr">
        <is>
          <t>서울시 강동구 명일로 152</t>
        </is>
      </c>
      <c r="AH843" s="0" t="n">
        <v>0</v>
      </c>
      <c r="AI843" s="0" t="n">
        <v>198</v>
      </c>
      <c r="AJ843" s="0" t="n">
        <v>34</v>
      </c>
      <c r="AK843" s="0" t="n">
        <v>29</v>
      </c>
      <c r="AL843" s="0" t="n">
        <v>1.07</v>
      </c>
    </row>
    <row r="844">
      <c r="A844" s="0" t="inlineStr">
        <is>
          <t>[둔촌동]</t>
        </is>
      </c>
      <c r="B844" s="0" t="n">
        <v>107688</v>
      </c>
      <c r="C844" s="0" t="n">
        <v>6</v>
      </c>
      <c r="D844" s="0" t="inlineStr">
        <is>
          <t>찬솔</t>
        </is>
      </c>
      <c r="E844" s="0" t="inlineStr">
        <is>
          <t>2007.07.</t>
        </is>
      </c>
      <c r="F844" s="0" t="n">
        <v>27</v>
      </c>
      <c r="G844" s="0" t="n">
        <v>30.09</v>
      </c>
      <c r="H844" s="0" t="n">
        <v>99.48999999999999</v>
      </c>
      <c r="I844" s="0" t="n">
        <v>24.61</v>
      </c>
      <c r="J844" s="0" t="n">
        <v>81.37</v>
      </c>
      <c r="K844" s="0" t="n">
        <v>1</v>
      </c>
      <c r="T844" s="0" t="n">
        <v>3</v>
      </c>
      <c r="U844" s="0" t="n">
        <v>2</v>
      </c>
      <c r="V844" s="0" t="inlineStr">
        <is>
          <t>복도식</t>
        </is>
      </c>
      <c r="W844" s="0" t="n">
        <v>99</v>
      </c>
      <c r="X844" s="0" t="n">
        <v>7</v>
      </c>
      <c r="Y844" s="0" t="n">
        <v>6</v>
      </c>
      <c r="Z844" s="0" t="inlineStr">
        <is>
          <t>https://new.land.naver.com/complexes/107688?tab=detail&amp;rf=Y</t>
        </is>
      </c>
      <c r="AA844" s="0" t="inlineStr">
        <is>
          <t>서울시 강동구 둔촌동 46-20</t>
        </is>
      </c>
      <c r="AB844" s="0" t="inlineStr">
        <is>
          <t>서울시</t>
        </is>
      </c>
      <c r="AC844" s="0" t="inlineStr">
        <is>
          <t>강동구</t>
        </is>
      </c>
      <c r="AD844" s="0" t="inlineStr">
        <is>
          <t>둔촌동</t>
        </is>
      </c>
      <c r="AG844" s="0" t="inlineStr">
        <is>
          <t>서울시 강동구 명일로 152</t>
        </is>
      </c>
      <c r="AH844" s="0" t="n">
        <v>0</v>
      </c>
      <c r="AI844" s="0" t="n">
        <v>198</v>
      </c>
      <c r="AJ844" s="0" t="n">
        <v>34</v>
      </c>
      <c r="AK844" s="0" t="n">
        <v>29</v>
      </c>
      <c r="AL844" s="0" t="n">
        <v>1.07</v>
      </c>
    </row>
    <row r="845">
      <c r="A845" s="0" t="inlineStr">
        <is>
          <t>[둔촌동]</t>
        </is>
      </c>
      <c r="B845" s="0" t="n">
        <v>107688</v>
      </c>
      <c r="C845" s="0" t="n">
        <v>7</v>
      </c>
      <c r="D845" s="0" t="inlineStr">
        <is>
          <t>찬솔</t>
        </is>
      </c>
      <c r="E845" s="0" t="inlineStr">
        <is>
          <t>2007.07.</t>
        </is>
      </c>
      <c r="F845" s="0" t="n">
        <v>27</v>
      </c>
      <c r="G845" s="0" t="n">
        <v>31.13</v>
      </c>
      <c r="H845" s="0" t="n">
        <v>102.91</v>
      </c>
      <c r="I845" s="0" t="n">
        <v>25.22</v>
      </c>
      <c r="J845" s="0" t="n">
        <v>83.39</v>
      </c>
      <c r="K845" s="0" t="n">
        <v>6</v>
      </c>
      <c r="T845" s="0" t="n">
        <v>3</v>
      </c>
      <c r="U845" s="0" t="n">
        <v>2</v>
      </c>
      <c r="V845" s="0" t="inlineStr">
        <is>
          <t>복도식</t>
        </is>
      </c>
      <c r="W845" s="0" t="inlineStr">
        <is>
          <t>102B</t>
        </is>
      </c>
      <c r="X845" s="0" t="n">
        <v>7</v>
      </c>
      <c r="Y845" s="0" t="n">
        <v>6</v>
      </c>
      <c r="Z845" s="0" t="inlineStr">
        <is>
          <t>https://new.land.naver.com/complexes/107688?tab=detail&amp;rf=Y</t>
        </is>
      </c>
      <c r="AA845" s="0" t="inlineStr">
        <is>
          <t>서울시 강동구 둔촌동 46-20</t>
        </is>
      </c>
      <c r="AB845" s="0" t="inlineStr">
        <is>
          <t>서울시</t>
        </is>
      </c>
      <c r="AC845" s="0" t="inlineStr">
        <is>
          <t>강동구</t>
        </is>
      </c>
      <c r="AD845" s="0" t="inlineStr">
        <is>
          <t>둔촌동</t>
        </is>
      </c>
      <c r="AG845" s="0" t="inlineStr">
        <is>
          <t>서울시 강동구 명일로 152</t>
        </is>
      </c>
      <c r="AH845" s="0" t="n">
        <v>0</v>
      </c>
      <c r="AI845" s="0" t="n">
        <v>198</v>
      </c>
      <c r="AJ845" s="0" t="n">
        <v>34</v>
      </c>
      <c r="AK845" s="0" t="n">
        <v>29</v>
      </c>
      <c r="AL845" s="0" t="n">
        <v>1.07</v>
      </c>
    </row>
    <row r="846">
      <c r="A846" s="0" t="inlineStr">
        <is>
          <t>[둔촌동]</t>
        </is>
      </c>
      <c r="B846" s="0" t="n">
        <v>107688</v>
      </c>
      <c r="C846" s="0" t="n">
        <v>8</v>
      </c>
      <c r="D846" s="0" t="inlineStr">
        <is>
          <t>찬솔</t>
        </is>
      </c>
      <c r="E846" s="0" t="inlineStr">
        <is>
          <t>2007.07.</t>
        </is>
      </c>
      <c r="F846" s="0" t="n">
        <v>27</v>
      </c>
      <c r="G846" s="0" t="n">
        <v>30.85</v>
      </c>
      <c r="H846" s="0" t="n">
        <v>102</v>
      </c>
      <c r="I846" s="0" t="n">
        <v>25.2</v>
      </c>
      <c r="J846" s="0" t="n">
        <v>83.33</v>
      </c>
      <c r="K846" s="0" t="n">
        <v>5</v>
      </c>
      <c r="T846" s="0" t="n">
        <v>3</v>
      </c>
      <c r="U846" s="0" t="n">
        <v>2</v>
      </c>
      <c r="V846" s="0" t="inlineStr">
        <is>
          <t>복도식</t>
        </is>
      </c>
      <c r="W846" s="0" t="inlineStr">
        <is>
          <t>102A</t>
        </is>
      </c>
      <c r="X846" s="0" t="n">
        <v>7</v>
      </c>
      <c r="Y846" s="0" t="n">
        <v>6</v>
      </c>
      <c r="Z846" s="0" t="inlineStr">
        <is>
          <t>https://new.land.naver.com/complexes/107688?tab=detail&amp;rf=Y</t>
        </is>
      </c>
      <c r="AA846" s="0" t="inlineStr">
        <is>
          <t>서울시 강동구 둔촌동 46-20</t>
        </is>
      </c>
      <c r="AB846" s="0" t="inlineStr">
        <is>
          <t>서울시</t>
        </is>
      </c>
      <c r="AC846" s="0" t="inlineStr">
        <is>
          <t>강동구</t>
        </is>
      </c>
      <c r="AD846" s="0" t="inlineStr">
        <is>
          <t>둔촌동</t>
        </is>
      </c>
      <c r="AG846" s="0" t="inlineStr">
        <is>
          <t>서울시 강동구 명일로 152</t>
        </is>
      </c>
      <c r="AH846" s="0" t="n">
        <v>0</v>
      </c>
      <c r="AI846" s="0" t="n">
        <v>198</v>
      </c>
      <c r="AJ846" s="0" t="n">
        <v>34</v>
      </c>
      <c r="AK846" s="0" t="n">
        <v>29</v>
      </c>
      <c r="AL846" s="0" t="n">
        <v>1.07</v>
      </c>
    </row>
    <row r="847">
      <c r="A847" s="0" t="inlineStr">
        <is>
          <t>[둔촌동]</t>
        </is>
      </c>
      <c r="B847" s="0" t="n">
        <v>107688</v>
      </c>
      <c r="C847" s="0" t="n">
        <v>9</v>
      </c>
      <c r="D847" s="0" t="inlineStr">
        <is>
          <t>찬솔</t>
        </is>
      </c>
      <c r="E847" s="0" t="inlineStr">
        <is>
          <t>2007.07.</t>
        </is>
      </c>
      <c r="F847" s="0" t="n">
        <v>27</v>
      </c>
      <c r="G847" s="0" t="n">
        <v>30.85</v>
      </c>
      <c r="H847" s="0" t="n">
        <v>102.01</v>
      </c>
      <c r="I847" s="0" t="n">
        <v>25.26</v>
      </c>
      <c r="J847" s="0" t="n">
        <v>83.51000000000001</v>
      </c>
      <c r="K847" s="0" t="n">
        <v>5</v>
      </c>
      <c r="T847" s="0" t="n">
        <v>3</v>
      </c>
      <c r="U847" s="0" t="n">
        <v>2</v>
      </c>
      <c r="V847" s="0" t="inlineStr">
        <is>
          <t>복도식</t>
        </is>
      </c>
      <c r="W847" s="0" t="inlineStr">
        <is>
          <t>102C</t>
        </is>
      </c>
      <c r="X847" s="0" t="n">
        <v>7</v>
      </c>
      <c r="Y847" s="0" t="n">
        <v>6</v>
      </c>
      <c r="Z847" s="0" t="inlineStr">
        <is>
          <t>https://new.land.naver.com/complexes/107688?tab=detail&amp;rf=Y</t>
        </is>
      </c>
      <c r="AA847" s="0" t="inlineStr">
        <is>
          <t>서울시 강동구 둔촌동 46-20</t>
        </is>
      </c>
      <c r="AB847" s="0" t="inlineStr">
        <is>
          <t>서울시</t>
        </is>
      </c>
      <c r="AC847" s="0" t="inlineStr">
        <is>
          <t>강동구</t>
        </is>
      </c>
      <c r="AD847" s="0" t="inlineStr">
        <is>
          <t>둔촌동</t>
        </is>
      </c>
      <c r="AG847" s="0" t="inlineStr">
        <is>
          <t>서울시 강동구 명일로 152</t>
        </is>
      </c>
      <c r="AH847" s="0" t="n">
        <v>0</v>
      </c>
      <c r="AI847" s="0" t="n">
        <v>198</v>
      </c>
      <c r="AJ847" s="0" t="n">
        <v>34</v>
      </c>
      <c r="AK847" s="0" t="n">
        <v>29</v>
      </c>
      <c r="AL847" s="0" t="n">
        <v>1.07</v>
      </c>
    </row>
    <row r="848">
      <c r="A848" s="0" t="inlineStr">
        <is>
          <t>[둔촌동]</t>
        </is>
      </c>
      <c r="B848" s="0" t="n">
        <v>107688</v>
      </c>
      <c r="C848" s="0" t="n">
        <v>10</v>
      </c>
      <c r="D848" s="0" t="inlineStr">
        <is>
          <t>찬솔</t>
        </is>
      </c>
      <c r="E848" s="0" t="inlineStr">
        <is>
          <t>2007.07.</t>
        </is>
      </c>
      <c r="F848" s="0" t="n">
        <v>27</v>
      </c>
      <c r="G848" s="0" t="n">
        <v>31.22</v>
      </c>
      <c r="H848" s="0" t="n">
        <v>103.22</v>
      </c>
      <c r="I848" s="0" t="n">
        <v>25.32</v>
      </c>
      <c r="J848" s="0" t="n">
        <v>83.72</v>
      </c>
      <c r="K848" s="0" t="n">
        <v>4</v>
      </c>
      <c r="T848" s="0" t="n">
        <v>3</v>
      </c>
      <c r="U848" s="0" t="n">
        <v>2</v>
      </c>
      <c r="V848" s="0" t="inlineStr">
        <is>
          <t>복도식</t>
        </is>
      </c>
      <c r="W848" s="0" t="inlineStr">
        <is>
          <t>103D</t>
        </is>
      </c>
      <c r="X848" s="0" t="n">
        <v>7</v>
      </c>
      <c r="Y848" s="0" t="n">
        <v>6</v>
      </c>
      <c r="Z848" s="0" t="inlineStr">
        <is>
          <t>https://new.land.naver.com/complexes/107688?tab=detail&amp;rf=Y</t>
        </is>
      </c>
      <c r="AA848" s="0" t="inlineStr">
        <is>
          <t>서울시 강동구 둔촌동 46-20</t>
        </is>
      </c>
      <c r="AB848" s="0" t="inlineStr">
        <is>
          <t>서울시</t>
        </is>
      </c>
      <c r="AC848" s="0" t="inlineStr">
        <is>
          <t>강동구</t>
        </is>
      </c>
      <c r="AD848" s="0" t="inlineStr">
        <is>
          <t>둔촌동</t>
        </is>
      </c>
      <c r="AG848" s="0" t="inlineStr">
        <is>
          <t>서울시 강동구 명일로 152</t>
        </is>
      </c>
      <c r="AH848" s="0" t="n">
        <v>0</v>
      </c>
      <c r="AI848" s="0" t="n">
        <v>198</v>
      </c>
      <c r="AJ848" s="0" t="n">
        <v>34</v>
      </c>
      <c r="AK848" s="0" t="n">
        <v>29</v>
      </c>
      <c r="AL848" s="0" t="n">
        <v>1.07</v>
      </c>
    </row>
    <row r="849">
      <c r="A849" s="0" t="inlineStr">
        <is>
          <t>[둔촌동]</t>
        </is>
      </c>
      <c r="B849" s="0" t="n">
        <v>106500</v>
      </c>
      <c r="C849" s="0" t="n">
        <v>1</v>
      </c>
      <c r="D849" s="0" t="inlineStr">
        <is>
          <t>둔촌광남캐스빌(631)</t>
        </is>
      </c>
      <c r="E849" s="0" t="inlineStr">
        <is>
          <t>2012.08.</t>
        </is>
      </c>
      <c r="F849" s="0" t="n">
        <v>31</v>
      </c>
      <c r="G849" s="0" t="n">
        <v>30.49</v>
      </c>
      <c r="H849" s="0" t="n">
        <v>100.81</v>
      </c>
      <c r="I849" s="0" t="n">
        <v>25.7</v>
      </c>
      <c r="J849" s="0" t="n">
        <v>84.98</v>
      </c>
      <c r="K849" s="0" t="n">
        <v>22</v>
      </c>
      <c r="T849" s="0" t="n">
        <v>3</v>
      </c>
      <c r="U849" s="0" t="n">
        <v>2</v>
      </c>
      <c r="V849" s="0" t="inlineStr">
        <is>
          <t>계단식</t>
        </is>
      </c>
      <c r="W849" s="0" t="inlineStr">
        <is>
          <t>100A</t>
        </is>
      </c>
      <c r="X849" s="0" t="n">
        <v>12</v>
      </c>
      <c r="Y849" s="0" t="n">
        <v>12</v>
      </c>
      <c r="Z849" s="0" t="inlineStr">
        <is>
          <t>https://new.land.naver.com/complexes/106500?tab=detail&amp;rf=Y</t>
        </is>
      </c>
      <c r="AA849" s="0" t="inlineStr">
        <is>
          <t>서울시 강동구 둔촌동 631</t>
        </is>
      </c>
      <c r="AB849" s="0" t="inlineStr">
        <is>
          <t>서울시</t>
        </is>
      </c>
      <c r="AC849" s="0" t="inlineStr">
        <is>
          <t>강동구</t>
        </is>
      </c>
      <c r="AD849" s="0" t="inlineStr">
        <is>
          <t>둔촌동</t>
        </is>
      </c>
      <c r="AG849" s="0" t="inlineStr">
        <is>
          <t>서울시 강동구 양재대로96길 26</t>
        </is>
      </c>
      <c r="AH849" s="0" t="n">
        <v>0</v>
      </c>
      <c r="AI849" s="0" t="n">
        <v>0</v>
      </c>
      <c r="AJ849" s="0" t="n">
        <v>0</v>
      </c>
      <c r="AK849" s="0" t="n">
        <v>40</v>
      </c>
      <c r="AL849" s="0" t="n">
        <v>1.29</v>
      </c>
    </row>
    <row r="850">
      <c r="A850" s="0" t="inlineStr">
        <is>
          <t>[둔촌동]</t>
        </is>
      </c>
      <c r="B850" s="0" t="n">
        <v>106500</v>
      </c>
      <c r="C850" s="0" t="n">
        <v>2</v>
      </c>
      <c r="D850" s="0" t="inlineStr">
        <is>
          <t>둔촌광남캐스빌(631)</t>
        </is>
      </c>
      <c r="E850" s="0" t="inlineStr">
        <is>
          <t>2012.08.</t>
        </is>
      </c>
      <c r="F850" s="0" t="n">
        <v>31</v>
      </c>
      <c r="G850" s="0" t="n">
        <v>30.5</v>
      </c>
      <c r="H850" s="0" t="n">
        <v>100.83</v>
      </c>
      <c r="I850" s="0" t="n">
        <v>25.7</v>
      </c>
      <c r="J850" s="0" t="n">
        <v>84.98999999999999</v>
      </c>
      <c r="K850" s="0" t="n">
        <v>9</v>
      </c>
      <c r="T850" s="0" t="n">
        <v>3</v>
      </c>
      <c r="U850" s="0" t="n">
        <v>2</v>
      </c>
      <c r="V850" s="0" t="inlineStr">
        <is>
          <t>복도식</t>
        </is>
      </c>
      <c r="W850" s="0" t="inlineStr">
        <is>
          <t>100B</t>
        </is>
      </c>
      <c r="X850" s="0" t="n">
        <v>12</v>
      </c>
      <c r="Y850" s="0" t="n">
        <v>12</v>
      </c>
      <c r="Z850" s="0" t="inlineStr">
        <is>
          <t>https://new.land.naver.com/complexes/106500?tab=detail&amp;rf=Y</t>
        </is>
      </c>
      <c r="AA850" s="0" t="inlineStr">
        <is>
          <t>서울시 강동구 둔촌동 631</t>
        </is>
      </c>
      <c r="AB850" s="0" t="inlineStr">
        <is>
          <t>서울시</t>
        </is>
      </c>
      <c r="AC850" s="0" t="inlineStr">
        <is>
          <t>강동구</t>
        </is>
      </c>
      <c r="AD850" s="0" t="inlineStr">
        <is>
          <t>둔촌동</t>
        </is>
      </c>
      <c r="AG850" s="0" t="inlineStr">
        <is>
          <t>서울시 강동구 양재대로96길 26</t>
        </is>
      </c>
      <c r="AH850" s="0" t="n">
        <v>0</v>
      </c>
      <c r="AI850" s="0" t="n">
        <v>0</v>
      </c>
      <c r="AJ850" s="0" t="n">
        <v>0</v>
      </c>
      <c r="AK850" s="0" t="n">
        <v>40</v>
      </c>
      <c r="AL850" s="0" t="n">
        <v>1.29</v>
      </c>
    </row>
    <row r="851">
      <c r="A851" s="0" t="inlineStr">
        <is>
          <t>[둔촌동]</t>
        </is>
      </c>
      <c r="B851" s="0" t="n">
        <v>902</v>
      </c>
      <c r="C851" s="0" t="n">
        <v>1</v>
      </c>
      <c r="D851" s="0" t="inlineStr">
        <is>
          <t>주공고층3단지</t>
        </is>
      </c>
      <c r="E851" s="0" t="inlineStr">
        <is>
          <t>1980.12.</t>
        </is>
      </c>
      <c r="F851" s="0" t="n">
        <v>1480</v>
      </c>
      <c r="G851" s="0" t="n">
        <v>23.29</v>
      </c>
      <c r="H851" s="0" t="n">
        <v>77.02</v>
      </c>
      <c r="I851" s="0" t="n">
        <v>21.43</v>
      </c>
      <c r="J851" s="0" t="n">
        <v>70.87</v>
      </c>
      <c r="K851" s="0" t="n">
        <v>216</v>
      </c>
      <c r="T851" s="0" t="n">
        <v>2</v>
      </c>
      <c r="U851" s="0" t="n">
        <v>1</v>
      </c>
      <c r="V851" s="0" t="inlineStr">
        <is>
          <t>복도식</t>
        </is>
      </c>
      <c r="W851" s="0" t="n">
        <v>77</v>
      </c>
      <c r="X851" s="0" t="n">
        <v>10</v>
      </c>
      <c r="Y851" s="0" t="n">
        <v>10</v>
      </c>
      <c r="Z851" s="0" t="inlineStr">
        <is>
          <t>https://new.land.naver.com/complexes/902?tab=detail&amp;rf=Y</t>
        </is>
      </c>
      <c r="AA851" s="0" t="inlineStr">
        <is>
          <t>서울시 강동구 둔촌동 174-1</t>
        </is>
      </c>
      <c r="AB851" s="0" t="inlineStr">
        <is>
          <t>서울시</t>
        </is>
      </c>
      <c r="AC851" s="0" t="inlineStr">
        <is>
          <t>강동구</t>
        </is>
      </c>
      <c r="AD851" s="0" t="inlineStr">
        <is>
          <t>둔촌동</t>
        </is>
      </c>
      <c r="AG851" s="0" t="inlineStr">
        <is>
          <t>서울시 강동구 양재대로 1340</t>
        </is>
      </c>
      <c r="AH851" s="0" t="n">
        <v>0</v>
      </c>
      <c r="AI851" s="0" t="n">
        <v>0</v>
      </c>
      <c r="AJ851" s="0" t="n">
        <v>0</v>
      </c>
      <c r="AK851" s="0" t="n">
        <v>1468</v>
      </c>
      <c r="AL851" s="0" t="n">
        <v>0.99</v>
      </c>
    </row>
    <row r="852">
      <c r="A852" s="0" t="inlineStr">
        <is>
          <t>[둔촌동]</t>
        </is>
      </c>
      <c r="B852" s="0" t="n">
        <v>902</v>
      </c>
      <c r="C852" s="0" t="n">
        <v>2</v>
      </c>
      <c r="D852" s="0" t="inlineStr">
        <is>
          <t>주공고층3단지</t>
        </is>
      </c>
      <c r="E852" s="0" t="inlineStr">
        <is>
          <t>1980.12.</t>
        </is>
      </c>
      <c r="F852" s="0" t="n">
        <v>1480</v>
      </c>
      <c r="G852" s="0" t="n">
        <v>23.71</v>
      </c>
      <c r="H852" s="0" t="n">
        <v>78.41</v>
      </c>
      <c r="I852" s="0" t="n">
        <v>21.86</v>
      </c>
      <c r="J852" s="0" t="n">
        <v>72.27</v>
      </c>
      <c r="K852" s="0" t="n">
        <v>24</v>
      </c>
      <c r="T852" s="0" t="n">
        <v>3</v>
      </c>
      <c r="U852" s="0" t="n">
        <v>1</v>
      </c>
      <c r="V852" s="0" t="inlineStr">
        <is>
          <t>복도식</t>
        </is>
      </c>
      <c r="W852" s="0" t="n">
        <v>78</v>
      </c>
      <c r="X852" s="0" t="n">
        <v>10</v>
      </c>
      <c r="Y852" s="0" t="n">
        <v>10</v>
      </c>
      <c r="Z852" s="0" t="inlineStr">
        <is>
          <t>https://new.land.naver.com/complexes/902?tab=detail&amp;rf=Y</t>
        </is>
      </c>
      <c r="AA852" s="0" t="inlineStr">
        <is>
          <t>서울시 강동구 둔촌동 174-1</t>
        </is>
      </c>
      <c r="AB852" s="0" t="inlineStr">
        <is>
          <t>서울시</t>
        </is>
      </c>
      <c r="AC852" s="0" t="inlineStr">
        <is>
          <t>강동구</t>
        </is>
      </c>
      <c r="AD852" s="0" t="inlineStr">
        <is>
          <t>둔촌동</t>
        </is>
      </c>
      <c r="AG852" s="0" t="inlineStr">
        <is>
          <t>서울시 강동구 양재대로 1340</t>
        </is>
      </c>
      <c r="AH852" s="0" t="n">
        <v>0</v>
      </c>
      <c r="AI852" s="0" t="n">
        <v>0</v>
      </c>
      <c r="AJ852" s="0" t="n">
        <v>0</v>
      </c>
      <c r="AK852" s="0" t="n">
        <v>1468</v>
      </c>
      <c r="AL852" s="0" t="n">
        <v>0.99</v>
      </c>
    </row>
    <row r="853">
      <c r="A853" s="0" t="inlineStr">
        <is>
          <t>[둔촌동]</t>
        </is>
      </c>
      <c r="B853" s="0" t="n">
        <v>902</v>
      </c>
      <c r="C853" s="0" t="n">
        <v>3</v>
      </c>
      <c r="D853" s="0" t="inlineStr">
        <is>
          <t>주공고층3단지</t>
        </is>
      </c>
      <c r="E853" s="0" t="inlineStr">
        <is>
          <t>1980.12.</t>
        </is>
      </c>
      <c r="F853" s="0" t="n">
        <v>1480</v>
      </c>
      <c r="G853" s="0" t="n">
        <v>31.8</v>
      </c>
      <c r="H853" s="0" t="n">
        <v>105.15</v>
      </c>
      <c r="I853" s="0" t="n">
        <v>29.26</v>
      </c>
      <c r="J853" s="0" t="n">
        <v>96.75</v>
      </c>
      <c r="K853" s="0" t="n">
        <v>648</v>
      </c>
      <c r="T853" s="0" t="n">
        <v>3</v>
      </c>
      <c r="U853" s="0" t="n">
        <v>1</v>
      </c>
      <c r="V853" s="0" t="inlineStr">
        <is>
          <t>복도식</t>
        </is>
      </c>
      <c r="W853" s="0" t="inlineStr">
        <is>
          <t>105A</t>
        </is>
      </c>
      <c r="X853" s="0" t="n">
        <v>10</v>
      </c>
      <c r="Y853" s="0" t="n">
        <v>10</v>
      </c>
      <c r="Z853" s="0" t="inlineStr">
        <is>
          <t>https://new.land.naver.com/complexes/902?tab=detail&amp;rf=Y</t>
        </is>
      </c>
      <c r="AA853" s="0" t="inlineStr">
        <is>
          <t>서울시 강동구 둔촌동 174-1</t>
        </is>
      </c>
      <c r="AB853" s="0" t="inlineStr">
        <is>
          <t>서울시</t>
        </is>
      </c>
      <c r="AC853" s="0" t="inlineStr">
        <is>
          <t>강동구</t>
        </is>
      </c>
      <c r="AD853" s="0" t="inlineStr">
        <is>
          <t>둔촌동</t>
        </is>
      </c>
      <c r="AG853" s="0" t="inlineStr">
        <is>
          <t>서울시 강동구 양재대로 1340</t>
        </is>
      </c>
      <c r="AH853" s="0" t="n">
        <v>0</v>
      </c>
      <c r="AI853" s="0" t="n">
        <v>0</v>
      </c>
      <c r="AJ853" s="0" t="n">
        <v>0</v>
      </c>
      <c r="AK853" s="0" t="n">
        <v>1468</v>
      </c>
      <c r="AL853" s="0" t="n">
        <v>0.99</v>
      </c>
    </row>
    <row r="854">
      <c r="A854" s="0" t="inlineStr">
        <is>
          <t>[둔촌동]</t>
        </is>
      </c>
      <c r="B854" s="0" t="n">
        <v>902</v>
      </c>
      <c r="C854" s="0" t="n">
        <v>4</v>
      </c>
      <c r="D854" s="0" t="inlineStr">
        <is>
          <t>주공고층3단지</t>
        </is>
      </c>
      <c r="E854" s="0" t="inlineStr">
        <is>
          <t>1980.12.</t>
        </is>
      </c>
      <c r="F854" s="0" t="n">
        <v>1480</v>
      </c>
      <c r="G854" s="0" t="n">
        <v>32.38</v>
      </c>
      <c r="H854" s="0" t="n">
        <v>107.06</v>
      </c>
      <c r="I854" s="0" t="n">
        <v>29.84</v>
      </c>
      <c r="J854" s="0" t="n">
        <v>98.66</v>
      </c>
      <c r="K854" s="0" t="n">
        <v>72</v>
      </c>
      <c r="T854" s="0" t="n">
        <v>3</v>
      </c>
      <c r="U854" s="0" t="n">
        <v>1</v>
      </c>
      <c r="V854" s="0" t="inlineStr">
        <is>
          <t>복도식</t>
        </is>
      </c>
      <c r="W854" s="0" t="inlineStr">
        <is>
          <t>107B</t>
        </is>
      </c>
      <c r="X854" s="0" t="n">
        <v>10</v>
      </c>
      <c r="Y854" s="0" t="n">
        <v>10</v>
      </c>
      <c r="Z854" s="0" t="inlineStr">
        <is>
          <t>https://new.land.naver.com/complexes/902?tab=detail&amp;rf=Y</t>
        </is>
      </c>
      <c r="AA854" s="0" t="inlineStr">
        <is>
          <t>서울시 강동구 둔촌동 174-1</t>
        </is>
      </c>
      <c r="AB854" s="0" t="inlineStr">
        <is>
          <t>서울시</t>
        </is>
      </c>
      <c r="AC854" s="0" t="inlineStr">
        <is>
          <t>강동구</t>
        </is>
      </c>
      <c r="AD854" s="0" t="inlineStr">
        <is>
          <t>둔촌동</t>
        </is>
      </c>
      <c r="AG854" s="0" t="inlineStr">
        <is>
          <t>서울시 강동구 양재대로 1340</t>
        </is>
      </c>
      <c r="AH854" s="0" t="n">
        <v>0</v>
      </c>
      <c r="AI854" s="0" t="n">
        <v>0</v>
      </c>
      <c r="AJ854" s="0" t="n">
        <v>0</v>
      </c>
      <c r="AK854" s="0" t="n">
        <v>1468</v>
      </c>
      <c r="AL854" s="0" t="n">
        <v>0.99</v>
      </c>
    </row>
    <row r="855">
      <c r="A855" s="0" t="inlineStr">
        <is>
          <t>[둔촌동]</t>
        </is>
      </c>
      <c r="B855" s="0" t="n">
        <v>902</v>
      </c>
      <c r="C855" s="0" t="n">
        <v>5</v>
      </c>
      <c r="D855" s="0" t="inlineStr">
        <is>
          <t>주공고층3단지</t>
        </is>
      </c>
      <c r="E855" s="0" t="inlineStr">
        <is>
          <t>1980.12.</t>
        </is>
      </c>
      <c r="F855" s="0" t="n">
        <v>1480</v>
      </c>
      <c r="G855" s="0" t="n">
        <v>33.14</v>
      </c>
      <c r="H855" s="0" t="n">
        <v>109.58</v>
      </c>
      <c r="I855" s="0" t="n">
        <v>30.13</v>
      </c>
      <c r="J855" s="0" t="n">
        <v>99.61</v>
      </c>
      <c r="K855" s="0" t="n">
        <v>520</v>
      </c>
      <c r="T855" s="0" t="n">
        <v>3</v>
      </c>
      <c r="U855" s="0" t="n">
        <v>1</v>
      </c>
      <c r="V855" s="0" t="inlineStr">
        <is>
          <t>복도식</t>
        </is>
      </c>
      <c r="W855" s="0" t="n">
        <v>109</v>
      </c>
      <c r="X855" s="0" t="n">
        <v>10</v>
      </c>
      <c r="Y855" s="0" t="n">
        <v>10</v>
      </c>
      <c r="Z855" s="0" t="inlineStr">
        <is>
          <t>https://new.land.naver.com/complexes/902?tab=detail&amp;rf=Y</t>
        </is>
      </c>
      <c r="AA855" s="0" t="inlineStr">
        <is>
          <t>서울시 강동구 둔촌동 174-1</t>
        </is>
      </c>
      <c r="AB855" s="0" t="inlineStr">
        <is>
          <t>서울시</t>
        </is>
      </c>
      <c r="AC855" s="0" t="inlineStr">
        <is>
          <t>강동구</t>
        </is>
      </c>
      <c r="AD855" s="0" t="inlineStr">
        <is>
          <t>둔촌동</t>
        </is>
      </c>
      <c r="AG855" s="0" t="inlineStr">
        <is>
          <t>서울시 강동구 양재대로 1340</t>
        </is>
      </c>
      <c r="AH855" s="0" t="n">
        <v>0</v>
      </c>
      <c r="AI855" s="0" t="n">
        <v>0</v>
      </c>
      <c r="AJ855" s="0" t="n">
        <v>0</v>
      </c>
      <c r="AK855" s="0" t="n">
        <v>1468</v>
      </c>
      <c r="AL855" s="0" t="n">
        <v>0.99</v>
      </c>
    </row>
    <row r="856">
      <c r="A856" s="0" t="inlineStr">
        <is>
          <t>[둔촌동]</t>
        </is>
      </c>
      <c r="B856" s="0" t="n">
        <v>24135</v>
      </c>
      <c r="C856" s="0" t="n">
        <v>1</v>
      </c>
      <c r="D856" s="0" t="inlineStr">
        <is>
          <t>동호리츠빌</t>
        </is>
      </c>
      <c r="E856" s="0" t="inlineStr">
        <is>
          <t>2004.10.</t>
        </is>
      </c>
      <c r="F856" s="0" t="n">
        <v>47</v>
      </c>
      <c r="G856" s="0" t="n">
        <v>17.78</v>
      </c>
      <c r="H856" s="0" t="n">
        <v>58.78</v>
      </c>
      <c r="I856" s="0" t="n">
        <v>13.88</v>
      </c>
      <c r="J856" s="0" t="n">
        <v>45.89</v>
      </c>
      <c r="K856" s="0" t="n">
        <v>1</v>
      </c>
      <c r="T856" s="0" t="n">
        <v>2</v>
      </c>
      <c r="U856" s="0" t="n">
        <v>1</v>
      </c>
      <c r="V856" s="0" t="inlineStr">
        <is>
          <t>계단식</t>
        </is>
      </c>
      <c r="W856" s="0" t="n">
        <v>58</v>
      </c>
      <c r="X856" s="0" t="n">
        <v>12</v>
      </c>
      <c r="Y856" s="0" t="n">
        <v>5</v>
      </c>
      <c r="Z856" s="0" t="inlineStr">
        <is>
          <t>https://new.land.naver.com/complexes/24135?tab=detail&amp;rf=Y</t>
        </is>
      </c>
      <c r="AA856" s="0" t="inlineStr">
        <is>
          <t>서울시 강동구 둔촌동 61-12</t>
        </is>
      </c>
      <c r="AB856" s="0" t="inlineStr">
        <is>
          <t>서울시</t>
        </is>
      </c>
      <c r="AC856" s="0" t="inlineStr">
        <is>
          <t>강동구</t>
        </is>
      </c>
      <c r="AD856" s="0" t="inlineStr">
        <is>
          <t>둔촌동</t>
        </is>
      </c>
      <c r="AG856" s="0" t="inlineStr">
        <is>
          <t>서울시 강동구 천호대로188길 26</t>
        </is>
      </c>
      <c r="AH856" s="0" t="n">
        <v>0</v>
      </c>
      <c r="AI856" s="0" t="n">
        <v>242</v>
      </c>
      <c r="AJ856" s="0" t="n">
        <v>28</v>
      </c>
      <c r="AK856" s="0" t="n">
        <v>47</v>
      </c>
      <c r="AL856" s="0" t="n">
        <v>1</v>
      </c>
    </row>
    <row r="857">
      <c r="A857" s="0" t="inlineStr">
        <is>
          <t>[둔촌동]</t>
        </is>
      </c>
      <c r="B857" s="0" t="n">
        <v>24135</v>
      </c>
      <c r="C857" s="0" t="n">
        <v>2</v>
      </c>
      <c r="D857" s="0" t="inlineStr">
        <is>
          <t>동호리츠빌</t>
        </is>
      </c>
      <c r="E857" s="0" t="inlineStr">
        <is>
          <t>2004.10.</t>
        </is>
      </c>
      <c r="F857" s="0" t="n">
        <v>47</v>
      </c>
      <c r="G857" s="0" t="n">
        <v>20.7</v>
      </c>
      <c r="H857" s="0" t="n">
        <v>68.44</v>
      </c>
      <c r="I857" s="0" t="n">
        <v>16.33</v>
      </c>
      <c r="J857" s="0" t="n">
        <v>53.99</v>
      </c>
      <c r="K857" s="0" t="n">
        <v>1</v>
      </c>
      <c r="T857" s="0" t="n">
        <v>2</v>
      </c>
      <c r="U857" s="0" t="n">
        <v>1</v>
      </c>
      <c r="V857" s="0" t="inlineStr">
        <is>
          <t>계단식</t>
        </is>
      </c>
      <c r="W857" s="0" t="n">
        <v>68</v>
      </c>
      <c r="X857" s="0" t="n">
        <v>12</v>
      </c>
      <c r="Y857" s="0" t="n">
        <v>5</v>
      </c>
      <c r="Z857" s="0" t="inlineStr">
        <is>
          <t>https://new.land.naver.com/complexes/24135?tab=detail&amp;rf=Y</t>
        </is>
      </c>
      <c r="AA857" s="0" t="inlineStr">
        <is>
          <t>서울시 강동구 둔촌동 61-12</t>
        </is>
      </c>
      <c r="AB857" s="0" t="inlineStr">
        <is>
          <t>서울시</t>
        </is>
      </c>
      <c r="AC857" s="0" t="inlineStr">
        <is>
          <t>강동구</t>
        </is>
      </c>
      <c r="AD857" s="0" t="inlineStr">
        <is>
          <t>둔촌동</t>
        </is>
      </c>
      <c r="AG857" s="0" t="inlineStr">
        <is>
          <t>서울시 강동구 천호대로188길 26</t>
        </is>
      </c>
      <c r="AH857" s="0" t="n">
        <v>0</v>
      </c>
      <c r="AI857" s="0" t="n">
        <v>242</v>
      </c>
      <c r="AJ857" s="0" t="n">
        <v>28</v>
      </c>
      <c r="AK857" s="0" t="n">
        <v>47</v>
      </c>
      <c r="AL857" s="0" t="n">
        <v>1</v>
      </c>
    </row>
    <row r="858">
      <c r="A858" s="0" t="inlineStr">
        <is>
          <t>[둔촌동]</t>
        </is>
      </c>
      <c r="B858" s="0" t="n">
        <v>24135</v>
      </c>
      <c r="C858" s="0" t="n">
        <v>3</v>
      </c>
      <c r="D858" s="0" t="inlineStr">
        <is>
          <t>동호리츠빌</t>
        </is>
      </c>
      <c r="E858" s="0" t="inlineStr">
        <is>
          <t>2004.10.</t>
        </is>
      </c>
      <c r="F858" s="0" t="n">
        <v>47</v>
      </c>
      <c r="G858" s="0" t="n">
        <v>22.38</v>
      </c>
      <c r="H858" s="0" t="n">
        <v>74.01000000000001</v>
      </c>
      <c r="I858" s="0" t="n">
        <v>17.64</v>
      </c>
      <c r="J858" s="0" t="n">
        <v>58.33</v>
      </c>
      <c r="K858" s="0" t="n">
        <v>1</v>
      </c>
      <c r="T858" s="0" t="n">
        <v>3</v>
      </c>
      <c r="U858" s="0" t="n">
        <v>1</v>
      </c>
      <c r="V858" s="0" t="inlineStr">
        <is>
          <t>복도식</t>
        </is>
      </c>
      <c r="W858" s="0" t="n">
        <v>74</v>
      </c>
      <c r="X858" s="0" t="n">
        <v>12</v>
      </c>
      <c r="Y858" s="0" t="n">
        <v>5</v>
      </c>
      <c r="Z858" s="0" t="inlineStr">
        <is>
          <t>https://new.land.naver.com/complexes/24135?tab=detail&amp;rf=Y</t>
        </is>
      </c>
      <c r="AA858" s="0" t="inlineStr">
        <is>
          <t>서울시 강동구 둔촌동 61-12</t>
        </is>
      </c>
      <c r="AB858" s="0" t="inlineStr">
        <is>
          <t>서울시</t>
        </is>
      </c>
      <c r="AC858" s="0" t="inlineStr">
        <is>
          <t>강동구</t>
        </is>
      </c>
      <c r="AD858" s="0" t="inlineStr">
        <is>
          <t>둔촌동</t>
        </is>
      </c>
      <c r="AG858" s="0" t="inlineStr">
        <is>
          <t>서울시 강동구 천호대로188길 26</t>
        </is>
      </c>
      <c r="AH858" s="0" t="n">
        <v>0</v>
      </c>
      <c r="AI858" s="0" t="n">
        <v>242</v>
      </c>
      <c r="AJ858" s="0" t="n">
        <v>28</v>
      </c>
      <c r="AK858" s="0" t="n">
        <v>47</v>
      </c>
      <c r="AL858" s="0" t="n">
        <v>1</v>
      </c>
    </row>
    <row r="859">
      <c r="A859" s="0" t="inlineStr">
        <is>
          <t>[둔촌동]</t>
        </is>
      </c>
      <c r="B859" s="0" t="n">
        <v>24135</v>
      </c>
      <c r="C859" s="0" t="n">
        <v>4</v>
      </c>
      <c r="D859" s="0" t="inlineStr">
        <is>
          <t>동호리츠빌</t>
        </is>
      </c>
      <c r="E859" s="0" t="inlineStr">
        <is>
          <t>2004.10.</t>
        </is>
      </c>
      <c r="F859" s="0" t="n">
        <v>47</v>
      </c>
      <c r="G859" s="0" t="n">
        <v>22.55</v>
      </c>
      <c r="H859" s="0" t="n">
        <v>74.56</v>
      </c>
      <c r="I859" s="0" t="n">
        <v>17.73</v>
      </c>
      <c r="J859" s="0" t="n">
        <v>58.62</v>
      </c>
      <c r="K859" s="0" t="n">
        <v>1</v>
      </c>
      <c r="T859" s="0" t="n">
        <v>3</v>
      </c>
      <c r="U859" s="0" t="n">
        <v>1</v>
      </c>
      <c r="V859" s="0" t="inlineStr">
        <is>
          <t>계단식</t>
        </is>
      </c>
      <c r="W859" s="0" t="inlineStr">
        <is>
          <t>74A</t>
        </is>
      </c>
      <c r="X859" s="0" t="n">
        <v>12</v>
      </c>
      <c r="Y859" s="0" t="n">
        <v>5</v>
      </c>
      <c r="Z859" s="0" t="inlineStr">
        <is>
          <t>https://new.land.naver.com/complexes/24135?tab=detail&amp;rf=Y</t>
        </is>
      </c>
      <c r="AA859" s="0" t="inlineStr">
        <is>
          <t>서울시 강동구 둔촌동 61-12</t>
        </is>
      </c>
      <c r="AB859" s="0" t="inlineStr">
        <is>
          <t>서울시</t>
        </is>
      </c>
      <c r="AC859" s="0" t="inlineStr">
        <is>
          <t>강동구</t>
        </is>
      </c>
      <c r="AD859" s="0" t="inlineStr">
        <is>
          <t>둔촌동</t>
        </is>
      </c>
      <c r="AG859" s="0" t="inlineStr">
        <is>
          <t>서울시 강동구 천호대로188길 26</t>
        </is>
      </c>
      <c r="AH859" s="0" t="n">
        <v>0</v>
      </c>
      <c r="AI859" s="0" t="n">
        <v>242</v>
      </c>
      <c r="AJ859" s="0" t="n">
        <v>28</v>
      </c>
      <c r="AK859" s="0" t="n">
        <v>47</v>
      </c>
      <c r="AL859" s="0" t="n">
        <v>1</v>
      </c>
    </row>
    <row r="860">
      <c r="A860" s="0" t="inlineStr">
        <is>
          <t>[둔촌동]</t>
        </is>
      </c>
      <c r="B860" s="0" t="n">
        <v>24135</v>
      </c>
      <c r="C860" s="0" t="n">
        <v>5</v>
      </c>
      <c r="D860" s="0" t="inlineStr">
        <is>
          <t>동호리츠빌</t>
        </is>
      </c>
      <c r="E860" s="0" t="inlineStr">
        <is>
          <t>2004.10.</t>
        </is>
      </c>
      <c r="F860" s="0" t="n">
        <v>47</v>
      </c>
      <c r="G860" s="0" t="n">
        <v>22.96</v>
      </c>
      <c r="H860" s="0" t="n">
        <v>75.93000000000001</v>
      </c>
      <c r="I860" s="0" t="n">
        <v>18.15</v>
      </c>
      <c r="J860" s="0" t="n">
        <v>60.03</v>
      </c>
      <c r="K860" s="0" t="n">
        <v>1</v>
      </c>
      <c r="T860" s="0" t="n">
        <v>2</v>
      </c>
      <c r="U860" s="0" t="n">
        <v>1</v>
      </c>
      <c r="V860" s="0" t="inlineStr">
        <is>
          <t>계단식</t>
        </is>
      </c>
      <c r="W860" s="0" t="inlineStr">
        <is>
          <t>75B</t>
        </is>
      </c>
      <c r="X860" s="0" t="n">
        <v>12</v>
      </c>
      <c r="Y860" s="0" t="n">
        <v>5</v>
      </c>
      <c r="Z860" s="0" t="inlineStr">
        <is>
          <t>https://new.land.naver.com/complexes/24135?tab=detail&amp;rf=Y</t>
        </is>
      </c>
      <c r="AA860" s="0" t="inlineStr">
        <is>
          <t>서울시 강동구 둔촌동 61-12</t>
        </is>
      </c>
      <c r="AB860" s="0" t="inlineStr">
        <is>
          <t>서울시</t>
        </is>
      </c>
      <c r="AC860" s="0" t="inlineStr">
        <is>
          <t>강동구</t>
        </is>
      </c>
      <c r="AD860" s="0" t="inlineStr">
        <is>
          <t>둔촌동</t>
        </is>
      </c>
      <c r="AG860" s="0" t="inlineStr">
        <is>
          <t>서울시 강동구 천호대로188길 26</t>
        </is>
      </c>
      <c r="AH860" s="0" t="n">
        <v>0</v>
      </c>
      <c r="AI860" s="0" t="n">
        <v>242</v>
      </c>
      <c r="AJ860" s="0" t="n">
        <v>28</v>
      </c>
      <c r="AK860" s="0" t="n">
        <v>47</v>
      </c>
      <c r="AL860" s="0" t="n">
        <v>1</v>
      </c>
    </row>
    <row r="861">
      <c r="A861" s="0" t="inlineStr">
        <is>
          <t>[둔촌동]</t>
        </is>
      </c>
      <c r="B861" s="0" t="n">
        <v>24135</v>
      </c>
      <c r="C861" s="0" t="n">
        <v>6</v>
      </c>
      <c r="D861" s="0" t="inlineStr">
        <is>
          <t>동호리츠빌</t>
        </is>
      </c>
      <c r="E861" s="0" t="inlineStr">
        <is>
          <t>2004.10.</t>
        </is>
      </c>
      <c r="F861" s="0" t="n">
        <v>47</v>
      </c>
      <c r="G861" s="0" t="n">
        <v>24.87</v>
      </c>
      <c r="H861" s="0" t="n">
        <v>82.23999999999999</v>
      </c>
      <c r="I861" s="0" t="n">
        <v>19.6</v>
      </c>
      <c r="J861" s="0" t="n">
        <v>64.81</v>
      </c>
      <c r="K861" s="0" t="n">
        <v>1</v>
      </c>
      <c r="T861" s="0" t="n">
        <v>3</v>
      </c>
      <c r="U861" s="0" t="n">
        <v>1</v>
      </c>
      <c r="V861" s="0" t="inlineStr">
        <is>
          <t>계단식</t>
        </is>
      </c>
      <c r="W861" s="0" t="inlineStr">
        <is>
          <t>82A</t>
        </is>
      </c>
      <c r="X861" s="0" t="n">
        <v>12</v>
      </c>
      <c r="Y861" s="0" t="n">
        <v>5</v>
      </c>
      <c r="Z861" s="0" t="inlineStr">
        <is>
          <t>https://new.land.naver.com/complexes/24135?tab=detail&amp;rf=Y</t>
        </is>
      </c>
      <c r="AA861" s="0" t="inlineStr">
        <is>
          <t>서울시 강동구 둔촌동 61-12</t>
        </is>
      </c>
      <c r="AB861" s="0" t="inlineStr">
        <is>
          <t>서울시</t>
        </is>
      </c>
      <c r="AC861" s="0" t="inlineStr">
        <is>
          <t>강동구</t>
        </is>
      </c>
      <c r="AD861" s="0" t="inlineStr">
        <is>
          <t>둔촌동</t>
        </is>
      </c>
      <c r="AG861" s="0" t="inlineStr">
        <is>
          <t>서울시 강동구 천호대로188길 26</t>
        </is>
      </c>
      <c r="AH861" s="0" t="n">
        <v>0</v>
      </c>
      <c r="AI861" s="0" t="n">
        <v>242</v>
      </c>
      <c r="AJ861" s="0" t="n">
        <v>28</v>
      </c>
      <c r="AK861" s="0" t="n">
        <v>47</v>
      </c>
      <c r="AL861" s="0" t="n">
        <v>1</v>
      </c>
    </row>
    <row r="862">
      <c r="A862" s="0" t="inlineStr">
        <is>
          <t>[둔촌동]</t>
        </is>
      </c>
      <c r="B862" s="0" t="n">
        <v>24135</v>
      </c>
      <c r="C862" s="0" t="n">
        <v>7</v>
      </c>
      <c r="D862" s="0" t="inlineStr">
        <is>
          <t>동호리츠빌</t>
        </is>
      </c>
      <c r="E862" s="0" t="inlineStr">
        <is>
          <t>2004.10.</t>
        </is>
      </c>
      <c r="F862" s="0" t="n">
        <v>47</v>
      </c>
      <c r="G862" s="0" t="n">
        <v>25.2</v>
      </c>
      <c r="H862" s="0" t="n">
        <v>83.31</v>
      </c>
      <c r="I862" s="0" t="n">
        <v>19.99</v>
      </c>
      <c r="J862" s="0" t="n">
        <v>66.09999999999999</v>
      </c>
      <c r="K862" s="0" t="n">
        <v>1</v>
      </c>
      <c r="T862" s="0" t="n">
        <v>3</v>
      </c>
      <c r="U862" s="0" t="n">
        <v>1</v>
      </c>
      <c r="V862" s="0" t="inlineStr">
        <is>
          <t>계단식</t>
        </is>
      </c>
      <c r="W862" s="0" t="inlineStr">
        <is>
          <t>83B</t>
        </is>
      </c>
      <c r="X862" s="0" t="n">
        <v>12</v>
      </c>
      <c r="Y862" s="0" t="n">
        <v>5</v>
      </c>
      <c r="Z862" s="0" t="inlineStr">
        <is>
          <t>https://new.land.naver.com/complexes/24135?tab=detail&amp;rf=Y</t>
        </is>
      </c>
      <c r="AA862" s="0" t="inlineStr">
        <is>
          <t>서울시 강동구 둔촌동 61-12</t>
        </is>
      </c>
      <c r="AB862" s="0" t="inlineStr">
        <is>
          <t>서울시</t>
        </is>
      </c>
      <c r="AC862" s="0" t="inlineStr">
        <is>
          <t>강동구</t>
        </is>
      </c>
      <c r="AD862" s="0" t="inlineStr">
        <is>
          <t>둔촌동</t>
        </is>
      </c>
      <c r="AG862" s="0" t="inlineStr">
        <is>
          <t>서울시 강동구 천호대로188길 26</t>
        </is>
      </c>
      <c r="AH862" s="0" t="n">
        <v>0</v>
      </c>
      <c r="AI862" s="0" t="n">
        <v>242</v>
      </c>
      <c r="AJ862" s="0" t="n">
        <v>28</v>
      </c>
      <c r="AK862" s="0" t="n">
        <v>47</v>
      </c>
      <c r="AL862" s="0" t="n">
        <v>1</v>
      </c>
    </row>
    <row r="863">
      <c r="A863" s="0" t="inlineStr">
        <is>
          <t>[둔촌동]</t>
        </is>
      </c>
      <c r="B863" s="0" t="n">
        <v>24135</v>
      </c>
      <c r="C863" s="0" t="n">
        <v>8</v>
      </c>
      <c r="D863" s="0" t="inlineStr">
        <is>
          <t>동호리츠빌</t>
        </is>
      </c>
      <c r="E863" s="0" t="inlineStr">
        <is>
          <t>2004.10.</t>
        </is>
      </c>
      <c r="F863" s="0" t="n">
        <v>47</v>
      </c>
      <c r="G863" s="0" t="n">
        <v>26.16</v>
      </c>
      <c r="H863" s="0" t="n">
        <v>86.48</v>
      </c>
      <c r="I863" s="0" t="n">
        <v>20.73</v>
      </c>
      <c r="J863" s="0" t="n">
        <v>68.54000000000001</v>
      </c>
      <c r="K863" s="0" t="n">
        <v>29</v>
      </c>
      <c r="T863" s="0" t="n">
        <v>3</v>
      </c>
      <c r="U863" s="0" t="n">
        <v>2</v>
      </c>
      <c r="V863" s="0" t="inlineStr">
        <is>
          <t>계단식</t>
        </is>
      </c>
      <c r="W863" s="0" t="n">
        <v>86</v>
      </c>
      <c r="X863" s="0" t="n">
        <v>12</v>
      </c>
      <c r="Y863" s="0" t="n">
        <v>5</v>
      </c>
      <c r="Z863" s="0" t="inlineStr">
        <is>
          <t>https://new.land.naver.com/complexes/24135?tab=detail&amp;rf=Y</t>
        </is>
      </c>
      <c r="AA863" s="0" t="inlineStr">
        <is>
          <t>서울시 강동구 둔촌동 61-12</t>
        </is>
      </c>
      <c r="AB863" s="0" t="inlineStr">
        <is>
          <t>서울시</t>
        </is>
      </c>
      <c r="AC863" s="0" t="inlineStr">
        <is>
          <t>강동구</t>
        </is>
      </c>
      <c r="AD863" s="0" t="inlineStr">
        <is>
          <t>둔촌동</t>
        </is>
      </c>
      <c r="AG863" s="0" t="inlineStr">
        <is>
          <t>서울시 강동구 천호대로188길 26</t>
        </is>
      </c>
      <c r="AH863" s="0" t="n">
        <v>0</v>
      </c>
      <c r="AI863" s="0" t="n">
        <v>242</v>
      </c>
      <c r="AJ863" s="0" t="n">
        <v>28</v>
      </c>
      <c r="AK863" s="0" t="n">
        <v>47</v>
      </c>
      <c r="AL863" s="0" t="n">
        <v>1</v>
      </c>
    </row>
    <row r="864">
      <c r="A864" s="0" t="inlineStr">
        <is>
          <t>[둔촌동]</t>
        </is>
      </c>
      <c r="B864" s="0" t="n">
        <v>24135</v>
      </c>
      <c r="C864" s="0" t="n">
        <v>9</v>
      </c>
      <c r="D864" s="0" t="inlineStr">
        <is>
          <t>동호리츠빌</t>
        </is>
      </c>
      <c r="E864" s="0" t="inlineStr">
        <is>
          <t>2004.10.</t>
        </is>
      </c>
      <c r="F864" s="0" t="n">
        <v>47</v>
      </c>
      <c r="G864" s="0" t="n">
        <v>31.87</v>
      </c>
      <c r="H864" s="0" t="n">
        <v>105.37</v>
      </c>
      <c r="I864" s="0" t="n">
        <v>25.24</v>
      </c>
      <c r="J864" s="0" t="n">
        <v>83.47</v>
      </c>
      <c r="K864" s="0" t="n">
        <v>1</v>
      </c>
      <c r="T864" s="0" t="n">
        <v>3</v>
      </c>
      <c r="U864" s="0" t="n">
        <v>2</v>
      </c>
      <c r="V864" s="0" t="inlineStr">
        <is>
          <t>계단식</t>
        </is>
      </c>
      <c r="W864" s="0" t="inlineStr">
        <is>
          <t>105A</t>
        </is>
      </c>
      <c r="X864" s="0" t="n">
        <v>12</v>
      </c>
      <c r="Y864" s="0" t="n">
        <v>5</v>
      </c>
      <c r="Z864" s="0" t="inlineStr">
        <is>
          <t>https://new.land.naver.com/complexes/24135?tab=detail&amp;rf=Y</t>
        </is>
      </c>
      <c r="AA864" s="0" t="inlineStr">
        <is>
          <t>서울시 강동구 둔촌동 61-12</t>
        </is>
      </c>
      <c r="AB864" s="0" t="inlineStr">
        <is>
          <t>서울시</t>
        </is>
      </c>
      <c r="AC864" s="0" t="inlineStr">
        <is>
          <t>강동구</t>
        </is>
      </c>
      <c r="AD864" s="0" t="inlineStr">
        <is>
          <t>둔촌동</t>
        </is>
      </c>
      <c r="AG864" s="0" t="inlineStr">
        <is>
          <t>서울시 강동구 천호대로188길 26</t>
        </is>
      </c>
      <c r="AH864" s="0" t="n">
        <v>0</v>
      </c>
      <c r="AI864" s="0" t="n">
        <v>242</v>
      </c>
      <c r="AJ864" s="0" t="n">
        <v>28</v>
      </c>
      <c r="AK864" s="0" t="n">
        <v>47</v>
      </c>
      <c r="AL864" s="0" t="n">
        <v>1</v>
      </c>
    </row>
    <row r="865">
      <c r="A865" s="0" t="inlineStr">
        <is>
          <t>[둔촌동]</t>
        </is>
      </c>
      <c r="B865" s="0" t="n">
        <v>24135</v>
      </c>
      <c r="C865" s="0" t="n">
        <v>10</v>
      </c>
      <c r="D865" s="0" t="inlineStr">
        <is>
          <t>동호리츠빌</t>
        </is>
      </c>
      <c r="E865" s="0" t="inlineStr">
        <is>
          <t>2004.10.</t>
        </is>
      </c>
      <c r="F865" s="0" t="n">
        <v>47</v>
      </c>
      <c r="G865" s="0" t="n">
        <v>32.4</v>
      </c>
      <c r="H865" s="0" t="n">
        <v>107.14</v>
      </c>
      <c r="I865" s="0" t="n">
        <v>25.6</v>
      </c>
      <c r="J865" s="0" t="n">
        <v>84.64</v>
      </c>
      <c r="K865" s="0" t="n">
        <v>10</v>
      </c>
      <c r="T865" s="0" t="n">
        <v>3</v>
      </c>
      <c r="U865" s="0" t="n">
        <v>2</v>
      </c>
      <c r="V865" s="0" t="inlineStr">
        <is>
          <t>계단식</t>
        </is>
      </c>
      <c r="W865" s="0" t="inlineStr">
        <is>
          <t>107B</t>
        </is>
      </c>
      <c r="X865" s="0" t="n">
        <v>12</v>
      </c>
      <c r="Y865" s="0" t="n">
        <v>5</v>
      </c>
      <c r="Z865" s="0" t="inlineStr">
        <is>
          <t>https://new.land.naver.com/complexes/24135?tab=detail&amp;rf=Y</t>
        </is>
      </c>
      <c r="AA865" s="0" t="inlineStr">
        <is>
          <t>서울시 강동구 둔촌동 61-12</t>
        </is>
      </c>
      <c r="AB865" s="0" t="inlineStr">
        <is>
          <t>서울시</t>
        </is>
      </c>
      <c r="AC865" s="0" t="inlineStr">
        <is>
          <t>강동구</t>
        </is>
      </c>
      <c r="AD865" s="0" t="inlineStr">
        <is>
          <t>둔촌동</t>
        </is>
      </c>
      <c r="AG865" s="0" t="inlineStr">
        <is>
          <t>서울시 강동구 천호대로188길 26</t>
        </is>
      </c>
      <c r="AH865" s="0" t="n">
        <v>0</v>
      </c>
      <c r="AI865" s="0" t="n">
        <v>242</v>
      </c>
      <c r="AJ865" s="0" t="n">
        <v>28</v>
      </c>
      <c r="AK865" s="0" t="n">
        <v>47</v>
      </c>
      <c r="AL865" s="0" t="n">
        <v>1</v>
      </c>
    </row>
    <row r="866">
      <c r="A866" s="0" t="inlineStr">
        <is>
          <t>[둔촌동]</t>
        </is>
      </c>
      <c r="B866" s="0" t="n">
        <v>17817</v>
      </c>
      <c r="C866" s="0" t="n">
        <v>1</v>
      </c>
      <c r="D866" s="0" t="inlineStr">
        <is>
          <t>KnP이스트빌</t>
        </is>
      </c>
      <c r="E866" s="0" t="inlineStr">
        <is>
          <t>2004.03.</t>
        </is>
      </c>
      <c r="F866" s="0" t="n">
        <v>49</v>
      </c>
      <c r="G866" s="0" t="n">
        <v>23.26</v>
      </c>
      <c r="H866" s="0" t="n">
        <v>76.92</v>
      </c>
      <c r="I866" s="0" t="n">
        <v>18.61</v>
      </c>
      <c r="J866" s="0" t="n">
        <v>61.53</v>
      </c>
      <c r="K866" s="0" t="n">
        <v>1</v>
      </c>
      <c r="T866" s="0" t="n">
        <v>3</v>
      </c>
      <c r="U866" s="0" t="n">
        <v>2</v>
      </c>
      <c r="V866" s="0" t="inlineStr">
        <is>
          <t>계단식</t>
        </is>
      </c>
      <c r="W866" s="0" t="n">
        <v>76</v>
      </c>
      <c r="X866" s="0" t="n">
        <v>11</v>
      </c>
      <c r="Y866" s="0" t="n">
        <v>5</v>
      </c>
      <c r="Z866" s="0" t="inlineStr">
        <is>
          <t>https://new.land.naver.com/complexes/17817?tab=detail&amp;rf=Y</t>
        </is>
      </c>
      <c r="AA866" s="0" t="inlineStr">
        <is>
          <t>서울시 강동구 둔촌동 62</t>
        </is>
      </c>
      <c r="AB866" s="0" t="inlineStr">
        <is>
          <t>서울시</t>
        </is>
      </c>
      <c r="AC866" s="0" t="inlineStr">
        <is>
          <t>강동구</t>
        </is>
      </c>
      <c r="AD866" s="0" t="inlineStr">
        <is>
          <t>둔촌동</t>
        </is>
      </c>
      <c r="AG866" s="0" t="inlineStr">
        <is>
          <t>서울시 강동구 진황도로 151-5</t>
        </is>
      </c>
      <c r="AH866" s="0" t="n">
        <v>0</v>
      </c>
      <c r="AI866" s="0" t="n">
        <v>246</v>
      </c>
      <c r="AJ866" s="0" t="n">
        <v>34</v>
      </c>
      <c r="AK866" s="0" t="n">
        <v>53</v>
      </c>
      <c r="AL866" s="0" t="n">
        <v>1.08</v>
      </c>
    </row>
    <row r="867">
      <c r="A867" s="0" t="inlineStr">
        <is>
          <t>[둔촌동]</t>
        </is>
      </c>
      <c r="B867" s="0" t="n">
        <v>17817</v>
      </c>
      <c r="C867" s="0" t="n">
        <v>2</v>
      </c>
      <c r="D867" s="0" t="inlineStr">
        <is>
          <t>KnP이스트빌</t>
        </is>
      </c>
      <c r="E867" s="0" t="inlineStr">
        <is>
          <t>2004.03.</t>
        </is>
      </c>
      <c r="F867" s="0" t="n">
        <v>49</v>
      </c>
      <c r="G867" s="0" t="n">
        <v>24.06</v>
      </c>
      <c r="H867" s="0" t="n">
        <v>79.56</v>
      </c>
      <c r="I867" s="0" t="n">
        <v>19.18</v>
      </c>
      <c r="J867" s="0" t="n">
        <v>63.42</v>
      </c>
      <c r="K867" s="0" t="n">
        <v>11</v>
      </c>
      <c r="T867" s="0" t="n">
        <v>3</v>
      </c>
      <c r="U867" s="0" t="n">
        <v>2</v>
      </c>
      <c r="V867" s="0" t="inlineStr">
        <is>
          <t>계단식</t>
        </is>
      </c>
      <c r="W867" s="0" t="n">
        <v>79</v>
      </c>
      <c r="X867" s="0" t="n">
        <v>11</v>
      </c>
      <c r="Y867" s="0" t="n">
        <v>5</v>
      </c>
      <c r="Z867" s="0" t="inlineStr">
        <is>
          <t>https://new.land.naver.com/complexes/17817?tab=detail&amp;rf=Y</t>
        </is>
      </c>
      <c r="AA867" s="0" t="inlineStr">
        <is>
          <t>서울시 강동구 둔촌동 62</t>
        </is>
      </c>
      <c r="AB867" s="0" t="inlineStr">
        <is>
          <t>서울시</t>
        </is>
      </c>
      <c r="AC867" s="0" t="inlineStr">
        <is>
          <t>강동구</t>
        </is>
      </c>
      <c r="AD867" s="0" t="inlineStr">
        <is>
          <t>둔촌동</t>
        </is>
      </c>
      <c r="AG867" s="0" t="inlineStr">
        <is>
          <t>서울시 강동구 진황도로 151-5</t>
        </is>
      </c>
      <c r="AH867" s="0" t="n">
        <v>0</v>
      </c>
      <c r="AI867" s="0" t="n">
        <v>246</v>
      </c>
      <c r="AJ867" s="0" t="n">
        <v>34</v>
      </c>
      <c r="AK867" s="0" t="n">
        <v>53</v>
      </c>
      <c r="AL867" s="0" t="n">
        <v>1.08</v>
      </c>
    </row>
    <row r="868">
      <c r="A868" s="0" t="inlineStr">
        <is>
          <t>[둔촌동]</t>
        </is>
      </c>
      <c r="B868" s="0" t="n">
        <v>17817</v>
      </c>
      <c r="C868" s="0" t="n">
        <v>3</v>
      </c>
      <c r="D868" s="0" t="inlineStr">
        <is>
          <t>KnP이스트빌</t>
        </is>
      </c>
      <c r="E868" s="0" t="inlineStr">
        <is>
          <t>2004.03.</t>
        </is>
      </c>
      <c r="F868" s="0" t="n">
        <v>49</v>
      </c>
      <c r="G868" s="0" t="n">
        <v>26.75</v>
      </c>
      <c r="H868" s="0" t="n">
        <v>88.44</v>
      </c>
      <c r="I868" s="0" t="n">
        <v>21.58</v>
      </c>
      <c r="J868" s="0" t="n">
        <v>71.36</v>
      </c>
      <c r="K868" s="0" t="n">
        <v>2</v>
      </c>
      <c r="T868" s="0" t="n">
        <v>3</v>
      </c>
      <c r="U868" s="0" t="n">
        <v>2</v>
      </c>
      <c r="V868" s="0" t="inlineStr">
        <is>
          <t>계단식</t>
        </is>
      </c>
      <c r="W868" s="0" t="n">
        <v>88</v>
      </c>
      <c r="X868" s="0" t="n">
        <v>11</v>
      </c>
      <c r="Y868" s="0" t="n">
        <v>5</v>
      </c>
      <c r="Z868" s="0" t="inlineStr">
        <is>
          <t>https://new.land.naver.com/complexes/17817?tab=detail&amp;rf=Y</t>
        </is>
      </c>
      <c r="AA868" s="0" t="inlineStr">
        <is>
          <t>서울시 강동구 둔촌동 62</t>
        </is>
      </c>
      <c r="AB868" s="0" t="inlineStr">
        <is>
          <t>서울시</t>
        </is>
      </c>
      <c r="AC868" s="0" t="inlineStr">
        <is>
          <t>강동구</t>
        </is>
      </c>
      <c r="AD868" s="0" t="inlineStr">
        <is>
          <t>둔촌동</t>
        </is>
      </c>
      <c r="AG868" s="0" t="inlineStr">
        <is>
          <t>서울시 강동구 진황도로 151-5</t>
        </is>
      </c>
      <c r="AH868" s="0" t="n">
        <v>0</v>
      </c>
      <c r="AI868" s="0" t="n">
        <v>246</v>
      </c>
      <c r="AJ868" s="0" t="n">
        <v>34</v>
      </c>
      <c r="AK868" s="0" t="n">
        <v>53</v>
      </c>
      <c r="AL868" s="0" t="n">
        <v>1.08</v>
      </c>
    </row>
    <row r="869">
      <c r="A869" s="0" t="inlineStr">
        <is>
          <t>[둔촌동]</t>
        </is>
      </c>
      <c r="B869" s="0" t="n">
        <v>17817</v>
      </c>
      <c r="C869" s="0" t="n">
        <v>4</v>
      </c>
      <c r="D869" s="0" t="inlineStr">
        <is>
          <t>KnP이스트빌</t>
        </is>
      </c>
      <c r="E869" s="0" t="inlineStr">
        <is>
          <t>2004.03.</t>
        </is>
      </c>
      <c r="F869" s="0" t="n">
        <v>49</v>
      </c>
      <c r="G869" s="0" t="n">
        <v>31.73</v>
      </c>
      <c r="H869" s="0" t="n">
        <v>104.92</v>
      </c>
      <c r="I869" s="0" t="n">
        <v>25.67</v>
      </c>
      <c r="J869" s="0" t="n">
        <v>84.87</v>
      </c>
      <c r="K869" s="0" t="n">
        <v>24</v>
      </c>
      <c r="T869" s="0" t="n">
        <v>3</v>
      </c>
      <c r="U869" s="0" t="n">
        <v>2</v>
      </c>
      <c r="V869" s="0" t="inlineStr">
        <is>
          <t>계단식</t>
        </is>
      </c>
      <c r="W869" s="0" t="inlineStr">
        <is>
          <t>104B</t>
        </is>
      </c>
      <c r="X869" s="0" t="n">
        <v>11</v>
      </c>
      <c r="Y869" s="0" t="n">
        <v>5</v>
      </c>
      <c r="Z869" s="0" t="inlineStr">
        <is>
          <t>https://new.land.naver.com/complexes/17817?tab=detail&amp;rf=Y</t>
        </is>
      </c>
      <c r="AA869" s="0" t="inlineStr">
        <is>
          <t>서울시 강동구 둔촌동 62</t>
        </is>
      </c>
      <c r="AB869" s="0" t="inlineStr">
        <is>
          <t>서울시</t>
        </is>
      </c>
      <c r="AC869" s="0" t="inlineStr">
        <is>
          <t>강동구</t>
        </is>
      </c>
      <c r="AD869" s="0" t="inlineStr">
        <is>
          <t>둔촌동</t>
        </is>
      </c>
      <c r="AG869" s="0" t="inlineStr">
        <is>
          <t>서울시 강동구 진황도로 151-5</t>
        </is>
      </c>
      <c r="AH869" s="0" t="n">
        <v>0</v>
      </c>
      <c r="AI869" s="0" t="n">
        <v>246</v>
      </c>
      <c r="AJ869" s="0" t="n">
        <v>34</v>
      </c>
      <c r="AK869" s="0" t="n">
        <v>53</v>
      </c>
      <c r="AL869" s="0" t="n">
        <v>1.08</v>
      </c>
    </row>
    <row r="870">
      <c r="A870" s="0" t="inlineStr">
        <is>
          <t>[둔촌동]</t>
        </is>
      </c>
      <c r="B870" s="0" t="n">
        <v>17817</v>
      </c>
      <c r="C870" s="0" t="n">
        <v>5</v>
      </c>
      <c r="D870" s="0" t="inlineStr">
        <is>
          <t>KnP이스트빌</t>
        </is>
      </c>
      <c r="E870" s="0" t="inlineStr">
        <is>
          <t>2004.03.</t>
        </is>
      </c>
      <c r="F870" s="0" t="n">
        <v>49</v>
      </c>
      <c r="G870" s="0" t="n">
        <v>31.88</v>
      </c>
      <c r="H870" s="0" t="n">
        <v>105.42</v>
      </c>
      <c r="I870" s="0" t="n">
        <v>25.61</v>
      </c>
      <c r="J870" s="0" t="n">
        <v>84.68000000000001</v>
      </c>
      <c r="K870" s="0" t="n">
        <v>11</v>
      </c>
      <c r="T870" s="0" t="n">
        <v>3</v>
      </c>
      <c r="U870" s="0" t="n">
        <v>2</v>
      </c>
      <c r="V870" s="0" t="inlineStr">
        <is>
          <t>계단식</t>
        </is>
      </c>
      <c r="W870" s="0" t="inlineStr">
        <is>
          <t>105A</t>
        </is>
      </c>
      <c r="X870" s="0" t="n">
        <v>11</v>
      </c>
      <c r="Y870" s="0" t="n">
        <v>5</v>
      </c>
      <c r="Z870" s="0" t="inlineStr">
        <is>
          <t>https://new.land.naver.com/complexes/17817?tab=detail&amp;rf=Y</t>
        </is>
      </c>
      <c r="AA870" s="0" t="inlineStr">
        <is>
          <t>서울시 강동구 둔촌동 62</t>
        </is>
      </c>
      <c r="AB870" s="0" t="inlineStr">
        <is>
          <t>서울시</t>
        </is>
      </c>
      <c r="AC870" s="0" t="inlineStr">
        <is>
          <t>강동구</t>
        </is>
      </c>
      <c r="AD870" s="0" t="inlineStr">
        <is>
          <t>둔촌동</t>
        </is>
      </c>
      <c r="AG870" s="0" t="inlineStr">
        <is>
          <t>서울시 강동구 진황도로 151-5</t>
        </is>
      </c>
      <c r="AH870" s="0" t="n">
        <v>0</v>
      </c>
      <c r="AI870" s="0" t="n">
        <v>246</v>
      </c>
      <c r="AJ870" s="0" t="n">
        <v>34</v>
      </c>
      <c r="AK870" s="0" t="n">
        <v>53</v>
      </c>
      <c r="AL870" s="0" t="n">
        <v>1.08</v>
      </c>
    </row>
    <row r="871">
      <c r="A871" s="0" t="inlineStr">
        <is>
          <t>[둔촌동]</t>
        </is>
      </c>
      <c r="B871" s="0" t="n">
        <v>1299</v>
      </c>
      <c r="C871" s="0" t="n">
        <v>1</v>
      </c>
      <c r="D871" s="0" t="inlineStr">
        <is>
          <t>주공저층1단지</t>
        </is>
      </c>
      <c r="E871" s="0" t="inlineStr">
        <is>
          <t>1980.01.</t>
        </is>
      </c>
      <c r="F871" s="0" t="n">
        <v>1370</v>
      </c>
      <c r="G871" s="0" t="n">
        <v>7.68</v>
      </c>
      <c r="H871" s="0" t="n">
        <v>25.42</v>
      </c>
      <c r="I871" s="0" t="n">
        <v>7.68</v>
      </c>
      <c r="J871" s="0" t="n">
        <v>25.42</v>
      </c>
      <c r="K871" s="0" t="n">
        <v>50</v>
      </c>
      <c r="T871" s="0" t="n">
        <v>1</v>
      </c>
      <c r="U871" s="0" t="n">
        <v>1</v>
      </c>
      <c r="V871" s="0" t="inlineStr">
        <is>
          <t>계단식</t>
        </is>
      </c>
      <c r="W871" s="0" t="inlineStr">
        <is>
          <t>25A</t>
        </is>
      </c>
      <c r="X871" s="0" t="n">
        <v>5</v>
      </c>
      <c r="Y871" s="0" t="n">
        <v>5</v>
      </c>
      <c r="Z871" s="0" t="inlineStr">
        <is>
          <t>https://new.land.naver.com/complexes/1299?tab=detail&amp;rf=Y</t>
        </is>
      </c>
      <c r="AA871" s="0" t="inlineStr">
        <is>
          <t>서울시 강동구 둔촌동 170-1</t>
        </is>
      </c>
      <c r="AB871" s="0" t="inlineStr">
        <is>
          <t>서울시</t>
        </is>
      </c>
      <c r="AC871" s="0" t="inlineStr">
        <is>
          <t>강동구</t>
        </is>
      </c>
      <c r="AD871" s="0" t="inlineStr">
        <is>
          <t>둔촌동</t>
        </is>
      </c>
      <c r="AG871" s="0" t="inlineStr">
        <is>
          <t>서울시 강동구 양재대로 1340</t>
        </is>
      </c>
      <c r="AH871" s="0" t="n">
        <v>0</v>
      </c>
      <c r="AI871" s="0" t="n">
        <v>0</v>
      </c>
      <c r="AJ871" s="0" t="n">
        <v>0</v>
      </c>
      <c r="AK871" s="0" t="n">
        <v>959</v>
      </c>
      <c r="AL871" s="0" t="n">
        <v>0.7</v>
      </c>
    </row>
    <row r="872">
      <c r="A872" s="0" t="inlineStr">
        <is>
          <t>[둔촌동]</t>
        </is>
      </c>
      <c r="B872" s="0" t="n">
        <v>1299</v>
      </c>
      <c r="C872" s="0" t="n">
        <v>2</v>
      </c>
      <c r="D872" s="0" t="inlineStr">
        <is>
          <t>주공저층1단지</t>
        </is>
      </c>
      <c r="E872" s="0" t="inlineStr">
        <is>
          <t>1980.01.</t>
        </is>
      </c>
      <c r="F872" s="0" t="n">
        <v>1370</v>
      </c>
      <c r="G872" s="0" t="n">
        <v>7.71</v>
      </c>
      <c r="H872" s="0" t="n">
        <v>25.52</v>
      </c>
      <c r="I872" s="0" t="n">
        <v>7.71</v>
      </c>
      <c r="J872" s="0" t="n">
        <v>25.52</v>
      </c>
      <c r="K872" s="0" t="n">
        <v>50</v>
      </c>
      <c r="T872" s="0" t="n">
        <v>1</v>
      </c>
      <c r="U872" s="0" t="n">
        <v>1</v>
      </c>
      <c r="V872" s="0" t="inlineStr">
        <is>
          <t>계단식</t>
        </is>
      </c>
      <c r="W872" s="0" t="inlineStr">
        <is>
          <t>25B</t>
        </is>
      </c>
      <c r="X872" s="0" t="n">
        <v>5</v>
      </c>
      <c r="Y872" s="0" t="n">
        <v>5</v>
      </c>
      <c r="Z872" s="0" t="inlineStr">
        <is>
          <t>https://new.land.naver.com/complexes/1299?tab=detail&amp;rf=Y</t>
        </is>
      </c>
      <c r="AA872" s="0" t="inlineStr">
        <is>
          <t>서울시 강동구 둔촌동 170-1</t>
        </is>
      </c>
      <c r="AB872" s="0" t="inlineStr">
        <is>
          <t>서울시</t>
        </is>
      </c>
      <c r="AC872" s="0" t="inlineStr">
        <is>
          <t>강동구</t>
        </is>
      </c>
      <c r="AD872" s="0" t="inlineStr">
        <is>
          <t>둔촌동</t>
        </is>
      </c>
      <c r="AG872" s="0" t="inlineStr">
        <is>
          <t>서울시 강동구 양재대로 1340</t>
        </is>
      </c>
      <c r="AH872" s="0" t="n">
        <v>0</v>
      </c>
      <c r="AI872" s="0" t="n">
        <v>0</v>
      </c>
      <c r="AJ872" s="0" t="n">
        <v>0</v>
      </c>
      <c r="AK872" s="0" t="n">
        <v>959</v>
      </c>
      <c r="AL872" s="0" t="n">
        <v>0.7</v>
      </c>
    </row>
    <row r="873">
      <c r="A873" s="0" t="inlineStr">
        <is>
          <t>[둔촌동]</t>
        </is>
      </c>
      <c r="B873" s="0" t="n">
        <v>1299</v>
      </c>
      <c r="C873" s="0" t="n">
        <v>3</v>
      </c>
      <c r="D873" s="0" t="inlineStr">
        <is>
          <t>주공저층1단지</t>
        </is>
      </c>
      <c r="E873" s="0" t="inlineStr">
        <is>
          <t>1980.01.</t>
        </is>
      </c>
      <c r="F873" s="0" t="n">
        <v>1370</v>
      </c>
      <c r="G873" s="0" t="n">
        <v>15.37</v>
      </c>
      <c r="H873" s="0" t="n">
        <v>50.84</v>
      </c>
      <c r="I873" s="0" t="n">
        <v>15.37</v>
      </c>
      <c r="J873" s="0" t="n">
        <v>50.84</v>
      </c>
      <c r="K873" s="0" t="n">
        <v>210</v>
      </c>
      <c r="T873" s="0" t="n">
        <v>2</v>
      </c>
      <c r="U873" s="0" t="n">
        <v>1</v>
      </c>
      <c r="V873" s="0" t="inlineStr">
        <is>
          <t>계단식</t>
        </is>
      </c>
      <c r="W873" s="0" t="n">
        <v>50</v>
      </c>
      <c r="X873" s="0" t="n">
        <v>5</v>
      </c>
      <c r="Y873" s="0" t="n">
        <v>5</v>
      </c>
      <c r="Z873" s="0" t="inlineStr">
        <is>
          <t>https://new.land.naver.com/complexes/1299?tab=detail&amp;rf=Y</t>
        </is>
      </c>
      <c r="AA873" s="0" t="inlineStr">
        <is>
          <t>서울시 강동구 둔촌동 170-1</t>
        </is>
      </c>
      <c r="AB873" s="0" t="inlineStr">
        <is>
          <t>서울시</t>
        </is>
      </c>
      <c r="AC873" s="0" t="inlineStr">
        <is>
          <t>강동구</t>
        </is>
      </c>
      <c r="AD873" s="0" t="inlineStr">
        <is>
          <t>둔촌동</t>
        </is>
      </c>
      <c r="AG873" s="0" t="inlineStr">
        <is>
          <t>서울시 강동구 양재대로 1340</t>
        </is>
      </c>
      <c r="AH873" s="0" t="n">
        <v>0</v>
      </c>
      <c r="AI873" s="0" t="n">
        <v>0</v>
      </c>
      <c r="AJ873" s="0" t="n">
        <v>0</v>
      </c>
      <c r="AK873" s="0" t="n">
        <v>959</v>
      </c>
      <c r="AL873" s="0" t="n">
        <v>0.7</v>
      </c>
    </row>
    <row r="874">
      <c r="A874" s="0" t="inlineStr">
        <is>
          <t>[둔촌동]</t>
        </is>
      </c>
      <c r="B874" s="0" t="n">
        <v>1299</v>
      </c>
      <c r="C874" s="0" t="n">
        <v>4</v>
      </c>
      <c r="D874" s="0" t="inlineStr">
        <is>
          <t>주공저층1단지</t>
        </is>
      </c>
      <c r="E874" s="0" t="inlineStr">
        <is>
          <t>1980.01.</t>
        </is>
      </c>
      <c r="F874" s="0" t="n">
        <v>1370</v>
      </c>
      <c r="G874" s="0" t="n">
        <v>15.63</v>
      </c>
      <c r="H874" s="0" t="n">
        <v>51.67</v>
      </c>
      <c r="I874" s="0" t="n">
        <v>15.63</v>
      </c>
      <c r="J874" s="0" t="n">
        <v>51.67</v>
      </c>
      <c r="K874" s="0" t="n">
        <v>90</v>
      </c>
      <c r="T874" s="0" t="n">
        <v>2</v>
      </c>
      <c r="U874" s="0" t="n">
        <v>1</v>
      </c>
      <c r="V874" s="0" t="inlineStr">
        <is>
          <t>계단식</t>
        </is>
      </c>
      <c r="W874" s="0" t="n">
        <v>51</v>
      </c>
      <c r="X874" s="0" t="n">
        <v>5</v>
      </c>
      <c r="Y874" s="0" t="n">
        <v>5</v>
      </c>
      <c r="Z874" s="0" t="inlineStr">
        <is>
          <t>https://new.land.naver.com/complexes/1299?tab=detail&amp;rf=Y</t>
        </is>
      </c>
      <c r="AA874" s="0" t="inlineStr">
        <is>
          <t>서울시 강동구 둔촌동 170-1</t>
        </is>
      </c>
      <c r="AB874" s="0" t="inlineStr">
        <is>
          <t>서울시</t>
        </is>
      </c>
      <c r="AC874" s="0" t="inlineStr">
        <is>
          <t>강동구</t>
        </is>
      </c>
      <c r="AD874" s="0" t="inlineStr">
        <is>
          <t>둔촌동</t>
        </is>
      </c>
      <c r="AG874" s="0" t="inlineStr">
        <is>
          <t>서울시 강동구 양재대로 1340</t>
        </is>
      </c>
      <c r="AH874" s="0" t="n">
        <v>0</v>
      </c>
      <c r="AI874" s="0" t="n">
        <v>0</v>
      </c>
      <c r="AJ874" s="0" t="n">
        <v>0</v>
      </c>
      <c r="AK874" s="0" t="n">
        <v>959</v>
      </c>
      <c r="AL874" s="0" t="n">
        <v>0.7</v>
      </c>
    </row>
    <row r="875">
      <c r="A875" s="0" t="inlineStr">
        <is>
          <t>[둔촌동]</t>
        </is>
      </c>
      <c r="B875" s="0" t="n">
        <v>1299</v>
      </c>
      <c r="C875" s="0" t="n">
        <v>5</v>
      </c>
      <c r="D875" s="0" t="inlineStr">
        <is>
          <t>주공저층1단지</t>
        </is>
      </c>
      <c r="E875" s="0" t="inlineStr">
        <is>
          <t>1980.01.</t>
        </is>
      </c>
      <c r="F875" s="0" t="n">
        <v>1370</v>
      </c>
      <c r="G875" s="0" t="n">
        <v>17.6</v>
      </c>
      <c r="H875" s="0" t="n">
        <v>58.21</v>
      </c>
      <c r="I875" s="0" t="n">
        <v>17.6</v>
      </c>
      <c r="J875" s="0" t="n">
        <v>58.21</v>
      </c>
      <c r="K875" s="0" t="n">
        <v>240</v>
      </c>
      <c r="T875" s="0" t="n">
        <v>3</v>
      </c>
      <c r="U875" s="0" t="n">
        <v>1</v>
      </c>
      <c r="V875" s="0" t="inlineStr">
        <is>
          <t>계단식</t>
        </is>
      </c>
      <c r="W875" s="0" t="inlineStr">
        <is>
          <t>58B</t>
        </is>
      </c>
      <c r="X875" s="0" t="n">
        <v>5</v>
      </c>
      <c r="Y875" s="0" t="n">
        <v>5</v>
      </c>
      <c r="Z875" s="0" t="inlineStr">
        <is>
          <t>https://new.land.naver.com/complexes/1299?tab=detail&amp;rf=Y</t>
        </is>
      </c>
      <c r="AA875" s="0" t="inlineStr">
        <is>
          <t>서울시 강동구 둔촌동 170-1</t>
        </is>
      </c>
      <c r="AB875" s="0" t="inlineStr">
        <is>
          <t>서울시</t>
        </is>
      </c>
      <c r="AC875" s="0" t="inlineStr">
        <is>
          <t>강동구</t>
        </is>
      </c>
      <c r="AD875" s="0" t="inlineStr">
        <is>
          <t>둔촌동</t>
        </is>
      </c>
      <c r="AG875" s="0" t="inlineStr">
        <is>
          <t>서울시 강동구 양재대로 1340</t>
        </is>
      </c>
      <c r="AH875" s="0" t="n">
        <v>0</v>
      </c>
      <c r="AI875" s="0" t="n">
        <v>0</v>
      </c>
      <c r="AJ875" s="0" t="n">
        <v>0</v>
      </c>
      <c r="AK875" s="0" t="n">
        <v>959</v>
      </c>
      <c r="AL875" s="0" t="n">
        <v>0.7</v>
      </c>
    </row>
    <row r="876">
      <c r="A876" s="0" t="inlineStr">
        <is>
          <t>[둔촌동]</t>
        </is>
      </c>
      <c r="B876" s="0" t="n">
        <v>1299</v>
      </c>
      <c r="C876" s="0" t="n">
        <v>6</v>
      </c>
      <c r="D876" s="0" t="inlineStr">
        <is>
          <t>주공저층1단지</t>
        </is>
      </c>
      <c r="E876" s="0" t="inlineStr">
        <is>
          <t>1980.01.</t>
        </is>
      </c>
      <c r="F876" s="0" t="n">
        <v>1370</v>
      </c>
      <c r="G876" s="0" t="n">
        <v>17.56</v>
      </c>
      <c r="H876" s="0" t="n">
        <v>58.08</v>
      </c>
      <c r="I876" s="0" t="n">
        <v>17.56</v>
      </c>
      <c r="J876" s="0" t="n">
        <v>58.08</v>
      </c>
      <c r="K876" s="0" t="n">
        <v>200</v>
      </c>
      <c r="T876" s="0" t="n">
        <v>3</v>
      </c>
      <c r="U876" s="0" t="n">
        <v>1</v>
      </c>
      <c r="V876" s="0" t="inlineStr">
        <is>
          <t>계단식</t>
        </is>
      </c>
      <c r="W876" s="0" t="inlineStr">
        <is>
          <t>58A</t>
        </is>
      </c>
      <c r="X876" s="0" t="n">
        <v>5</v>
      </c>
      <c r="Y876" s="0" t="n">
        <v>5</v>
      </c>
      <c r="Z876" s="0" t="inlineStr">
        <is>
          <t>https://new.land.naver.com/complexes/1299?tab=detail&amp;rf=Y</t>
        </is>
      </c>
      <c r="AA876" s="0" t="inlineStr">
        <is>
          <t>서울시 강동구 둔촌동 170-1</t>
        </is>
      </c>
      <c r="AB876" s="0" t="inlineStr">
        <is>
          <t>서울시</t>
        </is>
      </c>
      <c r="AC876" s="0" t="inlineStr">
        <is>
          <t>강동구</t>
        </is>
      </c>
      <c r="AD876" s="0" t="inlineStr">
        <is>
          <t>둔촌동</t>
        </is>
      </c>
      <c r="AG876" s="0" t="inlineStr">
        <is>
          <t>서울시 강동구 양재대로 1340</t>
        </is>
      </c>
      <c r="AH876" s="0" t="n">
        <v>0</v>
      </c>
      <c r="AI876" s="0" t="n">
        <v>0</v>
      </c>
      <c r="AJ876" s="0" t="n">
        <v>0</v>
      </c>
      <c r="AK876" s="0" t="n">
        <v>959</v>
      </c>
      <c r="AL876" s="0" t="n">
        <v>0.7</v>
      </c>
    </row>
    <row r="877">
      <c r="A877" s="0" t="inlineStr">
        <is>
          <t>[둔촌동]</t>
        </is>
      </c>
      <c r="B877" s="0" t="n">
        <v>1299</v>
      </c>
      <c r="C877" s="0" t="n">
        <v>7</v>
      </c>
      <c r="D877" s="0" t="inlineStr">
        <is>
          <t>주공저층1단지</t>
        </is>
      </c>
      <c r="E877" s="0" t="inlineStr">
        <is>
          <t>1980.01.</t>
        </is>
      </c>
      <c r="F877" s="0" t="n">
        <v>1370</v>
      </c>
      <c r="G877" s="0" t="n">
        <v>17.81</v>
      </c>
      <c r="H877" s="0" t="n">
        <v>58.88</v>
      </c>
      <c r="I877" s="0" t="n">
        <v>17.81</v>
      </c>
      <c r="J877" s="0" t="n">
        <v>58.88</v>
      </c>
      <c r="K877" s="0" t="n">
        <v>40</v>
      </c>
      <c r="T877" s="0" t="n">
        <v>3</v>
      </c>
      <c r="U877" s="0" t="n">
        <v>1</v>
      </c>
      <c r="V877" s="0" t="inlineStr">
        <is>
          <t>계단식</t>
        </is>
      </c>
      <c r="W877" s="0" t="inlineStr">
        <is>
          <t>58C</t>
        </is>
      </c>
      <c r="X877" s="0" t="n">
        <v>5</v>
      </c>
      <c r="Y877" s="0" t="n">
        <v>5</v>
      </c>
      <c r="Z877" s="0" t="inlineStr">
        <is>
          <t>https://new.land.naver.com/complexes/1299?tab=detail&amp;rf=Y</t>
        </is>
      </c>
      <c r="AA877" s="0" t="inlineStr">
        <is>
          <t>서울시 강동구 둔촌동 170-1</t>
        </is>
      </c>
      <c r="AB877" s="0" t="inlineStr">
        <is>
          <t>서울시</t>
        </is>
      </c>
      <c r="AC877" s="0" t="inlineStr">
        <is>
          <t>강동구</t>
        </is>
      </c>
      <c r="AD877" s="0" t="inlineStr">
        <is>
          <t>둔촌동</t>
        </is>
      </c>
      <c r="AG877" s="0" t="inlineStr">
        <is>
          <t>서울시 강동구 양재대로 1340</t>
        </is>
      </c>
      <c r="AH877" s="0" t="n">
        <v>0</v>
      </c>
      <c r="AI877" s="0" t="n">
        <v>0</v>
      </c>
      <c r="AJ877" s="0" t="n">
        <v>0</v>
      </c>
      <c r="AK877" s="0" t="n">
        <v>959</v>
      </c>
      <c r="AL877" s="0" t="n">
        <v>0.7</v>
      </c>
    </row>
    <row r="878">
      <c r="A878" s="0" t="inlineStr">
        <is>
          <t>[둔촌동]</t>
        </is>
      </c>
      <c r="B878" s="0" t="n">
        <v>1299</v>
      </c>
      <c r="C878" s="0" t="n">
        <v>8</v>
      </c>
      <c r="D878" s="0" t="inlineStr">
        <is>
          <t>주공저층1단지</t>
        </is>
      </c>
      <c r="E878" s="0" t="inlineStr">
        <is>
          <t>1980.01.</t>
        </is>
      </c>
      <c r="F878" s="0" t="n">
        <v>1370</v>
      </c>
      <c r="G878" s="0" t="n">
        <v>24.17</v>
      </c>
      <c r="H878" s="0" t="n">
        <v>79.93000000000001</v>
      </c>
      <c r="I878" s="0" t="n">
        <v>24.17</v>
      </c>
      <c r="J878" s="0" t="n">
        <v>79.93000000000001</v>
      </c>
      <c r="K878" s="0" t="n">
        <v>100</v>
      </c>
      <c r="T878" s="0" t="n">
        <v>3</v>
      </c>
      <c r="U878" s="0" t="n">
        <v>1</v>
      </c>
      <c r="V878" s="0" t="inlineStr">
        <is>
          <t>계단식</t>
        </is>
      </c>
      <c r="W878" s="0" t="inlineStr">
        <is>
          <t>79A</t>
        </is>
      </c>
      <c r="X878" s="0" t="n">
        <v>5</v>
      </c>
      <c r="Y878" s="0" t="n">
        <v>5</v>
      </c>
      <c r="Z878" s="0" t="inlineStr">
        <is>
          <t>https://new.land.naver.com/complexes/1299?tab=detail&amp;rf=Y</t>
        </is>
      </c>
      <c r="AA878" s="0" t="inlineStr">
        <is>
          <t>서울시 강동구 둔촌동 170-1</t>
        </is>
      </c>
      <c r="AB878" s="0" t="inlineStr">
        <is>
          <t>서울시</t>
        </is>
      </c>
      <c r="AC878" s="0" t="inlineStr">
        <is>
          <t>강동구</t>
        </is>
      </c>
      <c r="AD878" s="0" t="inlineStr">
        <is>
          <t>둔촌동</t>
        </is>
      </c>
      <c r="AG878" s="0" t="inlineStr">
        <is>
          <t>서울시 강동구 양재대로 1340</t>
        </is>
      </c>
      <c r="AH878" s="0" t="n">
        <v>0</v>
      </c>
      <c r="AI878" s="0" t="n">
        <v>0</v>
      </c>
      <c r="AJ878" s="0" t="n">
        <v>0</v>
      </c>
      <c r="AK878" s="0" t="n">
        <v>959</v>
      </c>
      <c r="AL878" s="0" t="n">
        <v>0.7</v>
      </c>
    </row>
    <row r="879">
      <c r="A879" s="0" t="inlineStr">
        <is>
          <t>[둔촌동]</t>
        </is>
      </c>
      <c r="B879" s="0" t="n">
        <v>1299</v>
      </c>
      <c r="C879" s="0" t="n">
        <v>9</v>
      </c>
      <c r="D879" s="0" t="inlineStr">
        <is>
          <t>주공저층1단지</t>
        </is>
      </c>
      <c r="E879" s="0" t="inlineStr">
        <is>
          <t>1980.01.</t>
        </is>
      </c>
      <c r="F879" s="0" t="n">
        <v>1370</v>
      </c>
      <c r="G879" s="0" t="n">
        <v>24.2</v>
      </c>
      <c r="H879" s="0" t="n">
        <v>80.03</v>
      </c>
      <c r="I879" s="0" t="n">
        <v>24.2</v>
      </c>
      <c r="J879" s="0" t="n">
        <v>80.03</v>
      </c>
      <c r="K879" s="0" t="n">
        <v>110</v>
      </c>
      <c r="T879" s="0" t="n">
        <v>3</v>
      </c>
      <c r="U879" s="0" t="n">
        <v>1</v>
      </c>
      <c r="V879" s="0" t="inlineStr">
        <is>
          <t>계단식</t>
        </is>
      </c>
      <c r="W879" s="0" t="inlineStr">
        <is>
          <t>80B</t>
        </is>
      </c>
      <c r="X879" s="0" t="n">
        <v>5</v>
      </c>
      <c r="Y879" s="0" t="n">
        <v>5</v>
      </c>
      <c r="Z879" s="0" t="inlineStr">
        <is>
          <t>https://new.land.naver.com/complexes/1299?tab=detail&amp;rf=Y</t>
        </is>
      </c>
      <c r="AA879" s="0" t="inlineStr">
        <is>
          <t>서울시 강동구 둔촌동 170-1</t>
        </is>
      </c>
      <c r="AB879" s="0" t="inlineStr">
        <is>
          <t>서울시</t>
        </is>
      </c>
      <c r="AC879" s="0" t="inlineStr">
        <is>
          <t>강동구</t>
        </is>
      </c>
      <c r="AD879" s="0" t="inlineStr">
        <is>
          <t>둔촌동</t>
        </is>
      </c>
      <c r="AG879" s="0" t="inlineStr">
        <is>
          <t>서울시 강동구 양재대로 1340</t>
        </is>
      </c>
      <c r="AH879" s="0" t="n">
        <v>0</v>
      </c>
      <c r="AI879" s="0" t="n">
        <v>0</v>
      </c>
      <c r="AJ879" s="0" t="n">
        <v>0</v>
      </c>
      <c r="AK879" s="0" t="n">
        <v>959</v>
      </c>
      <c r="AL879" s="0" t="n">
        <v>0.7</v>
      </c>
    </row>
    <row r="880">
      <c r="A880" s="0" t="inlineStr">
        <is>
          <t>[둔촌동]</t>
        </is>
      </c>
      <c r="B880" s="0" t="n">
        <v>1299</v>
      </c>
      <c r="C880" s="0" t="n">
        <v>10</v>
      </c>
      <c r="D880" s="0" t="inlineStr">
        <is>
          <t>주공저층1단지</t>
        </is>
      </c>
      <c r="E880" s="0" t="inlineStr">
        <is>
          <t>1980.01.</t>
        </is>
      </c>
      <c r="F880" s="0" t="n">
        <v>1370</v>
      </c>
      <c r="G880" s="0" t="n">
        <v>26.75</v>
      </c>
      <c r="H880" s="0" t="n">
        <v>88.43000000000001</v>
      </c>
      <c r="I880" s="0" t="n">
        <v>26.75</v>
      </c>
      <c r="J880" s="0" t="n">
        <v>88.43000000000001</v>
      </c>
      <c r="K880" s="0" t="n">
        <v>150</v>
      </c>
      <c r="T880" s="0" t="n">
        <v>3</v>
      </c>
      <c r="U880" s="0" t="n">
        <v>1</v>
      </c>
      <c r="V880" s="0" t="inlineStr">
        <is>
          <t>계단식</t>
        </is>
      </c>
      <c r="W880" s="0" t="inlineStr">
        <is>
          <t>88B</t>
        </is>
      </c>
      <c r="X880" s="0" t="n">
        <v>5</v>
      </c>
      <c r="Y880" s="0" t="n">
        <v>5</v>
      </c>
      <c r="Z880" s="0" t="inlineStr">
        <is>
          <t>https://new.land.naver.com/complexes/1299?tab=detail&amp;rf=Y</t>
        </is>
      </c>
      <c r="AA880" s="0" t="inlineStr">
        <is>
          <t>서울시 강동구 둔촌동 170-1</t>
        </is>
      </c>
      <c r="AB880" s="0" t="inlineStr">
        <is>
          <t>서울시</t>
        </is>
      </c>
      <c r="AC880" s="0" t="inlineStr">
        <is>
          <t>강동구</t>
        </is>
      </c>
      <c r="AD880" s="0" t="inlineStr">
        <is>
          <t>둔촌동</t>
        </is>
      </c>
      <c r="AG880" s="0" t="inlineStr">
        <is>
          <t>서울시 강동구 양재대로 1340</t>
        </is>
      </c>
      <c r="AH880" s="0" t="n">
        <v>0</v>
      </c>
      <c r="AI880" s="0" t="n">
        <v>0</v>
      </c>
      <c r="AJ880" s="0" t="n">
        <v>0</v>
      </c>
      <c r="AK880" s="0" t="n">
        <v>959</v>
      </c>
      <c r="AL880" s="0" t="n">
        <v>0.7</v>
      </c>
    </row>
    <row r="881">
      <c r="A881" s="0" t="inlineStr">
        <is>
          <t>[둔촌동]</t>
        </is>
      </c>
      <c r="B881" s="0" t="n">
        <v>1299</v>
      </c>
      <c r="C881" s="0" t="n">
        <v>11</v>
      </c>
      <c r="D881" s="0" t="inlineStr">
        <is>
          <t>주공저층1단지</t>
        </is>
      </c>
      <c r="E881" s="0" t="inlineStr">
        <is>
          <t>1980.01.</t>
        </is>
      </c>
      <c r="F881" s="0" t="n">
        <v>1370</v>
      </c>
      <c r="G881" s="0" t="n">
        <v>26.69</v>
      </c>
      <c r="H881" s="0" t="n">
        <v>88.26000000000001</v>
      </c>
      <c r="I881" s="0" t="n">
        <v>26.69</v>
      </c>
      <c r="J881" s="0" t="n">
        <v>88.26000000000001</v>
      </c>
      <c r="K881" s="0" t="n">
        <v>130</v>
      </c>
      <c r="T881" s="0" t="n">
        <v>3</v>
      </c>
      <c r="U881" s="0" t="n">
        <v>1</v>
      </c>
      <c r="V881" s="0" t="inlineStr">
        <is>
          <t>계단식</t>
        </is>
      </c>
      <c r="W881" s="0" t="inlineStr">
        <is>
          <t>88A</t>
        </is>
      </c>
      <c r="X881" s="0" t="n">
        <v>5</v>
      </c>
      <c r="Y881" s="0" t="n">
        <v>5</v>
      </c>
      <c r="Z881" s="0" t="inlineStr">
        <is>
          <t>https://new.land.naver.com/complexes/1299?tab=detail&amp;rf=Y</t>
        </is>
      </c>
      <c r="AA881" s="0" t="inlineStr">
        <is>
          <t>서울시 강동구 둔촌동 170-1</t>
        </is>
      </c>
      <c r="AB881" s="0" t="inlineStr">
        <is>
          <t>서울시</t>
        </is>
      </c>
      <c r="AC881" s="0" t="inlineStr">
        <is>
          <t>강동구</t>
        </is>
      </c>
      <c r="AD881" s="0" t="inlineStr">
        <is>
          <t>둔촌동</t>
        </is>
      </c>
      <c r="AG881" s="0" t="inlineStr">
        <is>
          <t>서울시 강동구 양재대로 1340</t>
        </is>
      </c>
      <c r="AH881" s="0" t="n">
        <v>0</v>
      </c>
      <c r="AI881" s="0" t="n">
        <v>0</v>
      </c>
      <c r="AJ881" s="0" t="n">
        <v>0</v>
      </c>
      <c r="AK881" s="0" t="n">
        <v>959</v>
      </c>
      <c r="AL881" s="0" t="n">
        <v>0.7</v>
      </c>
    </row>
    <row r="882">
      <c r="A882" s="0" t="inlineStr">
        <is>
          <t>[둔촌동]</t>
        </is>
      </c>
      <c r="B882" s="0" t="n">
        <v>901</v>
      </c>
      <c r="C882" s="0" t="n">
        <v>1</v>
      </c>
      <c r="D882" s="0" t="inlineStr">
        <is>
          <t>주공저층2단지</t>
        </is>
      </c>
      <c r="E882" s="0" t="inlineStr">
        <is>
          <t>1980.01.</t>
        </is>
      </c>
      <c r="F882" s="0" t="n">
        <v>900</v>
      </c>
      <c r="G882" s="0" t="n">
        <v>15.37</v>
      </c>
      <c r="H882" s="0" t="n">
        <v>50.84</v>
      </c>
      <c r="I882" s="0" t="n">
        <v>15.37</v>
      </c>
      <c r="J882" s="0" t="n">
        <v>50.84</v>
      </c>
      <c r="K882" s="0" t="n">
        <v>90</v>
      </c>
      <c r="T882" s="0" t="n">
        <v>2</v>
      </c>
      <c r="U882" s="0" t="n">
        <v>1</v>
      </c>
      <c r="V882" s="0" t="inlineStr">
        <is>
          <t>계단식</t>
        </is>
      </c>
      <c r="W882" s="0" t="n">
        <v>50</v>
      </c>
      <c r="X882" s="0" t="n">
        <v>5</v>
      </c>
      <c r="Y882" s="0" t="n">
        <v>5</v>
      </c>
      <c r="Z882" s="0" t="inlineStr">
        <is>
          <t>https://new.land.naver.com/complexes/901?tab=detail&amp;rf=Y</t>
        </is>
      </c>
      <c r="AA882" s="0" t="inlineStr">
        <is>
          <t>서울시 강동구 둔촌동 174-1</t>
        </is>
      </c>
      <c r="AB882" s="0" t="inlineStr">
        <is>
          <t>서울시</t>
        </is>
      </c>
      <c r="AC882" s="0" t="inlineStr">
        <is>
          <t>강동구</t>
        </is>
      </c>
      <c r="AD882" s="0" t="inlineStr">
        <is>
          <t>둔촌동</t>
        </is>
      </c>
      <c r="AG882" s="0" t="inlineStr">
        <is>
          <t>서울시 강동구 양재대로 1340</t>
        </is>
      </c>
      <c r="AH882" s="0" t="n">
        <v>0</v>
      </c>
      <c r="AI882" s="0" t="n">
        <v>0</v>
      </c>
      <c r="AJ882" s="0" t="n">
        <v>0</v>
      </c>
      <c r="AK882" s="0" t="n">
        <v>630</v>
      </c>
      <c r="AL882" s="0" t="n">
        <v>0.7</v>
      </c>
    </row>
    <row r="883">
      <c r="A883" s="0" t="inlineStr">
        <is>
          <t>[둔촌동]</t>
        </is>
      </c>
      <c r="B883" s="0" t="n">
        <v>901</v>
      </c>
      <c r="C883" s="0" t="n">
        <v>2</v>
      </c>
      <c r="D883" s="0" t="inlineStr">
        <is>
          <t>주공저층2단지</t>
        </is>
      </c>
      <c r="E883" s="0" t="inlineStr">
        <is>
          <t>1980.01.</t>
        </is>
      </c>
      <c r="F883" s="0" t="n">
        <v>900</v>
      </c>
      <c r="G883" s="0" t="n">
        <v>15.63</v>
      </c>
      <c r="H883" s="0" t="n">
        <v>51.67</v>
      </c>
      <c r="I883" s="0" t="n">
        <v>15.63</v>
      </c>
      <c r="J883" s="0" t="n">
        <v>51.67</v>
      </c>
      <c r="K883" s="0" t="n">
        <v>120</v>
      </c>
      <c r="T883" s="0" t="n">
        <v>2</v>
      </c>
      <c r="U883" s="0" t="n">
        <v>1</v>
      </c>
      <c r="V883" s="0" t="inlineStr">
        <is>
          <t>계단식</t>
        </is>
      </c>
      <c r="W883" s="0" t="n">
        <v>51</v>
      </c>
      <c r="X883" s="0" t="n">
        <v>5</v>
      </c>
      <c r="Y883" s="0" t="n">
        <v>5</v>
      </c>
      <c r="Z883" s="0" t="inlineStr">
        <is>
          <t>https://new.land.naver.com/complexes/901?tab=detail&amp;rf=Y</t>
        </is>
      </c>
      <c r="AA883" s="0" t="inlineStr">
        <is>
          <t>서울시 강동구 둔촌동 174-1</t>
        </is>
      </c>
      <c r="AB883" s="0" t="inlineStr">
        <is>
          <t>서울시</t>
        </is>
      </c>
      <c r="AC883" s="0" t="inlineStr">
        <is>
          <t>강동구</t>
        </is>
      </c>
      <c r="AD883" s="0" t="inlineStr">
        <is>
          <t>둔촌동</t>
        </is>
      </c>
      <c r="AG883" s="0" t="inlineStr">
        <is>
          <t>서울시 강동구 양재대로 1340</t>
        </is>
      </c>
      <c r="AH883" s="0" t="n">
        <v>0</v>
      </c>
      <c r="AI883" s="0" t="n">
        <v>0</v>
      </c>
      <c r="AJ883" s="0" t="n">
        <v>0</v>
      </c>
      <c r="AK883" s="0" t="n">
        <v>630</v>
      </c>
      <c r="AL883" s="0" t="n">
        <v>0.7</v>
      </c>
    </row>
    <row r="884">
      <c r="A884" s="0" t="inlineStr">
        <is>
          <t>[둔촌동]</t>
        </is>
      </c>
      <c r="B884" s="0" t="n">
        <v>901</v>
      </c>
      <c r="C884" s="0" t="n">
        <v>3</v>
      </c>
      <c r="D884" s="0" t="inlineStr">
        <is>
          <t>주공저층2단지</t>
        </is>
      </c>
      <c r="E884" s="0" t="inlineStr">
        <is>
          <t>1980.01.</t>
        </is>
      </c>
      <c r="F884" s="0" t="n">
        <v>900</v>
      </c>
      <c r="G884" s="0" t="n">
        <v>24.17</v>
      </c>
      <c r="H884" s="0" t="n">
        <v>79.93000000000001</v>
      </c>
      <c r="I884" s="0" t="n">
        <v>24.17</v>
      </c>
      <c r="J884" s="0" t="n">
        <v>79.93000000000001</v>
      </c>
      <c r="K884" s="0" t="n">
        <v>140</v>
      </c>
      <c r="T884" s="0" t="n">
        <v>3</v>
      </c>
      <c r="U884" s="0" t="n">
        <v>1</v>
      </c>
      <c r="V884" s="0" t="inlineStr">
        <is>
          <t>계단식</t>
        </is>
      </c>
      <c r="W884" s="0" t="inlineStr">
        <is>
          <t>79A</t>
        </is>
      </c>
      <c r="X884" s="0" t="n">
        <v>5</v>
      </c>
      <c r="Y884" s="0" t="n">
        <v>5</v>
      </c>
      <c r="Z884" s="0" t="inlineStr">
        <is>
          <t>https://new.land.naver.com/complexes/901?tab=detail&amp;rf=Y</t>
        </is>
      </c>
      <c r="AA884" s="0" t="inlineStr">
        <is>
          <t>서울시 강동구 둔촌동 174-1</t>
        </is>
      </c>
      <c r="AB884" s="0" t="inlineStr">
        <is>
          <t>서울시</t>
        </is>
      </c>
      <c r="AC884" s="0" t="inlineStr">
        <is>
          <t>강동구</t>
        </is>
      </c>
      <c r="AD884" s="0" t="inlineStr">
        <is>
          <t>둔촌동</t>
        </is>
      </c>
      <c r="AG884" s="0" t="inlineStr">
        <is>
          <t>서울시 강동구 양재대로 1340</t>
        </is>
      </c>
      <c r="AH884" s="0" t="n">
        <v>0</v>
      </c>
      <c r="AI884" s="0" t="n">
        <v>0</v>
      </c>
      <c r="AJ884" s="0" t="n">
        <v>0</v>
      </c>
      <c r="AK884" s="0" t="n">
        <v>630</v>
      </c>
      <c r="AL884" s="0" t="n">
        <v>0.7</v>
      </c>
    </row>
    <row r="885">
      <c r="A885" s="0" t="inlineStr">
        <is>
          <t>[둔촌동]</t>
        </is>
      </c>
      <c r="B885" s="0" t="n">
        <v>901</v>
      </c>
      <c r="C885" s="0" t="n">
        <v>4</v>
      </c>
      <c r="D885" s="0" t="inlineStr">
        <is>
          <t>주공저층2단지</t>
        </is>
      </c>
      <c r="E885" s="0" t="inlineStr">
        <is>
          <t>1980.01.</t>
        </is>
      </c>
      <c r="F885" s="0" t="n">
        <v>900</v>
      </c>
      <c r="G885" s="0" t="n">
        <v>24.2</v>
      </c>
      <c r="H885" s="0" t="n">
        <v>80.03</v>
      </c>
      <c r="I885" s="0" t="n">
        <v>24.2</v>
      </c>
      <c r="J885" s="0" t="n">
        <v>80.03</v>
      </c>
      <c r="K885" s="0" t="n">
        <v>130</v>
      </c>
      <c r="T885" s="0" t="n">
        <v>3</v>
      </c>
      <c r="U885" s="0" t="n">
        <v>1</v>
      </c>
      <c r="V885" s="0" t="inlineStr">
        <is>
          <t>계단식</t>
        </is>
      </c>
      <c r="W885" s="0" t="inlineStr">
        <is>
          <t>80B</t>
        </is>
      </c>
      <c r="X885" s="0" t="n">
        <v>5</v>
      </c>
      <c r="Y885" s="0" t="n">
        <v>5</v>
      </c>
      <c r="Z885" s="0" t="inlineStr">
        <is>
          <t>https://new.land.naver.com/complexes/901?tab=detail&amp;rf=Y</t>
        </is>
      </c>
      <c r="AA885" s="0" t="inlineStr">
        <is>
          <t>서울시 강동구 둔촌동 174-1</t>
        </is>
      </c>
      <c r="AB885" s="0" t="inlineStr">
        <is>
          <t>서울시</t>
        </is>
      </c>
      <c r="AC885" s="0" t="inlineStr">
        <is>
          <t>강동구</t>
        </is>
      </c>
      <c r="AD885" s="0" t="inlineStr">
        <is>
          <t>둔촌동</t>
        </is>
      </c>
      <c r="AG885" s="0" t="inlineStr">
        <is>
          <t>서울시 강동구 양재대로 1340</t>
        </is>
      </c>
      <c r="AH885" s="0" t="n">
        <v>0</v>
      </c>
      <c r="AI885" s="0" t="n">
        <v>0</v>
      </c>
      <c r="AJ885" s="0" t="n">
        <v>0</v>
      </c>
      <c r="AK885" s="0" t="n">
        <v>630</v>
      </c>
      <c r="AL885" s="0" t="n">
        <v>0.7</v>
      </c>
    </row>
    <row r="886">
      <c r="A886" s="0" t="inlineStr">
        <is>
          <t>[둔촌동]</t>
        </is>
      </c>
      <c r="B886" s="0" t="n">
        <v>901</v>
      </c>
      <c r="C886" s="0" t="n">
        <v>5</v>
      </c>
      <c r="D886" s="0" t="inlineStr">
        <is>
          <t>주공저층2단지</t>
        </is>
      </c>
      <c r="E886" s="0" t="inlineStr">
        <is>
          <t>1980.01.</t>
        </is>
      </c>
      <c r="F886" s="0" t="n">
        <v>900</v>
      </c>
      <c r="G886" s="0" t="n">
        <v>26.75</v>
      </c>
      <c r="H886" s="0" t="n">
        <v>88.43000000000001</v>
      </c>
      <c r="I886" s="0" t="n">
        <v>26.75</v>
      </c>
      <c r="J886" s="0" t="n">
        <v>88.43000000000001</v>
      </c>
      <c r="K886" s="0" t="n">
        <v>230</v>
      </c>
      <c r="T886" s="0" t="n">
        <v>3</v>
      </c>
      <c r="U886" s="0" t="n">
        <v>1</v>
      </c>
      <c r="V886" s="0" t="inlineStr">
        <is>
          <t>계단식</t>
        </is>
      </c>
      <c r="W886" s="0" t="inlineStr">
        <is>
          <t>88B</t>
        </is>
      </c>
      <c r="X886" s="0" t="n">
        <v>5</v>
      </c>
      <c r="Y886" s="0" t="n">
        <v>5</v>
      </c>
      <c r="Z886" s="0" t="inlineStr">
        <is>
          <t>https://new.land.naver.com/complexes/901?tab=detail&amp;rf=Y</t>
        </is>
      </c>
      <c r="AA886" s="0" t="inlineStr">
        <is>
          <t>서울시 강동구 둔촌동 174-1</t>
        </is>
      </c>
      <c r="AB886" s="0" t="inlineStr">
        <is>
          <t>서울시</t>
        </is>
      </c>
      <c r="AC886" s="0" t="inlineStr">
        <is>
          <t>강동구</t>
        </is>
      </c>
      <c r="AD886" s="0" t="inlineStr">
        <is>
          <t>둔촌동</t>
        </is>
      </c>
      <c r="AG886" s="0" t="inlineStr">
        <is>
          <t>서울시 강동구 양재대로 1340</t>
        </is>
      </c>
      <c r="AH886" s="0" t="n">
        <v>0</v>
      </c>
      <c r="AI886" s="0" t="n">
        <v>0</v>
      </c>
      <c r="AJ886" s="0" t="n">
        <v>0</v>
      </c>
      <c r="AK886" s="0" t="n">
        <v>630</v>
      </c>
      <c r="AL886" s="0" t="n">
        <v>0.7</v>
      </c>
    </row>
    <row r="887">
      <c r="A887" s="0" t="inlineStr">
        <is>
          <t>[둔촌동]</t>
        </is>
      </c>
      <c r="B887" s="0" t="n">
        <v>901</v>
      </c>
      <c r="C887" s="0" t="n">
        <v>6</v>
      </c>
      <c r="D887" s="0" t="inlineStr">
        <is>
          <t>주공저층2단지</t>
        </is>
      </c>
      <c r="E887" s="0" t="inlineStr">
        <is>
          <t>1980.01.</t>
        </is>
      </c>
      <c r="F887" s="0" t="n">
        <v>900</v>
      </c>
      <c r="G887" s="0" t="n">
        <v>26.69</v>
      </c>
      <c r="H887" s="0" t="n">
        <v>88.26000000000001</v>
      </c>
      <c r="I887" s="0" t="n">
        <v>26.69</v>
      </c>
      <c r="J887" s="0" t="n">
        <v>88.26000000000001</v>
      </c>
      <c r="K887" s="0" t="n">
        <v>190</v>
      </c>
      <c r="T887" s="0" t="inlineStr">
        <is>
          <t>-</t>
        </is>
      </c>
      <c r="U887" s="0" t="inlineStr">
        <is>
          <t>-</t>
        </is>
      </c>
      <c r="V887" s="0" t="inlineStr">
        <is>
          <t>계단식</t>
        </is>
      </c>
      <c r="W887" s="0" t="inlineStr">
        <is>
          <t>88A</t>
        </is>
      </c>
      <c r="X887" s="0" t="n">
        <v>5</v>
      </c>
      <c r="Y887" s="0" t="n">
        <v>5</v>
      </c>
      <c r="Z887" s="0" t="inlineStr">
        <is>
          <t>https://new.land.naver.com/complexes/901?tab=detail&amp;rf=Y</t>
        </is>
      </c>
      <c r="AA887" s="0" t="inlineStr">
        <is>
          <t>서울시 강동구 둔촌동 174-1</t>
        </is>
      </c>
      <c r="AB887" s="0" t="inlineStr">
        <is>
          <t>서울시</t>
        </is>
      </c>
      <c r="AC887" s="0" t="inlineStr">
        <is>
          <t>강동구</t>
        </is>
      </c>
      <c r="AD887" s="0" t="inlineStr">
        <is>
          <t>둔촌동</t>
        </is>
      </c>
      <c r="AG887" s="0" t="inlineStr">
        <is>
          <t>서울시 강동구 양재대로 1340</t>
        </is>
      </c>
      <c r="AH887" s="0" t="n">
        <v>0</v>
      </c>
      <c r="AI887" s="0" t="n">
        <v>0</v>
      </c>
      <c r="AJ887" s="0" t="n">
        <v>0</v>
      </c>
      <c r="AK887" s="0" t="n">
        <v>630</v>
      </c>
      <c r="AL887" s="0" t="n">
        <v>0.7</v>
      </c>
    </row>
    <row r="888">
      <c r="A888" s="0" t="inlineStr">
        <is>
          <t>[둔촌동]</t>
        </is>
      </c>
      <c r="B888" s="0" t="n">
        <v>15250</v>
      </c>
      <c r="C888" s="0" t="n">
        <v>1</v>
      </c>
      <c r="D888" s="0" t="inlineStr">
        <is>
          <t>경방필</t>
        </is>
      </c>
      <c r="E888" s="0" t="inlineStr">
        <is>
          <t>2003.03.</t>
        </is>
      </c>
      <c r="F888" s="0" t="n">
        <v>19</v>
      </c>
      <c r="G888" s="0" t="n">
        <v>28.27</v>
      </c>
      <c r="H888" s="0" t="n">
        <v>93.45999999999999</v>
      </c>
      <c r="I888" s="0" t="n">
        <v>25.67</v>
      </c>
      <c r="J888" s="0" t="n">
        <v>84.86</v>
      </c>
      <c r="K888" s="0" t="n">
        <v>7</v>
      </c>
      <c r="T888" s="0" t="n">
        <v>3</v>
      </c>
      <c r="U888" s="0" t="n">
        <v>2</v>
      </c>
      <c r="V888" s="0" t="inlineStr">
        <is>
          <t>계단식</t>
        </is>
      </c>
      <c r="W888" s="0" t="inlineStr">
        <is>
          <t>93A</t>
        </is>
      </c>
      <c r="X888" s="0" t="n">
        <v>7</v>
      </c>
      <c r="Y888" s="0" t="n">
        <v>7</v>
      </c>
      <c r="Z888" s="0" t="inlineStr">
        <is>
          <t>https://new.land.naver.com/complexes/15250?tab=detail&amp;rf=Y</t>
        </is>
      </c>
      <c r="AA888" s="0" t="inlineStr">
        <is>
          <t>서울시 강동구 둔촌동 518-6</t>
        </is>
      </c>
      <c r="AB888" s="0" t="inlineStr">
        <is>
          <t>서울시</t>
        </is>
      </c>
      <c r="AC888" s="0" t="inlineStr">
        <is>
          <t>강동구</t>
        </is>
      </c>
      <c r="AD888" s="0" t="inlineStr">
        <is>
          <t>둔촌동</t>
        </is>
      </c>
      <c r="AG888" s="0" t="inlineStr">
        <is>
          <t>서울시 강동구 풍성로 239</t>
        </is>
      </c>
      <c r="AH888" s="0" t="n">
        <v>0</v>
      </c>
      <c r="AI888" s="0" t="n">
        <v>253</v>
      </c>
      <c r="AJ888" s="0" t="n">
        <v>37</v>
      </c>
      <c r="AK888" s="0" t="n">
        <v>21</v>
      </c>
      <c r="AL888" s="0" t="n">
        <v>1.11</v>
      </c>
    </row>
    <row r="889">
      <c r="A889" s="0" t="inlineStr">
        <is>
          <t>[둔촌동]</t>
        </is>
      </c>
      <c r="B889" s="0" t="n">
        <v>15250</v>
      </c>
      <c r="C889" s="0" t="n">
        <v>2</v>
      </c>
      <c r="D889" s="0" t="inlineStr">
        <is>
          <t>경방필</t>
        </is>
      </c>
      <c r="E889" s="0" t="inlineStr">
        <is>
          <t>2003.03.</t>
        </is>
      </c>
      <c r="F889" s="0" t="n">
        <v>19</v>
      </c>
      <c r="G889" s="0" t="n">
        <v>28.21</v>
      </c>
      <c r="H889" s="0" t="n">
        <v>93.27</v>
      </c>
      <c r="I889" s="0" t="n">
        <v>25.65</v>
      </c>
      <c r="J889" s="0" t="n">
        <v>84.8</v>
      </c>
      <c r="K889" s="0" t="n">
        <v>6</v>
      </c>
      <c r="T889" s="0" t="n">
        <v>3</v>
      </c>
      <c r="U889" s="0" t="n">
        <v>2</v>
      </c>
      <c r="V889" s="0" t="inlineStr">
        <is>
          <t>계단식</t>
        </is>
      </c>
      <c r="W889" s="0" t="inlineStr">
        <is>
          <t>93B</t>
        </is>
      </c>
      <c r="X889" s="0" t="n">
        <v>7</v>
      </c>
      <c r="Y889" s="0" t="n">
        <v>7</v>
      </c>
      <c r="Z889" s="0" t="inlineStr">
        <is>
          <t>https://new.land.naver.com/complexes/15250?tab=detail&amp;rf=Y</t>
        </is>
      </c>
      <c r="AA889" s="0" t="inlineStr">
        <is>
          <t>서울시 강동구 둔촌동 518-6</t>
        </is>
      </c>
      <c r="AB889" s="0" t="inlineStr">
        <is>
          <t>서울시</t>
        </is>
      </c>
      <c r="AC889" s="0" t="inlineStr">
        <is>
          <t>강동구</t>
        </is>
      </c>
      <c r="AD889" s="0" t="inlineStr">
        <is>
          <t>둔촌동</t>
        </is>
      </c>
      <c r="AG889" s="0" t="inlineStr">
        <is>
          <t>서울시 강동구 풍성로 239</t>
        </is>
      </c>
      <c r="AH889" s="0" t="n">
        <v>0</v>
      </c>
      <c r="AI889" s="0" t="n">
        <v>253</v>
      </c>
      <c r="AJ889" s="0" t="n">
        <v>37</v>
      </c>
      <c r="AK889" s="0" t="n">
        <v>21</v>
      </c>
      <c r="AL889" s="0" t="n">
        <v>1.11</v>
      </c>
    </row>
    <row r="890">
      <c r="A890" s="0" t="inlineStr">
        <is>
          <t>[둔촌동]</t>
        </is>
      </c>
      <c r="B890" s="0" t="n">
        <v>15250</v>
      </c>
      <c r="C890" s="0" t="n">
        <v>3</v>
      </c>
      <c r="D890" s="0" t="inlineStr">
        <is>
          <t>경방필</t>
        </is>
      </c>
      <c r="E890" s="0" t="inlineStr">
        <is>
          <t>2003.03.</t>
        </is>
      </c>
      <c r="F890" s="0" t="n">
        <v>19</v>
      </c>
      <c r="G890" s="0" t="n">
        <v>28.28</v>
      </c>
      <c r="H890" s="0" t="n">
        <v>93.5</v>
      </c>
      <c r="I890" s="0" t="n">
        <v>25.67</v>
      </c>
      <c r="J890" s="0" t="n">
        <v>84.89</v>
      </c>
      <c r="K890" s="0" t="n">
        <v>6</v>
      </c>
      <c r="T890" s="0" t="n">
        <v>3</v>
      </c>
      <c r="U890" s="0" t="n">
        <v>2</v>
      </c>
      <c r="V890" s="0" t="inlineStr">
        <is>
          <t>계단식</t>
        </is>
      </c>
      <c r="W890" s="0" t="inlineStr">
        <is>
          <t>93C</t>
        </is>
      </c>
      <c r="X890" s="0" t="n">
        <v>7</v>
      </c>
      <c r="Y890" s="0" t="n">
        <v>7</v>
      </c>
      <c r="Z890" s="0" t="inlineStr">
        <is>
          <t>https://new.land.naver.com/complexes/15250?tab=detail&amp;rf=Y</t>
        </is>
      </c>
      <c r="AA890" s="0" t="inlineStr">
        <is>
          <t>서울시 강동구 둔촌동 518-6</t>
        </is>
      </c>
      <c r="AB890" s="0" t="inlineStr">
        <is>
          <t>서울시</t>
        </is>
      </c>
      <c r="AC890" s="0" t="inlineStr">
        <is>
          <t>강동구</t>
        </is>
      </c>
      <c r="AD890" s="0" t="inlineStr">
        <is>
          <t>둔촌동</t>
        </is>
      </c>
      <c r="AG890" s="0" t="inlineStr">
        <is>
          <t>서울시 강동구 풍성로 239</t>
        </is>
      </c>
      <c r="AH890" s="0" t="n">
        <v>0</v>
      </c>
      <c r="AI890" s="0" t="n">
        <v>253</v>
      </c>
      <c r="AJ890" s="0" t="n">
        <v>37</v>
      </c>
      <c r="AK890" s="0" t="n">
        <v>21</v>
      </c>
      <c r="AL890" s="0" t="n">
        <v>1.11</v>
      </c>
    </row>
    <row r="891">
      <c r="A891" s="0" t="inlineStr">
        <is>
          <t>[둔촌동]</t>
        </is>
      </c>
      <c r="B891" s="0" t="n">
        <v>896</v>
      </c>
      <c r="C891" s="0" t="n">
        <v>1</v>
      </c>
      <c r="D891" s="0" t="inlineStr">
        <is>
          <t>둔촌하이츠</t>
        </is>
      </c>
      <c r="E891" s="0" t="inlineStr">
        <is>
          <t>1998.05.</t>
        </is>
      </c>
      <c r="F891" s="0" t="n">
        <v>232</v>
      </c>
      <c r="G891" s="0" t="n">
        <v>26.1</v>
      </c>
      <c r="H891" s="0" t="n">
        <v>86.3</v>
      </c>
      <c r="I891" s="0" t="n">
        <v>18.08</v>
      </c>
      <c r="J891" s="0" t="n">
        <v>59.79</v>
      </c>
      <c r="K891" s="0" t="n">
        <v>117</v>
      </c>
      <c r="T891" s="0" t="n">
        <v>3</v>
      </c>
      <c r="U891" s="0" t="n">
        <v>1</v>
      </c>
      <c r="V891" s="0" t="inlineStr">
        <is>
          <t>복도식</t>
        </is>
      </c>
      <c r="W891" s="0" t="n">
        <v>86</v>
      </c>
      <c r="X891" s="0" t="n">
        <v>20</v>
      </c>
      <c r="Y891" s="0" t="n">
        <v>13</v>
      </c>
      <c r="Z891" s="0" t="inlineStr">
        <is>
          <t>https://new.land.naver.com/complexes/896?tab=detail&amp;rf=Y</t>
        </is>
      </c>
      <c r="AA891" s="0" t="inlineStr">
        <is>
          <t>서울시 강동구 둔촌동 545</t>
        </is>
      </c>
      <c r="AB891" s="0" t="inlineStr">
        <is>
          <t>서울시</t>
        </is>
      </c>
      <c r="AC891" s="0" t="inlineStr">
        <is>
          <t>강동구</t>
        </is>
      </c>
      <c r="AD891" s="0" t="inlineStr">
        <is>
          <t>둔촌동</t>
        </is>
      </c>
      <c r="AG891" s="0" t="inlineStr">
        <is>
          <t>서울시 강동구 명일로 113</t>
        </is>
      </c>
      <c r="AH891" s="0" t="n">
        <v>0</v>
      </c>
      <c r="AI891" s="0" t="n">
        <v>378</v>
      </c>
      <c r="AJ891" s="0" t="n">
        <v>31</v>
      </c>
      <c r="AK891" s="0" t="n">
        <v>244</v>
      </c>
      <c r="AL891" s="0" t="n">
        <v>1.05</v>
      </c>
    </row>
    <row r="892">
      <c r="A892" s="0" t="inlineStr">
        <is>
          <t>[둔촌동]</t>
        </is>
      </c>
      <c r="B892" s="0" t="n">
        <v>896</v>
      </c>
      <c r="C892" s="0" t="n">
        <v>2</v>
      </c>
      <c r="D892" s="0" t="inlineStr">
        <is>
          <t>둔촌하이츠</t>
        </is>
      </c>
      <c r="E892" s="0" t="inlineStr">
        <is>
          <t>1998.05.</t>
        </is>
      </c>
      <c r="F892" s="0" t="n">
        <v>232</v>
      </c>
      <c r="G892" s="0" t="n">
        <v>33.13</v>
      </c>
      <c r="H892" s="0" t="n">
        <v>109.53</v>
      </c>
      <c r="I892" s="0" t="n">
        <v>25.57</v>
      </c>
      <c r="J892" s="0" t="n">
        <v>84.54000000000001</v>
      </c>
      <c r="K892" s="0" t="n">
        <v>62</v>
      </c>
      <c r="T892" s="0" t="n">
        <v>3</v>
      </c>
      <c r="U892" s="0" t="n">
        <v>2</v>
      </c>
      <c r="V892" s="0" t="inlineStr">
        <is>
          <t>계단식</t>
        </is>
      </c>
      <c r="W892" s="0" t="n">
        <v>109</v>
      </c>
      <c r="X892" s="0" t="n">
        <v>20</v>
      </c>
      <c r="Y892" s="0" t="n">
        <v>13</v>
      </c>
      <c r="Z892" s="0" t="inlineStr">
        <is>
          <t>https://new.land.naver.com/complexes/896?tab=detail&amp;rf=Y</t>
        </is>
      </c>
      <c r="AA892" s="0" t="inlineStr">
        <is>
          <t>서울시 강동구 둔촌동 545</t>
        </is>
      </c>
      <c r="AB892" s="0" t="inlineStr">
        <is>
          <t>서울시</t>
        </is>
      </c>
      <c r="AC892" s="0" t="inlineStr">
        <is>
          <t>강동구</t>
        </is>
      </c>
      <c r="AD892" s="0" t="inlineStr">
        <is>
          <t>둔촌동</t>
        </is>
      </c>
      <c r="AG892" s="0" t="inlineStr">
        <is>
          <t>서울시 강동구 명일로 113</t>
        </is>
      </c>
      <c r="AH892" s="0" t="n">
        <v>0</v>
      </c>
      <c r="AI892" s="0" t="n">
        <v>378</v>
      </c>
      <c r="AJ892" s="0" t="n">
        <v>31</v>
      </c>
      <c r="AK892" s="0" t="n">
        <v>244</v>
      </c>
      <c r="AL892" s="0" t="n">
        <v>1.05</v>
      </c>
    </row>
    <row r="893">
      <c r="A893" s="0" t="inlineStr">
        <is>
          <t>[둔촌동]</t>
        </is>
      </c>
      <c r="B893" s="0" t="n">
        <v>896</v>
      </c>
      <c r="C893" s="0" t="n">
        <v>3</v>
      </c>
      <c r="D893" s="0" t="inlineStr">
        <is>
          <t>둔촌하이츠</t>
        </is>
      </c>
      <c r="E893" s="0" t="inlineStr">
        <is>
          <t>1998.05.</t>
        </is>
      </c>
      <c r="F893" s="0" t="n">
        <v>232</v>
      </c>
      <c r="G893" s="0" t="n">
        <v>36.9</v>
      </c>
      <c r="H893" s="0" t="n">
        <v>122</v>
      </c>
      <c r="I893" s="0" t="n">
        <v>25.57</v>
      </c>
      <c r="J893" s="0" t="n">
        <v>84.54000000000001</v>
      </c>
      <c r="K893" s="0" t="n">
        <v>20</v>
      </c>
      <c r="T893" s="0" t="n">
        <v>3</v>
      </c>
      <c r="U893" s="0" t="n">
        <v>2</v>
      </c>
      <c r="V893" s="0" t="inlineStr">
        <is>
          <t>복도식</t>
        </is>
      </c>
      <c r="W893" s="0" t="n">
        <v>122</v>
      </c>
      <c r="X893" s="0" t="n">
        <v>20</v>
      </c>
      <c r="Y893" s="0" t="n">
        <v>13</v>
      </c>
      <c r="Z893" s="0" t="inlineStr">
        <is>
          <t>https://new.land.naver.com/complexes/896?tab=detail&amp;rf=Y</t>
        </is>
      </c>
      <c r="AA893" s="0" t="inlineStr">
        <is>
          <t>서울시 강동구 둔촌동 545</t>
        </is>
      </c>
      <c r="AB893" s="0" t="inlineStr">
        <is>
          <t>서울시</t>
        </is>
      </c>
      <c r="AC893" s="0" t="inlineStr">
        <is>
          <t>강동구</t>
        </is>
      </c>
      <c r="AD893" s="0" t="inlineStr">
        <is>
          <t>둔촌동</t>
        </is>
      </c>
      <c r="AG893" s="0" t="inlineStr">
        <is>
          <t>서울시 강동구 명일로 113</t>
        </is>
      </c>
      <c r="AH893" s="0" t="n">
        <v>0</v>
      </c>
      <c r="AI893" s="0" t="n">
        <v>378</v>
      </c>
      <c r="AJ893" s="0" t="n">
        <v>31</v>
      </c>
      <c r="AK893" s="0" t="n">
        <v>244</v>
      </c>
      <c r="AL893" s="0" t="n">
        <v>1.05</v>
      </c>
    </row>
    <row r="894">
      <c r="A894" s="0" t="inlineStr">
        <is>
          <t>[둔촌동]</t>
        </is>
      </c>
      <c r="B894" s="0" t="n">
        <v>896</v>
      </c>
      <c r="C894" s="0" t="n">
        <v>4</v>
      </c>
      <c r="D894" s="0" t="inlineStr">
        <is>
          <t>둔촌하이츠</t>
        </is>
      </c>
      <c r="E894" s="0" t="inlineStr">
        <is>
          <t>1998.05.</t>
        </is>
      </c>
      <c r="F894" s="0" t="n">
        <v>232</v>
      </c>
      <c r="G894" s="0" t="n">
        <v>45.21</v>
      </c>
      <c r="H894" s="0" t="n">
        <v>149.48</v>
      </c>
      <c r="I894" s="0" t="n">
        <v>34.69</v>
      </c>
      <c r="J894" s="0" t="n">
        <v>114.69</v>
      </c>
      <c r="K894" s="0" t="n">
        <v>33</v>
      </c>
      <c r="T894" s="0" t="n">
        <v>4</v>
      </c>
      <c r="U894" s="0" t="n">
        <v>2</v>
      </c>
      <c r="V894" s="0" t="inlineStr">
        <is>
          <t>계단식</t>
        </is>
      </c>
      <c r="W894" s="0" t="n">
        <v>149</v>
      </c>
      <c r="X894" s="0" t="n">
        <v>20</v>
      </c>
      <c r="Y894" s="0" t="n">
        <v>13</v>
      </c>
      <c r="Z894" s="0" t="inlineStr">
        <is>
          <t>https://new.land.naver.com/complexes/896?tab=detail&amp;rf=Y</t>
        </is>
      </c>
      <c r="AA894" s="0" t="inlineStr">
        <is>
          <t>서울시 강동구 둔촌동 545</t>
        </is>
      </c>
      <c r="AB894" s="0" t="inlineStr">
        <is>
          <t>서울시</t>
        </is>
      </c>
      <c r="AC894" s="0" t="inlineStr">
        <is>
          <t>강동구</t>
        </is>
      </c>
      <c r="AD894" s="0" t="inlineStr">
        <is>
          <t>둔촌동</t>
        </is>
      </c>
      <c r="AG894" s="0" t="inlineStr">
        <is>
          <t>서울시 강동구 명일로 113</t>
        </is>
      </c>
      <c r="AH894" s="0" t="n">
        <v>0</v>
      </c>
      <c r="AI894" s="0" t="n">
        <v>378</v>
      </c>
      <c r="AJ894" s="0" t="n">
        <v>31</v>
      </c>
      <c r="AK894" s="0" t="n">
        <v>244</v>
      </c>
      <c r="AL894" s="0" t="n">
        <v>1.05</v>
      </c>
    </row>
    <row r="895">
      <c r="A895" s="0" t="inlineStr">
        <is>
          <t>[둔촌동]</t>
        </is>
      </c>
      <c r="B895" s="0" t="n">
        <v>100422</v>
      </c>
      <c r="C895" s="0" t="n">
        <v>1</v>
      </c>
      <c r="D895" s="0" t="inlineStr">
        <is>
          <t>둔촌늘푸른</t>
        </is>
      </c>
      <c r="E895" s="0" t="inlineStr">
        <is>
          <t>2009.06.</t>
        </is>
      </c>
      <c r="F895" s="0" t="n">
        <v>19</v>
      </c>
      <c r="G895" s="0" t="n">
        <v>20.93</v>
      </c>
      <c r="H895" s="0" t="n">
        <v>69.22</v>
      </c>
      <c r="I895" s="0" t="n">
        <v>17.77</v>
      </c>
      <c r="J895" s="0" t="n">
        <v>58.76</v>
      </c>
      <c r="K895" s="0" t="n">
        <v>1</v>
      </c>
      <c r="T895" s="0" t="n">
        <v>3</v>
      </c>
      <c r="U895" s="0" t="n">
        <v>2</v>
      </c>
      <c r="V895" s="0" t="inlineStr">
        <is>
          <t>계단식</t>
        </is>
      </c>
      <c r="W895" s="0" t="inlineStr">
        <is>
          <t>69A</t>
        </is>
      </c>
      <c r="X895" s="0" t="n">
        <v>6</v>
      </c>
      <c r="Y895" s="0" t="n">
        <v>6</v>
      </c>
      <c r="Z895" s="0" t="inlineStr">
        <is>
          <t>https://new.land.naver.com/complexes/100422?tab=detail&amp;rf=Y</t>
        </is>
      </c>
      <c r="AA895" s="0" t="inlineStr">
        <is>
          <t>서울시 강동구 둔촌동 65-4</t>
        </is>
      </c>
      <c r="AB895" s="0" t="inlineStr">
        <is>
          <t>서울시</t>
        </is>
      </c>
      <c r="AC895" s="0" t="inlineStr">
        <is>
          <t>강동구</t>
        </is>
      </c>
      <c r="AD895" s="0" t="inlineStr">
        <is>
          <t>둔촌동</t>
        </is>
      </c>
      <c r="AG895" s="0" t="inlineStr">
        <is>
          <t>서울시 강동구 명일로13길 38</t>
        </is>
      </c>
      <c r="AH895" s="0" t="n">
        <v>0</v>
      </c>
      <c r="AI895" s="0" t="n">
        <v>237</v>
      </c>
      <c r="AJ895" s="0" t="n">
        <v>49</v>
      </c>
      <c r="AK895" s="0" t="n">
        <v>19</v>
      </c>
      <c r="AL895" s="0" t="n">
        <v>1</v>
      </c>
    </row>
    <row r="896">
      <c r="A896" s="0" t="inlineStr">
        <is>
          <t>[둔촌동]</t>
        </is>
      </c>
      <c r="B896" s="0" t="n">
        <v>100422</v>
      </c>
      <c r="C896" s="0" t="n">
        <v>2</v>
      </c>
      <c r="D896" s="0" t="inlineStr">
        <is>
          <t>둔촌늘푸른</t>
        </is>
      </c>
      <c r="E896" s="0" t="inlineStr">
        <is>
          <t>2009.06.</t>
        </is>
      </c>
      <c r="F896" s="0" t="n">
        <v>19</v>
      </c>
      <c r="G896" s="0" t="n">
        <v>20.98</v>
      </c>
      <c r="H896" s="0" t="n">
        <v>69.38</v>
      </c>
      <c r="I896" s="0" t="n">
        <v>17.81</v>
      </c>
      <c r="J896" s="0" t="n">
        <v>58.9</v>
      </c>
      <c r="K896" s="0" t="n">
        <v>1</v>
      </c>
      <c r="T896" s="0" t="n">
        <v>2</v>
      </c>
      <c r="U896" s="0" t="n">
        <v>1</v>
      </c>
      <c r="V896" s="0" t="inlineStr">
        <is>
          <t>계단식</t>
        </is>
      </c>
      <c r="W896" s="0" t="inlineStr">
        <is>
          <t>69B</t>
        </is>
      </c>
      <c r="X896" s="0" t="n">
        <v>6</v>
      </c>
      <c r="Y896" s="0" t="n">
        <v>6</v>
      </c>
      <c r="Z896" s="0" t="inlineStr">
        <is>
          <t>https://new.land.naver.com/complexes/100422?tab=detail&amp;rf=Y</t>
        </is>
      </c>
      <c r="AA896" s="0" t="inlineStr">
        <is>
          <t>서울시 강동구 둔촌동 65-4</t>
        </is>
      </c>
      <c r="AB896" s="0" t="inlineStr">
        <is>
          <t>서울시</t>
        </is>
      </c>
      <c r="AC896" s="0" t="inlineStr">
        <is>
          <t>강동구</t>
        </is>
      </c>
      <c r="AD896" s="0" t="inlineStr">
        <is>
          <t>둔촌동</t>
        </is>
      </c>
      <c r="AG896" s="0" t="inlineStr">
        <is>
          <t>서울시 강동구 명일로13길 38</t>
        </is>
      </c>
      <c r="AH896" s="0" t="n">
        <v>0</v>
      </c>
      <c r="AI896" s="0" t="n">
        <v>237</v>
      </c>
      <c r="AJ896" s="0" t="n">
        <v>49</v>
      </c>
      <c r="AK896" s="0" t="n">
        <v>19</v>
      </c>
      <c r="AL896" s="0" t="n">
        <v>1</v>
      </c>
    </row>
    <row r="897">
      <c r="A897" s="0" t="inlineStr">
        <is>
          <t>[둔촌동]</t>
        </is>
      </c>
      <c r="B897" s="0" t="n">
        <v>100422</v>
      </c>
      <c r="C897" s="0" t="n">
        <v>3</v>
      </c>
      <c r="D897" s="0" t="inlineStr">
        <is>
          <t>둔촌늘푸른</t>
        </is>
      </c>
      <c r="E897" s="0" t="inlineStr">
        <is>
          <t>2009.06.</t>
        </is>
      </c>
      <c r="F897" s="0" t="n">
        <v>19</v>
      </c>
      <c r="G897" s="0" t="n">
        <v>21.26</v>
      </c>
      <c r="H897" s="0" t="n">
        <v>70.3</v>
      </c>
      <c r="I897" s="0" t="n">
        <v>17.79</v>
      </c>
      <c r="J897" s="0" t="n">
        <v>58.83</v>
      </c>
      <c r="K897" s="0" t="n">
        <v>1</v>
      </c>
      <c r="T897" s="0" t="n">
        <v>2</v>
      </c>
      <c r="U897" s="0" t="n">
        <v>1</v>
      </c>
      <c r="V897" s="0" t="inlineStr">
        <is>
          <t>계단식</t>
        </is>
      </c>
      <c r="W897" s="0" t="inlineStr">
        <is>
          <t>70C</t>
        </is>
      </c>
      <c r="X897" s="0" t="n">
        <v>6</v>
      </c>
      <c r="Y897" s="0" t="n">
        <v>6</v>
      </c>
      <c r="Z897" s="0" t="inlineStr">
        <is>
          <t>https://new.land.naver.com/complexes/100422?tab=detail&amp;rf=Y</t>
        </is>
      </c>
      <c r="AA897" s="0" t="inlineStr">
        <is>
          <t>서울시 강동구 둔촌동 65-4</t>
        </is>
      </c>
      <c r="AB897" s="0" t="inlineStr">
        <is>
          <t>서울시</t>
        </is>
      </c>
      <c r="AC897" s="0" t="inlineStr">
        <is>
          <t>강동구</t>
        </is>
      </c>
      <c r="AD897" s="0" t="inlineStr">
        <is>
          <t>둔촌동</t>
        </is>
      </c>
      <c r="AG897" s="0" t="inlineStr">
        <is>
          <t>서울시 강동구 명일로13길 38</t>
        </is>
      </c>
      <c r="AH897" s="0" t="n">
        <v>0</v>
      </c>
      <c r="AI897" s="0" t="n">
        <v>237</v>
      </c>
      <c r="AJ897" s="0" t="n">
        <v>49</v>
      </c>
      <c r="AK897" s="0" t="n">
        <v>19</v>
      </c>
      <c r="AL897" s="0" t="n">
        <v>1</v>
      </c>
    </row>
    <row r="898">
      <c r="A898" s="0" t="inlineStr">
        <is>
          <t>[둔촌동]</t>
        </is>
      </c>
      <c r="B898" s="0" t="n">
        <v>100422</v>
      </c>
      <c r="C898" s="0" t="n">
        <v>4</v>
      </c>
      <c r="D898" s="0" t="inlineStr">
        <is>
          <t>둔촌늘푸른</t>
        </is>
      </c>
      <c r="E898" s="0" t="inlineStr">
        <is>
          <t>2009.06.</t>
        </is>
      </c>
      <c r="F898" s="0" t="n">
        <v>19</v>
      </c>
      <c r="G898" s="0" t="n">
        <v>21.63</v>
      </c>
      <c r="H898" s="0" t="n">
        <v>71.51000000000001</v>
      </c>
      <c r="I898" s="0" t="n">
        <v>18.1</v>
      </c>
      <c r="J898" s="0" t="n">
        <v>59.84</v>
      </c>
      <c r="K898" s="0" t="n">
        <v>1</v>
      </c>
      <c r="T898" s="0" t="n">
        <v>2</v>
      </c>
      <c r="U898" s="0" t="n">
        <v>1</v>
      </c>
      <c r="V898" s="0" t="inlineStr">
        <is>
          <t>계단식</t>
        </is>
      </c>
      <c r="W898" s="0" t="inlineStr">
        <is>
          <t>71B</t>
        </is>
      </c>
      <c r="X898" s="0" t="n">
        <v>6</v>
      </c>
      <c r="Y898" s="0" t="n">
        <v>6</v>
      </c>
      <c r="Z898" s="0" t="inlineStr">
        <is>
          <t>https://new.land.naver.com/complexes/100422?tab=detail&amp;rf=Y</t>
        </is>
      </c>
      <c r="AA898" s="0" t="inlineStr">
        <is>
          <t>서울시 강동구 둔촌동 65-4</t>
        </is>
      </c>
      <c r="AB898" s="0" t="inlineStr">
        <is>
          <t>서울시</t>
        </is>
      </c>
      <c r="AC898" s="0" t="inlineStr">
        <is>
          <t>강동구</t>
        </is>
      </c>
      <c r="AD898" s="0" t="inlineStr">
        <is>
          <t>둔촌동</t>
        </is>
      </c>
      <c r="AG898" s="0" t="inlineStr">
        <is>
          <t>서울시 강동구 명일로13길 38</t>
        </is>
      </c>
      <c r="AH898" s="0" t="n">
        <v>0</v>
      </c>
      <c r="AI898" s="0" t="n">
        <v>237</v>
      </c>
      <c r="AJ898" s="0" t="n">
        <v>49</v>
      </c>
      <c r="AK898" s="0" t="n">
        <v>19</v>
      </c>
      <c r="AL898" s="0" t="n">
        <v>1</v>
      </c>
    </row>
    <row r="899">
      <c r="A899" s="0" t="inlineStr">
        <is>
          <t>[둔촌동]</t>
        </is>
      </c>
      <c r="B899" s="0" t="n">
        <v>100422</v>
      </c>
      <c r="C899" s="0" t="n">
        <v>5</v>
      </c>
      <c r="D899" s="0" t="inlineStr">
        <is>
          <t>둔촌늘푸른</t>
        </is>
      </c>
      <c r="E899" s="0" t="inlineStr">
        <is>
          <t>2009.06.</t>
        </is>
      </c>
      <c r="F899" s="0" t="n">
        <v>19</v>
      </c>
      <c r="G899" s="0" t="n">
        <v>23.85</v>
      </c>
      <c r="H899" s="0" t="n">
        <v>78.87</v>
      </c>
      <c r="I899" s="0" t="n">
        <v>20.25</v>
      </c>
      <c r="J899" s="0" t="n">
        <v>66.95</v>
      </c>
      <c r="K899" s="0" t="n">
        <v>2</v>
      </c>
      <c r="T899" s="0" t="n">
        <v>3</v>
      </c>
      <c r="U899" s="0" t="n">
        <v>1</v>
      </c>
      <c r="V899" s="0" t="inlineStr">
        <is>
          <t>계단식</t>
        </is>
      </c>
      <c r="W899" s="0" t="inlineStr">
        <is>
          <t>78B</t>
        </is>
      </c>
      <c r="X899" s="0" t="n">
        <v>6</v>
      </c>
      <c r="Y899" s="0" t="n">
        <v>6</v>
      </c>
      <c r="Z899" s="0" t="inlineStr">
        <is>
          <t>https://new.land.naver.com/complexes/100422?tab=detail&amp;rf=Y</t>
        </is>
      </c>
      <c r="AA899" s="0" t="inlineStr">
        <is>
          <t>서울시 강동구 둔촌동 65-4</t>
        </is>
      </c>
      <c r="AB899" s="0" t="inlineStr">
        <is>
          <t>서울시</t>
        </is>
      </c>
      <c r="AC899" s="0" t="inlineStr">
        <is>
          <t>강동구</t>
        </is>
      </c>
      <c r="AD899" s="0" t="inlineStr">
        <is>
          <t>둔촌동</t>
        </is>
      </c>
      <c r="AG899" s="0" t="inlineStr">
        <is>
          <t>서울시 강동구 명일로13길 38</t>
        </is>
      </c>
      <c r="AH899" s="0" t="n">
        <v>0</v>
      </c>
      <c r="AI899" s="0" t="n">
        <v>237</v>
      </c>
      <c r="AJ899" s="0" t="n">
        <v>49</v>
      </c>
      <c r="AK899" s="0" t="n">
        <v>19</v>
      </c>
      <c r="AL899" s="0" t="n">
        <v>1</v>
      </c>
    </row>
    <row r="900">
      <c r="A900" s="0" t="inlineStr">
        <is>
          <t>[둔촌동]</t>
        </is>
      </c>
      <c r="B900" s="0" t="n">
        <v>100422</v>
      </c>
      <c r="C900" s="0" t="n">
        <v>6</v>
      </c>
      <c r="D900" s="0" t="inlineStr">
        <is>
          <t>둔촌늘푸른</t>
        </is>
      </c>
      <c r="E900" s="0" t="inlineStr">
        <is>
          <t>2009.06.</t>
        </is>
      </c>
      <c r="F900" s="0" t="n">
        <v>19</v>
      </c>
      <c r="G900" s="0" t="n">
        <v>23.76</v>
      </c>
      <c r="H900" s="0" t="n">
        <v>78.55</v>
      </c>
      <c r="I900" s="0" t="n">
        <v>20.17</v>
      </c>
      <c r="J900" s="0" t="n">
        <v>66.68000000000001</v>
      </c>
      <c r="K900" s="0" t="n">
        <v>2</v>
      </c>
      <c r="T900" s="0" t="n">
        <v>3</v>
      </c>
      <c r="U900" s="0" t="n">
        <v>2</v>
      </c>
      <c r="V900" s="0" t="inlineStr">
        <is>
          <t>계단식</t>
        </is>
      </c>
      <c r="W900" s="0" t="inlineStr">
        <is>
          <t>78C</t>
        </is>
      </c>
      <c r="X900" s="0" t="n">
        <v>6</v>
      </c>
      <c r="Y900" s="0" t="n">
        <v>6</v>
      </c>
      <c r="Z900" s="0" t="inlineStr">
        <is>
          <t>https://new.land.naver.com/complexes/100422?tab=detail&amp;rf=Y</t>
        </is>
      </c>
      <c r="AA900" s="0" t="inlineStr">
        <is>
          <t>서울시 강동구 둔촌동 65-4</t>
        </is>
      </c>
      <c r="AB900" s="0" t="inlineStr">
        <is>
          <t>서울시</t>
        </is>
      </c>
      <c r="AC900" s="0" t="inlineStr">
        <is>
          <t>강동구</t>
        </is>
      </c>
      <c r="AD900" s="0" t="inlineStr">
        <is>
          <t>둔촌동</t>
        </is>
      </c>
      <c r="AG900" s="0" t="inlineStr">
        <is>
          <t>서울시 강동구 명일로13길 38</t>
        </is>
      </c>
      <c r="AH900" s="0" t="n">
        <v>0</v>
      </c>
      <c r="AI900" s="0" t="n">
        <v>237</v>
      </c>
      <c r="AJ900" s="0" t="n">
        <v>49</v>
      </c>
      <c r="AK900" s="0" t="n">
        <v>19</v>
      </c>
      <c r="AL900" s="0" t="n">
        <v>1</v>
      </c>
    </row>
    <row r="901">
      <c r="A901" s="0" t="inlineStr">
        <is>
          <t>[둔촌동]</t>
        </is>
      </c>
      <c r="B901" s="0" t="n">
        <v>100422</v>
      </c>
      <c r="C901" s="0" t="n">
        <v>7</v>
      </c>
      <c r="D901" s="0" t="inlineStr">
        <is>
          <t>둔촌늘푸른</t>
        </is>
      </c>
      <c r="E901" s="0" t="inlineStr">
        <is>
          <t>2009.06.</t>
        </is>
      </c>
      <c r="F901" s="0" t="n">
        <v>19</v>
      </c>
      <c r="G901" s="0" t="n">
        <v>24.08</v>
      </c>
      <c r="H901" s="0" t="n">
        <v>79.61</v>
      </c>
      <c r="I901" s="0" t="n">
        <v>20.15</v>
      </c>
      <c r="J901" s="0" t="n">
        <v>66.63</v>
      </c>
      <c r="K901" s="0" t="n">
        <v>2</v>
      </c>
      <c r="T901" s="0" t="n">
        <v>3</v>
      </c>
      <c r="U901" s="0" t="n">
        <v>1</v>
      </c>
      <c r="V901" s="0" t="inlineStr">
        <is>
          <t>계단식</t>
        </is>
      </c>
      <c r="W901" s="0" t="inlineStr">
        <is>
          <t>79A</t>
        </is>
      </c>
      <c r="X901" s="0" t="n">
        <v>6</v>
      </c>
      <c r="Y901" s="0" t="n">
        <v>6</v>
      </c>
      <c r="Z901" s="0" t="inlineStr">
        <is>
          <t>https://new.land.naver.com/complexes/100422?tab=detail&amp;rf=Y</t>
        </is>
      </c>
      <c r="AA901" s="0" t="inlineStr">
        <is>
          <t>서울시 강동구 둔촌동 65-4</t>
        </is>
      </c>
      <c r="AB901" s="0" t="inlineStr">
        <is>
          <t>서울시</t>
        </is>
      </c>
      <c r="AC901" s="0" t="inlineStr">
        <is>
          <t>강동구</t>
        </is>
      </c>
      <c r="AD901" s="0" t="inlineStr">
        <is>
          <t>둔촌동</t>
        </is>
      </c>
      <c r="AG901" s="0" t="inlineStr">
        <is>
          <t>서울시 강동구 명일로13길 38</t>
        </is>
      </c>
      <c r="AH901" s="0" t="n">
        <v>0</v>
      </c>
      <c r="AI901" s="0" t="n">
        <v>237</v>
      </c>
      <c r="AJ901" s="0" t="n">
        <v>49</v>
      </c>
      <c r="AK901" s="0" t="n">
        <v>19</v>
      </c>
      <c r="AL901" s="0" t="n">
        <v>1</v>
      </c>
    </row>
    <row r="902">
      <c r="A902" s="0" t="inlineStr">
        <is>
          <t>[둔촌동]</t>
        </is>
      </c>
      <c r="B902" s="0" t="n">
        <v>100422</v>
      </c>
      <c r="C902" s="0" t="n">
        <v>8</v>
      </c>
      <c r="D902" s="0" t="inlineStr">
        <is>
          <t>둔촌늘푸른</t>
        </is>
      </c>
      <c r="E902" s="0" t="inlineStr">
        <is>
          <t>2009.06.</t>
        </is>
      </c>
      <c r="F902" s="0" t="n">
        <v>19</v>
      </c>
      <c r="G902" s="0" t="n">
        <v>24.39</v>
      </c>
      <c r="H902" s="0" t="n">
        <v>80.66</v>
      </c>
      <c r="I902" s="0" t="n">
        <v>20.42</v>
      </c>
      <c r="J902" s="0" t="n">
        <v>67.51000000000001</v>
      </c>
      <c r="K902" s="0" t="n">
        <v>2</v>
      </c>
      <c r="T902" s="0" t="n">
        <v>3</v>
      </c>
      <c r="U902" s="0" t="n">
        <v>1</v>
      </c>
      <c r="V902" s="0" t="inlineStr">
        <is>
          <t>계단식</t>
        </is>
      </c>
      <c r="W902" s="0" t="inlineStr">
        <is>
          <t>80D</t>
        </is>
      </c>
      <c r="X902" s="0" t="n">
        <v>6</v>
      </c>
      <c r="Y902" s="0" t="n">
        <v>6</v>
      </c>
      <c r="Z902" s="0" t="inlineStr">
        <is>
          <t>https://new.land.naver.com/complexes/100422?tab=detail&amp;rf=Y</t>
        </is>
      </c>
      <c r="AA902" s="0" t="inlineStr">
        <is>
          <t>서울시 강동구 둔촌동 65-4</t>
        </is>
      </c>
      <c r="AB902" s="0" t="inlineStr">
        <is>
          <t>서울시</t>
        </is>
      </c>
      <c r="AC902" s="0" t="inlineStr">
        <is>
          <t>강동구</t>
        </is>
      </c>
      <c r="AD902" s="0" t="inlineStr">
        <is>
          <t>둔촌동</t>
        </is>
      </c>
      <c r="AG902" s="0" t="inlineStr">
        <is>
          <t>서울시 강동구 명일로13길 38</t>
        </is>
      </c>
      <c r="AH902" s="0" t="n">
        <v>0</v>
      </c>
      <c r="AI902" s="0" t="n">
        <v>237</v>
      </c>
      <c r="AJ902" s="0" t="n">
        <v>49</v>
      </c>
      <c r="AK902" s="0" t="n">
        <v>19</v>
      </c>
      <c r="AL902" s="0" t="n">
        <v>1</v>
      </c>
    </row>
    <row r="903">
      <c r="A903" s="0" t="inlineStr">
        <is>
          <t>[둔촌동]</t>
        </is>
      </c>
      <c r="B903" s="0" t="n">
        <v>100422</v>
      </c>
      <c r="C903" s="0" t="n">
        <v>9</v>
      </c>
      <c r="D903" s="0" t="inlineStr">
        <is>
          <t>둔촌늘푸른</t>
        </is>
      </c>
      <c r="E903" s="0" t="inlineStr">
        <is>
          <t>2009.06.</t>
        </is>
      </c>
      <c r="F903" s="0" t="n">
        <v>19</v>
      </c>
      <c r="G903" s="0" t="n">
        <v>24.98</v>
      </c>
      <c r="H903" s="0" t="n">
        <v>82.58</v>
      </c>
      <c r="I903" s="0" t="n">
        <v>21.2</v>
      </c>
      <c r="J903" s="0" t="n">
        <v>70.11</v>
      </c>
      <c r="K903" s="0" t="n">
        <v>1</v>
      </c>
      <c r="T903" s="0" t="n">
        <v>3</v>
      </c>
      <c r="U903" s="0" t="n">
        <v>1</v>
      </c>
      <c r="V903" s="0" t="inlineStr">
        <is>
          <t>계단식</t>
        </is>
      </c>
      <c r="W903" s="0" t="inlineStr">
        <is>
          <t>82C</t>
        </is>
      </c>
      <c r="X903" s="0" t="n">
        <v>6</v>
      </c>
      <c r="Y903" s="0" t="n">
        <v>6</v>
      </c>
      <c r="Z903" s="0" t="inlineStr">
        <is>
          <t>https://new.land.naver.com/complexes/100422?tab=detail&amp;rf=Y</t>
        </is>
      </c>
      <c r="AA903" s="0" t="inlineStr">
        <is>
          <t>서울시 강동구 둔촌동 65-4</t>
        </is>
      </c>
      <c r="AB903" s="0" t="inlineStr">
        <is>
          <t>서울시</t>
        </is>
      </c>
      <c r="AC903" s="0" t="inlineStr">
        <is>
          <t>강동구</t>
        </is>
      </c>
      <c r="AD903" s="0" t="inlineStr">
        <is>
          <t>둔촌동</t>
        </is>
      </c>
      <c r="AG903" s="0" t="inlineStr">
        <is>
          <t>서울시 강동구 명일로13길 38</t>
        </is>
      </c>
      <c r="AH903" s="0" t="n">
        <v>0</v>
      </c>
      <c r="AI903" s="0" t="n">
        <v>237</v>
      </c>
      <c r="AJ903" s="0" t="n">
        <v>49</v>
      </c>
      <c r="AK903" s="0" t="n">
        <v>19</v>
      </c>
      <c r="AL903" s="0" t="n">
        <v>1</v>
      </c>
    </row>
    <row r="904">
      <c r="A904" s="0" t="inlineStr">
        <is>
          <t>[둔촌동]</t>
        </is>
      </c>
      <c r="B904" s="0" t="n">
        <v>100422</v>
      </c>
      <c r="C904" s="0" t="n">
        <v>10</v>
      </c>
      <c r="D904" s="0" t="inlineStr">
        <is>
          <t>둔촌늘푸른</t>
        </is>
      </c>
      <c r="E904" s="0" t="inlineStr">
        <is>
          <t>2009.06.</t>
        </is>
      </c>
      <c r="F904" s="0" t="n">
        <v>19</v>
      </c>
      <c r="G904" s="0" t="n">
        <v>26.08</v>
      </c>
      <c r="H904" s="0" t="n">
        <v>86.22</v>
      </c>
      <c r="I904" s="0" t="n">
        <v>21.82</v>
      </c>
      <c r="J904" s="0" t="n">
        <v>72.15000000000001</v>
      </c>
      <c r="K904" s="0" t="n">
        <v>1</v>
      </c>
      <c r="T904" s="0" t="n">
        <v>3</v>
      </c>
      <c r="U904" s="0" t="n">
        <v>1</v>
      </c>
      <c r="V904" s="0" t="inlineStr">
        <is>
          <t>계단식</t>
        </is>
      </c>
      <c r="W904" s="0" t="n">
        <v>86</v>
      </c>
      <c r="X904" s="0" t="n">
        <v>6</v>
      </c>
      <c r="Y904" s="0" t="n">
        <v>6</v>
      </c>
      <c r="Z904" s="0" t="inlineStr">
        <is>
          <t>https://new.land.naver.com/complexes/100422?tab=detail&amp;rf=Y</t>
        </is>
      </c>
      <c r="AA904" s="0" t="inlineStr">
        <is>
          <t>서울시 강동구 둔촌동 65-4</t>
        </is>
      </c>
      <c r="AB904" s="0" t="inlineStr">
        <is>
          <t>서울시</t>
        </is>
      </c>
      <c r="AC904" s="0" t="inlineStr">
        <is>
          <t>강동구</t>
        </is>
      </c>
      <c r="AD904" s="0" t="inlineStr">
        <is>
          <t>둔촌동</t>
        </is>
      </c>
      <c r="AG904" s="0" t="inlineStr">
        <is>
          <t>서울시 강동구 명일로13길 38</t>
        </is>
      </c>
      <c r="AH904" s="0" t="n">
        <v>0</v>
      </c>
      <c r="AI904" s="0" t="n">
        <v>237</v>
      </c>
      <c r="AJ904" s="0" t="n">
        <v>49</v>
      </c>
      <c r="AK904" s="0" t="n">
        <v>19</v>
      </c>
      <c r="AL904" s="0" t="n">
        <v>1</v>
      </c>
    </row>
    <row r="905">
      <c r="A905" s="0" t="inlineStr">
        <is>
          <t>[둔촌동]</t>
        </is>
      </c>
      <c r="B905" s="0" t="n">
        <v>100422</v>
      </c>
      <c r="C905" s="0" t="n">
        <v>11</v>
      </c>
      <c r="D905" s="0" t="inlineStr">
        <is>
          <t>둔촌늘푸른</t>
        </is>
      </c>
      <c r="E905" s="0" t="inlineStr">
        <is>
          <t>2009.06.</t>
        </is>
      </c>
      <c r="F905" s="0" t="n">
        <v>19</v>
      </c>
      <c r="G905" s="0" t="n">
        <v>28.07</v>
      </c>
      <c r="H905" s="0" t="n">
        <v>92.81</v>
      </c>
      <c r="I905" s="0" t="n">
        <v>23.83</v>
      </c>
      <c r="J905" s="0" t="n">
        <v>78.79000000000001</v>
      </c>
      <c r="K905" s="0" t="n">
        <v>1</v>
      </c>
      <c r="T905" s="0" t="n">
        <v>3</v>
      </c>
      <c r="U905" s="0" t="n">
        <v>2</v>
      </c>
      <c r="V905" s="0" t="inlineStr">
        <is>
          <t>계단식</t>
        </is>
      </c>
      <c r="W905" s="0" t="n">
        <v>92</v>
      </c>
      <c r="X905" s="0" t="n">
        <v>6</v>
      </c>
      <c r="Y905" s="0" t="n">
        <v>6</v>
      </c>
      <c r="Z905" s="0" t="inlineStr">
        <is>
          <t>https://new.land.naver.com/complexes/100422?tab=detail&amp;rf=Y</t>
        </is>
      </c>
      <c r="AA905" s="0" t="inlineStr">
        <is>
          <t>서울시 강동구 둔촌동 65-4</t>
        </is>
      </c>
      <c r="AB905" s="0" t="inlineStr">
        <is>
          <t>서울시</t>
        </is>
      </c>
      <c r="AC905" s="0" t="inlineStr">
        <is>
          <t>강동구</t>
        </is>
      </c>
      <c r="AD905" s="0" t="inlineStr">
        <is>
          <t>둔촌동</t>
        </is>
      </c>
      <c r="AG905" s="0" t="inlineStr">
        <is>
          <t>서울시 강동구 명일로13길 38</t>
        </is>
      </c>
      <c r="AH905" s="0" t="n">
        <v>0</v>
      </c>
      <c r="AI905" s="0" t="n">
        <v>237</v>
      </c>
      <c r="AJ905" s="0" t="n">
        <v>49</v>
      </c>
      <c r="AK905" s="0" t="n">
        <v>19</v>
      </c>
      <c r="AL905" s="0" t="n">
        <v>1</v>
      </c>
    </row>
    <row r="906">
      <c r="A906" s="0" t="inlineStr">
        <is>
          <t>[둔촌동]</t>
        </is>
      </c>
      <c r="B906" s="0" t="n">
        <v>100422</v>
      </c>
      <c r="C906" s="0" t="n">
        <v>12</v>
      </c>
      <c r="D906" s="0" t="inlineStr">
        <is>
          <t>둔촌늘푸른</t>
        </is>
      </c>
      <c r="E906" s="0" t="inlineStr">
        <is>
          <t>2009.06.</t>
        </is>
      </c>
      <c r="F906" s="0" t="n">
        <v>19</v>
      </c>
      <c r="G906" s="0" t="n">
        <v>30.02</v>
      </c>
      <c r="H906" s="0" t="n">
        <v>99.25</v>
      </c>
      <c r="I906" s="0" t="n">
        <v>25.48</v>
      </c>
      <c r="J906" s="0" t="n">
        <v>84.25</v>
      </c>
      <c r="K906" s="0" t="n">
        <v>2</v>
      </c>
      <c r="T906" s="0" t="n">
        <v>3</v>
      </c>
      <c r="U906" s="0" t="n">
        <v>2</v>
      </c>
      <c r="V906" s="0" t="inlineStr">
        <is>
          <t>계단식</t>
        </is>
      </c>
      <c r="W906" s="0" t="inlineStr">
        <is>
          <t>99A</t>
        </is>
      </c>
      <c r="X906" s="0" t="n">
        <v>6</v>
      </c>
      <c r="Y906" s="0" t="n">
        <v>6</v>
      </c>
      <c r="Z906" s="0" t="inlineStr">
        <is>
          <t>https://new.land.naver.com/complexes/100422?tab=detail&amp;rf=Y</t>
        </is>
      </c>
      <c r="AA906" s="0" t="inlineStr">
        <is>
          <t>서울시 강동구 둔촌동 65-4</t>
        </is>
      </c>
      <c r="AB906" s="0" t="inlineStr">
        <is>
          <t>서울시</t>
        </is>
      </c>
      <c r="AC906" s="0" t="inlineStr">
        <is>
          <t>강동구</t>
        </is>
      </c>
      <c r="AD906" s="0" t="inlineStr">
        <is>
          <t>둔촌동</t>
        </is>
      </c>
      <c r="AG906" s="0" t="inlineStr">
        <is>
          <t>서울시 강동구 명일로13길 38</t>
        </is>
      </c>
      <c r="AH906" s="0" t="n">
        <v>0</v>
      </c>
      <c r="AI906" s="0" t="n">
        <v>237</v>
      </c>
      <c r="AJ906" s="0" t="n">
        <v>49</v>
      </c>
      <c r="AK906" s="0" t="n">
        <v>19</v>
      </c>
      <c r="AL906" s="0" t="n">
        <v>1</v>
      </c>
    </row>
    <row r="907">
      <c r="A907" s="0" t="inlineStr">
        <is>
          <t>[둔촌동]</t>
        </is>
      </c>
      <c r="B907" s="0" t="n">
        <v>100422</v>
      </c>
      <c r="C907" s="0" t="n">
        <v>13</v>
      </c>
      <c r="D907" s="0" t="inlineStr">
        <is>
          <t>둔촌늘푸른</t>
        </is>
      </c>
      <c r="E907" s="0" t="inlineStr">
        <is>
          <t>2009.06.</t>
        </is>
      </c>
      <c r="F907" s="0" t="n">
        <v>19</v>
      </c>
      <c r="G907" s="0" t="n">
        <v>30.31</v>
      </c>
      <c r="H907" s="0" t="n">
        <v>100.23</v>
      </c>
      <c r="I907" s="0" t="n">
        <v>25.37</v>
      </c>
      <c r="J907" s="0" t="n">
        <v>83.88</v>
      </c>
      <c r="K907" s="0" t="n">
        <v>1</v>
      </c>
      <c r="T907" s="0" t="n">
        <v>3</v>
      </c>
      <c r="U907" s="0" t="n">
        <v>2</v>
      </c>
      <c r="V907" s="0" t="inlineStr">
        <is>
          <t>계단식</t>
        </is>
      </c>
      <c r="W907" s="0" t="inlineStr">
        <is>
          <t>100B</t>
        </is>
      </c>
      <c r="X907" s="0" t="n">
        <v>6</v>
      </c>
      <c r="Y907" s="0" t="n">
        <v>6</v>
      </c>
      <c r="Z907" s="0" t="inlineStr">
        <is>
          <t>https://new.land.naver.com/complexes/100422?tab=detail&amp;rf=Y</t>
        </is>
      </c>
      <c r="AA907" s="0" t="inlineStr">
        <is>
          <t>서울시 강동구 둔촌동 65-4</t>
        </is>
      </c>
      <c r="AB907" s="0" t="inlineStr">
        <is>
          <t>서울시</t>
        </is>
      </c>
      <c r="AC907" s="0" t="inlineStr">
        <is>
          <t>강동구</t>
        </is>
      </c>
      <c r="AD907" s="0" t="inlineStr">
        <is>
          <t>둔촌동</t>
        </is>
      </c>
      <c r="AG907" s="0" t="inlineStr">
        <is>
          <t>서울시 강동구 명일로13길 38</t>
        </is>
      </c>
      <c r="AH907" s="0" t="n">
        <v>0</v>
      </c>
      <c r="AI907" s="0" t="n">
        <v>237</v>
      </c>
      <c r="AJ907" s="0" t="n">
        <v>49</v>
      </c>
      <c r="AK907" s="0" t="n">
        <v>19</v>
      </c>
      <c r="AL907" s="0" t="n">
        <v>1</v>
      </c>
    </row>
    <row r="908">
      <c r="A908" s="0" t="inlineStr">
        <is>
          <t>[둔촌동]</t>
        </is>
      </c>
      <c r="B908" s="0" t="n">
        <v>100422</v>
      </c>
      <c r="C908" s="0" t="n">
        <v>14</v>
      </c>
      <c r="D908" s="0" t="inlineStr">
        <is>
          <t>둔촌늘푸른</t>
        </is>
      </c>
      <c r="E908" s="0" t="inlineStr">
        <is>
          <t>2009.06.</t>
        </is>
      </c>
      <c r="F908" s="0" t="n">
        <v>19</v>
      </c>
      <c r="G908" s="0" t="n">
        <v>30.68</v>
      </c>
      <c r="H908" s="0" t="n">
        <v>101.45</v>
      </c>
      <c r="I908" s="0" t="n">
        <v>25.68</v>
      </c>
      <c r="J908" s="0" t="n">
        <v>84.91</v>
      </c>
      <c r="K908" s="0" t="n">
        <v>1</v>
      </c>
      <c r="T908" s="0" t="n">
        <v>3</v>
      </c>
      <c r="U908" s="0" t="n">
        <v>2</v>
      </c>
      <c r="V908" s="0" t="inlineStr">
        <is>
          <t>계단식</t>
        </is>
      </c>
      <c r="W908" s="0" t="inlineStr">
        <is>
          <t>101C</t>
        </is>
      </c>
      <c r="X908" s="0" t="n">
        <v>6</v>
      </c>
      <c r="Y908" s="0" t="n">
        <v>6</v>
      </c>
      <c r="Z908" s="0" t="inlineStr">
        <is>
          <t>https://new.land.naver.com/complexes/100422?tab=detail&amp;rf=Y</t>
        </is>
      </c>
      <c r="AA908" s="0" t="inlineStr">
        <is>
          <t>서울시 강동구 둔촌동 65-4</t>
        </is>
      </c>
      <c r="AB908" s="0" t="inlineStr">
        <is>
          <t>서울시</t>
        </is>
      </c>
      <c r="AC908" s="0" t="inlineStr">
        <is>
          <t>강동구</t>
        </is>
      </c>
      <c r="AD908" s="0" t="inlineStr">
        <is>
          <t>둔촌동</t>
        </is>
      </c>
      <c r="AG908" s="0" t="inlineStr">
        <is>
          <t>서울시 강동구 명일로13길 38</t>
        </is>
      </c>
      <c r="AH908" s="0" t="n">
        <v>0</v>
      </c>
      <c r="AI908" s="0" t="n">
        <v>237</v>
      </c>
      <c r="AJ908" s="0" t="n">
        <v>49</v>
      </c>
      <c r="AK908" s="0" t="n">
        <v>19</v>
      </c>
      <c r="AL908" s="0" t="n">
        <v>1</v>
      </c>
    </row>
    <row r="909">
      <c r="A909" s="0" t="inlineStr">
        <is>
          <t>[둔촌동]</t>
        </is>
      </c>
      <c r="B909" s="0" t="n">
        <v>25653</v>
      </c>
      <c r="C909" s="0" t="n">
        <v>1</v>
      </c>
      <c r="D909" s="0" t="inlineStr">
        <is>
          <t>그랜드</t>
        </is>
      </c>
      <c r="E909" s="0" t="inlineStr">
        <is>
          <t>2003.12.</t>
        </is>
      </c>
      <c r="F909" s="0" t="n">
        <v>19</v>
      </c>
      <c r="G909" s="0" t="n">
        <v>30.85</v>
      </c>
      <c r="H909" s="0" t="n">
        <v>102.01</v>
      </c>
      <c r="I909" s="0" t="n">
        <v>27.97</v>
      </c>
      <c r="J909" s="0" t="n">
        <v>92.48999999999999</v>
      </c>
      <c r="K909" s="0" t="n">
        <v>2</v>
      </c>
      <c r="T909" s="0" t="n">
        <v>3</v>
      </c>
      <c r="U909" s="0" t="n">
        <v>2</v>
      </c>
      <c r="V909" s="0" t="inlineStr">
        <is>
          <t>복도식</t>
        </is>
      </c>
      <c r="W909" s="0" t="n">
        <v>102</v>
      </c>
      <c r="X909" s="0" t="n">
        <v>7</v>
      </c>
      <c r="Y909" s="0" t="n">
        <v>4</v>
      </c>
      <c r="Z909" s="0" t="inlineStr">
        <is>
          <t>https://new.land.naver.com/complexes/25653?tab=detail&amp;rf=Y</t>
        </is>
      </c>
      <c r="AA909" s="0" t="inlineStr">
        <is>
          <t>서울시 강동구 둔촌동 518-1</t>
        </is>
      </c>
      <c r="AB909" s="0" t="inlineStr">
        <is>
          <t>서울시</t>
        </is>
      </c>
      <c r="AC909" s="0" t="inlineStr">
        <is>
          <t>강동구</t>
        </is>
      </c>
      <c r="AD909" s="0" t="inlineStr">
        <is>
          <t>둔촌동</t>
        </is>
      </c>
      <c r="AG909" s="0" t="inlineStr">
        <is>
          <t>서울시 강동구 풍성로61길 10-14</t>
        </is>
      </c>
      <c r="AH909" s="0" t="n">
        <v>0</v>
      </c>
      <c r="AI909" s="0" t="n">
        <v>297</v>
      </c>
      <c r="AJ909" s="0" t="n">
        <v>59</v>
      </c>
      <c r="AK909" s="0" t="n">
        <v>28</v>
      </c>
      <c r="AL909" s="0" t="n">
        <v>1.47</v>
      </c>
    </row>
    <row r="910">
      <c r="A910" s="0" t="inlineStr">
        <is>
          <t>[둔촌동]</t>
        </is>
      </c>
      <c r="B910" s="0" t="n">
        <v>25653</v>
      </c>
      <c r="C910" s="0" t="n">
        <v>2</v>
      </c>
      <c r="D910" s="0" t="inlineStr">
        <is>
          <t>그랜드</t>
        </is>
      </c>
      <c r="E910" s="0" t="inlineStr">
        <is>
          <t>2003.12.</t>
        </is>
      </c>
      <c r="F910" s="0" t="n">
        <v>19</v>
      </c>
      <c r="G910" s="0" t="n">
        <v>36</v>
      </c>
      <c r="H910" s="0" t="n">
        <v>119.04</v>
      </c>
      <c r="I910" s="0" t="n">
        <v>32.65</v>
      </c>
      <c r="J910" s="0" t="n">
        <v>107.96</v>
      </c>
      <c r="K910" s="0" t="n">
        <v>12</v>
      </c>
      <c r="T910" s="0" t="n">
        <v>3</v>
      </c>
      <c r="U910" s="0" t="n">
        <v>2</v>
      </c>
      <c r="V910" s="0" t="inlineStr">
        <is>
          <t>복도식</t>
        </is>
      </c>
      <c r="W910" s="0" t="n">
        <v>119</v>
      </c>
      <c r="X910" s="0" t="n">
        <v>7</v>
      </c>
      <c r="Y910" s="0" t="n">
        <v>4</v>
      </c>
      <c r="Z910" s="0" t="inlineStr">
        <is>
          <t>https://new.land.naver.com/complexes/25653?tab=detail&amp;rf=Y</t>
        </is>
      </c>
      <c r="AA910" s="0" t="inlineStr">
        <is>
          <t>서울시 강동구 둔촌동 518-1</t>
        </is>
      </c>
      <c r="AB910" s="0" t="inlineStr">
        <is>
          <t>서울시</t>
        </is>
      </c>
      <c r="AC910" s="0" t="inlineStr">
        <is>
          <t>강동구</t>
        </is>
      </c>
      <c r="AD910" s="0" t="inlineStr">
        <is>
          <t>둔촌동</t>
        </is>
      </c>
      <c r="AG910" s="0" t="inlineStr">
        <is>
          <t>서울시 강동구 풍성로61길 10-14</t>
        </is>
      </c>
      <c r="AH910" s="0" t="n">
        <v>0</v>
      </c>
      <c r="AI910" s="0" t="n">
        <v>297</v>
      </c>
      <c r="AJ910" s="0" t="n">
        <v>59</v>
      </c>
      <c r="AK910" s="0" t="n">
        <v>28</v>
      </c>
      <c r="AL910" s="0" t="n">
        <v>1.47</v>
      </c>
    </row>
    <row r="911">
      <c r="A911" s="0" t="inlineStr">
        <is>
          <t>[둔촌동]</t>
        </is>
      </c>
      <c r="B911" s="0" t="n">
        <v>25653</v>
      </c>
      <c r="C911" s="0" t="n">
        <v>3</v>
      </c>
      <c r="D911" s="0" t="inlineStr">
        <is>
          <t>그랜드</t>
        </is>
      </c>
      <c r="E911" s="0" t="inlineStr">
        <is>
          <t>2003.12.</t>
        </is>
      </c>
      <c r="F911" s="0" t="n">
        <v>19</v>
      </c>
      <c r="G911" s="0" t="n">
        <v>40.61</v>
      </c>
      <c r="H911" s="0" t="n">
        <v>134.25</v>
      </c>
      <c r="I911" s="0" t="n">
        <v>36.82</v>
      </c>
      <c r="J911" s="0" t="n">
        <v>121.75</v>
      </c>
      <c r="K911" s="0" t="n">
        <v>2</v>
      </c>
      <c r="T911" s="0" t="n">
        <v>4</v>
      </c>
      <c r="U911" s="0" t="n">
        <v>2</v>
      </c>
      <c r="V911" s="0" t="inlineStr">
        <is>
          <t>계단식</t>
        </is>
      </c>
      <c r="W911" s="0" t="n">
        <v>134</v>
      </c>
      <c r="X911" s="0" t="n">
        <v>7</v>
      </c>
      <c r="Y911" s="0" t="n">
        <v>4</v>
      </c>
      <c r="Z911" s="0" t="inlineStr">
        <is>
          <t>https://new.land.naver.com/complexes/25653?tab=detail&amp;rf=Y</t>
        </is>
      </c>
      <c r="AA911" s="0" t="inlineStr">
        <is>
          <t>서울시 강동구 둔촌동 518-1</t>
        </is>
      </c>
      <c r="AB911" s="0" t="inlineStr">
        <is>
          <t>서울시</t>
        </is>
      </c>
      <c r="AC911" s="0" t="inlineStr">
        <is>
          <t>강동구</t>
        </is>
      </c>
      <c r="AD911" s="0" t="inlineStr">
        <is>
          <t>둔촌동</t>
        </is>
      </c>
      <c r="AG911" s="0" t="inlineStr">
        <is>
          <t>서울시 강동구 풍성로61길 10-14</t>
        </is>
      </c>
      <c r="AH911" s="0" t="n">
        <v>0</v>
      </c>
      <c r="AI911" s="0" t="n">
        <v>297</v>
      </c>
      <c r="AJ911" s="0" t="n">
        <v>59</v>
      </c>
      <c r="AK911" s="0" t="n">
        <v>28</v>
      </c>
      <c r="AL911" s="0" t="n">
        <v>1.47</v>
      </c>
    </row>
    <row r="912">
      <c r="A912" s="0" t="inlineStr">
        <is>
          <t>[둔촌동]</t>
        </is>
      </c>
      <c r="B912" s="0" t="n">
        <v>25653</v>
      </c>
      <c r="C912" s="0" t="n">
        <v>4</v>
      </c>
      <c r="D912" s="0" t="inlineStr">
        <is>
          <t>그랜드</t>
        </is>
      </c>
      <c r="E912" s="0" t="inlineStr">
        <is>
          <t>2003.12.</t>
        </is>
      </c>
      <c r="F912" s="0" t="n">
        <v>19</v>
      </c>
      <c r="G912" s="0" t="n">
        <v>50.93</v>
      </c>
      <c r="H912" s="0" t="n">
        <v>168.37</v>
      </c>
      <c r="I912" s="0" t="n">
        <v>46.18</v>
      </c>
      <c r="J912" s="0" t="n">
        <v>152.69</v>
      </c>
      <c r="K912" s="0" t="n">
        <v>2</v>
      </c>
      <c r="T912" s="0" t="n">
        <v>4</v>
      </c>
      <c r="U912" s="0" t="n">
        <v>2</v>
      </c>
      <c r="V912" s="0" t="inlineStr">
        <is>
          <t>계단식</t>
        </is>
      </c>
      <c r="W912" s="0" t="n">
        <v>168</v>
      </c>
      <c r="X912" s="0" t="n">
        <v>7</v>
      </c>
      <c r="Y912" s="0" t="n">
        <v>4</v>
      </c>
      <c r="Z912" s="0" t="inlineStr">
        <is>
          <t>https://new.land.naver.com/complexes/25653?tab=detail&amp;rf=Y</t>
        </is>
      </c>
      <c r="AA912" s="0" t="inlineStr">
        <is>
          <t>서울시 강동구 둔촌동 518-1</t>
        </is>
      </c>
      <c r="AB912" s="0" t="inlineStr">
        <is>
          <t>서울시</t>
        </is>
      </c>
      <c r="AC912" s="0" t="inlineStr">
        <is>
          <t>강동구</t>
        </is>
      </c>
      <c r="AD912" s="0" t="inlineStr">
        <is>
          <t>둔촌동</t>
        </is>
      </c>
      <c r="AG912" s="0" t="inlineStr">
        <is>
          <t>서울시 강동구 풍성로61길 10-14</t>
        </is>
      </c>
      <c r="AH912" s="0" t="n">
        <v>0</v>
      </c>
      <c r="AI912" s="0" t="n">
        <v>297</v>
      </c>
      <c r="AJ912" s="0" t="n">
        <v>59</v>
      </c>
      <c r="AK912" s="0" t="n">
        <v>28</v>
      </c>
      <c r="AL912" s="0" t="n">
        <v>1.47</v>
      </c>
    </row>
    <row r="913">
      <c r="A913" s="0" t="inlineStr">
        <is>
          <t>[둔촌동]</t>
        </is>
      </c>
      <c r="B913" s="0" t="n">
        <v>25653</v>
      </c>
      <c r="C913" s="0" t="n">
        <v>5</v>
      </c>
      <c r="D913" s="0" t="inlineStr">
        <is>
          <t>그랜드</t>
        </is>
      </c>
      <c r="E913" s="0" t="inlineStr">
        <is>
          <t>2003.12.</t>
        </is>
      </c>
      <c r="F913" s="0" t="n">
        <v>19</v>
      </c>
      <c r="G913" s="0" t="n">
        <v>53.41</v>
      </c>
      <c r="H913" s="0" t="n">
        <v>176.58</v>
      </c>
      <c r="I913" s="0" t="n">
        <v>48.44</v>
      </c>
      <c r="J913" s="0" t="n">
        <v>160.14</v>
      </c>
      <c r="K913" s="0" t="n">
        <v>1</v>
      </c>
      <c r="T913" s="0" t="n">
        <v>4</v>
      </c>
      <c r="U913" s="0" t="n">
        <v>2</v>
      </c>
      <c r="V913" s="0" t="inlineStr">
        <is>
          <t>계단식</t>
        </is>
      </c>
      <c r="W913" s="0" t="n">
        <v>176</v>
      </c>
      <c r="X913" s="0" t="n">
        <v>7</v>
      </c>
      <c r="Y913" s="0" t="n">
        <v>4</v>
      </c>
      <c r="Z913" s="0" t="inlineStr">
        <is>
          <t>https://new.land.naver.com/complexes/25653?tab=detail&amp;rf=Y</t>
        </is>
      </c>
      <c r="AA913" s="0" t="inlineStr">
        <is>
          <t>서울시 강동구 둔촌동 518-1</t>
        </is>
      </c>
      <c r="AB913" s="0" t="inlineStr">
        <is>
          <t>서울시</t>
        </is>
      </c>
      <c r="AC913" s="0" t="inlineStr">
        <is>
          <t>강동구</t>
        </is>
      </c>
      <c r="AD913" s="0" t="inlineStr">
        <is>
          <t>둔촌동</t>
        </is>
      </c>
      <c r="AG913" s="0" t="inlineStr">
        <is>
          <t>서울시 강동구 풍성로61길 10-14</t>
        </is>
      </c>
      <c r="AH913" s="0" t="n">
        <v>0</v>
      </c>
      <c r="AI913" s="0" t="n">
        <v>297</v>
      </c>
      <c r="AJ913" s="0" t="n">
        <v>59</v>
      </c>
      <c r="AK913" s="0" t="n">
        <v>28</v>
      </c>
      <c r="AL913" s="0" t="n">
        <v>1.47</v>
      </c>
    </row>
    <row r="914">
      <c r="A914" s="0" t="inlineStr">
        <is>
          <t>[둔촌동]</t>
        </is>
      </c>
      <c r="B914" s="0" t="n">
        <v>108615</v>
      </c>
      <c r="C914" s="0" t="n">
        <v>1</v>
      </c>
      <c r="D914" s="0" t="inlineStr">
        <is>
          <t>오앤하우스(도시형)</t>
        </is>
      </c>
      <c r="E914" s="0" t="inlineStr">
        <is>
          <t>2014.07.</t>
        </is>
      </c>
      <c r="F914" s="0" t="n">
        <v>21</v>
      </c>
      <c r="G914" s="0" t="n">
        <v>7.24</v>
      </c>
      <c r="H914" s="0" t="n">
        <v>23.96</v>
      </c>
      <c r="I914" s="0" t="n">
        <v>5.07</v>
      </c>
      <c r="J914" s="0" t="n">
        <v>16.77</v>
      </c>
      <c r="K914" s="0" t="n">
        <v>3</v>
      </c>
      <c r="T914" s="0" t="n">
        <v>1</v>
      </c>
      <c r="U914" s="0" t="n">
        <v>1</v>
      </c>
      <c r="V914" s="0" t="inlineStr">
        <is>
          <t>복도식</t>
        </is>
      </c>
      <c r="W914" s="0" t="n">
        <v>23</v>
      </c>
      <c r="X914" s="0" t="n">
        <v>9</v>
      </c>
      <c r="Y914" s="0" t="n">
        <v>9</v>
      </c>
      <c r="Z914" s="0" t="inlineStr">
        <is>
          <t>https://new.land.naver.com/complexes/108615?tab=detail&amp;rf=Y</t>
        </is>
      </c>
      <c r="AA914" s="0" t="inlineStr">
        <is>
          <t>서울시 강동구 둔촌동 425-15</t>
        </is>
      </c>
      <c r="AB914" s="0" t="inlineStr">
        <is>
          <t>서울시</t>
        </is>
      </c>
      <c r="AC914" s="0" t="inlineStr">
        <is>
          <t>강동구</t>
        </is>
      </c>
      <c r="AD914" s="0" t="inlineStr">
        <is>
          <t>둔촌동</t>
        </is>
      </c>
      <c r="AG914" s="0" t="inlineStr">
        <is>
          <t>서울시 강동구 천호대로 1156-5</t>
        </is>
      </c>
      <c r="AH914" s="0" t="n">
        <v>0</v>
      </c>
      <c r="AI914" s="0" t="n">
        <v>353</v>
      </c>
      <c r="AJ914" s="0" t="n">
        <v>59</v>
      </c>
      <c r="AK914" s="0" t="n">
        <v>12</v>
      </c>
      <c r="AL914" s="0" t="n">
        <v>0.57</v>
      </c>
    </row>
    <row r="915">
      <c r="A915" s="0" t="inlineStr">
        <is>
          <t>[둔촌동]</t>
        </is>
      </c>
      <c r="B915" s="0" t="n">
        <v>108615</v>
      </c>
      <c r="C915" s="0" t="n">
        <v>2</v>
      </c>
      <c r="D915" s="0" t="inlineStr">
        <is>
          <t>오앤하우스(도시형)</t>
        </is>
      </c>
      <c r="E915" s="0" t="inlineStr">
        <is>
          <t>2014.07.</t>
        </is>
      </c>
      <c r="F915" s="0" t="n">
        <v>21</v>
      </c>
      <c r="G915" s="0" t="n">
        <v>8.68</v>
      </c>
      <c r="H915" s="0" t="n">
        <v>28.72</v>
      </c>
      <c r="I915" s="0" t="n">
        <v>5.62</v>
      </c>
      <c r="J915" s="0" t="n">
        <v>18.6</v>
      </c>
      <c r="K915" s="0" t="n">
        <v>6</v>
      </c>
      <c r="T915" s="0" t="n">
        <v>1</v>
      </c>
      <c r="U915" s="0" t="n">
        <v>1</v>
      </c>
      <c r="V915" s="0" t="inlineStr">
        <is>
          <t>복도식</t>
        </is>
      </c>
      <c r="W915" s="0" t="inlineStr">
        <is>
          <t>28B</t>
        </is>
      </c>
      <c r="X915" s="0" t="n">
        <v>9</v>
      </c>
      <c r="Y915" s="0" t="n">
        <v>9</v>
      </c>
      <c r="Z915" s="0" t="inlineStr">
        <is>
          <t>https://new.land.naver.com/complexes/108615?tab=detail&amp;rf=Y</t>
        </is>
      </c>
      <c r="AA915" s="0" t="inlineStr">
        <is>
          <t>서울시 강동구 둔촌동 425-15</t>
        </is>
      </c>
      <c r="AB915" s="0" t="inlineStr">
        <is>
          <t>서울시</t>
        </is>
      </c>
      <c r="AC915" s="0" t="inlineStr">
        <is>
          <t>강동구</t>
        </is>
      </c>
      <c r="AD915" s="0" t="inlineStr">
        <is>
          <t>둔촌동</t>
        </is>
      </c>
      <c r="AG915" s="0" t="inlineStr">
        <is>
          <t>서울시 강동구 천호대로 1156-5</t>
        </is>
      </c>
      <c r="AH915" s="0" t="n">
        <v>0</v>
      </c>
      <c r="AI915" s="0" t="n">
        <v>353</v>
      </c>
      <c r="AJ915" s="0" t="n">
        <v>59</v>
      </c>
      <c r="AK915" s="0" t="n">
        <v>12</v>
      </c>
      <c r="AL915" s="0" t="n">
        <v>0.57</v>
      </c>
    </row>
    <row r="916">
      <c r="A916" s="0" t="inlineStr">
        <is>
          <t>[둔촌동]</t>
        </is>
      </c>
      <c r="B916" s="0" t="n">
        <v>108615</v>
      </c>
      <c r="C916" s="0" t="n">
        <v>3</v>
      </c>
      <c r="D916" s="0" t="inlineStr">
        <is>
          <t>오앤하우스(도시형)</t>
        </is>
      </c>
      <c r="E916" s="0" t="inlineStr">
        <is>
          <t>2014.07.</t>
        </is>
      </c>
      <c r="F916" s="0" t="n">
        <v>21</v>
      </c>
      <c r="G916" s="0" t="n">
        <v>8.9</v>
      </c>
      <c r="H916" s="0" t="n">
        <v>29.44</v>
      </c>
      <c r="I916" s="0" t="n">
        <v>5.66</v>
      </c>
      <c r="J916" s="0" t="n">
        <v>18.74</v>
      </c>
      <c r="K916" s="0" t="n">
        <v>6</v>
      </c>
      <c r="T916" s="0" t="n">
        <v>1</v>
      </c>
      <c r="U916" s="0" t="n">
        <v>1</v>
      </c>
      <c r="V916" s="0" t="inlineStr">
        <is>
          <t>복도식</t>
        </is>
      </c>
      <c r="W916" s="0" t="inlineStr">
        <is>
          <t>29D</t>
        </is>
      </c>
      <c r="X916" s="0" t="n">
        <v>9</v>
      </c>
      <c r="Y916" s="0" t="n">
        <v>9</v>
      </c>
      <c r="Z916" s="0" t="inlineStr">
        <is>
          <t>https://new.land.naver.com/complexes/108615?tab=detail&amp;rf=Y</t>
        </is>
      </c>
      <c r="AA916" s="0" t="inlineStr">
        <is>
          <t>서울시 강동구 둔촌동 425-15</t>
        </is>
      </c>
      <c r="AB916" s="0" t="inlineStr">
        <is>
          <t>서울시</t>
        </is>
      </c>
      <c r="AC916" s="0" t="inlineStr">
        <is>
          <t>강동구</t>
        </is>
      </c>
      <c r="AD916" s="0" t="inlineStr">
        <is>
          <t>둔촌동</t>
        </is>
      </c>
      <c r="AG916" s="0" t="inlineStr">
        <is>
          <t>서울시 강동구 천호대로 1156-5</t>
        </is>
      </c>
      <c r="AH916" s="0" t="n">
        <v>0</v>
      </c>
      <c r="AI916" s="0" t="n">
        <v>353</v>
      </c>
      <c r="AJ916" s="0" t="n">
        <v>59</v>
      </c>
      <c r="AK916" s="0" t="n">
        <v>12</v>
      </c>
      <c r="AL916" s="0" t="n">
        <v>0.57</v>
      </c>
    </row>
    <row r="917">
      <c r="A917" s="0" t="inlineStr">
        <is>
          <t>[둔촌동]</t>
        </is>
      </c>
      <c r="B917" s="0" t="n">
        <v>108615</v>
      </c>
      <c r="C917" s="0" t="n">
        <v>4</v>
      </c>
      <c r="D917" s="0" t="inlineStr">
        <is>
          <t>오앤하우스(도시형)</t>
        </is>
      </c>
      <c r="E917" s="0" t="inlineStr">
        <is>
          <t>2014.07.</t>
        </is>
      </c>
      <c r="F917" s="0" t="n">
        <v>21</v>
      </c>
      <c r="G917" s="0" t="n">
        <v>8.77</v>
      </c>
      <c r="H917" s="0" t="n">
        <v>29.02</v>
      </c>
      <c r="I917" s="0" t="n">
        <v>5.48</v>
      </c>
      <c r="J917" s="0" t="n">
        <v>18.12</v>
      </c>
      <c r="K917" s="0" t="n">
        <v>3</v>
      </c>
      <c r="T917" s="0" t="n">
        <v>1</v>
      </c>
      <c r="U917" s="0" t="n">
        <v>1</v>
      </c>
      <c r="V917" s="0" t="inlineStr">
        <is>
          <t>복도식</t>
        </is>
      </c>
      <c r="W917" s="0" t="inlineStr">
        <is>
          <t>29A</t>
        </is>
      </c>
      <c r="X917" s="0" t="n">
        <v>9</v>
      </c>
      <c r="Y917" s="0" t="n">
        <v>9</v>
      </c>
      <c r="Z917" s="0" t="inlineStr">
        <is>
          <t>https://new.land.naver.com/complexes/108615?tab=detail&amp;rf=Y</t>
        </is>
      </c>
      <c r="AA917" s="0" t="inlineStr">
        <is>
          <t>서울시 강동구 둔촌동 425-15</t>
        </is>
      </c>
      <c r="AB917" s="0" t="inlineStr">
        <is>
          <t>서울시</t>
        </is>
      </c>
      <c r="AC917" s="0" t="inlineStr">
        <is>
          <t>강동구</t>
        </is>
      </c>
      <c r="AD917" s="0" t="inlineStr">
        <is>
          <t>둔촌동</t>
        </is>
      </c>
      <c r="AG917" s="0" t="inlineStr">
        <is>
          <t>서울시 강동구 천호대로 1156-5</t>
        </is>
      </c>
      <c r="AH917" s="0" t="n">
        <v>0</v>
      </c>
      <c r="AI917" s="0" t="n">
        <v>353</v>
      </c>
      <c r="AJ917" s="0" t="n">
        <v>59</v>
      </c>
      <c r="AK917" s="0" t="n">
        <v>12</v>
      </c>
      <c r="AL917" s="0" t="n">
        <v>0.57</v>
      </c>
    </row>
    <row r="918">
      <c r="A918" s="0" t="inlineStr">
        <is>
          <t>[둔촌동]</t>
        </is>
      </c>
      <c r="B918" s="0" t="n">
        <v>108615</v>
      </c>
      <c r="C918" s="0" t="n">
        <v>5</v>
      </c>
      <c r="D918" s="0" t="inlineStr">
        <is>
          <t>오앤하우스(도시형)</t>
        </is>
      </c>
      <c r="E918" s="0" t="inlineStr">
        <is>
          <t>2014.07.</t>
        </is>
      </c>
      <c r="F918" s="0" t="n">
        <v>21</v>
      </c>
      <c r="G918" s="0" t="n">
        <v>9.02</v>
      </c>
      <c r="H918" s="0" t="n">
        <v>29.83</v>
      </c>
      <c r="I918" s="0" t="n">
        <v>5.64</v>
      </c>
      <c r="J918" s="0" t="n">
        <v>18.65</v>
      </c>
      <c r="K918" s="0" t="n">
        <v>3</v>
      </c>
      <c r="T918" s="0" t="n">
        <v>1</v>
      </c>
      <c r="U918" s="0" t="n">
        <v>1</v>
      </c>
      <c r="V918" s="0" t="inlineStr">
        <is>
          <t>복도식</t>
        </is>
      </c>
      <c r="W918" s="0" t="inlineStr">
        <is>
          <t>29C</t>
        </is>
      </c>
      <c r="X918" s="0" t="n">
        <v>9</v>
      </c>
      <c r="Y918" s="0" t="n">
        <v>9</v>
      </c>
      <c r="Z918" s="0" t="inlineStr">
        <is>
          <t>https://new.land.naver.com/complexes/108615?tab=detail&amp;rf=Y</t>
        </is>
      </c>
      <c r="AA918" s="0" t="inlineStr">
        <is>
          <t>서울시 강동구 둔촌동 425-15</t>
        </is>
      </c>
      <c r="AB918" s="0" t="inlineStr">
        <is>
          <t>서울시</t>
        </is>
      </c>
      <c r="AC918" s="0" t="inlineStr">
        <is>
          <t>강동구</t>
        </is>
      </c>
      <c r="AD918" s="0" t="inlineStr">
        <is>
          <t>둔촌동</t>
        </is>
      </c>
      <c r="AG918" s="0" t="inlineStr">
        <is>
          <t>서울시 강동구 천호대로 1156-5</t>
        </is>
      </c>
      <c r="AH918" s="0" t="n">
        <v>0</v>
      </c>
      <c r="AI918" s="0" t="n">
        <v>353</v>
      </c>
      <c r="AJ918" s="0" t="n">
        <v>59</v>
      </c>
      <c r="AK918" s="0" t="n">
        <v>12</v>
      </c>
      <c r="AL918" s="0" t="n">
        <v>0.57</v>
      </c>
    </row>
    <row r="919">
      <c r="A919" s="0" t="inlineStr">
        <is>
          <t>[둔촌동]</t>
        </is>
      </c>
      <c r="B919" s="0" t="n">
        <v>1292</v>
      </c>
      <c r="C919" s="0" t="n">
        <v>1</v>
      </c>
      <c r="D919" s="0" t="inlineStr">
        <is>
          <t>프라자</t>
        </is>
      </c>
      <c r="E919" s="0" t="inlineStr">
        <is>
          <t>1984.12.</t>
        </is>
      </c>
      <c r="F919" s="0" t="n">
        <v>354</v>
      </c>
      <c r="G919" s="0" t="n">
        <v>30.63</v>
      </c>
      <c r="H919" s="0" t="n">
        <v>101.28</v>
      </c>
      <c r="I919" s="0" t="n">
        <v>25.22</v>
      </c>
      <c r="J919" s="0" t="n">
        <v>83.40000000000001</v>
      </c>
      <c r="K919" s="0" t="n">
        <v>174</v>
      </c>
      <c r="T919" s="0" t="n">
        <v>3</v>
      </c>
      <c r="U919" s="0" t="n">
        <v>1</v>
      </c>
      <c r="V919" s="0" t="inlineStr">
        <is>
          <t>계단식</t>
        </is>
      </c>
      <c r="W919" s="0" t="n">
        <v>101</v>
      </c>
      <c r="X919" s="0" t="n">
        <v>15</v>
      </c>
      <c r="Y919" s="0" t="n">
        <v>12</v>
      </c>
      <c r="Z919" s="0" t="inlineStr">
        <is>
          <t>https://new.land.naver.com/complexes/1292?tab=detail&amp;rf=Y</t>
        </is>
      </c>
      <c r="AA919" s="0" t="inlineStr">
        <is>
          <t>서울시 강동구 둔촌동 603</t>
        </is>
      </c>
      <c r="AB919" s="0" t="inlineStr">
        <is>
          <t>서울시</t>
        </is>
      </c>
      <c r="AC919" s="0" t="inlineStr">
        <is>
          <t>강동구</t>
        </is>
      </c>
      <c r="AD919" s="0" t="inlineStr">
        <is>
          <t>둔촌동</t>
        </is>
      </c>
      <c r="AG919" s="0" t="inlineStr">
        <is>
          <t>서울시 강동구 천호대로 1240</t>
        </is>
      </c>
      <c r="AH919" s="0" t="n">
        <v>0</v>
      </c>
      <c r="AI919" s="0" t="n">
        <v>179</v>
      </c>
      <c r="AJ919" s="0" t="n">
        <v>14</v>
      </c>
      <c r="AK919" s="0" t="n">
        <v>278</v>
      </c>
      <c r="AL919" s="0" t="n">
        <v>0.79</v>
      </c>
    </row>
    <row r="920">
      <c r="A920" s="0" t="inlineStr">
        <is>
          <t>[둔촌동]</t>
        </is>
      </c>
      <c r="B920" s="0" t="n">
        <v>1292</v>
      </c>
      <c r="C920" s="0" t="n">
        <v>2</v>
      </c>
      <c r="D920" s="0" t="inlineStr">
        <is>
          <t>프라자</t>
        </is>
      </c>
      <c r="E920" s="0" t="inlineStr">
        <is>
          <t>1984.12.</t>
        </is>
      </c>
      <c r="F920" s="0" t="n">
        <v>354</v>
      </c>
      <c r="G920" s="0" t="n">
        <v>39.11</v>
      </c>
      <c r="H920" s="0" t="n">
        <v>129.31</v>
      </c>
      <c r="I920" s="0" t="n">
        <v>32.99</v>
      </c>
      <c r="J920" s="0" t="n">
        <v>109.07</v>
      </c>
      <c r="K920" s="0" t="n">
        <v>180</v>
      </c>
      <c r="T920" s="0" t="n">
        <v>4</v>
      </c>
      <c r="U920" s="0" t="n">
        <v>2</v>
      </c>
      <c r="V920" s="0" t="inlineStr">
        <is>
          <t>계단식</t>
        </is>
      </c>
      <c r="W920" s="0" t="n">
        <v>129</v>
      </c>
      <c r="X920" s="0" t="n">
        <v>15</v>
      </c>
      <c r="Y920" s="0" t="n">
        <v>12</v>
      </c>
      <c r="Z920" s="0" t="inlineStr">
        <is>
          <t>https://new.land.naver.com/complexes/1292?tab=detail&amp;rf=Y</t>
        </is>
      </c>
      <c r="AA920" s="0" t="inlineStr">
        <is>
          <t>서울시 강동구 둔촌동 603</t>
        </is>
      </c>
      <c r="AB920" s="0" t="inlineStr">
        <is>
          <t>서울시</t>
        </is>
      </c>
      <c r="AC920" s="0" t="inlineStr">
        <is>
          <t>강동구</t>
        </is>
      </c>
      <c r="AD920" s="0" t="inlineStr">
        <is>
          <t>둔촌동</t>
        </is>
      </c>
      <c r="AG920" s="0" t="inlineStr">
        <is>
          <t>서울시 강동구 천호대로 1240</t>
        </is>
      </c>
      <c r="AH920" s="0" t="n">
        <v>0</v>
      </c>
      <c r="AI920" s="0" t="n">
        <v>179</v>
      </c>
      <c r="AJ920" s="0" t="n">
        <v>14</v>
      </c>
      <c r="AK920" s="0" t="n">
        <v>278</v>
      </c>
      <c r="AL920" s="0" t="n">
        <v>0.79</v>
      </c>
    </row>
    <row r="921">
      <c r="A921" s="0" t="inlineStr">
        <is>
          <t>[둔촌동]</t>
        </is>
      </c>
      <c r="B921" s="0" t="n">
        <v>100602</v>
      </c>
      <c r="C921" s="0" t="n">
        <v>1</v>
      </c>
      <c r="D921" s="0" t="inlineStr">
        <is>
          <t>둔촌후성누리움(실버주택)</t>
        </is>
      </c>
      <c r="E921" s="0" t="inlineStr">
        <is>
          <t>2007.04.</t>
        </is>
      </c>
      <c r="F921" s="0" t="n">
        <v>51</v>
      </c>
      <c r="G921" s="0" t="n">
        <v>30.84</v>
      </c>
      <c r="H921" s="0" t="n">
        <v>101.98</v>
      </c>
      <c r="I921" s="0" t="n">
        <v>23.66</v>
      </c>
      <c r="J921" s="0" t="n">
        <v>78.22</v>
      </c>
      <c r="K921" s="0" t="n">
        <v>6</v>
      </c>
      <c r="T921" s="0" t="n">
        <v>2</v>
      </c>
      <c r="U921" s="0" t="n">
        <v>2</v>
      </c>
      <c r="V921" s="0" t="inlineStr">
        <is>
          <t>계단식</t>
        </is>
      </c>
      <c r="W921" s="0" t="inlineStr">
        <is>
          <t>101C</t>
        </is>
      </c>
      <c r="X921" s="0" t="n">
        <v>10</v>
      </c>
      <c r="Y921" s="0" t="n">
        <v>7</v>
      </c>
      <c r="Z921" s="0" t="inlineStr">
        <is>
          <t>https://new.land.naver.com/complexes/100602?tab=detail&amp;rf=Y</t>
        </is>
      </c>
      <c r="AA921" s="0" t="inlineStr">
        <is>
          <t>서울시 강동구 둔촌동 79-23</t>
        </is>
      </c>
      <c r="AB921" s="0" t="inlineStr">
        <is>
          <t>서울시</t>
        </is>
      </c>
      <c r="AC921" s="0" t="inlineStr">
        <is>
          <t>강동구</t>
        </is>
      </c>
      <c r="AD921" s="0" t="inlineStr">
        <is>
          <t>둔촌동</t>
        </is>
      </c>
      <c r="AG921" s="0" t="inlineStr">
        <is>
          <t>서울시 강동구 명일로 135</t>
        </is>
      </c>
      <c r="AH921" s="0" t="n">
        <v>0</v>
      </c>
      <c r="AI921" s="0" t="n">
        <v>253</v>
      </c>
      <c r="AJ921" s="0" t="n">
        <v>43</v>
      </c>
      <c r="AK921" s="0" t="n">
        <v>53</v>
      </c>
      <c r="AL921" s="0" t="n">
        <v>1.04</v>
      </c>
    </row>
    <row r="922">
      <c r="A922" s="0" t="inlineStr">
        <is>
          <t>[둔촌동]</t>
        </is>
      </c>
      <c r="B922" s="0" t="n">
        <v>100602</v>
      </c>
      <c r="C922" s="0" t="n">
        <v>2</v>
      </c>
      <c r="D922" s="0" t="inlineStr">
        <is>
          <t>둔촌후성누리움(실버주택)</t>
        </is>
      </c>
      <c r="E922" s="0" t="inlineStr">
        <is>
          <t>2007.04.</t>
        </is>
      </c>
      <c r="F922" s="0" t="n">
        <v>51</v>
      </c>
      <c r="G922" s="0" t="n">
        <v>32.93</v>
      </c>
      <c r="H922" s="0" t="n">
        <v>108.88</v>
      </c>
      <c r="I922" s="0" t="n">
        <v>25.24</v>
      </c>
      <c r="J922" s="0" t="n">
        <v>83.47</v>
      </c>
      <c r="K922" s="0" t="n">
        <v>9</v>
      </c>
      <c r="T922" s="0" t="n">
        <v>3</v>
      </c>
      <c r="U922" s="0" t="n">
        <v>2</v>
      </c>
      <c r="V922" s="0" t="inlineStr">
        <is>
          <t>계단식</t>
        </is>
      </c>
      <c r="W922" s="0" t="inlineStr">
        <is>
          <t>108B</t>
        </is>
      </c>
      <c r="X922" s="0" t="n">
        <v>10</v>
      </c>
      <c r="Y922" s="0" t="n">
        <v>7</v>
      </c>
      <c r="Z922" s="0" t="inlineStr">
        <is>
          <t>https://new.land.naver.com/complexes/100602?tab=detail&amp;rf=Y</t>
        </is>
      </c>
      <c r="AA922" s="0" t="inlineStr">
        <is>
          <t>서울시 강동구 둔촌동 79-23</t>
        </is>
      </c>
      <c r="AB922" s="0" t="inlineStr">
        <is>
          <t>서울시</t>
        </is>
      </c>
      <c r="AC922" s="0" t="inlineStr">
        <is>
          <t>강동구</t>
        </is>
      </c>
      <c r="AD922" s="0" t="inlineStr">
        <is>
          <t>둔촌동</t>
        </is>
      </c>
      <c r="AG922" s="0" t="inlineStr">
        <is>
          <t>서울시 강동구 명일로 135</t>
        </is>
      </c>
      <c r="AH922" s="0" t="n">
        <v>0</v>
      </c>
      <c r="AI922" s="0" t="n">
        <v>253</v>
      </c>
      <c r="AJ922" s="0" t="n">
        <v>43</v>
      </c>
      <c r="AK922" s="0" t="n">
        <v>53</v>
      </c>
      <c r="AL922" s="0" t="n">
        <v>1.04</v>
      </c>
    </row>
    <row r="923">
      <c r="A923" s="0" t="inlineStr">
        <is>
          <t>[둔촌동]</t>
        </is>
      </c>
      <c r="B923" s="0" t="n">
        <v>100602</v>
      </c>
      <c r="C923" s="0" t="n">
        <v>3</v>
      </c>
      <c r="D923" s="0" t="inlineStr">
        <is>
          <t>둔촌후성누리움(실버주택)</t>
        </is>
      </c>
      <c r="E923" s="0" t="inlineStr">
        <is>
          <t>2007.04.</t>
        </is>
      </c>
      <c r="F923" s="0" t="n">
        <v>51</v>
      </c>
      <c r="G923" s="0" t="n">
        <v>33.27</v>
      </c>
      <c r="H923" s="0" t="n">
        <v>110.01</v>
      </c>
      <c r="I923" s="0" t="n">
        <v>25.52</v>
      </c>
      <c r="J923" s="0" t="n">
        <v>84.39</v>
      </c>
      <c r="K923" s="0" t="n">
        <v>36</v>
      </c>
      <c r="T923" s="0" t="n">
        <v>3</v>
      </c>
      <c r="U923" s="0" t="n">
        <v>2</v>
      </c>
      <c r="V923" s="0" t="inlineStr">
        <is>
          <t>계단식</t>
        </is>
      </c>
      <c r="W923" s="0" t="inlineStr">
        <is>
          <t>110A</t>
        </is>
      </c>
      <c r="X923" s="0" t="n">
        <v>10</v>
      </c>
      <c r="Y923" s="0" t="n">
        <v>7</v>
      </c>
      <c r="Z923" s="0" t="inlineStr">
        <is>
          <t>https://new.land.naver.com/complexes/100602?tab=detail&amp;rf=Y</t>
        </is>
      </c>
      <c r="AA923" s="0" t="inlineStr">
        <is>
          <t>서울시 강동구 둔촌동 79-23</t>
        </is>
      </c>
      <c r="AB923" s="0" t="inlineStr">
        <is>
          <t>서울시</t>
        </is>
      </c>
      <c r="AC923" s="0" t="inlineStr">
        <is>
          <t>강동구</t>
        </is>
      </c>
      <c r="AD923" s="0" t="inlineStr">
        <is>
          <t>둔촌동</t>
        </is>
      </c>
      <c r="AG923" s="0" t="inlineStr">
        <is>
          <t>서울시 강동구 명일로 135</t>
        </is>
      </c>
      <c r="AH923" s="0" t="n">
        <v>0</v>
      </c>
      <c r="AI923" s="0" t="n">
        <v>253</v>
      </c>
      <c r="AJ923" s="0" t="n">
        <v>43</v>
      </c>
      <c r="AK923" s="0" t="n">
        <v>53</v>
      </c>
      <c r="AL923" s="0" t="n">
        <v>1.04</v>
      </c>
    </row>
    <row r="924">
      <c r="A924" s="0" t="inlineStr">
        <is>
          <t>[둔촌동]</t>
        </is>
      </c>
      <c r="B924" s="0" t="n">
        <v>23213</v>
      </c>
      <c r="C924" s="0" t="n">
        <v>1</v>
      </c>
      <c r="D924" s="0" t="inlineStr">
        <is>
          <t>세양청마루</t>
        </is>
      </c>
      <c r="E924" s="0" t="inlineStr">
        <is>
          <t>2005.10.</t>
        </is>
      </c>
      <c r="F924" s="0" t="n">
        <v>84</v>
      </c>
      <c r="G924" s="0" t="n">
        <v>30.11</v>
      </c>
      <c r="H924" s="0" t="n">
        <v>99.56999999999999</v>
      </c>
      <c r="I924" s="0" t="n">
        <v>23.93</v>
      </c>
      <c r="J924" s="0" t="n">
        <v>79.14</v>
      </c>
      <c r="K924" s="0" t="n">
        <v>1</v>
      </c>
      <c r="T924" s="0" t="n">
        <v>3</v>
      </c>
      <c r="U924" s="0" t="n">
        <v>2</v>
      </c>
      <c r="V924" s="0" t="inlineStr">
        <is>
          <t>계단식</t>
        </is>
      </c>
      <c r="W924" s="0" t="inlineStr">
        <is>
          <t>99A</t>
        </is>
      </c>
      <c r="X924" s="0" t="n">
        <v>15</v>
      </c>
      <c r="Y924" s="0" t="n">
        <v>15</v>
      </c>
      <c r="Z924" s="0" t="inlineStr">
        <is>
          <t>https://new.land.naver.com/complexes/23213?tab=detail&amp;rf=Y</t>
        </is>
      </c>
      <c r="AA924" s="0" t="inlineStr">
        <is>
          <t>서울시 강동구 둔촌동 426</t>
        </is>
      </c>
      <c r="AB924" s="0" t="inlineStr">
        <is>
          <t>서울시</t>
        </is>
      </c>
      <c r="AC924" s="0" t="inlineStr">
        <is>
          <t>강동구</t>
        </is>
      </c>
      <c r="AD924" s="0" t="inlineStr">
        <is>
          <t>둔촌동</t>
        </is>
      </c>
      <c r="AG924" s="0" t="inlineStr">
        <is>
          <t>서울시 강동구 천호대로 1162</t>
        </is>
      </c>
      <c r="AH924" s="0" t="n">
        <v>0</v>
      </c>
      <c r="AI924" s="0" t="n">
        <v>420</v>
      </c>
      <c r="AJ924" s="0" t="n">
        <v>54</v>
      </c>
      <c r="AK924" s="0" t="n">
        <v>128</v>
      </c>
      <c r="AL924" s="0" t="n">
        <v>1.52</v>
      </c>
    </row>
    <row r="925">
      <c r="A925" s="0" t="inlineStr">
        <is>
          <t>[둔촌동]</t>
        </is>
      </c>
      <c r="B925" s="0" t="n">
        <v>23213</v>
      </c>
      <c r="C925" s="0" t="n">
        <v>2</v>
      </c>
      <c r="D925" s="0" t="inlineStr">
        <is>
          <t>세양청마루</t>
        </is>
      </c>
      <c r="E925" s="0" t="inlineStr">
        <is>
          <t>2005.10.</t>
        </is>
      </c>
      <c r="F925" s="0" t="n">
        <v>84</v>
      </c>
      <c r="G925" s="0" t="n">
        <v>30.2</v>
      </c>
      <c r="H925" s="0" t="n">
        <v>99.84999999999999</v>
      </c>
      <c r="I925" s="0" t="n">
        <v>24</v>
      </c>
      <c r="J925" s="0" t="n">
        <v>79.36</v>
      </c>
      <c r="K925" s="0" t="n">
        <v>1</v>
      </c>
      <c r="T925" s="0" t="n">
        <v>3</v>
      </c>
      <c r="U925" s="0" t="n">
        <v>2</v>
      </c>
      <c r="V925" s="0" t="inlineStr">
        <is>
          <t>계단식</t>
        </is>
      </c>
      <c r="W925" s="0" t="inlineStr">
        <is>
          <t>99B</t>
        </is>
      </c>
      <c r="X925" s="0" t="n">
        <v>15</v>
      </c>
      <c r="Y925" s="0" t="n">
        <v>15</v>
      </c>
      <c r="Z925" s="0" t="inlineStr">
        <is>
          <t>https://new.land.naver.com/complexes/23213?tab=detail&amp;rf=Y</t>
        </is>
      </c>
      <c r="AA925" s="0" t="inlineStr">
        <is>
          <t>서울시 강동구 둔촌동 426</t>
        </is>
      </c>
      <c r="AB925" s="0" t="inlineStr">
        <is>
          <t>서울시</t>
        </is>
      </c>
      <c r="AC925" s="0" t="inlineStr">
        <is>
          <t>강동구</t>
        </is>
      </c>
      <c r="AD925" s="0" t="inlineStr">
        <is>
          <t>둔촌동</t>
        </is>
      </c>
      <c r="AG925" s="0" t="inlineStr">
        <is>
          <t>서울시 강동구 천호대로 1162</t>
        </is>
      </c>
      <c r="AH925" s="0" t="n">
        <v>0</v>
      </c>
      <c r="AI925" s="0" t="n">
        <v>420</v>
      </c>
      <c r="AJ925" s="0" t="n">
        <v>54</v>
      </c>
      <c r="AK925" s="0" t="n">
        <v>128</v>
      </c>
      <c r="AL925" s="0" t="n">
        <v>1.52</v>
      </c>
    </row>
    <row r="926">
      <c r="A926" s="0" t="inlineStr">
        <is>
          <t>[둔촌동]</t>
        </is>
      </c>
      <c r="B926" s="0" t="n">
        <v>23213</v>
      </c>
      <c r="C926" s="0" t="n">
        <v>3</v>
      </c>
      <c r="D926" s="0" t="inlineStr">
        <is>
          <t>세양청마루</t>
        </is>
      </c>
      <c r="E926" s="0" t="inlineStr">
        <is>
          <t>2005.10.</t>
        </is>
      </c>
      <c r="F926" s="0" t="n">
        <v>84</v>
      </c>
      <c r="G926" s="0" t="n">
        <v>30.29</v>
      </c>
      <c r="H926" s="0" t="n">
        <v>100.14</v>
      </c>
      <c r="I926" s="0" t="n">
        <v>24.07</v>
      </c>
      <c r="J926" s="0" t="n">
        <v>79.59</v>
      </c>
      <c r="K926" s="0" t="n">
        <v>2</v>
      </c>
      <c r="T926" s="0" t="n">
        <v>3</v>
      </c>
      <c r="U926" s="0" t="n">
        <v>2</v>
      </c>
      <c r="V926" s="0" t="inlineStr">
        <is>
          <t>계단식</t>
        </is>
      </c>
      <c r="W926" s="0" t="inlineStr">
        <is>
          <t>100C</t>
        </is>
      </c>
      <c r="X926" s="0" t="n">
        <v>15</v>
      </c>
      <c r="Y926" s="0" t="n">
        <v>15</v>
      </c>
      <c r="Z926" s="0" t="inlineStr">
        <is>
          <t>https://new.land.naver.com/complexes/23213?tab=detail&amp;rf=Y</t>
        </is>
      </c>
      <c r="AA926" s="0" t="inlineStr">
        <is>
          <t>서울시 강동구 둔촌동 426</t>
        </is>
      </c>
      <c r="AB926" s="0" t="inlineStr">
        <is>
          <t>서울시</t>
        </is>
      </c>
      <c r="AC926" s="0" t="inlineStr">
        <is>
          <t>강동구</t>
        </is>
      </c>
      <c r="AD926" s="0" t="inlineStr">
        <is>
          <t>둔촌동</t>
        </is>
      </c>
      <c r="AG926" s="0" t="inlineStr">
        <is>
          <t>서울시 강동구 천호대로 1162</t>
        </is>
      </c>
      <c r="AH926" s="0" t="n">
        <v>0</v>
      </c>
      <c r="AI926" s="0" t="n">
        <v>420</v>
      </c>
      <c r="AJ926" s="0" t="n">
        <v>54</v>
      </c>
      <c r="AK926" s="0" t="n">
        <v>128</v>
      </c>
      <c r="AL926" s="0" t="n">
        <v>1.52</v>
      </c>
    </row>
    <row r="927">
      <c r="A927" s="0" t="inlineStr">
        <is>
          <t>[둔촌동]</t>
        </is>
      </c>
      <c r="B927" s="0" t="n">
        <v>23213</v>
      </c>
      <c r="C927" s="0" t="n">
        <v>4</v>
      </c>
      <c r="D927" s="0" t="inlineStr">
        <is>
          <t>세양청마루</t>
        </is>
      </c>
      <c r="E927" s="0" t="inlineStr">
        <is>
          <t>2005.10.</t>
        </is>
      </c>
      <c r="F927" s="0" t="n">
        <v>84</v>
      </c>
      <c r="G927" s="0" t="n">
        <v>31.99</v>
      </c>
      <c r="H927" s="0" t="n">
        <v>105.78</v>
      </c>
      <c r="I927" s="0" t="n">
        <v>25.43</v>
      </c>
      <c r="J927" s="0" t="n">
        <v>84.08</v>
      </c>
      <c r="K927" s="0" t="n">
        <v>13</v>
      </c>
      <c r="T927" s="0" t="n">
        <v>3</v>
      </c>
      <c r="U927" s="0" t="n">
        <v>2</v>
      </c>
      <c r="V927" s="0" t="inlineStr">
        <is>
          <t>계단식</t>
        </is>
      </c>
      <c r="W927" s="0" t="inlineStr">
        <is>
          <t>105A</t>
        </is>
      </c>
      <c r="X927" s="0" t="n">
        <v>15</v>
      </c>
      <c r="Y927" s="0" t="n">
        <v>15</v>
      </c>
      <c r="Z927" s="0" t="inlineStr">
        <is>
          <t>https://new.land.naver.com/complexes/23213?tab=detail&amp;rf=Y</t>
        </is>
      </c>
      <c r="AA927" s="0" t="inlineStr">
        <is>
          <t>서울시 강동구 둔촌동 426</t>
        </is>
      </c>
      <c r="AB927" s="0" t="inlineStr">
        <is>
          <t>서울시</t>
        </is>
      </c>
      <c r="AC927" s="0" t="inlineStr">
        <is>
          <t>강동구</t>
        </is>
      </c>
      <c r="AD927" s="0" t="inlineStr">
        <is>
          <t>둔촌동</t>
        </is>
      </c>
      <c r="AG927" s="0" t="inlineStr">
        <is>
          <t>서울시 강동구 천호대로 1162</t>
        </is>
      </c>
      <c r="AH927" s="0" t="n">
        <v>0</v>
      </c>
      <c r="AI927" s="0" t="n">
        <v>420</v>
      </c>
      <c r="AJ927" s="0" t="n">
        <v>54</v>
      </c>
      <c r="AK927" s="0" t="n">
        <v>128</v>
      </c>
      <c r="AL927" s="0" t="n">
        <v>1.52</v>
      </c>
    </row>
    <row r="928">
      <c r="A928" s="0" t="inlineStr">
        <is>
          <t>[둔촌동]</t>
        </is>
      </c>
      <c r="B928" s="0" t="n">
        <v>23213</v>
      </c>
      <c r="C928" s="0" t="n">
        <v>5</v>
      </c>
      <c r="D928" s="0" t="inlineStr">
        <is>
          <t>세양청마루</t>
        </is>
      </c>
      <c r="E928" s="0" t="inlineStr">
        <is>
          <t>2005.10.</t>
        </is>
      </c>
      <c r="F928" s="0" t="n">
        <v>84</v>
      </c>
      <c r="G928" s="0" t="n">
        <v>32.12</v>
      </c>
      <c r="H928" s="0" t="n">
        <v>106.2</v>
      </c>
      <c r="I928" s="0" t="n">
        <v>25.53</v>
      </c>
      <c r="J928" s="0" t="n">
        <v>84.42</v>
      </c>
      <c r="K928" s="0" t="n">
        <v>26</v>
      </c>
      <c r="T928" s="0" t="n">
        <v>3</v>
      </c>
      <c r="U928" s="0" t="n">
        <v>2</v>
      </c>
      <c r="V928" s="0" t="inlineStr">
        <is>
          <t>계단식</t>
        </is>
      </c>
      <c r="W928" s="0" t="inlineStr">
        <is>
          <t>106C</t>
        </is>
      </c>
      <c r="X928" s="0" t="n">
        <v>15</v>
      </c>
      <c r="Y928" s="0" t="n">
        <v>15</v>
      </c>
      <c r="Z928" s="0" t="inlineStr">
        <is>
          <t>https://new.land.naver.com/complexes/23213?tab=detail&amp;rf=Y</t>
        </is>
      </c>
      <c r="AA928" s="0" t="inlineStr">
        <is>
          <t>서울시 강동구 둔촌동 426</t>
        </is>
      </c>
      <c r="AB928" s="0" t="inlineStr">
        <is>
          <t>서울시</t>
        </is>
      </c>
      <c r="AC928" s="0" t="inlineStr">
        <is>
          <t>강동구</t>
        </is>
      </c>
      <c r="AD928" s="0" t="inlineStr">
        <is>
          <t>둔촌동</t>
        </is>
      </c>
      <c r="AG928" s="0" t="inlineStr">
        <is>
          <t>서울시 강동구 천호대로 1162</t>
        </is>
      </c>
      <c r="AH928" s="0" t="n">
        <v>0</v>
      </c>
      <c r="AI928" s="0" t="n">
        <v>420</v>
      </c>
      <c r="AJ928" s="0" t="n">
        <v>54</v>
      </c>
      <c r="AK928" s="0" t="n">
        <v>128</v>
      </c>
      <c r="AL928" s="0" t="n">
        <v>1.52</v>
      </c>
    </row>
    <row r="929">
      <c r="A929" s="0" t="inlineStr">
        <is>
          <t>[둔촌동]</t>
        </is>
      </c>
      <c r="B929" s="0" t="n">
        <v>23213</v>
      </c>
      <c r="C929" s="0" t="n">
        <v>6</v>
      </c>
      <c r="D929" s="0" t="inlineStr">
        <is>
          <t>세양청마루</t>
        </is>
      </c>
      <c r="E929" s="0" t="inlineStr">
        <is>
          <t>2005.10.</t>
        </is>
      </c>
      <c r="F929" s="0" t="n">
        <v>84</v>
      </c>
      <c r="G929" s="0" t="n">
        <v>32.07</v>
      </c>
      <c r="H929" s="0" t="n">
        <v>106.04</v>
      </c>
      <c r="I929" s="0" t="n">
        <v>25.49</v>
      </c>
      <c r="J929" s="0" t="n">
        <v>84.29000000000001</v>
      </c>
      <c r="K929" s="0" t="n">
        <v>13</v>
      </c>
      <c r="T929" s="0" t="n">
        <v>3</v>
      </c>
      <c r="U929" s="0" t="n">
        <v>2</v>
      </c>
      <c r="V929" s="0" t="inlineStr">
        <is>
          <t>계단식</t>
        </is>
      </c>
      <c r="W929" s="0" t="inlineStr">
        <is>
          <t>106B</t>
        </is>
      </c>
      <c r="X929" s="0" t="n">
        <v>15</v>
      </c>
      <c r="Y929" s="0" t="n">
        <v>15</v>
      </c>
      <c r="Z929" s="0" t="inlineStr">
        <is>
          <t>https://new.land.naver.com/complexes/23213?tab=detail&amp;rf=Y</t>
        </is>
      </c>
      <c r="AA929" s="0" t="inlineStr">
        <is>
          <t>서울시 강동구 둔촌동 426</t>
        </is>
      </c>
      <c r="AB929" s="0" t="inlineStr">
        <is>
          <t>서울시</t>
        </is>
      </c>
      <c r="AC929" s="0" t="inlineStr">
        <is>
          <t>강동구</t>
        </is>
      </c>
      <c r="AD929" s="0" t="inlineStr">
        <is>
          <t>둔촌동</t>
        </is>
      </c>
      <c r="AG929" s="0" t="inlineStr">
        <is>
          <t>서울시 강동구 천호대로 1162</t>
        </is>
      </c>
      <c r="AH929" s="0" t="n">
        <v>0</v>
      </c>
      <c r="AI929" s="0" t="n">
        <v>420</v>
      </c>
      <c r="AJ929" s="0" t="n">
        <v>54</v>
      </c>
      <c r="AK929" s="0" t="n">
        <v>128</v>
      </c>
      <c r="AL929" s="0" t="n">
        <v>1.52</v>
      </c>
    </row>
    <row r="930">
      <c r="A930" s="0" t="inlineStr">
        <is>
          <t>[둔촌동]</t>
        </is>
      </c>
      <c r="B930" s="0" t="n">
        <v>23213</v>
      </c>
      <c r="C930" s="0" t="n">
        <v>7</v>
      </c>
      <c r="D930" s="0" t="inlineStr">
        <is>
          <t>세양청마루</t>
        </is>
      </c>
      <c r="E930" s="0" t="inlineStr">
        <is>
          <t>2005.10.</t>
        </is>
      </c>
      <c r="F930" s="0" t="n">
        <v>84</v>
      </c>
      <c r="G930" s="0" t="n">
        <v>38.98</v>
      </c>
      <c r="H930" s="0" t="n">
        <v>128.89</v>
      </c>
      <c r="I930" s="0" t="n">
        <v>30.99</v>
      </c>
      <c r="J930" s="0" t="n">
        <v>102.45</v>
      </c>
      <c r="K930" s="0" t="n">
        <v>28</v>
      </c>
      <c r="T930" s="0" t="n">
        <v>4</v>
      </c>
      <c r="U930" s="0" t="n">
        <v>2</v>
      </c>
      <c r="V930" s="0" t="inlineStr">
        <is>
          <t>계단식</t>
        </is>
      </c>
      <c r="W930" s="0" t="n">
        <v>128</v>
      </c>
      <c r="X930" s="0" t="n">
        <v>15</v>
      </c>
      <c r="Y930" s="0" t="n">
        <v>15</v>
      </c>
      <c r="Z930" s="0" t="inlineStr">
        <is>
          <t>https://new.land.naver.com/complexes/23213?tab=detail&amp;rf=Y</t>
        </is>
      </c>
      <c r="AA930" s="0" t="inlineStr">
        <is>
          <t>서울시 강동구 둔촌동 426</t>
        </is>
      </c>
      <c r="AB930" s="0" t="inlineStr">
        <is>
          <t>서울시</t>
        </is>
      </c>
      <c r="AC930" s="0" t="inlineStr">
        <is>
          <t>강동구</t>
        </is>
      </c>
      <c r="AD930" s="0" t="inlineStr">
        <is>
          <t>둔촌동</t>
        </is>
      </c>
      <c r="AG930" s="0" t="inlineStr">
        <is>
          <t>서울시 강동구 천호대로 1162</t>
        </is>
      </c>
      <c r="AH930" s="0" t="n">
        <v>0</v>
      </c>
      <c r="AI930" s="0" t="n">
        <v>420</v>
      </c>
      <c r="AJ930" s="0" t="n">
        <v>54</v>
      </c>
      <c r="AK930" s="0" t="n">
        <v>128</v>
      </c>
      <c r="AL930" s="0" t="n">
        <v>1.52</v>
      </c>
    </row>
    <row r="931">
      <c r="A931" s="0" t="inlineStr">
        <is>
          <t>[둔촌동]</t>
        </is>
      </c>
      <c r="B931" s="0" t="n">
        <v>102254</v>
      </c>
      <c r="C931" s="0" t="n">
        <v>1</v>
      </c>
      <c r="D931" s="0" t="inlineStr">
        <is>
          <t>한솔파로스</t>
        </is>
      </c>
      <c r="E931" s="0" t="inlineStr">
        <is>
          <t>2008.10.</t>
        </is>
      </c>
      <c r="F931" s="0" t="n">
        <v>13</v>
      </c>
      <c r="G931" s="0" t="n">
        <v>21.29</v>
      </c>
      <c r="H931" s="0" t="n">
        <v>70.41</v>
      </c>
      <c r="I931" s="0" t="n">
        <v>18.1</v>
      </c>
      <c r="J931" s="0" t="n">
        <v>59.86</v>
      </c>
      <c r="K931" s="0" t="n">
        <v>6</v>
      </c>
      <c r="T931" s="0" t="n">
        <v>2</v>
      </c>
      <c r="U931" s="0" t="n">
        <v>1</v>
      </c>
      <c r="V931" s="0" t="inlineStr">
        <is>
          <t>계단식</t>
        </is>
      </c>
      <c r="W931" s="0" t="inlineStr">
        <is>
          <t>70C</t>
        </is>
      </c>
      <c r="X931" s="0" t="n">
        <v>8</v>
      </c>
      <c r="Y931" s="0" t="n">
        <v>4</v>
      </c>
      <c r="Z931" s="0" t="inlineStr">
        <is>
          <t>https://new.land.naver.com/complexes/102254?tab=detail&amp;rf=Y</t>
        </is>
      </c>
      <c r="AA931" s="0" t="inlineStr">
        <is>
          <t>서울시 강동구 둔촌동 490-9</t>
        </is>
      </c>
      <c r="AB931" s="0" t="inlineStr">
        <is>
          <t>서울시</t>
        </is>
      </c>
      <c r="AC931" s="0" t="inlineStr">
        <is>
          <t>강동구</t>
        </is>
      </c>
      <c r="AD931" s="0" t="inlineStr">
        <is>
          <t>둔촌동</t>
        </is>
      </c>
      <c r="AG931" s="0" t="inlineStr">
        <is>
          <t>서울시 강동구 풍성로63길 43</t>
        </is>
      </c>
      <c r="AH931" s="0" t="n">
        <v>0</v>
      </c>
      <c r="AI931" s="0" t="n">
        <v>199</v>
      </c>
      <c r="AJ931" s="0" t="n">
        <v>54</v>
      </c>
      <c r="AK931" s="0" t="n">
        <v>14</v>
      </c>
      <c r="AL931" s="0" t="n">
        <v>1.08</v>
      </c>
    </row>
    <row r="932">
      <c r="A932" s="0" t="inlineStr">
        <is>
          <t>[둔촌동]</t>
        </is>
      </c>
      <c r="B932" s="0" t="n">
        <v>102254</v>
      </c>
      <c r="C932" s="0" t="n">
        <v>2</v>
      </c>
      <c r="D932" s="0" t="inlineStr">
        <is>
          <t>한솔파로스</t>
        </is>
      </c>
      <c r="E932" s="0" t="inlineStr">
        <is>
          <t>2008.10.</t>
        </is>
      </c>
      <c r="F932" s="0" t="n">
        <v>13</v>
      </c>
      <c r="G932" s="0" t="n">
        <v>21.25</v>
      </c>
      <c r="H932" s="0" t="n">
        <v>70.27</v>
      </c>
      <c r="I932" s="0" t="n">
        <v>18.07</v>
      </c>
      <c r="J932" s="0" t="n">
        <v>59.74</v>
      </c>
      <c r="K932" s="0" t="n">
        <v>3</v>
      </c>
      <c r="T932" s="0" t="n">
        <v>2</v>
      </c>
      <c r="U932" s="0" t="n">
        <v>1</v>
      </c>
      <c r="V932" s="0" t="inlineStr">
        <is>
          <t>계단식</t>
        </is>
      </c>
      <c r="W932" s="0" t="inlineStr">
        <is>
          <t>70A</t>
        </is>
      </c>
      <c r="X932" s="0" t="n">
        <v>8</v>
      </c>
      <c r="Y932" s="0" t="n">
        <v>4</v>
      </c>
      <c r="Z932" s="0" t="inlineStr">
        <is>
          <t>https://new.land.naver.com/complexes/102254?tab=detail&amp;rf=Y</t>
        </is>
      </c>
      <c r="AA932" s="0" t="inlineStr">
        <is>
          <t>서울시 강동구 둔촌동 490-9</t>
        </is>
      </c>
      <c r="AB932" s="0" t="inlineStr">
        <is>
          <t>서울시</t>
        </is>
      </c>
      <c r="AC932" s="0" t="inlineStr">
        <is>
          <t>강동구</t>
        </is>
      </c>
      <c r="AD932" s="0" t="inlineStr">
        <is>
          <t>둔촌동</t>
        </is>
      </c>
      <c r="AG932" s="0" t="inlineStr">
        <is>
          <t>서울시 강동구 풍성로63길 43</t>
        </is>
      </c>
      <c r="AH932" s="0" t="n">
        <v>0</v>
      </c>
      <c r="AI932" s="0" t="n">
        <v>199</v>
      </c>
      <c r="AJ932" s="0" t="n">
        <v>54</v>
      </c>
      <c r="AK932" s="0" t="n">
        <v>14</v>
      </c>
      <c r="AL932" s="0" t="n">
        <v>1.08</v>
      </c>
    </row>
    <row r="933">
      <c r="A933" s="0" t="inlineStr">
        <is>
          <t>[둔촌동]</t>
        </is>
      </c>
      <c r="B933" s="0" t="n">
        <v>102254</v>
      </c>
      <c r="C933" s="0" t="n">
        <v>3</v>
      </c>
      <c r="D933" s="0" t="inlineStr">
        <is>
          <t>한솔파로스</t>
        </is>
      </c>
      <c r="E933" s="0" t="inlineStr">
        <is>
          <t>2008.10.</t>
        </is>
      </c>
      <c r="F933" s="0" t="n">
        <v>13</v>
      </c>
      <c r="G933" s="0" t="n">
        <v>21.26</v>
      </c>
      <c r="H933" s="0" t="n">
        <v>70.3</v>
      </c>
      <c r="I933" s="0" t="n">
        <v>18.07</v>
      </c>
      <c r="J933" s="0" t="n">
        <v>59.76</v>
      </c>
      <c r="K933" s="0" t="n">
        <v>3</v>
      </c>
      <c r="T933" s="0" t="n">
        <v>2</v>
      </c>
      <c r="U933" s="0" t="n">
        <v>1</v>
      </c>
      <c r="V933" s="0" t="inlineStr">
        <is>
          <t>계단식</t>
        </is>
      </c>
      <c r="W933" s="0" t="inlineStr">
        <is>
          <t>70B</t>
        </is>
      </c>
      <c r="X933" s="0" t="n">
        <v>8</v>
      </c>
      <c r="Y933" s="0" t="n">
        <v>4</v>
      </c>
      <c r="Z933" s="0" t="inlineStr">
        <is>
          <t>https://new.land.naver.com/complexes/102254?tab=detail&amp;rf=Y</t>
        </is>
      </c>
      <c r="AA933" s="0" t="inlineStr">
        <is>
          <t>서울시 강동구 둔촌동 490-9</t>
        </is>
      </c>
      <c r="AB933" s="0" t="inlineStr">
        <is>
          <t>서울시</t>
        </is>
      </c>
      <c r="AC933" s="0" t="inlineStr">
        <is>
          <t>강동구</t>
        </is>
      </c>
      <c r="AD933" s="0" t="inlineStr">
        <is>
          <t>둔촌동</t>
        </is>
      </c>
      <c r="AG933" s="0" t="inlineStr">
        <is>
          <t>서울시 강동구 풍성로63길 43</t>
        </is>
      </c>
      <c r="AH933" s="0" t="n">
        <v>0</v>
      </c>
      <c r="AI933" s="0" t="n">
        <v>199</v>
      </c>
      <c r="AJ933" s="0" t="n">
        <v>54</v>
      </c>
      <c r="AK933" s="0" t="n">
        <v>14</v>
      </c>
      <c r="AL933" s="0" t="n">
        <v>1.08</v>
      </c>
    </row>
    <row r="934">
      <c r="A934" s="0" t="inlineStr">
        <is>
          <t>[둔촌동]</t>
        </is>
      </c>
      <c r="B934" s="0" t="n">
        <v>102254</v>
      </c>
      <c r="C934" s="0" t="n">
        <v>4</v>
      </c>
      <c r="D934" s="0" t="inlineStr">
        <is>
          <t>한솔파로스</t>
        </is>
      </c>
      <c r="E934" s="0" t="inlineStr">
        <is>
          <t>2008.10.</t>
        </is>
      </c>
      <c r="F934" s="0" t="n">
        <v>13</v>
      </c>
      <c r="G934" s="0" t="n">
        <v>34.85</v>
      </c>
      <c r="H934" s="0" t="n">
        <v>115.23</v>
      </c>
      <c r="I934" s="0" t="n">
        <v>29.63</v>
      </c>
      <c r="J934" s="0" t="n">
        <v>97.95999999999999</v>
      </c>
      <c r="K934" s="0" t="n">
        <v>1</v>
      </c>
      <c r="T934" s="0" t="n">
        <v>3</v>
      </c>
      <c r="U934" s="0" t="n">
        <v>2</v>
      </c>
      <c r="V934" s="0" t="inlineStr">
        <is>
          <t>계단식</t>
        </is>
      </c>
      <c r="W934" s="0" t="n">
        <v>115</v>
      </c>
      <c r="X934" s="0" t="n">
        <v>8</v>
      </c>
      <c r="Y934" s="0" t="n">
        <v>4</v>
      </c>
      <c r="Z934" s="0" t="inlineStr">
        <is>
          <t>https://new.land.naver.com/complexes/102254?tab=detail&amp;rf=Y</t>
        </is>
      </c>
      <c r="AA934" s="0" t="inlineStr">
        <is>
          <t>서울시 강동구 둔촌동 490-9</t>
        </is>
      </c>
      <c r="AB934" s="0" t="inlineStr">
        <is>
          <t>서울시</t>
        </is>
      </c>
      <c r="AC934" s="0" t="inlineStr">
        <is>
          <t>강동구</t>
        </is>
      </c>
      <c r="AD934" s="0" t="inlineStr">
        <is>
          <t>둔촌동</t>
        </is>
      </c>
      <c r="AG934" s="0" t="inlineStr">
        <is>
          <t>서울시 강동구 풍성로63길 43</t>
        </is>
      </c>
      <c r="AH934" s="0" t="n">
        <v>0</v>
      </c>
      <c r="AI934" s="0" t="n">
        <v>199</v>
      </c>
      <c r="AJ934" s="0" t="n">
        <v>54</v>
      </c>
      <c r="AK934" s="0" t="n">
        <v>14</v>
      </c>
      <c r="AL934" s="0" t="n">
        <v>1.08</v>
      </c>
    </row>
    <row r="935">
      <c r="A935" s="0" t="inlineStr">
        <is>
          <t>[둔촌동]</t>
        </is>
      </c>
      <c r="B935" s="0" t="n">
        <v>22177</v>
      </c>
      <c r="C935" s="0" t="n">
        <v>1</v>
      </c>
      <c r="D935" s="0" t="inlineStr">
        <is>
          <t>광남캐스빌(435-7)</t>
        </is>
      </c>
      <c r="E935" s="0" t="inlineStr">
        <is>
          <t>2004.10.</t>
        </is>
      </c>
      <c r="F935" s="0" t="n">
        <v>126</v>
      </c>
      <c r="G935" s="0" t="n">
        <v>24.18</v>
      </c>
      <c r="H935" s="0" t="n">
        <v>79.95</v>
      </c>
      <c r="I935" s="0" t="n">
        <v>19.89</v>
      </c>
      <c r="J935" s="0" t="n">
        <v>65.78</v>
      </c>
      <c r="K935" s="0" t="n">
        <v>1</v>
      </c>
      <c r="T935" s="0" t="n">
        <v>3</v>
      </c>
      <c r="U935" s="0" t="n">
        <v>1</v>
      </c>
      <c r="V935" s="0" t="inlineStr">
        <is>
          <t>계단식</t>
        </is>
      </c>
      <c r="W935" s="0" t="n">
        <v>79</v>
      </c>
      <c r="X935" s="0" t="n">
        <v>15</v>
      </c>
      <c r="Y935" s="0" t="n">
        <v>13</v>
      </c>
      <c r="Z935" s="0" t="inlineStr">
        <is>
          <t>https://new.land.naver.com/complexes/22177?tab=detail&amp;rf=Y</t>
        </is>
      </c>
      <c r="AA935" s="0" t="inlineStr">
        <is>
          <t>서울시 강동구 둔촌동 435-7</t>
        </is>
      </c>
      <c r="AB935" s="0" t="inlineStr">
        <is>
          <t>서울시</t>
        </is>
      </c>
      <c r="AC935" s="0" t="inlineStr">
        <is>
          <t>강동구</t>
        </is>
      </c>
      <c r="AD935" s="0" t="inlineStr">
        <is>
          <t>둔촌동</t>
        </is>
      </c>
      <c r="AG935" s="0" t="inlineStr">
        <is>
          <t>서울시 강동구 천호대로 1156-12</t>
        </is>
      </c>
      <c r="AH935" s="0" t="n">
        <v>0</v>
      </c>
      <c r="AI935" s="0" t="n">
        <v>0</v>
      </c>
      <c r="AJ935" s="0" t="n">
        <v>0</v>
      </c>
      <c r="AK935" s="0" t="n">
        <v>176</v>
      </c>
      <c r="AL935" s="0" t="n">
        <v>1.4</v>
      </c>
    </row>
    <row r="936">
      <c r="A936" s="0" t="inlineStr">
        <is>
          <t>[둔촌동]</t>
        </is>
      </c>
      <c r="B936" s="0" t="n">
        <v>22177</v>
      </c>
      <c r="C936" s="0" t="n">
        <v>2</v>
      </c>
      <c r="D936" s="0" t="inlineStr">
        <is>
          <t>광남캐스빌(435-7)</t>
        </is>
      </c>
      <c r="E936" s="0" t="inlineStr">
        <is>
          <t>2004.10.</t>
        </is>
      </c>
      <c r="F936" s="0" t="n">
        <v>126</v>
      </c>
      <c r="G936" s="0" t="n">
        <v>27.92</v>
      </c>
      <c r="H936" s="0" t="n">
        <v>92.31</v>
      </c>
      <c r="I936" s="0" t="n">
        <v>23.07</v>
      </c>
      <c r="J936" s="0" t="n">
        <v>76.28</v>
      </c>
      <c r="K936" s="0" t="n">
        <v>1</v>
      </c>
      <c r="T936" s="0" t="n">
        <v>3</v>
      </c>
      <c r="U936" s="0" t="n">
        <v>2</v>
      </c>
      <c r="V936" s="0" t="inlineStr">
        <is>
          <t>계단식</t>
        </is>
      </c>
      <c r="W936" s="0" t="n">
        <v>92</v>
      </c>
      <c r="X936" s="0" t="n">
        <v>15</v>
      </c>
      <c r="Y936" s="0" t="n">
        <v>13</v>
      </c>
      <c r="Z936" s="0" t="inlineStr">
        <is>
          <t>https://new.land.naver.com/complexes/22177?tab=detail&amp;rf=Y</t>
        </is>
      </c>
      <c r="AA936" s="0" t="inlineStr">
        <is>
          <t>서울시 강동구 둔촌동 435-7</t>
        </is>
      </c>
      <c r="AB936" s="0" t="inlineStr">
        <is>
          <t>서울시</t>
        </is>
      </c>
      <c r="AC936" s="0" t="inlineStr">
        <is>
          <t>강동구</t>
        </is>
      </c>
      <c r="AD936" s="0" t="inlineStr">
        <is>
          <t>둔촌동</t>
        </is>
      </c>
      <c r="AG936" s="0" t="inlineStr">
        <is>
          <t>서울시 강동구 천호대로 1156-12</t>
        </is>
      </c>
      <c r="AH936" s="0" t="n">
        <v>0</v>
      </c>
      <c r="AI936" s="0" t="n">
        <v>0</v>
      </c>
      <c r="AJ936" s="0" t="n">
        <v>0</v>
      </c>
      <c r="AK936" s="0" t="n">
        <v>176</v>
      </c>
      <c r="AL936" s="0" t="n">
        <v>1.4</v>
      </c>
    </row>
    <row r="937">
      <c r="A937" s="0" t="inlineStr">
        <is>
          <t>[둔촌동]</t>
        </is>
      </c>
      <c r="B937" s="0" t="n">
        <v>22177</v>
      </c>
      <c r="C937" s="0" t="n">
        <v>3</v>
      </c>
      <c r="D937" s="0" t="inlineStr">
        <is>
          <t>광남캐스빌(435-7)</t>
        </is>
      </c>
      <c r="E937" s="0" t="inlineStr">
        <is>
          <t>2004.10.</t>
        </is>
      </c>
      <c r="F937" s="0" t="n">
        <v>126</v>
      </c>
      <c r="G937" s="0" t="n">
        <v>31.03</v>
      </c>
      <c r="H937" s="0" t="n">
        <v>102.58</v>
      </c>
      <c r="I937" s="0" t="n">
        <v>25.4</v>
      </c>
      <c r="J937" s="0" t="n">
        <v>83.97</v>
      </c>
      <c r="K937" s="0" t="n">
        <v>29</v>
      </c>
      <c r="T937" s="0" t="n">
        <v>3</v>
      </c>
      <c r="U937" s="0" t="n">
        <v>2</v>
      </c>
      <c r="V937" s="0" t="inlineStr">
        <is>
          <t>계단식</t>
        </is>
      </c>
      <c r="W937" s="0" t="inlineStr">
        <is>
          <t>102A</t>
        </is>
      </c>
      <c r="X937" s="0" t="n">
        <v>15</v>
      </c>
      <c r="Y937" s="0" t="n">
        <v>13</v>
      </c>
      <c r="Z937" s="0" t="inlineStr">
        <is>
          <t>https://new.land.naver.com/complexes/22177?tab=detail&amp;rf=Y</t>
        </is>
      </c>
      <c r="AA937" s="0" t="inlineStr">
        <is>
          <t>서울시 강동구 둔촌동 435-7</t>
        </is>
      </c>
      <c r="AB937" s="0" t="inlineStr">
        <is>
          <t>서울시</t>
        </is>
      </c>
      <c r="AC937" s="0" t="inlineStr">
        <is>
          <t>강동구</t>
        </is>
      </c>
      <c r="AD937" s="0" t="inlineStr">
        <is>
          <t>둔촌동</t>
        </is>
      </c>
      <c r="AG937" s="0" t="inlineStr">
        <is>
          <t>서울시 강동구 천호대로 1156-12</t>
        </is>
      </c>
      <c r="AH937" s="0" t="n">
        <v>0</v>
      </c>
      <c r="AI937" s="0" t="n">
        <v>0</v>
      </c>
      <c r="AJ937" s="0" t="n">
        <v>0</v>
      </c>
      <c r="AK937" s="0" t="n">
        <v>176</v>
      </c>
      <c r="AL937" s="0" t="n">
        <v>1.4</v>
      </c>
    </row>
    <row r="938">
      <c r="A938" s="0" t="inlineStr">
        <is>
          <t>[둔촌동]</t>
        </is>
      </c>
      <c r="B938" s="0" t="n">
        <v>22177</v>
      </c>
      <c r="C938" s="0" t="n">
        <v>4</v>
      </c>
      <c r="D938" s="0" t="inlineStr">
        <is>
          <t>광남캐스빌(435-7)</t>
        </is>
      </c>
      <c r="E938" s="0" t="inlineStr">
        <is>
          <t>2004.10.</t>
        </is>
      </c>
      <c r="F938" s="0" t="n">
        <v>126</v>
      </c>
      <c r="G938" s="0" t="n">
        <v>31.03</v>
      </c>
      <c r="H938" s="0" t="n">
        <v>102.58</v>
      </c>
      <c r="I938" s="0" t="n">
        <v>25.4</v>
      </c>
      <c r="J938" s="0" t="n">
        <v>83.97</v>
      </c>
      <c r="K938" s="0" t="n">
        <v>29</v>
      </c>
      <c r="T938" s="0" t="n">
        <v>3</v>
      </c>
      <c r="U938" s="0" t="n">
        <v>2</v>
      </c>
      <c r="V938" s="0" t="inlineStr">
        <is>
          <t>계단식</t>
        </is>
      </c>
      <c r="W938" s="0" t="inlineStr">
        <is>
          <t>102B</t>
        </is>
      </c>
      <c r="X938" s="0" t="n">
        <v>15</v>
      </c>
      <c r="Y938" s="0" t="n">
        <v>13</v>
      </c>
      <c r="Z938" s="0" t="inlineStr">
        <is>
          <t>https://new.land.naver.com/complexes/22177?tab=detail&amp;rf=Y</t>
        </is>
      </c>
      <c r="AA938" s="0" t="inlineStr">
        <is>
          <t>서울시 강동구 둔촌동 435-7</t>
        </is>
      </c>
      <c r="AB938" s="0" t="inlineStr">
        <is>
          <t>서울시</t>
        </is>
      </c>
      <c r="AC938" s="0" t="inlineStr">
        <is>
          <t>강동구</t>
        </is>
      </c>
      <c r="AD938" s="0" t="inlineStr">
        <is>
          <t>둔촌동</t>
        </is>
      </c>
      <c r="AG938" s="0" t="inlineStr">
        <is>
          <t>서울시 강동구 천호대로 1156-12</t>
        </is>
      </c>
      <c r="AH938" s="0" t="n">
        <v>0</v>
      </c>
      <c r="AI938" s="0" t="n">
        <v>0</v>
      </c>
      <c r="AJ938" s="0" t="n">
        <v>0</v>
      </c>
      <c r="AK938" s="0" t="n">
        <v>176</v>
      </c>
      <c r="AL938" s="0" t="n">
        <v>1.4</v>
      </c>
    </row>
    <row r="939">
      <c r="A939" s="0" t="inlineStr">
        <is>
          <t>[둔촌동]</t>
        </is>
      </c>
      <c r="B939" s="0" t="n">
        <v>22177</v>
      </c>
      <c r="C939" s="0" t="n">
        <v>5</v>
      </c>
      <c r="D939" s="0" t="inlineStr">
        <is>
          <t>광남캐스빌(435-7)</t>
        </is>
      </c>
      <c r="E939" s="0" t="inlineStr">
        <is>
          <t>2004.10.</t>
        </is>
      </c>
      <c r="F939" s="0" t="n">
        <v>126</v>
      </c>
      <c r="G939" s="0" t="n">
        <v>30.88</v>
      </c>
      <c r="H939" s="0" t="n">
        <v>102.09</v>
      </c>
      <c r="I939" s="0" t="n">
        <v>25.63</v>
      </c>
      <c r="J939" s="0" t="n">
        <v>84.75</v>
      </c>
      <c r="K939" s="0" t="n">
        <v>14</v>
      </c>
      <c r="T939" s="0" t="n">
        <v>3</v>
      </c>
      <c r="U939" s="0" t="n">
        <v>2</v>
      </c>
      <c r="V939" s="0" t="inlineStr">
        <is>
          <t>계단식</t>
        </is>
      </c>
      <c r="W939" s="0" t="inlineStr">
        <is>
          <t>102D</t>
        </is>
      </c>
      <c r="X939" s="0" t="n">
        <v>15</v>
      </c>
      <c r="Y939" s="0" t="n">
        <v>13</v>
      </c>
      <c r="Z939" s="0" t="inlineStr">
        <is>
          <t>https://new.land.naver.com/complexes/22177?tab=detail&amp;rf=Y</t>
        </is>
      </c>
      <c r="AA939" s="0" t="inlineStr">
        <is>
          <t>서울시 강동구 둔촌동 435-7</t>
        </is>
      </c>
      <c r="AB939" s="0" t="inlineStr">
        <is>
          <t>서울시</t>
        </is>
      </c>
      <c r="AC939" s="0" t="inlineStr">
        <is>
          <t>강동구</t>
        </is>
      </c>
      <c r="AD939" s="0" t="inlineStr">
        <is>
          <t>둔촌동</t>
        </is>
      </c>
      <c r="AG939" s="0" t="inlineStr">
        <is>
          <t>서울시 강동구 천호대로 1156-12</t>
        </is>
      </c>
      <c r="AH939" s="0" t="n">
        <v>0</v>
      </c>
      <c r="AI939" s="0" t="n">
        <v>0</v>
      </c>
      <c r="AJ939" s="0" t="n">
        <v>0</v>
      </c>
      <c r="AK939" s="0" t="n">
        <v>176</v>
      </c>
      <c r="AL939" s="0" t="n">
        <v>1.4</v>
      </c>
    </row>
    <row r="940">
      <c r="A940" s="0" t="inlineStr">
        <is>
          <t>[둔촌동]</t>
        </is>
      </c>
      <c r="B940" s="0" t="n">
        <v>22177</v>
      </c>
      <c r="C940" s="0" t="n">
        <v>6</v>
      </c>
      <c r="D940" s="0" t="inlineStr">
        <is>
          <t>광남캐스빌(435-7)</t>
        </is>
      </c>
      <c r="E940" s="0" t="inlineStr">
        <is>
          <t>2004.10.</t>
        </is>
      </c>
      <c r="F940" s="0" t="n">
        <v>126</v>
      </c>
      <c r="G940" s="0" t="n">
        <v>30.89</v>
      </c>
      <c r="H940" s="0" t="n">
        <v>102.13</v>
      </c>
      <c r="I940" s="0" t="n">
        <v>25.64</v>
      </c>
      <c r="J940" s="0" t="n">
        <v>84.77</v>
      </c>
      <c r="K940" s="0" t="n">
        <v>14</v>
      </c>
      <c r="T940" s="0" t="n">
        <v>3</v>
      </c>
      <c r="U940" s="0" t="n">
        <v>2</v>
      </c>
      <c r="V940" s="0" t="inlineStr">
        <is>
          <t>계단식</t>
        </is>
      </c>
      <c r="W940" s="0" t="inlineStr">
        <is>
          <t>102E</t>
        </is>
      </c>
      <c r="X940" s="0" t="n">
        <v>15</v>
      </c>
      <c r="Y940" s="0" t="n">
        <v>13</v>
      </c>
      <c r="Z940" s="0" t="inlineStr">
        <is>
          <t>https://new.land.naver.com/complexes/22177?tab=detail&amp;rf=Y</t>
        </is>
      </c>
      <c r="AA940" s="0" t="inlineStr">
        <is>
          <t>서울시 강동구 둔촌동 435-7</t>
        </is>
      </c>
      <c r="AB940" s="0" t="inlineStr">
        <is>
          <t>서울시</t>
        </is>
      </c>
      <c r="AC940" s="0" t="inlineStr">
        <is>
          <t>강동구</t>
        </is>
      </c>
      <c r="AD940" s="0" t="inlineStr">
        <is>
          <t>둔촌동</t>
        </is>
      </c>
      <c r="AG940" s="0" t="inlineStr">
        <is>
          <t>서울시 강동구 천호대로 1156-12</t>
        </is>
      </c>
      <c r="AH940" s="0" t="n">
        <v>0</v>
      </c>
      <c r="AI940" s="0" t="n">
        <v>0</v>
      </c>
      <c r="AJ940" s="0" t="n">
        <v>0</v>
      </c>
      <c r="AK940" s="0" t="n">
        <v>176</v>
      </c>
      <c r="AL940" s="0" t="n">
        <v>1.4</v>
      </c>
    </row>
    <row r="941">
      <c r="A941" s="0" t="inlineStr">
        <is>
          <t>[둔촌동]</t>
        </is>
      </c>
      <c r="B941" s="0" t="n">
        <v>22177</v>
      </c>
      <c r="C941" s="0" t="n">
        <v>7</v>
      </c>
      <c r="D941" s="0" t="inlineStr">
        <is>
          <t>광남캐스빌(435-7)</t>
        </is>
      </c>
      <c r="E941" s="0" t="inlineStr">
        <is>
          <t>2004.10.</t>
        </is>
      </c>
      <c r="F941" s="0" t="n">
        <v>126</v>
      </c>
      <c r="G941" s="0" t="n">
        <v>31.02</v>
      </c>
      <c r="H941" s="0" t="n">
        <v>102.55</v>
      </c>
      <c r="I941" s="0" t="n">
        <v>25.59</v>
      </c>
      <c r="J941" s="0" t="n">
        <v>84.61</v>
      </c>
      <c r="K941" s="0" t="n">
        <v>10</v>
      </c>
      <c r="T941" s="0" t="n">
        <v>3</v>
      </c>
      <c r="U941" s="0" t="n">
        <v>2</v>
      </c>
      <c r="V941" s="0" t="inlineStr">
        <is>
          <t>계단식</t>
        </is>
      </c>
      <c r="W941" s="0" t="inlineStr">
        <is>
          <t>102C</t>
        </is>
      </c>
      <c r="X941" s="0" t="n">
        <v>15</v>
      </c>
      <c r="Y941" s="0" t="n">
        <v>13</v>
      </c>
      <c r="Z941" s="0" t="inlineStr">
        <is>
          <t>https://new.land.naver.com/complexes/22177?tab=detail&amp;rf=Y</t>
        </is>
      </c>
      <c r="AA941" s="0" t="inlineStr">
        <is>
          <t>서울시 강동구 둔촌동 435-7</t>
        </is>
      </c>
      <c r="AB941" s="0" t="inlineStr">
        <is>
          <t>서울시</t>
        </is>
      </c>
      <c r="AC941" s="0" t="inlineStr">
        <is>
          <t>강동구</t>
        </is>
      </c>
      <c r="AD941" s="0" t="inlineStr">
        <is>
          <t>둔촌동</t>
        </is>
      </c>
      <c r="AG941" s="0" t="inlineStr">
        <is>
          <t>서울시 강동구 천호대로 1156-12</t>
        </is>
      </c>
      <c r="AH941" s="0" t="n">
        <v>0</v>
      </c>
      <c r="AI941" s="0" t="n">
        <v>0</v>
      </c>
      <c r="AJ941" s="0" t="n">
        <v>0</v>
      </c>
      <c r="AK941" s="0" t="n">
        <v>176</v>
      </c>
      <c r="AL941" s="0" t="n">
        <v>1.4</v>
      </c>
    </row>
    <row r="942">
      <c r="A942" s="0" t="inlineStr">
        <is>
          <t>[둔촌동]</t>
        </is>
      </c>
      <c r="B942" s="0" t="n">
        <v>22177</v>
      </c>
      <c r="C942" s="0" t="n">
        <v>8</v>
      </c>
      <c r="D942" s="0" t="inlineStr">
        <is>
          <t>광남캐스빌(435-7)</t>
        </is>
      </c>
      <c r="E942" s="0" t="inlineStr">
        <is>
          <t>2004.10.</t>
        </is>
      </c>
      <c r="F942" s="0" t="n">
        <v>126</v>
      </c>
      <c r="G942" s="0" t="n">
        <v>32.79</v>
      </c>
      <c r="H942" s="0" t="n">
        <v>108.42</v>
      </c>
      <c r="I942" s="0" t="n">
        <v>25.66</v>
      </c>
      <c r="J942" s="0" t="n">
        <v>84.84</v>
      </c>
      <c r="K942" s="0" t="n">
        <v>14</v>
      </c>
      <c r="T942" s="0" t="n">
        <v>3</v>
      </c>
      <c r="U942" s="0" t="n">
        <v>2</v>
      </c>
      <c r="V942" s="0" t="inlineStr">
        <is>
          <t>계단식</t>
        </is>
      </c>
      <c r="W942" s="0" t="n">
        <v>108</v>
      </c>
      <c r="X942" s="0" t="n">
        <v>15</v>
      </c>
      <c r="Y942" s="0" t="n">
        <v>13</v>
      </c>
      <c r="Z942" s="0" t="inlineStr">
        <is>
          <t>https://new.land.naver.com/complexes/22177?tab=detail&amp;rf=Y</t>
        </is>
      </c>
      <c r="AA942" s="0" t="inlineStr">
        <is>
          <t>서울시 강동구 둔촌동 435-7</t>
        </is>
      </c>
      <c r="AB942" s="0" t="inlineStr">
        <is>
          <t>서울시</t>
        </is>
      </c>
      <c r="AC942" s="0" t="inlineStr">
        <is>
          <t>강동구</t>
        </is>
      </c>
      <c r="AD942" s="0" t="inlineStr">
        <is>
          <t>둔촌동</t>
        </is>
      </c>
      <c r="AG942" s="0" t="inlineStr">
        <is>
          <t>서울시 강동구 천호대로 1156-12</t>
        </is>
      </c>
      <c r="AH942" s="0" t="n">
        <v>0</v>
      </c>
      <c r="AI942" s="0" t="n">
        <v>0</v>
      </c>
      <c r="AJ942" s="0" t="n">
        <v>0</v>
      </c>
      <c r="AK942" s="0" t="n">
        <v>176</v>
      </c>
      <c r="AL942" s="0" t="n">
        <v>1.4</v>
      </c>
    </row>
    <row r="943">
      <c r="A943" s="0" t="inlineStr">
        <is>
          <t>[둔촌동]</t>
        </is>
      </c>
      <c r="B943" s="0" t="n">
        <v>22177</v>
      </c>
      <c r="C943" s="0" t="n">
        <v>9</v>
      </c>
      <c r="D943" s="0" t="inlineStr">
        <is>
          <t>광남캐스빌(435-7)</t>
        </is>
      </c>
      <c r="E943" s="0" t="inlineStr">
        <is>
          <t>2004.10.</t>
        </is>
      </c>
      <c r="F943" s="0" t="n">
        <v>126</v>
      </c>
      <c r="G943" s="0" t="n">
        <v>43.04</v>
      </c>
      <c r="H943" s="0" t="n">
        <v>142.29</v>
      </c>
      <c r="I943" s="0" t="n">
        <v>33.68</v>
      </c>
      <c r="J943" s="0" t="n">
        <v>111.34</v>
      </c>
      <c r="K943" s="0" t="n">
        <v>14</v>
      </c>
      <c r="T943" s="0" t="n">
        <v>4</v>
      </c>
      <c r="U943" s="0" t="n">
        <v>2</v>
      </c>
      <c r="V943" s="0" t="inlineStr">
        <is>
          <t>계단식</t>
        </is>
      </c>
      <c r="W943" s="0" t="n">
        <v>142</v>
      </c>
      <c r="X943" s="0" t="n">
        <v>15</v>
      </c>
      <c r="Y943" s="0" t="n">
        <v>13</v>
      </c>
      <c r="Z943" s="0" t="inlineStr">
        <is>
          <t>https://new.land.naver.com/complexes/22177?tab=detail&amp;rf=Y</t>
        </is>
      </c>
      <c r="AA943" s="0" t="inlineStr">
        <is>
          <t>서울시 강동구 둔촌동 435-7</t>
        </is>
      </c>
      <c r="AB943" s="0" t="inlineStr">
        <is>
          <t>서울시</t>
        </is>
      </c>
      <c r="AC943" s="0" t="inlineStr">
        <is>
          <t>강동구</t>
        </is>
      </c>
      <c r="AD943" s="0" t="inlineStr">
        <is>
          <t>둔촌동</t>
        </is>
      </c>
      <c r="AG943" s="0" t="inlineStr">
        <is>
          <t>서울시 강동구 천호대로 1156-12</t>
        </is>
      </c>
      <c r="AH943" s="0" t="n">
        <v>0</v>
      </c>
      <c r="AI943" s="0" t="n">
        <v>0</v>
      </c>
      <c r="AJ943" s="0" t="n">
        <v>0</v>
      </c>
      <c r="AK943" s="0" t="n">
        <v>176</v>
      </c>
      <c r="AL943" s="0" t="n">
        <v>1.4</v>
      </c>
    </row>
    <row r="944">
      <c r="A944" s="0" t="inlineStr">
        <is>
          <t>[둔촌동]</t>
        </is>
      </c>
      <c r="B944" s="0" t="n">
        <v>3071</v>
      </c>
      <c r="C944" s="0" t="n">
        <v>1</v>
      </c>
      <c r="D944" s="0" t="inlineStr">
        <is>
          <t>둔촌신성미소지움2차</t>
        </is>
      </c>
      <c r="E944" s="0" t="inlineStr">
        <is>
          <t>2000.12.</t>
        </is>
      </c>
      <c r="F944" s="0" t="n">
        <v>278</v>
      </c>
      <c r="G944" s="0" t="n">
        <v>25.53</v>
      </c>
      <c r="H944" s="0" t="n">
        <v>84.42</v>
      </c>
      <c r="I944" s="0" t="n">
        <v>18.11</v>
      </c>
      <c r="J944" s="0" t="n">
        <v>59.88</v>
      </c>
      <c r="K944" s="0" t="n">
        <v>72</v>
      </c>
      <c r="T944" s="0" t="n">
        <v>3</v>
      </c>
      <c r="U944" s="0" t="n">
        <v>1</v>
      </c>
      <c r="V944" s="0" t="inlineStr">
        <is>
          <t>복도식</t>
        </is>
      </c>
      <c r="W944" s="0" t="n">
        <v>84</v>
      </c>
      <c r="X944" s="0" t="n">
        <v>22</v>
      </c>
      <c r="Y944" s="0" t="n">
        <v>14</v>
      </c>
      <c r="Z944" s="0" t="inlineStr">
        <is>
          <t>https://new.land.naver.com/complexes/3071?tab=detail&amp;rf=Y</t>
        </is>
      </c>
      <c r="AA944" s="0" t="inlineStr">
        <is>
          <t>서울시 강동구 둔촌동 134-10</t>
        </is>
      </c>
      <c r="AB944" s="0" t="inlineStr">
        <is>
          <t>서울시</t>
        </is>
      </c>
      <c r="AC944" s="0" t="inlineStr">
        <is>
          <t>강동구</t>
        </is>
      </c>
      <c r="AD944" s="0" t="inlineStr">
        <is>
          <t>둔촌동</t>
        </is>
      </c>
      <c r="AG944" s="0" t="inlineStr">
        <is>
          <t>서울시 강동구 진황도로 212</t>
        </is>
      </c>
      <c r="AH944" s="0" t="n">
        <v>0</v>
      </c>
      <c r="AI944" s="0" t="n">
        <v>302</v>
      </c>
      <c r="AJ944" s="0" t="n">
        <v>21</v>
      </c>
      <c r="AK944" s="0" t="n">
        <v>348</v>
      </c>
      <c r="AL944" s="0" t="n">
        <v>1.25</v>
      </c>
    </row>
    <row r="945">
      <c r="A945" s="0" t="inlineStr">
        <is>
          <t>[둔촌동]</t>
        </is>
      </c>
      <c r="B945" s="0" t="n">
        <v>3071</v>
      </c>
      <c r="C945" s="0" t="n">
        <v>2</v>
      </c>
      <c r="D945" s="0" t="inlineStr">
        <is>
          <t>둔촌신성미소지움2차</t>
        </is>
      </c>
      <c r="E945" s="0" t="inlineStr">
        <is>
          <t>2000.12.</t>
        </is>
      </c>
      <c r="F945" s="0" t="n">
        <v>278</v>
      </c>
      <c r="G945" s="0" t="n">
        <v>33.11</v>
      </c>
      <c r="H945" s="0" t="n">
        <v>109.48</v>
      </c>
      <c r="I945" s="0" t="n">
        <v>25.64</v>
      </c>
      <c r="J945" s="0" t="n">
        <v>84.78</v>
      </c>
      <c r="K945" s="0" t="n">
        <v>146</v>
      </c>
      <c r="T945" s="0" t="n">
        <v>3</v>
      </c>
      <c r="U945" s="0" t="n">
        <v>2</v>
      </c>
      <c r="V945" s="0" t="inlineStr">
        <is>
          <t>계단식</t>
        </is>
      </c>
      <c r="W945" s="0" t="n">
        <v>109</v>
      </c>
      <c r="X945" s="0" t="n">
        <v>22</v>
      </c>
      <c r="Y945" s="0" t="n">
        <v>14</v>
      </c>
      <c r="Z945" s="0" t="inlineStr">
        <is>
          <t>https://new.land.naver.com/complexes/3071?tab=detail&amp;rf=Y</t>
        </is>
      </c>
      <c r="AA945" s="0" t="inlineStr">
        <is>
          <t>서울시 강동구 둔촌동 134-10</t>
        </is>
      </c>
      <c r="AB945" s="0" t="inlineStr">
        <is>
          <t>서울시</t>
        </is>
      </c>
      <c r="AC945" s="0" t="inlineStr">
        <is>
          <t>강동구</t>
        </is>
      </c>
      <c r="AD945" s="0" t="inlineStr">
        <is>
          <t>둔촌동</t>
        </is>
      </c>
      <c r="AG945" s="0" t="inlineStr">
        <is>
          <t>서울시 강동구 진황도로 212</t>
        </is>
      </c>
      <c r="AH945" s="0" t="n">
        <v>0</v>
      </c>
      <c r="AI945" s="0" t="n">
        <v>302</v>
      </c>
      <c r="AJ945" s="0" t="n">
        <v>21</v>
      </c>
      <c r="AK945" s="0" t="n">
        <v>348</v>
      </c>
      <c r="AL945" s="0" t="n">
        <v>1.25</v>
      </c>
    </row>
    <row r="946">
      <c r="A946" s="0" t="inlineStr">
        <is>
          <t>[둔촌동]</t>
        </is>
      </c>
      <c r="B946" s="0" t="n">
        <v>3071</v>
      </c>
      <c r="C946" s="0" t="n">
        <v>3</v>
      </c>
      <c r="D946" s="0" t="inlineStr">
        <is>
          <t>둔촌신성미소지움2차</t>
        </is>
      </c>
      <c r="E946" s="0" t="inlineStr">
        <is>
          <t>2000.12.</t>
        </is>
      </c>
      <c r="F946" s="0" t="n">
        <v>278</v>
      </c>
      <c r="G946" s="0" t="n">
        <v>43.44</v>
      </c>
      <c r="H946" s="0" t="n">
        <v>143.61</v>
      </c>
      <c r="I946" s="0" t="n">
        <v>34.7</v>
      </c>
      <c r="J946" s="0" t="n">
        <v>114.72</v>
      </c>
      <c r="K946" s="0" t="n">
        <v>40</v>
      </c>
      <c r="T946" s="0" t="n">
        <v>4</v>
      </c>
      <c r="U946" s="0" t="n">
        <v>2</v>
      </c>
      <c r="V946" s="0" t="inlineStr">
        <is>
          <t>계단식</t>
        </is>
      </c>
      <c r="W946" s="0" t="n">
        <v>143</v>
      </c>
      <c r="X946" s="0" t="n">
        <v>22</v>
      </c>
      <c r="Y946" s="0" t="n">
        <v>14</v>
      </c>
      <c r="Z946" s="0" t="inlineStr">
        <is>
          <t>https://new.land.naver.com/complexes/3071?tab=detail&amp;rf=Y</t>
        </is>
      </c>
      <c r="AA946" s="0" t="inlineStr">
        <is>
          <t>서울시 강동구 둔촌동 134-10</t>
        </is>
      </c>
      <c r="AB946" s="0" t="inlineStr">
        <is>
          <t>서울시</t>
        </is>
      </c>
      <c r="AC946" s="0" t="inlineStr">
        <is>
          <t>강동구</t>
        </is>
      </c>
      <c r="AD946" s="0" t="inlineStr">
        <is>
          <t>둔촌동</t>
        </is>
      </c>
      <c r="AG946" s="0" t="inlineStr">
        <is>
          <t>서울시 강동구 진황도로 212</t>
        </is>
      </c>
      <c r="AH946" s="0" t="n">
        <v>0</v>
      </c>
      <c r="AI946" s="0" t="n">
        <v>302</v>
      </c>
      <c r="AJ946" s="0" t="n">
        <v>21</v>
      </c>
      <c r="AK946" s="0" t="n">
        <v>348</v>
      </c>
      <c r="AL946" s="0" t="n">
        <v>1.25</v>
      </c>
    </row>
    <row r="947">
      <c r="A947" s="0" t="inlineStr">
        <is>
          <t>[둔촌동]</t>
        </is>
      </c>
      <c r="B947" s="0" t="n">
        <v>3071</v>
      </c>
      <c r="C947" s="0" t="n">
        <v>4</v>
      </c>
      <c r="D947" s="0" t="inlineStr">
        <is>
          <t>둔촌신성미소지움2차</t>
        </is>
      </c>
      <c r="E947" s="0" t="inlineStr">
        <is>
          <t>2000.12.</t>
        </is>
      </c>
      <c r="F947" s="0" t="n">
        <v>278</v>
      </c>
      <c r="G947" s="0" t="n">
        <v>44.1</v>
      </c>
      <c r="H947" s="0" t="n">
        <v>145.8</v>
      </c>
      <c r="I947" s="0" t="n">
        <v>34.74</v>
      </c>
      <c r="J947" s="0" t="n">
        <v>114.87</v>
      </c>
      <c r="K947" s="0" t="n">
        <v>20</v>
      </c>
      <c r="T947" s="0" t="n">
        <v>4</v>
      </c>
      <c r="U947" s="0" t="n">
        <v>2</v>
      </c>
      <c r="V947" s="0" t="inlineStr">
        <is>
          <t>계단식</t>
        </is>
      </c>
      <c r="W947" s="0" t="n">
        <v>145</v>
      </c>
      <c r="X947" s="0" t="n">
        <v>22</v>
      </c>
      <c r="Y947" s="0" t="n">
        <v>14</v>
      </c>
      <c r="Z947" s="0" t="inlineStr">
        <is>
          <t>https://new.land.naver.com/complexes/3071?tab=detail&amp;rf=Y</t>
        </is>
      </c>
      <c r="AA947" s="0" t="inlineStr">
        <is>
          <t>서울시 강동구 둔촌동 134-10</t>
        </is>
      </c>
      <c r="AB947" s="0" t="inlineStr">
        <is>
          <t>서울시</t>
        </is>
      </c>
      <c r="AC947" s="0" t="inlineStr">
        <is>
          <t>강동구</t>
        </is>
      </c>
      <c r="AD947" s="0" t="inlineStr">
        <is>
          <t>둔촌동</t>
        </is>
      </c>
      <c r="AG947" s="0" t="inlineStr">
        <is>
          <t>서울시 강동구 진황도로 212</t>
        </is>
      </c>
      <c r="AH947" s="0" t="n">
        <v>0</v>
      </c>
      <c r="AI947" s="0" t="n">
        <v>302</v>
      </c>
      <c r="AJ947" s="0" t="n">
        <v>21</v>
      </c>
      <c r="AK947" s="0" t="n">
        <v>348</v>
      </c>
      <c r="AL947" s="0" t="n">
        <v>1.25</v>
      </c>
    </row>
    <row r="948">
      <c r="A948" s="0" t="inlineStr">
        <is>
          <t>[둔촌동]</t>
        </is>
      </c>
      <c r="B948" s="0" t="n">
        <v>128214</v>
      </c>
      <c r="C948" s="0" t="n">
        <v>1</v>
      </c>
      <c r="D948" s="0" t="inlineStr">
        <is>
          <t>현대수린나</t>
        </is>
      </c>
      <c r="E948" s="0" t="inlineStr">
        <is>
          <t>2019.11.</t>
        </is>
      </c>
      <c r="F948" s="0" t="n">
        <v>34</v>
      </c>
      <c r="G948" s="0" t="n">
        <v>23.99</v>
      </c>
      <c r="H948" s="0" t="n">
        <v>79.33</v>
      </c>
      <c r="I948" s="0" t="n">
        <v>20.24</v>
      </c>
      <c r="J948" s="0" t="n">
        <v>66.92</v>
      </c>
      <c r="K948" s="0" t="n">
        <v>10</v>
      </c>
      <c r="T948" s="0" t="n">
        <v>3</v>
      </c>
      <c r="U948" s="0" t="n">
        <v>2</v>
      </c>
      <c r="V948" s="0" t="inlineStr">
        <is>
          <t>계단식</t>
        </is>
      </c>
      <c r="W948" s="0" t="n">
        <v>79</v>
      </c>
      <c r="X948" s="0" t="n">
        <v>6</v>
      </c>
      <c r="Y948" s="0" t="n">
        <v>5</v>
      </c>
      <c r="Z948" s="0" t="inlineStr">
        <is>
          <t>https://new.land.naver.com/complexes/128214?tab=detail&amp;rf=Y</t>
        </is>
      </c>
      <c r="AA948" s="0" t="inlineStr">
        <is>
          <t>서울시 강동구 둔촌동 632</t>
        </is>
      </c>
      <c r="AB948" s="0" t="inlineStr">
        <is>
          <t>서울시</t>
        </is>
      </c>
      <c r="AC948" s="0" t="inlineStr">
        <is>
          <t>강동구</t>
        </is>
      </c>
      <c r="AD948" s="0" t="inlineStr">
        <is>
          <t>둔촌동</t>
        </is>
      </c>
      <c r="AG948" s="0" t="inlineStr">
        <is>
          <t>서울시 강동구 동남로49길 77</t>
        </is>
      </c>
      <c r="AH948" s="0" t="n">
        <v>0</v>
      </c>
      <c r="AI948" s="0" t="n">
        <v>199</v>
      </c>
      <c r="AJ948" s="0" t="n">
        <v>43</v>
      </c>
      <c r="AK948" s="0" t="n">
        <v>34</v>
      </c>
      <c r="AL948" s="0" t="n">
        <v>1</v>
      </c>
    </row>
    <row r="949">
      <c r="A949" s="0" t="inlineStr">
        <is>
          <t>[둔촌동]</t>
        </is>
      </c>
      <c r="B949" s="0" t="n">
        <v>128214</v>
      </c>
      <c r="C949" s="0" t="n">
        <v>2</v>
      </c>
      <c r="D949" s="0" t="inlineStr">
        <is>
          <t>현대수린나</t>
        </is>
      </c>
      <c r="E949" s="0" t="inlineStr">
        <is>
          <t>2019.11.</t>
        </is>
      </c>
      <c r="F949" s="0" t="n">
        <v>34</v>
      </c>
      <c r="G949" s="0" t="n">
        <v>26.03</v>
      </c>
      <c r="H949" s="0" t="n">
        <v>86.05</v>
      </c>
      <c r="I949" s="0" t="n">
        <v>22.09</v>
      </c>
      <c r="J949" s="0" t="n">
        <v>73.05</v>
      </c>
      <c r="K949" s="0" t="n">
        <v>3</v>
      </c>
      <c r="T949" s="0" t="n">
        <v>3</v>
      </c>
      <c r="U949" s="0" t="n">
        <v>2</v>
      </c>
      <c r="V949" s="0" t="inlineStr">
        <is>
          <t>계단식</t>
        </is>
      </c>
      <c r="W949" s="0" t="n">
        <v>86</v>
      </c>
      <c r="X949" s="0" t="n">
        <v>6</v>
      </c>
      <c r="Y949" s="0" t="n">
        <v>5</v>
      </c>
      <c r="Z949" s="0" t="inlineStr">
        <is>
          <t>https://new.land.naver.com/complexes/128214?tab=detail&amp;rf=Y</t>
        </is>
      </c>
      <c r="AA949" s="0" t="inlineStr">
        <is>
          <t>서울시 강동구 둔촌동 632</t>
        </is>
      </c>
      <c r="AB949" s="0" t="inlineStr">
        <is>
          <t>서울시</t>
        </is>
      </c>
      <c r="AC949" s="0" t="inlineStr">
        <is>
          <t>강동구</t>
        </is>
      </c>
      <c r="AD949" s="0" t="inlineStr">
        <is>
          <t>둔촌동</t>
        </is>
      </c>
      <c r="AG949" s="0" t="inlineStr">
        <is>
          <t>서울시 강동구 동남로49길 77</t>
        </is>
      </c>
      <c r="AH949" s="0" t="n">
        <v>0</v>
      </c>
      <c r="AI949" s="0" t="n">
        <v>199</v>
      </c>
      <c r="AJ949" s="0" t="n">
        <v>43</v>
      </c>
      <c r="AK949" s="0" t="n">
        <v>34</v>
      </c>
      <c r="AL949" s="0" t="n">
        <v>1</v>
      </c>
    </row>
    <row r="950">
      <c r="A950" s="0" t="inlineStr">
        <is>
          <t>[둔촌동]</t>
        </is>
      </c>
      <c r="B950" s="0" t="n">
        <v>128214</v>
      </c>
      <c r="C950" s="0" t="n">
        <v>3</v>
      </c>
      <c r="D950" s="0" t="inlineStr">
        <is>
          <t>현대수린나</t>
        </is>
      </c>
      <c r="E950" s="0" t="inlineStr">
        <is>
          <t>2019.11.</t>
        </is>
      </c>
      <c r="F950" s="0" t="n">
        <v>34</v>
      </c>
      <c r="G950" s="0" t="n">
        <v>27.25</v>
      </c>
      <c r="H950" s="0" t="n">
        <v>90.09999999999999</v>
      </c>
      <c r="I950" s="0" t="n">
        <v>23.17</v>
      </c>
      <c r="J950" s="0" t="n">
        <v>76.59999999999999</v>
      </c>
      <c r="K950" s="0" t="n">
        <v>1</v>
      </c>
      <c r="T950" s="0" t="n">
        <v>3</v>
      </c>
      <c r="U950" s="0" t="n">
        <v>2</v>
      </c>
      <c r="V950" s="0" t="inlineStr">
        <is>
          <t>계단식</t>
        </is>
      </c>
      <c r="W950" s="0" t="n">
        <v>90</v>
      </c>
      <c r="X950" s="0" t="n">
        <v>6</v>
      </c>
      <c r="Y950" s="0" t="n">
        <v>5</v>
      </c>
      <c r="Z950" s="0" t="inlineStr">
        <is>
          <t>https://new.land.naver.com/complexes/128214?tab=detail&amp;rf=Y</t>
        </is>
      </c>
      <c r="AA950" s="0" t="inlineStr">
        <is>
          <t>서울시 강동구 둔촌동 632</t>
        </is>
      </c>
      <c r="AB950" s="0" t="inlineStr">
        <is>
          <t>서울시</t>
        </is>
      </c>
      <c r="AC950" s="0" t="inlineStr">
        <is>
          <t>강동구</t>
        </is>
      </c>
      <c r="AD950" s="0" t="inlineStr">
        <is>
          <t>둔촌동</t>
        </is>
      </c>
      <c r="AG950" s="0" t="inlineStr">
        <is>
          <t>서울시 강동구 동남로49길 77</t>
        </is>
      </c>
      <c r="AH950" s="0" t="n">
        <v>0</v>
      </c>
      <c r="AI950" s="0" t="n">
        <v>199</v>
      </c>
      <c r="AJ950" s="0" t="n">
        <v>43</v>
      </c>
      <c r="AK950" s="0" t="n">
        <v>34</v>
      </c>
      <c r="AL950" s="0" t="n">
        <v>1</v>
      </c>
    </row>
    <row r="951">
      <c r="A951" s="0" t="inlineStr">
        <is>
          <t>[둔촌동]</t>
        </is>
      </c>
      <c r="B951" s="0" t="n">
        <v>128214</v>
      </c>
      <c r="C951" s="0" t="n">
        <v>4</v>
      </c>
      <c r="D951" s="0" t="inlineStr">
        <is>
          <t>현대수린나</t>
        </is>
      </c>
      <c r="E951" s="0" t="inlineStr">
        <is>
          <t>2019.11.</t>
        </is>
      </c>
      <c r="F951" s="0" t="n">
        <v>34</v>
      </c>
      <c r="G951" s="0" t="n">
        <v>30.2</v>
      </c>
      <c r="H951" s="0" t="n">
        <v>99.84999999999999</v>
      </c>
      <c r="I951" s="0" t="n">
        <v>25.65</v>
      </c>
      <c r="J951" s="0" t="n">
        <v>84.81999999999999</v>
      </c>
      <c r="K951" s="0" t="n">
        <v>20</v>
      </c>
      <c r="T951" s="0" t="n">
        <v>3</v>
      </c>
      <c r="U951" s="0" t="n">
        <v>2</v>
      </c>
      <c r="V951" s="0" t="inlineStr">
        <is>
          <t>계단식</t>
        </is>
      </c>
      <c r="W951" s="0" t="n">
        <v>99</v>
      </c>
      <c r="X951" s="0" t="n">
        <v>6</v>
      </c>
      <c r="Y951" s="0" t="n">
        <v>5</v>
      </c>
      <c r="Z951" s="0" t="inlineStr">
        <is>
          <t>https://new.land.naver.com/complexes/128214?tab=detail&amp;rf=Y</t>
        </is>
      </c>
      <c r="AA951" s="0" t="inlineStr">
        <is>
          <t>서울시 강동구 둔촌동 632</t>
        </is>
      </c>
      <c r="AB951" s="0" t="inlineStr">
        <is>
          <t>서울시</t>
        </is>
      </c>
      <c r="AC951" s="0" t="inlineStr">
        <is>
          <t>강동구</t>
        </is>
      </c>
      <c r="AD951" s="0" t="inlineStr">
        <is>
          <t>둔촌동</t>
        </is>
      </c>
      <c r="AG951" s="0" t="inlineStr">
        <is>
          <t>서울시 강동구 동남로49길 77</t>
        </is>
      </c>
      <c r="AH951" s="0" t="n">
        <v>0</v>
      </c>
      <c r="AI951" s="0" t="n">
        <v>199</v>
      </c>
      <c r="AJ951" s="0" t="n">
        <v>43</v>
      </c>
      <c r="AK951" s="0" t="n">
        <v>34</v>
      </c>
      <c r="AL951" s="0" t="n">
        <v>1</v>
      </c>
    </row>
    <row r="952">
      <c r="A952" s="0" t="inlineStr">
        <is>
          <t>[둔촌동]</t>
        </is>
      </c>
      <c r="B952" s="0" t="n">
        <v>27212</v>
      </c>
      <c r="C952" s="0" t="n">
        <v>1</v>
      </c>
      <c r="D952" s="0" t="inlineStr">
        <is>
          <t>둔촌푸르지오</t>
        </is>
      </c>
      <c r="E952" s="0" t="inlineStr">
        <is>
          <t>2010.03.</t>
        </is>
      </c>
      <c r="F952" s="0" t="n">
        <v>800</v>
      </c>
      <c r="G952" s="0" t="n">
        <v>25.23</v>
      </c>
      <c r="H952" s="0" t="n">
        <v>83.42</v>
      </c>
      <c r="I952" s="0" t="n">
        <v>18.14</v>
      </c>
      <c r="J952" s="0" t="n">
        <v>59.98</v>
      </c>
      <c r="K952" s="0" t="n">
        <v>179</v>
      </c>
      <c r="T952" s="0" t="n">
        <v>3</v>
      </c>
      <c r="U952" s="0" t="n">
        <v>2</v>
      </c>
      <c r="V952" s="0" t="inlineStr">
        <is>
          <t>계단식</t>
        </is>
      </c>
      <c r="W952" s="0" t="n">
        <v>83</v>
      </c>
      <c r="X952" s="0" t="n">
        <v>25</v>
      </c>
      <c r="Y952" s="0" t="n">
        <v>13</v>
      </c>
      <c r="Z952" s="0" t="inlineStr">
        <is>
          <t>https://new.land.naver.com/complexes/27212?tab=detail&amp;rf=Y</t>
        </is>
      </c>
      <c r="AA952" s="0" t="inlineStr">
        <is>
          <t>서울시 강동구 둔촌동 630</t>
        </is>
      </c>
      <c r="AB952" s="0" t="inlineStr">
        <is>
          <t>서울시</t>
        </is>
      </c>
      <c r="AC952" s="0" t="inlineStr">
        <is>
          <t>강동구</t>
        </is>
      </c>
      <c r="AD952" s="0" t="inlineStr">
        <is>
          <t>둔촌동</t>
        </is>
      </c>
      <c r="AG952" s="0" t="inlineStr">
        <is>
          <t>서울시 강동구 명일로 172</t>
        </is>
      </c>
      <c r="AH952" s="0" t="n">
        <v>0</v>
      </c>
      <c r="AI952" s="0" t="n">
        <v>249</v>
      </c>
      <c r="AJ952" s="0" t="n">
        <v>17</v>
      </c>
      <c r="AK952" s="0" t="n">
        <v>1174</v>
      </c>
      <c r="AL952" s="0" t="n">
        <v>1.47</v>
      </c>
    </row>
    <row r="953">
      <c r="A953" s="0" t="inlineStr">
        <is>
          <t>[둔촌동]</t>
        </is>
      </c>
      <c r="B953" s="0" t="n">
        <v>27212</v>
      </c>
      <c r="C953" s="0" t="n">
        <v>2</v>
      </c>
      <c r="D953" s="0" t="inlineStr">
        <is>
          <t>둔촌푸르지오</t>
        </is>
      </c>
      <c r="E953" s="0" t="inlineStr">
        <is>
          <t>2010.03.</t>
        </is>
      </c>
      <c r="F953" s="0" t="n">
        <v>800</v>
      </c>
      <c r="G953" s="0" t="n">
        <v>33.8</v>
      </c>
      <c r="H953" s="0" t="n">
        <v>111.75</v>
      </c>
      <c r="I953" s="0" t="n">
        <v>25.68</v>
      </c>
      <c r="J953" s="0" t="n">
        <v>84.90000000000001</v>
      </c>
      <c r="K953" s="0" t="n">
        <v>255</v>
      </c>
      <c r="T953" s="0" t="n">
        <v>3</v>
      </c>
      <c r="U953" s="0" t="n">
        <v>2</v>
      </c>
      <c r="V953" s="0" t="inlineStr">
        <is>
          <t>계단식</t>
        </is>
      </c>
      <c r="W953" s="0" t="inlineStr">
        <is>
          <t>111A</t>
        </is>
      </c>
      <c r="X953" s="0" t="n">
        <v>25</v>
      </c>
      <c r="Y953" s="0" t="n">
        <v>13</v>
      </c>
      <c r="Z953" s="0" t="inlineStr">
        <is>
          <t>https://new.land.naver.com/complexes/27212?tab=detail&amp;rf=Y</t>
        </is>
      </c>
      <c r="AA953" s="0" t="inlineStr">
        <is>
          <t>서울시 강동구 둔촌동 630</t>
        </is>
      </c>
      <c r="AB953" s="0" t="inlineStr">
        <is>
          <t>서울시</t>
        </is>
      </c>
      <c r="AC953" s="0" t="inlineStr">
        <is>
          <t>강동구</t>
        </is>
      </c>
      <c r="AD953" s="0" t="inlineStr">
        <is>
          <t>둔촌동</t>
        </is>
      </c>
      <c r="AG953" s="0" t="inlineStr">
        <is>
          <t>서울시 강동구 명일로 172</t>
        </is>
      </c>
      <c r="AH953" s="0" t="n">
        <v>0</v>
      </c>
      <c r="AI953" s="0" t="n">
        <v>249</v>
      </c>
      <c r="AJ953" s="0" t="n">
        <v>17</v>
      </c>
      <c r="AK953" s="0" t="n">
        <v>1174</v>
      </c>
      <c r="AL953" s="0" t="n">
        <v>1.47</v>
      </c>
    </row>
    <row r="954">
      <c r="A954" s="0" t="inlineStr">
        <is>
          <t>[둔촌동]</t>
        </is>
      </c>
      <c r="B954" s="0" t="n">
        <v>27212</v>
      </c>
      <c r="C954" s="0" t="n">
        <v>3</v>
      </c>
      <c r="D954" s="0" t="inlineStr">
        <is>
          <t>둔촌푸르지오</t>
        </is>
      </c>
      <c r="E954" s="0" t="inlineStr">
        <is>
          <t>2010.03.</t>
        </is>
      </c>
      <c r="F954" s="0" t="n">
        <v>800</v>
      </c>
      <c r="G954" s="0" t="n">
        <v>33.89</v>
      </c>
      <c r="H954" s="0" t="n">
        <v>112.06</v>
      </c>
      <c r="I954" s="0" t="n">
        <v>25.68</v>
      </c>
      <c r="J954" s="0" t="n">
        <v>84.91</v>
      </c>
      <c r="K954" s="0" t="n">
        <v>43</v>
      </c>
      <c r="T954" s="0" t="n">
        <v>3</v>
      </c>
      <c r="U954" s="0" t="n">
        <v>2</v>
      </c>
      <c r="V954" s="0" t="inlineStr">
        <is>
          <t>계단식</t>
        </is>
      </c>
      <c r="W954" s="0" t="inlineStr">
        <is>
          <t>112C</t>
        </is>
      </c>
      <c r="X954" s="0" t="n">
        <v>25</v>
      </c>
      <c r="Y954" s="0" t="n">
        <v>13</v>
      </c>
      <c r="Z954" s="0" t="inlineStr">
        <is>
          <t>https://new.land.naver.com/complexes/27212?tab=detail&amp;rf=Y</t>
        </is>
      </c>
      <c r="AA954" s="0" t="inlineStr">
        <is>
          <t>서울시 강동구 둔촌동 630</t>
        </is>
      </c>
      <c r="AB954" s="0" t="inlineStr">
        <is>
          <t>서울시</t>
        </is>
      </c>
      <c r="AC954" s="0" t="inlineStr">
        <is>
          <t>강동구</t>
        </is>
      </c>
      <c r="AD954" s="0" t="inlineStr">
        <is>
          <t>둔촌동</t>
        </is>
      </c>
      <c r="AG954" s="0" t="inlineStr">
        <is>
          <t>서울시 강동구 명일로 172</t>
        </is>
      </c>
      <c r="AH954" s="0" t="n">
        <v>0</v>
      </c>
      <c r="AI954" s="0" t="n">
        <v>249</v>
      </c>
      <c r="AJ954" s="0" t="n">
        <v>17</v>
      </c>
      <c r="AK954" s="0" t="n">
        <v>1174</v>
      </c>
      <c r="AL954" s="0" t="n">
        <v>1.47</v>
      </c>
    </row>
    <row r="955">
      <c r="A955" s="0" t="inlineStr">
        <is>
          <t>[둔촌동]</t>
        </is>
      </c>
      <c r="B955" s="0" t="n">
        <v>27212</v>
      </c>
      <c r="C955" s="0" t="n">
        <v>4</v>
      </c>
      <c r="D955" s="0" t="inlineStr">
        <is>
          <t>둔촌푸르지오</t>
        </is>
      </c>
      <c r="E955" s="0" t="inlineStr">
        <is>
          <t>2010.03.</t>
        </is>
      </c>
      <c r="F955" s="0" t="n">
        <v>800</v>
      </c>
      <c r="G955" s="0" t="n">
        <v>34.32</v>
      </c>
      <c r="H955" s="0" t="n">
        <v>113.47</v>
      </c>
      <c r="I955" s="0" t="n">
        <v>25.68</v>
      </c>
      <c r="J955" s="0" t="n">
        <v>84.92</v>
      </c>
      <c r="K955" s="0" t="n">
        <v>202</v>
      </c>
      <c r="T955" s="0" t="n">
        <v>3</v>
      </c>
      <c r="U955" s="0" t="n">
        <v>2</v>
      </c>
      <c r="V955" s="0" t="inlineStr">
        <is>
          <t>계단식</t>
        </is>
      </c>
      <c r="W955" s="0" t="inlineStr">
        <is>
          <t>113B</t>
        </is>
      </c>
      <c r="X955" s="0" t="n">
        <v>25</v>
      </c>
      <c r="Y955" s="0" t="n">
        <v>13</v>
      </c>
      <c r="Z955" s="0" t="inlineStr">
        <is>
          <t>https://new.land.naver.com/complexes/27212?tab=detail&amp;rf=Y</t>
        </is>
      </c>
      <c r="AA955" s="0" t="inlineStr">
        <is>
          <t>서울시 강동구 둔촌동 630</t>
        </is>
      </c>
      <c r="AB955" s="0" t="inlineStr">
        <is>
          <t>서울시</t>
        </is>
      </c>
      <c r="AC955" s="0" t="inlineStr">
        <is>
          <t>강동구</t>
        </is>
      </c>
      <c r="AD955" s="0" t="inlineStr">
        <is>
          <t>둔촌동</t>
        </is>
      </c>
      <c r="AG955" s="0" t="inlineStr">
        <is>
          <t>서울시 강동구 명일로 172</t>
        </is>
      </c>
      <c r="AH955" s="0" t="n">
        <v>0</v>
      </c>
      <c r="AI955" s="0" t="n">
        <v>249</v>
      </c>
      <c r="AJ955" s="0" t="n">
        <v>17</v>
      </c>
      <c r="AK955" s="0" t="n">
        <v>1174</v>
      </c>
      <c r="AL955" s="0" t="n">
        <v>1.47</v>
      </c>
    </row>
    <row r="956">
      <c r="A956" s="0" t="inlineStr">
        <is>
          <t>[둔촌동]</t>
        </is>
      </c>
      <c r="B956" s="0" t="n">
        <v>27212</v>
      </c>
      <c r="C956" s="0" t="n">
        <v>5</v>
      </c>
      <c r="D956" s="0" t="inlineStr">
        <is>
          <t>둔촌푸르지오</t>
        </is>
      </c>
      <c r="E956" s="0" t="inlineStr">
        <is>
          <t>2010.03.</t>
        </is>
      </c>
      <c r="F956" s="0" t="n">
        <v>800</v>
      </c>
      <c r="G956" s="0" t="n">
        <v>42.02</v>
      </c>
      <c r="H956" s="0" t="n">
        <v>138.93</v>
      </c>
      <c r="I956" s="0" t="n">
        <v>34.38</v>
      </c>
      <c r="J956" s="0" t="n">
        <v>113.67</v>
      </c>
      <c r="K956" s="0" t="n">
        <v>121</v>
      </c>
      <c r="T956" s="0" t="n">
        <v>4</v>
      </c>
      <c r="U956" s="0" t="n">
        <v>2</v>
      </c>
      <c r="V956" s="0" t="inlineStr">
        <is>
          <t>계단식</t>
        </is>
      </c>
      <c r="W956" s="0" t="n">
        <v>138</v>
      </c>
      <c r="X956" s="0" t="n">
        <v>25</v>
      </c>
      <c r="Y956" s="0" t="n">
        <v>13</v>
      </c>
      <c r="Z956" s="0" t="inlineStr">
        <is>
          <t>https://new.land.naver.com/complexes/27212?tab=detail&amp;rf=Y</t>
        </is>
      </c>
      <c r="AA956" s="0" t="inlineStr">
        <is>
          <t>서울시 강동구 둔촌동 630</t>
        </is>
      </c>
      <c r="AB956" s="0" t="inlineStr">
        <is>
          <t>서울시</t>
        </is>
      </c>
      <c r="AC956" s="0" t="inlineStr">
        <is>
          <t>강동구</t>
        </is>
      </c>
      <c r="AD956" s="0" t="inlineStr">
        <is>
          <t>둔촌동</t>
        </is>
      </c>
      <c r="AG956" s="0" t="inlineStr">
        <is>
          <t>서울시 강동구 명일로 172</t>
        </is>
      </c>
      <c r="AH956" s="0" t="n">
        <v>0</v>
      </c>
      <c r="AI956" s="0" t="n">
        <v>249</v>
      </c>
      <c r="AJ956" s="0" t="n">
        <v>17</v>
      </c>
      <c r="AK956" s="0" t="n">
        <v>1174</v>
      </c>
      <c r="AL956" s="0" t="n">
        <v>1.47</v>
      </c>
    </row>
    <row r="957">
      <c r="A957" s="0" t="inlineStr">
        <is>
          <t>[둔촌동]</t>
        </is>
      </c>
      <c r="B957" s="0" t="n">
        <v>100761</v>
      </c>
      <c r="C957" s="0" t="n">
        <v>1</v>
      </c>
      <c r="D957" s="0" t="inlineStr">
        <is>
          <t>노바</t>
        </is>
      </c>
      <c r="E957" s="0" t="inlineStr">
        <is>
          <t>2002.07.</t>
        </is>
      </c>
      <c r="F957" s="0" t="n">
        <v>12</v>
      </c>
      <c r="G957" s="0" t="n">
        <v>13.36</v>
      </c>
      <c r="H957" s="0" t="n">
        <v>44.17</v>
      </c>
      <c r="I957" s="0" t="n">
        <v>12.28</v>
      </c>
      <c r="J957" s="0" t="n">
        <v>40.62</v>
      </c>
      <c r="K957" s="0" t="n">
        <v>1</v>
      </c>
      <c r="T957" s="0" t="n">
        <v>1</v>
      </c>
      <c r="U957" s="0" t="n">
        <v>1</v>
      </c>
      <c r="V957" s="0" t="inlineStr">
        <is>
          <t>복도식</t>
        </is>
      </c>
      <c r="W957" s="0" t="n">
        <v>44</v>
      </c>
      <c r="X957" s="0" t="n">
        <v>6</v>
      </c>
      <c r="Y957" s="0" t="n">
        <v>6</v>
      </c>
      <c r="Z957" s="0" t="inlineStr">
        <is>
          <t>https://new.land.naver.com/complexes/100761?tab=detail&amp;rf=Y</t>
        </is>
      </c>
      <c r="AA957" s="0" t="inlineStr">
        <is>
          <t>서울시 강동구 둔촌동 61-9</t>
        </is>
      </c>
      <c r="AB957" s="0" t="inlineStr">
        <is>
          <t>서울시</t>
        </is>
      </c>
      <c r="AC957" s="0" t="inlineStr">
        <is>
          <t>강동구</t>
        </is>
      </c>
      <c r="AD957" s="0" t="inlineStr">
        <is>
          <t>둔촌동</t>
        </is>
      </c>
      <c r="AG957" s="0" t="inlineStr">
        <is>
          <t>서울시 강동구 천호대로186길 23-11</t>
        </is>
      </c>
      <c r="AH957" s="0" t="n">
        <v>0</v>
      </c>
      <c r="AI957" s="0" t="n">
        <v>223</v>
      </c>
      <c r="AJ957" s="0" t="n">
        <v>44</v>
      </c>
      <c r="AK957" s="0" t="n">
        <v>10</v>
      </c>
      <c r="AL957" s="0" t="n">
        <v>0.83</v>
      </c>
    </row>
    <row r="958">
      <c r="A958" s="0" t="inlineStr">
        <is>
          <t>[둔촌동]</t>
        </is>
      </c>
      <c r="B958" s="0" t="n">
        <v>100761</v>
      </c>
      <c r="C958" s="0" t="n">
        <v>2</v>
      </c>
      <c r="D958" s="0" t="inlineStr">
        <is>
          <t>노바</t>
        </is>
      </c>
      <c r="E958" s="0" t="inlineStr">
        <is>
          <t>2002.07.</t>
        </is>
      </c>
      <c r="F958" s="0" t="n">
        <v>12</v>
      </c>
      <c r="G958" s="0" t="n">
        <v>14.78</v>
      </c>
      <c r="H958" s="0" t="n">
        <v>48.87</v>
      </c>
      <c r="I958" s="0" t="n">
        <v>13.59</v>
      </c>
      <c r="J958" s="0" t="n">
        <v>44.94</v>
      </c>
      <c r="K958" s="0" t="n">
        <v>1</v>
      </c>
      <c r="T958" s="0" t="n">
        <v>2</v>
      </c>
      <c r="U958" s="0" t="n">
        <v>1</v>
      </c>
      <c r="V958" s="0" t="inlineStr">
        <is>
          <t>복도식</t>
        </is>
      </c>
      <c r="W958" s="0" t="n">
        <v>48</v>
      </c>
      <c r="X958" s="0" t="n">
        <v>6</v>
      </c>
      <c r="Y958" s="0" t="n">
        <v>6</v>
      </c>
      <c r="Z958" s="0" t="inlineStr">
        <is>
          <t>https://new.land.naver.com/complexes/100761?tab=detail&amp;rf=Y</t>
        </is>
      </c>
      <c r="AA958" s="0" t="inlineStr">
        <is>
          <t>서울시 강동구 둔촌동 61-9</t>
        </is>
      </c>
      <c r="AB958" s="0" t="inlineStr">
        <is>
          <t>서울시</t>
        </is>
      </c>
      <c r="AC958" s="0" t="inlineStr">
        <is>
          <t>강동구</t>
        </is>
      </c>
      <c r="AD958" s="0" t="inlineStr">
        <is>
          <t>둔촌동</t>
        </is>
      </c>
      <c r="AG958" s="0" t="inlineStr">
        <is>
          <t>서울시 강동구 천호대로186길 23-11</t>
        </is>
      </c>
      <c r="AH958" s="0" t="n">
        <v>0</v>
      </c>
      <c r="AI958" s="0" t="n">
        <v>223</v>
      </c>
      <c r="AJ958" s="0" t="n">
        <v>44</v>
      </c>
      <c r="AK958" s="0" t="n">
        <v>10</v>
      </c>
      <c r="AL958" s="0" t="n">
        <v>0.83</v>
      </c>
    </row>
    <row r="959">
      <c r="A959" s="0" t="inlineStr">
        <is>
          <t>[둔촌동]</t>
        </is>
      </c>
      <c r="B959" s="0" t="n">
        <v>100761</v>
      </c>
      <c r="C959" s="0" t="n">
        <v>3</v>
      </c>
      <c r="D959" s="0" t="inlineStr">
        <is>
          <t>노바</t>
        </is>
      </c>
      <c r="E959" s="0" t="inlineStr">
        <is>
          <t>2002.07.</t>
        </is>
      </c>
      <c r="F959" s="0" t="n">
        <v>12</v>
      </c>
      <c r="G959" s="0" t="n">
        <v>20.7</v>
      </c>
      <c r="H959" s="0" t="n">
        <v>68.45999999999999</v>
      </c>
      <c r="I959" s="0" t="n">
        <v>19.04</v>
      </c>
      <c r="J959" s="0" t="n">
        <v>62.96</v>
      </c>
      <c r="K959" s="0" t="n">
        <v>1</v>
      </c>
      <c r="T959" s="0" t="n">
        <v>3</v>
      </c>
      <c r="U959" s="0" t="n">
        <v>1</v>
      </c>
      <c r="V959" s="0" t="inlineStr">
        <is>
          <t>복도식</t>
        </is>
      </c>
      <c r="W959" s="0" t="n">
        <v>68</v>
      </c>
      <c r="X959" s="0" t="n">
        <v>6</v>
      </c>
      <c r="Y959" s="0" t="n">
        <v>6</v>
      </c>
      <c r="Z959" s="0" t="inlineStr">
        <is>
          <t>https://new.land.naver.com/complexes/100761?tab=detail&amp;rf=Y</t>
        </is>
      </c>
      <c r="AA959" s="0" t="inlineStr">
        <is>
          <t>서울시 강동구 둔촌동 61-9</t>
        </is>
      </c>
      <c r="AB959" s="0" t="inlineStr">
        <is>
          <t>서울시</t>
        </is>
      </c>
      <c r="AC959" s="0" t="inlineStr">
        <is>
          <t>강동구</t>
        </is>
      </c>
      <c r="AD959" s="0" t="inlineStr">
        <is>
          <t>둔촌동</t>
        </is>
      </c>
      <c r="AG959" s="0" t="inlineStr">
        <is>
          <t>서울시 강동구 천호대로186길 23-11</t>
        </is>
      </c>
      <c r="AH959" s="0" t="n">
        <v>0</v>
      </c>
      <c r="AI959" s="0" t="n">
        <v>223</v>
      </c>
      <c r="AJ959" s="0" t="n">
        <v>44</v>
      </c>
      <c r="AK959" s="0" t="n">
        <v>10</v>
      </c>
      <c r="AL959" s="0" t="n">
        <v>0.83</v>
      </c>
    </row>
    <row r="960">
      <c r="A960" s="0" t="inlineStr">
        <is>
          <t>[둔촌동]</t>
        </is>
      </c>
      <c r="B960" s="0" t="n">
        <v>100761</v>
      </c>
      <c r="C960" s="0" t="n">
        <v>4</v>
      </c>
      <c r="D960" s="0" t="inlineStr">
        <is>
          <t>노바</t>
        </is>
      </c>
      <c r="E960" s="0" t="inlineStr">
        <is>
          <t>2002.07.</t>
        </is>
      </c>
      <c r="F960" s="0" t="n">
        <v>12</v>
      </c>
      <c r="G960" s="0" t="n">
        <v>22.53</v>
      </c>
      <c r="H960" s="0" t="n">
        <v>74.5</v>
      </c>
      <c r="I960" s="0" t="n">
        <v>20.72</v>
      </c>
      <c r="J960" s="0" t="n">
        <v>68.52</v>
      </c>
      <c r="K960" s="0" t="n">
        <v>1</v>
      </c>
      <c r="T960" s="0" t="n">
        <v>3</v>
      </c>
      <c r="U960" s="0" t="n">
        <v>1</v>
      </c>
      <c r="V960" s="0" t="inlineStr">
        <is>
          <t>복도식</t>
        </is>
      </c>
      <c r="W960" s="0" t="n">
        <v>74</v>
      </c>
      <c r="X960" s="0" t="n">
        <v>6</v>
      </c>
      <c r="Y960" s="0" t="n">
        <v>6</v>
      </c>
      <c r="Z960" s="0" t="inlineStr">
        <is>
          <t>https://new.land.naver.com/complexes/100761?tab=detail&amp;rf=Y</t>
        </is>
      </c>
      <c r="AA960" s="0" t="inlineStr">
        <is>
          <t>서울시 강동구 둔촌동 61-9</t>
        </is>
      </c>
      <c r="AB960" s="0" t="inlineStr">
        <is>
          <t>서울시</t>
        </is>
      </c>
      <c r="AC960" s="0" t="inlineStr">
        <is>
          <t>강동구</t>
        </is>
      </c>
      <c r="AD960" s="0" t="inlineStr">
        <is>
          <t>둔촌동</t>
        </is>
      </c>
      <c r="AG960" s="0" t="inlineStr">
        <is>
          <t>서울시 강동구 천호대로186길 23-11</t>
        </is>
      </c>
      <c r="AH960" s="0" t="n">
        <v>0</v>
      </c>
      <c r="AI960" s="0" t="n">
        <v>223</v>
      </c>
      <c r="AJ960" s="0" t="n">
        <v>44</v>
      </c>
      <c r="AK960" s="0" t="n">
        <v>10</v>
      </c>
      <c r="AL960" s="0" t="n">
        <v>0.83</v>
      </c>
    </row>
    <row r="961">
      <c r="A961" s="0" t="inlineStr">
        <is>
          <t>[둔촌동]</t>
        </is>
      </c>
      <c r="B961" s="0" t="n">
        <v>100761</v>
      </c>
      <c r="C961" s="0" t="n">
        <v>5</v>
      </c>
      <c r="D961" s="0" t="inlineStr">
        <is>
          <t>노바</t>
        </is>
      </c>
      <c r="E961" s="0" t="inlineStr">
        <is>
          <t>2002.07.</t>
        </is>
      </c>
      <c r="F961" s="0" t="n">
        <v>12</v>
      </c>
      <c r="G961" s="0" t="n">
        <v>24.14</v>
      </c>
      <c r="H961" s="0" t="n">
        <v>79.83</v>
      </c>
      <c r="I961" s="0" t="n">
        <v>22.2</v>
      </c>
      <c r="J961" s="0" t="n">
        <v>73.40000000000001</v>
      </c>
      <c r="K961" s="0" t="n">
        <v>4</v>
      </c>
      <c r="T961" s="0" t="n">
        <v>3</v>
      </c>
      <c r="U961" s="0" t="n">
        <v>2</v>
      </c>
      <c r="V961" s="0" t="inlineStr">
        <is>
          <t>계단식</t>
        </is>
      </c>
      <c r="W961" s="0" t="n">
        <v>79</v>
      </c>
      <c r="X961" s="0" t="n">
        <v>6</v>
      </c>
      <c r="Y961" s="0" t="n">
        <v>6</v>
      </c>
      <c r="Z961" s="0" t="inlineStr">
        <is>
          <t>https://new.land.naver.com/complexes/100761?tab=detail&amp;rf=Y</t>
        </is>
      </c>
      <c r="AA961" s="0" t="inlineStr">
        <is>
          <t>서울시 강동구 둔촌동 61-9</t>
        </is>
      </c>
      <c r="AB961" s="0" t="inlineStr">
        <is>
          <t>서울시</t>
        </is>
      </c>
      <c r="AC961" s="0" t="inlineStr">
        <is>
          <t>강동구</t>
        </is>
      </c>
      <c r="AD961" s="0" t="inlineStr">
        <is>
          <t>둔촌동</t>
        </is>
      </c>
      <c r="AG961" s="0" t="inlineStr">
        <is>
          <t>서울시 강동구 천호대로186길 23-11</t>
        </is>
      </c>
      <c r="AH961" s="0" t="n">
        <v>0</v>
      </c>
      <c r="AI961" s="0" t="n">
        <v>223</v>
      </c>
      <c r="AJ961" s="0" t="n">
        <v>44</v>
      </c>
      <c r="AK961" s="0" t="n">
        <v>10</v>
      </c>
      <c r="AL961" s="0" t="n">
        <v>0.83</v>
      </c>
    </row>
    <row r="962">
      <c r="A962" s="0" t="inlineStr">
        <is>
          <t>[둔촌동]</t>
        </is>
      </c>
      <c r="B962" s="0" t="n">
        <v>100761</v>
      </c>
      <c r="C962" s="0" t="n">
        <v>6</v>
      </c>
      <c r="D962" s="0" t="inlineStr">
        <is>
          <t>노바</t>
        </is>
      </c>
      <c r="E962" s="0" t="inlineStr">
        <is>
          <t>2002.07.</t>
        </is>
      </c>
      <c r="F962" s="0" t="n">
        <v>12</v>
      </c>
      <c r="G962" s="0" t="n">
        <v>25.44</v>
      </c>
      <c r="H962" s="0" t="n">
        <v>84.11</v>
      </c>
      <c r="I962" s="0" t="n">
        <v>23.39</v>
      </c>
      <c r="J962" s="0" t="n">
        <v>77.34</v>
      </c>
      <c r="K962" s="0" t="n">
        <v>4</v>
      </c>
      <c r="T962" s="0" t="n">
        <v>3</v>
      </c>
      <c r="U962" s="0" t="n">
        <v>2</v>
      </c>
      <c r="V962" s="0" t="inlineStr">
        <is>
          <t>계단식</t>
        </is>
      </c>
      <c r="W962" s="0" t="n">
        <v>84</v>
      </c>
      <c r="X962" s="0" t="n">
        <v>6</v>
      </c>
      <c r="Y962" s="0" t="n">
        <v>6</v>
      </c>
      <c r="Z962" s="0" t="inlineStr">
        <is>
          <t>https://new.land.naver.com/complexes/100761?tab=detail&amp;rf=Y</t>
        </is>
      </c>
      <c r="AA962" s="0" t="inlineStr">
        <is>
          <t>서울시 강동구 둔촌동 61-9</t>
        </is>
      </c>
      <c r="AB962" s="0" t="inlineStr">
        <is>
          <t>서울시</t>
        </is>
      </c>
      <c r="AC962" s="0" t="inlineStr">
        <is>
          <t>강동구</t>
        </is>
      </c>
      <c r="AD962" s="0" t="inlineStr">
        <is>
          <t>둔촌동</t>
        </is>
      </c>
      <c r="AG962" s="0" t="inlineStr">
        <is>
          <t>서울시 강동구 천호대로186길 23-11</t>
        </is>
      </c>
      <c r="AH962" s="0" t="n">
        <v>0</v>
      </c>
      <c r="AI962" s="0" t="n">
        <v>223</v>
      </c>
      <c r="AJ962" s="0" t="n">
        <v>44</v>
      </c>
      <c r="AK962" s="0" t="n">
        <v>10</v>
      </c>
      <c r="AL962" s="0" t="n">
        <v>0.83</v>
      </c>
    </row>
    <row r="963">
      <c r="A963" s="0" t="inlineStr">
        <is>
          <t>[둔촌동]</t>
        </is>
      </c>
      <c r="B963" s="0" t="n">
        <v>101948</v>
      </c>
      <c r="C963" s="0" t="n">
        <v>1</v>
      </c>
      <c r="D963" s="0" t="inlineStr">
        <is>
          <t>미랜드퀸</t>
        </is>
      </c>
      <c r="E963" s="0" t="inlineStr">
        <is>
          <t>2009.04.</t>
        </is>
      </c>
      <c r="F963" s="0" t="n">
        <v>21</v>
      </c>
      <c r="G963" s="0" t="n">
        <v>39.24</v>
      </c>
      <c r="H963" s="0" t="n">
        <v>129.75</v>
      </c>
      <c r="I963" s="0" t="n">
        <v>33.36</v>
      </c>
      <c r="J963" s="0" t="n">
        <v>110.29</v>
      </c>
      <c r="K963" s="0" t="n">
        <v>1</v>
      </c>
      <c r="T963" s="0" t="n">
        <v>3</v>
      </c>
      <c r="U963" s="0" t="n">
        <v>2</v>
      </c>
      <c r="V963" s="0" t="inlineStr">
        <is>
          <t>계단식</t>
        </is>
      </c>
      <c r="W963" s="0" t="n">
        <v>129</v>
      </c>
      <c r="X963" s="0" t="n">
        <v>7</v>
      </c>
      <c r="Y963" s="0" t="n">
        <v>7</v>
      </c>
      <c r="Z963" s="0" t="inlineStr">
        <is>
          <t>https://new.land.naver.com/complexes/101948?tab=detail&amp;rf=Y</t>
        </is>
      </c>
      <c r="AA963" s="0" t="inlineStr">
        <is>
          <t>서울시 강동구 둔촌동 46-41</t>
        </is>
      </c>
      <c r="AB963" s="0" t="inlineStr">
        <is>
          <t>서울시</t>
        </is>
      </c>
      <c r="AC963" s="0" t="inlineStr">
        <is>
          <t>강동구</t>
        </is>
      </c>
      <c r="AD963" s="0" t="inlineStr">
        <is>
          <t>둔촌동</t>
        </is>
      </c>
      <c r="AG963" s="0" t="inlineStr">
        <is>
          <t>서울시 강동구 명일로10가길 24</t>
        </is>
      </c>
      <c r="AH963" s="0" t="n">
        <v>0</v>
      </c>
      <c r="AI963" s="0" t="n">
        <v>0</v>
      </c>
      <c r="AJ963" s="0" t="n">
        <v>0</v>
      </c>
      <c r="AK963" s="0" t="n">
        <v>46</v>
      </c>
      <c r="AL963" s="0" t="n">
        <v>2.19</v>
      </c>
    </row>
    <row r="964">
      <c r="A964" s="0" t="inlineStr">
        <is>
          <t>[둔촌동]</t>
        </is>
      </c>
      <c r="B964" s="0" t="n">
        <v>101948</v>
      </c>
      <c r="C964" s="0" t="n">
        <v>2</v>
      </c>
      <c r="D964" s="0" t="inlineStr">
        <is>
          <t>미랜드퀸</t>
        </is>
      </c>
      <c r="E964" s="0" t="inlineStr">
        <is>
          <t>2009.04.</t>
        </is>
      </c>
      <c r="F964" s="0" t="n">
        <v>21</v>
      </c>
      <c r="G964" s="0" t="n">
        <v>47.65</v>
      </c>
      <c r="H964" s="0" t="n">
        <v>157.53</v>
      </c>
      <c r="I964" s="0" t="n">
        <v>42.77</v>
      </c>
      <c r="J964" s="0" t="n">
        <v>141.41</v>
      </c>
      <c r="K964" s="0" t="n">
        <v>14</v>
      </c>
      <c r="T964" s="0" t="n">
        <v>4</v>
      </c>
      <c r="U964" s="0" t="n">
        <v>2</v>
      </c>
      <c r="V964" s="0" t="inlineStr">
        <is>
          <t>계단식</t>
        </is>
      </c>
      <c r="W964" s="0" t="n">
        <v>157</v>
      </c>
      <c r="X964" s="0" t="n">
        <v>7</v>
      </c>
      <c r="Y964" s="0" t="n">
        <v>7</v>
      </c>
      <c r="Z964" s="0" t="inlineStr">
        <is>
          <t>https://new.land.naver.com/complexes/101948?tab=detail&amp;rf=Y</t>
        </is>
      </c>
      <c r="AA964" s="0" t="inlineStr">
        <is>
          <t>서울시 강동구 둔촌동 46-41</t>
        </is>
      </c>
      <c r="AB964" s="0" t="inlineStr">
        <is>
          <t>서울시</t>
        </is>
      </c>
      <c r="AC964" s="0" t="inlineStr">
        <is>
          <t>강동구</t>
        </is>
      </c>
      <c r="AD964" s="0" t="inlineStr">
        <is>
          <t>둔촌동</t>
        </is>
      </c>
      <c r="AG964" s="0" t="inlineStr">
        <is>
          <t>서울시 강동구 명일로10가길 24</t>
        </is>
      </c>
      <c r="AH964" s="0" t="n">
        <v>0</v>
      </c>
      <c r="AI964" s="0" t="n">
        <v>0</v>
      </c>
      <c r="AJ964" s="0" t="n">
        <v>0</v>
      </c>
      <c r="AK964" s="0" t="n">
        <v>46</v>
      </c>
      <c r="AL964" s="0" t="n">
        <v>2.19</v>
      </c>
    </row>
    <row r="965">
      <c r="A965" s="0" t="inlineStr">
        <is>
          <t>[둔촌동]</t>
        </is>
      </c>
      <c r="B965" s="0" t="n">
        <v>101948</v>
      </c>
      <c r="C965" s="0" t="n">
        <v>3</v>
      </c>
      <c r="D965" s="0" t="inlineStr">
        <is>
          <t>미랜드퀸</t>
        </is>
      </c>
      <c r="E965" s="0" t="inlineStr">
        <is>
          <t>2009.04.</t>
        </is>
      </c>
      <c r="F965" s="0" t="n">
        <v>21</v>
      </c>
      <c r="G965" s="0" t="n">
        <v>50.32</v>
      </c>
      <c r="H965" s="0" t="n">
        <v>166.37</v>
      </c>
      <c r="I965" s="0" t="n">
        <v>42.77</v>
      </c>
      <c r="J965" s="0" t="n">
        <v>141.41</v>
      </c>
      <c r="K965" s="0" t="n">
        <v>6</v>
      </c>
      <c r="T965" s="0" t="n">
        <v>4</v>
      </c>
      <c r="U965" s="0" t="n">
        <v>2</v>
      </c>
      <c r="V965" s="0" t="inlineStr">
        <is>
          <t>계단식</t>
        </is>
      </c>
      <c r="W965" s="0" t="n">
        <v>166</v>
      </c>
      <c r="X965" s="0" t="n">
        <v>7</v>
      </c>
      <c r="Y965" s="0" t="n">
        <v>7</v>
      </c>
      <c r="Z965" s="0" t="inlineStr">
        <is>
          <t>https://new.land.naver.com/complexes/101948?tab=detail&amp;rf=Y</t>
        </is>
      </c>
      <c r="AA965" s="0" t="inlineStr">
        <is>
          <t>서울시 강동구 둔촌동 46-41</t>
        </is>
      </c>
      <c r="AB965" s="0" t="inlineStr">
        <is>
          <t>서울시</t>
        </is>
      </c>
      <c r="AC965" s="0" t="inlineStr">
        <is>
          <t>강동구</t>
        </is>
      </c>
      <c r="AD965" s="0" t="inlineStr">
        <is>
          <t>둔촌동</t>
        </is>
      </c>
      <c r="AG965" s="0" t="inlineStr">
        <is>
          <t>서울시 강동구 명일로10가길 24</t>
        </is>
      </c>
      <c r="AH965" s="0" t="n">
        <v>0</v>
      </c>
      <c r="AI965" s="0" t="n">
        <v>0</v>
      </c>
      <c r="AJ965" s="0" t="n">
        <v>0</v>
      </c>
      <c r="AK965" s="0" t="n">
        <v>46</v>
      </c>
      <c r="AL965" s="0" t="n">
        <v>2.19</v>
      </c>
    </row>
    <row r="966">
      <c r="A966" s="0" t="inlineStr">
        <is>
          <t>[둔촌동]</t>
        </is>
      </c>
      <c r="B966" s="0" t="n">
        <v>830</v>
      </c>
      <c r="C966" s="0" t="n">
        <v>1</v>
      </c>
      <c r="D966" s="0" t="inlineStr">
        <is>
          <t>현대2차</t>
        </is>
      </c>
      <c r="E966" s="0" t="inlineStr">
        <is>
          <t>1988.01.</t>
        </is>
      </c>
      <c r="F966" s="0" t="n">
        <v>196</v>
      </c>
      <c r="G966" s="0" t="n">
        <v>24.13</v>
      </c>
      <c r="H966" s="0" t="n">
        <v>79.77</v>
      </c>
      <c r="I966" s="0" t="n">
        <v>17.9</v>
      </c>
      <c r="J966" s="0" t="n">
        <v>59.19</v>
      </c>
      <c r="K966" s="0" t="n">
        <v>40</v>
      </c>
      <c r="T966" s="0" t="n">
        <v>2</v>
      </c>
      <c r="U966" s="0" t="n">
        <v>1</v>
      </c>
      <c r="V966" s="0" t="inlineStr">
        <is>
          <t>복도식</t>
        </is>
      </c>
      <c r="W966" s="0" t="n">
        <v>79</v>
      </c>
      <c r="X966" s="0" t="n">
        <v>12</v>
      </c>
      <c r="Y966" s="0" t="n">
        <v>10</v>
      </c>
      <c r="Z966" s="0" t="inlineStr">
        <is>
          <t>https://new.land.naver.com/complexes/830?tab=detail&amp;rf=Y</t>
        </is>
      </c>
      <c r="AA966" s="0" t="inlineStr">
        <is>
          <t>서울시 강동구 둔촌동 70-5</t>
        </is>
      </c>
      <c r="AB966" s="0" t="inlineStr">
        <is>
          <t>서울시</t>
        </is>
      </c>
      <c r="AC966" s="0" t="inlineStr">
        <is>
          <t>강동구</t>
        </is>
      </c>
      <c r="AD966" s="0" t="inlineStr">
        <is>
          <t>둔촌동</t>
        </is>
      </c>
      <c r="AG966" s="0" t="inlineStr">
        <is>
          <t>서울시 강동구 풍성로65길 34</t>
        </is>
      </c>
      <c r="AH966" s="0" t="n">
        <v>0</v>
      </c>
      <c r="AI966" s="0" t="n">
        <v>226</v>
      </c>
      <c r="AJ966" s="0" t="n">
        <v>21</v>
      </c>
      <c r="AK966" s="0" t="n">
        <v>81</v>
      </c>
      <c r="AL966" s="0" t="n">
        <v>0.41</v>
      </c>
    </row>
    <row r="967">
      <c r="A967" s="0" t="inlineStr">
        <is>
          <t>[둔촌동]</t>
        </is>
      </c>
      <c r="B967" s="0" t="n">
        <v>830</v>
      </c>
      <c r="C967" s="0" t="n">
        <v>2</v>
      </c>
      <c r="D967" s="0" t="inlineStr">
        <is>
          <t>현대2차</t>
        </is>
      </c>
      <c r="E967" s="0" t="inlineStr">
        <is>
          <t>1988.01.</t>
        </is>
      </c>
      <c r="F967" s="0" t="n">
        <v>196</v>
      </c>
      <c r="G967" s="0" t="n">
        <v>28.02</v>
      </c>
      <c r="H967" s="0" t="n">
        <v>92.65000000000001</v>
      </c>
      <c r="I967" s="0" t="n">
        <v>20.92</v>
      </c>
      <c r="J967" s="0" t="n">
        <v>69.17</v>
      </c>
      <c r="K967" s="0" t="n">
        <v>72</v>
      </c>
      <c r="T967" s="0" t="n">
        <v>3</v>
      </c>
      <c r="U967" s="0" t="n">
        <v>1</v>
      </c>
      <c r="V967" s="0" t="inlineStr">
        <is>
          <t>복도식</t>
        </is>
      </c>
      <c r="W967" s="0" t="n">
        <v>92</v>
      </c>
      <c r="X967" s="0" t="n">
        <v>12</v>
      </c>
      <c r="Y967" s="0" t="n">
        <v>10</v>
      </c>
      <c r="Z967" s="0" t="inlineStr">
        <is>
          <t>https://new.land.naver.com/complexes/830?tab=detail&amp;rf=Y</t>
        </is>
      </c>
      <c r="AA967" s="0" t="inlineStr">
        <is>
          <t>서울시 강동구 둔촌동 70-5</t>
        </is>
      </c>
      <c r="AB967" s="0" t="inlineStr">
        <is>
          <t>서울시</t>
        </is>
      </c>
      <c r="AC967" s="0" t="inlineStr">
        <is>
          <t>강동구</t>
        </is>
      </c>
      <c r="AD967" s="0" t="inlineStr">
        <is>
          <t>둔촌동</t>
        </is>
      </c>
      <c r="AG967" s="0" t="inlineStr">
        <is>
          <t>서울시 강동구 풍성로65길 34</t>
        </is>
      </c>
      <c r="AH967" s="0" t="n">
        <v>0</v>
      </c>
      <c r="AI967" s="0" t="n">
        <v>226</v>
      </c>
      <c r="AJ967" s="0" t="n">
        <v>21</v>
      </c>
      <c r="AK967" s="0" t="n">
        <v>81</v>
      </c>
      <c r="AL967" s="0" t="n">
        <v>0.41</v>
      </c>
    </row>
    <row r="968">
      <c r="A968" s="0" t="inlineStr">
        <is>
          <t>[둔촌동]</t>
        </is>
      </c>
      <c r="B968" s="0" t="n">
        <v>830</v>
      </c>
      <c r="C968" s="0" t="n">
        <v>3</v>
      </c>
      <c r="D968" s="0" t="inlineStr">
        <is>
          <t>현대2차</t>
        </is>
      </c>
      <c r="E968" s="0" t="inlineStr">
        <is>
          <t>1988.01.</t>
        </is>
      </c>
      <c r="F968" s="0" t="n">
        <v>196</v>
      </c>
      <c r="G968" s="0" t="n">
        <v>32.4</v>
      </c>
      <c r="H968" s="0" t="n">
        <v>107.14</v>
      </c>
      <c r="I968" s="0" t="n">
        <v>24.13</v>
      </c>
      <c r="J968" s="0" t="n">
        <v>79.79000000000001</v>
      </c>
      <c r="K968" s="0" t="n">
        <v>84</v>
      </c>
      <c r="T968" s="0" t="n">
        <v>3</v>
      </c>
      <c r="U968" s="0" t="n">
        <v>1</v>
      </c>
      <c r="V968" s="0" t="inlineStr">
        <is>
          <t>복도식</t>
        </is>
      </c>
      <c r="W968" s="0" t="n">
        <v>107</v>
      </c>
      <c r="X968" s="0" t="n">
        <v>12</v>
      </c>
      <c r="Y968" s="0" t="n">
        <v>10</v>
      </c>
      <c r="Z968" s="0" t="inlineStr">
        <is>
          <t>https://new.land.naver.com/complexes/830?tab=detail&amp;rf=Y</t>
        </is>
      </c>
      <c r="AA968" s="0" t="inlineStr">
        <is>
          <t>서울시 강동구 둔촌동 70-5</t>
        </is>
      </c>
      <c r="AB968" s="0" t="inlineStr">
        <is>
          <t>서울시</t>
        </is>
      </c>
      <c r="AC968" s="0" t="inlineStr">
        <is>
          <t>강동구</t>
        </is>
      </c>
      <c r="AD968" s="0" t="inlineStr">
        <is>
          <t>둔촌동</t>
        </is>
      </c>
      <c r="AG968" s="0" t="inlineStr">
        <is>
          <t>서울시 강동구 풍성로65길 34</t>
        </is>
      </c>
      <c r="AH968" s="0" t="n">
        <v>0</v>
      </c>
      <c r="AI968" s="0" t="n">
        <v>226</v>
      </c>
      <c r="AJ968" s="0" t="n">
        <v>21</v>
      </c>
      <c r="AK968" s="0" t="n">
        <v>81</v>
      </c>
      <c r="AL968" s="0" t="n">
        <v>0.41</v>
      </c>
    </row>
    <row r="969">
      <c r="A969" s="0" t="inlineStr">
        <is>
          <t>[둔촌동]</t>
        </is>
      </c>
      <c r="B969" s="0" t="n">
        <v>22738</v>
      </c>
      <c r="C969" s="0" t="n">
        <v>1</v>
      </c>
      <c r="D969" s="0" t="inlineStr">
        <is>
          <t>아인리베</t>
        </is>
      </c>
      <c r="E969" s="0" t="inlineStr">
        <is>
          <t>2005.04.</t>
        </is>
      </c>
      <c r="F969" s="0" t="n">
        <v>55</v>
      </c>
      <c r="G969" s="0" t="n">
        <v>31.12</v>
      </c>
      <c r="H969" s="0" t="n">
        <v>102.89</v>
      </c>
      <c r="I969" s="0" t="n">
        <v>25.1</v>
      </c>
      <c r="J969" s="0" t="n">
        <v>82.98999999999999</v>
      </c>
      <c r="K969" s="0" t="n">
        <v>12</v>
      </c>
      <c r="T969" s="0" t="n">
        <v>3</v>
      </c>
      <c r="U969" s="0" t="n">
        <v>2</v>
      </c>
      <c r="V969" s="0" t="inlineStr">
        <is>
          <t>복도식</t>
        </is>
      </c>
      <c r="W969" s="0" t="inlineStr">
        <is>
          <t>102A</t>
        </is>
      </c>
      <c r="X969" s="0" t="n">
        <v>12</v>
      </c>
      <c r="Y969" s="0" t="n">
        <v>7</v>
      </c>
      <c r="Z969" s="0" t="inlineStr">
        <is>
          <t>https://new.land.naver.com/complexes/22738?tab=detail&amp;rf=Y</t>
        </is>
      </c>
      <c r="AA969" s="0" t="inlineStr">
        <is>
          <t>서울시 강동구 둔촌동 488</t>
        </is>
      </c>
      <c r="AB969" s="0" t="inlineStr">
        <is>
          <t>서울시</t>
        </is>
      </c>
      <c r="AC969" s="0" t="inlineStr">
        <is>
          <t>강동구</t>
        </is>
      </c>
      <c r="AD969" s="0" t="inlineStr">
        <is>
          <t>둔촌동</t>
        </is>
      </c>
      <c r="AG969" s="0" t="inlineStr">
        <is>
          <t>서울시 강동구 양재대로 1404-10</t>
        </is>
      </c>
      <c r="AH969" s="0" t="n">
        <v>0</v>
      </c>
      <c r="AI969" s="0" t="n">
        <v>249</v>
      </c>
      <c r="AJ969" s="0" t="n">
        <v>24</v>
      </c>
      <c r="AK969" s="0" t="n">
        <v>62</v>
      </c>
      <c r="AL969" s="0" t="n">
        <v>1.13</v>
      </c>
    </row>
    <row r="970">
      <c r="A970" s="0" t="inlineStr">
        <is>
          <t>[둔촌동]</t>
        </is>
      </c>
      <c r="B970" s="0" t="n">
        <v>22738</v>
      </c>
      <c r="C970" s="0" t="n">
        <v>2</v>
      </c>
      <c r="D970" s="0" t="inlineStr">
        <is>
          <t>아인리베</t>
        </is>
      </c>
      <c r="E970" s="0" t="inlineStr">
        <is>
          <t>2005.04.</t>
        </is>
      </c>
      <c r="F970" s="0" t="n">
        <v>55</v>
      </c>
      <c r="G970" s="0" t="n">
        <v>31.39</v>
      </c>
      <c r="H970" s="0" t="n">
        <v>103.8</v>
      </c>
      <c r="I970" s="0" t="n">
        <v>25.35</v>
      </c>
      <c r="J970" s="0" t="n">
        <v>83.81999999999999</v>
      </c>
      <c r="K970" s="0" t="n">
        <v>19</v>
      </c>
      <c r="T970" s="0" t="n">
        <v>3</v>
      </c>
      <c r="U970" s="0" t="n">
        <v>2</v>
      </c>
      <c r="V970" s="0" t="inlineStr">
        <is>
          <t>계단식</t>
        </is>
      </c>
      <c r="W970" s="0" t="inlineStr">
        <is>
          <t>103C</t>
        </is>
      </c>
      <c r="X970" s="0" t="n">
        <v>12</v>
      </c>
      <c r="Y970" s="0" t="n">
        <v>7</v>
      </c>
      <c r="Z970" s="0" t="inlineStr">
        <is>
          <t>https://new.land.naver.com/complexes/22738?tab=detail&amp;rf=Y</t>
        </is>
      </c>
      <c r="AA970" s="0" t="inlineStr">
        <is>
          <t>서울시 강동구 둔촌동 488</t>
        </is>
      </c>
      <c r="AB970" s="0" t="inlineStr">
        <is>
          <t>서울시</t>
        </is>
      </c>
      <c r="AC970" s="0" t="inlineStr">
        <is>
          <t>강동구</t>
        </is>
      </c>
      <c r="AD970" s="0" t="inlineStr">
        <is>
          <t>둔촌동</t>
        </is>
      </c>
      <c r="AG970" s="0" t="inlineStr">
        <is>
          <t>서울시 강동구 양재대로 1404-10</t>
        </is>
      </c>
      <c r="AH970" s="0" t="n">
        <v>0</v>
      </c>
      <c r="AI970" s="0" t="n">
        <v>249</v>
      </c>
      <c r="AJ970" s="0" t="n">
        <v>24</v>
      </c>
      <c r="AK970" s="0" t="n">
        <v>62</v>
      </c>
      <c r="AL970" s="0" t="n">
        <v>1.13</v>
      </c>
    </row>
    <row r="971">
      <c r="A971" s="0" t="inlineStr">
        <is>
          <t>[둔촌동]</t>
        </is>
      </c>
      <c r="B971" s="0" t="n">
        <v>22738</v>
      </c>
      <c r="C971" s="0" t="n">
        <v>3</v>
      </c>
      <c r="D971" s="0" t="inlineStr">
        <is>
          <t>아인리베</t>
        </is>
      </c>
      <c r="E971" s="0" t="inlineStr">
        <is>
          <t>2005.04.</t>
        </is>
      </c>
      <c r="F971" s="0" t="n">
        <v>55</v>
      </c>
      <c r="G971" s="0" t="n">
        <v>31.28</v>
      </c>
      <c r="H971" s="0" t="n">
        <v>103.43</v>
      </c>
      <c r="I971" s="0" t="n">
        <v>25.25</v>
      </c>
      <c r="J971" s="0" t="n">
        <v>83.5</v>
      </c>
      <c r="K971" s="0" t="n">
        <v>12</v>
      </c>
      <c r="T971" s="0" t="n">
        <v>3</v>
      </c>
      <c r="U971" s="0" t="n">
        <v>2</v>
      </c>
      <c r="V971" s="0" t="inlineStr">
        <is>
          <t>복도식</t>
        </is>
      </c>
      <c r="W971" s="0" t="inlineStr">
        <is>
          <t>103B</t>
        </is>
      </c>
      <c r="X971" s="0" t="n">
        <v>12</v>
      </c>
      <c r="Y971" s="0" t="n">
        <v>7</v>
      </c>
      <c r="Z971" s="0" t="inlineStr">
        <is>
          <t>https://new.land.naver.com/complexes/22738?tab=detail&amp;rf=Y</t>
        </is>
      </c>
      <c r="AA971" s="0" t="inlineStr">
        <is>
          <t>서울시 강동구 둔촌동 488</t>
        </is>
      </c>
      <c r="AB971" s="0" t="inlineStr">
        <is>
          <t>서울시</t>
        </is>
      </c>
      <c r="AC971" s="0" t="inlineStr">
        <is>
          <t>강동구</t>
        </is>
      </c>
      <c r="AD971" s="0" t="inlineStr">
        <is>
          <t>둔촌동</t>
        </is>
      </c>
      <c r="AG971" s="0" t="inlineStr">
        <is>
          <t>서울시 강동구 양재대로 1404-10</t>
        </is>
      </c>
      <c r="AH971" s="0" t="n">
        <v>0</v>
      </c>
      <c r="AI971" s="0" t="n">
        <v>249</v>
      </c>
      <c r="AJ971" s="0" t="n">
        <v>24</v>
      </c>
      <c r="AK971" s="0" t="n">
        <v>62</v>
      </c>
      <c r="AL971" s="0" t="n">
        <v>1.13</v>
      </c>
    </row>
    <row r="972">
      <c r="A972" s="0" t="inlineStr">
        <is>
          <t>[둔촌동]</t>
        </is>
      </c>
      <c r="B972" s="0" t="n">
        <v>22738</v>
      </c>
      <c r="C972" s="0" t="n">
        <v>4</v>
      </c>
      <c r="D972" s="0" t="inlineStr">
        <is>
          <t>아인리베</t>
        </is>
      </c>
      <c r="E972" s="0" t="inlineStr">
        <is>
          <t>2005.04.</t>
        </is>
      </c>
      <c r="F972" s="0" t="n">
        <v>55</v>
      </c>
      <c r="G972" s="0" t="n">
        <v>31.45</v>
      </c>
      <c r="H972" s="0" t="n">
        <v>103.97</v>
      </c>
      <c r="I972" s="0" t="n">
        <v>25.39</v>
      </c>
      <c r="J972" s="0" t="n">
        <v>83.94</v>
      </c>
      <c r="K972" s="0" t="n">
        <v>12</v>
      </c>
      <c r="T972" s="0" t="n">
        <v>3</v>
      </c>
      <c r="U972" s="0" t="n">
        <v>2</v>
      </c>
      <c r="V972" s="0" t="inlineStr">
        <is>
          <t>계단식</t>
        </is>
      </c>
      <c r="W972" s="0" t="inlineStr">
        <is>
          <t>103D</t>
        </is>
      </c>
      <c r="X972" s="0" t="n">
        <v>12</v>
      </c>
      <c r="Y972" s="0" t="n">
        <v>7</v>
      </c>
      <c r="Z972" s="0" t="inlineStr">
        <is>
          <t>https://new.land.naver.com/complexes/22738?tab=detail&amp;rf=Y</t>
        </is>
      </c>
      <c r="AA972" s="0" t="inlineStr">
        <is>
          <t>서울시 강동구 둔촌동 488</t>
        </is>
      </c>
      <c r="AB972" s="0" t="inlineStr">
        <is>
          <t>서울시</t>
        </is>
      </c>
      <c r="AC972" s="0" t="inlineStr">
        <is>
          <t>강동구</t>
        </is>
      </c>
      <c r="AD972" s="0" t="inlineStr">
        <is>
          <t>둔촌동</t>
        </is>
      </c>
      <c r="AG972" s="0" t="inlineStr">
        <is>
          <t>서울시 강동구 양재대로 1404-10</t>
        </is>
      </c>
      <c r="AH972" s="0" t="n">
        <v>0</v>
      </c>
      <c r="AI972" s="0" t="n">
        <v>249</v>
      </c>
      <c r="AJ972" s="0" t="n">
        <v>24</v>
      </c>
      <c r="AK972" s="0" t="n">
        <v>62</v>
      </c>
      <c r="AL972" s="0" t="n">
        <v>1.13</v>
      </c>
    </row>
    <row r="973">
      <c r="A973" s="0" t="inlineStr">
        <is>
          <t>[둔촌동]</t>
        </is>
      </c>
      <c r="B973" s="0" t="n">
        <v>3067</v>
      </c>
      <c r="C973" s="0" t="n">
        <v>1</v>
      </c>
      <c r="D973" s="0" t="inlineStr">
        <is>
          <t>성원</t>
        </is>
      </c>
      <c r="E973" s="0" t="inlineStr">
        <is>
          <t>1995.09.</t>
        </is>
      </c>
      <c r="F973" s="0" t="n">
        <v>74</v>
      </c>
      <c r="G973" s="0" t="n">
        <v>23.19</v>
      </c>
      <c r="H973" s="0" t="n">
        <v>76.69</v>
      </c>
      <c r="I973" s="0" t="n">
        <v>17.91</v>
      </c>
      <c r="J973" s="0" t="n">
        <v>59.22</v>
      </c>
      <c r="K973" s="0" t="n">
        <v>30</v>
      </c>
      <c r="T973" s="0" t="n">
        <v>3</v>
      </c>
      <c r="U973" s="0" t="n">
        <v>1</v>
      </c>
      <c r="V973" s="0" t="inlineStr">
        <is>
          <t>복도식</t>
        </is>
      </c>
      <c r="W973" s="0" t="n">
        <v>76</v>
      </c>
      <c r="X973" s="0" t="n">
        <v>16</v>
      </c>
      <c r="Y973" s="0" t="n">
        <v>16</v>
      </c>
      <c r="Z973" s="0" t="inlineStr">
        <is>
          <t>https://new.land.naver.com/complexes/3067?tab=detail&amp;rf=Y</t>
        </is>
      </c>
      <c r="AA973" s="0" t="inlineStr">
        <is>
          <t>서울시 강동구 둔촌동 613</t>
        </is>
      </c>
      <c r="AB973" s="0" t="inlineStr">
        <is>
          <t>서울시</t>
        </is>
      </c>
      <c r="AC973" s="0" t="inlineStr">
        <is>
          <t>강동구</t>
        </is>
      </c>
      <c r="AD973" s="0" t="inlineStr">
        <is>
          <t>둔촌동</t>
        </is>
      </c>
      <c r="AG973" s="0" t="inlineStr">
        <is>
          <t>서울시 강동구 명일로12길 56</t>
        </is>
      </c>
      <c r="AH973" s="0" t="n">
        <v>0</v>
      </c>
      <c r="AI973" s="0" t="n">
        <v>308</v>
      </c>
      <c r="AJ973" s="0" t="n">
        <v>27</v>
      </c>
      <c r="AK973" s="0" t="n">
        <v>74</v>
      </c>
      <c r="AL973" s="0" t="n">
        <v>1</v>
      </c>
    </row>
    <row r="974">
      <c r="A974" s="0" t="inlineStr">
        <is>
          <t>[둔촌동]</t>
        </is>
      </c>
      <c r="B974" s="0" t="n">
        <v>3067</v>
      </c>
      <c r="C974" s="0" t="n">
        <v>2</v>
      </c>
      <c r="D974" s="0" t="inlineStr">
        <is>
          <t>성원</t>
        </is>
      </c>
      <c r="E974" s="0" t="inlineStr">
        <is>
          <t>1995.09.</t>
        </is>
      </c>
      <c r="F974" s="0" t="n">
        <v>74</v>
      </c>
      <c r="G974" s="0" t="n">
        <v>28.48</v>
      </c>
      <c r="H974" s="0" t="n">
        <v>94.17</v>
      </c>
      <c r="I974" s="0" t="n">
        <v>21.99</v>
      </c>
      <c r="J974" s="0" t="n">
        <v>72.72</v>
      </c>
      <c r="K974" s="0" t="n">
        <v>1</v>
      </c>
      <c r="T974" s="0" t="n">
        <v>3</v>
      </c>
      <c r="U974" s="0" t="n">
        <v>2</v>
      </c>
      <c r="V974" s="0" t="inlineStr">
        <is>
          <t>복도식</t>
        </is>
      </c>
      <c r="W974" s="0" t="n">
        <v>94</v>
      </c>
      <c r="X974" s="0" t="n">
        <v>16</v>
      </c>
      <c r="Y974" s="0" t="n">
        <v>16</v>
      </c>
      <c r="Z974" s="0" t="inlineStr">
        <is>
          <t>https://new.land.naver.com/complexes/3067?tab=detail&amp;rf=Y</t>
        </is>
      </c>
      <c r="AA974" s="0" t="inlineStr">
        <is>
          <t>서울시 강동구 둔촌동 613</t>
        </is>
      </c>
      <c r="AB974" s="0" t="inlineStr">
        <is>
          <t>서울시</t>
        </is>
      </c>
      <c r="AC974" s="0" t="inlineStr">
        <is>
          <t>강동구</t>
        </is>
      </c>
      <c r="AD974" s="0" t="inlineStr">
        <is>
          <t>둔촌동</t>
        </is>
      </c>
      <c r="AG974" s="0" t="inlineStr">
        <is>
          <t>서울시 강동구 명일로12길 56</t>
        </is>
      </c>
      <c r="AH974" s="0" t="n">
        <v>0</v>
      </c>
      <c r="AI974" s="0" t="n">
        <v>308</v>
      </c>
      <c r="AJ974" s="0" t="n">
        <v>27</v>
      </c>
      <c r="AK974" s="0" t="n">
        <v>74</v>
      </c>
      <c r="AL974" s="0" t="n">
        <v>1</v>
      </c>
    </row>
    <row r="975">
      <c r="A975" s="0" t="inlineStr">
        <is>
          <t>[둔촌동]</t>
        </is>
      </c>
      <c r="B975" s="0" t="n">
        <v>3067</v>
      </c>
      <c r="C975" s="0" t="n">
        <v>3</v>
      </c>
      <c r="D975" s="0" t="inlineStr">
        <is>
          <t>성원</t>
        </is>
      </c>
      <c r="E975" s="0" t="inlineStr">
        <is>
          <t>1995.09.</t>
        </is>
      </c>
      <c r="F975" s="0" t="n">
        <v>74</v>
      </c>
      <c r="G975" s="0" t="n">
        <v>28.98</v>
      </c>
      <c r="H975" s="0" t="n">
        <v>95.81</v>
      </c>
      <c r="I975" s="0" t="n">
        <v>22.37</v>
      </c>
      <c r="J975" s="0" t="n">
        <v>73.98</v>
      </c>
      <c r="K975" s="0" t="n">
        <v>11</v>
      </c>
      <c r="T975" s="0" t="n">
        <v>3</v>
      </c>
      <c r="U975" s="0" t="n">
        <v>1</v>
      </c>
      <c r="V975" s="0" t="inlineStr">
        <is>
          <t>복도식</t>
        </is>
      </c>
      <c r="W975" s="0" t="n">
        <v>95</v>
      </c>
      <c r="X975" s="0" t="n">
        <v>16</v>
      </c>
      <c r="Y975" s="0" t="n">
        <v>16</v>
      </c>
      <c r="Z975" s="0" t="inlineStr">
        <is>
          <t>https://new.land.naver.com/complexes/3067?tab=detail&amp;rf=Y</t>
        </is>
      </c>
      <c r="AA975" s="0" t="inlineStr">
        <is>
          <t>서울시 강동구 둔촌동 613</t>
        </is>
      </c>
      <c r="AB975" s="0" t="inlineStr">
        <is>
          <t>서울시</t>
        </is>
      </c>
      <c r="AC975" s="0" t="inlineStr">
        <is>
          <t>강동구</t>
        </is>
      </c>
      <c r="AD975" s="0" t="inlineStr">
        <is>
          <t>둔촌동</t>
        </is>
      </c>
      <c r="AG975" s="0" t="inlineStr">
        <is>
          <t>서울시 강동구 명일로12길 56</t>
        </is>
      </c>
      <c r="AH975" s="0" t="n">
        <v>0</v>
      </c>
      <c r="AI975" s="0" t="n">
        <v>308</v>
      </c>
      <c r="AJ975" s="0" t="n">
        <v>27</v>
      </c>
      <c r="AK975" s="0" t="n">
        <v>74</v>
      </c>
      <c r="AL975" s="0" t="n">
        <v>1</v>
      </c>
    </row>
    <row r="976">
      <c r="A976" s="0" t="inlineStr">
        <is>
          <t>[둔촌동]</t>
        </is>
      </c>
      <c r="B976" s="0" t="n">
        <v>3067</v>
      </c>
      <c r="C976" s="0" t="n">
        <v>4</v>
      </c>
      <c r="D976" s="0" t="inlineStr">
        <is>
          <t>성원</t>
        </is>
      </c>
      <c r="E976" s="0" t="inlineStr">
        <is>
          <t>1995.09.</t>
        </is>
      </c>
      <c r="F976" s="0" t="n">
        <v>74</v>
      </c>
      <c r="G976" s="0" t="n">
        <v>30.07</v>
      </c>
      <c r="H976" s="0" t="n">
        <v>99.42</v>
      </c>
      <c r="I976" s="0" t="n">
        <v>23.22</v>
      </c>
      <c r="J976" s="0" t="n">
        <v>76.77</v>
      </c>
      <c r="K976" s="0" t="n">
        <v>16</v>
      </c>
      <c r="T976" s="0" t="n">
        <v>3</v>
      </c>
      <c r="U976" s="0" t="n">
        <v>1</v>
      </c>
      <c r="V976" s="0" t="inlineStr">
        <is>
          <t>계단식</t>
        </is>
      </c>
      <c r="W976" s="0" t="inlineStr">
        <is>
          <t>99A</t>
        </is>
      </c>
      <c r="X976" s="0" t="n">
        <v>16</v>
      </c>
      <c r="Y976" s="0" t="n">
        <v>16</v>
      </c>
      <c r="Z976" s="0" t="inlineStr">
        <is>
          <t>https://new.land.naver.com/complexes/3067?tab=detail&amp;rf=Y</t>
        </is>
      </c>
      <c r="AA976" s="0" t="inlineStr">
        <is>
          <t>서울시 강동구 둔촌동 613</t>
        </is>
      </c>
      <c r="AB976" s="0" t="inlineStr">
        <is>
          <t>서울시</t>
        </is>
      </c>
      <c r="AC976" s="0" t="inlineStr">
        <is>
          <t>강동구</t>
        </is>
      </c>
      <c r="AD976" s="0" t="inlineStr">
        <is>
          <t>둔촌동</t>
        </is>
      </c>
      <c r="AG976" s="0" t="inlineStr">
        <is>
          <t>서울시 강동구 명일로12길 56</t>
        </is>
      </c>
      <c r="AH976" s="0" t="n">
        <v>0</v>
      </c>
      <c r="AI976" s="0" t="n">
        <v>308</v>
      </c>
      <c r="AJ976" s="0" t="n">
        <v>27</v>
      </c>
      <c r="AK976" s="0" t="n">
        <v>74</v>
      </c>
      <c r="AL976" s="0" t="n">
        <v>1</v>
      </c>
    </row>
    <row r="977">
      <c r="A977" s="0" t="inlineStr">
        <is>
          <t>[둔촌동]</t>
        </is>
      </c>
      <c r="B977" s="0" t="n">
        <v>3067</v>
      </c>
      <c r="C977" s="0" t="n">
        <v>5</v>
      </c>
      <c r="D977" s="0" t="inlineStr">
        <is>
          <t>성원</t>
        </is>
      </c>
      <c r="E977" s="0" t="inlineStr">
        <is>
          <t>1995.09.</t>
        </is>
      </c>
      <c r="F977" s="0" t="n">
        <v>74</v>
      </c>
      <c r="G977" s="0" t="n">
        <v>30.21</v>
      </c>
      <c r="H977" s="0" t="n">
        <v>99.89</v>
      </c>
      <c r="I977" s="0" t="n">
        <v>23.33</v>
      </c>
      <c r="J977" s="0" t="n">
        <v>77.13</v>
      </c>
      <c r="K977" s="0" t="n">
        <v>16</v>
      </c>
      <c r="T977" s="0" t="n">
        <v>3</v>
      </c>
      <c r="U977" s="0" t="n">
        <v>1</v>
      </c>
      <c r="V977" s="0" t="inlineStr">
        <is>
          <t>복도식</t>
        </is>
      </c>
      <c r="W977" s="0" t="inlineStr">
        <is>
          <t>99B</t>
        </is>
      </c>
      <c r="X977" s="0" t="n">
        <v>16</v>
      </c>
      <c r="Y977" s="0" t="n">
        <v>16</v>
      </c>
      <c r="Z977" s="0" t="inlineStr">
        <is>
          <t>https://new.land.naver.com/complexes/3067?tab=detail&amp;rf=Y</t>
        </is>
      </c>
      <c r="AA977" s="0" t="inlineStr">
        <is>
          <t>서울시 강동구 둔촌동 613</t>
        </is>
      </c>
      <c r="AB977" s="0" t="inlineStr">
        <is>
          <t>서울시</t>
        </is>
      </c>
      <c r="AC977" s="0" t="inlineStr">
        <is>
          <t>강동구</t>
        </is>
      </c>
      <c r="AD977" s="0" t="inlineStr">
        <is>
          <t>둔촌동</t>
        </is>
      </c>
      <c r="AG977" s="0" t="inlineStr">
        <is>
          <t>서울시 강동구 명일로12길 56</t>
        </is>
      </c>
      <c r="AH977" s="0" t="n">
        <v>0</v>
      </c>
      <c r="AI977" s="0" t="n">
        <v>308</v>
      </c>
      <c r="AJ977" s="0" t="n">
        <v>27</v>
      </c>
      <c r="AK977" s="0" t="n">
        <v>74</v>
      </c>
      <c r="AL977" s="0" t="n">
        <v>1</v>
      </c>
    </row>
    <row r="978">
      <c r="A978" s="0" t="inlineStr">
        <is>
          <t>[둔촌동]</t>
        </is>
      </c>
      <c r="B978" s="0" t="n">
        <v>1300</v>
      </c>
      <c r="C978" s="0" t="n">
        <v>1</v>
      </c>
      <c r="D978" s="0" t="inlineStr">
        <is>
          <t>현대3차</t>
        </is>
      </c>
      <c r="E978" s="0" t="inlineStr">
        <is>
          <t>1988.06.</t>
        </is>
      </c>
      <c r="F978" s="0" t="n">
        <v>160</v>
      </c>
      <c r="G978" s="0" t="n">
        <v>21.84</v>
      </c>
      <c r="H978" s="0" t="n">
        <v>72.20999999999999</v>
      </c>
      <c r="I978" s="0" t="n">
        <v>17.58</v>
      </c>
      <c r="J978" s="0" t="n">
        <v>58.14</v>
      </c>
      <c r="K978" s="0" t="n">
        <v>7</v>
      </c>
      <c r="T978" s="0" t="n">
        <v>2</v>
      </c>
      <c r="U978" s="0" t="n">
        <v>1</v>
      </c>
      <c r="V978" s="0" t="inlineStr">
        <is>
          <t>복도식</t>
        </is>
      </c>
      <c r="W978" s="0" t="n">
        <v>72</v>
      </c>
      <c r="X978" s="0" t="n">
        <v>12</v>
      </c>
      <c r="Y978" s="0" t="n">
        <v>7</v>
      </c>
      <c r="Z978" s="0" t="inlineStr">
        <is>
          <t>https://new.land.naver.com/complexes/1300?tab=detail&amp;rf=Y</t>
        </is>
      </c>
      <c r="AA978" s="0" t="inlineStr">
        <is>
          <t>서울시 강동구 둔촌동 135-1</t>
        </is>
      </c>
      <c r="AB978" s="0" t="inlineStr">
        <is>
          <t>서울시</t>
        </is>
      </c>
      <c r="AC978" s="0" t="inlineStr">
        <is>
          <t>강동구</t>
        </is>
      </c>
      <c r="AD978" s="0" t="inlineStr">
        <is>
          <t>둔촌동</t>
        </is>
      </c>
      <c r="AG978" s="0" t="inlineStr">
        <is>
          <t>서울시 강동구 진황도로 211</t>
        </is>
      </c>
      <c r="AH978" s="0" t="n">
        <v>0</v>
      </c>
      <c r="AI978" s="0" t="n">
        <v>226</v>
      </c>
      <c r="AJ978" s="0" t="n">
        <v>22</v>
      </c>
      <c r="AK978" s="0" t="n">
        <v>88</v>
      </c>
      <c r="AL978" s="0" t="n">
        <v>0.55</v>
      </c>
    </row>
    <row r="979">
      <c r="A979" s="0" t="inlineStr">
        <is>
          <t>[둔촌동]</t>
        </is>
      </c>
      <c r="B979" s="0" t="n">
        <v>1300</v>
      </c>
      <c r="C979" s="0" t="n">
        <v>2</v>
      </c>
      <c r="D979" s="0" t="inlineStr">
        <is>
          <t>현대3차</t>
        </is>
      </c>
      <c r="E979" s="0" t="inlineStr">
        <is>
          <t>1988.06.</t>
        </is>
      </c>
      <c r="F979" s="0" t="n">
        <v>160</v>
      </c>
      <c r="G979" s="0" t="n">
        <v>26.03</v>
      </c>
      <c r="H979" s="0" t="n">
        <v>86.06999999999999</v>
      </c>
      <c r="I979" s="0" t="n">
        <v>20.96</v>
      </c>
      <c r="J979" s="0" t="n">
        <v>69.3</v>
      </c>
      <c r="K979" s="0" t="n">
        <v>81</v>
      </c>
      <c r="T979" s="0" t="n">
        <v>3</v>
      </c>
      <c r="U979" s="0" t="n">
        <v>1</v>
      </c>
      <c r="V979" s="0" t="inlineStr">
        <is>
          <t>복도식</t>
        </is>
      </c>
      <c r="W979" s="0" t="n">
        <v>86</v>
      </c>
      <c r="X979" s="0" t="n">
        <v>12</v>
      </c>
      <c r="Y979" s="0" t="n">
        <v>7</v>
      </c>
      <c r="Z979" s="0" t="inlineStr">
        <is>
          <t>https://new.land.naver.com/complexes/1300?tab=detail&amp;rf=Y</t>
        </is>
      </c>
      <c r="AA979" s="0" t="inlineStr">
        <is>
          <t>서울시 강동구 둔촌동 135-1</t>
        </is>
      </c>
      <c r="AB979" s="0" t="inlineStr">
        <is>
          <t>서울시</t>
        </is>
      </c>
      <c r="AC979" s="0" t="inlineStr">
        <is>
          <t>강동구</t>
        </is>
      </c>
      <c r="AD979" s="0" t="inlineStr">
        <is>
          <t>둔촌동</t>
        </is>
      </c>
      <c r="AG979" s="0" t="inlineStr">
        <is>
          <t>서울시 강동구 진황도로 211</t>
        </is>
      </c>
      <c r="AH979" s="0" t="n">
        <v>0</v>
      </c>
      <c r="AI979" s="0" t="n">
        <v>226</v>
      </c>
      <c r="AJ979" s="0" t="n">
        <v>22</v>
      </c>
      <c r="AK979" s="0" t="n">
        <v>88</v>
      </c>
      <c r="AL979" s="0" t="n">
        <v>0.55</v>
      </c>
    </row>
    <row r="980">
      <c r="A980" s="0" t="inlineStr">
        <is>
          <t>[둔촌동]</t>
        </is>
      </c>
      <c r="B980" s="0" t="n">
        <v>1300</v>
      </c>
      <c r="C980" s="0" t="n">
        <v>3</v>
      </c>
      <c r="D980" s="0" t="inlineStr">
        <is>
          <t>현대3차</t>
        </is>
      </c>
      <c r="E980" s="0" t="inlineStr">
        <is>
          <t>1988.06.</t>
        </is>
      </c>
      <c r="F980" s="0" t="n">
        <v>160</v>
      </c>
      <c r="G980" s="0" t="n">
        <v>27.31</v>
      </c>
      <c r="H980" s="0" t="n">
        <v>90.29000000000001</v>
      </c>
      <c r="I980" s="0" t="n">
        <v>24.19</v>
      </c>
      <c r="J980" s="0" t="n">
        <v>79.98999999999999</v>
      </c>
      <c r="K980" s="0" t="n">
        <v>72</v>
      </c>
      <c r="T980" s="0" t="n">
        <v>3</v>
      </c>
      <c r="U980" s="0" t="n">
        <v>1</v>
      </c>
      <c r="V980" s="0" t="inlineStr">
        <is>
          <t>계단식</t>
        </is>
      </c>
      <c r="W980" s="0" t="n">
        <v>90</v>
      </c>
      <c r="X980" s="0" t="n">
        <v>12</v>
      </c>
      <c r="Y980" s="0" t="n">
        <v>7</v>
      </c>
      <c r="Z980" s="0" t="inlineStr">
        <is>
          <t>https://new.land.naver.com/complexes/1300?tab=detail&amp;rf=Y</t>
        </is>
      </c>
      <c r="AA980" s="0" t="inlineStr">
        <is>
          <t>서울시 강동구 둔촌동 135-1</t>
        </is>
      </c>
      <c r="AB980" s="0" t="inlineStr">
        <is>
          <t>서울시</t>
        </is>
      </c>
      <c r="AC980" s="0" t="inlineStr">
        <is>
          <t>강동구</t>
        </is>
      </c>
      <c r="AD980" s="0" t="inlineStr">
        <is>
          <t>둔촌동</t>
        </is>
      </c>
      <c r="AG980" s="0" t="inlineStr">
        <is>
          <t>서울시 강동구 진황도로 211</t>
        </is>
      </c>
      <c r="AH980" s="0" t="n">
        <v>0</v>
      </c>
      <c r="AI980" s="0" t="n">
        <v>226</v>
      </c>
      <c r="AJ980" s="0" t="n">
        <v>22</v>
      </c>
      <c r="AK980" s="0" t="n">
        <v>88</v>
      </c>
      <c r="AL980" s="0" t="n">
        <v>0.55</v>
      </c>
    </row>
    <row r="981">
      <c r="A981" s="0" t="inlineStr">
        <is>
          <t>[둔촌동]</t>
        </is>
      </c>
      <c r="B981" s="0" t="n">
        <v>11470</v>
      </c>
      <c r="C981" s="0" t="n">
        <v>1</v>
      </c>
      <c r="D981" s="0" t="inlineStr">
        <is>
          <t>KNP</t>
        </is>
      </c>
      <c r="E981" s="0" t="inlineStr">
        <is>
          <t>2002.11.</t>
        </is>
      </c>
      <c r="F981" s="0" t="n">
        <v>19</v>
      </c>
      <c r="G981" s="0" t="n">
        <v>24.47</v>
      </c>
      <c r="H981" s="0" t="n">
        <v>80.91</v>
      </c>
      <c r="I981" s="0" t="n">
        <v>21.31</v>
      </c>
      <c r="J981" s="0" t="n">
        <v>70.47</v>
      </c>
      <c r="K981" s="0" t="n">
        <v>1</v>
      </c>
      <c r="T981" s="0" t="n">
        <v>3</v>
      </c>
      <c r="U981" s="0" t="n">
        <v>2</v>
      </c>
      <c r="V981" s="0" t="inlineStr">
        <is>
          <t>계단식</t>
        </is>
      </c>
      <c r="W981" s="0" t="n">
        <v>80</v>
      </c>
      <c r="X981" s="0" t="n">
        <v>7</v>
      </c>
      <c r="Y981" s="0" t="n">
        <v>6</v>
      </c>
      <c r="Z981" s="0" t="inlineStr">
        <is>
          <t>https://new.land.naver.com/complexes/11470?tab=detail&amp;rf=Y</t>
        </is>
      </c>
      <c r="AA981" s="0" t="inlineStr">
        <is>
          <t>서울시 강동구 둔촌동 67</t>
        </is>
      </c>
      <c r="AB981" s="0" t="inlineStr">
        <is>
          <t>서울시</t>
        </is>
      </c>
      <c r="AC981" s="0" t="inlineStr">
        <is>
          <t>강동구</t>
        </is>
      </c>
      <c r="AD981" s="0" t="inlineStr">
        <is>
          <t>둔촌동</t>
        </is>
      </c>
      <c r="AG981" s="0" t="inlineStr">
        <is>
          <t>서울시 강동구 진황도로 145</t>
        </is>
      </c>
      <c r="AH981" s="0" t="n">
        <v>0</v>
      </c>
      <c r="AI981" s="0" t="n">
        <v>266</v>
      </c>
      <c r="AJ981" s="0" t="n">
        <v>59</v>
      </c>
      <c r="AK981" s="0" t="n">
        <v>32</v>
      </c>
      <c r="AL981" s="0" t="n">
        <v>1.68</v>
      </c>
    </row>
    <row r="982">
      <c r="A982" s="0" t="inlineStr">
        <is>
          <t>[둔촌동]</t>
        </is>
      </c>
      <c r="B982" s="0" t="n">
        <v>11470</v>
      </c>
      <c r="C982" s="0" t="n">
        <v>2</v>
      </c>
      <c r="D982" s="0" t="inlineStr">
        <is>
          <t>KNP</t>
        </is>
      </c>
      <c r="E982" s="0" t="inlineStr">
        <is>
          <t>2002.11.</t>
        </is>
      </c>
      <c r="F982" s="0" t="n">
        <v>19</v>
      </c>
      <c r="G982" s="0" t="n">
        <v>26.23</v>
      </c>
      <c r="H982" s="0" t="n">
        <v>86.72</v>
      </c>
      <c r="I982" s="0" t="n">
        <v>22.84</v>
      </c>
      <c r="J982" s="0" t="n">
        <v>75.53</v>
      </c>
      <c r="K982" s="0" t="n">
        <v>1</v>
      </c>
      <c r="T982" s="0" t="n">
        <v>3</v>
      </c>
      <c r="U982" s="0" t="n">
        <v>2</v>
      </c>
      <c r="V982" s="0" t="inlineStr">
        <is>
          <t>계단식</t>
        </is>
      </c>
      <c r="W982" s="0" t="inlineStr">
        <is>
          <t>86A</t>
        </is>
      </c>
      <c r="X982" s="0" t="n">
        <v>7</v>
      </c>
      <c r="Y982" s="0" t="n">
        <v>6</v>
      </c>
      <c r="Z982" s="0" t="inlineStr">
        <is>
          <t>https://new.land.naver.com/complexes/11470?tab=detail&amp;rf=Y</t>
        </is>
      </c>
      <c r="AA982" s="0" t="inlineStr">
        <is>
          <t>서울시 강동구 둔촌동 67</t>
        </is>
      </c>
      <c r="AB982" s="0" t="inlineStr">
        <is>
          <t>서울시</t>
        </is>
      </c>
      <c r="AC982" s="0" t="inlineStr">
        <is>
          <t>강동구</t>
        </is>
      </c>
      <c r="AD982" s="0" t="inlineStr">
        <is>
          <t>둔촌동</t>
        </is>
      </c>
      <c r="AG982" s="0" t="inlineStr">
        <is>
          <t>서울시 강동구 진황도로 145</t>
        </is>
      </c>
      <c r="AH982" s="0" t="n">
        <v>0</v>
      </c>
      <c r="AI982" s="0" t="n">
        <v>266</v>
      </c>
      <c r="AJ982" s="0" t="n">
        <v>59</v>
      </c>
      <c r="AK982" s="0" t="n">
        <v>32</v>
      </c>
      <c r="AL982" s="0" t="n">
        <v>1.68</v>
      </c>
    </row>
    <row r="983">
      <c r="A983" s="0" t="inlineStr">
        <is>
          <t>[둔촌동]</t>
        </is>
      </c>
      <c r="B983" s="0" t="n">
        <v>11470</v>
      </c>
      <c r="C983" s="0" t="n">
        <v>3</v>
      </c>
      <c r="D983" s="0" t="inlineStr">
        <is>
          <t>KNP</t>
        </is>
      </c>
      <c r="E983" s="0" t="inlineStr">
        <is>
          <t>2002.11.</t>
        </is>
      </c>
      <c r="F983" s="0" t="n">
        <v>19</v>
      </c>
      <c r="G983" s="0" t="n">
        <v>29.12</v>
      </c>
      <c r="H983" s="0" t="n">
        <v>96.28</v>
      </c>
      <c r="I983" s="0" t="n">
        <v>25.36</v>
      </c>
      <c r="J983" s="0" t="n">
        <v>83.84999999999999</v>
      </c>
      <c r="K983" s="0" t="n">
        <v>3</v>
      </c>
      <c r="T983" s="0" t="n">
        <v>3</v>
      </c>
      <c r="U983" s="0" t="n">
        <v>2</v>
      </c>
      <c r="V983" s="0" t="inlineStr">
        <is>
          <t>계단식</t>
        </is>
      </c>
      <c r="W983" s="0" t="n">
        <v>96</v>
      </c>
      <c r="X983" s="0" t="n">
        <v>7</v>
      </c>
      <c r="Y983" s="0" t="n">
        <v>6</v>
      </c>
      <c r="Z983" s="0" t="inlineStr">
        <is>
          <t>https://new.land.naver.com/complexes/11470?tab=detail&amp;rf=Y</t>
        </is>
      </c>
      <c r="AA983" s="0" t="inlineStr">
        <is>
          <t>서울시 강동구 둔촌동 67</t>
        </is>
      </c>
      <c r="AB983" s="0" t="inlineStr">
        <is>
          <t>서울시</t>
        </is>
      </c>
      <c r="AC983" s="0" t="inlineStr">
        <is>
          <t>강동구</t>
        </is>
      </c>
      <c r="AD983" s="0" t="inlineStr">
        <is>
          <t>둔촌동</t>
        </is>
      </c>
      <c r="AG983" s="0" t="inlineStr">
        <is>
          <t>서울시 강동구 진황도로 145</t>
        </is>
      </c>
      <c r="AH983" s="0" t="n">
        <v>0</v>
      </c>
      <c r="AI983" s="0" t="n">
        <v>266</v>
      </c>
      <c r="AJ983" s="0" t="n">
        <v>59</v>
      </c>
      <c r="AK983" s="0" t="n">
        <v>32</v>
      </c>
      <c r="AL983" s="0" t="n">
        <v>1.68</v>
      </c>
    </row>
    <row r="984">
      <c r="A984" s="0" t="inlineStr">
        <is>
          <t>[둔촌동]</t>
        </is>
      </c>
      <c r="B984" s="0" t="n">
        <v>11470</v>
      </c>
      <c r="C984" s="0" t="n">
        <v>4</v>
      </c>
      <c r="D984" s="0" t="inlineStr">
        <is>
          <t>KNP</t>
        </is>
      </c>
      <c r="E984" s="0" t="inlineStr">
        <is>
          <t>2002.11.</t>
        </is>
      </c>
      <c r="F984" s="0" t="n">
        <v>19</v>
      </c>
      <c r="G984" s="0" t="n">
        <v>29.36</v>
      </c>
      <c r="H984" s="0" t="n">
        <v>97.06999999999999</v>
      </c>
      <c r="I984" s="0" t="n">
        <v>25.57</v>
      </c>
      <c r="J984" s="0" t="n">
        <v>84.54000000000001</v>
      </c>
      <c r="K984" s="0" t="n">
        <v>10</v>
      </c>
      <c r="T984" s="0" t="n">
        <v>3</v>
      </c>
      <c r="U984" s="0" t="n">
        <v>2</v>
      </c>
      <c r="V984" s="0" t="inlineStr">
        <is>
          <t>계단식</t>
        </is>
      </c>
      <c r="W984" s="0" t="inlineStr">
        <is>
          <t>97B</t>
        </is>
      </c>
      <c r="X984" s="0" t="n">
        <v>7</v>
      </c>
      <c r="Y984" s="0" t="n">
        <v>6</v>
      </c>
      <c r="Z984" s="0" t="inlineStr">
        <is>
          <t>https://new.land.naver.com/complexes/11470?tab=detail&amp;rf=Y</t>
        </is>
      </c>
      <c r="AA984" s="0" t="inlineStr">
        <is>
          <t>서울시 강동구 둔촌동 67</t>
        </is>
      </c>
      <c r="AB984" s="0" t="inlineStr">
        <is>
          <t>서울시</t>
        </is>
      </c>
      <c r="AC984" s="0" t="inlineStr">
        <is>
          <t>강동구</t>
        </is>
      </c>
      <c r="AD984" s="0" t="inlineStr">
        <is>
          <t>둔촌동</t>
        </is>
      </c>
      <c r="AG984" s="0" t="inlineStr">
        <is>
          <t>서울시 강동구 진황도로 145</t>
        </is>
      </c>
      <c r="AH984" s="0" t="n">
        <v>0</v>
      </c>
      <c r="AI984" s="0" t="n">
        <v>266</v>
      </c>
      <c r="AJ984" s="0" t="n">
        <v>59</v>
      </c>
      <c r="AK984" s="0" t="n">
        <v>32</v>
      </c>
      <c r="AL984" s="0" t="n">
        <v>1.68</v>
      </c>
    </row>
    <row r="985">
      <c r="A985" s="0" t="inlineStr">
        <is>
          <t>[둔촌동]</t>
        </is>
      </c>
      <c r="B985" s="0" t="n">
        <v>11470</v>
      </c>
      <c r="C985" s="0" t="n">
        <v>5</v>
      </c>
      <c r="D985" s="0" t="inlineStr">
        <is>
          <t>KNP</t>
        </is>
      </c>
      <c r="E985" s="0" t="inlineStr">
        <is>
          <t>2002.11.</t>
        </is>
      </c>
      <c r="F985" s="0" t="n">
        <v>19</v>
      </c>
      <c r="G985" s="0" t="n">
        <v>29.36</v>
      </c>
      <c r="H985" s="0" t="n">
        <v>97.08</v>
      </c>
      <c r="I985" s="0" t="n">
        <v>25.57</v>
      </c>
      <c r="J985" s="0" t="n">
        <v>84.55</v>
      </c>
      <c r="K985" s="0" t="n">
        <v>3</v>
      </c>
      <c r="T985" s="0" t="n">
        <v>3</v>
      </c>
      <c r="U985" s="0" t="n">
        <v>2</v>
      </c>
      <c r="V985" s="0" t="inlineStr">
        <is>
          <t>계단식</t>
        </is>
      </c>
      <c r="W985" s="0" t="inlineStr">
        <is>
          <t>97C</t>
        </is>
      </c>
      <c r="X985" s="0" t="n">
        <v>7</v>
      </c>
      <c r="Y985" s="0" t="n">
        <v>6</v>
      </c>
      <c r="Z985" s="0" t="inlineStr">
        <is>
          <t>https://new.land.naver.com/complexes/11470?tab=detail&amp;rf=Y</t>
        </is>
      </c>
      <c r="AA985" s="0" t="inlineStr">
        <is>
          <t>서울시 강동구 둔촌동 67</t>
        </is>
      </c>
      <c r="AB985" s="0" t="inlineStr">
        <is>
          <t>서울시</t>
        </is>
      </c>
      <c r="AC985" s="0" t="inlineStr">
        <is>
          <t>강동구</t>
        </is>
      </c>
      <c r="AD985" s="0" t="inlineStr">
        <is>
          <t>둔촌동</t>
        </is>
      </c>
      <c r="AG985" s="0" t="inlineStr">
        <is>
          <t>서울시 강동구 진황도로 145</t>
        </is>
      </c>
      <c r="AH985" s="0" t="n">
        <v>0</v>
      </c>
      <c r="AI985" s="0" t="n">
        <v>266</v>
      </c>
      <c r="AJ985" s="0" t="n">
        <v>59</v>
      </c>
      <c r="AK985" s="0" t="n">
        <v>32</v>
      </c>
      <c r="AL985" s="0" t="n">
        <v>1.68</v>
      </c>
    </row>
    <row r="986">
      <c r="A986" s="0" t="inlineStr">
        <is>
          <t>[둔촌동]</t>
        </is>
      </c>
      <c r="B986" s="0" t="n">
        <v>11470</v>
      </c>
      <c r="C986" s="0" t="n">
        <v>6</v>
      </c>
      <c r="D986" s="0" t="inlineStr">
        <is>
          <t>KNP</t>
        </is>
      </c>
      <c r="E986" s="0" t="inlineStr">
        <is>
          <t>2002.11.</t>
        </is>
      </c>
      <c r="F986" s="0" t="n">
        <v>19</v>
      </c>
      <c r="G986" s="0" t="n">
        <v>56.78</v>
      </c>
      <c r="H986" s="0" t="n">
        <v>187.72</v>
      </c>
      <c r="I986" s="0" t="n">
        <v>49.45</v>
      </c>
      <c r="J986" s="0" t="n">
        <v>163.5</v>
      </c>
      <c r="K986" s="0" t="n">
        <v>1</v>
      </c>
      <c r="T986" s="0" t="n">
        <v>3</v>
      </c>
      <c r="U986" s="0" t="n">
        <v>2</v>
      </c>
      <c r="V986" s="0" t="inlineStr">
        <is>
          <t>복도식</t>
        </is>
      </c>
      <c r="W986" s="0" t="n">
        <v>187</v>
      </c>
      <c r="X986" s="0" t="n">
        <v>7</v>
      </c>
      <c r="Y986" s="0" t="n">
        <v>6</v>
      </c>
      <c r="Z986" s="0" t="inlineStr">
        <is>
          <t>https://new.land.naver.com/complexes/11470?tab=detail&amp;rf=Y</t>
        </is>
      </c>
      <c r="AA986" s="0" t="inlineStr">
        <is>
          <t>서울시 강동구 둔촌동 67</t>
        </is>
      </c>
      <c r="AB986" s="0" t="inlineStr">
        <is>
          <t>서울시</t>
        </is>
      </c>
      <c r="AC986" s="0" t="inlineStr">
        <is>
          <t>강동구</t>
        </is>
      </c>
      <c r="AD986" s="0" t="inlineStr">
        <is>
          <t>둔촌동</t>
        </is>
      </c>
      <c r="AG986" s="0" t="inlineStr">
        <is>
          <t>서울시 강동구 진황도로 145</t>
        </is>
      </c>
      <c r="AH986" s="0" t="n">
        <v>0</v>
      </c>
      <c r="AI986" s="0" t="n">
        <v>266</v>
      </c>
      <c r="AJ986" s="0" t="n">
        <v>59</v>
      </c>
      <c r="AK986" s="0" t="n">
        <v>32</v>
      </c>
      <c r="AL986" s="0" t="n">
        <v>1.68</v>
      </c>
    </row>
    <row r="987">
      <c r="A987" s="0" t="inlineStr">
        <is>
          <t>[둔촌동]</t>
        </is>
      </c>
      <c r="B987" s="0" t="n">
        <v>130305</v>
      </c>
      <c r="C987" s="0" t="n">
        <v>1</v>
      </c>
      <c r="D987" s="0" t="inlineStr">
        <is>
          <t>금강트레조빌(도시형)</t>
        </is>
      </c>
      <c r="E987" s="0" t="inlineStr">
        <is>
          <t>2013.05.</t>
        </is>
      </c>
      <c r="F987" s="0" t="n">
        <v>50</v>
      </c>
      <c r="G987" s="0" t="n">
        <v>13.77</v>
      </c>
      <c r="H987" s="0" t="n">
        <v>45.55</v>
      </c>
      <c r="I987" s="0" t="n">
        <v>11.05</v>
      </c>
      <c r="J987" s="0" t="n">
        <v>36.53</v>
      </c>
      <c r="K987" s="0" t="n">
        <v>5</v>
      </c>
      <c r="T987" s="0" t="n">
        <v>1</v>
      </c>
      <c r="U987" s="0" t="n">
        <v>1</v>
      </c>
      <c r="V987" s="0" t="inlineStr">
        <is>
          <t>계단식</t>
        </is>
      </c>
      <c r="W987" s="0" t="inlineStr">
        <is>
          <t>45A</t>
        </is>
      </c>
      <c r="X987" s="0" t="n">
        <v>6</v>
      </c>
      <c r="Y987" s="0" t="n">
        <v>6</v>
      </c>
      <c r="Z987" s="0" t="inlineStr">
        <is>
          <t>https://new.land.naver.com/complexes/130305?tab=detail&amp;rf=Y</t>
        </is>
      </c>
      <c r="AA987" s="0" t="inlineStr">
        <is>
          <t>서울시 강동구 둔촌동 442</t>
        </is>
      </c>
      <c r="AB987" s="0" t="inlineStr">
        <is>
          <t>서울시</t>
        </is>
      </c>
      <c r="AC987" s="0" t="inlineStr">
        <is>
          <t>강동구</t>
        </is>
      </c>
      <c r="AD987" s="0" t="inlineStr">
        <is>
          <t>둔촌동</t>
        </is>
      </c>
      <c r="AG987" s="0" t="inlineStr">
        <is>
          <t>서울시 강동구 양재대로100길 13-8</t>
        </is>
      </c>
      <c r="AH987" s="0" t="n">
        <v>0</v>
      </c>
      <c r="AI987" s="0" t="n">
        <v>152</v>
      </c>
      <c r="AJ987" s="0" t="n">
        <v>42</v>
      </c>
      <c r="AK987" s="0" t="n">
        <v>40</v>
      </c>
      <c r="AL987" s="0" t="n">
        <v>0.8</v>
      </c>
    </row>
    <row r="988">
      <c r="A988" s="0" t="inlineStr">
        <is>
          <t>[둔촌동]</t>
        </is>
      </c>
      <c r="B988" s="0" t="n">
        <v>130305</v>
      </c>
      <c r="C988" s="0" t="n">
        <v>2</v>
      </c>
      <c r="D988" s="0" t="inlineStr">
        <is>
          <t>금강트레조빌(도시형)</t>
        </is>
      </c>
      <c r="E988" s="0" t="inlineStr">
        <is>
          <t>2013.05.</t>
        </is>
      </c>
      <c r="F988" s="0" t="n">
        <v>50</v>
      </c>
      <c r="G988" s="0" t="n">
        <v>14.38</v>
      </c>
      <c r="H988" s="0" t="n">
        <v>47.57</v>
      </c>
      <c r="I988" s="0" t="n">
        <v>11.54</v>
      </c>
      <c r="J988" s="0" t="n">
        <v>38.16</v>
      </c>
      <c r="K988" s="0" t="n">
        <v>5</v>
      </c>
      <c r="T988" s="0" t="n">
        <v>1</v>
      </c>
      <c r="U988" s="0" t="n">
        <v>1</v>
      </c>
      <c r="V988" s="0" t="inlineStr">
        <is>
          <t>복도식</t>
        </is>
      </c>
      <c r="W988" s="0" t="inlineStr">
        <is>
          <t>47B</t>
        </is>
      </c>
      <c r="X988" s="0" t="n">
        <v>6</v>
      </c>
      <c r="Y988" s="0" t="n">
        <v>6</v>
      </c>
      <c r="Z988" s="0" t="inlineStr">
        <is>
          <t>https://new.land.naver.com/complexes/130305?tab=detail&amp;rf=Y</t>
        </is>
      </c>
      <c r="AA988" s="0" t="inlineStr">
        <is>
          <t>서울시 강동구 둔촌동 442</t>
        </is>
      </c>
      <c r="AB988" s="0" t="inlineStr">
        <is>
          <t>서울시</t>
        </is>
      </c>
      <c r="AC988" s="0" t="inlineStr">
        <is>
          <t>강동구</t>
        </is>
      </c>
      <c r="AD988" s="0" t="inlineStr">
        <is>
          <t>둔촌동</t>
        </is>
      </c>
      <c r="AG988" s="0" t="inlineStr">
        <is>
          <t>서울시 강동구 양재대로100길 13-8</t>
        </is>
      </c>
      <c r="AH988" s="0" t="n">
        <v>0</v>
      </c>
      <c r="AI988" s="0" t="n">
        <v>152</v>
      </c>
      <c r="AJ988" s="0" t="n">
        <v>42</v>
      </c>
      <c r="AK988" s="0" t="n">
        <v>40</v>
      </c>
      <c r="AL988" s="0" t="n">
        <v>0.8</v>
      </c>
    </row>
    <row r="989">
      <c r="A989" s="0" t="inlineStr">
        <is>
          <t>[둔촌동]</t>
        </is>
      </c>
      <c r="B989" s="0" t="n">
        <v>130305</v>
      </c>
      <c r="C989" s="0" t="n">
        <v>3</v>
      </c>
      <c r="D989" s="0" t="inlineStr">
        <is>
          <t>금강트레조빌(도시형)</t>
        </is>
      </c>
      <c r="E989" s="0" t="inlineStr">
        <is>
          <t>2013.05.</t>
        </is>
      </c>
      <c r="F989" s="0" t="n">
        <v>50</v>
      </c>
      <c r="G989" s="0" t="n">
        <v>14.61</v>
      </c>
      <c r="H989" s="0" t="n">
        <v>48.3</v>
      </c>
      <c r="I989" s="0" t="n">
        <v>11.71</v>
      </c>
      <c r="J989" s="0" t="n">
        <v>38.74</v>
      </c>
      <c r="K989" s="0" t="n">
        <v>2</v>
      </c>
      <c r="T989" s="0" t="n">
        <v>1</v>
      </c>
      <c r="U989" s="0" t="n">
        <v>1</v>
      </c>
      <c r="V989" s="0" t="inlineStr">
        <is>
          <t>복도식</t>
        </is>
      </c>
      <c r="W989" s="0" t="n">
        <v>48</v>
      </c>
      <c r="X989" s="0" t="n">
        <v>6</v>
      </c>
      <c r="Y989" s="0" t="n">
        <v>6</v>
      </c>
      <c r="Z989" s="0" t="inlineStr">
        <is>
          <t>https://new.land.naver.com/complexes/130305?tab=detail&amp;rf=Y</t>
        </is>
      </c>
      <c r="AA989" s="0" t="inlineStr">
        <is>
          <t>서울시 강동구 둔촌동 442</t>
        </is>
      </c>
      <c r="AB989" s="0" t="inlineStr">
        <is>
          <t>서울시</t>
        </is>
      </c>
      <c r="AC989" s="0" t="inlineStr">
        <is>
          <t>강동구</t>
        </is>
      </c>
      <c r="AD989" s="0" t="inlineStr">
        <is>
          <t>둔촌동</t>
        </is>
      </c>
      <c r="AG989" s="0" t="inlineStr">
        <is>
          <t>서울시 강동구 양재대로100길 13-8</t>
        </is>
      </c>
      <c r="AH989" s="0" t="n">
        <v>0</v>
      </c>
      <c r="AI989" s="0" t="n">
        <v>152</v>
      </c>
      <c r="AJ989" s="0" t="n">
        <v>42</v>
      </c>
      <c r="AK989" s="0" t="n">
        <v>40</v>
      </c>
      <c r="AL989" s="0" t="n">
        <v>0.8</v>
      </c>
    </row>
    <row r="990">
      <c r="A990" s="0" t="inlineStr">
        <is>
          <t>[둔촌동]</t>
        </is>
      </c>
      <c r="B990" s="0" t="n">
        <v>130305</v>
      </c>
      <c r="C990" s="0" t="n">
        <v>4</v>
      </c>
      <c r="D990" s="0" t="inlineStr">
        <is>
          <t>금강트레조빌(도시형)</t>
        </is>
      </c>
      <c r="E990" s="0" t="inlineStr">
        <is>
          <t>2013.05.</t>
        </is>
      </c>
      <c r="F990" s="0" t="n">
        <v>50</v>
      </c>
      <c r="G990" s="0" t="n">
        <v>19.65</v>
      </c>
      <c r="H990" s="0" t="n">
        <v>64.98999999999999</v>
      </c>
      <c r="I990" s="0" t="n">
        <v>15.76</v>
      </c>
      <c r="J990" s="0" t="n">
        <v>52.13</v>
      </c>
      <c r="K990" s="0" t="n">
        <v>1</v>
      </c>
      <c r="T990" s="0" t="n">
        <v>2</v>
      </c>
      <c r="U990" s="0" t="n">
        <v>1</v>
      </c>
      <c r="V990" s="0" t="inlineStr">
        <is>
          <t>복도식</t>
        </is>
      </c>
      <c r="W990" s="0" t="inlineStr">
        <is>
          <t>64A</t>
        </is>
      </c>
      <c r="X990" s="0" t="n">
        <v>6</v>
      </c>
      <c r="Y990" s="0" t="n">
        <v>6</v>
      </c>
      <c r="Z990" s="0" t="inlineStr">
        <is>
          <t>https://new.land.naver.com/complexes/130305?tab=detail&amp;rf=Y</t>
        </is>
      </c>
      <c r="AA990" s="0" t="inlineStr">
        <is>
          <t>서울시 강동구 둔촌동 442</t>
        </is>
      </c>
      <c r="AB990" s="0" t="inlineStr">
        <is>
          <t>서울시</t>
        </is>
      </c>
      <c r="AC990" s="0" t="inlineStr">
        <is>
          <t>강동구</t>
        </is>
      </c>
      <c r="AD990" s="0" t="inlineStr">
        <is>
          <t>둔촌동</t>
        </is>
      </c>
      <c r="AG990" s="0" t="inlineStr">
        <is>
          <t>서울시 강동구 양재대로100길 13-8</t>
        </is>
      </c>
      <c r="AH990" s="0" t="n">
        <v>0</v>
      </c>
      <c r="AI990" s="0" t="n">
        <v>152</v>
      </c>
      <c r="AJ990" s="0" t="n">
        <v>42</v>
      </c>
      <c r="AK990" s="0" t="n">
        <v>40</v>
      </c>
      <c r="AL990" s="0" t="n">
        <v>0.8</v>
      </c>
    </row>
    <row r="991">
      <c r="A991" s="0" t="inlineStr">
        <is>
          <t>[둔촌동]</t>
        </is>
      </c>
      <c r="B991" s="0" t="n">
        <v>130305</v>
      </c>
      <c r="C991" s="0" t="n">
        <v>5</v>
      </c>
      <c r="D991" s="0" t="inlineStr">
        <is>
          <t>금강트레조빌(도시형)</t>
        </is>
      </c>
      <c r="E991" s="0" t="inlineStr">
        <is>
          <t>2013.05.</t>
        </is>
      </c>
      <c r="F991" s="0" t="n">
        <v>50</v>
      </c>
      <c r="G991" s="0" t="n">
        <v>19.8</v>
      </c>
      <c r="H991" s="0" t="n">
        <v>65.48</v>
      </c>
      <c r="I991" s="0" t="n">
        <v>15.88</v>
      </c>
      <c r="J991" s="0" t="n">
        <v>52.51</v>
      </c>
      <c r="K991" s="0" t="n">
        <v>36</v>
      </c>
      <c r="T991" s="0" t="n">
        <v>2</v>
      </c>
      <c r="U991" s="0" t="n">
        <v>1</v>
      </c>
      <c r="V991" s="0" t="inlineStr">
        <is>
          <t>계단식</t>
        </is>
      </c>
      <c r="W991" s="0" t="inlineStr">
        <is>
          <t>65C</t>
        </is>
      </c>
      <c r="X991" s="0" t="n">
        <v>6</v>
      </c>
      <c r="Y991" s="0" t="n">
        <v>6</v>
      </c>
      <c r="Z991" s="0" t="inlineStr">
        <is>
          <t>https://new.land.naver.com/complexes/130305?tab=detail&amp;rf=Y</t>
        </is>
      </c>
      <c r="AA991" s="0" t="inlineStr">
        <is>
          <t>서울시 강동구 둔촌동 442</t>
        </is>
      </c>
      <c r="AB991" s="0" t="inlineStr">
        <is>
          <t>서울시</t>
        </is>
      </c>
      <c r="AC991" s="0" t="inlineStr">
        <is>
          <t>강동구</t>
        </is>
      </c>
      <c r="AD991" s="0" t="inlineStr">
        <is>
          <t>둔촌동</t>
        </is>
      </c>
      <c r="AG991" s="0" t="inlineStr">
        <is>
          <t>서울시 강동구 양재대로100길 13-8</t>
        </is>
      </c>
      <c r="AH991" s="0" t="n">
        <v>0</v>
      </c>
      <c r="AI991" s="0" t="n">
        <v>152</v>
      </c>
      <c r="AJ991" s="0" t="n">
        <v>42</v>
      </c>
      <c r="AK991" s="0" t="n">
        <v>40</v>
      </c>
      <c r="AL991" s="0" t="n">
        <v>0.8</v>
      </c>
    </row>
    <row r="992">
      <c r="A992" s="0" t="inlineStr">
        <is>
          <t>[둔촌동]</t>
        </is>
      </c>
      <c r="B992" s="0" t="n">
        <v>130305</v>
      </c>
      <c r="C992" s="0" t="n">
        <v>6</v>
      </c>
      <c r="D992" s="0" t="inlineStr">
        <is>
          <t>금강트레조빌(도시형)</t>
        </is>
      </c>
      <c r="E992" s="0" t="inlineStr">
        <is>
          <t>2013.05.</t>
        </is>
      </c>
      <c r="F992" s="0" t="n">
        <v>50</v>
      </c>
      <c r="G992" s="0" t="n">
        <v>19.78</v>
      </c>
      <c r="H992" s="0" t="n">
        <v>65.42</v>
      </c>
      <c r="I992" s="0" t="n">
        <v>15.87</v>
      </c>
      <c r="J992" s="0" t="n">
        <v>52.47</v>
      </c>
      <c r="K992" s="0" t="n">
        <v>1</v>
      </c>
      <c r="T992" s="0" t="n">
        <v>2</v>
      </c>
      <c r="U992" s="0" t="n">
        <v>1</v>
      </c>
      <c r="V992" s="0" t="inlineStr">
        <is>
          <t>복도식</t>
        </is>
      </c>
      <c r="W992" s="0" t="inlineStr">
        <is>
          <t>65B</t>
        </is>
      </c>
      <c r="X992" s="0" t="n">
        <v>6</v>
      </c>
      <c r="Y992" s="0" t="n">
        <v>6</v>
      </c>
      <c r="Z992" s="0" t="inlineStr">
        <is>
          <t>https://new.land.naver.com/complexes/130305?tab=detail&amp;rf=Y</t>
        </is>
      </c>
      <c r="AA992" s="0" t="inlineStr">
        <is>
          <t>서울시 강동구 둔촌동 442</t>
        </is>
      </c>
      <c r="AB992" s="0" t="inlineStr">
        <is>
          <t>서울시</t>
        </is>
      </c>
      <c r="AC992" s="0" t="inlineStr">
        <is>
          <t>강동구</t>
        </is>
      </c>
      <c r="AD992" s="0" t="inlineStr">
        <is>
          <t>둔촌동</t>
        </is>
      </c>
      <c r="AG992" s="0" t="inlineStr">
        <is>
          <t>서울시 강동구 양재대로100길 13-8</t>
        </is>
      </c>
      <c r="AH992" s="0" t="n">
        <v>0</v>
      </c>
      <c r="AI992" s="0" t="n">
        <v>152</v>
      </c>
      <c r="AJ992" s="0" t="n">
        <v>42</v>
      </c>
      <c r="AK992" s="0" t="n">
        <v>40</v>
      </c>
      <c r="AL992" s="0" t="n">
        <v>0.8</v>
      </c>
    </row>
    <row r="993">
      <c r="A993" s="0" t="inlineStr">
        <is>
          <t>[둔촌동]</t>
        </is>
      </c>
      <c r="B993" s="0" t="n">
        <v>102490</v>
      </c>
      <c r="C993" s="0" t="n">
        <v>1</v>
      </c>
      <c r="D993" s="0" t="inlineStr">
        <is>
          <t>다원애버니아</t>
        </is>
      </c>
      <c r="E993" s="0" t="inlineStr">
        <is>
          <t>2004.02.</t>
        </is>
      </c>
      <c r="F993" s="0" t="n">
        <v>19</v>
      </c>
      <c r="G993" s="0" t="n">
        <v>23.54</v>
      </c>
      <c r="H993" s="0" t="n">
        <v>77.84</v>
      </c>
      <c r="I993" s="0" t="n">
        <v>20.82</v>
      </c>
      <c r="J993" s="0" t="n">
        <v>68.83</v>
      </c>
      <c r="K993" s="0" t="n">
        <v>1</v>
      </c>
      <c r="T993" s="0" t="n">
        <v>3</v>
      </c>
      <c r="U993" s="0" t="n">
        <v>2</v>
      </c>
      <c r="V993" s="0" t="inlineStr">
        <is>
          <t>계단식</t>
        </is>
      </c>
      <c r="W993" s="0" t="n">
        <v>77</v>
      </c>
      <c r="X993" s="0" t="n">
        <v>7</v>
      </c>
      <c r="Y993" s="0" t="n">
        <v>6</v>
      </c>
      <c r="Z993" s="0" t="inlineStr">
        <is>
          <t>https://new.land.naver.com/complexes/102490?tab=detail&amp;rf=Y</t>
        </is>
      </c>
      <c r="AA993" s="0" t="inlineStr">
        <is>
          <t>서울시 강동구 둔촌동 490-3</t>
        </is>
      </c>
      <c r="AB993" s="0" t="inlineStr">
        <is>
          <t>서울시</t>
        </is>
      </c>
      <c r="AC993" s="0" t="inlineStr">
        <is>
          <t>강동구</t>
        </is>
      </c>
      <c r="AD993" s="0" t="inlineStr">
        <is>
          <t>둔촌동</t>
        </is>
      </c>
      <c r="AG993" s="0" t="inlineStr">
        <is>
          <t>서울시 강동구 양재대로98길 26</t>
        </is>
      </c>
      <c r="AH993" s="0" t="n">
        <v>0</v>
      </c>
      <c r="AI993" s="0" t="n">
        <v>266</v>
      </c>
      <c r="AJ993" s="0" t="n">
        <v>45</v>
      </c>
      <c r="AK993" s="0" t="n">
        <v>22</v>
      </c>
      <c r="AL993" s="0" t="n">
        <v>1.16</v>
      </c>
    </row>
    <row r="994">
      <c r="A994" s="0" t="inlineStr">
        <is>
          <t>[둔촌동]</t>
        </is>
      </c>
      <c r="B994" s="0" t="n">
        <v>102490</v>
      </c>
      <c r="C994" s="0" t="n">
        <v>2</v>
      </c>
      <c r="D994" s="0" t="inlineStr">
        <is>
          <t>다원애버니아</t>
        </is>
      </c>
      <c r="E994" s="0" t="inlineStr">
        <is>
          <t>2004.02.</t>
        </is>
      </c>
      <c r="F994" s="0" t="n">
        <v>19</v>
      </c>
      <c r="G994" s="0" t="n">
        <v>28.03</v>
      </c>
      <c r="H994" s="0" t="n">
        <v>92.67</v>
      </c>
      <c r="I994" s="0" t="n">
        <v>24.78</v>
      </c>
      <c r="J994" s="0" t="n">
        <v>81.94</v>
      </c>
      <c r="K994" s="0" t="n">
        <v>6</v>
      </c>
      <c r="T994" s="0" t="n">
        <v>3</v>
      </c>
      <c r="U994" s="0" t="n">
        <v>2</v>
      </c>
      <c r="V994" s="0" t="inlineStr">
        <is>
          <t>계단식</t>
        </is>
      </c>
      <c r="W994" s="0" t="inlineStr">
        <is>
          <t>92B</t>
        </is>
      </c>
      <c r="X994" s="0" t="n">
        <v>7</v>
      </c>
      <c r="Y994" s="0" t="n">
        <v>6</v>
      </c>
      <c r="Z994" s="0" t="inlineStr">
        <is>
          <t>https://new.land.naver.com/complexes/102490?tab=detail&amp;rf=Y</t>
        </is>
      </c>
      <c r="AA994" s="0" t="inlineStr">
        <is>
          <t>서울시 강동구 둔촌동 490-3</t>
        </is>
      </c>
      <c r="AB994" s="0" t="inlineStr">
        <is>
          <t>서울시</t>
        </is>
      </c>
      <c r="AC994" s="0" t="inlineStr">
        <is>
          <t>강동구</t>
        </is>
      </c>
      <c r="AD994" s="0" t="inlineStr">
        <is>
          <t>둔촌동</t>
        </is>
      </c>
      <c r="AG994" s="0" t="inlineStr">
        <is>
          <t>서울시 강동구 양재대로98길 26</t>
        </is>
      </c>
      <c r="AH994" s="0" t="n">
        <v>0</v>
      </c>
      <c r="AI994" s="0" t="n">
        <v>266</v>
      </c>
      <c r="AJ994" s="0" t="n">
        <v>45</v>
      </c>
      <c r="AK994" s="0" t="n">
        <v>22</v>
      </c>
      <c r="AL994" s="0" t="n">
        <v>1.16</v>
      </c>
    </row>
    <row r="995">
      <c r="A995" s="0" t="inlineStr">
        <is>
          <t>[둔촌동]</t>
        </is>
      </c>
      <c r="B995" s="0" t="n">
        <v>102490</v>
      </c>
      <c r="C995" s="0" t="n">
        <v>3</v>
      </c>
      <c r="D995" s="0" t="inlineStr">
        <is>
          <t>다원애버니아</t>
        </is>
      </c>
      <c r="E995" s="0" t="inlineStr">
        <is>
          <t>2004.02.</t>
        </is>
      </c>
      <c r="F995" s="0" t="n">
        <v>19</v>
      </c>
      <c r="G995" s="0" t="n">
        <v>28</v>
      </c>
      <c r="H995" s="0" t="n">
        <v>92.59</v>
      </c>
      <c r="I995" s="0" t="n">
        <v>24.76</v>
      </c>
      <c r="J995" s="0" t="n">
        <v>81.87</v>
      </c>
      <c r="K995" s="0" t="n">
        <v>5</v>
      </c>
      <c r="T995" s="0" t="n">
        <v>3</v>
      </c>
      <c r="U995" s="0" t="n">
        <v>2</v>
      </c>
      <c r="V995" s="0" t="inlineStr">
        <is>
          <t>계단식</t>
        </is>
      </c>
      <c r="W995" s="0" t="inlineStr">
        <is>
          <t>92A</t>
        </is>
      </c>
      <c r="X995" s="0" t="n">
        <v>7</v>
      </c>
      <c r="Y995" s="0" t="n">
        <v>6</v>
      </c>
      <c r="Z995" s="0" t="inlineStr">
        <is>
          <t>https://new.land.naver.com/complexes/102490?tab=detail&amp;rf=Y</t>
        </is>
      </c>
      <c r="AA995" s="0" t="inlineStr">
        <is>
          <t>서울시 강동구 둔촌동 490-3</t>
        </is>
      </c>
      <c r="AB995" s="0" t="inlineStr">
        <is>
          <t>서울시</t>
        </is>
      </c>
      <c r="AC995" s="0" t="inlineStr">
        <is>
          <t>강동구</t>
        </is>
      </c>
      <c r="AD995" s="0" t="inlineStr">
        <is>
          <t>둔촌동</t>
        </is>
      </c>
      <c r="AG995" s="0" t="inlineStr">
        <is>
          <t>서울시 강동구 양재대로98길 26</t>
        </is>
      </c>
      <c r="AH995" s="0" t="n">
        <v>0</v>
      </c>
      <c r="AI995" s="0" t="n">
        <v>266</v>
      </c>
      <c r="AJ995" s="0" t="n">
        <v>45</v>
      </c>
      <c r="AK995" s="0" t="n">
        <v>22</v>
      </c>
      <c r="AL995" s="0" t="n">
        <v>1.16</v>
      </c>
    </row>
    <row r="996">
      <c r="A996" s="0" t="inlineStr">
        <is>
          <t>[둔촌동]</t>
        </is>
      </c>
      <c r="B996" s="0" t="n">
        <v>102490</v>
      </c>
      <c r="C996" s="0" t="n">
        <v>4</v>
      </c>
      <c r="D996" s="0" t="inlineStr">
        <is>
          <t>다원애버니아</t>
        </is>
      </c>
      <c r="E996" s="0" t="inlineStr">
        <is>
          <t>2004.02.</t>
        </is>
      </c>
      <c r="F996" s="0" t="n">
        <v>19</v>
      </c>
      <c r="G996" s="0" t="n">
        <v>28.41</v>
      </c>
      <c r="H996" s="0" t="n">
        <v>93.94</v>
      </c>
      <c r="I996" s="0" t="n">
        <v>25.12</v>
      </c>
      <c r="J996" s="0" t="n">
        <v>83.06999999999999</v>
      </c>
      <c r="K996" s="0" t="n">
        <v>1</v>
      </c>
      <c r="T996" s="0" t="n">
        <v>3</v>
      </c>
      <c r="U996" s="0" t="n">
        <v>2</v>
      </c>
      <c r="V996" s="0" t="inlineStr">
        <is>
          <t>계단식</t>
        </is>
      </c>
      <c r="W996" s="0" t="inlineStr">
        <is>
          <t>93C</t>
        </is>
      </c>
      <c r="X996" s="0" t="n">
        <v>7</v>
      </c>
      <c r="Y996" s="0" t="n">
        <v>6</v>
      </c>
      <c r="Z996" s="0" t="inlineStr">
        <is>
          <t>https://new.land.naver.com/complexes/102490?tab=detail&amp;rf=Y</t>
        </is>
      </c>
      <c r="AA996" s="0" t="inlineStr">
        <is>
          <t>서울시 강동구 둔촌동 490-3</t>
        </is>
      </c>
      <c r="AB996" s="0" t="inlineStr">
        <is>
          <t>서울시</t>
        </is>
      </c>
      <c r="AC996" s="0" t="inlineStr">
        <is>
          <t>강동구</t>
        </is>
      </c>
      <c r="AD996" s="0" t="inlineStr">
        <is>
          <t>둔촌동</t>
        </is>
      </c>
      <c r="AG996" s="0" t="inlineStr">
        <is>
          <t>서울시 강동구 양재대로98길 26</t>
        </is>
      </c>
      <c r="AH996" s="0" t="n">
        <v>0</v>
      </c>
      <c r="AI996" s="0" t="n">
        <v>266</v>
      </c>
      <c r="AJ996" s="0" t="n">
        <v>45</v>
      </c>
      <c r="AK996" s="0" t="n">
        <v>22</v>
      </c>
      <c r="AL996" s="0" t="n">
        <v>1.16</v>
      </c>
    </row>
    <row r="997">
      <c r="A997" s="0" t="inlineStr">
        <is>
          <t>[둔촌동]</t>
        </is>
      </c>
      <c r="B997" s="0" t="n">
        <v>102490</v>
      </c>
      <c r="C997" s="0" t="n">
        <v>5</v>
      </c>
      <c r="D997" s="0" t="inlineStr">
        <is>
          <t>다원애버니아</t>
        </is>
      </c>
      <c r="E997" s="0" t="inlineStr">
        <is>
          <t>2004.02.</t>
        </is>
      </c>
      <c r="F997" s="0" t="n">
        <v>19</v>
      </c>
      <c r="G997" s="0" t="n">
        <v>29.05</v>
      </c>
      <c r="H997" s="0" t="n">
        <v>96.05</v>
      </c>
      <c r="I997" s="0" t="n">
        <v>25.69</v>
      </c>
      <c r="J997" s="0" t="n">
        <v>84.93000000000001</v>
      </c>
      <c r="K997" s="0" t="n">
        <v>5</v>
      </c>
      <c r="T997" s="0" t="n">
        <v>3</v>
      </c>
      <c r="U997" s="0" t="n">
        <v>2</v>
      </c>
      <c r="V997" s="0" t="inlineStr">
        <is>
          <t>계단식</t>
        </is>
      </c>
      <c r="W997" s="0" t="n">
        <v>96</v>
      </c>
      <c r="X997" s="0" t="n">
        <v>7</v>
      </c>
      <c r="Y997" s="0" t="n">
        <v>6</v>
      </c>
      <c r="Z997" s="0" t="inlineStr">
        <is>
          <t>https://new.land.naver.com/complexes/102490?tab=detail&amp;rf=Y</t>
        </is>
      </c>
      <c r="AA997" s="0" t="inlineStr">
        <is>
          <t>서울시 강동구 둔촌동 490-3</t>
        </is>
      </c>
      <c r="AB997" s="0" t="inlineStr">
        <is>
          <t>서울시</t>
        </is>
      </c>
      <c r="AC997" s="0" t="inlineStr">
        <is>
          <t>강동구</t>
        </is>
      </c>
      <c r="AD997" s="0" t="inlineStr">
        <is>
          <t>둔촌동</t>
        </is>
      </c>
      <c r="AG997" s="0" t="inlineStr">
        <is>
          <t>서울시 강동구 양재대로98길 26</t>
        </is>
      </c>
      <c r="AH997" s="0" t="n">
        <v>0</v>
      </c>
      <c r="AI997" s="0" t="n">
        <v>266</v>
      </c>
      <c r="AJ997" s="0" t="n">
        <v>45</v>
      </c>
      <c r="AK997" s="0" t="n">
        <v>22</v>
      </c>
      <c r="AL997" s="0" t="n">
        <v>1.16</v>
      </c>
    </row>
    <row r="998">
      <c r="A998" s="0" t="inlineStr">
        <is>
          <t>[둔촌동]</t>
        </is>
      </c>
      <c r="B998" s="0" t="n">
        <v>102490</v>
      </c>
      <c r="C998" s="0" t="n">
        <v>6</v>
      </c>
      <c r="D998" s="0" t="inlineStr">
        <is>
          <t>다원애버니아</t>
        </is>
      </c>
      <c r="E998" s="0" t="inlineStr">
        <is>
          <t>2004.02.</t>
        </is>
      </c>
      <c r="F998" s="0" t="n">
        <v>19</v>
      </c>
      <c r="G998" s="0" t="n">
        <v>38.08</v>
      </c>
      <c r="H998" s="0" t="n">
        <v>125.91</v>
      </c>
      <c r="I998" s="0" t="n">
        <v>33.68</v>
      </c>
      <c r="J998" s="0" t="n">
        <v>111.34</v>
      </c>
      <c r="K998" s="0" t="n">
        <v>1</v>
      </c>
      <c r="T998" s="0" t="n">
        <v>3</v>
      </c>
      <c r="U998" s="0" t="n">
        <v>2</v>
      </c>
      <c r="V998" s="0" t="inlineStr">
        <is>
          <t>계단식</t>
        </is>
      </c>
      <c r="W998" s="0" t="n">
        <v>125</v>
      </c>
      <c r="X998" s="0" t="n">
        <v>7</v>
      </c>
      <c r="Y998" s="0" t="n">
        <v>6</v>
      </c>
      <c r="Z998" s="0" t="inlineStr">
        <is>
          <t>https://new.land.naver.com/complexes/102490?tab=detail&amp;rf=Y</t>
        </is>
      </c>
      <c r="AA998" s="0" t="inlineStr">
        <is>
          <t>서울시 강동구 둔촌동 490-3</t>
        </is>
      </c>
      <c r="AB998" s="0" t="inlineStr">
        <is>
          <t>서울시</t>
        </is>
      </c>
      <c r="AC998" s="0" t="inlineStr">
        <is>
          <t>강동구</t>
        </is>
      </c>
      <c r="AD998" s="0" t="inlineStr">
        <is>
          <t>둔촌동</t>
        </is>
      </c>
      <c r="AG998" s="0" t="inlineStr">
        <is>
          <t>서울시 강동구 양재대로98길 26</t>
        </is>
      </c>
      <c r="AH998" s="0" t="n">
        <v>0</v>
      </c>
      <c r="AI998" s="0" t="n">
        <v>266</v>
      </c>
      <c r="AJ998" s="0" t="n">
        <v>45</v>
      </c>
      <c r="AK998" s="0" t="n">
        <v>22</v>
      </c>
      <c r="AL998" s="0" t="n">
        <v>1.16</v>
      </c>
    </row>
    <row r="999">
      <c r="A999" s="0" t="inlineStr">
        <is>
          <t>[둔촌동]</t>
        </is>
      </c>
      <c r="B999" s="0" t="n">
        <v>8487</v>
      </c>
      <c r="C999" s="0" t="n">
        <v>1</v>
      </c>
      <c r="D999" s="0" t="inlineStr">
        <is>
          <t>둔촌한솔솔파크</t>
        </is>
      </c>
      <c r="E999" s="0" t="inlineStr">
        <is>
          <t>2003.07.</t>
        </is>
      </c>
      <c r="F999" s="0" t="n">
        <v>132</v>
      </c>
      <c r="G999" s="0" t="n">
        <v>25.84</v>
      </c>
      <c r="H999" s="0" t="n">
        <v>85.43000000000001</v>
      </c>
      <c r="I999" s="0" t="n">
        <v>20.34</v>
      </c>
      <c r="J999" s="0" t="n">
        <v>67.23999999999999</v>
      </c>
      <c r="K999" s="0" t="n">
        <v>7</v>
      </c>
      <c r="T999" s="0" t="n">
        <v>3</v>
      </c>
      <c r="U999" s="0" t="n">
        <v>1</v>
      </c>
      <c r="V999" s="0" t="inlineStr">
        <is>
          <t>계단식</t>
        </is>
      </c>
      <c r="W999" s="0" t="n">
        <v>85</v>
      </c>
      <c r="X999" s="0" t="n">
        <v>15</v>
      </c>
      <c r="Y999" s="0" t="n">
        <v>6</v>
      </c>
      <c r="Z999" s="0" t="inlineStr">
        <is>
          <t>https://new.land.naver.com/complexes/8487?tab=detail&amp;rf=Y</t>
        </is>
      </c>
      <c r="AA999" s="0" t="inlineStr">
        <is>
          <t>서울시 강동구 둔촌동 611</t>
        </is>
      </c>
      <c r="AB999" s="0" t="inlineStr">
        <is>
          <t>서울시</t>
        </is>
      </c>
      <c r="AC999" s="0" t="inlineStr">
        <is>
          <t>강동구</t>
        </is>
      </c>
      <c r="AD999" s="0" t="inlineStr">
        <is>
          <t>둔촌동</t>
        </is>
      </c>
      <c r="AG999" s="0" t="inlineStr">
        <is>
          <t>서울시 강동구 천호대로198길 36</t>
        </is>
      </c>
      <c r="AH999" s="0" t="n">
        <v>0</v>
      </c>
      <c r="AI999" s="0" t="n">
        <v>235</v>
      </c>
      <c r="AJ999" s="0" t="n">
        <v>24</v>
      </c>
      <c r="AK999" s="0" t="n">
        <v>171</v>
      </c>
      <c r="AL999" s="0" t="n">
        <v>1.3</v>
      </c>
    </row>
    <row r="1000">
      <c r="A1000" s="0" t="inlineStr">
        <is>
          <t>[둔촌동]</t>
        </is>
      </c>
      <c r="B1000" s="0" t="n">
        <v>8487</v>
      </c>
      <c r="C1000" s="0" t="n">
        <v>2</v>
      </c>
      <c r="D1000" s="0" t="inlineStr">
        <is>
          <t>둔촌한솔솔파크</t>
        </is>
      </c>
      <c r="E1000" s="0" t="inlineStr">
        <is>
          <t>2003.07.</t>
        </is>
      </c>
      <c r="F1000" s="0" t="n">
        <v>132</v>
      </c>
      <c r="G1000" s="0" t="n">
        <v>31.52</v>
      </c>
      <c r="H1000" s="0" t="n">
        <v>104.2</v>
      </c>
      <c r="I1000" s="0" t="n">
        <v>25.55</v>
      </c>
      <c r="J1000" s="0" t="n">
        <v>84.48999999999999</v>
      </c>
      <c r="K1000" s="0" t="n">
        <v>81</v>
      </c>
      <c r="T1000" s="0" t="n">
        <v>3</v>
      </c>
      <c r="U1000" s="0" t="n">
        <v>2</v>
      </c>
      <c r="V1000" s="0" t="inlineStr">
        <is>
          <t>계단식</t>
        </is>
      </c>
      <c r="W1000" s="0" t="n">
        <v>104</v>
      </c>
      <c r="X1000" s="0" t="n">
        <v>15</v>
      </c>
      <c r="Y1000" s="0" t="n">
        <v>6</v>
      </c>
      <c r="Z1000" s="0" t="inlineStr">
        <is>
          <t>https://new.land.naver.com/complexes/8487?tab=detail&amp;rf=Y</t>
        </is>
      </c>
      <c r="AA1000" s="0" t="inlineStr">
        <is>
          <t>서울시 강동구 둔촌동 611</t>
        </is>
      </c>
      <c r="AB1000" s="0" t="inlineStr">
        <is>
          <t>서울시</t>
        </is>
      </c>
      <c r="AC1000" s="0" t="inlineStr">
        <is>
          <t>강동구</t>
        </is>
      </c>
      <c r="AD1000" s="0" t="inlineStr">
        <is>
          <t>둔촌동</t>
        </is>
      </c>
      <c r="AG1000" s="0" t="inlineStr">
        <is>
          <t>서울시 강동구 천호대로198길 36</t>
        </is>
      </c>
      <c r="AH1000" s="0" t="n">
        <v>0</v>
      </c>
      <c r="AI1000" s="0" t="n">
        <v>235</v>
      </c>
      <c r="AJ1000" s="0" t="n">
        <v>24</v>
      </c>
      <c r="AK1000" s="0" t="n">
        <v>171</v>
      </c>
      <c r="AL1000" s="0" t="n">
        <v>1.3</v>
      </c>
    </row>
    <row r="1001">
      <c r="A1001" s="0" t="inlineStr">
        <is>
          <t>[둔촌동]</t>
        </is>
      </c>
      <c r="B1001" s="0" t="n">
        <v>8487</v>
      </c>
      <c r="C1001" s="0" t="n">
        <v>3</v>
      </c>
      <c r="D1001" s="0" t="inlineStr">
        <is>
          <t>둔촌한솔솔파크</t>
        </is>
      </c>
      <c r="E1001" s="0" t="inlineStr">
        <is>
          <t>2003.07.</t>
        </is>
      </c>
      <c r="F1001" s="0" t="n">
        <v>132</v>
      </c>
      <c r="G1001" s="0" t="n">
        <v>36.1</v>
      </c>
      <c r="H1001" s="0" t="n">
        <v>119.35</v>
      </c>
      <c r="I1001" s="0" t="n">
        <v>29.04</v>
      </c>
      <c r="J1001" s="0" t="n">
        <v>96.03</v>
      </c>
      <c r="K1001" s="0" t="n">
        <v>1</v>
      </c>
      <c r="T1001" s="0" t="n">
        <v>3</v>
      </c>
      <c r="U1001" s="0" t="n">
        <v>2</v>
      </c>
      <c r="V1001" s="0" t="inlineStr">
        <is>
          <t>계단식</t>
        </is>
      </c>
      <c r="W1001" s="0" t="n">
        <v>119</v>
      </c>
      <c r="X1001" s="0" t="n">
        <v>15</v>
      </c>
      <c r="Y1001" s="0" t="n">
        <v>6</v>
      </c>
      <c r="Z1001" s="0" t="inlineStr">
        <is>
          <t>https://new.land.naver.com/complexes/8487?tab=detail&amp;rf=Y</t>
        </is>
      </c>
      <c r="AA1001" s="0" t="inlineStr">
        <is>
          <t>서울시 강동구 둔촌동 611</t>
        </is>
      </c>
      <c r="AB1001" s="0" t="inlineStr">
        <is>
          <t>서울시</t>
        </is>
      </c>
      <c r="AC1001" s="0" t="inlineStr">
        <is>
          <t>강동구</t>
        </is>
      </c>
      <c r="AD1001" s="0" t="inlineStr">
        <is>
          <t>둔촌동</t>
        </is>
      </c>
      <c r="AG1001" s="0" t="inlineStr">
        <is>
          <t>서울시 강동구 천호대로198길 36</t>
        </is>
      </c>
      <c r="AH1001" s="0" t="n">
        <v>0</v>
      </c>
      <c r="AI1001" s="0" t="n">
        <v>235</v>
      </c>
      <c r="AJ1001" s="0" t="n">
        <v>24</v>
      </c>
      <c r="AK1001" s="0" t="n">
        <v>171</v>
      </c>
      <c r="AL1001" s="0" t="n">
        <v>1.3</v>
      </c>
    </row>
    <row r="1002">
      <c r="A1002" s="0" t="inlineStr">
        <is>
          <t>[둔촌동]</t>
        </is>
      </c>
      <c r="B1002" s="0" t="n">
        <v>8487</v>
      </c>
      <c r="C1002" s="0" t="n">
        <v>4</v>
      </c>
      <c r="D1002" s="0" t="inlineStr">
        <is>
          <t>둔촌한솔솔파크</t>
        </is>
      </c>
      <c r="E1002" s="0" t="inlineStr">
        <is>
          <t>2003.07.</t>
        </is>
      </c>
      <c r="F1002" s="0" t="n">
        <v>132</v>
      </c>
      <c r="G1002" s="0" t="n">
        <v>38.52</v>
      </c>
      <c r="H1002" s="0" t="n">
        <v>127.37</v>
      </c>
      <c r="I1002" s="0" t="n">
        <v>32.3</v>
      </c>
      <c r="J1002" s="0" t="n">
        <v>106.79</v>
      </c>
      <c r="K1002" s="0" t="n">
        <v>38</v>
      </c>
      <c r="T1002" s="0" t="n">
        <v>4</v>
      </c>
      <c r="U1002" s="0" t="n">
        <v>2</v>
      </c>
      <c r="V1002" s="0" t="inlineStr">
        <is>
          <t>계단식</t>
        </is>
      </c>
      <c r="W1002" s="0" t="inlineStr">
        <is>
          <t>127B</t>
        </is>
      </c>
      <c r="X1002" s="0" t="n">
        <v>15</v>
      </c>
      <c r="Y1002" s="0" t="n">
        <v>6</v>
      </c>
      <c r="Z1002" s="0" t="inlineStr">
        <is>
          <t>https://new.land.naver.com/complexes/8487?tab=detail&amp;rf=Y</t>
        </is>
      </c>
      <c r="AA1002" s="0" t="inlineStr">
        <is>
          <t>서울시 강동구 둔촌동 611</t>
        </is>
      </c>
      <c r="AB1002" s="0" t="inlineStr">
        <is>
          <t>서울시</t>
        </is>
      </c>
      <c r="AC1002" s="0" t="inlineStr">
        <is>
          <t>강동구</t>
        </is>
      </c>
      <c r="AD1002" s="0" t="inlineStr">
        <is>
          <t>둔촌동</t>
        </is>
      </c>
      <c r="AG1002" s="0" t="inlineStr">
        <is>
          <t>서울시 강동구 천호대로198길 36</t>
        </is>
      </c>
      <c r="AH1002" s="0" t="n">
        <v>0</v>
      </c>
      <c r="AI1002" s="0" t="n">
        <v>235</v>
      </c>
      <c r="AJ1002" s="0" t="n">
        <v>24</v>
      </c>
      <c r="AK1002" s="0" t="n">
        <v>171</v>
      </c>
      <c r="AL1002" s="0" t="n">
        <v>1.3</v>
      </c>
    </row>
    <row r="1003">
      <c r="A1003" s="0" t="inlineStr">
        <is>
          <t>[둔촌동]</t>
        </is>
      </c>
      <c r="B1003" s="0" t="n">
        <v>8487</v>
      </c>
      <c r="C1003" s="0" t="n">
        <v>5</v>
      </c>
      <c r="D1003" s="0" t="inlineStr">
        <is>
          <t>둔촌한솔솔파크</t>
        </is>
      </c>
      <c r="E1003" s="0" t="inlineStr">
        <is>
          <t>2003.07.</t>
        </is>
      </c>
      <c r="F1003" s="0" t="n">
        <v>132</v>
      </c>
      <c r="G1003" s="0" t="n">
        <v>38.42</v>
      </c>
      <c r="H1003" s="0" t="n">
        <v>127.02</v>
      </c>
      <c r="I1003" s="0" t="n">
        <v>30.82</v>
      </c>
      <c r="J1003" s="0" t="n">
        <v>101.9</v>
      </c>
      <c r="K1003" s="0" t="n">
        <v>5</v>
      </c>
      <c r="T1003" s="0" t="n">
        <v>3</v>
      </c>
      <c r="U1003" s="0" t="n">
        <v>2</v>
      </c>
      <c r="V1003" s="0" t="inlineStr">
        <is>
          <t>계단식</t>
        </is>
      </c>
      <c r="W1003" s="0" t="inlineStr">
        <is>
          <t>127A</t>
        </is>
      </c>
      <c r="X1003" s="0" t="n">
        <v>15</v>
      </c>
      <c r="Y1003" s="0" t="n">
        <v>6</v>
      </c>
      <c r="Z1003" s="0" t="inlineStr">
        <is>
          <t>https://new.land.naver.com/complexes/8487?tab=detail&amp;rf=Y</t>
        </is>
      </c>
      <c r="AA1003" s="0" t="inlineStr">
        <is>
          <t>서울시 강동구 둔촌동 611</t>
        </is>
      </c>
      <c r="AB1003" s="0" t="inlineStr">
        <is>
          <t>서울시</t>
        </is>
      </c>
      <c r="AC1003" s="0" t="inlineStr">
        <is>
          <t>강동구</t>
        </is>
      </c>
      <c r="AD1003" s="0" t="inlineStr">
        <is>
          <t>둔촌동</t>
        </is>
      </c>
      <c r="AG1003" s="0" t="inlineStr">
        <is>
          <t>서울시 강동구 천호대로198길 36</t>
        </is>
      </c>
      <c r="AH1003" s="0" t="n">
        <v>0</v>
      </c>
      <c r="AI1003" s="0" t="n">
        <v>235</v>
      </c>
      <c r="AJ1003" s="0" t="n">
        <v>24</v>
      </c>
      <c r="AK1003" s="0" t="n">
        <v>171</v>
      </c>
      <c r="AL1003" s="0" t="n">
        <v>1.3</v>
      </c>
    </row>
    <row r="1004">
      <c r="A1004" s="0" t="inlineStr">
        <is>
          <t>[둔촌동]</t>
        </is>
      </c>
      <c r="B1004" s="0" t="n">
        <v>15254</v>
      </c>
      <c r="C1004" s="0" t="n">
        <v>1</v>
      </c>
      <c r="D1004" s="0" t="inlineStr">
        <is>
          <t>삼익</t>
        </is>
      </c>
      <c r="E1004" s="0" t="inlineStr">
        <is>
          <t>1985.10.</t>
        </is>
      </c>
      <c r="F1004" s="0" t="n">
        <v>66</v>
      </c>
      <c r="G1004" s="0" t="n">
        <v>38.72</v>
      </c>
      <c r="H1004" s="0" t="n">
        <v>128.01</v>
      </c>
      <c r="I1004" s="0" t="n">
        <v>34.84</v>
      </c>
      <c r="J1004" s="0" t="n">
        <v>115.2</v>
      </c>
      <c r="K1004" s="0" t="n">
        <v>30</v>
      </c>
      <c r="T1004" s="0" t="n">
        <v>3</v>
      </c>
      <c r="U1004" s="0" t="n">
        <v>2</v>
      </c>
      <c r="V1004" s="0" t="inlineStr">
        <is>
          <t>계단식</t>
        </is>
      </c>
      <c r="W1004" s="0" t="n">
        <v>128</v>
      </c>
      <c r="X1004" s="0" t="n">
        <v>3</v>
      </c>
      <c r="Y1004" s="0" t="n">
        <v>3</v>
      </c>
      <c r="Z1004" s="0" t="inlineStr">
        <is>
          <t>https://new.land.naver.com/complexes/15254?tab=detail&amp;rf=Y</t>
        </is>
      </c>
      <c r="AA1004" s="0" t="inlineStr">
        <is>
          <t>서울시 강동구 둔촌동 85-2</t>
        </is>
      </c>
      <c r="AB1004" s="0" t="inlineStr">
        <is>
          <t>서울시</t>
        </is>
      </c>
      <c r="AC1004" s="0" t="inlineStr">
        <is>
          <t>강동구</t>
        </is>
      </c>
      <c r="AD1004" s="0" t="inlineStr">
        <is>
          <t>둔촌동</t>
        </is>
      </c>
      <c r="AG1004" s="0" t="inlineStr">
        <is>
          <t>서울시 강동구 진황도로61길 25-23</t>
        </is>
      </c>
      <c r="AH1004" s="0" t="n">
        <v>0</v>
      </c>
      <c r="AI1004" s="0" t="n">
        <v>0</v>
      </c>
      <c r="AJ1004" s="0" t="n">
        <v>0</v>
      </c>
      <c r="AK1004" s="0" t="n">
        <v>82</v>
      </c>
      <c r="AL1004" s="0" t="n">
        <v>1.24</v>
      </c>
    </row>
    <row r="1005">
      <c r="A1005" s="0" t="inlineStr">
        <is>
          <t>[둔촌동]</t>
        </is>
      </c>
      <c r="B1005" s="0" t="n">
        <v>15254</v>
      </c>
      <c r="C1005" s="0" t="n">
        <v>2</v>
      </c>
      <c r="D1005" s="0" t="inlineStr">
        <is>
          <t>삼익</t>
        </is>
      </c>
      <c r="E1005" s="0" t="inlineStr">
        <is>
          <t>1985.10.</t>
        </is>
      </c>
      <c r="F1005" s="0" t="n">
        <v>66</v>
      </c>
      <c r="G1005" s="0" t="n">
        <v>41.8</v>
      </c>
      <c r="H1005" s="0" t="n">
        <v>138.2</v>
      </c>
      <c r="I1005" s="0" t="n">
        <v>37.78</v>
      </c>
      <c r="J1005" s="0" t="n">
        <v>124.92</v>
      </c>
      <c r="K1005" s="0" t="n">
        <v>36</v>
      </c>
      <c r="T1005" s="0" t="n">
        <v>4</v>
      </c>
      <c r="U1005" s="0" t="n">
        <v>2</v>
      </c>
      <c r="V1005" s="0" t="inlineStr">
        <is>
          <t>계단식</t>
        </is>
      </c>
      <c r="W1005" s="0" t="n">
        <v>138</v>
      </c>
      <c r="X1005" s="0" t="n">
        <v>3</v>
      </c>
      <c r="Y1005" s="0" t="n">
        <v>3</v>
      </c>
      <c r="Z1005" s="0" t="inlineStr">
        <is>
          <t>https://new.land.naver.com/complexes/15254?tab=detail&amp;rf=Y</t>
        </is>
      </c>
      <c r="AA1005" s="0" t="inlineStr">
        <is>
          <t>서울시 강동구 둔촌동 85-2</t>
        </is>
      </c>
      <c r="AB1005" s="0" t="inlineStr">
        <is>
          <t>서울시</t>
        </is>
      </c>
      <c r="AC1005" s="0" t="inlineStr">
        <is>
          <t>강동구</t>
        </is>
      </c>
      <c r="AD1005" s="0" t="inlineStr">
        <is>
          <t>둔촌동</t>
        </is>
      </c>
      <c r="AG1005" s="0" t="inlineStr">
        <is>
          <t>서울시 강동구 진황도로61길 25-23</t>
        </is>
      </c>
      <c r="AH1005" s="0" t="n">
        <v>0</v>
      </c>
      <c r="AI1005" s="0" t="n">
        <v>0</v>
      </c>
      <c r="AJ1005" s="0" t="n">
        <v>0</v>
      </c>
      <c r="AK1005" s="0" t="n">
        <v>82</v>
      </c>
      <c r="AL1005" s="0" t="n">
        <v>1.24</v>
      </c>
    </row>
    <row r="1006">
      <c r="A1006" s="0" t="inlineStr">
        <is>
          <t>[둔촌동]</t>
        </is>
      </c>
      <c r="B1006" s="0" t="n">
        <v>108621</v>
      </c>
      <c r="C1006" s="0" t="n">
        <v>1</v>
      </c>
      <c r="D1006" s="0" t="inlineStr">
        <is>
          <t>KNP로얄</t>
        </is>
      </c>
      <c r="E1006" s="0" t="inlineStr">
        <is>
          <t>2004.06.</t>
        </is>
      </c>
      <c r="F1006" s="0" t="n">
        <v>19</v>
      </c>
      <c r="G1006" s="0" t="n">
        <v>17.9</v>
      </c>
      <c r="H1006" s="0" t="n">
        <v>59.19</v>
      </c>
      <c r="I1006" s="0" t="n">
        <v>15.52</v>
      </c>
      <c r="J1006" s="0" t="n">
        <v>51.33</v>
      </c>
      <c r="K1006" s="0" t="n">
        <v>1</v>
      </c>
      <c r="T1006" s="0" t="n">
        <v>2</v>
      </c>
      <c r="U1006" s="0" t="n">
        <v>1</v>
      </c>
      <c r="V1006" s="0" t="inlineStr">
        <is>
          <t>계단식</t>
        </is>
      </c>
      <c r="W1006" s="0" t="n">
        <v>59</v>
      </c>
      <c r="X1006" s="0" t="n">
        <v>7</v>
      </c>
      <c r="Y1006" s="0" t="n">
        <v>7</v>
      </c>
      <c r="Z1006" s="0" t="inlineStr">
        <is>
          <t>https://new.land.naver.com/complexes/108621?tab=detail&amp;rf=Y</t>
        </is>
      </c>
      <c r="AA1006" s="0" t="inlineStr">
        <is>
          <t>서울시 강동구 둔촌동 511-2</t>
        </is>
      </c>
      <c r="AB1006" s="0" t="inlineStr">
        <is>
          <t>서울시</t>
        </is>
      </c>
      <c r="AC1006" s="0" t="inlineStr">
        <is>
          <t>강동구</t>
        </is>
      </c>
      <c r="AD1006" s="0" t="inlineStr">
        <is>
          <t>둔촌동</t>
        </is>
      </c>
      <c r="AG1006" s="0" t="inlineStr">
        <is>
          <t>서울시 강동구 풍성로63길 4</t>
        </is>
      </c>
      <c r="AH1006" s="0" t="n">
        <v>0</v>
      </c>
      <c r="AI1006" s="0" t="n">
        <v>233</v>
      </c>
      <c r="AJ1006" s="0" t="n">
        <v>41</v>
      </c>
      <c r="AK1006" s="0" t="n">
        <v>21</v>
      </c>
      <c r="AL1006" s="0" t="n">
        <v>1.11</v>
      </c>
    </row>
    <row r="1007">
      <c r="A1007" s="0" t="inlineStr">
        <is>
          <t>[둔촌동]</t>
        </is>
      </c>
      <c r="B1007" s="0" t="n">
        <v>108621</v>
      </c>
      <c r="C1007" s="0" t="n">
        <v>2</v>
      </c>
      <c r="D1007" s="0" t="inlineStr">
        <is>
          <t>KNP로얄</t>
        </is>
      </c>
      <c r="E1007" s="0" t="inlineStr">
        <is>
          <t>2004.06.</t>
        </is>
      </c>
      <c r="F1007" s="0" t="n">
        <v>19</v>
      </c>
      <c r="G1007" s="0" t="n">
        <v>22.02</v>
      </c>
      <c r="H1007" s="0" t="n">
        <v>72.8</v>
      </c>
      <c r="I1007" s="0" t="n">
        <v>19.09</v>
      </c>
      <c r="J1007" s="0" t="n">
        <v>63.13</v>
      </c>
      <c r="K1007" s="0" t="n">
        <v>1</v>
      </c>
      <c r="T1007" s="0" t="n">
        <v>3</v>
      </c>
      <c r="U1007" s="0" t="n">
        <v>1</v>
      </c>
      <c r="V1007" s="0" t="inlineStr">
        <is>
          <t>계단식</t>
        </is>
      </c>
      <c r="W1007" s="0" t="n">
        <v>72</v>
      </c>
      <c r="X1007" s="0" t="n">
        <v>7</v>
      </c>
      <c r="Y1007" s="0" t="n">
        <v>7</v>
      </c>
      <c r="Z1007" s="0" t="inlineStr">
        <is>
          <t>https://new.land.naver.com/complexes/108621?tab=detail&amp;rf=Y</t>
        </is>
      </c>
      <c r="AA1007" s="0" t="inlineStr">
        <is>
          <t>서울시 강동구 둔촌동 511-2</t>
        </is>
      </c>
      <c r="AB1007" s="0" t="inlineStr">
        <is>
          <t>서울시</t>
        </is>
      </c>
      <c r="AC1007" s="0" t="inlineStr">
        <is>
          <t>강동구</t>
        </is>
      </c>
      <c r="AD1007" s="0" t="inlineStr">
        <is>
          <t>둔촌동</t>
        </is>
      </c>
      <c r="AG1007" s="0" t="inlineStr">
        <is>
          <t>서울시 강동구 풍성로63길 4</t>
        </is>
      </c>
      <c r="AH1007" s="0" t="n">
        <v>0</v>
      </c>
      <c r="AI1007" s="0" t="n">
        <v>233</v>
      </c>
      <c r="AJ1007" s="0" t="n">
        <v>41</v>
      </c>
      <c r="AK1007" s="0" t="n">
        <v>21</v>
      </c>
      <c r="AL1007" s="0" t="n">
        <v>1.11</v>
      </c>
    </row>
    <row r="1008">
      <c r="A1008" s="0" t="inlineStr">
        <is>
          <t>[둔촌동]</t>
        </is>
      </c>
      <c r="B1008" s="0" t="n">
        <v>108621</v>
      </c>
      <c r="C1008" s="0" t="n">
        <v>3</v>
      </c>
      <c r="D1008" s="0" t="inlineStr">
        <is>
          <t>KNP로얄</t>
        </is>
      </c>
      <c r="E1008" s="0" t="inlineStr">
        <is>
          <t>2004.06.</t>
        </is>
      </c>
      <c r="F1008" s="0" t="n">
        <v>19</v>
      </c>
      <c r="G1008" s="0" t="n">
        <v>24.58</v>
      </c>
      <c r="H1008" s="0" t="n">
        <v>81.26000000000001</v>
      </c>
      <c r="I1008" s="0" t="n">
        <v>21.31</v>
      </c>
      <c r="J1008" s="0" t="n">
        <v>70.47</v>
      </c>
      <c r="K1008" s="0" t="n">
        <v>1</v>
      </c>
      <c r="T1008" s="0" t="n">
        <v>3</v>
      </c>
      <c r="U1008" s="0" t="n">
        <v>2</v>
      </c>
      <c r="V1008" s="0" t="inlineStr">
        <is>
          <t>계단식</t>
        </is>
      </c>
      <c r="W1008" s="0" t="n">
        <v>81</v>
      </c>
      <c r="X1008" s="0" t="n">
        <v>7</v>
      </c>
      <c r="Y1008" s="0" t="n">
        <v>7</v>
      </c>
      <c r="Z1008" s="0" t="inlineStr">
        <is>
          <t>https://new.land.naver.com/complexes/108621?tab=detail&amp;rf=Y</t>
        </is>
      </c>
      <c r="AA1008" s="0" t="inlineStr">
        <is>
          <t>서울시 강동구 둔촌동 511-2</t>
        </is>
      </c>
      <c r="AB1008" s="0" t="inlineStr">
        <is>
          <t>서울시</t>
        </is>
      </c>
      <c r="AC1008" s="0" t="inlineStr">
        <is>
          <t>강동구</t>
        </is>
      </c>
      <c r="AD1008" s="0" t="inlineStr">
        <is>
          <t>둔촌동</t>
        </is>
      </c>
      <c r="AG1008" s="0" t="inlineStr">
        <is>
          <t>서울시 강동구 풍성로63길 4</t>
        </is>
      </c>
      <c r="AH1008" s="0" t="n">
        <v>0</v>
      </c>
      <c r="AI1008" s="0" t="n">
        <v>233</v>
      </c>
      <c r="AJ1008" s="0" t="n">
        <v>41</v>
      </c>
      <c r="AK1008" s="0" t="n">
        <v>21</v>
      </c>
      <c r="AL1008" s="0" t="n">
        <v>1.11</v>
      </c>
    </row>
    <row r="1009">
      <c r="A1009" s="0" t="inlineStr">
        <is>
          <t>[둔촌동]</t>
        </is>
      </c>
      <c r="B1009" s="0" t="n">
        <v>108621</v>
      </c>
      <c r="C1009" s="0" t="n">
        <v>4</v>
      </c>
      <c r="D1009" s="0" t="inlineStr">
        <is>
          <t>KNP로얄</t>
        </is>
      </c>
      <c r="E1009" s="0" t="inlineStr">
        <is>
          <t>2004.06.</t>
        </is>
      </c>
      <c r="F1009" s="0" t="n">
        <v>19</v>
      </c>
      <c r="G1009" s="0" t="n">
        <v>25.71</v>
      </c>
      <c r="H1009" s="0" t="n">
        <v>85</v>
      </c>
      <c r="I1009" s="0" t="n">
        <v>22.29</v>
      </c>
      <c r="J1009" s="0" t="n">
        <v>73.70999999999999</v>
      </c>
      <c r="K1009" s="0" t="n">
        <v>1</v>
      </c>
      <c r="T1009" s="0" t="n">
        <v>3</v>
      </c>
      <c r="U1009" s="0" t="n">
        <v>2</v>
      </c>
      <c r="V1009" s="0" t="inlineStr">
        <is>
          <t>계단식</t>
        </is>
      </c>
      <c r="W1009" s="0" t="n">
        <v>85</v>
      </c>
      <c r="X1009" s="0" t="n">
        <v>7</v>
      </c>
      <c r="Y1009" s="0" t="n">
        <v>7</v>
      </c>
      <c r="Z1009" s="0" t="inlineStr">
        <is>
          <t>https://new.land.naver.com/complexes/108621?tab=detail&amp;rf=Y</t>
        </is>
      </c>
      <c r="AA1009" s="0" t="inlineStr">
        <is>
          <t>서울시 강동구 둔촌동 511-2</t>
        </is>
      </c>
      <c r="AB1009" s="0" t="inlineStr">
        <is>
          <t>서울시</t>
        </is>
      </c>
      <c r="AC1009" s="0" t="inlineStr">
        <is>
          <t>강동구</t>
        </is>
      </c>
      <c r="AD1009" s="0" t="inlineStr">
        <is>
          <t>둔촌동</t>
        </is>
      </c>
      <c r="AG1009" s="0" t="inlineStr">
        <is>
          <t>서울시 강동구 풍성로63길 4</t>
        </is>
      </c>
      <c r="AH1009" s="0" t="n">
        <v>0</v>
      </c>
      <c r="AI1009" s="0" t="n">
        <v>233</v>
      </c>
      <c r="AJ1009" s="0" t="n">
        <v>41</v>
      </c>
      <c r="AK1009" s="0" t="n">
        <v>21</v>
      </c>
      <c r="AL1009" s="0" t="n">
        <v>1.11</v>
      </c>
    </row>
    <row r="1010">
      <c r="A1010" s="0" t="inlineStr">
        <is>
          <t>[둔촌동]</t>
        </is>
      </c>
      <c r="B1010" s="0" t="n">
        <v>108621</v>
      </c>
      <c r="C1010" s="0" t="n">
        <v>5</v>
      </c>
      <c r="D1010" s="0" t="inlineStr">
        <is>
          <t>KNP로얄</t>
        </is>
      </c>
      <c r="E1010" s="0" t="inlineStr">
        <is>
          <t>2004.06.</t>
        </is>
      </c>
      <c r="F1010" s="0" t="n">
        <v>19</v>
      </c>
      <c r="G1010" s="0" t="n">
        <v>26.69</v>
      </c>
      <c r="H1010" s="0" t="n">
        <v>88.23999999999999</v>
      </c>
      <c r="I1010" s="0" t="n">
        <v>23.14</v>
      </c>
      <c r="J1010" s="0" t="n">
        <v>76.52</v>
      </c>
      <c r="K1010" s="0" t="n">
        <v>1</v>
      </c>
      <c r="T1010" s="0" t="n">
        <v>3</v>
      </c>
      <c r="U1010" s="0" t="n">
        <v>2</v>
      </c>
      <c r="V1010" s="0" t="inlineStr">
        <is>
          <t>계단식</t>
        </is>
      </c>
      <c r="W1010" s="0" t="inlineStr">
        <is>
          <t>88A</t>
        </is>
      </c>
      <c r="X1010" s="0" t="n">
        <v>7</v>
      </c>
      <c r="Y1010" s="0" t="n">
        <v>7</v>
      </c>
      <c r="Z1010" s="0" t="inlineStr">
        <is>
          <t>https://new.land.naver.com/complexes/108621?tab=detail&amp;rf=Y</t>
        </is>
      </c>
      <c r="AA1010" s="0" t="inlineStr">
        <is>
          <t>서울시 강동구 둔촌동 511-2</t>
        </is>
      </c>
      <c r="AB1010" s="0" t="inlineStr">
        <is>
          <t>서울시</t>
        </is>
      </c>
      <c r="AC1010" s="0" t="inlineStr">
        <is>
          <t>강동구</t>
        </is>
      </c>
      <c r="AD1010" s="0" t="inlineStr">
        <is>
          <t>둔촌동</t>
        </is>
      </c>
      <c r="AG1010" s="0" t="inlineStr">
        <is>
          <t>서울시 강동구 풍성로63길 4</t>
        </is>
      </c>
      <c r="AH1010" s="0" t="n">
        <v>0</v>
      </c>
      <c r="AI1010" s="0" t="n">
        <v>233</v>
      </c>
      <c r="AJ1010" s="0" t="n">
        <v>41</v>
      </c>
      <c r="AK1010" s="0" t="n">
        <v>21</v>
      </c>
      <c r="AL1010" s="0" t="n">
        <v>1.11</v>
      </c>
    </row>
    <row r="1011">
      <c r="A1011" s="0" t="inlineStr">
        <is>
          <t>[둔촌동]</t>
        </is>
      </c>
      <c r="B1011" s="0" t="n">
        <v>108621</v>
      </c>
      <c r="C1011" s="0" t="n">
        <v>6</v>
      </c>
      <c r="D1011" s="0" t="inlineStr">
        <is>
          <t>KNP로얄</t>
        </is>
      </c>
      <c r="E1011" s="0" t="inlineStr">
        <is>
          <t>2004.06.</t>
        </is>
      </c>
      <c r="F1011" s="0" t="n">
        <v>19</v>
      </c>
      <c r="G1011" s="0" t="n">
        <v>26.88</v>
      </c>
      <c r="H1011" s="0" t="n">
        <v>88.87</v>
      </c>
      <c r="I1011" s="0" t="n">
        <v>23.31</v>
      </c>
      <c r="J1011" s="0" t="n">
        <v>77.06999999999999</v>
      </c>
      <c r="K1011" s="0" t="n">
        <v>1</v>
      </c>
      <c r="T1011" s="0" t="n">
        <v>3</v>
      </c>
      <c r="U1011" s="0" t="n">
        <v>2</v>
      </c>
      <c r="V1011" s="0" t="inlineStr">
        <is>
          <t>계단식</t>
        </is>
      </c>
      <c r="W1011" s="0" t="inlineStr">
        <is>
          <t>88B</t>
        </is>
      </c>
      <c r="X1011" s="0" t="n">
        <v>7</v>
      </c>
      <c r="Y1011" s="0" t="n">
        <v>7</v>
      </c>
      <c r="Z1011" s="0" t="inlineStr">
        <is>
          <t>https://new.land.naver.com/complexes/108621?tab=detail&amp;rf=Y</t>
        </is>
      </c>
      <c r="AA1011" s="0" t="inlineStr">
        <is>
          <t>서울시 강동구 둔촌동 511-2</t>
        </is>
      </c>
      <c r="AB1011" s="0" t="inlineStr">
        <is>
          <t>서울시</t>
        </is>
      </c>
      <c r="AC1011" s="0" t="inlineStr">
        <is>
          <t>강동구</t>
        </is>
      </c>
      <c r="AD1011" s="0" t="inlineStr">
        <is>
          <t>둔촌동</t>
        </is>
      </c>
      <c r="AG1011" s="0" t="inlineStr">
        <is>
          <t>서울시 강동구 풍성로63길 4</t>
        </is>
      </c>
      <c r="AH1011" s="0" t="n">
        <v>0</v>
      </c>
      <c r="AI1011" s="0" t="n">
        <v>233</v>
      </c>
      <c r="AJ1011" s="0" t="n">
        <v>41</v>
      </c>
      <c r="AK1011" s="0" t="n">
        <v>21</v>
      </c>
      <c r="AL1011" s="0" t="n">
        <v>1.11</v>
      </c>
    </row>
    <row r="1012">
      <c r="A1012" s="0" t="inlineStr">
        <is>
          <t>[둔촌동]</t>
        </is>
      </c>
      <c r="B1012" s="0" t="n">
        <v>108621</v>
      </c>
      <c r="C1012" s="0" t="n">
        <v>7</v>
      </c>
      <c r="D1012" s="0" t="inlineStr">
        <is>
          <t>KNP로얄</t>
        </is>
      </c>
      <c r="E1012" s="0" t="inlineStr">
        <is>
          <t>2004.06.</t>
        </is>
      </c>
      <c r="F1012" s="0" t="n">
        <v>19</v>
      </c>
      <c r="G1012" s="0" t="n">
        <v>27.82</v>
      </c>
      <c r="H1012" s="0" t="n">
        <v>91.98999999999999</v>
      </c>
      <c r="I1012" s="0" t="n">
        <v>24.13</v>
      </c>
      <c r="J1012" s="0" t="n">
        <v>79.77</v>
      </c>
      <c r="K1012" s="0" t="n">
        <v>4</v>
      </c>
      <c r="T1012" s="0" t="n">
        <v>3</v>
      </c>
      <c r="U1012" s="0" t="n">
        <v>2</v>
      </c>
      <c r="V1012" s="0" t="inlineStr">
        <is>
          <t>계단식</t>
        </is>
      </c>
      <c r="W1012" s="0" t="n">
        <v>91</v>
      </c>
      <c r="X1012" s="0" t="n">
        <v>7</v>
      </c>
      <c r="Y1012" s="0" t="n">
        <v>7</v>
      </c>
      <c r="Z1012" s="0" t="inlineStr">
        <is>
          <t>https://new.land.naver.com/complexes/108621?tab=detail&amp;rf=Y</t>
        </is>
      </c>
      <c r="AA1012" s="0" t="inlineStr">
        <is>
          <t>서울시 강동구 둔촌동 511-2</t>
        </is>
      </c>
      <c r="AB1012" s="0" t="inlineStr">
        <is>
          <t>서울시</t>
        </is>
      </c>
      <c r="AC1012" s="0" t="inlineStr">
        <is>
          <t>강동구</t>
        </is>
      </c>
      <c r="AD1012" s="0" t="inlineStr">
        <is>
          <t>둔촌동</t>
        </is>
      </c>
      <c r="AG1012" s="0" t="inlineStr">
        <is>
          <t>서울시 강동구 풍성로63길 4</t>
        </is>
      </c>
      <c r="AH1012" s="0" t="n">
        <v>0</v>
      </c>
      <c r="AI1012" s="0" t="n">
        <v>233</v>
      </c>
      <c r="AJ1012" s="0" t="n">
        <v>41</v>
      </c>
      <c r="AK1012" s="0" t="n">
        <v>21</v>
      </c>
      <c r="AL1012" s="0" t="n">
        <v>1.11</v>
      </c>
    </row>
    <row r="1013">
      <c r="A1013" s="0" t="inlineStr">
        <is>
          <t>[둔촌동]</t>
        </is>
      </c>
      <c r="B1013" s="0" t="n">
        <v>108621</v>
      </c>
      <c r="C1013" s="0" t="n">
        <v>8</v>
      </c>
      <c r="D1013" s="0" t="inlineStr">
        <is>
          <t>KNP로얄</t>
        </is>
      </c>
      <c r="E1013" s="0" t="inlineStr">
        <is>
          <t>2004.06.</t>
        </is>
      </c>
      <c r="F1013" s="0" t="n">
        <v>19</v>
      </c>
      <c r="G1013" s="0" t="n">
        <v>29.31</v>
      </c>
      <c r="H1013" s="0" t="n">
        <v>96.90000000000001</v>
      </c>
      <c r="I1013" s="0" t="n">
        <v>25.41</v>
      </c>
      <c r="J1013" s="0" t="n">
        <v>84.03</v>
      </c>
      <c r="K1013" s="0" t="n">
        <v>4</v>
      </c>
      <c r="T1013" s="0" t="n">
        <v>3</v>
      </c>
      <c r="U1013" s="0" t="n">
        <v>2</v>
      </c>
      <c r="V1013" s="0" t="inlineStr">
        <is>
          <t>계단식</t>
        </is>
      </c>
      <c r="W1013" s="0" t="n">
        <v>96</v>
      </c>
      <c r="X1013" s="0" t="n">
        <v>7</v>
      </c>
      <c r="Y1013" s="0" t="n">
        <v>7</v>
      </c>
      <c r="Z1013" s="0" t="inlineStr">
        <is>
          <t>https://new.land.naver.com/complexes/108621?tab=detail&amp;rf=Y</t>
        </is>
      </c>
      <c r="AA1013" s="0" t="inlineStr">
        <is>
          <t>서울시 강동구 둔촌동 511-2</t>
        </is>
      </c>
      <c r="AB1013" s="0" t="inlineStr">
        <is>
          <t>서울시</t>
        </is>
      </c>
      <c r="AC1013" s="0" t="inlineStr">
        <is>
          <t>강동구</t>
        </is>
      </c>
      <c r="AD1013" s="0" t="inlineStr">
        <is>
          <t>둔촌동</t>
        </is>
      </c>
      <c r="AG1013" s="0" t="inlineStr">
        <is>
          <t>서울시 강동구 풍성로63길 4</t>
        </is>
      </c>
      <c r="AH1013" s="0" t="n">
        <v>0</v>
      </c>
      <c r="AI1013" s="0" t="n">
        <v>233</v>
      </c>
      <c r="AJ1013" s="0" t="n">
        <v>41</v>
      </c>
      <c r="AK1013" s="0" t="n">
        <v>21</v>
      </c>
      <c r="AL1013" s="0" t="n">
        <v>1.11</v>
      </c>
    </row>
    <row r="1014">
      <c r="A1014" s="0" t="inlineStr">
        <is>
          <t>[둔촌동]</t>
        </is>
      </c>
      <c r="B1014" s="0" t="n">
        <v>108621</v>
      </c>
      <c r="C1014" s="0" t="n">
        <v>9</v>
      </c>
      <c r="D1014" s="0" t="inlineStr">
        <is>
          <t>KNP로얄</t>
        </is>
      </c>
      <c r="E1014" s="0" t="inlineStr">
        <is>
          <t>2004.06.</t>
        </is>
      </c>
      <c r="F1014" s="0" t="n">
        <v>19</v>
      </c>
      <c r="G1014" s="0" t="n">
        <v>29.5</v>
      </c>
      <c r="H1014" s="0" t="n">
        <v>97.53</v>
      </c>
      <c r="I1014" s="0" t="n">
        <v>25.58</v>
      </c>
      <c r="J1014" s="0" t="n">
        <v>84.58</v>
      </c>
      <c r="K1014" s="0" t="n">
        <v>5</v>
      </c>
      <c r="T1014" s="0" t="n">
        <v>3</v>
      </c>
      <c r="U1014" s="0" t="n">
        <v>2</v>
      </c>
      <c r="V1014" s="0" t="inlineStr">
        <is>
          <t>계단식</t>
        </is>
      </c>
      <c r="W1014" s="0" t="n">
        <v>97</v>
      </c>
      <c r="X1014" s="0" t="n">
        <v>7</v>
      </c>
      <c r="Y1014" s="0" t="n">
        <v>7</v>
      </c>
      <c r="Z1014" s="0" t="inlineStr">
        <is>
          <t>https://new.land.naver.com/complexes/108621?tab=detail&amp;rf=Y</t>
        </is>
      </c>
      <c r="AA1014" s="0" t="inlineStr">
        <is>
          <t>서울시 강동구 둔촌동 511-2</t>
        </is>
      </c>
      <c r="AB1014" s="0" t="inlineStr">
        <is>
          <t>서울시</t>
        </is>
      </c>
      <c r="AC1014" s="0" t="inlineStr">
        <is>
          <t>강동구</t>
        </is>
      </c>
      <c r="AD1014" s="0" t="inlineStr">
        <is>
          <t>둔촌동</t>
        </is>
      </c>
      <c r="AG1014" s="0" t="inlineStr">
        <is>
          <t>서울시 강동구 풍성로63길 4</t>
        </is>
      </c>
      <c r="AH1014" s="0" t="n">
        <v>0</v>
      </c>
      <c r="AI1014" s="0" t="n">
        <v>233</v>
      </c>
      <c r="AJ1014" s="0" t="n">
        <v>41</v>
      </c>
      <c r="AK1014" s="0" t="n">
        <v>21</v>
      </c>
      <c r="AL1014" s="0" t="n">
        <v>1.11</v>
      </c>
    </row>
    <row r="1015">
      <c r="A1015" s="0" t="inlineStr">
        <is>
          <t>[둔촌동]</t>
        </is>
      </c>
      <c r="B1015" s="0" t="n">
        <v>1294</v>
      </c>
      <c r="C1015" s="0" t="n">
        <v>1</v>
      </c>
      <c r="D1015" s="0" t="inlineStr">
        <is>
          <t>동아(94-16)</t>
        </is>
      </c>
      <c r="E1015" s="0" t="inlineStr">
        <is>
          <t>1992.01.</t>
        </is>
      </c>
      <c r="F1015" s="0" t="n">
        <v>68</v>
      </c>
      <c r="G1015" s="0" t="n">
        <v>18.76</v>
      </c>
      <c r="H1015" s="0" t="n">
        <v>62.03</v>
      </c>
      <c r="I1015" s="0" t="n">
        <v>14.55</v>
      </c>
      <c r="J1015" s="0" t="n">
        <v>48.1</v>
      </c>
      <c r="K1015" s="0" t="n">
        <v>25</v>
      </c>
      <c r="T1015" s="0" t="n">
        <v>2</v>
      </c>
      <c r="U1015" s="0" t="n">
        <v>1</v>
      </c>
      <c r="V1015" s="0" t="inlineStr">
        <is>
          <t>복도식</t>
        </is>
      </c>
      <c r="W1015" s="0" t="n">
        <v>62</v>
      </c>
      <c r="X1015" s="0" t="n">
        <v>9</v>
      </c>
      <c r="Y1015" s="0" t="n">
        <v>7</v>
      </c>
      <c r="Z1015" s="0" t="inlineStr">
        <is>
          <t>https://new.land.naver.com/complexes/1294?tab=detail&amp;rf=Y</t>
        </is>
      </c>
      <c r="AA1015" s="0" t="inlineStr">
        <is>
          <t>서울시 강동구 둔촌동 94-16</t>
        </is>
      </c>
      <c r="AB1015" s="0" t="inlineStr">
        <is>
          <t>서울시</t>
        </is>
      </c>
      <c r="AC1015" s="0" t="inlineStr">
        <is>
          <t>강동구</t>
        </is>
      </c>
      <c r="AD1015" s="0" t="inlineStr">
        <is>
          <t>둔촌동</t>
        </is>
      </c>
      <c r="AG1015" s="0" t="inlineStr">
        <is>
          <t>서울시 강동구 진황도로61길 18</t>
        </is>
      </c>
      <c r="AH1015" s="0" t="n">
        <v>0</v>
      </c>
      <c r="AI1015" s="0" t="n">
        <v>0</v>
      </c>
      <c r="AJ1015" s="0" t="n">
        <v>0</v>
      </c>
      <c r="AK1015" s="0" t="n">
        <v>20</v>
      </c>
      <c r="AL1015" s="0" t="n">
        <v>0.29</v>
      </c>
    </row>
    <row r="1016">
      <c r="A1016" s="0" t="inlineStr">
        <is>
          <t>[둔촌동]</t>
        </is>
      </c>
      <c r="B1016" s="0" t="n">
        <v>1294</v>
      </c>
      <c r="C1016" s="0" t="n">
        <v>2</v>
      </c>
      <c r="D1016" s="0" t="inlineStr">
        <is>
          <t>동아(94-16)</t>
        </is>
      </c>
      <c r="E1016" s="0" t="inlineStr">
        <is>
          <t>1992.01.</t>
        </is>
      </c>
      <c r="F1016" s="0" t="n">
        <v>68</v>
      </c>
      <c r="G1016" s="0" t="n">
        <v>21.15</v>
      </c>
      <c r="H1016" s="0" t="n">
        <v>69.93000000000001</v>
      </c>
      <c r="I1016" s="0" t="n">
        <v>16.4</v>
      </c>
      <c r="J1016" s="0" t="n">
        <v>54.22</v>
      </c>
      <c r="K1016" s="0" t="n">
        <v>36</v>
      </c>
      <c r="T1016" s="0" t="n">
        <v>2</v>
      </c>
      <c r="U1016" s="0" t="n">
        <v>1</v>
      </c>
      <c r="V1016" s="0" t="inlineStr">
        <is>
          <t>복도식</t>
        </is>
      </c>
      <c r="W1016" s="0" t="inlineStr">
        <is>
          <t>69B</t>
        </is>
      </c>
      <c r="X1016" s="0" t="n">
        <v>9</v>
      </c>
      <c r="Y1016" s="0" t="n">
        <v>7</v>
      </c>
      <c r="Z1016" s="0" t="inlineStr">
        <is>
          <t>https://new.land.naver.com/complexes/1294?tab=detail&amp;rf=Y</t>
        </is>
      </c>
      <c r="AA1016" s="0" t="inlineStr">
        <is>
          <t>서울시 강동구 둔촌동 94-16</t>
        </is>
      </c>
      <c r="AB1016" s="0" t="inlineStr">
        <is>
          <t>서울시</t>
        </is>
      </c>
      <c r="AC1016" s="0" t="inlineStr">
        <is>
          <t>강동구</t>
        </is>
      </c>
      <c r="AD1016" s="0" t="inlineStr">
        <is>
          <t>둔촌동</t>
        </is>
      </c>
      <c r="AG1016" s="0" t="inlineStr">
        <is>
          <t>서울시 강동구 진황도로61길 18</t>
        </is>
      </c>
      <c r="AH1016" s="0" t="n">
        <v>0</v>
      </c>
      <c r="AI1016" s="0" t="n">
        <v>0</v>
      </c>
      <c r="AJ1016" s="0" t="n">
        <v>0</v>
      </c>
      <c r="AK1016" s="0" t="n">
        <v>20</v>
      </c>
      <c r="AL1016" s="0" t="n">
        <v>0.29</v>
      </c>
    </row>
    <row r="1017">
      <c r="A1017" s="0" t="inlineStr">
        <is>
          <t>[둔촌동]</t>
        </is>
      </c>
      <c r="B1017" s="0" t="n">
        <v>1294</v>
      </c>
      <c r="C1017" s="0" t="n">
        <v>3</v>
      </c>
      <c r="D1017" s="0" t="inlineStr">
        <is>
          <t>동아(94-16)</t>
        </is>
      </c>
      <c r="E1017" s="0" t="inlineStr">
        <is>
          <t>1992.01.</t>
        </is>
      </c>
      <c r="F1017" s="0" t="n">
        <v>68</v>
      </c>
      <c r="G1017" s="0" t="n">
        <v>21.06</v>
      </c>
      <c r="H1017" s="0" t="n">
        <v>69.62</v>
      </c>
      <c r="I1017" s="0" t="n">
        <v>16.32</v>
      </c>
      <c r="J1017" s="0" t="n">
        <v>53.98</v>
      </c>
      <c r="K1017" s="0" t="n">
        <v>7</v>
      </c>
      <c r="T1017" s="0" t="n">
        <v>2</v>
      </c>
      <c r="U1017" s="0" t="n">
        <v>1</v>
      </c>
      <c r="V1017" s="0" t="inlineStr">
        <is>
          <t>계단식</t>
        </is>
      </c>
      <c r="W1017" s="0" t="inlineStr">
        <is>
          <t>69A</t>
        </is>
      </c>
      <c r="X1017" s="0" t="n">
        <v>9</v>
      </c>
      <c r="Y1017" s="0" t="n">
        <v>7</v>
      </c>
      <c r="Z1017" s="0" t="inlineStr">
        <is>
          <t>https://new.land.naver.com/complexes/1294?tab=detail&amp;rf=Y</t>
        </is>
      </c>
      <c r="AA1017" s="0" t="inlineStr">
        <is>
          <t>서울시 강동구 둔촌동 94-16</t>
        </is>
      </c>
      <c r="AB1017" s="0" t="inlineStr">
        <is>
          <t>서울시</t>
        </is>
      </c>
      <c r="AC1017" s="0" t="inlineStr">
        <is>
          <t>강동구</t>
        </is>
      </c>
      <c r="AD1017" s="0" t="inlineStr">
        <is>
          <t>둔촌동</t>
        </is>
      </c>
      <c r="AG1017" s="0" t="inlineStr">
        <is>
          <t>서울시 강동구 진황도로61길 18</t>
        </is>
      </c>
      <c r="AH1017" s="0" t="n">
        <v>0</v>
      </c>
      <c r="AI1017" s="0" t="n">
        <v>0</v>
      </c>
      <c r="AJ1017" s="0" t="n">
        <v>0</v>
      </c>
      <c r="AK1017" s="0" t="n">
        <v>20</v>
      </c>
      <c r="AL1017" s="0" t="n">
        <v>0.29</v>
      </c>
    </row>
    <row r="1018">
      <c r="A1018" s="0" t="inlineStr">
        <is>
          <t>[둔촌동]</t>
        </is>
      </c>
      <c r="B1018" s="0" t="n">
        <v>1297</v>
      </c>
      <c r="C1018" s="0" t="n">
        <v>1</v>
      </c>
      <c r="D1018" s="0" t="inlineStr">
        <is>
          <t>주공고층4단지</t>
        </is>
      </c>
      <c r="E1018" s="0" t="inlineStr">
        <is>
          <t>1980.12.</t>
        </is>
      </c>
      <c r="F1018" s="0" t="n">
        <v>2180</v>
      </c>
      <c r="G1018" s="0" t="n">
        <v>23.5</v>
      </c>
      <c r="H1018" s="0" t="n">
        <v>77.7</v>
      </c>
      <c r="I1018" s="0" t="n">
        <v>21.65</v>
      </c>
      <c r="J1018" s="0" t="n">
        <v>71.58</v>
      </c>
      <c r="K1018" s="0" t="n">
        <v>180</v>
      </c>
      <c r="T1018" s="0" t="n">
        <v>2</v>
      </c>
      <c r="U1018" s="0" t="n">
        <v>1</v>
      </c>
      <c r="V1018" s="0" t="inlineStr">
        <is>
          <t>복도식</t>
        </is>
      </c>
      <c r="W1018" s="0" t="n">
        <v>77</v>
      </c>
      <c r="X1018" s="0" t="n">
        <v>10</v>
      </c>
      <c r="Y1018" s="0" t="n">
        <v>10</v>
      </c>
      <c r="Z1018" s="0" t="inlineStr">
        <is>
          <t>https://new.land.naver.com/complexes/1297?tab=detail&amp;rf=Y</t>
        </is>
      </c>
      <c r="AA1018" s="0" t="inlineStr">
        <is>
          <t>서울시 강동구 둔촌동 172-1</t>
        </is>
      </c>
      <c r="AB1018" s="0" t="inlineStr">
        <is>
          <t>서울시</t>
        </is>
      </c>
      <c r="AC1018" s="0" t="inlineStr">
        <is>
          <t>강동구</t>
        </is>
      </c>
      <c r="AD1018" s="0" t="inlineStr">
        <is>
          <t>둔촌동</t>
        </is>
      </c>
      <c r="AG1018" s="0" t="inlineStr">
        <is>
          <t>서울시 강동구 양재대로 1340</t>
        </is>
      </c>
      <c r="AH1018" s="0" t="n">
        <v>0</v>
      </c>
      <c r="AI1018" s="0" t="n">
        <v>0</v>
      </c>
      <c r="AJ1018" s="0" t="n">
        <v>0</v>
      </c>
      <c r="AK1018" s="0" t="n">
        <v>2180</v>
      </c>
      <c r="AL1018" s="0" t="n">
        <v>1</v>
      </c>
    </row>
    <row r="1019">
      <c r="A1019" s="0" t="inlineStr">
        <is>
          <t>[둔촌동]</t>
        </is>
      </c>
      <c r="B1019" s="0" t="n">
        <v>1297</v>
      </c>
      <c r="C1019" s="0" t="n">
        <v>2</v>
      </c>
      <c r="D1019" s="0" t="inlineStr">
        <is>
          <t>주공고층4단지</t>
        </is>
      </c>
      <c r="E1019" s="0" t="inlineStr">
        <is>
          <t>1980.12.</t>
        </is>
      </c>
      <c r="F1019" s="0" t="n">
        <v>2180</v>
      </c>
      <c r="G1019" s="0" t="n">
        <v>25.33</v>
      </c>
      <c r="H1019" s="0" t="n">
        <v>83.73999999999999</v>
      </c>
      <c r="I1019" s="0" t="n">
        <v>23.66</v>
      </c>
      <c r="J1019" s="0" t="n">
        <v>78.23999999999999</v>
      </c>
      <c r="K1019" s="0" t="n">
        <v>200</v>
      </c>
      <c r="T1019" s="0" t="n">
        <v>2</v>
      </c>
      <c r="U1019" s="0" t="n">
        <v>1</v>
      </c>
      <c r="V1019" s="0" t="inlineStr">
        <is>
          <t>복도식</t>
        </is>
      </c>
      <c r="W1019" s="0" t="n">
        <v>83</v>
      </c>
      <c r="X1019" s="0" t="n">
        <v>10</v>
      </c>
      <c r="Y1019" s="0" t="n">
        <v>10</v>
      </c>
      <c r="Z1019" s="0" t="inlineStr">
        <is>
          <t>https://new.land.naver.com/complexes/1297?tab=detail&amp;rf=Y</t>
        </is>
      </c>
      <c r="AA1019" s="0" t="inlineStr">
        <is>
          <t>서울시 강동구 둔촌동 172-1</t>
        </is>
      </c>
      <c r="AB1019" s="0" t="inlineStr">
        <is>
          <t>서울시</t>
        </is>
      </c>
      <c r="AC1019" s="0" t="inlineStr">
        <is>
          <t>강동구</t>
        </is>
      </c>
      <c r="AD1019" s="0" t="inlineStr">
        <is>
          <t>둔촌동</t>
        </is>
      </c>
      <c r="AG1019" s="0" t="inlineStr">
        <is>
          <t>서울시 강동구 양재대로 1340</t>
        </is>
      </c>
      <c r="AH1019" s="0" t="n">
        <v>0</v>
      </c>
      <c r="AI1019" s="0" t="n">
        <v>0</v>
      </c>
      <c r="AJ1019" s="0" t="n">
        <v>0</v>
      </c>
      <c r="AK1019" s="0" t="n">
        <v>2180</v>
      </c>
      <c r="AL1019" s="0" t="n">
        <v>1</v>
      </c>
    </row>
    <row r="1020">
      <c r="A1020" s="0" t="inlineStr">
        <is>
          <t>[둔촌동]</t>
        </is>
      </c>
      <c r="B1020" s="0" t="n">
        <v>1297</v>
      </c>
      <c r="C1020" s="0" t="n">
        <v>3</v>
      </c>
      <c r="D1020" s="0" t="inlineStr">
        <is>
          <t>주공고층4단지</t>
        </is>
      </c>
      <c r="E1020" s="0" t="inlineStr">
        <is>
          <t>1980.12.</t>
        </is>
      </c>
      <c r="F1020" s="0" t="n">
        <v>2180</v>
      </c>
      <c r="G1020" s="0" t="n">
        <v>32.08</v>
      </c>
      <c r="H1020" s="0" t="n">
        <v>106.06</v>
      </c>
      <c r="I1020" s="0" t="n">
        <v>29.56</v>
      </c>
      <c r="J1020" s="0" t="n">
        <v>97.72</v>
      </c>
      <c r="K1020" s="0" t="n">
        <v>360</v>
      </c>
      <c r="T1020" s="0" t="n">
        <v>3</v>
      </c>
      <c r="U1020" s="0" t="n">
        <v>1</v>
      </c>
      <c r="V1020" s="0" t="inlineStr">
        <is>
          <t>복도식</t>
        </is>
      </c>
      <c r="W1020" s="0" t="n">
        <v>106</v>
      </c>
      <c r="X1020" s="0" t="n">
        <v>10</v>
      </c>
      <c r="Y1020" s="0" t="n">
        <v>10</v>
      </c>
      <c r="Z1020" s="0" t="inlineStr">
        <is>
          <t>https://new.land.naver.com/complexes/1297?tab=detail&amp;rf=Y</t>
        </is>
      </c>
      <c r="AA1020" s="0" t="inlineStr">
        <is>
          <t>서울시 강동구 둔촌동 172-1</t>
        </is>
      </c>
      <c r="AB1020" s="0" t="inlineStr">
        <is>
          <t>서울시</t>
        </is>
      </c>
      <c r="AC1020" s="0" t="inlineStr">
        <is>
          <t>강동구</t>
        </is>
      </c>
      <c r="AD1020" s="0" t="inlineStr">
        <is>
          <t>둔촌동</t>
        </is>
      </c>
      <c r="AG1020" s="0" t="inlineStr">
        <is>
          <t>서울시 강동구 양재대로 1340</t>
        </is>
      </c>
      <c r="AH1020" s="0" t="n">
        <v>0</v>
      </c>
      <c r="AI1020" s="0" t="n">
        <v>0</v>
      </c>
      <c r="AJ1020" s="0" t="n">
        <v>0</v>
      </c>
      <c r="AK1020" s="0" t="n">
        <v>2180</v>
      </c>
      <c r="AL1020" s="0" t="n">
        <v>1</v>
      </c>
    </row>
    <row r="1021">
      <c r="A1021" s="0" t="inlineStr">
        <is>
          <t>[둔촌동]</t>
        </is>
      </c>
      <c r="B1021" s="0" t="n">
        <v>1297</v>
      </c>
      <c r="C1021" s="0" t="n">
        <v>4</v>
      </c>
      <c r="D1021" s="0" t="inlineStr">
        <is>
          <t>주공고층4단지</t>
        </is>
      </c>
      <c r="E1021" s="0" t="inlineStr">
        <is>
          <t>1980.12.</t>
        </is>
      </c>
      <c r="F1021" s="0" t="n">
        <v>2180</v>
      </c>
      <c r="G1021" s="0" t="n">
        <v>33.14</v>
      </c>
      <c r="H1021" s="0" t="n">
        <v>109.58</v>
      </c>
      <c r="I1021" s="0" t="n">
        <v>30.13</v>
      </c>
      <c r="J1021" s="0" t="n">
        <v>99.61</v>
      </c>
      <c r="K1021" s="0" t="n">
        <v>840</v>
      </c>
      <c r="T1021" s="0" t="n">
        <v>3</v>
      </c>
      <c r="U1021" s="0" t="n">
        <v>1</v>
      </c>
      <c r="V1021" s="0" t="inlineStr">
        <is>
          <t>복도식</t>
        </is>
      </c>
      <c r="W1021" s="0" t="inlineStr">
        <is>
          <t>109T</t>
        </is>
      </c>
      <c r="X1021" s="0" t="n">
        <v>10</v>
      </c>
      <c r="Y1021" s="0" t="n">
        <v>10</v>
      </c>
      <c r="Z1021" s="0" t="inlineStr">
        <is>
          <t>https://new.land.naver.com/complexes/1297?tab=detail&amp;rf=Y</t>
        </is>
      </c>
      <c r="AA1021" s="0" t="inlineStr">
        <is>
          <t>서울시 강동구 둔촌동 172-1</t>
        </is>
      </c>
      <c r="AB1021" s="0" t="inlineStr">
        <is>
          <t>서울시</t>
        </is>
      </c>
      <c r="AC1021" s="0" t="inlineStr">
        <is>
          <t>강동구</t>
        </is>
      </c>
      <c r="AD1021" s="0" t="inlineStr">
        <is>
          <t>둔촌동</t>
        </is>
      </c>
      <c r="AG1021" s="0" t="inlineStr">
        <is>
          <t>서울시 강동구 양재대로 1340</t>
        </is>
      </c>
      <c r="AH1021" s="0" t="n">
        <v>0</v>
      </c>
      <c r="AI1021" s="0" t="n">
        <v>0</v>
      </c>
      <c r="AJ1021" s="0" t="n">
        <v>0</v>
      </c>
      <c r="AK1021" s="0" t="n">
        <v>2180</v>
      </c>
      <c r="AL1021" s="0" t="n">
        <v>1</v>
      </c>
    </row>
    <row r="1022">
      <c r="A1022" s="0" t="inlineStr">
        <is>
          <t>[둔촌동]</t>
        </is>
      </c>
      <c r="B1022" s="0" t="n">
        <v>1297</v>
      </c>
      <c r="C1022" s="0" t="n">
        <v>5</v>
      </c>
      <c r="D1022" s="0" t="inlineStr">
        <is>
          <t>주공고층4단지</t>
        </is>
      </c>
      <c r="E1022" s="0" t="inlineStr">
        <is>
          <t>1980.12.</t>
        </is>
      </c>
      <c r="F1022" s="0" t="n">
        <v>2180</v>
      </c>
      <c r="G1022" s="0" t="n">
        <v>33.14</v>
      </c>
      <c r="H1022" s="0" t="n">
        <v>109.58</v>
      </c>
      <c r="I1022" s="0" t="n">
        <v>30.13</v>
      </c>
      <c r="J1022" s="0" t="n">
        <v>99.61</v>
      </c>
      <c r="K1022" s="0" t="n">
        <v>600</v>
      </c>
      <c r="T1022" s="0" t="n">
        <v>3</v>
      </c>
      <c r="U1022" s="0" t="n">
        <v>1</v>
      </c>
      <c r="V1022" s="0" t="inlineStr">
        <is>
          <t>복도식</t>
        </is>
      </c>
      <c r="W1022" s="0" t="inlineStr">
        <is>
          <t>109I</t>
        </is>
      </c>
      <c r="X1022" s="0" t="n">
        <v>10</v>
      </c>
      <c r="Y1022" s="0" t="n">
        <v>10</v>
      </c>
      <c r="Z1022" s="0" t="inlineStr">
        <is>
          <t>https://new.land.naver.com/complexes/1297?tab=detail&amp;rf=Y</t>
        </is>
      </c>
      <c r="AA1022" s="0" t="inlineStr">
        <is>
          <t>서울시 강동구 둔촌동 172-1</t>
        </is>
      </c>
      <c r="AB1022" s="0" t="inlineStr">
        <is>
          <t>서울시</t>
        </is>
      </c>
      <c r="AC1022" s="0" t="inlineStr">
        <is>
          <t>강동구</t>
        </is>
      </c>
      <c r="AD1022" s="0" t="inlineStr">
        <is>
          <t>둔촌동</t>
        </is>
      </c>
      <c r="AG1022" s="0" t="inlineStr">
        <is>
          <t>서울시 강동구 양재대로 1340</t>
        </is>
      </c>
      <c r="AH1022" s="0" t="n">
        <v>0</v>
      </c>
      <c r="AI1022" s="0" t="n">
        <v>0</v>
      </c>
      <c r="AJ1022" s="0" t="n">
        <v>0</v>
      </c>
      <c r="AK1022" s="0" t="n">
        <v>2180</v>
      </c>
      <c r="AL1022" s="0" t="n">
        <v>1</v>
      </c>
    </row>
    <row r="1023">
      <c r="A1023" s="0" t="inlineStr">
        <is>
          <t>[둔촌동]</t>
        </is>
      </c>
      <c r="B1023" s="0" t="n">
        <v>1296</v>
      </c>
      <c r="C1023" s="0" t="n">
        <v>1</v>
      </c>
      <c r="D1023" s="0" t="inlineStr">
        <is>
          <t>둔촌신성미소지움</t>
        </is>
      </c>
      <c r="E1023" s="0" t="inlineStr">
        <is>
          <t>1998.05.</t>
        </is>
      </c>
      <c r="F1023" s="0" t="n">
        <v>460</v>
      </c>
      <c r="G1023" s="0" t="n">
        <v>26.39</v>
      </c>
      <c r="H1023" s="0" t="n">
        <v>87.26000000000001</v>
      </c>
      <c r="I1023" s="0" t="n">
        <v>18.08</v>
      </c>
      <c r="J1023" s="0" t="n">
        <v>59.78</v>
      </c>
      <c r="K1023" s="0" t="n">
        <v>233</v>
      </c>
      <c r="T1023" s="0" t="n">
        <v>3</v>
      </c>
      <c r="U1023" s="0" t="n">
        <v>1</v>
      </c>
      <c r="V1023" s="0" t="inlineStr">
        <is>
          <t>복도식</t>
        </is>
      </c>
      <c r="W1023" s="0" t="n">
        <v>87</v>
      </c>
      <c r="X1023" s="0" t="n">
        <v>24</v>
      </c>
      <c r="Y1023" s="0" t="n">
        <v>12</v>
      </c>
      <c r="Z1023" s="0" t="inlineStr">
        <is>
          <t>https://new.land.naver.com/complexes/1296?tab=detail&amp;rf=Y</t>
        </is>
      </c>
      <c r="AA1023" s="0" t="inlineStr">
        <is>
          <t>서울시 강동구 둔촌동 546</t>
        </is>
      </c>
      <c r="AB1023" s="0" t="inlineStr">
        <is>
          <t>서울시</t>
        </is>
      </c>
      <c r="AC1023" s="0" t="inlineStr">
        <is>
          <t>강동구</t>
        </is>
      </c>
      <c r="AD1023" s="0" t="inlineStr">
        <is>
          <t>둔촌동</t>
        </is>
      </c>
      <c r="AG1023" s="0" t="inlineStr">
        <is>
          <t>서울시 강동구 명일로 102</t>
        </is>
      </c>
      <c r="AH1023" s="0" t="n">
        <v>0</v>
      </c>
      <c r="AI1023" s="0" t="n">
        <v>387</v>
      </c>
      <c r="AJ1023" s="0" t="n">
        <v>25</v>
      </c>
      <c r="AK1023" s="0" t="n">
        <v>481</v>
      </c>
      <c r="AL1023" s="0" t="n">
        <v>1.05</v>
      </c>
    </row>
    <row r="1024">
      <c r="A1024" s="0" t="inlineStr">
        <is>
          <t>[둔촌동]</t>
        </is>
      </c>
      <c r="B1024" s="0" t="n">
        <v>1296</v>
      </c>
      <c r="C1024" s="0" t="n">
        <v>2</v>
      </c>
      <c r="D1024" s="0" t="inlineStr">
        <is>
          <t>둔촌신성미소지움</t>
        </is>
      </c>
      <c r="E1024" s="0" t="inlineStr">
        <is>
          <t>1998.05.</t>
        </is>
      </c>
      <c r="F1024" s="0" t="n">
        <v>460</v>
      </c>
      <c r="G1024" s="0" t="n">
        <v>32.56</v>
      </c>
      <c r="H1024" s="0" t="n">
        <v>107.64</v>
      </c>
      <c r="I1024" s="0" t="n">
        <v>25.67</v>
      </c>
      <c r="J1024" s="0" t="n">
        <v>84.86</v>
      </c>
      <c r="K1024" s="0" t="n">
        <v>156</v>
      </c>
      <c r="T1024" s="0" t="n">
        <v>3</v>
      </c>
      <c r="U1024" s="0" t="n">
        <v>2</v>
      </c>
      <c r="V1024" s="0" t="inlineStr">
        <is>
          <t>계단식</t>
        </is>
      </c>
      <c r="W1024" s="0" t="n">
        <v>107</v>
      </c>
      <c r="X1024" s="0" t="n">
        <v>24</v>
      </c>
      <c r="Y1024" s="0" t="n">
        <v>12</v>
      </c>
      <c r="Z1024" s="0" t="inlineStr">
        <is>
          <t>https://new.land.naver.com/complexes/1296?tab=detail&amp;rf=Y</t>
        </is>
      </c>
      <c r="AA1024" s="0" t="inlineStr">
        <is>
          <t>서울시 강동구 둔촌동 546</t>
        </is>
      </c>
      <c r="AB1024" s="0" t="inlineStr">
        <is>
          <t>서울시</t>
        </is>
      </c>
      <c r="AC1024" s="0" t="inlineStr">
        <is>
          <t>강동구</t>
        </is>
      </c>
      <c r="AD1024" s="0" t="inlineStr">
        <is>
          <t>둔촌동</t>
        </is>
      </c>
      <c r="AG1024" s="0" t="inlineStr">
        <is>
          <t>서울시 강동구 명일로 102</t>
        </is>
      </c>
      <c r="AH1024" s="0" t="n">
        <v>0</v>
      </c>
      <c r="AI1024" s="0" t="n">
        <v>387</v>
      </c>
      <c r="AJ1024" s="0" t="n">
        <v>25</v>
      </c>
      <c r="AK1024" s="0" t="n">
        <v>481</v>
      </c>
      <c r="AL1024" s="0" t="n">
        <v>1.05</v>
      </c>
    </row>
    <row r="1025">
      <c r="A1025" s="0" t="inlineStr">
        <is>
          <t>[둔촌동]</t>
        </is>
      </c>
      <c r="B1025" s="0" t="n">
        <v>1296</v>
      </c>
      <c r="C1025" s="0" t="n">
        <v>3</v>
      </c>
      <c r="D1025" s="0" t="inlineStr">
        <is>
          <t>둔촌신성미소지움</t>
        </is>
      </c>
      <c r="E1025" s="0" t="inlineStr">
        <is>
          <t>1998.05.</t>
        </is>
      </c>
      <c r="F1025" s="0" t="n">
        <v>460</v>
      </c>
      <c r="G1025" s="0" t="n">
        <v>41.03</v>
      </c>
      <c r="H1025" s="0" t="n">
        <v>135.64</v>
      </c>
      <c r="I1025" s="0" t="n">
        <v>33.19</v>
      </c>
      <c r="J1025" s="0" t="n">
        <v>109.73</v>
      </c>
      <c r="K1025" s="0" t="n">
        <v>48</v>
      </c>
      <c r="T1025" s="0" t="n">
        <v>4</v>
      </c>
      <c r="U1025" s="0" t="n">
        <v>2</v>
      </c>
      <c r="V1025" s="0" t="inlineStr">
        <is>
          <t>계단식</t>
        </is>
      </c>
      <c r="W1025" s="0" t="n">
        <v>135</v>
      </c>
      <c r="X1025" s="0" t="n">
        <v>24</v>
      </c>
      <c r="Y1025" s="0" t="n">
        <v>12</v>
      </c>
      <c r="Z1025" s="0" t="inlineStr">
        <is>
          <t>https://new.land.naver.com/complexes/1296?tab=detail&amp;rf=Y</t>
        </is>
      </c>
      <c r="AA1025" s="0" t="inlineStr">
        <is>
          <t>서울시 강동구 둔촌동 546</t>
        </is>
      </c>
      <c r="AB1025" s="0" t="inlineStr">
        <is>
          <t>서울시</t>
        </is>
      </c>
      <c r="AC1025" s="0" t="inlineStr">
        <is>
          <t>강동구</t>
        </is>
      </c>
      <c r="AD1025" s="0" t="inlineStr">
        <is>
          <t>둔촌동</t>
        </is>
      </c>
      <c r="AG1025" s="0" t="inlineStr">
        <is>
          <t>서울시 강동구 명일로 102</t>
        </is>
      </c>
      <c r="AH1025" s="0" t="n">
        <v>0</v>
      </c>
      <c r="AI1025" s="0" t="n">
        <v>387</v>
      </c>
      <c r="AJ1025" s="0" t="n">
        <v>25</v>
      </c>
      <c r="AK1025" s="0" t="n">
        <v>481</v>
      </c>
      <c r="AL1025" s="0" t="n">
        <v>1.05</v>
      </c>
    </row>
    <row r="1026">
      <c r="A1026" s="0" t="inlineStr">
        <is>
          <t>[둔촌동]</t>
        </is>
      </c>
      <c r="B1026" s="0" t="n">
        <v>1296</v>
      </c>
      <c r="C1026" s="0" t="n">
        <v>4</v>
      </c>
      <c r="D1026" s="0" t="inlineStr">
        <is>
          <t>둔촌신성미소지움</t>
        </is>
      </c>
      <c r="E1026" s="0" t="inlineStr">
        <is>
          <t>1998.05.</t>
        </is>
      </c>
      <c r="F1026" s="0" t="n">
        <v>460</v>
      </c>
      <c r="G1026" s="0" t="n">
        <v>44.11</v>
      </c>
      <c r="H1026" s="0" t="n">
        <v>145.85</v>
      </c>
      <c r="I1026" s="0" t="n">
        <v>34.78</v>
      </c>
      <c r="J1026" s="0" t="n">
        <v>114.98</v>
      </c>
      <c r="K1026" s="0" t="n">
        <v>23</v>
      </c>
      <c r="T1026" s="0" t="n">
        <v>4</v>
      </c>
      <c r="U1026" s="0" t="n">
        <v>2</v>
      </c>
      <c r="V1026" s="0" t="inlineStr">
        <is>
          <t>계단식</t>
        </is>
      </c>
      <c r="W1026" s="0" t="n">
        <v>145</v>
      </c>
      <c r="X1026" s="0" t="n">
        <v>24</v>
      </c>
      <c r="Y1026" s="0" t="n">
        <v>12</v>
      </c>
      <c r="Z1026" s="0" t="inlineStr">
        <is>
          <t>https://new.land.naver.com/complexes/1296?tab=detail&amp;rf=Y</t>
        </is>
      </c>
      <c r="AA1026" s="0" t="inlineStr">
        <is>
          <t>서울시 강동구 둔촌동 546</t>
        </is>
      </c>
      <c r="AB1026" s="0" t="inlineStr">
        <is>
          <t>서울시</t>
        </is>
      </c>
      <c r="AC1026" s="0" t="inlineStr">
        <is>
          <t>강동구</t>
        </is>
      </c>
      <c r="AD1026" s="0" t="inlineStr">
        <is>
          <t>둔촌동</t>
        </is>
      </c>
      <c r="AG1026" s="0" t="inlineStr">
        <is>
          <t>서울시 강동구 명일로 102</t>
        </is>
      </c>
      <c r="AH1026" s="0" t="n">
        <v>0</v>
      </c>
      <c r="AI1026" s="0" t="n">
        <v>387</v>
      </c>
      <c r="AJ1026" s="0" t="n">
        <v>25</v>
      </c>
      <c r="AK1026" s="0" t="n">
        <v>481</v>
      </c>
      <c r="AL1026" s="0" t="n">
        <v>1.05</v>
      </c>
    </row>
    <row r="1027">
      <c r="A1027" s="0" t="inlineStr">
        <is>
          <t>[둔촌동]</t>
        </is>
      </c>
      <c r="B1027" s="0" t="n">
        <v>1295</v>
      </c>
      <c r="C1027" s="0" t="n">
        <v>1</v>
      </c>
      <c r="D1027" s="0" t="inlineStr">
        <is>
          <t>라이프</t>
        </is>
      </c>
      <c r="E1027" s="0" t="inlineStr">
        <is>
          <t>1993.03.</t>
        </is>
      </c>
      <c r="F1027" s="0" t="n">
        <v>78</v>
      </c>
      <c r="G1027" s="0" t="n">
        <v>27.05</v>
      </c>
      <c r="H1027" s="0" t="n">
        <v>89.43000000000001</v>
      </c>
      <c r="I1027" s="0" t="n">
        <v>24.05</v>
      </c>
      <c r="J1027" s="0" t="n">
        <v>79.53</v>
      </c>
      <c r="K1027" s="0" t="n">
        <v>30</v>
      </c>
      <c r="T1027" s="0" t="n">
        <v>3</v>
      </c>
      <c r="U1027" s="0" t="n">
        <v>2</v>
      </c>
      <c r="V1027" s="0" t="inlineStr">
        <is>
          <t>계단식</t>
        </is>
      </c>
      <c r="W1027" s="0" t="n">
        <v>89</v>
      </c>
      <c r="X1027" s="0" t="n">
        <v>12</v>
      </c>
      <c r="Y1027" s="0" t="n">
        <v>6</v>
      </c>
      <c r="Z1027" s="0" t="inlineStr">
        <is>
          <t>https://new.land.naver.com/complexes/1295?tab=detail&amp;rf=Y</t>
        </is>
      </c>
      <c r="AA1027" s="0" t="inlineStr">
        <is>
          <t>서울시 강동구 둔촌동 544</t>
        </is>
      </c>
      <c r="AB1027" s="0" t="inlineStr">
        <is>
          <t>서울시</t>
        </is>
      </c>
      <c r="AC1027" s="0" t="inlineStr">
        <is>
          <t>강동구</t>
        </is>
      </c>
      <c r="AD1027" s="0" t="inlineStr">
        <is>
          <t>둔촌동</t>
        </is>
      </c>
      <c r="AG1027" s="0" t="inlineStr">
        <is>
          <t>서울시 강동구 풍성로65길 21</t>
        </is>
      </c>
      <c r="AH1027" s="0" t="n">
        <v>0</v>
      </c>
      <c r="AI1027" s="0" t="n">
        <v>201</v>
      </c>
      <c r="AJ1027" s="0" t="n">
        <v>24</v>
      </c>
      <c r="AK1027" s="0" t="n">
        <v>61</v>
      </c>
      <c r="AL1027" s="0" t="n">
        <v>0.78</v>
      </c>
    </row>
    <row r="1028">
      <c r="A1028" s="0" t="inlineStr">
        <is>
          <t>[둔촌동]</t>
        </is>
      </c>
      <c r="B1028" s="0" t="n">
        <v>1295</v>
      </c>
      <c r="C1028" s="0" t="n">
        <v>2</v>
      </c>
      <c r="D1028" s="0" t="inlineStr">
        <is>
          <t>라이프</t>
        </is>
      </c>
      <c r="E1028" s="0" t="inlineStr">
        <is>
          <t>1993.03.</t>
        </is>
      </c>
      <c r="F1028" s="0" t="n">
        <v>78</v>
      </c>
      <c r="G1028" s="0" t="n">
        <v>28.72</v>
      </c>
      <c r="H1028" s="0" t="n">
        <v>94.97</v>
      </c>
      <c r="I1028" s="0" t="n">
        <v>25.59</v>
      </c>
      <c r="J1028" s="0" t="n">
        <v>84.59999999999999</v>
      </c>
      <c r="K1028" s="0" t="n">
        <v>36</v>
      </c>
      <c r="T1028" s="0" t="n">
        <v>3</v>
      </c>
      <c r="U1028" s="0" t="n">
        <v>2</v>
      </c>
      <c r="V1028" s="0" t="inlineStr">
        <is>
          <t>계단식</t>
        </is>
      </c>
      <c r="W1028" s="0" t="inlineStr">
        <is>
          <t>94A</t>
        </is>
      </c>
      <c r="X1028" s="0" t="n">
        <v>12</v>
      </c>
      <c r="Y1028" s="0" t="n">
        <v>6</v>
      </c>
      <c r="Z1028" s="0" t="inlineStr">
        <is>
          <t>https://new.land.naver.com/complexes/1295?tab=detail&amp;rf=Y</t>
        </is>
      </c>
      <c r="AA1028" s="0" t="inlineStr">
        <is>
          <t>서울시 강동구 둔촌동 544</t>
        </is>
      </c>
      <c r="AB1028" s="0" t="inlineStr">
        <is>
          <t>서울시</t>
        </is>
      </c>
      <c r="AC1028" s="0" t="inlineStr">
        <is>
          <t>강동구</t>
        </is>
      </c>
      <c r="AD1028" s="0" t="inlineStr">
        <is>
          <t>둔촌동</t>
        </is>
      </c>
      <c r="AG1028" s="0" t="inlineStr">
        <is>
          <t>서울시 강동구 풍성로65길 21</t>
        </is>
      </c>
      <c r="AH1028" s="0" t="n">
        <v>0</v>
      </c>
      <c r="AI1028" s="0" t="n">
        <v>201</v>
      </c>
      <c r="AJ1028" s="0" t="n">
        <v>24</v>
      </c>
      <c r="AK1028" s="0" t="n">
        <v>61</v>
      </c>
      <c r="AL1028" s="0" t="n">
        <v>0.78</v>
      </c>
    </row>
    <row r="1029">
      <c r="A1029" s="0" t="inlineStr">
        <is>
          <t>[둔촌동]</t>
        </is>
      </c>
      <c r="B1029" s="0" t="n">
        <v>1295</v>
      </c>
      <c r="C1029" s="0" t="n">
        <v>3</v>
      </c>
      <c r="D1029" s="0" t="inlineStr">
        <is>
          <t>라이프</t>
        </is>
      </c>
      <c r="E1029" s="0" t="inlineStr">
        <is>
          <t>1993.03.</t>
        </is>
      </c>
      <c r="F1029" s="0" t="n">
        <v>78</v>
      </c>
      <c r="G1029" s="0" t="n">
        <v>28.76</v>
      </c>
      <c r="H1029" s="0" t="n">
        <v>95.08</v>
      </c>
      <c r="I1029" s="0" t="n">
        <v>25.62</v>
      </c>
      <c r="J1029" s="0" t="n">
        <v>84.70999999999999</v>
      </c>
      <c r="K1029" s="0" t="n">
        <v>12</v>
      </c>
      <c r="T1029" s="0" t="n">
        <v>3</v>
      </c>
      <c r="U1029" s="0" t="n">
        <v>2</v>
      </c>
      <c r="V1029" s="0" t="inlineStr">
        <is>
          <t>계단식</t>
        </is>
      </c>
      <c r="W1029" s="0" t="inlineStr">
        <is>
          <t>95B</t>
        </is>
      </c>
      <c r="X1029" s="0" t="n">
        <v>12</v>
      </c>
      <c r="Y1029" s="0" t="n">
        <v>6</v>
      </c>
      <c r="Z1029" s="0" t="inlineStr">
        <is>
          <t>https://new.land.naver.com/complexes/1295?tab=detail&amp;rf=Y</t>
        </is>
      </c>
      <c r="AA1029" s="0" t="inlineStr">
        <is>
          <t>서울시 강동구 둔촌동 544</t>
        </is>
      </c>
      <c r="AB1029" s="0" t="inlineStr">
        <is>
          <t>서울시</t>
        </is>
      </c>
      <c r="AC1029" s="0" t="inlineStr">
        <is>
          <t>강동구</t>
        </is>
      </c>
      <c r="AD1029" s="0" t="inlineStr">
        <is>
          <t>둔촌동</t>
        </is>
      </c>
      <c r="AG1029" s="0" t="inlineStr">
        <is>
          <t>서울시 강동구 풍성로65길 21</t>
        </is>
      </c>
      <c r="AH1029" s="0" t="n">
        <v>0</v>
      </c>
      <c r="AI1029" s="0" t="n">
        <v>201</v>
      </c>
      <c r="AJ1029" s="0" t="n">
        <v>24</v>
      </c>
      <c r="AK1029" s="0" t="n">
        <v>61</v>
      </c>
      <c r="AL1029" s="0" t="n">
        <v>0.78</v>
      </c>
    </row>
    <row r="1030">
      <c r="A1030" s="0" t="inlineStr">
        <is>
          <t>[둔촌동]</t>
        </is>
      </c>
      <c r="B1030" s="0" t="n">
        <v>104307</v>
      </c>
      <c r="C1030" s="0" t="n">
        <v>1</v>
      </c>
      <c r="D1030" s="0" t="inlineStr">
        <is>
          <t>상상프리</t>
        </is>
      </c>
      <c r="E1030" s="0" t="inlineStr">
        <is>
          <t>2012.01.</t>
        </is>
      </c>
      <c r="F1030" s="0" t="n">
        <v>19</v>
      </c>
      <c r="G1030" s="0" t="n">
        <v>20.84</v>
      </c>
      <c r="H1030" s="0" t="n">
        <v>68.90000000000001</v>
      </c>
      <c r="I1030" s="0" t="n">
        <v>17.33</v>
      </c>
      <c r="J1030" s="0" t="n">
        <v>57.31</v>
      </c>
      <c r="K1030" s="0" t="n">
        <v>2</v>
      </c>
      <c r="T1030" s="0" t="n">
        <v>3</v>
      </c>
      <c r="U1030" s="0" t="n">
        <v>2</v>
      </c>
      <c r="V1030" s="0" t="inlineStr">
        <is>
          <t>계단식</t>
        </is>
      </c>
      <c r="W1030" s="0" t="inlineStr">
        <is>
          <t>68A</t>
        </is>
      </c>
      <c r="X1030" s="0" t="n">
        <v>12</v>
      </c>
      <c r="Y1030" s="0" t="n">
        <v>11</v>
      </c>
      <c r="Z1030" s="0" t="inlineStr">
        <is>
          <t>https://new.land.naver.com/complexes/104307?tab=detail&amp;rf=Y</t>
        </is>
      </c>
      <c r="AA1030" s="0" t="inlineStr">
        <is>
          <t>서울시 강동구 둔촌동 435-2</t>
        </is>
      </c>
      <c r="AB1030" s="0" t="inlineStr">
        <is>
          <t>서울시</t>
        </is>
      </c>
      <c r="AC1030" s="0" t="inlineStr">
        <is>
          <t>강동구</t>
        </is>
      </c>
      <c r="AD1030" s="0" t="inlineStr">
        <is>
          <t>둔촌동</t>
        </is>
      </c>
      <c r="AG1030" s="0" t="inlineStr">
        <is>
          <t>서울시 강동구 천호대로 1156-20</t>
        </is>
      </c>
      <c r="AH1030" s="0" t="n">
        <v>0</v>
      </c>
      <c r="AI1030" s="0" t="n">
        <v>280</v>
      </c>
      <c r="AJ1030" s="0" t="n">
        <v>36</v>
      </c>
      <c r="AK1030" s="0" t="n">
        <v>17</v>
      </c>
      <c r="AL1030" s="0" t="n">
        <v>0.89</v>
      </c>
    </row>
    <row r="1031">
      <c r="A1031" s="0" t="inlineStr">
        <is>
          <t>[둔촌동]</t>
        </is>
      </c>
      <c r="B1031" s="0" t="n">
        <v>104307</v>
      </c>
      <c r="C1031" s="0" t="n">
        <v>2</v>
      </c>
      <c r="D1031" s="0" t="inlineStr">
        <is>
          <t>상상프리</t>
        </is>
      </c>
      <c r="E1031" s="0" t="inlineStr">
        <is>
          <t>2012.01.</t>
        </is>
      </c>
      <c r="F1031" s="0" t="n">
        <v>19</v>
      </c>
      <c r="G1031" s="0" t="n">
        <v>20.96</v>
      </c>
      <c r="H1031" s="0" t="n">
        <v>69.31999999999999</v>
      </c>
      <c r="I1031" s="0" t="n">
        <v>17.44</v>
      </c>
      <c r="J1031" s="0" t="n">
        <v>57.67</v>
      </c>
      <c r="K1031" s="0" t="n">
        <v>2</v>
      </c>
      <c r="T1031" s="0" t="n">
        <v>3</v>
      </c>
      <c r="U1031" s="0" t="n">
        <v>2</v>
      </c>
      <c r="V1031" s="0" t="inlineStr">
        <is>
          <t>계단식</t>
        </is>
      </c>
      <c r="W1031" s="0" t="inlineStr">
        <is>
          <t>69B</t>
        </is>
      </c>
      <c r="X1031" s="0" t="n">
        <v>12</v>
      </c>
      <c r="Y1031" s="0" t="n">
        <v>11</v>
      </c>
      <c r="Z1031" s="0" t="inlineStr">
        <is>
          <t>https://new.land.naver.com/complexes/104307?tab=detail&amp;rf=Y</t>
        </is>
      </c>
      <c r="AA1031" s="0" t="inlineStr">
        <is>
          <t>서울시 강동구 둔촌동 435-2</t>
        </is>
      </c>
      <c r="AB1031" s="0" t="inlineStr">
        <is>
          <t>서울시</t>
        </is>
      </c>
      <c r="AC1031" s="0" t="inlineStr">
        <is>
          <t>강동구</t>
        </is>
      </c>
      <c r="AD1031" s="0" t="inlineStr">
        <is>
          <t>둔촌동</t>
        </is>
      </c>
      <c r="AG1031" s="0" t="inlineStr">
        <is>
          <t>서울시 강동구 천호대로 1156-20</t>
        </is>
      </c>
      <c r="AH1031" s="0" t="n">
        <v>0</v>
      </c>
      <c r="AI1031" s="0" t="n">
        <v>280</v>
      </c>
      <c r="AJ1031" s="0" t="n">
        <v>36</v>
      </c>
      <c r="AK1031" s="0" t="n">
        <v>17</v>
      </c>
      <c r="AL1031" s="0" t="n">
        <v>0.89</v>
      </c>
    </row>
    <row r="1032">
      <c r="A1032" s="0" t="inlineStr">
        <is>
          <t>[둔촌동]</t>
        </is>
      </c>
      <c r="B1032" s="0" t="n">
        <v>104307</v>
      </c>
      <c r="C1032" s="0" t="n">
        <v>3</v>
      </c>
      <c r="D1032" s="0" t="inlineStr">
        <is>
          <t>상상프리</t>
        </is>
      </c>
      <c r="E1032" s="0" t="inlineStr">
        <is>
          <t>2012.01.</t>
        </is>
      </c>
      <c r="F1032" s="0" t="n">
        <v>19</v>
      </c>
      <c r="G1032" s="0" t="n">
        <v>21.73</v>
      </c>
      <c r="H1032" s="0" t="n">
        <v>71.86</v>
      </c>
      <c r="I1032" s="0" t="n">
        <v>18.08</v>
      </c>
      <c r="J1032" s="0" t="n">
        <v>59.79</v>
      </c>
      <c r="K1032" s="0" t="n">
        <v>14</v>
      </c>
      <c r="T1032" s="0" t="n">
        <v>3</v>
      </c>
      <c r="U1032" s="0" t="n">
        <v>2</v>
      </c>
      <c r="V1032" s="0" t="inlineStr">
        <is>
          <t>계단식</t>
        </is>
      </c>
      <c r="W1032" s="0" t="n">
        <v>71</v>
      </c>
      <c r="X1032" s="0" t="n">
        <v>12</v>
      </c>
      <c r="Y1032" s="0" t="n">
        <v>11</v>
      </c>
      <c r="Z1032" s="0" t="inlineStr">
        <is>
          <t>https://new.land.naver.com/complexes/104307?tab=detail&amp;rf=Y</t>
        </is>
      </c>
      <c r="AA1032" s="0" t="inlineStr">
        <is>
          <t>서울시 강동구 둔촌동 435-2</t>
        </is>
      </c>
      <c r="AB1032" s="0" t="inlineStr">
        <is>
          <t>서울시</t>
        </is>
      </c>
      <c r="AC1032" s="0" t="inlineStr">
        <is>
          <t>강동구</t>
        </is>
      </c>
      <c r="AD1032" s="0" t="inlineStr">
        <is>
          <t>둔촌동</t>
        </is>
      </c>
      <c r="AG1032" s="0" t="inlineStr">
        <is>
          <t>서울시 강동구 천호대로 1156-20</t>
        </is>
      </c>
      <c r="AH1032" s="0" t="n">
        <v>0</v>
      </c>
      <c r="AI1032" s="0" t="n">
        <v>280</v>
      </c>
      <c r="AJ1032" s="0" t="n">
        <v>36</v>
      </c>
      <c r="AK1032" s="0" t="n">
        <v>17</v>
      </c>
      <c r="AL1032" s="0" t="n">
        <v>0.89</v>
      </c>
    </row>
    <row r="1033">
      <c r="A1033" s="0" t="inlineStr">
        <is>
          <t>[둔촌동]</t>
        </is>
      </c>
      <c r="B1033" s="0" t="n">
        <v>104307</v>
      </c>
      <c r="C1033" s="0" t="n">
        <v>4</v>
      </c>
      <c r="D1033" s="0" t="inlineStr">
        <is>
          <t>상상프리</t>
        </is>
      </c>
      <c r="E1033" s="0" t="inlineStr">
        <is>
          <t>2012.01.</t>
        </is>
      </c>
      <c r="F1033" s="0" t="n">
        <v>19</v>
      </c>
      <c r="G1033" s="0" t="n">
        <v>30.74</v>
      </c>
      <c r="H1033" s="0" t="n">
        <v>101.63</v>
      </c>
      <c r="I1033" s="0" t="n">
        <v>25.57</v>
      </c>
      <c r="J1033" s="0" t="n">
        <v>84.54000000000001</v>
      </c>
      <c r="K1033" s="0" t="n">
        <v>1</v>
      </c>
      <c r="T1033" s="0" t="n">
        <v>3</v>
      </c>
      <c r="U1033" s="0" t="n">
        <v>2</v>
      </c>
      <c r="V1033" s="0" t="inlineStr">
        <is>
          <t>계단식</t>
        </is>
      </c>
      <c r="W1033" s="0" t="n">
        <v>101</v>
      </c>
      <c r="X1033" s="0" t="n">
        <v>12</v>
      </c>
      <c r="Y1033" s="0" t="n">
        <v>11</v>
      </c>
      <c r="Z1033" s="0" t="inlineStr">
        <is>
          <t>https://new.land.naver.com/complexes/104307?tab=detail&amp;rf=Y</t>
        </is>
      </c>
      <c r="AA1033" s="0" t="inlineStr">
        <is>
          <t>서울시 강동구 둔촌동 435-2</t>
        </is>
      </c>
      <c r="AB1033" s="0" t="inlineStr">
        <is>
          <t>서울시</t>
        </is>
      </c>
      <c r="AC1033" s="0" t="inlineStr">
        <is>
          <t>강동구</t>
        </is>
      </c>
      <c r="AD1033" s="0" t="inlineStr">
        <is>
          <t>둔촌동</t>
        </is>
      </c>
      <c r="AG1033" s="0" t="inlineStr">
        <is>
          <t>서울시 강동구 천호대로 1156-20</t>
        </is>
      </c>
      <c r="AH1033" s="0" t="n">
        <v>0</v>
      </c>
      <c r="AI1033" s="0" t="n">
        <v>280</v>
      </c>
      <c r="AJ1033" s="0" t="n">
        <v>36</v>
      </c>
      <c r="AK1033" s="0" t="n">
        <v>17</v>
      </c>
      <c r="AL1033" s="0" t="n">
        <v>0.89</v>
      </c>
    </row>
    <row r="1034">
      <c r="A1034" s="0" t="inlineStr">
        <is>
          <t>[명일동]</t>
        </is>
      </c>
      <c r="B1034" s="0" t="n">
        <v>131032</v>
      </c>
      <c r="C1034" s="0" t="n">
        <v>1</v>
      </c>
      <c r="D1034" s="0" t="inlineStr">
        <is>
          <t>명가(도시형)</t>
        </is>
      </c>
      <c r="E1034" s="0" t="inlineStr">
        <is>
          <t>2019.05.</t>
        </is>
      </c>
      <c r="F1034" s="0" t="n">
        <v>10</v>
      </c>
      <c r="G1034" s="0" t="n">
        <v>10.57</v>
      </c>
      <c r="H1034" s="0" t="n">
        <v>34.96</v>
      </c>
      <c r="I1034" s="0" t="n">
        <v>8.26</v>
      </c>
      <c r="J1034" s="0" t="n">
        <v>27.31</v>
      </c>
      <c r="K1034" s="0" t="n">
        <v>2</v>
      </c>
      <c r="T1034" s="0" t="n">
        <v>1</v>
      </c>
      <c r="U1034" s="0" t="n">
        <v>1</v>
      </c>
      <c r="V1034" s="0" t="inlineStr">
        <is>
          <t>계단식</t>
        </is>
      </c>
      <c r="W1034" s="0" t="inlineStr">
        <is>
          <t>34A</t>
        </is>
      </c>
      <c r="X1034" s="0" t="n">
        <v>5</v>
      </c>
      <c r="Y1034" s="0" t="n">
        <v>3</v>
      </c>
      <c r="Z1034" s="0" t="inlineStr">
        <is>
          <t>https://new.land.naver.com/complexes/131032?tab=detail&amp;rf=Y</t>
        </is>
      </c>
      <c r="AA1034" s="0" t="inlineStr">
        <is>
          <t>서울시 강동구 명일동 114</t>
        </is>
      </c>
      <c r="AB1034" s="0" t="inlineStr">
        <is>
          <t>서울시</t>
        </is>
      </c>
      <c r="AC1034" s="0" t="inlineStr">
        <is>
          <t>강동구</t>
        </is>
      </c>
      <c r="AD1034" s="0" t="inlineStr">
        <is>
          <t>명일동</t>
        </is>
      </c>
      <c r="AG1034" s="0" t="inlineStr">
        <is>
          <t>서울시 강동구 동남로65길 16-9</t>
        </is>
      </c>
      <c r="AH1034" s="0" t="n">
        <v>0</v>
      </c>
      <c r="AI1034" s="0" t="n">
        <v>199</v>
      </c>
      <c r="AJ1034" s="0" t="n">
        <v>59</v>
      </c>
      <c r="AK1034" s="0" t="n">
        <v>5</v>
      </c>
      <c r="AL1034" s="0" t="n">
        <v>0.5</v>
      </c>
    </row>
    <row r="1035">
      <c r="A1035" s="0" t="inlineStr">
        <is>
          <t>[명일동]</t>
        </is>
      </c>
      <c r="B1035" s="0" t="n">
        <v>131032</v>
      </c>
      <c r="C1035" s="0" t="n">
        <v>2</v>
      </c>
      <c r="D1035" s="0" t="inlineStr">
        <is>
          <t>명가(도시형)</t>
        </is>
      </c>
      <c r="E1035" s="0" t="inlineStr">
        <is>
          <t>2019.05.</t>
        </is>
      </c>
      <c r="F1035" s="0" t="n">
        <v>10</v>
      </c>
      <c r="G1035" s="0" t="n">
        <v>11.22</v>
      </c>
      <c r="H1035" s="0" t="n">
        <v>37.1</v>
      </c>
      <c r="I1035" s="0" t="n">
        <v>8.76</v>
      </c>
      <c r="J1035" s="0" t="n">
        <v>28.98</v>
      </c>
      <c r="K1035" s="0" t="n">
        <v>1</v>
      </c>
      <c r="T1035" s="0" t="n">
        <v>1</v>
      </c>
      <c r="U1035" s="0" t="n">
        <v>1</v>
      </c>
      <c r="V1035" s="0" t="inlineStr">
        <is>
          <t>계단식</t>
        </is>
      </c>
      <c r="W1035" s="0" t="inlineStr">
        <is>
          <t>37B</t>
        </is>
      </c>
      <c r="X1035" s="0" t="n">
        <v>5</v>
      </c>
      <c r="Y1035" s="0" t="n">
        <v>3</v>
      </c>
      <c r="Z1035" s="0" t="inlineStr">
        <is>
          <t>https://new.land.naver.com/complexes/131032?tab=detail&amp;rf=Y</t>
        </is>
      </c>
      <c r="AA1035" s="0" t="inlineStr">
        <is>
          <t>서울시 강동구 명일동 114</t>
        </is>
      </c>
      <c r="AB1035" s="0" t="inlineStr">
        <is>
          <t>서울시</t>
        </is>
      </c>
      <c r="AC1035" s="0" t="inlineStr">
        <is>
          <t>강동구</t>
        </is>
      </c>
      <c r="AD1035" s="0" t="inlineStr">
        <is>
          <t>명일동</t>
        </is>
      </c>
      <c r="AG1035" s="0" t="inlineStr">
        <is>
          <t>서울시 강동구 동남로65길 16-9</t>
        </is>
      </c>
      <c r="AH1035" s="0" t="n">
        <v>0</v>
      </c>
      <c r="AI1035" s="0" t="n">
        <v>199</v>
      </c>
      <c r="AJ1035" s="0" t="n">
        <v>59</v>
      </c>
      <c r="AK1035" s="0" t="n">
        <v>5</v>
      </c>
      <c r="AL1035" s="0" t="n">
        <v>0.5</v>
      </c>
    </row>
    <row r="1036">
      <c r="A1036" s="0" t="inlineStr">
        <is>
          <t>[명일동]</t>
        </is>
      </c>
      <c r="B1036" s="0" t="n">
        <v>131032</v>
      </c>
      <c r="C1036" s="0" t="n">
        <v>3</v>
      </c>
      <c r="D1036" s="0" t="inlineStr">
        <is>
          <t>명가(도시형)</t>
        </is>
      </c>
      <c r="E1036" s="0" t="inlineStr">
        <is>
          <t>2019.05.</t>
        </is>
      </c>
      <c r="F1036" s="0" t="n">
        <v>10</v>
      </c>
      <c r="G1036" s="0" t="n">
        <v>11.58</v>
      </c>
      <c r="H1036" s="0" t="n">
        <v>38.31</v>
      </c>
      <c r="I1036" s="0" t="n">
        <v>9.050000000000001</v>
      </c>
      <c r="J1036" s="0" t="n">
        <v>29.92</v>
      </c>
      <c r="K1036" s="0" t="n">
        <v>2</v>
      </c>
      <c r="T1036" s="0" t="n">
        <v>1</v>
      </c>
      <c r="U1036" s="0" t="n">
        <v>1</v>
      </c>
      <c r="V1036" s="0" t="inlineStr">
        <is>
          <t>계단식</t>
        </is>
      </c>
      <c r="W1036" s="0" t="inlineStr">
        <is>
          <t>38B</t>
        </is>
      </c>
      <c r="X1036" s="0" t="n">
        <v>5</v>
      </c>
      <c r="Y1036" s="0" t="n">
        <v>3</v>
      </c>
      <c r="Z1036" s="0" t="inlineStr">
        <is>
          <t>https://new.land.naver.com/complexes/131032?tab=detail&amp;rf=Y</t>
        </is>
      </c>
      <c r="AA1036" s="0" t="inlineStr">
        <is>
          <t>서울시 강동구 명일동 114</t>
        </is>
      </c>
      <c r="AB1036" s="0" t="inlineStr">
        <is>
          <t>서울시</t>
        </is>
      </c>
      <c r="AC1036" s="0" t="inlineStr">
        <is>
          <t>강동구</t>
        </is>
      </c>
      <c r="AD1036" s="0" t="inlineStr">
        <is>
          <t>명일동</t>
        </is>
      </c>
      <c r="AG1036" s="0" t="inlineStr">
        <is>
          <t>서울시 강동구 동남로65길 16-9</t>
        </is>
      </c>
      <c r="AH1036" s="0" t="n">
        <v>0</v>
      </c>
      <c r="AI1036" s="0" t="n">
        <v>199</v>
      </c>
      <c r="AJ1036" s="0" t="n">
        <v>59</v>
      </c>
      <c r="AK1036" s="0" t="n">
        <v>5</v>
      </c>
      <c r="AL1036" s="0" t="n">
        <v>0.5</v>
      </c>
    </row>
    <row r="1037">
      <c r="A1037" s="0" t="inlineStr">
        <is>
          <t>[명일동]</t>
        </is>
      </c>
      <c r="B1037" s="0" t="n">
        <v>131032</v>
      </c>
      <c r="C1037" s="0" t="n">
        <v>4</v>
      </c>
      <c r="D1037" s="0" t="inlineStr">
        <is>
          <t>명가(도시형)</t>
        </is>
      </c>
      <c r="E1037" s="0" t="inlineStr">
        <is>
          <t>2019.05.</t>
        </is>
      </c>
      <c r="F1037" s="0" t="n">
        <v>10</v>
      </c>
      <c r="G1037" s="0" t="n">
        <v>11.6</v>
      </c>
      <c r="H1037" s="0" t="n">
        <v>38.36</v>
      </c>
      <c r="I1037" s="0" t="n">
        <v>9.06</v>
      </c>
      <c r="J1037" s="0" t="n">
        <v>29.96</v>
      </c>
      <c r="K1037" s="0" t="n">
        <v>2</v>
      </c>
      <c r="T1037" s="0" t="n">
        <v>1</v>
      </c>
      <c r="U1037" s="0" t="n">
        <v>1</v>
      </c>
      <c r="V1037" s="0" t="inlineStr">
        <is>
          <t>계단식</t>
        </is>
      </c>
      <c r="W1037" s="0" t="inlineStr">
        <is>
          <t>38C</t>
        </is>
      </c>
      <c r="X1037" s="0" t="n">
        <v>5</v>
      </c>
      <c r="Y1037" s="0" t="n">
        <v>3</v>
      </c>
      <c r="Z1037" s="0" t="inlineStr">
        <is>
          <t>https://new.land.naver.com/complexes/131032?tab=detail&amp;rf=Y</t>
        </is>
      </c>
      <c r="AA1037" s="0" t="inlineStr">
        <is>
          <t>서울시 강동구 명일동 114</t>
        </is>
      </c>
      <c r="AB1037" s="0" t="inlineStr">
        <is>
          <t>서울시</t>
        </is>
      </c>
      <c r="AC1037" s="0" t="inlineStr">
        <is>
          <t>강동구</t>
        </is>
      </c>
      <c r="AD1037" s="0" t="inlineStr">
        <is>
          <t>명일동</t>
        </is>
      </c>
      <c r="AG1037" s="0" t="inlineStr">
        <is>
          <t>서울시 강동구 동남로65길 16-9</t>
        </is>
      </c>
      <c r="AH1037" s="0" t="n">
        <v>0</v>
      </c>
      <c r="AI1037" s="0" t="n">
        <v>199</v>
      </c>
      <c r="AJ1037" s="0" t="n">
        <v>59</v>
      </c>
      <c r="AK1037" s="0" t="n">
        <v>5</v>
      </c>
      <c r="AL1037" s="0" t="n">
        <v>0.5</v>
      </c>
    </row>
    <row r="1038">
      <c r="A1038" s="0" t="inlineStr">
        <is>
          <t>[명일동]</t>
        </is>
      </c>
      <c r="B1038" s="0" t="n">
        <v>131032</v>
      </c>
      <c r="C1038" s="0" t="n">
        <v>5</v>
      </c>
      <c r="D1038" s="0" t="inlineStr">
        <is>
          <t>명가(도시형)</t>
        </is>
      </c>
      <c r="E1038" s="0" t="inlineStr">
        <is>
          <t>2019.05.</t>
        </is>
      </c>
      <c r="F1038" s="0" t="n">
        <v>10</v>
      </c>
      <c r="G1038" s="0" t="n">
        <v>11.56</v>
      </c>
      <c r="H1038" s="0" t="n">
        <v>38.23</v>
      </c>
      <c r="I1038" s="0" t="n">
        <v>9.029999999999999</v>
      </c>
      <c r="J1038" s="0" t="n">
        <v>29.86</v>
      </c>
      <c r="K1038" s="0" t="n">
        <v>1</v>
      </c>
      <c r="T1038" s="0" t="n">
        <v>1</v>
      </c>
      <c r="U1038" s="0" t="n">
        <v>1</v>
      </c>
      <c r="V1038" s="0" t="inlineStr">
        <is>
          <t>계단식</t>
        </is>
      </c>
      <c r="W1038" s="0" t="inlineStr">
        <is>
          <t>38A</t>
        </is>
      </c>
      <c r="X1038" s="0" t="n">
        <v>5</v>
      </c>
      <c r="Y1038" s="0" t="n">
        <v>3</v>
      </c>
      <c r="Z1038" s="0" t="inlineStr">
        <is>
          <t>https://new.land.naver.com/complexes/131032?tab=detail&amp;rf=Y</t>
        </is>
      </c>
      <c r="AA1038" s="0" t="inlineStr">
        <is>
          <t>서울시 강동구 명일동 114</t>
        </is>
      </c>
      <c r="AB1038" s="0" t="inlineStr">
        <is>
          <t>서울시</t>
        </is>
      </c>
      <c r="AC1038" s="0" t="inlineStr">
        <is>
          <t>강동구</t>
        </is>
      </c>
      <c r="AD1038" s="0" t="inlineStr">
        <is>
          <t>명일동</t>
        </is>
      </c>
      <c r="AG1038" s="0" t="inlineStr">
        <is>
          <t>서울시 강동구 동남로65길 16-9</t>
        </is>
      </c>
      <c r="AH1038" s="0" t="n">
        <v>0</v>
      </c>
      <c r="AI1038" s="0" t="n">
        <v>199</v>
      </c>
      <c r="AJ1038" s="0" t="n">
        <v>59</v>
      </c>
      <c r="AK1038" s="0" t="n">
        <v>5</v>
      </c>
      <c r="AL1038" s="0" t="n">
        <v>0.5</v>
      </c>
    </row>
    <row r="1039">
      <c r="A1039" s="0" t="inlineStr">
        <is>
          <t>[명일동]</t>
        </is>
      </c>
      <c r="B1039" s="0" t="n">
        <v>131032</v>
      </c>
      <c r="C1039" s="0" t="n">
        <v>6</v>
      </c>
      <c r="D1039" s="0" t="inlineStr">
        <is>
          <t>명가(도시형)</t>
        </is>
      </c>
      <c r="E1039" s="0" t="inlineStr">
        <is>
          <t>2019.05.</t>
        </is>
      </c>
      <c r="F1039" s="0" t="n">
        <v>10</v>
      </c>
      <c r="G1039" s="0" t="n">
        <v>18.21</v>
      </c>
      <c r="H1039" s="0" t="n">
        <v>60.22</v>
      </c>
      <c r="I1039" s="0" t="n">
        <v>14.22</v>
      </c>
      <c r="J1039" s="0" t="n">
        <v>47.04</v>
      </c>
      <c r="K1039" s="0" t="n">
        <v>1</v>
      </c>
      <c r="T1039" s="0" t="n">
        <v>2</v>
      </c>
      <c r="U1039" s="0" t="n">
        <v>1</v>
      </c>
      <c r="V1039" s="0" t="inlineStr">
        <is>
          <t>계단식</t>
        </is>
      </c>
      <c r="W1039" s="0" t="n">
        <v>60</v>
      </c>
      <c r="X1039" s="0" t="n">
        <v>5</v>
      </c>
      <c r="Y1039" s="0" t="n">
        <v>3</v>
      </c>
      <c r="Z1039" s="0" t="inlineStr">
        <is>
          <t>https://new.land.naver.com/complexes/131032?tab=detail&amp;rf=Y</t>
        </is>
      </c>
      <c r="AA1039" s="0" t="inlineStr">
        <is>
          <t>서울시 강동구 명일동 114</t>
        </is>
      </c>
      <c r="AB1039" s="0" t="inlineStr">
        <is>
          <t>서울시</t>
        </is>
      </c>
      <c r="AC1039" s="0" t="inlineStr">
        <is>
          <t>강동구</t>
        </is>
      </c>
      <c r="AD1039" s="0" t="inlineStr">
        <is>
          <t>명일동</t>
        </is>
      </c>
      <c r="AG1039" s="0" t="inlineStr">
        <is>
          <t>서울시 강동구 동남로65길 16-9</t>
        </is>
      </c>
      <c r="AH1039" s="0" t="n">
        <v>0</v>
      </c>
      <c r="AI1039" s="0" t="n">
        <v>199</v>
      </c>
      <c r="AJ1039" s="0" t="n">
        <v>59</v>
      </c>
      <c r="AK1039" s="0" t="n">
        <v>5</v>
      </c>
      <c r="AL1039" s="0" t="n">
        <v>0.5</v>
      </c>
    </row>
    <row r="1040">
      <c r="A1040" s="0" t="inlineStr">
        <is>
          <t>[명일동]</t>
        </is>
      </c>
      <c r="B1040" s="0" t="n">
        <v>131032</v>
      </c>
      <c r="C1040" s="0" t="n">
        <v>7</v>
      </c>
      <c r="D1040" s="0" t="inlineStr">
        <is>
          <t>명가(도시형)</t>
        </is>
      </c>
      <c r="E1040" s="0" t="inlineStr">
        <is>
          <t>2019.05.</t>
        </is>
      </c>
      <c r="F1040" s="0" t="n">
        <v>10</v>
      </c>
      <c r="G1040" s="0" t="n">
        <v>21.25</v>
      </c>
      <c r="H1040" s="0" t="n">
        <v>70.25</v>
      </c>
      <c r="I1040" s="0" t="n">
        <v>16.59</v>
      </c>
      <c r="J1040" s="0" t="n">
        <v>54.87</v>
      </c>
      <c r="K1040" s="0" t="n">
        <v>1</v>
      </c>
      <c r="T1040" s="0" t="n">
        <v>3</v>
      </c>
      <c r="U1040" s="0" t="n">
        <v>1</v>
      </c>
      <c r="V1040" s="0" t="inlineStr">
        <is>
          <t>계단식</t>
        </is>
      </c>
      <c r="W1040" s="0" t="n">
        <v>70</v>
      </c>
      <c r="X1040" s="0" t="n">
        <v>5</v>
      </c>
      <c r="Y1040" s="0" t="n">
        <v>3</v>
      </c>
      <c r="Z1040" s="0" t="inlineStr">
        <is>
          <t>https://new.land.naver.com/complexes/131032?tab=detail&amp;rf=Y</t>
        </is>
      </c>
      <c r="AA1040" s="0" t="inlineStr">
        <is>
          <t>서울시 강동구 명일동 114</t>
        </is>
      </c>
      <c r="AB1040" s="0" t="inlineStr">
        <is>
          <t>서울시</t>
        </is>
      </c>
      <c r="AC1040" s="0" t="inlineStr">
        <is>
          <t>강동구</t>
        </is>
      </c>
      <c r="AD1040" s="0" t="inlineStr">
        <is>
          <t>명일동</t>
        </is>
      </c>
      <c r="AG1040" s="0" t="inlineStr">
        <is>
          <t>서울시 강동구 동남로65길 16-9</t>
        </is>
      </c>
      <c r="AH1040" s="0" t="n">
        <v>0</v>
      </c>
      <c r="AI1040" s="0" t="n">
        <v>199</v>
      </c>
      <c r="AJ1040" s="0" t="n">
        <v>59</v>
      </c>
      <c r="AK1040" s="0" t="n">
        <v>5</v>
      </c>
      <c r="AL1040" s="0" t="n">
        <v>0.5</v>
      </c>
    </row>
    <row r="1041">
      <c r="A1041" s="0" t="inlineStr">
        <is>
          <t>[명일동]</t>
        </is>
      </c>
      <c r="B1041" s="0" t="n">
        <v>1311</v>
      </c>
      <c r="C1041" s="0" t="n">
        <v>1</v>
      </c>
      <c r="D1041" s="0" t="inlineStr">
        <is>
          <t>명일삼환</t>
        </is>
      </c>
      <c r="E1041" s="0" t="inlineStr">
        <is>
          <t>1992.06.</t>
        </is>
      </c>
      <c r="F1041" s="0" t="n">
        <v>306</v>
      </c>
      <c r="G1041" s="0" t="n">
        <v>32.16</v>
      </c>
      <c r="H1041" s="0" t="n">
        <v>106.32</v>
      </c>
      <c r="I1041" s="0" t="n">
        <v>25.68</v>
      </c>
      <c r="J1041" s="0" t="n">
        <v>84.92</v>
      </c>
      <c r="K1041" s="0" t="n">
        <v>217</v>
      </c>
      <c r="T1041" s="0" t="n">
        <v>3</v>
      </c>
      <c r="U1041" s="0" t="n">
        <v>2</v>
      </c>
      <c r="V1041" s="0" t="inlineStr">
        <is>
          <t>계단식</t>
        </is>
      </c>
      <c r="W1041" s="0" t="inlineStr">
        <is>
          <t>106A</t>
        </is>
      </c>
      <c r="X1041" s="0" t="n">
        <v>17</v>
      </c>
      <c r="Y1041" s="0" t="n">
        <v>17</v>
      </c>
      <c r="Z1041" s="0" t="inlineStr">
        <is>
          <t>https://new.land.naver.com/complexes/1311?tab=detail&amp;rf=Y</t>
        </is>
      </c>
      <c r="AA1041" s="0" t="inlineStr">
        <is>
          <t>서울시 강동구 명일동 47</t>
        </is>
      </c>
      <c r="AB1041" s="0" t="inlineStr">
        <is>
          <t>서울시</t>
        </is>
      </c>
      <c r="AC1041" s="0" t="inlineStr">
        <is>
          <t>강동구</t>
        </is>
      </c>
      <c r="AD1041" s="0" t="inlineStr">
        <is>
          <t>명일동</t>
        </is>
      </c>
      <c r="AG1041" s="0" t="inlineStr">
        <is>
          <t>서울시 강동구 고덕로62길 29</t>
        </is>
      </c>
      <c r="AH1041" s="0" t="n">
        <v>0</v>
      </c>
      <c r="AI1041" s="0" t="n">
        <v>286</v>
      </c>
      <c r="AJ1041" s="0" t="n">
        <v>21</v>
      </c>
      <c r="AK1041" s="0" t="n">
        <v>221</v>
      </c>
      <c r="AL1041" s="0" t="n">
        <v>0.72</v>
      </c>
    </row>
    <row r="1042">
      <c r="A1042" s="0" t="inlineStr">
        <is>
          <t>[명일동]</t>
        </is>
      </c>
      <c r="B1042" s="0" t="n">
        <v>1311</v>
      </c>
      <c r="C1042" s="0" t="n">
        <v>2</v>
      </c>
      <c r="D1042" s="0" t="inlineStr">
        <is>
          <t>명일삼환</t>
        </is>
      </c>
      <c r="E1042" s="0" t="inlineStr">
        <is>
          <t>1992.06.</t>
        </is>
      </c>
      <c r="F1042" s="0" t="n">
        <v>306</v>
      </c>
      <c r="G1042" s="0" t="n">
        <v>32.16</v>
      </c>
      <c r="H1042" s="0" t="n">
        <v>106.32</v>
      </c>
      <c r="I1042" s="0" t="n">
        <v>25.69</v>
      </c>
      <c r="J1042" s="0" t="n">
        <v>84.93000000000001</v>
      </c>
      <c r="K1042" s="0" t="n">
        <v>72</v>
      </c>
      <c r="T1042" s="0" t="n">
        <v>3</v>
      </c>
      <c r="U1042" s="0" t="n">
        <v>2</v>
      </c>
      <c r="V1042" s="0" t="inlineStr">
        <is>
          <t>계단식</t>
        </is>
      </c>
      <c r="W1042" s="0" t="inlineStr">
        <is>
          <t>106C</t>
        </is>
      </c>
      <c r="X1042" s="0" t="n">
        <v>17</v>
      </c>
      <c r="Y1042" s="0" t="n">
        <v>17</v>
      </c>
      <c r="Z1042" s="0" t="inlineStr">
        <is>
          <t>https://new.land.naver.com/complexes/1311?tab=detail&amp;rf=Y</t>
        </is>
      </c>
      <c r="AA1042" s="0" t="inlineStr">
        <is>
          <t>서울시 강동구 명일동 47</t>
        </is>
      </c>
      <c r="AB1042" s="0" t="inlineStr">
        <is>
          <t>서울시</t>
        </is>
      </c>
      <c r="AC1042" s="0" t="inlineStr">
        <is>
          <t>강동구</t>
        </is>
      </c>
      <c r="AD1042" s="0" t="inlineStr">
        <is>
          <t>명일동</t>
        </is>
      </c>
      <c r="AG1042" s="0" t="inlineStr">
        <is>
          <t>서울시 강동구 고덕로62길 29</t>
        </is>
      </c>
      <c r="AH1042" s="0" t="n">
        <v>0</v>
      </c>
      <c r="AI1042" s="0" t="n">
        <v>286</v>
      </c>
      <c r="AJ1042" s="0" t="n">
        <v>21</v>
      </c>
      <c r="AK1042" s="0" t="n">
        <v>221</v>
      </c>
      <c r="AL1042" s="0" t="n">
        <v>0.72</v>
      </c>
    </row>
    <row r="1043">
      <c r="A1043" s="0" t="inlineStr">
        <is>
          <t>[명일동]</t>
        </is>
      </c>
      <c r="B1043" s="0" t="n">
        <v>1311</v>
      </c>
      <c r="C1043" s="0" t="n">
        <v>3</v>
      </c>
      <c r="D1043" s="0" t="inlineStr">
        <is>
          <t>명일삼환</t>
        </is>
      </c>
      <c r="E1043" s="0" t="inlineStr">
        <is>
          <t>1992.06.</t>
        </is>
      </c>
      <c r="F1043" s="0" t="n">
        <v>306</v>
      </c>
      <c r="G1043" s="0" t="n">
        <v>32.14</v>
      </c>
      <c r="H1043" s="0" t="n">
        <v>106.28</v>
      </c>
      <c r="I1043" s="0" t="n">
        <v>25.68</v>
      </c>
      <c r="J1043" s="0" t="n">
        <v>84.90000000000001</v>
      </c>
      <c r="K1043" s="0" t="n">
        <v>17</v>
      </c>
      <c r="T1043" s="0" t="n">
        <v>3</v>
      </c>
      <c r="U1043" s="0" t="n">
        <v>2</v>
      </c>
      <c r="V1043" s="0" t="inlineStr">
        <is>
          <t>계단식</t>
        </is>
      </c>
      <c r="W1043" s="0" t="inlineStr">
        <is>
          <t>106B</t>
        </is>
      </c>
      <c r="X1043" s="0" t="n">
        <v>17</v>
      </c>
      <c r="Y1043" s="0" t="n">
        <v>17</v>
      </c>
      <c r="Z1043" s="0" t="inlineStr">
        <is>
          <t>https://new.land.naver.com/complexes/1311?tab=detail&amp;rf=Y</t>
        </is>
      </c>
      <c r="AA1043" s="0" t="inlineStr">
        <is>
          <t>서울시 강동구 명일동 47</t>
        </is>
      </c>
      <c r="AB1043" s="0" t="inlineStr">
        <is>
          <t>서울시</t>
        </is>
      </c>
      <c r="AC1043" s="0" t="inlineStr">
        <is>
          <t>강동구</t>
        </is>
      </c>
      <c r="AD1043" s="0" t="inlineStr">
        <is>
          <t>명일동</t>
        </is>
      </c>
      <c r="AG1043" s="0" t="inlineStr">
        <is>
          <t>서울시 강동구 고덕로62길 29</t>
        </is>
      </c>
      <c r="AH1043" s="0" t="n">
        <v>0</v>
      </c>
      <c r="AI1043" s="0" t="n">
        <v>286</v>
      </c>
      <c r="AJ1043" s="0" t="n">
        <v>21</v>
      </c>
      <c r="AK1043" s="0" t="n">
        <v>221</v>
      </c>
      <c r="AL1043" s="0" t="n">
        <v>0.72</v>
      </c>
    </row>
    <row r="1044">
      <c r="A1044" s="0" t="inlineStr">
        <is>
          <t>[명일동]</t>
        </is>
      </c>
      <c r="B1044" s="0" t="n">
        <v>100317</v>
      </c>
      <c r="C1044" s="0" t="n">
        <v>1</v>
      </c>
      <c r="D1044" s="0" t="inlineStr">
        <is>
          <t>다성이즈빌명일4차</t>
        </is>
      </c>
      <c r="E1044" s="0" t="inlineStr">
        <is>
          <t>2005.02.</t>
        </is>
      </c>
      <c r="F1044" s="0" t="n">
        <v>19</v>
      </c>
      <c r="G1044" s="0" t="n">
        <v>21.98</v>
      </c>
      <c r="H1044" s="0" t="n">
        <v>72.68000000000001</v>
      </c>
      <c r="I1044" s="0" t="n">
        <v>19.03</v>
      </c>
      <c r="J1044" s="0" t="n">
        <v>62.94</v>
      </c>
      <c r="K1044" s="0" t="n">
        <v>3</v>
      </c>
      <c r="T1044" s="0" t="n">
        <v>2</v>
      </c>
      <c r="U1044" s="0" t="n">
        <v>1</v>
      </c>
      <c r="V1044" s="0" t="inlineStr">
        <is>
          <t>계단식</t>
        </is>
      </c>
      <c r="W1044" s="0" t="n">
        <v>72</v>
      </c>
      <c r="X1044" s="0" t="n">
        <v>6</v>
      </c>
      <c r="Y1044" s="0" t="n">
        <v>5</v>
      </c>
      <c r="Z1044" s="0" t="inlineStr">
        <is>
          <t>https://new.land.naver.com/complexes/100317?tab=detail&amp;rf=Y</t>
        </is>
      </c>
      <c r="AA1044" s="0" t="inlineStr">
        <is>
          <t>서울시 강동구 명일동 348-1</t>
        </is>
      </c>
      <c r="AB1044" s="0" t="inlineStr">
        <is>
          <t>서울시</t>
        </is>
      </c>
      <c r="AC1044" s="0" t="inlineStr">
        <is>
          <t>강동구</t>
        </is>
      </c>
      <c r="AD1044" s="0" t="inlineStr">
        <is>
          <t>명일동</t>
        </is>
      </c>
      <c r="AG1044" s="0" t="inlineStr">
        <is>
          <t>서울시 강동구 양재대로130길 36</t>
        </is>
      </c>
      <c r="AH1044" s="0" t="n">
        <v>0</v>
      </c>
      <c r="AI1044" s="0" t="n">
        <v>238</v>
      </c>
      <c r="AJ1044" s="0" t="n">
        <v>50</v>
      </c>
      <c r="AK1044" s="0" t="n">
        <v>21</v>
      </c>
      <c r="AL1044" s="0" t="n">
        <v>1.11</v>
      </c>
    </row>
    <row r="1045">
      <c r="A1045" s="0" t="inlineStr">
        <is>
          <t>[명일동]</t>
        </is>
      </c>
      <c r="B1045" s="0" t="n">
        <v>100317</v>
      </c>
      <c r="C1045" s="0" t="n">
        <v>2</v>
      </c>
      <c r="D1045" s="0" t="inlineStr">
        <is>
          <t>다성이즈빌명일4차</t>
        </is>
      </c>
      <c r="E1045" s="0" t="inlineStr">
        <is>
          <t>2005.02.</t>
        </is>
      </c>
      <c r="F1045" s="0" t="n">
        <v>19</v>
      </c>
      <c r="G1045" s="0" t="n">
        <v>29.35</v>
      </c>
      <c r="H1045" s="0" t="n">
        <v>97.05</v>
      </c>
      <c r="I1045" s="0" t="n">
        <v>25.41</v>
      </c>
      <c r="J1045" s="0" t="n">
        <v>84.02</v>
      </c>
      <c r="K1045" s="0" t="n">
        <v>16</v>
      </c>
      <c r="T1045" s="0" t="n">
        <v>3</v>
      </c>
      <c r="U1045" s="0" t="n">
        <v>2</v>
      </c>
      <c r="V1045" s="0" t="inlineStr">
        <is>
          <t>계단식</t>
        </is>
      </c>
      <c r="W1045" s="0" t="n">
        <v>97</v>
      </c>
      <c r="X1045" s="0" t="n">
        <v>6</v>
      </c>
      <c r="Y1045" s="0" t="n">
        <v>5</v>
      </c>
      <c r="Z1045" s="0" t="inlineStr">
        <is>
          <t>https://new.land.naver.com/complexes/100317?tab=detail&amp;rf=Y</t>
        </is>
      </c>
      <c r="AA1045" s="0" t="inlineStr">
        <is>
          <t>서울시 강동구 명일동 348-1</t>
        </is>
      </c>
      <c r="AB1045" s="0" t="inlineStr">
        <is>
          <t>서울시</t>
        </is>
      </c>
      <c r="AC1045" s="0" t="inlineStr">
        <is>
          <t>강동구</t>
        </is>
      </c>
      <c r="AD1045" s="0" t="inlineStr">
        <is>
          <t>명일동</t>
        </is>
      </c>
      <c r="AG1045" s="0" t="inlineStr">
        <is>
          <t>서울시 강동구 양재대로130길 36</t>
        </is>
      </c>
      <c r="AH1045" s="0" t="n">
        <v>0</v>
      </c>
      <c r="AI1045" s="0" t="n">
        <v>238</v>
      </c>
      <c r="AJ1045" s="0" t="n">
        <v>50</v>
      </c>
      <c r="AK1045" s="0" t="n">
        <v>21</v>
      </c>
      <c r="AL1045" s="0" t="n">
        <v>1.11</v>
      </c>
    </row>
    <row r="1046">
      <c r="A1046" s="0" t="inlineStr">
        <is>
          <t>[명일동]</t>
        </is>
      </c>
      <c r="B1046" s="0" t="n">
        <v>123553</v>
      </c>
      <c r="C1046" s="0" t="n">
        <v>1</v>
      </c>
      <c r="D1046" s="0" t="inlineStr">
        <is>
          <t>은진빌(도시형)</t>
        </is>
      </c>
      <c r="E1046" s="0" t="inlineStr">
        <is>
          <t>2013.08.</t>
        </is>
      </c>
      <c r="F1046" s="0" t="n">
        <v>15</v>
      </c>
      <c r="G1046" s="0" t="n">
        <v>6.35</v>
      </c>
      <c r="H1046" s="0" t="n">
        <v>21.02</v>
      </c>
      <c r="I1046" s="0" t="n">
        <v>4.46</v>
      </c>
      <c r="J1046" s="0" t="n">
        <v>14.76</v>
      </c>
      <c r="K1046" s="0" t="n">
        <v>9</v>
      </c>
      <c r="T1046" s="0" t="n">
        <v>1</v>
      </c>
      <c r="U1046" s="0" t="n">
        <v>1</v>
      </c>
      <c r="V1046" s="0" t="inlineStr">
        <is>
          <t>복도식</t>
        </is>
      </c>
      <c r="W1046" s="0" t="n">
        <v>21</v>
      </c>
      <c r="X1046" s="0" t="n">
        <v>4</v>
      </c>
      <c r="Y1046" s="0" t="n">
        <v>4</v>
      </c>
      <c r="Z1046" s="0" t="inlineStr">
        <is>
          <t>https://new.land.naver.com/complexes/123553?tab=detail&amp;rf=Y</t>
        </is>
      </c>
      <c r="AA1046" s="0" t="inlineStr">
        <is>
          <t>서울시 강동구 명일동 312-178</t>
        </is>
      </c>
      <c r="AB1046" s="0" t="inlineStr">
        <is>
          <t>서울시</t>
        </is>
      </c>
      <c r="AC1046" s="0" t="inlineStr">
        <is>
          <t>강동구</t>
        </is>
      </c>
      <c r="AD1046" s="0" t="inlineStr">
        <is>
          <t>명일동</t>
        </is>
      </c>
      <c r="AG1046" s="0" t="inlineStr">
        <is>
          <t>서울시 강동구 양재대로147길 37</t>
        </is>
      </c>
      <c r="AH1046" s="0" t="n">
        <v>0</v>
      </c>
      <c r="AI1046" s="0" t="n">
        <v>199</v>
      </c>
      <c r="AJ1046" s="0" t="n">
        <v>58</v>
      </c>
      <c r="AK1046" s="0" t="n">
        <v>5</v>
      </c>
      <c r="AL1046" s="0" t="n">
        <v>0.33</v>
      </c>
    </row>
    <row r="1047">
      <c r="A1047" s="0" t="inlineStr">
        <is>
          <t>[명일동]</t>
        </is>
      </c>
      <c r="B1047" s="0" t="n">
        <v>123553</v>
      </c>
      <c r="C1047" s="0" t="n">
        <v>2</v>
      </c>
      <c r="D1047" s="0" t="inlineStr">
        <is>
          <t>은진빌(도시형)</t>
        </is>
      </c>
      <c r="E1047" s="0" t="inlineStr">
        <is>
          <t>2013.08.</t>
        </is>
      </c>
      <c r="F1047" s="0" t="n">
        <v>15</v>
      </c>
      <c r="G1047" s="0" t="n">
        <v>7.59</v>
      </c>
      <c r="H1047" s="0" t="n">
        <v>25.12</v>
      </c>
      <c r="I1047" s="0" t="n">
        <v>5.33</v>
      </c>
      <c r="J1047" s="0" t="n">
        <v>17.64</v>
      </c>
      <c r="K1047" s="0" t="n">
        <v>6</v>
      </c>
      <c r="T1047" s="0" t="n">
        <v>1</v>
      </c>
      <c r="U1047" s="0" t="n">
        <v>1</v>
      </c>
      <c r="V1047" s="0" t="inlineStr">
        <is>
          <t>복도식</t>
        </is>
      </c>
      <c r="W1047" s="0" t="n">
        <v>25</v>
      </c>
      <c r="X1047" s="0" t="n">
        <v>4</v>
      </c>
      <c r="Y1047" s="0" t="n">
        <v>4</v>
      </c>
      <c r="Z1047" s="0" t="inlineStr">
        <is>
          <t>https://new.land.naver.com/complexes/123553?tab=detail&amp;rf=Y</t>
        </is>
      </c>
      <c r="AA1047" s="0" t="inlineStr">
        <is>
          <t>서울시 강동구 명일동 312-178</t>
        </is>
      </c>
      <c r="AB1047" s="0" t="inlineStr">
        <is>
          <t>서울시</t>
        </is>
      </c>
      <c r="AC1047" s="0" t="inlineStr">
        <is>
          <t>강동구</t>
        </is>
      </c>
      <c r="AD1047" s="0" t="inlineStr">
        <is>
          <t>명일동</t>
        </is>
      </c>
      <c r="AG1047" s="0" t="inlineStr">
        <is>
          <t>서울시 강동구 양재대로147길 37</t>
        </is>
      </c>
      <c r="AH1047" s="0" t="n">
        <v>0</v>
      </c>
      <c r="AI1047" s="0" t="n">
        <v>199</v>
      </c>
      <c r="AJ1047" s="0" t="n">
        <v>58</v>
      </c>
      <c r="AK1047" s="0" t="n">
        <v>5</v>
      </c>
      <c r="AL1047" s="0" t="n">
        <v>0.33</v>
      </c>
    </row>
    <row r="1048">
      <c r="A1048" s="0" t="inlineStr">
        <is>
          <t>[명일동]</t>
        </is>
      </c>
      <c r="B1048" s="0" t="n">
        <v>8853</v>
      </c>
      <c r="C1048" s="0" t="n">
        <v>1</v>
      </c>
      <c r="D1048" s="0" t="inlineStr">
        <is>
          <t>삼익그린11차</t>
        </is>
      </c>
      <c r="E1048" s="0" t="inlineStr">
        <is>
          <t>1986.06.</t>
        </is>
      </c>
      <c r="F1048" s="0" t="n">
        <v>152</v>
      </c>
      <c r="G1048" s="0" t="n">
        <v>28.58</v>
      </c>
      <c r="H1048" s="0" t="n">
        <v>94.48999999999999</v>
      </c>
      <c r="I1048" s="0" t="n">
        <v>20.22</v>
      </c>
      <c r="J1048" s="0" t="n">
        <v>66.87</v>
      </c>
      <c r="K1048" s="0" t="n">
        <v>36</v>
      </c>
      <c r="T1048" s="0" t="n">
        <v>3</v>
      </c>
      <c r="U1048" s="0" t="n">
        <v>1</v>
      </c>
      <c r="V1048" s="0" t="inlineStr">
        <is>
          <t>복도식</t>
        </is>
      </c>
      <c r="W1048" s="0" t="n">
        <v>94</v>
      </c>
      <c r="X1048" s="0" t="n">
        <v>15</v>
      </c>
      <c r="Y1048" s="0" t="n">
        <v>12</v>
      </c>
      <c r="Z1048" s="0" t="inlineStr">
        <is>
          <t>https://new.land.naver.com/complexes/8853?tab=detail&amp;rf=Y</t>
        </is>
      </c>
      <c r="AA1048" s="0" t="inlineStr">
        <is>
          <t>서울시 강동구 명일동 38</t>
        </is>
      </c>
      <c r="AB1048" s="0" t="inlineStr">
        <is>
          <t>서울시</t>
        </is>
      </c>
      <c r="AC1048" s="0" t="inlineStr">
        <is>
          <t>강동구</t>
        </is>
      </c>
      <c r="AD1048" s="0" t="inlineStr">
        <is>
          <t>명일동</t>
        </is>
      </c>
      <c r="AG1048" s="0" t="inlineStr">
        <is>
          <t>서울시 강동구 명일로 376</t>
        </is>
      </c>
      <c r="AH1048" s="0" t="n">
        <v>0</v>
      </c>
      <c r="AI1048" s="0" t="n">
        <v>179</v>
      </c>
      <c r="AJ1048" s="0" t="n">
        <v>13</v>
      </c>
      <c r="AK1048" s="0" t="n">
        <v>170</v>
      </c>
      <c r="AL1048" s="0" t="n">
        <v>1.12</v>
      </c>
    </row>
    <row r="1049">
      <c r="A1049" s="0" t="inlineStr">
        <is>
          <t>[명일동]</t>
        </is>
      </c>
      <c r="B1049" s="0" t="n">
        <v>8853</v>
      </c>
      <c r="C1049" s="0" t="n">
        <v>2</v>
      </c>
      <c r="D1049" s="0" t="inlineStr">
        <is>
          <t>삼익그린11차</t>
        </is>
      </c>
      <c r="E1049" s="0" t="inlineStr">
        <is>
          <t>1986.06.</t>
        </is>
      </c>
      <c r="F1049" s="0" t="n">
        <v>152</v>
      </c>
      <c r="G1049" s="0" t="n">
        <v>30.51</v>
      </c>
      <c r="H1049" s="0" t="n">
        <v>100.89</v>
      </c>
      <c r="I1049" s="0" t="n">
        <v>25.56</v>
      </c>
      <c r="J1049" s="0" t="n">
        <v>84.51000000000001</v>
      </c>
      <c r="K1049" s="0" t="n">
        <v>56</v>
      </c>
      <c r="T1049" s="0" t="n">
        <v>3</v>
      </c>
      <c r="U1049" s="0" t="n">
        <v>2</v>
      </c>
      <c r="V1049" s="0" t="inlineStr">
        <is>
          <t>계단식</t>
        </is>
      </c>
      <c r="W1049" s="0" t="n">
        <v>100</v>
      </c>
      <c r="X1049" s="0" t="n">
        <v>15</v>
      </c>
      <c r="Y1049" s="0" t="n">
        <v>12</v>
      </c>
      <c r="Z1049" s="0" t="inlineStr">
        <is>
          <t>https://new.land.naver.com/complexes/8853?tab=detail&amp;rf=Y</t>
        </is>
      </c>
      <c r="AA1049" s="0" t="inlineStr">
        <is>
          <t>서울시 강동구 명일동 38</t>
        </is>
      </c>
      <c r="AB1049" s="0" t="inlineStr">
        <is>
          <t>서울시</t>
        </is>
      </c>
      <c r="AC1049" s="0" t="inlineStr">
        <is>
          <t>강동구</t>
        </is>
      </c>
      <c r="AD1049" s="0" t="inlineStr">
        <is>
          <t>명일동</t>
        </is>
      </c>
      <c r="AG1049" s="0" t="inlineStr">
        <is>
          <t>서울시 강동구 명일로 376</t>
        </is>
      </c>
      <c r="AH1049" s="0" t="n">
        <v>0</v>
      </c>
      <c r="AI1049" s="0" t="n">
        <v>179</v>
      </c>
      <c r="AJ1049" s="0" t="n">
        <v>13</v>
      </c>
      <c r="AK1049" s="0" t="n">
        <v>170</v>
      </c>
      <c r="AL1049" s="0" t="n">
        <v>1.12</v>
      </c>
    </row>
    <row r="1050">
      <c r="A1050" s="0" t="inlineStr">
        <is>
          <t>[명일동]</t>
        </is>
      </c>
      <c r="B1050" s="0" t="n">
        <v>8853</v>
      </c>
      <c r="C1050" s="0" t="n">
        <v>3</v>
      </c>
      <c r="D1050" s="0" t="inlineStr">
        <is>
          <t>삼익그린11차</t>
        </is>
      </c>
      <c r="E1050" s="0" t="inlineStr">
        <is>
          <t>1986.06.</t>
        </is>
      </c>
      <c r="F1050" s="0" t="n">
        <v>152</v>
      </c>
      <c r="G1050" s="0" t="n">
        <v>45.16</v>
      </c>
      <c r="H1050" s="0" t="n">
        <v>149.3</v>
      </c>
      <c r="I1050" s="0" t="n">
        <v>38.78</v>
      </c>
      <c r="J1050" s="0" t="n">
        <v>128.23</v>
      </c>
      <c r="K1050" s="0" t="n">
        <v>60</v>
      </c>
      <c r="T1050" s="0" t="n">
        <v>4</v>
      </c>
      <c r="U1050" s="0" t="n">
        <v>2</v>
      </c>
      <c r="V1050" s="0" t="inlineStr">
        <is>
          <t>계단식</t>
        </is>
      </c>
      <c r="W1050" s="0" t="n">
        <v>149</v>
      </c>
      <c r="X1050" s="0" t="n">
        <v>15</v>
      </c>
      <c r="Y1050" s="0" t="n">
        <v>12</v>
      </c>
      <c r="Z1050" s="0" t="inlineStr">
        <is>
          <t>https://new.land.naver.com/complexes/8853?tab=detail&amp;rf=Y</t>
        </is>
      </c>
      <c r="AA1050" s="0" t="inlineStr">
        <is>
          <t>서울시 강동구 명일동 38</t>
        </is>
      </c>
      <c r="AB1050" s="0" t="inlineStr">
        <is>
          <t>서울시</t>
        </is>
      </c>
      <c r="AC1050" s="0" t="inlineStr">
        <is>
          <t>강동구</t>
        </is>
      </c>
      <c r="AD1050" s="0" t="inlineStr">
        <is>
          <t>명일동</t>
        </is>
      </c>
      <c r="AG1050" s="0" t="inlineStr">
        <is>
          <t>서울시 강동구 명일로 376</t>
        </is>
      </c>
      <c r="AH1050" s="0" t="n">
        <v>0</v>
      </c>
      <c r="AI1050" s="0" t="n">
        <v>179</v>
      </c>
      <c r="AJ1050" s="0" t="n">
        <v>13</v>
      </c>
      <c r="AK1050" s="0" t="n">
        <v>170</v>
      </c>
      <c r="AL1050" s="0" t="n">
        <v>1.12</v>
      </c>
    </row>
    <row r="1051">
      <c r="A1051" s="0" t="inlineStr">
        <is>
          <t>[명일동]</t>
        </is>
      </c>
      <c r="B1051" s="0" t="n">
        <v>1314</v>
      </c>
      <c r="C1051" s="0" t="n">
        <v>1</v>
      </c>
      <c r="D1051" s="0" t="inlineStr">
        <is>
          <t>고덕주공9단지</t>
        </is>
      </c>
      <c r="E1051" s="0" t="inlineStr">
        <is>
          <t>1985.11.</t>
        </is>
      </c>
      <c r="F1051" s="0" t="n">
        <v>1320</v>
      </c>
      <c r="G1051" s="0" t="n">
        <v>31.32</v>
      </c>
      <c r="H1051" s="0" t="n">
        <v>103.56</v>
      </c>
      <c r="I1051" s="0" t="n">
        <v>25.21</v>
      </c>
      <c r="J1051" s="0" t="n">
        <v>83.34</v>
      </c>
      <c r="K1051" s="0" t="n">
        <v>180</v>
      </c>
      <c r="T1051" s="0" t="n">
        <v>3</v>
      </c>
      <c r="U1051" s="0" t="n">
        <v>1</v>
      </c>
      <c r="V1051" s="0" t="inlineStr">
        <is>
          <t>계단식</t>
        </is>
      </c>
      <c r="W1051" s="0" t="n">
        <v>103</v>
      </c>
      <c r="X1051" s="0" t="n">
        <v>15</v>
      </c>
      <c r="Y1051" s="0" t="n">
        <v>15</v>
      </c>
      <c r="Z1051" s="0" t="inlineStr">
        <is>
          <t>https://new.land.naver.com/complexes/1314?tab=detail&amp;rf=Y</t>
        </is>
      </c>
      <c r="AA1051" s="0" t="inlineStr">
        <is>
          <t>서울시 강동구 명일동 257</t>
        </is>
      </c>
      <c r="AB1051" s="0" t="inlineStr">
        <is>
          <t>서울시</t>
        </is>
      </c>
      <c r="AC1051" s="0" t="inlineStr">
        <is>
          <t>강동구</t>
        </is>
      </c>
      <c r="AD1051" s="0" t="inlineStr">
        <is>
          <t>명일동</t>
        </is>
      </c>
      <c r="AG1051" s="0" t="inlineStr">
        <is>
          <t>서울시 강동구 상암로 251</t>
        </is>
      </c>
      <c r="AH1051" s="0" t="n">
        <v>0</v>
      </c>
      <c r="AI1051" s="0" t="n">
        <v>181</v>
      </c>
      <c r="AJ1051" s="0" t="n">
        <v>13</v>
      </c>
      <c r="AK1051" s="0" t="n">
        <v>674</v>
      </c>
      <c r="AL1051" s="0" t="n">
        <v>0.51</v>
      </c>
    </row>
    <row r="1052">
      <c r="A1052" s="0" t="inlineStr">
        <is>
          <t>[명일동]</t>
        </is>
      </c>
      <c r="B1052" s="0" t="n">
        <v>1314</v>
      </c>
      <c r="C1052" s="0" t="n">
        <v>2</v>
      </c>
      <c r="D1052" s="0" t="inlineStr">
        <is>
          <t>고덕주공9단지</t>
        </is>
      </c>
      <c r="E1052" s="0" t="inlineStr">
        <is>
          <t>1985.11.</t>
        </is>
      </c>
      <c r="F1052" s="0" t="n">
        <v>1320</v>
      </c>
      <c r="G1052" s="0" t="n">
        <v>31.55</v>
      </c>
      <c r="H1052" s="0" t="n">
        <v>104.3</v>
      </c>
      <c r="I1052" s="0" t="n">
        <v>25.38</v>
      </c>
      <c r="J1052" s="0" t="n">
        <v>83.93000000000001</v>
      </c>
      <c r="K1052" s="0" t="n">
        <v>180</v>
      </c>
      <c r="T1052" s="0" t="n">
        <v>3</v>
      </c>
      <c r="U1052" s="0" t="n">
        <v>1</v>
      </c>
      <c r="V1052" s="0" t="inlineStr">
        <is>
          <t>계단식</t>
        </is>
      </c>
      <c r="W1052" s="0" t="inlineStr">
        <is>
          <t>104B</t>
        </is>
      </c>
      <c r="X1052" s="0" t="n">
        <v>15</v>
      </c>
      <c r="Y1052" s="0" t="n">
        <v>15</v>
      </c>
      <c r="Z1052" s="0" t="inlineStr">
        <is>
          <t>https://new.land.naver.com/complexes/1314?tab=detail&amp;rf=Y</t>
        </is>
      </c>
      <c r="AA1052" s="0" t="inlineStr">
        <is>
          <t>서울시 강동구 명일동 257</t>
        </is>
      </c>
      <c r="AB1052" s="0" t="inlineStr">
        <is>
          <t>서울시</t>
        </is>
      </c>
      <c r="AC1052" s="0" t="inlineStr">
        <is>
          <t>강동구</t>
        </is>
      </c>
      <c r="AD1052" s="0" t="inlineStr">
        <is>
          <t>명일동</t>
        </is>
      </c>
      <c r="AG1052" s="0" t="inlineStr">
        <is>
          <t>서울시 강동구 상암로 251</t>
        </is>
      </c>
      <c r="AH1052" s="0" t="n">
        <v>0</v>
      </c>
      <c r="AI1052" s="0" t="n">
        <v>181</v>
      </c>
      <c r="AJ1052" s="0" t="n">
        <v>13</v>
      </c>
      <c r="AK1052" s="0" t="n">
        <v>674</v>
      </c>
      <c r="AL1052" s="0" t="n">
        <v>0.51</v>
      </c>
    </row>
    <row r="1053">
      <c r="A1053" s="0" t="inlineStr">
        <is>
          <t>[명일동]</t>
        </is>
      </c>
      <c r="B1053" s="0" t="n">
        <v>1314</v>
      </c>
      <c r="C1053" s="0" t="n">
        <v>3</v>
      </c>
      <c r="D1053" s="0" t="inlineStr">
        <is>
          <t>고덕주공9단지</t>
        </is>
      </c>
      <c r="E1053" s="0" t="inlineStr">
        <is>
          <t>1985.11.</t>
        </is>
      </c>
      <c r="F1053" s="0" t="n">
        <v>1320</v>
      </c>
      <c r="G1053" s="0" t="n">
        <v>32.18</v>
      </c>
      <c r="H1053" s="0" t="n">
        <v>106.4</v>
      </c>
      <c r="I1053" s="0" t="n">
        <v>25.26</v>
      </c>
      <c r="J1053" s="0" t="n">
        <v>83.52</v>
      </c>
      <c r="K1053" s="0" t="n">
        <v>720</v>
      </c>
      <c r="T1053" s="0" t="n">
        <v>3</v>
      </c>
      <c r="U1053" s="0" t="n">
        <v>1</v>
      </c>
      <c r="V1053" s="0" t="inlineStr">
        <is>
          <t>복도식</t>
        </is>
      </c>
      <c r="W1053" s="0" t="inlineStr">
        <is>
          <t>106A</t>
        </is>
      </c>
      <c r="X1053" s="0" t="n">
        <v>15</v>
      </c>
      <c r="Y1053" s="0" t="n">
        <v>15</v>
      </c>
      <c r="Z1053" s="0" t="inlineStr">
        <is>
          <t>https://new.land.naver.com/complexes/1314?tab=detail&amp;rf=Y</t>
        </is>
      </c>
      <c r="AA1053" s="0" t="inlineStr">
        <is>
          <t>서울시 강동구 명일동 257</t>
        </is>
      </c>
      <c r="AB1053" s="0" t="inlineStr">
        <is>
          <t>서울시</t>
        </is>
      </c>
      <c r="AC1053" s="0" t="inlineStr">
        <is>
          <t>강동구</t>
        </is>
      </c>
      <c r="AD1053" s="0" t="inlineStr">
        <is>
          <t>명일동</t>
        </is>
      </c>
      <c r="AG1053" s="0" t="inlineStr">
        <is>
          <t>서울시 강동구 상암로 251</t>
        </is>
      </c>
      <c r="AH1053" s="0" t="n">
        <v>0</v>
      </c>
      <c r="AI1053" s="0" t="n">
        <v>181</v>
      </c>
      <c r="AJ1053" s="0" t="n">
        <v>13</v>
      </c>
      <c r="AK1053" s="0" t="n">
        <v>674</v>
      </c>
      <c r="AL1053" s="0" t="n">
        <v>0.51</v>
      </c>
    </row>
    <row r="1054">
      <c r="A1054" s="0" t="inlineStr">
        <is>
          <t>[명일동]</t>
        </is>
      </c>
      <c r="B1054" s="0" t="n">
        <v>1314</v>
      </c>
      <c r="C1054" s="0" t="n">
        <v>4</v>
      </c>
      <c r="D1054" s="0" t="inlineStr">
        <is>
          <t>고덕주공9단지</t>
        </is>
      </c>
      <c r="E1054" s="0" t="inlineStr">
        <is>
          <t>1985.11.</t>
        </is>
      </c>
      <c r="F1054" s="0" t="n">
        <v>1320</v>
      </c>
      <c r="G1054" s="0" t="n">
        <v>32.06</v>
      </c>
      <c r="H1054" s="0" t="n">
        <v>106</v>
      </c>
      <c r="I1054" s="0" t="n">
        <v>25.17</v>
      </c>
      <c r="J1054" s="0" t="n">
        <v>83.20999999999999</v>
      </c>
      <c r="K1054" s="0" t="n">
        <v>180</v>
      </c>
      <c r="T1054" s="0" t="n">
        <v>3</v>
      </c>
      <c r="U1054" s="0" t="n">
        <v>1</v>
      </c>
      <c r="V1054" s="0" t="inlineStr">
        <is>
          <t>복도식</t>
        </is>
      </c>
      <c r="W1054" s="0" t="inlineStr">
        <is>
          <t>106A</t>
        </is>
      </c>
      <c r="X1054" s="0" t="n">
        <v>15</v>
      </c>
      <c r="Y1054" s="0" t="n">
        <v>15</v>
      </c>
      <c r="Z1054" s="0" t="inlineStr">
        <is>
          <t>https://new.land.naver.com/complexes/1314?tab=detail&amp;rf=Y</t>
        </is>
      </c>
      <c r="AA1054" s="0" t="inlineStr">
        <is>
          <t>서울시 강동구 명일동 257</t>
        </is>
      </c>
      <c r="AB1054" s="0" t="inlineStr">
        <is>
          <t>서울시</t>
        </is>
      </c>
      <c r="AC1054" s="0" t="inlineStr">
        <is>
          <t>강동구</t>
        </is>
      </c>
      <c r="AD1054" s="0" t="inlineStr">
        <is>
          <t>명일동</t>
        </is>
      </c>
      <c r="AG1054" s="0" t="inlineStr">
        <is>
          <t>서울시 강동구 상암로 251</t>
        </is>
      </c>
      <c r="AH1054" s="0" t="n">
        <v>0</v>
      </c>
      <c r="AI1054" s="0" t="n">
        <v>181</v>
      </c>
      <c r="AJ1054" s="0" t="n">
        <v>13</v>
      </c>
      <c r="AK1054" s="0" t="n">
        <v>674</v>
      </c>
      <c r="AL1054" s="0" t="n">
        <v>0.51</v>
      </c>
    </row>
    <row r="1055">
      <c r="A1055" s="0" t="inlineStr">
        <is>
          <t>[명일동]</t>
        </is>
      </c>
      <c r="B1055" s="0" t="n">
        <v>1314</v>
      </c>
      <c r="C1055" s="0" t="n">
        <v>5</v>
      </c>
      <c r="D1055" s="0" t="inlineStr">
        <is>
          <t>고덕주공9단지</t>
        </is>
      </c>
      <c r="E1055" s="0" t="inlineStr">
        <is>
          <t>1985.11.</t>
        </is>
      </c>
      <c r="F1055" s="0" t="n">
        <v>1320</v>
      </c>
      <c r="G1055" s="0" t="n">
        <v>32.91</v>
      </c>
      <c r="H1055" s="0" t="n">
        <v>108.82</v>
      </c>
      <c r="I1055" s="0" t="n">
        <v>25.21</v>
      </c>
      <c r="J1055" s="0" t="n">
        <v>83.34</v>
      </c>
      <c r="K1055" s="0" t="n">
        <v>60</v>
      </c>
      <c r="T1055" s="0" t="n">
        <v>3</v>
      </c>
      <c r="U1055" s="0" t="n">
        <v>1</v>
      </c>
      <c r="V1055" s="0" t="inlineStr">
        <is>
          <t>복도식</t>
        </is>
      </c>
      <c r="W1055" s="0" t="inlineStr">
        <is>
          <t>108B</t>
        </is>
      </c>
      <c r="X1055" s="0" t="n">
        <v>15</v>
      </c>
      <c r="Y1055" s="0" t="n">
        <v>15</v>
      </c>
      <c r="Z1055" s="0" t="inlineStr">
        <is>
          <t>https://new.land.naver.com/complexes/1314?tab=detail&amp;rf=Y</t>
        </is>
      </c>
      <c r="AA1055" s="0" t="inlineStr">
        <is>
          <t>서울시 강동구 명일동 257</t>
        </is>
      </c>
      <c r="AB1055" s="0" t="inlineStr">
        <is>
          <t>서울시</t>
        </is>
      </c>
      <c r="AC1055" s="0" t="inlineStr">
        <is>
          <t>강동구</t>
        </is>
      </c>
      <c r="AD1055" s="0" t="inlineStr">
        <is>
          <t>명일동</t>
        </is>
      </c>
      <c r="AG1055" s="0" t="inlineStr">
        <is>
          <t>서울시 강동구 상암로 251</t>
        </is>
      </c>
      <c r="AH1055" s="0" t="n">
        <v>0</v>
      </c>
      <c r="AI1055" s="0" t="n">
        <v>181</v>
      </c>
      <c r="AJ1055" s="0" t="n">
        <v>13</v>
      </c>
      <c r="AK1055" s="0" t="n">
        <v>674</v>
      </c>
      <c r="AL1055" s="0" t="n">
        <v>0.51</v>
      </c>
    </row>
    <row r="1056">
      <c r="A1056" s="0" t="inlineStr">
        <is>
          <t>[명일동]</t>
        </is>
      </c>
      <c r="B1056" s="0" t="n">
        <v>903</v>
      </c>
      <c r="C1056" s="0" t="n">
        <v>1</v>
      </c>
      <c r="D1056" s="0" t="inlineStr">
        <is>
          <t>명일LG</t>
        </is>
      </c>
      <c r="E1056" s="0" t="inlineStr">
        <is>
          <t>1999.12.</t>
        </is>
      </c>
      <c r="F1056" s="0" t="n">
        <v>772</v>
      </c>
      <c r="G1056" s="0" t="n">
        <v>24.72</v>
      </c>
      <c r="H1056" s="0" t="n">
        <v>81.73999999999999</v>
      </c>
      <c r="I1056" s="0" t="n">
        <v>18.08</v>
      </c>
      <c r="J1056" s="0" t="n">
        <v>59.79</v>
      </c>
      <c r="K1056" s="0" t="n">
        <v>271</v>
      </c>
      <c r="T1056" s="0" t="n">
        <v>2</v>
      </c>
      <c r="U1056" s="0" t="n">
        <v>1</v>
      </c>
      <c r="V1056" s="0" t="inlineStr">
        <is>
          <t>복도식</t>
        </is>
      </c>
      <c r="W1056" s="0" t="inlineStr">
        <is>
          <t>81B</t>
        </is>
      </c>
      <c r="X1056" s="0" t="n">
        <v>23</v>
      </c>
      <c r="Y1056" s="0" t="n">
        <v>8</v>
      </c>
      <c r="Z1056" s="0" t="inlineStr">
        <is>
          <t>https://new.land.naver.com/complexes/903?tab=detail&amp;rf=Y</t>
        </is>
      </c>
      <c r="AA1056" s="0" t="inlineStr">
        <is>
          <t>서울시 강동구 명일동 332</t>
        </is>
      </c>
      <c r="AB1056" s="0" t="inlineStr">
        <is>
          <t>서울시</t>
        </is>
      </c>
      <c r="AC1056" s="0" t="inlineStr">
        <is>
          <t>강동구</t>
        </is>
      </c>
      <c r="AD1056" s="0" t="inlineStr">
        <is>
          <t>명일동</t>
        </is>
      </c>
      <c r="AG1056" s="0" t="inlineStr">
        <is>
          <t>서울시 강동구 상암로51길 61</t>
        </is>
      </c>
      <c r="AH1056" s="0" t="n">
        <v>0</v>
      </c>
      <c r="AI1056" s="0" t="n">
        <v>380</v>
      </c>
      <c r="AJ1056" s="0" t="n">
        <v>27</v>
      </c>
      <c r="AK1056" s="0" t="n">
        <v>819</v>
      </c>
      <c r="AL1056" s="0" t="n">
        <v>1.06</v>
      </c>
    </row>
    <row r="1057">
      <c r="A1057" s="0" t="inlineStr">
        <is>
          <t>[명일동]</t>
        </is>
      </c>
      <c r="B1057" s="0" t="n">
        <v>903</v>
      </c>
      <c r="C1057" s="0" t="n">
        <v>2</v>
      </c>
      <c r="D1057" s="0" t="inlineStr">
        <is>
          <t>명일LG</t>
        </is>
      </c>
      <c r="E1057" s="0" t="inlineStr">
        <is>
          <t>1999.12.</t>
        </is>
      </c>
      <c r="F1057" s="0" t="n">
        <v>772</v>
      </c>
      <c r="G1057" s="0" t="n">
        <v>24.55</v>
      </c>
      <c r="H1057" s="0" t="n">
        <v>81.18000000000001</v>
      </c>
      <c r="I1057" s="0" t="n">
        <v>17.96</v>
      </c>
      <c r="J1057" s="0" t="n">
        <v>59.4</v>
      </c>
      <c r="K1057" s="0" t="n">
        <v>39</v>
      </c>
      <c r="T1057" s="0" t="n">
        <v>2</v>
      </c>
      <c r="U1057" s="0" t="n">
        <v>1</v>
      </c>
      <c r="V1057" s="0" t="inlineStr">
        <is>
          <t>복도식</t>
        </is>
      </c>
      <c r="W1057" s="0" t="inlineStr">
        <is>
          <t>81A</t>
        </is>
      </c>
      <c r="X1057" s="0" t="n">
        <v>23</v>
      </c>
      <c r="Y1057" s="0" t="n">
        <v>8</v>
      </c>
      <c r="Z1057" s="0" t="inlineStr">
        <is>
          <t>https://new.land.naver.com/complexes/903?tab=detail&amp;rf=Y</t>
        </is>
      </c>
      <c r="AA1057" s="0" t="inlineStr">
        <is>
          <t>서울시 강동구 명일동 332</t>
        </is>
      </c>
      <c r="AB1057" s="0" t="inlineStr">
        <is>
          <t>서울시</t>
        </is>
      </c>
      <c r="AC1057" s="0" t="inlineStr">
        <is>
          <t>강동구</t>
        </is>
      </c>
      <c r="AD1057" s="0" t="inlineStr">
        <is>
          <t>명일동</t>
        </is>
      </c>
      <c r="AG1057" s="0" t="inlineStr">
        <is>
          <t>서울시 강동구 상암로51길 61</t>
        </is>
      </c>
      <c r="AH1057" s="0" t="n">
        <v>0</v>
      </c>
      <c r="AI1057" s="0" t="n">
        <v>380</v>
      </c>
      <c r="AJ1057" s="0" t="n">
        <v>27</v>
      </c>
      <c r="AK1057" s="0" t="n">
        <v>819</v>
      </c>
      <c r="AL1057" s="0" t="n">
        <v>1.06</v>
      </c>
    </row>
    <row r="1058">
      <c r="A1058" s="0" t="inlineStr">
        <is>
          <t>[명일동]</t>
        </is>
      </c>
      <c r="B1058" s="0" t="n">
        <v>903</v>
      </c>
      <c r="C1058" s="0" t="n">
        <v>3</v>
      </c>
      <c r="D1058" s="0" t="inlineStr">
        <is>
          <t>명일LG</t>
        </is>
      </c>
      <c r="E1058" s="0" t="inlineStr">
        <is>
          <t>1999.12.</t>
        </is>
      </c>
      <c r="F1058" s="0" t="n">
        <v>772</v>
      </c>
      <c r="G1058" s="0" t="n">
        <v>32.65</v>
      </c>
      <c r="H1058" s="0" t="n">
        <v>107.96</v>
      </c>
      <c r="I1058" s="0" t="n">
        <v>25.7</v>
      </c>
      <c r="J1058" s="0" t="n">
        <v>84.95999999999999</v>
      </c>
      <c r="K1058" s="0" t="n">
        <v>43</v>
      </c>
      <c r="T1058" s="0" t="n">
        <v>3</v>
      </c>
      <c r="U1058" s="0" t="n">
        <v>2</v>
      </c>
      <c r="V1058" s="0" t="inlineStr">
        <is>
          <t>계단식</t>
        </is>
      </c>
      <c r="W1058" s="0" t="n">
        <v>107</v>
      </c>
      <c r="X1058" s="0" t="n">
        <v>23</v>
      </c>
      <c r="Y1058" s="0" t="n">
        <v>8</v>
      </c>
      <c r="Z1058" s="0" t="inlineStr">
        <is>
          <t>https://new.land.naver.com/complexes/903?tab=detail&amp;rf=Y</t>
        </is>
      </c>
      <c r="AA1058" s="0" t="inlineStr">
        <is>
          <t>서울시 강동구 명일동 332</t>
        </is>
      </c>
      <c r="AB1058" s="0" t="inlineStr">
        <is>
          <t>서울시</t>
        </is>
      </c>
      <c r="AC1058" s="0" t="inlineStr">
        <is>
          <t>강동구</t>
        </is>
      </c>
      <c r="AD1058" s="0" t="inlineStr">
        <is>
          <t>명일동</t>
        </is>
      </c>
      <c r="AG1058" s="0" t="inlineStr">
        <is>
          <t>서울시 강동구 상암로51길 61</t>
        </is>
      </c>
      <c r="AH1058" s="0" t="n">
        <v>0</v>
      </c>
      <c r="AI1058" s="0" t="n">
        <v>380</v>
      </c>
      <c r="AJ1058" s="0" t="n">
        <v>27</v>
      </c>
      <c r="AK1058" s="0" t="n">
        <v>819</v>
      </c>
      <c r="AL1058" s="0" t="n">
        <v>1.06</v>
      </c>
    </row>
    <row r="1059">
      <c r="A1059" s="0" t="inlineStr">
        <is>
          <t>[명일동]</t>
        </is>
      </c>
      <c r="B1059" s="0" t="n">
        <v>903</v>
      </c>
      <c r="C1059" s="0" t="n">
        <v>4</v>
      </c>
      <c r="D1059" s="0" t="inlineStr">
        <is>
          <t>명일LG</t>
        </is>
      </c>
      <c r="E1059" s="0" t="inlineStr">
        <is>
          <t>1999.12.</t>
        </is>
      </c>
      <c r="F1059" s="0" t="n">
        <v>772</v>
      </c>
      <c r="G1059" s="0" t="n">
        <v>33.73</v>
      </c>
      <c r="H1059" s="0" t="n">
        <v>111.53</v>
      </c>
      <c r="I1059" s="0" t="n">
        <v>25.7</v>
      </c>
      <c r="J1059" s="0" t="n">
        <v>84.95999999999999</v>
      </c>
      <c r="K1059" s="0" t="n">
        <v>58</v>
      </c>
      <c r="T1059" s="0" t="n">
        <v>3</v>
      </c>
      <c r="U1059" s="0" t="n">
        <v>2</v>
      </c>
      <c r="V1059" s="0" t="inlineStr">
        <is>
          <t>계단식</t>
        </is>
      </c>
      <c r="W1059" s="0" t="n">
        <v>111</v>
      </c>
      <c r="X1059" s="0" t="n">
        <v>23</v>
      </c>
      <c r="Y1059" s="0" t="n">
        <v>8</v>
      </c>
      <c r="Z1059" s="0" t="inlineStr">
        <is>
          <t>https://new.land.naver.com/complexes/903?tab=detail&amp;rf=Y</t>
        </is>
      </c>
      <c r="AA1059" s="0" t="inlineStr">
        <is>
          <t>서울시 강동구 명일동 332</t>
        </is>
      </c>
      <c r="AB1059" s="0" t="inlineStr">
        <is>
          <t>서울시</t>
        </is>
      </c>
      <c r="AC1059" s="0" t="inlineStr">
        <is>
          <t>강동구</t>
        </is>
      </c>
      <c r="AD1059" s="0" t="inlineStr">
        <is>
          <t>명일동</t>
        </is>
      </c>
      <c r="AG1059" s="0" t="inlineStr">
        <is>
          <t>서울시 강동구 상암로51길 61</t>
        </is>
      </c>
      <c r="AH1059" s="0" t="n">
        <v>0</v>
      </c>
      <c r="AI1059" s="0" t="n">
        <v>380</v>
      </c>
      <c r="AJ1059" s="0" t="n">
        <v>27</v>
      </c>
      <c r="AK1059" s="0" t="n">
        <v>819</v>
      </c>
      <c r="AL1059" s="0" t="n">
        <v>1.06</v>
      </c>
    </row>
    <row r="1060">
      <c r="A1060" s="0" t="inlineStr">
        <is>
          <t>[명일동]</t>
        </is>
      </c>
      <c r="B1060" s="0" t="n">
        <v>903</v>
      </c>
      <c r="C1060" s="0" t="n">
        <v>5</v>
      </c>
      <c r="D1060" s="0" t="inlineStr">
        <is>
          <t>명일LG</t>
        </is>
      </c>
      <c r="E1060" s="0" t="inlineStr">
        <is>
          <t>1999.12.</t>
        </is>
      </c>
      <c r="F1060" s="0" t="n">
        <v>772</v>
      </c>
      <c r="G1060" s="0" t="n">
        <v>35.1</v>
      </c>
      <c r="H1060" s="0" t="n">
        <v>116.04</v>
      </c>
      <c r="I1060" s="0" t="n">
        <v>25.68</v>
      </c>
      <c r="J1060" s="0" t="n">
        <v>84.90000000000001</v>
      </c>
      <c r="K1060" s="0" t="n">
        <v>361</v>
      </c>
      <c r="T1060" s="0" t="n">
        <v>3</v>
      </c>
      <c r="U1060" s="0" t="n">
        <v>2</v>
      </c>
      <c r="V1060" s="0" t="inlineStr">
        <is>
          <t>복도식</t>
        </is>
      </c>
      <c r="W1060" s="0" t="n">
        <v>116</v>
      </c>
      <c r="X1060" s="0" t="n">
        <v>23</v>
      </c>
      <c r="Y1060" s="0" t="n">
        <v>8</v>
      </c>
      <c r="Z1060" s="0" t="inlineStr">
        <is>
          <t>https://new.land.naver.com/complexes/903?tab=detail&amp;rf=Y</t>
        </is>
      </c>
      <c r="AA1060" s="0" t="inlineStr">
        <is>
          <t>서울시 강동구 명일동 332</t>
        </is>
      </c>
      <c r="AB1060" s="0" t="inlineStr">
        <is>
          <t>서울시</t>
        </is>
      </c>
      <c r="AC1060" s="0" t="inlineStr">
        <is>
          <t>강동구</t>
        </is>
      </c>
      <c r="AD1060" s="0" t="inlineStr">
        <is>
          <t>명일동</t>
        </is>
      </c>
      <c r="AG1060" s="0" t="inlineStr">
        <is>
          <t>서울시 강동구 상암로51길 61</t>
        </is>
      </c>
      <c r="AH1060" s="0" t="n">
        <v>0</v>
      </c>
      <c r="AI1060" s="0" t="n">
        <v>380</v>
      </c>
      <c r="AJ1060" s="0" t="n">
        <v>27</v>
      </c>
      <c r="AK1060" s="0" t="n">
        <v>819</v>
      </c>
      <c r="AL1060" s="0" t="n">
        <v>1.06</v>
      </c>
    </row>
    <row r="1061">
      <c r="A1061" s="0" t="inlineStr">
        <is>
          <t>[명일동]</t>
        </is>
      </c>
      <c r="B1061" s="0" t="n">
        <v>107516</v>
      </c>
      <c r="C1061" s="0" t="n">
        <v>1</v>
      </c>
      <c r="D1061" s="0" t="inlineStr">
        <is>
          <t>동은그랜드</t>
        </is>
      </c>
      <c r="E1061" s="0" t="inlineStr">
        <is>
          <t>2006.11.</t>
        </is>
      </c>
      <c r="F1061" s="0" t="n">
        <v>19</v>
      </c>
      <c r="G1061" s="0" t="n">
        <v>20.58</v>
      </c>
      <c r="H1061" s="0" t="n">
        <v>68.05</v>
      </c>
      <c r="I1061" s="0" t="n">
        <v>17.56</v>
      </c>
      <c r="J1061" s="0" t="n">
        <v>58.05</v>
      </c>
      <c r="K1061" s="0" t="n">
        <v>3</v>
      </c>
      <c r="T1061" s="0" t="n">
        <v>2</v>
      </c>
      <c r="U1061" s="0" t="n">
        <v>1</v>
      </c>
      <c r="V1061" s="0" t="inlineStr">
        <is>
          <t>복도식</t>
        </is>
      </c>
      <c r="W1061" s="0" t="n">
        <v>68</v>
      </c>
      <c r="X1061" s="0" t="n">
        <v>6</v>
      </c>
      <c r="Y1061" s="0" t="n">
        <v>5</v>
      </c>
      <c r="Z1061" s="0" t="inlineStr">
        <is>
          <t>https://new.land.naver.com/complexes/107516?tab=detail&amp;rf=Y</t>
        </is>
      </c>
      <c r="AA1061" s="0" t="inlineStr">
        <is>
          <t>서울시 강동구 명일동 348-4</t>
        </is>
      </c>
      <c r="AB1061" s="0" t="inlineStr">
        <is>
          <t>서울시</t>
        </is>
      </c>
      <c r="AC1061" s="0" t="inlineStr">
        <is>
          <t>강동구</t>
        </is>
      </c>
      <c r="AD1061" s="0" t="inlineStr">
        <is>
          <t>명일동</t>
        </is>
      </c>
      <c r="AG1061" s="0" t="inlineStr">
        <is>
          <t>서울시 강동구 천중로51길 108-5</t>
        </is>
      </c>
      <c r="AH1061" s="0" t="n">
        <v>0</v>
      </c>
      <c r="AI1061" s="0" t="n">
        <v>199</v>
      </c>
      <c r="AJ1061" s="0" t="n">
        <v>48</v>
      </c>
      <c r="AK1061" s="0" t="n">
        <v>21</v>
      </c>
      <c r="AL1061" s="0" t="n">
        <v>1.11</v>
      </c>
    </row>
    <row r="1062">
      <c r="A1062" s="0" t="inlineStr">
        <is>
          <t>[명일동]</t>
        </is>
      </c>
      <c r="B1062" s="0" t="n">
        <v>107516</v>
      </c>
      <c r="C1062" s="0" t="n">
        <v>2</v>
      </c>
      <c r="D1062" s="0" t="inlineStr">
        <is>
          <t>동은그랜드</t>
        </is>
      </c>
      <c r="E1062" s="0" t="inlineStr">
        <is>
          <t>2006.11.</t>
        </is>
      </c>
      <c r="F1062" s="0" t="n">
        <v>19</v>
      </c>
      <c r="G1062" s="0" t="n">
        <v>29.57</v>
      </c>
      <c r="H1062" s="0" t="n">
        <v>97.76000000000001</v>
      </c>
      <c r="I1062" s="0" t="n">
        <v>25.22</v>
      </c>
      <c r="J1062" s="0" t="n">
        <v>83.39</v>
      </c>
      <c r="K1062" s="0" t="n">
        <v>4</v>
      </c>
      <c r="T1062" s="0" t="n">
        <v>3</v>
      </c>
      <c r="U1062" s="0" t="n">
        <v>2</v>
      </c>
      <c r="V1062" s="0" t="inlineStr">
        <is>
          <t>복도식</t>
        </is>
      </c>
      <c r="W1062" s="0" t="inlineStr">
        <is>
          <t>97A</t>
        </is>
      </c>
      <c r="X1062" s="0" t="n">
        <v>6</v>
      </c>
      <c r="Y1062" s="0" t="n">
        <v>5</v>
      </c>
      <c r="Z1062" s="0" t="inlineStr">
        <is>
          <t>https://new.land.naver.com/complexes/107516?tab=detail&amp;rf=Y</t>
        </is>
      </c>
      <c r="AA1062" s="0" t="inlineStr">
        <is>
          <t>서울시 강동구 명일동 348-4</t>
        </is>
      </c>
      <c r="AB1062" s="0" t="inlineStr">
        <is>
          <t>서울시</t>
        </is>
      </c>
      <c r="AC1062" s="0" t="inlineStr">
        <is>
          <t>강동구</t>
        </is>
      </c>
      <c r="AD1062" s="0" t="inlineStr">
        <is>
          <t>명일동</t>
        </is>
      </c>
      <c r="AG1062" s="0" t="inlineStr">
        <is>
          <t>서울시 강동구 천중로51길 108-5</t>
        </is>
      </c>
      <c r="AH1062" s="0" t="n">
        <v>0</v>
      </c>
      <c r="AI1062" s="0" t="n">
        <v>199</v>
      </c>
      <c r="AJ1062" s="0" t="n">
        <v>48</v>
      </c>
      <c r="AK1062" s="0" t="n">
        <v>21</v>
      </c>
      <c r="AL1062" s="0" t="n">
        <v>1.11</v>
      </c>
    </row>
    <row r="1063">
      <c r="A1063" s="0" t="inlineStr">
        <is>
          <t>[명일동]</t>
        </is>
      </c>
      <c r="B1063" s="0" t="n">
        <v>107516</v>
      </c>
      <c r="C1063" s="0" t="n">
        <v>3</v>
      </c>
      <c r="D1063" s="0" t="inlineStr">
        <is>
          <t>동은그랜드</t>
        </is>
      </c>
      <c r="E1063" s="0" t="inlineStr">
        <is>
          <t>2006.11.</t>
        </is>
      </c>
      <c r="F1063" s="0" t="n">
        <v>19</v>
      </c>
      <c r="G1063" s="0" t="n">
        <v>29.71</v>
      </c>
      <c r="H1063" s="0" t="n">
        <v>98.22</v>
      </c>
      <c r="I1063" s="0" t="n">
        <v>25.34</v>
      </c>
      <c r="J1063" s="0" t="n">
        <v>83.79000000000001</v>
      </c>
      <c r="K1063" s="0" t="n">
        <v>12</v>
      </c>
      <c r="T1063" s="0" t="n">
        <v>3</v>
      </c>
      <c r="U1063" s="0" t="n">
        <v>2</v>
      </c>
      <c r="V1063" s="0" t="inlineStr">
        <is>
          <t>복도식</t>
        </is>
      </c>
      <c r="W1063" s="0" t="inlineStr">
        <is>
          <t>98B</t>
        </is>
      </c>
      <c r="X1063" s="0" t="n">
        <v>6</v>
      </c>
      <c r="Y1063" s="0" t="n">
        <v>5</v>
      </c>
      <c r="Z1063" s="0" t="inlineStr">
        <is>
          <t>https://new.land.naver.com/complexes/107516?tab=detail&amp;rf=Y</t>
        </is>
      </c>
      <c r="AA1063" s="0" t="inlineStr">
        <is>
          <t>서울시 강동구 명일동 348-4</t>
        </is>
      </c>
      <c r="AB1063" s="0" t="inlineStr">
        <is>
          <t>서울시</t>
        </is>
      </c>
      <c r="AC1063" s="0" t="inlineStr">
        <is>
          <t>강동구</t>
        </is>
      </c>
      <c r="AD1063" s="0" t="inlineStr">
        <is>
          <t>명일동</t>
        </is>
      </c>
      <c r="AG1063" s="0" t="inlineStr">
        <is>
          <t>서울시 강동구 천중로51길 108-5</t>
        </is>
      </c>
      <c r="AH1063" s="0" t="n">
        <v>0</v>
      </c>
      <c r="AI1063" s="0" t="n">
        <v>199</v>
      </c>
      <c r="AJ1063" s="0" t="n">
        <v>48</v>
      </c>
      <c r="AK1063" s="0" t="n">
        <v>21</v>
      </c>
      <c r="AL1063" s="0" t="n">
        <v>1.11</v>
      </c>
    </row>
    <row r="1064">
      <c r="A1064" s="0" t="inlineStr">
        <is>
          <t>[명일동]</t>
        </is>
      </c>
      <c r="B1064" s="0" t="n">
        <v>1308</v>
      </c>
      <c r="C1064" s="0" t="n">
        <v>1</v>
      </c>
      <c r="D1064" s="0" t="inlineStr">
        <is>
          <t>삼익그린맨션2차</t>
        </is>
      </c>
      <c r="E1064" s="0" t="inlineStr">
        <is>
          <t>1983.12.</t>
        </is>
      </c>
      <c r="F1064" s="0" t="n">
        <v>2400</v>
      </c>
      <c r="G1064" s="0" t="n">
        <v>18.12</v>
      </c>
      <c r="H1064" s="0" t="n">
        <v>59.93</v>
      </c>
      <c r="I1064" s="0" t="n">
        <v>12.98</v>
      </c>
      <c r="J1064" s="0" t="n">
        <v>42.93</v>
      </c>
      <c r="K1064" s="0" t="n">
        <v>270</v>
      </c>
      <c r="T1064" s="0" t="n">
        <v>2</v>
      </c>
      <c r="U1064" s="0" t="n">
        <v>1</v>
      </c>
      <c r="V1064" s="0" t="inlineStr">
        <is>
          <t>복도식</t>
        </is>
      </c>
      <c r="W1064" s="0" t="n">
        <v>59</v>
      </c>
      <c r="X1064" s="0" t="n">
        <v>15</v>
      </c>
      <c r="Y1064" s="0" t="n">
        <v>12</v>
      </c>
      <c r="Z1064" s="0" t="inlineStr">
        <is>
          <t>https://new.land.naver.com/complexes/1308?tab=detail&amp;rf=Y</t>
        </is>
      </c>
      <c r="AA1064" s="0" t="inlineStr">
        <is>
          <t>서울시 강동구 명일동 15</t>
        </is>
      </c>
      <c r="AB1064" s="0" t="inlineStr">
        <is>
          <t>서울시</t>
        </is>
      </c>
      <c r="AC1064" s="0" t="inlineStr">
        <is>
          <t>강동구</t>
        </is>
      </c>
      <c r="AD1064" s="0" t="inlineStr">
        <is>
          <t>명일동</t>
        </is>
      </c>
      <c r="AG1064" s="0" t="inlineStr">
        <is>
          <t>서울시 강동구 고덕로 210</t>
        </is>
      </c>
      <c r="AH1064" s="0" t="n">
        <v>0</v>
      </c>
      <c r="AI1064" s="0" t="n">
        <v>171</v>
      </c>
      <c r="AJ1064" s="0" t="n">
        <v>14</v>
      </c>
      <c r="AK1064" s="0" t="n">
        <v>2300</v>
      </c>
      <c r="AL1064" s="0" t="n">
        <v>0.96</v>
      </c>
    </row>
    <row r="1065">
      <c r="A1065" s="0" t="inlineStr">
        <is>
          <t>[명일동]</t>
        </is>
      </c>
      <c r="B1065" s="0" t="n">
        <v>1308</v>
      </c>
      <c r="C1065" s="0" t="n">
        <v>2</v>
      </c>
      <c r="D1065" s="0" t="inlineStr">
        <is>
          <t>삼익그린맨션2차</t>
        </is>
      </c>
      <c r="E1065" s="0" t="inlineStr">
        <is>
          <t>1983.12.</t>
        </is>
      </c>
      <c r="F1065" s="0" t="n">
        <v>2400</v>
      </c>
      <c r="G1065" s="0" t="n">
        <v>23.12</v>
      </c>
      <c r="H1065" s="0" t="n">
        <v>76.44</v>
      </c>
      <c r="I1065" s="0" t="n">
        <v>16.58</v>
      </c>
      <c r="J1065" s="0" t="n">
        <v>54.81</v>
      </c>
      <c r="K1065" s="0" t="n">
        <v>495</v>
      </c>
      <c r="T1065" s="0" t="n">
        <v>3</v>
      </c>
      <c r="U1065" s="0" t="n">
        <v>1</v>
      </c>
      <c r="V1065" s="0" t="inlineStr">
        <is>
          <t>복도식</t>
        </is>
      </c>
      <c r="W1065" s="0" t="n">
        <v>76</v>
      </c>
      <c r="X1065" s="0" t="n">
        <v>15</v>
      </c>
      <c r="Y1065" s="0" t="n">
        <v>12</v>
      </c>
      <c r="Z1065" s="0" t="inlineStr">
        <is>
          <t>https://new.land.naver.com/complexes/1308?tab=detail&amp;rf=Y</t>
        </is>
      </c>
      <c r="AA1065" s="0" t="inlineStr">
        <is>
          <t>서울시 강동구 명일동 15</t>
        </is>
      </c>
      <c r="AB1065" s="0" t="inlineStr">
        <is>
          <t>서울시</t>
        </is>
      </c>
      <c r="AC1065" s="0" t="inlineStr">
        <is>
          <t>강동구</t>
        </is>
      </c>
      <c r="AD1065" s="0" t="inlineStr">
        <is>
          <t>명일동</t>
        </is>
      </c>
      <c r="AG1065" s="0" t="inlineStr">
        <is>
          <t>서울시 강동구 고덕로 210</t>
        </is>
      </c>
      <c r="AH1065" s="0" t="n">
        <v>0</v>
      </c>
      <c r="AI1065" s="0" t="n">
        <v>171</v>
      </c>
      <c r="AJ1065" s="0" t="n">
        <v>14</v>
      </c>
      <c r="AK1065" s="0" t="n">
        <v>2300</v>
      </c>
      <c r="AL1065" s="0" t="n">
        <v>0.96</v>
      </c>
    </row>
    <row r="1066">
      <c r="A1066" s="0" t="inlineStr">
        <is>
          <t>[명일동]</t>
        </is>
      </c>
      <c r="B1066" s="0" t="n">
        <v>1308</v>
      </c>
      <c r="C1066" s="0" t="n">
        <v>3</v>
      </c>
      <c r="D1066" s="0" t="inlineStr">
        <is>
          <t>삼익그린맨션2차</t>
        </is>
      </c>
      <c r="E1066" s="0" t="inlineStr">
        <is>
          <t>1983.12.</t>
        </is>
      </c>
      <c r="F1066" s="0" t="n">
        <v>2400</v>
      </c>
      <c r="G1066" s="0" t="n">
        <v>27.23</v>
      </c>
      <c r="H1066" s="0" t="n">
        <v>90.04000000000001</v>
      </c>
      <c r="I1066" s="0" t="n">
        <v>20.22</v>
      </c>
      <c r="J1066" s="0" t="n">
        <v>66.87</v>
      </c>
      <c r="K1066" s="0" t="n">
        <v>663</v>
      </c>
      <c r="T1066" s="0" t="n">
        <v>3</v>
      </c>
      <c r="U1066" s="0" t="n">
        <v>1</v>
      </c>
      <c r="V1066" s="0" t="inlineStr">
        <is>
          <t>복도식</t>
        </is>
      </c>
      <c r="W1066" s="0" t="n">
        <v>90</v>
      </c>
      <c r="X1066" s="0" t="n">
        <v>15</v>
      </c>
      <c r="Y1066" s="0" t="n">
        <v>12</v>
      </c>
      <c r="Z1066" s="0" t="inlineStr">
        <is>
          <t>https://new.land.naver.com/complexes/1308?tab=detail&amp;rf=Y</t>
        </is>
      </c>
      <c r="AA1066" s="0" t="inlineStr">
        <is>
          <t>서울시 강동구 명일동 15</t>
        </is>
      </c>
      <c r="AB1066" s="0" t="inlineStr">
        <is>
          <t>서울시</t>
        </is>
      </c>
      <c r="AC1066" s="0" t="inlineStr">
        <is>
          <t>강동구</t>
        </is>
      </c>
      <c r="AD1066" s="0" t="inlineStr">
        <is>
          <t>명일동</t>
        </is>
      </c>
      <c r="AG1066" s="0" t="inlineStr">
        <is>
          <t>서울시 강동구 고덕로 210</t>
        </is>
      </c>
      <c r="AH1066" s="0" t="n">
        <v>0</v>
      </c>
      <c r="AI1066" s="0" t="n">
        <v>171</v>
      </c>
      <c r="AJ1066" s="0" t="n">
        <v>14</v>
      </c>
      <c r="AK1066" s="0" t="n">
        <v>2300</v>
      </c>
      <c r="AL1066" s="0" t="n">
        <v>0.96</v>
      </c>
    </row>
    <row r="1067">
      <c r="A1067" s="0" t="inlineStr">
        <is>
          <t>[명일동]</t>
        </is>
      </c>
      <c r="B1067" s="0" t="n">
        <v>1308</v>
      </c>
      <c r="C1067" s="0" t="n">
        <v>4</v>
      </c>
      <c r="D1067" s="0" t="inlineStr">
        <is>
          <t>삼익그린맨션2차</t>
        </is>
      </c>
      <c r="E1067" s="0" t="inlineStr">
        <is>
          <t>1983.12.</t>
        </is>
      </c>
      <c r="F1067" s="0" t="n">
        <v>2400</v>
      </c>
      <c r="G1067" s="0" t="n">
        <v>30.05</v>
      </c>
      <c r="H1067" s="0" t="n">
        <v>99.34999999999999</v>
      </c>
      <c r="I1067" s="0" t="n">
        <v>25.63</v>
      </c>
      <c r="J1067" s="0" t="n">
        <v>84.75</v>
      </c>
      <c r="K1067" s="0" t="n">
        <v>552</v>
      </c>
      <c r="T1067" s="0" t="n">
        <v>3</v>
      </c>
      <c r="U1067" s="0" t="n">
        <v>2</v>
      </c>
      <c r="V1067" s="0" t="inlineStr">
        <is>
          <t>계단식</t>
        </is>
      </c>
      <c r="W1067" s="0" t="n">
        <v>99</v>
      </c>
      <c r="X1067" s="0" t="n">
        <v>15</v>
      </c>
      <c r="Y1067" s="0" t="n">
        <v>12</v>
      </c>
      <c r="Z1067" s="0" t="inlineStr">
        <is>
          <t>https://new.land.naver.com/complexes/1308?tab=detail&amp;rf=Y</t>
        </is>
      </c>
      <c r="AA1067" s="0" t="inlineStr">
        <is>
          <t>서울시 강동구 명일동 15</t>
        </is>
      </c>
      <c r="AB1067" s="0" t="inlineStr">
        <is>
          <t>서울시</t>
        </is>
      </c>
      <c r="AC1067" s="0" t="inlineStr">
        <is>
          <t>강동구</t>
        </is>
      </c>
      <c r="AD1067" s="0" t="inlineStr">
        <is>
          <t>명일동</t>
        </is>
      </c>
      <c r="AG1067" s="0" t="inlineStr">
        <is>
          <t>서울시 강동구 고덕로 210</t>
        </is>
      </c>
      <c r="AH1067" s="0" t="n">
        <v>0</v>
      </c>
      <c r="AI1067" s="0" t="n">
        <v>171</v>
      </c>
      <c r="AJ1067" s="0" t="n">
        <v>14</v>
      </c>
      <c r="AK1067" s="0" t="n">
        <v>2300</v>
      </c>
      <c r="AL1067" s="0" t="n">
        <v>0.96</v>
      </c>
    </row>
    <row r="1068">
      <c r="A1068" s="0" t="inlineStr">
        <is>
          <t>[명일동]</t>
        </is>
      </c>
      <c r="B1068" s="0" t="n">
        <v>1308</v>
      </c>
      <c r="C1068" s="0" t="n">
        <v>5</v>
      </c>
      <c r="D1068" s="0" t="inlineStr">
        <is>
          <t>삼익그린맨션2차</t>
        </is>
      </c>
      <c r="E1068" s="0" t="inlineStr">
        <is>
          <t>1983.12.</t>
        </is>
      </c>
      <c r="F1068" s="0" t="n">
        <v>2400</v>
      </c>
      <c r="G1068" s="0" t="n">
        <v>37.49</v>
      </c>
      <c r="H1068" s="0" t="n">
        <v>123.95</v>
      </c>
      <c r="I1068" s="0" t="n">
        <v>32.53</v>
      </c>
      <c r="J1068" s="0" t="n">
        <v>107.55</v>
      </c>
      <c r="K1068" s="0" t="n">
        <v>90</v>
      </c>
      <c r="T1068" s="0" t="n">
        <v>4</v>
      </c>
      <c r="U1068" s="0" t="n">
        <v>2</v>
      </c>
      <c r="V1068" s="0" t="inlineStr">
        <is>
          <t>계단식</t>
        </is>
      </c>
      <c r="W1068" s="0" t="n">
        <v>123</v>
      </c>
      <c r="X1068" s="0" t="n">
        <v>15</v>
      </c>
      <c r="Y1068" s="0" t="n">
        <v>12</v>
      </c>
      <c r="Z1068" s="0" t="inlineStr">
        <is>
          <t>https://new.land.naver.com/complexes/1308?tab=detail&amp;rf=Y</t>
        </is>
      </c>
      <c r="AA1068" s="0" t="inlineStr">
        <is>
          <t>서울시 강동구 명일동 15</t>
        </is>
      </c>
      <c r="AB1068" s="0" t="inlineStr">
        <is>
          <t>서울시</t>
        </is>
      </c>
      <c r="AC1068" s="0" t="inlineStr">
        <is>
          <t>강동구</t>
        </is>
      </c>
      <c r="AD1068" s="0" t="inlineStr">
        <is>
          <t>명일동</t>
        </is>
      </c>
      <c r="AG1068" s="0" t="inlineStr">
        <is>
          <t>서울시 강동구 고덕로 210</t>
        </is>
      </c>
      <c r="AH1068" s="0" t="n">
        <v>0</v>
      </c>
      <c r="AI1068" s="0" t="n">
        <v>171</v>
      </c>
      <c r="AJ1068" s="0" t="n">
        <v>14</v>
      </c>
      <c r="AK1068" s="0" t="n">
        <v>2300</v>
      </c>
      <c r="AL1068" s="0" t="n">
        <v>0.96</v>
      </c>
    </row>
    <row r="1069">
      <c r="A1069" s="0" t="inlineStr">
        <is>
          <t>[명일동]</t>
        </is>
      </c>
      <c r="B1069" s="0" t="n">
        <v>1308</v>
      </c>
      <c r="C1069" s="0" t="n">
        <v>6</v>
      </c>
      <c r="D1069" s="0" t="inlineStr">
        <is>
          <t>삼익그린맨션2차</t>
        </is>
      </c>
      <c r="E1069" s="0" t="inlineStr">
        <is>
          <t>1983.12.</t>
        </is>
      </c>
      <c r="F1069" s="0" t="n">
        <v>2400</v>
      </c>
      <c r="G1069" s="0" t="n">
        <v>37.92</v>
      </c>
      <c r="H1069" s="0" t="n">
        <v>125.37</v>
      </c>
      <c r="I1069" s="0" t="n">
        <v>32.53</v>
      </c>
      <c r="J1069" s="0" t="n">
        <v>107.56</v>
      </c>
      <c r="K1069" s="0" t="n">
        <v>270</v>
      </c>
      <c r="T1069" s="0" t="n">
        <v>4</v>
      </c>
      <c r="U1069" s="0" t="n">
        <v>2</v>
      </c>
      <c r="V1069" s="0" t="inlineStr">
        <is>
          <t>계단식</t>
        </is>
      </c>
      <c r="W1069" s="0" t="n">
        <v>125</v>
      </c>
      <c r="X1069" s="0" t="n">
        <v>15</v>
      </c>
      <c r="Y1069" s="0" t="n">
        <v>12</v>
      </c>
      <c r="Z1069" s="0" t="inlineStr">
        <is>
          <t>https://new.land.naver.com/complexes/1308?tab=detail&amp;rf=Y</t>
        </is>
      </c>
      <c r="AA1069" s="0" t="inlineStr">
        <is>
          <t>서울시 강동구 명일동 15</t>
        </is>
      </c>
      <c r="AB1069" s="0" t="inlineStr">
        <is>
          <t>서울시</t>
        </is>
      </c>
      <c r="AC1069" s="0" t="inlineStr">
        <is>
          <t>강동구</t>
        </is>
      </c>
      <c r="AD1069" s="0" t="inlineStr">
        <is>
          <t>명일동</t>
        </is>
      </c>
      <c r="AG1069" s="0" t="inlineStr">
        <is>
          <t>서울시 강동구 고덕로 210</t>
        </is>
      </c>
      <c r="AH1069" s="0" t="n">
        <v>0</v>
      </c>
      <c r="AI1069" s="0" t="n">
        <v>171</v>
      </c>
      <c r="AJ1069" s="0" t="n">
        <v>14</v>
      </c>
      <c r="AK1069" s="0" t="n">
        <v>2300</v>
      </c>
      <c r="AL1069" s="0" t="n">
        <v>0.96</v>
      </c>
    </row>
    <row r="1070">
      <c r="A1070" s="0" t="inlineStr">
        <is>
          <t>[명일동]</t>
        </is>
      </c>
      <c r="B1070" s="0" t="n">
        <v>1308</v>
      </c>
      <c r="C1070" s="0" t="n">
        <v>7</v>
      </c>
      <c r="D1070" s="0" t="inlineStr">
        <is>
          <t>삼익그린맨션2차</t>
        </is>
      </c>
      <c r="E1070" s="0" t="inlineStr">
        <is>
          <t>1983.12.</t>
        </is>
      </c>
      <c r="F1070" s="0" t="n">
        <v>2400</v>
      </c>
      <c r="G1070" s="0" t="n">
        <v>44.82</v>
      </c>
      <c r="H1070" s="0" t="n">
        <v>148.19</v>
      </c>
      <c r="I1070" s="0" t="n">
        <v>38.76</v>
      </c>
      <c r="J1070" s="0" t="n">
        <v>128.16</v>
      </c>
      <c r="K1070" s="0" t="n">
        <v>60</v>
      </c>
      <c r="T1070" s="0" t="n">
        <v>4</v>
      </c>
      <c r="U1070" s="0" t="n">
        <v>2</v>
      </c>
      <c r="V1070" s="0" t="inlineStr">
        <is>
          <t>계단식</t>
        </is>
      </c>
      <c r="W1070" s="0" t="n">
        <v>148</v>
      </c>
      <c r="X1070" s="0" t="n">
        <v>15</v>
      </c>
      <c r="Y1070" s="0" t="n">
        <v>12</v>
      </c>
      <c r="Z1070" s="0" t="inlineStr">
        <is>
          <t>https://new.land.naver.com/complexes/1308?tab=detail&amp;rf=Y</t>
        </is>
      </c>
      <c r="AA1070" s="0" t="inlineStr">
        <is>
          <t>서울시 강동구 명일동 15</t>
        </is>
      </c>
      <c r="AB1070" s="0" t="inlineStr">
        <is>
          <t>서울시</t>
        </is>
      </c>
      <c r="AC1070" s="0" t="inlineStr">
        <is>
          <t>강동구</t>
        </is>
      </c>
      <c r="AD1070" s="0" t="inlineStr">
        <is>
          <t>명일동</t>
        </is>
      </c>
      <c r="AG1070" s="0" t="inlineStr">
        <is>
          <t>서울시 강동구 고덕로 210</t>
        </is>
      </c>
      <c r="AH1070" s="0" t="n">
        <v>0</v>
      </c>
      <c r="AI1070" s="0" t="n">
        <v>171</v>
      </c>
      <c r="AJ1070" s="0" t="n">
        <v>14</v>
      </c>
      <c r="AK1070" s="0" t="n">
        <v>2300</v>
      </c>
      <c r="AL1070" s="0" t="n">
        <v>0.96</v>
      </c>
    </row>
    <row r="1071">
      <c r="A1071" s="0" t="inlineStr">
        <is>
          <t>[명일동]</t>
        </is>
      </c>
      <c r="B1071" s="0" t="n">
        <v>14162</v>
      </c>
      <c r="C1071" s="0" t="n">
        <v>1</v>
      </c>
      <c r="D1071" s="0" t="inlineStr">
        <is>
          <t>센트로빌</t>
        </is>
      </c>
      <c r="E1071" s="0" t="inlineStr">
        <is>
          <t>2003.11.</t>
        </is>
      </c>
      <c r="F1071" s="0" t="n">
        <v>19</v>
      </c>
      <c r="G1071" s="0" t="n">
        <v>22.85</v>
      </c>
      <c r="H1071" s="0" t="n">
        <v>75.54000000000001</v>
      </c>
      <c r="I1071" s="0" t="n">
        <v>18.14</v>
      </c>
      <c r="J1071" s="0" t="n">
        <v>59.97</v>
      </c>
      <c r="K1071" s="0" t="n">
        <v>4</v>
      </c>
      <c r="T1071" s="0" t="n">
        <v>3</v>
      </c>
      <c r="U1071" s="0" t="n">
        <v>1</v>
      </c>
      <c r="V1071" s="0" t="inlineStr">
        <is>
          <t>계단식</t>
        </is>
      </c>
      <c r="W1071" s="0" t="n">
        <v>75</v>
      </c>
      <c r="X1071" s="0" t="n">
        <v>7</v>
      </c>
      <c r="Y1071" s="0" t="n">
        <v>6</v>
      </c>
      <c r="Z1071" s="0" t="inlineStr">
        <is>
          <t>https://new.land.naver.com/complexes/14162?tab=detail&amp;rf=Y</t>
        </is>
      </c>
      <c r="AA1071" s="0" t="inlineStr">
        <is>
          <t>서울시 강동구 명일동 327-1</t>
        </is>
      </c>
      <c r="AB1071" s="0" t="inlineStr">
        <is>
          <t>서울시</t>
        </is>
      </c>
      <c r="AC1071" s="0" t="inlineStr">
        <is>
          <t>강동구</t>
        </is>
      </c>
      <c r="AD1071" s="0" t="inlineStr">
        <is>
          <t>명일동</t>
        </is>
      </c>
      <c r="AG1071" s="0" t="inlineStr">
        <is>
          <t>서울시 강동구 구천면로 428</t>
        </is>
      </c>
      <c r="AH1071" s="0" t="n">
        <v>0</v>
      </c>
      <c r="AI1071" s="0" t="n">
        <v>294</v>
      </c>
      <c r="AJ1071" s="0" t="n">
        <v>59</v>
      </c>
      <c r="AK1071" s="0" t="n">
        <v>49</v>
      </c>
      <c r="AL1071" s="0" t="n">
        <v>2.58</v>
      </c>
    </row>
    <row r="1072">
      <c r="A1072" s="0" t="inlineStr">
        <is>
          <t>[명일동]</t>
        </is>
      </c>
      <c r="B1072" s="0" t="n">
        <v>14162</v>
      </c>
      <c r="C1072" s="0" t="n">
        <v>2</v>
      </c>
      <c r="D1072" s="0" t="inlineStr">
        <is>
          <t>센트로빌</t>
        </is>
      </c>
      <c r="E1072" s="0" t="inlineStr">
        <is>
          <t>2003.11.</t>
        </is>
      </c>
      <c r="F1072" s="0" t="n">
        <v>19</v>
      </c>
      <c r="G1072" s="0" t="n">
        <v>23.86</v>
      </c>
      <c r="H1072" s="0" t="n">
        <v>78.90000000000001</v>
      </c>
      <c r="I1072" s="0" t="n">
        <v>18.94</v>
      </c>
      <c r="J1072" s="0" t="n">
        <v>62.63</v>
      </c>
      <c r="K1072" s="0" t="n">
        <v>4</v>
      </c>
      <c r="T1072" s="0" t="n">
        <v>3</v>
      </c>
      <c r="U1072" s="0" t="n">
        <v>1</v>
      </c>
      <c r="V1072" s="0" t="inlineStr">
        <is>
          <t>복도식</t>
        </is>
      </c>
      <c r="W1072" s="0" t="n">
        <v>78</v>
      </c>
      <c r="X1072" s="0" t="n">
        <v>7</v>
      </c>
      <c r="Y1072" s="0" t="n">
        <v>6</v>
      </c>
      <c r="Z1072" s="0" t="inlineStr">
        <is>
          <t>https://new.land.naver.com/complexes/14162?tab=detail&amp;rf=Y</t>
        </is>
      </c>
      <c r="AA1072" s="0" t="inlineStr">
        <is>
          <t>서울시 강동구 명일동 327-1</t>
        </is>
      </c>
      <c r="AB1072" s="0" t="inlineStr">
        <is>
          <t>서울시</t>
        </is>
      </c>
      <c r="AC1072" s="0" t="inlineStr">
        <is>
          <t>강동구</t>
        </is>
      </c>
      <c r="AD1072" s="0" t="inlineStr">
        <is>
          <t>명일동</t>
        </is>
      </c>
      <c r="AG1072" s="0" t="inlineStr">
        <is>
          <t>서울시 강동구 구천면로 428</t>
        </is>
      </c>
      <c r="AH1072" s="0" t="n">
        <v>0</v>
      </c>
      <c r="AI1072" s="0" t="n">
        <v>294</v>
      </c>
      <c r="AJ1072" s="0" t="n">
        <v>59</v>
      </c>
      <c r="AK1072" s="0" t="n">
        <v>49</v>
      </c>
      <c r="AL1072" s="0" t="n">
        <v>2.58</v>
      </c>
    </row>
    <row r="1073">
      <c r="A1073" s="0" t="inlineStr">
        <is>
          <t>[명일동]</t>
        </is>
      </c>
      <c r="B1073" s="0" t="n">
        <v>14162</v>
      </c>
      <c r="C1073" s="0" t="n">
        <v>3</v>
      </c>
      <c r="D1073" s="0" t="inlineStr">
        <is>
          <t>센트로빌</t>
        </is>
      </c>
      <c r="E1073" s="0" t="inlineStr">
        <is>
          <t>2003.11.</t>
        </is>
      </c>
      <c r="F1073" s="0" t="n">
        <v>19</v>
      </c>
      <c r="G1073" s="0" t="n">
        <v>25.17</v>
      </c>
      <c r="H1073" s="0" t="n">
        <v>83.23</v>
      </c>
      <c r="I1073" s="0" t="n">
        <v>19.98</v>
      </c>
      <c r="J1073" s="0" t="n">
        <v>66.06999999999999</v>
      </c>
      <c r="K1073" s="0" t="n">
        <v>3</v>
      </c>
      <c r="T1073" s="0" t="n">
        <v>3</v>
      </c>
      <c r="U1073" s="0" t="n">
        <v>2</v>
      </c>
      <c r="V1073" s="0" t="inlineStr">
        <is>
          <t>복도식</t>
        </is>
      </c>
      <c r="W1073" s="0" t="n">
        <v>83</v>
      </c>
      <c r="X1073" s="0" t="n">
        <v>7</v>
      </c>
      <c r="Y1073" s="0" t="n">
        <v>6</v>
      </c>
      <c r="Z1073" s="0" t="inlineStr">
        <is>
          <t>https://new.land.naver.com/complexes/14162?tab=detail&amp;rf=Y</t>
        </is>
      </c>
      <c r="AA1073" s="0" t="inlineStr">
        <is>
          <t>서울시 강동구 명일동 327-1</t>
        </is>
      </c>
      <c r="AB1073" s="0" t="inlineStr">
        <is>
          <t>서울시</t>
        </is>
      </c>
      <c r="AC1073" s="0" t="inlineStr">
        <is>
          <t>강동구</t>
        </is>
      </c>
      <c r="AD1073" s="0" t="inlineStr">
        <is>
          <t>명일동</t>
        </is>
      </c>
      <c r="AG1073" s="0" t="inlineStr">
        <is>
          <t>서울시 강동구 구천면로 428</t>
        </is>
      </c>
      <c r="AH1073" s="0" t="n">
        <v>0</v>
      </c>
      <c r="AI1073" s="0" t="n">
        <v>294</v>
      </c>
      <c r="AJ1073" s="0" t="n">
        <v>59</v>
      </c>
      <c r="AK1073" s="0" t="n">
        <v>49</v>
      </c>
      <c r="AL1073" s="0" t="n">
        <v>2.58</v>
      </c>
    </row>
    <row r="1074">
      <c r="A1074" s="0" t="inlineStr">
        <is>
          <t>[명일동]</t>
        </is>
      </c>
      <c r="B1074" s="0" t="n">
        <v>14162</v>
      </c>
      <c r="C1074" s="0" t="n">
        <v>4</v>
      </c>
      <c r="D1074" s="0" t="inlineStr">
        <is>
          <t>센트로빌</t>
        </is>
      </c>
      <c r="E1074" s="0" t="inlineStr">
        <is>
          <t>2003.11.</t>
        </is>
      </c>
      <c r="F1074" s="0" t="n">
        <v>19</v>
      </c>
      <c r="G1074" s="0" t="n">
        <v>37.63</v>
      </c>
      <c r="H1074" s="0" t="n">
        <v>124.41</v>
      </c>
      <c r="I1074" s="0" t="n">
        <v>29.87</v>
      </c>
      <c r="J1074" s="0" t="n">
        <v>98.76000000000001</v>
      </c>
      <c r="K1074" s="0" t="n">
        <v>4</v>
      </c>
      <c r="T1074" s="0" t="n">
        <v>3</v>
      </c>
      <c r="U1074" s="0" t="n">
        <v>2</v>
      </c>
      <c r="V1074" s="0" t="inlineStr">
        <is>
          <t>계단식</t>
        </is>
      </c>
      <c r="W1074" s="0" t="inlineStr">
        <is>
          <t>124A</t>
        </is>
      </c>
      <c r="X1074" s="0" t="n">
        <v>7</v>
      </c>
      <c r="Y1074" s="0" t="n">
        <v>6</v>
      </c>
      <c r="Z1074" s="0" t="inlineStr">
        <is>
          <t>https://new.land.naver.com/complexes/14162?tab=detail&amp;rf=Y</t>
        </is>
      </c>
      <c r="AA1074" s="0" t="inlineStr">
        <is>
          <t>서울시 강동구 명일동 327-1</t>
        </is>
      </c>
      <c r="AB1074" s="0" t="inlineStr">
        <is>
          <t>서울시</t>
        </is>
      </c>
      <c r="AC1074" s="0" t="inlineStr">
        <is>
          <t>강동구</t>
        </is>
      </c>
      <c r="AD1074" s="0" t="inlineStr">
        <is>
          <t>명일동</t>
        </is>
      </c>
      <c r="AG1074" s="0" t="inlineStr">
        <is>
          <t>서울시 강동구 구천면로 428</t>
        </is>
      </c>
      <c r="AH1074" s="0" t="n">
        <v>0</v>
      </c>
      <c r="AI1074" s="0" t="n">
        <v>294</v>
      </c>
      <c r="AJ1074" s="0" t="n">
        <v>59</v>
      </c>
      <c r="AK1074" s="0" t="n">
        <v>49</v>
      </c>
      <c r="AL1074" s="0" t="n">
        <v>2.58</v>
      </c>
    </row>
    <row r="1075">
      <c r="A1075" s="0" t="inlineStr">
        <is>
          <t>[명일동]</t>
        </is>
      </c>
      <c r="B1075" s="0" t="n">
        <v>14162</v>
      </c>
      <c r="C1075" s="0" t="n">
        <v>5</v>
      </c>
      <c r="D1075" s="0" t="inlineStr">
        <is>
          <t>센트로빌</t>
        </is>
      </c>
      <c r="E1075" s="0" t="inlineStr">
        <is>
          <t>2003.11.</t>
        </is>
      </c>
      <c r="F1075" s="0" t="n">
        <v>19</v>
      </c>
      <c r="G1075" s="0" t="n">
        <v>38.02</v>
      </c>
      <c r="H1075" s="0" t="n">
        <v>125.69</v>
      </c>
      <c r="I1075" s="0" t="n">
        <v>30.18</v>
      </c>
      <c r="J1075" s="0" t="n">
        <v>99.78</v>
      </c>
      <c r="K1075" s="0" t="n">
        <v>4</v>
      </c>
      <c r="T1075" s="0" t="n">
        <v>3</v>
      </c>
      <c r="U1075" s="0" t="n">
        <v>2</v>
      </c>
      <c r="V1075" s="0" t="inlineStr">
        <is>
          <t>계단식</t>
        </is>
      </c>
      <c r="W1075" s="0" t="inlineStr">
        <is>
          <t>125B</t>
        </is>
      </c>
      <c r="X1075" s="0" t="n">
        <v>7</v>
      </c>
      <c r="Y1075" s="0" t="n">
        <v>6</v>
      </c>
      <c r="Z1075" s="0" t="inlineStr">
        <is>
          <t>https://new.land.naver.com/complexes/14162?tab=detail&amp;rf=Y</t>
        </is>
      </c>
      <c r="AA1075" s="0" t="inlineStr">
        <is>
          <t>서울시 강동구 명일동 327-1</t>
        </is>
      </c>
      <c r="AB1075" s="0" t="inlineStr">
        <is>
          <t>서울시</t>
        </is>
      </c>
      <c r="AC1075" s="0" t="inlineStr">
        <is>
          <t>강동구</t>
        </is>
      </c>
      <c r="AD1075" s="0" t="inlineStr">
        <is>
          <t>명일동</t>
        </is>
      </c>
      <c r="AG1075" s="0" t="inlineStr">
        <is>
          <t>서울시 강동구 구천면로 428</t>
        </is>
      </c>
      <c r="AH1075" s="0" t="n">
        <v>0</v>
      </c>
      <c r="AI1075" s="0" t="n">
        <v>294</v>
      </c>
      <c r="AJ1075" s="0" t="n">
        <v>59</v>
      </c>
      <c r="AK1075" s="0" t="n">
        <v>49</v>
      </c>
      <c r="AL1075" s="0" t="n">
        <v>2.58</v>
      </c>
    </row>
    <row r="1076">
      <c r="A1076" s="0" t="inlineStr">
        <is>
          <t>[명일동]</t>
        </is>
      </c>
      <c r="B1076" s="0" t="n">
        <v>18565</v>
      </c>
      <c r="C1076" s="0" t="n">
        <v>1</v>
      </c>
      <c r="D1076" s="0" t="inlineStr">
        <is>
          <t>다성이즈빌</t>
        </is>
      </c>
      <c r="E1076" s="0" t="inlineStr">
        <is>
          <t>2004.06.</t>
        </is>
      </c>
      <c r="F1076" s="0" t="n">
        <v>26</v>
      </c>
      <c r="G1076" s="0" t="n">
        <v>21.56</v>
      </c>
      <c r="H1076" s="0" t="n">
        <v>71.3</v>
      </c>
      <c r="I1076" s="0" t="n">
        <v>18.8</v>
      </c>
      <c r="J1076" s="0" t="n">
        <v>62.16</v>
      </c>
      <c r="K1076" s="0" t="n">
        <v>4</v>
      </c>
      <c r="T1076" s="0" t="n">
        <v>3</v>
      </c>
      <c r="U1076" s="0" t="n">
        <v>2</v>
      </c>
      <c r="V1076" s="0" t="inlineStr">
        <is>
          <t>계단식</t>
        </is>
      </c>
      <c r="W1076" s="0" t="n">
        <v>71</v>
      </c>
      <c r="X1076" s="0" t="n">
        <v>7</v>
      </c>
      <c r="Y1076" s="0" t="n">
        <v>7</v>
      </c>
      <c r="Z1076" s="0" t="inlineStr">
        <is>
          <t>https://new.land.naver.com/complexes/18565?tab=detail&amp;rf=Y</t>
        </is>
      </c>
      <c r="AA1076" s="0" t="inlineStr">
        <is>
          <t>서울시 강동구 명일동 346-10</t>
        </is>
      </c>
      <c r="AB1076" s="0" t="inlineStr">
        <is>
          <t>서울시</t>
        </is>
      </c>
      <c r="AC1076" s="0" t="inlineStr">
        <is>
          <t>강동구</t>
        </is>
      </c>
      <c r="AD1076" s="0" t="inlineStr">
        <is>
          <t>명일동</t>
        </is>
      </c>
      <c r="AG1076" s="0" t="inlineStr">
        <is>
          <t>서울시 강동구 양재대로130길 13</t>
        </is>
      </c>
      <c r="AH1076" s="0" t="n">
        <v>0</v>
      </c>
      <c r="AI1076" s="0" t="n">
        <v>247</v>
      </c>
      <c r="AJ1076" s="0" t="n">
        <v>44</v>
      </c>
      <c r="AK1076" s="0" t="n">
        <v>28</v>
      </c>
      <c r="AL1076" s="0" t="n">
        <v>1.08</v>
      </c>
    </row>
    <row r="1077">
      <c r="A1077" s="0" t="inlineStr">
        <is>
          <t>[명일동]</t>
        </is>
      </c>
      <c r="B1077" s="0" t="n">
        <v>18565</v>
      </c>
      <c r="C1077" s="0" t="n">
        <v>2</v>
      </c>
      <c r="D1077" s="0" t="inlineStr">
        <is>
          <t>다성이즈빌</t>
        </is>
      </c>
      <c r="E1077" s="0" t="inlineStr">
        <is>
          <t>2004.06.</t>
        </is>
      </c>
      <c r="F1077" s="0" t="n">
        <v>26</v>
      </c>
      <c r="G1077" s="0" t="n">
        <v>29.19</v>
      </c>
      <c r="H1077" s="0" t="n">
        <v>96.52</v>
      </c>
      <c r="I1077" s="0" t="n">
        <v>25.45</v>
      </c>
      <c r="J1077" s="0" t="n">
        <v>84.14</v>
      </c>
      <c r="K1077" s="0" t="n">
        <v>22</v>
      </c>
      <c r="T1077" s="0" t="n">
        <v>3</v>
      </c>
      <c r="U1077" s="0" t="n">
        <v>2</v>
      </c>
      <c r="V1077" s="0" t="inlineStr">
        <is>
          <t>계단식</t>
        </is>
      </c>
      <c r="W1077" s="0" t="n">
        <v>96</v>
      </c>
      <c r="X1077" s="0" t="n">
        <v>7</v>
      </c>
      <c r="Y1077" s="0" t="n">
        <v>7</v>
      </c>
      <c r="Z1077" s="0" t="inlineStr">
        <is>
          <t>https://new.land.naver.com/complexes/18565?tab=detail&amp;rf=Y</t>
        </is>
      </c>
      <c r="AA1077" s="0" t="inlineStr">
        <is>
          <t>서울시 강동구 명일동 346-10</t>
        </is>
      </c>
      <c r="AB1077" s="0" t="inlineStr">
        <is>
          <t>서울시</t>
        </is>
      </c>
      <c r="AC1077" s="0" t="inlineStr">
        <is>
          <t>강동구</t>
        </is>
      </c>
      <c r="AD1077" s="0" t="inlineStr">
        <is>
          <t>명일동</t>
        </is>
      </c>
      <c r="AG1077" s="0" t="inlineStr">
        <is>
          <t>서울시 강동구 양재대로130길 13</t>
        </is>
      </c>
      <c r="AH1077" s="0" t="n">
        <v>0</v>
      </c>
      <c r="AI1077" s="0" t="n">
        <v>247</v>
      </c>
      <c r="AJ1077" s="0" t="n">
        <v>44</v>
      </c>
      <c r="AK1077" s="0" t="n">
        <v>28</v>
      </c>
      <c r="AL1077" s="0" t="n">
        <v>1.08</v>
      </c>
    </row>
    <row r="1078">
      <c r="A1078" s="0" t="inlineStr">
        <is>
          <t>[명일동]</t>
        </is>
      </c>
      <c r="B1078" s="0" t="n">
        <v>15259</v>
      </c>
      <c r="C1078" s="0" t="n">
        <v>1</v>
      </c>
      <c r="D1078" s="0" t="inlineStr">
        <is>
          <t>다성시티1차</t>
        </is>
      </c>
      <c r="E1078" s="0" t="inlineStr">
        <is>
          <t>2002.09.</t>
        </is>
      </c>
      <c r="F1078" s="0" t="n">
        <v>19</v>
      </c>
      <c r="G1078" s="0" t="n">
        <v>15.46</v>
      </c>
      <c r="H1078" s="0" t="n">
        <v>51.12</v>
      </c>
      <c r="I1078" s="0" t="n">
        <v>13.45</v>
      </c>
      <c r="J1078" s="0" t="n">
        <v>44.49</v>
      </c>
      <c r="K1078" s="0" t="n">
        <v>1</v>
      </c>
      <c r="T1078" s="0" t="n">
        <v>2</v>
      </c>
      <c r="U1078" s="0" t="n">
        <v>1</v>
      </c>
      <c r="V1078" s="0" t="inlineStr">
        <is>
          <t>계단식</t>
        </is>
      </c>
      <c r="W1078" s="0" t="n">
        <v>51</v>
      </c>
      <c r="X1078" s="0" t="n">
        <v>7</v>
      </c>
      <c r="Y1078" s="0" t="n">
        <v>7</v>
      </c>
      <c r="Z1078" s="0" t="inlineStr">
        <is>
          <t>https://new.land.naver.com/complexes/15259?tab=detail&amp;rf=Y</t>
        </is>
      </c>
      <c r="AA1078" s="0" t="inlineStr">
        <is>
          <t>서울시 강동구 명일동 351-5</t>
        </is>
      </c>
      <c r="AB1078" s="0" t="inlineStr">
        <is>
          <t>서울시</t>
        </is>
      </c>
      <c r="AC1078" s="0" t="inlineStr">
        <is>
          <t>강동구</t>
        </is>
      </c>
      <c r="AD1078" s="0" t="inlineStr">
        <is>
          <t>명일동</t>
        </is>
      </c>
      <c r="AG1078" s="0" t="inlineStr">
        <is>
          <t>서울시 강동구 천중로51길 97</t>
        </is>
      </c>
      <c r="AH1078" s="0" t="n">
        <v>0</v>
      </c>
      <c r="AI1078" s="0" t="n">
        <v>299</v>
      </c>
      <c r="AJ1078" s="0" t="n">
        <v>53</v>
      </c>
      <c r="AK1078" s="0" t="n">
        <v>20</v>
      </c>
      <c r="AL1078" s="0" t="n">
        <v>1.05</v>
      </c>
    </row>
    <row r="1079">
      <c r="A1079" s="0" t="inlineStr">
        <is>
          <t>[명일동]</t>
        </is>
      </c>
      <c r="B1079" s="0" t="n">
        <v>15259</v>
      </c>
      <c r="C1079" s="0" t="n">
        <v>2</v>
      </c>
      <c r="D1079" s="0" t="inlineStr">
        <is>
          <t>다성시티1차</t>
        </is>
      </c>
      <c r="E1079" s="0" t="inlineStr">
        <is>
          <t>2002.09.</t>
        </is>
      </c>
      <c r="F1079" s="0" t="n">
        <v>19</v>
      </c>
      <c r="G1079" s="0" t="n">
        <v>20.13</v>
      </c>
      <c r="H1079" s="0" t="n">
        <v>66.56</v>
      </c>
      <c r="I1079" s="0" t="n">
        <v>17.52</v>
      </c>
      <c r="J1079" s="0" t="n">
        <v>57.93</v>
      </c>
      <c r="K1079" s="0" t="n">
        <v>1</v>
      </c>
      <c r="T1079" s="0" t="n">
        <v>3</v>
      </c>
      <c r="U1079" s="0" t="n">
        <v>1</v>
      </c>
      <c r="V1079" s="0" t="inlineStr">
        <is>
          <t>계단식</t>
        </is>
      </c>
      <c r="W1079" s="0" t="n">
        <v>66</v>
      </c>
      <c r="X1079" s="0" t="n">
        <v>7</v>
      </c>
      <c r="Y1079" s="0" t="n">
        <v>7</v>
      </c>
      <c r="Z1079" s="0" t="inlineStr">
        <is>
          <t>https://new.land.naver.com/complexes/15259?tab=detail&amp;rf=Y</t>
        </is>
      </c>
      <c r="AA1079" s="0" t="inlineStr">
        <is>
          <t>서울시 강동구 명일동 351-5</t>
        </is>
      </c>
      <c r="AB1079" s="0" t="inlineStr">
        <is>
          <t>서울시</t>
        </is>
      </c>
      <c r="AC1079" s="0" t="inlineStr">
        <is>
          <t>강동구</t>
        </is>
      </c>
      <c r="AD1079" s="0" t="inlineStr">
        <is>
          <t>명일동</t>
        </is>
      </c>
      <c r="AG1079" s="0" t="inlineStr">
        <is>
          <t>서울시 강동구 천중로51길 97</t>
        </is>
      </c>
      <c r="AH1079" s="0" t="n">
        <v>0</v>
      </c>
      <c r="AI1079" s="0" t="n">
        <v>299</v>
      </c>
      <c r="AJ1079" s="0" t="n">
        <v>53</v>
      </c>
      <c r="AK1079" s="0" t="n">
        <v>20</v>
      </c>
      <c r="AL1079" s="0" t="n">
        <v>1.05</v>
      </c>
    </row>
    <row r="1080">
      <c r="A1080" s="0" t="inlineStr">
        <is>
          <t>[명일동]</t>
        </is>
      </c>
      <c r="B1080" s="0" t="n">
        <v>15259</v>
      </c>
      <c r="C1080" s="0" t="n">
        <v>3</v>
      </c>
      <c r="D1080" s="0" t="inlineStr">
        <is>
          <t>다성시티1차</t>
        </is>
      </c>
      <c r="E1080" s="0" t="inlineStr">
        <is>
          <t>2002.09.</t>
        </is>
      </c>
      <c r="F1080" s="0" t="n">
        <v>19</v>
      </c>
      <c r="G1080" s="0" t="n">
        <v>22.14</v>
      </c>
      <c r="H1080" s="0" t="n">
        <v>73.20999999999999</v>
      </c>
      <c r="I1080" s="0" t="n">
        <v>19.27</v>
      </c>
      <c r="J1080" s="0" t="n">
        <v>63.72</v>
      </c>
      <c r="K1080" s="0" t="n">
        <v>1</v>
      </c>
      <c r="T1080" s="0" t="n">
        <v>3</v>
      </c>
      <c r="U1080" s="0" t="n">
        <v>1</v>
      </c>
      <c r="V1080" s="0" t="inlineStr">
        <is>
          <t>계단식</t>
        </is>
      </c>
      <c r="W1080" s="0" t="n">
        <v>73</v>
      </c>
      <c r="X1080" s="0" t="n">
        <v>7</v>
      </c>
      <c r="Y1080" s="0" t="n">
        <v>7</v>
      </c>
      <c r="Z1080" s="0" t="inlineStr">
        <is>
          <t>https://new.land.naver.com/complexes/15259?tab=detail&amp;rf=Y</t>
        </is>
      </c>
      <c r="AA1080" s="0" t="inlineStr">
        <is>
          <t>서울시 강동구 명일동 351-5</t>
        </is>
      </c>
      <c r="AB1080" s="0" t="inlineStr">
        <is>
          <t>서울시</t>
        </is>
      </c>
      <c r="AC1080" s="0" t="inlineStr">
        <is>
          <t>강동구</t>
        </is>
      </c>
      <c r="AD1080" s="0" t="inlineStr">
        <is>
          <t>명일동</t>
        </is>
      </c>
      <c r="AG1080" s="0" t="inlineStr">
        <is>
          <t>서울시 강동구 천중로51길 97</t>
        </is>
      </c>
      <c r="AH1080" s="0" t="n">
        <v>0</v>
      </c>
      <c r="AI1080" s="0" t="n">
        <v>299</v>
      </c>
      <c r="AJ1080" s="0" t="n">
        <v>53</v>
      </c>
      <c r="AK1080" s="0" t="n">
        <v>20</v>
      </c>
      <c r="AL1080" s="0" t="n">
        <v>1.05</v>
      </c>
    </row>
    <row r="1081">
      <c r="A1081" s="0" t="inlineStr">
        <is>
          <t>[명일동]</t>
        </is>
      </c>
      <c r="B1081" s="0" t="n">
        <v>15259</v>
      </c>
      <c r="C1081" s="0" t="n">
        <v>4</v>
      </c>
      <c r="D1081" s="0" t="inlineStr">
        <is>
          <t>다성시티1차</t>
        </is>
      </c>
      <c r="E1081" s="0" t="inlineStr">
        <is>
          <t>2002.09.</t>
        </is>
      </c>
      <c r="F1081" s="0" t="n">
        <v>19</v>
      </c>
      <c r="G1081" s="0" t="n">
        <v>23.23</v>
      </c>
      <c r="H1081" s="0" t="n">
        <v>76.8</v>
      </c>
      <c r="I1081" s="0" t="n">
        <v>20.21</v>
      </c>
      <c r="J1081" s="0" t="n">
        <v>66.84</v>
      </c>
      <c r="K1081" s="0" t="n">
        <v>3</v>
      </c>
      <c r="T1081" s="0" t="n">
        <v>3</v>
      </c>
      <c r="U1081" s="0" t="n">
        <v>2</v>
      </c>
      <c r="V1081" s="0" t="inlineStr">
        <is>
          <t>계단식</t>
        </is>
      </c>
      <c r="W1081" s="0" t="n">
        <v>76</v>
      </c>
      <c r="X1081" s="0" t="n">
        <v>7</v>
      </c>
      <c r="Y1081" s="0" t="n">
        <v>7</v>
      </c>
      <c r="Z1081" s="0" t="inlineStr">
        <is>
          <t>https://new.land.naver.com/complexes/15259?tab=detail&amp;rf=Y</t>
        </is>
      </c>
      <c r="AA1081" s="0" t="inlineStr">
        <is>
          <t>서울시 강동구 명일동 351-5</t>
        </is>
      </c>
      <c r="AB1081" s="0" t="inlineStr">
        <is>
          <t>서울시</t>
        </is>
      </c>
      <c r="AC1081" s="0" t="inlineStr">
        <is>
          <t>강동구</t>
        </is>
      </c>
      <c r="AD1081" s="0" t="inlineStr">
        <is>
          <t>명일동</t>
        </is>
      </c>
      <c r="AG1081" s="0" t="inlineStr">
        <is>
          <t>서울시 강동구 천중로51길 97</t>
        </is>
      </c>
      <c r="AH1081" s="0" t="n">
        <v>0</v>
      </c>
      <c r="AI1081" s="0" t="n">
        <v>299</v>
      </c>
      <c r="AJ1081" s="0" t="n">
        <v>53</v>
      </c>
      <c r="AK1081" s="0" t="n">
        <v>20</v>
      </c>
      <c r="AL1081" s="0" t="n">
        <v>1.05</v>
      </c>
    </row>
    <row r="1082">
      <c r="A1082" s="0" t="inlineStr">
        <is>
          <t>[명일동]</t>
        </is>
      </c>
      <c r="B1082" s="0" t="n">
        <v>15259</v>
      </c>
      <c r="C1082" s="0" t="n">
        <v>5</v>
      </c>
      <c r="D1082" s="0" t="inlineStr">
        <is>
          <t>다성시티1차</t>
        </is>
      </c>
      <c r="E1082" s="0" t="inlineStr">
        <is>
          <t>2002.09.</t>
        </is>
      </c>
      <c r="F1082" s="0" t="n">
        <v>19</v>
      </c>
      <c r="G1082" s="0" t="n">
        <v>25.17</v>
      </c>
      <c r="H1082" s="0" t="n">
        <v>83.22</v>
      </c>
      <c r="I1082" s="0" t="n">
        <v>21.9</v>
      </c>
      <c r="J1082" s="0" t="n">
        <v>72.42</v>
      </c>
      <c r="K1082" s="0" t="n">
        <v>1</v>
      </c>
      <c r="T1082" s="0" t="n">
        <v>3</v>
      </c>
      <c r="U1082" s="0" t="n">
        <v>1</v>
      </c>
      <c r="V1082" s="0" t="inlineStr">
        <is>
          <t>계단식</t>
        </is>
      </c>
      <c r="W1082" s="0" t="n">
        <v>83</v>
      </c>
      <c r="X1082" s="0" t="n">
        <v>7</v>
      </c>
      <c r="Y1082" s="0" t="n">
        <v>7</v>
      </c>
      <c r="Z1082" s="0" t="inlineStr">
        <is>
          <t>https://new.land.naver.com/complexes/15259?tab=detail&amp;rf=Y</t>
        </is>
      </c>
      <c r="AA1082" s="0" t="inlineStr">
        <is>
          <t>서울시 강동구 명일동 351-5</t>
        </is>
      </c>
      <c r="AB1082" s="0" t="inlineStr">
        <is>
          <t>서울시</t>
        </is>
      </c>
      <c r="AC1082" s="0" t="inlineStr">
        <is>
          <t>강동구</t>
        </is>
      </c>
      <c r="AD1082" s="0" t="inlineStr">
        <is>
          <t>명일동</t>
        </is>
      </c>
      <c r="AG1082" s="0" t="inlineStr">
        <is>
          <t>서울시 강동구 천중로51길 97</t>
        </is>
      </c>
      <c r="AH1082" s="0" t="n">
        <v>0</v>
      </c>
      <c r="AI1082" s="0" t="n">
        <v>299</v>
      </c>
      <c r="AJ1082" s="0" t="n">
        <v>53</v>
      </c>
      <c r="AK1082" s="0" t="n">
        <v>20</v>
      </c>
      <c r="AL1082" s="0" t="n">
        <v>1.05</v>
      </c>
    </row>
    <row r="1083">
      <c r="A1083" s="0" t="inlineStr">
        <is>
          <t>[명일동]</t>
        </is>
      </c>
      <c r="B1083" s="0" t="n">
        <v>15259</v>
      </c>
      <c r="C1083" s="0" t="n">
        <v>6</v>
      </c>
      <c r="D1083" s="0" t="inlineStr">
        <is>
          <t>다성시티1차</t>
        </is>
      </c>
      <c r="E1083" s="0" t="inlineStr">
        <is>
          <t>2002.09.</t>
        </is>
      </c>
      <c r="F1083" s="0" t="n">
        <v>19</v>
      </c>
      <c r="G1083" s="0" t="n">
        <v>28.66</v>
      </c>
      <c r="H1083" s="0" t="n">
        <v>94.75</v>
      </c>
      <c r="I1083" s="0" t="n">
        <v>24.94</v>
      </c>
      <c r="J1083" s="0" t="n">
        <v>82.47</v>
      </c>
      <c r="K1083" s="0" t="n">
        <v>1</v>
      </c>
      <c r="T1083" s="0" t="n">
        <v>3</v>
      </c>
      <c r="U1083" s="0" t="n">
        <v>2</v>
      </c>
      <c r="V1083" s="0" t="inlineStr">
        <is>
          <t>계단식</t>
        </is>
      </c>
      <c r="W1083" s="0" t="inlineStr">
        <is>
          <t>94A</t>
        </is>
      </c>
      <c r="X1083" s="0" t="n">
        <v>7</v>
      </c>
      <c r="Y1083" s="0" t="n">
        <v>7</v>
      </c>
      <c r="Z1083" s="0" t="inlineStr">
        <is>
          <t>https://new.land.naver.com/complexes/15259?tab=detail&amp;rf=Y</t>
        </is>
      </c>
      <c r="AA1083" s="0" t="inlineStr">
        <is>
          <t>서울시 강동구 명일동 351-5</t>
        </is>
      </c>
      <c r="AB1083" s="0" t="inlineStr">
        <is>
          <t>서울시</t>
        </is>
      </c>
      <c r="AC1083" s="0" t="inlineStr">
        <is>
          <t>강동구</t>
        </is>
      </c>
      <c r="AD1083" s="0" t="inlineStr">
        <is>
          <t>명일동</t>
        </is>
      </c>
      <c r="AG1083" s="0" t="inlineStr">
        <is>
          <t>서울시 강동구 천중로51길 97</t>
        </is>
      </c>
      <c r="AH1083" s="0" t="n">
        <v>0</v>
      </c>
      <c r="AI1083" s="0" t="n">
        <v>299</v>
      </c>
      <c r="AJ1083" s="0" t="n">
        <v>53</v>
      </c>
      <c r="AK1083" s="0" t="n">
        <v>20</v>
      </c>
      <c r="AL1083" s="0" t="n">
        <v>1.05</v>
      </c>
    </row>
    <row r="1084">
      <c r="A1084" s="0" t="inlineStr">
        <is>
          <t>[명일동]</t>
        </is>
      </c>
      <c r="B1084" s="0" t="n">
        <v>15259</v>
      </c>
      <c r="C1084" s="0" t="n">
        <v>7</v>
      </c>
      <c r="D1084" s="0" t="inlineStr">
        <is>
          <t>다성시티1차</t>
        </is>
      </c>
      <c r="E1084" s="0" t="inlineStr">
        <is>
          <t>2002.09.</t>
        </is>
      </c>
      <c r="F1084" s="0" t="n">
        <v>19</v>
      </c>
      <c r="G1084" s="0" t="n">
        <v>29.49</v>
      </c>
      <c r="H1084" s="0" t="n">
        <v>97.5</v>
      </c>
      <c r="I1084" s="0" t="n">
        <v>25.67</v>
      </c>
      <c r="J1084" s="0" t="n">
        <v>84.86</v>
      </c>
      <c r="K1084" s="0" t="n">
        <v>6</v>
      </c>
      <c r="T1084" s="0" t="n">
        <v>3</v>
      </c>
      <c r="U1084" s="0" t="n">
        <v>2</v>
      </c>
      <c r="V1084" s="0" t="inlineStr">
        <is>
          <t>계단식</t>
        </is>
      </c>
      <c r="W1084" s="0" t="inlineStr">
        <is>
          <t>97B</t>
        </is>
      </c>
      <c r="X1084" s="0" t="n">
        <v>7</v>
      </c>
      <c r="Y1084" s="0" t="n">
        <v>7</v>
      </c>
      <c r="Z1084" s="0" t="inlineStr">
        <is>
          <t>https://new.land.naver.com/complexes/15259?tab=detail&amp;rf=Y</t>
        </is>
      </c>
      <c r="AA1084" s="0" t="inlineStr">
        <is>
          <t>서울시 강동구 명일동 351-5</t>
        </is>
      </c>
      <c r="AB1084" s="0" t="inlineStr">
        <is>
          <t>서울시</t>
        </is>
      </c>
      <c r="AC1084" s="0" t="inlineStr">
        <is>
          <t>강동구</t>
        </is>
      </c>
      <c r="AD1084" s="0" t="inlineStr">
        <is>
          <t>명일동</t>
        </is>
      </c>
      <c r="AG1084" s="0" t="inlineStr">
        <is>
          <t>서울시 강동구 천중로51길 97</t>
        </is>
      </c>
      <c r="AH1084" s="0" t="n">
        <v>0</v>
      </c>
      <c r="AI1084" s="0" t="n">
        <v>299</v>
      </c>
      <c r="AJ1084" s="0" t="n">
        <v>53</v>
      </c>
      <c r="AK1084" s="0" t="n">
        <v>20</v>
      </c>
      <c r="AL1084" s="0" t="n">
        <v>1.05</v>
      </c>
    </row>
    <row r="1085">
      <c r="A1085" s="0" t="inlineStr">
        <is>
          <t>[명일동]</t>
        </is>
      </c>
      <c r="B1085" s="0" t="n">
        <v>15259</v>
      </c>
      <c r="C1085" s="0" t="n">
        <v>8</v>
      </c>
      <c r="D1085" s="0" t="inlineStr">
        <is>
          <t>다성시티1차</t>
        </is>
      </c>
      <c r="E1085" s="0" t="inlineStr">
        <is>
          <t>2002.09.</t>
        </is>
      </c>
      <c r="F1085" s="0" t="n">
        <v>19</v>
      </c>
      <c r="G1085" s="0" t="n">
        <v>29.45</v>
      </c>
      <c r="H1085" s="0" t="n">
        <v>97.37</v>
      </c>
      <c r="I1085" s="0" t="n">
        <v>25.63</v>
      </c>
      <c r="J1085" s="0" t="n">
        <v>84.75</v>
      </c>
      <c r="K1085" s="0" t="n">
        <v>5</v>
      </c>
      <c r="T1085" s="0" t="n">
        <v>3</v>
      </c>
      <c r="U1085" s="0" t="n">
        <v>2</v>
      </c>
      <c r="V1085" s="0" t="inlineStr">
        <is>
          <t>계단식</t>
        </is>
      </c>
      <c r="W1085" s="0" t="inlineStr">
        <is>
          <t>97C</t>
        </is>
      </c>
      <c r="X1085" s="0" t="n">
        <v>7</v>
      </c>
      <c r="Y1085" s="0" t="n">
        <v>7</v>
      </c>
      <c r="Z1085" s="0" t="inlineStr">
        <is>
          <t>https://new.land.naver.com/complexes/15259?tab=detail&amp;rf=Y</t>
        </is>
      </c>
      <c r="AA1085" s="0" t="inlineStr">
        <is>
          <t>서울시 강동구 명일동 351-5</t>
        </is>
      </c>
      <c r="AB1085" s="0" t="inlineStr">
        <is>
          <t>서울시</t>
        </is>
      </c>
      <c r="AC1085" s="0" t="inlineStr">
        <is>
          <t>강동구</t>
        </is>
      </c>
      <c r="AD1085" s="0" t="inlineStr">
        <is>
          <t>명일동</t>
        </is>
      </c>
      <c r="AG1085" s="0" t="inlineStr">
        <is>
          <t>서울시 강동구 천중로51길 97</t>
        </is>
      </c>
      <c r="AH1085" s="0" t="n">
        <v>0</v>
      </c>
      <c r="AI1085" s="0" t="n">
        <v>299</v>
      </c>
      <c r="AJ1085" s="0" t="n">
        <v>53</v>
      </c>
      <c r="AK1085" s="0" t="n">
        <v>20</v>
      </c>
      <c r="AL1085" s="0" t="n">
        <v>1.05</v>
      </c>
    </row>
    <row r="1086">
      <c r="A1086" s="0" t="inlineStr">
        <is>
          <t>[명일동]</t>
        </is>
      </c>
      <c r="B1086" s="0" t="n">
        <v>131688</v>
      </c>
      <c r="C1086" s="0" t="n">
        <v>1</v>
      </c>
      <c r="D1086" s="0" t="inlineStr">
        <is>
          <t>원일타워(도시형)</t>
        </is>
      </c>
      <c r="E1086" s="0" t="inlineStr">
        <is>
          <t>2020.04.</t>
        </is>
      </c>
      <c r="F1086" s="0" t="n">
        <v>119</v>
      </c>
      <c r="G1086" s="0" t="n">
        <v>9.67</v>
      </c>
      <c r="H1086" s="0" t="n">
        <v>31.98</v>
      </c>
      <c r="I1086" s="0" t="n">
        <v>4.31</v>
      </c>
      <c r="J1086" s="0" t="n">
        <v>14.25</v>
      </c>
      <c r="K1086" s="0" t="n">
        <v>72</v>
      </c>
      <c r="T1086" s="0" t="n">
        <v>1</v>
      </c>
      <c r="U1086" s="0" t="n">
        <v>1</v>
      </c>
      <c r="V1086" s="0" t="inlineStr">
        <is>
          <t>복도식</t>
        </is>
      </c>
      <c r="W1086" s="0" t="n">
        <v>31</v>
      </c>
      <c r="X1086" s="0" t="n">
        <v>15</v>
      </c>
      <c r="Y1086" s="0" t="n">
        <v>14</v>
      </c>
      <c r="Z1086" s="0" t="inlineStr">
        <is>
          <t>https://new.land.naver.com/complexes/131688?tab=detail&amp;rf=Y</t>
        </is>
      </c>
      <c r="AA1086" s="0" t="inlineStr">
        <is>
          <t>서울시 강동구 명일동 353-2</t>
        </is>
      </c>
      <c r="AB1086" s="0" t="inlineStr">
        <is>
          <t>서울시</t>
        </is>
      </c>
      <c r="AC1086" s="0" t="inlineStr">
        <is>
          <t>강동구</t>
        </is>
      </c>
      <c r="AD1086" s="0" t="inlineStr">
        <is>
          <t>명일동</t>
        </is>
      </c>
      <c r="AG1086" s="0" t="inlineStr">
        <is>
          <t>서울시 강동구 양재대로 1568</t>
        </is>
      </c>
      <c r="AH1086" s="0" t="n">
        <v>0</v>
      </c>
      <c r="AI1086" s="0" t="n">
        <v>304</v>
      </c>
      <c r="AJ1086" s="0" t="n">
        <v>40</v>
      </c>
      <c r="AK1086" s="0" t="n">
        <v>78</v>
      </c>
      <c r="AL1086" s="0" t="n">
        <v>0.66</v>
      </c>
    </row>
    <row r="1087">
      <c r="A1087" s="0" t="inlineStr">
        <is>
          <t>[명일동]</t>
        </is>
      </c>
      <c r="B1087" s="0" t="n">
        <v>131688</v>
      </c>
      <c r="C1087" s="0" t="n">
        <v>2</v>
      </c>
      <c r="D1087" s="0" t="inlineStr">
        <is>
          <t>원일타워(도시형)</t>
        </is>
      </c>
      <c r="E1087" s="0" t="inlineStr">
        <is>
          <t>2020.04.</t>
        </is>
      </c>
      <c r="F1087" s="0" t="n">
        <v>119</v>
      </c>
      <c r="G1087" s="0" t="n">
        <v>11.6</v>
      </c>
      <c r="H1087" s="0" t="n">
        <v>38.35</v>
      </c>
      <c r="I1087" s="0" t="n">
        <v>5.21</v>
      </c>
      <c r="J1087" s="0" t="n">
        <v>17.24</v>
      </c>
      <c r="K1087" s="0" t="n">
        <v>12</v>
      </c>
      <c r="T1087" s="0" t="n">
        <v>1</v>
      </c>
      <c r="U1087" s="0" t="n">
        <v>1</v>
      </c>
      <c r="V1087" s="0" t="inlineStr">
        <is>
          <t>복도식</t>
        </is>
      </c>
      <c r="W1087" s="0" t="n">
        <v>38</v>
      </c>
      <c r="X1087" s="0" t="n">
        <v>15</v>
      </c>
      <c r="Y1087" s="0" t="n">
        <v>14</v>
      </c>
      <c r="Z1087" s="0" t="inlineStr">
        <is>
          <t>https://new.land.naver.com/complexes/131688?tab=detail&amp;rf=Y</t>
        </is>
      </c>
      <c r="AA1087" s="0" t="inlineStr">
        <is>
          <t>서울시 강동구 명일동 353-2</t>
        </is>
      </c>
      <c r="AB1087" s="0" t="inlineStr">
        <is>
          <t>서울시</t>
        </is>
      </c>
      <c r="AC1087" s="0" t="inlineStr">
        <is>
          <t>강동구</t>
        </is>
      </c>
      <c r="AD1087" s="0" t="inlineStr">
        <is>
          <t>명일동</t>
        </is>
      </c>
      <c r="AG1087" s="0" t="inlineStr">
        <is>
          <t>서울시 강동구 양재대로 1568</t>
        </is>
      </c>
      <c r="AH1087" s="0" t="n">
        <v>0</v>
      </c>
      <c r="AI1087" s="0" t="n">
        <v>304</v>
      </c>
      <c r="AJ1087" s="0" t="n">
        <v>40</v>
      </c>
      <c r="AK1087" s="0" t="n">
        <v>78</v>
      </c>
      <c r="AL1087" s="0" t="n">
        <v>0.66</v>
      </c>
    </row>
    <row r="1088">
      <c r="A1088" s="0" t="inlineStr">
        <is>
          <t>[명일동]</t>
        </is>
      </c>
      <c r="B1088" s="0" t="n">
        <v>131688</v>
      </c>
      <c r="C1088" s="0" t="n">
        <v>3</v>
      </c>
      <c r="D1088" s="0" t="inlineStr">
        <is>
          <t>원일타워(도시형)</t>
        </is>
      </c>
      <c r="E1088" s="0" t="inlineStr">
        <is>
          <t>2020.04.</t>
        </is>
      </c>
      <c r="F1088" s="0" t="n">
        <v>119</v>
      </c>
      <c r="G1088" s="0" t="n">
        <v>14.46</v>
      </c>
      <c r="H1088" s="0" t="n">
        <v>47.83</v>
      </c>
      <c r="I1088" s="0" t="n">
        <v>6.49</v>
      </c>
      <c r="J1088" s="0" t="n">
        <v>21.48</v>
      </c>
      <c r="K1088" s="0" t="n">
        <v>23</v>
      </c>
      <c r="T1088" s="0" t="n">
        <v>1</v>
      </c>
      <c r="U1088" s="0" t="n">
        <v>1</v>
      </c>
      <c r="V1088" s="0" t="inlineStr">
        <is>
          <t>복도식</t>
        </is>
      </c>
      <c r="W1088" s="0" t="n">
        <v>47</v>
      </c>
      <c r="X1088" s="0" t="n">
        <v>15</v>
      </c>
      <c r="Y1088" s="0" t="n">
        <v>14</v>
      </c>
      <c r="Z1088" s="0" t="inlineStr">
        <is>
          <t>https://new.land.naver.com/complexes/131688?tab=detail&amp;rf=Y</t>
        </is>
      </c>
      <c r="AA1088" s="0" t="inlineStr">
        <is>
          <t>서울시 강동구 명일동 353-2</t>
        </is>
      </c>
      <c r="AB1088" s="0" t="inlineStr">
        <is>
          <t>서울시</t>
        </is>
      </c>
      <c r="AC1088" s="0" t="inlineStr">
        <is>
          <t>강동구</t>
        </is>
      </c>
      <c r="AD1088" s="0" t="inlineStr">
        <is>
          <t>명일동</t>
        </is>
      </c>
      <c r="AG1088" s="0" t="inlineStr">
        <is>
          <t>서울시 강동구 양재대로 1568</t>
        </is>
      </c>
      <c r="AH1088" s="0" t="n">
        <v>0</v>
      </c>
      <c r="AI1088" s="0" t="n">
        <v>304</v>
      </c>
      <c r="AJ1088" s="0" t="n">
        <v>40</v>
      </c>
      <c r="AK1088" s="0" t="n">
        <v>78</v>
      </c>
      <c r="AL1088" s="0" t="n">
        <v>0.66</v>
      </c>
    </row>
    <row r="1089">
      <c r="A1089" s="0" t="inlineStr">
        <is>
          <t>[명일동]</t>
        </is>
      </c>
      <c r="B1089" s="0" t="n">
        <v>131688</v>
      </c>
      <c r="C1089" s="0" t="n">
        <v>4</v>
      </c>
      <c r="D1089" s="0" t="inlineStr">
        <is>
          <t>원일타워(도시형)</t>
        </is>
      </c>
      <c r="E1089" s="0" t="inlineStr">
        <is>
          <t>2020.04.</t>
        </is>
      </c>
      <c r="F1089" s="0" t="n">
        <v>119</v>
      </c>
      <c r="G1089" s="0" t="n">
        <v>15.15</v>
      </c>
      <c r="H1089" s="0" t="n">
        <v>50.11</v>
      </c>
      <c r="I1089" s="0" t="n">
        <v>6.81</v>
      </c>
      <c r="J1089" s="0" t="n">
        <v>22.54</v>
      </c>
      <c r="K1089" s="0" t="n">
        <v>11</v>
      </c>
      <c r="T1089" s="0" t="n">
        <v>1</v>
      </c>
      <c r="U1089" s="0" t="n">
        <v>1</v>
      </c>
      <c r="V1089" s="0" t="inlineStr">
        <is>
          <t>복도식</t>
        </is>
      </c>
      <c r="W1089" s="0" t="n">
        <v>50</v>
      </c>
      <c r="X1089" s="0" t="n">
        <v>15</v>
      </c>
      <c r="Y1089" s="0" t="n">
        <v>14</v>
      </c>
      <c r="Z1089" s="0" t="inlineStr">
        <is>
          <t>https://new.land.naver.com/complexes/131688?tab=detail&amp;rf=Y</t>
        </is>
      </c>
      <c r="AA1089" s="0" t="inlineStr">
        <is>
          <t>서울시 강동구 명일동 353-2</t>
        </is>
      </c>
      <c r="AB1089" s="0" t="inlineStr">
        <is>
          <t>서울시</t>
        </is>
      </c>
      <c r="AC1089" s="0" t="inlineStr">
        <is>
          <t>강동구</t>
        </is>
      </c>
      <c r="AD1089" s="0" t="inlineStr">
        <is>
          <t>명일동</t>
        </is>
      </c>
      <c r="AG1089" s="0" t="inlineStr">
        <is>
          <t>서울시 강동구 양재대로 1568</t>
        </is>
      </c>
      <c r="AH1089" s="0" t="n">
        <v>0</v>
      </c>
      <c r="AI1089" s="0" t="n">
        <v>304</v>
      </c>
      <c r="AJ1089" s="0" t="n">
        <v>40</v>
      </c>
      <c r="AK1089" s="0" t="n">
        <v>78</v>
      </c>
      <c r="AL1089" s="0" t="n">
        <v>0.66</v>
      </c>
    </row>
    <row r="1090">
      <c r="A1090" s="0" t="inlineStr">
        <is>
          <t>[명일동]</t>
        </is>
      </c>
      <c r="B1090" s="0" t="n">
        <v>131688</v>
      </c>
      <c r="C1090" s="0" t="n">
        <v>5</v>
      </c>
      <c r="D1090" s="0" t="inlineStr">
        <is>
          <t>원일타워(도시형)</t>
        </is>
      </c>
      <c r="E1090" s="0" t="inlineStr">
        <is>
          <t>2020.04.</t>
        </is>
      </c>
      <c r="F1090" s="0" t="n">
        <v>119</v>
      </c>
      <c r="G1090" s="0" t="n">
        <v>29.55</v>
      </c>
      <c r="H1090" s="0" t="n">
        <v>97.7</v>
      </c>
      <c r="I1090" s="0" t="n">
        <v>13.15</v>
      </c>
      <c r="J1090" s="0" t="n">
        <v>43.5</v>
      </c>
      <c r="K1090" s="0" t="n">
        <v>1</v>
      </c>
      <c r="T1090" s="0" t="n">
        <v>1</v>
      </c>
      <c r="U1090" s="0" t="n">
        <v>1</v>
      </c>
      <c r="V1090" s="0" t="inlineStr">
        <is>
          <t>복도식</t>
        </is>
      </c>
      <c r="W1090" s="0" t="n">
        <v>97</v>
      </c>
      <c r="X1090" s="0" t="n">
        <v>15</v>
      </c>
      <c r="Y1090" s="0" t="n">
        <v>14</v>
      </c>
      <c r="Z1090" s="0" t="inlineStr">
        <is>
          <t>https://new.land.naver.com/complexes/131688?tab=detail&amp;rf=Y</t>
        </is>
      </c>
      <c r="AA1090" s="0" t="inlineStr">
        <is>
          <t>서울시 강동구 명일동 353-2</t>
        </is>
      </c>
      <c r="AB1090" s="0" t="inlineStr">
        <is>
          <t>서울시</t>
        </is>
      </c>
      <c r="AC1090" s="0" t="inlineStr">
        <is>
          <t>강동구</t>
        </is>
      </c>
      <c r="AD1090" s="0" t="inlineStr">
        <is>
          <t>명일동</t>
        </is>
      </c>
      <c r="AG1090" s="0" t="inlineStr">
        <is>
          <t>서울시 강동구 양재대로 1568</t>
        </is>
      </c>
      <c r="AH1090" s="0" t="n">
        <v>0</v>
      </c>
      <c r="AI1090" s="0" t="n">
        <v>304</v>
      </c>
      <c r="AJ1090" s="0" t="n">
        <v>40</v>
      </c>
      <c r="AK1090" s="0" t="n">
        <v>78</v>
      </c>
      <c r="AL1090" s="0" t="n">
        <v>0.66</v>
      </c>
    </row>
    <row r="1091">
      <c r="A1091" s="0" t="inlineStr">
        <is>
          <t>[명일동]</t>
        </is>
      </c>
      <c r="B1091" s="0" t="n">
        <v>19447</v>
      </c>
      <c r="C1091" s="0" t="n">
        <v>1</v>
      </c>
      <c r="D1091" s="0" t="inlineStr">
        <is>
          <t>태천해오름(101동)</t>
        </is>
      </c>
      <c r="E1091" s="0" t="inlineStr">
        <is>
          <t>2004.07.</t>
        </is>
      </c>
      <c r="F1091" s="0" t="n">
        <v>49</v>
      </c>
      <c r="G1091" s="0" t="n">
        <v>25.77</v>
      </c>
      <c r="H1091" s="0" t="n">
        <v>85.20999999999999</v>
      </c>
      <c r="I1091" s="0" t="n">
        <v>20.6</v>
      </c>
      <c r="J1091" s="0" t="n">
        <v>68.11</v>
      </c>
      <c r="K1091" s="0" t="n">
        <v>9</v>
      </c>
      <c r="T1091" s="0" t="n">
        <v>3</v>
      </c>
      <c r="U1091" s="0" t="n">
        <v>1</v>
      </c>
      <c r="V1091" s="0" t="inlineStr">
        <is>
          <t>계단식</t>
        </is>
      </c>
      <c r="W1091" s="0" t="n">
        <v>85</v>
      </c>
      <c r="X1091" s="0" t="n">
        <v>12</v>
      </c>
      <c r="Y1091" s="0" t="n">
        <v>9</v>
      </c>
      <c r="Z1091" s="0" t="inlineStr">
        <is>
          <t>https://new.land.naver.com/complexes/19447?tab=detail&amp;rf=Y</t>
        </is>
      </c>
      <c r="AA1091" s="0" t="inlineStr">
        <is>
          <t>서울시 강동구 명일동 355</t>
        </is>
      </c>
      <c r="AB1091" s="0" t="inlineStr">
        <is>
          <t>서울시</t>
        </is>
      </c>
      <c r="AC1091" s="0" t="inlineStr">
        <is>
          <t>강동구</t>
        </is>
      </c>
      <c r="AD1091" s="0" t="inlineStr">
        <is>
          <t>명일동</t>
        </is>
      </c>
      <c r="AG1091" s="0" t="inlineStr">
        <is>
          <t>서울시 강동구 천중로49길 101</t>
        </is>
      </c>
      <c r="AH1091" s="0" t="n">
        <v>0</v>
      </c>
      <c r="AI1091" s="0" t="n">
        <v>249</v>
      </c>
      <c r="AJ1091" s="0" t="n">
        <v>28</v>
      </c>
      <c r="AK1091" s="0" t="n">
        <v>52</v>
      </c>
      <c r="AL1091" s="0" t="n">
        <v>1.06</v>
      </c>
    </row>
    <row r="1092">
      <c r="A1092" s="0" t="inlineStr">
        <is>
          <t>[명일동]</t>
        </is>
      </c>
      <c r="B1092" s="0" t="n">
        <v>19447</v>
      </c>
      <c r="C1092" s="0" t="n">
        <v>2</v>
      </c>
      <c r="D1092" s="0" t="inlineStr">
        <is>
          <t>태천해오름(101동)</t>
        </is>
      </c>
      <c r="E1092" s="0" t="inlineStr">
        <is>
          <t>2004.07.</t>
        </is>
      </c>
      <c r="F1092" s="0" t="n">
        <v>49</v>
      </c>
      <c r="G1092" s="0" t="n">
        <v>28.09</v>
      </c>
      <c r="H1092" s="0" t="n">
        <v>92.88</v>
      </c>
      <c r="I1092" s="0" t="n">
        <v>22.62</v>
      </c>
      <c r="J1092" s="0" t="n">
        <v>74.79000000000001</v>
      </c>
      <c r="K1092" s="0" t="n">
        <v>9</v>
      </c>
      <c r="T1092" s="0" t="n">
        <v>3</v>
      </c>
      <c r="U1092" s="0" t="n">
        <v>2</v>
      </c>
      <c r="V1092" s="0" t="inlineStr">
        <is>
          <t>계단식</t>
        </is>
      </c>
      <c r="W1092" s="0" t="inlineStr">
        <is>
          <t>92B</t>
        </is>
      </c>
      <c r="X1092" s="0" t="n">
        <v>12</v>
      </c>
      <c r="Y1092" s="0" t="n">
        <v>9</v>
      </c>
      <c r="Z1092" s="0" t="inlineStr">
        <is>
          <t>https://new.land.naver.com/complexes/19447?tab=detail&amp;rf=Y</t>
        </is>
      </c>
      <c r="AA1092" s="0" t="inlineStr">
        <is>
          <t>서울시 강동구 명일동 355</t>
        </is>
      </c>
      <c r="AB1092" s="0" t="inlineStr">
        <is>
          <t>서울시</t>
        </is>
      </c>
      <c r="AC1092" s="0" t="inlineStr">
        <is>
          <t>강동구</t>
        </is>
      </c>
      <c r="AD1092" s="0" t="inlineStr">
        <is>
          <t>명일동</t>
        </is>
      </c>
      <c r="AG1092" s="0" t="inlineStr">
        <is>
          <t>서울시 강동구 천중로49길 101</t>
        </is>
      </c>
      <c r="AH1092" s="0" t="n">
        <v>0</v>
      </c>
      <c r="AI1092" s="0" t="n">
        <v>249</v>
      </c>
      <c r="AJ1092" s="0" t="n">
        <v>28</v>
      </c>
      <c r="AK1092" s="0" t="n">
        <v>52</v>
      </c>
      <c r="AL1092" s="0" t="n">
        <v>1.06</v>
      </c>
    </row>
    <row r="1093">
      <c r="A1093" s="0" t="inlineStr">
        <is>
          <t>[명일동]</t>
        </is>
      </c>
      <c r="B1093" s="0" t="n">
        <v>19447</v>
      </c>
      <c r="C1093" s="0" t="n">
        <v>3</v>
      </c>
      <c r="D1093" s="0" t="inlineStr">
        <is>
          <t>태천해오름(101동)</t>
        </is>
      </c>
      <c r="E1093" s="0" t="inlineStr">
        <is>
          <t>2004.07.</t>
        </is>
      </c>
      <c r="F1093" s="0" t="n">
        <v>49</v>
      </c>
      <c r="G1093" s="0" t="n">
        <v>28.01</v>
      </c>
      <c r="H1093" s="0" t="n">
        <v>92.62</v>
      </c>
      <c r="I1093" s="0" t="n">
        <v>22.53</v>
      </c>
      <c r="J1093" s="0" t="n">
        <v>74.51000000000001</v>
      </c>
      <c r="K1093" s="0" t="n">
        <v>1</v>
      </c>
      <c r="T1093" s="0" t="n">
        <v>3</v>
      </c>
      <c r="U1093" s="0" t="n">
        <v>2</v>
      </c>
      <c r="V1093" s="0" t="inlineStr">
        <is>
          <t>계단식</t>
        </is>
      </c>
      <c r="W1093" s="0" t="inlineStr">
        <is>
          <t>92A</t>
        </is>
      </c>
      <c r="X1093" s="0" t="n">
        <v>12</v>
      </c>
      <c r="Y1093" s="0" t="n">
        <v>9</v>
      </c>
      <c r="Z1093" s="0" t="inlineStr">
        <is>
          <t>https://new.land.naver.com/complexes/19447?tab=detail&amp;rf=Y</t>
        </is>
      </c>
      <c r="AA1093" s="0" t="inlineStr">
        <is>
          <t>서울시 강동구 명일동 355</t>
        </is>
      </c>
      <c r="AB1093" s="0" t="inlineStr">
        <is>
          <t>서울시</t>
        </is>
      </c>
      <c r="AC1093" s="0" t="inlineStr">
        <is>
          <t>강동구</t>
        </is>
      </c>
      <c r="AD1093" s="0" t="inlineStr">
        <is>
          <t>명일동</t>
        </is>
      </c>
      <c r="AG1093" s="0" t="inlineStr">
        <is>
          <t>서울시 강동구 천중로49길 101</t>
        </is>
      </c>
      <c r="AH1093" s="0" t="n">
        <v>0</v>
      </c>
      <c r="AI1093" s="0" t="n">
        <v>249</v>
      </c>
      <c r="AJ1093" s="0" t="n">
        <v>28</v>
      </c>
      <c r="AK1093" s="0" t="n">
        <v>52</v>
      </c>
      <c r="AL1093" s="0" t="n">
        <v>1.06</v>
      </c>
    </row>
    <row r="1094">
      <c r="A1094" s="0" t="inlineStr">
        <is>
          <t>[명일동]</t>
        </is>
      </c>
      <c r="B1094" s="0" t="n">
        <v>19447</v>
      </c>
      <c r="C1094" s="0" t="n">
        <v>4</v>
      </c>
      <c r="D1094" s="0" t="inlineStr">
        <is>
          <t>태천해오름(101동)</t>
        </is>
      </c>
      <c r="E1094" s="0" t="inlineStr">
        <is>
          <t>2004.07.</t>
        </is>
      </c>
      <c r="F1094" s="0" t="n">
        <v>49</v>
      </c>
      <c r="G1094" s="0" t="n">
        <v>29.12</v>
      </c>
      <c r="H1094" s="0" t="n">
        <v>96.29000000000001</v>
      </c>
      <c r="I1094" s="0" t="n">
        <v>23.46</v>
      </c>
      <c r="J1094" s="0" t="n">
        <v>77.58</v>
      </c>
      <c r="K1094" s="0" t="n">
        <v>1</v>
      </c>
      <c r="T1094" s="0" t="n">
        <v>3</v>
      </c>
      <c r="U1094" s="0" t="n">
        <v>2</v>
      </c>
      <c r="V1094" s="0" t="inlineStr">
        <is>
          <t>복도식</t>
        </is>
      </c>
      <c r="W1094" s="0" t="n">
        <v>96</v>
      </c>
      <c r="X1094" s="0" t="n">
        <v>12</v>
      </c>
      <c r="Y1094" s="0" t="n">
        <v>9</v>
      </c>
      <c r="Z1094" s="0" t="inlineStr">
        <is>
          <t>https://new.land.naver.com/complexes/19447?tab=detail&amp;rf=Y</t>
        </is>
      </c>
      <c r="AA1094" s="0" t="inlineStr">
        <is>
          <t>서울시 강동구 명일동 355</t>
        </is>
      </c>
      <c r="AB1094" s="0" t="inlineStr">
        <is>
          <t>서울시</t>
        </is>
      </c>
      <c r="AC1094" s="0" t="inlineStr">
        <is>
          <t>강동구</t>
        </is>
      </c>
      <c r="AD1094" s="0" t="inlineStr">
        <is>
          <t>명일동</t>
        </is>
      </c>
      <c r="AG1094" s="0" t="inlineStr">
        <is>
          <t>서울시 강동구 천중로49길 101</t>
        </is>
      </c>
      <c r="AH1094" s="0" t="n">
        <v>0</v>
      </c>
      <c r="AI1094" s="0" t="n">
        <v>249</v>
      </c>
      <c r="AJ1094" s="0" t="n">
        <v>28</v>
      </c>
      <c r="AK1094" s="0" t="n">
        <v>52</v>
      </c>
      <c r="AL1094" s="0" t="n">
        <v>1.06</v>
      </c>
    </row>
    <row r="1095">
      <c r="A1095" s="0" t="inlineStr">
        <is>
          <t>[명일동]</t>
        </is>
      </c>
      <c r="B1095" s="0" t="n">
        <v>19447</v>
      </c>
      <c r="C1095" s="0" t="n">
        <v>5</v>
      </c>
      <c r="D1095" s="0" t="inlineStr">
        <is>
          <t>태천해오름(101동)</t>
        </is>
      </c>
      <c r="E1095" s="0" t="inlineStr">
        <is>
          <t>2004.07.</t>
        </is>
      </c>
      <c r="F1095" s="0" t="n">
        <v>49</v>
      </c>
      <c r="G1095" s="0" t="n">
        <v>29.69</v>
      </c>
      <c r="H1095" s="0" t="n">
        <v>98.17</v>
      </c>
      <c r="I1095" s="0" t="n">
        <v>23.9</v>
      </c>
      <c r="J1095" s="0" t="n">
        <v>79.01000000000001</v>
      </c>
      <c r="K1095" s="0" t="n">
        <v>1</v>
      </c>
      <c r="T1095" s="0" t="n">
        <v>3</v>
      </c>
      <c r="U1095" s="0" t="n">
        <v>2</v>
      </c>
      <c r="V1095" s="0" t="inlineStr">
        <is>
          <t>계단식</t>
        </is>
      </c>
      <c r="W1095" s="0" t="n">
        <v>98</v>
      </c>
      <c r="X1095" s="0" t="n">
        <v>12</v>
      </c>
      <c r="Y1095" s="0" t="n">
        <v>9</v>
      </c>
      <c r="Z1095" s="0" t="inlineStr">
        <is>
          <t>https://new.land.naver.com/complexes/19447?tab=detail&amp;rf=Y</t>
        </is>
      </c>
      <c r="AA1095" s="0" t="inlineStr">
        <is>
          <t>서울시 강동구 명일동 355</t>
        </is>
      </c>
      <c r="AB1095" s="0" t="inlineStr">
        <is>
          <t>서울시</t>
        </is>
      </c>
      <c r="AC1095" s="0" t="inlineStr">
        <is>
          <t>강동구</t>
        </is>
      </c>
      <c r="AD1095" s="0" t="inlineStr">
        <is>
          <t>명일동</t>
        </is>
      </c>
      <c r="AG1095" s="0" t="inlineStr">
        <is>
          <t>서울시 강동구 천중로49길 101</t>
        </is>
      </c>
      <c r="AH1095" s="0" t="n">
        <v>0</v>
      </c>
      <c r="AI1095" s="0" t="n">
        <v>249</v>
      </c>
      <c r="AJ1095" s="0" t="n">
        <v>28</v>
      </c>
      <c r="AK1095" s="0" t="n">
        <v>52</v>
      </c>
      <c r="AL1095" s="0" t="n">
        <v>1.06</v>
      </c>
    </row>
    <row r="1096">
      <c r="A1096" s="0" t="inlineStr">
        <is>
          <t>[명일동]</t>
        </is>
      </c>
      <c r="B1096" s="0" t="n">
        <v>19447</v>
      </c>
      <c r="C1096" s="0" t="n">
        <v>6</v>
      </c>
      <c r="D1096" s="0" t="inlineStr">
        <is>
          <t>태천해오름(101동)</t>
        </is>
      </c>
      <c r="E1096" s="0" t="inlineStr">
        <is>
          <t>2004.07.</t>
        </is>
      </c>
      <c r="F1096" s="0" t="n">
        <v>49</v>
      </c>
      <c r="G1096" s="0" t="n">
        <v>30.9</v>
      </c>
      <c r="H1096" s="0" t="n">
        <v>102.16</v>
      </c>
      <c r="I1096" s="0" t="n">
        <v>24.91</v>
      </c>
      <c r="J1096" s="0" t="n">
        <v>82.36</v>
      </c>
      <c r="K1096" s="0" t="n">
        <v>1</v>
      </c>
      <c r="T1096" s="0" t="n">
        <v>3</v>
      </c>
      <c r="U1096" s="0" t="n">
        <v>2</v>
      </c>
      <c r="V1096" s="0" t="inlineStr">
        <is>
          <t>복도식</t>
        </is>
      </c>
      <c r="W1096" s="0" t="n">
        <v>102</v>
      </c>
      <c r="X1096" s="0" t="n">
        <v>12</v>
      </c>
      <c r="Y1096" s="0" t="n">
        <v>9</v>
      </c>
      <c r="Z1096" s="0" t="inlineStr">
        <is>
          <t>https://new.land.naver.com/complexes/19447?tab=detail&amp;rf=Y</t>
        </is>
      </c>
      <c r="AA1096" s="0" t="inlineStr">
        <is>
          <t>서울시 강동구 명일동 355</t>
        </is>
      </c>
      <c r="AB1096" s="0" t="inlineStr">
        <is>
          <t>서울시</t>
        </is>
      </c>
      <c r="AC1096" s="0" t="inlineStr">
        <is>
          <t>강동구</t>
        </is>
      </c>
      <c r="AD1096" s="0" t="inlineStr">
        <is>
          <t>명일동</t>
        </is>
      </c>
      <c r="AG1096" s="0" t="inlineStr">
        <is>
          <t>서울시 강동구 천중로49길 101</t>
        </is>
      </c>
      <c r="AH1096" s="0" t="n">
        <v>0</v>
      </c>
      <c r="AI1096" s="0" t="n">
        <v>249</v>
      </c>
      <c r="AJ1096" s="0" t="n">
        <v>28</v>
      </c>
      <c r="AK1096" s="0" t="n">
        <v>52</v>
      </c>
      <c r="AL1096" s="0" t="n">
        <v>1.06</v>
      </c>
    </row>
    <row r="1097">
      <c r="A1097" s="0" t="inlineStr">
        <is>
          <t>[명일동]</t>
        </is>
      </c>
      <c r="B1097" s="0" t="n">
        <v>19447</v>
      </c>
      <c r="C1097" s="0" t="n">
        <v>7</v>
      </c>
      <c r="D1097" s="0" t="inlineStr">
        <is>
          <t>태천해오름(101동)</t>
        </is>
      </c>
      <c r="E1097" s="0" t="inlineStr">
        <is>
          <t>2004.07.</t>
        </is>
      </c>
      <c r="F1097" s="0" t="n">
        <v>49</v>
      </c>
      <c r="G1097" s="0" t="n">
        <v>31.71</v>
      </c>
      <c r="H1097" s="0" t="n">
        <v>104.83</v>
      </c>
      <c r="I1097" s="0" t="n">
        <v>25.57</v>
      </c>
      <c r="J1097" s="0" t="n">
        <v>84.53</v>
      </c>
      <c r="K1097" s="0" t="n">
        <v>8</v>
      </c>
      <c r="T1097" s="0" t="n">
        <v>3</v>
      </c>
      <c r="U1097" s="0" t="n">
        <v>2</v>
      </c>
      <c r="V1097" s="0" t="inlineStr">
        <is>
          <t>계단식</t>
        </is>
      </c>
      <c r="W1097" s="0" t="inlineStr">
        <is>
          <t>104A</t>
        </is>
      </c>
      <c r="X1097" s="0" t="n">
        <v>12</v>
      </c>
      <c r="Y1097" s="0" t="n">
        <v>9</v>
      </c>
      <c r="Z1097" s="0" t="inlineStr">
        <is>
          <t>https://new.land.naver.com/complexes/19447?tab=detail&amp;rf=Y</t>
        </is>
      </c>
      <c r="AA1097" s="0" t="inlineStr">
        <is>
          <t>서울시 강동구 명일동 355</t>
        </is>
      </c>
      <c r="AB1097" s="0" t="inlineStr">
        <is>
          <t>서울시</t>
        </is>
      </c>
      <c r="AC1097" s="0" t="inlineStr">
        <is>
          <t>강동구</t>
        </is>
      </c>
      <c r="AD1097" s="0" t="inlineStr">
        <is>
          <t>명일동</t>
        </is>
      </c>
      <c r="AG1097" s="0" t="inlineStr">
        <is>
          <t>서울시 강동구 천중로49길 101</t>
        </is>
      </c>
      <c r="AH1097" s="0" t="n">
        <v>0</v>
      </c>
      <c r="AI1097" s="0" t="n">
        <v>249</v>
      </c>
      <c r="AJ1097" s="0" t="n">
        <v>28</v>
      </c>
      <c r="AK1097" s="0" t="n">
        <v>52</v>
      </c>
      <c r="AL1097" s="0" t="n">
        <v>1.06</v>
      </c>
    </row>
    <row r="1098">
      <c r="A1098" s="0" t="inlineStr">
        <is>
          <t>[명일동]</t>
        </is>
      </c>
      <c r="B1098" s="0" t="n">
        <v>19447</v>
      </c>
      <c r="C1098" s="0" t="n">
        <v>8</v>
      </c>
      <c r="D1098" s="0" t="inlineStr">
        <is>
          <t>태천해오름(101동)</t>
        </is>
      </c>
      <c r="E1098" s="0" t="inlineStr">
        <is>
          <t>2004.07.</t>
        </is>
      </c>
      <c r="F1098" s="0" t="n">
        <v>49</v>
      </c>
      <c r="G1098" s="0" t="n">
        <v>31.84</v>
      </c>
      <c r="H1098" s="0" t="n">
        <v>105.26</v>
      </c>
      <c r="I1098" s="0" t="n">
        <v>25.63</v>
      </c>
      <c r="J1098" s="0" t="n">
        <v>84.76000000000001</v>
      </c>
      <c r="K1098" s="0" t="n">
        <v>19</v>
      </c>
      <c r="T1098" s="0" t="n">
        <v>3</v>
      </c>
      <c r="U1098" s="0" t="n">
        <v>2</v>
      </c>
      <c r="V1098" s="0" t="inlineStr">
        <is>
          <t>계단식</t>
        </is>
      </c>
      <c r="W1098" s="0" t="inlineStr">
        <is>
          <t>105B</t>
        </is>
      </c>
      <c r="X1098" s="0" t="n">
        <v>12</v>
      </c>
      <c r="Y1098" s="0" t="n">
        <v>9</v>
      </c>
      <c r="Z1098" s="0" t="inlineStr">
        <is>
          <t>https://new.land.naver.com/complexes/19447?tab=detail&amp;rf=Y</t>
        </is>
      </c>
      <c r="AA1098" s="0" t="inlineStr">
        <is>
          <t>서울시 강동구 명일동 355</t>
        </is>
      </c>
      <c r="AB1098" s="0" t="inlineStr">
        <is>
          <t>서울시</t>
        </is>
      </c>
      <c r="AC1098" s="0" t="inlineStr">
        <is>
          <t>강동구</t>
        </is>
      </c>
      <c r="AD1098" s="0" t="inlineStr">
        <is>
          <t>명일동</t>
        </is>
      </c>
      <c r="AG1098" s="0" t="inlineStr">
        <is>
          <t>서울시 강동구 천중로49길 101</t>
        </is>
      </c>
      <c r="AH1098" s="0" t="n">
        <v>0</v>
      </c>
      <c r="AI1098" s="0" t="n">
        <v>249</v>
      </c>
      <c r="AJ1098" s="0" t="n">
        <v>28</v>
      </c>
      <c r="AK1098" s="0" t="n">
        <v>52</v>
      </c>
      <c r="AL1098" s="0" t="n">
        <v>1.06</v>
      </c>
    </row>
    <row r="1099">
      <c r="A1099" s="0" t="inlineStr">
        <is>
          <t>[명일동]</t>
        </is>
      </c>
      <c r="B1099" s="0" t="n">
        <v>1312</v>
      </c>
      <c r="C1099" s="0" t="n">
        <v>1</v>
      </c>
      <c r="D1099" s="0" t="inlineStr">
        <is>
          <t>신동아</t>
        </is>
      </c>
      <c r="E1099" s="0" t="inlineStr">
        <is>
          <t>1986.02.</t>
        </is>
      </c>
      <c r="F1099" s="0" t="n">
        <v>570</v>
      </c>
      <c r="G1099" s="0" t="n">
        <v>29.55</v>
      </c>
      <c r="H1099" s="0" t="n">
        <v>97.69</v>
      </c>
      <c r="I1099" s="0" t="n">
        <v>24.52</v>
      </c>
      <c r="J1099" s="0" t="n">
        <v>81.06999999999999</v>
      </c>
      <c r="K1099" s="0" t="n">
        <v>120</v>
      </c>
      <c r="T1099" s="0" t="n">
        <v>3</v>
      </c>
      <c r="U1099" s="0" t="n">
        <v>1</v>
      </c>
      <c r="V1099" s="0" t="inlineStr">
        <is>
          <t>계단식</t>
        </is>
      </c>
      <c r="W1099" s="0" t="n">
        <v>97</v>
      </c>
      <c r="X1099" s="0" t="n">
        <v>15</v>
      </c>
      <c r="Y1099" s="0" t="n">
        <v>15</v>
      </c>
      <c r="Z1099" s="0" t="inlineStr">
        <is>
          <t>https://new.land.naver.com/complexes/1312?tab=detail&amp;rf=Y</t>
        </is>
      </c>
      <c r="AA1099" s="0" t="inlineStr">
        <is>
          <t>서울시 강동구 명일동 44</t>
        </is>
      </c>
      <c r="AB1099" s="0" t="inlineStr">
        <is>
          <t>서울시</t>
        </is>
      </c>
      <c r="AC1099" s="0" t="inlineStr">
        <is>
          <t>강동구</t>
        </is>
      </c>
      <c r="AD1099" s="0" t="inlineStr">
        <is>
          <t>명일동</t>
        </is>
      </c>
      <c r="AG1099" s="0" t="inlineStr">
        <is>
          <t>서울시 강동구 고덕로 240</t>
        </is>
      </c>
      <c r="AH1099" s="0" t="n">
        <v>0</v>
      </c>
      <c r="AI1099" s="0" t="n">
        <v>179</v>
      </c>
      <c r="AJ1099" s="0" t="n">
        <v>14</v>
      </c>
      <c r="AK1099" s="0" t="n">
        <v>600</v>
      </c>
      <c r="AL1099" s="0" t="n">
        <v>1.05</v>
      </c>
    </row>
    <row r="1100">
      <c r="A1100" s="0" t="inlineStr">
        <is>
          <t>[명일동]</t>
        </is>
      </c>
      <c r="B1100" s="0" t="n">
        <v>1312</v>
      </c>
      <c r="C1100" s="0" t="n">
        <v>2</v>
      </c>
      <c r="D1100" s="0" t="inlineStr">
        <is>
          <t>신동아</t>
        </is>
      </c>
      <c r="E1100" s="0" t="inlineStr">
        <is>
          <t>1986.02.</t>
        </is>
      </c>
      <c r="F1100" s="0" t="n">
        <v>570</v>
      </c>
      <c r="G1100" s="0" t="n">
        <v>39.63</v>
      </c>
      <c r="H1100" s="0" t="n">
        <v>131.03</v>
      </c>
      <c r="I1100" s="0" t="n">
        <v>34.16</v>
      </c>
      <c r="J1100" s="0" t="n">
        <v>112.93</v>
      </c>
      <c r="K1100" s="0" t="n">
        <v>180</v>
      </c>
      <c r="T1100" s="0" t="n">
        <v>4</v>
      </c>
      <c r="U1100" s="0" t="n">
        <v>2</v>
      </c>
      <c r="V1100" s="0" t="inlineStr">
        <is>
          <t>계단식</t>
        </is>
      </c>
      <c r="W1100" s="0" t="n">
        <v>131</v>
      </c>
      <c r="X1100" s="0" t="n">
        <v>15</v>
      </c>
      <c r="Y1100" s="0" t="n">
        <v>15</v>
      </c>
      <c r="Z1100" s="0" t="inlineStr">
        <is>
          <t>https://new.land.naver.com/complexes/1312?tab=detail&amp;rf=Y</t>
        </is>
      </c>
      <c r="AA1100" s="0" t="inlineStr">
        <is>
          <t>서울시 강동구 명일동 44</t>
        </is>
      </c>
      <c r="AB1100" s="0" t="inlineStr">
        <is>
          <t>서울시</t>
        </is>
      </c>
      <c r="AC1100" s="0" t="inlineStr">
        <is>
          <t>강동구</t>
        </is>
      </c>
      <c r="AD1100" s="0" t="inlineStr">
        <is>
          <t>명일동</t>
        </is>
      </c>
      <c r="AG1100" s="0" t="inlineStr">
        <is>
          <t>서울시 강동구 고덕로 240</t>
        </is>
      </c>
      <c r="AH1100" s="0" t="n">
        <v>0</v>
      </c>
      <c r="AI1100" s="0" t="n">
        <v>179</v>
      </c>
      <c r="AJ1100" s="0" t="n">
        <v>14</v>
      </c>
      <c r="AK1100" s="0" t="n">
        <v>600</v>
      </c>
      <c r="AL1100" s="0" t="n">
        <v>1.05</v>
      </c>
    </row>
    <row r="1101">
      <c r="A1101" s="0" t="inlineStr">
        <is>
          <t>[명일동]</t>
        </is>
      </c>
      <c r="B1101" s="0" t="n">
        <v>1312</v>
      </c>
      <c r="C1101" s="0" t="n">
        <v>3</v>
      </c>
      <c r="D1101" s="0" t="inlineStr">
        <is>
          <t>신동아</t>
        </is>
      </c>
      <c r="E1101" s="0" t="inlineStr">
        <is>
          <t>1986.02.</t>
        </is>
      </c>
      <c r="F1101" s="0" t="n">
        <v>570</v>
      </c>
      <c r="G1101" s="0" t="n">
        <v>44.28</v>
      </c>
      <c r="H1101" s="0" t="n">
        <v>146.39</v>
      </c>
      <c r="I1101" s="0" t="n">
        <v>38.51</v>
      </c>
      <c r="J1101" s="0" t="n">
        <v>127.33</v>
      </c>
      <c r="K1101" s="0" t="n">
        <v>270</v>
      </c>
      <c r="T1101" s="0" t="n">
        <v>4</v>
      </c>
      <c r="U1101" s="0" t="n">
        <v>2</v>
      </c>
      <c r="V1101" s="0" t="inlineStr">
        <is>
          <t>계단식</t>
        </is>
      </c>
      <c r="W1101" s="0" t="n">
        <v>146</v>
      </c>
      <c r="X1101" s="0" t="n">
        <v>15</v>
      </c>
      <c r="Y1101" s="0" t="n">
        <v>15</v>
      </c>
      <c r="Z1101" s="0" t="inlineStr">
        <is>
          <t>https://new.land.naver.com/complexes/1312?tab=detail&amp;rf=Y</t>
        </is>
      </c>
      <c r="AA1101" s="0" t="inlineStr">
        <is>
          <t>서울시 강동구 명일동 44</t>
        </is>
      </c>
      <c r="AB1101" s="0" t="inlineStr">
        <is>
          <t>서울시</t>
        </is>
      </c>
      <c r="AC1101" s="0" t="inlineStr">
        <is>
          <t>강동구</t>
        </is>
      </c>
      <c r="AD1101" s="0" t="inlineStr">
        <is>
          <t>명일동</t>
        </is>
      </c>
      <c r="AG1101" s="0" t="inlineStr">
        <is>
          <t>서울시 강동구 고덕로 240</t>
        </is>
      </c>
      <c r="AH1101" s="0" t="n">
        <v>0</v>
      </c>
      <c r="AI1101" s="0" t="n">
        <v>179</v>
      </c>
      <c r="AJ1101" s="0" t="n">
        <v>14</v>
      </c>
      <c r="AK1101" s="0" t="n">
        <v>600</v>
      </c>
      <c r="AL1101" s="0" t="n">
        <v>1.05</v>
      </c>
    </row>
    <row r="1102">
      <c r="A1102" s="0" t="inlineStr">
        <is>
          <t>[명일동]</t>
        </is>
      </c>
      <c r="B1102" s="0" t="n">
        <v>100650</v>
      </c>
      <c r="C1102" s="0" t="n">
        <v>1</v>
      </c>
      <c r="D1102" s="0" t="inlineStr">
        <is>
          <t>태천해오름(103)</t>
        </is>
      </c>
      <c r="E1102" s="0" t="inlineStr">
        <is>
          <t>2004.11.</t>
        </is>
      </c>
      <c r="F1102" s="0" t="n">
        <v>18</v>
      </c>
      <c r="G1102" s="0" t="n">
        <v>22.33</v>
      </c>
      <c r="H1102" s="0" t="n">
        <v>73.84</v>
      </c>
      <c r="I1102" s="0" t="n">
        <v>19.94</v>
      </c>
      <c r="J1102" s="0" t="n">
        <v>65.93000000000001</v>
      </c>
      <c r="K1102" s="0" t="n">
        <v>1</v>
      </c>
      <c r="T1102" s="0" t="n">
        <v>2</v>
      </c>
      <c r="U1102" s="0" t="n">
        <v>1</v>
      </c>
      <c r="V1102" s="0" t="inlineStr">
        <is>
          <t>계단식</t>
        </is>
      </c>
      <c r="W1102" s="0" t="n">
        <v>73</v>
      </c>
      <c r="X1102" s="0" t="n">
        <v>7</v>
      </c>
      <c r="Y1102" s="0" t="n">
        <v>7</v>
      </c>
      <c r="Z1102" s="0" t="inlineStr">
        <is>
          <t>https://new.land.naver.com/complexes/100650?tab=detail&amp;rf=Y</t>
        </is>
      </c>
      <c r="AA1102" s="0" t="inlineStr">
        <is>
          <t>서울시 강동구 명일동 351-11</t>
        </is>
      </c>
      <c r="AB1102" s="0" t="inlineStr">
        <is>
          <t>서울시</t>
        </is>
      </c>
      <c r="AC1102" s="0" t="inlineStr">
        <is>
          <t>강동구</t>
        </is>
      </c>
      <c r="AD1102" s="0" t="inlineStr">
        <is>
          <t>명일동</t>
        </is>
      </c>
      <c r="AG1102" s="0" t="inlineStr">
        <is>
          <t>서울시 강동구 천중로49길 98</t>
        </is>
      </c>
      <c r="AH1102" s="0" t="n">
        <v>0</v>
      </c>
      <c r="AI1102" s="0" t="n">
        <v>239</v>
      </c>
      <c r="AJ1102" s="0" t="n">
        <v>52</v>
      </c>
      <c r="AK1102" s="0" t="n">
        <v>19</v>
      </c>
      <c r="AL1102" s="0" t="n">
        <v>1.06</v>
      </c>
    </row>
    <row r="1103">
      <c r="A1103" s="0" t="inlineStr">
        <is>
          <t>[명일동]</t>
        </is>
      </c>
      <c r="B1103" s="0" t="n">
        <v>100650</v>
      </c>
      <c r="C1103" s="0" t="n">
        <v>2</v>
      </c>
      <c r="D1103" s="0" t="inlineStr">
        <is>
          <t>태천해오름(103)</t>
        </is>
      </c>
      <c r="E1103" s="0" t="inlineStr">
        <is>
          <t>2004.11.</t>
        </is>
      </c>
      <c r="F1103" s="0" t="n">
        <v>18</v>
      </c>
      <c r="G1103" s="0" t="n">
        <v>25.61</v>
      </c>
      <c r="H1103" s="0" t="n">
        <v>84.68000000000001</v>
      </c>
      <c r="I1103" s="0" t="n">
        <v>22.87</v>
      </c>
      <c r="J1103" s="0" t="n">
        <v>75.62</v>
      </c>
      <c r="K1103" s="0" t="n">
        <v>1</v>
      </c>
      <c r="T1103" s="0" t="n">
        <v>3</v>
      </c>
      <c r="U1103" s="0" t="n">
        <v>2</v>
      </c>
      <c r="V1103" s="0" t="inlineStr">
        <is>
          <t>계단식</t>
        </is>
      </c>
      <c r="W1103" s="0" t="inlineStr">
        <is>
          <t>84A</t>
        </is>
      </c>
      <c r="X1103" s="0" t="n">
        <v>7</v>
      </c>
      <c r="Y1103" s="0" t="n">
        <v>7</v>
      </c>
      <c r="Z1103" s="0" t="inlineStr">
        <is>
          <t>https://new.land.naver.com/complexes/100650?tab=detail&amp;rf=Y</t>
        </is>
      </c>
      <c r="AA1103" s="0" t="inlineStr">
        <is>
          <t>서울시 강동구 명일동 351-11</t>
        </is>
      </c>
      <c r="AB1103" s="0" t="inlineStr">
        <is>
          <t>서울시</t>
        </is>
      </c>
      <c r="AC1103" s="0" t="inlineStr">
        <is>
          <t>강동구</t>
        </is>
      </c>
      <c r="AD1103" s="0" t="inlineStr">
        <is>
          <t>명일동</t>
        </is>
      </c>
      <c r="AG1103" s="0" t="inlineStr">
        <is>
          <t>서울시 강동구 천중로49길 98</t>
        </is>
      </c>
      <c r="AH1103" s="0" t="n">
        <v>0</v>
      </c>
      <c r="AI1103" s="0" t="n">
        <v>239</v>
      </c>
      <c r="AJ1103" s="0" t="n">
        <v>52</v>
      </c>
      <c r="AK1103" s="0" t="n">
        <v>19</v>
      </c>
      <c r="AL1103" s="0" t="n">
        <v>1.06</v>
      </c>
    </row>
    <row r="1104">
      <c r="A1104" s="0" t="inlineStr">
        <is>
          <t>[명일동]</t>
        </is>
      </c>
      <c r="B1104" s="0" t="n">
        <v>100650</v>
      </c>
      <c r="C1104" s="0" t="n">
        <v>3</v>
      </c>
      <c r="D1104" s="0" t="inlineStr">
        <is>
          <t>태천해오름(103)</t>
        </is>
      </c>
      <c r="E1104" s="0" t="inlineStr">
        <is>
          <t>2004.11.</t>
        </is>
      </c>
      <c r="F1104" s="0" t="n">
        <v>18</v>
      </c>
      <c r="G1104" s="0" t="n">
        <v>26.08</v>
      </c>
      <c r="H1104" s="0" t="n">
        <v>86.23999999999999</v>
      </c>
      <c r="I1104" s="0" t="n">
        <v>23.29</v>
      </c>
      <c r="J1104" s="0" t="n">
        <v>77.01000000000001</v>
      </c>
      <c r="K1104" s="0" t="n">
        <v>5</v>
      </c>
      <c r="T1104" s="0" t="n">
        <v>3</v>
      </c>
      <c r="U1104" s="0" t="n">
        <v>2</v>
      </c>
      <c r="V1104" s="0" t="inlineStr">
        <is>
          <t>계단식</t>
        </is>
      </c>
      <c r="W1104" s="0" t="inlineStr">
        <is>
          <t>86B</t>
        </is>
      </c>
      <c r="X1104" s="0" t="n">
        <v>7</v>
      </c>
      <c r="Y1104" s="0" t="n">
        <v>7</v>
      </c>
      <c r="Z1104" s="0" t="inlineStr">
        <is>
          <t>https://new.land.naver.com/complexes/100650?tab=detail&amp;rf=Y</t>
        </is>
      </c>
      <c r="AA1104" s="0" t="inlineStr">
        <is>
          <t>서울시 강동구 명일동 351-11</t>
        </is>
      </c>
      <c r="AB1104" s="0" t="inlineStr">
        <is>
          <t>서울시</t>
        </is>
      </c>
      <c r="AC1104" s="0" t="inlineStr">
        <is>
          <t>강동구</t>
        </is>
      </c>
      <c r="AD1104" s="0" t="inlineStr">
        <is>
          <t>명일동</t>
        </is>
      </c>
      <c r="AG1104" s="0" t="inlineStr">
        <is>
          <t>서울시 강동구 천중로49길 98</t>
        </is>
      </c>
      <c r="AH1104" s="0" t="n">
        <v>0</v>
      </c>
      <c r="AI1104" s="0" t="n">
        <v>239</v>
      </c>
      <c r="AJ1104" s="0" t="n">
        <v>52</v>
      </c>
      <c r="AK1104" s="0" t="n">
        <v>19</v>
      </c>
      <c r="AL1104" s="0" t="n">
        <v>1.06</v>
      </c>
    </row>
    <row r="1105">
      <c r="A1105" s="0" t="inlineStr">
        <is>
          <t>[명일동]</t>
        </is>
      </c>
      <c r="B1105" s="0" t="n">
        <v>100650</v>
      </c>
      <c r="C1105" s="0" t="n">
        <v>4</v>
      </c>
      <c r="D1105" s="0" t="inlineStr">
        <is>
          <t>태천해오름(103)</t>
        </is>
      </c>
      <c r="E1105" s="0" t="inlineStr">
        <is>
          <t>2004.11.</t>
        </is>
      </c>
      <c r="F1105" s="0" t="n">
        <v>18</v>
      </c>
      <c r="G1105" s="0" t="n">
        <v>27.73</v>
      </c>
      <c r="H1105" s="0" t="n">
        <v>91.68000000000001</v>
      </c>
      <c r="I1105" s="0" t="n">
        <v>24.76</v>
      </c>
      <c r="J1105" s="0" t="n">
        <v>81.87</v>
      </c>
      <c r="K1105" s="0" t="n">
        <v>1</v>
      </c>
      <c r="T1105" s="0" t="n">
        <v>3</v>
      </c>
      <c r="U1105" s="0" t="n">
        <v>2</v>
      </c>
      <c r="V1105" s="0" t="inlineStr">
        <is>
          <t>계단식</t>
        </is>
      </c>
      <c r="W1105" s="0" t="inlineStr">
        <is>
          <t>91A</t>
        </is>
      </c>
      <c r="X1105" s="0" t="n">
        <v>7</v>
      </c>
      <c r="Y1105" s="0" t="n">
        <v>7</v>
      </c>
      <c r="Z1105" s="0" t="inlineStr">
        <is>
          <t>https://new.land.naver.com/complexes/100650?tab=detail&amp;rf=Y</t>
        </is>
      </c>
      <c r="AA1105" s="0" t="inlineStr">
        <is>
          <t>서울시 강동구 명일동 351-11</t>
        </is>
      </c>
      <c r="AB1105" s="0" t="inlineStr">
        <is>
          <t>서울시</t>
        </is>
      </c>
      <c r="AC1105" s="0" t="inlineStr">
        <is>
          <t>강동구</t>
        </is>
      </c>
      <c r="AD1105" s="0" t="inlineStr">
        <is>
          <t>명일동</t>
        </is>
      </c>
      <c r="AG1105" s="0" t="inlineStr">
        <is>
          <t>서울시 강동구 천중로49길 98</t>
        </is>
      </c>
      <c r="AH1105" s="0" t="n">
        <v>0</v>
      </c>
      <c r="AI1105" s="0" t="n">
        <v>239</v>
      </c>
      <c r="AJ1105" s="0" t="n">
        <v>52</v>
      </c>
      <c r="AK1105" s="0" t="n">
        <v>19</v>
      </c>
      <c r="AL1105" s="0" t="n">
        <v>1.06</v>
      </c>
    </row>
    <row r="1106">
      <c r="A1106" s="0" t="inlineStr">
        <is>
          <t>[명일동]</t>
        </is>
      </c>
      <c r="B1106" s="0" t="n">
        <v>100650</v>
      </c>
      <c r="C1106" s="0" t="n">
        <v>5</v>
      </c>
      <c r="D1106" s="0" t="inlineStr">
        <is>
          <t>태천해오름(103)</t>
        </is>
      </c>
      <c r="E1106" s="0" t="inlineStr">
        <is>
          <t>2004.11.</t>
        </is>
      </c>
      <c r="F1106" s="0" t="n">
        <v>18</v>
      </c>
      <c r="G1106" s="0" t="n">
        <v>28.26</v>
      </c>
      <c r="H1106" s="0" t="n">
        <v>93.45</v>
      </c>
      <c r="I1106" s="0" t="n">
        <v>25.24</v>
      </c>
      <c r="J1106" s="0" t="n">
        <v>83.45999999999999</v>
      </c>
      <c r="K1106" s="0" t="n">
        <v>6</v>
      </c>
      <c r="T1106" s="0" t="n">
        <v>3</v>
      </c>
      <c r="U1106" s="0" t="n">
        <v>2</v>
      </c>
      <c r="V1106" s="0" t="inlineStr">
        <is>
          <t>계단식</t>
        </is>
      </c>
      <c r="W1106" s="0" t="inlineStr">
        <is>
          <t>93B</t>
        </is>
      </c>
      <c r="X1106" s="0" t="n">
        <v>7</v>
      </c>
      <c r="Y1106" s="0" t="n">
        <v>7</v>
      </c>
      <c r="Z1106" s="0" t="inlineStr">
        <is>
          <t>https://new.land.naver.com/complexes/100650?tab=detail&amp;rf=Y</t>
        </is>
      </c>
      <c r="AA1106" s="0" t="inlineStr">
        <is>
          <t>서울시 강동구 명일동 351-11</t>
        </is>
      </c>
      <c r="AB1106" s="0" t="inlineStr">
        <is>
          <t>서울시</t>
        </is>
      </c>
      <c r="AC1106" s="0" t="inlineStr">
        <is>
          <t>강동구</t>
        </is>
      </c>
      <c r="AD1106" s="0" t="inlineStr">
        <is>
          <t>명일동</t>
        </is>
      </c>
      <c r="AG1106" s="0" t="inlineStr">
        <is>
          <t>서울시 강동구 천중로49길 98</t>
        </is>
      </c>
      <c r="AH1106" s="0" t="n">
        <v>0</v>
      </c>
      <c r="AI1106" s="0" t="n">
        <v>239</v>
      </c>
      <c r="AJ1106" s="0" t="n">
        <v>52</v>
      </c>
      <c r="AK1106" s="0" t="n">
        <v>19</v>
      </c>
      <c r="AL1106" s="0" t="n">
        <v>1.06</v>
      </c>
    </row>
    <row r="1107">
      <c r="A1107" s="0" t="inlineStr">
        <is>
          <t>[명일동]</t>
        </is>
      </c>
      <c r="B1107" s="0" t="n">
        <v>100650</v>
      </c>
      <c r="C1107" s="0" t="n">
        <v>6</v>
      </c>
      <c r="D1107" s="0" t="inlineStr">
        <is>
          <t>태천해오름(103)</t>
        </is>
      </c>
      <c r="E1107" s="0" t="inlineStr">
        <is>
          <t>2004.11.</t>
        </is>
      </c>
      <c r="F1107" s="0" t="n">
        <v>18</v>
      </c>
      <c r="G1107" s="0" t="n">
        <v>28.66</v>
      </c>
      <c r="H1107" s="0" t="n">
        <v>94.76000000000001</v>
      </c>
      <c r="I1107" s="0" t="n">
        <v>25.59</v>
      </c>
      <c r="J1107" s="0" t="n">
        <v>84.62</v>
      </c>
      <c r="K1107" s="0" t="n">
        <v>4</v>
      </c>
      <c r="T1107" s="0" t="n">
        <v>3</v>
      </c>
      <c r="U1107" s="0" t="n">
        <v>2</v>
      </c>
      <c r="V1107" s="0" t="inlineStr">
        <is>
          <t>계단식</t>
        </is>
      </c>
      <c r="W1107" s="0" t="n">
        <v>94</v>
      </c>
      <c r="X1107" s="0" t="n">
        <v>7</v>
      </c>
      <c r="Y1107" s="0" t="n">
        <v>7</v>
      </c>
      <c r="Z1107" s="0" t="inlineStr">
        <is>
          <t>https://new.land.naver.com/complexes/100650?tab=detail&amp;rf=Y</t>
        </is>
      </c>
      <c r="AA1107" s="0" t="inlineStr">
        <is>
          <t>서울시 강동구 명일동 351-11</t>
        </is>
      </c>
      <c r="AB1107" s="0" t="inlineStr">
        <is>
          <t>서울시</t>
        </is>
      </c>
      <c r="AC1107" s="0" t="inlineStr">
        <is>
          <t>강동구</t>
        </is>
      </c>
      <c r="AD1107" s="0" t="inlineStr">
        <is>
          <t>명일동</t>
        </is>
      </c>
      <c r="AG1107" s="0" t="inlineStr">
        <is>
          <t>서울시 강동구 천중로49길 98</t>
        </is>
      </c>
      <c r="AH1107" s="0" t="n">
        <v>0</v>
      </c>
      <c r="AI1107" s="0" t="n">
        <v>239</v>
      </c>
      <c r="AJ1107" s="0" t="n">
        <v>52</v>
      </c>
      <c r="AK1107" s="0" t="n">
        <v>19</v>
      </c>
      <c r="AL1107" s="0" t="n">
        <v>1.06</v>
      </c>
    </row>
    <row r="1108">
      <c r="A1108" s="0" t="inlineStr">
        <is>
          <t>[명일동]</t>
        </is>
      </c>
      <c r="B1108" s="0" t="n">
        <v>9707</v>
      </c>
      <c r="C1108" s="0" t="n">
        <v>1</v>
      </c>
      <c r="D1108" s="0" t="inlineStr">
        <is>
          <t>형인허브빌</t>
        </is>
      </c>
      <c r="E1108" s="0" t="inlineStr">
        <is>
          <t>2002.11.</t>
        </is>
      </c>
      <c r="F1108" s="0" t="n">
        <v>103</v>
      </c>
      <c r="G1108" s="0" t="n">
        <v>30.83</v>
      </c>
      <c r="H1108" s="0" t="n">
        <v>101.92</v>
      </c>
      <c r="I1108" s="0" t="n">
        <v>25.11</v>
      </c>
      <c r="J1108" s="0" t="n">
        <v>83.02</v>
      </c>
      <c r="K1108" s="0" t="n">
        <v>18</v>
      </c>
      <c r="T1108" s="0" t="n">
        <v>3</v>
      </c>
      <c r="U1108" s="0" t="n">
        <v>2</v>
      </c>
      <c r="V1108" s="0" t="inlineStr">
        <is>
          <t>계단식</t>
        </is>
      </c>
      <c r="W1108" s="0" t="inlineStr">
        <is>
          <t>101B</t>
        </is>
      </c>
      <c r="X1108" s="0" t="n">
        <v>15</v>
      </c>
      <c r="Y1108" s="0" t="n">
        <v>8</v>
      </c>
      <c r="Z1108" s="0" t="inlineStr">
        <is>
          <t>https://new.land.naver.com/complexes/9707?tab=detail&amp;rf=Y</t>
        </is>
      </c>
      <c r="AA1108" s="0" t="inlineStr">
        <is>
          <t>서울시 강동구 명일동 354</t>
        </is>
      </c>
      <c r="AB1108" s="0" t="inlineStr">
        <is>
          <t>서울시</t>
        </is>
      </c>
      <c r="AC1108" s="0" t="inlineStr">
        <is>
          <t>강동구</t>
        </is>
      </c>
      <c r="AD1108" s="0" t="inlineStr">
        <is>
          <t>명일동</t>
        </is>
      </c>
      <c r="AG1108" s="0" t="inlineStr">
        <is>
          <t>서울시 강동구 상암로49길 13</t>
        </is>
      </c>
      <c r="AH1108" s="0" t="n">
        <v>0</v>
      </c>
      <c r="AI1108" s="0" t="n">
        <v>297</v>
      </c>
      <c r="AJ1108" s="0" t="n">
        <v>28</v>
      </c>
      <c r="AK1108" s="0" t="n">
        <v>116</v>
      </c>
      <c r="AL1108" s="0" t="n">
        <v>1.13</v>
      </c>
    </row>
    <row r="1109">
      <c r="A1109" s="0" t="inlineStr">
        <is>
          <t>[명일동]</t>
        </is>
      </c>
      <c r="B1109" s="0" t="n">
        <v>9707</v>
      </c>
      <c r="C1109" s="0" t="n">
        <v>2</v>
      </c>
      <c r="D1109" s="0" t="inlineStr">
        <is>
          <t>형인허브빌</t>
        </is>
      </c>
      <c r="E1109" s="0" t="inlineStr">
        <is>
          <t>2002.11.</t>
        </is>
      </c>
      <c r="F1109" s="0" t="n">
        <v>103</v>
      </c>
      <c r="G1109" s="0" t="n">
        <v>31.39</v>
      </c>
      <c r="H1109" s="0" t="n">
        <v>103.79</v>
      </c>
      <c r="I1109" s="0" t="n">
        <v>25.54</v>
      </c>
      <c r="J1109" s="0" t="n">
        <v>84.43000000000001</v>
      </c>
      <c r="K1109" s="0" t="n">
        <v>46</v>
      </c>
      <c r="T1109" s="0" t="n">
        <v>3</v>
      </c>
      <c r="U1109" s="0" t="n">
        <v>2</v>
      </c>
      <c r="V1109" s="0" t="inlineStr">
        <is>
          <t>계단식</t>
        </is>
      </c>
      <c r="W1109" s="0" t="inlineStr">
        <is>
          <t>103A</t>
        </is>
      </c>
      <c r="X1109" s="0" t="n">
        <v>15</v>
      </c>
      <c r="Y1109" s="0" t="n">
        <v>8</v>
      </c>
      <c r="Z1109" s="0" t="inlineStr">
        <is>
          <t>https://new.land.naver.com/complexes/9707?tab=detail&amp;rf=Y</t>
        </is>
      </c>
      <c r="AA1109" s="0" t="inlineStr">
        <is>
          <t>서울시 강동구 명일동 354</t>
        </is>
      </c>
      <c r="AB1109" s="0" t="inlineStr">
        <is>
          <t>서울시</t>
        </is>
      </c>
      <c r="AC1109" s="0" t="inlineStr">
        <is>
          <t>강동구</t>
        </is>
      </c>
      <c r="AD1109" s="0" t="inlineStr">
        <is>
          <t>명일동</t>
        </is>
      </c>
      <c r="AG1109" s="0" t="inlineStr">
        <is>
          <t>서울시 강동구 상암로49길 13</t>
        </is>
      </c>
      <c r="AH1109" s="0" t="n">
        <v>0</v>
      </c>
      <c r="AI1109" s="0" t="n">
        <v>297</v>
      </c>
      <c r="AJ1109" s="0" t="n">
        <v>28</v>
      </c>
      <c r="AK1109" s="0" t="n">
        <v>116</v>
      </c>
      <c r="AL1109" s="0" t="n">
        <v>1.13</v>
      </c>
    </row>
    <row r="1110">
      <c r="A1110" s="0" t="inlineStr">
        <is>
          <t>[명일동]</t>
        </is>
      </c>
      <c r="B1110" s="0" t="n">
        <v>9707</v>
      </c>
      <c r="C1110" s="0" t="n">
        <v>3</v>
      </c>
      <c r="D1110" s="0" t="inlineStr">
        <is>
          <t>형인허브빌</t>
        </is>
      </c>
      <c r="E1110" s="0" t="inlineStr">
        <is>
          <t>2002.11.</t>
        </is>
      </c>
      <c r="F1110" s="0" t="n">
        <v>103</v>
      </c>
      <c r="G1110" s="0" t="n">
        <v>31.22</v>
      </c>
      <c r="H1110" s="0" t="n">
        <v>103.21</v>
      </c>
      <c r="I1110" s="0" t="n">
        <v>25.3</v>
      </c>
      <c r="J1110" s="0" t="n">
        <v>83.66</v>
      </c>
      <c r="K1110" s="0" t="n">
        <v>15</v>
      </c>
      <c r="T1110" s="0" t="n">
        <v>3</v>
      </c>
      <c r="U1110" s="0" t="n">
        <v>2</v>
      </c>
      <c r="V1110" s="0" t="inlineStr">
        <is>
          <t>계단식</t>
        </is>
      </c>
      <c r="W1110" s="0" t="inlineStr">
        <is>
          <t>103C</t>
        </is>
      </c>
      <c r="X1110" s="0" t="n">
        <v>15</v>
      </c>
      <c r="Y1110" s="0" t="n">
        <v>8</v>
      </c>
      <c r="Z1110" s="0" t="inlineStr">
        <is>
          <t>https://new.land.naver.com/complexes/9707?tab=detail&amp;rf=Y</t>
        </is>
      </c>
      <c r="AA1110" s="0" t="inlineStr">
        <is>
          <t>서울시 강동구 명일동 354</t>
        </is>
      </c>
      <c r="AB1110" s="0" t="inlineStr">
        <is>
          <t>서울시</t>
        </is>
      </c>
      <c r="AC1110" s="0" t="inlineStr">
        <is>
          <t>강동구</t>
        </is>
      </c>
      <c r="AD1110" s="0" t="inlineStr">
        <is>
          <t>명일동</t>
        </is>
      </c>
      <c r="AG1110" s="0" t="inlineStr">
        <is>
          <t>서울시 강동구 상암로49길 13</t>
        </is>
      </c>
      <c r="AH1110" s="0" t="n">
        <v>0</v>
      </c>
      <c r="AI1110" s="0" t="n">
        <v>297</v>
      </c>
      <c r="AJ1110" s="0" t="n">
        <v>28</v>
      </c>
      <c r="AK1110" s="0" t="n">
        <v>116</v>
      </c>
      <c r="AL1110" s="0" t="n">
        <v>1.13</v>
      </c>
    </row>
    <row r="1111">
      <c r="A1111" s="0" t="inlineStr">
        <is>
          <t>[명일동]</t>
        </is>
      </c>
      <c r="B1111" s="0" t="n">
        <v>9707</v>
      </c>
      <c r="C1111" s="0" t="n">
        <v>4</v>
      </c>
      <c r="D1111" s="0" t="inlineStr">
        <is>
          <t>형인허브빌</t>
        </is>
      </c>
      <c r="E1111" s="0" t="inlineStr">
        <is>
          <t>2002.11.</t>
        </is>
      </c>
      <c r="F1111" s="0" t="n">
        <v>103</v>
      </c>
      <c r="G1111" s="0" t="n">
        <v>32.06</v>
      </c>
      <c r="H1111" s="0" t="n">
        <v>106.01</v>
      </c>
      <c r="I1111" s="0" t="n">
        <v>25.63</v>
      </c>
      <c r="J1111" s="0" t="n">
        <v>84.73</v>
      </c>
      <c r="K1111" s="0" t="n">
        <v>24</v>
      </c>
      <c r="T1111" s="0" t="n">
        <v>3</v>
      </c>
      <c r="U1111" s="0" t="n">
        <v>2</v>
      </c>
      <c r="V1111" s="0" t="inlineStr">
        <is>
          <t>계단식</t>
        </is>
      </c>
      <c r="W1111" s="0" t="n">
        <v>106</v>
      </c>
      <c r="X1111" s="0" t="n">
        <v>15</v>
      </c>
      <c r="Y1111" s="0" t="n">
        <v>8</v>
      </c>
      <c r="Z1111" s="0" t="inlineStr">
        <is>
          <t>https://new.land.naver.com/complexes/9707?tab=detail&amp;rf=Y</t>
        </is>
      </c>
      <c r="AA1111" s="0" t="inlineStr">
        <is>
          <t>서울시 강동구 명일동 354</t>
        </is>
      </c>
      <c r="AB1111" s="0" t="inlineStr">
        <is>
          <t>서울시</t>
        </is>
      </c>
      <c r="AC1111" s="0" t="inlineStr">
        <is>
          <t>강동구</t>
        </is>
      </c>
      <c r="AD1111" s="0" t="inlineStr">
        <is>
          <t>명일동</t>
        </is>
      </c>
      <c r="AG1111" s="0" t="inlineStr">
        <is>
          <t>서울시 강동구 상암로49길 13</t>
        </is>
      </c>
      <c r="AH1111" s="0" t="n">
        <v>0</v>
      </c>
      <c r="AI1111" s="0" t="n">
        <v>297</v>
      </c>
      <c r="AJ1111" s="0" t="n">
        <v>28</v>
      </c>
      <c r="AK1111" s="0" t="n">
        <v>116</v>
      </c>
      <c r="AL1111" s="0" t="n">
        <v>1.13</v>
      </c>
    </row>
    <row r="1112">
      <c r="A1112" s="0" t="inlineStr">
        <is>
          <t>[명일동]</t>
        </is>
      </c>
      <c r="B1112" s="0" t="n">
        <v>9140</v>
      </c>
      <c r="C1112" s="0" t="n">
        <v>1</v>
      </c>
      <c r="D1112" s="0" t="inlineStr">
        <is>
          <t>중앙</t>
        </is>
      </c>
      <c r="E1112" s="0" t="inlineStr">
        <is>
          <t>2001.11.</t>
        </is>
      </c>
      <c r="F1112" s="0" t="n">
        <v>47</v>
      </c>
      <c r="G1112" s="0" t="n">
        <v>25.8</v>
      </c>
      <c r="H1112" s="0" t="n">
        <v>85.31999999999999</v>
      </c>
      <c r="I1112" s="0" t="n">
        <v>20.75</v>
      </c>
      <c r="J1112" s="0" t="n">
        <v>68.61</v>
      </c>
      <c r="K1112" s="0" t="n">
        <v>4</v>
      </c>
      <c r="T1112" s="0" t="n">
        <v>3</v>
      </c>
      <c r="U1112" s="0" t="n">
        <v>1</v>
      </c>
      <c r="V1112" s="0" t="inlineStr">
        <is>
          <t>계단식</t>
        </is>
      </c>
      <c r="W1112" s="0" t="n">
        <v>85</v>
      </c>
      <c r="X1112" s="0" t="n">
        <v>8</v>
      </c>
      <c r="Y1112" s="0" t="n">
        <v>8</v>
      </c>
      <c r="Z1112" s="0" t="inlineStr">
        <is>
          <t>https://new.land.naver.com/complexes/9140?tab=detail&amp;rf=Y</t>
        </is>
      </c>
      <c r="AA1112" s="0" t="inlineStr">
        <is>
          <t>서울시 강동구 명일동 326-9</t>
        </is>
      </c>
      <c r="AB1112" s="0" t="inlineStr">
        <is>
          <t>서울시</t>
        </is>
      </c>
      <c r="AC1112" s="0" t="inlineStr">
        <is>
          <t>강동구</t>
        </is>
      </c>
      <c r="AD1112" s="0" t="inlineStr">
        <is>
          <t>명일동</t>
        </is>
      </c>
      <c r="AG1112" s="0" t="inlineStr">
        <is>
          <t>서울시 강동구 상암로47길 80-16</t>
        </is>
      </c>
      <c r="AH1112" s="0" t="n">
        <v>0</v>
      </c>
      <c r="AI1112" s="0" t="n">
        <v>296</v>
      </c>
      <c r="AJ1112" s="0" t="n">
        <v>41</v>
      </c>
      <c r="AK1112" s="0" t="n">
        <v>52</v>
      </c>
      <c r="AL1112" s="0" t="n">
        <v>1.11</v>
      </c>
    </row>
    <row r="1113">
      <c r="A1113" s="0" t="inlineStr">
        <is>
          <t>[명일동]</t>
        </is>
      </c>
      <c r="B1113" s="0" t="n">
        <v>9140</v>
      </c>
      <c r="C1113" s="0" t="n">
        <v>2</v>
      </c>
      <c r="D1113" s="0" t="inlineStr">
        <is>
          <t>중앙</t>
        </is>
      </c>
      <c r="E1113" s="0" t="inlineStr">
        <is>
          <t>2001.11.</t>
        </is>
      </c>
      <c r="F1113" s="0" t="n">
        <v>47</v>
      </c>
      <c r="G1113" s="0" t="n">
        <v>26.11</v>
      </c>
      <c r="H1113" s="0" t="n">
        <v>86.33</v>
      </c>
      <c r="I1113" s="0" t="n">
        <v>20.86</v>
      </c>
      <c r="J1113" s="0" t="n">
        <v>68.98999999999999</v>
      </c>
      <c r="K1113" s="0" t="n">
        <v>1</v>
      </c>
      <c r="T1113" s="0" t="n">
        <v>3</v>
      </c>
      <c r="U1113" s="0" t="n">
        <v>1</v>
      </c>
      <c r="V1113" s="0" t="inlineStr">
        <is>
          <t>계단식</t>
        </is>
      </c>
      <c r="W1113" s="0" t="n">
        <v>86</v>
      </c>
      <c r="X1113" s="0" t="n">
        <v>8</v>
      </c>
      <c r="Y1113" s="0" t="n">
        <v>8</v>
      </c>
      <c r="Z1113" s="0" t="inlineStr">
        <is>
          <t>https://new.land.naver.com/complexes/9140?tab=detail&amp;rf=Y</t>
        </is>
      </c>
      <c r="AA1113" s="0" t="inlineStr">
        <is>
          <t>서울시 강동구 명일동 326-9</t>
        </is>
      </c>
      <c r="AB1113" s="0" t="inlineStr">
        <is>
          <t>서울시</t>
        </is>
      </c>
      <c r="AC1113" s="0" t="inlineStr">
        <is>
          <t>강동구</t>
        </is>
      </c>
      <c r="AD1113" s="0" t="inlineStr">
        <is>
          <t>명일동</t>
        </is>
      </c>
      <c r="AG1113" s="0" t="inlineStr">
        <is>
          <t>서울시 강동구 상암로47길 80-16</t>
        </is>
      </c>
      <c r="AH1113" s="0" t="n">
        <v>0</v>
      </c>
      <c r="AI1113" s="0" t="n">
        <v>296</v>
      </c>
      <c r="AJ1113" s="0" t="n">
        <v>41</v>
      </c>
      <c r="AK1113" s="0" t="n">
        <v>52</v>
      </c>
      <c r="AL1113" s="0" t="n">
        <v>1.11</v>
      </c>
    </row>
    <row r="1114">
      <c r="A1114" s="0" t="inlineStr">
        <is>
          <t>[명일동]</t>
        </is>
      </c>
      <c r="B1114" s="0" t="n">
        <v>9140</v>
      </c>
      <c r="C1114" s="0" t="n">
        <v>3</v>
      </c>
      <c r="D1114" s="0" t="inlineStr">
        <is>
          <t>중앙</t>
        </is>
      </c>
      <c r="E1114" s="0" t="inlineStr">
        <is>
          <t>2001.11.</t>
        </is>
      </c>
      <c r="F1114" s="0" t="n">
        <v>47</v>
      </c>
      <c r="G1114" s="0" t="n">
        <v>29.91</v>
      </c>
      <c r="H1114" s="0" t="n">
        <v>98.88</v>
      </c>
      <c r="I1114" s="0" t="n">
        <v>23.98</v>
      </c>
      <c r="J1114" s="0" t="n">
        <v>79.29000000000001</v>
      </c>
      <c r="K1114" s="0" t="n">
        <v>7</v>
      </c>
      <c r="T1114" s="0" t="n">
        <v>3</v>
      </c>
      <c r="U1114" s="0" t="n">
        <v>2</v>
      </c>
      <c r="V1114" s="0" t="inlineStr">
        <is>
          <t>계단식</t>
        </is>
      </c>
      <c r="W1114" s="0" t="n">
        <v>98</v>
      </c>
      <c r="X1114" s="0" t="n">
        <v>8</v>
      </c>
      <c r="Y1114" s="0" t="n">
        <v>8</v>
      </c>
      <c r="Z1114" s="0" t="inlineStr">
        <is>
          <t>https://new.land.naver.com/complexes/9140?tab=detail&amp;rf=Y</t>
        </is>
      </c>
      <c r="AA1114" s="0" t="inlineStr">
        <is>
          <t>서울시 강동구 명일동 326-9</t>
        </is>
      </c>
      <c r="AB1114" s="0" t="inlineStr">
        <is>
          <t>서울시</t>
        </is>
      </c>
      <c r="AC1114" s="0" t="inlineStr">
        <is>
          <t>강동구</t>
        </is>
      </c>
      <c r="AD1114" s="0" t="inlineStr">
        <is>
          <t>명일동</t>
        </is>
      </c>
      <c r="AG1114" s="0" t="inlineStr">
        <is>
          <t>서울시 강동구 상암로47길 80-16</t>
        </is>
      </c>
      <c r="AH1114" s="0" t="n">
        <v>0</v>
      </c>
      <c r="AI1114" s="0" t="n">
        <v>296</v>
      </c>
      <c r="AJ1114" s="0" t="n">
        <v>41</v>
      </c>
      <c r="AK1114" s="0" t="n">
        <v>52</v>
      </c>
      <c r="AL1114" s="0" t="n">
        <v>1.11</v>
      </c>
    </row>
    <row r="1115">
      <c r="A1115" s="0" t="inlineStr">
        <is>
          <t>[명일동]</t>
        </is>
      </c>
      <c r="B1115" s="0" t="n">
        <v>9140</v>
      </c>
      <c r="C1115" s="0" t="n">
        <v>4</v>
      </c>
      <c r="D1115" s="0" t="inlineStr">
        <is>
          <t>중앙</t>
        </is>
      </c>
      <c r="E1115" s="0" t="inlineStr">
        <is>
          <t>2001.11.</t>
        </is>
      </c>
      <c r="F1115" s="0" t="n">
        <v>47</v>
      </c>
      <c r="G1115" s="0" t="n">
        <v>30.95</v>
      </c>
      <c r="H1115" s="0" t="n">
        <v>102.34</v>
      </c>
      <c r="I1115" s="0" t="n">
        <v>24.96</v>
      </c>
      <c r="J1115" s="0" t="n">
        <v>82.54000000000001</v>
      </c>
      <c r="K1115" s="0" t="n">
        <v>8</v>
      </c>
      <c r="T1115" s="0" t="n">
        <v>3</v>
      </c>
      <c r="U1115" s="0" t="n">
        <v>2</v>
      </c>
      <c r="V1115" s="0" t="inlineStr">
        <is>
          <t>계단식</t>
        </is>
      </c>
      <c r="W1115" s="0" t="n">
        <v>102</v>
      </c>
      <c r="X1115" s="0" t="n">
        <v>8</v>
      </c>
      <c r="Y1115" s="0" t="n">
        <v>8</v>
      </c>
      <c r="Z1115" s="0" t="inlineStr">
        <is>
          <t>https://new.land.naver.com/complexes/9140?tab=detail&amp;rf=Y</t>
        </is>
      </c>
      <c r="AA1115" s="0" t="inlineStr">
        <is>
          <t>서울시 강동구 명일동 326-9</t>
        </is>
      </c>
      <c r="AB1115" s="0" t="inlineStr">
        <is>
          <t>서울시</t>
        </is>
      </c>
      <c r="AC1115" s="0" t="inlineStr">
        <is>
          <t>강동구</t>
        </is>
      </c>
      <c r="AD1115" s="0" t="inlineStr">
        <is>
          <t>명일동</t>
        </is>
      </c>
      <c r="AG1115" s="0" t="inlineStr">
        <is>
          <t>서울시 강동구 상암로47길 80-16</t>
        </is>
      </c>
      <c r="AH1115" s="0" t="n">
        <v>0</v>
      </c>
      <c r="AI1115" s="0" t="n">
        <v>296</v>
      </c>
      <c r="AJ1115" s="0" t="n">
        <v>41</v>
      </c>
      <c r="AK1115" s="0" t="n">
        <v>52</v>
      </c>
      <c r="AL1115" s="0" t="n">
        <v>1.11</v>
      </c>
    </row>
    <row r="1116">
      <c r="A1116" s="0" t="inlineStr">
        <is>
          <t>[명일동]</t>
        </is>
      </c>
      <c r="B1116" s="0" t="n">
        <v>9140</v>
      </c>
      <c r="C1116" s="0" t="n">
        <v>5</v>
      </c>
      <c r="D1116" s="0" t="inlineStr">
        <is>
          <t>중앙</t>
        </is>
      </c>
      <c r="E1116" s="0" t="inlineStr">
        <is>
          <t>2001.11.</t>
        </is>
      </c>
      <c r="F1116" s="0" t="n">
        <v>47</v>
      </c>
      <c r="G1116" s="0" t="n">
        <v>31.79</v>
      </c>
      <c r="H1116" s="0" t="n">
        <v>105.12</v>
      </c>
      <c r="I1116" s="0" t="n">
        <v>25.67</v>
      </c>
      <c r="J1116" s="0" t="n">
        <v>84.86</v>
      </c>
      <c r="K1116" s="0" t="n">
        <v>27</v>
      </c>
      <c r="T1116" s="0" t="n">
        <v>3</v>
      </c>
      <c r="U1116" s="0" t="n">
        <v>2</v>
      </c>
      <c r="V1116" s="0" t="inlineStr">
        <is>
          <t>계단식</t>
        </is>
      </c>
      <c r="W1116" s="0" t="n">
        <v>105</v>
      </c>
      <c r="X1116" s="0" t="n">
        <v>8</v>
      </c>
      <c r="Y1116" s="0" t="n">
        <v>8</v>
      </c>
      <c r="Z1116" s="0" t="inlineStr">
        <is>
          <t>https://new.land.naver.com/complexes/9140?tab=detail&amp;rf=Y</t>
        </is>
      </c>
      <c r="AA1116" s="0" t="inlineStr">
        <is>
          <t>서울시 강동구 명일동 326-9</t>
        </is>
      </c>
      <c r="AB1116" s="0" t="inlineStr">
        <is>
          <t>서울시</t>
        </is>
      </c>
      <c r="AC1116" s="0" t="inlineStr">
        <is>
          <t>강동구</t>
        </is>
      </c>
      <c r="AD1116" s="0" t="inlineStr">
        <is>
          <t>명일동</t>
        </is>
      </c>
      <c r="AG1116" s="0" t="inlineStr">
        <is>
          <t>서울시 강동구 상암로47길 80-16</t>
        </is>
      </c>
      <c r="AH1116" s="0" t="n">
        <v>0</v>
      </c>
      <c r="AI1116" s="0" t="n">
        <v>296</v>
      </c>
      <c r="AJ1116" s="0" t="n">
        <v>41</v>
      </c>
      <c r="AK1116" s="0" t="n">
        <v>52</v>
      </c>
      <c r="AL1116" s="0" t="n">
        <v>1.11</v>
      </c>
    </row>
    <row r="1117">
      <c r="A1117" s="0" t="inlineStr">
        <is>
          <t>[명일동]</t>
        </is>
      </c>
      <c r="B1117" s="0" t="n">
        <v>102450</v>
      </c>
      <c r="C1117" s="0" t="n">
        <v>1</v>
      </c>
      <c r="D1117" s="0" t="inlineStr">
        <is>
          <t>명일다성이즈빌</t>
        </is>
      </c>
      <c r="E1117" s="0" t="inlineStr">
        <is>
          <t>2010.11.</t>
        </is>
      </c>
      <c r="F1117" s="0" t="n">
        <v>33</v>
      </c>
      <c r="G1117" s="0" t="n">
        <v>14.75</v>
      </c>
      <c r="H1117" s="0" t="n">
        <v>48.79</v>
      </c>
      <c r="I1117" s="0" t="n">
        <v>11.85</v>
      </c>
      <c r="J1117" s="0" t="n">
        <v>39.18</v>
      </c>
      <c r="K1117" s="0" t="n">
        <v>1</v>
      </c>
      <c r="T1117" s="0" t="n">
        <v>3</v>
      </c>
      <c r="U1117" s="0" t="n">
        <v>2</v>
      </c>
      <c r="V1117" s="0" t="inlineStr">
        <is>
          <t>계단식</t>
        </is>
      </c>
      <c r="W1117" s="0" t="n">
        <v>48</v>
      </c>
      <c r="X1117" s="0" t="n">
        <v>9</v>
      </c>
      <c r="Y1117" s="0" t="n">
        <v>3</v>
      </c>
      <c r="Z1117" s="0" t="inlineStr">
        <is>
          <t>https://new.land.naver.com/complexes/102450?tab=detail&amp;rf=Y</t>
        </is>
      </c>
      <c r="AA1117" s="0" t="inlineStr">
        <is>
          <t>서울시 강동구 명일동 358</t>
        </is>
      </c>
      <c r="AB1117" s="0" t="inlineStr">
        <is>
          <t>서울시</t>
        </is>
      </c>
      <c r="AC1117" s="0" t="inlineStr">
        <is>
          <t>강동구</t>
        </is>
      </c>
      <c r="AD1117" s="0" t="inlineStr">
        <is>
          <t>명일동</t>
        </is>
      </c>
      <c r="AG1117" s="0" t="inlineStr">
        <is>
          <t>서울시 강동구 암사길 109</t>
        </is>
      </c>
      <c r="AH1117" s="0" t="n">
        <v>0</v>
      </c>
      <c r="AI1117" s="0" t="n">
        <v>201</v>
      </c>
      <c r="AJ1117" s="0" t="n">
        <v>41</v>
      </c>
      <c r="AK1117" s="0" t="n">
        <v>35</v>
      </c>
      <c r="AL1117" s="0" t="n">
        <v>1.06</v>
      </c>
    </row>
    <row r="1118">
      <c r="A1118" s="0" t="inlineStr">
        <is>
          <t>[명일동]</t>
        </is>
      </c>
      <c r="B1118" s="0" t="n">
        <v>102450</v>
      </c>
      <c r="C1118" s="0" t="n">
        <v>2</v>
      </c>
      <c r="D1118" s="0" t="inlineStr">
        <is>
          <t>명일다성이즈빌</t>
        </is>
      </c>
      <c r="E1118" s="0" t="inlineStr">
        <is>
          <t>2010.11.</t>
        </is>
      </c>
      <c r="F1118" s="0" t="n">
        <v>33</v>
      </c>
      <c r="G1118" s="0" t="n">
        <v>20.85</v>
      </c>
      <c r="H1118" s="0" t="n">
        <v>68.93000000000001</v>
      </c>
      <c r="I1118" s="0" t="n">
        <v>17.04</v>
      </c>
      <c r="J1118" s="0" t="n">
        <v>56.34</v>
      </c>
      <c r="K1118" s="0" t="n">
        <v>1</v>
      </c>
      <c r="T1118" s="0" t="n">
        <v>3</v>
      </c>
      <c r="U1118" s="0" t="n">
        <v>2</v>
      </c>
      <c r="V1118" s="0" t="inlineStr">
        <is>
          <t>계단식</t>
        </is>
      </c>
      <c r="W1118" s="0" t="n">
        <v>68</v>
      </c>
      <c r="X1118" s="0" t="n">
        <v>9</v>
      </c>
      <c r="Y1118" s="0" t="n">
        <v>3</v>
      </c>
      <c r="Z1118" s="0" t="inlineStr">
        <is>
          <t>https://new.land.naver.com/complexes/102450?tab=detail&amp;rf=Y</t>
        </is>
      </c>
      <c r="AA1118" s="0" t="inlineStr">
        <is>
          <t>서울시 강동구 명일동 358</t>
        </is>
      </c>
      <c r="AB1118" s="0" t="inlineStr">
        <is>
          <t>서울시</t>
        </is>
      </c>
      <c r="AC1118" s="0" t="inlineStr">
        <is>
          <t>강동구</t>
        </is>
      </c>
      <c r="AD1118" s="0" t="inlineStr">
        <is>
          <t>명일동</t>
        </is>
      </c>
      <c r="AG1118" s="0" t="inlineStr">
        <is>
          <t>서울시 강동구 암사길 109</t>
        </is>
      </c>
      <c r="AH1118" s="0" t="n">
        <v>0</v>
      </c>
      <c r="AI1118" s="0" t="n">
        <v>201</v>
      </c>
      <c r="AJ1118" s="0" t="n">
        <v>41</v>
      </c>
      <c r="AK1118" s="0" t="n">
        <v>35</v>
      </c>
      <c r="AL1118" s="0" t="n">
        <v>1.06</v>
      </c>
    </row>
    <row r="1119">
      <c r="A1119" s="0" t="inlineStr">
        <is>
          <t>[명일동]</t>
        </is>
      </c>
      <c r="B1119" s="0" t="n">
        <v>102450</v>
      </c>
      <c r="C1119" s="0" t="n">
        <v>3</v>
      </c>
      <c r="D1119" s="0" t="inlineStr">
        <is>
          <t>명일다성이즈빌</t>
        </is>
      </c>
      <c r="E1119" s="0" t="inlineStr">
        <is>
          <t>2010.11.</t>
        </is>
      </c>
      <c r="F1119" s="0" t="n">
        <v>33</v>
      </c>
      <c r="G1119" s="0" t="n">
        <v>21.76</v>
      </c>
      <c r="H1119" s="0" t="n">
        <v>71.94</v>
      </c>
      <c r="I1119" s="0" t="n">
        <v>17.92</v>
      </c>
      <c r="J1119" s="0" t="n">
        <v>59.27</v>
      </c>
      <c r="K1119" s="0" t="n">
        <v>1</v>
      </c>
      <c r="T1119" s="0" t="n">
        <v>3</v>
      </c>
      <c r="U1119" s="0" t="n">
        <v>2</v>
      </c>
      <c r="V1119" s="0" t="inlineStr">
        <is>
          <t>계단식</t>
        </is>
      </c>
      <c r="W1119" s="0" t="inlineStr">
        <is>
          <t>71A</t>
        </is>
      </c>
      <c r="X1119" s="0" t="n">
        <v>9</v>
      </c>
      <c r="Y1119" s="0" t="n">
        <v>3</v>
      </c>
      <c r="Z1119" s="0" t="inlineStr">
        <is>
          <t>https://new.land.naver.com/complexes/102450?tab=detail&amp;rf=Y</t>
        </is>
      </c>
      <c r="AA1119" s="0" t="inlineStr">
        <is>
          <t>서울시 강동구 명일동 358</t>
        </is>
      </c>
      <c r="AB1119" s="0" t="inlineStr">
        <is>
          <t>서울시</t>
        </is>
      </c>
      <c r="AC1119" s="0" t="inlineStr">
        <is>
          <t>강동구</t>
        </is>
      </c>
      <c r="AD1119" s="0" t="inlineStr">
        <is>
          <t>명일동</t>
        </is>
      </c>
      <c r="AG1119" s="0" t="inlineStr">
        <is>
          <t>서울시 강동구 암사길 109</t>
        </is>
      </c>
      <c r="AH1119" s="0" t="n">
        <v>0</v>
      </c>
      <c r="AI1119" s="0" t="n">
        <v>201</v>
      </c>
      <c r="AJ1119" s="0" t="n">
        <v>41</v>
      </c>
      <c r="AK1119" s="0" t="n">
        <v>35</v>
      </c>
      <c r="AL1119" s="0" t="n">
        <v>1.06</v>
      </c>
    </row>
    <row r="1120">
      <c r="A1120" s="0" t="inlineStr">
        <is>
          <t>[명일동]</t>
        </is>
      </c>
      <c r="B1120" s="0" t="n">
        <v>102450</v>
      </c>
      <c r="C1120" s="0" t="n">
        <v>4</v>
      </c>
      <c r="D1120" s="0" t="inlineStr">
        <is>
          <t>명일다성이즈빌</t>
        </is>
      </c>
      <c r="E1120" s="0" t="inlineStr">
        <is>
          <t>2010.11.</t>
        </is>
      </c>
      <c r="F1120" s="0" t="n">
        <v>33</v>
      </c>
      <c r="G1120" s="0" t="n">
        <v>22.09</v>
      </c>
      <c r="H1120" s="0" t="n">
        <v>73.03</v>
      </c>
      <c r="I1120" s="0" t="n">
        <v>18.17</v>
      </c>
      <c r="J1120" s="0" t="n">
        <v>60.08</v>
      </c>
      <c r="K1120" s="0" t="n">
        <v>1</v>
      </c>
      <c r="T1120" s="0" t="n">
        <v>3</v>
      </c>
      <c r="U1120" s="0" t="n">
        <v>2</v>
      </c>
      <c r="V1120" s="0" t="inlineStr">
        <is>
          <t>계단식</t>
        </is>
      </c>
      <c r="W1120" s="0" t="inlineStr">
        <is>
          <t>73B</t>
        </is>
      </c>
      <c r="X1120" s="0" t="n">
        <v>9</v>
      </c>
      <c r="Y1120" s="0" t="n">
        <v>3</v>
      </c>
      <c r="Z1120" s="0" t="inlineStr">
        <is>
          <t>https://new.land.naver.com/complexes/102450?tab=detail&amp;rf=Y</t>
        </is>
      </c>
      <c r="AA1120" s="0" t="inlineStr">
        <is>
          <t>서울시 강동구 명일동 358</t>
        </is>
      </c>
      <c r="AB1120" s="0" t="inlineStr">
        <is>
          <t>서울시</t>
        </is>
      </c>
      <c r="AC1120" s="0" t="inlineStr">
        <is>
          <t>강동구</t>
        </is>
      </c>
      <c r="AD1120" s="0" t="inlineStr">
        <is>
          <t>명일동</t>
        </is>
      </c>
      <c r="AG1120" s="0" t="inlineStr">
        <is>
          <t>서울시 강동구 암사길 109</t>
        </is>
      </c>
      <c r="AH1120" s="0" t="n">
        <v>0</v>
      </c>
      <c r="AI1120" s="0" t="n">
        <v>201</v>
      </c>
      <c r="AJ1120" s="0" t="n">
        <v>41</v>
      </c>
      <c r="AK1120" s="0" t="n">
        <v>35</v>
      </c>
      <c r="AL1120" s="0" t="n">
        <v>1.06</v>
      </c>
    </row>
    <row r="1121">
      <c r="A1121" s="0" t="inlineStr">
        <is>
          <t>[명일동]</t>
        </is>
      </c>
      <c r="B1121" s="0" t="n">
        <v>102450</v>
      </c>
      <c r="C1121" s="0" t="n">
        <v>5</v>
      </c>
      <c r="D1121" s="0" t="inlineStr">
        <is>
          <t>명일다성이즈빌</t>
        </is>
      </c>
      <c r="E1121" s="0" t="inlineStr">
        <is>
          <t>2010.11.</t>
        </is>
      </c>
      <c r="F1121" s="0" t="n">
        <v>33</v>
      </c>
      <c r="G1121" s="0" t="n">
        <v>22.41</v>
      </c>
      <c r="H1121" s="0" t="n">
        <v>74.11</v>
      </c>
      <c r="I1121" s="0" t="n">
        <v>18.51</v>
      </c>
      <c r="J1121" s="0" t="n">
        <v>61.21</v>
      </c>
      <c r="K1121" s="0" t="n">
        <v>2</v>
      </c>
      <c r="T1121" s="0" t="n">
        <v>3</v>
      </c>
      <c r="U1121" s="0" t="n">
        <v>2</v>
      </c>
      <c r="V1121" s="0" t="inlineStr">
        <is>
          <t>계단식</t>
        </is>
      </c>
      <c r="W1121" s="0" t="inlineStr">
        <is>
          <t>74C</t>
        </is>
      </c>
      <c r="X1121" s="0" t="n">
        <v>9</v>
      </c>
      <c r="Y1121" s="0" t="n">
        <v>3</v>
      </c>
      <c r="Z1121" s="0" t="inlineStr">
        <is>
          <t>https://new.land.naver.com/complexes/102450?tab=detail&amp;rf=Y</t>
        </is>
      </c>
      <c r="AA1121" s="0" t="inlineStr">
        <is>
          <t>서울시 강동구 명일동 358</t>
        </is>
      </c>
      <c r="AB1121" s="0" t="inlineStr">
        <is>
          <t>서울시</t>
        </is>
      </c>
      <c r="AC1121" s="0" t="inlineStr">
        <is>
          <t>강동구</t>
        </is>
      </c>
      <c r="AD1121" s="0" t="inlineStr">
        <is>
          <t>명일동</t>
        </is>
      </c>
      <c r="AG1121" s="0" t="inlineStr">
        <is>
          <t>서울시 강동구 암사길 109</t>
        </is>
      </c>
      <c r="AH1121" s="0" t="n">
        <v>0</v>
      </c>
      <c r="AI1121" s="0" t="n">
        <v>201</v>
      </c>
      <c r="AJ1121" s="0" t="n">
        <v>41</v>
      </c>
      <c r="AK1121" s="0" t="n">
        <v>35</v>
      </c>
      <c r="AL1121" s="0" t="n">
        <v>1.06</v>
      </c>
    </row>
    <row r="1122">
      <c r="A1122" s="0" t="inlineStr">
        <is>
          <t>[명일동]</t>
        </is>
      </c>
      <c r="B1122" s="0" t="n">
        <v>102450</v>
      </c>
      <c r="C1122" s="0" t="n">
        <v>6</v>
      </c>
      <c r="D1122" s="0" t="inlineStr">
        <is>
          <t>명일다성이즈빌</t>
        </is>
      </c>
      <c r="E1122" s="0" t="inlineStr">
        <is>
          <t>2010.11.</t>
        </is>
      </c>
      <c r="F1122" s="0" t="n">
        <v>33</v>
      </c>
      <c r="G1122" s="0" t="n">
        <v>22.72</v>
      </c>
      <c r="H1122" s="0" t="n">
        <v>75.12</v>
      </c>
      <c r="I1122" s="0" t="n">
        <v>18.7</v>
      </c>
      <c r="J1122" s="0" t="n">
        <v>61.83</v>
      </c>
      <c r="K1122" s="0" t="n">
        <v>1</v>
      </c>
      <c r="T1122" s="0" t="n">
        <v>3</v>
      </c>
      <c r="U1122" s="0" t="n">
        <v>2</v>
      </c>
      <c r="V1122" s="0" t="inlineStr">
        <is>
          <t>계단식</t>
        </is>
      </c>
      <c r="W1122" s="0" t="n">
        <v>75</v>
      </c>
      <c r="X1122" s="0" t="n">
        <v>9</v>
      </c>
      <c r="Y1122" s="0" t="n">
        <v>3</v>
      </c>
      <c r="Z1122" s="0" t="inlineStr">
        <is>
          <t>https://new.land.naver.com/complexes/102450?tab=detail&amp;rf=Y</t>
        </is>
      </c>
      <c r="AA1122" s="0" t="inlineStr">
        <is>
          <t>서울시 강동구 명일동 358</t>
        </is>
      </c>
      <c r="AB1122" s="0" t="inlineStr">
        <is>
          <t>서울시</t>
        </is>
      </c>
      <c r="AC1122" s="0" t="inlineStr">
        <is>
          <t>강동구</t>
        </is>
      </c>
      <c r="AD1122" s="0" t="inlineStr">
        <is>
          <t>명일동</t>
        </is>
      </c>
      <c r="AG1122" s="0" t="inlineStr">
        <is>
          <t>서울시 강동구 암사길 109</t>
        </is>
      </c>
      <c r="AH1122" s="0" t="n">
        <v>0</v>
      </c>
      <c r="AI1122" s="0" t="n">
        <v>201</v>
      </c>
      <c r="AJ1122" s="0" t="n">
        <v>41</v>
      </c>
      <c r="AK1122" s="0" t="n">
        <v>35</v>
      </c>
      <c r="AL1122" s="0" t="n">
        <v>1.06</v>
      </c>
    </row>
    <row r="1123">
      <c r="A1123" s="0" t="inlineStr">
        <is>
          <t>[명일동]</t>
        </is>
      </c>
      <c r="B1123" s="0" t="n">
        <v>102450</v>
      </c>
      <c r="C1123" s="0" t="n">
        <v>7</v>
      </c>
      <c r="D1123" s="0" t="inlineStr">
        <is>
          <t>명일다성이즈빌</t>
        </is>
      </c>
      <c r="E1123" s="0" t="inlineStr">
        <is>
          <t>2010.11.</t>
        </is>
      </c>
      <c r="F1123" s="0" t="n">
        <v>33</v>
      </c>
      <c r="G1123" s="0" t="n">
        <v>24.62</v>
      </c>
      <c r="H1123" s="0" t="n">
        <v>81.42</v>
      </c>
      <c r="I1123" s="0" t="n">
        <v>20.43</v>
      </c>
      <c r="J1123" s="0" t="n">
        <v>67.54000000000001</v>
      </c>
      <c r="K1123" s="0" t="n">
        <v>1</v>
      </c>
      <c r="T1123" s="0" t="n">
        <v>3</v>
      </c>
      <c r="U1123" s="0" t="n">
        <v>2</v>
      </c>
      <c r="V1123" s="0" t="inlineStr">
        <is>
          <t>계단식</t>
        </is>
      </c>
      <c r="W1123" s="0" t="inlineStr">
        <is>
          <t>81A</t>
        </is>
      </c>
      <c r="X1123" s="0" t="n">
        <v>9</v>
      </c>
      <c r="Y1123" s="0" t="n">
        <v>3</v>
      </c>
      <c r="Z1123" s="0" t="inlineStr">
        <is>
          <t>https://new.land.naver.com/complexes/102450?tab=detail&amp;rf=Y</t>
        </is>
      </c>
      <c r="AA1123" s="0" t="inlineStr">
        <is>
          <t>서울시 강동구 명일동 358</t>
        </is>
      </c>
      <c r="AB1123" s="0" t="inlineStr">
        <is>
          <t>서울시</t>
        </is>
      </c>
      <c r="AC1123" s="0" t="inlineStr">
        <is>
          <t>강동구</t>
        </is>
      </c>
      <c r="AD1123" s="0" t="inlineStr">
        <is>
          <t>명일동</t>
        </is>
      </c>
      <c r="AG1123" s="0" t="inlineStr">
        <is>
          <t>서울시 강동구 암사길 109</t>
        </is>
      </c>
      <c r="AH1123" s="0" t="n">
        <v>0</v>
      </c>
      <c r="AI1123" s="0" t="n">
        <v>201</v>
      </c>
      <c r="AJ1123" s="0" t="n">
        <v>41</v>
      </c>
      <c r="AK1123" s="0" t="n">
        <v>35</v>
      </c>
      <c r="AL1123" s="0" t="n">
        <v>1.06</v>
      </c>
    </row>
    <row r="1124">
      <c r="A1124" s="0" t="inlineStr">
        <is>
          <t>[명일동]</t>
        </is>
      </c>
      <c r="B1124" s="0" t="n">
        <v>102450</v>
      </c>
      <c r="C1124" s="0" t="n">
        <v>8</v>
      </c>
      <c r="D1124" s="0" t="inlineStr">
        <is>
          <t>명일다성이즈빌</t>
        </is>
      </c>
      <c r="E1124" s="0" t="inlineStr">
        <is>
          <t>2010.11.</t>
        </is>
      </c>
      <c r="F1124" s="0" t="n">
        <v>33</v>
      </c>
      <c r="G1124" s="0" t="n">
        <v>25.11</v>
      </c>
      <c r="H1124" s="0" t="n">
        <v>83.03</v>
      </c>
      <c r="I1124" s="0" t="n">
        <v>20.87</v>
      </c>
      <c r="J1124" s="0" t="n">
        <v>69.02</v>
      </c>
      <c r="K1124" s="0" t="n">
        <v>2</v>
      </c>
      <c r="T1124" s="0" t="n">
        <v>3</v>
      </c>
      <c r="U1124" s="0" t="n">
        <v>2</v>
      </c>
      <c r="V1124" s="0" t="inlineStr">
        <is>
          <t>계단식</t>
        </is>
      </c>
      <c r="W1124" s="0" t="inlineStr">
        <is>
          <t>83B</t>
        </is>
      </c>
      <c r="X1124" s="0" t="n">
        <v>9</v>
      </c>
      <c r="Y1124" s="0" t="n">
        <v>3</v>
      </c>
      <c r="Z1124" s="0" t="inlineStr">
        <is>
          <t>https://new.land.naver.com/complexes/102450?tab=detail&amp;rf=Y</t>
        </is>
      </c>
      <c r="AA1124" s="0" t="inlineStr">
        <is>
          <t>서울시 강동구 명일동 358</t>
        </is>
      </c>
      <c r="AB1124" s="0" t="inlineStr">
        <is>
          <t>서울시</t>
        </is>
      </c>
      <c r="AC1124" s="0" t="inlineStr">
        <is>
          <t>강동구</t>
        </is>
      </c>
      <c r="AD1124" s="0" t="inlineStr">
        <is>
          <t>명일동</t>
        </is>
      </c>
      <c r="AG1124" s="0" t="inlineStr">
        <is>
          <t>서울시 강동구 암사길 109</t>
        </is>
      </c>
      <c r="AH1124" s="0" t="n">
        <v>0</v>
      </c>
      <c r="AI1124" s="0" t="n">
        <v>201</v>
      </c>
      <c r="AJ1124" s="0" t="n">
        <v>41</v>
      </c>
      <c r="AK1124" s="0" t="n">
        <v>35</v>
      </c>
      <c r="AL1124" s="0" t="n">
        <v>1.06</v>
      </c>
    </row>
    <row r="1125">
      <c r="A1125" s="0" t="inlineStr">
        <is>
          <t>[명일동]</t>
        </is>
      </c>
      <c r="B1125" s="0" t="n">
        <v>102450</v>
      </c>
      <c r="C1125" s="0" t="n">
        <v>9</v>
      </c>
      <c r="D1125" s="0" t="inlineStr">
        <is>
          <t>명일다성이즈빌</t>
        </is>
      </c>
      <c r="E1125" s="0" t="inlineStr">
        <is>
          <t>2010.11.</t>
        </is>
      </c>
      <c r="F1125" s="0" t="n">
        <v>33</v>
      </c>
      <c r="G1125" s="0" t="n">
        <v>25.78</v>
      </c>
      <c r="H1125" s="0" t="n">
        <v>85.25</v>
      </c>
      <c r="I1125" s="0" t="n">
        <v>21.25</v>
      </c>
      <c r="J1125" s="0" t="n">
        <v>70.26000000000001</v>
      </c>
      <c r="K1125" s="0" t="n">
        <v>1</v>
      </c>
      <c r="T1125" s="0" t="n">
        <v>3</v>
      </c>
      <c r="U1125" s="0" t="n">
        <v>2</v>
      </c>
      <c r="V1125" s="0" t="inlineStr">
        <is>
          <t>계단식</t>
        </is>
      </c>
      <c r="W1125" s="0" t="inlineStr">
        <is>
          <t>85A</t>
        </is>
      </c>
      <c r="X1125" s="0" t="n">
        <v>9</v>
      </c>
      <c r="Y1125" s="0" t="n">
        <v>3</v>
      </c>
      <c r="Z1125" s="0" t="inlineStr">
        <is>
          <t>https://new.land.naver.com/complexes/102450?tab=detail&amp;rf=Y</t>
        </is>
      </c>
      <c r="AA1125" s="0" t="inlineStr">
        <is>
          <t>서울시 강동구 명일동 358</t>
        </is>
      </c>
      <c r="AB1125" s="0" t="inlineStr">
        <is>
          <t>서울시</t>
        </is>
      </c>
      <c r="AC1125" s="0" t="inlineStr">
        <is>
          <t>강동구</t>
        </is>
      </c>
      <c r="AD1125" s="0" t="inlineStr">
        <is>
          <t>명일동</t>
        </is>
      </c>
      <c r="AG1125" s="0" t="inlineStr">
        <is>
          <t>서울시 강동구 암사길 109</t>
        </is>
      </c>
      <c r="AH1125" s="0" t="n">
        <v>0</v>
      </c>
      <c r="AI1125" s="0" t="n">
        <v>201</v>
      </c>
      <c r="AJ1125" s="0" t="n">
        <v>41</v>
      </c>
      <c r="AK1125" s="0" t="n">
        <v>35</v>
      </c>
      <c r="AL1125" s="0" t="n">
        <v>1.06</v>
      </c>
    </row>
    <row r="1126">
      <c r="A1126" s="0" t="inlineStr">
        <is>
          <t>[명일동]</t>
        </is>
      </c>
      <c r="B1126" s="0" t="n">
        <v>102450</v>
      </c>
      <c r="C1126" s="0" t="n">
        <v>10</v>
      </c>
      <c r="D1126" s="0" t="inlineStr">
        <is>
          <t>명일다성이즈빌</t>
        </is>
      </c>
      <c r="E1126" s="0" t="inlineStr">
        <is>
          <t>2010.11.</t>
        </is>
      </c>
      <c r="F1126" s="0" t="n">
        <v>33</v>
      </c>
      <c r="G1126" s="0" t="n">
        <v>26.2</v>
      </c>
      <c r="H1126" s="0" t="n">
        <v>86.63</v>
      </c>
      <c r="I1126" s="0" t="n">
        <v>21.69</v>
      </c>
      <c r="J1126" s="0" t="n">
        <v>71.70999999999999</v>
      </c>
      <c r="K1126" s="0" t="n">
        <v>1</v>
      </c>
      <c r="T1126" s="0" t="n">
        <v>3</v>
      </c>
      <c r="U1126" s="0" t="n">
        <v>2</v>
      </c>
      <c r="V1126" s="0" t="inlineStr">
        <is>
          <t>계단식</t>
        </is>
      </c>
      <c r="W1126" s="0" t="inlineStr">
        <is>
          <t>86B</t>
        </is>
      </c>
      <c r="X1126" s="0" t="n">
        <v>9</v>
      </c>
      <c r="Y1126" s="0" t="n">
        <v>3</v>
      </c>
      <c r="Z1126" s="0" t="inlineStr">
        <is>
          <t>https://new.land.naver.com/complexes/102450?tab=detail&amp;rf=Y</t>
        </is>
      </c>
      <c r="AA1126" s="0" t="inlineStr">
        <is>
          <t>서울시 강동구 명일동 358</t>
        </is>
      </c>
      <c r="AB1126" s="0" t="inlineStr">
        <is>
          <t>서울시</t>
        </is>
      </c>
      <c r="AC1126" s="0" t="inlineStr">
        <is>
          <t>강동구</t>
        </is>
      </c>
      <c r="AD1126" s="0" t="inlineStr">
        <is>
          <t>명일동</t>
        </is>
      </c>
      <c r="AG1126" s="0" t="inlineStr">
        <is>
          <t>서울시 강동구 암사길 109</t>
        </is>
      </c>
      <c r="AH1126" s="0" t="n">
        <v>0</v>
      </c>
      <c r="AI1126" s="0" t="n">
        <v>201</v>
      </c>
      <c r="AJ1126" s="0" t="n">
        <v>41</v>
      </c>
      <c r="AK1126" s="0" t="n">
        <v>35</v>
      </c>
      <c r="AL1126" s="0" t="n">
        <v>1.06</v>
      </c>
    </row>
    <row r="1127">
      <c r="A1127" s="0" t="inlineStr">
        <is>
          <t>[명일동]</t>
        </is>
      </c>
      <c r="B1127" s="0" t="n">
        <v>102450</v>
      </c>
      <c r="C1127" s="0" t="n">
        <v>11</v>
      </c>
      <c r="D1127" s="0" t="inlineStr">
        <is>
          <t>명일다성이즈빌</t>
        </is>
      </c>
      <c r="E1127" s="0" t="inlineStr">
        <is>
          <t>2010.11.</t>
        </is>
      </c>
      <c r="F1127" s="0" t="n">
        <v>33</v>
      </c>
      <c r="G1127" s="0" t="n">
        <v>27.33</v>
      </c>
      <c r="H1127" s="0" t="n">
        <v>90.37</v>
      </c>
      <c r="I1127" s="0" t="n">
        <v>22.63</v>
      </c>
      <c r="J1127" s="0" t="n">
        <v>74.81999999999999</v>
      </c>
      <c r="K1127" s="0" t="n">
        <v>1</v>
      </c>
      <c r="T1127" s="0" t="n">
        <v>3</v>
      </c>
      <c r="U1127" s="0" t="n">
        <v>2</v>
      </c>
      <c r="V1127" s="0" t="inlineStr">
        <is>
          <t>계단식</t>
        </is>
      </c>
      <c r="W1127" s="0" t="n">
        <v>90</v>
      </c>
      <c r="X1127" s="0" t="n">
        <v>9</v>
      </c>
      <c r="Y1127" s="0" t="n">
        <v>3</v>
      </c>
      <c r="Z1127" s="0" t="inlineStr">
        <is>
          <t>https://new.land.naver.com/complexes/102450?tab=detail&amp;rf=Y</t>
        </is>
      </c>
      <c r="AA1127" s="0" t="inlineStr">
        <is>
          <t>서울시 강동구 명일동 358</t>
        </is>
      </c>
      <c r="AB1127" s="0" t="inlineStr">
        <is>
          <t>서울시</t>
        </is>
      </c>
      <c r="AC1127" s="0" t="inlineStr">
        <is>
          <t>강동구</t>
        </is>
      </c>
      <c r="AD1127" s="0" t="inlineStr">
        <is>
          <t>명일동</t>
        </is>
      </c>
      <c r="AG1127" s="0" t="inlineStr">
        <is>
          <t>서울시 강동구 암사길 109</t>
        </is>
      </c>
      <c r="AH1127" s="0" t="n">
        <v>0</v>
      </c>
      <c r="AI1127" s="0" t="n">
        <v>201</v>
      </c>
      <c r="AJ1127" s="0" t="n">
        <v>41</v>
      </c>
      <c r="AK1127" s="0" t="n">
        <v>35</v>
      </c>
      <c r="AL1127" s="0" t="n">
        <v>1.06</v>
      </c>
    </row>
    <row r="1128">
      <c r="A1128" s="0" t="inlineStr">
        <is>
          <t>[명일동]</t>
        </is>
      </c>
      <c r="B1128" s="0" t="n">
        <v>102450</v>
      </c>
      <c r="C1128" s="0" t="n">
        <v>12</v>
      </c>
      <c r="D1128" s="0" t="inlineStr">
        <is>
          <t>명일다성이즈빌</t>
        </is>
      </c>
      <c r="E1128" s="0" t="inlineStr">
        <is>
          <t>2010.11.</t>
        </is>
      </c>
      <c r="F1128" s="0" t="n">
        <v>33</v>
      </c>
      <c r="G1128" s="0" t="n">
        <v>28.95</v>
      </c>
      <c r="H1128" s="0" t="n">
        <v>95.72</v>
      </c>
      <c r="I1128" s="0" t="n">
        <v>24.09</v>
      </c>
      <c r="J1128" s="0" t="n">
        <v>79.64</v>
      </c>
      <c r="K1128" s="0" t="n">
        <v>1</v>
      </c>
      <c r="T1128" s="0" t="n">
        <v>3</v>
      </c>
      <c r="U1128" s="0" t="n">
        <v>2</v>
      </c>
      <c r="V1128" s="0" t="inlineStr">
        <is>
          <t>계단식</t>
        </is>
      </c>
      <c r="W1128" s="0" t="n">
        <v>95</v>
      </c>
      <c r="X1128" s="0" t="n">
        <v>9</v>
      </c>
      <c r="Y1128" s="0" t="n">
        <v>3</v>
      </c>
      <c r="Z1128" s="0" t="inlineStr">
        <is>
          <t>https://new.land.naver.com/complexes/102450?tab=detail&amp;rf=Y</t>
        </is>
      </c>
      <c r="AA1128" s="0" t="inlineStr">
        <is>
          <t>서울시 강동구 명일동 358</t>
        </is>
      </c>
      <c r="AB1128" s="0" t="inlineStr">
        <is>
          <t>서울시</t>
        </is>
      </c>
      <c r="AC1128" s="0" t="inlineStr">
        <is>
          <t>강동구</t>
        </is>
      </c>
      <c r="AD1128" s="0" t="inlineStr">
        <is>
          <t>명일동</t>
        </is>
      </c>
      <c r="AG1128" s="0" t="inlineStr">
        <is>
          <t>서울시 강동구 암사길 109</t>
        </is>
      </c>
      <c r="AH1128" s="0" t="n">
        <v>0</v>
      </c>
      <c r="AI1128" s="0" t="n">
        <v>201</v>
      </c>
      <c r="AJ1128" s="0" t="n">
        <v>41</v>
      </c>
      <c r="AK1128" s="0" t="n">
        <v>35</v>
      </c>
      <c r="AL1128" s="0" t="n">
        <v>1.06</v>
      </c>
    </row>
    <row r="1129">
      <c r="A1129" s="0" t="inlineStr">
        <is>
          <t>[명일동]</t>
        </is>
      </c>
      <c r="B1129" s="0" t="n">
        <v>102450</v>
      </c>
      <c r="C1129" s="0" t="n">
        <v>13</v>
      </c>
      <c r="D1129" s="0" t="inlineStr">
        <is>
          <t>명일다성이즈빌</t>
        </is>
      </c>
      <c r="E1129" s="0" t="inlineStr">
        <is>
          <t>2010.11.</t>
        </is>
      </c>
      <c r="F1129" s="0" t="n">
        <v>33</v>
      </c>
      <c r="G1129" s="0" t="n">
        <v>29.84</v>
      </c>
      <c r="H1129" s="0" t="n">
        <v>98.67</v>
      </c>
      <c r="I1129" s="0" t="n">
        <v>24.73</v>
      </c>
      <c r="J1129" s="0" t="n">
        <v>81.78</v>
      </c>
      <c r="K1129" s="0" t="n">
        <v>1</v>
      </c>
      <c r="T1129" s="0" t="n">
        <v>3</v>
      </c>
      <c r="U1129" s="0" t="n">
        <v>2</v>
      </c>
      <c r="V1129" s="0" t="inlineStr">
        <is>
          <t>계단식</t>
        </is>
      </c>
      <c r="W1129" s="0" t="inlineStr">
        <is>
          <t>98A</t>
        </is>
      </c>
      <c r="X1129" s="0" t="n">
        <v>9</v>
      </c>
      <c r="Y1129" s="0" t="n">
        <v>3</v>
      </c>
      <c r="Z1129" s="0" t="inlineStr">
        <is>
          <t>https://new.land.naver.com/complexes/102450?tab=detail&amp;rf=Y</t>
        </is>
      </c>
      <c r="AA1129" s="0" t="inlineStr">
        <is>
          <t>서울시 강동구 명일동 358</t>
        </is>
      </c>
      <c r="AB1129" s="0" t="inlineStr">
        <is>
          <t>서울시</t>
        </is>
      </c>
      <c r="AC1129" s="0" t="inlineStr">
        <is>
          <t>강동구</t>
        </is>
      </c>
      <c r="AD1129" s="0" t="inlineStr">
        <is>
          <t>명일동</t>
        </is>
      </c>
      <c r="AG1129" s="0" t="inlineStr">
        <is>
          <t>서울시 강동구 암사길 109</t>
        </is>
      </c>
      <c r="AH1129" s="0" t="n">
        <v>0</v>
      </c>
      <c r="AI1129" s="0" t="n">
        <v>201</v>
      </c>
      <c r="AJ1129" s="0" t="n">
        <v>41</v>
      </c>
      <c r="AK1129" s="0" t="n">
        <v>35</v>
      </c>
      <c r="AL1129" s="0" t="n">
        <v>1.06</v>
      </c>
    </row>
    <row r="1130">
      <c r="A1130" s="0" t="inlineStr">
        <is>
          <t>[명일동]</t>
        </is>
      </c>
      <c r="B1130" s="0" t="n">
        <v>102450</v>
      </c>
      <c r="C1130" s="0" t="n">
        <v>14</v>
      </c>
      <c r="D1130" s="0" t="inlineStr">
        <is>
          <t>명일다성이즈빌</t>
        </is>
      </c>
      <c r="E1130" s="0" t="inlineStr">
        <is>
          <t>2010.11.</t>
        </is>
      </c>
      <c r="F1130" s="0" t="n">
        <v>33</v>
      </c>
      <c r="G1130" s="0" t="n">
        <v>30.24</v>
      </c>
      <c r="H1130" s="0" t="n">
        <v>99.98</v>
      </c>
      <c r="I1130" s="0" t="n">
        <v>25.09</v>
      </c>
      <c r="J1130" s="0" t="n">
        <v>82.95</v>
      </c>
      <c r="K1130" s="0" t="n">
        <v>13</v>
      </c>
      <c r="T1130" s="0" t="n">
        <v>3</v>
      </c>
      <c r="U1130" s="0" t="n">
        <v>2</v>
      </c>
      <c r="V1130" s="0" t="inlineStr">
        <is>
          <t>계단식</t>
        </is>
      </c>
      <c r="W1130" s="0" t="inlineStr">
        <is>
          <t>99B</t>
        </is>
      </c>
      <c r="X1130" s="0" t="n">
        <v>9</v>
      </c>
      <c r="Y1130" s="0" t="n">
        <v>3</v>
      </c>
      <c r="Z1130" s="0" t="inlineStr">
        <is>
          <t>https://new.land.naver.com/complexes/102450?tab=detail&amp;rf=Y</t>
        </is>
      </c>
      <c r="AA1130" s="0" t="inlineStr">
        <is>
          <t>서울시 강동구 명일동 358</t>
        </is>
      </c>
      <c r="AB1130" s="0" t="inlineStr">
        <is>
          <t>서울시</t>
        </is>
      </c>
      <c r="AC1130" s="0" t="inlineStr">
        <is>
          <t>강동구</t>
        </is>
      </c>
      <c r="AD1130" s="0" t="inlineStr">
        <is>
          <t>명일동</t>
        </is>
      </c>
      <c r="AG1130" s="0" t="inlineStr">
        <is>
          <t>서울시 강동구 암사길 109</t>
        </is>
      </c>
      <c r="AH1130" s="0" t="n">
        <v>0</v>
      </c>
      <c r="AI1130" s="0" t="n">
        <v>201</v>
      </c>
      <c r="AJ1130" s="0" t="n">
        <v>41</v>
      </c>
      <c r="AK1130" s="0" t="n">
        <v>35</v>
      </c>
      <c r="AL1130" s="0" t="n">
        <v>1.06</v>
      </c>
    </row>
    <row r="1131">
      <c r="A1131" s="0" t="inlineStr">
        <is>
          <t>[명일동]</t>
        </is>
      </c>
      <c r="B1131" s="0" t="n">
        <v>102450</v>
      </c>
      <c r="C1131" s="0" t="n">
        <v>15</v>
      </c>
      <c r="D1131" s="0" t="inlineStr">
        <is>
          <t>명일다성이즈빌</t>
        </is>
      </c>
      <c r="E1131" s="0" t="inlineStr">
        <is>
          <t>2010.11.</t>
        </is>
      </c>
      <c r="F1131" s="0" t="n">
        <v>33</v>
      </c>
      <c r="G1131" s="0" t="n">
        <v>30.15</v>
      </c>
      <c r="H1131" s="0" t="n">
        <v>99.7</v>
      </c>
      <c r="I1131" s="0" t="n">
        <v>25.16</v>
      </c>
      <c r="J1131" s="0" t="n">
        <v>83.19</v>
      </c>
      <c r="K1131" s="0" t="n">
        <v>5</v>
      </c>
      <c r="T1131" s="0" t="n">
        <v>3</v>
      </c>
      <c r="U1131" s="0" t="n">
        <v>2</v>
      </c>
      <c r="V1131" s="0" t="inlineStr">
        <is>
          <t>계단식</t>
        </is>
      </c>
      <c r="W1131" s="0" t="inlineStr">
        <is>
          <t>99C</t>
        </is>
      </c>
      <c r="X1131" s="0" t="n">
        <v>9</v>
      </c>
      <c r="Y1131" s="0" t="n">
        <v>3</v>
      </c>
      <c r="Z1131" s="0" t="inlineStr">
        <is>
          <t>https://new.land.naver.com/complexes/102450?tab=detail&amp;rf=Y</t>
        </is>
      </c>
      <c r="AA1131" s="0" t="inlineStr">
        <is>
          <t>서울시 강동구 명일동 358</t>
        </is>
      </c>
      <c r="AB1131" s="0" t="inlineStr">
        <is>
          <t>서울시</t>
        </is>
      </c>
      <c r="AC1131" s="0" t="inlineStr">
        <is>
          <t>강동구</t>
        </is>
      </c>
      <c r="AD1131" s="0" t="inlineStr">
        <is>
          <t>명일동</t>
        </is>
      </c>
      <c r="AG1131" s="0" t="inlineStr">
        <is>
          <t>서울시 강동구 암사길 109</t>
        </is>
      </c>
      <c r="AH1131" s="0" t="n">
        <v>0</v>
      </c>
      <c r="AI1131" s="0" t="n">
        <v>201</v>
      </c>
      <c r="AJ1131" s="0" t="n">
        <v>41</v>
      </c>
      <c r="AK1131" s="0" t="n">
        <v>35</v>
      </c>
      <c r="AL1131" s="0" t="n">
        <v>1.06</v>
      </c>
    </row>
    <row r="1132">
      <c r="A1132" s="0" t="inlineStr">
        <is>
          <t>[명일동]</t>
        </is>
      </c>
      <c r="B1132" s="0" t="n">
        <v>1304</v>
      </c>
      <c r="C1132" s="0" t="n">
        <v>1</v>
      </c>
      <c r="D1132" s="0" t="inlineStr">
        <is>
          <t>삼익맨션(삼익가든)</t>
        </is>
      </c>
      <c r="E1132" s="0" t="inlineStr">
        <is>
          <t>1984.11.</t>
        </is>
      </c>
      <c r="F1132" s="0" t="n">
        <v>768</v>
      </c>
      <c r="G1132" s="0" t="n">
        <v>24.28</v>
      </c>
      <c r="H1132" s="0" t="n">
        <v>80.27</v>
      </c>
      <c r="I1132" s="0" t="n">
        <v>17.24</v>
      </c>
      <c r="J1132" s="0" t="n">
        <v>57.01</v>
      </c>
      <c r="K1132" s="0" t="n">
        <v>66</v>
      </c>
      <c r="T1132" s="0" t="n">
        <v>2</v>
      </c>
      <c r="U1132" s="0" t="n">
        <v>1</v>
      </c>
      <c r="V1132" s="0" t="inlineStr">
        <is>
          <t>계단식</t>
        </is>
      </c>
      <c r="W1132" s="0" t="n">
        <v>80</v>
      </c>
      <c r="X1132" s="0" t="n">
        <v>15</v>
      </c>
      <c r="Y1132" s="0" t="n">
        <v>10</v>
      </c>
      <c r="Z1132" s="0" t="inlineStr">
        <is>
          <t>https://new.land.naver.com/complexes/1304?tab=detail&amp;rf=Y</t>
        </is>
      </c>
      <c r="AA1132" s="0" t="inlineStr">
        <is>
          <t>서울시 강동구 명일동 270</t>
        </is>
      </c>
      <c r="AB1132" s="0" t="inlineStr">
        <is>
          <t>서울시</t>
        </is>
      </c>
      <c r="AC1132" s="0" t="inlineStr">
        <is>
          <t>강동구</t>
        </is>
      </c>
      <c r="AD1132" s="0" t="inlineStr">
        <is>
          <t>명일동</t>
        </is>
      </c>
      <c r="AG1132" s="0" t="inlineStr">
        <is>
          <t>서울시 강동구 상암로 225</t>
        </is>
      </c>
      <c r="AH1132" s="0" t="n">
        <v>0</v>
      </c>
      <c r="AI1132" s="0" t="n">
        <v>174</v>
      </c>
      <c r="AJ1132" s="0" t="n">
        <v>16</v>
      </c>
      <c r="AK1132" s="0" t="n">
        <v>654</v>
      </c>
      <c r="AL1132" s="0" t="n">
        <v>0.85</v>
      </c>
    </row>
    <row r="1133">
      <c r="A1133" s="0" t="inlineStr">
        <is>
          <t>[명일동]</t>
        </is>
      </c>
      <c r="B1133" s="0" t="n">
        <v>1304</v>
      </c>
      <c r="C1133" s="0" t="n">
        <v>2</v>
      </c>
      <c r="D1133" s="0" t="inlineStr">
        <is>
          <t>삼익맨션(삼익가든)</t>
        </is>
      </c>
      <c r="E1133" s="0" t="inlineStr">
        <is>
          <t>1984.11.</t>
        </is>
      </c>
      <c r="F1133" s="0" t="n">
        <v>768</v>
      </c>
      <c r="G1133" s="0" t="n">
        <v>28.1</v>
      </c>
      <c r="H1133" s="0" t="n">
        <v>92.90000000000001</v>
      </c>
      <c r="I1133" s="0" t="n">
        <v>20.22</v>
      </c>
      <c r="J1133" s="0" t="n">
        <v>66.87</v>
      </c>
      <c r="K1133" s="0" t="n">
        <v>220</v>
      </c>
      <c r="T1133" s="0" t="n">
        <v>3</v>
      </c>
      <c r="U1133" s="0" t="n">
        <v>1</v>
      </c>
      <c r="V1133" s="0" t="inlineStr">
        <is>
          <t>계단식</t>
        </is>
      </c>
      <c r="W1133" s="0" t="n">
        <v>92</v>
      </c>
      <c r="X1133" s="0" t="n">
        <v>15</v>
      </c>
      <c r="Y1133" s="0" t="n">
        <v>10</v>
      </c>
      <c r="Z1133" s="0" t="inlineStr">
        <is>
          <t>https://new.land.naver.com/complexes/1304?tab=detail&amp;rf=Y</t>
        </is>
      </c>
      <c r="AA1133" s="0" t="inlineStr">
        <is>
          <t>서울시 강동구 명일동 270</t>
        </is>
      </c>
      <c r="AB1133" s="0" t="inlineStr">
        <is>
          <t>서울시</t>
        </is>
      </c>
      <c r="AC1133" s="0" t="inlineStr">
        <is>
          <t>강동구</t>
        </is>
      </c>
      <c r="AD1133" s="0" t="inlineStr">
        <is>
          <t>명일동</t>
        </is>
      </c>
      <c r="AG1133" s="0" t="inlineStr">
        <is>
          <t>서울시 강동구 상암로 225</t>
        </is>
      </c>
      <c r="AH1133" s="0" t="n">
        <v>0</v>
      </c>
      <c r="AI1133" s="0" t="n">
        <v>174</v>
      </c>
      <c r="AJ1133" s="0" t="n">
        <v>16</v>
      </c>
      <c r="AK1133" s="0" t="n">
        <v>654</v>
      </c>
      <c r="AL1133" s="0" t="n">
        <v>0.85</v>
      </c>
    </row>
    <row r="1134">
      <c r="A1134" s="0" t="inlineStr">
        <is>
          <t>[명일동]</t>
        </is>
      </c>
      <c r="B1134" s="0" t="n">
        <v>1304</v>
      </c>
      <c r="C1134" s="0" t="n">
        <v>3</v>
      </c>
      <c r="D1134" s="0" t="inlineStr">
        <is>
          <t>삼익맨션(삼익가든)</t>
        </is>
      </c>
      <c r="E1134" s="0" t="inlineStr">
        <is>
          <t>1984.11.</t>
        </is>
      </c>
      <c r="F1134" s="0" t="n">
        <v>768</v>
      </c>
      <c r="G1134" s="0" t="n">
        <v>28.54</v>
      </c>
      <c r="H1134" s="0" t="n">
        <v>94.38</v>
      </c>
      <c r="I1134" s="0" t="n">
        <v>21.53</v>
      </c>
      <c r="J1134" s="0" t="n">
        <v>71.2</v>
      </c>
      <c r="K1134" s="0" t="n">
        <v>96</v>
      </c>
      <c r="T1134" s="0" t="n">
        <v>3</v>
      </c>
      <c r="U1134" s="0" t="n">
        <v>1</v>
      </c>
      <c r="V1134" s="0" t="inlineStr">
        <is>
          <t>계단식</t>
        </is>
      </c>
      <c r="W1134" s="0" t="n">
        <v>94</v>
      </c>
      <c r="X1134" s="0" t="n">
        <v>15</v>
      </c>
      <c r="Y1134" s="0" t="n">
        <v>10</v>
      </c>
      <c r="Z1134" s="0" t="inlineStr">
        <is>
          <t>https://new.land.naver.com/complexes/1304?tab=detail&amp;rf=Y</t>
        </is>
      </c>
      <c r="AA1134" s="0" t="inlineStr">
        <is>
          <t>서울시 강동구 명일동 270</t>
        </is>
      </c>
      <c r="AB1134" s="0" t="inlineStr">
        <is>
          <t>서울시</t>
        </is>
      </c>
      <c r="AC1134" s="0" t="inlineStr">
        <is>
          <t>강동구</t>
        </is>
      </c>
      <c r="AD1134" s="0" t="inlineStr">
        <is>
          <t>명일동</t>
        </is>
      </c>
      <c r="AG1134" s="0" t="inlineStr">
        <is>
          <t>서울시 강동구 상암로 225</t>
        </is>
      </c>
      <c r="AH1134" s="0" t="n">
        <v>0</v>
      </c>
      <c r="AI1134" s="0" t="n">
        <v>174</v>
      </c>
      <c r="AJ1134" s="0" t="n">
        <v>16</v>
      </c>
      <c r="AK1134" s="0" t="n">
        <v>654</v>
      </c>
      <c r="AL1134" s="0" t="n">
        <v>0.85</v>
      </c>
    </row>
    <row r="1135">
      <c r="A1135" s="0" t="inlineStr">
        <is>
          <t>[명일동]</t>
        </is>
      </c>
      <c r="B1135" s="0" t="n">
        <v>1304</v>
      </c>
      <c r="C1135" s="0" t="n">
        <v>4</v>
      </c>
      <c r="D1135" s="0" t="inlineStr">
        <is>
          <t>삼익맨션(삼익가든)</t>
        </is>
      </c>
      <c r="E1135" s="0" t="inlineStr">
        <is>
          <t>1984.11.</t>
        </is>
      </c>
      <c r="F1135" s="0" t="n">
        <v>768</v>
      </c>
      <c r="G1135" s="0" t="n">
        <v>30.45</v>
      </c>
      <c r="H1135" s="0" t="n">
        <v>100.69</v>
      </c>
      <c r="I1135" s="0" t="n">
        <v>21.94</v>
      </c>
      <c r="J1135" s="0" t="n">
        <v>72.55</v>
      </c>
      <c r="K1135" s="0" t="n">
        <v>60</v>
      </c>
      <c r="T1135" s="0" t="n">
        <v>3</v>
      </c>
      <c r="U1135" s="0" t="n">
        <v>1</v>
      </c>
      <c r="V1135" s="0" t="inlineStr">
        <is>
          <t>복도식</t>
        </is>
      </c>
      <c r="W1135" s="0" t="n">
        <v>100</v>
      </c>
      <c r="X1135" s="0" t="n">
        <v>15</v>
      </c>
      <c r="Y1135" s="0" t="n">
        <v>10</v>
      </c>
      <c r="Z1135" s="0" t="inlineStr">
        <is>
          <t>https://new.land.naver.com/complexes/1304?tab=detail&amp;rf=Y</t>
        </is>
      </c>
      <c r="AA1135" s="0" t="inlineStr">
        <is>
          <t>서울시 강동구 명일동 270</t>
        </is>
      </c>
      <c r="AB1135" s="0" t="inlineStr">
        <is>
          <t>서울시</t>
        </is>
      </c>
      <c r="AC1135" s="0" t="inlineStr">
        <is>
          <t>강동구</t>
        </is>
      </c>
      <c r="AD1135" s="0" t="inlineStr">
        <is>
          <t>명일동</t>
        </is>
      </c>
      <c r="AG1135" s="0" t="inlineStr">
        <is>
          <t>서울시 강동구 상암로 225</t>
        </is>
      </c>
      <c r="AH1135" s="0" t="n">
        <v>0</v>
      </c>
      <c r="AI1135" s="0" t="n">
        <v>174</v>
      </c>
      <c r="AJ1135" s="0" t="n">
        <v>16</v>
      </c>
      <c r="AK1135" s="0" t="n">
        <v>654</v>
      </c>
      <c r="AL1135" s="0" t="n">
        <v>0.85</v>
      </c>
    </row>
    <row r="1136">
      <c r="A1136" s="0" t="inlineStr">
        <is>
          <t>[명일동]</t>
        </is>
      </c>
      <c r="B1136" s="0" t="n">
        <v>1304</v>
      </c>
      <c r="C1136" s="0" t="n">
        <v>5</v>
      </c>
      <c r="D1136" s="0" t="inlineStr">
        <is>
          <t>삼익맨션(삼익가든)</t>
        </is>
      </c>
      <c r="E1136" s="0" t="inlineStr">
        <is>
          <t>1984.11.</t>
        </is>
      </c>
      <c r="F1136" s="0" t="n">
        <v>768</v>
      </c>
      <c r="G1136" s="0" t="n">
        <v>34</v>
      </c>
      <c r="H1136" s="0" t="n">
        <v>112.4</v>
      </c>
      <c r="I1136" s="0" t="n">
        <v>24.94</v>
      </c>
      <c r="J1136" s="0" t="n">
        <v>82.45</v>
      </c>
      <c r="K1136" s="0" t="n">
        <v>140</v>
      </c>
      <c r="T1136" s="0" t="n">
        <v>4</v>
      </c>
      <c r="U1136" s="0" t="n">
        <v>1</v>
      </c>
      <c r="V1136" s="0" t="inlineStr">
        <is>
          <t>복도식</t>
        </is>
      </c>
      <c r="W1136" s="0" t="n">
        <v>112</v>
      </c>
      <c r="X1136" s="0" t="n">
        <v>15</v>
      </c>
      <c r="Y1136" s="0" t="n">
        <v>10</v>
      </c>
      <c r="Z1136" s="0" t="inlineStr">
        <is>
          <t>https://new.land.naver.com/complexes/1304?tab=detail&amp;rf=Y</t>
        </is>
      </c>
      <c r="AA1136" s="0" t="inlineStr">
        <is>
          <t>서울시 강동구 명일동 270</t>
        </is>
      </c>
      <c r="AB1136" s="0" t="inlineStr">
        <is>
          <t>서울시</t>
        </is>
      </c>
      <c r="AC1136" s="0" t="inlineStr">
        <is>
          <t>강동구</t>
        </is>
      </c>
      <c r="AD1136" s="0" t="inlineStr">
        <is>
          <t>명일동</t>
        </is>
      </c>
      <c r="AG1136" s="0" t="inlineStr">
        <is>
          <t>서울시 강동구 상암로 225</t>
        </is>
      </c>
      <c r="AH1136" s="0" t="n">
        <v>0</v>
      </c>
      <c r="AI1136" s="0" t="n">
        <v>174</v>
      </c>
      <c r="AJ1136" s="0" t="n">
        <v>16</v>
      </c>
      <c r="AK1136" s="0" t="n">
        <v>654</v>
      </c>
      <c r="AL1136" s="0" t="n">
        <v>0.85</v>
      </c>
    </row>
    <row r="1137">
      <c r="A1137" s="0" t="inlineStr">
        <is>
          <t>[명일동]</t>
        </is>
      </c>
      <c r="B1137" s="0" t="n">
        <v>1304</v>
      </c>
      <c r="C1137" s="0" t="n">
        <v>6</v>
      </c>
      <c r="D1137" s="0" t="inlineStr">
        <is>
          <t>삼익맨션(삼익가든)</t>
        </is>
      </c>
      <c r="E1137" s="0" t="inlineStr">
        <is>
          <t>1984.11.</t>
        </is>
      </c>
      <c r="F1137" s="0" t="n">
        <v>768</v>
      </c>
      <c r="G1137" s="0" t="n">
        <v>38.64</v>
      </c>
      <c r="H1137" s="0" t="n">
        <v>127.76</v>
      </c>
      <c r="I1137" s="0" t="n">
        <v>32.26</v>
      </c>
      <c r="J1137" s="0" t="n">
        <v>106.65</v>
      </c>
      <c r="K1137" s="0" t="n">
        <v>66</v>
      </c>
      <c r="T1137" s="0" t="n">
        <v>4</v>
      </c>
      <c r="U1137" s="0" t="n">
        <v>2</v>
      </c>
      <c r="V1137" s="0" t="inlineStr">
        <is>
          <t>계단식</t>
        </is>
      </c>
      <c r="W1137" s="0" t="n">
        <v>127</v>
      </c>
      <c r="X1137" s="0" t="n">
        <v>15</v>
      </c>
      <c r="Y1137" s="0" t="n">
        <v>10</v>
      </c>
      <c r="Z1137" s="0" t="inlineStr">
        <is>
          <t>https://new.land.naver.com/complexes/1304?tab=detail&amp;rf=Y</t>
        </is>
      </c>
      <c r="AA1137" s="0" t="inlineStr">
        <is>
          <t>서울시 강동구 명일동 270</t>
        </is>
      </c>
      <c r="AB1137" s="0" t="inlineStr">
        <is>
          <t>서울시</t>
        </is>
      </c>
      <c r="AC1137" s="0" t="inlineStr">
        <is>
          <t>강동구</t>
        </is>
      </c>
      <c r="AD1137" s="0" t="inlineStr">
        <is>
          <t>명일동</t>
        </is>
      </c>
      <c r="AG1137" s="0" t="inlineStr">
        <is>
          <t>서울시 강동구 상암로 225</t>
        </is>
      </c>
      <c r="AH1137" s="0" t="n">
        <v>0</v>
      </c>
      <c r="AI1137" s="0" t="n">
        <v>174</v>
      </c>
      <c r="AJ1137" s="0" t="n">
        <v>16</v>
      </c>
      <c r="AK1137" s="0" t="n">
        <v>654</v>
      </c>
      <c r="AL1137" s="0" t="n">
        <v>0.85</v>
      </c>
    </row>
    <row r="1138">
      <c r="A1138" s="0" t="inlineStr">
        <is>
          <t>[명일동]</t>
        </is>
      </c>
      <c r="B1138" s="0" t="n">
        <v>1304</v>
      </c>
      <c r="C1138" s="0" t="n">
        <v>7</v>
      </c>
      <c r="D1138" s="0" t="inlineStr">
        <is>
          <t>삼익맨션(삼익가든)</t>
        </is>
      </c>
      <c r="E1138" s="0" t="inlineStr">
        <is>
          <t>1984.11.</t>
        </is>
      </c>
      <c r="F1138" s="0" t="n">
        <v>768</v>
      </c>
      <c r="G1138" s="0" t="n">
        <v>42.99</v>
      </c>
      <c r="H1138" s="0" t="n">
        <v>142.13</v>
      </c>
      <c r="I1138" s="0" t="n">
        <v>35.62</v>
      </c>
      <c r="J1138" s="0" t="n">
        <v>117.76</v>
      </c>
      <c r="K1138" s="0" t="n">
        <v>60</v>
      </c>
      <c r="T1138" s="0" t="n">
        <v>4</v>
      </c>
      <c r="U1138" s="0" t="n">
        <v>2</v>
      </c>
      <c r="V1138" s="0" t="inlineStr">
        <is>
          <t>복도식</t>
        </is>
      </c>
      <c r="W1138" s="0" t="n">
        <v>142</v>
      </c>
      <c r="X1138" s="0" t="n">
        <v>15</v>
      </c>
      <c r="Y1138" s="0" t="n">
        <v>10</v>
      </c>
      <c r="Z1138" s="0" t="inlineStr">
        <is>
          <t>https://new.land.naver.com/complexes/1304?tab=detail&amp;rf=Y</t>
        </is>
      </c>
      <c r="AA1138" s="0" t="inlineStr">
        <is>
          <t>서울시 강동구 명일동 270</t>
        </is>
      </c>
      <c r="AB1138" s="0" t="inlineStr">
        <is>
          <t>서울시</t>
        </is>
      </c>
      <c r="AC1138" s="0" t="inlineStr">
        <is>
          <t>강동구</t>
        </is>
      </c>
      <c r="AD1138" s="0" t="inlineStr">
        <is>
          <t>명일동</t>
        </is>
      </c>
      <c r="AG1138" s="0" t="inlineStr">
        <is>
          <t>서울시 강동구 상암로 225</t>
        </is>
      </c>
      <c r="AH1138" s="0" t="n">
        <v>0</v>
      </c>
      <c r="AI1138" s="0" t="n">
        <v>174</v>
      </c>
      <c r="AJ1138" s="0" t="n">
        <v>16</v>
      </c>
      <c r="AK1138" s="0" t="n">
        <v>654</v>
      </c>
      <c r="AL1138" s="0" t="n">
        <v>0.85</v>
      </c>
    </row>
    <row r="1139">
      <c r="A1139" s="0" t="inlineStr">
        <is>
          <t>[명일동]</t>
        </is>
      </c>
      <c r="B1139" s="0" t="n">
        <v>1304</v>
      </c>
      <c r="C1139" s="0" t="n">
        <v>8</v>
      </c>
      <c r="D1139" s="0" t="inlineStr">
        <is>
          <t>삼익맨션(삼익가든)</t>
        </is>
      </c>
      <c r="E1139" s="0" t="inlineStr">
        <is>
          <t>1984.11.</t>
        </is>
      </c>
      <c r="F1139" s="0" t="n">
        <v>768</v>
      </c>
      <c r="G1139" s="0" t="n">
        <v>53.35</v>
      </c>
      <c r="H1139" s="0" t="n">
        <v>176.38</v>
      </c>
      <c r="I1139" s="0" t="n">
        <v>44.32</v>
      </c>
      <c r="J1139" s="0" t="n">
        <v>146.54</v>
      </c>
      <c r="K1139" s="0" t="n">
        <v>60</v>
      </c>
      <c r="T1139" s="0" t="n">
        <v>5</v>
      </c>
      <c r="U1139" s="0" t="n">
        <v>2</v>
      </c>
      <c r="V1139" s="0" t="inlineStr">
        <is>
          <t>복도식</t>
        </is>
      </c>
      <c r="W1139" s="0" t="n">
        <v>176</v>
      </c>
      <c r="X1139" s="0" t="n">
        <v>15</v>
      </c>
      <c r="Y1139" s="0" t="n">
        <v>10</v>
      </c>
      <c r="Z1139" s="0" t="inlineStr">
        <is>
          <t>https://new.land.naver.com/complexes/1304?tab=detail&amp;rf=Y</t>
        </is>
      </c>
      <c r="AA1139" s="0" t="inlineStr">
        <is>
          <t>서울시 강동구 명일동 270</t>
        </is>
      </c>
      <c r="AB1139" s="0" t="inlineStr">
        <is>
          <t>서울시</t>
        </is>
      </c>
      <c r="AC1139" s="0" t="inlineStr">
        <is>
          <t>강동구</t>
        </is>
      </c>
      <c r="AD1139" s="0" t="inlineStr">
        <is>
          <t>명일동</t>
        </is>
      </c>
      <c r="AG1139" s="0" t="inlineStr">
        <is>
          <t>서울시 강동구 상암로 225</t>
        </is>
      </c>
      <c r="AH1139" s="0" t="n">
        <v>0</v>
      </c>
      <c r="AI1139" s="0" t="n">
        <v>174</v>
      </c>
      <c r="AJ1139" s="0" t="n">
        <v>16</v>
      </c>
      <c r="AK1139" s="0" t="n">
        <v>654</v>
      </c>
      <c r="AL1139" s="0" t="n">
        <v>0.85</v>
      </c>
    </row>
    <row r="1140">
      <c r="A1140" s="0" t="inlineStr">
        <is>
          <t>[명일동]</t>
        </is>
      </c>
      <c r="B1140" s="0" t="n">
        <v>103276</v>
      </c>
      <c r="C1140" s="0" t="n">
        <v>1</v>
      </c>
      <c r="D1140" s="0" t="inlineStr">
        <is>
          <t>한강훼미리</t>
        </is>
      </c>
      <c r="E1140" s="0" t="inlineStr">
        <is>
          <t>2004.07.</t>
        </is>
      </c>
      <c r="F1140" s="0" t="n">
        <v>18</v>
      </c>
      <c r="G1140" s="0" t="n">
        <v>28.3</v>
      </c>
      <c r="H1140" s="0" t="n">
        <v>93.56</v>
      </c>
      <c r="I1140" s="0" t="n">
        <v>25.64</v>
      </c>
      <c r="J1140" s="0" t="n">
        <v>84.78</v>
      </c>
      <c r="K1140" s="0" t="n">
        <v>12</v>
      </c>
      <c r="T1140" s="0" t="n">
        <v>3</v>
      </c>
      <c r="U1140" s="0" t="n">
        <v>2</v>
      </c>
      <c r="V1140" s="0" t="inlineStr">
        <is>
          <t>계단식</t>
        </is>
      </c>
      <c r="W1140" s="0" t="inlineStr">
        <is>
          <t>93A</t>
        </is>
      </c>
      <c r="X1140" s="0" t="n">
        <v>7</v>
      </c>
      <c r="Y1140" s="0" t="n">
        <v>7</v>
      </c>
      <c r="Z1140" s="0" t="inlineStr">
        <is>
          <t>https://new.land.naver.com/complexes/103276?tab=detail&amp;rf=Y</t>
        </is>
      </c>
      <c r="AA1140" s="0" t="inlineStr">
        <is>
          <t>서울시 강동구 명일동 344-16</t>
        </is>
      </c>
      <c r="AB1140" s="0" t="inlineStr">
        <is>
          <t>서울시</t>
        </is>
      </c>
      <c r="AC1140" s="0" t="inlineStr">
        <is>
          <t>강동구</t>
        </is>
      </c>
      <c r="AD1140" s="0" t="inlineStr">
        <is>
          <t>명일동</t>
        </is>
      </c>
      <c r="AG1140" s="0" t="inlineStr">
        <is>
          <t>서울시 강동구 상암로 199</t>
        </is>
      </c>
      <c r="AH1140" s="0" t="n">
        <v>0</v>
      </c>
      <c r="AI1140" s="0" t="n">
        <v>296</v>
      </c>
      <c r="AJ1140" s="0" t="n">
        <v>59</v>
      </c>
      <c r="AK1140" s="0" t="n">
        <v>24</v>
      </c>
      <c r="AL1140" s="0" t="n">
        <v>1.33</v>
      </c>
    </row>
    <row r="1141">
      <c r="A1141" s="0" t="inlineStr">
        <is>
          <t>[명일동]</t>
        </is>
      </c>
      <c r="B1141" s="0" t="n">
        <v>103276</v>
      </c>
      <c r="C1141" s="0" t="n">
        <v>2</v>
      </c>
      <c r="D1141" s="0" t="inlineStr">
        <is>
          <t>한강훼미리</t>
        </is>
      </c>
      <c r="E1141" s="0" t="inlineStr">
        <is>
          <t>2004.07.</t>
        </is>
      </c>
      <c r="F1141" s="0" t="n">
        <v>18</v>
      </c>
      <c r="G1141" s="0" t="n">
        <v>28.32</v>
      </c>
      <c r="H1141" s="0" t="n">
        <v>93.64</v>
      </c>
      <c r="I1141" s="0" t="n">
        <v>25.67</v>
      </c>
      <c r="J1141" s="0" t="n">
        <v>84.86</v>
      </c>
      <c r="K1141" s="0" t="n">
        <v>5</v>
      </c>
      <c r="T1141" s="0" t="n">
        <v>3</v>
      </c>
      <c r="U1141" s="0" t="n">
        <v>2</v>
      </c>
      <c r="V1141" s="0" t="inlineStr">
        <is>
          <t>계단식</t>
        </is>
      </c>
      <c r="W1141" s="0" t="inlineStr">
        <is>
          <t>93B</t>
        </is>
      </c>
      <c r="X1141" s="0" t="n">
        <v>7</v>
      </c>
      <c r="Y1141" s="0" t="n">
        <v>7</v>
      </c>
      <c r="Z1141" s="0" t="inlineStr">
        <is>
          <t>https://new.land.naver.com/complexes/103276?tab=detail&amp;rf=Y</t>
        </is>
      </c>
      <c r="AA1141" s="0" t="inlineStr">
        <is>
          <t>서울시 강동구 명일동 344-16</t>
        </is>
      </c>
      <c r="AB1141" s="0" t="inlineStr">
        <is>
          <t>서울시</t>
        </is>
      </c>
      <c r="AC1141" s="0" t="inlineStr">
        <is>
          <t>강동구</t>
        </is>
      </c>
      <c r="AD1141" s="0" t="inlineStr">
        <is>
          <t>명일동</t>
        </is>
      </c>
      <c r="AG1141" s="0" t="inlineStr">
        <is>
          <t>서울시 강동구 상암로 199</t>
        </is>
      </c>
      <c r="AH1141" s="0" t="n">
        <v>0</v>
      </c>
      <c r="AI1141" s="0" t="n">
        <v>296</v>
      </c>
      <c r="AJ1141" s="0" t="n">
        <v>59</v>
      </c>
      <c r="AK1141" s="0" t="n">
        <v>24</v>
      </c>
      <c r="AL1141" s="0" t="n">
        <v>1.33</v>
      </c>
    </row>
    <row r="1142">
      <c r="A1142" s="0" t="inlineStr">
        <is>
          <t>[명일동]</t>
        </is>
      </c>
      <c r="B1142" s="0" t="n">
        <v>103276</v>
      </c>
      <c r="C1142" s="0" t="n">
        <v>3</v>
      </c>
      <c r="D1142" s="0" t="inlineStr">
        <is>
          <t>한강훼미리</t>
        </is>
      </c>
      <c r="E1142" s="0" t="inlineStr">
        <is>
          <t>2004.07.</t>
        </is>
      </c>
      <c r="F1142" s="0" t="n">
        <v>18</v>
      </c>
      <c r="G1142" s="0" t="n">
        <v>28.33</v>
      </c>
      <c r="H1142" s="0" t="n">
        <v>93.67</v>
      </c>
      <c r="I1142" s="0" t="n">
        <v>25.67</v>
      </c>
      <c r="J1142" s="0" t="n">
        <v>84.89</v>
      </c>
      <c r="K1142" s="0" t="n">
        <v>1</v>
      </c>
      <c r="T1142" s="0" t="n">
        <v>3</v>
      </c>
      <c r="U1142" s="0" t="n">
        <v>2</v>
      </c>
      <c r="V1142" s="0" t="inlineStr">
        <is>
          <t>계단식</t>
        </is>
      </c>
      <c r="W1142" s="0" t="inlineStr">
        <is>
          <t>93C</t>
        </is>
      </c>
      <c r="X1142" s="0" t="n">
        <v>7</v>
      </c>
      <c r="Y1142" s="0" t="n">
        <v>7</v>
      </c>
      <c r="Z1142" s="0" t="inlineStr">
        <is>
          <t>https://new.land.naver.com/complexes/103276?tab=detail&amp;rf=Y</t>
        </is>
      </c>
      <c r="AA1142" s="0" t="inlineStr">
        <is>
          <t>서울시 강동구 명일동 344-16</t>
        </is>
      </c>
      <c r="AB1142" s="0" t="inlineStr">
        <is>
          <t>서울시</t>
        </is>
      </c>
      <c r="AC1142" s="0" t="inlineStr">
        <is>
          <t>강동구</t>
        </is>
      </c>
      <c r="AD1142" s="0" t="inlineStr">
        <is>
          <t>명일동</t>
        </is>
      </c>
      <c r="AG1142" s="0" t="inlineStr">
        <is>
          <t>서울시 강동구 상암로 199</t>
        </is>
      </c>
      <c r="AH1142" s="0" t="n">
        <v>0</v>
      </c>
      <c r="AI1142" s="0" t="n">
        <v>296</v>
      </c>
      <c r="AJ1142" s="0" t="n">
        <v>59</v>
      </c>
      <c r="AK1142" s="0" t="n">
        <v>24</v>
      </c>
      <c r="AL1142" s="0" t="n">
        <v>1.33</v>
      </c>
    </row>
    <row r="1143">
      <c r="A1143" s="0" t="inlineStr">
        <is>
          <t>[명일동]</t>
        </is>
      </c>
      <c r="B1143" s="0" t="n">
        <v>103458</v>
      </c>
      <c r="C1143" s="0" t="n">
        <v>1</v>
      </c>
      <c r="D1143" s="0" t="inlineStr">
        <is>
          <t>해밀</t>
        </is>
      </c>
      <c r="E1143" s="0" t="inlineStr">
        <is>
          <t>2007.04.</t>
        </is>
      </c>
      <c r="F1143" s="0" t="n">
        <v>19</v>
      </c>
      <c r="G1143" s="0" t="n">
        <v>12.92</v>
      </c>
      <c r="H1143" s="0" t="n">
        <v>42.74</v>
      </c>
      <c r="I1143" s="0" t="n">
        <v>11.19</v>
      </c>
      <c r="J1143" s="0" t="n">
        <v>37.01</v>
      </c>
      <c r="K1143" s="0" t="n">
        <v>1</v>
      </c>
      <c r="T1143" s="0" t="n">
        <v>2</v>
      </c>
      <c r="U1143" s="0" t="n">
        <v>1</v>
      </c>
      <c r="V1143" s="0" t="inlineStr">
        <is>
          <t>계단식</t>
        </is>
      </c>
      <c r="W1143" s="0" t="n">
        <v>42</v>
      </c>
      <c r="X1143" s="0" t="n">
        <v>7</v>
      </c>
      <c r="Y1143" s="0" t="n">
        <v>6</v>
      </c>
      <c r="Z1143" s="0" t="inlineStr">
        <is>
          <t>https://new.land.naver.com/complexes/103458?tab=detail&amp;rf=Y</t>
        </is>
      </c>
      <c r="AA1143" s="0" t="inlineStr">
        <is>
          <t>서울시 강동구 명일동 335-7</t>
        </is>
      </c>
      <c r="AB1143" s="0" t="inlineStr">
        <is>
          <t>서울시</t>
        </is>
      </c>
      <c r="AC1143" s="0" t="inlineStr">
        <is>
          <t>강동구</t>
        </is>
      </c>
      <c r="AD1143" s="0" t="inlineStr">
        <is>
          <t>명일동</t>
        </is>
      </c>
      <c r="AG1143" s="0" t="inlineStr">
        <is>
          <t>서울시 강동구 상암로47길 33</t>
        </is>
      </c>
      <c r="AH1143" s="0" t="n">
        <v>0</v>
      </c>
      <c r="AI1143" s="0" t="n">
        <v>247</v>
      </c>
      <c r="AJ1143" s="0" t="n">
        <v>45</v>
      </c>
      <c r="AK1143" s="0" t="n">
        <v>19</v>
      </c>
      <c r="AL1143" s="0" t="n">
        <v>1</v>
      </c>
    </row>
    <row r="1144">
      <c r="A1144" s="0" t="inlineStr">
        <is>
          <t>[명일동]</t>
        </is>
      </c>
      <c r="B1144" s="0" t="n">
        <v>103458</v>
      </c>
      <c r="C1144" s="0" t="n">
        <v>2</v>
      </c>
      <c r="D1144" s="0" t="inlineStr">
        <is>
          <t>해밀</t>
        </is>
      </c>
      <c r="E1144" s="0" t="inlineStr">
        <is>
          <t>2007.04.</t>
        </is>
      </c>
      <c r="F1144" s="0" t="n">
        <v>19</v>
      </c>
      <c r="G1144" s="0" t="n">
        <v>17.59</v>
      </c>
      <c r="H1144" s="0" t="n">
        <v>58.18</v>
      </c>
      <c r="I1144" s="0" t="n">
        <v>15.23</v>
      </c>
      <c r="J1144" s="0" t="n">
        <v>50.37</v>
      </c>
      <c r="K1144" s="0" t="n">
        <v>1</v>
      </c>
      <c r="T1144" s="0" t="n">
        <v>2</v>
      </c>
      <c r="U1144" s="0" t="n">
        <v>1</v>
      </c>
      <c r="V1144" s="0" t="inlineStr">
        <is>
          <t>계단식</t>
        </is>
      </c>
      <c r="W1144" s="0" t="n">
        <v>58</v>
      </c>
      <c r="X1144" s="0" t="n">
        <v>7</v>
      </c>
      <c r="Y1144" s="0" t="n">
        <v>6</v>
      </c>
      <c r="Z1144" s="0" t="inlineStr">
        <is>
          <t>https://new.land.naver.com/complexes/103458?tab=detail&amp;rf=Y</t>
        </is>
      </c>
      <c r="AA1144" s="0" t="inlineStr">
        <is>
          <t>서울시 강동구 명일동 335-7</t>
        </is>
      </c>
      <c r="AB1144" s="0" t="inlineStr">
        <is>
          <t>서울시</t>
        </is>
      </c>
      <c r="AC1144" s="0" t="inlineStr">
        <is>
          <t>강동구</t>
        </is>
      </c>
      <c r="AD1144" s="0" t="inlineStr">
        <is>
          <t>명일동</t>
        </is>
      </c>
      <c r="AG1144" s="0" t="inlineStr">
        <is>
          <t>서울시 강동구 상암로47길 33</t>
        </is>
      </c>
      <c r="AH1144" s="0" t="n">
        <v>0</v>
      </c>
      <c r="AI1144" s="0" t="n">
        <v>247</v>
      </c>
      <c r="AJ1144" s="0" t="n">
        <v>45</v>
      </c>
      <c r="AK1144" s="0" t="n">
        <v>19</v>
      </c>
      <c r="AL1144" s="0" t="n">
        <v>1</v>
      </c>
    </row>
    <row r="1145">
      <c r="A1145" s="0" t="inlineStr">
        <is>
          <t>[명일동]</t>
        </is>
      </c>
      <c r="B1145" s="0" t="n">
        <v>103458</v>
      </c>
      <c r="C1145" s="0" t="n">
        <v>3</v>
      </c>
      <c r="D1145" s="0" t="inlineStr">
        <is>
          <t>해밀</t>
        </is>
      </c>
      <c r="E1145" s="0" t="inlineStr">
        <is>
          <t>2007.04.</t>
        </is>
      </c>
      <c r="F1145" s="0" t="n">
        <v>19</v>
      </c>
      <c r="G1145" s="0" t="n">
        <v>19.49</v>
      </c>
      <c r="H1145" s="0" t="n">
        <v>64.44</v>
      </c>
      <c r="I1145" s="0" t="n">
        <v>16.87</v>
      </c>
      <c r="J1145" s="0" t="n">
        <v>55.8</v>
      </c>
      <c r="K1145" s="0" t="n">
        <v>1</v>
      </c>
      <c r="T1145" s="0" t="n">
        <v>2</v>
      </c>
      <c r="U1145" s="0" t="n">
        <v>1</v>
      </c>
      <c r="V1145" s="0" t="inlineStr">
        <is>
          <t>계단식</t>
        </is>
      </c>
      <c r="W1145" s="0" t="n">
        <v>64</v>
      </c>
      <c r="X1145" s="0" t="n">
        <v>7</v>
      </c>
      <c r="Y1145" s="0" t="n">
        <v>6</v>
      </c>
      <c r="Z1145" s="0" t="inlineStr">
        <is>
          <t>https://new.land.naver.com/complexes/103458?tab=detail&amp;rf=Y</t>
        </is>
      </c>
      <c r="AA1145" s="0" t="inlineStr">
        <is>
          <t>서울시 강동구 명일동 335-7</t>
        </is>
      </c>
      <c r="AB1145" s="0" t="inlineStr">
        <is>
          <t>서울시</t>
        </is>
      </c>
      <c r="AC1145" s="0" t="inlineStr">
        <is>
          <t>강동구</t>
        </is>
      </c>
      <c r="AD1145" s="0" t="inlineStr">
        <is>
          <t>명일동</t>
        </is>
      </c>
      <c r="AG1145" s="0" t="inlineStr">
        <is>
          <t>서울시 강동구 상암로47길 33</t>
        </is>
      </c>
      <c r="AH1145" s="0" t="n">
        <v>0</v>
      </c>
      <c r="AI1145" s="0" t="n">
        <v>247</v>
      </c>
      <c r="AJ1145" s="0" t="n">
        <v>45</v>
      </c>
      <c r="AK1145" s="0" t="n">
        <v>19</v>
      </c>
      <c r="AL1145" s="0" t="n">
        <v>1</v>
      </c>
    </row>
    <row r="1146">
      <c r="A1146" s="0" t="inlineStr">
        <is>
          <t>[명일동]</t>
        </is>
      </c>
      <c r="B1146" s="0" t="n">
        <v>103458</v>
      </c>
      <c r="C1146" s="0" t="n">
        <v>4</v>
      </c>
      <c r="D1146" s="0" t="inlineStr">
        <is>
          <t>해밀</t>
        </is>
      </c>
      <c r="E1146" s="0" t="inlineStr">
        <is>
          <t>2007.04.</t>
        </is>
      </c>
      <c r="F1146" s="0" t="n">
        <v>19</v>
      </c>
      <c r="G1146" s="0" t="n">
        <v>21.02</v>
      </c>
      <c r="H1146" s="0" t="n">
        <v>69.5</v>
      </c>
      <c r="I1146" s="0" t="n">
        <v>18.2</v>
      </c>
      <c r="J1146" s="0" t="n">
        <v>60.18</v>
      </c>
      <c r="K1146" s="0" t="n">
        <v>1</v>
      </c>
      <c r="T1146" s="0" t="n">
        <v>3</v>
      </c>
      <c r="U1146" s="0" t="n">
        <v>1</v>
      </c>
      <c r="V1146" s="0" t="inlineStr">
        <is>
          <t>계단식</t>
        </is>
      </c>
      <c r="W1146" s="0" t="n">
        <v>69</v>
      </c>
      <c r="X1146" s="0" t="n">
        <v>7</v>
      </c>
      <c r="Y1146" s="0" t="n">
        <v>6</v>
      </c>
      <c r="Z1146" s="0" t="inlineStr">
        <is>
          <t>https://new.land.naver.com/complexes/103458?tab=detail&amp;rf=Y</t>
        </is>
      </c>
      <c r="AA1146" s="0" t="inlineStr">
        <is>
          <t>서울시 강동구 명일동 335-7</t>
        </is>
      </c>
      <c r="AB1146" s="0" t="inlineStr">
        <is>
          <t>서울시</t>
        </is>
      </c>
      <c r="AC1146" s="0" t="inlineStr">
        <is>
          <t>강동구</t>
        </is>
      </c>
      <c r="AD1146" s="0" t="inlineStr">
        <is>
          <t>명일동</t>
        </is>
      </c>
      <c r="AG1146" s="0" t="inlineStr">
        <is>
          <t>서울시 강동구 상암로47길 33</t>
        </is>
      </c>
      <c r="AH1146" s="0" t="n">
        <v>0</v>
      </c>
      <c r="AI1146" s="0" t="n">
        <v>247</v>
      </c>
      <c r="AJ1146" s="0" t="n">
        <v>45</v>
      </c>
      <c r="AK1146" s="0" t="n">
        <v>19</v>
      </c>
      <c r="AL1146" s="0" t="n">
        <v>1</v>
      </c>
    </row>
    <row r="1147">
      <c r="A1147" s="0" t="inlineStr">
        <is>
          <t>[명일동]</t>
        </is>
      </c>
      <c r="B1147" s="0" t="n">
        <v>103458</v>
      </c>
      <c r="C1147" s="0" t="n">
        <v>5</v>
      </c>
      <c r="D1147" s="0" t="inlineStr">
        <is>
          <t>해밀</t>
        </is>
      </c>
      <c r="E1147" s="0" t="inlineStr">
        <is>
          <t>2007.04.</t>
        </is>
      </c>
      <c r="F1147" s="0" t="n">
        <v>19</v>
      </c>
      <c r="G1147" s="0" t="n">
        <v>21.89</v>
      </c>
      <c r="H1147" s="0" t="n">
        <v>72.39</v>
      </c>
      <c r="I1147" s="0" t="n">
        <v>18.96</v>
      </c>
      <c r="J1147" s="0" t="n">
        <v>62.69</v>
      </c>
      <c r="K1147" s="0" t="n">
        <v>1</v>
      </c>
      <c r="T1147" s="0" t="n">
        <v>3</v>
      </c>
      <c r="U1147" s="0" t="n">
        <v>1</v>
      </c>
      <c r="V1147" s="0" t="inlineStr">
        <is>
          <t>계단식</t>
        </is>
      </c>
      <c r="W1147" s="0" t="n">
        <v>72</v>
      </c>
      <c r="X1147" s="0" t="n">
        <v>7</v>
      </c>
      <c r="Y1147" s="0" t="n">
        <v>6</v>
      </c>
      <c r="Z1147" s="0" t="inlineStr">
        <is>
          <t>https://new.land.naver.com/complexes/103458?tab=detail&amp;rf=Y</t>
        </is>
      </c>
      <c r="AA1147" s="0" t="inlineStr">
        <is>
          <t>서울시 강동구 명일동 335-7</t>
        </is>
      </c>
      <c r="AB1147" s="0" t="inlineStr">
        <is>
          <t>서울시</t>
        </is>
      </c>
      <c r="AC1147" s="0" t="inlineStr">
        <is>
          <t>강동구</t>
        </is>
      </c>
      <c r="AD1147" s="0" t="inlineStr">
        <is>
          <t>명일동</t>
        </is>
      </c>
      <c r="AG1147" s="0" t="inlineStr">
        <is>
          <t>서울시 강동구 상암로47길 33</t>
        </is>
      </c>
      <c r="AH1147" s="0" t="n">
        <v>0</v>
      </c>
      <c r="AI1147" s="0" t="n">
        <v>247</v>
      </c>
      <c r="AJ1147" s="0" t="n">
        <v>45</v>
      </c>
      <c r="AK1147" s="0" t="n">
        <v>19</v>
      </c>
      <c r="AL1147" s="0" t="n">
        <v>1</v>
      </c>
    </row>
    <row r="1148">
      <c r="A1148" s="0" t="inlineStr">
        <is>
          <t>[명일동]</t>
        </is>
      </c>
      <c r="B1148" s="0" t="n">
        <v>103458</v>
      </c>
      <c r="C1148" s="0" t="n">
        <v>6</v>
      </c>
      <c r="D1148" s="0" t="inlineStr">
        <is>
          <t>해밀</t>
        </is>
      </c>
      <c r="E1148" s="0" t="inlineStr">
        <is>
          <t>2007.04.</t>
        </is>
      </c>
      <c r="F1148" s="0" t="n">
        <v>19</v>
      </c>
      <c r="G1148" s="0" t="n">
        <v>22.5</v>
      </c>
      <c r="H1148" s="0" t="n">
        <v>74.39</v>
      </c>
      <c r="I1148" s="0" t="n">
        <v>19.48</v>
      </c>
      <c r="J1148" s="0" t="n">
        <v>64.41</v>
      </c>
      <c r="K1148" s="0" t="n">
        <v>5</v>
      </c>
      <c r="T1148" s="0" t="n">
        <v>3</v>
      </c>
      <c r="U1148" s="0" t="n">
        <v>1</v>
      </c>
      <c r="V1148" s="0" t="inlineStr">
        <is>
          <t>계단식</t>
        </is>
      </c>
      <c r="W1148" s="0" t="inlineStr">
        <is>
          <t>74A</t>
        </is>
      </c>
      <c r="X1148" s="0" t="n">
        <v>7</v>
      </c>
      <c r="Y1148" s="0" t="n">
        <v>6</v>
      </c>
      <c r="Z1148" s="0" t="inlineStr">
        <is>
          <t>https://new.land.naver.com/complexes/103458?tab=detail&amp;rf=Y</t>
        </is>
      </c>
      <c r="AA1148" s="0" t="inlineStr">
        <is>
          <t>서울시 강동구 명일동 335-7</t>
        </is>
      </c>
      <c r="AB1148" s="0" t="inlineStr">
        <is>
          <t>서울시</t>
        </is>
      </c>
      <c r="AC1148" s="0" t="inlineStr">
        <is>
          <t>강동구</t>
        </is>
      </c>
      <c r="AD1148" s="0" t="inlineStr">
        <is>
          <t>명일동</t>
        </is>
      </c>
      <c r="AG1148" s="0" t="inlineStr">
        <is>
          <t>서울시 강동구 상암로47길 33</t>
        </is>
      </c>
      <c r="AH1148" s="0" t="n">
        <v>0</v>
      </c>
      <c r="AI1148" s="0" t="n">
        <v>247</v>
      </c>
      <c r="AJ1148" s="0" t="n">
        <v>45</v>
      </c>
      <c r="AK1148" s="0" t="n">
        <v>19</v>
      </c>
      <c r="AL1148" s="0" t="n">
        <v>1</v>
      </c>
    </row>
    <row r="1149">
      <c r="A1149" s="0" t="inlineStr">
        <is>
          <t>[명일동]</t>
        </is>
      </c>
      <c r="B1149" s="0" t="n">
        <v>103458</v>
      </c>
      <c r="C1149" s="0" t="n">
        <v>7</v>
      </c>
      <c r="D1149" s="0" t="inlineStr">
        <is>
          <t>해밀</t>
        </is>
      </c>
      <c r="E1149" s="0" t="inlineStr">
        <is>
          <t>2007.04.</t>
        </is>
      </c>
      <c r="F1149" s="0" t="n">
        <v>19</v>
      </c>
      <c r="G1149" s="0" t="n">
        <v>22.96</v>
      </c>
      <c r="H1149" s="0" t="n">
        <v>75.91</v>
      </c>
      <c r="I1149" s="0" t="n">
        <v>19.88</v>
      </c>
      <c r="J1149" s="0" t="n">
        <v>65.73</v>
      </c>
      <c r="K1149" s="0" t="n">
        <v>1</v>
      </c>
      <c r="T1149" s="0" t="n">
        <v>3</v>
      </c>
      <c r="U1149" s="0" t="n">
        <v>1</v>
      </c>
      <c r="V1149" s="0" t="inlineStr">
        <is>
          <t>계단식</t>
        </is>
      </c>
      <c r="W1149" s="0" t="inlineStr">
        <is>
          <t>75B</t>
        </is>
      </c>
      <c r="X1149" s="0" t="n">
        <v>7</v>
      </c>
      <c r="Y1149" s="0" t="n">
        <v>6</v>
      </c>
      <c r="Z1149" s="0" t="inlineStr">
        <is>
          <t>https://new.land.naver.com/complexes/103458?tab=detail&amp;rf=Y</t>
        </is>
      </c>
      <c r="AA1149" s="0" t="inlineStr">
        <is>
          <t>서울시 강동구 명일동 335-7</t>
        </is>
      </c>
      <c r="AB1149" s="0" t="inlineStr">
        <is>
          <t>서울시</t>
        </is>
      </c>
      <c r="AC1149" s="0" t="inlineStr">
        <is>
          <t>강동구</t>
        </is>
      </c>
      <c r="AD1149" s="0" t="inlineStr">
        <is>
          <t>명일동</t>
        </is>
      </c>
      <c r="AG1149" s="0" t="inlineStr">
        <is>
          <t>서울시 강동구 상암로47길 33</t>
        </is>
      </c>
      <c r="AH1149" s="0" t="n">
        <v>0</v>
      </c>
      <c r="AI1149" s="0" t="n">
        <v>247</v>
      </c>
      <c r="AJ1149" s="0" t="n">
        <v>45</v>
      </c>
      <c r="AK1149" s="0" t="n">
        <v>19</v>
      </c>
      <c r="AL1149" s="0" t="n">
        <v>1</v>
      </c>
    </row>
    <row r="1150">
      <c r="A1150" s="0" t="inlineStr">
        <is>
          <t>[명일동]</t>
        </is>
      </c>
      <c r="B1150" s="0" t="n">
        <v>103458</v>
      </c>
      <c r="C1150" s="0" t="n">
        <v>8</v>
      </c>
      <c r="D1150" s="0" t="inlineStr">
        <is>
          <t>해밀</t>
        </is>
      </c>
      <c r="E1150" s="0" t="inlineStr">
        <is>
          <t>2007.04.</t>
        </is>
      </c>
      <c r="F1150" s="0" t="n">
        <v>19</v>
      </c>
      <c r="G1150" s="0" t="n">
        <v>23</v>
      </c>
      <c r="H1150" s="0" t="n">
        <v>76.04000000000001</v>
      </c>
      <c r="I1150" s="0" t="n">
        <v>19.91</v>
      </c>
      <c r="J1150" s="0" t="n">
        <v>65.84</v>
      </c>
      <c r="K1150" s="0" t="n">
        <v>1</v>
      </c>
      <c r="T1150" s="0" t="n">
        <v>3</v>
      </c>
      <c r="U1150" s="0" t="n">
        <v>1</v>
      </c>
      <c r="V1150" s="0" t="inlineStr">
        <is>
          <t>계단식</t>
        </is>
      </c>
      <c r="W1150" s="0" t="inlineStr">
        <is>
          <t>76C</t>
        </is>
      </c>
      <c r="X1150" s="0" t="n">
        <v>7</v>
      </c>
      <c r="Y1150" s="0" t="n">
        <v>6</v>
      </c>
      <c r="Z1150" s="0" t="inlineStr">
        <is>
          <t>https://new.land.naver.com/complexes/103458?tab=detail&amp;rf=Y</t>
        </is>
      </c>
      <c r="AA1150" s="0" t="inlineStr">
        <is>
          <t>서울시 강동구 명일동 335-7</t>
        </is>
      </c>
      <c r="AB1150" s="0" t="inlineStr">
        <is>
          <t>서울시</t>
        </is>
      </c>
      <c r="AC1150" s="0" t="inlineStr">
        <is>
          <t>강동구</t>
        </is>
      </c>
      <c r="AD1150" s="0" t="inlineStr">
        <is>
          <t>명일동</t>
        </is>
      </c>
      <c r="AG1150" s="0" t="inlineStr">
        <is>
          <t>서울시 강동구 상암로47길 33</t>
        </is>
      </c>
      <c r="AH1150" s="0" t="n">
        <v>0</v>
      </c>
      <c r="AI1150" s="0" t="n">
        <v>247</v>
      </c>
      <c r="AJ1150" s="0" t="n">
        <v>45</v>
      </c>
      <c r="AK1150" s="0" t="n">
        <v>19</v>
      </c>
      <c r="AL1150" s="0" t="n">
        <v>1</v>
      </c>
    </row>
    <row r="1151">
      <c r="A1151" s="0" t="inlineStr">
        <is>
          <t>[명일동]</t>
        </is>
      </c>
      <c r="B1151" s="0" t="n">
        <v>103458</v>
      </c>
      <c r="C1151" s="0" t="n">
        <v>9</v>
      </c>
      <c r="D1151" s="0" t="inlineStr">
        <is>
          <t>해밀</t>
        </is>
      </c>
      <c r="E1151" s="0" t="inlineStr">
        <is>
          <t>2007.04.</t>
        </is>
      </c>
      <c r="F1151" s="0" t="n">
        <v>19</v>
      </c>
      <c r="G1151" s="0" t="n">
        <v>23.6</v>
      </c>
      <c r="H1151" s="0" t="n">
        <v>78.02</v>
      </c>
      <c r="I1151" s="0" t="n">
        <v>20.43</v>
      </c>
      <c r="J1151" s="0" t="n">
        <v>67.56</v>
      </c>
      <c r="K1151" s="0" t="n">
        <v>1</v>
      </c>
      <c r="T1151" s="0" t="n">
        <v>3</v>
      </c>
      <c r="U1151" s="0" t="n">
        <v>1</v>
      </c>
      <c r="V1151" s="0" t="inlineStr">
        <is>
          <t>계단식</t>
        </is>
      </c>
      <c r="W1151" s="0" t="inlineStr">
        <is>
          <t>78A</t>
        </is>
      </c>
      <c r="X1151" s="0" t="n">
        <v>7</v>
      </c>
      <c r="Y1151" s="0" t="n">
        <v>6</v>
      </c>
      <c r="Z1151" s="0" t="inlineStr">
        <is>
          <t>https://new.land.naver.com/complexes/103458?tab=detail&amp;rf=Y</t>
        </is>
      </c>
      <c r="AA1151" s="0" t="inlineStr">
        <is>
          <t>서울시 강동구 명일동 335-7</t>
        </is>
      </c>
      <c r="AB1151" s="0" t="inlineStr">
        <is>
          <t>서울시</t>
        </is>
      </c>
      <c r="AC1151" s="0" t="inlineStr">
        <is>
          <t>강동구</t>
        </is>
      </c>
      <c r="AD1151" s="0" t="inlineStr">
        <is>
          <t>명일동</t>
        </is>
      </c>
      <c r="AG1151" s="0" t="inlineStr">
        <is>
          <t>서울시 강동구 상암로47길 33</t>
        </is>
      </c>
      <c r="AH1151" s="0" t="n">
        <v>0</v>
      </c>
      <c r="AI1151" s="0" t="n">
        <v>247</v>
      </c>
      <c r="AJ1151" s="0" t="n">
        <v>45</v>
      </c>
      <c r="AK1151" s="0" t="n">
        <v>19</v>
      </c>
      <c r="AL1151" s="0" t="n">
        <v>1</v>
      </c>
    </row>
    <row r="1152">
      <c r="A1152" s="0" t="inlineStr">
        <is>
          <t>[명일동]</t>
        </is>
      </c>
      <c r="B1152" s="0" t="n">
        <v>103458</v>
      </c>
      <c r="C1152" s="0" t="n">
        <v>10</v>
      </c>
      <c r="D1152" s="0" t="inlineStr">
        <is>
          <t>해밀</t>
        </is>
      </c>
      <c r="E1152" s="0" t="inlineStr">
        <is>
          <t>2007.04.</t>
        </is>
      </c>
      <c r="F1152" s="0" t="n">
        <v>19</v>
      </c>
      <c r="G1152" s="0" t="n">
        <v>24.38</v>
      </c>
      <c r="H1152" s="0" t="n">
        <v>80.61</v>
      </c>
      <c r="I1152" s="0" t="n">
        <v>21.11</v>
      </c>
      <c r="J1152" s="0" t="n">
        <v>69.8</v>
      </c>
      <c r="K1152" s="0" t="n">
        <v>3</v>
      </c>
      <c r="T1152" s="0" t="n">
        <v>3</v>
      </c>
      <c r="U1152" s="0" t="n">
        <v>1</v>
      </c>
      <c r="V1152" s="0" t="inlineStr">
        <is>
          <t>계단식</t>
        </is>
      </c>
      <c r="W1152" s="0" t="inlineStr">
        <is>
          <t>80D</t>
        </is>
      </c>
      <c r="X1152" s="0" t="n">
        <v>7</v>
      </c>
      <c r="Y1152" s="0" t="n">
        <v>6</v>
      </c>
      <c r="Z1152" s="0" t="inlineStr">
        <is>
          <t>https://new.land.naver.com/complexes/103458?tab=detail&amp;rf=Y</t>
        </is>
      </c>
      <c r="AA1152" s="0" t="inlineStr">
        <is>
          <t>서울시 강동구 명일동 335-7</t>
        </is>
      </c>
      <c r="AB1152" s="0" t="inlineStr">
        <is>
          <t>서울시</t>
        </is>
      </c>
      <c r="AC1152" s="0" t="inlineStr">
        <is>
          <t>강동구</t>
        </is>
      </c>
      <c r="AD1152" s="0" t="inlineStr">
        <is>
          <t>명일동</t>
        </is>
      </c>
      <c r="AG1152" s="0" t="inlineStr">
        <is>
          <t>서울시 강동구 상암로47길 33</t>
        </is>
      </c>
      <c r="AH1152" s="0" t="n">
        <v>0</v>
      </c>
      <c r="AI1152" s="0" t="n">
        <v>247</v>
      </c>
      <c r="AJ1152" s="0" t="n">
        <v>45</v>
      </c>
      <c r="AK1152" s="0" t="n">
        <v>19</v>
      </c>
      <c r="AL1152" s="0" t="n">
        <v>1</v>
      </c>
    </row>
    <row r="1153">
      <c r="A1153" s="0" t="inlineStr">
        <is>
          <t>[명일동]</t>
        </is>
      </c>
      <c r="B1153" s="0" t="n">
        <v>103458</v>
      </c>
      <c r="C1153" s="0" t="n">
        <v>11</v>
      </c>
      <c r="D1153" s="0" t="inlineStr">
        <is>
          <t>해밀</t>
        </is>
      </c>
      <c r="E1153" s="0" t="inlineStr">
        <is>
          <t>2007.04.</t>
        </is>
      </c>
      <c r="F1153" s="0" t="n">
        <v>19</v>
      </c>
      <c r="G1153" s="0" t="n">
        <v>24.25</v>
      </c>
      <c r="H1153" s="0" t="n">
        <v>80.19</v>
      </c>
      <c r="I1153" s="0" t="n">
        <v>21</v>
      </c>
      <c r="J1153" s="0" t="n">
        <v>69.44</v>
      </c>
      <c r="K1153" s="0" t="n">
        <v>2</v>
      </c>
      <c r="T1153" s="0" t="n">
        <v>3</v>
      </c>
      <c r="U1153" s="0" t="n">
        <v>1</v>
      </c>
      <c r="V1153" s="0" t="inlineStr">
        <is>
          <t>계단식</t>
        </is>
      </c>
      <c r="W1153" s="0" t="inlineStr">
        <is>
          <t>80B</t>
        </is>
      </c>
      <c r="X1153" s="0" t="n">
        <v>7</v>
      </c>
      <c r="Y1153" s="0" t="n">
        <v>6</v>
      </c>
      <c r="Z1153" s="0" t="inlineStr">
        <is>
          <t>https://new.land.naver.com/complexes/103458?tab=detail&amp;rf=Y</t>
        </is>
      </c>
      <c r="AA1153" s="0" t="inlineStr">
        <is>
          <t>서울시 강동구 명일동 335-7</t>
        </is>
      </c>
      <c r="AB1153" s="0" t="inlineStr">
        <is>
          <t>서울시</t>
        </is>
      </c>
      <c r="AC1153" s="0" t="inlineStr">
        <is>
          <t>강동구</t>
        </is>
      </c>
      <c r="AD1153" s="0" t="inlineStr">
        <is>
          <t>명일동</t>
        </is>
      </c>
      <c r="AG1153" s="0" t="inlineStr">
        <is>
          <t>서울시 강동구 상암로47길 33</t>
        </is>
      </c>
      <c r="AH1153" s="0" t="n">
        <v>0</v>
      </c>
      <c r="AI1153" s="0" t="n">
        <v>247</v>
      </c>
      <c r="AJ1153" s="0" t="n">
        <v>45</v>
      </c>
      <c r="AK1153" s="0" t="n">
        <v>19</v>
      </c>
      <c r="AL1153" s="0" t="n">
        <v>1</v>
      </c>
    </row>
    <row r="1154">
      <c r="A1154" s="0" t="inlineStr">
        <is>
          <t>[명일동]</t>
        </is>
      </c>
      <c r="B1154" s="0" t="n">
        <v>103458</v>
      </c>
      <c r="C1154" s="0" t="n">
        <v>12</v>
      </c>
      <c r="D1154" s="0" t="inlineStr">
        <is>
          <t>해밀</t>
        </is>
      </c>
      <c r="E1154" s="0" t="inlineStr">
        <is>
          <t>2007.04.</t>
        </is>
      </c>
      <c r="F1154" s="0" t="n">
        <v>19</v>
      </c>
      <c r="G1154" s="0" t="n">
        <v>24.29</v>
      </c>
      <c r="H1154" s="0" t="n">
        <v>80.33</v>
      </c>
      <c r="I1154" s="0" t="n">
        <v>21.04</v>
      </c>
      <c r="J1154" s="0" t="n">
        <v>69.56</v>
      </c>
      <c r="K1154" s="0" t="n">
        <v>1</v>
      </c>
      <c r="T1154" s="0" t="n">
        <v>3</v>
      </c>
      <c r="U1154" s="0" t="n">
        <v>1</v>
      </c>
      <c r="V1154" s="0" t="inlineStr">
        <is>
          <t>계단식</t>
        </is>
      </c>
      <c r="W1154" s="0" t="inlineStr">
        <is>
          <t>80C</t>
        </is>
      </c>
      <c r="X1154" s="0" t="n">
        <v>7</v>
      </c>
      <c r="Y1154" s="0" t="n">
        <v>6</v>
      </c>
      <c r="Z1154" s="0" t="inlineStr">
        <is>
          <t>https://new.land.naver.com/complexes/103458?tab=detail&amp;rf=Y</t>
        </is>
      </c>
      <c r="AA1154" s="0" t="inlineStr">
        <is>
          <t>서울시 강동구 명일동 335-7</t>
        </is>
      </c>
      <c r="AB1154" s="0" t="inlineStr">
        <is>
          <t>서울시</t>
        </is>
      </c>
      <c r="AC1154" s="0" t="inlineStr">
        <is>
          <t>강동구</t>
        </is>
      </c>
      <c r="AD1154" s="0" t="inlineStr">
        <is>
          <t>명일동</t>
        </is>
      </c>
      <c r="AG1154" s="0" t="inlineStr">
        <is>
          <t>서울시 강동구 상암로47길 33</t>
        </is>
      </c>
      <c r="AH1154" s="0" t="n">
        <v>0</v>
      </c>
      <c r="AI1154" s="0" t="n">
        <v>247</v>
      </c>
      <c r="AJ1154" s="0" t="n">
        <v>45</v>
      </c>
      <c r="AK1154" s="0" t="n">
        <v>19</v>
      </c>
      <c r="AL1154" s="0" t="n">
        <v>1</v>
      </c>
    </row>
    <row r="1155">
      <c r="A1155" s="0" t="inlineStr">
        <is>
          <t>[명일동]</t>
        </is>
      </c>
      <c r="B1155" s="0" t="n">
        <v>1316</v>
      </c>
      <c r="C1155" s="0" t="n">
        <v>1</v>
      </c>
      <c r="D1155" s="0" t="inlineStr">
        <is>
          <t>고덕현대</t>
        </is>
      </c>
      <c r="E1155" s="0" t="inlineStr">
        <is>
          <t>1986.02.</t>
        </is>
      </c>
      <c r="F1155" s="0" t="n">
        <v>524</v>
      </c>
      <c r="G1155" s="0" t="n">
        <v>31.84</v>
      </c>
      <c r="H1155" s="0" t="n">
        <v>105.26</v>
      </c>
      <c r="I1155" s="0" t="n">
        <v>25.68</v>
      </c>
      <c r="J1155" s="0" t="n">
        <v>84.91</v>
      </c>
      <c r="K1155" s="0" t="n">
        <v>164</v>
      </c>
      <c r="T1155" s="0" t="n">
        <v>3</v>
      </c>
      <c r="U1155" s="0" t="n">
        <v>1</v>
      </c>
      <c r="V1155" s="0" t="inlineStr">
        <is>
          <t>계단식</t>
        </is>
      </c>
      <c r="W1155" s="0" t="n">
        <v>105</v>
      </c>
      <c r="X1155" s="0" t="n">
        <v>15</v>
      </c>
      <c r="Y1155" s="0" t="n">
        <v>13</v>
      </c>
      <c r="Z1155" s="0" t="inlineStr">
        <is>
          <t>https://new.land.naver.com/complexes/1316?tab=detail&amp;rf=Y</t>
        </is>
      </c>
      <c r="AA1155" s="0" t="inlineStr">
        <is>
          <t>서울시 강동구 명일동 56</t>
        </is>
      </c>
      <c r="AB1155" s="0" t="inlineStr">
        <is>
          <t>서울시</t>
        </is>
      </c>
      <c r="AC1155" s="0" t="inlineStr">
        <is>
          <t>강동구</t>
        </is>
      </c>
      <c r="AD1155" s="0" t="inlineStr">
        <is>
          <t>명일동</t>
        </is>
      </c>
      <c r="AG1155" s="0" t="inlineStr">
        <is>
          <t>서울시 강동구 동남로71길 41</t>
        </is>
      </c>
      <c r="AH1155" s="0" t="n">
        <v>0</v>
      </c>
      <c r="AI1155" s="0" t="n">
        <v>180</v>
      </c>
      <c r="AJ1155" s="0" t="n">
        <v>13</v>
      </c>
      <c r="AK1155" s="0" t="n">
        <v>363</v>
      </c>
      <c r="AL1155" s="0" t="n">
        <v>0.6899999999999999</v>
      </c>
    </row>
    <row r="1156">
      <c r="A1156" s="0" t="inlineStr">
        <is>
          <t>[명일동]</t>
        </is>
      </c>
      <c r="B1156" s="0" t="n">
        <v>1316</v>
      </c>
      <c r="C1156" s="0" t="n">
        <v>2</v>
      </c>
      <c r="D1156" s="0" t="inlineStr">
        <is>
          <t>고덕현대</t>
        </is>
      </c>
      <c r="E1156" s="0" t="inlineStr">
        <is>
          <t>1986.02.</t>
        </is>
      </c>
      <c r="F1156" s="0" t="n">
        <v>524</v>
      </c>
      <c r="G1156" s="0" t="n">
        <v>46.74</v>
      </c>
      <c r="H1156" s="0" t="n">
        <v>154.52</v>
      </c>
      <c r="I1156" s="0" t="n">
        <v>39.87</v>
      </c>
      <c r="J1156" s="0" t="n">
        <v>131.83</v>
      </c>
      <c r="K1156" s="0" t="n">
        <v>360</v>
      </c>
      <c r="T1156" s="0" t="n">
        <v>4</v>
      </c>
      <c r="U1156" s="0" t="n">
        <v>2</v>
      </c>
      <c r="V1156" s="0" t="inlineStr">
        <is>
          <t>계단식</t>
        </is>
      </c>
      <c r="W1156" s="0" t="n">
        <v>154</v>
      </c>
      <c r="X1156" s="0" t="n">
        <v>15</v>
      </c>
      <c r="Y1156" s="0" t="n">
        <v>13</v>
      </c>
      <c r="Z1156" s="0" t="inlineStr">
        <is>
          <t>https://new.land.naver.com/complexes/1316?tab=detail&amp;rf=Y</t>
        </is>
      </c>
      <c r="AA1156" s="0" t="inlineStr">
        <is>
          <t>서울시 강동구 명일동 56</t>
        </is>
      </c>
      <c r="AB1156" s="0" t="inlineStr">
        <is>
          <t>서울시</t>
        </is>
      </c>
      <c r="AC1156" s="0" t="inlineStr">
        <is>
          <t>강동구</t>
        </is>
      </c>
      <c r="AD1156" s="0" t="inlineStr">
        <is>
          <t>명일동</t>
        </is>
      </c>
      <c r="AG1156" s="0" t="inlineStr">
        <is>
          <t>서울시 강동구 동남로71길 41</t>
        </is>
      </c>
      <c r="AH1156" s="0" t="n">
        <v>0</v>
      </c>
      <c r="AI1156" s="0" t="n">
        <v>180</v>
      </c>
      <c r="AJ1156" s="0" t="n">
        <v>13</v>
      </c>
      <c r="AK1156" s="0" t="n">
        <v>363</v>
      </c>
      <c r="AL1156" s="0" t="n">
        <v>0.6899999999999999</v>
      </c>
    </row>
    <row r="1157">
      <c r="A1157" s="0" t="inlineStr">
        <is>
          <t>[명일동]</t>
        </is>
      </c>
      <c r="B1157" s="0" t="n">
        <v>16573</v>
      </c>
      <c r="C1157" s="0" t="n">
        <v>1</v>
      </c>
      <c r="D1157" s="0" t="inlineStr">
        <is>
          <t>삼보힐</t>
        </is>
      </c>
      <c r="E1157" s="0" t="inlineStr">
        <is>
          <t>2001.12.</t>
        </is>
      </c>
      <c r="F1157" s="0" t="n">
        <v>10</v>
      </c>
      <c r="G1157" s="0" t="n">
        <v>29.54</v>
      </c>
      <c r="H1157" s="0" t="n">
        <v>97.66</v>
      </c>
      <c r="I1157" s="0" t="n">
        <v>24.65</v>
      </c>
      <c r="J1157" s="0" t="n">
        <v>81.52</v>
      </c>
      <c r="K1157" s="0" t="n">
        <v>4</v>
      </c>
      <c r="T1157" s="0" t="n">
        <v>3</v>
      </c>
      <c r="U1157" s="0" t="n">
        <v>2</v>
      </c>
      <c r="V1157" s="0" t="inlineStr">
        <is>
          <t>계단식</t>
        </is>
      </c>
      <c r="W1157" s="0" t="inlineStr">
        <is>
          <t>97A</t>
        </is>
      </c>
      <c r="X1157" s="0" t="n">
        <v>5</v>
      </c>
      <c r="Y1157" s="0" t="n">
        <v>5</v>
      </c>
      <c r="Z1157" s="0" t="inlineStr">
        <is>
          <t>https://new.land.naver.com/complexes/16573?tab=detail&amp;rf=Y</t>
        </is>
      </c>
      <c r="AA1157" s="0" t="inlineStr">
        <is>
          <t>서울시 강동구 명일동 312-256</t>
        </is>
      </c>
      <c r="AB1157" s="0" t="inlineStr">
        <is>
          <t>서울시</t>
        </is>
      </c>
      <c r="AC1157" s="0" t="inlineStr">
        <is>
          <t>강동구</t>
        </is>
      </c>
      <c r="AD1157" s="0" t="inlineStr">
        <is>
          <t>명일동</t>
        </is>
      </c>
      <c r="AG1157" s="0" t="inlineStr">
        <is>
          <t>서울시 강동구 구천면로65길 12</t>
        </is>
      </c>
      <c r="AH1157" s="0" t="n">
        <v>0</v>
      </c>
      <c r="AI1157" s="0" t="n">
        <v>223</v>
      </c>
      <c r="AJ1157" s="0" t="n">
        <v>47</v>
      </c>
      <c r="AK1157" s="0" t="n">
        <v>14</v>
      </c>
      <c r="AL1157" s="0" t="n">
        <v>1.4</v>
      </c>
    </row>
    <row r="1158">
      <c r="A1158" s="0" t="inlineStr">
        <is>
          <t>[명일동]</t>
        </is>
      </c>
      <c r="B1158" s="0" t="n">
        <v>16573</v>
      </c>
      <c r="C1158" s="0" t="n">
        <v>2</v>
      </c>
      <c r="D1158" s="0" t="inlineStr">
        <is>
          <t>삼보힐</t>
        </is>
      </c>
      <c r="E1158" s="0" t="inlineStr">
        <is>
          <t>2001.12.</t>
        </is>
      </c>
      <c r="F1158" s="0" t="n">
        <v>10</v>
      </c>
      <c r="G1158" s="0" t="n">
        <v>29.54</v>
      </c>
      <c r="H1158" s="0" t="n">
        <v>97.66</v>
      </c>
      <c r="I1158" s="0" t="n">
        <v>24.65</v>
      </c>
      <c r="J1158" s="0" t="n">
        <v>81.52</v>
      </c>
      <c r="K1158" s="0" t="n">
        <v>1</v>
      </c>
      <c r="T1158" s="0" t="n">
        <v>3</v>
      </c>
      <c r="U1158" s="0" t="n">
        <v>2</v>
      </c>
      <c r="V1158" s="0" t="inlineStr">
        <is>
          <t>계단식</t>
        </is>
      </c>
      <c r="W1158" s="0" t="inlineStr">
        <is>
          <t>97B</t>
        </is>
      </c>
      <c r="X1158" s="0" t="n">
        <v>5</v>
      </c>
      <c r="Y1158" s="0" t="n">
        <v>5</v>
      </c>
      <c r="Z1158" s="0" t="inlineStr">
        <is>
          <t>https://new.land.naver.com/complexes/16573?tab=detail&amp;rf=Y</t>
        </is>
      </c>
      <c r="AA1158" s="0" t="inlineStr">
        <is>
          <t>서울시 강동구 명일동 312-256</t>
        </is>
      </c>
      <c r="AB1158" s="0" t="inlineStr">
        <is>
          <t>서울시</t>
        </is>
      </c>
      <c r="AC1158" s="0" t="inlineStr">
        <is>
          <t>강동구</t>
        </is>
      </c>
      <c r="AD1158" s="0" t="inlineStr">
        <is>
          <t>명일동</t>
        </is>
      </c>
      <c r="AG1158" s="0" t="inlineStr">
        <is>
          <t>서울시 강동구 구천면로65길 12</t>
        </is>
      </c>
      <c r="AH1158" s="0" t="n">
        <v>0</v>
      </c>
      <c r="AI1158" s="0" t="n">
        <v>223</v>
      </c>
      <c r="AJ1158" s="0" t="n">
        <v>47</v>
      </c>
      <c r="AK1158" s="0" t="n">
        <v>14</v>
      </c>
      <c r="AL1158" s="0" t="n">
        <v>1.4</v>
      </c>
    </row>
    <row r="1159">
      <c r="A1159" s="0" t="inlineStr">
        <is>
          <t>[명일동]</t>
        </is>
      </c>
      <c r="B1159" s="0" t="n">
        <v>16573</v>
      </c>
      <c r="C1159" s="0" t="n">
        <v>3</v>
      </c>
      <c r="D1159" s="0" t="inlineStr">
        <is>
          <t>삼보힐</t>
        </is>
      </c>
      <c r="E1159" s="0" t="inlineStr">
        <is>
          <t>2001.12.</t>
        </is>
      </c>
      <c r="F1159" s="0" t="n">
        <v>10</v>
      </c>
      <c r="G1159" s="0" t="n">
        <v>44.95</v>
      </c>
      <c r="H1159" s="0" t="n">
        <v>148.61</v>
      </c>
      <c r="I1159" s="0" t="n">
        <v>37.82</v>
      </c>
      <c r="J1159" s="0" t="n">
        <v>125.05</v>
      </c>
      <c r="K1159" s="0" t="n">
        <v>5</v>
      </c>
      <c r="T1159" s="0" t="n">
        <v>4</v>
      </c>
      <c r="U1159" s="0" t="n">
        <v>2</v>
      </c>
      <c r="V1159" s="0" t="inlineStr">
        <is>
          <t>계단식</t>
        </is>
      </c>
      <c r="W1159" s="0" t="n">
        <v>148</v>
      </c>
      <c r="X1159" s="0" t="n">
        <v>5</v>
      </c>
      <c r="Y1159" s="0" t="n">
        <v>5</v>
      </c>
      <c r="Z1159" s="0" t="inlineStr">
        <is>
          <t>https://new.land.naver.com/complexes/16573?tab=detail&amp;rf=Y</t>
        </is>
      </c>
      <c r="AA1159" s="0" t="inlineStr">
        <is>
          <t>서울시 강동구 명일동 312-256</t>
        </is>
      </c>
      <c r="AB1159" s="0" t="inlineStr">
        <is>
          <t>서울시</t>
        </is>
      </c>
      <c r="AC1159" s="0" t="inlineStr">
        <is>
          <t>강동구</t>
        </is>
      </c>
      <c r="AD1159" s="0" t="inlineStr">
        <is>
          <t>명일동</t>
        </is>
      </c>
      <c r="AG1159" s="0" t="inlineStr">
        <is>
          <t>서울시 강동구 구천면로65길 12</t>
        </is>
      </c>
      <c r="AH1159" s="0" t="n">
        <v>0</v>
      </c>
      <c r="AI1159" s="0" t="n">
        <v>223</v>
      </c>
      <c r="AJ1159" s="0" t="n">
        <v>47</v>
      </c>
      <c r="AK1159" s="0" t="n">
        <v>14</v>
      </c>
      <c r="AL1159" s="0" t="n">
        <v>1.4</v>
      </c>
    </row>
    <row r="1160">
      <c r="A1160" s="0" t="inlineStr">
        <is>
          <t>[명일동]</t>
        </is>
      </c>
      <c r="B1160" s="0" t="n">
        <v>26248</v>
      </c>
      <c r="C1160" s="0" t="n">
        <v>1</v>
      </c>
      <c r="D1160" s="0" t="inlineStr">
        <is>
          <t>SM해그린</t>
        </is>
      </c>
      <c r="E1160" s="0" t="inlineStr">
        <is>
          <t>2004.12.</t>
        </is>
      </c>
      <c r="F1160" s="0" t="n">
        <v>48</v>
      </c>
      <c r="G1160" s="0" t="n">
        <v>17.7</v>
      </c>
      <c r="H1160" s="0" t="n">
        <v>58.53</v>
      </c>
      <c r="I1160" s="0" t="n">
        <v>15.46</v>
      </c>
      <c r="J1160" s="0" t="n">
        <v>51.13</v>
      </c>
      <c r="K1160" s="0" t="n">
        <v>1</v>
      </c>
      <c r="T1160" s="0" t="n">
        <v>2</v>
      </c>
      <c r="U1160" s="0" t="n">
        <v>1</v>
      </c>
      <c r="V1160" s="0" t="inlineStr">
        <is>
          <t>계단식</t>
        </is>
      </c>
      <c r="W1160" s="0" t="n">
        <v>58</v>
      </c>
      <c r="X1160" s="0" t="n">
        <v>12</v>
      </c>
      <c r="Y1160" s="0" t="n">
        <v>6</v>
      </c>
      <c r="Z1160" s="0" t="inlineStr">
        <is>
          <t>https://new.land.naver.com/complexes/26248?tab=detail&amp;rf=Y</t>
        </is>
      </c>
      <c r="AA1160" s="0" t="inlineStr">
        <is>
          <t>서울시 강동구 명일동 357</t>
        </is>
      </c>
      <c r="AB1160" s="0" t="inlineStr">
        <is>
          <t>서울시</t>
        </is>
      </c>
      <c r="AC1160" s="0" t="inlineStr">
        <is>
          <t>강동구</t>
        </is>
      </c>
      <c r="AD1160" s="0" t="inlineStr">
        <is>
          <t>명일동</t>
        </is>
      </c>
      <c r="AG1160" s="0" t="inlineStr">
        <is>
          <t>서울시 강동구 상암로 210-32</t>
        </is>
      </c>
      <c r="AH1160" s="0" t="n">
        <v>0</v>
      </c>
      <c r="AI1160" s="0" t="n">
        <v>234</v>
      </c>
      <c r="AJ1160" s="0" t="n">
        <v>27</v>
      </c>
      <c r="AK1160" s="0" t="n">
        <v>58</v>
      </c>
      <c r="AL1160" s="0" t="n">
        <v>1.21</v>
      </c>
    </row>
    <row r="1161">
      <c r="A1161" s="0" t="inlineStr">
        <is>
          <t>[명일동]</t>
        </is>
      </c>
      <c r="B1161" s="0" t="n">
        <v>26248</v>
      </c>
      <c r="C1161" s="0" t="n">
        <v>2</v>
      </c>
      <c r="D1161" s="0" t="inlineStr">
        <is>
          <t>SM해그린</t>
        </is>
      </c>
      <c r="E1161" s="0" t="inlineStr">
        <is>
          <t>2004.12.</t>
        </is>
      </c>
      <c r="F1161" s="0" t="n">
        <v>48</v>
      </c>
      <c r="G1161" s="0" t="n">
        <v>25.96</v>
      </c>
      <c r="H1161" s="0" t="n">
        <v>85.84999999999999</v>
      </c>
      <c r="I1161" s="0" t="n">
        <v>22.68</v>
      </c>
      <c r="J1161" s="0" t="n">
        <v>75</v>
      </c>
      <c r="K1161" s="0" t="n">
        <v>1</v>
      </c>
      <c r="T1161" s="0" t="n">
        <v>3</v>
      </c>
      <c r="U1161" s="0" t="n">
        <v>1</v>
      </c>
      <c r="V1161" s="0" t="inlineStr">
        <is>
          <t>계단식</t>
        </is>
      </c>
      <c r="W1161" s="0" t="n">
        <v>85</v>
      </c>
      <c r="X1161" s="0" t="n">
        <v>12</v>
      </c>
      <c r="Y1161" s="0" t="n">
        <v>6</v>
      </c>
      <c r="Z1161" s="0" t="inlineStr">
        <is>
          <t>https://new.land.naver.com/complexes/26248?tab=detail&amp;rf=Y</t>
        </is>
      </c>
      <c r="AA1161" s="0" t="inlineStr">
        <is>
          <t>서울시 강동구 명일동 357</t>
        </is>
      </c>
      <c r="AB1161" s="0" t="inlineStr">
        <is>
          <t>서울시</t>
        </is>
      </c>
      <c r="AC1161" s="0" t="inlineStr">
        <is>
          <t>강동구</t>
        </is>
      </c>
      <c r="AD1161" s="0" t="inlineStr">
        <is>
          <t>명일동</t>
        </is>
      </c>
      <c r="AG1161" s="0" t="inlineStr">
        <is>
          <t>서울시 강동구 상암로 210-32</t>
        </is>
      </c>
      <c r="AH1161" s="0" t="n">
        <v>0</v>
      </c>
      <c r="AI1161" s="0" t="n">
        <v>234</v>
      </c>
      <c r="AJ1161" s="0" t="n">
        <v>27</v>
      </c>
      <c r="AK1161" s="0" t="n">
        <v>58</v>
      </c>
      <c r="AL1161" s="0" t="n">
        <v>1.21</v>
      </c>
    </row>
    <row r="1162">
      <c r="A1162" s="0" t="inlineStr">
        <is>
          <t>[명일동]</t>
        </is>
      </c>
      <c r="B1162" s="0" t="n">
        <v>26248</v>
      </c>
      <c r="C1162" s="0" t="n">
        <v>3</v>
      </c>
      <c r="D1162" s="0" t="inlineStr">
        <is>
          <t>SM해그린</t>
        </is>
      </c>
      <c r="E1162" s="0" t="inlineStr">
        <is>
          <t>2004.12.</t>
        </is>
      </c>
      <c r="F1162" s="0" t="n">
        <v>48</v>
      </c>
      <c r="G1162" s="0" t="n">
        <v>27.51</v>
      </c>
      <c r="H1162" s="0" t="n">
        <v>90.95</v>
      </c>
      <c r="I1162" s="0" t="n">
        <v>24.03</v>
      </c>
      <c r="J1162" s="0" t="n">
        <v>79.45</v>
      </c>
      <c r="K1162" s="0" t="n">
        <v>1</v>
      </c>
      <c r="T1162" s="0" t="n">
        <v>3</v>
      </c>
      <c r="U1162" s="0" t="n">
        <v>1</v>
      </c>
      <c r="V1162" s="0" t="inlineStr">
        <is>
          <t>계단식</t>
        </is>
      </c>
      <c r="W1162" s="0" t="n">
        <v>90</v>
      </c>
      <c r="X1162" s="0" t="n">
        <v>12</v>
      </c>
      <c r="Y1162" s="0" t="n">
        <v>6</v>
      </c>
      <c r="Z1162" s="0" t="inlineStr">
        <is>
          <t>https://new.land.naver.com/complexes/26248?tab=detail&amp;rf=Y</t>
        </is>
      </c>
      <c r="AA1162" s="0" t="inlineStr">
        <is>
          <t>서울시 강동구 명일동 357</t>
        </is>
      </c>
      <c r="AB1162" s="0" t="inlineStr">
        <is>
          <t>서울시</t>
        </is>
      </c>
      <c r="AC1162" s="0" t="inlineStr">
        <is>
          <t>강동구</t>
        </is>
      </c>
      <c r="AD1162" s="0" t="inlineStr">
        <is>
          <t>명일동</t>
        </is>
      </c>
      <c r="AG1162" s="0" t="inlineStr">
        <is>
          <t>서울시 강동구 상암로 210-32</t>
        </is>
      </c>
      <c r="AH1162" s="0" t="n">
        <v>0</v>
      </c>
      <c r="AI1162" s="0" t="n">
        <v>234</v>
      </c>
      <c r="AJ1162" s="0" t="n">
        <v>27</v>
      </c>
      <c r="AK1162" s="0" t="n">
        <v>58</v>
      </c>
      <c r="AL1162" s="0" t="n">
        <v>1.21</v>
      </c>
    </row>
    <row r="1163">
      <c r="A1163" s="0" t="inlineStr">
        <is>
          <t>[명일동]</t>
        </is>
      </c>
      <c r="B1163" s="0" t="n">
        <v>26248</v>
      </c>
      <c r="C1163" s="0" t="n">
        <v>4</v>
      </c>
      <c r="D1163" s="0" t="inlineStr">
        <is>
          <t>SM해그린</t>
        </is>
      </c>
      <c r="E1163" s="0" t="inlineStr">
        <is>
          <t>2004.12.</t>
        </is>
      </c>
      <c r="F1163" s="0" t="n">
        <v>48</v>
      </c>
      <c r="G1163" s="0" t="n">
        <v>29.28</v>
      </c>
      <c r="H1163" s="0" t="n">
        <v>96.81999999999999</v>
      </c>
      <c r="I1163" s="0" t="n">
        <v>25.58</v>
      </c>
      <c r="J1163" s="0" t="n">
        <v>84.58</v>
      </c>
      <c r="K1163" s="0" t="n">
        <v>30</v>
      </c>
      <c r="T1163" s="0" t="n">
        <v>3</v>
      </c>
      <c r="U1163" s="0" t="n">
        <v>2</v>
      </c>
      <c r="V1163" s="0" t="inlineStr">
        <is>
          <t>계단식</t>
        </is>
      </c>
      <c r="W1163" s="0" t="inlineStr">
        <is>
          <t>96A</t>
        </is>
      </c>
      <c r="X1163" s="0" t="n">
        <v>12</v>
      </c>
      <c r="Y1163" s="0" t="n">
        <v>6</v>
      </c>
      <c r="Z1163" s="0" t="inlineStr">
        <is>
          <t>https://new.land.naver.com/complexes/26248?tab=detail&amp;rf=Y</t>
        </is>
      </c>
      <c r="AA1163" s="0" t="inlineStr">
        <is>
          <t>서울시 강동구 명일동 357</t>
        </is>
      </c>
      <c r="AB1163" s="0" t="inlineStr">
        <is>
          <t>서울시</t>
        </is>
      </c>
      <c r="AC1163" s="0" t="inlineStr">
        <is>
          <t>강동구</t>
        </is>
      </c>
      <c r="AD1163" s="0" t="inlineStr">
        <is>
          <t>명일동</t>
        </is>
      </c>
      <c r="AG1163" s="0" t="inlineStr">
        <is>
          <t>서울시 강동구 상암로 210-32</t>
        </is>
      </c>
      <c r="AH1163" s="0" t="n">
        <v>0</v>
      </c>
      <c r="AI1163" s="0" t="n">
        <v>234</v>
      </c>
      <c r="AJ1163" s="0" t="n">
        <v>27</v>
      </c>
      <c r="AK1163" s="0" t="n">
        <v>58</v>
      </c>
      <c r="AL1163" s="0" t="n">
        <v>1.21</v>
      </c>
    </row>
    <row r="1164">
      <c r="A1164" s="0" t="inlineStr">
        <is>
          <t>[명일동]</t>
        </is>
      </c>
      <c r="B1164" s="0" t="n">
        <v>26248</v>
      </c>
      <c r="C1164" s="0" t="n">
        <v>5</v>
      </c>
      <c r="D1164" s="0" t="inlineStr">
        <is>
          <t>SM해그린</t>
        </is>
      </c>
      <c r="E1164" s="0" t="inlineStr">
        <is>
          <t>2004.12.</t>
        </is>
      </c>
      <c r="F1164" s="0" t="n">
        <v>48</v>
      </c>
      <c r="G1164" s="0" t="n">
        <v>29.33</v>
      </c>
      <c r="H1164" s="0" t="n">
        <v>96.98</v>
      </c>
      <c r="I1164" s="0" t="n">
        <v>25.62</v>
      </c>
      <c r="J1164" s="0" t="n">
        <v>84.72</v>
      </c>
      <c r="K1164" s="0" t="n">
        <v>6</v>
      </c>
      <c r="T1164" s="0" t="n">
        <v>3</v>
      </c>
      <c r="U1164" s="0" t="n">
        <v>2</v>
      </c>
      <c r="V1164" s="0" t="inlineStr">
        <is>
          <t>계단식</t>
        </is>
      </c>
      <c r="W1164" s="0" t="inlineStr">
        <is>
          <t>96B</t>
        </is>
      </c>
      <c r="X1164" s="0" t="n">
        <v>12</v>
      </c>
      <c r="Y1164" s="0" t="n">
        <v>6</v>
      </c>
      <c r="Z1164" s="0" t="inlineStr">
        <is>
          <t>https://new.land.naver.com/complexes/26248?tab=detail&amp;rf=Y</t>
        </is>
      </c>
      <c r="AA1164" s="0" t="inlineStr">
        <is>
          <t>서울시 강동구 명일동 357</t>
        </is>
      </c>
      <c r="AB1164" s="0" t="inlineStr">
        <is>
          <t>서울시</t>
        </is>
      </c>
      <c r="AC1164" s="0" t="inlineStr">
        <is>
          <t>강동구</t>
        </is>
      </c>
      <c r="AD1164" s="0" t="inlineStr">
        <is>
          <t>명일동</t>
        </is>
      </c>
      <c r="AG1164" s="0" t="inlineStr">
        <is>
          <t>서울시 강동구 상암로 210-32</t>
        </is>
      </c>
      <c r="AH1164" s="0" t="n">
        <v>0</v>
      </c>
      <c r="AI1164" s="0" t="n">
        <v>234</v>
      </c>
      <c r="AJ1164" s="0" t="n">
        <v>27</v>
      </c>
      <c r="AK1164" s="0" t="n">
        <v>58</v>
      </c>
      <c r="AL1164" s="0" t="n">
        <v>1.21</v>
      </c>
    </row>
    <row r="1165">
      <c r="A1165" s="0" t="inlineStr">
        <is>
          <t>[명일동]</t>
        </is>
      </c>
      <c r="B1165" s="0" t="n">
        <v>26248</v>
      </c>
      <c r="C1165" s="0" t="n">
        <v>6</v>
      </c>
      <c r="D1165" s="0" t="inlineStr">
        <is>
          <t>SM해그린</t>
        </is>
      </c>
      <c r="E1165" s="0" t="inlineStr">
        <is>
          <t>2004.12.</t>
        </is>
      </c>
      <c r="F1165" s="0" t="n">
        <v>48</v>
      </c>
      <c r="G1165" s="0" t="n">
        <v>29.4</v>
      </c>
      <c r="H1165" s="0" t="n">
        <v>97.2</v>
      </c>
      <c r="I1165" s="0" t="n">
        <v>25.68</v>
      </c>
      <c r="J1165" s="0" t="n">
        <v>84.91</v>
      </c>
      <c r="K1165" s="0" t="n">
        <v>1</v>
      </c>
      <c r="T1165" s="0" t="n">
        <v>3</v>
      </c>
      <c r="U1165" s="0" t="n">
        <v>2</v>
      </c>
      <c r="V1165" s="0" t="inlineStr">
        <is>
          <t>계단식</t>
        </is>
      </c>
      <c r="W1165" s="0" t="inlineStr">
        <is>
          <t>97C</t>
        </is>
      </c>
      <c r="X1165" s="0" t="n">
        <v>12</v>
      </c>
      <c r="Y1165" s="0" t="n">
        <v>6</v>
      </c>
      <c r="Z1165" s="0" t="inlineStr">
        <is>
          <t>https://new.land.naver.com/complexes/26248?tab=detail&amp;rf=Y</t>
        </is>
      </c>
      <c r="AA1165" s="0" t="inlineStr">
        <is>
          <t>서울시 강동구 명일동 357</t>
        </is>
      </c>
      <c r="AB1165" s="0" t="inlineStr">
        <is>
          <t>서울시</t>
        </is>
      </c>
      <c r="AC1165" s="0" t="inlineStr">
        <is>
          <t>강동구</t>
        </is>
      </c>
      <c r="AD1165" s="0" t="inlineStr">
        <is>
          <t>명일동</t>
        </is>
      </c>
      <c r="AG1165" s="0" t="inlineStr">
        <is>
          <t>서울시 강동구 상암로 210-32</t>
        </is>
      </c>
      <c r="AH1165" s="0" t="n">
        <v>0</v>
      </c>
      <c r="AI1165" s="0" t="n">
        <v>234</v>
      </c>
      <c r="AJ1165" s="0" t="n">
        <v>27</v>
      </c>
      <c r="AK1165" s="0" t="n">
        <v>58</v>
      </c>
      <c r="AL1165" s="0" t="n">
        <v>1.21</v>
      </c>
    </row>
    <row r="1166">
      <c r="A1166" s="0" t="inlineStr">
        <is>
          <t>[명일동]</t>
        </is>
      </c>
      <c r="B1166" s="0" t="n">
        <v>26248</v>
      </c>
      <c r="C1166" s="0" t="n">
        <v>7</v>
      </c>
      <c r="D1166" s="0" t="inlineStr">
        <is>
          <t>SM해그린</t>
        </is>
      </c>
      <c r="E1166" s="0" t="inlineStr">
        <is>
          <t>2004.12.</t>
        </is>
      </c>
      <c r="F1166" s="0" t="n">
        <v>48</v>
      </c>
      <c r="G1166" s="0" t="n">
        <v>31.34</v>
      </c>
      <c r="H1166" s="0" t="n">
        <v>103.63</v>
      </c>
      <c r="I1166" s="0" t="n">
        <v>27.38</v>
      </c>
      <c r="J1166" s="0" t="n">
        <v>90.53</v>
      </c>
      <c r="K1166" s="0" t="n">
        <v>1</v>
      </c>
      <c r="T1166" s="0" t="n">
        <v>3</v>
      </c>
      <c r="U1166" s="0" t="n">
        <v>2</v>
      </c>
      <c r="V1166" s="0" t="inlineStr">
        <is>
          <t>계단식</t>
        </is>
      </c>
      <c r="W1166" s="0" t="n">
        <v>103</v>
      </c>
      <c r="X1166" s="0" t="n">
        <v>12</v>
      </c>
      <c r="Y1166" s="0" t="n">
        <v>6</v>
      </c>
      <c r="Z1166" s="0" t="inlineStr">
        <is>
          <t>https://new.land.naver.com/complexes/26248?tab=detail&amp;rf=Y</t>
        </is>
      </c>
      <c r="AA1166" s="0" t="inlineStr">
        <is>
          <t>서울시 강동구 명일동 357</t>
        </is>
      </c>
      <c r="AB1166" s="0" t="inlineStr">
        <is>
          <t>서울시</t>
        </is>
      </c>
      <c r="AC1166" s="0" t="inlineStr">
        <is>
          <t>강동구</t>
        </is>
      </c>
      <c r="AD1166" s="0" t="inlineStr">
        <is>
          <t>명일동</t>
        </is>
      </c>
      <c r="AG1166" s="0" t="inlineStr">
        <is>
          <t>서울시 강동구 상암로 210-32</t>
        </is>
      </c>
      <c r="AH1166" s="0" t="n">
        <v>0</v>
      </c>
      <c r="AI1166" s="0" t="n">
        <v>234</v>
      </c>
      <c r="AJ1166" s="0" t="n">
        <v>27</v>
      </c>
      <c r="AK1166" s="0" t="n">
        <v>58</v>
      </c>
      <c r="AL1166" s="0" t="n">
        <v>1.21</v>
      </c>
    </row>
    <row r="1167">
      <c r="A1167" s="0" t="inlineStr">
        <is>
          <t>[명일동]</t>
        </is>
      </c>
      <c r="B1167" s="0" t="n">
        <v>26248</v>
      </c>
      <c r="C1167" s="0" t="n">
        <v>8</v>
      </c>
      <c r="D1167" s="0" t="inlineStr">
        <is>
          <t>SM해그린</t>
        </is>
      </c>
      <c r="E1167" s="0" t="inlineStr">
        <is>
          <t>2004.12.</t>
        </is>
      </c>
      <c r="F1167" s="0" t="n">
        <v>48</v>
      </c>
      <c r="G1167" s="0" t="n">
        <v>34</v>
      </c>
      <c r="H1167" s="0" t="n">
        <v>112.4</v>
      </c>
      <c r="I1167" s="0" t="n">
        <v>29.7</v>
      </c>
      <c r="J1167" s="0" t="n">
        <v>98.19</v>
      </c>
      <c r="K1167" s="0" t="n">
        <v>5</v>
      </c>
      <c r="T1167" s="0" t="n">
        <v>3</v>
      </c>
      <c r="U1167" s="0" t="n">
        <v>2</v>
      </c>
      <c r="V1167" s="0" t="inlineStr">
        <is>
          <t>계단식</t>
        </is>
      </c>
      <c r="W1167" s="0" t="n">
        <v>112</v>
      </c>
      <c r="X1167" s="0" t="n">
        <v>12</v>
      </c>
      <c r="Y1167" s="0" t="n">
        <v>6</v>
      </c>
      <c r="Z1167" s="0" t="inlineStr">
        <is>
          <t>https://new.land.naver.com/complexes/26248?tab=detail&amp;rf=Y</t>
        </is>
      </c>
      <c r="AA1167" s="0" t="inlineStr">
        <is>
          <t>서울시 강동구 명일동 357</t>
        </is>
      </c>
      <c r="AB1167" s="0" t="inlineStr">
        <is>
          <t>서울시</t>
        </is>
      </c>
      <c r="AC1167" s="0" t="inlineStr">
        <is>
          <t>강동구</t>
        </is>
      </c>
      <c r="AD1167" s="0" t="inlineStr">
        <is>
          <t>명일동</t>
        </is>
      </c>
      <c r="AG1167" s="0" t="inlineStr">
        <is>
          <t>서울시 강동구 상암로 210-32</t>
        </is>
      </c>
      <c r="AH1167" s="0" t="n">
        <v>0</v>
      </c>
      <c r="AI1167" s="0" t="n">
        <v>234</v>
      </c>
      <c r="AJ1167" s="0" t="n">
        <v>27</v>
      </c>
      <c r="AK1167" s="0" t="n">
        <v>58</v>
      </c>
      <c r="AL1167" s="0" t="n">
        <v>1.21</v>
      </c>
    </row>
    <row r="1168">
      <c r="A1168" s="0" t="inlineStr">
        <is>
          <t>[명일동]</t>
        </is>
      </c>
      <c r="B1168" s="0" t="n">
        <v>26248</v>
      </c>
      <c r="C1168" s="0" t="n">
        <v>9</v>
      </c>
      <c r="D1168" s="0" t="inlineStr">
        <is>
          <t>SM해그린</t>
        </is>
      </c>
      <c r="E1168" s="0" t="inlineStr">
        <is>
          <t>2004.12.</t>
        </is>
      </c>
      <c r="F1168" s="0" t="n">
        <v>48</v>
      </c>
      <c r="G1168" s="0" t="n">
        <v>41.66</v>
      </c>
      <c r="H1168" s="0" t="n">
        <v>137.73</v>
      </c>
      <c r="I1168" s="0" t="n">
        <v>36.39</v>
      </c>
      <c r="J1168" s="0" t="n">
        <v>120.32</v>
      </c>
      <c r="K1168" s="0" t="n">
        <v>1</v>
      </c>
      <c r="T1168" s="0" t="n">
        <v>3</v>
      </c>
      <c r="U1168" s="0" t="n">
        <v>2</v>
      </c>
      <c r="V1168" s="0" t="inlineStr">
        <is>
          <t>계단식</t>
        </is>
      </c>
      <c r="W1168" s="0" t="n">
        <v>137</v>
      </c>
      <c r="X1168" s="0" t="n">
        <v>12</v>
      </c>
      <c r="Y1168" s="0" t="n">
        <v>6</v>
      </c>
      <c r="Z1168" s="0" t="inlineStr">
        <is>
          <t>https://new.land.naver.com/complexes/26248?tab=detail&amp;rf=Y</t>
        </is>
      </c>
      <c r="AA1168" s="0" t="inlineStr">
        <is>
          <t>서울시 강동구 명일동 357</t>
        </is>
      </c>
      <c r="AB1168" s="0" t="inlineStr">
        <is>
          <t>서울시</t>
        </is>
      </c>
      <c r="AC1168" s="0" t="inlineStr">
        <is>
          <t>강동구</t>
        </is>
      </c>
      <c r="AD1168" s="0" t="inlineStr">
        <is>
          <t>명일동</t>
        </is>
      </c>
      <c r="AG1168" s="0" t="inlineStr">
        <is>
          <t>서울시 강동구 상암로 210-32</t>
        </is>
      </c>
      <c r="AH1168" s="0" t="n">
        <v>0</v>
      </c>
      <c r="AI1168" s="0" t="n">
        <v>234</v>
      </c>
      <c r="AJ1168" s="0" t="n">
        <v>27</v>
      </c>
      <c r="AK1168" s="0" t="n">
        <v>58</v>
      </c>
      <c r="AL1168" s="0" t="n">
        <v>1.21</v>
      </c>
    </row>
    <row r="1169">
      <c r="A1169" s="0" t="inlineStr">
        <is>
          <t>[명일동]</t>
        </is>
      </c>
      <c r="B1169" s="0" t="n">
        <v>26248</v>
      </c>
      <c r="C1169" s="0" t="n">
        <v>10</v>
      </c>
      <c r="D1169" s="0" t="inlineStr">
        <is>
          <t>SM해그린</t>
        </is>
      </c>
      <c r="E1169" s="0" t="inlineStr">
        <is>
          <t>2004.12.</t>
        </is>
      </c>
      <c r="F1169" s="0" t="n">
        <v>48</v>
      </c>
      <c r="G1169" s="0" t="n">
        <v>51.28</v>
      </c>
      <c r="H1169" s="0" t="n">
        <v>169.53</v>
      </c>
      <c r="I1169" s="0" t="n">
        <v>44.82</v>
      </c>
      <c r="J1169" s="0" t="n">
        <v>148.17</v>
      </c>
      <c r="K1169" s="0" t="n">
        <v>1</v>
      </c>
      <c r="T1169" s="0" t="n">
        <v>3</v>
      </c>
      <c r="U1169" s="0" t="n">
        <v>2</v>
      </c>
      <c r="V1169" s="0" t="inlineStr">
        <is>
          <t>계단식</t>
        </is>
      </c>
      <c r="W1169" s="0" t="n">
        <v>169</v>
      </c>
      <c r="X1169" s="0" t="n">
        <v>12</v>
      </c>
      <c r="Y1169" s="0" t="n">
        <v>6</v>
      </c>
      <c r="Z1169" s="0" t="inlineStr">
        <is>
          <t>https://new.land.naver.com/complexes/26248?tab=detail&amp;rf=Y</t>
        </is>
      </c>
      <c r="AA1169" s="0" t="inlineStr">
        <is>
          <t>서울시 강동구 명일동 357</t>
        </is>
      </c>
      <c r="AB1169" s="0" t="inlineStr">
        <is>
          <t>서울시</t>
        </is>
      </c>
      <c r="AC1169" s="0" t="inlineStr">
        <is>
          <t>강동구</t>
        </is>
      </c>
      <c r="AD1169" s="0" t="inlineStr">
        <is>
          <t>명일동</t>
        </is>
      </c>
      <c r="AG1169" s="0" t="inlineStr">
        <is>
          <t>서울시 강동구 상암로 210-32</t>
        </is>
      </c>
      <c r="AH1169" s="0" t="n">
        <v>0</v>
      </c>
      <c r="AI1169" s="0" t="n">
        <v>234</v>
      </c>
      <c r="AJ1169" s="0" t="n">
        <v>27</v>
      </c>
      <c r="AK1169" s="0" t="n">
        <v>58</v>
      </c>
      <c r="AL1169" s="0" t="n">
        <v>1.21</v>
      </c>
    </row>
    <row r="1170">
      <c r="A1170" s="0" t="inlineStr">
        <is>
          <t>[명일동]</t>
        </is>
      </c>
      <c r="B1170" s="0" t="n">
        <v>14206</v>
      </c>
      <c r="C1170" s="0" t="n">
        <v>1</v>
      </c>
      <c r="D1170" s="0" t="inlineStr">
        <is>
          <t>케이엔피(KNP)</t>
        </is>
      </c>
      <c r="E1170" s="0" t="inlineStr">
        <is>
          <t>2002.11.</t>
        </is>
      </c>
      <c r="F1170" s="0" t="n">
        <v>19</v>
      </c>
      <c r="G1170" s="0" t="n">
        <v>29.91</v>
      </c>
      <c r="H1170" s="0" t="n">
        <v>98.89</v>
      </c>
      <c r="I1170" s="0" t="n">
        <v>25.35</v>
      </c>
      <c r="J1170" s="0" t="n">
        <v>83.81999999999999</v>
      </c>
      <c r="K1170" s="0" t="n">
        <v>1</v>
      </c>
      <c r="T1170" s="0" t="n">
        <v>3</v>
      </c>
      <c r="U1170" s="0" t="n">
        <v>2</v>
      </c>
      <c r="V1170" s="0" t="inlineStr">
        <is>
          <t>계단식</t>
        </is>
      </c>
      <c r="W1170" s="0" t="inlineStr">
        <is>
          <t>98A</t>
        </is>
      </c>
      <c r="X1170" s="0" t="n">
        <v>7</v>
      </c>
      <c r="Y1170" s="0" t="n">
        <v>7</v>
      </c>
      <c r="Z1170" s="0" t="inlineStr">
        <is>
          <t>https://new.land.naver.com/complexes/14206?tab=detail&amp;rf=Y</t>
        </is>
      </c>
      <c r="AA1170" s="0" t="inlineStr">
        <is>
          <t>서울시 강동구 명일동 336-12</t>
        </is>
      </c>
      <c r="AB1170" s="0" t="inlineStr">
        <is>
          <t>서울시</t>
        </is>
      </c>
      <c r="AC1170" s="0" t="inlineStr">
        <is>
          <t>강동구</t>
        </is>
      </c>
      <c r="AD1170" s="0" t="inlineStr">
        <is>
          <t>명일동</t>
        </is>
      </c>
      <c r="AG1170" s="0" t="inlineStr">
        <is>
          <t>서울시 강동구 상암로47길 38</t>
        </is>
      </c>
      <c r="AH1170" s="0" t="n">
        <v>0</v>
      </c>
      <c r="AI1170" s="0" t="n">
        <v>231</v>
      </c>
      <c r="AJ1170" s="0" t="n">
        <v>35</v>
      </c>
      <c r="AK1170" s="0" t="n">
        <v>23</v>
      </c>
      <c r="AL1170" s="0" t="n">
        <v>1.21</v>
      </c>
    </row>
    <row r="1171">
      <c r="A1171" s="0" t="inlineStr">
        <is>
          <t>[명일동]</t>
        </is>
      </c>
      <c r="B1171" s="0" t="n">
        <v>14206</v>
      </c>
      <c r="C1171" s="0" t="n">
        <v>2</v>
      </c>
      <c r="D1171" s="0" t="inlineStr">
        <is>
          <t>케이엔피(KNP)</t>
        </is>
      </c>
      <c r="E1171" s="0" t="inlineStr">
        <is>
          <t>2002.11.</t>
        </is>
      </c>
      <c r="F1171" s="0" t="n">
        <v>19</v>
      </c>
      <c r="G1171" s="0" t="n">
        <v>30.2</v>
      </c>
      <c r="H1171" s="0" t="n">
        <v>99.84999999999999</v>
      </c>
      <c r="I1171" s="0" t="n">
        <v>25.59</v>
      </c>
      <c r="J1171" s="0" t="n">
        <v>84.59999999999999</v>
      </c>
      <c r="K1171" s="0" t="n">
        <v>13</v>
      </c>
      <c r="T1171" s="0" t="n">
        <v>3</v>
      </c>
      <c r="U1171" s="0" t="n">
        <v>2</v>
      </c>
      <c r="V1171" s="0" t="inlineStr">
        <is>
          <t>계단식</t>
        </is>
      </c>
      <c r="W1171" s="0" t="inlineStr">
        <is>
          <t>99B</t>
        </is>
      </c>
      <c r="X1171" s="0" t="n">
        <v>7</v>
      </c>
      <c r="Y1171" s="0" t="n">
        <v>7</v>
      </c>
      <c r="Z1171" s="0" t="inlineStr">
        <is>
          <t>https://new.land.naver.com/complexes/14206?tab=detail&amp;rf=Y</t>
        </is>
      </c>
      <c r="AA1171" s="0" t="inlineStr">
        <is>
          <t>서울시 강동구 명일동 336-12</t>
        </is>
      </c>
      <c r="AB1171" s="0" t="inlineStr">
        <is>
          <t>서울시</t>
        </is>
      </c>
      <c r="AC1171" s="0" t="inlineStr">
        <is>
          <t>강동구</t>
        </is>
      </c>
      <c r="AD1171" s="0" t="inlineStr">
        <is>
          <t>명일동</t>
        </is>
      </c>
      <c r="AG1171" s="0" t="inlineStr">
        <is>
          <t>서울시 강동구 상암로47길 38</t>
        </is>
      </c>
      <c r="AH1171" s="0" t="n">
        <v>0</v>
      </c>
      <c r="AI1171" s="0" t="n">
        <v>231</v>
      </c>
      <c r="AJ1171" s="0" t="n">
        <v>35</v>
      </c>
      <c r="AK1171" s="0" t="n">
        <v>23</v>
      </c>
      <c r="AL1171" s="0" t="n">
        <v>1.21</v>
      </c>
    </row>
    <row r="1172">
      <c r="A1172" s="0" t="inlineStr">
        <is>
          <t>[명일동]</t>
        </is>
      </c>
      <c r="B1172" s="0" t="n">
        <v>14206</v>
      </c>
      <c r="C1172" s="0" t="n">
        <v>3</v>
      </c>
      <c r="D1172" s="0" t="inlineStr">
        <is>
          <t>케이엔피(KNP)</t>
        </is>
      </c>
      <c r="E1172" s="0" t="inlineStr">
        <is>
          <t>2002.11.</t>
        </is>
      </c>
      <c r="F1172" s="0" t="n">
        <v>19</v>
      </c>
      <c r="G1172" s="0" t="n">
        <v>30.24</v>
      </c>
      <c r="H1172" s="0" t="n">
        <v>99.98999999999999</v>
      </c>
      <c r="I1172" s="0" t="n">
        <v>25.62</v>
      </c>
      <c r="J1172" s="0" t="n">
        <v>84.72</v>
      </c>
      <c r="K1172" s="0" t="n">
        <v>5</v>
      </c>
      <c r="T1172" s="0" t="n">
        <v>3</v>
      </c>
      <c r="U1172" s="0" t="n">
        <v>2</v>
      </c>
      <c r="V1172" s="0" t="inlineStr">
        <is>
          <t>계단식</t>
        </is>
      </c>
      <c r="W1172" s="0" t="inlineStr">
        <is>
          <t>99C</t>
        </is>
      </c>
      <c r="X1172" s="0" t="n">
        <v>7</v>
      </c>
      <c r="Y1172" s="0" t="n">
        <v>7</v>
      </c>
      <c r="Z1172" s="0" t="inlineStr">
        <is>
          <t>https://new.land.naver.com/complexes/14206?tab=detail&amp;rf=Y</t>
        </is>
      </c>
      <c r="AA1172" s="0" t="inlineStr">
        <is>
          <t>서울시 강동구 명일동 336-12</t>
        </is>
      </c>
      <c r="AB1172" s="0" t="inlineStr">
        <is>
          <t>서울시</t>
        </is>
      </c>
      <c r="AC1172" s="0" t="inlineStr">
        <is>
          <t>강동구</t>
        </is>
      </c>
      <c r="AD1172" s="0" t="inlineStr">
        <is>
          <t>명일동</t>
        </is>
      </c>
      <c r="AG1172" s="0" t="inlineStr">
        <is>
          <t>서울시 강동구 상암로47길 38</t>
        </is>
      </c>
      <c r="AH1172" s="0" t="n">
        <v>0</v>
      </c>
      <c r="AI1172" s="0" t="n">
        <v>231</v>
      </c>
      <c r="AJ1172" s="0" t="n">
        <v>35</v>
      </c>
      <c r="AK1172" s="0" t="n">
        <v>23</v>
      </c>
      <c r="AL1172" s="0" t="n">
        <v>1.21</v>
      </c>
    </row>
    <row r="1173">
      <c r="A1173" s="0" t="inlineStr">
        <is>
          <t>[명일동]</t>
        </is>
      </c>
      <c r="B1173" s="0" t="n">
        <v>17452</v>
      </c>
      <c r="C1173" s="0" t="n">
        <v>1</v>
      </c>
      <c r="D1173" s="0" t="inlineStr">
        <is>
          <t>동은</t>
        </is>
      </c>
      <c r="E1173" s="0" t="inlineStr">
        <is>
          <t>2004.02.</t>
        </is>
      </c>
      <c r="F1173" s="0" t="n">
        <v>11</v>
      </c>
      <c r="G1173" s="0" t="n">
        <v>19.17</v>
      </c>
      <c r="H1173" s="0" t="n">
        <v>63.4</v>
      </c>
      <c r="I1173" s="0" t="n">
        <v>16.41</v>
      </c>
      <c r="J1173" s="0" t="n">
        <v>54.27</v>
      </c>
      <c r="K1173" s="0" t="n">
        <v>1</v>
      </c>
      <c r="T1173" s="0" t="n">
        <v>3</v>
      </c>
      <c r="U1173" s="0" t="n">
        <v>1</v>
      </c>
      <c r="V1173" s="0" t="inlineStr">
        <is>
          <t>계단식</t>
        </is>
      </c>
      <c r="W1173" s="0" t="n">
        <v>63</v>
      </c>
      <c r="X1173" s="0" t="n">
        <v>7</v>
      </c>
      <c r="Y1173" s="0" t="n">
        <v>6</v>
      </c>
      <c r="Z1173" s="0" t="inlineStr">
        <is>
          <t>https://new.land.naver.com/complexes/17452?tab=detail&amp;rf=Y</t>
        </is>
      </c>
      <c r="AA1173" s="0" t="inlineStr">
        <is>
          <t>서울시 강동구 명일동 343-10</t>
        </is>
      </c>
      <c r="AB1173" s="0" t="inlineStr">
        <is>
          <t>서울시</t>
        </is>
      </c>
      <c r="AC1173" s="0" t="inlineStr">
        <is>
          <t>강동구</t>
        </is>
      </c>
      <c r="AD1173" s="0" t="inlineStr">
        <is>
          <t>명일동</t>
        </is>
      </c>
      <c r="AG1173" s="0" t="inlineStr">
        <is>
          <t>서울시 강동구 상암로49길 12-8</t>
        </is>
      </c>
      <c r="AH1173" s="0" t="n">
        <v>0</v>
      </c>
      <c r="AI1173" s="0" t="n">
        <v>976</v>
      </c>
      <c r="AJ1173" s="0" t="n">
        <v>57</v>
      </c>
      <c r="AK1173" s="0" t="n">
        <v>10</v>
      </c>
      <c r="AL1173" s="0" t="n">
        <v>0.91</v>
      </c>
    </row>
    <row r="1174">
      <c r="A1174" s="0" t="inlineStr">
        <is>
          <t>[명일동]</t>
        </is>
      </c>
      <c r="B1174" s="0" t="n">
        <v>17452</v>
      </c>
      <c r="C1174" s="0" t="n">
        <v>2</v>
      </c>
      <c r="D1174" s="0" t="inlineStr">
        <is>
          <t>동은</t>
        </is>
      </c>
      <c r="E1174" s="0" t="inlineStr">
        <is>
          <t>2004.02.</t>
        </is>
      </c>
      <c r="F1174" s="0" t="n">
        <v>11</v>
      </c>
      <c r="G1174" s="0" t="n">
        <v>21.17</v>
      </c>
      <c r="H1174" s="0" t="n">
        <v>69.98999999999999</v>
      </c>
      <c r="I1174" s="0" t="n">
        <v>18.12</v>
      </c>
      <c r="J1174" s="0" t="n">
        <v>59.91</v>
      </c>
      <c r="K1174" s="0" t="n">
        <v>1</v>
      </c>
      <c r="T1174" s="0" t="n">
        <v>3</v>
      </c>
      <c r="U1174" s="0" t="n">
        <v>1</v>
      </c>
      <c r="V1174" s="0" t="inlineStr">
        <is>
          <t>계단식</t>
        </is>
      </c>
      <c r="W1174" s="0" t="n">
        <v>69</v>
      </c>
      <c r="X1174" s="0" t="n">
        <v>7</v>
      </c>
      <c r="Y1174" s="0" t="n">
        <v>6</v>
      </c>
      <c r="Z1174" s="0" t="inlineStr">
        <is>
          <t>https://new.land.naver.com/complexes/17452?tab=detail&amp;rf=Y</t>
        </is>
      </c>
      <c r="AA1174" s="0" t="inlineStr">
        <is>
          <t>서울시 강동구 명일동 343-10</t>
        </is>
      </c>
      <c r="AB1174" s="0" t="inlineStr">
        <is>
          <t>서울시</t>
        </is>
      </c>
      <c r="AC1174" s="0" t="inlineStr">
        <is>
          <t>강동구</t>
        </is>
      </c>
      <c r="AD1174" s="0" t="inlineStr">
        <is>
          <t>명일동</t>
        </is>
      </c>
      <c r="AG1174" s="0" t="inlineStr">
        <is>
          <t>서울시 강동구 상암로49길 12-8</t>
        </is>
      </c>
      <c r="AH1174" s="0" t="n">
        <v>0</v>
      </c>
      <c r="AI1174" s="0" t="n">
        <v>976</v>
      </c>
      <c r="AJ1174" s="0" t="n">
        <v>57</v>
      </c>
      <c r="AK1174" s="0" t="n">
        <v>10</v>
      </c>
      <c r="AL1174" s="0" t="n">
        <v>0.91</v>
      </c>
    </row>
    <row r="1175">
      <c r="A1175" s="0" t="inlineStr">
        <is>
          <t>[명일동]</t>
        </is>
      </c>
      <c r="B1175" s="0" t="n">
        <v>17452</v>
      </c>
      <c r="C1175" s="0" t="n">
        <v>3</v>
      </c>
      <c r="D1175" s="0" t="inlineStr">
        <is>
          <t>동은</t>
        </is>
      </c>
      <c r="E1175" s="0" t="inlineStr">
        <is>
          <t>2004.02.</t>
        </is>
      </c>
      <c r="F1175" s="0" t="n">
        <v>11</v>
      </c>
      <c r="G1175" s="0" t="n">
        <v>24.22</v>
      </c>
      <c r="H1175" s="0" t="n">
        <v>80.09</v>
      </c>
      <c r="I1175" s="0" t="n">
        <v>20.73</v>
      </c>
      <c r="J1175" s="0" t="n">
        <v>68.56</v>
      </c>
      <c r="K1175" s="0" t="n">
        <v>1</v>
      </c>
      <c r="T1175" s="0" t="n">
        <v>3</v>
      </c>
      <c r="U1175" s="0" t="n">
        <v>1</v>
      </c>
      <c r="V1175" s="0" t="inlineStr">
        <is>
          <t>복도식</t>
        </is>
      </c>
      <c r="W1175" s="0" t="n">
        <v>80</v>
      </c>
      <c r="X1175" s="0" t="n">
        <v>7</v>
      </c>
      <c r="Y1175" s="0" t="n">
        <v>6</v>
      </c>
      <c r="Z1175" s="0" t="inlineStr">
        <is>
          <t>https://new.land.naver.com/complexes/17452?tab=detail&amp;rf=Y</t>
        </is>
      </c>
      <c r="AA1175" s="0" t="inlineStr">
        <is>
          <t>서울시 강동구 명일동 343-10</t>
        </is>
      </c>
      <c r="AB1175" s="0" t="inlineStr">
        <is>
          <t>서울시</t>
        </is>
      </c>
      <c r="AC1175" s="0" t="inlineStr">
        <is>
          <t>강동구</t>
        </is>
      </c>
      <c r="AD1175" s="0" t="inlineStr">
        <is>
          <t>명일동</t>
        </is>
      </c>
      <c r="AG1175" s="0" t="inlineStr">
        <is>
          <t>서울시 강동구 상암로49길 12-8</t>
        </is>
      </c>
      <c r="AH1175" s="0" t="n">
        <v>0</v>
      </c>
      <c r="AI1175" s="0" t="n">
        <v>976</v>
      </c>
      <c r="AJ1175" s="0" t="n">
        <v>57</v>
      </c>
      <c r="AK1175" s="0" t="n">
        <v>10</v>
      </c>
      <c r="AL1175" s="0" t="n">
        <v>0.91</v>
      </c>
    </row>
    <row r="1176">
      <c r="A1176" s="0" t="inlineStr">
        <is>
          <t>[명일동]</t>
        </is>
      </c>
      <c r="B1176" s="0" t="n">
        <v>17452</v>
      </c>
      <c r="C1176" s="0" t="n">
        <v>4</v>
      </c>
      <c r="D1176" s="0" t="inlineStr">
        <is>
          <t>동은</t>
        </is>
      </c>
      <c r="E1176" s="0" t="inlineStr">
        <is>
          <t>2004.02.</t>
        </is>
      </c>
      <c r="F1176" s="0" t="n">
        <v>11</v>
      </c>
      <c r="G1176" s="0" t="n">
        <v>26.1</v>
      </c>
      <c r="H1176" s="0" t="n">
        <v>86.29000000000001</v>
      </c>
      <c r="I1176" s="0" t="n">
        <v>22.34</v>
      </c>
      <c r="J1176" s="0" t="n">
        <v>73.87</v>
      </c>
      <c r="K1176" s="0" t="n">
        <v>1</v>
      </c>
      <c r="T1176" s="0" t="n">
        <v>3</v>
      </c>
      <c r="U1176" s="0" t="n">
        <v>2</v>
      </c>
      <c r="V1176" s="0" t="inlineStr">
        <is>
          <t>계단식</t>
        </is>
      </c>
      <c r="W1176" s="0" t="n">
        <v>86</v>
      </c>
      <c r="X1176" s="0" t="n">
        <v>7</v>
      </c>
      <c r="Y1176" s="0" t="n">
        <v>6</v>
      </c>
      <c r="Z1176" s="0" t="inlineStr">
        <is>
          <t>https://new.land.naver.com/complexes/17452?tab=detail&amp;rf=Y</t>
        </is>
      </c>
      <c r="AA1176" s="0" t="inlineStr">
        <is>
          <t>서울시 강동구 명일동 343-10</t>
        </is>
      </c>
      <c r="AB1176" s="0" t="inlineStr">
        <is>
          <t>서울시</t>
        </is>
      </c>
      <c r="AC1176" s="0" t="inlineStr">
        <is>
          <t>강동구</t>
        </is>
      </c>
      <c r="AD1176" s="0" t="inlineStr">
        <is>
          <t>명일동</t>
        </is>
      </c>
      <c r="AG1176" s="0" t="inlineStr">
        <is>
          <t>서울시 강동구 상암로49길 12-8</t>
        </is>
      </c>
      <c r="AH1176" s="0" t="n">
        <v>0</v>
      </c>
      <c r="AI1176" s="0" t="n">
        <v>976</v>
      </c>
      <c r="AJ1176" s="0" t="n">
        <v>57</v>
      </c>
      <c r="AK1176" s="0" t="n">
        <v>10</v>
      </c>
      <c r="AL1176" s="0" t="n">
        <v>0.91</v>
      </c>
    </row>
    <row r="1177">
      <c r="A1177" s="0" t="inlineStr">
        <is>
          <t>[명일동]</t>
        </is>
      </c>
      <c r="B1177" s="0" t="n">
        <v>17452</v>
      </c>
      <c r="C1177" s="0" t="n">
        <v>5</v>
      </c>
      <c r="D1177" s="0" t="inlineStr">
        <is>
          <t>동은</t>
        </is>
      </c>
      <c r="E1177" s="0" t="inlineStr">
        <is>
          <t>2004.02.</t>
        </is>
      </c>
      <c r="F1177" s="0" t="n">
        <v>11</v>
      </c>
      <c r="G1177" s="0" t="n">
        <v>27.83</v>
      </c>
      <c r="H1177" s="0" t="n">
        <v>92.03</v>
      </c>
      <c r="I1177" s="0" t="n">
        <v>23.83</v>
      </c>
      <c r="J1177" s="0" t="n">
        <v>78.78</v>
      </c>
      <c r="K1177" s="0" t="n">
        <v>1</v>
      </c>
      <c r="T1177" s="0" t="n">
        <v>3</v>
      </c>
      <c r="U1177" s="0" t="n">
        <v>2</v>
      </c>
      <c r="V1177" s="0" t="inlineStr">
        <is>
          <t>계단식</t>
        </is>
      </c>
      <c r="W1177" s="0" t="n">
        <v>92</v>
      </c>
      <c r="X1177" s="0" t="n">
        <v>7</v>
      </c>
      <c r="Y1177" s="0" t="n">
        <v>6</v>
      </c>
      <c r="Z1177" s="0" t="inlineStr">
        <is>
          <t>https://new.land.naver.com/complexes/17452?tab=detail&amp;rf=Y</t>
        </is>
      </c>
      <c r="AA1177" s="0" t="inlineStr">
        <is>
          <t>서울시 강동구 명일동 343-10</t>
        </is>
      </c>
      <c r="AB1177" s="0" t="inlineStr">
        <is>
          <t>서울시</t>
        </is>
      </c>
      <c r="AC1177" s="0" t="inlineStr">
        <is>
          <t>강동구</t>
        </is>
      </c>
      <c r="AD1177" s="0" t="inlineStr">
        <is>
          <t>명일동</t>
        </is>
      </c>
      <c r="AG1177" s="0" t="inlineStr">
        <is>
          <t>서울시 강동구 상암로49길 12-8</t>
        </is>
      </c>
      <c r="AH1177" s="0" t="n">
        <v>0</v>
      </c>
      <c r="AI1177" s="0" t="n">
        <v>976</v>
      </c>
      <c r="AJ1177" s="0" t="n">
        <v>57</v>
      </c>
      <c r="AK1177" s="0" t="n">
        <v>10</v>
      </c>
      <c r="AL1177" s="0" t="n">
        <v>0.91</v>
      </c>
    </row>
    <row r="1178">
      <c r="A1178" s="0" t="inlineStr">
        <is>
          <t>[명일동]</t>
        </is>
      </c>
      <c r="B1178" s="0" t="n">
        <v>17452</v>
      </c>
      <c r="C1178" s="0" t="n">
        <v>6</v>
      </c>
      <c r="D1178" s="0" t="inlineStr">
        <is>
          <t>동은</t>
        </is>
      </c>
      <c r="E1178" s="0" t="inlineStr">
        <is>
          <t>2004.02.</t>
        </is>
      </c>
      <c r="F1178" s="0" t="n">
        <v>11</v>
      </c>
      <c r="G1178" s="0" t="n">
        <v>29.48</v>
      </c>
      <c r="H1178" s="0" t="n">
        <v>97.47</v>
      </c>
      <c r="I1178" s="0" t="n">
        <v>25.23</v>
      </c>
      <c r="J1178" s="0" t="n">
        <v>83.43000000000001</v>
      </c>
      <c r="K1178" s="0" t="n">
        <v>6</v>
      </c>
      <c r="T1178" s="0" t="n">
        <v>3</v>
      </c>
      <c r="U1178" s="0" t="n">
        <v>2</v>
      </c>
      <c r="V1178" s="0" t="inlineStr">
        <is>
          <t>계단식</t>
        </is>
      </c>
      <c r="W1178" s="0" t="n">
        <v>97</v>
      </c>
      <c r="X1178" s="0" t="n">
        <v>7</v>
      </c>
      <c r="Y1178" s="0" t="n">
        <v>6</v>
      </c>
      <c r="Z1178" s="0" t="inlineStr">
        <is>
          <t>https://new.land.naver.com/complexes/17452?tab=detail&amp;rf=Y</t>
        </is>
      </c>
      <c r="AA1178" s="0" t="inlineStr">
        <is>
          <t>서울시 강동구 명일동 343-10</t>
        </is>
      </c>
      <c r="AB1178" s="0" t="inlineStr">
        <is>
          <t>서울시</t>
        </is>
      </c>
      <c r="AC1178" s="0" t="inlineStr">
        <is>
          <t>강동구</t>
        </is>
      </c>
      <c r="AD1178" s="0" t="inlineStr">
        <is>
          <t>명일동</t>
        </is>
      </c>
      <c r="AG1178" s="0" t="inlineStr">
        <is>
          <t>서울시 강동구 상암로49길 12-8</t>
        </is>
      </c>
      <c r="AH1178" s="0" t="n">
        <v>0</v>
      </c>
      <c r="AI1178" s="0" t="n">
        <v>976</v>
      </c>
      <c r="AJ1178" s="0" t="n">
        <v>57</v>
      </c>
      <c r="AK1178" s="0" t="n">
        <v>10</v>
      </c>
      <c r="AL1178" s="0" t="n">
        <v>0.91</v>
      </c>
    </row>
    <row r="1179">
      <c r="A1179" s="0" t="inlineStr">
        <is>
          <t>[명일동]</t>
        </is>
      </c>
      <c r="B1179" s="0" t="n">
        <v>897</v>
      </c>
      <c r="C1179" s="0" t="n">
        <v>1</v>
      </c>
      <c r="D1179" s="0" t="inlineStr">
        <is>
          <t>고덕(진로)</t>
        </is>
      </c>
      <c r="E1179" s="0" t="inlineStr">
        <is>
          <t>1994.03.</t>
        </is>
      </c>
      <c r="F1179" s="0" t="n">
        <v>68</v>
      </c>
      <c r="G1179" s="0" t="n">
        <v>49.59</v>
      </c>
      <c r="H1179" s="0" t="n">
        <v>163.95</v>
      </c>
      <c r="I1179" s="0" t="n">
        <v>35.82</v>
      </c>
      <c r="J1179" s="0" t="n">
        <v>118.44</v>
      </c>
      <c r="K1179" s="0" t="n">
        <v>68</v>
      </c>
      <c r="T1179" s="0" t="n">
        <v>4</v>
      </c>
      <c r="U1179" s="0" t="n">
        <v>2</v>
      </c>
      <c r="V1179" s="0" t="inlineStr">
        <is>
          <t>복도식</t>
        </is>
      </c>
      <c r="W1179" s="0" t="n">
        <v>163</v>
      </c>
      <c r="X1179" s="0" t="n">
        <v>17</v>
      </c>
      <c r="Y1179" s="0" t="n">
        <v>17</v>
      </c>
      <c r="Z1179" s="0" t="inlineStr">
        <is>
          <t>https://new.land.naver.com/complexes/897?tab=detail&amp;rf=Y</t>
        </is>
      </c>
      <c r="AA1179" s="0" t="inlineStr">
        <is>
          <t>서울시 강동구 명일동 47-12</t>
        </is>
      </c>
      <c r="AB1179" s="0" t="inlineStr">
        <is>
          <t>서울시</t>
        </is>
      </c>
      <c r="AC1179" s="0" t="inlineStr">
        <is>
          <t>강동구</t>
        </is>
      </c>
      <c r="AD1179" s="0" t="inlineStr">
        <is>
          <t>명일동</t>
        </is>
      </c>
      <c r="AG1179" s="0" t="inlineStr">
        <is>
          <t>서울시 강동구 동남로73길 26</t>
        </is>
      </c>
      <c r="AH1179" s="0" t="n">
        <v>0</v>
      </c>
      <c r="AI1179" s="0" t="n">
        <v>357</v>
      </c>
      <c r="AJ1179" s="0" t="n">
        <v>43</v>
      </c>
      <c r="AK1179" s="0" t="n">
        <v>249</v>
      </c>
      <c r="AL1179" s="0" t="n">
        <v>3.66</v>
      </c>
    </row>
    <row r="1180">
      <c r="A1180" s="0" t="inlineStr">
        <is>
          <t>[명일동]</t>
        </is>
      </c>
      <c r="B1180" s="0" t="n">
        <v>118603</v>
      </c>
      <c r="C1180" s="0" t="n">
        <v>1</v>
      </c>
      <c r="D1180" s="0" t="inlineStr">
        <is>
          <t>아름누리</t>
        </is>
      </c>
      <c r="E1180" s="0" t="inlineStr">
        <is>
          <t>2014.09.</t>
        </is>
      </c>
      <c r="F1180" s="0" t="n">
        <v>40</v>
      </c>
      <c r="G1180" s="0" t="n">
        <v>11.43</v>
      </c>
      <c r="H1180" s="0" t="n">
        <v>37.81</v>
      </c>
      <c r="I1180" s="0" t="n">
        <v>9.529999999999999</v>
      </c>
      <c r="J1180" s="0" t="n">
        <v>31.52</v>
      </c>
      <c r="K1180" s="0" t="n">
        <v>2</v>
      </c>
      <c r="T1180" s="0" t="n">
        <v>1</v>
      </c>
      <c r="U1180" s="0" t="n">
        <v>1</v>
      </c>
      <c r="V1180" s="0" t="inlineStr">
        <is>
          <t>계단식</t>
        </is>
      </c>
      <c r="W1180" s="0" t="n">
        <v>37</v>
      </c>
      <c r="X1180" s="0" t="n">
        <v>6</v>
      </c>
      <c r="Y1180" s="0" t="n">
        <v>6</v>
      </c>
      <c r="Z1180" s="0" t="inlineStr">
        <is>
          <t>https://new.land.naver.com/complexes/118603?tab=detail&amp;rf=Y</t>
        </is>
      </c>
      <c r="AA1180" s="0" t="inlineStr">
        <is>
          <t>서울시 강동구 명일동 332-3</t>
        </is>
      </c>
      <c r="AB1180" s="0" t="inlineStr">
        <is>
          <t>서울시</t>
        </is>
      </c>
      <c r="AC1180" s="0" t="inlineStr">
        <is>
          <t>강동구</t>
        </is>
      </c>
      <c r="AD1180" s="0" t="inlineStr">
        <is>
          <t>명일동</t>
        </is>
      </c>
      <c r="AG1180" s="0" t="inlineStr">
        <is>
          <t>서울시 강동구 상암로51길 46</t>
        </is>
      </c>
      <c r="AH1180" s="0" t="n">
        <v>0</v>
      </c>
      <c r="AI1180" s="0" t="n">
        <v>249</v>
      </c>
      <c r="AJ1180" s="0" t="n">
        <v>49</v>
      </c>
      <c r="AK1180" s="0" t="n">
        <v>34</v>
      </c>
      <c r="AL1180" s="0" t="n">
        <v>0.85</v>
      </c>
    </row>
    <row r="1181">
      <c r="A1181" s="0" t="inlineStr">
        <is>
          <t>[명일동]</t>
        </is>
      </c>
      <c r="B1181" s="0" t="n">
        <v>118603</v>
      </c>
      <c r="C1181" s="0" t="n">
        <v>2</v>
      </c>
      <c r="D1181" s="0" t="inlineStr">
        <is>
          <t>아름누리</t>
        </is>
      </c>
      <c r="E1181" s="0" t="inlineStr">
        <is>
          <t>2014.09.</t>
        </is>
      </c>
      <c r="F1181" s="0" t="n">
        <v>40</v>
      </c>
      <c r="G1181" s="0" t="n">
        <v>15.51</v>
      </c>
      <c r="H1181" s="0" t="n">
        <v>51.3</v>
      </c>
      <c r="I1181" s="0" t="n">
        <v>12.94</v>
      </c>
      <c r="J1181" s="0" t="n">
        <v>42.78</v>
      </c>
      <c r="K1181" s="0" t="n">
        <v>2</v>
      </c>
      <c r="T1181" s="0" t="n">
        <v>2</v>
      </c>
      <c r="U1181" s="0" t="n">
        <v>1</v>
      </c>
      <c r="V1181" s="0" t="inlineStr">
        <is>
          <t>계단식</t>
        </is>
      </c>
      <c r="W1181" s="0" t="n">
        <v>51</v>
      </c>
      <c r="X1181" s="0" t="n">
        <v>6</v>
      </c>
      <c r="Y1181" s="0" t="n">
        <v>6</v>
      </c>
      <c r="Z1181" s="0" t="inlineStr">
        <is>
          <t>https://new.land.naver.com/complexes/118603?tab=detail&amp;rf=Y</t>
        </is>
      </c>
      <c r="AA1181" s="0" t="inlineStr">
        <is>
          <t>서울시 강동구 명일동 332-3</t>
        </is>
      </c>
      <c r="AB1181" s="0" t="inlineStr">
        <is>
          <t>서울시</t>
        </is>
      </c>
      <c r="AC1181" s="0" t="inlineStr">
        <is>
          <t>강동구</t>
        </is>
      </c>
      <c r="AD1181" s="0" t="inlineStr">
        <is>
          <t>명일동</t>
        </is>
      </c>
      <c r="AG1181" s="0" t="inlineStr">
        <is>
          <t>서울시 강동구 상암로51길 46</t>
        </is>
      </c>
      <c r="AH1181" s="0" t="n">
        <v>0</v>
      </c>
      <c r="AI1181" s="0" t="n">
        <v>249</v>
      </c>
      <c r="AJ1181" s="0" t="n">
        <v>49</v>
      </c>
      <c r="AK1181" s="0" t="n">
        <v>34</v>
      </c>
      <c r="AL1181" s="0" t="n">
        <v>0.85</v>
      </c>
    </row>
    <row r="1182">
      <c r="A1182" s="0" t="inlineStr">
        <is>
          <t>[명일동]</t>
        </is>
      </c>
      <c r="B1182" s="0" t="n">
        <v>118603</v>
      </c>
      <c r="C1182" s="0" t="n">
        <v>3</v>
      </c>
      <c r="D1182" s="0" t="inlineStr">
        <is>
          <t>아름누리</t>
        </is>
      </c>
      <c r="E1182" s="0" t="inlineStr">
        <is>
          <t>2014.09.</t>
        </is>
      </c>
      <c r="F1182" s="0" t="n">
        <v>40</v>
      </c>
      <c r="G1182" s="0" t="n">
        <v>17.72</v>
      </c>
      <c r="H1182" s="0" t="n">
        <v>58.61</v>
      </c>
      <c r="I1182" s="0" t="n">
        <v>14.78</v>
      </c>
      <c r="J1182" s="0" t="n">
        <v>48.86</v>
      </c>
      <c r="K1182" s="0" t="n">
        <v>1</v>
      </c>
      <c r="T1182" s="0" t="n">
        <v>2</v>
      </c>
      <c r="U1182" s="0" t="n">
        <v>1</v>
      </c>
      <c r="V1182" s="0" t="inlineStr">
        <is>
          <t>계단식</t>
        </is>
      </c>
      <c r="W1182" s="0" t="n">
        <v>58</v>
      </c>
      <c r="X1182" s="0" t="n">
        <v>6</v>
      </c>
      <c r="Y1182" s="0" t="n">
        <v>6</v>
      </c>
      <c r="Z1182" s="0" t="inlineStr">
        <is>
          <t>https://new.land.naver.com/complexes/118603?tab=detail&amp;rf=Y</t>
        </is>
      </c>
      <c r="AA1182" s="0" t="inlineStr">
        <is>
          <t>서울시 강동구 명일동 332-3</t>
        </is>
      </c>
      <c r="AB1182" s="0" t="inlineStr">
        <is>
          <t>서울시</t>
        </is>
      </c>
      <c r="AC1182" s="0" t="inlineStr">
        <is>
          <t>강동구</t>
        </is>
      </c>
      <c r="AD1182" s="0" t="inlineStr">
        <is>
          <t>명일동</t>
        </is>
      </c>
      <c r="AG1182" s="0" t="inlineStr">
        <is>
          <t>서울시 강동구 상암로51길 46</t>
        </is>
      </c>
      <c r="AH1182" s="0" t="n">
        <v>0</v>
      </c>
      <c r="AI1182" s="0" t="n">
        <v>249</v>
      </c>
      <c r="AJ1182" s="0" t="n">
        <v>49</v>
      </c>
      <c r="AK1182" s="0" t="n">
        <v>34</v>
      </c>
      <c r="AL1182" s="0" t="n">
        <v>0.85</v>
      </c>
    </row>
    <row r="1183">
      <c r="A1183" s="0" t="inlineStr">
        <is>
          <t>[명일동]</t>
        </is>
      </c>
      <c r="B1183" s="0" t="n">
        <v>118603</v>
      </c>
      <c r="C1183" s="0" t="n">
        <v>4</v>
      </c>
      <c r="D1183" s="0" t="inlineStr">
        <is>
          <t>아름누리</t>
        </is>
      </c>
      <c r="E1183" s="0" t="inlineStr">
        <is>
          <t>2014.09.</t>
        </is>
      </c>
      <c r="F1183" s="0" t="n">
        <v>40</v>
      </c>
      <c r="G1183" s="0" t="n">
        <v>19.28</v>
      </c>
      <c r="H1183" s="0" t="n">
        <v>63.75</v>
      </c>
      <c r="I1183" s="0" t="n">
        <v>16.08</v>
      </c>
      <c r="J1183" s="0" t="n">
        <v>53.16</v>
      </c>
      <c r="K1183" s="0" t="n">
        <v>31</v>
      </c>
      <c r="T1183" s="0" t="n">
        <v>3</v>
      </c>
      <c r="U1183" s="0" t="n">
        <v>1</v>
      </c>
      <c r="V1183" s="0" t="inlineStr">
        <is>
          <t>계단식</t>
        </is>
      </c>
      <c r="W1183" s="0" t="n">
        <v>63</v>
      </c>
      <c r="X1183" s="0" t="n">
        <v>6</v>
      </c>
      <c r="Y1183" s="0" t="n">
        <v>6</v>
      </c>
      <c r="Z1183" s="0" t="inlineStr">
        <is>
          <t>https://new.land.naver.com/complexes/118603?tab=detail&amp;rf=Y</t>
        </is>
      </c>
      <c r="AA1183" s="0" t="inlineStr">
        <is>
          <t>서울시 강동구 명일동 332-3</t>
        </is>
      </c>
      <c r="AB1183" s="0" t="inlineStr">
        <is>
          <t>서울시</t>
        </is>
      </c>
      <c r="AC1183" s="0" t="inlineStr">
        <is>
          <t>강동구</t>
        </is>
      </c>
      <c r="AD1183" s="0" t="inlineStr">
        <is>
          <t>명일동</t>
        </is>
      </c>
      <c r="AG1183" s="0" t="inlineStr">
        <is>
          <t>서울시 강동구 상암로51길 46</t>
        </is>
      </c>
      <c r="AH1183" s="0" t="n">
        <v>0</v>
      </c>
      <c r="AI1183" s="0" t="n">
        <v>249</v>
      </c>
      <c r="AJ1183" s="0" t="n">
        <v>49</v>
      </c>
      <c r="AK1183" s="0" t="n">
        <v>34</v>
      </c>
      <c r="AL1183" s="0" t="n">
        <v>0.85</v>
      </c>
    </row>
    <row r="1184">
      <c r="A1184" s="0" t="inlineStr">
        <is>
          <t>[명일동]</t>
        </is>
      </c>
      <c r="B1184" s="0" t="n">
        <v>118603</v>
      </c>
      <c r="C1184" s="0" t="n">
        <v>5</v>
      </c>
      <c r="D1184" s="0" t="inlineStr">
        <is>
          <t>아름누리</t>
        </is>
      </c>
      <c r="E1184" s="0" t="inlineStr">
        <is>
          <t>2014.09.</t>
        </is>
      </c>
      <c r="F1184" s="0" t="n">
        <v>40</v>
      </c>
      <c r="G1184" s="0" t="n">
        <v>19.49</v>
      </c>
      <c r="H1184" s="0" t="n">
        <v>64.45999999999999</v>
      </c>
      <c r="I1184" s="0" t="n">
        <v>16.25</v>
      </c>
      <c r="J1184" s="0" t="n">
        <v>53.74</v>
      </c>
      <c r="K1184" s="0" t="n">
        <v>4</v>
      </c>
      <c r="T1184" s="0" t="n">
        <v>3</v>
      </c>
      <c r="U1184" s="0" t="n">
        <v>1</v>
      </c>
      <c r="V1184" s="0" t="inlineStr">
        <is>
          <t>계단식</t>
        </is>
      </c>
      <c r="W1184" s="0" t="n">
        <v>64</v>
      </c>
      <c r="X1184" s="0" t="n">
        <v>6</v>
      </c>
      <c r="Y1184" s="0" t="n">
        <v>6</v>
      </c>
      <c r="Z1184" s="0" t="inlineStr">
        <is>
          <t>https://new.land.naver.com/complexes/118603?tab=detail&amp;rf=Y</t>
        </is>
      </c>
      <c r="AA1184" s="0" t="inlineStr">
        <is>
          <t>서울시 강동구 명일동 332-3</t>
        </is>
      </c>
      <c r="AB1184" s="0" t="inlineStr">
        <is>
          <t>서울시</t>
        </is>
      </c>
      <c r="AC1184" s="0" t="inlineStr">
        <is>
          <t>강동구</t>
        </is>
      </c>
      <c r="AD1184" s="0" t="inlineStr">
        <is>
          <t>명일동</t>
        </is>
      </c>
      <c r="AG1184" s="0" t="inlineStr">
        <is>
          <t>서울시 강동구 상암로51길 46</t>
        </is>
      </c>
      <c r="AH1184" s="0" t="n">
        <v>0</v>
      </c>
      <c r="AI1184" s="0" t="n">
        <v>249</v>
      </c>
      <c r="AJ1184" s="0" t="n">
        <v>49</v>
      </c>
      <c r="AK1184" s="0" t="n">
        <v>34</v>
      </c>
      <c r="AL1184" s="0" t="n">
        <v>0.85</v>
      </c>
    </row>
    <row r="1185">
      <c r="A1185" s="0" t="inlineStr">
        <is>
          <t>[명일동]</t>
        </is>
      </c>
      <c r="B1185" s="0" t="n">
        <v>18555</v>
      </c>
      <c r="C1185" s="0" t="n">
        <v>1</v>
      </c>
      <c r="D1185" s="0" t="inlineStr">
        <is>
          <t>우성(356)</t>
        </is>
      </c>
      <c r="E1185" s="0" t="inlineStr">
        <is>
          <t>2004.02.</t>
        </is>
      </c>
      <c r="F1185" s="0" t="n">
        <v>77</v>
      </c>
      <c r="G1185" s="0" t="n">
        <v>15.95</v>
      </c>
      <c r="H1185" s="0" t="n">
        <v>52.75</v>
      </c>
      <c r="I1185" s="0" t="n">
        <v>13.77</v>
      </c>
      <c r="J1185" s="0" t="n">
        <v>45.54</v>
      </c>
      <c r="K1185" s="0" t="n">
        <v>1</v>
      </c>
      <c r="T1185" s="0" t="n">
        <v>2</v>
      </c>
      <c r="U1185" s="0" t="n">
        <v>2</v>
      </c>
      <c r="V1185" s="0" t="inlineStr">
        <is>
          <t>계단식</t>
        </is>
      </c>
      <c r="W1185" s="0" t="n">
        <v>52</v>
      </c>
      <c r="X1185" s="0" t="n">
        <v>13</v>
      </c>
      <c r="Y1185" s="0" t="n">
        <v>5</v>
      </c>
      <c r="Z1185" s="0" t="inlineStr">
        <is>
          <t>https://new.land.naver.com/complexes/18555?tab=detail&amp;rf=Y</t>
        </is>
      </c>
      <c r="AA1185" s="0" t="inlineStr">
        <is>
          <t>서울시 강동구 명일동 356</t>
        </is>
      </c>
      <c r="AB1185" s="0" t="inlineStr">
        <is>
          <t>서울시</t>
        </is>
      </c>
      <c r="AC1185" s="0" t="inlineStr">
        <is>
          <t>강동구</t>
        </is>
      </c>
      <c r="AD1185" s="0" t="inlineStr">
        <is>
          <t>명일동</t>
        </is>
      </c>
      <c r="AG1185" s="0" t="inlineStr">
        <is>
          <t>서울시 강동구 고덕로38길 34-9</t>
        </is>
      </c>
      <c r="AH1185" s="0" t="n">
        <v>0</v>
      </c>
      <c r="AI1185" s="0" t="n">
        <v>0</v>
      </c>
      <c r="AJ1185" s="0" t="n">
        <v>0</v>
      </c>
      <c r="AK1185" s="0" t="n">
        <v>88</v>
      </c>
      <c r="AL1185" s="0" t="n">
        <v>1.14</v>
      </c>
    </row>
    <row r="1186">
      <c r="A1186" s="0" t="inlineStr">
        <is>
          <t>[명일동]</t>
        </is>
      </c>
      <c r="B1186" s="0" t="n">
        <v>18555</v>
      </c>
      <c r="C1186" s="0" t="n">
        <v>2</v>
      </c>
      <c r="D1186" s="0" t="inlineStr">
        <is>
          <t>우성(356)</t>
        </is>
      </c>
      <c r="E1186" s="0" t="inlineStr">
        <is>
          <t>2004.02.</t>
        </is>
      </c>
      <c r="F1186" s="0" t="n">
        <v>77</v>
      </c>
      <c r="G1186" s="0" t="n">
        <v>25.42</v>
      </c>
      <c r="H1186" s="0" t="n">
        <v>84.05</v>
      </c>
      <c r="I1186" s="0" t="n">
        <v>20.43</v>
      </c>
      <c r="J1186" s="0" t="n">
        <v>67.55</v>
      </c>
      <c r="K1186" s="0" t="n">
        <v>1</v>
      </c>
      <c r="T1186" s="0" t="n">
        <v>2</v>
      </c>
      <c r="U1186" s="0" t="n">
        <v>1</v>
      </c>
      <c r="V1186" s="0" t="inlineStr">
        <is>
          <t>계단식</t>
        </is>
      </c>
      <c r="W1186" s="0" t="n">
        <v>84</v>
      </c>
      <c r="X1186" s="0" t="n">
        <v>13</v>
      </c>
      <c r="Y1186" s="0" t="n">
        <v>5</v>
      </c>
      <c r="Z1186" s="0" t="inlineStr">
        <is>
          <t>https://new.land.naver.com/complexes/18555?tab=detail&amp;rf=Y</t>
        </is>
      </c>
      <c r="AA1186" s="0" t="inlineStr">
        <is>
          <t>서울시 강동구 명일동 356</t>
        </is>
      </c>
      <c r="AB1186" s="0" t="inlineStr">
        <is>
          <t>서울시</t>
        </is>
      </c>
      <c r="AC1186" s="0" t="inlineStr">
        <is>
          <t>강동구</t>
        </is>
      </c>
      <c r="AD1186" s="0" t="inlineStr">
        <is>
          <t>명일동</t>
        </is>
      </c>
      <c r="AG1186" s="0" t="inlineStr">
        <is>
          <t>서울시 강동구 고덕로38길 34-9</t>
        </is>
      </c>
      <c r="AH1186" s="0" t="n">
        <v>0</v>
      </c>
      <c r="AI1186" s="0" t="n">
        <v>0</v>
      </c>
      <c r="AJ1186" s="0" t="n">
        <v>0</v>
      </c>
      <c r="AK1186" s="0" t="n">
        <v>88</v>
      </c>
      <c r="AL1186" s="0" t="n">
        <v>1.14</v>
      </c>
    </row>
    <row r="1187">
      <c r="A1187" s="0" t="inlineStr">
        <is>
          <t>[명일동]</t>
        </is>
      </c>
      <c r="B1187" s="0" t="n">
        <v>18555</v>
      </c>
      <c r="C1187" s="0" t="n">
        <v>3</v>
      </c>
      <c r="D1187" s="0" t="inlineStr">
        <is>
          <t>우성(356)</t>
        </is>
      </c>
      <c r="E1187" s="0" t="inlineStr">
        <is>
          <t>2004.02.</t>
        </is>
      </c>
      <c r="F1187" s="0" t="n">
        <v>77</v>
      </c>
      <c r="G1187" s="0" t="n">
        <v>27.31</v>
      </c>
      <c r="H1187" s="0" t="n">
        <v>90.3</v>
      </c>
      <c r="I1187" s="0" t="n">
        <v>22.16</v>
      </c>
      <c r="J1187" s="0" t="n">
        <v>73.26000000000001</v>
      </c>
      <c r="K1187" s="0" t="n">
        <v>2</v>
      </c>
      <c r="T1187" s="0" t="n">
        <v>3</v>
      </c>
      <c r="U1187" s="0" t="n">
        <v>1</v>
      </c>
      <c r="V1187" s="0" t="inlineStr">
        <is>
          <t>계단식</t>
        </is>
      </c>
      <c r="W1187" s="0" t="n">
        <v>90</v>
      </c>
      <c r="X1187" s="0" t="n">
        <v>13</v>
      </c>
      <c r="Y1187" s="0" t="n">
        <v>5</v>
      </c>
      <c r="Z1187" s="0" t="inlineStr">
        <is>
          <t>https://new.land.naver.com/complexes/18555?tab=detail&amp;rf=Y</t>
        </is>
      </c>
      <c r="AA1187" s="0" t="inlineStr">
        <is>
          <t>서울시 강동구 명일동 356</t>
        </is>
      </c>
      <c r="AB1187" s="0" t="inlineStr">
        <is>
          <t>서울시</t>
        </is>
      </c>
      <c r="AC1187" s="0" t="inlineStr">
        <is>
          <t>강동구</t>
        </is>
      </c>
      <c r="AD1187" s="0" t="inlineStr">
        <is>
          <t>명일동</t>
        </is>
      </c>
      <c r="AG1187" s="0" t="inlineStr">
        <is>
          <t>서울시 강동구 고덕로38길 34-9</t>
        </is>
      </c>
      <c r="AH1187" s="0" t="n">
        <v>0</v>
      </c>
      <c r="AI1187" s="0" t="n">
        <v>0</v>
      </c>
      <c r="AJ1187" s="0" t="n">
        <v>0</v>
      </c>
      <c r="AK1187" s="0" t="n">
        <v>88</v>
      </c>
      <c r="AL1187" s="0" t="n">
        <v>1.14</v>
      </c>
    </row>
    <row r="1188">
      <c r="A1188" s="0" t="inlineStr">
        <is>
          <t>[명일동]</t>
        </is>
      </c>
      <c r="B1188" s="0" t="n">
        <v>18555</v>
      </c>
      <c r="C1188" s="0" t="n">
        <v>4</v>
      </c>
      <c r="D1188" s="0" t="inlineStr">
        <is>
          <t>우성(356)</t>
        </is>
      </c>
      <c r="E1188" s="0" t="inlineStr">
        <is>
          <t>2004.02.</t>
        </is>
      </c>
      <c r="F1188" s="0" t="n">
        <v>77</v>
      </c>
      <c r="G1188" s="0" t="n">
        <v>27.89</v>
      </c>
      <c r="H1188" s="0" t="n">
        <v>92.20999999999999</v>
      </c>
      <c r="I1188" s="0" t="n">
        <v>24.08</v>
      </c>
      <c r="J1188" s="0" t="n">
        <v>79.62</v>
      </c>
      <c r="K1188" s="0" t="n">
        <v>1</v>
      </c>
      <c r="T1188" s="0" t="n">
        <v>3</v>
      </c>
      <c r="U1188" s="0" t="n">
        <v>2</v>
      </c>
      <c r="V1188" s="0" t="inlineStr">
        <is>
          <t>계단식</t>
        </is>
      </c>
      <c r="W1188" s="0" t="inlineStr">
        <is>
          <t>92A</t>
        </is>
      </c>
      <c r="X1188" s="0" t="n">
        <v>13</v>
      </c>
      <c r="Y1188" s="0" t="n">
        <v>5</v>
      </c>
      <c r="Z1188" s="0" t="inlineStr">
        <is>
          <t>https://new.land.naver.com/complexes/18555?tab=detail&amp;rf=Y</t>
        </is>
      </c>
      <c r="AA1188" s="0" t="inlineStr">
        <is>
          <t>서울시 강동구 명일동 356</t>
        </is>
      </c>
      <c r="AB1188" s="0" t="inlineStr">
        <is>
          <t>서울시</t>
        </is>
      </c>
      <c r="AC1188" s="0" t="inlineStr">
        <is>
          <t>강동구</t>
        </is>
      </c>
      <c r="AD1188" s="0" t="inlineStr">
        <is>
          <t>명일동</t>
        </is>
      </c>
      <c r="AG1188" s="0" t="inlineStr">
        <is>
          <t>서울시 강동구 고덕로38길 34-9</t>
        </is>
      </c>
      <c r="AH1188" s="0" t="n">
        <v>0</v>
      </c>
      <c r="AI1188" s="0" t="n">
        <v>0</v>
      </c>
      <c r="AJ1188" s="0" t="n">
        <v>0</v>
      </c>
      <c r="AK1188" s="0" t="n">
        <v>88</v>
      </c>
      <c r="AL1188" s="0" t="n">
        <v>1.14</v>
      </c>
    </row>
    <row r="1189">
      <c r="A1189" s="0" t="inlineStr">
        <is>
          <t>[명일동]</t>
        </is>
      </c>
      <c r="B1189" s="0" t="n">
        <v>18555</v>
      </c>
      <c r="C1189" s="0" t="n">
        <v>5</v>
      </c>
      <c r="D1189" s="0" t="inlineStr">
        <is>
          <t>우성(356)</t>
        </is>
      </c>
      <c r="E1189" s="0" t="inlineStr">
        <is>
          <t>2004.02.</t>
        </is>
      </c>
      <c r="F1189" s="0" t="n">
        <v>77</v>
      </c>
      <c r="G1189" s="0" t="n">
        <v>28.12</v>
      </c>
      <c r="H1189" s="0" t="n">
        <v>92.97</v>
      </c>
      <c r="I1189" s="0" t="n">
        <v>24.28</v>
      </c>
      <c r="J1189" s="0" t="n">
        <v>80.28</v>
      </c>
      <c r="K1189" s="0" t="n">
        <v>1</v>
      </c>
      <c r="T1189" s="0" t="n">
        <v>3</v>
      </c>
      <c r="U1189" s="0" t="n">
        <v>2</v>
      </c>
      <c r="V1189" s="0" t="inlineStr">
        <is>
          <t>계단식</t>
        </is>
      </c>
      <c r="W1189" s="0" t="inlineStr">
        <is>
          <t>92B</t>
        </is>
      </c>
      <c r="X1189" s="0" t="n">
        <v>13</v>
      </c>
      <c r="Y1189" s="0" t="n">
        <v>5</v>
      </c>
      <c r="Z1189" s="0" t="inlineStr">
        <is>
          <t>https://new.land.naver.com/complexes/18555?tab=detail&amp;rf=Y</t>
        </is>
      </c>
      <c r="AA1189" s="0" t="inlineStr">
        <is>
          <t>서울시 강동구 명일동 356</t>
        </is>
      </c>
      <c r="AB1189" s="0" t="inlineStr">
        <is>
          <t>서울시</t>
        </is>
      </c>
      <c r="AC1189" s="0" t="inlineStr">
        <is>
          <t>강동구</t>
        </is>
      </c>
      <c r="AD1189" s="0" t="inlineStr">
        <is>
          <t>명일동</t>
        </is>
      </c>
      <c r="AG1189" s="0" t="inlineStr">
        <is>
          <t>서울시 강동구 고덕로38길 34-9</t>
        </is>
      </c>
      <c r="AH1189" s="0" t="n">
        <v>0</v>
      </c>
      <c r="AI1189" s="0" t="n">
        <v>0</v>
      </c>
      <c r="AJ1189" s="0" t="n">
        <v>0</v>
      </c>
      <c r="AK1189" s="0" t="n">
        <v>88</v>
      </c>
      <c r="AL1189" s="0" t="n">
        <v>1.14</v>
      </c>
    </row>
    <row r="1190">
      <c r="A1190" s="0" t="inlineStr">
        <is>
          <t>[명일동]</t>
        </is>
      </c>
      <c r="B1190" s="0" t="n">
        <v>18555</v>
      </c>
      <c r="C1190" s="0" t="n">
        <v>6</v>
      </c>
      <c r="D1190" s="0" t="inlineStr">
        <is>
          <t>우성(356)</t>
        </is>
      </c>
      <c r="E1190" s="0" t="inlineStr">
        <is>
          <t>2004.02.</t>
        </is>
      </c>
      <c r="F1190" s="0" t="n">
        <v>77</v>
      </c>
      <c r="G1190" s="0" t="n">
        <v>29.28</v>
      </c>
      <c r="H1190" s="0" t="n">
        <v>96.81</v>
      </c>
      <c r="I1190" s="0" t="n">
        <v>24.66</v>
      </c>
      <c r="J1190" s="0" t="n">
        <v>81.53</v>
      </c>
      <c r="K1190" s="0" t="n">
        <v>1</v>
      </c>
      <c r="T1190" s="0" t="n">
        <v>3</v>
      </c>
      <c r="U1190" s="0" t="n">
        <v>2</v>
      </c>
      <c r="V1190" s="0" t="inlineStr">
        <is>
          <t>계단식</t>
        </is>
      </c>
      <c r="W1190" s="0" t="n">
        <v>96</v>
      </c>
      <c r="X1190" s="0" t="n">
        <v>13</v>
      </c>
      <c r="Y1190" s="0" t="n">
        <v>5</v>
      </c>
      <c r="Z1190" s="0" t="inlineStr">
        <is>
          <t>https://new.land.naver.com/complexes/18555?tab=detail&amp;rf=Y</t>
        </is>
      </c>
      <c r="AA1190" s="0" t="inlineStr">
        <is>
          <t>서울시 강동구 명일동 356</t>
        </is>
      </c>
      <c r="AB1190" s="0" t="inlineStr">
        <is>
          <t>서울시</t>
        </is>
      </c>
      <c r="AC1190" s="0" t="inlineStr">
        <is>
          <t>강동구</t>
        </is>
      </c>
      <c r="AD1190" s="0" t="inlineStr">
        <is>
          <t>명일동</t>
        </is>
      </c>
      <c r="AG1190" s="0" t="inlineStr">
        <is>
          <t>서울시 강동구 고덕로38길 34-9</t>
        </is>
      </c>
      <c r="AH1190" s="0" t="n">
        <v>0</v>
      </c>
      <c r="AI1190" s="0" t="n">
        <v>0</v>
      </c>
      <c r="AJ1190" s="0" t="n">
        <v>0</v>
      </c>
      <c r="AK1190" s="0" t="n">
        <v>88</v>
      </c>
      <c r="AL1190" s="0" t="n">
        <v>1.14</v>
      </c>
    </row>
    <row r="1191">
      <c r="A1191" s="0" t="inlineStr">
        <is>
          <t>[명일동]</t>
        </is>
      </c>
      <c r="B1191" s="0" t="n">
        <v>18555</v>
      </c>
      <c r="C1191" s="0" t="n">
        <v>7</v>
      </c>
      <c r="D1191" s="0" t="inlineStr">
        <is>
          <t>우성(356)</t>
        </is>
      </c>
      <c r="E1191" s="0" t="inlineStr">
        <is>
          <t>2004.02.</t>
        </is>
      </c>
      <c r="F1191" s="0" t="n">
        <v>77</v>
      </c>
      <c r="G1191" s="0" t="n">
        <v>29.75</v>
      </c>
      <c r="H1191" s="0" t="n">
        <v>98.36</v>
      </c>
      <c r="I1191" s="0" t="n">
        <v>25.69</v>
      </c>
      <c r="J1191" s="0" t="n">
        <v>84.94</v>
      </c>
      <c r="K1191" s="0" t="n">
        <v>7</v>
      </c>
      <c r="T1191" s="0" t="n">
        <v>3</v>
      </c>
      <c r="U1191" s="0" t="n">
        <v>2</v>
      </c>
      <c r="V1191" s="0" t="inlineStr">
        <is>
          <t>계단식</t>
        </is>
      </c>
      <c r="W1191" s="0" t="inlineStr">
        <is>
          <t>98E</t>
        </is>
      </c>
      <c r="X1191" s="0" t="n">
        <v>13</v>
      </c>
      <c r="Y1191" s="0" t="n">
        <v>5</v>
      </c>
      <c r="Z1191" s="0" t="inlineStr">
        <is>
          <t>https://new.land.naver.com/complexes/18555?tab=detail&amp;rf=Y</t>
        </is>
      </c>
      <c r="AA1191" s="0" t="inlineStr">
        <is>
          <t>서울시 강동구 명일동 356</t>
        </is>
      </c>
      <c r="AB1191" s="0" t="inlineStr">
        <is>
          <t>서울시</t>
        </is>
      </c>
      <c r="AC1191" s="0" t="inlineStr">
        <is>
          <t>강동구</t>
        </is>
      </c>
      <c r="AD1191" s="0" t="inlineStr">
        <is>
          <t>명일동</t>
        </is>
      </c>
      <c r="AG1191" s="0" t="inlineStr">
        <is>
          <t>서울시 강동구 고덕로38길 34-9</t>
        </is>
      </c>
      <c r="AH1191" s="0" t="n">
        <v>0</v>
      </c>
      <c r="AI1191" s="0" t="n">
        <v>0</v>
      </c>
      <c r="AJ1191" s="0" t="n">
        <v>0</v>
      </c>
      <c r="AK1191" s="0" t="n">
        <v>88</v>
      </c>
      <c r="AL1191" s="0" t="n">
        <v>1.14</v>
      </c>
    </row>
    <row r="1192">
      <c r="A1192" s="0" t="inlineStr">
        <is>
          <t>[명일동]</t>
        </is>
      </c>
      <c r="B1192" s="0" t="n">
        <v>18555</v>
      </c>
      <c r="C1192" s="0" t="n">
        <v>8</v>
      </c>
      <c r="D1192" s="0" t="inlineStr">
        <is>
          <t>우성(356)</t>
        </is>
      </c>
      <c r="E1192" s="0" t="inlineStr">
        <is>
          <t>2004.02.</t>
        </is>
      </c>
      <c r="F1192" s="0" t="n">
        <v>77</v>
      </c>
      <c r="G1192" s="0" t="n">
        <v>29.76</v>
      </c>
      <c r="H1192" s="0" t="n">
        <v>98.40000000000001</v>
      </c>
      <c r="I1192" s="0" t="n">
        <v>25.7</v>
      </c>
      <c r="J1192" s="0" t="n">
        <v>84.97</v>
      </c>
      <c r="K1192" s="0" t="n">
        <v>5</v>
      </c>
      <c r="T1192" s="0" t="n">
        <v>3</v>
      </c>
      <c r="U1192" s="0" t="n">
        <v>2</v>
      </c>
      <c r="V1192" s="0" t="inlineStr">
        <is>
          <t>계단식</t>
        </is>
      </c>
      <c r="W1192" s="0" t="inlineStr">
        <is>
          <t>98F</t>
        </is>
      </c>
      <c r="X1192" s="0" t="n">
        <v>13</v>
      </c>
      <c r="Y1192" s="0" t="n">
        <v>5</v>
      </c>
      <c r="Z1192" s="0" t="inlineStr">
        <is>
          <t>https://new.land.naver.com/complexes/18555?tab=detail&amp;rf=Y</t>
        </is>
      </c>
      <c r="AA1192" s="0" t="inlineStr">
        <is>
          <t>서울시 강동구 명일동 356</t>
        </is>
      </c>
      <c r="AB1192" s="0" t="inlineStr">
        <is>
          <t>서울시</t>
        </is>
      </c>
      <c r="AC1192" s="0" t="inlineStr">
        <is>
          <t>강동구</t>
        </is>
      </c>
      <c r="AD1192" s="0" t="inlineStr">
        <is>
          <t>명일동</t>
        </is>
      </c>
      <c r="AG1192" s="0" t="inlineStr">
        <is>
          <t>서울시 강동구 고덕로38길 34-9</t>
        </is>
      </c>
      <c r="AH1192" s="0" t="n">
        <v>0</v>
      </c>
      <c r="AI1192" s="0" t="n">
        <v>0</v>
      </c>
      <c r="AJ1192" s="0" t="n">
        <v>0</v>
      </c>
      <c r="AK1192" s="0" t="n">
        <v>88</v>
      </c>
      <c r="AL1192" s="0" t="n">
        <v>1.14</v>
      </c>
    </row>
    <row r="1193">
      <c r="A1193" s="0" t="inlineStr">
        <is>
          <t>[명일동]</t>
        </is>
      </c>
      <c r="B1193" s="0" t="n">
        <v>18555</v>
      </c>
      <c r="C1193" s="0" t="n">
        <v>9</v>
      </c>
      <c r="D1193" s="0" t="inlineStr">
        <is>
          <t>우성(356)</t>
        </is>
      </c>
      <c r="E1193" s="0" t="inlineStr">
        <is>
          <t>2004.02.</t>
        </is>
      </c>
      <c r="F1193" s="0" t="n">
        <v>77</v>
      </c>
      <c r="G1193" s="0" t="n">
        <v>30.21</v>
      </c>
      <c r="H1193" s="0" t="n">
        <v>99.87</v>
      </c>
      <c r="I1193" s="0" t="n">
        <v>25.44</v>
      </c>
      <c r="J1193" s="0" t="n">
        <v>84.12</v>
      </c>
      <c r="K1193" s="0" t="n">
        <v>5</v>
      </c>
      <c r="T1193" s="0" t="n">
        <v>3</v>
      </c>
      <c r="U1193" s="0" t="n">
        <v>2</v>
      </c>
      <c r="V1193" s="0" t="inlineStr">
        <is>
          <t>계단식</t>
        </is>
      </c>
      <c r="W1193" s="0" t="inlineStr">
        <is>
          <t>99A</t>
        </is>
      </c>
      <c r="X1193" s="0" t="n">
        <v>13</v>
      </c>
      <c r="Y1193" s="0" t="n">
        <v>5</v>
      </c>
      <c r="Z1193" s="0" t="inlineStr">
        <is>
          <t>https://new.land.naver.com/complexes/18555?tab=detail&amp;rf=Y</t>
        </is>
      </c>
      <c r="AA1193" s="0" t="inlineStr">
        <is>
          <t>서울시 강동구 명일동 356</t>
        </is>
      </c>
      <c r="AB1193" s="0" t="inlineStr">
        <is>
          <t>서울시</t>
        </is>
      </c>
      <c r="AC1193" s="0" t="inlineStr">
        <is>
          <t>강동구</t>
        </is>
      </c>
      <c r="AD1193" s="0" t="inlineStr">
        <is>
          <t>명일동</t>
        </is>
      </c>
      <c r="AG1193" s="0" t="inlineStr">
        <is>
          <t>서울시 강동구 고덕로38길 34-9</t>
        </is>
      </c>
      <c r="AH1193" s="0" t="n">
        <v>0</v>
      </c>
      <c r="AI1193" s="0" t="n">
        <v>0</v>
      </c>
      <c r="AJ1193" s="0" t="n">
        <v>0</v>
      </c>
      <c r="AK1193" s="0" t="n">
        <v>88</v>
      </c>
      <c r="AL1193" s="0" t="n">
        <v>1.14</v>
      </c>
    </row>
    <row r="1194">
      <c r="A1194" s="0" t="inlineStr">
        <is>
          <t>[명일동]</t>
        </is>
      </c>
      <c r="B1194" s="0" t="n">
        <v>18555</v>
      </c>
      <c r="C1194" s="0" t="n">
        <v>10</v>
      </c>
      <c r="D1194" s="0" t="inlineStr">
        <is>
          <t>우성(356)</t>
        </is>
      </c>
      <c r="E1194" s="0" t="inlineStr">
        <is>
          <t>2004.02.</t>
        </is>
      </c>
      <c r="F1194" s="0" t="n">
        <v>77</v>
      </c>
      <c r="G1194" s="0" t="n">
        <v>30.22</v>
      </c>
      <c r="H1194" s="0" t="n">
        <v>99.92</v>
      </c>
      <c r="I1194" s="0" t="n">
        <v>25.5</v>
      </c>
      <c r="J1194" s="0" t="n">
        <v>84.31</v>
      </c>
      <c r="K1194" s="0" t="n">
        <v>1</v>
      </c>
      <c r="T1194" s="0" t="n">
        <v>3</v>
      </c>
      <c r="U1194" s="0" t="n">
        <v>2</v>
      </c>
      <c r="V1194" s="0" t="inlineStr">
        <is>
          <t>계단식</t>
        </is>
      </c>
      <c r="W1194" s="0" t="inlineStr">
        <is>
          <t>99B</t>
        </is>
      </c>
      <c r="X1194" s="0" t="n">
        <v>13</v>
      </c>
      <c r="Y1194" s="0" t="n">
        <v>5</v>
      </c>
      <c r="Z1194" s="0" t="inlineStr">
        <is>
          <t>https://new.land.naver.com/complexes/18555?tab=detail&amp;rf=Y</t>
        </is>
      </c>
      <c r="AA1194" s="0" t="inlineStr">
        <is>
          <t>서울시 강동구 명일동 356</t>
        </is>
      </c>
      <c r="AB1194" s="0" t="inlineStr">
        <is>
          <t>서울시</t>
        </is>
      </c>
      <c r="AC1194" s="0" t="inlineStr">
        <is>
          <t>강동구</t>
        </is>
      </c>
      <c r="AD1194" s="0" t="inlineStr">
        <is>
          <t>명일동</t>
        </is>
      </c>
      <c r="AG1194" s="0" t="inlineStr">
        <is>
          <t>서울시 강동구 고덕로38길 34-9</t>
        </is>
      </c>
      <c r="AH1194" s="0" t="n">
        <v>0</v>
      </c>
      <c r="AI1194" s="0" t="n">
        <v>0</v>
      </c>
      <c r="AJ1194" s="0" t="n">
        <v>0</v>
      </c>
      <c r="AK1194" s="0" t="n">
        <v>88</v>
      </c>
      <c r="AL1194" s="0" t="n">
        <v>1.14</v>
      </c>
    </row>
    <row r="1195">
      <c r="A1195" s="0" t="inlineStr">
        <is>
          <t>[명일동]</t>
        </is>
      </c>
      <c r="B1195" s="0" t="n">
        <v>18555</v>
      </c>
      <c r="C1195" s="0" t="n">
        <v>11</v>
      </c>
      <c r="D1195" s="0" t="inlineStr">
        <is>
          <t>우성(356)</t>
        </is>
      </c>
      <c r="E1195" s="0" t="inlineStr">
        <is>
          <t>2004.02.</t>
        </is>
      </c>
      <c r="F1195" s="0" t="n">
        <v>77</v>
      </c>
      <c r="G1195" s="0" t="n">
        <v>30.38</v>
      </c>
      <c r="H1195" s="0" t="n">
        <v>100.45</v>
      </c>
      <c r="I1195" s="0" t="n">
        <v>25.59</v>
      </c>
      <c r="J1195" s="0" t="n">
        <v>84.61</v>
      </c>
      <c r="K1195" s="0" t="n">
        <v>3</v>
      </c>
      <c r="T1195" s="0" t="n">
        <v>3</v>
      </c>
      <c r="U1195" s="0" t="n">
        <v>2</v>
      </c>
      <c r="V1195" s="0" t="inlineStr">
        <is>
          <t>계단식</t>
        </is>
      </c>
      <c r="W1195" s="0" t="inlineStr">
        <is>
          <t>100C</t>
        </is>
      </c>
      <c r="X1195" s="0" t="n">
        <v>13</v>
      </c>
      <c r="Y1195" s="0" t="n">
        <v>5</v>
      </c>
      <c r="Z1195" s="0" t="inlineStr">
        <is>
          <t>https://new.land.naver.com/complexes/18555?tab=detail&amp;rf=Y</t>
        </is>
      </c>
      <c r="AA1195" s="0" t="inlineStr">
        <is>
          <t>서울시 강동구 명일동 356</t>
        </is>
      </c>
      <c r="AB1195" s="0" t="inlineStr">
        <is>
          <t>서울시</t>
        </is>
      </c>
      <c r="AC1195" s="0" t="inlineStr">
        <is>
          <t>강동구</t>
        </is>
      </c>
      <c r="AD1195" s="0" t="inlineStr">
        <is>
          <t>명일동</t>
        </is>
      </c>
      <c r="AG1195" s="0" t="inlineStr">
        <is>
          <t>서울시 강동구 고덕로38길 34-9</t>
        </is>
      </c>
      <c r="AH1195" s="0" t="n">
        <v>0</v>
      </c>
      <c r="AI1195" s="0" t="n">
        <v>0</v>
      </c>
      <c r="AJ1195" s="0" t="n">
        <v>0</v>
      </c>
      <c r="AK1195" s="0" t="n">
        <v>88</v>
      </c>
      <c r="AL1195" s="0" t="n">
        <v>1.14</v>
      </c>
    </row>
    <row r="1196">
      <c r="A1196" s="0" t="inlineStr">
        <is>
          <t>[명일동]</t>
        </is>
      </c>
      <c r="B1196" s="0" t="n">
        <v>18555</v>
      </c>
      <c r="C1196" s="0" t="n">
        <v>12</v>
      </c>
      <c r="D1196" s="0" t="inlineStr">
        <is>
          <t>우성(356)</t>
        </is>
      </c>
      <c r="E1196" s="0" t="inlineStr">
        <is>
          <t>2004.02.</t>
        </is>
      </c>
      <c r="F1196" s="0" t="n">
        <v>77</v>
      </c>
      <c r="G1196" s="0" t="n">
        <v>30.44</v>
      </c>
      <c r="H1196" s="0" t="n">
        <v>100.63</v>
      </c>
      <c r="I1196" s="0" t="n">
        <v>25.63</v>
      </c>
      <c r="J1196" s="0" t="n">
        <v>84.76000000000001</v>
      </c>
      <c r="K1196" s="0" t="n">
        <v>1</v>
      </c>
      <c r="T1196" s="0" t="n">
        <v>3</v>
      </c>
      <c r="U1196" s="0" t="n">
        <v>2</v>
      </c>
      <c r="V1196" s="0" t="inlineStr">
        <is>
          <t>계단식</t>
        </is>
      </c>
      <c r="W1196" s="0" t="inlineStr">
        <is>
          <t>100D</t>
        </is>
      </c>
      <c r="X1196" s="0" t="n">
        <v>13</v>
      </c>
      <c r="Y1196" s="0" t="n">
        <v>5</v>
      </c>
      <c r="Z1196" s="0" t="inlineStr">
        <is>
          <t>https://new.land.naver.com/complexes/18555?tab=detail&amp;rf=Y</t>
        </is>
      </c>
      <c r="AA1196" s="0" t="inlineStr">
        <is>
          <t>서울시 강동구 명일동 356</t>
        </is>
      </c>
      <c r="AB1196" s="0" t="inlineStr">
        <is>
          <t>서울시</t>
        </is>
      </c>
      <c r="AC1196" s="0" t="inlineStr">
        <is>
          <t>강동구</t>
        </is>
      </c>
      <c r="AD1196" s="0" t="inlineStr">
        <is>
          <t>명일동</t>
        </is>
      </c>
      <c r="AG1196" s="0" t="inlineStr">
        <is>
          <t>서울시 강동구 고덕로38길 34-9</t>
        </is>
      </c>
      <c r="AH1196" s="0" t="n">
        <v>0</v>
      </c>
      <c r="AI1196" s="0" t="n">
        <v>0</v>
      </c>
      <c r="AJ1196" s="0" t="n">
        <v>0</v>
      </c>
      <c r="AK1196" s="0" t="n">
        <v>88</v>
      </c>
      <c r="AL1196" s="0" t="n">
        <v>1.14</v>
      </c>
    </row>
    <row r="1197">
      <c r="A1197" s="0" t="inlineStr">
        <is>
          <t>[명일동]</t>
        </is>
      </c>
      <c r="B1197" s="0" t="n">
        <v>18555</v>
      </c>
      <c r="C1197" s="0" t="n">
        <v>13</v>
      </c>
      <c r="D1197" s="0" t="inlineStr">
        <is>
          <t>우성(356)</t>
        </is>
      </c>
      <c r="E1197" s="0" t="inlineStr">
        <is>
          <t>2004.02.</t>
        </is>
      </c>
      <c r="F1197" s="0" t="n">
        <v>77</v>
      </c>
      <c r="G1197" s="0" t="n">
        <v>31.3</v>
      </c>
      <c r="H1197" s="0" t="n">
        <v>103.48</v>
      </c>
      <c r="I1197" s="0" t="n">
        <v>25.58</v>
      </c>
      <c r="J1197" s="0" t="n">
        <v>84.59</v>
      </c>
      <c r="K1197" s="0" t="n">
        <v>13</v>
      </c>
      <c r="T1197" s="0" t="n">
        <v>3</v>
      </c>
      <c r="U1197" s="0" t="n">
        <v>2</v>
      </c>
      <c r="V1197" s="0" t="inlineStr">
        <is>
          <t>계단식</t>
        </is>
      </c>
      <c r="W1197" s="0" t="n">
        <v>103</v>
      </c>
      <c r="X1197" s="0" t="n">
        <v>13</v>
      </c>
      <c r="Y1197" s="0" t="n">
        <v>5</v>
      </c>
      <c r="Z1197" s="0" t="inlineStr">
        <is>
          <t>https://new.land.naver.com/complexes/18555?tab=detail&amp;rf=Y</t>
        </is>
      </c>
      <c r="AA1197" s="0" t="inlineStr">
        <is>
          <t>서울시 강동구 명일동 356</t>
        </is>
      </c>
      <c r="AB1197" s="0" t="inlineStr">
        <is>
          <t>서울시</t>
        </is>
      </c>
      <c r="AC1197" s="0" t="inlineStr">
        <is>
          <t>강동구</t>
        </is>
      </c>
      <c r="AD1197" s="0" t="inlineStr">
        <is>
          <t>명일동</t>
        </is>
      </c>
      <c r="AG1197" s="0" t="inlineStr">
        <is>
          <t>서울시 강동구 고덕로38길 34-9</t>
        </is>
      </c>
      <c r="AH1197" s="0" t="n">
        <v>0</v>
      </c>
      <c r="AI1197" s="0" t="n">
        <v>0</v>
      </c>
      <c r="AJ1197" s="0" t="n">
        <v>0</v>
      </c>
      <c r="AK1197" s="0" t="n">
        <v>88</v>
      </c>
      <c r="AL1197" s="0" t="n">
        <v>1.14</v>
      </c>
    </row>
    <row r="1198">
      <c r="A1198" s="0" t="inlineStr">
        <is>
          <t>[명일동]</t>
        </is>
      </c>
      <c r="B1198" s="0" t="n">
        <v>18555</v>
      </c>
      <c r="C1198" s="0" t="n">
        <v>14</v>
      </c>
      <c r="D1198" s="0" t="inlineStr">
        <is>
          <t>우성(356)</t>
        </is>
      </c>
      <c r="E1198" s="0" t="inlineStr">
        <is>
          <t>2004.02.</t>
        </is>
      </c>
      <c r="F1198" s="0" t="n">
        <v>77</v>
      </c>
      <c r="G1198" s="0" t="n">
        <v>31.75</v>
      </c>
      <c r="H1198" s="0" t="n">
        <v>104.97</v>
      </c>
      <c r="I1198" s="0" t="n">
        <v>25.7</v>
      </c>
      <c r="J1198" s="0" t="n">
        <v>84.98</v>
      </c>
      <c r="K1198" s="0" t="n">
        <v>23</v>
      </c>
      <c r="T1198" s="0" t="n">
        <v>3</v>
      </c>
      <c r="U1198" s="0" t="n">
        <v>2</v>
      </c>
      <c r="V1198" s="0" t="inlineStr">
        <is>
          <t>계단식</t>
        </is>
      </c>
      <c r="W1198" s="0" t="inlineStr">
        <is>
          <t>104B</t>
        </is>
      </c>
      <c r="X1198" s="0" t="n">
        <v>13</v>
      </c>
      <c r="Y1198" s="0" t="n">
        <v>5</v>
      </c>
      <c r="Z1198" s="0" t="inlineStr">
        <is>
          <t>https://new.land.naver.com/complexes/18555?tab=detail&amp;rf=Y</t>
        </is>
      </c>
      <c r="AA1198" s="0" t="inlineStr">
        <is>
          <t>서울시 강동구 명일동 356</t>
        </is>
      </c>
      <c r="AB1198" s="0" t="inlineStr">
        <is>
          <t>서울시</t>
        </is>
      </c>
      <c r="AC1198" s="0" t="inlineStr">
        <is>
          <t>강동구</t>
        </is>
      </c>
      <c r="AD1198" s="0" t="inlineStr">
        <is>
          <t>명일동</t>
        </is>
      </c>
      <c r="AG1198" s="0" t="inlineStr">
        <is>
          <t>서울시 강동구 고덕로38길 34-9</t>
        </is>
      </c>
      <c r="AH1198" s="0" t="n">
        <v>0</v>
      </c>
      <c r="AI1198" s="0" t="n">
        <v>0</v>
      </c>
      <c r="AJ1198" s="0" t="n">
        <v>0</v>
      </c>
      <c r="AK1198" s="0" t="n">
        <v>88</v>
      </c>
      <c r="AL1198" s="0" t="n">
        <v>1.14</v>
      </c>
    </row>
    <row r="1199">
      <c r="A1199" s="0" t="inlineStr">
        <is>
          <t>[명일동]</t>
        </is>
      </c>
      <c r="B1199" s="0" t="n">
        <v>18555</v>
      </c>
      <c r="C1199" s="0" t="n">
        <v>15</v>
      </c>
      <c r="D1199" s="0" t="inlineStr">
        <is>
          <t>우성(356)</t>
        </is>
      </c>
      <c r="E1199" s="0" t="inlineStr">
        <is>
          <t>2004.02.</t>
        </is>
      </c>
      <c r="F1199" s="0" t="n">
        <v>77</v>
      </c>
      <c r="G1199" s="0" t="n">
        <v>31.85</v>
      </c>
      <c r="H1199" s="0" t="n">
        <v>105.3</v>
      </c>
      <c r="I1199" s="0" t="n">
        <v>25.7</v>
      </c>
      <c r="J1199" s="0" t="n">
        <v>84.97</v>
      </c>
      <c r="K1199" s="0" t="n">
        <v>12</v>
      </c>
      <c r="T1199" s="0" t="n">
        <v>3</v>
      </c>
      <c r="U1199" s="0" t="n">
        <v>2</v>
      </c>
      <c r="V1199" s="0" t="inlineStr">
        <is>
          <t>복도식</t>
        </is>
      </c>
      <c r="W1199" s="0" t="inlineStr">
        <is>
          <t>105A</t>
        </is>
      </c>
      <c r="X1199" s="0" t="n">
        <v>13</v>
      </c>
      <c r="Y1199" s="0" t="n">
        <v>5</v>
      </c>
      <c r="Z1199" s="0" t="inlineStr">
        <is>
          <t>https://new.land.naver.com/complexes/18555?tab=detail&amp;rf=Y</t>
        </is>
      </c>
      <c r="AA1199" s="0" t="inlineStr">
        <is>
          <t>서울시 강동구 명일동 356</t>
        </is>
      </c>
      <c r="AB1199" s="0" t="inlineStr">
        <is>
          <t>서울시</t>
        </is>
      </c>
      <c r="AC1199" s="0" t="inlineStr">
        <is>
          <t>강동구</t>
        </is>
      </c>
      <c r="AD1199" s="0" t="inlineStr">
        <is>
          <t>명일동</t>
        </is>
      </c>
      <c r="AG1199" s="0" t="inlineStr">
        <is>
          <t>서울시 강동구 고덕로38길 34-9</t>
        </is>
      </c>
      <c r="AH1199" s="0" t="n">
        <v>0</v>
      </c>
      <c r="AI1199" s="0" t="n">
        <v>0</v>
      </c>
      <c r="AJ1199" s="0" t="n">
        <v>0</v>
      </c>
      <c r="AK1199" s="0" t="n">
        <v>88</v>
      </c>
      <c r="AL1199" s="0" t="n">
        <v>1.14</v>
      </c>
    </row>
    <row r="1200">
      <c r="A1200" s="0" t="inlineStr">
        <is>
          <t>[명일동]</t>
        </is>
      </c>
      <c r="B1200" s="0" t="n">
        <v>1310</v>
      </c>
      <c r="C1200" s="0" t="n">
        <v>1</v>
      </c>
      <c r="D1200" s="0" t="inlineStr">
        <is>
          <t>고덕삼환</t>
        </is>
      </c>
      <c r="E1200" s="0" t="inlineStr">
        <is>
          <t>1987.06.</t>
        </is>
      </c>
      <c r="F1200" s="0" t="n">
        <v>120</v>
      </c>
      <c r="G1200" s="0" t="n">
        <v>30.67</v>
      </c>
      <c r="H1200" s="0" t="n">
        <v>101.41</v>
      </c>
      <c r="I1200" s="0" t="n">
        <v>25.6</v>
      </c>
      <c r="J1200" s="0" t="n">
        <v>84.64</v>
      </c>
      <c r="K1200" s="0" t="n">
        <v>75</v>
      </c>
      <c r="T1200" s="0" t="n">
        <v>3</v>
      </c>
      <c r="U1200" s="0" t="n">
        <v>1</v>
      </c>
      <c r="V1200" s="0" t="inlineStr">
        <is>
          <t>계단식</t>
        </is>
      </c>
      <c r="W1200" s="0" t="n">
        <v>101</v>
      </c>
      <c r="X1200" s="0" t="n">
        <v>15</v>
      </c>
      <c r="Y1200" s="0" t="n">
        <v>15</v>
      </c>
      <c r="Z1200" s="0" t="inlineStr">
        <is>
          <t>https://new.land.naver.com/complexes/1310?tab=detail&amp;rf=Y</t>
        </is>
      </c>
      <c r="AA1200" s="0" t="inlineStr">
        <is>
          <t>서울시 강동구 명일동 41</t>
        </is>
      </c>
      <c r="AB1200" s="0" t="inlineStr">
        <is>
          <t>서울시</t>
        </is>
      </c>
      <c r="AC1200" s="0" t="inlineStr">
        <is>
          <t>강동구</t>
        </is>
      </c>
      <c r="AD1200" s="0" t="inlineStr">
        <is>
          <t>명일동</t>
        </is>
      </c>
      <c r="AG1200" s="0" t="inlineStr">
        <is>
          <t>서울시 강동구 고덕로62길 126</t>
        </is>
      </c>
      <c r="AH1200" s="0" t="n">
        <v>0</v>
      </c>
      <c r="AI1200" s="0" t="n">
        <v>186</v>
      </c>
      <c r="AJ1200" s="0" t="n">
        <v>17</v>
      </c>
      <c r="AK1200" s="0" t="n">
        <v>81</v>
      </c>
      <c r="AL1200" s="0" t="n">
        <v>0.68</v>
      </c>
    </row>
    <row r="1201">
      <c r="A1201" s="0" t="inlineStr">
        <is>
          <t>[명일동]</t>
        </is>
      </c>
      <c r="B1201" s="0" t="n">
        <v>1310</v>
      </c>
      <c r="C1201" s="0" t="n">
        <v>2</v>
      </c>
      <c r="D1201" s="0" t="inlineStr">
        <is>
          <t>고덕삼환</t>
        </is>
      </c>
      <c r="E1201" s="0" t="inlineStr">
        <is>
          <t>1987.06.</t>
        </is>
      </c>
      <c r="F1201" s="0" t="n">
        <v>120</v>
      </c>
      <c r="G1201" s="0" t="n">
        <v>43.12</v>
      </c>
      <c r="H1201" s="0" t="n">
        <v>142.56</v>
      </c>
      <c r="I1201" s="0" t="n">
        <v>36.89</v>
      </c>
      <c r="J1201" s="0" t="n">
        <v>121.98</v>
      </c>
      <c r="K1201" s="0" t="n">
        <v>45</v>
      </c>
      <c r="T1201" s="0" t="n">
        <v>4</v>
      </c>
      <c r="U1201" s="0" t="n">
        <v>2</v>
      </c>
      <c r="V1201" s="0" t="inlineStr">
        <is>
          <t>계단식</t>
        </is>
      </c>
      <c r="W1201" s="0" t="n">
        <v>142</v>
      </c>
      <c r="X1201" s="0" t="n">
        <v>15</v>
      </c>
      <c r="Y1201" s="0" t="n">
        <v>15</v>
      </c>
      <c r="Z1201" s="0" t="inlineStr">
        <is>
          <t>https://new.land.naver.com/complexes/1310?tab=detail&amp;rf=Y</t>
        </is>
      </c>
      <c r="AA1201" s="0" t="inlineStr">
        <is>
          <t>서울시 강동구 명일동 41</t>
        </is>
      </c>
      <c r="AB1201" s="0" t="inlineStr">
        <is>
          <t>서울시</t>
        </is>
      </c>
      <c r="AC1201" s="0" t="inlineStr">
        <is>
          <t>강동구</t>
        </is>
      </c>
      <c r="AD1201" s="0" t="inlineStr">
        <is>
          <t>명일동</t>
        </is>
      </c>
      <c r="AG1201" s="0" t="inlineStr">
        <is>
          <t>서울시 강동구 고덕로62길 126</t>
        </is>
      </c>
      <c r="AH1201" s="0" t="n">
        <v>0</v>
      </c>
      <c r="AI1201" s="0" t="n">
        <v>186</v>
      </c>
      <c r="AJ1201" s="0" t="n">
        <v>17</v>
      </c>
      <c r="AK1201" s="0" t="n">
        <v>81</v>
      </c>
      <c r="AL1201" s="0" t="n">
        <v>0.68</v>
      </c>
    </row>
    <row r="1202">
      <c r="A1202" s="0" t="inlineStr">
        <is>
          <t>[명일동]</t>
        </is>
      </c>
      <c r="B1202" s="0" t="n">
        <v>100649</v>
      </c>
      <c r="C1202" s="0" t="n">
        <v>1</v>
      </c>
      <c r="D1202" s="0" t="inlineStr">
        <is>
          <t>태천해오름(102B)</t>
        </is>
      </c>
      <c r="E1202" s="0" t="inlineStr">
        <is>
          <t>2004.10.</t>
        </is>
      </c>
      <c r="F1202" s="0" t="n">
        <v>6</v>
      </c>
      <c r="G1202" s="0" t="n">
        <v>35.95</v>
      </c>
      <c r="H1202" s="0" t="n">
        <v>118.86</v>
      </c>
      <c r="I1202" s="0" t="n">
        <v>28.62</v>
      </c>
      <c r="J1202" s="0" t="n">
        <v>94.64</v>
      </c>
      <c r="K1202" s="0" t="n">
        <v>6</v>
      </c>
      <c r="T1202" s="0" t="n">
        <v>3</v>
      </c>
      <c r="U1202" s="0" t="n">
        <v>2</v>
      </c>
      <c r="V1202" s="0" t="inlineStr">
        <is>
          <t>계단식</t>
        </is>
      </c>
      <c r="W1202" s="0" t="n">
        <v>118</v>
      </c>
      <c r="X1202" s="0" t="n">
        <v>7</v>
      </c>
      <c r="Y1202" s="0" t="n">
        <v>7</v>
      </c>
      <c r="Z1202" s="0" t="inlineStr">
        <is>
          <t>https://new.land.naver.com/complexes/100649?tab=detail&amp;rf=Y</t>
        </is>
      </c>
      <c r="AA1202" s="0" t="inlineStr">
        <is>
          <t>서울시 강동구 명일동 352-18</t>
        </is>
      </c>
      <c r="AB1202" s="0" t="inlineStr">
        <is>
          <t>서울시</t>
        </is>
      </c>
      <c r="AC1202" s="0" t="inlineStr">
        <is>
          <t>강동구</t>
        </is>
      </c>
      <c r="AD1202" s="0" t="inlineStr">
        <is>
          <t>명일동</t>
        </is>
      </c>
      <c r="AG1202" s="0" t="inlineStr">
        <is>
          <t>서울시 강동구 천중로49길 91</t>
        </is>
      </c>
      <c r="AH1202" s="0" t="n">
        <v>0</v>
      </c>
      <c r="AI1202" s="0" t="n">
        <v>262</v>
      </c>
      <c r="AJ1202" s="0" t="n">
        <v>45</v>
      </c>
      <c r="AK1202" s="0" t="n">
        <v>8</v>
      </c>
      <c r="AL1202" s="0" t="n">
        <v>1.33</v>
      </c>
    </row>
    <row r="1203">
      <c r="A1203" s="0" t="inlineStr">
        <is>
          <t>[명일동]</t>
        </is>
      </c>
      <c r="B1203" s="0" t="n">
        <v>11086</v>
      </c>
      <c r="C1203" s="0" t="n">
        <v>1</v>
      </c>
      <c r="D1203" s="0" t="inlineStr">
        <is>
          <t>명일다성시티2차</t>
        </is>
      </c>
      <c r="E1203" s="0" t="inlineStr">
        <is>
          <t>2002.11.</t>
        </is>
      </c>
      <c r="F1203" s="0" t="n">
        <v>14</v>
      </c>
      <c r="G1203" s="0" t="n">
        <v>23.1</v>
      </c>
      <c r="H1203" s="0" t="n">
        <v>76.37</v>
      </c>
      <c r="I1203" s="0" t="n">
        <v>20.63</v>
      </c>
      <c r="J1203" s="0" t="n">
        <v>68.22</v>
      </c>
      <c r="K1203" s="0" t="n">
        <v>1</v>
      </c>
      <c r="T1203" s="0" t="n">
        <v>3</v>
      </c>
      <c r="U1203" s="0" t="n">
        <v>1</v>
      </c>
      <c r="V1203" s="0" t="inlineStr">
        <is>
          <t>계단식</t>
        </is>
      </c>
      <c r="W1203" s="0" t="n">
        <v>76</v>
      </c>
      <c r="X1203" s="0" t="n">
        <v>7</v>
      </c>
      <c r="Y1203" s="0" t="n">
        <v>7</v>
      </c>
      <c r="Z1203" s="0" t="inlineStr">
        <is>
          <t>https://new.land.naver.com/complexes/11086?tab=detail&amp;rf=Y</t>
        </is>
      </c>
      <c r="AA1203" s="0" t="inlineStr">
        <is>
          <t>서울시 강동구 명일동 352-5</t>
        </is>
      </c>
      <c r="AB1203" s="0" t="inlineStr">
        <is>
          <t>서울시</t>
        </is>
      </c>
      <c r="AC1203" s="0" t="inlineStr">
        <is>
          <t>강동구</t>
        </is>
      </c>
      <c r="AD1203" s="0" t="inlineStr">
        <is>
          <t>명일동</t>
        </is>
      </c>
      <c r="AG1203" s="0" t="inlineStr">
        <is>
          <t>서울시 강동구 양재대로130길 26</t>
        </is>
      </c>
      <c r="AH1203" s="0" t="n">
        <v>0</v>
      </c>
      <c r="AI1203" s="0" t="n">
        <v>271</v>
      </c>
      <c r="AJ1203" s="0" t="n">
        <v>43</v>
      </c>
      <c r="AK1203" s="0" t="n">
        <v>15</v>
      </c>
      <c r="AL1203" s="0" t="n">
        <v>1.07</v>
      </c>
    </row>
    <row r="1204">
      <c r="A1204" s="0" t="inlineStr">
        <is>
          <t>[명일동]</t>
        </is>
      </c>
      <c r="B1204" s="0" t="n">
        <v>11086</v>
      </c>
      <c r="C1204" s="0" t="n">
        <v>2</v>
      </c>
      <c r="D1204" s="0" t="inlineStr">
        <is>
          <t>명일다성시티2차</t>
        </is>
      </c>
      <c r="E1204" s="0" t="inlineStr">
        <is>
          <t>2002.11.</t>
        </is>
      </c>
      <c r="F1204" s="0" t="n">
        <v>14</v>
      </c>
      <c r="G1204" s="0" t="n">
        <v>26.82</v>
      </c>
      <c r="H1204" s="0" t="n">
        <v>88.69</v>
      </c>
      <c r="I1204" s="0" t="n">
        <v>23.96</v>
      </c>
      <c r="J1204" s="0" t="n">
        <v>79.22</v>
      </c>
      <c r="K1204" s="0" t="n">
        <v>1</v>
      </c>
      <c r="T1204" s="0" t="n">
        <v>3</v>
      </c>
      <c r="U1204" s="0" t="n">
        <v>2</v>
      </c>
      <c r="V1204" s="0" t="inlineStr">
        <is>
          <t>계단식</t>
        </is>
      </c>
      <c r="W1204" s="0" t="n">
        <v>88</v>
      </c>
      <c r="X1204" s="0" t="n">
        <v>7</v>
      </c>
      <c r="Y1204" s="0" t="n">
        <v>7</v>
      </c>
      <c r="Z1204" s="0" t="inlineStr">
        <is>
          <t>https://new.land.naver.com/complexes/11086?tab=detail&amp;rf=Y</t>
        </is>
      </c>
      <c r="AA1204" s="0" t="inlineStr">
        <is>
          <t>서울시 강동구 명일동 352-5</t>
        </is>
      </c>
      <c r="AB1204" s="0" t="inlineStr">
        <is>
          <t>서울시</t>
        </is>
      </c>
      <c r="AC1204" s="0" t="inlineStr">
        <is>
          <t>강동구</t>
        </is>
      </c>
      <c r="AD1204" s="0" t="inlineStr">
        <is>
          <t>명일동</t>
        </is>
      </c>
      <c r="AG1204" s="0" t="inlineStr">
        <is>
          <t>서울시 강동구 양재대로130길 26</t>
        </is>
      </c>
      <c r="AH1204" s="0" t="n">
        <v>0</v>
      </c>
      <c r="AI1204" s="0" t="n">
        <v>271</v>
      </c>
      <c r="AJ1204" s="0" t="n">
        <v>43</v>
      </c>
      <c r="AK1204" s="0" t="n">
        <v>15</v>
      </c>
      <c r="AL1204" s="0" t="n">
        <v>1.07</v>
      </c>
    </row>
    <row r="1205">
      <c r="A1205" s="0" t="inlineStr">
        <is>
          <t>[명일동]</t>
        </is>
      </c>
      <c r="B1205" s="0" t="n">
        <v>11086</v>
      </c>
      <c r="C1205" s="0" t="n">
        <v>3</v>
      </c>
      <c r="D1205" s="0" t="inlineStr">
        <is>
          <t>명일다성시티2차</t>
        </is>
      </c>
      <c r="E1205" s="0" t="inlineStr">
        <is>
          <t>2002.11.</t>
        </is>
      </c>
      <c r="F1205" s="0" t="n">
        <v>14</v>
      </c>
      <c r="G1205" s="0" t="n">
        <v>27.52</v>
      </c>
      <c r="H1205" s="0" t="n">
        <v>90.98999999999999</v>
      </c>
      <c r="I1205" s="0" t="n">
        <v>24.58</v>
      </c>
      <c r="J1205" s="0" t="n">
        <v>81.27</v>
      </c>
      <c r="K1205" s="0" t="n">
        <v>1</v>
      </c>
      <c r="T1205" s="0" t="n">
        <v>3</v>
      </c>
      <c r="U1205" s="0" t="n">
        <v>2</v>
      </c>
      <c r="V1205" s="0" t="inlineStr">
        <is>
          <t>계단식</t>
        </is>
      </c>
      <c r="W1205" s="0" t="n">
        <v>90</v>
      </c>
      <c r="X1205" s="0" t="n">
        <v>7</v>
      </c>
      <c r="Y1205" s="0" t="n">
        <v>7</v>
      </c>
      <c r="Z1205" s="0" t="inlineStr">
        <is>
          <t>https://new.land.naver.com/complexes/11086?tab=detail&amp;rf=Y</t>
        </is>
      </c>
      <c r="AA1205" s="0" t="inlineStr">
        <is>
          <t>서울시 강동구 명일동 352-5</t>
        </is>
      </c>
      <c r="AB1205" s="0" t="inlineStr">
        <is>
          <t>서울시</t>
        </is>
      </c>
      <c r="AC1205" s="0" t="inlineStr">
        <is>
          <t>강동구</t>
        </is>
      </c>
      <c r="AD1205" s="0" t="inlineStr">
        <is>
          <t>명일동</t>
        </is>
      </c>
      <c r="AG1205" s="0" t="inlineStr">
        <is>
          <t>서울시 강동구 양재대로130길 26</t>
        </is>
      </c>
      <c r="AH1205" s="0" t="n">
        <v>0</v>
      </c>
      <c r="AI1205" s="0" t="n">
        <v>271</v>
      </c>
      <c r="AJ1205" s="0" t="n">
        <v>43</v>
      </c>
      <c r="AK1205" s="0" t="n">
        <v>15</v>
      </c>
      <c r="AL1205" s="0" t="n">
        <v>1.07</v>
      </c>
    </row>
    <row r="1206">
      <c r="A1206" s="0" t="inlineStr">
        <is>
          <t>[명일동]</t>
        </is>
      </c>
      <c r="B1206" s="0" t="n">
        <v>11086</v>
      </c>
      <c r="C1206" s="0" t="n">
        <v>4</v>
      </c>
      <c r="D1206" s="0" t="inlineStr">
        <is>
          <t>명일다성시티2차</t>
        </is>
      </c>
      <c r="E1206" s="0" t="inlineStr">
        <is>
          <t>2002.11.</t>
        </is>
      </c>
      <c r="F1206" s="0" t="n">
        <v>14</v>
      </c>
      <c r="G1206" s="0" t="n">
        <v>28.72</v>
      </c>
      <c r="H1206" s="0" t="n">
        <v>94.97</v>
      </c>
      <c r="I1206" s="0" t="n">
        <v>25.65</v>
      </c>
      <c r="J1206" s="0" t="n">
        <v>84.81999999999999</v>
      </c>
      <c r="K1206" s="0" t="n">
        <v>6</v>
      </c>
      <c r="T1206" s="0" t="n">
        <v>3</v>
      </c>
      <c r="U1206" s="0" t="n">
        <v>2</v>
      </c>
      <c r="V1206" s="0" t="inlineStr">
        <is>
          <t>계단식</t>
        </is>
      </c>
      <c r="W1206" s="0" t="inlineStr">
        <is>
          <t>94B</t>
        </is>
      </c>
      <c r="X1206" s="0" t="n">
        <v>7</v>
      </c>
      <c r="Y1206" s="0" t="n">
        <v>7</v>
      </c>
      <c r="Z1206" s="0" t="inlineStr">
        <is>
          <t>https://new.land.naver.com/complexes/11086?tab=detail&amp;rf=Y</t>
        </is>
      </c>
      <c r="AA1206" s="0" t="inlineStr">
        <is>
          <t>서울시 강동구 명일동 352-5</t>
        </is>
      </c>
      <c r="AB1206" s="0" t="inlineStr">
        <is>
          <t>서울시</t>
        </is>
      </c>
      <c r="AC1206" s="0" t="inlineStr">
        <is>
          <t>강동구</t>
        </is>
      </c>
      <c r="AD1206" s="0" t="inlineStr">
        <is>
          <t>명일동</t>
        </is>
      </c>
      <c r="AG1206" s="0" t="inlineStr">
        <is>
          <t>서울시 강동구 양재대로130길 26</t>
        </is>
      </c>
      <c r="AH1206" s="0" t="n">
        <v>0</v>
      </c>
      <c r="AI1206" s="0" t="n">
        <v>271</v>
      </c>
      <c r="AJ1206" s="0" t="n">
        <v>43</v>
      </c>
      <c r="AK1206" s="0" t="n">
        <v>15</v>
      </c>
      <c r="AL1206" s="0" t="n">
        <v>1.07</v>
      </c>
    </row>
    <row r="1207">
      <c r="A1207" s="0" t="inlineStr">
        <is>
          <t>[명일동]</t>
        </is>
      </c>
      <c r="B1207" s="0" t="n">
        <v>11086</v>
      </c>
      <c r="C1207" s="0" t="n">
        <v>5</v>
      </c>
      <c r="D1207" s="0" t="inlineStr">
        <is>
          <t>명일다성시티2차</t>
        </is>
      </c>
      <c r="E1207" s="0" t="inlineStr">
        <is>
          <t>2002.11.</t>
        </is>
      </c>
      <c r="F1207" s="0" t="n">
        <v>14</v>
      </c>
      <c r="G1207" s="0" t="n">
        <v>28.71</v>
      </c>
      <c r="H1207" s="0" t="n">
        <v>94.94</v>
      </c>
      <c r="I1207" s="0" t="n">
        <v>25.65</v>
      </c>
      <c r="J1207" s="0" t="n">
        <v>84.8</v>
      </c>
      <c r="K1207" s="0" t="n">
        <v>5</v>
      </c>
      <c r="T1207" s="0" t="n">
        <v>3</v>
      </c>
      <c r="U1207" s="0" t="n">
        <v>2</v>
      </c>
      <c r="V1207" s="0" t="inlineStr">
        <is>
          <t>계단식</t>
        </is>
      </c>
      <c r="W1207" s="0" t="inlineStr">
        <is>
          <t>94A</t>
        </is>
      </c>
      <c r="X1207" s="0" t="n">
        <v>7</v>
      </c>
      <c r="Y1207" s="0" t="n">
        <v>7</v>
      </c>
      <c r="Z1207" s="0" t="inlineStr">
        <is>
          <t>https://new.land.naver.com/complexes/11086?tab=detail&amp;rf=Y</t>
        </is>
      </c>
      <c r="AA1207" s="0" t="inlineStr">
        <is>
          <t>서울시 강동구 명일동 352-5</t>
        </is>
      </c>
      <c r="AB1207" s="0" t="inlineStr">
        <is>
          <t>서울시</t>
        </is>
      </c>
      <c r="AC1207" s="0" t="inlineStr">
        <is>
          <t>강동구</t>
        </is>
      </c>
      <c r="AD1207" s="0" t="inlineStr">
        <is>
          <t>명일동</t>
        </is>
      </c>
      <c r="AG1207" s="0" t="inlineStr">
        <is>
          <t>서울시 강동구 양재대로130길 26</t>
        </is>
      </c>
      <c r="AH1207" s="0" t="n">
        <v>0</v>
      </c>
      <c r="AI1207" s="0" t="n">
        <v>271</v>
      </c>
      <c r="AJ1207" s="0" t="n">
        <v>43</v>
      </c>
      <c r="AK1207" s="0" t="n">
        <v>15</v>
      </c>
      <c r="AL1207" s="0" t="n">
        <v>1.07</v>
      </c>
    </row>
    <row r="1208">
      <c r="A1208" s="0" t="inlineStr">
        <is>
          <t>[명일동]</t>
        </is>
      </c>
      <c r="B1208" s="0" t="n">
        <v>128597</v>
      </c>
      <c r="C1208" s="0" t="n">
        <v>1</v>
      </c>
      <c r="D1208" s="0" t="inlineStr">
        <is>
          <t>쎄비앙</t>
        </is>
      </c>
      <c r="E1208" s="0" t="inlineStr">
        <is>
          <t>2006.01.</t>
        </is>
      </c>
      <c r="F1208" s="0" t="n">
        <v>7</v>
      </c>
      <c r="G1208" s="0" t="n">
        <v>32.04</v>
      </c>
      <c r="H1208" s="0" t="n">
        <v>105.92</v>
      </c>
      <c r="I1208" s="0" t="n">
        <v>25.47</v>
      </c>
      <c r="J1208" s="0" t="n">
        <v>84.22</v>
      </c>
      <c r="K1208" s="0" t="n">
        <v>7</v>
      </c>
      <c r="T1208" s="0" t="n">
        <v>3</v>
      </c>
      <c r="U1208" s="0" t="n">
        <v>2</v>
      </c>
      <c r="V1208" s="0" t="inlineStr">
        <is>
          <t>계단식</t>
        </is>
      </c>
      <c r="W1208" s="0" t="n">
        <v>105</v>
      </c>
      <c r="X1208" s="0" t="n">
        <v>7</v>
      </c>
      <c r="Y1208" s="0" t="n">
        <v>7</v>
      </c>
      <c r="Z1208" s="0" t="inlineStr">
        <is>
          <t>https://new.land.naver.com/complexes/128597?tab=detail&amp;rf=Y</t>
        </is>
      </c>
      <c r="AA1208" s="0" t="inlineStr">
        <is>
          <t>서울시 강동구 명일동 312-16</t>
        </is>
      </c>
      <c r="AB1208" s="0" t="inlineStr">
        <is>
          <t>서울시</t>
        </is>
      </c>
      <c r="AC1208" s="0" t="inlineStr">
        <is>
          <t>강동구</t>
        </is>
      </c>
      <c r="AD1208" s="0" t="inlineStr">
        <is>
          <t>명일동</t>
        </is>
      </c>
      <c r="AG1208" s="0" t="inlineStr">
        <is>
          <t>서울시 강동구 고덕로38길 39-7</t>
        </is>
      </c>
      <c r="AH1208" s="0" t="n">
        <v>0</v>
      </c>
      <c r="AI1208" s="0" t="n">
        <v>204</v>
      </c>
      <c r="AJ1208" s="0" t="n">
        <v>34</v>
      </c>
      <c r="AK1208" s="0" t="n">
        <v>8</v>
      </c>
      <c r="AL1208" s="0" t="n">
        <v>1.14</v>
      </c>
    </row>
    <row r="1209">
      <c r="A1209" s="0" t="inlineStr">
        <is>
          <t>[명일동]</t>
        </is>
      </c>
      <c r="B1209" s="0" t="n">
        <v>100648</v>
      </c>
      <c r="C1209" s="0" t="n">
        <v>1</v>
      </c>
      <c r="D1209" s="0" t="inlineStr">
        <is>
          <t>태천해오름(102A)</t>
        </is>
      </c>
      <c r="E1209" s="0" t="inlineStr">
        <is>
          <t>2004.10.</t>
        </is>
      </c>
      <c r="F1209" s="0" t="n">
        <v>18</v>
      </c>
      <c r="G1209" s="0" t="n">
        <v>16.43</v>
      </c>
      <c r="H1209" s="0" t="n">
        <v>54.34</v>
      </c>
      <c r="I1209" s="0" t="n">
        <v>14.59</v>
      </c>
      <c r="J1209" s="0" t="n">
        <v>48.24</v>
      </c>
      <c r="K1209" s="0" t="n">
        <v>1</v>
      </c>
      <c r="T1209" s="0" t="n">
        <v>2</v>
      </c>
      <c r="U1209" s="0" t="n">
        <v>1</v>
      </c>
      <c r="V1209" s="0" t="inlineStr">
        <is>
          <t>계단식</t>
        </is>
      </c>
      <c r="W1209" s="0" t="n">
        <v>54</v>
      </c>
      <c r="X1209" s="0" t="n">
        <v>7</v>
      </c>
      <c r="Y1209" s="0" t="n">
        <v>7</v>
      </c>
      <c r="Z1209" s="0" t="inlineStr">
        <is>
          <t>https://new.land.naver.com/complexes/100648?tab=detail&amp;rf=Y</t>
        </is>
      </c>
      <c r="AA1209" s="0" t="inlineStr">
        <is>
          <t>서울시 강동구 명일동 352-8</t>
        </is>
      </c>
      <c r="AB1209" s="0" t="inlineStr">
        <is>
          <t>서울시</t>
        </is>
      </c>
      <c r="AC1209" s="0" t="inlineStr">
        <is>
          <t>강동구</t>
        </is>
      </c>
      <c r="AD1209" s="0" t="inlineStr">
        <is>
          <t>명일동</t>
        </is>
      </c>
      <c r="AG1209" s="0" t="inlineStr">
        <is>
          <t>서울시 강동구 천중로49길 95</t>
        </is>
      </c>
      <c r="AH1209" s="0" t="n">
        <v>0</v>
      </c>
      <c r="AI1209" s="0" t="n">
        <v>232</v>
      </c>
      <c r="AJ1209" s="0" t="n">
        <v>52</v>
      </c>
      <c r="AK1209" s="0" t="n">
        <v>18</v>
      </c>
      <c r="AL1209" s="0" t="n">
        <v>1</v>
      </c>
    </row>
    <row r="1210">
      <c r="A1210" s="0" t="inlineStr">
        <is>
          <t>[명일동]</t>
        </is>
      </c>
      <c r="B1210" s="0" t="n">
        <v>100648</v>
      </c>
      <c r="C1210" s="0" t="n">
        <v>2</v>
      </c>
      <c r="D1210" s="0" t="inlineStr">
        <is>
          <t>태천해오름(102A)</t>
        </is>
      </c>
      <c r="E1210" s="0" t="inlineStr">
        <is>
          <t>2004.10.</t>
        </is>
      </c>
      <c r="F1210" s="0" t="n">
        <v>18</v>
      </c>
      <c r="G1210" s="0" t="n">
        <v>20.69</v>
      </c>
      <c r="H1210" s="0" t="n">
        <v>68.40000000000001</v>
      </c>
      <c r="I1210" s="0" t="n">
        <v>18.36</v>
      </c>
      <c r="J1210" s="0" t="n">
        <v>60.72</v>
      </c>
      <c r="K1210" s="0" t="n">
        <v>1</v>
      </c>
      <c r="T1210" s="0" t="n">
        <v>2</v>
      </c>
      <c r="U1210" s="0" t="n">
        <v>1</v>
      </c>
      <c r="V1210" s="0" t="inlineStr">
        <is>
          <t>계단식</t>
        </is>
      </c>
      <c r="W1210" s="0" t="inlineStr">
        <is>
          <t>68A</t>
        </is>
      </c>
      <c r="X1210" s="0" t="n">
        <v>7</v>
      </c>
      <c r="Y1210" s="0" t="n">
        <v>7</v>
      </c>
      <c r="Z1210" s="0" t="inlineStr">
        <is>
          <t>https://new.land.naver.com/complexes/100648?tab=detail&amp;rf=Y</t>
        </is>
      </c>
      <c r="AA1210" s="0" t="inlineStr">
        <is>
          <t>서울시 강동구 명일동 352-8</t>
        </is>
      </c>
      <c r="AB1210" s="0" t="inlineStr">
        <is>
          <t>서울시</t>
        </is>
      </c>
      <c r="AC1210" s="0" t="inlineStr">
        <is>
          <t>강동구</t>
        </is>
      </c>
      <c r="AD1210" s="0" t="inlineStr">
        <is>
          <t>명일동</t>
        </is>
      </c>
      <c r="AG1210" s="0" t="inlineStr">
        <is>
          <t>서울시 강동구 천중로49길 95</t>
        </is>
      </c>
      <c r="AH1210" s="0" t="n">
        <v>0</v>
      </c>
      <c r="AI1210" s="0" t="n">
        <v>232</v>
      </c>
      <c r="AJ1210" s="0" t="n">
        <v>52</v>
      </c>
      <c r="AK1210" s="0" t="n">
        <v>18</v>
      </c>
      <c r="AL1210" s="0" t="n">
        <v>1</v>
      </c>
    </row>
    <row r="1211">
      <c r="A1211" s="0" t="inlineStr">
        <is>
          <t>[명일동]</t>
        </is>
      </c>
      <c r="B1211" s="0" t="n">
        <v>100648</v>
      </c>
      <c r="C1211" s="0" t="n">
        <v>3</v>
      </c>
      <c r="D1211" s="0" t="inlineStr">
        <is>
          <t>태천해오름(102A)</t>
        </is>
      </c>
      <c r="E1211" s="0" t="inlineStr">
        <is>
          <t>2004.10.</t>
        </is>
      </c>
      <c r="F1211" s="0" t="n">
        <v>18</v>
      </c>
      <c r="G1211" s="0" t="n">
        <v>20.81</v>
      </c>
      <c r="H1211" s="0" t="n">
        <v>68.8</v>
      </c>
      <c r="I1211" s="0" t="n">
        <v>18.47</v>
      </c>
      <c r="J1211" s="0" t="n">
        <v>61.07</v>
      </c>
      <c r="K1211" s="0" t="n">
        <v>1</v>
      </c>
      <c r="T1211" s="0" t="n">
        <v>2</v>
      </c>
      <c r="U1211" s="0" t="n">
        <v>1</v>
      </c>
      <c r="V1211" s="0" t="inlineStr">
        <is>
          <t>계단식</t>
        </is>
      </c>
      <c r="W1211" s="0" t="inlineStr">
        <is>
          <t>68B</t>
        </is>
      </c>
      <c r="X1211" s="0" t="n">
        <v>7</v>
      </c>
      <c r="Y1211" s="0" t="n">
        <v>7</v>
      </c>
      <c r="Z1211" s="0" t="inlineStr">
        <is>
          <t>https://new.land.naver.com/complexes/100648?tab=detail&amp;rf=Y</t>
        </is>
      </c>
      <c r="AA1211" s="0" t="inlineStr">
        <is>
          <t>서울시 강동구 명일동 352-8</t>
        </is>
      </c>
      <c r="AB1211" s="0" t="inlineStr">
        <is>
          <t>서울시</t>
        </is>
      </c>
      <c r="AC1211" s="0" t="inlineStr">
        <is>
          <t>강동구</t>
        </is>
      </c>
      <c r="AD1211" s="0" t="inlineStr">
        <is>
          <t>명일동</t>
        </is>
      </c>
      <c r="AG1211" s="0" t="inlineStr">
        <is>
          <t>서울시 강동구 천중로49길 95</t>
        </is>
      </c>
      <c r="AH1211" s="0" t="n">
        <v>0</v>
      </c>
      <c r="AI1211" s="0" t="n">
        <v>232</v>
      </c>
      <c r="AJ1211" s="0" t="n">
        <v>52</v>
      </c>
      <c r="AK1211" s="0" t="n">
        <v>18</v>
      </c>
      <c r="AL1211" s="0" t="n">
        <v>1</v>
      </c>
    </row>
    <row r="1212">
      <c r="A1212" s="0" t="inlineStr">
        <is>
          <t>[명일동]</t>
        </is>
      </c>
      <c r="B1212" s="0" t="n">
        <v>100648</v>
      </c>
      <c r="C1212" s="0" t="n">
        <v>4</v>
      </c>
      <c r="D1212" s="0" t="inlineStr">
        <is>
          <t>태천해오름(102A)</t>
        </is>
      </c>
      <c r="E1212" s="0" t="inlineStr">
        <is>
          <t>2004.10.</t>
        </is>
      </c>
      <c r="F1212" s="0" t="n">
        <v>18</v>
      </c>
      <c r="G1212" s="0" t="n">
        <v>23.88</v>
      </c>
      <c r="H1212" s="0" t="n">
        <v>78.95999999999999</v>
      </c>
      <c r="I1212" s="0" t="n">
        <v>21.2</v>
      </c>
      <c r="J1212" s="0" t="n">
        <v>70.09</v>
      </c>
      <c r="K1212" s="0" t="n">
        <v>1</v>
      </c>
      <c r="T1212" s="0" t="n">
        <v>2</v>
      </c>
      <c r="U1212" s="0" t="n">
        <v>1</v>
      </c>
      <c r="V1212" s="0" t="inlineStr">
        <is>
          <t>복도식</t>
        </is>
      </c>
      <c r="W1212" s="0" t="n">
        <v>78</v>
      </c>
      <c r="X1212" s="0" t="n">
        <v>7</v>
      </c>
      <c r="Y1212" s="0" t="n">
        <v>7</v>
      </c>
      <c r="Z1212" s="0" t="inlineStr">
        <is>
          <t>https://new.land.naver.com/complexes/100648?tab=detail&amp;rf=Y</t>
        </is>
      </c>
      <c r="AA1212" s="0" t="inlineStr">
        <is>
          <t>서울시 강동구 명일동 352-8</t>
        </is>
      </c>
      <c r="AB1212" s="0" t="inlineStr">
        <is>
          <t>서울시</t>
        </is>
      </c>
      <c r="AC1212" s="0" t="inlineStr">
        <is>
          <t>강동구</t>
        </is>
      </c>
      <c r="AD1212" s="0" t="inlineStr">
        <is>
          <t>명일동</t>
        </is>
      </c>
      <c r="AG1212" s="0" t="inlineStr">
        <is>
          <t>서울시 강동구 천중로49길 95</t>
        </is>
      </c>
      <c r="AH1212" s="0" t="n">
        <v>0</v>
      </c>
      <c r="AI1212" s="0" t="n">
        <v>232</v>
      </c>
      <c r="AJ1212" s="0" t="n">
        <v>52</v>
      </c>
      <c r="AK1212" s="0" t="n">
        <v>18</v>
      </c>
      <c r="AL1212" s="0" t="n">
        <v>1</v>
      </c>
    </row>
    <row r="1213">
      <c r="A1213" s="0" t="inlineStr">
        <is>
          <t>[명일동]</t>
        </is>
      </c>
      <c r="B1213" s="0" t="n">
        <v>100648</v>
      </c>
      <c r="C1213" s="0" t="n">
        <v>5</v>
      </c>
      <c r="D1213" s="0" t="inlineStr">
        <is>
          <t>태천해오름(102A)</t>
        </is>
      </c>
      <c r="E1213" s="0" t="inlineStr">
        <is>
          <t>2004.10.</t>
        </is>
      </c>
      <c r="F1213" s="0" t="n">
        <v>18</v>
      </c>
      <c r="G1213" s="0" t="n">
        <v>25.12</v>
      </c>
      <c r="H1213" s="0" t="n">
        <v>83.05</v>
      </c>
      <c r="I1213" s="0" t="n">
        <v>22.3</v>
      </c>
      <c r="J1213" s="0" t="n">
        <v>73.73</v>
      </c>
      <c r="K1213" s="0" t="n">
        <v>1</v>
      </c>
      <c r="T1213" s="0" t="n">
        <v>3</v>
      </c>
      <c r="U1213" s="0" t="n">
        <v>2</v>
      </c>
      <c r="V1213" s="0" t="inlineStr">
        <is>
          <t>계단식</t>
        </is>
      </c>
      <c r="W1213" s="0" t="n">
        <v>83</v>
      </c>
      <c r="X1213" s="0" t="n">
        <v>7</v>
      </c>
      <c r="Y1213" s="0" t="n">
        <v>7</v>
      </c>
      <c r="Z1213" s="0" t="inlineStr">
        <is>
          <t>https://new.land.naver.com/complexes/100648?tab=detail&amp;rf=Y</t>
        </is>
      </c>
      <c r="AA1213" s="0" t="inlineStr">
        <is>
          <t>서울시 강동구 명일동 352-8</t>
        </is>
      </c>
      <c r="AB1213" s="0" t="inlineStr">
        <is>
          <t>서울시</t>
        </is>
      </c>
      <c r="AC1213" s="0" t="inlineStr">
        <is>
          <t>강동구</t>
        </is>
      </c>
      <c r="AD1213" s="0" t="inlineStr">
        <is>
          <t>명일동</t>
        </is>
      </c>
      <c r="AG1213" s="0" t="inlineStr">
        <is>
          <t>서울시 강동구 천중로49길 95</t>
        </is>
      </c>
      <c r="AH1213" s="0" t="n">
        <v>0</v>
      </c>
      <c r="AI1213" s="0" t="n">
        <v>232</v>
      </c>
      <c r="AJ1213" s="0" t="n">
        <v>52</v>
      </c>
      <c r="AK1213" s="0" t="n">
        <v>18</v>
      </c>
      <c r="AL1213" s="0" t="n">
        <v>1</v>
      </c>
    </row>
    <row r="1214">
      <c r="A1214" s="0" t="inlineStr">
        <is>
          <t>[명일동]</t>
        </is>
      </c>
      <c r="B1214" s="0" t="n">
        <v>100648</v>
      </c>
      <c r="C1214" s="0" t="n">
        <v>6</v>
      </c>
      <c r="D1214" s="0" t="inlineStr">
        <is>
          <t>태천해오름(102A)</t>
        </is>
      </c>
      <c r="E1214" s="0" t="inlineStr">
        <is>
          <t>2004.10.</t>
        </is>
      </c>
      <c r="F1214" s="0" t="n">
        <v>18</v>
      </c>
      <c r="G1214" s="0" t="n">
        <v>26.24</v>
      </c>
      <c r="H1214" s="0" t="n">
        <v>86.75</v>
      </c>
      <c r="I1214" s="0" t="n">
        <v>23.29</v>
      </c>
      <c r="J1214" s="0" t="n">
        <v>77.01000000000001</v>
      </c>
      <c r="K1214" s="0" t="n">
        <v>3</v>
      </c>
      <c r="T1214" s="0" t="n">
        <v>3</v>
      </c>
      <c r="U1214" s="0" t="n">
        <v>1</v>
      </c>
      <c r="V1214" s="0" t="inlineStr">
        <is>
          <t>복도식</t>
        </is>
      </c>
      <c r="W1214" s="0" t="n">
        <v>86</v>
      </c>
      <c r="X1214" s="0" t="n">
        <v>7</v>
      </c>
      <c r="Y1214" s="0" t="n">
        <v>7</v>
      </c>
      <c r="Z1214" s="0" t="inlineStr">
        <is>
          <t>https://new.land.naver.com/complexes/100648?tab=detail&amp;rf=Y</t>
        </is>
      </c>
      <c r="AA1214" s="0" t="inlineStr">
        <is>
          <t>서울시 강동구 명일동 352-8</t>
        </is>
      </c>
      <c r="AB1214" s="0" t="inlineStr">
        <is>
          <t>서울시</t>
        </is>
      </c>
      <c r="AC1214" s="0" t="inlineStr">
        <is>
          <t>강동구</t>
        </is>
      </c>
      <c r="AD1214" s="0" t="inlineStr">
        <is>
          <t>명일동</t>
        </is>
      </c>
      <c r="AG1214" s="0" t="inlineStr">
        <is>
          <t>서울시 강동구 천중로49길 95</t>
        </is>
      </c>
      <c r="AH1214" s="0" t="n">
        <v>0</v>
      </c>
      <c r="AI1214" s="0" t="n">
        <v>232</v>
      </c>
      <c r="AJ1214" s="0" t="n">
        <v>52</v>
      </c>
      <c r="AK1214" s="0" t="n">
        <v>18</v>
      </c>
      <c r="AL1214" s="0" t="n">
        <v>1</v>
      </c>
    </row>
    <row r="1215">
      <c r="A1215" s="0" t="inlineStr">
        <is>
          <t>[명일동]</t>
        </is>
      </c>
      <c r="B1215" s="0" t="n">
        <v>100648</v>
      </c>
      <c r="C1215" s="0" t="n">
        <v>7</v>
      </c>
      <c r="D1215" s="0" t="inlineStr">
        <is>
          <t>태천해오름(102A)</t>
        </is>
      </c>
      <c r="E1215" s="0" t="inlineStr">
        <is>
          <t>2004.10.</t>
        </is>
      </c>
      <c r="F1215" s="0" t="n">
        <v>18</v>
      </c>
      <c r="G1215" s="0" t="n">
        <v>27.52</v>
      </c>
      <c r="H1215" s="0" t="n">
        <v>90.98</v>
      </c>
      <c r="I1215" s="0" t="n">
        <v>24.42</v>
      </c>
      <c r="J1215" s="0" t="n">
        <v>80.76000000000001</v>
      </c>
      <c r="K1215" s="0" t="n">
        <v>1</v>
      </c>
      <c r="T1215" s="0" t="n">
        <v>3</v>
      </c>
      <c r="U1215" s="0" t="n">
        <v>2</v>
      </c>
      <c r="V1215" s="0" t="inlineStr">
        <is>
          <t>계단식</t>
        </is>
      </c>
      <c r="W1215" s="0" t="inlineStr">
        <is>
          <t>90A</t>
        </is>
      </c>
      <c r="X1215" s="0" t="n">
        <v>7</v>
      </c>
      <c r="Y1215" s="0" t="n">
        <v>7</v>
      </c>
      <c r="Z1215" s="0" t="inlineStr">
        <is>
          <t>https://new.land.naver.com/complexes/100648?tab=detail&amp;rf=Y</t>
        </is>
      </c>
      <c r="AA1215" s="0" t="inlineStr">
        <is>
          <t>서울시 강동구 명일동 352-8</t>
        </is>
      </c>
      <c r="AB1215" s="0" t="inlineStr">
        <is>
          <t>서울시</t>
        </is>
      </c>
      <c r="AC1215" s="0" t="inlineStr">
        <is>
          <t>강동구</t>
        </is>
      </c>
      <c r="AD1215" s="0" t="inlineStr">
        <is>
          <t>명일동</t>
        </is>
      </c>
      <c r="AG1215" s="0" t="inlineStr">
        <is>
          <t>서울시 강동구 천중로49길 95</t>
        </is>
      </c>
      <c r="AH1215" s="0" t="n">
        <v>0</v>
      </c>
      <c r="AI1215" s="0" t="n">
        <v>232</v>
      </c>
      <c r="AJ1215" s="0" t="n">
        <v>52</v>
      </c>
      <c r="AK1215" s="0" t="n">
        <v>18</v>
      </c>
      <c r="AL1215" s="0" t="n">
        <v>1</v>
      </c>
    </row>
    <row r="1216">
      <c r="A1216" s="0" t="inlineStr">
        <is>
          <t>[명일동]</t>
        </is>
      </c>
      <c r="B1216" s="0" t="n">
        <v>100648</v>
      </c>
      <c r="C1216" s="0" t="n">
        <v>8</v>
      </c>
      <c r="D1216" s="0" t="inlineStr">
        <is>
          <t>태천해오름(102A)</t>
        </is>
      </c>
      <c r="E1216" s="0" t="inlineStr">
        <is>
          <t>2004.10.</t>
        </is>
      </c>
      <c r="F1216" s="0" t="n">
        <v>18</v>
      </c>
      <c r="G1216" s="0" t="n">
        <v>28.38</v>
      </c>
      <c r="H1216" s="0" t="n">
        <v>93.81999999999999</v>
      </c>
      <c r="I1216" s="0" t="n">
        <v>25.19</v>
      </c>
      <c r="J1216" s="0" t="n">
        <v>83.28</v>
      </c>
      <c r="K1216" s="0" t="n">
        <v>5</v>
      </c>
      <c r="T1216" s="0" t="n">
        <v>3</v>
      </c>
      <c r="U1216" s="0" t="n">
        <v>2</v>
      </c>
      <c r="V1216" s="0" t="inlineStr">
        <is>
          <t>계단식</t>
        </is>
      </c>
      <c r="W1216" s="0" t="inlineStr">
        <is>
          <t>93C</t>
        </is>
      </c>
      <c r="X1216" s="0" t="n">
        <v>7</v>
      </c>
      <c r="Y1216" s="0" t="n">
        <v>7</v>
      </c>
      <c r="Z1216" s="0" t="inlineStr">
        <is>
          <t>https://new.land.naver.com/complexes/100648?tab=detail&amp;rf=Y</t>
        </is>
      </c>
      <c r="AA1216" s="0" t="inlineStr">
        <is>
          <t>서울시 강동구 명일동 352-8</t>
        </is>
      </c>
      <c r="AB1216" s="0" t="inlineStr">
        <is>
          <t>서울시</t>
        </is>
      </c>
      <c r="AC1216" s="0" t="inlineStr">
        <is>
          <t>강동구</t>
        </is>
      </c>
      <c r="AD1216" s="0" t="inlineStr">
        <is>
          <t>명일동</t>
        </is>
      </c>
      <c r="AG1216" s="0" t="inlineStr">
        <is>
          <t>서울시 강동구 천중로49길 95</t>
        </is>
      </c>
      <c r="AH1216" s="0" t="n">
        <v>0</v>
      </c>
      <c r="AI1216" s="0" t="n">
        <v>232</v>
      </c>
      <c r="AJ1216" s="0" t="n">
        <v>52</v>
      </c>
      <c r="AK1216" s="0" t="n">
        <v>18</v>
      </c>
      <c r="AL1216" s="0" t="n">
        <v>1</v>
      </c>
    </row>
    <row r="1217">
      <c r="A1217" s="0" t="inlineStr">
        <is>
          <t>[명일동]</t>
        </is>
      </c>
      <c r="B1217" s="0" t="n">
        <v>100648</v>
      </c>
      <c r="C1217" s="0" t="n">
        <v>9</v>
      </c>
      <c r="D1217" s="0" t="inlineStr">
        <is>
          <t>태천해오름(102A)</t>
        </is>
      </c>
      <c r="E1217" s="0" t="inlineStr">
        <is>
          <t>2004.10.</t>
        </is>
      </c>
      <c r="F1217" s="0" t="n">
        <v>18</v>
      </c>
      <c r="G1217" s="0" t="n">
        <v>28.19</v>
      </c>
      <c r="H1217" s="0" t="n">
        <v>93.22</v>
      </c>
      <c r="I1217" s="0" t="n">
        <v>25.03</v>
      </c>
      <c r="J1217" s="0" t="n">
        <v>82.75</v>
      </c>
      <c r="K1217" s="0" t="n">
        <v>1</v>
      </c>
      <c r="T1217" s="0" t="n">
        <v>3</v>
      </c>
      <c r="U1217" s="0" t="n">
        <v>2</v>
      </c>
      <c r="V1217" s="0" t="inlineStr">
        <is>
          <t>계단식</t>
        </is>
      </c>
      <c r="W1217" s="0" t="inlineStr">
        <is>
          <t>93B</t>
        </is>
      </c>
      <c r="X1217" s="0" t="n">
        <v>7</v>
      </c>
      <c r="Y1217" s="0" t="n">
        <v>7</v>
      </c>
      <c r="Z1217" s="0" t="inlineStr">
        <is>
          <t>https://new.land.naver.com/complexes/100648?tab=detail&amp;rf=Y</t>
        </is>
      </c>
      <c r="AA1217" s="0" t="inlineStr">
        <is>
          <t>서울시 강동구 명일동 352-8</t>
        </is>
      </c>
      <c r="AB1217" s="0" t="inlineStr">
        <is>
          <t>서울시</t>
        </is>
      </c>
      <c r="AC1217" s="0" t="inlineStr">
        <is>
          <t>강동구</t>
        </is>
      </c>
      <c r="AD1217" s="0" t="inlineStr">
        <is>
          <t>명일동</t>
        </is>
      </c>
      <c r="AG1217" s="0" t="inlineStr">
        <is>
          <t>서울시 강동구 천중로49길 95</t>
        </is>
      </c>
      <c r="AH1217" s="0" t="n">
        <v>0</v>
      </c>
      <c r="AI1217" s="0" t="n">
        <v>232</v>
      </c>
      <c r="AJ1217" s="0" t="n">
        <v>52</v>
      </c>
      <c r="AK1217" s="0" t="n">
        <v>18</v>
      </c>
      <c r="AL1217" s="0" t="n">
        <v>1</v>
      </c>
    </row>
    <row r="1218">
      <c r="A1218" s="0" t="inlineStr">
        <is>
          <t>[명일동]</t>
        </is>
      </c>
      <c r="B1218" s="0" t="n">
        <v>100648</v>
      </c>
      <c r="C1218" s="0" t="n">
        <v>10</v>
      </c>
      <c r="D1218" s="0" t="inlineStr">
        <is>
          <t>태천해오름(102A)</t>
        </is>
      </c>
      <c r="E1218" s="0" t="inlineStr">
        <is>
          <t>2004.10.</t>
        </is>
      </c>
      <c r="F1218" s="0" t="n">
        <v>18</v>
      </c>
      <c r="G1218" s="0" t="n">
        <v>28.93</v>
      </c>
      <c r="H1218" s="0" t="n">
        <v>95.65000000000001</v>
      </c>
      <c r="I1218" s="0" t="n">
        <v>25.68</v>
      </c>
      <c r="J1218" s="0" t="n">
        <v>84.91</v>
      </c>
      <c r="K1218" s="0" t="n">
        <v>3</v>
      </c>
      <c r="T1218" s="0" t="n">
        <v>3</v>
      </c>
      <c r="U1218" s="0" t="n">
        <v>2</v>
      </c>
      <c r="V1218" s="0" t="inlineStr">
        <is>
          <t>계단식</t>
        </is>
      </c>
      <c r="W1218" s="0" t="n">
        <v>95</v>
      </c>
      <c r="X1218" s="0" t="n">
        <v>7</v>
      </c>
      <c r="Y1218" s="0" t="n">
        <v>7</v>
      </c>
      <c r="Z1218" s="0" t="inlineStr">
        <is>
          <t>https://new.land.naver.com/complexes/100648?tab=detail&amp;rf=Y</t>
        </is>
      </c>
      <c r="AA1218" s="0" t="inlineStr">
        <is>
          <t>서울시 강동구 명일동 352-8</t>
        </is>
      </c>
      <c r="AB1218" s="0" t="inlineStr">
        <is>
          <t>서울시</t>
        </is>
      </c>
      <c r="AC1218" s="0" t="inlineStr">
        <is>
          <t>강동구</t>
        </is>
      </c>
      <c r="AD1218" s="0" t="inlineStr">
        <is>
          <t>명일동</t>
        </is>
      </c>
      <c r="AG1218" s="0" t="inlineStr">
        <is>
          <t>서울시 강동구 천중로49길 95</t>
        </is>
      </c>
      <c r="AH1218" s="0" t="n">
        <v>0</v>
      </c>
      <c r="AI1218" s="0" t="n">
        <v>232</v>
      </c>
      <c r="AJ1218" s="0" t="n">
        <v>52</v>
      </c>
      <c r="AK1218" s="0" t="n">
        <v>18</v>
      </c>
      <c r="AL1218" s="0" t="n">
        <v>1</v>
      </c>
    </row>
    <row r="1219">
      <c r="A1219" s="0" t="inlineStr">
        <is>
          <t>[명일동]</t>
        </is>
      </c>
      <c r="B1219" s="0" t="n">
        <v>8880</v>
      </c>
      <c r="C1219" s="0" t="n">
        <v>1</v>
      </c>
      <c r="D1219" s="0" t="inlineStr">
        <is>
          <t>동양타워</t>
        </is>
      </c>
      <c r="E1219" s="0" t="inlineStr">
        <is>
          <t>1995.02.</t>
        </is>
      </c>
      <c r="F1219" s="0" t="n">
        <v>24</v>
      </c>
      <c r="G1219" s="0" t="n">
        <v>30.12</v>
      </c>
      <c r="H1219" s="0" t="n">
        <v>99.58</v>
      </c>
      <c r="I1219" s="0" t="n">
        <v>22.83</v>
      </c>
      <c r="J1219" s="0" t="n">
        <v>75.48</v>
      </c>
      <c r="K1219" s="0" t="n">
        <v>6</v>
      </c>
      <c r="T1219" s="0" t="n">
        <v>3</v>
      </c>
      <c r="U1219" s="0" t="n">
        <v>1</v>
      </c>
      <c r="V1219" s="0" t="inlineStr">
        <is>
          <t>계단식</t>
        </is>
      </c>
      <c r="W1219" s="0" t="n">
        <v>99</v>
      </c>
      <c r="X1219" s="0" t="n">
        <v>10</v>
      </c>
      <c r="Y1219" s="0" t="n">
        <v>10</v>
      </c>
      <c r="Z1219" s="0" t="inlineStr">
        <is>
          <t>https://new.land.naver.com/complexes/8880?tab=detail&amp;rf=Y</t>
        </is>
      </c>
      <c r="AA1219" s="0" t="inlineStr">
        <is>
          <t>서울시 강동구 명일동 48-12</t>
        </is>
      </c>
      <c r="AB1219" s="0" t="inlineStr">
        <is>
          <t>서울시</t>
        </is>
      </c>
      <c r="AC1219" s="0" t="inlineStr">
        <is>
          <t>강동구</t>
        </is>
      </c>
      <c r="AD1219" s="0" t="inlineStr">
        <is>
          <t>명일동</t>
        </is>
      </c>
      <c r="AG1219" s="0" t="inlineStr">
        <is>
          <t>서울시 강동구 동남로71길 38</t>
        </is>
      </c>
      <c r="AH1219" s="0" t="n">
        <v>0</v>
      </c>
      <c r="AI1219" s="0" t="n">
        <v>0</v>
      </c>
      <c r="AJ1219" s="0" t="n">
        <v>0</v>
      </c>
      <c r="AK1219" s="0" t="n">
        <v>0</v>
      </c>
      <c r="AL1219" s="0" t="n">
        <v>0</v>
      </c>
    </row>
    <row r="1220">
      <c r="A1220" s="0" t="inlineStr">
        <is>
          <t>[명일동]</t>
        </is>
      </c>
      <c r="B1220" s="0" t="n">
        <v>8880</v>
      </c>
      <c r="C1220" s="0" t="n">
        <v>2</v>
      </c>
      <c r="D1220" s="0" t="inlineStr">
        <is>
          <t>동양타워</t>
        </is>
      </c>
      <c r="E1220" s="0" t="inlineStr">
        <is>
          <t>1995.02.</t>
        </is>
      </c>
      <c r="F1220" s="0" t="n">
        <v>24</v>
      </c>
      <c r="G1220" s="0" t="n">
        <v>30.91</v>
      </c>
      <c r="H1220" s="0" t="n">
        <v>102.2</v>
      </c>
      <c r="I1220" s="0" t="n">
        <v>23.43</v>
      </c>
      <c r="J1220" s="0" t="n">
        <v>77.45999999999999</v>
      </c>
      <c r="K1220" s="0" t="n">
        <v>6</v>
      </c>
      <c r="T1220" s="0" t="n">
        <v>3</v>
      </c>
      <c r="U1220" s="0" t="n">
        <v>1</v>
      </c>
      <c r="V1220" s="0" t="inlineStr">
        <is>
          <t>복도식</t>
        </is>
      </c>
      <c r="W1220" s="0" t="n">
        <v>102</v>
      </c>
      <c r="X1220" s="0" t="n">
        <v>10</v>
      </c>
      <c r="Y1220" s="0" t="n">
        <v>10</v>
      </c>
      <c r="Z1220" s="0" t="inlineStr">
        <is>
          <t>https://new.land.naver.com/complexes/8880?tab=detail&amp;rf=Y</t>
        </is>
      </c>
      <c r="AA1220" s="0" t="inlineStr">
        <is>
          <t>서울시 강동구 명일동 48-12</t>
        </is>
      </c>
      <c r="AB1220" s="0" t="inlineStr">
        <is>
          <t>서울시</t>
        </is>
      </c>
      <c r="AC1220" s="0" t="inlineStr">
        <is>
          <t>강동구</t>
        </is>
      </c>
      <c r="AD1220" s="0" t="inlineStr">
        <is>
          <t>명일동</t>
        </is>
      </c>
      <c r="AG1220" s="0" t="inlineStr">
        <is>
          <t>서울시 강동구 동남로71길 38</t>
        </is>
      </c>
      <c r="AH1220" s="0" t="n">
        <v>0</v>
      </c>
      <c r="AI1220" s="0" t="n">
        <v>0</v>
      </c>
      <c r="AJ1220" s="0" t="n">
        <v>0</v>
      </c>
      <c r="AK1220" s="0" t="n">
        <v>0</v>
      </c>
      <c r="AL1220" s="0" t="n">
        <v>0</v>
      </c>
    </row>
    <row r="1221">
      <c r="A1221" s="0" t="inlineStr">
        <is>
          <t>[명일동]</t>
        </is>
      </c>
      <c r="B1221" s="0" t="n">
        <v>8880</v>
      </c>
      <c r="C1221" s="0" t="n">
        <v>3</v>
      </c>
      <c r="D1221" s="0" t="inlineStr">
        <is>
          <t>동양타워</t>
        </is>
      </c>
      <c r="E1221" s="0" t="inlineStr">
        <is>
          <t>1995.02.</t>
        </is>
      </c>
      <c r="F1221" s="0" t="n">
        <v>24</v>
      </c>
      <c r="G1221" s="0" t="n">
        <v>34.63</v>
      </c>
      <c r="H1221" s="0" t="n">
        <v>114.5</v>
      </c>
      <c r="I1221" s="0" t="n">
        <v>26.25</v>
      </c>
      <c r="J1221" s="0" t="n">
        <v>86.79000000000001</v>
      </c>
      <c r="K1221" s="0" t="n">
        <v>6</v>
      </c>
      <c r="T1221" s="0" t="n">
        <v>3</v>
      </c>
      <c r="U1221" s="0" t="n">
        <v>1</v>
      </c>
      <c r="V1221" s="0" t="inlineStr">
        <is>
          <t>계단식</t>
        </is>
      </c>
      <c r="W1221" s="0" t="n">
        <v>114</v>
      </c>
      <c r="X1221" s="0" t="n">
        <v>10</v>
      </c>
      <c r="Y1221" s="0" t="n">
        <v>10</v>
      </c>
      <c r="Z1221" s="0" t="inlineStr">
        <is>
          <t>https://new.land.naver.com/complexes/8880?tab=detail&amp;rf=Y</t>
        </is>
      </c>
      <c r="AA1221" s="0" t="inlineStr">
        <is>
          <t>서울시 강동구 명일동 48-12</t>
        </is>
      </c>
      <c r="AB1221" s="0" t="inlineStr">
        <is>
          <t>서울시</t>
        </is>
      </c>
      <c r="AC1221" s="0" t="inlineStr">
        <is>
          <t>강동구</t>
        </is>
      </c>
      <c r="AD1221" s="0" t="inlineStr">
        <is>
          <t>명일동</t>
        </is>
      </c>
      <c r="AG1221" s="0" t="inlineStr">
        <is>
          <t>서울시 강동구 동남로71길 38</t>
        </is>
      </c>
      <c r="AH1221" s="0" t="n">
        <v>0</v>
      </c>
      <c r="AI1221" s="0" t="n">
        <v>0</v>
      </c>
      <c r="AJ1221" s="0" t="n">
        <v>0</v>
      </c>
      <c r="AK1221" s="0" t="n">
        <v>0</v>
      </c>
      <c r="AL1221" s="0" t="n">
        <v>0</v>
      </c>
    </row>
    <row r="1222">
      <c r="A1222" s="0" t="inlineStr">
        <is>
          <t>[명일동]</t>
        </is>
      </c>
      <c r="B1222" s="0" t="n">
        <v>8880</v>
      </c>
      <c r="C1222" s="0" t="n">
        <v>4</v>
      </c>
      <c r="D1222" s="0" t="inlineStr">
        <is>
          <t>동양타워</t>
        </is>
      </c>
      <c r="E1222" s="0" t="inlineStr">
        <is>
          <t>1995.02.</t>
        </is>
      </c>
      <c r="F1222" s="0" t="n">
        <v>24</v>
      </c>
      <c r="G1222" s="0" t="n">
        <v>37.7</v>
      </c>
      <c r="H1222" s="0" t="n">
        <v>124.64</v>
      </c>
      <c r="I1222" s="0" t="n">
        <v>28.57</v>
      </c>
      <c r="J1222" s="0" t="n">
        <v>94.47</v>
      </c>
      <c r="K1222" s="0" t="n">
        <v>6</v>
      </c>
      <c r="T1222" s="0" t="n">
        <v>3</v>
      </c>
      <c r="U1222" s="0" t="n">
        <v>2</v>
      </c>
      <c r="V1222" s="0" t="inlineStr">
        <is>
          <t>계단식</t>
        </is>
      </c>
      <c r="W1222" s="0" t="n">
        <v>124</v>
      </c>
      <c r="X1222" s="0" t="n">
        <v>10</v>
      </c>
      <c r="Y1222" s="0" t="n">
        <v>10</v>
      </c>
      <c r="Z1222" s="0" t="inlineStr">
        <is>
          <t>https://new.land.naver.com/complexes/8880?tab=detail&amp;rf=Y</t>
        </is>
      </c>
      <c r="AA1222" s="0" t="inlineStr">
        <is>
          <t>서울시 강동구 명일동 48-12</t>
        </is>
      </c>
      <c r="AB1222" s="0" t="inlineStr">
        <is>
          <t>서울시</t>
        </is>
      </c>
      <c r="AC1222" s="0" t="inlineStr">
        <is>
          <t>강동구</t>
        </is>
      </c>
      <c r="AD1222" s="0" t="inlineStr">
        <is>
          <t>명일동</t>
        </is>
      </c>
      <c r="AG1222" s="0" t="inlineStr">
        <is>
          <t>서울시 강동구 동남로71길 38</t>
        </is>
      </c>
      <c r="AH1222" s="0" t="n">
        <v>0</v>
      </c>
      <c r="AI1222" s="0" t="n">
        <v>0</v>
      </c>
      <c r="AJ1222" s="0" t="n">
        <v>0</v>
      </c>
      <c r="AK1222" s="0" t="n">
        <v>0</v>
      </c>
      <c r="AL1222" s="0" t="n">
        <v>0</v>
      </c>
    </row>
    <row r="1223">
      <c r="A1223" s="0" t="inlineStr">
        <is>
          <t>[명일동]</t>
        </is>
      </c>
      <c r="B1223" s="0" t="n">
        <v>1315</v>
      </c>
      <c r="C1223" s="0" t="n">
        <v>1</v>
      </c>
      <c r="D1223" s="0" t="inlineStr">
        <is>
          <t>한양</t>
        </is>
      </c>
      <c r="E1223" s="0" t="inlineStr">
        <is>
          <t>1986.05.</t>
        </is>
      </c>
      <c r="F1223" s="0" t="n">
        <v>540</v>
      </c>
      <c r="G1223" s="0" t="n">
        <v>30.89</v>
      </c>
      <c r="H1223" s="0" t="n">
        <v>102.13</v>
      </c>
      <c r="I1223" s="0" t="n">
        <v>25.68</v>
      </c>
      <c r="J1223" s="0" t="n">
        <v>84.92</v>
      </c>
      <c r="K1223" s="0" t="n">
        <v>150</v>
      </c>
      <c r="T1223" s="0" t="n">
        <v>3</v>
      </c>
      <c r="U1223" s="0" t="n">
        <v>1</v>
      </c>
      <c r="V1223" s="0" t="inlineStr">
        <is>
          <t>계단식</t>
        </is>
      </c>
      <c r="W1223" s="0" t="n">
        <v>102</v>
      </c>
      <c r="X1223" s="0" t="n">
        <v>15</v>
      </c>
      <c r="Y1223" s="0" t="n">
        <v>15</v>
      </c>
      <c r="Z1223" s="0" t="inlineStr">
        <is>
          <t>https://new.land.naver.com/complexes/1315?tab=detail&amp;rf=Y</t>
        </is>
      </c>
      <c r="AA1223" s="0" t="inlineStr">
        <is>
          <t>서울시 강동구 명일동 54</t>
        </is>
      </c>
      <c r="AB1223" s="0" t="inlineStr">
        <is>
          <t>서울시</t>
        </is>
      </c>
      <c r="AC1223" s="0" t="inlineStr">
        <is>
          <t>강동구</t>
        </is>
      </c>
      <c r="AD1223" s="0" t="inlineStr">
        <is>
          <t>명일동</t>
        </is>
      </c>
      <c r="AG1223" s="0" t="inlineStr">
        <is>
          <t>서울시 강동구 동남로71길 19</t>
        </is>
      </c>
      <c r="AH1223" s="0" t="n">
        <v>0</v>
      </c>
      <c r="AI1223" s="0" t="n">
        <v>175</v>
      </c>
      <c r="AJ1223" s="0" t="n">
        <v>15</v>
      </c>
      <c r="AK1223" s="0" t="n">
        <v>316</v>
      </c>
      <c r="AL1223" s="0" t="n">
        <v>0.59</v>
      </c>
    </row>
    <row r="1224">
      <c r="A1224" s="0" t="inlineStr">
        <is>
          <t>[명일동]</t>
        </is>
      </c>
      <c r="B1224" s="0" t="n">
        <v>1315</v>
      </c>
      <c r="C1224" s="0" t="n">
        <v>2</v>
      </c>
      <c r="D1224" s="0" t="inlineStr">
        <is>
          <t>한양</t>
        </is>
      </c>
      <c r="E1224" s="0" t="inlineStr">
        <is>
          <t>1986.05.</t>
        </is>
      </c>
      <c r="F1224" s="0" t="n">
        <v>540</v>
      </c>
      <c r="G1224" s="0" t="n">
        <v>37.9</v>
      </c>
      <c r="H1224" s="0" t="n">
        <v>125.3</v>
      </c>
      <c r="I1224" s="0" t="n">
        <v>32.25</v>
      </c>
      <c r="J1224" s="0" t="n">
        <v>106.64</v>
      </c>
      <c r="K1224" s="0" t="n">
        <v>120</v>
      </c>
      <c r="T1224" s="0" t="n">
        <v>4</v>
      </c>
      <c r="U1224" s="0" t="n">
        <v>2</v>
      </c>
      <c r="V1224" s="0" t="inlineStr">
        <is>
          <t>계단식</t>
        </is>
      </c>
      <c r="W1224" s="0" t="n">
        <v>125</v>
      </c>
      <c r="X1224" s="0" t="n">
        <v>15</v>
      </c>
      <c r="Y1224" s="0" t="n">
        <v>15</v>
      </c>
      <c r="Z1224" s="0" t="inlineStr">
        <is>
          <t>https://new.land.naver.com/complexes/1315?tab=detail&amp;rf=Y</t>
        </is>
      </c>
      <c r="AA1224" s="0" t="inlineStr">
        <is>
          <t>서울시 강동구 명일동 54</t>
        </is>
      </c>
      <c r="AB1224" s="0" t="inlineStr">
        <is>
          <t>서울시</t>
        </is>
      </c>
      <c r="AC1224" s="0" t="inlineStr">
        <is>
          <t>강동구</t>
        </is>
      </c>
      <c r="AD1224" s="0" t="inlineStr">
        <is>
          <t>명일동</t>
        </is>
      </c>
      <c r="AG1224" s="0" t="inlineStr">
        <is>
          <t>서울시 강동구 동남로71길 19</t>
        </is>
      </c>
      <c r="AH1224" s="0" t="n">
        <v>0</v>
      </c>
      <c r="AI1224" s="0" t="n">
        <v>175</v>
      </c>
      <c r="AJ1224" s="0" t="n">
        <v>15</v>
      </c>
      <c r="AK1224" s="0" t="n">
        <v>316</v>
      </c>
      <c r="AL1224" s="0" t="n">
        <v>0.59</v>
      </c>
    </row>
    <row r="1225">
      <c r="A1225" s="0" t="inlineStr">
        <is>
          <t>[명일동]</t>
        </is>
      </c>
      <c r="B1225" s="0" t="n">
        <v>1315</v>
      </c>
      <c r="C1225" s="0" t="n">
        <v>3</v>
      </c>
      <c r="D1225" s="0" t="inlineStr">
        <is>
          <t>한양</t>
        </is>
      </c>
      <c r="E1225" s="0" t="inlineStr">
        <is>
          <t>1986.05.</t>
        </is>
      </c>
      <c r="F1225" s="0" t="n">
        <v>540</v>
      </c>
      <c r="G1225" s="0" t="n">
        <v>41.82</v>
      </c>
      <c r="H1225" s="0" t="n">
        <v>138.25</v>
      </c>
      <c r="I1225" s="0" t="n">
        <v>36.1</v>
      </c>
      <c r="J1225" s="0" t="n">
        <v>119.37</v>
      </c>
      <c r="K1225" s="0" t="n">
        <v>270</v>
      </c>
      <c r="T1225" s="0" t="n">
        <v>4</v>
      </c>
      <c r="U1225" s="0" t="n">
        <v>2</v>
      </c>
      <c r="V1225" s="0" t="inlineStr">
        <is>
          <t>계단식</t>
        </is>
      </c>
      <c r="W1225" s="0" t="n">
        <v>138</v>
      </c>
      <c r="X1225" s="0" t="n">
        <v>15</v>
      </c>
      <c r="Y1225" s="0" t="n">
        <v>15</v>
      </c>
      <c r="Z1225" s="0" t="inlineStr">
        <is>
          <t>https://new.land.naver.com/complexes/1315?tab=detail&amp;rf=Y</t>
        </is>
      </c>
      <c r="AA1225" s="0" t="inlineStr">
        <is>
          <t>서울시 강동구 명일동 54</t>
        </is>
      </c>
      <c r="AB1225" s="0" t="inlineStr">
        <is>
          <t>서울시</t>
        </is>
      </c>
      <c r="AC1225" s="0" t="inlineStr">
        <is>
          <t>강동구</t>
        </is>
      </c>
      <c r="AD1225" s="0" t="inlineStr">
        <is>
          <t>명일동</t>
        </is>
      </c>
      <c r="AG1225" s="0" t="inlineStr">
        <is>
          <t>서울시 강동구 동남로71길 19</t>
        </is>
      </c>
      <c r="AH1225" s="0" t="n">
        <v>0</v>
      </c>
      <c r="AI1225" s="0" t="n">
        <v>175</v>
      </c>
      <c r="AJ1225" s="0" t="n">
        <v>15</v>
      </c>
      <c r="AK1225" s="0" t="n">
        <v>316</v>
      </c>
      <c r="AL1225" s="0" t="n">
        <v>0.59</v>
      </c>
    </row>
    <row r="1226">
      <c r="A1226" s="0" t="inlineStr">
        <is>
          <t>[명일동]</t>
        </is>
      </c>
      <c r="B1226" s="0" t="n">
        <v>1313</v>
      </c>
      <c r="C1226" s="0" t="n">
        <v>1</v>
      </c>
      <c r="D1226" s="0" t="inlineStr">
        <is>
          <t>우성(42)</t>
        </is>
      </c>
      <c r="E1226" s="0" t="inlineStr">
        <is>
          <t>1986.05.</t>
        </is>
      </c>
      <c r="F1226" s="0" t="n">
        <v>572</v>
      </c>
      <c r="G1226" s="0" t="n">
        <v>31.39</v>
      </c>
      <c r="H1226" s="0" t="n">
        <v>103.8</v>
      </c>
      <c r="I1226" s="0" t="n">
        <v>25.69</v>
      </c>
      <c r="J1226" s="0" t="n">
        <v>84.93000000000001</v>
      </c>
      <c r="K1226" s="0" t="n">
        <v>252</v>
      </c>
      <c r="T1226" s="0" t="n">
        <v>3</v>
      </c>
      <c r="U1226" s="0" t="n">
        <v>1</v>
      </c>
      <c r="V1226" s="0" t="inlineStr">
        <is>
          <t>계단식</t>
        </is>
      </c>
      <c r="W1226" s="0" t="n">
        <v>103</v>
      </c>
      <c r="X1226" s="0" t="n">
        <v>15</v>
      </c>
      <c r="Y1226" s="0" t="n">
        <v>12</v>
      </c>
      <c r="Z1226" s="0" t="inlineStr">
        <is>
          <t>https://new.land.naver.com/complexes/1313?tab=detail&amp;rf=Y</t>
        </is>
      </c>
      <c r="AA1226" s="0" t="inlineStr">
        <is>
          <t>서울시 강동구 명일동 42</t>
        </is>
      </c>
      <c r="AB1226" s="0" t="inlineStr">
        <is>
          <t>서울시</t>
        </is>
      </c>
      <c r="AC1226" s="0" t="inlineStr">
        <is>
          <t>강동구</t>
        </is>
      </c>
      <c r="AD1226" s="0" t="inlineStr">
        <is>
          <t>명일동</t>
        </is>
      </c>
      <c r="AG1226" s="0" t="inlineStr">
        <is>
          <t>서울시 강동구 고덕로62길 76</t>
        </is>
      </c>
      <c r="AH1226" s="0" t="n">
        <v>0</v>
      </c>
      <c r="AI1226" s="0" t="n">
        <v>182</v>
      </c>
      <c r="AJ1226" s="0" t="n">
        <v>17</v>
      </c>
      <c r="AK1226" s="0" t="n">
        <v>600</v>
      </c>
      <c r="AL1226" s="0" t="n">
        <v>1.05</v>
      </c>
    </row>
    <row r="1227">
      <c r="A1227" s="0" t="inlineStr">
        <is>
          <t>[명일동]</t>
        </is>
      </c>
      <c r="B1227" s="0" t="n">
        <v>1313</v>
      </c>
      <c r="C1227" s="0" t="n">
        <v>2</v>
      </c>
      <c r="D1227" s="0" t="inlineStr">
        <is>
          <t>우성(42)</t>
        </is>
      </c>
      <c r="E1227" s="0" t="inlineStr">
        <is>
          <t>1986.05.</t>
        </is>
      </c>
      <c r="F1227" s="0" t="n">
        <v>572</v>
      </c>
      <c r="G1227" s="0" t="n">
        <v>46.51</v>
      </c>
      <c r="H1227" s="0" t="n">
        <v>153.78</v>
      </c>
      <c r="I1227" s="0" t="n">
        <v>40.42</v>
      </c>
      <c r="J1227" s="0" t="n">
        <v>133.65</v>
      </c>
      <c r="K1227" s="0" t="n">
        <v>320</v>
      </c>
      <c r="T1227" s="0" t="n">
        <v>4</v>
      </c>
      <c r="U1227" s="0" t="n">
        <v>2</v>
      </c>
      <c r="V1227" s="0" t="inlineStr">
        <is>
          <t>계단식</t>
        </is>
      </c>
      <c r="W1227" s="0" t="n">
        <v>153</v>
      </c>
      <c r="X1227" s="0" t="n">
        <v>15</v>
      </c>
      <c r="Y1227" s="0" t="n">
        <v>12</v>
      </c>
      <c r="Z1227" s="0" t="inlineStr">
        <is>
          <t>https://new.land.naver.com/complexes/1313?tab=detail&amp;rf=Y</t>
        </is>
      </c>
      <c r="AA1227" s="0" t="inlineStr">
        <is>
          <t>서울시 강동구 명일동 42</t>
        </is>
      </c>
      <c r="AB1227" s="0" t="inlineStr">
        <is>
          <t>서울시</t>
        </is>
      </c>
      <c r="AC1227" s="0" t="inlineStr">
        <is>
          <t>강동구</t>
        </is>
      </c>
      <c r="AD1227" s="0" t="inlineStr">
        <is>
          <t>명일동</t>
        </is>
      </c>
      <c r="AG1227" s="0" t="inlineStr">
        <is>
          <t>서울시 강동구 고덕로62길 76</t>
        </is>
      </c>
      <c r="AH1227" s="0" t="n">
        <v>0</v>
      </c>
      <c r="AI1227" s="0" t="n">
        <v>182</v>
      </c>
      <c r="AJ1227" s="0" t="n">
        <v>17</v>
      </c>
      <c r="AK1227" s="0" t="n">
        <v>600</v>
      </c>
      <c r="AL1227" s="0" t="n">
        <v>1.05</v>
      </c>
    </row>
    <row r="1228">
      <c r="A1228" s="0" t="inlineStr">
        <is>
          <t>[명일동]</t>
        </is>
      </c>
      <c r="B1228" s="0" t="n">
        <v>113432</v>
      </c>
      <c r="C1228" s="0" t="n">
        <v>1</v>
      </c>
      <c r="D1228" s="0" t="inlineStr">
        <is>
          <t>래미안솔베뉴</t>
        </is>
      </c>
      <c r="E1228" s="0" t="inlineStr">
        <is>
          <t>2019.06.</t>
        </is>
      </c>
      <c r="F1228" s="0" t="n">
        <v>1900</v>
      </c>
      <c r="G1228" s="0" t="n">
        <v>21.03</v>
      </c>
      <c r="H1228" s="0" t="n">
        <v>69.54000000000001</v>
      </c>
      <c r="I1228" s="0" t="n">
        <v>15.02</v>
      </c>
      <c r="J1228" s="0" t="n">
        <v>49.66</v>
      </c>
      <c r="K1228" s="0" t="n">
        <v>116</v>
      </c>
      <c r="T1228" s="0" t="n">
        <v>2</v>
      </c>
      <c r="U1228" s="0" t="n">
        <v>1</v>
      </c>
      <c r="V1228" s="0" t="inlineStr">
        <is>
          <t>계단식</t>
        </is>
      </c>
      <c r="W1228" s="0" t="inlineStr">
        <is>
          <t>69A</t>
        </is>
      </c>
      <c r="X1228" s="0" t="n">
        <v>35</v>
      </c>
      <c r="Y1228" s="0" t="n">
        <v>16</v>
      </c>
      <c r="Z1228" s="0" t="inlineStr">
        <is>
          <t>https://new.land.naver.com/complexes/113432?tab=detail&amp;rf=Y</t>
        </is>
      </c>
      <c r="AA1228" s="0" t="inlineStr">
        <is>
          <t>서울시 강동구 명일동 359</t>
        </is>
      </c>
      <c r="AB1228" s="0" t="inlineStr">
        <is>
          <t>서울시</t>
        </is>
      </c>
      <c r="AC1228" s="0" t="inlineStr">
        <is>
          <t>강동구</t>
        </is>
      </c>
      <c r="AD1228" s="0" t="inlineStr">
        <is>
          <t>명일동</t>
        </is>
      </c>
      <c r="AG1228" s="0" t="inlineStr">
        <is>
          <t>서울시 강동구 양재대로 1650</t>
        </is>
      </c>
      <c r="AH1228" s="0" t="n">
        <v>156</v>
      </c>
      <c r="AI1228" s="0" t="n">
        <v>299</v>
      </c>
      <c r="AJ1228" s="0" t="n">
        <v>19</v>
      </c>
      <c r="AK1228" s="0" t="n">
        <v>2304</v>
      </c>
      <c r="AL1228" s="0" t="n">
        <v>1.21</v>
      </c>
    </row>
    <row r="1229">
      <c r="A1229" s="0" t="inlineStr">
        <is>
          <t>[명일동]</t>
        </is>
      </c>
      <c r="B1229" s="0" t="n">
        <v>113432</v>
      </c>
      <c r="C1229" s="0" t="n">
        <v>2</v>
      </c>
      <c r="D1229" s="0" t="inlineStr">
        <is>
          <t>래미안솔베뉴</t>
        </is>
      </c>
      <c r="E1229" s="0" t="inlineStr">
        <is>
          <t>2019.06.</t>
        </is>
      </c>
      <c r="F1229" s="0" t="n">
        <v>1900</v>
      </c>
      <c r="G1229" s="0" t="n">
        <v>21.14</v>
      </c>
      <c r="H1229" s="0" t="n">
        <v>69.89</v>
      </c>
      <c r="I1229" s="0" t="n">
        <v>15.02</v>
      </c>
      <c r="J1229" s="0" t="n">
        <v>49.68</v>
      </c>
      <c r="K1229" s="0" t="n">
        <v>53</v>
      </c>
      <c r="T1229" s="0" t="n">
        <v>2</v>
      </c>
      <c r="U1229" s="0" t="n">
        <v>1</v>
      </c>
      <c r="V1229" s="0" t="inlineStr">
        <is>
          <t>계단식</t>
        </is>
      </c>
      <c r="W1229" s="0" t="inlineStr">
        <is>
          <t>69C</t>
        </is>
      </c>
      <c r="X1229" s="0" t="n">
        <v>35</v>
      </c>
      <c r="Y1229" s="0" t="n">
        <v>16</v>
      </c>
      <c r="Z1229" s="0" t="inlineStr">
        <is>
          <t>https://new.land.naver.com/complexes/113432?tab=detail&amp;rf=Y</t>
        </is>
      </c>
      <c r="AA1229" s="0" t="inlineStr">
        <is>
          <t>서울시 강동구 명일동 359</t>
        </is>
      </c>
      <c r="AB1229" s="0" t="inlineStr">
        <is>
          <t>서울시</t>
        </is>
      </c>
      <c r="AC1229" s="0" t="inlineStr">
        <is>
          <t>강동구</t>
        </is>
      </c>
      <c r="AD1229" s="0" t="inlineStr">
        <is>
          <t>명일동</t>
        </is>
      </c>
      <c r="AG1229" s="0" t="inlineStr">
        <is>
          <t>서울시 강동구 양재대로 1650</t>
        </is>
      </c>
      <c r="AH1229" s="0" t="n">
        <v>156</v>
      </c>
      <c r="AI1229" s="0" t="n">
        <v>299</v>
      </c>
      <c r="AJ1229" s="0" t="n">
        <v>19</v>
      </c>
      <c r="AK1229" s="0" t="n">
        <v>2304</v>
      </c>
      <c r="AL1229" s="0" t="n">
        <v>1.21</v>
      </c>
    </row>
    <row r="1230">
      <c r="A1230" s="0" t="inlineStr">
        <is>
          <t>[명일동]</t>
        </is>
      </c>
      <c r="B1230" s="0" t="n">
        <v>113432</v>
      </c>
      <c r="C1230" s="0" t="n">
        <v>3</v>
      </c>
      <c r="D1230" s="0" t="inlineStr">
        <is>
          <t>래미안솔베뉴</t>
        </is>
      </c>
      <c r="E1230" s="0" t="inlineStr">
        <is>
          <t>2019.06.</t>
        </is>
      </c>
      <c r="F1230" s="0" t="n">
        <v>1900</v>
      </c>
      <c r="G1230" s="0" t="n">
        <v>21.28</v>
      </c>
      <c r="H1230" s="0" t="n">
        <v>70.36</v>
      </c>
      <c r="I1230" s="0" t="n">
        <v>15.01</v>
      </c>
      <c r="J1230" s="0" t="n">
        <v>49.62</v>
      </c>
      <c r="K1230" s="0" t="n">
        <v>26</v>
      </c>
      <c r="T1230" s="0" t="n">
        <v>2</v>
      </c>
      <c r="U1230" s="0" t="n">
        <v>1</v>
      </c>
      <c r="V1230" s="0" t="inlineStr">
        <is>
          <t>계단식</t>
        </is>
      </c>
      <c r="W1230" s="0" t="inlineStr">
        <is>
          <t>70B</t>
        </is>
      </c>
      <c r="X1230" s="0" t="n">
        <v>35</v>
      </c>
      <c r="Y1230" s="0" t="n">
        <v>16</v>
      </c>
      <c r="Z1230" s="0" t="inlineStr">
        <is>
          <t>https://new.land.naver.com/complexes/113432?tab=detail&amp;rf=Y</t>
        </is>
      </c>
      <c r="AA1230" s="0" t="inlineStr">
        <is>
          <t>서울시 강동구 명일동 359</t>
        </is>
      </c>
      <c r="AB1230" s="0" t="inlineStr">
        <is>
          <t>서울시</t>
        </is>
      </c>
      <c r="AC1230" s="0" t="inlineStr">
        <is>
          <t>강동구</t>
        </is>
      </c>
      <c r="AD1230" s="0" t="inlineStr">
        <is>
          <t>명일동</t>
        </is>
      </c>
      <c r="AG1230" s="0" t="inlineStr">
        <is>
          <t>서울시 강동구 양재대로 1650</t>
        </is>
      </c>
      <c r="AH1230" s="0" t="n">
        <v>156</v>
      </c>
      <c r="AI1230" s="0" t="n">
        <v>299</v>
      </c>
      <c r="AJ1230" s="0" t="n">
        <v>19</v>
      </c>
      <c r="AK1230" s="0" t="n">
        <v>2304</v>
      </c>
      <c r="AL1230" s="0" t="n">
        <v>1.21</v>
      </c>
    </row>
    <row r="1231">
      <c r="A1231" s="0" t="inlineStr">
        <is>
          <t>[명일동]</t>
        </is>
      </c>
      <c r="B1231" s="0" t="n">
        <v>113432</v>
      </c>
      <c r="C1231" s="0" t="n">
        <v>4</v>
      </c>
      <c r="D1231" s="0" t="inlineStr">
        <is>
          <t>래미안솔베뉴</t>
        </is>
      </c>
      <c r="E1231" s="0" t="inlineStr">
        <is>
          <t>2019.06.</t>
        </is>
      </c>
      <c r="F1231" s="0" t="n">
        <v>1900</v>
      </c>
      <c r="G1231" s="0" t="n">
        <v>25.31</v>
      </c>
      <c r="H1231" s="0" t="n">
        <v>83.7</v>
      </c>
      <c r="I1231" s="0" t="n">
        <v>17.88</v>
      </c>
      <c r="J1231" s="0" t="n">
        <v>59.11</v>
      </c>
      <c r="K1231" s="0" t="n">
        <v>283</v>
      </c>
      <c r="T1231" s="0" t="n">
        <v>3</v>
      </c>
      <c r="U1231" s="0" t="n">
        <v>2</v>
      </c>
      <c r="V1231" s="0" t="inlineStr">
        <is>
          <t>계단식</t>
        </is>
      </c>
      <c r="W1231" s="0" t="inlineStr">
        <is>
          <t>83A-2</t>
        </is>
      </c>
      <c r="X1231" s="0" t="n">
        <v>35</v>
      </c>
      <c r="Y1231" s="0" t="n">
        <v>16</v>
      </c>
      <c r="Z1231" s="0" t="inlineStr">
        <is>
          <t>https://new.land.naver.com/complexes/113432?tab=detail&amp;rf=Y</t>
        </is>
      </c>
      <c r="AA1231" s="0" t="inlineStr">
        <is>
          <t>서울시 강동구 명일동 359</t>
        </is>
      </c>
      <c r="AB1231" s="0" t="inlineStr">
        <is>
          <t>서울시</t>
        </is>
      </c>
      <c r="AC1231" s="0" t="inlineStr">
        <is>
          <t>강동구</t>
        </is>
      </c>
      <c r="AD1231" s="0" t="inlineStr">
        <is>
          <t>명일동</t>
        </is>
      </c>
      <c r="AG1231" s="0" t="inlineStr">
        <is>
          <t>서울시 강동구 양재대로 1650</t>
        </is>
      </c>
      <c r="AH1231" s="0" t="n">
        <v>156</v>
      </c>
      <c r="AI1231" s="0" t="n">
        <v>299</v>
      </c>
      <c r="AJ1231" s="0" t="n">
        <v>19</v>
      </c>
      <c r="AK1231" s="0" t="n">
        <v>2304</v>
      </c>
      <c r="AL1231" s="0" t="n">
        <v>1.21</v>
      </c>
    </row>
    <row r="1232">
      <c r="A1232" s="0" t="inlineStr">
        <is>
          <t>[명일동]</t>
        </is>
      </c>
      <c r="B1232" s="0" t="n">
        <v>113432</v>
      </c>
      <c r="C1232" s="0" t="n">
        <v>5</v>
      </c>
      <c r="D1232" s="0" t="inlineStr">
        <is>
          <t>래미안솔베뉴</t>
        </is>
      </c>
      <c r="E1232" s="0" t="inlineStr">
        <is>
          <t>2019.06.</t>
        </is>
      </c>
      <c r="F1232" s="0" t="n">
        <v>1900</v>
      </c>
      <c r="G1232" s="0" t="n">
        <v>25.43</v>
      </c>
      <c r="H1232" s="0" t="n">
        <v>84.09</v>
      </c>
      <c r="I1232" s="0" t="n">
        <v>17.88</v>
      </c>
      <c r="J1232" s="0" t="n">
        <v>59.11</v>
      </c>
      <c r="K1232" s="0" t="n">
        <v>546</v>
      </c>
      <c r="T1232" s="0" t="n">
        <v>3</v>
      </c>
      <c r="U1232" s="0" t="n">
        <v>2</v>
      </c>
      <c r="V1232" s="0" t="inlineStr">
        <is>
          <t>계단식</t>
        </is>
      </c>
      <c r="W1232" s="0" t="inlineStr">
        <is>
          <t>84A-1</t>
        </is>
      </c>
      <c r="X1232" s="0" t="n">
        <v>35</v>
      </c>
      <c r="Y1232" s="0" t="n">
        <v>16</v>
      </c>
      <c r="Z1232" s="0" t="inlineStr">
        <is>
          <t>https://new.land.naver.com/complexes/113432?tab=detail&amp;rf=Y</t>
        </is>
      </c>
      <c r="AA1232" s="0" t="inlineStr">
        <is>
          <t>서울시 강동구 명일동 359</t>
        </is>
      </c>
      <c r="AB1232" s="0" t="inlineStr">
        <is>
          <t>서울시</t>
        </is>
      </c>
      <c r="AC1232" s="0" t="inlineStr">
        <is>
          <t>강동구</t>
        </is>
      </c>
      <c r="AD1232" s="0" t="inlineStr">
        <is>
          <t>명일동</t>
        </is>
      </c>
      <c r="AG1232" s="0" t="inlineStr">
        <is>
          <t>서울시 강동구 양재대로 1650</t>
        </is>
      </c>
      <c r="AH1232" s="0" t="n">
        <v>156</v>
      </c>
      <c r="AI1232" s="0" t="n">
        <v>299</v>
      </c>
      <c r="AJ1232" s="0" t="n">
        <v>19</v>
      </c>
      <c r="AK1232" s="0" t="n">
        <v>2304</v>
      </c>
      <c r="AL1232" s="0" t="n">
        <v>1.21</v>
      </c>
    </row>
    <row r="1233">
      <c r="A1233" s="0" t="inlineStr">
        <is>
          <t>[명일동]</t>
        </is>
      </c>
      <c r="B1233" s="0" t="n">
        <v>113432</v>
      </c>
      <c r="C1233" s="0" t="n">
        <v>6</v>
      </c>
      <c r="D1233" s="0" t="inlineStr">
        <is>
          <t>래미안솔베뉴</t>
        </is>
      </c>
      <c r="E1233" s="0" t="inlineStr">
        <is>
          <t>2019.06.</t>
        </is>
      </c>
      <c r="F1233" s="0" t="n">
        <v>1900</v>
      </c>
      <c r="G1233" s="0" t="n">
        <v>25.44</v>
      </c>
      <c r="H1233" s="0" t="n">
        <v>84.09999999999999</v>
      </c>
      <c r="I1233" s="0" t="n">
        <v>17.92</v>
      </c>
      <c r="J1233" s="0" t="n">
        <v>59.25</v>
      </c>
      <c r="K1233" s="0" t="n">
        <v>94</v>
      </c>
      <c r="T1233" s="0" t="n">
        <v>3</v>
      </c>
      <c r="U1233" s="0" t="n">
        <v>2</v>
      </c>
      <c r="V1233" s="0" t="inlineStr">
        <is>
          <t>계단식</t>
        </is>
      </c>
      <c r="W1233" s="0" t="inlineStr">
        <is>
          <t>84B</t>
        </is>
      </c>
      <c r="X1233" s="0" t="n">
        <v>35</v>
      </c>
      <c r="Y1233" s="0" t="n">
        <v>16</v>
      </c>
      <c r="Z1233" s="0" t="inlineStr">
        <is>
          <t>https://new.land.naver.com/complexes/113432?tab=detail&amp;rf=Y</t>
        </is>
      </c>
      <c r="AA1233" s="0" t="inlineStr">
        <is>
          <t>서울시 강동구 명일동 359</t>
        </is>
      </c>
      <c r="AB1233" s="0" t="inlineStr">
        <is>
          <t>서울시</t>
        </is>
      </c>
      <c r="AC1233" s="0" t="inlineStr">
        <is>
          <t>강동구</t>
        </is>
      </c>
      <c r="AD1233" s="0" t="inlineStr">
        <is>
          <t>명일동</t>
        </is>
      </c>
      <c r="AG1233" s="0" t="inlineStr">
        <is>
          <t>서울시 강동구 양재대로 1650</t>
        </is>
      </c>
      <c r="AH1233" s="0" t="n">
        <v>156</v>
      </c>
      <c r="AI1233" s="0" t="n">
        <v>299</v>
      </c>
      <c r="AJ1233" s="0" t="n">
        <v>19</v>
      </c>
      <c r="AK1233" s="0" t="n">
        <v>2304</v>
      </c>
      <c r="AL1233" s="0" t="n">
        <v>1.21</v>
      </c>
    </row>
    <row r="1234">
      <c r="A1234" s="0" t="inlineStr">
        <is>
          <t>[명일동]</t>
        </is>
      </c>
      <c r="B1234" s="0" t="n">
        <v>113432</v>
      </c>
      <c r="C1234" s="0" t="n">
        <v>7</v>
      </c>
      <c r="D1234" s="0" t="inlineStr">
        <is>
          <t>래미안솔베뉴</t>
        </is>
      </c>
      <c r="E1234" s="0" t="inlineStr">
        <is>
          <t>2019.06.</t>
        </is>
      </c>
      <c r="F1234" s="0" t="n">
        <v>1900</v>
      </c>
      <c r="G1234" s="0" t="n">
        <v>25.57</v>
      </c>
      <c r="H1234" s="0" t="n">
        <v>84.53</v>
      </c>
      <c r="I1234" s="0" t="n">
        <v>17.93</v>
      </c>
      <c r="J1234" s="0" t="n">
        <v>59.29</v>
      </c>
      <c r="K1234" s="0" t="n">
        <v>90</v>
      </c>
      <c r="T1234" s="0" t="n">
        <v>3</v>
      </c>
      <c r="U1234" s="0" t="n">
        <v>2</v>
      </c>
      <c r="V1234" s="0" t="inlineStr">
        <is>
          <t>계단식</t>
        </is>
      </c>
      <c r="W1234" s="0" t="inlineStr">
        <is>
          <t>84C</t>
        </is>
      </c>
      <c r="X1234" s="0" t="n">
        <v>35</v>
      </c>
      <c r="Y1234" s="0" t="n">
        <v>16</v>
      </c>
      <c r="Z1234" s="0" t="inlineStr">
        <is>
          <t>https://new.land.naver.com/complexes/113432?tab=detail&amp;rf=Y</t>
        </is>
      </c>
      <c r="AA1234" s="0" t="inlineStr">
        <is>
          <t>서울시 강동구 명일동 359</t>
        </is>
      </c>
      <c r="AB1234" s="0" t="inlineStr">
        <is>
          <t>서울시</t>
        </is>
      </c>
      <c r="AC1234" s="0" t="inlineStr">
        <is>
          <t>강동구</t>
        </is>
      </c>
      <c r="AD1234" s="0" t="inlineStr">
        <is>
          <t>명일동</t>
        </is>
      </c>
      <c r="AG1234" s="0" t="inlineStr">
        <is>
          <t>서울시 강동구 양재대로 1650</t>
        </is>
      </c>
      <c r="AH1234" s="0" t="n">
        <v>156</v>
      </c>
      <c r="AI1234" s="0" t="n">
        <v>299</v>
      </c>
      <c r="AJ1234" s="0" t="n">
        <v>19</v>
      </c>
      <c r="AK1234" s="0" t="n">
        <v>2304</v>
      </c>
      <c r="AL1234" s="0" t="n">
        <v>1.21</v>
      </c>
    </row>
    <row r="1235">
      <c r="A1235" s="0" t="inlineStr">
        <is>
          <t>[명일동]</t>
        </is>
      </c>
      <c r="B1235" s="0" t="n">
        <v>113432</v>
      </c>
      <c r="C1235" s="0" t="n">
        <v>8</v>
      </c>
      <c r="D1235" s="0" t="inlineStr">
        <is>
          <t>래미안솔베뉴</t>
        </is>
      </c>
      <c r="E1235" s="0" t="inlineStr">
        <is>
          <t>2019.06.</t>
        </is>
      </c>
      <c r="F1235" s="0" t="n">
        <v>1900</v>
      </c>
      <c r="G1235" s="0" t="n">
        <v>25.54</v>
      </c>
      <c r="H1235" s="0" t="n">
        <v>84.44</v>
      </c>
      <c r="I1235" s="0" t="n">
        <v>17.94</v>
      </c>
      <c r="J1235" s="0" t="n">
        <v>59.32</v>
      </c>
      <c r="K1235" s="0" t="n">
        <v>79</v>
      </c>
      <c r="T1235" s="0" t="n">
        <v>3</v>
      </c>
      <c r="U1235" s="0" t="n">
        <v>2</v>
      </c>
      <c r="V1235" s="0" t="inlineStr">
        <is>
          <t>계단식</t>
        </is>
      </c>
      <c r="W1235" s="0" t="inlineStr">
        <is>
          <t>84D</t>
        </is>
      </c>
      <c r="X1235" s="0" t="n">
        <v>35</v>
      </c>
      <c r="Y1235" s="0" t="n">
        <v>16</v>
      </c>
      <c r="Z1235" s="0" t="inlineStr">
        <is>
          <t>https://new.land.naver.com/complexes/113432?tab=detail&amp;rf=Y</t>
        </is>
      </c>
      <c r="AA1235" s="0" t="inlineStr">
        <is>
          <t>서울시 강동구 명일동 359</t>
        </is>
      </c>
      <c r="AB1235" s="0" t="inlineStr">
        <is>
          <t>서울시</t>
        </is>
      </c>
      <c r="AC1235" s="0" t="inlineStr">
        <is>
          <t>강동구</t>
        </is>
      </c>
      <c r="AD1235" s="0" t="inlineStr">
        <is>
          <t>명일동</t>
        </is>
      </c>
      <c r="AG1235" s="0" t="inlineStr">
        <is>
          <t>서울시 강동구 양재대로 1650</t>
        </is>
      </c>
      <c r="AH1235" s="0" t="n">
        <v>156</v>
      </c>
      <c r="AI1235" s="0" t="n">
        <v>299</v>
      </c>
      <c r="AJ1235" s="0" t="n">
        <v>19</v>
      </c>
      <c r="AK1235" s="0" t="n">
        <v>2304</v>
      </c>
      <c r="AL1235" s="0" t="n">
        <v>1.21</v>
      </c>
    </row>
    <row r="1236">
      <c r="A1236" s="0" t="inlineStr">
        <is>
          <t>[명일동]</t>
        </is>
      </c>
      <c r="B1236" s="0" t="n">
        <v>113432</v>
      </c>
      <c r="C1236" s="0" t="n">
        <v>9</v>
      </c>
      <c r="D1236" s="0" t="inlineStr">
        <is>
          <t>래미안솔베뉴</t>
        </is>
      </c>
      <c r="E1236" s="0" t="inlineStr">
        <is>
          <t>2019.06.</t>
        </is>
      </c>
      <c r="F1236" s="0" t="n">
        <v>1900</v>
      </c>
      <c r="G1236" s="0" t="n">
        <v>32.04</v>
      </c>
      <c r="H1236" s="0" t="n">
        <v>105.93</v>
      </c>
      <c r="I1236" s="0" t="n">
        <v>23.84</v>
      </c>
      <c r="J1236" s="0" t="n">
        <v>78.84</v>
      </c>
      <c r="K1236" s="0" t="n">
        <v>93</v>
      </c>
      <c r="T1236" s="0" t="n">
        <v>3</v>
      </c>
      <c r="U1236" s="0" t="n">
        <v>2</v>
      </c>
      <c r="V1236" s="0" t="inlineStr">
        <is>
          <t>계단식</t>
        </is>
      </c>
      <c r="W1236" s="0" t="inlineStr">
        <is>
          <t>105A</t>
        </is>
      </c>
      <c r="X1236" s="0" t="n">
        <v>35</v>
      </c>
      <c r="Y1236" s="0" t="n">
        <v>16</v>
      </c>
      <c r="Z1236" s="0" t="inlineStr">
        <is>
          <t>https://new.land.naver.com/complexes/113432?tab=detail&amp;rf=Y</t>
        </is>
      </c>
      <c r="AA1236" s="0" t="inlineStr">
        <is>
          <t>서울시 강동구 명일동 359</t>
        </is>
      </c>
      <c r="AB1236" s="0" t="inlineStr">
        <is>
          <t>서울시</t>
        </is>
      </c>
      <c r="AC1236" s="0" t="inlineStr">
        <is>
          <t>강동구</t>
        </is>
      </c>
      <c r="AD1236" s="0" t="inlineStr">
        <is>
          <t>명일동</t>
        </is>
      </c>
      <c r="AG1236" s="0" t="inlineStr">
        <is>
          <t>서울시 강동구 양재대로 1650</t>
        </is>
      </c>
      <c r="AH1236" s="0" t="n">
        <v>156</v>
      </c>
      <c r="AI1236" s="0" t="n">
        <v>299</v>
      </c>
      <c r="AJ1236" s="0" t="n">
        <v>19</v>
      </c>
      <c r="AK1236" s="0" t="n">
        <v>2304</v>
      </c>
      <c r="AL1236" s="0" t="n">
        <v>1.21</v>
      </c>
    </row>
    <row r="1237">
      <c r="A1237" s="0" t="inlineStr">
        <is>
          <t>[명일동]</t>
        </is>
      </c>
      <c r="B1237" s="0" t="n">
        <v>113432</v>
      </c>
      <c r="C1237" s="0" t="n">
        <v>10</v>
      </c>
      <c r="D1237" s="0" t="inlineStr">
        <is>
          <t>래미안솔베뉴</t>
        </is>
      </c>
      <c r="E1237" s="0" t="inlineStr">
        <is>
          <t>2019.06.</t>
        </is>
      </c>
      <c r="F1237" s="0" t="n">
        <v>1900</v>
      </c>
      <c r="G1237" s="0" t="n">
        <v>32</v>
      </c>
      <c r="H1237" s="0" t="n">
        <v>105.8</v>
      </c>
      <c r="I1237" s="0" t="n">
        <v>23.61</v>
      </c>
      <c r="J1237" s="0" t="n">
        <v>78.06999999999999</v>
      </c>
      <c r="K1237" s="0" t="n">
        <v>93</v>
      </c>
      <c r="T1237" s="0" t="n">
        <v>3</v>
      </c>
      <c r="U1237" s="0" t="n">
        <v>2</v>
      </c>
      <c r="V1237" s="0" t="inlineStr">
        <is>
          <t>계단식</t>
        </is>
      </c>
      <c r="W1237" s="0" t="inlineStr">
        <is>
          <t>105C</t>
        </is>
      </c>
      <c r="X1237" s="0" t="n">
        <v>35</v>
      </c>
      <c r="Y1237" s="0" t="n">
        <v>16</v>
      </c>
      <c r="Z1237" s="0" t="inlineStr">
        <is>
          <t>https://new.land.naver.com/complexes/113432?tab=detail&amp;rf=Y</t>
        </is>
      </c>
      <c r="AA1237" s="0" t="inlineStr">
        <is>
          <t>서울시 강동구 명일동 359</t>
        </is>
      </c>
      <c r="AB1237" s="0" t="inlineStr">
        <is>
          <t>서울시</t>
        </is>
      </c>
      <c r="AC1237" s="0" t="inlineStr">
        <is>
          <t>강동구</t>
        </is>
      </c>
      <c r="AD1237" s="0" t="inlineStr">
        <is>
          <t>명일동</t>
        </is>
      </c>
      <c r="AG1237" s="0" t="inlineStr">
        <is>
          <t>서울시 강동구 양재대로 1650</t>
        </is>
      </c>
      <c r="AH1237" s="0" t="n">
        <v>156</v>
      </c>
      <c r="AI1237" s="0" t="n">
        <v>299</v>
      </c>
      <c r="AJ1237" s="0" t="n">
        <v>19</v>
      </c>
      <c r="AK1237" s="0" t="n">
        <v>2304</v>
      </c>
      <c r="AL1237" s="0" t="n">
        <v>1.21</v>
      </c>
    </row>
    <row r="1238">
      <c r="A1238" s="0" t="inlineStr">
        <is>
          <t>[명일동]</t>
        </is>
      </c>
      <c r="B1238" s="0" t="n">
        <v>113432</v>
      </c>
      <c r="C1238" s="0" t="n">
        <v>11</v>
      </c>
      <c r="D1238" s="0" t="inlineStr">
        <is>
          <t>래미안솔베뉴</t>
        </is>
      </c>
      <c r="E1238" s="0" t="inlineStr">
        <is>
          <t>2019.06.</t>
        </is>
      </c>
      <c r="F1238" s="0" t="n">
        <v>1900</v>
      </c>
      <c r="G1238" s="0" t="n">
        <v>32.11</v>
      </c>
      <c r="H1238" s="0" t="n">
        <v>106.17</v>
      </c>
      <c r="I1238" s="0" t="n">
        <v>23.61</v>
      </c>
      <c r="J1238" s="0" t="n">
        <v>78.06999999999999</v>
      </c>
      <c r="K1238" s="0" t="n">
        <v>66</v>
      </c>
      <c r="T1238" s="0" t="n">
        <v>3</v>
      </c>
      <c r="U1238" s="0" t="n">
        <v>2</v>
      </c>
      <c r="V1238" s="0" t="inlineStr">
        <is>
          <t>계단식</t>
        </is>
      </c>
      <c r="W1238" s="0" t="inlineStr">
        <is>
          <t>106B</t>
        </is>
      </c>
      <c r="X1238" s="0" t="n">
        <v>35</v>
      </c>
      <c r="Y1238" s="0" t="n">
        <v>16</v>
      </c>
      <c r="Z1238" s="0" t="inlineStr">
        <is>
          <t>https://new.land.naver.com/complexes/113432?tab=detail&amp;rf=Y</t>
        </is>
      </c>
      <c r="AA1238" s="0" t="inlineStr">
        <is>
          <t>서울시 강동구 명일동 359</t>
        </is>
      </c>
      <c r="AB1238" s="0" t="inlineStr">
        <is>
          <t>서울시</t>
        </is>
      </c>
      <c r="AC1238" s="0" t="inlineStr">
        <is>
          <t>강동구</t>
        </is>
      </c>
      <c r="AD1238" s="0" t="inlineStr">
        <is>
          <t>명일동</t>
        </is>
      </c>
      <c r="AG1238" s="0" t="inlineStr">
        <is>
          <t>서울시 강동구 양재대로 1650</t>
        </is>
      </c>
      <c r="AH1238" s="0" t="n">
        <v>156</v>
      </c>
      <c r="AI1238" s="0" t="n">
        <v>299</v>
      </c>
      <c r="AJ1238" s="0" t="n">
        <v>19</v>
      </c>
      <c r="AK1238" s="0" t="n">
        <v>2304</v>
      </c>
      <c r="AL1238" s="0" t="n">
        <v>1.21</v>
      </c>
    </row>
    <row r="1239">
      <c r="A1239" s="0" t="inlineStr">
        <is>
          <t>[명일동]</t>
        </is>
      </c>
      <c r="B1239" s="0" t="n">
        <v>113432</v>
      </c>
      <c r="C1239" s="0" t="n">
        <v>12</v>
      </c>
      <c r="D1239" s="0" t="inlineStr">
        <is>
          <t>래미안솔베뉴</t>
        </is>
      </c>
      <c r="E1239" s="0" t="inlineStr">
        <is>
          <t>2019.06.</t>
        </is>
      </c>
      <c r="F1239" s="0" t="n">
        <v>1900</v>
      </c>
      <c r="G1239" s="0" t="n">
        <v>34.01</v>
      </c>
      <c r="H1239" s="0" t="n">
        <v>112.44</v>
      </c>
      <c r="I1239" s="0" t="n">
        <v>25.6</v>
      </c>
      <c r="J1239" s="0" t="n">
        <v>84.63</v>
      </c>
      <c r="K1239" s="0" t="n">
        <v>103</v>
      </c>
      <c r="T1239" s="0" t="n">
        <v>3</v>
      </c>
      <c r="U1239" s="0" t="n">
        <v>2</v>
      </c>
      <c r="V1239" s="0" t="inlineStr">
        <is>
          <t>계단식</t>
        </is>
      </c>
      <c r="W1239" s="0" t="inlineStr">
        <is>
          <t>112A</t>
        </is>
      </c>
      <c r="X1239" s="0" t="n">
        <v>35</v>
      </c>
      <c r="Y1239" s="0" t="n">
        <v>16</v>
      </c>
      <c r="Z1239" s="0" t="inlineStr">
        <is>
          <t>https://new.land.naver.com/complexes/113432?tab=detail&amp;rf=Y</t>
        </is>
      </c>
      <c r="AA1239" s="0" t="inlineStr">
        <is>
          <t>서울시 강동구 명일동 359</t>
        </is>
      </c>
      <c r="AB1239" s="0" t="inlineStr">
        <is>
          <t>서울시</t>
        </is>
      </c>
      <c r="AC1239" s="0" t="inlineStr">
        <is>
          <t>강동구</t>
        </is>
      </c>
      <c r="AD1239" s="0" t="inlineStr">
        <is>
          <t>명일동</t>
        </is>
      </c>
      <c r="AG1239" s="0" t="inlineStr">
        <is>
          <t>서울시 강동구 양재대로 1650</t>
        </is>
      </c>
      <c r="AH1239" s="0" t="n">
        <v>156</v>
      </c>
      <c r="AI1239" s="0" t="n">
        <v>299</v>
      </c>
      <c r="AJ1239" s="0" t="n">
        <v>19</v>
      </c>
      <c r="AK1239" s="0" t="n">
        <v>2304</v>
      </c>
      <c r="AL1239" s="0" t="n">
        <v>1.21</v>
      </c>
    </row>
    <row r="1240">
      <c r="A1240" s="0" t="inlineStr">
        <is>
          <t>[명일동]</t>
        </is>
      </c>
      <c r="B1240" s="0" t="n">
        <v>113432</v>
      </c>
      <c r="C1240" s="0" t="n">
        <v>13</v>
      </c>
      <c r="D1240" s="0" t="inlineStr">
        <is>
          <t>래미안솔베뉴</t>
        </is>
      </c>
      <c r="E1240" s="0" t="inlineStr">
        <is>
          <t>2019.06.</t>
        </is>
      </c>
      <c r="F1240" s="0" t="n">
        <v>1900</v>
      </c>
      <c r="G1240" s="0" t="n">
        <v>34.18</v>
      </c>
      <c r="H1240" s="0" t="n">
        <v>113.02</v>
      </c>
      <c r="I1240" s="0" t="n">
        <v>25.61</v>
      </c>
      <c r="J1240" s="0" t="n">
        <v>84.68000000000001</v>
      </c>
      <c r="K1240" s="0" t="n">
        <v>53</v>
      </c>
      <c r="T1240" s="0" t="n">
        <v>3</v>
      </c>
      <c r="U1240" s="0" t="n">
        <v>2</v>
      </c>
      <c r="V1240" s="0" t="inlineStr">
        <is>
          <t>계단식</t>
        </is>
      </c>
      <c r="W1240" s="0" t="inlineStr">
        <is>
          <t>113B</t>
        </is>
      </c>
      <c r="X1240" s="0" t="n">
        <v>35</v>
      </c>
      <c r="Y1240" s="0" t="n">
        <v>16</v>
      </c>
      <c r="Z1240" s="0" t="inlineStr">
        <is>
          <t>https://new.land.naver.com/complexes/113432?tab=detail&amp;rf=Y</t>
        </is>
      </c>
      <c r="AA1240" s="0" t="inlineStr">
        <is>
          <t>서울시 강동구 명일동 359</t>
        </is>
      </c>
      <c r="AB1240" s="0" t="inlineStr">
        <is>
          <t>서울시</t>
        </is>
      </c>
      <c r="AC1240" s="0" t="inlineStr">
        <is>
          <t>강동구</t>
        </is>
      </c>
      <c r="AD1240" s="0" t="inlineStr">
        <is>
          <t>명일동</t>
        </is>
      </c>
      <c r="AG1240" s="0" t="inlineStr">
        <is>
          <t>서울시 강동구 양재대로 1650</t>
        </is>
      </c>
      <c r="AH1240" s="0" t="n">
        <v>156</v>
      </c>
      <c r="AI1240" s="0" t="n">
        <v>299</v>
      </c>
      <c r="AJ1240" s="0" t="n">
        <v>19</v>
      </c>
      <c r="AK1240" s="0" t="n">
        <v>2304</v>
      </c>
      <c r="AL1240" s="0" t="n">
        <v>1.21</v>
      </c>
    </row>
    <row r="1241">
      <c r="A1241" s="0" t="inlineStr">
        <is>
          <t>[명일동]</t>
        </is>
      </c>
      <c r="B1241" s="0" t="n">
        <v>113432</v>
      </c>
      <c r="C1241" s="0" t="n">
        <v>14</v>
      </c>
      <c r="D1241" s="0" t="inlineStr">
        <is>
          <t>래미안솔베뉴</t>
        </is>
      </c>
      <c r="E1241" s="0" t="inlineStr">
        <is>
          <t>2019.06.</t>
        </is>
      </c>
      <c r="F1241" s="0" t="n">
        <v>1900</v>
      </c>
      <c r="G1241" s="0" t="n">
        <v>34.19</v>
      </c>
      <c r="H1241" s="0" t="n">
        <v>113.05</v>
      </c>
      <c r="I1241" s="0" t="n">
        <v>25.59</v>
      </c>
      <c r="J1241" s="0" t="n">
        <v>84.59999999999999</v>
      </c>
      <c r="K1241" s="0" t="n">
        <v>37</v>
      </c>
      <c r="T1241" s="0" t="n">
        <v>3</v>
      </c>
      <c r="U1241" s="0" t="n">
        <v>2</v>
      </c>
      <c r="V1241" s="0" t="inlineStr">
        <is>
          <t>계단식</t>
        </is>
      </c>
      <c r="W1241" s="0" t="inlineStr">
        <is>
          <t>113C</t>
        </is>
      </c>
      <c r="X1241" s="0" t="n">
        <v>35</v>
      </c>
      <c r="Y1241" s="0" t="n">
        <v>16</v>
      </c>
      <c r="Z1241" s="0" t="inlineStr">
        <is>
          <t>https://new.land.naver.com/complexes/113432?tab=detail&amp;rf=Y</t>
        </is>
      </c>
      <c r="AA1241" s="0" t="inlineStr">
        <is>
          <t>서울시 강동구 명일동 359</t>
        </is>
      </c>
      <c r="AB1241" s="0" t="inlineStr">
        <is>
          <t>서울시</t>
        </is>
      </c>
      <c r="AC1241" s="0" t="inlineStr">
        <is>
          <t>강동구</t>
        </is>
      </c>
      <c r="AD1241" s="0" t="inlineStr">
        <is>
          <t>명일동</t>
        </is>
      </c>
      <c r="AG1241" s="0" t="inlineStr">
        <is>
          <t>서울시 강동구 양재대로 1650</t>
        </is>
      </c>
      <c r="AH1241" s="0" t="n">
        <v>156</v>
      </c>
      <c r="AI1241" s="0" t="n">
        <v>299</v>
      </c>
      <c r="AJ1241" s="0" t="n">
        <v>19</v>
      </c>
      <c r="AK1241" s="0" t="n">
        <v>2304</v>
      </c>
      <c r="AL1241" s="0" t="n">
        <v>1.21</v>
      </c>
    </row>
    <row r="1242">
      <c r="A1242" s="0" t="inlineStr">
        <is>
          <t>[명일동]</t>
        </is>
      </c>
      <c r="B1242" s="0" t="n">
        <v>113432</v>
      </c>
      <c r="C1242" s="0" t="n">
        <v>15</v>
      </c>
      <c r="D1242" s="0" t="inlineStr">
        <is>
          <t>래미안솔베뉴</t>
        </is>
      </c>
      <c r="E1242" s="0" t="inlineStr">
        <is>
          <t>2019.06.</t>
        </is>
      </c>
      <c r="F1242" s="0" t="n">
        <v>1900</v>
      </c>
      <c r="G1242" s="0" t="n">
        <v>44.57</v>
      </c>
      <c r="H1242" s="0" t="n">
        <v>147.37</v>
      </c>
      <c r="I1242" s="0" t="n">
        <v>31.32</v>
      </c>
      <c r="J1242" s="0" t="n">
        <v>103.56</v>
      </c>
      <c r="K1242" s="0" t="n">
        <v>3</v>
      </c>
      <c r="T1242" s="0" t="n">
        <v>4</v>
      </c>
      <c r="U1242" s="0" t="n">
        <v>2</v>
      </c>
      <c r="V1242" s="0" t="inlineStr">
        <is>
          <t>계단식</t>
        </is>
      </c>
      <c r="W1242" s="0" t="inlineStr">
        <is>
          <t>147B</t>
        </is>
      </c>
      <c r="X1242" s="0" t="n">
        <v>35</v>
      </c>
      <c r="Y1242" s="0" t="n">
        <v>16</v>
      </c>
      <c r="Z1242" s="0" t="inlineStr">
        <is>
          <t>https://new.land.naver.com/complexes/113432?tab=detail&amp;rf=Y</t>
        </is>
      </c>
      <c r="AA1242" s="0" t="inlineStr">
        <is>
          <t>서울시 강동구 명일동 359</t>
        </is>
      </c>
      <c r="AB1242" s="0" t="inlineStr">
        <is>
          <t>서울시</t>
        </is>
      </c>
      <c r="AC1242" s="0" t="inlineStr">
        <is>
          <t>강동구</t>
        </is>
      </c>
      <c r="AD1242" s="0" t="inlineStr">
        <is>
          <t>명일동</t>
        </is>
      </c>
      <c r="AG1242" s="0" t="inlineStr">
        <is>
          <t>서울시 강동구 양재대로 1650</t>
        </is>
      </c>
      <c r="AH1242" s="0" t="n">
        <v>156</v>
      </c>
      <c r="AI1242" s="0" t="n">
        <v>299</v>
      </c>
      <c r="AJ1242" s="0" t="n">
        <v>19</v>
      </c>
      <c r="AK1242" s="0" t="n">
        <v>2304</v>
      </c>
      <c r="AL1242" s="0" t="n">
        <v>1.21</v>
      </c>
    </row>
    <row r="1243">
      <c r="A1243" s="0" t="inlineStr">
        <is>
          <t>[명일동]</t>
        </is>
      </c>
      <c r="B1243" s="0" t="n">
        <v>113432</v>
      </c>
      <c r="C1243" s="0" t="n">
        <v>16</v>
      </c>
      <c r="D1243" s="0" t="inlineStr">
        <is>
          <t>래미안솔베뉴</t>
        </is>
      </c>
      <c r="E1243" s="0" t="inlineStr">
        <is>
          <t>2019.06.</t>
        </is>
      </c>
      <c r="F1243" s="0" t="n">
        <v>1900</v>
      </c>
      <c r="G1243" s="0" t="n">
        <v>44.64</v>
      </c>
      <c r="H1243" s="0" t="n">
        <v>147.58</v>
      </c>
      <c r="I1243" s="0" t="n">
        <v>31.41</v>
      </c>
      <c r="J1243" s="0" t="n">
        <v>103.86</v>
      </c>
      <c r="K1243" s="0" t="n">
        <v>1</v>
      </c>
      <c r="T1243" s="0" t="n">
        <v>4</v>
      </c>
      <c r="U1243" s="0" t="n">
        <v>2</v>
      </c>
      <c r="V1243" s="0" t="inlineStr">
        <is>
          <t>계단식</t>
        </is>
      </c>
      <c r="W1243" s="0" t="inlineStr">
        <is>
          <t>147C</t>
        </is>
      </c>
      <c r="X1243" s="0" t="n">
        <v>35</v>
      </c>
      <c r="Y1243" s="0" t="n">
        <v>16</v>
      </c>
      <c r="Z1243" s="0" t="inlineStr">
        <is>
          <t>https://new.land.naver.com/complexes/113432?tab=detail&amp;rf=Y</t>
        </is>
      </c>
      <c r="AA1243" s="0" t="inlineStr">
        <is>
          <t>서울시 강동구 명일동 359</t>
        </is>
      </c>
      <c r="AB1243" s="0" t="inlineStr">
        <is>
          <t>서울시</t>
        </is>
      </c>
      <c r="AC1243" s="0" t="inlineStr">
        <is>
          <t>강동구</t>
        </is>
      </c>
      <c r="AD1243" s="0" t="inlineStr">
        <is>
          <t>명일동</t>
        </is>
      </c>
      <c r="AG1243" s="0" t="inlineStr">
        <is>
          <t>서울시 강동구 양재대로 1650</t>
        </is>
      </c>
      <c r="AH1243" s="0" t="n">
        <v>156</v>
      </c>
      <c r="AI1243" s="0" t="n">
        <v>299</v>
      </c>
      <c r="AJ1243" s="0" t="n">
        <v>19</v>
      </c>
      <c r="AK1243" s="0" t="n">
        <v>2304</v>
      </c>
      <c r="AL1243" s="0" t="n">
        <v>1.21</v>
      </c>
    </row>
    <row r="1244">
      <c r="A1244" s="0" t="inlineStr">
        <is>
          <t>[명일동]</t>
        </is>
      </c>
      <c r="B1244" s="0" t="n">
        <v>113432</v>
      </c>
      <c r="C1244" s="0" t="n">
        <v>17</v>
      </c>
      <c r="D1244" s="0" t="inlineStr">
        <is>
          <t>래미안솔베뉴</t>
        </is>
      </c>
      <c r="E1244" s="0" t="inlineStr">
        <is>
          <t>2019.06.</t>
        </is>
      </c>
      <c r="F1244" s="0" t="n">
        <v>1900</v>
      </c>
      <c r="G1244" s="0" t="n">
        <v>44.75</v>
      </c>
      <c r="H1244" s="0" t="n">
        <v>147.95</v>
      </c>
      <c r="I1244" s="0" t="n">
        <v>31.42</v>
      </c>
      <c r="J1244" s="0" t="n">
        <v>103.87</v>
      </c>
      <c r="K1244" s="0" t="n">
        <v>1</v>
      </c>
      <c r="T1244" s="0" t="n">
        <v>4</v>
      </c>
      <c r="U1244" s="0" t="n">
        <v>2</v>
      </c>
      <c r="V1244" s="0" t="inlineStr">
        <is>
          <t>계단식</t>
        </is>
      </c>
      <c r="W1244" s="0" t="inlineStr">
        <is>
          <t>147D</t>
        </is>
      </c>
      <c r="X1244" s="0" t="n">
        <v>35</v>
      </c>
      <c r="Y1244" s="0" t="n">
        <v>16</v>
      </c>
      <c r="Z1244" s="0" t="inlineStr">
        <is>
          <t>https://new.land.naver.com/complexes/113432?tab=detail&amp;rf=Y</t>
        </is>
      </c>
      <c r="AA1244" s="0" t="inlineStr">
        <is>
          <t>서울시 강동구 명일동 359</t>
        </is>
      </c>
      <c r="AB1244" s="0" t="inlineStr">
        <is>
          <t>서울시</t>
        </is>
      </c>
      <c r="AC1244" s="0" t="inlineStr">
        <is>
          <t>강동구</t>
        </is>
      </c>
      <c r="AD1244" s="0" t="inlineStr">
        <is>
          <t>명일동</t>
        </is>
      </c>
      <c r="AG1244" s="0" t="inlineStr">
        <is>
          <t>서울시 강동구 양재대로 1650</t>
        </is>
      </c>
      <c r="AH1244" s="0" t="n">
        <v>156</v>
      </c>
      <c r="AI1244" s="0" t="n">
        <v>299</v>
      </c>
      <c r="AJ1244" s="0" t="n">
        <v>19</v>
      </c>
      <c r="AK1244" s="0" t="n">
        <v>2304</v>
      </c>
      <c r="AL1244" s="0" t="n">
        <v>1.21</v>
      </c>
    </row>
    <row r="1245">
      <c r="A1245" s="0" t="inlineStr">
        <is>
          <t>[명일동]</t>
        </is>
      </c>
      <c r="B1245" s="0" t="n">
        <v>113432</v>
      </c>
      <c r="C1245" s="0" t="n">
        <v>18</v>
      </c>
      <c r="D1245" s="0" t="inlineStr">
        <is>
          <t>래미안솔베뉴</t>
        </is>
      </c>
      <c r="E1245" s="0" t="inlineStr">
        <is>
          <t>2019.06.</t>
        </is>
      </c>
      <c r="F1245" s="0" t="n">
        <v>1900</v>
      </c>
      <c r="G1245" s="0" t="n">
        <v>44.88</v>
      </c>
      <c r="H1245" s="0" t="n">
        <v>148.39</v>
      </c>
      <c r="I1245" s="0" t="n">
        <v>31.39</v>
      </c>
      <c r="J1245" s="0" t="n">
        <v>103.8</v>
      </c>
      <c r="K1245" s="0" t="n">
        <v>7</v>
      </c>
      <c r="T1245" s="0" t="n">
        <v>4</v>
      </c>
      <c r="U1245" s="0" t="n">
        <v>2</v>
      </c>
      <c r="V1245" s="0" t="inlineStr">
        <is>
          <t>계단식</t>
        </is>
      </c>
      <c r="W1245" s="0" t="inlineStr">
        <is>
          <t>148A</t>
        </is>
      </c>
      <c r="X1245" s="0" t="n">
        <v>35</v>
      </c>
      <c r="Y1245" s="0" t="n">
        <v>16</v>
      </c>
      <c r="Z1245" s="0" t="inlineStr">
        <is>
          <t>https://new.land.naver.com/complexes/113432?tab=detail&amp;rf=Y</t>
        </is>
      </c>
      <c r="AA1245" s="0" t="inlineStr">
        <is>
          <t>서울시 강동구 명일동 359</t>
        </is>
      </c>
      <c r="AB1245" s="0" t="inlineStr">
        <is>
          <t>서울시</t>
        </is>
      </c>
      <c r="AC1245" s="0" t="inlineStr">
        <is>
          <t>강동구</t>
        </is>
      </c>
      <c r="AD1245" s="0" t="inlineStr">
        <is>
          <t>명일동</t>
        </is>
      </c>
      <c r="AG1245" s="0" t="inlineStr">
        <is>
          <t>서울시 강동구 양재대로 1650</t>
        </is>
      </c>
      <c r="AH1245" s="0" t="n">
        <v>156</v>
      </c>
      <c r="AI1245" s="0" t="n">
        <v>299</v>
      </c>
      <c r="AJ1245" s="0" t="n">
        <v>19</v>
      </c>
      <c r="AK1245" s="0" t="n">
        <v>2304</v>
      </c>
      <c r="AL1245" s="0" t="n">
        <v>1.21</v>
      </c>
    </row>
    <row r="1246">
      <c r="A1246" s="0" t="inlineStr">
        <is>
          <t>[명일동]</t>
        </is>
      </c>
      <c r="B1246" s="0" t="n">
        <v>987</v>
      </c>
      <c r="C1246" s="0" t="n">
        <v>1</v>
      </c>
      <c r="D1246" s="0" t="inlineStr">
        <is>
          <t>명일현대</t>
        </is>
      </c>
      <c r="E1246" s="0" t="inlineStr">
        <is>
          <t>1988.10.</t>
        </is>
      </c>
      <c r="F1246" s="0" t="n">
        <v>226</v>
      </c>
      <c r="G1246" s="0" t="n">
        <v>24.23</v>
      </c>
      <c r="H1246" s="0" t="n">
        <v>80.13</v>
      </c>
      <c r="I1246" s="0" t="n">
        <v>17.26</v>
      </c>
      <c r="J1246" s="0" t="n">
        <v>57.09</v>
      </c>
      <c r="K1246" s="0" t="n">
        <v>140</v>
      </c>
      <c r="T1246" s="0" t="n">
        <v>2</v>
      </c>
      <c r="U1246" s="0" t="n">
        <v>1</v>
      </c>
      <c r="V1246" s="0" t="inlineStr">
        <is>
          <t>복도식</t>
        </is>
      </c>
      <c r="W1246" s="0" t="n">
        <v>80</v>
      </c>
      <c r="X1246" s="0" t="n">
        <v>15</v>
      </c>
      <c r="Y1246" s="0" t="n">
        <v>10</v>
      </c>
      <c r="Z1246" s="0" t="inlineStr">
        <is>
          <t>https://new.land.naver.com/complexes/987?tab=detail&amp;rf=Y</t>
        </is>
      </c>
      <c r="AA1246" s="0" t="inlineStr">
        <is>
          <t>서울시 강동구 명일동 251-1</t>
        </is>
      </c>
      <c r="AB1246" s="0" t="inlineStr">
        <is>
          <t>서울시</t>
        </is>
      </c>
      <c r="AC1246" s="0" t="inlineStr">
        <is>
          <t>강동구</t>
        </is>
      </c>
      <c r="AD1246" s="0" t="inlineStr">
        <is>
          <t>명일동</t>
        </is>
      </c>
      <c r="AG1246" s="0" t="inlineStr">
        <is>
          <t>서울시 강동구 양재대로134길 87</t>
        </is>
      </c>
      <c r="AH1246" s="0" t="n">
        <v>0</v>
      </c>
      <c r="AI1246" s="0" t="n">
        <v>249</v>
      </c>
      <c r="AJ1246" s="0" t="n">
        <v>20</v>
      </c>
      <c r="AK1246" s="0" t="n">
        <v>76</v>
      </c>
      <c r="AL1246" s="0" t="n">
        <v>0.34</v>
      </c>
    </row>
    <row r="1247">
      <c r="A1247" s="0" t="inlineStr">
        <is>
          <t>[명일동]</t>
        </is>
      </c>
      <c r="B1247" s="0" t="n">
        <v>987</v>
      </c>
      <c r="C1247" s="0" t="n">
        <v>2</v>
      </c>
      <c r="D1247" s="0" t="inlineStr">
        <is>
          <t>명일현대</t>
        </is>
      </c>
      <c r="E1247" s="0" t="inlineStr">
        <is>
          <t>1988.10.</t>
        </is>
      </c>
      <c r="F1247" s="0" t="n">
        <v>226</v>
      </c>
      <c r="G1247" s="0" t="n">
        <v>30.43</v>
      </c>
      <c r="H1247" s="0" t="n">
        <v>100.61</v>
      </c>
      <c r="I1247" s="0" t="n">
        <v>25.34</v>
      </c>
      <c r="J1247" s="0" t="n">
        <v>83.8</v>
      </c>
      <c r="K1247" s="0" t="n">
        <v>15</v>
      </c>
      <c r="T1247" s="0" t="n">
        <v>3</v>
      </c>
      <c r="U1247" s="0" t="n">
        <v>1</v>
      </c>
      <c r="V1247" s="0" t="inlineStr">
        <is>
          <t>계단식</t>
        </is>
      </c>
      <c r="W1247" s="0" t="n">
        <v>100</v>
      </c>
      <c r="X1247" s="0" t="n">
        <v>15</v>
      </c>
      <c r="Y1247" s="0" t="n">
        <v>10</v>
      </c>
      <c r="Z1247" s="0" t="inlineStr">
        <is>
          <t>https://new.land.naver.com/complexes/987?tab=detail&amp;rf=Y</t>
        </is>
      </c>
      <c r="AA1247" s="0" t="inlineStr">
        <is>
          <t>서울시 강동구 명일동 251-1</t>
        </is>
      </c>
      <c r="AB1247" s="0" t="inlineStr">
        <is>
          <t>서울시</t>
        </is>
      </c>
      <c r="AC1247" s="0" t="inlineStr">
        <is>
          <t>강동구</t>
        </is>
      </c>
      <c r="AD1247" s="0" t="inlineStr">
        <is>
          <t>명일동</t>
        </is>
      </c>
      <c r="AG1247" s="0" t="inlineStr">
        <is>
          <t>서울시 강동구 양재대로134길 87</t>
        </is>
      </c>
      <c r="AH1247" s="0" t="n">
        <v>0</v>
      </c>
      <c r="AI1247" s="0" t="n">
        <v>249</v>
      </c>
      <c r="AJ1247" s="0" t="n">
        <v>20</v>
      </c>
      <c r="AK1247" s="0" t="n">
        <v>76</v>
      </c>
      <c r="AL1247" s="0" t="n">
        <v>0.34</v>
      </c>
    </row>
    <row r="1248">
      <c r="A1248" s="0" t="inlineStr">
        <is>
          <t>[명일동]</t>
        </is>
      </c>
      <c r="B1248" s="0" t="n">
        <v>987</v>
      </c>
      <c r="C1248" s="0" t="n">
        <v>3</v>
      </c>
      <c r="D1248" s="0" t="inlineStr">
        <is>
          <t>명일현대</t>
        </is>
      </c>
      <c r="E1248" s="0" t="inlineStr">
        <is>
          <t>1988.10.</t>
        </is>
      </c>
      <c r="F1248" s="0" t="n">
        <v>226</v>
      </c>
      <c r="G1248" s="0" t="n">
        <v>30.69</v>
      </c>
      <c r="H1248" s="0" t="n">
        <v>101.47</v>
      </c>
      <c r="I1248" s="0" t="n">
        <v>25.6</v>
      </c>
      <c r="J1248" s="0" t="n">
        <v>84.66</v>
      </c>
      <c r="K1248" s="0" t="n">
        <v>71</v>
      </c>
      <c r="T1248" s="0" t="n">
        <v>3</v>
      </c>
      <c r="U1248" s="0" t="n">
        <v>1</v>
      </c>
      <c r="V1248" s="0" t="inlineStr">
        <is>
          <t>계단식</t>
        </is>
      </c>
      <c r="W1248" s="0" t="n">
        <v>101</v>
      </c>
      <c r="X1248" s="0" t="n">
        <v>15</v>
      </c>
      <c r="Y1248" s="0" t="n">
        <v>10</v>
      </c>
      <c r="Z1248" s="0" t="inlineStr">
        <is>
          <t>https://new.land.naver.com/complexes/987?tab=detail&amp;rf=Y</t>
        </is>
      </c>
      <c r="AA1248" s="0" t="inlineStr">
        <is>
          <t>서울시 강동구 명일동 251-1</t>
        </is>
      </c>
      <c r="AB1248" s="0" t="inlineStr">
        <is>
          <t>서울시</t>
        </is>
      </c>
      <c r="AC1248" s="0" t="inlineStr">
        <is>
          <t>강동구</t>
        </is>
      </c>
      <c r="AD1248" s="0" t="inlineStr">
        <is>
          <t>명일동</t>
        </is>
      </c>
      <c r="AG1248" s="0" t="inlineStr">
        <is>
          <t>서울시 강동구 양재대로134길 87</t>
        </is>
      </c>
      <c r="AH1248" s="0" t="n">
        <v>0</v>
      </c>
      <c r="AI1248" s="0" t="n">
        <v>249</v>
      </c>
      <c r="AJ1248" s="0" t="n">
        <v>20</v>
      </c>
      <c r="AK1248" s="0" t="n">
        <v>76</v>
      </c>
      <c r="AL1248" s="0" t="n">
        <v>0.34</v>
      </c>
    </row>
    <row r="1249">
      <c r="A1249" s="0" t="inlineStr">
        <is>
          <t>[상일동]</t>
        </is>
      </c>
      <c r="B1249" s="0" t="n">
        <v>15303</v>
      </c>
      <c r="C1249" s="0" t="n">
        <v>1</v>
      </c>
      <c r="D1249" s="0" t="inlineStr">
        <is>
          <t>상일우성타운</t>
        </is>
      </c>
      <c r="E1249" s="0" t="inlineStr">
        <is>
          <t>1989.05.</t>
        </is>
      </c>
      <c r="F1249" s="0" t="n">
        <v>105</v>
      </c>
      <c r="G1249" s="0" t="n">
        <v>33.04</v>
      </c>
      <c r="H1249" s="0" t="n">
        <v>109.23</v>
      </c>
      <c r="I1249" s="0" t="n">
        <v>25.7</v>
      </c>
      <c r="J1249" s="0" t="n">
        <v>84.97</v>
      </c>
      <c r="K1249" s="0" t="n">
        <v>45</v>
      </c>
      <c r="T1249" s="0" t="n">
        <v>3</v>
      </c>
      <c r="U1249" s="0" t="n">
        <v>2</v>
      </c>
      <c r="V1249" s="0" t="inlineStr">
        <is>
          <t>계단식</t>
        </is>
      </c>
      <c r="W1249" s="0" t="n">
        <v>109</v>
      </c>
      <c r="X1249" s="0" t="n">
        <v>3</v>
      </c>
      <c r="Y1249" s="0" t="n">
        <v>3</v>
      </c>
      <c r="Z1249" s="0" t="inlineStr">
        <is>
          <t>https://new.land.naver.com/complexes/15303?tab=detail&amp;rf=Y</t>
        </is>
      </c>
      <c r="AA1249" s="0" t="inlineStr">
        <is>
          <t>서울시 강동구 상일동 174</t>
        </is>
      </c>
      <c r="AB1249" s="0" t="inlineStr">
        <is>
          <t>서울시</t>
        </is>
      </c>
      <c r="AC1249" s="0" t="inlineStr">
        <is>
          <t>강동구</t>
        </is>
      </c>
      <c r="AD1249" s="0" t="inlineStr">
        <is>
          <t>상일동</t>
        </is>
      </c>
      <c r="AG1249" s="0" t="inlineStr">
        <is>
          <t>서울시 강동구 상암로 331</t>
        </is>
      </c>
      <c r="AH1249" s="0" t="n">
        <v>0</v>
      </c>
      <c r="AI1249" s="0" t="n">
        <v>89</v>
      </c>
      <c r="AJ1249" s="0" t="n">
        <v>29</v>
      </c>
      <c r="AK1249" s="0" t="n">
        <v>0</v>
      </c>
      <c r="AL1249" s="0" t="n">
        <v>0</v>
      </c>
    </row>
    <row r="1250">
      <c r="A1250" s="0" t="inlineStr">
        <is>
          <t>[상일동]</t>
        </is>
      </c>
      <c r="B1250" s="0" t="n">
        <v>15303</v>
      </c>
      <c r="C1250" s="0" t="n">
        <v>2</v>
      </c>
      <c r="D1250" s="0" t="inlineStr">
        <is>
          <t>상일우성타운</t>
        </is>
      </c>
      <c r="E1250" s="0" t="inlineStr">
        <is>
          <t>1989.05.</t>
        </is>
      </c>
      <c r="F1250" s="0" t="n">
        <v>105</v>
      </c>
      <c r="G1250" s="0" t="n">
        <v>49.94</v>
      </c>
      <c r="H1250" s="0" t="n">
        <v>165.1</v>
      </c>
      <c r="I1250" s="0" t="n">
        <v>44.34</v>
      </c>
      <c r="J1250" s="0" t="n">
        <v>146.6</v>
      </c>
      <c r="K1250" s="0" t="n">
        <v>12</v>
      </c>
      <c r="T1250" s="0" t="n">
        <v>4</v>
      </c>
      <c r="U1250" s="0" t="n">
        <v>2</v>
      </c>
      <c r="V1250" s="0" t="inlineStr">
        <is>
          <t>계단식</t>
        </is>
      </c>
      <c r="W1250" s="0" t="n">
        <v>165</v>
      </c>
      <c r="X1250" s="0" t="n">
        <v>3</v>
      </c>
      <c r="Y1250" s="0" t="n">
        <v>3</v>
      </c>
      <c r="Z1250" s="0" t="inlineStr">
        <is>
          <t>https://new.land.naver.com/complexes/15303?tab=detail&amp;rf=Y</t>
        </is>
      </c>
      <c r="AA1250" s="0" t="inlineStr">
        <is>
          <t>서울시 강동구 상일동 174</t>
        </is>
      </c>
      <c r="AB1250" s="0" t="inlineStr">
        <is>
          <t>서울시</t>
        </is>
      </c>
      <c r="AC1250" s="0" t="inlineStr">
        <is>
          <t>강동구</t>
        </is>
      </c>
      <c r="AD1250" s="0" t="inlineStr">
        <is>
          <t>상일동</t>
        </is>
      </c>
      <c r="AG1250" s="0" t="inlineStr">
        <is>
          <t>서울시 강동구 상암로 331</t>
        </is>
      </c>
      <c r="AH1250" s="0" t="n">
        <v>0</v>
      </c>
      <c r="AI1250" s="0" t="n">
        <v>89</v>
      </c>
      <c r="AJ1250" s="0" t="n">
        <v>29</v>
      </c>
      <c r="AK1250" s="0" t="n">
        <v>0</v>
      </c>
      <c r="AL1250" s="0" t="n">
        <v>0</v>
      </c>
    </row>
    <row r="1251">
      <c r="A1251" s="0" t="inlineStr">
        <is>
          <t>[상일동]</t>
        </is>
      </c>
      <c r="B1251" s="0" t="n">
        <v>15303</v>
      </c>
      <c r="C1251" s="0" t="n">
        <v>3</v>
      </c>
      <c r="D1251" s="0" t="inlineStr">
        <is>
          <t>상일우성타운</t>
        </is>
      </c>
      <c r="E1251" s="0" t="inlineStr">
        <is>
          <t>1989.05.</t>
        </is>
      </c>
      <c r="F1251" s="0" t="n">
        <v>105</v>
      </c>
      <c r="G1251" s="0" t="n">
        <v>54.8</v>
      </c>
      <c r="H1251" s="0" t="n">
        <v>181.17</v>
      </c>
      <c r="I1251" s="0" t="n">
        <v>48.93</v>
      </c>
      <c r="J1251" s="0" t="n">
        <v>161.78</v>
      </c>
      <c r="K1251" s="0" t="n">
        <v>12</v>
      </c>
      <c r="T1251" s="0" t="n">
        <v>5</v>
      </c>
      <c r="U1251" s="0" t="n">
        <v>2</v>
      </c>
      <c r="V1251" s="0" t="inlineStr">
        <is>
          <t>계단식</t>
        </is>
      </c>
      <c r="W1251" s="0" t="n">
        <v>181</v>
      </c>
      <c r="X1251" s="0" t="n">
        <v>3</v>
      </c>
      <c r="Y1251" s="0" t="n">
        <v>3</v>
      </c>
      <c r="Z1251" s="0" t="inlineStr">
        <is>
          <t>https://new.land.naver.com/complexes/15303?tab=detail&amp;rf=Y</t>
        </is>
      </c>
      <c r="AA1251" s="0" t="inlineStr">
        <is>
          <t>서울시 강동구 상일동 174</t>
        </is>
      </c>
      <c r="AB1251" s="0" t="inlineStr">
        <is>
          <t>서울시</t>
        </is>
      </c>
      <c r="AC1251" s="0" t="inlineStr">
        <is>
          <t>강동구</t>
        </is>
      </c>
      <c r="AD1251" s="0" t="inlineStr">
        <is>
          <t>상일동</t>
        </is>
      </c>
      <c r="AG1251" s="0" t="inlineStr">
        <is>
          <t>서울시 강동구 상암로 331</t>
        </is>
      </c>
      <c r="AH1251" s="0" t="n">
        <v>0</v>
      </c>
      <c r="AI1251" s="0" t="n">
        <v>89</v>
      </c>
      <c r="AJ1251" s="0" t="n">
        <v>29</v>
      </c>
      <c r="AK1251" s="0" t="n">
        <v>0</v>
      </c>
      <c r="AL1251" s="0" t="n">
        <v>0</v>
      </c>
    </row>
    <row r="1252">
      <c r="A1252" s="0" t="inlineStr">
        <is>
          <t>[상일동]</t>
        </is>
      </c>
      <c r="B1252" s="0" t="n">
        <v>15303</v>
      </c>
      <c r="C1252" s="0" t="n">
        <v>4</v>
      </c>
      <c r="D1252" s="0" t="inlineStr">
        <is>
          <t>상일우성타운</t>
        </is>
      </c>
      <c r="E1252" s="0" t="inlineStr">
        <is>
          <t>1989.05.</t>
        </is>
      </c>
      <c r="F1252" s="0" t="n">
        <v>105</v>
      </c>
      <c r="G1252" s="0" t="n">
        <v>56.03</v>
      </c>
      <c r="H1252" s="0" t="n">
        <v>185.25</v>
      </c>
      <c r="I1252" s="0" t="n">
        <v>50</v>
      </c>
      <c r="J1252" s="0" t="n">
        <v>165.32</v>
      </c>
      <c r="K1252" s="0" t="n">
        <v>12</v>
      </c>
      <c r="T1252" s="0" t="n">
        <v>5</v>
      </c>
      <c r="U1252" s="0" t="n">
        <v>2</v>
      </c>
      <c r="V1252" s="0" t="inlineStr">
        <is>
          <t>계단식</t>
        </is>
      </c>
      <c r="W1252" s="0" t="n">
        <v>185</v>
      </c>
      <c r="X1252" s="0" t="n">
        <v>3</v>
      </c>
      <c r="Y1252" s="0" t="n">
        <v>3</v>
      </c>
      <c r="Z1252" s="0" t="inlineStr">
        <is>
          <t>https://new.land.naver.com/complexes/15303?tab=detail&amp;rf=Y</t>
        </is>
      </c>
      <c r="AA1252" s="0" t="inlineStr">
        <is>
          <t>서울시 강동구 상일동 174</t>
        </is>
      </c>
      <c r="AB1252" s="0" t="inlineStr">
        <is>
          <t>서울시</t>
        </is>
      </c>
      <c r="AC1252" s="0" t="inlineStr">
        <is>
          <t>강동구</t>
        </is>
      </c>
      <c r="AD1252" s="0" t="inlineStr">
        <is>
          <t>상일동</t>
        </is>
      </c>
      <c r="AG1252" s="0" t="inlineStr">
        <is>
          <t>서울시 강동구 상암로 331</t>
        </is>
      </c>
      <c r="AH1252" s="0" t="n">
        <v>0</v>
      </c>
      <c r="AI1252" s="0" t="n">
        <v>89</v>
      </c>
      <c r="AJ1252" s="0" t="n">
        <v>29</v>
      </c>
      <c r="AK1252" s="0" t="n">
        <v>0</v>
      </c>
      <c r="AL1252" s="0" t="n">
        <v>0</v>
      </c>
    </row>
    <row r="1253">
      <c r="A1253" s="0" t="inlineStr">
        <is>
          <t>[상일동]</t>
        </is>
      </c>
      <c r="B1253" s="0" t="n">
        <v>15303</v>
      </c>
      <c r="C1253" s="0" t="n">
        <v>5</v>
      </c>
      <c r="D1253" s="0" t="inlineStr">
        <is>
          <t>상일우성타운</t>
        </is>
      </c>
      <c r="E1253" s="0" t="inlineStr">
        <is>
          <t>1989.05.</t>
        </is>
      </c>
      <c r="F1253" s="0" t="n">
        <v>105</v>
      </c>
      <c r="G1253" s="0" t="n">
        <v>58.11</v>
      </c>
      <c r="H1253" s="0" t="n">
        <v>192.12</v>
      </c>
      <c r="I1253" s="0" t="n">
        <v>51.7</v>
      </c>
      <c r="J1253" s="0" t="n">
        <v>170.91</v>
      </c>
      <c r="K1253" s="0" t="n">
        <v>8</v>
      </c>
      <c r="T1253" s="0" t="n">
        <v>5</v>
      </c>
      <c r="U1253" s="0" t="n">
        <v>2</v>
      </c>
      <c r="V1253" s="0" t="inlineStr">
        <is>
          <t>계단식</t>
        </is>
      </c>
      <c r="W1253" s="0" t="n">
        <v>192</v>
      </c>
      <c r="X1253" s="0" t="n">
        <v>3</v>
      </c>
      <c r="Y1253" s="0" t="n">
        <v>3</v>
      </c>
      <c r="Z1253" s="0" t="inlineStr">
        <is>
          <t>https://new.land.naver.com/complexes/15303?tab=detail&amp;rf=Y</t>
        </is>
      </c>
      <c r="AA1253" s="0" t="inlineStr">
        <is>
          <t>서울시 강동구 상일동 174</t>
        </is>
      </c>
      <c r="AB1253" s="0" t="inlineStr">
        <is>
          <t>서울시</t>
        </is>
      </c>
      <c r="AC1253" s="0" t="inlineStr">
        <is>
          <t>강동구</t>
        </is>
      </c>
      <c r="AD1253" s="0" t="inlineStr">
        <is>
          <t>상일동</t>
        </is>
      </c>
      <c r="AG1253" s="0" t="inlineStr">
        <is>
          <t>서울시 강동구 상암로 331</t>
        </is>
      </c>
      <c r="AH1253" s="0" t="n">
        <v>0</v>
      </c>
      <c r="AI1253" s="0" t="n">
        <v>89</v>
      </c>
      <c r="AJ1253" s="0" t="n">
        <v>29</v>
      </c>
      <c r="AK1253" s="0" t="n">
        <v>0</v>
      </c>
      <c r="AL1253" s="0" t="n">
        <v>0</v>
      </c>
    </row>
    <row r="1254">
      <c r="A1254" s="0" t="inlineStr">
        <is>
          <t>[상일동]</t>
        </is>
      </c>
      <c r="B1254" s="0" t="n">
        <v>15303</v>
      </c>
      <c r="C1254" s="0" t="n">
        <v>6</v>
      </c>
      <c r="D1254" s="0" t="inlineStr">
        <is>
          <t>상일우성타운</t>
        </is>
      </c>
      <c r="E1254" s="0" t="inlineStr">
        <is>
          <t>1989.05.</t>
        </is>
      </c>
      <c r="F1254" s="0" t="n">
        <v>105</v>
      </c>
      <c r="G1254" s="0" t="n">
        <v>62.94</v>
      </c>
      <c r="H1254" s="0" t="n">
        <v>208.07</v>
      </c>
      <c r="I1254" s="0" t="n">
        <v>56.23</v>
      </c>
      <c r="J1254" s="0" t="n">
        <v>185.91</v>
      </c>
      <c r="K1254" s="0" t="n">
        <v>8</v>
      </c>
      <c r="T1254" s="0" t="n">
        <v>6</v>
      </c>
      <c r="U1254" s="0" t="n">
        <v>2</v>
      </c>
      <c r="V1254" s="0" t="inlineStr">
        <is>
          <t>계단식</t>
        </is>
      </c>
      <c r="W1254" s="0" t="n">
        <v>208</v>
      </c>
      <c r="X1254" s="0" t="n">
        <v>3</v>
      </c>
      <c r="Y1254" s="0" t="n">
        <v>3</v>
      </c>
      <c r="Z1254" s="0" t="inlineStr">
        <is>
          <t>https://new.land.naver.com/complexes/15303?tab=detail&amp;rf=Y</t>
        </is>
      </c>
      <c r="AA1254" s="0" t="inlineStr">
        <is>
          <t>서울시 강동구 상일동 174</t>
        </is>
      </c>
      <c r="AB1254" s="0" t="inlineStr">
        <is>
          <t>서울시</t>
        </is>
      </c>
      <c r="AC1254" s="0" t="inlineStr">
        <is>
          <t>강동구</t>
        </is>
      </c>
      <c r="AD1254" s="0" t="inlineStr">
        <is>
          <t>상일동</t>
        </is>
      </c>
      <c r="AG1254" s="0" t="inlineStr">
        <is>
          <t>서울시 강동구 상암로 331</t>
        </is>
      </c>
      <c r="AH1254" s="0" t="n">
        <v>0</v>
      </c>
      <c r="AI1254" s="0" t="n">
        <v>89</v>
      </c>
      <c r="AJ1254" s="0" t="n">
        <v>29</v>
      </c>
      <c r="AK1254" s="0" t="n">
        <v>0</v>
      </c>
      <c r="AL1254" s="0" t="n">
        <v>0</v>
      </c>
    </row>
    <row r="1255">
      <c r="A1255" s="0" t="inlineStr">
        <is>
          <t>[상일동]</t>
        </is>
      </c>
      <c r="B1255" s="0" t="n">
        <v>15303</v>
      </c>
      <c r="C1255" s="0" t="n">
        <v>7</v>
      </c>
      <c r="D1255" s="0" t="inlineStr">
        <is>
          <t>상일우성타운</t>
        </is>
      </c>
      <c r="E1255" s="0" t="inlineStr">
        <is>
          <t>1989.05.</t>
        </is>
      </c>
      <c r="F1255" s="0" t="n">
        <v>105</v>
      </c>
      <c r="G1255" s="0" t="n">
        <v>64.70999999999999</v>
      </c>
      <c r="H1255" s="0" t="n">
        <v>213.92</v>
      </c>
      <c r="I1255" s="0" t="n">
        <v>57.79</v>
      </c>
      <c r="J1255" s="0" t="n">
        <v>191.07</v>
      </c>
      <c r="K1255" s="0" t="n">
        <v>8</v>
      </c>
      <c r="T1255" s="0" t="n">
        <v>6</v>
      </c>
      <c r="U1255" s="0" t="n">
        <v>2</v>
      </c>
      <c r="V1255" s="0" t="inlineStr">
        <is>
          <t>계단식</t>
        </is>
      </c>
      <c r="W1255" s="0" t="n">
        <v>213</v>
      </c>
      <c r="X1255" s="0" t="n">
        <v>3</v>
      </c>
      <c r="Y1255" s="0" t="n">
        <v>3</v>
      </c>
      <c r="Z1255" s="0" t="inlineStr">
        <is>
          <t>https://new.land.naver.com/complexes/15303?tab=detail&amp;rf=Y</t>
        </is>
      </c>
      <c r="AA1255" s="0" t="inlineStr">
        <is>
          <t>서울시 강동구 상일동 174</t>
        </is>
      </c>
      <c r="AB1255" s="0" t="inlineStr">
        <is>
          <t>서울시</t>
        </is>
      </c>
      <c r="AC1255" s="0" t="inlineStr">
        <is>
          <t>강동구</t>
        </is>
      </c>
      <c r="AD1255" s="0" t="inlineStr">
        <is>
          <t>상일동</t>
        </is>
      </c>
      <c r="AG1255" s="0" t="inlineStr">
        <is>
          <t>서울시 강동구 상암로 331</t>
        </is>
      </c>
      <c r="AH1255" s="0" t="n">
        <v>0</v>
      </c>
      <c r="AI1255" s="0" t="n">
        <v>89</v>
      </c>
      <c r="AJ1255" s="0" t="n">
        <v>29</v>
      </c>
      <c r="AK1255" s="0" t="n">
        <v>0</v>
      </c>
      <c r="AL1255" s="0" t="n">
        <v>0</v>
      </c>
    </row>
    <row r="1256">
      <c r="A1256" s="0" t="inlineStr">
        <is>
          <t>[상일동]</t>
        </is>
      </c>
      <c r="B1256" s="0" t="n">
        <v>121977</v>
      </c>
      <c r="C1256" s="0" t="n">
        <v>1</v>
      </c>
      <c r="D1256" s="0" t="inlineStr">
        <is>
          <t>고덕자이</t>
        </is>
      </c>
      <c r="E1256" s="0" t="inlineStr">
        <is>
          <t>2021.01.</t>
        </is>
      </c>
      <c r="F1256" s="0" t="n">
        <v>1824</v>
      </c>
      <c r="G1256" s="0" t="n">
        <v>20.4</v>
      </c>
      <c r="H1256" s="0" t="n">
        <v>67.47</v>
      </c>
      <c r="I1256" s="0" t="n">
        <v>14.72</v>
      </c>
      <c r="J1256" s="0" t="n">
        <v>48.67</v>
      </c>
      <c r="K1256" s="0" t="n">
        <v>52</v>
      </c>
      <c r="T1256" s="0" t="n">
        <v>2</v>
      </c>
      <c r="U1256" s="0" t="n">
        <v>1</v>
      </c>
      <c r="V1256" s="0" t="inlineStr">
        <is>
          <t>계단식</t>
        </is>
      </c>
      <c r="W1256" s="0" t="n">
        <v>67</v>
      </c>
      <c r="X1256" s="0" t="n">
        <v>29</v>
      </c>
      <c r="Y1256" s="0" t="n">
        <v>11</v>
      </c>
      <c r="Z1256" s="0" t="inlineStr">
        <is>
          <t>https://new.land.naver.com/complexes/121977?tab=detail&amp;rf=Y</t>
        </is>
      </c>
      <c r="AA1256" s="0" t="inlineStr">
        <is>
          <t>서울시 강동구 상일동 521</t>
        </is>
      </c>
      <c r="AB1256" s="0" t="inlineStr">
        <is>
          <t>서울시</t>
        </is>
      </c>
      <c r="AC1256" s="0" t="inlineStr">
        <is>
          <t>강동구</t>
        </is>
      </c>
      <c r="AD1256" s="0" t="inlineStr">
        <is>
          <t>상일동</t>
        </is>
      </c>
      <c r="AG1256" s="0" t="inlineStr">
        <is>
          <t>서울시 강동구 상일로 55</t>
        </is>
      </c>
      <c r="AH1256" s="0" t="n">
        <v>75</v>
      </c>
      <c r="AI1256" s="0" t="n">
        <v>245</v>
      </c>
      <c r="AJ1256" s="0" t="n">
        <v>0</v>
      </c>
      <c r="AK1256" s="0" t="n">
        <v>2400</v>
      </c>
      <c r="AL1256" s="0" t="n">
        <v>1.32</v>
      </c>
    </row>
    <row r="1257">
      <c r="A1257" s="0" t="inlineStr">
        <is>
          <t>[상일동]</t>
        </is>
      </c>
      <c r="B1257" s="0" t="n">
        <v>121977</v>
      </c>
      <c r="C1257" s="0" t="n">
        <v>2</v>
      </c>
      <c r="D1257" s="0" t="inlineStr">
        <is>
          <t>고덕자이</t>
        </is>
      </c>
      <c r="E1257" s="0" t="inlineStr">
        <is>
          <t>2021.01.</t>
        </is>
      </c>
      <c r="F1257" s="0" t="n">
        <v>1824</v>
      </c>
      <c r="G1257" s="0" t="n">
        <v>22.11</v>
      </c>
      <c r="H1257" s="0" t="n">
        <v>73.12</v>
      </c>
      <c r="I1257" s="0" t="n">
        <v>16.02</v>
      </c>
      <c r="J1257" s="0" t="n">
        <v>52.96</v>
      </c>
      <c r="K1257" s="0" t="n">
        <v>52</v>
      </c>
      <c r="T1257" s="0" t="n">
        <v>2</v>
      </c>
      <c r="U1257" s="0" t="n">
        <v>1</v>
      </c>
      <c r="V1257" s="0" t="inlineStr">
        <is>
          <t>계단식</t>
        </is>
      </c>
      <c r="W1257" s="0" t="n">
        <v>73</v>
      </c>
      <c r="X1257" s="0" t="n">
        <v>29</v>
      </c>
      <c r="Y1257" s="0" t="n">
        <v>11</v>
      </c>
      <c r="Z1257" s="0" t="inlineStr">
        <is>
          <t>https://new.land.naver.com/complexes/121977?tab=detail&amp;rf=Y</t>
        </is>
      </c>
      <c r="AA1257" s="0" t="inlineStr">
        <is>
          <t>서울시 강동구 상일동 521</t>
        </is>
      </c>
      <c r="AB1257" s="0" t="inlineStr">
        <is>
          <t>서울시</t>
        </is>
      </c>
      <c r="AC1257" s="0" t="inlineStr">
        <is>
          <t>강동구</t>
        </is>
      </c>
      <c r="AD1257" s="0" t="inlineStr">
        <is>
          <t>상일동</t>
        </is>
      </c>
      <c r="AG1257" s="0" t="inlineStr">
        <is>
          <t>서울시 강동구 상일로 55</t>
        </is>
      </c>
      <c r="AH1257" s="0" t="n">
        <v>75</v>
      </c>
      <c r="AI1257" s="0" t="n">
        <v>245</v>
      </c>
      <c r="AJ1257" s="0" t="n">
        <v>0</v>
      </c>
      <c r="AK1257" s="0" t="n">
        <v>2400</v>
      </c>
      <c r="AL1257" s="0" t="n">
        <v>1.32</v>
      </c>
    </row>
    <row r="1258">
      <c r="A1258" s="0" t="inlineStr">
        <is>
          <t>[상일동]</t>
        </is>
      </c>
      <c r="B1258" s="0" t="n">
        <v>121977</v>
      </c>
      <c r="C1258" s="0" t="n">
        <v>3</v>
      </c>
      <c r="D1258" s="0" t="inlineStr">
        <is>
          <t>고덕자이</t>
        </is>
      </c>
      <c r="E1258" s="0" t="inlineStr">
        <is>
          <t>2021.01.</t>
        </is>
      </c>
      <c r="F1258" s="0" t="n">
        <v>1824</v>
      </c>
      <c r="G1258" s="0" t="n">
        <v>25.19</v>
      </c>
      <c r="H1258" s="0" t="n">
        <v>83.3</v>
      </c>
      <c r="I1258" s="0" t="n">
        <v>18.12</v>
      </c>
      <c r="J1258" s="0" t="n">
        <v>59.93</v>
      </c>
      <c r="K1258" s="0" t="n">
        <v>311</v>
      </c>
      <c r="T1258" s="0" t="n">
        <v>3</v>
      </c>
      <c r="U1258" s="0" t="n">
        <v>2</v>
      </c>
      <c r="V1258" s="0" t="inlineStr">
        <is>
          <t>계단식</t>
        </is>
      </c>
      <c r="W1258" s="0" t="inlineStr">
        <is>
          <t>83A</t>
        </is>
      </c>
      <c r="X1258" s="0" t="n">
        <v>29</v>
      </c>
      <c r="Y1258" s="0" t="n">
        <v>11</v>
      </c>
      <c r="Z1258" s="0" t="inlineStr">
        <is>
          <t>https://new.land.naver.com/complexes/121977?tab=detail&amp;rf=Y</t>
        </is>
      </c>
      <c r="AA1258" s="0" t="inlineStr">
        <is>
          <t>서울시 강동구 상일동 521</t>
        </is>
      </c>
      <c r="AB1258" s="0" t="inlineStr">
        <is>
          <t>서울시</t>
        </is>
      </c>
      <c r="AC1258" s="0" t="inlineStr">
        <is>
          <t>강동구</t>
        </is>
      </c>
      <c r="AD1258" s="0" t="inlineStr">
        <is>
          <t>상일동</t>
        </is>
      </c>
      <c r="AG1258" s="0" t="inlineStr">
        <is>
          <t>서울시 강동구 상일로 55</t>
        </is>
      </c>
      <c r="AH1258" s="0" t="n">
        <v>75</v>
      </c>
      <c r="AI1258" s="0" t="n">
        <v>245</v>
      </c>
      <c r="AJ1258" s="0" t="n">
        <v>0</v>
      </c>
      <c r="AK1258" s="0" t="n">
        <v>2400</v>
      </c>
      <c r="AL1258" s="0" t="n">
        <v>1.32</v>
      </c>
    </row>
    <row r="1259">
      <c r="A1259" s="0" t="inlineStr">
        <is>
          <t>[상일동]</t>
        </is>
      </c>
      <c r="B1259" s="0" t="n">
        <v>121977</v>
      </c>
      <c r="C1259" s="0" t="n">
        <v>4</v>
      </c>
      <c r="D1259" s="0" t="inlineStr">
        <is>
          <t>고덕자이</t>
        </is>
      </c>
      <c r="E1259" s="0" t="inlineStr">
        <is>
          <t>2021.01.</t>
        </is>
      </c>
      <c r="F1259" s="0" t="n">
        <v>1824</v>
      </c>
      <c r="G1259" s="0" t="n">
        <v>25.49</v>
      </c>
      <c r="H1259" s="0" t="n">
        <v>84.28</v>
      </c>
      <c r="I1259" s="0" t="n">
        <v>18.05</v>
      </c>
      <c r="J1259" s="0" t="n">
        <v>59.7</v>
      </c>
      <c r="K1259" s="0" t="n">
        <v>165</v>
      </c>
      <c r="T1259" s="0" t="n">
        <v>3</v>
      </c>
      <c r="U1259" s="0" t="n">
        <v>2</v>
      </c>
      <c r="V1259" s="0" t="inlineStr">
        <is>
          <t>계단식</t>
        </is>
      </c>
      <c r="W1259" s="0" t="inlineStr">
        <is>
          <t>84B</t>
        </is>
      </c>
      <c r="X1259" s="0" t="n">
        <v>29</v>
      </c>
      <c r="Y1259" s="0" t="n">
        <v>11</v>
      </c>
      <c r="Z1259" s="0" t="inlineStr">
        <is>
          <t>https://new.land.naver.com/complexes/121977?tab=detail&amp;rf=Y</t>
        </is>
      </c>
      <c r="AA1259" s="0" t="inlineStr">
        <is>
          <t>서울시 강동구 상일동 521</t>
        </is>
      </c>
      <c r="AB1259" s="0" t="inlineStr">
        <is>
          <t>서울시</t>
        </is>
      </c>
      <c r="AC1259" s="0" t="inlineStr">
        <is>
          <t>강동구</t>
        </is>
      </c>
      <c r="AD1259" s="0" t="inlineStr">
        <is>
          <t>상일동</t>
        </is>
      </c>
      <c r="AG1259" s="0" t="inlineStr">
        <is>
          <t>서울시 강동구 상일로 55</t>
        </is>
      </c>
      <c r="AH1259" s="0" t="n">
        <v>75</v>
      </c>
      <c r="AI1259" s="0" t="n">
        <v>245</v>
      </c>
      <c r="AJ1259" s="0" t="n">
        <v>0</v>
      </c>
      <c r="AK1259" s="0" t="n">
        <v>2400</v>
      </c>
      <c r="AL1259" s="0" t="n">
        <v>1.32</v>
      </c>
    </row>
    <row r="1260">
      <c r="A1260" s="0" t="inlineStr">
        <is>
          <t>[상일동]</t>
        </is>
      </c>
      <c r="B1260" s="0" t="n">
        <v>121977</v>
      </c>
      <c r="C1260" s="0" t="n">
        <v>5</v>
      </c>
      <c r="D1260" s="0" t="inlineStr">
        <is>
          <t>고덕자이</t>
        </is>
      </c>
      <c r="E1260" s="0" t="inlineStr">
        <is>
          <t>2021.01.</t>
        </is>
      </c>
      <c r="F1260" s="0" t="n">
        <v>1824</v>
      </c>
      <c r="G1260" s="0" t="n">
        <v>29.86</v>
      </c>
      <c r="H1260" s="0" t="n">
        <v>98.73</v>
      </c>
      <c r="I1260" s="0" t="n">
        <v>22.63</v>
      </c>
      <c r="J1260" s="0" t="n">
        <v>74.81999999999999</v>
      </c>
      <c r="K1260" s="0" t="n">
        <v>88</v>
      </c>
      <c r="T1260" s="0" t="n">
        <v>3</v>
      </c>
      <c r="U1260" s="0" t="n">
        <v>2</v>
      </c>
      <c r="V1260" s="0" t="inlineStr">
        <is>
          <t>계단식</t>
        </is>
      </c>
      <c r="W1260" s="0" t="inlineStr">
        <is>
          <t>98A</t>
        </is>
      </c>
      <c r="X1260" s="0" t="n">
        <v>29</v>
      </c>
      <c r="Y1260" s="0" t="n">
        <v>11</v>
      </c>
      <c r="Z1260" s="0" t="inlineStr">
        <is>
          <t>https://new.land.naver.com/complexes/121977?tab=detail&amp;rf=Y</t>
        </is>
      </c>
      <c r="AA1260" s="0" t="inlineStr">
        <is>
          <t>서울시 강동구 상일동 521</t>
        </is>
      </c>
      <c r="AB1260" s="0" t="inlineStr">
        <is>
          <t>서울시</t>
        </is>
      </c>
      <c r="AC1260" s="0" t="inlineStr">
        <is>
          <t>강동구</t>
        </is>
      </c>
      <c r="AD1260" s="0" t="inlineStr">
        <is>
          <t>상일동</t>
        </is>
      </c>
      <c r="AG1260" s="0" t="inlineStr">
        <is>
          <t>서울시 강동구 상일로 55</t>
        </is>
      </c>
      <c r="AH1260" s="0" t="n">
        <v>75</v>
      </c>
      <c r="AI1260" s="0" t="n">
        <v>245</v>
      </c>
      <c r="AJ1260" s="0" t="n">
        <v>0</v>
      </c>
      <c r="AK1260" s="0" t="n">
        <v>2400</v>
      </c>
      <c r="AL1260" s="0" t="n">
        <v>1.32</v>
      </c>
    </row>
    <row r="1261">
      <c r="A1261" s="0" t="inlineStr">
        <is>
          <t>[상일동]</t>
        </is>
      </c>
      <c r="B1261" s="0" t="n">
        <v>121977</v>
      </c>
      <c r="C1261" s="0" t="n">
        <v>6</v>
      </c>
      <c r="D1261" s="0" t="inlineStr">
        <is>
          <t>고덕자이</t>
        </is>
      </c>
      <c r="E1261" s="0" t="inlineStr">
        <is>
          <t>2021.01.</t>
        </is>
      </c>
      <c r="F1261" s="0" t="n">
        <v>1824</v>
      </c>
      <c r="G1261" s="0" t="n">
        <v>29.95</v>
      </c>
      <c r="H1261" s="0" t="n">
        <v>99.02</v>
      </c>
      <c r="I1261" s="0" t="n">
        <v>22.47</v>
      </c>
      <c r="J1261" s="0" t="n">
        <v>74.3</v>
      </c>
      <c r="K1261" s="0" t="n">
        <v>96</v>
      </c>
      <c r="T1261" s="0" t="n">
        <v>3</v>
      </c>
      <c r="U1261" s="0" t="n">
        <v>2</v>
      </c>
      <c r="V1261" s="0" t="inlineStr">
        <is>
          <t>계단식</t>
        </is>
      </c>
      <c r="W1261" s="0" t="inlineStr">
        <is>
          <t>99B</t>
        </is>
      </c>
      <c r="X1261" s="0" t="n">
        <v>29</v>
      </c>
      <c r="Y1261" s="0" t="n">
        <v>11</v>
      </c>
      <c r="Z1261" s="0" t="inlineStr">
        <is>
          <t>https://new.land.naver.com/complexes/121977?tab=detail&amp;rf=Y</t>
        </is>
      </c>
      <c r="AA1261" s="0" t="inlineStr">
        <is>
          <t>서울시 강동구 상일동 521</t>
        </is>
      </c>
      <c r="AB1261" s="0" t="inlineStr">
        <is>
          <t>서울시</t>
        </is>
      </c>
      <c r="AC1261" s="0" t="inlineStr">
        <is>
          <t>강동구</t>
        </is>
      </c>
      <c r="AD1261" s="0" t="inlineStr">
        <is>
          <t>상일동</t>
        </is>
      </c>
      <c r="AG1261" s="0" t="inlineStr">
        <is>
          <t>서울시 강동구 상일로 55</t>
        </is>
      </c>
      <c r="AH1261" s="0" t="n">
        <v>75</v>
      </c>
      <c r="AI1261" s="0" t="n">
        <v>245</v>
      </c>
      <c r="AJ1261" s="0" t="n">
        <v>0</v>
      </c>
      <c r="AK1261" s="0" t="n">
        <v>2400</v>
      </c>
      <c r="AL1261" s="0" t="n">
        <v>1.32</v>
      </c>
    </row>
    <row r="1262">
      <c r="A1262" s="0" t="inlineStr">
        <is>
          <t>[상일동]</t>
        </is>
      </c>
      <c r="B1262" s="0" t="n">
        <v>121977</v>
      </c>
      <c r="C1262" s="0" t="n">
        <v>7</v>
      </c>
      <c r="D1262" s="0" t="inlineStr">
        <is>
          <t>고덕자이</t>
        </is>
      </c>
      <c r="E1262" s="0" t="inlineStr">
        <is>
          <t>2021.01.</t>
        </is>
      </c>
      <c r="F1262" s="0" t="n">
        <v>1824</v>
      </c>
      <c r="G1262" s="0" t="n">
        <v>33.25</v>
      </c>
      <c r="H1262" s="0" t="n">
        <v>109.92</v>
      </c>
      <c r="I1262" s="0" t="n">
        <v>25.7</v>
      </c>
      <c r="J1262" s="0" t="n">
        <v>84.97</v>
      </c>
      <c r="K1262" s="0" t="n">
        <v>384</v>
      </c>
      <c r="T1262" s="0" t="n">
        <v>4</v>
      </c>
      <c r="U1262" s="0" t="n">
        <v>2</v>
      </c>
      <c r="V1262" s="0" t="inlineStr">
        <is>
          <t>계단식</t>
        </is>
      </c>
      <c r="W1262" s="0" t="inlineStr">
        <is>
          <t>109A</t>
        </is>
      </c>
      <c r="X1262" s="0" t="n">
        <v>29</v>
      </c>
      <c r="Y1262" s="0" t="n">
        <v>11</v>
      </c>
      <c r="Z1262" s="0" t="inlineStr">
        <is>
          <t>https://new.land.naver.com/complexes/121977?tab=detail&amp;rf=Y</t>
        </is>
      </c>
      <c r="AA1262" s="0" t="inlineStr">
        <is>
          <t>서울시 강동구 상일동 521</t>
        </is>
      </c>
      <c r="AB1262" s="0" t="inlineStr">
        <is>
          <t>서울시</t>
        </is>
      </c>
      <c r="AC1262" s="0" t="inlineStr">
        <is>
          <t>강동구</t>
        </is>
      </c>
      <c r="AD1262" s="0" t="inlineStr">
        <is>
          <t>상일동</t>
        </is>
      </c>
      <c r="AG1262" s="0" t="inlineStr">
        <is>
          <t>서울시 강동구 상일로 55</t>
        </is>
      </c>
      <c r="AH1262" s="0" t="n">
        <v>75</v>
      </c>
      <c r="AI1262" s="0" t="n">
        <v>245</v>
      </c>
      <c r="AJ1262" s="0" t="n">
        <v>0</v>
      </c>
      <c r="AK1262" s="0" t="n">
        <v>2400</v>
      </c>
      <c r="AL1262" s="0" t="n">
        <v>1.32</v>
      </c>
    </row>
    <row r="1263">
      <c r="A1263" s="0" t="inlineStr">
        <is>
          <t>[상일동]</t>
        </is>
      </c>
      <c r="B1263" s="0" t="n">
        <v>121977</v>
      </c>
      <c r="C1263" s="0" t="n">
        <v>8</v>
      </c>
      <c r="D1263" s="0" t="inlineStr">
        <is>
          <t>고덕자이</t>
        </is>
      </c>
      <c r="E1263" s="0" t="inlineStr">
        <is>
          <t>2021.01.</t>
        </is>
      </c>
      <c r="F1263" s="0" t="n">
        <v>1824</v>
      </c>
      <c r="G1263" s="0" t="n">
        <v>33.4</v>
      </c>
      <c r="H1263" s="0" t="n">
        <v>110.43</v>
      </c>
      <c r="I1263" s="0" t="n">
        <v>25.54</v>
      </c>
      <c r="J1263" s="0" t="n">
        <v>84.44</v>
      </c>
      <c r="K1263" s="0" t="n">
        <v>424</v>
      </c>
      <c r="T1263" s="0" t="n">
        <v>3</v>
      </c>
      <c r="U1263" s="0" t="n">
        <v>2</v>
      </c>
      <c r="V1263" s="0" t="inlineStr">
        <is>
          <t>계단식</t>
        </is>
      </c>
      <c r="W1263" s="0" t="inlineStr">
        <is>
          <t>110B</t>
        </is>
      </c>
      <c r="X1263" s="0" t="n">
        <v>29</v>
      </c>
      <c r="Y1263" s="0" t="n">
        <v>11</v>
      </c>
      <c r="Z1263" s="0" t="inlineStr">
        <is>
          <t>https://new.land.naver.com/complexes/121977?tab=detail&amp;rf=Y</t>
        </is>
      </c>
      <c r="AA1263" s="0" t="inlineStr">
        <is>
          <t>서울시 강동구 상일동 521</t>
        </is>
      </c>
      <c r="AB1263" s="0" t="inlineStr">
        <is>
          <t>서울시</t>
        </is>
      </c>
      <c r="AC1263" s="0" t="inlineStr">
        <is>
          <t>강동구</t>
        </is>
      </c>
      <c r="AD1263" s="0" t="inlineStr">
        <is>
          <t>상일동</t>
        </is>
      </c>
      <c r="AG1263" s="0" t="inlineStr">
        <is>
          <t>서울시 강동구 상일로 55</t>
        </is>
      </c>
      <c r="AH1263" s="0" t="n">
        <v>75</v>
      </c>
      <c r="AI1263" s="0" t="n">
        <v>245</v>
      </c>
      <c r="AJ1263" s="0" t="n">
        <v>0</v>
      </c>
      <c r="AK1263" s="0" t="n">
        <v>2400</v>
      </c>
      <c r="AL1263" s="0" t="n">
        <v>1.32</v>
      </c>
    </row>
    <row r="1264">
      <c r="A1264" s="0" t="inlineStr">
        <is>
          <t>[상일동]</t>
        </is>
      </c>
      <c r="B1264" s="0" t="n">
        <v>121977</v>
      </c>
      <c r="C1264" s="0" t="n">
        <v>9</v>
      </c>
      <c r="D1264" s="0" t="inlineStr">
        <is>
          <t>고덕자이</t>
        </is>
      </c>
      <c r="E1264" s="0" t="inlineStr">
        <is>
          <t>2021.01.</t>
        </is>
      </c>
      <c r="F1264" s="0" t="n">
        <v>1824</v>
      </c>
      <c r="G1264" s="0" t="n">
        <v>33.27</v>
      </c>
      <c r="H1264" s="0" t="n">
        <v>110</v>
      </c>
      <c r="I1264" s="0" t="n">
        <v>25.63</v>
      </c>
      <c r="J1264" s="0" t="n">
        <v>84.73</v>
      </c>
      <c r="K1264" s="0" t="n">
        <v>138</v>
      </c>
      <c r="T1264" s="0" t="n">
        <v>4</v>
      </c>
      <c r="U1264" s="0" t="n">
        <v>2</v>
      </c>
      <c r="V1264" s="0" t="inlineStr">
        <is>
          <t>계단식</t>
        </is>
      </c>
      <c r="W1264" s="0" t="inlineStr">
        <is>
          <t>110C</t>
        </is>
      </c>
      <c r="X1264" s="0" t="n">
        <v>29</v>
      </c>
      <c r="Y1264" s="0" t="n">
        <v>11</v>
      </c>
      <c r="Z1264" s="0" t="inlineStr">
        <is>
          <t>https://new.land.naver.com/complexes/121977?tab=detail&amp;rf=Y</t>
        </is>
      </c>
      <c r="AA1264" s="0" t="inlineStr">
        <is>
          <t>서울시 강동구 상일동 521</t>
        </is>
      </c>
      <c r="AB1264" s="0" t="inlineStr">
        <is>
          <t>서울시</t>
        </is>
      </c>
      <c r="AC1264" s="0" t="inlineStr">
        <is>
          <t>강동구</t>
        </is>
      </c>
      <c r="AD1264" s="0" t="inlineStr">
        <is>
          <t>상일동</t>
        </is>
      </c>
      <c r="AG1264" s="0" t="inlineStr">
        <is>
          <t>서울시 강동구 상일로 55</t>
        </is>
      </c>
      <c r="AH1264" s="0" t="n">
        <v>75</v>
      </c>
      <c r="AI1264" s="0" t="n">
        <v>245</v>
      </c>
      <c r="AJ1264" s="0" t="n">
        <v>0</v>
      </c>
      <c r="AK1264" s="0" t="n">
        <v>2400</v>
      </c>
      <c r="AL1264" s="0" t="n">
        <v>1.32</v>
      </c>
    </row>
    <row r="1265">
      <c r="A1265" s="0" t="inlineStr">
        <is>
          <t>[상일동]</t>
        </is>
      </c>
      <c r="B1265" s="0" t="n">
        <v>121977</v>
      </c>
      <c r="C1265" s="0" t="n">
        <v>10</v>
      </c>
      <c r="D1265" s="0" t="inlineStr">
        <is>
          <t>고덕자이</t>
        </is>
      </c>
      <c r="E1265" s="0" t="inlineStr">
        <is>
          <t>2021.01.</t>
        </is>
      </c>
      <c r="F1265" s="0" t="n">
        <v>1824</v>
      </c>
      <c r="G1265" s="0" t="n">
        <v>38.44</v>
      </c>
      <c r="H1265" s="0" t="n">
        <v>127.09</v>
      </c>
      <c r="I1265" s="0" t="n">
        <v>30.56</v>
      </c>
      <c r="J1265" s="0" t="n">
        <v>101.04</v>
      </c>
      <c r="K1265" s="0" t="n">
        <v>56</v>
      </c>
      <c r="T1265" s="0" t="n">
        <v>4</v>
      </c>
      <c r="U1265" s="0" t="n">
        <v>2</v>
      </c>
      <c r="V1265" s="0" t="inlineStr">
        <is>
          <t>계단식</t>
        </is>
      </c>
      <c r="W1265" s="0" t="inlineStr">
        <is>
          <t>127A</t>
        </is>
      </c>
      <c r="X1265" s="0" t="n">
        <v>29</v>
      </c>
      <c r="Y1265" s="0" t="n">
        <v>11</v>
      </c>
      <c r="Z1265" s="0" t="inlineStr">
        <is>
          <t>https://new.land.naver.com/complexes/121977?tab=detail&amp;rf=Y</t>
        </is>
      </c>
      <c r="AA1265" s="0" t="inlineStr">
        <is>
          <t>서울시 강동구 상일동 521</t>
        </is>
      </c>
      <c r="AB1265" s="0" t="inlineStr">
        <is>
          <t>서울시</t>
        </is>
      </c>
      <c r="AC1265" s="0" t="inlineStr">
        <is>
          <t>강동구</t>
        </is>
      </c>
      <c r="AD1265" s="0" t="inlineStr">
        <is>
          <t>상일동</t>
        </is>
      </c>
      <c r="AG1265" s="0" t="inlineStr">
        <is>
          <t>서울시 강동구 상일로 55</t>
        </is>
      </c>
      <c r="AH1265" s="0" t="n">
        <v>75</v>
      </c>
      <c r="AI1265" s="0" t="n">
        <v>245</v>
      </c>
      <c r="AJ1265" s="0" t="n">
        <v>0</v>
      </c>
      <c r="AK1265" s="0" t="n">
        <v>2400</v>
      </c>
      <c r="AL1265" s="0" t="n">
        <v>1.32</v>
      </c>
    </row>
    <row r="1266">
      <c r="A1266" s="0" t="inlineStr">
        <is>
          <t>[상일동]</t>
        </is>
      </c>
      <c r="B1266" s="0" t="n">
        <v>121977</v>
      </c>
      <c r="C1266" s="0" t="n">
        <v>11</v>
      </c>
      <c r="D1266" s="0" t="inlineStr">
        <is>
          <t>고덕자이</t>
        </is>
      </c>
      <c r="E1266" s="0" t="inlineStr">
        <is>
          <t>2021.01.</t>
        </is>
      </c>
      <c r="F1266" s="0" t="n">
        <v>1824</v>
      </c>
      <c r="G1266" s="0" t="n">
        <v>38.8</v>
      </c>
      <c r="H1266" s="0" t="n">
        <v>128.29</v>
      </c>
      <c r="I1266" s="0" t="n">
        <v>30.85</v>
      </c>
      <c r="J1266" s="0" t="n">
        <v>101.99</v>
      </c>
      <c r="K1266" s="0" t="n">
        <v>28</v>
      </c>
      <c r="T1266" s="0" t="n">
        <v>4</v>
      </c>
      <c r="U1266" s="0" t="n">
        <v>2</v>
      </c>
      <c r="V1266" s="0" t="inlineStr">
        <is>
          <t>계단식</t>
        </is>
      </c>
      <c r="W1266" s="0" t="inlineStr">
        <is>
          <t>128B</t>
        </is>
      </c>
      <c r="X1266" s="0" t="n">
        <v>29</v>
      </c>
      <c r="Y1266" s="0" t="n">
        <v>11</v>
      </c>
      <c r="Z1266" s="0" t="inlineStr">
        <is>
          <t>https://new.land.naver.com/complexes/121977?tab=detail&amp;rf=Y</t>
        </is>
      </c>
      <c r="AA1266" s="0" t="inlineStr">
        <is>
          <t>서울시 강동구 상일동 521</t>
        </is>
      </c>
      <c r="AB1266" s="0" t="inlineStr">
        <is>
          <t>서울시</t>
        </is>
      </c>
      <c r="AC1266" s="0" t="inlineStr">
        <is>
          <t>강동구</t>
        </is>
      </c>
      <c r="AD1266" s="0" t="inlineStr">
        <is>
          <t>상일동</t>
        </is>
      </c>
      <c r="AG1266" s="0" t="inlineStr">
        <is>
          <t>서울시 강동구 상일로 55</t>
        </is>
      </c>
      <c r="AH1266" s="0" t="n">
        <v>75</v>
      </c>
      <c r="AI1266" s="0" t="n">
        <v>245</v>
      </c>
      <c r="AJ1266" s="0" t="n">
        <v>0</v>
      </c>
      <c r="AK1266" s="0" t="n">
        <v>2400</v>
      </c>
      <c r="AL1266" s="0" t="n">
        <v>1.32</v>
      </c>
    </row>
    <row r="1267">
      <c r="A1267" s="0" t="inlineStr">
        <is>
          <t>[상일동]</t>
        </is>
      </c>
      <c r="B1267" s="0" t="n">
        <v>121977</v>
      </c>
      <c r="C1267" s="0" t="n">
        <v>12</v>
      </c>
      <c r="D1267" s="0" t="inlineStr">
        <is>
          <t>고덕자이</t>
        </is>
      </c>
      <c r="E1267" s="0" t="inlineStr">
        <is>
          <t>2021.01.</t>
        </is>
      </c>
      <c r="F1267" s="0" t="n">
        <v>1824</v>
      </c>
      <c r="G1267" s="0" t="n">
        <v>44.31</v>
      </c>
      <c r="H1267" s="0" t="n">
        <v>146.48</v>
      </c>
      <c r="I1267" s="0" t="n">
        <v>35.82</v>
      </c>
      <c r="J1267" s="0" t="n">
        <v>118.44</v>
      </c>
      <c r="K1267" s="0" t="n">
        <v>30</v>
      </c>
      <c r="T1267" s="0" t="n">
        <v>4</v>
      </c>
      <c r="U1267" s="0" t="n">
        <v>2</v>
      </c>
      <c r="V1267" s="0" t="inlineStr">
        <is>
          <t>계단식</t>
        </is>
      </c>
      <c r="W1267" s="0" t="n">
        <v>146</v>
      </c>
      <c r="X1267" s="0" t="n">
        <v>29</v>
      </c>
      <c r="Y1267" s="0" t="n">
        <v>11</v>
      </c>
      <c r="Z1267" s="0" t="inlineStr">
        <is>
          <t>https://new.land.naver.com/complexes/121977?tab=detail&amp;rf=Y</t>
        </is>
      </c>
      <c r="AA1267" s="0" t="inlineStr">
        <is>
          <t>서울시 강동구 상일동 521</t>
        </is>
      </c>
      <c r="AB1267" s="0" t="inlineStr">
        <is>
          <t>서울시</t>
        </is>
      </c>
      <c r="AC1267" s="0" t="inlineStr">
        <is>
          <t>강동구</t>
        </is>
      </c>
      <c r="AD1267" s="0" t="inlineStr">
        <is>
          <t>상일동</t>
        </is>
      </c>
      <c r="AG1267" s="0" t="inlineStr">
        <is>
          <t>서울시 강동구 상일로 55</t>
        </is>
      </c>
      <c r="AH1267" s="0" t="n">
        <v>75</v>
      </c>
      <c r="AI1267" s="0" t="n">
        <v>245</v>
      </c>
      <c r="AJ1267" s="0" t="n">
        <v>0</v>
      </c>
      <c r="AK1267" s="0" t="n">
        <v>2400</v>
      </c>
      <c r="AL1267" s="0" t="n">
        <v>1.32</v>
      </c>
    </row>
    <row r="1268">
      <c r="A1268" s="0" t="inlineStr">
        <is>
          <t>[상일동]</t>
        </is>
      </c>
      <c r="B1268" s="0" t="n">
        <v>27168</v>
      </c>
      <c r="C1268" s="0" t="n">
        <v>1</v>
      </c>
      <c r="D1268" s="0" t="inlineStr">
        <is>
          <t>예인</t>
        </is>
      </c>
      <c r="E1268" s="0" t="inlineStr">
        <is>
          <t>2007.11.</t>
        </is>
      </c>
      <c r="F1268" s="0" t="n">
        <v>7</v>
      </c>
      <c r="G1268" s="0" t="n">
        <v>18.36</v>
      </c>
      <c r="H1268" s="0" t="n">
        <v>60.72</v>
      </c>
      <c r="I1268" s="0" t="n">
        <v>16.19</v>
      </c>
      <c r="J1268" s="0" t="n">
        <v>53.55</v>
      </c>
      <c r="K1268" s="0" t="n">
        <v>7</v>
      </c>
      <c r="T1268" s="0" t="n">
        <v>3</v>
      </c>
      <c r="U1268" s="0" t="n">
        <v>1</v>
      </c>
      <c r="V1268" s="0" t="inlineStr">
        <is>
          <t>계단식</t>
        </is>
      </c>
      <c r="W1268" s="0" t="n">
        <v>60</v>
      </c>
      <c r="X1268" s="0" t="n">
        <v>5</v>
      </c>
      <c r="Y1268" s="0" t="n">
        <v>4</v>
      </c>
      <c r="Z1268" s="0" t="inlineStr">
        <is>
          <t>https://new.land.naver.com/complexes/27168?tab=detail&amp;rf=Y</t>
        </is>
      </c>
      <c r="AA1268" s="0" t="inlineStr">
        <is>
          <t>서울시 강동구 상일동 333-2</t>
        </is>
      </c>
      <c r="AB1268" s="0" t="inlineStr">
        <is>
          <t>서울시</t>
        </is>
      </c>
      <c r="AC1268" s="0" t="inlineStr">
        <is>
          <t>강동구</t>
        </is>
      </c>
      <c r="AD1268" s="0" t="inlineStr">
        <is>
          <t>상일동</t>
        </is>
      </c>
      <c r="AG1268" s="0" t="inlineStr">
        <is>
          <t>서울시 강동구 상암로79가길 10</t>
        </is>
      </c>
      <c r="AH1268" s="0" t="n">
        <v>0</v>
      </c>
      <c r="AI1268" s="0" t="n">
        <v>192</v>
      </c>
      <c r="AJ1268" s="0" t="n">
        <v>59</v>
      </c>
      <c r="AK1268" s="0" t="n">
        <v>7</v>
      </c>
      <c r="AL1268" s="0" t="n">
        <v>1</v>
      </c>
    </row>
    <row r="1269">
      <c r="A1269" s="0" t="inlineStr">
        <is>
          <t>[상일동]</t>
        </is>
      </c>
      <c r="B1269" s="0" t="n">
        <v>118210</v>
      </c>
      <c r="C1269" s="0" t="n">
        <v>1</v>
      </c>
      <c r="D1269" s="0" t="inlineStr">
        <is>
          <t>고덕센트럴아이파크</t>
        </is>
      </c>
      <c r="E1269" s="0" t="inlineStr">
        <is>
          <t>2019.12.</t>
        </is>
      </c>
      <c r="F1269" s="0" t="n">
        <v>1745</v>
      </c>
      <c r="G1269" s="0" t="n">
        <v>24.88</v>
      </c>
      <c r="H1269" s="0" t="n">
        <v>82.26000000000001</v>
      </c>
      <c r="I1269" s="0" t="n">
        <v>18.14</v>
      </c>
      <c r="J1269" s="0" t="n">
        <v>59.97</v>
      </c>
      <c r="K1269" s="0" t="n">
        <v>361</v>
      </c>
      <c r="T1269" s="0" t="n">
        <v>3</v>
      </c>
      <c r="U1269" s="0" t="n">
        <v>2</v>
      </c>
      <c r="V1269" s="0" t="inlineStr">
        <is>
          <t>계단식</t>
        </is>
      </c>
      <c r="W1269" s="0" t="inlineStr">
        <is>
          <t>82A</t>
        </is>
      </c>
      <c r="X1269" s="0" t="n">
        <v>29</v>
      </c>
      <c r="Y1269" s="0" t="n">
        <v>11</v>
      </c>
      <c r="Z1269" s="0" t="inlineStr">
        <is>
          <t>https://new.land.naver.com/complexes/118210?tab=detail&amp;rf=Y</t>
        </is>
      </c>
      <c r="AA1269" s="0" t="inlineStr">
        <is>
          <t>서울시 강동구 상일동 513</t>
        </is>
      </c>
      <c r="AB1269" s="0" t="inlineStr">
        <is>
          <t>서울시</t>
        </is>
      </c>
      <c r="AC1269" s="0" t="inlineStr">
        <is>
          <t>강동구</t>
        </is>
      </c>
      <c r="AD1269" s="0" t="inlineStr">
        <is>
          <t>상일동</t>
        </is>
      </c>
      <c r="AG1269" s="0" t="inlineStr">
        <is>
          <t>서울시 강동구 고덕로80길 99</t>
        </is>
      </c>
      <c r="AH1269" s="0" t="n">
        <v>96</v>
      </c>
      <c r="AI1269" s="0" t="n">
        <v>249</v>
      </c>
      <c r="AJ1269" s="0" t="n">
        <v>19</v>
      </c>
      <c r="AK1269" s="0" t="n">
        <v>2558</v>
      </c>
      <c r="AL1269" s="0" t="n">
        <v>1.47</v>
      </c>
    </row>
    <row r="1270">
      <c r="A1270" s="0" t="inlineStr">
        <is>
          <t>[상일동]</t>
        </is>
      </c>
      <c r="B1270" s="0" t="n">
        <v>118210</v>
      </c>
      <c r="C1270" s="0" t="n">
        <v>2</v>
      </c>
      <c r="D1270" s="0" t="inlineStr">
        <is>
          <t>고덕센트럴아이파크</t>
        </is>
      </c>
      <c r="E1270" s="0" t="inlineStr">
        <is>
          <t>2019.12.</t>
        </is>
      </c>
      <c r="F1270" s="0" t="n">
        <v>1745</v>
      </c>
      <c r="G1270" s="0" t="n">
        <v>25.01</v>
      </c>
      <c r="H1270" s="0" t="n">
        <v>82.7</v>
      </c>
      <c r="I1270" s="0" t="n">
        <v>18.14</v>
      </c>
      <c r="J1270" s="0" t="n">
        <v>59.99</v>
      </c>
      <c r="K1270" s="0" t="n">
        <v>146</v>
      </c>
      <c r="T1270" s="0" t="n">
        <v>3</v>
      </c>
      <c r="U1270" s="0" t="n">
        <v>2</v>
      </c>
      <c r="V1270" s="0" t="inlineStr">
        <is>
          <t>계단식</t>
        </is>
      </c>
      <c r="W1270" s="0" t="inlineStr">
        <is>
          <t>82C</t>
        </is>
      </c>
      <c r="X1270" s="0" t="n">
        <v>29</v>
      </c>
      <c r="Y1270" s="0" t="n">
        <v>11</v>
      </c>
      <c r="Z1270" s="0" t="inlineStr">
        <is>
          <t>https://new.land.naver.com/complexes/118210?tab=detail&amp;rf=Y</t>
        </is>
      </c>
      <c r="AA1270" s="0" t="inlineStr">
        <is>
          <t>서울시 강동구 상일동 513</t>
        </is>
      </c>
      <c r="AB1270" s="0" t="inlineStr">
        <is>
          <t>서울시</t>
        </is>
      </c>
      <c r="AC1270" s="0" t="inlineStr">
        <is>
          <t>강동구</t>
        </is>
      </c>
      <c r="AD1270" s="0" t="inlineStr">
        <is>
          <t>상일동</t>
        </is>
      </c>
      <c r="AG1270" s="0" t="inlineStr">
        <is>
          <t>서울시 강동구 고덕로80길 99</t>
        </is>
      </c>
      <c r="AH1270" s="0" t="n">
        <v>96</v>
      </c>
      <c r="AI1270" s="0" t="n">
        <v>249</v>
      </c>
      <c r="AJ1270" s="0" t="n">
        <v>19</v>
      </c>
      <c r="AK1270" s="0" t="n">
        <v>2558</v>
      </c>
      <c r="AL1270" s="0" t="n">
        <v>1.47</v>
      </c>
    </row>
    <row r="1271">
      <c r="A1271" s="0" t="inlineStr">
        <is>
          <t>[상일동]</t>
        </is>
      </c>
      <c r="B1271" s="0" t="n">
        <v>118210</v>
      </c>
      <c r="C1271" s="0" t="n">
        <v>3</v>
      </c>
      <c r="D1271" s="0" t="inlineStr">
        <is>
          <t>고덕센트럴아이파크</t>
        </is>
      </c>
      <c r="E1271" s="0" t="inlineStr">
        <is>
          <t>2019.12.</t>
        </is>
      </c>
      <c r="F1271" s="0" t="n">
        <v>1745</v>
      </c>
      <c r="G1271" s="0" t="n">
        <v>24.93</v>
      </c>
      <c r="H1271" s="0" t="n">
        <v>82.42</v>
      </c>
      <c r="I1271" s="0" t="n">
        <v>18.12</v>
      </c>
      <c r="J1271" s="0" t="n">
        <v>59.91</v>
      </c>
      <c r="K1271" s="0" t="n">
        <v>35</v>
      </c>
      <c r="T1271" s="0" t="n">
        <v>3</v>
      </c>
      <c r="U1271" s="0" t="n">
        <v>2</v>
      </c>
      <c r="V1271" s="0" t="inlineStr">
        <is>
          <t>계단식</t>
        </is>
      </c>
      <c r="W1271" s="0" t="inlineStr">
        <is>
          <t>82B</t>
        </is>
      </c>
      <c r="X1271" s="0" t="n">
        <v>29</v>
      </c>
      <c r="Y1271" s="0" t="n">
        <v>11</v>
      </c>
      <c r="Z1271" s="0" t="inlineStr">
        <is>
          <t>https://new.land.naver.com/complexes/118210?tab=detail&amp;rf=Y</t>
        </is>
      </c>
      <c r="AA1271" s="0" t="inlineStr">
        <is>
          <t>서울시 강동구 상일동 513</t>
        </is>
      </c>
      <c r="AB1271" s="0" t="inlineStr">
        <is>
          <t>서울시</t>
        </is>
      </c>
      <c r="AC1271" s="0" t="inlineStr">
        <is>
          <t>강동구</t>
        </is>
      </c>
      <c r="AD1271" s="0" t="inlineStr">
        <is>
          <t>상일동</t>
        </is>
      </c>
      <c r="AG1271" s="0" t="inlineStr">
        <is>
          <t>서울시 강동구 고덕로80길 99</t>
        </is>
      </c>
      <c r="AH1271" s="0" t="n">
        <v>96</v>
      </c>
      <c r="AI1271" s="0" t="n">
        <v>249</v>
      </c>
      <c r="AJ1271" s="0" t="n">
        <v>19</v>
      </c>
      <c r="AK1271" s="0" t="n">
        <v>2558</v>
      </c>
      <c r="AL1271" s="0" t="n">
        <v>1.47</v>
      </c>
    </row>
    <row r="1272">
      <c r="A1272" s="0" t="inlineStr">
        <is>
          <t>[상일동]</t>
        </is>
      </c>
      <c r="B1272" s="0" t="n">
        <v>118210</v>
      </c>
      <c r="C1272" s="0" t="n">
        <v>4</v>
      </c>
      <c r="D1272" s="0" t="inlineStr">
        <is>
          <t>고덕센트럴아이파크</t>
        </is>
      </c>
      <c r="E1272" s="0" t="inlineStr">
        <is>
          <t>2019.12.</t>
        </is>
      </c>
      <c r="F1272" s="0" t="n">
        <v>1745</v>
      </c>
      <c r="G1272" s="0" t="n">
        <v>30.93</v>
      </c>
      <c r="H1272" s="0" t="n">
        <v>102.27</v>
      </c>
      <c r="I1272" s="0" t="n">
        <v>22.65</v>
      </c>
      <c r="J1272" s="0" t="n">
        <v>74.88</v>
      </c>
      <c r="K1272" s="0" t="n">
        <v>154</v>
      </c>
      <c r="T1272" s="0" t="n">
        <v>3</v>
      </c>
      <c r="U1272" s="0" t="n">
        <v>2</v>
      </c>
      <c r="V1272" s="0" t="inlineStr">
        <is>
          <t>계단식</t>
        </is>
      </c>
      <c r="W1272" s="0" t="inlineStr">
        <is>
          <t>102A</t>
        </is>
      </c>
      <c r="X1272" s="0" t="n">
        <v>29</v>
      </c>
      <c r="Y1272" s="0" t="n">
        <v>11</v>
      </c>
      <c r="Z1272" s="0" t="inlineStr">
        <is>
          <t>https://new.land.naver.com/complexes/118210?tab=detail&amp;rf=Y</t>
        </is>
      </c>
      <c r="AA1272" s="0" t="inlineStr">
        <is>
          <t>서울시 강동구 상일동 513</t>
        </is>
      </c>
      <c r="AB1272" s="0" t="inlineStr">
        <is>
          <t>서울시</t>
        </is>
      </c>
      <c r="AC1272" s="0" t="inlineStr">
        <is>
          <t>강동구</t>
        </is>
      </c>
      <c r="AD1272" s="0" t="inlineStr">
        <is>
          <t>상일동</t>
        </is>
      </c>
      <c r="AG1272" s="0" t="inlineStr">
        <is>
          <t>서울시 강동구 고덕로80길 99</t>
        </is>
      </c>
      <c r="AH1272" s="0" t="n">
        <v>96</v>
      </c>
      <c r="AI1272" s="0" t="n">
        <v>249</v>
      </c>
      <c r="AJ1272" s="0" t="n">
        <v>19</v>
      </c>
      <c r="AK1272" s="0" t="n">
        <v>2558</v>
      </c>
      <c r="AL1272" s="0" t="n">
        <v>1.47</v>
      </c>
    </row>
    <row r="1273">
      <c r="A1273" s="0" t="inlineStr">
        <is>
          <t>[상일동]</t>
        </is>
      </c>
      <c r="B1273" s="0" t="n">
        <v>118210</v>
      </c>
      <c r="C1273" s="0" t="n">
        <v>5</v>
      </c>
      <c r="D1273" s="0" t="inlineStr">
        <is>
          <t>고덕센트럴아이파크</t>
        </is>
      </c>
      <c r="E1273" s="0" t="inlineStr">
        <is>
          <t>2019.12.</t>
        </is>
      </c>
      <c r="F1273" s="0" t="n">
        <v>1745</v>
      </c>
      <c r="G1273" s="0" t="n">
        <v>31.04</v>
      </c>
      <c r="H1273" s="0" t="n">
        <v>102.64</v>
      </c>
      <c r="I1273" s="0" t="n">
        <v>22.68</v>
      </c>
      <c r="J1273" s="0" t="n">
        <v>74.98999999999999</v>
      </c>
      <c r="K1273" s="0" t="n">
        <v>65</v>
      </c>
      <c r="T1273" s="0" t="n">
        <v>3</v>
      </c>
      <c r="U1273" s="0" t="n">
        <v>2</v>
      </c>
      <c r="V1273" s="0" t="inlineStr">
        <is>
          <t>계단식</t>
        </is>
      </c>
      <c r="W1273" s="0" t="inlineStr">
        <is>
          <t>102B</t>
        </is>
      </c>
      <c r="X1273" s="0" t="n">
        <v>29</v>
      </c>
      <c r="Y1273" s="0" t="n">
        <v>11</v>
      </c>
      <c r="Z1273" s="0" t="inlineStr">
        <is>
          <t>https://new.land.naver.com/complexes/118210?tab=detail&amp;rf=Y</t>
        </is>
      </c>
      <c r="AA1273" s="0" t="inlineStr">
        <is>
          <t>서울시 강동구 상일동 513</t>
        </is>
      </c>
      <c r="AB1273" s="0" t="inlineStr">
        <is>
          <t>서울시</t>
        </is>
      </c>
      <c r="AC1273" s="0" t="inlineStr">
        <is>
          <t>강동구</t>
        </is>
      </c>
      <c r="AD1273" s="0" t="inlineStr">
        <is>
          <t>상일동</t>
        </is>
      </c>
      <c r="AG1273" s="0" t="inlineStr">
        <is>
          <t>서울시 강동구 고덕로80길 99</t>
        </is>
      </c>
      <c r="AH1273" s="0" t="n">
        <v>96</v>
      </c>
      <c r="AI1273" s="0" t="n">
        <v>249</v>
      </c>
      <c r="AJ1273" s="0" t="n">
        <v>19</v>
      </c>
      <c r="AK1273" s="0" t="n">
        <v>2558</v>
      </c>
      <c r="AL1273" s="0" t="n">
        <v>1.47</v>
      </c>
    </row>
    <row r="1274">
      <c r="A1274" s="0" t="inlineStr">
        <is>
          <t>[상일동]</t>
        </is>
      </c>
      <c r="B1274" s="0" t="n">
        <v>118210</v>
      </c>
      <c r="C1274" s="0" t="n">
        <v>6</v>
      </c>
      <c r="D1274" s="0" t="inlineStr">
        <is>
          <t>고덕센트럴아이파크</t>
        </is>
      </c>
      <c r="E1274" s="0" t="inlineStr">
        <is>
          <t>2019.12.</t>
        </is>
      </c>
      <c r="F1274" s="0" t="n">
        <v>1745</v>
      </c>
      <c r="G1274" s="0" t="n">
        <v>34.89</v>
      </c>
      <c r="H1274" s="0" t="n">
        <v>115.36</v>
      </c>
      <c r="I1274" s="0" t="n">
        <v>25.68</v>
      </c>
      <c r="J1274" s="0" t="n">
        <v>84.91</v>
      </c>
      <c r="K1274" s="0" t="n">
        <v>535</v>
      </c>
      <c r="T1274" s="0" t="n">
        <v>3</v>
      </c>
      <c r="U1274" s="0" t="n">
        <v>2</v>
      </c>
      <c r="V1274" s="0" t="inlineStr">
        <is>
          <t>계단식</t>
        </is>
      </c>
      <c r="W1274" s="0" t="inlineStr">
        <is>
          <t>115A</t>
        </is>
      </c>
      <c r="X1274" s="0" t="n">
        <v>29</v>
      </c>
      <c r="Y1274" s="0" t="n">
        <v>11</v>
      </c>
      <c r="Z1274" s="0" t="inlineStr">
        <is>
          <t>https://new.land.naver.com/complexes/118210?tab=detail&amp;rf=Y</t>
        </is>
      </c>
      <c r="AA1274" s="0" t="inlineStr">
        <is>
          <t>서울시 강동구 상일동 513</t>
        </is>
      </c>
      <c r="AB1274" s="0" t="inlineStr">
        <is>
          <t>서울시</t>
        </is>
      </c>
      <c r="AC1274" s="0" t="inlineStr">
        <is>
          <t>강동구</t>
        </is>
      </c>
      <c r="AD1274" s="0" t="inlineStr">
        <is>
          <t>상일동</t>
        </is>
      </c>
      <c r="AG1274" s="0" t="inlineStr">
        <is>
          <t>서울시 강동구 고덕로80길 99</t>
        </is>
      </c>
      <c r="AH1274" s="0" t="n">
        <v>96</v>
      </c>
      <c r="AI1274" s="0" t="n">
        <v>249</v>
      </c>
      <c r="AJ1274" s="0" t="n">
        <v>19</v>
      </c>
      <c r="AK1274" s="0" t="n">
        <v>2558</v>
      </c>
      <c r="AL1274" s="0" t="n">
        <v>1.47</v>
      </c>
    </row>
    <row r="1275">
      <c r="A1275" s="0" t="inlineStr">
        <is>
          <t>[상일동]</t>
        </is>
      </c>
      <c r="B1275" s="0" t="n">
        <v>118210</v>
      </c>
      <c r="C1275" s="0" t="n">
        <v>7</v>
      </c>
      <c r="D1275" s="0" t="inlineStr">
        <is>
          <t>고덕센트럴아이파크</t>
        </is>
      </c>
      <c r="E1275" s="0" t="inlineStr">
        <is>
          <t>2019.12.</t>
        </is>
      </c>
      <c r="F1275" s="0" t="n">
        <v>1745</v>
      </c>
      <c r="G1275" s="0" t="n">
        <v>35.03</v>
      </c>
      <c r="H1275" s="0" t="n">
        <v>115.81</v>
      </c>
      <c r="I1275" s="0" t="n">
        <v>25.7</v>
      </c>
      <c r="J1275" s="0" t="n">
        <v>84.97</v>
      </c>
      <c r="K1275" s="0" t="n">
        <v>258</v>
      </c>
      <c r="T1275" s="0" t="n">
        <v>3</v>
      </c>
      <c r="U1275" s="0" t="n">
        <v>2</v>
      </c>
      <c r="V1275" s="0" t="inlineStr">
        <is>
          <t>계단식</t>
        </is>
      </c>
      <c r="W1275" s="0" t="inlineStr">
        <is>
          <t>115B</t>
        </is>
      </c>
      <c r="X1275" s="0" t="n">
        <v>29</v>
      </c>
      <c r="Y1275" s="0" t="n">
        <v>11</v>
      </c>
      <c r="Z1275" s="0" t="inlineStr">
        <is>
          <t>https://new.land.naver.com/complexes/118210?tab=detail&amp;rf=Y</t>
        </is>
      </c>
      <c r="AA1275" s="0" t="inlineStr">
        <is>
          <t>서울시 강동구 상일동 513</t>
        </is>
      </c>
      <c r="AB1275" s="0" t="inlineStr">
        <is>
          <t>서울시</t>
        </is>
      </c>
      <c r="AC1275" s="0" t="inlineStr">
        <is>
          <t>강동구</t>
        </is>
      </c>
      <c r="AD1275" s="0" t="inlineStr">
        <is>
          <t>상일동</t>
        </is>
      </c>
      <c r="AG1275" s="0" t="inlineStr">
        <is>
          <t>서울시 강동구 고덕로80길 99</t>
        </is>
      </c>
      <c r="AH1275" s="0" t="n">
        <v>96</v>
      </c>
      <c r="AI1275" s="0" t="n">
        <v>249</v>
      </c>
      <c r="AJ1275" s="0" t="n">
        <v>19</v>
      </c>
      <c r="AK1275" s="0" t="n">
        <v>2558</v>
      </c>
      <c r="AL1275" s="0" t="n">
        <v>1.47</v>
      </c>
    </row>
    <row r="1276">
      <c r="A1276" s="0" t="inlineStr">
        <is>
          <t>[상일동]</t>
        </is>
      </c>
      <c r="B1276" s="0" t="n">
        <v>118210</v>
      </c>
      <c r="C1276" s="0" t="n">
        <v>8</v>
      </c>
      <c r="D1276" s="0" t="inlineStr">
        <is>
          <t>고덕센트럴아이파크</t>
        </is>
      </c>
      <c r="E1276" s="0" t="inlineStr">
        <is>
          <t>2019.12.</t>
        </is>
      </c>
      <c r="F1276" s="0" t="n">
        <v>1745</v>
      </c>
      <c r="G1276" s="0" t="n">
        <v>42.15</v>
      </c>
      <c r="H1276" s="0" t="n">
        <v>139.37</v>
      </c>
      <c r="I1276" s="0" t="n">
        <v>31.11</v>
      </c>
      <c r="J1276" s="0" t="n">
        <v>102.85</v>
      </c>
      <c r="K1276" s="0" t="n">
        <v>86</v>
      </c>
      <c r="T1276" s="0" t="n">
        <v>4</v>
      </c>
      <c r="U1276" s="0" t="n">
        <v>2</v>
      </c>
      <c r="V1276" s="0" t="inlineStr">
        <is>
          <t>계단식</t>
        </is>
      </c>
      <c r="W1276" s="0" t="n">
        <v>139</v>
      </c>
      <c r="X1276" s="0" t="n">
        <v>29</v>
      </c>
      <c r="Y1276" s="0" t="n">
        <v>11</v>
      </c>
      <c r="Z1276" s="0" t="inlineStr">
        <is>
          <t>https://new.land.naver.com/complexes/118210?tab=detail&amp;rf=Y</t>
        </is>
      </c>
      <c r="AA1276" s="0" t="inlineStr">
        <is>
          <t>서울시 강동구 상일동 513</t>
        </is>
      </c>
      <c r="AB1276" s="0" t="inlineStr">
        <is>
          <t>서울시</t>
        </is>
      </c>
      <c r="AC1276" s="0" t="inlineStr">
        <is>
          <t>강동구</t>
        </is>
      </c>
      <c r="AD1276" s="0" t="inlineStr">
        <is>
          <t>상일동</t>
        </is>
      </c>
      <c r="AG1276" s="0" t="inlineStr">
        <is>
          <t>서울시 강동구 고덕로80길 99</t>
        </is>
      </c>
      <c r="AH1276" s="0" t="n">
        <v>96</v>
      </c>
      <c r="AI1276" s="0" t="n">
        <v>249</v>
      </c>
      <c r="AJ1276" s="0" t="n">
        <v>19</v>
      </c>
      <c r="AK1276" s="0" t="n">
        <v>2558</v>
      </c>
      <c r="AL1276" s="0" t="n">
        <v>1.47</v>
      </c>
    </row>
    <row r="1277">
      <c r="A1277" s="0" t="inlineStr">
        <is>
          <t>[상일동]</t>
        </is>
      </c>
      <c r="B1277" s="0" t="n">
        <v>118210</v>
      </c>
      <c r="C1277" s="0" t="n">
        <v>9</v>
      </c>
      <c r="D1277" s="0" t="inlineStr">
        <is>
          <t>고덕센트럴아이파크</t>
        </is>
      </c>
      <c r="E1277" s="0" t="inlineStr">
        <is>
          <t>2019.12.</t>
        </is>
      </c>
      <c r="F1277" s="0" t="n">
        <v>1745</v>
      </c>
      <c r="G1277" s="0" t="n">
        <v>50.08</v>
      </c>
      <c r="H1277" s="0" t="n">
        <v>165.58</v>
      </c>
      <c r="I1277" s="0" t="n">
        <v>36.41</v>
      </c>
      <c r="J1277" s="0" t="n">
        <v>120.37</v>
      </c>
      <c r="K1277" s="0" t="n">
        <v>6</v>
      </c>
      <c r="T1277" s="0" t="n">
        <v>4</v>
      </c>
      <c r="U1277" s="0" t="n">
        <v>2</v>
      </c>
      <c r="V1277" s="0" t="inlineStr">
        <is>
          <t>계단식</t>
        </is>
      </c>
      <c r="W1277" s="0" t="inlineStr">
        <is>
          <t>165PH</t>
        </is>
      </c>
      <c r="X1277" s="0" t="n">
        <v>29</v>
      </c>
      <c r="Y1277" s="0" t="n">
        <v>11</v>
      </c>
      <c r="Z1277" s="0" t="inlineStr">
        <is>
          <t>https://new.land.naver.com/complexes/118210?tab=detail&amp;rf=Y</t>
        </is>
      </c>
      <c r="AA1277" s="0" t="inlineStr">
        <is>
          <t>서울시 강동구 상일동 513</t>
        </is>
      </c>
      <c r="AB1277" s="0" t="inlineStr">
        <is>
          <t>서울시</t>
        </is>
      </c>
      <c r="AC1277" s="0" t="inlineStr">
        <is>
          <t>강동구</t>
        </is>
      </c>
      <c r="AD1277" s="0" t="inlineStr">
        <is>
          <t>상일동</t>
        </is>
      </c>
      <c r="AG1277" s="0" t="inlineStr">
        <is>
          <t>서울시 강동구 고덕로80길 99</t>
        </is>
      </c>
      <c r="AH1277" s="0" t="n">
        <v>96</v>
      </c>
      <c r="AI1277" s="0" t="n">
        <v>249</v>
      </c>
      <c r="AJ1277" s="0" t="n">
        <v>19</v>
      </c>
      <c r="AK1277" s="0" t="n">
        <v>2558</v>
      </c>
      <c r="AL1277" s="0" t="n">
        <v>1.47</v>
      </c>
    </row>
    <row r="1278">
      <c r="A1278" s="0" t="inlineStr">
        <is>
          <t>[상일동]</t>
        </is>
      </c>
      <c r="B1278" s="0" t="n">
        <v>118210</v>
      </c>
      <c r="C1278" s="0" t="n">
        <v>10</v>
      </c>
      <c r="D1278" s="0" t="inlineStr">
        <is>
          <t>고덕센트럴아이파크</t>
        </is>
      </c>
      <c r="E1278" s="0" t="inlineStr">
        <is>
          <t>2019.12.</t>
        </is>
      </c>
      <c r="F1278" s="0" t="n">
        <v>1745</v>
      </c>
      <c r="G1278" s="0" t="n">
        <v>54.42</v>
      </c>
      <c r="H1278" s="0" t="n">
        <v>179.92</v>
      </c>
      <c r="I1278" s="0" t="n">
        <v>39.56</v>
      </c>
      <c r="J1278" s="0" t="n">
        <v>130.79</v>
      </c>
      <c r="K1278" s="0" t="n">
        <v>3</v>
      </c>
      <c r="T1278" s="0" t="n">
        <v>3</v>
      </c>
      <c r="U1278" s="0" t="n">
        <v>2</v>
      </c>
      <c r="V1278" s="0" t="inlineStr">
        <is>
          <t>계단식</t>
        </is>
      </c>
      <c r="W1278" s="0" t="inlineStr">
        <is>
          <t>179PH</t>
        </is>
      </c>
      <c r="X1278" s="0" t="n">
        <v>29</v>
      </c>
      <c r="Y1278" s="0" t="n">
        <v>11</v>
      </c>
      <c r="Z1278" s="0" t="inlineStr">
        <is>
          <t>https://new.land.naver.com/complexes/118210?tab=detail&amp;rf=Y</t>
        </is>
      </c>
      <c r="AA1278" s="0" t="inlineStr">
        <is>
          <t>서울시 강동구 상일동 513</t>
        </is>
      </c>
      <c r="AB1278" s="0" t="inlineStr">
        <is>
          <t>서울시</t>
        </is>
      </c>
      <c r="AC1278" s="0" t="inlineStr">
        <is>
          <t>강동구</t>
        </is>
      </c>
      <c r="AD1278" s="0" t="inlineStr">
        <is>
          <t>상일동</t>
        </is>
      </c>
      <c r="AG1278" s="0" t="inlineStr">
        <is>
          <t>서울시 강동구 고덕로80길 99</t>
        </is>
      </c>
      <c r="AH1278" s="0" t="n">
        <v>96</v>
      </c>
      <c r="AI1278" s="0" t="n">
        <v>249</v>
      </c>
      <c r="AJ1278" s="0" t="n">
        <v>19</v>
      </c>
      <c r="AK1278" s="0" t="n">
        <v>2558</v>
      </c>
      <c r="AL1278" s="0" t="n">
        <v>1.47</v>
      </c>
    </row>
    <row r="1279">
      <c r="A1279" s="0" t="inlineStr">
        <is>
          <t>[상일동]</t>
        </is>
      </c>
      <c r="B1279" s="0" t="n">
        <v>117309</v>
      </c>
      <c r="C1279" s="0" t="n">
        <v>1</v>
      </c>
      <c r="D1279" s="0" t="inlineStr">
        <is>
          <t>고덕롯데캐슬베네루체</t>
        </is>
      </c>
      <c r="E1279" s="0" t="inlineStr">
        <is>
          <t>2019.12.</t>
        </is>
      </c>
      <c r="F1279" s="0" t="n">
        <v>1859</v>
      </c>
      <c r="G1279" s="0" t="n">
        <v>25.22</v>
      </c>
      <c r="H1279" s="0" t="n">
        <v>83.39</v>
      </c>
      <c r="I1279" s="0" t="n">
        <v>18.14</v>
      </c>
      <c r="J1279" s="0" t="n">
        <v>59.98</v>
      </c>
      <c r="K1279" s="0" t="n">
        <v>355</v>
      </c>
      <c r="T1279" s="0" t="n">
        <v>3</v>
      </c>
      <c r="U1279" s="0" t="n">
        <v>2</v>
      </c>
      <c r="V1279" s="0" t="inlineStr">
        <is>
          <t>계단식</t>
        </is>
      </c>
      <c r="W1279" s="0" t="inlineStr">
        <is>
          <t>83A</t>
        </is>
      </c>
      <c r="X1279" s="0" t="n">
        <v>29</v>
      </c>
      <c r="Y1279" s="0" t="n">
        <v>13</v>
      </c>
      <c r="Z1279" s="0" t="inlineStr">
        <is>
          <t>https://new.land.naver.com/complexes/117309?tab=detail&amp;rf=Y</t>
        </is>
      </c>
      <c r="AA1279" s="0" t="inlineStr">
        <is>
          <t>서울시 강동구 상일동 514</t>
        </is>
      </c>
      <c r="AB1279" s="0" t="inlineStr">
        <is>
          <t>서울시</t>
        </is>
      </c>
      <c r="AC1279" s="0" t="inlineStr">
        <is>
          <t>강동구</t>
        </is>
      </c>
      <c r="AD1279" s="0" t="inlineStr">
        <is>
          <t>상일동</t>
        </is>
      </c>
      <c r="AG1279" s="0" t="inlineStr">
        <is>
          <t>서울시 강동구 상암로79길 88</t>
        </is>
      </c>
      <c r="AH1279" s="0" t="n">
        <v>97</v>
      </c>
      <c r="AI1279" s="0" t="n">
        <v>249</v>
      </c>
      <c r="AJ1279" s="0" t="n">
        <v>18</v>
      </c>
      <c r="AK1279" s="0" t="n">
        <v>2504</v>
      </c>
      <c r="AL1279" s="0" t="n">
        <v>1.35</v>
      </c>
    </row>
    <row r="1280">
      <c r="A1280" s="0" t="inlineStr">
        <is>
          <t>[상일동]</t>
        </is>
      </c>
      <c r="B1280" s="0" t="n">
        <v>117309</v>
      </c>
      <c r="C1280" s="0" t="n">
        <v>2</v>
      </c>
      <c r="D1280" s="0" t="inlineStr">
        <is>
          <t>고덕롯데캐슬베네루체</t>
        </is>
      </c>
      <c r="E1280" s="0" t="inlineStr">
        <is>
          <t>2019.12.</t>
        </is>
      </c>
      <c r="F1280" s="0" t="n">
        <v>1859</v>
      </c>
      <c r="G1280" s="0" t="n">
        <v>25.6</v>
      </c>
      <c r="H1280" s="0" t="n">
        <v>84.64</v>
      </c>
      <c r="I1280" s="0" t="n">
        <v>18.14</v>
      </c>
      <c r="J1280" s="0" t="n">
        <v>59.98</v>
      </c>
      <c r="K1280" s="0" t="n">
        <v>9</v>
      </c>
      <c r="T1280" s="0" t="n">
        <v>3</v>
      </c>
      <c r="U1280" s="0" t="n">
        <v>2</v>
      </c>
      <c r="V1280" s="0" t="inlineStr">
        <is>
          <t>계단식</t>
        </is>
      </c>
      <c r="W1280" s="0" t="inlineStr">
        <is>
          <t>84B</t>
        </is>
      </c>
      <c r="X1280" s="0" t="n">
        <v>29</v>
      </c>
      <c r="Y1280" s="0" t="n">
        <v>13</v>
      </c>
      <c r="Z1280" s="0" t="inlineStr">
        <is>
          <t>https://new.land.naver.com/complexes/117309?tab=detail&amp;rf=Y</t>
        </is>
      </c>
      <c r="AA1280" s="0" t="inlineStr">
        <is>
          <t>서울시 강동구 상일동 514</t>
        </is>
      </c>
      <c r="AB1280" s="0" t="inlineStr">
        <is>
          <t>서울시</t>
        </is>
      </c>
      <c r="AC1280" s="0" t="inlineStr">
        <is>
          <t>강동구</t>
        </is>
      </c>
      <c r="AD1280" s="0" t="inlineStr">
        <is>
          <t>상일동</t>
        </is>
      </c>
      <c r="AG1280" s="0" t="inlineStr">
        <is>
          <t>서울시 강동구 상암로79길 88</t>
        </is>
      </c>
      <c r="AH1280" s="0" t="n">
        <v>97</v>
      </c>
      <c r="AI1280" s="0" t="n">
        <v>249</v>
      </c>
      <c r="AJ1280" s="0" t="n">
        <v>18</v>
      </c>
      <c r="AK1280" s="0" t="n">
        <v>2504</v>
      </c>
      <c r="AL1280" s="0" t="n">
        <v>1.35</v>
      </c>
    </row>
    <row r="1281">
      <c r="A1281" s="0" t="inlineStr">
        <is>
          <t>[상일동]</t>
        </is>
      </c>
      <c r="B1281" s="0" t="n">
        <v>117309</v>
      </c>
      <c r="C1281" s="0" t="n">
        <v>3</v>
      </c>
      <c r="D1281" s="0" t="inlineStr">
        <is>
          <t>고덕롯데캐슬베네루체</t>
        </is>
      </c>
      <c r="E1281" s="0" t="inlineStr">
        <is>
          <t>2019.12.</t>
        </is>
      </c>
      <c r="F1281" s="0" t="n">
        <v>1859</v>
      </c>
      <c r="G1281" s="0" t="n">
        <v>33.65</v>
      </c>
      <c r="H1281" s="0" t="n">
        <v>111.26</v>
      </c>
      <c r="I1281" s="0" t="n">
        <v>25.68</v>
      </c>
      <c r="J1281" s="0" t="n">
        <v>84.92</v>
      </c>
      <c r="K1281" s="0" t="n">
        <v>918</v>
      </c>
      <c r="T1281" s="0" t="n">
        <v>3</v>
      </c>
      <c r="U1281" s="0" t="n">
        <v>2</v>
      </c>
      <c r="V1281" s="0" t="inlineStr">
        <is>
          <t>계단식</t>
        </is>
      </c>
      <c r="W1281" s="0" t="inlineStr">
        <is>
          <t>111A</t>
        </is>
      </c>
      <c r="X1281" s="0" t="n">
        <v>29</v>
      </c>
      <c r="Y1281" s="0" t="n">
        <v>13</v>
      </c>
      <c r="Z1281" s="0" t="inlineStr">
        <is>
          <t>https://new.land.naver.com/complexes/117309?tab=detail&amp;rf=Y</t>
        </is>
      </c>
      <c r="AA1281" s="0" t="inlineStr">
        <is>
          <t>서울시 강동구 상일동 514</t>
        </is>
      </c>
      <c r="AB1281" s="0" t="inlineStr">
        <is>
          <t>서울시</t>
        </is>
      </c>
      <c r="AC1281" s="0" t="inlineStr">
        <is>
          <t>강동구</t>
        </is>
      </c>
      <c r="AD1281" s="0" t="inlineStr">
        <is>
          <t>상일동</t>
        </is>
      </c>
      <c r="AG1281" s="0" t="inlineStr">
        <is>
          <t>서울시 강동구 상암로79길 88</t>
        </is>
      </c>
      <c r="AH1281" s="0" t="n">
        <v>97</v>
      </c>
      <c r="AI1281" s="0" t="n">
        <v>249</v>
      </c>
      <c r="AJ1281" s="0" t="n">
        <v>18</v>
      </c>
      <c r="AK1281" s="0" t="n">
        <v>2504</v>
      </c>
      <c r="AL1281" s="0" t="n">
        <v>1.35</v>
      </c>
    </row>
    <row r="1282">
      <c r="A1282" s="0" t="inlineStr">
        <is>
          <t>[상일동]</t>
        </is>
      </c>
      <c r="B1282" s="0" t="n">
        <v>117309</v>
      </c>
      <c r="C1282" s="0" t="n">
        <v>4</v>
      </c>
      <c r="D1282" s="0" t="inlineStr">
        <is>
          <t>고덕롯데캐슬베네루체</t>
        </is>
      </c>
      <c r="E1282" s="0" t="inlineStr">
        <is>
          <t>2019.12.</t>
        </is>
      </c>
      <c r="F1282" s="0" t="n">
        <v>1859</v>
      </c>
      <c r="G1282" s="0" t="n">
        <v>33.98</v>
      </c>
      <c r="H1282" s="0" t="n">
        <v>112.34</v>
      </c>
      <c r="I1282" s="0" t="n">
        <v>25.45</v>
      </c>
      <c r="J1282" s="0" t="n">
        <v>84.14</v>
      </c>
      <c r="K1282" s="0" t="n">
        <v>422</v>
      </c>
      <c r="T1282" s="0" t="n">
        <v>3</v>
      </c>
      <c r="U1282" s="0" t="n">
        <v>2</v>
      </c>
      <c r="V1282" s="0" t="inlineStr">
        <is>
          <t>계단식</t>
        </is>
      </c>
      <c r="W1282" s="0" t="inlineStr">
        <is>
          <t>112B</t>
        </is>
      </c>
      <c r="X1282" s="0" t="n">
        <v>29</v>
      </c>
      <c r="Y1282" s="0" t="n">
        <v>13</v>
      </c>
      <c r="Z1282" s="0" t="inlineStr">
        <is>
          <t>https://new.land.naver.com/complexes/117309?tab=detail&amp;rf=Y</t>
        </is>
      </c>
      <c r="AA1282" s="0" t="inlineStr">
        <is>
          <t>서울시 강동구 상일동 514</t>
        </is>
      </c>
      <c r="AB1282" s="0" t="inlineStr">
        <is>
          <t>서울시</t>
        </is>
      </c>
      <c r="AC1282" s="0" t="inlineStr">
        <is>
          <t>강동구</t>
        </is>
      </c>
      <c r="AD1282" s="0" t="inlineStr">
        <is>
          <t>상일동</t>
        </is>
      </c>
      <c r="AG1282" s="0" t="inlineStr">
        <is>
          <t>서울시 강동구 상암로79길 88</t>
        </is>
      </c>
      <c r="AH1282" s="0" t="n">
        <v>97</v>
      </c>
      <c r="AI1282" s="0" t="n">
        <v>249</v>
      </c>
      <c r="AJ1282" s="0" t="n">
        <v>18</v>
      </c>
      <c r="AK1282" s="0" t="n">
        <v>2504</v>
      </c>
      <c r="AL1282" s="0" t="n">
        <v>1.35</v>
      </c>
    </row>
    <row r="1283">
      <c r="A1283" s="0" t="inlineStr">
        <is>
          <t>[상일동]</t>
        </is>
      </c>
      <c r="B1283" s="0" t="n">
        <v>117309</v>
      </c>
      <c r="C1283" s="0" t="n">
        <v>5</v>
      </c>
      <c r="D1283" s="0" t="inlineStr">
        <is>
          <t>고덕롯데캐슬베네루체</t>
        </is>
      </c>
      <c r="E1283" s="0" t="inlineStr">
        <is>
          <t>2019.12.</t>
        </is>
      </c>
      <c r="F1283" s="0" t="n">
        <v>1859</v>
      </c>
      <c r="G1283" s="0" t="n">
        <v>46.09</v>
      </c>
      <c r="H1283" s="0" t="n">
        <v>152.38</v>
      </c>
      <c r="I1283" s="0" t="n">
        <v>36.92</v>
      </c>
      <c r="J1283" s="0" t="n">
        <v>122.08</v>
      </c>
      <c r="K1283" s="0" t="n">
        <v>58</v>
      </c>
      <c r="T1283" s="0" t="n">
        <v>4</v>
      </c>
      <c r="U1283" s="0" t="n">
        <v>2</v>
      </c>
      <c r="V1283" s="0" t="inlineStr">
        <is>
          <t>계단식</t>
        </is>
      </c>
      <c r="W1283" s="0" t="n">
        <v>152</v>
      </c>
      <c r="X1283" s="0" t="n">
        <v>29</v>
      </c>
      <c r="Y1283" s="0" t="n">
        <v>13</v>
      </c>
      <c r="Z1283" s="0" t="inlineStr">
        <is>
          <t>https://new.land.naver.com/complexes/117309?tab=detail&amp;rf=Y</t>
        </is>
      </c>
      <c r="AA1283" s="0" t="inlineStr">
        <is>
          <t>서울시 강동구 상일동 514</t>
        </is>
      </c>
      <c r="AB1283" s="0" t="inlineStr">
        <is>
          <t>서울시</t>
        </is>
      </c>
      <c r="AC1283" s="0" t="inlineStr">
        <is>
          <t>강동구</t>
        </is>
      </c>
      <c r="AD1283" s="0" t="inlineStr">
        <is>
          <t>상일동</t>
        </is>
      </c>
      <c r="AG1283" s="0" t="inlineStr">
        <is>
          <t>서울시 강동구 상암로79길 88</t>
        </is>
      </c>
      <c r="AH1283" s="0" t="n">
        <v>97</v>
      </c>
      <c r="AI1283" s="0" t="n">
        <v>249</v>
      </c>
      <c r="AJ1283" s="0" t="n">
        <v>18</v>
      </c>
      <c r="AK1283" s="0" t="n">
        <v>2504</v>
      </c>
      <c r="AL1283" s="0" t="n">
        <v>1.35</v>
      </c>
    </row>
    <row r="1284">
      <c r="A1284" s="0" t="inlineStr">
        <is>
          <t>[상일동]</t>
        </is>
      </c>
      <c r="B1284" s="0" t="n">
        <v>15298</v>
      </c>
      <c r="C1284" s="0" t="n">
        <v>1</v>
      </c>
      <c r="D1284" s="0" t="inlineStr">
        <is>
          <t>삼성</t>
        </is>
      </c>
      <c r="E1284" s="0" t="inlineStr">
        <is>
          <t>1988.07.</t>
        </is>
      </c>
      <c r="F1284" s="0" t="n">
        <v>132</v>
      </c>
      <c r="G1284" s="0" t="n">
        <v>32.7</v>
      </c>
      <c r="H1284" s="0" t="n">
        <v>108.12</v>
      </c>
      <c r="I1284" s="0" t="n">
        <v>25.69</v>
      </c>
      <c r="J1284" s="0" t="n">
        <v>84.94</v>
      </c>
      <c r="K1284" s="0" t="n">
        <v>33</v>
      </c>
      <c r="T1284" s="0" t="n">
        <v>3</v>
      </c>
      <c r="U1284" s="0" t="n">
        <v>1</v>
      </c>
      <c r="V1284" s="0" t="inlineStr">
        <is>
          <t>계단식</t>
        </is>
      </c>
      <c r="W1284" s="0" t="n">
        <v>108</v>
      </c>
      <c r="X1284" s="0" t="n">
        <v>3</v>
      </c>
      <c r="Y1284" s="0" t="n">
        <v>3</v>
      </c>
      <c r="Z1284" s="0" t="inlineStr">
        <is>
          <t>https://new.land.naver.com/complexes/15298?tab=detail&amp;rf=Y</t>
        </is>
      </c>
      <c r="AA1284" s="0" t="inlineStr">
        <is>
          <t>서울시 강동구 상일동 173</t>
        </is>
      </c>
      <c r="AB1284" s="0" t="inlineStr">
        <is>
          <t>서울시</t>
        </is>
      </c>
      <c r="AC1284" s="0" t="inlineStr">
        <is>
          <t>강동구</t>
        </is>
      </c>
      <c r="AD1284" s="0" t="inlineStr">
        <is>
          <t>상일동</t>
        </is>
      </c>
      <c r="AG1284" s="0" t="inlineStr">
        <is>
          <t>서울시 강동구 상암로 325</t>
        </is>
      </c>
      <c r="AH1284" s="0" t="n">
        <v>0</v>
      </c>
      <c r="AI1284" s="0" t="n">
        <v>89</v>
      </c>
      <c r="AJ1284" s="0" t="n">
        <v>29</v>
      </c>
      <c r="AK1284" s="0" t="n">
        <v>0</v>
      </c>
      <c r="AL1284" s="0" t="n">
        <v>0</v>
      </c>
    </row>
    <row r="1285">
      <c r="A1285" s="0" t="inlineStr">
        <is>
          <t>[상일동]</t>
        </is>
      </c>
      <c r="B1285" s="0" t="n">
        <v>15298</v>
      </c>
      <c r="C1285" s="0" t="n">
        <v>2</v>
      </c>
      <c r="D1285" s="0" t="inlineStr">
        <is>
          <t>삼성</t>
        </is>
      </c>
      <c r="E1285" s="0" t="inlineStr">
        <is>
          <t>1988.07.</t>
        </is>
      </c>
      <c r="F1285" s="0" t="n">
        <v>132</v>
      </c>
      <c r="G1285" s="0" t="n">
        <v>34.47</v>
      </c>
      <c r="H1285" s="0" t="n">
        <v>113.96</v>
      </c>
      <c r="I1285" s="0" t="n">
        <v>25.69</v>
      </c>
      <c r="J1285" s="0" t="n">
        <v>84.95</v>
      </c>
      <c r="K1285" s="0" t="n">
        <v>9</v>
      </c>
      <c r="T1285" s="0" t="n">
        <v>3</v>
      </c>
      <c r="U1285" s="0" t="n">
        <v>1</v>
      </c>
      <c r="V1285" s="0" t="inlineStr">
        <is>
          <t>계단식</t>
        </is>
      </c>
      <c r="W1285" s="0" t="n">
        <v>113</v>
      </c>
      <c r="X1285" s="0" t="n">
        <v>3</v>
      </c>
      <c r="Y1285" s="0" t="n">
        <v>3</v>
      </c>
      <c r="Z1285" s="0" t="inlineStr">
        <is>
          <t>https://new.land.naver.com/complexes/15298?tab=detail&amp;rf=Y</t>
        </is>
      </c>
      <c r="AA1285" s="0" t="inlineStr">
        <is>
          <t>서울시 강동구 상일동 173</t>
        </is>
      </c>
      <c r="AB1285" s="0" t="inlineStr">
        <is>
          <t>서울시</t>
        </is>
      </c>
      <c r="AC1285" s="0" t="inlineStr">
        <is>
          <t>강동구</t>
        </is>
      </c>
      <c r="AD1285" s="0" t="inlineStr">
        <is>
          <t>상일동</t>
        </is>
      </c>
      <c r="AG1285" s="0" t="inlineStr">
        <is>
          <t>서울시 강동구 상암로 325</t>
        </is>
      </c>
      <c r="AH1285" s="0" t="n">
        <v>0</v>
      </c>
      <c r="AI1285" s="0" t="n">
        <v>89</v>
      </c>
      <c r="AJ1285" s="0" t="n">
        <v>29</v>
      </c>
      <c r="AK1285" s="0" t="n">
        <v>0</v>
      </c>
      <c r="AL1285" s="0" t="n">
        <v>0</v>
      </c>
    </row>
    <row r="1286">
      <c r="A1286" s="0" t="inlineStr">
        <is>
          <t>[상일동]</t>
        </is>
      </c>
      <c r="B1286" s="0" t="n">
        <v>15298</v>
      </c>
      <c r="C1286" s="0" t="n">
        <v>3</v>
      </c>
      <c r="D1286" s="0" t="inlineStr">
        <is>
          <t>삼성</t>
        </is>
      </c>
      <c r="E1286" s="0" t="inlineStr">
        <is>
          <t>1988.07.</t>
        </is>
      </c>
      <c r="F1286" s="0" t="n">
        <v>132</v>
      </c>
      <c r="G1286" s="0" t="n">
        <v>47.74</v>
      </c>
      <c r="H1286" s="0" t="n">
        <v>157.85</v>
      </c>
      <c r="I1286" s="0" t="n">
        <v>40.78</v>
      </c>
      <c r="J1286" s="0" t="n">
        <v>134.84</v>
      </c>
      <c r="K1286" s="0" t="n">
        <v>14</v>
      </c>
      <c r="T1286" s="0" t="n">
        <v>4</v>
      </c>
      <c r="U1286" s="0" t="n">
        <v>2</v>
      </c>
      <c r="V1286" s="0" t="inlineStr">
        <is>
          <t>계단식</t>
        </is>
      </c>
      <c r="W1286" s="0" t="n">
        <v>157</v>
      </c>
      <c r="X1286" s="0" t="n">
        <v>3</v>
      </c>
      <c r="Y1286" s="0" t="n">
        <v>3</v>
      </c>
      <c r="Z1286" s="0" t="inlineStr">
        <is>
          <t>https://new.land.naver.com/complexes/15298?tab=detail&amp;rf=Y</t>
        </is>
      </c>
      <c r="AA1286" s="0" t="inlineStr">
        <is>
          <t>서울시 강동구 상일동 173</t>
        </is>
      </c>
      <c r="AB1286" s="0" t="inlineStr">
        <is>
          <t>서울시</t>
        </is>
      </c>
      <c r="AC1286" s="0" t="inlineStr">
        <is>
          <t>강동구</t>
        </is>
      </c>
      <c r="AD1286" s="0" t="inlineStr">
        <is>
          <t>상일동</t>
        </is>
      </c>
      <c r="AG1286" s="0" t="inlineStr">
        <is>
          <t>서울시 강동구 상암로 325</t>
        </is>
      </c>
      <c r="AH1286" s="0" t="n">
        <v>0</v>
      </c>
      <c r="AI1286" s="0" t="n">
        <v>89</v>
      </c>
      <c r="AJ1286" s="0" t="n">
        <v>29</v>
      </c>
      <c r="AK1286" s="0" t="n">
        <v>0</v>
      </c>
      <c r="AL1286" s="0" t="n">
        <v>0</v>
      </c>
    </row>
    <row r="1287">
      <c r="A1287" s="0" t="inlineStr">
        <is>
          <t>[상일동]</t>
        </is>
      </c>
      <c r="B1287" s="0" t="n">
        <v>15298</v>
      </c>
      <c r="C1287" s="0" t="n">
        <v>4</v>
      </c>
      <c r="D1287" s="0" t="inlineStr">
        <is>
          <t>삼성</t>
        </is>
      </c>
      <c r="E1287" s="0" t="inlineStr">
        <is>
          <t>1988.07.</t>
        </is>
      </c>
      <c r="F1287" s="0" t="n">
        <v>132</v>
      </c>
      <c r="G1287" s="0" t="n">
        <v>49.51</v>
      </c>
      <c r="H1287" s="0" t="n">
        <v>163.7</v>
      </c>
      <c r="I1287" s="0" t="n">
        <v>42.28</v>
      </c>
      <c r="J1287" s="0" t="n">
        <v>139.77</v>
      </c>
      <c r="K1287" s="0" t="n">
        <v>1</v>
      </c>
      <c r="T1287" s="0" t="n">
        <v>4</v>
      </c>
      <c r="U1287" s="0" t="n">
        <v>2</v>
      </c>
      <c r="V1287" s="0" t="inlineStr">
        <is>
          <t>계단식</t>
        </is>
      </c>
      <c r="W1287" s="0" t="n">
        <v>163</v>
      </c>
      <c r="X1287" s="0" t="n">
        <v>3</v>
      </c>
      <c r="Y1287" s="0" t="n">
        <v>3</v>
      </c>
      <c r="Z1287" s="0" t="inlineStr">
        <is>
          <t>https://new.land.naver.com/complexes/15298?tab=detail&amp;rf=Y</t>
        </is>
      </c>
      <c r="AA1287" s="0" t="inlineStr">
        <is>
          <t>서울시 강동구 상일동 173</t>
        </is>
      </c>
      <c r="AB1287" s="0" t="inlineStr">
        <is>
          <t>서울시</t>
        </is>
      </c>
      <c r="AC1287" s="0" t="inlineStr">
        <is>
          <t>강동구</t>
        </is>
      </c>
      <c r="AD1287" s="0" t="inlineStr">
        <is>
          <t>상일동</t>
        </is>
      </c>
      <c r="AG1287" s="0" t="inlineStr">
        <is>
          <t>서울시 강동구 상암로 325</t>
        </is>
      </c>
      <c r="AH1287" s="0" t="n">
        <v>0</v>
      </c>
      <c r="AI1287" s="0" t="n">
        <v>89</v>
      </c>
      <c r="AJ1287" s="0" t="n">
        <v>29</v>
      </c>
      <c r="AK1287" s="0" t="n">
        <v>0</v>
      </c>
      <c r="AL1287" s="0" t="n">
        <v>0</v>
      </c>
    </row>
    <row r="1288">
      <c r="A1288" s="0" t="inlineStr">
        <is>
          <t>[상일동]</t>
        </is>
      </c>
      <c r="B1288" s="0" t="n">
        <v>15298</v>
      </c>
      <c r="C1288" s="0" t="n">
        <v>5</v>
      </c>
      <c r="D1288" s="0" t="inlineStr">
        <is>
          <t>삼성</t>
        </is>
      </c>
      <c r="E1288" s="0" t="inlineStr">
        <is>
          <t>1988.07.</t>
        </is>
      </c>
      <c r="F1288" s="0" t="n">
        <v>132</v>
      </c>
      <c r="G1288" s="0" t="n">
        <v>51.17</v>
      </c>
      <c r="H1288" s="0" t="n">
        <v>169.17</v>
      </c>
      <c r="I1288" s="0" t="n">
        <v>42.93</v>
      </c>
      <c r="J1288" s="0" t="n">
        <v>141.95</v>
      </c>
      <c r="K1288" s="0" t="n">
        <v>4</v>
      </c>
      <c r="T1288" s="0" t="n">
        <v>4</v>
      </c>
      <c r="U1288" s="0" t="n">
        <v>2</v>
      </c>
      <c r="V1288" s="0" t="inlineStr">
        <is>
          <t>계단식</t>
        </is>
      </c>
      <c r="W1288" s="0" t="n">
        <v>169</v>
      </c>
      <c r="X1288" s="0" t="n">
        <v>3</v>
      </c>
      <c r="Y1288" s="0" t="n">
        <v>3</v>
      </c>
      <c r="Z1288" s="0" t="inlineStr">
        <is>
          <t>https://new.land.naver.com/complexes/15298?tab=detail&amp;rf=Y</t>
        </is>
      </c>
      <c r="AA1288" s="0" t="inlineStr">
        <is>
          <t>서울시 강동구 상일동 173</t>
        </is>
      </c>
      <c r="AB1288" s="0" t="inlineStr">
        <is>
          <t>서울시</t>
        </is>
      </c>
      <c r="AC1288" s="0" t="inlineStr">
        <is>
          <t>강동구</t>
        </is>
      </c>
      <c r="AD1288" s="0" t="inlineStr">
        <is>
          <t>상일동</t>
        </is>
      </c>
      <c r="AG1288" s="0" t="inlineStr">
        <is>
          <t>서울시 강동구 상암로 325</t>
        </is>
      </c>
      <c r="AH1288" s="0" t="n">
        <v>0</v>
      </c>
      <c r="AI1288" s="0" t="n">
        <v>89</v>
      </c>
      <c r="AJ1288" s="0" t="n">
        <v>29</v>
      </c>
      <c r="AK1288" s="0" t="n">
        <v>0</v>
      </c>
      <c r="AL1288" s="0" t="n">
        <v>0</v>
      </c>
    </row>
    <row r="1289">
      <c r="A1289" s="0" t="inlineStr">
        <is>
          <t>[상일동]</t>
        </is>
      </c>
      <c r="B1289" s="0" t="n">
        <v>15298</v>
      </c>
      <c r="C1289" s="0" t="n">
        <v>6</v>
      </c>
      <c r="D1289" s="0" t="inlineStr">
        <is>
          <t>삼성</t>
        </is>
      </c>
      <c r="E1289" s="0" t="inlineStr">
        <is>
          <t>1988.07.</t>
        </is>
      </c>
      <c r="F1289" s="0" t="n">
        <v>132</v>
      </c>
      <c r="G1289" s="0" t="n">
        <v>51.66</v>
      </c>
      <c r="H1289" s="0" t="n">
        <v>170.79</v>
      </c>
      <c r="I1289" s="0" t="n">
        <v>44.4</v>
      </c>
      <c r="J1289" s="0" t="n">
        <v>146.78</v>
      </c>
      <c r="K1289" s="0" t="n">
        <v>4</v>
      </c>
      <c r="T1289" s="0" t="n">
        <v>4</v>
      </c>
      <c r="U1289" s="0" t="n">
        <v>2</v>
      </c>
      <c r="V1289" s="0" t="inlineStr">
        <is>
          <t>계단식</t>
        </is>
      </c>
      <c r="W1289" s="0" t="n">
        <v>170</v>
      </c>
      <c r="X1289" s="0" t="n">
        <v>3</v>
      </c>
      <c r="Y1289" s="0" t="n">
        <v>3</v>
      </c>
      <c r="Z1289" s="0" t="inlineStr">
        <is>
          <t>https://new.land.naver.com/complexes/15298?tab=detail&amp;rf=Y</t>
        </is>
      </c>
      <c r="AA1289" s="0" t="inlineStr">
        <is>
          <t>서울시 강동구 상일동 173</t>
        </is>
      </c>
      <c r="AB1289" s="0" t="inlineStr">
        <is>
          <t>서울시</t>
        </is>
      </c>
      <c r="AC1289" s="0" t="inlineStr">
        <is>
          <t>강동구</t>
        </is>
      </c>
      <c r="AD1289" s="0" t="inlineStr">
        <is>
          <t>상일동</t>
        </is>
      </c>
      <c r="AG1289" s="0" t="inlineStr">
        <is>
          <t>서울시 강동구 상암로 325</t>
        </is>
      </c>
      <c r="AH1289" s="0" t="n">
        <v>0</v>
      </c>
      <c r="AI1289" s="0" t="n">
        <v>89</v>
      </c>
      <c r="AJ1289" s="0" t="n">
        <v>29</v>
      </c>
      <c r="AK1289" s="0" t="n">
        <v>0</v>
      </c>
      <c r="AL1289" s="0" t="n">
        <v>0</v>
      </c>
    </row>
    <row r="1290">
      <c r="A1290" s="0" t="inlineStr">
        <is>
          <t>[상일동]</t>
        </is>
      </c>
      <c r="B1290" s="0" t="n">
        <v>15298</v>
      </c>
      <c r="C1290" s="0" t="n">
        <v>7</v>
      </c>
      <c r="D1290" s="0" t="inlineStr">
        <is>
          <t>삼성</t>
        </is>
      </c>
      <c r="E1290" s="0" t="inlineStr">
        <is>
          <t>1988.07.</t>
        </is>
      </c>
      <c r="F1290" s="0" t="n">
        <v>132</v>
      </c>
      <c r="G1290" s="0" t="n">
        <v>52.77</v>
      </c>
      <c r="H1290" s="0" t="n">
        <v>174.46</v>
      </c>
      <c r="I1290" s="0" t="n">
        <v>45.81</v>
      </c>
      <c r="J1290" s="0" t="n">
        <v>151.46</v>
      </c>
      <c r="K1290" s="0" t="n">
        <v>1</v>
      </c>
      <c r="T1290" s="0" t="n">
        <v>4</v>
      </c>
      <c r="U1290" s="0" t="n">
        <v>2</v>
      </c>
      <c r="V1290" s="0" t="inlineStr">
        <is>
          <t>계단식</t>
        </is>
      </c>
      <c r="W1290" s="0" t="n">
        <v>174</v>
      </c>
      <c r="X1290" s="0" t="n">
        <v>3</v>
      </c>
      <c r="Y1290" s="0" t="n">
        <v>3</v>
      </c>
      <c r="Z1290" s="0" t="inlineStr">
        <is>
          <t>https://new.land.naver.com/complexes/15298?tab=detail&amp;rf=Y</t>
        </is>
      </c>
      <c r="AA1290" s="0" t="inlineStr">
        <is>
          <t>서울시 강동구 상일동 173</t>
        </is>
      </c>
      <c r="AB1290" s="0" t="inlineStr">
        <is>
          <t>서울시</t>
        </is>
      </c>
      <c r="AC1290" s="0" t="inlineStr">
        <is>
          <t>강동구</t>
        </is>
      </c>
      <c r="AD1290" s="0" t="inlineStr">
        <is>
          <t>상일동</t>
        </is>
      </c>
      <c r="AG1290" s="0" t="inlineStr">
        <is>
          <t>서울시 강동구 상암로 325</t>
        </is>
      </c>
      <c r="AH1290" s="0" t="n">
        <v>0</v>
      </c>
      <c r="AI1290" s="0" t="n">
        <v>89</v>
      </c>
      <c r="AJ1290" s="0" t="n">
        <v>29</v>
      </c>
      <c r="AK1290" s="0" t="n">
        <v>0</v>
      </c>
      <c r="AL1290" s="0" t="n">
        <v>0</v>
      </c>
    </row>
    <row r="1291">
      <c r="A1291" s="0" t="inlineStr">
        <is>
          <t>[상일동]</t>
        </is>
      </c>
      <c r="B1291" s="0" t="n">
        <v>15298</v>
      </c>
      <c r="C1291" s="0" t="n">
        <v>8</v>
      </c>
      <c r="D1291" s="0" t="inlineStr">
        <is>
          <t>삼성</t>
        </is>
      </c>
      <c r="E1291" s="0" t="inlineStr">
        <is>
          <t>1988.07.</t>
        </is>
      </c>
      <c r="F1291" s="0" t="n">
        <v>132</v>
      </c>
      <c r="G1291" s="0" t="n">
        <v>53.72</v>
      </c>
      <c r="H1291" s="0" t="n">
        <v>177.61</v>
      </c>
      <c r="I1291" s="0" t="n">
        <v>46.01</v>
      </c>
      <c r="J1291" s="0" t="n">
        <v>152.12</v>
      </c>
      <c r="K1291" s="0" t="n">
        <v>14</v>
      </c>
      <c r="T1291" s="0" t="n">
        <v>4</v>
      </c>
      <c r="U1291" s="0" t="n">
        <v>2</v>
      </c>
      <c r="V1291" s="0" t="inlineStr">
        <is>
          <t>계단식</t>
        </is>
      </c>
      <c r="W1291" s="0" t="n">
        <v>177</v>
      </c>
      <c r="X1291" s="0" t="n">
        <v>3</v>
      </c>
      <c r="Y1291" s="0" t="n">
        <v>3</v>
      </c>
      <c r="Z1291" s="0" t="inlineStr">
        <is>
          <t>https://new.land.naver.com/complexes/15298?tab=detail&amp;rf=Y</t>
        </is>
      </c>
      <c r="AA1291" s="0" t="inlineStr">
        <is>
          <t>서울시 강동구 상일동 173</t>
        </is>
      </c>
      <c r="AB1291" s="0" t="inlineStr">
        <is>
          <t>서울시</t>
        </is>
      </c>
      <c r="AC1291" s="0" t="inlineStr">
        <is>
          <t>강동구</t>
        </is>
      </c>
      <c r="AD1291" s="0" t="inlineStr">
        <is>
          <t>상일동</t>
        </is>
      </c>
      <c r="AG1291" s="0" t="inlineStr">
        <is>
          <t>서울시 강동구 상암로 325</t>
        </is>
      </c>
      <c r="AH1291" s="0" t="n">
        <v>0</v>
      </c>
      <c r="AI1291" s="0" t="n">
        <v>89</v>
      </c>
      <c r="AJ1291" s="0" t="n">
        <v>29</v>
      </c>
      <c r="AK1291" s="0" t="n">
        <v>0</v>
      </c>
      <c r="AL1291" s="0" t="n">
        <v>0</v>
      </c>
    </row>
    <row r="1292">
      <c r="A1292" s="0" t="inlineStr">
        <is>
          <t>[상일동]</t>
        </is>
      </c>
      <c r="B1292" s="0" t="n">
        <v>15298</v>
      </c>
      <c r="C1292" s="0" t="n">
        <v>9</v>
      </c>
      <c r="D1292" s="0" t="inlineStr">
        <is>
          <t>삼성</t>
        </is>
      </c>
      <c r="E1292" s="0" t="inlineStr">
        <is>
          <t>1988.07.</t>
        </is>
      </c>
      <c r="F1292" s="0" t="n">
        <v>132</v>
      </c>
      <c r="G1292" s="0" t="n">
        <v>54.87</v>
      </c>
      <c r="H1292" s="0" t="n">
        <v>181.42</v>
      </c>
      <c r="I1292" s="0" t="n">
        <v>47.18</v>
      </c>
      <c r="J1292" s="0" t="n">
        <v>155.97</v>
      </c>
      <c r="K1292" s="0" t="n">
        <v>1</v>
      </c>
      <c r="T1292" s="0" t="n">
        <v>4</v>
      </c>
      <c r="U1292" s="0" t="n">
        <v>2</v>
      </c>
      <c r="V1292" s="0" t="inlineStr">
        <is>
          <t>계단식</t>
        </is>
      </c>
      <c r="W1292" s="0" t="inlineStr">
        <is>
          <t>181A</t>
        </is>
      </c>
      <c r="X1292" s="0" t="n">
        <v>3</v>
      </c>
      <c r="Y1292" s="0" t="n">
        <v>3</v>
      </c>
      <c r="Z1292" s="0" t="inlineStr">
        <is>
          <t>https://new.land.naver.com/complexes/15298?tab=detail&amp;rf=Y</t>
        </is>
      </c>
      <c r="AA1292" s="0" t="inlineStr">
        <is>
          <t>서울시 강동구 상일동 173</t>
        </is>
      </c>
      <c r="AB1292" s="0" t="inlineStr">
        <is>
          <t>서울시</t>
        </is>
      </c>
      <c r="AC1292" s="0" t="inlineStr">
        <is>
          <t>강동구</t>
        </is>
      </c>
      <c r="AD1292" s="0" t="inlineStr">
        <is>
          <t>상일동</t>
        </is>
      </c>
      <c r="AG1292" s="0" t="inlineStr">
        <is>
          <t>서울시 강동구 상암로 325</t>
        </is>
      </c>
      <c r="AH1292" s="0" t="n">
        <v>0</v>
      </c>
      <c r="AI1292" s="0" t="n">
        <v>89</v>
      </c>
      <c r="AJ1292" s="0" t="n">
        <v>29</v>
      </c>
      <c r="AK1292" s="0" t="n">
        <v>0</v>
      </c>
      <c r="AL1292" s="0" t="n">
        <v>0</v>
      </c>
    </row>
    <row r="1293">
      <c r="A1293" s="0" t="inlineStr">
        <is>
          <t>[상일동]</t>
        </is>
      </c>
      <c r="B1293" s="0" t="n">
        <v>15298</v>
      </c>
      <c r="C1293" s="0" t="n">
        <v>10</v>
      </c>
      <c r="D1293" s="0" t="inlineStr">
        <is>
          <t>삼성</t>
        </is>
      </c>
      <c r="E1293" s="0" t="inlineStr">
        <is>
          <t>1988.07.</t>
        </is>
      </c>
      <c r="F1293" s="0" t="n">
        <v>132</v>
      </c>
      <c r="G1293" s="0" t="n">
        <v>55.46</v>
      </c>
      <c r="H1293" s="0" t="n">
        <v>183.36</v>
      </c>
      <c r="I1293" s="0" t="n">
        <v>40.78</v>
      </c>
      <c r="J1293" s="0" t="n">
        <v>134.84</v>
      </c>
      <c r="K1293" s="0" t="n">
        <v>14</v>
      </c>
      <c r="T1293" s="0" t="n">
        <v>4</v>
      </c>
      <c r="U1293" s="0" t="n">
        <v>2</v>
      </c>
      <c r="V1293" s="0" t="inlineStr">
        <is>
          <t>계단식</t>
        </is>
      </c>
      <c r="W1293" s="0" t="inlineStr">
        <is>
          <t>183B</t>
        </is>
      </c>
      <c r="X1293" s="0" t="n">
        <v>3</v>
      </c>
      <c r="Y1293" s="0" t="n">
        <v>3</v>
      </c>
      <c r="Z1293" s="0" t="inlineStr">
        <is>
          <t>https://new.land.naver.com/complexes/15298?tab=detail&amp;rf=Y</t>
        </is>
      </c>
      <c r="AA1293" s="0" t="inlineStr">
        <is>
          <t>서울시 강동구 상일동 173</t>
        </is>
      </c>
      <c r="AB1293" s="0" t="inlineStr">
        <is>
          <t>서울시</t>
        </is>
      </c>
      <c r="AC1293" s="0" t="inlineStr">
        <is>
          <t>강동구</t>
        </is>
      </c>
      <c r="AD1293" s="0" t="inlineStr">
        <is>
          <t>상일동</t>
        </is>
      </c>
      <c r="AG1293" s="0" t="inlineStr">
        <is>
          <t>서울시 강동구 상암로 325</t>
        </is>
      </c>
      <c r="AH1293" s="0" t="n">
        <v>0</v>
      </c>
      <c r="AI1293" s="0" t="n">
        <v>89</v>
      </c>
      <c r="AJ1293" s="0" t="n">
        <v>29</v>
      </c>
      <c r="AK1293" s="0" t="n">
        <v>0</v>
      </c>
      <c r="AL1293" s="0" t="n">
        <v>0</v>
      </c>
    </row>
    <row r="1294">
      <c r="A1294" s="0" t="inlineStr">
        <is>
          <t>[상일동]</t>
        </is>
      </c>
      <c r="B1294" s="0" t="n">
        <v>15298</v>
      </c>
      <c r="C1294" s="0" t="n">
        <v>11</v>
      </c>
      <c r="D1294" s="0" t="inlineStr">
        <is>
          <t>삼성</t>
        </is>
      </c>
      <c r="E1294" s="0" t="inlineStr">
        <is>
          <t>1988.07.</t>
        </is>
      </c>
      <c r="F1294" s="0" t="n">
        <v>132</v>
      </c>
      <c r="G1294" s="0" t="n">
        <v>55.53</v>
      </c>
      <c r="H1294" s="0" t="n">
        <v>183.58</v>
      </c>
      <c r="I1294" s="0" t="n">
        <v>46.2</v>
      </c>
      <c r="J1294" s="0" t="n">
        <v>152.76</v>
      </c>
      <c r="K1294" s="0" t="n">
        <v>4</v>
      </c>
      <c r="T1294" s="0" t="n">
        <v>4</v>
      </c>
      <c r="U1294" s="0" t="n">
        <v>2</v>
      </c>
      <c r="V1294" s="0" t="inlineStr">
        <is>
          <t>계단식</t>
        </is>
      </c>
      <c r="W1294" s="0" t="inlineStr">
        <is>
          <t>183A</t>
        </is>
      </c>
      <c r="X1294" s="0" t="n">
        <v>3</v>
      </c>
      <c r="Y1294" s="0" t="n">
        <v>3</v>
      </c>
      <c r="Z1294" s="0" t="inlineStr">
        <is>
          <t>https://new.land.naver.com/complexes/15298?tab=detail&amp;rf=Y</t>
        </is>
      </c>
      <c r="AA1294" s="0" t="inlineStr">
        <is>
          <t>서울시 강동구 상일동 173</t>
        </is>
      </c>
      <c r="AB1294" s="0" t="inlineStr">
        <is>
          <t>서울시</t>
        </is>
      </c>
      <c r="AC1294" s="0" t="inlineStr">
        <is>
          <t>강동구</t>
        </is>
      </c>
      <c r="AD1294" s="0" t="inlineStr">
        <is>
          <t>상일동</t>
        </is>
      </c>
      <c r="AG1294" s="0" t="inlineStr">
        <is>
          <t>서울시 강동구 상암로 325</t>
        </is>
      </c>
      <c r="AH1294" s="0" t="n">
        <v>0</v>
      </c>
      <c r="AI1294" s="0" t="n">
        <v>89</v>
      </c>
      <c r="AJ1294" s="0" t="n">
        <v>29</v>
      </c>
      <c r="AK1294" s="0" t="n">
        <v>0</v>
      </c>
      <c r="AL1294" s="0" t="n">
        <v>0</v>
      </c>
    </row>
    <row r="1295">
      <c r="A1295" s="0" t="inlineStr">
        <is>
          <t>[상일동]</t>
        </is>
      </c>
      <c r="B1295" s="0" t="n">
        <v>15298</v>
      </c>
      <c r="C1295" s="0" t="n">
        <v>12</v>
      </c>
      <c r="D1295" s="0" t="inlineStr">
        <is>
          <t>삼성</t>
        </is>
      </c>
      <c r="E1295" s="0" t="inlineStr">
        <is>
          <t>1988.07.</t>
        </is>
      </c>
      <c r="F1295" s="0" t="n">
        <v>132</v>
      </c>
      <c r="G1295" s="0" t="n">
        <v>56</v>
      </c>
      <c r="H1295" s="0" t="n">
        <v>185.13</v>
      </c>
      <c r="I1295" s="0" t="n">
        <v>42.93</v>
      </c>
      <c r="J1295" s="0" t="n">
        <v>141.95</v>
      </c>
      <c r="K1295" s="0" t="n">
        <v>2</v>
      </c>
      <c r="T1295" s="0" t="n">
        <v>4</v>
      </c>
      <c r="U1295" s="0" t="n">
        <v>2</v>
      </c>
      <c r="V1295" s="0" t="inlineStr">
        <is>
          <t>계단식</t>
        </is>
      </c>
      <c r="W1295" s="0" t="inlineStr">
        <is>
          <t>185B</t>
        </is>
      </c>
      <c r="X1295" s="0" t="n">
        <v>3</v>
      </c>
      <c r="Y1295" s="0" t="n">
        <v>3</v>
      </c>
      <c r="Z1295" s="0" t="inlineStr">
        <is>
          <t>https://new.land.naver.com/complexes/15298?tab=detail&amp;rf=Y</t>
        </is>
      </c>
      <c r="AA1295" s="0" t="inlineStr">
        <is>
          <t>서울시 강동구 상일동 173</t>
        </is>
      </c>
      <c r="AB1295" s="0" t="inlineStr">
        <is>
          <t>서울시</t>
        </is>
      </c>
      <c r="AC1295" s="0" t="inlineStr">
        <is>
          <t>강동구</t>
        </is>
      </c>
      <c r="AD1295" s="0" t="inlineStr">
        <is>
          <t>상일동</t>
        </is>
      </c>
      <c r="AG1295" s="0" t="inlineStr">
        <is>
          <t>서울시 강동구 상암로 325</t>
        </is>
      </c>
      <c r="AH1295" s="0" t="n">
        <v>0</v>
      </c>
      <c r="AI1295" s="0" t="n">
        <v>89</v>
      </c>
      <c r="AJ1295" s="0" t="n">
        <v>29</v>
      </c>
      <c r="AK1295" s="0" t="n">
        <v>0</v>
      </c>
      <c r="AL1295" s="0" t="n">
        <v>0</v>
      </c>
    </row>
    <row r="1296">
      <c r="A1296" s="0" t="inlineStr">
        <is>
          <t>[상일동]</t>
        </is>
      </c>
      <c r="B1296" s="0" t="n">
        <v>15298</v>
      </c>
      <c r="C1296" s="0" t="n">
        <v>13</v>
      </c>
      <c r="D1296" s="0" t="inlineStr">
        <is>
          <t>삼성</t>
        </is>
      </c>
      <c r="E1296" s="0" t="inlineStr">
        <is>
          <t>1988.07.</t>
        </is>
      </c>
      <c r="F1296" s="0" t="n">
        <v>132</v>
      </c>
      <c r="G1296" s="0" t="n">
        <v>56.6</v>
      </c>
      <c r="H1296" s="0" t="n">
        <v>187.13</v>
      </c>
      <c r="I1296" s="0" t="n">
        <v>48.16</v>
      </c>
      <c r="J1296" s="0" t="n">
        <v>159.23</v>
      </c>
      <c r="K1296" s="0" t="n">
        <v>2</v>
      </c>
      <c r="T1296" s="0" t="n">
        <v>4</v>
      </c>
      <c r="U1296" s="0" t="n">
        <v>2</v>
      </c>
      <c r="V1296" s="0" t="inlineStr">
        <is>
          <t>계단식</t>
        </is>
      </c>
      <c r="W1296" s="0" t="inlineStr">
        <is>
          <t>187A</t>
        </is>
      </c>
      <c r="X1296" s="0" t="n">
        <v>3</v>
      </c>
      <c r="Y1296" s="0" t="n">
        <v>3</v>
      </c>
      <c r="Z1296" s="0" t="inlineStr">
        <is>
          <t>https://new.land.naver.com/complexes/15298?tab=detail&amp;rf=Y</t>
        </is>
      </c>
      <c r="AA1296" s="0" t="inlineStr">
        <is>
          <t>서울시 강동구 상일동 173</t>
        </is>
      </c>
      <c r="AB1296" s="0" t="inlineStr">
        <is>
          <t>서울시</t>
        </is>
      </c>
      <c r="AC1296" s="0" t="inlineStr">
        <is>
          <t>강동구</t>
        </is>
      </c>
      <c r="AD1296" s="0" t="inlineStr">
        <is>
          <t>상일동</t>
        </is>
      </c>
      <c r="AG1296" s="0" t="inlineStr">
        <is>
          <t>서울시 강동구 상암로 325</t>
        </is>
      </c>
      <c r="AH1296" s="0" t="n">
        <v>0</v>
      </c>
      <c r="AI1296" s="0" t="n">
        <v>89</v>
      </c>
      <c r="AJ1296" s="0" t="n">
        <v>29</v>
      </c>
      <c r="AK1296" s="0" t="n">
        <v>0</v>
      </c>
      <c r="AL1296" s="0" t="n">
        <v>0</v>
      </c>
    </row>
    <row r="1297">
      <c r="A1297" s="0" t="inlineStr">
        <is>
          <t>[상일동]</t>
        </is>
      </c>
      <c r="B1297" s="0" t="n">
        <v>15298</v>
      </c>
      <c r="C1297" s="0" t="n">
        <v>14</v>
      </c>
      <c r="D1297" s="0" t="inlineStr">
        <is>
          <t>삼성</t>
        </is>
      </c>
      <c r="E1297" s="0" t="inlineStr">
        <is>
          <t>1988.07.</t>
        </is>
      </c>
      <c r="F1297" s="0" t="n">
        <v>132</v>
      </c>
      <c r="G1297" s="0" t="n">
        <v>57</v>
      </c>
      <c r="H1297" s="0" t="n">
        <v>188.44</v>
      </c>
      <c r="I1297" s="0" t="n">
        <v>48.22</v>
      </c>
      <c r="J1297" s="0" t="n">
        <v>159.41</v>
      </c>
      <c r="K1297" s="0" t="n">
        <v>2</v>
      </c>
      <c r="T1297" s="0" t="n">
        <v>4</v>
      </c>
      <c r="U1297" s="0" t="n">
        <v>2</v>
      </c>
      <c r="V1297" s="0" t="inlineStr">
        <is>
          <t>계단식</t>
        </is>
      </c>
      <c r="W1297" s="0" t="inlineStr">
        <is>
          <t>188B</t>
        </is>
      </c>
      <c r="X1297" s="0" t="n">
        <v>3</v>
      </c>
      <c r="Y1297" s="0" t="n">
        <v>3</v>
      </c>
      <c r="Z1297" s="0" t="inlineStr">
        <is>
          <t>https://new.land.naver.com/complexes/15298?tab=detail&amp;rf=Y</t>
        </is>
      </c>
      <c r="AA1297" s="0" t="inlineStr">
        <is>
          <t>서울시 강동구 상일동 173</t>
        </is>
      </c>
      <c r="AB1297" s="0" t="inlineStr">
        <is>
          <t>서울시</t>
        </is>
      </c>
      <c r="AC1297" s="0" t="inlineStr">
        <is>
          <t>강동구</t>
        </is>
      </c>
      <c r="AD1297" s="0" t="inlineStr">
        <is>
          <t>상일동</t>
        </is>
      </c>
      <c r="AG1297" s="0" t="inlineStr">
        <is>
          <t>서울시 강동구 상암로 325</t>
        </is>
      </c>
      <c r="AH1297" s="0" t="n">
        <v>0</v>
      </c>
      <c r="AI1297" s="0" t="n">
        <v>89</v>
      </c>
      <c r="AJ1297" s="0" t="n">
        <v>29</v>
      </c>
      <c r="AK1297" s="0" t="n">
        <v>0</v>
      </c>
      <c r="AL1297" s="0" t="n">
        <v>0</v>
      </c>
    </row>
    <row r="1298">
      <c r="A1298" s="0" t="inlineStr">
        <is>
          <t>[상일동]</t>
        </is>
      </c>
      <c r="B1298" s="0" t="n">
        <v>15298</v>
      </c>
      <c r="C1298" s="0" t="n">
        <v>15</v>
      </c>
      <c r="D1298" s="0" t="inlineStr">
        <is>
          <t>삼성</t>
        </is>
      </c>
      <c r="E1298" s="0" t="inlineStr">
        <is>
          <t>1988.07.</t>
        </is>
      </c>
      <c r="F1298" s="0" t="n">
        <v>132</v>
      </c>
      <c r="G1298" s="0" t="n">
        <v>57.93</v>
      </c>
      <c r="H1298" s="0" t="n">
        <v>191.51</v>
      </c>
      <c r="I1298" s="0" t="n">
        <v>50</v>
      </c>
      <c r="J1298" s="0" t="n">
        <v>165.32</v>
      </c>
      <c r="K1298" s="0" t="n">
        <v>4</v>
      </c>
      <c r="T1298" s="0" t="n">
        <v>4</v>
      </c>
      <c r="U1298" s="0" t="n">
        <v>2</v>
      </c>
      <c r="V1298" s="0" t="inlineStr">
        <is>
          <t>계단식</t>
        </is>
      </c>
      <c r="W1298" s="0" t="inlineStr">
        <is>
          <t>191A</t>
        </is>
      </c>
      <c r="X1298" s="0" t="n">
        <v>3</v>
      </c>
      <c r="Y1298" s="0" t="n">
        <v>3</v>
      </c>
      <c r="Z1298" s="0" t="inlineStr">
        <is>
          <t>https://new.land.naver.com/complexes/15298?tab=detail&amp;rf=Y</t>
        </is>
      </c>
      <c r="AA1298" s="0" t="inlineStr">
        <is>
          <t>서울시 강동구 상일동 173</t>
        </is>
      </c>
      <c r="AB1298" s="0" t="inlineStr">
        <is>
          <t>서울시</t>
        </is>
      </c>
      <c r="AC1298" s="0" t="inlineStr">
        <is>
          <t>강동구</t>
        </is>
      </c>
      <c r="AD1298" s="0" t="inlineStr">
        <is>
          <t>상일동</t>
        </is>
      </c>
      <c r="AG1298" s="0" t="inlineStr">
        <is>
          <t>서울시 강동구 상암로 325</t>
        </is>
      </c>
      <c r="AH1298" s="0" t="n">
        <v>0</v>
      </c>
      <c r="AI1298" s="0" t="n">
        <v>89</v>
      </c>
      <c r="AJ1298" s="0" t="n">
        <v>29</v>
      </c>
      <c r="AK1298" s="0" t="n">
        <v>0</v>
      </c>
      <c r="AL1298" s="0" t="n">
        <v>0</v>
      </c>
    </row>
    <row r="1299">
      <c r="A1299" s="0" t="inlineStr">
        <is>
          <t>[상일동]</t>
        </is>
      </c>
      <c r="B1299" s="0" t="n">
        <v>15298</v>
      </c>
      <c r="C1299" s="0" t="n">
        <v>16</v>
      </c>
      <c r="D1299" s="0" t="inlineStr">
        <is>
          <t>삼성</t>
        </is>
      </c>
      <c r="E1299" s="0" t="inlineStr">
        <is>
          <t>1988.07.</t>
        </is>
      </c>
      <c r="F1299" s="0" t="n">
        <v>132</v>
      </c>
      <c r="G1299" s="0" t="n">
        <v>58.01</v>
      </c>
      <c r="H1299" s="0" t="n">
        <v>191.8</v>
      </c>
      <c r="I1299" s="0" t="n">
        <v>42.93</v>
      </c>
      <c r="J1299" s="0" t="n">
        <v>141.95</v>
      </c>
      <c r="K1299" s="0" t="n">
        <v>2</v>
      </c>
      <c r="T1299" s="0" t="n">
        <v>4</v>
      </c>
      <c r="U1299" s="0" t="n">
        <v>2</v>
      </c>
      <c r="V1299" s="0" t="inlineStr">
        <is>
          <t>계단식</t>
        </is>
      </c>
      <c r="W1299" s="0" t="inlineStr">
        <is>
          <t>191B</t>
        </is>
      </c>
      <c r="X1299" s="0" t="n">
        <v>3</v>
      </c>
      <c r="Y1299" s="0" t="n">
        <v>3</v>
      </c>
      <c r="Z1299" s="0" t="inlineStr">
        <is>
          <t>https://new.land.naver.com/complexes/15298?tab=detail&amp;rf=Y</t>
        </is>
      </c>
      <c r="AA1299" s="0" t="inlineStr">
        <is>
          <t>서울시 강동구 상일동 173</t>
        </is>
      </c>
      <c r="AB1299" s="0" t="inlineStr">
        <is>
          <t>서울시</t>
        </is>
      </c>
      <c r="AC1299" s="0" t="inlineStr">
        <is>
          <t>강동구</t>
        </is>
      </c>
      <c r="AD1299" s="0" t="inlineStr">
        <is>
          <t>상일동</t>
        </is>
      </c>
      <c r="AG1299" s="0" t="inlineStr">
        <is>
          <t>서울시 강동구 상암로 325</t>
        </is>
      </c>
      <c r="AH1299" s="0" t="n">
        <v>0</v>
      </c>
      <c r="AI1299" s="0" t="n">
        <v>89</v>
      </c>
      <c r="AJ1299" s="0" t="n">
        <v>29</v>
      </c>
      <c r="AK1299" s="0" t="n">
        <v>0</v>
      </c>
      <c r="AL1299" s="0" t="n">
        <v>0</v>
      </c>
    </row>
    <row r="1300">
      <c r="A1300" s="0" t="inlineStr">
        <is>
          <t>[상일동]</t>
        </is>
      </c>
      <c r="B1300" s="0" t="n">
        <v>15298</v>
      </c>
      <c r="C1300" s="0" t="n">
        <v>17</v>
      </c>
      <c r="D1300" s="0" t="inlineStr">
        <is>
          <t>삼성</t>
        </is>
      </c>
      <c r="E1300" s="0" t="inlineStr">
        <is>
          <t>1988.07.</t>
        </is>
      </c>
      <c r="F1300" s="0" t="n">
        <v>132</v>
      </c>
      <c r="G1300" s="0" t="n">
        <v>58.35</v>
      </c>
      <c r="H1300" s="0" t="n">
        <v>192.9</v>
      </c>
      <c r="I1300" s="0" t="n">
        <v>42.28</v>
      </c>
      <c r="J1300" s="0" t="n">
        <v>139.77</v>
      </c>
      <c r="K1300" s="0" t="n">
        <v>1</v>
      </c>
      <c r="T1300" s="0" t="n">
        <v>4</v>
      </c>
      <c r="U1300" s="0" t="n">
        <v>2</v>
      </c>
      <c r="V1300" s="0" t="inlineStr">
        <is>
          <t>계단식</t>
        </is>
      </c>
      <c r="W1300" s="0" t="inlineStr">
        <is>
          <t>192C</t>
        </is>
      </c>
      <c r="X1300" s="0" t="n">
        <v>3</v>
      </c>
      <c r="Y1300" s="0" t="n">
        <v>3</v>
      </c>
      <c r="Z1300" s="0" t="inlineStr">
        <is>
          <t>https://new.land.naver.com/complexes/15298?tab=detail&amp;rf=Y</t>
        </is>
      </c>
      <c r="AA1300" s="0" t="inlineStr">
        <is>
          <t>서울시 강동구 상일동 173</t>
        </is>
      </c>
      <c r="AB1300" s="0" t="inlineStr">
        <is>
          <t>서울시</t>
        </is>
      </c>
      <c r="AC1300" s="0" t="inlineStr">
        <is>
          <t>강동구</t>
        </is>
      </c>
      <c r="AD1300" s="0" t="inlineStr">
        <is>
          <t>상일동</t>
        </is>
      </c>
      <c r="AG1300" s="0" t="inlineStr">
        <is>
          <t>서울시 강동구 상암로 325</t>
        </is>
      </c>
      <c r="AH1300" s="0" t="n">
        <v>0</v>
      </c>
      <c r="AI1300" s="0" t="n">
        <v>89</v>
      </c>
      <c r="AJ1300" s="0" t="n">
        <v>29</v>
      </c>
      <c r="AK1300" s="0" t="n">
        <v>0</v>
      </c>
      <c r="AL1300" s="0" t="n">
        <v>0</v>
      </c>
    </row>
    <row r="1301">
      <c r="A1301" s="0" t="inlineStr">
        <is>
          <t>[상일동]</t>
        </is>
      </c>
      <c r="B1301" s="0" t="n">
        <v>15298</v>
      </c>
      <c r="C1301" s="0" t="n">
        <v>18</v>
      </c>
      <c r="D1301" s="0" t="inlineStr">
        <is>
          <t>삼성</t>
        </is>
      </c>
      <c r="E1301" s="0" t="inlineStr">
        <is>
          <t>1988.07.</t>
        </is>
      </c>
      <c r="F1301" s="0" t="n">
        <v>132</v>
      </c>
      <c r="G1301" s="0" t="n">
        <v>58.9</v>
      </c>
      <c r="H1301" s="0" t="n">
        <v>194.72</v>
      </c>
      <c r="I1301" s="0" t="n">
        <v>50.71</v>
      </c>
      <c r="J1301" s="0" t="n">
        <v>167.66</v>
      </c>
      <c r="K1301" s="0" t="n">
        <v>1</v>
      </c>
      <c r="T1301" s="0" t="n">
        <v>5</v>
      </c>
      <c r="U1301" s="0" t="n">
        <v>2</v>
      </c>
      <c r="V1301" s="0" t="inlineStr">
        <is>
          <t>계단식</t>
        </is>
      </c>
      <c r="W1301" s="0" t="n">
        <v>194</v>
      </c>
      <c r="X1301" s="0" t="n">
        <v>3</v>
      </c>
      <c r="Y1301" s="0" t="n">
        <v>3</v>
      </c>
      <c r="Z1301" s="0" t="inlineStr">
        <is>
          <t>https://new.land.naver.com/complexes/15298?tab=detail&amp;rf=Y</t>
        </is>
      </c>
      <c r="AA1301" s="0" t="inlineStr">
        <is>
          <t>서울시 강동구 상일동 173</t>
        </is>
      </c>
      <c r="AB1301" s="0" t="inlineStr">
        <is>
          <t>서울시</t>
        </is>
      </c>
      <c r="AC1301" s="0" t="inlineStr">
        <is>
          <t>강동구</t>
        </is>
      </c>
      <c r="AD1301" s="0" t="inlineStr">
        <is>
          <t>상일동</t>
        </is>
      </c>
      <c r="AG1301" s="0" t="inlineStr">
        <is>
          <t>서울시 강동구 상암로 325</t>
        </is>
      </c>
      <c r="AH1301" s="0" t="n">
        <v>0</v>
      </c>
      <c r="AI1301" s="0" t="n">
        <v>89</v>
      </c>
      <c r="AJ1301" s="0" t="n">
        <v>29</v>
      </c>
      <c r="AK1301" s="0" t="n">
        <v>0</v>
      </c>
      <c r="AL1301" s="0" t="n">
        <v>0</v>
      </c>
    </row>
    <row r="1302">
      <c r="A1302" s="0" t="inlineStr">
        <is>
          <t>[상일동]</t>
        </is>
      </c>
      <c r="B1302" s="0" t="n">
        <v>15298</v>
      </c>
      <c r="C1302" s="0" t="n">
        <v>19</v>
      </c>
      <c r="D1302" s="0" t="inlineStr">
        <is>
          <t>삼성</t>
        </is>
      </c>
      <c r="E1302" s="0" t="inlineStr">
        <is>
          <t>1988.07.</t>
        </is>
      </c>
      <c r="F1302" s="0" t="n">
        <v>132</v>
      </c>
      <c r="G1302" s="0" t="n">
        <v>60.22</v>
      </c>
      <c r="H1302" s="0" t="n">
        <v>199.09</v>
      </c>
      <c r="I1302" s="0" t="n">
        <v>44.4</v>
      </c>
      <c r="J1302" s="0" t="n">
        <v>146.78</v>
      </c>
      <c r="K1302" s="0" t="n">
        <v>4</v>
      </c>
      <c r="T1302" s="0" t="n">
        <v>4</v>
      </c>
      <c r="U1302" s="0" t="n">
        <v>2</v>
      </c>
      <c r="V1302" s="0" t="inlineStr">
        <is>
          <t>계단식</t>
        </is>
      </c>
      <c r="W1302" s="0" t="n">
        <v>199</v>
      </c>
      <c r="X1302" s="0" t="n">
        <v>3</v>
      </c>
      <c r="Y1302" s="0" t="n">
        <v>3</v>
      </c>
      <c r="Z1302" s="0" t="inlineStr">
        <is>
          <t>https://new.land.naver.com/complexes/15298?tab=detail&amp;rf=Y</t>
        </is>
      </c>
      <c r="AA1302" s="0" t="inlineStr">
        <is>
          <t>서울시 강동구 상일동 173</t>
        </is>
      </c>
      <c r="AB1302" s="0" t="inlineStr">
        <is>
          <t>서울시</t>
        </is>
      </c>
      <c r="AC1302" s="0" t="inlineStr">
        <is>
          <t>강동구</t>
        </is>
      </c>
      <c r="AD1302" s="0" t="inlineStr">
        <is>
          <t>상일동</t>
        </is>
      </c>
      <c r="AG1302" s="0" t="inlineStr">
        <is>
          <t>서울시 강동구 상암로 325</t>
        </is>
      </c>
      <c r="AH1302" s="0" t="n">
        <v>0</v>
      </c>
      <c r="AI1302" s="0" t="n">
        <v>89</v>
      </c>
      <c r="AJ1302" s="0" t="n">
        <v>29</v>
      </c>
      <c r="AK1302" s="0" t="n">
        <v>0</v>
      </c>
      <c r="AL1302" s="0" t="n">
        <v>0</v>
      </c>
    </row>
    <row r="1303">
      <c r="A1303" s="0" t="inlineStr">
        <is>
          <t>[상일동]</t>
        </is>
      </c>
      <c r="B1303" s="0" t="n">
        <v>15298</v>
      </c>
      <c r="C1303" s="0" t="n">
        <v>20</v>
      </c>
      <c r="D1303" s="0" t="inlineStr">
        <is>
          <t>삼성</t>
        </is>
      </c>
      <c r="E1303" s="0" t="inlineStr">
        <is>
          <t>1988.07.</t>
        </is>
      </c>
      <c r="F1303" s="0" t="n">
        <v>132</v>
      </c>
      <c r="G1303" s="0" t="n">
        <v>60.63</v>
      </c>
      <c r="H1303" s="0" t="n">
        <v>200.43</v>
      </c>
      <c r="I1303" s="0" t="n">
        <v>45.81</v>
      </c>
      <c r="J1303" s="0" t="n">
        <v>151.46</v>
      </c>
      <c r="K1303" s="0" t="n">
        <v>1</v>
      </c>
      <c r="T1303" s="0" t="n">
        <v>4</v>
      </c>
      <c r="U1303" s="0" t="n">
        <v>2</v>
      </c>
      <c r="V1303" s="0" t="inlineStr">
        <is>
          <t>계단식</t>
        </is>
      </c>
      <c r="W1303" s="0" t="n">
        <v>200</v>
      </c>
      <c r="X1303" s="0" t="n">
        <v>3</v>
      </c>
      <c r="Y1303" s="0" t="n">
        <v>3</v>
      </c>
      <c r="Z1303" s="0" t="inlineStr">
        <is>
          <t>https://new.land.naver.com/complexes/15298?tab=detail&amp;rf=Y</t>
        </is>
      </c>
      <c r="AA1303" s="0" t="inlineStr">
        <is>
          <t>서울시 강동구 상일동 173</t>
        </is>
      </c>
      <c r="AB1303" s="0" t="inlineStr">
        <is>
          <t>서울시</t>
        </is>
      </c>
      <c r="AC1303" s="0" t="inlineStr">
        <is>
          <t>강동구</t>
        </is>
      </c>
      <c r="AD1303" s="0" t="inlineStr">
        <is>
          <t>상일동</t>
        </is>
      </c>
      <c r="AG1303" s="0" t="inlineStr">
        <is>
          <t>서울시 강동구 상암로 325</t>
        </is>
      </c>
      <c r="AH1303" s="0" t="n">
        <v>0</v>
      </c>
      <c r="AI1303" s="0" t="n">
        <v>89</v>
      </c>
      <c r="AJ1303" s="0" t="n">
        <v>29</v>
      </c>
      <c r="AK1303" s="0" t="n">
        <v>0</v>
      </c>
      <c r="AL1303" s="0" t="n">
        <v>0</v>
      </c>
    </row>
    <row r="1304">
      <c r="A1304" s="0" t="inlineStr">
        <is>
          <t>[상일동]</t>
        </is>
      </c>
      <c r="B1304" s="0" t="n">
        <v>15298</v>
      </c>
      <c r="C1304" s="0" t="n">
        <v>21</v>
      </c>
      <c r="D1304" s="0" t="inlineStr">
        <is>
          <t>삼성</t>
        </is>
      </c>
      <c r="E1304" s="0" t="inlineStr">
        <is>
          <t>1988.07.</t>
        </is>
      </c>
      <c r="F1304" s="0" t="n">
        <v>132</v>
      </c>
      <c r="G1304" s="0" t="n">
        <v>62.35</v>
      </c>
      <c r="H1304" s="0" t="n">
        <v>206.12</v>
      </c>
      <c r="I1304" s="0" t="n">
        <v>51.65</v>
      </c>
      <c r="J1304" s="0" t="n">
        <v>170.76</v>
      </c>
      <c r="K1304" s="0" t="n">
        <v>4</v>
      </c>
      <c r="T1304" s="0" t="n">
        <v>4</v>
      </c>
      <c r="U1304" s="0" t="n">
        <v>2</v>
      </c>
      <c r="V1304" s="0" t="inlineStr">
        <is>
          <t>계단식</t>
        </is>
      </c>
      <c r="W1304" s="0" t="inlineStr">
        <is>
          <t>206A</t>
        </is>
      </c>
      <c r="X1304" s="0" t="n">
        <v>3</v>
      </c>
      <c r="Y1304" s="0" t="n">
        <v>3</v>
      </c>
      <c r="Z1304" s="0" t="inlineStr">
        <is>
          <t>https://new.land.naver.com/complexes/15298?tab=detail&amp;rf=Y</t>
        </is>
      </c>
      <c r="AA1304" s="0" t="inlineStr">
        <is>
          <t>서울시 강동구 상일동 173</t>
        </is>
      </c>
      <c r="AB1304" s="0" t="inlineStr">
        <is>
          <t>서울시</t>
        </is>
      </c>
      <c r="AC1304" s="0" t="inlineStr">
        <is>
          <t>강동구</t>
        </is>
      </c>
      <c r="AD1304" s="0" t="inlineStr">
        <is>
          <t>상일동</t>
        </is>
      </c>
      <c r="AG1304" s="0" t="inlineStr">
        <is>
          <t>서울시 강동구 상암로 325</t>
        </is>
      </c>
      <c r="AH1304" s="0" t="n">
        <v>0</v>
      </c>
      <c r="AI1304" s="0" t="n">
        <v>89</v>
      </c>
      <c r="AJ1304" s="0" t="n">
        <v>29</v>
      </c>
      <c r="AK1304" s="0" t="n">
        <v>0</v>
      </c>
      <c r="AL1304" s="0" t="n">
        <v>0</v>
      </c>
    </row>
    <row r="1305">
      <c r="A1305" s="0" t="inlineStr">
        <is>
          <t>[상일동]</t>
        </is>
      </c>
      <c r="B1305" s="0" t="n">
        <v>15298</v>
      </c>
      <c r="C1305" s="0" t="n">
        <v>22</v>
      </c>
      <c r="D1305" s="0" t="inlineStr">
        <is>
          <t>삼성</t>
        </is>
      </c>
      <c r="E1305" s="0" t="inlineStr">
        <is>
          <t>1988.07.</t>
        </is>
      </c>
      <c r="F1305" s="0" t="n">
        <v>132</v>
      </c>
      <c r="G1305" s="0" t="n">
        <v>62.49</v>
      </c>
      <c r="H1305" s="0" t="n">
        <v>206.59</v>
      </c>
      <c r="I1305" s="0" t="n">
        <v>52.32</v>
      </c>
      <c r="J1305" s="0" t="n">
        <v>172.97</v>
      </c>
      <c r="K1305" s="0" t="n">
        <v>2</v>
      </c>
      <c r="T1305" s="0" t="n">
        <v>5</v>
      </c>
      <c r="U1305" s="0" t="n">
        <v>2</v>
      </c>
      <c r="V1305" s="0" t="inlineStr">
        <is>
          <t>계단식</t>
        </is>
      </c>
      <c r="W1305" s="0" t="inlineStr">
        <is>
          <t>206B</t>
        </is>
      </c>
      <c r="X1305" s="0" t="n">
        <v>3</v>
      </c>
      <c r="Y1305" s="0" t="n">
        <v>3</v>
      </c>
      <c r="Z1305" s="0" t="inlineStr">
        <is>
          <t>https://new.land.naver.com/complexes/15298?tab=detail&amp;rf=Y</t>
        </is>
      </c>
      <c r="AA1305" s="0" t="inlineStr">
        <is>
          <t>서울시 강동구 상일동 173</t>
        </is>
      </c>
      <c r="AB1305" s="0" t="inlineStr">
        <is>
          <t>서울시</t>
        </is>
      </c>
      <c r="AC1305" s="0" t="inlineStr">
        <is>
          <t>강동구</t>
        </is>
      </c>
      <c r="AD1305" s="0" t="inlineStr">
        <is>
          <t>상일동</t>
        </is>
      </c>
      <c r="AG1305" s="0" t="inlineStr">
        <is>
          <t>서울시 강동구 상암로 325</t>
        </is>
      </c>
      <c r="AH1305" s="0" t="n">
        <v>0</v>
      </c>
      <c r="AI1305" s="0" t="n">
        <v>89</v>
      </c>
      <c r="AJ1305" s="0" t="n">
        <v>29</v>
      </c>
      <c r="AK1305" s="0" t="n">
        <v>0</v>
      </c>
      <c r="AL1305" s="0" t="n">
        <v>0</v>
      </c>
    </row>
    <row r="1306">
      <c r="A1306" s="0" t="inlineStr">
        <is>
          <t>[상일동]</t>
        </is>
      </c>
      <c r="B1306" s="0" t="n">
        <v>15298</v>
      </c>
      <c r="C1306" s="0" t="n">
        <v>23</v>
      </c>
      <c r="D1306" s="0" t="inlineStr">
        <is>
          <t>삼성</t>
        </is>
      </c>
      <c r="E1306" s="0" t="inlineStr">
        <is>
          <t>1988.07.</t>
        </is>
      </c>
      <c r="F1306" s="0" t="n">
        <v>132</v>
      </c>
      <c r="G1306" s="0" t="n">
        <v>62.77</v>
      </c>
      <c r="H1306" s="0" t="n">
        <v>207.52</v>
      </c>
      <c r="I1306" s="0" t="n">
        <v>46.2</v>
      </c>
      <c r="J1306" s="0" t="n">
        <v>152.76</v>
      </c>
      <c r="K1306" s="0" t="n">
        <v>4</v>
      </c>
      <c r="T1306" s="0" t="n">
        <v>4</v>
      </c>
      <c r="U1306" s="0" t="n">
        <v>2</v>
      </c>
      <c r="V1306" s="0" t="inlineStr">
        <is>
          <t>계단식</t>
        </is>
      </c>
      <c r="W1306" s="0" t="n">
        <v>207</v>
      </c>
      <c r="X1306" s="0" t="n">
        <v>3</v>
      </c>
      <c r="Y1306" s="0" t="n">
        <v>3</v>
      </c>
      <c r="Z1306" s="0" t="inlineStr">
        <is>
          <t>https://new.land.naver.com/complexes/15298?tab=detail&amp;rf=Y</t>
        </is>
      </c>
      <c r="AA1306" s="0" t="inlineStr">
        <is>
          <t>서울시 강동구 상일동 173</t>
        </is>
      </c>
      <c r="AB1306" s="0" t="inlineStr">
        <is>
          <t>서울시</t>
        </is>
      </c>
      <c r="AC1306" s="0" t="inlineStr">
        <is>
          <t>강동구</t>
        </is>
      </c>
      <c r="AD1306" s="0" t="inlineStr">
        <is>
          <t>상일동</t>
        </is>
      </c>
      <c r="AG1306" s="0" t="inlineStr">
        <is>
          <t>서울시 강동구 상암로 325</t>
        </is>
      </c>
      <c r="AH1306" s="0" t="n">
        <v>0</v>
      </c>
      <c r="AI1306" s="0" t="n">
        <v>89</v>
      </c>
      <c r="AJ1306" s="0" t="n">
        <v>29</v>
      </c>
      <c r="AK1306" s="0" t="n">
        <v>0</v>
      </c>
      <c r="AL1306" s="0" t="n">
        <v>0</v>
      </c>
    </row>
    <row r="1307">
      <c r="A1307" s="0" t="inlineStr">
        <is>
          <t>[상일동]</t>
        </is>
      </c>
      <c r="B1307" s="0" t="n">
        <v>15298</v>
      </c>
      <c r="C1307" s="0" t="n">
        <v>24</v>
      </c>
      <c r="D1307" s="0" t="inlineStr">
        <is>
          <t>삼성</t>
        </is>
      </c>
      <c r="E1307" s="0" t="inlineStr">
        <is>
          <t>1988.07.</t>
        </is>
      </c>
      <c r="F1307" s="0" t="n">
        <v>132</v>
      </c>
      <c r="G1307" s="0" t="n">
        <v>70.5</v>
      </c>
      <c r="H1307" s="0" t="n">
        <v>233.09</v>
      </c>
      <c r="I1307" s="0" t="n">
        <v>52.32</v>
      </c>
      <c r="J1307" s="0" t="n">
        <v>172.97</v>
      </c>
      <c r="K1307" s="0" t="n">
        <v>2</v>
      </c>
      <c r="T1307" s="0" t="n">
        <v>4</v>
      </c>
      <c r="U1307" s="0" t="n">
        <v>2</v>
      </c>
      <c r="V1307" s="0" t="inlineStr">
        <is>
          <t>계단식</t>
        </is>
      </c>
      <c r="W1307" s="0" t="inlineStr">
        <is>
          <t>233A</t>
        </is>
      </c>
      <c r="X1307" s="0" t="n">
        <v>3</v>
      </c>
      <c r="Y1307" s="0" t="n">
        <v>3</v>
      </c>
      <c r="Z1307" s="0" t="inlineStr">
        <is>
          <t>https://new.land.naver.com/complexes/15298?tab=detail&amp;rf=Y</t>
        </is>
      </c>
      <c r="AA1307" s="0" t="inlineStr">
        <is>
          <t>서울시 강동구 상일동 173</t>
        </is>
      </c>
      <c r="AB1307" s="0" t="inlineStr">
        <is>
          <t>서울시</t>
        </is>
      </c>
      <c r="AC1307" s="0" t="inlineStr">
        <is>
          <t>강동구</t>
        </is>
      </c>
      <c r="AD1307" s="0" t="inlineStr">
        <is>
          <t>상일동</t>
        </is>
      </c>
      <c r="AG1307" s="0" t="inlineStr">
        <is>
          <t>서울시 강동구 상암로 325</t>
        </is>
      </c>
      <c r="AH1307" s="0" t="n">
        <v>0</v>
      </c>
      <c r="AI1307" s="0" t="n">
        <v>89</v>
      </c>
      <c r="AJ1307" s="0" t="n">
        <v>29</v>
      </c>
      <c r="AK1307" s="0" t="n">
        <v>0</v>
      </c>
      <c r="AL1307" s="0" t="n">
        <v>0</v>
      </c>
    </row>
    <row r="1308">
      <c r="A1308" s="0" t="inlineStr">
        <is>
          <t>[상일동]</t>
        </is>
      </c>
      <c r="B1308" s="0" t="n">
        <v>15298</v>
      </c>
      <c r="C1308" s="0" t="n">
        <v>25</v>
      </c>
      <c r="D1308" s="0" t="inlineStr">
        <is>
          <t>삼성</t>
        </is>
      </c>
      <c r="E1308" s="0" t="inlineStr">
        <is>
          <t>1988.07.</t>
        </is>
      </c>
      <c r="F1308" s="0" t="n">
        <v>132</v>
      </c>
      <c r="G1308" s="0" t="n">
        <v>71.22</v>
      </c>
      <c r="H1308" s="0" t="n">
        <v>235.47</v>
      </c>
      <c r="I1308" s="0" t="n">
        <v>59.51</v>
      </c>
      <c r="J1308" s="0" t="n">
        <v>196.73</v>
      </c>
      <c r="K1308" s="0" t="n">
        <v>2</v>
      </c>
      <c r="T1308" s="0" t="n">
        <v>5</v>
      </c>
      <c r="U1308" s="0" t="n">
        <v>3</v>
      </c>
      <c r="V1308" s="0" t="inlineStr">
        <is>
          <t>계단식</t>
        </is>
      </c>
      <c r="W1308" s="0" t="inlineStr">
        <is>
          <t>235B</t>
        </is>
      </c>
      <c r="X1308" s="0" t="n">
        <v>3</v>
      </c>
      <c r="Y1308" s="0" t="n">
        <v>3</v>
      </c>
      <c r="Z1308" s="0" t="inlineStr">
        <is>
          <t>https://new.land.naver.com/complexes/15298?tab=detail&amp;rf=Y</t>
        </is>
      </c>
      <c r="AA1308" s="0" t="inlineStr">
        <is>
          <t>서울시 강동구 상일동 173</t>
        </is>
      </c>
      <c r="AB1308" s="0" t="inlineStr">
        <is>
          <t>서울시</t>
        </is>
      </c>
      <c r="AC1308" s="0" t="inlineStr">
        <is>
          <t>강동구</t>
        </is>
      </c>
      <c r="AD1308" s="0" t="inlineStr">
        <is>
          <t>상일동</t>
        </is>
      </c>
      <c r="AG1308" s="0" t="inlineStr">
        <is>
          <t>서울시 강동구 상암로 325</t>
        </is>
      </c>
      <c r="AH1308" s="0" t="n">
        <v>0</v>
      </c>
      <c r="AI1308" s="0" t="n">
        <v>89</v>
      </c>
      <c r="AJ1308" s="0" t="n">
        <v>29</v>
      </c>
      <c r="AK1308" s="0" t="n">
        <v>0</v>
      </c>
      <c r="AL1308" s="0" t="n">
        <v>0</v>
      </c>
    </row>
    <row r="1309">
      <c r="A1309" s="0" t="inlineStr">
        <is>
          <t>[상일동]</t>
        </is>
      </c>
      <c r="B1309" s="0" t="n">
        <v>102235</v>
      </c>
      <c r="C1309" s="0" t="n">
        <v>1</v>
      </c>
      <c r="D1309" s="0" t="inlineStr">
        <is>
          <t>고덕리엔파크3단지</t>
        </is>
      </c>
      <c r="E1309" s="0" t="inlineStr">
        <is>
          <t>2011.01.</t>
        </is>
      </c>
      <c r="F1309" s="0" t="n">
        <v>2283</v>
      </c>
      <c r="G1309" s="0" t="n">
        <v>23.97</v>
      </c>
      <c r="H1309" s="0" t="n">
        <v>79.26000000000001</v>
      </c>
      <c r="I1309" s="0" t="n">
        <v>18.09</v>
      </c>
      <c r="J1309" s="0" t="n">
        <v>59.83</v>
      </c>
      <c r="K1309" s="0" t="n">
        <v>39</v>
      </c>
      <c r="T1309" s="0" t="n">
        <v>3</v>
      </c>
      <c r="U1309" s="0" t="n">
        <v>2</v>
      </c>
      <c r="V1309" s="0" t="inlineStr">
        <is>
          <t>복도식</t>
        </is>
      </c>
      <c r="W1309" s="0" t="inlineStr">
        <is>
          <t>79A</t>
        </is>
      </c>
      <c r="X1309" s="0" t="n">
        <v>20</v>
      </c>
      <c r="Y1309" s="0" t="n">
        <v>7</v>
      </c>
      <c r="Z1309" s="0" t="inlineStr">
        <is>
          <t>https://new.land.naver.com/complexes/102235?tab=detail&amp;rf=Y</t>
        </is>
      </c>
      <c r="AA1309" s="0" t="inlineStr">
        <is>
          <t>서울시 강동구 상일동 490</t>
        </is>
      </c>
      <c r="AB1309" s="0" t="inlineStr">
        <is>
          <t>서울시</t>
        </is>
      </c>
      <c r="AC1309" s="0" t="inlineStr">
        <is>
          <t>강동구</t>
        </is>
      </c>
      <c r="AD1309" s="0" t="inlineStr">
        <is>
          <t>상일동</t>
        </is>
      </c>
      <c r="AG1309" s="0" t="inlineStr">
        <is>
          <t>서울시 강동구 상일로 74</t>
        </is>
      </c>
      <c r="AH1309" s="0" t="n">
        <v>1814</v>
      </c>
      <c r="AI1309" s="0" t="n">
        <v>177</v>
      </c>
      <c r="AJ1309" s="0" t="n">
        <v>17</v>
      </c>
      <c r="AK1309" s="0" t="n">
        <v>2616</v>
      </c>
      <c r="AL1309" s="0" t="n">
        <v>1.15</v>
      </c>
    </row>
    <row r="1310">
      <c r="A1310" s="0" t="inlineStr">
        <is>
          <t>[상일동]</t>
        </is>
      </c>
      <c r="B1310" s="0" t="n">
        <v>102235</v>
      </c>
      <c r="C1310" s="0" t="n">
        <v>2</v>
      </c>
      <c r="D1310" s="0" t="inlineStr">
        <is>
          <t>고덕리엔파크3단지</t>
        </is>
      </c>
      <c r="E1310" s="0" t="inlineStr">
        <is>
          <t>2011.01.</t>
        </is>
      </c>
      <c r="F1310" s="0" t="n">
        <v>2283</v>
      </c>
      <c r="G1310" s="0" t="n">
        <v>23.97</v>
      </c>
      <c r="H1310" s="0" t="n">
        <v>79.23999999999999</v>
      </c>
      <c r="I1310" s="0" t="n">
        <v>18.06</v>
      </c>
      <c r="J1310" s="0" t="n">
        <v>59.72</v>
      </c>
      <c r="K1310" s="0" t="n">
        <v>39</v>
      </c>
      <c r="T1310" s="0" t="n">
        <v>3</v>
      </c>
      <c r="U1310" s="0" t="n">
        <v>2</v>
      </c>
      <c r="V1310" s="0" t="inlineStr">
        <is>
          <t>복도식</t>
        </is>
      </c>
      <c r="W1310" s="0" t="inlineStr">
        <is>
          <t>79B</t>
        </is>
      </c>
      <c r="X1310" s="0" t="n">
        <v>20</v>
      </c>
      <c r="Y1310" s="0" t="n">
        <v>7</v>
      </c>
      <c r="Z1310" s="0" t="inlineStr">
        <is>
          <t>https://new.land.naver.com/complexes/102235?tab=detail&amp;rf=Y</t>
        </is>
      </c>
      <c r="AA1310" s="0" t="inlineStr">
        <is>
          <t>서울시 강동구 상일동 490</t>
        </is>
      </c>
      <c r="AB1310" s="0" t="inlineStr">
        <is>
          <t>서울시</t>
        </is>
      </c>
      <c r="AC1310" s="0" t="inlineStr">
        <is>
          <t>강동구</t>
        </is>
      </c>
      <c r="AD1310" s="0" t="inlineStr">
        <is>
          <t>상일동</t>
        </is>
      </c>
      <c r="AG1310" s="0" t="inlineStr">
        <is>
          <t>서울시 강동구 상일로 74</t>
        </is>
      </c>
      <c r="AH1310" s="0" t="n">
        <v>1814</v>
      </c>
      <c r="AI1310" s="0" t="n">
        <v>177</v>
      </c>
      <c r="AJ1310" s="0" t="n">
        <v>17</v>
      </c>
      <c r="AK1310" s="0" t="n">
        <v>2616</v>
      </c>
      <c r="AL1310" s="0" t="n">
        <v>1.15</v>
      </c>
    </row>
    <row r="1311">
      <c r="A1311" s="0" t="inlineStr">
        <is>
          <t>[상일동]</t>
        </is>
      </c>
      <c r="B1311" s="0" t="n">
        <v>102235</v>
      </c>
      <c r="C1311" s="0" t="n">
        <v>3</v>
      </c>
      <c r="D1311" s="0" t="inlineStr">
        <is>
          <t>고덕리엔파크3단지</t>
        </is>
      </c>
      <c r="E1311" s="0" t="inlineStr">
        <is>
          <t>2011.01.</t>
        </is>
      </c>
      <c r="F1311" s="0" t="n">
        <v>2283</v>
      </c>
      <c r="G1311" s="0" t="n">
        <v>33.73</v>
      </c>
      <c r="H1311" s="0" t="n">
        <v>111.51</v>
      </c>
      <c r="I1311" s="0" t="n">
        <v>25.7</v>
      </c>
      <c r="J1311" s="0" t="n">
        <v>84.98</v>
      </c>
      <c r="K1311" s="0" t="n">
        <v>108</v>
      </c>
      <c r="T1311" s="0" t="n">
        <v>3</v>
      </c>
      <c r="U1311" s="0" t="n">
        <v>2</v>
      </c>
      <c r="V1311" s="0" t="inlineStr">
        <is>
          <t>복도식</t>
        </is>
      </c>
      <c r="W1311" s="0" t="inlineStr">
        <is>
          <t>111D</t>
        </is>
      </c>
      <c r="X1311" s="0" t="n">
        <v>20</v>
      </c>
      <c r="Y1311" s="0" t="n">
        <v>7</v>
      </c>
      <c r="Z1311" s="0" t="inlineStr">
        <is>
          <t>https://new.land.naver.com/complexes/102235?tab=detail&amp;rf=Y</t>
        </is>
      </c>
      <c r="AA1311" s="0" t="inlineStr">
        <is>
          <t>서울시 강동구 상일동 490</t>
        </is>
      </c>
      <c r="AB1311" s="0" t="inlineStr">
        <is>
          <t>서울시</t>
        </is>
      </c>
      <c r="AC1311" s="0" t="inlineStr">
        <is>
          <t>강동구</t>
        </is>
      </c>
      <c r="AD1311" s="0" t="inlineStr">
        <is>
          <t>상일동</t>
        </is>
      </c>
      <c r="AG1311" s="0" t="inlineStr">
        <is>
          <t>서울시 강동구 상일로 74</t>
        </is>
      </c>
      <c r="AH1311" s="0" t="n">
        <v>1814</v>
      </c>
      <c r="AI1311" s="0" t="n">
        <v>177</v>
      </c>
      <c r="AJ1311" s="0" t="n">
        <v>17</v>
      </c>
      <c r="AK1311" s="0" t="n">
        <v>2616</v>
      </c>
      <c r="AL1311" s="0" t="n">
        <v>1.15</v>
      </c>
    </row>
    <row r="1312">
      <c r="A1312" s="0" t="inlineStr">
        <is>
          <t>[상일동]</t>
        </is>
      </c>
      <c r="B1312" s="0" t="n">
        <v>102235</v>
      </c>
      <c r="C1312" s="0" t="n">
        <v>4</v>
      </c>
      <c r="D1312" s="0" t="inlineStr">
        <is>
          <t>고덕리엔파크3단지</t>
        </is>
      </c>
      <c r="E1312" s="0" t="inlineStr">
        <is>
          <t>2011.01.</t>
        </is>
      </c>
      <c r="F1312" s="0" t="n">
        <v>2283</v>
      </c>
      <c r="G1312" s="0" t="n">
        <v>33.79</v>
      </c>
      <c r="H1312" s="0" t="n">
        <v>111.72</v>
      </c>
      <c r="I1312" s="0" t="n">
        <v>25.7</v>
      </c>
      <c r="J1312" s="0" t="n">
        <v>84.95999999999999</v>
      </c>
      <c r="K1312" s="0" t="n">
        <v>84</v>
      </c>
      <c r="T1312" s="0" t="n">
        <v>3</v>
      </c>
      <c r="U1312" s="0" t="n">
        <v>2</v>
      </c>
      <c r="V1312" s="0" t="inlineStr">
        <is>
          <t>복도식</t>
        </is>
      </c>
      <c r="W1312" s="0" t="inlineStr">
        <is>
          <t>111A</t>
        </is>
      </c>
      <c r="X1312" s="0" t="n">
        <v>20</v>
      </c>
      <c r="Y1312" s="0" t="n">
        <v>7</v>
      </c>
      <c r="Z1312" s="0" t="inlineStr">
        <is>
          <t>https://new.land.naver.com/complexes/102235?tab=detail&amp;rf=Y</t>
        </is>
      </c>
      <c r="AA1312" s="0" t="inlineStr">
        <is>
          <t>서울시 강동구 상일동 490</t>
        </is>
      </c>
      <c r="AB1312" s="0" t="inlineStr">
        <is>
          <t>서울시</t>
        </is>
      </c>
      <c r="AC1312" s="0" t="inlineStr">
        <is>
          <t>강동구</t>
        </is>
      </c>
      <c r="AD1312" s="0" t="inlineStr">
        <is>
          <t>상일동</t>
        </is>
      </c>
      <c r="AG1312" s="0" t="inlineStr">
        <is>
          <t>서울시 강동구 상일로 74</t>
        </is>
      </c>
      <c r="AH1312" s="0" t="n">
        <v>1814</v>
      </c>
      <c r="AI1312" s="0" t="n">
        <v>177</v>
      </c>
      <c r="AJ1312" s="0" t="n">
        <v>17</v>
      </c>
      <c r="AK1312" s="0" t="n">
        <v>2616</v>
      </c>
      <c r="AL1312" s="0" t="n">
        <v>1.15</v>
      </c>
    </row>
    <row r="1313">
      <c r="A1313" s="0" t="inlineStr">
        <is>
          <t>[상일동]</t>
        </is>
      </c>
      <c r="B1313" s="0" t="n">
        <v>102235</v>
      </c>
      <c r="C1313" s="0" t="n">
        <v>5</v>
      </c>
      <c r="D1313" s="0" t="inlineStr">
        <is>
          <t>고덕리엔파크3단지</t>
        </is>
      </c>
      <c r="E1313" s="0" t="inlineStr">
        <is>
          <t>2011.01.</t>
        </is>
      </c>
      <c r="F1313" s="0" t="n">
        <v>2283</v>
      </c>
      <c r="G1313" s="0" t="n">
        <v>33.81</v>
      </c>
      <c r="H1313" s="0" t="n">
        <v>111.78</v>
      </c>
      <c r="I1313" s="0" t="n">
        <v>25.67</v>
      </c>
      <c r="J1313" s="0" t="n">
        <v>84.87</v>
      </c>
      <c r="K1313" s="0" t="n">
        <v>84</v>
      </c>
      <c r="T1313" s="0" t="n">
        <v>3</v>
      </c>
      <c r="U1313" s="0" t="n">
        <v>2</v>
      </c>
      <c r="V1313" s="0" t="inlineStr">
        <is>
          <t>계단식</t>
        </is>
      </c>
      <c r="W1313" s="0" t="inlineStr">
        <is>
          <t>111B</t>
        </is>
      </c>
      <c r="X1313" s="0" t="n">
        <v>20</v>
      </c>
      <c r="Y1313" s="0" t="n">
        <v>7</v>
      </c>
      <c r="Z1313" s="0" t="inlineStr">
        <is>
          <t>https://new.land.naver.com/complexes/102235?tab=detail&amp;rf=Y</t>
        </is>
      </c>
      <c r="AA1313" s="0" t="inlineStr">
        <is>
          <t>서울시 강동구 상일동 490</t>
        </is>
      </c>
      <c r="AB1313" s="0" t="inlineStr">
        <is>
          <t>서울시</t>
        </is>
      </c>
      <c r="AC1313" s="0" t="inlineStr">
        <is>
          <t>강동구</t>
        </is>
      </c>
      <c r="AD1313" s="0" t="inlineStr">
        <is>
          <t>상일동</t>
        </is>
      </c>
      <c r="AG1313" s="0" t="inlineStr">
        <is>
          <t>서울시 강동구 상일로 74</t>
        </is>
      </c>
      <c r="AH1313" s="0" t="n">
        <v>1814</v>
      </c>
      <c r="AI1313" s="0" t="n">
        <v>177</v>
      </c>
      <c r="AJ1313" s="0" t="n">
        <v>17</v>
      </c>
      <c r="AK1313" s="0" t="n">
        <v>2616</v>
      </c>
      <c r="AL1313" s="0" t="n">
        <v>1.15</v>
      </c>
    </row>
    <row r="1314">
      <c r="A1314" s="0" t="inlineStr">
        <is>
          <t>[상일동]</t>
        </is>
      </c>
      <c r="B1314" s="0" t="n">
        <v>102235</v>
      </c>
      <c r="C1314" s="0" t="n">
        <v>6</v>
      </c>
      <c r="D1314" s="0" t="inlineStr">
        <is>
          <t>고덕리엔파크3단지</t>
        </is>
      </c>
      <c r="E1314" s="0" t="inlineStr">
        <is>
          <t>2011.01.</t>
        </is>
      </c>
      <c r="F1314" s="0" t="n">
        <v>2283</v>
      </c>
      <c r="G1314" s="0" t="n">
        <v>34.03</v>
      </c>
      <c r="H1314" s="0" t="n">
        <v>112.52</v>
      </c>
      <c r="I1314" s="0" t="n">
        <v>25.66</v>
      </c>
      <c r="J1314" s="0" t="n">
        <v>84.83</v>
      </c>
      <c r="K1314" s="0" t="n">
        <v>108</v>
      </c>
      <c r="T1314" s="0" t="n">
        <v>3</v>
      </c>
      <c r="U1314" s="0" t="n">
        <v>2</v>
      </c>
      <c r="V1314" s="0" t="inlineStr">
        <is>
          <t>복도식</t>
        </is>
      </c>
      <c r="W1314" s="0" t="inlineStr">
        <is>
          <t>112C</t>
        </is>
      </c>
      <c r="X1314" s="0" t="n">
        <v>20</v>
      </c>
      <c r="Y1314" s="0" t="n">
        <v>7</v>
      </c>
      <c r="Z1314" s="0" t="inlineStr">
        <is>
          <t>https://new.land.naver.com/complexes/102235?tab=detail&amp;rf=Y</t>
        </is>
      </c>
      <c r="AA1314" s="0" t="inlineStr">
        <is>
          <t>서울시 강동구 상일동 490</t>
        </is>
      </c>
      <c r="AB1314" s="0" t="inlineStr">
        <is>
          <t>서울시</t>
        </is>
      </c>
      <c r="AC1314" s="0" t="inlineStr">
        <is>
          <t>강동구</t>
        </is>
      </c>
      <c r="AD1314" s="0" t="inlineStr">
        <is>
          <t>상일동</t>
        </is>
      </c>
      <c r="AG1314" s="0" t="inlineStr">
        <is>
          <t>서울시 강동구 상일로 74</t>
        </is>
      </c>
      <c r="AH1314" s="0" t="n">
        <v>1814</v>
      </c>
      <c r="AI1314" s="0" t="n">
        <v>177</v>
      </c>
      <c r="AJ1314" s="0" t="n">
        <v>17</v>
      </c>
      <c r="AK1314" s="0" t="n">
        <v>2616</v>
      </c>
      <c r="AL1314" s="0" t="n">
        <v>1.15</v>
      </c>
    </row>
    <row r="1315">
      <c r="A1315" s="0" t="inlineStr">
        <is>
          <t>[상일동]</t>
        </is>
      </c>
      <c r="B1315" s="0" t="n">
        <v>102235</v>
      </c>
      <c r="C1315" s="0" t="n">
        <v>7</v>
      </c>
      <c r="D1315" s="0" t="inlineStr">
        <is>
          <t>고덕리엔파크3단지</t>
        </is>
      </c>
      <c r="E1315" s="0" t="inlineStr">
        <is>
          <t>2011.01.</t>
        </is>
      </c>
      <c r="F1315" s="0" t="n">
        <v>2283</v>
      </c>
      <c r="G1315" s="0" t="n">
        <v>45.44</v>
      </c>
      <c r="H1315" s="0" t="n">
        <v>150.23</v>
      </c>
      <c r="I1315" s="0" t="n">
        <v>34.77</v>
      </c>
      <c r="J1315" s="0" t="n">
        <v>114.97</v>
      </c>
      <c r="K1315" s="0" t="n">
        <v>7</v>
      </c>
      <c r="T1315" s="0" t="n">
        <v>4</v>
      </c>
      <c r="U1315" s="0" t="n">
        <v>2</v>
      </c>
      <c r="V1315" s="0" t="inlineStr">
        <is>
          <t>복도식</t>
        </is>
      </c>
      <c r="W1315" s="0" t="inlineStr">
        <is>
          <t>150C</t>
        </is>
      </c>
      <c r="X1315" s="0" t="n">
        <v>20</v>
      </c>
      <c r="Y1315" s="0" t="n">
        <v>7</v>
      </c>
      <c r="Z1315" s="0" t="inlineStr">
        <is>
          <t>https://new.land.naver.com/complexes/102235?tab=detail&amp;rf=Y</t>
        </is>
      </c>
      <c r="AA1315" s="0" t="inlineStr">
        <is>
          <t>서울시 강동구 상일동 490</t>
        </is>
      </c>
      <c r="AB1315" s="0" t="inlineStr">
        <is>
          <t>서울시</t>
        </is>
      </c>
      <c r="AC1315" s="0" t="inlineStr">
        <is>
          <t>강동구</t>
        </is>
      </c>
      <c r="AD1315" s="0" t="inlineStr">
        <is>
          <t>상일동</t>
        </is>
      </c>
      <c r="AG1315" s="0" t="inlineStr">
        <is>
          <t>서울시 강동구 상일로 74</t>
        </is>
      </c>
      <c r="AH1315" s="0" t="n">
        <v>1814</v>
      </c>
      <c r="AI1315" s="0" t="n">
        <v>177</v>
      </c>
      <c r="AJ1315" s="0" t="n">
        <v>17</v>
      </c>
      <c r="AK1315" s="0" t="n">
        <v>2616</v>
      </c>
      <c r="AL1315" s="0" t="n">
        <v>1.15</v>
      </c>
    </row>
    <row r="1316">
      <c r="A1316" s="0" t="inlineStr">
        <is>
          <t>[상일동]</t>
        </is>
      </c>
      <c r="B1316" s="0" t="n">
        <v>134513</v>
      </c>
      <c r="C1316" s="0" t="n">
        <v>1</v>
      </c>
      <c r="D1316" s="0" t="inlineStr">
        <is>
          <t>강동리엔파크14단지</t>
        </is>
      </c>
      <c r="E1316" s="0" t="inlineStr">
        <is>
          <t>2021.02.</t>
        </is>
      </c>
      <c r="F1316" s="0" t="n">
        <v>943</v>
      </c>
      <c r="G1316" s="0" t="n">
        <v>21.78</v>
      </c>
      <c r="H1316" s="0" t="n">
        <v>72.01000000000001</v>
      </c>
      <c r="I1316" s="0" t="n">
        <v>15.03</v>
      </c>
      <c r="J1316" s="0" t="n">
        <v>49.69</v>
      </c>
      <c r="K1316" s="0" t="n">
        <v>206</v>
      </c>
      <c r="T1316" s="0" t="n">
        <v>2</v>
      </c>
      <c r="U1316" s="0" t="n">
        <v>1</v>
      </c>
      <c r="V1316" s="0" t="inlineStr">
        <is>
          <t>복도식</t>
        </is>
      </c>
      <c r="W1316" s="0" t="inlineStr">
        <is>
          <t>72A</t>
        </is>
      </c>
      <c r="X1316" s="0" t="n">
        <v>14</v>
      </c>
      <c r="Y1316" s="0" t="n">
        <v>8</v>
      </c>
      <c r="Z1316" s="0" t="inlineStr">
        <is>
          <t>https://new.land.naver.com/complexes/134513?tab=detail&amp;rf=Y</t>
        </is>
      </c>
      <c r="AA1316" s="0" t="inlineStr">
        <is>
          <t>서울시 강동구 상일동 28</t>
        </is>
      </c>
      <c r="AB1316" s="0" t="inlineStr">
        <is>
          <t>서울시</t>
        </is>
      </c>
      <c r="AC1316" s="0" t="inlineStr">
        <is>
          <t>강동구</t>
        </is>
      </c>
      <c r="AD1316" s="0" t="inlineStr">
        <is>
          <t>상일동</t>
        </is>
      </c>
      <c r="AG1316" s="0" t="inlineStr">
        <is>
          <t>서울시 강동구 고덕로98길 160</t>
        </is>
      </c>
      <c r="AH1316" s="0" t="n">
        <v>532</v>
      </c>
      <c r="AI1316" s="0" t="n">
        <v>193</v>
      </c>
      <c r="AJ1316" s="0" t="n">
        <v>24</v>
      </c>
      <c r="AK1316" s="0" t="n">
        <v>823</v>
      </c>
      <c r="AL1316" s="0" t="n">
        <v>0.87</v>
      </c>
    </row>
    <row r="1317">
      <c r="A1317" s="0" t="inlineStr">
        <is>
          <t>[상일동]</t>
        </is>
      </c>
      <c r="B1317" s="0" t="n">
        <v>134513</v>
      </c>
      <c r="C1317" s="0" t="n">
        <v>2</v>
      </c>
      <c r="D1317" s="0" t="inlineStr">
        <is>
          <t>강동리엔파크14단지</t>
        </is>
      </c>
      <c r="E1317" s="0" t="inlineStr">
        <is>
          <t>2021.02.</t>
        </is>
      </c>
      <c r="F1317" s="0" t="n">
        <v>943</v>
      </c>
      <c r="G1317" s="0" t="n">
        <v>26.21</v>
      </c>
      <c r="H1317" s="0" t="n">
        <v>86.66</v>
      </c>
      <c r="I1317" s="0" t="n">
        <v>18.13</v>
      </c>
      <c r="J1317" s="0" t="n">
        <v>59.94</v>
      </c>
      <c r="K1317" s="0" t="n">
        <v>205</v>
      </c>
      <c r="T1317" s="0" t="n">
        <v>3</v>
      </c>
      <c r="U1317" s="0" t="n">
        <v>2</v>
      </c>
      <c r="V1317" s="0" t="inlineStr">
        <is>
          <t>계단식</t>
        </is>
      </c>
      <c r="W1317" s="0" t="n">
        <v>86</v>
      </c>
      <c r="X1317" s="0" t="n">
        <v>14</v>
      </c>
      <c r="Y1317" s="0" t="n">
        <v>8</v>
      </c>
      <c r="Z1317" s="0" t="inlineStr">
        <is>
          <t>https://new.land.naver.com/complexes/134513?tab=detail&amp;rf=Y</t>
        </is>
      </c>
      <c r="AA1317" s="0" t="inlineStr">
        <is>
          <t>서울시 강동구 상일동 28</t>
        </is>
      </c>
      <c r="AB1317" s="0" t="inlineStr">
        <is>
          <t>서울시</t>
        </is>
      </c>
      <c r="AC1317" s="0" t="inlineStr">
        <is>
          <t>강동구</t>
        </is>
      </c>
      <c r="AD1317" s="0" t="inlineStr">
        <is>
          <t>상일동</t>
        </is>
      </c>
      <c r="AG1317" s="0" t="inlineStr">
        <is>
          <t>서울시 강동구 고덕로98길 160</t>
        </is>
      </c>
      <c r="AH1317" s="0" t="n">
        <v>532</v>
      </c>
      <c r="AI1317" s="0" t="n">
        <v>193</v>
      </c>
      <c r="AJ1317" s="0" t="n">
        <v>24</v>
      </c>
      <c r="AK1317" s="0" t="n">
        <v>823</v>
      </c>
      <c r="AL1317" s="0" t="n">
        <v>0.87</v>
      </c>
    </row>
    <row r="1318">
      <c r="A1318" s="0" t="inlineStr">
        <is>
          <t>[상일동]</t>
        </is>
      </c>
      <c r="B1318" s="0" t="n">
        <v>144181</v>
      </c>
      <c r="C1318" s="0" t="n">
        <v>1</v>
      </c>
      <c r="D1318" s="0" t="inlineStr">
        <is>
          <t>e편한세상강일어반브릿지</t>
        </is>
      </c>
      <c r="E1318" s="0" t="inlineStr">
        <is>
          <t>2024.02.</t>
        </is>
      </c>
      <c r="F1318" s="0" t="n">
        <v>593</v>
      </c>
      <c r="G1318" s="0" t="n">
        <v>33.07</v>
      </c>
      <c r="H1318" s="0" t="n">
        <v>109.35</v>
      </c>
      <c r="I1318" s="0" t="n">
        <v>25.42</v>
      </c>
      <c r="J1318" s="0" t="n">
        <v>84.05</v>
      </c>
      <c r="K1318" s="0" t="n">
        <v>35</v>
      </c>
      <c r="T1318" s="0" t="n">
        <v>3</v>
      </c>
      <c r="U1318" s="0" t="n">
        <v>2</v>
      </c>
      <c r="V1318" s="0" t="inlineStr">
        <is>
          <t>계단식</t>
        </is>
      </c>
      <c r="W1318" s="0" t="inlineStr">
        <is>
          <t>109I</t>
        </is>
      </c>
      <c r="X1318" s="0" t="n">
        <v>27</v>
      </c>
      <c r="Y1318" s="0" t="n">
        <v>5</v>
      </c>
      <c r="Z1318" s="0" t="inlineStr">
        <is>
          <t>https://new.land.naver.com/complexes/144181?tab=detail&amp;rf=Y</t>
        </is>
      </c>
      <c r="AA1318" s="0" t="inlineStr">
        <is>
          <t>서울시 강동구 상일동 554-38 일원(고덕강일 10블록)</t>
        </is>
      </c>
      <c r="AB1318" s="0" t="inlineStr">
        <is>
          <t>서울시</t>
        </is>
      </c>
      <c r="AC1318" s="0" t="inlineStr">
        <is>
          <t>강동구</t>
        </is>
      </c>
      <c r="AD1318" s="0" t="inlineStr">
        <is>
          <t>상일동</t>
        </is>
      </c>
      <c r="AG1318" s="0" t="inlineStr">
        <is>
          <t>서울시 강동구</t>
        </is>
      </c>
      <c r="AH1318" s="0" t="n">
        <v>0</v>
      </c>
      <c r="AI1318" s="0" t="n">
        <v>0</v>
      </c>
      <c r="AJ1318" s="0" t="n">
        <v>0</v>
      </c>
      <c r="AK1318" s="0" t="n">
        <v>788</v>
      </c>
      <c r="AL1318" s="0" t="n">
        <v>1.33</v>
      </c>
    </row>
    <row r="1319">
      <c r="A1319" s="0" t="inlineStr">
        <is>
          <t>[상일동]</t>
        </is>
      </c>
      <c r="B1319" s="0" t="n">
        <v>144181</v>
      </c>
      <c r="C1319" s="0" t="n">
        <v>2</v>
      </c>
      <c r="D1319" s="0" t="inlineStr">
        <is>
          <t>e편한세상강일어반브릿지</t>
        </is>
      </c>
      <c r="E1319" s="0" t="inlineStr">
        <is>
          <t>2024.02.</t>
        </is>
      </c>
      <c r="F1319" s="0" t="n">
        <v>593</v>
      </c>
      <c r="G1319" s="0" t="n">
        <v>33.26</v>
      </c>
      <c r="H1319" s="0" t="n">
        <v>109.96</v>
      </c>
      <c r="I1319" s="0" t="n">
        <v>25.42</v>
      </c>
      <c r="J1319" s="0" t="n">
        <v>84.05</v>
      </c>
      <c r="K1319" s="0" t="n">
        <v>1</v>
      </c>
      <c r="T1319" s="0" t="n">
        <v>3</v>
      </c>
      <c r="U1319" s="0" t="n">
        <v>2</v>
      </c>
      <c r="V1319" s="0" t="inlineStr">
        <is>
          <t>계단식</t>
        </is>
      </c>
      <c r="W1319" s="0" t="inlineStr">
        <is>
          <t>109H</t>
        </is>
      </c>
      <c r="X1319" s="0" t="n">
        <v>27</v>
      </c>
      <c r="Y1319" s="0" t="n">
        <v>5</v>
      </c>
      <c r="Z1319" s="0" t="inlineStr">
        <is>
          <t>https://new.land.naver.com/complexes/144181?tab=detail&amp;rf=Y</t>
        </is>
      </c>
      <c r="AA1319" s="0" t="inlineStr">
        <is>
          <t>서울시 강동구 상일동 554-38 일원(고덕강일 10블록)</t>
        </is>
      </c>
      <c r="AB1319" s="0" t="inlineStr">
        <is>
          <t>서울시</t>
        </is>
      </c>
      <c r="AC1319" s="0" t="inlineStr">
        <is>
          <t>강동구</t>
        </is>
      </c>
      <c r="AD1319" s="0" t="inlineStr">
        <is>
          <t>상일동</t>
        </is>
      </c>
      <c r="AG1319" s="0" t="inlineStr">
        <is>
          <t>서울시 강동구</t>
        </is>
      </c>
      <c r="AH1319" s="0" t="n">
        <v>0</v>
      </c>
      <c r="AI1319" s="0" t="n">
        <v>0</v>
      </c>
      <c r="AJ1319" s="0" t="n">
        <v>0</v>
      </c>
      <c r="AK1319" s="0" t="n">
        <v>788</v>
      </c>
      <c r="AL1319" s="0" t="n">
        <v>1.33</v>
      </c>
    </row>
    <row r="1320">
      <c r="A1320" s="0" t="inlineStr">
        <is>
          <t>[상일동]</t>
        </is>
      </c>
      <c r="B1320" s="0" t="n">
        <v>144181</v>
      </c>
      <c r="C1320" s="0" t="n">
        <v>3</v>
      </c>
      <c r="D1320" s="0" t="inlineStr">
        <is>
          <t>e편한세상강일어반브릿지</t>
        </is>
      </c>
      <c r="E1320" s="0" t="inlineStr">
        <is>
          <t>2024.02.</t>
        </is>
      </c>
      <c r="F1320" s="0" t="n">
        <v>593</v>
      </c>
      <c r="G1320" s="0" t="n">
        <v>33.43</v>
      </c>
      <c r="H1320" s="0" t="n">
        <v>110.53</v>
      </c>
      <c r="I1320" s="0" t="n">
        <v>25.49</v>
      </c>
      <c r="J1320" s="0" t="n">
        <v>84.27</v>
      </c>
      <c r="K1320" s="0" t="n">
        <v>30</v>
      </c>
      <c r="T1320" s="0" t="n">
        <v>3</v>
      </c>
      <c r="U1320" s="0" t="n">
        <v>2</v>
      </c>
      <c r="V1320" s="0" t="inlineStr">
        <is>
          <t>계단식</t>
        </is>
      </c>
      <c r="W1320" s="0" t="inlineStr">
        <is>
          <t>110L</t>
        </is>
      </c>
      <c r="X1320" s="0" t="n">
        <v>27</v>
      </c>
      <c r="Y1320" s="0" t="n">
        <v>5</v>
      </c>
      <c r="Z1320" s="0" t="inlineStr">
        <is>
          <t>https://new.land.naver.com/complexes/144181?tab=detail&amp;rf=Y</t>
        </is>
      </c>
      <c r="AA1320" s="0" t="inlineStr">
        <is>
          <t>서울시 강동구 상일동 554-38 일원(고덕강일 10블록)</t>
        </is>
      </c>
      <c r="AB1320" s="0" t="inlineStr">
        <is>
          <t>서울시</t>
        </is>
      </c>
      <c r="AC1320" s="0" t="inlineStr">
        <is>
          <t>강동구</t>
        </is>
      </c>
      <c r="AD1320" s="0" t="inlineStr">
        <is>
          <t>상일동</t>
        </is>
      </c>
      <c r="AG1320" s="0" t="inlineStr">
        <is>
          <t>서울시 강동구</t>
        </is>
      </c>
      <c r="AH1320" s="0" t="n">
        <v>0</v>
      </c>
      <c r="AI1320" s="0" t="n">
        <v>0</v>
      </c>
      <c r="AJ1320" s="0" t="n">
        <v>0</v>
      </c>
      <c r="AK1320" s="0" t="n">
        <v>788</v>
      </c>
      <c r="AL1320" s="0" t="n">
        <v>1.33</v>
      </c>
    </row>
    <row r="1321">
      <c r="A1321" s="0" t="inlineStr">
        <is>
          <t>[상일동]</t>
        </is>
      </c>
      <c r="B1321" s="0" t="n">
        <v>144181</v>
      </c>
      <c r="C1321" s="0" t="n">
        <v>4</v>
      </c>
      <c r="D1321" s="0" t="inlineStr">
        <is>
          <t>e편한세상강일어반브릿지</t>
        </is>
      </c>
      <c r="E1321" s="0" t="inlineStr">
        <is>
          <t>2024.02.</t>
        </is>
      </c>
      <c r="F1321" s="0" t="n">
        <v>593</v>
      </c>
      <c r="G1321" s="0" t="n">
        <v>33.3</v>
      </c>
      <c r="H1321" s="0" t="n">
        <v>110.09</v>
      </c>
      <c r="I1321" s="0" t="n">
        <v>25.44</v>
      </c>
      <c r="J1321" s="0" t="n">
        <v>84.12</v>
      </c>
      <c r="K1321" s="0" t="n">
        <v>22</v>
      </c>
      <c r="T1321" s="0" t="n">
        <v>3</v>
      </c>
      <c r="U1321" s="0" t="n">
        <v>2</v>
      </c>
      <c r="V1321" s="0" t="inlineStr">
        <is>
          <t>계단식</t>
        </is>
      </c>
      <c r="W1321" s="0" t="inlineStr">
        <is>
          <t>110G</t>
        </is>
      </c>
      <c r="X1321" s="0" t="n">
        <v>27</v>
      </c>
      <c r="Y1321" s="0" t="n">
        <v>5</v>
      </c>
      <c r="Z1321" s="0" t="inlineStr">
        <is>
          <t>https://new.land.naver.com/complexes/144181?tab=detail&amp;rf=Y</t>
        </is>
      </c>
      <c r="AA1321" s="0" t="inlineStr">
        <is>
          <t>서울시 강동구 상일동 554-38 일원(고덕강일 10블록)</t>
        </is>
      </c>
      <c r="AB1321" s="0" t="inlineStr">
        <is>
          <t>서울시</t>
        </is>
      </c>
      <c r="AC1321" s="0" t="inlineStr">
        <is>
          <t>강동구</t>
        </is>
      </c>
      <c r="AD1321" s="0" t="inlineStr">
        <is>
          <t>상일동</t>
        </is>
      </c>
      <c r="AG1321" s="0" t="inlineStr">
        <is>
          <t>서울시 강동구</t>
        </is>
      </c>
      <c r="AH1321" s="0" t="n">
        <v>0</v>
      </c>
      <c r="AI1321" s="0" t="n">
        <v>0</v>
      </c>
      <c r="AJ1321" s="0" t="n">
        <v>0</v>
      </c>
      <c r="AK1321" s="0" t="n">
        <v>788</v>
      </c>
      <c r="AL1321" s="0" t="n">
        <v>1.33</v>
      </c>
    </row>
    <row r="1322">
      <c r="A1322" s="0" t="inlineStr">
        <is>
          <t>[상일동]</t>
        </is>
      </c>
      <c r="B1322" s="0" t="n">
        <v>144181</v>
      </c>
      <c r="C1322" s="0" t="n">
        <v>5</v>
      </c>
      <c r="D1322" s="0" t="inlineStr">
        <is>
          <t>e편한세상강일어반브릿지</t>
        </is>
      </c>
      <c r="E1322" s="0" t="inlineStr">
        <is>
          <t>2024.02.</t>
        </is>
      </c>
      <c r="F1322" s="0" t="n">
        <v>593</v>
      </c>
      <c r="G1322" s="0" t="n">
        <v>33.48</v>
      </c>
      <c r="H1322" s="0" t="n">
        <v>110.69</v>
      </c>
      <c r="I1322" s="0" t="n">
        <v>25.56</v>
      </c>
      <c r="J1322" s="0" t="n">
        <v>84.5</v>
      </c>
      <c r="K1322" s="0" t="n">
        <v>7</v>
      </c>
      <c r="T1322" s="0" t="n">
        <v>2</v>
      </c>
      <c r="U1322" s="0" t="n">
        <v>2</v>
      </c>
      <c r="V1322" s="0" t="inlineStr">
        <is>
          <t>계단식</t>
        </is>
      </c>
      <c r="W1322" s="0" t="inlineStr">
        <is>
          <t>110R</t>
        </is>
      </c>
      <c r="X1322" s="0" t="n">
        <v>27</v>
      </c>
      <c r="Y1322" s="0" t="n">
        <v>5</v>
      </c>
      <c r="Z1322" s="0" t="inlineStr">
        <is>
          <t>https://new.land.naver.com/complexes/144181?tab=detail&amp;rf=Y</t>
        </is>
      </c>
      <c r="AA1322" s="0" t="inlineStr">
        <is>
          <t>서울시 강동구 상일동 554-38 일원(고덕강일 10블록)</t>
        </is>
      </c>
      <c r="AB1322" s="0" t="inlineStr">
        <is>
          <t>서울시</t>
        </is>
      </c>
      <c r="AC1322" s="0" t="inlineStr">
        <is>
          <t>강동구</t>
        </is>
      </c>
      <c r="AD1322" s="0" t="inlineStr">
        <is>
          <t>상일동</t>
        </is>
      </c>
      <c r="AG1322" s="0" t="inlineStr">
        <is>
          <t>서울시 강동구</t>
        </is>
      </c>
      <c r="AH1322" s="0" t="n">
        <v>0</v>
      </c>
      <c r="AI1322" s="0" t="n">
        <v>0</v>
      </c>
      <c r="AJ1322" s="0" t="n">
        <v>0</v>
      </c>
      <c r="AK1322" s="0" t="n">
        <v>788</v>
      </c>
      <c r="AL1322" s="0" t="n">
        <v>1.33</v>
      </c>
    </row>
    <row r="1323">
      <c r="A1323" s="0" t="inlineStr">
        <is>
          <t>[상일동]</t>
        </is>
      </c>
      <c r="B1323" s="0" t="n">
        <v>144181</v>
      </c>
      <c r="C1323" s="0" t="n">
        <v>6</v>
      </c>
      <c r="D1323" s="0" t="inlineStr">
        <is>
          <t>e편한세상강일어반브릿지</t>
        </is>
      </c>
      <c r="E1323" s="0" t="inlineStr">
        <is>
          <t>2024.02.</t>
        </is>
      </c>
      <c r="F1323" s="0" t="n">
        <v>593</v>
      </c>
      <c r="G1323" s="0" t="n">
        <v>33.58</v>
      </c>
      <c r="H1323" s="0" t="n">
        <v>111.04</v>
      </c>
      <c r="I1323" s="0" t="n">
        <v>25.43</v>
      </c>
      <c r="J1323" s="0" t="n">
        <v>84.08</v>
      </c>
      <c r="K1323" s="0" t="n">
        <v>108</v>
      </c>
      <c r="T1323" s="0" t="n">
        <v>3</v>
      </c>
      <c r="U1323" s="0" t="n">
        <v>2</v>
      </c>
      <c r="V1323" s="0" t="inlineStr">
        <is>
          <t>계단식</t>
        </is>
      </c>
      <c r="W1323" s="0" t="inlineStr">
        <is>
          <t>111D</t>
        </is>
      </c>
      <c r="X1323" s="0" t="n">
        <v>27</v>
      </c>
      <c r="Y1323" s="0" t="n">
        <v>5</v>
      </c>
      <c r="Z1323" s="0" t="inlineStr">
        <is>
          <t>https://new.land.naver.com/complexes/144181?tab=detail&amp;rf=Y</t>
        </is>
      </c>
      <c r="AA1323" s="0" t="inlineStr">
        <is>
          <t>서울시 강동구 상일동 554-38 일원(고덕강일 10블록)</t>
        </is>
      </c>
      <c r="AB1323" s="0" t="inlineStr">
        <is>
          <t>서울시</t>
        </is>
      </c>
      <c r="AC1323" s="0" t="inlineStr">
        <is>
          <t>강동구</t>
        </is>
      </c>
      <c r="AD1323" s="0" t="inlineStr">
        <is>
          <t>상일동</t>
        </is>
      </c>
      <c r="AG1323" s="0" t="inlineStr">
        <is>
          <t>서울시 강동구</t>
        </is>
      </c>
      <c r="AH1323" s="0" t="n">
        <v>0</v>
      </c>
      <c r="AI1323" s="0" t="n">
        <v>0</v>
      </c>
      <c r="AJ1323" s="0" t="n">
        <v>0</v>
      </c>
      <c r="AK1323" s="0" t="n">
        <v>788</v>
      </c>
      <c r="AL1323" s="0" t="n">
        <v>1.33</v>
      </c>
    </row>
    <row r="1324">
      <c r="A1324" s="0" t="inlineStr">
        <is>
          <t>[상일동]</t>
        </is>
      </c>
      <c r="B1324" s="0" t="n">
        <v>144181</v>
      </c>
      <c r="C1324" s="0" t="n">
        <v>7</v>
      </c>
      <c r="D1324" s="0" t="inlineStr">
        <is>
          <t>e편한세상강일어반브릿지</t>
        </is>
      </c>
      <c r="E1324" s="0" t="inlineStr">
        <is>
          <t>2024.02.</t>
        </is>
      </c>
      <c r="F1324" s="0" t="n">
        <v>593</v>
      </c>
      <c r="G1324" s="0" t="n">
        <v>33.58</v>
      </c>
      <c r="H1324" s="0" t="n">
        <v>111.04</v>
      </c>
      <c r="I1324" s="0" t="n">
        <v>25.43</v>
      </c>
      <c r="J1324" s="0" t="n">
        <v>84.09</v>
      </c>
      <c r="K1324" s="0" t="n">
        <v>56</v>
      </c>
      <c r="T1324" s="0" t="n">
        <v>3</v>
      </c>
      <c r="U1324" s="0" t="n">
        <v>2</v>
      </c>
      <c r="V1324" s="0" t="inlineStr">
        <is>
          <t>계단식</t>
        </is>
      </c>
      <c r="W1324" s="0" t="inlineStr">
        <is>
          <t>111A</t>
        </is>
      </c>
      <c r="X1324" s="0" t="n">
        <v>27</v>
      </c>
      <c r="Y1324" s="0" t="n">
        <v>5</v>
      </c>
      <c r="Z1324" s="0" t="inlineStr">
        <is>
          <t>https://new.land.naver.com/complexes/144181?tab=detail&amp;rf=Y</t>
        </is>
      </c>
      <c r="AA1324" s="0" t="inlineStr">
        <is>
          <t>서울시 강동구 상일동 554-38 일원(고덕강일 10블록)</t>
        </is>
      </c>
      <c r="AB1324" s="0" t="inlineStr">
        <is>
          <t>서울시</t>
        </is>
      </c>
      <c r="AC1324" s="0" t="inlineStr">
        <is>
          <t>강동구</t>
        </is>
      </c>
      <c r="AD1324" s="0" t="inlineStr">
        <is>
          <t>상일동</t>
        </is>
      </c>
      <c r="AG1324" s="0" t="inlineStr">
        <is>
          <t>서울시 강동구</t>
        </is>
      </c>
      <c r="AH1324" s="0" t="n">
        <v>0</v>
      </c>
      <c r="AI1324" s="0" t="n">
        <v>0</v>
      </c>
      <c r="AJ1324" s="0" t="n">
        <v>0</v>
      </c>
      <c r="AK1324" s="0" t="n">
        <v>788</v>
      </c>
      <c r="AL1324" s="0" t="n">
        <v>1.33</v>
      </c>
    </row>
    <row r="1325">
      <c r="A1325" s="0" t="inlineStr">
        <is>
          <t>[상일동]</t>
        </is>
      </c>
      <c r="B1325" s="0" t="n">
        <v>144181</v>
      </c>
      <c r="C1325" s="0" t="n">
        <v>8</v>
      </c>
      <c r="D1325" s="0" t="inlineStr">
        <is>
          <t>e편한세상강일어반브릿지</t>
        </is>
      </c>
      <c r="E1325" s="0" t="inlineStr">
        <is>
          <t>2024.02.</t>
        </is>
      </c>
      <c r="F1325" s="0" t="n">
        <v>593</v>
      </c>
      <c r="G1325" s="0" t="n">
        <v>33.58</v>
      </c>
      <c r="H1325" s="0" t="n">
        <v>111.04</v>
      </c>
      <c r="I1325" s="0" t="n">
        <v>25.43</v>
      </c>
      <c r="J1325" s="0" t="n">
        <v>84.09</v>
      </c>
      <c r="K1325" s="0" t="n">
        <v>28</v>
      </c>
      <c r="T1325" s="0" t="n">
        <v>3</v>
      </c>
      <c r="U1325" s="0" t="n">
        <v>2</v>
      </c>
      <c r="V1325" s="0" t="inlineStr">
        <is>
          <t>계단식</t>
        </is>
      </c>
      <c r="W1325" s="0" t="inlineStr">
        <is>
          <t>111B</t>
        </is>
      </c>
      <c r="X1325" s="0" t="n">
        <v>27</v>
      </c>
      <c r="Y1325" s="0" t="n">
        <v>5</v>
      </c>
      <c r="Z1325" s="0" t="inlineStr">
        <is>
          <t>https://new.land.naver.com/complexes/144181?tab=detail&amp;rf=Y</t>
        </is>
      </c>
      <c r="AA1325" s="0" t="inlineStr">
        <is>
          <t>서울시 강동구 상일동 554-38 일원(고덕강일 10블록)</t>
        </is>
      </c>
      <c r="AB1325" s="0" t="inlineStr">
        <is>
          <t>서울시</t>
        </is>
      </c>
      <c r="AC1325" s="0" t="inlineStr">
        <is>
          <t>강동구</t>
        </is>
      </c>
      <c r="AD1325" s="0" t="inlineStr">
        <is>
          <t>상일동</t>
        </is>
      </c>
      <c r="AG1325" s="0" t="inlineStr">
        <is>
          <t>서울시 강동구</t>
        </is>
      </c>
      <c r="AH1325" s="0" t="n">
        <v>0</v>
      </c>
      <c r="AI1325" s="0" t="n">
        <v>0</v>
      </c>
      <c r="AJ1325" s="0" t="n">
        <v>0</v>
      </c>
      <c r="AK1325" s="0" t="n">
        <v>788</v>
      </c>
      <c r="AL1325" s="0" t="n">
        <v>1.33</v>
      </c>
    </row>
    <row r="1326">
      <c r="A1326" s="0" t="inlineStr">
        <is>
          <t>[상일동]</t>
        </is>
      </c>
      <c r="B1326" s="0" t="n">
        <v>144181</v>
      </c>
      <c r="C1326" s="0" t="n">
        <v>9</v>
      </c>
      <c r="D1326" s="0" t="inlineStr">
        <is>
          <t>e편한세상강일어반브릿지</t>
        </is>
      </c>
      <c r="E1326" s="0" t="inlineStr">
        <is>
          <t>2024.02.</t>
        </is>
      </c>
      <c r="F1326" s="0" t="n">
        <v>593</v>
      </c>
      <c r="G1326" s="0" t="n">
        <v>33.73</v>
      </c>
      <c r="H1326" s="0" t="n">
        <v>111.52</v>
      </c>
      <c r="I1326" s="0" t="n">
        <v>25.47</v>
      </c>
      <c r="J1326" s="0" t="n">
        <v>84.2</v>
      </c>
      <c r="K1326" s="0" t="n">
        <v>19</v>
      </c>
      <c r="T1326" s="0" t="n">
        <v>3</v>
      </c>
      <c r="U1326" s="0" t="n">
        <v>2</v>
      </c>
      <c r="V1326" s="0" t="inlineStr">
        <is>
          <t>계단식</t>
        </is>
      </c>
      <c r="W1326" s="0" t="inlineStr">
        <is>
          <t>111E</t>
        </is>
      </c>
      <c r="X1326" s="0" t="n">
        <v>27</v>
      </c>
      <c r="Y1326" s="0" t="n">
        <v>5</v>
      </c>
      <c r="Z1326" s="0" t="inlineStr">
        <is>
          <t>https://new.land.naver.com/complexes/144181?tab=detail&amp;rf=Y</t>
        </is>
      </c>
      <c r="AA1326" s="0" t="inlineStr">
        <is>
          <t>서울시 강동구 상일동 554-38 일원(고덕강일 10블록)</t>
        </is>
      </c>
      <c r="AB1326" s="0" t="inlineStr">
        <is>
          <t>서울시</t>
        </is>
      </c>
      <c r="AC1326" s="0" t="inlineStr">
        <is>
          <t>강동구</t>
        </is>
      </c>
      <c r="AD1326" s="0" t="inlineStr">
        <is>
          <t>상일동</t>
        </is>
      </c>
      <c r="AG1326" s="0" t="inlineStr">
        <is>
          <t>서울시 강동구</t>
        </is>
      </c>
      <c r="AH1326" s="0" t="n">
        <v>0</v>
      </c>
      <c r="AI1326" s="0" t="n">
        <v>0</v>
      </c>
      <c r="AJ1326" s="0" t="n">
        <v>0</v>
      </c>
      <c r="AK1326" s="0" t="n">
        <v>788</v>
      </c>
      <c r="AL1326" s="0" t="n">
        <v>1.33</v>
      </c>
    </row>
    <row r="1327">
      <c r="A1327" s="0" t="inlineStr">
        <is>
          <t>[상일동]</t>
        </is>
      </c>
      <c r="B1327" s="0" t="n">
        <v>144181</v>
      </c>
      <c r="C1327" s="0" t="n">
        <v>10</v>
      </c>
      <c r="D1327" s="0" t="inlineStr">
        <is>
          <t>e편한세상강일어반브릿지</t>
        </is>
      </c>
      <c r="E1327" s="0" t="inlineStr">
        <is>
          <t>2024.02.</t>
        </is>
      </c>
      <c r="F1327" s="0" t="n">
        <v>593</v>
      </c>
      <c r="G1327" s="0" t="n">
        <v>33.73</v>
      </c>
      <c r="H1327" s="0" t="n">
        <v>111.52</v>
      </c>
      <c r="I1327" s="0" t="n">
        <v>25.47</v>
      </c>
      <c r="J1327" s="0" t="n">
        <v>84.2</v>
      </c>
      <c r="K1327" s="0" t="n">
        <v>11</v>
      </c>
      <c r="T1327" s="0" t="n">
        <v>3</v>
      </c>
      <c r="U1327" s="0" t="n">
        <v>2</v>
      </c>
      <c r="V1327" s="0" t="inlineStr">
        <is>
          <t>계단식</t>
        </is>
      </c>
      <c r="W1327" s="0" t="inlineStr">
        <is>
          <t>111F</t>
        </is>
      </c>
      <c r="X1327" s="0" t="n">
        <v>27</v>
      </c>
      <c r="Y1327" s="0" t="n">
        <v>5</v>
      </c>
      <c r="Z1327" s="0" t="inlineStr">
        <is>
          <t>https://new.land.naver.com/complexes/144181?tab=detail&amp;rf=Y</t>
        </is>
      </c>
      <c r="AA1327" s="0" t="inlineStr">
        <is>
          <t>서울시 강동구 상일동 554-38 일원(고덕강일 10블록)</t>
        </is>
      </c>
      <c r="AB1327" s="0" t="inlineStr">
        <is>
          <t>서울시</t>
        </is>
      </c>
      <c r="AC1327" s="0" t="inlineStr">
        <is>
          <t>강동구</t>
        </is>
      </c>
      <c r="AD1327" s="0" t="inlineStr">
        <is>
          <t>상일동</t>
        </is>
      </c>
      <c r="AG1327" s="0" t="inlineStr">
        <is>
          <t>서울시 강동구</t>
        </is>
      </c>
      <c r="AH1327" s="0" t="n">
        <v>0</v>
      </c>
      <c r="AI1327" s="0" t="n">
        <v>0</v>
      </c>
      <c r="AJ1327" s="0" t="n">
        <v>0</v>
      </c>
      <c r="AK1327" s="0" t="n">
        <v>788</v>
      </c>
      <c r="AL1327" s="0" t="n">
        <v>1.33</v>
      </c>
    </row>
    <row r="1328">
      <c r="A1328" s="0" t="inlineStr">
        <is>
          <t>[상일동]</t>
        </is>
      </c>
      <c r="B1328" s="0" t="n">
        <v>144181</v>
      </c>
      <c r="C1328" s="0" t="n">
        <v>11</v>
      </c>
      <c r="D1328" s="0" t="inlineStr">
        <is>
          <t>e편한세상강일어반브릿지</t>
        </is>
      </c>
      <c r="E1328" s="0" t="inlineStr">
        <is>
          <t>2024.02.</t>
        </is>
      </c>
      <c r="F1328" s="0" t="n">
        <v>593</v>
      </c>
      <c r="G1328" s="0" t="n">
        <v>33.68</v>
      </c>
      <c r="H1328" s="0" t="n">
        <v>111.37</v>
      </c>
      <c r="I1328" s="0" t="n">
        <v>25.53</v>
      </c>
      <c r="J1328" s="0" t="n">
        <v>84.41</v>
      </c>
      <c r="K1328" s="0" t="n">
        <v>11</v>
      </c>
      <c r="T1328" s="0" t="n">
        <v>3</v>
      </c>
      <c r="U1328" s="0" t="n">
        <v>2</v>
      </c>
      <c r="V1328" s="0" t="inlineStr">
        <is>
          <t>계단식</t>
        </is>
      </c>
      <c r="W1328" s="0" t="inlineStr">
        <is>
          <t>111M</t>
        </is>
      </c>
      <c r="X1328" s="0" t="n">
        <v>27</v>
      </c>
      <c r="Y1328" s="0" t="n">
        <v>5</v>
      </c>
      <c r="Z1328" s="0" t="inlineStr">
        <is>
          <t>https://new.land.naver.com/complexes/144181?tab=detail&amp;rf=Y</t>
        </is>
      </c>
      <c r="AA1328" s="0" t="inlineStr">
        <is>
          <t>서울시 강동구 상일동 554-38 일원(고덕강일 10블록)</t>
        </is>
      </c>
      <c r="AB1328" s="0" t="inlineStr">
        <is>
          <t>서울시</t>
        </is>
      </c>
      <c r="AC1328" s="0" t="inlineStr">
        <is>
          <t>강동구</t>
        </is>
      </c>
      <c r="AD1328" s="0" t="inlineStr">
        <is>
          <t>상일동</t>
        </is>
      </c>
      <c r="AG1328" s="0" t="inlineStr">
        <is>
          <t>서울시 강동구</t>
        </is>
      </c>
      <c r="AH1328" s="0" t="n">
        <v>0</v>
      </c>
      <c r="AI1328" s="0" t="n">
        <v>0</v>
      </c>
      <c r="AJ1328" s="0" t="n">
        <v>0</v>
      </c>
      <c r="AK1328" s="0" t="n">
        <v>788</v>
      </c>
      <c r="AL1328" s="0" t="n">
        <v>1.33</v>
      </c>
    </row>
    <row r="1329">
      <c r="A1329" s="0" t="inlineStr">
        <is>
          <t>[상일동]</t>
        </is>
      </c>
      <c r="B1329" s="0" t="n">
        <v>144181</v>
      </c>
      <c r="C1329" s="0" t="n">
        <v>12</v>
      </c>
      <c r="D1329" s="0" t="inlineStr">
        <is>
          <t>e편한세상강일어반브릿지</t>
        </is>
      </c>
      <c r="E1329" s="0" t="inlineStr">
        <is>
          <t>2024.02.</t>
        </is>
      </c>
      <c r="F1329" s="0" t="n">
        <v>593</v>
      </c>
      <c r="G1329" s="0" t="n">
        <v>33.82</v>
      </c>
      <c r="H1329" s="0" t="n">
        <v>111.83</v>
      </c>
      <c r="I1329" s="0" t="n">
        <v>25.66</v>
      </c>
      <c r="J1329" s="0" t="n">
        <v>84.84999999999999</v>
      </c>
      <c r="K1329" s="0" t="n">
        <v>10</v>
      </c>
      <c r="T1329" s="0" t="n">
        <v>3</v>
      </c>
      <c r="U1329" s="0" t="n">
        <v>2</v>
      </c>
      <c r="V1329" s="0" t="inlineStr">
        <is>
          <t>계단식</t>
        </is>
      </c>
      <c r="W1329" s="0" t="inlineStr">
        <is>
          <t>111C</t>
        </is>
      </c>
      <c r="X1329" s="0" t="n">
        <v>27</v>
      </c>
      <c r="Y1329" s="0" t="n">
        <v>5</v>
      </c>
      <c r="Z1329" s="0" t="inlineStr">
        <is>
          <t>https://new.land.naver.com/complexes/144181?tab=detail&amp;rf=Y</t>
        </is>
      </c>
      <c r="AA1329" s="0" t="inlineStr">
        <is>
          <t>서울시 강동구 상일동 554-38 일원(고덕강일 10블록)</t>
        </is>
      </c>
      <c r="AB1329" s="0" t="inlineStr">
        <is>
          <t>서울시</t>
        </is>
      </c>
      <c r="AC1329" s="0" t="inlineStr">
        <is>
          <t>강동구</t>
        </is>
      </c>
      <c r="AD1329" s="0" t="inlineStr">
        <is>
          <t>상일동</t>
        </is>
      </c>
      <c r="AG1329" s="0" t="inlineStr">
        <is>
          <t>서울시 강동구</t>
        </is>
      </c>
      <c r="AH1329" s="0" t="n">
        <v>0</v>
      </c>
      <c r="AI1329" s="0" t="n">
        <v>0</v>
      </c>
      <c r="AJ1329" s="0" t="n">
        <v>0</v>
      </c>
      <c r="AK1329" s="0" t="n">
        <v>788</v>
      </c>
      <c r="AL1329" s="0" t="n">
        <v>1.33</v>
      </c>
    </row>
    <row r="1330">
      <c r="A1330" s="0" t="inlineStr">
        <is>
          <t>[상일동]</t>
        </is>
      </c>
      <c r="B1330" s="0" t="n">
        <v>144181</v>
      </c>
      <c r="C1330" s="0" t="n">
        <v>13</v>
      </c>
      <c r="D1330" s="0" t="inlineStr">
        <is>
          <t>e편한세상강일어반브릿지</t>
        </is>
      </c>
      <c r="E1330" s="0" t="inlineStr">
        <is>
          <t>2024.02.</t>
        </is>
      </c>
      <c r="F1330" s="0" t="n">
        <v>593</v>
      </c>
      <c r="G1330" s="0" t="n">
        <v>33.71</v>
      </c>
      <c r="H1330" s="0" t="n">
        <v>111.45</v>
      </c>
      <c r="I1330" s="0" t="n">
        <v>25.43</v>
      </c>
      <c r="J1330" s="0" t="n">
        <v>84.06999999999999</v>
      </c>
      <c r="K1330" s="0" t="n">
        <v>8</v>
      </c>
      <c r="T1330" s="0" t="n">
        <v>3</v>
      </c>
      <c r="U1330" s="0" t="n">
        <v>2</v>
      </c>
      <c r="V1330" s="0" t="inlineStr">
        <is>
          <t>계단식</t>
        </is>
      </c>
      <c r="W1330" s="0" t="inlineStr">
        <is>
          <t>111S</t>
        </is>
      </c>
      <c r="X1330" s="0" t="n">
        <v>27</v>
      </c>
      <c r="Y1330" s="0" t="n">
        <v>5</v>
      </c>
      <c r="Z1330" s="0" t="inlineStr">
        <is>
          <t>https://new.land.naver.com/complexes/144181?tab=detail&amp;rf=Y</t>
        </is>
      </c>
      <c r="AA1330" s="0" t="inlineStr">
        <is>
          <t>서울시 강동구 상일동 554-38 일원(고덕강일 10블록)</t>
        </is>
      </c>
      <c r="AB1330" s="0" t="inlineStr">
        <is>
          <t>서울시</t>
        </is>
      </c>
      <c r="AC1330" s="0" t="inlineStr">
        <is>
          <t>강동구</t>
        </is>
      </c>
      <c r="AD1330" s="0" t="inlineStr">
        <is>
          <t>상일동</t>
        </is>
      </c>
      <c r="AG1330" s="0" t="inlineStr">
        <is>
          <t>서울시 강동구</t>
        </is>
      </c>
      <c r="AH1330" s="0" t="n">
        <v>0</v>
      </c>
      <c r="AI1330" s="0" t="n">
        <v>0</v>
      </c>
      <c r="AJ1330" s="0" t="n">
        <v>0</v>
      </c>
      <c r="AK1330" s="0" t="n">
        <v>788</v>
      </c>
      <c r="AL1330" s="0" t="n">
        <v>1.33</v>
      </c>
    </row>
    <row r="1331">
      <c r="A1331" s="0" t="inlineStr">
        <is>
          <t>[상일동]</t>
        </is>
      </c>
      <c r="B1331" s="0" t="n">
        <v>144181</v>
      </c>
      <c r="C1331" s="0" t="n">
        <v>14</v>
      </c>
      <c r="D1331" s="0" t="inlineStr">
        <is>
          <t>e편한세상강일어반브릿지</t>
        </is>
      </c>
      <c r="E1331" s="0" t="inlineStr">
        <is>
          <t>2024.02.</t>
        </is>
      </c>
      <c r="F1331" s="0" t="n">
        <v>593</v>
      </c>
      <c r="G1331" s="0" t="n">
        <v>33.85</v>
      </c>
      <c r="H1331" s="0" t="n">
        <v>111.93</v>
      </c>
      <c r="I1331" s="0" t="n">
        <v>25.43</v>
      </c>
      <c r="J1331" s="0" t="n">
        <v>84.09</v>
      </c>
      <c r="K1331" s="0" t="n">
        <v>5</v>
      </c>
      <c r="T1331" s="0" t="n">
        <v>3</v>
      </c>
      <c r="U1331" s="0" t="n">
        <v>2</v>
      </c>
      <c r="V1331" s="0" t="inlineStr">
        <is>
          <t>계단식</t>
        </is>
      </c>
      <c r="W1331" s="0" t="inlineStr">
        <is>
          <t>111T</t>
        </is>
      </c>
      <c r="X1331" s="0" t="n">
        <v>27</v>
      </c>
      <c r="Y1331" s="0" t="n">
        <v>5</v>
      </c>
      <c r="Z1331" s="0" t="inlineStr">
        <is>
          <t>https://new.land.naver.com/complexes/144181?tab=detail&amp;rf=Y</t>
        </is>
      </c>
      <c r="AA1331" s="0" t="inlineStr">
        <is>
          <t>서울시 강동구 상일동 554-38 일원(고덕강일 10블록)</t>
        </is>
      </c>
      <c r="AB1331" s="0" t="inlineStr">
        <is>
          <t>서울시</t>
        </is>
      </c>
      <c r="AC1331" s="0" t="inlineStr">
        <is>
          <t>강동구</t>
        </is>
      </c>
      <c r="AD1331" s="0" t="inlineStr">
        <is>
          <t>상일동</t>
        </is>
      </c>
      <c r="AG1331" s="0" t="inlineStr">
        <is>
          <t>서울시 강동구</t>
        </is>
      </c>
      <c r="AH1331" s="0" t="n">
        <v>0</v>
      </c>
      <c r="AI1331" s="0" t="n">
        <v>0</v>
      </c>
      <c r="AJ1331" s="0" t="n">
        <v>0</v>
      </c>
      <c r="AK1331" s="0" t="n">
        <v>788</v>
      </c>
      <c r="AL1331" s="0" t="n">
        <v>1.33</v>
      </c>
    </row>
    <row r="1332">
      <c r="A1332" s="0" t="inlineStr">
        <is>
          <t>[상일동]</t>
        </is>
      </c>
      <c r="B1332" s="0" t="n">
        <v>144181</v>
      </c>
      <c r="C1332" s="0" t="n">
        <v>15</v>
      </c>
      <c r="D1332" s="0" t="inlineStr">
        <is>
          <t>e편한세상강일어반브릿지</t>
        </is>
      </c>
      <c r="E1332" s="0" t="inlineStr">
        <is>
          <t>2024.02.</t>
        </is>
      </c>
      <c r="F1332" s="0" t="n">
        <v>593</v>
      </c>
      <c r="G1332" s="0" t="n">
        <v>33.92</v>
      </c>
      <c r="H1332" s="0" t="n">
        <v>112.14</v>
      </c>
      <c r="I1332" s="0" t="n">
        <v>25.49</v>
      </c>
      <c r="J1332" s="0" t="n">
        <v>84.29000000000001</v>
      </c>
      <c r="K1332" s="0" t="n">
        <v>30</v>
      </c>
      <c r="T1332" s="0" t="n">
        <v>3</v>
      </c>
      <c r="U1332" s="0" t="n">
        <v>2</v>
      </c>
      <c r="V1332" s="0" t="inlineStr">
        <is>
          <t>계단식</t>
        </is>
      </c>
      <c r="W1332" s="0" t="inlineStr">
        <is>
          <t>112K</t>
        </is>
      </c>
      <c r="X1332" s="0" t="n">
        <v>27</v>
      </c>
      <c r="Y1332" s="0" t="n">
        <v>5</v>
      </c>
      <c r="Z1332" s="0" t="inlineStr">
        <is>
          <t>https://new.land.naver.com/complexes/144181?tab=detail&amp;rf=Y</t>
        </is>
      </c>
      <c r="AA1332" s="0" t="inlineStr">
        <is>
          <t>서울시 강동구 상일동 554-38 일원(고덕강일 10블록)</t>
        </is>
      </c>
      <c r="AB1332" s="0" t="inlineStr">
        <is>
          <t>서울시</t>
        </is>
      </c>
      <c r="AC1332" s="0" t="inlineStr">
        <is>
          <t>강동구</t>
        </is>
      </c>
      <c r="AD1332" s="0" t="inlineStr">
        <is>
          <t>상일동</t>
        </is>
      </c>
      <c r="AG1332" s="0" t="inlineStr">
        <is>
          <t>서울시 강동구</t>
        </is>
      </c>
      <c r="AH1332" s="0" t="n">
        <v>0</v>
      </c>
      <c r="AI1332" s="0" t="n">
        <v>0</v>
      </c>
      <c r="AJ1332" s="0" t="n">
        <v>0</v>
      </c>
      <c r="AK1332" s="0" t="n">
        <v>788</v>
      </c>
      <c r="AL1332" s="0" t="n">
        <v>1.33</v>
      </c>
    </row>
    <row r="1333">
      <c r="A1333" s="0" t="inlineStr">
        <is>
          <t>[상일동]</t>
        </is>
      </c>
      <c r="B1333" s="0" t="n">
        <v>144181</v>
      </c>
      <c r="C1333" s="0" t="n">
        <v>16</v>
      </c>
      <c r="D1333" s="0" t="inlineStr">
        <is>
          <t>e편한세상강일어반브릿지</t>
        </is>
      </c>
      <c r="E1333" s="0" t="inlineStr">
        <is>
          <t>2024.02.</t>
        </is>
      </c>
      <c r="F1333" s="0" t="n">
        <v>593</v>
      </c>
      <c r="G1333" s="0" t="n">
        <v>33.93</v>
      </c>
      <c r="H1333" s="0" t="n">
        <v>112.18</v>
      </c>
      <c r="I1333" s="0" t="n">
        <v>25.48</v>
      </c>
      <c r="J1333" s="0" t="n">
        <v>84.25</v>
      </c>
      <c r="K1333" s="0" t="n">
        <v>16</v>
      </c>
      <c r="T1333" s="0" t="n">
        <v>3</v>
      </c>
      <c r="U1333" s="0" t="n">
        <v>2</v>
      </c>
      <c r="V1333" s="0" t="inlineStr">
        <is>
          <t>계단식</t>
        </is>
      </c>
      <c r="W1333" s="0" t="inlineStr">
        <is>
          <t>112N</t>
        </is>
      </c>
      <c r="X1333" s="0" t="n">
        <v>27</v>
      </c>
      <c r="Y1333" s="0" t="n">
        <v>5</v>
      </c>
      <c r="Z1333" s="0" t="inlineStr">
        <is>
          <t>https://new.land.naver.com/complexes/144181?tab=detail&amp;rf=Y</t>
        </is>
      </c>
      <c r="AA1333" s="0" t="inlineStr">
        <is>
          <t>서울시 강동구 상일동 554-38 일원(고덕강일 10블록)</t>
        </is>
      </c>
      <c r="AB1333" s="0" t="inlineStr">
        <is>
          <t>서울시</t>
        </is>
      </c>
      <c r="AC1333" s="0" t="inlineStr">
        <is>
          <t>강동구</t>
        </is>
      </c>
      <c r="AD1333" s="0" t="inlineStr">
        <is>
          <t>상일동</t>
        </is>
      </c>
      <c r="AG1333" s="0" t="inlineStr">
        <is>
          <t>서울시 강동구</t>
        </is>
      </c>
      <c r="AH1333" s="0" t="n">
        <v>0</v>
      </c>
      <c r="AI1333" s="0" t="n">
        <v>0</v>
      </c>
      <c r="AJ1333" s="0" t="n">
        <v>0</v>
      </c>
      <c r="AK1333" s="0" t="n">
        <v>788</v>
      </c>
      <c r="AL1333" s="0" t="n">
        <v>1.33</v>
      </c>
    </row>
    <row r="1334">
      <c r="A1334" s="0" t="inlineStr">
        <is>
          <t>[상일동]</t>
        </is>
      </c>
      <c r="B1334" s="0" t="n">
        <v>144181</v>
      </c>
      <c r="C1334" s="0" t="n">
        <v>17</v>
      </c>
      <c r="D1334" s="0" t="inlineStr">
        <is>
          <t>e편한세상강일어반브릿지</t>
        </is>
      </c>
      <c r="E1334" s="0" t="inlineStr">
        <is>
          <t>2024.02.</t>
        </is>
      </c>
      <c r="F1334" s="0" t="n">
        <v>593</v>
      </c>
      <c r="G1334" s="0" t="n">
        <v>33.89</v>
      </c>
      <c r="H1334" s="0" t="n">
        <v>112.05</v>
      </c>
      <c r="I1334" s="0" t="n">
        <v>25.42</v>
      </c>
      <c r="J1334" s="0" t="n">
        <v>84.05</v>
      </c>
      <c r="K1334" s="0" t="n">
        <v>12</v>
      </c>
      <c r="T1334" s="0" t="n">
        <v>3</v>
      </c>
      <c r="U1334" s="0" t="n">
        <v>2</v>
      </c>
      <c r="V1334" s="0" t="inlineStr">
        <is>
          <t>계단식</t>
        </is>
      </c>
      <c r="W1334" s="0" t="inlineStr">
        <is>
          <t>112O</t>
        </is>
      </c>
      <c r="X1334" s="0" t="n">
        <v>27</v>
      </c>
      <c r="Y1334" s="0" t="n">
        <v>5</v>
      </c>
      <c r="Z1334" s="0" t="inlineStr">
        <is>
          <t>https://new.land.naver.com/complexes/144181?tab=detail&amp;rf=Y</t>
        </is>
      </c>
      <c r="AA1334" s="0" t="inlineStr">
        <is>
          <t>서울시 강동구 상일동 554-38 일원(고덕강일 10블록)</t>
        </is>
      </c>
      <c r="AB1334" s="0" t="inlineStr">
        <is>
          <t>서울시</t>
        </is>
      </c>
      <c r="AC1334" s="0" t="inlineStr">
        <is>
          <t>강동구</t>
        </is>
      </c>
      <c r="AD1334" s="0" t="inlineStr">
        <is>
          <t>상일동</t>
        </is>
      </c>
      <c r="AG1334" s="0" t="inlineStr">
        <is>
          <t>서울시 강동구</t>
        </is>
      </c>
      <c r="AH1334" s="0" t="n">
        <v>0</v>
      </c>
      <c r="AI1334" s="0" t="n">
        <v>0</v>
      </c>
      <c r="AJ1334" s="0" t="n">
        <v>0</v>
      </c>
      <c r="AK1334" s="0" t="n">
        <v>788</v>
      </c>
      <c r="AL1334" s="0" t="n">
        <v>1.33</v>
      </c>
    </row>
    <row r="1335">
      <c r="A1335" s="0" t="inlineStr">
        <is>
          <t>[상일동]</t>
        </is>
      </c>
      <c r="B1335" s="0" t="n">
        <v>144181</v>
      </c>
      <c r="C1335" s="0" t="n">
        <v>18</v>
      </c>
      <c r="D1335" s="0" t="inlineStr">
        <is>
          <t>e편한세상강일어반브릿지</t>
        </is>
      </c>
      <c r="E1335" s="0" t="inlineStr">
        <is>
          <t>2024.02.</t>
        </is>
      </c>
      <c r="F1335" s="0" t="n">
        <v>593</v>
      </c>
      <c r="G1335" s="0" t="n">
        <v>33.88</v>
      </c>
      <c r="H1335" s="0" t="n">
        <v>112.02</v>
      </c>
      <c r="I1335" s="0" t="n">
        <v>25.51</v>
      </c>
      <c r="J1335" s="0" t="n">
        <v>84.34999999999999</v>
      </c>
      <c r="K1335" s="0" t="n">
        <v>4</v>
      </c>
      <c r="T1335" s="0" t="n">
        <v>3</v>
      </c>
      <c r="U1335" s="0" t="n">
        <v>2</v>
      </c>
      <c r="V1335" s="0" t="inlineStr">
        <is>
          <t>계단식</t>
        </is>
      </c>
      <c r="W1335" s="0" t="inlineStr">
        <is>
          <t>112J</t>
        </is>
      </c>
      <c r="X1335" s="0" t="n">
        <v>27</v>
      </c>
      <c r="Y1335" s="0" t="n">
        <v>5</v>
      </c>
      <c r="Z1335" s="0" t="inlineStr">
        <is>
          <t>https://new.land.naver.com/complexes/144181?tab=detail&amp;rf=Y</t>
        </is>
      </c>
      <c r="AA1335" s="0" t="inlineStr">
        <is>
          <t>서울시 강동구 상일동 554-38 일원(고덕강일 10블록)</t>
        </is>
      </c>
      <c r="AB1335" s="0" t="inlineStr">
        <is>
          <t>서울시</t>
        </is>
      </c>
      <c r="AC1335" s="0" t="inlineStr">
        <is>
          <t>강동구</t>
        </is>
      </c>
      <c r="AD1335" s="0" t="inlineStr">
        <is>
          <t>상일동</t>
        </is>
      </c>
      <c r="AG1335" s="0" t="inlineStr">
        <is>
          <t>서울시 강동구</t>
        </is>
      </c>
      <c r="AH1335" s="0" t="n">
        <v>0</v>
      </c>
      <c r="AI1335" s="0" t="n">
        <v>0</v>
      </c>
      <c r="AJ1335" s="0" t="n">
        <v>0</v>
      </c>
      <c r="AK1335" s="0" t="n">
        <v>788</v>
      </c>
      <c r="AL1335" s="0" t="n">
        <v>1.33</v>
      </c>
    </row>
    <row r="1336">
      <c r="A1336" s="0" t="inlineStr">
        <is>
          <t>[상일동]</t>
        </is>
      </c>
      <c r="B1336" s="0" t="n">
        <v>144181</v>
      </c>
      <c r="C1336" s="0" t="n">
        <v>19</v>
      </c>
      <c r="D1336" s="0" t="inlineStr">
        <is>
          <t>e편한세상강일어반브릿지</t>
        </is>
      </c>
      <c r="E1336" s="0" t="inlineStr">
        <is>
          <t>2024.02.</t>
        </is>
      </c>
      <c r="F1336" s="0" t="n">
        <v>593</v>
      </c>
      <c r="G1336" s="0" t="n">
        <v>34.64</v>
      </c>
      <c r="H1336" s="0" t="n">
        <v>114.52</v>
      </c>
      <c r="I1336" s="0" t="n">
        <v>25.48</v>
      </c>
      <c r="J1336" s="0" t="n">
        <v>84.23999999999999</v>
      </c>
      <c r="K1336" s="0" t="n">
        <v>4</v>
      </c>
      <c r="T1336" s="0" t="n">
        <v>3</v>
      </c>
      <c r="U1336" s="0" t="n">
        <v>2</v>
      </c>
      <c r="V1336" s="0" t="inlineStr">
        <is>
          <t>계단식</t>
        </is>
      </c>
      <c r="W1336" s="0" t="inlineStr">
        <is>
          <t>114P</t>
        </is>
      </c>
      <c r="X1336" s="0" t="n">
        <v>27</v>
      </c>
      <c r="Y1336" s="0" t="n">
        <v>5</v>
      </c>
      <c r="Z1336" s="0" t="inlineStr">
        <is>
          <t>https://new.land.naver.com/complexes/144181?tab=detail&amp;rf=Y</t>
        </is>
      </c>
      <c r="AA1336" s="0" t="inlineStr">
        <is>
          <t>서울시 강동구 상일동 554-38 일원(고덕강일 10블록)</t>
        </is>
      </c>
      <c r="AB1336" s="0" t="inlineStr">
        <is>
          <t>서울시</t>
        </is>
      </c>
      <c r="AC1336" s="0" t="inlineStr">
        <is>
          <t>강동구</t>
        </is>
      </c>
      <c r="AD1336" s="0" t="inlineStr">
        <is>
          <t>상일동</t>
        </is>
      </c>
      <c r="AG1336" s="0" t="inlineStr">
        <is>
          <t>서울시 강동구</t>
        </is>
      </c>
      <c r="AH1336" s="0" t="n">
        <v>0</v>
      </c>
      <c r="AI1336" s="0" t="n">
        <v>0</v>
      </c>
      <c r="AJ1336" s="0" t="n">
        <v>0</v>
      </c>
      <c r="AK1336" s="0" t="n">
        <v>788</v>
      </c>
      <c r="AL1336" s="0" t="n">
        <v>1.33</v>
      </c>
    </row>
    <row r="1337">
      <c r="A1337" s="0" t="inlineStr">
        <is>
          <t>[상일동]</t>
        </is>
      </c>
      <c r="B1337" s="0" t="n">
        <v>144181</v>
      </c>
      <c r="C1337" s="0" t="n">
        <v>20</v>
      </c>
      <c r="D1337" s="0" t="inlineStr">
        <is>
          <t>e편한세상강일어반브릿지</t>
        </is>
      </c>
      <c r="E1337" s="0" t="inlineStr">
        <is>
          <t>2024.02.</t>
        </is>
      </c>
      <c r="F1337" s="0" t="n">
        <v>593</v>
      </c>
      <c r="G1337" s="0" t="n">
        <v>34.64</v>
      </c>
      <c r="H1337" s="0" t="n">
        <v>114.52</v>
      </c>
      <c r="I1337" s="0" t="n">
        <v>25.48</v>
      </c>
      <c r="J1337" s="0" t="n">
        <v>84.23999999999999</v>
      </c>
      <c r="K1337" s="0" t="n">
        <v>2</v>
      </c>
      <c r="T1337" s="0" t="n">
        <v>3</v>
      </c>
      <c r="U1337" s="0" t="n">
        <v>2</v>
      </c>
      <c r="V1337" s="0" t="inlineStr">
        <is>
          <t>계단식</t>
        </is>
      </c>
      <c r="W1337" s="0" t="inlineStr">
        <is>
          <t>114Q</t>
        </is>
      </c>
      <c r="X1337" s="0" t="n">
        <v>27</v>
      </c>
      <c r="Y1337" s="0" t="n">
        <v>5</v>
      </c>
      <c r="Z1337" s="0" t="inlineStr">
        <is>
          <t>https://new.land.naver.com/complexes/144181?tab=detail&amp;rf=Y</t>
        </is>
      </c>
      <c r="AA1337" s="0" t="inlineStr">
        <is>
          <t>서울시 강동구 상일동 554-38 일원(고덕강일 10블록)</t>
        </is>
      </c>
      <c r="AB1337" s="0" t="inlineStr">
        <is>
          <t>서울시</t>
        </is>
      </c>
      <c r="AC1337" s="0" t="inlineStr">
        <is>
          <t>강동구</t>
        </is>
      </c>
      <c r="AD1337" s="0" t="inlineStr">
        <is>
          <t>상일동</t>
        </is>
      </c>
      <c r="AG1337" s="0" t="inlineStr">
        <is>
          <t>서울시 강동구</t>
        </is>
      </c>
      <c r="AH1337" s="0" t="n">
        <v>0</v>
      </c>
      <c r="AI1337" s="0" t="n">
        <v>0</v>
      </c>
      <c r="AJ1337" s="0" t="n">
        <v>0</v>
      </c>
      <c r="AK1337" s="0" t="n">
        <v>788</v>
      </c>
      <c r="AL1337" s="0" t="n">
        <v>1.33</v>
      </c>
    </row>
    <row r="1338">
      <c r="A1338" s="0" t="inlineStr">
        <is>
          <t>[상일동]</t>
        </is>
      </c>
      <c r="B1338" s="0" t="n">
        <v>144181</v>
      </c>
      <c r="C1338" s="0" t="n">
        <v>21</v>
      </c>
      <c r="D1338" s="0" t="inlineStr">
        <is>
          <t>e편한세상강일어반브릿지</t>
        </is>
      </c>
      <c r="E1338" s="0" t="inlineStr">
        <is>
          <t>2024.02.</t>
        </is>
      </c>
      <c r="F1338" s="0" t="n">
        <v>593</v>
      </c>
      <c r="G1338" s="0" t="n">
        <v>39.79</v>
      </c>
      <c r="H1338" s="0" t="n">
        <v>131.54</v>
      </c>
      <c r="I1338" s="0" t="n">
        <v>30.57</v>
      </c>
      <c r="J1338" s="0" t="n">
        <v>101.06</v>
      </c>
      <c r="K1338" s="0" t="n">
        <v>32</v>
      </c>
      <c r="T1338" s="0" t="n">
        <v>3</v>
      </c>
      <c r="U1338" s="0" t="n">
        <v>2</v>
      </c>
      <c r="V1338" s="0" t="inlineStr">
        <is>
          <t>계단식</t>
        </is>
      </c>
      <c r="W1338" s="0" t="inlineStr">
        <is>
          <t>131A</t>
        </is>
      </c>
      <c r="X1338" s="0" t="n">
        <v>27</v>
      </c>
      <c r="Y1338" s="0" t="n">
        <v>5</v>
      </c>
      <c r="Z1338" s="0" t="inlineStr">
        <is>
          <t>https://new.land.naver.com/complexes/144181?tab=detail&amp;rf=Y</t>
        </is>
      </c>
      <c r="AA1338" s="0" t="inlineStr">
        <is>
          <t>서울시 강동구 상일동 554-38 일원(고덕강일 10블록)</t>
        </is>
      </c>
      <c r="AB1338" s="0" t="inlineStr">
        <is>
          <t>서울시</t>
        </is>
      </c>
      <c r="AC1338" s="0" t="inlineStr">
        <is>
          <t>강동구</t>
        </is>
      </c>
      <c r="AD1338" s="0" t="inlineStr">
        <is>
          <t>상일동</t>
        </is>
      </c>
      <c r="AG1338" s="0" t="inlineStr">
        <is>
          <t>서울시 강동구</t>
        </is>
      </c>
      <c r="AH1338" s="0" t="n">
        <v>0</v>
      </c>
      <c r="AI1338" s="0" t="n">
        <v>0</v>
      </c>
      <c r="AJ1338" s="0" t="n">
        <v>0</v>
      </c>
      <c r="AK1338" s="0" t="n">
        <v>788</v>
      </c>
      <c r="AL1338" s="0" t="n">
        <v>1.33</v>
      </c>
    </row>
    <row r="1339">
      <c r="A1339" s="0" t="inlineStr">
        <is>
          <t>[상일동]</t>
        </is>
      </c>
      <c r="B1339" s="0" t="n">
        <v>144181</v>
      </c>
      <c r="C1339" s="0" t="n">
        <v>22</v>
      </c>
      <c r="D1339" s="0" t="inlineStr">
        <is>
          <t>e편한세상강일어반브릿지</t>
        </is>
      </c>
      <c r="E1339" s="0" t="inlineStr">
        <is>
          <t>2024.02.</t>
        </is>
      </c>
      <c r="F1339" s="0" t="n">
        <v>593</v>
      </c>
      <c r="G1339" s="0" t="n">
        <v>40.17</v>
      </c>
      <c r="H1339" s="0" t="n">
        <v>132.8</v>
      </c>
      <c r="I1339" s="0" t="n">
        <v>30.56</v>
      </c>
      <c r="J1339" s="0" t="n">
        <v>101.03</v>
      </c>
      <c r="K1339" s="0" t="n">
        <v>36</v>
      </c>
      <c r="T1339" s="0" t="n">
        <v>3</v>
      </c>
      <c r="U1339" s="0" t="n">
        <v>2</v>
      </c>
      <c r="V1339" s="0" t="inlineStr">
        <is>
          <t>계단식</t>
        </is>
      </c>
      <c r="W1339" s="0" t="inlineStr">
        <is>
          <t>132D</t>
        </is>
      </c>
      <c r="X1339" s="0" t="n">
        <v>27</v>
      </c>
      <c r="Y1339" s="0" t="n">
        <v>5</v>
      </c>
      <c r="Z1339" s="0" t="inlineStr">
        <is>
          <t>https://new.land.naver.com/complexes/144181?tab=detail&amp;rf=Y</t>
        </is>
      </c>
      <c r="AA1339" s="0" t="inlineStr">
        <is>
          <t>서울시 강동구 상일동 554-38 일원(고덕강일 10블록)</t>
        </is>
      </c>
      <c r="AB1339" s="0" t="inlineStr">
        <is>
          <t>서울시</t>
        </is>
      </c>
      <c r="AC1339" s="0" t="inlineStr">
        <is>
          <t>강동구</t>
        </is>
      </c>
      <c r="AD1339" s="0" t="inlineStr">
        <is>
          <t>상일동</t>
        </is>
      </c>
      <c r="AG1339" s="0" t="inlineStr">
        <is>
          <t>서울시 강동구</t>
        </is>
      </c>
      <c r="AH1339" s="0" t="n">
        <v>0</v>
      </c>
      <c r="AI1339" s="0" t="n">
        <v>0</v>
      </c>
      <c r="AJ1339" s="0" t="n">
        <v>0</v>
      </c>
      <c r="AK1339" s="0" t="n">
        <v>788</v>
      </c>
      <c r="AL1339" s="0" t="n">
        <v>1.33</v>
      </c>
    </row>
    <row r="1340">
      <c r="A1340" s="0" t="inlineStr">
        <is>
          <t>[상일동]</t>
        </is>
      </c>
      <c r="B1340" s="0" t="n">
        <v>144181</v>
      </c>
      <c r="C1340" s="0" t="n">
        <v>23</v>
      </c>
      <c r="D1340" s="0" t="inlineStr">
        <is>
          <t>e편한세상강일어반브릿지</t>
        </is>
      </c>
      <c r="E1340" s="0" t="inlineStr">
        <is>
          <t>2024.02.</t>
        </is>
      </c>
      <c r="F1340" s="0" t="n">
        <v>593</v>
      </c>
      <c r="G1340" s="0" t="n">
        <v>40.2</v>
      </c>
      <c r="H1340" s="0" t="n">
        <v>132.91</v>
      </c>
      <c r="I1340" s="0" t="n">
        <v>30.57</v>
      </c>
      <c r="J1340" s="0" t="n">
        <v>101.08</v>
      </c>
      <c r="K1340" s="0" t="n">
        <v>16</v>
      </c>
      <c r="T1340" s="0" t="n">
        <v>3</v>
      </c>
      <c r="U1340" s="0" t="n">
        <v>2</v>
      </c>
      <c r="V1340" s="0" t="inlineStr">
        <is>
          <t>계단식</t>
        </is>
      </c>
      <c r="W1340" s="0" t="inlineStr">
        <is>
          <t>132E</t>
        </is>
      </c>
      <c r="X1340" s="0" t="n">
        <v>27</v>
      </c>
      <c r="Y1340" s="0" t="n">
        <v>5</v>
      </c>
      <c r="Z1340" s="0" t="inlineStr">
        <is>
          <t>https://new.land.naver.com/complexes/144181?tab=detail&amp;rf=Y</t>
        </is>
      </c>
      <c r="AA1340" s="0" t="inlineStr">
        <is>
          <t>서울시 강동구 상일동 554-38 일원(고덕강일 10블록)</t>
        </is>
      </c>
      <c r="AB1340" s="0" t="inlineStr">
        <is>
          <t>서울시</t>
        </is>
      </c>
      <c r="AC1340" s="0" t="inlineStr">
        <is>
          <t>강동구</t>
        </is>
      </c>
      <c r="AD1340" s="0" t="inlineStr">
        <is>
          <t>상일동</t>
        </is>
      </c>
      <c r="AG1340" s="0" t="inlineStr">
        <is>
          <t>서울시 강동구</t>
        </is>
      </c>
      <c r="AH1340" s="0" t="n">
        <v>0</v>
      </c>
      <c r="AI1340" s="0" t="n">
        <v>0</v>
      </c>
      <c r="AJ1340" s="0" t="n">
        <v>0</v>
      </c>
      <c r="AK1340" s="0" t="n">
        <v>788</v>
      </c>
      <c r="AL1340" s="0" t="n">
        <v>1.33</v>
      </c>
    </row>
    <row r="1341">
      <c r="A1341" s="0" t="inlineStr">
        <is>
          <t>[상일동]</t>
        </is>
      </c>
      <c r="B1341" s="0" t="n">
        <v>144181</v>
      </c>
      <c r="C1341" s="0" t="n">
        <v>24</v>
      </c>
      <c r="D1341" s="0" t="inlineStr">
        <is>
          <t>e편한세상강일어반브릿지</t>
        </is>
      </c>
      <c r="E1341" s="0" t="inlineStr">
        <is>
          <t>2024.02.</t>
        </is>
      </c>
      <c r="F1341" s="0" t="n">
        <v>593</v>
      </c>
      <c r="G1341" s="0" t="n">
        <v>40.29</v>
      </c>
      <c r="H1341" s="0" t="n">
        <v>133.2</v>
      </c>
      <c r="I1341" s="0" t="n">
        <v>30.56</v>
      </c>
      <c r="J1341" s="0" t="n">
        <v>101.04</v>
      </c>
      <c r="K1341" s="0" t="n">
        <v>48</v>
      </c>
      <c r="T1341" s="0" t="n">
        <v>3</v>
      </c>
      <c r="U1341" s="0" t="n">
        <v>2</v>
      </c>
      <c r="V1341" s="0" t="inlineStr">
        <is>
          <t>계단식</t>
        </is>
      </c>
      <c r="W1341" s="0" t="inlineStr">
        <is>
          <t>133C</t>
        </is>
      </c>
      <c r="X1341" s="0" t="n">
        <v>27</v>
      </c>
      <c r="Y1341" s="0" t="n">
        <v>5</v>
      </c>
      <c r="Z1341" s="0" t="inlineStr">
        <is>
          <t>https://new.land.naver.com/complexes/144181?tab=detail&amp;rf=Y</t>
        </is>
      </c>
      <c r="AA1341" s="0" t="inlineStr">
        <is>
          <t>서울시 강동구 상일동 554-38 일원(고덕강일 10블록)</t>
        </is>
      </c>
      <c r="AB1341" s="0" t="inlineStr">
        <is>
          <t>서울시</t>
        </is>
      </c>
      <c r="AC1341" s="0" t="inlineStr">
        <is>
          <t>강동구</t>
        </is>
      </c>
      <c r="AD1341" s="0" t="inlineStr">
        <is>
          <t>상일동</t>
        </is>
      </c>
      <c r="AG1341" s="0" t="inlineStr">
        <is>
          <t>서울시 강동구</t>
        </is>
      </c>
      <c r="AH1341" s="0" t="n">
        <v>0</v>
      </c>
      <c r="AI1341" s="0" t="n">
        <v>0</v>
      </c>
      <c r="AJ1341" s="0" t="n">
        <v>0</v>
      </c>
      <c r="AK1341" s="0" t="n">
        <v>788</v>
      </c>
      <c r="AL1341" s="0" t="n">
        <v>1.33</v>
      </c>
    </row>
    <row r="1342">
      <c r="A1342" s="0" t="inlineStr">
        <is>
          <t>[상일동]</t>
        </is>
      </c>
      <c r="B1342" s="0" t="n">
        <v>144181</v>
      </c>
      <c r="C1342" s="0" t="n">
        <v>25</v>
      </c>
      <c r="D1342" s="0" t="inlineStr">
        <is>
          <t>e편한세상강일어반브릿지</t>
        </is>
      </c>
      <c r="E1342" s="0" t="inlineStr">
        <is>
          <t>2024.02.</t>
        </is>
      </c>
      <c r="F1342" s="0" t="n">
        <v>593</v>
      </c>
      <c r="G1342" s="0" t="n">
        <v>40.54</v>
      </c>
      <c r="H1342" s="0" t="n">
        <v>134.04</v>
      </c>
      <c r="I1342" s="0" t="n">
        <v>30.56</v>
      </c>
      <c r="J1342" s="0" t="n">
        <v>101.05</v>
      </c>
      <c r="K1342" s="0" t="n">
        <v>36</v>
      </c>
      <c r="T1342" s="0" t="n">
        <v>3</v>
      </c>
      <c r="U1342" s="0" t="n">
        <v>2</v>
      </c>
      <c r="V1342" s="0" t="inlineStr">
        <is>
          <t>계단식</t>
        </is>
      </c>
      <c r="W1342" s="0" t="inlineStr">
        <is>
          <t>134B</t>
        </is>
      </c>
      <c r="X1342" s="0" t="n">
        <v>27</v>
      </c>
      <c r="Y1342" s="0" t="n">
        <v>5</v>
      </c>
      <c r="Z1342" s="0" t="inlineStr">
        <is>
          <t>https://new.land.naver.com/complexes/144181?tab=detail&amp;rf=Y</t>
        </is>
      </c>
      <c r="AA1342" s="0" t="inlineStr">
        <is>
          <t>서울시 강동구 상일동 554-38 일원(고덕강일 10블록)</t>
        </is>
      </c>
      <c r="AB1342" s="0" t="inlineStr">
        <is>
          <t>서울시</t>
        </is>
      </c>
      <c r="AC1342" s="0" t="inlineStr">
        <is>
          <t>강동구</t>
        </is>
      </c>
      <c r="AD1342" s="0" t="inlineStr">
        <is>
          <t>상일동</t>
        </is>
      </c>
      <c r="AG1342" s="0" t="inlineStr">
        <is>
          <t>서울시 강동구</t>
        </is>
      </c>
      <c r="AH1342" s="0" t="n">
        <v>0</v>
      </c>
      <c r="AI1342" s="0" t="n">
        <v>0</v>
      </c>
      <c r="AJ1342" s="0" t="n">
        <v>0</v>
      </c>
      <c r="AK1342" s="0" t="n">
        <v>788</v>
      </c>
      <c r="AL1342" s="0" t="n">
        <v>1.33</v>
      </c>
    </row>
    <row r="1343">
      <c r="A1343" s="0" t="inlineStr">
        <is>
          <t>[상일동]</t>
        </is>
      </c>
      <c r="B1343" s="0" t="n">
        <v>144181</v>
      </c>
      <c r="C1343" s="0" t="n">
        <v>26</v>
      </c>
      <c r="D1343" s="0" t="inlineStr">
        <is>
          <t>e편한세상강일어반브릿지</t>
        </is>
      </c>
      <c r="E1343" s="0" t="inlineStr">
        <is>
          <t>2024.02.</t>
        </is>
      </c>
      <c r="F1343" s="0" t="n">
        <v>593</v>
      </c>
      <c r="G1343" s="0" t="n">
        <v>40.63</v>
      </c>
      <c r="H1343" s="0" t="n">
        <v>134.33</v>
      </c>
      <c r="I1343" s="0" t="n">
        <v>30.57</v>
      </c>
      <c r="J1343" s="0" t="n">
        <v>101.07</v>
      </c>
      <c r="K1343" s="0" t="n">
        <v>6</v>
      </c>
      <c r="T1343" s="0" t="n">
        <v>3</v>
      </c>
      <c r="U1343" s="0" t="n">
        <v>3</v>
      </c>
      <c r="V1343" s="0" t="inlineStr">
        <is>
          <t>계단식</t>
        </is>
      </c>
      <c r="W1343" s="0" t="inlineStr">
        <is>
          <t>134F</t>
        </is>
      </c>
      <c r="X1343" s="0" t="n">
        <v>27</v>
      </c>
      <c r="Y1343" s="0" t="n">
        <v>5</v>
      </c>
      <c r="Z1343" s="0" t="inlineStr">
        <is>
          <t>https://new.land.naver.com/complexes/144181?tab=detail&amp;rf=Y</t>
        </is>
      </c>
      <c r="AA1343" s="0" t="inlineStr">
        <is>
          <t>서울시 강동구 상일동 554-38 일원(고덕강일 10블록)</t>
        </is>
      </c>
      <c r="AB1343" s="0" t="inlineStr">
        <is>
          <t>서울시</t>
        </is>
      </c>
      <c r="AC1343" s="0" t="inlineStr">
        <is>
          <t>강동구</t>
        </is>
      </c>
      <c r="AD1343" s="0" t="inlineStr">
        <is>
          <t>상일동</t>
        </is>
      </c>
      <c r="AG1343" s="0" t="inlineStr">
        <is>
          <t>서울시 강동구</t>
        </is>
      </c>
      <c r="AH1343" s="0" t="n">
        <v>0</v>
      </c>
      <c r="AI1343" s="0" t="n">
        <v>0</v>
      </c>
      <c r="AJ1343" s="0" t="n">
        <v>0</v>
      </c>
      <c r="AK1343" s="0" t="n">
        <v>788</v>
      </c>
      <c r="AL1343" s="0" t="n">
        <v>1.33</v>
      </c>
    </row>
    <row r="1344">
      <c r="A1344" s="0" t="inlineStr">
        <is>
          <t>[상일동]</t>
        </is>
      </c>
      <c r="B1344" s="0" t="n">
        <v>110765</v>
      </c>
      <c r="C1344" s="0" t="n">
        <v>1</v>
      </c>
      <c r="D1344" s="0" t="inlineStr">
        <is>
          <t>고덕숲아이파크</t>
        </is>
      </c>
      <c r="E1344" s="0" t="inlineStr">
        <is>
          <t>2018.03.</t>
        </is>
      </c>
      <c r="F1344" s="0" t="n">
        <v>687</v>
      </c>
      <c r="G1344" s="0" t="n">
        <v>25.64</v>
      </c>
      <c r="H1344" s="0" t="n">
        <v>84.78</v>
      </c>
      <c r="I1344" s="0" t="n">
        <v>18.14</v>
      </c>
      <c r="J1344" s="0" t="n">
        <v>59.97</v>
      </c>
      <c r="K1344" s="0" t="n">
        <v>200</v>
      </c>
      <c r="T1344" s="0" t="n">
        <v>3</v>
      </c>
      <c r="U1344" s="0" t="n">
        <v>2</v>
      </c>
      <c r="V1344" s="0" t="inlineStr">
        <is>
          <t>계단식</t>
        </is>
      </c>
      <c r="W1344" s="0" t="inlineStr">
        <is>
          <t>84A</t>
        </is>
      </c>
      <c r="X1344" s="0" t="n">
        <v>25</v>
      </c>
      <c r="Y1344" s="0" t="n">
        <v>9</v>
      </c>
      <c r="Z1344" s="0" t="inlineStr">
        <is>
          <t>https://new.land.naver.com/complexes/110765?tab=detail&amp;rf=Y</t>
        </is>
      </c>
      <c r="AA1344" s="0" t="inlineStr">
        <is>
          <t>서울시 강동구 상일동 515</t>
        </is>
      </c>
      <c r="AB1344" s="0" t="inlineStr">
        <is>
          <t>서울시</t>
        </is>
      </c>
      <c r="AC1344" s="0" t="inlineStr">
        <is>
          <t>강동구</t>
        </is>
      </c>
      <c r="AD1344" s="0" t="inlineStr">
        <is>
          <t>상일동</t>
        </is>
      </c>
      <c r="AG1344" s="0" t="inlineStr">
        <is>
          <t>서울시 강동구 고덕로80길 134</t>
        </is>
      </c>
      <c r="AH1344" s="0" t="n">
        <v>27</v>
      </c>
      <c r="AI1344" s="0" t="n">
        <v>249</v>
      </c>
      <c r="AJ1344" s="0" t="n">
        <v>22</v>
      </c>
      <c r="AK1344" s="0" t="n">
        <v>917</v>
      </c>
      <c r="AL1344" s="0" t="n">
        <v>1.33</v>
      </c>
    </row>
    <row r="1345">
      <c r="A1345" s="0" t="inlineStr">
        <is>
          <t>[상일동]</t>
        </is>
      </c>
      <c r="B1345" s="0" t="n">
        <v>110765</v>
      </c>
      <c r="C1345" s="0" t="n">
        <v>2</v>
      </c>
      <c r="D1345" s="0" t="inlineStr">
        <is>
          <t>고덕숲아이파크</t>
        </is>
      </c>
      <c r="E1345" s="0" t="inlineStr">
        <is>
          <t>2018.03.</t>
        </is>
      </c>
      <c r="F1345" s="0" t="n">
        <v>687</v>
      </c>
      <c r="G1345" s="0" t="n">
        <v>25.95</v>
      </c>
      <c r="H1345" s="0" t="n">
        <v>85.81</v>
      </c>
      <c r="I1345" s="0" t="n">
        <v>18.11</v>
      </c>
      <c r="J1345" s="0" t="n">
        <v>59.87</v>
      </c>
      <c r="K1345" s="0" t="n">
        <v>16</v>
      </c>
      <c r="T1345" s="0" t="n">
        <v>3</v>
      </c>
      <c r="U1345" s="0" t="n">
        <v>2</v>
      </c>
      <c r="V1345" s="0" t="inlineStr">
        <is>
          <t>계단식</t>
        </is>
      </c>
      <c r="W1345" s="0" t="inlineStr">
        <is>
          <t>85B</t>
        </is>
      </c>
      <c r="X1345" s="0" t="n">
        <v>25</v>
      </c>
      <c r="Y1345" s="0" t="n">
        <v>9</v>
      </c>
      <c r="Z1345" s="0" t="inlineStr">
        <is>
          <t>https://new.land.naver.com/complexes/110765?tab=detail&amp;rf=Y</t>
        </is>
      </c>
      <c r="AA1345" s="0" t="inlineStr">
        <is>
          <t>서울시 강동구 상일동 515</t>
        </is>
      </c>
      <c r="AB1345" s="0" t="inlineStr">
        <is>
          <t>서울시</t>
        </is>
      </c>
      <c r="AC1345" s="0" t="inlineStr">
        <is>
          <t>강동구</t>
        </is>
      </c>
      <c r="AD1345" s="0" t="inlineStr">
        <is>
          <t>상일동</t>
        </is>
      </c>
      <c r="AG1345" s="0" t="inlineStr">
        <is>
          <t>서울시 강동구 고덕로80길 134</t>
        </is>
      </c>
      <c r="AH1345" s="0" t="n">
        <v>27</v>
      </c>
      <c r="AI1345" s="0" t="n">
        <v>249</v>
      </c>
      <c r="AJ1345" s="0" t="n">
        <v>22</v>
      </c>
      <c r="AK1345" s="0" t="n">
        <v>917</v>
      </c>
      <c r="AL1345" s="0" t="n">
        <v>1.33</v>
      </c>
    </row>
    <row r="1346">
      <c r="A1346" s="0" t="inlineStr">
        <is>
          <t>[상일동]</t>
        </is>
      </c>
      <c r="B1346" s="0" t="n">
        <v>110765</v>
      </c>
      <c r="C1346" s="0" t="n">
        <v>3</v>
      </c>
      <c r="D1346" s="0" t="inlineStr">
        <is>
          <t>고덕숲아이파크</t>
        </is>
      </c>
      <c r="E1346" s="0" t="inlineStr">
        <is>
          <t>2018.03.</t>
        </is>
      </c>
      <c r="F1346" s="0" t="n">
        <v>687</v>
      </c>
      <c r="G1346" s="0" t="n">
        <v>25.98</v>
      </c>
      <c r="H1346" s="0" t="n">
        <v>85.89</v>
      </c>
      <c r="I1346" s="0" t="n">
        <v>18.12</v>
      </c>
      <c r="J1346" s="0" t="n">
        <v>59.93</v>
      </c>
      <c r="K1346" s="0" t="n">
        <v>15</v>
      </c>
      <c r="T1346" s="0" t="n">
        <v>3</v>
      </c>
      <c r="U1346" s="0" t="n">
        <v>2</v>
      </c>
      <c r="V1346" s="0" t="inlineStr">
        <is>
          <t>계단식</t>
        </is>
      </c>
      <c r="W1346" s="0" t="inlineStr">
        <is>
          <t>85C</t>
        </is>
      </c>
      <c r="X1346" s="0" t="n">
        <v>25</v>
      </c>
      <c r="Y1346" s="0" t="n">
        <v>9</v>
      </c>
      <c r="Z1346" s="0" t="inlineStr">
        <is>
          <t>https://new.land.naver.com/complexes/110765?tab=detail&amp;rf=Y</t>
        </is>
      </c>
      <c r="AA1346" s="0" t="inlineStr">
        <is>
          <t>서울시 강동구 상일동 515</t>
        </is>
      </c>
      <c r="AB1346" s="0" t="inlineStr">
        <is>
          <t>서울시</t>
        </is>
      </c>
      <c r="AC1346" s="0" t="inlineStr">
        <is>
          <t>강동구</t>
        </is>
      </c>
      <c r="AD1346" s="0" t="inlineStr">
        <is>
          <t>상일동</t>
        </is>
      </c>
      <c r="AG1346" s="0" t="inlineStr">
        <is>
          <t>서울시 강동구 고덕로80길 134</t>
        </is>
      </c>
      <c r="AH1346" s="0" t="n">
        <v>27</v>
      </c>
      <c r="AI1346" s="0" t="n">
        <v>249</v>
      </c>
      <c r="AJ1346" s="0" t="n">
        <v>22</v>
      </c>
      <c r="AK1346" s="0" t="n">
        <v>917</v>
      </c>
      <c r="AL1346" s="0" t="n">
        <v>1.33</v>
      </c>
    </row>
    <row r="1347">
      <c r="A1347" s="0" t="inlineStr">
        <is>
          <t>[상일동]</t>
        </is>
      </c>
      <c r="B1347" s="0" t="n">
        <v>110765</v>
      </c>
      <c r="C1347" s="0" t="n">
        <v>4</v>
      </c>
      <c r="D1347" s="0" t="inlineStr">
        <is>
          <t>고덕숲아이파크</t>
        </is>
      </c>
      <c r="E1347" s="0" t="inlineStr">
        <is>
          <t>2018.03.</t>
        </is>
      </c>
      <c r="F1347" s="0" t="n">
        <v>687</v>
      </c>
      <c r="G1347" s="0" t="n">
        <v>34.13</v>
      </c>
      <c r="H1347" s="0" t="n">
        <v>112.83</v>
      </c>
      <c r="I1347" s="0" t="n">
        <v>25.66</v>
      </c>
      <c r="J1347" s="0" t="n">
        <v>84.84999999999999</v>
      </c>
      <c r="K1347" s="0" t="n">
        <v>317</v>
      </c>
      <c r="T1347" s="0" t="n">
        <v>3</v>
      </c>
      <c r="U1347" s="0" t="n">
        <v>2</v>
      </c>
      <c r="V1347" s="0" t="inlineStr">
        <is>
          <t>계단식</t>
        </is>
      </c>
      <c r="W1347" s="0" t="inlineStr">
        <is>
          <t>112B</t>
        </is>
      </c>
      <c r="X1347" s="0" t="n">
        <v>25</v>
      </c>
      <c r="Y1347" s="0" t="n">
        <v>9</v>
      </c>
      <c r="Z1347" s="0" t="inlineStr">
        <is>
          <t>https://new.land.naver.com/complexes/110765?tab=detail&amp;rf=Y</t>
        </is>
      </c>
      <c r="AA1347" s="0" t="inlineStr">
        <is>
          <t>서울시 강동구 상일동 515</t>
        </is>
      </c>
      <c r="AB1347" s="0" t="inlineStr">
        <is>
          <t>서울시</t>
        </is>
      </c>
      <c r="AC1347" s="0" t="inlineStr">
        <is>
          <t>강동구</t>
        </is>
      </c>
      <c r="AD1347" s="0" t="inlineStr">
        <is>
          <t>상일동</t>
        </is>
      </c>
      <c r="AG1347" s="0" t="inlineStr">
        <is>
          <t>서울시 강동구 고덕로80길 134</t>
        </is>
      </c>
      <c r="AH1347" s="0" t="n">
        <v>27</v>
      </c>
      <c r="AI1347" s="0" t="n">
        <v>249</v>
      </c>
      <c r="AJ1347" s="0" t="n">
        <v>22</v>
      </c>
      <c r="AK1347" s="0" t="n">
        <v>917</v>
      </c>
      <c r="AL1347" s="0" t="n">
        <v>1.33</v>
      </c>
    </row>
    <row r="1348">
      <c r="A1348" s="0" t="inlineStr">
        <is>
          <t>[상일동]</t>
        </is>
      </c>
      <c r="B1348" s="0" t="n">
        <v>110765</v>
      </c>
      <c r="C1348" s="0" t="n">
        <v>5</v>
      </c>
      <c r="D1348" s="0" t="inlineStr">
        <is>
          <t>고덕숲아이파크</t>
        </is>
      </c>
      <c r="E1348" s="0" t="inlineStr">
        <is>
          <t>2018.03.</t>
        </is>
      </c>
      <c r="F1348" s="0" t="n">
        <v>687</v>
      </c>
      <c r="G1348" s="0" t="n">
        <v>34.2</v>
      </c>
      <c r="H1348" s="0" t="n">
        <v>113.08</v>
      </c>
      <c r="I1348" s="0" t="n">
        <v>25.7</v>
      </c>
      <c r="J1348" s="0" t="n">
        <v>84.97</v>
      </c>
      <c r="K1348" s="0" t="n">
        <v>70</v>
      </c>
      <c r="T1348" s="0" t="n">
        <v>3</v>
      </c>
      <c r="U1348" s="0" t="n">
        <v>2</v>
      </c>
      <c r="V1348" s="0" t="inlineStr">
        <is>
          <t>계단식</t>
        </is>
      </c>
      <c r="W1348" s="0" t="inlineStr">
        <is>
          <t>113A</t>
        </is>
      </c>
      <c r="X1348" s="0" t="n">
        <v>25</v>
      </c>
      <c r="Y1348" s="0" t="n">
        <v>9</v>
      </c>
      <c r="Z1348" s="0" t="inlineStr">
        <is>
          <t>https://new.land.naver.com/complexes/110765?tab=detail&amp;rf=Y</t>
        </is>
      </c>
      <c r="AA1348" s="0" t="inlineStr">
        <is>
          <t>서울시 강동구 상일동 515</t>
        </is>
      </c>
      <c r="AB1348" s="0" t="inlineStr">
        <is>
          <t>서울시</t>
        </is>
      </c>
      <c r="AC1348" s="0" t="inlineStr">
        <is>
          <t>강동구</t>
        </is>
      </c>
      <c r="AD1348" s="0" t="inlineStr">
        <is>
          <t>상일동</t>
        </is>
      </c>
      <c r="AG1348" s="0" t="inlineStr">
        <is>
          <t>서울시 강동구 고덕로80길 134</t>
        </is>
      </c>
      <c r="AH1348" s="0" t="n">
        <v>27</v>
      </c>
      <c r="AI1348" s="0" t="n">
        <v>249</v>
      </c>
      <c r="AJ1348" s="0" t="n">
        <v>22</v>
      </c>
      <c r="AK1348" s="0" t="n">
        <v>917</v>
      </c>
      <c r="AL1348" s="0" t="n">
        <v>1.33</v>
      </c>
    </row>
    <row r="1349">
      <c r="A1349" s="0" t="inlineStr">
        <is>
          <t>[상일동]</t>
        </is>
      </c>
      <c r="B1349" s="0" t="n">
        <v>110765</v>
      </c>
      <c r="C1349" s="0" t="n">
        <v>6</v>
      </c>
      <c r="D1349" s="0" t="inlineStr">
        <is>
          <t>고덕숲아이파크</t>
        </is>
      </c>
      <c r="E1349" s="0" t="inlineStr">
        <is>
          <t>2018.03.</t>
        </is>
      </c>
      <c r="F1349" s="0" t="n">
        <v>687</v>
      </c>
      <c r="G1349" s="0" t="n">
        <v>41.52</v>
      </c>
      <c r="H1349" s="0" t="n">
        <v>137.28</v>
      </c>
      <c r="I1349" s="0" t="n">
        <v>32.74</v>
      </c>
      <c r="J1349" s="0" t="n">
        <v>108.24</v>
      </c>
      <c r="K1349" s="0" t="n">
        <v>42</v>
      </c>
      <c r="T1349" s="0" t="n">
        <v>4</v>
      </c>
      <c r="U1349" s="0" t="n">
        <v>2</v>
      </c>
      <c r="V1349" s="0" t="inlineStr">
        <is>
          <t>계단식</t>
        </is>
      </c>
      <c r="W1349" s="0" t="n">
        <v>137</v>
      </c>
      <c r="X1349" s="0" t="n">
        <v>25</v>
      </c>
      <c r="Y1349" s="0" t="n">
        <v>9</v>
      </c>
      <c r="Z1349" s="0" t="inlineStr">
        <is>
          <t>https://new.land.naver.com/complexes/110765?tab=detail&amp;rf=Y</t>
        </is>
      </c>
      <c r="AA1349" s="0" t="inlineStr">
        <is>
          <t>서울시 강동구 상일동 515</t>
        </is>
      </c>
      <c r="AB1349" s="0" t="inlineStr">
        <is>
          <t>서울시</t>
        </is>
      </c>
      <c r="AC1349" s="0" t="inlineStr">
        <is>
          <t>강동구</t>
        </is>
      </c>
      <c r="AD1349" s="0" t="inlineStr">
        <is>
          <t>상일동</t>
        </is>
      </c>
      <c r="AG1349" s="0" t="inlineStr">
        <is>
          <t>서울시 강동구 고덕로80길 134</t>
        </is>
      </c>
      <c r="AH1349" s="0" t="n">
        <v>27</v>
      </c>
      <c r="AI1349" s="0" t="n">
        <v>249</v>
      </c>
      <c r="AJ1349" s="0" t="n">
        <v>22</v>
      </c>
      <c r="AK1349" s="0" t="n">
        <v>917</v>
      </c>
      <c r="AL1349" s="0" t="n">
        <v>1.33</v>
      </c>
    </row>
    <row r="1350">
      <c r="A1350" s="0" t="inlineStr">
        <is>
          <t>[상일동]</t>
        </is>
      </c>
      <c r="B1350" s="0" t="n">
        <v>127692</v>
      </c>
      <c r="C1350" s="0" t="n">
        <v>1</v>
      </c>
      <c r="D1350" s="0" t="inlineStr">
        <is>
          <t>로고스하우스(도시형)</t>
        </is>
      </c>
      <c r="E1350" s="0" t="inlineStr">
        <is>
          <t>2017.09.</t>
        </is>
      </c>
      <c r="F1350" s="0" t="n">
        <v>10</v>
      </c>
      <c r="G1350" s="0" t="n">
        <v>8.85</v>
      </c>
      <c r="H1350" s="0" t="n">
        <v>29.28</v>
      </c>
      <c r="I1350" s="0" t="n">
        <v>7.35</v>
      </c>
      <c r="J1350" s="0" t="n">
        <v>24.33</v>
      </c>
      <c r="K1350" s="0" t="n">
        <v>1</v>
      </c>
      <c r="T1350" s="0" t="n">
        <v>1</v>
      </c>
      <c r="U1350" s="0" t="n">
        <v>1</v>
      </c>
      <c r="V1350" s="0" t="inlineStr">
        <is>
          <t>계단식</t>
        </is>
      </c>
      <c r="W1350" s="0" t="n">
        <v>29</v>
      </c>
      <c r="X1350" s="0" t="n">
        <v>6</v>
      </c>
      <c r="Y1350" s="0" t="n">
        <v>6</v>
      </c>
      <c r="Z1350" s="0" t="inlineStr">
        <is>
          <t>https://new.land.naver.com/complexes/127692?tab=detail&amp;rf=Y</t>
        </is>
      </c>
      <c r="AA1350" s="0" t="inlineStr">
        <is>
          <t>서울시 강동구 상일동 333-5</t>
        </is>
      </c>
      <c r="AB1350" s="0" t="inlineStr">
        <is>
          <t>서울시</t>
        </is>
      </c>
      <c r="AC1350" s="0" t="inlineStr">
        <is>
          <t>강동구</t>
        </is>
      </c>
      <c r="AD1350" s="0" t="inlineStr">
        <is>
          <t>상일동</t>
        </is>
      </c>
      <c r="AG1350" s="0" t="inlineStr">
        <is>
          <t>서울시 강동구 상암로79가길 20</t>
        </is>
      </c>
      <c r="AH1350" s="0" t="n">
        <v>0</v>
      </c>
      <c r="AI1350" s="0" t="n">
        <v>196</v>
      </c>
      <c r="AJ1350" s="0" t="n">
        <v>59</v>
      </c>
      <c r="AK1350" s="0" t="n">
        <v>8</v>
      </c>
      <c r="AL1350" s="0" t="n">
        <v>0.8</v>
      </c>
    </row>
    <row r="1351">
      <c r="A1351" s="0" t="inlineStr">
        <is>
          <t>[상일동]</t>
        </is>
      </c>
      <c r="B1351" s="0" t="n">
        <v>127692</v>
      </c>
      <c r="C1351" s="0" t="n">
        <v>2</v>
      </c>
      <c r="D1351" s="0" t="inlineStr">
        <is>
          <t>로고스하우스(도시형)</t>
        </is>
      </c>
      <c r="E1351" s="0" t="inlineStr">
        <is>
          <t>2017.09.</t>
        </is>
      </c>
      <c r="F1351" s="0" t="n">
        <v>10</v>
      </c>
      <c r="G1351" s="0" t="n">
        <v>9.699999999999999</v>
      </c>
      <c r="H1351" s="0" t="n">
        <v>32.08</v>
      </c>
      <c r="I1351" s="0" t="n">
        <v>8.06</v>
      </c>
      <c r="J1351" s="0" t="n">
        <v>26.66</v>
      </c>
      <c r="K1351" s="0" t="n">
        <v>1</v>
      </c>
      <c r="T1351" s="0" t="n">
        <v>1</v>
      </c>
      <c r="U1351" s="0" t="n">
        <v>1</v>
      </c>
      <c r="V1351" s="0" t="inlineStr">
        <is>
          <t>계단식</t>
        </is>
      </c>
      <c r="W1351" s="0" t="n">
        <v>32</v>
      </c>
      <c r="X1351" s="0" t="n">
        <v>6</v>
      </c>
      <c r="Y1351" s="0" t="n">
        <v>6</v>
      </c>
      <c r="Z1351" s="0" t="inlineStr">
        <is>
          <t>https://new.land.naver.com/complexes/127692?tab=detail&amp;rf=Y</t>
        </is>
      </c>
      <c r="AA1351" s="0" t="inlineStr">
        <is>
          <t>서울시 강동구 상일동 333-5</t>
        </is>
      </c>
      <c r="AB1351" s="0" t="inlineStr">
        <is>
          <t>서울시</t>
        </is>
      </c>
      <c r="AC1351" s="0" t="inlineStr">
        <is>
          <t>강동구</t>
        </is>
      </c>
      <c r="AD1351" s="0" t="inlineStr">
        <is>
          <t>상일동</t>
        </is>
      </c>
      <c r="AG1351" s="0" t="inlineStr">
        <is>
          <t>서울시 강동구 상암로79가길 20</t>
        </is>
      </c>
      <c r="AH1351" s="0" t="n">
        <v>0</v>
      </c>
      <c r="AI1351" s="0" t="n">
        <v>196</v>
      </c>
      <c r="AJ1351" s="0" t="n">
        <v>59</v>
      </c>
      <c r="AK1351" s="0" t="n">
        <v>8</v>
      </c>
      <c r="AL1351" s="0" t="n">
        <v>0.8</v>
      </c>
    </row>
    <row r="1352">
      <c r="A1352" s="0" t="inlineStr">
        <is>
          <t>[상일동]</t>
        </is>
      </c>
      <c r="B1352" s="0" t="n">
        <v>127692</v>
      </c>
      <c r="C1352" s="0" t="n">
        <v>3</v>
      </c>
      <c r="D1352" s="0" t="inlineStr">
        <is>
          <t>로고스하우스(도시형)</t>
        </is>
      </c>
      <c r="E1352" s="0" t="inlineStr">
        <is>
          <t>2017.09.</t>
        </is>
      </c>
      <c r="F1352" s="0" t="n">
        <v>10</v>
      </c>
      <c r="G1352" s="0" t="n">
        <v>11.39</v>
      </c>
      <c r="H1352" s="0" t="n">
        <v>37.67</v>
      </c>
      <c r="I1352" s="0" t="n">
        <v>9.470000000000001</v>
      </c>
      <c r="J1352" s="0" t="n">
        <v>31.31</v>
      </c>
      <c r="K1352" s="0" t="n">
        <v>1</v>
      </c>
      <c r="T1352" s="0" t="n">
        <v>1</v>
      </c>
      <c r="U1352" s="0" t="n">
        <v>1</v>
      </c>
      <c r="V1352" s="0" t="inlineStr">
        <is>
          <t>계단식</t>
        </is>
      </c>
      <c r="W1352" s="0" t="n">
        <v>37</v>
      </c>
      <c r="X1352" s="0" t="n">
        <v>6</v>
      </c>
      <c r="Y1352" s="0" t="n">
        <v>6</v>
      </c>
      <c r="Z1352" s="0" t="inlineStr">
        <is>
          <t>https://new.land.naver.com/complexes/127692?tab=detail&amp;rf=Y</t>
        </is>
      </c>
      <c r="AA1352" s="0" t="inlineStr">
        <is>
          <t>서울시 강동구 상일동 333-5</t>
        </is>
      </c>
      <c r="AB1352" s="0" t="inlineStr">
        <is>
          <t>서울시</t>
        </is>
      </c>
      <c r="AC1352" s="0" t="inlineStr">
        <is>
          <t>강동구</t>
        </is>
      </c>
      <c r="AD1352" s="0" t="inlineStr">
        <is>
          <t>상일동</t>
        </is>
      </c>
      <c r="AG1352" s="0" t="inlineStr">
        <is>
          <t>서울시 강동구 상암로79가길 20</t>
        </is>
      </c>
      <c r="AH1352" s="0" t="n">
        <v>0</v>
      </c>
      <c r="AI1352" s="0" t="n">
        <v>196</v>
      </c>
      <c r="AJ1352" s="0" t="n">
        <v>59</v>
      </c>
      <c r="AK1352" s="0" t="n">
        <v>8</v>
      </c>
      <c r="AL1352" s="0" t="n">
        <v>0.8</v>
      </c>
    </row>
    <row r="1353">
      <c r="A1353" s="0" t="inlineStr">
        <is>
          <t>[상일동]</t>
        </is>
      </c>
      <c r="B1353" s="0" t="n">
        <v>127692</v>
      </c>
      <c r="C1353" s="0" t="n">
        <v>4</v>
      </c>
      <c r="D1353" s="0" t="inlineStr">
        <is>
          <t>로고스하우스(도시형)</t>
        </is>
      </c>
      <c r="E1353" s="0" t="inlineStr">
        <is>
          <t>2017.09.</t>
        </is>
      </c>
      <c r="F1353" s="0" t="n">
        <v>10</v>
      </c>
      <c r="G1353" s="0" t="n">
        <v>14.22</v>
      </c>
      <c r="H1353" s="0" t="n">
        <v>47.04</v>
      </c>
      <c r="I1353" s="0" t="n">
        <v>11.83</v>
      </c>
      <c r="J1353" s="0" t="n">
        <v>39.11</v>
      </c>
      <c r="K1353" s="0" t="n">
        <v>7</v>
      </c>
      <c r="T1353" s="0" t="n">
        <v>2</v>
      </c>
      <c r="U1353" s="0" t="n">
        <v>1</v>
      </c>
      <c r="V1353" s="0" t="inlineStr">
        <is>
          <t>계단식</t>
        </is>
      </c>
      <c r="W1353" s="0" t="n">
        <v>47</v>
      </c>
      <c r="X1353" s="0" t="n">
        <v>6</v>
      </c>
      <c r="Y1353" s="0" t="n">
        <v>6</v>
      </c>
      <c r="Z1353" s="0" t="inlineStr">
        <is>
          <t>https://new.land.naver.com/complexes/127692?tab=detail&amp;rf=Y</t>
        </is>
      </c>
      <c r="AA1353" s="0" t="inlineStr">
        <is>
          <t>서울시 강동구 상일동 333-5</t>
        </is>
      </c>
      <c r="AB1353" s="0" t="inlineStr">
        <is>
          <t>서울시</t>
        </is>
      </c>
      <c r="AC1353" s="0" t="inlineStr">
        <is>
          <t>강동구</t>
        </is>
      </c>
      <c r="AD1353" s="0" t="inlineStr">
        <is>
          <t>상일동</t>
        </is>
      </c>
      <c r="AG1353" s="0" t="inlineStr">
        <is>
          <t>서울시 강동구 상암로79가길 20</t>
        </is>
      </c>
      <c r="AH1353" s="0" t="n">
        <v>0</v>
      </c>
      <c r="AI1353" s="0" t="n">
        <v>196</v>
      </c>
      <c r="AJ1353" s="0" t="n">
        <v>59</v>
      </c>
      <c r="AK1353" s="0" t="n">
        <v>8</v>
      </c>
      <c r="AL1353" s="0" t="n">
        <v>0.8</v>
      </c>
    </row>
    <row r="1354">
      <c r="A1354" s="0" t="inlineStr">
        <is>
          <t>[상일동]</t>
        </is>
      </c>
      <c r="B1354" s="0" t="n">
        <v>15285</v>
      </c>
      <c r="C1354" s="0" t="n">
        <v>1</v>
      </c>
      <c r="D1354" s="0" t="inlineStr">
        <is>
          <t>대림</t>
        </is>
      </c>
      <c r="E1354" s="0" t="inlineStr">
        <is>
          <t>1992.03.</t>
        </is>
      </c>
      <c r="F1354" s="0" t="n">
        <v>108</v>
      </c>
      <c r="G1354" s="0" t="n">
        <v>52.49</v>
      </c>
      <c r="H1354" s="0" t="n">
        <v>173.53</v>
      </c>
      <c r="I1354" s="0" t="n">
        <v>44.34</v>
      </c>
      <c r="J1354" s="0" t="n">
        <v>146.59</v>
      </c>
      <c r="K1354" s="0" t="n">
        <v>24</v>
      </c>
      <c r="T1354" s="0" t="n">
        <v>4</v>
      </c>
      <c r="U1354" s="0" t="n">
        <v>2</v>
      </c>
      <c r="V1354" s="0" t="inlineStr">
        <is>
          <t>계단식</t>
        </is>
      </c>
      <c r="W1354" s="0" t="n">
        <v>173</v>
      </c>
      <c r="X1354" s="0" t="n">
        <v>3</v>
      </c>
      <c r="Y1354" s="0" t="n">
        <v>3</v>
      </c>
      <c r="Z1354" s="0" t="inlineStr">
        <is>
          <t>https://new.land.naver.com/complexes/15285?tab=detail&amp;rf=Y</t>
        </is>
      </c>
      <c r="AA1354" s="0" t="inlineStr">
        <is>
          <t>서울시 강동구 상일동 178</t>
        </is>
      </c>
      <c r="AB1354" s="0" t="inlineStr">
        <is>
          <t>서울시</t>
        </is>
      </c>
      <c r="AC1354" s="0" t="inlineStr">
        <is>
          <t>강동구</t>
        </is>
      </c>
      <c r="AD1354" s="0" t="inlineStr">
        <is>
          <t>상일동</t>
        </is>
      </c>
      <c r="AG1354" s="0" t="inlineStr">
        <is>
          <t>서울시 강동구 상암로 355</t>
        </is>
      </c>
      <c r="AH1354" s="0" t="n">
        <v>0</v>
      </c>
      <c r="AI1354" s="0" t="n">
        <v>91</v>
      </c>
      <c r="AJ1354" s="0" t="n">
        <v>31</v>
      </c>
      <c r="AK1354" s="0" t="n">
        <v>0</v>
      </c>
      <c r="AL1354" s="0" t="n">
        <v>0</v>
      </c>
    </row>
    <row r="1355">
      <c r="A1355" s="0" t="inlineStr">
        <is>
          <t>[상일동]</t>
        </is>
      </c>
      <c r="B1355" s="0" t="n">
        <v>15285</v>
      </c>
      <c r="C1355" s="0" t="n">
        <v>2</v>
      </c>
      <c r="D1355" s="0" t="inlineStr">
        <is>
          <t>대림</t>
        </is>
      </c>
      <c r="E1355" s="0" t="inlineStr">
        <is>
          <t>1992.03.</t>
        </is>
      </c>
      <c r="F1355" s="0" t="n">
        <v>108</v>
      </c>
      <c r="G1355" s="0" t="n">
        <v>59.94</v>
      </c>
      <c r="H1355" s="0" t="n">
        <v>198.17</v>
      </c>
      <c r="I1355" s="0" t="n">
        <v>50.58</v>
      </c>
      <c r="J1355" s="0" t="n">
        <v>167.22</v>
      </c>
      <c r="K1355" s="0" t="n">
        <v>12</v>
      </c>
      <c r="T1355" s="0" t="n">
        <v>5</v>
      </c>
      <c r="U1355" s="0" t="n">
        <v>2</v>
      </c>
      <c r="V1355" s="0" t="inlineStr">
        <is>
          <t>계단식</t>
        </is>
      </c>
      <c r="W1355" s="0" t="n">
        <v>198</v>
      </c>
      <c r="X1355" s="0" t="n">
        <v>3</v>
      </c>
      <c r="Y1355" s="0" t="n">
        <v>3</v>
      </c>
      <c r="Z1355" s="0" t="inlineStr">
        <is>
          <t>https://new.land.naver.com/complexes/15285?tab=detail&amp;rf=Y</t>
        </is>
      </c>
      <c r="AA1355" s="0" t="inlineStr">
        <is>
          <t>서울시 강동구 상일동 178</t>
        </is>
      </c>
      <c r="AB1355" s="0" t="inlineStr">
        <is>
          <t>서울시</t>
        </is>
      </c>
      <c r="AC1355" s="0" t="inlineStr">
        <is>
          <t>강동구</t>
        </is>
      </c>
      <c r="AD1355" s="0" t="inlineStr">
        <is>
          <t>상일동</t>
        </is>
      </c>
      <c r="AG1355" s="0" t="inlineStr">
        <is>
          <t>서울시 강동구 상암로 355</t>
        </is>
      </c>
      <c r="AH1355" s="0" t="n">
        <v>0</v>
      </c>
      <c r="AI1355" s="0" t="n">
        <v>91</v>
      </c>
      <c r="AJ1355" s="0" t="n">
        <v>31</v>
      </c>
      <c r="AK1355" s="0" t="n">
        <v>0</v>
      </c>
      <c r="AL1355" s="0" t="n">
        <v>0</v>
      </c>
    </row>
    <row r="1356">
      <c r="A1356" s="0" t="inlineStr">
        <is>
          <t>[상일동]</t>
        </is>
      </c>
      <c r="B1356" s="0" t="n">
        <v>15285</v>
      </c>
      <c r="C1356" s="0" t="n">
        <v>3</v>
      </c>
      <c r="D1356" s="0" t="inlineStr">
        <is>
          <t>대림</t>
        </is>
      </c>
      <c r="E1356" s="0" t="inlineStr">
        <is>
          <t>1992.03.</t>
        </is>
      </c>
      <c r="F1356" s="0" t="n">
        <v>108</v>
      </c>
      <c r="G1356" s="0" t="n">
        <v>63.11</v>
      </c>
      <c r="H1356" s="0" t="n">
        <v>208.65</v>
      </c>
      <c r="I1356" s="0" t="n">
        <v>52.48</v>
      </c>
      <c r="J1356" s="0" t="n">
        <v>173.51</v>
      </c>
      <c r="K1356" s="0" t="n">
        <v>26</v>
      </c>
      <c r="T1356" s="0" t="n">
        <v>4</v>
      </c>
      <c r="U1356" s="0" t="n">
        <v>2</v>
      </c>
      <c r="V1356" s="0" t="inlineStr">
        <is>
          <t>계단식</t>
        </is>
      </c>
      <c r="W1356" s="0" t="n">
        <v>208</v>
      </c>
      <c r="X1356" s="0" t="n">
        <v>3</v>
      </c>
      <c r="Y1356" s="0" t="n">
        <v>3</v>
      </c>
      <c r="Z1356" s="0" t="inlineStr">
        <is>
          <t>https://new.land.naver.com/complexes/15285?tab=detail&amp;rf=Y</t>
        </is>
      </c>
      <c r="AA1356" s="0" t="inlineStr">
        <is>
          <t>서울시 강동구 상일동 178</t>
        </is>
      </c>
      <c r="AB1356" s="0" t="inlineStr">
        <is>
          <t>서울시</t>
        </is>
      </c>
      <c r="AC1356" s="0" t="inlineStr">
        <is>
          <t>강동구</t>
        </is>
      </c>
      <c r="AD1356" s="0" t="inlineStr">
        <is>
          <t>상일동</t>
        </is>
      </c>
      <c r="AG1356" s="0" t="inlineStr">
        <is>
          <t>서울시 강동구 상암로 355</t>
        </is>
      </c>
      <c r="AH1356" s="0" t="n">
        <v>0</v>
      </c>
      <c r="AI1356" s="0" t="n">
        <v>91</v>
      </c>
      <c r="AJ1356" s="0" t="n">
        <v>31</v>
      </c>
      <c r="AK1356" s="0" t="n">
        <v>0</v>
      </c>
      <c r="AL1356" s="0" t="n">
        <v>0</v>
      </c>
    </row>
    <row r="1357">
      <c r="A1357" s="0" t="inlineStr">
        <is>
          <t>[상일동]</t>
        </is>
      </c>
      <c r="B1357" s="0" t="n">
        <v>15285</v>
      </c>
      <c r="C1357" s="0" t="n">
        <v>4</v>
      </c>
      <c r="D1357" s="0" t="inlineStr">
        <is>
          <t>대림</t>
        </is>
      </c>
      <c r="E1357" s="0" t="inlineStr">
        <is>
          <t>1992.03.</t>
        </is>
      </c>
      <c r="F1357" s="0" t="n">
        <v>108</v>
      </c>
      <c r="G1357" s="0" t="n">
        <v>68.88</v>
      </c>
      <c r="H1357" s="0" t="n">
        <v>227.73</v>
      </c>
      <c r="I1357" s="0" t="n">
        <v>60.3</v>
      </c>
      <c r="J1357" s="0" t="n">
        <v>199.34</v>
      </c>
      <c r="K1357" s="0" t="n">
        <v>22</v>
      </c>
      <c r="T1357" s="0" t="n">
        <v>5</v>
      </c>
      <c r="U1357" s="0" t="n">
        <v>2</v>
      </c>
      <c r="V1357" s="0" t="inlineStr">
        <is>
          <t>계단식</t>
        </is>
      </c>
      <c r="W1357" s="0" t="n">
        <v>227</v>
      </c>
      <c r="X1357" s="0" t="n">
        <v>3</v>
      </c>
      <c r="Y1357" s="0" t="n">
        <v>3</v>
      </c>
      <c r="Z1357" s="0" t="inlineStr">
        <is>
          <t>https://new.land.naver.com/complexes/15285?tab=detail&amp;rf=Y</t>
        </is>
      </c>
      <c r="AA1357" s="0" t="inlineStr">
        <is>
          <t>서울시 강동구 상일동 178</t>
        </is>
      </c>
      <c r="AB1357" s="0" t="inlineStr">
        <is>
          <t>서울시</t>
        </is>
      </c>
      <c r="AC1357" s="0" t="inlineStr">
        <is>
          <t>강동구</t>
        </is>
      </c>
      <c r="AD1357" s="0" t="inlineStr">
        <is>
          <t>상일동</t>
        </is>
      </c>
      <c r="AG1357" s="0" t="inlineStr">
        <is>
          <t>서울시 강동구 상암로 355</t>
        </is>
      </c>
      <c r="AH1357" s="0" t="n">
        <v>0</v>
      </c>
      <c r="AI1357" s="0" t="n">
        <v>91</v>
      </c>
      <c r="AJ1357" s="0" t="n">
        <v>31</v>
      </c>
      <c r="AK1357" s="0" t="n">
        <v>0</v>
      </c>
      <c r="AL1357" s="0" t="n">
        <v>0</v>
      </c>
    </row>
    <row r="1358">
      <c r="A1358" s="0" t="inlineStr">
        <is>
          <t>[상일동]</t>
        </is>
      </c>
      <c r="B1358" s="0" t="n">
        <v>15285</v>
      </c>
      <c r="C1358" s="0" t="n">
        <v>5</v>
      </c>
      <c r="D1358" s="0" t="inlineStr">
        <is>
          <t>대림</t>
        </is>
      </c>
      <c r="E1358" s="0" t="inlineStr">
        <is>
          <t>1992.03.</t>
        </is>
      </c>
      <c r="F1358" s="0" t="n">
        <v>108</v>
      </c>
      <c r="G1358" s="0" t="n">
        <v>74.06999999999999</v>
      </c>
      <c r="H1358" s="0" t="n">
        <v>244.86</v>
      </c>
      <c r="I1358" s="0" t="n">
        <v>61.5</v>
      </c>
      <c r="J1358" s="0" t="n">
        <v>203.31</v>
      </c>
      <c r="K1358" s="0" t="n">
        <v>13</v>
      </c>
      <c r="T1358" s="0" t="n">
        <v>4</v>
      </c>
      <c r="U1358" s="0" t="n">
        <v>2</v>
      </c>
      <c r="V1358" s="0" t="inlineStr">
        <is>
          <t>계단식</t>
        </is>
      </c>
      <c r="W1358" s="0" t="n">
        <v>244</v>
      </c>
      <c r="X1358" s="0" t="n">
        <v>3</v>
      </c>
      <c r="Y1358" s="0" t="n">
        <v>3</v>
      </c>
      <c r="Z1358" s="0" t="inlineStr">
        <is>
          <t>https://new.land.naver.com/complexes/15285?tab=detail&amp;rf=Y</t>
        </is>
      </c>
      <c r="AA1358" s="0" t="inlineStr">
        <is>
          <t>서울시 강동구 상일동 178</t>
        </is>
      </c>
      <c r="AB1358" s="0" t="inlineStr">
        <is>
          <t>서울시</t>
        </is>
      </c>
      <c r="AC1358" s="0" t="inlineStr">
        <is>
          <t>강동구</t>
        </is>
      </c>
      <c r="AD1358" s="0" t="inlineStr">
        <is>
          <t>상일동</t>
        </is>
      </c>
      <c r="AG1358" s="0" t="inlineStr">
        <is>
          <t>서울시 강동구 상암로 355</t>
        </is>
      </c>
      <c r="AH1358" s="0" t="n">
        <v>0</v>
      </c>
      <c r="AI1358" s="0" t="n">
        <v>91</v>
      </c>
      <c r="AJ1358" s="0" t="n">
        <v>31</v>
      </c>
      <c r="AK1358" s="0" t="n">
        <v>0</v>
      </c>
      <c r="AL1358" s="0" t="n">
        <v>0</v>
      </c>
    </row>
    <row r="1359">
      <c r="A1359" s="0" t="inlineStr">
        <is>
          <t>[상일동]</t>
        </is>
      </c>
      <c r="B1359" s="0" t="n">
        <v>15285</v>
      </c>
      <c r="C1359" s="0" t="n">
        <v>6</v>
      </c>
      <c r="D1359" s="0" t="inlineStr">
        <is>
          <t>대림</t>
        </is>
      </c>
      <c r="E1359" s="0" t="inlineStr">
        <is>
          <t>1992.03.</t>
        </is>
      </c>
      <c r="F1359" s="0" t="n">
        <v>108</v>
      </c>
      <c r="G1359" s="0" t="n">
        <v>79.40000000000001</v>
      </c>
      <c r="H1359" s="0" t="n">
        <v>262.51</v>
      </c>
      <c r="I1359" s="0" t="n">
        <v>69.45</v>
      </c>
      <c r="J1359" s="0" t="n">
        <v>229.59</v>
      </c>
      <c r="K1359" s="0" t="n">
        <v>11</v>
      </c>
      <c r="T1359" s="0" t="n">
        <v>6</v>
      </c>
      <c r="U1359" s="0" t="n">
        <v>2</v>
      </c>
      <c r="V1359" s="0" t="inlineStr">
        <is>
          <t>계단식</t>
        </is>
      </c>
      <c r="W1359" s="0" t="n">
        <v>262</v>
      </c>
      <c r="X1359" s="0" t="n">
        <v>3</v>
      </c>
      <c r="Y1359" s="0" t="n">
        <v>3</v>
      </c>
      <c r="Z1359" s="0" t="inlineStr">
        <is>
          <t>https://new.land.naver.com/complexes/15285?tab=detail&amp;rf=Y</t>
        </is>
      </c>
      <c r="AA1359" s="0" t="inlineStr">
        <is>
          <t>서울시 강동구 상일동 178</t>
        </is>
      </c>
      <c r="AB1359" s="0" t="inlineStr">
        <is>
          <t>서울시</t>
        </is>
      </c>
      <c r="AC1359" s="0" t="inlineStr">
        <is>
          <t>강동구</t>
        </is>
      </c>
      <c r="AD1359" s="0" t="inlineStr">
        <is>
          <t>상일동</t>
        </is>
      </c>
      <c r="AG1359" s="0" t="inlineStr">
        <is>
          <t>서울시 강동구 상암로 355</t>
        </is>
      </c>
      <c r="AH1359" s="0" t="n">
        <v>0</v>
      </c>
      <c r="AI1359" s="0" t="n">
        <v>91</v>
      </c>
      <c r="AJ1359" s="0" t="n">
        <v>31</v>
      </c>
      <c r="AK1359" s="0" t="n">
        <v>0</v>
      </c>
      <c r="AL1359" s="0" t="n">
        <v>0</v>
      </c>
    </row>
    <row r="1360">
      <c r="A1360" s="0" t="inlineStr">
        <is>
          <t>[상일동]</t>
        </is>
      </c>
      <c r="B1360" s="0" t="n">
        <v>15503</v>
      </c>
      <c r="C1360" s="0" t="n">
        <v>1</v>
      </c>
      <c r="D1360" s="0" t="inlineStr">
        <is>
          <t>현대</t>
        </is>
      </c>
      <c r="E1360" s="0" t="inlineStr">
        <is>
          <t>1986.10.</t>
        </is>
      </c>
      <c r="F1360" s="0" t="n">
        <v>84</v>
      </c>
      <c r="G1360" s="0" t="n">
        <v>33.82</v>
      </c>
      <c r="H1360" s="0" t="n">
        <v>111.83</v>
      </c>
      <c r="I1360" s="0" t="n">
        <v>28.72</v>
      </c>
      <c r="J1360" s="0" t="n">
        <v>94.95999999999999</v>
      </c>
      <c r="K1360" s="0" t="n">
        <v>12</v>
      </c>
      <c r="T1360" s="0" t="n">
        <v>3</v>
      </c>
      <c r="U1360" s="0" t="n">
        <v>2</v>
      </c>
      <c r="V1360" s="0" t="inlineStr">
        <is>
          <t>계단식</t>
        </is>
      </c>
      <c r="W1360" s="0" t="n">
        <v>111</v>
      </c>
      <c r="X1360" s="0" t="n">
        <v>3</v>
      </c>
      <c r="Y1360" s="0" t="n">
        <v>3</v>
      </c>
      <c r="Z1360" s="0" t="inlineStr">
        <is>
          <t>https://new.land.naver.com/complexes/15503?tab=detail&amp;rf=Y</t>
        </is>
      </c>
      <c r="AA1360" s="0" t="inlineStr">
        <is>
          <t>서울시 강동구 상일동 172</t>
        </is>
      </c>
      <c r="AB1360" s="0" t="inlineStr">
        <is>
          <t>서울시</t>
        </is>
      </c>
      <c r="AC1360" s="0" t="inlineStr">
        <is>
          <t>강동구</t>
        </is>
      </c>
      <c r="AD1360" s="0" t="inlineStr">
        <is>
          <t>상일동</t>
        </is>
      </c>
      <c r="AG1360" s="0" t="inlineStr">
        <is>
          <t>서울시 강동구 상암로 309</t>
        </is>
      </c>
      <c r="AH1360" s="0" t="n">
        <v>0</v>
      </c>
      <c r="AI1360" s="0" t="n">
        <v>0</v>
      </c>
      <c r="AJ1360" s="0" t="n">
        <v>0</v>
      </c>
      <c r="AK1360" s="0" t="n">
        <v>0</v>
      </c>
      <c r="AL1360" s="0" t="n">
        <v>0</v>
      </c>
    </row>
    <row r="1361">
      <c r="A1361" s="0" t="inlineStr">
        <is>
          <t>[상일동]</t>
        </is>
      </c>
      <c r="B1361" s="0" t="n">
        <v>15503</v>
      </c>
      <c r="C1361" s="0" t="n">
        <v>2</v>
      </c>
      <c r="D1361" s="0" t="inlineStr">
        <is>
          <t>현대</t>
        </is>
      </c>
      <c r="E1361" s="0" t="inlineStr">
        <is>
          <t>1986.10.</t>
        </is>
      </c>
      <c r="F1361" s="0" t="n">
        <v>84</v>
      </c>
      <c r="G1361" s="0" t="n">
        <v>37.73</v>
      </c>
      <c r="H1361" s="0" t="n">
        <v>124.76</v>
      </c>
      <c r="I1361" s="0" t="n">
        <v>32.7</v>
      </c>
      <c r="J1361" s="0" t="n">
        <v>108.13</v>
      </c>
      <c r="K1361" s="0" t="n">
        <v>16</v>
      </c>
      <c r="T1361" s="0" t="n">
        <v>4</v>
      </c>
      <c r="U1361" s="0" t="n">
        <v>2</v>
      </c>
      <c r="V1361" s="0" t="inlineStr">
        <is>
          <t>계단식</t>
        </is>
      </c>
      <c r="W1361" s="0" t="n">
        <v>124</v>
      </c>
      <c r="X1361" s="0" t="n">
        <v>3</v>
      </c>
      <c r="Y1361" s="0" t="n">
        <v>3</v>
      </c>
      <c r="Z1361" s="0" t="inlineStr">
        <is>
          <t>https://new.land.naver.com/complexes/15503?tab=detail&amp;rf=Y</t>
        </is>
      </c>
      <c r="AA1361" s="0" t="inlineStr">
        <is>
          <t>서울시 강동구 상일동 172</t>
        </is>
      </c>
      <c r="AB1361" s="0" t="inlineStr">
        <is>
          <t>서울시</t>
        </is>
      </c>
      <c r="AC1361" s="0" t="inlineStr">
        <is>
          <t>강동구</t>
        </is>
      </c>
      <c r="AD1361" s="0" t="inlineStr">
        <is>
          <t>상일동</t>
        </is>
      </c>
      <c r="AG1361" s="0" t="inlineStr">
        <is>
          <t>서울시 강동구 상암로 309</t>
        </is>
      </c>
      <c r="AH1361" s="0" t="n">
        <v>0</v>
      </c>
      <c r="AI1361" s="0" t="n">
        <v>0</v>
      </c>
      <c r="AJ1361" s="0" t="n">
        <v>0</v>
      </c>
      <c r="AK1361" s="0" t="n">
        <v>0</v>
      </c>
      <c r="AL1361" s="0" t="n">
        <v>0</v>
      </c>
    </row>
    <row r="1362">
      <c r="A1362" s="0" t="inlineStr">
        <is>
          <t>[상일동]</t>
        </is>
      </c>
      <c r="B1362" s="0" t="n">
        <v>15503</v>
      </c>
      <c r="C1362" s="0" t="n">
        <v>3</v>
      </c>
      <c r="D1362" s="0" t="inlineStr">
        <is>
          <t>현대</t>
        </is>
      </c>
      <c r="E1362" s="0" t="inlineStr">
        <is>
          <t>1986.10.</t>
        </is>
      </c>
      <c r="F1362" s="0" t="n">
        <v>84</v>
      </c>
      <c r="G1362" s="0" t="n">
        <v>38.5</v>
      </c>
      <c r="H1362" s="0" t="n">
        <v>127.28</v>
      </c>
      <c r="I1362" s="0" t="n">
        <v>28.72</v>
      </c>
      <c r="J1362" s="0" t="n">
        <v>94.95999999999999</v>
      </c>
      <c r="K1362" s="0" t="n">
        <v>12</v>
      </c>
      <c r="T1362" s="0" t="n">
        <v>4</v>
      </c>
      <c r="U1362" s="0" t="n">
        <v>2</v>
      </c>
      <c r="V1362" s="0" t="inlineStr">
        <is>
          <t>계단식</t>
        </is>
      </c>
      <c r="W1362" s="0" t="n">
        <v>127</v>
      </c>
      <c r="X1362" s="0" t="n">
        <v>3</v>
      </c>
      <c r="Y1362" s="0" t="n">
        <v>3</v>
      </c>
      <c r="Z1362" s="0" t="inlineStr">
        <is>
          <t>https://new.land.naver.com/complexes/15503?tab=detail&amp;rf=Y</t>
        </is>
      </c>
      <c r="AA1362" s="0" t="inlineStr">
        <is>
          <t>서울시 강동구 상일동 172</t>
        </is>
      </c>
      <c r="AB1362" s="0" t="inlineStr">
        <is>
          <t>서울시</t>
        </is>
      </c>
      <c r="AC1362" s="0" t="inlineStr">
        <is>
          <t>강동구</t>
        </is>
      </c>
      <c r="AD1362" s="0" t="inlineStr">
        <is>
          <t>상일동</t>
        </is>
      </c>
      <c r="AG1362" s="0" t="inlineStr">
        <is>
          <t>서울시 강동구 상암로 309</t>
        </is>
      </c>
      <c r="AH1362" s="0" t="n">
        <v>0</v>
      </c>
      <c r="AI1362" s="0" t="n">
        <v>0</v>
      </c>
      <c r="AJ1362" s="0" t="n">
        <v>0</v>
      </c>
      <c r="AK1362" s="0" t="n">
        <v>0</v>
      </c>
      <c r="AL1362" s="0" t="n">
        <v>0</v>
      </c>
    </row>
    <row r="1363">
      <c r="A1363" s="0" t="inlineStr">
        <is>
          <t>[상일동]</t>
        </is>
      </c>
      <c r="B1363" s="0" t="n">
        <v>15503</v>
      </c>
      <c r="C1363" s="0" t="n">
        <v>4</v>
      </c>
      <c r="D1363" s="0" t="inlineStr">
        <is>
          <t>현대</t>
        </is>
      </c>
      <c r="E1363" s="0" t="inlineStr">
        <is>
          <t>1986.10.</t>
        </is>
      </c>
      <c r="F1363" s="0" t="n">
        <v>84</v>
      </c>
      <c r="G1363" s="0" t="n">
        <v>41.2</v>
      </c>
      <c r="H1363" s="0" t="n">
        <v>136.2</v>
      </c>
      <c r="I1363" s="0" t="n">
        <v>28.72</v>
      </c>
      <c r="J1363" s="0" t="n">
        <v>94.95999999999999</v>
      </c>
      <c r="K1363" s="0" t="n">
        <v>12</v>
      </c>
      <c r="T1363" s="0" t="n">
        <v>4</v>
      </c>
      <c r="U1363" s="0" t="n">
        <v>2</v>
      </c>
      <c r="V1363" s="0" t="inlineStr">
        <is>
          <t>계단식</t>
        </is>
      </c>
      <c r="W1363" s="0" t="n">
        <v>136</v>
      </c>
      <c r="X1363" s="0" t="n">
        <v>3</v>
      </c>
      <c r="Y1363" s="0" t="n">
        <v>3</v>
      </c>
      <c r="Z1363" s="0" t="inlineStr">
        <is>
          <t>https://new.land.naver.com/complexes/15503?tab=detail&amp;rf=Y</t>
        </is>
      </c>
      <c r="AA1363" s="0" t="inlineStr">
        <is>
          <t>서울시 강동구 상일동 172</t>
        </is>
      </c>
      <c r="AB1363" s="0" t="inlineStr">
        <is>
          <t>서울시</t>
        </is>
      </c>
      <c r="AC1363" s="0" t="inlineStr">
        <is>
          <t>강동구</t>
        </is>
      </c>
      <c r="AD1363" s="0" t="inlineStr">
        <is>
          <t>상일동</t>
        </is>
      </c>
      <c r="AG1363" s="0" t="inlineStr">
        <is>
          <t>서울시 강동구 상암로 309</t>
        </is>
      </c>
      <c r="AH1363" s="0" t="n">
        <v>0</v>
      </c>
      <c r="AI1363" s="0" t="n">
        <v>0</v>
      </c>
      <c r="AJ1363" s="0" t="n">
        <v>0</v>
      </c>
      <c r="AK1363" s="0" t="n">
        <v>0</v>
      </c>
      <c r="AL1363" s="0" t="n">
        <v>0</v>
      </c>
    </row>
    <row r="1364">
      <c r="A1364" s="0" t="inlineStr">
        <is>
          <t>[상일동]</t>
        </is>
      </c>
      <c r="B1364" s="0" t="n">
        <v>15503</v>
      </c>
      <c r="C1364" s="0" t="n">
        <v>5</v>
      </c>
      <c r="D1364" s="0" t="inlineStr">
        <is>
          <t>현대</t>
        </is>
      </c>
      <c r="E1364" s="0" t="inlineStr">
        <is>
          <t>1986.10.</t>
        </is>
      </c>
      <c r="F1364" s="0" t="n">
        <v>84</v>
      </c>
      <c r="G1364" s="0" t="n">
        <v>42.58</v>
      </c>
      <c r="H1364" s="0" t="n">
        <v>140.78</v>
      </c>
      <c r="I1364" s="0" t="n">
        <v>32.7</v>
      </c>
      <c r="J1364" s="0" t="n">
        <v>108.13</v>
      </c>
      <c r="K1364" s="0" t="n">
        <v>16</v>
      </c>
      <c r="T1364" s="0" t="n">
        <v>5</v>
      </c>
      <c r="U1364" s="0" t="n">
        <v>2</v>
      </c>
      <c r="V1364" s="0" t="inlineStr">
        <is>
          <t>계단식</t>
        </is>
      </c>
      <c r="W1364" s="0" t="n">
        <v>140</v>
      </c>
      <c r="X1364" s="0" t="n">
        <v>3</v>
      </c>
      <c r="Y1364" s="0" t="n">
        <v>3</v>
      </c>
      <c r="Z1364" s="0" t="inlineStr">
        <is>
          <t>https://new.land.naver.com/complexes/15503?tab=detail&amp;rf=Y</t>
        </is>
      </c>
      <c r="AA1364" s="0" t="inlineStr">
        <is>
          <t>서울시 강동구 상일동 172</t>
        </is>
      </c>
      <c r="AB1364" s="0" t="inlineStr">
        <is>
          <t>서울시</t>
        </is>
      </c>
      <c r="AC1364" s="0" t="inlineStr">
        <is>
          <t>강동구</t>
        </is>
      </c>
      <c r="AD1364" s="0" t="inlineStr">
        <is>
          <t>상일동</t>
        </is>
      </c>
      <c r="AG1364" s="0" t="inlineStr">
        <is>
          <t>서울시 강동구 상암로 309</t>
        </is>
      </c>
      <c r="AH1364" s="0" t="n">
        <v>0</v>
      </c>
      <c r="AI1364" s="0" t="n">
        <v>0</v>
      </c>
      <c r="AJ1364" s="0" t="n">
        <v>0</v>
      </c>
      <c r="AK1364" s="0" t="n">
        <v>0</v>
      </c>
      <c r="AL1364" s="0" t="n">
        <v>0</v>
      </c>
    </row>
    <row r="1365">
      <c r="A1365" s="0" t="inlineStr">
        <is>
          <t>[상일동]</t>
        </is>
      </c>
      <c r="B1365" s="0" t="n">
        <v>15503</v>
      </c>
      <c r="C1365" s="0" t="n">
        <v>6</v>
      </c>
      <c r="D1365" s="0" t="inlineStr">
        <is>
          <t>현대</t>
        </is>
      </c>
      <c r="E1365" s="0" t="inlineStr">
        <is>
          <t>1986.10.</t>
        </is>
      </c>
      <c r="F1365" s="0" t="n">
        <v>84</v>
      </c>
      <c r="G1365" s="0" t="n">
        <v>44.96</v>
      </c>
      <c r="H1365" s="0" t="n">
        <v>148.64</v>
      </c>
      <c r="I1365" s="0" t="n">
        <v>32.7</v>
      </c>
      <c r="J1365" s="0" t="n">
        <v>108.13</v>
      </c>
      <c r="K1365" s="0" t="n">
        <v>16</v>
      </c>
      <c r="T1365" s="0" t="n">
        <v>5</v>
      </c>
      <c r="U1365" s="0" t="n">
        <v>2</v>
      </c>
      <c r="V1365" s="0" t="inlineStr">
        <is>
          <t>계단식</t>
        </is>
      </c>
      <c r="W1365" s="0" t="n">
        <v>148</v>
      </c>
      <c r="X1365" s="0" t="n">
        <v>3</v>
      </c>
      <c r="Y1365" s="0" t="n">
        <v>3</v>
      </c>
      <c r="Z1365" s="0" t="inlineStr">
        <is>
          <t>https://new.land.naver.com/complexes/15503?tab=detail&amp;rf=Y</t>
        </is>
      </c>
      <c r="AA1365" s="0" t="inlineStr">
        <is>
          <t>서울시 강동구 상일동 172</t>
        </is>
      </c>
      <c r="AB1365" s="0" t="inlineStr">
        <is>
          <t>서울시</t>
        </is>
      </c>
      <c r="AC1365" s="0" t="inlineStr">
        <is>
          <t>강동구</t>
        </is>
      </c>
      <c r="AD1365" s="0" t="inlineStr">
        <is>
          <t>상일동</t>
        </is>
      </c>
      <c r="AG1365" s="0" t="inlineStr">
        <is>
          <t>서울시 강동구 상암로 309</t>
        </is>
      </c>
      <c r="AH1365" s="0" t="n">
        <v>0</v>
      </c>
      <c r="AI1365" s="0" t="n">
        <v>0</v>
      </c>
      <c r="AJ1365" s="0" t="n">
        <v>0</v>
      </c>
      <c r="AK1365" s="0" t="n">
        <v>0</v>
      </c>
      <c r="AL1365" s="0" t="n">
        <v>0</v>
      </c>
    </row>
    <row r="1366">
      <c r="A1366" s="0" t="inlineStr">
        <is>
          <t>[상일동]</t>
        </is>
      </c>
      <c r="B1366" s="0" t="n">
        <v>119341</v>
      </c>
      <c r="C1366" s="0" t="n">
        <v>1</v>
      </c>
      <c r="D1366" s="0" t="inlineStr">
        <is>
          <t>고덕아르테온</t>
        </is>
      </c>
      <c r="E1366" s="0" t="inlineStr">
        <is>
          <t>2020.02.</t>
        </is>
      </c>
      <c r="F1366" s="0" t="n">
        <v>4066</v>
      </c>
      <c r="G1366" s="0" t="n">
        <v>24.46</v>
      </c>
      <c r="H1366" s="0" t="n">
        <v>80.86</v>
      </c>
      <c r="I1366" s="0" t="n">
        <v>18.09</v>
      </c>
      <c r="J1366" s="0" t="n">
        <v>59.83</v>
      </c>
      <c r="K1366" s="0" t="n">
        <v>34</v>
      </c>
      <c r="T1366" s="0" t="n">
        <v>3</v>
      </c>
      <c r="U1366" s="0" t="n">
        <v>2</v>
      </c>
      <c r="V1366" s="0" t="inlineStr">
        <is>
          <t>계단식</t>
        </is>
      </c>
      <c r="W1366" s="0" t="inlineStr">
        <is>
          <t>80D</t>
        </is>
      </c>
      <c r="X1366" s="0" t="n">
        <v>34</v>
      </c>
      <c r="Y1366" s="0" t="n">
        <v>9</v>
      </c>
      <c r="Z1366" s="0" t="inlineStr">
        <is>
          <t>https://new.land.naver.com/complexes/119341?tab=detail&amp;rf=Y</t>
        </is>
      </c>
      <c r="AA1366" s="0" t="inlineStr">
        <is>
          <t>서울시 강동구 상일동 519</t>
        </is>
      </c>
      <c r="AB1366" s="0" t="inlineStr">
        <is>
          <t>서울시</t>
        </is>
      </c>
      <c r="AC1366" s="0" t="inlineStr">
        <is>
          <t>강동구</t>
        </is>
      </c>
      <c r="AD1366" s="0" t="inlineStr">
        <is>
          <t>상일동</t>
        </is>
      </c>
      <c r="AG1366" s="0" t="inlineStr">
        <is>
          <t>서울시 강동구 고덕로 360</t>
        </is>
      </c>
      <c r="AH1366" s="0" t="n">
        <v>108</v>
      </c>
      <c r="AI1366" s="0" t="n">
        <v>249</v>
      </c>
      <c r="AJ1366" s="0" t="n">
        <v>19</v>
      </c>
      <c r="AK1366" s="0" t="n">
        <v>6405</v>
      </c>
      <c r="AL1366" s="0" t="n">
        <v>1.58</v>
      </c>
    </row>
    <row r="1367">
      <c r="A1367" s="0" t="inlineStr">
        <is>
          <t>[상일동]</t>
        </is>
      </c>
      <c r="B1367" s="0" t="n">
        <v>119341</v>
      </c>
      <c r="C1367" s="0" t="n">
        <v>2</v>
      </c>
      <c r="D1367" s="0" t="inlineStr">
        <is>
          <t>고덕아르테온</t>
        </is>
      </c>
      <c r="E1367" s="0" t="inlineStr">
        <is>
          <t>2020.02.</t>
        </is>
      </c>
      <c r="F1367" s="0" t="n">
        <v>4066</v>
      </c>
      <c r="G1367" s="0" t="n">
        <v>24.51</v>
      </c>
      <c r="H1367" s="0" t="n">
        <v>81.05</v>
      </c>
      <c r="I1367" s="0" t="n">
        <v>18.14</v>
      </c>
      <c r="J1367" s="0" t="n">
        <v>59.98</v>
      </c>
      <c r="K1367" s="0" t="n">
        <v>944</v>
      </c>
      <c r="T1367" s="0" t="n">
        <v>3</v>
      </c>
      <c r="U1367" s="0" t="n">
        <v>2</v>
      </c>
      <c r="V1367" s="0" t="inlineStr">
        <is>
          <t>계단식</t>
        </is>
      </c>
      <c r="W1367" s="0" t="inlineStr">
        <is>
          <t>81A</t>
        </is>
      </c>
      <c r="X1367" s="0" t="n">
        <v>34</v>
      </c>
      <c r="Y1367" s="0" t="n">
        <v>9</v>
      </c>
      <c r="Z1367" s="0" t="inlineStr">
        <is>
          <t>https://new.land.naver.com/complexes/119341?tab=detail&amp;rf=Y</t>
        </is>
      </c>
      <c r="AA1367" s="0" t="inlineStr">
        <is>
          <t>서울시 강동구 상일동 519</t>
        </is>
      </c>
      <c r="AB1367" s="0" t="inlineStr">
        <is>
          <t>서울시</t>
        </is>
      </c>
      <c r="AC1367" s="0" t="inlineStr">
        <is>
          <t>강동구</t>
        </is>
      </c>
      <c r="AD1367" s="0" t="inlineStr">
        <is>
          <t>상일동</t>
        </is>
      </c>
      <c r="AG1367" s="0" t="inlineStr">
        <is>
          <t>서울시 강동구 고덕로 360</t>
        </is>
      </c>
      <c r="AH1367" s="0" t="n">
        <v>108</v>
      </c>
      <c r="AI1367" s="0" t="n">
        <v>249</v>
      </c>
      <c r="AJ1367" s="0" t="n">
        <v>19</v>
      </c>
      <c r="AK1367" s="0" t="n">
        <v>6405</v>
      </c>
      <c r="AL1367" s="0" t="n">
        <v>1.58</v>
      </c>
    </row>
    <row r="1368">
      <c r="A1368" s="0" t="inlineStr">
        <is>
          <t>[상일동]</t>
        </is>
      </c>
      <c r="B1368" s="0" t="n">
        <v>119341</v>
      </c>
      <c r="C1368" s="0" t="n">
        <v>3</v>
      </c>
      <c r="D1368" s="0" t="inlineStr">
        <is>
          <t>고덕아르테온</t>
        </is>
      </c>
      <c r="E1368" s="0" t="inlineStr">
        <is>
          <t>2020.02.</t>
        </is>
      </c>
      <c r="F1368" s="0" t="n">
        <v>4066</v>
      </c>
      <c r="G1368" s="0" t="n">
        <v>24.62</v>
      </c>
      <c r="H1368" s="0" t="n">
        <v>81.40000000000001</v>
      </c>
      <c r="I1368" s="0" t="n">
        <v>18.13</v>
      </c>
      <c r="J1368" s="0" t="n">
        <v>59.96</v>
      </c>
      <c r="K1368" s="0" t="n">
        <v>124</v>
      </c>
      <c r="T1368" s="0" t="n">
        <v>3</v>
      </c>
      <c r="U1368" s="0" t="n">
        <v>2</v>
      </c>
      <c r="V1368" s="0" t="inlineStr">
        <is>
          <t>계단식</t>
        </is>
      </c>
      <c r="W1368" s="0" t="inlineStr">
        <is>
          <t>81B</t>
        </is>
      </c>
      <c r="X1368" s="0" t="n">
        <v>34</v>
      </c>
      <c r="Y1368" s="0" t="n">
        <v>9</v>
      </c>
      <c r="Z1368" s="0" t="inlineStr">
        <is>
          <t>https://new.land.naver.com/complexes/119341?tab=detail&amp;rf=Y</t>
        </is>
      </c>
      <c r="AA1368" s="0" t="inlineStr">
        <is>
          <t>서울시 강동구 상일동 519</t>
        </is>
      </c>
      <c r="AB1368" s="0" t="inlineStr">
        <is>
          <t>서울시</t>
        </is>
      </c>
      <c r="AC1368" s="0" t="inlineStr">
        <is>
          <t>강동구</t>
        </is>
      </c>
      <c r="AD1368" s="0" t="inlineStr">
        <is>
          <t>상일동</t>
        </is>
      </c>
      <c r="AG1368" s="0" t="inlineStr">
        <is>
          <t>서울시 강동구 고덕로 360</t>
        </is>
      </c>
      <c r="AH1368" s="0" t="n">
        <v>108</v>
      </c>
      <c r="AI1368" s="0" t="n">
        <v>249</v>
      </c>
      <c r="AJ1368" s="0" t="n">
        <v>19</v>
      </c>
      <c r="AK1368" s="0" t="n">
        <v>6405</v>
      </c>
      <c r="AL1368" s="0" t="n">
        <v>1.58</v>
      </c>
    </row>
    <row r="1369">
      <c r="A1369" s="0" t="inlineStr">
        <is>
          <t>[상일동]</t>
        </is>
      </c>
      <c r="B1369" s="0" t="n">
        <v>119341</v>
      </c>
      <c r="C1369" s="0" t="n">
        <v>4</v>
      </c>
      <c r="D1369" s="0" t="inlineStr">
        <is>
          <t>고덕아르테온</t>
        </is>
      </c>
      <c r="E1369" s="0" t="inlineStr">
        <is>
          <t>2020.02.</t>
        </is>
      </c>
      <c r="F1369" s="0" t="n">
        <v>4066</v>
      </c>
      <c r="G1369" s="0" t="n">
        <v>24.67</v>
      </c>
      <c r="H1369" s="0" t="n">
        <v>81.56</v>
      </c>
      <c r="I1369" s="0" t="n">
        <v>18.14</v>
      </c>
      <c r="J1369" s="0" t="n">
        <v>59.98</v>
      </c>
      <c r="K1369" s="0" t="n">
        <v>10</v>
      </c>
      <c r="T1369" s="0" t="n">
        <v>3</v>
      </c>
      <c r="U1369" s="0" t="n">
        <v>2</v>
      </c>
      <c r="V1369" s="0" t="inlineStr">
        <is>
          <t>계단식</t>
        </is>
      </c>
      <c r="W1369" s="0" t="inlineStr">
        <is>
          <t>81C</t>
        </is>
      </c>
      <c r="X1369" s="0" t="n">
        <v>34</v>
      </c>
      <c r="Y1369" s="0" t="n">
        <v>9</v>
      </c>
      <c r="Z1369" s="0" t="inlineStr">
        <is>
          <t>https://new.land.naver.com/complexes/119341?tab=detail&amp;rf=Y</t>
        </is>
      </c>
      <c r="AA1369" s="0" t="inlineStr">
        <is>
          <t>서울시 강동구 상일동 519</t>
        </is>
      </c>
      <c r="AB1369" s="0" t="inlineStr">
        <is>
          <t>서울시</t>
        </is>
      </c>
      <c r="AC1369" s="0" t="inlineStr">
        <is>
          <t>강동구</t>
        </is>
      </c>
      <c r="AD1369" s="0" t="inlineStr">
        <is>
          <t>상일동</t>
        </is>
      </c>
      <c r="AG1369" s="0" t="inlineStr">
        <is>
          <t>서울시 강동구 고덕로 360</t>
        </is>
      </c>
      <c r="AH1369" s="0" t="n">
        <v>108</v>
      </c>
      <c r="AI1369" s="0" t="n">
        <v>249</v>
      </c>
      <c r="AJ1369" s="0" t="n">
        <v>19</v>
      </c>
      <c r="AK1369" s="0" t="n">
        <v>6405</v>
      </c>
      <c r="AL1369" s="0" t="n">
        <v>1.58</v>
      </c>
    </row>
    <row r="1370">
      <c r="A1370" s="0" t="inlineStr">
        <is>
          <t>[상일동]</t>
        </is>
      </c>
      <c r="B1370" s="0" t="n">
        <v>119341</v>
      </c>
      <c r="C1370" s="0" t="n">
        <v>5</v>
      </c>
      <c r="D1370" s="0" t="inlineStr">
        <is>
          <t>고덕아르테온</t>
        </is>
      </c>
      <c r="E1370" s="0" t="inlineStr">
        <is>
          <t>2020.02.</t>
        </is>
      </c>
      <c r="F1370" s="0" t="n">
        <v>4066</v>
      </c>
      <c r="G1370" s="0" t="n">
        <v>34.47</v>
      </c>
      <c r="H1370" s="0" t="n">
        <v>113.98</v>
      </c>
      <c r="I1370" s="0" t="n">
        <v>25.7</v>
      </c>
      <c r="J1370" s="0" t="n">
        <v>84.97</v>
      </c>
      <c r="K1370" s="0" t="n">
        <v>1591</v>
      </c>
      <c r="T1370" s="0" t="n">
        <v>3</v>
      </c>
      <c r="U1370" s="0" t="n">
        <v>2</v>
      </c>
      <c r="V1370" s="0" t="inlineStr">
        <is>
          <t>계단식</t>
        </is>
      </c>
      <c r="W1370" s="0" t="inlineStr">
        <is>
          <t>113A</t>
        </is>
      </c>
      <c r="X1370" s="0" t="n">
        <v>34</v>
      </c>
      <c r="Y1370" s="0" t="n">
        <v>9</v>
      </c>
      <c r="Z1370" s="0" t="inlineStr">
        <is>
          <t>https://new.land.naver.com/complexes/119341?tab=detail&amp;rf=Y</t>
        </is>
      </c>
      <c r="AA1370" s="0" t="inlineStr">
        <is>
          <t>서울시 강동구 상일동 519</t>
        </is>
      </c>
      <c r="AB1370" s="0" t="inlineStr">
        <is>
          <t>서울시</t>
        </is>
      </c>
      <c r="AC1370" s="0" t="inlineStr">
        <is>
          <t>강동구</t>
        </is>
      </c>
      <c r="AD1370" s="0" t="inlineStr">
        <is>
          <t>상일동</t>
        </is>
      </c>
      <c r="AG1370" s="0" t="inlineStr">
        <is>
          <t>서울시 강동구 고덕로 360</t>
        </is>
      </c>
      <c r="AH1370" s="0" t="n">
        <v>108</v>
      </c>
      <c r="AI1370" s="0" t="n">
        <v>249</v>
      </c>
      <c r="AJ1370" s="0" t="n">
        <v>19</v>
      </c>
      <c r="AK1370" s="0" t="n">
        <v>6405</v>
      </c>
      <c r="AL1370" s="0" t="n">
        <v>1.58</v>
      </c>
    </row>
    <row r="1371">
      <c r="A1371" s="0" t="inlineStr">
        <is>
          <t>[상일동]</t>
        </is>
      </c>
      <c r="B1371" s="0" t="n">
        <v>119341</v>
      </c>
      <c r="C1371" s="0" t="n">
        <v>6</v>
      </c>
      <c r="D1371" s="0" t="inlineStr">
        <is>
          <t>고덕아르테온</t>
        </is>
      </c>
      <c r="E1371" s="0" t="inlineStr">
        <is>
          <t>2020.02.</t>
        </is>
      </c>
      <c r="F1371" s="0" t="n">
        <v>4066</v>
      </c>
      <c r="G1371" s="0" t="n">
        <v>34.59</v>
      </c>
      <c r="H1371" s="0" t="n">
        <v>114.35</v>
      </c>
      <c r="I1371" s="0" t="n">
        <v>25.69</v>
      </c>
      <c r="J1371" s="0" t="n">
        <v>84.93000000000001</v>
      </c>
      <c r="K1371" s="0" t="n">
        <v>475</v>
      </c>
      <c r="T1371" s="0" t="n">
        <v>3</v>
      </c>
      <c r="U1371" s="0" t="n">
        <v>2</v>
      </c>
      <c r="V1371" s="0" t="inlineStr">
        <is>
          <t>계단식</t>
        </is>
      </c>
      <c r="W1371" s="0" t="inlineStr">
        <is>
          <t>114B</t>
        </is>
      </c>
      <c r="X1371" s="0" t="n">
        <v>34</v>
      </c>
      <c r="Y1371" s="0" t="n">
        <v>9</v>
      </c>
      <c r="Z1371" s="0" t="inlineStr">
        <is>
          <t>https://new.land.naver.com/complexes/119341?tab=detail&amp;rf=Y</t>
        </is>
      </c>
      <c r="AA1371" s="0" t="inlineStr">
        <is>
          <t>서울시 강동구 상일동 519</t>
        </is>
      </c>
      <c r="AB1371" s="0" t="inlineStr">
        <is>
          <t>서울시</t>
        </is>
      </c>
      <c r="AC1371" s="0" t="inlineStr">
        <is>
          <t>강동구</t>
        </is>
      </c>
      <c r="AD1371" s="0" t="inlineStr">
        <is>
          <t>상일동</t>
        </is>
      </c>
      <c r="AG1371" s="0" t="inlineStr">
        <is>
          <t>서울시 강동구 고덕로 360</t>
        </is>
      </c>
      <c r="AH1371" s="0" t="n">
        <v>108</v>
      </c>
      <c r="AI1371" s="0" t="n">
        <v>249</v>
      </c>
      <c r="AJ1371" s="0" t="n">
        <v>19</v>
      </c>
      <c r="AK1371" s="0" t="n">
        <v>6405</v>
      </c>
      <c r="AL1371" s="0" t="n">
        <v>1.58</v>
      </c>
    </row>
    <row r="1372">
      <c r="A1372" s="0" t="inlineStr">
        <is>
          <t>[상일동]</t>
        </is>
      </c>
      <c r="B1372" s="0" t="n">
        <v>119341</v>
      </c>
      <c r="C1372" s="0" t="n">
        <v>7</v>
      </c>
      <c r="D1372" s="0" t="inlineStr">
        <is>
          <t>고덕아르테온</t>
        </is>
      </c>
      <c r="E1372" s="0" t="inlineStr">
        <is>
          <t>2020.02.</t>
        </is>
      </c>
      <c r="F1372" s="0" t="n">
        <v>4066</v>
      </c>
      <c r="G1372" s="0" t="n">
        <v>34.66</v>
      </c>
      <c r="H1372" s="0" t="n">
        <v>114.58</v>
      </c>
      <c r="I1372" s="0" t="n">
        <v>25.69</v>
      </c>
      <c r="J1372" s="0" t="n">
        <v>84.95</v>
      </c>
      <c r="K1372" s="0" t="n">
        <v>311</v>
      </c>
      <c r="T1372" s="0" t="n">
        <v>3</v>
      </c>
      <c r="U1372" s="0" t="n">
        <v>2</v>
      </c>
      <c r="V1372" s="0" t="inlineStr">
        <is>
          <t>계단식</t>
        </is>
      </c>
      <c r="W1372" s="0" t="inlineStr">
        <is>
          <t>114D</t>
        </is>
      </c>
      <c r="X1372" s="0" t="n">
        <v>34</v>
      </c>
      <c r="Y1372" s="0" t="n">
        <v>9</v>
      </c>
      <c r="Z1372" s="0" t="inlineStr">
        <is>
          <t>https://new.land.naver.com/complexes/119341?tab=detail&amp;rf=Y</t>
        </is>
      </c>
      <c r="AA1372" s="0" t="inlineStr">
        <is>
          <t>서울시 강동구 상일동 519</t>
        </is>
      </c>
      <c r="AB1372" s="0" t="inlineStr">
        <is>
          <t>서울시</t>
        </is>
      </c>
      <c r="AC1372" s="0" t="inlineStr">
        <is>
          <t>강동구</t>
        </is>
      </c>
      <c r="AD1372" s="0" t="inlineStr">
        <is>
          <t>상일동</t>
        </is>
      </c>
      <c r="AG1372" s="0" t="inlineStr">
        <is>
          <t>서울시 강동구 고덕로 360</t>
        </is>
      </c>
      <c r="AH1372" s="0" t="n">
        <v>108</v>
      </c>
      <c r="AI1372" s="0" t="n">
        <v>249</v>
      </c>
      <c r="AJ1372" s="0" t="n">
        <v>19</v>
      </c>
      <c r="AK1372" s="0" t="n">
        <v>6405</v>
      </c>
      <c r="AL1372" s="0" t="n">
        <v>1.58</v>
      </c>
    </row>
    <row r="1373">
      <c r="A1373" s="0" t="inlineStr">
        <is>
          <t>[상일동]</t>
        </is>
      </c>
      <c r="B1373" s="0" t="n">
        <v>119341</v>
      </c>
      <c r="C1373" s="0" t="n">
        <v>8</v>
      </c>
      <c r="D1373" s="0" t="inlineStr">
        <is>
          <t>고덕아르테온</t>
        </is>
      </c>
      <c r="E1373" s="0" t="inlineStr">
        <is>
          <t>2020.02.</t>
        </is>
      </c>
      <c r="F1373" s="0" t="n">
        <v>4066</v>
      </c>
      <c r="G1373" s="0" t="n">
        <v>34.52</v>
      </c>
      <c r="H1373" s="0" t="n">
        <v>114.14</v>
      </c>
      <c r="I1373" s="0" t="n">
        <v>25.69</v>
      </c>
      <c r="J1373" s="0" t="n">
        <v>84.94</v>
      </c>
      <c r="K1373" s="0" t="n">
        <v>299</v>
      </c>
      <c r="T1373" s="0" t="n">
        <v>3</v>
      </c>
      <c r="U1373" s="0" t="n">
        <v>2</v>
      </c>
      <c r="V1373" s="0" t="inlineStr">
        <is>
          <t>계단식</t>
        </is>
      </c>
      <c r="W1373" s="0" t="inlineStr">
        <is>
          <t>114C</t>
        </is>
      </c>
      <c r="X1373" s="0" t="n">
        <v>34</v>
      </c>
      <c r="Y1373" s="0" t="n">
        <v>9</v>
      </c>
      <c r="Z1373" s="0" t="inlineStr">
        <is>
          <t>https://new.land.naver.com/complexes/119341?tab=detail&amp;rf=Y</t>
        </is>
      </c>
      <c r="AA1373" s="0" t="inlineStr">
        <is>
          <t>서울시 강동구 상일동 519</t>
        </is>
      </c>
      <c r="AB1373" s="0" t="inlineStr">
        <is>
          <t>서울시</t>
        </is>
      </c>
      <c r="AC1373" s="0" t="inlineStr">
        <is>
          <t>강동구</t>
        </is>
      </c>
      <c r="AD1373" s="0" t="inlineStr">
        <is>
          <t>상일동</t>
        </is>
      </c>
      <c r="AG1373" s="0" t="inlineStr">
        <is>
          <t>서울시 강동구 고덕로 360</t>
        </is>
      </c>
      <c r="AH1373" s="0" t="n">
        <v>108</v>
      </c>
      <c r="AI1373" s="0" t="n">
        <v>249</v>
      </c>
      <c r="AJ1373" s="0" t="n">
        <v>19</v>
      </c>
      <c r="AK1373" s="0" t="n">
        <v>6405</v>
      </c>
      <c r="AL1373" s="0" t="n">
        <v>1.58</v>
      </c>
    </row>
    <row r="1374">
      <c r="A1374" s="0" t="inlineStr">
        <is>
          <t>[상일동]</t>
        </is>
      </c>
      <c r="B1374" s="0" t="n">
        <v>119341</v>
      </c>
      <c r="C1374" s="0" t="n">
        <v>9</v>
      </c>
      <c r="D1374" s="0" t="inlineStr">
        <is>
          <t>고덕아르테온</t>
        </is>
      </c>
      <c r="E1374" s="0" t="inlineStr">
        <is>
          <t>2020.02.</t>
        </is>
      </c>
      <c r="F1374" s="0" t="n">
        <v>4066</v>
      </c>
      <c r="G1374" s="0" t="n">
        <v>46.19</v>
      </c>
      <c r="H1374" s="0" t="n">
        <v>152.72</v>
      </c>
      <c r="I1374" s="0" t="n">
        <v>34.74</v>
      </c>
      <c r="J1374" s="0" t="n">
        <v>114.86</v>
      </c>
      <c r="K1374" s="0" t="n">
        <v>170</v>
      </c>
      <c r="T1374" s="0" t="n">
        <v>4</v>
      </c>
      <c r="U1374" s="0" t="n">
        <v>2</v>
      </c>
      <c r="V1374" s="0" t="inlineStr">
        <is>
          <t>계단식</t>
        </is>
      </c>
      <c r="W1374" s="0" t="n">
        <v>152</v>
      </c>
      <c r="X1374" s="0" t="n">
        <v>34</v>
      </c>
      <c r="Y1374" s="0" t="n">
        <v>9</v>
      </c>
      <c r="Z1374" s="0" t="inlineStr">
        <is>
          <t>https://new.land.naver.com/complexes/119341?tab=detail&amp;rf=Y</t>
        </is>
      </c>
      <c r="AA1374" s="0" t="inlineStr">
        <is>
          <t>서울시 강동구 상일동 519</t>
        </is>
      </c>
      <c r="AB1374" s="0" t="inlineStr">
        <is>
          <t>서울시</t>
        </is>
      </c>
      <c r="AC1374" s="0" t="inlineStr">
        <is>
          <t>강동구</t>
        </is>
      </c>
      <c r="AD1374" s="0" t="inlineStr">
        <is>
          <t>상일동</t>
        </is>
      </c>
      <c r="AG1374" s="0" t="inlineStr">
        <is>
          <t>서울시 강동구 고덕로 360</t>
        </is>
      </c>
      <c r="AH1374" s="0" t="n">
        <v>108</v>
      </c>
      <c r="AI1374" s="0" t="n">
        <v>249</v>
      </c>
      <c r="AJ1374" s="0" t="n">
        <v>19</v>
      </c>
      <c r="AK1374" s="0" t="n">
        <v>6405</v>
      </c>
      <c r="AL1374" s="0" t="n">
        <v>1.58</v>
      </c>
    </row>
    <row r="1375">
      <c r="A1375" s="0" t="inlineStr">
        <is>
          <t>[상일동]</t>
        </is>
      </c>
      <c r="B1375" s="0" t="n">
        <v>137668</v>
      </c>
      <c r="C1375" s="0" t="n">
        <v>1</v>
      </c>
      <c r="D1375" s="0" t="inlineStr">
        <is>
          <t>고덕아르테스미소지움</t>
        </is>
      </c>
      <c r="E1375" s="0" t="inlineStr">
        <is>
          <t>2022.02.</t>
        </is>
      </c>
      <c r="F1375" s="0" t="n">
        <v>100</v>
      </c>
      <c r="G1375" s="0" t="n">
        <v>24.4</v>
      </c>
      <c r="H1375" s="0" t="n">
        <v>80.67</v>
      </c>
      <c r="I1375" s="0" t="n">
        <v>18.14</v>
      </c>
      <c r="J1375" s="0" t="n">
        <v>59.97</v>
      </c>
      <c r="K1375" s="0" t="n">
        <v>21</v>
      </c>
      <c r="T1375" s="0" t="n">
        <v>3</v>
      </c>
      <c r="U1375" s="0" t="n">
        <v>2</v>
      </c>
      <c r="V1375" s="0" t="inlineStr">
        <is>
          <t>계단식</t>
        </is>
      </c>
      <c r="W1375" s="0" t="inlineStr">
        <is>
          <t>80A</t>
        </is>
      </c>
      <c r="X1375" s="0" t="n">
        <v>12</v>
      </c>
      <c r="Y1375" s="0" t="n">
        <v>9</v>
      </c>
      <c r="Z1375" s="0" t="inlineStr">
        <is>
          <t>https://new.land.naver.com/complexes/137668?tab=detail&amp;rf=Y</t>
        </is>
      </c>
      <c r="AA1375" s="0" t="inlineStr">
        <is>
          <t>서울시 강동구 상일동 152번지 일대</t>
        </is>
      </c>
      <c r="AB1375" s="0" t="inlineStr">
        <is>
          <t>서울시</t>
        </is>
      </c>
      <c r="AC1375" s="0" t="inlineStr">
        <is>
          <t>강동구</t>
        </is>
      </c>
      <c r="AD1375" s="0" t="inlineStr">
        <is>
          <t>상일동</t>
        </is>
      </c>
      <c r="AG1375" s="0" t="inlineStr">
        <is>
          <t>서울시 강동구</t>
        </is>
      </c>
      <c r="AH1375" s="0" t="n">
        <v>0</v>
      </c>
      <c r="AI1375" s="0" t="n">
        <v>198</v>
      </c>
      <c r="AJ1375" s="0" t="n">
        <v>25</v>
      </c>
      <c r="AK1375" s="0" t="n">
        <v>120</v>
      </c>
      <c r="AL1375" s="0" t="n">
        <v>1.2</v>
      </c>
    </row>
    <row r="1376">
      <c r="A1376" s="0" t="inlineStr">
        <is>
          <t>[상일동]</t>
        </is>
      </c>
      <c r="B1376" s="0" t="n">
        <v>137668</v>
      </c>
      <c r="C1376" s="0" t="n">
        <v>2</v>
      </c>
      <c r="D1376" s="0" t="inlineStr">
        <is>
          <t>고덕아르테스미소지움</t>
        </is>
      </c>
      <c r="E1376" s="0" t="inlineStr">
        <is>
          <t>2022.02.</t>
        </is>
      </c>
      <c r="F1376" s="0" t="n">
        <v>100</v>
      </c>
      <c r="G1376" s="0" t="n">
        <v>24.37</v>
      </c>
      <c r="H1376" s="0" t="n">
        <v>80.56999999999999</v>
      </c>
      <c r="I1376" s="0" t="n">
        <v>18.14</v>
      </c>
      <c r="J1376" s="0" t="n">
        <v>59.97</v>
      </c>
      <c r="K1376" s="0" t="n">
        <v>17</v>
      </c>
      <c r="T1376" s="0" t="n">
        <v>3</v>
      </c>
      <c r="U1376" s="0" t="n">
        <v>2</v>
      </c>
      <c r="V1376" s="0" t="inlineStr">
        <is>
          <t>계단식</t>
        </is>
      </c>
      <c r="W1376" s="0" t="inlineStr">
        <is>
          <t>80B</t>
        </is>
      </c>
      <c r="X1376" s="0" t="n">
        <v>12</v>
      </c>
      <c r="Y1376" s="0" t="n">
        <v>9</v>
      </c>
      <c r="Z1376" s="0" t="inlineStr">
        <is>
          <t>https://new.land.naver.com/complexes/137668?tab=detail&amp;rf=Y</t>
        </is>
      </c>
      <c r="AA1376" s="0" t="inlineStr">
        <is>
          <t>서울시 강동구 상일동 152번지 일대</t>
        </is>
      </c>
      <c r="AB1376" s="0" t="inlineStr">
        <is>
          <t>서울시</t>
        </is>
      </c>
      <c r="AC1376" s="0" t="inlineStr">
        <is>
          <t>강동구</t>
        </is>
      </c>
      <c r="AD1376" s="0" t="inlineStr">
        <is>
          <t>상일동</t>
        </is>
      </c>
      <c r="AG1376" s="0" t="inlineStr">
        <is>
          <t>서울시 강동구</t>
        </is>
      </c>
      <c r="AH1376" s="0" t="n">
        <v>0</v>
      </c>
      <c r="AI1376" s="0" t="n">
        <v>198</v>
      </c>
      <c r="AJ1376" s="0" t="n">
        <v>25</v>
      </c>
      <c r="AK1376" s="0" t="n">
        <v>120</v>
      </c>
      <c r="AL1376" s="0" t="n">
        <v>1.2</v>
      </c>
    </row>
    <row r="1377">
      <c r="A1377" s="0" t="inlineStr">
        <is>
          <t>[상일동]</t>
        </is>
      </c>
      <c r="B1377" s="0" t="n">
        <v>137668</v>
      </c>
      <c r="C1377" s="0" t="n">
        <v>3</v>
      </c>
      <c r="D1377" s="0" t="inlineStr">
        <is>
          <t>고덕아르테스미소지움</t>
        </is>
      </c>
      <c r="E1377" s="0" t="inlineStr">
        <is>
          <t>2022.02.</t>
        </is>
      </c>
      <c r="F1377" s="0" t="n">
        <v>100</v>
      </c>
      <c r="G1377" s="0" t="n">
        <v>33.94</v>
      </c>
      <c r="H1377" s="0" t="n">
        <v>112.2</v>
      </c>
      <c r="I1377" s="0" t="n">
        <v>25.7</v>
      </c>
      <c r="J1377" s="0" t="n">
        <v>84.95999999999999</v>
      </c>
      <c r="K1377" s="0" t="n">
        <v>60</v>
      </c>
      <c r="T1377" s="0" t="n">
        <v>3</v>
      </c>
      <c r="U1377" s="0" t="n">
        <v>2</v>
      </c>
      <c r="V1377" s="0" t="inlineStr">
        <is>
          <t>계단식</t>
        </is>
      </c>
      <c r="W1377" s="0" t="n">
        <v>112</v>
      </c>
      <c r="X1377" s="0" t="n">
        <v>12</v>
      </c>
      <c r="Y1377" s="0" t="n">
        <v>9</v>
      </c>
      <c r="Z1377" s="0" t="inlineStr">
        <is>
          <t>https://new.land.naver.com/complexes/137668?tab=detail&amp;rf=Y</t>
        </is>
      </c>
      <c r="AA1377" s="0" t="inlineStr">
        <is>
          <t>서울시 강동구 상일동 152번지 일대</t>
        </is>
      </c>
      <c r="AB1377" s="0" t="inlineStr">
        <is>
          <t>서울시</t>
        </is>
      </c>
      <c r="AC1377" s="0" t="inlineStr">
        <is>
          <t>강동구</t>
        </is>
      </c>
      <c r="AD1377" s="0" t="inlineStr">
        <is>
          <t>상일동</t>
        </is>
      </c>
      <c r="AG1377" s="0" t="inlineStr">
        <is>
          <t>서울시 강동구</t>
        </is>
      </c>
      <c r="AH1377" s="0" t="n">
        <v>0</v>
      </c>
      <c r="AI1377" s="0" t="n">
        <v>198</v>
      </c>
      <c r="AJ1377" s="0" t="n">
        <v>25</v>
      </c>
      <c r="AK1377" s="0" t="n">
        <v>120</v>
      </c>
      <c r="AL1377" s="0" t="n">
        <v>1.2</v>
      </c>
    </row>
    <row r="1378">
      <c r="A1378" s="0" t="inlineStr">
        <is>
          <t>[상일동]</t>
        </is>
      </c>
      <c r="B1378" s="0" t="n">
        <v>1324</v>
      </c>
      <c r="C1378" s="0" t="n">
        <v>1</v>
      </c>
      <c r="D1378" s="0" t="inlineStr">
        <is>
          <t>명일중앙하이츠</t>
        </is>
      </c>
      <c r="E1378" s="0" t="inlineStr">
        <is>
          <t>1992.05.</t>
        </is>
      </c>
      <c r="F1378" s="0" t="n">
        <v>410</v>
      </c>
      <c r="G1378" s="0" t="n">
        <v>22.06</v>
      </c>
      <c r="H1378" s="0" t="n">
        <v>72.93000000000001</v>
      </c>
      <c r="I1378" s="0" t="n">
        <v>15.95</v>
      </c>
      <c r="J1378" s="0" t="n">
        <v>52.74</v>
      </c>
      <c r="K1378" s="0" t="n">
        <v>26</v>
      </c>
      <c r="T1378" s="0" t="n">
        <v>2</v>
      </c>
      <c r="U1378" s="0" t="n">
        <v>1</v>
      </c>
      <c r="V1378" s="0" t="inlineStr">
        <is>
          <t>복도식</t>
        </is>
      </c>
      <c r="W1378" s="0" t="n">
        <v>72</v>
      </c>
      <c r="X1378" s="0" t="n">
        <v>13</v>
      </c>
      <c r="Y1378" s="0" t="n">
        <v>11</v>
      </c>
      <c r="Z1378" s="0" t="inlineStr">
        <is>
          <t>https://new.land.naver.com/complexes/1324?tab=detail&amp;rf=Y</t>
        </is>
      </c>
      <c r="AA1378" s="0" t="inlineStr">
        <is>
          <t>서울시 강동구 상일동 476</t>
        </is>
      </c>
      <c r="AB1378" s="0" t="inlineStr">
        <is>
          <t>서울시</t>
        </is>
      </c>
      <c r="AC1378" s="0" t="inlineStr">
        <is>
          <t>강동구</t>
        </is>
      </c>
      <c r="AD1378" s="0" t="inlineStr">
        <is>
          <t>상일동</t>
        </is>
      </c>
      <c r="AG1378" s="0" t="inlineStr">
        <is>
          <t>서울시 강동구 구천면로 557</t>
        </is>
      </c>
      <c r="AH1378" s="0" t="n">
        <v>0</v>
      </c>
      <c r="AI1378" s="0" t="n">
        <v>240</v>
      </c>
      <c r="AJ1378" s="0" t="n">
        <v>21</v>
      </c>
      <c r="AK1378" s="0" t="n">
        <v>174</v>
      </c>
      <c r="AL1378" s="0" t="n">
        <v>0.42</v>
      </c>
    </row>
    <row r="1379">
      <c r="A1379" s="0" t="inlineStr">
        <is>
          <t>[상일동]</t>
        </is>
      </c>
      <c r="B1379" s="0" t="n">
        <v>1324</v>
      </c>
      <c r="C1379" s="0" t="n">
        <v>2</v>
      </c>
      <c r="D1379" s="0" t="inlineStr">
        <is>
          <t>명일중앙하이츠</t>
        </is>
      </c>
      <c r="E1379" s="0" t="inlineStr">
        <is>
          <t>1992.05.</t>
        </is>
      </c>
      <c r="F1379" s="0" t="n">
        <v>410</v>
      </c>
      <c r="G1379" s="0" t="n">
        <v>25.08</v>
      </c>
      <c r="H1379" s="0" t="n">
        <v>82.91</v>
      </c>
      <c r="I1379" s="0" t="n">
        <v>18.13</v>
      </c>
      <c r="J1379" s="0" t="n">
        <v>59.94</v>
      </c>
      <c r="K1379" s="0" t="n">
        <v>130</v>
      </c>
      <c r="T1379" s="0" t="n">
        <v>3</v>
      </c>
      <c r="U1379" s="0" t="n">
        <v>1</v>
      </c>
      <c r="V1379" s="0" t="inlineStr">
        <is>
          <t>복도식</t>
        </is>
      </c>
      <c r="W1379" s="0" t="n">
        <v>82</v>
      </c>
      <c r="X1379" s="0" t="n">
        <v>13</v>
      </c>
      <c r="Y1379" s="0" t="n">
        <v>11</v>
      </c>
      <c r="Z1379" s="0" t="inlineStr">
        <is>
          <t>https://new.land.naver.com/complexes/1324?tab=detail&amp;rf=Y</t>
        </is>
      </c>
      <c r="AA1379" s="0" t="inlineStr">
        <is>
          <t>서울시 강동구 상일동 476</t>
        </is>
      </c>
      <c r="AB1379" s="0" t="inlineStr">
        <is>
          <t>서울시</t>
        </is>
      </c>
      <c r="AC1379" s="0" t="inlineStr">
        <is>
          <t>강동구</t>
        </is>
      </c>
      <c r="AD1379" s="0" t="inlineStr">
        <is>
          <t>상일동</t>
        </is>
      </c>
      <c r="AG1379" s="0" t="inlineStr">
        <is>
          <t>서울시 강동구 구천면로 557</t>
        </is>
      </c>
      <c r="AH1379" s="0" t="n">
        <v>0</v>
      </c>
      <c r="AI1379" s="0" t="n">
        <v>240</v>
      </c>
      <c r="AJ1379" s="0" t="n">
        <v>21</v>
      </c>
      <c r="AK1379" s="0" t="n">
        <v>174</v>
      </c>
      <c r="AL1379" s="0" t="n">
        <v>0.42</v>
      </c>
    </row>
    <row r="1380">
      <c r="A1380" s="0" t="inlineStr">
        <is>
          <t>[상일동]</t>
        </is>
      </c>
      <c r="B1380" s="0" t="n">
        <v>1324</v>
      </c>
      <c r="C1380" s="0" t="n">
        <v>3</v>
      </c>
      <c r="D1380" s="0" t="inlineStr">
        <is>
          <t>명일중앙하이츠</t>
        </is>
      </c>
      <c r="E1380" s="0" t="inlineStr">
        <is>
          <t>1992.05.</t>
        </is>
      </c>
      <c r="F1380" s="0" t="n">
        <v>410</v>
      </c>
      <c r="G1380" s="0" t="n">
        <v>30.41</v>
      </c>
      <c r="H1380" s="0" t="n">
        <v>100.55</v>
      </c>
      <c r="I1380" s="0" t="n">
        <v>25.47</v>
      </c>
      <c r="J1380" s="0" t="n">
        <v>84.23</v>
      </c>
      <c r="K1380" s="0" t="n">
        <v>254</v>
      </c>
      <c r="T1380" s="0" t="n">
        <v>3</v>
      </c>
      <c r="U1380" s="0" t="n">
        <v>2</v>
      </c>
      <c r="V1380" s="0" t="inlineStr">
        <is>
          <t>계단식</t>
        </is>
      </c>
      <c r="W1380" s="0" t="n">
        <v>100</v>
      </c>
      <c r="X1380" s="0" t="n">
        <v>13</v>
      </c>
      <c r="Y1380" s="0" t="n">
        <v>11</v>
      </c>
      <c r="Z1380" s="0" t="inlineStr">
        <is>
          <t>https://new.land.naver.com/complexes/1324?tab=detail&amp;rf=Y</t>
        </is>
      </c>
      <c r="AA1380" s="0" t="inlineStr">
        <is>
          <t>서울시 강동구 상일동 476</t>
        </is>
      </c>
      <c r="AB1380" s="0" t="inlineStr">
        <is>
          <t>서울시</t>
        </is>
      </c>
      <c r="AC1380" s="0" t="inlineStr">
        <is>
          <t>강동구</t>
        </is>
      </c>
      <c r="AD1380" s="0" t="inlineStr">
        <is>
          <t>상일동</t>
        </is>
      </c>
      <c r="AG1380" s="0" t="inlineStr">
        <is>
          <t>서울시 강동구 구천면로 557</t>
        </is>
      </c>
      <c r="AH1380" s="0" t="n">
        <v>0</v>
      </c>
      <c r="AI1380" s="0" t="n">
        <v>240</v>
      </c>
      <c r="AJ1380" s="0" t="n">
        <v>21</v>
      </c>
      <c r="AK1380" s="0" t="n">
        <v>174</v>
      </c>
      <c r="AL1380" s="0" t="n">
        <v>0.42</v>
      </c>
    </row>
    <row r="1381">
      <c r="A1381" s="0" t="inlineStr">
        <is>
          <t>[상일동]</t>
        </is>
      </c>
      <c r="B1381" s="0" t="n">
        <v>988</v>
      </c>
      <c r="C1381" s="0" t="n">
        <v>1</v>
      </c>
      <c r="D1381" s="0" t="inlineStr">
        <is>
          <t>상일동아</t>
        </is>
      </c>
      <c r="E1381" s="0" t="inlineStr">
        <is>
          <t>1997.06.</t>
        </is>
      </c>
      <c r="F1381" s="0" t="n">
        <v>186</v>
      </c>
      <c r="G1381" s="0" t="n">
        <v>22.36</v>
      </c>
      <c r="H1381" s="0" t="n">
        <v>73.95</v>
      </c>
      <c r="I1381" s="0" t="n">
        <v>17.92</v>
      </c>
      <c r="J1381" s="0" t="n">
        <v>59.25</v>
      </c>
      <c r="K1381" s="0" t="n">
        <v>110</v>
      </c>
      <c r="T1381" s="0" t="n">
        <v>3</v>
      </c>
      <c r="U1381" s="0" t="n">
        <v>1</v>
      </c>
      <c r="V1381" s="0" t="inlineStr">
        <is>
          <t>복도식</t>
        </is>
      </c>
      <c r="W1381" s="0" t="n">
        <v>73</v>
      </c>
      <c r="X1381" s="0" t="n">
        <v>19</v>
      </c>
      <c r="Y1381" s="0" t="n">
        <v>16</v>
      </c>
      <c r="Z1381" s="0" t="inlineStr">
        <is>
          <t>https://new.land.naver.com/complexes/988?tab=detail&amp;rf=Y</t>
        </is>
      </c>
      <c r="AA1381" s="0" t="inlineStr">
        <is>
          <t>서울시 강동구 상일동 473</t>
        </is>
      </c>
      <c r="AB1381" s="0" t="inlineStr">
        <is>
          <t>서울시</t>
        </is>
      </c>
      <c r="AC1381" s="0" t="inlineStr">
        <is>
          <t>강동구</t>
        </is>
      </c>
      <c r="AD1381" s="0" t="inlineStr">
        <is>
          <t>상일동</t>
        </is>
      </c>
      <c r="AG1381" s="0" t="inlineStr">
        <is>
          <t>서울시 강동구 상암로81길 7</t>
        </is>
      </c>
      <c r="AH1381" s="0" t="n">
        <v>0</v>
      </c>
      <c r="AI1381" s="0" t="n">
        <v>409</v>
      </c>
      <c r="AJ1381" s="0" t="n">
        <v>27</v>
      </c>
      <c r="AK1381" s="0" t="n">
        <v>187</v>
      </c>
      <c r="AL1381" s="0" t="n">
        <v>1.01</v>
      </c>
    </row>
    <row r="1382">
      <c r="A1382" s="0" t="inlineStr">
        <is>
          <t>[상일동]</t>
        </is>
      </c>
      <c r="B1382" s="0" t="n">
        <v>988</v>
      </c>
      <c r="C1382" s="0" t="n">
        <v>2</v>
      </c>
      <c r="D1382" s="0" t="inlineStr">
        <is>
          <t>상일동아</t>
        </is>
      </c>
      <c r="E1382" s="0" t="inlineStr">
        <is>
          <t>1997.06.</t>
        </is>
      </c>
      <c r="F1382" s="0" t="n">
        <v>186</v>
      </c>
      <c r="G1382" s="0" t="n">
        <v>31.57</v>
      </c>
      <c r="H1382" s="0" t="n">
        <v>104.37</v>
      </c>
      <c r="I1382" s="0" t="n">
        <v>25.29</v>
      </c>
      <c r="J1382" s="0" t="n">
        <v>83.62</v>
      </c>
      <c r="K1382" s="0" t="n">
        <v>1</v>
      </c>
      <c r="T1382" s="0" t="n">
        <v>3</v>
      </c>
      <c r="U1382" s="0" t="n">
        <v>2</v>
      </c>
      <c r="V1382" s="0" t="inlineStr">
        <is>
          <t>계단식</t>
        </is>
      </c>
      <c r="W1382" s="0" t="inlineStr">
        <is>
          <t>104C</t>
        </is>
      </c>
      <c r="X1382" s="0" t="n">
        <v>19</v>
      </c>
      <c r="Y1382" s="0" t="n">
        <v>16</v>
      </c>
      <c r="Z1382" s="0" t="inlineStr">
        <is>
          <t>https://new.land.naver.com/complexes/988?tab=detail&amp;rf=Y</t>
        </is>
      </c>
      <c r="AA1382" s="0" t="inlineStr">
        <is>
          <t>서울시 강동구 상일동 473</t>
        </is>
      </c>
      <c r="AB1382" s="0" t="inlineStr">
        <is>
          <t>서울시</t>
        </is>
      </c>
      <c r="AC1382" s="0" t="inlineStr">
        <is>
          <t>강동구</t>
        </is>
      </c>
      <c r="AD1382" s="0" t="inlineStr">
        <is>
          <t>상일동</t>
        </is>
      </c>
      <c r="AG1382" s="0" t="inlineStr">
        <is>
          <t>서울시 강동구 상암로81길 7</t>
        </is>
      </c>
      <c r="AH1382" s="0" t="n">
        <v>0</v>
      </c>
      <c r="AI1382" s="0" t="n">
        <v>409</v>
      </c>
      <c r="AJ1382" s="0" t="n">
        <v>27</v>
      </c>
      <c r="AK1382" s="0" t="n">
        <v>187</v>
      </c>
      <c r="AL1382" s="0" t="n">
        <v>1.01</v>
      </c>
    </row>
    <row r="1383">
      <c r="A1383" s="0" t="inlineStr">
        <is>
          <t>[상일동]</t>
        </is>
      </c>
      <c r="B1383" s="0" t="n">
        <v>988</v>
      </c>
      <c r="C1383" s="0" t="n">
        <v>3</v>
      </c>
      <c r="D1383" s="0" t="inlineStr">
        <is>
          <t>상일동아</t>
        </is>
      </c>
      <c r="E1383" s="0" t="inlineStr">
        <is>
          <t>1997.06.</t>
        </is>
      </c>
      <c r="F1383" s="0" t="n">
        <v>186</v>
      </c>
      <c r="G1383" s="0" t="n">
        <v>32.01</v>
      </c>
      <c r="H1383" s="0" t="n">
        <v>105.82</v>
      </c>
      <c r="I1383" s="0" t="n">
        <v>25.64</v>
      </c>
      <c r="J1383" s="0" t="n">
        <v>84.78</v>
      </c>
      <c r="K1383" s="0" t="n">
        <v>19</v>
      </c>
      <c r="T1383" s="0" t="n">
        <v>3</v>
      </c>
      <c r="U1383" s="0" t="n">
        <v>2</v>
      </c>
      <c r="V1383" s="0" t="inlineStr">
        <is>
          <t>계단식</t>
        </is>
      </c>
      <c r="W1383" s="0" t="inlineStr">
        <is>
          <t>105A</t>
        </is>
      </c>
      <c r="X1383" s="0" t="n">
        <v>19</v>
      </c>
      <c r="Y1383" s="0" t="n">
        <v>16</v>
      </c>
      <c r="Z1383" s="0" t="inlineStr">
        <is>
          <t>https://new.land.naver.com/complexes/988?tab=detail&amp;rf=Y</t>
        </is>
      </c>
      <c r="AA1383" s="0" t="inlineStr">
        <is>
          <t>서울시 강동구 상일동 473</t>
        </is>
      </c>
      <c r="AB1383" s="0" t="inlineStr">
        <is>
          <t>서울시</t>
        </is>
      </c>
      <c r="AC1383" s="0" t="inlineStr">
        <is>
          <t>강동구</t>
        </is>
      </c>
      <c r="AD1383" s="0" t="inlineStr">
        <is>
          <t>상일동</t>
        </is>
      </c>
      <c r="AG1383" s="0" t="inlineStr">
        <is>
          <t>서울시 강동구 상암로81길 7</t>
        </is>
      </c>
      <c r="AH1383" s="0" t="n">
        <v>0</v>
      </c>
      <c r="AI1383" s="0" t="n">
        <v>409</v>
      </c>
      <c r="AJ1383" s="0" t="n">
        <v>27</v>
      </c>
      <c r="AK1383" s="0" t="n">
        <v>187</v>
      </c>
      <c r="AL1383" s="0" t="n">
        <v>1.01</v>
      </c>
    </row>
    <row r="1384">
      <c r="A1384" s="0" t="inlineStr">
        <is>
          <t>[상일동]</t>
        </is>
      </c>
      <c r="B1384" s="0" t="n">
        <v>988</v>
      </c>
      <c r="C1384" s="0" t="n">
        <v>4</v>
      </c>
      <c r="D1384" s="0" t="inlineStr">
        <is>
          <t>상일동아</t>
        </is>
      </c>
      <c r="E1384" s="0" t="inlineStr">
        <is>
          <t>1997.06.</t>
        </is>
      </c>
      <c r="F1384" s="0" t="n">
        <v>186</v>
      </c>
      <c r="G1384" s="0" t="n">
        <v>32.07</v>
      </c>
      <c r="H1384" s="0" t="n">
        <v>106.02</v>
      </c>
      <c r="I1384" s="0" t="n">
        <v>25.69</v>
      </c>
      <c r="J1384" s="0" t="n">
        <v>84.94</v>
      </c>
      <c r="K1384" s="0" t="n">
        <v>56</v>
      </c>
      <c r="T1384" s="0" t="n">
        <v>3</v>
      </c>
      <c r="U1384" s="0" t="n">
        <v>2</v>
      </c>
      <c r="V1384" s="0" t="inlineStr">
        <is>
          <t>계단식</t>
        </is>
      </c>
      <c r="W1384" s="0" t="inlineStr">
        <is>
          <t>106B</t>
        </is>
      </c>
      <c r="X1384" s="0" t="n">
        <v>19</v>
      </c>
      <c r="Y1384" s="0" t="n">
        <v>16</v>
      </c>
      <c r="Z1384" s="0" t="inlineStr">
        <is>
          <t>https://new.land.naver.com/complexes/988?tab=detail&amp;rf=Y</t>
        </is>
      </c>
      <c r="AA1384" s="0" t="inlineStr">
        <is>
          <t>서울시 강동구 상일동 473</t>
        </is>
      </c>
      <c r="AB1384" s="0" t="inlineStr">
        <is>
          <t>서울시</t>
        </is>
      </c>
      <c r="AC1384" s="0" t="inlineStr">
        <is>
          <t>강동구</t>
        </is>
      </c>
      <c r="AD1384" s="0" t="inlineStr">
        <is>
          <t>상일동</t>
        </is>
      </c>
      <c r="AG1384" s="0" t="inlineStr">
        <is>
          <t>서울시 강동구 상암로81길 7</t>
        </is>
      </c>
      <c r="AH1384" s="0" t="n">
        <v>0</v>
      </c>
      <c r="AI1384" s="0" t="n">
        <v>409</v>
      </c>
      <c r="AJ1384" s="0" t="n">
        <v>27</v>
      </c>
      <c r="AK1384" s="0" t="n">
        <v>187</v>
      </c>
      <c r="AL1384" s="0" t="n">
        <v>1.01</v>
      </c>
    </row>
    <row r="1385">
      <c r="A1385" s="0" t="inlineStr">
        <is>
          <t>[상일동]</t>
        </is>
      </c>
      <c r="B1385" s="0" t="n">
        <v>15293</v>
      </c>
      <c r="C1385" s="0" t="n">
        <v>1</v>
      </c>
      <c r="D1385" s="0" t="inlineStr">
        <is>
          <t>삼성그린</t>
        </is>
      </c>
      <c r="E1385" s="0" t="inlineStr">
        <is>
          <t>1999.06.</t>
        </is>
      </c>
      <c r="F1385" s="0" t="n">
        <v>48</v>
      </c>
      <c r="G1385" s="0" t="n">
        <v>40.81</v>
      </c>
      <c r="H1385" s="0" t="n">
        <v>134.94</v>
      </c>
      <c r="I1385" s="0" t="n">
        <v>37.28</v>
      </c>
      <c r="J1385" s="0" t="n">
        <v>123.27</v>
      </c>
      <c r="K1385" s="0" t="n">
        <v>12</v>
      </c>
      <c r="T1385" s="0" t="n">
        <v>4</v>
      </c>
      <c r="U1385" s="0" t="n">
        <v>2</v>
      </c>
      <c r="V1385" s="0" t="inlineStr">
        <is>
          <t>계단식</t>
        </is>
      </c>
      <c r="W1385" s="0" t="n">
        <v>134</v>
      </c>
      <c r="X1385" s="0" t="n">
        <v>4</v>
      </c>
      <c r="Y1385" s="0" t="n">
        <v>4</v>
      </c>
      <c r="Z1385" s="0" t="inlineStr">
        <is>
          <t>https://new.land.naver.com/complexes/15293?tab=detail&amp;rf=Y</t>
        </is>
      </c>
      <c r="AA1385" s="0" t="inlineStr">
        <is>
          <t>서울시 강동구 상일동 180-4</t>
        </is>
      </c>
      <c r="AB1385" s="0" t="inlineStr">
        <is>
          <t>서울시</t>
        </is>
      </c>
      <c r="AC1385" s="0" t="inlineStr">
        <is>
          <t>강동구</t>
        </is>
      </c>
      <c r="AD1385" s="0" t="inlineStr">
        <is>
          <t>상일동</t>
        </is>
      </c>
      <c r="AG1385" s="0" t="inlineStr">
        <is>
          <t>서울시 강동구 상암로 375</t>
        </is>
      </c>
      <c r="AH1385" s="0" t="n">
        <v>0</v>
      </c>
      <c r="AI1385" s="0" t="n">
        <v>0</v>
      </c>
      <c r="AJ1385" s="0" t="n">
        <v>0</v>
      </c>
      <c r="AK1385" s="0" t="n">
        <v>0</v>
      </c>
      <c r="AL1385" s="0" t="n">
        <v>0</v>
      </c>
    </row>
    <row r="1386">
      <c r="A1386" s="0" t="inlineStr">
        <is>
          <t>[상일동]</t>
        </is>
      </c>
      <c r="B1386" s="0" t="n">
        <v>15293</v>
      </c>
      <c r="C1386" s="0" t="n">
        <v>2</v>
      </c>
      <c r="D1386" s="0" t="inlineStr">
        <is>
          <t>삼성그린</t>
        </is>
      </c>
      <c r="E1386" s="0" t="inlineStr">
        <is>
          <t>1999.06.</t>
        </is>
      </c>
      <c r="F1386" s="0" t="n">
        <v>48</v>
      </c>
      <c r="G1386" s="0" t="n">
        <v>43.47</v>
      </c>
      <c r="H1386" s="0" t="n">
        <v>143.71</v>
      </c>
      <c r="I1386" s="0" t="n">
        <v>39.71</v>
      </c>
      <c r="J1386" s="0" t="n">
        <v>131.29</v>
      </c>
      <c r="K1386" s="0" t="n">
        <v>4</v>
      </c>
      <c r="T1386" s="0" t="n">
        <v>4</v>
      </c>
      <c r="U1386" s="0" t="n">
        <v>2</v>
      </c>
      <c r="V1386" s="0" t="inlineStr">
        <is>
          <t>계단식</t>
        </is>
      </c>
      <c r="W1386" s="0" t="n">
        <v>143</v>
      </c>
      <c r="X1386" s="0" t="n">
        <v>4</v>
      </c>
      <c r="Y1386" s="0" t="n">
        <v>4</v>
      </c>
      <c r="Z1386" s="0" t="inlineStr">
        <is>
          <t>https://new.land.naver.com/complexes/15293?tab=detail&amp;rf=Y</t>
        </is>
      </c>
      <c r="AA1386" s="0" t="inlineStr">
        <is>
          <t>서울시 강동구 상일동 180-4</t>
        </is>
      </c>
      <c r="AB1386" s="0" t="inlineStr">
        <is>
          <t>서울시</t>
        </is>
      </c>
      <c r="AC1386" s="0" t="inlineStr">
        <is>
          <t>강동구</t>
        </is>
      </c>
      <c r="AD1386" s="0" t="inlineStr">
        <is>
          <t>상일동</t>
        </is>
      </c>
      <c r="AG1386" s="0" t="inlineStr">
        <is>
          <t>서울시 강동구 상암로 375</t>
        </is>
      </c>
      <c r="AH1386" s="0" t="n">
        <v>0</v>
      </c>
      <c r="AI1386" s="0" t="n">
        <v>0</v>
      </c>
      <c r="AJ1386" s="0" t="n">
        <v>0</v>
      </c>
      <c r="AK1386" s="0" t="n">
        <v>0</v>
      </c>
      <c r="AL1386" s="0" t="n">
        <v>0</v>
      </c>
    </row>
    <row r="1387">
      <c r="A1387" s="0" t="inlineStr">
        <is>
          <t>[상일동]</t>
        </is>
      </c>
      <c r="B1387" s="0" t="n">
        <v>15293</v>
      </c>
      <c r="C1387" s="0" t="n">
        <v>3</v>
      </c>
      <c r="D1387" s="0" t="inlineStr">
        <is>
          <t>삼성그린</t>
        </is>
      </c>
      <c r="E1387" s="0" t="inlineStr">
        <is>
          <t>1999.06.</t>
        </is>
      </c>
      <c r="F1387" s="0" t="n">
        <v>48</v>
      </c>
      <c r="G1387" s="0" t="n">
        <v>44.68</v>
      </c>
      <c r="H1387" s="0" t="n">
        <v>147.73</v>
      </c>
      <c r="I1387" s="0" t="n">
        <v>40.93</v>
      </c>
      <c r="J1387" s="0" t="n">
        <v>135.31</v>
      </c>
      <c r="K1387" s="0" t="n">
        <v>12</v>
      </c>
      <c r="T1387" s="0" t="n">
        <v>4</v>
      </c>
      <c r="U1387" s="0" t="n">
        <v>2</v>
      </c>
      <c r="V1387" s="0" t="inlineStr">
        <is>
          <t>계단식</t>
        </is>
      </c>
      <c r="W1387" s="0" t="inlineStr">
        <is>
          <t>147A</t>
        </is>
      </c>
      <c r="X1387" s="0" t="n">
        <v>4</v>
      </c>
      <c r="Y1387" s="0" t="n">
        <v>4</v>
      </c>
      <c r="Z1387" s="0" t="inlineStr">
        <is>
          <t>https://new.land.naver.com/complexes/15293?tab=detail&amp;rf=Y</t>
        </is>
      </c>
      <c r="AA1387" s="0" t="inlineStr">
        <is>
          <t>서울시 강동구 상일동 180-4</t>
        </is>
      </c>
      <c r="AB1387" s="0" t="inlineStr">
        <is>
          <t>서울시</t>
        </is>
      </c>
      <c r="AC1387" s="0" t="inlineStr">
        <is>
          <t>강동구</t>
        </is>
      </c>
      <c r="AD1387" s="0" t="inlineStr">
        <is>
          <t>상일동</t>
        </is>
      </c>
      <c r="AG1387" s="0" t="inlineStr">
        <is>
          <t>서울시 강동구 상암로 375</t>
        </is>
      </c>
      <c r="AH1387" s="0" t="n">
        <v>0</v>
      </c>
      <c r="AI1387" s="0" t="n">
        <v>0</v>
      </c>
      <c r="AJ1387" s="0" t="n">
        <v>0</v>
      </c>
      <c r="AK1387" s="0" t="n">
        <v>0</v>
      </c>
      <c r="AL1387" s="0" t="n">
        <v>0</v>
      </c>
    </row>
    <row r="1388">
      <c r="A1388" s="0" t="inlineStr">
        <is>
          <t>[상일동]</t>
        </is>
      </c>
      <c r="B1388" s="0" t="n">
        <v>15293</v>
      </c>
      <c r="C1388" s="0" t="n">
        <v>4</v>
      </c>
      <c r="D1388" s="0" t="inlineStr">
        <is>
          <t>삼성그린</t>
        </is>
      </c>
      <c r="E1388" s="0" t="inlineStr">
        <is>
          <t>1999.06.</t>
        </is>
      </c>
      <c r="F1388" s="0" t="n">
        <v>48</v>
      </c>
      <c r="G1388" s="0" t="n">
        <v>45.03</v>
      </c>
      <c r="H1388" s="0" t="n">
        <v>148.88</v>
      </c>
      <c r="I1388" s="0" t="n">
        <v>41.24</v>
      </c>
      <c r="J1388" s="0" t="n">
        <v>136.34</v>
      </c>
      <c r="K1388" s="0" t="n">
        <v>4</v>
      </c>
      <c r="T1388" s="0" t="n">
        <v>4</v>
      </c>
      <c r="U1388" s="0" t="n">
        <v>2</v>
      </c>
      <c r="V1388" s="0" t="inlineStr">
        <is>
          <t>계단식</t>
        </is>
      </c>
      <c r="W1388" s="0" t="inlineStr">
        <is>
          <t>148B</t>
        </is>
      </c>
      <c r="X1388" s="0" t="n">
        <v>4</v>
      </c>
      <c r="Y1388" s="0" t="n">
        <v>4</v>
      </c>
      <c r="Z1388" s="0" t="inlineStr">
        <is>
          <t>https://new.land.naver.com/complexes/15293?tab=detail&amp;rf=Y</t>
        </is>
      </c>
      <c r="AA1388" s="0" t="inlineStr">
        <is>
          <t>서울시 강동구 상일동 180-4</t>
        </is>
      </c>
      <c r="AB1388" s="0" t="inlineStr">
        <is>
          <t>서울시</t>
        </is>
      </c>
      <c r="AC1388" s="0" t="inlineStr">
        <is>
          <t>강동구</t>
        </is>
      </c>
      <c r="AD1388" s="0" t="inlineStr">
        <is>
          <t>상일동</t>
        </is>
      </c>
      <c r="AG1388" s="0" t="inlineStr">
        <is>
          <t>서울시 강동구 상암로 375</t>
        </is>
      </c>
      <c r="AH1388" s="0" t="n">
        <v>0</v>
      </c>
      <c r="AI1388" s="0" t="n">
        <v>0</v>
      </c>
      <c r="AJ1388" s="0" t="n">
        <v>0</v>
      </c>
      <c r="AK1388" s="0" t="n">
        <v>0</v>
      </c>
      <c r="AL1388" s="0" t="n">
        <v>0</v>
      </c>
    </row>
    <row r="1389">
      <c r="A1389" s="0" t="inlineStr">
        <is>
          <t>[상일동]</t>
        </is>
      </c>
      <c r="B1389" s="0" t="n">
        <v>15293</v>
      </c>
      <c r="C1389" s="0" t="n">
        <v>5</v>
      </c>
      <c r="D1389" s="0" t="inlineStr">
        <is>
          <t>삼성그린</t>
        </is>
      </c>
      <c r="E1389" s="0" t="inlineStr">
        <is>
          <t>1999.06.</t>
        </is>
      </c>
      <c r="F1389" s="0" t="n">
        <v>48</v>
      </c>
      <c r="G1389" s="0" t="n">
        <v>49.08</v>
      </c>
      <c r="H1389" s="0" t="n">
        <v>162.25</v>
      </c>
      <c r="I1389" s="0" t="n">
        <v>45.12</v>
      </c>
      <c r="J1389" s="0" t="n">
        <v>149.19</v>
      </c>
      <c r="K1389" s="0" t="n">
        <v>16</v>
      </c>
      <c r="T1389" s="0" t="n">
        <v>4</v>
      </c>
      <c r="U1389" s="0" t="n">
        <v>2</v>
      </c>
      <c r="V1389" s="0" t="inlineStr">
        <is>
          <t>계단식</t>
        </is>
      </c>
      <c r="W1389" s="0" t="n">
        <v>162</v>
      </c>
      <c r="X1389" s="0" t="n">
        <v>4</v>
      </c>
      <c r="Y1389" s="0" t="n">
        <v>4</v>
      </c>
      <c r="Z1389" s="0" t="inlineStr">
        <is>
          <t>https://new.land.naver.com/complexes/15293?tab=detail&amp;rf=Y</t>
        </is>
      </c>
      <c r="AA1389" s="0" t="inlineStr">
        <is>
          <t>서울시 강동구 상일동 180-4</t>
        </is>
      </c>
      <c r="AB1389" s="0" t="inlineStr">
        <is>
          <t>서울시</t>
        </is>
      </c>
      <c r="AC1389" s="0" t="inlineStr">
        <is>
          <t>강동구</t>
        </is>
      </c>
      <c r="AD1389" s="0" t="inlineStr">
        <is>
          <t>상일동</t>
        </is>
      </c>
      <c r="AG1389" s="0" t="inlineStr">
        <is>
          <t>서울시 강동구 상암로 375</t>
        </is>
      </c>
      <c r="AH1389" s="0" t="n">
        <v>0</v>
      </c>
      <c r="AI1389" s="0" t="n">
        <v>0</v>
      </c>
      <c r="AJ1389" s="0" t="n">
        <v>0</v>
      </c>
      <c r="AK1389" s="0" t="n">
        <v>0</v>
      </c>
      <c r="AL1389" s="0" t="n">
        <v>0</v>
      </c>
    </row>
    <row r="1390">
      <c r="A1390" s="0" t="inlineStr">
        <is>
          <t>[상일동]</t>
        </is>
      </c>
      <c r="B1390" s="0" t="n">
        <v>15504</v>
      </c>
      <c r="C1390" s="0" t="n">
        <v>1</v>
      </c>
      <c r="D1390" s="0" t="inlineStr">
        <is>
          <t>효성</t>
        </is>
      </c>
      <c r="E1390" s="0" t="inlineStr">
        <is>
          <t>1987.02.</t>
        </is>
      </c>
      <c r="F1390" s="0" t="n">
        <v>69</v>
      </c>
      <c r="G1390" s="0" t="n">
        <v>31.71</v>
      </c>
      <c r="H1390" s="0" t="n">
        <v>104.84</v>
      </c>
      <c r="I1390" s="0" t="n">
        <v>25.57</v>
      </c>
      <c r="J1390" s="0" t="n">
        <v>84.54000000000001</v>
      </c>
      <c r="K1390" s="0" t="n">
        <v>15</v>
      </c>
      <c r="T1390" s="0" t="n">
        <v>3</v>
      </c>
      <c r="U1390" s="0" t="n">
        <v>1</v>
      </c>
      <c r="V1390" s="0" t="inlineStr">
        <is>
          <t>계단식</t>
        </is>
      </c>
      <c r="W1390" s="0" t="n">
        <v>104</v>
      </c>
      <c r="X1390" s="0" t="n">
        <v>3</v>
      </c>
      <c r="Y1390" s="0" t="n">
        <v>3</v>
      </c>
      <c r="Z1390" s="0" t="inlineStr">
        <is>
          <t>https://new.land.naver.com/complexes/15504?tab=detail&amp;rf=Y</t>
        </is>
      </c>
      <c r="AA1390" s="0" t="inlineStr">
        <is>
          <t>서울시 강동구 상일동 176</t>
        </is>
      </c>
      <c r="AB1390" s="0" t="inlineStr">
        <is>
          <t>서울시</t>
        </is>
      </c>
      <c r="AC1390" s="0" t="inlineStr">
        <is>
          <t>강동구</t>
        </is>
      </c>
      <c r="AD1390" s="0" t="inlineStr">
        <is>
          <t>상일동</t>
        </is>
      </c>
      <c r="AG1390" s="0" t="inlineStr">
        <is>
          <t>서울시 강동구 상암로 343</t>
        </is>
      </c>
      <c r="AH1390" s="0" t="n">
        <v>0</v>
      </c>
      <c r="AI1390" s="0" t="n">
        <v>0</v>
      </c>
      <c r="AJ1390" s="0" t="n">
        <v>0</v>
      </c>
      <c r="AK1390" s="0" t="n">
        <v>0</v>
      </c>
      <c r="AL1390" s="0" t="n">
        <v>0</v>
      </c>
    </row>
    <row r="1391">
      <c r="A1391" s="0" t="inlineStr">
        <is>
          <t>[상일동]</t>
        </is>
      </c>
      <c r="B1391" s="0" t="n">
        <v>15504</v>
      </c>
      <c r="C1391" s="0" t="n">
        <v>2</v>
      </c>
      <c r="D1391" s="0" t="inlineStr">
        <is>
          <t>효성</t>
        </is>
      </c>
      <c r="E1391" s="0" t="inlineStr">
        <is>
          <t>1987.02.</t>
        </is>
      </c>
      <c r="F1391" s="0" t="n">
        <v>69</v>
      </c>
      <c r="G1391" s="0" t="n">
        <v>32.81</v>
      </c>
      <c r="H1391" s="0" t="n">
        <v>108.47</v>
      </c>
      <c r="I1391" s="0" t="n">
        <v>26.62</v>
      </c>
      <c r="J1391" s="0" t="n">
        <v>88.02</v>
      </c>
      <c r="K1391" s="0" t="n">
        <v>3</v>
      </c>
      <c r="T1391" s="0" t="n">
        <v>3</v>
      </c>
      <c r="U1391" s="0" t="n">
        <v>1</v>
      </c>
      <c r="V1391" s="0" t="inlineStr">
        <is>
          <t>계단식</t>
        </is>
      </c>
      <c r="W1391" s="0" t="n">
        <v>108</v>
      </c>
      <c r="X1391" s="0" t="n">
        <v>3</v>
      </c>
      <c r="Y1391" s="0" t="n">
        <v>3</v>
      </c>
      <c r="Z1391" s="0" t="inlineStr">
        <is>
          <t>https://new.land.naver.com/complexes/15504?tab=detail&amp;rf=Y</t>
        </is>
      </c>
      <c r="AA1391" s="0" t="inlineStr">
        <is>
          <t>서울시 강동구 상일동 176</t>
        </is>
      </c>
      <c r="AB1391" s="0" t="inlineStr">
        <is>
          <t>서울시</t>
        </is>
      </c>
      <c r="AC1391" s="0" t="inlineStr">
        <is>
          <t>강동구</t>
        </is>
      </c>
      <c r="AD1391" s="0" t="inlineStr">
        <is>
          <t>상일동</t>
        </is>
      </c>
      <c r="AG1391" s="0" t="inlineStr">
        <is>
          <t>서울시 강동구 상암로 343</t>
        </is>
      </c>
      <c r="AH1391" s="0" t="n">
        <v>0</v>
      </c>
      <c r="AI1391" s="0" t="n">
        <v>0</v>
      </c>
      <c r="AJ1391" s="0" t="n">
        <v>0</v>
      </c>
      <c r="AK1391" s="0" t="n">
        <v>0</v>
      </c>
      <c r="AL1391" s="0" t="n">
        <v>0</v>
      </c>
    </row>
    <row r="1392">
      <c r="A1392" s="0" t="inlineStr">
        <is>
          <t>[상일동]</t>
        </is>
      </c>
      <c r="B1392" s="0" t="n">
        <v>15504</v>
      </c>
      <c r="C1392" s="0" t="n">
        <v>3</v>
      </c>
      <c r="D1392" s="0" t="inlineStr">
        <is>
          <t>효성</t>
        </is>
      </c>
      <c r="E1392" s="0" t="inlineStr">
        <is>
          <t>1987.02.</t>
        </is>
      </c>
      <c r="F1392" s="0" t="n">
        <v>69</v>
      </c>
      <c r="G1392" s="0" t="n">
        <v>36.39</v>
      </c>
      <c r="H1392" s="0" t="n">
        <v>120.3</v>
      </c>
      <c r="I1392" s="0" t="n">
        <v>29.37</v>
      </c>
      <c r="J1392" s="0" t="n">
        <v>97.11</v>
      </c>
      <c r="K1392" s="0" t="n">
        <v>6</v>
      </c>
      <c r="T1392" s="0" t="n">
        <v>3</v>
      </c>
      <c r="U1392" s="0" t="n">
        <v>1</v>
      </c>
      <c r="V1392" s="0" t="inlineStr">
        <is>
          <t>계단식</t>
        </is>
      </c>
      <c r="W1392" s="0" t="n">
        <v>120</v>
      </c>
      <c r="X1392" s="0" t="n">
        <v>3</v>
      </c>
      <c r="Y1392" s="0" t="n">
        <v>3</v>
      </c>
      <c r="Z1392" s="0" t="inlineStr">
        <is>
          <t>https://new.land.naver.com/complexes/15504?tab=detail&amp;rf=Y</t>
        </is>
      </c>
      <c r="AA1392" s="0" t="inlineStr">
        <is>
          <t>서울시 강동구 상일동 176</t>
        </is>
      </c>
      <c r="AB1392" s="0" t="inlineStr">
        <is>
          <t>서울시</t>
        </is>
      </c>
      <c r="AC1392" s="0" t="inlineStr">
        <is>
          <t>강동구</t>
        </is>
      </c>
      <c r="AD1392" s="0" t="inlineStr">
        <is>
          <t>상일동</t>
        </is>
      </c>
      <c r="AG1392" s="0" t="inlineStr">
        <is>
          <t>서울시 강동구 상암로 343</t>
        </is>
      </c>
      <c r="AH1392" s="0" t="n">
        <v>0</v>
      </c>
      <c r="AI1392" s="0" t="n">
        <v>0</v>
      </c>
      <c r="AJ1392" s="0" t="n">
        <v>0</v>
      </c>
      <c r="AK1392" s="0" t="n">
        <v>0</v>
      </c>
      <c r="AL1392" s="0" t="n">
        <v>0</v>
      </c>
    </row>
    <row r="1393">
      <c r="A1393" s="0" t="inlineStr">
        <is>
          <t>[상일동]</t>
        </is>
      </c>
      <c r="B1393" s="0" t="n">
        <v>15504</v>
      </c>
      <c r="C1393" s="0" t="n">
        <v>4</v>
      </c>
      <c r="D1393" s="0" t="inlineStr">
        <is>
          <t>효성</t>
        </is>
      </c>
      <c r="E1393" s="0" t="inlineStr">
        <is>
          <t>1987.02.</t>
        </is>
      </c>
      <c r="F1393" s="0" t="n">
        <v>69</v>
      </c>
      <c r="G1393" s="0" t="n">
        <v>37.16</v>
      </c>
      <c r="H1393" s="0" t="n">
        <v>122.85</v>
      </c>
      <c r="I1393" s="0" t="n">
        <v>35.27</v>
      </c>
      <c r="J1393" s="0" t="n">
        <v>116.61</v>
      </c>
      <c r="K1393" s="0" t="n">
        <v>10</v>
      </c>
      <c r="T1393" s="0" t="n">
        <v>4</v>
      </c>
      <c r="U1393" s="0" t="n">
        <v>2</v>
      </c>
      <c r="V1393" s="0" t="inlineStr">
        <is>
          <t>계단식</t>
        </is>
      </c>
      <c r="W1393" s="0" t="n">
        <v>122</v>
      </c>
      <c r="X1393" s="0" t="n">
        <v>3</v>
      </c>
      <c r="Y1393" s="0" t="n">
        <v>3</v>
      </c>
      <c r="Z1393" s="0" t="inlineStr">
        <is>
          <t>https://new.land.naver.com/complexes/15504?tab=detail&amp;rf=Y</t>
        </is>
      </c>
      <c r="AA1393" s="0" t="inlineStr">
        <is>
          <t>서울시 강동구 상일동 176</t>
        </is>
      </c>
      <c r="AB1393" s="0" t="inlineStr">
        <is>
          <t>서울시</t>
        </is>
      </c>
      <c r="AC1393" s="0" t="inlineStr">
        <is>
          <t>강동구</t>
        </is>
      </c>
      <c r="AD1393" s="0" t="inlineStr">
        <is>
          <t>상일동</t>
        </is>
      </c>
      <c r="AG1393" s="0" t="inlineStr">
        <is>
          <t>서울시 강동구 상암로 343</t>
        </is>
      </c>
      <c r="AH1393" s="0" t="n">
        <v>0</v>
      </c>
      <c r="AI1393" s="0" t="n">
        <v>0</v>
      </c>
      <c r="AJ1393" s="0" t="n">
        <v>0</v>
      </c>
      <c r="AK1393" s="0" t="n">
        <v>0</v>
      </c>
      <c r="AL1393" s="0" t="n">
        <v>0</v>
      </c>
    </row>
    <row r="1394">
      <c r="A1394" s="0" t="inlineStr">
        <is>
          <t>[상일동]</t>
        </is>
      </c>
      <c r="B1394" s="0" t="n">
        <v>15504</v>
      </c>
      <c r="C1394" s="0" t="n">
        <v>5</v>
      </c>
      <c r="D1394" s="0" t="inlineStr">
        <is>
          <t>효성</t>
        </is>
      </c>
      <c r="E1394" s="0" t="inlineStr">
        <is>
          <t>1987.02.</t>
        </is>
      </c>
      <c r="F1394" s="0" t="n">
        <v>69</v>
      </c>
      <c r="G1394" s="0" t="n">
        <v>38.38</v>
      </c>
      <c r="H1394" s="0" t="n">
        <v>126.9</v>
      </c>
      <c r="I1394" s="0" t="n">
        <v>36.49</v>
      </c>
      <c r="J1394" s="0" t="n">
        <v>120.66</v>
      </c>
      <c r="K1394" s="0" t="n">
        <v>1</v>
      </c>
      <c r="T1394" s="0" t="n">
        <v>4</v>
      </c>
      <c r="U1394" s="0" t="n">
        <v>2</v>
      </c>
      <c r="V1394" s="0" t="inlineStr">
        <is>
          <t>계단식</t>
        </is>
      </c>
      <c r="W1394" s="0" t="n">
        <v>126</v>
      </c>
      <c r="X1394" s="0" t="n">
        <v>3</v>
      </c>
      <c r="Y1394" s="0" t="n">
        <v>3</v>
      </c>
      <c r="Z1394" s="0" t="inlineStr">
        <is>
          <t>https://new.land.naver.com/complexes/15504?tab=detail&amp;rf=Y</t>
        </is>
      </c>
      <c r="AA1394" s="0" t="inlineStr">
        <is>
          <t>서울시 강동구 상일동 176</t>
        </is>
      </c>
      <c r="AB1394" s="0" t="inlineStr">
        <is>
          <t>서울시</t>
        </is>
      </c>
      <c r="AC1394" s="0" t="inlineStr">
        <is>
          <t>강동구</t>
        </is>
      </c>
      <c r="AD1394" s="0" t="inlineStr">
        <is>
          <t>상일동</t>
        </is>
      </c>
      <c r="AG1394" s="0" t="inlineStr">
        <is>
          <t>서울시 강동구 상암로 343</t>
        </is>
      </c>
      <c r="AH1394" s="0" t="n">
        <v>0</v>
      </c>
      <c r="AI1394" s="0" t="n">
        <v>0</v>
      </c>
      <c r="AJ1394" s="0" t="n">
        <v>0</v>
      </c>
      <c r="AK1394" s="0" t="n">
        <v>0</v>
      </c>
      <c r="AL1394" s="0" t="n">
        <v>0</v>
      </c>
    </row>
    <row r="1395">
      <c r="A1395" s="0" t="inlineStr">
        <is>
          <t>[상일동]</t>
        </is>
      </c>
      <c r="B1395" s="0" t="n">
        <v>15504</v>
      </c>
      <c r="C1395" s="0" t="n">
        <v>6</v>
      </c>
      <c r="D1395" s="0" t="inlineStr">
        <is>
          <t>효성</t>
        </is>
      </c>
      <c r="E1395" s="0" t="inlineStr">
        <is>
          <t>1987.02.</t>
        </is>
      </c>
      <c r="F1395" s="0" t="n">
        <v>69</v>
      </c>
      <c r="G1395" s="0" t="n">
        <v>40.87</v>
      </c>
      <c r="H1395" s="0" t="n">
        <v>135.12</v>
      </c>
      <c r="I1395" s="0" t="n">
        <v>38.98</v>
      </c>
      <c r="J1395" s="0" t="n">
        <v>128.88</v>
      </c>
      <c r="K1395" s="0" t="n">
        <v>2</v>
      </c>
      <c r="T1395" s="0" t="n">
        <v>4</v>
      </c>
      <c r="U1395" s="0" t="n">
        <v>2</v>
      </c>
      <c r="V1395" s="0" t="inlineStr">
        <is>
          <t>계단식</t>
        </is>
      </c>
      <c r="W1395" s="0" t="n">
        <v>135</v>
      </c>
      <c r="X1395" s="0" t="n">
        <v>3</v>
      </c>
      <c r="Y1395" s="0" t="n">
        <v>3</v>
      </c>
      <c r="Z1395" s="0" t="inlineStr">
        <is>
          <t>https://new.land.naver.com/complexes/15504?tab=detail&amp;rf=Y</t>
        </is>
      </c>
      <c r="AA1395" s="0" t="inlineStr">
        <is>
          <t>서울시 강동구 상일동 176</t>
        </is>
      </c>
      <c r="AB1395" s="0" t="inlineStr">
        <is>
          <t>서울시</t>
        </is>
      </c>
      <c r="AC1395" s="0" t="inlineStr">
        <is>
          <t>강동구</t>
        </is>
      </c>
      <c r="AD1395" s="0" t="inlineStr">
        <is>
          <t>상일동</t>
        </is>
      </c>
      <c r="AG1395" s="0" t="inlineStr">
        <is>
          <t>서울시 강동구 상암로 343</t>
        </is>
      </c>
      <c r="AH1395" s="0" t="n">
        <v>0</v>
      </c>
      <c r="AI1395" s="0" t="n">
        <v>0</v>
      </c>
      <c r="AJ1395" s="0" t="n">
        <v>0</v>
      </c>
      <c r="AK1395" s="0" t="n">
        <v>0</v>
      </c>
      <c r="AL1395" s="0" t="n">
        <v>0</v>
      </c>
    </row>
    <row r="1396">
      <c r="A1396" s="0" t="inlineStr">
        <is>
          <t>[상일동]</t>
        </is>
      </c>
      <c r="B1396" s="0" t="n">
        <v>15504</v>
      </c>
      <c r="C1396" s="0" t="n">
        <v>7</v>
      </c>
      <c r="D1396" s="0" t="inlineStr">
        <is>
          <t>효성</t>
        </is>
      </c>
      <c r="E1396" s="0" t="inlineStr">
        <is>
          <t>1987.02.</t>
        </is>
      </c>
      <c r="F1396" s="0" t="n">
        <v>69</v>
      </c>
      <c r="G1396" s="0" t="n">
        <v>41.7</v>
      </c>
      <c r="H1396" s="0" t="n">
        <v>137.88</v>
      </c>
      <c r="I1396" s="0" t="n">
        <v>39.82</v>
      </c>
      <c r="J1396" s="0" t="n">
        <v>131.64</v>
      </c>
      <c r="K1396" s="0" t="n">
        <v>10</v>
      </c>
      <c r="T1396" s="0" t="n">
        <v>4</v>
      </c>
      <c r="U1396" s="0" t="n">
        <v>2</v>
      </c>
      <c r="V1396" s="0" t="inlineStr">
        <is>
          <t>계단식</t>
        </is>
      </c>
      <c r="W1396" s="0" t="inlineStr">
        <is>
          <t>137B</t>
        </is>
      </c>
      <c r="X1396" s="0" t="n">
        <v>3</v>
      </c>
      <c r="Y1396" s="0" t="n">
        <v>3</v>
      </c>
      <c r="Z1396" s="0" t="inlineStr">
        <is>
          <t>https://new.land.naver.com/complexes/15504?tab=detail&amp;rf=Y</t>
        </is>
      </c>
      <c r="AA1396" s="0" t="inlineStr">
        <is>
          <t>서울시 강동구 상일동 176</t>
        </is>
      </c>
      <c r="AB1396" s="0" t="inlineStr">
        <is>
          <t>서울시</t>
        </is>
      </c>
      <c r="AC1396" s="0" t="inlineStr">
        <is>
          <t>강동구</t>
        </is>
      </c>
      <c r="AD1396" s="0" t="inlineStr">
        <is>
          <t>상일동</t>
        </is>
      </c>
      <c r="AG1396" s="0" t="inlineStr">
        <is>
          <t>서울시 강동구 상암로 343</t>
        </is>
      </c>
      <c r="AH1396" s="0" t="n">
        <v>0</v>
      </c>
      <c r="AI1396" s="0" t="n">
        <v>0</v>
      </c>
      <c r="AJ1396" s="0" t="n">
        <v>0</v>
      </c>
      <c r="AK1396" s="0" t="n">
        <v>0</v>
      </c>
      <c r="AL1396" s="0" t="n">
        <v>0</v>
      </c>
    </row>
    <row r="1397">
      <c r="A1397" s="0" t="inlineStr">
        <is>
          <t>[상일동]</t>
        </is>
      </c>
      <c r="B1397" s="0" t="n">
        <v>15504</v>
      </c>
      <c r="C1397" s="0" t="n">
        <v>8</v>
      </c>
      <c r="D1397" s="0" t="inlineStr">
        <is>
          <t>효성</t>
        </is>
      </c>
      <c r="E1397" s="0" t="inlineStr">
        <is>
          <t>1987.02.</t>
        </is>
      </c>
      <c r="F1397" s="0" t="n">
        <v>69</v>
      </c>
      <c r="G1397" s="0" t="n">
        <v>41.8</v>
      </c>
      <c r="H1397" s="0" t="n">
        <v>138.21</v>
      </c>
      <c r="I1397" s="0" t="n">
        <v>39.8</v>
      </c>
      <c r="J1397" s="0" t="n">
        <v>131.58</v>
      </c>
      <c r="K1397" s="0" t="n">
        <v>2</v>
      </c>
      <c r="T1397" s="0" t="n">
        <v>4</v>
      </c>
      <c r="U1397" s="0" t="n">
        <v>2</v>
      </c>
      <c r="V1397" s="0" t="inlineStr">
        <is>
          <t>계단식</t>
        </is>
      </c>
      <c r="W1397" s="0" t="n">
        <v>138</v>
      </c>
      <c r="X1397" s="0" t="n">
        <v>3</v>
      </c>
      <c r="Y1397" s="0" t="n">
        <v>3</v>
      </c>
      <c r="Z1397" s="0" t="inlineStr">
        <is>
          <t>https://new.land.naver.com/complexes/15504?tab=detail&amp;rf=Y</t>
        </is>
      </c>
      <c r="AA1397" s="0" t="inlineStr">
        <is>
          <t>서울시 강동구 상일동 176</t>
        </is>
      </c>
      <c r="AB1397" s="0" t="inlineStr">
        <is>
          <t>서울시</t>
        </is>
      </c>
      <c r="AC1397" s="0" t="inlineStr">
        <is>
          <t>강동구</t>
        </is>
      </c>
      <c r="AD1397" s="0" t="inlineStr">
        <is>
          <t>상일동</t>
        </is>
      </c>
      <c r="AG1397" s="0" t="inlineStr">
        <is>
          <t>서울시 강동구 상암로 343</t>
        </is>
      </c>
      <c r="AH1397" s="0" t="n">
        <v>0</v>
      </c>
      <c r="AI1397" s="0" t="n">
        <v>0</v>
      </c>
      <c r="AJ1397" s="0" t="n">
        <v>0</v>
      </c>
      <c r="AK1397" s="0" t="n">
        <v>0</v>
      </c>
      <c r="AL1397" s="0" t="n">
        <v>0</v>
      </c>
    </row>
    <row r="1398">
      <c r="A1398" s="0" t="inlineStr">
        <is>
          <t>[상일동]</t>
        </is>
      </c>
      <c r="B1398" s="0" t="n">
        <v>15504</v>
      </c>
      <c r="C1398" s="0" t="n">
        <v>9</v>
      </c>
      <c r="D1398" s="0" t="inlineStr">
        <is>
          <t>효성</t>
        </is>
      </c>
      <c r="E1398" s="0" t="inlineStr">
        <is>
          <t>1987.02.</t>
        </is>
      </c>
      <c r="F1398" s="0" t="n">
        <v>69</v>
      </c>
      <c r="G1398" s="0" t="n">
        <v>42.86</v>
      </c>
      <c r="H1398" s="0" t="n">
        <v>141.71</v>
      </c>
      <c r="I1398" s="0" t="n">
        <v>40.97</v>
      </c>
      <c r="J1398" s="0" t="n">
        <v>135.47</v>
      </c>
      <c r="K1398" s="0" t="n">
        <v>1</v>
      </c>
      <c r="T1398" s="0" t="n">
        <v>5</v>
      </c>
      <c r="U1398" s="0" t="n">
        <v>2</v>
      </c>
      <c r="V1398" s="0" t="inlineStr">
        <is>
          <t>계단식</t>
        </is>
      </c>
      <c r="W1398" s="0" t="inlineStr">
        <is>
          <t>141B</t>
        </is>
      </c>
      <c r="X1398" s="0" t="n">
        <v>3</v>
      </c>
      <c r="Y1398" s="0" t="n">
        <v>3</v>
      </c>
      <c r="Z1398" s="0" t="inlineStr">
        <is>
          <t>https://new.land.naver.com/complexes/15504?tab=detail&amp;rf=Y</t>
        </is>
      </c>
      <c r="AA1398" s="0" t="inlineStr">
        <is>
          <t>서울시 강동구 상일동 176</t>
        </is>
      </c>
      <c r="AB1398" s="0" t="inlineStr">
        <is>
          <t>서울시</t>
        </is>
      </c>
      <c r="AC1398" s="0" t="inlineStr">
        <is>
          <t>강동구</t>
        </is>
      </c>
      <c r="AD1398" s="0" t="inlineStr">
        <is>
          <t>상일동</t>
        </is>
      </c>
      <c r="AG1398" s="0" t="inlineStr">
        <is>
          <t>서울시 강동구 상암로 343</t>
        </is>
      </c>
      <c r="AH1398" s="0" t="n">
        <v>0</v>
      </c>
      <c r="AI1398" s="0" t="n">
        <v>0</v>
      </c>
      <c r="AJ1398" s="0" t="n">
        <v>0</v>
      </c>
      <c r="AK1398" s="0" t="n">
        <v>0</v>
      </c>
      <c r="AL1398" s="0" t="n">
        <v>0</v>
      </c>
    </row>
    <row r="1399">
      <c r="A1399" s="0" t="inlineStr">
        <is>
          <t>[상일동]</t>
        </is>
      </c>
      <c r="B1399" s="0" t="n">
        <v>15504</v>
      </c>
      <c r="C1399" s="0" t="n">
        <v>10</v>
      </c>
      <c r="D1399" s="0" t="inlineStr">
        <is>
          <t>효성</t>
        </is>
      </c>
      <c r="E1399" s="0" t="inlineStr">
        <is>
          <t>1987.02.</t>
        </is>
      </c>
      <c r="F1399" s="0" t="n">
        <v>69</v>
      </c>
      <c r="G1399" s="0" t="n">
        <v>44.7</v>
      </c>
      <c r="H1399" s="0" t="n">
        <v>147.77</v>
      </c>
      <c r="I1399" s="0" t="n">
        <v>42.81</v>
      </c>
      <c r="J1399" s="0" t="n">
        <v>141.53</v>
      </c>
      <c r="K1399" s="0" t="n">
        <v>10</v>
      </c>
      <c r="T1399" s="0" t="n">
        <v>5</v>
      </c>
      <c r="U1399" s="0" t="n">
        <v>2</v>
      </c>
      <c r="V1399" s="0" t="inlineStr">
        <is>
          <t>계단식</t>
        </is>
      </c>
      <c r="W1399" s="0" t="n">
        <v>147</v>
      </c>
      <c r="X1399" s="0" t="n">
        <v>3</v>
      </c>
      <c r="Y1399" s="0" t="n">
        <v>3</v>
      </c>
      <c r="Z1399" s="0" t="inlineStr">
        <is>
          <t>https://new.land.naver.com/complexes/15504?tab=detail&amp;rf=Y</t>
        </is>
      </c>
      <c r="AA1399" s="0" t="inlineStr">
        <is>
          <t>서울시 강동구 상일동 176</t>
        </is>
      </c>
      <c r="AB1399" s="0" t="inlineStr">
        <is>
          <t>서울시</t>
        </is>
      </c>
      <c r="AC1399" s="0" t="inlineStr">
        <is>
          <t>강동구</t>
        </is>
      </c>
      <c r="AD1399" s="0" t="inlineStr">
        <is>
          <t>상일동</t>
        </is>
      </c>
      <c r="AG1399" s="0" t="inlineStr">
        <is>
          <t>서울시 강동구 상암로 343</t>
        </is>
      </c>
      <c r="AH1399" s="0" t="n">
        <v>0</v>
      </c>
      <c r="AI1399" s="0" t="n">
        <v>0</v>
      </c>
      <c r="AJ1399" s="0" t="n">
        <v>0</v>
      </c>
      <c r="AK1399" s="0" t="n">
        <v>0</v>
      </c>
      <c r="AL1399" s="0" t="n">
        <v>0</v>
      </c>
    </row>
    <row r="1400">
      <c r="A1400" s="0" t="inlineStr">
        <is>
          <t>[상일동]</t>
        </is>
      </c>
      <c r="B1400" s="0" t="n">
        <v>15504</v>
      </c>
      <c r="C1400" s="0" t="n">
        <v>11</v>
      </c>
      <c r="D1400" s="0" t="inlineStr">
        <is>
          <t>효성</t>
        </is>
      </c>
      <c r="E1400" s="0" t="inlineStr">
        <is>
          <t>1987.02.</t>
        </is>
      </c>
      <c r="F1400" s="0" t="n">
        <v>69</v>
      </c>
      <c r="G1400" s="0" t="n">
        <v>45.92</v>
      </c>
      <c r="H1400" s="0" t="n">
        <v>151.82</v>
      </c>
      <c r="I1400" s="0" t="n">
        <v>44.03</v>
      </c>
      <c r="J1400" s="0" t="n">
        <v>145.58</v>
      </c>
      <c r="K1400" s="0" t="n">
        <v>1</v>
      </c>
      <c r="T1400" s="0" t="n">
        <v>5</v>
      </c>
      <c r="U1400" s="0" t="n">
        <v>2</v>
      </c>
      <c r="V1400" s="0" t="inlineStr">
        <is>
          <t>계단식</t>
        </is>
      </c>
      <c r="W1400" s="0" t="inlineStr">
        <is>
          <t>151A</t>
        </is>
      </c>
      <c r="X1400" s="0" t="n">
        <v>3</v>
      </c>
      <c r="Y1400" s="0" t="n">
        <v>3</v>
      </c>
      <c r="Z1400" s="0" t="inlineStr">
        <is>
          <t>https://new.land.naver.com/complexes/15504?tab=detail&amp;rf=Y</t>
        </is>
      </c>
      <c r="AA1400" s="0" t="inlineStr">
        <is>
          <t>서울시 강동구 상일동 176</t>
        </is>
      </c>
      <c r="AB1400" s="0" t="inlineStr">
        <is>
          <t>서울시</t>
        </is>
      </c>
      <c r="AC1400" s="0" t="inlineStr">
        <is>
          <t>강동구</t>
        </is>
      </c>
      <c r="AD1400" s="0" t="inlineStr">
        <is>
          <t>상일동</t>
        </is>
      </c>
      <c r="AG1400" s="0" t="inlineStr">
        <is>
          <t>서울시 강동구 상암로 343</t>
        </is>
      </c>
      <c r="AH1400" s="0" t="n">
        <v>0</v>
      </c>
      <c r="AI1400" s="0" t="n">
        <v>0</v>
      </c>
      <c r="AJ1400" s="0" t="n">
        <v>0</v>
      </c>
      <c r="AK1400" s="0" t="n">
        <v>0</v>
      </c>
      <c r="AL1400" s="0" t="n">
        <v>0</v>
      </c>
    </row>
    <row r="1401">
      <c r="A1401" s="0" t="inlineStr">
        <is>
          <t>[상일동]</t>
        </is>
      </c>
      <c r="B1401" s="0" t="n">
        <v>15504</v>
      </c>
      <c r="C1401" s="0" t="n">
        <v>12</v>
      </c>
      <c r="D1401" s="0" t="inlineStr">
        <is>
          <t>효성</t>
        </is>
      </c>
      <c r="E1401" s="0" t="inlineStr">
        <is>
          <t>1987.02.</t>
        </is>
      </c>
      <c r="F1401" s="0" t="n">
        <v>69</v>
      </c>
      <c r="G1401" s="0" t="n">
        <v>46.04</v>
      </c>
      <c r="H1401" s="0" t="n">
        <v>152.2</v>
      </c>
      <c r="I1401" s="0" t="n">
        <v>44.15</v>
      </c>
      <c r="J1401" s="0" t="n">
        <v>145.96</v>
      </c>
      <c r="K1401" s="0" t="n">
        <v>2</v>
      </c>
      <c r="T1401" s="0" t="n">
        <v>3</v>
      </c>
      <c r="U1401" s="0" t="n">
        <v>2</v>
      </c>
      <c r="V1401" s="0" t="inlineStr">
        <is>
          <t>계단식</t>
        </is>
      </c>
      <c r="W1401" s="0" t="inlineStr">
        <is>
          <t>152B</t>
        </is>
      </c>
      <c r="X1401" s="0" t="n">
        <v>3</v>
      </c>
      <c r="Y1401" s="0" t="n">
        <v>3</v>
      </c>
      <c r="Z1401" s="0" t="inlineStr">
        <is>
          <t>https://new.land.naver.com/complexes/15504?tab=detail&amp;rf=Y</t>
        </is>
      </c>
      <c r="AA1401" s="0" t="inlineStr">
        <is>
          <t>서울시 강동구 상일동 176</t>
        </is>
      </c>
      <c r="AB1401" s="0" t="inlineStr">
        <is>
          <t>서울시</t>
        </is>
      </c>
      <c r="AC1401" s="0" t="inlineStr">
        <is>
          <t>강동구</t>
        </is>
      </c>
      <c r="AD1401" s="0" t="inlineStr">
        <is>
          <t>상일동</t>
        </is>
      </c>
      <c r="AG1401" s="0" t="inlineStr">
        <is>
          <t>서울시 강동구 상암로 343</t>
        </is>
      </c>
      <c r="AH1401" s="0" t="n">
        <v>0</v>
      </c>
      <c r="AI1401" s="0" t="n">
        <v>0</v>
      </c>
      <c r="AJ1401" s="0" t="n">
        <v>0</v>
      </c>
      <c r="AK1401" s="0" t="n">
        <v>0</v>
      </c>
      <c r="AL1401" s="0" t="n">
        <v>0</v>
      </c>
    </row>
    <row r="1402">
      <c r="A1402" s="0" t="inlineStr">
        <is>
          <t>[상일동]</t>
        </is>
      </c>
      <c r="B1402" s="0" t="n">
        <v>15504</v>
      </c>
      <c r="C1402" s="0" t="n">
        <v>13</v>
      </c>
      <c r="D1402" s="0" t="inlineStr">
        <is>
          <t>효성</t>
        </is>
      </c>
      <c r="E1402" s="0" t="inlineStr">
        <is>
          <t>1987.02.</t>
        </is>
      </c>
      <c r="F1402" s="0" t="n">
        <v>69</v>
      </c>
      <c r="G1402" s="0" t="n">
        <v>46.84</v>
      </c>
      <c r="H1402" s="0" t="n">
        <v>154.86</v>
      </c>
      <c r="I1402" s="0" t="n">
        <v>44.83</v>
      </c>
      <c r="J1402" s="0" t="n">
        <v>148.23</v>
      </c>
      <c r="K1402" s="0" t="n">
        <v>2</v>
      </c>
      <c r="T1402" s="0" t="n">
        <v>5</v>
      </c>
      <c r="U1402" s="0" t="n">
        <v>2</v>
      </c>
      <c r="V1402" s="0" t="inlineStr">
        <is>
          <t>계단식</t>
        </is>
      </c>
      <c r="W1402" s="0" t="n">
        <v>154</v>
      </c>
      <c r="X1402" s="0" t="n">
        <v>3</v>
      </c>
      <c r="Y1402" s="0" t="n">
        <v>3</v>
      </c>
      <c r="Z1402" s="0" t="inlineStr">
        <is>
          <t>https://new.land.naver.com/complexes/15504?tab=detail&amp;rf=Y</t>
        </is>
      </c>
      <c r="AA1402" s="0" t="inlineStr">
        <is>
          <t>서울시 강동구 상일동 176</t>
        </is>
      </c>
      <c r="AB1402" s="0" t="inlineStr">
        <is>
          <t>서울시</t>
        </is>
      </c>
      <c r="AC1402" s="0" t="inlineStr">
        <is>
          <t>강동구</t>
        </is>
      </c>
      <c r="AD1402" s="0" t="inlineStr">
        <is>
          <t>상일동</t>
        </is>
      </c>
      <c r="AG1402" s="0" t="inlineStr">
        <is>
          <t>서울시 강동구 상암로 343</t>
        </is>
      </c>
      <c r="AH1402" s="0" t="n">
        <v>0</v>
      </c>
      <c r="AI1402" s="0" t="n">
        <v>0</v>
      </c>
      <c r="AJ1402" s="0" t="n">
        <v>0</v>
      </c>
      <c r="AK1402" s="0" t="n">
        <v>0</v>
      </c>
      <c r="AL1402" s="0" t="n">
        <v>0</v>
      </c>
    </row>
    <row r="1403">
      <c r="A1403" s="0" t="inlineStr">
        <is>
          <t>[상일동]</t>
        </is>
      </c>
      <c r="B1403" s="0" t="n">
        <v>15504</v>
      </c>
      <c r="C1403" s="0" t="n">
        <v>14</v>
      </c>
      <c r="D1403" s="0" t="inlineStr">
        <is>
          <t>효성</t>
        </is>
      </c>
      <c r="E1403" s="0" t="inlineStr">
        <is>
          <t>1987.02.</t>
        </is>
      </c>
      <c r="F1403" s="0" t="n">
        <v>69</v>
      </c>
      <c r="G1403" s="0" t="n">
        <v>48.08</v>
      </c>
      <c r="H1403" s="0" t="n">
        <v>158.96</v>
      </c>
      <c r="I1403" s="0" t="n">
        <v>46.07</v>
      </c>
      <c r="J1403" s="0" t="n">
        <v>152.33</v>
      </c>
      <c r="K1403" s="0" t="n">
        <v>2</v>
      </c>
      <c r="T1403" s="0" t="n">
        <v>4</v>
      </c>
      <c r="U1403" s="0" t="n">
        <v>2</v>
      </c>
      <c r="V1403" s="0" t="inlineStr">
        <is>
          <t>계단식</t>
        </is>
      </c>
      <c r="W1403" s="0" t="n">
        <v>158</v>
      </c>
      <c r="X1403" s="0" t="n">
        <v>3</v>
      </c>
      <c r="Y1403" s="0" t="n">
        <v>3</v>
      </c>
      <c r="Z1403" s="0" t="inlineStr">
        <is>
          <t>https://new.land.naver.com/complexes/15504?tab=detail&amp;rf=Y</t>
        </is>
      </c>
      <c r="AA1403" s="0" t="inlineStr">
        <is>
          <t>서울시 강동구 상일동 176</t>
        </is>
      </c>
      <c r="AB1403" s="0" t="inlineStr">
        <is>
          <t>서울시</t>
        </is>
      </c>
      <c r="AC1403" s="0" t="inlineStr">
        <is>
          <t>강동구</t>
        </is>
      </c>
      <c r="AD1403" s="0" t="inlineStr">
        <is>
          <t>상일동</t>
        </is>
      </c>
      <c r="AG1403" s="0" t="inlineStr">
        <is>
          <t>서울시 강동구 상암로 343</t>
        </is>
      </c>
      <c r="AH1403" s="0" t="n">
        <v>0</v>
      </c>
      <c r="AI1403" s="0" t="n">
        <v>0</v>
      </c>
      <c r="AJ1403" s="0" t="n">
        <v>0</v>
      </c>
      <c r="AK1403" s="0" t="n">
        <v>0</v>
      </c>
      <c r="AL1403" s="0" t="n">
        <v>0</v>
      </c>
    </row>
    <row r="1404">
      <c r="A1404" s="0" t="inlineStr">
        <is>
          <t>[상일동]</t>
        </is>
      </c>
      <c r="B1404" s="0" t="n">
        <v>15504</v>
      </c>
      <c r="C1404" s="0" t="n">
        <v>15</v>
      </c>
      <c r="D1404" s="0" t="inlineStr">
        <is>
          <t>효성</t>
        </is>
      </c>
      <c r="E1404" s="0" t="inlineStr">
        <is>
          <t>1987.02.</t>
        </is>
      </c>
      <c r="F1404" s="0" t="n">
        <v>69</v>
      </c>
      <c r="G1404" s="0" t="n">
        <v>48.67</v>
      </c>
      <c r="H1404" s="0" t="n">
        <v>160.92</v>
      </c>
      <c r="I1404" s="0" t="n">
        <v>46.79</v>
      </c>
      <c r="J1404" s="0" t="n">
        <v>154.68</v>
      </c>
      <c r="K1404" s="0" t="n">
        <v>2</v>
      </c>
      <c r="T1404" s="0" t="n">
        <v>3</v>
      </c>
      <c r="U1404" s="0" t="n">
        <v>2</v>
      </c>
      <c r="V1404" s="0" t="inlineStr">
        <is>
          <t>복도식</t>
        </is>
      </c>
      <c r="W1404" s="0" t="n">
        <v>160</v>
      </c>
      <c r="X1404" s="0" t="n">
        <v>3</v>
      </c>
      <c r="Y1404" s="0" t="n">
        <v>3</v>
      </c>
      <c r="Z1404" s="0" t="inlineStr">
        <is>
          <t>https://new.land.naver.com/complexes/15504?tab=detail&amp;rf=Y</t>
        </is>
      </c>
      <c r="AA1404" s="0" t="inlineStr">
        <is>
          <t>서울시 강동구 상일동 176</t>
        </is>
      </c>
      <c r="AB1404" s="0" t="inlineStr">
        <is>
          <t>서울시</t>
        </is>
      </c>
      <c r="AC1404" s="0" t="inlineStr">
        <is>
          <t>강동구</t>
        </is>
      </c>
      <c r="AD1404" s="0" t="inlineStr">
        <is>
          <t>상일동</t>
        </is>
      </c>
      <c r="AG1404" s="0" t="inlineStr">
        <is>
          <t>서울시 강동구 상암로 343</t>
        </is>
      </c>
      <c r="AH1404" s="0" t="n">
        <v>0</v>
      </c>
      <c r="AI1404" s="0" t="n">
        <v>0</v>
      </c>
      <c r="AJ1404" s="0" t="n">
        <v>0</v>
      </c>
      <c r="AK1404" s="0" t="n">
        <v>0</v>
      </c>
      <c r="AL1404" s="0" t="n">
        <v>0</v>
      </c>
    </row>
    <row r="1405">
      <c r="A1405" s="0" t="inlineStr">
        <is>
          <t>[성내동]</t>
        </is>
      </c>
      <c r="B1405" s="0" t="n">
        <v>120940</v>
      </c>
      <c r="C1405" s="0" t="n">
        <v>1</v>
      </c>
      <c r="D1405" s="0" t="inlineStr">
        <is>
          <t>해인하우스</t>
        </is>
      </c>
      <c r="E1405" s="0" t="inlineStr">
        <is>
          <t>2018.03.</t>
        </is>
      </c>
      <c r="F1405" s="0" t="n">
        <v>20</v>
      </c>
      <c r="G1405" s="0" t="n">
        <v>6.48</v>
      </c>
      <c r="H1405" s="0" t="n">
        <v>21.45</v>
      </c>
      <c r="I1405" s="0" t="n">
        <v>4.75</v>
      </c>
      <c r="J1405" s="0" t="n">
        <v>15.73</v>
      </c>
      <c r="K1405" s="0" t="n">
        <v>5</v>
      </c>
      <c r="T1405" s="0" t="n">
        <v>1</v>
      </c>
      <c r="U1405" s="0" t="n">
        <v>1</v>
      </c>
      <c r="V1405" s="0" t="inlineStr">
        <is>
          <t>계단식</t>
        </is>
      </c>
      <c r="W1405" s="0" t="n">
        <v>21</v>
      </c>
      <c r="X1405" s="0" t="n">
        <v>9</v>
      </c>
      <c r="Y1405" s="0" t="n">
        <v>9</v>
      </c>
      <c r="Z1405" s="0" t="inlineStr">
        <is>
          <t>https://new.land.naver.com/complexes/120940?tab=detail&amp;rf=Y</t>
        </is>
      </c>
      <c r="AA1405" s="0" t="inlineStr">
        <is>
          <t>서울시 강동구 성내동 46-4</t>
        </is>
      </c>
      <c r="AB1405" s="0" t="inlineStr">
        <is>
          <t>서울시</t>
        </is>
      </c>
      <c r="AC1405" s="0" t="inlineStr">
        <is>
          <t>강동구</t>
        </is>
      </c>
      <c r="AD1405" s="0" t="inlineStr">
        <is>
          <t>성내동</t>
        </is>
      </c>
      <c r="AG1405" s="0" t="inlineStr">
        <is>
          <t>서울시 강동구 올림픽로62길 23-7</t>
        </is>
      </c>
      <c r="AH1405" s="0" t="n">
        <v>0</v>
      </c>
      <c r="AI1405" s="0" t="n">
        <v>358</v>
      </c>
      <c r="AJ1405" s="0" t="n">
        <v>59</v>
      </c>
      <c r="AK1405" s="0" t="n">
        <v>10</v>
      </c>
      <c r="AL1405" s="0" t="n">
        <v>0.5</v>
      </c>
    </row>
    <row r="1406">
      <c r="A1406" s="0" t="inlineStr">
        <is>
          <t>[성내동]</t>
        </is>
      </c>
      <c r="B1406" s="0" t="n">
        <v>120940</v>
      </c>
      <c r="C1406" s="0" t="n">
        <v>2</v>
      </c>
      <c r="D1406" s="0" t="inlineStr">
        <is>
          <t>해인하우스</t>
        </is>
      </c>
      <c r="E1406" s="0" t="inlineStr">
        <is>
          <t>2018.03.</t>
        </is>
      </c>
      <c r="F1406" s="0" t="n">
        <v>20</v>
      </c>
      <c r="G1406" s="0" t="n">
        <v>6.51</v>
      </c>
      <c r="H1406" s="0" t="n">
        <v>21.55</v>
      </c>
      <c r="I1406" s="0" t="n">
        <v>4.77</v>
      </c>
      <c r="J1406" s="0" t="n">
        <v>15.8</v>
      </c>
      <c r="K1406" s="0" t="n">
        <v>5</v>
      </c>
      <c r="T1406" s="0" t="n">
        <v>1</v>
      </c>
      <c r="U1406" s="0" t="n">
        <v>1</v>
      </c>
      <c r="V1406" s="0" t="inlineStr">
        <is>
          <t>계단식</t>
        </is>
      </c>
      <c r="W1406" s="0" t="n">
        <v>21</v>
      </c>
      <c r="X1406" s="0" t="n">
        <v>9</v>
      </c>
      <c r="Y1406" s="0" t="n">
        <v>9</v>
      </c>
      <c r="Z1406" s="0" t="inlineStr">
        <is>
          <t>https://new.land.naver.com/complexes/120940?tab=detail&amp;rf=Y</t>
        </is>
      </c>
      <c r="AA1406" s="0" t="inlineStr">
        <is>
          <t>서울시 강동구 성내동 46-4</t>
        </is>
      </c>
      <c r="AB1406" s="0" t="inlineStr">
        <is>
          <t>서울시</t>
        </is>
      </c>
      <c r="AC1406" s="0" t="inlineStr">
        <is>
          <t>강동구</t>
        </is>
      </c>
      <c r="AD1406" s="0" t="inlineStr">
        <is>
          <t>성내동</t>
        </is>
      </c>
      <c r="AG1406" s="0" t="inlineStr">
        <is>
          <t>서울시 강동구 올림픽로62길 23-7</t>
        </is>
      </c>
      <c r="AH1406" s="0" t="n">
        <v>0</v>
      </c>
      <c r="AI1406" s="0" t="n">
        <v>358</v>
      </c>
      <c r="AJ1406" s="0" t="n">
        <v>59</v>
      </c>
      <c r="AK1406" s="0" t="n">
        <v>10</v>
      </c>
      <c r="AL1406" s="0" t="n">
        <v>0.5</v>
      </c>
    </row>
    <row r="1407">
      <c r="A1407" s="0" t="inlineStr">
        <is>
          <t>[성내동]</t>
        </is>
      </c>
      <c r="B1407" s="0" t="n">
        <v>120940</v>
      </c>
      <c r="C1407" s="0" t="n">
        <v>3</v>
      </c>
      <c r="D1407" s="0" t="inlineStr">
        <is>
          <t>해인하우스</t>
        </is>
      </c>
      <c r="E1407" s="0" t="inlineStr">
        <is>
          <t>2018.03.</t>
        </is>
      </c>
      <c r="F1407" s="0" t="n">
        <v>20</v>
      </c>
      <c r="G1407" s="0" t="n">
        <v>9.67</v>
      </c>
      <c r="H1407" s="0" t="n">
        <v>31.98</v>
      </c>
      <c r="I1407" s="0" t="n">
        <v>7.09</v>
      </c>
      <c r="J1407" s="0" t="n">
        <v>23.45</v>
      </c>
      <c r="K1407" s="0" t="n">
        <v>5</v>
      </c>
      <c r="T1407" s="0" t="n">
        <v>1</v>
      </c>
      <c r="U1407" s="0" t="n">
        <v>1</v>
      </c>
      <c r="V1407" s="0" t="inlineStr">
        <is>
          <t>계단식</t>
        </is>
      </c>
      <c r="W1407" s="0" t="inlineStr">
        <is>
          <t>31A</t>
        </is>
      </c>
      <c r="X1407" s="0" t="n">
        <v>9</v>
      </c>
      <c r="Y1407" s="0" t="n">
        <v>9</v>
      </c>
      <c r="Z1407" s="0" t="inlineStr">
        <is>
          <t>https://new.land.naver.com/complexes/120940?tab=detail&amp;rf=Y</t>
        </is>
      </c>
      <c r="AA1407" s="0" t="inlineStr">
        <is>
          <t>서울시 강동구 성내동 46-4</t>
        </is>
      </c>
      <c r="AB1407" s="0" t="inlineStr">
        <is>
          <t>서울시</t>
        </is>
      </c>
      <c r="AC1407" s="0" t="inlineStr">
        <is>
          <t>강동구</t>
        </is>
      </c>
      <c r="AD1407" s="0" t="inlineStr">
        <is>
          <t>성내동</t>
        </is>
      </c>
      <c r="AG1407" s="0" t="inlineStr">
        <is>
          <t>서울시 강동구 올림픽로62길 23-7</t>
        </is>
      </c>
      <c r="AH1407" s="0" t="n">
        <v>0</v>
      </c>
      <c r="AI1407" s="0" t="n">
        <v>358</v>
      </c>
      <c r="AJ1407" s="0" t="n">
        <v>59</v>
      </c>
      <c r="AK1407" s="0" t="n">
        <v>10</v>
      </c>
      <c r="AL1407" s="0" t="n">
        <v>0.5</v>
      </c>
    </row>
    <row r="1408">
      <c r="A1408" s="0" t="inlineStr">
        <is>
          <t>[성내동]</t>
        </is>
      </c>
      <c r="B1408" s="0" t="n">
        <v>120940</v>
      </c>
      <c r="C1408" s="0" t="n">
        <v>4</v>
      </c>
      <c r="D1408" s="0" t="inlineStr">
        <is>
          <t>해인하우스</t>
        </is>
      </c>
      <c r="E1408" s="0" t="inlineStr">
        <is>
          <t>2018.03.</t>
        </is>
      </c>
      <c r="F1408" s="0" t="n">
        <v>20</v>
      </c>
      <c r="G1408" s="0" t="n">
        <v>9.94</v>
      </c>
      <c r="H1408" s="0" t="n">
        <v>32.86</v>
      </c>
      <c r="I1408" s="0" t="n">
        <v>7.28</v>
      </c>
      <c r="J1408" s="0" t="n">
        <v>24.09</v>
      </c>
      <c r="K1408" s="0" t="n">
        <v>5</v>
      </c>
      <c r="T1408" s="0" t="n">
        <v>1</v>
      </c>
      <c r="U1408" s="0" t="n">
        <v>1</v>
      </c>
      <c r="V1408" s="0" t="inlineStr">
        <is>
          <t>계단식</t>
        </is>
      </c>
      <c r="W1408" s="0" t="inlineStr">
        <is>
          <t>32B</t>
        </is>
      </c>
      <c r="X1408" s="0" t="n">
        <v>9</v>
      </c>
      <c r="Y1408" s="0" t="n">
        <v>9</v>
      </c>
      <c r="Z1408" s="0" t="inlineStr">
        <is>
          <t>https://new.land.naver.com/complexes/120940?tab=detail&amp;rf=Y</t>
        </is>
      </c>
      <c r="AA1408" s="0" t="inlineStr">
        <is>
          <t>서울시 강동구 성내동 46-4</t>
        </is>
      </c>
      <c r="AB1408" s="0" t="inlineStr">
        <is>
          <t>서울시</t>
        </is>
      </c>
      <c r="AC1408" s="0" t="inlineStr">
        <is>
          <t>강동구</t>
        </is>
      </c>
      <c r="AD1408" s="0" t="inlineStr">
        <is>
          <t>성내동</t>
        </is>
      </c>
      <c r="AG1408" s="0" t="inlineStr">
        <is>
          <t>서울시 강동구 올림픽로62길 23-7</t>
        </is>
      </c>
      <c r="AH1408" s="0" t="n">
        <v>0</v>
      </c>
      <c r="AI1408" s="0" t="n">
        <v>358</v>
      </c>
      <c r="AJ1408" s="0" t="n">
        <v>59</v>
      </c>
      <c r="AK1408" s="0" t="n">
        <v>10</v>
      </c>
      <c r="AL1408" s="0" t="n">
        <v>0.5</v>
      </c>
    </row>
    <row r="1409">
      <c r="A1409" s="0" t="inlineStr">
        <is>
          <t>[성내동]</t>
        </is>
      </c>
      <c r="B1409" s="0" t="n">
        <v>109968</v>
      </c>
      <c r="C1409" s="0" t="n">
        <v>1</v>
      </c>
      <c r="D1409" s="0" t="inlineStr">
        <is>
          <t>동아3차</t>
        </is>
      </c>
      <c r="E1409" s="0" t="inlineStr">
        <is>
          <t>1995.05.</t>
        </is>
      </c>
      <c r="F1409" s="0" t="n">
        <v>8</v>
      </c>
      <c r="G1409" s="0" t="n">
        <v>30.71</v>
      </c>
      <c r="H1409" s="0" t="n">
        <v>101.53</v>
      </c>
      <c r="I1409" s="0" t="n">
        <v>25.24</v>
      </c>
      <c r="J1409" s="0" t="n">
        <v>83.45999999999999</v>
      </c>
      <c r="K1409" s="0" t="n">
        <v>8</v>
      </c>
      <c r="T1409" s="0" t="n">
        <v>3</v>
      </c>
      <c r="U1409" s="0" t="n">
        <v>2</v>
      </c>
      <c r="V1409" s="0" t="inlineStr">
        <is>
          <t>계단식</t>
        </is>
      </c>
      <c r="W1409" s="0" t="n">
        <v>101</v>
      </c>
      <c r="X1409" s="0" t="n">
        <v>6</v>
      </c>
      <c r="Y1409" s="0" t="n">
        <v>6</v>
      </c>
      <c r="Z1409" s="0" t="inlineStr">
        <is>
          <t>https://new.land.naver.com/complexes/109968?tab=detail&amp;rf=Y</t>
        </is>
      </c>
      <c r="AA1409" s="0" t="inlineStr">
        <is>
          <t>서울시 강동구 성내동 419-26</t>
        </is>
      </c>
      <c r="AB1409" s="0" t="inlineStr">
        <is>
          <t>서울시</t>
        </is>
      </c>
      <c r="AC1409" s="0" t="inlineStr">
        <is>
          <t>강동구</t>
        </is>
      </c>
      <c r="AD1409" s="0" t="inlineStr">
        <is>
          <t>성내동</t>
        </is>
      </c>
      <c r="AG1409" s="0" t="inlineStr">
        <is>
          <t>서울시 강동구 양재대로91길 50</t>
        </is>
      </c>
      <c r="AH1409" s="0" t="n">
        <v>0</v>
      </c>
      <c r="AI1409" s="0" t="n">
        <v>204</v>
      </c>
      <c r="AJ1409" s="0" t="n">
        <v>49</v>
      </c>
      <c r="AK1409" s="0" t="n">
        <v>6</v>
      </c>
      <c r="AL1409" s="0" t="n">
        <v>0.75</v>
      </c>
    </row>
    <row r="1410">
      <c r="A1410" s="0" t="inlineStr">
        <is>
          <t>[성내동]</t>
        </is>
      </c>
      <c r="B1410" s="0" t="n">
        <v>109217</v>
      </c>
      <c r="C1410" s="0" t="n">
        <v>1</v>
      </c>
      <c r="D1410" s="0" t="inlineStr">
        <is>
          <t>성내올림픽파크한양수자인</t>
        </is>
      </c>
      <c r="E1410" s="0" t="inlineStr">
        <is>
          <t>2016.08.</t>
        </is>
      </c>
      <c r="F1410" s="0" t="n">
        <v>482</v>
      </c>
      <c r="G1410" s="0" t="n">
        <v>25.1</v>
      </c>
      <c r="H1410" s="0" t="n">
        <v>83</v>
      </c>
      <c r="I1410" s="0" t="n">
        <v>18.01</v>
      </c>
      <c r="J1410" s="0" t="n">
        <v>59.55</v>
      </c>
      <c r="K1410" s="0" t="n">
        <v>147</v>
      </c>
      <c r="T1410" s="0" t="n">
        <v>3</v>
      </c>
      <c r="U1410" s="0" t="n">
        <v>2</v>
      </c>
      <c r="V1410" s="0" t="inlineStr">
        <is>
          <t>계단식</t>
        </is>
      </c>
      <c r="W1410" s="0" t="n">
        <v>83</v>
      </c>
      <c r="X1410" s="0" t="n">
        <v>24</v>
      </c>
      <c r="Y1410" s="0" t="n">
        <v>17</v>
      </c>
      <c r="Z1410" s="0" t="inlineStr">
        <is>
          <t>https://new.land.naver.com/complexes/109217?tab=detail&amp;rf=Y</t>
        </is>
      </c>
      <c r="AA1410" s="0" t="inlineStr">
        <is>
          <t>서울시 강동구 성내동 606</t>
        </is>
      </c>
      <c r="AB1410" s="0" t="inlineStr">
        <is>
          <t>서울시</t>
        </is>
      </c>
      <c r="AC1410" s="0" t="inlineStr">
        <is>
          <t>강동구</t>
        </is>
      </c>
      <c r="AD1410" s="0" t="inlineStr">
        <is>
          <t>성내동</t>
        </is>
      </c>
      <c r="AG1410" s="0" t="inlineStr">
        <is>
          <t>서울시 강동구 성내로 80</t>
        </is>
      </c>
      <c r="AH1410" s="0" t="n">
        <v>43</v>
      </c>
      <c r="AI1410" s="0" t="n">
        <v>291</v>
      </c>
      <c r="AJ1410" s="0" t="n">
        <v>26</v>
      </c>
      <c r="AK1410" s="0" t="n">
        <v>583</v>
      </c>
      <c r="AL1410" s="0" t="n">
        <v>1.21</v>
      </c>
    </row>
    <row r="1411">
      <c r="A1411" s="0" t="inlineStr">
        <is>
          <t>[성내동]</t>
        </is>
      </c>
      <c r="B1411" s="0" t="n">
        <v>109217</v>
      </c>
      <c r="C1411" s="0" t="n">
        <v>2</v>
      </c>
      <c r="D1411" s="0" t="inlineStr">
        <is>
          <t>성내올림픽파크한양수자인</t>
        </is>
      </c>
      <c r="E1411" s="0" t="inlineStr">
        <is>
          <t>2016.08.</t>
        </is>
      </c>
      <c r="F1411" s="0" t="n">
        <v>482</v>
      </c>
      <c r="G1411" s="0" t="n">
        <v>32.72</v>
      </c>
      <c r="H1411" s="0" t="n">
        <v>108.19</v>
      </c>
      <c r="I1411" s="0" t="n">
        <v>25.67</v>
      </c>
      <c r="J1411" s="0" t="n">
        <v>84.88</v>
      </c>
      <c r="K1411" s="0" t="n">
        <v>124</v>
      </c>
      <c r="T1411" s="0" t="n">
        <v>3</v>
      </c>
      <c r="U1411" s="0" t="n">
        <v>2</v>
      </c>
      <c r="V1411" s="0" t="inlineStr">
        <is>
          <t>계단식</t>
        </is>
      </c>
      <c r="W1411" s="0" t="n">
        <v>108</v>
      </c>
      <c r="X1411" s="0" t="n">
        <v>24</v>
      </c>
      <c r="Y1411" s="0" t="n">
        <v>17</v>
      </c>
      <c r="Z1411" s="0" t="inlineStr">
        <is>
          <t>https://new.land.naver.com/complexes/109217?tab=detail&amp;rf=Y</t>
        </is>
      </c>
      <c r="AA1411" s="0" t="inlineStr">
        <is>
          <t>서울시 강동구 성내동 606</t>
        </is>
      </c>
      <c r="AB1411" s="0" t="inlineStr">
        <is>
          <t>서울시</t>
        </is>
      </c>
      <c r="AC1411" s="0" t="inlineStr">
        <is>
          <t>강동구</t>
        </is>
      </c>
      <c r="AD1411" s="0" t="inlineStr">
        <is>
          <t>성내동</t>
        </is>
      </c>
      <c r="AG1411" s="0" t="inlineStr">
        <is>
          <t>서울시 강동구 성내로 80</t>
        </is>
      </c>
      <c r="AH1411" s="0" t="n">
        <v>43</v>
      </c>
      <c r="AI1411" s="0" t="n">
        <v>291</v>
      </c>
      <c r="AJ1411" s="0" t="n">
        <v>26</v>
      </c>
      <c r="AK1411" s="0" t="n">
        <v>583</v>
      </c>
      <c r="AL1411" s="0" t="n">
        <v>1.21</v>
      </c>
    </row>
    <row r="1412">
      <c r="A1412" s="0" t="inlineStr">
        <is>
          <t>[성내동]</t>
        </is>
      </c>
      <c r="B1412" s="0" t="n">
        <v>109217</v>
      </c>
      <c r="C1412" s="0" t="n">
        <v>3</v>
      </c>
      <c r="D1412" s="0" t="inlineStr">
        <is>
          <t>성내올림픽파크한양수자인</t>
        </is>
      </c>
      <c r="E1412" s="0" t="inlineStr">
        <is>
          <t>2016.08.</t>
        </is>
      </c>
      <c r="F1412" s="0" t="n">
        <v>482</v>
      </c>
      <c r="G1412" s="0" t="n">
        <v>32.91</v>
      </c>
      <c r="H1412" s="0" t="n">
        <v>108.81</v>
      </c>
      <c r="I1412" s="0" t="n">
        <v>25.68</v>
      </c>
      <c r="J1412" s="0" t="n">
        <v>84.92</v>
      </c>
      <c r="K1412" s="0" t="n">
        <v>86</v>
      </c>
      <c r="T1412" s="0" t="n">
        <v>3</v>
      </c>
      <c r="U1412" s="0" t="n">
        <v>2</v>
      </c>
      <c r="V1412" s="0" t="inlineStr">
        <is>
          <t>계단식</t>
        </is>
      </c>
      <c r="W1412" s="0" t="inlineStr">
        <is>
          <t>108A</t>
        </is>
      </c>
      <c r="X1412" s="0" t="n">
        <v>24</v>
      </c>
      <c r="Y1412" s="0" t="n">
        <v>17</v>
      </c>
      <c r="Z1412" s="0" t="inlineStr">
        <is>
          <t>https://new.land.naver.com/complexes/109217?tab=detail&amp;rf=Y</t>
        </is>
      </c>
      <c r="AA1412" s="0" t="inlineStr">
        <is>
          <t>서울시 강동구 성내동 606</t>
        </is>
      </c>
      <c r="AB1412" s="0" t="inlineStr">
        <is>
          <t>서울시</t>
        </is>
      </c>
      <c r="AC1412" s="0" t="inlineStr">
        <is>
          <t>강동구</t>
        </is>
      </c>
      <c r="AD1412" s="0" t="inlineStr">
        <is>
          <t>성내동</t>
        </is>
      </c>
      <c r="AG1412" s="0" t="inlineStr">
        <is>
          <t>서울시 강동구 성내로 80</t>
        </is>
      </c>
      <c r="AH1412" s="0" t="n">
        <v>43</v>
      </c>
      <c r="AI1412" s="0" t="n">
        <v>291</v>
      </c>
      <c r="AJ1412" s="0" t="n">
        <v>26</v>
      </c>
      <c r="AK1412" s="0" t="n">
        <v>583</v>
      </c>
      <c r="AL1412" s="0" t="n">
        <v>1.21</v>
      </c>
    </row>
    <row r="1413">
      <c r="A1413" s="0" t="inlineStr">
        <is>
          <t>[성내동]</t>
        </is>
      </c>
      <c r="B1413" s="0" t="n">
        <v>109217</v>
      </c>
      <c r="C1413" s="0" t="n">
        <v>4</v>
      </c>
      <c r="D1413" s="0" t="inlineStr">
        <is>
          <t>성내올림픽파크한양수자인</t>
        </is>
      </c>
      <c r="E1413" s="0" t="inlineStr">
        <is>
          <t>2016.08.</t>
        </is>
      </c>
      <c r="F1413" s="0" t="n">
        <v>482</v>
      </c>
      <c r="G1413" s="0" t="n">
        <v>42.65</v>
      </c>
      <c r="H1413" s="0" t="n">
        <v>141</v>
      </c>
      <c r="I1413" s="0" t="n">
        <v>35.05</v>
      </c>
      <c r="J1413" s="0" t="n">
        <v>115.88</v>
      </c>
      <c r="K1413" s="0" t="n">
        <v>82</v>
      </c>
      <c r="T1413" s="0" t="n">
        <v>4</v>
      </c>
      <c r="U1413" s="0" t="n">
        <v>2</v>
      </c>
      <c r="V1413" s="0" t="inlineStr">
        <is>
          <t>계단식</t>
        </is>
      </c>
      <c r="W1413" s="0" t="n">
        <v>141</v>
      </c>
      <c r="X1413" s="0" t="n">
        <v>24</v>
      </c>
      <c r="Y1413" s="0" t="n">
        <v>17</v>
      </c>
      <c r="Z1413" s="0" t="inlineStr">
        <is>
          <t>https://new.land.naver.com/complexes/109217?tab=detail&amp;rf=Y</t>
        </is>
      </c>
      <c r="AA1413" s="0" t="inlineStr">
        <is>
          <t>서울시 강동구 성내동 606</t>
        </is>
      </c>
      <c r="AB1413" s="0" t="inlineStr">
        <is>
          <t>서울시</t>
        </is>
      </c>
      <c r="AC1413" s="0" t="inlineStr">
        <is>
          <t>강동구</t>
        </is>
      </c>
      <c r="AD1413" s="0" t="inlineStr">
        <is>
          <t>성내동</t>
        </is>
      </c>
      <c r="AG1413" s="0" t="inlineStr">
        <is>
          <t>서울시 강동구 성내로 80</t>
        </is>
      </c>
      <c r="AH1413" s="0" t="n">
        <v>43</v>
      </c>
      <c r="AI1413" s="0" t="n">
        <v>291</v>
      </c>
      <c r="AJ1413" s="0" t="n">
        <v>26</v>
      </c>
      <c r="AK1413" s="0" t="n">
        <v>583</v>
      </c>
      <c r="AL1413" s="0" t="n">
        <v>1.21</v>
      </c>
    </row>
    <row r="1414">
      <c r="A1414" s="0" t="inlineStr">
        <is>
          <t>[성내동]</t>
        </is>
      </c>
      <c r="B1414" s="0" t="n">
        <v>22624</v>
      </c>
      <c r="C1414" s="0" t="n">
        <v>1</v>
      </c>
      <c r="D1414" s="0" t="inlineStr">
        <is>
          <t>CJ나인파크</t>
        </is>
      </c>
      <c r="E1414" s="0" t="inlineStr">
        <is>
          <t>2006.05.</t>
        </is>
      </c>
      <c r="F1414" s="0" t="n">
        <v>60</v>
      </c>
      <c r="G1414" s="0" t="n">
        <v>31.55</v>
      </c>
      <c r="H1414" s="0" t="n">
        <v>104.3</v>
      </c>
      <c r="I1414" s="0" t="n">
        <v>25.14</v>
      </c>
      <c r="J1414" s="0" t="n">
        <v>83.14</v>
      </c>
      <c r="K1414" s="0" t="n">
        <v>12</v>
      </c>
      <c r="T1414" s="0" t="n">
        <v>3</v>
      </c>
      <c r="U1414" s="0" t="n">
        <v>2</v>
      </c>
      <c r="V1414" s="0" t="inlineStr">
        <is>
          <t>계단식</t>
        </is>
      </c>
      <c r="W1414" s="0" t="inlineStr">
        <is>
          <t>104A</t>
        </is>
      </c>
      <c r="X1414" s="0" t="n">
        <v>15</v>
      </c>
      <c r="Y1414" s="0" t="n">
        <v>15</v>
      </c>
      <c r="Z1414" s="0" t="inlineStr">
        <is>
          <t>https://new.land.naver.com/complexes/22624?tab=detail&amp;rf=Y</t>
        </is>
      </c>
      <c r="AA1414" s="0" t="inlineStr">
        <is>
          <t>서울시 강동구 성내동 164-1</t>
        </is>
      </c>
      <c r="AB1414" s="0" t="inlineStr">
        <is>
          <t>서울시</t>
        </is>
      </c>
      <c r="AC1414" s="0" t="inlineStr">
        <is>
          <t>강동구</t>
        </is>
      </c>
      <c r="AD1414" s="0" t="inlineStr">
        <is>
          <t>성내동</t>
        </is>
      </c>
      <c r="AG1414" s="0" t="inlineStr">
        <is>
          <t>서울시 강동구 천호대로 1078</t>
        </is>
      </c>
      <c r="AH1414" s="0" t="n">
        <v>0</v>
      </c>
      <c r="AI1414" s="0" t="n">
        <v>480</v>
      </c>
      <c r="AJ1414" s="0" t="n">
        <v>49</v>
      </c>
      <c r="AK1414" s="0" t="n">
        <v>90</v>
      </c>
      <c r="AL1414" s="0" t="n">
        <v>1.5</v>
      </c>
    </row>
    <row r="1415">
      <c r="A1415" s="0" t="inlineStr">
        <is>
          <t>[성내동]</t>
        </is>
      </c>
      <c r="B1415" s="0" t="n">
        <v>22624</v>
      </c>
      <c r="C1415" s="0" t="n">
        <v>2</v>
      </c>
      <c r="D1415" s="0" t="inlineStr">
        <is>
          <t>CJ나인파크</t>
        </is>
      </c>
      <c r="E1415" s="0" t="inlineStr">
        <is>
          <t>2006.05.</t>
        </is>
      </c>
      <c r="F1415" s="0" t="n">
        <v>60</v>
      </c>
      <c r="G1415" s="0" t="n">
        <v>31.72</v>
      </c>
      <c r="H1415" s="0" t="n">
        <v>104.86</v>
      </c>
      <c r="I1415" s="0" t="n">
        <v>25.28</v>
      </c>
      <c r="J1415" s="0" t="n">
        <v>83.59</v>
      </c>
      <c r="K1415" s="0" t="n">
        <v>12</v>
      </c>
      <c r="T1415" s="0" t="n">
        <v>3</v>
      </c>
      <c r="U1415" s="0" t="n">
        <v>2</v>
      </c>
      <c r="V1415" s="0" t="inlineStr">
        <is>
          <t>계단식</t>
        </is>
      </c>
      <c r="W1415" s="0" t="inlineStr">
        <is>
          <t>104B</t>
        </is>
      </c>
      <c r="X1415" s="0" t="n">
        <v>15</v>
      </c>
      <c r="Y1415" s="0" t="n">
        <v>15</v>
      </c>
      <c r="Z1415" s="0" t="inlineStr">
        <is>
          <t>https://new.land.naver.com/complexes/22624?tab=detail&amp;rf=Y</t>
        </is>
      </c>
      <c r="AA1415" s="0" t="inlineStr">
        <is>
          <t>서울시 강동구 성내동 164-1</t>
        </is>
      </c>
      <c r="AB1415" s="0" t="inlineStr">
        <is>
          <t>서울시</t>
        </is>
      </c>
      <c r="AC1415" s="0" t="inlineStr">
        <is>
          <t>강동구</t>
        </is>
      </c>
      <c r="AD1415" s="0" t="inlineStr">
        <is>
          <t>성내동</t>
        </is>
      </c>
      <c r="AG1415" s="0" t="inlineStr">
        <is>
          <t>서울시 강동구 천호대로 1078</t>
        </is>
      </c>
      <c r="AH1415" s="0" t="n">
        <v>0</v>
      </c>
      <c r="AI1415" s="0" t="n">
        <v>480</v>
      </c>
      <c r="AJ1415" s="0" t="n">
        <v>49</v>
      </c>
      <c r="AK1415" s="0" t="n">
        <v>90</v>
      </c>
      <c r="AL1415" s="0" t="n">
        <v>1.5</v>
      </c>
    </row>
    <row r="1416">
      <c r="A1416" s="0" t="inlineStr">
        <is>
          <t>[성내동]</t>
        </is>
      </c>
      <c r="B1416" s="0" t="n">
        <v>22624</v>
      </c>
      <c r="C1416" s="0" t="n">
        <v>3</v>
      </c>
      <c r="D1416" s="0" t="inlineStr">
        <is>
          <t>CJ나인파크</t>
        </is>
      </c>
      <c r="E1416" s="0" t="inlineStr">
        <is>
          <t>2006.05.</t>
        </is>
      </c>
      <c r="F1416" s="0" t="n">
        <v>60</v>
      </c>
      <c r="G1416" s="0" t="n">
        <v>31.82</v>
      </c>
      <c r="H1416" s="0" t="n">
        <v>105.22</v>
      </c>
      <c r="I1416" s="0" t="n">
        <v>25.37</v>
      </c>
      <c r="J1416" s="0" t="n">
        <v>83.87</v>
      </c>
      <c r="K1416" s="0" t="n">
        <v>12</v>
      </c>
      <c r="T1416" s="0" t="n">
        <v>3</v>
      </c>
      <c r="U1416" s="0" t="n">
        <v>2</v>
      </c>
      <c r="V1416" s="0" t="inlineStr">
        <is>
          <t>계단식</t>
        </is>
      </c>
      <c r="W1416" s="0" t="inlineStr">
        <is>
          <t>105C</t>
        </is>
      </c>
      <c r="X1416" s="0" t="n">
        <v>15</v>
      </c>
      <c r="Y1416" s="0" t="n">
        <v>15</v>
      </c>
      <c r="Z1416" s="0" t="inlineStr">
        <is>
          <t>https://new.land.naver.com/complexes/22624?tab=detail&amp;rf=Y</t>
        </is>
      </c>
      <c r="AA1416" s="0" t="inlineStr">
        <is>
          <t>서울시 강동구 성내동 164-1</t>
        </is>
      </c>
      <c r="AB1416" s="0" t="inlineStr">
        <is>
          <t>서울시</t>
        </is>
      </c>
      <c r="AC1416" s="0" t="inlineStr">
        <is>
          <t>강동구</t>
        </is>
      </c>
      <c r="AD1416" s="0" t="inlineStr">
        <is>
          <t>성내동</t>
        </is>
      </c>
      <c r="AG1416" s="0" t="inlineStr">
        <is>
          <t>서울시 강동구 천호대로 1078</t>
        </is>
      </c>
      <c r="AH1416" s="0" t="n">
        <v>0</v>
      </c>
      <c r="AI1416" s="0" t="n">
        <v>480</v>
      </c>
      <c r="AJ1416" s="0" t="n">
        <v>49</v>
      </c>
      <c r="AK1416" s="0" t="n">
        <v>90</v>
      </c>
      <c r="AL1416" s="0" t="n">
        <v>1.5</v>
      </c>
    </row>
    <row r="1417">
      <c r="A1417" s="0" t="inlineStr">
        <is>
          <t>[성내동]</t>
        </is>
      </c>
      <c r="B1417" s="0" t="n">
        <v>22624</v>
      </c>
      <c r="C1417" s="0" t="n">
        <v>4</v>
      </c>
      <c r="D1417" s="0" t="inlineStr">
        <is>
          <t>CJ나인파크</t>
        </is>
      </c>
      <c r="E1417" s="0" t="inlineStr">
        <is>
          <t>2006.05.</t>
        </is>
      </c>
      <c r="F1417" s="0" t="n">
        <v>60</v>
      </c>
      <c r="G1417" s="0" t="n">
        <v>32.03</v>
      </c>
      <c r="H1417" s="0" t="n">
        <v>105.91</v>
      </c>
      <c r="I1417" s="0" t="n">
        <v>25.53</v>
      </c>
      <c r="J1417" s="0" t="n">
        <v>84.42</v>
      </c>
      <c r="K1417" s="0" t="n">
        <v>12</v>
      </c>
      <c r="T1417" s="0" t="n">
        <v>3</v>
      </c>
      <c r="U1417" s="0" t="n">
        <v>2</v>
      </c>
      <c r="V1417" s="0" t="inlineStr">
        <is>
          <t>계단식</t>
        </is>
      </c>
      <c r="W1417" s="0" t="inlineStr">
        <is>
          <t>105D</t>
        </is>
      </c>
      <c r="X1417" s="0" t="n">
        <v>15</v>
      </c>
      <c r="Y1417" s="0" t="n">
        <v>15</v>
      </c>
      <c r="Z1417" s="0" t="inlineStr">
        <is>
          <t>https://new.land.naver.com/complexes/22624?tab=detail&amp;rf=Y</t>
        </is>
      </c>
      <c r="AA1417" s="0" t="inlineStr">
        <is>
          <t>서울시 강동구 성내동 164-1</t>
        </is>
      </c>
      <c r="AB1417" s="0" t="inlineStr">
        <is>
          <t>서울시</t>
        </is>
      </c>
      <c r="AC1417" s="0" t="inlineStr">
        <is>
          <t>강동구</t>
        </is>
      </c>
      <c r="AD1417" s="0" t="inlineStr">
        <is>
          <t>성내동</t>
        </is>
      </c>
      <c r="AG1417" s="0" t="inlineStr">
        <is>
          <t>서울시 강동구 천호대로 1078</t>
        </is>
      </c>
      <c r="AH1417" s="0" t="n">
        <v>0</v>
      </c>
      <c r="AI1417" s="0" t="n">
        <v>480</v>
      </c>
      <c r="AJ1417" s="0" t="n">
        <v>49</v>
      </c>
      <c r="AK1417" s="0" t="n">
        <v>90</v>
      </c>
      <c r="AL1417" s="0" t="n">
        <v>1.5</v>
      </c>
    </row>
    <row r="1418">
      <c r="A1418" s="0" t="inlineStr">
        <is>
          <t>[성내동]</t>
        </is>
      </c>
      <c r="B1418" s="0" t="n">
        <v>22624</v>
      </c>
      <c r="C1418" s="0" t="n">
        <v>5</v>
      </c>
      <c r="D1418" s="0" t="inlineStr">
        <is>
          <t>CJ나인파크</t>
        </is>
      </c>
      <c r="E1418" s="0" t="inlineStr">
        <is>
          <t>2006.05.</t>
        </is>
      </c>
      <c r="F1418" s="0" t="n">
        <v>60</v>
      </c>
      <c r="G1418" s="0" t="n">
        <v>32.17</v>
      </c>
      <c r="H1418" s="0" t="n">
        <v>106.37</v>
      </c>
      <c r="I1418" s="0" t="n">
        <v>25.64</v>
      </c>
      <c r="J1418" s="0" t="n">
        <v>84.79000000000001</v>
      </c>
      <c r="K1418" s="0" t="n">
        <v>12</v>
      </c>
      <c r="T1418" s="0" t="n">
        <v>3</v>
      </c>
      <c r="U1418" s="0" t="n">
        <v>2</v>
      </c>
      <c r="V1418" s="0" t="inlineStr">
        <is>
          <t>계단식</t>
        </is>
      </c>
      <c r="W1418" s="0" t="inlineStr">
        <is>
          <t>106E</t>
        </is>
      </c>
      <c r="X1418" s="0" t="n">
        <v>15</v>
      </c>
      <c r="Y1418" s="0" t="n">
        <v>15</v>
      </c>
      <c r="Z1418" s="0" t="inlineStr">
        <is>
          <t>https://new.land.naver.com/complexes/22624?tab=detail&amp;rf=Y</t>
        </is>
      </c>
      <c r="AA1418" s="0" t="inlineStr">
        <is>
          <t>서울시 강동구 성내동 164-1</t>
        </is>
      </c>
      <c r="AB1418" s="0" t="inlineStr">
        <is>
          <t>서울시</t>
        </is>
      </c>
      <c r="AC1418" s="0" t="inlineStr">
        <is>
          <t>강동구</t>
        </is>
      </c>
      <c r="AD1418" s="0" t="inlineStr">
        <is>
          <t>성내동</t>
        </is>
      </c>
      <c r="AG1418" s="0" t="inlineStr">
        <is>
          <t>서울시 강동구 천호대로 1078</t>
        </is>
      </c>
      <c r="AH1418" s="0" t="n">
        <v>0</v>
      </c>
      <c r="AI1418" s="0" t="n">
        <v>480</v>
      </c>
      <c r="AJ1418" s="0" t="n">
        <v>49</v>
      </c>
      <c r="AK1418" s="0" t="n">
        <v>90</v>
      </c>
      <c r="AL1418" s="0" t="n">
        <v>1.5</v>
      </c>
    </row>
    <row r="1419">
      <c r="A1419" s="0" t="inlineStr">
        <is>
          <t>[성내동]</t>
        </is>
      </c>
      <c r="B1419" s="0" t="n">
        <v>139902</v>
      </c>
      <c r="C1419" s="0" t="n">
        <v>1</v>
      </c>
      <c r="D1419" s="0" t="inlineStr">
        <is>
          <t>세명</t>
        </is>
      </c>
      <c r="E1419" s="0" t="inlineStr">
        <is>
          <t>2021.02.</t>
        </is>
      </c>
      <c r="F1419" s="0" t="n">
        <v>29</v>
      </c>
      <c r="G1419" s="0" t="n">
        <v>11.38</v>
      </c>
      <c r="H1419" s="0" t="n">
        <v>37.63</v>
      </c>
      <c r="I1419" s="0" t="n">
        <v>8.99</v>
      </c>
      <c r="J1419" s="0" t="n">
        <v>29.73</v>
      </c>
      <c r="K1419" s="0" t="n">
        <v>1</v>
      </c>
      <c r="T1419" s="0" t="n">
        <v>1</v>
      </c>
      <c r="U1419" s="0" t="n">
        <v>1</v>
      </c>
      <c r="V1419" s="0" t="inlineStr">
        <is>
          <t>계단식</t>
        </is>
      </c>
      <c r="W1419" s="0" t="n">
        <v>37</v>
      </c>
      <c r="X1419" s="0" t="n">
        <v>7</v>
      </c>
      <c r="Y1419" s="0" t="n">
        <v>6</v>
      </c>
      <c r="Z1419" s="0" t="inlineStr">
        <is>
          <t>https://new.land.naver.com/complexes/139902?tab=detail&amp;rf=Y</t>
        </is>
      </c>
      <c r="AA1419" s="0" t="inlineStr">
        <is>
          <t>서울시 강동구 성내동 409-1</t>
        </is>
      </c>
      <c r="AB1419" s="0" t="inlineStr">
        <is>
          <t>서울시</t>
        </is>
      </c>
      <c r="AC1419" s="0" t="inlineStr">
        <is>
          <t>강동구</t>
        </is>
      </c>
      <c r="AD1419" s="0" t="inlineStr">
        <is>
          <t>성내동</t>
        </is>
      </c>
      <c r="AG1419" s="0" t="inlineStr">
        <is>
          <t>서울시 강동구 성안로 84</t>
        </is>
      </c>
      <c r="AH1419" s="0" t="n">
        <v>0</v>
      </c>
      <c r="AI1419" s="0" t="n">
        <v>199</v>
      </c>
      <c r="AJ1419" s="0" t="n">
        <v>45</v>
      </c>
      <c r="AK1419" s="0" t="n">
        <v>23</v>
      </c>
      <c r="AL1419" s="0" t="n">
        <v>0.79</v>
      </c>
    </row>
    <row r="1420">
      <c r="A1420" s="0" t="inlineStr">
        <is>
          <t>[성내동]</t>
        </is>
      </c>
      <c r="B1420" s="0" t="n">
        <v>139902</v>
      </c>
      <c r="C1420" s="0" t="n">
        <v>2</v>
      </c>
      <c r="D1420" s="0" t="inlineStr">
        <is>
          <t>세명</t>
        </is>
      </c>
      <c r="E1420" s="0" t="inlineStr">
        <is>
          <t>2021.02.</t>
        </is>
      </c>
      <c r="F1420" s="0" t="n">
        <v>29</v>
      </c>
      <c r="G1420" s="0" t="n">
        <v>15.86</v>
      </c>
      <c r="H1420" s="0" t="n">
        <v>52.44</v>
      </c>
      <c r="I1420" s="0" t="n">
        <v>12.88</v>
      </c>
      <c r="J1420" s="0" t="n">
        <v>42.61</v>
      </c>
      <c r="K1420" s="0" t="n">
        <v>1</v>
      </c>
      <c r="T1420" s="0" t="n">
        <v>2</v>
      </c>
      <c r="U1420" s="0" t="n">
        <v>1</v>
      </c>
      <c r="V1420" s="0" t="inlineStr">
        <is>
          <t>계단식</t>
        </is>
      </c>
      <c r="W1420" s="0" t="inlineStr">
        <is>
          <t>52A</t>
        </is>
      </c>
      <c r="X1420" s="0" t="n">
        <v>7</v>
      </c>
      <c r="Y1420" s="0" t="n">
        <v>6</v>
      </c>
      <c r="Z1420" s="0" t="inlineStr">
        <is>
          <t>https://new.land.naver.com/complexes/139902?tab=detail&amp;rf=Y</t>
        </is>
      </c>
      <c r="AA1420" s="0" t="inlineStr">
        <is>
          <t>서울시 강동구 성내동 409-1</t>
        </is>
      </c>
      <c r="AB1420" s="0" t="inlineStr">
        <is>
          <t>서울시</t>
        </is>
      </c>
      <c r="AC1420" s="0" t="inlineStr">
        <is>
          <t>강동구</t>
        </is>
      </c>
      <c r="AD1420" s="0" t="inlineStr">
        <is>
          <t>성내동</t>
        </is>
      </c>
      <c r="AG1420" s="0" t="inlineStr">
        <is>
          <t>서울시 강동구 성안로 84</t>
        </is>
      </c>
      <c r="AH1420" s="0" t="n">
        <v>0</v>
      </c>
      <c r="AI1420" s="0" t="n">
        <v>199</v>
      </c>
      <c r="AJ1420" s="0" t="n">
        <v>45</v>
      </c>
      <c r="AK1420" s="0" t="n">
        <v>23</v>
      </c>
      <c r="AL1420" s="0" t="n">
        <v>0.79</v>
      </c>
    </row>
    <row r="1421">
      <c r="A1421" s="0" t="inlineStr">
        <is>
          <t>[성내동]</t>
        </is>
      </c>
      <c r="B1421" s="0" t="n">
        <v>139902</v>
      </c>
      <c r="C1421" s="0" t="n">
        <v>3</v>
      </c>
      <c r="D1421" s="0" t="inlineStr">
        <is>
          <t>세명</t>
        </is>
      </c>
      <c r="E1421" s="0" t="inlineStr">
        <is>
          <t>2021.02.</t>
        </is>
      </c>
      <c r="F1421" s="0" t="n">
        <v>29</v>
      </c>
      <c r="G1421" s="0" t="n">
        <v>16.06</v>
      </c>
      <c r="H1421" s="0" t="n">
        <v>53.11</v>
      </c>
      <c r="I1421" s="0" t="n">
        <v>13.08</v>
      </c>
      <c r="J1421" s="0" t="n">
        <v>43.24</v>
      </c>
      <c r="K1421" s="0" t="n">
        <v>1</v>
      </c>
      <c r="T1421" s="0" t="n">
        <v>2</v>
      </c>
      <c r="U1421" s="0" t="n">
        <v>1</v>
      </c>
      <c r="V1421" s="0" t="inlineStr">
        <is>
          <t>계단식</t>
        </is>
      </c>
      <c r="W1421" s="0" t="inlineStr">
        <is>
          <t>53B</t>
        </is>
      </c>
      <c r="X1421" s="0" t="n">
        <v>7</v>
      </c>
      <c r="Y1421" s="0" t="n">
        <v>6</v>
      </c>
      <c r="Z1421" s="0" t="inlineStr">
        <is>
          <t>https://new.land.naver.com/complexes/139902?tab=detail&amp;rf=Y</t>
        </is>
      </c>
      <c r="AA1421" s="0" t="inlineStr">
        <is>
          <t>서울시 강동구 성내동 409-1</t>
        </is>
      </c>
      <c r="AB1421" s="0" t="inlineStr">
        <is>
          <t>서울시</t>
        </is>
      </c>
      <c r="AC1421" s="0" t="inlineStr">
        <is>
          <t>강동구</t>
        </is>
      </c>
      <c r="AD1421" s="0" t="inlineStr">
        <is>
          <t>성내동</t>
        </is>
      </c>
      <c r="AG1421" s="0" t="inlineStr">
        <is>
          <t>서울시 강동구 성안로 84</t>
        </is>
      </c>
      <c r="AH1421" s="0" t="n">
        <v>0</v>
      </c>
      <c r="AI1421" s="0" t="n">
        <v>199</v>
      </c>
      <c r="AJ1421" s="0" t="n">
        <v>45</v>
      </c>
      <c r="AK1421" s="0" t="n">
        <v>23</v>
      </c>
      <c r="AL1421" s="0" t="n">
        <v>0.79</v>
      </c>
    </row>
    <row r="1422">
      <c r="A1422" s="0" t="inlineStr">
        <is>
          <t>[성내동]</t>
        </is>
      </c>
      <c r="B1422" s="0" t="n">
        <v>139902</v>
      </c>
      <c r="C1422" s="0" t="n">
        <v>4</v>
      </c>
      <c r="D1422" s="0" t="inlineStr">
        <is>
          <t>세명</t>
        </is>
      </c>
      <c r="E1422" s="0" t="inlineStr">
        <is>
          <t>2021.02.</t>
        </is>
      </c>
      <c r="F1422" s="0" t="n">
        <v>29</v>
      </c>
      <c r="G1422" s="0" t="n">
        <v>16.84</v>
      </c>
      <c r="H1422" s="0" t="n">
        <v>55.67</v>
      </c>
      <c r="I1422" s="0" t="n">
        <v>13.87</v>
      </c>
      <c r="J1422" s="0" t="n">
        <v>45.88</v>
      </c>
      <c r="K1422" s="0" t="n">
        <v>2</v>
      </c>
      <c r="T1422" s="0" t="n">
        <v>2</v>
      </c>
      <c r="U1422" s="0" t="n">
        <v>1</v>
      </c>
      <c r="V1422" s="0" t="inlineStr">
        <is>
          <t>계단식</t>
        </is>
      </c>
      <c r="W1422" s="0" t="inlineStr">
        <is>
          <t>55A</t>
        </is>
      </c>
      <c r="X1422" s="0" t="n">
        <v>7</v>
      </c>
      <c r="Y1422" s="0" t="n">
        <v>6</v>
      </c>
      <c r="Z1422" s="0" t="inlineStr">
        <is>
          <t>https://new.land.naver.com/complexes/139902?tab=detail&amp;rf=Y</t>
        </is>
      </c>
      <c r="AA1422" s="0" t="inlineStr">
        <is>
          <t>서울시 강동구 성내동 409-1</t>
        </is>
      </c>
      <c r="AB1422" s="0" t="inlineStr">
        <is>
          <t>서울시</t>
        </is>
      </c>
      <c r="AC1422" s="0" t="inlineStr">
        <is>
          <t>강동구</t>
        </is>
      </c>
      <c r="AD1422" s="0" t="inlineStr">
        <is>
          <t>성내동</t>
        </is>
      </c>
      <c r="AG1422" s="0" t="inlineStr">
        <is>
          <t>서울시 강동구 성안로 84</t>
        </is>
      </c>
      <c r="AH1422" s="0" t="n">
        <v>0</v>
      </c>
      <c r="AI1422" s="0" t="n">
        <v>199</v>
      </c>
      <c r="AJ1422" s="0" t="n">
        <v>45</v>
      </c>
      <c r="AK1422" s="0" t="n">
        <v>23</v>
      </c>
      <c r="AL1422" s="0" t="n">
        <v>0.79</v>
      </c>
    </row>
    <row r="1423">
      <c r="A1423" s="0" t="inlineStr">
        <is>
          <t>[성내동]</t>
        </is>
      </c>
      <c r="B1423" s="0" t="n">
        <v>139902</v>
      </c>
      <c r="C1423" s="0" t="n">
        <v>5</v>
      </c>
      <c r="D1423" s="0" t="inlineStr">
        <is>
          <t>세명</t>
        </is>
      </c>
      <c r="E1423" s="0" t="inlineStr">
        <is>
          <t>2021.02.</t>
        </is>
      </c>
      <c r="F1423" s="0" t="n">
        <v>29</v>
      </c>
      <c r="G1423" s="0" t="n">
        <v>16.86</v>
      </c>
      <c r="H1423" s="0" t="n">
        <v>55.74</v>
      </c>
      <c r="I1423" s="0" t="n">
        <v>13.89</v>
      </c>
      <c r="J1423" s="0" t="n">
        <v>45.95</v>
      </c>
      <c r="K1423" s="0" t="n">
        <v>2</v>
      </c>
      <c r="T1423" s="0" t="n">
        <v>2</v>
      </c>
      <c r="U1423" s="0" t="n">
        <v>1</v>
      </c>
      <c r="V1423" s="0" t="inlineStr">
        <is>
          <t>계단식</t>
        </is>
      </c>
      <c r="W1423" s="0" t="inlineStr">
        <is>
          <t>55B</t>
        </is>
      </c>
      <c r="X1423" s="0" t="n">
        <v>7</v>
      </c>
      <c r="Y1423" s="0" t="n">
        <v>6</v>
      </c>
      <c r="Z1423" s="0" t="inlineStr">
        <is>
          <t>https://new.land.naver.com/complexes/139902?tab=detail&amp;rf=Y</t>
        </is>
      </c>
      <c r="AA1423" s="0" t="inlineStr">
        <is>
          <t>서울시 강동구 성내동 409-1</t>
        </is>
      </c>
      <c r="AB1423" s="0" t="inlineStr">
        <is>
          <t>서울시</t>
        </is>
      </c>
      <c r="AC1423" s="0" t="inlineStr">
        <is>
          <t>강동구</t>
        </is>
      </c>
      <c r="AD1423" s="0" t="inlineStr">
        <is>
          <t>성내동</t>
        </is>
      </c>
      <c r="AG1423" s="0" t="inlineStr">
        <is>
          <t>서울시 강동구 성안로 84</t>
        </is>
      </c>
      <c r="AH1423" s="0" t="n">
        <v>0</v>
      </c>
      <c r="AI1423" s="0" t="n">
        <v>199</v>
      </c>
      <c r="AJ1423" s="0" t="n">
        <v>45</v>
      </c>
      <c r="AK1423" s="0" t="n">
        <v>23</v>
      </c>
      <c r="AL1423" s="0" t="n">
        <v>0.79</v>
      </c>
    </row>
    <row r="1424">
      <c r="A1424" s="0" t="inlineStr">
        <is>
          <t>[성내동]</t>
        </is>
      </c>
      <c r="B1424" s="0" t="n">
        <v>139902</v>
      </c>
      <c r="C1424" s="0" t="n">
        <v>6</v>
      </c>
      <c r="D1424" s="0" t="inlineStr">
        <is>
          <t>세명</t>
        </is>
      </c>
      <c r="E1424" s="0" t="inlineStr">
        <is>
          <t>2021.02.</t>
        </is>
      </c>
      <c r="F1424" s="0" t="n">
        <v>29</v>
      </c>
      <c r="G1424" s="0" t="n">
        <v>16.84</v>
      </c>
      <c r="H1424" s="0" t="n">
        <v>55.68</v>
      </c>
      <c r="I1424" s="0" t="n">
        <v>14.23</v>
      </c>
      <c r="J1424" s="0" t="n">
        <v>47.05</v>
      </c>
      <c r="K1424" s="0" t="n">
        <v>2</v>
      </c>
      <c r="T1424" s="0" t="n">
        <v>2</v>
      </c>
      <c r="U1424" s="0" t="n">
        <v>1</v>
      </c>
      <c r="V1424" s="0" t="inlineStr">
        <is>
          <t>계단식</t>
        </is>
      </c>
      <c r="W1424" s="0" t="inlineStr">
        <is>
          <t>55C</t>
        </is>
      </c>
      <c r="X1424" s="0" t="n">
        <v>7</v>
      </c>
      <c r="Y1424" s="0" t="n">
        <v>6</v>
      </c>
      <c r="Z1424" s="0" t="inlineStr">
        <is>
          <t>https://new.land.naver.com/complexes/139902?tab=detail&amp;rf=Y</t>
        </is>
      </c>
      <c r="AA1424" s="0" t="inlineStr">
        <is>
          <t>서울시 강동구 성내동 409-1</t>
        </is>
      </c>
      <c r="AB1424" s="0" t="inlineStr">
        <is>
          <t>서울시</t>
        </is>
      </c>
      <c r="AC1424" s="0" t="inlineStr">
        <is>
          <t>강동구</t>
        </is>
      </c>
      <c r="AD1424" s="0" t="inlineStr">
        <is>
          <t>성내동</t>
        </is>
      </c>
      <c r="AG1424" s="0" t="inlineStr">
        <is>
          <t>서울시 강동구 성안로 84</t>
        </is>
      </c>
      <c r="AH1424" s="0" t="n">
        <v>0</v>
      </c>
      <c r="AI1424" s="0" t="n">
        <v>199</v>
      </c>
      <c r="AJ1424" s="0" t="n">
        <v>45</v>
      </c>
      <c r="AK1424" s="0" t="n">
        <v>23</v>
      </c>
      <c r="AL1424" s="0" t="n">
        <v>0.79</v>
      </c>
    </row>
    <row r="1425">
      <c r="A1425" s="0" t="inlineStr">
        <is>
          <t>[성내동]</t>
        </is>
      </c>
      <c r="B1425" s="0" t="n">
        <v>139902</v>
      </c>
      <c r="C1425" s="0" t="n">
        <v>7</v>
      </c>
      <c r="D1425" s="0" t="inlineStr">
        <is>
          <t>세명</t>
        </is>
      </c>
      <c r="E1425" s="0" t="inlineStr">
        <is>
          <t>2021.02.</t>
        </is>
      </c>
      <c r="F1425" s="0" t="n">
        <v>29</v>
      </c>
      <c r="G1425" s="0" t="n">
        <v>16.95</v>
      </c>
      <c r="H1425" s="0" t="n">
        <v>56.04</v>
      </c>
      <c r="I1425" s="0" t="n">
        <v>14.35</v>
      </c>
      <c r="J1425" s="0" t="n">
        <v>47.44</v>
      </c>
      <c r="K1425" s="0" t="n">
        <v>2</v>
      </c>
      <c r="T1425" s="0" t="n">
        <v>2</v>
      </c>
      <c r="U1425" s="0" t="n">
        <v>1</v>
      </c>
      <c r="V1425" s="0" t="inlineStr">
        <is>
          <t>계단식</t>
        </is>
      </c>
      <c r="W1425" s="0" t="inlineStr">
        <is>
          <t>56E</t>
        </is>
      </c>
      <c r="X1425" s="0" t="n">
        <v>7</v>
      </c>
      <c r="Y1425" s="0" t="n">
        <v>6</v>
      </c>
      <c r="Z1425" s="0" t="inlineStr">
        <is>
          <t>https://new.land.naver.com/complexes/139902?tab=detail&amp;rf=Y</t>
        </is>
      </c>
      <c r="AA1425" s="0" t="inlineStr">
        <is>
          <t>서울시 강동구 성내동 409-1</t>
        </is>
      </c>
      <c r="AB1425" s="0" t="inlineStr">
        <is>
          <t>서울시</t>
        </is>
      </c>
      <c r="AC1425" s="0" t="inlineStr">
        <is>
          <t>강동구</t>
        </is>
      </c>
      <c r="AD1425" s="0" t="inlineStr">
        <is>
          <t>성내동</t>
        </is>
      </c>
      <c r="AG1425" s="0" t="inlineStr">
        <is>
          <t>서울시 강동구 성안로 84</t>
        </is>
      </c>
      <c r="AH1425" s="0" t="n">
        <v>0</v>
      </c>
      <c r="AI1425" s="0" t="n">
        <v>199</v>
      </c>
      <c r="AJ1425" s="0" t="n">
        <v>45</v>
      </c>
      <c r="AK1425" s="0" t="n">
        <v>23</v>
      </c>
      <c r="AL1425" s="0" t="n">
        <v>0.79</v>
      </c>
    </row>
    <row r="1426">
      <c r="A1426" s="0" t="inlineStr">
        <is>
          <t>[성내동]</t>
        </is>
      </c>
      <c r="B1426" s="0" t="n">
        <v>139902</v>
      </c>
      <c r="C1426" s="0" t="n">
        <v>8</v>
      </c>
      <c r="D1426" s="0" t="inlineStr">
        <is>
          <t>세명</t>
        </is>
      </c>
      <c r="E1426" s="0" t="inlineStr">
        <is>
          <t>2021.02.</t>
        </is>
      </c>
      <c r="F1426" s="0" t="n">
        <v>29</v>
      </c>
      <c r="G1426" s="0" t="n">
        <v>17.27</v>
      </c>
      <c r="H1426" s="0" t="n">
        <v>57.11</v>
      </c>
      <c r="I1426" s="0" t="n">
        <v>14.58</v>
      </c>
      <c r="J1426" s="0" t="n">
        <v>48.21</v>
      </c>
      <c r="K1426" s="0" t="n">
        <v>2</v>
      </c>
      <c r="T1426" s="0" t="n">
        <v>2</v>
      </c>
      <c r="U1426" s="0" t="n">
        <v>1</v>
      </c>
      <c r="V1426" s="0" t="inlineStr">
        <is>
          <t>계단식</t>
        </is>
      </c>
      <c r="W1426" s="0" t="inlineStr">
        <is>
          <t>57F</t>
        </is>
      </c>
      <c r="X1426" s="0" t="n">
        <v>7</v>
      </c>
      <c r="Y1426" s="0" t="n">
        <v>6</v>
      </c>
      <c r="Z1426" s="0" t="inlineStr">
        <is>
          <t>https://new.land.naver.com/complexes/139902?tab=detail&amp;rf=Y</t>
        </is>
      </c>
      <c r="AA1426" s="0" t="inlineStr">
        <is>
          <t>서울시 강동구 성내동 409-1</t>
        </is>
      </c>
      <c r="AB1426" s="0" t="inlineStr">
        <is>
          <t>서울시</t>
        </is>
      </c>
      <c r="AC1426" s="0" t="inlineStr">
        <is>
          <t>강동구</t>
        </is>
      </c>
      <c r="AD1426" s="0" t="inlineStr">
        <is>
          <t>성내동</t>
        </is>
      </c>
      <c r="AG1426" s="0" t="inlineStr">
        <is>
          <t>서울시 강동구 성안로 84</t>
        </is>
      </c>
      <c r="AH1426" s="0" t="n">
        <v>0</v>
      </c>
      <c r="AI1426" s="0" t="n">
        <v>199</v>
      </c>
      <c r="AJ1426" s="0" t="n">
        <v>45</v>
      </c>
      <c r="AK1426" s="0" t="n">
        <v>23</v>
      </c>
      <c r="AL1426" s="0" t="n">
        <v>0.79</v>
      </c>
    </row>
    <row r="1427">
      <c r="A1427" s="0" t="inlineStr">
        <is>
          <t>[성내동]</t>
        </is>
      </c>
      <c r="B1427" s="0" t="n">
        <v>139902</v>
      </c>
      <c r="C1427" s="0" t="n">
        <v>9</v>
      </c>
      <c r="D1427" s="0" t="inlineStr">
        <is>
          <t>세명</t>
        </is>
      </c>
      <c r="E1427" s="0" t="inlineStr">
        <is>
          <t>2021.02.</t>
        </is>
      </c>
      <c r="F1427" s="0" t="n">
        <v>29</v>
      </c>
      <c r="G1427" s="0" t="n">
        <v>17.27</v>
      </c>
      <c r="H1427" s="0" t="n">
        <v>57.11</v>
      </c>
      <c r="I1427" s="0" t="n">
        <v>14.58</v>
      </c>
      <c r="J1427" s="0" t="n">
        <v>48.22</v>
      </c>
      <c r="K1427" s="0" t="n">
        <v>2</v>
      </c>
      <c r="T1427" s="0" t="n">
        <v>2</v>
      </c>
      <c r="U1427" s="0" t="n">
        <v>1</v>
      </c>
      <c r="V1427" s="0" t="inlineStr">
        <is>
          <t>계단식</t>
        </is>
      </c>
      <c r="W1427" s="0" t="inlineStr">
        <is>
          <t>57G</t>
        </is>
      </c>
      <c r="X1427" s="0" t="n">
        <v>7</v>
      </c>
      <c r="Y1427" s="0" t="n">
        <v>6</v>
      </c>
      <c r="Z1427" s="0" t="inlineStr">
        <is>
          <t>https://new.land.naver.com/complexes/139902?tab=detail&amp;rf=Y</t>
        </is>
      </c>
      <c r="AA1427" s="0" t="inlineStr">
        <is>
          <t>서울시 강동구 성내동 409-1</t>
        </is>
      </c>
      <c r="AB1427" s="0" t="inlineStr">
        <is>
          <t>서울시</t>
        </is>
      </c>
      <c r="AC1427" s="0" t="inlineStr">
        <is>
          <t>강동구</t>
        </is>
      </c>
      <c r="AD1427" s="0" t="inlineStr">
        <is>
          <t>성내동</t>
        </is>
      </c>
      <c r="AG1427" s="0" t="inlineStr">
        <is>
          <t>서울시 강동구 성안로 84</t>
        </is>
      </c>
      <c r="AH1427" s="0" t="n">
        <v>0</v>
      </c>
      <c r="AI1427" s="0" t="n">
        <v>199</v>
      </c>
      <c r="AJ1427" s="0" t="n">
        <v>45</v>
      </c>
      <c r="AK1427" s="0" t="n">
        <v>23</v>
      </c>
      <c r="AL1427" s="0" t="n">
        <v>0.79</v>
      </c>
    </row>
    <row r="1428">
      <c r="A1428" s="0" t="inlineStr">
        <is>
          <t>[성내동]</t>
        </is>
      </c>
      <c r="B1428" s="0" t="n">
        <v>139902</v>
      </c>
      <c r="C1428" s="0" t="n">
        <v>10</v>
      </c>
      <c r="D1428" s="0" t="inlineStr">
        <is>
          <t>세명</t>
        </is>
      </c>
      <c r="E1428" s="0" t="inlineStr">
        <is>
          <t>2021.02.</t>
        </is>
      </c>
      <c r="F1428" s="0" t="n">
        <v>29</v>
      </c>
      <c r="G1428" s="0" t="n">
        <v>17.29</v>
      </c>
      <c r="H1428" s="0" t="n">
        <v>57.18</v>
      </c>
      <c r="I1428" s="0" t="n">
        <v>14.3</v>
      </c>
      <c r="J1428" s="0" t="n">
        <v>47.28</v>
      </c>
      <c r="K1428" s="0" t="n">
        <v>1</v>
      </c>
      <c r="T1428" s="0" t="n">
        <v>2</v>
      </c>
      <c r="U1428" s="0" t="n">
        <v>1</v>
      </c>
      <c r="V1428" s="0" t="inlineStr">
        <is>
          <t>계단식</t>
        </is>
      </c>
      <c r="W1428" s="0" t="inlineStr">
        <is>
          <t>57D</t>
        </is>
      </c>
      <c r="X1428" s="0" t="n">
        <v>7</v>
      </c>
      <c r="Y1428" s="0" t="n">
        <v>6</v>
      </c>
      <c r="Z1428" s="0" t="inlineStr">
        <is>
          <t>https://new.land.naver.com/complexes/139902?tab=detail&amp;rf=Y</t>
        </is>
      </c>
      <c r="AA1428" s="0" t="inlineStr">
        <is>
          <t>서울시 강동구 성내동 409-1</t>
        </is>
      </c>
      <c r="AB1428" s="0" t="inlineStr">
        <is>
          <t>서울시</t>
        </is>
      </c>
      <c r="AC1428" s="0" t="inlineStr">
        <is>
          <t>강동구</t>
        </is>
      </c>
      <c r="AD1428" s="0" t="inlineStr">
        <is>
          <t>성내동</t>
        </is>
      </c>
      <c r="AG1428" s="0" t="inlineStr">
        <is>
          <t>서울시 강동구 성안로 84</t>
        </is>
      </c>
      <c r="AH1428" s="0" t="n">
        <v>0</v>
      </c>
      <c r="AI1428" s="0" t="n">
        <v>199</v>
      </c>
      <c r="AJ1428" s="0" t="n">
        <v>45</v>
      </c>
      <c r="AK1428" s="0" t="n">
        <v>23</v>
      </c>
      <c r="AL1428" s="0" t="n">
        <v>0.79</v>
      </c>
    </row>
    <row r="1429">
      <c r="A1429" s="0" t="inlineStr">
        <is>
          <t>[성내동]</t>
        </is>
      </c>
      <c r="B1429" s="0" t="n">
        <v>139902</v>
      </c>
      <c r="C1429" s="0" t="n">
        <v>11</v>
      </c>
      <c r="D1429" s="0" t="inlineStr">
        <is>
          <t>세명</t>
        </is>
      </c>
      <c r="E1429" s="0" t="inlineStr">
        <is>
          <t>2021.02.</t>
        </is>
      </c>
      <c r="F1429" s="0" t="n">
        <v>29</v>
      </c>
      <c r="G1429" s="0" t="n">
        <v>17.7</v>
      </c>
      <c r="H1429" s="0" t="n">
        <v>58.53</v>
      </c>
      <c r="I1429" s="0" t="n">
        <v>14.44</v>
      </c>
      <c r="J1429" s="0" t="n">
        <v>47.74</v>
      </c>
      <c r="K1429" s="0" t="n">
        <v>1</v>
      </c>
      <c r="T1429" s="0" t="n">
        <v>2</v>
      </c>
      <c r="U1429" s="0" t="n">
        <v>1</v>
      </c>
      <c r="V1429" s="0" t="inlineStr">
        <is>
          <t>계단식</t>
        </is>
      </c>
      <c r="W1429" s="0" t="inlineStr">
        <is>
          <t>58B</t>
        </is>
      </c>
      <c r="X1429" s="0" t="n">
        <v>7</v>
      </c>
      <c r="Y1429" s="0" t="n">
        <v>6</v>
      </c>
      <c r="Z1429" s="0" t="inlineStr">
        <is>
          <t>https://new.land.naver.com/complexes/139902?tab=detail&amp;rf=Y</t>
        </is>
      </c>
      <c r="AA1429" s="0" t="inlineStr">
        <is>
          <t>서울시 강동구 성내동 409-1</t>
        </is>
      </c>
      <c r="AB1429" s="0" t="inlineStr">
        <is>
          <t>서울시</t>
        </is>
      </c>
      <c r="AC1429" s="0" t="inlineStr">
        <is>
          <t>강동구</t>
        </is>
      </c>
      <c r="AD1429" s="0" t="inlineStr">
        <is>
          <t>성내동</t>
        </is>
      </c>
      <c r="AG1429" s="0" t="inlineStr">
        <is>
          <t>서울시 강동구 성안로 84</t>
        </is>
      </c>
      <c r="AH1429" s="0" t="n">
        <v>0</v>
      </c>
      <c r="AI1429" s="0" t="n">
        <v>199</v>
      </c>
      <c r="AJ1429" s="0" t="n">
        <v>45</v>
      </c>
      <c r="AK1429" s="0" t="n">
        <v>23</v>
      </c>
      <c r="AL1429" s="0" t="n">
        <v>0.79</v>
      </c>
    </row>
    <row r="1430">
      <c r="A1430" s="0" t="inlineStr">
        <is>
          <t>[성내동]</t>
        </is>
      </c>
      <c r="B1430" s="0" t="n">
        <v>139902</v>
      </c>
      <c r="C1430" s="0" t="n">
        <v>12</v>
      </c>
      <c r="D1430" s="0" t="inlineStr">
        <is>
          <t>세명</t>
        </is>
      </c>
      <c r="E1430" s="0" t="inlineStr">
        <is>
          <t>2021.02.</t>
        </is>
      </c>
      <c r="F1430" s="0" t="n">
        <v>29</v>
      </c>
      <c r="G1430" s="0" t="n">
        <v>18.05</v>
      </c>
      <c r="H1430" s="0" t="n">
        <v>59.68</v>
      </c>
      <c r="I1430" s="0" t="n">
        <v>14.42</v>
      </c>
      <c r="J1430" s="0" t="n">
        <v>47.7</v>
      </c>
      <c r="K1430" s="0" t="n">
        <v>1</v>
      </c>
      <c r="T1430" s="0" t="n">
        <v>2</v>
      </c>
      <c r="U1430" s="0" t="n">
        <v>1</v>
      </c>
      <c r="V1430" s="0" t="inlineStr">
        <is>
          <t>계단식</t>
        </is>
      </c>
      <c r="W1430" s="0" t="inlineStr">
        <is>
          <t>59A</t>
        </is>
      </c>
      <c r="X1430" s="0" t="n">
        <v>7</v>
      </c>
      <c r="Y1430" s="0" t="n">
        <v>6</v>
      </c>
      <c r="Z1430" s="0" t="inlineStr">
        <is>
          <t>https://new.land.naver.com/complexes/139902?tab=detail&amp;rf=Y</t>
        </is>
      </c>
      <c r="AA1430" s="0" t="inlineStr">
        <is>
          <t>서울시 강동구 성내동 409-1</t>
        </is>
      </c>
      <c r="AB1430" s="0" t="inlineStr">
        <is>
          <t>서울시</t>
        </is>
      </c>
      <c r="AC1430" s="0" t="inlineStr">
        <is>
          <t>강동구</t>
        </is>
      </c>
      <c r="AD1430" s="0" t="inlineStr">
        <is>
          <t>성내동</t>
        </is>
      </c>
      <c r="AG1430" s="0" t="inlineStr">
        <is>
          <t>서울시 강동구 성안로 84</t>
        </is>
      </c>
      <c r="AH1430" s="0" t="n">
        <v>0</v>
      </c>
      <c r="AI1430" s="0" t="n">
        <v>199</v>
      </c>
      <c r="AJ1430" s="0" t="n">
        <v>45</v>
      </c>
      <c r="AK1430" s="0" t="n">
        <v>23</v>
      </c>
      <c r="AL1430" s="0" t="n">
        <v>0.79</v>
      </c>
    </row>
    <row r="1431">
      <c r="A1431" s="0" t="inlineStr">
        <is>
          <t>[성내동]</t>
        </is>
      </c>
      <c r="B1431" s="0" t="n">
        <v>139902</v>
      </c>
      <c r="C1431" s="0" t="n">
        <v>13</v>
      </c>
      <c r="D1431" s="0" t="inlineStr">
        <is>
          <t>세명</t>
        </is>
      </c>
      <c r="E1431" s="0" t="inlineStr">
        <is>
          <t>2021.02.</t>
        </is>
      </c>
      <c r="F1431" s="0" t="n">
        <v>29</v>
      </c>
      <c r="G1431" s="0" t="n">
        <v>18</v>
      </c>
      <c r="H1431" s="0" t="n">
        <v>59.52</v>
      </c>
      <c r="I1431" s="0" t="n">
        <v>14.88</v>
      </c>
      <c r="J1431" s="0" t="n">
        <v>49.21</v>
      </c>
      <c r="K1431" s="0" t="n">
        <v>1</v>
      </c>
      <c r="T1431" s="0" t="n">
        <v>2</v>
      </c>
      <c r="U1431" s="0" t="n">
        <v>1</v>
      </c>
      <c r="V1431" s="0" t="inlineStr">
        <is>
          <t>계단식</t>
        </is>
      </c>
      <c r="W1431" s="0" t="inlineStr">
        <is>
          <t>59C</t>
        </is>
      </c>
      <c r="X1431" s="0" t="n">
        <v>7</v>
      </c>
      <c r="Y1431" s="0" t="n">
        <v>6</v>
      </c>
      <c r="Z1431" s="0" t="inlineStr">
        <is>
          <t>https://new.land.naver.com/complexes/139902?tab=detail&amp;rf=Y</t>
        </is>
      </c>
      <c r="AA1431" s="0" t="inlineStr">
        <is>
          <t>서울시 강동구 성내동 409-1</t>
        </is>
      </c>
      <c r="AB1431" s="0" t="inlineStr">
        <is>
          <t>서울시</t>
        </is>
      </c>
      <c r="AC1431" s="0" t="inlineStr">
        <is>
          <t>강동구</t>
        </is>
      </c>
      <c r="AD1431" s="0" t="inlineStr">
        <is>
          <t>성내동</t>
        </is>
      </c>
      <c r="AG1431" s="0" t="inlineStr">
        <is>
          <t>서울시 강동구 성안로 84</t>
        </is>
      </c>
      <c r="AH1431" s="0" t="n">
        <v>0</v>
      </c>
      <c r="AI1431" s="0" t="n">
        <v>199</v>
      </c>
      <c r="AJ1431" s="0" t="n">
        <v>45</v>
      </c>
      <c r="AK1431" s="0" t="n">
        <v>23</v>
      </c>
      <c r="AL1431" s="0" t="n">
        <v>0.79</v>
      </c>
    </row>
    <row r="1432">
      <c r="A1432" s="0" t="inlineStr">
        <is>
          <t>[성내동]</t>
        </is>
      </c>
      <c r="B1432" s="0" t="n">
        <v>139902</v>
      </c>
      <c r="C1432" s="0" t="n">
        <v>14</v>
      </c>
      <c r="D1432" s="0" t="inlineStr">
        <is>
          <t>세명</t>
        </is>
      </c>
      <c r="E1432" s="0" t="inlineStr">
        <is>
          <t>2021.02.</t>
        </is>
      </c>
      <c r="F1432" s="0" t="n">
        <v>29</v>
      </c>
      <c r="G1432" s="0" t="n">
        <v>18.3</v>
      </c>
      <c r="H1432" s="0" t="n">
        <v>60.52</v>
      </c>
      <c r="I1432" s="0" t="n">
        <v>15.27</v>
      </c>
      <c r="J1432" s="0" t="n">
        <v>50.5</v>
      </c>
      <c r="K1432" s="0" t="n">
        <v>1</v>
      </c>
      <c r="T1432" s="0" t="n">
        <v>2</v>
      </c>
      <c r="U1432" s="0" t="n">
        <v>1</v>
      </c>
      <c r="V1432" s="0" t="inlineStr">
        <is>
          <t>계단식</t>
        </is>
      </c>
      <c r="W1432" s="0" t="inlineStr">
        <is>
          <t>60D</t>
        </is>
      </c>
      <c r="X1432" s="0" t="n">
        <v>7</v>
      </c>
      <c r="Y1432" s="0" t="n">
        <v>6</v>
      </c>
      <c r="Z1432" s="0" t="inlineStr">
        <is>
          <t>https://new.land.naver.com/complexes/139902?tab=detail&amp;rf=Y</t>
        </is>
      </c>
      <c r="AA1432" s="0" t="inlineStr">
        <is>
          <t>서울시 강동구 성내동 409-1</t>
        </is>
      </c>
      <c r="AB1432" s="0" t="inlineStr">
        <is>
          <t>서울시</t>
        </is>
      </c>
      <c r="AC1432" s="0" t="inlineStr">
        <is>
          <t>강동구</t>
        </is>
      </c>
      <c r="AD1432" s="0" t="inlineStr">
        <is>
          <t>성내동</t>
        </is>
      </c>
      <c r="AG1432" s="0" t="inlineStr">
        <is>
          <t>서울시 강동구 성안로 84</t>
        </is>
      </c>
      <c r="AH1432" s="0" t="n">
        <v>0</v>
      </c>
      <c r="AI1432" s="0" t="n">
        <v>199</v>
      </c>
      <c r="AJ1432" s="0" t="n">
        <v>45</v>
      </c>
      <c r="AK1432" s="0" t="n">
        <v>23</v>
      </c>
      <c r="AL1432" s="0" t="n">
        <v>0.79</v>
      </c>
    </row>
    <row r="1433">
      <c r="A1433" s="0" t="inlineStr">
        <is>
          <t>[성내동]</t>
        </is>
      </c>
      <c r="B1433" s="0" t="n">
        <v>139902</v>
      </c>
      <c r="C1433" s="0" t="n">
        <v>15</v>
      </c>
      <c r="D1433" s="0" t="inlineStr">
        <is>
          <t>세명</t>
        </is>
      </c>
      <c r="E1433" s="0" t="inlineStr">
        <is>
          <t>2021.02.</t>
        </is>
      </c>
      <c r="F1433" s="0" t="n">
        <v>29</v>
      </c>
      <c r="G1433" s="0" t="n">
        <v>18.39</v>
      </c>
      <c r="H1433" s="0" t="n">
        <v>60.82</v>
      </c>
      <c r="I1433" s="0" t="n">
        <v>15.34</v>
      </c>
      <c r="J1433" s="0" t="n">
        <v>50.73</v>
      </c>
      <c r="K1433" s="0" t="n">
        <v>1</v>
      </c>
      <c r="T1433" s="0" t="n">
        <v>2</v>
      </c>
      <c r="U1433" s="0" t="n">
        <v>1</v>
      </c>
      <c r="V1433" s="0" t="inlineStr">
        <is>
          <t>계단식</t>
        </is>
      </c>
      <c r="W1433" s="0" t="inlineStr">
        <is>
          <t>60E</t>
        </is>
      </c>
      <c r="X1433" s="0" t="n">
        <v>7</v>
      </c>
      <c r="Y1433" s="0" t="n">
        <v>6</v>
      </c>
      <c r="Z1433" s="0" t="inlineStr">
        <is>
          <t>https://new.land.naver.com/complexes/139902?tab=detail&amp;rf=Y</t>
        </is>
      </c>
      <c r="AA1433" s="0" t="inlineStr">
        <is>
          <t>서울시 강동구 성내동 409-1</t>
        </is>
      </c>
      <c r="AB1433" s="0" t="inlineStr">
        <is>
          <t>서울시</t>
        </is>
      </c>
      <c r="AC1433" s="0" t="inlineStr">
        <is>
          <t>강동구</t>
        </is>
      </c>
      <c r="AD1433" s="0" t="inlineStr">
        <is>
          <t>성내동</t>
        </is>
      </c>
      <c r="AG1433" s="0" t="inlineStr">
        <is>
          <t>서울시 강동구 성안로 84</t>
        </is>
      </c>
      <c r="AH1433" s="0" t="n">
        <v>0</v>
      </c>
      <c r="AI1433" s="0" t="n">
        <v>199</v>
      </c>
      <c r="AJ1433" s="0" t="n">
        <v>45</v>
      </c>
      <c r="AK1433" s="0" t="n">
        <v>23</v>
      </c>
      <c r="AL1433" s="0" t="n">
        <v>0.79</v>
      </c>
    </row>
    <row r="1434">
      <c r="A1434" s="0" t="inlineStr">
        <is>
          <t>[성내동]</t>
        </is>
      </c>
      <c r="B1434" s="0" t="n">
        <v>139902</v>
      </c>
      <c r="C1434" s="0" t="n">
        <v>16</v>
      </c>
      <c r="D1434" s="0" t="inlineStr">
        <is>
          <t>세명</t>
        </is>
      </c>
      <c r="E1434" s="0" t="inlineStr">
        <is>
          <t>2021.02.</t>
        </is>
      </c>
      <c r="F1434" s="0" t="n">
        <v>29</v>
      </c>
      <c r="G1434" s="0" t="n">
        <v>18.72</v>
      </c>
      <c r="H1434" s="0" t="n">
        <v>61.9</v>
      </c>
      <c r="I1434" s="0" t="n">
        <v>15.51</v>
      </c>
      <c r="J1434" s="0" t="n">
        <v>51.29</v>
      </c>
      <c r="K1434" s="0" t="n">
        <v>1</v>
      </c>
      <c r="T1434" s="0" t="n">
        <v>2</v>
      </c>
      <c r="U1434" s="0" t="n">
        <v>1</v>
      </c>
      <c r="V1434" s="0" t="inlineStr">
        <is>
          <t>계단식</t>
        </is>
      </c>
      <c r="W1434" s="0" t="inlineStr">
        <is>
          <t>61A</t>
        </is>
      </c>
      <c r="X1434" s="0" t="n">
        <v>7</v>
      </c>
      <c r="Y1434" s="0" t="n">
        <v>6</v>
      </c>
      <c r="Z1434" s="0" t="inlineStr">
        <is>
          <t>https://new.land.naver.com/complexes/139902?tab=detail&amp;rf=Y</t>
        </is>
      </c>
      <c r="AA1434" s="0" t="inlineStr">
        <is>
          <t>서울시 강동구 성내동 409-1</t>
        </is>
      </c>
      <c r="AB1434" s="0" t="inlineStr">
        <is>
          <t>서울시</t>
        </is>
      </c>
      <c r="AC1434" s="0" t="inlineStr">
        <is>
          <t>강동구</t>
        </is>
      </c>
      <c r="AD1434" s="0" t="inlineStr">
        <is>
          <t>성내동</t>
        </is>
      </c>
      <c r="AG1434" s="0" t="inlineStr">
        <is>
          <t>서울시 강동구 성안로 84</t>
        </is>
      </c>
      <c r="AH1434" s="0" t="n">
        <v>0</v>
      </c>
      <c r="AI1434" s="0" t="n">
        <v>199</v>
      </c>
      <c r="AJ1434" s="0" t="n">
        <v>45</v>
      </c>
      <c r="AK1434" s="0" t="n">
        <v>23</v>
      </c>
      <c r="AL1434" s="0" t="n">
        <v>0.79</v>
      </c>
    </row>
    <row r="1435">
      <c r="A1435" s="0" t="inlineStr">
        <is>
          <t>[성내동]</t>
        </is>
      </c>
      <c r="B1435" s="0" t="n">
        <v>139902</v>
      </c>
      <c r="C1435" s="0" t="n">
        <v>17</v>
      </c>
      <c r="D1435" s="0" t="inlineStr">
        <is>
          <t>세명</t>
        </is>
      </c>
      <c r="E1435" s="0" t="inlineStr">
        <is>
          <t>2021.02.</t>
        </is>
      </c>
      <c r="F1435" s="0" t="n">
        <v>29</v>
      </c>
      <c r="G1435" s="0" t="n">
        <v>19.13</v>
      </c>
      <c r="H1435" s="0" t="n">
        <v>63.25</v>
      </c>
      <c r="I1435" s="0" t="n">
        <v>15.87</v>
      </c>
      <c r="J1435" s="0" t="n">
        <v>52.48</v>
      </c>
      <c r="K1435" s="0" t="n">
        <v>1</v>
      </c>
      <c r="T1435" s="0" t="n">
        <v>2</v>
      </c>
      <c r="U1435" s="0" t="n">
        <v>1</v>
      </c>
      <c r="V1435" s="0" t="inlineStr">
        <is>
          <t>계단식</t>
        </is>
      </c>
      <c r="W1435" s="0" t="inlineStr">
        <is>
          <t>63B</t>
        </is>
      </c>
      <c r="X1435" s="0" t="n">
        <v>7</v>
      </c>
      <c r="Y1435" s="0" t="n">
        <v>6</v>
      </c>
      <c r="Z1435" s="0" t="inlineStr">
        <is>
          <t>https://new.land.naver.com/complexes/139902?tab=detail&amp;rf=Y</t>
        </is>
      </c>
      <c r="AA1435" s="0" t="inlineStr">
        <is>
          <t>서울시 강동구 성내동 409-1</t>
        </is>
      </c>
      <c r="AB1435" s="0" t="inlineStr">
        <is>
          <t>서울시</t>
        </is>
      </c>
      <c r="AC1435" s="0" t="inlineStr">
        <is>
          <t>강동구</t>
        </is>
      </c>
      <c r="AD1435" s="0" t="inlineStr">
        <is>
          <t>성내동</t>
        </is>
      </c>
      <c r="AG1435" s="0" t="inlineStr">
        <is>
          <t>서울시 강동구 성안로 84</t>
        </is>
      </c>
      <c r="AH1435" s="0" t="n">
        <v>0</v>
      </c>
      <c r="AI1435" s="0" t="n">
        <v>199</v>
      </c>
      <c r="AJ1435" s="0" t="n">
        <v>45</v>
      </c>
      <c r="AK1435" s="0" t="n">
        <v>23</v>
      </c>
      <c r="AL1435" s="0" t="n">
        <v>0.79</v>
      </c>
    </row>
    <row r="1436">
      <c r="A1436" s="0" t="inlineStr">
        <is>
          <t>[성내동]</t>
        </is>
      </c>
      <c r="B1436" s="0" t="n">
        <v>139902</v>
      </c>
      <c r="C1436" s="0" t="n">
        <v>18</v>
      </c>
      <c r="D1436" s="0" t="inlineStr">
        <is>
          <t>세명</t>
        </is>
      </c>
      <c r="E1436" s="0" t="inlineStr">
        <is>
          <t>2021.02.</t>
        </is>
      </c>
      <c r="F1436" s="0" t="n">
        <v>29</v>
      </c>
      <c r="G1436" s="0" t="n">
        <v>19.18</v>
      </c>
      <c r="H1436" s="0" t="n">
        <v>63.41</v>
      </c>
      <c r="I1436" s="0" t="n">
        <v>15.95</v>
      </c>
      <c r="J1436" s="0" t="n">
        <v>52.75</v>
      </c>
      <c r="K1436" s="0" t="n">
        <v>1</v>
      </c>
      <c r="T1436" s="0" t="n">
        <v>2</v>
      </c>
      <c r="U1436" s="0" t="n">
        <v>1</v>
      </c>
      <c r="V1436" s="0" t="inlineStr">
        <is>
          <t>계단식</t>
        </is>
      </c>
      <c r="W1436" s="0" t="inlineStr">
        <is>
          <t>63C</t>
        </is>
      </c>
      <c r="X1436" s="0" t="n">
        <v>7</v>
      </c>
      <c r="Y1436" s="0" t="n">
        <v>6</v>
      </c>
      <c r="Z1436" s="0" t="inlineStr">
        <is>
          <t>https://new.land.naver.com/complexes/139902?tab=detail&amp;rf=Y</t>
        </is>
      </c>
      <c r="AA1436" s="0" t="inlineStr">
        <is>
          <t>서울시 강동구 성내동 409-1</t>
        </is>
      </c>
      <c r="AB1436" s="0" t="inlineStr">
        <is>
          <t>서울시</t>
        </is>
      </c>
      <c r="AC1436" s="0" t="inlineStr">
        <is>
          <t>강동구</t>
        </is>
      </c>
      <c r="AD1436" s="0" t="inlineStr">
        <is>
          <t>성내동</t>
        </is>
      </c>
      <c r="AG1436" s="0" t="inlineStr">
        <is>
          <t>서울시 강동구 성안로 84</t>
        </is>
      </c>
      <c r="AH1436" s="0" t="n">
        <v>0</v>
      </c>
      <c r="AI1436" s="0" t="n">
        <v>199</v>
      </c>
      <c r="AJ1436" s="0" t="n">
        <v>45</v>
      </c>
      <c r="AK1436" s="0" t="n">
        <v>23</v>
      </c>
      <c r="AL1436" s="0" t="n">
        <v>0.79</v>
      </c>
    </row>
    <row r="1437">
      <c r="A1437" s="0" t="inlineStr">
        <is>
          <t>[성내동]</t>
        </is>
      </c>
      <c r="B1437" s="0" t="n">
        <v>139902</v>
      </c>
      <c r="C1437" s="0" t="n">
        <v>19</v>
      </c>
      <c r="D1437" s="0" t="inlineStr">
        <is>
          <t>세명</t>
        </is>
      </c>
      <c r="E1437" s="0" t="inlineStr">
        <is>
          <t>2021.02.</t>
        </is>
      </c>
      <c r="F1437" s="0" t="n">
        <v>29</v>
      </c>
      <c r="G1437" s="0" t="n">
        <v>19.5</v>
      </c>
      <c r="H1437" s="0" t="n">
        <v>64.48999999999999</v>
      </c>
      <c r="I1437" s="0" t="n">
        <v>16.16</v>
      </c>
      <c r="J1437" s="0" t="n">
        <v>53.44</v>
      </c>
      <c r="K1437" s="0" t="n">
        <v>1</v>
      </c>
      <c r="T1437" s="0" t="n">
        <v>2</v>
      </c>
      <c r="U1437" s="0" t="n">
        <v>1</v>
      </c>
      <c r="V1437" s="0" t="inlineStr">
        <is>
          <t>계단식</t>
        </is>
      </c>
      <c r="W1437" s="0" t="inlineStr">
        <is>
          <t>64A</t>
        </is>
      </c>
      <c r="X1437" s="0" t="n">
        <v>7</v>
      </c>
      <c r="Y1437" s="0" t="n">
        <v>6</v>
      </c>
      <c r="Z1437" s="0" t="inlineStr">
        <is>
          <t>https://new.land.naver.com/complexes/139902?tab=detail&amp;rf=Y</t>
        </is>
      </c>
      <c r="AA1437" s="0" t="inlineStr">
        <is>
          <t>서울시 강동구 성내동 409-1</t>
        </is>
      </c>
      <c r="AB1437" s="0" t="inlineStr">
        <is>
          <t>서울시</t>
        </is>
      </c>
      <c r="AC1437" s="0" t="inlineStr">
        <is>
          <t>강동구</t>
        </is>
      </c>
      <c r="AD1437" s="0" t="inlineStr">
        <is>
          <t>성내동</t>
        </is>
      </c>
      <c r="AG1437" s="0" t="inlineStr">
        <is>
          <t>서울시 강동구 성안로 84</t>
        </is>
      </c>
      <c r="AH1437" s="0" t="n">
        <v>0</v>
      </c>
      <c r="AI1437" s="0" t="n">
        <v>199</v>
      </c>
      <c r="AJ1437" s="0" t="n">
        <v>45</v>
      </c>
      <c r="AK1437" s="0" t="n">
        <v>23</v>
      </c>
      <c r="AL1437" s="0" t="n">
        <v>0.79</v>
      </c>
    </row>
    <row r="1438">
      <c r="A1438" s="0" t="inlineStr">
        <is>
          <t>[성내동]</t>
        </is>
      </c>
      <c r="B1438" s="0" t="n">
        <v>139902</v>
      </c>
      <c r="C1438" s="0" t="n">
        <v>20</v>
      </c>
      <c r="D1438" s="0" t="inlineStr">
        <is>
          <t>세명</t>
        </is>
      </c>
      <c r="E1438" s="0" t="inlineStr">
        <is>
          <t>2021.02.</t>
        </is>
      </c>
      <c r="F1438" s="0" t="n">
        <v>29</v>
      </c>
      <c r="G1438" s="0" t="n">
        <v>19.58</v>
      </c>
      <c r="H1438" s="0" t="n">
        <v>64.75</v>
      </c>
      <c r="I1438" s="0" t="n">
        <v>16.21</v>
      </c>
      <c r="J1438" s="0" t="n">
        <v>53.59</v>
      </c>
      <c r="K1438" s="0" t="n">
        <v>1</v>
      </c>
      <c r="T1438" s="0" t="n">
        <v>2</v>
      </c>
      <c r="U1438" s="0" t="n">
        <v>1</v>
      </c>
      <c r="V1438" s="0" t="inlineStr">
        <is>
          <t>계단식</t>
        </is>
      </c>
      <c r="W1438" s="0" t="inlineStr">
        <is>
          <t>64B</t>
        </is>
      </c>
      <c r="X1438" s="0" t="n">
        <v>7</v>
      </c>
      <c r="Y1438" s="0" t="n">
        <v>6</v>
      </c>
      <c r="Z1438" s="0" t="inlineStr">
        <is>
          <t>https://new.land.naver.com/complexes/139902?tab=detail&amp;rf=Y</t>
        </is>
      </c>
      <c r="AA1438" s="0" t="inlineStr">
        <is>
          <t>서울시 강동구 성내동 409-1</t>
        </is>
      </c>
      <c r="AB1438" s="0" t="inlineStr">
        <is>
          <t>서울시</t>
        </is>
      </c>
      <c r="AC1438" s="0" t="inlineStr">
        <is>
          <t>강동구</t>
        </is>
      </c>
      <c r="AD1438" s="0" t="inlineStr">
        <is>
          <t>성내동</t>
        </is>
      </c>
      <c r="AG1438" s="0" t="inlineStr">
        <is>
          <t>서울시 강동구 성안로 84</t>
        </is>
      </c>
      <c r="AH1438" s="0" t="n">
        <v>0</v>
      </c>
      <c r="AI1438" s="0" t="n">
        <v>199</v>
      </c>
      <c r="AJ1438" s="0" t="n">
        <v>45</v>
      </c>
      <c r="AK1438" s="0" t="n">
        <v>23</v>
      </c>
      <c r="AL1438" s="0" t="n">
        <v>0.79</v>
      </c>
    </row>
    <row r="1439">
      <c r="A1439" s="0" t="inlineStr">
        <is>
          <t>[성내동]</t>
        </is>
      </c>
      <c r="B1439" s="0" t="n">
        <v>139902</v>
      </c>
      <c r="C1439" s="0" t="n">
        <v>21</v>
      </c>
      <c r="D1439" s="0" t="inlineStr">
        <is>
          <t>세명</t>
        </is>
      </c>
      <c r="E1439" s="0" t="inlineStr">
        <is>
          <t>2021.02.</t>
        </is>
      </c>
      <c r="F1439" s="0" t="n">
        <v>29</v>
      </c>
      <c r="G1439" s="0" t="n">
        <v>19.51</v>
      </c>
      <c r="H1439" s="0" t="n">
        <v>64.51000000000001</v>
      </c>
      <c r="I1439" s="0" t="n">
        <v>16.24</v>
      </c>
      <c r="J1439" s="0" t="n">
        <v>53.71</v>
      </c>
      <c r="K1439" s="0" t="n">
        <v>1</v>
      </c>
      <c r="T1439" s="0" t="n">
        <v>3</v>
      </c>
      <c r="U1439" s="0" t="n">
        <v>2</v>
      </c>
      <c r="V1439" s="0" t="inlineStr">
        <is>
          <t>계단식</t>
        </is>
      </c>
      <c r="W1439" s="0" t="inlineStr">
        <is>
          <t>64C</t>
        </is>
      </c>
      <c r="X1439" s="0" t="n">
        <v>7</v>
      </c>
      <c r="Y1439" s="0" t="n">
        <v>6</v>
      </c>
      <c r="Z1439" s="0" t="inlineStr">
        <is>
          <t>https://new.land.naver.com/complexes/139902?tab=detail&amp;rf=Y</t>
        </is>
      </c>
      <c r="AA1439" s="0" t="inlineStr">
        <is>
          <t>서울시 강동구 성내동 409-1</t>
        </is>
      </c>
      <c r="AB1439" s="0" t="inlineStr">
        <is>
          <t>서울시</t>
        </is>
      </c>
      <c r="AC1439" s="0" t="inlineStr">
        <is>
          <t>강동구</t>
        </is>
      </c>
      <c r="AD1439" s="0" t="inlineStr">
        <is>
          <t>성내동</t>
        </is>
      </c>
      <c r="AG1439" s="0" t="inlineStr">
        <is>
          <t>서울시 강동구 성안로 84</t>
        </is>
      </c>
      <c r="AH1439" s="0" t="n">
        <v>0</v>
      </c>
      <c r="AI1439" s="0" t="n">
        <v>199</v>
      </c>
      <c r="AJ1439" s="0" t="n">
        <v>45</v>
      </c>
      <c r="AK1439" s="0" t="n">
        <v>23</v>
      </c>
      <c r="AL1439" s="0" t="n">
        <v>0.79</v>
      </c>
    </row>
    <row r="1440">
      <c r="A1440" s="0" t="inlineStr">
        <is>
          <t>[성내동]</t>
        </is>
      </c>
      <c r="B1440" s="0" t="n">
        <v>139902</v>
      </c>
      <c r="C1440" s="0" t="n">
        <v>22</v>
      </c>
      <c r="D1440" s="0" t="inlineStr">
        <is>
          <t>세명</t>
        </is>
      </c>
      <c r="E1440" s="0" t="inlineStr">
        <is>
          <t>2021.02.</t>
        </is>
      </c>
      <c r="F1440" s="0" t="n">
        <v>29</v>
      </c>
      <c r="G1440" s="0" t="n">
        <v>20.86</v>
      </c>
      <c r="H1440" s="0" t="n">
        <v>68.95999999999999</v>
      </c>
      <c r="I1440" s="0" t="n">
        <v>17.46</v>
      </c>
      <c r="J1440" s="0" t="n">
        <v>57.75</v>
      </c>
      <c r="K1440" s="0" t="n">
        <v>1</v>
      </c>
      <c r="T1440" s="0" t="n">
        <v>3</v>
      </c>
      <c r="U1440" s="0" t="n">
        <v>2</v>
      </c>
      <c r="V1440" s="0" t="inlineStr">
        <is>
          <t>계단식</t>
        </is>
      </c>
      <c r="W1440" s="0" t="inlineStr">
        <is>
          <t>68A</t>
        </is>
      </c>
      <c r="X1440" s="0" t="n">
        <v>7</v>
      </c>
      <c r="Y1440" s="0" t="n">
        <v>6</v>
      </c>
      <c r="Z1440" s="0" t="inlineStr">
        <is>
          <t>https://new.land.naver.com/complexes/139902?tab=detail&amp;rf=Y</t>
        </is>
      </c>
      <c r="AA1440" s="0" t="inlineStr">
        <is>
          <t>서울시 강동구 성내동 409-1</t>
        </is>
      </c>
      <c r="AB1440" s="0" t="inlineStr">
        <is>
          <t>서울시</t>
        </is>
      </c>
      <c r="AC1440" s="0" t="inlineStr">
        <is>
          <t>강동구</t>
        </is>
      </c>
      <c r="AD1440" s="0" t="inlineStr">
        <is>
          <t>성내동</t>
        </is>
      </c>
      <c r="AG1440" s="0" t="inlineStr">
        <is>
          <t>서울시 강동구 성안로 84</t>
        </is>
      </c>
      <c r="AH1440" s="0" t="n">
        <v>0</v>
      </c>
      <c r="AI1440" s="0" t="n">
        <v>199</v>
      </c>
      <c r="AJ1440" s="0" t="n">
        <v>45</v>
      </c>
      <c r="AK1440" s="0" t="n">
        <v>23</v>
      </c>
      <c r="AL1440" s="0" t="n">
        <v>0.79</v>
      </c>
    </row>
    <row r="1441">
      <c r="A1441" s="0" t="inlineStr">
        <is>
          <t>[성내동]</t>
        </is>
      </c>
      <c r="B1441" s="0" t="n">
        <v>139902</v>
      </c>
      <c r="C1441" s="0" t="n">
        <v>23</v>
      </c>
      <c r="D1441" s="0" t="inlineStr">
        <is>
          <t>세명</t>
        </is>
      </c>
      <c r="E1441" s="0" t="inlineStr">
        <is>
          <t>2021.02.</t>
        </is>
      </c>
      <c r="F1441" s="0" t="n">
        <v>29</v>
      </c>
      <c r="G1441" s="0" t="n">
        <v>20.87</v>
      </c>
      <c r="H1441" s="0" t="n">
        <v>69.02</v>
      </c>
      <c r="I1441" s="0" t="n">
        <v>17.48</v>
      </c>
      <c r="J1441" s="0" t="n">
        <v>57.79</v>
      </c>
      <c r="K1441" s="0" t="n">
        <v>1</v>
      </c>
      <c r="T1441" s="0" t="n">
        <v>3</v>
      </c>
      <c r="U1441" s="0" t="n">
        <v>2</v>
      </c>
      <c r="V1441" s="0" t="inlineStr">
        <is>
          <t>계단식</t>
        </is>
      </c>
      <c r="W1441" s="0" t="inlineStr">
        <is>
          <t>69B</t>
        </is>
      </c>
      <c r="X1441" s="0" t="n">
        <v>7</v>
      </c>
      <c r="Y1441" s="0" t="n">
        <v>6</v>
      </c>
      <c r="Z1441" s="0" t="inlineStr">
        <is>
          <t>https://new.land.naver.com/complexes/139902?tab=detail&amp;rf=Y</t>
        </is>
      </c>
      <c r="AA1441" s="0" t="inlineStr">
        <is>
          <t>서울시 강동구 성내동 409-1</t>
        </is>
      </c>
      <c r="AB1441" s="0" t="inlineStr">
        <is>
          <t>서울시</t>
        </is>
      </c>
      <c r="AC1441" s="0" t="inlineStr">
        <is>
          <t>강동구</t>
        </is>
      </c>
      <c r="AD1441" s="0" t="inlineStr">
        <is>
          <t>성내동</t>
        </is>
      </c>
      <c r="AG1441" s="0" t="inlineStr">
        <is>
          <t>서울시 강동구 성안로 84</t>
        </is>
      </c>
      <c r="AH1441" s="0" t="n">
        <v>0</v>
      </c>
      <c r="AI1441" s="0" t="n">
        <v>199</v>
      </c>
      <c r="AJ1441" s="0" t="n">
        <v>45</v>
      </c>
      <c r="AK1441" s="0" t="n">
        <v>23</v>
      </c>
      <c r="AL1441" s="0" t="n">
        <v>0.79</v>
      </c>
    </row>
    <row r="1442">
      <c r="A1442" s="0" t="inlineStr">
        <is>
          <t>[성내동]</t>
        </is>
      </c>
      <c r="B1442" s="0" t="n">
        <v>26964</v>
      </c>
      <c r="C1442" s="0" t="n">
        <v>1</v>
      </c>
      <c r="D1442" s="0" t="inlineStr">
        <is>
          <t>금광포란재</t>
        </is>
      </c>
      <c r="E1442" s="0" t="inlineStr">
        <is>
          <t>2007.05.</t>
        </is>
      </c>
      <c r="F1442" s="0" t="n">
        <v>39</v>
      </c>
      <c r="G1442" s="0" t="n">
        <v>20.15</v>
      </c>
      <c r="H1442" s="0" t="n">
        <v>66.64</v>
      </c>
      <c r="I1442" s="0" t="n">
        <v>16.79</v>
      </c>
      <c r="J1442" s="0" t="n">
        <v>55.51</v>
      </c>
      <c r="K1442" s="0" t="n">
        <v>1</v>
      </c>
      <c r="T1442" s="0" t="n">
        <v>2</v>
      </c>
      <c r="U1442" s="0" t="n">
        <v>1</v>
      </c>
      <c r="V1442" s="0" t="inlineStr">
        <is>
          <t>계단식</t>
        </is>
      </c>
      <c r="W1442" s="0" t="n">
        <v>66</v>
      </c>
      <c r="X1442" s="0" t="n">
        <v>11</v>
      </c>
      <c r="Y1442" s="0" t="n">
        <v>3</v>
      </c>
      <c r="Z1442" s="0" t="inlineStr">
        <is>
          <t>https://new.land.naver.com/complexes/26964?tab=detail&amp;rf=Y</t>
        </is>
      </c>
      <c r="AA1442" s="0" t="inlineStr">
        <is>
          <t>서울시 강동구 성내동 604</t>
        </is>
      </c>
      <c r="AB1442" s="0" t="inlineStr">
        <is>
          <t>서울시</t>
        </is>
      </c>
      <c r="AC1442" s="0" t="inlineStr">
        <is>
          <t>강동구</t>
        </is>
      </c>
      <c r="AD1442" s="0" t="inlineStr">
        <is>
          <t>성내동</t>
        </is>
      </c>
      <c r="AG1442" s="0" t="inlineStr">
        <is>
          <t>서울시 강동구 천호옛14길 28-39</t>
        </is>
      </c>
      <c r="AH1442" s="0" t="n">
        <v>0</v>
      </c>
      <c r="AI1442" s="0" t="n">
        <v>229</v>
      </c>
      <c r="AJ1442" s="0" t="n">
        <v>30</v>
      </c>
      <c r="AK1442" s="0" t="n">
        <v>62</v>
      </c>
      <c r="AL1442" s="0" t="n">
        <v>1.59</v>
      </c>
    </row>
    <row r="1443">
      <c r="A1443" s="0" t="inlineStr">
        <is>
          <t>[성내동]</t>
        </is>
      </c>
      <c r="B1443" s="0" t="n">
        <v>26964</v>
      </c>
      <c r="C1443" s="0" t="n">
        <v>2</v>
      </c>
      <c r="D1443" s="0" t="inlineStr">
        <is>
          <t>금광포란재</t>
        </is>
      </c>
      <c r="E1443" s="0" t="inlineStr">
        <is>
          <t>2007.05.</t>
        </is>
      </c>
      <c r="F1443" s="0" t="n">
        <v>39</v>
      </c>
      <c r="G1443" s="0" t="n">
        <v>22.82</v>
      </c>
      <c r="H1443" s="0" t="n">
        <v>75.45999999999999</v>
      </c>
      <c r="I1443" s="0" t="n">
        <v>19.06</v>
      </c>
      <c r="J1443" s="0" t="n">
        <v>63.02</v>
      </c>
      <c r="K1443" s="0" t="n">
        <v>2</v>
      </c>
      <c r="T1443" s="0" t="n">
        <v>3</v>
      </c>
      <c r="U1443" s="0" t="n">
        <v>1</v>
      </c>
      <c r="V1443" s="0" t="inlineStr">
        <is>
          <t>계단식</t>
        </is>
      </c>
      <c r="W1443" s="0" t="n">
        <v>75</v>
      </c>
      <c r="X1443" s="0" t="n">
        <v>11</v>
      </c>
      <c r="Y1443" s="0" t="n">
        <v>3</v>
      </c>
      <c r="Z1443" s="0" t="inlineStr">
        <is>
          <t>https://new.land.naver.com/complexes/26964?tab=detail&amp;rf=Y</t>
        </is>
      </c>
      <c r="AA1443" s="0" t="inlineStr">
        <is>
          <t>서울시 강동구 성내동 604</t>
        </is>
      </c>
      <c r="AB1443" s="0" t="inlineStr">
        <is>
          <t>서울시</t>
        </is>
      </c>
      <c r="AC1443" s="0" t="inlineStr">
        <is>
          <t>강동구</t>
        </is>
      </c>
      <c r="AD1443" s="0" t="inlineStr">
        <is>
          <t>성내동</t>
        </is>
      </c>
      <c r="AG1443" s="0" t="inlineStr">
        <is>
          <t>서울시 강동구 천호옛14길 28-39</t>
        </is>
      </c>
      <c r="AH1443" s="0" t="n">
        <v>0</v>
      </c>
      <c r="AI1443" s="0" t="n">
        <v>229</v>
      </c>
      <c r="AJ1443" s="0" t="n">
        <v>30</v>
      </c>
      <c r="AK1443" s="0" t="n">
        <v>62</v>
      </c>
      <c r="AL1443" s="0" t="n">
        <v>1.59</v>
      </c>
    </row>
    <row r="1444">
      <c r="A1444" s="0" t="inlineStr">
        <is>
          <t>[성내동]</t>
        </is>
      </c>
      <c r="B1444" s="0" t="n">
        <v>26964</v>
      </c>
      <c r="C1444" s="0" t="n">
        <v>3</v>
      </c>
      <c r="D1444" s="0" t="inlineStr">
        <is>
          <t>금광포란재</t>
        </is>
      </c>
      <c r="E1444" s="0" t="inlineStr">
        <is>
          <t>2007.05.</t>
        </is>
      </c>
      <c r="F1444" s="0" t="n">
        <v>39</v>
      </c>
      <c r="G1444" s="0" t="n">
        <v>30.12</v>
      </c>
      <c r="H1444" s="0" t="n">
        <v>99.59999999999999</v>
      </c>
      <c r="I1444" s="0" t="n">
        <v>25.5</v>
      </c>
      <c r="J1444" s="0" t="n">
        <v>84.3</v>
      </c>
      <c r="K1444" s="0" t="n">
        <v>1</v>
      </c>
      <c r="T1444" s="0" t="n">
        <v>3</v>
      </c>
      <c r="U1444" s="0" t="n">
        <v>2</v>
      </c>
      <c r="V1444" s="0" t="inlineStr">
        <is>
          <t>계단식</t>
        </is>
      </c>
      <c r="W1444" s="0" t="inlineStr">
        <is>
          <t>99A</t>
        </is>
      </c>
      <c r="X1444" s="0" t="n">
        <v>11</v>
      </c>
      <c r="Y1444" s="0" t="n">
        <v>3</v>
      </c>
      <c r="Z1444" s="0" t="inlineStr">
        <is>
          <t>https://new.land.naver.com/complexes/26964?tab=detail&amp;rf=Y</t>
        </is>
      </c>
      <c r="AA1444" s="0" t="inlineStr">
        <is>
          <t>서울시 강동구 성내동 604</t>
        </is>
      </c>
      <c r="AB1444" s="0" t="inlineStr">
        <is>
          <t>서울시</t>
        </is>
      </c>
      <c r="AC1444" s="0" t="inlineStr">
        <is>
          <t>강동구</t>
        </is>
      </c>
      <c r="AD1444" s="0" t="inlineStr">
        <is>
          <t>성내동</t>
        </is>
      </c>
      <c r="AG1444" s="0" t="inlineStr">
        <is>
          <t>서울시 강동구 천호옛14길 28-39</t>
        </is>
      </c>
      <c r="AH1444" s="0" t="n">
        <v>0</v>
      </c>
      <c r="AI1444" s="0" t="n">
        <v>229</v>
      </c>
      <c r="AJ1444" s="0" t="n">
        <v>30</v>
      </c>
      <c r="AK1444" s="0" t="n">
        <v>62</v>
      </c>
      <c r="AL1444" s="0" t="n">
        <v>1.59</v>
      </c>
    </row>
    <row r="1445">
      <c r="A1445" s="0" t="inlineStr">
        <is>
          <t>[성내동]</t>
        </is>
      </c>
      <c r="B1445" s="0" t="n">
        <v>26964</v>
      </c>
      <c r="C1445" s="0" t="n">
        <v>4</v>
      </c>
      <c r="D1445" s="0" t="inlineStr">
        <is>
          <t>금광포란재</t>
        </is>
      </c>
      <c r="E1445" s="0" t="inlineStr">
        <is>
          <t>2007.05.</t>
        </is>
      </c>
      <c r="F1445" s="0" t="n">
        <v>39</v>
      </c>
      <c r="G1445" s="0" t="n">
        <v>30.46</v>
      </c>
      <c r="H1445" s="0" t="n">
        <v>100.71</v>
      </c>
      <c r="I1445" s="0" t="n">
        <v>25.7</v>
      </c>
      <c r="J1445" s="0" t="n">
        <v>84.98999999999999</v>
      </c>
      <c r="K1445" s="0" t="n">
        <v>3</v>
      </c>
      <c r="T1445" s="0" t="n">
        <v>3</v>
      </c>
      <c r="U1445" s="0" t="n">
        <v>2</v>
      </c>
      <c r="V1445" s="0" t="inlineStr">
        <is>
          <t>계단식</t>
        </is>
      </c>
      <c r="W1445" s="0" t="inlineStr">
        <is>
          <t>100B</t>
        </is>
      </c>
      <c r="X1445" s="0" t="n">
        <v>11</v>
      </c>
      <c r="Y1445" s="0" t="n">
        <v>3</v>
      </c>
      <c r="Z1445" s="0" t="inlineStr">
        <is>
          <t>https://new.land.naver.com/complexes/26964?tab=detail&amp;rf=Y</t>
        </is>
      </c>
      <c r="AA1445" s="0" t="inlineStr">
        <is>
          <t>서울시 강동구 성내동 604</t>
        </is>
      </c>
      <c r="AB1445" s="0" t="inlineStr">
        <is>
          <t>서울시</t>
        </is>
      </c>
      <c r="AC1445" s="0" t="inlineStr">
        <is>
          <t>강동구</t>
        </is>
      </c>
      <c r="AD1445" s="0" t="inlineStr">
        <is>
          <t>성내동</t>
        </is>
      </c>
      <c r="AG1445" s="0" t="inlineStr">
        <is>
          <t>서울시 강동구 천호옛14길 28-39</t>
        </is>
      </c>
      <c r="AH1445" s="0" t="n">
        <v>0</v>
      </c>
      <c r="AI1445" s="0" t="n">
        <v>229</v>
      </c>
      <c r="AJ1445" s="0" t="n">
        <v>30</v>
      </c>
      <c r="AK1445" s="0" t="n">
        <v>62</v>
      </c>
      <c r="AL1445" s="0" t="n">
        <v>1.59</v>
      </c>
    </row>
    <row r="1446">
      <c r="A1446" s="0" t="inlineStr">
        <is>
          <t>[성내동]</t>
        </is>
      </c>
      <c r="B1446" s="0" t="n">
        <v>26964</v>
      </c>
      <c r="C1446" s="0" t="n">
        <v>5</v>
      </c>
      <c r="D1446" s="0" t="inlineStr">
        <is>
          <t>금광포란재</t>
        </is>
      </c>
      <c r="E1446" s="0" t="inlineStr">
        <is>
          <t>2007.05.</t>
        </is>
      </c>
      <c r="F1446" s="0" t="n">
        <v>39</v>
      </c>
      <c r="G1446" s="0" t="n">
        <v>30.98</v>
      </c>
      <c r="H1446" s="0" t="n">
        <v>102.42</v>
      </c>
      <c r="I1446" s="0" t="n">
        <v>25.65</v>
      </c>
      <c r="J1446" s="0" t="n">
        <v>84.81</v>
      </c>
      <c r="K1446" s="0" t="n">
        <v>1</v>
      </c>
      <c r="T1446" s="0" t="n">
        <v>3</v>
      </c>
      <c r="U1446" s="0" t="n">
        <v>2</v>
      </c>
      <c r="V1446" s="0" t="inlineStr">
        <is>
          <t>계단식</t>
        </is>
      </c>
      <c r="W1446" s="0" t="inlineStr">
        <is>
          <t>102C</t>
        </is>
      </c>
      <c r="X1446" s="0" t="n">
        <v>11</v>
      </c>
      <c r="Y1446" s="0" t="n">
        <v>3</v>
      </c>
      <c r="Z1446" s="0" t="inlineStr">
        <is>
          <t>https://new.land.naver.com/complexes/26964?tab=detail&amp;rf=Y</t>
        </is>
      </c>
      <c r="AA1446" s="0" t="inlineStr">
        <is>
          <t>서울시 강동구 성내동 604</t>
        </is>
      </c>
      <c r="AB1446" s="0" t="inlineStr">
        <is>
          <t>서울시</t>
        </is>
      </c>
      <c r="AC1446" s="0" t="inlineStr">
        <is>
          <t>강동구</t>
        </is>
      </c>
      <c r="AD1446" s="0" t="inlineStr">
        <is>
          <t>성내동</t>
        </is>
      </c>
      <c r="AG1446" s="0" t="inlineStr">
        <is>
          <t>서울시 강동구 천호옛14길 28-39</t>
        </is>
      </c>
      <c r="AH1446" s="0" t="n">
        <v>0</v>
      </c>
      <c r="AI1446" s="0" t="n">
        <v>229</v>
      </c>
      <c r="AJ1446" s="0" t="n">
        <v>30</v>
      </c>
      <c r="AK1446" s="0" t="n">
        <v>62</v>
      </c>
      <c r="AL1446" s="0" t="n">
        <v>1.59</v>
      </c>
    </row>
    <row r="1447">
      <c r="A1447" s="0" t="inlineStr">
        <is>
          <t>[성내동]</t>
        </is>
      </c>
      <c r="B1447" s="0" t="n">
        <v>26964</v>
      </c>
      <c r="C1447" s="0" t="n">
        <v>6</v>
      </c>
      <c r="D1447" s="0" t="inlineStr">
        <is>
          <t>금광포란재</t>
        </is>
      </c>
      <c r="E1447" s="0" t="inlineStr">
        <is>
          <t>2007.05.</t>
        </is>
      </c>
      <c r="F1447" s="0" t="n">
        <v>39</v>
      </c>
      <c r="G1447" s="0" t="n">
        <v>34.44</v>
      </c>
      <c r="H1447" s="0" t="n">
        <v>113.87</v>
      </c>
      <c r="I1447" s="0" t="n">
        <v>25.69</v>
      </c>
      <c r="J1447" s="0" t="n">
        <v>84.94</v>
      </c>
      <c r="K1447" s="0" t="n">
        <v>5</v>
      </c>
      <c r="T1447" s="0" t="n">
        <v>3</v>
      </c>
      <c r="U1447" s="0" t="n">
        <v>2</v>
      </c>
      <c r="V1447" s="0" t="inlineStr">
        <is>
          <t>계단식</t>
        </is>
      </c>
      <c r="W1447" s="0" t="inlineStr">
        <is>
          <t>113A</t>
        </is>
      </c>
      <c r="X1447" s="0" t="n">
        <v>11</v>
      </c>
      <c r="Y1447" s="0" t="n">
        <v>3</v>
      </c>
      <c r="Z1447" s="0" t="inlineStr">
        <is>
          <t>https://new.land.naver.com/complexes/26964?tab=detail&amp;rf=Y</t>
        </is>
      </c>
      <c r="AA1447" s="0" t="inlineStr">
        <is>
          <t>서울시 강동구 성내동 604</t>
        </is>
      </c>
      <c r="AB1447" s="0" t="inlineStr">
        <is>
          <t>서울시</t>
        </is>
      </c>
      <c r="AC1447" s="0" t="inlineStr">
        <is>
          <t>강동구</t>
        </is>
      </c>
      <c r="AD1447" s="0" t="inlineStr">
        <is>
          <t>성내동</t>
        </is>
      </c>
      <c r="AG1447" s="0" t="inlineStr">
        <is>
          <t>서울시 강동구 천호옛14길 28-39</t>
        </is>
      </c>
      <c r="AH1447" s="0" t="n">
        <v>0</v>
      </c>
      <c r="AI1447" s="0" t="n">
        <v>229</v>
      </c>
      <c r="AJ1447" s="0" t="n">
        <v>30</v>
      </c>
      <c r="AK1447" s="0" t="n">
        <v>62</v>
      </c>
      <c r="AL1447" s="0" t="n">
        <v>1.59</v>
      </c>
    </row>
    <row r="1448">
      <c r="A1448" s="0" t="inlineStr">
        <is>
          <t>[성내동]</t>
        </is>
      </c>
      <c r="B1448" s="0" t="n">
        <v>26964</v>
      </c>
      <c r="C1448" s="0" t="n">
        <v>7</v>
      </c>
      <c r="D1448" s="0" t="inlineStr">
        <is>
          <t>금광포란재</t>
        </is>
      </c>
      <c r="E1448" s="0" t="inlineStr">
        <is>
          <t>2007.05.</t>
        </is>
      </c>
      <c r="F1448" s="0" t="n">
        <v>39</v>
      </c>
      <c r="G1448" s="0" t="n">
        <v>34.55</v>
      </c>
      <c r="H1448" s="0" t="n">
        <v>114.23</v>
      </c>
      <c r="I1448" s="0" t="n">
        <v>25.59</v>
      </c>
      <c r="J1448" s="0" t="n">
        <v>84.59999999999999</v>
      </c>
      <c r="K1448" s="0" t="n">
        <v>2</v>
      </c>
      <c r="T1448" s="0" t="n">
        <v>2</v>
      </c>
      <c r="U1448" s="0" t="n">
        <v>2</v>
      </c>
      <c r="V1448" s="0" t="inlineStr">
        <is>
          <t>계단식</t>
        </is>
      </c>
      <c r="W1448" s="0" t="inlineStr">
        <is>
          <t>114B</t>
        </is>
      </c>
      <c r="X1448" s="0" t="n">
        <v>11</v>
      </c>
      <c r="Y1448" s="0" t="n">
        <v>3</v>
      </c>
      <c r="Z1448" s="0" t="inlineStr">
        <is>
          <t>https://new.land.naver.com/complexes/26964?tab=detail&amp;rf=Y</t>
        </is>
      </c>
      <c r="AA1448" s="0" t="inlineStr">
        <is>
          <t>서울시 강동구 성내동 604</t>
        </is>
      </c>
      <c r="AB1448" s="0" t="inlineStr">
        <is>
          <t>서울시</t>
        </is>
      </c>
      <c r="AC1448" s="0" t="inlineStr">
        <is>
          <t>강동구</t>
        </is>
      </c>
      <c r="AD1448" s="0" t="inlineStr">
        <is>
          <t>성내동</t>
        </is>
      </c>
      <c r="AG1448" s="0" t="inlineStr">
        <is>
          <t>서울시 강동구 천호옛14길 28-39</t>
        </is>
      </c>
      <c r="AH1448" s="0" t="n">
        <v>0</v>
      </c>
      <c r="AI1448" s="0" t="n">
        <v>229</v>
      </c>
      <c r="AJ1448" s="0" t="n">
        <v>30</v>
      </c>
      <c r="AK1448" s="0" t="n">
        <v>62</v>
      </c>
      <c r="AL1448" s="0" t="n">
        <v>1.59</v>
      </c>
    </row>
    <row r="1449">
      <c r="A1449" s="0" t="inlineStr">
        <is>
          <t>[성내동]</t>
        </is>
      </c>
      <c r="B1449" s="0" t="n">
        <v>26964</v>
      </c>
      <c r="C1449" s="0" t="n">
        <v>8</v>
      </c>
      <c r="D1449" s="0" t="inlineStr">
        <is>
          <t>금광포란재</t>
        </is>
      </c>
      <c r="E1449" s="0" t="inlineStr">
        <is>
          <t>2007.05.</t>
        </is>
      </c>
      <c r="F1449" s="0" t="n">
        <v>39</v>
      </c>
      <c r="G1449" s="0" t="n">
        <v>35.73</v>
      </c>
      <c r="H1449" s="0" t="n">
        <v>118.14</v>
      </c>
      <c r="I1449" s="0" t="n">
        <v>30.42</v>
      </c>
      <c r="J1449" s="0" t="n">
        <v>100.59</v>
      </c>
      <c r="K1449" s="0" t="n">
        <v>1</v>
      </c>
      <c r="T1449" s="0" t="n">
        <v>4</v>
      </c>
      <c r="U1449" s="0" t="n">
        <v>2</v>
      </c>
      <c r="V1449" s="0" t="inlineStr">
        <is>
          <t>계단식</t>
        </is>
      </c>
      <c r="W1449" s="0" t="n">
        <v>118</v>
      </c>
      <c r="X1449" s="0" t="n">
        <v>11</v>
      </c>
      <c r="Y1449" s="0" t="n">
        <v>3</v>
      </c>
      <c r="Z1449" s="0" t="inlineStr">
        <is>
          <t>https://new.land.naver.com/complexes/26964?tab=detail&amp;rf=Y</t>
        </is>
      </c>
      <c r="AA1449" s="0" t="inlineStr">
        <is>
          <t>서울시 강동구 성내동 604</t>
        </is>
      </c>
      <c r="AB1449" s="0" t="inlineStr">
        <is>
          <t>서울시</t>
        </is>
      </c>
      <c r="AC1449" s="0" t="inlineStr">
        <is>
          <t>강동구</t>
        </is>
      </c>
      <c r="AD1449" s="0" t="inlineStr">
        <is>
          <t>성내동</t>
        </is>
      </c>
      <c r="AG1449" s="0" t="inlineStr">
        <is>
          <t>서울시 강동구 천호옛14길 28-39</t>
        </is>
      </c>
      <c r="AH1449" s="0" t="n">
        <v>0</v>
      </c>
      <c r="AI1449" s="0" t="n">
        <v>229</v>
      </c>
      <c r="AJ1449" s="0" t="n">
        <v>30</v>
      </c>
      <c r="AK1449" s="0" t="n">
        <v>62</v>
      </c>
      <c r="AL1449" s="0" t="n">
        <v>1.59</v>
      </c>
    </row>
    <row r="1450">
      <c r="A1450" s="0" t="inlineStr">
        <is>
          <t>[성내동]</t>
        </is>
      </c>
      <c r="B1450" s="0" t="n">
        <v>26964</v>
      </c>
      <c r="C1450" s="0" t="n">
        <v>9</v>
      </c>
      <c r="D1450" s="0" t="inlineStr">
        <is>
          <t>금광포란재</t>
        </is>
      </c>
      <c r="E1450" s="0" t="inlineStr">
        <is>
          <t>2007.05.</t>
        </is>
      </c>
      <c r="F1450" s="0" t="n">
        <v>39</v>
      </c>
      <c r="G1450" s="0" t="n">
        <v>40.39</v>
      </c>
      <c r="H1450" s="0" t="n">
        <v>133.55</v>
      </c>
      <c r="I1450" s="0" t="n">
        <v>34.57</v>
      </c>
      <c r="J1450" s="0" t="n">
        <v>114.31</v>
      </c>
      <c r="K1450" s="0" t="n">
        <v>1</v>
      </c>
      <c r="T1450" s="0" t="n">
        <v>3</v>
      </c>
      <c r="U1450" s="0" t="n">
        <v>2</v>
      </c>
      <c r="V1450" s="0" t="inlineStr">
        <is>
          <t>계단식</t>
        </is>
      </c>
      <c r="W1450" s="0" t="inlineStr">
        <is>
          <t>133A</t>
        </is>
      </c>
      <c r="X1450" s="0" t="n">
        <v>11</v>
      </c>
      <c r="Y1450" s="0" t="n">
        <v>3</v>
      </c>
      <c r="Z1450" s="0" t="inlineStr">
        <is>
          <t>https://new.land.naver.com/complexes/26964?tab=detail&amp;rf=Y</t>
        </is>
      </c>
      <c r="AA1450" s="0" t="inlineStr">
        <is>
          <t>서울시 강동구 성내동 604</t>
        </is>
      </c>
      <c r="AB1450" s="0" t="inlineStr">
        <is>
          <t>서울시</t>
        </is>
      </c>
      <c r="AC1450" s="0" t="inlineStr">
        <is>
          <t>강동구</t>
        </is>
      </c>
      <c r="AD1450" s="0" t="inlineStr">
        <is>
          <t>성내동</t>
        </is>
      </c>
      <c r="AG1450" s="0" t="inlineStr">
        <is>
          <t>서울시 강동구 천호옛14길 28-39</t>
        </is>
      </c>
      <c r="AH1450" s="0" t="n">
        <v>0</v>
      </c>
      <c r="AI1450" s="0" t="n">
        <v>229</v>
      </c>
      <c r="AJ1450" s="0" t="n">
        <v>30</v>
      </c>
      <c r="AK1450" s="0" t="n">
        <v>62</v>
      </c>
      <c r="AL1450" s="0" t="n">
        <v>1.59</v>
      </c>
    </row>
    <row r="1451">
      <c r="A1451" s="0" t="inlineStr">
        <is>
          <t>[성내동]</t>
        </is>
      </c>
      <c r="B1451" s="0" t="n">
        <v>26964</v>
      </c>
      <c r="C1451" s="0" t="n">
        <v>10</v>
      </c>
      <c r="D1451" s="0" t="inlineStr">
        <is>
          <t>금광포란재</t>
        </is>
      </c>
      <c r="E1451" s="0" t="inlineStr">
        <is>
          <t>2007.05.</t>
        </is>
      </c>
      <c r="F1451" s="0" t="n">
        <v>39</v>
      </c>
      <c r="G1451" s="0" t="n">
        <v>41.82</v>
      </c>
      <c r="H1451" s="0" t="n">
        <v>138.28</v>
      </c>
      <c r="I1451" s="0" t="n">
        <v>34.57</v>
      </c>
      <c r="J1451" s="0" t="n">
        <v>114.31</v>
      </c>
      <c r="K1451" s="0" t="n">
        <v>8</v>
      </c>
      <c r="T1451" s="0" t="n">
        <v>3</v>
      </c>
      <c r="U1451" s="0" t="n">
        <v>2</v>
      </c>
      <c r="V1451" s="0" t="inlineStr">
        <is>
          <t>계단식</t>
        </is>
      </c>
      <c r="W1451" s="0" t="inlineStr">
        <is>
          <t>138B</t>
        </is>
      </c>
      <c r="X1451" s="0" t="n">
        <v>11</v>
      </c>
      <c r="Y1451" s="0" t="n">
        <v>3</v>
      </c>
      <c r="Z1451" s="0" t="inlineStr">
        <is>
          <t>https://new.land.naver.com/complexes/26964?tab=detail&amp;rf=Y</t>
        </is>
      </c>
      <c r="AA1451" s="0" t="inlineStr">
        <is>
          <t>서울시 강동구 성내동 604</t>
        </is>
      </c>
      <c r="AB1451" s="0" t="inlineStr">
        <is>
          <t>서울시</t>
        </is>
      </c>
      <c r="AC1451" s="0" t="inlineStr">
        <is>
          <t>강동구</t>
        </is>
      </c>
      <c r="AD1451" s="0" t="inlineStr">
        <is>
          <t>성내동</t>
        </is>
      </c>
      <c r="AG1451" s="0" t="inlineStr">
        <is>
          <t>서울시 강동구 천호옛14길 28-39</t>
        </is>
      </c>
      <c r="AH1451" s="0" t="n">
        <v>0</v>
      </c>
      <c r="AI1451" s="0" t="n">
        <v>229</v>
      </c>
      <c r="AJ1451" s="0" t="n">
        <v>30</v>
      </c>
      <c r="AK1451" s="0" t="n">
        <v>62</v>
      </c>
      <c r="AL1451" s="0" t="n">
        <v>1.59</v>
      </c>
    </row>
    <row r="1452">
      <c r="A1452" s="0" t="inlineStr">
        <is>
          <t>[성내동]</t>
        </is>
      </c>
      <c r="B1452" s="0" t="n">
        <v>26964</v>
      </c>
      <c r="C1452" s="0" t="n">
        <v>11</v>
      </c>
      <c r="D1452" s="0" t="inlineStr">
        <is>
          <t>금광포란재</t>
        </is>
      </c>
      <c r="E1452" s="0" t="inlineStr">
        <is>
          <t>2007.05.</t>
        </is>
      </c>
      <c r="F1452" s="0" t="n">
        <v>39</v>
      </c>
      <c r="G1452" s="0" t="n">
        <v>42.05</v>
      </c>
      <c r="H1452" s="0" t="n">
        <v>139.03</v>
      </c>
      <c r="I1452" s="0" t="n">
        <v>35.87</v>
      </c>
      <c r="J1452" s="0" t="n">
        <v>118.61</v>
      </c>
      <c r="K1452" s="0" t="n">
        <v>1</v>
      </c>
      <c r="T1452" s="0" t="n">
        <v>4</v>
      </c>
      <c r="U1452" s="0" t="n">
        <v>2</v>
      </c>
      <c r="V1452" s="0" t="inlineStr">
        <is>
          <t>계단식</t>
        </is>
      </c>
      <c r="W1452" s="0" t="inlineStr">
        <is>
          <t>139B</t>
        </is>
      </c>
      <c r="X1452" s="0" t="n">
        <v>11</v>
      </c>
      <c r="Y1452" s="0" t="n">
        <v>3</v>
      </c>
      <c r="Z1452" s="0" t="inlineStr">
        <is>
          <t>https://new.land.naver.com/complexes/26964?tab=detail&amp;rf=Y</t>
        </is>
      </c>
      <c r="AA1452" s="0" t="inlineStr">
        <is>
          <t>서울시 강동구 성내동 604</t>
        </is>
      </c>
      <c r="AB1452" s="0" t="inlineStr">
        <is>
          <t>서울시</t>
        </is>
      </c>
      <c r="AC1452" s="0" t="inlineStr">
        <is>
          <t>강동구</t>
        </is>
      </c>
      <c r="AD1452" s="0" t="inlineStr">
        <is>
          <t>성내동</t>
        </is>
      </c>
      <c r="AG1452" s="0" t="inlineStr">
        <is>
          <t>서울시 강동구 천호옛14길 28-39</t>
        </is>
      </c>
      <c r="AH1452" s="0" t="n">
        <v>0</v>
      </c>
      <c r="AI1452" s="0" t="n">
        <v>229</v>
      </c>
      <c r="AJ1452" s="0" t="n">
        <v>30</v>
      </c>
      <c r="AK1452" s="0" t="n">
        <v>62</v>
      </c>
      <c r="AL1452" s="0" t="n">
        <v>1.59</v>
      </c>
    </row>
    <row r="1453">
      <c r="A1453" s="0" t="inlineStr">
        <is>
          <t>[성내동]</t>
        </is>
      </c>
      <c r="B1453" s="0" t="n">
        <v>26964</v>
      </c>
      <c r="C1453" s="0" t="n">
        <v>12</v>
      </c>
      <c r="D1453" s="0" t="inlineStr">
        <is>
          <t>금광포란재</t>
        </is>
      </c>
      <c r="E1453" s="0" t="inlineStr">
        <is>
          <t>2007.05.</t>
        </is>
      </c>
      <c r="F1453" s="0" t="n">
        <v>39</v>
      </c>
      <c r="G1453" s="0" t="n">
        <v>42.48</v>
      </c>
      <c r="H1453" s="0" t="n">
        <v>140.44</v>
      </c>
      <c r="I1453" s="0" t="n">
        <v>35.87</v>
      </c>
      <c r="J1453" s="0" t="n">
        <v>118.61</v>
      </c>
      <c r="K1453" s="0" t="n">
        <v>8</v>
      </c>
      <c r="T1453" s="0" t="n">
        <v>4</v>
      </c>
      <c r="U1453" s="0" t="n">
        <v>2</v>
      </c>
      <c r="V1453" s="0" t="inlineStr">
        <is>
          <t>계단식</t>
        </is>
      </c>
      <c r="W1453" s="0" t="inlineStr">
        <is>
          <t>140A</t>
        </is>
      </c>
      <c r="X1453" s="0" t="n">
        <v>11</v>
      </c>
      <c r="Y1453" s="0" t="n">
        <v>3</v>
      </c>
      <c r="Z1453" s="0" t="inlineStr">
        <is>
          <t>https://new.land.naver.com/complexes/26964?tab=detail&amp;rf=Y</t>
        </is>
      </c>
      <c r="AA1453" s="0" t="inlineStr">
        <is>
          <t>서울시 강동구 성내동 604</t>
        </is>
      </c>
      <c r="AB1453" s="0" t="inlineStr">
        <is>
          <t>서울시</t>
        </is>
      </c>
      <c r="AC1453" s="0" t="inlineStr">
        <is>
          <t>강동구</t>
        </is>
      </c>
      <c r="AD1453" s="0" t="inlineStr">
        <is>
          <t>성내동</t>
        </is>
      </c>
      <c r="AG1453" s="0" t="inlineStr">
        <is>
          <t>서울시 강동구 천호옛14길 28-39</t>
        </is>
      </c>
      <c r="AH1453" s="0" t="n">
        <v>0</v>
      </c>
      <c r="AI1453" s="0" t="n">
        <v>229</v>
      </c>
      <c r="AJ1453" s="0" t="n">
        <v>30</v>
      </c>
      <c r="AK1453" s="0" t="n">
        <v>62</v>
      </c>
      <c r="AL1453" s="0" t="n">
        <v>1.59</v>
      </c>
    </row>
    <row r="1454">
      <c r="A1454" s="0" t="inlineStr">
        <is>
          <t>[성내동]</t>
        </is>
      </c>
      <c r="B1454" s="0" t="n">
        <v>26964</v>
      </c>
      <c r="C1454" s="0" t="n">
        <v>13</v>
      </c>
      <c r="D1454" s="0" t="inlineStr">
        <is>
          <t>금광포란재</t>
        </is>
      </c>
      <c r="E1454" s="0" t="inlineStr">
        <is>
          <t>2007.05.</t>
        </is>
      </c>
      <c r="F1454" s="0" t="n">
        <v>39</v>
      </c>
      <c r="G1454" s="0" t="n">
        <v>44.54</v>
      </c>
      <c r="H1454" s="0" t="n">
        <v>147.24</v>
      </c>
      <c r="I1454" s="0" t="n">
        <v>37.69</v>
      </c>
      <c r="J1454" s="0" t="n">
        <v>124.6</v>
      </c>
      <c r="K1454" s="0" t="n">
        <v>5</v>
      </c>
      <c r="T1454" s="0" t="n">
        <v>4</v>
      </c>
      <c r="U1454" s="0" t="n">
        <v>2</v>
      </c>
      <c r="V1454" s="0" t="inlineStr">
        <is>
          <t>계단식</t>
        </is>
      </c>
      <c r="W1454" s="0" t="n">
        <v>147</v>
      </c>
      <c r="X1454" s="0" t="n">
        <v>11</v>
      </c>
      <c r="Y1454" s="0" t="n">
        <v>3</v>
      </c>
      <c r="Z1454" s="0" t="inlineStr">
        <is>
          <t>https://new.land.naver.com/complexes/26964?tab=detail&amp;rf=Y</t>
        </is>
      </c>
      <c r="AA1454" s="0" t="inlineStr">
        <is>
          <t>서울시 강동구 성내동 604</t>
        </is>
      </c>
      <c r="AB1454" s="0" t="inlineStr">
        <is>
          <t>서울시</t>
        </is>
      </c>
      <c r="AC1454" s="0" t="inlineStr">
        <is>
          <t>강동구</t>
        </is>
      </c>
      <c r="AD1454" s="0" t="inlineStr">
        <is>
          <t>성내동</t>
        </is>
      </c>
      <c r="AG1454" s="0" t="inlineStr">
        <is>
          <t>서울시 강동구 천호옛14길 28-39</t>
        </is>
      </c>
      <c r="AH1454" s="0" t="n">
        <v>0</v>
      </c>
      <c r="AI1454" s="0" t="n">
        <v>229</v>
      </c>
      <c r="AJ1454" s="0" t="n">
        <v>30</v>
      </c>
      <c r="AK1454" s="0" t="n">
        <v>62</v>
      </c>
      <c r="AL1454" s="0" t="n">
        <v>1.59</v>
      </c>
    </row>
    <row r="1455">
      <c r="A1455" s="0" t="inlineStr">
        <is>
          <t>[성내동]</t>
        </is>
      </c>
      <c r="B1455" s="0" t="n">
        <v>16159</v>
      </c>
      <c r="C1455" s="0" t="n">
        <v>1</v>
      </c>
      <c r="D1455" s="0" t="inlineStr">
        <is>
          <t>포레스</t>
        </is>
      </c>
      <c r="E1455" s="0" t="inlineStr">
        <is>
          <t>2003.08.</t>
        </is>
      </c>
      <c r="F1455" s="0" t="n">
        <v>56</v>
      </c>
      <c r="G1455" s="0" t="n">
        <v>25.56</v>
      </c>
      <c r="H1455" s="0" t="n">
        <v>84.5</v>
      </c>
      <c r="I1455" s="0" t="n">
        <v>22.12</v>
      </c>
      <c r="J1455" s="0" t="n">
        <v>73.14</v>
      </c>
      <c r="K1455" s="0" t="n">
        <v>1</v>
      </c>
      <c r="T1455" s="0" t="n">
        <v>3</v>
      </c>
      <c r="U1455" s="0" t="n">
        <v>2</v>
      </c>
      <c r="V1455" s="0" t="inlineStr">
        <is>
          <t>계단식</t>
        </is>
      </c>
      <c r="W1455" s="0" t="n">
        <v>84</v>
      </c>
      <c r="X1455" s="0" t="n">
        <v>7</v>
      </c>
      <c r="Y1455" s="0" t="n">
        <v>5</v>
      </c>
      <c r="Z1455" s="0" t="inlineStr">
        <is>
          <t>https://new.land.naver.com/complexes/16159?tab=detail&amp;rf=Y</t>
        </is>
      </c>
      <c r="AA1455" s="0" t="inlineStr">
        <is>
          <t>서울시 강동구 성내동 111-64</t>
        </is>
      </c>
      <c r="AB1455" s="0" t="inlineStr">
        <is>
          <t>서울시</t>
        </is>
      </c>
      <c r="AC1455" s="0" t="inlineStr">
        <is>
          <t>강동구</t>
        </is>
      </c>
      <c r="AD1455" s="0" t="inlineStr">
        <is>
          <t>성내동</t>
        </is>
      </c>
      <c r="AG1455" s="0" t="inlineStr">
        <is>
          <t>서울시 강동구 풍성로 91</t>
        </is>
      </c>
      <c r="AH1455" s="0" t="n">
        <v>0</v>
      </c>
      <c r="AI1455" s="0" t="n">
        <v>0</v>
      </c>
      <c r="AJ1455" s="0" t="n">
        <v>0</v>
      </c>
      <c r="AK1455" s="0" t="n">
        <v>61</v>
      </c>
      <c r="AL1455" s="0" t="n">
        <v>1.09</v>
      </c>
    </row>
    <row r="1456">
      <c r="A1456" s="0" t="inlineStr">
        <is>
          <t>[성내동]</t>
        </is>
      </c>
      <c r="B1456" s="0" t="n">
        <v>16159</v>
      </c>
      <c r="C1456" s="0" t="n">
        <v>2</v>
      </c>
      <c r="D1456" s="0" t="inlineStr">
        <is>
          <t>포레스</t>
        </is>
      </c>
      <c r="E1456" s="0" t="inlineStr">
        <is>
          <t>2003.08.</t>
        </is>
      </c>
      <c r="F1456" s="0" t="n">
        <v>56</v>
      </c>
      <c r="G1456" s="0" t="n">
        <v>27.2</v>
      </c>
      <c r="H1456" s="0" t="n">
        <v>89.94</v>
      </c>
      <c r="I1456" s="0" t="n">
        <v>23.39</v>
      </c>
      <c r="J1456" s="0" t="n">
        <v>77.34</v>
      </c>
      <c r="K1456" s="0" t="n">
        <v>4</v>
      </c>
      <c r="T1456" s="0" t="n">
        <v>3</v>
      </c>
      <c r="U1456" s="0" t="n">
        <v>2</v>
      </c>
      <c r="V1456" s="0" t="inlineStr">
        <is>
          <t>계단식</t>
        </is>
      </c>
      <c r="W1456" s="0" t="inlineStr">
        <is>
          <t>89A</t>
        </is>
      </c>
      <c r="X1456" s="0" t="n">
        <v>7</v>
      </c>
      <c r="Y1456" s="0" t="n">
        <v>5</v>
      </c>
      <c r="Z1456" s="0" t="inlineStr">
        <is>
          <t>https://new.land.naver.com/complexes/16159?tab=detail&amp;rf=Y</t>
        </is>
      </c>
      <c r="AA1456" s="0" t="inlineStr">
        <is>
          <t>서울시 강동구 성내동 111-64</t>
        </is>
      </c>
      <c r="AB1456" s="0" t="inlineStr">
        <is>
          <t>서울시</t>
        </is>
      </c>
      <c r="AC1456" s="0" t="inlineStr">
        <is>
          <t>강동구</t>
        </is>
      </c>
      <c r="AD1456" s="0" t="inlineStr">
        <is>
          <t>성내동</t>
        </is>
      </c>
      <c r="AG1456" s="0" t="inlineStr">
        <is>
          <t>서울시 강동구 풍성로 91</t>
        </is>
      </c>
      <c r="AH1456" s="0" t="n">
        <v>0</v>
      </c>
      <c r="AI1456" s="0" t="n">
        <v>0</v>
      </c>
      <c r="AJ1456" s="0" t="n">
        <v>0</v>
      </c>
      <c r="AK1456" s="0" t="n">
        <v>61</v>
      </c>
      <c r="AL1456" s="0" t="n">
        <v>1.09</v>
      </c>
    </row>
    <row r="1457">
      <c r="A1457" s="0" t="inlineStr">
        <is>
          <t>[성내동]</t>
        </is>
      </c>
      <c r="B1457" s="0" t="n">
        <v>16159</v>
      </c>
      <c r="C1457" s="0" t="n">
        <v>3</v>
      </c>
      <c r="D1457" s="0" t="inlineStr">
        <is>
          <t>포레스</t>
        </is>
      </c>
      <c r="E1457" s="0" t="inlineStr">
        <is>
          <t>2003.08.</t>
        </is>
      </c>
      <c r="F1457" s="0" t="n">
        <v>56</v>
      </c>
      <c r="G1457" s="0" t="n">
        <v>27.06</v>
      </c>
      <c r="H1457" s="0" t="n">
        <v>89.48</v>
      </c>
      <c r="I1457" s="0" t="n">
        <v>23.42</v>
      </c>
      <c r="J1457" s="0" t="n">
        <v>77.45</v>
      </c>
      <c r="K1457" s="0" t="n">
        <v>4</v>
      </c>
      <c r="T1457" s="0" t="n">
        <v>3</v>
      </c>
      <c r="U1457" s="0" t="n">
        <v>2</v>
      </c>
      <c r="V1457" s="0" t="inlineStr">
        <is>
          <t>계단식</t>
        </is>
      </c>
      <c r="W1457" s="0" t="inlineStr">
        <is>
          <t>89B</t>
        </is>
      </c>
      <c r="X1457" s="0" t="n">
        <v>7</v>
      </c>
      <c r="Y1457" s="0" t="n">
        <v>5</v>
      </c>
      <c r="Z1457" s="0" t="inlineStr">
        <is>
          <t>https://new.land.naver.com/complexes/16159?tab=detail&amp;rf=Y</t>
        </is>
      </c>
      <c r="AA1457" s="0" t="inlineStr">
        <is>
          <t>서울시 강동구 성내동 111-64</t>
        </is>
      </c>
      <c r="AB1457" s="0" t="inlineStr">
        <is>
          <t>서울시</t>
        </is>
      </c>
      <c r="AC1457" s="0" t="inlineStr">
        <is>
          <t>강동구</t>
        </is>
      </c>
      <c r="AD1457" s="0" t="inlineStr">
        <is>
          <t>성내동</t>
        </is>
      </c>
      <c r="AG1457" s="0" t="inlineStr">
        <is>
          <t>서울시 강동구 풍성로 91</t>
        </is>
      </c>
      <c r="AH1457" s="0" t="n">
        <v>0</v>
      </c>
      <c r="AI1457" s="0" t="n">
        <v>0</v>
      </c>
      <c r="AJ1457" s="0" t="n">
        <v>0</v>
      </c>
      <c r="AK1457" s="0" t="n">
        <v>61</v>
      </c>
      <c r="AL1457" s="0" t="n">
        <v>1.09</v>
      </c>
    </row>
    <row r="1458">
      <c r="A1458" s="0" t="inlineStr">
        <is>
          <t>[성내동]</t>
        </is>
      </c>
      <c r="B1458" s="0" t="n">
        <v>16159</v>
      </c>
      <c r="C1458" s="0" t="n">
        <v>4</v>
      </c>
      <c r="D1458" s="0" t="inlineStr">
        <is>
          <t>포레스</t>
        </is>
      </c>
      <c r="E1458" s="0" t="inlineStr">
        <is>
          <t>2003.08.</t>
        </is>
      </c>
      <c r="F1458" s="0" t="n">
        <v>56</v>
      </c>
      <c r="G1458" s="0" t="n">
        <v>27.26</v>
      </c>
      <c r="H1458" s="0" t="n">
        <v>90.12</v>
      </c>
      <c r="I1458" s="0" t="n">
        <v>23.44</v>
      </c>
      <c r="J1458" s="0" t="n">
        <v>77.48999999999999</v>
      </c>
      <c r="K1458" s="0" t="n">
        <v>7</v>
      </c>
      <c r="T1458" s="0" t="n">
        <v>3</v>
      </c>
      <c r="U1458" s="0" t="n">
        <v>2</v>
      </c>
      <c r="V1458" s="0" t="inlineStr">
        <is>
          <t>계단식</t>
        </is>
      </c>
      <c r="W1458" s="0" t="inlineStr">
        <is>
          <t>90C</t>
        </is>
      </c>
      <c r="X1458" s="0" t="n">
        <v>7</v>
      </c>
      <c r="Y1458" s="0" t="n">
        <v>5</v>
      </c>
      <c r="Z1458" s="0" t="inlineStr">
        <is>
          <t>https://new.land.naver.com/complexes/16159?tab=detail&amp;rf=Y</t>
        </is>
      </c>
      <c r="AA1458" s="0" t="inlineStr">
        <is>
          <t>서울시 강동구 성내동 111-64</t>
        </is>
      </c>
      <c r="AB1458" s="0" t="inlineStr">
        <is>
          <t>서울시</t>
        </is>
      </c>
      <c r="AC1458" s="0" t="inlineStr">
        <is>
          <t>강동구</t>
        </is>
      </c>
      <c r="AD1458" s="0" t="inlineStr">
        <is>
          <t>성내동</t>
        </is>
      </c>
      <c r="AG1458" s="0" t="inlineStr">
        <is>
          <t>서울시 강동구 풍성로 91</t>
        </is>
      </c>
      <c r="AH1458" s="0" t="n">
        <v>0</v>
      </c>
      <c r="AI1458" s="0" t="n">
        <v>0</v>
      </c>
      <c r="AJ1458" s="0" t="n">
        <v>0</v>
      </c>
      <c r="AK1458" s="0" t="n">
        <v>61</v>
      </c>
      <c r="AL1458" s="0" t="n">
        <v>1.09</v>
      </c>
    </row>
    <row r="1459">
      <c r="A1459" s="0" t="inlineStr">
        <is>
          <t>[성내동]</t>
        </is>
      </c>
      <c r="B1459" s="0" t="n">
        <v>16159</v>
      </c>
      <c r="C1459" s="0" t="n">
        <v>5</v>
      </c>
      <c r="D1459" s="0" t="inlineStr">
        <is>
          <t>포레스</t>
        </is>
      </c>
      <c r="E1459" s="0" t="inlineStr">
        <is>
          <t>2003.08.</t>
        </is>
      </c>
      <c r="F1459" s="0" t="n">
        <v>56</v>
      </c>
      <c r="G1459" s="0" t="n">
        <v>27.39</v>
      </c>
      <c r="H1459" s="0" t="n">
        <v>90.56999999999999</v>
      </c>
      <c r="I1459" s="0" t="n">
        <v>23.71</v>
      </c>
      <c r="J1459" s="0" t="n">
        <v>78.40000000000001</v>
      </c>
      <c r="K1459" s="0" t="n">
        <v>4</v>
      </c>
      <c r="T1459" s="0" t="n">
        <v>3</v>
      </c>
      <c r="U1459" s="0" t="n">
        <v>2</v>
      </c>
      <c r="V1459" s="0" t="inlineStr">
        <is>
          <t>계단식</t>
        </is>
      </c>
      <c r="W1459" s="0" t="inlineStr">
        <is>
          <t>90D</t>
        </is>
      </c>
      <c r="X1459" s="0" t="n">
        <v>7</v>
      </c>
      <c r="Y1459" s="0" t="n">
        <v>5</v>
      </c>
      <c r="Z1459" s="0" t="inlineStr">
        <is>
          <t>https://new.land.naver.com/complexes/16159?tab=detail&amp;rf=Y</t>
        </is>
      </c>
      <c r="AA1459" s="0" t="inlineStr">
        <is>
          <t>서울시 강동구 성내동 111-64</t>
        </is>
      </c>
      <c r="AB1459" s="0" t="inlineStr">
        <is>
          <t>서울시</t>
        </is>
      </c>
      <c r="AC1459" s="0" t="inlineStr">
        <is>
          <t>강동구</t>
        </is>
      </c>
      <c r="AD1459" s="0" t="inlineStr">
        <is>
          <t>성내동</t>
        </is>
      </c>
      <c r="AG1459" s="0" t="inlineStr">
        <is>
          <t>서울시 강동구 풍성로 91</t>
        </is>
      </c>
      <c r="AH1459" s="0" t="n">
        <v>0</v>
      </c>
      <c r="AI1459" s="0" t="n">
        <v>0</v>
      </c>
      <c r="AJ1459" s="0" t="n">
        <v>0</v>
      </c>
      <c r="AK1459" s="0" t="n">
        <v>61</v>
      </c>
      <c r="AL1459" s="0" t="n">
        <v>1.09</v>
      </c>
    </row>
    <row r="1460">
      <c r="A1460" s="0" t="inlineStr">
        <is>
          <t>[성내동]</t>
        </is>
      </c>
      <c r="B1460" s="0" t="n">
        <v>16159</v>
      </c>
      <c r="C1460" s="0" t="n">
        <v>6</v>
      </c>
      <c r="D1460" s="0" t="inlineStr">
        <is>
          <t>포레스</t>
        </is>
      </c>
      <c r="E1460" s="0" t="inlineStr">
        <is>
          <t>2003.08.</t>
        </is>
      </c>
      <c r="F1460" s="0" t="n">
        <v>56</v>
      </c>
      <c r="G1460" s="0" t="n">
        <v>27.57</v>
      </c>
      <c r="H1460" s="0" t="n">
        <v>91.15000000000001</v>
      </c>
      <c r="I1460" s="0" t="n">
        <v>23.86</v>
      </c>
      <c r="J1460" s="0" t="n">
        <v>78.90000000000001</v>
      </c>
      <c r="K1460" s="0" t="n">
        <v>7</v>
      </c>
      <c r="T1460" s="0" t="n">
        <v>3</v>
      </c>
      <c r="U1460" s="0" t="n">
        <v>2</v>
      </c>
      <c r="V1460" s="0" t="inlineStr">
        <is>
          <t>계단식</t>
        </is>
      </c>
      <c r="W1460" s="0" t="n">
        <v>91</v>
      </c>
      <c r="X1460" s="0" t="n">
        <v>7</v>
      </c>
      <c r="Y1460" s="0" t="n">
        <v>5</v>
      </c>
      <c r="Z1460" s="0" t="inlineStr">
        <is>
          <t>https://new.land.naver.com/complexes/16159?tab=detail&amp;rf=Y</t>
        </is>
      </c>
      <c r="AA1460" s="0" t="inlineStr">
        <is>
          <t>서울시 강동구 성내동 111-64</t>
        </is>
      </c>
      <c r="AB1460" s="0" t="inlineStr">
        <is>
          <t>서울시</t>
        </is>
      </c>
      <c r="AC1460" s="0" t="inlineStr">
        <is>
          <t>강동구</t>
        </is>
      </c>
      <c r="AD1460" s="0" t="inlineStr">
        <is>
          <t>성내동</t>
        </is>
      </c>
      <c r="AG1460" s="0" t="inlineStr">
        <is>
          <t>서울시 강동구 풍성로 91</t>
        </is>
      </c>
      <c r="AH1460" s="0" t="n">
        <v>0</v>
      </c>
      <c r="AI1460" s="0" t="n">
        <v>0</v>
      </c>
      <c r="AJ1460" s="0" t="n">
        <v>0</v>
      </c>
      <c r="AK1460" s="0" t="n">
        <v>61</v>
      </c>
      <c r="AL1460" s="0" t="n">
        <v>1.09</v>
      </c>
    </row>
    <row r="1461">
      <c r="A1461" s="0" t="inlineStr">
        <is>
          <t>[성내동]</t>
        </is>
      </c>
      <c r="B1461" s="0" t="n">
        <v>16159</v>
      </c>
      <c r="C1461" s="0" t="n">
        <v>7</v>
      </c>
      <c r="D1461" s="0" t="inlineStr">
        <is>
          <t>포레스</t>
        </is>
      </c>
      <c r="E1461" s="0" t="inlineStr">
        <is>
          <t>2003.08.</t>
        </is>
      </c>
      <c r="F1461" s="0" t="n">
        <v>56</v>
      </c>
      <c r="G1461" s="0" t="n">
        <v>28.54</v>
      </c>
      <c r="H1461" s="0" t="n">
        <v>94.36</v>
      </c>
      <c r="I1461" s="0" t="n">
        <v>24.54</v>
      </c>
      <c r="J1461" s="0" t="n">
        <v>81.14</v>
      </c>
      <c r="K1461" s="0" t="n">
        <v>4</v>
      </c>
      <c r="T1461" s="0" t="n">
        <v>3</v>
      </c>
      <c r="U1461" s="0" t="n">
        <v>2</v>
      </c>
      <c r="V1461" s="0" t="inlineStr">
        <is>
          <t>계단식</t>
        </is>
      </c>
      <c r="W1461" s="0" t="n">
        <v>94</v>
      </c>
      <c r="X1461" s="0" t="n">
        <v>7</v>
      </c>
      <c r="Y1461" s="0" t="n">
        <v>5</v>
      </c>
      <c r="Z1461" s="0" t="inlineStr">
        <is>
          <t>https://new.land.naver.com/complexes/16159?tab=detail&amp;rf=Y</t>
        </is>
      </c>
      <c r="AA1461" s="0" t="inlineStr">
        <is>
          <t>서울시 강동구 성내동 111-64</t>
        </is>
      </c>
      <c r="AB1461" s="0" t="inlineStr">
        <is>
          <t>서울시</t>
        </is>
      </c>
      <c r="AC1461" s="0" t="inlineStr">
        <is>
          <t>강동구</t>
        </is>
      </c>
      <c r="AD1461" s="0" t="inlineStr">
        <is>
          <t>성내동</t>
        </is>
      </c>
      <c r="AG1461" s="0" t="inlineStr">
        <is>
          <t>서울시 강동구 풍성로 91</t>
        </is>
      </c>
      <c r="AH1461" s="0" t="n">
        <v>0</v>
      </c>
      <c r="AI1461" s="0" t="n">
        <v>0</v>
      </c>
      <c r="AJ1461" s="0" t="n">
        <v>0</v>
      </c>
      <c r="AK1461" s="0" t="n">
        <v>61</v>
      </c>
      <c r="AL1461" s="0" t="n">
        <v>1.09</v>
      </c>
    </row>
    <row r="1462">
      <c r="A1462" s="0" t="inlineStr">
        <is>
          <t>[성내동]</t>
        </is>
      </c>
      <c r="B1462" s="0" t="n">
        <v>16159</v>
      </c>
      <c r="C1462" s="0" t="n">
        <v>8</v>
      </c>
      <c r="D1462" s="0" t="inlineStr">
        <is>
          <t>포레스</t>
        </is>
      </c>
      <c r="E1462" s="0" t="inlineStr">
        <is>
          <t>2003.08.</t>
        </is>
      </c>
      <c r="F1462" s="0" t="n">
        <v>56</v>
      </c>
      <c r="G1462" s="0" t="n">
        <v>29.66</v>
      </c>
      <c r="H1462" s="0" t="n">
        <v>98.08</v>
      </c>
      <c r="I1462" s="0" t="n">
        <v>24.11</v>
      </c>
      <c r="J1462" s="0" t="n">
        <v>79.73</v>
      </c>
      <c r="K1462" s="0" t="n">
        <v>18</v>
      </c>
      <c r="T1462" s="0" t="n">
        <v>3</v>
      </c>
      <c r="U1462" s="0" t="n">
        <v>2</v>
      </c>
      <c r="V1462" s="0" t="inlineStr">
        <is>
          <t>계단식</t>
        </is>
      </c>
      <c r="W1462" s="0" t="n">
        <v>98</v>
      </c>
      <c r="X1462" s="0" t="n">
        <v>7</v>
      </c>
      <c r="Y1462" s="0" t="n">
        <v>5</v>
      </c>
      <c r="Z1462" s="0" t="inlineStr">
        <is>
          <t>https://new.land.naver.com/complexes/16159?tab=detail&amp;rf=Y</t>
        </is>
      </c>
      <c r="AA1462" s="0" t="inlineStr">
        <is>
          <t>서울시 강동구 성내동 111-64</t>
        </is>
      </c>
      <c r="AB1462" s="0" t="inlineStr">
        <is>
          <t>서울시</t>
        </is>
      </c>
      <c r="AC1462" s="0" t="inlineStr">
        <is>
          <t>강동구</t>
        </is>
      </c>
      <c r="AD1462" s="0" t="inlineStr">
        <is>
          <t>성내동</t>
        </is>
      </c>
      <c r="AG1462" s="0" t="inlineStr">
        <is>
          <t>서울시 강동구 풍성로 91</t>
        </is>
      </c>
      <c r="AH1462" s="0" t="n">
        <v>0</v>
      </c>
      <c r="AI1462" s="0" t="n">
        <v>0</v>
      </c>
      <c r="AJ1462" s="0" t="n">
        <v>0</v>
      </c>
      <c r="AK1462" s="0" t="n">
        <v>61</v>
      </c>
      <c r="AL1462" s="0" t="n">
        <v>1.09</v>
      </c>
    </row>
    <row r="1463">
      <c r="A1463" s="0" t="inlineStr">
        <is>
          <t>[성내동]</t>
        </is>
      </c>
      <c r="B1463" s="0" t="n">
        <v>16159</v>
      </c>
      <c r="C1463" s="0" t="n">
        <v>9</v>
      </c>
      <c r="D1463" s="0" t="inlineStr">
        <is>
          <t>포레스</t>
        </is>
      </c>
      <c r="E1463" s="0" t="inlineStr">
        <is>
          <t>2003.08.</t>
        </is>
      </c>
      <c r="F1463" s="0" t="n">
        <v>56</v>
      </c>
      <c r="G1463" s="0" t="n">
        <v>51.88</v>
      </c>
      <c r="H1463" s="0" t="n">
        <v>171.53</v>
      </c>
      <c r="I1463" s="0" t="n">
        <v>44.91</v>
      </c>
      <c r="J1463" s="0" t="n">
        <v>148.47</v>
      </c>
      <c r="K1463" s="0" t="n">
        <v>1</v>
      </c>
      <c r="T1463" s="0" t="n">
        <v>5</v>
      </c>
      <c r="U1463" s="0" t="n">
        <v>2</v>
      </c>
      <c r="V1463" s="0" t="inlineStr">
        <is>
          <t>계단식</t>
        </is>
      </c>
      <c r="W1463" s="0" t="inlineStr">
        <is>
          <t>171B</t>
        </is>
      </c>
      <c r="X1463" s="0" t="n">
        <v>7</v>
      </c>
      <c r="Y1463" s="0" t="n">
        <v>5</v>
      </c>
      <c r="Z1463" s="0" t="inlineStr">
        <is>
          <t>https://new.land.naver.com/complexes/16159?tab=detail&amp;rf=Y</t>
        </is>
      </c>
      <c r="AA1463" s="0" t="inlineStr">
        <is>
          <t>서울시 강동구 성내동 111-64</t>
        </is>
      </c>
      <c r="AB1463" s="0" t="inlineStr">
        <is>
          <t>서울시</t>
        </is>
      </c>
      <c r="AC1463" s="0" t="inlineStr">
        <is>
          <t>강동구</t>
        </is>
      </c>
      <c r="AD1463" s="0" t="inlineStr">
        <is>
          <t>성내동</t>
        </is>
      </c>
      <c r="AG1463" s="0" t="inlineStr">
        <is>
          <t>서울시 강동구 풍성로 91</t>
        </is>
      </c>
      <c r="AH1463" s="0" t="n">
        <v>0</v>
      </c>
      <c r="AI1463" s="0" t="n">
        <v>0</v>
      </c>
      <c r="AJ1463" s="0" t="n">
        <v>0</v>
      </c>
      <c r="AK1463" s="0" t="n">
        <v>61</v>
      </c>
      <c r="AL1463" s="0" t="n">
        <v>1.09</v>
      </c>
    </row>
    <row r="1464">
      <c r="A1464" s="0" t="inlineStr">
        <is>
          <t>[성내동]</t>
        </is>
      </c>
      <c r="B1464" s="0" t="n">
        <v>16159</v>
      </c>
      <c r="C1464" s="0" t="n">
        <v>10</v>
      </c>
      <c r="D1464" s="0" t="inlineStr">
        <is>
          <t>포레스</t>
        </is>
      </c>
      <c r="E1464" s="0" t="inlineStr">
        <is>
          <t>2003.08.</t>
        </is>
      </c>
      <c r="F1464" s="0" t="n">
        <v>56</v>
      </c>
      <c r="G1464" s="0" t="n">
        <v>51.99</v>
      </c>
      <c r="H1464" s="0" t="n">
        <v>171.87</v>
      </c>
      <c r="I1464" s="0" t="n">
        <v>44.99</v>
      </c>
      <c r="J1464" s="0" t="n">
        <v>148.76</v>
      </c>
      <c r="K1464" s="0" t="n">
        <v>1</v>
      </c>
      <c r="T1464" s="0" t="n">
        <v>5</v>
      </c>
      <c r="U1464" s="0" t="n">
        <v>2</v>
      </c>
      <c r="V1464" s="0" t="inlineStr">
        <is>
          <t>계단식</t>
        </is>
      </c>
      <c r="W1464" s="0" t="inlineStr">
        <is>
          <t>171D</t>
        </is>
      </c>
      <c r="X1464" s="0" t="n">
        <v>7</v>
      </c>
      <c r="Y1464" s="0" t="n">
        <v>5</v>
      </c>
      <c r="Z1464" s="0" t="inlineStr">
        <is>
          <t>https://new.land.naver.com/complexes/16159?tab=detail&amp;rf=Y</t>
        </is>
      </c>
      <c r="AA1464" s="0" t="inlineStr">
        <is>
          <t>서울시 강동구 성내동 111-64</t>
        </is>
      </c>
      <c r="AB1464" s="0" t="inlineStr">
        <is>
          <t>서울시</t>
        </is>
      </c>
      <c r="AC1464" s="0" t="inlineStr">
        <is>
          <t>강동구</t>
        </is>
      </c>
      <c r="AD1464" s="0" t="inlineStr">
        <is>
          <t>성내동</t>
        </is>
      </c>
      <c r="AG1464" s="0" t="inlineStr">
        <is>
          <t>서울시 강동구 풍성로 91</t>
        </is>
      </c>
      <c r="AH1464" s="0" t="n">
        <v>0</v>
      </c>
      <c r="AI1464" s="0" t="n">
        <v>0</v>
      </c>
      <c r="AJ1464" s="0" t="n">
        <v>0</v>
      </c>
      <c r="AK1464" s="0" t="n">
        <v>61</v>
      </c>
      <c r="AL1464" s="0" t="n">
        <v>1.09</v>
      </c>
    </row>
    <row r="1465">
      <c r="A1465" s="0" t="inlineStr">
        <is>
          <t>[성내동]</t>
        </is>
      </c>
      <c r="B1465" s="0" t="n">
        <v>16159</v>
      </c>
      <c r="C1465" s="0" t="n">
        <v>11</v>
      </c>
      <c r="D1465" s="0" t="inlineStr">
        <is>
          <t>포레스</t>
        </is>
      </c>
      <c r="E1465" s="0" t="inlineStr">
        <is>
          <t>2003.08.</t>
        </is>
      </c>
      <c r="F1465" s="0" t="n">
        <v>56</v>
      </c>
      <c r="G1465" s="0" t="n">
        <v>52.02</v>
      </c>
      <c r="H1465" s="0" t="n">
        <v>171.98</v>
      </c>
      <c r="I1465" s="0" t="n">
        <v>45.03</v>
      </c>
      <c r="J1465" s="0" t="n">
        <v>148.86</v>
      </c>
      <c r="K1465" s="0" t="n">
        <v>1</v>
      </c>
      <c r="T1465" s="0" t="n">
        <v>5</v>
      </c>
      <c r="U1465" s="0" t="n">
        <v>2</v>
      </c>
      <c r="V1465" s="0" t="inlineStr">
        <is>
          <t>계단식</t>
        </is>
      </c>
      <c r="W1465" s="0" t="inlineStr">
        <is>
          <t>171F</t>
        </is>
      </c>
      <c r="X1465" s="0" t="n">
        <v>7</v>
      </c>
      <c r="Y1465" s="0" t="n">
        <v>5</v>
      </c>
      <c r="Z1465" s="0" t="inlineStr">
        <is>
          <t>https://new.land.naver.com/complexes/16159?tab=detail&amp;rf=Y</t>
        </is>
      </c>
      <c r="AA1465" s="0" t="inlineStr">
        <is>
          <t>서울시 강동구 성내동 111-64</t>
        </is>
      </c>
      <c r="AB1465" s="0" t="inlineStr">
        <is>
          <t>서울시</t>
        </is>
      </c>
      <c r="AC1465" s="0" t="inlineStr">
        <is>
          <t>강동구</t>
        </is>
      </c>
      <c r="AD1465" s="0" t="inlineStr">
        <is>
          <t>성내동</t>
        </is>
      </c>
      <c r="AG1465" s="0" t="inlineStr">
        <is>
          <t>서울시 강동구 풍성로 91</t>
        </is>
      </c>
      <c r="AH1465" s="0" t="n">
        <v>0</v>
      </c>
      <c r="AI1465" s="0" t="n">
        <v>0</v>
      </c>
      <c r="AJ1465" s="0" t="n">
        <v>0</v>
      </c>
      <c r="AK1465" s="0" t="n">
        <v>61</v>
      </c>
      <c r="AL1465" s="0" t="n">
        <v>1.09</v>
      </c>
    </row>
    <row r="1466">
      <c r="A1466" s="0" t="inlineStr">
        <is>
          <t>[성내동]</t>
        </is>
      </c>
      <c r="B1466" s="0" t="n">
        <v>16159</v>
      </c>
      <c r="C1466" s="0" t="n">
        <v>12</v>
      </c>
      <c r="D1466" s="0" t="inlineStr">
        <is>
          <t>포레스</t>
        </is>
      </c>
      <c r="E1466" s="0" t="inlineStr">
        <is>
          <t>2003.08.</t>
        </is>
      </c>
      <c r="F1466" s="0" t="n">
        <v>56</v>
      </c>
      <c r="G1466" s="0" t="n">
        <v>52.07</v>
      </c>
      <c r="H1466" s="0" t="n">
        <v>172.16</v>
      </c>
      <c r="I1466" s="0" t="n">
        <v>44.78</v>
      </c>
      <c r="J1466" s="0" t="n">
        <v>148.04</v>
      </c>
      <c r="K1466" s="0" t="n">
        <v>1</v>
      </c>
      <c r="T1466" s="0" t="n">
        <v>5</v>
      </c>
      <c r="U1466" s="0" t="n">
        <v>2</v>
      </c>
      <c r="V1466" s="0" t="inlineStr">
        <is>
          <t>계단식</t>
        </is>
      </c>
      <c r="W1466" s="0" t="inlineStr">
        <is>
          <t>172A</t>
        </is>
      </c>
      <c r="X1466" s="0" t="n">
        <v>7</v>
      </c>
      <c r="Y1466" s="0" t="n">
        <v>5</v>
      </c>
      <c r="Z1466" s="0" t="inlineStr">
        <is>
          <t>https://new.land.naver.com/complexes/16159?tab=detail&amp;rf=Y</t>
        </is>
      </c>
      <c r="AA1466" s="0" t="inlineStr">
        <is>
          <t>서울시 강동구 성내동 111-64</t>
        </is>
      </c>
      <c r="AB1466" s="0" t="inlineStr">
        <is>
          <t>서울시</t>
        </is>
      </c>
      <c r="AC1466" s="0" t="inlineStr">
        <is>
          <t>강동구</t>
        </is>
      </c>
      <c r="AD1466" s="0" t="inlineStr">
        <is>
          <t>성내동</t>
        </is>
      </c>
      <c r="AG1466" s="0" t="inlineStr">
        <is>
          <t>서울시 강동구 풍성로 91</t>
        </is>
      </c>
      <c r="AH1466" s="0" t="n">
        <v>0</v>
      </c>
      <c r="AI1466" s="0" t="n">
        <v>0</v>
      </c>
      <c r="AJ1466" s="0" t="n">
        <v>0</v>
      </c>
      <c r="AK1466" s="0" t="n">
        <v>61</v>
      </c>
      <c r="AL1466" s="0" t="n">
        <v>1.09</v>
      </c>
    </row>
    <row r="1467">
      <c r="A1467" s="0" t="inlineStr">
        <is>
          <t>[성내동]</t>
        </is>
      </c>
      <c r="B1467" s="0" t="n">
        <v>16159</v>
      </c>
      <c r="C1467" s="0" t="n">
        <v>13</v>
      </c>
      <c r="D1467" s="0" t="inlineStr">
        <is>
          <t>포레스</t>
        </is>
      </c>
      <c r="E1467" s="0" t="inlineStr">
        <is>
          <t>2003.08.</t>
        </is>
      </c>
      <c r="F1467" s="0" t="n">
        <v>56</v>
      </c>
      <c r="G1467" s="0" t="n">
        <v>52.25</v>
      </c>
      <c r="H1467" s="0" t="n">
        <v>172.73</v>
      </c>
      <c r="I1467" s="0" t="n">
        <v>44.93</v>
      </c>
      <c r="J1467" s="0" t="n">
        <v>148.54</v>
      </c>
      <c r="K1467" s="0" t="n">
        <v>1</v>
      </c>
      <c r="T1467" s="0" t="n">
        <v>5</v>
      </c>
      <c r="U1467" s="0" t="n">
        <v>2</v>
      </c>
      <c r="V1467" s="0" t="inlineStr">
        <is>
          <t>계단식</t>
        </is>
      </c>
      <c r="W1467" s="0" t="inlineStr">
        <is>
          <t>172C</t>
        </is>
      </c>
      <c r="X1467" s="0" t="n">
        <v>7</v>
      </c>
      <c r="Y1467" s="0" t="n">
        <v>5</v>
      </c>
      <c r="Z1467" s="0" t="inlineStr">
        <is>
          <t>https://new.land.naver.com/complexes/16159?tab=detail&amp;rf=Y</t>
        </is>
      </c>
      <c r="AA1467" s="0" t="inlineStr">
        <is>
          <t>서울시 강동구 성내동 111-64</t>
        </is>
      </c>
      <c r="AB1467" s="0" t="inlineStr">
        <is>
          <t>서울시</t>
        </is>
      </c>
      <c r="AC1467" s="0" t="inlineStr">
        <is>
          <t>강동구</t>
        </is>
      </c>
      <c r="AD1467" s="0" t="inlineStr">
        <is>
          <t>성내동</t>
        </is>
      </c>
      <c r="AG1467" s="0" t="inlineStr">
        <is>
          <t>서울시 강동구 풍성로 91</t>
        </is>
      </c>
      <c r="AH1467" s="0" t="n">
        <v>0</v>
      </c>
      <c r="AI1467" s="0" t="n">
        <v>0</v>
      </c>
      <c r="AJ1467" s="0" t="n">
        <v>0</v>
      </c>
      <c r="AK1467" s="0" t="n">
        <v>61</v>
      </c>
      <c r="AL1467" s="0" t="n">
        <v>1.09</v>
      </c>
    </row>
    <row r="1468">
      <c r="A1468" s="0" t="inlineStr">
        <is>
          <t>[성내동]</t>
        </is>
      </c>
      <c r="B1468" s="0" t="n">
        <v>16159</v>
      </c>
      <c r="C1468" s="0" t="n">
        <v>14</v>
      </c>
      <c r="D1468" s="0" t="inlineStr">
        <is>
          <t>포레스</t>
        </is>
      </c>
      <c r="E1468" s="0" t="inlineStr">
        <is>
          <t>2003.08.</t>
        </is>
      </c>
      <c r="F1468" s="0" t="n">
        <v>56</v>
      </c>
      <c r="G1468" s="0" t="n">
        <v>52.35</v>
      </c>
      <c r="H1468" s="0" t="n">
        <v>173.08</v>
      </c>
      <c r="I1468" s="0" t="n">
        <v>45.02</v>
      </c>
      <c r="J1468" s="0" t="n">
        <v>148.84</v>
      </c>
      <c r="K1468" s="0" t="n">
        <v>2</v>
      </c>
      <c r="T1468" s="0" t="n">
        <v>5</v>
      </c>
      <c r="U1468" s="0" t="n">
        <v>2</v>
      </c>
      <c r="V1468" s="0" t="inlineStr">
        <is>
          <t>계단식</t>
        </is>
      </c>
      <c r="W1468" s="0" t="inlineStr">
        <is>
          <t>173E</t>
        </is>
      </c>
      <c r="X1468" s="0" t="n">
        <v>7</v>
      </c>
      <c r="Y1468" s="0" t="n">
        <v>5</v>
      </c>
      <c r="Z1468" s="0" t="inlineStr">
        <is>
          <t>https://new.land.naver.com/complexes/16159?tab=detail&amp;rf=Y</t>
        </is>
      </c>
      <c r="AA1468" s="0" t="inlineStr">
        <is>
          <t>서울시 강동구 성내동 111-64</t>
        </is>
      </c>
      <c r="AB1468" s="0" t="inlineStr">
        <is>
          <t>서울시</t>
        </is>
      </c>
      <c r="AC1468" s="0" t="inlineStr">
        <is>
          <t>강동구</t>
        </is>
      </c>
      <c r="AD1468" s="0" t="inlineStr">
        <is>
          <t>성내동</t>
        </is>
      </c>
      <c r="AG1468" s="0" t="inlineStr">
        <is>
          <t>서울시 강동구 풍성로 91</t>
        </is>
      </c>
      <c r="AH1468" s="0" t="n">
        <v>0</v>
      </c>
      <c r="AI1468" s="0" t="n">
        <v>0</v>
      </c>
      <c r="AJ1468" s="0" t="n">
        <v>0</v>
      </c>
      <c r="AK1468" s="0" t="n">
        <v>61</v>
      </c>
      <c r="AL1468" s="0" t="n">
        <v>1.09</v>
      </c>
    </row>
    <row r="1469">
      <c r="A1469" s="0" t="inlineStr">
        <is>
          <t>[성내동]</t>
        </is>
      </c>
      <c r="B1469" s="0" t="n">
        <v>990</v>
      </c>
      <c r="C1469" s="0" t="n">
        <v>1</v>
      </c>
      <c r="D1469" s="0" t="inlineStr">
        <is>
          <t>둔촌역청구</t>
        </is>
      </c>
      <c r="E1469" s="0" t="inlineStr">
        <is>
          <t>1999.03.</t>
        </is>
      </c>
      <c r="F1469" s="0" t="n">
        <v>222</v>
      </c>
      <c r="G1469" s="0" t="n">
        <v>25.35</v>
      </c>
      <c r="H1469" s="0" t="n">
        <v>83.83</v>
      </c>
      <c r="I1469" s="0" t="n">
        <v>18.11</v>
      </c>
      <c r="J1469" s="0" t="n">
        <v>59.87</v>
      </c>
      <c r="K1469" s="0" t="n">
        <v>89</v>
      </c>
      <c r="T1469" s="0" t="n">
        <v>3</v>
      </c>
      <c r="U1469" s="0" t="n">
        <v>1</v>
      </c>
      <c r="V1469" s="0" t="inlineStr">
        <is>
          <t>계단식</t>
        </is>
      </c>
      <c r="W1469" s="0" t="inlineStr">
        <is>
          <t>83A</t>
        </is>
      </c>
      <c r="X1469" s="0" t="n">
        <v>19</v>
      </c>
      <c r="Y1469" s="0" t="n">
        <v>13</v>
      </c>
      <c r="Z1469" s="0" t="inlineStr">
        <is>
          <t>https://new.land.naver.com/complexes/990?tab=detail&amp;rf=Y</t>
        </is>
      </c>
      <c r="AA1469" s="0" t="inlineStr">
        <is>
          <t>서울시 강동구 성내동 419-1</t>
        </is>
      </c>
      <c r="AB1469" s="0" t="inlineStr">
        <is>
          <t>서울시</t>
        </is>
      </c>
      <c r="AC1469" s="0" t="inlineStr">
        <is>
          <t>강동구</t>
        </is>
      </c>
      <c r="AD1469" s="0" t="inlineStr">
        <is>
          <t>성내동</t>
        </is>
      </c>
      <c r="AG1469" s="0" t="inlineStr">
        <is>
          <t>서울시 강동구 풍성로 196</t>
        </is>
      </c>
      <c r="AH1469" s="0" t="n">
        <v>0</v>
      </c>
      <c r="AI1469" s="0" t="n">
        <v>327</v>
      </c>
      <c r="AJ1469" s="0" t="n">
        <v>27</v>
      </c>
      <c r="AK1469" s="0" t="n">
        <v>221</v>
      </c>
      <c r="AL1469" s="0" t="n">
        <v>1</v>
      </c>
    </row>
    <row r="1470">
      <c r="A1470" s="0" t="inlineStr">
        <is>
          <t>[성내동]</t>
        </is>
      </c>
      <c r="B1470" s="0" t="n">
        <v>990</v>
      </c>
      <c r="C1470" s="0" t="n">
        <v>2</v>
      </c>
      <c r="D1470" s="0" t="inlineStr">
        <is>
          <t>둔촌역청구</t>
        </is>
      </c>
      <c r="E1470" s="0" t="inlineStr">
        <is>
          <t>1999.03.</t>
        </is>
      </c>
      <c r="F1470" s="0" t="n">
        <v>222</v>
      </c>
      <c r="G1470" s="0" t="n">
        <v>25.39</v>
      </c>
      <c r="H1470" s="0" t="n">
        <v>83.95999999999999</v>
      </c>
      <c r="I1470" s="0" t="n">
        <v>18.13</v>
      </c>
      <c r="J1470" s="0" t="n">
        <v>59.96</v>
      </c>
      <c r="K1470" s="0" t="n">
        <v>29</v>
      </c>
      <c r="T1470" s="0" t="n">
        <v>3</v>
      </c>
      <c r="U1470" s="0" t="n">
        <v>1</v>
      </c>
      <c r="V1470" s="0" t="inlineStr">
        <is>
          <t>계단식</t>
        </is>
      </c>
      <c r="W1470" s="0" t="inlineStr">
        <is>
          <t>83B</t>
        </is>
      </c>
      <c r="X1470" s="0" t="n">
        <v>19</v>
      </c>
      <c r="Y1470" s="0" t="n">
        <v>13</v>
      </c>
      <c r="Z1470" s="0" t="inlineStr">
        <is>
          <t>https://new.land.naver.com/complexes/990?tab=detail&amp;rf=Y</t>
        </is>
      </c>
      <c r="AA1470" s="0" t="inlineStr">
        <is>
          <t>서울시 강동구 성내동 419-1</t>
        </is>
      </c>
      <c r="AB1470" s="0" t="inlineStr">
        <is>
          <t>서울시</t>
        </is>
      </c>
      <c r="AC1470" s="0" t="inlineStr">
        <is>
          <t>강동구</t>
        </is>
      </c>
      <c r="AD1470" s="0" t="inlineStr">
        <is>
          <t>성내동</t>
        </is>
      </c>
      <c r="AG1470" s="0" t="inlineStr">
        <is>
          <t>서울시 강동구 풍성로 196</t>
        </is>
      </c>
      <c r="AH1470" s="0" t="n">
        <v>0</v>
      </c>
      <c r="AI1470" s="0" t="n">
        <v>327</v>
      </c>
      <c r="AJ1470" s="0" t="n">
        <v>27</v>
      </c>
      <c r="AK1470" s="0" t="n">
        <v>221</v>
      </c>
      <c r="AL1470" s="0" t="n">
        <v>1</v>
      </c>
    </row>
    <row r="1471">
      <c r="A1471" s="0" t="inlineStr">
        <is>
          <t>[성내동]</t>
        </is>
      </c>
      <c r="B1471" s="0" t="n">
        <v>990</v>
      </c>
      <c r="C1471" s="0" t="n">
        <v>3</v>
      </c>
      <c r="D1471" s="0" t="inlineStr">
        <is>
          <t>둔촌역청구</t>
        </is>
      </c>
      <c r="E1471" s="0" t="inlineStr">
        <is>
          <t>1999.03.</t>
        </is>
      </c>
      <c r="F1471" s="0" t="n">
        <v>222</v>
      </c>
      <c r="G1471" s="0" t="n">
        <v>32.92</v>
      </c>
      <c r="H1471" s="0" t="n">
        <v>108.85</v>
      </c>
      <c r="I1471" s="0" t="n">
        <v>25.69</v>
      </c>
      <c r="J1471" s="0" t="n">
        <v>84.94</v>
      </c>
      <c r="K1471" s="0" t="n">
        <v>86</v>
      </c>
      <c r="T1471" s="0" t="n">
        <v>3</v>
      </c>
      <c r="U1471" s="0" t="n">
        <v>2</v>
      </c>
      <c r="V1471" s="0" t="inlineStr">
        <is>
          <t>계단식</t>
        </is>
      </c>
      <c r="W1471" s="0" t="inlineStr">
        <is>
          <t>108A</t>
        </is>
      </c>
      <c r="X1471" s="0" t="n">
        <v>19</v>
      </c>
      <c r="Y1471" s="0" t="n">
        <v>13</v>
      </c>
      <c r="Z1471" s="0" t="inlineStr">
        <is>
          <t>https://new.land.naver.com/complexes/990?tab=detail&amp;rf=Y</t>
        </is>
      </c>
      <c r="AA1471" s="0" t="inlineStr">
        <is>
          <t>서울시 강동구 성내동 419-1</t>
        </is>
      </c>
      <c r="AB1471" s="0" t="inlineStr">
        <is>
          <t>서울시</t>
        </is>
      </c>
      <c r="AC1471" s="0" t="inlineStr">
        <is>
          <t>강동구</t>
        </is>
      </c>
      <c r="AD1471" s="0" t="inlineStr">
        <is>
          <t>성내동</t>
        </is>
      </c>
      <c r="AG1471" s="0" t="inlineStr">
        <is>
          <t>서울시 강동구 풍성로 196</t>
        </is>
      </c>
      <c r="AH1471" s="0" t="n">
        <v>0</v>
      </c>
      <c r="AI1471" s="0" t="n">
        <v>327</v>
      </c>
      <c r="AJ1471" s="0" t="n">
        <v>27</v>
      </c>
      <c r="AK1471" s="0" t="n">
        <v>221</v>
      </c>
      <c r="AL1471" s="0" t="n">
        <v>1</v>
      </c>
    </row>
    <row r="1472">
      <c r="A1472" s="0" t="inlineStr">
        <is>
          <t>[성내동]</t>
        </is>
      </c>
      <c r="B1472" s="0" t="n">
        <v>990</v>
      </c>
      <c r="C1472" s="0" t="n">
        <v>4</v>
      </c>
      <c r="D1472" s="0" t="inlineStr">
        <is>
          <t>둔촌역청구</t>
        </is>
      </c>
      <c r="E1472" s="0" t="inlineStr">
        <is>
          <t>1999.03.</t>
        </is>
      </c>
      <c r="F1472" s="0" t="n">
        <v>222</v>
      </c>
      <c r="G1472" s="0" t="n">
        <v>32.94</v>
      </c>
      <c r="H1472" s="0" t="n">
        <v>108.91</v>
      </c>
      <c r="I1472" s="0" t="n">
        <v>25.7</v>
      </c>
      <c r="J1472" s="0" t="n">
        <v>84.98</v>
      </c>
      <c r="K1472" s="0" t="n">
        <v>18</v>
      </c>
      <c r="T1472" s="0" t="n">
        <v>3</v>
      </c>
      <c r="U1472" s="0" t="n">
        <v>2</v>
      </c>
      <c r="V1472" s="0" t="inlineStr">
        <is>
          <t>계단식</t>
        </is>
      </c>
      <c r="W1472" s="0" t="inlineStr">
        <is>
          <t>108B</t>
        </is>
      </c>
      <c r="X1472" s="0" t="n">
        <v>19</v>
      </c>
      <c r="Y1472" s="0" t="n">
        <v>13</v>
      </c>
      <c r="Z1472" s="0" t="inlineStr">
        <is>
          <t>https://new.land.naver.com/complexes/990?tab=detail&amp;rf=Y</t>
        </is>
      </c>
      <c r="AA1472" s="0" t="inlineStr">
        <is>
          <t>서울시 강동구 성내동 419-1</t>
        </is>
      </c>
      <c r="AB1472" s="0" t="inlineStr">
        <is>
          <t>서울시</t>
        </is>
      </c>
      <c r="AC1472" s="0" t="inlineStr">
        <is>
          <t>강동구</t>
        </is>
      </c>
      <c r="AD1472" s="0" t="inlineStr">
        <is>
          <t>성내동</t>
        </is>
      </c>
      <c r="AG1472" s="0" t="inlineStr">
        <is>
          <t>서울시 강동구 풍성로 196</t>
        </is>
      </c>
      <c r="AH1472" s="0" t="n">
        <v>0</v>
      </c>
      <c r="AI1472" s="0" t="n">
        <v>327</v>
      </c>
      <c r="AJ1472" s="0" t="n">
        <v>27</v>
      </c>
      <c r="AK1472" s="0" t="n">
        <v>221</v>
      </c>
      <c r="AL1472" s="0" t="n">
        <v>1</v>
      </c>
    </row>
    <row r="1473">
      <c r="A1473" s="0" t="inlineStr">
        <is>
          <t>[성내동]</t>
        </is>
      </c>
      <c r="B1473" s="0" t="n">
        <v>16652</v>
      </c>
      <c r="C1473" s="0" t="n">
        <v>1</v>
      </c>
      <c r="D1473" s="0" t="inlineStr">
        <is>
          <t>한솔에리즈3차</t>
        </is>
      </c>
      <c r="E1473" s="0" t="inlineStr">
        <is>
          <t>2003.04.</t>
        </is>
      </c>
      <c r="F1473" s="0" t="n">
        <v>18</v>
      </c>
      <c r="G1473" s="0" t="n">
        <v>20.54</v>
      </c>
      <c r="H1473" s="0" t="n">
        <v>67.92</v>
      </c>
      <c r="I1473" s="0" t="n">
        <v>16.33</v>
      </c>
      <c r="J1473" s="0" t="n">
        <v>54</v>
      </c>
      <c r="K1473" s="0" t="n">
        <v>1</v>
      </c>
      <c r="T1473" s="0" t="n">
        <v>2</v>
      </c>
      <c r="U1473" s="0" t="n">
        <v>1</v>
      </c>
      <c r="V1473" s="0" t="inlineStr">
        <is>
          <t>계단식</t>
        </is>
      </c>
      <c r="W1473" s="0" t="n">
        <v>67</v>
      </c>
      <c r="X1473" s="0" t="n">
        <v>7</v>
      </c>
      <c r="Y1473" s="0" t="n">
        <v>7</v>
      </c>
      <c r="Z1473" s="0" t="inlineStr">
        <is>
          <t>https://new.land.naver.com/complexes/16652?tab=detail&amp;rf=Y</t>
        </is>
      </c>
      <c r="AA1473" s="0" t="inlineStr">
        <is>
          <t>서울시 강동구 성내동 420-2</t>
        </is>
      </c>
      <c r="AB1473" s="0" t="inlineStr">
        <is>
          <t>서울시</t>
        </is>
      </c>
      <c r="AC1473" s="0" t="inlineStr">
        <is>
          <t>강동구</t>
        </is>
      </c>
      <c r="AD1473" s="0" t="inlineStr">
        <is>
          <t>성내동</t>
        </is>
      </c>
      <c r="AG1473" s="0" t="inlineStr">
        <is>
          <t>서울시 강동구 성안로 66</t>
        </is>
      </c>
      <c r="AH1473" s="0" t="n">
        <v>0</v>
      </c>
      <c r="AI1473" s="0" t="n">
        <v>239</v>
      </c>
      <c r="AJ1473" s="0" t="n">
        <v>43</v>
      </c>
      <c r="AK1473" s="0" t="n">
        <v>21</v>
      </c>
      <c r="AL1473" s="0" t="n">
        <v>1.17</v>
      </c>
    </row>
    <row r="1474">
      <c r="A1474" s="0" t="inlineStr">
        <is>
          <t>[성내동]</t>
        </is>
      </c>
      <c r="B1474" s="0" t="n">
        <v>16652</v>
      </c>
      <c r="C1474" s="0" t="n">
        <v>2</v>
      </c>
      <c r="D1474" s="0" t="inlineStr">
        <is>
          <t>한솔에리즈3차</t>
        </is>
      </c>
      <c r="E1474" s="0" t="inlineStr">
        <is>
          <t>2003.04.</t>
        </is>
      </c>
      <c r="F1474" s="0" t="n">
        <v>18</v>
      </c>
      <c r="G1474" s="0" t="n">
        <v>23</v>
      </c>
      <c r="H1474" s="0" t="n">
        <v>76.04000000000001</v>
      </c>
      <c r="I1474" s="0" t="n">
        <v>18.29</v>
      </c>
      <c r="J1474" s="0" t="n">
        <v>60.48</v>
      </c>
      <c r="K1474" s="0" t="n">
        <v>2</v>
      </c>
      <c r="T1474" s="0" t="n">
        <v>3</v>
      </c>
      <c r="U1474" s="0" t="n">
        <v>2</v>
      </c>
      <c r="V1474" s="0" t="inlineStr">
        <is>
          <t>계단식</t>
        </is>
      </c>
      <c r="W1474" s="0" t="n">
        <v>76</v>
      </c>
      <c r="X1474" s="0" t="n">
        <v>7</v>
      </c>
      <c r="Y1474" s="0" t="n">
        <v>7</v>
      </c>
      <c r="Z1474" s="0" t="inlineStr">
        <is>
          <t>https://new.land.naver.com/complexes/16652?tab=detail&amp;rf=Y</t>
        </is>
      </c>
      <c r="AA1474" s="0" t="inlineStr">
        <is>
          <t>서울시 강동구 성내동 420-2</t>
        </is>
      </c>
      <c r="AB1474" s="0" t="inlineStr">
        <is>
          <t>서울시</t>
        </is>
      </c>
      <c r="AC1474" s="0" t="inlineStr">
        <is>
          <t>강동구</t>
        </is>
      </c>
      <c r="AD1474" s="0" t="inlineStr">
        <is>
          <t>성내동</t>
        </is>
      </c>
      <c r="AG1474" s="0" t="inlineStr">
        <is>
          <t>서울시 강동구 성안로 66</t>
        </is>
      </c>
      <c r="AH1474" s="0" t="n">
        <v>0</v>
      </c>
      <c r="AI1474" s="0" t="n">
        <v>239</v>
      </c>
      <c r="AJ1474" s="0" t="n">
        <v>43</v>
      </c>
      <c r="AK1474" s="0" t="n">
        <v>21</v>
      </c>
      <c r="AL1474" s="0" t="n">
        <v>1.17</v>
      </c>
    </row>
    <row r="1475">
      <c r="A1475" s="0" t="inlineStr">
        <is>
          <t>[성내동]</t>
        </is>
      </c>
      <c r="B1475" s="0" t="n">
        <v>16652</v>
      </c>
      <c r="C1475" s="0" t="n">
        <v>3</v>
      </c>
      <c r="D1475" s="0" t="inlineStr">
        <is>
          <t>한솔에리즈3차</t>
        </is>
      </c>
      <c r="E1475" s="0" t="inlineStr">
        <is>
          <t>2003.04.</t>
        </is>
      </c>
      <c r="F1475" s="0" t="n">
        <v>18</v>
      </c>
      <c r="G1475" s="0" t="n">
        <v>27.66</v>
      </c>
      <c r="H1475" s="0" t="n">
        <v>91.47</v>
      </c>
      <c r="I1475" s="0" t="n">
        <v>22</v>
      </c>
      <c r="J1475" s="0" t="n">
        <v>72.75</v>
      </c>
      <c r="K1475" s="0" t="n">
        <v>1</v>
      </c>
      <c r="T1475" s="0" t="n">
        <v>3</v>
      </c>
      <c r="U1475" s="0" t="n">
        <v>2</v>
      </c>
      <c r="V1475" s="0" t="inlineStr">
        <is>
          <t>계단식</t>
        </is>
      </c>
      <c r="W1475" s="0" t="n">
        <v>91</v>
      </c>
      <c r="X1475" s="0" t="n">
        <v>7</v>
      </c>
      <c r="Y1475" s="0" t="n">
        <v>7</v>
      </c>
      <c r="Z1475" s="0" t="inlineStr">
        <is>
          <t>https://new.land.naver.com/complexes/16652?tab=detail&amp;rf=Y</t>
        </is>
      </c>
      <c r="AA1475" s="0" t="inlineStr">
        <is>
          <t>서울시 강동구 성내동 420-2</t>
        </is>
      </c>
      <c r="AB1475" s="0" t="inlineStr">
        <is>
          <t>서울시</t>
        </is>
      </c>
      <c r="AC1475" s="0" t="inlineStr">
        <is>
          <t>강동구</t>
        </is>
      </c>
      <c r="AD1475" s="0" t="inlineStr">
        <is>
          <t>성내동</t>
        </is>
      </c>
      <c r="AG1475" s="0" t="inlineStr">
        <is>
          <t>서울시 강동구 성안로 66</t>
        </is>
      </c>
      <c r="AH1475" s="0" t="n">
        <v>0</v>
      </c>
      <c r="AI1475" s="0" t="n">
        <v>239</v>
      </c>
      <c r="AJ1475" s="0" t="n">
        <v>43</v>
      </c>
      <c r="AK1475" s="0" t="n">
        <v>21</v>
      </c>
      <c r="AL1475" s="0" t="n">
        <v>1.17</v>
      </c>
    </row>
    <row r="1476">
      <c r="A1476" s="0" t="inlineStr">
        <is>
          <t>[성내동]</t>
        </is>
      </c>
      <c r="B1476" s="0" t="n">
        <v>16652</v>
      </c>
      <c r="C1476" s="0" t="n">
        <v>4</v>
      </c>
      <c r="D1476" s="0" t="inlineStr">
        <is>
          <t>한솔에리즈3차</t>
        </is>
      </c>
      <c r="E1476" s="0" t="inlineStr">
        <is>
          <t>2003.04.</t>
        </is>
      </c>
      <c r="F1476" s="0" t="n">
        <v>18</v>
      </c>
      <c r="G1476" s="0" t="n">
        <v>28.81</v>
      </c>
      <c r="H1476" s="0" t="n">
        <v>95.23999999999999</v>
      </c>
      <c r="I1476" s="0" t="n">
        <v>22.91</v>
      </c>
      <c r="J1476" s="0" t="n">
        <v>75.75</v>
      </c>
      <c r="K1476" s="0" t="n">
        <v>4</v>
      </c>
      <c r="T1476" s="0" t="n">
        <v>3</v>
      </c>
      <c r="U1476" s="0" t="n">
        <v>2</v>
      </c>
      <c r="V1476" s="0" t="inlineStr">
        <is>
          <t>계단식</t>
        </is>
      </c>
      <c r="W1476" s="0" t="n">
        <v>95</v>
      </c>
      <c r="X1476" s="0" t="n">
        <v>7</v>
      </c>
      <c r="Y1476" s="0" t="n">
        <v>7</v>
      </c>
      <c r="Z1476" s="0" t="inlineStr">
        <is>
          <t>https://new.land.naver.com/complexes/16652?tab=detail&amp;rf=Y</t>
        </is>
      </c>
      <c r="AA1476" s="0" t="inlineStr">
        <is>
          <t>서울시 강동구 성내동 420-2</t>
        </is>
      </c>
      <c r="AB1476" s="0" t="inlineStr">
        <is>
          <t>서울시</t>
        </is>
      </c>
      <c r="AC1476" s="0" t="inlineStr">
        <is>
          <t>강동구</t>
        </is>
      </c>
      <c r="AD1476" s="0" t="inlineStr">
        <is>
          <t>성내동</t>
        </is>
      </c>
      <c r="AG1476" s="0" t="inlineStr">
        <is>
          <t>서울시 강동구 성안로 66</t>
        </is>
      </c>
      <c r="AH1476" s="0" t="n">
        <v>0</v>
      </c>
      <c r="AI1476" s="0" t="n">
        <v>239</v>
      </c>
      <c r="AJ1476" s="0" t="n">
        <v>43</v>
      </c>
      <c r="AK1476" s="0" t="n">
        <v>21</v>
      </c>
      <c r="AL1476" s="0" t="n">
        <v>1.17</v>
      </c>
    </row>
    <row r="1477">
      <c r="A1477" s="0" t="inlineStr">
        <is>
          <t>[성내동]</t>
        </is>
      </c>
      <c r="B1477" s="0" t="n">
        <v>16652</v>
      </c>
      <c r="C1477" s="0" t="n">
        <v>5</v>
      </c>
      <c r="D1477" s="0" t="inlineStr">
        <is>
          <t>한솔에리즈3차</t>
        </is>
      </c>
      <c r="E1477" s="0" t="inlineStr">
        <is>
          <t>2003.04.</t>
        </is>
      </c>
      <c r="F1477" s="0" t="n">
        <v>18</v>
      </c>
      <c r="G1477" s="0" t="n">
        <v>30.98</v>
      </c>
      <c r="H1477" s="0" t="n">
        <v>102.44</v>
      </c>
      <c r="I1477" s="0" t="n">
        <v>24.64</v>
      </c>
      <c r="J1477" s="0" t="n">
        <v>81.48</v>
      </c>
      <c r="K1477" s="0" t="n">
        <v>2</v>
      </c>
      <c r="T1477" s="0" t="n">
        <v>3</v>
      </c>
      <c r="U1477" s="0" t="n">
        <v>2</v>
      </c>
      <c r="V1477" s="0" t="inlineStr">
        <is>
          <t>계단식</t>
        </is>
      </c>
      <c r="W1477" s="0" t="n">
        <v>102</v>
      </c>
      <c r="X1477" s="0" t="n">
        <v>7</v>
      </c>
      <c r="Y1477" s="0" t="n">
        <v>7</v>
      </c>
      <c r="Z1477" s="0" t="inlineStr">
        <is>
          <t>https://new.land.naver.com/complexes/16652?tab=detail&amp;rf=Y</t>
        </is>
      </c>
      <c r="AA1477" s="0" t="inlineStr">
        <is>
          <t>서울시 강동구 성내동 420-2</t>
        </is>
      </c>
      <c r="AB1477" s="0" t="inlineStr">
        <is>
          <t>서울시</t>
        </is>
      </c>
      <c r="AC1477" s="0" t="inlineStr">
        <is>
          <t>강동구</t>
        </is>
      </c>
      <c r="AD1477" s="0" t="inlineStr">
        <is>
          <t>성내동</t>
        </is>
      </c>
      <c r="AG1477" s="0" t="inlineStr">
        <is>
          <t>서울시 강동구 성안로 66</t>
        </is>
      </c>
      <c r="AH1477" s="0" t="n">
        <v>0</v>
      </c>
      <c r="AI1477" s="0" t="n">
        <v>239</v>
      </c>
      <c r="AJ1477" s="0" t="n">
        <v>43</v>
      </c>
      <c r="AK1477" s="0" t="n">
        <v>21</v>
      </c>
      <c r="AL1477" s="0" t="n">
        <v>1.17</v>
      </c>
    </row>
    <row r="1478">
      <c r="A1478" s="0" t="inlineStr">
        <is>
          <t>[성내동]</t>
        </is>
      </c>
      <c r="B1478" s="0" t="n">
        <v>16652</v>
      </c>
      <c r="C1478" s="0" t="n">
        <v>6</v>
      </c>
      <c r="D1478" s="0" t="inlineStr">
        <is>
          <t>한솔에리즈3차</t>
        </is>
      </c>
      <c r="E1478" s="0" t="inlineStr">
        <is>
          <t>2003.04.</t>
        </is>
      </c>
      <c r="F1478" s="0" t="n">
        <v>18</v>
      </c>
      <c r="G1478" s="0" t="n">
        <v>32.26</v>
      </c>
      <c r="H1478" s="0" t="n">
        <v>106.67</v>
      </c>
      <c r="I1478" s="0" t="n">
        <v>25.66</v>
      </c>
      <c r="J1478" s="0" t="n">
        <v>84.84</v>
      </c>
      <c r="K1478" s="0" t="n">
        <v>8</v>
      </c>
      <c r="T1478" s="0" t="n">
        <v>3</v>
      </c>
      <c r="U1478" s="0" t="n">
        <v>2</v>
      </c>
      <c r="V1478" s="0" t="inlineStr">
        <is>
          <t>계단식</t>
        </is>
      </c>
      <c r="W1478" s="0" t="n">
        <v>106</v>
      </c>
      <c r="X1478" s="0" t="n">
        <v>7</v>
      </c>
      <c r="Y1478" s="0" t="n">
        <v>7</v>
      </c>
      <c r="Z1478" s="0" t="inlineStr">
        <is>
          <t>https://new.land.naver.com/complexes/16652?tab=detail&amp;rf=Y</t>
        </is>
      </c>
      <c r="AA1478" s="0" t="inlineStr">
        <is>
          <t>서울시 강동구 성내동 420-2</t>
        </is>
      </c>
      <c r="AB1478" s="0" t="inlineStr">
        <is>
          <t>서울시</t>
        </is>
      </c>
      <c r="AC1478" s="0" t="inlineStr">
        <is>
          <t>강동구</t>
        </is>
      </c>
      <c r="AD1478" s="0" t="inlineStr">
        <is>
          <t>성내동</t>
        </is>
      </c>
      <c r="AG1478" s="0" t="inlineStr">
        <is>
          <t>서울시 강동구 성안로 66</t>
        </is>
      </c>
      <c r="AH1478" s="0" t="n">
        <v>0</v>
      </c>
      <c r="AI1478" s="0" t="n">
        <v>239</v>
      </c>
      <c r="AJ1478" s="0" t="n">
        <v>43</v>
      </c>
      <c r="AK1478" s="0" t="n">
        <v>21</v>
      </c>
      <c r="AL1478" s="0" t="n">
        <v>1.17</v>
      </c>
    </row>
    <row r="1479">
      <c r="A1479" s="0" t="inlineStr">
        <is>
          <t>[성내동]</t>
        </is>
      </c>
      <c r="B1479" s="0" t="n">
        <v>12026</v>
      </c>
      <c r="C1479" s="0" t="n">
        <v>1</v>
      </c>
      <c r="D1479" s="0" t="inlineStr">
        <is>
          <t>한솔애리즈</t>
        </is>
      </c>
      <c r="E1479" s="0" t="inlineStr">
        <is>
          <t>2002.02.</t>
        </is>
      </c>
      <c r="F1479" s="0" t="n">
        <v>49</v>
      </c>
      <c r="G1479" s="0" t="n">
        <v>30.31</v>
      </c>
      <c r="H1479" s="0" t="n">
        <v>100.23</v>
      </c>
      <c r="I1479" s="0" t="n">
        <v>25.13</v>
      </c>
      <c r="J1479" s="0" t="n">
        <v>83.08</v>
      </c>
      <c r="K1479" s="0" t="n">
        <v>1</v>
      </c>
      <c r="T1479" s="0" t="n">
        <v>3</v>
      </c>
      <c r="U1479" s="0" t="n">
        <v>2</v>
      </c>
      <c r="V1479" s="0" t="inlineStr">
        <is>
          <t>계단식</t>
        </is>
      </c>
      <c r="W1479" s="0" t="n">
        <v>100</v>
      </c>
      <c r="X1479" s="0" t="n">
        <v>13</v>
      </c>
      <c r="Y1479" s="0" t="n">
        <v>10</v>
      </c>
      <c r="Z1479" s="0" t="inlineStr">
        <is>
          <t>https://new.land.naver.com/complexes/12026?tab=detail&amp;rf=Y</t>
        </is>
      </c>
      <c r="AA1479" s="0" t="inlineStr">
        <is>
          <t>서울시 강동구 성내동 410-16</t>
        </is>
      </c>
      <c r="AB1479" s="0" t="inlineStr">
        <is>
          <t>서울시</t>
        </is>
      </c>
      <c r="AC1479" s="0" t="inlineStr">
        <is>
          <t>강동구</t>
        </is>
      </c>
      <c r="AD1479" s="0" t="inlineStr">
        <is>
          <t>성내동</t>
        </is>
      </c>
      <c r="AG1479" s="0" t="inlineStr">
        <is>
          <t>서울시 강동구 풍성로 191</t>
        </is>
      </c>
      <c r="AH1479" s="0" t="n">
        <v>0</v>
      </c>
      <c r="AI1479" s="0" t="n">
        <v>286</v>
      </c>
      <c r="AJ1479" s="0" t="n">
        <v>27</v>
      </c>
      <c r="AK1479" s="0" t="n">
        <v>68</v>
      </c>
      <c r="AL1479" s="0" t="n">
        <v>1.39</v>
      </c>
    </row>
    <row r="1480">
      <c r="A1480" s="0" t="inlineStr">
        <is>
          <t>[성내동]</t>
        </is>
      </c>
      <c r="B1480" s="0" t="n">
        <v>12026</v>
      </c>
      <c r="C1480" s="0" t="n">
        <v>2</v>
      </c>
      <c r="D1480" s="0" t="inlineStr">
        <is>
          <t>한솔애리즈</t>
        </is>
      </c>
      <c r="E1480" s="0" t="inlineStr">
        <is>
          <t>2002.02.</t>
        </is>
      </c>
      <c r="F1480" s="0" t="n">
        <v>49</v>
      </c>
      <c r="G1480" s="0" t="n">
        <v>31.09</v>
      </c>
      <c r="H1480" s="0" t="n">
        <v>102.79</v>
      </c>
      <c r="I1480" s="0" t="n">
        <v>25.67</v>
      </c>
      <c r="J1480" s="0" t="n">
        <v>84.89</v>
      </c>
      <c r="K1480" s="0" t="n">
        <v>32</v>
      </c>
      <c r="T1480" s="0" t="n">
        <v>3</v>
      </c>
      <c r="U1480" s="0" t="n">
        <v>2</v>
      </c>
      <c r="V1480" s="0" t="inlineStr">
        <is>
          <t>계단식</t>
        </is>
      </c>
      <c r="W1480" s="0" t="n">
        <v>102</v>
      </c>
      <c r="X1480" s="0" t="n">
        <v>13</v>
      </c>
      <c r="Y1480" s="0" t="n">
        <v>10</v>
      </c>
      <c r="Z1480" s="0" t="inlineStr">
        <is>
          <t>https://new.land.naver.com/complexes/12026?tab=detail&amp;rf=Y</t>
        </is>
      </c>
      <c r="AA1480" s="0" t="inlineStr">
        <is>
          <t>서울시 강동구 성내동 410-16</t>
        </is>
      </c>
      <c r="AB1480" s="0" t="inlineStr">
        <is>
          <t>서울시</t>
        </is>
      </c>
      <c r="AC1480" s="0" t="inlineStr">
        <is>
          <t>강동구</t>
        </is>
      </c>
      <c r="AD1480" s="0" t="inlineStr">
        <is>
          <t>성내동</t>
        </is>
      </c>
      <c r="AG1480" s="0" t="inlineStr">
        <is>
          <t>서울시 강동구 풍성로 191</t>
        </is>
      </c>
      <c r="AH1480" s="0" t="n">
        <v>0</v>
      </c>
      <c r="AI1480" s="0" t="n">
        <v>286</v>
      </c>
      <c r="AJ1480" s="0" t="n">
        <v>27</v>
      </c>
      <c r="AK1480" s="0" t="n">
        <v>68</v>
      </c>
      <c r="AL1480" s="0" t="n">
        <v>1.39</v>
      </c>
    </row>
    <row r="1481">
      <c r="A1481" s="0" t="inlineStr">
        <is>
          <t>[성내동]</t>
        </is>
      </c>
      <c r="B1481" s="0" t="n">
        <v>12026</v>
      </c>
      <c r="C1481" s="0" t="n">
        <v>3</v>
      </c>
      <c r="D1481" s="0" t="inlineStr">
        <is>
          <t>한솔애리즈</t>
        </is>
      </c>
      <c r="E1481" s="0" t="inlineStr">
        <is>
          <t>2002.02.</t>
        </is>
      </c>
      <c r="F1481" s="0" t="n">
        <v>49</v>
      </c>
      <c r="G1481" s="0" t="n">
        <v>40.26</v>
      </c>
      <c r="H1481" s="0" t="n">
        <v>133.11</v>
      </c>
      <c r="I1481" s="0" t="n">
        <v>33.53</v>
      </c>
      <c r="J1481" s="0" t="n">
        <v>110.85</v>
      </c>
      <c r="K1481" s="0" t="n">
        <v>1</v>
      </c>
      <c r="T1481" s="0" t="n">
        <v>4</v>
      </c>
      <c r="U1481" s="0" t="n">
        <v>2</v>
      </c>
      <c r="V1481" s="0" t="inlineStr">
        <is>
          <t>계단식</t>
        </is>
      </c>
      <c r="W1481" s="0" t="n">
        <v>133</v>
      </c>
      <c r="X1481" s="0" t="n">
        <v>13</v>
      </c>
      <c r="Y1481" s="0" t="n">
        <v>10</v>
      </c>
      <c r="Z1481" s="0" t="inlineStr">
        <is>
          <t>https://new.land.naver.com/complexes/12026?tab=detail&amp;rf=Y</t>
        </is>
      </c>
      <c r="AA1481" s="0" t="inlineStr">
        <is>
          <t>서울시 강동구 성내동 410-16</t>
        </is>
      </c>
      <c r="AB1481" s="0" t="inlineStr">
        <is>
          <t>서울시</t>
        </is>
      </c>
      <c r="AC1481" s="0" t="inlineStr">
        <is>
          <t>강동구</t>
        </is>
      </c>
      <c r="AD1481" s="0" t="inlineStr">
        <is>
          <t>성내동</t>
        </is>
      </c>
      <c r="AG1481" s="0" t="inlineStr">
        <is>
          <t>서울시 강동구 풍성로 191</t>
        </is>
      </c>
      <c r="AH1481" s="0" t="n">
        <v>0</v>
      </c>
      <c r="AI1481" s="0" t="n">
        <v>286</v>
      </c>
      <c r="AJ1481" s="0" t="n">
        <v>27</v>
      </c>
      <c r="AK1481" s="0" t="n">
        <v>68</v>
      </c>
      <c r="AL1481" s="0" t="n">
        <v>1.39</v>
      </c>
    </row>
    <row r="1482">
      <c r="A1482" s="0" t="inlineStr">
        <is>
          <t>[성내동]</t>
        </is>
      </c>
      <c r="B1482" s="0" t="n">
        <v>12026</v>
      </c>
      <c r="C1482" s="0" t="n">
        <v>4</v>
      </c>
      <c r="D1482" s="0" t="inlineStr">
        <is>
          <t>한솔애리즈</t>
        </is>
      </c>
      <c r="E1482" s="0" t="inlineStr">
        <is>
          <t>2002.02.</t>
        </is>
      </c>
      <c r="F1482" s="0" t="n">
        <v>49</v>
      </c>
      <c r="G1482" s="0" t="n">
        <v>41.98</v>
      </c>
      <c r="H1482" s="0" t="n">
        <v>138.8</v>
      </c>
      <c r="I1482" s="0" t="n">
        <v>34.94</v>
      </c>
      <c r="J1482" s="0" t="n">
        <v>115.51</v>
      </c>
      <c r="K1482" s="0" t="n">
        <v>12</v>
      </c>
      <c r="T1482" s="0" t="n">
        <v>4</v>
      </c>
      <c r="U1482" s="0" t="n">
        <v>2</v>
      </c>
      <c r="V1482" s="0" t="inlineStr">
        <is>
          <t>계단식</t>
        </is>
      </c>
      <c r="W1482" s="0" t="n">
        <v>138</v>
      </c>
      <c r="X1482" s="0" t="n">
        <v>13</v>
      </c>
      <c r="Y1482" s="0" t="n">
        <v>10</v>
      </c>
      <c r="Z1482" s="0" t="inlineStr">
        <is>
          <t>https://new.land.naver.com/complexes/12026?tab=detail&amp;rf=Y</t>
        </is>
      </c>
      <c r="AA1482" s="0" t="inlineStr">
        <is>
          <t>서울시 강동구 성내동 410-16</t>
        </is>
      </c>
      <c r="AB1482" s="0" t="inlineStr">
        <is>
          <t>서울시</t>
        </is>
      </c>
      <c r="AC1482" s="0" t="inlineStr">
        <is>
          <t>강동구</t>
        </is>
      </c>
      <c r="AD1482" s="0" t="inlineStr">
        <is>
          <t>성내동</t>
        </is>
      </c>
      <c r="AG1482" s="0" t="inlineStr">
        <is>
          <t>서울시 강동구 풍성로 191</t>
        </is>
      </c>
      <c r="AH1482" s="0" t="n">
        <v>0</v>
      </c>
      <c r="AI1482" s="0" t="n">
        <v>286</v>
      </c>
      <c r="AJ1482" s="0" t="n">
        <v>27</v>
      </c>
      <c r="AK1482" s="0" t="n">
        <v>68</v>
      </c>
      <c r="AL1482" s="0" t="n">
        <v>1.39</v>
      </c>
    </row>
    <row r="1483">
      <c r="A1483" s="0" t="inlineStr">
        <is>
          <t>[성내동]</t>
        </is>
      </c>
      <c r="B1483" s="0" t="n">
        <v>12026</v>
      </c>
      <c r="C1483" s="0" t="n">
        <v>5</v>
      </c>
      <c r="D1483" s="0" t="inlineStr">
        <is>
          <t>한솔애리즈</t>
        </is>
      </c>
      <c r="E1483" s="0" t="inlineStr">
        <is>
          <t>2002.02.</t>
        </is>
      </c>
      <c r="F1483" s="0" t="n">
        <v>49</v>
      </c>
      <c r="G1483" s="0" t="n">
        <v>60.45</v>
      </c>
      <c r="H1483" s="0" t="n">
        <v>199.86</v>
      </c>
      <c r="I1483" s="0" t="n">
        <v>50.38</v>
      </c>
      <c r="J1483" s="0" t="n">
        <v>166.57</v>
      </c>
      <c r="K1483" s="0" t="n">
        <v>3</v>
      </c>
      <c r="T1483" s="0" t="n">
        <v>6</v>
      </c>
      <c r="U1483" s="0" t="n">
        <v>2</v>
      </c>
      <c r="V1483" s="0" t="inlineStr">
        <is>
          <t>계단식</t>
        </is>
      </c>
      <c r="W1483" s="0" t="n">
        <v>199</v>
      </c>
      <c r="X1483" s="0" t="n">
        <v>13</v>
      </c>
      <c r="Y1483" s="0" t="n">
        <v>10</v>
      </c>
      <c r="Z1483" s="0" t="inlineStr">
        <is>
          <t>https://new.land.naver.com/complexes/12026?tab=detail&amp;rf=Y</t>
        </is>
      </c>
      <c r="AA1483" s="0" t="inlineStr">
        <is>
          <t>서울시 강동구 성내동 410-16</t>
        </is>
      </c>
      <c r="AB1483" s="0" t="inlineStr">
        <is>
          <t>서울시</t>
        </is>
      </c>
      <c r="AC1483" s="0" t="inlineStr">
        <is>
          <t>강동구</t>
        </is>
      </c>
      <c r="AD1483" s="0" t="inlineStr">
        <is>
          <t>성내동</t>
        </is>
      </c>
      <c r="AG1483" s="0" t="inlineStr">
        <is>
          <t>서울시 강동구 풍성로 191</t>
        </is>
      </c>
      <c r="AH1483" s="0" t="n">
        <v>0</v>
      </c>
      <c r="AI1483" s="0" t="n">
        <v>286</v>
      </c>
      <c r="AJ1483" s="0" t="n">
        <v>27</v>
      </c>
      <c r="AK1483" s="0" t="n">
        <v>68</v>
      </c>
      <c r="AL1483" s="0" t="n">
        <v>1.39</v>
      </c>
    </row>
    <row r="1484">
      <c r="A1484" s="0" t="inlineStr">
        <is>
          <t>[성내동]</t>
        </is>
      </c>
      <c r="B1484" s="0" t="n">
        <v>121860</v>
      </c>
      <c r="C1484" s="0" t="n">
        <v>1</v>
      </c>
      <c r="D1484" s="0" t="inlineStr">
        <is>
          <t>라이저강동(도시형)</t>
        </is>
      </c>
      <c r="E1484" s="0" t="inlineStr">
        <is>
          <t>2017.08.</t>
        </is>
      </c>
      <c r="F1484" s="0" t="n">
        <v>84</v>
      </c>
      <c r="G1484" s="0" t="n">
        <v>7.63</v>
      </c>
      <c r="H1484" s="0" t="n">
        <v>25.23</v>
      </c>
      <c r="I1484" s="0" t="n">
        <v>6.92</v>
      </c>
      <c r="J1484" s="0" t="n">
        <v>22.9</v>
      </c>
      <c r="K1484" s="0" t="n">
        <v>12</v>
      </c>
      <c r="T1484" s="0" t="n">
        <v>1</v>
      </c>
      <c r="U1484" s="0" t="n">
        <v>1</v>
      </c>
      <c r="V1484" s="0" t="inlineStr">
        <is>
          <t>계단식</t>
        </is>
      </c>
      <c r="W1484" s="0" t="n">
        <v>25</v>
      </c>
      <c r="X1484" s="0" t="n">
        <v>9</v>
      </c>
      <c r="Y1484" s="0" t="n">
        <v>9</v>
      </c>
      <c r="Z1484" s="0" t="inlineStr">
        <is>
          <t>https://new.land.naver.com/complexes/121860?tab=detail&amp;rf=Y</t>
        </is>
      </c>
      <c r="AA1484" s="0" t="inlineStr">
        <is>
          <t>서울시 강동구 성내동 244</t>
        </is>
      </c>
      <c r="AB1484" s="0" t="inlineStr">
        <is>
          <t>서울시</t>
        </is>
      </c>
      <c r="AC1484" s="0" t="inlineStr">
        <is>
          <t>강동구</t>
        </is>
      </c>
      <c r="AD1484" s="0" t="inlineStr">
        <is>
          <t>성내동</t>
        </is>
      </c>
      <c r="AG1484" s="0" t="inlineStr">
        <is>
          <t>서울시 강동구 천호대로 1116</t>
        </is>
      </c>
      <c r="AH1484" s="0" t="n">
        <v>84</v>
      </c>
      <c r="AI1484" s="0" t="n">
        <v>490</v>
      </c>
      <c r="AJ1484" s="0" t="n">
        <v>58</v>
      </c>
      <c r="AK1484" s="0" t="n">
        <v>52</v>
      </c>
      <c r="AL1484" s="0" t="n">
        <v>0.62</v>
      </c>
    </row>
    <row r="1485">
      <c r="A1485" s="0" t="inlineStr">
        <is>
          <t>[성내동]</t>
        </is>
      </c>
      <c r="B1485" s="0" t="n">
        <v>121860</v>
      </c>
      <c r="C1485" s="0" t="n">
        <v>2</v>
      </c>
      <c r="D1485" s="0" t="inlineStr">
        <is>
          <t>라이저강동(도시형)</t>
        </is>
      </c>
      <c r="E1485" s="0" t="inlineStr">
        <is>
          <t>2017.08.</t>
        </is>
      </c>
      <c r="F1485" s="0" t="n">
        <v>84</v>
      </c>
      <c r="G1485" s="0" t="n">
        <v>8.960000000000001</v>
      </c>
      <c r="H1485" s="0" t="n">
        <v>29.62</v>
      </c>
      <c r="I1485" s="0" t="n">
        <v>8.130000000000001</v>
      </c>
      <c r="J1485" s="0" t="n">
        <v>26.88</v>
      </c>
      <c r="K1485" s="0" t="n">
        <v>6</v>
      </c>
      <c r="T1485" s="0" t="n">
        <v>1</v>
      </c>
      <c r="U1485" s="0" t="n">
        <v>1</v>
      </c>
      <c r="V1485" s="0" t="inlineStr">
        <is>
          <t>계단식</t>
        </is>
      </c>
      <c r="W1485" s="0" t="inlineStr">
        <is>
          <t>29A</t>
        </is>
      </c>
      <c r="X1485" s="0" t="n">
        <v>9</v>
      </c>
      <c r="Y1485" s="0" t="n">
        <v>9</v>
      </c>
      <c r="Z1485" s="0" t="inlineStr">
        <is>
          <t>https://new.land.naver.com/complexes/121860?tab=detail&amp;rf=Y</t>
        </is>
      </c>
      <c r="AA1485" s="0" t="inlineStr">
        <is>
          <t>서울시 강동구 성내동 244</t>
        </is>
      </c>
      <c r="AB1485" s="0" t="inlineStr">
        <is>
          <t>서울시</t>
        </is>
      </c>
      <c r="AC1485" s="0" t="inlineStr">
        <is>
          <t>강동구</t>
        </is>
      </c>
      <c r="AD1485" s="0" t="inlineStr">
        <is>
          <t>성내동</t>
        </is>
      </c>
      <c r="AG1485" s="0" t="inlineStr">
        <is>
          <t>서울시 강동구 천호대로 1116</t>
        </is>
      </c>
      <c r="AH1485" s="0" t="n">
        <v>84</v>
      </c>
      <c r="AI1485" s="0" t="n">
        <v>490</v>
      </c>
      <c r="AJ1485" s="0" t="n">
        <v>58</v>
      </c>
      <c r="AK1485" s="0" t="n">
        <v>52</v>
      </c>
      <c r="AL1485" s="0" t="n">
        <v>0.62</v>
      </c>
    </row>
    <row r="1486">
      <c r="A1486" s="0" t="inlineStr">
        <is>
          <t>[성내동]</t>
        </is>
      </c>
      <c r="B1486" s="0" t="n">
        <v>121860</v>
      </c>
      <c r="C1486" s="0" t="n">
        <v>3</v>
      </c>
      <c r="D1486" s="0" t="inlineStr">
        <is>
          <t>라이저강동(도시형)</t>
        </is>
      </c>
      <c r="E1486" s="0" t="inlineStr">
        <is>
          <t>2017.08.</t>
        </is>
      </c>
      <c r="F1486" s="0" t="n">
        <v>84</v>
      </c>
      <c r="G1486" s="0" t="n">
        <v>9.24</v>
      </c>
      <c r="H1486" s="0" t="n">
        <v>30.56</v>
      </c>
      <c r="I1486" s="0" t="n">
        <v>8.380000000000001</v>
      </c>
      <c r="J1486" s="0" t="n">
        <v>27.73</v>
      </c>
      <c r="K1486" s="0" t="n">
        <v>12</v>
      </c>
      <c r="T1486" s="0" t="n">
        <v>1</v>
      </c>
      <c r="U1486" s="0" t="n">
        <v>1</v>
      </c>
      <c r="V1486" s="0" t="inlineStr">
        <is>
          <t>계단식</t>
        </is>
      </c>
      <c r="W1486" s="0" t="inlineStr">
        <is>
          <t>30B</t>
        </is>
      </c>
      <c r="X1486" s="0" t="n">
        <v>9</v>
      </c>
      <c r="Y1486" s="0" t="n">
        <v>9</v>
      </c>
      <c r="Z1486" s="0" t="inlineStr">
        <is>
          <t>https://new.land.naver.com/complexes/121860?tab=detail&amp;rf=Y</t>
        </is>
      </c>
      <c r="AA1486" s="0" t="inlineStr">
        <is>
          <t>서울시 강동구 성내동 244</t>
        </is>
      </c>
      <c r="AB1486" s="0" t="inlineStr">
        <is>
          <t>서울시</t>
        </is>
      </c>
      <c r="AC1486" s="0" t="inlineStr">
        <is>
          <t>강동구</t>
        </is>
      </c>
      <c r="AD1486" s="0" t="inlineStr">
        <is>
          <t>성내동</t>
        </is>
      </c>
      <c r="AG1486" s="0" t="inlineStr">
        <is>
          <t>서울시 강동구 천호대로 1116</t>
        </is>
      </c>
      <c r="AH1486" s="0" t="n">
        <v>84</v>
      </c>
      <c r="AI1486" s="0" t="n">
        <v>490</v>
      </c>
      <c r="AJ1486" s="0" t="n">
        <v>58</v>
      </c>
      <c r="AK1486" s="0" t="n">
        <v>52</v>
      </c>
      <c r="AL1486" s="0" t="n">
        <v>0.62</v>
      </c>
    </row>
    <row r="1487">
      <c r="A1487" s="0" t="inlineStr">
        <is>
          <t>[성내동]</t>
        </is>
      </c>
      <c r="B1487" s="0" t="n">
        <v>121860</v>
      </c>
      <c r="C1487" s="0" t="n">
        <v>4</v>
      </c>
      <c r="D1487" s="0" t="inlineStr">
        <is>
          <t>라이저강동(도시형)</t>
        </is>
      </c>
      <c r="E1487" s="0" t="inlineStr">
        <is>
          <t>2017.08.</t>
        </is>
      </c>
      <c r="F1487" s="0" t="n">
        <v>84</v>
      </c>
      <c r="G1487" s="0" t="n">
        <v>9.44</v>
      </c>
      <c r="H1487" s="0" t="n">
        <v>31.23</v>
      </c>
      <c r="I1487" s="0" t="n">
        <v>8.57</v>
      </c>
      <c r="J1487" s="0" t="n">
        <v>28.34</v>
      </c>
      <c r="K1487" s="0" t="n">
        <v>6</v>
      </c>
      <c r="T1487" s="0" t="n">
        <v>1</v>
      </c>
      <c r="U1487" s="0" t="n">
        <v>1</v>
      </c>
      <c r="V1487" s="0" t="inlineStr">
        <is>
          <t>계단식</t>
        </is>
      </c>
      <c r="W1487" s="0" t="inlineStr">
        <is>
          <t>31C</t>
        </is>
      </c>
      <c r="X1487" s="0" t="n">
        <v>9</v>
      </c>
      <c r="Y1487" s="0" t="n">
        <v>9</v>
      </c>
      <c r="Z1487" s="0" t="inlineStr">
        <is>
          <t>https://new.land.naver.com/complexes/121860?tab=detail&amp;rf=Y</t>
        </is>
      </c>
      <c r="AA1487" s="0" t="inlineStr">
        <is>
          <t>서울시 강동구 성내동 244</t>
        </is>
      </c>
      <c r="AB1487" s="0" t="inlineStr">
        <is>
          <t>서울시</t>
        </is>
      </c>
      <c r="AC1487" s="0" t="inlineStr">
        <is>
          <t>강동구</t>
        </is>
      </c>
      <c r="AD1487" s="0" t="inlineStr">
        <is>
          <t>성내동</t>
        </is>
      </c>
      <c r="AG1487" s="0" t="inlineStr">
        <is>
          <t>서울시 강동구 천호대로 1116</t>
        </is>
      </c>
      <c r="AH1487" s="0" t="n">
        <v>84</v>
      </c>
      <c r="AI1487" s="0" t="n">
        <v>490</v>
      </c>
      <c r="AJ1487" s="0" t="n">
        <v>58</v>
      </c>
      <c r="AK1487" s="0" t="n">
        <v>52</v>
      </c>
      <c r="AL1487" s="0" t="n">
        <v>0.62</v>
      </c>
    </row>
    <row r="1488">
      <c r="A1488" s="0" t="inlineStr">
        <is>
          <t>[성내동]</t>
        </is>
      </c>
      <c r="B1488" s="0" t="n">
        <v>121860</v>
      </c>
      <c r="C1488" s="0" t="n">
        <v>5</v>
      </c>
      <c r="D1488" s="0" t="inlineStr">
        <is>
          <t>라이저강동(도시형)</t>
        </is>
      </c>
      <c r="E1488" s="0" t="inlineStr">
        <is>
          <t>2017.08.</t>
        </is>
      </c>
      <c r="F1488" s="0" t="n">
        <v>84</v>
      </c>
      <c r="G1488" s="0" t="n">
        <v>9.949999999999999</v>
      </c>
      <c r="H1488" s="0" t="n">
        <v>32.9</v>
      </c>
      <c r="I1488" s="0" t="n">
        <v>9.029999999999999</v>
      </c>
      <c r="J1488" s="0" t="n">
        <v>29.86</v>
      </c>
      <c r="K1488" s="0" t="n">
        <v>36</v>
      </c>
      <c r="T1488" s="0" t="n">
        <v>1</v>
      </c>
      <c r="U1488" s="0" t="n">
        <v>1</v>
      </c>
      <c r="V1488" s="0" t="inlineStr">
        <is>
          <t>계단식</t>
        </is>
      </c>
      <c r="W1488" s="0" t="inlineStr">
        <is>
          <t>32B</t>
        </is>
      </c>
      <c r="X1488" s="0" t="n">
        <v>9</v>
      </c>
      <c r="Y1488" s="0" t="n">
        <v>9</v>
      </c>
      <c r="Z1488" s="0" t="inlineStr">
        <is>
          <t>https://new.land.naver.com/complexes/121860?tab=detail&amp;rf=Y</t>
        </is>
      </c>
      <c r="AA1488" s="0" t="inlineStr">
        <is>
          <t>서울시 강동구 성내동 244</t>
        </is>
      </c>
      <c r="AB1488" s="0" t="inlineStr">
        <is>
          <t>서울시</t>
        </is>
      </c>
      <c r="AC1488" s="0" t="inlineStr">
        <is>
          <t>강동구</t>
        </is>
      </c>
      <c r="AD1488" s="0" t="inlineStr">
        <is>
          <t>성내동</t>
        </is>
      </c>
      <c r="AG1488" s="0" t="inlineStr">
        <is>
          <t>서울시 강동구 천호대로 1116</t>
        </is>
      </c>
      <c r="AH1488" s="0" t="n">
        <v>84</v>
      </c>
      <c r="AI1488" s="0" t="n">
        <v>490</v>
      </c>
      <c r="AJ1488" s="0" t="n">
        <v>58</v>
      </c>
      <c r="AK1488" s="0" t="n">
        <v>52</v>
      </c>
      <c r="AL1488" s="0" t="n">
        <v>0.62</v>
      </c>
    </row>
    <row r="1489">
      <c r="A1489" s="0" t="inlineStr">
        <is>
          <t>[성내동]</t>
        </is>
      </c>
      <c r="B1489" s="0" t="n">
        <v>121860</v>
      </c>
      <c r="C1489" s="0" t="n">
        <v>6</v>
      </c>
      <c r="D1489" s="0" t="inlineStr">
        <is>
          <t>라이저강동(도시형)</t>
        </is>
      </c>
      <c r="E1489" s="0" t="inlineStr">
        <is>
          <t>2017.08.</t>
        </is>
      </c>
      <c r="F1489" s="0" t="n">
        <v>84</v>
      </c>
      <c r="G1489" s="0" t="n">
        <v>9.800000000000001</v>
      </c>
      <c r="H1489" s="0" t="n">
        <v>32.42</v>
      </c>
      <c r="I1489" s="0" t="n">
        <v>8.890000000000001</v>
      </c>
      <c r="J1489" s="0" t="n">
        <v>29.42</v>
      </c>
      <c r="K1489" s="0" t="n">
        <v>6</v>
      </c>
      <c r="T1489" s="0" t="n">
        <v>1</v>
      </c>
      <c r="U1489" s="0" t="n">
        <v>1</v>
      </c>
      <c r="V1489" s="0" t="inlineStr">
        <is>
          <t>계단식</t>
        </is>
      </c>
      <c r="W1489" s="0" t="inlineStr">
        <is>
          <t>32A</t>
        </is>
      </c>
      <c r="X1489" s="0" t="n">
        <v>9</v>
      </c>
      <c r="Y1489" s="0" t="n">
        <v>9</v>
      </c>
      <c r="Z1489" s="0" t="inlineStr">
        <is>
          <t>https://new.land.naver.com/complexes/121860?tab=detail&amp;rf=Y</t>
        </is>
      </c>
      <c r="AA1489" s="0" t="inlineStr">
        <is>
          <t>서울시 강동구 성내동 244</t>
        </is>
      </c>
      <c r="AB1489" s="0" t="inlineStr">
        <is>
          <t>서울시</t>
        </is>
      </c>
      <c r="AC1489" s="0" t="inlineStr">
        <is>
          <t>강동구</t>
        </is>
      </c>
      <c r="AD1489" s="0" t="inlineStr">
        <is>
          <t>성내동</t>
        </is>
      </c>
      <c r="AG1489" s="0" t="inlineStr">
        <is>
          <t>서울시 강동구 천호대로 1116</t>
        </is>
      </c>
      <c r="AH1489" s="0" t="n">
        <v>84</v>
      </c>
      <c r="AI1489" s="0" t="n">
        <v>490</v>
      </c>
      <c r="AJ1489" s="0" t="n">
        <v>58</v>
      </c>
      <c r="AK1489" s="0" t="n">
        <v>52</v>
      </c>
      <c r="AL1489" s="0" t="n">
        <v>0.62</v>
      </c>
    </row>
    <row r="1490">
      <c r="A1490" s="0" t="inlineStr">
        <is>
          <t>[성내동]</t>
        </is>
      </c>
      <c r="B1490" s="0" t="n">
        <v>121860</v>
      </c>
      <c r="C1490" s="0" t="n">
        <v>7</v>
      </c>
      <c r="D1490" s="0" t="inlineStr">
        <is>
          <t>라이저강동(도시형)</t>
        </is>
      </c>
      <c r="E1490" s="0" t="inlineStr">
        <is>
          <t>2017.08.</t>
        </is>
      </c>
      <c r="F1490" s="0" t="n">
        <v>84</v>
      </c>
      <c r="G1490" s="0" t="n">
        <v>9.98</v>
      </c>
      <c r="H1490" s="0" t="n">
        <v>33</v>
      </c>
      <c r="I1490" s="0" t="n">
        <v>9.050000000000001</v>
      </c>
      <c r="J1490" s="0" t="n">
        <v>29.95</v>
      </c>
      <c r="K1490" s="0" t="n">
        <v>6</v>
      </c>
      <c r="T1490" s="0" t="n">
        <v>1</v>
      </c>
      <c r="U1490" s="0" t="n">
        <v>1</v>
      </c>
      <c r="V1490" s="0" t="inlineStr">
        <is>
          <t>계단식</t>
        </is>
      </c>
      <c r="W1490" s="0" t="inlineStr">
        <is>
          <t>33C</t>
        </is>
      </c>
      <c r="X1490" s="0" t="n">
        <v>9</v>
      </c>
      <c r="Y1490" s="0" t="n">
        <v>9</v>
      </c>
      <c r="Z1490" s="0" t="inlineStr">
        <is>
          <t>https://new.land.naver.com/complexes/121860?tab=detail&amp;rf=Y</t>
        </is>
      </c>
      <c r="AA1490" s="0" t="inlineStr">
        <is>
          <t>서울시 강동구 성내동 244</t>
        </is>
      </c>
      <c r="AB1490" s="0" t="inlineStr">
        <is>
          <t>서울시</t>
        </is>
      </c>
      <c r="AC1490" s="0" t="inlineStr">
        <is>
          <t>강동구</t>
        </is>
      </c>
      <c r="AD1490" s="0" t="inlineStr">
        <is>
          <t>성내동</t>
        </is>
      </c>
      <c r="AG1490" s="0" t="inlineStr">
        <is>
          <t>서울시 강동구 천호대로 1116</t>
        </is>
      </c>
      <c r="AH1490" s="0" t="n">
        <v>84</v>
      </c>
      <c r="AI1490" s="0" t="n">
        <v>490</v>
      </c>
      <c r="AJ1490" s="0" t="n">
        <v>58</v>
      </c>
      <c r="AK1490" s="0" t="n">
        <v>52</v>
      </c>
      <c r="AL1490" s="0" t="n">
        <v>0.62</v>
      </c>
    </row>
    <row r="1491">
      <c r="A1491" s="0" t="inlineStr">
        <is>
          <t>[성내동]</t>
        </is>
      </c>
      <c r="B1491" s="0" t="n">
        <v>103140</v>
      </c>
      <c r="C1491" s="0" t="n">
        <v>1</v>
      </c>
      <c r="D1491" s="0" t="inlineStr">
        <is>
          <t>둔촌역아치스톤</t>
        </is>
      </c>
      <c r="E1491" s="0" t="inlineStr">
        <is>
          <t>2010.12.</t>
        </is>
      </c>
      <c r="F1491" s="0" t="n">
        <v>66</v>
      </c>
      <c r="G1491" s="0" t="n">
        <v>35.14</v>
      </c>
      <c r="H1491" s="0" t="n">
        <v>116.19</v>
      </c>
      <c r="I1491" s="0" t="n">
        <v>25.69</v>
      </c>
      <c r="J1491" s="0" t="n">
        <v>84.94</v>
      </c>
      <c r="K1491" s="0" t="n">
        <v>24</v>
      </c>
      <c r="T1491" s="0" t="n">
        <v>3</v>
      </c>
      <c r="U1491" s="0" t="n">
        <v>2</v>
      </c>
      <c r="V1491" s="0" t="inlineStr">
        <is>
          <t>계단식</t>
        </is>
      </c>
      <c r="W1491" s="0" t="inlineStr">
        <is>
          <t>116A</t>
        </is>
      </c>
      <c r="X1491" s="0" t="n">
        <v>12</v>
      </c>
      <c r="Y1491" s="0" t="n">
        <v>11</v>
      </c>
      <c r="Z1491" s="0" t="inlineStr">
        <is>
          <t>https://new.land.naver.com/complexes/103140?tab=detail&amp;rf=Y</t>
        </is>
      </c>
      <c r="AA1491" s="0" t="inlineStr">
        <is>
          <t>서울시 강동구 성내동 412</t>
        </is>
      </c>
      <c r="AB1491" s="0" t="inlineStr">
        <is>
          <t>서울시</t>
        </is>
      </c>
      <c r="AC1491" s="0" t="inlineStr">
        <is>
          <t>강동구</t>
        </is>
      </c>
      <c r="AD1491" s="0" t="inlineStr">
        <is>
          <t>성내동</t>
        </is>
      </c>
      <c r="AG1491" s="0" t="inlineStr">
        <is>
          <t>서울시 강동구 풍성로 203</t>
        </is>
      </c>
      <c r="AH1491" s="0" t="n">
        <v>0</v>
      </c>
      <c r="AI1491" s="0" t="n">
        <v>198</v>
      </c>
      <c r="AJ1491" s="0" t="n">
        <v>31</v>
      </c>
      <c r="AK1491" s="0" t="n">
        <v>79</v>
      </c>
      <c r="AL1491" s="0" t="n">
        <v>1.2</v>
      </c>
    </row>
    <row r="1492">
      <c r="A1492" s="0" t="inlineStr">
        <is>
          <t>[성내동]</t>
        </is>
      </c>
      <c r="B1492" s="0" t="n">
        <v>103140</v>
      </c>
      <c r="C1492" s="0" t="n">
        <v>2</v>
      </c>
      <c r="D1492" s="0" t="inlineStr">
        <is>
          <t>둔촌역아치스톤</t>
        </is>
      </c>
      <c r="E1492" s="0" t="inlineStr">
        <is>
          <t>2010.12.</t>
        </is>
      </c>
      <c r="F1492" s="0" t="n">
        <v>66</v>
      </c>
      <c r="G1492" s="0" t="n">
        <v>35.17</v>
      </c>
      <c r="H1492" s="0" t="n">
        <v>116.28</v>
      </c>
      <c r="I1492" s="0" t="n">
        <v>25.7</v>
      </c>
      <c r="J1492" s="0" t="n">
        <v>84.95999999999999</v>
      </c>
      <c r="K1492" s="0" t="n">
        <v>20</v>
      </c>
      <c r="T1492" s="0" t="n">
        <v>3</v>
      </c>
      <c r="U1492" s="0" t="n">
        <v>2</v>
      </c>
      <c r="V1492" s="0" t="inlineStr">
        <is>
          <t>계단식</t>
        </is>
      </c>
      <c r="W1492" s="0" t="inlineStr">
        <is>
          <t>116B</t>
        </is>
      </c>
      <c r="X1492" s="0" t="n">
        <v>12</v>
      </c>
      <c r="Y1492" s="0" t="n">
        <v>11</v>
      </c>
      <c r="Z1492" s="0" t="inlineStr">
        <is>
          <t>https://new.land.naver.com/complexes/103140?tab=detail&amp;rf=Y</t>
        </is>
      </c>
      <c r="AA1492" s="0" t="inlineStr">
        <is>
          <t>서울시 강동구 성내동 412</t>
        </is>
      </c>
      <c r="AB1492" s="0" t="inlineStr">
        <is>
          <t>서울시</t>
        </is>
      </c>
      <c r="AC1492" s="0" t="inlineStr">
        <is>
          <t>강동구</t>
        </is>
      </c>
      <c r="AD1492" s="0" t="inlineStr">
        <is>
          <t>성내동</t>
        </is>
      </c>
      <c r="AG1492" s="0" t="inlineStr">
        <is>
          <t>서울시 강동구 풍성로 203</t>
        </is>
      </c>
      <c r="AH1492" s="0" t="n">
        <v>0</v>
      </c>
      <c r="AI1492" s="0" t="n">
        <v>198</v>
      </c>
      <c r="AJ1492" s="0" t="n">
        <v>31</v>
      </c>
      <c r="AK1492" s="0" t="n">
        <v>79</v>
      </c>
      <c r="AL1492" s="0" t="n">
        <v>1.2</v>
      </c>
    </row>
    <row r="1493">
      <c r="A1493" s="0" t="inlineStr">
        <is>
          <t>[성내동]</t>
        </is>
      </c>
      <c r="B1493" s="0" t="n">
        <v>103140</v>
      </c>
      <c r="C1493" s="0" t="n">
        <v>3</v>
      </c>
      <c r="D1493" s="0" t="inlineStr">
        <is>
          <t>둔촌역아치스톤</t>
        </is>
      </c>
      <c r="E1493" s="0" t="inlineStr">
        <is>
          <t>2010.12.</t>
        </is>
      </c>
      <c r="F1493" s="0" t="n">
        <v>66</v>
      </c>
      <c r="G1493" s="0" t="n">
        <v>35.14</v>
      </c>
      <c r="H1493" s="0" t="n">
        <v>116.18</v>
      </c>
      <c r="I1493" s="0" t="n">
        <v>25.67</v>
      </c>
      <c r="J1493" s="0" t="n">
        <v>84.88</v>
      </c>
      <c r="K1493" s="0" t="n">
        <v>11</v>
      </c>
      <c r="T1493" s="0" t="n">
        <v>3</v>
      </c>
      <c r="U1493" s="0" t="n">
        <v>2</v>
      </c>
      <c r="V1493" s="0" t="inlineStr">
        <is>
          <t>계단식</t>
        </is>
      </c>
      <c r="W1493" s="0" t="inlineStr">
        <is>
          <t>116C</t>
        </is>
      </c>
      <c r="X1493" s="0" t="n">
        <v>12</v>
      </c>
      <c r="Y1493" s="0" t="n">
        <v>11</v>
      </c>
      <c r="Z1493" s="0" t="inlineStr">
        <is>
          <t>https://new.land.naver.com/complexes/103140?tab=detail&amp;rf=Y</t>
        </is>
      </c>
      <c r="AA1493" s="0" t="inlineStr">
        <is>
          <t>서울시 강동구 성내동 412</t>
        </is>
      </c>
      <c r="AB1493" s="0" t="inlineStr">
        <is>
          <t>서울시</t>
        </is>
      </c>
      <c r="AC1493" s="0" t="inlineStr">
        <is>
          <t>강동구</t>
        </is>
      </c>
      <c r="AD1493" s="0" t="inlineStr">
        <is>
          <t>성내동</t>
        </is>
      </c>
      <c r="AG1493" s="0" t="inlineStr">
        <is>
          <t>서울시 강동구 풍성로 203</t>
        </is>
      </c>
      <c r="AH1493" s="0" t="n">
        <v>0</v>
      </c>
      <c r="AI1493" s="0" t="n">
        <v>198</v>
      </c>
      <c r="AJ1493" s="0" t="n">
        <v>31</v>
      </c>
      <c r="AK1493" s="0" t="n">
        <v>79</v>
      </c>
      <c r="AL1493" s="0" t="n">
        <v>1.2</v>
      </c>
    </row>
    <row r="1494">
      <c r="A1494" s="0" t="inlineStr">
        <is>
          <t>[성내동]</t>
        </is>
      </c>
      <c r="B1494" s="0" t="n">
        <v>103140</v>
      </c>
      <c r="C1494" s="0" t="n">
        <v>4</v>
      </c>
      <c r="D1494" s="0" t="inlineStr">
        <is>
          <t>둔촌역아치스톤</t>
        </is>
      </c>
      <c r="E1494" s="0" t="inlineStr">
        <is>
          <t>2010.12.</t>
        </is>
      </c>
      <c r="F1494" s="0" t="n">
        <v>66</v>
      </c>
      <c r="G1494" s="0" t="n">
        <v>35.17</v>
      </c>
      <c r="H1494" s="0" t="n">
        <v>116.27</v>
      </c>
      <c r="I1494" s="0" t="n">
        <v>25.67</v>
      </c>
      <c r="J1494" s="0" t="n">
        <v>84.88</v>
      </c>
      <c r="K1494" s="0" t="n">
        <v>9</v>
      </c>
      <c r="T1494" s="0" t="n">
        <v>3</v>
      </c>
      <c r="U1494" s="0" t="n">
        <v>2</v>
      </c>
      <c r="V1494" s="0" t="inlineStr">
        <is>
          <t>계단식</t>
        </is>
      </c>
      <c r="W1494" s="0" t="inlineStr">
        <is>
          <t>116D</t>
        </is>
      </c>
      <c r="X1494" s="0" t="n">
        <v>12</v>
      </c>
      <c r="Y1494" s="0" t="n">
        <v>11</v>
      </c>
      <c r="Z1494" s="0" t="inlineStr">
        <is>
          <t>https://new.land.naver.com/complexes/103140?tab=detail&amp;rf=Y</t>
        </is>
      </c>
      <c r="AA1494" s="0" t="inlineStr">
        <is>
          <t>서울시 강동구 성내동 412</t>
        </is>
      </c>
      <c r="AB1494" s="0" t="inlineStr">
        <is>
          <t>서울시</t>
        </is>
      </c>
      <c r="AC1494" s="0" t="inlineStr">
        <is>
          <t>강동구</t>
        </is>
      </c>
      <c r="AD1494" s="0" t="inlineStr">
        <is>
          <t>성내동</t>
        </is>
      </c>
      <c r="AG1494" s="0" t="inlineStr">
        <is>
          <t>서울시 강동구 풍성로 203</t>
        </is>
      </c>
      <c r="AH1494" s="0" t="n">
        <v>0</v>
      </c>
      <c r="AI1494" s="0" t="n">
        <v>198</v>
      </c>
      <c r="AJ1494" s="0" t="n">
        <v>31</v>
      </c>
      <c r="AK1494" s="0" t="n">
        <v>79</v>
      </c>
      <c r="AL1494" s="0" t="n">
        <v>1.2</v>
      </c>
    </row>
    <row r="1495">
      <c r="A1495" s="0" t="inlineStr">
        <is>
          <t>[성내동]</t>
        </is>
      </c>
      <c r="B1495" s="0" t="n">
        <v>103140</v>
      </c>
      <c r="C1495" s="0" t="n">
        <v>5</v>
      </c>
      <c r="D1495" s="0" t="inlineStr">
        <is>
          <t>둔촌역아치스톤</t>
        </is>
      </c>
      <c r="E1495" s="0" t="inlineStr">
        <is>
          <t>2010.12.</t>
        </is>
      </c>
      <c r="F1495" s="0" t="n">
        <v>66</v>
      </c>
      <c r="G1495" s="0" t="n">
        <v>35.66</v>
      </c>
      <c r="H1495" s="0" t="n">
        <v>117.9</v>
      </c>
      <c r="I1495" s="0" t="n">
        <v>25.62</v>
      </c>
      <c r="J1495" s="0" t="n">
        <v>84.70999999999999</v>
      </c>
      <c r="K1495" s="0" t="n">
        <v>1</v>
      </c>
      <c r="T1495" s="0" t="n">
        <v>3</v>
      </c>
      <c r="U1495" s="0" t="n">
        <v>2</v>
      </c>
      <c r="V1495" s="0" t="inlineStr">
        <is>
          <t>계단식</t>
        </is>
      </c>
      <c r="W1495" s="0" t="inlineStr">
        <is>
          <t>117E</t>
        </is>
      </c>
      <c r="X1495" s="0" t="n">
        <v>12</v>
      </c>
      <c r="Y1495" s="0" t="n">
        <v>11</v>
      </c>
      <c r="Z1495" s="0" t="inlineStr">
        <is>
          <t>https://new.land.naver.com/complexes/103140?tab=detail&amp;rf=Y</t>
        </is>
      </c>
      <c r="AA1495" s="0" t="inlineStr">
        <is>
          <t>서울시 강동구 성내동 412</t>
        </is>
      </c>
      <c r="AB1495" s="0" t="inlineStr">
        <is>
          <t>서울시</t>
        </is>
      </c>
      <c r="AC1495" s="0" t="inlineStr">
        <is>
          <t>강동구</t>
        </is>
      </c>
      <c r="AD1495" s="0" t="inlineStr">
        <is>
          <t>성내동</t>
        </is>
      </c>
      <c r="AG1495" s="0" t="inlineStr">
        <is>
          <t>서울시 강동구 풍성로 203</t>
        </is>
      </c>
      <c r="AH1495" s="0" t="n">
        <v>0</v>
      </c>
      <c r="AI1495" s="0" t="n">
        <v>198</v>
      </c>
      <c r="AJ1495" s="0" t="n">
        <v>31</v>
      </c>
      <c r="AK1495" s="0" t="n">
        <v>79</v>
      </c>
      <c r="AL1495" s="0" t="n">
        <v>1.2</v>
      </c>
    </row>
    <row r="1496">
      <c r="A1496" s="0" t="inlineStr">
        <is>
          <t>[성내동]</t>
        </is>
      </c>
      <c r="B1496" s="0" t="n">
        <v>103140</v>
      </c>
      <c r="C1496" s="0" t="n">
        <v>6</v>
      </c>
      <c r="D1496" s="0" t="inlineStr">
        <is>
          <t>둔촌역아치스톤</t>
        </is>
      </c>
      <c r="E1496" s="0" t="inlineStr">
        <is>
          <t>2010.12.</t>
        </is>
      </c>
      <c r="F1496" s="0" t="n">
        <v>66</v>
      </c>
      <c r="G1496" s="0" t="n">
        <v>35.53</v>
      </c>
      <c r="H1496" s="0" t="n">
        <v>117.46</v>
      </c>
      <c r="I1496" s="0" t="n">
        <v>25.7</v>
      </c>
      <c r="J1496" s="0" t="n">
        <v>84.98</v>
      </c>
      <c r="K1496" s="0" t="n">
        <v>1</v>
      </c>
      <c r="T1496" s="0" t="n">
        <v>3</v>
      </c>
      <c r="U1496" s="0" t="n">
        <v>2</v>
      </c>
      <c r="V1496" s="0" t="inlineStr">
        <is>
          <t>계단식</t>
        </is>
      </c>
      <c r="W1496" s="0" t="inlineStr">
        <is>
          <t>117F</t>
        </is>
      </c>
      <c r="X1496" s="0" t="n">
        <v>12</v>
      </c>
      <c r="Y1496" s="0" t="n">
        <v>11</v>
      </c>
      <c r="Z1496" s="0" t="inlineStr">
        <is>
          <t>https://new.land.naver.com/complexes/103140?tab=detail&amp;rf=Y</t>
        </is>
      </c>
      <c r="AA1496" s="0" t="inlineStr">
        <is>
          <t>서울시 강동구 성내동 412</t>
        </is>
      </c>
      <c r="AB1496" s="0" t="inlineStr">
        <is>
          <t>서울시</t>
        </is>
      </c>
      <c r="AC1496" s="0" t="inlineStr">
        <is>
          <t>강동구</t>
        </is>
      </c>
      <c r="AD1496" s="0" t="inlineStr">
        <is>
          <t>성내동</t>
        </is>
      </c>
      <c r="AG1496" s="0" t="inlineStr">
        <is>
          <t>서울시 강동구 풍성로 203</t>
        </is>
      </c>
      <c r="AH1496" s="0" t="n">
        <v>0</v>
      </c>
      <c r="AI1496" s="0" t="n">
        <v>198</v>
      </c>
      <c r="AJ1496" s="0" t="n">
        <v>31</v>
      </c>
      <c r="AK1496" s="0" t="n">
        <v>79</v>
      </c>
      <c r="AL1496" s="0" t="n">
        <v>1.2</v>
      </c>
    </row>
    <row r="1497">
      <c r="A1497" s="0" t="inlineStr">
        <is>
          <t>[성내동]</t>
        </is>
      </c>
      <c r="B1497" s="0" t="n">
        <v>22099</v>
      </c>
      <c r="C1497" s="0" t="n">
        <v>1</v>
      </c>
      <c r="D1497" s="0" t="inlineStr">
        <is>
          <t>신일유토빌</t>
        </is>
      </c>
      <c r="E1497" s="0" t="inlineStr">
        <is>
          <t>2004.11.</t>
        </is>
      </c>
      <c r="F1497" s="0" t="n">
        <v>65</v>
      </c>
      <c r="G1497" s="0" t="n">
        <v>21.87</v>
      </c>
      <c r="H1497" s="0" t="n">
        <v>72.31</v>
      </c>
      <c r="I1497" s="0" t="n">
        <v>16.86</v>
      </c>
      <c r="J1497" s="0" t="n">
        <v>55.76</v>
      </c>
      <c r="K1497" s="0" t="n">
        <v>8</v>
      </c>
      <c r="T1497" s="0" t="n">
        <v>3</v>
      </c>
      <c r="U1497" s="0" t="n">
        <v>2</v>
      </c>
      <c r="V1497" s="0" t="inlineStr">
        <is>
          <t>복도식</t>
        </is>
      </c>
      <c r="W1497" s="0" t="n">
        <v>72</v>
      </c>
      <c r="X1497" s="0" t="n">
        <v>12</v>
      </c>
      <c r="Y1497" s="0" t="n">
        <v>12</v>
      </c>
      <c r="Z1497" s="0" t="inlineStr">
        <is>
          <t>https://new.land.naver.com/complexes/22099?tab=detail&amp;rf=Y</t>
        </is>
      </c>
      <c r="AA1497" s="0" t="inlineStr">
        <is>
          <t>서울시 강동구 성내동 603</t>
        </is>
      </c>
      <c r="AB1497" s="0" t="inlineStr">
        <is>
          <t>서울시</t>
        </is>
      </c>
      <c r="AC1497" s="0" t="inlineStr">
        <is>
          <t>강동구</t>
        </is>
      </c>
      <c r="AD1497" s="0" t="inlineStr">
        <is>
          <t>성내동</t>
        </is>
      </c>
      <c r="AG1497" s="0" t="inlineStr">
        <is>
          <t>서울시 강동구 양재대로81길 16</t>
        </is>
      </c>
      <c r="AH1497" s="0" t="n">
        <v>0</v>
      </c>
      <c r="AI1497" s="0" t="n">
        <v>0</v>
      </c>
      <c r="AJ1497" s="0" t="n">
        <v>0</v>
      </c>
      <c r="AK1497" s="0" t="n">
        <v>0</v>
      </c>
      <c r="AL1497" s="0" t="n">
        <v>0</v>
      </c>
    </row>
    <row r="1498">
      <c r="A1498" s="0" t="inlineStr">
        <is>
          <t>[성내동]</t>
        </is>
      </c>
      <c r="B1498" s="0" t="n">
        <v>22099</v>
      </c>
      <c r="C1498" s="0" t="n">
        <v>2</v>
      </c>
      <c r="D1498" s="0" t="inlineStr">
        <is>
          <t>신일유토빌</t>
        </is>
      </c>
      <c r="E1498" s="0" t="inlineStr">
        <is>
          <t>2004.11.</t>
        </is>
      </c>
      <c r="F1498" s="0" t="n">
        <v>65</v>
      </c>
      <c r="G1498" s="0" t="n">
        <v>27.84</v>
      </c>
      <c r="H1498" s="0" t="n">
        <v>92.06</v>
      </c>
      <c r="I1498" s="0" t="n">
        <v>22.23</v>
      </c>
      <c r="J1498" s="0" t="n">
        <v>73.5</v>
      </c>
      <c r="K1498" s="0" t="n">
        <v>15</v>
      </c>
      <c r="T1498" s="0" t="n">
        <v>3</v>
      </c>
      <c r="U1498" s="0" t="n">
        <v>2</v>
      </c>
      <c r="V1498" s="0" t="inlineStr">
        <is>
          <t>계단식</t>
        </is>
      </c>
      <c r="W1498" s="0" t="n">
        <v>92</v>
      </c>
      <c r="X1498" s="0" t="n">
        <v>12</v>
      </c>
      <c r="Y1498" s="0" t="n">
        <v>12</v>
      </c>
      <c r="Z1498" s="0" t="inlineStr">
        <is>
          <t>https://new.land.naver.com/complexes/22099?tab=detail&amp;rf=Y</t>
        </is>
      </c>
      <c r="AA1498" s="0" t="inlineStr">
        <is>
          <t>서울시 강동구 성내동 603</t>
        </is>
      </c>
      <c r="AB1498" s="0" t="inlineStr">
        <is>
          <t>서울시</t>
        </is>
      </c>
      <c r="AC1498" s="0" t="inlineStr">
        <is>
          <t>강동구</t>
        </is>
      </c>
      <c r="AD1498" s="0" t="inlineStr">
        <is>
          <t>성내동</t>
        </is>
      </c>
      <c r="AG1498" s="0" t="inlineStr">
        <is>
          <t>서울시 강동구 양재대로81길 16</t>
        </is>
      </c>
      <c r="AH1498" s="0" t="n">
        <v>0</v>
      </c>
      <c r="AI1498" s="0" t="n">
        <v>0</v>
      </c>
      <c r="AJ1498" s="0" t="n">
        <v>0</v>
      </c>
      <c r="AK1498" s="0" t="n">
        <v>0</v>
      </c>
      <c r="AL1498" s="0" t="n">
        <v>0</v>
      </c>
    </row>
    <row r="1499">
      <c r="A1499" s="0" t="inlineStr">
        <is>
          <t>[성내동]</t>
        </is>
      </c>
      <c r="B1499" s="0" t="n">
        <v>22099</v>
      </c>
      <c r="C1499" s="0" t="n">
        <v>3</v>
      </c>
      <c r="D1499" s="0" t="inlineStr">
        <is>
          <t>신일유토빌</t>
        </is>
      </c>
      <c r="E1499" s="0" t="inlineStr">
        <is>
          <t>2004.11.</t>
        </is>
      </c>
      <c r="F1499" s="0" t="n">
        <v>65</v>
      </c>
      <c r="G1499" s="0" t="n">
        <v>29.68</v>
      </c>
      <c r="H1499" s="0" t="n">
        <v>98.13</v>
      </c>
      <c r="I1499" s="0" t="n">
        <v>23.11</v>
      </c>
      <c r="J1499" s="0" t="n">
        <v>76.41</v>
      </c>
      <c r="K1499" s="0" t="n">
        <v>9</v>
      </c>
      <c r="T1499" s="0" t="n">
        <v>3</v>
      </c>
      <c r="U1499" s="0" t="n">
        <v>2</v>
      </c>
      <c r="V1499" s="0" t="inlineStr">
        <is>
          <t>계단식</t>
        </is>
      </c>
      <c r="W1499" s="0" t="inlineStr">
        <is>
          <t>98A</t>
        </is>
      </c>
      <c r="X1499" s="0" t="n">
        <v>12</v>
      </c>
      <c r="Y1499" s="0" t="n">
        <v>12</v>
      </c>
      <c r="Z1499" s="0" t="inlineStr">
        <is>
          <t>https://new.land.naver.com/complexes/22099?tab=detail&amp;rf=Y</t>
        </is>
      </c>
      <c r="AA1499" s="0" t="inlineStr">
        <is>
          <t>서울시 강동구 성내동 603</t>
        </is>
      </c>
      <c r="AB1499" s="0" t="inlineStr">
        <is>
          <t>서울시</t>
        </is>
      </c>
      <c r="AC1499" s="0" t="inlineStr">
        <is>
          <t>강동구</t>
        </is>
      </c>
      <c r="AD1499" s="0" t="inlineStr">
        <is>
          <t>성내동</t>
        </is>
      </c>
      <c r="AG1499" s="0" t="inlineStr">
        <is>
          <t>서울시 강동구 양재대로81길 16</t>
        </is>
      </c>
      <c r="AH1499" s="0" t="n">
        <v>0</v>
      </c>
      <c r="AI1499" s="0" t="n">
        <v>0</v>
      </c>
      <c r="AJ1499" s="0" t="n">
        <v>0</v>
      </c>
      <c r="AK1499" s="0" t="n">
        <v>0</v>
      </c>
      <c r="AL1499" s="0" t="n">
        <v>0</v>
      </c>
    </row>
    <row r="1500">
      <c r="A1500" s="0" t="inlineStr">
        <is>
          <t>[성내동]</t>
        </is>
      </c>
      <c r="B1500" s="0" t="n">
        <v>22099</v>
      </c>
      <c r="C1500" s="0" t="n">
        <v>4</v>
      </c>
      <c r="D1500" s="0" t="inlineStr">
        <is>
          <t>신일유토빌</t>
        </is>
      </c>
      <c r="E1500" s="0" t="inlineStr">
        <is>
          <t>2004.11.</t>
        </is>
      </c>
      <c r="F1500" s="0" t="n">
        <v>65</v>
      </c>
      <c r="G1500" s="0" t="n">
        <v>30.11</v>
      </c>
      <c r="H1500" s="0" t="n">
        <v>99.54000000000001</v>
      </c>
      <c r="I1500" s="0" t="n">
        <v>23.79</v>
      </c>
      <c r="J1500" s="0" t="n">
        <v>78.65000000000001</v>
      </c>
      <c r="K1500" s="0" t="n">
        <v>25</v>
      </c>
      <c r="T1500" s="0" t="n">
        <v>3</v>
      </c>
      <c r="U1500" s="0" t="n">
        <v>2</v>
      </c>
      <c r="V1500" s="0" t="inlineStr">
        <is>
          <t>계단식</t>
        </is>
      </c>
      <c r="W1500" s="0" t="inlineStr">
        <is>
          <t>99B</t>
        </is>
      </c>
      <c r="X1500" s="0" t="n">
        <v>12</v>
      </c>
      <c r="Y1500" s="0" t="n">
        <v>12</v>
      </c>
      <c r="Z1500" s="0" t="inlineStr">
        <is>
          <t>https://new.land.naver.com/complexes/22099?tab=detail&amp;rf=Y</t>
        </is>
      </c>
      <c r="AA1500" s="0" t="inlineStr">
        <is>
          <t>서울시 강동구 성내동 603</t>
        </is>
      </c>
      <c r="AB1500" s="0" t="inlineStr">
        <is>
          <t>서울시</t>
        </is>
      </c>
      <c r="AC1500" s="0" t="inlineStr">
        <is>
          <t>강동구</t>
        </is>
      </c>
      <c r="AD1500" s="0" t="inlineStr">
        <is>
          <t>성내동</t>
        </is>
      </c>
      <c r="AG1500" s="0" t="inlineStr">
        <is>
          <t>서울시 강동구 양재대로81길 16</t>
        </is>
      </c>
      <c r="AH1500" s="0" t="n">
        <v>0</v>
      </c>
      <c r="AI1500" s="0" t="n">
        <v>0</v>
      </c>
      <c r="AJ1500" s="0" t="n">
        <v>0</v>
      </c>
      <c r="AK1500" s="0" t="n">
        <v>0</v>
      </c>
      <c r="AL1500" s="0" t="n">
        <v>0</v>
      </c>
    </row>
    <row r="1501">
      <c r="A1501" s="0" t="inlineStr">
        <is>
          <t>[성내동]</t>
        </is>
      </c>
      <c r="B1501" s="0" t="n">
        <v>22099</v>
      </c>
      <c r="C1501" s="0" t="n">
        <v>5</v>
      </c>
      <c r="D1501" s="0" t="inlineStr">
        <is>
          <t>신일유토빌</t>
        </is>
      </c>
      <c r="E1501" s="0" t="inlineStr">
        <is>
          <t>2004.11.</t>
        </is>
      </c>
      <c r="F1501" s="0" t="n">
        <v>65</v>
      </c>
      <c r="G1501" s="0" t="n">
        <v>32.77</v>
      </c>
      <c r="H1501" s="0" t="n">
        <v>108.34</v>
      </c>
      <c r="I1501" s="0" t="n">
        <v>25.54</v>
      </c>
      <c r="J1501" s="0" t="n">
        <v>84.45999999999999</v>
      </c>
      <c r="K1501" s="0" t="n">
        <v>8</v>
      </c>
      <c r="T1501" s="0" t="n">
        <v>3</v>
      </c>
      <c r="U1501" s="0" t="n">
        <v>2</v>
      </c>
      <c r="V1501" s="0" t="inlineStr">
        <is>
          <t>계단식</t>
        </is>
      </c>
      <c r="W1501" s="0" t="n">
        <v>108</v>
      </c>
      <c r="X1501" s="0" t="n">
        <v>12</v>
      </c>
      <c r="Y1501" s="0" t="n">
        <v>12</v>
      </c>
      <c r="Z1501" s="0" t="inlineStr">
        <is>
          <t>https://new.land.naver.com/complexes/22099?tab=detail&amp;rf=Y</t>
        </is>
      </c>
      <c r="AA1501" s="0" t="inlineStr">
        <is>
          <t>서울시 강동구 성내동 603</t>
        </is>
      </c>
      <c r="AB1501" s="0" t="inlineStr">
        <is>
          <t>서울시</t>
        </is>
      </c>
      <c r="AC1501" s="0" t="inlineStr">
        <is>
          <t>강동구</t>
        </is>
      </c>
      <c r="AD1501" s="0" t="inlineStr">
        <is>
          <t>성내동</t>
        </is>
      </c>
      <c r="AG1501" s="0" t="inlineStr">
        <is>
          <t>서울시 강동구 양재대로81길 16</t>
        </is>
      </c>
      <c r="AH1501" s="0" t="n">
        <v>0</v>
      </c>
      <c r="AI1501" s="0" t="n">
        <v>0</v>
      </c>
      <c r="AJ1501" s="0" t="n">
        <v>0</v>
      </c>
      <c r="AK1501" s="0" t="n">
        <v>0</v>
      </c>
      <c r="AL1501" s="0" t="n">
        <v>0</v>
      </c>
    </row>
    <row r="1502">
      <c r="A1502" s="0" t="inlineStr">
        <is>
          <t>[성내동]</t>
        </is>
      </c>
      <c r="B1502" s="0" t="n">
        <v>106012</v>
      </c>
      <c r="C1502" s="0" t="n">
        <v>1</v>
      </c>
      <c r="D1502" s="0" t="inlineStr">
        <is>
          <t>해가든(454-1)</t>
        </is>
      </c>
      <c r="E1502" s="0" t="inlineStr">
        <is>
          <t>2005.05.</t>
        </is>
      </c>
      <c r="F1502" s="0" t="n">
        <v>19</v>
      </c>
      <c r="G1502" s="0" t="n">
        <v>25.9</v>
      </c>
      <c r="H1502" s="0" t="n">
        <v>85.64</v>
      </c>
      <c r="I1502" s="0" t="n">
        <v>22.19</v>
      </c>
      <c r="J1502" s="0" t="n">
        <v>73.37</v>
      </c>
      <c r="K1502" s="0" t="n">
        <v>1</v>
      </c>
      <c r="T1502" s="0" t="n">
        <v>3</v>
      </c>
      <c r="U1502" s="0" t="n">
        <v>2</v>
      </c>
      <c r="V1502" s="0" t="inlineStr">
        <is>
          <t>복도식</t>
        </is>
      </c>
      <c r="W1502" s="0" t="n">
        <v>85</v>
      </c>
      <c r="X1502" s="0" t="n">
        <v>6</v>
      </c>
      <c r="Y1502" s="0" t="n">
        <v>5</v>
      </c>
      <c r="Z1502" s="0" t="inlineStr">
        <is>
          <t>https://new.land.naver.com/complexes/106012?tab=detail&amp;rf=Y</t>
        </is>
      </c>
      <c r="AA1502" s="0" t="inlineStr">
        <is>
          <t>서울시 강동구 성내동 454-1</t>
        </is>
      </c>
      <c r="AB1502" s="0" t="inlineStr">
        <is>
          <t>서울시</t>
        </is>
      </c>
      <c r="AC1502" s="0" t="inlineStr">
        <is>
          <t>강동구</t>
        </is>
      </c>
      <c r="AD1502" s="0" t="inlineStr">
        <is>
          <t>성내동</t>
        </is>
      </c>
      <c r="AG1502" s="0" t="inlineStr">
        <is>
          <t>서울시 강동구 성내로6길 34-15</t>
        </is>
      </c>
      <c r="AH1502" s="0" t="n">
        <v>0</v>
      </c>
      <c r="AI1502" s="0" t="n">
        <v>198</v>
      </c>
      <c r="AJ1502" s="0" t="n">
        <v>43</v>
      </c>
      <c r="AK1502" s="0" t="n">
        <v>23</v>
      </c>
      <c r="AL1502" s="0" t="n">
        <v>1.21</v>
      </c>
    </row>
    <row r="1503">
      <c r="A1503" s="0" t="inlineStr">
        <is>
          <t>[성내동]</t>
        </is>
      </c>
      <c r="B1503" s="0" t="n">
        <v>106012</v>
      </c>
      <c r="C1503" s="0" t="n">
        <v>2</v>
      </c>
      <c r="D1503" s="0" t="inlineStr">
        <is>
          <t>해가든(454-1)</t>
        </is>
      </c>
      <c r="E1503" s="0" t="inlineStr">
        <is>
          <t>2005.05.</t>
        </is>
      </c>
      <c r="F1503" s="0" t="n">
        <v>19</v>
      </c>
      <c r="G1503" s="0" t="n">
        <v>28.32</v>
      </c>
      <c r="H1503" s="0" t="n">
        <v>93.64</v>
      </c>
      <c r="I1503" s="0" t="n">
        <v>24.26</v>
      </c>
      <c r="J1503" s="0" t="n">
        <v>80.23</v>
      </c>
      <c r="K1503" s="0" t="n">
        <v>1</v>
      </c>
      <c r="T1503" s="0" t="n">
        <v>3</v>
      </c>
      <c r="U1503" s="0" t="n">
        <v>2</v>
      </c>
      <c r="V1503" s="0" t="inlineStr">
        <is>
          <t>복도식</t>
        </is>
      </c>
      <c r="W1503" s="0" t="n">
        <v>93</v>
      </c>
      <c r="X1503" s="0" t="n">
        <v>6</v>
      </c>
      <c r="Y1503" s="0" t="n">
        <v>5</v>
      </c>
      <c r="Z1503" s="0" t="inlineStr">
        <is>
          <t>https://new.land.naver.com/complexes/106012?tab=detail&amp;rf=Y</t>
        </is>
      </c>
      <c r="AA1503" s="0" t="inlineStr">
        <is>
          <t>서울시 강동구 성내동 454-1</t>
        </is>
      </c>
      <c r="AB1503" s="0" t="inlineStr">
        <is>
          <t>서울시</t>
        </is>
      </c>
      <c r="AC1503" s="0" t="inlineStr">
        <is>
          <t>강동구</t>
        </is>
      </c>
      <c r="AD1503" s="0" t="inlineStr">
        <is>
          <t>성내동</t>
        </is>
      </c>
      <c r="AG1503" s="0" t="inlineStr">
        <is>
          <t>서울시 강동구 성내로6길 34-15</t>
        </is>
      </c>
      <c r="AH1503" s="0" t="n">
        <v>0</v>
      </c>
      <c r="AI1503" s="0" t="n">
        <v>198</v>
      </c>
      <c r="AJ1503" s="0" t="n">
        <v>43</v>
      </c>
      <c r="AK1503" s="0" t="n">
        <v>23</v>
      </c>
      <c r="AL1503" s="0" t="n">
        <v>1.21</v>
      </c>
    </row>
    <row r="1504">
      <c r="A1504" s="0" t="inlineStr">
        <is>
          <t>[성내동]</t>
        </is>
      </c>
      <c r="B1504" s="0" t="n">
        <v>106012</v>
      </c>
      <c r="C1504" s="0" t="n">
        <v>3</v>
      </c>
      <c r="D1504" s="0" t="inlineStr">
        <is>
          <t>해가든(454-1)</t>
        </is>
      </c>
      <c r="E1504" s="0" t="inlineStr">
        <is>
          <t>2005.05.</t>
        </is>
      </c>
      <c r="F1504" s="0" t="n">
        <v>19</v>
      </c>
      <c r="G1504" s="0" t="n">
        <v>29.28</v>
      </c>
      <c r="H1504" s="0" t="n">
        <v>96.81</v>
      </c>
      <c r="I1504" s="0" t="n">
        <v>25.09</v>
      </c>
      <c r="J1504" s="0" t="n">
        <v>82.97</v>
      </c>
      <c r="K1504" s="0" t="n">
        <v>16</v>
      </c>
      <c r="T1504" s="0" t="n">
        <v>3</v>
      </c>
      <c r="U1504" s="0" t="n">
        <v>2</v>
      </c>
      <c r="V1504" s="0" t="inlineStr">
        <is>
          <t>복도식</t>
        </is>
      </c>
      <c r="W1504" s="0" t="n">
        <v>96</v>
      </c>
      <c r="X1504" s="0" t="n">
        <v>6</v>
      </c>
      <c r="Y1504" s="0" t="n">
        <v>5</v>
      </c>
      <c r="Z1504" s="0" t="inlineStr">
        <is>
          <t>https://new.land.naver.com/complexes/106012?tab=detail&amp;rf=Y</t>
        </is>
      </c>
      <c r="AA1504" s="0" t="inlineStr">
        <is>
          <t>서울시 강동구 성내동 454-1</t>
        </is>
      </c>
      <c r="AB1504" s="0" t="inlineStr">
        <is>
          <t>서울시</t>
        </is>
      </c>
      <c r="AC1504" s="0" t="inlineStr">
        <is>
          <t>강동구</t>
        </is>
      </c>
      <c r="AD1504" s="0" t="inlineStr">
        <is>
          <t>성내동</t>
        </is>
      </c>
      <c r="AG1504" s="0" t="inlineStr">
        <is>
          <t>서울시 강동구 성내로6길 34-15</t>
        </is>
      </c>
      <c r="AH1504" s="0" t="n">
        <v>0</v>
      </c>
      <c r="AI1504" s="0" t="n">
        <v>198</v>
      </c>
      <c r="AJ1504" s="0" t="n">
        <v>43</v>
      </c>
      <c r="AK1504" s="0" t="n">
        <v>23</v>
      </c>
      <c r="AL1504" s="0" t="n">
        <v>1.21</v>
      </c>
    </row>
    <row r="1505">
      <c r="A1505" s="0" t="inlineStr">
        <is>
          <t>[성내동]</t>
        </is>
      </c>
      <c r="B1505" s="0" t="n">
        <v>106012</v>
      </c>
      <c r="C1505" s="0" t="n">
        <v>4</v>
      </c>
      <c r="D1505" s="0" t="inlineStr">
        <is>
          <t>해가든(454-1)</t>
        </is>
      </c>
      <c r="E1505" s="0" t="inlineStr">
        <is>
          <t>2005.05.</t>
        </is>
      </c>
      <c r="F1505" s="0" t="n">
        <v>19</v>
      </c>
      <c r="G1505" s="0" t="n">
        <v>48.76</v>
      </c>
      <c r="H1505" s="0" t="n">
        <v>161.2</v>
      </c>
      <c r="I1505" s="0" t="n">
        <v>41.78</v>
      </c>
      <c r="J1505" s="0" t="n">
        <v>138.14</v>
      </c>
      <c r="K1505" s="0" t="n">
        <v>1</v>
      </c>
      <c r="T1505" s="0" t="n">
        <v>4</v>
      </c>
      <c r="U1505" s="0" t="n">
        <v>2</v>
      </c>
      <c r="V1505" s="0" t="inlineStr">
        <is>
          <t>복도식</t>
        </is>
      </c>
      <c r="W1505" s="0" t="n">
        <v>161</v>
      </c>
      <c r="X1505" s="0" t="n">
        <v>6</v>
      </c>
      <c r="Y1505" s="0" t="n">
        <v>5</v>
      </c>
      <c r="Z1505" s="0" t="inlineStr">
        <is>
          <t>https://new.land.naver.com/complexes/106012?tab=detail&amp;rf=Y</t>
        </is>
      </c>
      <c r="AA1505" s="0" t="inlineStr">
        <is>
          <t>서울시 강동구 성내동 454-1</t>
        </is>
      </c>
      <c r="AB1505" s="0" t="inlineStr">
        <is>
          <t>서울시</t>
        </is>
      </c>
      <c r="AC1505" s="0" t="inlineStr">
        <is>
          <t>강동구</t>
        </is>
      </c>
      <c r="AD1505" s="0" t="inlineStr">
        <is>
          <t>성내동</t>
        </is>
      </c>
      <c r="AG1505" s="0" t="inlineStr">
        <is>
          <t>서울시 강동구 성내로6길 34-15</t>
        </is>
      </c>
      <c r="AH1505" s="0" t="n">
        <v>0</v>
      </c>
      <c r="AI1505" s="0" t="n">
        <v>198</v>
      </c>
      <c r="AJ1505" s="0" t="n">
        <v>43</v>
      </c>
      <c r="AK1505" s="0" t="n">
        <v>23</v>
      </c>
      <c r="AL1505" s="0" t="n">
        <v>1.21</v>
      </c>
    </row>
    <row r="1506">
      <c r="A1506" s="0" t="inlineStr">
        <is>
          <t>[성내동]</t>
        </is>
      </c>
      <c r="B1506" s="0" t="n">
        <v>100408</v>
      </c>
      <c r="C1506" s="0" t="n">
        <v>1</v>
      </c>
      <c r="D1506" s="0" t="inlineStr">
        <is>
          <t>올림픽파크힐</t>
        </is>
      </c>
      <c r="E1506" s="0" t="inlineStr">
        <is>
          <t>2005.06.</t>
        </is>
      </c>
      <c r="F1506" s="0" t="n">
        <v>18</v>
      </c>
      <c r="G1506" s="0" t="n">
        <v>29.52</v>
      </c>
      <c r="H1506" s="0" t="n">
        <v>97.61</v>
      </c>
      <c r="I1506" s="0" t="n">
        <v>25.56</v>
      </c>
      <c r="J1506" s="0" t="n">
        <v>84.52</v>
      </c>
      <c r="K1506" s="0" t="n">
        <v>6</v>
      </c>
      <c r="T1506" s="0" t="n">
        <v>3</v>
      </c>
      <c r="U1506" s="0" t="n">
        <v>2</v>
      </c>
      <c r="V1506" s="0" t="inlineStr">
        <is>
          <t>계단식</t>
        </is>
      </c>
      <c r="W1506" s="0" t="inlineStr">
        <is>
          <t>97A</t>
        </is>
      </c>
      <c r="X1506" s="0" t="n">
        <v>7</v>
      </c>
      <c r="Y1506" s="0" t="n">
        <v>7</v>
      </c>
      <c r="Z1506" s="0" t="inlineStr">
        <is>
          <t>https://new.land.naver.com/complexes/100408?tab=detail&amp;rf=Y</t>
        </is>
      </c>
      <c r="AA1506" s="0" t="inlineStr">
        <is>
          <t>서울시 강동구 성내동 446-17</t>
        </is>
      </c>
      <c r="AB1506" s="0" t="inlineStr">
        <is>
          <t>서울시</t>
        </is>
      </c>
      <c r="AC1506" s="0" t="inlineStr">
        <is>
          <t>강동구</t>
        </is>
      </c>
      <c r="AD1506" s="0" t="inlineStr">
        <is>
          <t>성내동</t>
        </is>
      </c>
      <c r="AG1506" s="0" t="inlineStr">
        <is>
          <t>서울시 강동구 성안로 18</t>
        </is>
      </c>
      <c r="AH1506" s="0" t="n">
        <v>0</v>
      </c>
      <c r="AI1506" s="0" t="n">
        <v>281</v>
      </c>
      <c r="AJ1506" s="0" t="n">
        <v>59</v>
      </c>
      <c r="AK1506" s="0" t="n">
        <v>18</v>
      </c>
      <c r="AL1506" s="0" t="n">
        <v>1</v>
      </c>
    </row>
    <row r="1507">
      <c r="A1507" s="0" t="inlineStr">
        <is>
          <t>[성내동]</t>
        </is>
      </c>
      <c r="B1507" s="0" t="n">
        <v>100408</v>
      </c>
      <c r="C1507" s="0" t="n">
        <v>2</v>
      </c>
      <c r="D1507" s="0" t="inlineStr">
        <is>
          <t>올림픽파크힐</t>
        </is>
      </c>
      <c r="E1507" s="0" t="inlineStr">
        <is>
          <t>2005.06.</t>
        </is>
      </c>
      <c r="F1507" s="0" t="n">
        <v>18</v>
      </c>
      <c r="G1507" s="0" t="n">
        <v>29.62</v>
      </c>
      <c r="H1507" s="0" t="n">
        <v>97.92</v>
      </c>
      <c r="I1507" s="0" t="n">
        <v>25.64</v>
      </c>
      <c r="J1507" s="0" t="n">
        <v>84.79000000000001</v>
      </c>
      <c r="K1507" s="0" t="n">
        <v>6</v>
      </c>
      <c r="T1507" s="0" t="n">
        <v>3</v>
      </c>
      <c r="U1507" s="0" t="n">
        <v>2</v>
      </c>
      <c r="V1507" s="0" t="inlineStr">
        <is>
          <t>계단식</t>
        </is>
      </c>
      <c r="W1507" s="0" t="inlineStr">
        <is>
          <t>97B</t>
        </is>
      </c>
      <c r="X1507" s="0" t="n">
        <v>7</v>
      </c>
      <c r="Y1507" s="0" t="n">
        <v>7</v>
      </c>
      <c r="Z1507" s="0" t="inlineStr">
        <is>
          <t>https://new.land.naver.com/complexes/100408?tab=detail&amp;rf=Y</t>
        </is>
      </c>
      <c r="AA1507" s="0" t="inlineStr">
        <is>
          <t>서울시 강동구 성내동 446-17</t>
        </is>
      </c>
      <c r="AB1507" s="0" t="inlineStr">
        <is>
          <t>서울시</t>
        </is>
      </c>
      <c r="AC1507" s="0" t="inlineStr">
        <is>
          <t>강동구</t>
        </is>
      </c>
      <c r="AD1507" s="0" t="inlineStr">
        <is>
          <t>성내동</t>
        </is>
      </c>
      <c r="AG1507" s="0" t="inlineStr">
        <is>
          <t>서울시 강동구 성안로 18</t>
        </is>
      </c>
      <c r="AH1507" s="0" t="n">
        <v>0</v>
      </c>
      <c r="AI1507" s="0" t="n">
        <v>281</v>
      </c>
      <c r="AJ1507" s="0" t="n">
        <v>59</v>
      </c>
      <c r="AK1507" s="0" t="n">
        <v>18</v>
      </c>
      <c r="AL1507" s="0" t="n">
        <v>1</v>
      </c>
    </row>
    <row r="1508">
      <c r="A1508" s="0" t="inlineStr">
        <is>
          <t>[성내동]</t>
        </is>
      </c>
      <c r="B1508" s="0" t="n">
        <v>100408</v>
      </c>
      <c r="C1508" s="0" t="n">
        <v>3</v>
      </c>
      <c r="D1508" s="0" t="inlineStr">
        <is>
          <t>올림픽파크힐</t>
        </is>
      </c>
      <c r="E1508" s="0" t="inlineStr">
        <is>
          <t>2005.06.</t>
        </is>
      </c>
      <c r="F1508" s="0" t="n">
        <v>18</v>
      </c>
      <c r="G1508" s="0" t="n">
        <v>29.62</v>
      </c>
      <c r="H1508" s="0" t="n">
        <v>97.95</v>
      </c>
      <c r="I1508" s="0" t="n">
        <v>25.65</v>
      </c>
      <c r="J1508" s="0" t="n">
        <v>84.81</v>
      </c>
      <c r="K1508" s="0" t="n">
        <v>6</v>
      </c>
      <c r="T1508" s="0" t="n">
        <v>3</v>
      </c>
      <c r="U1508" s="0" t="n">
        <v>2</v>
      </c>
      <c r="V1508" s="0" t="inlineStr">
        <is>
          <t>계단식</t>
        </is>
      </c>
      <c r="W1508" s="0" t="inlineStr">
        <is>
          <t>97C</t>
        </is>
      </c>
      <c r="X1508" s="0" t="n">
        <v>7</v>
      </c>
      <c r="Y1508" s="0" t="n">
        <v>7</v>
      </c>
      <c r="Z1508" s="0" t="inlineStr">
        <is>
          <t>https://new.land.naver.com/complexes/100408?tab=detail&amp;rf=Y</t>
        </is>
      </c>
      <c r="AA1508" s="0" t="inlineStr">
        <is>
          <t>서울시 강동구 성내동 446-17</t>
        </is>
      </c>
      <c r="AB1508" s="0" t="inlineStr">
        <is>
          <t>서울시</t>
        </is>
      </c>
      <c r="AC1508" s="0" t="inlineStr">
        <is>
          <t>강동구</t>
        </is>
      </c>
      <c r="AD1508" s="0" t="inlineStr">
        <is>
          <t>성내동</t>
        </is>
      </c>
      <c r="AG1508" s="0" t="inlineStr">
        <is>
          <t>서울시 강동구 성안로 18</t>
        </is>
      </c>
      <c r="AH1508" s="0" t="n">
        <v>0</v>
      </c>
      <c r="AI1508" s="0" t="n">
        <v>281</v>
      </c>
      <c r="AJ1508" s="0" t="n">
        <v>59</v>
      </c>
      <c r="AK1508" s="0" t="n">
        <v>18</v>
      </c>
      <c r="AL1508" s="0" t="n">
        <v>1</v>
      </c>
    </row>
    <row r="1509">
      <c r="A1509" s="0" t="inlineStr">
        <is>
          <t>[성내동]</t>
        </is>
      </c>
      <c r="B1509" s="0" t="n">
        <v>109554</v>
      </c>
      <c r="C1509" s="0" t="n">
        <v>1</v>
      </c>
      <c r="D1509" s="0" t="inlineStr">
        <is>
          <t>한양립스(도시형)</t>
        </is>
      </c>
      <c r="E1509" s="0" t="inlineStr">
        <is>
          <t>2014.05.</t>
        </is>
      </c>
      <c r="F1509" s="0" t="n">
        <v>54</v>
      </c>
      <c r="G1509" s="0" t="n">
        <v>5.64</v>
      </c>
      <c r="H1509" s="0" t="n">
        <v>18.65</v>
      </c>
      <c r="I1509" s="0" t="n">
        <v>3.72</v>
      </c>
      <c r="J1509" s="0" t="n">
        <v>12.33</v>
      </c>
      <c r="K1509" s="0" t="n">
        <v>54</v>
      </c>
      <c r="T1509" s="0" t="n">
        <v>1</v>
      </c>
      <c r="U1509" s="0" t="n">
        <v>1</v>
      </c>
      <c r="V1509" s="0" t="inlineStr">
        <is>
          <t>복도식</t>
        </is>
      </c>
      <c r="W1509" s="0" t="n">
        <v>18</v>
      </c>
      <c r="X1509" s="0" t="n">
        <v>13</v>
      </c>
      <c r="Y1509" s="0" t="n">
        <v>13</v>
      </c>
      <c r="Z1509" s="0" t="inlineStr">
        <is>
          <t>https://new.land.naver.com/complexes/109554?tab=detail&amp;rf=Y</t>
        </is>
      </c>
      <c r="AA1509" s="0" t="inlineStr">
        <is>
          <t>서울시 강동구 성내동 244-5</t>
        </is>
      </c>
      <c r="AB1509" s="0" t="inlineStr">
        <is>
          <t>서울시</t>
        </is>
      </c>
      <c r="AC1509" s="0" t="inlineStr">
        <is>
          <t>강동구</t>
        </is>
      </c>
      <c r="AD1509" s="0" t="inlineStr">
        <is>
          <t>성내동</t>
        </is>
      </c>
      <c r="AG1509" s="0" t="inlineStr">
        <is>
          <t>서울시 강동구 천호대로176길 10-10</t>
        </is>
      </c>
      <c r="AH1509" s="0" t="n">
        <v>0</v>
      </c>
      <c r="AI1509" s="0" t="n">
        <v>440</v>
      </c>
      <c r="AJ1509" s="0" t="n">
        <v>59</v>
      </c>
      <c r="AK1509" s="0" t="n">
        <v>11</v>
      </c>
      <c r="AL1509" s="0" t="n">
        <v>0.2</v>
      </c>
    </row>
    <row r="1510">
      <c r="A1510" s="0" t="inlineStr">
        <is>
          <t>[성내동]</t>
        </is>
      </c>
      <c r="B1510" s="0" t="n">
        <v>3321</v>
      </c>
      <c r="C1510" s="0" t="n">
        <v>1</v>
      </c>
      <c r="D1510" s="0" t="inlineStr">
        <is>
          <t>중앙하이츠</t>
        </is>
      </c>
      <c r="E1510" s="0" t="inlineStr">
        <is>
          <t>2001.08.</t>
        </is>
      </c>
      <c r="F1510" s="0" t="n">
        <v>87</v>
      </c>
      <c r="G1510" s="0" t="n">
        <v>25.41</v>
      </c>
      <c r="H1510" s="0" t="n">
        <v>84.01000000000001</v>
      </c>
      <c r="I1510" s="0" t="n">
        <v>18.07</v>
      </c>
      <c r="J1510" s="0" t="n">
        <v>59.74</v>
      </c>
      <c r="K1510" s="0" t="n">
        <v>12</v>
      </c>
      <c r="T1510" s="0" t="n">
        <v>3</v>
      </c>
      <c r="U1510" s="0" t="n">
        <v>2</v>
      </c>
      <c r="V1510" s="0" t="inlineStr">
        <is>
          <t>복도식</t>
        </is>
      </c>
      <c r="W1510" s="0" t="n">
        <v>84</v>
      </c>
      <c r="X1510" s="0" t="n">
        <v>12</v>
      </c>
      <c r="Y1510" s="0" t="n">
        <v>6</v>
      </c>
      <c r="Z1510" s="0" t="inlineStr">
        <is>
          <t>https://new.land.naver.com/complexes/3321?tab=detail&amp;rf=Y</t>
        </is>
      </c>
      <c r="AA1510" s="0" t="inlineStr">
        <is>
          <t>서울시 강동구 성내동 410-2</t>
        </is>
      </c>
      <c r="AB1510" s="0" t="inlineStr">
        <is>
          <t>서울시</t>
        </is>
      </c>
      <c r="AC1510" s="0" t="inlineStr">
        <is>
          <t>강동구</t>
        </is>
      </c>
      <c r="AD1510" s="0" t="inlineStr">
        <is>
          <t>성내동</t>
        </is>
      </c>
      <c r="AG1510" s="0" t="inlineStr">
        <is>
          <t>서울시 강동구 양재대로95길 53</t>
        </is>
      </c>
      <c r="AH1510" s="0" t="n">
        <v>0</v>
      </c>
      <c r="AI1510" s="0" t="n">
        <v>255</v>
      </c>
      <c r="AJ1510" s="0" t="n">
        <v>31</v>
      </c>
      <c r="AK1510" s="0" t="n">
        <v>90</v>
      </c>
      <c r="AL1510" s="0" t="n">
        <v>1.03</v>
      </c>
    </row>
    <row r="1511">
      <c r="A1511" s="0" t="inlineStr">
        <is>
          <t>[성내동]</t>
        </is>
      </c>
      <c r="B1511" s="0" t="n">
        <v>3321</v>
      </c>
      <c r="C1511" s="0" t="n">
        <v>2</v>
      </c>
      <c r="D1511" s="0" t="inlineStr">
        <is>
          <t>중앙하이츠</t>
        </is>
      </c>
      <c r="E1511" s="0" t="inlineStr">
        <is>
          <t>2001.08.</t>
        </is>
      </c>
      <c r="F1511" s="0" t="n">
        <v>87</v>
      </c>
      <c r="G1511" s="0" t="n">
        <v>26.1</v>
      </c>
      <c r="H1511" s="0" t="n">
        <v>86.31</v>
      </c>
      <c r="I1511" s="0" t="n">
        <v>18.56</v>
      </c>
      <c r="J1511" s="0" t="n">
        <v>61.36</v>
      </c>
      <c r="K1511" s="0" t="n">
        <v>20</v>
      </c>
      <c r="T1511" s="0" t="n">
        <v>3</v>
      </c>
      <c r="U1511" s="0" t="n">
        <v>2</v>
      </c>
      <c r="V1511" s="0" t="inlineStr">
        <is>
          <t>복도식</t>
        </is>
      </c>
      <c r="W1511" s="0" t="n">
        <v>86</v>
      </c>
      <c r="X1511" s="0" t="n">
        <v>12</v>
      </c>
      <c r="Y1511" s="0" t="n">
        <v>6</v>
      </c>
      <c r="Z1511" s="0" t="inlineStr">
        <is>
          <t>https://new.land.naver.com/complexes/3321?tab=detail&amp;rf=Y</t>
        </is>
      </c>
      <c r="AA1511" s="0" t="inlineStr">
        <is>
          <t>서울시 강동구 성내동 410-2</t>
        </is>
      </c>
      <c r="AB1511" s="0" t="inlineStr">
        <is>
          <t>서울시</t>
        </is>
      </c>
      <c r="AC1511" s="0" t="inlineStr">
        <is>
          <t>강동구</t>
        </is>
      </c>
      <c r="AD1511" s="0" t="inlineStr">
        <is>
          <t>성내동</t>
        </is>
      </c>
      <c r="AG1511" s="0" t="inlineStr">
        <is>
          <t>서울시 강동구 양재대로95길 53</t>
        </is>
      </c>
      <c r="AH1511" s="0" t="n">
        <v>0</v>
      </c>
      <c r="AI1511" s="0" t="n">
        <v>255</v>
      </c>
      <c r="AJ1511" s="0" t="n">
        <v>31</v>
      </c>
      <c r="AK1511" s="0" t="n">
        <v>90</v>
      </c>
      <c r="AL1511" s="0" t="n">
        <v>1.03</v>
      </c>
    </row>
    <row r="1512">
      <c r="A1512" s="0" t="inlineStr">
        <is>
          <t>[성내동]</t>
        </is>
      </c>
      <c r="B1512" s="0" t="n">
        <v>3321</v>
      </c>
      <c r="C1512" s="0" t="n">
        <v>3</v>
      </c>
      <c r="D1512" s="0" t="inlineStr">
        <is>
          <t>중앙하이츠</t>
        </is>
      </c>
      <c r="E1512" s="0" t="inlineStr">
        <is>
          <t>2001.08.</t>
        </is>
      </c>
      <c r="F1512" s="0" t="n">
        <v>87</v>
      </c>
      <c r="G1512" s="0" t="n">
        <v>35.97</v>
      </c>
      <c r="H1512" s="0" t="n">
        <v>118.94</v>
      </c>
      <c r="I1512" s="0" t="n">
        <v>25.69</v>
      </c>
      <c r="J1512" s="0" t="n">
        <v>84.95</v>
      </c>
      <c r="K1512" s="0" t="n">
        <v>55</v>
      </c>
      <c r="T1512" s="0" t="n">
        <v>3</v>
      </c>
      <c r="U1512" s="0" t="n">
        <v>2</v>
      </c>
      <c r="V1512" s="0" t="inlineStr">
        <is>
          <t>계단식</t>
        </is>
      </c>
      <c r="W1512" s="0" t="n">
        <v>118</v>
      </c>
      <c r="X1512" s="0" t="n">
        <v>12</v>
      </c>
      <c r="Y1512" s="0" t="n">
        <v>6</v>
      </c>
      <c r="Z1512" s="0" t="inlineStr">
        <is>
          <t>https://new.land.naver.com/complexes/3321?tab=detail&amp;rf=Y</t>
        </is>
      </c>
      <c r="AA1512" s="0" t="inlineStr">
        <is>
          <t>서울시 강동구 성내동 410-2</t>
        </is>
      </c>
      <c r="AB1512" s="0" t="inlineStr">
        <is>
          <t>서울시</t>
        </is>
      </c>
      <c r="AC1512" s="0" t="inlineStr">
        <is>
          <t>강동구</t>
        </is>
      </c>
      <c r="AD1512" s="0" t="inlineStr">
        <is>
          <t>성내동</t>
        </is>
      </c>
      <c r="AG1512" s="0" t="inlineStr">
        <is>
          <t>서울시 강동구 양재대로95길 53</t>
        </is>
      </c>
      <c r="AH1512" s="0" t="n">
        <v>0</v>
      </c>
      <c r="AI1512" s="0" t="n">
        <v>255</v>
      </c>
      <c r="AJ1512" s="0" t="n">
        <v>31</v>
      </c>
      <c r="AK1512" s="0" t="n">
        <v>90</v>
      </c>
      <c r="AL1512" s="0" t="n">
        <v>1.03</v>
      </c>
    </row>
    <row r="1513">
      <c r="A1513" s="0" t="inlineStr">
        <is>
          <t>[성내동]</t>
        </is>
      </c>
      <c r="B1513" s="0" t="n">
        <v>102677</v>
      </c>
      <c r="C1513" s="0" t="n">
        <v>1</v>
      </c>
      <c r="D1513" s="0" t="inlineStr">
        <is>
          <t>드림스빌</t>
        </is>
      </c>
      <c r="E1513" s="0" t="inlineStr">
        <is>
          <t>2003.07.</t>
        </is>
      </c>
      <c r="F1513" s="0" t="n">
        <v>12</v>
      </c>
      <c r="G1513" s="0" t="n">
        <v>23.01</v>
      </c>
      <c r="H1513" s="0" t="n">
        <v>76.08</v>
      </c>
      <c r="I1513" s="0" t="n">
        <v>19.82</v>
      </c>
      <c r="J1513" s="0" t="n">
        <v>65.54000000000001</v>
      </c>
      <c r="K1513" s="0" t="n">
        <v>1</v>
      </c>
      <c r="T1513" s="0" t="n">
        <v>3</v>
      </c>
      <c r="U1513" s="0" t="n">
        <v>1</v>
      </c>
      <c r="V1513" s="0" t="inlineStr">
        <is>
          <t>계단식</t>
        </is>
      </c>
      <c r="W1513" s="0" t="inlineStr">
        <is>
          <t>76A</t>
        </is>
      </c>
      <c r="X1513" s="0" t="n">
        <v>7</v>
      </c>
      <c r="Y1513" s="0" t="n">
        <v>7</v>
      </c>
      <c r="Z1513" s="0" t="inlineStr">
        <is>
          <t>https://new.land.naver.com/complexes/102677?tab=detail&amp;rf=Y</t>
        </is>
      </c>
      <c r="AA1513" s="0" t="inlineStr">
        <is>
          <t>서울시 강동구 성내동 508-2</t>
        </is>
      </c>
      <c r="AB1513" s="0" t="inlineStr">
        <is>
          <t>서울시</t>
        </is>
      </c>
      <c r="AC1513" s="0" t="inlineStr">
        <is>
          <t>강동구</t>
        </is>
      </c>
      <c r="AD1513" s="0" t="inlineStr">
        <is>
          <t>성내동</t>
        </is>
      </c>
      <c r="AG1513" s="0" t="inlineStr">
        <is>
          <t>서울시 강동구 성안로13길 60</t>
        </is>
      </c>
      <c r="AH1513" s="0" t="n">
        <v>0</v>
      </c>
      <c r="AI1513" s="0" t="n">
        <v>246</v>
      </c>
      <c r="AJ1513" s="0" t="n">
        <v>45</v>
      </c>
      <c r="AK1513" s="0" t="n">
        <v>12</v>
      </c>
      <c r="AL1513" s="0" t="n">
        <v>1</v>
      </c>
    </row>
    <row r="1514">
      <c r="A1514" s="0" t="inlineStr">
        <is>
          <t>[성내동]</t>
        </is>
      </c>
      <c r="B1514" s="0" t="n">
        <v>102677</v>
      </c>
      <c r="C1514" s="0" t="n">
        <v>2</v>
      </c>
      <c r="D1514" s="0" t="inlineStr">
        <is>
          <t>드림스빌</t>
        </is>
      </c>
      <c r="E1514" s="0" t="inlineStr">
        <is>
          <t>2003.07.</t>
        </is>
      </c>
      <c r="F1514" s="0" t="n">
        <v>12</v>
      </c>
      <c r="G1514" s="0" t="n">
        <v>23.69</v>
      </c>
      <c r="H1514" s="0" t="n">
        <v>78.33</v>
      </c>
      <c r="I1514" s="0" t="n">
        <v>20.52</v>
      </c>
      <c r="J1514" s="0" t="n">
        <v>67.84999999999999</v>
      </c>
      <c r="K1514" s="0" t="n">
        <v>5</v>
      </c>
      <c r="T1514" s="0" t="n">
        <v>3</v>
      </c>
      <c r="U1514" s="0" t="n">
        <v>1</v>
      </c>
      <c r="V1514" s="0" t="inlineStr">
        <is>
          <t>계단식</t>
        </is>
      </c>
      <c r="W1514" s="0" t="inlineStr">
        <is>
          <t>78B</t>
        </is>
      </c>
      <c r="X1514" s="0" t="n">
        <v>7</v>
      </c>
      <c r="Y1514" s="0" t="n">
        <v>7</v>
      </c>
      <c r="Z1514" s="0" t="inlineStr">
        <is>
          <t>https://new.land.naver.com/complexes/102677?tab=detail&amp;rf=Y</t>
        </is>
      </c>
      <c r="AA1514" s="0" t="inlineStr">
        <is>
          <t>서울시 강동구 성내동 508-2</t>
        </is>
      </c>
      <c r="AB1514" s="0" t="inlineStr">
        <is>
          <t>서울시</t>
        </is>
      </c>
      <c r="AC1514" s="0" t="inlineStr">
        <is>
          <t>강동구</t>
        </is>
      </c>
      <c r="AD1514" s="0" t="inlineStr">
        <is>
          <t>성내동</t>
        </is>
      </c>
      <c r="AG1514" s="0" t="inlineStr">
        <is>
          <t>서울시 강동구 성안로13길 60</t>
        </is>
      </c>
      <c r="AH1514" s="0" t="n">
        <v>0</v>
      </c>
      <c r="AI1514" s="0" t="n">
        <v>246</v>
      </c>
      <c r="AJ1514" s="0" t="n">
        <v>45</v>
      </c>
      <c r="AK1514" s="0" t="n">
        <v>12</v>
      </c>
      <c r="AL1514" s="0" t="n">
        <v>1</v>
      </c>
    </row>
    <row r="1515">
      <c r="A1515" s="0" t="inlineStr">
        <is>
          <t>[성내동]</t>
        </is>
      </c>
      <c r="B1515" s="0" t="n">
        <v>102677</v>
      </c>
      <c r="C1515" s="0" t="n">
        <v>3</v>
      </c>
      <c r="D1515" s="0" t="inlineStr">
        <is>
          <t>드림스빌</t>
        </is>
      </c>
      <c r="E1515" s="0" t="inlineStr">
        <is>
          <t>2003.07.</t>
        </is>
      </c>
      <c r="F1515" s="0" t="n">
        <v>12</v>
      </c>
      <c r="G1515" s="0" t="n">
        <v>26.27</v>
      </c>
      <c r="H1515" s="0" t="n">
        <v>86.87</v>
      </c>
      <c r="I1515" s="0" t="n">
        <v>22.63</v>
      </c>
      <c r="J1515" s="0" t="n">
        <v>74.81999999999999</v>
      </c>
      <c r="K1515" s="0" t="n">
        <v>1</v>
      </c>
      <c r="T1515" s="0" t="n">
        <v>3</v>
      </c>
      <c r="U1515" s="0" t="n">
        <v>2</v>
      </c>
      <c r="V1515" s="0" t="inlineStr">
        <is>
          <t>계단식</t>
        </is>
      </c>
      <c r="W1515" s="0" t="n">
        <v>86</v>
      </c>
      <c r="X1515" s="0" t="n">
        <v>7</v>
      </c>
      <c r="Y1515" s="0" t="n">
        <v>7</v>
      </c>
      <c r="Z1515" s="0" t="inlineStr">
        <is>
          <t>https://new.land.naver.com/complexes/102677?tab=detail&amp;rf=Y</t>
        </is>
      </c>
      <c r="AA1515" s="0" t="inlineStr">
        <is>
          <t>서울시 강동구 성내동 508-2</t>
        </is>
      </c>
      <c r="AB1515" s="0" t="inlineStr">
        <is>
          <t>서울시</t>
        </is>
      </c>
      <c r="AC1515" s="0" t="inlineStr">
        <is>
          <t>강동구</t>
        </is>
      </c>
      <c r="AD1515" s="0" t="inlineStr">
        <is>
          <t>성내동</t>
        </is>
      </c>
      <c r="AG1515" s="0" t="inlineStr">
        <is>
          <t>서울시 강동구 성안로13길 60</t>
        </is>
      </c>
      <c r="AH1515" s="0" t="n">
        <v>0</v>
      </c>
      <c r="AI1515" s="0" t="n">
        <v>246</v>
      </c>
      <c r="AJ1515" s="0" t="n">
        <v>45</v>
      </c>
      <c r="AK1515" s="0" t="n">
        <v>12</v>
      </c>
      <c r="AL1515" s="0" t="n">
        <v>1</v>
      </c>
    </row>
    <row r="1516">
      <c r="A1516" s="0" t="inlineStr">
        <is>
          <t>[성내동]</t>
        </is>
      </c>
      <c r="B1516" s="0" t="n">
        <v>102677</v>
      </c>
      <c r="C1516" s="0" t="n">
        <v>4</v>
      </c>
      <c r="D1516" s="0" t="inlineStr">
        <is>
          <t>드림스빌</t>
        </is>
      </c>
      <c r="E1516" s="0" t="inlineStr">
        <is>
          <t>2003.07.</t>
        </is>
      </c>
      <c r="F1516" s="0" t="n">
        <v>12</v>
      </c>
      <c r="G1516" s="0" t="n">
        <v>27.04</v>
      </c>
      <c r="H1516" s="0" t="n">
        <v>89.41</v>
      </c>
      <c r="I1516" s="0" t="n">
        <v>23.29</v>
      </c>
      <c r="J1516" s="0" t="n">
        <v>77.02</v>
      </c>
      <c r="K1516" s="0" t="n">
        <v>4</v>
      </c>
      <c r="T1516" s="0" t="n">
        <v>3</v>
      </c>
      <c r="U1516" s="0" t="n">
        <v>2</v>
      </c>
      <c r="V1516" s="0" t="inlineStr">
        <is>
          <t>계단식</t>
        </is>
      </c>
      <c r="W1516" s="0" t="n">
        <v>89</v>
      </c>
      <c r="X1516" s="0" t="n">
        <v>7</v>
      </c>
      <c r="Y1516" s="0" t="n">
        <v>7</v>
      </c>
      <c r="Z1516" s="0" t="inlineStr">
        <is>
          <t>https://new.land.naver.com/complexes/102677?tab=detail&amp;rf=Y</t>
        </is>
      </c>
      <c r="AA1516" s="0" t="inlineStr">
        <is>
          <t>서울시 강동구 성내동 508-2</t>
        </is>
      </c>
      <c r="AB1516" s="0" t="inlineStr">
        <is>
          <t>서울시</t>
        </is>
      </c>
      <c r="AC1516" s="0" t="inlineStr">
        <is>
          <t>강동구</t>
        </is>
      </c>
      <c r="AD1516" s="0" t="inlineStr">
        <is>
          <t>성내동</t>
        </is>
      </c>
      <c r="AG1516" s="0" t="inlineStr">
        <is>
          <t>서울시 강동구 성안로13길 60</t>
        </is>
      </c>
      <c r="AH1516" s="0" t="n">
        <v>0</v>
      </c>
      <c r="AI1516" s="0" t="n">
        <v>246</v>
      </c>
      <c r="AJ1516" s="0" t="n">
        <v>45</v>
      </c>
      <c r="AK1516" s="0" t="n">
        <v>12</v>
      </c>
      <c r="AL1516" s="0" t="n">
        <v>1</v>
      </c>
    </row>
    <row r="1517">
      <c r="A1517" s="0" t="inlineStr">
        <is>
          <t>[성내동]</t>
        </is>
      </c>
      <c r="B1517" s="0" t="n">
        <v>102677</v>
      </c>
      <c r="C1517" s="0" t="n">
        <v>5</v>
      </c>
      <c r="D1517" s="0" t="inlineStr">
        <is>
          <t>드림스빌</t>
        </is>
      </c>
      <c r="E1517" s="0" t="inlineStr">
        <is>
          <t>2003.07.</t>
        </is>
      </c>
      <c r="F1517" s="0" t="n">
        <v>12</v>
      </c>
      <c r="G1517" s="0" t="n">
        <v>32.56</v>
      </c>
      <c r="H1517" s="0" t="n">
        <v>107.66</v>
      </c>
      <c r="I1517" s="0" t="n">
        <v>28.05</v>
      </c>
      <c r="J1517" s="0" t="n">
        <v>92.73999999999999</v>
      </c>
      <c r="K1517" s="0" t="n">
        <v>1</v>
      </c>
      <c r="T1517" s="0" t="n">
        <v>3</v>
      </c>
      <c r="U1517" s="0" t="n">
        <v>2</v>
      </c>
      <c r="V1517" s="0" t="inlineStr">
        <is>
          <t>계단식</t>
        </is>
      </c>
      <c r="W1517" s="0" t="n">
        <v>107</v>
      </c>
      <c r="X1517" s="0" t="n">
        <v>7</v>
      </c>
      <c r="Y1517" s="0" t="n">
        <v>7</v>
      </c>
      <c r="Z1517" s="0" t="inlineStr">
        <is>
          <t>https://new.land.naver.com/complexes/102677?tab=detail&amp;rf=Y</t>
        </is>
      </c>
      <c r="AA1517" s="0" t="inlineStr">
        <is>
          <t>서울시 강동구 성내동 508-2</t>
        </is>
      </c>
      <c r="AB1517" s="0" t="inlineStr">
        <is>
          <t>서울시</t>
        </is>
      </c>
      <c r="AC1517" s="0" t="inlineStr">
        <is>
          <t>강동구</t>
        </is>
      </c>
      <c r="AD1517" s="0" t="inlineStr">
        <is>
          <t>성내동</t>
        </is>
      </c>
      <c r="AG1517" s="0" t="inlineStr">
        <is>
          <t>서울시 강동구 성안로13길 60</t>
        </is>
      </c>
      <c r="AH1517" s="0" t="n">
        <v>0</v>
      </c>
      <c r="AI1517" s="0" t="n">
        <v>246</v>
      </c>
      <c r="AJ1517" s="0" t="n">
        <v>45</v>
      </c>
      <c r="AK1517" s="0" t="n">
        <v>12</v>
      </c>
      <c r="AL1517" s="0" t="n">
        <v>1</v>
      </c>
    </row>
    <row r="1518">
      <c r="A1518" s="0" t="inlineStr">
        <is>
          <t>[성내동]</t>
        </is>
      </c>
      <c r="B1518" s="0" t="n">
        <v>27033</v>
      </c>
      <c r="C1518" s="0" t="n">
        <v>1</v>
      </c>
      <c r="D1518" s="0" t="inlineStr">
        <is>
          <t>신주</t>
        </is>
      </c>
      <c r="E1518" s="0" t="inlineStr">
        <is>
          <t>2003.07.</t>
        </is>
      </c>
      <c r="F1518" s="0" t="n">
        <v>19</v>
      </c>
      <c r="G1518" s="0" t="n">
        <v>29.23</v>
      </c>
      <c r="H1518" s="0" t="n">
        <v>96.66</v>
      </c>
      <c r="I1518" s="0" t="n">
        <v>25.43</v>
      </c>
      <c r="J1518" s="0" t="n">
        <v>84.08</v>
      </c>
      <c r="K1518" s="0" t="n">
        <v>4</v>
      </c>
      <c r="T1518" s="0" t="n">
        <v>3</v>
      </c>
      <c r="U1518" s="0" t="n">
        <v>1</v>
      </c>
      <c r="V1518" s="0" t="inlineStr">
        <is>
          <t>계단식</t>
        </is>
      </c>
      <c r="W1518" s="0" t="n">
        <v>96</v>
      </c>
      <c r="X1518" s="0" t="n">
        <v>6</v>
      </c>
      <c r="Y1518" s="0" t="n">
        <v>5</v>
      </c>
      <c r="Z1518" s="0" t="inlineStr">
        <is>
          <t>https://new.land.naver.com/complexes/27033?tab=detail&amp;rf=Y</t>
        </is>
      </c>
      <c r="AA1518" s="0" t="inlineStr">
        <is>
          <t>서울시 강동구 성내동 320-1</t>
        </is>
      </c>
      <c r="AB1518" s="0" t="inlineStr">
        <is>
          <t>서울시</t>
        </is>
      </c>
      <c r="AC1518" s="0" t="inlineStr">
        <is>
          <t>강동구</t>
        </is>
      </c>
      <c r="AD1518" s="0" t="inlineStr">
        <is>
          <t>성내동</t>
        </is>
      </c>
      <c r="AG1518" s="0" t="inlineStr">
        <is>
          <t>서울시 강동구 올림픽로 568-12</t>
        </is>
      </c>
      <c r="AH1518" s="0" t="n">
        <v>0</v>
      </c>
      <c r="AI1518" s="0" t="n">
        <v>209</v>
      </c>
      <c r="AJ1518" s="0" t="n">
        <v>43</v>
      </c>
      <c r="AK1518" s="0" t="n">
        <v>24</v>
      </c>
      <c r="AL1518" s="0" t="n">
        <v>1.26</v>
      </c>
    </row>
    <row r="1519">
      <c r="A1519" s="0" t="inlineStr">
        <is>
          <t>[성내동]</t>
        </is>
      </c>
      <c r="B1519" s="0" t="n">
        <v>27033</v>
      </c>
      <c r="C1519" s="0" t="n">
        <v>2</v>
      </c>
      <c r="D1519" s="0" t="inlineStr">
        <is>
          <t>신주</t>
        </is>
      </c>
      <c r="E1519" s="0" t="inlineStr">
        <is>
          <t>2003.07.</t>
        </is>
      </c>
      <c r="F1519" s="0" t="n">
        <v>19</v>
      </c>
      <c r="G1519" s="0" t="n">
        <v>29.55</v>
      </c>
      <c r="H1519" s="0" t="n">
        <v>97.7</v>
      </c>
      <c r="I1519" s="0" t="n">
        <v>25.7</v>
      </c>
      <c r="J1519" s="0" t="n">
        <v>84.98</v>
      </c>
      <c r="K1519" s="0" t="n">
        <v>11</v>
      </c>
      <c r="T1519" s="0" t="n">
        <v>4</v>
      </c>
      <c r="U1519" s="0" t="n">
        <v>2</v>
      </c>
      <c r="V1519" s="0" t="inlineStr">
        <is>
          <t>계단식</t>
        </is>
      </c>
      <c r="W1519" s="0" t="n">
        <v>97</v>
      </c>
      <c r="X1519" s="0" t="n">
        <v>6</v>
      </c>
      <c r="Y1519" s="0" t="n">
        <v>5</v>
      </c>
      <c r="Z1519" s="0" t="inlineStr">
        <is>
          <t>https://new.land.naver.com/complexes/27033?tab=detail&amp;rf=Y</t>
        </is>
      </c>
      <c r="AA1519" s="0" t="inlineStr">
        <is>
          <t>서울시 강동구 성내동 320-1</t>
        </is>
      </c>
      <c r="AB1519" s="0" t="inlineStr">
        <is>
          <t>서울시</t>
        </is>
      </c>
      <c r="AC1519" s="0" t="inlineStr">
        <is>
          <t>강동구</t>
        </is>
      </c>
      <c r="AD1519" s="0" t="inlineStr">
        <is>
          <t>성내동</t>
        </is>
      </c>
      <c r="AG1519" s="0" t="inlineStr">
        <is>
          <t>서울시 강동구 올림픽로 568-12</t>
        </is>
      </c>
      <c r="AH1519" s="0" t="n">
        <v>0</v>
      </c>
      <c r="AI1519" s="0" t="n">
        <v>209</v>
      </c>
      <c r="AJ1519" s="0" t="n">
        <v>43</v>
      </c>
      <c r="AK1519" s="0" t="n">
        <v>24</v>
      </c>
      <c r="AL1519" s="0" t="n">
        <v>1.26</v>
      </c>
    </row>
    <row r="1520">
      <c r="A1520" s="0" t="inlineStr">
        <is>
          <t>[성내동]</t>
        </is>
      </c>
      <c r="B1520" s="0" t="n">
        <v>27033</v>
      </c>
      <c r="C1520" s="0" t="n">
        <v>3</v>
      </c>
      <c r="D1520" s="0" t="inlineStr">
        <is>
          <t>신주</t>
        </is>
      </c>
      <c r="E1520" s="0" t="inlineStr">
        <is>
          <t>2003.07.</t>
        </is>
      </c>
      <c r="F1520" s="0" t="n">
        <v>19</v>
      </c>
      <c r="G1520" s="0" t="n">
        <v>43.37</v>
      </c>
      <c r="H1520" s="0" t="n">
        <v>143.39</v>
      </c>
      <c r="I1520" s="0" t="n">
        <v>37.73</v>
      </c>
      <c r="J1520" s="0" t="n">
        <v>124.73</v>
      </c>
      <c r="K1520" s="0" t="n">
        <v>1</v>
      </c>
      <c r="T1520" s="0" t="n">
        <v>3</v>
      </c>
      <c r="U1520" s="0" t="n">
        <v>2</v>
      </c>
      <c r="V1520" s="0" t="inlineStr">
        <is>
          <t>계단식</t>
        </is>
      </c>
      <c r="W1520" s="0" t="n">
        <v>143</v>
      </c>
      <c r="X1520" s="0" t="n">
        <v>6</v>
      </c>
      <c r="Y1520" s="0" t="n">
        <v>5</v>
      </c>
      <c r="Z1520" s="0" t="inlineStr">
        <is>
          <t>https://new.land.naver.com/complexes/27033?tab=detail&amp;rf=Y</t>
        </is>
      </c>
      <c r="AA1520" s="0" t="inlineStr">
        <is>
          <t>서울시 강동구 성내동 320-1</t>
        </is>
      </c>
      <c r="AB1520" s="0" t="inlineStr">
        <is>
          <t>서울시</t>
        </is>
      </c>
      <c r="AC1520" s="0" t="inlineStr">
        <is>
          <t>강동구</t>
        </is>
      </c>
      <c r="AD1520" s="0" t="inlineStr">
        <is>
          <t>성내동</t>
        </is>
      </c>
      <c r="AG1520" s="0" t="inlineStr">
        <is>
          <t>서울시 강동구 올림픽로 568-12</t>
        </is>
      </c>
      <c r="AH1520" s="0" t="n">
        <v>0</v>
      </c>
      <c r="AI1520" s="0" t="n">
        <v>209</v>
      </c>
      <c r="AJ1520" s="0" t="n">
        <v>43</v>
      </c>
      <c r="AK1520" s="0" t="n">
        <v>24</v>
      </c>
      <c r="AL1520" s="0" t="n">
        <v>1.26</v>
      </c>
    </row>
    <row r="1521">
      <c r="A1521" s="0" t="inlineStr">
        <is>
          <t>[성내동]</t>
        </is>
      </c>
      <c r="B1521" s="0" t="n">
        <v>27033</v>
      </c>
      <c r="C1521" s="0" t="n">
        <v>4</v>
      </c>
      <c r="D1521" s="0" t="inlineStr">
        <is>
          <t>신주</t>
        </is>
      </c>
      <c r="E1521" s="0" t="inlineStr">
        <is>
          <t>2003.07.</t>
        </is>
      </c>
      <c r="F1521" s="0" t="n">
        <v>19</v>
      </c>
      <c r="G1521" s="0" t="n">
        <v>44.11</v>
      </c>
      <c r="H1521" s="0" t="n">
        <v>145.82</v>
      </c>
      <c r="I1521" s="0" t="n">
        <v>38.36</v>
      </c>
      <c r="J1521" s="0" t="n">
        <v>126.84</v>
      </c>
      <c r="K1521" s="0" t="n">
        <v>1</v>
      </c>
      <c r="T1521" s="0" t="n">
        <v>3</v>
      </c>
      <c r="U1521" s="0" t="n">
        <v>2</v>
      </c>
      <c r="V1521" s="0" t="inlineStr">
        <is>
          <t>계단식</t>
        </is>
      </c>
      <c r="W1521" s="0" t="inlineStr">
        <is>
          <t>145A</t>
        </is>
      </c>
      <c r="X1521" s="0" t="n">
        <v>6</v>
      </c>
      <c r="Y1521" s="0" t="n">
        <v>5</v>
      </c>
      <c r="Z1521" s="0" t="inlineStr">
        <is>
          <t>https://new.land.naver.com/complexes/27033?tab=detail&amp;rf=Y</t>
        </is>
      </c>
      <c r="AA1521" s="0" t="inlineStr">
        <is>
          <t>서울시 강동구 성내동 320-1</t>
        </is>
      </c>
      <c r="AB1521" s="0" t="inlineStr">
        <is>
          <t>서울시</t>
        </is>
      </c>
      <c r="AC1521" s="0" t="inlineStr">
        <is>
          <t>강동구</t>
        </is>
      </c>
      <c r="AD1521" s="0" t="inlineStr">
        <is>
          <t>성내동</t>
        </is>
      </c>
      <c r="AG1521" s="0" t="inlineStr">
        <is>
          <t>서울시 강동구 올림픽로 568-12</t>
        </is>
      </c>
      <c r="AH1521" s="0" t="n">
        <v>0</v>
      </c>
      <c r="AI1521" s="0" t="n">
        <v>209</v>
      </c>
      <c r="AJ1521" s="0" t="n">
        <v>43</v>
      </c>
      <c r="AK1521" s="0" t="n">
        <v>24</v>
      </c>
      <c r="AL1521" s="0" t="n">
        <v>1.26</v>
      </c>
    </row>
    <row r="1522">
      <c r="A1522" s="0" t="inlineStr">
        <is>
          <t>[성내동]</t>
        </is>
      </c>
      <c r="B1522" s="0" t="n">
        <v>27033</v>
      </c>
      <c r="C1522" s="0" t="n">
        <v>5</v>
      </c>
      <c r="D1522" s="0" t="inlineStr">
        <is>
          <t>신주</t>
        </is>
      </c>
      <c r="E1522" s="0" t="inlineStr">
        <is>
          <t>2003.07.</t>
        </is>
      </c>
      <c r="F1522" s="0" t="n">
        <v>19</v>
      </c>
      <c r="G1522" s="0" t="n">
        <v>44.41</v>
      </c>
      <c r="H1522" s="0" t="n">
        <v>146.84</v>
      </c>
      <c r="I1522" s="0" t="n">
        <v>38.63</v>
      </c>
      <c r="J1522" s="0" t="n">
        <v>127.73</v>
      </c>
      <c r="K1522" s="0" t="n">
        <v>1</v>
      </c>
      <c r="T1522" s="0" t="n">
        <v>3</v>
      </c>
      <c r="U1522" s="0" t="n">
        <v>2</v>
      </c>
      <c r="V1522" s="0" t="inlineStr">
        <is>
          <t>계단식</t>
        </is>
      </c>
      <c r="W1522" s="0" t="inlineStr">
        <is>
          <t>146B</t>
        </is>
      </c>
      <c r="X1522" s="0" t="n">
        <v>6</v>
      </c>
      <c r="Y1522" s="0" t="n">
        <v>5</v>
      </c>
      <c r="Z1522" s="0" t="inlineStr">
        <is>
          <t>https://new.land.naver.com/complexes/27033?tab=detail&amp;rf=Y</t>
        </is>
      </c>
      <c r="AA1522" s="0" t="inlineStr">
        <is>
          <t>서울시 강동구 성내동 320-1</t>
        </is>
      </c>
      <c r="AB1522" s="0" t="inlineStr">
        <is>
          <t>서울시</t>
        </is>
      </c>
      <c r="AC1522" s="0" t="inlineStr">
        <is>
          <t>강동구</t>
        </is>
      </c>
      <c r="AD1522" s="0" t="inlineStr">
        <is>
          <t>성내동</t>
        </is>
      </c>
      <c r="AG1522" s="0" t="inlineStr">
        <is>
          <t>서울시 강동구 올림픽로 568-12</t>
        </is>
      </c>
      <c r="AH1522" s="0" t="n">
        <v>0</v>
      </c>
      <c r="AI1522" s="0" t="n">
        <v>209</v>
      </c>
      <c r="AJ1522" s="0" t="n">
        <v>43</v>
      </c>
      <c r="AK1522" s="0" t="n">
        <v>24</v>
      </c>
      <c r="AL1522" s="0" t="n">
        <v>1.26</v>
      </c>
    </row>
    <row r="1523">
      <c r="A1523" s="0" t="inlineStr">
        <is>
          <t>[성내동]</t>
        </is>
      </c>
      <c r="B1523" s="0" t="n">
        <v>27033</v>
      </c>
      <c r="C1523" s="0" t="n">
        <v>6</v>
      </c>
      <c r="D1523" s="0" t="inlineStr">
        <is>
          <t>신주</t>
        </is>
      </c>
      <c r="E1523" s="0" t="inlineStr">
        <is>
          <t>2003.07.</t>
        </is>
      </c>
      <c r="F1523" s="0" t="n">
        <v>19</v>
      </c>
      <c r="G1523" s="0" t="n">
        <v>53.15</v>
      </c>
      <c r="H1523" s="0" t="n">
        <v>175.72</v>
      </c>
      <c r="I1523" s="0" t="n">
        <v>46.23</v>
      </c>
      <c r="J1523" s="0" t="n">
        <v>152.85</v>
      </c>
      <c r="K1523" s="0" t="n">
        <v>1</v>
      </c>
      <c r="T1523" s="0" t="n">
        <v>4</v>
      </c>
      <c r="U1523" s="0" t="n">
        <v>2</v>
      </c>
      <c r="V1523" s="0" t="inlineStr">
        <is>
          <t>복도식</t>
        </is>
      </c>
      <c r="W1523" s="0" t="n">
        <v>175</v>
      </c>
      <c r="X1523" s="0" t="n">
        <v>6</v>
      </c>
      <c r="Y1523" s="0" t="n">
        <v>5</v>
      </c>
      <c r="Z1523" s="0" t="inlineStr">
        <is>
          <t>https://new.land.naver.com/complexes/27033?tab=detail&amp;rf=Y</t>
        </is>
      </c>
      <c r="AA1523" s="0" t="inlineStr">
        <is>
          <t>서울시 강동구 성내동 320-1</t>
        </is>
      </c>
      <c r="AB1523" s="0" t="inlineStr">
        <is>
          <t>서울시</t>
        </is>
      </c>
      <c r="AC1523" s="0" t="inlineStr">
        <is>
          <t>강동구</t>
        </is>
      </c>
      <c r="AD1523" s="0" t="inlineStr">
        <is>
          <t>성내동</t>
        </is>
      </c>
      <c r="AG1523" s="0" t="inlineStr">
        <is>
          <t>서울시 강동구 올림픽로 568-12</t>
        </is>
      </c>
      <c r="AH1523" s="0" t="n">
        <v>0</v>
      </c>
      <c r="AI1523" s="0" t="n">
        <v>209</v>
      </c>
      <c r="AJ1523" s="0" t="n">
        <v>43</v>
      </c>
      <c r="AK1523" s="0" t="n">
        <v>24</v>
      </c>
      <c r="AL1523" s="0" t="n">
        <v>1.26</v>
      </c>
    </row>
    <row r="1524">
      <c r="A1524" s="0" t="inlineStr">
        <is>
          <t>[성내동]</t>
        </is>
      </c>
      <c r="B1524" s="0" t="n">
        <v>9291</v>
      </c>
      <c r="C1524" s="0" t="n">
        <v>1</v>
      </c>
      <c r="D1524" s="0" t="inlineStr">
        <is>
          <t>스위트빌</t>
        </is>
      </c>
      <c r="E1524" s="0" t="inlineStr">
        <is>
          <t>2001.04.</t>
        </is>
      </c>
      <c r="F1524" s="0" t="n">
        <v>19</v>
      </c>
      <c r="G1524" s="0" t="n">
        <v>28.21</v>
      </c>
      <c r="H1524" s="0" t="n">
        <v>93.28</v>
      </c>
      <c r="I1524" s="0" t="n">
        <v>24.54</v>
      </c>
      <c r="J1524" s="0" t="n">
        <v>81.15000000000001</v>
      </c>
      <c r="K1524" s="0" t="n">
        <v>1</v>
      </c>
      <c r="T1524" s="0" t="n">
        <v>3</v>
      </c>
      <c r="U1524" s="0" t="n">
        <v>2</v>
      </c>
      <c r="V1524" s="0" t="inlineStr">
        <is>
          <t>계단식</t>
        </is>
      </c>
      <c r="W1524" s="0" t="n">
        <v>93</v>
      </c>
      <c r="X1524" s="0" t="n">
        <v>7</v>
      </c>
      <c r="Y1524" s="0" t="n">
        <v>7</v>
      </c>
      <c r="Z1524" s="0" t="inlineStr">
        <is>
          <t>https://new.land.naver.com/complexes/9291?tab=detail&amp;rf=Y</t>
        </is>
      </c>
      <c r="AA1524" s="0" t="inlineStr">
        <is>
          <t>서울시 강동구 성내동 435-10</t>
        </is>
      </c>
      <c r="AB1524" s="0" t="inlineStr">
        <is>
          <t>서울시</t>
        </is>
      </c>
      <c r="AC1524" s="0" t="inlineStr">
        <is>
          <t>강동구</t>
        </is>
      </c>
      <c r="AD1524" s="0" t="inlineStr">
        <is>
          <t>성내동</t>
        </is>
      </c>
      <c r="AG1524" s="0" t="inlineStr">
        <is>
          <t>서울시 강동구 성안로 26</t>
        </is>
      </c>
      <c r="AH1524" s="0" t="n">
        <v>0</v>
      </c>
      <c r="AI1524" s="0" t="n">
        <v>248</v>
      </c>
      <c r="AJ1524" s="0" t="n">
        <v>41</v>
      </c>
      <c r="AK1524" s="0" t="n">
        <v>23</v>
      </c>
      <c r="AL1524" s="0" t="n">
        <v>1.21</v>
      </c>
    </row>
    <row r="1525">
      <c r="A1525" s="0" t="inlineStr">
        <is>
          <t>[성내동]</t>
        </is>
      </c>
      <c r="B1525" s="0" t="n">
        <v>9291</v>
      </c>
      <c r="C1525" s="0" t="n">
        <v>2</v>
      </c>
      <c r="D1525" s="0" t="inlineStr">
        <is>
          <t>스위트빌</t>
        </is>
      </c>
      <c r="E1525" s="0" t="inlineStr">
        <is>
          <t>2001.04.</t>
        </is>
      </c>
      <c r="F1525" s="0" t="n">
        <v>19</v>
      </c>
      <c r="G1525" s="0" t="n">
        <v>29.43</v>
      </c>
      <c r="H1525" s="0" t="n">
        <v>97.3</v>
      </c>
      <c r="I1525" s="0" t="n">
        <v>25.6</v>
      </c>
      <c r="J1525" s="0" t="n">
        <v>84.66</v>
      </c>
      <c r="K1525" s="0" t="n">
        <v>6</v>
      </c>
      <c r="T1525" s="0" t="n">
        <v>3</v>
      </c>
      <c r="U1525" s="0" t="n">
        <v>2</v>
      </c>
      <c r="V1525" s="0" t="inlineStr">
        <is>
          <t>계단식</t>
        </is>
      </c>
      <c r="W1525" s="0" t="inlineStr">
        <is>
          <t>97B</t>
        </is>
      </c>
      <c r="X1525" s="0" t="n">
        <v>7</v>
      </c>
      <c r="Y1525" s="0" t="n">
        <v>7</v>
      </c>
      <c r="Z1525" s="0" t="inlineStr">
        <is>
          <t>https://new.land.naver.com/complexes/9291?tab=detail&amp;rf=Y</t>
        </is>
      </c>
      <c r="AA1525" s="0" t="inlineStr">
        <is>
          <t>서울시 강동구 성내동 435-10</t>
        </is>
      </c>
      <c r="AB1525" s="0" t="inlineStr">
        <is>
          <t>서울시</t>
        </is>
      </c>
      <c r="AC1525" s="0" t="inlineStr">
        <is>
          <t>강동구</t>
        </is>
      </c>
      <c r="AD1525" s="0" t="inlineStr">
        <is>
          <t>성내동</t>
        </is>
      </c>
      <c r="AG1525" s="0" t="inlineStr">
        <is>
          <t>서울시 강동구 성안로 26</t>
        </is>
      </c>
      <c r="AH1525" s="0" t="n">
        <v>0</v>
      </c>
      <c r="AI1525" s="0" t="n">
        <v>248</v>
      </c>
      <c r="AJ1525" s="0" t="n">
        <v>41</v>
      </c>
      <c r="AK1525" s="0" t="n">
        <v>23</v>
      </c>
      <c r="AL1525" s="0" t="n">
        <v>1.21</v>
      </c>
    </row>
    <row r="1526">
      <c r="A1526" s="0" t="inlineStr">
        <is>
          <t>[성내동]</t>
        </is>
      </c>
      <c r="B1526" s="0" t="n">
        <v>9291</v>
      </c>
      <c r="C1526" s="0" t="n">
        <v>3</v>
      </c>
      <c r="D1526" s="0" t="inlineStr">
        <is>
          <t>스위트빌</t>
        </is>
      </c>
      <c r="E1526" s="0" t="inlineStr">
        <is>
          <t>2001.04.</t>
        </is>
      </c>
      <c r="F1526" s="0" t="n">
        <v>19</v>
      </c>
      <c r="G1526" s="0" t="n">
        <v>29.36</v>
      </c>
      <c r="H1526" s="0" t="n">
        <v>97.06</v>
      </c>
      <c r="I1526" s="0" t="n">
        <v>25.54</v>
      </c>
      <c r="J1526" s="0" t="n">
        <v>84.45</v>
      </c>
      <c r="K1526" s="0" t="n">
        <v>5</v>
      </c>
      <c r="T1526" s="0" t="n">
        <v>3</v>
      </c>
      <c r="U1526" s="0" t="n">
        <v>2</v>
      </c>
      <c r="V1526" s="0" t="inlineStr">
        <is>
          <t>계단식</t>
        </is>
      </c>
      <c r="W1526" s="0" t="inlineStr">
        <is>
          <t>97A</t>
        </is>
      </c>
      <c r="X1526" s="0" t="n">
        <v>7</v>
      </c>
      <c r="Y1526" s="0" t="n">
        <v>7</v>
      </c>
      <c r="Z1526" s="0" t="inlineStr">
        <is>
          <t>https://new.land.naver.com/complexes/9291?tab=detail&amp;rf=Y</t>
        </is>
      </c>
      <c r="AA1526" s="0" t="inlineStr">
        <is>
          <t>서울시 강동구 성내동 435-10</t>
        </is>
      </c>
      <c r="AB1526" s="0" t="inlineStr">
        <is>
          <t>서울시</t>
        </is>
      </c>
      <c r="AC1526" s="0" t="inlineStr">
        <is>
          <t>강동구</t>
        </is>
      </c>
      <c r="AD1526" s="0" t="inlineStr">
        <is>
          <t>성내동</t>
        </is>
      </c>
      <c r="AG1526" s="0" t="inlineStr">
        <is>
          <t>서울시 강동구 성안로 26</t>
        </is>
      </c>
      <c r="AH1526" s="0" t="n">
        <v>0</v>
      </c>
      <c r="AI1526" s="0" t="n">
        <v>248</v>
      </c>
      <c r="AJ1526" s="0" t="n">
        <v>41</v>
      </c>
      <c r="AK1526" s="0" t="n">
        <v>23</v>
      </c>
      <c r="AL1526" s="0" t="n">
        <v>1.21</v>
      </c>
    </row>
    <row r="1527">
      <c r="A1527" s="0" t="inlineStr">
        <is>
          <t>[성내동]</t>
        </is>
      </c>
      <c r="B1527" s="0" t="n">
        <v>9291</v>
      </c>
      <c r="C1527" s="0" t="n">
        <v>4</v>
      </c>
      <c r="D1527" s="0" t="inlineStr">
        <is>
          <t>스위트빌</t>
        </is>
      </c>
      <c r="E1527" s="0" t="inlineStr">
        <is>
          <t>2001.04.</t>
        </is>
      </c>
      <c r="F1527" s="0" t="n">
        <v>19</v>
      </c>
      <c r="G1527" s="0" t="n">
        <v>33.28</v>
      </c>
      <c r="H1527" s="0" t="n">
        <v>110.03</v>
      </c>
      <c r="I1527" s="0" t="n">
        <v>28.95</v>
      </c>
      <c r="J1527" s="0" t="n">
        <v>95.73</v>
      </c>
      <c r="K1527" s="0" t="n">
        <v>1</v>
      </c>
      <c r="T1527" s="0" t="n">
        <v>3</v>
      </c>
      <c r="U1527" s="0" t="n">
        <v>2</v>
      </c>
      <c r="V1527" s="0" t="inlineStr">
        <is>
          <t>복도식</t>
        </is>
      </c>
      <c r="W1527" s="0" t="n">
        <v>110</v>
      </c>
      <c r="X1527" s="0" t="n">
        <v>7</v>
      </c>
      <c r="Y1527" s="0" t="n">
        <v>7</v>
      </c>
      <c r="Z1527" s="0" t="inlineStr">
        <is>
          <t>https://new.land.naver.com/complexes/9291?tab=detail&amp;rf=Y</t>
        </is>
      </c>
      <c r="AA1527" s="0" t="inlineStr">
        <is>
          <t>서울시 강동구 성내동 435-10</t>
        </is>
      </c>
      <c r="AB1527" s="0" t="inlineStr">
        <is>
          <t>서울시</t>
        </is>
      </c>
      <c r="AC1527" s="0" t="inlineStr">
        <is>
          <t>강동구</t>
        </is>
      </c>
      <c r="AD1527" s="0" t="inlineStr">
        <is>
          <t>성내동</t>
        </is>
      </c>
      <c r="AG1527" s="0" t="inlineStr">
        <is>
          <t>서울시 강동구 성안로 26</t>
        </is>
      </c>
      <c r="AH1527" s="0" t="n">
        <v>0</v>
      </c>
      <c r="AI1527" s="0" t="n">
        <v>248</v>
      </c>
      <c r="AJ1527" s="0" t="n">
        <v>41</v>
      </c>
      <c r="AK1527" s="0" t="n">
        <v>23</v>
      </c>
      <c r="AL1527" s="0" t="n">
        <v>1.21</v>
      </c>
    </row>
    <row r="1528">
      <c r="A1528" s="0" t="inlineStr">
        <is>
          <t>[성내동]</t>
        </is>
      </c>
      <c r="B1528" s="0" t="n">
        <v>9291</v>
      </c>
      <c r="C1528" s="0" t="n">
        <v>5</v>
      </c>
      <c r="D1528" s="0" t="inlineStr">
        <is>
          <t>스위트빌</t>
        </is>
      </c>
      <c r="E1528" s="0" t="inlineStr">
        <is>
          <t>2001.04.</t>
        </is>
      </c>
      <c r="F1528" s="0" t="n">
        <v>19</v>
      </c>
      <c r="G1528" s="0" t="n">
        <v>36.14</v>
      </c>
      <c r="H1528" s="0" t="n">
        <v>119.5</v>
      </c>
      <c r="I1528" s="0" t="n">
        <v>31.45</v>
      </c>
      <c r="J1528" s="0" t="n">
        <v>103.98</v>
      </c>
      <c r="K1528" s="0" t="n">
        <v>6</v>
      </c>
      <c r="T1528" s="0" t="n">
        <v>3</v>
      </c>
      <c r="U1528" s="0" t="n">
        <v>2</v>
      </c>
      <c r="V1528" s="0" t="inlineStr">
        <is>
          <t>복도식</t>
        </is>
      </c>
      <c r="W1528" s="0" t="n">
        <v>119</v>
      </c>
      <c r="X1528" s="0" t="n">
        <v>7</v>
      </c>
      <c r="Y1528" s="0" t="n">
        <v>7</v>
      </c>
      <c r="Z1528" s="0" t="inlineStr">
        <is>
          <t>https://new.land.naver.com/complexes/9291?tab=detail&amp;rf=Y</t>
        </is>
      </c>
      <c r="AA1528" s="0" t="inlineStr">
        <is>
          <t>서울시 강동구 성내동 435-10</t>
        </is>
      </c>
      <c r="AB1528" s="0" t="inlineStr">
        <is>
          <t>서울시</t>
        </is>
      </c>
      <c r="AC1528" s="0" t="inlineStr">
        <is>
          <t>강동구</t>
        </is>
      </c>
      <c r="AD1528" s="0" t="inlineStr">
        <is>
          <t>성내동</t>
        </is>
      </c>
      <c r="AG1528" s="0" t="inlineStr">
        <is>
          <t>서울시 강동구 성안로 26</t>
        </is>
      </c>
      <c r="AH1528" s="0" t="n">
        <v>0</v>
      </c>
      <c r="AI1528" s="0" t="n">
        <v>248</v>
      </c>
      <c r="AJ1528" s="0" t="n">
        <v>41</v>
      </c>
      <c r="AK1528" s="0" t="n">
        <v>23</v>
      </c>
      <c r="AL1528" s="0" t="n">
        <v>1.21</v>
      </c>
    </row>
    <row r="1529">
      <c r="A1529" s="0" t="inlineStr">
        <is>
          <t>[성내동]</t>
        </is>
      </c>
      <c r="B1529" s="0" t="n">
        <v>9786</v>
      </c>
      <c r="C1529" s="0" t="n">
        <v>1</v>
      </c>
      <c r="D1529" s="0" t="inlineStr">
        <is>
          <t>태천해오름(412-1)</t>
        </is>
      </c>
      <c r="E1529" s="0" t="inlineStr">
        <is>
          <t>2002.12.</t>
        </is>
      </c>
      <c r="F1529" s="0" t="n">
        <v>29</v>
      </c>
      <c r="G1529" s="0" t="n">
        <v>21.84</v>
      </c>
      <c r="H1529" s="0" t="n">
        <v>72.23</v>
      </c>
      <c r="I1529" s="0" t="n">
        <v>17.8</v>
      </c>
      <c r="J1529" s="0" t="n">
        <v>58.87</v>
      </c>
      <c r="K1529" s="0" t="n">
        <v>1</v>
      </c>
      <c r="T1529" s="0" t="n">
        <v>2</v>
      </c>
      <c r="U1529" s="0" t="n">
        <v>1</v>
      </c>
      <c r="V1529" s="0" t="inlineStr">
        <is>
          <t>계단식</t>
        </is>
      </c>
      <c r="W1529" s="0" t="n">
        <v>72</v>
      </c>
      <c r="X1529" s="0" t="n">
        <v>9</v>
      </c>
      <c r="Y1529" s="0" t="n">
        <v>7</v>
      </c>
      <c r="Z1529" s="0" t="inlineStr">
        <is>
          <t>https://new.land.naver.com/complexes/9786?tab=detail&amp;rf=Y</t>
        </is>
      </c>
      <c r="AA1529" s="0" t="inlineStr">
        <is>
          <t>서울시 강동구 성내동 412-1</t>
        </is>
      </c>
      <c r="AB1529" s="0" t="inlineStr">
        <is>
          <t>서울시</t>
        </is>
      </c>
      <c r="AC1529" s="0" t="inlineStr">
        <is>
          <t>강동구</t>
        </is>
      </c>
      <c r="AD1529" s="0" t="inlineStr">
        <is>
          <t>성내동</t>
        </is>
      </c>
      <c r="AG1529" s="0" t="inlineStr">
        <is>
          <t>서울시 강동구 풍성로53길 12-18</t>
        </is>
      </c>
      <c r="AH1529" s="0" t="n">
        <v>0</v>
      </c>
      <c r="AI1529" s="0" t="n">
        <v>249</v>
      </c>
      <c r="AJ1529" s="0" t="n">
        <v>36</v>
      </c>
      <c r="AK1529" s="0" t="n">
        <v>32</v>
      </c>
      <c r="AL1529" s="0" t="n">
        <v>1.1</v>
      </c>
    </row>
    <row r="1530">
      <c r="A1530" s="0" t="inlineStr">
        <is>
          <t>[성내동]</t>
        </is>
      </c>
      <c r="B1530" s="0" t="n">
        <v>9786</v>
      </c>
      <c r="C1530" s="0" t="n">
        <v>2</v>
      </c>
      <c r="D1530" s="0" t="inlineStr">
        <is>
          <t>태천해오름(412-1)</t>
        </is>
      </c>
      <c r="E1530" s="0" t="inlineStr">
        <is>
          <t>2002.12.</t>
        </is>
      </c>
      <c r="F1530" s="0" t="n">
        <v>29</v>
      </c>
      <c r="G1530" s="0" t="n">
        <v>24.6</v>
      </c>
      <c r="H1530" s="0" t="n">
        <v>81.33</v>
      </c>
      <c r="I1530" s="0" t="n">
        <v>20.14</v>
      </c>
      <c r="J1530" s="0" t="n">
        <v>66.59999999999999</v>
      </c>
      <c r="K1530" s="0" t="n">
        <v>1</v>
      </c>
      <c r="T1530" s="0" t="n">
        <v>3</v>
      </c>
      <c r="U1530" s="0" t="n">
        <v>2</v>
      </c>
      <c r="V1530" s="0" t="inlineStr">
        <is>
          <t>계단식</t>
        </is>
      </c>
      <c r="W1530" s="0" t="n">
        <v>81</v>
      </c>
      <c r="X1530" s="0" t="n">
        <v>9</v>
      </c>
      <c r="Y1530" s="0" t="n">
        <v>7</v>
      </c>
      <c r="Z1530" s="0" t="inlineStr">
        <is>
          <t>https://new.land.naver.com/complexes/9786?tab=detail&amp;rf=Y</t>
        </is>
      </c>
      <c r="AA1530" s="0" t="inlineStr">
        <is>
          <t>서울시 강동구 성내동 412-1</t>
        </is>
      </c>
      <c r="AB1530" s="0" t="inlineStr">
        <is>
          <t>서울시</t>
        </is>
      </c>
      <c r="AC1530" s="0" t="inlineStr">
        <is>
          <t>강동구</t>
        </is>
      </c>
      <c r="AD1530" s="0" t="inlineStr">
        <is>
          <t>성내동</t>
        </is>
      </c>
      <c r="AG1530" s="0" t="inlineStr">
        <is>
          <t>서울시 강동구 풍성로53길 12-18</t>
        </is>
      </c>
      <c r="AH1530" s="0" t="n">
        <v>0</v>
      </c>
      <c r="AI1530" s="0" t="n">
        <v>249</v>
      </c>
      <c r="AJ1530" s="0" t="n">
        <v>36</v>
      </c>
      <c r="AK1530" s="0" t="n">
        <v>32</v>
      </c>
      <c r="AL1530" s="0" t="n">
        <v>1.1</v>
      </c>
    </row>
    <row r="1531">
      <c r="A1531" s="0" t="inlineStr">
        <is>
          <t>[성내동]</t>
        </is>
      </c>
      <c r="B1531" s="0" t="n">
        <v>9786</v>
      </c>
      <c r="C1531" s="0" t="n">
        <v>3</v>
      </c>
      <c r="D1531" s="0" t="inlineStr">
        <is>
          <t>태천해오름(412-1)</t>
        </is>
      </c>
      <c r="E1531" s="0" t="inlineStr">
        <is>
          <t>2002.12.</t>
        </is>
      </c>
      <c r="F1531" s="0" t="n">
        <v>29</v>
      </c>
      <c r="G1531" s="0" t="n">
        <v>26.85</v>
      </c>
      <c r="H1531" s="0" t="n">
        <v>88.77</v>
      </c>
      <c r="I1531" s="0" t="n">
        <v>21.99</v>
      </c>
      <c r="J1531" s="0" t="n">
        <v>72.7</v>
      </c>
      <c r="K1531" s="0" t="n">
        <v>1</v>
      </c>
      <c r="T1531" s="0" t="n">
        <v>3</v>
      </c>
      <c r="U1531" s="0" t="n">
        <v>2</v>
      </c>
      <c r="V1531" s="0" t="inlineStr">
        <is>
          <t>계단식</t>
        </is>
      </c>
      <c r="W1531" s="0" t="n">
        <v>88</v>
      </c>
      <c r="X1531" s="0" t="n">
        <v>9</v>
      </c>
      <c r="Y1531" s="0" t="n">
        <v>7</v>
      </c>
      <c r="Z1531" s="0" t="inlineStr">
        <is>
          <t>https://new.land.naver.com/complexes/9786?tab=detail&amp;rf=Y</t>
        </is>
      </c>
      <c r="AA1531" s="0" t="inlineStr">
        <is>
          <t>서울시 강동구 성내동 412-1</t>
        </is>
      </c>
      <c r="AB1531" s="0" t="inlineStr">
        <is>
          <t>서울시</t>
        </is>
      </c>
      <c r="AC1531" s="0" t="inlineStr">
        <is>
          <t>강동구</t>
        </is>
      </c>
      <c r="AD1531" s="0" t="inlineStr">
        <is>
          <t>성내동</t>
        </is>
      </c>
      <c r="AG1531" s="0" t="inlineStr">
        <is>
          <t>서울시 강동구 풍성로53길 12-18</t>
        </is>
      </c>
      <c r="AH1531" s="0" t="n">
        <v>0</v>
      </c>
      <c r="AI1531" s="0" t="n">
        <v>249</v>
      </c>
      <c r="AJ1531" s="0" t="n">
        <v>36</v>
      </c>
      <c r="AK1531" s="0" t="n">
        <v>32</v>
      </c>
      <c r="AL1531" s="0" t="n">
        <v>1.1</v>
      </c>
    </row>
    <row r="1532">
      <c r="A1532" s="0" t="inlineStr">
        <is>
          <t>[성내동]</t>
        </is>
      </c>
      <c r="B1532" s="0" t="n">
        <v>9786</v>
      </c>
      <c r="C1532" s="0" t="n">
        <v>4</v>
      </c>
      <c r="D1532" s="0" t="inlineStr">
        <is>
          <t>태천해오름(412-1)</t>
        </is>
      </c>
      <c r="E1532" s="0" t="inlineStr">
        <is>
          <t>2002.12.</t>
        </is>
      </c>
      <c r="F1532" s="0" t="n">
        <v>29</v>
      </c>
      <c r="G1532" s="0" t="n">
        <v>29.8</v>
      </c>
      <c r="H1532" s="0" t="n">
        <v>98.52</v>
      </c>
      <c r="I1532" s="0" t="n">
        <v>24.46</v>
      </c>
      <c r="J1532" s="0" t="n">
        <v>80.86</v>
      </c>
      <c r="K1532" s="0" t="n">
        <v>6</v>
      </c>
      <c r="T1532" s="0" t="n">
        <v>3</v>
      </c>
      <c r="U1532" s="0" t="n">
        <v>2</v>
      </c>
      <c r="V1532" s="0" t="inlineStr">
        <is>
          <t>계단식</t>
        </is>
      </c>
      <c r="W1532" s="0" t="inlineStr">
        <is>
          <t>98B</t>
        </is>
      </c>
      <c r="X1532" s="0" t="n">
        <v>9</v>
      </c>
      <c r="Y1532" s="0" t="n">
        <v>7</v>
      </c>
      <c r="Z1532" s="0" t="inlineStr">
        <is>
          <t>https://new.land.naver.com/complexes/9786?tab=detail&amp;rf=Y</t>
        </is>
      </c>
      <c r="AA1532" s="0" t="inlineStr">
        <is>
          <t>서울시 강동구 성내동 412-1</t>
        </is>
      </c>
      <c r="AB1532" s="0" t="inlineStr">
        <is>
          <t>서울시</t>
        </is>
      </c>
      <c r="AC1532" s="0" t="inlineStr">
        <is>
          <t>강동구</t>
        </is>
      </c>
      <c r="AD1532" s="0" t="inlineStr">
        <is>
          <t>성내동</t>
        </is>
      </c>
      <c r="AG1532" s="0" t="inlineStr">
        <is>
          <t>서울시 강동구 풍성로53길 12-18</t>
        </is>
      </c>
      <c r="AH1532" s="0" t="n">
        <v>0</v>
      </c>
      <c r="AI1532" s="0" t="n">
        <v>249</v>
      </c>
      <c r="AJ1532" s="0" t="n">
        <v>36</v>
      </c>
      <c r="AK1532" s="0" t="n">
        <v>32</v>
      </c>
      <c r="AL1532" s="0" t="n">
        <v>1.1</v>
      </c>
    </row>
    <row r="1533">
      <c r="A1533" s="0" t="inlineStr">
        <is>
          <t>[성내동]</t>
        </is>
      </c>
      <c r="B1533" s="0" t="n">
        <v>9786</v>
      </c>
      <c r="C1533" s="0" t="n">
        <v>5</v>
      </c>
      <c r="D1533" s="0" t="inlineStr">
        <is>
          <t>태천해오름(412-1)</t>
        </is>
      </c>
      <c r="E1533" s="0" t="inlineStr">
        <is>
          <t>2002.12.</t>
        </is>
      </c>
      <c r="F1533" s="0" t="n">
        <v>29</v>
      </c>
      <c r="G1533" s="0" t="n">
        <v>29.78</v>
      </c>
      <c r="H1533" s="0" t="n">
        <v>98.47</v>
      </c>
      <c r="I1533" s="0" t="n">
        <v>24.44</v>
      </c>
      <c r="J1533" s="0" t="n">
        <v>80.8</v>
      </c>
      <c r="K1533" s="0" t="n">
        <v>1</v>
      </c>
      <c r="T1533" s="0" t="n">
        <v>3</v>
      </c>
      <c r="U1533" s="0" t="n">
        <v>2</v>
      </c>
      <c r="V1533" s="0" t="inlineStr">
        <is>
          <t>계단식</t>
        </is>
      </c>
      <c r="W1533" s="0" t="inlineStr">
        <is>
          <t>98A</t>
        </is>
      </c>
      <c r="X1533" s="0" t="n">
        <v>9</v>
      </c>
      <c r="Y1533" s="0" t="n">
        <v>7</v>
      </c>
      <c r="Z1533" s="0" t="inlineStr">
        <is>
          <t>https://new.land.naver.com/complexes/9786?tab=detail&amp;rf=Y</t>
        </is>
      </c>
      <c r="AA1533" s="0" t="inlineStr">
        <is>
          <t>서울시 강동구 성내동 412-1</t>
        </is>
      </c>
      <c r="AB1533" s="0" t="inlineStr">
        <is>
          <t>서울시</t>
        </is>
      </c>
      <c r="AC1533" s="0" t="inlineStr">
        <is>
          <t>강동구</t>
        </is>
      </c>
      <c r="AD1533" s="0" t="inlineStr">
        <is>
          <t>성내동</t>
        </is>
      </c>
      <c r="AG1533" s="0" t="inlineStr">
        <is>
          <t>서울시 강동구 풍성로53길 12-18</t>
        </is>
      </c>
      <c r="AH1533" s="0" t="n">
        <v>0</v>
      </c>
      <c r="AI1533" s="0" t="n">
        <v>249</v>
      </c>
      <c r="AJ1533" s="0" t="n">
        <v>36</v>
      </c>
      <c r="AK1533" s="0" t="n">
        <v>32</v>
      </c>
      <c r="AL1533" s="0" t="n">
        <v>1.1</v>
      </c>
    </row>
    <row r="1534">
      <c r="A1534" s="0" t="inlineStr">
        <is>
          <t>[성내동]</t>
        </is>
      </c>
      <c r="B1534" s="0" t="n">
        <v>9786</v>
      </c>
      <c r="C1534" s="0" t="n">
        <v>6</v>
      </c>
      <c r="D1534" s="0" t="inlineStr">
        <is>
          <t>태천해오름(412-1)</t>
        </is>
      </c>
      <c r="E1534" s="0" t="inlineStr">
        <is>
          <t>2002.12.</t>
        </is>
      </c>
      <c r="F1534" s="0" t="n">
        <v>29</v>
      </c>
      <c r="G1534" s="0" t="n">
        <v>30.77</v>
      </c>
      <c r="H1534" s="0" t="n">
        <v>101.73</v>
      </c>
      <c r="I1534" s="0" t="n">
        <v>25.26</v>
      </c>
      <c r="J1534" s="0" t="n">
        <v>83.51000000000001</v>
      </c>
      <c r="K1534" s="0" t="n">
        <v>6</v>
      </c>
      <c r="T1534" s="0" t="n">
        <v>3</v>
      </c>
      <c r="U1534" s="0" t="n">
        <v>2</v>
      </c>
      <c r="V1534" s="0" t="inlineStr">
        <is>
          <t>계단식</t>
        </is>
      </c>
      <c r="W1534" s="0" t="n">
        <v>101</v>
      </c>
      <c r="X1534" s="0" t="n">
        <v>9</v>
      </c>
      <c r="Y1534" s="0" t="n">
        <v>7</v>
      </c>
      <c r="Z1534" s="0" t="inlineStr">
        <is>
          <t>https://new.land.naver.com/complexes/9786?tab=detail&amp;rf=Y</t>
        </is>
      </c>
      <c r="AA1534" s="0" t="inlineStr">
        <is>
          <t>서울시 강동구 성내동 412-1</t>
        </is>
      </c>
      <c r="AB1534" s="0" t="inlineStr">
        <is>
          <t>서울시</t>
        </is>
      </c>
      <c r="AC1534" s="0" t="inlineStr">
        <is>
          <t>강동구</t>
        </is>
      </c>
      <c r="AD1534" s="0" t="inlineStr">
        <is>
          <t>성내동</t>
        </is>
      </c>
      <c r="AG1534" s="0" t="inlineStr">
        <is>
          <t>서울시 강동구 풍성로53길 12-18</t>
        </is>
      </c>
      <c r="AH1534" s="0" t="n">
        <v>0</v>
      </c>
      <c r="AI1534" s="0" t="n">
        <v>249</v>
      </c>
      <c r="AJ1534" s="0" t="n">
        <v>36</v>
      </c>
      <c r="AK1534" s="0" t="n">
        <v>32</v>
      </c>
      <c r="AL1534" s="0" t="n">
        <v>1.1</v>
      </c>
    </row>
    <row r="1535">
      <c r="A1535" s="0" t="inlineStr">
        <is>
          <t>[성내동]</t>
        </is>
      </c>
      <c r="B1535" s="0" t="n">
        <v>9786</v>
      </c>
      <c r="C1535" s="0" t="n">
        <v>7</v>
      </c>
      <c r="D1535" s="0" t="inlineStr">
        <is>
          <t>태천해오름(412-1)</t>
        </is>
      </c>
      <c r="E1535" s="0" t="inlineStr">
        <is>
          <t>2002.12.</t>
        </is>
      </c>
      <c r="F1535" s="0" t="n">
        <v>29</v>
      </c>
      <c r="G1535" s="0" t="n">
        <v>31.37</v>
      </c>
      <c r="H1535" s="0" t="n">
        <v>103.72</v>
      </c>
      <c r="I1535" s="0" t="n">
        <v>25.69</v>
      </c>
      <c r="J1535" s="0" t="n">
        <v>84.94</v>
      </c>
      <c r="K1535" s="0" t="n">
        <v>13</v>
      </c>
      <c r="T1535" s="0" t="n">
        <v>3</v>
      </c>
      <c r="U1535" s="0" t="n">
        <v>2</v>
      </c>
      <c r="V1535" s="0" t="inlineStr">
        <is>
          <t>계단식</t>
        </is>
      </c>
      <c r="W1535" s="0" t="n">
        <v>103</v>
      </c>
      <c r="X1535" s="0" t="n">
        <v>9</v>
      </c>
      <c r="Y1535" s="0" t="n">
        <v>7</v>
      </c>
      <c r="Z1535" s="0" t="inlineStr">
        <is>
          <t>https://new.land.naver.com/complexes/9786?tab=detail&amp;rf=Y</t>
        </is>
      </c>
      <c r="AA1535" s="0" t="inlineStr">
        <is>
          <t>서울시 강동구 성내동 412-1</t>
        </is>
      </c>
      <c r="AB1535" s="0" t="inlineStr">
        <is>
          <t>서울시</t>
        </is>
      </c>
      <c r="AC1535" s="0" t="inlineStr">
        <is>
          <t>강동구</t>
        </is>
      </c>
      <c r="AD1535" s="0" t="inlineStr">
        <is>
          <t>성내동</t>
        </is>
      </c>
      <c r="AG1535" s="0" t="inlineStr">
        <is>
          <t>서울시 강동구 풍성로53길 12-18</t>
        </is>
      </c>
      <c r="AH1535" s="0" t="n">
        <v>0</v>
      </c>
      <c r="AI1535" s="0" t="n">
        <v>249</v>
      </c>
      <c r="AJ1535" s="0" t="n">
        <v>36</v>
      </c>
      <c r="AK1535" s="0" t="n">
        <v>32</v>
      </c>
      <c r="AL1535" s="0" t="n">
        <v>1.1</v>
      </c>
    </row>
    <row r="1536">
      <c r="A1536" s="0" t="inlineStr">
        <is>
          <t>[성내동]</t>
        </is>
      </c>
      <c r="B1536" s="0" t="n">
        <v>114530</v>
      </c>
      <c r="C1536" s="0" t="n">
        <v>1</v>
      </c>
      <c r="D1536" s="0" t="inlineStr">
        <is>
          <t>아름채2(도시형)</t>
        </is>
      </c>
      <c r="E1536" s="0" t="inlineStr">
        <is>
          <t>2016.10.</t>
        </is>
      </c>
      <c r="F1536" s="0" t="n">
        <v>18</v>
      </c>
      <c r="G1536" s="0" t="n">
        <v>7.22</v>
      </c>
      <c r="H1536" s="0" t="n">
        <v>23.87</v>
      </c>
      <c r="I1536" s="0" t="n">
        <v>6.19</v>
      </c>
      <c r="J1536" s="0" t="n">
        <v>20.48</v>
      </c>
      <c r="K1536" s="0" t="n">
        <v>2</v>
      </c>
      <c r="T1536" s="0" t="n">
        <v>1</v>
      </c>
      <c r="U1536" s="0" t="n">
        <v>1</v>
      </c>
      <c r="V1536" s="0" t="inlineStr">
        <is>
          <t>계단식</t>
        </is>
      </c>
      <c r="W1536" s="0" t="n">
        <v>23</v>
      </c>
      <c r="X1536" s="0" t="n">
        <v>7</v>
      </c>
      <c r="Y1536" s="0" t="n">
        <v>7</v>
      </c>
      <c r="Z1536" s="0" t="inlineStr">
        <is>
          <t>https://new.land.naver.com/complexes/114530?tab=detail&amp;rf=Y</t>
        </is>
      </c>
      <c r="AA1536" s="0" t="inlineStr">
        <is>
          <t>서울시 강동구 성내동 147-3</t>
        </is>
      </c>
      <c r="AB1536" s="0" t="inlineStr">
        <is>
          <t>서울시</t>
        </is>
      </c>
      <c r="AC1536" s="0" t="inlineStr">
        <is>
          <t>강동구</t>
        </is>
      </c>
      <c r="AD1536" s="0" t="inlineStr">
        <is>
          <t>성내동</t>
        </is>
      </c>
      <c r="AG1536" s="0" t="inlineStr">
        <is>
          <t>서울시 강동구 천호대로162가길 11</t>
        </is>
      </c>
      <c r="AH1536" s="0" t="n">
        <v>0</v>
      </c>
      <c r="AI1536" s="0" t="n">
        <v>199</v>
      </c>
      <c r="AJ1536" s="0" t="n">
        <v>54</v>
      </c>
      <c r="AK1536" s="0" t="n">
        <v>10</v>
      </c>
      <c r="AL1536" s="0" t="n">
        <v>0.5600000000000001</v>
      </c>
    </row>
    <row r="1537">
      <c r="A1537" s="0" t="inlineStr">
        <is>
          <t>[성내동]</t>
        </is>
      </c>
      <c r="B1537" s="0" t="n">
        <v>114530</v>
      </c>
      <c r="C1537" s="0" t="n">
        <v>2</v>
      </c>
      <c r="D1537" s="0" t="inlineStr">
        <is>
          <t>아름채2(도시형)</t>
        </is>
      </c>
      <c r="E1537" s="0" t="inlineStr">
        <is>
          <t>2016.10.</t>
        </is>
      </c>
      <c r="F1537" s="0" t="n">
        <v>18</v>
      </c>
      <c r="G1537" s="0" t="n">
        <v>7.63</v>
      </c>
      <c r="H1537" s="0" t="n">
        <v>25.24</v>
      </c>
      <c r="I1537" s="0" t="n">
        <v>6.55</v>
      </c>
      <c r="J1537" s="0" t="n">
        <v>21.66</v>
      </c>
      <c r="K1537" s="0" t="n">
        <v>1</v>
      </c>
      <c r="T1537" s="0" t="n">
        <v>1</v>
      </c>
      <c r="U1537" s="0" t="n">
        <v>1</v>
      </c>
      <c r="V1537" s="0" t="inlineStr">
        <is>
          <t>계단식</t>
        </is>
      </c>
      <c r="W1537" s="0" t="n">
        <v>25</v>
      </c>
      <c r="X1537" s="0" t="n">
        <v>7</v>
      </c>
      <c r="Y1537" s="0" t="n">
        <v>7</v>
      </c>
      <c r="Z1537" s="0" t="inlineStr">
        <is>
          <t>https://new.land.naver.com/complexes/114530?tab=detail&amp;rf=Y</t>
        </is>
      </c>
      <c r="AA1537" s="0" t="inlineStr">
        <is>
          <t>서울시 강동구 성내동 147-3</t>
        </is>
      </c>
      <c r="AB1537" s="0" t="inlineStr">
        <is>
          <t>서울시</t>
        </is>
      </c>
      <c r="AC1537" s="0" t="inlineStr">
        <is>
          <t>강동구</t>
        </is>
      </c>
      <c r="AD1537" s="0" t="inlineStr">
        <is>
          <t>성내동</t>
        </is>
      </c>
      <c r="AG1537" s="0" t="inlineStr">
        <is>
          <t>서울시 강동구 천호대로162가길 11</t>
        </is>
      </c>
      <c r="AH1537" s="0" t="n">
        <v>0</v>
      </c>
      <c r="AI1537" s="0" t="n">
        <v>199</v>
      </c>
      <c r="AJ1537" s="0" t="n">
        <v>54</v>
      </c>
      <c r="AK1537" s="0" t="n">
        <v>10</v>
      </c>
      <c r="AL1537" s="0" t="n">
        <v>0.5600000000000001</v>
      </c>
    </row>
    <row r="1538">
      <c r="A1538" s="0" t="inlineStr">
        <is>
          <t>[성내동]</t>
        </is>
      </c>
      <c r="B1538" s="0" t="n">
        <v>114530</v>
      </c>
      <c r="C1538" s="0" t="n">
        <v>3</v>
      </c>
      <c r="D1538" s="0" t="inlineStr">
        <is>
          <t>아름채2(도시형)</t>
        </is>
      </c>
      <c r="E1538" s="0" t="inlineStr">
        <is>
          <t>2016.10.</t>
        </is>
      </c>
      <c r="F1538" s="0" t="n">
        <v>18</v>
      </c>
      <c r="G1538" s="0" t="n">
        <v>8.619999999999999</v>
      </c>
      <c r="H1538" s="0" t="n">
        <v>28.52</v>
      </c>
      <c r="I1538" s="0" t="n">
        <v>7.4</v>
      </c>
      <c r="J1538" s="0" t="n">
        <v>24.47</v>
      </c>
      <c r="K1538" s="0" t="n">
        <v>1</v>
      </c>
      <c r="T1538" s="0" t="n">
        <v>1</v>
      </c>
      <c r="U1538" s="0" t="n">
        <v>1</v>
      </c>
      <c r="V1538" s="0" t="inlineStr">
        <is>
          <t>계단식</t>
        </is>
      </c>
      <c r="W1538" s="0" t="inlineStr">
        <is>
          <t>28B</t>
        </is>
      </c>
      <c r="X1538" s="0" t="n">
        <v>7</v>
      </c>
      <c r="Y1538" s="0" t="n">
        <v>7</v>
      </c>
      <c r="Z1538" s="0" t="inlineStr">
        <is>
          <t>https://new.land.naver.com/complexes/114530?tab=detail&amp;rf=Y</t>
        </is>
      </c>
      <c r="AA1538" s="0" t="inlineStr">
        <is>
          <t>서울시 강동구 성내동 147-3</t>
        </is>
      </c>
      <c r="AB1538" s="0" t="inlineStr">
        <is>
          <t>서울시</t>
        </is>
      </c>
      <c r="AC1538" s="0" t="inlineStr">
        <is>
          <t>강동구</t>
        </is>
      </c>
      <c r="AD1538" s="0" t="inlineStr">
        <is>
          <t>성내동</t>
        </is>
      </c>
      <c r="AG1538" s="0" t="inlineStr">
        <is>
          <t>서울시 강동구 천호대로162가길 11</t>
        </is>
      </c>
      <c r="AH1538" s="0" t="n">
        <v>0</v>
      </c>
      <c r="AI1538" s="0" t="n">
        <v>199</v>
      </c>
      <c r="AJ1538" s="0" t="n">
        <v>54</v>
      </c>
      <c r="AK1538" s="0" t="n">
        <v>10</v>
      </c>
      <c r="AL1538" s="0" t="n">
        <v>0.5600000000000001</v>
      </c>
    </row>
    <row r="1539">
      <c r="A1539" s="0" t="inlineStr">
        <is>
          <t>[성내동]</t>
        </is>
      </c>
      <c r="B1539" s="0" t="n">
        <v>114530</v>
      </c>
      <c r="C1539" s="0" t="n">
        <v>4</v>
      </c>
      <c r="D1539" s="0" t="inlineStr">
        <is>
          <t>아름채2(도시형)</t>
        </is>
      </c>
      <c r="E1539" s="0" t="inlineStr">
        <is>
          <t>2016.10.</t>
        </is>
      </c>
      <c r="F1539" s="0" t="n">
        <v>18</v>
      </c>
      <c r="G1539" s="0" t="n">
        <v>8.77</v>
      </c>
      <c r="H1539" s="0" t="n">
        <v>29</v>
      </c>
      <c r="I1539" s="0" t="n">
        <v>7.52</v>
      </c>
      <c r="J1539" s="0" t="n">
        <v>24.89</v>
      </c>
      <c r="K1539" s="0" t="n">
        <v>1</v>
      </c>
      <c r="T1539" s="0" t="n">
        <v>1</v>
      </c>
      <c r="U1539" s="0" t="n">
        <v>1</v>
      </c>
      <c r="V1539" s="0" t="inlineStr">
        <is>
          <t>계단식</t>
        </is>
      </c>
      <c r="W1539" s="0" t="inlineStr">
        <is>
          <t>29A</t>
        </is>
      </c>
      <c r="X1539" s="0" t="n">
        <v>7</v>
      </c>
      <c r="Y1539" s="0" t="n">
        <v>7</v>
      </c>
      <c r="Z1539" s="0" t="inlineStr">
        <is>
          <t>https://new.land.naver.com/complexes/114530?tab=detail&amp;rf=Y</t>
        </is>
      </c>
      <c r="AA1539" s="0" t="inlineStr">
        <is>
          <t>서울시 강동구 성내동 147-3</t>
        </is>
      </c>
      <c r="AB1539" s="0" t="inlineStr">
        <is>
          <t>서울시</t>
        </is>
      </c>
      <c r="AC1539" s="0" t="inlineStr">
        <is>
          <t>강동구</t>
        </is>
      </c>
      <c r="AD1539" s="0" t="inlineStr">
        <is>
          <t>성내동</t>
        </is>
      </c>
      <c r="AG1539" s="0" t="inlineStr">
        <is>
          <t>서울시 강동구 천호대로162가길 11</t>
        </is>
      </c>
      <c r="AH1539" s="0" t="n">
        <v>0</v>
      </c>
      <c r="AI1539" s="0" t="n">
        <v>199</v>
      </c>
      <c r="AJ1539" s="0" t="n">
        <v>54</v>
      </c>
      <c r="AK1539" s="0" t="n">
        <v>10</v>
      </c>
      <c r="AL1539" s="0" t="n">
        <v>0.5600000000000001</v>
      </c>
    </row>
    <row r="1540">
      <c r="A1540" s="0" t="inlineStr">
        <is>
          <t>[성내동]</t>
        </is>
      </c>
      <c r="B1540" s="0" t="n">
        <v>114530</v>
      </c>
      <c r="C1540" s="0" t="n">
        <v>5</v>
      </c>
      <c r="D1540" s="0" t="inlineStr">
        <is>
          <t>아름채2(도시형)</t>
        </is>
      </c>
      <c r="E1540" s="0" t="inlineStr">
        <is>
          <t>2016.10.</t>
        </is>
      </c>
      <c r="F1540" s="0" t="n">
        <v>18</v>
      </c>
      <c r="G1540" s="0" t="n">
        <v>9.84</v>
      </c>
      <c r="H1540" s="0" t="n">
        <v>32.54</v>
      </c>
      <c r="I1540" s="0" t="n">
        <v>8.44</v>
      </c>
      <c r="J1540" s="0" t="n">
        <v>27.92</v>
      </c>
      <c r="K1540" s="0" t="n">
        <v>1</v>
      </c>
      <c r="T1540" s="0" t="n">
        <v>1</v>
      </c>
      <c r="U1540" s="0" t="n">
        <v>1</v>
      </c>
      <c r="V1540" s="0" t="inlineStr">
        <is>
          <t>계단식</t>
        </is>
      </c>
      <c r="W1540" s="0" t="n">
        <v>32</v>
      </c>
      <c r="X1540" s="0" t="n">
        <v>7</v>
      </c>
      <c r="Y1540" s="0" t="n">
        <v>7</v>
      </c>
      <c r="Z1540" s="0" t="inlineStr">
        <is>
          <t>https://new.land.naver.com/complexes/114530?tab=detail&amp;rf=Y</t>
        </is>
      </c>
      <c r="AA1540" s="0" t="inlineStr">
        <is>
          <t>서울시 강동구 성내동 147-3</t>
        </is>
      </c>
      <c r="AB1540" s="0" t="inlineStr">
        <is>
          <t>서울시</t>
        </is>
      </c>
      <c r="AC1540" s="0" t="inlineStr">
        <is>
          <t>강동구</t>
        </is>
      </c>
      <c r="AD1540" s="0" t="inlineStr">
        <is>
          <t>성내동</t>
        </is>
      </c>
      <c r="AG1540" s="0" t="inlineStr">
        <is>
          <t>서울시 강동구 천호대로162가길 11</t>
        </is>
      </c>
      <c r="AH1540" s="0" t="n">
        <v>0</v>
      </c>
      <c r="AI1540" s="0" t="n">
        <v>199</v>
      </c>
      <c r="AJ1540" s="0" t="n">
        <v>54</v>
      </c>
      <c r="AK1540" s="0" t="n">
        <v>10</v>
      </c>
      <c r="AL1540" s="0" t="n">
        <v>0.5600000000000001</v>
      </c>
    </row>
    <row r="1541">
      <c r="A1541" s="0" t="inlineStr">
        <is>
          <t>[성내동]</t>
        </is>
      </c>
      <c r="B1541" s="0" t="n">
        <v>114530</v>
      </c>
      <c r="C1541" s="0" t="n">
        <v>6</v>
      </c>
      <c r="D1541" s="0" t="inlineStr">
        <is>
          <t>아름채2(도시형)</t>
        </is>
      </c>
      <c r="E1541" s="0" t="inlineStr">
        <is>
          <t>2016.10.</t>
        </is>
      </c>
      <c r="F1541" s="0" t="n">
        <v>18</v>
      </c>
      <c r="G1541" s="0" t="n">
        <v>10.7</v>
      </c>
      <c r="H1541" s="0" t="n">
        <v>35.4</v>
      </c>
      <c r="I1541" s="0" t="n">
        <v>9.18</v>
      </c>
      <c r="J1541" s="0" t="n">
        <v>30.37</v>
      </c>
      <c r="K1541" s="0" t="n">
        <v>3</v>
      </c>
      <c r="T1541" s="0" t="n">
        <v>1</v>
      </c>
      <c r="U1541" s="0" t="n">
        <v>1</v>
      </c>
      <c r="V1541" s="0" t="inlineStr">
        <is>
          <t>계단식</t>
        </is>
      </c>
      <c r="W1541" s="0" t="inlineStr">
        <is>
          <t>35B</t>
        </is>
      </c>
      <c r="X1541" s="0" t="n">
        <v>7</v>
      </c>
      <c r="Y1541" s="0" t="n">
        <v>7</v>
      </c>
      <c r="Z1541" s="0" t="inlineStr">
        <is>
          <t>https://new.land.naver.com/complexes/114530?tab=detail&amp;rf=Y</t>
        </is>
      </c>
      <c r="AA1541" s="0" t="inlineStr">
        <is>
          <t>서울시 강동구 성내동 147-3</t>
        </is>
      </c>
      <c r="AB1541" s="0" t="inlineStr">
        <is>
          <t>서울시</t>
        </is>
      </c>
      <c r="AC1541" s="0" t="inlineStr">
        <is>
          <t>강동구</t>
        </is>
      </c>
      <c r="AD1541" s="0" t="inlineStr">
        <is>
          <t>성내동</t>
        </is>
      </c>
      <c r="AG1541" s="0" t="inlineStr">
        <is>
          <t>서울시 강동구 천호대로162가길 11</t>
        </is>
      </c>
      <c r="AH1541" s="0" t="n">
        <v>0</v>
      </c>
      <c r="AI1541" s="0" t="n">
        <v>199</v>
      </c>
      <c r="AJ1541" s="0" t="n">
        <v>54</v>
      </c>
      <c r="AK1541" s="0" t="n">
        <v>10</v>
      </c>
      <c r="AL1541" s="0" t="n">
        <v>0.5600000000000001</v>
      </c>
    </row>
    <row r="1542">
      <c r="A1542" s="0" t="inlineStr">
        <is>
          <t>[성내동]</t>
        </is>
      </c>
      <c r="B1542" s="0" t="n">
        <v>114530</v>
      </c>
      <c r="C1542" s="0" t="n">
        <v>7</v>
      </c>
      <c r="D1542" s="0" t="inlineStr">
        <is>
          <t>아름채2(도시형)</t>
        </is>
      </c>
      <c r="E1542" s="0" t="inlineStr">
        <is>
          <t>2016.10.</t>
        </is>
      </c>
      <c r="F1542" s="0" t="n">
        <v>18</v>
      </c>
      <c r="G1542" s="0" t="n">
        <v>11.24</v>
      </c>
      <c r="H1542" s="0" t="n">
        <v>37.16</v>
      </c>
      <c r="I1542" s="0" t="n">
        <v>9.640000000000001</v>
      </c>
      <c r="J1542" s="0" t="n">
        <v>31.89</v>
      </c>
      <c r="K1542" s="0" t="n">
        <v>3</v>
      </c>
      <c r="T1542" s="0" t="n">
        <v>1</v>
      </c>
      <c r="U1542" s="0" t="n">
        <v>1</v>
      </c>
      <c r="V1542" s="0" t="inlineStr">
        <is>
          <t>계단식</t>
        </is>
      </c>
      <c r="W1542" s="0" t="inlineStr">
        <is>
          <t>37A</t>
        </is>
      </c>
      <c r="X1542" s="0" t="n">
        <v>7</v>
      </c>
      <c r="Y1542" s="0" t="n">
        <v>7</v>
      </c>
      <c r="Z1542" s="0" t="inlineStr">
        <is>
          <t>https://new.land.naver.com/complexes/114530?tab=detail&amp;rf=Y</t>
        </is>
      </c>
      <c r="AA1542" s="0" t="inlineStr">
        <is>
          <t>서울시 강동구 성내동 147-3</t>
        </is>
      </c>
      <c r="AB1542" s="0" t="inlineStr">
        <is>
          <t>서울시</t>
        </is>
      </c>
      <c r="AC1542" s="0" t="inlineStr">
        <is>
          <t>강동구</t>
        </is>
      </c>
      <c r="AD1542" s="0" t="inlineStr">
        <is>
          <t>성내동</t>
        </is>
      </c>
      <c r="AG1542" s="0" t="inlineStr">
        <is>
          <t>서울시 강동구 천호대로162가길 11</t>
        </is>
      </c>
      <c r="AH1542" s="0" t="n">
        <v>0</v>
      </c>
      <c r="AI1542" s="0" t="n">
        <v>199</v>
      </c>
      <c r="AJ1542" s="0" t="n">
        <v>54</v>
      </c>
      <c r="AK1542" s="0" t="n">
        <v>10</v>
      </c>
      <c r="AL1542" s="0" t="n">
        <v>0.5600000000000001</v>
      </c>
    </row>
    <row r="1543">
      <c r="A1543" s="0" t="inlineStr">
        <is>
          <t>[성내동]</t>
        </is>
      </c>
      <c r="B1543" s="0" t="n">
        <v>114530</v>
      </c>
      <c r="C1543" s="0" t="n">
        <v>8</v>
      </c>
      <c r="D1543" s="0" t="inlineStr">
        <is>
          <t>아름채2(도시형)</t>
        </is>
      </c>
      <c r="E1543" s="0" t="inlineStr">
        <is>
          <t>2016.10.</t>
        </is>
      </c>
      <c r="F1543" s="0" t="n">
        <v>18</v>
      </c>
      <c r="G1543" s="0" t="n">
        <v>12.47</v>
      </c>
      <c r="H1543" s="0" t="n">
        <v>41.25</v>
      </c>
      <c r="I1543" s="0" t="n">
        <v>10.7</v>
      </c>
      <c r="J1543" s="0" t="n">
        <v>35.4</v>
      </c>
      <c r="K1543" s="0" t="n">
        <v>3</v>
      </c>
      <c r="T1543" s="0" t="n">
        <v>1</v>
      </c>
      <c r="U1543" s="0" t="n">
        <v>1</v>
      </c>
      <c r="V1543" s="0" t="inlineStr">
        <is>
          <t>계단식</t>
        </is>
      </c>
      <c r="W1543" s="0" t="n">
        <v>41</v>
      </c>
      <c r="X1543" s="0" t="n">
        <v>7</v>
      </c>
      <c r="Y1543" s="0" t="n">
        <v>7</v>
      </c>
      <c r="Z1543" s="0" t="inlineStr">
        <is>
          <t>https://new.land.naver.com/complexes/114530?tab=detail&amp;rf=Y</t>
        </is>
      </c>
      <c r="AA1543" s="0" t="inlineStr">
        <is>
          <t>서울시 강동구 성내동 147-3</t>
        </is>
      </c>
      <c r="AB1543" s="0" t="inlineStr">
        <is>
          <t>서울시</t>
        </is>
      </c>
      <c r="AC1543" s="0" t="inlineStr">
        <is>
          <t>강동구</t>
        </is>
      </c>
      <c r="AD1543" s="0" t="inlineStr">
        <is>
          <t>성내동</t>
        </is>
      </c>
      <c r="AG1543" s="0" t="inlineStr">
        <is>
          <t>서울시 강동구 천호대로162가길 11</t>
        </is>
      </c>
      <c r="AH1543" s="0" t="n">
        <v>0</v>
      </c>
      <c r="AI1543" s="0" t="n">
        <v>199</v>
      </c>
      <c r="AJ1543" s="0" t="n">
        <v>54</v>
      </c>
      <c r="AK1543" s="0" t="n">
        <v>10</v>
      </c>
      <c r="AL1543" s="0" t="n">
        <v>0.5600000000000001</v>
      </c>
    </row>
    <row r="1544">
      <c r="A1544" s="0" t="inlineStr">
        <is>
          <t>[성내동]</t>
        </is>
      </c>
      <c r="B1544" s="0" t="n">
        <v>114530</v>
      </c>
      <c r="C1544" s="0" t="n">
        <v>9</v>
      </c>
      <c r="D1544" s="0" t="inlineStr">
        <is>
          <t>아름채2(도시형)</t>
        </is>
      </c>
      <c r="E1544" s="0" t="inlineStr">
        <is>
          <t>2016.10.</t>
        </is>
      </c>
      <c r="F1544" s="0" t="n">
        <v>18</v>
      </c>
      <c r="G1544" s="0" t="n">
        <v>15.58</v>
      </c>
      <c r="H1544" s="0" t="n">
        <v>51.51</v>
      </c>
      <c r="I1544" s="0" t="n">
        <v>13.37</v>
      </c>
      <c r="J1544" s="0" t="n">
        <v>44.21</v>
      </c>
      <c r="K1544" s="0" t="n">
        <v>2</v>
      </c>
      <c r="T1544" s="0" t="n">
        <v>1</v>
      </c>
      <c r="U1544" s="0" t="n">
        <v>1</v>
      </c>
      <c r="V1544" s="0" t="inlineStr">
        <is>
          <t>계단식</t>
        </is>
      </c>
      <c r="W1544" s="0" t="inlineStr">
        <is>
          <t>51B</t>
        </is>
      </c>
      <c r="X1544" s="0" t="n">
        <v>7</v>
      </c>
      <c r="Y1544" s="0" t="n">
        <v>7</v>
      </c>
      <c r="Z1544" s="0" t="inlineStr">
        <is>
          <t>https://new.land.naver.com/complexes/114530?tab=detail&amp;rf=Y</t>
        </is>
      </c>
      <c r="AA1544" s="0" t="inlineStr">
        <is>
          <t>서울시 강동구 성내동 147-3</t>
        </is>
      </c>
      <c r="AB1544" s="0" t="inlineStr">
        <is>
          <t>서울시</t>
        </is>
      </c>
      <c r="AC1544" s="0" t="inlineStr">
        <is>
          <t>강동구</t>
        </is>
      </c>
      <c r="AD1544" s="0" t="inlineStr">
        <is>
          <t>성내동</t>
        </is>
      </c>
      <c r="AG1544" s="0" t="inlineStr">
        <is>
          <t>서울시 강동구 천호대로162가길 11</t>
        </is>
      </c>
      <c r="AH1544" s="0" t="n">
        <v>0</v>
      </c>
      <c r="AI1544" s="0" t="n">
        <v>199</v>
      </c>
      <c r="AJ1544" s="0" t="n">
        <v>54</v>
      </c>
      <c r="AK1544" s="0" t="n">
        <v>10</v>
      </c>
      <c r="AL1544" s="0" t="n">
        <v>0.5600000000000001</v>
      </c>
    </row>
    <row r="1545">
      <c r="A1545" s="0" t="inlineStr">
        <is>
          <t>[성내동]</t>
        </is>
      </c>
      <c r="B1545" s="0" t="n">
        <v>114530</v>
      </c>
      <c r="C1545" s="0" t="n">
        <v>10</v>
      </c>
      <c r="D1545" s="0" t="inlineStr">
        <is>
          <t>아름채2(도시형)</t>
        </is>
      </c>
      <c r="E1545" s="0" t="inlineStr">
        <is>
          <t>2016.10.</t>
        </is>
      </c>
      <c r="F1545" s="0" t="n">
        <v>18</v>
      </c>
      <c r="G1545" s="0" t="n">
        <v>15.56</v>
      </c>
      <c r="H1545" s="0" t="n">
        <v>51.44</v>
      </c>
      <c r="I1545" s="0" t="n">
        <v>13.35</v>
      </c>
      <c r="J1545" s="0" t="n">
        <v>44.14</v>
      </c>
      <c r="K1545" s="0" t="n">
        <v>1</v>
      </c>
      <c r="T1545" s="0" t="n">
        <v>2</v>
      </c>
      <c r="U1545" s="0" t="n">
        <v>1</v>
      </c>
      <c r="V1545" s="0" t="inlineStr">
        <is>
          <t>계단식</t>
        </is>
      </c>
      <c r="W1545" s="0" t="inlineStr">
        <is>
          <t>51A</t>
        </is>
      </c>
      <c r="X1545" s="0" t="n">
        <v>7</v>
      </c>
      <c r="Y1545" s="0" t="n">
        <v>7</v>
      </c>
      <c r="Z1545" s="0" t="inlineStr">
        <is>
          <t>https://new.land.naver.com/complexes/114530?tab=detail&amp;rf=Y</t>
        </is>
      </c>
      <c r="AA1545" s="0" t="inlineStr">
        <is>
          <t>서울시 강동구 성내동 147-3</t>
        </is>
      </c>
      <c r="AB1545" s="0" t="inlineStr">
        <is>
          <t>서울시</t>
        </is>
      </c>
      <c r="AC1545" s="0" t="inlineStr">
        <is>
          <t>강동구</t>
        </is>
      </c>
      <c r="AD1545" s="0" t="inlineStr">
        <is>
          <t>성내동</t>
        </is>
      </c>
      <c r="AG1545" s="0" t="inlineStr">
        <is>
          <t>서울시 강동구 천호대로162가길 11</t>
        </is>
      </c>
      <c r="AH1545" s="0" t="n">
        <v>0</v>
      </c>
      <c r="AI1545" s="0" t="n">
        <v>199</v>
      </c>
      <c r="AJ1545" s="0" t="n">
        <v>54</v>
      </c>
      <c r="AK1545" s="0" t="n">
        <v>10</v>
      </c>
      <c r="AL1545" s="0" t="n">
        <v>0.5600000000000001</v>
      </c>
    </row>
    <row r="1546">
      <c r="A1546" s="0" t="inlineStr">
        <is>
          <t>[성내동]</t>
        </is>
      </c>
      <c r="B1546" s="0" t="n">
        <v>22919</v>
      </c>
      <c r="C1546" s="0" t="n">
        <v>1</v>
      </c>
      <c r="D1546" s="0" t="inlineStr">
        <is>
          <t>해가든(387-48)</t>
        </is>
      </c>
      <c r="E1546" s="0" t="inlineStr">
        <is>
          <t>2004.06.</t>
        </is>
      </c>
      <c r="F1546" s="0" t="n">
        <v>18</v>
      </c>
      <c r="G1546" s="0" t="n">
        <v>25.97</v>
      </c>
      <c r="H1546" s="0" t="n">
        <v>85.86</v>
      </c>
      <c r="I1546" s="0" t="n">
        <v>23.08</v>
      </c>
      <c r="J1546" s="0" t="n">
        <v>76.3</v>
      </c>
      <c r="K1546" s="0" t="n">
        <v>1</v>
      </c>
      <c r="T1546" s="0" t="n">
        <v>3</v>
      </c>
      <c r="U1546" s="0" t="n">
        <v>2</v>
      </c>
      <c r="V1546" s="0" t="inlineStr">
        <is>
          <t>계단식</t>
        </is>
      </c>
      <c r="W1546" s="0" t="n">
        <v>85</v>
      </c>
      <c r="X1546" s="0" t="n">
        <v>7</v>
      </c>
      <c r="Y1546" s="0" t="n">
        <v>7</v>
      </c>
      <c r="Z1546" s="0" t="inlineStr">
        <is>
          <t>https://new.land.naver.com/complexes/22919?tab=detail&amp;rf=Y</t>
        </is>
      </c>
      <c r="AA1546" s="0" t="inlineStr">
        <is>
          <t>서울시 강동구 성내동 387-48</t>
        </is>
      </c>
      <c r="AB1546" s="0" t="inlineStr">
        <is>
          <t>서울시</t>
        </is>
      </c>
      <c r="AC1546" s="0" t="inlineStr">
        <is>
          <t>강동구</t>
        </is>
      </c>
      <c r="AD1546" s="0" t="inlineStr">
        <is>
          <t>성내동</t>
        </is>
      </c>
      <c r="AG1546" s="0" t="inlineStr">
        <is>
          <t>서울시 강동구 양재대로101길 5</t>
        </is>
      </c>
      <c r="AH1546" s="0" t="n">
        <v>0</v>
      </c>
      <c r="AI1546" s="0" t="n">
        <v>273</v>
      </c>
      <c r="AJ1546" s="0" t="n">
        <v>48</v>
      </c>
      <c r="AK1546" s="0" t="n">
        <v>23</v>
      </c>
      <c r="AL1546" s="0" t="n">
        <v>1.28</v>
      </c>
    </row>
    <row r="1547">
      <c r="A1547" s="0" t="inlineStr">
        <is>
          <t>[성내동]</t>
        </is>
      </c>
      <c r="B1547" s="0" t="n">
        <v>22919</v>
      </c>
      <c r="C1547" s="0" t="n">
        <v>2</v>
      </c>
      <c r="D1547" s="0" t="inlineStr">
        <is>
          <t>해가든(387-48)</t>
        </is>
      </c>
      <c r="E1547" s="0" t="inlineStr">
        <is>
          <t>2004.06.</t>
        </is>
      </c>
      <c r="F1547" s="0" t="n">
        <v>18</v>
      </c>
      <c r="G1547" s="0" t="n">
        <v>28.86</v>
      </c>
      <c r="H1547" s="0" t="n">
        <v>95.43000000000001</v>
      </c>
      <c r="I1547" s="0" t="n">
        <v>25.65</v>
      </c>
      <c r="J1547" s="0" t="n">
        <v>84.81</v>
      </c>
      <c r="K1547" s="0" t="n">
        <v>11</v>
      </c>
      <c r="T1547" s="0" t="n">
        <v>3</v>
      </c>
      <c r="U1547" s="0" t="n">
        <v>2</v>
      </c>
      <c r="V1547" s="0" t="inlineStr">
        <is>
          <t>계단식</t>
        </is>
      </c>
      <c r="W1547" s="0" t="n">
        <v>95</v>
      </c>
      <c r="X1547" s="0" t="n">
        <v>7</v>
      </c>
      <c r="Y1547" s="0" t="n">
        <v>7</v>
      </c>
      <c r="Z1547" s="0" t="inlineStr">
        <is>
          <t>https://new.land.naver.com/complexes/22919?tab=detail&amp;rf=Y</t>
        </is>
      </c>
      <c r="AA1547" s="0" t="inlineStr">
        <is>
          <t>서울시 강동구 성내동 387-48</t>
        </is>
      </c>
      <c r="AB1547" s="0" t="inlineStr">
        <is>
          <t>서울시</t>
        </is>
      </c>
      <c r="AC1547" s="0" t="inlineStr">
        <is>
          <t>강동구</t>
        </is>
      </c>
      <c r="AD1547" s="0" t="inlineStr">
        <is>
          <t>성내동</t>
        </is>
      </c>
      <c r="AG1547" s="0" t="inlineStr">
        <is>
          <t>서울시 강동구 양재대로101길 5</t>
        </is>
      </c>
      <c r="AH1547" s="0" t="n">
        <v>0</v>
      </c>
      <c r="AI1547" s="0" t="n">
        <v>273</v>
      </c>
      <c r="AJ1547" s="0" t="n">
        <v>48</v>
      </c>
      <c r="AK1547" s="0" t="n">
        <v>23</v>
      </c>
      <c r="AL1547" s="0" t="n">
        <v>1.28</v>
      </c>
    </row>
    <row r="1548">
      <c r="A1548" s="0" t="inlineStr">
        <is>
          <t>[성내동]</t>
        </is>
      </c>
      <c r="B1548" s="0" t="n">
        <v>22919</v>
      </c>
      <c r="C1548" s="0" t="n">
        <v>3</v>
      </c>
      <c r="D1548" s="0" t="inlineStr">
        <is>
          <t>해가든(387-48)</t>
        </is>
      </c>
      <c r="E1548" s="0" t="inlineStr">
        <is>
          <t>2004.06.</t>
        </is>
      </c>
      <c r="F1548" s="0" t="n">
        <v>18</v>
      </c>
      <c r="G1548" s="0" t="n">
        <v>39.5</v>
      </c>
      <c r="H1548" s="0" t="n">
        <v>130.58</v>
      </c>
      <c r="I1548" s="0" t="n">
        <v>35.1</v>
      </c>
      <c r="J1548" s="0" t="n">
        <v>116.04</v>
      </c>
      <c r="K1548" s="0" t="n">
        <v>1</v>
      </c>
      <c r="T1548" s="0" t="n">
        <v>4</v>
      </c>
      <c r="U1548" s="0" t="n">
        <v>2</v>
      </c>
      <c r="V1548" s="0" t="inlineStr">
        <is>
          <t>계단식</t>
        </is>
      </c>
      <c r="W1548" s="0" t="n">
        <v>130</v>
      </c>
      <c r="X1548" s="0" t="n">
        <v>7</v>
      </c>
      <c r="Y1548" s="0" t="n">
        <v>7</v>
      </c>
      <c r="Z1548" s="0" t="inlineStr">
        <is>
          <t>https://new.land.naver.com/complexes/22919?tab=detail&amp;rf=Y</t>
        </is>
      </c>
      <c r="AA1548" s="0" t="inlineStr">
        <is>
          <t>서울시 강동구 성내동 387-48</t>
        </is>
      </c>
      <c r="AB1548" s="0" t="inlineStr">
        <is>
          <t>서울시</t>
        </is>
      </c>
      <c r="AC1548" s="0" t="inlineStr">
        <is>
          <t>강동구</t>
        </is>
      </c>
      <c r="AD1548" s="0" t="inlineStr">
        <is>
          <t>성내동</t>
        </is>
      </c>
      <c r="AG1548" s="0" t="inlineStr">
        <is>
          <t>서울시 강동구 양재대로101길 5</t>
        </is>
      </c>
      <c r="AH1548" s="0" t="n">
        <v>0</v>
      </c>
      <c r="AI1548" s="0" t="n">
        <v>273</v>
      </c>
      <c r="AJ1548" s="0" t="n">
        <v>48</v>
      </c>
      <c r="AK1548" s="0" t="n">
        <v>23</v>
      </c>
      <c r="AL1548" s="0" t="n">
        <v>1.28</v>
      </c>
    </row>
    <row r="1549">
      <c r="A1549" s="0" t="inlineStr">
        <is>
          <t>[성내동]</t>
        </is>
      </c>
      <c r="B1549" s="0" t="n">
        <v>22919</v>
      </c>
      <c r="C1549" s="0" t="n">
        <v>4</v>
      </c>
      <c r="D1549" s="0" t="inlineStr">
        <is>
          <t>해가든(387-48)</t>
        </is>
      </c>
      <c r="E1549" s="0" t="inlineStr">
        <is>
          <t>2004.06.</t>
        </is>
      </c>
      <c r="F1549" s="0" t="n">
        <v>18</v>
      </c>
      <c r="G1549" s="0" t="n">
        <v>43.75</v>
      </c>
      <c r="H1549" s="0" t="n">
        <v>144.63</v>
      </c>
      <c r="I1549" s="0" t="n">
        <v>38.88</v>
      </c>
      <c r="J1549" s="0" t="n">
        <v>128.53</v>
      </c>
      <c r="K1549" s="0" t="n">
        <v>5</v>
      </c>
      <c r="T1549" s="0" t="n">
        <v>4</v>
      </c>
      <c r="U1549" s="0" t="n">
        <v>2</v>
      </c>
      <c r="V1549" s="0" t="inlineStr">
        <is>
          <t>계단식</t>
        </is>
      </c>
      <c r="W1549" s="0" t="n">
        <v>144</v>
      </c>
      <c r="X1549" s="0" t="n">
        <v>7</v>
      </c>
      <c r="Y1549" s="0" t="n">
        <v>7</v>
      </c>
      <c r="Z1549" s="0" t="inlineStr">
        <is>
          <t>https://new.land.naver.com/complexes/22919?tab=detail&amp;rf=Y</t>
        </is>
      </c>
      <c r="AA1549" s="0" t="inlineStr">
        <is>
          <t>서울시 강동구 성내동 387-48</t>
        </is>
      </c>
      <c r="AB1549" s="0" t="inlineStr">
        <is>
          <t>서울시</t>
        </is>
      </c>
      <c r="AC1549" s="0" t="inlineStr">
        <is>
          <t>강동구</t>
        </is>
      </c>
      <c r="AD1549" s="0" t="inlineStr">
        <is>
          <t>성내동</t>
        </is>
      </c>
      <c r="AG1549" s="0" t="inlineStr">
        <is>
          <t>서울시 강동구 양재대로101길 5</t>
        </is>
      </c>
      <c r="AH1549" s="0" t="n">
        <v>0</v>
      </c>
      <c r="AI1549" s="0" t="n">
        <v>273</v>
      </c>
      <c r="AJ1549" s="0" t="n">
        <v>48</v>
      </c>
      <c r="AK1549" s="0" t="n">
        <v>23</v>
      </c>
      <c r="AL1549" s="0" t="n">
        <v>1.28</v>
      </c>
    </row>
    <row r="1550">
      <c r="A1550" s="0" t="inlineStr">
        <is>
          <t>[성내동]</t>
        </is>
      </c>
      <c r="B1550" s="0" t="n">
        <v>10655</v>
      </c>
      <c r="C1550" s="0" t="n">
        <v>1</v>
      </c>
      <c r="D1550" s="0" t="inlineStr">
        <is>
          <t>한솔브리즈(594)</t>
        </is>
      </c>
      <c r="E1550" s="0" t="inlineStr">
        <is>
          <t>2002.10.</t>
        </is>
      </c>
      <c r="F1550" s="0" t="n">
        <v>73</v>
      </c>
      <c r="G1550" s="0" t="n">
        <v>23.77</v>
      </c>
      <c r="H1550" s="0" t="n">
        <v>78.59999999999999</v>
      </c>
      <c r="I1550" s="0" t="n">
        <v>19.94</v>
      </c>
      <c r="J1550" s="0" t="n">
        <v>65.92</v>
      </c>
      <c r="K1550" s="0" t="n">
        <v>5</v>
      </c>
      <c r="T1550" s="0" t="n">
        <v>3</v>
      </c>
      <c r="U1550" s="0" t="n">
        <v>1</v>
      </c>
      <c r="V1550" s="0" t="inlineStr">
        <is>
          <t>계단식</t>
        </is>
      </c>
      <c r="W1550" s="0" t="n">
        <v>78</v>
      </c>
      <c r="X1550" s="0" t="n">
        <v>10</v>
      </c>
      <c r="Y1550" s="0" t="n">
        <v>5</v>
      </c>
      <c r="Z1550" s="0" t="inlineStr">
        <is>
          <t>https://new.land.naver.com/complexes/10655?tab=detail&amp;rf=Y</t>
        </is>
      </c>
      <c r="AA1550" s="0" t="inlineStr">
        <is>
          <t>서울시 강동구 성내동 594</t>
        </is>
      </c>
      <c r="AB1550" s="0" t="inlineStr">
        <is>
          <t>서울시</t>
        </is>
      </c>
      <c r="AC1550" s="0" t="inlineStr">
        <is>
          <t>강동구</t>
        </is>
      </c>
      <c r="AD1550" s="0" t="inlineStr">
        <is>
          <t>성내동</t>
        </is>
      </c>
      <c r="AG1550" s="0" t="inlineStr">
        <is>
          <t>서울시 강동구 양재대로81길 90</t>
        </is>
      </c>
      <c r="AH1550" s="0" t="n">
        <v>0</v>
      </c>
      <c r="AI1550" s="0" t="n">
        <v>296</v>
      </c>
      <c r="AJ1550" s="0" t="n">
        <v>34</v>
      </c>
      <c r="AK1550" s="0" t="n">
        <v>90</v>
      </c>
      <c r="AL1550" s="0" t="n">
        <v>1.23</v>
      </c>
    </row>
    <row r="1551">
      <c r="A1551" s="0" t="inlineStr">
        <is>
          <t>[성내동]</t>
        </is>
      </c>
      <c r="B1551" s="0" t="n">
        <v>10655</v>
      </c>
      <c r="C1551" s="0" t="n">
        <v>2</v>
      </c>
      <c r="D1551" s="0" t="inlineStr">
        <is>
          <t>한솔브리즈(594)</t>
        </is>
      </c>
      <c r="E1551" s="0" t="inlineStr">
        <is>
          <t>2002.10.</t>
        </is>
      </c>
      <c r="F1551" s="0" t="n">
        <v>73</v>
      </c>
      <c r="G1551" s="0" t="n">
        <v>25.28</v>
      </c>
      <c r="H1551" s="0" t="n">
        <v>83.59</v>
      </c>
      <c r="I1551" s="0" t="n">
        <v>21.2</v>
      </c>
      <c r="J1551" s="0" t="n">
        <v>70.09999999999999</v>
      </c>
      <c r="K1551" s="0" t="n">
        <v>4</v>
      </c>
      <c r="T1551" s="0" t="n">
        <v>3</v>
      </c>
      <c r="U1551" s="0" t="n">
        <v>1</v>
      </c>
      <c r="V1551" s="0" t="inlineStr">
        <is>
          <t>계단식</t>
        </is>
      </c>
      <c r="W1551" s="0" t="n">
        <v>83</v>
      </c>
      <c r="X1551" s="0" t="n">
        <v>10</v>
      </c>
      <c r="Y1551" s="0" t="n">
        <v>5</v>
      </c>
      <c r="Z1551" s="0" t="inlineStr">
        <is>
          <t>https://new.land.naver.com/complexes/10655?tab=detail&amp;rf=Y</t>
        </is>
      </c>
      <c r="AA1551" s="0" t="inlineStr">
        <is>
          <t>서울시 강동구 성내동 594</t>
        </is>
      </c>
      <c r="AB1551" s="0" t="inlineStr">
        <is>
          <t>서울시</t>
        </is>
      </c>
      <c r="AC1551" s="0" t="inlineStr">
        <is>
          <t>강동구</t>
        </is>
      </c>
      <c r="AD1551" s="0" t="inlineStr">
        <is>
          <t>성내동</t>
        </is>
      </c>
      <c r="AG1551" s="0" t="inlineStr">
        <is>
          <t>서울시 강동구 양재대로81길 90</t>
        </is>
      </c>
      <c r="AH1551" s="0" t="n">
        <v>0</v>
      </c>
      <c r="AI1551" s="0" t="n">
        <v>296</v>
      </c>
      <c r="AJ1551" s="0" t="n">
        <v>34</v>
      </c>
      <c r="AK1551" s="0" t="n">
        <v>90</v>
      </c>
      <c r="AL1551" s="0" t="n">
        <v>1.23</v>
      </c>
    </row>
    <row r="1552">
      <c r="A1552" s="0" t="inlineStr">
        <is>
          <t>[성내동]</t>
        </is>
      </c>
      <c r="B1552" s="0" t="n">
        <v>10655</v>
      </c>
      <c r="C1552" s="0" t="n">
        <v>3</v>
      </c>
      <c r="D1552" s="0" t="inlineStr">
        <is>
          <t>한솔브리즈(594)</t>
        </is>
      </c>
      <c r="E1552" s="0" t="inlineStr">
        <is>
          <t>2002.10.</t>
        </is>
      </c>
      <c r="F1552" s="0" t="n">
        <v>73</v>
      </c>
      <c r="G1552" s="0" t="n">
        <v>27.46</v>
      </c>
      <c r="H1552" s="0" t="n">
        <v>90.78</v>
      </c>
      <c r="I1552" s="0" t="n">
        <v>23.02</v>
      </c>
      <c r="J1552" s="0" t="n">
        <v>76.12</v>
      </c>
      <c r="K1552" s="0" t="n">
        <v>9</v>
      </c>
      <c r="T1552" s="0" t="n">
        <v>3</v>
      </c>
      <c r="U1552" s="0" t="n">
        <v>2</v>
      </c>
      <c r="V1552" s="0" t="inlineStr">
        <is>
          <t>계단식</t>
        </is>
      </c>
      <c r="W1552" s="0" t="n">
        <v>90</v>
      </c>
      <c r="X1552" s="0" t="n">
        <v>10</v>
      </c>
      <c r="Y1552" s="0" t="n">
        <v>5</v>
      </c>
      <c r="Z1552" s="0" t="inlineStr">
        <is>
          <t>https://new.land.naver.com/complexes/10655?tab=detail&amp;rf=Y</t>
        </is>
      </c>
      <c r="AA1552" s="0" t="inlineStr">
        <is>
          <t>서울시 강동구 성내동 594</t>
        </is>
      </c>
      <c r="AB1552" s="0" t="inlineStr">
        <is>
          <t>서울시</t>
        </is>
      </c>
      <c r="AC1552" s="0" t="inlineStr">
        <is>
          <t>강동구</t>
        </is>
      </c>
      <c r="AD1552" s="0" t="inlineStr">
        <is>
          <t>성내동</t>
        </is>
      </c>
      <c r="AG1552" s="0" t="inlineStr">
        <is>
          <t>서울시 강동구 양재대로81길 90</t>
        </is>
      </c>
      <c r="AH1552" s="0" t="n">
        <v>0</v>
      </c>
      <c r="AI1552" s="0" t="n">
        <v>296</v>
      </c>
      <c r="AJ1552" s="0" t="n">
        <v>34</v>
      </c>
      <c r="AK1552" s="0" t="n">
        <v>90</v>
      </c>
      <c r="AL1552" s="0" t="n">
        <v>1.23</v>
      </c>
    </row>
    <row r="1553">
      <c r="A1553" s="0" t="inlineStr">
        <is>
          <t>[성내동]</t>
        </is>
      </c>
      <c r="B1553" s="0" t="n">
        <v>10655</v>
      </c>
      <c r="C1553" s="0" t="n">
        <v>4</v>
      </c>
      <c r="D1553" s="0" t="inlineStr">
        <is>
          <t>한솔브리즈(594)</t>
        </is>
      </c>
      <c r="E1553" s="0" t="inlineStr">
        <is>
          <t>2002.10.</t>
        </is>
      </c>
      <c r="F1553" s="0" t="n">
        <v>73</v>
      </c>
      <c r="G1553" s="0" t="n">
        <v>30.27</v>
      </c>
      <c r="H1553" s="0" t="n">
        <v>100.08</v>
      </c>
      <c r="I1553" s="0" t="n">
        <v>25.38</v>
      </c>
      <c r="J1553" s="0" t="n">
        <v>83.92</v>
      </c>
      <c r="K1553" s="0" t="n">
        <v>2</v>
      </c>
      <c r="T1553" s="0" t="n">
        <v>3</v>
      </c>
      <c r="U1553" s="0" t="n">
        <v>2</v>
      </c>
      <c r="V1553" s="0" t="inlineStr">
        <is>
          <t>계단식</t>
        </is>
      </c>
      <c r="W1553" s="0" t="n">
        <v>100</v>
      </c>
      <c r="X1553" s="0" t="n">
        <v>10</v>
      </c>
      <c r="Y1553" s="0" t="n">
        <v>5</v>
      </c>
      <c r="Z1553" s="0" t="inlineStr">
        <is>
          <t>https://new.land.naver.com/complexes/10655?tab=detail&amp;rf=Y</t>
        </is>
      </c>
      <c r="AA1553" s="0" t="inlineStr">
        <is>
          <t>서울시 강동구 성내동 594</t>
        </is>
      </c>
      <c r="AB1553" s="0" t="inlineStr">
        <is>
          <t>서울시</t>
        </is>
      </c>
      <c r="AC1553" s="0" t="inlineStr">
        <is>
          <t>강동구</t>
        </is>
      </c>
      <c r="AD1553" s="0" t="inlineStr">
        <is>
          <t>성내동</t>
        </is>
      </c>
      <c r="AG1553" s="0" t="inlineStr">
        <is>
          <t>서울시 강동구 양재대로81길 90</t>
        </is>
      </c>
      <c r="AH1553" s="0" t="n">
        <v>0</v>
      </c>
      <c r="AI1553" s="0" t="n">
        <v>296</v>
      </c>
      <c r="AJ1553" s="0" t="n">
        <v>34</v>
      </c>
      <c r="AK1553" s="0" t="n">
        <v>90</v>
      </c>
      <c r="AL1553" s="0" t="n">
        <v>1.23</v>
      </c>
    </row>
    <row r="1554">
      <c r="A1554" s="0" t="inlineStr">
        <is>
          <t>[성내동]</t>
        </is>
      </c>
      <c r="B1554" s="0" t="n">
        <v>10655</v>
      </c>
      <c r="C1554" s="0" t="n">
        <v>5</v>
      </c>
      <c r="D1554" s="0" t="inlineStr">
        <is>
          <t>한솔브리즈(594)</t>
        </is>
      </c>
      <c r="E1554" s="0" t="inlineStr">
        <is>
          <t>2002.10.</t>
        </is>
      </c>
      <c r="F1554" s="0" t="n">
        <v>73</v>
      </c>
      <c r="G1554" s="0" t="n">
        <v>30.93</v>
      </c>
      <c r="H1554" s="0" t="n">
        <v>102.26</v>
      </c>
      <c r="I1554" s="0" t="n">
        <v>25.68</v>
      </c>
      <c r="J1554" s="0" t="n">
        <v>84.91</v>
      </c>
      <c r="K1554" s="0" t="n">
        <v>35</v>
      </c>
      <c r="T1554" s="0" t="n">
        <v>3</v>
      </c>
      <c r="U1554" s="0" t="n">
        <v>2</v>
      </c>
      <c r="V1554" s="0" t="inlineStr">
        <is>
          <t>계단식</t>
        </is>
      </c>
      <c r="W1554" s="0" t="n">
        <v>102</v>
      </c>
      <c r="X1554" s="0" t="n">
        <v>10</v>
      </c>
      <c r="Y1554" s="0" t="n">
        <v>5</v>
      </c>
      <c r="Z1554" s="0" t="inlineStr">
        <is>
          <t>https://new.land.naver.com/complexes/10655?tab=detail&amp;rf=Y</t>
        </is>
      </c>
      <c r="AA1554" s="0" t="inlineStr">
        <is>
          <t>서울시 강동구 성내동 594</t>
        </is>
      </c>
      <c r="AB1554" s="0" t="inlineStr">
        <is>
          <t>서울시</t>
        </is>
      </c>
      <c r="AC1554" s="0" t="inlineStr">
        <is>
          <t>강동구</t>
        </is>
      </c>
      <c r="AD1554" s="0" t="inlineStr">
        <is>
          <t>성내동</t>
        </is>
      </c>
      <c r="AG1554" s="0" t="inlineStr">
        <is>
          <t>서울시 강동구 양재대로81길 90</t>
        </is>
      </c>
      <c r="AH1554" s="0" t="n">
        <v>0</v>
      </c>
      <c r="AI1554" s="0" t="n">
        <v>296</v>
      </c>
      <c r="AJ1554" s="0" t="n">
        <v>34</v>
      </c>
      <c r="AK1554" s="0" t="n">
        <v>90</v>
      </c>
      <c r="AL1554" s="0" t="n">
        <v>1.23</v>
      </c>
    </row>
    <row r="1555">
      <c r="A1555" s="0" t="inlineStr">
        <is>
          <t>[성내동]</t>
        </is>
      </c>
      <c r="B1555" s="0" t="n">
        <v>10655</v>
      </c>
      <c r="C1555" s="0" t="n">
        <v>6</v>
      </c>
      <c r="D1555" s="0" t="inlineStr">
        <is>
          <t>한솔브리즈(594)</t>
        </is>
      </c>
      <c r="E1555" s="0" t="inlineStr">
        <is>
          <t>2002.10.</t>
        </is>
      </c>
      <c r="F1555" s="0" t="n">
        <v>73</v>
      </c>
      <c r="G1555" s="0" t="n">
        <v>38.9</v>
      </c>
      <c r="H1555" s="0" t="n">
        <v>128.61</v>
      </c>
      <c r="I1555" s="0" t="n">
        <v>32.62</v>
      </c>
      <c r="J1555" s="0" t="n">
        <v>107.86</v>
      </c>
      <c r="K1555" s="0" t="n">
        <v>18</v>
      </c>
      <c r="T1555" s="0" t="n">
        <v>4</v>
      </c>
      <c r="U1555" s="0" t="n">
        <v>2</v>
      </c>
      <c r="V1555" s="0" t="inlineStr">
        <is>
          <t>계단식</t>
        </is>
      </c>
      <c r="W1555" s="0" t="n">
        <v>128</v>
      </c>
      <c r="X1555" s="0" t="n">
        <v>10</v>
      </c>
      <c r="Y1555" s="0" t="n">
        <v>5</v>
      </c>
      <c r="Z1555" s="0" t="inlineStr">
        <is>
          <t>https://new.land.naver.com/complexes/10655?tab=detail&amp;rf=Y</t>
        </is>
      </c>
      <c r="AA1555" s="0" t="inlineStr">
        <is>
          <t>서울시 강동구 성내동 594</t>
        </is>
      </c>
      <c r="AB1555" s="0" t="inlineStr">
        <is>
          <t>서울시</t>
        </is>
      </c>
      <c r="AC1555" s="0" t="inlineStr">
        <is>
          <t>강동구</t>
        </is>
      </c>
      <c r="AD1555" s="0" t="inlineStr">
        <is>
          <t>성내동</t>
        </is>
      </c>
      <c r="AG1555" s="0" t="inlineStr">
        <is>
          <t>서울시 강동구 양재대로81길 90</t>
        </is>
      </c>
      <c r="AH1555" s="0" t="n">
        <v>0</v>
      </c>
      <c r="AI1555" s="0" t="n">
        <v>296</v>
      </c>
      <c r="AJ1555" s="0" t="n">
        <v>34</v>
      </c>
      <c r="AK1555" s="0" t="n">
        <v>90</v>
      </c>
      <c r="AL1555" s="0" t="n">
        <v>1.23</v>
      </c>
    </row>
    <row r="1556">
      <c r="A1556" s="0" t="inlineStr">
        <is>
          <t>[성내동]</t>
        </is>
      </c>
      <c r="B1556" s="0" t="n">
        <v>21882</v>
      </c>
      <c r="C1556" s="0" t="n">
        <v>1</v>
      </c>
      <c r="D1556" s="0" t="inlineStr">
        <is>
          <t>광남캐스빌(510-1)</t>
        </is>
      </c>
      <c r="E1556" s="0" t="inlineStr">
        <is>
          <t>2002.04.</t>
        </is>
      </c>
      <c r="F1556" s="0" t="n">
        <v>19</v>
      </c>
      <c r="G1556" s="0" t="n">
        <v>22.75</v>
      </c>
      <c r="H1556" s="0" t="n">
        <v>75.23</v>
      </c>
      <c r="I1556" s="0" t="n">
        <v>20.76</v>
      </c>
      <c r="J1556" s="0" t="n">
        <v>68.66</v>
      </c>
      <c r="K1556" s="0" t="n">
        <v>1</v>
      </c>
      <c r="T1556" s="0" t="n">
        <v>3</v>
      </c>
      <c r="U1556" s="0" t="n">
        <v>2</v>
      </c>
      <c r="V1556" s="0" t="inlineStr">
        <is>
          <t>계단식</t>
        </is>
      </c>
      <c r="W1556" s="0" t="n">
        <v>75</v>
      </c>
      <c r="X1556" s="0" t="n">
        <v>6</v>
      </c>
      <c r="Y1556" s="0" t="n">
        <v>5</v>
      </c>
      <c r="Z1556" s="0" t="inlineStr">
        <is>
          <t>https://new.land.naver.com/complexes/21882?tab=detail&amp;rf=Y</t>
        </is>
      </c>
      <c r="AA1556" s="0" t="inlineStr">
        <is>
          <t>서울시 강동구 성내동 510-1</t>
        </is>
      </c>
      <c r="AB1556" s="0" t="inlineStr">
        <is>
          <t>서울시</t>
        </is>
      </c>
      <c r="AC1556" s="0" t="inlineStr">
        <is>
          <t>강동구</t>
        </is>
      </c>
      <c r="AD1556" s="0" t="inlineStr">
        <is>
          <t>성내동</t>
        </is>
      </c>
      <c r="AG1556" s="0" t="inlineStr">
        <is>
          <t>서울시 강동구 풍성로 147-14</t>
        </is>
      </c>
      <c r="AH1556" s="0" t="n">
        <v>0</v>
      </c>
      <c r="AI1556" s="0" t="n">
        <v>234</v>
      </c>
      <c r="AJ1556" s="0" t="n">
        <v>53</v>
      </c>
      <c r="AK1556" s="0" t="n">
        <v>24</v>
      </c>
      <c r="AL1556" s="0" t="n">
        <v>1.26</v>
      </c>
    </row>
    <row r="1557">
      <c r="A1557" s="0" t="inlineStr">
        <is>
          <t>[성내동]</t>
        </is>
      </c>
      <c r="B1557" s="0" t="n">
        <v>21882</v>
      </c>
      <c r="C1557" s="0" t="n">
        <v>2</v>
      </c>
      <c r="D1557" s="0" t="inlineStr">
        <is>
          <t>광남캐스빌(510-1)</t>
        </is>
      </c>
      <c r="E1557" s="0" t="inlineStr">
        <is>
          <t>2002.04.</t>
        </is>
      </c>
      <c r="F1557" s="0" t="n">
        <v>19</v>
      </c>
      <c r="G1557" s="0" t="n">
        <v>24.69</v>
      </c>
      <c r="H1557" s="0" t="n">
        <v>81.63</v>
      </c>
      <c r="I1557" s="0" t="n">
        <v>22.53</v>
      </c>
      <c r="J1557" s="0" t="n">
        <v>74.51000000000001</v>
      </c>
      <c r="K1557" s="0" t="n">
        <v>4</v>
      </c>
      <c r="T1557" s="0" t="n">
        <v>3</v>
      </c>
      <c r="U1557" s="0" t="n">
        <v>2</v>
      </c>
      <c r="V1557" s="0" t="inlineStr">
        <is>
          <t>계단식</t>
        </is>
      </c>
      <c r="W1557" s="0" t="n">
        <v>81</v>
      </c>
      <c r="X1557" s="0" t="n">
        <v>6</v>
      </c>
      <c r="Y1557" s="0" t="n">
        <v>5</v>
      </c>
      <c r="Z1557" s="0" t="inlineStr">
        <is>
          <t>https://new.land.naver.com/complexes/21882?tab=detail&amp;rf=Y</t>
        </is>
      </c>
      <c r="AA1557" s="0" t="inlineStr">
        <is>
          <t>서울시 강동구 성내동 510-1</t>
        </is>
      </c>
      <c r="AB1557" s="0" t="inlineStr">
        <is>
          <t>서울시</t>
        </is>
      </c>
      <c r="AC1557" s="0" t="inlineStr">
        <is>
          <t>강동구</t>
        </is>
      </c>
      <c r="AD1557" s="0" t="inlineStr">
        <is>
          <t>성내동</t>
        </is>
      </c>
      <c r="AG1557" s="0" t="inlineStr">
        <is>
          <t>서울시 강동구 풍성로 147-14</t>
        </is>
      </c>
      <c r="AH1557" s="0" t="n">
        <v>0</v>
      </c>
      <c r="AI1557" s="0" t="n">
        <v>234</v>
      </c>
      <c r="AJ1557" s="0" t="n">
        <v>53</v>
      </c>
      <c r="AK1557" s="0" t="n">
        <v>24</v>
      </c>
      <c r="AL1557" s="0" t="n">
        <v>1.26</v>
      </c>
    </row>
    <row r="1558">
      <c r="A1558" s="0" t="inlineStr">
        <is>
          <t>[성내동]</t>
        </is>
      </c>
      <c r="B1558" s="0" t="n">
        <v>21882</v>
      </c>
      <c r="C1558" s="0" t="n">
        <v>3</v>
      </c>
      <c r="D1558" s="0" t="inlineStr">
        <is>
          <t>광남캐스빌(510-1)</t>
        </is>
      </c>
      <c r="E1558" s="0" t="inlineStr">
        <is>
          <t>2002.04.</t>
        </is>
      </c>
      <c r="F1558" s="0" t="n">
        <v>19</v>
      </c>
      <c r="G1558" s="0" t="n">
        <v>25.72</v>
      </c>
      <c r="H1558" s="0" t="n">
        <v>85.05</v>
      </c>
      <c r="I1558" s="0" t="n">
        <v>23.48</v>
      </c>
      <c r="J1558" s="0" t="n">
        <v>77.63</v>
      </c>
      <c r="K1558" s="0" t="n">
        <v>1</v>
      </c>
      <c r="T1558" s="0" t="n">
        <v>3</v>
      </c>
      <c r="U1558" s="0" t="n">
        <v>2</v>
      </c>
      <c r="V1558" s="0" t="inlineStr">
        <is>
          <t>계단식</t>
        </is>
      </c>
      <c r="W1558" s="0" t="n">
        <v>85</v>
      </c>
      <c r="X1558" s="0" t="n">
        <v>6</v>
      </c>
      <c r="Y1558" s="0" t="n">
        <v>5</v>
      </c>
      <c r="Z1558" s="0" t="inlineStr">
        <is>
          <t>https://new.land.naver.com/complexes/21882?tab=detail&amp;rf=Y</t>
        </is>
      </c>
      <c r="AA1558" s="0" t="inlineStr">
        <is>
          <t>서울시 강동구 성내동 510-1</t>
        </is>
      </c>
      <c r="AB1558" s="0" t="inlineStr">
        <is>
          <t>서울시</t>
        </is>
      </c>
      <c r="AC1558" s="0" t="inlineStr">
        <is>
          <t>강동구</t>
        </is>
      </c>
      <c r="AD1558" s="0" t="inlineStr">
        <is>
          <t>성내동</t>
        </is>
      </c>
      <c r="AG1558" s="0" t="inlineStr">
        <is>
          <t>서울시 강동구 풍성로 147-14</t>
        </is>
      </c>
      <c r="AH1558" s="0" t="n">
        <v>0</v>
      </c>
      <c r="AI1558" s="0" t="n">
        <v>234</v>
      </c>
      <c r="AJ1558" s="0" t="n">
        <v>53</v>
      </c>
      <c r="AK1558" s="0" t="n">
        <v>24</v>
      </c>
      <c r="AL1558" s="0" t="n">
        <v>1.26</v>
      </c>
    </row>
    <row r="1559">
      <c r="A1559" s="0" t="inlineStr">
        <is>
          <t>[성내동]</t>
        </is>
      </c>
      <c r="B1559" s="0" t="n">
        <v>21882</v>
      </c>
      <c r="C1559" s="0" t="n">
        <v>4</v>
      </c>
      <c r="D1559" s="0" t="inlineStr">
        <is>
          <t>광남캐스빌(510-1)</t>
        </is>
      </c>
      <c r="E1559" s="0" t="inlineStr">
        <is>
          <t>2002.04.</t>
        </is>
      </c>
      <c r="F1559" s="0" t="n">
        <v>19</v>
      </c>
      <c r="G1559" s="0" t="n">
        <v>26.52</v>
      </c>
      <c r="H1559" s="0" t="n">
        <v>87.68000000000001</v>
      </c>
      <c r="I1559" s="0" t="n">
        <v>24.2</v>
      </c>
      <c r="J1559" s="0" t="n">
        <v>80.03</v>
      </c>
      <c r="K1559" s="0" t="n">
        <v>12</v>
      </c>
      <c r="T1559" s="0" t="n">
        <v>3</v>
      </c>
      <c r="U1559" s="0" t="n">
        <v>2</v>
      </c>
      <c r="V1559" s="0" t="inlineStr">
        <is>
          <t>계단식</t>
        </is>
      </c>
      <c r="W1559" s="0" t="inlineStr">
        <is>
          <t>87A</t>
        </is>
      </c>
      <c r="X1559" s="0" t="n">
        <v>6</v>
      </c>
      <c r="Y1559" s="0" t="n">
        <v>5</v>
      </c>
      <c r="Z1559" s="0" t="inlineStr">
        <is>
          <t>https://new.land.naver.com/complexes/21882?tab=detail&amp;rf=Y</t>
        </is>
      </c>
      <c r="AA1559" s="0" t="inlineStr">
        <is>
          <t>서울시 강동구 성내동 510-1</t>
        </is>
      </c>
      <c r="AB1559" s="0" t="inlineStr">
        <is>
          <t>서울시</t>
        </is>
      </c>
      <c r="AC1559" s="0" t="inlineStr">
        <is>
          <t>강동구</t>
        </is>
      </c>
      <c r="AD1559" s="0" t="inlineStr">
        <is>
          <t>성내동</t>
        </is>
      </c>
      <c r="AG1559" s="0" t="inlineStr">
        <is>
          <t>서울시 강동구 풍성로 147-14</t>
        </is>
      </c>
      <c r="AH1559" s="0" t="n">
        <v>0</v>
      </c>
      <c r="AI1559" s="0" t="n">
        <v>234</v>
      </c>
      <c r="AJ1559" s="0" t="n">
        <v>53</v>
      </c>
      <c r="AK1559" s="0" t="n">
        <v>24</v>
      </c>
      <c r="AL1559" s="0" t="n">
        <v>1.26</v>
      </c>
    </row>
    <row r="1560">
      <c r="A1560" s="0" t="inlineStr">
        <is>
          <t>[성내동]</t>
        </is>
      </c>
      <c r="B1560" s="0" t="n">
        <v>21882</v>
      </c>
      <c r="C1560" s="0" t="n">
        <v>5</v>
      </c>
      <c r="D1560" s="0" t="inlineStr">
        <is>
          <t>광남캐스빌(510-1)</t>
        </is>
      </c>
      <c r="E1560" s="0" t="inlineStr">
        <is>
          <t>2002.04.</t>
        </is>
      </c>
      <c r="F1560" s="0" t="n">
        <v>19</v>
      </c>
      <c r="G1560" s="0" t="n">
        <v>26.66</v>
      </c>
      <c r="H1560" s="0" t="n">
        <v>88.15000000000001</v>
      </c>
      <c r="I1560" s="0" t="n">
        <v>24.33</v>
      </c>
      <c r="J1560" s="0" t="n">
        <v>80.45999999999999</v>
      </c>
      <c r="K1560" s="0" t="n">
        <v>1</v>
      </c>
      <c r="T1560" s="0" t="n">
        <v>3</v>
      </c>
      <c r="U1560" s="0" t="n">
        <v>2</v>
      </c>
      <c r="V1560" s="0" t="inlineStr">
        <is>
          <t>계단식</t>
        </is>
      </c>
      <c r="W1560" s="0" t="inlineStr">
        <is>
          <t>88B</t>
        </is>
      </c>
      <c r="X1560" s="0" t="n">
        <v>6</v>
      </c>
      <c r="Y1560" s="0" t="n">
        <v>5</v>
      </c>
      <c r="Z1560" s="0" t="inlineStr">
        <is>
          <t>https://new.land.naver.com/complexes/21882?tab=detail&amp;rf=Y</t>
        </is>
      </c>
      <c r="AA1560" s="0" t="inlineStr">
        <is>
          <t>서울시 강동구 성내동 510-1</t>
        </is>
      </c>
      <c r="AB1560" s="0" t="inlineStr">
        <is>
          <t>서울시</t>
        </is>
      </c>
      <c r="AC1560" s="0" t="inlineStr">
        <is>
          <t>강동구</t>
        </is>
      </c>
      <c r="AD1560" s="0" t="inlineStr">
        <is>
          <t>성내동</t>
        </is>
      </c>
      <c r="AG1560" s="0" t="inlineStr">
        <is>
          <t>서울시 강동구 풍성로 147-14</t>
        </is>
      </c>
      <c r="AH1560" s="0" t="n">
        <v>0</v>
      </c>
      <c r="AI1560" s="0" t="n">
        <v>234</v>
      </c>
      <c r="AJ1560" s="0" t="n">
        <v>53</v>
      </c>
      <c r="AK1560" s="0" t="n">
        <v>24</v>
      </c>
      <c r="AL1560" s="0" t="n">
        <v>1.26</v>
      </c>
    </row>
    <row r="1561">
      <c r="A1561" s="0" t="inlineStr">
        <is>
          <t>[성내동]</t>
        </is>
      </c>
      <c r="B1561" s="0" t="n">
        <v>3318</v>
      </c>
      <c r="C1561" s="0" t="n">
        <v>1</v>
      </c>
      <c r="D1561" s="0" t="inlineStr">
        <is>
          <t>동원</t>
        </is>
      </c>
      <c r="E1561" s="0" t="inlineStr">
        <is>
          <t>2002.04.</t>
        </is>
      </c>
      <c r="F1561" s="0" t="n">
        <v>57</v>
      </c>
      <c r="G1561" s="0" t="n">
        <v>24.38</v>
      </c>
      <c r="H1561" s="0" t="n">
        <v>80.62</v>
      </c>
      <c r="I1561" s="0" t="n">
        <v>19.81</v>
      </c>
      <c r="J1561" s="0" t="n">
        <v>65.51000000000001</v>
      </c>
      <c r="K1561" s="0" t="n">
        <v>4</v>
      </c>
      <c r="T1561" s="0" t="n">
        <v>3</v>
      </c>
      <c r="U1561" s="0" t="n">
        <v>1</v>
      </c>
      <c r="V1561" s="0" t="inlineStr">
        <is>
          <t>계단식</t>
        </is>
      </c>
      <c r="W1561" s="0" t="n">
        <v>80</v>
      </c>
      <c r="X1561" s="0" t="n">
        <v>11</v>
      </c>
      <c r="Y1561" s="0" t="n">
        <v>6</v>
      </c>
      <c r="Z1561" s="0" t="inlineStr">
        <is>
          <t>https://new.land.naver.com/complexes/3318?tab=detail&amp;rf=Y</t>
        </is>
      </c>
      <c r="AA1561" s="0" t="inlineStr">
        <is>
          <t>서울시 강동구 성내동 457-4</t>
        </is>
      </c>
      <c r="AB1561" s="0" t="inlineStr">
        <is>
          <t>서울시</t>
        </is>
      </c>
      <c r="AC1561" s="0" t="inlineStr">
        <is>
          <t>강동구</t>
        </is>
      </c>
      <c r="AD1561" s="0" t="inlineStr">
        <is>
          <t>성내동</t>
        </is>
      </c>
      <c r="AG1561" s="0" t="inlineStr">
        <is>
          <t>서울시 강동구 성내로6나길 27</t>
        </is>
      </c>
      <c r="AH1561" s="0" t="n">
        <v>0</v>
      </c>
      <c r="AI1561" s="0" t="n">
        <v>283</v>
      </c>
      <c r="AJ1561" s="0" t="n">
        <v>34</v>
      </c>
      <c r="AK1561" s="0" t="n">
        <v>61</v>
      </c>
      <c r="AL1561" s="0" t="n">
        <v>1.07</v>
      </c>
    </row>
    <row r="1562">
      <c r="A1562" s="0" t="inlineStr">
        <is>
          <t>[성내동]</t>
        </is>
      </c>
      <c r="B1562" s="0" t="n">
        <v>3318</v>
      </c>
      <c r="C1562" s="0" t="n">
        <v>2</v>
      </c>
      <c r="D1562" s="0" t="inlineStr">
        <is>
          <t>동원</t>
        </is>
      </c>
      <c r="E1562" s="0" t="inlineStr">
        <is>
          <t>2002.04.</t>
        </is>
      </c>
      <c r="F1562" s="0" t="n">
        <v>57</v>
      </c>
      <c r="G1562" s="0" t="n">
        <v>25.84</v>
      </c>
      <c r="H1562" s="0" t="n">
        <v>85.43000000000001</v>
      </c>
      <c r="I1562" s="0" t="n">
        <v>18.12</v>
      </c>
      <c r="J1562" s="0" t="n">
        <v>59.91</v>
      </c>
      <c r="K1562" s="0" t="n">
        <v>6</v>
      </c>
      <c r="T1562" s="0" t="n">
        <v>3</v>
      </c>
      <c r="U1562" s="0" t="n">
        <v>1</v>
      </c>
      <c r="V1562" s="0" t="inlineStr">
        <is>
          <t>계단식</t>
        </is>
      </c>
      <c r="W1562" s="0" t="n">
        <v>85</v>
      </c>
      <c r="X1562" s="0" t="n">
        <v>11</v>
      </c>
      <c r="Y1562" s="0" t="n">
        <v>6</v>
      </c>
      <c r="Z1562" s="0" t="inlineStr">
        <is>
          <t>https://new.land.naver.com/complexes/3318?tab=detail&amp;rf=Y</t>
        </is>
      </c>
      <c r="AA1562" s="0" t="inlineStr">
        <is>
          <t>서울시 강동구 성내동 457-4</t>
        </is>
      </c>
      <c r="AB1562" s="0" t="inlineStr">
        <is>
          <t>서울시</t>
        </is>
      </c>
      <c r="AC1562" s="0" t="inlineStr">
        <is>
          <t>강동구</t>
        </is>
      </c>
      <c r="AD1562" s="0" t="inlineStr">
        <is>
          <t>성내동</t>
        </is>
      </c>
      <c r="AG1562" s="0" t="inlineStr">
        <is>
          <t>서울시 강동구 성내로6나길 27</t>
        </is>
      </c>
      <c r="AH1562" s="0" t="n">
        <v>0</v>
      </c>
      <c r="AI1562" s="0" t="n">
        <v>283</v>
      </c>
      <c r="AJ1562" s="0" t="n">
        <v>34</v>
      </c>
      <c r="AK1562" s="0" t="n">
        <v>61</v>
      </c>
      <c r="AL1562" s="0" t="n">
        <v>1.07</v>
      </c>
    </row>
    <row r="1563">
      <c r="A1563" s="0" t="inlineStr">
        <is>
          <t>[성내동]</t>
        </is>
      </c>
      <c r="B1563" s="0" t="n">
        <v>3318</v>
      </c>
      <c r="C1563" s="0" t="n">
        <v>3</v>
      </c>
      <c r="D1563" s="0" t="inlineStr">
        <is>
          <t>동원</t>
        </is>
      </c>
      <c r="E1563" s="0" t="inlineStr">
        <is>
          <t>2002.04.</t>
        </is>
      </c>
      <c r="F1563" s="0" t="n">
        <v>57</v>
      </c>
      <c r="G1563" s="0" t="n">
        <v>31.29</v>
      </c>
      <c r="H1563" s="0" t="n">
        <v>103.44</v>
      </c>
      <c r="I1563" s="0" t="n">
        <v>25.6</v>
      </c>
      <c r="J1563" s="0" t="n">
        <v>84.66</v>
      </c>
      <c r="K1563" s="0" t="n">
        <v>40</v>
      </c>
      <c r="T1563" s="0" t="n">
        <v>3</v>
      </c>
      <c r="U1563" s="0" t="n">
        <v>2</v>
      </c>
      <c r="V1563" s="0" t="inlineStr">
        <is>
          <t>계단식</t>
        </is>
      </c>
      <c r="W1563" s="0" t="n">
        <v>103</v>
      </c>
      <c r="X1563" s="0" t="n">
        <v>11</v>
      </c>
      <c r="Y1563" s="0" t="n">
        <v>6</v>
      </c>
      <c r="Z1563" s="0" t="inlineStr">
        <is>
          <t>https://new.land.naver.com/complexes/3318?tab=detail&amp;rf=Y</t>
        </is>
      </c>
      <c r="AA1563" s="0" t="inlineStr">
        <is>
          <t>서울시 강동구 성내동 457-4</t>
        </is>
      </c>
      <c r="AB1563" s="0" t="inlineStr">
        <is>
          <t>서울시</t>
        </is>
      </c>
      <c r="AC1563" s="0" t="inlineStr">
        <is>
          <t>강동구</t>
        </is>
      </c>
      <c r="AD1563" s="0" t="inlineStr">
        <is>
          <t>성내동</t>
        </is>
      </c>
      <c r="AG1563" s="0" t="inlineStr">
        <is>
          <t>서울시 강동구 성내로6나길 27</t>
        </is>
      </c>
      <c r="AH1563" s="0" t="n">
        <v>0</v>
      </c>
      <c r="AI1563" s="0" t="n">
        <v>283</v>
      </c>
      <c r="AJ1563" s="0" t="n">
        <v>34</v>
      </c>
      <c r="AK1563" s="0" t="n">
        <v>61</v>
      </c>
      <c r="AL1563" s="0" t="n">
        <v>1.07</v>
      </c>
    </row>
    <row r="1564">
      <c r="A1564" s="0" t="inlineStr">
        <is>
          <t>[성내동]</t>
        </is>
      </c>
      <c r="B1564" s="0" t="n">
        <v>3318</v>
      </c>
      <c r="C1564" s="0" t="n">
        <v>4</v>
      </c>
      <c r="D1564" s="0" t="inlineStr">
        <is>
          <t>동원</t>
        </is>
      </c>
      <c r="E1564" s="0" t="inlineStr">
        <is>
          <t>2002.04.</t>
        </is>
      </c>
      <c r="F1564" s="0" t="n">
        <v>57</v>
      </c>
      <c r="G1564" s="0" t="n">
        <v>33.52</v>
      </c>
      <c r="H1564" s="0" t="n">
        <v>110.81</v>
      </c>
      <c r="I1564" s="0" t="n">
        <v>23.94</v>
      </c>
      <c r="J1564" s="0" t="n">
        <v>79.16</v>
      </c>
      <c r="K1564" s="0" t="n">
        <v>7</v>
      </c>
      <c r="T1564" s="0" t="n">
        <v>3</v>
      </c>
      <c r="U1564" s="0" t="n">
        <v>2</v>
      </c>
      <c r="V1564" s="0" t="inlineStr">
        <is>
          <t>계단식</t>
        </is>
      </c>
      <c r="W1564" s="0" t="n">
        <v>110</v>
      </c>
      <c r="X1564" s="0" t="n">
        <v>11</v>
      </c>
      <c r="Y1564" s="0" t="n">
        <v>6</v>
      </c>
      <c r="Z1564" s="0" t="inlineStr">
        <is>
          <t>https://new.land.naver.com/complexes/3318?tab=detail&amp;rf=Y</t>
        </is>
      </c>
      <c r="AA1564" s="0" t="inlineStr">
        <is>
          <t>서울시 강동구 성내동 457-4</t>
        </is>
      </c>
      <c r="AB1564" s="0" t="inlineStr">
        <is>
          <t>서울시</t>
        </is>
      </c>
      <c r="AC1564" s="0" t="inlineStr">
        <is>
          <t>강동구</t>
        </is>
      </c>
      <c r="AD1564" s="0" t="inlineStr">
        <is>
          <t>성내동</t>
        </is>
      </c>
      <c r="AG1564" s="0" t="inlineStr">
        <is>
          <t>서울시 강동구 성내로6나길 27</t>
        </is>
      </c>
      <c r="AH1564" s="0" t="n">
        <v>0</v>
      </c>
      <c r="AI1564" s="0" t="n">
        <v>283</v>
      </c>
      <c r="AJ1564" s="0" t="n">
        <v>34</v>
      </c>
      <c r="AK1564" s="0" t="n">
        <v>61</v>
      </c>
      <c r="AL1564" s="0" t="n">
        <v>1.07</v>
      </c>
    </row>
    <row r="1565">
      <c r="A1565" s="0" t="inlineStr">
        <is>
          <t>[성내동]</t>
        </is>
      </c>
      <c r="B1565" s="0" t="n">
        <v>3072</v>
      </c>
      <c r="C1565" s="0" t="n">
        <v>1</v>
      </c>
      <c r="D1565" s="0" t="inlineStr">
        <is>
          <t>동방</t>
        </is>
      </c>
      <c r="E1565" s="0" t="inlineStr">
        <is>
          <t>1995.08.</t>
        </is>
      </c>
      <c r="F1565" s="0" t="n">
        <v>55</v>
      </c>
      <c r="G1565" s="0" t="n">
        <v>24.84</v>
      </c>
      <c r="H1565" s="0" t="n">
        <v>82.14</v>
      </c>
      <c r="I1565" s="0" t="n">
        <v>18.15</v>
      </c>
      <c r="J1565" s="0" t="n">
        <v>60</v>
      </c>
      <c r="K1565" s="0" t="n">
        <v>24</v>
      </c>
      <c r="T1565" s="0" t="n">
        <v>3</v>
      </c>
      <c r="U1565" s="0" t="n">
        <v>1</v>
      </c>
      <c r="V1565" s="0" t="inlineStr">
        <is>
          <t>복도식</t>
        </is>
      </c>
      <c r="W1565" s="0" t="n">
        <v>82</v>
      </c>
      <c r="X1565" s="0" t="n">
        <v>9</v>
      </c>
      <c r="Y1565" s="0" t="n">
        <v>8</v>
      </c>
      <c r="Z1565" s="0" t="inlineStr">
        <is>
          <t>https://new.land.naver.com/complexes/3072?tab=detail&amp;rf=Y</t>
        </is>
      </c>
      <c r="AA1565" s="0" t="inlineStr">
        <is>
          <t>서울시 강동구 성내동 407-2</t>
        </is>
      </c>
      <c r="AB1565" s="0" t="inlineStr">
        <is>
          <t>서울시</t>
        </is>
      </c>
      <c r="AC1565" s="0" t="inlineStr">
        <is>
          <t>강동구</t>
        </is>
      </c>
      <c r="AD1565" s="0" t="inlineStr">
        <is>
          <t>성내동</t>
        </is>
      </c>
      <c r="AG1565" s="0" t="inlineStr">
        <is>
          <t>서울시 강동구 양재대로95길 74</t>
        </is>
      </c>
      <c r="AH1565" s="0" t="n">
        <v>0</v>
      </c>
      <c r="AI1565" s="0" t="n">
        <v>276</v>
      </c>
      <c r="AJ1565" s="0" t="n">
        <v>35</v>
      </c>
      <c r="AK1565" s="0" t="n">
        <v>0</v>
      </c>
      <c r="AL1565" s="0" t="n">
        <v>0</v>
      </c>
    </row>
    <row r="1566">
      <c r="A1566" s="0" t="inlineStr">
        <is>
          <t>[성내동]</t>
        </is>
      </c>
      <c r="B1566" s="0" t="n">
        <v>3072</v>
      </c>
      <c r="C1566" s="0" t="n">
        <v>2</v>
      </c>
      <c r="D1566" s="0" t="inlineStr">
        <is>
          <t>동방</t>
        </is>
      </c>
      <c r="E1566" s="0" t="inlineStr">
        <is>
          <t>1995.08.</t>
        </is>
      </c>
      <c r="F1566" s="0" t="n">
        <v>55</v>
      </c>
      <c r="G1566" s="0" t="n">
        <v>29.56</v>
      </c>
      <c r="H1566" s="0" t="n">
        <v>97.75</v>
      </c>
      <c r="I1566" s="0" t="n">
        <v>21.59</v>
      </c>
      <c r="J1566" s="0" t="n">
        <v>71.40000000000001</v>
      </c>
      <c r="K1566" s="0" t="n">
        <v>8</v>
      </c>
      <c r="T1566" s="0" t="n">
        <v>3</v>
      </c>
      <c r="U1566" s="0" t="n">
        <v>1</v>
      </c>
      <c r="V1566" s="0" t="inlineStr">
        <is>
          <t>복도식</t>
        </is>
      </c>
      <c r="W1566" s="0" t="n">
        <v>97</v>
      </c>
      <c r="X1566" s="0" t="n">
        <v>9</v>
      </c>
      <c r="Y1566" s="0" t="n">
        <v>8</v>
      </c>
      <c r="Z1566" s="0" t="inlineStr">
        <is>
          <t>https://new.land.naver.com/complexes/3072?tab=detail&amp;rf=Y</t>
        </is>
      </c>
      <c r="AA1566" s="0" t="inlineStr">
        <is>
          <t>서울시 강동구 성내동 407-2</t>
        </is>
      </c>
      <c r="AB1566" s="0" t="inlineStr">
        <is>
          <t>서울시</t>
        </is>
      </c>
      <c r="AC1566" s="0" t="inlineStr">
        <is>
          <t>강동구</t>
        </is>
      </c>
      <c r="AD1566" s="0" t="inlineStr">
        <is>
          <t>성내동</t>
        </is>
      </c>
      <c r="AG1566" s="0" t="inlineStr">
        <is>
          <t>서울시 강동구 양재대로95길 74</t>
        </is>
      </c>
      <c r="AH1566" s="0" t="n">
        <v>0</v>
      </c>
      <c r="AI1566" s="0" t="n">
        <v>276</v>
      </c>
      <c r="AJ1566" s="0" t="n">
        <v>35</v>
      </c>
      <c r="AK1566" s="0" t="n">
        <v>0</v>
      </c>
      <c r="AL1566" s="0" t="n">
        <v>0</v>
      </c>
    </row>
    <row r="1567">
      <c r="A1567" s="0" t="inlineStr">
        <is>
          <t>[성내동]</t>
        </is>
      </c>
      <c r="B1567" s="0" t="n">
        <v>3072</v>
      </c>
      <c r="C1567" s="0" t="n">
        <v>3</v>
      </c>
      <c r="D1567" s="0" t="inlineStr">
        <is>
          <t>동방</t>
        </is>
      </c>
      <c r="E1567" s="0" t="inlineStr">
        <is>
          <t>1995.08.</t>
        </is>
      </c>
      <c r="F1567" s="0" t="n">
        <v>55</v>
      </c>
      <c r="G1567" s="0" t="n">
        <v>32.61</v>
      </c>
      <c r="H1567" s="0" t="n">
        <v>107.82</v>
      </c>
      <c r="I1567" s="0" t="n">
        <v>23.82</v>
      </c>
      <c r="J1567" s="0" t="n">
        <v>78.76000000000001</v>
      </c>
      <c r="K1567" s="0" t="n">
        <v>2</v>
      </c>
      <c r="T1567" s="0" t="n">
        <v>3</v>
      </c>
      <c r="U1567" s="0" t="n">
        <v>2</v>
      </c>
      <c r="V1567" s="0" t="inlineStr">
        <is>
          <t>복도식</t>
        </is>
      </c>
      <c r="W1567" s="0" t="n">
        <v>107</v>
      </c>
      <c r="X1567" s="0" t="n">
        <v>9</v>
      </c>
      <c r="Y1567" s="0" t="n">
        <v>8</v>
      </c>
      <c r="Z1567" s="0" t="inlineStr">
        <is>
          <t>https://new.land.naver.com/complexes/3072?tab=detail&amp;rf=Y</t>
        </is>
      </c>
      <c r="AA1567" s="0" t="inlineStr">
        <is>
          <t>서울시 강동구 성내동 407-2</t>
        </is>
      </c>
      <c r="AB1567" s="0" t="inlineStr">
        <is>
          <t>서울시</t>
        </is>
      </c>
      <c r="AC1567" s="0" t="inlineStr">
        <is>
          <t>강동구</t>
        </is>
      </c>
      <c r="AD1567" s="0" t="inlineStr">
        <is>
          <t>성내동</t>
        </is>
      </c>
      <c r="AG1567" s="0" t="inlineStr">
        <is>
          <t>서울시 강동구 양재대로95길 74</t>
        </is>
      </c>
      <c r="AH1567" s="0" t="n">
        <v>0</v>
      </c>
      <c r="AI1567" s="0" t="n">
        <v>276</v>
      </c>
      <c r="AJ1567" s="0" t="n">
        <v>35</v>
      </c>
      <c r="AK1567" s="0" t="n">
        <v>0</v>
      </c>
      <c r="AL1567" s="0" t="n">
        <v>0</v>
      </c>
    </row>
    <row r="1568">
      <c r="A1568" s="0" t="inlineStr">
        <is>
          <t>[성내동]</t>
        </is>
      </c>
      <c r="B1568" s="0" t="n">
        <v>3072</v>
      </c>
      <c r="C1568" s="0" t="n">
        <v>4</v>
      </c>
      <c r="D1568" s="0" t="inlineStr">
        <is>
          <t>동방</t>
        </is>
      </c>
      <c r="E1568" s="0" t="inlineStr">
        <is>
          <t>1995.08.</t>
        </is>
      </c>
      <c r="F1568" s="0" t="n">
        <v>55</v>
      </c>
      <c r="G1568" s="0" t="n">
        <v>34.66</v>
      </c>
      <c r="H1568" s="0" t="n">
        <v>114.59</v>
      </c>
      <c r="I1568" s="0" t="n">
        <v>25.31</v>
      </c>
      <c r="J1568" s="0" t="n">
        <v>83.7</v>
      </c>
      <c r="K1568" s="0" t="n">
        <v>8</v>
      </c>
      <c r="T1568" s="0" t="n">
        <v>3</v>
      </c>
      <c r="U1568" s="0" t="n">
        <v>2</v>
      </c>
      <c r="V1568" s="0" t="inlineStr">
        <is>
          <t>복도식</t>
        </is>
      </c>
      <c r="W1568" s="0" t="n">
        <v>114</v>
      </c>
      <c r="X1568" s="0" t="n">
        <v>9</v>
      </c>
      <c r="Y1568" s="0" t="n">
        <v>8</v>
      </c>
      <c r="Z1568" s="0" t="inlineStr">
        <is>
          <t>https://new.land.naver.com/complexes/3072?tab=detail&amp;rf=Y</t>
        </is>
      </c>
      <c r="AA1568" s="0" t="inlineStr">
        <is>
          <t>서울시 강동구 성내동 407-2</t>
        </is>
      </c>
      <c r="AB1568" s="0" t="inlineStr">
        <is>
          <t>서울시</t>
        </is>
      </c>
      <c r="AC1568" s="0" t="inlineStr">
        <is>
          <t>강동구</t>
        </is>
      </c>
      <c r="AD1568" s="0" t="inlineStr">
        <is>
          <t>성내동</t>
        </is>
      </c>
      <c r="AG1568" s="0" t="inlineStr">
        <is>
          <t>서울시 강동구 양재대로95길 74</t>
        </is>
      </c>
      <c r="AH1568" s="0" t="n">
        <v>0</v>
      </c>
      <c r="AI1568" s="0" t="n">
        <v>276</v>
      </c>
      <c r="AJ1568" s="0" t="n">
        <v>35</v>
      </c>
      <c r="AK1568" s="0" t="n">
        <v>0</v>
      </c>
      <c r="AL1568" s="0" t="n">
        <v>0</v>
      </c>
    </row>
    <row r="1569">
      <c r="A1569" s="0" t="inlineStr">
        <is>
          <t>[성내동]</t>
        </is>
      </c>
      <c r="B1569" s="0" t="n">
        <v>3072</v>
      </c>
      <c r="C1569" s="0" t="n">
        <v>5</v>
      </c>
      <c r="D1569" s="0" t="inlineStr">
        <is>
          <t>동방</t>
        </is>
      </c>
      <c r="E1569" s="0" t="inlineStr">
        <is>
          <t>1995.08.</t>
        </is>
      </c>
      <c r="F1569" s="0" t="n">
        <v>55</v>
      </c>
      <c r="G1569" s="0" t="n">
        <v>35.03</v>
      </c>
      <c r="H1569" s="0" t="n">
        <v>115.83</v>
      </c>
      <c r="I1569" s="0" t="n">
        <v>25.59</v>
      </c>
      <c r="J1569" s="0" t="n">
        <v>84.61</v>
      </c>
      <c r="K1569" s="0" t="n">
        <v>12</v>
      </c>
      <c r="T1569" s="0" t="n">
        <v>3</v>
      </c>
      <c r="U1569" s="0" t="n">
        <v>2</v>
      </c>
      <c r="V1569" s="0" t="inlineStr">
        <is>
          <t>복도식</t>
        </is>
      </c>
      <c r="W1569" s="0" t="n">
        <v>115</v>
      </c>
      <c r="X1569" s="0" t="n">
        <v>9</v>
      </c>
      <c r="Y1569" s="0" t="n">
        <v>8</v>
      </c>
      <c r="Z1569" s="0" t="inlineStr">
        <is>
          <t>https://new.land.naver.com/complexes/3072?tab=detail&amp;rf=Y</t>
        </is>
      </c>
      <c r="AA1569" s="0" t="inlineStr">
        <is>
          <t>서울시 강동구 성내동 407-2</t>
        </is>
      </c>
      <c r="AB1569" s="0" t="inlineStr">
        <is>
          <t>서울시</t>
        </is>
      </c>
      <c r="AC1569" s="0" t="inlineStr">
        <is>
          <t>강동구</t>
        </is>
      </c>
      <c r="AD1569" s="0" t="inlineStr">
        <is>
          <t>성내동</t>
        </is>
      </c>
      <c r="AG1569" s="0" t="inlineStr">
        <is>
          <t>서울시 강동구 양재대로95길 74</t>
        </is>
      </c>
      <c r="AH1569" s="0" t="n">
        <v>0</v>
      </c>
      <c r="AI1569" s="0" t="n">
        <v>276</v>
      </c>
      <c r="AJ1569" s="0" t="n">
        <v>35</v>
      </c>
      <c r="AK1569" s="0" t="n">
        <v>0</v>
      </c>
      <c r="AL1569" s="0" t="n">
        <v>0</v>
      </c>
    </row>
    <row r="1570">
      <c r="A1570" s="0" t="inlineStr">
        <is>
          <t>[성내동]</t>
        </is>
      </c>
      <c r="B1570" s="0" t="n">
        <v>3072</v>
      </c>
      <c r="C1570" s="0" t="n">
        <v>6</v>
      </c>
      <c r="D1570" s="0" t="inlineStr">
        <is>
          <t>동방</t>
        </is>
      </c>
      <c r="E1570" s="0" t="inlineStr">
        <is>
          <t>1995.08.</t>
        </is>
      </c>
      <c r="F1570" s="0" t="n">
        <v>55</v>
      </c>
      <c r="G1570" s="0" t="n">
        <v>40.69</v>
      </c>
      <c r="H1570" s="0" t="n">
        <v>134.53</v>
      </c>
      <c r="I1570" s="0" t="n">
        <v>29.72</v>
      </c>
      <c r="J1570" s="0" t="n">
        <v>98.27</v>
      </c>
      <c r="K1570" s="0" t="n">
        <v>1</v>
      </c>
      <c r="T1570" s="0" t="n">
        <v>4</v>
      </c>
      <c r="U1570" s="0" t="n">
        <v>2</v>
      </c>
      <c r="V1570" s="0" t="inlineStr">
        <is>
          <t>복도식</t>
        </is>
      </c>
      <c r="W1570" s="0" t="n">
        <v>134</v>
      </c>
      <c r="X1570" s="0" t="n">
        <v>9</v>
      </c>
      <c r="Y1570" s="0" t="n">
        <v>8</v>
      </c>
      <c r="Z1570" s="0" t="inlineStr">
        <is>
          <t>https://new.land.naver.com/complexes/3072?tab=detail&amp;rf=Y</t>
        </is>
      </c>
      <c r="AA1570" s="0" t="inlineStr">
        <is>
          <t>서울시 강동구 성내동 407-2</t>
        </is>
      </c>
      <c r="AB1570" s="0" t="inlineStr">
        <is>
          <t>서울시</t>
        </is>
      </c>
      <c r="AC1570" s="0" t="inlineStr">
        <is>
          <t>강동구</t>
        </is>
      </c>
      <c r="AD1570" s="0" t="inlineStr">
        <is>
          <t>성내동</t>
        </is>
      </c>
      <c r="AG1570" s="0" t="inlineStr">
        <is>
          <t>서울시 강동구 양재대로95길 74</t>
        </is>
      </c>
      <c r="AH1570" s="0" t="n">
        <v>0</v>
      </c>
      <c r="AI1570" s="0" t="n">
        <v>276</v>
      </c>
      <c r="AJ1570" s="0" t="n">
        <v>35</v>
      </c>
      <c r="AK1570" s="0" t="n">
        <v>0</v>
      </c>
      <c r="AL1570" s="0" t="n">
        <v>0</v>
      </c>
    </row>
    <row r="1571">
      <c r="A1571" s="0" t="inlineStr">
        <is>
          <t>[성내동]</t>
        </is>
      </c>
      <c r="B1571" s="0" t="n">
        <v>136032</v>
      </c>
      <c r="C1571" s="0" t="n">
        <v>1</v>
      </c>
      <c r="D1571" s="0" t="inlineStr">
        <is>
          <t>천호역아름채2(도시형)</t>
        </is>
      </c>
      <c r="E1571" s="0" t="inlineStr">
        <is>
          <t>2017.10.</t>
        </is>
      </c>
      <c r="F1571" s="0" t="n">
        <v>20</v>
      </c>
      <c r="G1571" s="0" t="n">
        <v>7.58</v>
      </c>
      <c r="H1571" s="0" t="n">
        <v>25.07</v>
      </c>
      <c r="I1571" s="0" t="n">
        <v>6.14</v>
      </c>
      <c r="J1571" s="0" t="n">
        <v>20.33</v>
      </c>
      <c r="K1571" s="0" t="n">
        <v>1</v>
      </c>
      <c r="T1571" s="0" t="n">
        <v>1</v>
      </c>
      <c r="U1571" s="0" t="n">
        <v>1</v>
      </c>
      <c r="V1571" s="0" t="inlineStr">
        <is>
          <t>복도식</t>
        </is>
      </c>
      <c r="W1571" s="0" t="inlineStr">
        <is>
          <t>25A</t>
        </is>
      </c>
      <c r="X1571" s="0" t="n">
        <v>8</v>
      </c>
      <c r="Y1571" s="0" t="n">
        <v>7</v>
      </c>
      <c r="Z1571" s="0" t="inlineStr">
        <is>
          <t>https://new.land.naver.com/complexes/136032?tab=detail&amp;rf=Y</t>
        </is>
      </c>
      <c r="AA1571" s="0" t="inlineStr">
        <is>
          <t>서울시 강동구 성내동 12-15</t>
        </is>
      </c>
      <c r="AB1571" s="0" t="inlineStr">
        <is>
          <t>서울시</t>
        </is>
      </c>
      <c r="AC1571" s="0" t="inlineStr">
        <is>
          <t>강동구</t>
        </is>
      </c>
      <c r="AD1571" s="0" t="inlineStr">
        <is>
          <t>성내동</t>
        </is>
      </c>
      <c r="AG1571" s="0" t="inlineStr">
        <is>
          <t>서울시 강동구 천호옛14길 31-22</t>
        </is>
      </c>
      <c r="AH1571" s="0" t="n">
        <v>0</v>
      </c>
      <c r="AI1571" s="0" t="n">
        <v>249</v>
      </c>
      <c r="AJ1571" s="0" t="n">
        <v>49</v>
      </c>
      <c r="AK1571" s="0" t="n">
        <v>8</v>
      </c>
      <c r="AL1571" s="0" t="n">
        <v>0.4</v>
      </c>
    </row>
    <row r="1572">
      <c r="A1572" s="0" t="inlineStr">
        <is>
          <t>[성내동]</t>
        </is>
      </c>
      <c r="B1572" s="0" t="n">
        <v>136032</v>
      </c>
      <c r="C1572" s="0" t="n">
        <v>2</v>
      </c>
      <c r="D1572" s="0" t="inlineStr">
        <is>
          <t>천호역아름채2(도시형)</t>
        </is>
      </c>
      <c r="E1572" s="0" t="inlineStr">
        <is>
          <t>2017.10.</t>
        </is>
      </c>
      <c r="F1572" s="0" t="n">
        <v>20</v>
      </c>
      <c r="G1572" s="0" t="n">
        <v>8.289999999999999</v>
      </c>
      <c r="H1572" s="0" t="n">
        <v>27.41</v>
      </c>
      <c r="I1572" s="0" t="n">
        <v>6.72</v>
      </c>
      <c r="J1572" s="0" t="n">
        <v>22.24</v>
      </c>
      <c r="K1572" s="0" t="n">
        <v>5</v>
      </c>
      <c r="T1572" s="0" t="n">
        <v>1</v>
      </c>
      <c r="U1572" s="0" t="n">
        <v>1</v>
      </c>
      <c r="V1572" s="0" t="inlineStr">
        <is>
          <t>복도식</t>
        </is>
      </c>
      <c r="W1572" s="0" t="inlineStr">
        <is>
          <t>27B</t>
        </is>
      </c>
      <c r="X1572" s="0" t="n">
        <v>8</v>
      </c>
      <c r="Y1572" s="0" t="n">
        <v>7</v>
      </c>
      <c r="Z1572" s="0" t="inlineStr">
        <is>
          <t>https://new.land.naver.com/complexes/136032?tab=detail&amp;rf=Y</t>
        </is>
      </c>
      <c r="AA1572" s="0" t="inlineStr">
        <is>
          <t>서울시 강동구 성내동 12-15</t>
        </is>
      </c>
      <c r="AB1572" s="0" t="inlineStr">
        <is>
          <t>서울시</t>
        </is>
      </c>
      <c r="AC1572" s="0" t="inlineStr">
        <is>
          <t>강동구</t>
        </is>
      </c>
      <c r="AD1572" s="0" t="inlineStr">
        <is>
          <t>성내동</t>
        </is>
      </c>
      <c r="AG1572" s="0" t="inlineStr">
        <is>
          <t>서울시 강동구 천호옛14길 31-22</t>
        </is>
      </c>
      <c r="AH1572" s="0" t="n">
        <v>0</v>
      </c>
      <c r="AI1572" s="0" t="n">
        <v>249</v>
      </c>
      <c r="AJ1572" s="0" t="n">
        <v>49</v>
      </c>
      <c r="AK1572" s="0" t="n">
        <v>8</v>
      </c>
      <c r="AL1572" s="0" t="n">
        <v>0.4</v>
      </c>
    </row>
    <row r="1573">
      <c r="A1573" s="0" t="inlineStr">
        <is>
          <t>[성내동]</t>
        </is>
      </c>
      <c r="B1573" s="0" t="n">
        <v>136032</v>
      </c>
      <c r="C1573" s="0" t="n">
        <v>3</v>
      </c>
      <c r="D1573" s="0" t="inlineStr">
        <is>
          <t>천호역아름채2(도시형)</t>
        </is>
      </c>
      <c r="E1573" s="0" t="inlineStr">
        <is>
          <t>2017.10.</t>
        </is>
      </c>
      <c r="F1573" s="0" t="n">
        <v>20</v>
      </c>
      <c r="G1573" s="0" t="n">
        <v>8.300000000000001</v>
      </c>
      <c r="H1573" s="0" t="n">
        <v>27.46</v>
      </c>
      <c r="I1573" s="0" t="n">
        <v>6.73</v>
      </c>
      <c r="J1573" s="0" t="n">
        <v>22.27</v>
      </c>
      <c r="K1573" s="0" t="n">
        <v>1</v>
      </c>
      <c r="T1573" s="0" t="n">
        <v>1</v>
      </c>
      <c r="U1573" s="0" t="n">
        <v>1</v>
      </c>
      <c r="V1573" s="0" t="inlineStr">
        <is>
          <t>복도식</t>
        </is>
      </c>
      <c r="W1573" s="0" t="inlineStr">
        <is>
          <t>27C</t>
        </is>
      </c>
      <c r="X1573" s="0" t="n">
        <v>8</v>
      </c>
      <c r="Y1573" s="0" t="n">
        <v>7</v>
      </c>
      <c r="Z1573" s="0" t="inlineStr">
        <is>
          <t>https://new.land.naver.com/complexes/136032?tab=detail&amp;rf=Y</t>
        </is>
      </c>
      <c r="AA1573" s="0" t="inlineStr">
        <is>
          <t>서울시 강동구 성내동 12-15</t>
        </is>
      </c>
      <c r="AB1573" s="0" t="inlineStr">
        <is>
          <t>서울시</t>
        </is>
      </c>
      <c r="AC1573" s="0" t="inlineStr">
        <is>
          <t>강동구</t>
        </is>
      </c>
      <c r="AD1573" s="0" t="inlineStr">
        <is>
          <t>성내동</t>
        </is>
      </c>
      <c r="AG1573" s="0" t="inlineStr">
        <is>
          <t>서울시 강동구 천호옛14길 31-22</t>
        </is>
      </c>
      <c r="AH1573" s="0" t="n">
        <v>0</v>
      </c>
      <c r="AI1573" s="0" t="n">
        <v>249</v>
      </c>
      <c r="AJ1573" s="0" t="n">
        <v>49</v>
      </c>
      <c r="AK1573" s="0" t="n">
        <v>8</v>
      </c>
      <c r="AL1573" s="0" t="n">
        <v>0.4</v>
      </c>
    </row>
    <row r="1574">
      <c r="A1574" s="0" t="inlineStr">
        <is>
          <t>[성내동]</t>
        </is>
      </c>
      <c r="B1574" s="0" t="n">
        <v>136032</v>
      </c>
      <c r="C1574" s="0" t="n">
        <v>4</v>
      </c>
      <c r="D1574" s="0" t="inlineStr">
        <is>
          <t>천호역아름채2(도시형)</t>
        </is>
      </c>
      <c r="E1574" s="0" t="inlineStr">
        <is>
          <t>2017.10.</t>
        </is>
      </c>
      <c r="F1574" s="0" t="n">
        <v>20</v>
      </c>
      <c r="G1574" s="0" t="n">
        <v>9.640000000000001</v>
      </c>
      <c r="H1574" s="0" t="n">
        <v>31.87</v>
      </c>
      <c r="I1574" s="0" t="n">
        <v>7.81</v>
      </c>
      <c r="J1574" s="0" t="n">
        <v>25.85</v>
      </c>
      <c r="K1574" s="0" t="n">
        <v>4</v>
      </c>
      <c r="T1574" s="0" t="n">
        <v>1</v>
      </c>
      <c r="U1574" s="0" t="n">
        <v>1</v>
      </c>
      <c r="V1574" s="0" t="inlineStr">
        <is>
          <t>복도식</t>
        </is>
      </c>
      <c r="W1574" s="0" t="n">
        <v>31</v>
      </c>
      <c r="X1574" s="0" t="n">
        <v>8</v>
      </c>
      <c r="Y1574" s="0" t="n">
        <v>7</v>
      </c>
      <c r="Z1574" s="0" t="inlineStr">
        <is>
          <t>https://new.land.naver.com/complexes/136032?tab=detail&amp;rf=Y</t>
        </is>
      </c>
      <c r="AA1574" s="0" t="inlineStr">
        <is>
          <t>서울시 강동구 성내동 12-15</t>
        </is>
      </c>
      <c r="AB1574" s="0" t="inlineStr">
        <is>
          <t>서울시</t>
        </is>
      </c>
      <c r="AC1574" s="0" t="inlineStr">
        <is>
          <t>강동구</t>
        </is>
      </c>
      <c r="AD1574" s="0" t="inlineStr">
        <is>
          <t>성내동</t>
        </is>
      </c>
      <c r="AG1574" s="0" t="inlineStr">
        <is>
          <t>서울시 강동구 천호옛14길 31-22</t>
        </is>
      </c>
      <c r="AH1574" s="0" t="n">
        <v>0</v>
      </c>
      <c r="AI1574" s="0" t="n">
        <v>249</v>
      </c>
      <c r="AJ1574" s="0" t="n">
        <v>49</v>
      </c>
      <c r="AK1574" s="0" t="n">
        <v>8</v>
      </c>
      <c r="AL1574" s="0" t="n">
        <v>0.4</v>
      </c>
    </row>
    <row r="1575">
      <c r="A1575" s="0" t="inlineStr">
        <is>
          <t>[성내동]</t>
        </is>
      </c>
      <c r="B1575" s="0" t="n">
        <v>136032</v>
      </c>
      <c r="C1575" s="0" t="n">
        <v>5</v>
      </c>
      <c r="D1575" s="0" t="inlineStr">
        <is>
          <t>천호역아름채2(도시형)</t>
        </is>
      </c>
      <c r="E1575" s="0" t="inlineStr">
        <is>
          <t>2017.10.</t>
        </is>
      </c>
      <c r="F1575" s="0" t="n">
        <v>20</v>
      </c>
      <c r="G1575" s="0" t="n">
        <v>9.43</v>
      </c>
      <c r="H1575" s="0" t="n">
        <v>31.18</v>
      </c>
      <c r="I1575" s="0" t="n">
        <v>7.64</v>
      </c>
      <c r="J1575" s="0" t="n">
        <v>25.28</v>
      </c>
      <c r="K1575" s="0" t="n">
        <v>1</v>
      </c>
      <c r="T1575" s="0" t="n">
        <v>1</v>
      </c>
      <c r="U1575" s="0" t="n">
        <v>1</v>
      </c>
      <c r="V1575" s="0" t="inlineStr">
        <is>
          <t>복도식</t>
        </is>
      </c>
      <c r="W1575" s="0" t="n">
        <v>31</v>
      </c>
      <c r="X1575" s="0" t="n">
        <v>8</v>
      </c>
      <c r="Y1575" s="0" t="n">
        <v>7</v>
      </c>
      <c r="Z1575" s="0" t="inlineStr">
        <is>
          <t>https://new.land.naver.com/complexes/136032?tab=detail&amp;rf=Y</t>
        </is>
      </c>
      <c r="AA1575" s="0" t="inlineStr">
        <is>
          <t>서울시 강동구 성내동 12-15</t>
        </is>
      </c>
      <c r="AB1575" s="0" t="inlineStr">
        <is>
          <t>서울시</t>
        </is>
      </c>
      <c r="AC1575" s="0" t="inlineStr">
        <is>
          <t>강동구</t>
        </is>
      </c>
      <c r="AD1575" s="0" t="inlineStr">
        <is>
          <t>성내동</t>
        </is>
      </c>
      <c r="AG1575" s="0" t="inlineStr">
        <is>
          <t>서울시 강동구 천호옛14길 31-22</t>
        </is>
      </c>
      <c r="AH1575" s="0" t="n">
        <v>0</v>
      </c>
      <c r="AI1575" s="0" t="n">
        <v>249</v>
      </c>
      <c r="AJ1575" s="0" t="n">
        <v>49</v>
      </c>
      <c r="AK1575" s="0" t="n">
        <v>8</v>
      </c>
      <c r="AL1575" s="0" t="n">
        <v>0.4</v>
      </c>
    </row>
    <row r="1576">
      <c r="A1576" s="0" t="inlineStr">
        <is>
          <t>[성내동]</t>
        </is>
      </c>
      <c r="B1576" s="0" t="n">
        <v>136032</v>
      </c>
      <c r="C1576" s="0" t="n">
        <v>6</v>
      </c>
      <c r="D1576" s="0" t="inlineStr">
        <is>
          <t>천호역아름채2(도시형)</t>
        </is>
      </c>
      <c r="E1576" s="0" t="inlineStr">
        <is>
          <t>2017.10.</t>
        </is>
      </c>
      <c r="F1576" s="0" t="n">
        <v>20</v>
      </c>
      <c r="G1576" s="0" t="n">
        <v>10.63</v>
      </c>
      <c r="H1576" s="0" t="n">
        <v>35.16</v>
      </c>
      <c r="I1576" s="0" t="n">
        <v>8.619999999999999</v>
      </c>
      <c r="J1576" s="0" t="n">
        <v>28.52</v>
      </c>
      <c r="K1576" s="0" t="n">
        <v>4</v>
      </c>
      <c r="T1576" s="0" t="n">
        <v>1</v>
      </c>
      <c r="U1576" s="0" t="n">
        <v>1</v>
      </c>
      <c r="V1576" s="0" t="inlineStr">
        <is>
          <t>복도식</t>
        </is>
      </c>
      <c r="W1576" s="0" t="inlineStr">
        <is>
          <t>35A</t>
        </is>
      </c>
      <c r="X1576" s="0" t="n">
        <v>8</v>
      </c>
      <c r="Y1576" s="0" t="n">
        <v>7</v>
      </c>
      <c r="Z1576" s="0" t="inlineStr">
        <is>
          <t>https://new.land.naver.com/complexes/136032?tab=detail&amp;rf=Y</t>
        </is>
      </c>
      <c r="AA1576" s="0" t="inlineStr">
        <is>
          <t>서울시 강동구 성내동 12-15</t>
        </is>
      </c>
      <c r="AB1576" s="0" t="inlineStr">
        <is>
          <t>서울시</t>
        </is>
      </c>
      <c r="AC1576" s="0" t="inlineStr">
        <is>
          <t>강동구</t>
        </is>
      </c>
      <c r="AD1576" s="0" t="inlineStr">
        <is>
          <t>성내동</t>
        </is>
      </c>
      <c r="AG1576" s="0" t="inlineStr">
        <is>
          <t>서울시 강동구 천호옛14길 31-22</t>
        </is>
      </c>
      <c r="AH1576" s="0" t="n">
        <v>0</v>
      </c>
      <c r="AI1576" s="0" t="n">
        <v>249</v>
      </c>
      <c r="AJ1576" s="0" t="n">
        <v>49</v>
      </c>
      <c r="AK1576" s="0" t="n">
        <v>8</v>
      </c>
      <c r="AL1576" s="0" t="n">
        <v>0.4</v>
      </c>
    </row>
    <row r="1577">
      <c r="A1577" s="0" t="inlineStr">
        <is>
          <t>[성내동]</t>
        </is>
      </c>
      <c r="B1577" s="0" t="n">
        <v>136032</v>
      </c>
      <c r="C1577" s="0" t="n">
        <v>7</v>
      </c>
      <c r="D1577" s="0" t="inlineStr">
        <is>
          <t>천호역아름채2(도시형)</t>
        </is>
      </c>
      <c r="E1577" s="0" t="inlineStr">
        <is>
          <t>2017.10.</t>
        </is>
      </c>
      <c r="F1577" s="0" t="n">
        <v>20</v>
      </c>
      <c r="G1577" s="0" t="n">
        <v>11.11</v>
      </c>
      <c r="H1577" s="0" t="n">
        <v>36.76</v>
      </c>
      <c r="I1577" s="0" t="n">
        <v>9.02</v>
      </c>
      <c r="J1577" s="0" t="n">
        <v>29.82</v>
      </c>
      <c r="K1577" s="0" t="n">
        <v>4</v>
      </c>
      <c r="T1577" s="0" t="n">
        <v>1</v>
      </c>
      <c r="U1577" s="0" t="n">
        <v>1</v>
      </c>
      <c r="V1577" s="0" t="inlineStr">
        <is>
          <t>복도식</t>
        </is>
      </c>
      <c r="W1577" s="0" t="inlineStr">
        <is>
          <t>36B</t>
        </is>
      </c>
      <c r="X1577" s="0" t="n">
        <v>8</v>
      </c>
      <c r="Y1577" s="0" t="n">
        <v>7</v>
      </c>
      <c r="Z1577" s="0" t="inlineStr">
        <is>
          <t>https://new.land.naver.com/complexes/136032?tab=detail&amp;rf=Y</t>
        </is>
      </c>
      <c r="AA1577" s="0" t="inlineStr">
        <is>
          <t>서울시 강동구 성내동 12-15</t>
        </is>
      </c>
      <c r="AB1577" s="0" t="inlineStr">
        <is>
          <t>서울시</t>
        </is>
      </c>
      <c r="AC1577" s="0" t="inlineStr">
        <is>
          <t>강동구</t>
        </is>
      </c>
      <c r="AD1577" s="0" t="inlineStr">
        <is>
          <t>성내동</t>
        </is>
      </c>
      <c r="AG1577" s="0" t="inlineStr">
        <is>
          <t>서울시 강동구 천호옛14길 31-22</t>
        </is>
      </c>
      <c r="AH1577" s="0" t="n">
        <v>0</v>
      </c>
      <c r="AI1577" s="0" t="n">
        <v>249</v>
      </c>
      <c r="AJ1577" s="0" t="n">
        <v>49</v>
      </c>
      <c r="AK1577" s="0" t="n">
        <v>8</v>
      </c>
      <c r="AL1577" s="0" t="n">
        <v>0.4</v>
      </c>
    </row>
    <row r="1578">
      <c r="A1578" s="0" t="inlineStr">
        <is>
          <t>[성내동]</t>
        </is>
      </c>
      <c r="B1578" s="0" t="n">
        <v>27241</v>
      </c>
      <c r="C1578" s="0" t="n">
        <v>1</v>
      </c>
      <c r="D1578" s="0" t="inlineStr">
        <is>
          <t>한솔애리즈6차</t>
        </is>
      </c>
      <c r="E1578" s="0" t="inlineStr">
        <is>
          <t>2005.10.</t>
        </is>
      </c>
      <c r="F1578" s="0" t="n">
        <v>18</v>
      </c>
      <c r="G1578" s="0" t="n">
        <v>26.64</v>
      </c>
      <c r="H1578" s="0" t="n">
        <v>88.06999999999999</v>
      </c>
      <c r="I1578" s="0" t="n">
        <v>21.85</v>
      </c>
      <c r="J1578" s="0" t="n">
        <v>72.23999999999999</v>
      </c>
      <c r="K1578" s="0" t="n">
        <v>2</v>
      </c>
      <c r="T1578" s="0" t="n">
        <v>3</v>
      </c>
      <c r="U1578" s="0" t="n">
        <v>2</v>
      </c>
      <c r="V1578" s="0" t="inlineStr">
        <is>
          <t>계단식</t>
        </is>
      </c>
      <c r="W1578" s="0" t="n">
        <v>88</v>
      </c>
      <c r="X1578" s="0" t="n">
        <v>12</v>
      </c>
      <c r="Y1578" s="0" t="n">
        <v>12</v>
      </c>
      <c r="Z1578" s="0" t="inlineStr">
        <is>
          <t>https://new.land.naver.com/complexes/27241?tab=detail&amp;rf=Y</t>
        </is>
      </c>
      <c r="AA1578" s="0" t="inlineStr">
        <is>
          <t>서울시 강동구 성내동 199-19</t>
        </is>
      </c>
      <c r="AB1578" s="0" t="inlineStr">
        <is>
          <t>서울시</t>
        </is>
      </c>
      <c r="AC1578" s="0" t="inlineStr">
        <is>
          <t>강동구</t>
        </is>
      </c>
      <c r="AD1578" s="0" t="inlineStr">
        <is>
          <t>성내동</t>
        </is>
      </c>
      <c r="AG1578" s="0" t="inlineStr">
        <is>
          <t>서울시 강동구 천호대로174길 10</t>
        </is>
      </c>
      <c r="AH1578" s="0" t="n">
        <v>0</v>
      </c>
      <c r="AI1578" s="0" t="n">
        <v>307</v>
      </c>
      <c r="AJ1578" s="0" t="n">
        <v>49</v>
      </c>
      <c r="AK1578" s="0" t="n">
        <v>12</v>
      </c>
      <c r="AL1578" s="0" t="n">
        <v>0.67</v>
      </c>
    </row>
    <row r="1579">
      <c r="A1579" s="0" t="inlineStr">
        <is>
          <t>[성내동]</t>
        </is>
      </c>
      <c r="B1579" s="0" t="n">
        <v>27241</v>
      </c>
      <c r="C1579" s="0" t="n">
        <v>2</v>
      </c>
      <c r="D1579" s="0" t="inlineStr">
        <is>
          <t>한솔애리즈6차</t>
        </is>
      </c>
      <c r="E1579" s="0" t="inlineStr">
        <is>
          <t>2005.10.</t>
        </is>
      </c>
      <c r="F1579" s="0" t="n">
        <v>18</v>
      </c>
      <c r="G1579" s="0" t="n">
        <v>31.2</v>
      </c>
      <c r="H1579" s="0" t="n">
        <v>103.16</v>
      </c>
      <c r="I1579" s="0" t="n">
        <v>25.6</v>
      </c>
      <c r="J1579" s="0" t="n">
        <v>84.63</v>
      </c>
      <c r="K1579" s="0" t="n">
        <v>16</v>
      </c>
      <c r="T1579" s="0" t="n">
        <v>3</v>
      </c>
      <c r="U1579" s="0" t="n">
        <v>2</v>
      </c>
      <c r="V1579" s="0" t="inlineStr">
        <is>
          <t>계단식</t>
        </is>
      </c>
      <c r="W1579" s="0" t="n">
        <v>103</v>
      </c>
      <c r="X1579" s="0" t="n">
        <v>12</v>
      </c>
      <c r="Y1579" s="0" t="n">
        <v>12</v>
      </c>
      <c r="Z1579" s="0" t="inlineStr">
        <is>
          <t>https://new.land.naver.com/complexes/27241?tab=detail&amp;rf=Y</t>
        </is>
      </c>
      <c r="AA1579" s="0" t="inlineStr">
        <is>
          <t>서울시 강동구 성내동 199-19</t>
        </is>
      </c>
      <c r="AB1579" s="0" t="inlineStr">
        <is>
          <t>서울시</t>
        </is>
      </c>
      <c r="AC1579" s="0" t="inlineStr">
        <is>
          <t>강동구</t>
        </is>
      </c>
      <c r="AD1579" s="0" t="inlineStr">
        <is>
          <t>성내동</t>
        </is>
      </c>
      <c r="AG1579" s="0" t="inlineStr">
        <is>
          <t>서울시 강동구 천호대로174길 10</t>
        </is>
      </c>
      <c r="AH1579" s="0" t="n">
        <v>0</v>
      </c>
      <c r="AI1579" s="0" t="n">
        <v>307</v>
      </c>
      <c r="AJ1579" s="0" t="n">
        <v>49</v>
      </c>
      <c r="AK1579" s="0" t="n">
        <v>12</v>
      </c>
      <c r="AL1579" s="0" t="n">
        <v>0.67</v>
      </c>
    </row>
    <row r="1580">
      <c r="A1580" s="0" t="inlineStr">
        <is>
          <t>[성내동]</t>
        </is>
      </c>
      <c r="B1580" s="0" t="n">
        <v>3111</v>
      </c>
      <c r="C1580" s="0" t="n">
        <v>1</v>
      </c>
      <c r="D1580" s="0" t="inlineStr">
        <is>
          <t>신호파크뷰</t>
        </is>
      </c>
      <c r="E1580" s="0" t="inlineStr">
        <is>
          <t>1996.09.</t>
        </is>
      </c>
      <c r="F1580" s="0" t="n">
        <v>18</v>
      </c>
      <c r="G1580" s="0" t="n">
        <v>65.75</v>
      </c>
      <c r="H1580" s="0" t="n">
        <v>217.37</v>
      </c>
      <c r="I1580" s="0" t="n">
        <v>57.57</v>
      </c>
      <c r="J1580" s="0" t="n">
        <v>190.32</v>
      </c>
      <c r="K1580" s="0" t="n">
        <v>18</v>
      </c>
      <c r="T1580" s="0" t="n">
        <v>4</v>
      </c>
      <c r="U1580" s="0" t="n">
        <v>2</v>
      </c>
      <c r="V1580" s="0" t="inlineStr">
        <is>
          <t>계단식</t>
        </is>
      </c>
      <c r="W1580" s="0" t="n">
        <v>217</v>
      </c>
      <c r="X1580" s="0" t="n">
        <v>13</v>
      </c>
      <c r="Y1580" s="0" t="n">
        <v>13</v>
      </c>
      <c r="Z1580" s="0" t="inlineStr">
        <is>
          <t>https://new.land.naver.com/complexes/3111?tab=detail&amp;rf=Y</t>
        </is>
      </c>
      <c r="AA1580" s="0" t="inlineStr">
        <is>
          <t>서울시 강동구 성내동 452-3</t>
        </is>
      </c>
      <c r="AB1580" s="0" t="inlineStr">
        <is>
          <t>서울시</t>
        </is>
      </c>
      <c r="AC1580" s="0" t="inlineStr">
        <is>
          <t>강동구</t>
        </is>
      </c>
      <c r="AD1580" s="0" t="inlineStr">
        <is>
          <t>성내동</t>
        </is>
      </c>
      <c r="AG1580" s="0" t="inlineStr">
        <is>
          <t>서울시 강동구 강동대로 143-40</t>
        </is>
      </c>
      <c r="AH1580" s="0" t="n">
        <v>0</v>
      </c>
      <c r="AI1580" s="0" t="n">
        <v>399</v>
      </c>
      <c r="AJ1580" s="0" t="n">
        <v>46</v>
      </c>
      <c r="AK1580" s="0" t="n">
        <v>47</v>
      </c>
      <c r="AL1580" s="0" t="n">
        <v>2.61</v>
      </c>
    </row>
    <row r="1581">
      <c r="A1581" s="0" t="inlineStr">
        <is>
          <t>[성내동]</t>
        </is>
      </c>
      <c r="B1581" s="0" t="n">
        <v>3112</v>
      </c>
      <c r="C1581" s="0" t="n">
        <v>1</v>
      </c>
      <c r="D1581" s="0" t="inlineStr">
        <is>
          <t>파크뷰진도</t>
        </is>
      </c>
      <c r="E1581" s="0" t="inlineStr">
        <is>
          <t>1996.12.</t>
        </is>
      </c>
      <c r="F1581" s="0" t="n">
        <v>18</v>
      </c>
      <c r="G1581" s="0" t="n">
        <v>75.59999999999999</v>
      </c>
      <c r="H1581" s="0" t="n">
        <v>249.94</v>
      </c>
      <c r="I1581" s="0" t="n">
        <v>63.01</v>
      </c>
      <c r="J1581" s="0" t="n">
        <v>208.32</v>
      </c>
      <c r="K1581" s="0" t="n">
        <v>1</v>
      </c>
      <c r="T1581" s="0" t="n">
        <v>5</v>
      </c>
      <c r="U1581" s="0" t="n">
        <v>2</v>
      </c>
      <c r="V1581" s="0" t="inlineStr">
        <is>
          <t>계단식</t>
        </is>
      </c>
      <c r="W1581" s="0" t="inlineStr">
        <is>
          <t>249A</t>
        </is>
      </c>
      <c r="X1581" s="0" t="n">
        <v>19</v>
      </c>
      <c r="Y1581" s="0" t="n">
        <v>19</v>
      </c>
      <c r="Z1581" s="0" t="inlineStr">
        <is>
          <t>https://new.land.naver.com/complexes/3112?tab=detail&amp;rf=Y</t>
        </is>
      </c>
      <c r="AA1581" s="0" t="inlineStr">
        <is>
          <t>서울시 강동구 성내동 452-2</t>
        </is>
      </c>
      <c r="AB1581" s="0" t="inlineStr">
        <is>
          <t>서울시</t>
        </is>
      </c>
      <c r="AC1581" s="0" t="inlineStr">
        <is>
          <t>강동구</t>
        </is>
      </c>
      <c r="AD1581" s="0" t="inlineStr">
        <is>
          <t>성내동</t>
        </is>
      </c>
      <c r="AG1581" s="0" t="inlineStr">
        <is>
          <t>서울시 강동구 강동대로 143-48</t>
        </is>
      </c>
      <c r="AH1581" s="0" t="n">
        <v>0</v>
      </c>
      <c r="AI1581" s="0" t="n">
        <v>394</v>
      </c>
      <c r="AJ1581" s="0" t="n">
        <v>32</v>
      </c>
      <c r="AK1581" s="0" t="n">
        <v>35</v>
      </c>
      <c r="AL1581" s="0" t="n">
        <v>1.94</v>
      </c>
    </row>
    <row r="1582">
      <c r="A1582" s="0" t="inlineStr">
        <is>
          <t>[성내동]</t>
        </is>
      </c>
      <c r="B1582" s="0" t="n">
        <v>3112</v>
      </c>
      <c r="C1582" s="0" t="n">
        <v>2</v>
      </c>
      <c r="D1582" s="0" t="inlineStr">
        <is>
          <t>파크뷰진도</t>
        </is>
      </c>
      <c r="E1582" s="0" t="inlineStr">
        <is>
          <t>1996.12.</t>
        </is>
      </c>
      <c r="F1582" s="0" t="n">
        <v>18</v>
      </c>
      <c r="G1582" s="0" t="n">
        <v>75.81999999999999</v>
      </c>
      <c r="H1582" s="0" t="n">
        <v>250.66</v>
      </c>
      <c r="I1582" s="0" t="n">
        <v>63.19</v>
      </c>
      <c r="J1582" s="0" t="n">
        <v>208.92</v>
      </c>
      <c r="K1582" s="0" t="n">
        <v>13</v>
      </c>
      <c r="T1582" s="0" t="n">
        <v>5</v>
      </c>
      <c r="U1582" s="0" t="n">
        <v>2</v>
      </c>
      <c r="V1582" s="0" t="inlineStr">
        <is>
          <t>계단식</t>
        </is>
      </c>
      <c r="W1582" s="0" t="inlineStr">
        <is>
          <t>250B</t>
        </is>
      </c>
      <c r="X1582" s="0" t="n">
        <v>19</v>
      </c>
      <c r="Y1582" s="0" t="n">
        <v>19</v>
      </c>
      <c r="Z1582" s="0" t="inlineStr">
        <is>
          <t>https://new.land.naver.com/complexes/3112?tab=detail&amp;rf=Y</t>
        </is>
      </c>
      <c r="AA1582" s="0" t="inlineStr">
        <is>
          <t>서울시 강동구 성내동 452-2</t>
        </is>
      </c>
      <c r="AB1582" s="0" t="inlineStr">
        <is>
          <t>서울시</t>
        </is>
      </c>
      <c r="AC1582" s="0" t="inlineStr">
        <is>
          <t>강동구</t>
        </is>
      </c>
      <c r="AD1582" s="0" t="inlineStr">
        <is>
          <t>성내동</t>
        </is>
      </c>
      <c r="AG1582" s="0" t="inlineStr">
        <is>
          <t>서울시 강동구 강동대로 143-48</t>
        </is>
      </c>
      <c r="AH1582" s="0" t="n">
        <v>0</v>
      </c>
      <c r="AI1582" s="0" t="n">
        <v>394</v>
      </c>
      <c r="AJ1582" s="0" t="n">
        <v>32</v>
      </c>
      <c r="AK1582" s="0" t="n">
        <v>35</v>
      </c>
      <c r="AL1582" s="0" t="n">
        <v>1.94</v>
      </c>
    </row>
    <row r="1583">
      <c r="A1583" s="0" t="inlineStr">
        <is>
          <t>[성내동]</t>
        </is>
      </c>
      <c r="B1583" s="0" t="n">
        <v>3112</v>
      </c>
      <c r="C1583" s="0" t="n">
        <v>3</v>
      </c>
      <c r="D1583" s="0" t="inlineStr">
        <is>
          <t>파크뷰진도</t>
        </is>
      </c>
      <c r="E1583" s="0" t="inlineStr">
        <is>
          <t>1996.12.</t>
        </is>
      </c>
      <c r="F1583" s="0" t="n">
        <v>18</v>
      </c>
      <c r="G1583" s="0" t="n">
        <v>76.02</v>
      </c>
      <c r="H1583" s="0" t="n">
        <v>251.31</v>
      </c>
      <c r="I1583" s="0" t="n">
        <v>63.36</v>
      </c>
      <c r="J1583" s="0" t="n">
        <v>209.46</v>
      </c>
      <c r="K1583" s="0" t="n">
        <v>3</v>
      </c>
      <c r="T1583" s="0" t="n">
        <v>5</v>
      </c>
      <c r="U1583" s="0" t="n">
        <v>2</v>
      </c>
      <c r="V1583" s="0" t="inlineStr">
        <is>
          <t>계단식</t>
        </is>
      </c>
      <c r="W1583" s="0" t="inlineStr">
        <is>
          <t>251C</t>
        </is>
      </c>
      <c r="X1583" s="0" t="n">
        <v>19</v>
      </c>
      <c r="Y1583" s="0" t="n">
        <v>19</v>
      </c>
      <c r="Z1583" s="0" t="inlineStr">
        <is>
          <t>https://new.land.naver.com/complexes/3112?tab=detail&amp;rf=Y</t>
        </is>
      </c>
      <c r="AA1583" s="0" t="inlineStr">
        <is>
          <t>서울시 강동구 성내동 452-2</t>
        </is>
      </c>
      <c r="AB1583" s="0" t="inlineStr">
        <is>
          <t>서울시</t>
        </is>
      </c>
      <c r="AC1583" s="0" t="inlineStr">
        <is>
          <t>강동구</t>
        </is>
      </c>
      <c r="AD1583" s="0" t="inlineStr">
        <is>
          <t>성내동</t>
        </is>
      </c>
      <c r="AG1583" s="0" t="inlineStr">
        <is>
          <t>서울시 강동구 강동대로 143-48</t>
        </is>
      </c>
      <c r="AH1583" s="0" t="n">
        <v>0</v>
      </c>
      <c r="AI1583" s="0" t="n">
        <v>394</v>
      </c>
      <c r="AJ1583" s="0" t="n">
        <v>32</v>
      </c>
      <c r="AK1583" s="0" t="n">
        <v>35</v>
      </c>
      <c r="AL1583" s="0" t="n">
        <v>1.94</v>
      </c>
    </row>
    <row r="1584">
      <c r="A1584" s="0" t="inlineStr">
        <is>
          <t>[성내동]</t>
        </is>
      </c>
      <c r="B1584" s="0" t="n">
        <v>3112</v>
      </c>
      <c r="C1584" s="0" t="n">
        <v>4</v>
      </c>
      <c r="D1584" s="0" t="inlineStr">
        <is>
          <t>파크뷰진도</t>
        </is>
      </c>
      <c r="E1584" s="0" t="inlineStr">
        <is>
          <t>1996.12.</t>
        </is>
      </c>
      <c r="F1584" s="0" t="n">
        <v>18</v>
      </c>
      <c r="G1584" s="0" t="n">
        <v>107.12</v>
      </c>
      <c r="H1584" s="0" t="n">
        <v>354.14</v>
      </c>
      <c r="I1584" s="0" t="n">
        <v>89.28</v>
      </c>
      <c r="J1584" s="0" t="n">
        <v>295.17</v>
      </c>
      <c r="K1584" s="0" t="n">
        <v>1</v>
      </c>
      <c r="T1584" s="0" t="n">
        <v>5</v>
      </c>
      <c r="U1584" s="0" t="n">
        <v>2</v>
      </c>
      <c r="V1584" s="0" t="inlineStr">
        <is>
          <t>계단식</t>
        </is>
      </c>
      <c r="W1584" s="0" t="n">
        <v>354</v>
      </c>
      <c r="X1584" s="0" t="n">
        <v>19</v>
      </c>
      <c r="Y1584" s="0" t="n">
        <v>19</v>
      </c>
      <c r="Z1584" s="0" t="inlineStr">
        <is>
          <t>https://new.land.naver.com/complexes/3112?tab=detail&amp;rf=Y</t>
        </is>
      </c>
      <c r="AA1584" s="0" t="inlineStr">
        <is>
          <t>서울시 강동구 성내동 452-2</t>
        </is>
      </c>
      <c r="AB1584" s="0" t="inlineStr">
        <is>
          <t>서울시</t>
        </is>
      </c>
      <c r="AC1584" s="0" t="inlineStr">
        <is>
          <t>강동구</t>
        </is>
      </c>
      <c r="AD1584" s="0" t="inlineStr">
        <is>
          <t>성내동</t>
        </is>
      </c>
      <c r="AG1584" s="0" t="inlineStr">
        <is>
          <t>서울시 강동구 강동대로 143-48</t>
        </is>
      </c>
      <c r="AH1584" s="0" t="n">
        <v>0</v>
      </c>
      <c r="AI1584" s="0" t="n">
        <v>394</v>
      </c>
      <c r="AJ1584" s="0" t="n">
        <v>32</v>
      </c>
      <c r="AK1584" s="0" t="n">
        <v>35</v>
      </c>
      <c r="AL1584" s="0" t="n">
        <v>1.94</v>
      </c>
    </row>
    <row r="1585">
      <c r="A1585" s="0" t="inlineStr">
        <is>
          <t>[성내동]</t>
        </is>
      </c>
      <c r="B1585" s="0" t="n">
        <v>112735</v>
      </c>
      <c r="C1585" s="0" t="n">
        <v>1</v>
      </c>
      <c r="D1585" s="0" t="inlineStr">
        <is>
          <t>제일축산</t>
        </is>
      </c>
      <c r="E1585" s="0" t="inlineStr">
        <is>
          <t>1976.04.</t>
        </is>
      </c>
      <c r="F1585" s="0" t="n">
        <v>27</v>
      </c>
      <c r="G1585" s="0" t="n">
        <v>11.49</v>
      </c>
      <c r="H1585" s="0" t="n">
        <v>38</v>
      </c>
      <c r="I1585" s="0" t="n">
        <v>11.25</v>
      </c>
      <c r="J1585" s="0" t="n">
        <v>37.2</v>
      </c>
      <c r="K1585" s="0" t="n">
        <v>24</v>
      </c>
      <c r="T1585" s="0" t="n">
        <v>1</v>
      </c>
      <c r="U1585" s="0" t="n">
        <v>1</v>
      </c>
      <c r="V1585" s="0" t="inlineStr">
        <is>
          <t>계단식</t>
        </is>
      </c>
      <c r="W1585" s="0" t="n">
        <v>38</v>
      </c>
      <c r="X1585" s="0" t="n">
        <v>3</v>
      </c>
      <c r="Y1585" s="0" t="n">
        <v>3</v>
      </c>
      <c r="Z1585" s="0" t="inlineStr">
        <is>
          <t>https://new.land.naver.com/complexes/112735?tab=detail&amp;rf=Y</t>
        </is>
      </c>
      <c r="AA1585" s="0" t="inlineStr">
        <is>
          <t>서울시 강동구 성내동 386-17</t>
        </is>
      </c>
      <c r="AB1585" s="0" t="inlineStr">
        <is>
          <t>서울시</t>
        </is>
      </c>
      <c r="AC1585" s="0" t="inlineStr">
        <is>
          <t>강동구</t>
        </is>
      </c>
      <c r="AD1585" s="0" t="inlineStr">
        <is>
          <t>성내동</t>
        </is>
      </c>
      <c r="AG1585" s="0" t="inlineStr">
        <is>
          <t>서울시 강동구 천호대로176길 58-7</t>
        </is>
      </c>
      <c r="AH1585" s="0" t="n">
        <v>0</v>
      </c>
      <c r="AI1585" s="0" t="n">
        <v>0</v>
      </c>
      <c r="AJ1585" s="0" t="n">
        <v>0</v>
      </c>
      <c r="AK1585" s="0" t="n">
        <v>0</v>
      </c>
      <c r="AL1585" s="0" t="n">
        <v>0</v>
      </c>
    </row>
    <row r="1586">
      <c r="A1586" s="0" t="inlineStr">
        <is>
          <t>[성내동]</t>
        </is>
      </c>
      <c r="B1586" s="0" t="n">
        <v>112735</v>
      </c>
      <c r="C1586" s="0" t="n">
        <v>2</v>
      </c>
      <c r="D1586" s="0" t="inlineStr">
        <is>
          <t>제일축산</t>
        </is>
      </c>
      <c r="E1586" s="0" t="inlineStr">
        <is>
          <t>1976.04.</t>
        </is>
      </c>
      <c r="F1586" s="0" t="n">
        <v>27</v>
      </c>
      <c r="G1586" s="0" t="n">
        <v>22.97</v>
      </c>
      <c r="H1586" s="0" t="n">
        <v>75.95</v>
      </c>
      <c r="I1586" s="0" t="n">
        <v>22.49</v>
      </c>
      <c r="J1586" s="0" t="n">
        <v>74.37</v>
      </c>
      <c r="K1586" s="0" t="n">
        <v>3</v>
      </c>
      <c r="T1586" s="0" t="n">
        <v>2</v>
      </c>
      <c r="U1586" s="0" t="n">
        <v>1</v>
      </c>
      <c r="V1586" s="0" t="inlineStr">
        <is>
          <t>계단식</t>
        </is>
      </c>
      <c r="W1586" s="0" t="n">
        <v>75</v>
      </c>
      <c r="X1586" s="0" t="n">
        <v>3</v>
      </c>
      <c r="Y1586" s="0" t="n">
        <v>3</v>
      </c>
      <c r="Z1586" s="0" t="inlineStr">
        <is>
          <t>https://new.land.naver.com/complexes/112735?tab=detail&amp;rf=Y</t>
        </is>
      </c>
      <c r="AA1586" s="0" t="inlineStr">
        <is>
          <t>서울시 강동구 성내동 386-17</t>
        </is>
      </c>
      <c r="AB1586" s="0" t="inlineStr">
        <is>
          <t>서울시</t>
        </is>
      </c>
      <c r="AC1586" s="0" t="inlineStr">
        <is>
          <t>강동구</t>
        </is>
      </c>
      <c r="AD1586" s="0" t="inlineStr">
        <is>
          <t>성내동</t>
        </is>
      </c>
      <c r="AG1586" s="0" t="inlineStr">
        <is>
          <t>서울시 강동구 천호대로176길 58-7</t>
        </is>
      </c>
      <c r="AH1586" s="0" t="n">
        <v>0</v>
      </c>
      <c r="AI1586" s="0" t="n">
        <v>0</v>
      </c>
      <c r="AJ1586" s="0" t="n">
        <v>0</v>
      </c>
      <c r="AK1586" s="0" t="n">
        <v>0</v>
      </c>
      <c r="AL1586" s="0" t="n">
        <v>0</v>
      </c>
    </row>
    <row r="1587">
      <c r="A1587" s="0" t="inlineStr">
        <is>
          <t>[성내동]</t>
        </is>
      </c>
      <c r="B1587" s="0" t="n">
        <v>3115</v>
      </c>
      <c r="C1587" s="0" t="n">
        <v>1</v>
      </c>
      <c r="D1587" s="0" t="inlineStr">
        <is>
          <t>현대(383-11)</t>
        </is>
      </c>
      <c r="E1587" s="0" t="inlineStr">
        <is>
          <t>1993.10.</t>
        </is>
      </c>
      <c r="F1587" s="0" t="n">
        <v>14</v>
      </c>
      <c r="G1587" s="0" t="n">
        <v>29</v>
      </c>
      <c r="H1587" s="0" t="n">
        <v>95.89</v>
      </c>
      <c r="I1587" s="0" t="n">
        <v>25.56</v>
      </c>
      <c r="J1587" s="0" t="n">
        <v>84.52</v>
      </c>
      <c r="K1587" s="0" t="n">
        <v>4</v>
      </c>
      <c r="T1587" s="0" t="n">
        <v>3</v>
      </c>
      <c r="U1587" s="0" t="n">
        <v>2</v>
      </c>
      <c r="V1587" s="0" t="inlineStr">
        <is>
          <t>계단식</t>
        </is>
      </c>
      <c r="W1587" s="0" t="n">
        <v>95</v>
      </c>
      <c r="X1587" s="0" t="n">
        <v>8</v>
      </c>
      <c r="Y1587" s="0" t="n">
        <v>8</v>
      </c>
      <c r="Z1587" s="0" t="inlineStr">
        <is>
          <t>https://new.land.naver.com/complexes/3115?tab=detail&amp;rf=Y</t>
        </is>
      </c>
      <c r="AA1587" s="0" t="inlineStr">
        <is>
          <t>서울시 강동구 성내동 383-11</t>
        </is>
      </c>
      <c r="AB1587" s="0" t="inlineStr">
        <is>
          <t>서울시</t>
        </is>
      </c>
      <c r="AC1587" s="0" t="inlineStr">
        <is>
          <t>강동구</t>
        </is>
      </c>
      <c r="AD1587" s="0" t="inlineStr">
        <is>
          <t>성내동</t>
        </is>
      </c>
      <c r="AG1587" s="0" t="inlineStr">
        <is>
          <t>서울시 강동구 성안로 109</t>
        </is>
      </c>
      <c r="AH1587" s="0" t="n">
        <v>0</v>
      </c>
      <c r="AI1587" s="0" t="n">
        <v>242</v>
      </c>
      <c r="AJ1587" s="0" t="n">
        <v>49</v>
      </c>
      <c r="AK1587" s="0" t="n">
        <v>10</v>
      </c>
      <c r="AL1587" s="0" t="n">
        <v>0.71</v>
      </c>
    </row>
    <row r="1588">
      <c r="A1588" s="0" t="inlineStr">
        <is>
          <t>[성내동]</t>
        </is>
      </c>
      <c r="B1588" s="0" t="n">
        <v>3115</v>
      </c>
      <c r="C1588" s="0" t="n">
        <v>2</v>
      </c>
      <c r="D1588" s="0" t="inlineStr">
        <is>
          <t>현대(383-11)</t>
        </is>
      </c>
      <c r="E1588" s="0" t="inlineStr">
        <is>
          <t>1993.10.</t>
        </is>
      </c>
      <c r="F1588" s="0" t="n">
        <v>14</v>
      </c>
      <c r="G1588" s="0" t="n">
        <v>37.16</v>
      </c>
      <c r="H1588" s="0" t="n">
        <v>122.87</v>
      </c>
      <c r="I1588" s="0" t="n">
        <v>33.57</v>
      </c>
      <c r="J1588" s="0" t="n">
        <v>111</v>
      </c>
      <c r="K1588" s="0" t="n">
        <v>6</v>
      </c>
      <c r="T1588" s="0" t="n">
        <v>3</v>
      </c>
      <c r="U1588" s="0" t="n">
        <v>2</v>
      </c>
      <c r="V1588" s="0" t="inlineStr">
        <is>
          <t>계단식</t>
        </is>
      </c>
      <c r="W1588" s="0" t="n">
        <v>122</v>
      </c>
      <c r="X1588" s="0" t="n">
        <v>8</v>
      </c>
      <c r="Y1588" s="0" t="n">
        <v>8</v>
      </c>
      <c r="Z1588" s="0" t="inlineStr">
        <is>
          <t>https://new.land.naver.com/complexes/3115?tab=detail&amp;rf=Y</t>
        </is>
      </c>
      <c r="AA1588" s="0" t="inlineStr">
        <is>
          <t>서울시 강동구 성내동 383-11</t>
        </is>
      </c>
      <c r="AB1588" s="0" t="inlineStr">
        <is>
          <t>서울시</t>
        </is>
      </c>
      <c r="AC1588" s="0" t="inlineStr">
        <is>
          <t>강동구</t>
        </is>
      </c>
      <c r="AD1588" s="0" t="inlineStr">
        <is>
          <t>성내동</t>
        </is>
      </c>
      <c r="AG1588" s="0" t="inlineStr">
        <is>
          <t>서울시 강동구 성안로 109</t>
        </is>
      </c>
      <c r="AH1588" s="0" t="n">
        <v>0</v>
      </c>
      <c r="AI1588" s="0" t="n">
        <v>242</v>
      </c>
      <c r="AJ1588" s="0" t="n">
        <v>49</v>
      </c>
      <c r="AK1588" s="0" t="n">
        <v>10</v>
      </c>
      <c r="AL1588" s="0" t="n">
        <v>0.71</v>
      </c>
    </row>
    <row r="1589">
      <c r="A1589" s="0" t="inlineStr">
        <is>
          <t>[성내동]</t>
        </is>
      </c>
      <c r="B1589" s="0" t="n">
        <v>3115</v>
      </c>
      <c r="C1589" s="0" t="n">
        <v>3</v>
      </c>
      <c r="D1589" s="0" t="inlineStr">
        <is>
          <t>현대(383-11)</t>
        </is>
      </c>
      <c r="E1589" s="0" t="inlineStr">
        <is>
          <t>1993.10.</t>
        </is>
      </c>
      <c r="F1589" s="0" t="n">
        <v>14</v>
      </c>
      <c r="G1589" s="0" t="n">
        <v>39.45</v>
      </c>
      <c r="H1589" s="0" t="n">
        <v>130.42</v>
      </c>
      <c r="I1589" s="0" t="n">
        <v>35.81</v>
      </c>
      <c r="J1589" s="0" t="n">
        <v>118.4</v>
      </c>
      <c r="K1589" s="0" t="n">
        <v>4</v>
      </c>
      <c r="T1589" s="0" t="n">
        <v>3</v>
      </c>
      <c r="U1589" s="0" t="n">
        <v>2</v>
      </c>
      <c r="V1589" s="0" t="inlineStr">
        <is>
          <t>계단식</t>
        </is>
      </c>
      <c r="W1589" s="0" t="n">
        <v>130</v>
      </c>
      <c r="X1589" s="0" t="n">
        <v>8</v>
      </c>
      <c r="Y1589" s="0" t="n">
        <v>8</v>
      </c>
      <c r="Z1589" s="0" t="inlineStr">
        <is>
          <t>https://new.land.naver.com/complexes/3115?tab=detail&amp;rf=Y</t>
        </is>
      </c>
      <c r="AA1589" s="0" t="inlineStr">
        <is>
          <t>서울시 강동구 성내동 383-11</t>
        </is>
      </c>
      <c r="AB1589" s="0" t="inlineStr">
        <is>
          <t>서울시</t>
        </is>
      </c>
      <c r="AC1589" s="0" t="inlineStr">
        <is>
          <t>강동구</t>
        </is>
      </c>
      <c r="AD1589" s="0" t="inlineStr">
        <is>
          <t>성내동</t>
        </is>
      </c>
      <c r="AG1589" s="0" t="inlineStr">
        <is>
          <t>서울시 강동구 성안로 109</t>
        </is>
      </c>
      <c r="AH1589" s="0" t="n">
        <v>0</v>
      </c>
      <c r="AI1589" s="0" t="n">
        <v>242</v>
      </c>
      <c r="AJ1589" s="0" t="n">
        <v>49</v>
      </c>
      <c r="AK1589" s="0" t="n">
        <v>10</v>
      </c>
      <c r="AL1589" s="0" t="n">
        <v>0.71</v>
      </c>
    </row>
    <row r="1590">
      <c r="A1590" s="0" t="inlineStr">
        <is>
          <t>[성내동]</t>
        </is>
      </c>
      <c r="B1590" s="0" t="n">
        <v>24987</v>
      </c>
      <c r="C1590" s="0" t="n">
        <v>1</v>
      </c>
      <c r="D1590" s="0" t="inlineStr">
        <is>
          <t>동남드림빌</t>
        </is>
      </c>
      <c r="E1590" s="0" t="inlineStr">
        <is>
          <t>2006.07.</t>
        </is>
      </c>
      <c r="F1590" s="0" t="n">
        <v>35</v>
      </c>
      <c r="G1590" s="0" t="n">
        <v>28.73</v>
      </c>
      <c r="H1590" s="0" t="n">
        <v>94.98999999999999</v>
      </c>
      <c r="I1590" s="0" t="n">
        <v>22.99</v>
      </c>
      <c r="J1590" s="0" t="n">
        <v>76.03</v>
      </c>
      <c r="K1590" s="0" t="n">
        <v>1</v>
      </c>
      <c r="T1590" s="0" t="n">
        <v>3</v>
      </c>
      <c r="U1590" s="0" t="n">
        <v>2</v>
      </c>
      <c r="V1590" s="0" t="inlineStr">
        <is>
          <t>복도식</t>
        </is>
      </c>
      <c r="W1590" s="0" t="inlineStr">
        <is>
          <t>94A</t>
        </is>
      </c>
      <c r="X1590" s="0" t="n">
        <v>11</v>
      </c>
      <c r="Y1590" s="0" t="n">
        <v>8</v>
      </c>
      <c r="Z1590" s="0" t="inlineStr">
        <is>
          <t>https://new.land.naver.com/complexes/24987?tab=detail&amp;rf=Y</t>
        </is>
      </c>
      <c r="AA1590" s="0" t="inlineStr">
        <is>
          <t>서울시 강동구 성내동 13-15</t>
        </is>
      </c>
      <c r="AB1590" s="0" t="inlineStr">
        <is>
          <t>서울시</t>
        </is>
      </c>
      <c r="AC1590" s="0" t="inlineStr">
        <is>
          <t>강동구</t>
        </is>
      </c>
      <c r="AD1590" s="0" t="inlineStr">
        <is>
          <t>성내동</t>
        </is>
      </c>
      <c r="AG1590" s="0" t="inlineStr">
        <is>
          <t>서울시 강동구 천호대로 1044-12</t>
        </is>
      </c>
      <c r="AH1590" s="0" t="n">
        <v>0</v>
      </c>
      <c r="AI1590" s="0" t="n">
        <v>308</v>
      </c>
      <c r="AJ1590" s="0" t="n">
        <v>54</v>
      </c>
      <c r="AK1590" s="0" t="n">
        <v>38</v>
      </c>
      <c r="AL1590" s="0" t="n">
        <v>1.09</v>
      </c>
    </row>
    <row r="1591">
      <c r="A1591" s="0" t="inlineStr">
        <is>
          <t>[성내동]</t>
        </is>
      </c>
      <c r="B1591" s="0" t="n">
        <v>24987</v>
      </c>
      <c r="C1591" s="0" t="n">
        <v>2</v>
      </c>
      <c r="D1591" s="0" t="inlineStr">
        <is>
          <t>동남드림빌</t>
        </is>
      </c>
      <c r="E1591" s="0" t="inlineStr">
        <is>
          <t>2006.07.</t>
        </is>
      </c>
      <c r="F1591" s="0" t="n">
        <v>35</v>
      </c>
      <c r="G1591" s="0" t="n">
        <v>29.23</v>
      </c>
      <c r="H1591" s="0" t="n">
        <v>96.65000000000001</v>
      </c>
      <c r="I1591" s="0" t="n">
        <v>23.29</v>
      </c>
      <c r="J1591" s="0" t="n">
        <v>77.02</v>
      </c>
      <c r="K1591" s="0" t="n">
        <v>1</v>
      </c>
      <c r="T1591" s="0" t="n">
        <v>3</v>
      </c>
      <c r="U1591" s="0" t="n">
        <v>2</v>
      </c>
      <c r="V1591" s="0" t="inlineStr">
        <is>
          <t>복도식</t>
        </is>
      </c>
      <c r="W1591" s="0" t="inlineStr">
        <is>
          <t>96B</t>
        </is>
      </c>
      <c r="X1591" s="0" t="n">
        <v>11</v>
      </c>
      <c r="Y1591" s="0" t="n">
        <v>8</v>
      </c>
      <c r="Z1591" s="0" t="inlineStr">
        <is>
          <t>https://new.land.naver.com/complexes/24987?tab=detail&amp;rf=Y</t>
        </is>
      </c>
      <c r="AA1591" s="0" t="inlineStr">
        <is>
          <t>서울시 강동구 성내동 13-15</t>
        </is>
      </c>
      <c r="AB1591" s="0" t="inlineStr">
        <is>
          <t>서울시</t>
        </is>
      </c>
      <c r="AC1591" s="0" t="inlineStr">
        <is>
          <t>강동구</t>
        </is>
      </c>
      <c r="AD1591" s="0" t="inlineStr">
        <is>
          <t>성내동</t>
        </is>
      </c>
      <c r="AG1591" s="0" t="inlineStr">
        <is>
          <t>서울시 강동구 천호대로 1044-12</t>
        </is>
      </c>
      <c r="AH1591" s="0" t="n">
        <v>0</v>
      </c>
      <c r="AI1591" s="0" t="n">
        <v>308</v>
      </c>
      <c r="AJ1591" s="0" t="n">
        <v>54</v>
      </c>
      <c r="AK1591" s="0" t="n">
        <v>38</v>
      </c>
      <c r="AL1591" s="0" t="n">
        <v>1.09</v>
      </c>
    </row>
    <row r="1592">
      <c r="A1592" s="0" t="inlineStr">
        <is>
          <t>[성내동]</t>
        </is>
      </c>
      <c r="B1592" s="0" t="n">
        <v>24987</v>
      </c>
      <c r="C1592" s="0" t="n">
        <v>3</v>
      </c>
      <c r="D1592" s="0" t="inlineStr">
        <is>
          <t>동남드림빌</t>
        </is>
      </c>
      <c r="E1592" s="0" t="inlineStr">
        <is>
          <t>2006.07.</t>
        </is>
      </c>
      <c r="F1592" s="0" t="n">
        <v>35</v>
      </c>
      <c r="G1592" s="0" t="n">
        <v>30.63</v>
      </c>
      <c r="H1592" s="0" t="n">
        <v>101.28</v>
      </c>
      <c r="I1592" s="0" t="n">
        <v>24.48</v>
      </c>
      <c r="J1592" s="0" t="n">
        <v>80.93000000000001</v>
      </c>
      <c r="K1592" s="0" t="n">
        <v>8</v>
      </c>
      <c r="T1592" s="0" t="n">
        <v>3</v>
      </c>
      <c r="U1592" s="0" t="n">
        <v>2</v>
      </c>
      <c r="V1592" s="0" t="inlineStr">
        <is>
          <t>계단식</t>
        </is>
      </c>
      <c r="W1592" s="0" t="inlineStr">
        <is>
          <t>101A</t>
        </is>
      </c>
      <c r="X1592" s="0" t="n">
        <v>11</v>
      </c>
      <c r="Y1592" s="0" t="n">
        <v>8</v>
      </c>
      <c r="Z1592" s="0" t="inlineStr">
        <is>
          <t>https://new.land.naver.com/complexes/24987?tab=detail&amp;rf=Y</t>
        </is>
      </c>
      <c r="AA1592" s="0" t="inlineStr">
        <is>
          <t>서울시 강동구 성내동 13-15</t>
        </is>
      </c>
      <c r="AB1592" s="0" t="inlineStr">
        <is>
          <t>서울시</t>
        </is>
      </c>
      <c r="AC1592" s="0" t="inlineStr">
        <is>
          <t>강동구</t>
        </is>
      </c>
      <c r="AD1592" s="0" t="inlineStr">
        <is>
          <t>성내동</t>
        </is>
      </c>
      <c r="AG1592" s="0" t="inlineStr">
        <is>
          <t>서울시 강동구 천호대로 1044-12</t>
        </is>
      </c>
      <c r="AH1592" s="0" t="n">
        <v>0</v>
      </c>
      <c r="AI1592" s="0" t="n">
        <v>308</v>
      </c>
      <c r="AJ1592" s="0" t="n">
        <v>54</v>
      </c>
      <c r="AK1592" s="0" t="n">
        <v>38</v>
      </c>
      <c r="AL1592" s="0" t="n">
        <v>1.09</v>
      </c>
    </row>
    <row r="1593">
      <c r="A1593" s="0" t="inlineStr">
        <is>
          <t>[성내동]</t>
        </is>
      </c>
      <c r="B1593" s="0" t="n">
        <v>24987</v>
      </c>
      <c r="C1593" s="0" t="n">
        <v>4</v>
      </c>
      <c r="D1593" s="0" t="inlineStr">
        <is>
          <t>동남드림빌</t>
        </is>
      </c>
      <c r="E1593" s="0" t="inlineStr">
        <is>
          <t>2006.07.</t>
        </is>
      </c>
      <c r="F1593" s="0" t="n">
        <v>35</v>
      </c>
      <c r="G1593" s="0" t="n">
        <v>31.11</v>
      </c>
      <c r="H1593" s="0" t="n">
        <v>102.85</v>
      </c>
      <c r="I1593" s="0" t="n">
        <v>24.97</v>
      </c>
      <c r="J1593" s="0" t="n">
        <v>82.56999999999999</v>
      </c>
      <c r="K1593" s="0" t="n">
        <v>9</v>
      </c>
      <c r="T1593" s="0" t="n">
        <v>3</v>
      </c>
      <c r="U1593" s="0" t="n">
        <v>2</v>
      </c>
      <c r="V1593" s="0" t="inlineStr">
        <is>
          <t>계단식</t>
        </is>
      </c>
      <c r="W1593" s="0" t="inlineStr">
        <is>
          <t>102C</t>
        </is>
      </c>
      <c r="X1593" s="0" t="n">
        <v>11</v>
      </c>
      <c r="Y1593" s="0" t="n">
        <v>8</v>
      </c>
      <c r="Z1593" s="0" t="inlineStr">
        <is>
          <t>https://new.land.naver.com/complexes/24987?tab=detail&amp;rf=Y</t>
        </is>
      </c>
      <c r="AA1593" s="0" t="inlineStr">
        <is>
          <t>서울시 강동구 성내동 13-15</t>
        </is>
      </c>
      <c r="AB1593" s="0" t="inlineStr">
        <is>
          <t>서울시</t>
        </is>
      </c>
      <c r="AC1593" s="0" t="inlineStr">
        <is>
          <t>강동구</t>
        </is>
      </c>
      <c r="AD1593" s="0" t="inlineStr">
        <is>
          <t>성내동</t>
        </is>
      </c>
      <c r="AG1593" s="0" t="inlineStr">
        <is>
          <t>서울시 강동구 천호대로 1044-12</t>
        </is>
      </c>
      <c r="AH1593" s="0" t="n">
        <v>0</v>
      </c>
      <c r="AI1593" s="0" t="n">
        <v>308</v>
      </c>
      <c r="AJ1593" s="0" t="n">
        <v>54</v>
      </c>
      <c r="AK1593" s="0" t="n">
        <v>38</v>
      </c>
      <c r="AL1593" s="0" t="n">
        <v>1.09</v>
      </c>
    </row>
    <row r="1594">
      <c r="A1594" s="0" t="inlineStr">
        <is>
          <t>[성내동]</t>
        </is>
      </c>
      <c r="B1594" s="0" t="n">
        <v>24987</v>
      </c>
      <c r="C1594" s="0" t="n">
        <v>5</v>
      </c>
      <c r="D1594" s="0" t="inlineStr">
        <is>
          <t>동남드림빌</t>
        </is>
      </c>
      <c r="E1594" s="0" t="inlineStr">
        <is>
          <t>2006.07.</t>
        </is>
      </c>
      <c r="F1594" s="0" t="n">
        <v>35</v>
      </c>
      <c r="G1594" s="0" t="n">
        <v>30.97</v>
      </c>
      <c r="H1594" s="0" t="n">
        <v>102.41</v>
      </c>
      <c r="I1594" s="0" t="n">
        <v>24.8</v>
      </c>
      <c r="J1594" s="0" t="n">
        <v>82</v>
      </c>
      <c r="K1594" s="0" t="n">
        <v>7</v>
      </c>
      <c r="T1594" s="0" t="n">
        <v>3</v>
      </c>
      <c r="U1594" s="0" t="n">
        <v>2</v>
      </c>
      <c r="V1594" s="0" t="inlineStr">
        <is>
          <t>계단식</t>
        </is>
      </c>
      <c r="W1594" s="0" t="inlineStr">
        <is>
          <t>102B</t>
        </is>
      </c>
      <c r="X1594" s="0" t="n">
        <v>11</v>
      </c>
      <c r="Y1594" s="0" t="n">
        <v>8</v>
      </c>
      <c r="Z1594" s="0" t="inlineStr">
        <is>
          <t>https://new.land.naver.com/complexes/24987?tab=detail&amp;rf=Y</t>
        </is>
      </c>
      <c r="AA1594" s="0" t="inlineStr">
        <is>
          <t>서울시 강동구 성내동 13-15</t>
        </is>
      </c>
      <c r="AB1594" s="0" t="inlineStr">
        <is>
          <t>서울시</t>
        </is>
      </c>
      <c r="AC1594" s="0" t="inlineStr">
        <is>
          <t>강동구</t>
        </is>
      </c>
      <c r="AD1594" s="0" t="inlineStr">
        <is>
          <t>성내동</t>
        </is>
      </c>
      <c r="AG1594" s="0" t="inlineStr">
        <is>
          <t>서울시 강동구 천호대로 1044-12</t>
        </is>
      </c>
      <c r="AH1594" s="0" t="n">
        <v>0</v>
      </c>
      <c r="AI1594" s="0" t="n">
        <v>308</v>
      </c>
      <c r="AJ1594" s="0" t="n">
        <v>54</v>
      </c>
      <c r="AK1594" s="0" t="n">
        <v>38</v>
      </c>
      <c r="AL1594" s="0" t="n">
        <v>1.09</v>
      </c>
    </row>
    <row r="1595">
      <c r="A1595" s="0" t="inlineStr">
        <is>
          <t>[성내동]</t>
        </is>
      </c>
      <c r="B1595" s="0" t="n">
        <v>24987</v>
      </c>
      <c r="C1595" s="0" t="n">
        <v>6</v>
      </c>
      <c r="D1595" s="0" t="inlineStr">
        <is>
          <t>동남드림빌</t>
        </is>
      </c>
      <c r="E1595" s="0" t="inlineStr">
        <is>
          <t>2006.07.</t>
        </is>
      </c>
      <c r="F1595" s="0" t="n">
        <v>35</v>
      </c>
      <c r="G1595" s="0" t="n">
        <v>31.61</v>
      </c>
      <c r="H1595" s="0" t="n">
        <v>104.52</v>
      </c>
      <c r="I1595" s="0" t="n">
        <v>25.25</v>
      </c>
      <c r="J1595" s="0" t="n">
        <v>83.5</v>
      </c>
      <c r="K1595" s="0" t="n">
        <v>9</v>
      </c>
      <c r="T1595" s="0" t="n">
        <v>3</v>
      </c>
      <c r="U1595" s="0" t="n">
        <v>2</v>
      </c>
      <c r="V1595" s="0" t="inlineStr">
        <is>
          <t>계단식</t>
        </is>
      </c>
      <c r="W1595" s="0" t="n">
        <v>104</v>
      </c>
      <c r="X1595" s="0" t="n">
        <v>11</v>
      </c>
      <c r="Y1595" s="0" t="n">
        <v>8</v>
      </c>
      <c r="Z1595" s="0" t="inlineStr">
        <is>
          <t>https://new.land.naver.com/complexes/24987?tab=detail&amp;rf=Y</t>
        </is>
      </c>
      <c r="AA1595" s="0" t="inlineStr">
        <is>
          <t>서울시 강동구 성내동 13-15</t>
        </is>
      </c>
      <c r="AB1595" s="0" t="inlineStr">
        <is>
          <t>서울시</t>
        </is>
      </c>
      <c r="AC1595" s="0" t="inlineStr">
        <is>
          <t>강동구</t>
        </is>
      </c>
      <c r="AD1595" s="0" t="inlineStr">
        <is>
          <t>성내동</t>
        </is>
      </c>
      <c r="AG1595" s="0" t="inlineStr">
        <is>
          <t>서울시 강동구 천호대로 1044-12</t>
        </is>
      </c>
      <c r="AH1595" s="0" t="n">
        <v>0</v>
      </c>
      <c r="AI1595" s="0" t="n">
        <v>308</v>
      </c>
      <c r="AJ1595" s="0" t="n">
        <v>54</v>
      </c>
      <c r="AK1595" s="0" t="n">
        <v>38</v>
      </c>
      <c r="AL1595" s="0" t="n">
        <v>1.09</v>
      </c>
    </row>
    <row r="1596">
      <c r="A1596" s="0" t="inlineStr">
        <is>
          <t>[성내동]</t>
        </is>
      </c>
      <c r="B1596" s="0" t="n">
        <v>17553</v>
      </c>
      <c r="C1596" s="0" t="n">
        <v>1</v>
      </c>
      <c r="D1596" s="0" t="inlineStr">
        <is>
          <t>신이모닝빌</t>
        </is>
      </c>
      <c r="E1596" s="0" t="inlineStr">
        <is>
          <t>2004.12.</t>
        </is>
      </c>
      <c r="F1596" s="0" t="n">
        <v>46</v>
      </c>
      <c r="G1596" s="0" t="n">
        <v>23.24</v>
      </c>
      <c r="H1596" s="0" t="n">
        <v>76.84999999999999</v>
      </c>
      <c r="I1596" s="0" t="n">
        <v>18.39</v>
      </c>
      <c r="J1596" s="0" t="n">
        <v>60.81</v>
      </c>
      <c r="K1596" s="0" t="n">
        <v>1</v>
      </c>
      <c r="T1596" s="0" t="n">
        <v>3</v>
      </c>
      <c r="U1596" s="0" t="n">
        <v>1</v>
      </c>
      <c r="V1596" s="0" t="inlineStr">
        <is>
          <t>계단식</t>
        </is>
      </c>
      <c r="W1596" s="0" t="n">
        <v>76</v>
      </c>
      <c r="X1596" s="0" t="n">
        <v>10</v>
      </c>
      <c r="Y1596" s="0" t="n">
        <v>6</v>
      </c>
      <c r="Z1596" s="0" t="inlineStr">
        <is>
          <t>https://new.land.naver.com/complexes/17553?tab=detail&amp;rf=Y</t>
        </is>
      </c>
      <c r="AA1596" s="0" t="inlineStr">
        <is>
          <t>서울시 강동구 성내동 413-6</t>
        </is>
      </c>
      <c r="AB1596" s="0" t="inlineStr">
        <is>
          <t>서울시</t>
        </is>
      </c>
      <c r="AC1596" s="0" t="inlineStr">
        <is>
          <t>강동구</t>
        </is>
      </c>
      <c r="AD1596" s="0" t="inlineStr">
        <is>
          <t>성내동</t>
        </is>
      </c>
      <c r="AG1596" s="0" t="inlineStr">
        <is>
          <t>서울시 강동구 풍성로55길 6</t>
        </is>
      </c>
      <c r="AH1596" s="0" t="n">
        <v>0</v>
      </c>
      <c r="AI1596" s="0" t="n">
        <v>247</v>
      </c>
      <c r="AJ1596" s="0" t="n">
        <v>29</v>
      </c>
      <c r="AK1596" s="0" t="n">
        <v>49</v>
      </c>
      <c r="AL1596" s="0" t="n">
        <v>1.07</v>
      </c>
    </row>
    <row r="1597">
      <c r="A1597" s="0" t="inlineStr">
        <is>
          <t>[성내동]</t>
        </is>
      </c>
      <c r="B1597" s="0" t="n">
        <v>17553</v>
      </c>
      <c r="C1597" s="0" t="n">
        <v>2</v>
      </c>
      <c r="D1597" s="0" t="inlineStr">
        <is>
          <t>신이모닝빌</t>
        </is>
      </c>
      <c r="E1597" s="0" t="inlineStr">
        <is>
          <t>2004.12.</t>
        </is>
      </c>
      <c r="F1597" s="0" t="n">
        <v>46</v>
      </c>
      <c r="G1597" s="0" t="n">
        <v>26.21</v>
      </c>
      <c r="H1597" s="0" t="n">
        <v>86.67</v>
      </c>
      <c r="I1597" s="0" t="n">
        <v>20.64</v>
      </c>
      <c r="J1597" s="0" t="n">
        <v>68.26000000000001</v>
      </c>
      <c r="K1597" s="0" t="n">
        <v>10</v>
      </c>
      <c r="T1597" s="0" t="n">
        <v>3</v>
      </c>
      <c r="U1597" s="0" t="n">
        <v>2</v>
      </c>
      <c r="V1597" s="0" t="inlineStr">
        <is>
          <t>계단식</t>
        </is>
      </c>
      <c r="W1597" s="0" t="n">
        <v>86</v>
      </c>
      <c r="X1597" s="0" t="n">
        <v>10</v>
      </c>
      <c r="Y1597" s="0" t="n">
        <v>6</v>
      </c>
      <c r="Z1597" s="0" t="inlineStr">
        <is>
          <t>https://new.land.naver.com/complexes/17553?tab=detail&amp;rf=Y</t>
        </is>
      </c>
      <c r="AA1597" s="0" t="inlineStr">
        <is>
          <t>서울시 강동구 성내동 413-6</t>
        </is>
      </c>
      <c r="AB1597" s="0" t="inlineStr">
        <is>
          <t>서울시</t>
        </is>
      </c>
      <c r="AC1597" s="0" t="inlineStr">
        <is>
          <t>강동구</t>
        </is>
      </c>
      <c r="AD1597" s="0" t="inlineStr">
        <is>
          <t>성내동</t>
        </is>
      </c>
      <c r="AG1597" s="0" t="inlineStr">
        <is>
          <t>서울시 강동구 풍성로55길 6</t>
        </is>
      </c>
      <c r="AH1597" s="0" t="n">
        <v>0</v>
      </c>
      <c r="AI1597" s="0" t="n">
        <v>247</v>
      </c>
      <c r="AJ1597" s="0" t="n">
        <v>29</v>
      </c>
      <c r="AK1597" s="0" t="n">
        <v>49</v>
      </c>
      <c r="AL1597" s="0" t="n">
        <v>1.07</v>
      </c>
    </row>
    <row r="1598">
      <c r="A1598" s="0" t="inlineStr">
        <is>
          <t>[성내동]</t>
        </is>
      </c>
      <c r="B1598" s="0" t="n">
        <v>17553</v>
      </c>
      <c r="C1598" s="0" t="n">
        <v>3</v>
      </c>
      <c r="D1598" s="0" t="inlineStr">
        <is>
          <t>신이모닝빌</t>
        </is>
      </c>
      <c r="E1598" s="0" t="inlineStr">
        <is>
          <t>2004.12.</t>
        </is>
      </c>
      <c r="F1598" s="0" t="n">
        <v>46</v>
      </c>
      <c r="G1598" s="0" t="n">
        <v>26.66</v>
      </c>
      <c r="H1598" s="0" t="n">
        <v>88.15000000000001</v>
      </c>
      <c r="I1598" s="0" t="n">
        <v>21.28</v>
      </c>
      <c r="J1598" s="0" t="n">
        <v>70.37</v>
      </c>
      <c r="K1598" s="0" t="n">
        <v>2</v>
      </c>
      <c r="T1598" s="0" t="n">
        <v>3</v>
      </c>
      <c r="U1598" s="0" t="n">
        <v>2</v>
      </c>
      <c r="V1598" s="0" t="inlineStr">
        <is>
          <t>계단식</t>
        </is>
      </c>
      <c r="W1598" s="0" t="n">
        <v>88</v>
      </c>
      <c r="X1598" s="0" t="n">
        <v>10</v>
      </c>
      <c r="Y1598" s="0" t="n">
        <v>6</v>
      </c>
      <c r="Z1598" s="0" t="inlineStr">
        <is>
          <t>https://new.land.naver.com/complexes/17553?tab=detail&amp;rf=Y</t>
        </is>
      </c>
      <c r="AA1598" s="0" t="inlineStr">
        <is>
          <t>서울시 강동구 성내동 413-6</t>
        </is>
      </c>
      <c r="AB1598" s="0" t="inlineStr">
        <is>
          <t>서울시</t>
        </is>
      </c>
      <c r="AC1598" s="0" t="inlineStr">
        <is>
          <t>강동구</t>
        </is>
      </c>
      <c r="AD1598" s="0" t="inlineStr">
        <is>
          <t>성내동</t>
        </is>
      </c>
      <c r="AG1598" s="0" t="inlineStr">
        <is>
          <t>서울시 강동구 풍성로55길 6</t>
        </is>
      </c>
      <c r="AH1598" s="0" t="n">
        <v>0</v>
      </c>
      <c r="AI1598" s="0" t="n">
        <v>247</v>
      </c>
      <c r="AJ1598" s="0" t="n">
        <v>29</v>
      </c>
      <c r="AK1598" s="0" t="n">
        <v>49</v>
      </c>
      <c r="AL1598" s="0" t="n">
        <v>1.07</v>
      </c>
    </row>
    <row r="1599">
      <c r="A1599" s="0" t="inlineStr">
        <is>
          <t>[성내동]</t>
        </is>
      </c>
      <c r="B1599" s="0" t="n">
        <v>17553</v>
      </c>
      <c r="C1599" s="0" t="n">
        <v>4</v>
      </c>
      <c r="D1599" s="0" t="inlineStr">
        <is>
          <t>신이모닝빌</t>
        </is>
      </c>
      <c r="E1599" s="0" t="inlineStr">
        <is>
          <t>2004.12.</t>
        </is>
      </c>
      <c r="F1599" s="0" t="n">
        <v>46</v>
      </c>
      <c r="G1599" s="0" t="n">
        <v>28.33</v>
      </c>
      <c r="H1599" s="0" t="n">
        <v>93.68000000000001</v>
      </c>
      <c r="I1599" s="0" t="n">
        <v>22.34</v>
      </c>
      <c r="J1599" s="0" t="n">
        <v>73.87</v>
      </c>
      <c r="K1599" s="0" t="n">
        <v>9</v>
      </c>
      <c r="T1599" s="0" t="n">
        <v>3</v>
      </c>
      <c r="U1599" s="0" t="n">
        <v>2</v>
      </c>
      <c r="V1599" s="0" t="inlineStr">
        <is>
          <t>계단식</t>
        </is>
      </c>
      <c r="W1599" s="0" t="n">
        <v>93</v>
      </c>
      <c r="X1599" s="0" t="n">
        <v>10</v>
      </c>
      <c r="Y1599" s="0" t="n">
        <v>6</v>
      </c>
      <c r="Z1599" s="0" t="inlineStr">
        <is>
          <t>https://new.land.naver.com/complexes/17553?tab=detail&amp;rf=Y</t>
        </is>
      </c>
      <c r="AA1599" s="0" t="inlineStr">
        <is>
          <t>서울시 강동구 성내동 413-6</t>
        </is>
      </c>
      <c r="AB1599" s="0" t="inlineStr">
        <is>
          <t>서울시</t>
        </is>
      </c>
      <c r="AC1599" s="0" t="inlineStr">
        <is>
          <t>강동구</t>
        </is>
      </c>
      <c r="AD1599" s="0" t="inlineStr">
        <is>
          <t>성내동</t>
        </is>
      </c>
      <c r="AG1599" s="0" t="inlineStr">
        <is>
          <t>서울시 강동구 풍성로55길 6</t>
        </is>
      </c>
      <c r="AH1599" s="0" t="n">
        <v>0</v>
      </c>
      <c r="AI1599" s="0" t="n">
        <v>247</v>
      </c>
      <c r="AJ1599" s="0" t="n">
        <v>29</v>
      </c>
      <c r="AK1599" s="0" t="n">
        <v>49</v>
      </c>
      <c r="AL1599" s="0" t="n">
        <v>1.07</v>
      </c>
    </row>
    <row r="1600">
      <c r="A1600" s="0" t="inlineStr">
        <is>
          <t>[성내동]</t>
        </is>
      </c>
      <c r="B1600" s="0" t="n">
        <v>17553</v>
      </c>
      <c r="C1600" s="0" t="n">
        <v>5</v>
      </c>
      <c r="D1600" s="0" t="inlineStr">
        <is>
          <t>신이모닝빌</t>
        </is>
      </c>
      <c r="E1600" s="0" t="inlineStr">
        <is>
          <t>2004.12.</t>
        </is>
      </c>
      <c r="F1600" s="0" t="n">
        <v>46</v>
      </c>
      <c r="G1600" s="0" t="n">
        <v>28.65</v>
      </c>
      <c r="H1600" s="0" t="n">
        <v>94.73</v>
      </c>
      <c r="I1600" s="0" t="n">
        <v>22.94</v>
      </c>
      <c r="J1600" s="0" t="n">
        <v>75.84</v>
      </c>
      <c r="K1600" s="0" t="n">
        <v>1</v>
      </c>
      <c r="T1600" s="0" t="n">
        <v>3</v>
      </c>
      <c r="U1600" s="0" t="n">
        <v>2</v>
      </c>
      <c r="V1600" s="0" t="inlineStr">
        <is>
          <t>계단식</t>
        </is>
      </c>
      <c r="W1600" s="0" t="n">
        <v>94</v>
      </c>
      <c r="X1600" s="0" t="n">
        <v>10</v>
      </c>
      <c r="Y1600" s="0" t="n">
        <v>6</v>
      </c>
      <c r="Z1600" s="0" t="inlineStr">
        <is>
          <t>https://new.land.naver.com/complexes/17553?tab=detail&amp;rf=Y</t>
        </is>
      </c>
      <c r="AA1600" s="0" t="inlineStr">
        <is>
          <t>서울시 강동구 성내동 413-6</t>
        </is>
      </c>
      <c r="AB1600" s="0" t="inlineStr">
        <is>
          <t>서울시</t>
        </is>
      </c>
      <c r="AC1600" s="0" t="inlineStr">
        <is>
          <t>강동구</t>
        </is>
      </c>
      <c r="AD1600" s="0" t="inlineStr">
        <is>
          <t>성내동</t>
        </is>
      </c>
      <c r="AG1600" s="0" t="inlineStr">
        <is>
          <t>서울시 강동구 풍성로55길 6</t>
        </is>
      </c>
      <c r="AH1600" s="0" t="n">
        <v>0</v>
      </c>
      <c r="AI1600" s="0" t="n">
        <v>247</v>
      </c>
      <c r="AJ1600" s="0" t="n">
        <v>29</v>
      </c>
      <c r="AK1600" s="0" t="n">
        <v>49</v>
      </c>
      <c r="AL1600" s="0" t="n">
        <v>1.07</v>
      </c>
    </row>
    <row r="1601">
      <c r="A1601" s="0" t="inlineStr">
        <is>
          <t>[성내동]</t>
        </is>
      </c>
      <c r="B1601" s="0" t="n">
        <v>17553</v>
      </c>
      <c r="C1601" s="0" t="n">
        <v>6</v>
      </c>
      <c r="D1601" s="0" t="inlineStr">
        <is>
          <t>신이모닝빌</t>
        </is>
      </c>
      <c r="E1601" s="0" t="inlineStr">
        <is>
          <t>2004.12.</t>
        </is>
      </c>
      <c r="F1601" s="0" t="n">
        <v>46</v>
      </c>
      <c r="G1601" s="0" t="n">
        <v>32.11</v>
      </c>
      <c r="H1601" s="0" t="n">
        <v>106.18</v>
      </c>
      <c r="I1601" s="0" t="n">
        <v>25.68</v>
      </c>
      <c r="J1601" s="0" t="n">
        <v>84.91</v>
      </c>
      <c r="K1601" s="0" t="n">
        <v>18</v>
      </c>
      <c r="T1601" s="0" t="n">
        <v>3</v>
      </c>
      <c r="U1601" s="0" t="n">
        <v>2</v>
      </c>
      <c r="V1601" s="0" t="inlineStr">
        <is>
          <t>계단식</t>
        </is>
      </c>
      <c r="W1601" s="0" t="inlineStr">
        <is>
          <t>106B</t>
        </is>
      </c>
      <c r="X1601" s="0" t="n">
        <v>10</v>
      </c>
      <c r="Y1601" s="0" t="n">
        <v>6</v>
      </c>
      <c r="Z1601" s="0" t="inlineStr">
        <is>
          <t>https://new.land.naver.com/complexes/17553?tab=detail&amp;rf=Y</t>
        </is>
      </c>
      <c r="AA1601" s="0" t="inlineStr">
        <is>
          <t>서울시 강동구 성내동 413-6</t>
        </is>
      </c>
      <c r="AB1601" s="0" t="inlineStr">
        <is>
          <t>서울시</t>
        </is>
      </c>
      <c r="AC1601" s="0" t="inlineStr">
        <is>
          <t>강동구</t>
        </is>
      </c>
      <c r="AD1601" s="0" t="inlineStr">
        <is>
          <t>성내동</t>
        </is>
      </c>
      <c r="AG1601" s="0" t="inlineStr">
        <is>
          <t>서울시 강동구 풍성로55길 6</t>
        </is>
      </c>
      <c r="AH1601" s="0" t="n">
        <v>0</v>
      </c>
      <c r="AI1601" s="0" t="n">
        <v>247</v>
      </c>
      <c r="AJ1601" s="0" t="n">
        <v>29</v>
      </c>
      <c r="AK1601" s="0" t="n">
        <v>49</v>
      </c>
      <c r="AL1601" s="0" t="n">
        <v>1.07</v>
      </c>
    </row>
    <row r="1602">
      <c r="A1602" s="0" t="inlineStr">
        <is>
          <t>[성내동]</t>
        </is>
      </c>
      <c r="B1602" s="0" t="n">
        <v>17553</v>
      </c>
      <c r="C1602" s="0" t="n">
        <v>7</v>
      </c>
      <c r="D1602" s="0" t="inlineStr">
        <is>
          <t>신이모닝빌</t>
        </is>
      </c>
      <c r="E1602" s="0" t="inlineStr">
        <is>
          <t>2004.12.</t>
        </is>
      </c>
      <c r="F1602" s="0" t="n">
        <v>46</v>
      </c>
      <c r="G1602" s="0" t="n">
        <v>32.07</v>
      </c>
      <c r="H1602" s="0" t="n">
        <v>106.02</v>
      </c>
      <c r="I1602" s="0" t="n">
        <v>25.66</v>
      </c>
      <c r="J1602" s="0" t="n">
        <v>84.83</v>
      </c>
      <c r="K1602" s="0" t="n">
        <v>5</v>
      </c>
      <c r="T1602" s="0" t="n">
        <v>3</v>
      </c>
      <c r="U1602" s="0" t="n">
        <v>2</v>
      </c>
      <c r="V1602" s="0" t="inlineStr">
        <is>
          <t>계단식</t>
        </is>
      </c>
      <c r="W1602" s="0" t="inlineStr">
        <is>
          <t>106A</t>
        </is>
      </c>
      <c r="X1602" s="0" t="n">
        <v>10</v>
      </c>
      <c r="Y1602" s="0" t="n">
        <v>6</v>
      </c>
      <c r="Z1602" s="0" t="inlineStr">
        <is>
          <t>https://new.land.naver.com/complexes/17553?tab=detail&amp;rf=Y</t>
        </is>
      </c>
      <c r="AA1602" s="0" t="inlineStr">
        <is>
          <t>서울시 강동구 성내동 413-6</t>
        </is>
      </c>
      <c r="AB1602" s="0" t="inlineStr">
        <is>
          <t>서울시</t>
        </is>
      </c>
      <c r="AC1602" s="0" t="inlineStr">
        <is>
          <t>강동구</t>
        </is>
      </c>
      <c r="AD1602" s="0" t="inlineStr">
        <is>
          <t>성내동</t>
        </is>
      </c>
      <c r="AG1602" s="0" t="inlineStr">
        <is>
          <t>서울시 강동구 풍성로55길 6</t>
        </is>
      </c>
      <c r="AH1602" s="0" t="n">
        <v>0</v>
      </c>
      <c r="AI1602" s="0" t="n">
        <v>247</v>
      </c>
      <c r="AJ1602" s="0" t="n">
        <v>29</v>
      </c>
      <c r="AK1602" s="0" t="n">
        <v>49</v>
      </c>
      <c r="AL1602" s="0" t="n">
        <v>1.07</v>
      </c>
    </row>
    <row r="1603">
      <c r="A1603" s="0" t="inlineStr">
        <is>
          <t>[성내동]</t>
        </is>
      </c>
      <c r="B1603" s="0" t="n">
        <v>16612</v>
      </c>
      <c r="C1603" s="0" t="n">
        <v>1</v>
      </c>
      <c r="D1603" s="0" t="inlineStr">
        <is>
          <t>광남캐스빌(435-7)</t>
        </is>
      </c>
      <c r="E1603" s="0" t="inlineStr">
        <is>
          <t>2003.06.</t>
        </is>
      </c>
      <c r="F1603" s="0" t="n">
        <v>28</v>
      </c>
      <c r="G1603" s="0" t="n">
        <v>14.78</v>
      </c>
      <c r="H1603" s="0" t="n">
        <v>48.87</v>
      </c>
      <c r="I1603" s="0" t="n">
        <v>12.24</v>
      </c>
      <c r="J1603" s="0" t="n">
        <v>40.48</v>
      </c>
      <c r="K1603" s="0" t="n">
        <v>1</v>
      </c>
      <c r="T1603" s="0" t="n">
        <v>1</v>
      </c>
      <c r="U1603" s="0" t="n">
        <v>1</v>
      </c>
      <c r="V1603" s="0" t="inlineStr">
        <is>
          <t>계단식</t>
        </is>
      </c>
      <c r="W1603" s="0" t="n">
        <v>48</v>
      </c>
      <c r="X1603" s="0" t="n">
        <v>11</v>
      </c>
      <c r="Y1603" s="0" t="n">
        <v>8</v>
      </c>
      <c r="Z1603" s="0" t="inlineStr">
        <is>
          <t>https://new.land.naver.com/complexes/16612?tab=detail&amp;rf=Y</t>
        </is>
      </c>
      <c r="AA1603" s="0" t="inlineStr">
        <is>
          <t>서울시 강동구 성내동 435-7</t>
        </is>
      </c>
      <c r="AB1603" s="0" t="inlineStr">
        <is>
          <t>서울시</t>
        </is>
      </c>
      <c r="AC1603" s="0" t="inlineStr">
        <is>
          <t>강동구</t>
        </is>
      </c>
      <c r="AD1603" s="0" t="inlineStr">
        <is>
          <t>성내동</t>
        </is>
      </c>
      <c r="AG1603" s="0" t="inlineStr">
        <is>
          <t>서울시 강동구 성안로 21</t>
        </is>
      </c>
      <c r="AH1603" s="0" t="n">
        <v>0</v>
      </c>
      <c r="AI1603" s="0" t="n">
        <v>248</v>
      </c>
      <c r="AJ1603" s="0" t="n">
        <v>30</v>
      </c>
      <c r="AK1603" s="0" t="n">
        <v>32</v>
      </c>
      <c r="AL1603" s="0" t="n">
        <v>1.14</v>
      </c>
    </row>
    <row r="1604">
      <c r="A1604" s="0" t="inlineStr">
        <is>
          <t>[성내동]</t>
        </is>
      </c>
      <c r="B1604" s="0" t="n">
        <v>16612</v>
      </c>
      <c r="C1604" s="0" t="n">
        <v>2</v>
      </c>
      <c r="D1604" s="0" t="inlineStr">
        <is>
          <t>광남캐스빌(435-7)</t>
        </is>
      </c>
      <c r="E1604" s="0" t="inlineStr">
        <is>
          <t>2003.06.</t>
        </is>
      </c>
      <c r="F1604" s="0" t="n">
        <v>28</v>
      </c>
      <c r="G1604" s="0" t="n">
        <v>27.11</v>
      </c>
      <c r="H1604" s="0" t="n">
        <v>89.62</v>
      </c>
      <c r="I1604" s="0" t="n">
        <v>22.77</v>
      </c>
      <c r="J1604" s="0" t="n">
        <v>75.28</v>
      </c>
      <c r="K1604" s="0" t="n">
        <v>1</v>
      </c>
      <c r="T1604" s="0" t="n">
        <v>3</v>
      </c>
      <c r="U1604" s="0" t="n">
        <v>2</v>
      </c>
      <c r="V1604" s="0" t="inlineStr">
        <is>
          <t>계단식</t>
        </is>
      </c>
      <c r="W1604" s="0" t="n">
        <v>89</v>
      </c>
      <c r="X1604" s="0" t="n">
        <v>11</v>
      </c>
      <c r="Y1604" s="0" t="n">
        <v>8</v>
      </c>
      <c r="Z1604" s="0" t="inlineStr">
        <is>
          <t>https://new.land.naver.com/complexes/16612?tab=detail&amp;rf=Y</t>
        </is>
      </c>
      <c r="AA1604" s="0" t="inlineStr">
        <is>
          <t>서울시 강동구 성내동 435-7</t>
        </is>
      </c>
      <c r="AB1604" s="0" t="inlineStr">
        <is>
          <t>서울시</t>
        </is>
      </c>
      <c r="AC1604" s="0" t="inlineStr">
        <is>
          <t>강동구</t>
        </is>
      </c>
      <c r="AD1604" s="0" t="inlineStr">
        <is>
          <t>성내동</t>
        </is>
      </c>
      <c r="AG1604" s="0" t="inlineStr">
        <is>
          <t>서울시 강동구 성안로 21</t>
        </is>
      </c>
      <c r="AH1604" s="0" t="n">
        <v>0</v>
      </c>
      <c r="AI1604" s="0" t="n">
        <v>248</v>
      </c>
      <c r="AJ1604" s="0" t="n">
        <v>30</v>
      </c>
      <c r="AK1604" s="0" t="n">
        <v>32</v>
      </c>
      <c r="AL1604" s="0" t="n">
        <v>1.14</v>
      </c>
    </row>
    <row r="1605">
      <c r="A1605" s="0" t="inlineStr">
        <is>
          <t>[성내동]</t>
        </is>
      </c>
      <c r="B1605" s="0" t="n">
        <v>16612</v>
      </c>
      <c r="C1605" s="0" t="n">
        <v>3</v>
      </c>
      <c r="D1605" s="0" t="inlineStr">
        <is>
          <t>광남캐스빌(435-7)</t>
        </is>
      </c>
      <c r="E1605" s="0" t="inlineStr">
        <is>
          <t>2003.06.</t>
        </is>
      </c>
      <c r="F1605" s="0" t="n">
        <v>28</v>
      </c>
      <c r="G1605" s="0" t="n">
        <v>30.55</v>
      </c>
      <c r="H1605" s="0" t="n">
        <v>101</v>
      </c>
      <c r="I1605" s="0" t="n">
        <v>25.7</v>
      </c>
      <c r="J1605" s="0" t="n">
        <v>84.98999999999999</v>
      </c>
      <c r="K1605" s="0" t="n">
        <v>14</v>
      </c>
      <c r="T1605" s="0" t="n">
        <v>3</v>
      </c>
      <c r="U1605" s="0" t="n">
        <v>2</v>
      </c>
      <c r="V1605" s="0" t="inlineStr">
        <is>
          <t>계단식</t>
        </is>
      </c>
      <c r="W1605" s="0" t="inlineStr">
        <is>
          <t>101C</t>
        </is>
      </c>
      <c r="X1605" s="0" t="n">
        <v>11</v>
      </c>
      <c r="Y1605" s="0" t="n">
        <v>8</v>
      </c>
      <c r="Z1605" s="0" t="inlineStr">
        <is>
          <t>https://new.land.naver.com/complexes/16612?tab=detail&amp;rf=Y</t>
        </is>
      </c>
      <c r="AA1605" s="0" t="inlineStr">
        <is>
          <t>서울시 강동구 성내동 435-7</t>
        </is>
      </c>
      <c r="AB1605" s="0" t="inlineStr">
        <is>
          <t>서울시</t>
        </is>
      </c>
      <c r="AC1605" s="0" t="inlineStr">
        <is>
          <t>강동구</t>
        </is>
      </c>
      <c r="AD1605" s="0" t="inlineStr">
        <is>
          <t>성내동</t>
        </is>
      </c>
      <c r="AG1605" s="0" t="inlineStr">
        <is>
          <t>서울시 강동구 성안로 21</t>
        </is>
      </c>
      <c r="AH1605" s="0" t="n">
        <v>0</v>
      </c>
      <c r="AI1605" s="0" t="n">
        <v>248</v>
      </c>
      <c r="AJ1605" s="0" t="n">
        <v>30</v>
      </c>
      <c r="AK1605" s="0" t="n">
        <v>32</v>
      </c>
      <c r="AL1605" s="0" t="n">
        <v>1.14</v>
      </c>
    </row>
    <row r="1606">
      <c r="A1606" s="0" t="inlineStr">
        <is>
          <t>[성내동]</t>
        </is>
      </c>
      <c r="B1606" s="0" t="n">
        <v>16612</v>
      </c>
      <c r="C1606" s="0" t="n">
        <v>4</v>
      </c>
      <c r="D1606" s="0" t="inlineStr">
        <is>
          <t>광남캐스빌(435-7)</t>
        </is>
      </c>
      <c r="E1606" s="0" t="inlineStr">
        <is>
          <t>2003.06.</t>
        </is>
      </c>
      <c r="F1606" s="0" t="n">
        <v>28</v>
      </c>
      <c r="G1606" s="0" t="n">
        <v>30.64</v>
      </c>
      <c r="H1606" s="0" t="n">
        <v>101.29</v>
      </c>
      <c r="I1606" s="0" t="n">
        <v>25.61</v>
      </c>
      <c r="J1606" s="0" t="n">
        <v>84.67</v>
      </c>
      <c r="K1606" s="0" t="n">
        <v>11</v>
      </c>
      <c r="T1606" s="0" t="n">
        <v>3</v>
      </c>
      <c r="U1606" s="0" t="n">
        <v>1</v>
      </c>
      <c r="V1606" s="0" t="inlineStr">
        <is>
          <t>계단식</t>
        </is>
      </c>
      <c r="W1606" s="0" t="inlineStr">
        <is>
          <t>101A</t>
        </is>
      </c>
      <c r="X1606" s="0" t="n">
        <v>11</v>
      </c>
      <c r="Y1606" s="0" t="n">
        <v>8</v>
      </c>
      <c r="Z1606" s="0" t="inlineStr">
        <is>
          <t>https://new.land.naver.com/complexes/16612?tab=detail&amp;rf=Y</t>
        </is>
      </c>
      <c r="AA1606" s="0" t="inlineStr">
        <is>
          <t>서울시 강동구 성내동 435-7</t>
        </is>
      </c>
      <c r="AB1606" s="0" t="inlineStr">
        <is>
          <t>서울시</t>
        </is>
      </c>
      <c r="AC1606" s="0" t="inlineStr">
        <is>
          <t>강동구</t>
        </is>
      </c>
      <c r="AD1606" s="0" t="inlineStr">
        <is>
          <t>성내동</t>
        </is>
      </c>
      <c r="AG1606" s="0" t="inlineStr">
        <is>
          <t>서울시 강동구 성안로 21</t>
        </is>
      </c>
      <c r="AH1606" s="0" t="n">
        <v>0</v>
      </c>
      <c r="AI1606" s="0" t="n">
        <v>248</v>
      </c>
      <c r="AJ1606" s="0" t="n">
        <v>30</v>
      </c>
      <c r="AK1606" s="0" t="n">
        <v>32</v>
      </c>
      <c r="AL1606" s="0" t="n">
        <v>1.14</v>
      </c>
    </row>
    <row r="1607">
      <c r="A1607" s="0" t="inlineStr">
        <is>
          <t>[성내동]</t>
        </is>
      </c>
      <c r="B1607" s="0" t="n">
        <v>16612</v>
      </c>
      <c r="C1607" s="0" t="n">
        <v>5</v>
      </c>
      <c r="D1607" s="0" t="inlineStr">
        <is>
          <t>광남캐스빌(435-7)</t>
        </is>
      </c>
      <c r="E1607" s="0" t="inlineStr">
        <is>
          <t>2003.06.</t>
        </is>
      </c>
      <c r="F1607" s="0" t="n">
        <v>28</v>
      </c>
      <c r="G1607" s="0" t="n">
        <v>30.64</v>
      </c>
      <c r="H1607" s="0" t="n">
        <v>101.29</v>
      </c>
      <c r="I1607" s="0" t="n">
        <v>25.62</v>
      </c>
      <c r="J1607" s="0" t="n">
        <v>84.7</v>
      </c>
      <c r="K1607" s="0" t="n">
        <v>1</v>
      </c>
      <c r="T1607" s="0" t="n">
        <v>3</v>
      </c>
      <c r="U1607" s="0" t="n">
        <v>1</v>
      </c>
      <c r="V1607" s="0" t="inlineStr">
        <is>
          <t>계단식</t>
        </is>
      </c>
      <c r="W1607" s="0" t="inlineStr">
        <is>
          <t>101B</t>
        </is>
      </c>
      <c r="X1607" s="0" t="n">
        <v>11</v>
      </c>
      <c r="Y1607" s="0" t="n">
        <v>8</v>
      </c>
      <c r="Z1607" s="0" t="inlineStr">
        <is>
          <t>https://new.land.naver.com/complexes/16612?tab=detail&amp;rf=Y</t>
        </is>
      </c>
      <c r="AA1607" s="0" t="inlineStr">
        <is>
          <t>서울시 강동구 성내동 435-7</t>
        </is>
      </c>
      <c r="AB1607" s="0" t="inlineStr">
        <is>
          <t>서울시</t>
        </is>
      </c>
      <c r="AC1607" s="0" t="inlineStr">
        <is>
          <t>강동구</t>
        </is>
      </c>
      <c r="AD1607" s="0" t="inlineStr">
        <is>
          <t>성내동</t>
        </is>
      </c>
      <c r="AG1607" s="0" t="inlineStr">
        <is>
          <t>서울시 강동구 성안로 21</t>
        </is>
      </c>
      <c r="AH1607" s="0" t="n">
        <v>0</v>
      </c>
      <c r="AI1607" s="0" t="n">
        <v>248</v>
      </c>
      <c r="AJ1607" s="0" t="n">
        <v>30</v>
      </c>
      <c r="AK1607" s="0" t="n">
        <v>32</v>
      </c>
      <c r="AL1607" s="0" t="n">
        <v>1.14</v>
      </c>
    </row>
    <row r="1608">
      <c r="A1608" s="0" t="inlineStr">
        <is>
          <t>[성내동]</t>
        </is>
      </c>
      <c r="B1608" s="0" t="n">
        <v>131102</v>
      </c>
      <c r="C1608" s="0" t="n">
        <v>1</v>
      </c>
      <c r="D1608" s="0" t="inlineStr">
        <is>
          <t>라움포레</t>
        </is>
      </c>
      <c r="E1608" s="0" t="inlineStr">
        <is>
          <t>2020.12.</t>
        </is>
      </c>
      <c r="F1608" s="0" t="n">
        <v>71</v>
      </c>
      <c r="G1608" s="0" t="n">
        <v>21.33</v>
      </c>
      <c r="H1608" s="0" t="n">
        <v>70.54000000000001</v>
      </c>
      <c r="I1608" s="0" t="n">
        <v>17.57</v>
      </c>
      <c r="J1608" s="0" t="n">
        <v>58.09</v>
      </c>
      <c r="K1608" s="0" t="n">
        <v>6</v>
      </c>
      <c r="T1608" s="0" t="n">
        <v>3</v>
      </c>
      <c r="U1608" s="0" t="n">
        <v>2</v>
      </c>
      <c r="V1608" s="0" t="inlineStr">
        <is>
          <t>계단식</t>
        </is>
      </c>
      <c r="W1608" s="0" t="inlineStr">
        <is>
          <t>70C</t>
        </is>
      </c>
      <c r="X1608" s="0" t="n">
        <v>7</v>
      </c>
      <c r="Y1608" s="0" t="n">
        <v>7</v>
      </c>
      <c r="Z1608" s="0" t="inlineStr">
        <is>
          <t>https://new.land.naver.com/complexes/131102?tab=detail&amp;rf=Y</t>
        </is>
      </c>
      <c r="AA1608" s="0" t="inlineStr">
        <is>
          <t>서울시 강동구 성내동 607</t>
        </is>
      </c>
      <c r="AB1608" s="0" t="inlineStr">
        <is>
          <t>서울시</t>
        </is>
      </c>
      <c r="AC1608" s="0" t="inlineStr">
        <is>
          <t>강동구</t>
        </is>
      </c>
      <c r="AD1608" s="0" t="inlineStr">
        <is>
          <t>성내동</t>
        </is>
      </c>
      <c r="AG1608" s="0" t="inlineStr">
        <is>
          <t>서울시 강동구 천호옛6길 15</t>
        </is>
      </c>
      <c r="AH1608" s="0" t="n">
        <v>0</v>
      </c>
      <c r="AI1608" s="0" t="n">
        <v>0</v>
      </c>
      <c r="AJ1608" s="0" t="n">
        <v>0</v>
      </c>
      <c r="AK1608" s="0" t="n">
        <v>71</v>
      </c>
      <c r="AL1608" s="0" t="n">
        <v>1</v>
      </c>
    </row>
    <row r="1609">
      <c r="A1609" s="0" t="inlineStr">
        <is>
          <t>[성내동]</t>
        </is>
      </c>
      <c r="B1609" s="0" t="n">
        <v>131102</v>
      </c>
      <c r="C1609" s="0" t="n">
        <v>2</v>
      </c>
      <c r="D1609" s="0" t="inlineStr">
        <is>
          <t>라움포레</t>
        </is>
      </c>
      <c r="E1609" s="0" t="inlineStr">
        <is>
          <t>2020.12.</t>
        </is>
      </c>
      <c r="F1609" s="0" t="n">
        <v>71</v>
      </c>
      <c r="G1609" s="0" t="n">
        <v>22.05</v>
      </c>
      <c r="H1609" s="0" t="n">
        <v>72.91</v>
      </c>
      <c r="I1609" s="0" t="n">
        <v>17.86</v>
      </c>
      <c r="J1609" s="0" t="n">
        <v>59.05</v>
      </c>
      <c r="K1609" s="0" t="n">
        <v>26</v>
      </c>
      <c r="T1609" s="0" t="n">
        <v>3</v>
      </c>
      <c r="U1609" s="0" t="n">
        <v>2</v>
      </c>
      <c r="V1609" s="0" t="inlineStr">
        <is>
          <t>계단식</t>
        </is>
      </c>
      <c r="W1609" s="0" t="inlineStr">
        <is>
          <t>72A</t>
        </is>
      </c>
      <c r="X1609" s="0" t="n">
        <v>7</v>
      </c>
      <c r="Y1609" s="0" t="n">
        <v>7</v>
      </c>
      <c r="Z1609" s="0" t="inlineStr">
        <is>
          <t>https://new.land.naver.com/complexes/131102?tab=detail&amp;rf=Y</t>
        </is>
      </c>
      <c r="AA1609" s="0" t="inlineStr">
        <is>
          <t>서울시 강동구 성내동 607</t>
        </is>
      </c>
      <c r="AB1609" s="0" t="inlineStr">
        <is>
          <t>서울시</t>
        </is>
      </c>
      <c r="AC1609" s="0" t="inlineStr">
        <is>
          <t>강동구</t>
        </is>
      </c>
      <c r="AD1609" s="0" t="inlineStr">
        <is>
          <t>성내동</t>
        </is>
      </c>
      <c r="AG1609" s="0" t="inlineStr">
        <is>
          <t>서울시 강동구 천호옛6길 15</t>
        </is>
      </c>
      <c r="AH1609" s="0" t="n">
        <v>0</v>
      </c>
      <c r="AI1609" s="0" t="n">
        <v>0</v>
      </c>
      <c r="AJ1609" s="0" t="n">
        <v>0</v>
      </c>
      <c r="AK1609" s="0" t="n">
        <v>71</v>
      </c>
      <c r="AL1609" s="0" t="n">
        <v>1</v>
      </c>
    </row>
    <row r="1610">
      <c r="A1610" s="0" t="inlineStr">
        <is>
          <t>[성내동]</t>
        </is>
      </c>
      <c r="B1610" s="0" t="n">
        <v>131102</v>
      </c>
      <c r="C1610" s="0" t="n">
        <v>3</v>
      </c>
      <c r="D1610" s="0" t="inlineStr">
        <is>
          <t>라움포레</t>
        </is>
      </c>
      <c r="E1610" s="0" t="inlineStr">
        <is>
          <t>2020.12.</t>
        </is>
      </c>
      <c r="F1610" s="0" t="n">
        <v>71</v>
      </c>
      <c r="G1610" s="0" t="n">
        <v>21.93</v>
      </c>
      <c r="H1610" s="0" t="n">
        <v>72.52</v>
      </c>
      <c r="I1610" s="0" t="n">
        <v>17.94</v>
      </c>
      <c r="J1610" s="0" t="n">
        <v>59.31</v>
      </c>
      <c r="K1610" s="0" t="n">
        <v>14</v>
      </c>
      <c r="T1610" s="0" t="n">
        <v>3</v>
      </c>
      <c r="U1610" s="0" t="n">
        <v>2</v>
      </c>
      <c r="V1610" s="0" t="inlineStr">
        <is>
          <t>계단식</t>
        </is>
      </c>
      <c r="W1610" s="0" t="inlineStr">
        <is>
          <t>72G</t>
        </is>
      </c>
      <c r="X1610" s="0" t="n">
        <v>7</v>
      </c>
      <c r="Y1610" s="0" t="n">
        <v>7</v>
      </c>
      <c r="Z1610" s="0" t="inlineStr">
        <is>
          <t>https://new.land.naver.com/complexes/131102?tab=detail&amp;rf=Y</t>
        </is>
      </c>
      <c r="AA1610" s="0" t="inlineStr">
        <is>
          <t>서울시 강동구 성내동 607</t>
        </is>
      </c>
      <c r="AB1610" s="0" t="inlineStr">
        <is>
          <t>서울시</t>
        </is>
      </c>
      <c r="AC1610" s="0" t="inlineStr">
        <is>
          <t>강동구</t>
        </is>
      </c>
      <c r="AD1610" s="0" t="inlineStr">
        <is>
          <t>성내동</t>
        </is>
      </c>
      <c r="AG1610" s="0" t="inlineStr">
        <is>
          <t>서울시 강동구 천호옛6길 15</t>
        </is>
      </c>
      <c r="AH1610" s="0" t="n">
        <v>0</v>
      </c>
      <c r="AI1610" s="0" t="n">
        <v>0</v>
      </c>
      <c r="AJ1610" s="0" t="n">
        <v>0</v>
      </c>
      <c r="AK1610" s="0" t="n">
        <v>71</v>
      </c>
      <c r="AL1610" s="0" t="n">
        <v>1</v>
      </c>
    </row>
    <row r="1611">
      <c r="A1611" s="0" t="inlineStr">
        <is>
          <t>[성내동]</t>
        </is>
      </c>
      <c r="B1611" s="0" t="n">
        <v>131102</v>
      </c>
      <c r="C1611" s="0" t="n">
        <v>4</v>
      </c>
      <c r="D1611" s="0" t="inlineStr">
        <is>
          <t>라움포레</t>
        </is>
      </c>
      <c r="E1611" s="0" t="inlineStr">
        <is>
          <t>2020.12.</t>
        </is>
      </c>
      <c r="F1611" s="0" t="n">
        <v>71</v>
      </c>
      <c r="G1611" s="0" t="n">
        <v>22.32</v>
      </c>
      <c r="H1611" s="0" t="n">
        <v>73.8</v>
      </c>
      <c r="I1611" s="0" t="n">
        <v>17.93</v>
      </c>
      <c r="J1611" s="0" t="n">
        <v>59.28</v>
      </c>
      <c r="K1611" s="0" t="n">
        <v>6</v>
      </c>
      <c r="T1611" s="0" t="n">
        <v>3</v>
      </c>
      <c r="U1611" s="0" t="n">
        <v>2</v>
      </c>
      <c r="V1611" s="0" t="inlineStr">
        <is>
          <t>계단식</t>
        </is>
      </c>
      <c r="W1611" s="0" t="inlineStr">
        <is>
          <t>73E</t>
        </is>
      </c>
      <c r="X1611" s="0" t="n">
        <v>7</v>
      </c>
      <c r="Y1611" s="0" t="n">
        <v>7</v>
      </c>
      <c r="Z1611" s="0" t="inlineStr">
        <is>
          <t>https://new.land.naver.com/complexes/131102?tab=detail&amp;rf=Y</t>
        </is>
      </c>
      <c r="AA1611" s="0" t="inlineStr">
        <is>
          <t>서울시 강동구 성내동 607</t>
        </is>
      </c>
      <c r="AB1611" s="0" t="inlineStr">
        <is>
          <t>서울시</t>
        </is>
      </c>
      <c r="AC1611" s="0" t="inlineStr">
        <is>
          <t>강동구</t>
        </is>
      </c>
      <c r="AD1611" s="0" t="inlineStr">
        <is>
          <t>성내동</t>
        </is>
      </c>
      <c r="AG1611" s="0" t="inlineStr">
        <is>
          <t>서울시 강동구 천호옛6길 15</t>
        </is>
      </c>
      <c r="AH1611" s="0" t="n">
        <v>0</v>
      </c>
      <c r="AI1611" s="0" t="n">
        <v>0</v>
      </c>
      <c r="AJ1611" s="0" t="n">
        <v>0</v>
      </c>
      <c r="AK1611" s="0" t="n">
        <v>71</v>
      </c>
      <c r="AL1611" s="0" t="n">
        <v>1</v>
      </c>
    </row>
    <row r="1612">
      <c r="A1612" s="0" t="inlineStr">
        <is>
          <t>[성내동]</t>
        </is>
      </c>
      <c r="B1612" s="0" t="n">
        <v>131102</v>
      </c>
      <c r="C1612" s="0" t="n">
        <v>5</v>
      </c>
      <c r="D1612" s="0" t="inlineStr">
        <is>
          <t>라움포레</t>
        </is>
      </c>
      <c r="E1612" s="0" t="inlineStr">
        <is>
          <t>2020.12.</t>
        </is>
      </c>
      <c r="F1612" s="0" t="n">
        <v>71</v>
      </c>
      <c r="G1612" s="0" t="n">
        <v>22.47</v>
      </c>
      <c r="H1612" s="0" t="n">
        <v>74.3</v>
      </c>
      <c r="I1612" s="0" t="n">
        <v>17.9</v>
      </c>
      <c r="J1612" s="0" t="n">
        <v>59.18</v>
      </c>
      <c r="K1612" s="0" t="n">
        <v>7</v>
      </c>
      <c r="T1612" s="0" t="n">
        <v>3</v>
      </c>
      <c r="U1612" s="0" t="n">
        <v>2</v>
      </c>
      <c r="V1612" s="0" t="inlineStr">
        <is>
          <t>계단식</t>
        </is>
      </c>
      <c r="W1612" s="0" t="inlineStr">
        <is>
          <t>74F</t>
        </is>
      </c>
      <c r="X1612" s="0" t="n">
        <v>7</v>
      </c>
      <c r="Y1612" s="0" t="n">
        <v>7</v>
      </c>
      <c r="Z1612" s="0" t="inlineStr">
        <is>
          <t>https://new.land.naver.com/complexes/131102?tab=detail&amp;rf=Y</t>
        </is>
      </c>
      <c r="AA1612" s="0" t="inlineStr">
        <is>
          <t>서울시 강동구 성내동 607</t>
        </is>
      </c>
      <c r="AB1612" s="0" t="inlineStr">
        <is>
          <t>서울시</t>
        </is>
      </c>
      <c r="AC1612" s="0" t="inlineStr">
        <is>
          <t>강동구</t>
        </is>
      </c>
      <c r="AD1612" s="0" t="inlineStr">
        <is>
          <t>성내동</t>
        </is>
      </c>
      <c r="AG1612" s="0" t="inlineStr">
        <is>
          <t>서울시 강동구 천호옛6길 15</t>
        </is>
      </c>
      <c r="AH1612" s="0" t="n">
        <v>0</v>
      </c>
      <c r="AI1612" s="0" t="n">
        <v>0</v>
      </c>
      <c r="AJ1612" s="0" t="n">
        <v>0</v>
      </c>
      <c r="AK1612" s="0" t="n">
        <v>71</v>
      </c>
      <c r="AL1612" s="0" t="n">
        <v>1</v>
      </c>
    </row>
    <row r="1613">
      <c r="A1613" s="0" t="inlineStr">
        <is>
          <t>[성내동]</t>
        </is>
      </c>
      <c r="B1613" s="0" t="n">
        <v>131102</v>
      </c>
      <c r="C1613" s="0" t="n">
        <v>6</v>
      </c>
      <c r="D1613" s="0" t="inlineStr">
        <is>
          <t>라움포레</t>
        </is>
      </c>
      <c r="E1613" s="0" t="inlineStr">
        <is>
          <t>2020.12.</t>
        </is>
      </c>
      <c r="F1613" s="0" t="n">
        <v>71</v>
      </c>
      <c r="G1613" s="0" t="n">
        <v>22.41</v>
      </c>
      <c r="H1613" s="0" t="n">
        <v>74.11</v>
      </c>
      <c r="I1613" s="0" t="n">
        <v>17.92</v>
      </c>
      <c r="J1613" s="0" t="n">
        <v>59.27</v>
      </c>
      <c r="K1613" s="0" t="n">
        <v>6</v>
      </c>
      <c r="T1613" s="0" t="n">
        <v>3</v>
      </c>
      <c r="U1613" s="0" t="n">
        <v>2</v>
      </c>
      <c r="V1613" s="0" t="inlineStr">
        <is>
          <t>계단식</t>
        </is>
      </c>
      <c r="W1613" s="0" t="inlineStr">
        <is>
          <t>74B</t>
        </is>
      </c>
      <c r="X1613" s="0" t="n">
        <v>7</v>
      </c>
      <c r="Y1613" s="0" t="n">
        <v>7</v>
      </c>
      <c r="Z1613" s="0" t="inlineStr">
        <is>
          <t>https://new.land.naver.com/complexes/131102?tab=detail&amp;rf=Y</t>
        </is>
      </c>
      <c r="AA1613" s="0" t="inlineStr">
        <is>
          <t>서울시 강동구 성내동 607</t>
        </is>
      </c>
      <c r="AB1613" s="0" t="inlineStr">
        <is>
          <t>서울시</t>
        </is>
      </c>
      <c r="AC1613" s="0" t="inlineStr">
        <is>
          <t>강동구</t>
        </is>
      </c>
      <c r="AD1613" s="0" t="inlineStr">
        <is>
          <t>성내동</t>
        </is>
      </c>
      <c r="AG1613" s="0" t="inlineStr">
        <is>
          <t>서울시 강동구 천호옛6길 15</t>
        </is>
      </c>
      <c r="AH1613" s="0" t="n">
        <v>0</v>
      </c>
      <c r="AI1613" s="0" t="n">
        <v>0</v>
      </c>
      <c r="AJ1613" s="0" t="n">
        <v>0</v>
      </c>
      <c r="AK1613" s="0" t="n">
        <v>71</v>
      </c>
      <c r="AL1613" s="0" t="n">
        <v>1</v>
      </c>
    </row>
    <row r="1614">
      <c r="A1614" s="0" t="inlineStr">
        <is>
          <t>[성내동]</t>
        </is>
      </c>
      <c r="B1614" s="0" t="n">
        <v>131102</v>
      </c>
      <c r="C1614" s="0" t="n">
        <v>7</v>
      </c>
      <c r="D1614" s="0" t="inlineStr">
        <is>
          <t>라움포레</t>
        </is>
      </c>
      <c r="E1614" s="0" t="inlineStr">
        <is>
          <t>2020.12.</t>
        </is>
      </c>
      <c r="F1614" s="0" t="n">
        <v>71</v>
      </c>
      <c r="G1614" s="0" t="n">
        <v>22.4</v>
      </c>
      <c r="H1614" s="0" t="n">
        <v>74.08</v>
      </c>
      <c r="I1614" s="0" t="n">
        <v>18.03</v>
      </c>
      <c r="J1614" s="0" t="n">
        <v>59.63</v>
      </c>
      <c r="K1614" s="0" t="n">
        <v>6</v>
      </c>
      <c r="T1614" s="0" t="n">
        <v>3</v>
      </c>
      <c r="U1614" s="0" t="n">
        <v>2</v>
      </c>
      <c r="V1614" s="0" t="inlineStr">
        <is>
          <t>계단식</t>
        </is>
      </c>
      <c r="W1614" s="0" t="inlineStr">
        <is>
          <t>74D</t>
        </is>
      </c>
      <c r="X1614" s="0" t="n">
        <v>7</v>
      </c>
      <c r="Y1614" s="0" t="n">
        <v>7</v>
      </c>
      <c r="Z1614" s="0" t="inlineStr">
        <is>
          <t>https://new.land.naver.com/complexes/131102?tab=detail&amp;rf=Y</t>
        </is>
      </c>
      <c r="AA1614" s="0" t="inlineStr">
        <is>
          <t>서울시 강동구 성내동 607</t>
        </is>
      </c>
      <c r="AB1614" s="0" t="inlineStr">
        <is>
          <t>서울시</t>
        </is>
      </c>
      <c r="AC1614" s="0" t="inlineStr">
        <is>
          <t>강동구</t>
        </is>
      </c>
      <c r="AD1614" s="0" t="inlineStr">
        <is>
          <t>성내동</t>
        </is>
      </c>
      <c r="AG1614" s="0" t="inlineStr">
        <is>
          <t>서울시 강동구 천호옛6길 15</t>
        </is>
      </c>
      <c r="AH1614" s="0" t="n">
        <v>0</v>
      </c>
      <c r="AI1614" s="0" t="n">
        <v>0</v>
      </c>
      <c r="AJ1614" s="0" t="n">
        <v>0</v>
      </c>
      <c r="AK1614" s="0" t="n">
        <v>71</v>
      </c>
      <c r="AL1614" s="0" t="n">
        <v>1</v>
      </c>
    </row>
    <row r="1615">
      <c r="A1615" s="0" t="inlineStr">
        <is>
          <t>[성내동]</t>
        </is>
      </c>
      <c r="B1615" s="0" t="n">
        <v>106389</v>
      </c>
      <c r="C1615" s="0" t="n">
        <v>1</v>
      </c>
      <c r="D1615" s="0" t="inlineStr">
        <is>
          <t>신성</t>
        </is>
      </c>
      <c r="E1615" s="0" t="inlineStr">
        <is>
          <t>2004.02.</t>
        </is>
      </c>
      <c r="F1615" s="0" t="n">
        <v>15</v>
      </c>
      <c r="G1615" s="0" t="n">
        <v>19.22</v>
      </c>
      <c r="H1615" s="0" t="n">
        <v>63.55</v>
      </c>
      <c r="I1615" s="0" t="n">
        <v>17</v>
      </c>
      <c r="J1615" s="0" t="n">
        <v>56.22</v>
      </c>
      <c r="K1615" s="0" t="n">
        <v>1</v>
      </c>
      <c r="T1615" s="0" t="n">
        <v>2</v>
      </c>
      <c r="U1615" s="0" t="n">
        <v>1</v>
      </c>
      <c r="V1615" s="0" t="inlineStr">
        <is>
          <t>복도식</t>
        </is>
      </c>
      <c r="W1615" s="0" t="n">
        <v>63</v>
      </c>
      <c r="X1615" s="0" t="n">
        <v>7</v>
      </c>
      <c r="Y1615" s="0" t="n">
        <v>4</v>
      </c>
      <c r="Z1615" s="0" t="inlineStr">
        <is>
          <t>https://new.land.naver.com/complexes/106389?tab=detail&amp;rf=Y</t>
        </is>
      </c>
      <c r="AA1615" s="0" t="inlineStr">
        <is>
          <t>서울시 강동구 성내동 423-15</t>
        </is>
      </c>
      <c r="AB1615" s="0" t="inlineStr">
        <is>
          <t>서울시</t>
        </is>
      </c>
      <c r="AC1615" s="0" t="inlineStr">
        <is>
          <t>강동구</t>
        </is>
      </c>
      <c r="AD1615" s="0" t="inlineStr">
        <is>
          <t>성내동</t>
        </is>
      </c>
      <c r="AG1615" s="0" t="inlineStr">
        <is>
          <t>서울시 강동구 풍성로52길 41</t>
        </is>
      </c>
      <c r="AH1615" s="0" t="n">
        <v>0</v>
      </c>
      <c r="AI1615" s="0" t="n">
        <v>289</v>
      </c>
      <c r="AJ1615" s="0" t="n">
        <v>59</v>
      </c>
      <c r="AK1615" s="0" t="n">
        <v>15</v>
      </c>
      <c r="AL1615" s="0" t="n">
        <v>1</v>
      </c>
    </row>
    <row r="1616">
      <c r="A1616" s="0" t="inlineStr">
        <is>
          <t>[성내동]</t>
        </is>
      </c>
      <c r="B1616" s="0" t="n">
        <v>106389</v>
      </c>
      <c r="C1616" s="0" t="n">
        <v>2</v>
      </c>
      <c r="D1616" s="0" t="inlineStr">
        <is>
          <t>신성</t>
        </is>
      </c>
      <c r="E1616" s="0" t="inlineStr">
        <is>
          <t>2004.02.</t>
        </is>
      </c>
      <c r="F1616" s="0" t="n">
        <v>15</v>
      </c>
      <c r="G1616" s="0" t="n">
        <v>22.23</v>
      </c>
      <c r="H1616" s="0" t="n">
        <v>73.5</v>
      </c>
      <c r="I1616" s="0" t="n">
        <v>19.67</v>
      </c>
      <c r="J1616" s="0" t="n">
        <v>65.03</v>
      </c>
      <c r="K1616" s="0" t="n">
        <v>1</v>
      </c>
      <c r="T1616" s="0" t="n">
        <v>2</v>
      </c>
      <c r="U1616" s="0" t="n">
        <v>1</v>
      </c>
      <c r="V1616" s="0" t="inlineStr">
        <is>
          <t>복도식</t>
        </is>
      </c>
      <c r="W1616" s="0" t="n">
        <v>73</v>
      </c>
      <c r="X1616" s="0" t="n">
        <v>7</v>
      </c>
      <c r="Y1616" s="0" t="n">
        <v>4</v>
      </c>
      <c r="Z1616" s="0" t="inlineStr">
        <is>
          <t>https://new.land.naver.com/complexes/106389?tab=detail&amp;rf=Y</t>
        </is>
      </c>
      <c r="AA1616" s="0" t="inlineStr">
        <is>
          <t>서울시 강동구 성내동 423-15</t>
        </is>
      </c>
      <c r="AB1616" s="0" t="inlineStr">
        <is>
          <t>서울시</t>
        </is>
      </c>
      <c r="AC1616" s="0" t="inlineStr">
        <is>
          <t>강동구</t>
        </is>
      </c>
      <c r="AD1616" s="0" t="inlineStr">
        <is>
          <t>성내동</t>
        </is>
      </c>
      <c r="AG1616" s="0" t="inlineStr">
        <is>
          <t>서울시 강동구 풍성로52길 41</t>
        </is>
      </c>
      <c r="AH1616" s="0" t="n">
        <v>0</v>
      </c>
      <c r="AI1616" s="0" t="n">
        <v>289</v>
      </c>
      <c r="AJ1616" s="0" t="n">
        <v>59</v>
      </c>
      <c r="AK1616" s="0" t="n">
        <v>15</v>
      </c>
      <c r="AL1616" s="0" t="n">
        <v>1</v>
      </c>
    </row>
    <row r="1617">
      <c r="A1617" s="0" t="inlineStr">
        <is>
          <t>[성내동]</t>
        </is>
      </c>
      <c r="B1617" s="0" t="n">
        <v>106389</v>
      </c>
      <c r="C1617" s="0" t="n">
        <v>3</v>
      </c>
      <c r="D1617" s="0" t="inlineStr">
        <is>
          <t>신성</t>
        </is>
      </c>
      <c r="E1617" s="0" t="inlineStr">
        <is>
          <t>2004.02.</t>
        </is>
      </c>
      <c r="F1617" s="0" t="n">
        <v>15</v>
      </c>
      <c r="G1617" s="0" t="n">
        <v>22.62</v>
      </c>
      <c r="H1617" s="0" t="n">
        <v>74.79000000000001</v>
      </c>
      <c r="I1617" s="0" t="n">
        <v>20.01</v>
      </c>
      <c r="J1617" s="0" t="n">
        <v>66.17</v>
      </c>
      <c r="K1617" s="0" t="n">
        <v>1</v>
      </c>
      <c r="T1617" s="0" t="n">
        <v>3</v>
      </c>
      <c r="U1617" s="0" t="n">
        <v>2</v>
      </c>
      <c r="V1617" s="0" t="inlineStr">
        <is>
          <t>복도식</t>
        </is>
      </c>
      <c r="W1617" s="0" t="inlineStr">
        <is>
          <t>74A</t>
        </is>
      </c>
      <c r="X1617" s="0" t="n">
        <v>7</v>
      </c>
      <c r="Y1617" s="0" t="n">
        <v>4</v>
      </c>
      <c r="Z1617" s="0" t="inlineStr">
        <is>
          <t>https://new.land.naver.com/complexes/106389?tab=detail&amp;rf=Y</t>
        </is>
      </c>
      <c r="AA1617" s="0" t="inlineStr">
        <is>
          <t>서울시 강동구 성내동 423-15</t>
        </is>
      </c>
      <c r="AB1617" s="0" t="inlineStr">
        <is>
          <t>서울시</t>
        </is>
      </c>
      <c r="AC1617" s="0" t="inlineStr">
        <is>
          <t>강동구</t>
        </is>
      </c>
      <c r="AD1617" s="0" t="inlineStr">
        <is>
          <t>성내동</t>
        </is>
      </c>
      <c r="AG1617" s="0" t="inlineStr">
        <is>
          <t>서울시 강동구 풍성로52길 41</t>
        </is>
      </c>
      <c r="AH1617" s="0" t="n">
        <v>0</v>
      </c>
      <c r="AI1617" s="0" t="n">
        <v>289</v>
      </c>
      <c r="AJ1617" s="0" t="n">
        <v>59</v>
      </c>
      <c r="AK1617" s="0" t="n">
        <v>15</v>
      </c>
      <c r="AL1617" s="0" t="n">
        <v>1</v>
      </c>
    </row>
    <row r="1618">
      <c r="A1618" s="0" t="inlineStr">
        <is>
          <t>[성내동]</t>
        </is>
      </c>
      <c r="B1618" s="0" t="n">
        <v>106389</v>
      </c>
      <c r="C1618" s="0" t="n">
        <v>4</v>
      </c>
      <c r="D1618" s="0" t="inlineStr">
        <is>
          <t>신성</t>
        </is>
      </c>
      <c r="E1618" s="0" t="inlineStr">
        <is>
          <t>2004.02.</t>
        </is>
      </c>
      <c r="F1618" s="0" t="n">
        <v>15</v>
      </c>
      <c r="G1618" s="0" t="n">
        <v>22.74</v>
      </c>
      <c r="H1618" s="0" t="n">
        <v>75.18000000000001</v>
      </c>
      <c r="I1618" s="0" t="n">
        <v>20.11</v>
      </c>
      <c r="J1618" s="0" t="n">
        <v>66.51000000000001</v>
      </c>
      <c r="K1618" s="0" t="n">
        <v>1</v>
      </c>
      <c r="T1618" s="0" t="n">
        <v>3</v>
      </c>
      <c r="U1618" s="0" t="n">
        <v>2</v>
      </c>
      <c r="V1618" s="0" t="inlineStr">
        <is>
          <t>복도식</t>
        </is>
      </c>
      <c r="W1618" s="0" t="inlineStr">
        <is>
          <t>75B</t>
        </is>
      </c>
      <c r="X1618" s="0" t="n">
        <v>7</v>
      </c>
      <c r="Y1618" s="0" t="n">
        <v>4</v>
      </c>
      <c r="Z1618" s="0" t="inlineStr">
        <is>
          <t>https://new.land.naver.com/complexes/106389?tab=detail&amp;rf=Y</t>
        </is>
      </c>
      <c r="AA1618" s="0" t="inlineStr">
        <is>
          <t>서울시 강동구 성내동 423-15</t>
        </is>
      </c>
      <c r="AB1618" s="0" t="inlineStr">
        <is>
          <t>서울시</t>
        </is>
      </c>
      <c r="AC1618" s="0" t="inlineStr">
        <is>
          <t>강동구</t>
        </is>
      </c>
      <c r="AD1618" s="0" t="inlineStr">
        <is>
          <t>성내동</t>
        </is>
      </c>
      <c r="AG1618" s="0" t="inlineStr">
        <is>
          <t>서울시 강동구 풍성로52길 41</t>
        </is>
      </c>
      <c r="AH1618" s="0" t="n">
        <v>0</v>
      </c>
      <c r="AI1618" s="0" t="n">
        <v>289</v>
      </c>
      <c r="AJ1618" s="0" t="n">
        <v>59</v>
      </c>
      <c r="AK1618" s="0" t="n">
        <v>15</v>
      </c>
      <c r="AL1618" s="0" t="n">
        <v>1</v>
      </c>
    </row>
    <row r="1619">
      <c r="A1619" s="0" t="inlineStr">
        <is>
          <t>[성내동]</t>
        </is>
      </c>
      <c r="B1619" s="0" t="n">
        <v>106389</v>
      </c>
      <c r="C1619" s="0" t="n">
        <v>5</v>
      </c>
      <c r="D1619" s="0" t="inlineStr">
        <is>
          <t>신성</t>
        </is>
      </c>
      <c r="E1619" s="0" t="inlineStr">
        <is>
          <t>2004.02.</t>
        </is>
      </c>
      <c r="F1619" s="0" t="n">
        <v>15</v>
      </c>
      <c r="G1619" s="0" t="n">
        <v>25.99</v>
      </c>
      <c r="H1619" s="0" t="n">
        <v>85.93000000000001</v>
      </c>
      <c r="I1619" s="0" t="n">
        <v>22.99</v>
      </c>
      <c r="J1619" s="0" t="n">
        <v>76.02</v>
      </c>
      <c r="K1619" s="0" t="n">
        <v>2</v>
      </c>
      <c r="T1619" s="0" t="n">
        <v>3</v>
      </c>
      <c r="U1619" s="0" t="n">
        <v>2</v>
      </c>
      <c r="V1619" s="0" t="inlineStr">
        <is>
          <t>복도식</t>
        </is>
      </c>
      <c r="W1619" s="0" t="inlineStr">
        <is>
          <t>85A</t>
        </is>
      </c>
      <c r="X1619" s="0" t="n">
        <v>7</v>
      </c>
      <c r="Y1619" s="0" t="n">
        <v>4</v>
      </c>
      <c r="Z1619" s="0" t="inlineStr">
        <is>
          <t>https://new.land.naver.com/complexes/106389?tab=detail&amp;rf=Y</t>
        </is>
      </c>
      <c r="AA1619" s="0" t="inlineStr">
        <is>
          <t>서울시 강동구 성내동 423-15</t>
        </is>
      </c>
      <c r="AB1619" s="0" t="inlineStr">
        <is>
          <t>서울시</t>
        </is>
      </c>
      <c r="AC1619" s="0" t="inlineStr">
        <is>
          <t>강동구</t>
        </is>
      </c>
      <c r="AD1619" s="0" t="inlineStr">
        <is>
          <t>성내동</t>
        </is>
      </c>
      <c r="AG1619" s="0" t="inlineStr">
        <is>
          <t>서울시 강동구 풍성로52길 41</t>
        </is>
      </c>
      <c r="AH1619" s="0" t="n">
        <v>0</v>
      </c>
      <c r="AI1619" s="0" t="n">
        <v>289</v>
      </c>
      <c r="AJ1619" s="0" t="n">
        <v>59</v>
      </c>
      <c r="AK1619" s="0" t="n">
        <v>15</v>
      </c>
      <c r="AL1619" s="0" t="n">
        <v>1</v>
      </c>
    </row>
    <row r="1620">
      <c r="A1620" s="0" t="inlineStr">
        <is>
          <t>[성내동]</t>
        </is>
      </c>
      <c r="B1620" s="0" t="n">
        <v>106389</v>
      </c>
      <c r="C1620" s="0" t="n">
        <v>6</v>
      </c>
      <c r="D1620" s="0" t="inlineStr">
        <is>
          <t>신성</t>
        </is>
      </c>
      <c r="E1620" s="0" t="inlineStr">
        <is>
          <t>2004.02.</t>
        </is>
      </c>
      <c r="F1620" s="0" t="n">
        <v>15</v>
      </c>
      <c r="G1620" s="0" t="n">
        <v>26.12</v>
      </c>
      <c r="H1620" s="0" t="n">
        <v>86.37</v>
      </c>
      <c r="I1620" s="0" t="n">
        <v>23.11</v>
      </c>
      <c r="J1620" s="0" t="n">
        <v>76.41</v>
      </c>
      <c r="K1620" s="0" t="n">
        <v>2</v>
      </c>
      <c r="T1620" s="0" t="n">
        <v>3</v>
      </c>
      <c r="U1620" s="0" t="n">
        <v>2</v>
      </c>
      <c r="V1620" s="0" t="inlineStr">
        <is>
          <t>복도식</t>
        </is>
      </c>
      <c r="W1620" s="0" t="inlineStr">
        <is>
          <t>86B</t>
        </is>
      </c>
      <c r="X1620" s="0" t="n">
        <v>7</v>
      </c>
      <c r="Y1620" s="0" t="n">
        <v>4</v>
      </c>
      <c r="Z1620" s="0" t="inlineStr">
        <is>
          <t>https://new.land.naver.com/complexes/106389?tab=detail&amp;rf=Y</t>
        </is>
      </c>
      <c r="AA1620" s="0" t="inlineStr">
        <is>
          <t>서울시 강동구 성내동 423-15</t>
        </is>
      </c>
      <c r="AB1620" s="0" t="inlineStr">
        <is>
          <t>서울시</t>
        </is>
      </c>
      <c r="AC1620" s="0" t="inlineStr">
        <is>
          <t>강동구</t>
        </is>
      </c>
      <c r="AD1620" s="0" t="inlineStr">
        <is>
          <t>성내동</t>
        </is>
      </c>
      <c r="AG1620" s="0" t="inlineStr">
        <is>
          <t>서울시 강동구 풍성로52길 41</t>
        </is>
      </c>
      <c r="AH1620" s="0" t="n">
        <v>0</v>
      </c>
      <c r="AI1620" s="0" t="n">
        <v>289</v>
      </c>
      <c r="AJ1620" s="0" t="n">
        <v>59</v>
      </c>
      <c r="AK1620" s="0" t="n">
        <v>15</v>
      </c>
      <c r="AL1620" s="0" t="n">
        <v>1</v>
      </c>
    </row>
    <row r="1621">
      <c r="A1621" s="0" t="inlineStr">
        <is>
          <t>[성내동]</t>
        </is>
      </c>
      <c r="B1621" s="0" t="n">
        <v>106389</v>
      </c>
      <c r="C1621" s="0" t="n">
        <v>7</v>
      </c>
      <c r="D1621" s="0" t="inlineStr">
        <is>
          <t>신성</t>
        </is>
      </c>
      <c r="E1621" s="0" t="inlineStr">
        <is>
          <t>2004.02.</t>
        </is>
      </c>
      <c r="F1621" s="0" t="n">
        <v>15</v>
      </c>
      <c r="G1621" s="0" t="n">
        <v>27.52</v>
      </c>
      <c r="H1621" s="0" t="n">
        <v>91</v>
      </c>
      <c r="I1621" s="0" t="n">
        <v>24.35</v>
      </c>
      <c r="J1621" s="0" t="n">
        <v>80.51000000000001</v>
      </c>
      <c r="K1621" s="0" t="n">
        <v>1</v>
      </c>
      <c r="T1621" s="0" t="n">
        <v>3</v>
      </c>
      <c r="U1621" s="0" t="n">
        <v>2</v>
      </c>
      <c r="V1621" s="0" t="inlineStr">
        <is>
          <t>복도식</t>
        </is>
      </c>
      <c r="W1621" s="0" t="inlineStr">
        <is>
          <t>91A</t>
        </is>
      </c>
      <c r="X1621" s="0" t="n">
        <v>7</v>
      </c>
      <c r="Y1621" s="0" t="n">
        <v>4</v>
      </c>
      <c r="Z1621" s="0" t="inlineStr">
        <is>
          <t>https://new.land.naver.com/complexes/106389?tab=detail&amp;rf=Y</t>
        </is>
      </c>
      <c r="AA1621" s="0" t="inlineStr">
        <is>
          <t>서울시 강동구 성내동 423-15</t>
        </is>
      </c>
      <c r="AB1621" s="0" t="inlineStr">
        <is>
          <t>서울시</t>
        </is>
      </c>
      <c r="AC1621" s="0" t="inlineStr">
        <is>
          <t>강동구</t>
        </is>
      </c>
      <c r="AD1621" s="0" t="inlineStr">
        <is>
          <t>성내동</t>
        </is>
      </c>
      <c r="AG1621" s="0" t="inlineStr">
        <is>
          <t>서울시 강동구 풍성로52길 41</t>
        </is>
      </c>
      <c r="AH1621" s="0" t="n">
        <v>0</v>
      </c>
      <c r="AI1621" s="0" t="n">
        <v>289</v>
      </c>
      <c r="AJ1621" s="0" t="n">
        <v>59</v>
      </c>
      <c r="AK1621" s="0" t="n">
        <v>15</v>
      </c>
      <c r="AL1621" s="0" t="n">
        <v>1</v>
      </c>
    </row>
    <row r="1622">
      <c r="A1622" s="0" t="inlineStr">
        <is>
          <t>[성내동]</t>
        </is>
      </c>
      <c r="B1622" s="0" t="n">
        <v>106389</v>
      </c>
      <c r="C1622" s="0" t="n">
        <v>8</v>
      </c>
      <c r="D1622" s="0" t="inlineStr">
        <is>
          <t>신성</t>
        </is>
      </c>
      <c r="E1622" s="0" t="inlineStr">
        <is>
          <t>2004.02.</t>
        </is>
      </c>
      <c r="F1622" s="0" t="n">
        <v>15</v>
      </c>
      <c r="G1622" s="0" t="n">
        <v>27.77</v>
      </c>
      <c r="H1622" s="0" t="n">
        <v>91.81999999999999</v>
      </c>
      <c r="I1622" s="0" t="n">
        <v>24.57</v>
      </c>
      <c r="J1622" s="0" t="n">
        <v>81.23</v>
      </c>
      <c r="K1622" s="0" t="n">
        <v>1</v>
      </c>
      <c r="T1622" s="0" t="n">
        <v>3</v>
      </c>
      <c r="U1622" s="0" t="n">
        <v>2</v>
      </c>
      <c r="V1622" s="0" t="inlineStr">
        <is>
          <t>복도식</t>
        </is>
      </c>
      <c r="W1622" s="0" t="inlineStr">
        <is>
          <t>91B</t>
        </is>
      </c>
      <c r="X1622" s="0" t="n">
        <v>7</v>
      </c>
      <c r="Y1622" s="0" t="n">
        <v>4</v>
      </c>
      <c r="Z1622" s="0" t="inlineStr">
        <is>
          <t>https://new.land.naver.com/complexes/106389?tab=detail&amp;rf=Y</t>
        </is>
      </c>
      <c r="AA1622" s="0" t="inlineStr">
        <is>
          <t>서울시 강동구 성내동 423-15</t>
        </is>
      </c>
      <c r="AB1622" s="0" t="inlineStr">
        <is>
          <t>서울시</t>
        </is>
      </c>
      <c r="AC1622" s="0" t="inlineStr">
        <is>
          <t>강동구</t>
        </is>
      </c>
      <c r="AD1622" s="0" t="inlineStr">
        <is>
          <t>성내동</t>
        </is>
      </c>
      <c r="AG1622" s="0" t="inlineStr">
        <is>
          <t>서울시 강동구 풍성로52길 41</t>
        </is>
      </c>
      <c r="AH1622" s="0" t="n">
        <v>0</v>
      </c>
      <c r="AI1622" s="0" t="n">
        <v>289</v>
      </c>
      <c r="AJ1622" s="0" t="n">
        <v>59</v>
      </c>
      <c r="AK1622" s="0" t="n">
        <v>15</v>
      </c>
      <c r="AL1622" s="0" t="n">
        <v>1</v>
      </c>
    </row>
    <row r="1623">
      <c r="A1623" s="0" t="inlineStr">
        <is>
          <t>[성내동]</t>
        </is>
      </c>
      <c r="B1623" s="0" t="n">
        <v>106389</v>
      </c>
      <c r="C1623" s="0" t="n">
        <v>9</v>
      </c>
      <c r="D1623" s="0" t="inlineStr">
        <is>
          <t>신성</t>
        </is>
      </c>
      <c r="E1623" s="0" t="inlineStr">
        <is>
          <t>2004.02.</t>
        </is>
      </c>
      <c r="F1623" s="0" t="n">
        <v>15</v>
      </c>
      <c r="G1623" s="0" t="n">
        <v>29</v>
      </c>
      <c r="H1623" s="0" t="n">
        <v>95.88</v>
      </c>
      <c r="I1623" s="0" t="n">
        <v>25.66</v>
      </c>
      <c r="J1623" s="0" t="n">
        <v>84.83</v>
      </c>
      <c r="K1623" s="0" t="n">
        <v>3</v>
      </c>
      <c r="T1623" s="0" t="n">
        <v>3</v>
      </c>
      <c r="U1623" s="0" t="n">
        <v>2</v>
      </c>
      <c r="V1623" s="0" t="inlineStr">
        <is>
          <t>복도식</t>
        </is>
      </c>
      <c r="W1623" s="0" t="n">
        <v>95</v>
      </c>
      <c r="X1623" s="0" t="n">
        <v>7</v>
      </c>
      <c r="Y1623" s="0" t="n">
        <v>4</v>
      </c>
      <c r="Z1623" s="0" t="inlineStr">
        <is>
          <t>https://new.land.naver.com/complexes/106389?tab=detail&amp;rf=Y</t>
        </is>
      </c>
      <c r="AA1623" s="0" t="inlineStr">
        <is>
          <t>서울시 강동구 성내동 423-15</t>
        </is>
      </c>
      <c r="AB1623" s="0" t="inlineStr">
        <is>
          <t>서울시</t>
        </is>
      </c>
      <c r="AC1623" s="0" t="inlineStr">
        <is>
          <t>강동구</t>
        </is>
      </c>
      <c r="AD1623" s="0" t="inlineStr">
        <is>
          <t>성내동</t>
        </is>
      </c>
      <c r="AG1623" s="0" t="inlineStr">
        <is>
          <t>서울시 강동구 풍성로52길 41</t>
        </is>
      </c>
      <c r="AH1623" s="0" t="n">
        <v>0</v>
      </c>
      <c r="AI1623" s="0" t="n">
        <v>289</v>
      </c>
      <c r="AJ1623" s="0" t="n">
        <v>59</v>
      </c>
      <c r="AK1623" s="0" t="n">
        <v>15</v>
      </c>
      <c r="AL1623" s="0" t="n">
        <v>1</v>
      </c>
    </row>
    <row r="1624">
      <c r="A1624" s="0" t="inlineStr">
        <is>
          <t>[성내동]</t>
        </is>
      </c>
      <c r="B1624" s="0" t="n">
        <v>106389</v>
      </c>
      <c r="C1624" s="0" t="n">
        <v>10</v>
      </c>
      <c r="D1624" s="0" t="inlineStr">
        <is>
          <t>신성</t>
        </is>
      </c>
      <c r="E1624" s="0" t="inlineStr">
        <is>
          <t>2004.02.</t>
        </is>
      </c>
      <c r="F1624" s="0" t="n">
        <v>15</v>
      </c>
      <c r="G1624" s="0" t="n">
        <v>31.16</v>
      </c>
      <c r="H1624" s="0" t="n">
        <v>103.01</v>
      </c>
      <c r="I1624" s="0" t="n">
        <v>27.56</v>
      </c>
      <c r="J1624" s="0" t="n">
        <v>91.13</v>
      </c>
      <c r="K1624" s="0" t="n">
        <v>1</v>
      </c>
      <c r="T1624" s="0" t="n">
        <v>3</v>
      </c>
      <c r="U1624" s="0" t="n">
        <v>2</v>
      </c>
      <c r="V1624" s="0" t="inlineStr">
        <is>
          <t>복도식</t>
        </is>
      </c>
      <c r="W1624" s="0" t="n">
        <v>103</v>
      </c>
      <c r="X1624" s="0" t="n">
        <v>7</v>
      </c>
      <c r="Y1624" s="0" t="n">
        <v>4</v>
      </c>
      <c r="Z1624" s="0" t="inlineStr">
        <is>
          <t>https://new.land.naver.com/complexes/106389?tab=detail&amp;rf=Y</t>
        </is>
      </c>
      <c r="AA1624" s="0" t="inlineStr">
        <is>
          <t>서울시 강동구 성내동 423-15</t>
        </is>
      </c>
      <c r="AB1624" s="0" t="inlineStr">
        <is>
          <t>서울시</t>
        </is>
      </c>
      <c r="AC1624" s="0" t="inlineStr">
        <is>
          <t>강동구</t>
        </is>
      </c>
      <c r="AD1624" s="0" t="inlineStr">
        <is>
          <t>성내동</t>
        </is>
      </c>
      <c r="AG1624" s="0" t="inlineStr">
        <is>
          <t>서울시 강동구 풍성로52길 41</t>
        </is>
      </c>
      <c r="AH1624" s="0" t="n">
        <v>0</v>
      </c>
      <c r="AI1624" s="0" t="n">
        <v>289</v>
      </c>
      <c r="AJ1624" s="0" t="n">
        <v>59</v>
      </c>
      <c r="AK1624" s="0" t="n">
        <v>15</v>
      </c>
      <c r="AL1624" s="0" t="n">
        <v>1</v>
      </c>
    </row>
    <row r="1625">
      <c r="A1625" s="0" t="inlineStr">
        <is>
          <t>[성내동]</t>
        </is>
      </c>
      <c r="B1625" s="0" t="n">
        <v>106389</v>
      </c>
      <c r="C1625" s="0" t="n">
        <v>11</v>
      </c>
      <c r="D1625" s="0" t="inlineStr">
        <is>
          <t>신성</t>
        </is>
      </c>
      <c r="E1625" s="0" t="inlineStr">
        <is>
          <t>2004.02.</t>
        </is>
      </c>
      <c r="F1625" s="0" t="n">
        <v>15</v>
      </c>
      <c r="G1625" s="0" t="n">
        <v>32.49</v>
      </c>
      <c r="H1625" s="0" t="n">
        <v>107.43</v>
      </c>
      <c r="I1625" s="0" t="n">
        <v>28.74</v>
      </c>
      <c r="J1625" s="0" t="n">
        <v>95.04000000000001</v>
      </c>
      <c r="K1625" s="0" t="n">
        <v>1</v>
      </c>
      <c r="T1625" s="0" t="n">
        <v>3</v>
      </c>
      <c r="U1625" s="0" t="n">
        <v>2</v>
      </c>
      <c r="V1625" s="0" t="inlineStr">
        <is>
          <t>복도식</t>
        </is>
      </c>
      <c r="W1625" s="0" t="n">
        <v>107</v>
      </c>
      <c r="X1625" s="0" t="n">
        <v>7</v>
      </c>
      <c r="Y1625" s="0" t="n">
        <v>4</v>
      </c>
      <c r="Z1625" s="0" t="inlineStr">
        <is>
          <t>https://new.land.naver.com/complexes/106389?tab=detail&amp;rf=Y</t>
        </is>
      </c>
      <c r="AA1625" s="0" t="inlineStr">
        <is>
          <t>서울시 강동구 성내동 423-15</t>
        </is>
      </c>
      <c r="AB1625" s="0" t="inlineStr">
        <is>
          <t>서울시</t>
        </is>
      </c>
      <c r="AC1625" s="0" t="inlineStr">
        <is>
          <t>강동구</t>
        </is>
      </c>
      <c r="AD1625" s="0" t="inlineStr">
        <is>
          <t>성내동</t>
        </is>
      </c>
      <c r="AG1625" s="0" t="inlineStr">
        <is>
          <t>서울시 강동구 풍성로52길 41</t>
        </is>
      </c>
      <c r="AH1625" s="0" t="n">
        <v>0</v>
      </c>
      <c r="AI1625" s="0" t="n">
        <v>289</v>
      </c>
      <c r="AJ1625" s="0" t="n">
        <v>59</v>
      </c>
      <c r="AK1625" s="0" t="n">
        <v>15</v>
      </c>
      <c r="AL1625" s="0" t="n">
        <v>1</v>
      </c>
    </row>
    <row r="1626">
      <c r="A1626" s="0" t="inlineStr">
        <is>
          <t>[성내동]</t>
        </is>
      </c>
      <c r="B1626" s="0" t="n">
        <v>111003</v>
      </c>
      <c r="C1626" s="0" t="n">
        <v>1</v>
      </c>
      <c r="D1626" s="0" t="inlineStr">
        <is>
          <t>로얄</t>
        </is>
      </c>
      <c r="E1626" s="0" t="inlineStr">
        <is>
          <t>2003.12.</t>
        </is>
      </c>
      <c r="F1626" s="0" t="n">
        <v>19</v>
      </c>
      <c r="G1626" s="0" t="n">
        <v>18.24</v>
      </c>
      <c r="H1626" s="0" t="n">
        <v>60.3</v>
      </c>
      <c r="I1626" s="0" t="n">
        <v>16.52</v>
      </c>
      <c r="J1626" s="0" t="n">
        <v>54.62</v>
      </c>
      <c r="K1626" s="0" t="n">
        <v>3</v>
      </c>
      <c r="T1626" s="0" t="n">
        <v>3</v>
      </c>
      <c r="U1626" s="0" t="n">
        <v>1</v>
      </c>
      <c r="V1626" s="0" t="inlineStr">
        <is>
          <t>계단식</t>
        </is>
      </c>
      <c r="W1626" s="0" t="n">
        <v>60</v>
      </c>
      <c r="X1626" s="0" t="n">
        <v>5</v>
      </c>
      <c r="Y1626" s="0" t="n">
        <v>4</v>
      </c>
      <c r="Z1626" s="0" t="inlineStr">
        <is>
          <t>https://new.land.naver.com/complexes/111003?tab=detail&amp;rf=Y</t>
        </is>
      </c>
      <c r="AA1626" s="0" t="inlineStr">
        <is>
          <t>서울시 강동구 성내동 435-5</t>
        </is>
      </c>
      <c r="AB1626" s="0" t="inlineStr">
        <is>
          <t>서울시</t>
        </is>
      </c>
      <c r="AC1626" s="0" t="inlineStr">
        <is>
          <t>강동구</t>
        </is>
      </c>
      <c r="AD1626" s="0" t="inlineStr">
        <is>
          <t>성내동</t>
        </is>
      </c>
      <c r="AG1626" s="0" t="inlineStr">
        <is>
          <t>서울시 강동구 성내로18길 13</t>
        </is>
      </c>
      <c r="AH1626" s="0" t="n">
        <v>0</v>
      </c>
      <c r="AI1626" s="0" t="n">
        <v>199</v>
      </c>
      <c r="AJ1626" s="0" t="n">
        <v>47</v>
      </c>
      <c r="AK1626" s="0" t="n">
        <v>20</v>
      </c>
      <c r="AL1626" s="0" t="n">
        <v>1.05</v>
      </c>
    </row>
    <row r="1627">
      <c r="A1627" s="0" t="inlineStr">
        <is>
          <t>[성내동]</t>
        </is>
      </c>
      <c r="B1627" s="0" t="n">
        <v>111003</v>
      </c>
      <c r="C1627" s="0" t="n">
        <v>2</v>
      </c>
      <c r="D1627" s="0" t="inlineStr">
        <is>
          <t>로얄</t>
        </is>
      </c>
      <c r="E1627" s="0" t="inlineStr">
        <is>
          <t>2003.12.</t>
        </is>
      </c>
      <c r="F1627" s="0" t="n">
        <v>19</v>
      </c>
      <c r="G1627" s="0" t="n">
        <v>25.27</v>
      </c>
      <c r="H1627" s="0" t="n">
        <v>83.54000000000001</v>
      </c>
      <c r="I1627" s="0" t="n">
        <v>22.89</v>
      </c>
      <c r="J1627" s="0" t="n">
        <v>75.68000000000001</v>
      </c>
      <c r="K1627" s="0" t="n">
        <v>16</v>
      </c>
      <c r="T1627" s="0" t="n">
        <v>3</v>
      </c>
      <c r="U1627" s="0" t="n">
        <v>2</v>
      </c>
      <c r="V1627" s="0" t="inlineStr">
        <is>
          <t>계단식</t>
        </is>
      </c>
      <c r="W1627" s="0" t="n">
        <v>83</v>
      </c>
      <c r="X1627" s="0" t="n">
        <v>5</v>
      </c>
      <c r="Y1627" s="0" t="n">
        <v>4</v>
      </c>
      <c r="Z1627" s="0" t="inlineStr">
        <is>
          <t>https://new.land.naver.com/complexes/111003?tab=detail&amp;rf=Y</t>
        </is>
      </c>
      <c r="AA1627" s="0" t="inlineStr">
        <is>
          <t>서울시 강동구 성내동 435-5</t>
        </is>
      </c>
      <c r="AB1627" s="0" t="inlineStr">
        <is>
          <t>서울시</t>
        </is>
      </c>
      <c r="AC1627" s="0" t="inlineStr">
        <is>
          <t>강동구</t>
        </is>
      </c>
      <c r="AD1627" s="0" t="inlineStr">
        <is>
          <t>성내동</t>
        </is>
      </c>
      <c r="AG1627" s="0" t="inlineStr">
        <is>
          <t>서울시 강동구 성내로18길 13</t>
        </is>
      </c>
      <c r="AH1627" s="0" t="n">
        <v>0</v>
      </c>
      <c r="AI1627" s="0" t="n">
        <v>199</v>
      </c>
      <c r="AJ1627" s="0" t="n">
        <v>47</v>
      </c>
      <c r="AK1627" s="0" t="n">
        <v>20</v>
      </c>
      <c r="AL1627" s="0" t="n">
        <v>1.05</v>
      </c>
    </row>
    <row r="1628">
      <c r="A1628" s="0" t="inlineStr">
        <is>
          <t>[성내동]</t>
        </is>
      </c>
      <c r="B1628" s="0" t="n">
        <v>11885</v>
      </c>
      <c r="C1628" s="0" t="n">
        <v>1</v>
      </c>
      <c r="D1628" s="0" t="inlineStr">
        <is>
          <t>e편한세상3차</t>
        </is>
      </c>
      <c r="E1628" s="0" t="inlineStr">
        <is>
          <t>2004.09.</t>
        </is>
      </c>
      <c r="F1628" s="0" t="n">
        <v>66</v>
      </c>
      <c r="G1628" s="0" t="n">
        <v>25.52</v>
      </c>
      <c r="H1628" s="0" t="n">
        <v>84.39</v>
      </c>
      <c r="I1628" s="0" t="n">
        <v>20.07</v>
      </c>
      <c r="J1628" s="0" t="n">
        <v>66.37</v>
      </c>
      <c r="K1628" s="0" t="n">
        <v>1</v>
      </c>
      <c r="T1628" s="0" t="n">
        <v>3</v>
      </c>
      <c r="U1628" s="0" t="n">
        <v>2</v>
      </c>
      <c r="V1628" s="0" t="inlineStr">
        <is>
          <t>계단식</t>
        </is>
      </c>
      <c r="W1628" s="0" t="n">
        <v>84</v>
      </c>
      <c r="X1628" s="0" t="n">
        <v>11</v>
      </c>
      <c r="Y1628" s="0" t="n">
        <v>5</v>
      </c>
      <c r="Z1628" s="0" t="inlineStr">
        <is>
          <t>https://new.land.naver.com/complexes/11885?tab=detail&amp;rf=Y</t>
        </is>
      </c>
      <c r="AA1628" s="0" t="inlineStr">
        <is>
          <t>서울시 강동구 성내동 600</t>
        </is>
      </c>
      <c r="AB1628" s="0" t="inlineStr">
        <is>
          <t>서울시</t>
        </is>
      </c>
      <c r="AC1628" s="0" t="inlineStr">
        <is>
          <t>강동구</t>
        </is>
      </c>
      <c r="AD1628" s="0" t="inlineStr">
        <is>
          <t>성내동</t>
        </is>
      </c>
      <c r="AG1628" s="0" t="inlineStr">
        <is>
          <t>서울시 강동구 천호대로162길 35</t>
        </is>
      </c>
      <c r="AH1628" s="0" t="n">
        <v>0</v>
      </c>
      <c r="AI1628" s="0" t="n">
        <v>250</v>
      </c>
      <c r="AJ1628" s="0" t="n">
        <v>32</v>
      </c>
      <c r="AK1628" s="0" t="n">
        <v>74</v>
      </c>
      <c r="AL1628" s="0" t="n">
        <v>1.12</v>
      </c>
    </row>
    <row r="1629">
      <c r="A1629" s="0" t="inlineStr">
        <is>
          <t>[성내동]</t>
        </is>
      </c>
      <c r="B1629" s="0" t="n">
        <v>11885</v>
      </c>
      <c r="C1629" s="0" t="n">
        <v>2</v>
      </c>
      <c r="D1629" s="0" t="inlineStr">
        <is>
          <t>e편한세상3차</t>
        </is>
      </c>
      <c r="E1629" s="0" t="inlineStr">
        <is>
          <t>2004.09.</t>
        </is>
      </c>
      <c r="F1629" s="0" t="n">
        <v>66</v>
      </c>
      <c r="G1629" s="0" t="n">
        <v>27.03</v>
      </c>
      <c r="H1629" s="0" t="n">
        <v>89.36</v>
      </c>
      <c r="I1629" s="0" t="n">
        <v>21.3</v>
      </c>
      <c r="J1629" s="0" t="n">
        <v>70.43000000000001</v>
      </c>
      <c r="K1629" s="0" t="n">
        <v>1</v>
      </c>
      <c r="T1629" s="0" t="n">
        <v>3</v>
      </c>
      <c r="U1629" s="0" t="n">
        <v>2</v>
      </c>
      <c r="V1629" s="0" t="inlineStr">
        <is>
          <t>계단식</t>
        </is>
      </c>
      <c r="W1629" s="0" t="n">
        <v>89</v>
      </c>
      <c r="X1629" s="0" t="n">
        <v>11</v>
      </c>
      <c r="Y1629" s="0" t="n">
        <v>5</v>
      </c>
      <c r="Z1629" s="0" t="inlineStr">
        <is>
          <t>https://new.land.naver.com/complexes/11885?tab=detail&amp;rf=Y</t>
        </is>
      </c>
      <c r="AA1629" s="0" t="inlineStr">
        <is>
          <t>서울시 강동구 성내동 600</t>
        </is>
      </c>
      <c r="AB1629" s="0" t="inlineStr">
        <is>
          <t>서울시</t>
        </is>
      </c>
      <c r="AC1629" s="0" t="inlineStr">
        <is>
          <t>강동구</t>
        </is>
      </c>
      <c r="AD1629" s="0" t="inlineStr">
        <is>
          <t>성내동</t>
        </is>
      </c>
      <c r="AG1629" s="0" t="inlineStr">
        <is>
          <t>서울시 강동구 천호대로162길 35</t>
        </is>
      </c>
      <c r="AH1629" s="0" t="n">
        <v>0</v>
      </c>
      <c r="AI1629" s="0" t="n">
        <v>250</v>
      </c>
      <c r="AJ1629" s="0" t="n">
        <v>32</v>
      </c>
      <c r="AK1629" s="0" t="n">
        <v>74</v>
      </c>
      <c r="AL1629" s="0" t="n">
        <v>1.12</v>
      </c>
    </row>
    <row r="1630">
      <c r="A1630" s="0" t="inlineStr">
        <is>
          <t>[성내동]</t>
        </is>
      </c>
      <c r="B1630" s="0" t="n">
        <v>11885</v>
      </c>
      <c r="C1630" s="0" t="n">
        <v>3</v>
      </c>
      <c r="D1630" s="0" t="inlineStr">
        <is>
          <t>e편한세상3차</t>
        </is>
      </c>
      <c r="E1630" s="0" t="inlineStr">
        <is>
          <t>2004.09.</t>
        </is>
      </c>
      <c r="F1630" s="0" t="n">
        <v>66</v>
      </c>
      <c r="G1630" s="0" t="n">
        <v>29.56</v>
      </c>
      <c r="H1630" s="0" t="n">
        <v>97.75</v>
      </c>
      <c r="I1630" s="0" t="n">
        <v>23.89</v>
      </c>
      <c r="J1630" s="0" t="n">
        <v>78.98</v>
      </c>
      <c r="K1630" s="0" t="n">
        <v>2</v>
      </c>
      <c r="T1630" s="0" t="n">
        <v>3</v>
      </c>
      <c r="U1630" s="0" t="n">
        <v>2</v>
      </c>
      <c r="V1630" s="0" t="inlineStr">
        <is>
          <t>계단식</t>
        </is>
      </c>
      <c r="W1630" s="0" t="n">
        <v>97</v>
      </c>
      <c r="X1630" s="0" t="n">
        <v>11</v>
      </c>
      <c r="Y1630" s="0" t="n">
        <v>5</v>
      </c>
      <c r="Z1630" s="0" t="inlineStr">
        <is>
          <t>https://new.land.naver.com/complexes/11885?tab=detail&amp;rf=Y</t>
        </is>
      </c>
      <c r="AA1630" s="0" t="inlineStr">
        <is>
          <t>서울시 강동구 성내동 600</t>
        </is>
      </c>
      <c r="AB1630" s="0" t="inlineStr">
        <is>
          <t>서울시</t>
        </is>
      </c>
      <c r="AC1630" s="0" t="inlineStr">
        <is>
          <t>강동구</t>
        </is>
      </c>
      <c r="AD1630" s="0" t="inlineStr">
        <is>
          <t>성내동</t>
        </is>
      </c>
      <c r="AG1630" s="0" t="inlineStr">
        <is>
          <t>서울시 강동구 천호대로162길 35</t>
        </is>
      </c>
      <c r="AH1630" s="0" t="n">
        <v>0</v>
      </c>
      <c r="AI1630" s="0" t="n">
        <v>250</v>
      </c>
      <c r="AJ1630" s="0" t="n">
        <v>32</v>
      </c>
      <c r="AK1630" s="0" t="n">
        <v>74</v>
      </c>
      <c r="AL1630" s="0" t="n">
        <v>1.12</v>
      </c>
    </row>
    <row r="1631">
      <c r="A1631" s="0" t="inlineStr">
        <is>
          <t>[성내동]</t>
        </is>
      </c>
      <c r="B1631" s="0" t="n">
        <v>11885</v>
      </c>
      <c r="C1631" s="0" t="n">
        <v>4</v>
      </c>
      <c r="D1631" s="0" t="inlineStr">
        <is>
          <t>e편한세상3차</t>
        </is>
      </c>
      <c r="E1631" s="0" t="inlineStr">
        <is>
          <t>2004.09.</t>
        </is>
      </c>
      <c r="F1631" s="0" t="n">
        <v>66</v>
      </c>
      <c r="G1631" s="0" t="n">
        <v>31.46</v>
      </c>
      <c r="H1631" s="0" t="n">
        <v>104.02</v>
      </c>
      <c r="I1631" s="0" t="n">
        <v>25.47</v>
      </c>
      <c r="J1631" s="0" t="n">
        <v>84.23</v>
      </c>
      <c r="K1631" s="0" t="n">
        <v>46</v>
      </c>
      <c r="T1631" s="0" t="n">
        <v>3</v>
      </c>
      <c r="U1631" s="0" t="n">
        <v>2</v>
      </c>
      <c r="V1631" s="0" t="inlineStr">
        <is>
          <t>계단식</t>
        </is>
      </c>
      <c r="W1631" s="0" t="n">
        <v>104</v>
      </c>
      <c r="X1631" s="0" t="n">
        <v>11</v>
      </c>
      <c r="Y1631" s="0" t="n">
        <v>5</v>
      </c>
      <c r="Z1631" s="0" t="inlineStr">
        <is>
          <t>https://new.land.naver.com/complexes/11885?tab=detail&amp;rf=Y</t>
        </is>
      </c>
      <c r="AA1631" s="0" t="inlineStr">
        <is>
          <t>서울시 강동구 성내동 600</t>
        </is>
      </c>
      <c r="AB1631" s="0" t="inlineStr">
        <is>
          <t>서울시</t>
        </is>
      </c>
      <c r="AC1631" s="0" t="inlineStr">
        <is>
          <t>강동구</t>
        </is>
      </c>
      <c r="AD1631" s="0" t="inlineStr">
        <is>
          <t>성내동</t>
        </is>
      </c>
      <c r="AG1631" s="0" t="inlineStr">
        <is>
          <t>서울시 강동구 천호대로162길 35</t>
        </is>
      </c>
      <c r="AH1631" s="0" t="n">
        <v>0</v>
      </c>
      <c r="AI1631" s="0" t="n">
        <v>250</v>
      </c>
      <c r="AJ1631" s="0" t="n">
        <v>32</v>
      </c>
      <c r="AK1631" s="0" t="n">
        <v>74</v>
      </c>
      <c r="AL1631" s="0" t="n">
        <v>1.12</v>
      </c>
    </row>
    <row r="1632">
      <c r="A1632" s="0" t="inlineStr">
        <is>
          <t>[성내동]</t>
        </is>
      </c>
      <c r="B1632" s="0" t="n">
        <v>11885</v>
      </c>
      <c r="C1632" s="0" t="n">
        <v>5</v>
      </c>
      <c r="D1632" s="0" t="inlineStr">
        <is>
          <t>e편한세상3차</t>
        </is>
      </c>
      <c r="E1632" s="0" t="inlineStr">
        <is>
          <t>2004.09.</t>
        </is>
      </c>
      <c r="F1632" s="0" t="n">
        <v>66</v>
      </c>
      <c r="G1632" s="0" t="n">
        <v>32.11</v>
      </c>
      <c r="H1632" s="0" t="n">
        <v>106.18</v>
      </c>
      <c r="I1632" s="0" t="n">
        <v>25.46</v>
      </c>
      <c r="J1632" s="0" t="n">
        <v>84.18000000000001</v>
      </c>
      <c r="K1632" s="0" t="n">
        <v>16</v>
      </c>
      <c r="T1632" s="0" t="n">
        <v>3</v>
      </c>
      <c r="U1632" s="0" t="n">
        <v>2</v>
      </c>
      <c r="V1632" s="0" t="inlineStr">
        <is>
          <t>계단식</t>
        </is>
      </c>
      <c r="W1632" s="0" t="n">
        <v>106</v>
      </c>
      <c r="X1632" s="0" t="n">
        <v>11</v>
      </c>
      <c r="Y1632" s="0" t="n">
        <v>5</v>
      </c>
      <c r="Z1632" s="0" t="inlineStr">
        <is>
          <t>https://new.land.naver.com/complexes/11885?tab=detail&amp;rf=Y</t>
        </is>
      </c>
      <c r="AA1632" s="0" t="inlineStr">
        <is>
          <t>서울시 강동구 성내동 600</t>
        </is>
      </c>
      <c r="AB1632" s="0" t="inlineStr">
        <is>
          <t>서울시</t>
        </is>
      </c>
      <c r="AC1632" s="0" t="inlineStr">
        <is>
          <t>강동구</t>
        </is>
      </c>
      <c r="AD1632" s="0" t="inlineStr">
        <is>
          <t>성내동</t>
        </is>
      </c>
      <c r="AG1632" s="0" t="inlineStr">
        <is>
          <t>서울시 강동구 천호대로162길 35</t>
        </is>
      </c>
      <c r="AH1632" s="0" t="n">
        <v>0</v>
      </c>
      <c r="AI1632" s="0" t="n">
        <v>250</v>
      </c>
      <c r="AJ1632" s="0" t="n">
        <v>32</v>
      </c>
      <c r="AK1632" s="0" t="n">
        <v>74</v>
      </c>
      <c r="AL1632" s="0" t="n">
        <v>1.12</v>
      </c>
    </row>
    <row r="1633">
      <c r="A1633" s="0" t="inlineStr">
        <is>
          <t>[성내동]</t>
        </is>
      </c>
      <c r="B1633" s="0" t="n">
        <v>10282</v>
      </c>
      <c r="C1633" s="0" t="n">
        <v>1</v>
      </c>
      <c r="D1633" s="0" t="inlineStr">
        <is>
          <t>한독</t>
        </is>
      </c>
      <c r="E1633" s="0" t="inlineStr">
        <is>
          <t>1999.11.</t>
        </is>
      </c>
      <c r="F1633" s="0" t="n">
        <v>18</v>
      </c>
      <c r="G1633" s="0" t="n">
        <v>32.28</v>
      </c>
      <c r="H1633" s="0" t="n">
        <v>106.72</v>
      </c>
      <c r="I1633" s="0" t="n">
        <v>29.16</v>
      </c>
      <c r="J1633" s="0" t="n">
        <v>96.40000000000001</v>
      </c>
      <c r="K1633" s="0" t="n">
        <v>1</v>
      </c>
      <c r="T1633" s="0" t="n">
        <v>3</v>
      </c>
      <c r="U1633" s="0" t="n">
        <v>2</v>
      </c>
      <c r="V1633" s="0" t="inlineStr">
        <is>
          <t>계단식</t>
        </is>
      </c>
      <c r="W1633" s="0" t="inlineStr">
        <is>
          <t>106A</t>
        </is>
      </c>
      <c r="X1633" s="0" t="n">
        <v>9</v>
      </c>
      <c r="Y1633" s="0" t="n">
        <v>9</v>
      </c>
      <c r="Z1633" s="0" t="inlineStr">
        <is>
          <t>https://new.land.naver.com/complexes/10282?tab=detail&amp;rf=Y</t>
        </is>
      </c>
      <c r="AA1633" s="0" t="inlineStr">
        <is>
          <t>서울시 강동구 성내동 435-2</t>
        </is>
      </c>
      <c r="AB1633" s="0" t="inlineStr">
        <is>
          <t>서울시</t>
        </is>
      </c>
      <c r="AC1633" s="0" t="inlineStr">
        <is>
          <t>강동구</t>
        </is>
      </c>
      <c r="AD1633" s="0" t="inlineStr">
        <is>
          <t>성내동</t>
        </is>
      </c>
      <c r="AG1633" s="0" t="inlineStr">
        <is>
          <t>서울시 강동구 성내로18길 9</t>
        </is>
      </c>
      <c r="AH1633" s="0" t="n">
        <v>0</v>
      </c>
      <c r="AI1633" s="0" t="n">
        <v>223</v>
      </c>
      <c r="AJ1633" s="0" t="n">
        <v>29</v>
      </c>
      <c r="AK1633" s="0" t="n">
        <v>19</v>
      </c>
      <c r="AL1633" s="0" t="n">
        <v>1.06</v>
      </c>
    </row>
    <row r="1634">
      <c r="A1634" s="0" t="inlineStr">
        <is>
          <t>[성내동]</t>
        </is>
      </c>
      <c r="B1634" s="0" t="n">
        <v>10282</v>
      </c>
      <c r="C1634" s="0" t="n">
        <v>2</v>
      </c>
      <c r="D1634" s="0" t="inlineStr">
        <is>
          <t>한독</t>
        </is>
      </c>
      <c r="E1634" s="0" t="inlineStr">
        <is>
          <t>1999.11.</t>
        </is>
      </c>
      <c r="F1634" s="0" t="n">
        <v>18</v>
      </c>
      <c r="G1634" s="0" t="n">
        <v>32.42</v>
      </c>
      <c r="H1634" s="0" t="n">
        <v>107.2</v>
      </c>
      <c r="I1634" s="0" t="n">
        <v>29.29</v>
      </c>
      <c r="J1634" s="0" t="n">
        <v>96.84</v>
      </c>
      <c r="K1634" s="0" t="n">
        <v>1</v>
      </c>
      <c r="T1634" s="0" t="n">
        <v>3</v>
      </c>
      <c r="U1634" s="0" t="n">
        <v>2</v>
      </c>
      <c r="V1634" s="0" t="inlineStr">
        <is>
          <t>계단식</t>
        </is>
      </c>
      <c r="W1634" s="0" t="inlineStr">
        <is>
          <t>107B</t>
        </is>
      </c>
      <c r="X1634" s="0" t="n">
        <v>9</v>
      </c>
      <c r="Y1634" s="0" t="n">
        <v>9</v>
      </c>
      <c r="Z1634" s="0" t="inlineStr">
        <is>
          <t>https://new.land.naver.com/complexes/10282?tab=detail&amp;rf=Y</t>
        </is>
      </c>
      <c r="AA1634" s="0" t="inlineStr">
        <is>
          <t>서울시 강동구 성내동 435-2</t>
        </is>
      </c>
      <c r="AB1634" s="0" t="inlineStr">
        <is>
          <t>서울시</t>
        </is>
      </c>
      <c r="AC1634" s="0" t="inlineStr">
        <is>
          <t>강동구</t>
        </is>
      </c>
      <c r="AD1634" s="0" t="inlineStr">
        <is>
          <t>성내동</t>
        </is>
      </c>
      <c r="AG1634" s="0" t="inlineStr">
        <is>
          <t>서울시 강동구 성내로18길 9</t>
        </is>
      </c>
      <c r="AH1634" s="0" t="n">
        <v>0</v>
      </c>
      <c r="AI1634" s="0" t="n">
        <v>223</v>
      </c>
      <c r="AJ1634" s="0" t="n">
        <v>29</v>
      </c>
      <c r="AK1634" s="0" t="n">
        <v>19</v>
      </c>
      <c r="AL1634" s="0" t="n">
        <v>1.06</v>
      </c>
    </row>
    <row r="1635">
      <c r="A1635" s="0" t="inlineStr">
        <is>
          <t>[성내동]</t>
        </is>
      </c>
      <c r="B1635" s="0" t="n">
        <v>10282</v>
      </c>
      <c r="C1635" s="0" t="n">
        <v>3</v>
      </c>
      <c r="D1635" s="0" t="inlineStr">
        <is>
          <t>한독</t>
        </is>
      </c>
      <c r="E1635" s="0" t="inlineStr">
        <is>
          <t>1999.11.</t>
        </is>
      </c>
      <c r="F1635" s="0" t="n">
        <v>18</v>
      </c>
      <c r="G1635" s="0" t="n">
        <v>36.67</v>
      </c>
      <c r="H1635" s="0" t="n">
        <v>121.25</v>
      </c>
      <c r="I1635" s="0" t="n">
        <v>33.13</v>
      </c>
      <c r="J1635" s="0" t="n">
        <v>109.53</v>
      </c>
      <c r="K1635" s="0" t="n">
        <v>1</v>
      </c>
      <c r="T1635" s="0" t="n">
        <v>3</v>
      </c>
      <c r="U1635" s="0" t="n">
        <v>2</v>
      </c>
      <c r="V1635" s="0" t="inlineStr">
        <is>
          <t>계단식</t>
        </is>
      </c>
      <c r="W1635" s="0" t="n">
        <v>121</v>
      </c>
      <c r="X1635" s="0" t="n">
        <v>9</v>
      </c>
      <c r="Y1635" s="0" t="n">
        <v>9</v>
      </c>
      <c r="Z1635" s="0" t="inlineStr">
        <is>
          <t>https://new.land.naver.com/complexes/10282?tab=detail&amp;rf=Y</t>
        </is>
      </c>
      <c r="AA1635" s="0" t="inlineStr">
        <is>
          <t>서울시 강동구 성내동 435-2</t>
        </is>
      </c>
      <c r="AB1635" s="0" t="inlineStr">
        <is>
          <t>서울시</t>
        </is>
      </c>
      <c r="AC1635" s="0" t="inlineStr">
        <is>
          <t>강동구</t>
        </is>
      </c>
      <c r="AD1635" s="0" t="inlineStr">
        <is>
          <t>성내동</t>
        </is>
      </c>
      <c r="AG1635" s="0" t="inlineStr">
        <is>
          <t>서울시 강동구 성내로18길 9</t>
        </is>
      </c>
      <c r="AH1635" s="0" t="n">
        <v>0</v>
      </c>
      <c r="AI1635" s="0" t="n">
        <v>223</v>
      </c>
      <c r="AJ1635" s="0" t="n">
        <v>29</v>
      </c>
      <c r="AK1635" s="0" t="n">
        <v>19</v>
      </c>
      <c r="AL1635" s="0" t="n">
        <v>1.06</v>
      </c>
    </row>
    <row r="1636">
      <c r="A1636" s="0" t="inlineStr">
        <is>
          <t>[성내동]</t>
        </is>
      </c>
      <c r="B1636" s="0" t="n">
        <v>10282</v>
      </c>
      <c r="C1636" s="0" t="n">
        <v>4</v>
      </c>
      <c r="D1636" s="0" t="inlineStr">
        <is>
          <t>한독</t>
        </is>
      </c>
      <c r="E1636" s="0" t="inlineStr">
        <is>
          <t>1999.11.</t>
        </is>
      </c>
      <c r="F1636" s="0" t="n">
        <v>18</v>
      </c>
      <c r="G1636" s="0" t="n">
        <v>37.86</v>
      </c>
      <c r="H1636" s="0" t="n">
        <v>125.18</v>
      </c>
      <c r="I1636" s="0" t="n">
        <v>34.2</v>
      </c>
      <c r="J1636" s="0" t="n">
        <v>113.08</v>
      </c>
      <c r="K1636" s="0" t="n">
        <v>1</v>
      </c>
      <c r="T1636" s="0" t="n">
        <v>3</v>
      </c>
      <c r="U1636" s="0" t="n">
        <v>2</v>
      </c>
      <c r="V1636" s="0" t="inlineStr">
        <is>
          <t>계단식</t>
        </is>
      </c>
      <c r="W1636" s="0" t="inlineStr">
        <is>
          <t>125A</t>
        </is>
      </c>
      <c r="X1636" s="0" t="n">
        <v>9</v>
      </c>
      <c r="Y1636" s="0" t="n">
        <v>9</v>
      </c>
      <c r="Z1636" s="0" t="inlineStr">
        <is>
          <t>https://new.land.naver.com/complexes/10282?tab=detail&amp;rf=Y</t>
        </is>
      </c>
      <c r="AA1636" s="0" t="inlineStr">
        <is>
          <t>서울시 강동구 성내동 435-2</t>
        </is>
      </c>
      <c r="AB1636" s="0" t="inlineStr">
        <is>
          <t>서울시</t>
        </is>
      </c>
      <c r="AC1636" s="0" t="inlineStr">
        <is>
          <t>강동구</t>
        </is>
      </c>
      <c r="AD1636" s="0" t="inlineStr">
        <is>
          <t>성내동</t>
        </is>
      </c>
      <c r="AG1636" s="0" t="inlineStr">
        <is>
          <t>서울시 강동구 성내로18길 9</t>
        </is>
      </c>
      <c r="AH1636" s="0" t="n">
        <v>0</v>
      </c>
      <c r="AI1636" s="0" t="n">
        <v>223</v>
      </c>
      <c r="AJ1636" s="0" t="n">
        <v>29</v>
      </c>
      <c r="AK1636" s="0" t="n">
        <v>19</v>
      </c>
      <c r="AL1636" s="0" t="n">
        <v>1.06</v>
      </c>
    </row>
    <row r="1637">
      <c r="A1637" s="0" t="inlineStr">
        <is>
          <t>[성내동]</t>
        </is>
      </c>
      <c r="B1637" s="0" t="n">
        <v>10282</v>
      </c>
      <c r="C1637" s="0" t="n">
        <v>5</v>
      </c>
      <c r="D1637" s="0" t="inlineStr">
        <is>
          <t>한독</t>
        </is>
      </c>
      <c r="E1637" s="0" t="inlineStr">
        <is>
          <t>1999.11.</t>
        </is>
      </c>
      <c r="F1637" s="0" t="n">
        <v>18</v>
      </c>
      <c r="G1637" s="0" t="n">
        <v>37.96</v>
      </c>
      <c r="H1637" s="0" t="n">
        <v>125.5</v>
      </c>
      <c r="I1637" s="0" t="n">
        <v>34.29</v>
      </c>
      <c r="J1637" s="0" t="n">
        <v>113.37</v>
      </c>
      <c r="K1637" s="0" t="n">
        <v>1</v>
      </c>
      <c r="T1637" s="0" t="n">
        <v>3</v>
      </c>
      <c r="U1637" s="0" t="n">
        <v>2</v>
      </c>
      <c r="V1637" s="0" t="inlineStr">
        <is>
          <t>계단식</t>
        </is>
      </c>
      <c r="W1637" s="0" t="inlineStr">
        <is>
          <t>125B</t>
        </is>
      </c>
      <c r="X1637" s="0" t="n">
        <v>9</v>
      </c>
      <c r="Y1637" s="0" t="n">
        <v>9</v>
      </c>
      <c r="Z1637" s="0" t="inlineStr">
        <is>
          <t>https://new.land.naver.com/complexes/10282?tab=detail&amp;rf=Y</t>
        </is>
      </c>
      <c r="AA1637" s="0" t="inlineStr">
        <is>
          <t>서울시 강동구 성내동 435-2</t>
        </is>
      </c>
      <c r="AB1637" s="0" t="inlineStr">
        <is>
          <t>서울시</t>
        </is>
      </c>
      <c r="AC1637" s="0" t="inlineStr">
        <is>
          <t>강동구</t>
        </is>
      </c>
      <c r="AD1637" s="0" t="inlineStr">
        <is>
          <t>성내동</t>
        </is>
      </c>
      <c r="AG1637" s="0" t="inlineStr">
        <is>
          <t>서울시 강동구 성내로18길 9</t>
        </is>
      </c>
      <c r="AH1637" s="0" t="n">
        <v>0</v>
      </c>
      <c r="AI1637" s="0" t="n">
        <v>223</v>
      </c>
      <c r="AJ1637" s="0" t="n">
        <v>29</v>
      </c>
      <c r="AK1637" s="0" t="n">
        <v>19</v>
      </c>
      <c r="AL1637" s="0" t="n">
        <v>1.06</v>
      </c>
    </row>
    <row r="1638">
      <c r="A1638" s="0" t="inlineStr">
        <is>
          <t>[성내동]</t>
        </is>
      </c>
      <c r="B1638" s="0" t="n">
        <v>10282</v>
      </c>
      <c r="C1638" s="0" t="n">
        <v>6</v>
      </c>
      <c r="D1638" s="0" t="inlineStr">
        <is>
          <t>한독</t>
        </is>
      </c>
      <c r="E1638" s="0" t="inlineStr">
        <is>
          <t>1999.11.</t>
        </is>
      </c>
      <c r="F1638" s="0" t="n">
        <v>18</v>
      </c>
      <c r="G1638" s="0" t="n">
        <v>40.7</v>
      </c>
      <c r="H1638" s="0" t="n">
        <v>134.55</v>
      </c>
      <c r="I1638" s="0" t="n">
        <v>36.76</v>
      </c>
      <c r="J1638" s="0" t="n">
        <v>121.54</v>
      </c>
      <c r="K1638" s="0" t="n">
        <v>6</v>
      </c>
      <c r="T1638" s="0" t="n">
        <v>4</v>
      </c>
      <c r="U1638" s="0" t="n">
        <v>2</v>
      </c>
      <c r="V1638" s="0" t="inlineStr">
        <is>
          <t>계단식</t>
        </is>
      </c>
      <c r="W1638" s="0" t="inlineStr">
        <is>
          <t>134A</t>
        </is>
      </c>
      <c r="X1638" s="0" t="n">
        <v>9</v>
      </c>
      <c r="Y1638" s="0" t="n">
        <v>9</v>
      </c>
      <c r="Z1638" s="0" t="inlineStr">
        <is>
          <t>https://new.land.naver.com/complexes/10282?tab=detail&amp;rf=Y</t>
        </is>
      </c>
      <c r="AA1638" s="0" t="inlineStr">
        <is>
          <t>서울시 강동구 성내동 435-2</t>
        </is>
      </c>
      <c r="AB1638" s="0" t="inlineStr">
        <is>
          <t>서울시</t>
        </is>
      </c>
      <c r="AC1638" s="0" t="inlineStr">
        <is>
          <t>강동구</t>
        </is>
      </c>
      <c r="AD1638" s="0" t="inlineStr">
        <is>
          <t>성내동</t>
        </is>
      </c>
      <c r="AG1638" s="0" t="inlineStr">
        <is>
          <t>서울시 강동구 성내로18길 9</t>
        </is>
      </c>
      <c r="AH1638" s="0" t="n">
        <v>0</v>
      </c>
      <c r="AI1638" s="0" t="n">
        <v>223</v>
      </c>
      <c r="AJ1638" s="0" t="n">
        <v>29</v>
      </c>
      <c r="AK1638" s="0" t="n">
        <v>19</v>
      </c>
      <c r="AL1638" s="0" t="n">
        <v>1.06</v>
      </c>
    </row>
    <row r="1639">
      <c r="A1639" s="0" t="inlineStr">
        <is>
          <t>[성내동]</t>
        </is>
      </c>
      <c r="B1639" s="0" t="n">
        <v>10282</v>
      </c>
      <c r="C1639" s="0" t="n">
        <v>7</v>
      </c>
      <c r="D1639" s="0" t="inlineStr">
        <is>
          <t>한독</t>
        </is>
      </c>
      <c r="E1639" s="0" t="inlineStr">
        <is>
          <t>1999.11.</t>
        </is>
      </c>
      <c r="F1639" s="0" t="n">
        <v>18</v>
      </c>
      <c r="G1639" s="0" t="n">
        <v>40.79</v>
      </c>
      <c r="H1639" s="0" t="n">
        <v>134.87</v>
      </c>
      <c r="I1639" s="0" t="n">
        <v>36.85</v>
      </c>
      <c r="J1639" s="0" t="n">
        <v>121.83</v>
      </c>
      <c r="K1639" s="0" t="n">
        <v>6</v>
      </c>
      <c r="T1639" s="0" t="n">
        <v>4</v>
      </c>
      <c r="U1639" s="0" t="n">
        <v>2</v>
      </c>
      <c r="V1639" s="0" t="inlineStr">
        <is>
          <t>계단식</t>
        </is>
      </c>
      <c r="W1639" s="0" t="inlineStr">
        <is>
          <t>134B</t>
        </is>
      </c>
      <c r="X1639" s="0" t="n">
        <v>9</v>
      </c>
      <c r="Y1639" s="0" t="n">
        <v>9</v>
      </c>
      <c r="Z1639" s="0" t="inlineStr">
        <is>
          <t>https://new.land.naver.com/complexes/10282?tab=detail&amp;rf=Y</t>
        </is>
      </c>
      <c r="AA1639" s="0" t="inlineStr">
        <is>
          <t>서울시 강동구 성내동 435-2</t>
        </is>
      </c>
      <c r="AB1639" s="0" t="inlineStr">
        <is>
          <t>서울시</t>
        </is>
      </c>
      <c r="AC1639" s="0" t="inlineStr">
        <is>
          <t>강동구</t>
        </is>
      </c>
      <c r="AD1639" s="0" t="inlineStr">
        <is>
          <t>성내동</t>
        </is>
      </c>
      <c r="AG1639" s="0" t="inlineStr">
        <is>
          <t>서울시 강동구 성내로18길 9</t>
        </is>
      </c>
      <c r="AH1639" s="0" t="n">
        <v>0</v>
      </c>
      <c r="AI1639" s="0" t="n">
        <v>223</v>
      </c>
      <c r="AJ1639" s="0" t="n">
        <v>29</v>
      </c>
      <c r="AK1639" s="0" t="n">
        <v>19</v>
      </c>
      <c r="AL1639" s="0" t="n">
        <v>1.06</v>
      </c>
    </row>
    <row r="1640">
      <c r="A1640" s="0" t="inlineStr">
        <is>
          <t>[성내동]</t>
        </is>
      </c>
      <c r="B1640" s="0" t="n">
        <v>10282</v>
      </c>
      <c r="C1640" s="0" t="n">
        <v>8</v>
      </c>
      <c r="D1640" s="0" t="inlineStr">
        <is>
          <t>한독</t>
        </is>
      </c>
      <c r="E1640" s="0" t="inlineStr">
        <is>
          <t>1999.11.</t>
        </is>
      </c>
      <c r="F1640" s="0" t="n">
        <v>18</v>
      </c>
      <c r="G1640" s="0" t="n">
        <v>41.6</v>
      </c>
      <c r="H1640" s="0" t="n">
        <v>137.55</v>
      </c>
      <c r="I1640" s="0" t="n">
        <v>37.58</v>
      </c>
      <c r="J1640" s="0" t="n">
        <v>124.25</v>
      </c>
      <c r="K1640" s="0" t="n">
        <v>1</v>
      </c>
      <c r="T1640" s="0" t="n">
        <v>4</v>
      </c>
      <c r="U1640" s="0" t="n">
        <v>2</v>
      </c>
      <c r="V1640" s="0" t="inlineStr">
        <is>
          <t>계단식</t>
        </is>
      </c>
      <c r="W1640" s="0" t="n">
        <v>137</v>
      </c>
      <c r="X1640" s="0" t="n">
        <v>9</v>
      </c>
      <c r="Y1640" s="0" t="n">
        <v>9</v>
      </c>
      <c r="Z1640" s="0" t="inlineStr">
        <is>
          <t>https://new.land.naver.com/complexes/10282?tab=detail&amp;rf=Y</t>
        </is>
      </c>
      <c r="AA1640" s="0" t="inlineStr">
        <is>
          <t>서울시 강동구 성내동 435-2</t>
        </is>
      </c>
      <c r="AB1640" s="0" t="inlineStr">
        <is>
          <t>서울시</t>
        </is>
      </c>
      <c r="AC1640" s="0" t="inlineStr">
        <is>
          <t>강동구</t>
        </is>
      </c>
      <c r="AD1640" s="0" t="inlineStr">
        <is>
          <t>성내동</t>
        </is>
      </c>
      <c r="AG1640" s="0" t="inlineStr">
        <is>
          <t>서울시 강동구 성내로18길 9</t>
        </is>
      </c>
      <c r="AH1640" s="0" t="n">
        <v>0</v>
      </c>
      <c r="AI1640" s="0" t="n">
        <v>223</v>
      </c>
      <c r="AJ1640" s="0" t="n">
        <v>29</v>
      </c>
      <c r="AK1640" s="0" t="n">
        <v>19</v>
      </c>
      <c r="AL1640" s="0" t="n">
        <v>1.06</v>
      </c>
    </row>
    <row r="1641">
      <c r="A1641" s="0" t="inlineStr">
        <is>
          <t>[성내동]</t>
        </is>
      </c>
      <c r="B1641" s="0" t="n">
        <v>8675</v>
      </c>
      <c r="C1641" s="0" t="n">
        <v>1</v>
      </c>
      <c r="D1641" s="0" t="inlineStr">
        <is>
          <t>중명</t>
        </is>
      </c>
      <c r="E1641" s="0" t="inlineStr">
        <is>
          <t>1999.05.</t>
        </is>
      </c>
      <c r="F1641" s="0" t="n">
        <v>49</v>
      </c>
      <c r="G1641" s="0" t="n">
        <v>16.8</v>
      </c>
      <c r="H1641" s="0" t="n">
        <v>55.57</v>
      </c>
      <c r="I1641" s="0" t="n">
        <v>13.63</v>
      </c>
      <c r="J1641" s="0" t="n">
        <v>45.09</v>
      </c>
      <c r="K1641" s="0" t="n">
        <v>4</v>
      </c>
      <c r="T1641" s="0" t="n">
        <v>2</v>
      </c>
      <c r="U1641" s="0" t="n">
        <v>1</v>
      </c>
      <c r="V1641" s="0" t="inlineStr">
        <is>
          <t>복도식</t>
        </is>
      </c>
      <c r="W1641" s="0" t="n">
        <v>55</v>
      </c>
      <c r="X1641" s="0" t="n">
        <v>9</v>
      </c>
      <c r="Y1641" s="0" t="n">
        <v>7</v>
      </c>
      <c r="Z1641" s="0" t="inlineStr">
        <is>
          <t>https://new.land.naver.com/complexes/8675?tab=detail&amp;rf=Y</t>
        </is>
      </c>
      <c r="AA1641" s="0" t="inlineStr">
        <is>
          <t>서울시 강동구 성내동 434-4</t>
        </is>
      </c>
      <c r="AB1641" s="0" t="inlineStr">
        <is>
          <t>서울시</t>
        </is>
      </c>
      <c r="AC1641" s="0" t="inlineStr">
        <is>
          <t>강동구</t>
        </is>
      </c>
      <c r="AD1641" s="0" t="inlineStr">
        <is>
          <t>성내동</t>
        </is>
      </c>
      <c r="AG1641" s="0" t="inlineStr">
        <is>
          <t>서울시 강동구 강동대로51길 75</t>
        </is>
      </c>
      <c r="AH1641" s="0" t="n">
        <v>0</v>
      </c>
      <c r="AI1641" s="0" t="n">
        <v>294</v>
      </c>
      <c r="AJ1641" s="0" t="n">
        <v>46</v>
      </c>
      <c r="AK1641" s="0" t="n">
        <v>51</v>
      </c>
      <c r="AL1641" s="0" t="n">
        <v>1.04</v>
      </c>
    </row>
    <row r="1642">
      <c r="A1642" s="0" t="inlineStr">
        <is>
          <t>[성내동]</t>
        </is>
      </c>
      <c r="B1642" s="0" t="n">
        <v>8675</v>
      </c>
      <c r="C1642" s="0" t="n">
        <v>2</v>
      </c>
      <c r="D1642" s="0" t="inlineStr">
        <is>
          <t>중명</t>
        </is>
      </c>
      <c r="E1642" s="0" t="inlineStr">
        <is>
          <t>1999.05.</t>
        </is>
      </c>
      <c r="F1642" s="0" t="n">
        <v>49</v>
      </c>
      <c r="G1642" s="0" t="n">
        <v>19.47</v>
      </c>
      <c r="H1642" s="0" t="n">
        <v>64.39</v>
      </c>
      <c r="I1642" s="0" t="n">
        <v>15.8</v>
      </c>
      <c r="J1642" s="0" t="n">
        <v>52.24</v>
      </c>
      <c r="K1642" s="0" t="n">
        <v>1</v>
      </c>
      <c r="T1642" s="0" t="n">
        <v>2</v>
      </c>
      <c r="U1642" s="0" t="n">
        <v>1</v>
      </c>
      <c r="V1642" s="0" t="inlineStr">
        <is>
          <t>복도식</t>
        </is>
      </c>
      <c r="W1642" s="0" t="n">
        <v>64</v>
      </c>
      <c r="X1642" s="0" t="n">
        <v>9</v>
      </c>
      <c r="Y1642" s="0" t="n">
        <v>7</v>
      </c>
      <c r="Z1642" s="0" t="inlineStr">
        <is>
          <t>https://new.land.naver.com/complexes/8675?tab=detail&amp;rf=Y</t>
        </is>
      </c>
      <c r="AA1642" s="0" t="inlineStr">
        <is>
          <t>서울시 강동구 성내동 434-4</t>
        </is>
      </c>
      <c r="AB1642" s="0" t="inlineStr">
        <is>
          <t>서울시</t>
        </is>
      </c>
      <c r="AC1642" s="0" t="inlineStr">
        <is>
          <t>강동구</t>
        </is>
      </c>
      <c r="AD1642" s="0" t="inlineStr">
        <is>
          <t>성내동</t>
        </is>
      </c>
      <c r="AG1642" s="0" t="inlineStr">
        <is>
          <t>서울시 강동구 강동대로51길 75</t>
        </is>
      </c>
      <c r="AH1642" s="0" t="n">
        <v>0</v>
      </c>
      <c r="AI1642" s="0" t="n">
        <v>294</v>
      </c>
      <c r="AJ1642" s="0" t="n">
        <v>46</v>
      </c>
      <c r="AK1642" s="0" t="n">
        <v>51</v>
      </c>
      <c r="AL1642" s="0" t="n">
        <v>1.04</v>
      </c>
    </row>
    <row r="1643">
      <c r="A1643" s="0" t="inlineStr">
        <is>
          <t>[성내동]</t>
        </is>
      </c>
      <c r="B1643" s="0" t="n">
        <v>8675</v>
      </c>
      <c r="C1643" s="0" t="n">
        <v>3</v>
      </c>
      <c r="D1643" s="0" t="inlineStr">
        <is>
          <t>중명</t>
        </is>
      </c>
      <c r="E1643" s="0" t="inlineStr">
        <is>
          <t>1999.05.</t>
        </is>
      </c>
      <c r="F1643" s="0" t="n">
        <v>49</v>
      </c>
      <c r="G1643" s="0" t="n">
        <v>21.24</v>
      </c>
      <c r="H1643" s="0" t="n">
        <v>70.22</v>
      </c>
      <c r="I1643" s="0" t="n">
        <v>17.23</v>
      </c>
      <c r="J1643" s="0" t="n">
        <v>56.97</v>
      </c>
      <c r="K1643" s="0" t="n">
        <v>1</v>
      </c>
      <c r="T1643" s="0" t="n">
        <v>2</v>
      </c>
      <c r="U1643" s="0" t="n">
        <v>1</v>
      </c>
      <c r="V1643" s="0" t="inlineStr">
        <is>
          <t>복도식</t>
        </is>
      </c>
      <c r="W1643" s="0" t="n">
        <v>70</v>
      </c>
      <c r="X1643" s="0" t="n">
        <v>9</v>
      </c>
      <c r="Y1643" s="0" t="n">
        <v>7</v>
      </c>
      <c r="Z1643" s="0" t="inlineStr">
        <is>
          <t>https://new.land.naver.com/complexes/8675?tab=detail&amp;rf=Y</t>
        </is>
      </c>
      <c r="AA1643" s="0" t="inlineStr">
        <is>
          <t>서울시 강동구 성내동 434-4</t>
        </is>
      </c>
      <c r="AB1643" s="0" t="inlineStr">
        <is>
          <t>서울시</t>
        </is>
      </c>
      <c r="AC1643" s="0" t="inlineStr">
        <is>
          <t>강동구</t>
        </is>
      </c>
      <c r="AD1643" s="0" t="inlineStr">
        <is>
          <t>성내동</t>
        </is>
      </c>
      <c r="AG1643" s="0" t="inlineStr">
        <is>
          <t>서울시 강동구 강동대로51길 75</t>
        </is>
      </c>
      <c r="AH1643" s="0" t="n">
        <v>0</v>
      </c>
      <c r="AI1643" s="0" t="n">
        <v>294</v>
      </c>
      <c r="AJ1643" s="0" t="n">
        <v>46</v>
      </c>
      <c r="AK1643" s="0" t="n">
        <v>51</v>
      </c>
      <c r="AL1643" s="0" t="n">
        <v>1.04</v>
      </c>
    </row>
    <row r="1644">
      <c r="A1644" s="0" t="inlineStr">
        <is>
          <t>[성내동]</t>
        </is>
      </c>
      <c r="B1644" s="0" t="n">
        <v>8675</v>
      </c>
      <c r="C1644" s="0" t="n">
        <v>4</v>
      </c>
      <c r="D1644" s="0" t="inlineStr">
        <is>
          <t>중명</t>
        </is>
      </c>
      <c r="E1644" s="0" t="inlineStr">
        <is>
          <t>1999.05.</t>
        </is>
      </c>
      <c r="F1644" s="0" t="n">
        <v>49</v>
      </c>
      <c r="G1644" s="0" t="n">
        <v>22.31</v>
      </c>
      <c r="H1644" s="0" t="n">
        <v>73.78</v>
      </c>
      <c r="I1644" s="0" t="n">
        <v>18.1</v>
      </c>
      <c r="J1644" s="0" t="n">
        <v>59.86</v>
      </c>
      <c r="K1644" s="0" t="n">
        <v>5</v>
      </c>
      <c r="T1644" s="0" t="n">
        <v>3</v>
      </c>
      <c r="U1644" s="0" t="n">
        <v>1</v>
      </c>
      <c r="V1644" s="0" t="inlineStr">
        <is>
          <t>복도식</t>
        </is>
      </c>
      <c r="W1644" s="0" t="n">
        <v>73</v>
      </c>
      <c r="X1644" s="0" t="n">
        <v>9</v>
      </c>
      <c r="Y1644" s="0" t="n">
        <v>7</v>
      </c>
      <c r="Z1644" s="0" t="inlineStr">
        <is>
          <t>https://new.land.naver.com/complexes/8675?tab=detail&amp;rf=Y</t>
        </is>
      </c>
      <c r="AA1644" s="0" t="inlineStr">
        <is>
          <t>서울시 강동구 성내동 434-4</t>
        </is>
      </c>
      <c r="AB1644" s="0" t="inlineStr">
        <is>
          <t>서울시</t>
        </is>
      </c>
      <c r="AC1644" s="0" t="inlineStr">
        <is>
          <t>강동구</t>
        </is>
      </c>
      <c r="AD1644" s="0" t="inlineStr">
        <is>
          <t>성내동</t>
        </is>
      </c>
      <c r="AG1644" s="0" t="inlineStr">
        <is>
          <t>서울시 강동구 강동대로51길 75</t>
        </is>
      </c>
      <c r="AH1644" s="0" t="n">
        <v>0</v>
      </c>
      <c r="AI1644" s="0" t="n">
        <v>294</v>
      </c>
      <c r="AJ1644" s="0" t="n">
        <v>46</v>
      </c>
      <c r="AK1644" s="0" t="n">
        <v>51</v>
      </c>
      <c r="AL1644" s="0" t="n">
        <v>1.04</v>
      </c>
    </row>
    <row r="1645">
      <c r="A1645" s="0" t="inlineStr">
        <is>
          <t>[성내동]</t>
        </is>
      </c>
      <c r="B1645" s="0" t="n">
        <v>8675</v>
      </c>
      <c r="C1645" s="0" t="n">
        <v>5</v>
      </c>
      <c r="D1645" s="0" t="inlineStr">
        <is>
          <t>중명</t>
        </is>
      </c>
      <c r="E1645" s="0" t="inlineStr">
        <is>
          <t>1999.05.</t>
        </is>
      </c>
      <c r="F1645" s="0" t="n">
        <v>49</v>
      </c>
      <c r="G1645" s="0" t="n">
        <v>22.27</v>
      </c>
      <c r="H1645" s="0" t="n">
        <v>73.63</v>
      </c>
      <c r="I1645" s="0" t="n">
        <v>18.07</v>
      </c>
      <c r="J1645" s="0" t="n">
        <v>59.74</v>
      </c>
      <c r="K1645" s="0" t="n">
        <v>5</v>
      </c>
      <c r="T1645" s="0" t="n">
        <v>2</v>
      </c>
      <c r="U1645" s="0" t="n">
        <v>1</v>
      </c>
      <c r="V1645" s="0" t="inlineStr">
        <is>
          <t>계단식</t>
        </is>
      </c>
      <c r="W1645" s="0" t="inlineStr">
        <is>
          <t>73A</t>
        </is>
      </c>
      <c r="X1645" s="0" t="n">
        <v>9</v>
      </c>
      <c r="Y1645" s="0" t="n">
        <v>7</v>
      </c>
      <c r="Z1645" s="0" t="inlineStr">
        <is>
          <t>https://new.land.naver.com/complexes/8675?tab=detail&amp;rf=Y</t>
        </is>
      </c>
      <c r="AA1645" s="0" t="inlineStr">
        <is>
          <t>서울시 강동구 성내동 434-4</t>
        </is>
      </c>
      <c r="AB1645" s="0" t="inlineStr">
        <is>
          <t>서울시</t>
        </is>
      </c>
      <c r="AC1645" s="0" t="inlineStr">
        <is>
          <t>강동구</t>
        </is>
      </c>
      <c r="AD1645" s="0" t="inlineStr">
        <is>
          <t>성내동</t>
        </is>
      </c>
      <c r="AG1645" s="0" t="inlineStr">
        <is>
          <t>서울시 강동구 강동대로51길 75</t>
        </is>
      </c>
      <c r="AH1645" s="0" t="n">
        <v>0</v>
      </c>
      <c r="AI1645" s="0" t="n">
        <v>294</v>
      </c>
      <c r="AJ1645" s="0" t="n">
        <v>46</v>
      </c>
      <c r="AK1645" s="0" t="n">
        <v>51</v>
      </c>
      <c r="AL1645" s="0" t="n">
        <v>1.04</v>
      </c>
    </row>
    <row r="1646">
      <c r="A1646" s="0" t="inlineStr">
        <is>
          <t>[성내동]</t>
        </is>
      </c>
      <c r="B1646" s="0" t="n">
        <v>8675</v>
      </c>
      <c r="C1646" s="0" t="n">
        <v>6</v>
      </c>
      <c r="D1646" s="0" t="inlineStr">
        <is>
          <t>중명</t>
        </is>
      </c>
      <c r="E1646" s="0" t="inlineStr">
        <is>
          <t>1999.05.</t>
        </is>
      </c>
      <c r="F1646" s="0" t="n">
        <v>49</v>
      </c>
      <c r="G1646" s="0" t="n">
        <v>22.29</v>
      </c>
      <c r="H1646" s="0" t="n">
        <v>73.70999999999999</v>
      </c>
      <c r="I1646" s="0" t="n">
        <v>18.08</v>
      </c>
      <c r="J1646" s="0" t="n">
        <v>59.8</v>
      </c>
      <c r="K1646" s="0" t="n">
        <v>5</v>
      </c>
      <c r="T1646" s="0" t="n">
        <v>2</v>
      </c>
      <c r="U1646" s="0" t="n">
        <v>1</v>
      </c>
      <c r="V1646" s="0" t="inlineStr">
        <is>
          <t>계단식</t>
        </is>
      </c>
      <c r="W1646" s="0" t="inlineStr">
        <is>
          <t>73B</t>
        </is>
      </c>
      <c r="X1646" s="0" t="n">
        <v>9</v>
      </c>
      <c r="Y1646" s="0" t="n">
        <v>7</v>
      </c>
      <c r="Z1646" s="0" t="inlineStr">
        <is>
          <t>https://new.land.naver.com/complexes/8675?tab=detail&amp;rf=Y</t>
        </is>
      </c>
      <c r="AA1646" s="0" t="inlineStr">
        <is>
          <t>서울시 강동구 성내동 434-4</t>
        </is>
      </c>
      <c r="AB1646" s="0" t="inlineStr">
        <is>
          <t>서울시</t>
        </is>
      </c>
      <c r="AC1646" s="0" t="inlineStr">
        <is>
          <t>강동구</t>
        </is>
      </c>
      <c r="AD1646" s="0" t="inlineStr">
        <is>
          <t>성내동</t>
        </is>
      </c>
      <c r="AG1646" s="0" t="inlineStr">
        <is>
          <t>서울시 강동구 강동대로51길 75</t>
        </is>
      </c>
      <c r="AH1646" s="0" t="n">
        <v>0</v>
      </c>
      <c r="AI1646" s="0" t="n">
        <v>294</v>
      </c>
      <c r="AJ1646" s="0" t="n">
        <v>46</v>
      </c>
      <c r="AK1646" s="0" t="n">
        <v>51</v>
      </c>
      <c r="AL1646" s="0" t="n">
        <v>1.04</v>
      </c>
    </row>
    <row r="1647">
      <c r="A1647" s="0" t="inlineStr">
        <is>
          <t>[성내동]</t>
        </is>
      </c>
      <c r="B1647" s="0" t="n">
        <v>8675</v>
      </c>
      <c r="C1647" s="0" t="n">
        <v>7</v>
      </c>
      <c r="D1647" s="0" t="inlineStr">
        <is>
          <t>중명</t>
        </is>
      </c>
      <c r="E1647" s="0" t="inlineStr">
        <is>
          <t>1999.05.</t>
        </is>
      </c>
      <c r="F1647" s="0" t="n">
        <v>49</v>
      </c>
      <c r="G1647" s="0" t="n">
        <v>25.82</v>
      </c>
      <c r="H1647" s="0" t="n">
        <v>85.36</v>
      </c>
      <c r="I1647" s="0" t="n">
        <v>20.94</v>
      </c>
      <c r="J1647" s="0" t="n">
        <v>69.25</v>
      </c>
      <c r="K1647" s="0" t="n">
        <v>1</v>
      </c>
      <c r="T1647" s="0" t="n">
        <v>2</v>
      </c>
      <c r="U1647" s="0" t="n">
        <v>1</v>
      </c>
      <c r="V1647" s="0" t="inlineStr">
        <is>
          <t>복도식</t>
        </is>
      </c>
      <c r="W1647" s="0" t="n">
        <v>85</v>
      </c>
      <c r="X1647" s="0" t="n">
        <v>9</v>
      </c>
      <c r="Y1647" s="0" t="n">
        <v>7</v>
      </c>
      <c r="Z1647" s="0" t="inlineStr">
        <is>
          <t>https://new.land.naver.com/complexes/8675?tab=detail&amp;rf=Y</t>
        </is>
      </c>
      <c r="AA1647" s="0" t="inlineStr">
        <is>
          <t>서울시 강동구 성내동 434-4</t>
        </is>
      </c>
      <c r="AB1647" s="0" t="inlineStr">
        <is>
          <t>서울시</t>
        </is>
      </c>
      <c r="AC1647" s="0" t="inlineStr">
        <is>
          <t>강동구</t>
        </is>
      </c>
      <c r="AD1647" s="0" t="inlineStr">
        <is>
          <t>성내동</t>
        </is>
      </c>
      <c r="AG1647" s="0" t="inlineStr">
        <is>
          <t>서울시 강동구 강동대로51길 75</t>
        </is>
      </c>
      <c r="AH1647" s="0" t="n">
        <v>0</v>
      </c>
      <c r="AI1647" s="0" t="n">
        <v>294</v>
      </c>
      <c r="AJ1647" s="0" t="n">
        <v>46</v>
      </c>
      <c r="AK1647" s="0" t="n">
        <v>51</v>
      </c>
      <c r="AL1647" s="0" t="n">
        <v>1.04</v>
      </c>
    </row>
    <row r="1648">
      <c r="A1648" s="0" t="inlineStr">
        <is>
          <t>[성내동]</t>
        </is>
      </c>
      <c r="B1648" s="0" t="n">
        <v>8675</v>
      </c>
      <c r="C1648" s="0" t="n">
        <v>8</v>
      </c>
      <c r="D1648" s="0" t="inlineStr">
        <is>
          <t>중명</t>
        </is>
      </c>
      <c r="E1648" s="0" t="inlineStr">
        <is>
          <t>1999.05.</t>
        </is>
      </c>
      <c r="F1648" s="0" t="n">
        <v>49</v>
      </c>
      <c r="G1648" s="0" t="n">
        <v>27.1</v>
      </c>
      <c r="H1648" s="0" t="n">
        <v>89.61</v>
      </c>
      <c r="I1648" s="0" t="n">
        <v>21.99</v>
      </c>
      <c r="J1648" s="0" t="n">
        <v>72.7</v>
      </c>
      <c r="K1648" s="0" t="n">
        <v>2</v>
      </c>
      <c r="T1648" s="0" t="n">
        <v>3</v>
      </c>
      <c r="U1648" s="0" t="n">
        <v>1</v>
      </c>
      <c r="V1648" s="0" t="inlineStr">
        <is>
          <t>복도식</t>
        </is>
      </c>
      <c r="W1648" s="0" t="n">
        <v>89</v>
      </c>
      <c r="X1648" s="0" t="n">
        <v>9</v>
      </c>
      <c r="Y1648" s="0" t="n">
        <v>7</v>
      </c>
      <c r="Z1648" s="0" t="inlineStr">
        <is>
          <t>https://new.land.naver.com/complexes/8675?tab=detail&amp;rf=Y</t>
        </is>
      </c>
      <c r="AA1648" s="0" t="inlineStr">
        <is>
          <t>서울시 강동구 성내동 434-4</t>
        </is>
      </c>
      <c r="AB1648" s="0" t="inlineStr">
        <is>
          <t>서울시</t>
        </is>
      </c>
      <c r="AC1648" s="0" t="inlineStr">
        <is>
          <t>강동구</t>
        </is>
      </c>
      <c r="AD1648" s="0" t="inlineStr">
        <is>
          <t>성내동</t>
        </is>
      </c>
      <c r="AG1648" s="0" t="inlineStr">
        <is>
          <t>서울시 강동구 강동대로51길 75</t>
        </is>
      </c>
      <c r="AH1648" s="0" t="n">
        <v>0</v>
      </c>
      <c r="AI1648" s="0" t="n">
        <v>294</v>
      </c>
      <c r="AJ1648" s="0" t="n">
        <v>46</v>
      </c>
      <c r="AK1648" s="0" t="n">
        <v>51</v>
      </c>
      <c r="AL1648" s="0" t="n">
        <v>1.04</v>
      </c>
    </row>
    <row r="1649">
      <c r="A1649" s="0" t="inlineStr">
        <is>
          <t>[성내동]</t>
        </is>
      </c>
      <c r="B1649" s="0" t="n">
        <v>8675</v>
      </c>
      <c r="C1649" s="0" t="n">
        <v>9</v>
      </c>
      <c r="D1649" s="0" t="inlineStr">
        <is>
          <t>중명</t>
        </is>
      </c>
      <c r="E1649" s="0" t="inlineStr">
        <is>
          <t>1999.05.</t>
        </is>
      </c>
      <c r="F1649" s="0" t="n">
        <v>49</v>
      </c>
      <c r="G1649" s="0" t="n">
        <v>31.53</v>
      </c>
      <c r="H1649" s="0" t="n">
        <v>104.25</v>
      </c>
      <c r="I1649" s="0" t="n">
        <v>25.58</v>
      </c>
      <c r="J1649" s="0" t="n">
        <v>84.58</v>
      </c>
      <c r="K1649" s="0" t="n">
        <v>15</v>
      </c>
      <c r="T1649" s="0" t="n">
        <v>3</v>
      </c>
      <c r="U1649" s="0" t="n">
        <v>2</v>
      </c>
      <c r="V1649" s="0" t="inlineStr">
        <is>
          <t>복도식</t>
        </is>
      </c>
      <c r="W1649" s="0" t="n">
        <v>104</v>
      </c>
      <c r="X1649" s="0" t="n">
        <v>9</v>
      </c>
      <c r="Y1649" s="0" t="n">
        <v>7</v>
      </c>
      <c r="Z1649" s="0" t="inlineStr">
        <is>
          <t>https://new.land.naver.com/complexes/8675?tab=detail&amp;rf=Y</t>
        </is>
      </c>
      <c r="AA1649" s="0" t="inlineStr">
        <is>
          <t>서울시 강동구 성내동 434-4</t>
        </is>
      </c>
      <c r="AB1649" s="0" t="inlineStr">
        <is>
          <t>서울시</t>
        </is>
      </c>
      <c r="AC1649" s="0" t="inlineStr">
        <is>
          <t>강동구</t>
        </is>
      </c>
      <c r="AD1649" s="0" t="inlineStr">
        <is>
          <t>성내동</t>
        </is>
      </c>
      <c r="AG1649" s="0" t="inlineStr">
        <is>
          <t>서울시 강동구 강동대로51길 75</t>
        </is>
      </c>
      <c r="AH1649" s="0" t="n">
        <v>0</v>
      </c>
      <c r="AI1649" s="0" t="n">
        <v>294</v>
      </c>
      <c r="AJ1649" s="0" t="n">
        <v>46</v>
      </c>
      <c r="AK1649" s="0" t="n">
        <v>51</v>
      </c>
      <c r="AL1649" s="0" t="n">
        <v>1.04</v>
      </c>
    </row>
    <row r="1650">
      <c r="A1650" s="0" t="inlineStr">
        <is>
          <t>[성내동]</t>
        </is>
      </c>
      <c r="B1650" s="0" t="n">
        <v>8675</v>
      </c>
      <c r="C1650" s="0" t="n">
        <v>10</v>
      </c>
      <c r="D1650" s="0" t="inlineStr">
        <is>
          <t>중명</t>
        </is>
      </c>
      <c r="E1650" s="0" t="inlineStr">
        <is>
          <t>1999.05.</t>
        </is>
      </c>
      <c r="F1650" s="0" t="n">
        <v>49</v>
      </c>
      <c r="G1650" s="0" t="n">
        <v>33.33</v>
      </c>
      <c r="H1650" s="0" t="n">
        <v>110.19</v>
      </c>
      <c r="I1650" s="0" t="n">
        <v>27.04</v>
      </c>
      <c r="J1650" s="0" t="n">
        <v>89.40000000000001</v>
      </c>
      <c r="K1650" s="0" t="n">
        <v>5</v>
      </c>
      <c r="T1650" s="0" t="n">
        <v>3</v>
      </c>
      <c r="U1650" s="0" t="n">
        <v>2</v>
      </c>
      <c r="V1650" s="0" t="inlineStr">
        <is>
          <t>복도식</t>
        </is>
      </c>
      <c r="W1650" s="0" t="n">
        <v>110</v>
      </c>
      <c r="X1650" s="0" t="n">
        <v>9</v>
      </c>
      <c r="Y1650" s="0" t="n">
        <v>7</v>
      </c>
      <c r="Z1650" s="0" t="inlineStr">
        <is>
          <t>https://new.land.naver.com/complexes/8675?tab=detail&amp;rf=Y</t>
        </is>
      </c>
      <c r="AA1650" s="0" t="inlineStr">
        <is>
          <t>서울시 강동구 성내동 434-4</t>
        </is>
      </c>
      <c r="AB1650" s="0" t="inlineStr">
        <is>
          <t>서울시</t>
        </is>
      </c>
      <c r="AC1650" s="0" t="inlineStr">
        <is>
          <t>강동구</t>
        </is>
      </c>
      <c r="AD1650" s="0" t="inlineStr">
        <is>
          <t>성내동</t>
        </is>
      </c>
      <c r="AG1650" s="0" t="inlineStr">
        <is>
          <t>서울시 강동구 강동대로51길 75</t>
        </is>
      </c>
      <c r="AH1650" s="0" t="n">
        <v>0</v>
      </c>
      <c r="AI1650" s="0" t="n">
        <v>294</v>
      </c>
      <c r="AJ1650" s="0" t="n">
        <v>46</v>
      </c>
      <c r="AK1650" s="0" t="n">
        <v>51</v>
      </c>
      <c r="AL1650" s="0" t="n">
        <v>1.04</v>
      </c>
    </row>
    <row r="1651">
      <c r="A1651" s="0" t="inlineStr">
        <is>
          <t>[성내동]</t>
        </is>
      </c>
      <c r="B1651" s="0" t="n">
        <v>8675</v>
      </c>
      <c r="C1651" s="0" t="n">
        <v>11</v>
      </c>
      <c r="D1651" s="0" t="inlineStr">
        <is>
          <t>중명</t>
        </is>
      </c>
      <c r="E1651" s="0" t="inlineStr">
        <is>
          <t>1999.05.</t>
        </is>
      </c>
      <c r="F1651" s="0" t="n">
        <v>49</v>
      </c>
      <c r="G1651" s="0" t="n">
        <v>33.84</v>
      </c>
      <c r="H1651" s="0" t="n">
        <v>111.9</v>
      </c>
      <c r="I1651" s="0" t="n">
        <v>27.46</v>
      </c>
      <c r="J1651" s="0" t="n">
        <v>90.79000000000001</v>
      </c>
      <c r="K1651" s="0" t="n">
        <v>5</v>
      </c>
      <c r="T1651" s="0" t="n">
        <v>3</v>
      </c>
      <c r="U1651" s="0" t="n">
        <v>2</v>
      </c>
      <c r="V1651" s="0" t="inlineStr">
        <is>
          <t>복도식</t>
        </is>
      </c>
      <c r="W1651" s="0" t="n">
        <v>111</v>
      </c>
      <c r="X1651" s="0" t="n">
        <v>9</v>
      </c>
      <c r="Y1651" s="0" t="n">
        <v>7</v>
      </c>
      <c r="Z1651" s="0" t="inlineStr">
        <is>
          <t>https://new.land.naver.com/complexes/8675?tab=detail&amp;rf=Y</t>
        </is>
      </c>
      <c r="AA1651" s="0" t="inlineStr">
        <is>
          <t>서울시 강동구 성내동 434-4</t>
        </is>
      </c>
      <c r="AB1651" s="0" t="inlineStr">
        <is>
          <t>서울시</t>
        </is>
      </c>
      <c r="AC1651" s="0" t="inlineStr">
        <is>
          <t>강동구</t>
        </is>
      </c>
      <c r="AD1651" s="0" t="inlineStr">
        <is>
          <t>성내동</t>
        </is>
      </c>
      <c r="AG1651" s="0" t="inlineStr">
        <is>
          <t>서울시 강동구 강동대로51길 75</t>
        </is>
      </c>
      <c r="AH1651" s="0" t="n">
        <v>0</v>
      </c>
      <c r="AI1651" s="0" t="n">
        <v>294</v>
      </c>
      <c r="AJ1651" s="0" t="n">
        <v>46</v>
      </c>
      <c r="AK1651" s="0" t="n">
        <v>51</v>
      </c>
      <c r="AL1651" s="0" t="n">
        <v>1.04</v>
      </c>
    </row>
    <row r="1652">
      <c r="A1652" s="0" t="inlineStr">
        <is>
          <t>[성내동]</t>
        </is>
      </c>
      <c r="B1652" s="0" t="n">
        <v>105627</v>
      </c>
      <c r="C1652" s="0" t="n">
        <v>1</v>
      </c>
      <c r="D1652" s="0" t="inlineStr">
        <is>
          <t>한솔애리즈8차</t>
        </is>
      </c>
      <c r="E1652" s="0" t="inlineStr">
        <is>
          <t>2009.04.</t>
        </is>
      </c>
      <c r="F1652" s="0" t="n">
        <v>39</v>
      </c>
      <c r="G1652" s="0" t="n">
        <v>26.48</v>
      </c>
      <c r="H1652" s="0" t="n">
        <v>87.54000000000001</v>
      </c>
      <c r="I1652" s="0" t="n">
        <v>20.89</v>
      </c>
      <c r="J1652" s="0" t="n">
        <v>69.08</v>
      </c>
      <c r="K1652" s="0" t="n">
        <v>2</v>
      </c>
      <c r="T1652" s="0" t="n">
        <v>3</v>
      </c>
      <c r="U1652" s="0" t="n">
        <v>2</v>
      </c>
      <c r="V1652" s="0" t="inlineStr">
        <is>
          <t>복도식</t>
        </is>
      </c>
      <c r="W1652" s="0" t="n">
        <v>87</v>
      </c>
      <c r="X1652" s="0" t="n">
        <v>7</v>
      </c>
      <c r="Y1652" s="0" t="n">
        <v>7</v>
      </c>
      <c r="Z1652" s="0" t="inlineStr">
        <is>
          <t>https://new.land.naver.com/complexes/105627?tab=detail&amp;rf=Y</t>
        </is>
      </c>
      <c r="AA1652" s="0" t="inlineStr">
        <is>
          <t>서울시 강동구 성내동 405-9</t>
        </is>
      </c>
      <c r="AB1652" s="0" t="inlineStr">
        <is>
          <t>서울시</t>
        </is>
      </c>
      <c r="AC1652" s="0" t="inlineStr">
        <is>
          <t>강동구</t>
        </is>
      </c>
      <c r="AD1652" s="0" t="inlineStr">
        <is>
          <t>성내동</t>
        </is>
      </c>
      <c r="AG1652" s="0" t="inlineStr">
        <is>
          <t>서울시 강동구 양재대로95길 60</t>
        </is>
      </c>
      <c r="AH1652" s="0" t="n">
        <v>0</v>
      </c>
      <c r="AI1652" s="0" t="n">
        <v>0</v>
      </c>
      <c r="AJ1652" s="0" t="n">
        <v>0</v>
      </c>
      <c r="AK1652" s="0" t="n">
        <v>46</v>
      </c>
      <c r="AL1652" s="0" t="n">
        <v>1.18</v>
      </c>
    </row>
    <row r="1653">
      <c r="A1653" s="0" t="inlineStr">
        <is>
          <t>[성내동]</t>
        </is>
      </c>
      <c r="B1653" s="0" t="n">
        <v>105627</v>
      </c>
      <c r="C1653" s="0" t="n">
        <v>2</v>
      </c>
      <c r="D1653" s="0" t="inlineStr">
        <is>
          <t>한솔애리즈8차</t>
        </is>
      </c>
      <c r="E1653" s="0" t="inlineStr">
        <is>
          <t>2009.04.</t>
        </is>
      </c>
      <c r="F1653" s="0" t="n">
        <v>39</v>
      </c>
      <c r="G1653" s="0" t="n">
        <v>27.84</v>
      </c>
      <c r="H1653" s="0" t="n">
        <v>92.05</v>
      </c>
      <c r="I1653" s="0" t="n">
        <v>22.79</v>
      </c>
      <c r="J1653" s="0" t="n">
        <v>75.34999999999999</v>
      </c>
      <c r="K1653" s="0" t="n">
        <v>1</v>
      </c>
      <c r="T1653" s="0" t="n">
        <v>3</v>
      </c>
      <c r="U1653" s="0" t="n">
        <v>2</v>
      </c>
      <c r="V1653" s="0" t="inlineStr">
        <is>
          <t>복도식</t>
        </is>
      </c>
      <c r="W1653" s="0" t="n">
        <v>92</v>
      </c>
      <c r="X1653" s="0" t="n">
        <v>7</v>
      </c>
      <c r="Y1653" s="0" t="n">
        <v>7</v>
      </c>
      <c r="Z1653" s="0" t="inlineStr">
        <is>
          <t>https://new.land.naver.com/complexes/105627?tab=detail&amp;rf=Y</t>
        </is>
      </c>
      <c r="AA1653" s="0" t="inlineStr">
        <is>
          <t>서울시 강동구 성내동 405-9</t>
        </is>
      </c>
      <c r="AB1653" s="0" t="inlineStr">
        <is>
          <t>서울시</t>
        </is>
      </c>
      <c r="AC1653" s="0" t="inlineStr">
        <is>
          <t>강동구</t>
        </is>
      </c>
      <c r="AD1653" s="0" t="inlineStr">
        <is>
          <t>성내동</t>
        </is>
      </c>
      <c r="AG1653" s="0" t="inlineStr">
        <is>
          <t>서울시 강동구 양재대로95길 60</t>
        </is>
      </c>
      <c r="AH1653" s="0" t="n">
        <v>0</v>
      </c>
      <c r="AI1653" s="0" t="n">
        <v>0</v>
      </c>
      <c r="AJ1653" s="0" t="n">
        <v>0</v>
      </c>
      <c r="AK1653" s="0" t="n">
        <v>46</v>
      </c>
      <c r="AL1653" s="0" t="n">
        <v>1.18</v>
      </c>
    </row>
    <row r="1654">
      <c r="A1654" s="0" t="inlineStr">
        <is>
          <t>[성내동]</t>
        </is>
      </c>
      <c r="B1654" s="0" t="n">
        <v>105627</v>
      </c>
      <c r="C1654" s="0" t="n">
        <v>3</v>
      </c>
      <c r="D1654" s="0" t="inlineStr">
        <is>
          <t>한솔애리즈8차</t>
        </is>
      </c>
      <c r="E1654" s="0" t="inlineStr">
        <is>
          <t>2009.04.</t>
        </is>
      </c>
      <c r="F1654" s="0" t="n">
        <v>39</v>
      </c>
      <c r="G1654" s="0" t="n">
        <v>30.21</v>
      </c>
      <c r="H1654" s="0" t="n">
        <v>99.89</v>
      </c>
      <c r="I1654" s="0" t="n">
        <v>24.65</v>
      </c>
      <c r="J1654" s="0" t="n">
        <v>81.5</v>
      </c>
      <c r="K1654" s="0" t="n">
        <v>1</v>
      </c>
      <c r="T1654" s="0" t="n">
        <v>3</v>
      </c>
      <c r="U1654" s="0" t="n">
        <v>2</v>
      </c>
      <c r="V1654" s="0" t="inlineStr">
        <is>
          <t>복도식</t>
        </is>
      </c>
      <c r="W1654" s="0" t="inlineStr">
        <is>
          <t>99A</t>
        </is>
      </c>
      <c r="X1654" s="0" t="n">
        <v>7</v>
      </c>
      <c r="Y1654" s="0" t="n">
        <v>7</v>
      </c>
      <c r="Z1654" s="0" t="inlineStr">
        <is>
          <t>https://new.land.naver.com/complexes/105627?tab=detail&amp;rf=Y</t>
        </is>
      </c>
      <c r="AA1654" s="0" t="inlineStr">
        <is>
          <t>서울시 강동구 성내동 405-9</t>
        </is>
      </c>
      <c r="AB1654" s="0" t="inlineStr">
        <is>
          <t>서울시</t>
        </is>
      </c>
      <c r="AC1654" s="0" t="inlineStr">
        <is>
          <t>강동구</t>
        </is>
      </c>
      <c r="AD1654" s="0" t="inlineStr">
        <is>
          <t>성내동</t>
        </is>
      </c>
      <c r="AG1654" s="0" t="inlineStr">
        <is>
          <t>서울시 강동구 양재대로95길 60</t>
        </is>
      </c>
      <c r="AH1654" s="0" t="n">
        <v>0</v>
      </c>
      <c r="AI1654" s="0" t="n">
        <v>0</v>
      </c>
      <c r="AJ1654" s="0" t="n">
        <v>0</v>
      </c>
      <c r="AK1654" s="0" t="n">
        <v>46</v>
      </c>
      <c r="AL1654" s="0" t="n">
        <v>1.18</v>
      </c>
    </row>
    <row r="1655">
      <c r="A1655" s="0" t="inlineStr">
        <is>
          <t>[성내동]</t>
        </is>
      </c>
      <c r="B1655" s="0" t="n">
        <v>105627</v>
      </c>
      <c r="C1655" s="0" t="n">
        <v>4</v>
      </c>
      <c r="D1655" s="0" t="inlineStr">
        <is>
          <t>한솔애리즈8차</t>
        </is>
      </c>
      <c r="E1655" s="0" t="inlineStr">
        <is>
          <t>2009.04.</t>
        </is>
      </c>
      <c r="F1655" s="0" t="n">
        <v>39</v>
      </c>
      <c r="G1655" s="0" t="n">
        <v>30.07</v>
      </c>
      <c r="H1655" s="0" t="n">
        <v>99.43000000000001</v>
      </c>
      <c r="I1655" s="0" t="n">
        <v>24.79</v>
      </c>
      <c r="J1655" s="0" t="n">
        <v>81.97</v>
      </c>
      <c r="K1655" s="0" t="n">
        <v>1</v>
      </c>
      <c r="T1655" s="0" t="n">
        <v>3</v>
      </c>
      <c r="U1655" s="0" t="n">
        <v>2</v>
      </c>
      <c r="V1655" s="0" t="inlineStr">
        <is>
          <t>복도식</t>
        </is>
      </c>
      <c r="W1655" s="0" t="inlineStr">
        <is>
          <t>99B</t>
        </is>
      </c>
      <c r="X1655" s="0" t="n">
        <v>7</v>
      </c>
      <c r="Y1655" s="0" t="n">
        <v>7</v>
      </c>
      <c r="Z1655" s="0" t="inlineStr">
        <is>
          <t>https://new.land.naver.com/complexes/105627?tab=detail&amp;rf=Y</t>
        </is>
      </c>
      <c r="AA1655" s="0" t="inlineStr">
        <is>
          <t>서울시 강동구 성내동 405-9</t>
        </is>
      </c>
      <c r="AB1655" s="0" t="inlineStr">
        <is>
          <t>서울시</t>
        </is>
      </c>
      <c r="AC1655" s="0" t="inlineStr">
        <is>
          <t>강동구</t>
        </is>
      </c>
      <c r="AD1655" s="0" t="inlineStr">
        <is>
          <t>성내동</t>
        </is>
      </c>
      <c r="AG1655" s="0" t="inlineStr">
        <is>
          <t>서울시 강동구 양재대로95길 60</t>
        </is>
      </c>
      <c r="AH1655" s="0" t="n">
        <v>0</v>
      </c>
      <c r="AI1655" s="0" t="n">
        <v>0</v>
      </c>
      <c r="AJ1655" s="0" t="n">
        <v>0</v>
      </c>
      <c r="AK1655" s="0" t="n">
        <v>46</v>
      </c>
      <c r="AL1655" s="0" t="n">
        <v>1.18</v>
      </c>
    </row>
    <row r="1656">
      <c r="A1656" s="0" t="inlineStr">
        <is>
          <t>[성내동]</t>
        </is>
      </c>
      <c r="B1656" s="0" t="n">
        <v>105627</v>
      </c>
      <c r="C1656" s="0" t="n">
        <v>5</v>
      </c>
      <c r="D1656" s="0" t="inlineStr">
        <is>
          <t>한솔애리즈8차</t>
        </is>
      </c>
      <c r="E1656" s="0" t="inlineStr">
        <is>
          <t>2009.04.</t>
        </is>
      </c>
      <c r="F1656" s="0" t="n">
        <v>39</v>
      </c>
      <c r="G1656" s="0" t="n">
        <v>31.13</v>
      </c>
      <c r="H1656" s="0" t="n">
        <v>102.92</v>
      </c>
      <c r="I1656" s="0" t="n">
        <v>25.63</v>
      </c>
      <c r="J1656" s="0" t="n">
        <v>84.73999999999999</v>
      </c>
      <c r="K1656" s="0" t="n">
        <v>24</v>
      </c>
      <c r="T1656" s="0" t="n">
        <v>3</v>
      </c>
      <c r="U1656" s="0" t="n">
        <v>2</v>
      </c>
      <c r="V1656" s="0" t="inlineStr">
        <is>
          <t>복도식</t>
        </is>
      </c>
      <c r="W1656" s="0" t="n">
        <v>102</v>
      </c>
      <c r="X1656" s="0" t="n">
        <v>7</v>
      </c>
      <c r="Y1656" s="0" t="n">
        <v>7</v>
      </c>
      <c r="Z1656" s="0" t="inlineStr">
        <is>
          <t>https://new.land.naver.com/complexes/105627?tab=detail&amp;rf=Y</t>
        </is>
      </c>
      <c r="AA1656" s="0" t="inlineStr">
        <is>
          <t>서울시 강동구 성내동 405-9</t>
        </is>
      </c>
      <c r="AB1656" s="0" t="inlineStr">
        <is>
          <t>서울시</t>
        </is>
      </c>
      <c r="AC1656" s="0" t="inlineStr">
        <is>
          <t>강동구</t>
        </is>
      </c>
      <c r="AD1656" s="0" t="inlineStr">
        <is>
          <t>성내동</t>
        </is>
      </c>
      <c r="AG1656" s="0" t="inlineStr">
        <is>
          <t>서울시 강동구 양재대로95길 60</t>
        </is>
      </c>
      <c r="AH1656" s="0" t="n">
        <v>0</v>
      </c>
      <c r="AI1656" s="0" t="n">
        <v>0</v>
      </c>
      <c r="AJ1656" s="0" t="n">
        <v>0</v>
      </c>
      <c r="AK1656" s="0" t="n">
        <v>46</v>
      </c>
      <c r="AL1656" s="0" t="n">
        <v>1.18</v>
      </c>
    </row>
    <row r="1657">
      <c r="A1657" s="0" t="inlineStr">
        <is>
          <t>[성내동]</t>
        </is>
      </c>
      <c r="B1657" s="0" t="n">
        <v>105627</v>
      </c>
      <c r="C1657" s="0" t="n">
        <v>6</v>
      </c>
      <c r="D1657" s="0" t="inlineStr">
        <is>
          <t>한솔애리즈8차</t>
        </is>
      </c>
      <c r="E1657" s="0" t="inlineStr">
        <is>
          <t>2009.04.</t>
        </is>
      </c>
      <c r="F1657" s="0" t="n">
        <v>39</v>
      </c>
      <c r="G1657" s="0" t="n">
        <v>32.26</v>
      </c>
      <c r="H1657" s="0" t="n">
        <v>106.66</v>
      </c>
      <c r="I1657" s="0" t="n">
        <v>25.57</v>
      </c>
      <c r="J1657" s="0" t="n">
        <v>84.53</v>
      </c>
      <c r="K1657" s="0" t="n">
        <v>10</v>
      </c>
      <c r="T1657" s="0" t="n">
        <v>3</v>
      </c>
      <c r="U1657" s="0" t="n">
        <v>2</v>
      </c>
      <c r="V1657" s="0" t="inlineStr">
        <is>
          <t>복도식</t>
        </is>
      </c>
      <c r="W1657" s="0" t="n">
        <v>106</v>
      </c>
      <c r="X1657" s="0" t="n">
        <v>7</v>
      </c>
      <c r="Y1657" s="0" t="n">
        <v>7</v>
      </c>
      <c r="Z1657" s="0" t="inlineStr">
        <is>
          <t>https://new.land.naver.com/complexes/105627?tab=detail&amp;rf=Y</t>
        </is>
      </c>
      <c r="AA1657" s="0" t="inlineStr">
        <is>
          <t>서울시 강동구 성내동 405-9</t>
        </is>
      </c>
      <c r="AB1657" s="0" t="inlineStr">
        <is>
          <t>서울시</t>
        </is>
      </c>
      <c r="AC1657" s="0" t="inlineStr">
        <is>
          <t>강동구</t>
        </is>
      </c>
      <c r="AD1657" s="0" t="inlineStr">
        <is>
          <t>성내동</t>
        </is>
      </c>
      <c r="AG1657" s="0" t="inlineStr">
        <is>
          <t>서울시 강동구 양재대로95길 60</t>
        </is>
      </c>
      <c r="AH1657" s="0" t="n">
        <v>0</v>
      </c>
      <c r="AI1657" s="0" t="n">
        <v>0</v>
      </c>
      <c r="AJ1657" s="0" t="n">
        <v>0</v>
      </c>
      <c r="AK1657" s="0" t="n">
        <v>46</v>
      </c>
      <c r="AL1657" s="0" t="n">
        <v>1.18</v>
      </c>
    </row>
    <row r="1658">
      <c r="A1658" s="0" t="inlineStr">
        <is>
          <t>[성내동]</t>
        </is>
      </c>
      <c r="B1658" s="0" t="n">
        <v>9365</v>
      </c>
      <c r="C1658" s="0" t="n">
        <v>1</v>
      </c>
      <c r="D1658" s="0" t="inlineStr">
        <is>
          <t>새한올림픽</t>
        </is>
      </c>
      <c r="E1658" s="0" t="inlineStr">
        <is>
          <t>2001.12.</t>
        </is>
      </c>
      <c r="F1658" s="0" t="n">
        <v>49</v>
      </c>
      <c r="G1658" s="0" t="n">
        <v>29.34</v>
      </c>
      <c r="H1658" s="0" t="n">
        <v>97.02</v>
      </c>
      <c r="I1658" s="0" t="n">
        <v>22.02</v>
      </c>
      <c r="J1658" s="0" t="n">
        <v>72.81999999999999</v>
      </c>
      <c r="K1658" s="0" t="n">
        <v>2</v>
      </c>
      <c r="T1658" s="0" t="n">
        <v>3</v>
      </c>
      <c r="U1658" s="0" t="n">
        <v>1</v>
      </c>
      <c r="V1658" s="0" t="inlineStr">
        <is>
          <t>계단식</t>
        </is>
      </c>
      <c r="W1658" s="0" t="n">
        <v>97</v>
      </c>
      <c r="X1658" s="0" t="n">
        <v>11</v>
      </c>
      <c r="Y1658" s="0" t="n">
        <v>6</v>
      </c>
      <c r="Z1658" s="0" t="inlineStr">
        <is>
          <t>https://new.land.naver.com/complexes/9365?tab=detail&amp;rf=Y</t>
        </is>
      </c>
      <c r="AA1658" s="0" t="inlineStr">
        <is>
          <t>서울시 강동구 성내동 467-1</t>
        </is>
      </c>
      <c r="AB1658" s="0" t="inlineStr">
        <is>
          <t>서울시</t>
        </is>
      </c>
      <c r="AC1658" s="0" t="inlineStr">
        <is>
          <t>강동구</t>
        </is>
      </c>
      <c r="AD1658" s="0" t="inlineStr">
        <is>
          <t>성내동</t>
        </is>
      </c>
      <c r="AG1658" s="0" t="inlineStr">
        <is>
          <t>서울시 강동구 성내로6다길 115</t>
        </is>
      </c>
      <c r="AH1658" s="0" t="n">
        <v>0</v>
      </c>
      <c r="AI1658" s="0" t="n">
        <v>270</v>
      </c>
      <c r="AJ1658" s="0" t="n">
        <v>34</v>
      </c>
      <c r="AK1658" s="0" t="n">
        <v>59</v>
      </c>
      <c r="AL1658" s="0" t="n">
        <v>1.2</v>
      </c>
    </row>
    <row r="1659">
      <c r="A1659" s="0" t="inlineStr">
        <is>
          <t>[성내동]</t>
        </is>
      </c>
      <c r="B1659" s="0" t="n">
        <v>9365</v>
      </c>
      <c r="C1659" s="0" t="n">
        <v>2</v>
      </c>
      <c r="D1659" s="0" t="inlineStr">
        <is>
          <t>새한올림픽</t>
        </is>
      </c>
      <c r="E1659" s="0" t="inlineStr">
        <is>
          <t>2001.12.</t>
        </is>
      </c>
      <c r="F1659" s="0" t="n">
        <v>49</v>
      </c>
      <c r="G1659" s="0" t="n">
        <v>32.8</v>
      </c>
      <c r="H1659" s="0" t="n">
        <v>108.46</v>
      </c>
      <c r="I1659" s="0" t="n">
        <v>24.66</v>
      </c>
      <c r="J1659" s="0" t="n">
        <v>81.55</v>
      </c>
      <c r="K1659" s="0" t="n">
        <v>28</v>
      </c>
      <c r="T1659" s="0" t="n">
        <v>3</v>
      </c>
      <c r="U1659" s="0" t="n">
        <v>2</v>
      </c>
      <c r="V1659" s="0" t="inlineStr">
        <is>
          <t>복도식</t>
        </is>
      </c>
      <c r="W1659" s="0" t="inlineStr">
        <is>
          <t>108A</t>
        </is>
      </c>
      <c r="X1659" s="0" t="n">
        <v>11</v>
      </c>
      <c r="Y1659" s="0" t="n">
        <v>6</v>
      </c>
      <c r="Z1659" s="0" t="inlineStr">
        <is>
          <t>https://new.land.naver.com/complexes/9365?tab=detail&amp;rf=Y</t>
        </is>
      </c>
      <c r="AA1659" s="0" t="inlineStr">
        <is>
          <t>서울시 강동구 성내동 467-1</t>
        </is>
      </c>
      <c r="AB1659" s="0" t="inlineStr">
        <is>
          <t>서울시</t>
        </is>
      </c>
      <c r="AC1659" s="0" t="inlineStr">
        <is>
          <t>강동구</t>
        </is>
      </c>
      <c r="AD1659" s="0" t="inlineStr">
        <is>
          <t>성내동</t>
        </is>
      </c>
      <c r="AG1659" s="0" t="inlineStr">
        <is>
          <t>서울시 강동구 성내로6다길 115</t>
        </is>
      </c>
      <c r="AH1659" s="0" t="n">
        <v>0</v>
      </c>
      <c r="AI1659" s="0" t="n">
        <v>270</v>
      </c>
      <c r="AJ1659" s="0" t="n">
        <v>34</v>
      </c>
      <c r="AK1659" s="0" t="n">
        <v>59</v>
      </c>
      <c r="AL1659" s="0" t="n">
        <v>1.2</v>
      </c>
    </row>
    <row r="1660">
      <c r="A1660" s="0" t="inlineStr">
        <is>
          <t>[성내동]</t>
        </is>
      </c>
      <c r="B1660" s="0" t="n">
        <v>9365</v>
      </c>
      <c r="C1660" s="0" t="n">
        <v>3</v>
      </c>
      <c r="D1660" s="0" t="inlineStr">
        <is>
          <t>새한올림픽</t>
        </is>
      </c>
      <c r="E1660" s="0" t="inlineStr">
        <is>
          <t>2001.12.</t>
        </is>
      </c>
      <c r="F1660" s="0" t="n">
        <v>49</v>
      </c>
      <c r="G1660" s="0" t="n">
        <v>33.09</v>
      </c>
      <c r="H1660" s="0" t="n">
        <v>109.4</v>
      </c>
      <c r="I1660" s="0" t="n">
        <v>24.87</v>
      </c>
      <c r="J1660" s="0" t="n">
        <v>82.22</v>
      </c>
      <c r="K1660" s="0" t="n">
        <v>15</v>
      </c>
      <c r="T1660" s="0" t="n">
        <v>3</v>
      </c>
      <c r="U1660" s="0" t="n">
        <v>2</v>
      </c>
      <c r="V1660" s="0" t="inlineStr">
        <is>
          <t>복도식</t>
        </is>
      </c>
      <c r="W1660" s="0" t="inlineStr">
        <is>
          <t>109B</t>
        </is>
      </c>
      <c r="X1660" s="0" t="n">
        <v>11</v>
      </c>
      <c r="Y1660" s="0" t="n">
        <v>6</v>
      </c>
      <c r="Z1660" s="0" t="inlineStr">
        <is>
          <t>https://new.land.naver.com/complexes/9365?tab=detail&amp;rf=Y</t>
        </is>
      </c>
      <c r="AA1660" s="0" t="inlineStr">
        <is>
          <t>서울시 강동구 성내동 467-1</t>
        </is>
      </c>
      <c r="AB1660" s="0" t="inlineStr">
        <is>
          <t>서울시</t>
        </is>
      </c>
      <c r="AC1660" s="0" t="inlineStr">
        <is>
          <t>강동구</t>
        </is>
      </c>
      <c r="AD1660" s="0" t="inlineStr">
        <is>
          <t>성내동</t>
        </is>
      </c>
      <c r="AG1660" s="0" t="inlineStr">
        <is>
          <t>서울시 강동구 성내로6다길 115</t>
        </is>
      </c>
      <c r="AH1660" s="0" t="n">
        <v>0</v>
      </c>
      <c r="AI1660" s="0" t="n">
        <v>270</v>
      </c>
      <c r="AJ1660" s="0" t="n">
        <v>34</v>
      </c>
      <c r="AK1660" s="0" t="n">
        <v>59</v>
      </c>
      <c r="AL1660" s="0" t="n">
        <v>1.2</v>
      </c>
    </row>
    <row r="1661">
      <c r="A1661" s="0" t="inlineStr">
        <is>
          <t>[성내동]</t>
        </is>
      </c>
      <c r="B1661" s="0" t="n">
        <v>9365</v>
      </c>
      <c r="C1661" s="0" t="n">
        <v>4</v>
      </c>
      <c r="D1661" s="0" t="inlineStr">
        <is>
          <t>새한올림픽</t>
        </is>
      </c>
      <c r="E1661" s="0" t="inlineStr">
        <is>
          <t>2001.12.</t>
        </is>
      </c>
      <c r="F1661" s="0" t="n">
        <v>49</v>
      </c>
      <c r="G1661" s="0" t="n">
        <v>52.48</v>
      </c>
      <c r="H1661" s="0" t="n">
        <v>173.5</v>
      </c>
      <c r="I1661" s="0" t="n">
        <v>38.83</v>
      </c>
      <c r="J1661" s="0" t="n">
        <v>128.39</v>
      </c>
      <c r="K1661" s="0" t="n">
        <v>2</v>
      </c>
      <c r="T1661" s="0" t="n">
        <v>4</v>
      </c>
      <c r="U1661" s="0" t="n">
        <v>2</v>
      </c>
      <c r="V1661" s="0" t="inlineStr">
        <is>
          <t>복도식</t>
        </is>
      </c>
      <c r="W1661" s="0" t="n">
        <v>173</v>
      </c>
      <c r="X1661" s="0" t="n">
        <v>11</v>
      </c>
      <c r="Y1661" s="0" t="n">
        <v>6</v>
      </c>
      <c r="Z1661" s="0" t="inlineStr">
        <is>
          <t>https://new.land.naver.com/complexes/9365?tab=detail&amp;rf=Y</t>
        </is>
      </c>
      <c r="AA1661" s="0" t="inlineStr">
        <is>
          <t>서울시 강동구 성내동 467-1</t>
        </is>
      </c>
      <c r="AB1661" s="0" t="inlineStr">
        <is>
          <t>서울시</t>
        </is>
      </c>
      <c r="AC1661" s="0" t="inlineStr">
        <is>
          <t>강동구</t>
        </is>
      </c>
      <c r="AD1661" s="0" t="inlineStr">
        <is>
          <t>성내동</t>
        </is>
      </c>
      <c r="AG1661" s="0" t="inlineStr">
        <is>
          <t>서울시 강동구 성내로6다길 115</t>
        </is>
      </c>
      <c r="AH1661" s="0" t="n">
        <v>0</v>
      </c>
      <c r="AI1661" s="0" t="n">
        <v>270</v>
      </c>
      <c r="AJ1661" s="0" t="n">
        <v>34</v>
      </c>
      <c r="AK1661" s="0" t="n">
        <v>59</v>
      </c>
      <c r="AL1661" s="0" t="n">
        <v>1.2</v>
      </c>
    </row>
    <row r="1662">
      <c r="A1662" s="0" t="inlineStr">
        <is>
          <t>[성내동]</t>
        </is>
      </c>
      <c r="B1662" s="0" t="n">
        <v>9365</v>
      </c>
      <c r="C1662" s="0" t="n">
        <v>5</v>
      </c>
      <c r="D1662" s="0" t="inlineStr">
        <is>
          <t>새한올림픽</t>
        </is>
      </c>
      <c r="E1662" s="0" t="inlineStr">
        <is>
          <t>2001.12.</t>
        </is>
      </c>
      <c r="F1662" s="0" t="n">
        <v>49</v>
      </c>
      <c r="G1662" s="0" t="n">
        <v>55.61</v>
      </c>
      <c r="H1662" s="0" t="n">
        <v>183.84</v>
      </c>
      <c r="I1662" s="0" t="n">
        <v>41.33</v>
      </c>
      <c r="J1662" s="0" t="n">
        <v>136.65</v>
      </c>
      <c r="K1662" s="0" t="n">
        <v>1</v>
      </c>
      <c r="T1662" s="0" t="n">
        <v>5</v>
      </c>
      <c r="U1662" s="0" t="n">
        <v>2</v>
      </c>
      <c r="V1662" s="0" t="inlineStr">
        <is>
          <t>복도식</t>
        </is>
      </c>
      <c r="W1662" s="0" t="n">
        <v>183</v>
      </c>
      <c r="X1662" s="0" t="n">
        <v>11</v>
      </c>
      <c r="Y1662" s="0" t="n">
        <v>6</v>
      </c>
      <c r="Z1662" s="0" t="inlineStr">
        <is>
          <t>https://new.land.naver.com/complexes/9365?tab=detail&amp;rf=Y</t>
        </is>
      </c>
      <c r="AA1662" s="0" t="inlineStr">
        <is>
          <t>서울시 강동구 성내동 467-1</t>
        </is>
      </c>
      <c r="AB1662" s="0" t="inlineStr">
        <is>
          <t>서울시</t>
        </is>
      </c>
      <c r="AC1662" s="0" t="inlineStr">
        <is>
          <t>강동구</t>
        </is>
      </c>
      <c r="AD1662" s="0" t="inlineStr">
        <is>
          <t>성내동</t>
        </is>
      </c>
      <c r="AG1662" s="0" t="inlineStr">
        <is>
          <t>서울시 강동구 성내로6다길 115</t>
        </is>
      </c>
      <c r="AH1662" s="0" t="n">
        <v>0</v>
      </c>
      <c r="AI1662" s="0" t="n">
        <v>270</v>
      </c>
      <c r="AJ1662" s="0" t="n">
        <v>34</v>
      </c>
      <c r="AK1662" s="0" t="n">
        <v>59</v>
      </c>
      <c r="AL1662" s="0" t="n">
        <v>1.2</v>
      </c>
    </row>
    <row r="1663">
      <c r="A1663" s="0" t="inlineStr">
        <is>
          <t>[성내동]</t>
        </is>
      </c>
      <c r="B1663" s="0" t="n">
        <v>9365</v>
      </c>
      <c r="C1663" s="0" t="n">
        <v>6</v>
      </c>
      <c r="D1663" s="0" t="inlineStr">
        <is>
          <t>새한올림픽</t>
        </is>
      </c>
      <c r="E1663" s="0" t="inlineStr">
        <is>
          <t>2001.12.</t>
        </is>
      </c>
      <c r="F1663" s="0" t="n">
        <v>49</v>
      </c>
      <c r="G1663" s="0" t="n">
        <v>62.93</v>
      </c>
      <c r="H1663" s="0" t="n">
        <v>208.06</v>
      </c>
      <c r="I1663" s="0" t="n">
        <v>46.86</v>
      </c>
      <c r="J1663" s="0" t="n">
        <v>154.93</v>
      </c>
      <c r="K1663" s="0" t="n">
        <v>1</v>
      </c>
      <c r="T1663" s="0" t="n">
        <v>5</v>
      </c>
      <c r="U1663" s="0" t="n">
        <v>2</v>
      </c>
      <c r="V1663" s="0" t="inlineStr">
        <is>
          <t>계단식</t>
        </is>
      </c>
      <c r="W1663" s="0" t="n">
        <v>208</v>
      </c>
      <c r="X1663" s="0" t="n">
        <v>11</v>
      </c>
      <c r="Y1663" s="0" t="n">
        <v>6</v>
      </c>
      <c r="Z1663" s="0" t="inlineStr">
        <is>
          <t>https://new.land.naver.com/complexes/9365?tab=detail&amp;rf=Y</t>
        </is>
      </c>
      <c r="AA1663" s="0" t="inlineStr">
        <is>
          <t>서울시 강동구 성내동 467-1</t>
        </is>
      </c>
      <c r="AB1663" s="0" t="inlineStr">
        <is>
          <t>서울시</t>
        </is>
      </c>
      <c r="AC1663" s="0" t="inlineStr">
        <is>
          <t>강동구</t>
        </is>
      </c>
      <c r="AD1663" s="0" t="inlineStr">
        <is>
          <t>성내동</t>
        </is>
      </c>
      <c r="AG1663" s="0" t="inlineStr">
        <is>
          <t>서울시 강동구 성내로6다길 115</t>
        </is>
      </c>
      <c r="AH1663" s="0" t="n">
        <v>0</v>
      </c>
      <c r="AI1663" s="0" t="n">
        <v>270</v>
      </c>
      <c r="AJ1663" s="0" t="n">
        <v>34</v>
      </c>
      <c r="AK1663" s="0" t="n">
        <v>59</v>
      </c>
      <c r="AL1663" s="0" t="n">
        <v>1.2</v>
      </c>
    </row>
    <row r="1664">
      <c r="A1664" s="0" t="inlineStr">
        <is>
          <t>[성내동]</t>
        </is>
      </c>
      <c r="B1664" s="0" t="n">
        <v>143719</v>
      </c>
      <c r="C1664" s="0" t="n">
        <v>1</v>
      </c>
      <c r="D1664" s="0" t="inlineStr">
        <is>
          <t>디아람(도시형)</t>
        </is>
      </c>
      <c r="E1664" s="0" t="inlineStr">
        <is>
          <t>2021.08.</t>
        </is>
      </c>
      <c r="F1664" s="0" t="n">
        <v>19</v>
      </c>
      <c r="G1664" s="0" t="n">
        <v>6.25</v>
      </c>
      <c r="H1664" s="0" t="n">
        <v>20.67</v>
      </c>
      <c r="I1664" s="0" t="n">
        <v>4.51</v>
      </c>
      <c r="J1664" s="0" t="n">
        <v>14.92</v>
      </c>
      <c r="K1664" s="0" t="n">
        <v>4</v>
      </c>
      <c r="T1664" s="0" t="n">
        <v>1</v>
      </c>
      <c r="U1664" s="0" t="n">
        <v>1</v>
      </c>
      <c r="V1664" s="0" t="inlineStr">
        <is>
          <t>계단식</t>
        </is>
      </c>
      <c r="W1664" s="0" t="inlineStr">
        <is>
          <t>20A</t>
        </is>
      </c>
      <c r="X1664" s="0" t="n">
        <v>9</v>
      </c>
      <c r="Y1664" s="0" t="n">
        <v>8</v>
      </c>
      <c r="Z1664" s="0" t="inlineStr">
        <is>
          <t>https://new.land.naver.com/complexes/143719?tab=detail&amp;rf=Y</t>
        </is>
      </c>
      <c r="AA1664" s="0" t="inlineStr">
        <is>
          <t>서울시 강동구 성내동 81-4</t>
        </is>
      </c>
      <c r="AB1664" s="0" t="inlineStr">
        <is>
          <t>서울시</t>
        </is>
      </c>
      <c r="AC1664" s="0" t="inlineStr">
        <is>
          <t>강동구</t>
        </is>
      </c>
      <c r="AD1664" s="0" t="inlineStr">
        <is>
          <t>성내동</t>
        </is>
      </c>
      <c r="AG1664" s="0" t="inlineStr">
        <is>
          <t>서울시 강동구 올림픽로62길 9-12</t>
        </is>
      </c>
      <c r="AH1664" s="0" t="n">
        <v>0</v>
      </c>
      <c r="AI1664" s="0" t="n">
        <v>347</v>
      </c>
      <c r="AJ1664" s="0" t="n">
        <v>59</v>
      </c>
      <c r="AK1664" s="0" t="n">
        <v>9</v>
      </c>
      <c r="AL1664" s="0" t="n">
        <v>0.47</v>
      </c>
    </row>
    <row r="1665">
      <c r="A1665" s="0" t="inlineStr">
        <is>
          <t>[성내동]</t>
        </is>
      </c>
      <c r="B1665" s="0" t="n">
        <v>143719</v>
      </c>
      <c r="C1665" s="0" t="n">
        <v>2</v>
      </c>
      <c r="D1665" s="0" t="inlineStr">
        <is>
          <t>디아람(도시형)</t>
        </is>
      </c>
      <c r="E1665" s="0" t="inlineStr">
        <is>
          <t>2021.08.</t>
        </is>
      </c>
      <c r="F1665" s="0" t="n">
        <v>19</v>
      </c>
      <c r="G1665" s="0" t="n">
        <v>6.46</v>
      </c>
      <c r="H1665" s="0" t="n">
        <v>21.37</v>
      </c>
      <c r="I1665" s="0" t="n">
        <v>4.66</v>
      </c>
      <c r="J1665" s="0" t="n">
        <v>15.43</v>
      </c>
      <c r="K1665" s="0" t="n">
        <v>4</v>
      </c>
      <c r="T1665" s="0" t="n">
        <v>1</v>
      </c>
      <c r="U1665" s="0" t="n">
        <v>1</v>
      </c>
      <c r="V1665" s="0" t="inlineStr">
        <is>
          <t>계단식</t>
        </is>
      </c>
      <c r="W1665" s="0" t="inlineStr">
        <is>
          <t>21B</t>
        </is>
      </c>
      <c r="X1665" s="0" t="n">
        <v>9</v>
      </c>
      <c r="Y1665" s="0" t="n">
        <v>8</v>
      </c>
      <c r="Z1665" s="0" t="inlineStr">
        <is>
          <t>https://new.land.naver.com/complexes/143719?tab=detail&amp;rf=Y</t>
        </is>
      </c>
      <c r="AA1665" s="0" t="inlineStr">
        <is>
          <t>서울시 강동구 성내동 81-4</t>
        </is>
      </c>
      <c r="AB1665" s="0" t="inlineStr">
        <is>
          <t>서울시</t>
        </is>
      </c>
      <c r="AC1665" s="0" t="inlineStr">
        <is>
          <t>강동구</t>
        </is>
      </c>
      <c r="AD1665" s="0" t="inlineStr">
        <is>
          <t>성내동</t>
        </is>
      </c>
      <c r="AG1665" s="0" t="inlineStr">
        <is>
          <t>서울시 강동구 올림픽로62길 9-12</t>
        </is>
      </c>
      <c r="AH1665" s="0" t="n">
        <v>0</v>
      </c>
      <c r="AI1665" s="0" t="n">
        <v>347</v>
      </c>
      <c r="AJ1665" s="0" t="n">
        <v>59</v>
      </c>
      <c r="AK1665" s="0" t="n">
        <v>9</v>
      </c>
      <c r="AL1665" s="0" t="n">
        <v>0.47</v>
      </c>
    </row>
    <row r="1666">
      <c r="A1666" s="0" t="inlineStr">
        <is>
          <t>[성내동]</t>
        </is>
      </c>
      <c r="B1666" s="0" t="n">
        <v>143719</v>
      </c>
      <c r="C1666" s="0" t="n">
        <v>3</v>
      </c>
      <c r="D1666" s="0" t="inlineStr">
        <is>
          <t>디아람(도시형)</t>
        </is>
      </c>
      <c r="E1666" s="0" t="inlineStr">
        <is>
          <t>2021.08.</t>
        </is>
      </c>
      <c r="F1666" s="0" t="n">
        <v>19</v>
      </c>
      <c r="G1666" s="0" t="n">
        <v>7.39</v>
      </c>
      <c r="H1666" s="0" t="n">
        <v>24.43</v>
      </c>
      <c r="I1666" s="0" t="n">
        <v>5.33</v>
      </c>
      <c r="J1666" s="0" t="n">
        <v>17.64</v>
      </c>
      <c r="K1666" s="0" t="n">
        <v>5</v>
      </c>
      <c r="T1666" s="0" t="n">
        <v>1</v>
      </c>
      <c r="U1666" s="0" t="n">
        <v>1</v>
      </c>
      <c r="V1666" s="0" t="inlineStr">
        <is>
          <t>계단식</t>
        </is>
      </c>
      <c r="W1666" s="0" t="n">
        <v>24</v>
      </c>
      <c r="X1666" s="0" t="n">
        <v>9</v>
      </c>
      <c r="Y1666" s="0" t="n">
        <v>8</v>
      </c>
      <c r="Z1666" s="0" t="inlineStr">
        <is>
          <t>https://new.land.naver.com/complexes/143719?tab=detail&amp;rf=Y</t>
        </is>
      </c>
      <c r="AA1666" s="0" t="inlineStr">
        <is>
          <t>서울시 강동구 성내동 81-4</t>
        </is>
      </c>
      <c r="AB1666" s="0" t="inlineStr">
        <is>
          <t>서울시</t>
        </is>
      </c>
      <c r="AC1666" s="0" t="inlineStr">
        <is>
          <t>강동구</t>
        </is>
      </c>
      <c r="AD1666" s="0" t="inlineStr">
        <is>
          <t>성내동</t>
        </is>
      </c>
      <c r="AG1666" s="0" t="inlineStr">
        <is>
          <t>서울시 강동구 올림픽로62길 9-12</t>
        </is>
      </c>
      <c r="AH1666" s="0" t="n">
        <v>0</v>
      </c>
      <c r="AI1666" s="0" t="n">
        <v>347</v>
      </c>
      <c r="AJ1666" s="0" t="n">
        <v>59</v>
      </c>
      <c r="AK1666" s="0" t="n">
        <v>9</v>
      </c>
      <c r="AL1666" s="0" t="n">
        <v>0.47</v>
      </c>
    </row>
    <row r="1667">
      <c r="A1667" s="0" t="inlineStr">
        <is>
          <t>[성내동]</t>
        </is>
      </c>
      <c r="B1667" s="0" t="n">
        <v>143719</v>
      </c>
      <c r="C1667" s="0" t="n">
        <v>4</v>
      </c>
      <c r="D1667" s="0" t="inlineStr">
        <is>
          <t>디아람(도시형)</t>
        </is>
      </c>
      <c r="E1667" s="0" t="inlineStr">
        <is>
          <t>2021.08.</t>
        </is>
      </c>
      <c r="F1667" s="0" t="n">
        <v>19</v>
      </c>
      <c r="G1667" s="0" t="n">
        <v>7.91</v>
      </c>
      <c r="H1667" s="0" t="n">
        <v>26.18</v>
      </c>
      <c r="I1667" s="0" t="n">
        <v>5.71</v>
      </c>
      <c r="J1667" s="0" t="n">
        <v>18.9</v>
      </c>
      <c r="K1667" s="0" t="n">
        <v>5</v>
      </c>
      <c r="T1667" s="0" t="n">
        <v>1</v>
      </c>
      <c r="U1667" s="0" t="n">
        <v>1</v>
      </c>
      <c r="V1667" s="0" t="inlineStr">
        <is>
          <t>계단식</t>
        </is>
      </c>
      <c r="W1667" s="0" t="n">
        <v>26</v>
      </c>
      <c r="X1667" s="0" t="n">
        <v>9</v>
      </c>
      <c r="Y1667" s="0" t="n">
        <v>8</v>
      </c>
      <c r="Z1667" s="0" t="inlineStr">
        <is>
          <t>https://new.land.naver.com/complexes/143719?tab=detail&amp;rf=Y</t>
        </is>
      </c>
      <c r="AA1667" s="0" t="inlineStr">
        <is>
          <t>서울시 강동구 성내동 81-4</t>
        </is>
      </c>
      <c r="AB1667" s="0" t="inlineStr">
        <is>
          <t>서울시</t>
        </is>
      </c>
      <c r="AC1667" s="0" t="inlineStr">
        <is>
          <t>강동구</t>
        </is>
      </c>
      <c r="AD1667" s="0" t="inlineStr">
        <is>
          <t>성내동</t>
        </is>
      </c>
      <c r="AG1667" s="0" t="inlineStr">
        <is>
          <t>서울시 강동구 올림픽로62길 9-12</t>
        </is>
      </c>
      <c r="AH1667" s="0" t="n">
        <v>0</v>
      </c>
      <c r="AI1667" s="0" t="n">
        <v>347</v>
      </c>
      <c r="AJ1667" s="0" t="n">
        <v>59</v>
      </c>
      <c r="AK1667" s="0" t="n">
        <v>9</v>
      </c>
      <c r="AL1667" s="0" t="n">
        <v>0.47</v>
      </c>
    </row>
    <row r="1668">
      <c r="A1668" s="0" t="inlineStr">
        <is>
          <t>[성내동]</t>
        </is>
      </c>
      <c r="B1668" s="0" t="n">
        <v>143719</v>
      </c>
      <c r="C1668" s="0" t="n">
        <v>5</v>
      </c>
      <c r="D1668" s="0" t="inlineStr">
        <is>
          <t>디아람(도시형)</t>
        </is>
      </c>
      <c r="E1668" s="0" t="inlineStr">
        <is>
          <t>2021.08.</t>
        </is>
      </c>
      <c r="F1668" s="0" t="n">
        <v>19</v>
      </c>
      <c r="G1668" s="0" t="n">
        <v>12.42</v>
      </c>
      <c r="H1668" s="0" t="n">
        <v>41.06</v>
      </c>
      <c r="I1668" s="0" t="n">
        <v>8.960000000000001</v>
      </c>
      <c r="J1668" s="0" t="n">
        <v>29.65</v>
      </c>
      <c r="K1668" s="0" t="n">
        <v>1</v>
      </c>
      <c r="T1668" s="0" t="n">
        <v>1</v>
      </c>
      <c r="U1668" s="0" t="n">
        <v>1</v>
      </c>
      <c r="V1668" s="0" t="inlineStr">
        <is>
          <t>계단식</t>
        </is>
      </c>
      <c r="W1668" s="0" t="n">
        <v>41</v>
      </c>
      <c r="X1668" s="0" t="n">
        <v>9</v>
      </c>
      <c r="Y1668" s="0" t="n">
        <v>8</v>
      </c>
      <c r="Z1668" s="0" t="inlineStr">
        <is>
          <t>https://new.land.naver.com/complexes/143719?tab=detail&amp;rf=Y</t>
        </is>
      </c>
      <c r="AA1668" s="0" t="inlineStr">
        <is>
          <t>서울시 강동구 성내동 81-4</t>
        </is>
      </c>
      <c r="AB1668" s="0" t="inlineStr">
        <is>
          <t>서울시</t>
        </is>
      </c>
      <c r="AC1668" s="0" t="inlineStr">
        <is>
          <t>강동구</t>
        </is>
      </c>
      <c r="AD1668" s="0" t="inlineStr">
        <is>
          <t>성내동</t>
        </is>
      </c>
      <c r="AG1668" s="0" t="inlineStr">
        <is>
          <t>서울시 강동구 올림픽로62길 9-12</t>
        </is>
      </c>
      <c r="AH1668" s="0" t="n">
        <v>0</v>
      </c>
      <c r="AI1668" s="0" t="n">
        <v>347</v>
      </c>
      <c r="AJ1668" s="0" t="n">
        <v>59</v>
      </c>
      <c r="AK1668" s="0" t="n">
        <v>9</v>
      </c>
      <c r="AL1668" s="0" t="n">
        <v>0.47</v>
      </c>
    </row>
    <row r="1669">
      <c r="A1669" s="0" t="inlineStr">
        <is>
          <t>[성내동]</t>
        </is>
      </c>
      <c r="B1669" s="0" t="n">
        <v>13501</v>
      </c>
      <c r="C1669" s="0" t="n">
        <v>1</v>
      </c>
      <c r="D1669" s="0" t="inlineStr">
        <is>
          <t>현대제이드</t>
        </is>
      </c>
      <c r="E1669" s="0" t="inlineStr">
        <is>
          <t>1999.04.</t>
        </is>
      </c>
      <c r="F1669" s="0" t="n">
        <v>19</v>
      </c>
      <c r="G1669" s="0" t="n">
        <v>87.73999999999999</v>
      </c>
      <c r="H1669" s="0" t="n">
        <v>290.07</v>
      </c>
      <c r="I1669" s="0" t="n">
        <v>72.12</v>
      </c>
      <c r="J1669" s="0" t="n">
        <v>238.42</v>
      </c>
      <c r="K1669" s="0" t="n">
        <v>16</v>
      </c>
      <c r="T1669" s="0" t="n">
        <v>5</v>
      </c>
      <c r="U1669" s="0" t="n">
        <v>3</v>
      </c>
      <c r="V1669" s="0" t="inlineStr">
        <is>
          <t>계단식</t>
        </is>
      </c>
      <c r="W1669" s="0" t="inlineStr">
        <is>
          <t>290A</t>
        </is>
      </c>
      <c r="X1669" s="0" t="n">
        <v>15</v>
      </c>
      <c r="Y1669" s="0" t="n">
        <v>14</v>
      </c>
      <c r="Z1669" s="0" t="inlineStr">
        <is>
          <t>https://new.land.naver.com/complexes/13501?tab=detail&amp;rf=Y</t>
        </is>
      </c>
      <c r="AA1669" s="0" t="inlineStr">
        <is>
          <t>서울시 강동구 성내동 460-1</t>
        </is>
      </c>
      <c r="AB1669" s="0" t="inlineStr">
        <is>
          <t>서울시</t>
        </is>
      </c>
      <c r="AC1669" s="0" t="inlineStr">
        <is>
          <t>강동구</t>
        </is>
      </c>
      <c r="AD1669" s="0" t="inlineStr">
        <is>
          <t>성내동</t>
        </is>
      </c>
      <c r="AG1669" s="0" t="inlineStr">
        <is>
          <t>서울시 강동구 강동대로 155</t>
        </is>
      </c>
      <c r="AH1669" s="0" t="n">
        <v>0</v>
      </c>
      <c r="AI1669" s="0" t="n">
        <v>397</v>
      </c>
      <c r="AJ1669" s="0" t="n">
        <v>38</v>
      </c>
      <c r="AK1669" s="0" t="n">
        <v>28</v>
      </c>
      <c r="AL1669" s="0" t="n">
        <v>1.47</v>
      </c>
    </row>
    <row r="1670">
      <c r="A1670" s="0" t="inlineStr">
        <is>
          <t>[성내동]</t>
        </is>
      </c>
      <c r="B1670" s="0" t="n">
        <v>13501</v>
      </c>
      <c r="C1670" s="0" t="n">
        <v>2</v>
      </c>
      <c r="D1670" s="0" t="inlineStr">
        <is>
          <t>현대제이드</t>
        </is>
      </c>
      <c r="E1670" s="0" t="inlineStr">
        <is>
          <t>1999.04.</t>
        </is>
      </c>
      <c r="F1670" s="0" t="n">
        <v>19</v>
      </c>
      <c r="G1670" s="0" t="n">
        <v>87.84</v>
      </c>
      <c r="H1670" s="0" t="n">
        <v>290.39</v>
      </c>
      <c r="I1670" s="0" t="n">
        <v>72.2</v>
      </c>
      <c r="J1670" s="0" t="n">
        <v>238.68</v>
      </c>
      <c r="K1670" s="0" t="n">
        <v>2</v>
      </c>
      <c r="T1670" s="0" t="n">
        <v>5</v>
      </c>
      <c r="U1670" s="0" t="n">
        <v>3</v>
      </c>
      <c r="V1670" s="0" t="inlineStr">
        <is>
          <t>계단식</t>
        </is>
      </c>
      <c r="W1670" s="0" t="inlineStr">
        <is>
          <t>290B</t>
        </is>
      </c>
      <c r="X1670" s="0" t="n">
        <v>15</v>
      </c>
      <c r="Y1670" s="0" t="n">
        <v>14</v>
      </c>
      <c r="Z1670" s="0" t="inlineStr">
        <is>
          <t>https://new.land.naver.com/complexes/13501?tab=detail&amp;rf=Y</t>
        </is>
      </c>
      <c r="AA1670" s="0" t="inlineStr">
        <is>
          <t>서울시 강동구 성내동 460-1</t>
        </is>
      </c>
      <c r="AB1670" s="0" t="inlineStr">
        <is>
          <t>서울시</t>
        </is>
      </c>
      <c r="AC1670" s="0" t="inlineStr">
        <is>
          <t>강동구</t>
        </is>
      </c>
      <c r="AD1670" s="0" t="inlineStr">
        <is>
          <t>성내동</t>
        </is>
      </c>
      <c r="AG1670" s="0" t="inlineStr">
        <is>
          <t>서울시 강동구 강동대로 155</t>
        </is>
      </c>
      <c r="AH1670" s="0" t="n">
        <v>0</v>
      </c>
      <c r="AI1670" s="0" t="n">
        <v>397</v>
      </c>
      <c r="AJ1670" s="0" t="n">
        <v>38</v>
      </c>
      <c r="AK1670" s="0" t="n">
        <v>28</v>
      </c>
      <c r="AL1670" s="0" t="n">
        <v>1.47</v>
      </c>
    </row>
    <row r="1671">
      <c r="A1671" s="0" t="inlineStr">
        <is>
          <t>[성내동]</t>
        </is>
      </c>
      <c r="B1671" s="0" t="n">
        <v>13501</v>
      </c>
      <c r="C1671" s="0" t="n">
        <v>3</v>
      </c>
      <c r="D1671" s="0" t="inlineStr">
        <is>
          <t>현대제이드</t>
        </is>
      </c>
      <c r="E1671" s="0" t="inlineStr">
        <is>
          <t>1999.04.</t>
        </is>
      </c>
      <c r="F1671" s="0" t="n">
        <v>19</v>
      </c>
      <c r="G1671" s="0" t="n">
        <v>89.86</v>
      </c>
      <c r="H1671" s="0" t="n">
        <v>297.09</v>
      </c>
      <c r="I1671" s="0" t="n">
        <v>73.86</v>
      </c>
      <c r="J1671" s="0" t="n">
        <v>244.17</v>
      </c>
      <c r="K1671" s="0" t="n">
        <v>1</v>
      </c>
      <c r="T1671" s="0" t="n">
        <v>5</v>
      </c>
      <c r="U1671" s="0" t="n">
        <v>3</v>
      </c>
      <c r="V1671" s="0" t="inlineStr">
        <is>
          <t>계단식</t>
        </is>
      </c>
      <c r="W1671" s="0" t="n">
        <v>297</v>
      </c>
      <c r="X1671" s="0" t="n">
        <v>15</v>
      </c>
      <c r="Y1671" s="0" t="n">
        <v>14</v>
      </c>
      <c r="Z1671" s="0" t="inlineStr">
        <is>
          <t>https://new.land.naver.com/complexes/13501?tab=detail&amp;rf=Y</t>
        </is>
      </c>
      <c r="AA1671" s="0" t="inlineStr">
        <is>
          <t>서울시 강동구 성내동 460-1</t>
        </is>
      </c>
      <c r="AB1671" s="0" t="inlineStr">
        <is>
          <t>서울시</t>
        </is>
      </c>
      <c r="AC1671" s="0" t="inlineStr">
        <is>
          <t>강동구</t>
        </is>
      </c>
      <c r="AD1671" s="0" t="inlineStr">
        <is>
          <t>성내동</t>
        </is>
      </c>
      <c r="AG1671" s="0" t="inlineStr">
        <is>
          <t>서울시 강동구 강동대로 155</t>
        </is>
      </c>
      <c r="AH1671" s="0" t="n">
        <v>0</v>
      </c>
      <c r="AI1671" s="0" t="n">
        <v>397</v>
      </c>
      <c r="AJ1671" s="0" t="n">
        <v>38</v>
      </c>
      <c r="AK1671" s="0" t="n">
        <v>28</v>
      </c>
      <c r="AL1671" s="0" t="n">
        <v>1.47</v>
      </c>
    </row>
    <row r="1672">
      <c r="A1672" s="0" t="inlineStr">
        <is>
          <t>[성내동]</t>
        </is>
      </c>
      <c r="B1672" s="0" t="n">
        <v>8674</v>
      </c>
      <c r="C1672" s="0" t="n">
        <v>1</v>
      </c>
      <c r="D1672" s="0" t="inlineStr">
        <is>
          <t>센츄럴</t>
        </is>
      </c>
      <c r="E1672" s="0" t="inlineStr">
        <is>
          <t>2000.04.</t>
        </is>
      </c>
      <c r="F1672" s="0" t="n">
        <v>35</v>
      </c>
      <c r="G1672" s="0" t="n">
        <v>18.15</v>
      </c>
      <c r="H1672" s="0" t="n">
        <v>60.01</v>
      </c>
      <c r="I1672" s="0" t="n">
        <v>16.51</v>
      </c>
      <c r="J1672" s="0" t="n">
        <v>54.6</v>
      </c>
      <c r="K1672" s="0" t="n">
        <v>1</v>
      </c>
      <c r="T1672" s="0" t="n">
        <v>2</v>
      </c>
      <c r="U1672" s="0" t="n">
        <v>1</v>
      </c>
      <c r="V1672" s="0" t="inlineStr">
        <is>
          <t>복도식</t>
        </is>
      </c>
      <c r="W1672" s="0" t="n">
        <v>60</v>
      </c>
      <c r="X1672" s="0" t="n">
        <v>5</v>
      </c>
      <c r="Y1672" s="0" t="n">
        <v>4</v>
      </c>
      <c r="Z1672" s="0" t="inlineStr">
        <is>
          <t>https://new.land.naver.com/complexes/8674?tab=detail&amp;rf=Y</t>
        </is>
      </c>
      <c r="AA1672" s="0" t="inlineStr">
        <is>
          <t>서울시 강동구 성내동 438-2</t>
        </is>
      </c>
      <c r="AB1672" s="0" t="inlineStr">
        <is>
          <t>서울시</t>
        </is>
      </c>
      <c r="AC1672" s="0" t="inlineStr">
        <is>
          <t>강동구</t>
        </is>
      </c>
      <c r="AD1672" s="0" t="inlineStr">
        <is>
          <t>성내동</t>
        </is>
      </c>
      <c r="AG1672" s="0" t="inlineStr">
        <is>
          <t>서울시 강동구 강동대로53길 58</t>
        </is>
      </c>
      <c r="AH1672" s="0" t="n">
        <v>0</v>
      </c>
      <c r="AI1672" s="0" t="n">
        <v>0</v>
      </c>
      <c r="AJ1672" s="0" t="n">
        <v>0</v>
      </c>
      <c r="AK1672" s="0" t="n">
        <v>34</v>
      </c>
      <c r="AL1672" s="0" t="n">
        <v>0.97</v>
      </c>
    </row>
    <row r="1673">
      <c r="A1673" s="0" t="inlineStr">
        <is>
          <t>[성내동]</t>
        </is>
      </c>
      <c r="B1673" s="0" t="n">
        <v>8674</v>
      </c>
      <c r="C1673" s="0" t="n">
        <v>2</v>
      </c>
      <c r="D1673" s="0" t="inlineStr">
        <is>
          <t>센츄럴</t>
        </is>
      </c>
      <c r="E1673" s="0" t="inlineStr">
        <is>
          <t>2000.04.</t>
        </is>
      </c>
      <c r="F1673" s="0" t="n">
        <v>35</v>
      </c>
      <c r="G1673" s="0" t="n">
        <v>18.87</v>
      </c>
      <c r="H1673" s="0" t="n">
        <v>62.39</v>
      </c>
      <c r="I1673" s="0" t="n">
        <v>17.17</v>
      </c>
      <c r="J1673" s="0" t="n">
        <v>56.77</v>
      </c>
      <c r="K1673" s="0" t="n">
        <v>1</v>
      </c>
      <c r="T1673" s="0" t="n">
        <v>2</v>
      </c>
      <c r="U1673" s="0" t="n">
        <v>1</v>
      </c>
      <c r="V1673" s="0" t="inlineStr">
        <is>
          <t>복도식</t>
        </is>
      </c>
      <c r="W1673" s="0" t="n">
        <v>62</v>
      </c>
      <c r="X1673" s="0" t="n">
        <v>5</v>
      </c>
      <c r="Y1673" s="0" t="n">
        <v>4</v>
      </c>
      <c r="Z1673" s="0" t="inlineStr">
        <is>
          <t>https://new.land.naver.com/complexes/8674?tab=detail&amp;rf=Y</t>
        </is>
      </c>
      <c r="AA1673" s="0" t="inlineStr">
        <is>
          <t>서울시 강동구 성내동 438-2</t>
        </is>
      </c>
      <c r="AB1673" s="0" t="inlineStr">
        <is>
          <t>서울시</t>
        </is>
      </c>
      <c r="AC1673" s="0" t="inlineStr">
        <is>
          <t>강동구</t>
        </is>
      </c>
      <c r="AD1673" s="0" t="inlineStr">
        <is>
          <t>성내동</t>
        </is>
      </c>
      <c r="AG1673" s="0" t="inlineStr">
        <is>
          <t>서울시 강동구 강동대로53길 58</t>
        </is>
      </c>
      <c r="AH1673" s="0" t="n">
        <v>0</v>
      </c>
      <c r="AI1673" s="0" t="n">
        <v>0</v>
      </c>
      <c r="AJ1673" s="0" t="n">
        <v>0</v>
      </c>
      <c r="AK1673" s="0" t="n">
        <v>34</v>
      </c>
      <c r="AL1673" s="0" t="n">
        <v>0.97</v>
      </c>
    </row>
    <row r="1674">
      <c r="A1674" s="0" t="inlineStr">
        <is>
          <t>[성내동]</t>
        </is>
      </c>
      <c r="B1674" s="0" t="n">
        <v>8674</v>
      </c>
      <c r="C1674" s="0" t="n">
        <v>3</v>
      </c>
      <c r="D1674" s="0" t="inlineStr">
        <is>
          <t>센츄럴</t>
        </is>
      </c>
      <c r="E1674" s="0" t="inlineStr">
        <is>
          <t>2000.04.</t>
        </is>
      </c>
      <c r="F1674" s="0" t="n">
        <v>35</v>
      </c>
      <c r="G1674" s="0" t="n">
        <v>21.89</v>
      </c>
      <c r="H1674" s="0" t="n">
        <v>72.37</v>
      </c>
      <c r="I1674" s="0" t="n">
        <v>19.91</v>
      </c>
      <c r="J1674" s="0" t="n">
        <v>65.84999999999999</v>
      </c>
      <c r="K1674" s="0" t="n">
        <v>1</v>
      </c>
      <c r="T1674" s="0" t="n">
        <v>2</v>
      </c>
      <c r="U1674" s="0" t="n">
        <v>1</v>
      </c>
      <c r="V1674" s="0" t="inlineStr">
        <is>
          <t>복도식</t>
        </is>
      </c>
      <c r="W1674" s="0" t="n">
        <v>72</v>
      </c>
      <c r="X1674" s="0" t="n">
        <v>5</v>
      </c>
      <c r="Y1674" s="0" t="n">
        <v>4</v>
      </c>
      <c r="Z1674" s="0" t="inlineStr">
        <is>
          <t>https://new.land.naver.com/complexes/8674?tab=detail&amp;rf=Y</t>
        </is>
      </c>
      <c r="AA1674" s="0" t="inlineStr">
        <is>
          <t>서울시 강동구 성내동 438-2</t>
        </is>
      </c>
      <c r="AB1674" s="0" t="inlineStr">
        <is>
          <t>서울시</t>
        </is>
      </c>
      <c r="AC1674" s="0" t="inlineStr">
        <is>
          <t>강동구</t>
        </is>
      </c>
      <c r="AD1674" s="0" t="inlineStr">
        <is>
          <t>성내동</t>
        </is>
      </c>
      <c r="AG1674" s="0" t="inlineStr">
        <is>
          <t>서울시 강동구 강동대로53길 58</t>
        </is>
      </c>
      <c r="AH1674" s="0" t="n">
        <v>0</v>
      </c>
      <c r="AI1674" s="0" t="n">
        <v>0</v>
      </c>
      <c r="AJ1674" s="0" t="n">
        <v>0</v>
      </c>
      <c r="AK1674" s="0" t="n">
        <v>34</v>
      </c>
      <c r="AL1674" s="0" t="n">
        <v>0.97</v>
      </c>
    </row>
    <row r="1675">
      <c r="A1675" s="0" t="inlineStr">
        <is>
          <t>[성내동]</t>
        </is>
      </c>
      <c r="B1675" s="0" t="n">
        <v>8674</v>
      </c>
      <c r="C1675" s="0" t="n">
        <v>4</v>
      </c>
      <c r="D1675" s="0" t="inlineStr">
        <is>
          <t>센츄럴</t>
        </is>
      </c>
      <c r="E1675" s="0" t="inlineStr">
        <is>
          <t>2000.04.</t>
        </is>
      </c>
      <c r="F1675" s="0" t="n">
        <v>35</v>
      </c>
      <c r="G1675" s="0" t="n">
        <v>22.59</v>
      </c>
      <c r="H1675" s="0" t="n">
        <v>74.7</v>
      </c>
      <c r="I1675" s="0" t="n">
        <v>20.56</v>
      </c>
      <c r="J1675" s="0" t="n">
        <v>67.97</v>
      </c>
      <c r="K1675" s="0" t="n">
        <v>1</v>
      </c>
      <c r="T1675" s="0" t="n">
        <v>2</v>
      </c>
      <c r="U1675" s="0" t="n">
        <v>1</v>
      </c>
      <c r="V1675" s="0" t="inlineStr">
        <is>
          <t>복도식</t>
        </is>
      </c>
      <c r="W1675" s="0" t="n">
        <v>74</v>
      </c>
      <c r="X1675" s="0" t="n">
        <v>5</v>
      </c>
      <c r="Y1675" s="0" t="n">
        <v>4</v>
      </c>
      <c r="Z1675" s="0" t="inlineStr">
        <is>
          <t>https://new.land.naver.com/complexes/8674?tab=detail&amp;rf=Y</t>
        </is>
      </c>
      <c r="AA1675" s="0" t="inlineStr">
        <is>
          <t>서울시 강동구 성내동 438-2</t>
        </is>
      </c>
      <c r="AB1675" s="0" t="inlineStr">
        <is>
          <t>서울시</t>
        </is>
      </c>
      <c r="AC1675" s="0" t="inlineStr">
        <is>
          <t>강동구</t>
        </is>
      </c>
      <c r="AD1675" s="0" t="inlineStr">
        <is>
          <t>성내동</t>
        </is>
      </c>
      <c r="AG1675" s="0" t="inlineStr">
        <is>
          <t>서울시 강동구 강동대로53길 58</t>
        </is>
      </c>
      <c r="AH1675" s="0" t="n">
        <v>0</v>
      </c>
      <c r="AI1675" s="0" t="n">
        <v>0</v>
      </c>
      <c r="AJ1675" s="0" t="n">
        <v>0</v>
      </c>
      <c r="AK1675" s="0" t="n">
        <v>34</v>
      </c>
      <c r="AL1675" s="0" t="n">
        <v>0.97</v>
      </c>
    </row>
    <row r="1676">
      <c r="A1676" s="0" t="inlineStr">
        <is>
          <t>[성내동]</t>
        </is>
      </c>
      <c r="B1676" s="0" t="n">
        <v>8674</v>
      </c>
      <c r="C1676" s="0" t="n">
        <v>5</v>
      </c>
      <c r="D1676" s="0" t="inlineStr">
        <is>
          <t>센츄럴</t>
        </is>
      </c>
      <c r="E1676" s="0" t="inlineStr">
        <is>
          <t>2000.04.</t>
        </is>
      </c>
      <c r="F1676" s="0" t="n">
        <v>35</v>
      </c>
      <c r="G1676" s="0" t="n">
        <v>24</v>
      </c>
      <c r="H1676" s="0" t="n">
        <v>79.37</v>
      </c>
      <c r="I1676" s="0" t="n">
        <v>21.85</v>
      </c>
      <c r="J1676" s="0" t="n">
        <v>72.23999999999999</v>
      </c>
      <c r="K1676" s="0" t="n">
        <v>3</v>
      </c>
      <c r="T1676" s="0" t="n">
        <v>3</v>
      </c>
      <c r="U1676" s="0" t="n">
        <v>1</v>
      </c>
      <c r="V1676" s="0" t="inlineStr">
        <is>
          <t>복도식</t>
        </is>
      </c>
      <c r="W1676" s="0" t="n">
        <v>79</v>
      </c>
      <c r="X1676" s="0" t="n">
        <v>5</v>
      </c>
      <c r="Y1676" s="0" t="n">
        <v>4</v>
      </c>
      <c r="Z1676" s="0" t="inlineStr">
        <is>
          <t>https://new.land.naver.com/complexes/8674?tab=detail&amp;rf=Y</t>
        </is>
      </c>
      <c r="AA1676" s="0" t="inlineStr">
        <is>
          <t>서울시 강동구 성내동 438-2</t>
        </is>
      </c>
      <c r="AB1676" s="0" t="inlineStr">
        <is>
          <t>서울시</t>
        </is>
      </c>
      <c r="AC1676" s="0" t="inlineStr">
        <is>
          <t>강동구</t>
        </is>
      </c>
      <c r="AD1676" s="0" t="inlineStr">
        <is>
          <t>성내동</t>
        </is>
      </c>
      <c r="AG1676" s="0" t="inlineStr">
        <is>
          <t>서울시 강동구 강동대로53길 58</t>
        </is>
      </c>
      <c r="AH1676" s="0" t="n">
        <v>0</v>
      </c>
      <c r="AI1676" s="0" t="n">
        <v>0</v>
      </c>
      <c r="AJ1676" s="0" t="n">
        <v>0</v>
      </c>
      <c r="AK1676" s="0" t="n">
        <v>34</v>
      </c>
      <c r="AL1676" s="0" t="n">
        <v>0.97</v>
      </c>
    </row>
    <row r="1677">
      <c r="A1677" s="0" t="inlineStr">
        <is>
          <t>[성내동]</t>
        </is>
      </c>
      <c r="B1677" s="0" t="n">
        <v>8674</v>
      </c>
      <c r="C1677" s="0" t="n">
        <v>6</v>
      </c>
      <c r="D1677" s="0" t="inlineStr">
        <is>
          <t>센츄럴</t>
        </is>
      </c>
      <c r="E1677" s="0" t="inlineStr">
        <is>
          <t>2000.04.</t>
        </is>
      </c>
      <c r="F1677" s="0" t="n">
        <v>35</v>
      </c>
      <c r="G1677" s="0" t="n">
        <v>24.82</v>
      </c>
      <c r="H1677" s="0" t="n">
        <v>82.06999999999999</v>
      </c>
      <c r="I1677" s="0" t="n">
        <v>22.59</v>
      </c>
      <c r="J1677" s="0" t="n">
        <v>74.7</v>
      </c>
      <c r="K1677" s="0" t="n">
        <v>3</v>
      </c>
      <c r="T1677" s="0" t="n">
        <v>3</v>
      </c>
      <c r="U1677" s="0" t="n">
        <v>1</v>
      </c>
      <c r="V1677" s="0" t="inlineStr">
        <is>
          <t>복도식</t>
        </is>
      </c>
      <c r="W1677" s="0" t="n">
        <v>82</v>
      </c>
      <c r="X1677" s="0" t="n">
        <v>5</v>
      </c>
      <c r="Y1677" s="0" t="n">
        <v>4</v>
      </c>
      <c r="Z1677" s="0" t="inlineStr">
        <is>
          <t>https://new.land.naver.com/complexes/8674?tab=detail&amp;rf=Y</t>
        </is>
      </c>
      <c r="AA1677" s="0" t="inlineStr">
        <is>
          <t>서울시 강동구 성내동 438-2</t>
        </is>
      </c>
      <c r="AB1677" s="0" t="inlineStr">
        <is>
          <t>서울시</t>
        </is>
      </c>
      <c r="AC1677" s="0" t="inlineStr">
        <is>
          <t>강동구</t>
        </is>
      </c>
      <c r="AD1677" s="0" t="inlineStr">
        <is>
          <t>성내동</t>
        </is>
      </c>
      <c r="AG1677" s="0" t="inlineStr">
        <is>
          <t>서울시 강동구 강동대로53길 58</t>
        </is>
      </c>
      <c r="AH1677" s="0" t="n">
        <v>0</v>
      </c>
      <c r="AI1677" s="0" t="n">
        <v>0</v>
      </c>
      <c r="AJ1677" s="0" t="n">
        <v>0</v>
      </c>
      <c r="AK1677" s="0" t="n">
        <v>34</v>
      </c>
      <c r="AL1677" s="0" t="n">
        <v>0.97</v>
      </c>
    </row>
    <row r="1678">
      <c r="A1678" s="0" t="inlineStr">
        <is>
          <t>[성내동]</t>
        </is>
      </c>
      <c r="B1678" s="0" t="n">
        <v>8674</v>
      </c>
      <c r="C1678" s="0" t="n">
        <v>7</v>
      </c>
      <c r="D1678" s="0" t="inlineStr">
        <is>
          <t>센츄럴</t>
        </is>
      </c>
      <c r="E1678" s="0" t="inlineStr">
        <is>
          <t>2000.04.</t>
        </is>
      </c>
      <c r="F1678" s="0" t="n">
        <v>35</v>
      </c>
      <c r="G1678" s="0" t="n">
        <v>25.93</v>
      </c>
      <c r="H1678" s="0" t="n">
        <v>85.72</v>
      </c>
      <c r="I1678" s="0" t="n">
        <v>23.75</v>
      </c>
      <c r="J1678" s="0" t="n">
        <v>78.54000000000001</v>
      </c>
      <c r="K1678" s="0" t="n">
        <v>8</v>
      </c>
      <c r="T1678" s="0" t="n">
        <v>3</v>
      </c>
      <c r="U1678" s="0" t="n">
        <v>1</v>
      </c>
      <c r="V1678" s="0" t="inlineStr">
        <is>
          <t>계단식</t>
        </is>
      </c>
      <c r="W1678" s="0" t="inlineStr">
        <is>
          <t>85B</t>
        </is>
      </c>
      <c r="X1678" s="0" t="n">
        <v>5</v>
      </c>
      <c r="Y1678" s="0" t="n">
        <v>4</v>
      </c>
      <c r="Z1678" s="0" t="inlineStr">
        <is>
          <t>https://new.land.naver.com/complexes/8674?tab=detail&amp;rf=Y</t>
        </is>
      </c>
      <c r="AA1678" s="0" t="inlineStr">
        <is>
          <t>서울시 강동구 성내동 438-2</t>
        </is>
      </c>
      <c r="AB1678" s="0" t="inlineStr">
        <is>
          <t>서울시</t>
        </is>
      </c>
      <c r="AC1678" s="0" t="inlineStr">
        <is>
          <t>강동구</t>
        </is>
      </c>
      <c r="AD1678" s="0" t="inlineStr">
        <is>
          <t>성내동</t>
        </is>
      </c>
      <c r="AG1678" s="0" t="inlineStr">
        <is>
          <t>서울시 강동구 강동대로53길 58</t>
        </is>
      </c>
      <c r="AH1678" s="0" t="n">
        <v>0</v>
      </c>
      <c r="AI1678" s="0" t="n">
        <v>0</v>
      </c>
      <c r="AJ1678" s="0" t="n">
        <v>0</v>
      </c>
      <c r="AK1678" s="0" t="n">
        <v>34</v>
      </c>
      <c r="AL1678" s="0" t="n">
        <v>0.97</v>
      </c>
    </row>
    <row r="1679">
      <c r="A1679" s="0" t="inlineStr">
        <is>
          <t>[성내동]</t>
        </is>
      </c>
      <c r="B1679" s="0" t="n">
        <v>8674</v>
      </c>
      <c r="C1679" s="0" t="n">
        <v>8</v>
      </c>
      <c r="D1679" s="0" t="inlineStr">
        <is>
          <t>센츄럴</t>
        </is>
      </c>
      <c r="E1679" s="0" t="inlineStr">
        <is>
          <t>2000.04.</t>
        </is>
      </c>
      <c r="F1679" s="0" t="n">
        <v>35</v>
      </c>
      <c r="G1679" s="0" t="n">
        <v>26.23</v>
      </c>
      <c r="H1679" s="0" t="n">
        <v>86.73999999999999</v>
      </c>
      <c r="I1679" s="0" t="n">
        <v>24.04</v>
      </c>
      <c r="J1679" s="0" t="n">
        <v>79.48</v>
      </c>
      <c r="K1679" s="0" t="n">
        <v>8</v>
      </c>
      <c r="T1679" s="0" t="n">
        <v>3</v>
      </c>
      <c r="U1679" s="0" t="n">
        <v>2</v>
      </c>
      <c r="V1679" s="0" t="inlineStr">
        <is>
          <t>계단식</t>
        </is>
      </c>
      <c r="W1679" s="0" t="inlineStr">
        <is>
          <t>86A</t>
        </is>
      </c>
      <c r="X1679" s="0" t="n">
        <v>5</v>
      </c>
      <c r="Y1679" s="0" t="n">
        <v>4</v>
      </c>
      <c r="Z1679" s="0" t="inlineStr">
        <is>
          <t>https://new.land.naver.com/complexes/8674?tab=detail&amp;rf=Y</t>
        </is>
      </c>
      <c r="AA1679" s="0" t="inlineStr">
        <is>
          <t>서울시 강동구 성내동 438-2</t>
        </is>
      </c>
      <c r="AB1679" s="0" t="inlineStr">
        <is>
          <t>서울시</t>
        </is>
      </c>
      <c r="AC1679" s="0" t="inlineStr">
        <is>
          <t>강동구</t>
        </is>
      </c>
      <c r="AD1679" s="0" t="inlineStr">
        <is>
          <t>성내동</t>
        </is>
      </c>
      <c r="AG1679" s="0" t="inlineStr">
        <is>
          <t>서울시 강동구 강동대로53길 58</t>
        </is>
      </c>
      <c r="AH1679" s="0" t="n">
        <v>0</v>
      </c>
      <c r="AI1679" s="0" t="n">
        <v>0</v>
      </c>
      <c r="AJ1679" s="0" t="n">
        <v>0</v>
      </c>
      <c r="AK1679" s="0" t="n">
        <v>34</v>
      </c>
      <c r="AL1679" s="0" t="n">
        <v>0.97</v>
      </c>
    </row>
    <row r="1680">
      <c r="A1680" s="0" t="inlineStr">
        <is>
          <t>[성내동]</t>
        </is>
      </c>
      <c r="B1680" s="0" t="n">
        <v>8674</v>
      </c>
      <c r="C1680" s="0" t="n">
        <v>9</v>
      </c>
      <c r="D1680" s="0" t="inlineStr">
        <is>
          <t>센츄럴</t>
        </is>
      </c>
      <c r="E1680" s="0" t="inlineStr">
        <is>
          <t>2000.04.</t>
        </is>
      </c>
      <c r="F1680" s="0" t="n">
        <v>35</v>
      </c>
      <c r="G1680" s="0" t="n">
        <v>27.11</v>
      </c>
      <c r="H1680" s="0" t="n">
        <v>89.62</v>
      </c>
      <c r="I1680" s="0" t="n">
        <v>24.67</v>
      </c>
      <c r="J1680" s="0" t="n">
        <v>81.56999999999999</v>
      </c>
      <c r="K1680" s="0" t="n">
        <v>6</v>
      </c>
      <c r="T1680" s="0" t="n">
        <v>3</v>
      </c>
      <c r="U1680" s="0" t="n">
        <v>2</v>
      </c>
      <c r="V1680" s="0" t="inlineStr">
        <is>
          <t>복도식</t>
        </is>
      </c>
      <c r="W1680" s="0" t="n">
        <v>89</v>
      </c>
      <c r="X1680" s="0" t="n">
        <v>5</v>
      </c>
      <c r="Y1680" s="0" t="n">
        <v>4</v>
      </c>
      <c r="Z1680" s="0" t="inlineStr">
        <is>
          <t>https://new.land.naver.com/complexes/8674?tab=detail&amp;rf=Y</t>
        </is>
      </c>
      <c r="AA1680" s="0" t="inlineStr">
        <is>
          <t>서울시 강동구 성내동 438-2</t>
        </is>
      </c>
      <c r="AB1680" s="0" t="inlineStr">
        <is>
          <t>서울시</t>
        </is>
      </c>
      <c r="AC1680" s="0" t="inlineStr">
        <is>
          <t>강동구</t>
        </is>
      </c>
      <c r="AD1680" s="0" t="inlineStr">
        <is>
          <t>성내동</t>
        </is>
      </c>
      <c r="AG1680" s="0" t="inlineStr">
        <is>
          <t>서울시 강동구 강동대로53길 58</t>
        </is>
      </c>
      <c r="AH1680" s="0" t="n">
        <v>0</v>
      </c>
      <c r="AI1680" s="0" t="n">
        <v>0</v>
      </c>
      <c r="AJ1680" s="0" t="n">
        <v>0</v>
      </c>
      <c r="AK1680" s="0" t="n">
        <v>34</v>
      </c>
      <c r="AL1680" s="0" t="n">
        <v>0.97</v>
      </c>
    </row>
    <row r="1681">
      <c r="A1681" s="0" t="inlineStr">
        <is>
          <t>[성내동]</t>
        </is>
      </c>
      <c r="B1681" s="0" t="n">
        <v>8674</v>
      </c>
      <c r="C1681" s="0" t="n">
        <v>10</v>
      </c>
      <c r="D1681" s="0" t="inlineStr">
        <is>
          <t>센츄럴</t>
        </is>
      </c>
      <c r="E1681" s="0" t="inlineStr">
        <is>
          <t>2000.04.</t>
        </is>
      </c>
      <c r="F1681" s="0" t="n">
        <v>35</v>
      </c>
      <c r="G1681" s="0" t="n">
        <v>28.03</v>
      </c>
      <c r="H1681" s="0" t="n">
        <v>92.67</v>
      </c>
      <c r="I1681" s="0" t="n">
        <v>25.69</v>
      </c>
      <c r="J1681" s="0" t="n">
        <v>84.93000000000001</v>
      </c>
      <c r="K1681" s="0" t="n">
        <v>1</v>
      </c>
      <c r="T1681" s="0" t="n">
        <v>3</v>
      </c>
      <c r="U1681" s="0" t="n">
        <v>2</v>
      </c>
      <c r="V1681" s="0" t="inlineStr">
        <is>
          <t>계단식</t>
        </is>
      </c>
      <c r="W1681" s="0" t="inlineStr">
        <is>
          <t>92A</t>
        </is>
      </c>
      <c r="X1681" s="0" t="n">
        <v>5</v>
      </c>
      <c r="Y1681" s="0" t="n">
        <v>4</v>
      </c>
      <c r="Z1681" s="0" t="inlineStr">
        <is>
          <t>https://new.land.naver.com/complexes/8674?tab=detail&amp;rf=Y</t>
        </is>
      </c>
      <c r="AA1681" s="0" t="inlineStr">
        <is>
          <t>서울시 강동구 성내동 438-2</t>
        </is>
      </c>
      <c r="AB1681" s="0" t="inlineStr">
        <is>
          <t>서울시</t>
        </is>
      </c>
      <c r="AC1681" s="0" t="inlineStr">
        <is>
          <t>강동구</t>
        </is>
      </c>
      <c r="AD1681" s="0" t="inlineStr">
        <is>
          <t>성내동</t>
        </is>
      </c>
      <c r="AG1681" s="0" t="inlineStr">
        <is>
          <t>서울시 강동구 강동대로53길 58</t>
        </is>
      </c>
      <c r="AH1681" s="0" t="n">
        <v>0</v>
      </c>
      <c r="AI1681" s="0" t="n">
        <v>0</v>
      </c>
      <c r="AJ1681" s="0" t="n">
        <v>0</v>
      </c>
      <c r="AK1681" s="0" t="n">
        <v>34</v>
      </c>
      <c r="AL1681" s="0" t="n">
        <v>0.97</v>
      </c>
    </row>
    <row r="1682">
      <c r="A1682" s="0" t="inlineStr">
        <is>
          <t>[성내동]</t>
        </is>
      </c>
      <c r="B1682" s="0" t="n">
        <v>8674</v>
      </c>
      <c r="C1682" s="0" t="n">
        <v>11</v>
      </c>
      <c r="D1682" s="0" t="inlineStr">
        <is>
          <t>센츄럴</t>
        </is>
      </c>
      <c r="E1682" s="0" t="inlineStr">
        <is>
          <t>2000.04.</t>
        </is>
      </c>
      <c r="F1682" s="0" t="n">
        <v>35</v>
      </c>
      <c r="G1682" s="0" t="n">
        <v>28.03</v>
      </c>
      <c r="H1682" s="0" t="n">
        <v>92.69</v>
      </c>
      <c r="I1682" s="0" t="n">
        <v>25.69</v>
      </c>
      <c r="J1682" s="0" t="n">
        <v>84.94</v>
      </c>
      <c r="K1682" s="0" t="n">
        <v>1</v>
      </c>
      <c r="T1682" s="0" t="n">
        <v>3</v>
      </c>
      <c r="U1682" s="0" t="n">
        <v>2</v>
      </c>
      <c r="V1682" s="0" t="inlineStr">
        <is>
          <t>계단식</t>
        </is>
      </c>
      <c r="W1682" s="0" t="inlineStr">
        <is>
          <t>92C</t>
        </is>
      </c>
      <c r="X1682" s="0" t="n">
        <v>5</v>
      </c>
      <c r="Y1682" s="0" t="n">
        <v>4</v>
      </c>
      <c r="Z1682" s="0" t="inlineStr">
        <is>
          <t>https://new.land.naver.com/complexes/8674?tab=detail&amp;rf=Y</t>
        </is>
      </c>
      <c r="AA1682" s="0" t="inlineStr">
        <is>
          <t>서울시 강동구 성내동 438-2</t>
        </is>
      </c>
      <c r="AB1682" s="0" t="inlineStr">
        <is>
          <t>서울시</t>
        </is>
      </c>
      <c r="AC1682" s="0" t="inlineStr">
        <is>
          <t>강동구</t>
        </is>
      </c>
      <c r="AD1682" s="0" t="inlineStr">
        <is>
          <t>성내동</t>
        </is>
      </c>
      <c r="AG1682" s="0" t="inlineStr">
        <is>
          <t>서울시 강동구 강동대로53길 58</t>
        </is>
      </c>
      <c r="AH1682" s="0" t="n">
        <v>0</v>
      </c>
      <c r="AI1682" s="0" t="n">
        <v>0</v>
      </c>
      <c r="AJ1682" s="0" t="n">
        <v>0</v>
      </c>
      <c r="AK1682" s="0" t="n">
        <v>34</v>
      </c>
      <c r="AL1682" s="0" t="n">
        <v>0.97</v>
      </c>
    </row>
    <row r="1683">
      <c r="A1683" s="0" t="inlineStr">
        <is>
          <t>[성내동]</t>
        </is>
      </c>
      <c r="B1683" s="0" t="n">
        <v>8674</v>
      </c>
      <c r="C1683" s="0" t="n">
        <v>12</v>
      </c>
      <c r="D1683" s="0" t="inlineStr">
        <is>
          <t>센츄럴</t>
        </is>
      </c>
      <c r="E1683" s="0" t="inlineStr">
        <is>
          <t>2000.04.</t>
        </is>
      </c>
      <c r="F1683" s="0" t="n">
        <v>35</v>
      </c>
      <c r="G1683" s="0" t="n">
        <v>28.23</v>
      </c>
      <c r="H1683" s="0" t="n">
        <v>93.34</v>
      </c>
      <c r="I1683" s="0" t="n">
        <v>25.69</v>
      </c>
      <c r="J1683" s="0" t="n">
        <v>84.93000000000001</v>
      </c>
      <c r="K1683" s="0" t="n">
        <v>1</v>
      </c>
      <c r="T1683" s="0" t="n">
        <v>3</v>
      </c>
      <c r="U1683" s="0" t="n">
        <v>2</v>
      </c>
      <c r="V1683" s="0" t="inlineStr">
        <is>
          <t>계단식</t>
        </is>
      </c>
      <c r="W1683" s="0" t="inlineStr">
        <is>
          <t>93B</t>
        </is>
      </c>
      <c r="X1683" s="0" t="n">
        <v>5</v>
      </c>
      <c r="Y1683" s="0" t="n">
        <v>4</v>
      </c>
      <c r="Z1683" s="0" t="inlineStr">
        <is>
          <t>https://new.land.naver.com/complexes/8674?tab=detail&amp;rf=Y</t>
        </is>
      </c>
      <c r="AA1683" s="0" t="inlineStr">
        <is>
          <t>서울시 강동구 성내동 438-2</t>
        </is>
      </c>
      <c r="AB1683" s="0" t="inlineStr">
        <is>
          <t>서울시</t>
        </is>
      </c>
      <c r="AC1683" s="0" t="inlineStr">
        <is>
          <t>강동구</t>
        </is>
      </c>
      <c r="AD1683" s="0" t="inlineStr">
        <is>
          <t>성내동</t>
        </is>
      </c>
      <c r="AG1683" s="0" t="inlineStr">
        <is>
          <t>서울시 강동구 강동대로53길 58</t>
        </is>
      </c>
      <c r="AH1683" s="0" t="n">
        <v>0</v>
      </c>
      <c r="AI1683" s="0" t="n">
        <v>0</v>
      </c>
      <c r="AJ1683" s="0" t="n">
        <v>0</v>
      </c>
      <c r="AK1683" s="0" t="n">
        <v>34</v>
      </c>
      <c r="AL1683" s="0" t="n">
        <v>0.97</v>
      </c>
    </row>
    <row r="1684">
      <c r="A1684" s="0" t="inlineStr">
        <is>
          <t>[성내동]</t>
        </is>
      </c>
      <c r="B1684" s="0" t="n">
        <v>25654</v>
      </c>
      <c r="C1684" s="0" t="n">
        <v>1</v>
      </c>
      <c r="D1684" s="0" t="inlineStr">
        <is>
          <t>다성이즈빌(423-64)</t>
        </is>
      </c>
      <c r="E1684" s="0" t="inlineStr">
        <is>
          <t>2005.11.</t>
        </is>
      </c>
      <c r="F1684" s="0" t="n">
        <v>14</v>
      </c>
      <c r="G1684" s="0" t="n">
        <v>20.85</v>
      </c>
      <c r="H1684" s="0" t="n">
        <v>68.93000000000001</v>
      </c>
      <c r="I1684" s="0" t="n">
        <v>17.63</v>
      </c>
      <c r="J1684" s="0" t="n">
        <v>58.29</v>
      </c>
      <c r="K1684" s="0" t="n">
        <v>1</v>
      </c>
      <c r="T1684" s="0" t="n">
        <v>3</v>
      </c>
      <c r="U1684" s="0" t="n">
        <v>1</v>
      </c>
      <c r="V1684" s="0" t="inlineStr">
        <is>
          <t>복도식</t>
        </is>
      </c>
      <c r="W1684" s="0" t="n">
        <v>68</v>
      </c>
      <c r="X1684" s="0" t="n">
        <v>6</v>
      </c>
      <c r="Y1684" s="0" t="n">
        <v>5</v>
      </c>
      <c r="Z1684" s="0" t="inlineStr">
        <is>
          <t>https://new.land.naver.com/complexes/25654?tab=detail&amp;rf=Y</t>
        </is>
      </c>
      <c r="AA1684" s="0" t="inlineStr">
        <is>
          <t>서울시 강동구 성내동 423-64</t>
        </is>
      </c>
      <c r="AB1684" s="0" t="inlineStr">
        <is>
          <t>서울시</t>
        </is>
      </c>
      <c r="AC1684" s="0" t="inlineStr">
        <is>
          <t>강동구</t>
        </is>
      </c>
      <c r="AD1684" s="0" t="inlineStr">
        <is>
          <t>성내동</t>
        </is>
      </c>
      <c r="AG1684" s="0" t="inlineStr">
        <is>
          <t>서울시 강동구 풍성로52길 45</t>
        </is>
      </c>
      <c r="AH1684" s="0" t="n">
        <v>0</v>
      </c>
      <c r="AI1684" s="0" t="n">
        <v>199</v>
      </c>
      <c r="AJ1684" s="0" t="n">
        <v>45</v>
      </c>
      <c r="AK1684" s="0" t="n">
        <v>14</v>
      </c>
      <c r="AL1684" s="0" t="n">
        <v>1</v>
      </c>
    </row>
    <row r="1685">
      <c r="A1685" s="0" t="inlineStr">
        <is>
          <t>[성내동]</t>
        </is>
      </c>
      <c r="B1685" s="0" t="n">
        <v>25654</v>
      </c>
      <c r="C1685" s="0" t="n">
        <v>2</v>
      </c>
      <c r="D1685" s="0" t="inlineStr">
        <is>
          <t>다성이즈빌(423-64)</t>
        </is>
      </c>
      <c r="E1685" s="0" t="inlineStr">
        <is>
          <t>2005.11.</t>
        </is>
      </c>
      <c r="F1685" s="0" t="n">
        <v>14</v>
      </c>
      <c r="G1685" s="0" t="n">
        <v>25.17</v>
      </c>
      <c r="H1685" s="0" t="n">
        <v>83.20999999999999</v>
      </c>
      <c r="I1685" s="0" t="n">
        <v>21.28</v>
      </c>
      <c r="J1685" s="0" t="n">
        <v>70.36</v>
      </c>
      <c r="K1685" s="0" t="n">
        <v>4</v>
      </c>
      <c r="T1685" s="0" t="n">
        <v>3</v>
      </c>
      <c r="U1685" s="0" t="n">
        <v>2</v>
      </c>
      <c r="V1685" s="0" t="inlineStr">
        <is>
          <t>계단식</t>
        </is>
      </c>
      <c r="W1685" s="0" t="n">
        <v>83</v>
      </c>
      <c r="X1685" s="0" t="n">
        <v>6</v>
      </c>
      <c r="Y1685" s="0" t="n">
        <v>5</v>
      </c>
      <c r="Z1685" s="0" t="inlineStr">
        <is>
          <t>https://new.land.naver.com/complexes/25654?tab=detail&amp;rf=Y</t>
        </is>
      </c>
      <c r="AA1685" s="0" t="inlineStr">
        <is>
          <t>서울시 강동구 성내동 423-64</t>
        </is>
      </c>
      <c r="AB1685" s="0" t="inlineStr">
        <is>
          <t>서울시</t>
        </is>
      </c>
      <c r="AC1685" s="0" t="inlineStr">
        <is>
          <t>강동구</t>
        </is>
      </c>
      <c r="AD1685" s="0" t="inlineStr">
        <is>
          <t>성내동</t>
        </is>
      </c>
      <c r="AG1685" s="0" t="inlineStr">
        <is>
          <t>서울시 강동구 풍성로52길 45</t>
        </is>
      </c>
      <c r="AH1685" s="0" t="n">
        <v>0</v>
      </c>
      <c r="AI1685" s="0" t="n">
        <v>199</v>
      </c>
      <c r="AJ1685" s="0" t="n">
        <v>45</v>
      </c>
      <c r="AK1685" s="0" t="n">
        <v>14</v>
      </c>
      <c r="AL1685" s="0" t="n">
        <v>1</v>
      </c>
    </row>
    <row r="1686">
      <c r="A1686" s="0" t="inlineStr">
        <is>
          <t>[성내동]</t>
        </is>
      </c>
      <c r="B1686" s="0" t="n">
        <v>25654</v>
      </c>
      <c r="C1686" s="0" t="n">
        <v>3</v>
      </c>
      <c r="D1686" s="0" t="inlineStr">
        <is>
          <t>다성이즈빌(423-64)</t>
        </is>
      </c>
      <c r="E1686" s="0" t="inlineStr">
        <is>
          <t>2005.11.</t>
        </is>
      </c>
      <c r="F1686" s="0" t="n">
        <v>14</v>
      </c>
      <c r="G1686" s="0" t="n">
        <v>27.11</v>
      </c>
      <c r="H1686" s="0" t="n">
        <v>89.65000000000001</v>
      </c>
      <c r="I1686" s="0" t="n">
        <v>22.92</v>
      </c>
      <c r="J1686" s="0" t="n">
        <v>75.8</v>
      </c>
      <c r="K1686" s="0" t="n">
        <v>9</v>
      </c>
      <c r="T1686" s="0" t="n">
        <v>3</v>
      </c>
      <c r="U1686" s="0" t="n">
        <v>2</v>
      </c>
      <c r="V1686" s="0" t="inlineStr">
        <is>
          <t>계단식</t>
        </is>
      </c>
      <c r="W1686" s="0" t="n">
        <v>89</v>
      </c>
      <c r="X1686" s="0" t="n">
        <v>6</v>
      </c>
      <c r="Y1686" s="0" t="n">
        <v>5</v>
      </c>
      <c r="Z1686" s="0" t="inlineStr">
        <is>
          <t>https://new.land.naver.com/complexes/25654?tab=detail&amp;rf=Y</t>
        </is>
      </c>
      <c r="AA1686" s="0" t="inlineStr">
        <is>
          <t>서울시 강동구 성내동 423-64</t>
        </is>
      </c>
      <c r="AB1686" s="0" t="inlineStr">
        <is>
          <t>서울시</t>
        </is>
      </c>
      <c r="AC1686" s="0" t="inlineStr">
        <is>
          <t>강동구</t>
        </is>
      </c>
      <c r="AD1686" s="0" t="inlineStr">
        <is>
          <t>성내동</t>
        </is>
      </c>
      <c r="AG1686" s="0" t="inlineStr">
        <is>
          <t>서울시 강동구 풍성로52길 45</t>
        </is>
      </c>
      <c r="AH1686" s="0" t="n">
        <v>0</v>
      </c>
      <c r="AI1686" s="0" t="n">
        <v>199</v>
      </c>
      <c r="AJ1686" s="0" t="n">
        <v>45</v>
      </c>
      <c r="AK1686" s="0" t="n">
        <v>14</v>
      </c>
      <c r="AL1686" s="0" t="n">
        <v>1</v>
      </c>
    </row>
    <row r="1687">
      <c r="A1687" s="0" t="inlineStr">
        <is>
          <t>[성내동]</t>
        </is>
      </c>
      <c r="B1687" s="0" t="n">
        <v>26349</v>
      </c>
      <c r="C1687" s="0" t="n">
        <v>1</v>
      </c>
      <c r="D1687" s="0" t="inlineStr">
        <is>
          <t>엘아이지건영리가</t>
        </is>
      </c>
      <c r="E1687" s="0" t="inlineStr">
        <is>
          <t>2008.07.</t>
        </is>
      </c>
      <c r="F1687" s="0" t="n">
        <v>46</v>
      </c>
      <c r="G1687" s="0" t="n">
        <v>31.01</v>
      </c>
      <c r="H1687" s="0" t="n">
        <v>102.53</v>
      </c>
      <c r="I1687" s="0" t="n">
        <v>25.68</v>
      </c>
      <c r="J1687" s="0" t="n">
        <v>84.91</v>
      </c>
      <c r="K1687" s="0" t="n">
        <v>24</v>
      </c>
      <c r="T1687" s="0" t="n">
        <v>3</v>
      </c>
      <c r="U1687" s="0" t="n">
        <v>2</v>
      </c>
      <c r="V1687" s="0" t="inlineStr">
        <is>
          <t>계단식</t>
        </is>
      </c>
      <c r="W1687" s="0" t="n">
        <v>102</v>
      </c>
      <c r="X1687" s="0" t="n">
        <v>15</v>
      </c>
      <c r="Y1687" s="0" t="n">
        <v>14</v>
      </c>
      <c r="Z1687" s="0" t="inlineStr">
        <is>
          <t>https://new.land.naver.com/complexes/26349?tab=detail&amp;rf=Y</t>
        </is>
      </c>
      <c r="AA1687" s="0" t="inlineStr">
        <is>
          <t>서울시 강동구 성내동 244-12</t>
        </is>
      </c>
      <c r="AB1687" s="0" t="inlineStr">
        <is>
          <t>서울시</t>
        </is>
      </c>
      <c r="AC1687" s="0" t="inlineStr">
        <is>
          <t>강동구</t>
        </is>
      </c>
      <c r="AD1687" s="0" t="inlineStr">
        <is>
          <t>성내동</t>
        </is>
      </c>
      <c r="AG1687" s="0" t="inlineStr">
        <is>
          <t>서울시 강동구 천호대로 1120</t>
        </is>
      </c>
      <c r="AH1687" s="0" t="n">
        <v>0</v>
      </c>
      <c r="AI1687" s="0" t="n">
        <v>473</v>
      </c>
      <c r="AJ1687" s="0" t="n">
        <v>59</v>
      </c>
      <c r="AK1687" s="0" t="n">
        <v>81</v>
      </c>
      <c r="AL1687" s="0" t="n">
        <v>1.76</v>
      </c>
    </row>
    <row r="1688">
      <c r="A1688" s="0" t="inlineStr">
        <is>
          <t>[성내동]</t>
        </is>
      </c>
      <c r="B1688" s="0" t="n">
        <v>26349</v>
      </c>
      <c r="C1688" s="0" t="n">
        <v>2</v>
      </c>
      <c r="D1688" s="0" t="inlineStr">
        <is>
          <t>엘아이지건영리가</t>
        </is>
      </c>
      <c r="E1688" s="0" t="inlineStr">
        <is>
          <t>2008.07.</t>
        </is>
      </c>
      <c r="F1688" s="0" t="n">
        <v>46</v>
      </c>
      <c r="G1688" s="0" t="n">
        <v>42.59</v>
      </c>
      <c r="H1688" s="0" t="n">
        <v>140.81</v>
      </c>
      <c r="I1688" s="0" t="n">
        <v>37.91</v>
      </c>
      <c r="J1688" s="0" t="n">
        <v>125.35</v>
      </c>
      <c r="K1688" s="0" t="n">
        <v>22</v>
      </c>
      <c r="T1688" s="0" t="n">
        <v>4</v>
      </c>
      <c r="U1688" s="0" t="n">
        <v>2</v>
      </c>
      <c r="V1688" s="0" t="inlineStr">
        <is>
          <t>계단식</t>
        </is>
      </c>
      <c r="W1688" s="0" t="n">
        <v>140</v>
      </c>
      <c r="X1688" s="0" t="n">
        <v>15</v>
      </c>
      <c r="Y1688" s="0" t="n">
        <v>14</v>
      </c>
      <c r="Z1688" s="0" t="inlineStr">
        <is>
          <t>https://new.land.naver.com/complexes/26349?tab=detail&amp;rf=Y</t>
        </is>
      </c>
      <c r="AA1688" s="0" t="inlineStr">
        <is>
          <t>서울시 강동구 성내동 244-12</t>
        </is>
      </c>
      <c r="AB1688" s="0" t="inlineStr">
        <is>
          <t>서울시</t>
        </is>
      </c>
      <c r="AC1688" s="0" t="inlineStr">
        <is>
          <t>강동구</t>
        </is>
      </c>
      <c r="AD1688" s="0" t="inlineStr">
        <is>
          <t>성내동</t>
        </is>
      </c>
      <c r="AG1688" s="0" t="inlineStr">
        <is>
          <t>서울시 강동구 천호대로 1120</t>
        </is>
      </c>
      <c r="AH1688" s="0" t="n">
        <v>0</v>
      </c>
      <c r="AI1688" s="0" t="n">
        <v>473</v>
      </c>
      <c r="AJ1688" s="0" t="n">
        <v>59</v>
      </c>
      <c r="AK1688" s="0" t="n">
        <v>81</v>
      </c>
      <c r="AL1688" s="0" t="n">
        <v>1.76</v>
      </c>
    </row>
    <row r="1689">
      <c r="A1689" s="0" t="inlineStr">
        <is>
          <t>[성내동]</t>
        </is>
      </c>
      <c r="B1689" s="0" t="n">
        <v>24062</v>
      </c>
      <c r="C1689" s="0" t="n">
        <v>1</v>
      </c>
      <c r="D1689" s="0" t="inlineStr">
        <is>
          <t>한솔애리즈5차</t>
        </is>
      </c>
      <c r="E1689" s="0" t="inlineStr">
        <is>
          <t>2004.08.</t>
        </is>
      </c>
      <c r="F1689" s="0" t="n">
        <v>32</v>
      </c>
      <c r="G1689" s="0" t="n">
        <v>25.83</v>
      </c>
      <c r="H1689" s="0" t="n">
        <v>85.39</v>
      </c>
      <c r="I1689" s="0" t="n">
        <v>22.79</v>
      </c>
      <c r="J1689" s="0" t="n">
        <v>75.34</v>
      </c>
      <c r="K1689" s="0" t="n">
        <v>1</v>
      </c>
      <c r="T1689" s="0" t="n">
        <v>3</v>
      </c>
      <c r="U1689" s="0" t="n">
        <v>2</v>
      </c>
      <c r="V1689" s="0" t="inlineStr">
        <is>
          <t>계단식</t>
        </is>
      </c>
      <c r="W1689" s="0" t="n">
        <v>85</v>
      </c>
      <c r="X1689" s="0" t="n">
        <v>7</v>
      </c>
      <c r="Y1689" s="0" t="n">
        <v>7</v>
      </c>
      <c r="Z1689" s="0" t="inlineStr">
        <is>
          <t>https://new.land.naver.com/complexes/24062?tab=detail&amp;rf=Y</t>
        </is>
      </c>
      <c r="AA1689" s="0" t="inlineStr">
        <is>
          <t>서울시 강동구 성내동 438</t>
        </is>
      </c>
      <c r="AB1689" s="0" t="inlineStr">
        <is>
          <t>서울시</t>
        </is>
      </c>
      <c r="AC1689" s="0" t="inlineStr">
        <is>
          <t>강동구</t>
        </is>
      </c>
      <c r="AD1689" s="0" t="inlineStr">
        <is>
          <t>성내동</t>
        </is>
      </c>
      <c r="AG1689" s="0" t="inlineStr">
        <is>
          <t>서울시 강동구 강동대로53길 68</t>
        </is>
      </c>
      <c r="AH1689" s="0" t="n">
        <v>0</v>
      </c>
      <c r="AI1689" s="0" t="n">
        <v>0</v>
      </c>
      <c r="AJ1689" s="0" t="n">
        <v>0</v>
      </c>
      <c r="AK1689" s="0" t="n">
        <v>40</v>
      </c>
      <c r="AL1689" s="0" t="n">
        <v>1.25</v>
      </c>
    </row>
    <row r="1690">
      <c r="A1690" s="0" t="inlineStr">
        <is>
          <t>[성내동]</t>
        </is>
      </c>
      <c r="B1690" s="0" t="n">
        <v>24062</v>
      </c>
      <c r="C1690" s="0" t="n">
        <v>2</v>
      </c>
      <c r="D1690" s="0" t="inlineStr">
        <is>
          <t>한솔애리즈5차</t>
        </is>
      </c>
      <c r="E1690" s="0" t="inlineStr">
        <is>
          <t>2004.08.</t>
        </is>
      </c>
      <c r="F1690" s="0" t="n">
        <v>32</v>
      </c>
      <c r="G1690" s="0" t="n">
        <v>27.26</v>
      </c>
      <c r="H1690" s="0" t="n">
        <v>90.12</v>
      </c>
      <c r="I1690" s="0" t="n">
        <v>24.05</v>
      </c>
      <c r="J1690" s="0" t="n">
        <v>79.52</v>
      </c>
      <c r="K1690" s="0" t="n">
        <v>5</v>
      </c>
      <c r="T1690" s="0" t="n">
        <v>3</v>
      </c>
      <c r="U1690" s="0" t="n">
        <v>2</v>
      </c>
      <c r="V1690" s="0" t="inlineStr">
        <is>
          <t>계단식</t>
        </is>
      </c>
      <c r="W1690" s="0" t="n">
        <v>90</v>
      </c>
      <c r="X1690" s="0" t="n">
        <v>7</v>
      </c>
      <c r="Y1690" s="0" t="n">
        <v>7</v>
      </c>
      <c r="Z1690" s="0" t="inlineStr">
        <is>
          <t>https://new.land.naver.com/complexes/24062?tab=detail&amp;rf=Y</t>
        </is>
      </c>
      <c r="AA1690" s="0" t="inlineStr">
        <is>
          <t>서울시 강동구 성내동 438</t>
        </is>
      </c>
      <c r="AB1690" s="0" t="inlineStr">
        <is>
          <t>서울시</t>
        </is>
      </c>
      <c r="AC1690" s="0" t="inlineStr">
        <is>
          <t>강동구</t>
        </is>
      </c>
      <c r="AD1690" s="0" t="inlineStr">
        <is>
          <t>성내동</t>
        </is>
      </c>
      <c r="AG1690" s="0" t="inlineStr">
        <is>
          <t>서울시 강동구 강동대로53길 68</t>
        </is>
      </c>
      <c r="AH1690" s="0" t="n">
        <v>0</v>
      </c>
      <c r="AI1690" s="0" t="n">
        <v>0</v>
      </c>
      <c r="AJ1690" s="0" t="n">
        <v>0</v>
      </c>
      <c r="AK1690" s="0" t="n">
        <v>40</v>
      </c>
      <c r="AL1690" s="0" t="n">
        <v>1.25</v>
      </c>
    </row>
    <row r="1691">
      <c r="A1691" s="0" t="inlineStr">
        <is>
          <t>[성내동]</t>
        </is>
      </c>
      <c r="B1691" s="0" t="n">
        <v>24062</v>
      </c>
      <c r="C1691" s="0" t="n">
        <v>3</v>
      </c>
      <c r="D1691" s="0" t="inlineStr">
        <is>
          <t>한솔애리즈5차</t>
        </is>
      </c>
      <c r="E1691" s="0" t="inlineStr">
        <is>
          <t>2004.08.</t>
        </is>
      </c>
      <c r="F1691" s="0" t="n">
        <v>32</v>
      </c>
      <c r="G1691" s="0" t="n">
        <v>28.74</v>
      </c>
      <c r="H1691" s="0" t="n">
        <v>95.04000000000001</v>
      </c>
      <c r="I1691" s="0" t="n">
        <v>25.36</v>
      </c>
      <c r="J1691" s="0" t="n">
        <v>83.86</v>
      </c>
      <c r="K1691" s="0" t="n">
        <v>7</v>
      </c>
      <c r="T1691" s="0" t="n">
        <v>3</v>
      </c>
      <c r="U1691" s="0" t="n">
        <v>2</v>
      </c>
      <c r="V1691" s="0" t="inlineStr">
        <is>
          <t>계단식</t>
        </is>
      </c>
      <c r="W1691" s="0" t="n">
        <v>95</v>
      </c>
      <c r="X1691" s="0" t="n">
        <v>7</v>
      </c>
      <c r="Y1691" s="0" t="n">
        <v>7</v>
      </c>
      <c r="Z1691" s="0" t="inlineStr">
        <is>
          <t>https://new.land.naver.com/complexes/24062?tab=detail&amp;rf=Y</t>
        </is>
      </c>
      <c r="AA1691" s="0" t="inlineStr">
        <is>
          <t>서울시 강동구 성내동 438</t>
        </is>
      </c>
      <c r="AB1691" s="0" t="inlineStr">
        <is>
          <t>서울시</t>
        </is>
      </c>
      <c r="AC1691" s="0" t="inlineStr">
        <is>
          <t>강동구</t>
        </is>
      </c>
      <c r="AD1691" s="0" t="inlineStr">
        <is>
          <t>성내동</t>
        </is>
      </c>
      <c r="AG1691" s="0" t="inlineStr">
        <is>
          <t>서울시 강동구 강동대로53길 68</t>
        </is>
      </c>
      <c r="AH1691" s="0" t="n">
        <v>0</v>
      </c>
      <c r="AI1691" s="0" t="n">
        <v>0</v>
      </c>
      <c r="AJ1691" s="0" t="n">
        <v>0</v>
      </c>
      <c r="AK1691" s="0" t="n">
        <v>40</v>
      </c>
      <c r="AL1691" s="0" t="n">
        <v>1.25</v>
      </c>
    </row>
    <row r="1692">
      <c r="A1692" s="0" t="inlineStr">
        <is>
          <t>[성내동]</t>
        </is>
      </c>
      <c r="B1692" s="0" t="n">
        <v>24062</v>
      </c>
      <c r="C1692" s="0" t="n">
        <v>4</v>
      </c>
      <c r="D1692" s="0" t="inlineStr">
        <is>
          <t>한솔애리즈5차</t>
        </is>
      </c>
      <c r="E1692" s="0" t="inlineStr">
        <is>
          <t>2004.08.</t>
        </is>
      </c>
      <c r="F1692" s="0" t="n">
        <v>32</v>
      </c>
      <c r="G1692" s="0" t="n">
        <v>33.66</v>
      </c>
      <c r="H1692" s="0" t="n">
        <v>111.28</v>
      </c>
      <c r="I1692" s="0" t="n">
        <v>29.69</v>
      </c>
      <c r="J1692" s="0" t="n">
        <v>98.18000000000001</v>
      </c>
      <c r="K1692" s="0" t="n">
        <v>1</v>
      </c>
      <c r="T1692" s="0" t="n">
        <v>3</v>
      </c>
      <c r="U1692" s="0" t="n">
        <v>2</v>
      </c>
      <c r="V1692" s="0" t="inlineStr">
        <is>
          <t>계단식</t>
        </is>
      </c>
      <c r="W1692" s="0" t="n">
        <v>111</v>
      </c>
      <c r="X1692" s="0" t="n">
        <v>7</v>
      </c>
      <c r="Y1692" s="0" t="n">
        <v>7</v>
      </c>
      <c r="Z1692" s="0" t="inlineStr">
        <is>
          <t>https://new.land.naver.com/complexes/24062?tab=detail&amp;rf=Y</t>
        </is>
      </c>
      <c r="AA1692" s="0" t="inlineStr">
        <is>
          <t>서울시 강동구 성내동 438</t>
        </is>
      </c>
      <c r="AB1692" s="0" t="inlineStr">
        <is>
          <t>서울시</t>
        </is>
      </c>
      <c r="AC1692" s="0" t="inlineStr">
        <is>
          <t>강동구</t>
        </is>
      </c>
      <c r="AD1692" s="0" t="inlineStr">
        <is>
          <t>성내동</t>
        </is>
      </c>
      <c r="AG1692" s="0" t="inlineStr">
        <is>
          <t>서울시 강동구 강동대로53길 68</t>
        </is>
      </c>
      <c r="AH1692" s="0" t="n">
        <v>0</v>
      </c>
      <c r="AI1692" s="0" t="n">
        <v>0</v>
      </c>
      <c r="AJ1692" s="0" t="n">
        <v>0</v>
      </c>
      <c r="AK1692" s="0" t="n">
        <v>40</v>
      </c>
      <c r="AL1692" s="0" t="n">
        <v>1.25</v>
      </c>
    </row>
    <row r="1693">
      <c r="A1693" s="0" t="inlineStr">
        <is>
          <t>[성내동]</t>
        </is>
      </c>
      <c r="B1693" s="0" t="n">
        <v>24062</v>
      </c>
      <c r="C1693" s="0" t="n">
        <v>5</v>
      </c>
      <c r="D1693" s="0" t="inlineStr">
        <is>
          <t>한솔애리즈5차</t>
        </is>
      </c>
      <c r="E1693" s="0" t="inlineStr">
        <is>
          <t>2004.08.</t>
        </is>
      </c>
      <c r="F1693" s="0" t="n">
        <v>32</v>
      </c>
      <c r="G1693" s="0" t="n">
        <v>34.66</v>
      </c>
      <c r="H1693" s="0" t="n">
        <v>114.61</v>
      </c>
      <c r="I1693" s="0" t="n">
        <v>30.9</v>
      </c>
      <c r="J1693" s="0" t="n">
        <v>102.15</v>
      </c>
      <c r="K1693" s="0" t="n">
        <v>13</v>
      </c>
      <c r="T1693" s="0" t="n">
        <v>3</v>
      </c>
      <c r="U1693" s="0" t="n">
        <v>2</v>
      </c>
      <c r="V1693" s="0" t="inlineStr">
        <is>
          <t>계단식</t>
        </is>
      </c>
      <c r="W1693" s="0" t="inlineStr">
        <is>
          <t>114A</t>
        </is>
      </c>
      <c r="X1693" s="0" t="n">
        <v>7</v>
      </c>
      <c r="Y1693" s="0" t="n">
        <v>7</v>
      </c>
      <c r="Z1693" s="0" t="inlineStr">
        <is>
          <t>https://new.land.naver.com/complexes/24062?tab=detail&amp;rf=Y</t>
        </is>
      </c>
      <c r="AA1693" s="0" t="inlineStr">
        <is>
          <t>서울시 강동구 성내동 438</t>
        </is>
      </c>
      <c r="AB1693" s="0" t="inlineStr">
        <is>
          <t>서울시</t>
        </is>
      </c>
      <c r="AC1693" s="0" t="inlineStr">
        <is>
          <t>강동구</t>
        </is>
      </c>
      <c r="AD1693" s="0" t="inlineStr">
        <is>
          <t>성내동</t>
        </is>
      </c>
      <c r="AG1693" s="0" t="inlineStr">
        <is>
          <t>서울시 강동구 강동대로53길 68</t>
        </is>
      </c>
      <c r="AH1693" s="0" t="n">
        <v>0</v>
      </c>
      <c r="AI1693" s="0" t="n">
        <v>0</v>
      </c>
      <c r="AJ1693" s="0" t="n">
        <v>0</v>
      </c>
      <c r="AK1693" s="0" t="n">
        <v>40</v>
      </c>
      <c r="AL1693" s="0" t="n">
        <v>1.25</v>
      </c>
    </row>
    <row r="1694">
      <c r="A1694" s="0" t="inlineStr">
        <is>
          <t>[성내동]</t>
        </is>
      </c>
      <c r="B1694" s="0" t="n">
        <v>24062</v>
      </c>
      <c r="C1694" s="0" t="n">
        <v>6</v>
      </c>
      <c r="D1694" s="0" t="inlineStr">
        <is>
          <t>한솔애리즈5차</t>
        </is>
      </c>
      <c r="E1694" s="0" t="inlineStr">
        <is>
          <t>2004.08.</t>
        </is>
      </c>
      <c r="F1694" s="0" t="n">
        <v>32</v>
      </c>
      <c r="G1694" s="0" t="n">
        <v>35.24</v>
      </c>
      <c r="H1694" s="0" t="n">
        <v>116.51</v>
      </c>
      <c r="I1694" s="0" t="n">
        <v>31.09</v>
      </c>
      <c r="J1694" s="0" t="n">
        <v>102.8</v>
      </c>
      <c r="K1694" s="0" t="n">
        <v>5</v>
      </c>
      <c r="T1694" s="0" t="n">
        <v>3</v>
      </c>
      <c r="U1694" s="0" t="n">
        <v>2</v>
      </c>
      <c r="V1694" s="0" t="inlineStr">
        <is>
          <t>계단식</t>
        </is>
      </c>
      <c r="W1694" s="0" t="inlineStr">
        <is>
          <t>116B</t>
        </is>
      </c>
      <c r="X1694" s="0" t="n">
        <v>7</v>
      </c>
      <c r="Y1694" s="0" t="n">
        <v>7</v>
      </c>
      <c r="Z1694" s="0" t="inlineStr">
        <is>
          <t>https://new.land.naver.com/complexes/24062?tab=detail&amp;rf=Y</t>
        </is>
      </c>
      <c r="AA1694" s="0" t="inlineStr">
        <is>
          <t>서울시 강동구 성내동 438</t>
        </is>
      </c>
      <c r="AB1694" s="0" t="inlineStr">
        <is>
          <t>서울시</t>
        </is>
      </c>
      <c r="AC1694" s="0" t="inlineStr">
        <is>
          <t>강동구</t>
        </is>
      </c>
      <c r="AD1694" s="0" t="inlineStr">
        <is>
          <t>성내동</t>
        </is>
      </c>
      <c r="AG1694" s="0" t="inlineStr">
        <is>
          <t>서울시 강동구 강동대로53길 68</t>
        </is>
      </c>
      <c r="AH1694" s="0" t="n">
        <v>0</v>
      </c>
      <c r="AI1694" s="0" t="n">
        <v>0</v>
      </c>
      <c r="AJ1694" s="0" t="n">
        <v>0</v>
      </c>
      <c r="AK1694" s="0" t="n">
        <v>40</v>
      </c>
      <c r="AL1694" s="0" t="n">
        <v>1.25</v>
      </c>
    </row>
    <row r="1695">
      <c r="A1695" s="0" t="inlineStr">
        <is>
          <t>[성내동]</t>
        </is>
      </c>
      <c r="B1695" s="0" t="n">
        <v>14244</v>
      </c>
      <c r="C1695" s="0" t="n">
        <v>1</v>
      </c>
      <c r="D1695" s="0" t="inlineStr">
        <is>
          <t>노블레스트</t>
        </is>
      </c>
      <c r="E1695" s="0" t="inlineStr">
        <is>
          <t>2002.09.</t>
        </is>
      </c>
      <c r="F1695" s="0" t="n">
        <v>18</v>
      </c>
      <c r="G1695" s="0" t="n">
        <v>34.32</v>
      </c>
      <c r="H1695" s="0" t="n">
        <v>113.47</v>
      </c>
      <c r="I1695" s="0" t="n">
        <v>30.64</v>
      </c>
      <c r="J1695" s="0" t="n">
        <v>101.32</v>
      </c>
      <c r="K1695" s="0" t="n">
        <v>6</v>
      </c>
      <c r="T1695" s="0" t="n">
        <v>3</v>
      </c>
      <c r="U1695" s="0" t="n">
        <v>2</v>
      </c>
      <c r="V1695" s="0" t="inlineStr">
        <is>
          <t>계단식</t>
        </is>
      </c>
      <c r="W1695" s="0" t="n">
        <v>113</v>
      </c>
      <c r="X1695" s="0" t="n">
        <v>7</v>
      </c>
      <c r="Y1695" s="0" t="n">
        <v>7</v>
      </c>
      <c r="Z1695" s="0" t="inlineStr">
        <is>
          <t>https://new.land.naver.com/complexes/14244?tab=detail&amp;rf=Y</t>
        </is>
      </c>
      <c r="AA1695" s="0" t="inlineStr">
        <is>
          <t>서울시 강동구 성내동 542</t>
        </is>
      </c>
      <c r="AB1695" s="0" t="inlineStr">
        <is>
          <t>서울시</t>
        </is>
      </c>
      <c r="AC1695" s="0" t="inlineStr">
        <is>
          <t>강동구</t>
        </is>
      </c>
      <c r="AD1695" s="0" t="inlineStr">
        <is>
          <t>성내동</t>
        </is>
      </c>
      <c r="AG1695" s="0" t="inlineStr">
        <is>
          <t>서울시 강동구 성내로 63</t>
        </is>
      </c>
      <c r="AH1695" s="0" t="n">
        <v>0</v>
      </c>
      <c r="AI1695" s="0" t="n">
        <v>299</v>
      </c>
      <c r="AJ1695" s="0" t="n">
        <v>52</v>
      </c>
      <c r="AK1695" s="0" t="n">
        <v>26</v>
      </c>
      <c r="AL1695" s="0" t="n">
        <v>1.44</v>
      </c>
    </row>
    <row r="1696">
      <c r="A1696" s="0" t="inlineStr">
        <is>
          <t>[성내동]</t>
        </is>
      </c>
      <c r="B1696" s="0" t="n">
        <v>14244</v>
      </c>
      <c r="C1696" s="0" t="n">
        <v>2</v>
      </c>
      <c r="D1696" s="0" t="inlineStr">
        <is>
          <t>노블레스트</t>
        </is>
      </c>
      <c r="E1696" s="0" t="inlineStr">
        <is>
          <t>2002.09.</t>
        </is>
      </c>
      <c r="F1696" s="0" t="n">
        <v>18</v>
      </c>
      <c r="G1696" s="0" t="n">
        <v>37.74</v>
      </c>
      <c r="H1696" s="0" t="n">
        <v>124.79</v>
      </c>
      <c r="I1696" s="0" t="n">
        <v>33.7</v>
      </c>
      <c r="J1696" s="0" t="n">
        <v>111.42</v>
      </c>
      <c r="K1696" s="0" t="n">
        <v>12</v>
      </c>
      <c r="T1696" s="0" t="n">
        <v>4</v>
      </c>
      <c r="U1696" s="0" t="n">
        <v>2</v>
      </c>
      <c r="V1696" s="0" t="inlineStr">
        <is>
          <t>계단식</t>
        </is>
      </c>
      <c r="W1696" s="0" t="n">
        <v>124</v>
      </c>
      <c r="X1696" s="0" t="n">
        <v>7</v>
      </c>
      <c r="Y1696" s="0" t="n">
        <v>7</v>
      </c>
      <c r="Z1696" s="0" t="inlineStr">
        <is>
          <t>https://new.land.naver.com/complexes/14244?tab=detail&amp;rf=Y</t>
        </is>
      </c>
      <c r="AA1696" s="0" t="inlineStr">
        <is>
          <t>서울시 강동구 성내동 542</t>
        </is>
      </c>
      <c r="AB1696" s="0" t="inlineStr">
        <is>
          <t>서울시</t>
        </is>
      </c>
      <c r="AC1696" s="0" t="inlineStr">
        <is>
          <t>강동구</t>
        </is>
      </c>
      <c r="AD1696" s="0" t="inlineStr">
        <is>
          <t>성내동</t>
        </is>
      </c>
      <c r="AG1696" s="0" t="inlineStr">
        <is>
          <t>서울시 강동구 성내로 63</t>
        </is>
      </c>
      <c r="AH1696" s="0" t="n">
        <v>0</v>
      </c>
      <c r="AI1696" s="0" t="n">
        <v>299</v>
      </c>
      <c r="AJ1696" s="0" t="n">
        <v>52</v>
      </c>
      <c r="AK1696" s="0" t="n">
        <v>26</v>
      </c>
      <c r="AL1696" s="0" t="n">
        <v>1.44</v>
      </c>
    </row>
    <row r="1697">
      <c r="A1697" s="0" t="inlineStr">
        <is>
          <t>[성내동]</t>
        </is>
      </c>
      <c r="B1697" s="0" t="n">
        <v>103218</v>
      </c>
      <c r="C1697" s="0" t="n">
        <v>1</v>
      </c>
      <c r="D1697" s="0" t="inlineStr">
        <is>
          <t>현대파크빌</t>
        </is>
      </c>
      <c r="E1697" s="0" t="inlineStr">
        <is>
          <t>2007.11.</t>
        </is>
      </c>
      <c r="F1697" s="0" t="n">
        <v>8</v>
      </c>
      <c r="G1697" s="0" t="n">
        <v>11.88</v>
      </c>
      <c r="H1697" s="0" t="n">
        <v>39.3</v>
      </c>
      <c r="I1697" s="0" t="n">
        <v>10.12</v>
      </c>
      <c r="J1697" s="0" t="n">
        <v>33.47</v>
      </c>
      <c r="K1697" s="0" t="n">
        <v>1</v>
      </c>
      <c r="T1697" s="0" t="n">
        <v>1</v>
      </c>
      <c r="U1697" s="0" t="n">
        <v>1</v>
      </c>
      <c r="V1697" s="0" t="inlineStr">
        <is>
          <t>계단식</t>
        </is>
      </c>
      <c r="W1697" s="0" t="inlineStr">
        <is>
          <t>39A</t>
        </is>
      </c>
      <c r="X1697" s="0" t="n">
        <v>5</v>
      </c>
      <c r="Y1697" s="0" t="n">
        <v>5</v>
      </c>
      <c r="Z1697" s="0" t="inlineStr">
        <is>
          <t>https://new.land.naver.com/complexes/103218?tab=detail&amp;rf=Y</t>
        </is>
      </c>
      <c r="AA1697" s="0" t="inlineStr">
        <is>
          <t>서울시 강동구 성내동 386-53</t>
        </is>
      </c>
      <c r="AB1697" s="0" t="inlineStr">
        <is>
          <t>서울시</t>
        </is>
      </c>
      <c r="AC1697" s="0" t="inlineStr">
        <is>
          <t>강동구</t>
        </is>
      </c>
      <c r="AD1697" s="0" t="inlineStr">
        <is>
          <t>성내동</t>
        </is>
      </c>
      <c r="AG1697" s="0" t="inlineStr">
        <is>
          <t>서울시 강동구 양재대로101길 51-21</t>
        </is>
      </c>
      <c r="AH1697" s="0" t="n">
        <v>0</v>
      </c>
      <c r="AI1697" s="0" t="n">
        <v>195</v>
      </c>
      <c r="AJ1697" s="0" t="n">
        <v>59</v>
      </c>
      <c r="AK1697" s="0" t="n">
        <v>8</v>
      </c>
      <c r="AL1697" s="0" t="n">
        <v>1</v>
      </c>
    </row>
    <row r="1698">
      <c r="A1698" s="0" t="inlineStr">
        <is>
          <t>[성내동]</t>
        </is>
      </c>
      <c r="B1698" s="0" t="n">
        <v>103218</v>
      </c>
      <c r="C1698" s="0" t="n">
        <v>2</v>
      </c>
      <c r="D1698" s="0" t="inlineStr">
        <is>
          <t>현대파크빌</t>
        </is>
      </c>
      <c r="E1698" s="0" t="inlineStr">
        <is>
          <t>2007.11.</t>
        </is>
      </c>
      <c r="F1698" s="0" t="n">
        <v>8</v>
      </c>
      <c r="G1698" s="0" t="n">
        <v>12.06</v>
      </c>
      <c r="H1698" s="0" t="n">
        <v>39.89</v>
      </c>
      <c r="I1698" s="0" t="n">
        <v>10.27</v>
      </c>
      <c r="J1698" s="0" t="n">
        <v>33.98</v>
      </c>
      <c r="K1698" s="0" t="n">
        <v>1</v>
      </c>
      <c r="T1698" s="0" t="n">
        <v>1</v>
      </c>
      <c r="U1698" s="0" t="n">
        <v>1</v>
      </c>
      <c r="V1698" s="0" t="inlineStr">
        <is>
          <t>계단식</t>
        </is>
      </c>
      <c r="W1698" s="0" t="inlineStr">
        <is>
          <t>39B</t>
        </is>
      </c>
      <c r="X1698" s="0" t="n">
        <v>5</v>
      </c>
      <c r="Y1698" s="0" t="n">
        <v>5</v>
      </c>
      <c r="Z1698" s="0" t="inlineStr">
        <is>
          <t>https://new.land.naver.com/complexes/103218?tab=detail&amp;rf=Y</t>
        </is>
      </c>
      <c r="AA1698" s="0" t="inlineStr">
        <is>
          <t>서울시 강동구 성내동 386-53</t>
        </is>
      </c>
      <c r="AB1698" s="0" t="inlineStr">
        <is>
          <t>서울시</t>
        </is>
      </c>
      <c r="AC1698" s="0" t="inlineStr">
        <is>
          <t>강동구</t>
        </is>
      </c>
      <c r="AD1698" s="0" t="inlineStr">
        <is>
          <t>성내동</t>
        </is>
      </c>
      <c r="AG1698" s="0" t="inlineStr">
        <is>
          <t>서울시 강동구 양재대로101길 51-21</t>
        </is>
      </c>
      <c r="AH1698" s="0" t="n">
        <v>0</v>
      </c>
      <c r="AI1698" s="0" t="n">
        <v>195</v>
      </c>
      <c r="AJ1698" s="0" t="n">
        <v>59</v>
      </c>
      <c r="AK1698" s="0" t="n">
        <v>8</v>
      </c>
      <c r="AL1698" s="0" t="n">
        <v>1</v>
      </c>
    </row>
    <row r="1699">
      <c r="A1699" s="0" t="inlineStr">
        <is>
          <t>[성내동]</t>
        </is>
      </c>
      <c r="B1699" s="0" t="n">
        <v>103218</v>
      </c>
      <c r="C1699" s="0" t="n">
        <v>3</v>
      </c>
      <c r="D1699" s="0" t="inlineStr">
        <is>
          <t>현대파크빌</t>
        </is>
      </c>
      <c r="E1699" s="0" t="inlineStr">
        <is>
          <t>2007.11.</t>
        </is>
      </c>
      <c r="F1699" s="0" t="n">
        <v>8</v>
      </c>
      <c r="G1699" s="0" t="n">
        <v>12.64</v>
      </c>
      <c r="H1699" s="0" t="n">
        <v>41.79</v>
      </c>
      <c r="I1699" s="0" t="n">
        <v>10.76</v>
      </c>
      <c r="J1699" s="0" t="n">
        <v>35.6</v>
      </c>
      <c r="K1699" s="0" t="n">
        <v>5</v>
      </c>
      <c r="T1699" s="0" t="n">
        <v>1</v>
      </c>
      <c r="U1699" s="0" t="n">
        <v>1</v>
      </c>
      <c r="V1699" s="0" t="inlineStr">
        <is>
          <t>계단식</t>
        </is>
      </c>
      <c r="W1699" s="0" t="inlineStr">
        <is>
          <t>41A</t>
        </is>
      </c>
      <c r="X1699" s="0" t="n">
        <v>5</v>
      </c>
      <c r="Y1699" s="0" t="n">
        <v>5</v>
      </c>
      <c r="Z1699" s="0" t="inlineStr">
        <is>
          <t>https://new.land.naver.com/complexes/103218?tab=detail&amp;rf=Y</t>
        </is>
      </c>
      <c r="AA1699" s="0" t="inlineStr">
        <is>
          <t>서울시 강동구 성내동 386-53</t>
        </is>
      </c>
      <c r="AB1699" s="0" t="inlineStr">
        <is>
          <t>서울시</t>
        </is>
      </c>
      <c r="AC1699" s="0" t="inlineStr">
        <is>
          <t>강동구</t>
        </is>
      </c>
      <c r="AD1699" s="0" t="inlineStr">
        <is>
          <t>성내동</t>
        </is>
      </c>
      <c r="AG1699" s="0" t="inlineStr">
        <is>
          <t>서울시 강동구 양재대로101길 51-21</t>
        </is>
      </c>
      <c r="AH1699" s="0" t="n">
        <v>0</v>
      </c>
      <c r="AI1699" s="0" t="n">
        <v>195</v>
      </c>
      <c r="AJ1699" s="0" t="n">
        <v>59</v>
      </c>
      <c r="AK1699" s="0" t="n">
        <v>8</v>
      </c>
      <c r="AL1699" s="0" t="n">
        <v>1</v>
      </c>
    </row>
    <row r="1700">
      <c r="A1700" s="0" t="inlineStr">
        <is>
          <t>[성내동]</t>
        </is>
      </c>
      <c r="B1700" s="0" t="n">
        <v>103218</v>
      </c>
      <c r="C1700" s="0" t="n">
        <v>4</v>
      </c>
      <c r="D1700" s="0" t="inlineStr">
        <is>
          <t>현대파크빌</t>
        </is>
      </c>
      <c r="E1700" s="0" t="inlineStr">
        <is>
          <t>2007.11.</t>
        </is>
      </c>
      <c r="F1700" s="0" t="n">
        <v>8</v>
      </c>
      <c r="G1700" s="0" t="n">
        <v>12.79</v>
      </c>
      <c r="H1700" s="0" t="n">
        <v>42.29</v>
      </c>
      <c r="I1700" s="0" t="n">
        <v>10.89</v>
      </c>
      <c r="J1700" s="0" t="n">
        <v>36.02</v>
      </c>
      <c r="K1700" s="0" t="n">
        <v>1</v>
      </c>
      <c r="T1700" s="0" t="n">
        <v>1</v>
      </c>
      <c r="U1700" s="0" t="n">
        <v>1</v>
      </c>
      <c r="V1700" s="0" t="inlineStr">
        <is>
          <t>계단식</t>
        </is>
      </c>
      <c r="W1700" s="0" t="inlineStr">
        <is>
          <t>42B</t>
        </is>
      </c>
      <c r="X1700" s="0" t="n">
        <v>5</v>
      </c>
      <c r="Y1700" s="0" t="n">
        <v>5</v>
      </c>
      <c r="Z1700" s="0" t="inlineStr">
        <is>
          <t>https://new.land.naver.com/complexes/103218?tab=detail&amp;rf=Y</t>
        </is>
      </c>
      <c r="AA1700" s="0" t="inlineStr">
        <is>
          <t>서울시 강동구 성내동 386-53</t>
        </is>
      </c>
      <c r="AB1700" s="0" t="inlineStr">
        <is>
          <t>서울시</t>
        </is>
      </c>
      <c r="AC1700" s="0" t="inlineStr">
        <is>
          <t>강동구</t>
        </is>
      </c>
      <c r="AD1700" s="0" t="inlineStr">
        <is>
          <t>성내동</t>
        </is>
      </c>
      <c r="AG1700" s="0" t="inlineStr">
        <is>
          <t>서울시 강동구 양재대로101길 51-21</t>
        </is>
      </c>
      <c r="AH1700" s="0" t="n">
        <v>0</v>
      </c>
      <c r="AI1700" s="0" t="n">
        <v>195</v>
      </c>
      <c r="AJ1700" s="0" t="n">
        <v>59</v>
      </c>
      <c r="AK1700" s="0" t="n">
        <v>8</v>
      </c>
      <c r="AL1700" s="0" t="n">
        <v>1</v>
      </c>
    </row>
    <row r="1701">
      <c r="A1701" s="0" t="inlineStr">
        <is>
          <t>[성내동]</t>
        </is>
      </c>
      <c r="B1701" s="0" t="n">
        <v>12925</v>
      </c>
      <c r="C1701" s="0" t="n">
        <v>1</v>
      </c>
      <c r="D1701" s="0" t="inlineStr">
        <is>
          <t>갑지하이린</t>
        </is>
      </c>
      <c r="E1701" s="0" t="inlineStr">
        <is>
          <t>2001.12.</t>
        </is>
      </c>
      <c r="F1701" s="0" t="n">
        <v>18</v>
      </c>
      <c r="G1701" s="0" t="n">
        <v>34.63</v>
      </c>
      <c r="H1701" s="0" t="n">
        <v>114.48</v>
      </c>
      <c r="I1701" s="0" t="n">
        <v>30.55</v>
      </c>
      <c r="J1701" s="0" t="n">
        <v>101.02</v>
      </c>
      <c r="K1701" s="0" t="n">
        <v>2</v>
      </c>
      <c r="T1701" s="0" t="n">
        <v>3</v>
      </c>
      <c r="U1701" s="0" t="n">
        <v>2</v>
      </c>
      <c r="V1701" s="0" t="inlineStr">
        <is>
          <t>계단식</t>
        </is>
      </c>
      <c r="W1701" s="0" t="n">
        <v>114</v>
      </c>
      <c r="X1701" s="0" t="n">
        <v>10</v>
      </c>
      <c r="Y1701" s="0" t="n">
        <v>10</v>
      </c>
      <c r="Z1701" s="0" t="inlineStr">
        <is>
          <t>https://new.land.naver.com/complexes/12925?tab=detail&amp;rf=Y</t>
        </is>
      </c>
      <c r="AA1701" s="0" t="inlineStr">
        <is>
          <t>서울시 강동구 성내동 443-21</t>
        </is>
      </c>
      <c r="AB1701" s="0" t="inlineStr">
        <is>
          <t>서울시</t>
        </is>
      </c>
      <c r="AC1701" s="0" t="inlineStr">
        <is>
          <t>강동구</t>
        </is>
      </c>
      <c r="AD1701" s="0" t="inlineStr">
        <is>
          <t>성내동</t>
        </is>
      </c>
      <c r="AG1701" s="0" t="inlineStr">
        <is>
          <t>서울시 강동구 강동대로53길 32</t>
        </is>
      </c>
      <c r="AH1701" s="0" t="n">
        <v>0</v>
      </c>
      <c r="AI1701" s="0" t="n">
        <v>299</v>
      </c>
      <c r="AJ1701" s="0" t="n">
        <v>44</v>
      </c>
      <c r="AK1701" s="0" t="n">
        <v>32</v>
      </c>
      <c r="AL1701" s="0" t="n">
        <v>1.78</v>
      </c>
    </row>
    <row r="1702">
      <c r="A1702" s="0" t="inlineStr">
        <is>
          <t>[성내동]</t>
        </is>
      </c>
      <c r="B1702" s="0" t="n">
        <v>12925</v>
      </c>
      <c r="C1702" s="0" t="n">
        <v>2</v>
      </c>
      <c r="D1702" s="0" t="inlineStr">
        <is>
          <t>갑지하이린</t>
        </is>
      </c>
      <c r="E1702" s="0" t="inlineStr">
        <is>
          <t>2001.12.</t>
        </is>
      </c>
      <c r="F1702" s="0" t="n">
        <v>18</v>
      </c>
      <c r="G1702" s="0" t="n">
        <v>40.87</v>
      </c>
      <c r="H1702" s="0" t="n">
        <v>135.13</v>
      </c>
      <c r="I1702" s="0" t="n">
        <v>36.07</v>
      </c>
      <c r="J1702" s="0" t="n">
        <v>119.24</v>
      </c>
      <c r="K1702" s="0" t="n">
        <v>2</v>
      </c>
      <c r="T1702" s="0" t="n">
        <v>4</v>
      </c>
      <c r="U1702" s="0" t="n">
        <v>3</v>
      </c>
      <c r="V1702" s="0" t="inlineStr">
        <is>
          <t>계단식</t>
        </is>
      </c>
      <c r="W1702" s="0" t="n">
        <v>135</v>
      </c>
      <c r="X1702" s="0" t="n">
        <v>10</v>
      </c>
      <c r="Y1702" s="0" t="n">
        <v>10</v>
      </c>
      <c r="Z1702" s="0" t="inlineStr">
        <is>
          <t>https://new.land.naver.com/complexes/12925?tab=detail&amp;rf=Y</t>
        </is>
      </c>
      <c r="AA1702" s="0" t="inlineStr">
        <is>
          <t>서울시 강동구 성내동 443-21</t>
        </is>
      </c>
      <c r="AB1702" s="0" t="inlineStr">
        <is>
          <t>서울시</t>
        </is>
      </c>
      <c r="AC1702" s="0" t="inlineStr">
        <is>
          <t>강동구</t>
        </is>
      </c>
      <c r="AD1702" s="0" t="inlineStr">
        <is>
          <t>성내동</t>
        </is>
      </c>
      <c r="AG1702" s="0" t="inlineStr">
        <is>
          <t>서울시 강동구 강동대로53길 32</t>
        </is>
      </c>
      <c r="AH1702" s="0" t="n">
        <v>0</v>
      </c>
      <c r="AI1702" s="0" t="n">
        <v>299</v>
      </c>
      <c r="AJ1702" s="0" t="n">
        <v>44</v>
      </c>
      <c r="AK1702" s="0" t="n">
        <v>32</v>
      </c>
      <c r="AL1702" s="0" t="n">
        <v>1.78</v>
      </c>
    </row>
    <row r="1703">
      <c r="A1703" s="0" t="inlineStr">
        <is>
          <t>[성내동]</t>
        </is>
      </c>
      <c r="B1703" s="0" t="n">
        <v>12925</v>
      </c>
      <c r="C1703" s="0" t="n">
        <v>3</v>
      </c>
      <c r="D1703" s="0" t="inlineStr">
        <is>
          <t>갑지하이린</t>
        </is>
      </c>
      <c r="E1703" s="0" t="inlineStr">
        <is>
          <t>2001.12.</t>
        </is>
      </c>
      <c r="F1703" s="0" t="n">
        <v>18</v>
      </c>
      <c r="G1703" s="0" t="n">
        <v>42.77</v>
      </c>
      <c r="H1703" s="0" t="n">
        <v>141.41</v>
      </c>
      <c r="I1703" s="0" t="n">
        <v>37.74</v>
      </c>
      <c r="J1703" s="0" t="n">
        <v>124.78</v>
      </c>
      <c r="K1703" s="0" t="n">
        <v>14</v>
      </c>
      <c r="T1703" s="0" t="n">
        <v>4</v>
      </c>
      <c r="U1703" s="0" t="n">
        <v>2</v>
      </c>
      <c r="V1703" s="0" t="inlineStr">
        <is>
          <t>계단식</t>
        </is>
      </c>
      <c r="W1703" s="0" t="n">
        <v>141</v>
      </c>
      <c r="X1703" s="0" t="n">
        <v>10</v>
      </c>
      <c r="Y1703" s="0" t="n">
        <v>10</v>
      </c>
      <c r="Z1703" s="0" t="inlineStr">
        <is>
          <t>https://new.land.naver.com/complexes/12925?tab=detail&amp;rf=Y</t>
        </is>
      </c>
      <c r="AA1703" s="0" t="inlineStr">
        <is>
          <t>서울시 강동구 성내동 443-21</t>
        </is>
      </c>
      <c r="AB1703" s="0" t="inlineStr">
        <is>
          <t>서울시</t>
        </is>
      </c>
      <c r="AC1703" s="0" t="inlineStr">
        <is>
          <t>강동구</t>
        </is>
      </c>
      <c r="AD1703" s="0" t="inlineStr">
        <is>
          <t>성내동</t>
        </is>
      </c>
      <c r="AG1703" s="0" t="inlineStr">
        <is>
          <t>서울시 강동구 강동대로53길 32</t>
        </is>
      </c>
      <c r="AH1703" s="0" t="n">
        <v>0</v>
      </c>
      <c r="AI1703" s="0" t="n">
        <v>299</v>
      </c>
      <c r="AJ1703" s="0" t="n">
        <v>44</v>
      </c>
      <c r="AK1703" s="0" t="n">
        <v>32</v>
      </c>
      <c r="AL1703" s="0" t="n">
        <v>1.78</v>
      </c>
    </row>
    <row r="1704">
      <c r="A1704" s="0" t="inlineStr">
        <is>
          <t>[성내동]</t>
        </is>
      </c>
      <c r="B1704" s="0" t="n">
        <v>989</v>
      </c>
      <c r="C1704" s="0" t="n">
        <v>1</v>
      </c>
      <c r="D1704" s="0" t="inlineStr">
        <is>
          <t>성안마을청구</t>
        </is>
      </c>
      <c r="E1704" s="0" t="inlineStr">
        <is>
          <t>2002.07.</t>
        </is>
      </c>
      <c r="F1704" s="0" t="n">
        <v>349</v>
      </c>
      <c r="G1704" s="0" t="n">
        <v>15.98</v>
      </c>
      <c r="H1704" s="0" t="n">
        <v>52.83</v>
      </c>
      <c r="I1704" s="0" t="n">
        <v>11.43</v>
      </c>
      <c r="J1704" s="0" t="n">
        <v>37.8</v>
      </c>
      <c r="K1704" s="0" t="n">
        <v>16</v>
      </c>
      <c r="T1704" s="0" t="n">
        <v>2</v>
      </c>
      <c r="U1704" s="0" t="n">
        <v>1</v>
      </c>
      <c r="V1704" s="0" t="inlineStr">
        <is>
          <t>복도식</t>
        </is>
      </c>
      <c r="W1704" s="0" t="n">
        <v>52</v>
      </c>
      <c r="X1704" s="0" t="n">
        <v>23</v>
      </c>
      <c r="Y1704" s="0" t="n">
        <v>8</v>
      </c>
      <c r="Z1704" s="0" t="inlineStr">
        <is>
          <t>https://new.land.naver.com/complexes/989?tab=detail&amp;rf=Y</t>
        </is>
      </c>
      <c r="AA1704" s="0" t="inlineStr">
        <is>
          <t>서울시 강동구 성내동 295</t>
        </is>
      </c>
      <c r="AB1704" s="0" t="inlineStr">
        <is>
          <t>서울시</t>
        </is>
      </c>
      <c r="AC1704" s="0" t="inlineStr">
        <is>
          <t>강동구</t>
        </is>
      </c>
      <c r="AD1704" s="0" t="inlineStr">
        <is>
          <t>성내동</t>
        </is>
      </c>
      <c r="AG1704" s="0" t="inlineStr">
        <is>
          <t>서울시 강동구 풍성로 114-1</t>
        </is>
      </c>
      <c r="AH1704" s="0" t="n">
        <v>0</v>
      </c>
      <c r="AI1704" s="0" t="n">
        <v>372</v>
      </c>
      <c r="AJ1704" s="0" t="n">
        <v>27</v>
      </c>
      <c r="AK1704" s="0" t="n">
        <v>343</v>
      </c>
      <c r="AL1704" s="0" t="n">
        <v>0.98</v>
      </c>
    </row>
    <row r="1705">
      <c r="A1705" s="0" t="inlineStr">
        <is>
          <t>[성내동]</t>
        </is>
      </c>
      <c r="B1705" s="0" t="n">
        <v>989</v>
      </c>
      <c r="C1705" s="0" t="n">
        <v>2</v>
      </c>
      <c r="D1705" s="0" t="inlineStr">
        <is>
          <t>성안마을청구</t>
        </is>
      </c>
      <c r="E1705" s="0" t="inlineStr">
        <is>
          <t>2002.07.</t>
        </is>
      </c>
      <c r="F1705" s="0" t="n">
        <v>349</v>
      </c>
      <c r="G1705" s="0" t="n">
        <v>25.33</v>
      </c>
      <c r="H1705" s="0" t="n">
        <v>83.76000000000001</v>
      </c>
      <c r="I1705" s="0" t="n">
        <v>18.12</v>
      </c>
      <c r="J1705" s="0" t="n">
        <v>59.93</v>
      </c>
      <c r="K1705" s="0" t="n">
        <v>164</v>
      </c>
      <c r="T1705" s="0" t="n">
        <v>3</v>
      </c>
      <c r="U1705" s="0" t="n">
        <v>1</v>
      </c>
      <c r="V1705" s="0" t="inlineStr">
        <is>
          <t>복도식</t>
        </is>
      </c>
      <c r="W1705" s="0" t="n">
        <v>83</v>
      </c>
      <c r="X1705" s="0" t="n">
        <v>23</v>
      </c>
      <c r="Y1705" s="0" t="n">
        <v>8</v>
      </c>
      <c r="Z1705" s="0" t="inlineStr">
        <is>
          <t>https://new.land.naver.com/complexes/989?tab=detail&amp;rf=Y</t>
        </is>
      </c>
      <c r="AA1705" s="0" t="inlineStr">
        <is>
          <t>서울시 강동구 성내동 295</t>
        </is>
      </c>
      <c r="AB1705" s="0" t="inlineStr">
        <is>
          <t>서울시</t>
        </is>
      </c>
      <c r="AC1705" s="0" t="inlineStr">
        <is>
          <t>강동구</t>
        </is>
      </c>
      <c r="AD1705" s="0" t="inlineStr">
        <is>
          <t>성내동</t>
        </is>
      </c>
      <c r="AG1705" s="0" t="inlineStr">
        <is>
          <t>서울시 강동구 풍성로 114-1</t>
        </is>
      </c>
      <c r="AH1705" s="0" t="n">
        <v>0</v>
      </c>
      <c r="AI1705" s="0" t="n">
        <v>372</v>
      </c>
      <c r="AJ1705" s="0" t="n">
        <v>27</v>
      </c>
      <c r="AK1705" s="0" t="n">
        <v>343</v>
      </c>
      <c r="AL1705" s="0" t="n">
        <v>0.98</v>
      </c>
    </row>
    <row r="1706">
      <c r="A1706" s="0" t="inlineStr">
        <is>
          <t>[성내동]</t>
        </is>
      </c>
      <c r="B1706" s="0" t="n">
        <v>989</v>
      </c>
      <c r="C1706" s="0" t="n">
        <v>3</v>
      </c>
      <c r="D1706" s="0" t="inlineStr">
        <is>
          <t>성안마을청구</t>
        </is>
      </c>
      <c r="E1706" s="0" t="inlineStr">
        <is>
          <t>2002.07.</t>
        </is>
      </c>
      <c r="F1706" s="0" t="n">
        <v>349</v>
      </c>
      <c r="G1706" s="0" t="n">
        <v>32.7</v>
      </c>
      <c r="H1706" s="0" t="n">
        <v>108.1</v>
      </c>
      <c r="I1706" s="0" t="n">
        <v>25.7</v>
      </c>
      <c r="J1706" s="0" t="n">
        <v>84.95999999999999</v>
      </c>
      <c r="K1706" s="0" t="n">
        <v>169</v>
      </c>
      <c r="T1706" s="0" t="n">
        <v>3</v>
      </c>
      <c r="U1706" s="0" t="n">
        <v>2</v>
      </c>
      <c r="V1706" s="0" t="inlineStr">
        <is>
          <t>계단식</t>
        </is>
      </c>
      <c r="W1706" s="0" t="n">
        <v>108</v>
      </c>
      <c r="X1706" s="0" t="n">
        <v>23</v>
      </c>
      <c r="Y1706" s="0" t="n">
        <v>8</v>
      </c>
      <c r="Z1706" s="0" t="inlineStr">
        <is>
          <t>https://new.land.naver.com/complexes/989?tab=detail&amp;rf=Y</t>
        </is>
      </c>
      <c r="AA1706" s="0" t="inlineStr">
        <is>
          <t>서울시 강동구 성내동 295</t>
        </is>
      </c>
      <c r="AB1706" s="0" t="inlineStr">
        <is>
          <t>서울시</t>
        </is>
      </c>
      <c r="AC1706" s="0" t="inlineStr">
        <is>
          <t>강동구</t>
        </is>
      </c>
      <c r="AD1706" s="0" t="inlineStr">
        <is>
          <t>성내동</t>
        </is>
      </c>
      <c r="AG1706" s="0" t="inlineStr">
        <is>
          <t>서울시 강동구 풍성로 114-1</t>
        </is>
      </c>
      <c r="AH1706" s="0" t="n">
        <v>0</v>
      </c>
      <c r="AI1706" s="0" t="n">
        <v>372</v>
      </c>
      <c r="AJ1706" s="0" t="n">
        <v>27</v>
      </c>
      <c r="AK1706" s="0" t="n">
        <v>343</v>
      </c>
      <c r="AL1706" s="0" t="n">
        <v>0.98</v>
      </c>
    </row>
    <row r="1707">
      <c r="A1707" s="0" t="inlineStr">
        <is>
          <t>[성내동]</t>
        </is>
      </c>
      <c r="B1707" s="0" t="n">
        <v>101426</v>
      </c>
      <c r="C1707" s="0" t="n">
        <v>1</v>
      </c>
      <c r="D1707" s="0" t="inlineStr">
        <is>
          <t>성내아우라1</t>
        </is>
      </c>
      <c r="E1707" s="0" t="inlineStr">
        <is>
          <t>2007.11.</t>
        </is>
      </c>
      <c r="F1707" s="0" t="n">
        <v>15</v>
      </c>
      <c r="G1707" s="0" t="n">
        <v>13.64</v>
      </c>
      <c r="H1707" s="0" t="n">
        <v>45.1</v>
      </c>
      <c r="I1707" s="0" t="n">
        <v>11.91</v>
      </c>
      <c r="J1707" s="0" t="n">
        <v>39.39</v>
      </c>
      <c r="K1707" s="0" t="n">
        <v>1</v>
      </c>
      <c r="T1707" s="0" t="n">
        <v>1</v>
      </c>
      <c r="U1707" s="0" t="n">
        <v>1</v>
      </c>
      <c r="V1707" s="0" t="inlineStr">
        <is>
          <t>복도식</t>
        </is>
      </c>
      <c r="W1707" s="0" t="n">
        <v>45</v>
      </c>
      <c r="X1707" s="0" t="n">
        <v>9</v>
      </c>
      <c r="Y1707" s="0" t="n">
        <v>9</v>
      </c>
      <c r="Z1707" s="0" t="inlineStr">
        <is>
          <t>https://new.land.naver.com/complexes/101426?tab=detail&amp;rf=Y</t>
        </is>
      </c>
      <c r="AA1707" s="0" t="inlineStr">
        <is>
          <t>서울시 강동구 성내동 419-11</t>
        </is>
      </c>
      <c r="AB1707" s="0" t="inlineStr">
        <is>
          <t>서울시</t>
        </is>
      </c>
      <c r="AC1707" s="0" t="inlineStr">
        <is>
          <t>강동구</t>
        </is>
      </c>
      <c r="AD1707" s="0" t="inlineStr">
        <is>
          <t>성내동</t>
        </is>
      </c>
      <c r="AG1707" s="0" t="inlineStr">
        <is>
          <t>서울시 강동구 풍성로52길 15</t>
        </is>
      </c>
      <c r="AH1707" s="0" t="n">
        <v>0</v>
      </c>
      <c r="AI1707" s="0" t="n">
        <v>249</v>
      </c>
      <c r="AJ1707" s="0" t="n">
        <v>44</v>
      </c>
      <c r="AK1707" s="0" t="n">
        <v>16</v>
      </c>
      <c r="AL1707" s="0" t="n">
        <v>1.07</v>
      </c>
    </row>
    <row r="1708">
      <c r="A1708" s="0" t="inlineStr">
        <is>
          <t>[성내동]</t>
        </is>
      </c>
      <c r="B1708" s="0" t="n">
        <v>101426</v>
      </c>
      <c r="C1708" s="0" t="n">
        <v>2</v>
      </c>
      <c r="D1708" s="0" t="inlineStr">
        <is>
          <t>성내아우라1</t>
        </is>
      </c>
      <c r="E1708" s="0" t="inlineStr">
        <is>
          <t>2007.11.</t>
        </is>
      </c>
      <c r="F1708" s="0" t="n">
        <v>15</v>
      </c>
      <c r="G1708" s="0" t="n">
        <v>19.99</v>
      </c>
      <c r="H1708" s="0" t="n">
        <v>66.09</v>
      </c>
      <c r="I1708" s="0" t="n">
        <v>17.45</v>
      </c>
      <c r="J1708" s="0" t="n">
        <v>57.71</v>
      </c>
      <c r="K1708" s="0" t="n">
        <v>1</v>
      </c>
      <c r="T1708" s="0" t="n">
        <v>2</v>
      </c>
      <c r="U1708" s="0" t="n">
        <v>1</v>
      </c>
      <c r="V1708" s="0" t="inlineStr">
        <is>
          <t>계단식</t>
        </is>
      </c>
      <c r="W1708" s="0" t="n">
        <v>66</v>
      </c>
      <c r="X1708" s="0" t="n">
        <v>9</v>
      </c>
      <c r="Y1708" s="0" t="n">
        <v>9</v>
      </c>
      <c r="Z1708" s="0" t="inlineStr">
        <is>
          <t>https://new.land.naver.com/complexes/101426?tab=detail&amp;rf=Y</t>
        </is>
      </c>
      <c r="AA1708" s="0" t="inlineStr">
        <is>
          <t>서울시 강동구 성내동 419-11</t>
        </is>
      </c>
      <c r="AB1708" s="0" t="inlineStr">
        <is>
          <t>서울시</t>
        </is>
      </c>
      <c r="AC1708" s="0" t="inlineStr">
        <is>
          <t>강동구</t>
        </is>
      </c>
      <c r="AD1708" s="0" t="inlineStr">
        <is>
          <t>성내동</t>
        </is>
      </c>
      <c r="AG1708" s="0" t="inlineStr">
        <is>
          <t>서울시 강동구 풍성로52길 15</t>
        </is>
      </c>
      <c r="AH1708" s="0" t="n">
        <v>0</v>
      </c>
      <c r="AI1708" s="0" t="n">
        <v>249</v>
      </c>
      <c r="AJ1708" s="0" t="n">
        <v>44</v>
      </c>
      <c r="AK1708" s="0" t="n">
        <v>16</v>
      </c>
      <c r="AL1708" s="0" t="n">
        <v>1.07</v>
      </c>
    </row>
    <row r="1709">
      <c r="A1709" s="0" t="inlineStr">
        <is>
          <t>[성내동]</t>
        </is>
      </c>
      <c r="B1709" s="0" t="n">
        <v>101426</v>
      </c>
      <c r="C1709" s="0" t="n">
        <v>3</v>
      </c>
      <c r="D1709" s="0" t="inlineStr">
        <is>
          <t>성내아우라1</t>
        </is>
      </c>
      <c r="E1709" s="0" t="inlineStr">
        <is>
          <t>2007.11.</t>
        </is>
      </c>
      <c r="F1709" s="0" t="n">
        <v>15</v>
      </c>
      <c r="G1709" s="0" t="n">
        <v>24.5</v>
      </c>
      <c r="H1709" s="0" t="n">
        <v>81.01000000000001</v>
      </c>
      <c r="I1709" s="0" t="n">
        <v>21.39</v>
      </c>
      <c r="J1709" s="0" t="n">
        <v>70.73999999999999</v>
      </c>
      <c r="K1709" s="0" t="n">
        <v>1</v>
      </c>
      <c r="T1709" s="0" t="n">
        <v>3</v>
      </c>
      <c r="U1709" s="0" t="n">
        <v>1</v>
      </c>
      <c r="V1709" s="0" t="inlineStr">
        <is>
          <t>계단식</t>
        </is>
      </c>
      <c r="W1709" s="0" t="n">
        <v>81</v>
      </c>
      <c r="X1709" s="0" t="n">
        <v>9</v>
      </c>
      <c r="Y1709" s="0" t="n">
        <v>9</v>
      </c>
      <c r="Z1709" s="0" t="inlineStr">
        <is>
          <t>https://new.land.naver.com/complexes/101426?tab=detail&amp;rf=Y</t>
        </is>
      </c>
      <c r="AA1709" s="0" t="inlineStr">
        <is>
          <t>서울시 강동구 성내동 419-11</t>
        </is>
      </c>
      <c r="AB1709" s="0" t="inlineStr">
        <is>
          <t>서울시</t>
        </is>
      </c>
      <c r="AC1709" s="0" t="inlineStr">
        <is>
          <t>강동구</t>
        </is>
      </c>
      <c r="AD1709" s="0" t="inlineStr">
        <is>
          <t>성내동</t>
        </is>
      </c>
      <c r="AG1709" s="0" t="inlineStr">
        <is>
          <t>서울시 강동구 풍성로52길 15</t>
        </is>
      </c>
      <c r="AH1709" s="0" t="n">
        <v>0</v>
      </c>
      <c r="AI1709" s="0" t="n">
        <v>249</v>
      </c>
      <c r="AJ1709" s="0" t="n">
        <v>44</v>
      </c>
      <c r="AK1709" s="0" t="n">
        <v>16</v>
      </c>
      <c r="AL1709" s="0" t="n">
        <v>1.07</v>
      </c>
    </row>
    <row r="1710">
      <c r="A1710" s="0" t="inlineStr">
        <is>
          <t>[성내동]</t>
        </is>
      </c>
      <c r="B1710" s="0" t="n">
        <v>101426</v>
      </c>
      <c r="C1710" s="0" t="n">
        <v>4</v>
      </c>
      <c r="D1710" s="0" t="inlineStr">
        <is>
          <t>성내아우라1</t>
        </is>
      </c>
      <c r="E1710" s="0" t="inlineStr">
        <is>
          <t>2007.11.</t>
        </is>
      </c>
      <c r="F1710" s="0" t="n">
        <v>15</v>
      </c>
      <c r="G1710" s="0" t="n">
        <v>27.1</v>
      </c>
      <c r="H1710" s="0" t="n">
        <v>89.59999999999999</v>
      </c>
      <c r="I1710" s="0" t="n">
        <v>23.66</v>
      </c>
      <c r="J1710" s="0" t="n">
        <v>78.23999999999999</v>
      </c>
      <c r="K1710" s="0" t="n">
        <v>1</v>
      </c>
      <c r="T1710" s="0" t="n">
        <v>3</v>
      </c>
      <c r="U1710" s="0" t="n">
        <v>2</v>
      </c>
      <c r="V1710" s="0" t="inlineStr">
        <is>
          <t>계단식</t>
        </is>
      </c>
      <c r="W1710" s="0" t="n">
        <v>89</v>
      </c>
      <c r="X1710" s="0" t="n">
        <v>9</v>
      </c>
      <c r="Y1710" s="0" t="n">
        <v>9</v>
      </c>
      <c r="Z1710" s="0" t="inlineStr">
        <is>
          <t>https://new.land.naver.com/complexes/101426?tab=detail&amp;rf=Y</t>
        </is>
      </c>
      <c r="AA1710" s="0" t="inlineStr">
        <is>
          <t>서울시 강동구 성내동 419-11</t>
        </is>
      </c>
      <c r="AB1710" s="0" t="inlineStr">
        <is>
          <t>서울시</t>
        </is>
      </c>
      <c r="AC1710" s="0" t="inlineStr">
        <is>
          <t>강동구</t>
        </is>
      </c>
      <c r="AD1710" s="0" t="inlineStr">
        <is>
          <t>성내동</t>
        </is>
      </c>
      <c r="AG1710" s="0" t="inlineStr">
        <is>
          <t>서울시 강동구 풍성로52길 15</t>
        </is>
      </c>
      <c r="AH1710" s="0" t="n">
        <v>0</v>
      </c>
      <c r="AI1710" s="0" t="n">
        <v>249</v>
      </c>
      <c r="AJ1710" s="0" t="n">
        <v>44</v>
      </c>
      <c r="AK1710" s="0" t="n">
        <v>16</v>
      </c>
      <c r="AL1710" s="0" t="n">
        <v>1.07</v>
      </c>
    </row>
    <row r="1711">
      <c r="A1711" s="0" t="inlineStr">
        <is>
          <t>[성내동]</t>
        </is>
      </c>
      <c r="B1711" s="0" t="n">
        <v>101426</v>
      </c>
      <c r="C1711" s="0" t="n">
        <v>5</v>
      </c>
      <c r="D1711" s="0" t="inlineStr">
        <is>
          <t>성내아우라1</t>
        </is>
      </c>
      <c r="E1711" s="0" t="inlineStr">
        <is>
          <t>2007.11.</t>
        </is>
      </c>
      <c r="F1711" s="0" t="n">
        <v>15</v>
      </c>
      <c r="G1711" s="0" t="n">
        <v>29.39</v>
      </c>
      <c r="H1711" s="0" t="n">
        <v>97.16</v>
      </c>
      <c r="I1711" s="0" t="n">
        <v>25.66</v>
      </c>
      <c r="J1711" s="0" t="n">
        <v>84.84</v>
      </c>
      <c r="K1711" s="0" t="n">
        <v>11</v>
      </c>
      <c r="T1711" s="0" t="n">
        <v>3</v>
      </c>
      <c r="U1711" s="0" t="n">
        <v>2</v>
      </c>
      <c r="V1711" s="0" t="inlineStr">
        <is>
          <t>복도식</t>
        </is>
      </c>
      <c r="W1711" s="0" t="n">
        <v>97</v>
      </c>
      <c r="X1711" s="0" t="n">
        <v>9</v>
      </c>
      <c r="Y1711" s="0" t="n">
        <v>9</v>
      </c>
      <c r="Z1711" s="0" t="inlineStr">
        <is>
          <t>https://new.land.naver.com/complexes/101426?tab=detail&amp;rf=Y</t>
        </is>
      </c>
      <c r="AA1711" s="0" t="inlineStr">
        <is>
          <t>서울시 강동구 성내동 419-11</t>
        </is>
      </c>
      <c r="AB1711" s="0" t="inlineStr">
        <is>
          <t>서울시</t>
        </is>
      </c>
      <c r="AC1711" s="0" t="inlineStr">
        <is>
          <t>강동구</t>
        </is>
      </c>
      <c r="AD1711" s="0" t="inlineStr">
        <is>
          <t>성내동</t>
        </is>
      </c>
      <c r="AG1711" s="0" t="inlineStr">
        <is>
          <t>서울시 강동구 풍성로52길 15</t>
        </is>
      </c>
      <c r="AH1711" s="0" t="n">
        <v>0</v>
      </c>
      <c r="AI1711" s="0" t="n">
        <v>249</v>
      </c>
      <c r="AJ1711" s="0" t="n">
        <v>44</v>
      </c>
      <c r="AK1711" s="0" t="n">
        <v>16</v>
      </c>
      <c r="AL1711" s="0" t="n">
        <v>1.07</v>
      </c>
    </row>
    <row r="1712">
      <c r="A1712" s="0" t="inlineStr">
        <is>
          <t>[성내동]</t>
        </is>
      </c>
      <c r="B1712" s="0" t="n">
        <v>122698</v>
      </c>
      <c r="C1712" s="0" t="n">
        <v>1</v>
      </c>
      <c r="D1712" s="0" t="inlineStr">
        <is>
          <t>성내웰빙시티</t>
        </is>
      </c>
      <c r="E1712" s="0" t="inlineStr">
        <is>
          <t>2018.09.</t>
        </is>
      </c>
      <c r="F1712" s="0" t="n">
        <v>22</v>
      </c>
      <c r="G1712" s="0" t="n">
        <v>16.69</v>
      </c>
      <c r="H1712" s="0" t="n">
        <v>55.18</v>
      </c>
      <c r="I1712" s="0" t="n">
        <v>14.22</v>
      </c>
      <c r="J1712" s="0" t="n">
        <v>47.01</v>
      </c>
      <c r="K1712" s="0" t="n">
        <v>1</v>
      </c>
      <c r="T1712" s="0" t="n">
        <v>2</v>
      </c>
      <c r="U1712" s="0" t="n">
        <v>1</v>
      </c>
      <c r="V1712" s="0" t="inlineStr">
        <is>
          <t>계단식</t>
        </is>
      </c>
      <c r="W1712" s="0" t="n">
        <v>55</v>
      </c>
      <c r="X1712" s="0" t="n">
        <v>9</v>
      </c>
      <c r="Y1712" s="0" t="n">
        <v>7</v>
      </c>
      <c r="Z1712" s="0" t="inlineStr">
        <is>
          <t>https://new.land.naver.com/complexes/122698?tab=detail&amp;rf=Y</t>
        </is>
      </c>
      <c r="AA1712" s="0" t="inlineStr">
        <is>
          <t>서울시 강동구 성내동 410-15</t>
        </is>
      </c>
      <c r="AB1712" s="0" t="inlineStr">
        <is>
          <t>서울시</t>
        </is>
      </c>
      <c r="AC1712" s="0" t="inlineStr">
        <is>
          <t>강동구</t>
        </is>
      </c>
      <c r="AD1712" s="0" t="inlineStr">
        <is>
          <t>성내동</t>
        </is>
      </c>
      <c r="AG1712" s="0" t="inlineStr">
        <is>
          <t>서울시 강동구 풍성로51길 8</t>
        </is>
      </c>
      <c r="AH1712" s="0" t="n">
        <v>0</v>
      </c>
      <c r="AI1712" s="0" t="n">
        <v>249</v>
      </c>
      <c r="AJ1712" s="0" t="n">
        <v>48</v>
      </c>
      <c r="AK1712" s="0" t="n">
        <v>16</v>
      </c>
      <c r="AL1712" s="0" t="n">
        <v>0.73</v>
      </c>
    </row>
    <row r="1713">
      <c r="A1713" s="0" t="inlineStr">
        <is>
          <t>[성내동]</t>
        </is>
      </c>
      <c r="B1713" s="0" t="n">
        <v>122698</v>
      </c>
      <c r="C1713" s="0" t="n">
        <v>2</v>
      </c>
      <c r="D1713" s="0" t="inlineStr">
        <is>
          <t>성내웰빙시티</t>
        </is>
      </c>
      <c r="E1713" s="0" t="inlineStr">
        <is>
          <t>2018.09.</t>
        </is>
      </c>
      <c r="F1713" s="0" t="n">
        <v>22</v>
      </c>
      <c r="G1713" s="0" t="n">
        <v>18</v>
      </c>
      <c r="H1713" s="0" t="n">
        <v>59.51</v>
      </c>
      <c r="I1713" s="0" t="n">
        <v>15.33</v>
      </c>
      <c r="J1713" s="0" t="n">
        <v>50.7</v>
      </c>
      <c r="K1713" s="0" t="n">
        <v>1</v>
      </c>
      <c r="T1713" s="0" t="n">
        <v>2</v>
      </c>
      <c r="U1713" s="0" t="n">
        <v>1</v>
      </c>
      <c r="V1713" s="0" t="inlineStr">
        <is>
          <t>계단식</t>
        </is>
      </c>
      <c r="W1713" s="0" t="inlineStr">
        <is>
          <t>59A</t>
        </is>
      </c>
      <c r="X1713" s="0" t="n">
        <v>9</v>
      </c>
      <c r="Y1713" s="0" t="n">
        <v>7</v>
      </c>
      <c r="Z1713" s="0" t="inlineStr">
        <is>
          <t>https://new.land.naver.com/complexes/122698?tab=detail&amp;rf=Y</t>
        </is>
      </c>
      <c r="AA1713" s="0" t="inlineStr">
        <is>
          <t>서울시 강동구 성내동 410-15</t>
        </is>
      </c>
      <c r="AB1713" s="0" t="inlineStr">
        <is>
          <t>서울시</t>
        </is>
      </c>
      <c r="AC1713" s="0" t="inlineStr">
        <is>
          <t>강동구</t>
        </is>
      </c>
      <c r="AD1713" s="0" t="inlineStr">
        <is>
          <t>성내동</t>
        </is>
      </c>
      <c r="AG1713" s="0" t="inlineStr">
        <is>
          <t>서울시 강동구 풍성로51길 8</t>
        </is>
      </c>
      <c r="AH1713" s="0" t="n">
        <v>0</v>
      </c>
      <c r="AI1713" s="0" t="n">
        <v>249</v>
      </c>
      <c r="AJ1713" s="0" t="n">
        <v>48</v>
      </c>
      <c r="AK1713" s="0" t="n">
        <v>16</v>
      </c>
      <c r="AL1713" s="0" t="n">
        <v>0.73</v>
      </c>
    </row>
    <row r="1714">
      <c r="A1714" s="0" t="inlineStr">
        <is>
          <t>[성내동]</t>
        </is>
      </c>
      <c r="B1714" s="0" t="n">
        <v>122698</v>
      </c>
      <c r="C1714" s="0" t="n">
        <v>3</v>
      </c>
      <c r="D1714" s="0" t="inlineStr">
        <is>
          <t>성내웰빙시티</t>
        </is>
      </c>
      <c r="E1714" s="0" t="inlineStr">
        <is>
          <t>2018.09.</t>
        </is>
      </c>
      <c r="F1714" s="0" t="n">
        <v>22</v>
      </c>
      <c r="G1714" s="0" t="n">
        <v>18.15</v>
      </c>
      <c r="H1714" s="0" t="n">
        <v>60.01</v>
      </c>
      <c r="I1714" s="0" t="n">
        <v>15.46</v>
      </c>
      <c r="J1714" s="0" t="n">
        <v>51.12</v>
      </c>
      <c r="K1714" s="0" t="n">
        <v>1</v>
      </c>
      <c r="T1714" s="0" t="n">
        <v>2</v>
      </c>
      <c r="U1714" s="0" t="n">
        <v>1</v>
      </c>
      <c r="V1714" s="0" t="inlineStr">
        <is>
          <t>계단식</t>
        </is>
      </c>
      <c r="W1714" s="0" t="inlineStr">
        <is>
          <t>60B</t>
        </is>
      </c>
      <c r="X1714" s="0" t="n">
        <v>9</v>
      </c>
      <c r="Y1714" s="0" t="n">
        <v>7</v>
      </c>
      <c r="Z1714" s="0" t="inlineStr">
        <is>
          <t>https://new.land.naver.com/complexes/122698?tab=detail&amp;rf=Y</t>
        </is>
      </c>
      <c r="AA1714" s="0" t="inlineStr">
        <is>
          <t>서울시 강동구 성내동 410-15</t>
        </is>
      </c>
      <c r="AB1714" s="0" t="inlineStr">
        <is>
          <t>서울시</t>
        </is>
      </c>
      <c r="AC1714" s="0" t="inlineStr">
        <is>
          <t>강동구</t>
        </is>
      </c>
      <c r="AD1714" s="0" t="inlineStr">
        <is>
          <t>성내동</t>
        </is>
      </c>
      <c r="AG1714" s="0" t="inlineStr">
        <is>
          <t>서울시 강동구 풍성로51길 8</t>
        </is>
      </c>
      <c r="AH1714" s="0" t="n">
        <v>0</v>
      </c>
      <c r="AI1714" s="0" t="n">
        <v>249</v>
      </c>
      <c r="AJ1714" s="0" t="n">
        <v>48</v>
      </c>
      <c r="AK1714" s="0" t="n">
        <v>16</v>
      </c>
      <c r="AL1714" s="0" t="n">
        <v>0.73</v>
      </c>
    </row>
    <row r="1715">
      <c r="A1715" s="0" t="inlineStr">
        <is>
          <t>[성내동]</t>
        </is>
      </c>
      <c r="B1715" s="0" t="n">
        <v>122698</v>
      </c>
      <c r="C1715" s="0" t="n">
        <v>4</v>
      </c>
      <c r="D1715" s="0" t="inlineStr">
        <is>
          <t>성내웰빙시티</t>
        </is>
      </c>
      <c r="E1715" s="0" t="inlineStr">
        <is>
          <t>2018.09.</t>
        </is>
      </c>
      <c r="F1715" s="0" t="n">
        <v>22</v>
      </c>
      <c r="G1715" s="0" t="n">
        <v>18.15</v>
      </c>
      <c r="H1715" s="0" t="n">
        <v>60.02</v>
      </c>
      <c r="I1715" s="0" t="n">
        <v>15.46</v>
      </c>
      <c r="J1715" s="0" t="n">
        <v>51.13</v>
      </c>
      <c r="K1715" s="0" t="n">
        <v>1</v>
      </c>
      <c r="T1715" s="0" t="n">
        <v>2</v>
      </c>
      <c r="U1715" s="0" t="n">
        <v>1</v>
      </c>
      <c r="V1715" s="0" t="inlineStr">
        <is>
          <t>계단식</t>
        </is>
      </c>
      <c r="W1715" s="0" t="inlineStr">
        <is>
          <t>60C</t>
        </is>
      </c>
      <c r="X1715" s="0" t="n">
        <v>9</v>
      </c>
      <c r="Y1715" s="0" t="n">
        <v>7</v>
      </c>
      <c r="Z1715" s="0" t="inlineStr">
        <is>
          <t>https://new.land.naver.com/complexes/122698?tab=detail&amp;rf=Y</t>
        </is>
      </c>
      <c r="AA1715" s="0" t="inlineStr">
        <is>
          <t>서울시 강동구 성내동 410-15</t>
        </is>
      </c>
      <c r="AB1715" s="0" t="inlineStr">
        <is>
          <t>서울시</t>
        </is>
      </c>
      <c r="AC1715" s="0" t="inlineStr">
        <is>
          <t>강동구</t>
        </is>
      </c>
      <c r="AD1715" s="0" t="inlineStr">
        <is>
          <t>성내동</t>
        </is>
      </c>
      <c r="AG1715" s="0" t="inlineStr">
        <is>
          <t>서울시 강동구 풍성로51길 8</t>
        </is>
      </c>
      <c r="AH1715" s="0" t="n">
        <v>0</v>
      </c>
      <c r="AI1715" s="0" t="n">
        <v>249</v>
      </c>
      <c r="AJ1715" s="0" t="n">
        <v>48</v>
      </c>
      <c r="AK1715" s="0" t="n">
        <v>16</v>
      </c>
      <c r="AL1715" s="0" t="n">
        <v>0.73</v>
      </c>
    </row>
    <row r="1716">
      <c r="A1716" s="0" t="inlineStr">
        <is>
          <t>[성내동]</t>
        </is>
      </c>
      <c r="B1716" s="0" t="n">
        <v>122698</v>
      </c>
      <c r="C1716" s="0" t="n">
        <v>5</v>
      </c>
      <c r="D1716" s="0" t="inlineStr">
        <is>
          <t>성내웰빙시티</t>
        </is>
      </c>
      <c r="E1716" s="0" t="inlineStr">
        <is>
          <t>2018.09.</t>
        </is>
      </c>
      <c r="F1716" s="0" t="n">
        <v>22</v>
      </c>
      <c r="G1716" s="0" t="n">
        <v>20.27</v>
      </c>
      <c r="H1716" s="0" t="n">
        <v>67.01000000000001</v>
      </c>
      <c r="I1716" s="0" t="n">
        <v>17.26</v>
      </c>
      <c r="J1716" s="0" t="n">
        <v>57.09</v>
      </c>
      <c r="K1716" s="0" t="n">
        <v>1</v>
      </c>
      <c r="T1716" s="0" t="n">
        <v>3</v>
      </c>
      <c r="U1716" s="0" t="n">
        <v>1</v>
      </c>
      <c r="V1716" s="0" t="inlineStr">
        <is>
          <t>계단식</t>
        </is>
      </c>
      <c r="W1716" s="0" t="n">
        <v>67</v>
      </c>
      <c r="X1716" s="0" t="n">
        <v>9</v>
      </c>
      <c r="Y1716" s="0" t="n">
        <v>7</v>
      </c>
      <c r="Z1716" s="0" t="inlineStr">
        <is>
          <t>https://new.land.naver.com/complexes/122698?tab=detail&amp;rf=Y</t>
        </is>
      </c>
      <c r="AA1716" s="0" t="inlineStr">
        <is>
          <t>서울시 강동구 성내동 410-15</t>
        </is>
      </c>
      <c r="AB1716" s="0" t="inlineStr">
        <is>
          <t>서울시</t>
        </is>
      </c>
      <c r="AC1716" s="0" t="inlineStr">
        <is>
          <t>강동구</t>
        </is>
      </c>
      <c r="AD1716" s="0" t="inlineStr">
        <is>
          <t>성내동</t>
        </is>
      </c>
      <c r="AG1716" s="0" t="inlineStr">
        <is>
          <t>서울시 강동구 풍성로51길 8</t>
        </is>
      </c>
      <c r="AH1716" s="0" t="n">
        <v>0</v>
      </c>
      <c r="AI1716" s="0" t="n">
        <v>249</v>
      </c>
      <c r="AJ1716" s="0" t="n">
        <v>48</v>
      </c>
      <c r="AK1716" s="0" t="n">
        <v>16</v>
      </c>
      <c r="AL1716" s="0" t="n">
        <v>0.73</v>
      </c>
    </row>
    <row r="1717">
      <c r="A1717" s="0" t="inlineStr">
        <is>
          <t>[성내동]</t>
        </is>
      </c>
      <c r="B1717" s="0" t="n">
        <v>122698</v>
      </c>
      <c r="C1717" s="0" t="n">
        <v>6</v>
      </c>
      <c r="D1717" s="0" t="inlineStr">
        <is>
          <t>성내웰빙시티</t>
        </is>
      </c>
      <c r="E1717" s="0" t="inlineStr">
        <is>
          <t>2018.09.</t>
        </is>
      </c>
      <c r="F1717" s="0" t="n">
        <v>22</v>
      </c>
      <c r="G1717" s="0" t="n">
        <v>20.94</v>
      </c>
      <c r="H1717" s="0" t="n">
        <v>69.23</v>
      </c>
      <c r="I1717" s="0" t="n">
        <v>17.84</v>
      </c>
      <c r="J1717" s="0" t="n">
        <v>58.98</v>
      </c>
      <c r="K1717" s="0" t="n">
        <v>4</v>
      </c>
      <c r="T1717" s="0" t="n">
        <v>3</v>
      </c>
      <c r="U1717" s="0" t="n">
        <v>1</v>
      </c>
      <c r="V1717" s="0" t="inlineStr">
        <is>
          <t>계단식</t>
        </is>
      </c>
      <c r="W1717" s="0" t="inlineStr">
        <is>
          <t>69A</t>
        </is>
      </c>
      <c r="X1717" s="0" t="n">
        <v>9</v>
      </c>
      <c r="Y1717" s="0" t="n">
        <v>7</v>
      </c>
      <c r="Z1717" s="0" t="inlineStr">
        <is>
          <t>https://new.land.naver.com/complexes/122698?tab=detail&amp;rf=Y</t>
        </is>
      </c>
      <c r="AA1717" s="0" t="inlineStr">
        <is>
          <t>서울시 강동구 성내동 410-15</t>
        </is>
      </c>
      <c r="AB1717" s="0" t="inlineStr">
        <is>
          <t>서울시</t>
        </is>
      </c>
      <c r="AC1717" s="0" t="inlineStr">
        <is>
          <t>강동구</t>
        </is>
      </c>
      <c r="AD1717" s="0" t="inlineStr">
        <is>
          <t>성내동</t>
        </is>
      </c>
      <c r="AG1717" s="0" t="inlineStr">
        <is>
          <t>서울시 강동구 풍성로51길 8</t>
        </is>
      </c>
      <c r="AH1717" s="0" t="n">
        <v>0</v>
      </c>
      <c r="AI1717" s="0" t="n">
        <v>249</v>
      </c>
      <c r="AJ1717" s="0" t="n">
        <v>48</v>
      </c>
      <c r="AK1717" s="0" t="n">
        <v>16</v>
      </c>
      <c r="AL1717" s="0" t="n">
        <v>0.73</v>
      </c>
    </row>
    <row r="1718">
      <c r="A1718" s="0" t="inlineStr">
        <is>
          <t>[성내동]</t>
        </is>
      </c>
      <c r="B1718" s="0" t="n">
        <v>122698</v>
      </c>
      <c r="C1718" s="0" t="n">
        <v>7</v>
      </c>
      <c r="D1718" s="0" t="inlineStr">
        <is>
          <t>성내웰빙시티</t>
        </is>
      </c>
      <c r="E1718" s="0" t="inlineStr">
        <is>
          <t>2018.09.</t>
        </is>
      </c>
      <c r="F1718" s="0" t="n">
        <v>22</v>
      </c>
      <c r="G1718" s="0" t="n">
        <v>20.97</v>
      </c>
      <c r="H1718" s="0" t="n">
        <v>69.34999999999999</v>
      </c>
      <c r="I1718" s="0" t="n">
        <v>17.87</v>
      </c>
      <c r="J1718" s="0" t="n">
        <v>59.08</v>
      </c>
      <c r="K1718" s="0" t="n">
        <v>1</v>
      </c>
      <c r="T1718" s="0" t="n">
        <v>3</v>
      </c>
      <c r="U1718" s="0" t="n">
        <v>1</v>
      </c>
      <c r="V1718" s="0" t="inlineStr">
        <is>
          <t>계단식</t>
        </is>
      </c>
      <c r="W1718" s="0" t="inlineStr">
        <is>
          <t>69B</t>
        </is>
      </c>
      <c r="X1718" s="0" t="n">
        <v>9</v>
      </c>
      <c r="Y1718" s="0" t="n">
        <v>7</v>
      </c>
      <c r="Z1718" s="0" t="inlineStr">
        <is>
          <t>https://new.land.naver.com/complexes/122698?tab=detail&amp;rf=Y</t>
        </is>
      </c>
      <c r="AA1718" s="0" t="inlineStr">
        <is>
          <t>서울시 강동구 성내동 410-15</t>
        </is>
      </c>
      <c r="AB1718" s="0" t="inlineStr">
        <is>
          <t>서울시</t>
        </is>
      </c>
      <c r="AC1718" s="0" t="inlineStr">
        <is>
          <t>강동구</t>
        </is>
      </c>
      <c r="AD1718" s="0" t="inlineStr">
        <is>
          <t>성내동</t>
        </is>
      </c>
      <c r="AG1718" s="0" t="inlineStr">
        <is>
          <t>서울시 강동구 풍성로51길 8</t>
        </is>
      </c>
      <c r="AH1718" s="0" t="n">
        <v>0</v>
      </c>
      <c r="AI1718" s="0" t="n">
        <v>249</v>
      </c>
      <c r="AJ1718" s="0" t="n">
        <v>48</v>
      </c>
      <c r="AK1718" s="0" t="n">
        <v>16</v>
      </c>
      <c r="AL1718" s="0" t="n">
        <v>0.73</v>
      </c>
    </row>
    <row r="1719">
      <c r="A1719" s="0" t="inlineStr">
        <is>
          <t>[성내동]</t>
        </is>
      </c>
      <c r="B1719" s="0" t="n">
        <v>122698</v>
      </c>
      <c r="C1719" s="0" t="n">
        <v>8</v>
      </c>
      <c r="D1719" s="0" t="inlineStr">
        <is>
          <t>성내웰빙시티</t>
        </is>
      </c>
      <c r="E1719" s="0" t="inlineStr">
        <is>
          <t>2018.09.</t>
        </is>
      </c>
      <c r="F1719" s="0" t="n">
        <v>22</v>
      </c>
      <c r="G1719" s="0" t="n">
        <v>21.17</v>
      </c>
      <c r="H1719" s="0" t="n">
        <v>70</v>
      </c>
      <c r="I1719" s="0" t="n">
        <v>18.03</v>
      </c>
      <c r="J1719" s="0" t="n">
        <v>59.63</v>
      </c>
      <c r="K1719" s="0" t="n">
        <v>6</v>
      </c>
      <c r="T1719" s="0" t="n">
        <v>3</v>
      </c>
      <c r="U1719" s="0" t="n">
        <v>1</v>
      </c>
      <c r="V1719" s="0" t="inlineStr">
        <is>
          <t>계단식</t>
        </is>
      </c>
      <c r="W1719" s="0" t="inlineStr">
        <is>
          <t>70C</t>
        </is>
      </c>
      <c r="X1719" s="0" t="n">
        <v>9</v>
      </c>
      <c r="Y1719" s="0" t="n">
        <v>7</v>
      </c>
      <c r="Z1719" s="0" t="inlineStr">
        <is>
          <t>https://new.land.naver.com/complexes/122698?tab=detail&amp;rf=Y</t>
        </is>
      </c>
      <c r="AA1719" s="0" t="inlineStr">
        <is>
          <t>서울시 강동구 성내동 410-15</t>
        </is>
      </c>
      <c r="AB1719" s="0" t="inlineStr">
        <is>
          <t>서울시</t>
        </is>
      </c>
      <c r="AC1719" s="0" t="inlineStr">
        <is>
          <t>강동구</t>
        </is>
      </c>
      <c r="AD1719" s="0" t="inlineStr">
        <is>
          <t>성내동</t>
        </is>
      </c>
      <c r="AG1719" s="0" t="inlineStr">
        <is>
          <t>서울시 강동구 풍성로51길 8</t>
        </is>
      </c>
      <c r="AH1719" s="0" t="n">
        <v>0</v>
      </c>
      <c r="AI1719" s="0" t="n">
        <v>249</v>
      </c>
      <c r="AJ1719" s="0" t="n">
        <v>48</v>
      </c>
      <c r="AK1719" s="0" t="n">
        <v>16</v>
      </c>
      <c r="AL1719" s="0" t="n">
        <v>0.73</v>
      </c>
    </row>
    <row r="1720">
      <c r="A1720" s="0" t="inlineStr">
        <is>
          <t>[성내동]</t>
        </is>
      </c>
      <c r="B1720" s="0" t="n">
        <v>122698</v>
      </c>
      <c r="C1720" s="0" t="n">
        <v>9</v>
      </c>
      <c r="D1720" s="0" t="inlineStr">
        <is>
          <t>성내웰빙시티</t>
        </is>
      </c>
      <c r="E1720" s="0" t="inlineStr">
        <is>
          <t>2018.09.</t>
        </is>
      </c>
      <c r="F1720" s="0" t="n">
        <v>22</v>
      </c>
      <c r="G1720" s="0" t="n">
        <v>21.22</v>
      </c>
      <c r="H1720" s="0" t="n">
        <v>70.18000000000001</v>
      </c>
      <c r="I1720" s="0" t="n">
        <v>18.08</v>
      </c>
      <c r="J1720" s="0" t="n">
        <v>59.79</v>
      </c>
      <c r="K1720" s="0" t="n">
        <v>5</v>
      </c>
      <c r="T1720" s="0" t="n">
        <v>3</v>
      </c>
      <c r="U1720" s="0" t="n">
        <v>1</v>
      </c>
      <c r="V1720" s="0" t="inlineStr">
        <is>
          <t>계단식</t>
        </is>
      </c>
      <c r="W1720" s="0" t="inlineStr">
        <is>
          <t>70D</t>
        </is>
      </c>
      <c r="X1720" s="0" t="n">
        <v>9</v>
      </c>
      <c r="Y1720" s="0" t="n">
        <v>7</v>
      </c>
      <c r="Z1720" s="0" t="inlineStr">
        <is>
          <t>https://new.land.naver.com/complexes/122698?tab=detail&amp;rf=Y</t>
        </is>
      </c>
      <c r="AA1720" s="0" t="inlineStr">
        <is>
          <t>서울시 강동구 성내동 410-15</t>
        </is>
      </c>
      <c r="AB1720" s="0" t="inlineStr">
        <is>
          <t>서울시</t>
        </is>
      </c>
      <c r="AC1720" s="0" t="inlineStr">
        <is>
          <t>강동구</t>
        </is>
      </c>
      <c r="AD1720" s="0" t="inlineStr">
        <is>
          <t>성내동</t>
        </is>
      </c>
      <c r="AG1720" s="0" t="inlineStr">
        <is>
          <t>서울시 강동구 풍성로51길 8</t>
        </is>
      </c>
      <c r="AH1720" s="0" t="n">
        <v>0</v>
      </c>
      <c r="AI1720" s="0" t="n">
        <v>249</v>
      </c>
      <c r="AJ1720" s="0" t="n">
        <v>48</v>
      </c>
      <c r="AK1720" s="0" t="n">
        <v>16</v>
      </c>
      <c r="AL1720" s="0" t="n">
        <v>0.73</v>
      </c>
    </row>
    <row r="1721">
      <c r="A1721" s="0" t="inlineStr">
        <is>
          <t>[성내동]</t>
        </is>
      </c>
      <c r="B1721" s="0" t="n">
        <v>122698</v>
      </c>
      <c r="C1721" s="0" t="n">
        <v>10</v>
      </c>
      <c r="D1721" s="0" t="inlineStr">
        <is>
          <t>성내웰빙시티</t>
        </is>
      </c>
      <c r="E1721" s="0" t="inlineStr">
        <is>
          <t>2018.09.</t>
        </is>
      </c>
      <c r="F1721" s="0" t="n">
        <v>22</v>
      </c>
      <c r="G1721" s="0" t="n">
        <v>26.2</v>
      </c>
      <c r="H1721" s="0" t="n">
        <v>86.63</v>
      </c>
      <c r="I1721" s="0" t="n">
        <v>22.32</v>
      </c>
      <c r="J1721" s="0" t="n">
        <v>73.8</v>
      </c>
      <c r="K1721" s="0" t="n">
        <v>1</v>
      </c>
      <c r="T1721" s="0" t="n">
        <v>3</v>
      </c>
      <c r="U1721" s="0" t="n">
        <v>2</v>
      </c>
      <c r="V1721" s="0" t="inlineStr">
        <is>
          <t>계단식</t>
        </is>
      </c>
      <c r="W1721" s="0" t="n">
        <v>86</v>
      </c>
      <c r="X1721" s="0" t="n">
        <v>9</v>
      </c>
      <c r="Y1721" s="0" t="n">
        <v>7</v>
      </c>
      <c r="Z1721" s="0" t="inlineStr">
        <is>
          <t>https://new.land.naver.com/complexes/122698?tab=detail&amp;rf=Y</t>
        </is>
      </c>
      <c r="AA1721" s="0" t="inlineStr">
        <is>
          <t>서울시 강동구 성내동 410-15</t>
        </is>
      </c>
      <c r="AB1721" s="0" t="inlineStr">
        <is>
          <t>서울시</t>
        </is>
      </c>
      <c r="AC1721" s="0" t="inlineStr">
        <is>
          <t>강동구</t>
        </is>
      </c>
      <c r="AD1721" s="0" t="inlineStr">
        <is>
          <t>성내동</t>
        </is>
      </c>
      <c r="AG1721" s="0" t="inlineStr">
        <is>
          <t>서울시 강동구 풍성로51길 8</t>
        </is>
      </c>
      <c r="AH1721" s="0" t="n">
        <v>0</v>
      </c>
      <c r="AI1721" s="0" t="n">
        <v>249</v>
      </c>
      <c r="AJ1721" s="0" t="n">
        <v>48</v>
      </c>
      <c r="AK1721" s="0" t="n">
        <v>16</v>
      </c>
      <c r="AL1721" s="0" t="n">
        <v>0.73</v>
      </c>
    </row>
    <row r="1722">
      <c r="A1722" s="0" t="inlineStr">
        <is>
          <t>[성내동]</t>
        </is>
      </c>
      <c r="B1722" s="0" t="n">
        <v>11972</v>
      </c>
      <c r="C1722" s="0" t="n">
        <v>1</v>
      </c>
      <c r="D1722" s="0" t="inlineStr">
        <is>
          <t>백룡도원</t>
        </is>
      </c>
      <c r="E1722" s="0" t="inlineStr">
        <is>
          <t>2001.03.</t>
        </is>
      </c>
      <c r="F1722" s="0" t="n">
        <v>41</v>
      </c>
      <c r="G1722" s="0" t="n">
        <v>25.41</v>
      </c>
      <c r="H1722" s="0" t="n">
        <v>84.03</v>
      </c>
      <c r="I1722" s="0" t="n">
        <v>18.2</v>
      </c>
      <c r="J1722" s="0" t="n">
        <v>60.17</v>
      </c>
      <c r="K1722" s="0" t="n">
        <v>2</v>
      </c>
      <c r="T1722" s="0" t="n">
        <v>3</v>
      </c>
      <c r="U1722" s="0" t="n">
        <v>1</v>
      </c>
      <c r="V1722" s="0" t="inlineStr">
        <is>
          <t>계단식</t>
        </is>
      </c>
      <c r="W1722" s="0" t="inlineStr">
        <is>
          <t>84A</t>
        </is>
      </c>
      <c r="X1722" s="0" t="n">
        <v>8</v>
      </c>
      <c r="Y1722" s="0" t="n">
        <v>5</v>
      </c>
      <c r="Z1722" s="0" t="inlineStr">
        <is>
          <t>https://new.land.naver.com/complexes/11972?tab=detail&amp;rf=Y</t>
        </is>
      </c>
      <c r="AA1722" s="0" t="inlineStr">
        <is>
          <t>서울시 강동구 성내동 444</t>
        </is>
      </c>
      <c r="AB1722" s="0" t="inlineStr">
        <is>
          <t>서울시</t>
        </is>
      </c>
      <c r="AC1722" s="0" t="inlineStr">
        <is>
          <t>강동구</t>
        </is>
      </c>
      <c r="AD1722" s="0" t="inlineStr">
        <is>
          <t>성내동</t>
        </is>
      </c>
      <c r="AG1722" s="0" t="inlineStr">
        <is>
          <t>서울시 강동구 양재대로85길 55</t>
        </is>
      </c>
      <c r="AH1722" s="0" t="n">
        <v>0</v>
      </c>
      <c r="AI1722" s="0" t="n">
        <v>255</v>
      </c>
      <c r="AJ1722" s="0" t="n">
        <v>48</v>
      </c>
      <c r="AK1722" s="0" t="n">
        <v>41</v>
      </c>
      <c r="AL1722" s="0" t="n">
        <v>1</v>
      </c>
    </row>
    <row r="1723">
      <c r="A1723" s="0" t="inlineStr">
        <is>
          <t>[성내동]</t>
        </is>
      </c>
      <c r="B1723" s="0" t="n">
        <v>11972</v>
      </c>
      <c r="C1723" s="0" t="n">
        <v>2</v>
      </c>
      <c r="D1723" s="0" t="inlineStr">
        <is>
          <t>백룡도원</t>
        </is>
      </c>
      <c r="E1723" s="0" t="inlineStr">
        <is>
          <t>2001.03.</t>
        </is>
      </c>
      <c r="F1723" s="0" t="n">
        <v>41</v>
      </c>
      <c r="G1723" s="0" t="n">
        <v>25.91</v>
      </c>
      <c r="H1723" s="0" t="n">
        <v>85.68000000000001</v>
      </c>
      <c r="I1723" s="0" t="n">
        <v>18.53</v>
      </c>
      <c r="J1723" s="0" t="n">
        <v>61.27</v>
      </c>
      <c r="K1723" s="0" t="n">
        <v>27</v>
      </c>
      <c r="T1723" s="0" t="n">
        <v>3</v>
      </c>
      <c r="U1723" s="0" t="n">
        <v>1</v>
      </c>
      <c r="V1723" s="0" t="inlineStr">
        <is>
          <t>계단식</t>
        </is>
      </c>
      <c r="W1723" s="0" t="inlineStr">
        <is>
          <t>85B</t>
        </is>
      </c>
      <c r="X1723" s="0" t="n">
        <v>8</v>
      </c>
      <c r="Y1723" s="0" t="n">
        <v>5</v>
      </c>
      <c r="Z1723" s="0" t="inlineStr">
        <is>
          <t>https://new.land.naver.com/complexes/11972?tab=detail&amp;rf=Y</t>
        </is>
      </c>
      <c r="AA1723" s="0" t="inlineStr">
        <is>
          <t>서울시 강동구 성내동 444</t>
        </is>
      </c>
      <c r="AB1723" s="0" t="inlineStr">
        <is>
          <t>서울시</t>
        </is>
      </c>
      <c r="AC1723" s="0" t="inlineStr">
        <is>
          <t>강동구</t>
        </is>
      </c>
      <c r="AD1723" s="0" t="inlineStr">
        <is>
          <t>성내동</t>
        </is>
      </c>
      <c r="AG1723" s="0" t="inlineStr">
        <is>
          <t>서울시 강동구 양재대로85길 55</t>
        </is>
      </c>
      <c r="AH1723" s="0" t="n">
        <v>0</v>
      </c>
      <c r="AI1723" s="0" t="n">
        <v>255</v>
      </c>
      <c r="AJ1723" s="0" t="n">
        <v>48</v>
      </c>
      <c r="AK1723" s="0" t="n">
        <v>41</v>
      </c>
      <c r="AL1723" s="0" t="n">
        <v>1</v>
      </c>
    </row>
    <row r="1724">
      <c r="A1724" s="0" t="inlineStr">
        <is>
          <t>[성내동]</t>
        </is>
      </c>
      <c r="B1724" s="0" t="n">
        <v>11972</v>
      </c>
      <c r="C1724" s="0" t="n">
        <v>3</v>
      </c>
      <c r="D1724" s="0" t="inlineStr">
        <is>
          <t>백룡도원</t>
        </is>
      </c>
      <c r="E1724" s="0" t="inlineStr">
        <is>
          <t>2001.03.</t>
        </is>
      </c>
      <c r="F1724" s="0" t="n">
        <v>41</v>
      </c>
      <c r="G1724" s="0" t="n">
        <v>33.64</v>
      </c>
      <c r="H1724" s="0" t="n">
        <v>111.21</v>
      </c>
      <c r="I1724" s="0" t="n">
        <v>24.37</v>
      </c>
      <c r="J1724" s="0" t="n">
        <v>80.56999999999999</v>
      </c>
      <c r="K1724" s="0" t="n">
        <v>10</v>
      </c>
      <c r="T1724" s="0" t="n">
        <v>3</v>
      </c>
      <c r="U1724" s="0" t="n">
        <v>2</v>
      </c>
      <c r="V1724" s="0" t="inlineStr">
        <is>
          <t>계단식</t>
        </is>
      </c>
      <c r="W1724" s="0" t="n">
        <v>111</v>
      </c>
      <c r="X1724" s="0" t="n">
        <v>8</v>
      </c>
      <c r="Y1724" s="0" t="n">
        <v>5</v>
      </c>
      <c r="Z1724" s="0" t="inlineStr">
        <is>
          <t>https://new.land.naver.com/complexes/11972?tab=detail&amp;rf=Y</t>
        </is>
      </c>
      <c r="AA1724" s="0" t="inlineStr">
        <is>
          <t>서울시 강동구 성내동 444</t>
        </is>
      </c>
      <c r="AB1724" s="0" t="inlineStr">
        <is>
          <t>서울시</t>
        </is>
      </c>
      <c r="AC1724" s="0" t="inlineStr">
        <is>
          <t>강동구</t>
        </is>
      </c>
      <c r="AD1724" s="0" t="inlineStr">
        <is>
          <t>성내동</t>
        </is>
      </c>
      <c r="AG1724" s="0" t="inlineStr">
        <is>
          <t>서울시 강동구 양재대로85길 55</t>
        </is>
      </c>
      <c r="AH1724" s="0" t="n">
        <v>0</v>
      </c>
      <c r="AI1724" s="0" t="n">
        <v>255</v>
      </c>
      <c r="AJ1724" s="0" t="n">
        <v>48</v>
      </c>
      <c r="AK1724" s="0" t="n">
        <v>41</v>
      </c>
      <c r="AL1724" s="0" t="n">
        <v>1</v>
      </c>
    </row>
    <row r="1725">
      <c r="A1725" s="0" t="inlineStr">
        <is>
          <t>[성내동]</t>
        </is>
      </c>
      <c r="B1725" s="0" t="n">
        <v>11972</v>
      </c>
      <c r="C1725" s="0" t="n">
        <v>4</v>
      </c>
      <c r="D1725" s="0" t="inlineStr">
        <is>
          <t>백룡도원</t>
        </is>
      </c>
      <c r="E1725" s="0" t="inlineStr">
        <is>
          <t>2001.03.</t>
        </is>
      </c>
      <c r="F1725" s="0" t="n">
        <v>41</v>
      </c>
      <c r="G1725" s="0" t="n">
        <v>54.8</v>
      </c>
      <c r="H1725" s="0" t="n">
        <v>181.16</v>
      </c>
      <c r="I1725" s="0" t="n">
        <v>39.44</v>
      </c>
      <c r="J1725" s="0" t="n">
        <v>130.41</v>
      </c>
      <c r="K1725" s="0" t="n">
        <v>2</v>
      </c>
      <c r="T1725" s="0" t="n">
        <v>4</v>
      </c>
      <c r="U1725" s="0" t="n">
        <v>3</v>
      </c>
      <c r="V1725" s="0" t="inlineStr">
        <is>
          <t>계단식</t>
        </is>
      </c>
      <c r="W1725" s="0" t="n">
        <v>181</v>
      </c>
      <c r="X1725" s="0" t="n">
        <v>8</v>
      </c>
      <c r="Y1725" s="0" t="n">
        <v>5</v>
      </c>
      <c r="Z1725" s="0" t="inlineStr">
        <is>
          <t>https://new.land.naver.com/complexes/11972?tab=detail&amp;rf=Y</t>
        </is>
      </c>
      <c r="AA1725" s="0" t="inlineStr">
        <is>
          <t>서울시 강동구 성내동 444</t>
        </is>
      </c>
      <c r="AB1725" s="0" t="inlineStr">
        <is>
          <t>서울시</t>
        </is>
      </c>
      <c r="AC1725" s="0" t="inlineStr">
        <is>
          <t>강동구</t>
        </is>
      </c>
      <c r="AD1725" s="0" t="inlineStr">
        <is>
          <t>성내동</t>
        </is>
      </c>
      <c r="AG1725" s="0" t="inlineStr">
        <is>
          <t>서울시 강동구 양재대로85길 55</t>
        </is>
      </c>
      <c r="AH1725" s="0" t="n">
        <v>0</v>
      </c>
      <c r="AI1725" s="0" t="n">
        <v>255</v>
      </c>
      <c r="AJ1725" s="0" t="n">
        <v>48</v>
      </c>
      <c r="AK1725" s="0" t="n">
        <v>41</v>
      </c>
      <c r="AL1725" s="0" t="n">
        <v>1</v>
      </c>
    </row>
    <row r="1726">
      <c r="A1726" s="0" t="inlineStr">
        <is>
          <t>[성내동]</t>
        </is>
      </c>
      <c r="B1726" s="0" t="n">
        <v>21868</v>
      </c>
      <c r="C1726" s="0" t="n">
        <v>1</v>
      </c>
      <c r="D1726" s="0" t="inlineStr">
        <is>
          <t>광남캐스빌3차</t>
        </is>
      </c>
      <c r="E1726" s="0" t="inlineStr">
        <is>
          <t>2004.11.</t>
        </is>
      </c>
      <c r="F1726" s="0" t="n">
        <v>42</v>
      </c>
      <c r="G1726" s="0" t="n">
        <v>20.25</v>
      </c>
      <c r="H1726" s="0" t="n">
        <v>66.95</v>
      </c>
      <c r="I1726" s="0" t="n">
        <v>16.58</v>
      </c>
      <c r="J1726" s="0" t="n">
        <v>54.81</v>
      </c>
      <c r="K1726" s="0" t="n">
        <v>7</v>
      </c>
      <c r="T1726" s="0" t="n">
        <v>3</v>
      </c>
      <c r="U1726" s="0" t="n">
        <v>1</v>
      </c>
      <c r="V1726" s="0" t="inlineStr">
        <is>
          <t>계단식</t>
        </is>
      </c>
      <c r="W1726" s="0" t="n">
        <v>66</v>
      </c>
      <c r="X1726" s="0" t="n">
        <v>6</v>
      </c>
      <c r="Y1726" s="0" t="n">
        <v>6</v>
      </c>
      <c r="Z1726" s="0" t="inlineStr">
        <is>
          <t>https://new.land.naver.com/complexes/21868?tab=detail&amp;rf=Y</t>
        </is>
      </c>
      <c r="AA1726" s="0" t="inlineStr">
        <is>
          <t>서울시 강동구 성내동 602</t>
        </is>
      </c>
      <c r="AB1726" s="0" t="inlineStr">
        <is>
          <t>서울시</t>
        </is>
      </c>
      <c r="AC1726" s="0" t="inlineStr">
        <is>
          <t>강동구</t>
        </is>
      </c>
      <c r="AD1726" s="0" t="inlineStr">
        <is>
          <t>성내동</t>
        </is>
      </c>
      <c r="AG1726" s="0" t="inlineStr">
        <is>
          <t>서울시 강동구 성내로6가길 98</t>
        </is>
      </c>
      <c r="AH1726" s="0" t="n">
        <v>0</v>
      </c>
      <c r="AI1726" s="0" t="n">
        <v>216</v>
      </c>
      <c r="AJ1726" s="0" t="n">
        <v>47</v>
      </c>
      <c r="AK1726" s="0" t="n">
        <v>43</v>
      </c>
      <c r="AL1726" s="0" t="n">
        <v>1.02</v>
      </c>
    </row>
    <row r="1727">
      <c r="A1727" s="0" t="inlineStr">
        <is>
          <t>[성내동]</t>
        </is>
      </c>
      <c r="B1727" s="0" t="n">
        <v>21868</v>
      </c>
      <c r="C1727" s="0" t="n">
        <v>2</v>
      </c>
      <c r="D1727" s="0" t="inlineStr">
        <is>
          <t>광남캐스빌3차</t>
        </is>
      </c>
      <c r="E1727" s="0" t="inlineStr">
        <is>
          <t>2004.11.</t>
        </is>
      </c>
      <c r="F1727" s="0" t="n">
        <v>42</v>
      </c>
      <c r="G1727" s="0" t="n">
        <v>27</v>
      </c>
      <c r="H1727" s="0" t="n">
        <v>89.28</v>
      </c>
      <c r="I1727" s="0" t="n">
        <v>22.25</v>
      </c>
      <c r="J1727" s="0" t="n">
        <v>73.58</v>
      </c>
      <c r="K1727" s="0" t="n">
        <v>7</v>
      </c>
      <c r="T1727" s="0" t="n">
        <v>3</v>
      </c>
      <c r="U1727" s="0" t="n">
        <v>2</v>
      </c>
      <c r="V1727" s="0" t="inlineStr">
        <is>
          <t>계단식</t>
        </is>
      </c>
      <c r="W1727" s="0" t="n">
        <v>89</v>
      </c>
      <c r="X1727" s="0" t="n">
        <v>6</v>
      </c>
      <c r="Y1727" s="0" t="n">
        <v>6</v>
      </c>
      <c r="Z1727" s="0" t="inlineStr">
        <is>
          <t>https://new.land.naver.com/complexes/21868?tab=detail&amp;rf=Y</t>
        </is>
      </c>
      <c r="AA1727" s="0" t="inlineStr">
        <is>
          <t>서울시 강동구 성내동 602</t>
        </is>
      </c>
      <c r="AB1727" s="0" t="inlineStr">
        <is>
          <t>서울시</t>
        </is>
      </c>
      <c r="AC1727" s="0" t="inlineStr">
        <is>
          <t>강동구</t>
        </is>
      </c>
      <c r="AD1727" s="0" t="inlineStr">
        <is>
          <t>성내동</t>
        </is>
      </c>
      <c r="AG1727" s="0" t="inlineStr">
        <is>
          <t>서울시 강동구 성내로6가길 98</t>
        </is>
      </c>
      <c r="AH1727" s="0" t="n">
        <v>0</v>
      </c>
      <c r="AI1727" s="0" t="n">
        <v>216</v>
      </c>
      <c r="AJ1727" s="0" t="n">
        <v>47</v>
      </c>
      <c r="AK1727" s="0" t="n">
        <v>43</v>
      </c>
      <c r="AL1727" s="0" t="n">
        <v>1.02</v>
      </c>
    </row>
    <row r="1728">
      <c r="A1728" s="0" t="inlineStr">
        <is>
          <t>[성내동]</t>
        </is>
      </c>
      <c r="B1728" s="0" t="n">
        <v>21868</v>
      </c>
      <c r="C1728" s="0" t="n">
        <v>3</v>
      </c>
      <c r="D1728" s="0" t="inlineStr">
        <is>
          <t>광남캐스빌3차</t>
        </is>
      </c>
      <c r="E1728" s="0" t="inlineStr">
        <is>
          <t>2004.11.</t>
        </is>
      </c>
      <c r="F1728" s="0" t="n">
        <v>42</v>
      </c>
      <c r="G1728" s="0" t="n">
        <v>30.56</v>
      </c>
      <c r="H1728" s="0" t="n">
        <v>101.03</v>
      </c>
      <c r="I1728" s="0" t="n">
        <v>25.16</v>
      </c>
      <c r="J1728" s="0" t="n">
        <v>83.19</v>
      </c>
      <c r="K1728" s="0" t="n">
        <v>28</v>
      </c>
      <c r="T1728" s="0" t="n">
        <v>3</v>
      </c>
      <c r="U1728" s="0" t="n">
        <v>2</v>
      </c>
      <c r="V1728" s="0" t="inlineStr">
        <is>
          <t>계단식</t>
        </is>
      </c>
      <c r="W1728" s="0" t="n">
        <v>101</v>
      </c>
      <c r="X1728" s="0" t="n">
        <v>6</v>
      </c>
      <c r="Y1728" s="0" t="n">
        <v>6</v>
      </c>
      <c r="Z1728" s="0" t="inlineStr">
        <is>
          <t>https://new.land.naver.com/complexes/21868?tab=detail&amp;rf=Y</t>
        </is>
      </c>
      <c r="AA1728" s="0" t="inlineStr">
        <is>
          <t>서울시 강동구 성내동 602</t>
        </is>
      </c>
      <c r="AB1728" s="0" t="inlineStr">
        <is>
          <t>서울시</t>
        </is>
      </c>
      <c r="AC1728" s="0" t="inlineStr">
        <is>
          <t>강동구</t>
        </is>
      </c>
      <c r="AD1728" s="0" t="inlineStr">
        <is>
          <t>성내동</t>
        </is>
      </c>
      <c r="AG1728" s="0" t="inlineStr">
        <is>
          <t>서울시 강동구 성내로6가길 98</t>
        </is>
      </c>
      <c r="AH1728" s="0" t="n">
        <v>0</v>
      </c>
      <c r="AI1728" s="0" t="n">
        <v>216</v>
      </c>
      <c r="AJ1728" s="0" t="n">
        <v>47</v>
      </c>
      <c r="AK1728" s="0" t="n">
        <v>43</v>
      </c>
      <c r="AL1728" s="0" t="n">
        <v>1.02</v>
      </c>
    </row>
    <row r="1729">
      <c r="A1729" s="0" t="inlineStr">
        <is>
          <t>[성내동]</t>
        </is>
      </c>
      <c r="B1729" s="0" t="n">
        <v>101257</v>
      </c>
      <c r="C1729" s="0" t="n">
        <v>1</v>
      </c>
      <c r="D1729" s="0" t="inlineStr">
        <is>
          <t>호암아펙스</t>
        </is>
      </c>
      <c r="E1729" s="0" t="inlineStr">
        <is>
          <t>2006.11.</t>
        </is>
      </c>
      <c r="F1729" s="0" t="n">
        <v>25</v>
      </c>
      <c r="G1729" s="0" t="n">
        <v>32.12</v>
      </c>
      <c r="H1729" s="0" t="n">
        <v>106.21</v>
      </c>
      <c r="I1729" s="0" t="n">
        <v>25.65</v>
      </c>
      <c r="J1729" s="0" t="n">
        <v>84.81999999999999</v>
      </c>
      <c r="K1729" s="0" t="n">
        <v>20</v>
      </c>
      <c r="T1729" s="0" t="n">
        <v>3</v>
      </c>
      <c r="U1729" s="0" t="n">
        <v>2</v>
      </c>
      <c r="V1729" s="0" t="inlineStr">
        <is>
          <t>계단식</t>
        </is>
      </c>
      <c r="W1729" s="0" t="n">
        <v>106</v>
      </c>
      <c r="X1729" s="0" t="n">
        <v>6</v>
      </c>
      <c r="Y1729" s="0" t="n">
        <v>6</v>
      </c>
      <c r="Z1729" s="0" t="inlineStr">
        <is>
          <t>https://new.land.naver.com/complexes/101257?tab=detail&amp;rf=Y</t>
        </is>
      </c>
      <c r="AA1729" s="0" t="inlineStr">
        <is>
          <t>서울시 강동구 성내동 455-3</t>
        </is>
      </c>
      <c r="AB1729" s="0" t="inlineStr">
        <is>
          <t>서울시</t>
        </is>
      </c>
      <c r="AC1729" s="0" t="inlineStr">
        <is>
          <t>강동구</t>
        </is>
      </c>
      <c r="AD1729" s="0" t="inlineStr">
        <is>
          <t>성내동</t>
        </is>
      </c>
      <c r="AG1729" s="0" t="inlineStr">
        <is>
          <t>서울시 강동구 성내로6길 34-8</t>
        </is>
      </c>
      <c r="AH1729" s="0" t="n">
        <v>0</v>
      </c>
      <c r="AI1729" s="0" t="n">
        <v>239</v>
      </c>
      <c r="AJ1729" s="0" t="n">
        <v>49</v>
      </c>
      <c r="AK1729" s="0" t="n">
        <v>29</v>
      </c>
      <c r="AL1729" s="0" t="n">
        <v>1.16</v>
      </c>
    </row>
    <row r="1730">
      <c r="A1730" s="0" t="inlineStr">
        <is>
          <t>[성내동]</t>
        </is>
      </c>
      <c r="B1730" s="0" t="n">
        <v>101257</v>
      </c>
      <c r="C1730" s="0" t="n">
        <v>2</v>
      </c>
      <c r="D1730" s="0" t="inlineStr">
        <is>
          <t>호암아펙스</t>
        </is>
      </c>
      <c r="E1730" s="0" t="inlineStr">
        <is>
          <t>2006.11.</t>
        </is>
      </c>
      <c r="F1730" s="0" t="n">
        <v>25</v>
      </c>
      <c r="G1730" s="0" t="n">
        <v>33.12</v>
      </c>
      <c r="H1730" s="0" t="n">
        <v>109.5</v>
      </c>
      <c r="I1730" s="0" t="n">
        <v>25.67</v>
      </c>
      <c r="J1730" s="0" t="n">
        <v>84.86</v>
      </c>
      <c r="K1730" s="0" t="n">
        <v>5</v>
      </c>
      <c r="T1730" s="0" t="n">
        <v>3</v>
      </c>
      <c r="U1730" s="0" t="n">
        <v>2</v>
      </c>
      <c r="V1730" s="0" t="inlineStr">
        <is>
          <t>계단식</t>
        </is>
      </c>
      <c r="W1730" s="0" t="n">
        <v>109</v>
      </c>
      <c r="X1730" s="0" t="n">
        <v>6</v>
      </c>
      <c r="Y1730" s="0" t="n">
        <v>6</v>
      </c>
      <c r="Z1730" s="0" t="inlineStr">
        <is>
          <t>https://new.land.naver.com/complexes/101257?tab=detail&amp;rf=Y</t>
        </is>
      </c>
      <c r="AA1730" s="0" t="inlineStr">
        <is>
          <t>서울시 강동구 성내동 455-3</t>
        </is>
      </c>
      <c r="AB1730" s="0" t="inlineStr">
        <is>
          <t>서울시</t>
        </is>
      </c>
      <c r="AC1730" s="0" t="inlineStr">
        <is>
          <t>강동구</t>
        </is>
      </c>
      <c r="AD1730" s="0" t="inlineStr">
        <is>
          <t>성내동</t>
        </is>
      </c>
      <c r="AG1730" s="0" t="inlineStr">
        <is>
          <t>서울시 강동구 성내로6길 34-8</t>
        </is>
      </c>
      <c r="AH1730" s="0" t="n">
        <v>0</v>
      </c>
      <c r="AI1730" s="0" t="n">
        <v>239</v>
      </c>
      <c r="AJ1730" s="0" t="n">
        <v>49</v>
      </c>
      <c r="AK1730" s="0" t="n">
        <v>29</v>
      </c>
      <c r="AL1730" s="0" t="n">
        <v>1.16</v>
      </c>
    </row>
    <row r="1731">
      <c r="A1731" s="0" t="inlineStr">
        <is>
          <t>[성내동]</t>
        </is>
      </c>
      <c r="B1731" s="0" t="n">
        <v>16615</v>
      </c>
      <c r="C1731" s="0" t="n">
        <v>1</v>
      </c>
      <c r="D1731" s="0" t="inlineStr">
        <is>
          <t>동일</t>
        </is>
      </c>
      <c r="E1731" s="0" t="inlineStr">
        <is>
          <t>1999.11.</t>
        </is>
      </c>
      <c r="F1731" s="0" t="n">
        <v>19</v>
      </c>
      <c r="G1731" s="0" t="n">
        <v>37.05</v>
      </c>
      <c r="H1731" s="0" t="n">
        <v>122.48</v>
      </c>
      <c r="I1731" s="0" t="n">
        <v>31.7</v>
      </c>
      <c r="J1731" s="0" t="n">
        <v>104.82</v>
      </c>
      <c r="K1731" s="0" t="n">
        <v>16</v>
      </c>
      <c r="T1731" s="0" t="n">
        <v>3</v>
      </c>
      <c r="U1731" s="0" t="n">
        <v>2</v>
      </c>
      <c r="V1731" s="0" t="inlineStr">
        <is>
          <t>복도식</t>
        </is>
      </c>
      <c r="W1731" s="0" t="n">
        <v>122</v>
      </c>
      <c r="X1731" s="0" t="n">
        <v>6</v>
      </c>
      <c r="Y1731" s="0" t="n">
        <v>5</v>
      </c>
      <c r="Z1731" s="0" t="inlineStr">
        <is>
          <t>https://new.land.naver.com/complexes/16615?tab=detail&amp;rf=Y</t>
        </is>
      </c>
      <c r="AA1731" s="0" t="inlineStr">
        <is>
          <t>서울시 강동구 성내동 416-11</t>
        </is>
      </c>
      <c r="AB1731" s="0" t="inlineStr">
        <is>
          <t>서울시</t>
        </is>
      </c>
      <c r="AC1731" s="0" t="inlineStr">
        <is>
          <t>강동구</t>
        </is>
      </c>
      <c r="AD1731" s="0" t="inlineStr">
        <is>
          <t>성내동</t>
        </is>
      </c>
      <c r="AG1731" s="0" t="inlineStr">
        <is>
          <t>서울시 강동구 풍성로56길 15</t>
        </is>
      </c>
      <c r="AH1731" s="0" t="n">
        <v>0</v>
      </c>
      <c r="AI1731" s="0" t="n">
        <v>318</v>
      </c>
      <c r="AJ1731" s="0" t="n">
        <v>56</v>
      </c>
      <c r="AK1731" s="0" t="n">
        <v>36</v>
      </c>
      <c r="AL1731" s="0" t="n">
        <v>1.89</v>
      </c>
    </row>
    <row r="1732">
      <c r="A1732" s="0" t="inlineStr">
        <is>
          <t>[성내동]</t>
        </is>
      </c>
      <c r="B1732" s="0" t="n">
        <v>16615</v>
      </c>
      <c r="C1732" s="0" t="n">
        <v>2</v>
      </c>
      <c r="D1732" s="0" t="inlineStr">
        <is>
          <t>동일</t>
        </is>
      </c>
      <c r="E1732" s="0" t="inlineStr">
        <is>
          <t>1999.11.</t>
        </is>
      </c>
      <c r="F1732" s="0" t="n">
        <v>19</v>
      </c>
      <c r="G1732" s="0" t="n">
        <v>61</v>
      </c>
      <c r="H1732" s="0" t="n">
        <v>201.68</v>
      </c>
      <c r="I1732" s="0" t="n">
        <v>52.2</v>
      </c>
      <c r="J1732" s="0" t="n">
        <v>172.59</v>
      </c>
      <c r="K1732" s="0" t="n">
        <v>2</v>
      </c>
      <c r="T1732" s="0" t="n">
        <v>5</v>
      </c>
      <c r="U1732" s="0" t="n">
        <v>2</v>
      </c>
      <c r="V1732" s="0" t="inlineStr">
        <is>
          <t>복도식</t>
        </is>
      </c>
      <c r="W1732" s="0" t="n">
        <v>201</v>
      </c>
      <c r="X1732" s="0" t="n">
        <v>6</v>
      </c>
      <c r="Y1732" s="0" t="n">
        <v>5</v>
      </c>
      <c r="Z1732" s="0" t="inlineStr">
        <is>
          <t>https://new.land.naver.com/complexes/16615?tab=detail&amp;rf=Y</t>
        </is>
      </c>
      <c r="AA1732" s="0" t="inlineStr">
        <is>
          <t>서울시 강동구 성내동 416-11</t>
        </is>
      </c>
      <c r="AB1732" s="0" t="inlineStr">
        <is>
          <t>서울시</t>
        </is>
      </c>
      <c r="AC1732" s="0" t="inlineStr">
        <is>
          <t>강동구</t>
        </is>
      </c>
      <c r="AD1732" s="0" t="inlineStr">
        <is>
          <t>성내동</t>
        </is>
      </c>
      <c r="AG1732" s="0" t="inlineStr">
        <is>
          <t>서울시 강동구 풍성로56길 15</t>
        </is>
      </c>
      <c r="AH1732" s="0" t="n">
        <v>0</v>
      </c>
      <c r="AI1732" s="0" t="n">
        <v>318</v>
      </c>
      <c r="AJ1732" s="0" t="n">
        <v>56</v>
      </c>
      <c r="AK1732" s="0" t="n">
        <v>36</v>
      </c>
      <c r="AL1732" s="0" t="n">
        <v>1.89</v>
      </c>
    </row>
    <row r="1733">
      <c r="A1733" s="0" t="inlineStr">
        <is>
          <t>[성내동]</t>
        </is>
      </c>
      <c r="B1733" s="0" t="n">
        <v>16615</v>
      </c>
      <c r="C1733" s="0" t="n">
        <v>3</v>
      </c>
      <c r="D1733" s="0" t="inlineStr">
        <is>
          <t>동일</t>
        </is>
      </c>
      <c r="E1733" s="0" t="inlineStr">
        <is>
          <t>1999.11.</t>
        </is>
      </c>
      <c r="F1733" s="0" t="n">
        <v>19</v>
      </c>
      <c r="G1733" s="0" t="n">
        <v>65.67</v>
      </c>
      <c r="H1733" s="0" t="n">
        <v>217.1</v>
      </c>
      <c r="I1733" s="0" t="n">
        <v>56.2</v>
      </c>
      <c r="J1733" s="0" t="n">
        <v>185.8</v>
      </c>
      <c r="K1733" s="0" t="n">
        <v>1</v>
      </c>
      <c r="T1733" s="0" t="n">
        <v>5</v>
      </c>
      <c r="U1733" s="0" t="n">
        <v>2</v>
      </c>
      <c r="V1733" s="0" t="inlineStr">
        <is>
          <t>복도식</t>
        </is>
      </c>
      <c r="W1733" s="0" t="n">
        <v>217</v>
      </c>
      <c r="X1733" s="0" t="n">
        <v>6</v>
      </c>
      <c r="Y1733" s="0" t="n">
        <v>5</v>
      </c>
      <c r="Z1733" s="0" t="inlineStr">
        <is>
          <t>https://new.land.naver.com/complexes/16615?tab=detail&amp;rf=Y</t>
        </is>
      </c>
      <c r="AA1733" s="0" t="inlineStr">
        <is>
          <t>서울시 강동구 성내동 416-11</t>
        </is>
      </c>
      <c r="AB1733" s="0" t="inlineStr">
        <is>
          <t>서울시</t>
        </is>
      </c>
      <c r="AC1733" s="0" t="inlineStr">
        <is>
          <t>강동구</t>
        </is>
      </c>
      <c r="AD1733" s="0" t="inlineStr">
        <is>
          <t>성내동</t>
        </is>
      </c>
      <c r="AG1733" s="0" t="inlineStr">
        <is>
          <t>서울시 강동구 풍성로56길 15</t>
        </is>
      </c>
      <c r="AH1733" s="0" t="n">
        <v>0</v>
      </c>
      <c r="AI1733" s="0" t="n">
        <v>318</v>
      </c>
      <c r="AJ1733" s="0" t="n">
        <v>56</v>
      </c>
      <c r="AK1733" s="0" t="n">
        <v>36</v>
      </c>
      <c r="AL1733" s="0" t="n">
        <v>1.89</v>
      </c>
    </row>
    <row r="1734">
      <c r="A1734" s="0" t="inlineStr">
        <is>
          <t>[성내동]</t>
        </is>
      </c>
      <c r="B1734" s="0" t="n">
        <v>112033</v>
      </c>
      <c r="C1734" s="0" t="n">
        <v>1</v>
      </c>
      <c r="D1734" s="0" t="inlineStr">
        <is>
          <t>타운빌라트</t>
        </is>
      </c>
      <c r="E1734" s="0" t="inlineStr">
        <is>
          <t>2000.08.</t>
        </is>
      </c>
      <c r="F1734" s="0" t="n">
        <v>14</v>
      </c>
      <c r="G1734" s="0" t="n">
        <v>29.82</v>
      </c>
      <c r="H1734" s="0" t="n">
        <v>98.58</v>
      </c>
      <c r="I1734" s="0" t="n">
        <v>25.31</v>
      </c>
      <c r="J1734" s="0" t="n">
        <v>83.7</v>
      </c>
      <c r="K1734" s="0" t="n">
        <v>2</v>
      </c>
      <c r="T1734" s="0" t="n">
        <v>3</v>
      </c>
      <c r="U1734" s="0" t="n">
        <v>2</v>
      </c>
      <c r="V1734" s="0" t="inlineStr">
        <is>
          <t>계단식</t>
        </is>
      </c>
      <c r="W1734" s="0" t="inlineStr">
        <is>
          <t>98A</t>
        </is>
      </c>
      <c r="X1734" s="0" t="n">
        <v>7</v>
      </c>
      <c r="Y1734" s="0" t="n">
        <v>7</v>
      </c>
      <c r="Z1734" s="0" t="inlineStr">
        <is>
          <t>https://new.land.naver.com/complexes/112033?tab=detail&amp;rf=Y</t>
        </is>
      </c>
      <c r="AA1734" s="0" t="inlineStr">
        <is>
          <t>서울시 강동구 성내동 447-5</t>
        </is>
      </c>
      <c r="AB1734" s="0" t="inlineStr">
        <is>
          <t>서울시</t>
        </is>
      </c>
      <c r="AC1734" s="0" t="inlineStr">
        <is>
          <t>강동구</t>
        </is>
      </c>
      <c r="AD1734" s="0" t="inlineStr">
        <is>
          <t>성내동</t>
        </is>
      </c>
      <c r="AG1734" s="0" t="inlineStr">
        <is>
          <t>서울시 강동구 성내로18길 41</t>
        </is>
      </c>
      <c r="AH1734" s="0" t="n">
        <v>0</v>
      </c>
      <c r="AI1734" s="0" t="n">
        <v>251</v>
      </c>
      <c r="AJ1734" s="0" t="n">
        <v>44</v>
      </c>
      <c r="AK1734" s="0" t="n">
        <v>16</v>
      </c>
      <c r="AL1734" s="0" t="n">
        <v>1.14</v>
      </c>
    </row>
    <row r="1735">
      <c r="A1735" s="0" t="inlineStr">
        <is>
          <t>[성내동]</t>
        </is>
      </c>
      <c r="B1735" s="0" t="n">
        <v>112033</v>
      </c>
      <c r="C1735" s="0" t="n">
        <v>2</v>
      </c>
      <c r="D1735" s="0" t="inlineStr">
        <is>
          <t>타운빌라트</t>
        </is>
      </c>
      <c r="E1735" s="0" t="inlineStr">
        <is>
          <t>2000.08.</t>
        </is>
      </c>
      <c r="F1735" s="0" t="n">
        <v>14</v>
      </c>
      <c r="G1735" s="0" t="n">
        <v>30.14</v>
      </c>
      <c r="H1735" s="0" t="n">
        <v>99.64</v>
      </c>
      <c r="I1735" s="0" t="n">
        <v>25.59</v>
      </c>
      <c r="J1735" s="0" t="n">
        <v>84.59999999999999</v>
      </c>
      <c r="K1735" s="0" t="n">
        <v>12</v>
      </c>
      <c r="T1735" s="0" t="n">
        <v>3</v>
      </c>
      <c r="U1735" s="0" t="n">
        <v>2</v>
      </c>
      <c r="V1735" s="0" t="inlineStr">
        <is>
          <t>계단식</t>
        </is>
      </c>
      <c r="W1735" s="0" t="inlineStr">
        <is>
          <t>99B</t>
        </is>
      </c>
      <c r="X1735" s="0" t="n">
        <v>7</v>
      </c>
      <c r="Y1735" s="0" t="n">
        <v>7</v>
      </c>
      <c r="Z1735" s="0" t="inlineStr">
        <is>
          <t>https://new.land.naver.com/complexes/112033?tab=detail&amp;rf=Y</t>
        </is>
      </c>
      <c r="AA1735" s="0" t="inlineStr">
        <is>
          <t>서울시 강동구 성내동 447-5</t>
        </is>
      </c>
      <c r="AB1735" s="0" t="inlineStr">
        <is>
          <t>서울시</t>
        </is>
      </c>
      <c r="AC1735" s="0" t="inlineStr">
        <is>
          <t>강동구</t>
        </is>
      </c>
      <c r="AD1735" s="0" t="inlineStr">
        <is>
          <t>성내동</t>
        </is>
      </c>
      <c r="AG1735" s="0" t="inlineStr">
        <is>
          <t>서울시 강동구 성내로18길 41</t>
        </is>
      </c>
      <c r="AH1735" s="0" t="n">
        <v>0</v>
      </c>
      <c r="AI1735" s="0" t="n">
        <v>251</v>
      </c>
      <c r="AJ1735" s="0" t="n">
        <v>44</v>
      </c>
      <c r="AK1735" s="0" t="n">
        <v>16</v>
      </c>
      <c r="AL1735" s="0" t="n">
        <v>1.14</v>
      </c>
    </row>
    <row r="1736">
      <c r="A1736" s="0" t="inlineStr">
        <is>
          <t>[성내동]</t>
        </is>
      </c>
      <c r="B1736" s="0" t="n">
        <v>103691</v>
      </c>
      <c r="C1736" s="0" t="n">
        <v>1</v>
      </c>
      <c r="D1736" s="0" t="inlineStr">
        <is>
          <t>태천</t>
        </is>
      </c>
      <c r="E1736" s="0" t="inlineStr">
        <is>
          <t>2001.07.</t>
        </is>
      </c>
      <c r="F1736" s="0" t="n">
        <v>24</v>
      </c>
      <c r="G1736" s="0" t="n">
        <v>25.14</v>
      </c>
      <c r="H1736" s="0" t="n">
        <v>83.12</v>
      </c>
      <c r="I1736" s="0" t="n">
        <v>20.36</v>
      </c>
      <c r="J1736" s="0" t="n">
        <v>67.31999999999999</v>
      </c>
      <c r="K1736" s="0" t="n">
        <v>2</v>
      </c>
      <c r="T1736" s="0" t="n">
        <v>3</v>
      </c>
      <c r="U1736" s="0" t="n">
        <v>2</v>
      </c>
      <c r="V1736" s="0" t="inlineStr">
        <is>
          <t>계단식</t>
        </is>
      </c>
      <c r="W1736" s="0" t="n">
        <v>83</v>
      </c>
      <c r="X1736" s="0" t="n">
        <v>9</v>
      </c>
      <c r="Y1736" s="0" t="n">
        <v>9</v>
      </c>
      <c r="Z1736" s="0" t="inlineStr">
        <is>
          <t>https://new.land.naver.com/complexes/103691?tab=detail&amp;rf=Y</t>
        </is>
      </c>
      <c r="AA1736" s="0" t="inlineStr">
        <is>
          <t>서울시 강동구 성내동 420-9</t>
        </is>
      </c>
      <c r="AB1736" s="0" t="inlineStr">
        <is>
          <t>서울시</t>
        </is>
      </c>
      <c r="AC1736" s="0" t="inlineStr">
        <is>
          <t>강동구</t>
        </is>
      </c>
      <c r="AD1736" s="0" t="inlineStr">
        <is>
          <t>성내동</t>
        </is>
      </c>
      <c r="AG1736" s="0" t="inlineStr">
        <is>
          <t>서울시 강동구 풍성로52길 14</t>
        </is>
      </c>
      <c r="AH1736" s="0" t="n">
        <v>0</v>
      </c>
      <c r="AI1736" s="0" t="n">
        <v>260</v>
      </c>
      <c r="AJ1736" s="0" t="n">
        <v>36</v>
      </c>
      <c r="AK1736" s="0" t="n">
        <v>27</v>
      </c>
      <c r="AL1736" s="0" t="n">
        <v>1.12</v>
      </c>
    </row>
    <row r="1737">
      <c r="A1737" s="0" t="inlineStr">
        <is>
          <t>[성내동]</t>
        </is>
      </c>
      <c r="B1737" s="0" t="n">
        <v>103691</v>
      </c>
      <c r="C1737" s="0" t="n">
        <v>2</v>
      </c>
      <c r="D1737" s="0" t="inlineStr">
        <is>
          <t>태천</t>
        </is>
      </c>
      <c r="E1737" s="0" t="inlineStr">
        <is>
          <t>2001.07.</t>
        </is>
      </c>
      <c r="F1737" s="0" t="n">
        <v>24</v>
      </c>
      <c r="G1737" s="0" t="n">
        <v>31.66</v>
      </c>
      <c r="H1737" s="0" t="n">
        <v>104.67</v>
      </c>
      <c r="I1737" s="0" t="n">
        <v>25.68</v>
      </c>
      <c r="J1737" s="0" t="n">
        <v>84.90000000000001</v>
      </c>
      <c r="K1737" s="0" t="n">
        <v>16</v>
      </c>
      <c r="T1737" s="0" t="n">
        <v>3</v>
      </c>
      <c r="U1737" s="0" t="n">
        <v>2</v>
      </c>
      <c r="V1737" s="0" t="inlineStr">
        <is>
          <t>계단식</t>
        </is>
      </c>
      <c r="W1737" s="0" t="n">
        <v>104</v>
      </c>
      <c r="X1737" s="0" t="n">
        <v>9</v>
      </c>
      <c r="Y1737" s="0" t="n">
        <v>9</v>
      </c>
      <c r="Z1737" s="0" t="inlineStr">
        <is>
          <t>https://new.land.naver.com/complexes/103691?tab=detail&amp;rf=Y</t>
        </is>
      </c>
      <c r="AA1737" s="0" t="inlineStr">
        <is>
          <t>서울시 강동구 성내동 420-9</t>
        </is>
      </c>
      <c r="AB1737" s="0" t="inlineStr">
        <is>
          <t>서울시</t>
        </is>
      </c>
      <c r="AC1737" s="0" t="inlineStr">
        <is>
          <t>강동구</t>
        </is>
      </c>
      <c r="AD1737" s="0" t="inlineStr">
        <is>
          <t>성내동</t>
        </is>
      </c>
      <c r="AG1737" s="0" t="inlineStr">
        <is>
          <t>서울시 강동구 풍성로52길 14</t>
        </is>
      </c>
      <c r="AH1737" s="0" t="n">
        <v>0</v>
      </c>
      <c r="AI1737" s="0" t="n">
        <v>260</v>
      </c>
      <c r="AJ1737" s="0" t="n">
        <v>36</v>
      </c>
      <c r="AK1737" s="0" t="n">
        <v>27</v>
      </c>
      <c r="AL1737" s="0" t="n">
        <v>1.12</v>
      </c>
    </row>
    <row r="1738">
      <c r="A1738" s="0" t="inlineStr">
        <is>
          <t>[성내동]</t>
        </is>
      </c>
      <c r="B1738" s="0" t="n">
        <v>103691</v>
      </c>
      <c r="C1738" s="0" t="n">
        <v>3</v>
      </c>
      <c r="D1738" s="0" t="inlineStr">
        <is>
          <t>태천</t>
        </is>
      </c>
      <c r="E1738" s="0" t="inlineStr">
        <is>
          <t>2001.07.</t>
        </is>
      </c>
      <c r="F1738" s="0" t="n">
        <v>24</v>
      </c>
      <c r="G1738" s="0" t="n">
        <v>38.54</v>
      </c>
      <c r="H1738" s="0" t="n">
        <v>127.42</v>
      </c>
      <c r="I1738" s="0" t="n">
        <v>25.38</v>
      </c>
      <c r="J1738" s="0" t="n">
        <v>83.91</v>
      </c>
      <c r="K1738" s="0" t="n">
        <v>6</v>
      </c>
      <c r="T1738" s="0" t="n">
        <v>3</v>
      </c>
      <c r="U1738" s="0" t="n">
        <v>2</v>
      </c>
      <c r="V1738" s="0" t="inlineStr">
        <is>
          <t>계단식</t>
        </is>
      </c>
      <c r="W1738" s="0" t="n">
        <v>127</v>
      </c>
      <c r="X1738" s="0" t="n">
        <v>9</v>
      </c>
      <c r="Y1738" s="0" t="n">
        <v>9</v>
      </c>
      <c r="Z1738" s="0" t="inlineStr">
        <is>
          <t>https://new.land.naver.com/complexes/103691?tab=detail&amp;rf=Y</t>
        </is>
      </c>
      <c r="AA1738" s="0" t="inlineStr">
        <is>
          <t>서울시 강동구 성내동 420-9</t>
        </is>
      </c>
      <c r="AB1738" s="0" t="inlineStr">
        <is>
          <t>서울시</t>
        </is>
      </c>
      <c r="AC1738" s="0" t="inlineStr">
        <is>
          <t>강동구</t>
        </is>
      </c>
      <c r="AD1738" s="0" t="inlineStr">
        <is>
          <t>성내동</t>
        </is>
      </c>
      <c r="AG1738" s="0" t="inlineStr">
        <is>
          <t>서울시 강동구 풍성로52길 14</t>
        </is>
      </c>
      <c r="AH1738" s="0" t="n">
        <v>0</v>
      </c>
      <c r="AI1738" s="0" t="n">
        <v>260</v>
      </c>
      <c r="AJ1738" s="0" t="n">
        <v>36</v>
      </c>
      <c r="AK1738" s="0" t="n">
        <v>27</v>
      </c>
      <c r="AL1738" s="0" t="n">
        <v>1.12</v>
      </c>
    </row>
    <row r="1739">
      <c r="A1739" s="0" t="inlineStr">
        <is>
          <t>[성내동]</t>
        </is>
      </c>
      <c r="B1739" s="0" t="n">
        <v>13497</v>
      </c>
      <c r="C1739" s="0" t="n">
        <v>1</v>
      </c>
      <c r="D1739" s="0" t="inlineStr">
        <is>
          <t>현대토파즈</t>
        </is>
      </c>
      <c r="E1739" s="0" t="inlineStr">
        <is>
          <t>1999.04.</t>
        </is>
      </c>
      <c r="F1739" s="0" t="n">
        <v>14</v>
      </c>
      <c r="G1739" s="0" t="n">
        <v>66.27</v>
      </c>
      <c r="H1739" s="0" t="n">
        <v>219.08</v>
      </c>
      <c r="I1739" s="0" t="n">
        <v>52.5</v>
      </c>
      <c r="J1739" s="0" t="n">
        <v>173.58</v>
      </c>
      <c r="K1739" s="0" t="n">
        <v>1</v>
      </c>
      <c r="T1739" s="0" t="n">
        <v>5</v>
      </c>
      <c r="U1739" s="0" t="n">
        <v>2</v>
      </c>
      <c r="V1739" s="0" t="inlineStr">
        <is>
          <t>계단식</t>
        </is>
      </c>
      <c r="W1739" s="0" t="n">
        <v>219</v>
      </c>
      <c r="X1739" s="0" t="n">
        <v>15</v>
      </c>
      <c r="Y1739" s="0" t="n">
        <v>15</v>
      </c>
      <c r="Z1739" s="0" t="inlineStr">
        <is>
          <t>https://new.land.naver.com/complexes/13497?tab=detail&amp;rf=Y</t>
        </is>
      </c>
      <c r="AA1739" s="0" t="inlineStr">
        <is>
          <t>서울시 강동구 성내동 468</t>
        </is>
      </c>
      <c r="AB1739" s="0" t="inlineStr">
        <is>
          <t>서울시</t>
        </is>
      </c>
      <c r="AC1739" s="0" t="inlineStr">
        <is>
          <t>강동구</t>
        </is>
      </c>
      <c r="AD1739" s="0" t="inlineStr">
        <is>
          <t>성내동</t>
        </is>
      </c>
      <c r="AG1739" s="0" t="inlineStr">
        <is>
          <t>서울시 강동구 강동대로 171</t>
        </is>
      </c>
      <c r="AH1739" s="0" t="n">
        <v>0</v>
      </c>
      <c r="AI1739" s="0" t="n">
        <v>351</v>
      </c>
      <c r="AJ1739" s="0" t="n">
        <v>38</v>
      </c>
      <c r="AK1739" s="0" t="n">
        <v>32</v>
      </c>
      <c r="AL1739" s="0" t="n">
        <v>2.29</v>
      </c>
    </row>
    <row r="1740">
      <c r="A1740" s="0" t="inlineStr">
        <is>
          <t>[성내동]</t>
        </is>
      </c>
      <c r="B1740" s="0" t="n">
        <v>13497</v>
      </c>
      <c r="C1740" s="0" t="n">
        <v>2</v>
      </c>
      <c r="D1740" s="0" t="inlineStr">
        <is>
          <t>현대토파즈</t>
        </is>
      </c>
      <c r="E1740" s="0" t="inlineStr">
        <is>
          <t>1999.04.</t>
        </is>
      </c>
      <c r="F1740" s="0" t="n">
        <v>14</v>
      </c>
      <c r="G1740" s="0" t="n">
        <v>71.55</v>
      </c>
      <c r="H1740" s="0" t="n">
        <v>236.53</v>
      </c>
      <c r="I1740" s="0" t="n">
        <v>56.69</v>
      </c>
      <c r="J1740" s="0" t="n">
        <v>187.41</v>
      </c>
      <c r="K1740" s="0" t="n">
        <v>1</v>
      </c>
      <c r="T1740" s="0" t="n">
        <v>5</v>
      </c>
      <c r="U1740" s="0" t="n">
        <v>2</v>
      </c>
      <c r="V1740" s="0" t="inlineStr">
        <is>
          <t>계단식</t>
        </is>
      </c>
      <c r="W1740" s="0" t="n">
        <v>236</v>
      </c>
      <c r="X1740" s="0" t="n">
        <v>15</v>
      </c>
      <c r="Y1740" s="0" t="n">
        <v>15</v>
      </c>
      <c r="Z1740" s="0" t="inlineStr">
        <is>
          <t>https://new.land.naver.com/complexes/13497?tab=detail&amp;rf=Y</t>
        </is>
      </c>
      <c r="AA1740" s="0" t="inlineStr">
        <is>
          <t>서울시 강동구 성내동 468</t>
        </is>
      </c>
      <c r="AB1740" s="0" t="inlineStr">
        <is>
          <t>서울시</t>
        </is>
      </c>
      <c r="AC1740" s="0" t="inlineStr">
        <is>
          <t>강동구</t>
        </is>
      </c>
      <c r="AD1740" s="0" t="inlineStr">
        <is>
          <t>성내동</t>
        </is>
      </c>
      <c r="AG1740" s="0" t="inlineStr">
        <is>
          <t>서울시 강동구 강동대로 171</t>
        </is>
      </c>
      <c r="AH1740" s="0" t="n">
        <v>0</v>
      </c>
      <c r="AI1740" s="0" t="n">
        <v>351</v>
      </c>
      <c r="AJ1740" s="0" t="n">
        <v>38</v>
      </c>
      <c r="AK1740" s="0" t="n">
        <v>32</v>
      </c>
      <c r="AL1740" s="0" t="n">
        <v>2.29</v>
      </c>
    </row>
    <row r="1741">
      <c r="A1741" s="0" t="inlineStr">
        <is>
          <t>[성내동]</t>
        </is>
      </c>
      <c r="B1741" s="0" t="n">
        <v>13497</v>
      </c>
      <c r="C1741" s="0" t="n">
        <v>3</v>
      </c>
      <c r="D1741" s="0" t="inlineStr">
        <is>
          <t>현대토파즈</t>
        </is>
      </c>
      <c r="E1741" s="0" t="inlineStr">
        <is>
          <t>1999.04.</t>
        </is>
      </c>
      <c r="F1741" s="0" t="n">
        <v>14</v>
      </c>
      <c r="G1741" s="0" t="n">
        <v>79.61</v>
      </c>
      <c r="H1741" s="0" t="n">
        <v>263.2</v>
      </c>
      <c r="I1741" s="0" t="n">
        <v>63.08</v>
      </c>
      <c r="J1741" s="0" t="n">
        <v>208.53</v>
      </c>
      <c r="K1741" s="0" t="n">
        <v>1</v>
      </c>
      <c r="T1741" s="0" t="n">
        <v>5</v>
      </c>
      <c r="U1741" s="0" t="n">
        <v>2</v>
      </c>
      <c r="V1741" s="0" t="inlineStr">
        <is>
          <t>계단식</t>
        </is>
      </c>
      <c r="W1741" s="0" t="n">
        <v>263</v>
      </c>
      <c r="X1741" s="0" t="n">
        <v>15</v>
      </c>
      <c r="Y1741" s="0" t="n">
        <v>15</v>
      </c>
      <c r="Z1741" s="0" t="inlineStr">
        <is>
          <t>https://new.land.naver.com/complexes/13497?tab=detail&amp;rf=Y</t>
        </is>
      </c>
      <c r="AA1741" s="0" t="inlineStr">
        <is>
          <t>서울시 강동구 성내동 468</t>
        </is>
      </c>
      <c r="AB1741" s="0" t="inlineStr">
        <is>
          <t>서울시</t>
        </is>
      </c>
      <c r="AC1741" s="0" t="inlineStr">
        <is>
          <t>강동구</t>
        </is>
      </c>
      <c r="AD1741" s="0" t="inlineStr">
        <is>
          <t>성내동</t>
        </is>
      </c>
      <c r="AG1741" s="0" t="inlineStr">
        <is>
          <t>서울시 강동구 강동대로 171</t>
        </is>
      </c>
      <c r="AH1741" s="0" t="n">
        <v>0</v>
      </c>
      <c r="AI1741" s="0" t="n">
        <v>351</v>
      </c>
      <c r="AJ1741" s="0" t="n">
        <v>38</v>
      </c>
      <c r="AK1741" s="0" t="n">
        <v>32</v>
      </c>
      <c r="AL1741" s="0" t="n">
        <v>2.29</v>
      </c>
    </row>
    <row r="1742">
      <c r="A1742" s="0" t="inlineStr">
        <is>
          <t>[성내동]</t>
        </is>
      </c>
      <c r="B1742" s="0" t="n">
        <v>13497</v>
      </c>
      <c r="C1742" s="0" t="n">
        <v>4</v>
      </c>
      <c r="D1742" s="0" t="inlineStr">
        <is>
          <t>현대토파즈</t>
        </is>
      </c>
      <c r="E1742" s="0" t="inlineStr">
        <is>
          <t>1999.04.</t>
        </is>
      </c>
      <c r="F1742" s="0" t="n">
        <v>14</v>
      </c>
      <c r="G1742" s="0" t="n">
        <v>86.65000000000001</v>
      </c>
      <c r="H1742" s="0" t="n">
        <v>286.45</v>
      </c>
      <c r="I1742" s="0" t="n">
        <v>68.64</v>
      </c>
      <c r="J1742" s="0" t="n">
        <v>226.94</v>
      </c>
      <c r="K1742" s="0" t="n">
        <v>11</v>
      </c>
      <c r="T1742" s="0" t="n">
        <v>5</v>
      </c>
      <c r="U1742" s="0" t="n">
        <v>2</v>
      </c>
      <c r="V1742" s="0" t="inlineStr">
        <is>
          <t>계단식</t>
        </is>
      </c>
      <c r="W1742" s="0" t="n">
        <v>286</v>
      </c>
      <c r="X1742" s="0" t="n">
        <v>15</v>
      </c>
      <c r="Y1742" s="0" t="n">
        <v>15</v>
      </c>
      <c r="Z1742" s="0" t="inlineStr">
        <is>
          <t>https://new.land.naver.com/complexes/13497?tab=detail&amp;rf=Y</t>
        </is>
      </c>
      <c r="AA1742" s="0" t="inlineStr">
        <is>
          <t>서울시 강동구 성내동 468</t>
        </is>
      </c>
      <c r="AB1742" s="0" t="inlineStr">
        <is>
          <t>서울시</t>
        </is>
      </c>
      <c r="AC1742" s="0" t="inlineStr">
        <is>
          <t>강동구</t>
        </is>
      </c>
      <c r="AD1742" s="0" t="inlineStr">
        <is>
          <t>성내동</t>
        </is>
      </c>
      <c r="AG1742" s="0" t="inlineStr">
        <is>
          <t>서울시 강동구 강동대로 171</t>
        </is>
      </c>
      <c r="AH1742" s="0" t="n">
        <v>0</v>
      </c>
      <c r="AI1742" s="0" t="n">
        <v>351</v>
      </c>
      <c r="AJ1742" s="0" t="n">
        <v>38</v>
      </c>
      <c r="AK1742" s="0" t="n">
        <v>32</v>
      </c>
      <c r="AL1742" s="0" t="n">
        <v>2.29</v>
      </c>
    </row>
    <row r="1743">
      <c r="A1743" s="0" t="inlineStr">
        <is>
          <t>[성내동]</t>
        </is>
      </c>
      <c r="B1743" s="0" t="n">
        <v>123070</v>
      </c>
      <c r="C1743" s="0" t="n">
        <v>1</v>
      </c>
      <c r="D1743" s="0" t="inlineStr">
        <is>
          <t>성내스테이</t>
        </is>
      </c>
      <c r="E1743" s="0" t="inlineStr">
        <is>
          <t>2018.09.</t>
        </is>
      </c>
      <c r="F1743" s="0" t="n">
        <v>26</v>
      </c>
      <c r="G1743" s="0" t="n">
        <v>17.53</v>
      </c>
      <c r="H1743" s="0" t="n">
        <v>57.98</v>
      </c>
      <c r="I1743" s="0" t="n">
        <v>15.9</v>
      </c>
      <c r="J1743" s="0" t="n">
        <v>52.57</v>
      </c>
      <c r="K1743" s="0" t="n">
        <v>24</v>
      </c>
      <c r="T1743" s="0" t="n">
        <v>3</v>
      </c>
      <c r="U1743" s="0" t="n">
        <v>2</v>
      </c>
      <c r="V1743" s="0" t="inlineStr">
        <is>
          <t>계단식</t>
        </is>
      </c>
      <c r="W1743" s="0" t="n">
        <v>57</v>
      </c>
      <c r="X1743" s="0" t="n">
        <v>14</v>
      </c>
      <c r="Y1743" s="0" t="n">
        <v>14</v>
      </c>
      <c r="Z1743" s="0" t="inlineStr">
        <is>
          <t>https://new.land.naver.com/complexes/123070?tab=detail&amp;rf=Y</t>
        </is>
      </c>
      <c r="AA1743" s="0" t="inlineStr">
        <is>
          <t>서울시 강동구 성내동 549-5</t>
        </is>
      </c>
      <c r="AB1743" s="0" t="inlineStr">
        <is>
          <t>서울시</t>
        </is>
      </c>
      <c r="AC1743" s="0" t="inlineStr">
        <is>
          <t>강동구</t>
        </is>
      </c>
      <c r="AD1743" s="0" t="inlineStr">
        <is>
          <t>성내동</t>
        </is>
      </c>
      <c r="AG1743" s="0" t="inlineStr">
        <is>
          <t>서울시 강동구 성내로 54</t>
        </is>
      </c>
      <c r="AH1743" s="0" t="n">
        <v>0</v>
      </c>
      <c r="AI1743" s="0" t="n">
        <v>249</v>
      </c>
      <c r="AJ1743" s="0" t="n">
        <v>49</v>
      </c>
      <c r="AK1743" s="0" t="n">
        <v>21</v>
      </c>
      <c r="AL1743" s="0" t="n">
        <v>0.8100000000000001</v>
      </c>
    </row>
    <row r="1744">
      <c r="A1744" s="0" t="inlineStr">
        <is>
          <t>[성내동]</t>
        </is>
      </c>
      <c r="B1744" s="0" t="n">
        <v>123070</v>
      </c>
      <c r="C1744" s="0" t="n">
        <v>2</v>
      </c>
      <c r="D1744" s="0" t="inlineStr">
        <is>
          <t>성내스테이</t>
        </is>
      </c>
      <c r="E1744" s="0" t="inlineStr">
        <is>
          <t>2018.09.</t>
        </is>
      </c>
      <c r="F1744" s="0" t="n">
        <v>26</v>
      </c>
      <c r="G1744" s="0" t="n">
        <v>17.34</v>
      </c>
      <c r="H1744" s="0" t="n">
        <v>57.34</v>
      </c>
      <c r="I1744" s="0" t="n">
        <v>15.72</v>
      </c>
      <c r="J1744" s="0" t="n">
        <v>51.99</v>
      </c>
      <c r="K1744" s="0" t="n">
        <v>2</v>
      </c>
      <c r="T1744" s="0" t="n">
        <v>3</v>
      </c>
      <c r="U1744" s="0" t="n">
        <v>2</v>
      </c>
      <c r="V1744" s="0" t="inlineStr">
        <is>
          <t>계단식</t>
        </is>
      </c>
      <c r="W1744" s="0" t="n">
        <v>57</v>
      </c>
      <c r="X1744" s="0" t="n">
        <v>14</v>
      </c>
      <c r="Y1744" s="0" t="n">
        <v>14</v>
      </c>
      <c r="Z1744" s="0" t="inlineStr">
        <is>
          <t>https://new.land.naver.com/complexes/123070?tab=detail&amp;rf=Y</t>
        </is>
      </c>
      <c r="AA1744" s="0" t="inlineStr">
        <is>
          <t>서울시 강동구 성내동 549-5</t>
        </is>
      </c>
      <c r="AB1744" s="0" t="inlineStr">
        <is>
          <t>서울시</t>
        </is>
      </c>
      <c r="AC1744" s="0" t="inlineStr">
        <is>
          <t>강동구</t>
        </is>
      </c>
      <c r="AD1744" s="0" t="inlineStr">
        <is>
          <t>성내동</t>
        </is>
      </c>
      <c r="AG1744" s="0" t="inlineStr">
        <is>
          <t>서울시 강동구 성내로 54</t>
        </is>
      </c>
      <c r="AH1744" s="0" t="n">
        <v>0</v>
      </c>
      <c r="AI1744" s="0" t="n">
        <v>249</v>
      </c>
      <c r="AJ1744" s="0" t="n">
        <v>49</v>
      </c>
      <c r="AK1744" s="0" t="n">
        <v>21</v>
      </c>
      <c r="AL1744" s="0" t="n">
        <v>0.8100000000000001</v>
      </c>
    </row>
    <row r="1745">
      <c r="A1745" s="0" t="inlineStr">
        <is>
          <t>[성내동]</t>
        </is>
      </c>
      <c r="B1745" s="0" t="n">
        <v>119719</v>
      </c>
      <c r="C1745" s="0" t="n">
        <v>1</v>
      </c>
      <c r="D1745" s="0" t="inlineStr">
        <is>
          <t>다성이즈빌(551-4,도시형)</t>
        </is>
      </c>
      <c r="E1745" s="0" t="inlineStr">
        <is>
          <t>2014.03.</t>
        </is>
      </c>
      <c r="F1745" s="0" t="n">
        <v>40</v>
      </c>
      <c r="G1745" s="0" t="n">
        <v>9.539999999999999</v>
      </c>
      <c r="H1745" s="0" t="n">
        <v>31.57</v>
      </c>
      <c r="I1745" s="0" t="n">
        <v>7.84</v>
      </c>
      <c r="J1745" s="0" t="n">
        <v>25.92</v>
      </c>
      <c r="K1745" s="0" t="n">
        <v>20</v>
      </c>
      <c r="T1745" s="0" t="n">
        <v>1</v>
      </c>
      <c r="U1745" s="0" t="n">
        <v>1</v>
      </c>
      <c r="V1745" s="0" t="inlineStr">
        <is>
          <t>계단식</t>
        </is>
      </c>
      <c r="W1745" s="0" t="n">
        <v>31</v>
      </c>
      <c r="X1745" s="0" t="n">
        <v>11</v>
      </c>
      <c r="Y1745" s="0" t="n">
        <v>11</v>
      </c>
      <c r="Z1745" s="0" t="inlineStr">
        <is>
          <t>https://new.land.naver.com/complexes/119719?tab=detail&amp;rf=Y</t>
        </is>
      </c>
      <c r="AA1745" s="0" t="inlineStr">
        <is>
          <t>서울시 강동구 성내동 551-4</t>
        </is>
      </c>
      <c r="AB1745" s="0" t="inlineStr">
        <is>
          <t>서울시</t>
        </is>
      </c>
      <c r="AC1745" s="0" t="inlineStr">
        <is>
          <t>강동구</t>
        </is>
      </c>
      <c r="AD1745" s="0" t="inlineStr">
        <is>
          <t>성내동</t>
        </is>
      </c>
      <c r="AG1745" s="0" t="inlineStr">
        <is>
          <t>서울시 강동구 성내로8길 22</t>
        </is>
      </c>
      <c r="AH1745" s="0" t="n">
        <v>0</v>
      </c>
      <c r="AI1745" s="0" t="n">
        <v>249</v>
      </c>
      <c r="AJ1745" s="0" t="n">
        <v>42</v>
      </c>
      <c r="AK1745" s="0" t="n">
        <v>23</v>
      </c>
      <c r="AL1745" s="0" t="n">
        <v>0.57</v>
      </c>
    </row>
    <row r="1746">
      <c r="A1746" s="0" t="inlineStr">
        <is>
          <t>[성내동]</t>
        </is>
      </c>
      <c r="B1746" s="0" t="n">
        <v>119719</v>
      </c>
      <c r="C1746" s="0" t="n">
        <v>2</v>
      </c>
      <c r="D1746" s="0" t="inlineStr">
        <is>
          <t>다성이즈빌(551-4,도시형)</t>
        </is>
      </c>
      <c r="E1746" s="0" t="inlineStr">
        <is>
          <t>2014.03.</t>
        </is>
      </c>
      <c r="F1746" s="0" t="n">
        <v>40</v>
      </c>
      <c r="G1746" s="0" t="n">
        <v>12.93</v>
      </c>
      <c r="H1746" s="0" t="n">
        <v>42.77</v>
      </c>
      <c r="I1746" s="0" t="n">
        <v>10.62</v>
      </c>
      <c r="J1746" s="0" t="n">
        <v>35.11</v>
      </c>
      <c r="K1746" s="0" t="n">
        <v>20</v>
      </c>
      <c r="T1746" s="0" t="n">
        <v>1</v>
      </c>
      <c r="U1746" s="0" t="n">
        <v>1</v>
      </c>
      <c r="V1746" s="0" t="inlineStr">
        <is>
          <t>계단식</t>
        </is>
      </c>
      <c r="W1746" s="0" t="n">
        <v>42</v>
      </c>
      <c r="X1746" s="0" t="n">
        <v>11</v>
      </c>
      <c r="Y1746" s="0" t="n">
        <v>11</v>
      </c>
      <c r="Z1746" s="0" t="inlineStr">
        <is>
          <t>https://new.land.naver.com/complexes/119719?tab=detail&amp;rf=Y</t>
        </is>
      </c>
      <c r="AA1746" s="0" t="inlineStr">
        <is>
          <t>서울시 강동구 성내동 551-4</t>
        </is>
      </c>
      <c r="AB1746" s="0" t="inlineStr">
        <is>
          <t>서울시</t>
        </is>
      </c>
      <c r="AC1746" s="0" t="inlineStr">
        <is>
          <t>강동구</t>
        </is>
      </c>
      <c r="AD1746" s="0" t="inlineStr">
        <is>
          <t>성내동</t>
        </is>
      </c>
      <c r="AG1746" s="0" t="inlineStr">
        <is>
          <t>서울시 강동구 성내로8길 22</t>
        </is>
      </c>
      <c r="AH1746" s="0" t="n">
        <v>0</v>
      </c>
      <c r="AI1746" s="0" t="n">
        <v>249</v>
      </c>
      <c r="AJ1746" s="0" t="n">
        <v>42</v>
      </c>
      <c r="AK1746" s="0" t="n">
        <v>23</v>
      </c>
      <c r="AL1746" s="0" t="n">
        <v>0.57</v>
      </c>
    </row>
    <row r="1747">
      <c r="A1747" s="0" t="inlineStr">
        <is>
          <t>[성내동]</t>
        </is>
      </c>
      <c r="B1747" s="0" t="n">
        <v>14255</v>
      </c>
      <c r="C1747" s="0" t="n">
        <v>1</v>
      </c>
      <c r="D1747" s="0" t="inlineStr">
        <is>
          <t>비앤비</t>
        </is>
      </c>
      <c r="E1747" s="0" t="inlineStr">
        <is>
          <t>2003.12.</t>
        </is>
      </c>
      <c r="F1747" s="0" t="n">
        <v>38</v>
      </c>
      <c r="G1747" s="0" t="n">
        <v>18.86</v>
      </c>
      <c r="H1747" s="0" t="n">
        <v>62.38</v>
      </c>
      <c r="I1747" s="0" t="n">
        <v>16.34</v>
      </c>
      <c r="J1747" s="0" t="n">
        <v>54.03</v>
      </c>
      <c r="K1747" s="0" t="n">
        <v>1</v>
      </c>
      <c r="T1747" s="0" t="n">
        <v>3</v>
      </c>
      <c r="U1747" s="0" t="n">
        <v>2</v>
      </c>
      <c r="V1747" s="0" t="inlineStr">
        <is>
          <t>계단식</t>
        </is>
      </c>
      <c r="W1747" s="0" t="n">
        <v>62</v>
      </c>
      <c r="X1747" s="0" t="n">
        <v>7</v>
      </c>
      <c r="Y1747" s="0" t="n">
        <v>6</v>
      </c>
      <c r="Z1747" s="0" t="inlineStr">
        <is>
          <t>https://new.land.naver.com/complexes/14255?tab=detail&amp;rf=Y</t>
        </is>
      </c>
      <c r="AA1747" s="0" t="inlineStr">
        <is>
          <t>서울시 강동구 성내동 386</t>
        </is>
      </c>
      <c r="AB1747" s="0" t="inlineStr">
        <is>
          <t>서울시</t>
        </is>
      </c>
      <c r="AC1747" s="0" t="inlineStr">
        <is>
          <t>강동구</t>
        </is>
      </c>
      <c r="AD1747" s="0" t="inlineStr">
        <is>
          <t>성내동</t>
        </is>
      </c>
      <c r="AG1747" s="0" t="inlineStr">
        <is>
          <t>서울시 강동구 천호대로174길 49</t>
        </is>
      </c>
      <c r="AH1747" s="0" t="n">
        <v>0</v>
      </c>
      <c r="AI1747" s="0" t="n">
        <v>0</v>
      </c>
      <c r="AJ1747" s="0" t="n">
        <v>0</v>
      </c>
      <c r="AK1747" s="0" t="n">
        <v>44</v>
      </c>
      <c r="AL1747" s="0" t="n">
        <v>1.16</v>
      </c>
    </row>
    <row r="1748">
      <c r="A1748" s="0" t="inlineStr">
        <is>
          <t>[성내동]</t>
        </is>
      </c>
      <c r="B1748" s="0" t="n">
        <v>14255</v>
      </c>
      <c r="C1748" s="0" t="n">
        <v>2</v>
      </c>
      <c r="D1748" s="0" t="inlineStr">
        <is>
          <t>비앤비</t>
        </is>
      </c>
      <c r="E1748" s="0" t="inlineStr">
        <is>
          <t>2003.12.</t>
        </is>
      </c>
      <c r="F1748" s="0" t="n">
        <v>38</v>
      </c>
      <c r="G1748" s="0" t="n">
        <v>23.71</v>
      </c>
      <c r="H1748" s="0" t="n">
        <v>78.39</v>
      </c>
      <c r="I1748" s="0" t="n">
        <v>20.53</v>
      </c>
      <c r="J1748" s="0" t="n">
        <v>67.89</v>
      </c>
      <c r="K1748" s="0" t="n">
        <v>1</v>
      </c>
      <c r="T1748" s="0" t="n">
        <v>3</v>
      </c>
      <c r="U1748" s="0" t="n">
        <v>1</v>
      </c>
      <c r="V1748" s="0" t="inlineStr">
        <is>
          <t>계단식</t>
        </is>
      </c>
      <c r="W1748" s="0" t="inlineStr">
        <is>
          <t>78A</t>
        </is>
      </c>
      <c r="X1748" s="0" t="n">
        <v>7</v>
      </c>
      <c r="Y1748" s="0" t="n">
        <v>6</v>
      </c>
      <c r="Z1748" s="0" t="inlineStr">
        <is>
          <t>https://new.land.naver.com/complexes/14255?tab=detail&amp;rf=Y</t>
        </is>
      </c>
      <c r="AA1748" s="0" t="inlineStr">
        <is>
          <t>서울시 강동구 성내동 386</t>
        </is>
      </c>
      <c r="AB1748" s="0" t="inlineStr">
        <is>
          <t>서울시</t>
        </is>
      </c>
      <c r="AC1748" s="0" t="inlineStr">
        <is>
          <t>강동구</t>
        </is>
      </c>
      <c r="AD1748" s="0" t="inlineStr">
        <is>
          <t>성내동</t>
        </is>
      </c>
      <c r="AG1748" s="0" t="inlineStr">
        <is>
          <t>서울시 강동구 천호대로174길 49</t>
        </is>
      </c>
      <c r="AH1748" s="0" t="n">
        <v>0</v>
      </c>
      <c r="AI1748" s="0" t="n">
        <v>0</v>
      </c>
      <c r="AJ1748" s="0" t="n">
        <v>0</v>
      </c>
      <c r="AK1748" s="0" t="n">
        <v>44</v>
      </c>
      <c r="AL1748" s="0" t="n">
        <v>1.16</v>
      </c>
    </row>
    <row r="1749">
      <c r="A1749" s="0" t="inlineStr">
        <is>
          <t>[성내동]</t>
        </is>
      </c>
      <c r="B1749" s="0" t="n">
        <v>14255</v>
      </c>
      <c r="C1749" s="0" t="n">
        <v>3</v>
      </c>
      <c r="D1749" s="0" t="inlineStr">
        <is>
          <t>비앤비</t>
        </is>
      </c>
      <c r="E1749" s="0" t="inlineStr">
        <is>
          <t>2003.12.</t>
        </is>
      </c>
      <c r="F1749" s="0" t="n">
        <v>38</v>
      </c>
      <c r="G1749" s="0" t="n">
        <v>24.03</v>
      </c>
      <c r="H1749" s="0" t="n">
        <v>79.44</v>
      </c>
      <c r="I1749" s="0" t="n">
        <v>20.8</v>
      </c>
      <c r="J1749" s="0" t="n">
        <v>68.79000000000001</v>
      </c>
      <c r="K1749" s="0" t="n">
        <v>1</v>
      </c>
      <c r="T1749" s="0" t="n">
        <v>3</v>
      </c>
      <c r="U1749" s="0" t="n">
        <v>2</v>
      </c>
      <c r="V1749" s="0" t="inlineStr">
        <is>
          <t>계단식</t>
        </is>
      </c>
      <c r="W1749" s="0" t="inlineStr">
        <is>
          <t>79B</t>
        </is>
      </c>
      <c r="X1749" s="0" t="n">
        <v>7</v>
      </c>
      <c r="Y1749" s="0" t="n">
        <v>6</v>
      </c>
      <c r="Z1749" s="0" t="inlineStr">
        <is>
          <t>https://new.land.naver.com/complexes/14255?tab=detail&amp;rf=Y</t>
        </is>
      </c>
      <c r="AA1749" s="0" t="inlineStr">
        <is>
          <t>서울시 강동구 성내동 386</t>
        </is>
      </c>
      <c r="AB1749" s="0" t="inlineStr">
        <is>
          <t>서울시</t>
        </is>
      </c>
      <c r="AC1749" s="0" t="inlineStr">
        <is>
          <t>강동구</t>
        </is>
      </c>
      <c r="AD1749" s="0" t="inlineStr">
        <is>
          <t>성내동</t>
        </is>
      </c>
      <c r="AG1749" s="0" t="inlineStr">
        <is>
          <t>서울시 강동구 천호대로174길 49</t>
        </is>
      </c>
      <c r="AH1749" s="0" t="n">
        <v>0</v>
      </c>
      <c r="AI1749" s="0" t="n">
        <v>0</v>
      </c>
      <c r="AJ1749" s="0" t="n">
        <v>0</v>
      </c>
      <c r="AK1749" s="0" t="n">
        <v>44</v>
      </c>
      <c r="AL1749" s="0" t="n">
        <v>1.16</v>
      </c>
    </row>
    <row r="1750">
      <c r="A1750" s="0" t="inlineStr">
        <is>
          <t>[성내동]</t>
        </is>
      </c>
      <c r="B1750" s="0" t="n">
        <v>14255</v>
      </c>
      <c r="C1750" s="0" t="n">
        <v>4</v>
      </c>
      <c r="D1750" s="0" t="inlineStr">
        <is>
          <t>비앤비</t>
        </is>
      </c>
      <c r="E1750" s="0" t="inlineStr">
        <is>
          <t>2003.12.</t>
        </is>
      </c>
      <c r="F1750" s="0" t="n">
        <v>38</v>
      </c>
      <c r="G1750" s="0" t="n">
        <v>25.85</v>
      </c>
      <c r="H1750" s="0" t="n">
        <v>85.45999999999999</v>
      </c>
      <c r="I1750" s="0" t="n">
        <v>22.7</v>
      </c>
      <c r="J1750" s="0" t="n">
        <v>75.06</v>
      </c>
      <c r="K1750" s="0" t="n">
        <v>1</v>
      </c>
      <c r="T1750" s="0" t="n">
        <v>3</v>
      </c>
      <c r="U1750" s="0" t="n">
        <v>2</v>
      </c>
      <c r="V1750" s="0" t="inlineStr">
        <is>
          <t>계단식</t>
        </is>
      </c>
      <c r="W1750" s="0" t="n">
        <v>85</v>
      </c>
      <c r="X1750" s="0" t="n">
        <v>7</v>
      </c>
      <c r="Y1750" s="0" t="n">
        <v>6</v>
      </c>
      <c r="Z1750" s="0" t="inlineStr">
        <is>
          <t>https://new.land.naver.com/complexes/14255?tab=detail&amp;rf=Y</t>
        </is>
      </c>
      <c r="AA1750" s="0" t="inlineStr">
        <is>
          <t>서울시 강동구 성내동 386</t>
        </is>
      </c>
      <c r="AB1750" s="0" t="inlineStr">
        <is>
          <t>서울시</t>
        </is>
      </c>
      <c r="AC1750" s="0" t="inlineStr">
        <is>
          <t>강동구</t>
        </is>
      </c>
      <c r="AD1750" s="0" t="inlineStr">
        <is>
          <t>성내동</t>
        </is>
      </c>
      <c r="AG1750" s="0" t="inlineStr">
        <is>
          <t>서울시 강동구 천호대로174길 49</t>
        </is>
      </c>
      <c r="AH1750" s="0" t="n">
        <v>0</v>
      </c>
      <c r="AI1750" s="0" t="n">
        <v>0</v>
      </c>
      <c r="AJ1750" s="0" t="n">
        <v>0</v>
      </c>
      <c r="AK1750" s="0" t="n">
        <v>44</v>
      </c>
      <c r="AL1750" s="0" t="n">
        <v>1.16</v>
      </c>
    </row>
    <row r="1751">
      <c r="A1751" s="0" t="inlineStr">
        <is>
          <t>[성내동]</t>
        </is>
      </c>
      <c r="B1751" s="0" t="n">
        <v>14255</v>
      </c>
      <c r="C1751" s="0" t="n">
        <v>5</v>
      </c>
      <c r="D1751" s="0" t="inlineStr">
        <is>
          <t>비앤비</t>
        </is>
      </c>
      <c r="E1751" s="0" t="inlineStr">
        <is>
          <t>2003.12.</t>
        </is>
      </c>
      <c r="F1751" s="0" t="n">
        <v>38</v>
      </c>
      <c r="G1751" s="0" t="n">
        <v>28.25</v>
      </c>
      <c r="H1751" s="0" t="n">
        <v>93.39</v>
      </c>
      <c r="I1751" s="0" t="n">
        <v>24.46</v>
      </c>
      <c r="J1751" s="0" t="n">
        <v>80.88</v>
      </c>
      <c r="K1751" s="0" t="n">
        <v>1</v>
      </c>
      <c r="T1751" s="0" t="n">
        <v>3</v>
      </c>
      <c r="U1751" s="0" t="n">
        <v>2</v>
      </c>
      <c r="V1751" s="0" t="inlineStr">
        <is>
          <t>계단식</t>
        </is>
      </c>
      <c r="W1751" s="0" t="n">
        <v>93</v>
      </c>
      <c r="X1751" s="0" t="n">
        <v>7</v>
      </c>
      <c r="Y1751" s="0" t="n">
        <v>6</v>
      </c>
      <c r="Z1751" s="0" t="inlineStr">
        <is>
          <t>https://new.land.naver.com/complexes/14255?tab=detail&amp;rf=Y</t>
        </is>
      </c>
      <c r="AA1751" s="0" t="inlineStr">
        <is>
          <t>서울시 강동구 성내동 386</t>
        </is>
      </c>
      <c r="AB1751" s="0" t="inlineStr">
        <is>
          <t>서울시</t>
        </is>
      </c>
      <c r="AC1751" s="0" t="inlineStr">
        <is>
          <t>강동구</t>
        </is>
      </c>
      <c r="AD1751" s="0" t="inlineStr">
        <is>
          <t>성내동</t>
        </is>
      </c>
      <c r="AG1751" s="0" t="inlineStr">
        <is>
          <t>서울시 강동구 천호대로174길 49</t>
        </is>
      </c>
      <c r="AH1751" s="0" t="n">
        <v>0</v>
      </c>
      <c r="AI1751" s="0" t="n">
        <v>0</v>
      </c>
      <c r="AJ1751" s="0" t="n">
        <v>0</v>
      </c>
      <c r="AK1751" s="0" t="n">
        <v>44</v>
      </c>
      <c r="AL1751" s="0" t="n">
        <v>1.16</v>
      </c>
    </row>
    <row r="1752">
      <c r="A1752" s="0" t="inlineStr">
        <is>
          <t>[성내동]</t>
        </is>
      </c>
      <c r="B1752" s="0" t="n">
        <v>14255</v>
      </c>
      <c r="C1752" s="0" t="n">
        <v>6</v>
      </c>
      <c r="D1752" s="0" t="inlineStr">
        <is>
          <t>비앤비</t>
        </is>
      </c>
      <c r="E1752" s="0" t="inlineStr">
        <is>
          <t>2003.12.</t>
        </is>
      </c>
      <c r="F1752" s="0" t="n">
        <v>38</v>
      </c>
      <c r="G1752" s="0" t="n">
        <v>28.64</v>
      </c>
      <c r="H1752" s="0" t="n">
        <v>94.69</v>
      </c>
      <c r="I1752" s="0" t="n">
        <v>24.8</v>
      </c>
      <c r="J1752" s="0" t="n">
        <v>82.01000000000001</v>
      </c>
      <c r="K1752" s="0" t="n">
        <v>4</v>
      </c>
      <c r="T1752" s="0" t="n">
        <v>3</v>
      </c>
      <c r="U1752" s="0" t="n">
        <v>2</v>
      </c>
      <c r="V1752" s="0" t="inlineStr">
        <is>
          <t>계단식</t>
        </is>
      </c>
      <c r="W1752" s="0" t="inlineStr">
        <is>
          <t>94A</t>
        </is>
      </c>
      <c r="X1752" s="0" t="n">
        <v>7</v>
      </c>
      <c r="Y1752" s="0" t="n">
        <v>6</v>
      </c>
      <c r="Z1752" s="0" t="inlineStr">
        <is>
          <t>https://new.land.naver.com/complexes/14255?tab=detail&amp;rf=Y</t>
        </is>
      </c>
      <c r="AA1752" s="0" t="inlineStr">
        <is>
          <t>서울시 강동구 성내동 386</t>
        </is>
      </c>
      <c r="AB1752" s="0" t="inlineStr">
        <is>
          <t>서울시</t>
        </is>
      </c>
      <c r="AC1752" s="0" t="inlineStr">
        <is>
          <t>강동구</t>
        </is>
      </c>
      <c r="AD1752" s="0" t="inlineStr">
        <is>
          <t>성내동</t>
        </is>
      </c>
      <c r="AG1752" s="0" t="inlineStr">
        <is>
          <t>서울시 강동구 천호대로174길 49</t>
        </is>
      </c>
      <c r="AH1752" s="0" t="n">
        <v>0</v>
      </c>
      <c r="AI1752" s="0" t="n">
        <v>0</v>
      </c>
      <c r="AJ1752" s="0" t="n">
        <v>0</v>
      </c>
      <c r="AK1752" s="0" t="n">
        <v>44</v>
      </c>
      <c r="AL1752" s="0" t="n">
        <v>1.16</v>
      </c>
    </row>
    <row r="1753">
      <c r="A1753" s="0" t="inlineStr">
        <is>
          <t>[성내동]</t>
        </is>
      </c>
      <c r="B1753" s="0" t="n">
        <v>14255</v>
      </c>
      <c r="C1753" s="0" t="n">
        <v>7</v>
      </c>
      <c r="D1753" s="0" t="inlineStr">
        <is>
          <t>비앤비</t>
        </is>
      </c>
      <c r="E1753" s="0" t="inlineStr">
        <is>
          <t>2003.12.</t>
        </is>
      </c>
      <c r="F1753" s="0" t="n">
        <v>38</v>
      </c>
      <c r="G1753" s="0" t="n">
        <v>29.09</v>
      </c>
      <c r="H1753" s="0" t="n">
        <v>96.18000000000001</v>
      </c>
      <c r="I1753" s="0" t="n">
        <v>25.55</v>
      </c>
      <c r="J1753" s="0" t="n">
        <v>84.48</v>
      </c>
      <c r="K1753" s="0" t="n">
        <v>6</v>
      </c>
      <c r="T1753" s="0" t="n">
        <v>3</v>
      </c>
      <c r="U1753" s="0" t="n">
        <v>2</v>
      </c>
      <c r="V1753" s="0" t="inlineStr">
        <is>
          <t>계단식</t>
        </is>
      </c>
      <c r="W1753" s="0" t="inlineStr">
        <is>
          <t>96B</t>
        </is>
      </c>
      <c r="X1753" s="0" t="n">
        <v>7</v>
      </c>
      <c r="Y1753" s="0" t="n">
        <v>6</v>
      </c>
      <c r="Z1753" s="0" t="inlineStr">
        <is>
          <t>https://new.land.naver.com/complexes/14255?tab=detail&amp;rf=Y</t>
        </is>
      </c>
      <c r="AA1753" s="0" t="inlineStr">
        <is>
          <t>서울시 강동구 성내동 386</t>
        </is>
      </c>
      <c r="AB1753" s="0" t="inlineStr">
        <is>
          <t>서울시</t>
        </is>
      </c>
      <c r="AC1753" s="0" t="inlineStr">
        <is>
          <t>강동구</t>
        </is>
      </c>
      <c r="AD1753" s="0" t="inlineStr">
        <is>
          <t>성내동</t>
        </is>
      </c>
      <c r="AG1753" s="0" t="inlineStr">
        <is>
          <t>서울시 강동구 천호대로174길 49</t>
        </is>
      </c>
      <c r="AH1753" s="0" t="n">
        <v>0</v>
      </c>
      <c r="AI1753" s="0" t="n">
        <v>0</v>
      </c>
      <c r="AJ1753" s="0" t="n">
        <v>0</v>
      </c>
      <c r="AK1753" s="0" t="n">
        <v>44</v>
      </c>
      <c r="AL1753" s="0" t="n">
        <v>1.16</v>
      </c>
    </row>
    <row r="1754">
      <c r="A1754" s="0" t="inlineStr">
        <is>
          <t>[성내동]</t>
        </is>
      </c>
      <c r="B1754" s="0" t="n">
        <v>14255</v>
      </c>
      <c r="C1754" s="0" t="n">
        <v>8</v>
      </c>
      <c r="D1754" s="0" t="inlineStr">
        <is>
          <t>비앤비</t>
        </is>
      </c>
      <c r="E1754" s="0" t="inlineStr">
        <is>
          <t>2003.12.</t>
        </is>
      </c>
      <c r="F1754" s="0" t="n">
        <v>38</v>
      </c>
      <c r="G1754" s="0" t="n">
        <v>29.13</v>
      </c>
      <c r="H1754" s="0" t="n">
        <v>96.31999999999999</v>
      </c>
      <c r="I1754" s="0" t="n">
        <v>25.59</v>
      </c>
      <c r="J1754" s="0" t="n">
        <v>84.59999999999999</v>
      </c>
      <c r="K1754" s="0" t="n">
        <v>5</v>
      </c>
      <c r="T1754" s="0" t="n">
        <v>3</v>
      </c>
      <c r="U1754" s="0" t="n">
        <v>2</v>
      </c>
      <c r="V1754" s="0" t="inlineStr">
        <is>
          <t>계단식</t>
        </is>
      </c>
      <c r="W1754" s="0" t="inlineStr">
        <is>
          <t>96C</t>
        </is>
      </c>
      <c r="X1754" s="0" t="n">
        <v>7</v>
      </c>
      <c r="Y1754" s="0" t="n">
        <v>6</v>
      </c>
      <c r="Z1754" s="0" t="inlineStr">
        <is>
          <t>https://new.land.naver.com/complexes/14255?tab=detail&amp;rf=Y</t>
        </is>
      </c>
      <c r="AA1754" s="0" t="inlineStr">
        <is>
          <t>서울시 강동구 성내동 386</t>
        </is>
      </c>
      <c r="AB1754" s="0" t="inlineStr">
        <is>
          <t>서울시</t>
        </is>
      </c>
      <c r="AC1754" s="0" t="inlineStr">
        <is>
          <t>강동구</t>
        </is>
      </c>
      <c r="AD1754" s="0" t="inlineStr">
        <is>
          <t>성내동</t>
        </is>
      </c>
      <c r="AG1754" s="0" t="inlineStr">
        <is>
          <t>서울시 강동구 천호대로174길 49</t>
        </is>
      </c>
      <c r="AH1754" s="0" t="n">
        <v>0</v>
      </c>
      <c r="AI1754" s="0" t="n">
        <v>0</v>
      </c>
      <c r="AJ1754" s="0" t="n">
        <v>0</v>
      </c>
      <c r="AK1754" s="0" t="n">
        <v>44</v>
      </c>
      <c r="AL1754" s="0" t="n">
        <v>1.16</v>
      </c>
    </row>
    <row r="1755">
      <c r="A1755" s="0" t="inlineStr">
        <is>
          <t>[성내동]</t>
        </is>
      </c>
      <c r="B1755" s="0" t="n">
        <v>14255</v>
      </c>
      <c r="C1755" s="0" t="n">
        <v>9</v>
      </c>
      <c r="D1755" s="0" t="inlineStr">
        <is>
          <t>비앤비</t>
        </is>
      </c>
      <c r="E1755" s="0" t="inlineStr">
        <is>
          <t>2003.12.</t>
        </is>
      </c>
      <c r="F1755" s="0" t="n">
        <v>38</v>
      </c>
      <c r="G1755" s="0" t="n">
        <v>29.5</v>
      </c>
      <c r="H1755" s="0" t="n">
        <v>97.54000000000001</v>
      </c>
      <c r="I1755" s="0" t="n">
        <v>25.55</v>
      </c>
      <c r="J1755" s="0" t="n">
        <v>84.48</v>
      </c>
      <c r="K1755" s="0" t="n">
        <v>6</v>
      </c>
      <c r="T1755" s="0" t="n">
        <v>3</v>
      </c>
      <c r="U1755" s="0" t="n">
        <v>2</v>
      </c>
      <c r="V1755" s="0" t="inlineStr">
        <is>
          <t>계단식</t>
        </is>
      </c>
      <c r="W1755" s="0" t="inlineStr">
        <is>
          <t>97A</t>
        </is>
      </c>
      <c r="X1755" s="0" t="n">
        <v>7</v>
      </c>
      <c r="Y1755" s="0" t="n">
        <v>6</v>
      </c>
      <c r="Z1755" s="0" t="inlineStr">
        <is>
          <t>https://new.land.naver.com/complexes/14255?tab=detail&amp;rf=Y</t>
        </is>
      </c>
      <c r="AA1755" s="0" t="inlineStr">
        <is>
          <t>서울시 강동구 성내동 386</t>
        </is>
      </c>
      <c r="AB1755" s="0" t="inlineStr">
        <is>
          <t>서울시</t>
        </is>
      </c>
      <c r="AC1755" s="0" t="inlineStr">
        <is>
          <t>강동구</t>
        </is>
      </c>
      <c r="AD1755" s="0" t="inlineStr">
        <is>
          <t>성내동</t>
        </is>
      </c>
      <c r="AG1755" s="0" t="inlineStr">
        <is>
          <t>서울시 강동구 천호대로174길 49</t>
        </is>
      </c>
      <c r="AH1755" s="0" t="n">
        <v>0</v>
      </c>
      <c r="AI1755" s="0" t="n">
        <v>0</v>
      </c>
      <c r="AJ1755" s="0" t="n">
        <v>0</v>
      </c>
      <c r="AK1755" s="0" t="n">
        <v>44</v>
      </c>
      <c r="AL1755" s="0" t="n">
        <v>1.16</v>
      </c>
    </row>
    <row r="1756">
      <c r="A1756" s="0" t="inlineStr">
        <is>
          <t>[성내동]</t>
        </is>
      </c>
      <c r="B1756" s="0" t="n">
        <v>14255</v>
      </c>
      <c r="C1756" s="0" t="n">
        <v>10</v>
      </c>
      <c r="D1756" s="0" t="inlineStr">
        <is>
          <t>비앤비</t>
        </is>
      </c>
      <c r="E1756" s="0" t="inlineStr">
        <is>
          <t>2003.12.</t>
        </is>
      </c>
      <c r="F1756" s="0" t="n">
        <v>38</v>
      </c>
      <c r="G1756" s="0" t="n">
        <v>29.54</v>
      </c>
      <c r="H1756" s="0" t="n">
        <v>97.68000000000001</v>
      </c>
      <c r="I1756" s="0" t="n">
        <v>25.59</v>
      </c>
      <c r="J1756" s="0" t="n">
        <v>84.59999999999999</v>
      </c>
      <c r="K1756" s="0" t="n">
        <v>5</v>
      </c>
      <c r="T1756" s="0" t="n">
        <v>3</v>
      </c>
      <c r="U1756" s="0" t="n">
        <v>2</v>
      </c>
      <c r="V1756" s="0" t="inlineStr">
        <is>
          <t>계단식</t>
        </is>
      </c>
      <c r="W1756" s="0" t="inlineStr">
        <is>
          <t>97B</t>
        </is>
      </c>
      <c r="X1756" s="0" t="n">
        <v>7</v>
      </c>
      <c r="Y1756" s="0" t="n">
        <v>6</v>
      </c>
      <c r="Z1756" s="0" t="inlineStr">
        <is>
          <t>https://new.land.naver.com/complexes/14255?tab=detail&amp;rf=Y</t>
        </is>
      </c>
      <c r="AA1756" s="0" t="inlineStr">
        <is>
          <t>서울시 강동구 성내동 386</t>
        </is>
      </c>
      <c r="AB1756" s="0" t="inlineStr">
        <is>
          <t>서울시</t>
        </is>
      </c>
      <c r="AC1756" s="0" t="inlineStr">
        <is>
          <t>강동구</t>
        </is>
      </c>
      <c r="AD1756" s="0" t="inlineStr">
        <is>
          <t>성내동</t>
        </is>
      </c>
      <c r="AG1756" s="0" t="inlineStr">
        <is>
          <t>서울시 강동구 천호대로174길 49</t>
        </is>
      </c>
      <c r="AH1756" s="0" t="n">
        <v>0</v>
      </c>
      <c r="AI1756" s="0" t="n">
        <v>0</v>
      </c>
      <c r="AJ1756" s="0" t="n">
        <v>0</v>
      </c>
      <c r="AK1756" s="0" t="n">
        <v>44</v>
      </c>
      <c r="AL1756" s="0" t="n">
        <v>1.16</v>
      </c>
    </row>
    <row r="1757">
      <c r="A1757" s="0" t="inlineStr">
        <is>
          <t>[성내동]</t>
        </is>
      </c>
      <c r="B1757" s="0" t="n">
        <v>14255</v>
      </c>
      <c r="C1757" s="0" t="n">
        <v>11</v>
      </c>
      <c r="D1757" s="0" t="inlineStr">
        <is>
          <t>비앤비</t>
        </is>
      </c>
      <c r="E1757" s="0" t="inlineStr">
        <is>
          <t>2003.12.</t>
        </is>
      </c>
      <c r="F1757" s="0" t="n">
        <v>38</v>
      </c>
      <c r="G1757" s="0" t="n">
        <v>33.63</v>
      </c>
      <c r="H1757" s="0" t="n">
        <v>111.2</v>
      </c>
      <c r="I1757" s="0" t="n">
        <v>29.54</v>
      </c>
      <c r="J1757" s="0" t="n">
        <v>97.67</v>
      </c>
      <c r="K1757" s="0" t="n">
        <v>7</v>
      </c>
      <c r="T1757" s="0" t="n">
        <v>3</v>
      </c>
      <c r="U1757" s="0" t="n">
        <v>2</v>
      </c>
      <c r="V1757" s="0" t="inlineStr">
        <is>
          <t>계단식</t>
        </is>
      </c>
      <c r="W1757" s="0" t="n">
        <v>111</v>
      </c>
      <c r="X1757" s="0" t="n">
        <v>7</v>
      </c>
      <c r="Y1757" s="0" t="n">
        <v>6</v>
      </c>
      <c r="Z1757" s="0" t="inlineStr">
        <is>
          <t>https://new.land.naver.com/complexes/14255?tab=detail&amp;rf=Y</t>
        </is>
      </c>
      <c r="AA1757" s="0" t="inlineStr">
        <is>
          <t>서울시 강동구 성내동 386</t>
        </is>
      </c>
      <c r="AB1757" s="0" t="inlineStr">
        <is>
          <t>서울시</t>
        </is>
      </c>
      <c r="AC1757" s="0" t="inlineStr">
        <is>
          <t>강동구</t>
        </is>
      </c>
      <c r="AD1757" s="0" t="inlineStr">
        <is>
          <t>성내동</t>
        </is>
      </c>
      <c r="AG1757" s="0" t="inlineStr">
        <is>
          <t>서울시 강동구 천호대로174길 49</t>
        </is>
      </c>
      <c r="AH1757" s="0" t="n">
        <v>0</v>
      </c>
      <c r="AI1757" s="0" t="n">
        <v>0</v>
      </c>
      <c r="AJ1757" s="0" t="n">
        <v>0</v>
      </c>
      <c r="AK1757" s="0" t="n">
        <v>44</v>
      </c>
      <c r="AL1757" s="0" t="n">
        <v>1.16</v>
      </c>
    </row>
    <row r="1758">
      <c r="A1758" s="0" t="inlineStr">
        <is>
          <t>[성내동]</t>
        </is>
      </c>
      <c r="B1758" s="0" t="n">
        <v>101474</v>
      </c>
      <c r="C1758" s="0" t="n">
        <v>1</v>
      </c>
      <c r="D1758" s="0" t="inlineStr">
        <is>
          <t>성내파라디아</t>
        </is>
      </c>
      <c r="E1758" s="0" t="inlineStr">
        <is>
          <t>2010.02.</t>
        </is>
      </c>
      <c r="F1758" s="0" t="n">
        <v>60</v>
      </c>
      <c r="G1758" s="0" t="n">
        <v>33.24</v>
      </c>
      <c r="H1758" s="0" t="n">
        <v>109.91</v>
      </c>
      <c r="I1758" s="0" t="n">
        <v>25.68</v>
      </c>
      <c r="J1758" s="0" t="n">
        <v>84.92</v>
      </c>
      <c r="K1758" s="0" t="n">
        <v>36</v>
      </c>
      <c r="T1758" s="0" t="n">
        <v>3</v>
      </c>
      <c r="U1758" s="0" t="n">
        <v>2</v>
      </c>
      <c r="V1758" s="0" t="inlineStr">
        <is>
          <t>계단식</t>
        </is>
      </c>
      <c r="W1758" s="0" t="n">
        <v>109</v>
      </c>
      <c r="X1758" s="0" t="n">
        <v>12</v>
      </c>
      <c r="Y1758" s="0" t="n">
        <v>12</v>
      </c>
      <c r="Z1758" s="0" t="inlineStr">
        <is>
          <t>https://new.land.naver.com/complexes/101474?tab=detail&amp;rf=Y</t>
        </is>
      </c>
      <c r="AA1758" s="0" t="inlineStr">
        <is>
          <t>서울시 강동구 성내동 605</t>
        </is>
      </c>
      <c r="AB1758" s="0" t="inlineStr">
        <is>
          <t>서울시</t>
        </is>
      </c>
      <c r="AC1758" s="0" t="inlineStr">
        <is>
          <t>강동구</t>
        </is>
      </c>
      <c r="AD1758" s="0" t="inlineStr">
        <is>
          <t>성내동</t>
        </is>
      </c>
      <c r="AG1758" s="0" t="inlineStr">
        <is>
          <t>서울시 강동구 천호옛길 30</t>
        </is>
      </c>
      <c r="AH1758" s="0" t="n">
        <v>0</v>
      </c>
      <c r="AI1758" s="0" t="n">
        <v>198</v>
      </c>
      <c r="AJ1758" s="0" t="n">
        <v>27</v>
      </c>
      <c r="AK1758" s="0" t="n">
        <v>84</v>
      </c>
      <c r="AL1758" s="0" t="n">
        <v>1.4</v>
      </c>
    </row>
    <row r="1759">
      <c r="A1759" s="0" t="inlineStr">
        <is>
          <t>[성내동]</t>
        </is>
      </c>
      <c r="B1759" s="0" t="n">
        <v>101474</v>
      </c>
      <c r="C1759" s="0" t="n">
        <v>2</v>
      </c>
      <c r="D1759" s="0" t="inlineStr">
        <is>
          <t>성내파라디아</t>
        </is>
      </c>
      <c r="E1759" s="0" t="inlineStr">
        <is>
          <t>2010.02.</t>
        </is>
      </c>
      <c r="F1759" s="0" t="n">
        <v>60</v>
      </c>
      <c r="G1759" s="0" t="n">
        <v>44.93</v>
      </c>
      <c r="H1759" s="0" t="n">
        <v>148.54</v>
      </c>
      <c r="I1759" s="0" t="n">
        <v>34.93</v>
      </c>
      <c r="J1759" s="0" t="n">
        <v>115.49</v>
      </c>
      <c r="K1759" s="0" t="n">
        <v>24</v>
      </c>
      <c r="T1759" s="0" t="n">
        <v>4</v>
      </c>
      <c r="U1759" s="0" t="n">
        <v>2</v>
      </c>
      <c r="V1759" s="0" t="inlineStr">
        <is>
          <t>계단식</t>
        </is>
      </c>
      <c r="W1759" s="0" t="n">
        <v>148</v>
      </c>
      <c r="X1759" s="0" t="n">
        <v>12</v>
      </c>
      <c r="Y1759" s="0" t="n">
        <v>12</v>
      </c>
      <c r="Z1759" s="0" t="inlineStr">
        <is>
          <t>https://new.land.naver.com/complexes/101474?tab=detail&amp;rf=Y</t>
        </is>
      </c>
      <c r="AA1759" s="0" t="inlineStr">
        <is>
          <t>서울시 강동구 성내동 605</t>
        </is>
      </c>
      <c r="AB1759" s="0" t="inlineStr">
        <is>
          <t>서울시</t>
        </is>
      </c>
      <c r="AC1759" s="0" t="inlineStr">
        <is>
          <t>강동구</t>
        </is>
      </c>
      <c r="AD1759" s="0" t="inlineStr">
        <is>
          <t>성내동</t>
        </is>
      </c>
      <c r="AG1759" s="0" t="inlineStr">
        <is>
          <t>서울시 강동구 천호옛길 30</t>
        </is>
      </c>
      <c r="AH1759" s="0" t="n">
        <v>0</v>
      </c>
      <c r="AI1759" s="0" t="n">
        <v>198</v>
      </c>
      <c r="AJ1759" s="0" t="n">
        <v>27</v>
      </c>
      <c r="AK1759" s="0" t="n">
        <v>84</v>
      </c>
      <c r="AL1759" s="0" t="n">
        <v>1.4</v>
      </c>
    </row>
    <row r="1760">
      <c r="A1760" s="0" t="inlineStr">
        <is>
          <t>[성내동]</t>
        </is>
      </c>
      <c r="B1760" s="0" t="n">
        <v>115153</v>
      </c>
      <c r="C1760" s="0" t="n">
        <v>1</v>
      </c>
      <c r="D1760" s="0" t="inlineStr">
        <is>
          <t>화영(도시형)</t>
        </is>
      </c>
      <c r="E1760" s="0" t="inlineStr">
        <is>
          <t>2016.04.</t>
        </is>
      </c>
      <c r="F1760" s="0" t="n">
        <v>28</v>
      </c>
      <c r="G1760" s="0" t="n">
        <v>9.93</v>
      </c>
      <c r="H1760" s="0" t="n">
        <v>32.85</v>
      </c>
      <c r="I1760" s="0" t="n">
        <v>8.289999999999999</v>
      </c>
      <c r="J1760" s="0" t="n">
        <v>27.42</v>
      </c>
      <c r="K1760" s="0" t="n">
        <v>8</v>
      </c>
      <c r="T1760" s="0" t="n">
        <v>1</v>
      </c>
      <c r="U1760" s="0" t="n">
        <v>1</v>
      </c>
      <c r="V1760" s="0" t="inlineStr">
        <is>
          <t>계단식</t>
        </is>
      </c>
      <c r="W1760" s="0" t="n">
        <v>32</v>
      </c>
      <c r="X1760" s="0" t="n">
        <v>6</v>
      </c>
      <c r="Y1760" s="0" t="n">
        <v>6</v>
      </c>
      <c r="Z1760" s="0" t="inlineStr">
        <is>
          <t>https://new.land.naver.com/complexes/115153?tab=detail&amp;rf=Y</t>
        </is>
      </c>
      <c r="AA1760" s="0" t="inlineStr">
        <is>
          <t>서울시 강동구 성내동 383-12</t>
        </is>
      </c>
      <c r="AB1760" s="0" t="inlineStr">
        <is>
          <t>서울시</t>
        </is>
      </c>
      <c r="AC1760" s="0" t="inlineStr">
        <is>
          <t>강동구</t>
        </is>
      </c>
      <c r="AD1760" s="0" t="inlineStr">
        <is>
          <t>성내동</t>
        </is>
      </c>
      <c r="AG1760" s="0" t="inlineStr">
        <is>
          <t>서울시 강동구 성안로 111</t>
        </is>
      </c>
      <c r="AH1760" s="0" t="n">
        <v>0</v>
      </c>
      <c r="AI1760" s="0" t="n">
        <v>0</v>
      </c>
      <c r="AJ1760" s="0" t="n">
        <v>0</v>
      </c>
      <c r="AK1760" s="0" t="n">
        <v>0</v>
      </c>
      <c r="AL1760" s="0" t="n">
        <v>0</v>
      </c>
    </row>
    <row r="1761">
      <c r="A1761" s="0" t="inlineStr">
        <is>
          <t>[성내동]</t>
        </is>
      </c>
      <c r="B1761" s="0" t="n">
        <v>115153</v>
      </c>
      <c r="C1761" s="0" t="n">
        <v>2</v>
      </c>
      <c r="D1761" s="0" t="inlineStr">
        <is>
          <t>화영(도시형)</t>
        </is>
      </c>
      <c r="E1761" s="0" t="inlineStr">
        <is>
          <t>2016.04.</t>
        </is>
      </c>
      <c r="F1761" s="0" t="n">
        <v>28</v>
      </c>
      <c r="G1761" s="0" t="n">
        <v>15.38</v>
      </c>
      <c r="H1761" s="0" t="n">
        <v>50.85</v>
      </c>
      <c r="I1761" s="0" t="n">
        <v>12.83</v>
      </c>
      <c r="J1761" s="0" t="n">
        <v>42.44</v>
      </c>
      <c r="K1761" s="0" t="n">
        <v>8</v>
      </c>
      <c r="T1761" s="0" t="n">
        <v>2</v>
      </c>
      <c r="U1761" s="0" t="n">
        <v>1</v>
      </c>
      <c r="V1761" s="0" t="inlineStr">
        <is>
          <t>계단식</t>
        </is>
      </c>
      <c r="W1761" s="0" t="n">
        <v>50</v>
      </c>
      <c r="X1761" s="0" t="n">
        <v>6</v>
      </c>
      <c r="Y1761" s="0" t="n">
        <v>6</v>
      </c>
      <c r="Z1761" s="0" t="inlineStr">
        <is>
          <t>https://new.land.naver.com/complexes/115153?tab=detail&amp;rf=Y</t>
        </is>
      </c>
      <c r="AA1761" s="0" t="inlineStr">
        <is>
          <t>서울시 강동구 성내동 383-12</t>
        </is>
      </c>
      <c r="AB1761" s="0" t="inlineStr">
        <is>
          <t>서울시</t>
        </is>
      </c>
      <c r="AC1761" s="0" t="inlineStr">
        <is>
          <t>강동구</t>
        </is>
      </c>
      <c r="AD1761" s="0" t="inlineStr">
        <is>
          <t>성내동</t>
        </is>
      </c>
      <c r="AG1761" s="0" t="inlineStr">
        <is>
          <t>서울시 강동구 성안로 111</t>
        </is>
      </c>
      <c r="AH1761" s="0" t="n">
        <v>0</v>
      </c>
      <c r="AI1761" s="0" t="n">
        <v>0</v>
      </c>
      <c r="AJ1761" s="0" t="n">
        <v>0</v>
      </c>
      <c r="AK1761" s="0" t="n">
        <v>0</v>
      </c>
      <c r="AL1761" s="0" t="n">
        <v>0</v>
      </c>
    </row>
    <row r="1762">
      <c r="A1762" s="0" t="inlineStr">
        <is>
          <t>[성내동]</t>
        </is>
      </c>
      <c r="B1762" s="0" t="n">
        <v>115153</v>
      </c>
      <c r="C1762" s="0" t="n">
        <v>3</v>
      </c>
      <c r="D1762" s="0" t="inlineStr">
        <is>
          <t>화영(도시형)</t>
        </is>
      </c>
      <c r="E1762" s="0" t="inlineStr">
        <is>
          <t>2016.04.</t>
        </is>
      </c>
      <c r="F1762" s="0" t="n">
        <v>28</v>
      </c>
      <c r="G1762" s="0" t="n">
        <v>15.71</v>
      </c>
      <c r="H1762" s="0" t="n">
        <v>51.94</v>
      </c>
      <c r="I1762" s="0" t="n">
        <v>13.11</v>
      </c>
      <c r="J1762" s="0" t="n">
        <v>43.35</v>
      </c>
      <c r="K1762" s="0" t="n">
        <v>6</v>
      </c>
      <c r="T1762" s="0" t="n">
        <v>2</v>
      </c>
      <c r="U1762" s="0" t="n">
        <v>1</v>
      </c>
      <c r="V1762" s="0" t="inlineStr">
        <is>
          <t>계단식</t>
        </is>
      </c>
      <c r="W1762" s="0" t="n">
        <v>51</v>
      </c>
      <c r="X1762" s="0" t="n">
        <v>6</v>
      </c>
      <c r="Y1762" s="0" t="n">
        <v>6</v>
      </c>
      <c r="Z1762" s="0" t="inlineStr">
        <is>
          <t>https://new.land.naver.com/complexes/115153?tab=detail&amp;rf=Y</t>
        </is>
      </c>
      <c r="AA1762" s="0" t="inlineStr">
        <is>
          <t>서울시 강동구 성내동 383-12</t>
        </is>
      </c>
      <c r="AB1762" s="0" t="inlineStr">
        <is>
          <t>서울시</t>
        </is>
      </c>
      <c r="AC1762" s="0" t="inlineStr">
        <is>
          <t>강동구</t>
        </is>
      </c>
      <c r="AD1762" s="0" t="inlineStr">
        <is>
          <t>성내동</t>
        </is>
      </c>
      <c r="AG1762" s="0" t="inlineStr">
        <is>
          <t>서울시 강동구 성안로 111</t>
        </is>
      </c>
      <c r="AH1762" s="0" t="n">
        <v>0</v>
      </c>
      <c r="AI1762" s="0" t="n">
        <v>0</v>
      </c>
      <c r="AJ1762" s="0" t="n">
        <v>0</v>
      </c>
      <c r="AK1762" s="0" t="n">
        <v>0</v>
      </c>
      <c r="AL1762" s="0" t="n">
        <v>0</v>
      </c>
    </row>
    <row r="1763">
      <c r="A1763" s="0" t="inlineStr">
        <is>
          <t>[성내동]</t>
        </is>
      </c>
      <c r="B1763" s="0" t="n">
        <v>115153</v>
      </c>
      <c r="C1763" s="0" t="n">
        <v>4</v>
      </c>
      <c r="D1763" s="0" t="inlineStr">
        <is>
          <t>화영(도시형)</t>
        </is>
      </c>
      <c r="E1763" s="0" t="inlineStr">
        <is>
          <t>2016.04.</t>
        </is>
      </c>
      <c r="F1763" s="0" t="n">
        <v>28</v>
      </c>
      <c r="G1763" s="0" t="n">
        <v>16.55</v>
      </c>
      <c r="H1763" s="0" t="n">
        <v>54.74</v>
      </c>
      <c r="I1763" s="0" t="n">
        <v>13.82</v>
      </c>
      <c r="J1763" s="0" t="n">
        <v>45.69</v>
      </c>
      <c r="K1763" s="0" t="n">
        <v>2</v>
      </c>
      <c r="T1763" s="0" t="n">
        <v>2</v>
      </c>
      <c r="U1763" s="0" t="n">
        <v>1</v>
      </c>
      <c r="V1763" s="0" t="inlineStr">
        <is>
          <t>계단식</t>
        </is>
      </c>
      <c r="W1763" s="0" t="inlineStr">
        <is>
          <t>54A</t>
        </is>
      </c>
      <c r="X1763" s="0" t="n">
        <v>6</v>
      </c>
      <c r="Y1763" s="0" t="n">
        <v>6</v>
      </c>
      <c r="Z1763" s="0" t="inlineStr">
        <is>
          <t>https://new.land.naver.com/complexes/115153?tab=detail&amp;rf=Y</t>
        </is>
      </c>
      <c r="AA1763" s="0" t="inlineStr">
        <is>
          <t>서울시 강동구 성내동 383-12</t>
        </is>
      </c>
      <c r="AB1763" s="0" t="inlineStr">
        <is>
          <t>서울시</t>
        </is>
      </c>
      <c r="AC1763" s="0" t="inlineStr">
        <is>
          <t>강동구</t>
        </is>
      </c>
      <c r="AD1763" s="0" t="inlineStr">
        <is>
          <t>성내동</t>
        </is>
      </c>
      <c r="AG1763" s="0" t="inlineStr">
        <is>
          <t>서울시 강동구 성안로 111</t>
        </is>
      </c>
      <c r="AH1763" s="0" t="n">
        <v>0</v>
      </c>
      <c r="AI1763" s="0" t="n">
        <v>0</v>
      </c>
      <c r="AJ1763" s="0" t="n">
        <v>0</v>
      </c>
      <c r="AK1763" s="0" t="n">
        <v>0</v>
      </c>
      <c r="AL1763" s="0" t="n">
        <v>0</v>
      </c>
    </row>
    <row r="1764">
      <c r="A1764" s="0" t="inlineStr">
        <is>
          <t>[성내동]</t>
        </is>
      </c>
      <c r="B1764" s="0" t="n">
        <v>115153</v>
      </c>
      <c r="C1764" s="0" t="n">
        <v>5</v>
      </c>
      <c r="D1764" s="0" t="inlineStr">
        <is>
          <t>화영(도시형)</t>
        </is>
      </c>
      <c r="E1764" s="0" t="inlineStr">
        <is>
          <t>2016.04.</t>
        </is>
      </c>
      <c r="F1764" s="0" t="n">
        <v>28</v>
      </c>
      <c r="G1764" s="0" t="n">
        <v>16.7</v>
      </c>
      <c r="H1764" s="0" t="n">
        <v>55.22</v>
      </c>
      <c r="I1764" s="0" t="n">
        <v>13.93</v>
      </c>
      <c r="J1764" s="0" t="n">
        <v>46.08</v>
      </c>
      <c r="K1764" s="0" t="n">
        <v>2</v>
      </c>
      <c r="T1764" s="0" t="n">
        <v>2</v>
      </c>
      <c r="U1764" s="0" t="n">
        <v>1</v>
      </c>
      <c r="V1764" s="0" t="inlineStr">
        <is>
          <t>계단식</t>
        </is>
      </c>
      <c r="W1764" s="0" t="inlineStr">
        <is>
          <t>55B</t>
        </is>
      </c>
      <c r="X1764" s="0" t="n">
        <v>6</v>
      </c>
      <c r="Y1764" s="0" t="n">
        <v>6</v>
      </c>
      <c r="Z1764" s="0" t="inlineStr">
        <is>
          <t>https://new.land.naver.com/complexes/115153?tab=detail&amp;rf=Y</t>
        </is>
      </c>
      <c r="AA1764" s="0" t="inlineStr">
        <is>
          <t>서울시 강동구 성내동 383-12</t>
        </is>
      </c>
      <c r="AB1764" s="0" t="inlineStr">
        <is>
          <t>서울시</t>
        </is>
      </c>
      <c r="AC1764" s="0" t="inlineStr">
        <is>
          <t>강동구</t>
        </is>
      </c>
      <c r="AD1764" s="0" t="inlineStr">
        <is>
          <t>성내동</t>
        </is>
      </c>
      <c r="AG1764" s="0" t="inlineStr">
        <is>
          <t>서울시 강동구 성안로 111</t>
        </is>
      </c>
      <c r="AH1764" s="0" t="n">
        <v>0</v>
      </c>
      <c r="AI1764" s="0" t="n">
        <v>0</v>
      </c>
      <c r="AJ1764" s="0" t="n">
        <v>0</v>
      </c>
      <c r="AK1764" s="0" t="n">
        <v>0</v>
      </c>
      <c r="AL1764" s="0" t="n">
        <v>0</v>
      </c>
    </row>
    <row r="1765">
      <c r="A1765" s="0" t="inlineStr">
        <is>
          <t>[성내동]</t>
        </is>
      </c>
      <c r="B1765" s="0" t="n">
        <v>115153</v>
      </c>
      <c r="C1765" s="0" t="n">
        <v>6</v>
      </c>
      <c r="D1765" s="0" t="inlineStr">
        <is>
          <t>화영(도시형)</t>
        </is>
      </c>
      <c r="E1765" s="0" t="inlineStr">
        <is>
          <t>2016.04.</t>
        </is>
      </c>
      <c r="F1765" s="0" t="n">
        <v>28</v>
      </c>
      <c r="G1765" s="0" t="n">
        <v>17.91</v>
      </c>
      <c r="H1765" s="0" t="n">
        <v>59.23</v>
      </c>
      <c r="I1765" s="0" t="n">
        <v>14.95</v>
      </c>
      <c r="J1765" s="0" t="n">
        <v>49.43</v>
      </c>
      <c r="K1765" s="0" t="n">
        <v>2</v>
      </c>
      <c r="T1765" s="0" t="n">
        <v>2</v>
      </c>
      <c r="U1765" s="0" t="n">
        <v>1</v>
      </c>
      <c r="V1765" s="0" t="inlineStr">
        <is>
          <t>계단식</t>
        </is>
      </c>
      <c r="W1765" s="0" t="n">
        <v>59</v>
      </c>
      <c r="X1765" s="0" t="n">
        <v>6</v>
      </c>
      <c r="Y1765" s="0" t="n">
        <v>6</v>
      </c>
      <c r="Z1765" s="0" t="inlineStr">
        <is>
          <t>https://new.land.naver.com/complexes/115153?tab=detail&amp;rf=Y</t>
        </is>
      </c>
      <c r="AA1765" s="0" t="inlineStr">
        <is>
          <t>서울시 강동구 성내동 383-12</t>
        </is>
      </c>
      <c r="AB1765" s="0" t="inlineStr">
        <is>
          <t>서울시</t>
        </is>
      </c>
      <c r="AC1765" s="0" t="inlineStr">
        <is>
          <t>강동구</t>
        </is>
      </c>
      <c r="AD1765" s="0" t="inlineStr">
        <is>
          <t>성내동</t>
        </is>
      </c>
      <c r="AG1765" s="0" t="inlineStr">
        <is>
          <t>서울시 강동구 성안로 111</t>
        </is>
      </c>
      <c r="AH1765" s="0" t="n">
        <v>0</v>
      </c>
      <c r="AI1765" s="0" t="n">
        <v>0</v>
      </c>
      <c r="AJ1765" s="0" t="n">
        <v>0</v>
      </c>
      <c r="AK1765" s="0" t="n">
        <v>0</v>
      </c>
      <c r="AL1765" s="0" t="n">
        <v>0</v>
      </c>
    </row>
    <row r="1766">
      <c r="A1766" s="0" t="inlineStr">
        <is>
          <t>[성내동]</t>
        </is>
      </c>
      <c r="B1766" s="0" t="n">
        <v>13594</v>
      </c>
      <c r="C1766" s="0" t="n">
        <v>1</v>
      </c>
      <c r="D1766" s="0" t="inlineStr">
        <is>
          <t>광남밸라스타워</t>
        </is>
      </c>
      <c r="E1766" s="0" t="inlineStr">
        <is>
          <t>2002.05.</t>
        </is>
      </c>
      <c r="F1766" s="0" t="n">
        <v>14</v>
      </c>
      <c r="G1766" s="0" t="n">
        <v>52.55</v>
      </c>
      <c r="H1766" s="0" t="n">
        <v>173.75</v>
      </c>
      <c r="I1766" s="0" t="n">
        <v>45.38</v>
      </c>
      <c r="J1766" s="0" t="n">
        <v>150.04</v>
      </c>
      <c r="K1766" s="0" t="n">
        <v>6</v>
      </c>
      <c r="T1766" s="0" t="n">
        <v>4</v>
      </c>
      <c r="U1766" s="0" t="n">
        <v>2</v>
      </c>
      <c r="V1766" s="0" t="inlineStr">
        <is>
          <t>계단식</t>
        </is>
      </c>
      <c r="W1766" s="0" t="n">
        <v>173</v>
      </c>
      <c r="X1766" s="0" t="n">
        <v>7</v>
      </c>
      <c r="Y1766" s="0" t="n">
        <v>7</v>
      </c>
      <c r="Z1766" s="0" t="inlineStr">
        <is>
          <t>https://new.land.naver.com/complexes/13594?tab=detail&amp;rf=Y</t>
        </is>
      </c>
      <c r="AA1766" s="0" t="inlineStr">
        <is>
          <t>서울시 강동구 성내동 445-4</t>
        </is>
      </c>
      <c r="AB1766" s="0" t="inlineStr">
        <is>
          <t>서울시</t>
        </is>
      </c>
      <c r="AC1766" s="0" t="inlineStr">
        <is>
          <t>강동구</t>
        </is>
      </c>
      <c r="AD1766" s="0" t="inlineStr">
        <is>
          <t>성내동</t>
        </is>
      </c>
      <c r="AG1766" s="0" t="inlineStr">
        <is>
          <t>서울시 강동구 강동대로53길 21</t>
        </is>
      </c>
      <c r="AH1766" s="0" t="n">
        <v>0</v>
      </c>
      <c r="AI1766" s="0" t="n">
        <v>199</v>
      </c>
      <c r="AJ1766" s="0" t="n">
        <v>34</v>
      </c>
      <c r="AK1766" s="0" t="n">
        <v>32</v>
      </c>
      <c r="AL1766" s="0" t="n">
        <v>2.29</v>
      </c>
    </row>
    <row r="1767">
      <c r="A1767" s="0" t="inlineStr">
        <is>
          <t>[성내동]</t>
        </is>
      </c>
      <c r="B1767" s="0" t="n">
        <v>13594</v>
      </c>
      <c r="C1767" s="0" t="n">
        <v>2</v>
      </c>
      <c r="D1767" s="0" t="inlineStr">
        <is>
          <t>광남밸라스타워</t>
        </is>
      </c>
      <c r="E1767" s="0" t="inlineStr">
        <is>
          <t>2002.05.</t>
        </is>
      </c>
      <c r="F1767" s="0" t="n">
        <v>14</v>
      </c>
      <c r="G1767" s="0" t="n">
        <v>53.92</v>
      </c>
      <c r="H1767" s="0" t="n">
        <v>178.27</v>
      </c>
      <c r="I1767" s="0" t="n">
        <v>46.56</v>
      </c>
      <c r="J1767" s="0" t="n">
        <v>153.95</v>
      </c>
      <c r="K1767" s="0" t="n">
        <v>1</v>
      </c>
      <c r="T1767" s="0" t="n">
        <v>4</v>
      </c>
      <c r="U1767" s="0" t="n">
        <v>2</v>
      </c>
      <c r="V1767" s="0" t="inlineStr">
        <is>
          <t>계단식</t>
        </is>
      </c>
      <c r="W1767" s="0" t="n">
        <v>178</v>
      </c>
      <c r="X1767" s="0" t="n">
        <v>7</v>
      </c>
      <c r="Y1767" s="0" t="n">
        <v>7</v>
      </c>
      <c r="Z1767" s="0" t="inlineStr">
        <is>
          <t>https://new.land.naver.com/complexes/13594?tab=detail&amp;rf=Y</t>
        </is>
      </c>
      <c r="AA1767" s="0" t="inlineStr">
        <is>
          <t>서울시 강동구 성내동 445-4</t>
        </is>
      </c>
      <c r="AB1767" s="0" t="inlineStr">
        <is>
          <t>서울시</t>
        </is>
      </c>
      <c r="AC1767" s="0" t="inlineStr">
        <is>
          <t>강동구</t>
        </is>
      </c>
      <c r="AD1767" s="0" t="inlineStr">
        <is>
          <t>성내동</t>
        </is>
      </c>
      <c r="AG1767" s="0" t="inlineStr">
        <is>
          <t>서울시 강동구 강동대로53길 21</t>
        </is>
      </c>
      <c r="AH1767" s="0" t="n">
        <v>0</v>
      </c>
      <c r="AI1767" s="0" t="n">
        <v>199</v>
      </c>
      <c r="AJ1767" s="0" t="n">
        <v>34</v>
      </c>
      <c r="AK1767" s="0" t="n">
        <v>32</v>
      </c>
      <c r="AL1767" s="0" t="n">
        <v>2.29</v>
      </c>
    </row>
    <row r="1768">
      <c r="A1768" s="0" t="inlineStr">
        <is>
          <t>[성내동]</t>
        </is>
      </c>
      <c r="B1768" s="0" t="n">
        <v>13594</v>
      </c>
      <c r="C1768" s="0" t="n">
        <v>3</v>
      </c>
      <c r="D1768" s="0" t="inlineStr">
        <is>
          <t>광남밸라스타워</t>
        </is>
      </c>
      <c r="E1768" s="0" t="inlineStr">
        <is>
          <t>2002.05.</t>
        </is>
      </c>
      <c r="F1768" s="0" t="n">
        <v>14</v>
      </c>
      <c r="G1768" s="0" t="n">
        <v>56.69</v>
      </c>
      <c r="H1768" s="0" t="n">
        <v>187.42</v>
      </c>
      <c r="I1768" s="0" t="n">
        <v>48.95</v>
      </c>
      <c r="J1768" s="0" t="n">
        <v>161.85</v>
      </c>
      <c r="K1768" s="0" t="n">
        <v>1</v>
      </c>
      <c r="T1768" s="0" t="n">
        <v>4</v>
      </c>
      <c r="U1768" s="0" t="n">
        <v>2</v>
      </c>
      <c r="V1768" s="0" t="inlineStr">
        <is>
          <t>계단식</t>
        </is>
      </c>
      <c r="W1768" s="0" t="n">
        <v>187</v>
      </c>
      <c r="X1768" s="0" t="n">
        <v>7</v>
      </c>
      <c r="Y1768" s="0" t="n">
        <v>7</v>
      </c>
      <c r="Z1768" s="0" t="inlineStr">
        <is>
          <t>https://new.land.naver.com/complexes/13594?tab=detail&amp;rf=Y</t>
        </is>
      </c>
      <c r="AA1768" s="0" t="inlineStr">
        <is>
          <t>서울시 강동구 성내동 445-4</t>
        </is>
      </c>
      <c r="AB1768" s="0" t="inlineStr">
        <is>
          <t>서울시</t>
        </is>
      </c>
      <c r="AC1768" s="0" t="inlineStr">
        <is>
          <t>강동구</t>
        </is>
      </c>
      <c r="AD1768" s="0" t="inlineStr">
        <is>
          <t>성내동</t>
        </is>
      </c>
      <c r="AG1768" s="0" t="inlineStr">
        <is>
          <t>서울시 강동구 강동대로53길 21</t>
        </is>
      </c>
      <c r="AH1768" s="0" t="n">
        <v>0</v>
      </c>
      <c r="AI1768" s="0" t="n">
        <v>199</v>
      </c>
      <c r="AJ1768" s="0" t="n">
        <v>34</v>
      </c>
      <c r="AK1768" s="0" t="n">
        <v>32</v>
      </c>
      <c r="AL1768" s="0" t="n">
        <v>2.29</v>
      </c>
    </row>
    <row r="1769">
      <c r="A1769" s="0" t="inlineStr">
        <is>
          <t>[성내동]</t>
        </is>
      </c>
      <c r="B1769" s="0" t="n">
        <v>13594</v>
      </c>
      <c r="C1769" s="0" t="n">
        <v>4</v>
      </c>
      <c r="D1769" s="0" t="inlineStr">
        <is>
          <t>광남밸라스타워</t>
        </is>
      </c>
      <c r="E1769" s="0" t="inlineStr">
        <is>
          <t>2002.05.</t>
        </is>
      </c>
      <c r="F1769" s="0" t="n">
        <v>14</v>
      </c>
      <c r="G1769" s="0" t="n">
        <v>57.56</v>
      </c>
      <c r="H1769" s="0" t="n">
        <v>190.3</v>
      </c>
      <c r="I1769" s="0" t="n">
        <v>49.7</v>
      </c>
      <c r="J1769" s="0" t="n">
        <v>164.33</v>
      </c>
      <c r="K1769" s="0" t="n">
        <v>6</v>
      </c>
      <c r="T1769" s="0" t="n">
        <v>4</v>
      </c>
      <c r="U1769" s="0" t="n">
        <v>2</v>
      </c>
      <c r="V1769" s="0" t="inlineStr">
        <is>
          <t>계단식</t>
        </is>
      </c>
      <c r="W1769" s="0" t="n">
        <v>190</v>
      </c>
      <c r="X1769" s="0" t="n">
        <v>7</v>
      </c>
      <c r="Y1769" s="0" t="n">
        <v>7</v>
      </c>
      <c r="Z1769" s="0" t="inlineStr">
        <is>
          <t>https://new.land.naver.com/complexes/13594?tab=detail&amp;rf=Y</t>
        </is>
      </c>
      <c r="AA1769" s="0" t="inlineStr">
        <is>
          <t>서울시 강동구 성내동 445-4</t>
        </is>
      </c>
      <c r="AB1769" s="0" t="inlineStr">
        <is>
          <t>서울시</t>
        </is>
      </c>
      <c r="AC1769" s="0" t="inlineStr">
        <is>
          <t>강동구</t>
        </is>
      </c>
      <c r="AD1769" s="0" t="inlineStr">
        <is>
          <t>성내동</t>
        </is>
      </c>
      <c r="AG1769" s="0" t="inlineStr">
        <is>
          <t>서울시 강동구 강동대로53길 21</t>
        </is>
      </c>
      <c r="AH1769" s="0" t="n">
        <v>0</v>
      </c>
      <c r="AI1769" s="0" t="n">
        <v>199</v>
      </c>
      <c r="AJ1769" s="0" t="n">
        <v>34</v>
      </c>
      <c r="AK1769" s="0" t="n">
        <v>32</v>
      </c>
      <c r="AL1769" s="0" t="n">
        <v>2.29</v>
      </c>
    </row>
    <row r="1770">
      <c r="A1770" s="0" t="inlineStr">
        <is>
          <t>[성내동]</t>
        </is>
      </c>
      <c r="B1770" s="0" t="n">
        <v>18282</v>
      </c>
      <c r="C1770" s="0" t="n">
        <v>1</v>
      </c>
      <c r="D1770" s="0" t="inlineStr">
        <is>
          <t>이안강동</t>
        </is>
      </c>
      <c r="E1770" s="0" t="inlineStr">
        <is>
          <t>2006.01.</t>
        </is>
      </c>
      <c r="F1770" s="0" t="n">
        <v>64</v>
      </c>
      <c r="G1770" s="0" t="n">
        <v>25.28</v>
      </c>
      <c r="H1770" s="0" t="n">
        <v>83.58</v>
      </c>
      <c r="I1770" s="0" t="n">
        <v>20.75</v>
      </c>
      <c r="J1770" s="0" t="n">
        <v>68.61</v>
      </c>
      <c r="K1770" s="0" t="n">
        <v>2</v>
      </c>
      <c r="T1770" s="0" t="n">
        <v>3</v>
      </c>
      <c r="U1770" s="0" t="n">
        <v>2</v>
      </c>
      <c r="V1770" s="0" t="inlineStr">
        <is>
          <t>계단식</t>
        </is>
      </c>
      <c r="W1770" s="0" t="n">
        <v>83</v>
      </c>
      <c r="X1770" s="0" t="n">
        <v>12</v>
      </c>
      <c r="Y1770" s="0" t="n">
        <v>6</v>
      </c>
      <c r="Z1770" s="0" t="inlineStr">
        <is>
          <t>https://new.land.naver.com/complexes/18282?tab=detail&amp;rf=Y</t>
        </is>
      </c>
      <c r="AA1770" s="0" t="inlineStr">
        <is>
          <t>서울시 강동구 성내동 25-1</t>
        </is>
      </c>
      <c r="AB1770" s="0" t="inlineStr">
        <is>
          <t>서울시</t>
        </is>
      </c>
      <c r="AC1770" s="0" t="inlineStr">
        <is>
          <t>강동구</t>
        </is>
      </c>
      <c r="AD1770" s="0" t="inlineStr">
        <is>
          <t>성내동</t>
        </is>
      </c>
      <c r="AG1770" s="0" t="inlineStr">
        <is>
          <t>서울시 강동구 천호대로162길 34</t>
        </is>
      </c>
      <c r="AH1770" s="0" t="n">
        <v>0</v>
      </c>
      <c r="AI1770" s="0" t="n">
        <v>287</v>
      </c>
      <c r="AJ1770" s="0" t="n">
        <v>51</v>
      </c>
      <c r="AK1770" s="0" t="n">
        <v>116</v>
      </c>
      <c r="AL1770" s="0" t="n">
        <v>1.81</v>
      </c>
    </row>
    <row r="1771">
      <c r="A1771" s="0" t="inlineStr">
        <is>
          <t>[성내동]</t>
        </is>
      </c>
      <c r="B1771" s="0" t="n">
        <v>18282</v>
      </c>
      <c r="C1771" s="0" t="n">
        <v>2</v>
      </c>
      <c r="D1771" s="0" t="inlineStr">
        <is>
          <t>이안강동</t>
        </is>
      </c>
      <c r="E1771" s="0" t="inlineStr">
        <is>
          <t>2006.01.</t>
        </is>
      </c>
      <c r="F1771" s="0" t="n">
        <v>64</v>
      </c>
      <c r="G1771" s="0" t="n">
        <v>25.16</v>
      </c>
      <c r="H1771" s="0" t="n">
        <v>83.19</v>
      </c>
      <c r="I1771" s="0" t="n">
        <v>20.65</v>
      </c>
      <c r="J1771" s="0" t="n">
        <v>68.29000000000001</v>
      </c>
      <c r="K1771" s="0" t="n">
        <v>2</v>
      </c>
      <c r="T1771" s="0" t="n">
        <v>3</v>
      </c>
      <c r="U1771" s="0" t="n">
        <v>2</v>
      </c>
      <c r="V1771" s="0" t="inlineStr">
        <is>
          <t>계단식</t>
        </is>
      </c>
      <c r="W1771" s="0" t="inlineStr">
        <is>
          <t>83F</t>
        </is>
      </c>
      <c r="X1771" s="0" t="n">
        <v>12</v>
      </c>
      <c r="Y1771" s="0" t="n">
        <v>6</v>
      </c>
      <c r="Z1771" s="0" t="inlineStr">
        <is>
          <t>https://new.land.naver.com/complexes/18282?tab=detail&amp;rf=Y</t>
        </is>
      </c>
      <c r="AA1771" s="0" t="inlineStr">
        <is>
          <t>서울시 강동구 성내동 25-1</t>
        </is>
      </c>
      <c r="AB1771" s="0" t="inlineStr">
        <is>
          <t>서울시</t>
        </is>
      </c>
      <c r="AC1771" s="0" t="inlineStr">
        <is>
          <t>강동구</t>
        </is>
      </c>
      <c r="AD1771" s="0" t="inlineStr">
        <is>
          <t>성내동</t>
        </is>
      </c>
      <c r="AG1771" s="0" t="inlineStr">
        <is>
          <t>서울시 강동구 천호대로162길 34</t>
        </is>
      </c>
      <c r="AH1771" s="0" t="n">
        <v>0</v>
      </c>
      <c r="AI1771" s="0" t="n">
        <v>287</v>
      </c>
      <c r="AJ1771" s="0" t="n">
        <v>51</v>
      </c>
      <c r="AK1771" s="0" t="n">
        <v>116</v>
      </c>
      <c r="AL1771" s="0" t="n">
        <v>1.81</v>
      </c>
    </row>
    <row r="1772">
      <c r="A1772" s="0" t="inlineStr">
        <is>
          <t>[성내동]</t>
        </is>
      </c>
      <c r="B1772" s="0" t="n">
        <v>18282</v>
      </c>
      <c r="C1772" s="0" t="n">
        <v>3</v>
      </c>
      <c r="D1772" s="0" t="inlineStr">
        <is>
          <t>이안강동</t>
        </is>
      </c>
      <c r="E1772" s="0" t="inlineStr">
        <is>
          <t>2006.01.</t>
        </is>
      </c>
      <c r="F1772" s="0" t="n">
        <v>64</v>
      </c>
      <c r="G1772" s="0" t="n">
        <v>28.55</v>
      </c>
      <c r="H1772" s="0" t="n">
        <v>94.40000000000001</v>
      </c>
      <c r="I1772" s="0" t="n">
        <v>23.44</v>
      </c>
      <c r="J1772" s="0" t="n">
        <v>77.48999999999999</v>
      </c>
      <c r="K1772" s="0" t="n">
        <v>10</v>
      </c>
      <c r="T1772" s="0" t="n">
        <v>3</v>
      </c>
      <c r="U1772" s="0" t="n">
        <v>2</v>
      </c>
      <c r="V1772" s="0" t="inlineStr">
        <is>
          <t>계단식</t>
        </is>
      </c>
      <c r="W1772" s="0" t="inlineStr">
        <is>
          <t>94D</t>
        </is>
      </c>
      <c r="X1772" s="0" t="n">
        <v>12</v>
      </c>
      <c r="Y1772" s="0" t="n">
        <v>6</v>
      </c>
      <c r="Z1772" s="0" t="inlineStr">
        <is>
          <t>https://new.land.naver.com/complexes/18282?tab=detail&amp;rf=Y</t>
        </is>
      </c>
      <c r="AA1772" s="0" t="inlineStr">
        <is>
          <t>서울시 강동구 성내동 25-1</t>
        </is>
      </c>
      <c r="AB1772" s="0" t="inlineStr">
        <is>
          <t>서울시</t>
        </is>
      </c>
      <c r="AC1772" s="0" t="inlineStr">
        <is>
          <t>강동구</t>
        </is>
      </c>
      <c r="AD1772" s="0" t="inlineStr">
        <is>
          <t>성내동</t>
        </is>
      </c>
      <c r="AG1772" s="0" t="inlineStr">
        <is>
          <t>서울시 강동구 천호대로162길 34</t>
        </is>
      </c>
      <c r="AH1772" s="0" t="n">
        <v>0</v>
      </c>
      <c r="AI1772" s="0" t="n">
        <v>287</v>
      </c>
      <c r="AJ1772" s="0" t="n">
        <v>51</v>
      </c>
      <c r="AK1772" s="0" t="n">
        <v>116</v>
      </c>
      <c r="AL1772" s="0" t="n">
        <v>1.81</v>
      </c>
    </row>
    <row r="1773">
      <c r="A1773" s="0" t="inlineStr">
        <is>
          <t>[성내동]</t>
        </is>
      </c>
      <c r="B1773" s="0" t="n">
        <v>18282</v>
      </c>
      <c r="C1773" s="0" t="n">
        <v>4</v>
      </c>
      <c r="D1773" s="0" t="inlineStr">
        <is>
          <t>이안강동</t>
        </is>
      </c>
      <c r="E1773" s="0" t="inlineStr">
        <is>
          <t>2006.01.</t>
        </is>
      </c>
      <c r="F1773" s="0" t="n">
        <v>64</v>
      </c>
      <c r="G1773" s="0" t="n">
        <v>29.56</v>
      </c>
      <c r="H1773" s="0" t="n">
        <v>97.72</v>
      </c>
      <c r="I1773" s="0" t="n">
        <v>24.26</v>
      </c>
      <c r="J1773" s="0" t="n">
        <v>80.20999999999999</v>
      </c>
      <c r="K1773" s="0" t="n">
        <v>2</v>
      </c>
      <c r="T1773" s="0" t="n">
        <v>3</v>
      </c>
      <c r="U1773" s="0" t="n">
        <v>2</v>
      </c>
      <c r="V1773" s="0" t="inlineStr">
        <is>
          <t>계단식</t>
        </is>
      </c>
      <c r="W1773" s="0" t="inlineStr">
        <is>
          <t>97E</t>
        </is>
      </c>
      <c r="X1773" s="0" t="n">
        <v>12</v>
      </c>
      <c r="Y1773" s="0" t="n">
        <v>6</v>
      </c>
      <c r="Z1773" s="0" t="inlineStr">
        <is>
          <t>https://new.land.naver.com/complexes/18282?tab=detail&amp;rf=Y</t>
        </is>
      </c>
      <c r="AA1773" s="0" t="inlineStr">
        <is>
          <t>서울시 강동구 성내동 25-1</t>
        </is>
      </c>
      <c r="AB1773" s="0" t="inlineStr">
        <is>
          <t>서울시</t>
        </is>
      </c>
      <c r="AC1773" s="0" t="inlineStr">
        <is>
          <t>강동구</t>
        </is>
      </c>
      <c r="AD1773" s="0" t="inlineStr">
        <is>
          <t>성내동</t>
        </is>
      </c>
      <c r="AG1773" s="0" t="inlineStr">
        <is>
          <t>서울시 강동구 천호대로162길 34</t>
        </is>
      </c>
      <c r="AH1773" s="0" t="n">
        <v>0</v>
      </c>
      <c r="AI1773" s="0" t="n">
        <v>287</v>
      </c>
      <c r="AJ1773" s="0" t="n">
        <v>51</v>
      </c>
      <c r="AK1773" s="0" t="n">
        <v>116</v>
      </c>
      <c r="AL1773" s="0" t="n">
        <v>1.81</v>
      </c>
    </row>
    <row r="1774">
      <c r="A1774" s="0" t="inlineStr">
        <is>
          <t>[성내동]</t>
        </is>
      </c>
      <c r="B1774" s="0" t="n">
        <v>18282</v>
      </c>
      <c r="C1774" s="0" t="n">
        <v>5</v>
      </c>
      <c r="D1774" s="0" t="inlineStr">
        <is>
          <t>이안강동</t>
        </is>
      </c>
      <c r="E1774" s="0" t="inlineStr">
        <is>
          <t>2006.01.</t>
        </is>
      </c>
      <c r="F1774" s="0" t="n">
        <v>64</v>
      </c>
      <c r="G1774" s="0" t="n">
        <v>31.27</v>
      </c>
      <c r="H1774" s="0" t="n">
        <v>103.39</v>
      </c>
      <c r="I1774" s="0" t="n">
        <v>25.67</v>
      </c>
      <c r="J1774" s="0" t="n">
        <v>84.87</v>
      </c>
      <c r="K1774" s="0" t="n">
        <v>4</v>
      </c>
      <c r="T1774" s="0" t="n">
        <v>3</v>
      </c>
      <c r="U1774" s="0" t="n">
        <v>2</v>
      </c>
      <c r="V1774" s="0" t="inlineStr">
        <is>
          <t>계단식</t>
        </is>
      </c>
      <c r="W1774" s="0" t="inlineStr">
        <is>
          <t>103C</t>
        </is>
      </c>
      <c r="X1774" s="0" t="n">
        <v>12</v>
      </c>
      <c r="Y1774" s="0" t="n">
        <v>6</v>
      </c>
      <c r="Z1774" s="0" t="inlineStr">
        <is>
          <t>https://new.land.naver.com/complexes/18282?tab=detail&amp;rf=Y</t>
        </is>
      </c>
      <c r="AA1774" s="0" t="inlineStr">
        <is>
          <t>서울시 강동구 성내동 25-1</t>
        </is>
      </c>
      <c r="AB1774" s="0" t="inlineStr">
        <is>
          <t>서울시</t>
        </is>
      </c>
      <c r="AC1774" s="0" t="inlineStr">
        <is>
          <t>강동구</t>
        </is>
      </c>
      <c r="AD1774" s="0" t="inlineStr">
        <is>
          <t>성내동</t>
        </is>
      </c>
      <c r="AG1774" s="0" t="inlineStr">
        <is>
          <t>서울시 강동구 천호대로162길 34</t>
        </is>
      </c>
      <c r="AH1774" s="0" t="n">
        <v>0</v>
      </c>
      <c r="AI1774" s="0" t="n">
        <v>287</v>
      </c>
      <c r="AJ1774" s="0" t="n">
        <v>51</v>
      </c>
      <c r="AK1774" s="0" t="n">
        <v>116</v>
      </c>
      <c r="AL1774" s="0" t="n">
        <v>1.81</v>
      </c>
    </row>
    <row r="1775">
      <c r="A1775" s="0" t="inlineStr">
        <is>
          <t>[성내동]</t>
        </is>
      </c>
      <c r="B1775" s="0" t="n">
        <v>18282</v>
      </c>
      <c r="C1775" s="0" t="n">
        <v>6</v>
      </c>
      <c r="D1775" s="0" t="inlineStr">
        <is>
          <t>이안강동</t>
        </is>
      </c>
      <c r="E1775" s="0" t="inlineStr">
        <is>
          <t>2006.01.</t>
        </is>
      </c>
      <c r="F1775" s="0" t="n">
        <v>64</v>
      </c>
      <c r="G1775" s="0" t="n">
        <v>31.31</v>
      </c>
      <c r="H1775" s="0" t="n">
        <v>103.53</v>
      </c>
      <c r="I1775" s="0" t="n">
        <v>25.7</v>
      </c>
      <c r="J1775" s="0" t="n">
        <v>84.98999999999999</v>
      </c>
      <c r="K1775" s="0" t="n">
        <v>4</v>
      </c>
      <c r="T1775" s="0" t="n">
        <v>3</v>
      </c>
      <c r="U1775" s="0" t="n">
        <v>2</v>
      </c>
      <c r="V1775" s="0" t="inlineStr">
        <is>
          <t>계단식</t>
        </is>
      </c>
      <c r="W1775" s="0" t="inlineStr">
        <is>
          <t>103C1</t>
        </is>
      </c>
      <c r="X1775" s="0" t="n">
        <v>12</v>
      </c>
      <c r="Y1775" s="0" t="n">
        <v>6</v>
      </c>
      <c r="Z1775" s="0" t="inlineStr">
        <is>
          <t>https://new.land.naver.com/complexes/18282?tab=detail&amp;rf=Y</t>
        </is>
      </c>
      <c r="AA1775" s="0" t="inlineStr">
        <is>
          <t>서울시 강동구 성내동 25-1</t>
        </is>
      </c>
      <c r="AB1775" s="0" t="inlineStr">
        <is>
          <t>서울시</t>
        </is>
      </c>
      <c r="AC1775" s="0" t="inlineStr">
        <is>
          <t>강동구</t>
        </is>
      </c>
      <c r="AD1775" s="0" t="inlineStr">
        <is>
          <t>성내동</t>
        </is>
      </c>
      <c r="AG1775" s="0" t="inlineStr">
        <is>
          <t>서울시 강동구 천호대로162길 34</t>
        </is>
      </c>
      <c r="AH1775" s="0" t="n">
        <v>0</v>
      </c>
      <c r="AI1775" s="0" t="n">
        <v>287</v>
      </c>
      <c r="AJ1775" s="0" t="n">
        <v>51</v>
      </c>
      <c r="AK1775" s="0" t="n">
        <v>116</v>
      </c>
      <c r="AL1775" s="0" t="n">
        <v>1.81</v>
      </c>
    </row>
    <row r="1776">
      <c r="A1776" s="0" t="inlineStr">
        <is>
          <t>[성내동]</t>
        </is>
      </c>
      <c r="B1776" s="0" t="n">
        <v>18282</v>
      </c>
      <c r="C1776" s="0" t="n">
        <v>7</v>
      </c>
      <c r="D1776" s="0" t="inlineStr">
        <is>
          <t>이안강동</t>
        </is>
      </c>
      <c r="E1776" s="0" t="inlineStr">
        <is>
          <t>2006.01.</t>
        </is>
      </c>
      <c r="F1776" s="0" t="n">
        <v>64</v>
      </c>
      <c r="G1776" s="0" t="n">
        <v>32.67</v>
      </c>
      <c r="H1776" s="0" t="n">
        <v>108.02</v>
      </c>
      <c r="I1776" s="0" t="n">
        <v>25.6</v>
      </c>
      <c r="J1776" s="0" t="n">
        <v>84.63</v>
      </c>
      <c r="K1776" s="0" t="n">
        <v>4</v>
      </c>
      <c r="T1776" s="0" t="n">
        <v>3</v>
      </c>
      <c r="U1776" s="0" t="n">
        <v>2</v>
      </c>
      <c r="V1776" s="0" t="inlineStr">
        <is>
          <t>계단식</t>
        </is>
      </c>
      <c r="W1776" s="0" t="inlineStr">
        <is>
          <t>108B</t>
        </is>
      </c>
      <c r="X1776" s="0" t="n">
        <v>12</v>
      </c>
      <c r="Y1776" s="0" t="n">
        <v>6</v>
      </c>
      <c r="Z1776" s="0" t="inlineStr">
        <is>
          <t>https://new.land.naver.com/complexes/18282?tab=detail&amp;rf=Y</t>
        </is>
      </c>
      <c r="AA1776" s="0" t="inlineStr">
        <is>
          <t>서울시 강동구 성내동 25-1</t>
        </is>
      </c>
      <c r="AB1776" s="0" t="inlineStr">
        <is>
          <t>서울시</t>
        </is>
      </c>
      <c r="AC1776" s="0" t="inlineStr">
        <is>
          <t>강동구</t>
        </is>
      </c>
      <c r="AD1776" s="0" t="inlineStr">
        <is>
          <t>성내동</t>
        </is>
      </c>
      <c r="AG1776" s="0" t="inlineStr">
        <is>
          <t>서울시 강동구 천호대로162길 34</t>
        </is>
      </c>
      <c r="AH1776" s="0" t="n">
        <v>0</v>
      </c>
      <c r="AI1776" s="0" t="n">
        <v>287</v>
      </c>
      <c r="AJ1776" s="0" t="n">
        <v>51</v>
      </c>
      <c r="AK1776" s="0" t="n">
        <v>116</v>
      </c>
      <c r="AL1776" s="0" t="n">
        <v>1.81</v>
      </c>
    </row>
    <row r="1777">
      <c r="A1777" s="0" t="inlineStr">
        <is>
          <t>[성내동]</t>
        </is>
      </c>
      <c r="B1777" s="0" t="n">
        <v>18282</v>
      </c>
      <c r="C1777" s="0" t="n">
        <v>8</v>
      </c>
      <c r="D1777" s="0" t="inlineStr">
        <is>
          <t>이안강동</t>
        </is>
      </c>
      <c r="E1777" s="0" t="inlineStr">
        <is>
          <t>2006.01.</t>
        </is>
      </c>
      <c r="F1777" s="0" t="n">
        <v>64</v>
      </c>
      <c r="G1777" s="0" t="n">
        <v>33.37</v>
      </c>
      <c r="H1777" s="0" t="n">
        <v>110.32</v>
      </c>
      <c r="I1777" s="0" t="n">
        <v>25.55</v>
      </c>
      <c r="J1777" s="0" t="n">
        <v>84.47</v>
      </c>
      <c r="K1777" s="0" t="n">
        <v>18</v>
      </c>
      <c r="T1777" s="0" t="n">
        <v>3</v>
      </c>
      <c r="U1777" s="0" t="n">
        <v>2</v>
      </c>
      <c r="V1777" s="0" t="inlineStr">
        <is>
          <t>계단식</t>
        </is>
      </c>
      <c r="W1777" s="0" t="inlineStr">
        <is>
          <t>110A</t>
        </is>
      </c>
      <c r="X1777" s="0" t="n">
        <v>12</v>
      </c>
      <c r="Y1777" s="0" t="n">
        <v>6</v>
      </c>
      <c r="Z1777" s="0" t="inlineStr">
        <is>
          <t>https://new.land.naver.com/complexes/18282?tab=detail&amp;rf=Y</t>
        </is>
      </c>
      <c r="AA1777" s="0" t="inlineStr">
        <is>
          <t>서울시 강동구 성내동 25-1</t>
        </is>
      </c>
      <c r="AB1777" s="0" t="inlineStr">
        <is>
          <t>서울시</t>
        </is>
      </c>
      <c r="AC1777" s="0" t="inlineStr">
        <is>
          <t>강동구</t>
        </is>
      </c>
      <c r="AD1777" s="0" t="inlineStr">
        <is>
          <t>성내동</t>
        </is>
      </c>
      <c r="AG1777" s="0" t="inlineStr">
        <is>
          <t>서울시 강동구 천호대로162길 34</t>
        </is>
      </c>
      <c r="AH1777" s="0" t="n">
        <v>0</v>
      </c>
      <c r="AI1777" s="0" t="n">
        <v>287</v>
      </c>
      <c r="AJ1777" s="0" t="n">
        <v>51</v>
      </c>
      <c r="AK1777" s="0" t="n">
        <v>116</v>
      </c>
      <c r="AL1777" s="0" t="n">
        <v>1.81</v>
      </c>
    </row>
    <row r="1778">
      <c r="A1778" s="0" t="inlineStr">
        <is>
          <t>[성내동]</t>
        </is>
      </c>
      <c r="B1778" s="0" t="n">
        <v>18282</v>
      </c>
      <c r="C1778" s="0" t="n">
        <v>9</v>
      </c>
      <c r="D1778" s="0" t="inlineStr">
        <is>
          <t>이안강동</t>
        </is>
      </c>
      <c r="E1778" s="0" t="inlineStr">
        <is>
          <t>2006.01.</t>
        </is>
      </c>
      <c r="F1778" s="0" t="n">
        <v>64</v>
      </c>
      <c r="G1778" s="0" t="n">
        <v>33.55</v>
      </c>
      <c r="H1778" s="0" t="n">
        <v>110.94</v>
      </c>
      <c r="I1778" s="0" t="n">
        <v>25.7</v>
      </c>
      <c r="J1778" s="0" t="n">
        <v>84.98</v>
      </c>
      <c r="K1778" s="0" t="n">
        <v>18</v>
      </c>
      <c r="T1778" s="0" t="n">
        <v>3</v>
      </c>
      <c r="U1778" s="0" t="n">
        <v>2</v>
      </c>
      <c r="V1778" s="0" t="inlineStr">
        <is>
          <t>계단식</t>
        </is>
      </c>
      <c r="W1778" s="0" t="inlineStr">
        <is>
          <t>110A</t>
        </is>
      </c>
      <c r="X1778" s="0" t="n">
        <v>12</v>
      </c>
      <c r="Y1778" s="0" t="n">
        <v>6</v>
      </c>
      <c r="Z1778" s="0" t="inlineStr">
        <is>
          <t>https://new.land.naver.com/complexes/18282?tab=detail&amp;rf=Y</t>
        </is>
      </c>
      <c r="AA1778" s="0" t="inlineStr">
        <is>
          <t>서울시 강동구 성내동 25-1</t>
        </is>
      </c>
      <c r="AB1778" s="0" t="inlineStr">
        <is>
          <t>서울시</t>
        </is>
      </c>
      <c r="AC1778" s="0" t="inlineStr">
        <is>
          <t>강동구</t>
        </is>
      </c>
      <c r="AD1778" s="0" t="inlineStr">
        <is>
          <t>성내동</t>
        </is>
      </c>
      <c r="AG1778" s="0" t="inlineStr">
        <is>
          <t>서울시 강동구 천호대로162길 34</t>
        </is>
      </c>
      <c r="AH1778" s="0" t="n">
        <v>0</v>
      </c>
      <c r="AI1778" s="0" t="n">
        <v>287</v>
      </c>
      <c r="AJ1778" s="0" t="n">
        <v>51</v>
      </c>
      <c r="AK1778" s="0" t="n">
        <v>116</v>
      </c>
      <c r="AL1778" s="0" t="n">
        <v>1.81</v>
      </c>
    </row>
    <row r="1779">
      <c r="A1779" s="0" t="inlineStr">
        <is>
          <t>[성내동]</t>
        </is>
      </c>
      <c r="B1779" s="0" t="n">
        <v>113116</v>
      </c>
      <c r="C1779" s="0" t="n">
        <v>1</v>
      </c>
      <c r="D1779" s="0" t="inlineStr">
        <is>
          <t>대우파크빌(도시형)</t>
        </is>
      </c>
      <c r="E1779" s="0" t="inlineStr">
        <is>
          <t>2013.04.</t>
        </is>
      </c>
      <c r="F1779" s="0" t="n">
        <v>15</v>
      </c>
      <c r="G1779" s="0" t="n">
        <v>5.32</v>
      </c>
      <c r="H1779" s="0" t="n">
        <v>17.59</v>
      </c>
      <c r="I1779" s="0" t="n">
        <v>4.23</v>
      </c>
      <c r="J1779" s="0" t="n">
        <v>14</v>
      </c>
      <c r="K1779" s="0" t="n">
        <v>1</v>
      </c>
      <c r="T1779" s="0" t="n">
        <v>1</v>
      </c>
      <c r="U1779" s="0" t="n">
        <v>1</v>
      </c>
      <c r="V1779" s="0" t="inlineStr">
        <is>
          <t>계단식</t>
        </is>
      </c>
      <c r="W1779" s="0" t="n">
        <v>17</v>
      </c>
      <c r="X1779" s="0" t="n">
        <v>5</v>
      </c>
      <c r="Y1779" s="0" t="n">
        <v>2</v>
      </c>
      <c r="Z1779" s="0" t="inlineStr">
        <is>
          <t>https://new.land.naver.com/complexes/113116?tab=detail&amp;rf=Y</t>
        </is>
      </c>
      <c r="AA1779" s="0" t="inlineStr">
        <is>
          <t>서울시 강동구 성내동 224-33</t>
        </is>
      </c>
      <c r="AB1779" s="0" t="inlineStr">
        <is>
          <t>서울시</t>
        </is>
      </c>
      <c r="AC1779" s="0" t="inlineStr">
        <is>
          <t>강동구</t>
        </is>
      </c>
      <c r="AD1779" s="0" t="inlineStr">
        <is>
          <t>성내동</t>
        </is>
      </c>
      <c r="AG1779" s="0" t="inlineStr">
        <is>
          <t>서울시 강동구 풍성로41길 64-20</t>
        </is>
      </c>
      <c r="AH1779" s="0" t="n">
        <v>0</v>
      </c>
      <c r="AI1779" s="0" t="n">
        <v>169</v>
      </c>
      <c r="AJ1779" s="0" t="n">
        <v>59</v>
      </c>
      <c r="AK1779" s="0" t="n">
        <v>10</v>
      </c>
      <c r="AL1779" s="0" t="n">
        <v>0.67</v>
      </c>
    </row>
    <row r="1780">
      <c r="A1780" s="0" t="inlineStr">
        <is>
          <t>[성내동]</t>
        </is>
      </c>
      <c r="B1780" s="0" t="n">
        <v>113116</v>
      </c>
      <c r="C1780" s="0" t="n">
        <v>2</v>
      </c>
      <c r="D1780" s="0" t="inlineStr">
        <is>
          <t>대우파크빌(도시형)</t>
        </is>
      </c>
      <c r="E1780" s="0" t="inlineStr">
        <is>
          <t>2013.04.</t>
        </is>
      </c>
      <c r="F1780" s="0" t="n">
        <v>15</v>
      </c>
      <c r="G1780" s="0" t="n">
        <v>7.13</v>
      </c>
      <c r="H1780" s="0" t="n">
        <v>23.6</v>
      </c>
      <c r="I1780" s="0" t="n">
        <v>5.68</v>
      </c>
      <c r="J1780" s="0" t="n">
        <v>18.78</v>
      </c>
      <c r="K1780" s="0" t="n">
        <v>1</v>
      </c>
      <c r="T1780" s="0" t="n">
        <v>1</v>
      </c>
      <c r="U1780" s="0" t="n">
        <v>1</v>
      </c>
      <c r="V1780" s="0" t="inlineStr">
        <is>
          <t>계단식</t>
        </is>
      </c>
      <c r="W1780" s="0" t="inlineStr">
        <is>
          <t>23A</t>
        </is>
      </c>
      <c r="X1780" s="0" t="n">
        <v>5</v>
      </c>
      <c r="Y1780" s="0" t="n">
        <v>2</v>
      </c>
      <c r="Z1780" s="0" t="inlineStr">
        <is>
          <t>https://new.land.naver.com/complexes/113116?tab=detail&amp;rf=Y</t>
        </is>
      </c>
      <c r="AA1780" s="0" t="inlineStr">
        <is>
          <t>서울시 강동구 성내동 224-33</t>
        </is>
      </c>
      <c r="AB1780" s="0" t="inlineStr">
        <is>
          <t>서울시</t>
        </is>
      </c>
      <c r="AC1780" s="0" t="inlineStr">
        <is>
          <t>강동구</t>
        </is>
      </c>
      <c r="AD1780" s="0" t="inlineStr">
        <is>
          <t>성내동</t>
        </is>
      </c>
      <c r="AG1780" s="0" t="inlineStr">
        <is>
          <t>서울시 강동구 풍성로41길 64-20</t>
        </is>
      </c>
      <c r="AH1780" s="0" t="n">
        <v>0</v>
      </c>
      <c r="AI1780" s="0" t="n">
        <v>169</v>
      </c>
      <c r="AJ1780" s="0" t="n">
        <v>59</v>
      </c>
      <c r="AK1780" s="0" t="n">
        <v>10</v>
      </c>
      <c r="AL1780" s="0" t="n">
        <v>0.67</v>
      </c>
    </row>
    <row r="1781">
      <c r="A1781" s="0" t="inlineStr">
        <is>
          <t>[성내동]</t>
        </is>
      </c>
      <c r="B1781" s="0" t="n">
        <v>113116</v>
      </c>
      <c r="C1781" s="0" t="n">
        <v>3</v>
      </c>
      <c r="D1781" s="0" t="inlineStr">
        <is>
          <t>대우파크빌(도시형)</t>
        </is>
      </c>
      <c r="E1781" s="0" t="inlineStr">
        <is>
          <t>2013.04.</t>
        </is>
      </c>
      <c r="F1781" s="0" t="n">
        <v>15</v>
      </c>
      <c r="G1781" s="0" t="n">
        <v>7.37</v>
      </c>
      <c r="H1781" s="0" t="n">
        <v>24.38</v>
      </c>
      <c r="I1781" s="0" t="n">
        <v>5.86</v>
      </c>
      <c r="J1781" s="0" t="n">
        <v>19.4</v>
      </c>
      <c r="K1781" s="0" t="n">
        <v>1</v>
      </c>
      <c r="T1781" s="0" t="n">
        <v>1</v>
      </c>
      <c r="U1781" s="0" t="n">
        <v>1</v>
      </c>
      <c r="V1781" s="0" t="inlineStr">
        <is>
          <t>계단식</t>
        </is>
      </c>
      <c r="W1781" s="0" t="inlineStr">
        <is>
          <t>24B</t>
        </is>
      </c>
      <c r="X1781" s="0" t="n">
        <v>5</v>
      </c>
      <c r="Y1781" s="0" t="n">
        <v>2</v>
      </c>
      <c r="Z1781" s="0" t="inlineStr">
        <is>
          <t>https://new.land.naver.com/complexes/113116?tab=detail&amp;rf=Y</t>
        </is>
      </c>
      <c r="AA1781" s="0" t="inlineStr">
        <is>
          <t>서울시 강동구 성내동 224-33</t>
        </is>
      </c>
      <c r="AB1781" s="0" t="inlineStr">
        <is>
          <t>서울시</t>
        </is>
      </c>
      <c r="AC1781" s="0" t="inlineStr">
        <is>
          <t>강동구</t>
        </is>
      </c>
      <c r="AD1781" s="0" t="inlineStr">
        <is>
          <t>성내동</t>
        </is>
      </c>
      <c r="AG1781" s="0" t="inlineStr">
        <is>
          <t>서울시 강동구 풍성로41길 64-20</t>
        </is>
      </c>
      <c r="AH1781" s="0" t="n">
        <v>0</v>
      </c>
      <c r="AI1781" s="0" t="n">
        <v>169</v>
      </c>
      <c r="AJ1781" s="0" t="n">
        <v>59</v>
      </c>
      <c r="AK1781" s="0" t="n">
        <v>10</v>
      </c>
      <c r="AL1781" s="0" t="n">
        <v>0.67</v>
      </c>
    </row>
    <row r="1782">
      <c r="A1782" s="0" t="inlineStr">
        <is>
          <t>[성내동]</t>
        </is>
      </c>
      <c r="B1782" s="0" t="n">
        <v>113116</v>
      </c>
      <c r="C1782" s="0" t="n">
        <v>4</v>
      </c>
      <c r="D1782" s="0" t="inlineStr">
        <is>
          <t>대우파크빌(도시형)</t>
        </is>
      </c>
      <c r="E1782" s="0" t="inlineStr">
        <is>
          <t>2013.04.</t>
        </is>
      </c>
      <c r="F1782" s="0" t="n">
        <v>15</v>
      </c>
      <c r="G1782" s="0" t="n">
        <v>7.6</v>
      </c>
      <c r="H1782" s="0" t="n">
        <v>25.13</v>
      </c>
      <c r="I1782" s="0" t="n">
        <v>6.05</v>
      </c>
      <c r="J1782" s="0" t="n">
        <v>20</v>
      </c>
      <c r="K1782" s="0" t="n">
        <v>1</v>
      </c>
      <c r="T1782" s="0" t="n">
        <v>1</v>
      </c>
      <c r="U1782" s="0" t="n">
        <v>1</v>
      </c>
      <c r="V1782" s="0" t="inlineStr">
        <is>
          <t>계단식</t>
        </is>
      </c>
      <c r="W1782" s="0" t="inlineStr">
        <is>
          <t>25A</t>
        </is>
      </c>
      <c r="X1782" s="0" t="n">
        <v>5</v>
      </c>
      <c r="Y1782" s="0" t="n">
        <v>2</v>
      </c>
      <c r="Z1782" s="0" t="inlineStr">
        <is>
          <t>https://new.land.naver.com/complexes/113116?tab=detail&amp;rf=Y</t>
        </is>
      </c>
      <c r="AA1782" s="0" t="inlineStr">
        <is>
          <t>서울시 강동구 성내동 224-33</t>
        </is>
      </c>
      <c r="AB1782" s="0" t="inlineStr">
        <is>
          <t>서울시</t>
        </is>
      </c>
      <c r="AC1782" s="0" t="inlineStr">
        <is>
          <t>강동구</t>
        </is>
      </c>
      <c r="AD1782" s="0" t="inlineStr">
        <is>
          <t>성내동</t>
        </is>
      </c>
      <c r="AG1782" s="0" t="inlineStr">
        <is>
          <t>서울시 강동구 풍성로41길 64-20</t>
        </is>
      </c>
      <c r="AH1782" s="0" t="n">
        <v>0</v>
      </c>
      <c r="AI1782" s="0" t="n">
        <v>169</v>
      </c>
      <c r="AJ1782" s="0" t="n">
        <v>59</v>
      </c>
      <c r="AK1782" s="0" t="n">
        <v>10</v>
      </c>
      <c r="AL1782" s="0" t="n">
        <v>0.67</v>
      </c>
    </row>
    <row r="1783">
      <c r="A1783" s="0" t="inlineStr">
        <is>
          <t>[성내동]</t>
        </is>
      </c>
      <c r="B1783" s="0" t="n">
        <v>113116</v>
      </c>
      <c r="C1783" s="0" t="n">
        <v>5</v>
      </c>
      <c r="D1783" s="0" t="inlineStr">
        <is>
          <t>대우파크빌(도시형)</t>
        </is>
      </c>
      <c r="E1783" s="0" t="inlineStr">
        <is>
          <t>2013.04.</t>
        </is>
      </c>
      <c r="F1783" s="0" t="n">
        <v>15</v>
      </c>
      <c r="G1783" s="0" t="n">
        <v>8.17</v>
      </c>
      <c r="H1783" s="0" t="n">
        <v>27.01</v>
      </c>
      <c r="I1783" s="0" t="n">
        <v>6.5</v>
      </c>
      <c r="J1783" s="0" t="n">
        <v>21.5</v>
      </c>
      <c r="K1783" s="0" t="n">
        <v>1</v>
      </c>
      <c r="T1783" s="0" t="n">
        <v>1</v>
      </c>
      <c r="U1783" s="0" t="n">
        <v>1</v>
      </c>
      <c r="V1783" s="0" t="inlineStr">
        <is>
          <t>계단식</t>
        </is>
      </c>
      <c r="W1783" s="0" t="inlineStr">
        <is>
          <t>27B</t>
        </is>
      </c>
      <c r="X1783" s="0" t="n">
        <v>5</v>
      </c>
      <c r="Y1783" s="0" t="n">
        <v>2</v>
      </c>
      <c r="Z1783" s="0" t="inlineStr">
        <is>
          <t>https://new.land.naver.com/complexes/113116?tab=detail&amp;rf=Y</t>
        </is>
      </c>
      <c r="AA1783" s="0" t="inlineStr">
        <is>
          <t>서울시 강동구 성내동 224-33</t>
        </is>
      </c>
      <c r="AB1783" s="0" t="inlineStr">
        <is>
          <t>서울시</t>
        </is>
      </c>
      <c r="AC1783" s="0" t="inlineStr">
        <is>
          <t>강동구</t>
        </is>
      </c>
      <c r="AD1783" s="0" t="inlineStr">
        <is>
          <t>성내동</t>
        </is>
      </c>
      <c r="AG1783" s="0" t="inlineStr">
        <is>
          <t>서울시 강동구 풍성로41길 64-20</t>
        </is>
      </c>
      <c r="AH1783" s="0" t="n">
        <v>0</v>
      </c>
      <c r="AI1783" s="0" t="n">
        <v>169</v>
      </c>
      <c r="AJ1783" s="0" t="n">
        <v>59</v>
      </c>
      <c r="AK1783" s="0" t="n">
        <v>10</v>
      </c>
      <c r="AL1783" s="0" t="n">
        <v>0.67</v>
      </c>
    </row>
    <row r="1784">
      <c r="A1784" s="0" t="inlineStr">
        <is>
          <t>[성내동]</t>
        </is>
      </c>
      <c r="B1784" s="0" t="n">
        <v>113116</v>
      </c>
      <c r="C1784" s="0" t="n">
        <v>6</v>
      </c>
      <c r="D1784" s="0" t="inlineStr">
        <is>
          <t>대우파크빌(도시형)</t>
        </is>
      </c>
      <c r="E1784" s="0" t="inlineStr">
        <is>
          <t>2013.04.</t>
        </is>
      </c>
      <c r="F1784" s="0" t="n">
        <v>15</v>
      </c>
      <c r="G1784" s="0" t="n">
        <v>8.59</v>
      </c>
      <c r="H1784" s="0" t="n">
        <v>28.4</v>
      </c>
      <c r="I1784" s="0" t="n">
        <v>6.83</v>
      </c>
      <c r="J1784" s="0" t="n">
        <v>22.6</v>
      </c>
      <c r="K1784" s="0" t="n">
        <v>1</v>
      </c>
      <c r="T1784" s="0" t="n">
        <v>1</v>
      </c>
      <c r="U1784" s="0" t="n">
        <v>1</v>
      </c>
      <c r="V1784" s="0" t="inlineStr">
        <is>
          <t>계단식</t>
        </is>
      </c>
      <c r="W1784" s="0" t="inlineStr">
        <is>
          <t>28A</t>
        </is>
      </c>
      <c r="X1784" s="0" t="n">
        <v>5</v>
      </c>
      <c r="Y1784" s="0" t="n">
        <v>2</v>
      </c>
      <c r="Z1784" s="0" t="inlineStr">
        <is>
          <t>https://new.land.naver.com/complexes/113116?tab=detail&amp;rf=Y</t>
        </is>
      </c>
      <c r="AA1784" s="0" t="inlineStr">
        <is>
          <t>서울시 강동구 성내동 224-33</t>
        </is>
      </c>
      <c r="AB1784" s="0" t="inlineStr">
        <is>
          <t>서울시</t>
        </is>
      </c>
      <c r="AC1784" s="0" t="inlineStr">
        <is>
          <t>강동구</t>
        </is>
      </c>
      <c r="AD1784" s="0" t="inlineStr">
        <is>
          <t>성내동</t>
        </is>
      </c>
      <c r="AG1784" s="0" t="inlineStr">
        <is>
          <t>서울시 강동구 풍성로41길 64-20</t>
        </is>
      </c>
      <c r="AH1784" s="0" t="n">
        <v>0</v>
      </c>
      <c r="AI1784" s="0" t="n">
        <v>169</v>
      </c>
      <c r="AJ1784" s="0" t="n">
        <v>59</v>
      </c>
      <c r="AK1784" s="0" t="n">
        <v>10</v>
      </c>
      <c r="AL1784" s="0" t="n">
        <v>0.67</v>
      </c>
    </row>
    <row r="1785">
      <c r="A1785" s="0" t="inlineStr">
        <is>
          <t>[성내동]</t>
        </is>
      </c>
      <c r="B1785" s="0" t="n">
        <v>113116</v>
      </c>
      <c r="C1785" s="0" t="n">
        <v>7</v>
      </c>
      <c r="D1785" s="0" t="inlineStr">
        <is>
          <t>대우파크빌(도시형)</t>
        </is>
      </c>
      <c r="E1785" s="0" t="inlineStr">
        <is>
          <t>2013.04.</t>
        </is>
      </c>
      <c r="F1785" s="0" t="n">
        <v>15</v>
      </c>
      <c r="G1785" s="0" t="n">
        <v>9.27</v>
      </c>
      <c r="H1785" s="0" t="n">
        <v>30.66</v>
      </c>
      <c r="I1785" s="0" t="n">
        <v>7.38</v>
      </c>
      <c r="J1785" s="0" t="n">
        <v>24.4</v>
      </c>
      <c r="K1785" s="0" t="n">
        <v>1</v>
      </c>
      <c r="T1785" s="0" t="n">
        <v>1</v>
      </c>
      <c r="U1785" s="0" t="n">
        <v>1</v>
      </c>
      <c r="V1785" s="0" t="inlineStr">
        <is>
          <t>계단식</t>
        </is>
      </c>
      <c r="W1785" s="0" t="inlineStr">
        <is>
          <t>30B</t>
        </is>
      </c>
      <c r="X1785" s="0" t="n">
        <v>5</v>
      </c>
      <c r="Y1785" s="0" t="n">
        <v>2</v>
      </c>
      <c r="Z1785" s="0" t="inlineStr">
        <is>
          <t>https://new.land.naver.com/complexes/113116?tab=detail&amp;rf=Y</t>
        </is>
      </c>
      <c r="AA1785" s="0" t="inlineStr">
        <is>
          <t>서울시 강동구 성내동 224-33</t>
        </is>
      </c>
      <c r="AB1785" s="0" t="inlineStr">
        <is>
          <t>서울시</t>
        </is>
      </c>
      <c r="AC1785" s="0" t="inlineStr">
        <is>
          <t>강동구</t>
        </is>
      </c>
      <c r="AD1785" s="0" t="inlineStr">
        <is>
          <t>성내동</t>
        </is>
      </c>
      <c r="AG1785" s="0" t="inlineStr">
        <is>
          <t>서울시 강동구 풍성로41길 64-20</t>
        </is>
      </c>
      <c r="AH1785" s="0" t="n">
        <v>0</v>
      </c>
      <c r="AI1785" s="0" t="n">
        <v>169</v>
      </c>
      <c r="AJ1785" s="0" t="n">
        <v>59</v>
      </c>
      <c r="AK1785" s="0" t="n">
        <v>10</v>
      </c>
      <c r="AL1785" s="0" t="n">
        <v>0.67</v>
      </c>
    </row>
    <row r="1786">
      <c r="A1786" s="0" t="inlineStr">
        <is>
          <t>[성내동]</t>
        </is>
      </c>
      <c r="B1786" s="0" t="n">
        <v>113116</v>
      </c>
      <c r="C1786" s="0" t="n">
        <v>8</v>
      </c>
      <c r="D1786" s="0" t="inlineStr">
        <is>
          <t>대우파크빌(도시형)</t>
        </is>
      </c>
      <c r="E1786" s="0" t="inlineStr">
        <is>
          <t>2013.04.</t>
        </is>
      </c>
      <c r="F1786" s="0" t="n">
        <v>15</v>
      </c>
      <c r="G1786" s="0" t="n">
        <v>10.6</v>
      </c>
      <c r="H1786" s="0" t="n">
        <v>35.06</v>
      </c>
      <c r="I1786" s="0" t="n">
        <v>8.43</v>
      </c>
      <c r="J1786" s="0" t="n">
        <v>27.9</v>
      </c>
      <c r="K1786" s="0" t="n">
        <v>1</v>
      </c>
      <c r="T1786" s="0" t="n">
        <v>1</v>
      </c>
      <c r="U1786" s="0" t="n">
        <v>1</v>
      </c>
      <c r="V1786" s="0" t="inlineStr">
        <is>
          <t>계단식</t>
        </is>
      </c>
      <c r="W1786" s="0" t="inlineStr">
        <is>
          <t>35A</t>
        </is>
      </c>
      <c r="X1786" s="0" t="n">
        <v>5</v>
      </c>
      <c r="Y1786" s="0" t="n">
        <v>2</v>
      </c>
      <c r="Z1786" s="0" t="inlineStr">
        <is>
          <t>https://new.land.naver.com/complexes/113116?tab=detail&amp;rf=Y</t>
        </is>
      </c>
      <c r="AA1786" s="0" t="inlineStr">
        <is>
          <t>서울시 강동구 성내동 224-33</t>
        </is>
      </c>
      <c r="AB1786" s="0" t="inlineStr">
        <is>
          <t>서울시</t>
        </is>
      </c>
      <c r="AC1786" s="0" t="inlineStr">
        <is>
          <t>강동구</t>
        </is>
      </c>
      <c r="AD1786" s="0" t="inlineStr">
        <is>
          <t>성내동</t>
        </is>
      </c>
      <c r="AG1786" s="0" t="inlineStr">
        <is>
          <t>서울시 강동구 풍성로41길 64-20</t>
        </is>
      </c>
      <c r="AH1786" s="0" t="n">
        <v>0</v>
      </c>
      <c r="AI1786" s="0" t="n">
        <v>169</v>
      </c>
      <c r="AJ1786" s="0" t="n">
        <v>59</v>
      </c>
      <c r="AK1786" s="0" t="n">
        <v>10</v>
      </c>
      <c r="AL1786" s="0" t="n">
        <v>0.67</v>
      </c>
    </row>
    <row r="1787">
      <c r="A1787" s="0" t="inlineStr">
        <is>
          <t>[성내동]</t>
        </is>
      </c>
      <c r="B1787" s="0" t="n">
        <v>113116</v>
      </c>
      <c r="C1787" s="0" t="n">
        <v>9</v>
      </c>
      <c r="D1787" s="0" t="inlineStr">
        <is>
          <t>대우파크빌(도시형)</t>
        </is>
      </c>
      <c r="E1787" s="0" t="inlineStr">
        <is>
          <t>2013.04.</t>
        </is>
      </c>
      <c r="F1787" s="0" t="n">
        <v>15</v>
      </c>
      <c r="G1787" s="0" t="n">
        <v>10.88</v>
      </c>
      <c r="H1787" s="0" t="n">
        <v>35.99</v>
      </c>
      <c r="I1787" s="0" t="n">
        <v>8.66</v>
      </c>
      <c r="J1787" s="0" t="n">
        <v>28.64</v>
      </c>
      <c r="K1787" s="0" t="n">
        <v>1</v>
      </c>
      <c r="T1787" s="0" t="n">
        <v>1</v>
      </c>
      <c r="U1787" s="0" t="n">
        <v>1</v>
      </c>
      <c r="V1787" s="0" t="inlineStr">
        <is>
          <t>계단식</t>
        </is>
      </c>
      <c r="W1787" s="0" t="inlineStr">
        <is>
          <t>35B</t>
        </is>
      </c>
      <c r="X1787" s="0" t="n">
        <v>5</v>
      </c>
      <c r="Y1787" s="0" t="n">
        <v>2</v>
      </c>
      <c r="Z1787" s="0" t="inlineStr">
        <is>
          <t>https://new.land.naver.com/complexes/113116?tab=detail&amp;rf=Y</t>
        </is>
      </c>
      <c r="AA1787" s="0" t="inlineStr">
        <is>
          <t>서울시 강동구 성내동 224-33</t>
        </is>
      </c>
      <c r="AB1787" s="0" t="inlineStr">
        <is>
          <t>서울시</t>
        </is>
      </c>
      <c r="AC1787" s="0" t="inlineStr">
        <is>
          <t>강동구</t>
        </is>
      </c>
      <c r="AD1787" s="0" t="inlineStr">
        <is>
          <t>성내동</t>
        </is>
      </c>
      <c r="AG1787" s="0" t="inlineStr">
        <is>
          <t>서울시 강동구 풍성로41길 64-20</t>
        </is>
      </c>
      <c r="AH1787" s="0" t="n">
        <v>0</v>
      </c>
      <c r="AI1787" s="0" t="n">
        <v>169</v>
      </c>
      <c r="AJ1787" s="0" t="n">
        <v>59</v>
      </c>
      <c r="AK1787" s="0" t="n">
        <v>10</v>
      </c>
      <c r="AL1787" s="0" t="n">
        <v>0.67</v>
      </c>
    </row>
    <row r="1788">
      <c r="A1788" s="0" t="inlineStr">
        <is>
          <t>[성내동]</t>
        </is>
      </c>
      <c r="B1788" s="0" t="n">
        <v>113116</v>
      </c>
      <c r="C1788" s="0" t="n">
        <v>10</v>
      </c>
      <c r="D1788" s="0" t="inlineStr">
        <is>
          <t>대우파크빌(도시형)</t>
        </is>
      </c>
      <c r="E1788" s="0" t="inlineStr">
        <is>
          <t>2013.04.</t>
        </is>
      </c>
      <c r="F1788" s="0" t="n">
        <v>15</v>
      </c>
      <c r="G1788" s="0" t="n">
        <v>11.11</v>
      </c>
      <c r="H1788" s="0" t="n">
        <v>36.76</v>
      </c>
      <c r="I1788" s="0" t="n">
        <v>8.85</v>
      </c>
      <c r="J1788" s="0" t="n">
        <v>29.26</v>
      </c>
      <c r="K1788" s="0" t="n">
        <v>1</v>
      </c>
      <c r="T1788" s="0" t="n">
        <v>1</v>
      </c>
      <c r="U1788" s="0" t="n">
        <v>1</v>
      </c>
      <c r="V1788" s="0" t="inlineStr">
        <is>
          <t>계단식</t>
        </is>
      </c>
      <c r="W1788" s="0" t="inlineStr">
        <is>
          <t>36C</t>
        </is>
      </c>
      <c r="X1788" s="0" t="n">
        <v>5</v>
      </c>
      <c r="Y1788" s="0" t="n">
        <v>2</v>
      </c>
      <c r="Z1788" s="0" t="inlineStr">
        <is>
          <t>https://new.land.naver.com/complexes/113116?tab=detail&amp;rf=Y</t>
        </is>
      </c>
      <c r="AA1788" s="0" t="inlineStr">
        <is>
          <t>서울시 강동구 성내동 224-33</t>
        </is>
      </c>
      <c r="AB1788" s="0" t="inlineStr">
        <is>
          <t>서울시</t>
        </is>
      </c>
      <c r="AC1788" s="0" t="inlineStr">
        <is>
          <t>강동구</t>
        </is>
      </c>
      <c r="AD1788" s="0" t="inlineStr">
        <is>
          <t>성내동</t>
        </is>
      </c>
      <c r="AG1788" s="0" t="inlineStr">
        <is>
          <t>서울시 강동구 풍성로41길 64-20</t>
        </is>
      </c>
      <c r="AH1788" s="0" t="n">
        <v>0</v>
      </c>
      <c r="AI1788" s="0" t="n">
        <v>169</v>
      </c>
      <c r="AJ1788" s="0" t="n">
        <v>59</v>
      </c>
      <c r="AK1788" s="0" t="n">
        <v>10</v>
      </c>
      <c r="AL1788" s="0" t="n">
        <v>0.67</v>
      </c>
    </row>
    <row r="1789">
      <c r="A1789" s="0" t="inlineStr">
        <is>
          <t>[성내동]</t>
        </is>
      </c>
      <c r="B1789" s="0" t="n">
        <v>113116</v>
      </c>
      <c r="C1789" s="0" t="n">
        <v>11</v>
      </c>
      <c r="D1789" s="0" t="inlineStr">
        <is>
          <t>대우파크빌(도시형)</t>
        </is>
      </c>
      <c r="E1789" s="0" t="inlineStr">
        <is>
          <t>2013.04.</t>
        </is>
      </c>
      <c r="F1789" s="0" t="n">
        <v>15</v>
      </c>
      <c r="G1789" s="0" t="n">
        <v>12.54</v>
      </c>
      <c r="H1789" s="0" t="n">
        <v>41.48</v>
      </c>
      <c r="I1789" s="0" t="n">
        <v>9.98</v>
      </c>
      <c r="J1789" s="0" t="n">
        <v>33.01</v>
      </c>
      <c r="K1789" s="0" t="n">
        <v>1</v>
      </c>
      <c r="T1789" s="0" t="n">
        <v>1</v>
      </c>
      <c r="U1789" s="0" t="n">
        <v>1</v>
      </c>
      <c r="V1789" s="0" t="inlineStr">
        <is>
          <t>계단식</t>
        </is>
      </c>
      <c r="W1789" s="0" t="n">
        <v>41</v>
      </c>
      <c r="X1789" s="0" t="n">
        <v>5</v>
      </c>
      <c r="Y1789" s="0" t="n">
        <v>2</v>
      </c>
      <c r="Z1789" s="0" t="inlineStr">
        <is>
          <t>https://new.land.naver.com/complexes/113116?tab=detail&amp;rf=Y</t>
        </is>
      </c>
      <c r="AA1789" s="0" t="inlineStr">
        <is>
          <t>서울시 강동구 성내동 224-33</t>
        </is>
      </c>
      <c r="AB1789" s="0" t="inlineStr">
        <is>
          <t>서울시</t>
        </is>
      </c>
      <c r="AC1789" s="0" t="inlineStr">
        <is>
          <t>강동구</t>
        </is>
      </c>
      <c r="AD1789" s="0" t="inlineStr">
        <is>
          <t>성내동</t>
        </is>
      </c>
      <c r="AG1789" s="0" t="inlineStr">
        <is>
          <t>서울시 강동구 풍성로41길 64-20</t>
        </is>
      </c>
      <c r="AH1789" s="0" t="n">
        <v>0</v>
      </c>
      <c r="AI1789" s="0" t="n">
        <v>169</v>
      </c>
      <c r="AJ1789" s="0" t="n">
        <v>59</v>
      </c>
      <c r="AK1789" s="0" t="n">
        <v>10</v>
      </c>
      <c r="AL1789" s="0" t="n">
        <v>0.67</v>
      </c>
    </row>
    <row r="1790">
      <c r="A1790" s="0" t="inlineStr">
        <is>
          <t>[성내동]</t>
        </is>
      </c>
      <c r="B1790" s="0" t="n">
        <v>113116</v>
      </c>
      <c r="C1790" s="0" t="n">
        <v>12</v>
      </c>
      <c r="D1790" s="0" t="inlineStr">
        <is>
          <t>대우파크빌(도시형)</t>
        </is>
      </c>
      <c r="E1790" s="0" t="inlineStr">
        <is>
          <t>2013.04.</t>
        </is>
      </c>
      <c r="F1790" s="0" t="n">
        <v>15</v>
      </c>
      <c r="G1790" s="0" t="n">
        <v>14.39</v>
      </c>
      <c r="H1790" s="0" t="n">
        <v>47.6</v>
      </c>
      <c r="I1790" s="0" t="n">
        <v>11.45</v>
      </c>
      <c r="J1790" s="0" t="n">
        <v>37.88</v>
      </c>
      <c r="K1790" s="0" t="n">
        <v>1</v>
      </c>
      <c r="T1790" s="0" t="n">
        <v>1</v>
      </c>
      <c r="U1790" s="0" t="n">
        <v>1</v>
      </c>
      <c r="V1790" s="0" t="inlineStr">
        <is>
          <t>계단식</t>
        </is>
      </c>
      <c r="W1790" s="0" t="n">
        <v>47</v>
      </c>
      <c r="X1790" s="0" t="n">
        <v>5</v>
      </c>
      <c r="Y1790" s="0" t="n">
        <v>2</v>
      </c>
      <c r="Z1790" s="0" t="inlineStr">
        <is>
          <t>https://new.land.naver.com/complexes/113116?tab=detail&amp;rf=Y</t>
        </is>
      </c>
      <c r="AA1790" s="0" t="inlineStr">
        <is>
          <t>서울시 강동구 성내동 224-33</t>
        </is>
      </c>
      <c r="AB1790" s="0" t="inlineStr">
        <is>
          <t>서울시</t>
        </is>
      </c>
      <c r="AC1790" s="0" t="inlineStr">
        <is>
          <t>강동구</t>
        </is>
      </c>
      <c r="AD1790" s="0" t="inlineStr">
        <is>
          <t>성내동</t>
        </is>
      </c>
      <c r="AG1790" s="0" t="inlineStr">
        <is>
          <t>서울시 강동구 풍성로41길 64-20</t>
        </is>
      </c>
      <c r="AH1790" s="0" t="n">
        <v>0</v>
      </c>
      <c r="AI1790" s="0" t="n">
        <v>169</v>
      </c>
      <c r="AJ1790" s="0" t="n">
        <v>59</v>
      </c>
      <c r="AK1790" s="0" t="n">
        <v>10</v>
      </c>
      <c r="AL1790" s="0" t="n">
        <v>0.67</v>
      </c>
    </row>
    <row r="1791">
      <c r="A1791" s="0" t="inlineStr">
        <is>
          <t>[성내동]</t>
        </is>
      </c>
      <c r="B1791" s="0" t="n">
        <v>113116</v>
      </c>
      <c r="C1791" s="0" t="n">
        <v>13</v>
      </c>
      <c r="D1791" s="0" t="inlineStr">
        <is>
          <t>대우파크빌(도시형)</t>
        </is>
      </c>
      <c r="E1791" s="0" t="inlineStr">
        <is>
          <t>2013.04.</t>
        </is>
      </c>
      <c r="F1791" s="0" t="n">
        <v>15</v>
      </c>
      <c r="G1791" s="0" t="n">
        <v>16.76</v>
      </c>
      <c r="H1791" s="0" t="n">
        <v>55.42</v>
      </c>
      <c r="I1791" s="0" t="n">
        <v>13.34</v>
      </c>
      <c r="J1791" s="0" t="n">
        <v>44.1</v>
      </c>
      <c r="K1791" s="0" t="n">
        <v>1</v>
      </c>
      <c r="T1791" s="0" t="n">
        <v>1</v>
      </c>
      <c r="U1791" s="0" t="n">
        <v>1</v>
      </c>
      <c r="V1791" s="0" t="inlineStr">
        <is>
          <t>계단식</t>
        </is>
      </c>
      <c r="W1791" s="0" t="n">
        <v>55</v>
      </c>
      <c r="X1791" s="0" t="n">
        <v>5</v>
      </c>
      <c r="Y1791" s="0" t="n">
        <v>2</v>
      </c>
      <c r="Z1791" s="0" t="inlineStr">
        <is>
          <t>https://new.land.naver.com/complexes/113116?tab=detail&amp;rf=Y</t>
        </is>
      </c>
      <c r="AA1791" s="0" t="inlineStr">
        <is>
          <t>서울시 강동구 성내동 224-33</t>
        </is>
      </c>
      <c r="AB1791" s="0" t="inlineStr">
        <is>
          <t>서울시</t>
        </is>
      </c>
      <c r="AC1791" s="0" t="inlineStr">
        <is>
          <t>강동구</t>
        </is>
      </c>
      <c r="AD1791" s="0" t="inlineStr">
        <is>
          <t>성내동</t>
        </is>
      </c>
      <c r="AG1791" s="0" t="inlineStr">
        <is>
          <t>서울시 강동구 풍성로41길 64-20</t>
        </is>
      </c>
      <c r="AH1791" s="0" t="n">
        <v>0</v>
      </c>
      <c r="AI1791" s="0" t="n">
        <v>169</v>
      </c>
      <c r="AJ1791" s="0" t="n">
        <v>59</v>
      </c>
      <c r="AK1791" s="0" t="n">
        <v>10</v>
      </c>
      <c r="AL1791" s="0" t="n">
        <v>0.67</v>
      </c>
    </row>
    <row r="1792">
      <c r="A1792" s="0" t="inlineStr">
        <is>
          <t>[성내동]</t>
        </is>
      </c>
      <c r="B1792" s="0" t="n">
        <v>113116</v>
      </c>
      <c r="C1792" s="0" t="n">
        <v>14</v>
      </c>
      <c r="D1792" s="0" t="inlineStr">
        <is>
          <t>대우파크빌(도시형)</t>
        </is>
      </c>
      <c r="E1792" s="0" t="inlineStr">
        <is>
          <t>2013.04.</t>
        </is>
      </c>
      <c r="F1792" s="0" t="n">
        <v>15</v>
      </c>
      <c r="G1792" s="0" t="n">
        <v>30.53</v>
      </c>
      <c r="H1792" s="0" t="n">
        <v>100.94</v>
      </c>
      <c r="I1792" s="0" t="n">
        <v>24.29</v>
      </c>
      <c r="J1792" s="0" t="n">
        <v>80.33</v>
      </c>
      <c r="K1792" s="0" t="n">
        <v>1</v>
      </c>
      <c r="T1792" s="0" t="n">
        <v>3</v>
      </c>
      <c r="U1792" s="0" t="n">
        <v>1</v>
      </c>
      <c r="V1792" s="0" t="inlineStr">
        <is>
          <t>계단식</t>
        </is>
      </c>
      <c r="W1792" s="0" t="n">
        <v>100</v>
      </c>
      <c r="X1792" s="0" t="n">
        <v>5</v>
      </c>
      <c r="Y1792" s="0" t="n">
        <v>2</v>
      </c>
      <c r="Z1792" s="0" t="inlineStr">
        <is>
          <t>https://new.land.naver.com/complexes/113116?tab=detail&amp;rf=Y</t>
        </is>
      </c>
      <c r="AA1792" s="0" t="inlineStr">
        <is>
          <t>서울시 강동구 성내동 224-33</t>
        </is>
      </c>
      <c r="AB1792" s="0" t="inlineStr">
        <is>
          <t>서울시</t>
        </is>
      </c>
      <c r="AC1792" s="0" t="inlineStr">
        <is>
          <t>강동구</t>
        </is>
      </c>
      <c r="AD1792" s="0" t="inlineStr">
        <is>
          <t>성내동</t>
        </is>
      </c>
      <c r="AG1792" s="0" t="inlineStr">
        <is>
          <t>서울시 강동구 풍성로41길 64-20</t>
        </is>
      </c>
      <c r="AH1792" s="0" t="n">
        <v>0</v>
      </c>
      <c r="AI1792" s="0" t="n">
        <v>169</v>
      </c>
      <c r="AJ1792" s="0" t="n">
        <v>59</v>
      </c>
      <c r="AK1792" s="0" t="n">
        <v>10</v>
      </c>
      <c r="AL1792" s="0" t="n">
        <v>0.67</v>
      </c>
    </row>
    <row r="1793">
      <c r="A1793" s="0" t="inlineStr">
        <is>
          <t>[성내동]</t>
        </is>
      </c>
      <c r="B1793" s="0" t="n">
        <v>113116</v>
      </c>
      <c r="C1793" s="0" t="n">
        <v>15</v>
      </c>
      <c r="D1793" s="0" t="inlineStr">
        <is>
          <t>대우파크빌(도시형)</t>
        </is>
      </c>
      <c r="E1793" s="0" t="inlineStr">
        <is>
          <t>2013.04.</t>
        </is>
      </c>
      <c r="F1793" s="0" t="n">
        <v>15</v>
      </c>
      <c r="G1793" s="0" t="n">
        <v>32.98</v>
      </c>
      <c r="H1793" s="0" t="n">
        <v>109.05</v>
      </c>
      <c r="I1793" s="0" t="n">
        <v>26.25</v>
      </c>
      <c r="J1793" s="0" t="n">
        <v>86.78</v>
      </c>
      <c r="K1793" s="0" t="n">
        <v>1</v>
      </c>
      <c r="T1793" s="0" t="n">
        <v>3</v>
      </c>
      <c r="U1793" s="0" t="n">
        <v>1</v>
      </c>
      <c r="V1793" s="0" t="inlineStr">
        <is>
          <t>계단식</t>
        </is>
      </c>
      <c r="W1793" s="0" t="n">
        <v>109</v>
      </c>
      <c r="X1793" s="0" t="n">
        <v>5</v>
      </c>
      <c r="Y1793" s="0" t="n">
        <v>2</v>
      </c>
      <c r="Z1793" s="0" t="inlineStr">
        <is>
          <t>https://new.land.naver.com/complexes/113116?tab=detail&amp;rf=Y</t>
        </is>
      </c>
      <c r="AA1793" s="0" t="inlineStr">
        <is>
          <t>서울시 강동구 성내동 224-33</t>
        </is>
      </c>
      <c r="AB1793" s="0" t="inlineStr">
        <is>
          <t>서울시</t>
        </is>
      </c>
      <c r="AC1793" s="0" t="inlineStr">
        <is>
          <t>강동구</t>
        </is>
      </c>
      <c r="AD1793" s="0" t="inlineStr">
        <is>
          <t>성내동</t>
        </is>
      </c>
      <c r="AG1793" s="0" t="inlineStr">
        <is>
          <t>서울시 강동구 풍성로41길 64-20</t>
        </is>
      </c>
      <c r="AH1793" s="0" t="n">
        <v>0</v>
      </c>
      <c r="AI1793" s="0" t="n">
        <v>169</v>
      </c>
      <c r="AJ1793" s="0" t="n">
        <v>59</v>
      </c>
      <c r="AK1793" s="0" t="n">
        <v>10</v>
      </c>
      <c r="AL1793" s="0" t="n">
        <v>0.67</v>
      </c>
    </row>
    <row r="1794">
      <c r="A1794" s="0" t="inlineStr">
        <is>
          <t>[성내동]</t>
        </is>
      </c>
      <c r="B1794" s="0" t="n">
        <v>108027</v>
      </c>
      <c r="C1794" s="0" t="n">
        <v>1</v>
      </c>
      <c r="D1794" s="0" t="inlineStr">
        <is>
          <t>운암화인빌(102동)</t>
        </is>
      </c>
      <c r="E1794" s="0" t="inlineStr">
        <is>
          <t>2006.12.</t>
        </is>
      </c>
      <c r="F1794" s="0" t="n">
        <v>13</v>
      </c>
      <c r="G1794" s="0" t="n">
        <v>16.9</v>
      </c>
      <c r="H1794" s="0" t="n">
        <v>55.87</v>
      </c>
      <c r="I1794" s="0" t="n">
        <v>13.96</v>
      </c>
      <c r="J1794" s="0" t="n">
        <v>46.17</v>
      </c>
      <c r="K1794" s="0" t="n">
        <v>1</v>
      </c>
      <c r="T1794" s="0" t="n">
        <v>2</v>
      </c>
      <c r="U1794" s="0" t="n">
        <v>1</v>
      </c>
      <c r="V1794" s="0" t="inlineStr">
        <is>
          <t>복도식</t>
        </is>
      </c>
      <c r="W1794" s="0" t="n">
        <v>55</v>
      </c>
      <c r="X1794" s="0" t="n">
        <v>9</v>
      </c>
      <c r="Y1794" s="0" t="n">
        <v>6</v>
      </c>
      <c r="Z1794" s="0" t="inlineStr">
        <is>
          <t>https://new.land.naver.com/complexes/108027?tab=detail&amp;rf=Y</t>
        </is>
      </c>
      <c r="AA1794" s="0" t="inlineStr">
        <is>
          <t>서울시 강동구 성내동 466-1</t>
        </is>
      </c>
      <c r="AB1794" s="0" t="inlineStr">
        <is>
          <t>서울시</t>
        </is>
      </c>
      <c r="AC1794" s="0" t="inlineStr">
        <is>
          <t>강동구</t>
        </is>
      </c>
      <c r="AD1794" s="0" t="inlineStr">
        <is>
          <t>성내동</t>
        </is>
      </c>
      <c r="AG1794" s="0" t="inlineStr">
        <is>
          <t>서울시 강동구 성내로6가길 110</t>
        </is>
      </c>
      <c r="AH1794" s="0" t="n">
        <v>0</v>
      </c>
      <c r="AI1794" s="0" t="n">
        <v>198</v>
      </c>
      <c r="AJ1794" s="0" t="n">
        <v>39</v>
      </c>
      <c r="AK1794" s="0" t="n">
        <v>13</v>
      </c>
      <c r="AL1794" s="0" t="n">
        <v>1</v>
      </c>
    </row>
    <row r="1795">
      <c r="A1795" s="0" t="inlineStr">
        <is>
          <t>[성내동]</t>
        </is>
      </c>
      <c r="B1795" s="0" t="n">
        <v>108027</v>
      </c>
      <c r="C1795" s="0" t="n">
        <v>2</v>
      </c>
      <c r="D1795" s="0" t="inlineStr">
        <is>
          <t>운암화인빌(102동)</t>
        </is>
      </c>
      <c r="E1795" s="0" t="inlineStr">
        <is>
          <t>2006.12.</t>
        </is>
      </c>
      <c r="F1795" s="0" t="n">
        <v>13</v>
      </c>
      <c r="G1795" s="0" t="n">
        <v>20.34</v>
      </c>
      <c r="H1795" s="0" t="n">
        <v>67.27</v>
      </c>
      <c r="I1795" s="0" t="n">
        <v>16.81</v>
      </c>
      <c r="J1795" s="0" t="n">
        <v>55.58</v>
      </c>
      <c r="K1795" s="0" t="n">
        <v>8</v>
      </c>
      <c r="T1795" s="0" t="n">
        <v>3</v>
      </c>
      <c r="U1795" s="0" t="n">
        <v>2</v>
      </c>
      <c r="V1795" s="0" t="inlineStr">
        <is>
          <t>계단식</t>
        </is>
      </c>
      <c r="W1795" s="0" t="inlineStr">
        <is>
          <t>67B</t>
        </is>
      </c>
      <c r="X1795" s="0" t="n">
        <v>9</v>
      </c>
      <c r="Y1795" s="0" t="n">
        <v>6</v>
      </c>
      <c r="Z1795" s="0" t="inlineStr">
        <is>
          <t>https://new.land.naver.com/complexes/108027?tab=detail&amp;rf=Y</t>
        </is>
      </c>
      <c r="AA1795" s="0" t="inlineStr">
        <is>
          <t>서울시 강동구 성내동 466-1</t>
        </is>
      </c>
      <c r="AB1795" s="0" t="inlineStr">
        <is>
          <t>서울시</t>
        </is>
      </c>
      <c r="AC1795" s="0" t="inlineStr">
        <is>
          <t>강동구</t>
        </is>
      </c>
      <c r="AD1795" s="0" t="inlineStr">
        <is>
          <t>성내동</t>
        </is>
      </c>
      <c r="AG1795" s="0" t="inlineStr">
        <is>
          <t>서울시 강동구 성내로6가길 110</t>
        </is>
      </c>
      <c r="AH1795" s="0" t="n">
        <v>0</v>
      </c>
      <c r="AI1795" s="0" t="n">
        <v>198</v>
      </c>
      <c r="AJ1795" s="0" t="n">
        <v>39</v>
      </c>
      <c r="AK1795" s="0" t="n">
        <v>13</v>
      </c>
      <c r="AL1795" s="0" t="n">
        <v>1</v>
      </c>
    </row>
    <row r="1796">
      <c r="A1796" s="0" t="inlineStr">
        <is>
          <t>[성내동]</t>
        </is>
      </c>
      <c r="B1796" s="0" t="n">
        <v>108027</v>
      </c>
      <c r="C1796" s="0" t="n">
        <v>3</v>
      </c>
      <c r="D1796" s="0" t="inlineStr">
        <is>
          <t>운암화인빌(102동)</t>
        </is>
      </c>
      <c r="E1796" s="0" t="inlineStr">
        <is>
          <t>2006.12.</t>
        </is>
      </c>
      <c r="F1796" s="0" t="n">
        <v>13</v>
      </c>
      <c r="G1796" s="0" t="n">
        <v>20.34</v>
      </c>
      <c r="H1796" s="0" t="n">
        <v>67.25</v>
      </c>
      <c r="I1796" s="0" t="n">
        <v>16.8</v>
      </c>
      <c r="J1796" s="0" t="n">
        <v>55.57</v>
      </c>
      <c r="K1796" s="0" t="n">
        <v>4</v>
      </c>
      <c r="T1796" s="0" t="n">
        <v>3</v>
      </c>
      <c r="U1796" s="0" t="n">
        <v>2</v>
      </c>
      <c r="V1796" s="0" t="inlineStr">
        <is>
          <t>계단식</t>
        </is>
      </c>
      <c r="W1796" s="0" t="inlineStr">
        <is>
          <t>67A</t>
        </is>
      </c>
      <c r="X1796" s="0" t="n">
        <v>9</v>
      </c>
      <c r="Y1796" s="0" t="n">
        <v>6</v>
      </c>
      <c r="Z1796" s="0" t="inlineStr">
        <is>
          <t>https://new.land.naver.com/complexes/108027?tab=detail&amp;rf=Y</t>
        </is>
      </c>
      <c r="AA1796" s="0" t="inlineStr">
        <is>
          <t>서울시 강동구 성내동 466-1</t>
        </is>
      </c>
      <c r="AB1796" s="0" t="inlineStr">
        <is>
          <t>서울시</t>
        </is>
      </c>
      <c r="AC1796" s="0" t="inlineStr">
        <is>
          <t>강동구</t>
        </is>
      </c>
      <c r="AD1796" s="0" t="inlineStr">
        <is>
          <t>성내동</t>
        </is>
      </c>
      <c r="AG1796" s="0" t="inlineStr">
        <is>
          <t>서울시 강동구 성내로6가길 110</t>
        </is>
      </c>
      <c r="AH1796" s="0" t="n">
        <v>0</v>
      </c>
      <c r="AI1796" s="0" t="n">
        <v>198</v>
      </c>
      <c r="AJ1796" s="0" t="n">
        <v>39</v>
      </c>
      <c r="AK1796" s="0" t="n">
        <v>13</v>
      </c>
      <c r="AL1796" s="0" t="n">
        <v>1</v>
      </c>
    </row>
    <row r="1797">
      <c r="A1797" s="0" t="inlineStr">
        <is>
          <t>[성내동]</t>
        </is>
      </c>
      <c r="B1797" s="0" t="n">
        <v>128096</v>
      </c>
      <c r="C1797" s="0" t="n">
        <v>1</v>
      </c>
      <c r="D1797" s="0" t="inlineStr">
        <is>
          <t>트리안(도시형)</t>
        </is>
      </c>
      <c r="E1797" s="0" t="inlineStr">
        <is>
          <t>2019.11.</t>
        </is>
      </c>
      <c r="F1797" s="0" t="n">
        <v>22</v>
      </c>
      <c r="G1797" s="0" t="n">
        <v>6.46</v>
      </c>
      <c r="H1797" s="0" t="n">
        <v>21.36</v>
      </c>
      <c r="I1797" s="0" t="n">
        <v>4.33</v>
      </c>
      <c r="J1797" s="0" t="n">
        <v>14.32</v>
      </c>
      <c r="K1797" s="0" t="n">
        <v>3</v>
      </c>
      <c r="T1797" s="0" t="n">
        <v>1</v>
      </c>
      <c r="U1797" s="0" t="n">
        <v>1</v>
      </c>
      <c r="V1797" s="0" t="inlineStr">
        <is>
          <t>계단식</t>
        </is>
      </c>
      <c r="W1797" s="0" t="n">
        <v>21</v>
      </c>
      <c r="X1797" s="0" t="n">
        <v>8</v>
      </c>
      <c r="Y1797" s="0" t="n">
        <v>7</v>
      </c>
      <c r="Z1797" s="0" t="inlineStr">
        <is>
          <t>https://new.land.naver.com/complexes/128096?tab=detail&amp;rf=Y</t>
        </is>
      </c>
      <c r="AA1797" s="0" t="inlineStr">
        <is>
          <t>서울시 강동구 성내동 47-8</t>
        </is>
      </c>
      <c r="AB1797" s="0" t="inlineStr">
        <is>
          <t>서울시</t>
        </is>
      </c>
      <c r="AC1797" s="0" t="inlineStr">
        <is>
          <t>강동구</t>
        </is>
      </c>
      <c r="AD1797" s="0" t="inlineStr">
        <is>
          <t>성내동</t>
        </is>
      </c>
      <c r="AG1797" s="0" t="inlineStr">
        <is>
          <t>서울시 강동구 올림픽로62길 17-17</t>
        </is>
      </c>
      <c r="AH1797" s="0" t="n">
        <v>0</v>
      </c>
      <c r="AI1797" s="0" t="n">
        <v>357</v>
      </c>
      <c r="AJ1797" s="0" t="n">
        <v>57</v>
      </c>
      <c r="AK1797" s="0" t="n">
        <v>11</v>
      </c>
      <c r="AL1797" s="0" t="n">
        <v>0.5</v>
      </c>
    </row>
    <row r="1798">
      <c r="A1798" s="0" t="inlineStr">
        <is>
          <t>[성내동]</t>
        </is>
      </c>
      <c r="B1798" s="0" t="n">
        <v>128096</v>
      </c>
      <c r="C1798" s="0" t="n">
        <v>2</v>
      </c>
      <c r="D1798" s="0" t="inlineStr">
        <is>
          <t>트리안(도시형)</t>
        </is>
      </c>
      <c r="E1798" s="0" t="inlineStr">
        <is>
          <t>2019.11.</t>
        </is>
      </c>
      <c r="F1798" s="0" t="n">
        <v>22</v>
      </c>
      <c r="G1798" s="0" t="n">
        <v>6.58</v>
      </c>
      <c r="H1798" s="0" t="n">
        <v>21.77</v>
      </c>
      <c r="I1798" s="0" t="n">
        <v>4.41</v>
      </c>
      <c r="J1798" s="0" t="n">
        <v>14.59</v>
      </c>
      <c r="K1798" s="0" t="n">
        <v>3</v>
      </c>
      <c r="T1798" s="0" t="n">
        <v>1</v>
      </c>
      <c r="U1798" s="0" t="n">
        <v>1</v>
      </c>
      <c r="V1798" s="0" t="inlineStr">
        <is>
          <t>계단식</t>
        </is>
      </c>
      <c r="W1798" s="0" t="n">
        <v>21</v>
      </c>
      <c r="X1798" s="0" t="n">
        <v>8</v>
      </c>
      <c r="Y1798" s="0" t="n">
        <v>7</v>
      </c>
      <c r="Z1798" s="0" t="inlineStr">
        <is>
          <t>https://new.land.naver.com/complexes/128096?tab=detail&amp;rf=Y</t>
        </is>
      </c>
      <c r="AA1798" s="0" t="inlineStr">
        <is>
          <t>서울시 강동구 성내동 47-8</t>
        </is>
      </c>
      <c r="AB1798" s="0" t="inlineStr">
        <is>
          <t>서울시</t>
        </is>
      </c>
      <c r="AC1798" s="0" t="inlineStr">
        <is>
          <t>강동구</t>
        </is>
      </c>
      <c r="AD1798" s="0" t="inlineStr">
        <is>
          <t>성내동</t>
        </is>
      </c>
      <c r="AG1798" s="0" t="inlineStr">
        <is>
          <t>서울시 강동구 올림픽로62길 17-17</t>
        </is>
      </c>
      <c r="AH1798" s="0" t="n">
        <v>0</v>
      </c>
      <c r="AI1798" s="0" t="n">
        <v>357</v>
      </c>
      <c r="AJ1798" s="0" t="n">
        <v>57</v>
      </c>
      <c r="AK1798" s="0" t="n">
        <v>11</v>
      </c>
      <c r="AL1798" s="0" t="n">
        <v>0.5</v>
      </c>
    </row>
    <row r="1799">
      <c r="A1799" s="0" t="inlineStr">
        <is>
          <t>[성내동]</t>
        </is>
      </c>
      <c r="B1799" s="0" t="n">
        <v>128096</v>
      </c>
      <c r="C1799" s="0" t="n">
        <v>3</v>
      </c>
      <c r="D1799" s="0" t="inlineStr">
        <is>
          <t>트리안(도시형)</t>
        </is>
      </c>
      <c r="E1799" s="0" t="inlineStr">
        <is>
          <t>2019.11.</t>
        </is>
      </c>
      <c r="F1799" s="0" t="n">
        <v>22</v>
      </c>
      <c r="G1799" s="0" t="n">
        <v>8.109999999999999</v>
      </c>
      <c r="H1799" s="0" t="n">
        <v>26.81</v>
      </c>
      <c r="I1799" s="0" t="n">
        <v>5.43</v>
      </c>
      <c r="J1799" s="0" t="n">
        <v>17.97</v>
      </c>
      <c r="K1799" s="0" t="n">
        <v>8</v>
      </c>
      <c r="T1799" s="0" t="n">
        <v>1</v>
      </c>
      <c r="U1799" s="0" t="n">
        <v>1</v>
      </c>
      <c r="V1799" s="0" t="inlineStr">
        <is>
          <t>계단식</t>
        </is>
      </c>
      <c r="W1799" s="0" t="n">
        <v>26</v>
      </c>
      <c r="X1799" s="0" t="n">
        <v>8</v>
      </c>
      <c r="Y1799" s="0" t="n">
        <v>7</v>
      </c>
      <c r="Z1799" s="0" t="inlineStr">
        <is>
          <t>https://new.land.naver.com/complexes/128096?tab=detail&amp;rf=Y</t>
        </is>
      </c>
      <c r="AA1799" s="0" t="inlineStr">
        <is>
          <t>서울시 강동구 성내동 47-8</t>
        </is>
      </c>
      <c r="AB1799" s="0" t="inlineStr">
        <is>
          <t>서울시</t>
        </is>
      </c>
      <c r="AC1799" s="0" t="inlineStr">
        <is>
          <t>강동구</t>
        </is>
      </c>
      <c r="AD1799" s="0" t="inlineStr">
        <is>
          <t>성내동</t>
        </is>
      </c>
      <c r="AG1799" s="0" t="inlineStr">
        <is>
          <t>서울시 강동구 올림픽로62길 17-17</t>
        </is>
      </c>
      <c r="AH1799" s="0" t="n">
        <v>0</v>
      </c>
      <c r="AI1799" s="0" t="n">
        <v>357</v>
      </c>
      <c r="AJ1799" s="0" t="n">
        <v>57</v>
      </c>
      <c r="AK1799" s="0" t="n">
        <v>11</v>
      </c>
      <c r="AL1799" s="0" t="n">
        <v>0.5</v>
      </c>
    </row>
    <row r="1800">
      <c r="A1800" s="0" t="inlineStr">
        <is>
          <t>[성내동]</t>
        </is>
      </c>
      <c r="B1800" s="0" t="n">
        <v>128096</v>
      </c>
      <c r="C1800" s="0" t="n">
        <v>4</v>
      </c>
      <c r="D1800" s="0" t="inlineStr">
        <is>
          <t>트리안(도시형)</t>
        </is>
      </c>
      <c r="E1800" s="0" t="inlineStr">
        <is>
          <t>2019.11.</t>
        </is>
      </c>
      <c r="F1800" s="0" t="n">
        <v>22</v>
      </c>
      <c r="G1800" s="0" t="n">
        <v>8.890000000000001</v>
      </c>
      <c r="H1800" s="0" t="n">
        <v>29.41</v>
      </c>
      <c r="I1800" s="0" t="n">
        <v>5.96</v>
      </c>
      <c r="J1800" s="0" t="n">
        <v>19.71</v>
      </c>
      <c r="K1800" s="0" t="n">
        <v>3</v>
      </c>
      <c r="T1800" s="0" t="n">
        <v>1</v>
      </c>
      <c r="U1800" s="0" t="n">
        <v>1</v>
      </c>
      <c r="V1800" s="0" t="inlineStr">
        <is>
          <t>계단식</t>
        </is>
      </c>
      <c r="W1800" s="0" t="inlineStr">
        <is>
          <t>29A</t>
        </is>
      </c>
      <c r="X1800" s="0" t="n">
        <v>8</v>
      </c>
      <c r="Y1800" s="0" t="n">
        <v>7</v>
      </c>
      <c r="Z1800" s="0" t="inlineStr">
        <is>
          <t>https://new.land.naver.com/complexes/128096?tab=detail&amp;rf=Y</t>
        </is>
      </c>
      <c r="AA1800" s="0" t="inlineStr">
        <is>
          <t>서울시 강동구 성내동 47-8</t>
        </is>
      </c>
      <c r="AB1800" s="0" t="inlineStr">
        <is>
          <t>서울시</t>
        </is>
      </c>
      <c r="AC1800" s="0" t="inlineStr">
        <is>
          <t>강동구</t>
        </is>
      </c>
      <c r="AD1800" s="0" t="inlineStr">
        <is>
          <t>성내동</t>
        </is>
      </c>
      <c r="AG1800" s="0" t="inlineStr">
        <is>
          <t>서울시 강동구 올림픽로62길 17-17</t>
        </is>
      </c>
      <c r="AH1800" s="0" t="n">
        <v>0</v>
      </c>
      <c r="AI1800" s="0" t="n">
        <v>357</v>
      </c>
      <c r="AJ1800" s="0" t="n">
        <v>57</v>
      </c>
      <c r="AK1800" s="0" t="n">
        <v>11</v>
      </c>
      <c r="AL1800" s="0" t="n">
        <v>0.5</v>
      </c>
    </row>
    <row r="1801">
      <c r="A1801" s="0" t="inlineStr">
        <is>
          <t>[성내동]</t>
        </is>
      </c>
      <c r="B1801" s="0" t="n">
        <v>128096</v>
      </c>
      <c r="C1801" s="0" t="n">
        <v>5</v>
      </c>
      <c r="D1801" s="0" t="inlineStr">
        <is>
          <t>트리안(도시형)</t>
        </is>
      </c>
      <c r="E1801" s="0" t="inlineStr">
        <is>
          <t>2019.11.</t>
        </is>
      </c>
      <c r="F1801" s="0" t="n">
        <v>22</v>
      </c>
      <c r="G1801" s="0" t="n">
        <v>8.949999999999999</v>
      </c>
      <c r="H1801" s="0" t="n">
        <v>29.61</v>
      </c>
      <c r="I1801" s="0" t="n">
        <v>6</v>
      </c>
      <c r="J1801" s="0" t="n">
        <v>19.85</v>
      </c>
      <c r="K1801" s="0" t="n">
        <v>3</v>
      </c>
      <c r="T1801" s="0" t="n">
        <v>1</v>
      </c>
      <c r="U1801" s="0" t="n">
        <v>1</v>
      </c>
      <c r="V1801" s="0" t="inlineStr">
        <is>
          <t>계단식</t>
        </is>
      </c>
      <c r="W1801" s="0" t="inlineStr">
        <is>
          <t>29B</t>
        </is>
      </c>
      <c r="X1801" s="0" t="n">
        <v>8</v>
      </c>
      <c r="Y1801" s="0" t="n">
        <v>7</v>
      </c>
      <c r="Z1801" s="0" t="inlineStr">
        <is>
          <t>https://new.land.naver.com/complexes/128096?tab=detail&amp;rf=Y</t>
        </is>
      </c>
      <c r="AA1801" s="0" t="inlineStr">
        <is>
          <t>서울시 강동구 성내동 47-8</t>
        </is>
      </c>
      <c r="AB1801" s="0" t="inlineStr">
        <is>
          <t>서울시</t>
        </is>
      </c>
      <c r="AC1801" s="0" t="inlineStr">
        <is>
          <t>강동구</t>
        </is>
      </c>
      <c r="AD1801" s="0" t="inlineStr">
        <is>
          <t>성내동</t>
        </is>
      </c>
      <c r="AG1801" s="0" t="inlineStr">
        <is>
          <t>서울시 강동구 올림픽로62길 17-17</t>
        </is>
      </c>
      <c r="AH1801" s="0" t="n">
        <v>0</v>
      </c>
      <c r="AI1801" s="0" t="n">
        <v>357</v>
      </c>
      <c r="AJ1801" s="0" t="n">
        <v>57</v>
      </c>
      <c r="AK1801" s="0" t="n">
        <v>11</v>
      </c>
      <c r="AL1801" s="0" t="n">
        <v>0.5</v>
      </c>
    </row>
    <row r="1802">
      <c r="A1802" s="0" t="inlineStr">
        <is>
          <t>[성내동]</t>
        </is>
      </c>
      <c r="B1802" s="0" t="n">
        <v>128096</v>
      </c>
      <c r="C1802" s="0" t="n">
        <v>6</v>
      </c>
      <c r="D1802" s="0" t="inlineStr">
        <is>
          <t>트리안(도시형)</t>
        </is>
      </c>
      <c r="E1802" s="0" t="inlineStr">
        <is>
          <t>2019.11.</t>
        </is>
      </c>
      <c r="F1802" s="0" t="n">
        <v>22</v>
      </c>
      <c r="G1802" s="0" t="n">
        <v>13.32</v>
      </c>
      <c r="H1802" s="0" t="n">
        <v>44.05</v>
      </c>
      <c r="I1802" s="0" t="n">
        <v>8.92</v>
      </c>
      <c r="J1802" s="0" t="n">
        <v>29.51</v>
      </c>
      <c r="K1802" s="0" t="n">
        <v>1</v>
      </c>
      <c r="T1802" s="0" t="n">
        <v>1</v>
      </c>
      <c r="U1802" s="0" t="n">
        <v>1</v>
      </c>
      <c r="V1802" s="0" t="inlineStr">
        <is>
          <t>계단식</t>
        </is>
      </c>
      <c r="W1802" s="0" t="inlineStr">
        <is>
          <t>44A</t>
        </is>
      </c>
      <c r="X1802" s="0" t="n">
        <v>8</v>
      </c>
      <c r="Y1802" s="0" t="n">
        <v>7</v>
      </c>
      <c r="Z1802" s="0" t="inlineStr">
        <is>
          <t>https://new.land.naver.com/complexes/128096?tab=detail&amp;rf=Y</t>
        </is>
      </c>
      <c r="AA1802" s="0" t="inlineStr">
        <is>
          <t>서울시 강동구 성내동 47-8</t>
        </is>
      </c>
      <c r="AB1802" s="0" t="inlineStr">
        <is>
          <t>서울시</t>
        </is>
      </c>
      <c r="AC1802" s="0" t="inlineStr">
        <is>
          <t>강동구</t>
        </is>
      </c>
      <c r="AD1802" s="0" t="inlineStr">
        <is>
          <t>성내동</t>
        </is>
      </c>
      <c r="AG1802" s="0" t="inlineStr">
        <is>
          <t>서울시 강동구 올림픽로62길 17-17</t>
        </is>
      </c>
      <c r="AH1802" s="0" t="n">
        <v>0</v>
      </c>
      <c r="AI1802" s="0" t="n">
        <v>357</v>
      </c>
      <c r="AJ1802" s="0" t="n">
        <v>57</v>
      </c>
      <c r="AK1802" s="0" t="n">
        <v>11</v>
      </c>
      <c r="AL1802" s="0" t="n">
        <v>0.5</v>
      </c>
    </row>
    <row r="1803">
      <c r="A1803" s="0" t="inlineStr">
        <is>
          <t>[성내동]</t>
        </is>
      </c>
      <c r="B1803" s="0" t="n">
        <v>128096</v>
      </c>
      <c r="C1803" s="0" t="n">
        <v>7</v>
      </c>
      <c r="D1803" s="0" t="inlineStr">
        <is>
          <t>트리안(도시형)</t>
        </is>
      </c>
      <c r="E1803" s="0" t="inlineStr">
        <is>
          <t>2019.11.</t>
        </is>
      </c>
      <c r="F1803" s="0" t="n">
        <v>22</v>
      </c>
      <c r="G1803" s="0" t="n">
        <v>13.46</v>
      </c>
      <c r="H1803" s="0" t="n">
        <v>44.52</v>
      </c>
      <c r="I1803" s="0" t="n">
        <v>9.02</v>
      </c>
      <c r="J1803" s="0" t="n">
        <v>29.85</v>
      </c>
      <c r="K1803" s="0" t="n">
        <v>1</v>
      </c>
      <c r="T1803" s="0" t="n">
        <v>1</v>
      </c>
      <c r="U1803" s="0" t="n">
        <v>1</v>
      </c>
      <c r="V1803" s="0" t="inlineStr">
        <is>
          <t>계단식</t>
        </is>
      </c>
      <c r="W1803" s="0" t="inlineStr">
        <is>
          <t>44B</t>
        </is>
      </c>
      <c r="X1803" s="0" t="n">
        <v>8</v>
      </c>
      <c r="Y1803" s="0" t="n">
        <v>7</v>
      </c>
      <c r="Z1803" s="0" t="inlineStr">
        <is>
          <t>https://new.land.naver.com/complexes/128096?tab=detail&amp;rf=Y</t>
        </is>
      </c>
      <c r="AA1803" s="0" t="inlineStr">
        <is>
          <t>서울시 강동구 성내동 47-8</t>
        </is>
      </c>
      <c r="AB1803" s="0" t="inlineStr">
        <is>
          <t>서울시</t>
        </is>
      </c>
      <c r="AC1803" s="0" t="inlineStr">
        <is>
          <t>강동구</t>
        </is>
      </c>
      <c r="AD1803" s="0" t="inlineStr">
        <is>
          <t>성내동</t>
        </is>
      </c>
      <c r="AG1803" s="0" t="inlineStr">
        <is>
          <t>서울시 강동구 올림픽로62길 17-17</t>
        </is>
      </c>
      <c r="AH1803" s="0" t="n">
        <v>0</v>
      </c>
      <c r="AI1803" s="0" t="n">
        <v>357</v>
      </c>
      <c r="AJ1803" s="0" t="n">
        <v>57</v>
      </c>
      <c r="AK1803" s="0" t="n">
        <v>11</v>
      </c>
      <c r="AL1803" s="0" t="n">
        <v>0.5</v>
      </c>
    </row>
    <row r="1804">
      <c r="A1804" s="0" t="inlineStr">
        <is>
          <t>[성내동]</t>
        </is>
      </c>
      <c r="B1804" s="0" t="n">
        <v>108320</v>
      </c>
      <c r="C1804" s="0" t="n">
        <v>1</v>
      </c>
      <c r="D1804" s="0" t="inlineStr">
        <is>
          <t>용명브릿지</t>
        </is>
      </c>
      <c r="E1804" s="0" t="inlineStr">
        <is>
          <t>2006.04.</t>
        </is>
      </c>
      <c r="F1804" s="0" t="n">
        <v>33</v>
      </c>
      <c r="G1804" s="0" t="n">
        <v>25.83</v>
      </c>
      <c r="H1804" s="0" t="n">
        <v>85.40000000000001</v>
      </c>
      <c r="I1804" s="0" t="n">
        <v>21.02</v>
      </c>
      <c r="J1804" s="0" t="n">
        <v>69.48999999999999</v>
      </c>
      <c r="K1804" s="0" t="n">
        <v>3</v>
      </c>
      <c r="T1804" s="0" t="n">
        <v>3</v>
      </c>
      <c r="U1804" s="0" t="n">
        <v>2</v>
      </c>
      <c r="V1804" s="0" t="inlineStr">
        <is>
          <t>계단식</t>
        </is>
      </c>
      <c r="W1804" s="0" t="n">
        <v>85</v>
      </c>
      <c r="X1804" s="0" t="n">
        <v>9</v>
      </c>
      <c r="Y1804" s="0" t="n">
        <v>7</v>
      </c>
      <c r="Z1804" s="0" t="inlineStr">
        <is>
          <t>https://new.land.naver.com/complexes/108320?tab=detail&amp;rf=Y</t>
        </is>
      </c>
      <c r="AA1804" s="0" t="inlineStr">
        <is>
          <t>서울시 강동구 성내동 378-6</t>
        </is>
      </c>
      <c r="AB1804" s="0" t="inlineStr">
        <is>
          <t>서울시</t>
        </is>
      </c>
      <c r="AC1804" s="0" t="inlineStr">
        <is>
          <t>강동구</t>
        </is>
      </c>
      <c r="AD1804" s="0" t="inlineStr">
        <is>
          <t>성내동</t>
        </is>
      </c>
      <c r="AG1804" s="0" t="inlineStr">
        <is>
          <t>서울시 강동구 천호대로 1132-18</t>
        </is>
      </c>
      <c r="AH1804" s="0" t="n">
        <v>0</v>
      </c>
      <c r="AI1804" s="0" t="n">
        <v>206</v>
      </c>
      <c r="AJ1804" s="0" t="n">
        <v>27</v>
      </c>
      <c r="AK1804" s="0" t="n">
        <v>38</v>
      </c>
      <c r="AL1804" s="0" t="n">
        <v>1.15</v>
      </c>
    </row>
    <row r="1805">
      <c r="A1805" s="0" t="inlineStr">
        <is>
          <t>[성내동]</t>
        </is>
      </c>
      <c r="B1805" s="0" t="n">
        <v>108320</v>
      </c>
      <c r="C1805" s="0" t="n">
        <v>2</v>
      </c>
      <c r="D1805" s="0" t="inlineStr">
        <is>
          <t>용명브릿지</t>
        </is>
      </c>
      <c r="E1805" s="0" t="inlineStr">
        <is>
          <t>2006.04.</t>
        </is>
      </c>
      <c r="F1805" s="0" t="n">
        <v>33</v>
      </c>
      <c r="G1805" s="0" t="n">
        <v>31.24</v>
      </c>
      <c r="H1805" s="0" t="n">
        <v>103.28</v>
      </c>
      <c r="I1805" s="0" t="n">
        <v>25.49</v>
      </c>
      <c r="J1805" s="0" t="n">
        <v>84.28</v>
      </c>
      <c r="K1805" s="0" t="n">
        <v>29</v>
      </c>
      <c r="T1805" s="0" t="n">
        <v>3</v>
      </c>
      <c r="U1805" s="0" t="n">
        <v>2</v>
      </c>
      <c r="V1805" s="0" t="inlineStr">
        <is>
          <t>계단식</t>
        </is>
      </c>
      <c r="W1805" s="0" t="n">
        <v>103</v>
      </c>
      <c r="X1805" s="0" t="n">
        <v>9</v>
      </c>
      <c r="Y1805" s="0" t="n">
        <v>7</v>
      </c>
      <c r="Z1805" s="0" t="inlineStr">
        <is>
          <t>https://new.land.naver.com/complexes/108320?tab=detail&amp;rf=Y</t>
        </is>
      </c>
      <c r="AA1805" s="0" t="inlineStr">
        <is>
          <t>서울시 강동구 성내동 378-6</t>
        </is>
      </c>
      <c r="AB1805" s="0" t="inlineStr">
        <is>
          <t>서울시</t>
        </is>
      </c>
      <c r="AC1805" s="0" t="inlineStr">
        <is>
          <t>강동구</t>
        </is>
      </c>
      <c r="AD1805" s="0" t="inlineStr">
        <is>
          <t>성내동</t>
        </is>
      </c>
      <c r="AG1805" s="0" t="inlineStr">
        <is>
          <t>서울시 강동구 천호대로 1132-18</t>
        </is>
      </c>
      <c r="AH1805" s="0" t="n">
        <v>0</v>
      </c>
      <c r="AI1805" s="0" t="n">
        <v>206</v>
      </c>
      <c r="AJ1805" s="0" t="n">
        <v>27</v>
      </c>
      <c r="AK1805" s="0" t="n">
        <v>38</v>
      </c>
      <c r="AL1805" s="0" t="n">
        <v>1.15</v>
      </c>
    </row>
    <row r="1806">
      <c r="A1806" s="0" t="inlineStr">
        <is>
          <t>[성내동]</t>
        </is>
      </c>
      <c r="B1806" s="0" t="n">
        <v>108320</v>
      </c>
      <c r="C1806" s="0" t="n">
        <v>3</v>
      </c>
      <c r="D1806" s="0" t="inlineStr">
        <is>
          <t>용명브릿지</t>
        </is>
      </c>
      <c r="E1806" s="0" t="inlineStr">
        <is>
          <t>2006.04.</t>
        </is>
      </c>
      <c r="F1806" s="0" t="n">
        <v>33</v>
      </c>
      <c r="G1806" s="0" t="n">
        <v>41.87</v>
      </c>
      <c r="H1806" s="0" t="n">
        <v>138.42</v>
      </c>
      <c r="I1806" s="0" t="n">
        <v>33.92</v>
      </c>
      <c r="J1806" s="0" t="n">
        <v>112.15</v>
      </c>
      <c r="K1806" s="0" t="n">
        <v>1</v>
      </c>
      <c r="T1806" s="0" t="n">
        <v>4</v>
      </c>
      <c r="U1806" s="0" t="n">
        <v>2</v>
      </c>
      <c r="V1806" s="0" t="inlineStr">
        <is>
          <t>계단식</t>
        </is>
      </c>
      <c r="W1806" s="0" t="n">
        <v>138</v>
      </c>
      <c r="X1806" s="0" t="n">
        <v>9</v>
      </c>
      <c r="Y1806" s="0" t="n">
        <v>7</v>
      </c>
      <c r="Z1806" s="0" t="inlineStr">
        <is>
          <t>https://new.land.naver.com/complexes/108320?tab=detail&amp;rf=Y</t>
        </is>
      </c>
      <c r="AA1806" s="0" t="inlineStr">
        <is>
          <t>서울시 강동구 성내동 378-6</t>
        </is>
      </c>
      <c r="AB1806" s="0" t="inlineStr">
        <is>
          <t>서울시</t>
        </is>
      </c>
      <c r="AC1806" s="0" t="inlineStr">
        <is>
          <t>강동구</t>
        </is>
      </c>
      <c r="AD1806" s="0" t="inlineStr">
        <is>
          <t>성내동</t>
        </is>
      </c>
      <c r="AG1806" s="0" t="inlineStr">
        <is>
          <t>서울시 강동구 천호대로 1132-18</t>
        </is>
      </c>
      <c r="AH1806" s="0" t="n">
        <v>0</v>
      </c>
      <c r="AI1806" s="0" t="n">
        <v>206</v>
      </c>
      <c r="AJ1806" s="0" t="n">
        <v>27</v>
      </c>
      <c r="AK1806" s="0" t="n">
        <v>38</v>
      </c>
      <c r="AL1806" s="0" t="n">
        <v>1.15</v>
      </c>
    </row>
    <row r="1807">
      <c r="A1807" s="0" t="inlineStr">
        <is>
          <t>[성내동]</t>
        </is>
      </c>
      <c r="B1807" s="0" t="n">
        <v>127615</v>
      </c>
      <c r="C1807" s="0" t="n">
        <v>1</v>
      </c>
      <c r="D1807" s="0" t="inlineStr">
        <is>
          <t>집앤사비디(도시형)</t>
        </is>
      </c>
      <c r="E1807" s="0" t="inlineStr">
        <is>
          <t>2019.10.</t>
        </is>
      </c>
      <c r="F1807" s="0" t="n">
        <v>50</v>
      </c>
      <c r="G1807" s="0" t="n">
        <v>7.13</v>
      </c>
      <c r="H1807" s="0" t="n">
        <v>23.6</v>
      </c>
      <c r="I1807" s="0" t="n">
        <v>5.42</v>
      </c>
      <c r="J1807" s="0" t="n">
        <v>17.94</v>
      </c>
      <c r="K1807" s="0" t="n">
        <v>1</v>
      </c>
      <c r="T1807" s="0" t="n">
        <v>1</v>
      </c>
      <c r="U1807" s="0" t="n">
        <v>1</v>
      </c>
      <c r="V1807" s="0" t="inlineStr">
        <is>
          <t>계단식</t>
        </is>
      </c>
      <c r="W1807" s="0" t="n">
        <v>23</v>
      </c>
      <c r="X1807" s="0" t="n">
        <v>11</v>
      </c>
      <c r="Y1807" s="0" t="n">
        <v>11</v>
      </c>
      <c r="Z1807" s="0" t="inlineStr">
        <is>
          <t>https://new.land.naver.com/complexes/127615?tab=detail&amp;rf=Y</t>
        </is>
      </c>
      <c r="AA1807" s="0" t="inlineStr">
        <is>
          <t>서울시 강동구 성내동 545-7</t>
        </is>
      </c>
      <c r="AB1807" s="0" t="inlineStr">
        <is>
          <t>서울시</t>
        </is>
      </c>
      <c r="AC1807" s="0" t="inlineStr">
        <is>
          <t>강동구</t>
        </is>
      </c>
      <c r="AD1807" s="0" t="inlineStr">
        <is>
          <t>성내동</t>
        </is>
      </c>
      <c r="AG1807" s="0" t="inlineStr">
        <is>
          <t>서울시 강동구 성내로 81</t>
        </is>
      </c>
      <c r="AH1807" s="0" t="n">
        <v>0</v>
      </c>
      <c r="AI1807" s="0" t="n">
        <v>249</v>
      </c>
      <c r="AJ1807" s="0" t="n">
        <v>41</v>
      </c>
      <c r="AK1807" s="0" t="n">
        <v>27</v>
      </c>
      <c r="AL1807" s="0" t="n">
        <v>0.54</v>
      </c>
    </row>
    <row r="1808">
      <c r="A1808" s="0" t="inlineStr">
        <is>
          <t>[성내동]</t>
        </is>
      </c>
      <c r="B1808" s="0" t="n">
        <v>127615</v>
      </c>
      <c r="C1808" s="0" t="n">
        <v>2</v>
      </c>
      <c r="D1808" s="0" t="inlineStr">
        <is>
          <t>집앤사비디(도시형)</t>
        </is>
      </c>
      <c r="E1808" s="0" t="inlineStr">
        <is>
          <t>2019.10.</t>
        </is>
      </c>
      <c r="F1808" s="0" t="n">
        <v>50</v>
      </c>
      <c r="G1808" s="0" t="n">
        <v>8.15</v>
      </c>
      <c r="H1808" s="0" t="n">
        <v>26.97</v>
      </c>
      <c r="I1808" s="0" t="n">
        <v>6.07</v>
      </c>
      <c r="J1808" s="0" t="n">
        <v>20.07</v>
      </c>
      <c r="K1808" s="0" t="n">
        <v>1</v>
      </c>
      <c r="T1808" s="0" t="n">
        <v>1</v>
      </c>
      <c r="U1808" s="0" t="n">
        <v>1</v>
      </c>
      <c r="V1808" s="0" t="inlineStr">
        <is>
          <t>계단식</t>
        </is>
      </c>
      <c r="W1808" s="0" t="inlineStr">
        <is>
          <t>26A</t>
        </is>
      </c>
      <c r="X1808" s="0" t="n">
        <v>11</v>
      </c>
      <c r="Y1808" s="0" t="n">
        <v>11</v>
      </c>
      <c r="Z1808" s="0" t="inlineStr">
        <is>
          <t>https://new.land.naver.com/complexes/127615?tab=detail&amp;rf=Y</t>
        </is>
      </c>
      <c r="AA1808" s="0" t="inlineStr">
        <is>
          <t>서울시 강동구 성내동 545-7</t>
        </is>
      </c>
      <c r="AB1808" s="0" t="inlineStr">
        <is>
          <t>서울시</t>
        </is>
      </c>
      <c r="AC1808" s="0" t="inlineStr">
        <is>
          <t>강동구</t>
        </is>
      </c>
      <c r="AD1808" s="0" t="inlineStr">
        <is>
          <t>성내동</t>
        </is>
      </c>
      <c r="AG1808" s="0" t="inlineStr">
        <is>
          <t>서울시 강동구 성내로 81</t>
        </is>
      </c>
      <c r="AH1808" s="0" t="n">
        <v>0</v>
      </c>
      <c r="AI1808" s="0" t="n">
        <v>249</v>
      </c>
      <c r="AJ1808" s="0" t="n">
        <v>41</v>
      </c>
      <c r="AK1808" s="0" t="n">
        <v>27</v>
      </c>
      <c r="AL1808" s="0" t="n">
        <v>0.54</v>
      </c>
    </row>
    <row r="1809">
      <c r="A1809" s="0" t="inlineStr">
        <is>
          <t>[성내동]</t>
        </is>
      </c>
      <c r="B1809" s="0" t="n">
        <v>127615</v>
      </c>
      <c r="C1809" s="0" t="n">
        <v>3</v>
      </c>
      <c r="D1809" s="0" t="inlineStr">
        <is>
          <t>집앤사비디(도시형)</t>
        </is>
      </c>
      <c r="E1809" s="0" t="inlineStr">
        <is>
          <t>2019.10.</t>
        </is>
      </c>
      <c r="F1809" s="0" t="n">
        <v>50</v>
      </c>
      <c r="G1809" s="0" t="n">
        <v>8.23</v>
      </c>
      <c r="H1809" s="0" t="n">
        <v>27.21</v>
      </c>
      <c r="I1809" s="0" t="n">
        <v>6.3</v>
      </c>
      <c r="J1809" s="0" t="n">
        <v>20.83</v>
      </c>
      <c r="K1809" s="0" t="n">
        <v>9</v>
      </c>
      <c r="T1809" s="0" t="n">
        <v>1</v>
      </c>
      <c r="U1809" s="0" t="n">
        <v>1</v>
      </c>
      <c r="V1809" s="0" t="inlineStr">
        <is>
          <t>계단식</t>
        </is>
      </c>
      <c r="W1809" s="0" t="inlineStr">
        <is>
          <t>27B</t>
        </is>
      </c>
      <c r="X1809" s="0" t="n">
        <v>11</v>
      </c>
      <c r="Y1809" s="0" t="n">
        <v>11</v>
      </c>
      <c r="Z1809" s="0" t="inlineStr">
        <is>
          <t>https://new.land.naver.com/complexes/127615?tab=detail&amp;rf=Y</t>
        </is>
      </c>
      <c r="AA1809" s="0" t="inlineStr">
        <is>
          <t>서울시 강동구 성내동 545-7</t>
        </is>
      </c>
      <c r="AB1809" s="0" t="inlineStr">
        <is>
          <t>서울시</t>
        </is>
      </c>
      <c r="AC1809" s="0" t="inlineStr">
        <is>
          <t>강동구</t>
        </is>
      </c>
      <c r="AD1809" s="0" t="inlineStr">
        <is>
          <t>성내동</t>
        </is>
      </c>
      <c r="AG1809" s="0" t="inlineStr">
        <is>
          <t>서울시 강동구 성내로 81</t>
        </is>
      </c>
      <c r="AH1809" s="0" t="n">
        <v>0</v>
      </c>
      <c r="AI1809" s="0" t="n">
        <v>249</v>
      </c>
      <c r="AJ1809" s="0" t="n">
        <v>41</v>
      </c>
      <c r="AK1809" s="0" t="n">
        <v>27</v>
      </c>
      <c r="AL1809" s="0" t="n">
        <v>0.54</v>
      </c>
    </row>
    <row r="1810">
      <c r="A1810" s="0" t="inlineStr">
        <is>
          <t>[성내동]</t>
        </is>
      </c>
      <c r="B1810" s="0" t="n">
        <v>127615</v>
      </c>
      <c r="C1810" s="0" t="n">
        <v>4</v>
      </c>
      <c r="D1810" s="0" t="inlineStr">
        <is>
          <t>집앤사비디(도시형)</t>
        </is>
      </c>
      <c r="E1810" s="0" t="inlineStr">
        <is>
          <t>2019.10.</t>
        </is>
      </c>
      <c r="F1810" s="0" t="n">
        <v>50</v>
      </c>
      <c r="G1810" s="0" t="n">
        <v>9.17</v>
      </c>
      <c r="H1810" s="0" t="n">
        <v>30.33</v>
      </c>
      <c r="I1810" s="0" t="n">
        <v>7.07</v>
      </c>
      <c r="J1810" s="0" t="n">
        <v>23.4</v>
      </c>
      <c r="K1810" s="0" t="n">
        <v>9</v>
      </c>
      <c r="T1810" s="0" t="n">
        <v>1</v>
      </c>
      <c r="U1810" s="0" t="n">
        <v>1</v>
      </c>
      <c r="V1810" s="0" t="inlineStr">
        <is>
          <t>계단식</t>
        </is>
      </c>
      <c r="W1810" s="0" t="n">
        <v>30</v>
      </c>
      <c r="X1810" s="0" t="n">
        <v>11</v>
      </c>
      <c r="Y1810" s="0" t="n">
        <v>11</v>
      </c>
      <c r="Z1810" s="0" t="inlineStr">
        <is>
          <t>https://new.land.naver.com/complexes/127615?tab=detail&amp;rf=Y</t>
        </is>
      </c>
      <c r="AA1810" s="0" t="inlineStr">
        <is>
          <t>서울시 강동구 성내동 545-7</t>
        </is>
      </c>
      <c r="AB1810" s="0" t="inlineStr">
        <is>
          <t>서울시</t>
        </is>
      </c>
      <c r="AC1810" s="0" t="inlineStr">
        <is>
          <t>강동구</t>
        </is>
      </c>
      <c r="AD1810" s="0" t="inlineStr">
        <is>
          <t>성내동</t>
        </is>
      </c>
      <c r="AG1810" s="0" t="inlineStr">
        <is>
          <t>서울시 강동구 성내로 81</t>
        </is>
      </c>
      <c r="AH1810" s="0" t="n">
        <v>0</v>
      </c>
      <c r="AI1810" s="0" t="n">
        <v>249</v>
      </c>
      <c r="AJ1810" s="0" t="n">
        <v>41</v>
      </c>
      <c r="AK1810" s="0" t="n">
        <v>27</v>
      </c>
      <c r="AL1810" s="0" t="n">
        <v>0.54</v>
      </c>
    </row>
    <row r="1811">
      <c r="A1811" s="0" t="inlineStr">
        <is>
          <t>[성내동]</t>
        </is>
      </c>
      <c r="B1811" s="0" t="n">
        <v>127615</v>
      </c>
      <c r="C1811" s="0" t="n">
        <v>5</v>
      </c>
      <c r="D1811" s="0" t="inlineStr">
        <is>
          <t>집앤사비디(도시형)</t>
        </is>
      </c>
      <c r="E1811" s="0" t="inlineStr">
        <is>
          <t>2019.10.</t>
        </is>
      </c>
      <c r="F1811" s="0" t="n">
        <v>50</v>
      </c>
      <c r="G1811" s="0" t="n">
        <v>12.37</v>
      </c>
      <c r="H1811" s="0" t="n">
        <v>40.9</v>
      </c>
      <c r="I1811" s="0" t="n">
        <v>9.92</v>
      </c>
      <c r="J1811" s="0" t="n">
        <v>32.8</v>
      </c>
      <c r="K1811" s="0" t="n">
        <v>10</v>
      </c>
      <c r="T1811" s="0" t="n">
        <v>1</v>
      </c>
      <c r="U1811" s="0" t="n">
        <v>1</v>
      </c>
      <c r="V1811" s="0" t="inlineStr">
        <is>
          <t>계단식</t>
        </is>
      </c>
      <c r="W1811" s="0" t="n">
        <v>40</v>
      </c>
      <c r="X1811" s="0" t="n">
        <v>11</v>
      </c>
      <c r="Y1811" s="0" t="n">
        <v>11</v>
      </c>
      <c r="Z1811" s="0" t="inlineStr">
        <is>
          <t>https://new.land.naver.com/complexes/127615?tab=detail&amp;rf=Y</t>
        </is>
      </c>
      <c r="AA1811" s="0" t="inlineStr">
        <is>
          <t>서울시 강동구 성내동 545-7</t>
        </is>
      </c>
      <c r="AB1811" s="0" t="inlineStr">
        <is>
          <t>서울시</t>
        </is>
      </c>
      <c r="AC1811" s="0" t="inlineStr">
        <is>
          <t>강동구</t>
        </is>
      </c>
      <c r="AD1811" s="0" t="inlineStr">
        <is>
          <t>성내동</t>
        </is>
      </c>
      <c r="AG1811" s="0" t="inlineStr">
        <is>
          <t>서울시 강동구 성내로 81</t>
        </is>
      </c>
      <c r="AH1811" s="0" t="n">
        <v>0</v>
      </c>
      <c r="AI1811" s="0" t="n">
        <v>249</v>
      </c>
      <c r="AJ1811" s="0" t="n">
        <v>41</v>
      </c>
      <c r="AK1811" s="0" t="n">
        <v>27</v>
      </c>
      <c r="AL1811" s="0" t="n">
        <v>0.54</v>
      </c>
    </row>
    <row r="1812">
      <c r="A1812" s="0" t="inlineStr">
        <is>
          <t>[성내동]</t>
        </is>
      </c>
      <c r="B1812" s="0" t="n">
        <v>127615</v>
      </c>
      <c r="C1812" s="0" t="n">
        <v>6</v>
      </c>
      <c r="D1812" s="0" t="inlineStr">
        <is>
          <t>집앤사비디(도시형)</t>
        </is>
      </c>
      <c r="E1812" s="0" t="inlineStr">
        <is>
          <t>2019.10.</t>
        </is>
      </c>
      <c r="F1812" s="0" t="n">
        <v>50</v>
      </c>
      <c r="G1812" s="0" t="n">
        <v>13.39</v>
      </c>
      <c r="H1812" s="0" t="n">
        <v>44.28</v>
      </c>
      <c r="I1812" s="0" t="n">
        <v>10.73</v>
      </c>
      <c r="J1812" s="0" t="n">
        <v>35.49</v>
      </c>
      <c r="K1812" s="0" t="n">
        <v>10</v>
      </c>
      <c r="T1812" s="0" t="n">
        <v>1</v>
      </c>
      <c r="U1812" s="0" t="n">
        <v>1</v>
      </c>
      <c r="V1812" s="0" t="inlineStr">
        <is>
          <t>계단식</t>
        </is>
      </c>
      <c r="W1812" s="0" t="n">
        <v>44</v>
      </c>
      <c r="X1812" s="0" t="n">
        <v>11</v>
      </c>
      <c r="Y1812" s="0" t="n">
        <v>11</v>
      </c>
      <c r="Z1812" s="0" t="inlineStr">
        <is>
          <t>https://new.land.naver.com/complexes/127615?tab=detail&amp;rf=Y</t>
        </is>
      </c>
      <c r="AA1812" s="0" t="inlineStr">
        <is>
          <t>서울시 강동구 성내동 545-7</t>
        </is>
      </c>
      <c r="AB1812" s="0" t="inlineStr">
        <is>
          <t>서울시</t>
        </is>
      </c>
      <c r="AC1812" s="0" t="inlineStr">
        <is>
          <t>강동구</t>
        </is>
      </c>
      <c r="AD1812" s="0" t="inlineStr">
        <is>
          <t>성내동</t>
        </is>
      </c>
      <c r="AG1812" s="0" t="inlineStr">
        <is>
          <t>서울시 강동구 성내로 81</t>
        </is>
      </c>
      <c r="AH1812" s="0" t="n">
        <v>0</v>
      </c>
      <c r="AI1812" s="0" t="n">
        <v>249</v>
      </c>
      <c r="AJ1812" s="0" t="n">
        <v>41</v>
      </c>
      <c r="AK1812" s="0" t="n">
        <v>27</v>
      </c>
      <c r="AL1812" s="0" t="n">
        <v>0.54</v>
      </c>
    </row>
    <row r="1813">
      <c r="A1813" s="0" t="inlineStr">
        <is>
          <t>[성내동]</t>
        </is>
      </c>
      <c r="B1813" s="0" t="n">
        <v>127615</v>
      </c>
      <c r="C1813" s="0" t="n">
        <v>7</v>
      </c>
      <c r="D1813" s="0" t="inlineStr">
        <is>
          <t>집앤사비디(도시형)</t>
        </is>
      </c>
      <c r="E1813" s="0" t="inlineStr">
        <is>
          <t>2019.10.</t>
        </is>
      </c>
      <c r="F1813" s="0" t="n">
        <v>50</v>
      </c>
      <c r="G1813" s="0" t="n">
        <v>14.81</v>
      </c>
      <c r="H1813" s="0" t="n">
        <v>48.96</v>
      </c>
      <c r="I1813" s="0" t="n">
        <v>11.61</v>
      </c>
      <c r="J1813" s="0" t="n">
        <v>38.4</v>
      </c>
      <c r="K1813" s="0" t="n">
        <v>10</v>
      </c>
      <c r="T1813" s="0" t="n">
        <v>2</v>
      </c>
      <c r="U1813" s="0" t="n">
        <v>1</v>
      </c>
      <c r="V1813" s="0" t="inlineStr">
        <is>
          <t>계단식</t>
        </is>
      </c>
      <c r="W1813" s="0" t="n">
        <v>48</v>
      </c>
      <c r="X1813" s="0" t="n">
        <v>11</v>
      </c>
      <c r="Y1813" s="0" t="n">
        <v>11</v>
      </c>
      <c r="Z1813" s="0" t="inlineStr">
        <is>
          <t>https://new.land.naver.com/complexes/127615?tab=detail&amp;rf=Y</t>
        </is>
      </c>
      <c r="AA1813" s="0" t="inlineStr">
        <is>
          <t>서울시 강동구 성내동 545-7</t>
        </is>
      </c>
      <c r="AB1813" s="0" t="inlineStr">
        <is>
          <t>서울시</t>
        </is>
      </c>
      <c r="AC1813" s="0" t="inlineStr">
        <is>
          <t>강동구</t>
        </is>
      </c>
      <c r="AD1813" s="0" t="inlineStr">
        <is>
          <t>성내동</t>
        </is>
      </c>
      <c r="AG1813" s="0" t="inlineStr">
        <is>
          <t>서울시 강동구 성내로 81</t>
        </is>
      </c>
      <c r="AH1813" s="0" t="n">
        <v>0</v>
      </c>
      <c r="AI1813" s="0" t="n">
        <v>249</v>
      </c>
      <c r="AJ1813" s="0" t="n">
        <v>41</v>
      </c>
      <c r="AK1813" s="0" t="n">
        <v>27</v>
      </c>
      <c r="AL1813" s="0" t="n">
        <v>0.54</v>
      </c>
    </row>
    <row r="1814">
      <c r="A1814" s="0" t="inlineStr">
        <is>
          <t>[성내동]</t>
        </is>
      </c>
      <c r="B1814" s="0" t="n">
        <v>9394</v>
      </c>
      <c r="C1814" s="0" t="n">
        <v>1</v>
      </c>
      <c r="D1814" s="0" t="inlineStr">
        <is>
          <t>동남</t>
        </is>
      </c>
      <c r="E1814" s="0" t="inlineStr">
        <is>
          <t>2001.07.</t>
        </is>
      </c>
      <c r="F1814" s="0" t="n">
        <v>40</v>
      </c>
      <c r="G1814" s="0" t="n">
        <v>27.38</v>
      </c>
      <c r="H1814" s="0" t="n">
        <v>90.54000000000001</v>
      </c>
      <c r="I1814" s="0" t="n">
        <v>22.96</v>
      </c>
      <c r="J1814" s="0" t="n">
        <v>75.91</v>
      </c>
      <c r="K1814" s="0" t="n">
        <v>1</v>
      </c>
      <c r="T1814" s="0" t="n">
        <v>3</v>
      </c>
      <c r="U1814" s="0" t="n">
        <v>2</v>
      </c>
      <c r="V1814" s="0" t="inlineStr">
        <is>
          <t>계단식</t>
        </is>
      </c>
      <c r="W1814" s="0" t="n">
        <v>90</v>
      </c>
      <c r="X1814" s="0" t="n">
        <v>7</v>
      </c>
      <c r="Y1814" s="0" t="n">
        <v>6</v>
      </c>
      <c r="Z1814" s="0" t="inlineStr">
        <is>
          <t>https://new.land.naver.com/complexes/9394?tab=detail&amp;rf=Y</t>
        </is>
      </c>
      <c r="AA1814" s="0" t="inlineStr">
        <is>
          <t>서울시 강동구 성내동 446-11</t>
        </is>
      </c>
      <c r="AB1814" s="0" t="inlineStr">
        <is>
          <t>서울시</t>
        </is>
      </c>
      <c r="AC1814" s="0" t="inlineStr">
        <is>
          <t>강동구</t>
        </is>
      </c>
      <c r="AD1814" s="0" t="inlineStr">
        <is>
          <t>성내동</t>
        </is>
      </c>
      <c r="AG1814" s="0" t="inlineStr">
        <is>
          <t>서울시 강동구 양재대로81길 76</t>
        </is>
      </c>
      <c r="AH1814" s="0" t="n">
        <v>0</v>
      </c>
      <c r="AI1814" s="0" t="n">
        <v>297</v>
      </c>
      <c r="AJ1814" s="0" t="n">
        <v>46</v>
      </c>
      <c r="AK1814" s="0" t="n">
        <v>45</v>
      </c>
      <c r="AL1814" s="0" t="n">
        <v>1.12</v>
      </c>
    </row>
    <row r="1815">
      <c r="A1815" s="0" t="inlineStr">
        <is>
          <t>[성내동]</t>
        </is>
      </c>
      <c r="B1815" s="0" t="n">
        <v>9394</v>
      </c>
      <c r="C1815" s="0" t="n">
        <v>2</v>
      </c>
      <c r="D1815" s="0" t="inlineStr">
        <is>
          <t>동남</t>
        </is>
      </c>
      <c r="E1815" s="0" t="inlineStr">
        <is>
          <t>2001.07.</t>
        </is>
      </c>
      <c r="F1815" s="0" t="n">
        <v>40</v>
      </c>
      <c r="G1815" s="0" t="n">
        <v>28.31</v>
      </c>
      <c r="H1815" s="0" t="n">
        <v>93.59999999999999</v>
      </c>
      <c r="I1815" s="0" t="n">
        <v>23.73</v>
      </c>
      <c r="J1815" s="0" t="n">
        <v>78.47</v>
      </c>
      <c r="K1815" s="0" t="n">
        <v>1</v>
      </c>
      <c r="T1815" s="0" t="n">
        <v>3</v>
      </c>
      <c r="U1815" s="0" t="n">
        <v>2</v>
      </c>
      <c r="V1815" s="0" t="inlineStr">
        <is>
          <t>계단식</t>
        </is>
      </c>
      <c r="W1815" s="0" t="n">
        <v>93</v>
      </c>
      <c r="X1815" s="0" t="n">
        <v>7</v>
      </c>
      <c r="Y1815" s="0" t="n">
        <v>6</v>
      </c>
      <c r="Z1815" s="0" t="inlineStr">
        <is>
          <t>https://new.land.naver.com/complexes/9394?tab=detail&amp;rf=Y</t>
        </is>
      </c>
      <c r="AA1815" s="0" t="inlineStr">
        <is>
          <t>서울시 강동구 성내동 446-11</t>
        </is>
      </c>
      <c r="AB1815" s="0" t="inlineStr">
        <is>
          <t>서울시</t>
        </is>
      </c>
      <c r="AC1815" s="0" t="inlineStr">
        <is>
          <t>강동구</t>
        </is>
      </c>
      <c r="AD1815" s="0" t="inlineStr">
        <is>
          <t>성내동</t>
        </is>
      </c>
      <c r="AG1815" s="0" t="inlineStr">
        <is>
          <t>서울시 강동구 양재대로81길 76</t>
        </is>
      </c>
      <c r="AH1815" s="0" t="n">
        <v>0</v>
      </c>
      <c r="AI1815" s="0" t="n">
        <v>297</v>
      </c>
      <c r="AJ1815" s="0" t="n">
        <v>46</v>
      </c>
      <c r="AK1815" s="0" t="n">
        <v>45</v>
      </c>
      <c r="AL1815" s="0" t="n">
        <v>1.12</v>
      </c>
    </row>
    <row r="1816">
      <c r="A1816" s="0" t="inlineStr">
        <is>
          <t>[성내동]</t>
        </is>
      </c>
      <c r="B1816" s="0" t="n">
        <v>9394</v>
      </c>
      <c r="C1816" s="0" t="n">
        <v>3</v>
      </c>
      <c r="D1816" s="0" t="inlineStr">
        <is>
          <t>동남</t>
        </is>
      </c>
      <c r="E1816" s="0" t="inlineStr">
        <is>
          <t>2001.07.</t>
        </is>
      </c>
      <c r="F1816" s="0" t="n">
        <v>40</v>
      </c>
      <c r="G1816" s="0" t="n">
        <v>30.08</v>
      </c>
      <c r="H1816" s="0" t="n">
        <v>99.45</v>
      </c>
      <c r="I1816" s="0" t="n">
        <v>25.22</v>
      </c>
      <c r="J1816" s="0" t="n">
        <v>83.38</v>
      </c>
      <c r="K1816" s="0" t="n">
        <v>7</v>
      </c>
      <c r="T1816" s="0" t="n">
        <v>3</v>
      </c>
      <c r="U1816" s="0" t="n">
        <v>2</v>
      </c>
      <c r="V1816" s="0" t="inlineStr">
        <is>
          <t>계단식</t>
        </is>
      </c>
      <c r="W1816" s="0" t="inlineStr">
        <is>
          <t>99B</t>
        </is>
      </c>
      <c r="X1816" s="0" t="n">
        <v>7</v>
      </c>
      <c r="Y1816" s="0" t="n">
        <v>6</v>
      </c>
      <c r="Z1816" s="0" t="inlineStr">
        <is>
          <t>https://new.land.naver.com/complexes/9394?tab=detail&amp;rf=Y</t>
        </is>
      </c>
      <c r="AA1816" s="0" t="inlineStr">
        <is>
          <t>서울시 강동구 성내동 446-11</t>
        </is>
      </c>
      <c r="AB1816" s="0" t="inlineStr">
        <is>
          <t>서울시</t>
        </is>
      </c>
      <c r="AC1816" s="0" t="inlineStr">
        <is>
          <t>강동구</t>
        </is>
      </c>
      <c r="AD1816" s="0" t="inlineStr">
        <is>
          <t>성내동</t>
        </is>
      </c>
      <c r="AG1816" s="0" t="inlineStr">
        <is>
          <t>서울시 강동구 양재대로81길 76</t>
        </is>
      </c>
      <c r="AH1816" s="0" t="n">
        <v>0</v>
      </c>
      <c r="AI1816" s="0" t="n">
        <v>297</v>
      </c>
      <c r="AJ1816" s="0" t="n">
        <v>46</v>
      </c>
      <c r="AK1816" s="0" t="n">
        <v>45</v>
      </c>
      <c r="AL1816" s="0" t="n">
        <v>1.12</v>
      </c>
    </row>
    <row r="1817">
      <c r="A1817" s="0" t="inlineStr">
        <is>
          <t>[성내동]</t>
        </is>
      </c>
      <c r="B1817" s="0" t="n">
        <v>9394</v>
      </c>
      <c r="C1817" s="0" t="n">
        <v>4</v>
      </c>
      <c r="D1817" s="0" t="inlineStr">
        <is>
          <t>동남</t>
        </is>
      </c>
      <c r="E1817" s="0" t="inlineStr">
        <is>
          <t>2001.07.</t>
        </is>
      </c>
      <c r="F1817" s="0" t="n">
        <v>40</v>
      </c>
      <c r="G1817" s="0" t="n">
        <v>30.08</v>
      </c>
      <c r="H1817" s="0" t="n">
        <v>99.44</v>
      </c>
      <c r="I1817" s="0" t="n">
        <v>25.21</v>
      </c>
      <c r="J1817" s="0" t="n">
        <v>83.37</v>
      </c>
      <c r="K1817" s="0" t="n">
        <v>6</v>
      </c>
      <c r="T1817" s="0" t="n">
        <v>3</v>
      </c>
      <c r="U1817" s="0" t="n">
        <v>2</v>
      </c>
      <c r="V1817" s="0" t="inlineStr">
        <is>
          <t>계단식</t>
        </is>
      </c>
      <c r="W1817" s="0" t="inlineStr">
        <is>
          <t>99A</t>
        </is>
      </c>
      <c r="X1817" s="0" t="n">
        <v>7</v>
      </c>
      <c r="Y1817" s="0" t="n">
        <v>6</v>
      </c>
      <c r="Z1817" s="0" t="inlineStr">
        <is>
          <t>https://new.land.naver.com/complexes/9394?tab=detail&amp;rf=Y</t>
        </is>
      </c>
      <c r="AA1817" s="0" t="inlineStr">
        <is>
          <t>서울시 강동구 성내동 446-11</t>
        </is>
      </c>
      <c r="AB1817" s="0" t="inlineStr">
        <is>
          <t>서울시</t>
        </is>
      </c>
      <c r="AC1817" s="0" t="inlineStr">
        <is>
          <t>강동구</t>
        </is>
      </c>
      <c r="AD1817" s="0" t="inlineStr">
        <is>
          <t>성내동</t>
        </is>
      </c>
      <c r="AG1817" s="0" t="inlineStr">
        <is>
          <t>서울시 강동구 양재대로81길 76</t>
        </is>
      </c>
      <c r="AH1817" s="0" t="n">
        <v>0</v>
      </c>
      <c r="AI1817" s="0" t="n">
        <v>297</v>
      </c>
      <c r="AJ1817" s="0" t="n">
        <v>46</v>
      </c>
      <c r="AK1817" s="0" t="n">
        <v>45</v>
      </c>
      <c r="AL1817" s="0" t="n">
        <v>1.12</v>
      </c>
    </row>
    <row r="1818">
      <c r="A1818" s="0" t="inlineStr">
        <is>
          <t>[성내동]</t>
        </is>
      </c>
      <c r="B1818" s="0" t="n">
        <v>9394</v>
      </c>
      <c r="C1818" s="0" t="n">
        <v>5</v>
      </c>
      <c r="D1818" s="0" t="inlineStr">
        <is>
          <t>동남</t>
        </is>
      </c>
      <c r="E1818" s="0" t="inlineStr">
        <is>
          <t>2001.07.</t>
        </is>
      </c>
      <c r="F1818" s="0" t="n">
        <v>40</v>
      </c>
      <c r="G1818" s="0" t="n">
        <v>30.12</v>
      </c>
      <c r="H1818" s="0" t="n">
        <v>99.59999999999999</v>
      </c>
      <c r="I1818" s="0" t="n">
        <v>25.26</v>
      </c>
      <c r="J1818" s="0" t="n">
        <v>83.51000000000001</v>
      </c>
      <c r="K1818" s="0" t="n">
        <v>1</v>
      </c>
      <c r="T1818" s="0" t="n">
        <v>3</v>
      </c>
      <c r="U1818" s="0" t="n">
        <v>2</v>
      </c>
      <c r="V1818" s="0" t="inlineStr">
        <is>
          <t>계단식</t>
        </is>
      </c>
      <c r="W1818" s="0" t="inlineStr">
        <is>
          <t>99C</t>
        </is>
      </c>
      <c r="X1818" s="0" t="n">
        <v>7</v>
      </c>
      <c r="Y1818" s="0" t="n">
        <v>6</v>
      </c>
      <c r="Z1818" s="0" t="inlineStr">
        <is>
          <t>https://new.land.naver.com/complexes/9394?tab=detail&amp;rf=Y</t>
        </is>
      </c>
      <c r="AA1818" s="0" t="inlineStr">
        <is>
          <t>서울시 강동구 성내동 446-11</t>
        </is>
      </c>
      <c r="AB1818" s="0" t="inlineStr">
        <is>
          <t>서울시</t>
        </is>
      </c>
      <c r="AC1818" s="0" t="inlineStr">
        <is>
          <t>강동구</t>
        </is>
      </c>
      <c r="AD1818" s="0" t="inlineStr">
        <is>
          <t>성내동</t>
        </is>
      </c>
      <c r="AG1818" s="0" t="inlineStr">
        <is>
          <t>서울시 강동구 양재대로81길 76</t>
        </is>
      </c>
      <c r="AH1818" s="0" t="n">
        <v>0</v>
      </c>
      <c r="AI1818" s="0" t="n">
        <v>297</v>
      </c>
      <c r="AJ1818" s="0" t="n">
        <v>46</v>
      </c>
      <c r="AK1818" s="0" t="n">
        <v>45</v>
      </c>
      <c r="AL1818" s="0" t="n">
        <v>1.12</v>
      </c>
    </row>
    <row r="1819">
      <c r="A1819" s="0" t="inlineStr">
        <is>
          <t>[성내동]</t>
        </is>
      </c>
      <c r="B1819" s="0" t="n">
        <v>9394</v>
      </c>
      <c r="C1819" s="0" t="n">
        <v>6</v>
      </c>
      <c r="D1819" s="0" t="inlineStr">
        <is>
          <t>동남</t>
        </is>
      </c>
      <c r="E1819" s="0" t="inlineStr">
        <is>
          <t>2001.07.</t>
        </is>
      </c>
      <c r="F1819" s="0" t="n">
        <v>40</v>
      </c>
      <c r="G1819" s="0" t="n">
        <v>30.51</v>
      </c>
      <c r="H1819" s="0" t="n">
        <v>100.89</v>
      </c>
      <c r="I1819" s="0" t="n">
        <v>25.58</v>
      </c>
      <c r="J1819" s="0" t="n">
        <v>84.59</v>
      </c>
      <c r="K1819" s="0" t="n">
        <v>6</v>
      </c>
      <c r="T1819" s="0" t="n">
        <v>3</v>
      </c>
      <c r="U1819" s="0" t="n">
        <v>2</v>
      </c>
      <c r="V1819" s="0" t="inlineStr">
        <is>
          <t>계단식</t>
        </is>
      </c>
      <c r="W1819" s="0" t="inlineStr">
        <is>
          <t>100D</t>
        </is>
      </c>
      <c r="X1819" s="0" t="n">
        <v>7</v>
      </c>
      <c r="Y1819" s="0" t="n">
        <v>6</v>
      </c>
      <c r="Z1819" s="0" t="inlineStr">
        <is>
          <t>https://new.land.naver.com/complexes/9394?tab=detail&amp;rf=Y</t>
        </is>
      </c>
      <c r="AA1819" s="0" t="inlineStr">
        <is>
          <t>서울시 강동구 성내동 446-11</t>
        </is>
      </c>
      <c r="AB1819" s="0" t="inlineStr">
        <is>
          <t>서울시</t>
        </is>
      </c>
      <c r="AC1819" s="0" t="inlineStr">
        <is>
          <t>강동구</t>
        </is>
      </c>
      <c r="AD1819" s="0" t="inlineStr">
        <is>
          <t>성내동</t>
        </is>
      </c>
      <c r="AG1819" s="0" t="inlineStr">
        <is>
          <t>서울시 강동구 양재대로81길 76</t>
        </is>
      </c>
      <c r="AH1819" s="0" t="n">
        <v>0</v>
      </c>
      <c r="AI1819" s="0" t="n">
        <v>297</v>
      </c>
      <c r="AJ1819" s="0" t="n">
        <v>46</v>
      </c>
      <c r="AK1819" s="0" t="n">
        <v>45</v>
      </c>
      <c r="AL1819" s="0" t="n">
        <v>1.12</v>
      </c>
    </row>
    <row r="1820">
      <c r="A1820" s="0" t="inlineStr">
        <is>
          <t>[성내동]</t>
        </is>
      </c>
      <c r="B1820" s="0" t="n">
        <v>9394</v>
      </c>
      <c r="C1820" s="0" t="n">
        <v>7</v>
      </c>
      <c r="D1820" s="0" t="inlineStr">
        <is>
          <t>동남</t>
        </is>
      </c>
      <c r="E1820" s="0" t="inlineStr">
        <is>
          <t>2001.07.</t>
        </is>
      </c>
      <c r="F1820" s="0" t="n">
        <v>40</v>
      </c>
      <c r="G1820" s="0" t="n">
        <v>30.53</v>
      </c>
      <c r="H1820" s="0" t="n">
        <v>100.95</v>
      </c>
      <c r="I1820" s="0" t="n">
        <v>25.6</v>
      </c>
      <c r="J1820" s="0" t="n">
        <v>84.64</v>
      </c>
      <c r="K1820" s="0" t="n">
        <v>6</v>
      </c>
      <c r="T1820" s="0" t="n">
        <v>3</v>
      </c>
      <c r="U1820" s="0" t="n">
        <v>2</v>
      </c>
      <c r="V1820" s="0" t="inlineStr">
        <is>
          <t>계단식</t>
        </is>
      </c>
      <c r="W1820" s="0" t="inlineStr">
        <is>
          <t>100E</t>
        </is>
      </c>
      <c r="X1820" s="0" t="n">
        <v>7</v>
      </c>
      <c r="Y1820" s="0" t="n">
        <v>6</v>
      </c>
      <c r="Z1820" s="0" t="inlineStr">
        <is>
          <t>https://new.land.naver.com/complexes/9394?tab=detail&amp;rf=Y</t>
        </is>
      </c>
      <c r="AA1820" s="0" t="inlineStr">
        <is>
          <t>서울시 강동구 성내동 446-11</t>
        </is>
      </c>
      <c r="AB1820" s="0" t="inlineStr">
        <is>
          <t>서울시</t>
        </is>
      </c>
      <c r="AC1820" s="0" t="inlineStr">
        <is>
          <t>강동구</t>
        </is>
      </c>
      <c r="AD1820" s="0" t="inlineStr">
        <is>
          <t>성내동</t>
        </is>
      </c>
      <c r="AG1820" s="0" t="inlineStr">
        <is>
          <t>서울시 강동구 양재대로81길 76</t>
        </is>
      </c>
      <c r="AH1820" s="0" t="n">
        <v>0</v>
      </c>
      <c r="AI1820" s="0" t="n">
        <v>297</v>
      </c>
      <c r="AJ1820" s="0" t="n">
        <v>46</v>
      </c>
      <c r="AK1820" s="0" t="n">
        <v>45</v>
      </c>
      <c r="AL1820" s="0" t="n">
        <v>1.12</v>
      </c>
    </row>
    <row r="1821">
      <c r="A1821" s="0" t="inlineStr">
        <is>
          <t>[성내동]</t>
        </is>
      </c>
      <c r="B1821" s="0" t="n">
        <v>9394</v>
      </c>
      <c r="C1821" s="0" t="n">
        <v>8</v>
      </c>
      <c r="D1821" s="0" t="inlineStr">
        <is>
          <t>동남</t>
        </is>
      </c>
      <c r="E1821" s="0" t="inlineStr">
        <is>
          <t>2001.07.</t>
        </is>
      </c>
      <c r="F1821" s="0" t="n">
        <v>40</v>
      </c>
      <c r="G1821" s="0" t="n">
        <v>30.57</v>
      </c>
      <c r="H1821" s="0" t="n">
        <v>101.07</v>
      </c>
      <c r="I1821" s="0" t="n">
        <v>25.63</v>
      </c>
      <c r="J1821" s="0" t="n">
        <v>84.73999999999999</v>
      </c>
      <c r="K1821" s="0" t="n">
        <v>6</v>
      </c>
      <c r="T1821" s="0" t="n">
        <v>3</v>
      </c>
      <c r="U1821" s="0" t="n">
        <v>2</v>
      </c>
      <c r="V1821" s="0" t="inlineStr">
        <is>
          <t>계단식</t>
        </is>
      </c>
      <c r="W1821" s="0" t="inlineStr">
        <is>
          <t>101F</t>
        </is>
      </c>
      <c r="X1821" s="0" t="n">
        <v>7</v>
      </c>
      <c r="Y1821" s="0" t="n">
        <v>6</v>
      </c>
      <c r="Z1821" s="0" t="inlineStr">
        <is>
          <t>https://new.land.naver.com/complexes/9394?tab=detail&amp;rf=Y</t>
        </is>
      </c>
      <c r="AA1821" s="0" t="inlineStr">
        <is>
          <t>서울시 강동구 성내동 446-11</t>
        </is>
      </c>
      <c r="AB1821" s="0" t="inlineStr">
        <is>
          <t>서울시</t>
        </is>
      </c>
      <c r="AC1821" s="0" t="inlineStr">
        <is>
          <t>강동구</t>
        </is>
      </c>
      <c r="AD1821" s="0" t="inlineStr">
        <is>
          <t>성내동</t>
        </is>
      </c>
      <c r="AG1821" s="0" t="inlineStr">
        <is>
          <t>서울시 강동구 양재대로81길 76</t>
        </is>
      </c>
      <c r="AH1821" s="0" t="n">
        <v>0</v>
      </c>
      <c r="AI1821" s="0" t="n">
        <v>297</v>
      </c>
      <c r="AJ1821" s="0" t="n">
        <v>46</v>
      </c>
      <c r="AK1821" s="0" t="n">
        <v>45</v>
      </c>
      <c r="AL1821" s="0" t="n">
        <v>1.12</v>
      </c>
    </row>
    <row r="1822">
      <c r="A1822" s="0" t="inlineStr">
        <is>
          <t>[성내동]</t>
        </is>
      </c>
      <c r="B1822" s="0" t="n">
        <v>9394</v>
      </c>
      <c r="C1822" s="0" t="n">
        <v>9</v>
      </c>
      <c r="D1822" s="0" t="inlineStr">
        <is>
          <t>동남</t>
        </is>
      </c>
      <c r="E1822" s="0" t="inlineStr">
        <is>
          <t>2001.07.</t>
        </is>
      </c>
      <c r="F1822" s="0" t="n">
        <v>40</v>
      </c>
      <c r="G1822" s="0" t="n">
        <v>30.57</v>
      </c>
      <c r="H1822" s="0" t="n">
        <v>101.08</v>
      </c>
      <c r="I1822" s="0" t="n">
        <v>25.63</v>
      </c>
      <c r="J1822" s="0" t="n">
        <v>84.75</v>
      </c>
      <c r="K1822" s="0" t="n">
        <v>6</v>
      </c>
      <c r="T1822" s="0" t="n">
        <v>3</v>
      </c>
      <c r="U1822" s="0" t="n">
        <v>2</v>
      </c>
      <c r="V1822" s="0" t="inlineStr">
        <is>
          <t>계단식</t>
        </is>
      </c>
      <c r="W1822" s="0" t="inlineStr">
        <is>
          <t>101G</t>
        </is>
      </c>
      <c r="X1822" s="0" t="n">
        <v>7</v>
      </c>
      <c r="Y1822" s="0" t="n">
        <v>6</v>
      </c>
      <c r="Z1822" s="0" t="inlineStr">
        <is>
          <t>https://new.land.naver.com/complexes/9394?tab=detail&amp;rf=Y</t>
        </is>
      </c>
      <c r="AA1822" s="0" t="inlineStr">
        <is>
          <t>서울시 강동구 성내동 446-11</t>
        </is>
      </c>
      <c r="AB1822" s="0" t="inlineStr">
        <is>
          <t>서울시</t>
        </is>
      </c>
      <c r="AC1822" s="0" t="inlineStr">
        <is>
          <t>강동구</t>
        </is>
      </c>
      <c r="AD1822" s="0" t="inlineStr">
        <is>
          <t>성내동</t>
        </is>
      </c>
      <c r="AG1822" s="0" t="inlineStr">
        <is>
          <t>서울시 강동구 양재대로81길 76</t>
        </is>
      </c>
      <c r="AH1822" s="0" t="n">
        <v>0</v>
      </c>
      <c r="AI1822" s="0" t="n">
        <v>297</v>
      </c>
      <c r="AJ1822" s="0" t="n">
        <v>46</v>
      </c>
      <c r="AK1822" s="0" t="n">
        <v>45</v>
      </c>
      <c r="AL1822" s="0" t="n">
        <v>1.12</v>
      </c>
    </row>
    <row r="1823">
      <c r="A1823" s="0" t="inlineStr">
        <is>
          <t>[성내동]</t>
        </is>
      </c>
      <c r="B1823" s="0" t="n">
        <v>134214</v>
      </c>
      <c r="C1823" s="0" t="n">
        <v>1</v>
      </c>
      <c r="D1823" s="0" t="inlineStr">
        <is>
          <t>힐스테이트천호역젠트리스(주)</t>
        </is>
      </c>
      <c r="E1823" s="0" t="inlineStr">
        <is>
          <t>2024.03.</t>
        </is>
      </c>
      <c r="F1823" s="0" t="n">
        <v>160</v>
      </c>
      <c r="G1823" s="0" t="n">
        <v>36.36</v>
      </c>
      <c r="H1823" s="0" t="n">
        <v>120.21</v>
      </c>
      <c r="I1823" s="0" t="n">
        <v>25.69</v>
      </c>
      <c r="J1823" s="0" t="n">
        <v>84.94</v>
      </c>
      <c r="K1823" s="0" t="n">
        <v>40</v>
      </c>
      <c r="T1823" s="0" t="n">
        <v>3</v>
      </c>
      <c r="U1823" s="0" t="n">
        <v>2</v>
      </c>
      <c r="V1823" s="0" t="inlineStr">
        <is>
          <t>계단식</t>
        </is>
      </c>
      <c r="W1823" s="0" t="inlineStr">
        <is>
          <t>120B</t>
        </is>
      </c>
      <c r="X1823" s="0" t="n">
        <v>45</v>
      </c>
      <c r="Y1823" s="0" t="n">
        <v>45</v>
      </c>
      <c r="Z1823" s="0" t="inlineStr">
        <is>
          <t>https://new.land.naver.com/complexes/134214?tab=detail&amp;rf=Y</t>
        </is>
      </c>
      <c r="AA1823" s="0" t="inlineStr">
        <is>
          <t>서울시 강동구 성내동 48-6번지 일대</t>
        </is>
      </c>
      <c r="AB1823" s="0" t="inlineStr">
        <is>
          <t>서울시</t>
        </is>
      </c>
      <c r="AC1823" s="0" t="inlineStr">
        <is>
          <t>강동구</t>
        </is>
      </c>
      <c r="AD1823" s="0" t="inlineStr">
        <is>
          <t>성내동</t>
        </is>
      </c>
      <c r="AG1823" s="0" t="inlineStr">
        <is>
          <t>서울시 강동구 천호옛길 93</t>
        </is>
      </c>
      <c r="AH1823" s="0" t="n">
        <v>0</v>
      </c>
      <c r="AI1823" s="0" t="n">
        <v>0</v>
      </c>
      <c r="AJ1823" s="0" t="n">
        <v>0</v>
      </c>
      <c r="AK1823" s="0" t="n">
        <v>196</v>
      </c>
      <c r="AL1823" s="0" t="n">
        <v>1.23</v>
      </c>
    </row>
    <row r="1824">
      <c r="A1824" s="0" t="inlineStr">
        <is>
          <t>[성내동]</t>
        </is>
      </c>
      <c r="B1824" s="0" t="n">
        <v>134214</v>
      </c>
      <c r="C1824" s="0" t="n">
        <v>2</v>
      </c>
      <c r="D1824" s="0" t="inlineStr">
        <is>
          <t>힐스테이트천호역젠트리스(주)</t>
        </is>
      </c>
      <c r="E1824" s="0" t="inlineStr">
        <is>
          <t>2024.03.</t>
        </is>
      </c>
      <c r="F1824" s="0" t="n">
        <v>160</v>
      </c>
      <c r="G1824" s="0" t="n">
        <v>36.75</v>
      </c>
      <c r="H1824" s="0" t="n">
        <v>121.49</v>
      </c>
      <c r="I1824" s="0" t="n">
        <v>25.63</v>
      </c>
      <c r="J1824" s="0" t="n">
        <v>84.76000000000001</v>
      </c>
      <c r="K1824" s="0" t="n">
        <v>40</v>
      </c>
      <c r="T1824" s="0" t="n">
        <v>3</v>
      </c>
      <c r="U1824" s="0" t="n">
        <v>2</v>
      </c>
      <c r="V1824" s="0" t="inlineStr">
        <is>
          <t>계단식</t>
        </is>
      </c>
      <c r="W1824" s="0" t="inlineStr">
        <is>
          <t>121C</t>
        </is>
      </c>
      <c r="X1824" s="0" t="n">
        <v>45</v>
      </c>
      <c r="Y1824" s="0" t="n">
        <v>45</v>
      </c>
      <c r="Z1824" s="0" t="inlineStr">
        <is>
          <t>https://new.land.naver.com/complexes/134214?tab=detail&amp;rf=Y</t>
        </is>
      </c>
      <c r="AA1824" s="0" t="inlineStr">
        <is>
          <t>서울시 강동구 성내동 48-6번지 일대</t>
        </is>
      </c>
      <c r="AB1824" s="0" t="inlineStr">
        <is>
          <t>서울시</t>
        </is>
      </c>
      <c r="AC1824" s="0" t="inlineStr">
        <is>
          <t>강동구</t>
        </is>
      </c>
      <c r="AD1824" s="0" t="inlineStr">
        <is>
          <t>성내동</t>
        </is>
      </c>
      <c r="AG1824" s="0" t="inlineStr">
        <is>
          <t>서울시 강동구 천호옛길 93</t>
        </is>
      </c>
      <c r="AH1824" s="0" t="n">
        <v>0</v>
      </c>
      <c r="AI1824" s="0" t="n">
        <v>0</v>
      </c>
      <c r="AJ1824" s="0" t="n">
        <v>0</v>
      </c>
      <c r="AK1824" s="0" t="n">
        <v>196</v>
      </c>
      <c r="AL1824" s="0" t="n">
        <v>1.23</v>
      </c>
    </row>
    <row r="1825">
      <c r="A1825" s="0" t="inlineStr">
        <is>
          <t>[성내동]</t>
        </is>
      </c>
      <c r="B1825" s="0" t="n">
        <v>134214</v>
      </c>
      <c r="C1825" s="0" t="n">
        <v>3</v>
      </c>
      <c r="D1825" s="0" t="inlineStr">
        <is>
          <t>힐스테이트천호역젠트리스(주)</t>
        </is>
      </c>
      <c r="E1825" s="0" t="inlineStr">
        <is>
          <t>2024.03.</t>
        </is>
      </c>
      <c r="F1825" s="0" t="n">
        <v>160</v>
      </c>
      <c r="G1825" s="0" t="n">
        <v>37.1</v>
      </c>
      <c r="H1825" s="0" t="n">
        <v>122.65</v>
      </c>
      <c r="I1825" s="0" t="n">
        <v>25.66</v>
      </c>
      <c r="J1825" s="0" t="n">
        <v>84.84</v>
      </c>
      <c r="K1825" s="0" t="n">
        <v>80</v>
      </c>
      <c r="T1825" s="0" t="n">
        <v>3</v>
      </c>
      <c r="U1825" s="0" t="n">
        <v>2</v>
      </c>
      <c r="V1825" s="0" t="inlineStr">
        <is>
          <t>계단식</t>
        </is>
      </c>
      <c r="W1825" s="0" t="inlineStr">
        <is>
          <t>122A</t>
        </is>
      </c>
      <c r="X1825" s="0" t="n">
        <v>45</v>
      </c>
      <c r="Y1825" s="0" t="n">
        <v>45</v>
      </c>
      <c r="Z1825" s="0" t="inlineStr">
        <is>
          <t>https://new.land.naver.com/complexes/134214?tab=detail&amp;rf=Y</t>
        </is>
      </c>
      <c r="AA1825" s="0" t="inlineStr">
        <is>
          <t>서울시 강동구 성내동 48-6번지 일대</t>
        </is>
      </c>
      <c r="AB1825" s="0" t="inlineStr">
        <is>
          <t>서울시</t>
        </is>
      </c>
      <c r="AC1825" s="0" t="inlineStr">
        <is>
          <t>강동구</t>
        </is>
      </c>
      <c r="AD1825" s="0" t="inlineStr">
        <is>
          <t>성내동</t>
        </is>
      </c>
      <c r="AG1825" s="0" t="inlineStr">
        <is>
          <t>서울시 강동구 천호옛길 93</t>
        </is>
      </c>
      <c r="AH1825" s="0" t="n">
        <v>0</v>
      </c>
      <c r="AI1825" s="0" t="n">
        <v>0</v>
      </c>
      <c r="AJ1825" s="0" t="n">
        <v>0</v>
      </c>
      <c r="AK1825" s="0" t="n">
        <v>196</v>
      </c>
      <c r="AL1825" s="0" t="n">
        <v>1.23</v>
      </c>
    </row>
    <row r="1826">
      <c r="A1826" s="0" t="inlineStr">
        <is>
          <t>[성내동]</t>
        </is>
      </c>
      <c r="B1826" s="0" t="n">
        <v>120991</v>
      </c>
      <c r="C1826" s="0" t="n">
        <v>1</v>
      </c>
      <c r="D1826" s="0" t="inlineStr">
        <is>
          <t>더존예가(C동,도시형)</t>
        </is>
      </c>
      <c r="E1826" s="0" t="inlineStr">
        <is>
          <t>2018.03.</t>
        </is>
      </c>
      <c r="F1826" s="0" t="n">
        <v>24</v>
      </c>
      <c r="G1826" s="0" t="n">
        <v>5.53</v>
      </c>
      <c r="H1826" s="0" t="n">
        <v>18.29</v>
      </c>
      <c r="I1826" s="0" t="n">
        <v>4.61</v>
      </c>
      <c r="J1826" s="0" t="n">
        <v>15.26</v>
      </c>
      <c r="K1826" s="0" t="n">
        <v>4</v>
      </c>
      <c r="T1826" s="0" t="n">
        <v>1</v>
      </c>
      <c r="U1826" s="0" t="n">
        <v>1</v>
      </c>
      <c r="V1826" s="0" t="inlineStr">
        <is>
          <t>계단식</t>
        </is>
      </c>
      <c r="W1826" s="0" t="inlineStr">
        <is>
          <t>18A</t>
        </is>
      </c>
      <c r="X1826" s="0" t="n">
        <v>9</v>
      </c>
      <c r="Y1826" s="0" t="n">
        <v>9</v>
      </c>
      <c r="Z1826" s="0" t="inlineStr">
        <is>
          <t>https://new.land.naver.com/complexes/120991?tab=detail&amp;rf=Y</t>
        </is>
      </c>
      <c r="AA1826" s="0" t="inlineStr">
        <is>
          <t>서울시 강동구 성내동 81-2</t>
        </is>
      </c>
      <c r="AB1826" s="0" t="inlineStr">
        <is>
          <t>서울시</t>
        </is>
      </c>
      <c r="AC1826" s="0" t="inlineStr">
        <is>
          <t>강동구</t>
        </is>
      </c>
      <c r="AD1826" s="0" t="inlineStr">
        <is>
          <t>성내동</t>
        </is>
      </c>
      <c r="AG1826" s="0" t="inlineStr">
        <is>
          <t>서울시 강동구 올림픽로62길 9-6</t>
        </is>
      </c>
      <c r="AH1826" s="0" t="n">
        <v>0</v>
      </c>
      <c r="AI1826" s="0" t="n">
        <v>359</v>
      </c>
      <c r="AJ1826" s="0" t="n">
        <v>58</v>
      </c>
      <c r="AK1826" s="0" t="n">
        <v>13</v>
      </c>
      <c r="AL1826" s="0" t="n">
        <v>0.54</v>
      </c>
    </row>
    <row r="1827">
      <c r="A1827" s="0" t="inlineStr">
        <is>
          <t>[성내동]</t>
        </is>
      </c>
      <c r="B1827" s="0" t="n">
        <v>120991</v>
      </c>
      <c r="C1827" s="0" t="n">
        <v>2</v>
      </c>
      <c r="D1827" s="0" t="inlineStr">
        <is>
          <t>더존예가(C동,도시형)</t>
        </is>
      </c>
      <c r="E1827" s="0" t="inlineStr">
        <is>
          <t>2018.03.</t>
        </is>
      </c>
      <c r="F1827" s="0" t="n">
        <v>24</v>
      </c>
      <c r="G1827" s="0" t="n">
        <v>6.4</v>
      </c>
      <c r="H1827" s="0" t="n">
        <v>21.19</v>
      </c>
      <c r="I1827" s="0" t="n">
        <v>5.34</v>
      </c>
      <c r="J1827" s="0" t="n">
        <v>17.68</v>
      </c>
      <c r="K1827" s="0" t="n">
        <v>4</v>
      </c>
      <c r="T1827" s="0" t="n">
        <v>1</v>
      </c>
      <c r="U1827" s="0" t="n">
        <v>1</v>
      </c>
      <c r="V1827" s="0" t="inlineStr">
        <is>
          <t>계단식</t>
        </is>
      </c>
      <c r="W1827" s="0" t="inlineStr">
        <is>
          <t>21B</t>
        </is>
      </c>
      <c r="X1827" s="0" t="n">
        <v>9</v>
      </c>
      <c r="Y1827" s="0" t="n">
        <v>9</v>
      </c>
      <c r="Z1827" s="0" t="inlineStr">
        <is>
          <t>https://new.land.naver.com/complexes/120991?tab=detail&amp;rf=Y</t>
        </is>
      </c>
      <c r="AA1827" s="0" t="inlineStr">
        <is>
          <t>서울시 강동구 성내동 81-2</t>
        </is>
      </c>
      <c r="AB1827" s="0" t="inlineStr">
        <is>
          <t>서울시</t>
        </is>
      </c>
      <c r="AC1827" s="0" t="inlineStr">
        <is>
          <t>강동구</t>
        </is>
      </c>
      <c r="AD1827" s="0" t="inlineStr">
        <is>
          <t>성내동</t>
        </is>
      </c>
      <c r="AG1827" s="0" t="inlineStr">
        <is>
          <t>서울시 강동구 올림픽로62길 9-6</t>
        </is>
      </c>
      <c r="AH1827" s="0" t="n">
        <v>0</v>
      </c>
      <c r="AI1827" s="0" t="n">
        <v>359</v>
      </c>
      <c r="AJ1827" s="0" t="n">
        <v>58</v>
      </c>
      <c r="AK1827" s="0" t="n">
        <v>13</v>
      </c>
      <c r="AL1827" s="0" t="n">
        <v>0.54</v>
      </c>
    </row>
    <row r="1828">
      <c r="A1828" s="0" t="inlineStr">
        <is>
          <t>[성내동]</t>
        </is>
      </c>
      <c r="B1828" s="0" t="n">
        <v>120991</v>
      </c>
      <c r="C1828" s="0" t="n">
        <v>3</v>
      </c>
      <c r="D1828" s="0" t="inlineStr">
        <is>
          <t>더존예가(C동,도시형)</t>
        </is>
      </c>
      <c r="E1828" s="0" t="inlineStr">
        <is>
          <t>2018.03.</t>
        </is>
      </c>
      <c r="F1828" s="0" t="n">
        <v>24</v>
      </c>
      <c r="G1828" s="0" t="n">
        <v>6.49</v>
      </c>
      <c r="H1828" s="0" t="n">
        <v>21.46</v>
      </c>
      <c r="I1828" s="0" t="n">
        <v>5.41</v>
      </c>
      <c r="J1828" s="0" t="n">
        <v>17.91</v>
      </c>
      <c r="K1828" s="0" t="n">
        <v>4</v>
      </c>
      <c r="T1828" s="0" t="n">
        <v>1</v>
      </c>
      <c r="U1828" s="0" t="n">
        <v>1</v>
      </c>
      <c r="V1828" s="0" t="inlineStr">
        <is>
          <t>계단식</t>
        </is>
      </c>
      <c r="W1828" s="0" t="inlineStr">
        <is>
          <t>21C</t>
        </is>
      </c>
      <c r="X1828" s="0" t="n">
        <v>9</v>
      </c>
      <c r="Y1828" s="0" t="n">
        <v>9</v>
      </c>
      <c r="Z1828" s="0" t="inlineStr">
        <is>
          <t>https://new.land.naver.com/complexes/120991?tab=detail&amp;rf=Y</t>
        </is>
      </c>
      <c r="AA1828" s="0" t="inlineStr">
        <is>
          <t>서울시 강동구 성내동 81-2</t>
        </is>
      </c>
      <c r="AB1828" s="0" t="inlineStr">
        <is>
          <t>서울시</t>
        </is>
      </c>
      <c r="AC1828" s="0" t="inlineStr">
        <is>
          <t>강동구</t>
        </is>
      </c>
      <c r="AD1828" s="0" t="inlineStr">
        <is>
          <t>성내동</t>
        </is>
      </c>
      <c r="AG1828" s="0" t="inlineStr">
        <is>
          <t>서울시 강동구 올림픽로62길 9-6</t>
        </is>
      </c>
      <c r="AH1828" s="0" t="n">
        <v>0</v>
      </c>
      <c r="AI1828" s="0" t="n">
        <v>359</v>
      </c>
      <c r="AJ1828" s="0" t="n">
        <v>58</v>
      </c>
      <c r="AK1828" s="0" t="n">
        <v>13</v>
      </c>
      <c r="AL1828" s="0" t="n">
        <v>0.54</v>
      </c>
    </row>
    <row r="1829">
      <c r="A1829" s="0" t="inlineStr">
        <is>
          <t>[성내동]</t>
        </is>
      </c>
      <c r="B1829" s="0" t="n">
        <v>120991</v>
      </c>
      <c r="C1829" s="0" t="n">
        <v>4</v>
      </c>
      <c r="D1829" s="0" t="inlineStr">
        <is>
          <t>더존예가(C동,도시형)</t>
        </is>
      </c>
      <c r="E1829" s="0" t="inlineStr">
        <is>
          <t>2018.03.</t>
        </is>
      </c>
      <c r="F1829" s="0" t="n">
        <v>24</v>
      </c>
      <c r="G1829" s="0" t="n">
        <v>6.71</v>
      </c>
      <c r="H1829" s="0" t="n">
        <v>22.19</v>
      </c>
      <c r="I1829" s="0" t="n">
        <v>5.6</v>
      </c>
      <c r="J1829" s="0" t="n">
        <v>18.52</v>
      </c>
      <c r="K1829" s="0" t="n">
        <v>4</v>
      </c>
      <c r="T1829" s="0" t="n">
        <v>1</v>
      </c>
      <c r="U1829" s="0" t="n">
        <v>1</v>
      </c>
      <c r="V1829" s="0" t="inlineStr">
        <is>
          <t>계단식</t>
        </is>
      </c>
      <c r="W1829" s="0" t="n">
        <v>22</v>
      </c>
      <c r="X1829" s="0" t="n">
        <v>9</v>
      </c>
      <c r="Y1829" s="0" t="n">
        <v>9</v>
      </c>
      <c r="Z1829" s="0" t="inlineStr">
        <is>
          <t>https://new.land.naver.com/complexes/120991?tab=detail&amp;rf=Y</t>
        </is>
      </c>
      <c r="AA1829" s="0" t="inlineStr">
        <is>
          <t>서울시 강동구 성내동 81-2</t>
        </is>
      </c>
      <c r="AB1829" s="0" t="inlineStr">
        <is>
          <t>서울시</t>
        </is>
      </c>
      <c r="AC1829" s="0" t="inlineStr">
        <is>
          <t>강동구</t>
        </is>
      </c>
      <c r="AD1829" s="0" t="inlineStr">
        <is>
          <t>성내동</t>
        </is>
      </c>
      <c r="AG1829" s="0" t="inlineStr">
        <is>
          <t>서울시 강동구 올림픽로62길 9-6</t>
        </is>
      </c>
      <c r="AH1829" s="0" t="n">
        <v>0</v>
      </c>
      <c r="AI1829" s="0" t="n">
        <v>359</v>
      </c>
      <c r="AJ1829" s="0" t="n">
        <v>58</v>
      </c>
      <c r="AK1829" s="0" t="n">
        <v>13</v>
      </c>
      <c r="AL1829" s="0" t="n">
        <v>0.54</v>
      </c>
    </row>
    <row r="1830">
      <c r="A1830" s="0" t="inlineStr">
        <is>
          <t>[성내동]</t>
        </is>
      </c>
      <c r="B1830" s="0" t="n">
        <v>120991</v>
      </c>
      <c r="C1830" s="0" t="n">
        <v>5</v>
      </c>
      <c r="D1830" s="0" t="inlineStr">
        <is>
          <t>더존예가(C동,도시형)</t>
        </is>
      </c>
      <c r="E1830" s="0" t="inlineStr">
        <is>
          <t>2018.03.</t>
        </is>
      </c>
      <c r="F1830" s="0" t="n">
        <v>24</v>
      </c>
      <c r="G1830" s="0" t="n">
        <v>9.24</v>
      </c>
      <c r="H1830" s="0" t="n">
        <v>30.57</v>
      </c>
      <c r="I1830" s="0" t="n">
        <v>7.71</v>
      </c>
      <c r="J1830" s="0" t="n">
        <v>25.51</v>
      </c>
      <c r="K1830" s="0" t="n">
        <v>4</v>
      </c>
      <c r="T1830" s="0" t="n">
        <v>1</v>
      </c>
      <c r="U1830" s="0" t="n">
        <v>1</v>
      </c>
      <c r="V1830" s="0" t="inlineStr">
        <is>
          <t>계단식</t>
        </is>
      </c>
      <c r="W1830" s="0" t="n">
        <v>30</v>
      </c>
      <c r="X1830" s="0" t="n">
        <v>9</v>
      </c>
      <c r="Y1830" s="0" t="n">
        <v>9</v>
      </c>
      <c r="Z1830" s="0" t="inlineStr">
        <is>
          <t>https://new.land.naver.com/complexes/120991?tab=detail&amp;rf=Y</t>
        </is>
      </c>
      <c r="AA1830" s="0" t="inlineStr">
        <is>
          <t>서울시 강동구 성내동 81-2</t>
        </is>
      </c>
      <c r="AB1830" s="0" t="inlineStr">
        <is>
          <t>서울시</t>
        </is>
      </c>
      <c r="AC1830" s="0" t="inlineStr">
        <is>
          <t>강동구</t>
        </is>
      </c>
      <c r="AD1830" s="0" t="inlineStr">
        <is>
          <t>성내동</t>
        </is>
      </c>
      <c r="AG1830" s="0" t="inlineStr">
        <is>
          <t>서울시 강동구 올림픽로62길 9-6</t>
        </is>
      </c>
      <c r="AH1830" s="0" t="n">
        <v>0</v>
      </c>
      <c r="AI1830" s="0" t="n">
        <v>359</v>
      </c>
      <c r="AJ1830" s="0" t="n">
        <v>58</v>
      </c>
      <c r="AK1830" s="0" t="n">
        <v>13</v>
      </c>
      <c r="AL1830" s="0" t="n">
        <v>0.54</v>
      </c>
    </row>
    <row r="1831">
      <c r="A1831" s="0" t="inlineStr">
        <is>
          <t>[성내동]</t>
        </is>
      </c>
      <c r="B1831" s="0" t="n">
        <v>120991</v>
      </c>
      <c r="C1831" s="0" t="n">
        <v>6</v>
      </c>
      <c r="D1831" s="0" t="inlineStr">
        <is>
          <t>더존예가(C동,도시형)</t>
        </is>
      </c>
      <c r="E1831" s="0" t="inlineStr">
        <is>
          <t>2018.03.</t>
        </is>
      </c>
      <c r="F1831" s="0" t="n">
        <v>24</v>
      </c>
      <c r="G1831" s="0" t="n">
        <v>10.59</v>
      </c>
      <c r="H1831" s="0" t="n">
        <v>35.02</v>
      </c>
      <c r="I1831" s="0" t="n">
        <v>8.83</v>
      </c>
      <c r="J1831" s="0" t="n">
        <v>29.22</v>
      </c>
      <c r="K1831" s="0" t="n">
        <v>4</v>
      </c>
      <c r="T1831" s="0" t="n">
        <v>1</v>
      </c>
      <c r="U1831" s="0" t="n">
        <v>1</v>
      </c>
      <c r="V1831" s="0" t="inlineStr">
        <is>
          <t>계단식</t>
        </is>
      </c>
      <c r="W1831" s="0" t="n">
        <v>35</v>
      </c>
      <c r="X1831" s="0" t="n">
        <v>9</v>
      </c>
      <c r="Y1831" s="0" t="n">
        <v>9</v>
      </c>
      <c r="Z1831" s="0" t="inlineStr">
        <is>
          <t>https://new.land.naver.com/complexes/120991?tab=detail&amp;rf=Y</t>
        </is>
      </c>
      <c r="AA1831" s="0" t="inlineStr">
        <is>
          <t>서울시 강동구 성내동 81-2</t>
        </is>
      </c>
      <c r="AB1831" s="0" t="inlineStr">
        <is>
          <t>서울시</t>
        </is>
      </c>
      <c r="AC1831" s="0" t="inlineStr">
        <is>
          <t>강동구</t>
        </is>
      </c>
      <c r="AD1831" s="0" t="inlineStr">
        <is>
          <t>성내동</t>
        </is>
      </c>
      <c r="AG1831" s="0" t="inlineStr">
        <is>
          <t>서울시 강동구 올림픽로62길 9-6</t>
        </is>
      </c>
      <c r="AH1831" s="0" t="n">
        <v>0</v>
      </c>
      <c r="AI1831" s="0" t="n">
        <v>359</v>
      </c>
      <c r="AJ1831" s="0" t="n">
        <v>58</v>
      </c>
      <c r="AK1831" s="0" t="n">
        <v>13</v>
      </c>
      <c r="AL1831" s="0" t="n">
        <v>0.54</v>
      </c>
    </row>
    <row r="1832">
      <c r="A1832" s="0" t="inlineStr">
        <is>
          <t>[성내동]</t>
        </is>
      </c>
      <c r="B1832" s="0" t="n">
        <v>127019</v>
      </c>
      <c r="C1832" s="0" t="n">
        <v>1</v>
      </c>
      <c r="D1832" s="0" t="inlineStr">
        <is>
          <t>집앤사베니</t>
        </is>
      </c>
      <c r="E1832" s="0" t="inlineStr">
        <is>
          <t>2019.10.</t>
        </is>
      </c>
      <c r="F1832" s="0" t="n">
        <v>26</v>
      </c>
      <c r="G1832" s="0" t="n">
        <v>20.36</v>
      </c>
      <c r="H1832" s="0" t="n">
        <v>67.31</v>
      </c>
      <c r="I1832" s="0" t="n">
        <v>18.01</v>
      </c>
      <c r="J1832" s="0" t="n">
        <v>59.57</v>
      </c>
      <c r="K1832" s="0" t="n">
        <v>26</v>
      </c>
      <c r="T1832" s="0" t="n">
        <v>3</v>
      </c>
      <c r="U1832" s="0" t="n">
        <v>2</v>
      </c>
      <c r="V1832" s="0" t="inlineStr">
        <is>
          <t>계단식</t>
        </is>
      </c>
      <c r="W1832" s="0" t="inlineStr">
        <is>
          <t>67A</t>
        </is>
      </c>
      <c r="X1832" s="0" t="n">
        <v>14</v>
      </c>
      <c r="Y1832" s="0" t="n">
        <v>14</v>
      </c>
      <c r="Z1832" s="0" t="inlineStr">
        <is>
          <t>https://new.land.naver.com/complexes/127019?tab=detail&amp;rf=Y</t>
        </is>
      </c>
      <c r="AA1832" s="0" t="inlineStr">
        <is>
          <t>서울시 강동구 성내동 542-1</t>
        </is>
      </c>
      <c r="AB1832" s="0" t="inlineStr">
        <is>
          <t>서울시</t>
        </is>
      </c>
      <c r="AC1832" s="0" t="inlineStr">
        <is>
          <t>강동구</t>
        </is>
      </c>
      <c r="AD1832" s="0" t="inlineStr">
        <is>
          <t>성내동</t>
        </is>
      </c>
      <c r="AG1832" s="0" t="inlineStr">
        <is>
          <t>서울시 강동구 성내로 65</t>
        </is>
      </c>
      <c r="AH1832" s="0" t="n">
        <v>0</v>
      </c>
      <c r="AI1832" s="0" t="n">
        <v>249</v>
      </c>
      <c r="AJ1832" s="0" t="n">
        <v>25</v>
      </c>
      <c r="AK1832" s="0" t="n">
        <v>21</v>
      </c>
      <c r="AL1832" s="0" t="n">
        <v>0.8100000000000001</v>
      </c>
    </row>
    <row r="1833">
      <c r="A1833" s="0" t="inlineStr">
        <is>
          <t>[성내동]</t>
        </is>
      </c>
      <c r="B1833" s="0" t="n">
        <v>119761</v>
      </c>
      <c r="C1833" s="0" t="n">
        <v>1</v>
      </c>
      <c r="D1833" s="0" t="inlineStr">
        <is>
          <t>비바체</t>
        </is>
      </c>
      <c r="E1833" s="0" t="inlineStr">
        <is>
          <t>2017.12.</t>
        </is>
      </c>
      <c r="F1833" s="0" t="n">
        <v>18</v>
      </c>
      <c r="G1833" s="0" t="n">
        <v>6.03</v>
      </c>
      <c r="H1833" s="0" t="n">
        <v>19.94</v>
      </c>
      <c r="I1833" s="0" t="n">
        <v>4.3</v>
      </c>
      <c r="J1833" s="0" t="n">
        <v>14.24</v>
      </c>
      <c r="K1833" s="0" t="n">
        <v>6</v>
      </c>
      <c r="T1833" s="0" t="n">
        <v>1</v>
      </c>
      <c r="U1833" s="0" t="n">
        <v>1</v>
      </c>
      <c r="V1833" s="0" t="inlineStr">
        <is>
          <t>복도식</t>
        </is>
      </c>
      <c r="W1833" s="0" t="inlineStr">
        <is>
          <t>19B</t>
        </is>
      </c>
      <c r="X1833" s="0" t="n">
        <v>9</v>
      </c>
      <c r="Y1833" s="0" t="n">
        <v>8</v>
      </c>
      <c r="Z1833" s="0" t="inlineStr">
        <is>
          <t>https://new.land.naver.com/complexes/119761?tab=detail&amp;rf=Y</t>
        </is>
      </c>
      <c r="AA1833" s="0" t="inlineStr">
        <is>
          <t>서울시 강동구 성내동 43-6</t>
        </is>
      </c>
      <c r="AB1833" s="0" t="inlineStr">
        <is>
          <t>서울시</t>
        </is>
      </c>
      <c r="AC1833" s="0" t="inlineStr">
        <is>
          <t>강동구</t>
        </is>
      </c>
      <c r="AD1833" s="0" t="inlineStr">
        <is>
          <t>성내동</t>
        </is>
      </c>
      <c r="AG1833" s="0" t="inlineStr">
        <is>
          <t>서울시 강동구 올림픽로62길 29</t>
        </is>
      </c>
      <c r="AH1833" s="0" t="n">
        <v>0</v>
      </c>
      <c r="AI1833" s="0" t="n">
        <v>355</v>
      </c>
      <c r="AJ1833" s="0" t="n">
        <v>51</v>
      </c>
      <c r="AK1833" s="0" t="n">
        <v>9</v>
      </c>
      <c r="AL1833" s="0" t="n">
        <v>0.5</v>
      </c>
    </row>
    <row r="1834">
      <c r="A1834" s="0" t="inlineStr">
        <is>
          <t>[성내동]</t>
        </is>
      </c>
      <c r="B1834" s="0" t="n">
        <v>119761</v>
      </c>
      <c r="C1834" s="0" t="n">
        <v>2</v>
      </c>
      <c r="D1834" s="0" t="inlineStr">
        <is>
          <t>비바체</t>
        </is>
      </c>
      <c r="E1834" s="0" t="inlineStr">
        <is>
          <t>2017.12.</t>
        </is>
      </c>
      <c r="F1834" s="0" t="n">
        <v>18</v>
      </c>
      <c r="G1834" s="0" t="n">
        <v>5.97</v>
      </c>
      <c r="H1834" s="0" t="n">
        <v>19.74</v>
      </c>
      <c r="I1834" s="0" t="n">
        <v>4.26</v>
      </c>
      <c r="J1834" s="0" t="n">
        <v>14.09</v>
      </c>
      <c r="K1834" s="0" t="n">
        <v>3</v>
      </c>
      <c r="T1834" s="0" t="n">
        <v>1</v>
      </c>
      <c r="U1834" s="0" t="n">
        <v>1</v>
      </c>
      <c r="V1834" s="0" t="inlineStr">
        <is>
          <t>복도식</t>
        </is>
      </c>
      <c r="W1834" s="0" t="inlineStr">
        <is>
          <t>19A</t>
        </is>
      </c>
      <c r="X1834" s="0" t="n">
        <v>9</v>
      </c>
      <c r="Y1834" s="0" t="n">
        <v>8</v>
      </c>
      <c r="Z1834" s="0" t="inlineStr">
        <is>
          <t>https://new.land.naver.com/complexes/119761?tab=detail&amp;rf=Y</t>
        </is>
      </c>
      <c r="AA1834" s="0" t="inlineStr">
        <is>
          <t>서울시 강동구 성내동 43-6</t>
        </is>
      </c>
      <c r="AB1834" s="0" t="inlineStr">
        <is>
          <t>서울시</t>
        </is>
      </c>
      <c r="AC1834" s="0" t="inlineStr">
        <is>
          <t>강동구</t>
        </is>
      </c>
      <c r="AD1834" s="0" t="inlineStr">
        <is>
          <t>성내동</t>
        </is>
      </c>
      <c r="AG1834" s="0" t="inlineStr">
        <is>
          <t>서울시 강동구 올림픽로62길 29</t>
        </is>
      </c>
      <c r="AH1834" s="0" t="n">
        <v>0</v>
      </c>
      <c r="AI1834" s="0" t="n">
        <v>355</v>
      </c>
      <c r="AJ1834" s="0" t="n">
        <v>51</v>
      </c>
      <c r="AK1834" s="0" t="n">
        <v>9</v>
      </c>
      <c r="AL1834" s="0" t="n">
        <v>0.5</v>
      </c>
    </row>
    <row r="1835">
      <c r="A1835" s="0" t="inlineStr">
        <is>
          <t>[성내동]</t>
        </is>
      </c>
      <c r="B1835" s="0" t="n">
        <v>119761</v>
      </c>
      <c r="C1835" s="0" t="n">
        <v>3</v>
      </c>
      <c r="D1835" s="0" t="inlineStr">
        <is>
          <t>비바체</t>
        </is>
      </c>
      <c r="E1835" s="0" t="inlineStr">
        <is>
          <t>2017.12.</t>
        </is>
      </c>
      <c r="F1835" s="0" t="n">
        <v>18</v>
      </c>
      <c r="G1835" s="0" t="n">
        <v>6.2</v>
      </c>
      <c r="H1835" s="0" t="n">
        <v>20.52</v>
      </c>
      <c r="I1835" s="0" t="n">
        <v>4.43</v>
      </c>
      <c r="J1835" s="0" t="n">
        <v>14.65</v>
      </c>
      <c r="K1835" s="0" t="n">
        <v>1</v>
      </c>
      <c r="T1835" s="0" t="n">
        <v>1</v>
      </c>
      <c r="U1835" s="0" t="n">
        <v>1</v>
      </c>
      <c r="V1835" s="0" t="inlineStr">
        <is>
          <t>복도식</t>
        </is>
      </c>
      <c r="W1835" s="0" t="inlineStr">
        <is>
          <t>20C</t>
        </is>
      </c>
      <c r="X1835" s="0" t="n">
        <v>9</v>
      </c>
      <c r="Y1835" s="0" t="n">
        <v>8</v>
      </c>
      <c r="Z1835" s="0" t="inlineStr">
        <is>
          <t>https://new.land.naver.com/complexes/119761?tab=detail&amp;rf=Y</t>
        </is>
      </c>
      <c r="AA1835" s="0" t="inlineStr">
        <is>
          <t>서울시 강동구 성내동 43-6</t>
        </is>
      </c>
      <c r="AB1835" s="0" t="inlineStr">
        <is>
          <t>서울시</t>
        </is>
      </c>
      <c r="AC1835" s="0" t="inlineStr">
        <is>
          <t>강동구</t>
        </is>
      </c>
      <c r="AD1835" s="0" t="inlineStr">
        <is>
          <t>성내동</t>
        </is>
      </c>
      <c r="AG1835" s="0" t="inlineStr">
        <is>
          <t>서울시 강동구 올림픽로62길 29</t>
        </is>
      </c>
      <c r="AH1835" s="0" t="n">
        <v>0</v>
      </c>
      <c r="AI1835" s="0" t="n">
        <v>355</v>
      </c>
      <c r="AJ1835" s="0" t="n">
        <v>51</v>
      </c>
      <c r="AK1835" s="0" t="n">
        <v>9</v>
      </c>
      <c r="AL1835" s="0" t="n">
        <v>0.5</v>
      </c>
    </row>
    <row r="1836">
      <c r="A1836" s="0" t="inlineStr">
        <is>
          <t>[성내동]</t>
        </is>
      </c>
      <c r="B1836" s="0" t="n">
        <v>119761</v>
      </c>
      <c r="C1836" s="0" t="n">
        <v>4</v>
      </c>
      <c r="D1836" s="0" t="inlineStr">
        <is>
          <t>비바체</t>
        </is>
      </c>
      <c r="E1836" s="0" t="inlineStr">
        <is>
          <t>2017.12.</t>
        </is>
      </c>
      <c r="F1836" s="0" t="n">
        <v>18</v>
      </c>
      <c r="G1836" s="0" t="n">
        <v>7.64</v>
      </c>
      <c r="H1836" s="0" t="n">
        <v>25.28</v>
      </c>
      <c r="I1836" s="0" t="n">
        <v>5.45</v>
      </c>
      <c r="J1836" s="0" t="n">
        <v>18.04</v>
      </c>
      <c r="K1836" s="0" t="n">
        <v>3</v>
      </c>
      <c r="T1836" s="0" t="n">
        <v>1</v>
      </c>
      <c r="U1836" s="0" t="n">
        <v>1</v>
      </c>
      <c r="V1836" s="0" t="inlineStr">
        <is>
          <t>복도식</t>
        </is>
      </c>
      <c r="W1836" s="0" t="inlineStr">
        <is>
          <t>25A</t>
        </is>
      </c>
      <c r="X1836" s="0" t="n">
        <v>9</v>
      </c>
      <c r="Y1836" s="0" t="n">
        <v>8</v>
      </c>
      <c r="Z1836" s="0" t="inlineStr">
        <is>
          <t>https://new.land.naver.com/complexes/119761?tab=detail&amp;rf=Y</t>
        </is>
      </c>
      <c r="AA1836" s="0" t="inlineStr">
        <is>
          <t>서울시 강동구 성내동 43-6</t>
        </is>
      </c>
      <c r="AB1836" s="0" t="inlineStr">
        <is>
          <t>서울시</t>
        </is>
      </c>
      <c r="AC1836" s="0" t="inlineStr">
        <is>
          <t>강동구</t>
        </is>
      </c>
      <c r="AD1836" s="0" t="inlineStr">
        <is>
          <t>성내동</t>
        </is>
      </c>
      <c r="AG1836" s="0" t="inlineStr">
        <is>
          <t>서울시 강동구 올림픽로62길 29</t>
        </is>
      </c>
      <c r="AH1836" s="0" t="n">
        <v>0</v>
      </c>
      <c r="AI1836" s="0" t="n">
        <v>355</v>
      </c>
      <c r="AJ1836" s="0" t="n">
        <v>51</v>
      </c>
      <c r="AK1836" s="0" t="n">
        <v>9</v>
      </c>
      <c r="AL1836" s="0" t="n">
        <v>0.5</v>
      </c>
    </row>
    <row r="1837">
      <c r="A1837" s="0" t="inlineStr">
        <is>
          <t>[성내동]</t>
        </is>
      </c>
      <c r="B1837" s="0" t="n">
        <v>119761</v>
      </c>
      <c r="C1837" s="0" t="n">
        <v>5</v>
      </c>
      <c r="D1837" s="0" t="inlineStr">
        <is>
          <t>비바체</t>
        </is>
      </c>
      <c r="E1837" s="0" t="inlineStr">
        <is>
          <t>2017.12.</t>
        </is>
      </c>
      <c r="F1837" s="0" t="n">
        <v>18</v>
      </c>
      <c r="G1837" s="0" t="n">
        <v>8.32</v>
      </c>
      <c r="H1837" s="0" t="n">
        <v>27.51</v>
      </c>
      <c r="I1837" s="0" t="n">
        <v>5.93</v>
      </c>
      <c r="J1837" s="0" t="n">
        <v>19.63</v>
      </c>
      <c r="K1837" s="0" t="n">
        <v>3</v>
      </c>
      <c r="T1837" s="0" t="n">
        <v>1</v>
      </c>
      <c r="U1837" s="0" t="n">
        <v>1</v>
      </c>
      <c r="V1837" s="0" t="inlineStr">
        <is>
          <t>복도식</t>
        </is>
      </c>
      <c r="W1837" s="0" t="inlineStr">
        <is>
          <t>27B</t>
        </is>
      </c>
      <c r="X1837" s="0" t="n">
        <v>9</v>
      </c>
      <c r="Y1837" s="0" t="n">
        <v>8</v>
      </c>
      <c r="Z1837" s="0" t="inlineStr">
        <is>
          <t>https://new.land.naver.com/complexes/119761?tab=detail&amp;rf=Y</t>
        </is>
      </c>
      <c r="AA1837" s="0" t="inlineStr">
        <is>
          <t>서울시 강동구 성내동 43-6</t>
        </is>
      </c>
      <c r="AB1837" s="0" t="inlineStr">
        <is>
          <t>서울시</t>
        </is>
      </c>
      <c r="AC1837" s="0" t="inlineStr">
        <is>
          <t>강동구</t>
        </is>
      </c>
      <c r="AD1837" s="0" t="inlineStr">
        <is>
          <t>성내동</t>
        </is>
      </c>
      <c r="AG1837" s="0" t="inlineStr">
        <is>
          <t>서울시 강동구 올림픽로62길 29</t>
        </is>
      </c>
      <c r="AH1837" s="0" t="n">
        <v>0</v>
      </c>
      <c r="AI1837" s="0" t="n">
        <v>355</v>
      </c>
      <c r="AJ1837" s="0" t="n">
        <v>51</v>
      </c>
      <c r="AK1837" s="0" t="n">
        <v>9</v>
      </c>
      <c r="AL1837" s="0" t="n">
        <v>0.5</v>
      </c>
    </row>
    <row r="1838">
      <c r="A1838" s="0" t="inlineStr">
        <is>
          <t>[성내동]</t>
        </is>
      </c>
      <c r="B1838" s="0" t="n">
        <v>119761</v>
      </c>
      <c r="C1838" s="0" t="n">
        <v>6</v>
      </c>
      <c r="D1838" s="0" t="inlineStr">
        <is>
          <t>비바체</t>
        </is>
      </c>
      <c r="E1838" s="0" t="inlineStr">
        <is>
          <t>2017.12.</t>
        </is>
      </c>
      <c r="F1838" s="0" t="n">
        <v>18</v>
      </c>
      <c r="G1838" s="0" t="n">
        <v>12.69</v>
      </c>
      <c r="H1838" s="0" t="n">
        <v>41.97</v>
      </c>
      <c r="I1838" s="0" t="n">
        <v>9.050000000000001</v>
      </c>
      <c r="J1838" s="0" t="n">
        <v>29.95</v>
      </c>
      <c r="K1838" s="0" t="n">
        <v>1</v>
      </c>
      <c r="T1838" s="0" t="n">
        <v>2</v>
      </c>
      <c r="U1838" s="0" t="n">
        <v>1</v>
      </c>
      <c r="V1838" s="0" t="inlineStr">
        <is>
          <t>복도식</t>
        </is>
      </c>
      <c r="W1838" s="0" t="inlineStr">
        <is>
          <t>41A</t>
        </is>
      </c>
      <c r="X1838" s="0" t="n">
        <v>9</v>
      </c>
      <c r="Y1838" s="0" t="n">
        <v>8</v>
      </c>
      <c r="Z1838" s="0" t="inlineStr">
        <is>
          <t>https://new.land.naver.com/complexes/119761?tab=detail&amp;rf=Y</t>
        </is>
      </c>
      <c r="AA1838" s="0" t="inlineStr">
        <is>
          <t>서울시 강동구 성내동 43-6</t>
        </is>
      </c>
      <c r="AB1838" s="0" t="inlineStr">
        <is>
          <t>서울시</t>
        </is>
      </c>
      <c r="AC1838" s="0" t="inlineStr">
        <is>
          <t>강동구</t>
        </is>
      </c>
      <c r="AD1838" s="0" t="inlineStr">
        <is>
          <t>성내동</t>
        </is>
      </c>
      <c r="AG1838" s="0" t="inlineStr">
        <is>
          <t>서울시 강동구 올림픽로62길 29</t>
        </is>
      </c>
      <c r="AH1838" s="0" t="n">
        <v>0</v>
      </c>
      <c r="AI1838" s="0" t="n">
        <v>355</v>
      </c>
      <c r="AJ1838" s="0" t="n">
        <v>51</v>
      </c>
      <c r="AK1838" s="0" t="n">
        <v>9</v>
      </c>
      <c r="AL1838" s="0" t="n">
        <v>0.5</v>
      </c>
    </row>
    <row r="1839">
      <c r="A1839" s="0" t="inlineStr">
        <is>
          <t>[성내동]</t>
        </is>
      </c>
      <c r="B1839" s="0" t="n">
        <v>119761</v>
      </c>
      <c r="C1839" s="0" t="n">
        <v>7</v>
      </c>
      <c r="D1839" s="0" t="inlineStr">
        <is>
          <t>비바체</t>
        </is>
      </c>
      <c r="E1839" s="0" t="inlineStr">
        <is>
          <t>2017.12.</t>
        </is>
      </c>
      <c r="F1839" s="0" t="n">
        <v>18</v>
      </c>
      <c r="G1839" s="0" t="n">
        <v>12.7</v>
      </c>
      <c r="H1839" s="0" t="n">
        <v>41.99</v>
      </c>
      <c r="I1839" s="0" t="n">
        <v>9.06</v>
      </c>
      <c r="J1839" s="0" t="n">
        <v>29.97</v>
      </c>
      <c r="K1839" s="0" t="n">
        <v>1</v>
      </c>
      <c r="T1839" s="0" t="n">
        <v>2</v>
      </c>
      <c r="U1839" s="0" t="n">
        <v>1</v>
      </c>
      <c r="V1839" s="0" t="inlineStr">
        <is>
          <t>복도식</t>
        </is>
      </c>
      <c r="W1839" s="0" t="inlineStr">
        <is>
          <t>41B</t>
        </is>
      </c>
      <c r="X1839" s="0" t="n">
        <v>9</v>
      </c>
      <c r="Y1839" s="0" t="n">
        <v>8</v>
      </c>
      <c r="Z1839" s="0" t="inlineStr">
        <is>
          <t>https://new.land.naver.com/complexes/119761?tab=detail&amp;rf=Y</t>
        </is>
      </c>
      <c r="AA1839" s="0" t="inlineStr">
        <is>
          <t>서울시 강동구 성내동 43-6</t>
        </is>
      </c>
      <c r="AB1839" s="0" t="inlineStr">
        <is>
          <t>서울시</t>
        </is>
      </c>
      <c r="AC1839" s="0" t="inlineStr">
        <is>
          <t>강동구</t>
        </is>
      </c>
      <c r="AD1839" s="0" t="inlineStr">
        <is>
          <t>성내동</t>
        </is>
      </c>
      <c r="AG1839" s="0" t="inlineStr">
        <is>
          <t>서울시 강동구 올림픽로62길 29</t>
        </is>
      </c>
      <c r="AH1839" s="0" t="n">
        <v>0</v>
      </c>
      <c r="AI1839" s="0" t="n">
        <v>355</v>
      </c>
      <c r="AJ1839" s="0" t="n">
        <v>51</v>
      </c>
      <c r="AK1839" s="0" t="n">
        <v>9</v>
      </c>
      <c r="AL1839" s="0" t="n">
        <v>0.5</v>
      </c>
    </row>
    <row r="1840">
      <c r="A1840" s="0" t="inlineStr">
        <is>
          <t>[성내동]</t>
        </is>
      </c>
      <c r="B1840" s="0" t="n">
        <v>8676</v>
      </c>
      <c r="C1840" s="0" t="n">
        <v>1</v>
      </c>
      <c r="D1840" s="0" t="inlineStr">
        <is>
          <t>삼진</t>
        </is>
      </c>
      <c r="E1840" s="0" t="inlineStr">
        <is>
          <t>1995.05.</t>
        </is>
      </c>
      <c r="F1840" s="0" t="n">
        <v>19</v>
      </c>
      <c r="G1840" s="0" t="n">
        <v>33.17</v>
      </c>
      <c r="H1840" s="0" t="n">
        <v>109.66</v>
      </c>
      <c r="I1840" s="0" t="n">
        <v>24.76</v>
      </c>
      <c r="J1840" s="0" t="n">
        <v>81.87</v>
      </c>
      <c r="K1840" s="0" t="n">
        <v>12</v>
      </c>
      <c r="T1840" s="0" t="n">
        <v>3</v>
      </c>
      <c r="U1840" s="0" t="n">
        <v>2</v>
      </c>
      <c r="V1840" s="0" t="inlineStr">
        <is>
          <t>계단식</t>
        </is>
      </c>
      <c r="W1840" s="0" t="n">
        <v>109</v>
      </c>
      <c r="X1840" s="0" t="n">
        <v>7</v>
      </c>
      <c r="Y1840" s="0" t="n">
        <v>5</v>
      </c>
      <c r="Z1840" s="0" t="inlineStr">
        <is>
          <t>https://new.land.naver.com/complexes/8676?tab=detail&amp;rf=Y</t>
        </is>
      </c>
      <c r="AA1840" s="0" t="inlineStr">
        <is>
          <t>서울시 강동구 성내동 433-12</t>
        </is>
      </c>
      <c r="AB1840" s="0" t="inlineStr">
        <is>
          <t>서울시</t>
        </is>
      </c>
      <c r="AC1840" s="0" t="inlineStr">
        <is>
          <t>강동구</t>
        </is>
      </c>
      <c r="AD1840" s="0" t="inlineStr">
        <is>
          <t>성내동</t>
        </is>
      </c>
      <c r="AG1840" s="0" t="inlineStr">
        <is>
          <t>서울시 강동구 양재대로91나길 44</t>
        </is>
      </c>
      <c r="AH1840" s="0" t="n">
        <v>0</v>
      </c>
      <c r="AI1840" s="0" t="n">
        <v>184</v>
      </c>
      <c r="AJ1840" s="0" t="n">
        <v>28</v>
      </c>
      <c r="AK1840" s="0" t="n">
        <v>18</v>
      </c>
      <c r="AL1840" s="0" t="n">
        <v>0.95</v>
      </c>
    </row>
    <row r="1841">
      <c r="A1841" s="0" t="inlineStr">
        <is>
          <t>[성내동]</t>
        </is>
      </c>
      <c r="B1841" s="0" t="n">
        <v>8676</v>
      </c>
      <c r="C1841" s="0" t="n">
        <v>2</v>
      </c>
      <c r="D1841" s="0" t="inlineStr">
        <is>
          <t>삼진</t>
        </is>
      </c>
      <c r="E1841" s="0" t="inlineStr">
        <is>
          <t>1995.05.</t>
        </is>
      </c>
      <c r="F1841" s="0" t="n">
        <v>19</v>
      </c>
      <c r="G1841" s="0" t="n">
        <v>33.59</v>
      </c>
      <c r="H1841" s="0" t="n">
        <v>111.07</v>
      </c>
      <c r="I1841" s="0" t="n">
        <v>25.08</v>
      </c>
      <c r="J1841" s="0" t="n">
        <v>82.92</v>
      </c>
      <c r="K1841" s="0" t="n">
        <v>5</v>
      </c>
      <c r="T1841" s="0" t="n">
        <v>3</v>
      </c>
      <c r="U1841" s="0" t="n">
        <v>2</v>
      </c>
      <c r="V1841" s="0" t="inlineStr">
        <is>
          <t>계단식</t>
        </is>
      </c>
      <c r="W1841" s="0" t="n">
        <v>111</v>
      </c>
      <c r="X1841" s="0" t="n">
        <v>7</v>
      </c>
      <c r="Y1841" s="0" t="n">
        <v>5</v>
      </c>
      <c r="Z1841" s="0" t="inlineStr">
        <is>
          <t>https://new.land.naver.com/complexes/8676?tab=detail&amp;rf=Y</t>
        </is>
      </c>
      <c r="AA1841" s="0" t="inlineStr">
        <is>
          <t>서울시 강동구 성내동 433-12</t>
        </is>
      </c>
      <c r="AB1841" s="0" t="inlineStr">
        <is>
          <t>서울시</t>
        </is>
      </c>
      <c r="AC1841" s="0" t="inlineStr">
        <is>
          <t>강동구</t>
        </is>
      </c>
      <c r="AD1841" s="0" t="inlineStr">
        <is>
          <t>성내동</t>
        </is>
      </c>
      <c r="AG1841" s="0" t="inlineStr">
        <is>
          <t>서울시 강동구 양재대로91나길 44</t>
        </is>
      </c>
      <c r="AH1841" s="0" t="n">
        <v>0</v>
      </c>
      <c r="AI1841" s="0" t="n">
        <v>184</v>
      </c>
      <c r="AJ1841" s="0" t="n">
        <v>28</v>
      </c>
      <c r="AK1841" s="0" t="n">
        <v>18</v>
      </c>
      <c r="AL1841" s="0" t="n">
        <v>0.95</v>
      </c>
    </row>
    <row r="1842">
      <c r="A1842" s="0" t="inlineStr">
        <is>
          <t>[성내동]</t>
        </is>
      </c>
      <c r="B1842" s="0" t="n">
        <v>8676</v>
      </c>
      <c r="C1842" s="0" t="n">
        <v>3</v>
      </c>
      <c r="D1842" s="0" t="inlineStr">
        <is>
          <t>삼진</t>
        </is>
      </c>
      <c r="E1842" s="0" t="inlineStr">
        <is>
          <t>1995.05.</t>
        </is>
      </c>
      <c r="F1842" s="0" t="n">
        <v>19</v>
      </c>
      <c r="G1842" s="0" t="n">
        <v>60.4</v>
      </c>
      <c r="H1842" s="0" t="n">
        <v>199.67</v>
      </c>
      <c r="I1842" s="0" t="n">
        <v>45.09</v>
      </c>
      <c r="J1842" s="0" t="n">
        <v>149.07</v>
      </c>
      <c r="K1842" s="0" t="n">
        <v>2</v>
      </c>
      <c r="T1842" s="0" t="n">
        <v>4</v>
      </c>
      <c r="U1842" s="0" t="n">
        <v>2</v>
      </c>
      <c r="V1842" s="0" t="inlineStr">
        <is>
          <t>계단식</t>
        </is>
      </c>
      <c r="W1842" s="0" t="n">
        <v>199</v>
      </c>
      <c r="X1842" s="0" t="n">
        <v>7</v>
      </c>
      <c r="Y1842" s="0" t="n">
        <v>5</v>
      </c>
      <c r="Z1842" s="0" t="inlineStr">
        <is>
          <t>https://new.land.naver.com/complexes/8676?tab=detail&amp;rf=Y</t>
        </is>
      </c>
      <c r="AA1842" s="0" t="inlineStr">
        <is>
          <t>서울시 강동구 성내동 433-12</t>
        </is>
      </c>
      <c r="AB1842" s="0" t="inlineStr">
        <is>
          <t>서울시</t>
        </is>
      </c>
      <c r="AC1842" s="0" t="inlineStr">
        <is>
          <t>강동구</t>
        </is>
      </c>
      <c r="AD1842" s="0" t="inlineStr">
        <is>
          <t>성내동</t>
        </is>
      </c>
      <c r="AG1842" s="0" t="inlineStr">
        <is>
          <t>서울시 강동구 양재대로91나길 44</t>
        </is>
      </c>
      <c r="AH1842" s="0" t="n">
        <v>0</v>
      </c>
      <c r="AI1842" s="0" t="n">
        <v>184</v>
      </c>
      <c r="AJ1842" s="0" t="n">
        <v>28</v>
      </c>
      <c r="AK1842" s="0" t="n">
        <v>18</v>
      </c>
      <c r="AL1842" s="0" t="n">
        <v>0.95</v>
      </c>
    </row>
    <row r="1843">
      <c r="A1843" s="0" t="inlineStr">
        <is>
          <t>[성내동]</t>
        </is>
      </c>
      <c r="B1843" s="0" t="n">
        <v>10634</v>
      </c>
      <c r="C1843" s="0" t="n">
        <v>1</v>
      </c>
      <c r="D1843" s="0" t="inlineStr">
        <is>
          <t>SK허브진</t>
        </is>
      </c>
      <c r="E1843" s="0" t="inlineStr">
        <is>
          <t>2004.10.</t>
        </is>
      </c>
      <c r="F1843" s="0" t="n">
        <v>325</v>
      </c>
      <c r="G1843" s="0" t="n">
        <v>12.15</v>
      </c>
      <c r="H1843" s="0" t="n">
        <v>40.18</v>
      </c>
      <c r="I1843" s="0" t="n">
        <v>9.15</v>
      </c>
      <c r="J1843" s="0" t="n">
        <v>30.26</v>
      </c>
      <c r="K1843" s="0" t="n">
        <v>52</v>
      </c>
      <c r="T1843" s="0" t="n">
        <v>2</v>
      </c>
      <c r="U1843" s="0" t="n">
        <v>1</v>
      </c>
      <c r="V1843" s="0" t="inlineStr">
        <is>
          <t>복도식</t>
        </is>
      </c>
      <c r="W1843" s="0" t="n">
        <v>40</v>
      </c>
      <c r="X1843" s="0" t="n">
        <v>15</v>
      </c>
      <c r="Y1843" s="0" t="n">
        <v>15</v>
      </c>
      <c r="Z1843" s="0" t="inlineStr">
        <is>
          <t>https://new.land.naver.com/complexes/10634?tab=detail&amp;rf=Y</t>
        </is>
      </c>
      <c r="AA1843" s="0" t="inlineStr">
        <is>
          <t>서울시 강동구 성내동 194</t>
        </is>
      </c>
      <c r="AB1843" s="0" t="inlineStr">
        <is>
          <t>서울시</t>
        </is>
      </c>
      <c r="AC1843" s="0" t="inlineStr">
        <is>
          <t>강동구</t>
        </is>
      </c>
      <c r="AD1843" s="0" t="inlineStr">
        <is>
          <t>성내동</t>
        </is>
      </c>
      <c r="AG1843" s="0" t="inlineStr">
        <is>
          <t>서울시 강동구 천호대로 1092</t>
        </is>
      </c>
      <c r="AH1843" s="0" t="n">
        <v>0</v>
      </c>
      <c r="AI1843" s="0" t="n">
        <v>433</v>
      </c>
      <c r="AJ1843" s="0" t="n">
        <v>48</v>
      </c>
      <c r="AK1843" s="0" t="n">
        <v>222</v>
      </c>
      <c r="AL1843" s="0" t="n">
        <v>0.68</v>
      </c>
    </row>
    <row r="1844">
      <c r="A1844" s="0" t="inlineStr">
        <is>
          <t>[성내동]</t>
        </is>
      </c>
      <c r="B1844" s="0" t="n">
        <v>10634</v>
      </c>
      <c r="C1844" s="0" t="n">
        <v>2</v>
      </c>
      <c r="D1844" s="0" t="inlineStr">
        <is>
          <t>SK허브진</t>
        </is>
      </c>
      <c r="E1844" s="0" t="inlineStr">
        <is>
          <t>2004.10.</t>
        </is>
      </c>
      <c r="F1844" s="0" t="n">
        <v>325</v>
      </c>
      <c r="G1844" s="0" t="n">
        <v>13.54</v>
      </c>
      <c r="H1844" s="0" t="n">
        <v>44.77</v>
      </c>
      <c r="I1844" s="0" t="n">
        <v>10.19</v>
      </c>
      <c r="J1844" s="0" t="n">
        <v>33.71</v>
      </c>
      <c r="K1844" s="0" t="n">
        <v>221</v>
      </c>
      <c r="T1844" s="0" t="n">
        <v>1</v>
      </c>
      <c r="U1844" s="0" t="n">
        <v>1</v>
      </c>
      <c r="V1844" s="0" t="inlineStr">
        <is>
          <t>복도식</t>
        </is>
      </c>
      <c r="W1844" s="0" t="n">
        <v>44</v>
      </c>
      <c r="X1844" s="0" t="n">
        <v>15</v>
      </c>
      <c r="Y1844" s="0" t="n">
        <v>15</v>
      </c>
      <c r="Z1844" s="0" t="inlineStr">
        <is>
          <t>https://new.land.naver.com/complexes/10634?tab=detail&amp;rf=Y</t>
        </is>
      </c>
      <c r="AA1844" s="0" t="inlineStr">
        <is>
          <t>서울시 강동구 성내동 194</t>
        </is>
      </c>
      <c r="AB1844" s="0" t="inlineStr">
        <is>
          <t>서울시</t>
        </is>
      </c>
      <c r="AC1844" s="0" t="inlineStr">
        <is>
          <t>강동구</t>
        </is>
      </c>
      <c r="AD1844" s="0" t="inlineStr">
        <is>
          <t>성내동</t>
        </is>
      </c>
      <c r="AG1844" s="0" t="inlineStr">
        <is>
          <t>서울시 강동구 천호대로 1092</t>
        </is>
      </c>
      <c r="AH1844" s="0" t="n">
        <v>0</v>
      </c>
      <c r="AI1844" s="0" t="n">
        <v>433</v>
      </c>
      <c r="AJ1844" s="0" t="n">
        <v>48</v>
      </c>
      <c r="AK1844" s="0" t="n">
        <v>222</v>
      </c>
      <c r="AL1844" s="0" t="n">
        <v>0.68</v>
      </c>
    </row>
    <row r="1845">
      <c r="A1845" s="0" t="inlineStr">
        <is>
          <t>[성내동]</t>
        </is>
      </c>
      <c r="B1845" s="0" t="n">
        <v>10634</v>
      </c>
      <c r="C1845" s="0" t="n">
        <v>3</v>
      </c>
      <c r="D1845" s="0" t="inlineStr">
        <is>
          <t>SK허브진</t>
        </is>
      </c>
      <c r="E1845" s="0" t="inlineStr">
        <is>
          <t>2004.10.</t>
        </is>
      </c>
      <c r="F1845" s="0" t="n">
        <v>325</v>
      </c>
      <c r="G1845" s="0" t="n">
        <v>19.01</v>
      </c>
      <c r="H1845" s="0" t="n">
        <v>62.86</v>
      </c>
      <c r="I1845" s="0" t="n">
        <v>14.32</v>
      </c>
      <c r="J1845" s="0" t="n">
        <v>47.36</v>
      </c>
      <c r="K1845" s="0" t="n">
        <v>52</v>
      </c>
      <c r="T1845" s="0" t="n">
        <v>3</v>
      </c>
      <c r="U1845" s="0" t="n">
        <v>1</v>
      </c>
      <c r="V1845" s="0" t="inlineStr">
        <is>
          <t>복도식</t>
        </is>
      </c>
      <c r="W1845" s="0" t="n">
        <v>62</v>
      </c>
      <c r="X1845" s="0" t="n">
        <v>15</v>
      </c>
      <c r="Y1845" s="0" t="n">
        <v>15</v>
      </c>
      <c r="Z1845" s="0" t="inlineStr">
        <is>
          <t>https://new.land.naver.com/complexes/10634?tab=detail&amp;rf=Y</t>
        </is>
      </c>
      <c r="AA1845" s="0" t="inlineStr">
        <is>
          <t>서울시 강동구 성내동 194</t>
        </is>
      </c>
      <c r="AB1845" s="0" t="inlineStr">
        <is>
          <t>서울시</t>
        </is>
      </c>
      <c r="AC1845" s="0" t="inlineStr">
        <is>
          <t>강동구</t>
        </is>
      </c>
      <c r="AD1845" s="0" t="inlineStr">
        <is>
          <t>성내동</t>
        </is>
      </c>
      <c r="AG1845" s="0" t="inlineStr">
        <is>
          <t>서울시 강동구 천호대로 1092</t>
        </is>
      </c>
      <c r="AH1845" s="0" t="n">
        <v>0</v>
      </c>
      <c r="AI1845" s="0" t="n">
        <v>433</v>
      </c>
      <c r="AJ1845" s="0" t="n">
        <v>48</v>
      </c>
      <c r="AK1845" s="0" t="n">
        <v>222</v>
      </c>
      <c r="AL1845" s="0" t="n">
        <v>0.68</v>
      </c>
    </row>
    <row r="1846">
      <c r="A1846" s="0" t="inlineStr">
        <is>
          <t>[성내동]</t>
        </is>
      </c>
      <c r="B1846" s="0" t="n">
        <v>139647</v>
      </c>
      <c r="C1846" s="0" t="n">
        <v>1</v>
      </c>
      <c r="D1846" s="0" t="inlineStr">
        <is>
          <t>성내마이플레이스(도시형)</t>
        </is>
      </c>
      <c r="E1846" s="0" t="inlineStr">
        <is>
          <t>2020.07.</t>
        </is>
      </c>
      <c r="F1846" s="0" t="n">
        <v>19</v>
      </c>
      <c r="G1846" s="0" t="n">
        <v>6.49</v>
      </c>
      <c r="H1846" s="0" t="n">
        <v>21.48</v>
      </c>
      <c r="I1846" s="0" t="n">
        <v>4.61</v>
      </c>
      <c r="J1846" s="0" t="n">
        <v>15.24</v>
      </c>
      <c r="K1846" s="0" t="n">
        <v>4</v>
      </c>
      <c r="T1846" s="0" t="n">
        <v>1</v>
      </c>
      <c r="U1846" s="0" t="n">
        <v>1</v>
      </c>
      <c r="V1846" s="0" t="inlineStr">
        <is>
          <t>계단식</t>
        </is>
      </c>
      <c r="W1846" s="0" t="inlineStr">
        <is>
          <t>21A</t>
        </is>
      </c>
      <c r="X1846" s="0" t="n">
        <v>9</v>
      </c>
      <c r="Y1846" s="0" t="n">
        <v>8</v>
      </c>
      <c r="Z1846" s="0" t="inlineStr">
        <is>
          <t>https://new.land.naver.com/complexes/139647?tab=detail&amp;rf=Y</t>
        </is>
      </c>
      <c r="AA1846" s="0" t="inlineStr">
        <is>
          <t>서울시 강동구 성내동 81-10</t>
        </is>
      </c>
      <c r="AB1846" s="0" t="inlineStr">
        <is>
          <t>서울시</t>
        </is>
      </c>
      <c r="AC1846" s="0" t="inlineStr">
        <is>
          <t>강동구</t>
        </is>
      </c>
      <c r="AD1846" s="0" t="inlineStr">
        <is>
          <t>성내동</t>
        </is>
      </c>
      <c r="AG1846" s="0" t="inlineStr">
        <is>
          <t>서울시 강동구 올림픽로62길 9-9</t>
        </is>
      </c>
      <c r="AH1846" s="0" t="n">
        <v>0</v>
      </c>
      <c r="AI1846" s="0" t="n">
        <v>358</v>
      </c>
      <c r="AJ1846" s="0" t="n">
        <v>59</v>
      </c>
      <c r="AK1846" s="0" t="n">
        <v>10</v>
      </c>
      <c r="AL1846" s="0" t="n">
        <v>0.53</v>
      </c>
    </row>
    <row r="1847">
      <c r="A1847" s="0" t="inlineStr">
        <is>
          <t>[성내동]</t>
        </is>
      </c>
      <c r="B1847" s="0" t="n">
        <v>139647</v>
      </c>
      <c r="C1847" s="0" t="n">
        <v>2</v>
      </c>
      <c r="D1847" s="0" t="inlineStr">
        <is>
          <t>성내마이플레이스(도시형)</t>
        </is>
      </c>
      <c r="E1847" s="0" t="inlineStr">
        <is>
          <t>2020.07.</t>
        </is>
      </c>
      <c r="F1847" s="0" t="n">
        <v>19</v>
      </c>
      <c r="G1847" s="0" t="n">
        <v>7.21</v>
      </c>
      <c r="H1847" s="0" t="n">
        <v>23.85</v>
      </c>
      <c r="I1847" s="0" t="n">
        <v>5.11</v>
      </c>
      <c r="J1847" s="0" t="n">
        <v>16.92</v>
      </c>
      <c r="K1847" s="0" t="n">
        <v>1</v>
      </c>
      <c r="T1847" s="0" t="n">
        <v>1</v>
      </c>
      <c r="U1847" s="0" t="n">
        <v>1</v>
      </c>
      <c r="V1847" s="0" t="inlineStr">
        <is>
          <t>계단식</t>
        </is>
      </c>
      <c r="W1847" s="0" t="inlineStr">
        <is>
          <t>23B</t>
        </is>
      </c>
      <c r="X1847" s="0" t="n">
        <v>9</v>
      </c>
      <c r="Y1847" s="0" t="n">
        <v>8</v>
      </c>
      <c r="Z1847" s="0" t="inlineStr">
        <is>
          <t>https://new.land.naver.com/complexes/139647?tab=detail&amp;rf=Y</t>
        </is>
      </c>
      <c r="AA1847" s="0" t="inlineStr">
        <is>
          <t>서울시 강동구 성내동 81-10</t>
        </is>
      </c>
      <c r="AB1847" s="0" t="inlineStr">
        <is>
          <t>서울시</t>
        </is>
      </c>
      <c r="AC1847" s="0" t="inlineStr">
        <is>
          <t>강동구</t>
        </is>
      </c>
      <c r="AD1847" s="0" t="inlineStr">
        <is>
          <t>성내동</t>
        </is>
      </c>
      <c r="AG1847" s="0" t="inlineStr">
        <is>
          <t>서울시 강동구 올림픽로62길 9-9</t>
        </is>
      </c>
      <c r="AH1847" s="0" t="n">
        <v>0</v>
      </c>
      <c r="AI1847" s="0" t="n">
        <v>358</v>
      </c>
      <c r="AJ1847" s="0" t="n">
        <v>59</v>
      </c>
      <c r="AK1847" s="0" t="n">
        <v>10</v>
      </c>
      <c r="AL1847" s="0" t="n">
        <v>0.53</v>
      </c>
    </row>
    <row r="1848">
      <c r="A1848" s="0" t="inlineStr">
        <is>
          <t>[성내동]</t>
        </is>
      </c>
      <c r="B1848" s="0" t="n">
        <v>139647</v>
      </c>
      <c r="C1848" s="0" t="n">
        <v>3</v>
      </c>
      <c r="D1848" s="0" t="inlineStr">
        <is>
          <t>성내마이플레이스(도시형)</t>
        </is>
      </c>
      <c r="E1848" s="0" t="inlineStr">
        <is>
          <t>2020.07.</t>
        </is>
      </c>
      <c r="F1848" s="0" t="n">
        <v>19</v>
      </c>
      <c r="G1848" s="0" t="n">
        <v>7.34</v>
      </c>
      <c r="H1848" s="0" t="n">
        <v>24.27</v>
      </c>
      <c r="I1848" s="0" t="n">
        <v>5.2</v>
      </c>
      <c r="J1848" s="0" t="n">
        <v>17.22</v>
      </c>
      <c r="K1848" s="0" t="n">
        <v>4</v>
      </c>
      <c r="T1848" s="0" t="n">
        <v>1</v>
      </c>
      <c r="U1848" s="0" t="n">
        <v>1</v>
      </c>
      <c r="V1848" s="0" t="inlineStr">
        <is>
          <t>계단식</t>
        </is>
      </c>
      <c r="W1848" s="0" t="inlineStr">
        <is>
          <t>24C</t>
        </is>
      </c>
      <c r="X1848" s="0" t="n">
        <v>9</v>
      </c>
      <c r="Y1848" s="0" t="n">
        <v>8</v>
      </c>
      <c r="Z1848" s="0" t="inlineStr">
        <is>
          <t>https://new.land.naver.com/complexes/139647?tab=detail&amp;rf=Y</t>
        </is>
      </c>
      <c r="AA1848" s="0" t="inlineStr">
        <is>
          <t>서울시 강동구 성내동 81-10</t>
        </is>
      </c>
      <c r="AB1848" s="0" t="inlineStr">
        <is>
          <t>서울시</t>
        </is>
      </c>
      <c r="AC1848" s="0" t="inlineStr">
        <is>
          <t>강동구</t>
        </is>
      </c>
      <c r="AD1848" s="0" t="inlineStr">
        <is>
          <t>성내동</t>
        </is>
      </c>
      <c r="AG1848" s="0" t="inlineStr">
        <is>
          <t>서울시 강동구 올림픽로62길 9-9</t>
        </is>
      </c>
      <c r="AH1848" s="0" t="n">
        <v>0</v>
      </c>
      <c r="AI1848" s="0" t="n">
        <v>358</v>
      </c>
      <c r="AJ1848" s="0" t="n">
        <v>59</v>
      </c>
      <c r="AK1848" s="0" t="n">
        <v>10</v>
      </c>
      <c r="AL1848" s="0" t="n">
        <v>0.53</v>
      </c>
    </row>
    <row r="1849">
      <c r="A1849" s="0" t="inlineStr">
        <is>
          <t>[성내동]</t>
        </is>
      </c>
      <c r="B1849" s="0" t="n">
        <v>139647</v>
      </c>
      <c r="C1849" s="0" t="n">
        <v>4</v>
      </c>
      <c r="D1849" s="0" t="inlineStr">
        <is>
          <t>성내마이플레이스(도시형)</t>
        </is>
      </c>
      <c r="E1849" s="0" t="inlineStr">
        <is>
          <t>2020.07.</t>
        </is>
      </c>
      <c r="F1849" s="0" t="n">
        <v>19</v>
      </c>
      <c r="G1849" s="0" t="n">
        <v>8.69</v>
      </c>
      <c r="H1849" s="0" t="n">
        <v>28.73</v>
      </c>
      <c r="I1849" s="0" t="n">
        <v>6.16</v>
      </c>
      <c r="J1849" s="0" t="n">
        <v>20.38</v>
      </c>
      <c r="K1849" s="0" t="n">
        <v>1</v>
      </c>
      <c r="T1849" s="0" t="n">
        <v>1</v>
      </c>
      <c r="U1849" s="0" t="n">
        <v>1</v>
      </c>
      <c r="V1849" s="0" t="inlineStr">
        <is>
          <t>계단식</t>
        </is>
      </c>
      <c r="W1849" s="0" t="n">
        <v>28</v>
      </c>
      <c r="X1849" s="0" t="n">
        <v>9</v>
      </c>
      <c r="Y1849" s="0" t="n">
        <v>8</v>
      </c>
      <c r="Z1849" s="0" t="inlineStr">
        <is>
          <t>https://new.land.naver.com/complexes/139647?tab=detail&amp;rf=Y</t>
        </is>
      </c>
      <c r="AA1849" s="0" t="inlineStr">
        <is>
          <t>서울시 강동구 성내동 81-10</t>
        </is>
      </c>
      <c r="AB1849" s="0" t="inlineStr">
        <is>
          <t>서울시</t>
        </is>
      </c>
      <c r="AC1849" s="0" t="inlineStr">
        <is>
          <t>강동구</t>
        </is>
      </c>
      <c r="AD1849" s="0" t="inlineStr">
        <is>
          <t>성내동</t>
        </is>
      </c>
      <c r="AG1849" s="0" t="inlineStr">
        <is>
          <t>서울시 강동구 올림픽로62길 9-9</t>
        </is>
      </c>
      <c r="AH1849" s="0" t="n">
        <v>0</v>
      </c>
      <c r="AI1849" s="0" t="n">
        <v>358</v>
      </c>
      <c r="AJ1849" s="0" t="n">
        <v>59</v>
      </c>
      <c r="AK1849" s="0" t="n">
        <v>10</v>
      </c>
      <c r="AL1849" s="0" t="n">
        <v>0.53</v>
      </c>
    </row>
    <row r="1850">
      <c r="A1850" s="0" t="inlineStr">
        <is>
          <t>[성내동]</t>
        </is>
      </c>
      <c r="B1850" s="0" t="n">
        <v>139647</v>
      </c>
      <c r="C1850" s="0" t="n">
        <v>5</v>
      </c>
      <c r="D1850" s="0" t="inlineStr">
        <is>
          <t>성내마이플레이스(도시형)</t>
        </is>
      </c>
      <c r="E1850" s="0" t="inlineStr">
        <is>
          <t>2020.07.</t>
        </is>
      </c>
      <c r="F1850" s="0" t="n">
        <v>19</v>
      </c>
      <c r="G1850" s="0" t="n">
        <v>10.36</v>
      </c>
      <c r="H1850" s="0" t="n">
        <v>34.26</v>
      </c>
      <c r="I1850" s="0" t="n">
        <v>7.35</v>
      </c>
      <c r="J1850" s="0" t="n">
        <v>24.31</v>
      </c>
      <c r="K1850" s="0" t="n">
        <v>4</v>
      </c>
      <c r="T1850" s="0" t="n">
        <v>1</v>
      </c>
      <c r="U1850" s="0" t="n">
        <v>1</v>
      </c>
      <c r="V1850" s="0" t="inlineStr">
        <is>
          <t>계단식</t>
        </is>
      </c>
      <c r="W1850" s="0" t="n">
        <v>34</v>
      </c>
      <c r="X1850" s="0" t="n">
        <v>9</v>
      </c>
      <c r="Y1850" s="0" t="n">
        <v>8</v>
      </c>
      <c r="Z1850" s="0" t="inlineStr">
        <is>
          <t>https://new.land.naver.com/complexes/139647?tab=detail&amp;rf=Y</t>
        </is>
      </c>
      <c r="AA1850" s="0" t="inlineStr">
        <is>
          <t>서울시 강동구 성내동 81-10</t>
        </is>
      </c>
      <c r="AB1850" s="0" t="inlineStr">
        <is>
          <t>서울시</t>
        </is>
      </c>
      <c r="AC1850" s="0" t="inlineStr">
        <is>
          <t>강동구</t>
        </is>
      </c>
      <c r="AD1850" s="0" t="inlineStr">
        <is>
          <t>성내동</t>
        </is>
      </c>
      <c r="AG1850" s="0" t="inlineStr">
        <is>
          <t>서울시 강동구 올림픽로62길 9-9</t>
        </is>
      </c>
      <c r="AH1850" s="0" t="n">
        <v>0</v>
      </c>
      <c r="AI1850" s="0" t="n">
        <v>358</v>
      </c>
      <c r="AJ1850" s="0" t="n">
        <v>59</v>
      </c>
      <c r="AK1850" s="0" t="n">
        <v>10</v>
      </c>
      <c r="AL1850" s="0" t="n">
        <v>0.53</v>
      </c>
    </row>
    <row r="1851">
      <c r="A1851" s="0" t="inlineStr">
        <is>
          <t>[성내동]</t>
        </is>
      </c>
      <c r="B1851" s="0" t="n">
        <v>139647</v>
      </c>
      <c r="C1851" s="0" t="n">
        <v>6</v>
      </c>
      <c r="D1851" s="0" t="inlineStr">
        <is>
          <t>성내마이플레이스(도시형)</t>
        </is>
      </c>
      <c r="E1851" s="0" t="inlineStr">
        <is>
          <t>2020.07.</t>
        </is>
      </c>
      <c r="F1851" s="0" t="n">
        <v>19</v>
      </c>
      <c r="G1851" s="0" t="n">
        <v>10.96</v>
      </c>
      <c r="H1851" s="0" t="n">
        <v>36.25</v>
      </c>
      <c r="I1851" s="0" t="n">
        <v>7.78</v>
      </c>
      <c r="J1851" s="0" t="n">
        <v>25.72</v>
      </c>
      <c r="K1851" s="0" t="n">
        <v>4</v>
      </c>
      <c r="T1851" s="0" t="n">
        <v>1</v>
      </c>
      <c r="U1851" s="0" t="n">
        <v>1</v>
      </c>
      <c r="V1851" s="0" t="inlineStr">
        <is>
          <t>계단식</t>
        </is>
      </c>
      <c r="W1851" s="0" t="n">
        <v>36</v>
      </c>
      <c r="X1851" s="0" t="n">
        <v>9</v>
      </c>
      <c r="Y1851" s="0" t="n">
        <v>8</v>
      </c>
      <c r="Z1851" s="0" t="inlineStr">
        <is>
          <t>https://new.land.naver.com/complexes/139647?tab=detail&amp;rf=Y</t>
        </is>
      </c>
      <c r="AA1851" s="0" t="inlineStr">
        <is>
          <t>서울시 강동구 성내동 81-10</t>
        </is>
      </c>
      <c r="AB1851" s="0" t="inlineStr">
        <is>
          <t>서울시</t>
        </is>
      </c>
      <c r="AC1851" s="0" t="inlineStr">
        <is>
          <t>강동구</t>
        </is>
      </c>
      <c r="AD1851" s="0" t="inlineStr">
        <is>
          <t>성내동</t>
        </is>
      </c>
      <c r="AG1851" s="0" t="inlineStr">
        <is>
          <t>서울시 강동구 올림픽로62길 9-9</t>
        </is>
      </c>
      <c r="AH1851" s="0" t="n">
        <v>0</v>
      </c>
      <c r="AI1851" s="0" t="n">
        <v>358</v>
      </c>
      <c r="AJ1851" s="0" t="n">
        <v>59</v>
      </c>
      <c r="AK1851" s="0" t="n">
        <v>10</v>
      </c>
      <c r="AL1851" s="0" t="n">
        <v>0.53</v>
      </c>
    </row>
    <row r="1852">
      <c r="A1852" s="0" t="inlineStr">
        <is>
          <t>[성내동]</t>
        </is>
      </c>
      <c r="B1852" s="0" t="n">
        <v>139647</v>
      </c>
      <c r="C1852" s="0" t="n">
        <v>7</v>
      </c>
      <c r="D1852" s="0" t="inlineStr">
        <is>
          <t>성내마이플레이스(도시형)</t>
        </is>
      </c>
      <c r="E1852" s="0" t="inlineStr">
        <is>
          <t>2020.07.</t>
        </is>
      </c>
      <c r="F1852" s="0" t="n">
        <v>19</v>
      </c>
      <c r="G1852" s="0" t="n">
        <v>20.36</v>
      </c>
      <c r="H1852" s="0" t="n">
        <v>67.31999999999999</v>
      </c>
      <c r="I1852" s="0" t="n">
        <v>14.44</v>
      </c>
      <c r="J1852" s="0" t="n">
        <v>47.75</v>
      </c>
      <c r="K1852" s="0" t="n">
        <v>1</v>
      </c>
      <c r="T1852" s="0" t="n">
        <v>3</v>
      </c>
      <c r="U1852" s="0" t="n">
        <v>1</v>
      </c>
      <c r="V1852" s="0" t="inlineStr">
        <is>
          <t>계단식</t>
        </is>
      </c>
      <c r="W1852" s="0" t="n">
        <v>67</v>
      </c>
      <c r="X1852" s="0" t="n">
        <v>9</v>
      </c>
      <c r="Y1852" s="0" t="n">
        <v>8</v>
      </c>
      <c r="Z1852" s="0" t="inlineStr">
        <is>
          <t>https://new.land.naver.com/complexes/139647?tab=detail&amp;rf=Y</t>
        </is>
      </c>
      <c r="AA1852" s="0" t="inlineStr">
        <is>
          <t>서울시 강동구 성내동 81-10</t>
        </is>
      </c>
      <c r="AB1852" s="0" t="inlineStr">
        <is>
          <t>서울시</t>
        </is>
      </c>
      <c r="AC1852" s="0" t="inlineStr">
        <is>
          <t>강동구</t>
        </is>
      </c>
      <c r="AD1852" s="0" t="inlineStr">
        <is>
          <t>성내동</t>
        </is>
      </c>
      <c r="AG1852" s="0" t="inlineStr">
        <is>
          <t>서울시 강동구 올림픽로62길 9-9</t>
        </is>
      </c>
      <c r="AH1852" s="0" t="n">
        <v>0</v>
      </c>
      <c r="AI1852" s="0" t="n">
        <v>358</v>
      </c>
      <c r="AJ1852" s="0" t="n">
        <v>59</v>
      </c>
      <c r="AK1852" s="0" t="n">
        <v>10</v>
      </c>
      <c r="AL1852" s="0" t="n">
        <v>0.53</v>
      </c>
    </row>
    <row r="1853">
      <c r="A1853" s="0" t="inlineStr">
        <is>
          <t>[성내동]</t>
        </is>
      </c>
      <c r="B1853" s="0" t="n">
        <v>16598</v>
      </c>
      <c r="C1853" s="0" t="n">
        <v>1</v>
      </c>
      <c r="D1853" s="0" t="inlineStr">
        <is>
          <t>탑건위너빌</t>
        </is>
      </c>
      <c r="E1853" s="0" t="inlineStr">
        <is>
          <t>2001.12.</t>
        </is>
      </c>
      <c r="F1853" s="0" t="n">
        <v>10</v>
      </c>
      <c r="G1853" s="0" t="n">
        <v>21.7</v>
      </c>
      <c r="H1853" s="0" t="n">
        <v>71.75</v>
      </c>
      <c r="I1853" s="0" t="n">
        <v>19.05</v>
      </c>
      <c r="J1853" s="0" t="n">
        <v>63</v>
      </c>
      <c r="K1853" s="0" t="n">
        <v>2</v>
      </c>
      <c r="T1853" s="0" t="n">
        <v>3</v>
      </c>
      <c r="U1853" s="0" t="n">
        <v>2</v>
      </c>
      <c r="V1853" s="0" t="inlineStr">
        <is>
          <t>계단식</t>
        </is>
      </c>
      <c r="W1853" s="0" t="inlineStr">
        <is>
          <t>71A</t>
        </is>
      </c>
      <c r="X1853" s="0" t="n">
        <v>5</v>
      </c>
      <c r="Y1853" s="0" t="n">
        <v>5</v>
      </c>
      <c r="Z1853" s="0" t="inlineStr">
        <is>
          <t>https://new.land.naver.com/complexes/16598?tab=detail&amp;rf=Y</t>
        </is>
      </c>
      <c r="AA1853" s="0" t="inlineStr">
        <is>
          <t>서울시 강동구 성내동 463-1</t>
        </is>
      </c>
      <c r="AB1853" s="0" t="inlineStr">
        <is>
          <t>서울시</t>
        </is>
      </c>
      <c r="AC1853" s="0" t="inlineStr">
        <is>
          <t>강동구</t>
        </is>
      </c>
      <c r="AD1853" s="0" t="inlineStr">
        <is>
          <t>성내동</t>
        </is>
      </c>
      <c r="AG1853" s="0" t="inlineStr">
        <is>
          <t>서울시 강동구 성내로6가길 42</t>
        </is>
      </c>
      <c r="AH1853" s="0" t="n">
        <v>0</v>
      </c>
      <c r="AI1853" s="0" t="n">
        <v>169</v>
      </c>
      <c r="AJ1853" s="0" t="n">
        <v>37</v>
      </c>
      <c r="AK1853" s="0" t="n">
        <v>8</v>
      </c>
      <c r="AL1853" s="0" t="n">
        <v>0.8</v>
      </c>
    </row>
    <row r="1854">
      <c r="A1854" s="0" t="inlineStr">
        <is>
          <t>[성내동]</t>
        </is>
      </c>
      <c r="B1854" s="0" t="n">
        <v>16598</v>
      </c>
      <c r="C1854" s="0" t="n">
        <v>2</v>
      </c>
      <c r="D1854" s="0" t="inlineStr">
        <is>
          <t>탑건위너빌</t>
        </is>
      </c>
      <c r="E1854" s="0" t="inlineStr">
        <is>
          <t>2001.12.</t>
        </is>
      </c>
      <c r="F1854" s="0" t="n">
        <v>10</v>
      </c>
      <c r="G1854" s="0" t="n">
        <v>21.88</v>
      </c>
      <c r="H1854" s="0" t="n">
        <v>72.34</v>
      </c>
      <c r="I1854" s="0" t="n">
        <v>19.22</v>
      </c>
      <c r="J1854" s="0" t="n">
        <v>63.54</v>
      </c>
      <c r="K1854" s="0" t="n">
        <v>8</v>
      </c>
      <c r="T1854" s="0" t="n">
        <v>3</v>
      </c>
      <c r="U1854" s="0" t="n">
        <v>2</v>
      </c>
      <c r="V1854" s="0" t="inlineStr">
        <is>
          <t>계단식</t>
        </is>
      </c>
      <c r="W1854" s="0" t="inlineStr">
        <is>
          <t>72B</t>
        </is>
      </c>
      <c r="X1854" s="0" t="n">
        <v>5</v>
      </c>
      <c r="Y1854" s="0" t="n">
        <v>5</v>
      </c>
      <c r="Z1854" s="0" t="inlineStr">
        <is>
          <t>https://new.land.naver.com/complexes/16598?tab=detail&amp;rf=Y</t>
        </is>
      </c>
      <c r="AA1854" s="0" t="inlineStr">
        <is>
          <t>서울시 강동구 성내동 463-1</t>
        </is>
      </c>
      <c r="AB1854" s="0" t="inlineStr">
        <is>
          <t>서울시</t>
        </is>
      </c>
      <c r="AC1854" s="0" t="inlineStr">
        <is>
          <t>강동구</t>
        </is>
      </c>
      <c r="AD1854" s="0" t="inlineStr">
        <is>
          <t>성내동</t>
        </is>
      </c>
      <c r="AG1854" s="0" t="inlineStr">
        <is>
          <t>서울시 강동구 성내로6가길 42</t>
        </is>
      </c>
      <c r="AH1854" s="0" t="n">
        <v>0</v>
      </c>
      <c r="AI1854" s="0" t="n">
        <v>169</v>
      </c>
      <c r="AJ1854" s="0" t="n">
        <v>37</v>
      </c>
      <c r="AK1854" s="0" t="n">
        <v>8</v>
      </c>
      <c r="AL1854" s="0" t="n">
        <v>0.8</v>
      </c>
    </row>
    <row r="1855">
      <c r="A1855" s="0" t="inlineStr">
        <is>
          <t>[성내동]</t>
        </is>
      </c>
      <c r="B1855" s="0" t="n">
        <v>127721</v>
      </c>
      <c r="C1855" s="0" t="n">
        <v>1</v>
      </c>
      <c r="D1855" s="0" t="inlineStr">
        <is>
          <t>힐데스하임올림픽파크</t>
        </is>
      </c>
      <c r="E1855" s="0" t="inlineStr">
        <is>
          <t>2020.12.</t>
        </is>
      </c>
      <c r="F1855" s="0" t="n">
        <v>89</v>
      </c>
      <c r="G1855" s="0" t="n">
        <v>22.78</v>
      </c>
      <c r="H1855" s="0" t="n">
        <v>75.31999999999999</v>
      </c>
      <c r="I1855" s="0" t="n">
        <v>18.11</v>
      </c>
      <c r="J1855" s="0" t="n">
        <v>59.9</v>
      </c>
      <c r="K1855" s="0" t="n">
        <v>7</v>
      </c>
      <c r="T1855" s="0" t="n">
        <v>3</v>
      </c>
      <c r="U1855" s="0" t="n">
        <v>2</v>
      </c>
      <c r="V1855" s="0" t="inlineStr">
        <is>
          <t>계단식</t>
        </is>
      </c>
      <c r="W1855" s="0" t="n">
        <v>75</v>
      </c>
      <c r="X1855" s="0" t="n">
        <v>13</v>
      </c>
      <c r="Y1855" s="0" t="n">
        <v>8</v>
      </c>
      <c r="Z1855" s="0" t="inlineStr">
        <is>
          <t>https://new.land.naver.com/complexes/127721?tab=detail&amp;rf=Y</t>
        </is>
      </c>
      <c r="AA1855" s="0" t="inlineStr">
        <is>
          <t>서울시 강동구 성내동 608</t>
        </is>
      </c>
      <c r="AB1855" s="0" t="inlineStr">
        <is>
          <t>서울시</t>
        </is>
      </c>
      <c r="AC1855" s="0" t="inlineStr">
        <is>
          <t>강동구</t>
        </is>
      </c>
      <c r="AD1855" s="0" t="inlineStr">
        <is>
          <t>성내동</t>
        </is>
      </c>
      <c r="AG1855" s="0" t="inlineStr">
        <is>
          <t>서울시 강동구 강동대로55길 39</t>
        </is>
      </c>
      <c r="AH1855" s="0" t="n">
        <v>0</v>
      </c>
      <c r="AI1855" s="0" t="n">
        <v>0</v>
      </c>
      <c r="AJ1855" s="0" t="n">
        <v>0</v>
      </c>
      <c r="AK1855" s="0" t="n">
        <v>100</v>
      </c>
      <c r="AL1855" s="0" t="n">
        <v>1.12</v>
      </c>
    </row>
    <row r="1856">
      <c r="A1856" s="0" t="inlineStr">
        <is>
          <t>[성내동]</t>
        </is>
      </c>
      <c r="B1856" s="0" t="n">
        <v>127721</v>
      </c>
      <c r="C1856" s="0" t="n">
        <v>2</v>
      </c>
      <c r="D1856" s="0" t="inlineStr">
        <is>
          <t>힐데스하임올림픽파크</t>
        </is>
      </c>
      <c r="E1856" s="0" t="inlineStr">
        <is>
          <t>2020.12.</t>
        </is>
      </c>
      <c r="F1856" s="0" t="n">
        <v>89</v>
      </c>
      <c r="G1856" s="0" t="n">
        <v>23.17</v>
      </c>
      <c r="H1856" s="0" t="n">
        <v>76.62</v>
      </c>
      <c r="I1856" s="0" t="n">
        <v>18.46</v>
      </c>
      <c r="J1856" s="0" t="n">
        <v>61.03</v>
      </c>
      <c r="K1856" s="0" t="n">
        <v>7</v>
      </c>
      <c r="T1856" s="0" t="n">
        <v>3</v>
      </c>
      <c r="U1856" s="0" t="n">
        <v>2</v>
      </c>
      <c r="V1856" s="0" t="inlineStr">
        <is>
          <t>계단식</t>
        </is>
      </c>
      <c r="W1856" s="0" t="inlineStr">
        <is>
          <t>76A</t>
        </is>
      </c>
      <c r="X1856" s="0" t="n">
        <v>13</v>
      </c>
      <c r="Y1856" s="0" t="n">
        <v>8</v>
      </c>
      <c r="Z1856" s="0" t="inlineStr">
        <is>
          <t>https://new.land.naver.com/complexes/127721?tab=detail&amp;rf=Y</t>
        </is>
      </c>
      <c r="AA1856" s="0" t="inlineStr">
        <is>
          <t>서울시 강동구 성내동 608</t>
        </is>
      </c>
      <c r="AB1856" s="0" t="inlineStr">
        <is>
          <t>서울시</t>
        </is>
      </c>
      <c r="AC1856" s="0" t="inlineStr">
        <is>
          <t>강동구</t>
        </is>
      </c>
      <c r="AD1856" s="0" t="inlineStr">
        <is>
          <t>성내동</t>
        </is>
      </c>
      <c r="AG1856" s="0" t="inlineStr">
        <is>
          <t>서울시 강동구 강동대로55길 39</t>
        </is>
      </c>
      <c r="AH1856" s="0" t="n">
        <v>0</v>
      </c>
      <c r="AI1856" s="0" t="n">
        <v>0</v>
      </c>
      <c r="AJ1856" s="0" t="n">
        <v>0</v>
      </c>
      <c r="AK1856" s="0" t="n">
        <v>100</v>
      </c>
      <c r="AL1856" s="0" t="n">
        <v>1.12</v>
      </c>
    </row>
    <row r="1857">
      <c r="A1857" s="0" t="inlineStr">
        <is>
          <t>[성내동]</t>
        </is>
      </c>
      <c r="B1857" s="0" t="n">
        <v>127721</v>
      </c>
      <c r="C1857" s="0" t="n">
        <v>3</v>
      </c>
      <c r="D1857" s="0" t="inlineStr">
        <is>
          <t>힐데스하임올림픽파크</t>
        </is>
      </c>
      <c r="E1857" s="0" t="inlineStr">
        <is>
          <t>2020.12.</t>
        </is>
      </c>
      <c r="F1857" s="0" t="n">
        <v>89</v>
      </c>
      <c r="G1857" s="0" t="n">
        <v>26.58</v>
      </c>
      <c r="H1857" s="0" t="n">
        <v>87.87</v>
      </c>
      <c r="I1857" s="0" t="n">
        <v>21.27</v>
      </c>
      <c r="J1857" s="0" t="n">
        <v>70.33</v>
      </c>
      <c r="K1857" s="0" t="n">
        <v>30</v>
      </c>
      <c r="T1857" s="0" t="n">
        <v>3</v>
      </c>
      <c r="U1857" s="0" t="n">
        <v>2</v>
      </c>
      <c r="V1857" s="0" t="inlineStr">
        <is>
          <t>계단식</t>
        </is>
      </c>
      <c r="W1857" s="0" t="n">
        <v>87</v>
      </c>
      <c r="X1857" s="0" t="n">
        <v>13</v>
      </c>
      <c r="Y1857" s="0" t="n">
        <v>8</v>
      </c>
      <c r="Z1857" s="0" t="inlineStr">
        <is>
          <t>https://new.land.naver.com/complexes/127721?tab=detail&amp;rf=Y</t>
        </is>
      </c>
      <c r="AA1857" s="0" t="inlineStr">
        <is>
          <t>서울시 강동구 성내동 608</t>
        </is>
      </c>
      <c r="AB1857" s="0" t="inlineStr">
        <is>
          <t>서울시</t>
        </is>
      </c>
      <c r="AC1857" s="0" t="inlineStr">
        <is>
          <t>강동구</t>
        </is>
      </c>
      <c r="AD1857" s="0" t="inlineStr">
        <is>
          <t>성내동</t>
        </is>
      </c>
      <c r="AG1857" s="0" t="inlineStr">
        <is>
          <t>서울시 강동구 강동대로55길 39</t>
        </is>
      </c>
      <c r="AH1857" s="0" t="n">
        <v>0</v>
      </c>
      <c r="AI1857" s="0" t="n">
        <v>0</v>
      </c>
      <c r="AJ1857" s="0" t="n">
        <v>0</v>
      </c>
      <c r="AK1857" s="0" t="n">
        <v>100</v>
      </c>
      <c r="AL1857" s="0" t="n">
        <v>1.12</v>
      </c>
    </row>
    <row r="1858">
      <c r="A1858" s="0" t="inlineStr">
        <is>
          <t>[성내동]</t>
        </is>
      </c>
      <c r="B1858" s="0" t="n">
        <v>127721</v>
      </c>
      <c r="C1858" s="0" t="n">
        <v>4</v>
      </c>
      <c r="D1858" s="0" t="inlineStr">
        <is>
          <t>힐데스하임올림픽파크</t>
        </is>
      </c>
      <c r="E1858" s="0" t="inlineStr">
        <is>
          <t>2020.12.</t>
        </is>
      </c>
      <c r="F1858" s="0" t="n">
        <v>89</v>
      </c>
      <c r="G1858" s="0" t="n">
        <v>28.7</v>
      </c>
      <c r="H1858" s="0" t="n">
        <v>94.89</v>
      </c>
      <c r="I1858" s="0" t="n">
        <v>23</v>
      </c>
      <c r="J1858" s="0" t="n">
        <v>76.04000000000001</v>
      </c>
      <c r="K1858" s="0" t="n">
        <v>12</v>
      </c>
      <c r="T1858" s="0" t="n">
        <v>3</v>
      </c>
      <c r="U1858" s="0" t="n">
        <v>2</v>
      </c>
      <c r="V1858" s="0" t="inlineStr">
        <is>
          <t>계단식</t>
        </is>
      </c>
      <c r="W1858" s="0" t="n">
        <v>94</v>
      </c>
      <c r="X1858" s="0" t="n">
        <v>13</v>
      </c>
      <c r="Y1858" s="0" t="n">
        <v>8</v>
      </c>
      <c r="Z1858" s="0" t="inlineStr">
        <is>
          <t>https://new.land.naver.com/complexes/127721?tab=detail&amp;rf=Y</t>
        </is>
      </c>
      <c r="AA1858" s="0" t="inlineStr">
        <is>
          <t>서울시 강동구 성내동 608</t>
        </is>
      </c>
      <c r="AB1858" s="0" t="inlineStr">
        <is>
          <t>서울시</t>
        </is>
      </c>
      <c r="AC1858" s="0" t="inlineStr">
        <is>
          <t>강동구</t>
        </is>
      </c>
      <c r="AD1858" s="0" t="inlineStr">
        <is>
          <t>성내동</t>
        </is>
      </c>
      <c r="AG1858" s="0" t="inlineStr">
        <is>
          <t>서울시 강동구 강동대로55길 39</t>
        </is>
      </c>
      <c r="AH1858" s="0" t="n">
        <v>0</v>
      </c>
      <c r="AI1858" s="0" t="n">
        <v>0</v>
      </c>
      <c r="AJ1858" s="0" t="n">
        <v>0</v>
      </c>
      <c r="AK1858" s="0" t="n">
        <v>100</v>
      </c>
      <c r="AL1858" s="0" t="n">
        <v>1.12</v>
      </c>
    </row>
    <row r="1859">
      <c r="A1859" s="0" t="inlineStr">
        <is>
          <t>[성내동]</t>
        </is>
      </c>
      <c r="B1859" s="0" t="n">
        <v>127721</v>
      </c>
      <c r="C1859" s="0" t="n">
        <v>5</v>
      </c>
      <c r="D1859" s="0" t="inlineStr">
        <is>
          <t>힐데스하임올림픽파크</t>
        </is>
      </c>
      <c r="E1859" s="0" t="inlineStr">
        <is>
          <t>2020.12.</t>
        </is>
      </c>
      <c r="F1859" s="0" t="n">
        <v>89</v>
      </c>
      <c r="G1859" s="0" t="n">
        <v>29.16</v>
      </c>
      <c r="H1859" s="0" t="n">
        <v>96.41</v>
      </c>
      <c r="I1859" s="0" t="n">
        <v>23.57</v>
      </c>
      <c r="J1859" s="0" t="n">
        <v>77.94</v>
      </c>
      <c r="K1859" s="0" t="n">
        <v>9</v>
      </c>
      <c r="T1859" s="0" t="n">
        <v>3</v>
      </c>
      <c r="U1859" s="0" t="n">
        <v>2</v>
      </c>
      <c r="V1859" s="0" t="inlineStr">
        <is>
          <t>계단식</t>
        </is>
      </c>
      <c r="W1859" s="0" t="inlineStr">
        <is>
          <t>96A</t>
        </is>
      </c>
      <c r="X1859" s="0" t="n">
        <v>13</v>
      </c>
      <c r="Y1859" s="0" t="n">
        <v>8</v>
      </c>
      <c r="Z1859" s="0" t="inlineStr">
        <is>
          <t>https://new.land.naver.com/complexes/127721?tab=detail&amp;rf=Y</t>
        </is>
      </c>
      <c r="AA1859" s="0" t="inlineStr">
        <is>
          <t>서울시 강동구 성내동 608</t>
        </is>
      </c>
      <c r="AB1859" s="0" t="inlineStr">
        <is>
          <t>서울시</t>
        </is>
      </c>
      <c r="AC1859" s="0" t="inlineStr">
        <is>
          <t>강동구</t>
        </is>
      </c>
      <c r="AD1859" s="0" t="inlineStr">
        <is>
          <t>성내동</t>
        </is>
      </c>
      <c r="AG1859" s="0" t="inlineStr">
        <is>
          <t>서울시 강동구 강동대로55길 39</t>
        </is>
      </c>
      <c r="AH1859" s="0" t="n">
        <v>0</v>
      </c>
      <c r="AI1859" s="0" t="n">
        <v>0</v>
      </c>
      <c r="AJ1859" s="0" t="n">
        <v>0</v>
      </c>
      <c r="AK1859" s="0" t="n">
        <v>100</v>
      </c>
      <c r="AL1859" s="0" t="n">
        <v>1.12</v>
      </c>
    </row>
    <row r="1860">
      <c r="A1860" s="0" t="inlineStr">
        <is>
          <t>[성내동]</t>
        </is>
      </c>
      <c r="B1860" s="0" t="n">
        <v>127721</v>
      </c>
      <c r="C1860" s="0" t="n">
        <v>6</v>
      </c>
      <c r="D1860" s="0" t="inlineStr">
        <is>
          <t>힐데스하임올림픽파크</t>
        </is>
      </c>
      <c r="E1860" s="0" t="inlineStr">
        <is>
          <t>2020.12.</t>
        </is>
      </c>
      <c r="F1860" s="0" t="n">
        <v>89</v>
      </c>
      <c r="G1860" s="0" t="n">
        <v>30.01</v>
      </c>
      <c r="H1860" s="0" t="n">
        <v>99.23</v>
      </c>
      <c r="I1860" s="0" t="n">
        <v>24.21</v>
      </c>
      <c r="J1860" s="0" t="n">
        <v>80.04000000000001</v>
      </c>
      <c r="K1860" s="0" t="n">
        <v>24</v>
      </c>
      <c r="T1860" s="0" t="n">
        <v>3</v>
      </c>
      <c r="U1860" s="0" t="n">
        <v>2</v>
      </c>
      <c r="V1860" s="0" t="inlineStr">
        <is>
          <t>계단식</t>
        </is>
      </c>
      <c r="W1860" s="0" t="n">
        <v>99</v>
      </c>
      <c r="X1860" s="0" t="n">
        <v>13</v>
      </c>
      <c r="Y1860" s="0" t="n">
        <v>8</v>
      </c>
      <c r="Z1860" s="0" t="inlineStr">
        <is>
          <t>https://new.land.naver.com/complexes/127721?tab=detail&amp;rf=Y</t>
        </is>
      </c>
      <c r="AA1860" s="0" t="inlineStr">
        <is>
          <t>서울시 강동구 성내동 608</t>
        </is>
      </c>
      <c r="AB1860" s="0" t="inlineStr">
        <is>
          <t>서울시</t>
        </is>
      </c>
      <c r="AC1860" s="0" t="inlineStr">
        <is>
          <t>강동구</t>
        </is>
      </c>
      <c r="AD1860" s="0" t="inlineStr">
        <is>
          <t>성내동</t>
        </is>
      </c>
      <c r="AG1860" s="0" t="inlineStr">
        <is>
          <t>서울시 강동구 강동대로55길 39</t>
        </is>
      </c>
      <c r="AH1860" s="0" t="n">
        <v>0</v>
      </c>
      <c r="AI1860" s="0" t="n">
        <v>0</v>
      </c>
      <c r="AJ1860" s="0" t="n">
        <v>0</v>
      </c>
      <c r="AK1860" s="0" t="n">
        <v>100</v>
      </c>
      <c r="AL1860" s="0" t="n">
        <v>1.12</v>
      </c>
    </row>
    <row r="1861">
      <c r="A1861" s="0" t="inlineStr">
        <is>
          <t>[성내동]</t>
        </is>
      </c>
      <c r="B1861" s="0" t="n">
        <v>13898</v>
      </c>
      <c r="C1861" s="0" t="n">
        <v>1</v>
      </c>
      <c r="D1861" s="0" t="inlineStr">
        <is>
          <t>인택스파크뷰</t>
        </is>
      </c>
      <c r="E1861" s="0" t="inlineStr">
        <is>
          <t>2003.11.</t>
        </is>
      </c>
      <c r="F1861" s="0" t="n">
        <v>18</v>
      </c>
      <c r="G1861" s="0" t="n">
        <v>49.35</v>
      </c>
      <c r="H1861" s="0" t="n">
        <v>163.15</v>
      </c>
      <c r="I1861" s="0" t="n">
        <v>42.98</v>
      </c>
      <c r="J1861" s="0" t="n">
        <v>142.09</v>
      </c>
      <c r="K1861" s="0" t="n">
        <v>18</v>
      </c>
      <c r="T1861" s="0" t="n">
        <v>3</v>
      </c>
      <c r="U1861" s="0" t="n">
        <v>2</v>
      </c>
      <c r="V1861" s="0" t="inlineStr">
        <is>
          <t>계단식</t>
        </is>
      </c>
      <c r="W1861" s="0" t="n">
        <v>163</v>
      </c>
      <c r="X1861" s="0" t="n">
        <v>13</v>
      </c>
      <c r="Y1861" s="0" t="n">
        <v>13</v>
      </c>
      <c r="Z1861" s="0" t="inlineStr">
        <is>
          <t>https://new.land.naver.com/complexes/13898?tab=detail&amp;rf=Y</t>
        </is>
      </c>
      <c r="AA1861" s="0" t="inlineStr">
        <is>
          <t>서울시 강동구 성내동 448-17</t>
        </is>
      </c>
      <c r="AB1861" s="0" t="inlineStr">
        <is>
          <t>서울시</t>
        </is>
      </c>
      <c r="AC1861" s="0" t="inlineStr">
        <is>
          <t>강동구</t>
        </is>
      </c>
      <c r="AD1861" s="0" t="inlineStr">
        <is>
          <t>성내동</t>
        </is>
      </c>
      <c r="AG1861" s="0" t="inlineStr">
        <is>
          <t>서울시 강동구 강동대로 217</t>
        </is>
      </c>
      <c r="AH1861" s="0" t="n">
        <v>0</v>
      </c>
      <c r="AI1861" s="0" t="n">
        <v>297</v>
      </c>
      <c r="AJ1861" s="0" t="n">
        <v>28</v>
      </c>
      <c r="AK1861" s="0" t="n">
        <v>17</v>
      </c>
      <c r="AL1861" s="0" t="n">
        <v>0.9399999999999999</v>
      </c>
    </row>
    <row r="1862">
      <c r="A1862" s="0" t="inlineStr">
        <is>
          <t>[성내동]</t>
        </is>
      </c>
      <c r="B1862" s="0" t="n">
        <v>11381</v>
      </c>
      <c r="C1862" s="0" t="n">
        <v>1</v>
      </c>
      <c r="D1862" s="0" t="inlineStr">
        <is>
          <t>성내e-편한세상2차</t>
        </is>
      </c>
      <c r="E1862" s="0" t="inlineStr">
        <is>
          <t>2004.11.</t>
        </is>
      </c>
      <c r="F1862" s="0" t="n">
        <v>151</v>
      </c>
      <c r="G1862" s="0" t="n">
        <v>32.03</v>
      </c>
      <c r="H1862" s="0" t="n">
        <v>105.89</v>
      </c>
      <c r="I1862" s="0" t="n">
        <v>25.68</v>
      </c>
      <c r="J1862" s="0" t="n">
        <v>84.90000000000001</v>
      </c>
      <c r="K1862" s="0" t="n">
        <v>34</v>
      </c>
      <c r="T1862" s="0" t="n">
        <v>3</v>
      </c>
      <c r="U1862" s="0" t="n">
        <v>2</v>
      </c>
      <c r="V1862" s="0" t="inlineStr">
        <is>
          <t>계단식</t>
        </is>
      </c>
      <c r="W1862" s="0" t="inlineStr">
        <is>
          <t>105B</t>
        </is>
      </c>
      <c r="X1862" s="0" t="n">
        <v>13</v>
      </c>
      <c r="Y1862" s="0" t="n">
        <v>4</v>
      </c>
      <c r="Z1862" s="0" t="inlineStr">
        <is>
          <t>https://new.land.naver.com/complexes/11381?tab=detail&amp;rf=Y</t>
        </is>
      </c>
      <c r="AA1862" s="0" t="inlineStr">
        <is>
          <t>서울시 강동구 성내동 137</t>
        </is>
      </c>
      <c r="AB1862" s="0" t="inlineStr">
        <is>
          <t>서울시</t>
        </is>
      </c>
      <c r="AC1862" s="0" t="inlineStr">
        <is>
          <t>강동구</t>
        </is>
      </c>
      <c r="AD1862" s="0" t="inlineStr">
        <is>
          <t>성내동</t>
        </is>
      </c>
      <c r="AG1862" s="0" t="inlineStr">
        <is>
          <t>서울시 강동구 풍성로37길 55</t>
        </is>
      </c>
      <c r="AH1862" s="0" t="n">
        <v>0</v>
      </c>
      <c r="AI1862" s="0" t="n">
        <v>243</v>
      </c>
      <c r="AJ1862" s="0" t="n">
        <v>28</v>
      </c>
      <c r="AK1862" s="0" t="n">
        <v>184</v>
      </c>
      <c r="AL1862" s="0" t="n">
        <v>1.22</v>
      </c>
    </row>
    <row r="1863">
      <c r="A1863" s="0" t="inlineStr">
        <is>
          <t>[성내동]</t>
        </is>
      </c>
      <c r="B1863" s="0" t="n">
        <v>11381</v>
      </c>
      <c r="C1863" s="0" t="n">
        <v>2</v>
      </c>
      <c r="D1863" s="0" t="inlineStr">
        <is>
          <t>성내e-편한세상2차</t>
        </is>
      </c>
      <c r="E1863" s="0" t="inlineStr">
        <is>
          <t>2004.11.</t>
        </is>
      </c>
      <c r="F1863" s="0" t="n">
        <v>151</v>
      </c>
      <c r="G1863" s="0" t="n">
        <v>32.08</v>
      </c>
      <c r="H1863" s="0" t="n">
        <v>106.07</v>
      </c>
      <c r="I1863" s="0" t="n">
        <v>25.64</v>
      </c>
      <c r="J1863" s="0" t="n">
        <v>84.79000000000001</v>
      </c>
      <c r="K1863" s="0" t="n">
        <v>92</v>
      </c>
      <c r="T1863" s="0" t="n">
        <v>3</v>
      </c>
      <c r="U1863" s="0" t="n">
        <v>2</v>
      </c>
      <c r="V1863" s="0" t="inlineStr">
        <is>
          <t>계단식</t>
        </is>
      </c>
      <c r="W1863" s="0" t="inlineStr">
        <is>
          <t>106A</t>
        </is>
      </c>
      <c r="X1863" s="0" t="n">
        <v>13</v>
      </c>
      <c r="Y1863" s="0" t="n">
        <v>4</v>
      </c>
      <c r="Z1863" s="0" t="inlineStr">
        <is>
          <t>https://new.land.naver.com/complexes/11381?tab=detail&amp;rf=Y</t>
        </is>
      </c>
      <c r="AA1863" s="0" t="inlineStr">
        <is>
          <t>서울시 강동구 성내동 137</t>
        </is>
      </c>
      <c r="AB1863" s="0" t="inlineStr">
        <is>
          <t>서울시</t>
        </is>
      </c>
      <c r="AC1863" s="0" t="inlineStr">
        <is>
          <t>강동구</t>
        </is>
      </c>
      <c r="AD1863" s="0" t="inlineStr">
        <is>
          <t>성내동</t>
        </is>
      </c>
      <c r="AG1863" s="0" t="inlineStr">
        <is>
          <t>서울시 강동구 풍성로37길 55</t>
        </is>
      </c>
      <c r="AH1863" s="0" t="n">
        <v>0</v>
      </c>
      <c r="AI1863" s="0" t="n">
        <v>243</v>
      </c>
      <c r="AJ1863" s="0" t="n">
        <v>28</v>
      </c>
      <c r="AK1863" s="0" t="n">
        <v>184</v>
      </c>
      <c r="AL1863" s="0" t="n">
        <v>1.22</v>
      </c>
    </row>
    <row r="1864">
      <c r="A1864" s="0" t="inlineStr">
        <is>
          <t>[성내동]</t>
        </is>
      </c>
      <c r="B1864" s="0" t="n">
        <v>11381</v>
      </c>
      <c r="C1864" s="0" t="n">
        <v>3</v>
      </c>
      <c r="D1864" s="0" t="inlineStr">
        <is>
          <t>성내e-편한세상2차</t>
        </is>
      </c>
      <c r="E1864" s="0" t="inlineStr">
        <is>
          <t>2004.11.</t>
        </is>
      </c>
      <c r="F1864" s="0" t="n">
        <v>151</v>
      </c>
      <c r="G1864" s="0" t="n">
        <v>35.39</v>
      </c>
      <c r="H1864" s="0" t="n">
        <v>117.01</v>
      </c>
      <c r="I1864" s="0" t="n">
        <v>27.79</v>
      </c>
      <c r="J1864" s="0" t="n">
        <v>91.89</v>
      </c>
      <c r="K1864" s="0" t="n">
        <v>6</v>
      </c>
      <c r="T1864" s="0" t="n">
        <v>3</v>
      </c>
      <c r="U1864" s="0" t="n">
        <v>2</v>
      </c>
      <c r="V1864" s="0" t="inlineStr">
        <is>
          <t>계단식</t>
        </is>
      </c>
      <c r="W1864" s="0" t="n">
        <v>117</v>
      </c>
      <c r="X1864" s="0" t="n">
        <v>13</v>
      </c>
      <c r="Y1864" s="0" t="n">
        <v>4</v>
      </c>
      <c r="Z1864" s="0" t="inlineStr">
        <is>
          <t>https://new.land.naver.com/complexes/11381?tab=detail&amp;rf=Y</t>
        </is>
      </c>
      <c r="AA1864" s="0" t="inlineStr">
        <is>
          <t>서울시 강동구 성내동 137</t>
        </is>
      </c>
      <c r="AB1864" s="0" t="inlineStr">
        <is>
          <t>서울시</t>
        </is>
      </c>
      <c r="AC1864" s="0" t="inlineStr">
        <is>
          <t>강동구</t>
        </is>
      </c>
      <c r="AD1864" s="0" t="inlineStr">
        <is>
          <t>성내동</t>
        </is>
      </c>
      <c r="AG1864" s="0" t="inlineStr">
        <is>
          <t>서울시 강동구 풍성로37길 55</t>
        </is>
      </c>
      <c r="AH1864" s="0" t="n">
        <v>0</v>
      </c>
      <c r="AI1864" s="0" t="n">
        <v>243</v>
      </c>
      <c r="AJ1864" s="0" t="n">
        <v>28</v>
      </c>
      <c r="AK1864" s="0" t="n">
        <v>184</v>
      </c>
      <c r="AL1864" s="0" t="n">
        <v>1.22</v>
      </c>
    </row>
    <row r="1865">
      <c r="A1865" s="0" t="inlineStr">
        <is>
          <t>[성내동]</t>
        </is>
      </c>
      <c r="B1865" s="0" t="n">
        <v>11381</v>
      </c>
      <c r="C1865" s="0" t="n">
        <v>4</v>
      </c>
      <c r="D1865" s="0" t="inlineStr">
        <is>
          <t>성내e-편한세상2차</t>
        </is>
      </c>
      <c r="E1865" s="0" t="inlineStr">
        <is>
          <t>2004.11.</t>
        </is>
      </c>
      <c r="F1865" s="0" t="n">
        <v>151</v>
      </c>
      <c r="G1865" s="0" t="n">
        <v>42.41</v>
      </c>
      <c r="H1865" s="0" t="n">
        <v>140.23</v>
      </c>
      <c r="I1865" s="0" t="n">
        <v>33.68</v>
      </c>
      <c r="J1865" s="0" t="n">
        <v>111.37</v>
      </c>
      <c r="K1865" s="0" t="n">
        <v>8</v>
      </c>
      <c r="T1865" s="0" t="n">
        <v>4</v>
      </c>
      <c r="U1865" s="0" t="n">
        <v>2</v>
      </c>
      <c r="V1865" s="0" t="inlineStr">
        <is>
          <t>계단식</t>
        </is>
      </c>
      <c r="W1865" s="0" t="n">
        <v>140</v>
      </c>
      <c r="X1865" s="0" t="n">
        <v>13</v>
      </c>
      <c r="Y1865" s="0" t="n">
        <v>4</v>
      </c>
      <c r="Z1865" s="0" t="inlineStr">
        <is>
          <t>https://new.land.naver.com/complexes/11381?tab=detail&amp;rf=Y</t>
        </is>
      </c>
      <c r="AA1865" s="0" t="inlineStr">
        <is>
          <t>서울시 강동구 성내동 137</t>
        </is>
      </c>
      <c r="AB1865" s="0" t="inlineStr">
        <is>
          <t>서울시</t>
        </is>
      </c>
      <c r="AC1865" s="0" t="inlineStr">
        <is>
          <t>강동구</t>
        </is>
      </c>
      <c r="AD1865" s="0" t="inlineStr">
        <is>
          <t>성내동</t>
        </is>
      </c>
      <c r="AG1865" s="0" t="inlineStr">
        <is>
          <t>서울시 강동구 풍성로37길 55</t>
        </is>
      </c>
      <c r="AH1865" s="0" t="n">
        <v>0</v>
      </c>
      <c r="AI1865" s="0" t="n">
        <v>243</v>
      </c>
      <c r="AJ1865" s="0" t="n">
        <v>28</v>
      </c>
      <c r="AK1865" s="0" t="n">
        <v>184</v>
      </c>
      <c r="AL1865" s="0" t="n">
        <v>1.22</v>
      </c>
    </row>
    <row r="1866">
      <c r="A1866" s="0" t="inlineStr">
        <is>
          <t>[성내동]</t>
        </is>
      </c>
      <c r="B1866" s="0" t="n">
        <v>11381</v>
      </c>
      <c r="C1866" s="0" t="n">
        <v>5</v>
      </c>
      <c r="D1866" s="0" t="inlineStr">
        <is>
          <t>성내e-편한세상2차</t>
        </is>
      </c>
      <c r="E1866" s="0" t="inlineStr">
        <is>
          <t>2004.11.</t>
        </is>
      </c>
      <c r="F1866" s="0" t="n">
        <v>151</v>
      </c>
      <c r="G1866" s="0" t="n">
        <v>44.71</v>
      </c>
      <c r="H1866" s="0" t="n">
        <v>147.82</v>
      </c>
      <c r="I1866" s="0" t="n">
        <v>36.2</v>
      </c>
      <c r="J1866" s="0" t="n">
        <v>119.69</v>
      </c>
      <c r="K1866" s="0" t="n">
        <v>11</v>
      </c>
      <c r="T1866" s="0" t="n">
        <v>4</v>
      </c>
      <c r="U1866" s="0" t="n">
        <v>2</v>
      </c>
      <c r="V1866" s="0" t="inlineStr">
        <is>
          <t>계단식</t>
        </is>
      </c>
      <c r="W1866" s="0" t="n">
        <v>147</v>
      </c>
      <c r="X1866" s="0" t="n">
        <v>13</v>
      </c>
      <c r="Y1866" s="0" t="n">
        <v>4</v>
      </c>
      <c r="Z1866" s="0" t="inlineStr">
        <is>
          <t>https://new.land.naver.com/complexes/11381?tab=detail&amp;rf=Y</t>
        </is>
      </c>
      <c r="AA1866" s="0" t="inlineStr">
        <is>
          <t>서울시 강동구 성내동 137</t>
        </is>
      </c>
      <c r="AB1866" s="0" t="inlineStr">
        <is>
          <t>서울시</t>
        </is>
      </c>
      <c r="AC1866" s="0" t="inlineStr">
        <is>
          <t>강동구</t>
        </is>
      </c>
      <c r="AD1866" s="0" t="inlineStr">
        <is>
          <t>성내동</t>
        </is>
      </c>
      <c r="AG1866" s="0" t="inlineStr">
        <is>
          <t>서울시 강동구 풍성로37길 55</t>
        </is>
      </c>
      <c r="AH1866" s="0" t="n">
        <v>0</v>
      </c>
      <c r="AI1866" s="0" t="n">
        <v>243</v>
      </c>
      <c r="AJ1866" s="0" t="n">
        <v>28</v>
      </c>
      <c r="AK1866" s="0" t="n">
        <v>184</v>
      </c>
      <c r="AL1866" s="0" t="n">
        <v>1.22</v>
      </c>
    </row>
    <row r="1867">
      <c r="A1867" s="0" t="inlineStr">
        <is>
          <t>[성내동]</t>
        </is>
      </c>
      <c r="B1867" s="0" t="n">
        <v>3073</v>
      </c>
      <c r="C1867" s="0" t="n">
        <v>1</v>
      </c>
      <c r="D1867" s="0" t="inlineStr">
        <is>
          <t>동아2차</t>
        </is>
      </c>
      <c r="E1867" s="0" t="inlineStr">
        <is>
          <t>1996.10.</t>
        </is>
      </c>
      <c r="F1867" s="0" t="n">
        <v>43</v>
      </c>
      <c r="G1867" s="0" t="n">
        <v>22.05</v>
      </c>
      <c r="H1867" s="0" t="n">
        <v>72.90000000000001</v>
      </c>
      <c r="I1867" s="0" t="n">
        <v>16.44</v>
      </c>
      <c r="J1867" s="0" t="n">
        <v>54.36</v>
      </c>
      <c r="K1867" s="0" t="n">
        <v>1</v>
      </c>
      <c r="T1867" s="0" t="n">
        <v>2</v>
      </c>
      <c r="U1867" s="0" t="n">
        <v>1</v>
      </c>
      <c r="V1867" s="0" t="inlineStr">
        <is>
          <t>계단식</t>
        </is>
      </c>
      <c r="W1867" s="0" t="n">
        <v>72</v>
      </c>
      <c r="X1867" s="0" t="n">
        <v>14</v>
      </c>
      <c r="Y1867" s="0" t="n">
        <v>9</v>
      </c>
      <c r="Z1867" s="0" t="inlineStr">
        <is>
          <t>https://new.land.naver.com/complexes/3073?tab=detail&amp;rf=Y</t>
        </is>
      </c>
      <c r="AA1867" s="0" t="inlineStr">
        <is>
          <t>서울시 강동구 성내동 424-12</t>
        </is>
      </c>
      <c r="AB1867" s="0" t="inlineStr">
        <is>
          <t>서울시</t>
        </is>
      </c>
      <c r="AC1867" s="0" t="inlineStr">
        <is>
          <t>강동구</t>
        </is>
      </c>
      <c r="AD1867" s="0" t="inlineStr">
        <is>
          <t>성내동</t>
        </is>
      </c>
      <c r="AG1867" s="0" t="inlineStr">
        <is>
          <t>서울시 강동구 양재대로91길 47</t>
        </is>
      </c>
      <c r="AH1867" s="0" t="n">
        <v>0</v>
      </c>
      <c r="AI1867" s="0" t="n">
        <v>322</v>
      </c>
      <c r="AJ1867" s="0" t="n">
        <v>47</v>
      </c>
      <c r="AK1867" s="0" t="n">
        <v>49</v>
      </c>
      <c r="AL1867" s="0" t="n">
        <v>1.14</v>
      </c>
    </row>
    <row r="1868">
      <c r="A1868" s="0" t="inlineStr">
        <is>
          <t>[성내동]</t>
        </is>
      </c>
      <c r="B1868" s="0" t="n">
        <v>3073</v>
      </c>
      <c r="C1868" s="0" t="n">
        <v>2</v>
      </c>
      <c r="D1868" s="0" t="inlineStr">
        <is>
          <t>동아2차</t>
        </is>
      </c>
      <c r="E1868" s="0" t="inlineStr">
        <is>
          <t>1996.10.</t>
        </is>
      </c>
      <c r="F1868" s="0" t="n">
        <v>43</v>
      </c>
      <c r="G1868" s="0" t="n">
        <v>23.94</v>
      </c>
      <c r="H1868" s="0" t="n">
        <v>79.16</v>
      </c>
      <c r="I1868" s="0" t="n">
        <v>17.85</v>
      </c>
      <c r="J1868" s="0" t="n">
        <v>59.04</v>
      </c>
      <c r="K1868" s="0" t="n">
        <v>20</v>
      </c>
      <c r="T1868" s="0" t="n">
        <v>3</v>
      </c>
      <c r="U1868" s="0" t="n">
        <v>1</v>
      </c>
      <c r="V1868" s="0" t="inlineStr">
        <is>
          <t>계단식</t>
        </is>
      </c>
      <c r="W1868" s="0" t="n">
        <v>79</v>
      </c>
      <c r="X1868" s="0" t="n">
        <v>14</v>
      </c>
      <c r="Y1868" s="0" t="n">
        <v>9</v>
      </c>
      <c r="Z1868" s="0" t="inlineStr">
        <is>
          <t>https://new.land.naver.com/complexes/3073?tab=detail&amp;rf=Y</t>
        </is>
      </c>
      <c r="AA1868" s="0" t="inlineStr">
        <is>
          <t>서울시 강동구 성내동 424-12</t>
        </is>
      </c>
      <c r="AB1868" s="0" t="inlineStr">
        <is>
          <t>서울시</t>
        </is>
      </c>
      <c r="AC1868" s="0" t="inlineStr">
        <is>
          <t>강동구</t>
        </is>
      </c>
      <c r="AD1868" s="0" t="inlineStr">
        <is>
          <t>성내동</t>
        </is>
      </c>
      <c r="AG1868" s="0" t="inlineStr">
        <is>
          <t>서울시 강동구 양재대로91길 47</t>
        </is>
      </c>
      <c r="AH1868" s="0" t="n">
        <v>0</v>
      </c>
      <c r="AI1868" s="0" t="n">
        <v>322</v>
      </c>
      <c r="AJ1868" s="0" t="n">
        <v>47</v>
      </c>
      <c r="AK1868" s="0" t="n">
        <v>49</v>
      </c>
      <c r="AL1868" s="0" t="n">
        <v>1.14</v>
      </c>
    </row>
    <row r="1869">
      <c r="A1869" s="0" t="inlineStr">
        <is>
          <t>[성내동]</t>
        </is>
      </c>
      <c r="B1869" s="0" t="n">
        <v>3073</v>
      </c>
      <c r="C1869" s="0" t="n">
        <v>3</v>
      </c>
      <c r="D1869" s="0" t="inlineStr">
        <is>
          <t>동아2차</t>
        </is>
      </c>
      <c r="E1869" s="0" t="inlineStr">
        <is>
          <t>1996.10.</t>
        </is>
      </c>
      <c r="F1869" s="0" t="n">
        <v>43</v>
      </c>
      <c r="G1869" s="0" t="n">
        <v>26.34</v>
      </c>
      <c r="H1869" s="0" t="n">
        <v>87.09</v>
      </c>
      <c r="I1869" s="0" t="n">
        <v>19.64</v>
      </c>
      <c r="J1869" s="0" t="n">
        <v>64.95</v>
      </c>
      <c r="K1869" s="0" t="n">
        <v>1</v>
      </c>
      <c r="T1869" s="0" t="n">
        <v>3</v>
      </c>
      <c r="U1869" s="0" t="n">
        <v>1</v>
      </c>
      <c r="V1869" s="0" t="inlineStr">
        <is>
          <t>계단식</t>
        </is>
      </c>
      <c r="W1869" s="0" t="n">
        <v>87</v>
      </c>
      <c r="X1869" s="0" t="n">
        <v>14</v>
      </c>
      <c r="Y1869" s="0" t="n">
        <v>9</v>
      </c>
      <c r="Z1869" s="0" t="inlineStr">
        <is>
          <t>https://new.land.naver.com/complexes/3073?tab=detail&amp;rf=Y</t>
        </is>
      </c>
      <c r="AA1869" s="0" t="inlineStr">
        <is>
          <t>서울시 강동구 성내동 424-12</t>
        </is>
      </c>
      <c r="AB1869" s="0" t="inlineStr">
        <is>
          <t>서울시</t>
        </is>
      </c>
      <c r="AC1869" s="0" t="inlineStr">
        <is>
          <t>강동구</t>
        </is>
      </c>
      <c r="AD1869" s="0" t="inlineStr">
        <is>
          <t>성내동</t>
        </is>
      </c>
      <c r="AG1869" s="0" t="inlineStr">
        <is>
          <t>서울시 강동구 양재대로91길 47</t>
        </is>
      </c>
      <c r="AH1869" s="0" t="n">
        <v>0</v>
      </c>
      <c r="AI1869" s="0" t="n">
        <v>322</v>
      </c>
      <c r="AJ1869" s="0" t="n">
        <v>47</v>
      </c>
      <c r="AK1869" s="0" t="n">
        <v>49</v>
      </c>
      <c r="AL1869" s="0" t="n">
        <v>1.14</v>
      </c>
    </row>
    <row r="1870">
      <c r="A1870" s="0" t="inlineStr">
        <is>
          <t>[성내동]</t>
        </is>
      </c>
      <c r="B1870" s="0" t="n">
        <v>3073</v>
      </c>
      <c r="C1870" s="0" t="n">
        <v>4</v>
      </c>
      <c r="D1870" s="0" t="inlineStr">
        <is>
          <t>동아2차</t>
        </is>
      </c>
      <c r="E1870" s="0" t="inlineStr">
        <is>
          <t>1996.10.</t>
        </is>
      </c>
      <c r="F1870" s="0" t="n">
        <v>43</v>
      </c>
      <c r="G1870" s="0" t="n">
        <v>27.37</v>
      </c>
      <c r="H1870" s="0" t="n">
        <v>90.51000000000001</v>
      </c>
      <c r="I1870" s="0" t="n">
        <v>20.41</v>
      </c>
      <c r="J1870" s="0" t="n">
        <v>67.5</v>
      </c>
      <c r="K1870" s="0" t="n">
        <v>1</v>
      </c>
      <c r="T1870" s="0" t="n">
        <v>3</v>
      </c>
      <c r="U1870" s="0" t="n">
        <v>1</v>
      </c>
      <c r="V1870" s="0" t="inlineStr">
        <is>
          <t>계단식</t>
        </is>
      </c>
      <c r="W1870" s="0" t="n">
        <v>90</v>
      </c>
      <c r="X1870" s="0" t="n">
        <v>14</v>
      </c>
      <c r="Y1870" s="0" t="n">
        <v>9</v>
      </c>
      <c r="Z1870" s="0" t="inlineStr">
        <is>
          <t>https://new.land.naver.com/complexes/3073?tab=detail&amp;rf=Y</t>
        </is>
      </c>
      <c r="AA1870" s="0" t="inlineStr">
        <is>
          <t>서울시 강동구 성내동 424-12</t>
        </is>
      </c>
      <c r="AB1870" s="0" t="inlineStr">
        <is>
          <t>서울시</t>
        </is>
      </c>
      <c r="AC1870" s="0" t="inlineStr">
        <is>
          <t>강동구</t>
        </is>
      </c>
      <c r="AD1870" s="0" t="inlineStr">
        <is>
          <t>성내동</t>
        </is>
      </c>
      <c r="AG1870" s="0" t="inlineStr">
        <is>
          <t>서울시 강동구 양재대로91길 47</t>
        </is>
      </c>
      <c r="AH1870" s="0" t="n">
        <v>0</v>
      </c>
      <c r="AI1870" s="0" t="n">
        <v>322</v>
      </c>
      <c r="AJ1870" s="0" t="n">
        <v>47</v>
      </c>
      <c r="AK1870" s="0" t="n">
        <v>49</v>
      </c>
      <c r="AL1870" s="0" t="n">
        <v>1.14</v>
      </c>
    </row>
    <row r="1871">
      <c r="A1871" s="0" t="inlineStr">
        <is>
          <t>[성내동]</t>
        </is>
      </c>
      <c r="B1871" s="0" t="n">
        <v>3073</v>
      </c>
      <c r="C1871" s="0" t="n">
        <v>5</v>
      </c>
      <c r="D1871" s="0" t="inlineStr">
        <is>
          <t>동아2차</t>
        </is>
      </c>
      <c r="E1871" s="0" t="inlineStr">
        <is>
          <t>1996.10.</t>
        </is>
      </c>
      <c r="F1871" s="0" t="n">
        <v>43</v>
      </c>
      <c r="G1871" s="0" t="n">
        <v>30.48</v>
      </c>
      <c r="H1871" s="0" t="n">
        <v>100.77</v>
      </c>
      <c r="I1871" s="0" t="n">
        <v>22.73</v>
      </c>
      <c r="J1871" s="0" t="n">
        <v>75.15000000000001</v>
      </c>
      <c r="K1871" s="0" t="n">
        <v>1</v>
      </c>
      <c r="T1871" s="0" t="n">
        <v>3</v>
      </c>
      <c r="U1871" s="0" t="n">
        <v>2</v>
      </c>
      <c r="V1871" s="0" t="inlineStr">
        <is>
          <t>계단식</t>
        </is>
      </c>
      <c r="W1871" s="0" t="n">
        <v>100</v>
      </c>
      <c r="X1871" s="0" t="n">
        <v>14</v>
      </c>
      <c r="Y1871" s="0" t="n">
        <v>9</v>
      </c>
      <c r="Z1871" s="0" t="inlineStr">
        <is>
          <t>https://new.land.naver.com/complexes/3073?tab=detail&amp;rf=Y</t>
        </is>
      </c>
      <c r="AA1871" s="0" t="inlineStr">
        <is>
          <t>서울시 강동구 성내동 424-12</t>
        </is>
      </c>
      <c r="AB1871" s="0" t="inlineStr">
        <is>
          <t>서울시</t>
        </is>
      </c>
      <c r="AC1871" s="0" t="inlineStr">
        <is>
          <t>강동구</t>
        </is>
      </c>
      <c r="AD1871" s="0" t="inlineStr">
        <is>
          <t>성내동</t>
        </is>
      </c>
      <c r="AG1871" s="0" t="inlineStr">
        <is>
          <t>서울시 강동구 양재대로91길 47</t>
        </is>
      </c>
      <c r="AH1871" s="0" t="n">
        <v>0</v>
      </c>
      <c r="AI1871" s="0" t="n">
        <v>322</v>
      </c>
      <c r="AJ1871" s="0" t="n">
        <v>47</v>
      </c>
      <c r="AK1871" s="0" t="n">
        <v>49</v>
      </c>
      <c r="AL1871" s="0" t="n">
        <v>1.14</v>
      </c>
    </row>
    <row r="1872">
      <c r="A1872" s="0" t="inlineStr">
        <is>
          <t>[성내동]</t>
        </is>
      </c>
      <c r="B1872" s="0" t="n">
        <v>3073</v>
      </c>
      <c r="C1872" s="0" t="n">
        <v>6</v>
      </c>
      <c r="D1872" s="0" t="inlineStr">
        <is>
          <t>동아2차</t>
        </is>
      </c>
      <c r="E1872" s="0" t="inlineStr">
        <is>
          <t>1996.10.</t>
        </is>
      </c>
      <c r="F1872" s="0" t="n">
        <v>43</v>
      </c>
      <c r="G1872" s="0" t="n">
        <v>31.06</v>
      </c>
      <c r="H1872" s="0" t="n">
        <v>102.7</v>
      </c>
      <c r="I1872" s="0" t="n">
        <v>23.16</v>
      </c>
      <c r="J1872" s="0" t="n">
        <v>76.59</v>
      </c>
      <c r="K1872" s="0" t="n">
        <v>1</v>
      </c>
      <c r="T1872" s="0" t="n">
        <v>3</v>
      </c>
      <c r="U1872" s="0" t="n">
        <v>2</v>
      </c>
      <c r="V1872" s="0" t="inlineStr">
        <is>
          <t>계단식</t>
        </is>
      </c>
      <c r="W1872" s="0" t="n">
        <v>102</v>
      </c>
      <c r="X1872" s="0" t="n">
        <v>14</v>
      </c>
      <c r="Y1872" s="0" t="n">
        <v>9</v>
      </c>
      <c r="Z1872" s="0" t="inlineStr">
        <is>
          <t>https://new.land.naver.com/complexes/3073?tab=detail&amp;rf=Y</t>
        </is>
      </c>
      <c r="AA1872" s="0" t="inlineStr">
        <is>
          <t>서울시 강동구 성내동 424-12</t>
        </is>
      </c>
      <c r="AB1872" s="0" t="inlineStr">
        <is>
          <t>서울시</t>
        </is>
      </c>
      <c r="AC1872" s="0" t="inlineStr">
        <is>
          <t>강동구</t>
        </is>
      </c>
      <c r="AD1872" s="0" t="inlineStr">
        <is>
          <t>성내동</t>
        </is>
      </c>
      <c r="AG1872" s="0" t="inlineStr">
        <is>
          <t>서울시 강동구 양재대로91길 47</t>
        </is>
      </c>
      <c r="AH1872" s="0" t="n">
        <v>0</v>
      </c>
      <c r="AI1872" s="0" t="n">
        <v>322</v>
      </c>
      <c r="AJ1872" s="0" t="n">
        <v>47</v>
      </c>
      <c r="AK1872" s="0" t="n">
        <v>49</v>
      </c>
      <c r="AL1872" s="0" t="n">
        <v>1.14</v>
      </c>
    </row>
    <row r="1873">
      <c r="A1873" s="0" t="inlineStr">
        <is>
          <t>[성내동]</t>
        </is>
      </c>
      <c r="B1873" s="0" t="n">
        <v>3073</v>
      </c>
      <c r="C1873" s="0" t="n">
        <v>7</v>
      </c>
      <c r="D1873" s="0" t="inlineStr">
        <is>
          <t>동아2차</t>
        </is>
      </c>
      <c r="E1873" s="0" t="inlineStr">
        <is>
          <t>1996.10.</t>
        </is>
      </c>
      <c r="F1873" s="0" t="n">
        <v>43</v>
      </c>
      <c r="G1873" s="0" t="n">
        <v>34.36</v>
      </c>
      <c r="H1873" s="0" t="n">
        <v>113.59</v>
      </c>
      <c r="I1873" s="0" t="n">
        <v>25.62</v>
      </c>
      <c r="J1873" s="0" t="n">
        <v>84.70999999999999</v>
      </c>
      <c r="K1873" s="0" t="n">
        <v>17</v>
      </c>
      <c r="T1873" s="0" t="n">
        <v>3</v>
      </c>
      <c r="U1873" s="0" t="n">
        <v>2</v>
      </c>
      <c r="V1873" s="0" t="inlineStr">
        <is>
          <t>계단식</t>
        </is>
      </c>
      <c r="W1873" s="0" t="n">
        <v>113</v>
      </c>
      <c r="X1873" s="0" t="n">
        <v>14</v>
      </c>
      <c r="Y1873" s="0" t="n">
        <v>9</v>
      </c>
      <c r="Z1873" s="0" t="inlineStr">
        <is>
          <t>https://new.land.naver.com/complexes/3073?tab=detail&amp;rf=Y</t>
        </is>
      </c>
      <c r="AA1873" s="0" t="inlineStr">
        <is>
          <t>서울시 강동구 성내동 424-12</t>
        </is>
      </c>
      <c r="AB1873" s="0" t="inlineStr">
        <is>
          <t>서울시</t>
        </is>
      </c>
      <c r="AC1873" s="0" t="inlineStr">
        <is>
          <t>강동구</t>
        </is>
      </c>
      <c r="AD1873" s="0" t="inlineStr">
        <is>
          <t>성내동</t>
        </is>
      </c>
      <c r="AG1873" s="0" t="inlineStr">
        <is>
          <t>서울시 강동구 양재대로91길 47</t>
        </is>
      </c>
      <c r="AH1873" s="0" t="n">
        <v>0</v>
      </c>
      <c r="AI1873" s="0" t="n">
        <v>322</v>
      </c>
      <c r="AJ1873" s="0" t="n">
        <v>47</v>
      </c>
      <c r="AK1873" s="0" t="n">
        <v>49</v>
      </c>
      <c r="AL1873" s="0" t="n">
        <v>1.14</v>
      </c>
    </row>
    <row r="1874">
      <c r="A1874" s="0" t="inlineStr">
        <is>
          <t>[성내동]</t>
        </is>
      </c>
      <c r="B1874" s="0" t="n">
        <v>3073</v>
      </c>
      <c r="C1874" s="0" t="n">
        <v>8</v>
      </c>
      <c r="D1874" s="0" t="inlineStr">
        <is>
          <t>동아2차</t>
        </is>
      </c>
      <c r="E1874" s="0" t="inlineStr">
        <is>
          <t>1996.10.</t>
        </is>
      </c>
      <c r="F1874" s="0" t="n">
        <v>43</v>
      </c>
      <c r="G1874" s="0" t="n">
        <v>45.52</v>
      </c>
      <c r="H1874" s="0" t="n">
        <v>150.51</v>
      </c>
      <c r="I1874" s="0" t="n">
        <v>33.94</v>
      </c>
      <c r="J1874" s="0" t="n">
        <v>112.23</v>
      </c>
      <c r="K1874" s="0" t="n">
        <v>1</v>
      </c>
      <c r="T1874" s="0" t="n">
        <v>4</v>
      </c>
      <c r="U1874" s="0" t="n">
        <v>2</v>
      </c>
      <c r="V1874" s="0" t="inlineStr">
        <is>
          <t>계단식</t>
        </is>
      </c>
      <c r="W1874" s="0" t="n">
        <v>150</v>
      </c>
      <c r="X1874" s="0" t="n">
        <v>14</v>
      </c>
      <c r="Y1874" s="0" t="n">
        <v>9</v>
      </c>
      <c r="Z1874" s="0" t="inlineStr">
        <is>
          <t>https://new.land.naver.com/complexes/3073?tab=detail&amp;rf=Y</t>
        </is>
      </c>
      <c r="AA1874" s="0" t="inlineStr">
        <is>
          <t>서울시 강동구 성내동 424-12</t>
        </is>
      </c>
      <c r="AB1874" s="0" t="inlineStr">
        <is>
          <t>서울시</t>
        </is>
      </c>
      <c r="AC1874" s="0" t="inlineStr">
        <is>
          <t>강동구</t>
        </is>
      </c>
      <c r="AD1874" s="0" t="inlineStr">
        <is>
          <t>성내동</t>
        </is>
      </c>
      <c r="AG1874" s="0" t="inlineStr">
        <is>
          <t>서울시 강동구 양재대로91길 47</t>
        </is>
      </c>
      <c r="AH1874" s="0" t="n">
        <v>0</v>
      </c>
      <c r="AI1874" s="0" t="n">
        <v>322</v>
      </c>
      <c r="AJ1874" s="0" t="n">
        <v>47</v>
      </c>
      <c r="AK1874" s="0" t="n">
        <v>49</v>
      </c>
      <c r="AL1874" s="0" t="n">
        <v>1.14</v>
      </c>
    </row>
    <row r="1875">
      <c r="A1875" s="0" t="inlineStr">
        <is>
          <t>[성내동]</t>
        </is>
      </c>
      <c r="B1875" s="0" t="n">
        <v>118093</v>
      </c>
      <c r="C1875" s="0" t="n">
        <v>1</v>
      </c>
      <c r="D1875" s="0" t="inlineStr">
        <is>
          <t>아성플러스</t>
        </is>
      </c>
      <c r="E1875" s="0" t="inlineStr">
        <is>
          <t>2014.04.</t>
        </is>
      </c>
      <c r="F1875" s="0" t="n">
        <v>6</v>
      </c>
      <c r="G1875" s="0" t="n">
        <v>13.97</v>
      </c>
      <c r="H1875" s="0" t="n">
        <v>46.21</v>
      </c>
      <c r="I1875" s="0" t="n">
        <v>8.869999999999999</v>
      </c>
      <c r="J1875" s="0" t="n">
        <v>29.35</v>
      </c>
      <c r="K1875" s="0" t="n">
        <v>6</v>
      </c>
      <c r="T1875" s="0" t="n">
        <v>1</v>
      </c>
      <c r="U1875" s="0" t="n">
        <v>1</v>
      </c>
      <c r="V1875" s="0" t="inlineStr">
        <is>
          <t>계단식</t>
        </is>
      </c>
      <c r="W1875" s="0" t="n">
        <v>46</v>
      </c>
      <c r="X1875" s="0" t="n">
        <v>10</v>
      </c>
      <c r="Y1875" s="0" t="n">
        <v>10</v>
      </c>
      <c r="Z1875" s="0" t="inlineStr">
        <is>
          <t>https://new.land.naver.com/complexes/118093?tab=detail&amp;rf=Y</t>
        </is>
      </c>
      <c r="AA1875" s="0" t="inlineStr">
        <is>
          <t>서울시 강동구 성내동 244-4</t>
        </is>
      </c>
      <c r="AB1875" s="0" t="inlineStr">
        <is>
          <t>서울시</t>
        </is>
      </c>
      <c r="AC1875" s="0" t="inlineStr">
        <is>
          <t>강동구</t>
        </is>
      </c>
      <c r="AD1875" s="0" t="inlineStr">
        <is>
          <t>성내동</t>
        </is>
      </c>
      <c r="AG1875" s="0" t="inlineStr">
        <is>
          <t>서울시 강동구 천호대로176길 10-6</t>
        </is>
      </c>
      <c r="AH1875" s="0" t="n">
        <v>0</v>
      </c>
      <c r="AI1875" s="0" t="n">
        <v>304</v>
      </c>
      <c r="AJ1875" s="0" t="n">
        <v>0</v>
      </c>
      <c r="AK1875" s="0" t="n">
        <v>3</v>
      </c>
      <c r="AL1875" s="0" t="n">
        <v>0.5</v>
      </c>
    </row>
    <row r="1876">
      <c r="A1876" s="0" t="inlineStr">
        <is>
          <t>[성내동]</t>
        </is>
      </c>
      <c r="B1876" s="0" t="n">
        <v>111935</v>
      </c>
      <c r="C1876" s="0" t="n">
        <v>1</v>
      </c>
      <c r="D1876" s="0" t="inlineStr">
        <is>
          <t>더리빙플러스(도시형)</t>
        </is>
      </c>
      <c r="E1876" s="0" t="inlineStr">
        <is>
          <t>2012.12.</t>
        </is>
      </c>
      <c r="F1876" s="0" t="n">
        <v>28</v>
      </c>
      <c r="G1876" s="0" t="n">
        <v>5.51</v>
      </c>
      <c r="H1876" s="0" t="n">
        <v>18.24</v>
      </c>
      <c r="I1876" s="0" t="n">
        <v>3.96</v>
      </c>
      <c r="J1876" s="0" t="n">
        <v>13.1</v>
      </c>
      <c r="K1876" s="0" t="n">
        <v>14</v>
      </c>
      <c r="T1876" s="0" t="n">
        <v>1</v>
      </c>
      <c r="U1876" s="0" t="n">
        <v>1</v>
      </c>
      <c r="V1876" s="0" t="inlineStr">
        <is>
          <t>복도식</t>
        </is>
      </c>
      <c r="W1876" s="0" t="n">
        <v>18</v>
      </c>
      <c r="X1876" s="0" t="n">
        <v>9</v>
      </c>
      <c r="Y1876" s="0" t="n">
        <v>9</v>
      </c>
      <c r="Z1876" s="0" t="inlineStr">
        <is>
          <t>https://new.land.naver.com/complexes/111935?tab=detail&amp;rf=Y</t>
        </is>
      </c>
      <c r="AA1876" s="0" t="inlineStr">
        <is>
          <t>서울시 강동구 성내동 244-16</t>
        </is>
      </c>
      <c r="AB1876" s="0" t="inlineStr">
        <is>
          <t>서울시</t>
        </is>
      </c>
      <c r="AC1876" s="0" t="inlineStr">
        <is>
          <t>강동구</t>
        </is>
      </c>
      <c r="AD1876" s="0" t="inlineStr">
        <is>
          <t>성내동</t>
        </is>
      </c>
      <c r="AG1876" s="0" t="inlineStr">
        <is>
          <t>서울시 강동구 천호대로174길 11</t>
        </is>
      </c>
      <c r="AH1876" s="0" t="n">
        <v>0</v>
      </c>
      <c r="AI1876" s="0" t="n">
        <v>382</v>
      </c>
      <c r="AJ1876" s="0" t="n">
        <v>57</v>
      </c>
      <c r="AK1876" s="0" t="n">
        <v>4</v>
      </c>
      <c r="AL1876" s="0" t="n">
        <v>0.14</v>
      </c>
    </row>
    <row r="1877">
      <c r="A1877" s="0" t="inlineStr">
        <is>
          <t>[성내동]</t>
        </is>
      </c>
      <c r="B1877" s="0" t="n">
        <v>111935</v>
      </c>
      <c r="C1877" s="0" t="n">
        <v>2</v>
      </c>
      <c r="D1877" s="0" t="inlineStr">
        <is>
          <t>더리빙플러스(도시형)</t>
        </is>
      </c>
      <c r="E1877" s="0" t="inlineStr">
        <is>
          <t>2012.12.</t>
        </is>
      </c>
      <c r="F1877" s="0" t="n">
        <v>28</v>
      </c>
      <c r="G1877" s="0" t="n">
        <v>7.48</v>
      </c>
      <c r="H1877" s="0" t="n">
        <v>24.76</v>
      </c>
      <c r="I1877" s="0" t="n">
        <v>5.38</v>
      </c>
      <c r="J1877" s="0" t="n">
        <v>17.79</v>
      </c>
      <c r="K1877" s="0" t="n">
        <v>7</v>
      </c>
      <c r="T1877" s="0" t="n">
        <v>1</v>
      </c>
      <c r="U1877" s="0" t="n">
        <v>1</v>
      </c>
      <c r="V1877" s="0" t="inlineStr">
        <is>
          <t>복도식</t>
        </is>
      </c>
      <c r="W1877" s="0" t="n">
        <v>24</v>
      </c>
      <c r="X1877" s="0" t="n">
        <v>9</v>
      </c>
      <c r="Y1877" s="0" t="n">
        <v>9</v>
      </c>
      <c r="Z1877" s="0" t="inlineStr">
        <is>
          <t>https://new.land.naver.com/complexes/111935?tab=detail&amp;rf=Y</t>
        </is>
      </c>
      <c r="AA1877" s="0" t="inlineStr">
        <is>
          <t>서울시 강동구 성내동 244-16</t>
        </is>
      </c>
      <c r="AB1877" s="0" t="inlineStr">
        <is>
          <t>서울시</t>
        </is>
      </c>
      <c r="AC1877" s="0" t="inlineStr">
        <is>
          <t>강동구</t>
        </is>
      </c>
      <c r="AD1877" s="0" t="inlineStr">
        <is>
          <t>성내동</t>
        </is>
      </c>
      <c r="AG1877" s="0" t="inlineStr">
        <is>
          <t>서울시 강동구 천호대로174길 11</t>
        </is>
      </c>
      <c r="AH1877" s="0" t="n">
        <v>0</v>
      </c>
      <c r="AI1877" s="0" t="n">
        <v>382</v>
      </c>
      <c r="AJ1877" s="0" t="n">
        <v>57</v>
      </c>
      <c r="AK1877" s="0" t="n">
        <v>4</v>
      </c>
      <c r="AL1877" s="0" t="n">
        <v>0.14</v>
      </c>
    </row>
    <row r="1878">
      <c r="A1878" s="0" t="inlineStr">
        <is>
          <t>[성내동]</t>
        </is>
      </c>
      <c r="B1878" s="0" t="n">
        <v>111935</v>
      </c>
      <c r="C1878" s="0" t="n">
        <v>3</v>
      </c>
      <c r="D1878" s="0" t="inlineStr">
        <is>
          <t>더리빙플러스(도시형)</t>
        </is>
      </c>
      <c r="E1878" s="0" t="inlineStr">
        <is>
          <t>2012.12.</t>
        </is>
      </c>
      <c r="F1878" s="0" t="n">
        <v>28</v>
      </c>
      <c r="G1878" s="0" t="n">
        <v>7.64</v>
      </c>
      <c r="H1878" s="0" t="n">
        <v>25.27</v>
      </c>
      <c r="I1878" s="0" t="n">
        <v>5.49</v>
      </c>
      <c r="J1878" s="0" t="n">
        <v>18.15</v>
      </c>
      <c r="K1878" s="0" t="n">
        <v>7</v>
      </c>
      <c r="T1878" s="0" t="n">
        <v>1</v>
      </c>
      <c r="U1878" s="0" t="n">
        <v>1</v>
      </c>
      <c r="V1878" s="0" t="inlineStr">
        <is>
          <t>복도식</t>
        </is>
      </c>
      <c r="W1878" s="0" t="n">
        <v>25</v>
      </c>
      <c r="X1878" s="0" t="n">
        <v>9</v>
      </c>
      <c r="Y1878" s="0" t="n">
        <v>9</v>
      </c>
      <c r="Z1878" s="0" t="inlineStr">
        <is>
          <t>https://new.land.naver.com/complexes/111935?tab=detail&amp;rf=Y</t>
        </is>
      </c>
      <c r="AA1878" s="0" t="inlineStr">
        <is>
          <t>서울시 강동구 성내동 244-16</t>
        </is>
      </c>
      <c r="AB1878" s="0" t="inlineStr">
        <is>
          <t>서울시</t>
        </is>
      </c>
      <c r="AC1878" s="0" t="inlineStr">
        <is>
          <t>강동구</t>
        </is>
      </c>
      <c r="AD1878" s="0" t="inlineStr">
        <is>
          <t>성내동</t>
        </is>
      </c>
      <c r="AG1878" s="0" t="inlineStr">
        <is>
          <t>서울시 강동구 천호대로174길 11</t>
        </is>
      </c>
      <c r="AH1878" s="0" t="n">
        <v>0</v>
      </c>
      <c r="AI1878" s="0" t="n">
        <v>382</v>
      </c>
      <c r="AJ1878" s="0" t="n">
        <v>57</v>
      </c>
      <c r="AK1878" s="0" t="n">
        <v>4</v>
      </c>
      <c r="AL1878" s="0" t="n">
        <v>0.14</v>
      </c>
    </row>
    <row r="1879">
      <c r="A1879" s="0" t="inlineStr">
        <is>
          <t>[성내동]</t>
        </is>
      </c>
      <c r="B1879" s="0" t="n">
        <v>9820</v>
      </c>
      <c r="C1879" s="0" t="n">
        <v>1</v>
      </c>
      <c r="D1879" s="0" t="inlineStr">
        <is>
          <t>몽촌토성</t>
        </is>
      </c>
      <c r="E1879" s="0" t="inlineStr">
        <is>
          <t>1993.12.</t>
        </is>
      </c>
      <c r="F1879" s="0" t="n">
        <v>18</v>
      </c>
      <c r="G1879" s="0" t="n">
        <v>27.61</v>
      </c>
      <c r="H1879" s="0" t="n">
        <v>91.3</v>
      </c>
      <c r="I1879" s="0" t="n">
        <v>25.11</v>
      </c>
      <c r="J1879" s="0" t="n">
        <v>83.01000000000001</v>
      </c>
      <c r="K1879" s="0" t="n">
        <v>8</v>
      </c>
      <c r="T1879" s="0" t="n">
        <v>3</v>
      </c>
      <c r="U1879" s="0" t="n">
        <v>2</v>
      </c>
      <c r="V1879" s="0" t="inlineStr">
        <is>
          <t>계단식</t>
        </is>
      </c>
      <c r="W1879" s="0" t="inlineStr">
        <is>
          <t>91A</t>
        </is>
      </c>
      <c r="X1879" s="0" t="n">
        <v>5</v>
      </c>
      <c r="Y1879" s="0" t="n">
        <v>4</v>
      </c>
      <c r="Z1879" s="0" t="inlineStr">
        <is>
          <t>https://new.land.naver.com/complexes/9820?tab=detail&amp;rf=Y</t>
        </is>
      </c>
      <c r="AA1879" s="0" t="inlineStr">
        <is>
          <t>서울시 강동구 성내동 460</t>
        </is>
      </c>
      <c r="AB1879" s="0" t="inlineStr">
        <is>
          <t>서울시</t>
        </is>
      </c>
      <c r="AC1879" s="0" t="inlineStr">
        <is>
          <t>강동구</t>
        </is>
      </c>
      <c r="AD1879" s="0" t="inlineStr">
        <is>
          <t>성내동</t>
        </is>
      </c>
      <c r="AG1879" s="0" t="inlineStr">
        <is>
          <t>서울시 강동구 성내로6다길 42</t>
        </is>
      </c>
      <c r="AH1879" s="0" t="n">
        <v>0</v>
      </c>
      <c r="AI1879" s="0" t="n">
        <v>194</v>
      </c>
      <c r="AJ1879" s="0" t="n">
        <v>47</v>
      </c>
      <c r="AK1879" s="0" t="n">
        <v>13</v>
      </c>
      <c r="AL1879" s="0" t="n">
        <v>0.72</v>
      </c>
    </row>
    <row r="1880">
      <c r="A1880" s="0" t="inlineStr">
        <is>
          <t>[성내동]</t>
        </is>
      </c>
      <c r="B1880" s="0" t="n">
        <v>9820</v>
      </c>
      <c r="C1880" s="0" t="n">
        <v>2</v>
      </c>
      <c r="D1880" s="0" t="inlineStr">
        <is>
          <t>몽촌토성</t>
        </is>
      </c>
      <c r="E1880" s="0" t="inlineStr">
        <is>
          <t>1993.12.</t>
        </is>
      </c>
      <c r="F1880" s="0" t="n">
        <v>18</v>
      </c>
      <c r="G1880" s="0" t="n">
        <v>28.22</v>
      </c>
      <c r="H1880" s="0" t="n">
        <v>93.29000000000001</v>
      </c>
      <c r="I1880" s="0" t="n">
        <v>25.65</v>
      </c>
      <c r="J1880" s="0" t="n">
        <v>84.81999999999999</v>
      </c>
      <c r="K1880" s="0" t="n">
        <v>8</v>
      </c>
      <c r="T1880" s="0" t="n">
        <v>3</v>
      </c>
      <c r="U1880" s="0" t="n">
        <v>2</v>
      </c>
      <c r="V1880" s="0" t="inlineStr">
        <is>
          <t>계단식</t>
        </is>
      </c>
      <c r="W1880" s="0" t="inlineStr">
        <is>
          <t>93B</t>
        </is>
      </c>
      <c r="X1880" s="0" t="n">
        <v>5</v>
      </c>
      <c r="Y1880" s="0" t="n">
        <v>4</v>
      </c>
      <c r="Z1880" s="0" t="inlineStr">
        <is>
          <t>https://new.land.naver.com/complexes/9820?tab=detail&amp;rf=Y</t>
        </is>
      </c>
      <c r="AA1880" s="0" t="inlineStr">
        <is>
          <t>서울시 강동구 성내동 460</t>
        </is>
      </c>
      <c r="AB1880" s="0" t="inlineStr">
        <is>
          <t>서울시</t>
        </is>
      </c>
      <c r="AC1880" s="0" t="inlineStr">
        <is>
          <t>강동구</t>
        </is>
      </c>
      <c r="AD1880" s="0" t="inlineStr">
        <is>
          <t>성내동</t>
        </is>
      </c>
      <c r="AG1880" s="0" t="inlineStr">
        <is>
          <t>서울시 강동구 성내로6다길 42</t>
        </is>
      </c>
      <c r="AH1880" s="0" t="n">
        <v>0</v>
      </c>
      <c r="AI1880" s="0" t="n">
        <v>194</v>
      </c>
      <c r="AJ1880" s="0" t="n">
        <v>47</v>
      </c>
      <c r="AK1880" s="0" t="n">
        <v>13</v>
      </c>
      <c r="AL1880" s="0" t="n">
        <v>0.72</v>
      </c>
    </row>
    <row r="1881">
      <c r="A1881" s="0" t="inlineStr">
        <is>
          <t>[성내동]</t>
        </is>
      </c>
      <c r="B1881" s="0" t="n">
        <v>9820</v>
      </c>
      <c r="C1881" s="0" t="n">
        <v>3</v>
      </c>
      <c r="D1881" s="0" t="inlineStr">
        <is>
          <t>몽촌토성</t>
        </is>
      </c>
      <c r="E1881" s="0" t="inlineStr">
        <is>
          <t>1993.12.</t>
        </is>
      </c>
      <c r="F1881" s="0" t="n">
        <v>18</v>
      </c>
      <c r="G1881" s="0" t="n">
        <v>43.84</v>
      </c>
      <c r="H1881" s="0" t="n">
        <v>144.93</v>
      </c>
      <c r="I1881" s="0" t="n">
        <v>39.86</v>
      </c>
      <c r="J1881" s="0" t="n">
        <v>131.77</v>
      </c>
      <c r="K1881" s="0" t="n">
        <v>2</v>
      </c>
      <c r="T1881" s="0" t="n">
        <v>3</v>
      </c>
      <c r="U1881" s="0" t="n">
        <v>2</v>
      </c>
      <c r="V1881" s="0" t="inlineStr">
        <is>
          <t>복도식</t>
        </is>
      </c>
      <c r="W1881" s="0" t="n">
        <v>144</v>
      </c>
      <c r="X1881" s="0" t="n">
        <v>5</v>
      </c>
      <c r="Y1881" s="0" t="n">
        <v>4</v>
      </c>
      <c r="Z1881" s="0" t="inlineStr">
        <is>
          <t>https://new.land.naver.com/complexes/9820?tab=detail&amp;rf=Y</t>
        </is>
      </c>
      <c r="AA1881" s="0" t="inlineStr">
        <is>
          <t>서울시 강동구 성내동 460</t>
        </is>
      </c>
      <c r="AB1881" s="0" t="inlineStr">
        <is>
          <t>서울시</t>
        </is>
      </c>
      <c r="AC1881" s="0" t="inlineStr">
        <is>
          <t>강동구</t>
        </is>
      </c>
      <c r="AD1881" s="0" t="inlineStr">
        <is>
          <t>성내동</t>
        </is>
      </c>
      <c r="AG1881" s="0" t="inlineStr">
        <is>
          <t>서울시 강동구 성내로6다길 42</t>
        </is>
      </c>
      <c r="AH1881" s="0" t="n">
        <v>0</v>
      </c>
      <c r="AI1881" s="0" t="n">
        <v>194</v>
      </c>
      <c r="AJ1881" s="0" t="n">
        <v>47</v>
      </c>
      <c r="AK1881" s="0" t="n">
        <v>13</v>
      </c>
      <c r="AL1881" s="0" t="n">
        <v>0.72</v>
      </c>
    </row>
    <row r="1882">
      <c r="A1882" s="0" t="inlineStr">
        <is>
          <t>[성내동]</t>
        </is>
      </c>
      <c r="B1882" s="0" t="n">
        <v>23255</v>
      </c>
      <c r="C1882" s="0" t="n">
        <v>1</v>
      </c>
      <c r="D1882" s="0" t="inlineStr">
        <is>
          <t>영진파크빌</t>
        </is>
      </c>
      <c r="E1882" s="0" t="inlineStr">
        <is>
          <t>2005.07.</t>
        </is>
      </c>
      <c r="F1882" s="0" t="n">
        <v>17</v>
      </c>
      <c r="G1882" s="0" t="n">
        <v>24.42</v>
      </c>
      <c r="H1882" s="0" t="n">
        <v>80.73</v>
      </c>
      <c r="I1882" s="0" t="n">
        <v>21.2</v>
      </c>
      <c r="J1882" s="0" t="n">
        <v>70.09999999999999</v>
      </c>
      <c r="K1882" s="0" t="n">
        <v>1</v>
      </c>
      <c r="T1882" s="0" t="n">
        <v>3</v>
      </c>
      <c r="U1882" s="0" t="n">
        <v>1</v>
      </c>
      <c r="V1882" s="0" t="inlineStr">
        <is>
          <t>복도식</t>
        </is>
      </c>
      <c r="W1882" s="0" t="n">
        <v>80</v>
      </c>
      <c r="X1882" s="0" t="n">
        <v>7</v>
      </c>
      <c r="Y1882" s="0" t="n">
        <v>6</v>
      </c>
      <c r="Z1882" s="0" t="inlineStr">
        <is>
          <t>https://new.land.naver.com/complexes/23255?tab=detail&amp;rf=Y</t>
        </is>
      </c>
      <c r="AA1882" s="0" t="inlineStr">
        <is>
          <t>서울시 강동구 성내동 437-26</t>
        </is>
      </c>
      <c r="AB1882" s="0" t="inlineStr">
        <is>
          <t>서울시</t>
        </is>
      </c>
      <c r="AC1882" s="0" t="inlineStr">
        <is>
          <t>강동구</t>
        </is>
      </c>
      <c r="AD1882" s="0" t="inlineStr">
        <is>
          <t>성내동</t>
        </is>
      </c>
      <c r="AG1882" s="0" t="inlineStr">
        <is>
          <t>서울시 강동구 강동대로53길 49</t>
        </is>
      </c>
      <c r="AH1882" s="0" t="n">
        <v>0</v>
      </c>
      <c r="AI1882" s="0" t="n">
        <v>262</v>
      </c>
      <c r="AJ1882" s="0" t="n">
        <v>46</v>
      </c>
      <c r="AK1882" s="0" t="n">
        <v>22</v>
      </c>
      <c r="AL1882" s="0" t="n">
        <v>1.29</v>
      </c>
    </row>
    <row r="1883">
      <c r="A1883" s="0" t="inlineStr">
        <is>
          <t>[성내동]</t>
        </is>
      </c>
      <c r="B1883" s="0" t="n">
        <v>23255</v>
      </c>
      <c r="C1883" s="0" t="n">
        <v>2</v>
      </c>
      <c r="D1883" s="0" t="inlineStr">
        <is>
          <t>영진파크빌</t>
        </is>
      </c>
      <c r="E1883" s="0" t="inlineStr">
        <is>
          <t>2005.07.</t>
        </is>
      </c>
      <c r="F1883" s="0" t="n">
        <v>17</v>
      </c>
      <c r="G1883" s="0" t="n">
        <v>24.67</v>
      </c>
      <c r="H1883" s="0" t="n">
        <v>81.58</v>
      </c>
      <c r="I1883" s="0" t="n">
        <v>21.42</v>
      </c>
      <c r="J1883" s="0" t="n">
        <v>70.84</v>
      </c>
      <c r="K1883" s="0" t="n">
        <v>1</v>
      </c>
      <c r="T1883" s="0" t="n">
        <v>3</v>
      </c>
      <c r="U1883" s="0" t="n">
        <v>2</v>
      </c>
      <c r="V1883" s="0" t="inlineStr">
        <is>
          <t>계단식</t>
        </is>
      </c>
      <c r="W1883" s="0" t="n">
        <v>81</v>
      </c>
      <c r="X1883" s="0" t="n">
        <v>7</v>
      </c>
      <c r="Y1883" s="0" t="n">
        <v>6</v>
      </c>
      <c r="Z1883" s="0" t="inlineStr">
        <is>
          <t>https://new.land.naver.com/complexes/23255?tab=detail&amp;rf=Y</t>
        </is>
      </c>
      <c r="AA1883" s="0" t="inlineStr">
        <is>
          <t>서울시 강동구 성내동 437-26</t>
        </is>
      </c>
      <c r="AB1883" s="0" t="inlineStr">
        <is>
          <t>서울시</t>
        </is>
      </c>
      <c r="AC1883" s="0" t="inlineStr">
        <is>
          <t>강동구</t>
        </is>
      </c>
      <c r="AD1883" s="0" t="inlineStr">
        <is>
          <t>성내동</t>
        </is>
      </c>
      <c r="AG1883" s="0" t="inlineStr">
        <is>
          <t>서울시 강동구 강동대로53길 49</t>
        </is>
      </c>
      <c r="AH1883" s="0" t="n">
        <v>0</v>
      </c>
      <c r="AI1883" s="0" t="n">
        <v>262</v>
      </c>
      <c r="AJ1883" s="0" t="n">
        <v>46</v>
      </c>
      <c r="AK1883" s="0" t="n">
        <v>22</v>
      </c>
      <c r="AL1883" s="0" t="n">
        <v>1.29</v>
      </c>
    </row>
    <row r="1884">
      <c r="A1884" s="0" t="inlineStr">
        <is>
          <t>[성내동]</t>
        </is>
      </c>
      <c r="B1884" s="0" t="n">
        <v>23255</v>
      </c>
      <c r="C1884" s="0" t="n">
        <v>3</v>
      </c>
      <c r="D1884" s="0" t="inlineStr">
        <is>
          <t>영진파크빌</t>
        </is>
      </c>
      <c r="E1884" s="0" t="inlineStr">
        <is>
          <t>2005.07.</t>
        </is>
      </c>
      <c r="F1884" s="0" t="n">
        <v>17</v>
      </c>
      <c r="G1884" s="0" t="n">
        <v>28.92</v>
      </c>
      <c r="H1884" s="0" t="n">
        <v>95.62</v>
      </c>
      <c r="I1884" s="0" t="n">
        <v>25.11</v>
      </c>
      <c r="J1884" s="0" t="n">
        <v>83.03</v>
      </c>
      <c r="K1884" s="0" t="n">
        <v>4</v>
      </c>
      <c r="T1884" s="0" t="n">
        <v>3</v>
      </c>
      <c r="U1884" s="0" t="n">
        <v>2</v>
      </c>
      <c r="V1884" s="0" t="inlineStr">
        <is>
          <t>계단식</t>
        </is>
      </c>
      <c r="W1884" s="0" t="inlineStr">
        <is>
          <t>95B</t>
        </is>
      </c>
      <c r="X1884" s="0" t="n">
        <v>7</v>
      </c>
      <c r="Y1884" s="0" t="n">
        <v>6</v>
      </c>
      <c r="Z1884" s="0" t="inlineStr">
        <is>
          <t>https://new.land.naver.com/complexes/23255?tab=detail&amp;rf=Y</t>
        </is>
      </c>
      <c r="AA1884" s="0" t="inlineStr">
        <is>
          <t>서울시 강동구 성내동 437-26</t>
        </is>
      </c>
      <c r="AB1884" s="0" t="inlineStr">
        <is>
          <t>서울시</t>
        </is>
      </c>
      <c r="AC1884" s="0" t="inlineStr">
        <is>
          <t>강동구</t>
        </is>
      </c>
      <c r="AD1884" s="0" t="inlineStr">
        <is>
          <t>성내동</t>
        </is>
      </c>
      <c r="AG1884" s="0" t="inlineStr">
        <is>
          <t>서울시 강동구 강동대로53길 49</t>
        </is>
      </c>
      <c r="AH1884" s="0" t="n">
        <v>0</v>
      </c>
      <c r="AI1884" s="0" t="n">
        <v>262</v>
      </c>
      <c r="AJ1884" s="0" t="n">
        <v>46</v>
      </c>
      <c r="AK1884" s="0" t="n">
        <v>22</v>
      </c>
      <c r="AL1884" s="0" t="n">
        <v>1.29</v>
      </c>
    </row>
    <row r="1885">
      <c r="A1885" s="0" t="inlineStr">
        <is>
          <t>[성내동]</t>
        </is>
      </c>
      <c r="B1885" s="0" t="n">
        <v>23255</v>
      </c>
      <c r="C1885" s="0" t="n">
        <v>4</v>
      </c>
      <c r="D1885" s="0" t="inlineStr">
        <is>
          <t>영진파크빌</t>
        </is>
      </c>
      <c r="E1885" s="0" t="inlineStr">
        <is>
          <t>2005.07.</t>
        </is>
      </c>
      <c r="F1885" s="0" t="n">
        <v>17</v>
      </c>
      <c r="G1885" s="0" t="n">
        <v>28.74</v>
      </c>
      <c r="H1885" s="0" t="n">
        <v>95.04000000000001</v>
      </c>
      <c r="I1885" s="0" t="n">
        <v>24.96</v>
      </c>
      <c r="J1885" s="0" t="n">
        <v>82.53</v>
      </c>
      <c r="K1885" s="0" t="n">
        <v>1</v>
      </c>
      <c r="T1885" s="0" t="n">
        <v>3</v>
      </c>
      <c r="U1885" s="0" t="n">
        <v>2</v>
      </c>
      <c r="V1885" s="0" t="inlineStr">
        <is>
          <t>계단식</t>
        </is>
      </c>
      <c r="W1885" s="0" t="inlineStr">
        <is>
          <t>95A</t>
        </is>
      </c>
      <c r="X1885" s="0" t="n">
        <v>7</v>
      </c>
      <c r="Y1885" s="0" t="n">
        <v>6</v>
      </c>
      <c r="Z1885" s="0" t="inlineStr">
        <is>
          <t>https://new.land.naver.com/complexes/23255?tab=detail&amp;rf=Y</t>
        </is>
      </c>
      <c r="AA1885" s="0" t="inlineStr">
        <is>
          <t>서울시 강동구 성내동 437-26</t>
        </is>
      </c>
      <c r="AB1885" s="0" t="inlineStr">
        <is>
          <t>서울시</t>
        </is>
      </c>
      <c r="AC1885" s="0" t="inlineStr">
        <is>
          <t>강동구</t>
        </is>
      </c>
      <c r="AD1885" s="0" t="inlineStr">
        <is>
          <t>성내동</t>
        </is>
      </c>
      <c r="AG1885" s="0" t="inlineStr">
        <is>
          <t>서울시 강동구 강동대로53길 49</t>
        </is>
      </c>
      <c r="AH1885" s="0" t="n">
        <v>0</v>
      </c>
      <c r="AI1885" s="0" t="n">
        <v>262</v>
      </c>
      <c r="AJ1885" s="0" t="n">
        <v>46</v>
      </c>
      <c r="AK1885" s="0" t="n">
        <v>22</v>
      </c>
      <c r="AL1885" s="0" t="n">
        <v>1.29</v>
      </c>
    </row>
    <row r="1886">
      <c r="A1886" s="0" t="inlineStr">
        <is>
          <t>[성내동]</t>
        </is>
      </c>
      <c r="B1886" s="0" t="n">
        <v>23255</v>
      </c>
      <c r="C1886" s="0" t="n">
        <v>5</v>
      </c>
      <c r="D1886" s="0" t="inlineStr">
        <is>
          <t>영진파크빌</t>
        </is>
      </c>
      <c r="E1886" s="0" t="inlineStr">
        <is>
          <t>2005.07.</t>
        </is>
      </c>
      <c r="F1886" s="0" t="n">
        <v>17</v>
      </c>
      <c r="G1886" s="0" t="n">
        <v>29</v>
      </c>
      <c r="H1886" s="0" t="n">
        <v>95.90000000000001</v>
      </c>
      <c r="I1886" s="0" t="n">
        <v>25.18</v>
      </c>
      <c r="J1886" s="0" t="n">
        <v>83.27</v>
      </c>
      <c r="K1886" s="0" t="n">
        <v>1</v>
      </c>
      <c r="T1886" s="0" t="n">
        <v>3</v>
      </c>
      <c r="U1886" s="0" t="n">
        <v>2</v>
      </c>
      <c r="V1886" s="0" t="inlineStr">
        <is>
          <t>계단식</t>
        </is>
      </c>
      <c r="W1886" s="0" t="inlineStr">
        <is>
          <t>95C</t>
        </is>
      </c>
      <c r="X1886" s="0" t="n">
        <v>7</v>
      </c>
      <c r="Y1886" s="0" t="n">
        <v>6</v>
      </c>
      <c r="Z1886" s="0" t="inlineStr">
        <is>
          <t>https://new.land.naver.com/complexes/23255?tab=detail&amp;rf=Y</t>
        </is>
      </c>
      <c r="AA1886" s="0" t="inlineStr">
        <is>
          <t>서울시 강동구 성내동 437-26</t>
        </is>
      </c>
      <c r="AB1886" s="0" t="inlineStr">
        <is>
          <t>서울시</t>
        </is>
      </c>
      <c r="AC1886" s="0" t="inlineStr">
        <is>
          <t>강동구</t>
        </is>
      </c>
      <c r="AD1886" s="0" t="inlineStr">
        <is>
          <t>성내동</t>
        </is>
      </c>
      <c r="AG1886" s="0" t="inlineStr">
        <is>
          <t>서울시 강동구 강동대로53길 49</t>
        </is>
      </c>
      <c r="AH1886" s="0" t="n">
        <v>0</v>
      </c>
      <c r="AI1886" s="0" t="n">
        <v>262</v>
      </c>
      <c r="AJ1886" s="0" t="n">
        <v>46</v>
      </c>
      <c r="AK1886" s="0" t="n">
        <v>22</v>
      </c>
      <c r="AL1886" s="0" t="n">
        <v>1.29</v>
      </c>
    </row>
    <row r="1887">
      <c r="A1887" s="0" t="inlineStr">
        <is>
          <t>[성내동]</t>
        </is>
      </c>
      <c r="B1887" s="0" t="n">
        <v>23255</v>
      </c>
      <c r="C1887" s="0" t="n">
        <v>6</v>
      </c>
      <c r="D1887" s="0" t="inlineStr">
        <is>
          <t>영진파크빌</t>
        </is>
      </c>
      <c r="E1887" s="0" t="inlineStr">
        <is>
          <t>2005.07.</t>
        </is>
      </c>
      <c r="F1887" s="0" t="n">
        <v>17</v>
      </c>
      <c r="G1887" s="0" t="n">
        <v>29.22</v>
      </c>
      <c r="H1887" s="0" t="n">
        <v>96.59999999999999</v>
      </c>
      <c r="I1887" s="0" t="n">
        <v>25.37</v>
      </c>
      <c r="J1887" s="0" t="n">
        <v>83.88</v>
      </c>
      <c r="K1887" s="0" t="n">
        <v>4</v>
      </c>
      <c r="T1887" s="0" t="n">
        <v>3</v>
      </c>
      <c r="U1887" s="0" t="n">
        <v>2</v>
      </c>
      <c r="V1887" s="0" t="inlineStr">
        <is>
          <t>계단식</t>
        </is>
      </c>
      <c r="W1887" s="0" t="inlineStr">
        <is>
          <t>96D</t>
        </is>
      </c>
      <c r="X1887" s="0" t="n">
        <v>7</v>
      </c>
      <c r="Y1887" s="0" t="n">
        <v>6</v>
      </c>
      <c r="Z1887" s="0" t="inlineStr">
        <is>
          <t>https://new.land.naver.com/complexes/23255?tab=detail&amp;rf=Y</t>
        </is>
      </c>
      <c r="AA1887" s="0" t="inlineStr">
        <is>
          <t>서울시 강동구 성내동 437-26</t>
        </is>
      </c>
      <c r="AB1887" s="0" t="inlineStr">
        <is>
          <t>서울시</t>
        </is>
      </c>
      <c r="AC1887" s="0" t="inlineStr">
        <is>
          <t>강동구</t>
        </is>
      </c>
      <c r="AD1887" s="0" t="inlineStr">
        <is>
          <t>성내동</t>
        </is>
      </c>
      <c r="AG1887" s="0" t="inlineStr">
        <is>
          <t>서울시 강동구 강동대로53길 49</t>
        </is>
      </c>
      <c r="AH1887" s="0" t="n">
        <v>0</v>
      </c>
      <c r="AI1887" s="0" t="n">
        <v>262</v>
      </c>
      <c r="AJ1887" s="0" t="n">
        <v>46</v>
      </c>
      <c r="AK1887" s="0" t="n">
        <v>22</v>
      </c>
      <c r="AL1887" s="0" t="n">
        <v>1.29</v>
      </c>
    </row>
    <row r="1888">
      <c r="A1888" s="0" t="inlineStr">
        <is>
          <t>[성내동]</t>
        </is>
      </c>
      <c r="B1888" s="0" t="n">
        <v>23255</v>
      </c>
      <c r="C1888" s="0" t="n">
        <v>7</v>
      </c>
      <c r="D1888" s="0" t="inlineStr">
        <is>
          <t>영진파크빌</t>
        </is>
      </c>
      <c r="E1888" s="0" t="inlineStr">
        <is>
          <t>2005.07.</t>
        </is>
      </c>
      <c r="F1888" s="0" t="n">
        <v>17</v>
      </c>
      <c r="G1888" s="0" t="n">
        <v>29.26</v>
      </c>
      <c r="H1888" s="0" t="n">
        <v>96.73999999999999</v>
      </c>
      <c r="I1888" s="0" t="n">
        <v>25.41</v>
      </c>
      <c r="J1888" s="0" t="n">
        <v>84</v>
      </c>
      <c r="K1888" s="0" t="n">
        <v>4</v>
      </c>
      <c r="T1888" s="0" t="n">
        <v>3</v>
      </c>
      <c r="U1888" s="0" t="n">
        <v>2</v>
      </c>
      <c r="V1888" s="0" t="inlineStr">
        <is>
          <t>계단식</t>
        </is>
      </c>
      <c r="W1888" s="0" t="inlineStr">
        <is>
          <t>96E</t>
        </is>
      </c>
      <c r="X1888" s="0" t="n">
        <v>7</v>
      </c>
      <c r="Y1888" s="0" t="n">
        <v>6</v>
      </c>
      <c r="Z1888" s="0" t="inlineStr">
        <is>
          <t>https://new.land.naver.com/complexes/23255?tab=detail&amp;rf=Y</t>
        </is>
      </c>
      <c r="AA1888" s="0" t="inlineStr">
        <is>
          <t>서울시 강동구 성내동 437-26</t>
        </is>
      </c>
      <c r="AB1888" s="0" t="inlineStr">
        <is>
          <t>서울시</t>
        </is>
      </c>
      <c r="AC1888" s="0" t="inlineStr">
        <is>
          <t>강동구</t>
        </is>
      </c>
      <c r="AD1888" s="0" t="inlineStr">
        <is>
          <t>성내동</t>
        </is>
      </c>
      <c r="AG1888" s="0" t="inlineStr">
        <is>
          <t>서울시 강동구 강동대로53길 49</t>
        </is>
      </c>
      <c r="AH1888" s="0" t="n">
        <v>0</v>
      </c>
      <c r="AI1888" s="0" t="n">
        <v>262</v>
      </c>
      <c r="AJ1888" s="0" t="n">
        <v>46</v>
      </c>
      <c r="AK1888" s="0" t="n">
        <v>22</v>
      </c>
      <c r="AL1888" s="0" t="n">
        <v>1.29</v>
      </c>
    </row>
    <row r="1889">
      <c r="A1889" s="0" t="inlineStr">
        <is>
          <t>[성내동]</t>
        </is>
      </c>
      <c r="B1889" s="0" t="n">
        <v>23255</v>
      </c>
      <c r="C1889" s="0" t="n">
        <v>8</v>
      </c>
      <c r="D1889" s="0" t="inlineStr">
        <is>
          <t>영진파크빌</t>
        </is>
      </c>
      <c r="E1889" s="0" t="inlineStr">
        <is>
          <t>2005.07.</t>
        </is>
      </c>
      <c r="F1889" s="0" t="n">
        <v>17</v>
      </c>
      <c r="G1889" s="0" t="n">
        <v>29.58</v>
      </c>
      <c r="H1889" s="0" t="n">
        <v>97.81</v>
      </c>
      <c r="I1889" s="0" t="n">
        <v>25.69</v>
      </c>
      <c r="J1889" s="0" t="n">
        <v>84.93000000000001</v>
      </c>
      <c r="K1889" s="0" t="n">
        <v>1</v>
      </c>
      <c r="T1889" s="0" t="n">
        <v>3</v>
      </c>
      <c r="U1889" s="0" t="n">
        <v>2</v>
      </c>
      <c r="V1889" s="0" t="inlineStr">
        <is>
          <t>계단식</t>
        </is>
      </c>
      <c r="W1889" s="0" t="n">
        <v>97</v>
      </c>
      <c r="X1889" s="0" t="n">
        <v>7</v>
      </c>
      <c r="Y1889" s="0" t="n">
        <v>6</v>
      </c>
      <c r="Z1889" s="0" t="inlineStr">
        <is>
          <t>https://new.land.naver.com/complexes/23255?tab=detail&amp;rf=Y</t>
        </is>
      </c>
      <c r="AA1889" s="0" t="inlineStr">
        <is>
          <t>서울시 강동구 성내동 437-26</t>
        </is>
      </c>
      <c r="AB1889" s="0" t="inlineStr">
        <is>
          <t>서울시</t>
        </is>
      </c>
      <c r="AC1889" s="0" t="inlineStr">
        <is>
          <t>강동구</t>
        </is>
      </c>
      <c r="AD1889" s="0" t="inlineStr">
        <is>
          <t>성내동</t>
        </is>
      </c>
      <c r="AG1889" s="0" t="inlineStr">
        <is>
          <t>서울시 강동구 강동대로53길 49</t>
        </is>
      </c>
      <c r="AH1889" s="0" t="n">
        <v>0</v>
      </c>
      <c r="AI1889" s="0" t="n">
        <v>262</v>
      </c>
      <c r="AJ1889" s="0" t="n">
        <v>46</v>
      </c>
      <c r="AK1889" s="0" t="n">
        <v>22</v>
      </c>
      <c r="AL1889" s="0" t="n">
        <v>1.29</v>
      </c>
    </row>
    <row r="1890">
      <c r="A1890" s="0" t="inlineStr">
        <is>
          <t>[성내동]</t>
        </is>
      </c>
      <c r="B1890" s="0" t="n">
        <v>3114</v>
      </c>
      <c r="C1890" s="0" t="n">
        <v>1</v>
      </c>
      <c r="D1890" s="0" t="inlineStr">
        <is>
          <t>중앙</t>
        </is>
      </c>
      <c r="E1890" s="0" t="inlineStr">
        <is>
          <t>1992.05.</t>
        </is>
      </c>
      <c r="F1890" s="0" t="n">
        <v>19</v>
      </c>
      <c r="G1890" s="0" t="n">
        <v>53.76</v>
      </c>
      <c r="H1890" s="0" t="n">
        <v>177.72</v>
      </c>
      <c r="I1890" s="0" t="n">
        <v>49.99</v>
      </c>
      <c r="J1890" s="0" t="n">
        <v>165.28</v>
      </c>
      <c r="K1890" s="0" t="n">
        <v>19</v>
      </c>
      <c r="T1890" s="0" t="n">
        <v>5</v>
      </c>
      <c r="U1890" s="0" t="n">
        <v>2</v>
      </c>
      <c r="V1890" s="0" t="inlineStr">
        <is>
          <t>계단식</t>
        </is>
      </c>
      <c r="W1890" s="0" t="n">
        <v>177</v>
      </c>
      <c r="X1890" s="0" t="n">
        <v>7</v>
      </c>
      <c r="Y1890" s="0" t="n">
        <v>6</v>
      </c>
      <c r="Z1890" s="0" t="inlineStr">
        <is>
          <t>https://new.land.naver.com/complexes/3114?tab=detail&amp;rf=Y</t>
        </is>
      </c>
      <c r="AA1890" s="0" t="inlineStr">
        <is>
          <t>서울시 강동구 성내동 513</t>
        </is>
      </c>
      <c r="AB1890" s="0" t="inlineStr">
        <is>
          <t>서울시</t>
        </is>
      </c>
      <c r="AC1890" s="0" t="inlineStr">
        <is>
          <t>강동구</t>
        </is>
      </c>
      <c r="AD1890" s="0" t="inlineStr">
        <is>
          <t>성내동</t>
        </is>
      </c>
      <c r="AG1890" s="0" t="inlineStr">
        <is>
          <t>서울시 강동구 풍성로45길 18</t>
        </is>
      </c>
      <c r="AH1890" s="0" t="n">
        <v>0</v>
      </c>
      <c r="AI1890" s="0" t="n">
        <v>0</v>
      </c>
      <c r="AJ1890" s="0" t="n">
        <v>0</v>
      </c>
      <c r="AK1890" s="0" t="n">
        <v>59</v>
      </c>
      <c r="AL1890" s="0" t="n">
        <v>3.11</v>
      </c>
    </row>
    <row r="1891">
      <c r="A1891" s="0" t="inlineStr">
        <is>
          <t>[성내동]</t>
        </is>
      </c>
      <c r="B1891" s="0" t="n">
        <v>9391</v>
      </c>
      <c r="C1891" s="0" t="n">
        <v>1</v>
      </c>
      <c r="D1891" s="0" t="inlineStr">
        <is>
          <t>올림픽파크플러스</t>
        </is>
      </c>
      <c r="E1891" s="0" t="inlineStr">
        <is>
          <t>2002.01.</t>
        </is>
      </c>
      <c r="F1891" s="0" t="n">
        <v>19</v>
      </c>
      <c r="G1891" s="0" t="n">
        <v>45.62</v>
      </c>
      <c r="H1891" s="0" t="n">
        <v>150.82</v>
      </c>
      <c r="I1891" s="0" t="n">
        <v>38.27</v>
      </c>
      <c r="J1891" s="0" t="n">
        <v>126.54</v>
      </c>
      <c r="K1891" s="0" t="n">
        <v>2</v>
      </c>
      <c r="T1891" s="0" t="n">
        <v>4</v>
      </c>
      <c r="U1891" s="0" t="n">
        <v>2</v>
      </c>
      <c r="V1891" s="0" t="inlineStr">
        <is>
          <t>계단식</t>
        </is>
      </c>
      <c r="W1891" s="0" t="n">
        <v>150</v>
      </c>
      <c r="X1891" s="0" t="n">
        <v>11</v>
      </c>
      <c r="Y1891" s="0" t="n">
        <v>11</v>
      </c>
      <c r="Z1891" s="0" t="inlineStr">
        <is>
          <t>https://new.land.naver.com/complexes/9391?tab=detail&amp;rf=Y</t>
        </is>
      </c>
      <c r="AA1891" s="0" t="inlineStr">
        <is>
          <t>서울시 강동구 성내동 448-18</t>
        </is>
      </c>
      <c r="AB1891" s="0" t="inlineStr">
        <is>
          <t>서울시</t>
        </is>
      </c>
      <c r="AC1891" s="0" t="inlineStr">
        <is>
          <t>강동구</t>
        </is>
      </c>
      <c r="AD1891" s="0" t="inlineStr">
        <is>
          <t>성내동</t>
        </is>
      </c>
      <c r="AG1891" s="0" t="inlineStr">
        <is>
          <t>서울시 강동구 양재대로81길 61</t>
        </is>
      </c>
      <c r="AH1891" s="0" t="n">
        <v>0</v>
      </c>
      <c r="AI1891" s="0" t="n">
        <v>298</v>
      </c>
      <c r="AJ1891" s="0" t="n">
        <v>30</v>
      </c>
      <c r="AK1891" s="0" t="n">
        <v>31</v>
      </c>
      <c r="AL1891" s="0" t="n">
        <v>1.63</v>
      </c>
    </row>
    <row r="1892">
      <c r="A1892" s="0" t="inlineStr">
        <is>
          <t>[성내동]</t>
        </is>
      </c>
      <c r="B1892" s="0" t="n">
        <v>9391</v>
      </c>
      <c r="C1892" s="0" t="n">
        <v>2</v>
      </c>
      <c r="D1892" s="0" t="inlineStr">
        <is>
          <t>올림픽파크플러스</t>
        </is>
      </c>
      <c r="E1892" s="0" t="inlineStr">
        <is>
          <t>2002.01.</t>
        </is>
      </c>
      <c r="F1892" s="0" t="n">
        <v>19</v>
      </c>
      <c r="G1892" s="0" t="n">
        <v>52.43</v>
      </c>
      <c r="H1892" s="0" t="n">
        <v>173.35</v>
      </c>
      <c r="I1892" s="0" t="n">
        <v>43.99</v>
      </c>
      <c r="J1892" s="0" t="n">
        <v>145.43</v>
      </c>
      <c r="K1892" s="0" t="n">
        <v>17</v>
      </c>
      <c r="T1892" s="0" t="n">
        <v>4</v>
      </c>
      <c r="U1892" s="0" t="n">
        <v>2</v>
      </c>
      <c r="V1892" s="0" t="inlineStr">
        <is>
          <t>계단식</t>
        </is>
      </c>
      <c r="W1892" s="0" t="n">
        <v>173</v>
      </c>
      <c r="X1892" s="0" t="n">
        <v>11</v>
      </c>
      <c r="Y1892" s="0" t="n">
        <v>11</v>
      </c>
      <c r="Z1892" s="0" t="inlineStr">
        <is>
          <t>https://new.land.naver.com/complexes/9391?tab=detail&amp;rf=Y</t>
        </is>
      </c>
      <c r="AA1892" s="0" t="inlineStr">
        <is>
          <t>서울시 강동구 성내동 448-18</t>
        </is>
      </c>
      <c r="AB1892" s="0" t="inlineStr">
        <is>
          <t>서울시</t>
        </is>
      </c>
      <c r="AC1892" s="0" t="inlineStr">
        <is>
          <t>강동구</t>
        </is>
      </c>
      <c r="AD1892" s="0" t="inlineStr">
        <is>
          <t>성내동</t>
        </is>
      </c>
      <c r="AG1892" s="0" t="inlineStr">
        <is>
          <t>서울시 강동구 양재대로81길 61</t>
        </is>
      </c>
      <c r="AH1892" s="0" t="n">
        <v>0</v>
      </c>
      <c r="AI1892" s="0" t="n">
        <v>298</v>
      </c>
      <c r="AJ1892" s="0" t="n">
        <v>30</v>
      </c>
      <c r="AK1892" s="0" t="n">
        <v>31</v>
      </c>
      <c r="AL1892" s="0" t="n">
        <v>1.63</v>
      </c>
    </row>
    <row r="1893">
      <c r="A1893" s="0" t="inlineStr">
        <is>
          <t>[성내동]</t>
        </is>
      </c>
      <c r="B1893" s="0" t="n">
        <v>23858</v>
      </c>
      <c r="C1893" s="0" t="n">
        <v>1</v>
      </c>
      <c r="D1893" s="0" t="inlineStr">
        <is>
          <t>청일베르네</t>
        </is>
      </c>
      <c r="E1893" s="0" t="inlineStr">
        <is>
          <t>2005.08.</t>
        </is>
      </c>
      <c r="F1893" s="0" t="n">
        <v>19</v>
      </c>
      <c r="G1893" s="0" t="n">
        <v>31.28</v>
      </c>
      <c r="H1893" s="0" t="n">
        <v>103.43</v>
      </c>
      <c r="I1893" s="0" t="n">
        <v>25.69</v>
      </c>
      <c r="J1893" s="0" t="n">
        <v>84.93000000000001</v>
      </c>
      <c r="K1893" s="0" t="n">
        <v>15</v>
      </c>
      <c r="T1893" s="0" t="n">
        <v>3</v>
      </c>
      <c r="U1893" s="0" t="n">
        <v>2</v>
      </c>
      <c r="V1893" s="0" t="inlineStr">
        <is>
          <t>계단식</t>
        </is>
      </c>
      <c r="W1893" s="0" t="inlineStr">
        <is>
          <t>103A</t>
        </is>
      </c>
      <c r="X1893" s="0" t="n">
        <v>7</v>
      </c>
      <c r="Y1893" s="0" t="n">
        <v>7</v>
      </c>
      <c r="Z1893" s="0" t="inlineStr">
        <is>
          <t>https://new.land.naver.com/complexes/23858?tab=detail&amp;rf=Y</t>
        </is>
      </c>
      <c r="AA1893" s="0" t="inlineStr">
        <is>
          <t>서울시 강동구 성내동 556-2</t>
        </is>
      </c>
      <c r="AB1893" s="0" t="inlineStr">
        <is>
          <t>서울시</t>
        </is>
      </c>
      <c r="AC1893" s="0" t="inlineStr">
        <is>
          <t>강동구</t>
        </is>
      </c>
      <c r="AD1893" s="0" t="inlineStr">
        <is>
          <t>성내동</t>
        </is>
      </c>
      <c r="AG1893" s="0" t="inlineStr">
        <is>
          <t>서울시 강동구 성내로6길 20</t>
        </is>
      </c>
      <c r="AH1893" s="0" t="n">
        <v>0</v>
      </c>
      <c r="AI1893" s="0" t="n">
        <v>295</v>
      </c>
      <c r="AJ1893" s="0" t="n">
        <v>59</v>
      </c>
      <c r="AK1893" s="0" t="n">
        <v>19</v>
      </c>
      <c r="AL1893" s="0" t="n">
        <v>1</v>
      </c>
    </row>
    <row r="1894">
      <c r="A1894" s="0" t="inlineStr">
        <is>
          <t>[성내동]</t>
        </is>
      </c>
      <c r="B1894" s="0" t="n">
        <v>23858</v>
      </c>
      <c r="C1894" s="0" t="n">
        <v>2</v>
      </c>
      <c r="D1894" s="0" t="inlineStr">
        <is>
          <t>청일베르네</t>
        </is>
      </c>
      <c r="E1894" s="0" t="inlineStr">
        <is>
          <t>2005.08.</t>
        </is>
      </c>
      <c r="F1894" s="0" t="n">
        <v>19</v>
      </c>
      <c r="G1894" s="0" t="n">
        <v>31.31</v>
      </c>
      <c r="H1894" s="0" t="n">
        <v>103.51</v>
      </c>
      <c r="I1894" s="0" t="n">
        <v>25.69</v>
      </c>
      <c r="J1894" s="0" t="n">
        <v>84.93000000000001</v>
      </c>
      <c r="K1894" s="0" t="n">
        <v>4</v>
      </c>
      <c r="T1894" s="0" t="n">
        <v>3</v>
      </c>
      <c r="U1894" s="0" t="n">
        <v>2</v>
      </c>
      <c r="V1894" s="0" t="inlineStr">
        <is>
          <t>계단식</t>
        </is>
      </c>
      <c r="W1894" s="0" t="inlineStr">
        <is>
          <t>103B</t>
        </is>
      </c>
      <c r="X1894" s="0" t="n">
        <v>7</v>
      </c>
      <c r="Y1894" s="0" t="n">
        <v>7</v>
      </c>
      <c r="Z1894" s="0" t="inlineStr">
        <is>
          <t>https://new.land.naver.com/complexes/23858?tab=detail&amp;rf=Y</t>
        </is>
      </c>
      <c r="AA1894" s="0" t="inlineStr">
        <is>
          <t>서울시 강동구 성내동 556-2</t>
        </is>
      </c>
      <c r="AB1894" s="0" t="inlineStr">
        <is>
          <t>서울시</t>
        </is>
      </c>
      <c r="AC1894" s="0" t="inlineStr">
        <is>
          <t>강동구</t>
        </is>
      </c>
      <c r="AD1894" s="0" t="inlineStr">
        <is>
          <t>성내동</t>
        </is>
      </c>
      <c r="AG1894" s="0" t="inlineStr">
        <is>
          <t>서울시 강동구 성내로6길 20</t>
        </is>
      </c>
      <c r="AH1894" s="0" t="n">
        <v>0</v>
      </c>
      <c r="AI1894" s="0" t="n">
        <v>295</v>
      </c>
      <c r="AJ1894" s="0" t="n">
        <v>59</v>
      </c>
      <c r="AK1894" s="0" t="n">
        <v>19</v>
      </c>
      <c r="AL1894" s="0" t="n">
        <v>1</v>
      </c>
    </row>
    <row r="1895">
      <c r="A1895" s="0" t="inlineStr">
        <is>
          <t>[성내동]</t>
        </is>
      </c>
      <c r="B1895" s="0" t="n">
        <v>3113</v>
      </c>
      <c r="C1895" s="0" t="n">
        <v>1</v>
      </c>
      <c r="D1895" s="0" t="inlineStr">
        <is>
          <t>삼성파크타워</t>
        </is>
      </c>
      <c r="E1895" s="0" t="inlineStr">
        <is>
          <t>1995.08.</t>
        </is>
      </c>
      <c r="F1895" s="0" t="n">
        <v>19</v>
      </c>
      <c r="G1895" s="0" t="n">
        <v>78.84999999999999</v>
      </c>
      <c r="H1895" s="0" t="n">
        <v>260.67</v>
      </c>
      <c r="I1895" s="0" t="n">
        <v>65.36</v>
      </c>
      <c r="J1895" s="0" t="n">
        <v>216.08</v>
      </c>
      <c r="K1895" s="0" t="n">
        <v>16</v>
      </c>
      <c r="T1895" s="0" t="n">
        <v>5</v>
      </c>
      <c r="U1895" s="0" t="n">
        <v>2</v>
      </c>
      <c r="V1895" s="0" t="inlineStr">
        <is>
          <t>계단식</t>
        </is>
      </c>
      <c r="W1895" s="0" t="inlineStr">
        <is>
          <t>260B</t>
        </is>
      </c>
      <c r="X1895" s="0" t="n">
        <v>13</v>
      </c>
      <c r="Y1895" s="0" t="n">
        <v>11</v>
      </c>
      <c r="Z1895" s="0" t="inlineStr">
        <is>
          <t>https://new.land.naver.com/complexes/3113?tab=detail&amp;rf=Y</t>
        </is>
      </c>
      <c r="AA1895" s="0" t="inlineStr">
        <is>
          <t>서울시 강동구 성내동 459-9</t>
        </is>
      </c>
      <c r="AB1895" s="0" t="inlineStr">
        <is>
          <t>서울시</t>
        </is>
      </c>
      <c r="AC1895" s="0" t="inlineStr">
        <is>
          <t>강동구</t>
        </is>
      </c>
      <c r="AD1895" s="0" t="inlineStr">
        <is>
          <t>성내동</t>
        </is>
      </c>
      <c r="AG1895" s="0" t="inlineStr">
        <is>
          <t>서울시 강동구 강동대로 143</t>
        </is>
      </c>
      <c r="AH1895" s="0" t="n">
        <v>0</v>
      </c>
      <c r="AI1895" s="0" t="n">
        <v>332</v>
      </c>
      <c r="AJ1895" s="0" t="n">
        <v>36</v>
      </c>
      <c r="AK1895" s="0" t="n">
        <v>48</v>
      </c>
      <c r="AL1895" s="0" t="n">
        <v>2.53</v>
      </c>
    </row>
    <row r="1896">
      <c r="A1896" s="0" t="inlineStr">
        <is>
          <t>[성내동]</t>
        </is>
      </c>
      <c r="B1896" s="0" t="n">
        <v>3113</v>
      </c>
      <c r="C1896" s="0" t="n">
        <v>2</v>
      </c>
      <c r="D1896" s="0" t="inlineStr">
        <is>
          <t>삼성파크타워</t>
        </is>
      </c>
      <c r="E1896" s="0" t="inlineStr">
        <is>
          <t>1995.08.</t>
        </is>
      </c>
      <c r="F1896" s="0" t="n">
        <v>19</v>
      </c>
      <c r="G1896" s="0" t="n">
        <v>78.83</v>
      </c>
      <c r="H1896" s="0" t="n">
        <v>260.6</v>
      </c>
      <c r="I1896" s="0" t="n">
        <v>65.34</v>
      </c>
      <c r="J1896" s="0" t="n">
        <v>216.03</v>
      </c>
      <c r="K1896" s="0" t="n">
        <v>1</v>
      </c>
      <c r="T1896" s="0" t="n">
        <v>5</v>
      </c>
      <c r="U1896" s="0" t="n">
        <v>2</v>
      </c>
      <c r="V1896" s="0" t="inlineStr">
        <is>
          <t>계단식</t>
        </is>
      </c>
      <c r="W1896" s="0" t="inlineStr">
        <is>
          <t>260A</t>
        </is>
      </c>
      <c r="X1896" s="0" t="n">
        <v>13</v>
      </c>
      <c r="Y1896" s="0" t="n">
        <v>11</v>
      </c>
      <c r="Z1896" s="0" t="inlineStr">
        <is>
          <t>https://new.land.naver.com/complexes/3113?tab=detail&amp;rf=Y</t>
        </is>
      </c>
      <c r="AA1896" s="0" t="inlineStr">
        <is>
          <t>서울시 강동구 성내동 459-9</t>
        </is>
      </c>
      <c r="AB1896" s="0" t="inlineStr">
        <is>
          <t>서울시</t>
        </is>
      </c>
      <c r="AC1896" s="0" t="inlineStr">
        <is>
          <t>강동구</t>
        </is>
      </c>
      <c r="AD1896" s="0" t="inlineStr">
        <is>
          <t>성내동</t>
        </is>
      </c>
      <c r="AG1896" s="0" t="inlineStr">
        <is>
          <t>서울시 강동구 강동대로 143</t>
        </is>
      </c>
      <c r="AH1896" s="0" t="n">
        <v>0</v>
      </c>
      <c r="AI1896" s="0" t="n">
        <v>332</v>
      </c>
      <c r="AJ1896" s="0" t="n">
        <v>36</v>
      </c>
      <c r="AK1896" s="0" t="n">
        <v>48</v>
      </c>
      <c r="AL1896" s="0" t="n">
        <v>2.53</v>
      </c>
    </row>
    <row r="1897">
      <c r="A1897" s="0" t="inlineStr">
        <is>
          <t>[성내동]</t>
        </is>
      </c>
      <c r="B1897" s="0" t="n">
        <v>3113</v>
      </c>
      <c r="C1897" s="0" t="n">
        <v>3</v>
      </c>
      <c r="D1897" s="0" t="inlineStr">
        <is>
          <t>삼성파크타워</t>
        </is>
      </c>
      <c r="E1897" s="0" t="inlineStr">
        <is>
          <t>1995.08.</t>
        </is>
      </c>
      <c r="F1897" s="0" t="n">
        <v>19</v>
      </c>
      <c r="G1897" s="0" t="n">
        <v>79.09999999999999</v>
      </c>
      <c r="H1897" s="0" t="n">
        <v>261.52</v>
      </c>
      <c r="I1897" s="0" t="n">
        <v>65.55</v>
      </c>
      <c r="J1897" s="0" t="n">
        <v>216.7</v>
      </c>
      <c r="K1897" s="0" t="n">
        <v>2</v>
      </c>
      <c r="T1897" s="0" t="n">
        <v>5</v>
      </c>
      <c r="U1897" s="0" t="n">
        <v>2</v>
      </c>
      <c r="V1897" s="0" t="inlineStr">
        <is>
          <t>계단식</t>
        </is>
      </c>
      <c r="W1897" s="0" t="inlineStr">
        <is>
          <t>261C</t>
        </is>
      </c>
      <c r="X1897" s="0" t="n">
        <v>13</v>
      </c>
      <c r="Y1897" s="0" t="n">
        <v>11</v>
      </c>
      <c r="Z1897" s="0" t="inlineStr">
        <is>
          <t>https://new.land.naver.com/complexes/3113?tab=detail&amp;rf=Y</t>
        </is>
      </c>
      <c r="AA1897" s="0" t="inlineStr">
        <is>
          <t>서울시 강동구 성내동 459-9</t>
        </is>
      </c>
      <c r="AB1897" s="0" t="inlineStr">
        <is>
          <t>서울시</t>
        </is>
      </c>
      <c r="AC1897" s="0" t="inlineStr">
        <is>
          <t>강동구</t>
        </is>
      </c>
      <c r="AD1897" s="0" t="inlineStr">
        <is>
          <t>성내동</t>
        </is>
      </c>
      <c r="AG1897" s="0" t="inlineStr">
        <is>
          <t>서울시 강동구 강동대로 143</t>
        </is>
      </c>
      <c r="AH1897" s="0" t="n">
        <v>0</v>
      </c>
      <c r="AI1897" s="0" t="n">
        <v>332</v>
      </c>
      <c r="AJ1897" s="0" t="n">
        <v>36</v>
      </c>
      <c r="AK1897" s="0" t="n">
        <v>48</v>
      </c>
      <c r="AL1897" s="0" t="n">
        <v>2.53</v>
      </c>
    </row>
    <row r="1898">
      <c r="A1898" s="0" t="inlineStr">
        <is>
          <t>[성내동]</t>
        </is>
      </c>
      <c r="B1898" s="0" t="n">
        <v>13895</v>
      </c>
      <c r="C1898" s="0" t="n">
        <v>1</v>
      </c>
      <c r="D1898" s="0" t="inlineStr">
        <is>
          <t>샤인빌</t>
        </is>
      </c>
      <c r="E1898" s="0" t="inlineStr">
        <is>
          <t>2003.10.</t>
        </is>
      </c>
      <c r="F1898" s="0" t="n">
        <v>25</v>
      </c>
      <c r="G1898" s="0" t="n">
        <v>22.25</v>
      </c>
      <c r="H1898" s="0" t="n">
        <v>73.58</v>
      </c>
      <c r="I1898" s="0" t="n">
        <v>19.66</v>
      </c>
      <c r="J1898" s="0" t="n">
        <v>65</v>
      </c>
      <c r="K1898" s="0" t="n">
        <v>1</v>
      </c>
      <c r="T1898" s="0" t="n">
        <v>3</v>
      </c>
      <c r="U1898" s="0" t="n">
        <v>1</v>
      </c>
      <c r="V1898" s="0" t="inlineStr">
        <is>
          <t>복도식</t>
        </is>
      </c>
      <c r="W1898" s="0" t="n">
        <v>73</v>
      </c>
      <c r="X1898" s="0" t="n">
        <v>7</v>
      </c>
      <c r="Y1898" s="0" t="n">
        <v>6</v>
      </c>
      <c r="Z1898" s="0" t="inlineStr">
        <is>
          <t>https://new.land.naver.com/complexes/13895?tab=detail&amp;rf=Y</t>
        </is>
      </c>
      <c r="AA1898" s="0" t="inlineStr">
        <is>
          <t>서울시 강동구 성내동 382-1</t>
        </is>
      </c>
      <c r="AB1898" s="0" t="inlineStr">
        <is>
          <t>서울시</t>
        </is>
      </c>
      <c r="AC1898" s="0" t="inlineStr">
        <is>
          <t>강동구</t>
        </is>
      </c>
      <c r="AD1898" s="0" t="inlineStr">
        <is>
          <t>성내동</t>
        </is>
      </c>
      <c r="AG1898" s="0" t="inlineStr">
        <is>
          <t>서울시 강동구 천호대로174길 36</t>
        </is>
      </c>
      <c r="AH1898" s="0" t="n">
        <v>0</v>
      </c>
      <c r="AI1898" s="0" t="n">
        <v>0</v>
      </c>
      <c r="AJ1898" s="0" t="n">
        <v>0</v>
      </c>
      <c r="AK1898" s="0" t="n">
        <v>27</v>
      </c>
      <c r="AL1898" s="0" t="n">
        <v>1.08</v>
      </c>
    </row>
    <row r="1899">
      <c r="A1899" s="0" t="inlineStr">
        <is>
          <t>[성내동]</t>
        </is>
      </c>
      <c r="B1899" s="0" t="n">
        <v>13895</v>
      </c>
      <c r="C1899" s="0" t="n">
        <v>2</v>
      </c>
      <c r="D1899" s="0" t="inlineStr">
        <is>
          <t>샤인빌</t>
        </is>
      </c>
      <c r="E1899" s="0" t="inlineStr">
        <is>
          <t>2003.10.</t>
        </is>
      </c>
      <c r="F1899" s="0" t="n">
        <v>25</v>
      </c>
      <c r="G1899" s="0" t="n">
        <v>27.43</v>
      </c>
      <c r="H1899" s="0" t="n">
        <v>90.7</v>
      </c>
      <c r="I1899" s="0" t="n">
        <v>24.23</v>
      </c>
      <c r="J1899" s="0" t="n">
        <v>80.12</v>
      </c>
      <c r="K1899" s="0" t="n">
        <v>1</v>
      </c>
      <c r="T1899" s="0" t="n">
        <v>3</v>
      </c>
      <c r="U1899" s="0" t="n">
        <v>1</v>
      </c>
      <c r="V1899" s="0" t="inlineStr">
        <is>
          <t>계단식</t>
        </is>
      </c>
      <c r="W1899" s="0" t="n">
        <v>90</v>
      </c>
      <c r="X1899" s="0" t="n">
        <v>7</v>
      </c>
      <c r="Y1899" s="0" t="n">
        <v>6</v>
      </c>
      <c r="Z1899" s="0" t="inlineStr">
        <is>
          <t>https://new.land.naver.com/complexes/13895?tab=detail&amp;rf=Y</t>
        </is>
      </c>
      <c r="AA1899" s="0" t="inlineStr">
        <is>
          <t>서울시 강동구 성내동 382-1</t>
        </is>
      </c>
      <c r="AB1899" s="0" t="inlineStr">
        <is>
          <t>서울시</t>
        </is>
      </c>
      <c r="AC1899" s="0" t="inlineStr">
        <is>
          <t>강동구</t>
        </is>
      </c>
      <c r="AD1899" s="0" t="inlineStr">
        <is>
          <t>성내동</t>
        </is>
      </c>
      <c r="AG1899" s="0" t="inlineStr">
        <is>
          <t>서울시 강동구 천호대로174길 36</t>
        </is>
      </c>
      <c r="AH1899" s="0" t="n">
        <v>0</v>
      </c>
      <c r="AI1899" s="0" t="n">
        <v>0</v>
      </c>
      <c r="AJ1899" s="0" t="n">
        <v>0</v>
      </c>
      <c r="AK1899" s="0" t="n">
        <v>27</v>
      </c>
      <c r="AL1899" s="0" t="n">
        <v>1.08</v>
      </c>
    </row>
    <row r="1900">
      <c r="A1900" s="0" t="inlineStr">
        <is>
          <t>[성내동]</t>
        </is>
      </c>
      <c r="B1900" s="0" t="n">
        <v>13895</v>
      </c>
      <c r="C1900" s="0" t="n">
        <v>3</v>
      </c>
      <c r="D1900" s="0" t="inlineStr">
        <is>
          <t>샤인빌</t>
        </is>
      </c>
      <c r="E1900" s="0" t="inlineStr">
        <is>
          <t>2003.10.</t>
        </is>
      </c>
      <c r="F1900" s="0" t="n">
        <v>25</v>
      </c>
      <c r="G1900" s="0" t="n">
        <v>28.95</v>
      </c>
      <c r="H1900" s="0" t="n">
        <v>95.72</v>
      </c>
      <c r="I1900" s="0" t="n">
        <v>25.57</v>
      </c>
      <c r="J1900" s="0" t="n">
        <v>84.56</v>
      </c>
      <c r="K1900" s="0" t="n">
        <v>22</v>
      </c>
      <c r="T1900" s="0" t="n">
        <v>3</v>
      </c>
      <c r="U1900" s="0" t="n">
        <v>2</v>
      </c>
      <c r="V1900" s="0" t="inlineStr">
        <is>
          <t>계단식</t>
        </is>
      </c>
      <c r="W1900" s="0" t="n">
        <v>95</v>
      </c>
      <c r="X1900" s="0" t="n">
        <v>7</v>
      </c>
      <c r="Y1900" s="0" t="n">
        <v>6</v>
      </c>
      <c r="Z1900" s="0" t="inlineStr">
        <is>
          <t>https://new.land.naver.com/complexes/13895?tab=detail&amp;rf=Y</t>
        </is>
      </c>
      <c r="AA1900" s="0" t="inlineStr">
        <is>
          <t>서울시 강동구 성내동 382-1</t>
        </is>
      </c>
      <c r="AB1900" s="0" t="inlineStr">
        <is>
          <t>서울시</t>
        </is>
      </c>
      <c r="AC1900" s="0" t="inlineStr">
        <is>
          <t>강동구</t>
        </is>
      </c>
      <c r="AD1900" s="0" t="inlineStr">
        <is>
          <t>성내동</t>
        </is>
      </c>
      <c r="AG1900" s="0" t="inlineStr">
        <is>
          <t>서울시 강동구 천호대로174길 36</t>
        </is>
      </c>
      <c r="AH1900" s="0" t="n">
        <v>0</v>
      </c>
      <c r="AI1900" s="0" t="n">
        <v>0</v>
      </c>
      <c r="AJ1900" s="0" t="n">
        <v>0</v>
      </c>
      <c r="AK1900" s="0" t="n">
        <v>27</v>
      </c>
      <c r="AL1900" s="0" t="n">
        <v>1.08</v>
      </c>
    </row>
    <row r="1901">
      <c r="A1901" s="0" t="inlineStr">
        <is>
          <t>[성내동]</t>
        </is>
      </c>
      <c r="B1901" s="0" t="n">
        <v>13895</v>
      </c>
      <c r="C1901" s="0" t="n">
        <v>4</v>
      </c>
      <c r="D1901" s="0" t="inlineStr">
        <is>
          <t>샤인빌</t>
        </is>
      </c>
      <c r="E1901" s="0" t="inlineStr">
        <is>
          <t>2003.10.</t>
        </is>
      </c>
      <c r="F1901" s="0" t="n">
        <v>25</v>
      </c>
      <c r="G1901" s="0" t="n">
        <v>33.67</v>
      </c>
      <c r="H1901" s="0" t="n">
        <v>111.32</v>
      </c>
      <c r="I1901" s="0" t="n">
        <v>29.74</v>
      </c>
      <c r="J1901" s="0" t="n">
        <v>98.31999999999999</v>
      </c>
      <c r="K1901" s="0" t="n">
        <v>1</v>
      </c>
      <c r="T1901" s="0" t="n">
        <v>3</v>
      </c>
      <c r="U1901" s="0" t="n">
        <v>2</v>
      </c>
      <c r="V1901" s="0" t="inlineStr">
        <is>
          <t>계단식</t>
        </is>
      </c>
      <c r="W1901" s="0" t="n">
        <v>111</v>
      </c>
      <c r="X1901" s="0" t="n">
        <v>7</v>
      </c>
      <c r="Y1901" s="0" t="n">
        <v>6</v>
      </c>
      <c r="Z1901" s="0" t="inlineStr">
        <is>
          <t>https://new.land.naver.com/complexes/13895?tab=detail&amp;rf=Y</t>
        </is>
      </c>
      <c r="AA1901" s="0" t="inlineStr">
        <is>
          <t>서울시 강동구 성내동 382-1</t>
        </is>
      </c>
      <c r="AB1901" s="0" t="inlineStr">
        <is>
          <t>서울시</t>
        </is>
      </c>
      <c r="AC1901" s="0" t="inlineStr">
        <is>
          <t>강동구</t>
        </is>
      </c>
      <c r="AD1901" s="0" t="inlineStr">
        <is>
          <t>성내동</t>
        </is>
      </c>
      <c r="AG1901" s="0" t="inlineStr">
        <is>
          <t>서울시 강동구 천호대로174길 36</t>
        </is>
      </c>
      <c r="AH1901" s="0" t="n">
        <v>0</v>
      </c>
      <c r="AI1901" s="0" t="n">
        <v>0</v>
      </c>
      <c r="AJ1901" s="0" t="n">
        <v>0</v>
      </c>
      <c r="AK1901" s="0" t="n">
        <v>27</v>
      </c>
      <c r="AL1901" s="0" t="n">
        <v>1.08</v>
      </c>
    </row>
    <row r="1902">
      <c r="A1902" s="0" t="inlineStr">
        <is>
          <t>[성내동]</t>
        </is>
      </c>
      <c r="B1902" s="0" t="n">
        <v>3320</v>
      </c>
      <c r="C1902" s="0" t="n">
        <v>1</v>
      </c>
      <c r="D1902" s="0" t="inlineStr">
        <is>
          <t>영풍마드레빌</t>
        </is>
      </c>
      <c r="E1902" s="0" t="inlineStr">
        <is>
          <t>2002.07.</t>
        </is>
      </c>
      <c r="F1902" s="0" t="n">
        <v>132</v>
      </c>
      <c r="G1902" s="0" t="n">
        <v>22.4</v>
      </c>
      <c r="H1902" s="0" t="n">
        <v>74.05</v>
      </c>
      <c r="I1902" s="0" t="n">
        <v>16.68</v>
      </c>
      <c r="J1902" s="0" t="n">
        <v>55.17</v>
      </c>
      <c r="K1902" s="0" t="n">
        <v>10</v>
      </c>
      <c r="T1902" s="0" t="n">
        <v>3</v>
      </c>
      <c r="U1902" s="0" t="n">
        <v>2</v>
      </c>
      <c r="V1902" s="0" t="inlineStr">
        <is>
          <t>계단식</t>
        </is>
      </c>
      <c r="W1902" s="0" t="inlineStr">
        <is>
          <t>74A</t>
        </is>
      </c>
      <c r="X1902" s="0" t="n">
        <v>14</v>
      </c>
      <c r="Y1902" s="0" t="n">
        <v>10</v>
      </c>
      <c r="Z1902" s="0" t="inlineStr">
        <is>
          <t>https://new.land.naver.com/complexes/3320?tab=detail&amp;rf=Y</t>
        </is>
      </c>
      <c r="AA1902" s="0" t="inlineStr">
        <is>
          <t>서울시 강동구 성내동 593</t>
        </is>
      </c>
      <c r="AB1902" s="0" t="inlineStr">
        <is>
          <t>서울시</t>
        </is>
      </c>
      <c r="AC1902" s="0" t="inlineStr">
        <is>
          <t>강동구</t>
        </is>
      </c>
      <c r="AD1902" s="0" t="inlineStr">
        <is>
          <t>성내동</t>
        </is>
      </c>
      <c r="AG1902" s="0" t="inlineStr">
        <is>
          <t>서울시 강동구 성내로6다길 15</t>
        </is>
      </c>
      <c r="AH1902" s="0" t="n">
        <v>0</v>
      </c>
      <c r="AI1902" s="0" t="n">
        <v>299</v>
      </c>
      <c r="AJ1902" s="0" t="n">
        <v>25</v>
      </c>
      <c r="AK1902" s="0" t="n">
        <v>135</v>
      </c>
      <c r="AL1902" s="0" t="n">
        <v>1.02</v>
      </c>
    </row>
    <row r="1903">
      <c r="A1903" s="0" t="inlineStr">
        <is>
          <t>[성내동]</t>
        </is>
      </c>
      <c r="B1903" s="0" t="n">
        <v>3320</v>
      </c>
      <c r="C1903" s="0" t="n">
        <v>2</v>
      </c>
      <c r="D1903" s="0" t="inlineStr">
        <is>
          <t>영풍마드레빌</t>
        </is>
      </c>
      <c r="E1903" s="0" t="inlineStr">
        <is>
          <t>2002.07.</t>
        </is>
      </c>
      <c r="F1903" s="0" t="n">
        <v>132</v>
      </c>
      <c r="G1903" s="0" t="n">
        <v>22.43</v>
      </c>
      <c r="H1903" s="0" t="n">
        <v>74.17</v>
      </c>
      <c r="I1903" s="0" t="n">
        <v>16.61</v>
      </c>
      <c r="J1903" s="0" t="n">
        <v>54.93</v>
      </c>
      <c r="K1903" s="0" t="n">
        <v>10</v>
      </c>
      <c r="T1903" s="0" t="n">
        <v>3</v>
      </c>
      <c r="U1903" s="0" t="n">
        <v>2</v>
      </c>
      <c r="V1903" s="0" t="inlineStr">
        <is>
          <t>계단식</t>
        </is>
      </c>
      <c r="W1903" s="0" t="inlineStr">
        <is>
          <t>74B</t>
        </is>
      </c>
      <c r="X1903" s="0" t="n">
        <v>14</v>
      </c>
      <c r="Y1903" s="0" t="n">
        <v>10</v>
      </c>
      <c r="Z1903" s="0" t="inlineStr">
        <is>
          <t>https://new.land.naver.com/complexes/3320?tab=detail&amp;rf=Y</t>
        </is>
      </c>
      <c r="AA1903" s="0" t="inlineStr">
        <is>
          <t>서울시 강동구 성내동 593</t>
        </is>
      </c>
      <c r="AB1903" s="0" t="inlineStr">
        <is>
          <t>서울시</t>
        </is>
      </c>
      <c r="AC1903" s="0" t="inlineStr">
        <is>
          <t>강동구</t>
        </is>
      </c>
      <c r="AD1903" s="0" t="inlineStr">
        <is>
          <t>성내동</t>
        </is>
      </c>
      <c r="AG1903" s="0" t="inlineStr">
        <is>
          <t>서울시 강동구 성내로6다길 15</t>
        </is>
      </c>
      <c r="AH1903" s="0" t="n">
        <v>0</v>
      </c>
      <c r="AI1903" s="0" t="n">
        <v>299</v>
      </c>
      <c r="AJ1903" s="0" t="n">
        <v>25</v>
      </c>
      <c r="AK1903" s="0" t="n">
        <v>135</v>
      </c>
      <c r="AL1903" s="0" t="n">
        <v>1.02</v>
      </c>
    </row>
    <row r="1904">
      <c r="A1904" s="0" t="inlineStr">
        <is>
          <t>[성내동]</t>
        </is>
      </c>
      <c r="B1904" s="0" t="n">
        <v>3320</v>
      </c>
      <c r="C1904" s="0" t="n">
        <v>3</v>
      </c>
      <c r="D1904" s="0" t="inlineStr">
        <is>
          <t>영풍마드레빌</t>
        </is>
      </c>
      <c r="E1904" s="0" t="inlineStr">
        <is>
          <t>2002.07.</t>
        </is>
      </c>
      <c r="F1904" s="0" t="n">
        <v>132</v>
      </c>
      <c r="G1904" s="0" t="n">
        <v>28.44</v>
      </c>
      <c r="H1904" s="0" t="n">
        <v>94.03</v>
      </c>
      <c r="I1904" s="0" t="n">
        <v>22.49</v>
      </c>
      <c r="J1904" s="0" t="n">
        <v>74.36</v>
      </c>
      <c r="K1904" s="0" t="n">
        <v>18</v>
      </c>
      <c r="T1904" s="0" t="n">
        <v>3</v>
      </c>
      <c r="U1904" s="0" t="n">
        <v>2</v>
      </c>
      <c r="V1904" s="0" t="inlineStr">
        <is>
          <t>계단식</t>
        </is>
      </c>
      <c r="W1904" s="0" t="inlineStr">
        <is>
          <t>94A</t>
        </is>
      </c>
      <c r="X1904" s="0" t="n">
        <v>14</v>
      </c>
      <c r="Y1904" s="0" t="n">
        <v>10</v>
      </c>
      <c r="Z1904" s="0" t="inlineStr">
        <is>
          <t>https://new.land.naver.com/complexes/3320?tab=detail&amp;rf=Y</t>
        </is>
      </c>
      <c r="AA1904" s="0" t="inlineStr">
        <is>
          <t>서울시 강동구 성내동 593</t>
        </is>
      </c>
      <c r="AB1904" s="0" t="inlineStr">
        <is>
          <t>서울시</t>
        </is>
      </c>
      <c r="AC1904" s="0" t="inlineStr">
        <is>
          <t>강동구</t>
        </is>
      </c>
      <c r="AD1904" s="0" t="inlineStr">
        <is>
          <t>성내동</t>
        </is>
      </c>
      <c r="AG1904" s="0" t="inlineStr">
        <is>
          <t>서울시 강동구 성내로6다길 15</t>
        </is>
      </c>
      <c r="AH1904" s="0" t="n">
        <v>0</v>
      </c>
      <c r="AI1904" s="0" t="n">
        <v>299</v>
      </c>
      <c r="AJ1904" s="0" t="n">
        <v>25</v>
      </c>
      <c r="AK1904" s="0" t="n">
        <v>135</v>
      </c>
      <c r="AL1904" s="0" t="n">
        <v>1.02</v>
      </c>
    </row>
    <row r="1905">
      <c r="A1905" s="0" t="inlineStr">
        <is>
          <t>[성내동]</t>
        </is>
      </c>
      <c r="B1905" s="0" t="n">
        <v>3320</v>
      </c>
      <c r="C1905" s="0" t="n">
        <v>4</v>
      </c>
      <c r="D1905" s="0" t="inlineStr">
        <is>
          <t>영풍마드레빌</t>
        </is>
      </c>
      <c r="E1905" s="0" t="inlineStr">
        <is>
          <t>2002.07.</t>
        </is>
      </c>
      <c r="F1905" s="0" t="n">
        <v>132</v>
      </c>
      <c r="G1905" s="0" t="n">
        <v>28.44</v>
      </c>
      <c r="H1905" s="0" t="n">
        <v>94.04000000000001</v>
      </c>
      <c r="I1905" s="0" t="n">
        <v>22.39</v>
      </c>
      <c r="J1905" s="0" t="n">
        <v>74.04000000000001</v>
      </c>
      <c r="K1905" s="0" t="n">
        <v>10</v>
      </c>
      <c r="T1905" s="0" t="n">
        <v>3</v>
      </c>
      <c r="U1905" s="0" t="n">
        <v>2</v>
      </c>
      <c r="V1905" s="0" t="inlineStr">
        <is>
          <t>계단식</t>
        </is>
      </c>
      <c r="W1905" s="0" t="inlineStr">
        <is>
          <t>94B</t>
        </is>
      </c>
      <c r="X1905" s="0" t="n">
        <v>14</v>
      </c>
      <c r="Y1905" s="0" t="n">
        <v>10</v>
      </c>
      <c r="Z1905" s="0" t="inlineStr">
        <is>
          <t>https://new.land.naver.com/complexes/3320?tab=detail&amp;rf=Y</t>
        </is>
      </c>
      <c r="AA1905" s="0" t="inlineStr">
        <is>
          <t>서울시 강동구 성내동 593</t>
        </is>
      </c>
      <c r="AB1905" s="0" t="inlineStr">
        <is>
          <t>서울시</t>
        </is>
      </c>
      <c r="AC1905" s="0" t="inlineStr">
        <is>
          <t>강동구</t>
        </is>
      </c>
      <c r="AD1905" s="0" t="inlineStr">
        <is>
          <t>성내동</t>
        </is>
      </c>
      <c r="AG1905" s="0" t="inlineStr">
        <is>
          <t>서울시 강동구 성내로6다길 15</t>
        </is>
      </c>
      <c r="AH1905" s="0" t="n">
        <v>0</v>
      </c>
      <c r="AI1905" s="0" t="n">
        <v>299</v>
      </c>
      <c r="AJ1905" s="0" t="n">
        <v>25</v>
      </c>
      <c r="AK1905" s="0" t="n">
        <v>135</v>
      </c>
      <c r="AL1905" s="0" t="n">
        <v>1.02</v>
      </c>
    </row>
    <row r="1906">
      <c r="A1906" s="0" t="inlineStr">
        <is>
          <t>[성내동]</t>
        </is>
      </c>
      <c r="B1906" s="0" t="n">
        <v>3320</v>
      </c>
      <c r="C1906" s="0" t="n">
        <v>5</v>
      </c>
      <c r="D1906" s="0" t="inlineStr">
        <is>
          <t>영풍마드레빌</t>
        </is>
      </c>
      <c r="E1906" s="0" t="inlineStr">
        <is>
          <t>2002.07.</t>
        </is>
      </c>
      <c r="F1906" s="0" t="n">
        <v>132</v>
      </c>
      <c r="G1906" s="0" t="n">
        <v>30</v>
      </c>
      <c r="H1906" s="0" t="n">
        <v>99.18000000000001</v>
      </c>
      <c r="I1906" s="0" t="n">
        <v>24.29</v>
      </c>
      <c r="J1906" s="0" t="n">
        <v>80.31</v>
      </c>
      <c r="K1906" s="0" t="n">
        <v>84</v>
      </c>
      <c r="T1906" s="0" t="n">
        <v>3</v>
      </c>
      <c r="U1906" s="0" t="n">
        <v>2</v>
      </c>
      <c r="V1906" s="0" t="inlineStr">
        <is>
          <t>계단식</t>
        </is>
      </c>
      <c r="W1906" s="0" t="inlineStr">
        <is>
          <t>99A</t>
        </is>
      </c>
      <c r="X1906" s="0" t="n">
        <v>14</v>
      </c>
      <c r="Y1906" s="0" t="n">
        <v>10</v>
      </c>
      <c r="Z1906" s="0" t="inlineStr">
        <is>
          <t>https://new.land.naver.com/complexes/3320?tab=detail&amp;rf=Y</t>
        </is>
      </c>
      <c r="AA1906" s="0" t="inlineStr">
        <is>
          <t>서울시 강동구 성내동 593</t>
        </is>
      </c>
      <c r="AB1906" s="0" t="inlineStr">
        <is>
          <t>서울시</t>
        </is>
      </c>
      <c r="AC1906" s="0" t="inlineStr">
        <is>
          <t>강동구</t>
        </is>
      </c>
      <c r="AD1906" s="0" t="inlineStr">
        <is>
          <t>성내동</t>
        </is>
      </c>
      <c r="AG1906" s="0" t="inlineStr">
        <is>
          <t>서울시 강동구 성내로6다길 15</t>
        </is>
      </c>
      <c r="AH1906" s="0" t="n">
        <v>0</v>
      </c>
      <c r="AI1906" s="0" t="n">
        <v>299</v>
      </c>
      <c r="AJ1906" s="0" t="n">
        <v>25</v>
      </c>
      <c r="AK1906" s="0" t="n">
        <v>135</v>
      </c>
      <c r="AL1906" s="0" t="n">
        <v>1.02</v>
      </c>
    </row>
    <row r="1907">
      <c r="A1907" s="0" t="inlineStr">
        <is>
          <t>[성내동]</t>
        </is>
      </c>
      <c r="B1907" s="0" t="n">
        <v>140813</v>
      </c>
      <c r="C1907" s="0" t="n">
        <v>1</v>
      </c>
      <c r="D1907" s="0" t="inlineStr">
        <is>
          <t>에스아이팰리스센트럴성내(도시형)</t>
        </is>
      </c>
      <c r="E1907" s="0" t="inlineStr">
        <is>
          <t>2021.04.</t>
        </is>
      </c>
      <c r="F1907" s="0" t="n">
        <v>82</v>
      </c>
      <c r="G1907" s="0" t="n">
        <v>9.449999999999999</v>
      </c>
      <c r="H1907" s="0" t="n">
        <v>31.25</v>
      </c>
      <c r="I1907" s="0" t="n">
        <v>4.23</v>
      </c>
      <c r="J1907" s="0" t="n">
        <v>14</v>
      </c>
      <c r="K1907" s="0" t="n">
        <v>26</v>
      </c>
      <c r="T1907" s="0" t="n">
        <v>1</v>
      </c>
      <c r="U1907" s="0" t="n">
        <v>1</v>
      </c>
      <c r="V1907" s="0" t="inlineStr">
        <is>
          <t>계단식</t>
        </is>
      </c>
      <c r="W1907" s="0" t="inlineStr">
        <is>
          <t>31A</t>
        </is>
      </c>
      <c r="X1907" s="0" t="n">
        <v>15</v>
      </c>
      <c r="Y1907" s="0" t="n">
        <v>13</v>
      </c>
      <c r="Z1907" s="0" t="inlineStr">
        <is>
          <t>https://new.land.naver.com/complexes/140813?tab=detail&amp;rf=Y</t>
        </is>
      </c>
      <c r="AA1907" s="0" t="inlineStr">
        <is>
          <t>서울시 강동구 성내동 548-4</t>
        </is>
      </c>
      <c r="AB1907" s="0" t="inlineStr">
        <is>
          <t>서울시</t>
        </is>
      </c>
      <c r="AC1907" s="0" t="inlineStr">
        <is>
          <t>강동구</t>
        </is>
      </c>
      <c r="AD1907" s="0" t="inlineStr">
        <is>
          <t>성내동</t>
        </is>
      </c>
      <c r="AG1907" s="0" t="inlineStr">
        <is>
          <t>서울시 강동구 성내로 64</t>
        </is>
      </c>
      <c r="AH1907" s="0" t="n">
        <v>0</v>
      </c>
      <c r="AI1907" s="0" t="n">
        <v>249</v>
      </c>
      <c r="AJ1907" s="0" t="n">
        <v>36</v>
      </c>
      <c r="AK1907" s="0" t="n">
        <v>41</v>
      </c>
      <c r="AL1907" s="0" t="n">
        <v>0.5</v>
      </c>
    </row>
    <row r="1908">
      <c r="A1908" s="0" t="inlineStr">
        <is>
          <t>[성내동]</t>
        </is>
      </c>
      <c r="B1908" s="0" t="n">
        <v>140813</v>
      </c>
      <c r="C1908" s="0" t="n">
        <v>2</v>
      </c>
      <c r="D1908" s="0" t="inlineStr">
        <is>
          <t>에스아이팰리스센트럴성내(도시형)</t>
        </is>
      </c>
      <c r="E1908" s="0" t="inlineStr">
        <is>
          <t>2021.04.</t>
        </is>
      </c>
      <c r="F1908" s="0" t="n">
        <v>82</v>
      </c>
      <c r="G1908" s="0" t="n">
        <v>9.380000000000001</v>
      </c>
      <c r="H1908" s="0" t="n">
        <v>31.01</v>
      </c>
      <c r="I1908" s="0" t="n">
        <v>4.24</v>
      </c>
      <c r="J1908" s="0" t="n">
        <v>14.04</v>
      </c>
      <c r="K1908" s="0" t="n">
        <v>26</v>
      </c>
      <c r="T1908" s="0" t="n">
        <v>1</v>
      </c>
      <c r="U1908" s="0" t="n">
        <v>1</v>
      </c>
      <c r="V1908" s="0" t="inlineStr">
        <is>
          <t>계단식</t>
        </is>
      </c>
      <c r="W1908" s="0" t="inlineStr">
        <is>
          <t>31B</t>
        </is>
      </c>
      <c r="X1908" s="0" t="n">
        <v>15</v>
      </c>
      <c r="Y1908" s="0" t="n">
        <v>13</v>
      </c>
      <c r="Z1908" s="0" t="inlineStr">
        <is>
          <t>https://new.land.naver.com/complexes/140813?tab=detail&amp;rf=Y</t>
        </is>
      </c>
      <c r="AA1908" s="0" t="inlineStr">
        <is>
          <t>서울시 강동구 성내동 548-4</t>
        </is>
      </c>
      <c r="AB1908" s="0" t="inlineStr">
        <is>
          <t>서울시</t>
        </is>
      </c>
      <c r="AC1908" s="0" t="inlineStr">
        <is>
          <t>강동구</t>
        </is>
      </c>
      <c r="AD1908" s="0" t="inlineStr">
        <is>
          <t>성내동</t>
        </is>
      </c>
      <c r="AG1908" s="0" t="inlineStr">
        <is>
          <t>서울시 강동구 성내로 64</t>
        </is>
      </c>
      <c r="AH1908" s="0" t="n">
        <v>0</v>
      </c>
      <c r="AI1908" s="0" t="n">
        <v>249</v>
      </c>
      <c r="AJ1908" s="0" t="n">
        <v>36</v>
      </c>
      <c r="AK1908" s="0" t="n">
        <v>41</v>
      </c>
      <c r="AL1908" s="0" t="n">
        <v>0.5</v>
      </c>
    </row>
    <row r="1909">
      <c r="A1909" s="0" t="inlineStr">
        <is>
          <t>[성내동]</t>
        </is>
      </c>
      <c r="B1909" s="0" t="n">
        <v>140813</v>
      </c>
      <c r="C1909" s="0" t="n">
        <v>3</v>
      </c>
      <c r="D1909" s="0" t="inlineStr">
        <is>
          <t>에스아이팰리스센트럴성내(도시형)</t>
        </is>
      </c>
      <c r="E1909" s="0" t="inlineStr">
        <is>
          <t>2021.04.</t>
        </is>
      </c>
      <c r="F1909" s="0" t="n">
        <v>82</v>
      </c>
      <c r="G1909" s="0" t="n">
        <v>9.43</v>
      </c>
      <c r="H1909" s="0" t="n">
        <v>31.2</v>
      </c>
      <c r="I1909" s="0" t="n">
        <v>4.25</v>
      </c>
      <c r="J1909" s="0" t="n">
        <v>14.06</v>
      </c>
      <c r="K1909" s="0" t="n">
        <v>26</v>
      </c>
      <c r="T1909" s="0" t="n">
        <v>1</v>
      </c>
      <c r="U1909" s="0" t="n">
        <v>1</v>
      </c>
      <c r="V1909" s="0" t="inlineStr">
        <is>
          <t>계단식</t>
        </is>
      </c>
      <c r="W1909" s="0" t="inlineStr">
        <is>
          <t>31C</t>
        </is>
      </c>
      <c r="X1909" s="0" t="n">
        <v>15</v>
      </c>
      <c r="Y1909" s="0" t="n">
        <v>13</v>
      </c>
      <c r="Z1909" s="0" t="inlineStr">
        <is>
          <t>https://new.land.naver.com/complexes/140813?tab=detail&amp;rf=Y</t>
        </is>
      </c>
      <c r="AA1909" s="0" t="inlineStr">
        <is>
          <t>서울시 강동구 성내동 548-4</t>
        </is>
      </c>
      <c r="AB1909" s="0" t="inlineStr">
        <is>
          <t>서울시</t>
        </is>
      </c>
      <c r="AC1909" s="0" t="inlineStr">
        <is>
          <t>강동구</t>
        </is>
      </c>
      <c r="AD1909" s="0" t="inlineStr">
        <is>
          <t>성내동</t>
        </is>
      </c>
      <c r="AG1909" s="0" t="inlineStr">
        <is>
          <t>서울시 강동구 성내로 64</t>
        </is>
      </c>
      <c r="AH1909" s="0" t="n">
        <v>0</v>
      </c>
      <c r="AI1909" s="0" t="n">
        <v>249</v>
      </c>
      <c r="AJ1909" s="0" t="n">
        <v>36</v>
      </c>
      <c r="AK1909" s="0" t="n">
        <v>41</v>
      </c>
      <c r="AL1909" s="0" t="n">
        <v>0.5</v>
      </c>
    </row>
    <row r="1910">
      <c r="A1910" s="0" t="inlineStr">
        <is>
          <t>[성내동]</t>
        </is>
      </c>
      <c r="B1910" s="0" t="n">
        <v>140813</v>
      </c>
      <c r="C1910" s="0" t="n">
        <v>4</v>
      </c>
      <c r="D1910" s="0" t="inlineStr">
        <is>
          <t>에스아이팰리스센트럴성내(도시형)</t>
        </is>
      </c>
      <c r="E1910" s="0" t="inlineStr">
        <is>
          <t>2021.04.</t>
        </is>
      </c>
      <c r="F1910" s="0" t="n">
        <v>82</v>
      </c>
      <c r="G1910" s="0" t="n">
        <v>9.76</v>
      </c>
      <c r="H1910" s="0" t="n">
        <v>32.29</v>
      </c>
      <c r="I1910" s="0" t="n">
        <v>4.25</v>
      </c>
      <c r="J1910" s="0" t="n">
        <v>14.05</v>
      </c>
      <c r="K1910" s="0" t="n">
        <v>1</v>
      </c>
      <c r="T1910" s="0" t="n">
        <v>1</v>
      </c>
      <c r="U1910" s="0" t="n">
        <v>1</v>
      </c>
      <c r="V1910" s="0" t="inlineStr">
        <is>
          <t>계단식</t>
        </is>
      </c>
      <c r="W1910" s="0" t="inlineStr">
        <is>
          <t>32A</t>
        </is>
      </c>
      <c r="X1910" s="0" t="n">
        <v>15</v>
      </c>
      <c r="Y1910" s="0" t="n">
        <v>13</v>
      </c>
      <c r="Z1910" s="0" t="inlineStr">
        <is>
          <t>https://new.land.naver.com/complexes/140813?tab=detail&amp;rf=Y</t>
        </is>
      </c>
      <c r="AA1910" s="0" t="inlineStr">
        <is>
          <t>서울시 강동구 성내동 548-4</t>
        </is>
      </c>
      <c r="AB1910" s="0" t="inlineStr">
        <is>
          <t>서울시</t>
        </is>
      </c>
      <c r="AC1910" s="0" t="inlineStr">
        <is>
          <t>강동구</t>
        </is>
      </c>
      <c r="AD1910" s="0" t="inlineStr">
        <is>
          <t>성내동</t>
        </is>
      </c>
      <c r="AG1910" s="0" t="inlineStr">
        <is>
          <t>서울시 강동구 성내로 64</t>
        </is>
      </c>
      <c r="AH1910" s="0" t="n">
        <v>0</v>
      </c>
      <c r="AI1910" s="0" t="n">
        <v>249</v>
      </c>
      <c r="AJ1910" s="0" t="n">
        <v>36</v>
      </c>
      <c r="AK1910" s="0" t="n">
        <v>41</v>
      </c>
      <c r="AL1910" s="0" t="n">
        <v>0.5</v>
      </c>
    </row>
    <row r="1911">
      <c r="A1911" s="0" t="inlineStr">
        <is>
          <t>[성내동]</t>
        </is>
      </c>
      <c r="B1911" s="0" t="n">
        <v>140813</v>
      </c>
      <c r="C1911" s="0" t="n">
        <v>5</v>
      </c>
      <c r="D1911" s="0" t="inlineStr">
        <is>
          <t>에스아이팰리스센트럴성내(도시형)</t>
        </is>
      </c>
      <c r="E1911" s="0" t="inlineStr">
        <is>
          <t>2021.04.</t>
        </is>
      </c>
      <c r="F1911" s="0" t="n">
        <v>82</v>
      </c>
      <c r="G1911" s="0" t="n">
        <v>10.32</v>
      </c>
      <c r="H1911" s="0" t="n">
        <v>34.14</v>
      </c>
      <c r="I1911" s="0" t="n">
        <v>4.5</v>
      </c>
      <c r="J1911" s="0" t="n">
        <v>14.89</v>
      </c>
      <c r="K1911" s="0" t="n">
        <v>1</v>
      </c>
      <c r="T1911" s="0" t="n">
        <v>1</v>
      </c>
      <c r="U1911" s="0" t="n">
        <v>1</v>
      </c>
      <c r="V1911" s="0" t="inlineStr">
        <is>
          <t>계단식</t>
        </is>
      </c>
      <c r="W1911" s="0" t="inlineStr">
        <is>
          <t>34B</t>
        </is>
      </c>
      <c r="X1911" s="0" t="n">
        <v>15</v>
      </c>
      <c r="Y1911" s="0" t="n">
        <v>13</v>
      </c>
      <c r="Z1911" s="0" t="inlineStr">
        <is>
          <t>https://new.land.naver.com/complexes/140813?tab=detail&amp;rf=Y</t>
        </is>
      </c>
      <c r="AA1911" s="0" t="inlineStr">
        <is>
          <t>서울시 강동구 성내동 548-4</t>
        </is>
      </c>
      <c r="AB1911" s="0" t="inlineStr">
        <is>
          <t>서울시</t>
        </is>
      </c>
      <c r="AC1911" s="0" t="inlineStr">
        <is>
          <t>강동구</t>
        </is>
      </c>
      <c r="AD1911" s="0" t="inlineStr">
        <is>
          <t>성내동</t>
        </is>
      </c>
      <c r="AG1911" s="0" t="inlineStr">
        <is>
          <t>서울시 강동구 성내로 64</t>
        </is>
      </c>
      <c r="AH1911" s="0" t="n">
        <v>0</v>
      </c>
      <c r="AI1911" s="0" t="n">
        <v>249</v>
      </c>
      <c r="AJ1911" s="0" t="n">
        <v>36</v>
      </c>
      <c r="AK1911" s="0" t="n">
        <v>41</v>
      </c>
      <c r="AL1911" s="0" t="n">
        <v>0.5</v>
      </c>
    </row>
    <row r="1912">
      <c r="A1912" s="0" t="inlineStr">
        <is>
          <t>[성내동]</t>
        </is>
      </c>
      <c r="B1912" s="0" t="n">
        <v>140813</v>
      </c>
      <c r="C1912" s="0" t="n">
        <v>6</v>
      </c>
      <c r="D1912" s="0" t="inlineStr">
        <is>
          <t>에스아이팰리스센트럴성내(도시형)</t>
        </is>
      </c>
      <c r="E1912" s="0" t="inlineStr">
        <is>
          <t>2021.04.</t>
        </is>
      </c>
      <c r="F1912" s="0" t="n">
        <v>82</v>
      </c>
      <c r="G1912" s="0" t="n">
        <v>12.77</v>
      </c>
      <c r="H1912" s="0" t="n">
        <v>42.24</v>
      </c>
      <c r="I1912" s="0" t="n">
        <v>5.74</v>
      </c>
      <c r="J1912" s="0" t="n">
        <v>18.98</v>
      </c>
      <c r="K1912" s="0" t="n">
        <v>1</v>
      </c>
      <c r="T1912" s="0" t="n">
        <v>1</v>
      </c>
      <c r="U1912" s="0" t="n">
        <v>1</v>
      </c>
      <c r="V1912" s="0" t="inlineStr">
        <is>
          <t>계단식</t>
        </is>
      </c>
      <c r="W1912" s="0" t="inlineStr">
        <is>
          <t>42A</t>
        </is>
      </c>
      <c r="X1912" s="0" t="n">
        <v>15</v>
      </c>
      <c r="Y1912" s="0" t="n">
        <v>13</v>
      </c>
      <c r="Z1912" s="0" t="inlineStr">
        <is>
          <t>https://new.land.naver.com/complexes/140813?tab=detail&amp;rf=Y</t>
        </is>
      </c>
      <c r="AA1912" s="0" t="inlineStr">
        <is>
          <t>서울시 강동구 성내동 548-4</t>
        </is>
      </c>
      <c r="AB1912" s="0" t="inlineStr">
        <is>
          <t>서울시</t>
        </is>
      </c>
      <c r="AC1912" s="0" t="inlineStr">
        <is>
          <t>강동구</t>
        </is>
      </c>
      <c r="AD1912" s="0" t="inlineStr">
        <is>
          <t>성내동</t>
        </is>
      </c>
      <c r="AG1912" s="0" t="inlineStr">
        <is>
          <t>서울시 강동구 성내로 64</t>
        </is>
      </c>
      <c r="AH1912" s="0" t="n">
        <v>0</v>
      </c>
      <c r="AI1912" s="0" t="n">
        <v>249</v>
      </c>
      <c r="AJ1912" s="0" t="n">
        <v>36</v>
      </c>
      <c r="AK1912" s="0" t="n">
        <v>41</v>
      </c>
      <c r="AL1912" s="0" t="n">
        <v>0.5</v>
      </c>
    </row>
    <row r="1913">
      <c r="A1913" s="0" t="inlineStr">
        <is>
          <t>[성내동]</t>
        </is>
      </c>
      <c r="B1913" s="0" t="n">
        <v>140813</v>
      </c>
      <c r="C1913" s="0" t="n">
        <v>7</v>
      </c>
      <c r="D1913" s="0" t="inlineStr">
        <is>
          <t>에스아이팰리스센트럴성내(도시형)</t>
        </is>
      </c>
      <c r="E1913" s="0" t="inlineStr">
        <is>
          <t>2021.04.</t>
        </is>
      </c>
      <c r="F1913" s="0" t="n">
        <v>82</v>
      </c>
      <c r="G1913" s="0" t="n">
        <v>13.32</v>
      </c>
      <c r="H1913" s="0" t="n">
        <v>44.04</v>
      </c>
      <c r="I1913" s="0" t="n">
        <v>5.99</v>
      </c>
      <c r="J1913" s="0" t="n">
        <v>19.82</v>
      </c>
      <c r="K1913" s="0" t="n">
        <v>1</v>
      </c>
      <c r="T1913" s="0" t="n">
        <v>1</v>
      </c>
      <c r="U1913" s="0" t="n">
        <v>1</v>
      </c>
      <c r="V1913" s="0" t="inlineStr">
        <is>
          <t>계단식</t>
        </is>
      </c>
      <c r="W1913" s="0" t="inlineStr">
        <is>
          <t>44B</t>
        </is>
      </c>
      <c r="X1913" s="0" t="n">
        <v>15</v>
      </c>
      <c r="Y1913" s="0" t="n">
        <v>13</v>
      </c>
      <c r="Z1913" s="0" t="inlineStr">
        <is>
          <t>https://new.land.naver.com/complexes/140813?tab=detail&amp;rf=Y</t>
        </is>
      </c>
      <c r="AA1913" s="0" t="inlineStr">
        <is>
          <t>서울시 강동구 성내동 548-4</t>
        </is>
      </c>
      <c r="AB1913" s="0" t="inlineStr">
        <is>
          <t>서울시</t>
        </is>
      </c>
      <c r="AC1913" s="0" t="inlineStr">
        <is>
          <t>강동구</t>
        </is>
      </c>
      <c r="AD1913" s="0" t="inlineStr">
        <is>
          <t>성내동</t>
        </is>
      </c>
      <c r="AG1913" s="0" t="inlineStr">
        <is>
          <t>서울시 강동구 성내로 64</t>
        </is>
      </c>
      <c r="AH1913" s="0" t="n">
        <v>0</v>
      </c>
      <c r="AI1913" s="0" t="n">
        <v>249</v>
      </c>
      <c r="AJ1913" s="0" t="n">
        <v>36</v>
      </c>
      <c r="AK1913" s="0" t="n">
        <v>41</v>
      </c>
      <c r="AL1913" s="0" t="n">
        <v>0.5</v>
      </c>
    </row>
    <row r="1914">
      <c r="A1914" s="0" t="inlineStr">
        <is>
          <t>[성내동]</t>
        </is>
      </c>
      <c r="B1914" s="0" t="n">
        <v>3322</v>
      </c>
      <c r="C1914" s="0" t="n">
        <v>1</v>
      </c>
      <c r="D1914" s="0" t="inlineStr">
        <is>
          <t>코오롱2차</t>
        </is>
      </c>
      <c r="E1914" s="0" t="inlineStr">
        <is>
          <t>2002.12.</t>
        </is>
      </c>
      <c r="F1914" s="0" t="n">
        <v>78</v>
      </c>
      <c r="G1914" s="0" t="n">
        <v>33.8</v>
      </c>
      <c r="H1914" s="0" t="n">
        <v>111.75</v>
      </c>
      <c r="I1914" s="0" t="n">
        <v>25.68</v>
      </c>
      <c r="J1914" s="0" t="n">
        <v>84.91</v>
      </c>
      <c r="K1914" s="0" t="n">
        <v>16</v>
      </c>
      <c r="T1914" s="0" t="n">
        <v>3</v>
      </c>
      <c r="U1914" s="0" t="n">
        <v>2</v>
      </c>
      <c r="V1914" s="0" t="inlineStr">
        <is>
          <t>복도식</t>
        </is>
      </c>
      <c r="W1914" s="0" t="inlineStr">
        <is>
          <t>111B</t>
        </is>
      </c>
      <c r="X1914" s="0" t="n">
        <v>18</v>
      </c>
      <c r="Y1914" s="0" t="n">
        <v>16</v>
      </c>
      <c r="Z1914" s="0" t="inlineStr">
        <is>
          <t>https://new.land.naver.com/complexes/3322?tab=detail&amp;rf=Y</t>
        </is>
      </c>
      <c r="AA1914" s="0" t="inlineStr">
        <is>
          <t>서울시 강동구 성내동 595</t>
        </is>
      </c>
      <c r="AB1914" s="0" t="inlineStr">
        <is>
          <t>서울시</t>
        </is>
      </c>
      <c r="AC1914" s="0" t="inlineStr">
        <is>
          <t>강동구</t>
        </is>
      </c>
      <c r="AD1914" s="0" t="inlineStr">
        <is>
          <t>성내동</t>
        </is>
      </c>
      <c r="AG1914" s="0" t="inlineStr">
        <is>
          <t>서울시 강동구 올림픽로 572</t>
        </is>
      </c>
      <c r="AH1914" s="0" t="n">
        <v>0</v>
      </c>
      <c r="AI1914" s="0" t="n">
        <v>367</v>
      </c>
      <c r="AJ1914" s="0" t="n">
        <v>58</v>
      </c>
      <c r="AK1914" s="0" t="n">
        <v>133</v>
      </c>
      <c r="AL1914" s="0" t="n">
        <v>1.71</v>
      </c>
    </row>
    <row r="1915">
      <c r="A1915" s="0" t="inlineStr">
        <is>
          <t>[성내동]</t>
        </is>
      </c>
      <c r="B1915" s="0" t="n">
        <v>3322</v>
      </c>
      <c r="C1915" s="0" t="n">
        <v>2</v>
      </c>
      <c r="D1915" s="0" t="inlineStr">
        <is>
          <t>코오롱2차</t>
        </is>
      </c>
      <c r="E1915" s="0" t="inlineStr">
        <is>
          <t>2002.12.</t>
        </is>
      </c>
      <c r="F1915" s="0" t="n">
        <v>78</v>
      </c>
      <c r="G1915" s="0" t="n">
        <v>35.48</v>
      </c>
      <c r="H1915" s="0" t="n">
        <v>117.29</v>
      </c>
      <c r="I1915" s="0" t="n">
        <v>25.64</v>
      </c>
      <c r="J1915" s="0" t="n">
        <v>84.79000000000001</v>
      </c>
      <c r="K1915" s="0" t="n">
        <v>14</v>
      </c>
      <c r="T1915" s="0" t="n">
        <v>3</v>
      </c>
      <c r="U1915" s="0" t="n">
        <v>2</v>
      </c>
      <c r="V1915" s="0" t="inlineStr">
        <is>
          <t>복도식</t>
        </is>
      </c>
      <c r="W1915" s="0" t="n">
        <v>117</v>
      </c>
      <c r="X1915" s="0" t="n">
        <v>18</v>
      </c>
      <c r="Y1915" s="0" t="n">
        <v>16</v>
      </c>
      <c r="Z1915" s="0" t="inlineStr">
        <is>
          <t>https://new.land.naver.com/complexes/3322?tab=detail&amp;rf=Y</t>
        </is>
      </c>
      <c r="AA1915" s="0" t="inlineStr">
        <is>
          <t>서울시 강동구 성내동 595</t>
        </is>
      </c>
      <c r="AB1915" s="0" t="inlineStr">
        <is>
          <t>서울시</t>
        </is>
      </c>
      <c r="AC1915" s="0" t="inlineStr">
        <is>
          <t>강동구</t>
        </is>
      </c>
      <c r="AD1915" s="0" t="inlineStr">
        <is>
          <t>성내동</t>
        </is>
      </c>
      <c r="AG1915" s="0" t="inlineStr">
        <is>
          <t>서울시 강동구 올림픽로 572</t>
        </is>
      </c>
      <c r="AH1915" s="0" t="n">
        <v>0</v>
      </c>
      <c r="AI1915" s="0" t="n">
        <v>367</v>
      </c>
      <c r="AJ1915" s="0" t="n">
        <v>58</v>
      </c>
      <c r="AK1915" s="0" t="n">
        <v>133</v>
      </c>
      <c r="AL1915" s="0" t="n">
        <v>1.71</v>
      </c>
    </row>
    <row r="1916">
      <c r="A1916" s="0" t="inlineStr">
        <is>
          <t>[성내동]</t>
        </is>
      </c>
      <c r="B1916" s="0" t="n">
        <v>3322</v>
      </c>
      <c r="C1916" s="0" t="n">
        <v>3</v>
      </c>
      <c r="D1916" s="0" t="inlineStr">
        <is>
          <t>코오롱2차</t>
        </is>
      </c>
      <c r="E1916" s="0" t="inlineStr">
        <is>
          <t>2002.12.</t>
        </is>
      </c>
      <c r="F1916" s="0" t="n">
        <v>78</v>
      </c>
      <c r="G1916" s="0" t="n">
        <v>35.94</v>
      </c>
      <c r="H1916" s="0" t="n">
        <v>118.83</v>
      </c>
      <c r="I1916" s="0" t="n">
        <v>25.66</v>
      </c>
      <c r="J1916" s="0" t="n">
        <v>84.83</v>
      </c>
      <c r="K1916" s="0" t="n">
        <v>16</v>
      </c>
      <c r="T1916" s="0" t="n">
        <v>3</v>
      </c>
      <c r="U1916" s="0" t="n">
        <v>2</v>
      </c>
      <c r="V1916" s="0" t="inlineStr">
        <is>
          <t>계단식</t>
        </is>
      </c>
      <c r="W1916" s="0" t="n">
        <v>118</v>
      </c>
      <c r="X1916" s="0" t="n">
        <v>18</v>
      </c>
      <c r="Y1916" s="0" t="n">
        <v>16</v>
      </c>
      <c r="Z1916" s="0" t="inlineStr">
        <is>
          <t>https://new.land.naver.com/complexes/3322?tab=detail&amp;rf=Y</t>
        </is>
      </c>
      <c r="AA1916" s="0" t="inlineStr">
        <is>
          <t>서울시 강동구 성내동 595</t>
        </is>
      </c>
      <c r="AB1916" s="0" t="inlineStr">
        <is>
          <t>서울시</t>
        </is>
      </c>
      <c r="AC1916" s="0" t="inlineStr">
        <is>
          <t>강동구</t>
        </is>
      </c>
      <c r="AD1916" s="0" t="inlineStr">
        <is>
          <t>성내동</t>
        </is>
      </c>
      <c r="AG1916" s="0" t="inlineStr">
        <is>
          <t>서울시 강동구 올림픽로 572</t>
        </is>
      </c>
      <c r="AH1916" s="0" t="n">
        <v>0</v>
      </c>
      <c r="AI1916" s="0" t="n">
        <v>367</v>
      </c>
      <c r="AJ1916" s="0" t="n">
        <v>58</v>
      </c>
      <c r="AK1916" s="0" t="n">
        <v>133</v>
      </c>
      <c r="AL1916" s="0" t="n">
        <v>1.71</v>
      </c>
    </row>
    <row r="1917">
      <c r="A1917" s="0" t="inlineStr">
        <is>
          <t>[성내동]</t>
        </is>
      </c>
      <c r="B1917" s="0" t="n">
        <v>3322</v>
      </c>
      <c r="C1917" s="0" t="n">
        <v>4</v>
      </c>
      <c r="D1917" s="0" t="inlineStr">
        <is>
          <t>코오롱2차</t>
        </is>
      </c>
      <c r="E1917" s="0" t="inlineStr">
        <is>
          <t>2002.12.</t>
        </is>
      </c>
      <c r="F1917" s="0" t="n">
        <v>78</v>
      </c>
      <c r="G1917" s="0" t="n">
        <v>36.34</v>
      </c>
      <c r="H1917" s="0" t="n">
        <v>120.15</v>
      </c>
      <c r="I1917" s="0" t="n">
        <v>25.68</v>
      </c>
      <c r="J1917" s="0" t="n">
        <v>84.92</v>
      </c>
      <c r="K1917" s="0" t="n">
        <v>16</v>
      </c>
      <c r="T1917" s="0" t="n">
        <v>3</v>
      </c>
      <c r="U1917" s="0" t="n">
        <v>2</v>
      </c>
      <c r="V1917" s="0" t="inlineStr">
        <is>
          <t>복도식</t>
        </is>
      </c>
      <c r="W1917" s="0" t="inlineStr">
        <is>
          <t>120A</t>
        </is>
      </c>
      <c r="X1917" s="0" t="n">
        <v>18</v>
      </c>
      <c r="Y1917" s="0" t="n">
        <v>16</v>
      </c>
      <c r="Z1917" s="0" t="inlineStr">
        <is>
          <t>https://new.land.naver.com/complexes/3322?tab=detail&amp;rf=Y</t>
        </is>
      </c>
      <c r="AA1917" s="0" t="inlineStr">
        <is>
          <t>서울시 강동구 성내동 595</t>
        </is>
      </c>
      <c r="AB1917" s="0" t="inlineStr">
        <is>
          <t>서울시</t>
        </is>
      </c>
      <c r="AC1917" s="0" t="inlineStr">
        <is>
          <t>강동구</t>
        </is>
      </c>
      <c r="AD1917" s="0" t="inlineStr">
        <is>
          <t>성내동</t>
        </is>
      </c>
      <c r="AG1917" s="0" t="inlineStr">
        <is>
          <t>서울시 강동구 올림픽로 572</t>
        </is>
      </c>
      <c r="AH1917" s="0" t="n">
        <v>0</v>
      </c>
      <c r="AI1917" s="0" t="n">
        <v>367</v>
      </c>
      <c r="AJ1917" s="0" t="n">
        <v>58</v>
      </c>
      <c r="AK1917" s="0" t="n">
        <v>133</v>
      </c>
      <c r="AL1917" s="0" t="n">
        <v>1.71</v>
      </c>
    </row>
    <row r="1918">
      <c r="A1918" s="0" t="inlineStr">
        <is>
          <t>[성내동]</t>
        </is>
      </c>
      <c r="B1918" s="0" t="n">
        <v>3322</v>
      </c>
      <c r="C1918" s="0" t="n">
        <v>5</v>
      </c>
      <c r="D1918" s="0" t="inlineStr">
        <is>
          <t>코오롱2차</t>
        </is>
      </c>
      <c r="E1918" s="0" t="inlineStr">
        <is>
          <t>2002.12.</t>
        </is>
      </c>
      <c r="F1918" s="0" t="n">
        <v>78</v>
      </c>
      <c r="G1918" s="0" t="n">
        <v>42.39</v>
      </c>
      <c r="H1918" s="0" t="n">
        <v>140.15</v>
      </c>
      <c r="I1918" s="0" t="n">
        <v>32.43</v>
      </c>
      <c r="J1918" s="0" t="n">
        <v>107.23</v>
      </c>
      <c r="K1918" s="0" t="n">
        <v>16</v>
      </c>
      <c r="T1918" s="0" t="n">
        <v>4</v>
      </c>
      <c r="U1918" s="0" t="n">
        <v>2</v>
      </c>
      <c r="V1918" s="0" t="inlineStr">
        <is>
          <t>계단식</t>
        </is>
      </c>
      <c r="W1918" s="0" t="n">
        <v>140</v>
      </c>
      <c r="X1918" s="0" t="n">
        <v>18</v>
      </c>
      <c r="Y1918" s="0" t="n">
        <v>16</v>
      </c>
      <c r="Z1918" s="0" t="inlineStr">
        <is>
          <t>https://new.land.naver.com/complexes/3322?tab=detail&amp;rf=Y</t>
        </is>
      </c>
      <c r="AA1918" s="0" t="inlineStr">
        <is>
          <t>서울시 강동구 성내동 595</t>
        </is>
      </c>
      <c r="AB1918" s="0" t="inlineStr">
        <is>
          <t>서울시</t>
        </is>
      </c>
      <c r="AC1918" s="0" t="inlineStr">
        <is>
          <t>강동구</t>
        </is>
      </c>
      <c r="AD1918" s="0" t="inlineStr">
        <is>
          <t>성내동</t>
        </is>
      </c>
      <c r="AG1918" s="0" t="inlineStr">
        <is>
          <t>서울시 강동구 올림픽로 572</t>
        </is>
      </c>
      <c r="AH1918" s="0" t="n">
        <v>0</v>
      </c>
      <c r="AI1918" s="0" t="n">
        <v>367</v>
      </c>
      <c r="AJ1918" s="0" t="n">
        <v>58</v>
      </c>
      <c r="AK1918" s="0" t="n">
        <v>133</v>
      </c>
      <c r="AL1918" s="0" t="n">
        <v>1.71</v>
      </c>
    </row>
    <row r="1919">
      <c r="A1919" s="0" t="inlineStr">
        <is>
          <t>[성내동]</t>
        </is>
      </c>
      <c r="B1919" s="0" t="n">
        <v>16644</v>
      </c>
      <c r="C1919" s="0" t="n">
        <v>1</v>
      </c>
      <c r="D1919" s="0" t="inlineStr">
        <is>
          <t>오륜하이츠</t>
        </is>
      </c>
      <c r="E1919" s="0" t="inlineStr">
        <is>
          <t>2002.12.</t>
        </is>
      </c>
      <c r="F1919" s="0" t="n">
        <v>12</v>
      </c>
      <c r="G1919" s="0" t="n">
        <v>15.47</v>
      </c>
      <c r="H1919" s="0" t="n">
        <v>51.17</v>
      </c>
      <c r="I1919" s="0" t="n">
        <v>13.51</v>
      </c>
      <c r="J1919" s="0" t="n">
        <v>44.69</v>
      </c>
      <c r="K1919" s="0" t="n">
        <v>1</v>
      </c>
      <c r="T1919" s="0" t="n">
        <v>3</v>
      </c>
      <c r="U1919" s="0" t="n">
        <v>2</v>
      </c>
      <c r="V1919" s="0" t="inlineStr">
        <is>
          <t>계단식</t>
        </is>
      </c>
      <c r="W1919" s="0" t="n">
        <v>51</v>
      </c>
      <c r="X1919" s="0" t="n">
        <v>7</v>
      </c>
      <c r="Y1919" s="0" t="n">
        <v>7</v>
      </c>
      <c r="Z1919" s="0" t="inlineStr">
        <is>
          <t>https://new.land.naver.com/complexes/16644?tab=detail&amp;rf=Y</t>
        </is>
      </c>
      <c r="AA1919" s="0" t="inlineStr">
        <is>
          <t>서울시 강동구 성내동 443-24</t>
        </is>
      </c>
      <c r="AB1919" s="0" t="inlineStr">
        <is>
          <t>서울시</t>
        </is>
      </c>
      <c r="AC1919" s="0" t="inlineStr">
        <is>
          <t>강동구</t>
        </is>
      </c>
      <c r="AD1919" s="0" t="inlineStr">
        <is>
          <t>성내동</t>
        </is>
      </c>
      <c r="AG1919" s="0" t="inlineStr">
        <is>
          <t>서울시 강동구 강동대로53길 28</t>
        </is>
      </c>
      <c r="AH1919" s="0" t="n">
        <v>0</v>
      </c>
      <c r="AI1919" s="0" t="n">
        <v>272</v>
      </c>
      <c r="AJ1919" s="0" t="n">
        <v>58</v>
      </c>
      <c r="AK1919" s="0" t="n">
        <v>16</v>
      </c>
      <c r="AL1919" s="0" t="n">
        <v>1.33</v>
      </c>
    </row>
    <row r="1920">
      <c r="A1920" s="0" t="inlineStr">
        <is>
          <t>[성내동]</t>
        </is>
      </c>
      <c r="B1920" s="0" t="n">
        <v>16644</v>
      </c>
      <c r="C1920" s="0" t="n">
        <v>2</v>
      </c>
      <c r="D1920" s="0" t="inlineStr">
        <is>
          <t>오륜하이츠</t>
        </is>
      </c>
      <c r="E1920" s="0" t="inlineStr">
        <is>
          <t>2002.12.</t>
        </is>
      </c>
      <c r="F1920" s="0" t="n">
        <v>12</v>
      </c>
      <c r="G1920" s="0" t="n">
        <v>19.9</v>
      </c>
      <c r="H1920" s="0" t="n">
        <v>65.81</v>
      </c>
      <c r="I1920" s="0" t="n">
        <v>17.38</v>
      </c>
      <c r="J1920" s="0" t="n">
        <v>57.48</v>
      </c>
      <c r="K1920" s="0" t="n">
        <v>1</v>
      </c>
      <c r="T1920" s="0" t="n">
        <v>3</v>
      </c>
      <c r="U1920" s="0" t="n">
        <v>2</v>
      </c>
      <c r="V1920" s="0" t="inlineStr">
        <is>
          <t>계단식</t>
        </is>
      </c>
      <c r="W1920" s="0" t="n">
        <v>65</v>
      </c>
      <c r="X1920" s="0" t="n">
        <v>7</v>
      </c>
      <c r="Y1920" s="0" t="n">
        <v>7</v>
      </c>
      <c r="Z1920" s="0" t="inlineStr">
        <is>
          <t>https://new.land.naver.com/complexes/16644?tab=detail&amp;rf=Y</t>
        </is>
      </c>
      <c r="AA1920" s="0" t="inlineStr">
        <is>
          <t>서울시 강동구 성내동 443-24</t>
        </is>
      </c>
      <c r="AB1920" s="0" t="inlineStr">
        <is>
          <t>서울시</t>
        </is>
      </c>
      <c r="AC1920" s="0" t="inlineStr">
        <is>
          <t>강동구</t>
        </is>
      </c>
      <c r="AD1920" s="0" t="inlineStr">
        <is>
          <t>성내동</t>
        </is>
      </c>
      <c r="AG1920" s="0" t="inlineStr">
        <is>
          <t>서울시 강동구 강동대로53길 28</t>
        </is>
      </c>
      <c r="AH1920" s="0" t="n">
        <v>0</v>
      </c>
      <c r="AI1920" s="0" t="n">
        <v>272</v>
      </c>
      <c r="AJ1920" s="0" t="n">
        <v>58</v>
      </c>
      <c r="AK1920" s="0" t="n">
        <v>16</v>
      </c>
      <c r="AL1920" s="0" t="n">
        <v>1.33</v>
      </c>
    </row>
    <row r="1921">
      <c r="A1921" s="0" t="inlineStr">
        <is>
          <t>[성내동]</t>
        </is>
      </c>
      <c r="B1921" s="0" t="n">
        <v>16644</v>
      </c>
      <c r="C1921" s="0" t="n">
        <v>3</v>
      </c>
      <c r="D1921" s="0" t="inlineStr">
        <is>
          <t>오륜하이츠</t>
        </is>
      </c>
      <c r="E1921" s="0" t="inlineStr">
        <is>
          <t>2002.12.</t>
        </is>
      </c>
      <c r="F1921" s="0" t="n">
        <v>12</v>
      </c>
      <c r="G1921" s="0" t="n">
        <v>24.81</v>
      </c>
      <c r="H1921" s="0" t="n">
        <v>82.04000000000001</v>
      </c>
      <c r="I1921" s="0" t="n">
        <v>21.53</v>
      </c>
      <c r="J1921" s="0" t="n">
        <v>71.19</v>
      </c>
      <c r="K1921" s="0" t="n">
        <v>1</v>
      </c>
      <c r="T1921" s="0" t="n">
        <v>3</v>
      </c>
      <c r="U1921" s="0" t="n">
        <v>2</v>
      </c>
      <c r="V1921" s="0" t="inlineStr">
        <is>
          <t>계단식</t>
        </is>
      </c>
      <c r="W1921" s="0" t="n">
        <v>82</v>
      </c>
      <c r="X1921" s="0" t="n">
        <v>7</v>
      </c>
      <c r="Y1921" s="0" t="n">
        <v>7</v>
      </c>
      <c r="Z1921" s="0" t="inlineStr">
        <is>
          <t>https://new.land.naver.com/complexes/16644?tab=detail&amp;rf=Y</t>
        </is>
      </c>
      <c r="AA1921" s="0" t="inlineStr">
        <is>
          <t>서울시 강동구 성내동 443-24</t>
        </is>
      </c>
      <c r="AB1921" s="0" t="inlineStr">
        <is>
          <t>서울시</t>
        </is>
      </c>
      <c r="AC1921" s="0" t="inlineStr">
        <is>
          <t>강동구</t>
        </is>
      </c>
      <c r="AD1921" s="0" t="inlineStr">
        <is>
          <t>성내동</t>
        </is>
      </c>
      <c r="AG1921" s="0" t="inlineStr">
        <is>
          <t>서울시 강동구 강동대로53길 28</t>
        </is>
      </c>
      <c r="AH1921" s="0" t="n">
        <v>0</v>
      </c>
      <c r="AI1921" s="0" t="n">
        <v>272</v>
      </c>
      <c r="AJ1921" s="0" t="n">
        <v>58</v>
      </c>
      <c r="AK1921" s="0" t="n">
        <v>16</v>
      </c>
      <c r="AL1921" s="0" t="n">
        <v>1.33</v>
      </c>
    </row>
    <row r="1922">
      <c r="A1922" s="0" t="inlineStr">
        <is>
          <t>[성내동]</t>
        </is>
      </c>
      <c r="B1922" s="0" t="n">
        <v>16644</v>
      </c>
      <c r="C1922" s="0" t="n">
        <v>4</v>
      </c>
      <c r="D1922" s="0" t="inlineStr">
        <is>
          <t>오륜하이츠</t>
        </is>
      </c>
      <c r="E1922" s="0" t="inlineStr">
        <is>
          <t>2002.12.</t>
        </is>
      </c>
      <c r="F1922" s="0" t="n">
        <v>12</v>
      </c>
      <c r="G1922" s="0" t="n">
        <v>28.1</v>
      </c>
      <c r="H1922" s="0" t="n">
        <v>92.91</v>
      </c>
      <c r="I1922" s="0" t="n">
        <v>24.54</v>
      </c>
      <c r="J1922" s="0" t="n">
        <v>81.15000000000001</v>
      </c>
      <c r="K1922" s="0" t="n">
        <v>1</v>
      </c>
      <c r="T1922" s="0" t="n">
        <v>3</v>
      </c>
      <c r="U1922" s="0" t="n">
        <v>2</v>
      </c>
      <c r="V1922" s="0" t="inlineStr">
        <is>
          <t>계단식</t>
        </is>
      </c>
      <c r="W1922" s="0" t="n">
        <v>92</v>
      </c>
      <c r="X1922" s="0" t="n">
        <v>7</v>
      </c>
      <c r="Y1922" s="0" t="n">
        <v>7</v>
      </c>
      <c r="Z1922" s="0" t="inlineStr">
        <is>
          <t>https://new.land.naver.com/complexes/16644?tab=detail&amp;rf=Y</t>
        </is>
      </c>
      <c r="AA1922" s="0" t="inlineStr">
        <is>
          <t>서울시 강동구 성내동 443-24</t>
        </is>
      </c>
      <c r="AB1922" s="0" t="inlineStr">
        <is>
          <t>서울시</t>
        </is>
      </c>
      <c r="AC1922" s="0" t="inlineStr">
        <is>
          <t>강동구</t>
        </is>
      </c>
      <c r="AD1922" s="0" t="inlineStr">
        <is>
          <t>성내동</t>
        </is>
      </c>
      <c r="AG1922" s="0" t="inlineStr">
        <is>
          <t>서울시 강동구 강동대로53길 28</t>
        </is>
      </c>
      <c r="AH1922" s="0" t="n">
        <v>0</v>
      </c>
      <c r="AI1922" s="0" t="n">
        <v>272</v>
      </c>
      <c r="AJ1922" s="0" t="n">
        <v>58</v>
      </c>
      <c r="AK1922" s="0" t="n">
        <v>16</v>
      </c>
      <c r="AL1922" s="0" t="n">
        <v>1.33</v>
      </c>
    </row>
    <row r="1923">
      <c r="A1923" s="0" t="inlineStr">
        <is>
          <t>[성내동]</t>
        </is>
      </c>
      <c r="B1923" s="0" t="n">
        <v>16644</v>
      </c>
      <c r="C1923" s="0" t="n">
        <v>5</v>
      </c>
      <c r="D1923" s="0" t="inlineStr">
        <is>
          <t>오륜하이츠</t>
        </is>
      </c>
      <c r="E1923" s="0" t="inlineStr">
        <is>
          <t>2002.12.</t>
        </is>
      </c>
      <c r="F1923" s="0" t="n">
        <v>12</v>
      </c>
      <c r="G1923" s="0" t="n">
        <v>33.82</v>
      </c>
      <c r="H1923" s="0" t="n">
        <v>111.83</v>
      </c>
      <c r="I1923" s="0" t="n">
        <v>29.54</v>
      </c>
      <c r="J1923" s="0" t="n">
        <v>97.68000000000001</v>
      </c>
      <c r="K1923" s="0" t="n">
        <v>1</v>
      </c>
      <c r="T1923" s="0" t="n">
        <v>4</v>
      </c>
      <c r="U1923" s="0" t="n">
        <v>3</v>
      </c>
      <c r="V1923" s="0" t="inlineStr">
        <is>
          <t>계단식</t>
        </is>
      </c>
      <c r="W1923" s="0" t="n">
        <v>111</v>
      </c>
      <c r="X1923" s="0" t="n">
        <v>7</v>
      </c>
      <c r="Y1923" s="0" t="n">
        <v>7</v>
      </c>
      <c r="Z1923" s="0" t="inlineStr">
        <is>
          <t>https://new.land.naver.com/complexes/16644?tab=detail&amp;rf=Y</t>
        </is>
      </c>
      <c r="AA1923" s="0" t="inlineStr">
        <is>
          <t>서울시 강동구 성내동 443-24</t>
        </is>
      </c>
      <c r="AB1923" s="0" t="inlineStr">
        <is>
          <t>서울시</t>
        </is>
      </c>
      <c r="AC1923" s="0" t="inlineStr">
        <is>
          <t>강동구</t>
        </is>
      </c>
      <c r="AD1923" s="0" t="inlineStr">
        <is>
          <t>성내동</t>
        </is>
      </c>
      <c r="AG1923" s="0" t="inlineStr">
        <is>
          <t>서울시 강동구 강동대로53길 28</t>
        </is>
      </c>
      <c r="AH1923" s="0" t="n">
        <v>0</v>
      </c>
      <c r="AI1923" s="0" t="n">
        <v>272</v>
      </c>
      <c r="AJ1923" s="0" t="n">
        <v>58</v>
      </c>
      <c r="AK1923" s="0" t="n">
        <v>16</v>
      </c>
      <c r="AL1923" s="0" t="n">
        <v>1.33</v>
      </c>
    </row>
    <row r="1924">
      <c r="A1924" s="0" t="inlineStr">
        <is>
          <t>[성내동]</t>
        </is>
      </c>
      <c r="B1924" s="0" t="n">
        <v>16644</v>
      </c>
      <c r="C1924" s="0" t="n">
        <v>6</v>
      </c>
      <c r="D1924" s="0" t="inlineStr">
        <is>
          <t>오륜하이츠</t>
        </is>
      </c>
      <c r="E1924" s="0" t="inlineStr">
        <is>
          <t>2002.12.</t>
        </is>
      </c>
      <c r="F1924" s="0" t="n">
        <v>12</v>
      </c>
      <c r="G1924" s="0" t="n">
        <v>35.89</v>
      </c>
      <c r="H1924" s="0" t="n">
        <v>118.65</v>
      </c>
      <c r="I1924" s="0" t="n">
        <v>31.35</v>
      </c>
      <c r="J1924" s="0" t="n">
        <v>103.64</v>
      </c>
      <c r="K1924" s="0" t="n">
        <v>1</v>
      </c>
      <c r="T1924" s="0" t="n">
        <v>5</v>
      </c>
      <c r="U1924" s="0" t="n">
        <v>3</v>
      </c>
      <c r="V1924" s="0" t="inlineStr">
        <is>
          <t>계단식</t>
        </is>
      </c>
      <c r="W1924" s="0" t="n">
        <v>118</v>
      </c>
      <c r="X1924" s="0" t="n">
        <v>7</v>
      </c>
      <c r="Y1924" s="0" t="n">
        <v>7</v>
      </c>
      <c r="Z1924" s="0" t="inlineStr">
        <is>
          <t>https://new.land.naver.com/complexes/16644?tab=detail&amp;rf=Y</t>
        </is>
      </c>
      <c r="AA1924" s="0" t="inlineStr">
        <is>
          <t>서울시 강동구 성내동 443-24</t>
        </is>
      </c>
      <c r="AB1924" s="0" t="inlineStr">
        <is>
          <t>서울시</t>
        </is>
      </c>
      <c r="AC1924" s="0" t="inlineStr">
        <is>
          <t>강동구</t>
        </is>
      </c>
      <c r="AD1924" s="0" t="inlineStr">
        <is>
          <t>성내동</t>
        </is>
      </c>
      <c r="AG1924" s="0" t="inlineStr">
        <is>
          <t>서울시 강동구 강동대로53길 28</t>
        </is>
      </c>
      <c r="AH1924" s="0" t="n">
        <v>0</v>
      </c>
      <c r="AI1924" s="0" t="n">
        <v>272</v>
      </c>
      <c r="AJ1924" s="0" t="n">
        <v>58</v>
      </c>
      <c r="AK1924" s="0" t="n">
        <v>16</v>
      </c>
      <c r="AL1924" s="0" t="n">
        <v>1.33</v>
      </c>
    </row>
    <row r="1925">
      <c r="A1925" s="0" t="inlineStr">
        <is>
          <t>[성내동]</t>
        </is>
      </c>
      <c r="B1925" s="0" t="n">
        <v>16644</v>
      </c>
      <c r="C1925" s="0" t="n">
        <v>7</v>
      </c>
      <c r="D1925" s="0" t="inlineStr">
        <is>
          <t>오륜하이츠</t>
        </is>
      </c>
      <c r="E1925" s="0" t="inlineStr">
        <is>
          <t>2002.12.</t>
        </is>
      </c>
      <c r="F1925" s="0" t="n">
        <v>12</v>
      </c>
      <c r="G1925" s="0" t="n">
        <v>40.28</v>
      </c>
      <c r="H1925" s="0" t="n">
        <v>133.18</v>
      </c>
      <c r="I1925" s="0" t="n">
        <v>35.18</v>
      </c>
      <c r="J1925" s="0" t="n">
        <v>116.33</v>
      </c>
      <c r="K1925" s="0" t="n">
        <v>1</v>
      </c>
      <c r="T1925" s="0" t="n">
        <v>5</v>
      </c>
      <c r="U1925" s="0" t="n">
        <v>3</v>
      </c>
      <c r="V1925" s="0" t="inlineStr">
        <is>
          <t>계단식</t>
        </is>
      </c>
      <c r="W1925" s="0" t="n">
        <v>133</v>
      </c>
      <c r="X1925" s="0" t="n">
        <v>7</v>
      </c>
      <c r="Y1925" s="0" t="n">
        <v>7</v>
      </c>
      <c r="Z1925" s="0" t="inlineStr">
        <is>
          <t>https://new.land.naver.com/complexes/16644?tab=detail&amp;rf=Y</t>
        </is>
      </c>
      <c r="AA1925" s="0" t="inlineStr">
        <is>
          <t>서울시 강동구 성내동 443-24</t>
        </is>
      </c>
      <c r="AB1925" s="0" t="inlineStr">
        <is>
          <t>서울시</t>
        </is>
      </c>
      <c r="AC1925" s="0" t="inlineStr">
        <is>
          <t>강동구</t>
        </is>
      </c>
      <c r="AD1925" s="0" t="inlineStr">
        <is>
          <t>성내동</t>
        </is>
      </c>
      <c r="AG1925" s="0" t="inlineStr">
        <is>
          <t>서울시 강동구 강동대로53길 28</t>
        </is>
      </c>
      <c r="AH1925" s="0" t="n">
        <v>0</v>
      </c>
      <c r="AI1925" s="0" t="n">
        <v>272</v>
      </c>
      <c r="AJ1925" s="0" t="n">
        <v>58</v>
      </c>
      <c r="AK1925" s="0" t="n">
        <v>16</v>
      </c>
      <c r="AL1925" s="0" t="n">
        <v>1.33</v>
      </c>
    </row>
    <row r="1926">
      <c r="A1926" s="0" t="inlineStr">
        <is>
          <t>[성내동]</t>
        </is>
      </c>
      <c r="B1926" s="0" t="n">
        <v>16644</v>
      </c>
      <c r="C1926" s="0" t="n">
        <v>8</v>
      </c>
      <c r="D1926" s="0" t="inlineStr">
        <is>
          <t>오륜하이츠</t>
        </is>
      </c>
      <c r="E1926" s="0" t="inlineStr">
        <is>
          <t>2002.12.</t>
        </is>
      </c>
      <c r="F1926" s="0" t="n">
        <v>12</v>
      </c>
      <c r="G1926" s="0" t="n">
        <v>41.13</v>
      </c>
      <c r="H1926" s="0" t="n">
        <v>135.98</v>
      </c>
      <c r="I1926" s="0" t="n">
        <v>35.92</v>
      </c>
      <c r="J1926" s="0" t="n">
        <v>118.77</v>
      </c>
      <c r="K1926" s="0" t="n">
        <v>1</v>
      </c>
      <c r="T1926" s="0" t="n">
        <v>5</v>
      </c>
      <c r="U1926" s="0" t="n">
        <v>3</v>
      </c>
      <c r="V1926" s="0" t="inlineStr">
        <is>
          <t>계단식</t>
        </is>
      </c>
      <c r="W1926" s="0" t="n">
        <v>135</v>
      </c>
      <c r="X1926" s="0" t="n">
        <v>7</v>
      </c>
      <c r="Y1926" s="0" t="n">
        <v>7</v>
      </c>
      <c r="Z1926" s="0" t="inlineStr">
        <is>
          <t>https://new.land.naver.com/complexes/16644?tab=detail&amp;rf=Y</t>
        </is>
      </c>
      <c r="AA1926" s="0" t="inlineStr">
        <is>
          <t>서울시 강동구 성내동 443-24</t>
        </is>
      </c>
      <c r="AB1926" s="0" t="inlineStr">
        <is>
          <t>서울시</t>
        </is>
      </c>
      <c r="AC1926" s="0" t="inlineStr">
        <is>
          <t>강동구</t>
        </is>
      </c>
      <c r="AD1926" s="0" t="inlineStr">
        <is>
          <t>성내동</t>
        </is>
      </c>
      <c r="AG1926" s="0" t="inlineStr">
        <is>
          <t>서울시 강동구 강동대로53길 28</t>
        </is>
      </c>
      <c r="AH1926" s="0" t="n">
        <v>0</v>
      </c>
      <c r="AI1926" s="0" t="n">
        <v>272</v>
      </c>
      <c r="AJ1926" s="0" t="n">
        <v>58</v>
      </c>
      <c r="AK1926" s="0" t="n">
        <v>16</v>
      </c>
      <c r="AL1926" s="0" t="n">
        <v>1.33</v>
      </c>
    </row>
    <row r="1927">
      <c r="A1927" s="0" t="inlineStr">
        <is>
          <t>[성내동]</t>
        </is>
      </c>
      <c r="B1927" s="0" t="n">
        <v>16644</v>
      </c>
      <c r="C1927" s="0" t="n">
        <v>9</v>
      </c>
      <c r="D1927" s="0" t="inlineStr">
        <is>
          <t>오륜하이츠</t>
        </is>
      </c>
      <c r="E1927" s="0" t="inlineStr">
        <is>
          <t>2002.12.</t>
        </is>
      </c>
      <c r="F1927" s="0" t="n">
        <v>12</v>
      </c>
      <c r="G1927" s="0" t="n">
        <v>44.85</v>
      </c>
      <c r="H1927" s="0" t="n">
        <v>148.28</v>
      </c>
      <c r="I1927" s="0" t="n">
        <v>39.17</v>
      </c>
      <c r="J1927" s="0" t="n">
        <v>129.52</v>
      </c>
      <c r="K1927" s="0" t="n">
        <v>2</v>
      </c>
      <c r="T1927" s="0" t="n">
        <v>5</v>
      </c>
      <c r="U1927" s="0" t="n">
        <v>3</v>
      </c>
      <c r="V1927" s="0" t="inlineStr">
        <is>
          <t>계단식</t>
        </is>
      </c>
      <c r="W1927" s="0" t="n">
        <v>148</v>
      </c>
      <c r="X1927" s="0" t="n">
        <v>7</v>
      </c>
      <c r="Y1927" s="0" t="n">
        <v>7</v>
      </c>
      <c r="Z1927" s="0" t="inlineStr">
        <is>
          <t>https://new.land.naver.com/complexes/16644?tab=detail&amp;rf=Y</t>
        </is>
      </c>
      <c r="AA1927" s="0" t="inlineStr">
        <is>
          <t>서울시 강동구 성내동 443-24</t>
        </is>
      </c>
      <c r="AB1927" s="0" t="inlineStr">
        <is>
          <t>서울시</t>
        </is>
      </c>
      <c r="AC1927" s="0" t="inlineStr">
        <is>
          <t>강동구</t>
        </is>
      </c>
      <c r="AD1927" s="0" t="inlineStr">
        <is>
          <t>성내동</t>
        </is>
      </c>
      <c r="AG1927" s="0" t="inlineStr">
        <is>
          <t>서울시 강동구 강동대로53길 28</t>
        </is>
      </c>
      <c r="AH1927" s="0" t="n">
        <v>0</v>
      </c>
      <c r="AI1927" s="0" t="n">
        <v>272</v>
      </c>
      <c r="AJ1927" s="0" t="n">
        <v>58</v>
      </c>
      <c r="AK1927" s="0" t="n">
        <v>16</v>
      </c>
      <c r="AL1927" s="0" t="n">
        <v>1.33</v>
      </c>
    </row>
    <row r="1928">
      <c r="A1928" s="0" t="inlineStr">
        <is>
          <t>[성내동]</t>
        </is>
      </c>
      <c r="B1928" s="0" t="n">
        <v>16644</v>
      </c>
      <c r="C1928" s="0" t="n">
        <v>10</v>
      </c>
      <c r="D1928" s="0" t="inlineStr">
        <is>
          <t>오륜하이츠</t>
        </is>
      </c>
      <c r="E1928" s="0" t="inlineStr">
        <is>
          <t>2002.12.</t>
        </is>
      </c>
      <c r="F1928" s="0" t="n">
        <v>12</v>
      </c>
      <c r="G1928" s="0" t="n">
        <v>46.06</v>
      </c>
      <c r="H1928" s="0" t="n">
        <v>152.28</v>
      </c>
      <c r="I1928" s="0" t="n">
        <v>40.23</v>
      </c>
      <c r="J1928" s="0" t="n">
        <v>133.01</v>
      </c>
      <c r="K1928" s="0" t="n">
        <v>2</v>
      </c>
      <c r="T1928" s="0" t="n">
        <v>5</v>
      </c>
      <c r="U1928" s="0" t="n">
        <v>3</v>
      </c>
      <c r="V1928" s="0" t="inlineStr">
        <is>
          <t>계단식</t>
        </is>
      </c>
      <c r="W1928" s="0" t="n">
        <v>152</v>
      </c>
      <c r="X1928" s="0" t="n">
        <v>7</v>
      </c>
      <c r="Y1928" s="0" t="n">
        <v>7</v>
      </c>
      <c r="Z1928" s="0" t="inlineStr">
        <is>
          <t>https://new.land.naver.com/complexes/16644?tab=detail&amp;rf=Y</t>
        </is>
      </c>
      <c r="AA1928" s="0" t="inlineStr">
        <is>
          <t>서울시 강동구 성내동 443-24</t>
        </is>
      </c>
      <c r="AB1928" s="0" t="inlineStr">
        <is>
          <t>서울시</t>
        </is>
      </c>
      <c r="AC1928" s="0" t="inlineStr">
        <is>
          <t>강동구</t>
        </is>
      </c>
      <c r="AD1928" s="0" t="inlineStr">
        <is>
          <t>성내동</t>
        </is>
      </c>
      <c r="AG1928" s="0" t="inlineStr">
        <is>
          <t>서울시 강동구 강동대로53길 28</t>
        </is>
      </c>
      <c r="AH1928" s="0" t="n">
        <v>0</v>
      </c>
      <c r="AI1928" s="0" t="n">
        <v>272</v>
      </c>
      <c r="AJ1928" s="0" t="n">
        <v>58</v>
      </c>
      <c r="AK1928" s="0" t="n">
        <v>16</v>
      </c>
      <c r="AL1928" s="0" t="n">
        <v>1.33</v>
      </c>
    </row>
    <row r="1929">
      <c r="A1929" s="0" t="inlineStr">
        <is>
          <t>[성내동]</t>
        </is>
      </c>
      <c r="B1929" s="0" t="n">
        <v>3074</v>
      </c>
      <c r="C1929" s="0" t="n">
        <v>1</v>
      </c>
      <c r="D1929" s="0" t="inlineStr">
        <is>
          <t>선광</t>
        </is>
      </c>
      <c r="E1929" s="0" t="inlineStr">
        <is>
          <t>1997.07.</t>
        </is>
      </c>
      <c r="F1929" s="0" t="n">
        <v>82</v>
      </c>
      <c r="G1929" s="0" t="n">
        <v>20.92</v>
      </c>
      <c r="H1929" s="0" t="n">
        <v>69.18000000000001</v>
      </c>
      <c r="I1929" s="0" t="n">
        <v>15.67</v>
      </c>
      <c r="J1929" s="0" t="n">
        <v>51.83</v>
      </c>
      <c r="K1929" s="0" t="n">
        <v>16</v>
      </c>
      <c r="T1929" s="0" t="n">
        <v>2</v>
      </c>
      <c r="U1929" s="0" t="n">
        <v>1</v>
      </c>
      <c r="V1929" s="0" t="inlineStr">
        <is>
          <t>복도식</t>
        </is>
      </c>
      <c r="W1929" s="0" t="n">
        <v>69</v>
      </c>
      <c r="X1929" s="0" t="n">
        <v>17</v>
      </c>
      <c r="Y1929" s="0" t="n">
        <v>7</v>
      </c>
      <c r="Z1929" s="0" t="inlineStr">
        <is>
          <t>https://new.land.naver.com/complexes/3074?tab=detail&amp;rf=Y</t>
        </is>
      </c>
      <c r="AA1929" s="0" t="inlineStr">
        <is>
          <t>서울시 강동구 성내동 565</t>
        </is>
      </c>
      <c r="AB1929" s="0" t="inlineStr">
        <is>
          <t>서울시</t>
        </is>
      </c>
      <c r="AC1929" s="0" t="inlineStr">
        <is>
          <t>강동구</t>
        </is>
      </c>
      <c r="AD1929" s="0" t="inlineStr">
        <is>
          <t>성내동</t>
        </is>
      </c>
      <c r="AG1929" s="0" t="inlineStr">
        <is>
          <t>서울시 강동구 성내로14길 18</t>
        </is>
      </c>
      <c r="AH1929" s="0" t="n">
        <v>0</v>
      </c>
      <c r="AI1929" s="0" t="n">
        <v>385</v>
      </c>
      <c r="AJ1929" s="0" t="n">
        <v>59</v>
      </c>
      <c r="AK1929" s="0" t="n">
        <v>98</v>
      </c>
      <c r="AL1929" s="0" t="n">
        <v>1.2</v>
      </c>
    </row>
    <row r="1930">
      <c r="A1930" s="0" t="inlineStr">
        <is>
          <t>[성내동]</t>
        </is>
      </c>
      <c r="B1930" s="0" t="n">
        <v>3074</v>
      </c>
      <c r="C1930" s="0" t="n">
        <v>2</v>
      </c>
      <c r="D1930" s="0" t="inlineStr">
        <is>
          <t>선광</t>
        </is>
      </c>
      <c r="E1930" s="0" t="inlineStr">
        <is>
          <t>1997.07.</t>
        </is>
      </c>
      <c r="F1930" s="0" t="n">
        <v>82</v>
      </c>
      <c r="G1930" s="0" t="n">
        <v>24.2</v>
      </c>
      <c r="H1930" s="0" t="n">
        <v>80.03</v>
      </c>
      <c r="I1930" s="0" t="n">
        <v>18.13</v>
      </c>
      <c r="J1930" s="0" t="n">
        <v>59.96</v>
      </c>
      <c r="K1930" s="0" t="n">
        <v>18</v>
      </c>
      <c r="T1930" s="0" t="n">
        <v>3</v>
      </c>
      <c r="U1930" s="0" t="n">
        <v>1</v>
      </c>
      <c r="V1930" s="0" t="inlineStr">
        <is>
          <t>복도식</t>
        </is>
      </c>
      <c r="W1930" s="0" t="n">
        <v>80</v>
      </c>
      <c r="X1930" s="0" t="n">
        <v>17</v>
      </c>
      <c r="Y1930" s="0" t="n">
        <v>7</v>
      </c>
      <c r="Z1930" s="0" t="inlineStr">
        <is>
          <t>https://new.land.naver.com/complexes/3074?tab=detail&amp;rf=Y</t>
        </is>
      </c>
      <c r="AA1930" s="0" t="inlineStr">
        <is>
          <t>서울시 강동구 성내동 565</t>
        </is>
      </c>
      <c r="AB1930" s="0" t="inlineStr">
        <is>
          <t>서울시</t>
        </is>
      </c>
      <c r="AC1930" s="0" t="inlineStr">
        <is>
          <t>강동구</t>
        </is>
      </c>
      <c r="AD1930" s="0" t="inlineStr">
        <is>
          <t>성내동</t>
        </is>
      </c>
      <c r="AG1930" s="0" t="inlineStr">
        <is>
          <t>서울시 강동구 성내로14길 18</t>
        </is>
      </c>
      <c r="AH1930" s="0" t="n">
        <v>0</v>
      </c>
      <c r="AI1930" s="0" t="n">
        <v>385</v>
      </c>
      <c r="AJ1930" s="0" t="n">
        <v>59</v>
      </c>
      <c r="AK1930" s="0" t="n">
        <v>98</v>
      </c>
      <c r="AL1930" s="0" t="n">
        <v>1.2</v>
      </c>
    </row>
    <row r="1931">
      <c r="A1931" s="0" t="inlineStr">
        <is>
          <t>[성내동]</t>
        </is>
      </c>
      <c r="B1931" s="0" t="n">
        <v>3074</v>
      </c>
      <c r="C1931" s="0" t="n">
        <v>3</v>
      </c>
      <c r="D1931" s="0" t="inlineStr">
        <is>
          <t>선광</t>
        </is>
      </c>
      <c r="E1931" s="0" t="inlineStr">
        <is>
          <t>1997.07.</t>
        </is>
      </c>
      <c r="F1931" s="0" t="n">
        <v>82</v>
      </c>
      <c r="G1931" s="0" t="n">
        <v>34.3</v>
      </c>
      <c r="H1931" s="0" t="n">
        <v>113.42</v>
      </c>
      <c r="I1931" s="0" t="n">
        <v>25.7</v>
      </c>
      <c r="J1931" s="0" t="n">
        <v>84.98</v>
      </c>
      <c r="K1931" s="0" t="n">
        <v>48</v>
      </c>
      <c r="T1931" s="0" t="n">
        <v>3</v>
      </c>
      <c r="U1931" s="0" t="n">
        <v>2</v>
      </c>
      <c r="V1931" s="0" t="inlineStr">
        <is>
          <t>복도식</t>
        </is>
      </c>
      <c r="W1931" s="0" t="n">
        <v>113</v>
      </c>
      <c r="X1931" s="0" t="n">
        <v>17</v>
      </c>
      <c r="Y1931" s="0" t="n">
        <v>7</v>
      </c>
      <c r="Z1931" s="0" t="inlineStr">
        <is>
          <t>https://new.land.naver.com/complexes/3074?tab=detail&amp;rf=Y</t>
        </is>
      </c>
      <c r="AA1931" s="0" t="inlineStr">
        <is>
          <t>서울시 강동구 성내동 565</t>
        </is>
      </c>
      <c r="AB1931" s="0" t="inlineStr">
        <is>
          <t>서울시</t>
        </is>
      </c>
      <c r="AC1931" s="0" t="inlineStr">
        <is>
          <t>강동구</t>
        </is>
      </c>
      <c r="AD1931" s="0" t="inlineStr">
        <is>
          <t>성내동</t>
        </is>
      </c>
      <c r="AG1931" s="0" t="inlineStr">
        <is>
          <t>서울시 강동구 성내로14길 18</t>
        </is>
      </c>
      <c r="AH1931" s="0" t="n">
        <v>0</v>
      </c>
      <c r="AI1931" s="0" t="n">
        <v>385</v>
      </c>
      <c r="AJ1931" s="0" t="n">
        <v>59</v>
      </c>
      <c r="AK1931" s="0" t="n">
        <v>98</v>
      </c>
      <c r="AL1931" s="0" t="n">
        <v>1.2</v>
      </c>
    </row>
    <row r="1932">
      <c r="A1932" s="0" t="inlineStr">
        <is>
          <t>[성내동]</t>
        </is>
      </c>
      <c r="B1932" s="0" t="n">
        <v>27169</v>
      </c>
      <c r="C1932" s="0" t="n">
        <v>1</v>
      </c>
      <c r="D1932" s="0" t="inlineStr">
        <is>
          <t>미랜드프레임빌</t>
        </is>
      </c>
      <c r="E1932" s="0" t="inlineStr">
        <is>
          <t>2006.10.</t>
        </is>
      </c>
      <c r="F1932" s="0" t="n">
        <v>19</v>
      </c>
      <c r="G1932" s="0" t="n">
        <v>30.78</v>
      </c>
      <c r="H1932" s="0" t="n">
        <v>101.76</v>
      </c>
      <c r="I1932" s="0" t="n">
        <v>27.96</v>
      </c>
      <c r="J1932" s="0" t="n">
        <v>92.43000000000001</v>
      </c>
      <c r="K1932" s="0" t="n">
        <v>1</v>
      </c>
      <c r="T1932" s="0" t="n">
        <v>3</v>
      </c>
      <c r="U1932" s="0" t="n">
        <v>2</v>
      </c>
      <c r="V1932" s="0" t="inlineStr">
        <is>
          <t>계단식</t>
        </is>
      </c>
      <c r="W1932" s="0" t="n">
        <v>101</v>
      </c>
      <c r="X1932" s="0" t="n">
        <v>10</v>
      </c>
      <c r="Y1932" s="0" t="n">
        <v>10</v>
      </c>
      <c r="Z1932" s="0" t="inlineStr">
        <is>
          <t>https://new.land.naver.com/complexes/27169?tab=detail&amp;rf=Y</t>
        </is>
      </c>
      <c r="AA1932" s="0" t="inlineStr">
        <is>
          <t>서울시 강동구 성내동 420-20</t>
        </is>
      </c>
      <c r="AB1932" s="0" t="inlineStr">
        <is>
          <t>서울시</t>
        </is>
      </c>
      <c r="AC1932" s="0" t="inlineStr">
        <is>
          <t>강동구</t>
        </is>
      </c>
      <c r="AD1932" s="0" t="inlineStr">
        <is>
          <t>성내동</t>
        </is>
      </c>
      <c r="AG1932" s="0" t="inlineStr">
        <is>
          <t>서울시 강동구 성내로17길 72</t>
        </is>
      </c>
      <c r="AH1932" s="0" t="n">
        <v>0</v>
      </c>
      <c r="AI1932" s="0" t="n">
        <v>198</v>
      </c>
      <c r="AJ1932" s="0" t="n">
        <v>23</v>
      </c>
      <c r="AK1932" s="0" t="n">
        <v>37</v>
      </c>
      <c r="AL1932" s="0" t="n">
        <v>1.95</v>
      </c>
    </row>
    <row r="1933">
      <c r="A1933" s="0" t="inlineStr">
        <is>
          <t>[성내동]</t>
        </is>
      </c>
      <c r="B1933" s="0" t="n">
        <v>27169</v>
      </c>
      <c r="C1933" s="0" t="n">
        <v>2</v>
      </c>
      <c r="D1933" s="0" t="inlineStr">
        <is>
          <t>미랜드프레임빌</t>
        </is>
      </c>
      <c r="E1933" s="0" t="inlineStr">
        <is>
          <t>2006.10.</t>
        </is>
      </c>
      <c r="F1933" s="0" t="n">
        <v>19</v>
      </c>
      <c r="G1933" s="0" t="n">
        <v>35.84</v>
      </c>
      <c r="H1933" s="0" t="n">
        <v>118.48</v>
      </c>
      <c r="I1933" s="0" t="n">
        <v>32.55</v>
      </c>
      <c r="J1933" s="0" t="n">
        <v>107.61</v>
      </c>
      <c r="K1933" s="0" t="n">
        <v>1</v>
      </c>
      <c r="T1933" s="0" t="n">
        <v>3</v>
      </c>
      <c r="U1933" s="0" t="n">
        <v>2</v>
      </c>
      <c r="V1933" s="0" t="inlineStr">
        <is>
          <t>계단식</t>
        </is>
      </c>
      <c r="W1933" s="0" t="n">
        <v>118</v>
      </c>
      <c r="X1933" s="0" t="n">
        <v>10</v>
      </c>
      <c r="Y1933" s="0" t="n">
        <v>10</v>
      </c>
      <c r="Z1933" s="0" t="inlineStr">
        <is>
          <t>https://new.land.naver.com/complexes/27169?tab=detail&amp;rf=Y</t>
        </is>
      </c>
      <c r="AA1933" s="0" t="inlineStr">
        <is>
          <t>서울시 강동구 성내동 420-20</t>
        </is>
      </c>
      <c r="AB1933" s="0" t="inlineStr">
        <is>
          <t>서울시</t>
        </is>
      </c>
      <c r="AC1933" s="0" t="inlineStr">
        <is>
          <t>강동구</t>
        </is>
      </c>
      <c r="AD1933" s="0" t="inlineStr">
        <is>
          <t>성내동</t>
        </is>
      </c>
      <c r="AG1933" s="0" t="inlineStr">
        <is>
          <t>서울시 강동구 성내로17길 72</t>
        </is>
      </c>
      <c r="AH1933" s="0" t="n">
        <v>0</v>
      </c>
      <c r="AI1933" s="0" t="n">
        <v>198</v>
      </c>
      <c r="AJ1933" s="0" t="n">
        <v>23</v>
      </c>
      <c r="AK1933" s="0" t="n">
        <v>37</v>
      </c>
      <c r="AL1933" s="0" t="n">
        <v>1.95</v>
      </c>
    </row>
    <row r="1934">
      <c r="A1934" s="0" t="inlineStr">
        <is>
          <t>[성내동]</t>
        </is>
      </c>
      <c r="B1934" s="0" t="n">
        <v>27169</v>
      </c>
      <c r="C1934" s="0" t="n">
        <v>3</v>
      </c>
      <c r="D1934" s="0" t="inlineStr">
        <is>
          <t>미랜드프레임빌</t>
        </is>
      </c>
      <c r="E1934" s="0" t="inlineStr">
        <is>
          <t>2006.10.</t>
        </is>
      </c>
      <c r="F1934" s="0" t="n">
        <v>19</v>
      </c>
      <c r="G1934" s="0" t="n">
        <v>40.84</v>
      </c>
      <c r="H1934" s="0" t="n">
        <v>135.04</v>
      </c>
      <c r="I1934" s="0" t="n">
        <v>37.09</v>
      </c>
      <c r="J1934" s="0" t="n">
        <v>122.64</v>
      </c>
      <c r="K1934" s="0" t="n">
        <v>7</v>
      </c>
      <c r="T1934" s="0" t="n">
        <v>4</v>
      </c>
      <c r="U1934" s="0" t="n">
        <v>2</v>
      </c>
      <c r="V1934" s="0" t="inlineStr">
        <is>
          <t>계단식</t>
        </is>
      </c>
      <c r="W1934" s="0" t="n">
        <v>135</v>
      </c>
      <c r="X1934" s="0" t="n">
        <v>10</v>
      </c>
      <c r="Y1934" s="0" t="n">
        <v>10</v>
      </c>
      <c r="Z1934" s="0" t="inlineStr">
        <is>
          <t>https://new.land.naver.com/complexes/27169?tab=detail&amp;rf=Y</t>
        </is>
      </c>
      <c r="AA1934" s="0" t="inlineStr">
        <is>
          <t>서울시 강동구 성내동 420-20</t>
        </is>
      </c>
      <c r="AB1934" s="0" t="inlineStr">
        <is>
          <t>서울시</t>
        </is>
      </c>
      <c r="AC1934" s="0" t="inlineStr">
        <is>
          <t>강동구</t>
        </is>
      </c>
      <c r="AD1934" s="0" t="inlineStr">
        <is>
          <t>성내동</t>
        </is>
      </c>
      <c r="AG1934" s="0" t="inlineStr">
        <is>
          <t>서울시 강동구 성내로17길 72</t>
        </is>
      </c>
      <c r="AH1934" s="0" t="n">
        <v>0</v>
      </c>
      <c r="AI1934" s="0" t="n">
        <v>198</v>
      </c>
      <c r="AJ1934" s="0" t="n">
        <v>23</v>
      </c>
      <c r="AK1934" s="0" t="n">
        <v>37</v>
      </c>
      <c r="AL1934" s="0" t="n">
        <v>1.95</v>
      </c>
    </row>
    <row r="1935">
      <c r="A1935" s="0" t="inlineStr">
        <is>
          <t>[성내동]</t>
        </is>
      </c>
      <c r="B1935" s="0" t="n">
        <v>27169</v>
      </c>
      <c r="C1935" s="0" t="n">
        <v>4</v>
      </c>
      <c r="D1935" s="0" t="inlineStr">
        <is>
          <t>미랜드프레임빌</t>
        </is>
      </c>
      <c r="E1935" s="0" t="inlineStr">
        <is>
          <t>2006.10.</t>
        </is>
      </c>
      <c r="F1935" s="0" t="n">
        <v>19</v>
      </c>
      <c r="G1935" s="0" t="n">
        <v>41.82</v>
      </c>
      <c r="H1935" s="0" t="n">
        <v>138.27</v>
      </c>
      <c r="I1935" s="0" t="n">
        <v>37.98</v>
      </c>
      <c r="J1935" s="0" t="n">
        <v>125.58</v>
      </c>
      <c r="K1935" s="0" t="n">
        <v>1</v>
      </c>
      <c r="T1935" s="0" t="n">
        <v>4</v>
      </c>
      <c r="U1935" s="0" t="n">
        <v>2</v>
      </c>
      <c r="V1935" s="0" t="inlineStr">
        <is>
          <t>계단식</t>
        </is>
      </c>
      <c r="W1935" s="0" t="inlineStr">
        <is>
          <t>138A</t>
        </is>
      </c>
      <c r="X1935" s="0" t="n">
        <v>10</v>
      </c>
      <c r="Y1935" s="0" t="n">
        <v>10</v>
      </c>
      <c r="Z1935" s="0" t="inlineStr">
        <is>
          <t>https://new.land.naver.com/complexes/27169?tab=detail&amp;rf=Y</t>
        </is>
      </c>
      <c r="AA1935" s="0" t="inlineStr">
        <is>
          <t>서울시 강동구 성내동 420-20</t>
        </is>
      </c>
      <c r="AB1935" s="0" t="inlineStr">
        <is>
          <t>서울시</t>
        </is>
      </c>
      <c r="AC1935" s="0" t="inlineStr">
        <is>
          <t>강동구</t>
        </is>
      </c>
      <c r="AD1935" s="0" t="inlineStr">
        <is>
          <t>성내동</t>
        </is>
      </c>
      <c r="AG1935" s="0" t="inlineStr">
        <is>
          <t>서울시 강동구 성내로17길 72</t>
        </is>
      </c>
      <c r="AH1935" s="0" t="n">
        <v>0</v>
      </c>
      <c r="AI1935" s="0" t="n">
        <v>198</v>
      </c>
      <c r="AJ1935" s="0" t="n">
        <v>23</v>
      </c>
      <c r="AK1935" s="0" t="n">
        <v>37</v>
      </c>
      <c r="AL1935" s="0" t="n">
        <v>1.95</v>
      </c>
    </row>
    <row r="1936">
      <c r="A1936" s="0" t="inlineStr">
        <is>
          <t>[성내동]</t>
        </is>
      </c>
      <c r="B1936" s="0" t="n">
        <v>27169</v>
      </c>
      <c r="C1936" s="0" t="n">
        <v>5</v>
      </c>
      <c r="D1936" s="0" t="inlineStr">
        <is>
          <t>미랜드프레임빌</t>
        </is>
      </c>
      <c r="E1936" s="0" t="inlineStr">
        <is>
          <t>2006.10.</t>
        </is>
      </c>
      <c r="F1936" s="0" t="n">
        <v>19</v>
      </c>
      <c r="G1936" s="0" t="n">
        <v>42.48</v>
      </c>
      <c r="H1936" s="0" t="n">
        <v>140.44</v>
      </c>
      <c r="I1936" s="0" t="n">
        <v>38.58</v>
      </c>
      <c r="J1936" s="0" t="n">
        <v>127.55</v>
      </c>
      <c r="K1936" s="0" t="n">
        <v>9</v>
      </c>
      <c r="T1936" s="0" t="n">
        <v>4</v>
      </c>
      <c r="U1936" s="0" t="n">
        <v>2</v>
      </c>
      <c r="V1936" s="0" t="inlineStr">
        <is>
          <t>계단식</t>
        </is>
      </c>
      <c r="W1936" s="0" t="inlineStr">
        <is>
          <t>140B</t>
        </is>
      </c>
      <c r="X1936" s="0" t="n">
        <v>10</v>
      </c>
      <c r="Y1936" s="0" t="n">
        <v>10</v>
      </c>
      <c r="Z1936" s="0" t="inlineStr">
        <is>
          <t>https://new.land.naver.com/complexes/27169?tab=detail&amp;rf=Y</t>
        </is>
      </c>
      <c r="AA1936" s="0" t="inlineStr">
        <is>
          <t>서울시 강동구 성내동 420-20</t>
        </is>
      </c>
      <c r="AB1936" s="0" t="inlineStr">
        <is>
          <t>서울시</t>
        </is>
      </c>
      <c r="AC1936" s="0" t="inlineStr">
        <is>
          <t>강동구</t>
        </is>
      </c>
      <c r="AD1936" s="0" t="inlineStr">
        <is>
          <t>성내동</t>
        </is>
      </c>
      <c r="AG1936" s="0" t="inlineStr">
        <is>
          <t>서울시 강동구 성내로17길 72</t>
        </is>
      </c>
      <c r="AH1936" s="0" t="n">
        <v>0</v>
      </c>
      <c r="AI1936" s="0" t="n">
        <v>198</v>
      </c>
      <c r="AJ1936" s="0" t="n">
        <v>23</v>
      </c>
      <c r="AK1936" s="0" t="n">
        <v>37</v>
      </c>
      <c r="AL1936" s="0" t="n">
        <v>1.95</v>
      </c>
    </row>
    <row r="1937">
      <c r="A1937" s="0" t="inlineStr">
        <is>
          <t>[성내동]</t>
        </is>
      </c>
      <c r="B1937" s="0" t="n">
        <v>993</v>
      </c>
      <c r="C1937" s="0" t="n">
        <v>1</v>
      </c>
      <c r="D1937" s="0" t="inlineStr">
        <is>
          <t>성내삼성</t>
        </is>
      </c>
      <c r="E1937" s="0" t="inlineStr">
        <is>
          <t>1999.09.</t>
        </is>
      </c>
      <c r="F1937" s="0" t="n">
        <v>1220</v>
      </c>
      <c r="G1937" s="0" t="n">
        <v>25.8</v>
      </c>
      <c r="H1937" s="0" t="n">
        <v>85.31</v>
      </c>
      <c r="I1937" s="0" t="n">
        <v>18.11</v>
      </c>
      <c r="J1937" s="0" t="n">
        <v>59.88</v>
      </c>
      <c r="K1937" s="0" t="n">
        <v>510</v>
      </c>
      <c r="T1937" s="0" t="n">
        <v>3</v>
      </c>
      <c r="U1937" s="0" t="n">
        <v>1</v>
      </c>
      <c r="V1937" s="0" t="inlineStr">
        <is>
          <t>복도식</t>
        </is>
      </c>
      <c r="W1937" s="0" t="n">
        <v>85</v>
      </c>
      <c r="X1937" s="0" t="n">
        <v>28</v>
      </c>
      <c r="Y1937" s="0" t="n">
        <v>9</v>
      </c>
      <c r="Z1937" s="0" t="inlineStr">
        <is>
          <t>https://new.land.naver.com/complexes/993?tab=detail&amp;rf=Y</t>
        </is>
      </c>
      <c r="AA1937" s="0" t="inlineStr">
        <is>
          <t>서울시 강동구 성내동 590</t>
        </is>
      </c>
      <c r="AB1937" s="0" t="inlineStr">
        <is>
          <t>서울시</t>
        </is>
      </c>
      <c r="AC1937" s="0" t="inlineStr">
        <is>
          <t>강동구</t>
        </is>
      </c>
      <c r="AD1937" s="0" t="inlineStr">
        <is>
          <t>성내동</t>
        </is>
      </c>
      <c r="AG1937" s="0" t="inlineStr">
        <is>
          <t>서울시 강동구 풍성로 127</t>
        </is>
      </c>
      <c r="AH1937" s="0" t="n">
        <v>0</v>
      </c>
      <c r="AI1937" s="0" t="n">
        <v>319</v>
      </c>
      <c r="AJ1937" s="0" t="n">
        <v>26</v>
      </c>
      <c r="AK1937" s="0" t="n">
        <v>1262</v>
      </c>
      <c r="AL1937" s="0" t="n">
        <v>1.03</v>
      </c>
    </row>
    <row r="1938">
      <c r="A1938" s="0" t="inlineStr">
        <is>
          <t>[성내동]</t>
        </is>
      </c>
      <c r="B1938" s="0" t="n">
        <v>993</v>
      </c>
      <c r="C1938" s="0" t="n">
        <v>2</v>
      </c>
      <c r="D1938" s="0" t="inlineStr">
        <is>
          <t>성내삼성</t>
        </is>
      </c>
      <c r="E1938" s="0" t="inlineStr">
        <is>
          <t>1999.09.</t>
        </is>
      </c>
      <c r="F1938" s="0" t="n">
        <v>1220</v>
      </c>
      <c r="G1938" s="0" t="n">
        <v>33.46</v>
      </c>
      <c r="H1938" s="0" t="n">
        <v>110.64</v>
      </c>
      <c r="I1938" s="0" t="n">
        <v>25.7</v>
      </c>
      <c r="J1938" s="0" t="n">
        <v>84.98999999999999</v>
      </c>
      <c r="K1938" s="0" t="n">
        <v>485</v>
      </c>
      <c r="T1938" s="0" t="n">
        <v>3</v>
      </c>
      <c r="U1938" s="0" t="n">
        <v>2</v>
      </c>
      <c r="V1938" s="0" t="inlineStr">
        <is>
          <t>계단식</t>
        </is>
      </c>
      <c r="W1938" s="0" t="n">
        <v>110</v>
      </c>
      <c r="X1938" s="0" t="n">
        <v>28</v>
      </c>
      <c r="Y1938" s="0" t="n">
        <v>9</v>
      </c>
      <c r="Z1938" s="0" t="inlineStr">
        <is>
          <t>https://new.land.naver.com/complexes/993?tab=detail&amp;rf=Y</t>
        </is>
      </c>
      <c r="AA1938" s="0" t="inlineStr">
        <is>
          <t>서울시 강동구 성내동 590</t>
        </is>
      </c>
      <c r="AB1938" s="0" t="inlineStr">
        <is>
          <t>서울시</t>
        </is>
      </c>
      <c r="AC1938" s="0" t="inlineStr">
        <is>
          <t>강동구</t>
        </is>
      </c>
      <c r="AD1938" s="0" t="inlineStr">
        <is>
          <t>성내동</t>
        </is>
      </c>
      <c r="AG1938" s="0" t="inlineStr">
        <is>
          <t>서울시 강동구 풍성로 127</t>
        </is>
      </c>
      <c r="AH1938" s="0" t="n">
        <v>0</v>
      </c>
      <c r="AI1938" s="0" t="n">
        <v>319</v>
      </c>
      <c r="AJ1938" s="0" t="n">
        <v>26</v>
      </c>
      <c r="AK1938" s="0" t="n">
        <v>1262</v>
      </c>
      <c r="AL1938" s="0" t="n">
        <v>1.03</v>
      </c>
    </row>
    <row r="1939">
      <c r="A1939" s="0" t="inlineStr">
        <is>
          <t>[성내동]</t>
        </is>
      </c>
      <c r="B1939" s="0" t="n">
        <v>993</v>
      </c>
      <c r="C1939" s="0" t="n">
        <v>3</v>
      </c>
      <c r="D1939" s="0" t="inlineStr">
        <is>
          <t>성내삼성</t>
        </is>
      </c>
      <c r="E1939" s="0" t="inlineStr">
        <is>
          <t>1999.09.</t>
        </is>
      </c>
      <c r="F1939" s="0" t="n">
        <v>1220</v>
      </c>
      <c r="G1939" s="0" t="n">
        <v>43.21</v>
      </c>
      <c r="H1939" s="0" t="n">
        <v>142.85</v>
      </c>
      <c r="I1939" s="0" t="n">
        <v>34.76</v>
      </c>
      <c r="J1939" s="0" t="n">
        <v>114.93</v>
      </c>
      <c r="K1939" s="0" t="n">
        <v>225</v>
      </c>
      <c r="T1939" s="0" t="n">
        <v>4</v>
      </c>
      <c r="U1939" s="0" t="n">
        <v>2</v>
      </c>
      <c r="V1939" s="0" t="inlineStr">
        <is>
          <t>계단식</t>
        </is>
      </c>
      <c r="W1939" s="0" t="n">
        <v>142</v>
      </c>
      <c r="X1939" s="0" t="n">
        <v>28</v>
      </c>
      <c r="Y1939" s="0" t="n">
        <v>9</v>
      </c>
      <c r="Z1939" s="0" t="inlineStr">
        <is>
          <t>https://new.land.naver.com/complexes/993?tab=detail&amp;rf=Y</t>
        </is>
      </c>
      <c r="AA1939" s="0" t="inlineStr">
        <is>
          <t>서울시 강동구 성내동 590</t>
        </is>
      </c>
      <c r="AB1939" s="0" t="inlineStr">
        <is>
          <t>서울시</t>
        </is>
      </c>
      <c r="AC1939" s="0" t="inlineStr">
        <is>
          <t>강동구</t>
        </is>
      </c>
      <c r="AD1939" s="0" t="inlineStr">
        <is>
          <t>성내동</t>
        </is>
      </c>
      <c r="AG1939" s="0" t="inlineStr">
        <is>
          <t>서울시 강동구 풍성로 127</t>
        </is>
      </c>
      <c r="AH1939" s="0" t="n">
        <v>0</v>
      </c>
      <c r="AI1939" s="0" t="n">
        <v>319</v>
      </c>
      <c r="AJ1939" s="0" t="n">
        <v>26</v>
      </c>
      <c r="AK1939" s="0" t="n">
        <v>1262</v>
      </c>
      <c r="AL1939" s="0" t="n">
        <v>1.03</v>
      </c>
    </row>
    <row r="1940">
      <c r="A1940" s="0" t="inlineStr">
        <is>
          <t>[성내동]</t>
        </is>
      </c>
      <c r="B1940" s="0" t="n">
        <v>104765</v>
      </c>
      <c r="C1940" s="0" t="n">
        <v>1</v>
      </c>
      <c r="D1940" s="0" t="inlineStr">
        <is>
          <t>아이퍼스트빌</t>
        </is>
      </c>
      <c r="E1940" s="0" t="inlineStr">
        <is>
          <t>2012.04.</t>
        </is>
      </c>
      <c r="F1940" s="0" t="n">
        <v>96</v>
      </c>
      <c r="G1940" s="0" t="n">
        <v>7.39</v>
      </c>
      <c r="H1940" s="0" t="n">
        <v>24.43</v>
      </c>
      <c r="I1940" s="0" t="n">
        <v>4.82</v>
      </c>
      <c r="J1940" s="0" t="n">
        <v>15.94</v>
      </c>
      <c r="K1940" s="0" t="n">
        <v>96</v>
      </c>
      <c r="T1940" s="0" t="n">
        <v>1</v>
      </c>
      <c r="U1940" s="0" t="n">
        <v>1</v>
      </c>
      <c r="V1940" s="0" t="inlineStr">
        <is>
          <t>복도식</t>
        </is>
      </c>
      <c r="W1940" s="0" t="n">
        <v>24</v>
      </c>
      <c r="X1940" s="0" t="n">
        <v>16</v>
      </c>
      <c r="Y1940" s="0" t="n">
        <v>16</v>
      </c>
      <c r="Z1940" s="0" t="inlineStr">
        <is>
          <t>https://new.land.naver.com/complexes/104765?tab=detail&amp;rf=Y</t>
        </is>
      </c>
      <c r="AA1940" s="0" t="inlineStr">
        <is>
          <t>서울시 강동구 성내동 199-18</t>
        </is>
      </c>
      <c r="AB1940" s="0" t="inlineStr">
        <is>
          <t>서울시</t>
        </is>
      </c>
      <c r="AC1940" s="0" t="inlineStr">
        <is>
          <t>강동구</t>
        </is>
      </c>
      <c r="AD1940" s="0" t="inlineStr">
        <is>
          <t>성내동</t>
        </is>
      </c>
      <c r="AG1940" s="0" t="inlineStr">
        <is>
          <t>서울시 강동구 천호대로174길 16</t>
        </is>
      </c>
      <c r="AH1940" s="0" t="n">
        <v>0</v>
      </c>
      <c r="AI1940" s="0" t="n">
        <v>477</v>
      </c>
      <c r="AJ1940" s="0" t="n">
        <v>55</v>
      </c>
      <c r="AK1940" s="0" t="n">
        <v>36</v>
      </c>
      <c r="AL1940" s="0" t="n">
        <v>0.38</v>
      </c>
    </row>
    <row r="1941">
      <c r="A1941" s="0" t="inlineStr">
        <is>
          <t>[성내동]</t>
        </is>
      </c>
      <c r="B1941" s="0" t="n">
        <v>10582</v>
      </c>
      <c r="C1941" s="0" t="n">
        <v>1</v>
      </c>
      <c r="D1941" s="0" t="inlineStr">
        <is>
          <t>동남2차</t>
        </is>
      </c>
      <c r="E1941" s="0" t="inlineStr">
        <is>
          <t>2002.08.</t>
        </is>
      </c>
      <c r="F1941" s="0" t="n">
        <v>19</v>
      </c>
      <c r="G1941" s="0" t="n">
        <v>23.32</v>
      </c>
      <c r="H1941" s="0" t="n">
        <v>77.12</v>
      </c>
      <c r="I1941" s="0" t="n">
        <v>19.76</v>
      </c>
      <c r="J1941" s="0" t="n">
        <v>65.34</v>
      </c>
      <c r="K1941" s="0" t="n">
        <v>1</v>
      </c>
      <c r="T1941" s="0" t="n">
        <v>3</v>
      </c>
      <c r="U1941" s="0" t="n">
        <v>2</v>
      </c>
      <c r="V1941" s="0" t="inlineStr">
        <is>
          <t>복도식</t>
        </is>
      </c>
      <c r="W1941" s="0" t="n">
        <v>77</v>
      </c>
      <c r="X1941" s="0" t="n">
        <v>7</v>
      </c>
      <c r="Y1941" s="0" t="n">
        <v>6</v>
      </c>
      <c r="Z1941" s="0" t="inlineStr">
        <is>
          <t>https://new.land.naver.com/complexes/10582?tab=detail&amp;rf=Y</t>
        </is>
      </c>
      <c r="AA1941" s="0" t="inlineStr">
        <is>
          <t>서울시 강동구 성내동 446-12</t>
        </is>
      </c>
      <c r="AB1941" s="0" t="inlineStr">
        <is>
          <t>서울시</t>
        </is>
      </c>
      <c r="AC1941" s="0" t="inlineStr">
        <is>
          <t>강동구</t>
        </is>
      </c>
      <c r="AD1941" s="0" t="inlineStr">
        <is>
          <t>성내동</t>
        </is>
      </c>
      <c r="AG1941" s="0" t="inlineStr">
        <is>
          <t>서울시 강동구 양재대로91나길 94</t>
        </is>
      </c>
      <c r="AH1941" s="0" t="n">
        <v>0</v>
      </c>
      <c r="AI1941" s="0" t="n">
        <v>252</v>
      </c>
      <c r="AJ1941" s="0" t="n">
        <v>42</v>
      </c>
      <c r="AK1941" s="0" t="n">
        <v>21</v>
      </c>
      <c r="AL1941" s="0" t="n">
        <v>1.11</v>
      </c>
    </row>
    <row r="1942">
      <c r="A1942" s="0" t="inlineStr">
        <is>
          <t>[성내동]</t>
        </is>
      </c>
      <c r="B1942" s="0" t="n">
        <v>10582</v>
      </c>
      <c r="C1942" s="0" t="n">
        <v>2</v>
      </c>
      <c r="D1942" s="0" t="inlineStr">
        <is>
          <t>동남2차</t>
        </is>
      </c>
      <c r="E1942" s="0" t="inlineStr">
        <is>
          <t>2002.08.</t>
        </is>
      </c>
      <c r="F1942" s="0" t="n">
        <v>19</v>
      </c>
      <c r="G1942" s="0" t="n">
        <v>24.65</v>
      </c>
      <c r="H1942" s="0" t="n">
        <v>81.52</v>
      </c>
      <c r="I1942" s="0" t="n">
        <v>20.89</v>
      </c>
      <c r="J1942" s="0" t="n">
        <v>69.06</v>
      </c>
      <c r="K1942" s="0" t="n">
        <v>1</v>
      </c>
      <c r="T1942" s="0" t="n">
        <v>3</v>
      </c>
      <c r="U1942" s="0" t="n">
        <v>2</v>
      </c>
      <c r="V1942" s="0" t="inlineStr">
        <is>
          <t>복도식</t>
        </is>
      </c>
      <c r="W1942" s="0" t="n">
        <v>81</v>
      </c>
      <c r="X1942" s="0" t="n">
        <v>7</v>
      </c>
      <c r="Y1942" s="0" t="n">
        <v>6</v>
      </c>
      <c r="Z1942" s="0" t="inlineStr">
        <is>
          <t>https://new.land.naver.com/complexes/10582?tab=detail&amp;rf=Y</t>
        </is>
      </c>
      <c r="AA1942" s="0" t="inlineStr">
        <is>
          <t>서울시 강동구 성내동 446-12</t>
        </is>
      </c>
      <c r="AB1942" s="0" t="inlineStr">
        <is>
          <t>서울시</t>
        </is>
      </c>
      <c r="AC1942" s="0" t="inlineStr">
        <is>
          <t>강동구</t>
        </is>
      </c>
      <c r="AD1942" s="0" t="inlineStr">
        <is>
          <t>성내동</t>
        </is>
      </c>
      <c r="AG1942" s="0" t="inlineStr">
        <is>
          <t>서울시 강동구 양재대로91나길 94</t>
        </is>
      </c>
      <c r="AH1942" s="0" t="n">
        <v>0</v>
      </c>
      <c r="AI1942" s="0" t="n">
        <v>252</v>
      </c>
      <c r="AJ1942" s="0" t="n">
        <v>42</v>
      </c>
      <c r="AK1942" s="0" t="n">
        <v>21</v>
      </c>
      <c r="AL1942" s="0" t="n">
        <v>1.11</v>
      </c>
    </row>
    <row r="1943">
      <c r="A1943" s="0" t="inlineStr">
        <is>
          <t>[성내동]</t>
        </is>
      </c>
      <c r="B1943" s="0" t="n">
        <v>10582</v>
      </c>
      <c r="C1943" s="0" t="n">
        <v>3</v>
      </c>
      <c r="D1943" s="0" t="inlineStr">
        <is>
          <t>동남2차</t>
        </is>
      </c>
      <c r="E1943" s="0" t="inlineStr">
        <is>
          <t>2002.08.</t>
        </is>
      </c>
      <c r="F1943" s="0" t="n">
        <v>19</v>
      </c>
      <c r="G1943" s="0" t="n">
        <v>28.54</v>
      </c>
      <c r="H1943" s="0" t="n">
        <v>94.34999999999999</v>
      </c>
      <c r="I1943" s="0" t="n">
        <v>24.17</v>
      </c>
      <c r="J1943" s="0" t="n">
        <v>79.93000000000001</v>
      </c>
      <c r="K1943" s="0" t="n">
        <v>1</v>
      </c>
      <c r="T1943" s="0" t="n">
        <v>3</v>
      </c>
      <c r="U1943" s="0" t="n">
        <v>2</v>
      </c>
      <c r="V1943" s="0" t="inlineStr">
        <is>
          <t>계단식</t>
        </is>
      </c>
      <c r="W1943" s="0" t="inlineStr">
        <is>
          <t>94A</t>
        </is>
      </c>
      <c r="X1943" s="0" t="n">
        <v>7</v>
      </c>
      <c r="Y1943" s="0" t="n">
        <v>6</v>
      </c>
      <c r="Z1943" s="0" t="inlineStr">
        <is>
          <t>https://new.land.naver.com/complexes/10582?tab=detail&amp;rf=Y</t>
        </is>
      </c>
      <c r="AA1943" s="0" t="inlineStr">
        <is>
          <t>서울시 강동구 성내동 446-12</t>
        </is>
      </c>
      <c r="AB1943" s="0" t="inlineStr">
        <is>
          <t>서울시</t>
        </is>
      </c>
      <c r="AC1943" s="0" t="inlineStr">
        <is>
          <t>강동구</t>
        </is>
      </c>
      <c r="AD1943" s="0" t="inlineStr">
        <is>
          <t>성내동</t>
        </is>
      </c>
      <c r="AG1943" s="0" t="inlineStr">
        <is>
          <t>서울시 강동구 양재대로91나길 94</t>
        </is>
      </c>
      <c r="AH1943" s="0" t="n">
        <v>0</v>
      </c>
      <c r="AI1943" s="0" t="n">
        <v>252</v>
      </c>
      <c r="AJ1943" s="0" t="n">
        <v>42</v>
      </c>
      <c r="AK1943" s="0" t="n">
        <v>21</v>
      </c>
      <c r="AL1943" s="0" t="n">
        <v>1.11</v>
      </c>
    </row>
    <row r="1944">
      <c r="A1944" s="0" t="inlineStr">
        <is>
          <t>[성내동]</t>
        </is>
      </c>
      <c r="B1944" s="0" t="n">
        <v>10582</v>
      </c>
      <c r="C1944" s="0" t="n">
        <v>4</v>
      </c>
      <c r="D1944" s="0" t="inlineStr">
        <is>
          <t>동남2차</t>
        </is>
      </c>
      <c r="E1944" s="0" t="inlineStr">
        <is>
          <t>2002.08.</t>
        </is>
      </c>
      <c r="F1944" s="0" t="n">
        <v>19</v>
      </c>
      <c r="G1944" s="0" t="n">
        <v>28.96</v>
      </c>
      <c r="H1944" s="0" t="n">
        <v>95.76000000000001</v>
      </c>
      <c r="I1944" s="0" t="n">
        <v>24.54</v>
      </c>
      <c r="J1944" s="0" t="n">
        <v>81.13</v>
      </c>
      <c r="K1944" s="0" t="n">
        <v>1</v>
      </c>
      <c r="T1944" s="0" t="n">
        <v>3</v>
      </c>
      <c r="U1944" s="0" t="n">
        <v>2</v>
      </c>
      <c r="V1944" s="0" t="inlineStr">
        <is>
          <t>계단식</t>
        </is>
      </c>
      <c r="W1944" s="0" t="inlineStr">
        <is>
          <t>95B</t>
        </is>
      </c>
      <c r="X1944" s="0" t="n">
        <v>7</v>
      </c>
      <c r="Y1944" s="0" t="n">
        <v>6</v>
      </c>
      <c r="Z1944" s="0" t="inlineStr">
        <is>
          <t>https://new.land.naver.com/complexes/10582?tab=detail&amp;rf=Y</t>
        </is>
      </c>
      <c r="AA1944" s="0" t="inlineStr">
        <is>
          <t>서울시 강동구 성내동 446-12</t>
        </is>
      </c>
      <c r="AB1944" s="0" t="inlineStr">
        <is>
          <t>서울시</t>
        </is>
      </c>
      <c r="AC1944" s="0" t="inlineStr">
        <is>
          <t>강동구</t>
        </is>
      </c>
      <c r="AD1944" s="0" t="inlineStr">
        <is>
          <t>성내동</t>
        </is>
      </c>
      <c r="AG1944" s="0" t="inlineStr">
        <is>
          <t>서울시 강동구 양재대로91나길 94</t>
        </is>
      </c>
      <c r="AH1944" s="0" t="n">
        <v>0</v>
      </c>
      <c r="AI1944" s="0" t="n">
        <v>252</v>
      </c>
      <c r="AJ1944" s="0" t="n">
        <v>42</v>
      </c>
      <c r="AK1944" s="0" t="n">
        <v>21</v>
      </c>
      <c r="AL1944" s="0" t="n">
        <v>1.11</v>
      </c>
    </row>
    <row r="1945">
      <c r="A1945" s="0" t="inlineStr">
        <is>
          <t>[성내동]</t>
        </is>
      </c>
      <c r="B1945" s="0" t="n">
        <v>10582</v>
      </c>
      <c r="C1945" s="0" t="n">
        <v>5</v>
      </c>
      <c r="D1945" s="0" t="inlineStr">
        <is>
          <t>동남2차</t>
        </is>
      </c>
      <c r="E1945" s="0" t="inlineStr">
        <is>
          <t>2002.08.</t>
        </is>
      </c>
      <c r="F1945" s="0" t="n">
        <v>19</v>
      </c>
      <c r="G1945" s="0" t="n">
        <v>29.06</v>
      </c>
      <c r="H1945" s="0" t="n">
        <v>96.08</v>
      </c>
      <c r="I1945" s="0" t="n">
        <v>24.62</v>
      </c>
      <c r="J1945" s="0" t="n">
        <v>81.39</v>
      </c>
      <c r="K1945" s="0" t="n">
        <v>4</v>
      </c>
      <c r="T1945" s="0" t="n">
        <v>3</v>
      </c>
      <c r="U1945" s="0" t="n">
        <v>2</v>
      </c>
      <c r="V1945" s="0" t="inlineStr">
        <is>
          <t>계단식</t>
        </is>
      </c>
      <c r="W1945" s="0" t="inlineStr">
        <is>
          <t>96C</t>
        </is>
      </c>
      <c r="X1945" s="0" t="n">
        <v>7</v>
      </c>
      <c r="Y1945" s="0" t="n">
        <v>6</v>
      </c>
      <c r="Z1945" s="0" t="inlineStr">
        <is>
          <t>https://new.land.naver.com/complexes/10582?tab=detail&amp;rf=Y</t>
        </is>
      </c>
      <c r="AA1945" s="0" t="inlineStr">
        <is>
          <t>서울시 강동구 성내동 446-12</t>
        </is>
      </c>
      <c r="AB1945" s="0" t="inlineStr">
        <is>
          <t>서울시</t>
        </is>
      </c>
      <c r="AC1945" s="0" t="inlineStr">
        <is>
          <t>강동구</t>
        </is>
      </c>
      <c r="AD1945" s="0" t="inlineStr">
        <is>
          <t>성내동</t>
        </is>
      </c>
      <c r="AG1945" s="0" t="inlineStr">
        <is>
          <t>서울시 강동구 양재대로91나길 94</t>
        </is>
      </c>
      <c r="AH1945" s="0" t="n">
        <v>0</v>
      </c>
      <c r="AI1945" s="0" t="n">
        <v>252</v>
      </c>
      <c r="AJ1945" s="0" t="n">
        <v>42</v>
      </c>
      <c r="AK1945" s="0" t="n">
        <v>21</v>
      </c>
      <c r="AL1945" s="0" t="n">
        <v>1.11</v>
      </c>
    </row>
    <row r="1946">
      <c r="A1946" s="0" t="inlineStr">
        <is>
          <t>[성내동]</t>
        </is>
      </c>
      <c r="B1946" s="0" t="n">
        <v>10582</v>
      </c>
      <c r="C1946" s="0" t="n">
        <v>6</v>
      </c>
      <c r="D1946" s="0" t="inlineStr">
        <is>
          <t>동남2차</t>
        </is>
      </c>
      <c r="E1946" s="0" t="inlineStr">
        <is>
          <t>2002.08.</t>
        </is>
      </c>
      <c r="F1946" s="0" t="n">
        <v>19</v>
      </c>
      <c r="G1946" s="0" t="n">
        <v>30.04</v>
      </c>
      <c r="H1946" s="0" t="n">
        <v>99.31</v>
      </c>
      <c r="I1946" s="0" t="n">
        <v>25.44</v>
      </c>
      <c r="J1946" s="0" t="n">
        <v>84.13</v>
      </c>
      <c r="K1946" s="0" t="n">
        <v>10</v>
      </c>
      <c r="T1946" s="0" t="n">
        <v>3</v>
      </c>
      <c r="U1946" s="0" t="n">
        <v>2</v>
      </c>
      <c r="V1946" s="0" t="inlineStr">
        <is>
          <t>계단식</t>
        </is>
      </c>
      <c r="W1946" s="0" t="inlineStr">
        <is>
          <t>99A</t>
        </is>
      </c>
      <c r="X1946" s="0" t="n">
        <v>7</v>
      </c>
      <c r="Y1946" s="0" t="n">
        <v>6</v>
      </c>
      <c r="Z1946" s="0" t="inlineStr">
        <is>
          <t>https://new.land.naver.com/complexes/10582?tab=detail&amp;rf=Y</t>
        </is>
      </c>
      <c r="AA1946" s="0" t="inlineStr">
        <is>
          <t>서울시 강동구 성내동 446-12</t>
        </is>
      </c>
      <c r="AB1946" s="0" t="inlineStr">
        <is>
          <t>서울시</t>
        </is>
      </c>
      <c r="AC1946" s="0" t="inlineStr">
        <is>
          <t>강동구</t>
        </is>
      </c>
      <c r="AD1946" s="0" t="inlineStr">
        <is>
          <t>성내동</t>
        </is>
      </c>
      <c r="AG1946" s="0" t="inlineStr">
        <is>
          <t>서울시 강동구 양재대로91나길 94</t>
        </is>
      </c>
      <c r="AH1946" s="0" t="n">
        <v>0</v>
      </c>
      <c r="AI1946" s="0" t="n">
        <v>252</v>
      </c>
      <c r="AJ1946" s="0" t="n">
        <v>42</v>
      </c>
      <c r="AK1946" s="0" t="n">
        <v>21</v>
      </c>
      <c r="AL1946" s="0" t="n">
        <v>1.11</v>
      </c>
    </row>
    <row r="1947">
      <c r="A1947" s="0" t="inlineStr">
        <is>
          <t>[성내동]</t>
        </is>
      </c>
      <c r="B1947" s="0" t="n">
        <v>10582</v>
      </c>
      <c r="C1947" s="0" t="n">
        <v>7</v>
      </c>
      <c r="D1947" s="0" t="inlineStr">
        <is>
          <t>동남2차</t>
        </is>
      </c>
      <c r="E1947" s="0" t="inlineStr">
        <is>
          <t>2002.08.</t>
        </is>
      </c>
      <c r="F1947" s="0" t="n">
        <v>19</v>
      </c>
      <c r="G1947" s="0" t="n">
        <v>30.1</v>
      </c>
      <c r="H1947" s="0" t="n">
        <v>99.52</v>
      </c>
      <c r="I1947" s="0" t="n">
        <v>25.5</v>
      </c>
      <c r="J1947" s="0" t="n">
        <v>84.31</v>
      </c>
      <c r="K1947" s="0" t="n">
        <v>1</v>
      </c>
      <c r="T1947" s="0" t="n">
        <v>3</v>
      </c>
      <c r="U1947" s="0" t="n">
        <v>2</v>
      </c>
      <c r="V1947" s="0" t="inlineStr">
        <is>
          <t>계단식</t>
        </is>
      </c>
      <c r="W1947" s="0" t="inlineStr">
        <is>
          <t>99B</t>
        </is>
      </c>
      <c r="X1947" s="0" t="n">
        <v>7</v>
      </c>
      <c r="Y1947" s="0" t="n">
        <v>6</v>
      </c>
      <c r="Z1947" s="0" t="inlineStr">
        <is>
          <t>https://new.land.naver.com/complexes/10582?tab=detail&amp;rf=Y</t>
        </is>
      </c>
      <c r="AA1947" s="0" t="inlineStr">
        <is>
          <t>서울시 강동구 성내동 446-12</t>
        </is>
      </c>
      <c r="AB1947" s="0" t="inlineStr">
        <is>
          <t>서울시</t>
        </is>
      </c>
      <c r="AC1947" s="0" t="inlineStr">
        <is>
          <t>강동구</t>
        </is>
      </c>
      <c r="AD1947" s="0" t="inlineStr">
        <is>
          <t>성내동</t>
        </is>
      </c>
      <c r="AG1947" s="0" t="inlineStr">
        <is>
          <t>서울시 강동구 양재대로91나길 94</t>
        </is>
      </c>
      <c r="AH1947" s="0" t="n">
        <v>0</v>
      </c>
      <c r="AI1947" s="0" t="n">
        <v>252</v>
      </c>
      <c r="AJ1947" s="0" t="n">
        <v>42</v>
      </c>
      <c r="AK1947" s="0" t="n">
        <v>21</v>
      </c>
      <c r="AL1947" s="0" t="n">
        <v>1.11</v>
      </c>
    </row>
    <row r="1948">
      <c r="A1948" s="0" t="inlineStr">
        <is>
          <t>[성내동]</t>
        </is>
      </c>
      <c r="B1948" s="0" t="n">
        <v>22943</v>
      </c>
      <c r="C1948" s="0" t="n">
        <v>1</v>
      </c>
      <c r="D1948" s="0" t="inlineStr">
        <is>
          <t>우성</t>
        </is>
      </c>
      <c r="E1948" s="0" t="inlineStr">
        <is>
          <t>2004.05.</t>
        </is>
      </c>
      <c r="F1948" s="0" t="n">
        <v>57</v>
      </c>
      <c r="G1948" s="0" t="n">
        <v>14.01</v>
      </c>
      <c r="H1948" s="0" t="n">
        <v>46.33</v>
      </c>
      <c r="I1948" s="0" t="n">
        <v>11.51</v>
      </c>
      <c r="J1948" s="0" t="n">
        <v>38.05</v>
      </c>
      <c r="K1948" s="0" t="n">
        <v>2</v>
      </c>
      <c r="T1948" s="0" t="n">
        <v>2</v>
      </c>
      <c r="U1948" s="0" t="n">
        <v>1</v>
      </c>
      <c r="V1948" s="0" t="inlineStr">
        <is>
          <t>계단식</t>
        </is>
      </c>
      <c r="W1948" s="0" t="inlineStr">
        <is>
          <t>46C</t>
        </is>
      </c>
      <c r="X1948" s="0" t="n">
        <v>7</v>
      </c>
      <c r="Y1948" s="0" t="n">
        <v>2</v>
      </c>
      <c r="Z1948" s="0" t="inlineStr">
        <is>
          <t>https://new.land.naver.com/complexes/22943?tab=detail&amp;rf=Y</t>
        </is>
      </c>
      <c r="AA1948" s="0" t="inlineStr">
        <is>
          <t>서울시 강동구 성내동 386-83</t>
        </is>
      </c>
      <c r="AB1948" s="0" t="inlineStr">
        <is>
          <t>서울시</t>
        </is>
      </c>
      <c r="AC1948" s="0" t="inlineStr">
        <is>
          <t>강동구</t>
        </is>
      </c>
      <c r="AD1948" s="0" t="inlineStr">
        <is>
          <t>성내동</t>
        </is>
      </c>
      <c r="AG1948" s="0" t="inlineStr">
        <is>
          <t>서울시 강동구 양재대로101길 51-18</t>
        </is>
      </c>
      <c r="AH1948" s="0" t="n">
        <v>0</v>
      </c>
      <c r="AI1948" s="0" t="n">
        <v>0</v>
      </c>
      <c r="AJ1948" s="0" t="n">
        <v>0</v>
      </c>
      <c r="AK1948" s="0" t="n">
        <v>60</v>
      </c>
      <c r="AL1948" s="0" t="n">
        <v>1.05</v>
      </c>
    </row>
    <row r="1949">
      <c r="A1949" s="0" t="inlineStr">
        <is>
          <t>[성내동]</t>
        </is>
      </c>
      <c r="B1949" s="0" t="n">
        <v>22943</v>
      </c>
      <c r="C1949" s="0" t="n">
        <v>2</v>
      </c>
      <c r="D1949" s="0" t="inlineStr">
        <is>
          <t>우성</t>
        </is>
      </c>
      <c r="E1949" s="0" t="inlineStr">
        <is>
          <t>2004.05.</t>
        </is>
      </c>
      <c r="F1949" s="0" t="n">
        <v>57</v>
      </c>
      <c r="G1949" s="0" t="n">
        <v>14.45</v>
      </c>
      <c r="H1949" s="0" t="n">
        <v>47.77</v>
      </c>
      <c r="I1949" s="0" t="n">
        <v>11.44</v>
      </c>
      <c r="J1949" s="0" t="n">
        <v>37.85</v>
      </c>
      <c r="K1949" s="0" t="n">
        <v>1</v>
      </c>
      <c r="T1949" s="0" t="n">
        <v>2</v>
      </c>
      <c r="U1949" s="0" t="n">
        <v>1</v>
      </c>
      <c r="V1949" s="0" t="inlineStr">
        <is>
          <t>계단식</t>
        </is>
      </c>
      <c r="W1949" s="0" t="inlineStr">
        <is>
          <t>47A</t>
        </is>
      </c>
      <c r="X1949" s="0" t="n">
        <v>7</v>
      </c>
      <c r="Y1949" s="0" t="n">
        <v>2</v>
      </c>
      <c r="Z1949" s="0" t="inlineStr">
        <is>
          <t>https://new.land.naver.com/complexes/22943?tab=detail&amp;rf=Y</t>
        </is>
      </c>
      <c r="AA1949" s="0" t="inlineStr">
        <is>
          <t>서울시 강동구 성내동 386-83</t>
        </is>
      </c>
      <c r="AB1949" s="0" t="inlineStr">
        <is>
          <t>서울시</t>
        </is>
      </c>
      <c r="AC1949" s="0" t="inlineStr">
        <is>
          <t>강동구</t>
        </is>
      </c>
      <c r="AD1949" s="0" t="inlineStr">
        <is>
          <t>성내동</t>
        </is>
      </c>
      <c r="AG1949" s="0" t="inlineStr">
        <is>
          <t>서울시 강동구 양재대로101길 51-18</t>
        </is>
      </c>
      <c r="AH1949" s="0" t="n">
        <v>0</v>
      </c>
      <c r="AI1949" s="0" t="n">
        <v>0</v>
      </c>
      <c r="AJ1949" s="0" t="n">
        <v>0</v>
      </c>
      <c r="AK1949" s="0" t="n">
        <v>60</v>
      </c>
      <c r="AL1949" s="0" t="n">
        <v>1.05</v>
      </c>
    </row>
    <row r="1950">
      <c r="A1950" s="0" t="inlineStr">
        <is>
          <t>[성내동]</t>
        </is>
      </c>
      <c r="B1950" s="0" t="n">
        <v>22943</v>
      </c>
      <c r="C1950" s="0" t="n">
        <v>3</v>
      </c>
      <c r="D1950" s="0" t="inlineStr">
        <is>
          <t>우성</t>
        </is>
      </c>
      <c r="E1950" s="0" t="inlineStr">
        <is>
          <t>2004.05.</t>
        </is>
      </c>
      <c r="F1950" s="0" t="n">
        <v>57</v>
      </c>
      <c r="G1950" s="0" t="n">
        <v>14.48</v>
      </c>
      <c r="H1950" s="0" t="n">
        <v>47.9</v>
      </c>
      <c r="I1950" s="0" t="n">
        <v>11.48</v>
      </c>
      <c r="J1950" s="0" t="n">
        <v>37.96</v>
      </c>
      <c r="K1950" s="0" t="n">
        <v>1</v>
      </c>
      <c r="T1950" s="0" t="n">
        <v>2</v>
      </c>
      <c r="U1950" s="0" t="n">
        <v>1</v>
      </c>
      <c r="V1950" s="0" t="inlineStr">
        <is>
          <t>계단식</t>
        </is>
      </c>
      <c r="W1950" s="0" t="inlineStr">
        <is>
          <t>47B</t>
        </is>
      </c>
      <c r="X1950" s="0" t="n">
        <v>7</v>
      </c>
      <c r="Y1950" s="0" t="n">
        <v>2</v>
      </c>
      <c r="Z1950" s="0" t="inlineStr">
        <is>
          <t>https://new.land.naver.com/complexes/22943?tab=detail&amp;rf=Y</t>
        </is>
      </c>
      <c r="AA1950" s="0" t="inlineStr">
        <is>
          <t>서울시 강동구 성내동 386-83</t>
        </is>
      </c>
      <c r="AB1950" s="0" t="inlineStr">
        <is>
          <t>서울시</t>
        </is>
      </c>
      <c r="AC1950" s="0" t="inlineStr">
        <is>
          <t>강동구</t>
        </is>
      </c>
      <c r="AD1950" s="0" t="inlineStr">
        <is>
          <t>성내동</t>
        </is>
      </c>
      <c r="AG1950" s="0" t="inlineStr">
        <is>
          <t>서울시 강동구 양재대로101길 51-18</t>
        </is>
      </c>
      <c r="AH1950" s="0" t="n">
        <v>0</v>
      </c>
      <c r="AI1950" s="0" t="n">
        <v>0</v>
      </c>
      <c r="AJ1950" s="0" t="n">
        <v>0</v>
      </c>
      <c r="AK1950" s="0" t="n">
        <v>60</v>
      </c>
      <c r="AL1950" s="0" t="n">
        <v>1.05</v>
      </c>
    </row>
    <row r="1951">
      <c r="A1951" s="0" t="inlineStr">
        <is>
          <t>[성내동]</t>
        </is>
      </c>
      <c r="B1951" s="0" t="n">
        <v>22943</v>
      </c>
      <c r="C1951" s="0" t="n">
        <v>4</v>
      </c>
      <c r="D1951" s="0" t="inlineStr">
        <is>
          <t>우성</t>
        </is>
      </c>
      <c r="E1951" s="0" t="inlineStr">
        <is>
          <t>2004.05.</t>
        </is>
      </c>
      <c r="F1951" s="0" t="n">
        <v>57</v>
      </c>
      <c r="G1951" s="0" t="n">
        <v>15.44</v>
      </c>
      <c r="H1951" s="0" t="n">
        <v>51.06</v>
      </c>
      <c r="I1951" s="0" t="n">
        <v>13.07</v>
      </c>
      <c r="J1951" s="0" t="n">
        <v>43.22</v>
      </c>
      <c r="K1951" s="0" t="n">
        <v>1</v>
      </c>
      <c r="T1951" s="0" t="n">
        <v>2</v>
      </c>
      <c r="U1951" s="0" t="n">
        <v>1</v>
      </c>
      <c r="V1951" s="0" t="inlineStr">
        <is>
          <t>복도식</t>
        </is>
      </c>
      <c r="W1951" s="0" t="n">
        <v>51</v>
      </c>
      <c r="X1951" s="0" t="n">
        <v>7</v>
      </c>
      <c r="Y1951" s="0" t="n">
        <v>2</v>
      </c>
      <c r="Z1951" s="0" t="inlineStr">
        <is>
          <t>https://new.land.naver.com/complexes/22943?tab=detail&amp;rf=Y</t>
        </is>
      </c>
      <c r="AA1951" s="0" t="inlineStr">
        <is>
          <t>서울시 강동구 성내동 386-83</t>
        </is>
      </c>
      <c r="AB1951" s="0" t="inlineStr">
        <is>
          <t>서울시</t>
        </is>
      </c>
      <c r="AC1951" s="0" t="inlineStr">
        <is>
          <t>강동구</t>
        </is>
      </c>
      <c r="AD1951" s="0" t="inlineStr">
        <is>
          <t>성내동</t>
        </is>
      </c>
      <c r="AG1951" s="0" t="inlineStr">
        <is>
          <t>서울시 강동구 양재대로101길 51-18</t>
        </is>
      </c>
      <c r="AH1951" s="0" t="n">
        <v>0</v>
      </c>
      <c r="AI1951" s="0" t="n">
        <v>0</v>
      </c>
      <c r="AJ1951" s="0" t="n">
        <v>0</v>
      </c>
      <c r="AK1951" s="0" t="n">
        <v>60</v>
      </c>
      <c r="AL1951" s="0" t="n">
        <v>1.05</v>
      </c>
    </row>
    <row r="1952">
      <c r="A1952" s="0" t="inlineStr">
        <is>
          <t>[성내동]</t>
        </is>
      </c>
      <c r="B1952" s="0" t="n">
        <v>22943</v>
      </c>
      <c r="C1952" s="0" t="n">
        <v>5</v>
      </c>
      <c r="D1952" s="0" t="inlineStr">
        <is>
          <t>우성</t>
        </is>
      </c>
      <c r="E1952" s="0" t="inlineStr">
        <is>
          <t>2004.05.</t>
        </is>
      </c>
      <c r="F1952" s="0" t="n">
        <v>57</v>
      </c>
      <c r="G1952" s="0" t="n">
        <v>15.5</v>
      </c>
      <c r="H1952" s="0" t="n">
        <v>51.25</v>
      </c>
      <c r="I1952" s="0" t="n">
        <v>13.12</v>
      </c>
      <c r="J1952" s="0" t="n">
        <v>43.38</v>
      </c>
      <c r="K1952" s="0" t="n">
        <v>1</v>
      </c>
      <c r="T1952" s="0" t="n">
        <v>2</v>
      </c>
      <c r="U1952" s="0" t="n">
        <v>1</v>
      </c>
      <c r="V1952" s="0" t="inlineStr">
        <is>
          <t>복도식</t>
        </is>
      </c>
      <c r="W1952" s="0" t="n">
        <v>51</v>
      </c>
      <c r="X1952" s="0" t="n">
        <v>7</v>
      </c>
      <c r="Y1952" s="0" t="n">
        <v>2</v>
      </c>
      <c r="Z1952" s="0" t="inlineStr">
        <is>
          <t>https://new.land.naver.com/complexes/22943?tab=detail&amp;rf=Y</t>
        </is>
      </c>
      <c r="AA1952" s="0" t="inlineStr">
        <is>
          <t>서울시 강동구 성내동 386-83</t>
        </is>
      </c>
      <c r="AB1952" s="0" t="inlineStr">
        <is>
          <t>서울시</t>
        </is>
      </c>
      <c r="AC1952" s="0" t="inlineStr">
        <is>
          <t>강동구</t>
        </is>
      </c>
      <c r="AD1952" s="0" t="inlineStr">
        <is>
          <t>성내동</t>
        </is>
      </c>
      <c r="AG1952" s="0" t="inlineStr">
        <is>
          <t>서울시 강동구 양재대로101길 51-18</t>
        </is>
      </c>
      <c r="AH1952" s="0" t="n">
        <v>0</v>
      </c>
      <c r="AI1952" s="0" t="n">
        <v>0</v>
      </c>
      <c r="AJ1952" s="0" t="n">
        <v>0</v>
      </c>
      <c r="AK1952" s="0" t="n">
        <v>60</v>
      </c>
      <c r="AL1952" s="0" t="n">
        <v>1.05</v>
      </c>
    </row>
    <row r="1953">
      <c r="A1953" s="0" t="inlineStr">
        <is>
          <t>[성내동]</t>
        </is>
      </c>
      <c r="B1953" s="0" t="n">
        <v>22943</v>
      </c>
      <c r="C1953" s="0" t="n">
        <v>6</v>
      </c>
      <c r="D1953" s="0" t="inlineStr">
        <is>
          <t>우성</t>
        </is>
      </c>
      <c r="E1953" s="0" t="inlineStr">
        <is>
          <t>2004.05.</t>
        </is>
      </c>
      <c r="F1953" s="0" t="n">
        <v>57</v>
      </c>
      <c r="G1953" s="0" t="n">
        <v>17.71</v>
      </c>
      <c r="H1953" s="0" t="n">
        <v>58.57</v>
      </c>
      <c r="I1953" s="0" t="n">
        <v>14.03</v>
      </c>
      <c r="J1953" s="0" t="n">
        <v>46.41</v>
      </c>
      <c r="K1953" s="0" t="n">
        <v>1</v>
      </c>
      <c r="T1953" s="0" t="n">
        <v>3</v>
      </c>
      <c r="U1953" s="0" t="n">
        <v>1</v>
      </c>
      <c r="V1953" s="0" t="inlineStr">
        <is>
          <t>복도식</t>
        </is>
      </c>
      <c r="W1953" s="0" t="n">
        <v>58</v>
      </c>
      <c r="X1953" s="0" t="n">
        <v>7</v>
      </c>
      <c r="Y1953" s="0" t="n">
        <v>2</v>
      </c>
      <c r="Z1953" s="0" t="inlineStr">
        <is>
          <t>https://new.land.naver.com/complexes/22943?tab=detail&amp;rf=Y</t>
        </is>
      </c>
      <c r="AA1953" s="0" t="inlineStr">
        <is>
          <t>서울시 강동구 성내동 386-83</t>
        </is>
      </c>
      <c r="AB1953" s="0" t="inlineStr">
        <is>
          <t>서울시</t>
        </is>
      </c>
      <c r="AC1953" s="0" t="inlineStr">
        <is>
          <t>강동구</t>
        </is>
      </c>
      <c r="AD1953" s="0" t="inlineStr">
        <is>
          <t>성내동</t>
        </is>
      </c>
      <c r="AG1953" s="0" t="inlineStr">
        <is>
          <t>서울시 강동구 양재대로101길 51-18</t>
        </is>
      </c>
      <c r="AH1953" s="0" t="n">
        <v>0</v>
      </c>
      <c r="AI1953" s="0" t="n">
        <v>0</v>
      </c>
      <c r="AJ1953" s="0" t="n">
        <v>0</v>
      </c>
      <c r="AK1953" s="0" t="n">
        <v>60</v>
      </c>
      <c r="AL1953" s="0" t="n">
        <v>1.05</v>
      </c>
    </row>
    <row r="1954">
      <c r="A1954" s="0" t="inlineStr">
        <is>
          <t>[성내동]</t>
        </is>
      </c>
      <c r="B1954" s="0" t="n">
        <v>22943</v>
      </c>
      <c r="C1954" s="0" t="n">
        <v>7</v>
      </c>
      <c r="D1954" s="0" t="inlineStr">
        <is>
          <t>우성</t>
        </is>
      </c>
      <c r="E1954" s="0" t="inlineStr">
        <is>
          <t>2004.05.</t>
        </is>
      </c>
      <c r="F1954" s="0" t="n">
        <v>57</v>
      </c>
      <c r="G1954" s="0" t="n">
        <v>19.69</v>
      </c>
      <c r="H1954" s="0" t="n">
        <v>65.09999999999999</v>
      </c>
      <c r="I1954" s="0" t="n">
        <v>16.78</v>
      </c>
      <c r="J1954" s="0" t="n">
        <v>55.5</v>
      </c>
      <c r="K1954" s="0" t="n">
        <v>2</v>
      </c>
      <c r="T1954" s="0" t="n">
        <v>3</v>
      </c>
      <c r="U1954" s="0" t="n">
        <v>2</v>
      </c>
      <c r="V1954" s="0" t="inlineStr">
        <is>
          <t>복도식</t>
        </is>
      </c>
      <c r="W1954" s="0" t="n">
        <v>65</v>
      </c>
      <c r="X1954" s="0" t="n">
        <v>7</v>
      </c>
      <c r="Y1954" s="0" t="n">
        <v>2</v>
      </c>
      <c r="Z1954" s="0" t="inlineStr">
        <is>
          <t>https://new.land.naver.com/complexes/22943?tab=detail&amp;rf=Y</t>
        </is>
      </c>
      <c r="AA1954" s="0" t="inlineStr">
        <is>
          <t>서울시 강동구 성내동 386-83</t>
        </is>
      </c>
      <c r="AB1954" s="0" t="inlineStr">
        <is>
          <t>서울시</t>
        </is>
      </c>
      <c r="AC1954" s="0" t="inlineStr">
        <is>
          <t>강동구</t>
        </is>
      </c>
      <c r="AD1954" s="0" t="inlineStr">
        <is>
          <t>성내동</t>
        </is>
      </c>
      <c r="AG1954" s="0" t="inlineStr">
        <is>
          <t>서울시 강동구 양재대로101길 51-18</t>
        </is>
      </c>
      <c r="AH1954" s="0" t="n">
        <v>0</v>
      </c>
      <c r="AI1954" s="0" t="n">
        <v>0</v>
      </c>
      <c r="AJ1954" s="0" t="n">
        <v>0</v>
      </c>
      <c r="AK1954" s="0" t="n">
        <v>60</v>
      </c>
      <c r="AL1954" s="0" t="n">
        <v>1.05</v>
      </c>
    </row>
    <row r="1955">
      <c r="A1955" s="0" t="inlineStr">
        <is>
          <t>[성내동]</t>
        </is>
      </c>
      <c r="B1955" s="0" t="n">
        <v>22943</v>
      </c>
      <c r="C1955" s="0" t="n">
        <v>8</v>
      </c>
      <c r="D1955" s="0" t="inlineStr">
        <is>
          <t>우성</t>
        </is>
      </c>
      <c r="E1955" s="0" t="inlineStr">
        <is>
          <t>2004.05.</t>
        </is>
      </c>
      <c r="F1955" s="0" t="n">
        <v>57</v>
      </c>
      <c r="G1955" s="0" t="n">
        <v>21.05</v>
      </c>
      <c r="H1955" s="0" t="n">
        <v>69.59999999999999</v>
      </c>
      <c r="I1955" s="0" t="n">
        <v>17.88</v>
      </c>
      <c r="J1955" s="0" t="n">
        <v>59.11</v>
      </c>
      <c r="K1955" s="0" t="n">
        <v>1</v>
      </c>
      <c r="T1955" s="0" t="n">
        <v>3</v>
      </c>
      <c r="U1955" s="0" t="n">
        <v>2</v>
      </c>
      <c r="V1955" s="0" t="inlineStr">
        <is>
          <t>복도식</t>
        </is>
      </c>
      <c r="W1955" s="0" t="n">
        <v>69</v>
      </c>
      <c r="X1955" s="0" t="n">
        <v>7</v>
      </c>
      <c r="Y1955" s="0" t="n">
        <v>2</v>
      </c>
      <c r="Z1955" s="0" t="inlineStr">
        <is>
          <t>https://new.land.naver.com/complexes/22943?tab=detail&amp;rf=Y</t>
        </is>
      </c>
      <c r="AA1955" s="0" t="inlineStr">
        <is>
          <t>서울시 강동구 성내동 386-83</t>
        </is>
      </c>
      <c r="AB1955" s="0" t="inlineStr">
        <is>
          <t>서울시</t>
        </is>
      </c>
      <c r="AC1955" s="0" t="inlineStr">
        <is>
          <t>강동구</t>
        </is>
      </c>
      <c r="AD1955" s="0" t="inlineStr">
        <is>
          <t>성내동</t>
        </is>
      </c>
      <c r="AG1955" s="0" t="inlineStr">
        <is>
          <t>서울시 강동구 양재대로101길 51-18</t>
        </is>
      </c>
      <c r="AH1955" s="0" t="n">
        <v>0</v>
      </c>
      <c r="AI1955" s="0" t="n">
        <v>0</v>
      </c>
      <c r="AJ1955" s="0" t="n">
        <v>0</v>
      </c>
      <c r="AK1955" s="0" t="n">
        <v>60</v>
      </c>
      <c r="AL1955" s="0" t="n">
        <v>1.05</v>
      </c>
    </row>
    <row r="1956">
      <c r="A1956" s="0" t="inlineStr">
        <is>
          <t>[성내동]</t>
        </is>
      </c>
      <c r="B1956" s="0" t="n">
        <v>22943</v>
      </c>
      <c r="C1956" s="0" t="n">
        <v>9</v>
      </c>
      <c r="D1956" s="0" t="inlineStr">
        <is>
          <t>우성</t>
        </is>
      </c>
      <c r="E1956" s="0" t="inlineStr">
        <is>
          <t>2004.05.</t>
        </is>
      </c>
      <c r="F1956" s="0" t="n">
        <v>57</v>
      </c>
      <c r="G1956" s="0" t="n">
        <v>22.04</v>
      </c>
      <c r="H1956" s="0" t="n">
        <v>72.86</v>
      </c>
      <c r="I1956" s="0" t="n">
        <v>18.71</v>
      </c>
      <c r="J1956" s="0" t="n">
        <v>61.88</v>
      </c>
      <c r="K1956" s="0" t="n">
        <v>1</v>
      </c>
      <c r="T1956" s="0" t="n">
        <v>3</v>
      </c>
      <c r="U1956" s="0" t="n">
        <v>2</v>
      </c>
      <c r="V1956" s="0" t="inlineStr">
        <is>
          <t>복도식</t>
        </is>
      </c>
      <c r="W1956" s="0" t="n">
        <v>72</v>
      </c>
      <c r="X1956" s="0" t="n">
        <v>7</v>
      </c>
      <c r="Y1956" s="0" t="n">
        <v>2</v>
      </c>
      <c r="Z1956" s="0" t="inlineStr">
        <is>
          <t>https://new.land.naver.com/complexes/22943?tab=detail&amp;rf=Y</t>
        </is>
      </c>
      <c r="AA1956" s="0" t="inlineStr">
        <is>
          <t>서울시 강동구 성내동 386-83</t>
        </is>
      </c>
      <c r="AB1956" s="0" t="inlineStr">
        <is>
          <t>서울시</t>
        </is>
      </c>
      <c r="AC1956" s="0" t="inlineStr">
        <is>
          <t>강동구</t>
        </is>
      </c>
      <c r="AD1956" s="0" t="inlineStr">
        <is>
          <t>성내동</t>
        </is>
      </c>
      <c r="AG1956" s="0" t="inlineStr">
        <is>
          <t>서울시 강동구 양재대로101길 51-18</t>
        </is>
      </c>
      <c r="AH1956" s="0" t="n">
        <v>0</v>
      </c>
      <c r="AI1956" s="0" t="n">
        <v>0</v>
      </c>
      <c r="AJ1956" s="0" t="n">
        <v>0</v>
      </c>
      <c r="AK1956" s="0" t="n">
        <v>60</v>
      </c>
      <c r="AL1956" s="0" t="n">
        <v>1.05</v>
      </c>
    </row>
    <row r="1957">
      <c r="A1957" s="0" t="inlineStr">
        <is>
          <t>[성내동]</t>
        </is>
      </c>
      <c r="B1957" s="0" t="n">
        <v>22943</v>
      </c>
      <c r="C1957" s="0" t="n">
        <v>10</v>
      </c>
      <c r="D1957" s="0" t="inlineStr">
        <is>
          <t>우성</t>
        </is>
      </c>
      <c r="E1957" s="0" t="inlineStr">
        <is>
          <t>2004.05.</t>
        </is>
      </c>
      <c r="F1957" s="0" t="n">
        <v>57</v>
      </c>
      <c r="G1957" s="0" t="n">
        <v>24.02</v>
      </c>
      <c r="H1957" s="0" t="n">
        <v>79.43000000000001</v>
      </c>
      <c r="I1957" s="0" t="n">
        <v>19.03</v>
      </c>
      <c r="J1957" s="0" t="n">
        <v>62.94</v>
      </c>
      <c r="K1957" s="0" t="n">
        <v>1</v>
      </c>
      <c r="T1957" s="0" t="n">
        <v>3</v>
      </c>
      <c r="U1957" s="0" t="n">
        <v>2</v>
      </c>
      <c r="V1957" s="0" t="inlineStr">
        <is>
          <t>계단식</t>
        </is>
      </c>
      <c r="W1957" s="0" t="n">
        <v>79</v>
      </c>
      <c r="X1957" s="0" t="n">
        <v>7</v>
      </c>
      <c r="Y1957" s="0" t="n">
        <v>2</v>
      </c>
      <c r="Z1957" s="0" t="inlineStr">
        <is>
          <t>https://new.land.naver.com/complexes/22943?tab=detail&amp;rf=Y</t>
        </is>
      </c>
      <c r="AA1957" s="0" t="inlineStr">
        <is>
          <t>서울시 강동구 성내동 386-83</t>
        </is>
      </c>
      <c r="AB1957" s="0" t="inlineStr">
        <is>
          <t>서울시</t>
        </is>
      </c>
      <c r="AC1957" s="0" t="inlineStr">
        <is>
          <t>강동구</t>
        </is>
      </c>
      <c r="AD1957" s="0" t="inlineStr">
        <is>
          <t>성내동</t>
        </is>
      </c>
      <c r="AG1957" s="0" t="inlineStr">
        <is>
          <t>서울시 강동구 양재대로101길 51-18</t>
        </is>
      </c>
      <c r="AH1957" s="0" t="n">
        <v>0</v>
      </c>
      <c r="AI1957" s="0" t="n">
        <v>0</v>
      </c>
      <c r="AJ1957" s="0" t="n">
        <v>0</v>
      </c>
      <c r="AK1957" s="0" t="n">
        <v>60</v>
      </c>
      <c r="AL1957" s="0" t="n">
        <v>1.05</v>
      </c>
    </row>
    <row r="1958">
      <c r="A1958" s="0" t="inlineStr">
        <is>
          <t>[성내동]</t>
        </is>
      </c>
      <c r="B1958" s="0" t="n">
        <v>22943</v>
      </c>
      <c r="C1958" s="0" t="n">
        <v>11</v>
      </c>
      <c r="D1958" s="0" t="inlineStr">
        <is>
          <t>우성</t>
        </is>
      </c>
      <c r="E1958" s="0" t="inlineStr">
        <is>
          <t>2004.05.</t>
        </is>
      </c>
      <c r="F1958" s="0" t="n">
        <v>57</v>
      </c>
      <c r="G1958" s="0" t="n">
        <v>25.45</v>
      </c>
      <c r="H1958" s="0" t="n">
        <v>84.15000000000001</v>
      </c>
      <c r="I1958" s="0" t="n">
        <v>21.7</v>
      </c>
      <c r="J1958" s="0" t="n">
        <v>71.76000000000001</v>
      </c>
      <c r="K1958" s="0" t="n">
        <v>6</v>
      </c>
      <c r="T1958" s="0" t="n">
        <v>3</v>
      </c>
      <c r="U1958" s="0" t="n">
        <v>2</v>
      </c>
      <c r="V1958" s="0" t="inlineStr">
        <is>
          <t>복도식</t>
        </is>
      </c>
      <c r="W1958" s="0" t="n">
        <v>84</v>
      </c>
      <c r="X1958" s="0" t="n">
        <v>7</v>
      </c>
      <c r="Y1958" s="0" t="n">
        <v>2</v>
      </c>
      <c r="Z1958" s="0" t="inlineStr">
        <is>
          <t>https://new.land.naver.com/complexes/22943?tab=detail&amp;rf=Y</t>
        </is>
      </c>
      <c r="AA1958" s="0" t="inlineStr">
        <is>
          <t>서울시 강동구 성내동 386-83</t>
        </is>
      </c>
      <c r="AB1958" s="0" t="inlineStr">
        <is>
          <t>서울시</t>
        </is>
      </c>
      <c r="AC1958" s="0" t="inlineStr">
        <is>
          <t>강동구</t>
        </is>
      </c>
      <c r="AD1958" s="0" t="inlineStr">
        <is>
          <t>성내동</t>
        </is>
      </c>
      <c r="AG1958" s="0" t="inlineStr">
        <is>
          <t>서울시 강동구 양재대로101길 51-18</t>
        </is>
      </c>
      <c r="AH1958" s="0" t="n">
        <v>0</v>
      </c>
      <c r="AI1958" s="0" t="n">
        <v>0</v>
      </c>
      <c r="AJ1958" s="0" t="n">
        <v>0</v>
      </c>
      <c r="AK1958" s="0" t="n">
        <v>60</v>
      </c>
      <c r="AL1958" s="0" t="n">
        <v>1.05</v>
      </c>
    </row>
    <row r="1959">
      <c r="A1959" s="0" t="inlineStr">
        <is>
          <t>[성내동]</t>
        </is>
      </c>
      <c r="B1959" s="0" t="n">
        <v>22943</v>
      </c>
      <c r="C1959" s="0" t="n">
        <v>12</v>
      </c>
      <c r="D1959" s="0" t="inlineStr">
        <is>
          <t>우성</t>
        </is>
      </c>
      <c r="E1959" s="0" t="inlineStr">
        <is>
          <t>2004.05.</t>
        </is>
      </c>
      <c r="F1959" s="0" t="n">
        <v>57</v>
      </c>
      <c r="G1959" s="0" t="n">
        <v>26.55</v>
      </c>
      <c r="H1959" s="0" t="n">
        <v>87.79000000000001</v>
      </c>
      <c r="I1959" s="0" t="n">
        <v>22.55</v>
      </c>
      <c r="J1959" s="0" t="n">
        <v>74.56</v>
      </c>
      <c r="K1959" s="0" t="n">
        <v>1</v>
      </c>
      <c r="T1959" s="0" t="n">
        <v>3</v>
      </c>
      <c r="U1959" s="0" t="n">
        <v>2</v>
      </c>
      <c r="V1959" s="0" t="inlineStr">
        <is>
          <t>계단식</t>
        </is>
      </c>
      <c r="W1959" s="0" t="n">
        <v>87</v>
      </c>
      <c r="X1959" s="0" t="n">
        <v>7</v>
      </c>
      <c r="Y1959" s="0" t="n">
        <v>2</v>
      </c>
      <c r="Z1959" s="0" t="inlineStr">
        <is>
          <t>https://new.land.naver.com/complexes/22943?tab=detail&amp;rf=Y</t>
        </is>
      </c>
      <c r="AA1959" s="0" t="inlineStr">
        <is>
          <t>서울시 강동구 성내동 386-83</t>
        </is>
      </c>
      <c r="AB1959" s="0" t="inlineStr">
        <is>
          <t>서울시</t>
        </is>
      </c>
      <c r="AC1959" s="0" t="inlineStr">
        <is>
          <t>강동구</t>
        </is>
      </c>
      <c r="AD1959" s="0" t="inlineStr">
        <is>
          <t>성내동</t>
        </is>
      </c>
      <c r="AG1959" s="0" t="inlineStr">
        <is>
          <t>서울시 강동구 양재대로101길 51-18</t>
        </is>
      </c>
      <c r="AH1959" s="0" t="n">
        <v>0</v>
      </c>
      <c r="AI1959" s="0" t="n">
        <v>0</v>
      </c>
      <c r="AJ1959" s="0" t="n">
        <v>0</v>
      </c>
      <c r="AK1959" s="0" t="n">
        <v>60</v>
      </c>
      <c r="AL1959" s="0" t="n">
        <v>1.05</v>
      </c>
    </row>
    <row r="1960">
      <c r="A1960" s="0" t="inlineStr">
        <is>
          <t>[성내동]</t>
        </is>
      </c>
      <c r="B1960" s="0" t="n">
        <v>22943</v>
      </c>
      <c r="C1960" s="0" t="n">
        <v>13</v>
      </c>
      <c r="D1960" s="0" t="inlineStr">
        <is>
          <t>우성</t>
        </is>
      </c>
      <c r="E1960" s="0" t="inlineStr">
        <is>
          <t>2004.05.</t>
        </is>
      </c>
      <c r="F1960" s="0" t="n">
        <v>57</v>
      </c>
      <c r="G1960" s="0" t="n">
        <v>28.96</v>
      </c>
      <c r="H1960" s="0" t="n">
        <v>95.75</v>
      </c>
      <c r="I1960" s="0" t="n">
        <v>24.59</v>
      </c>
      <c r="J1960" s="0" t="n">
        <v>81.31999999999999</v>
      </c>
      <c r="K1960" s="0" t="n">
        <v>2</v>
      </c>
      <c r="T1960" s="0" t="n">
        <v>3</v>
      </c>
      <c r="U1960" s="0" t="n">
        <v>2</v>
      </c>
      <c r="V1960" s="0" t="inlineStr">
        <is>
          <t>계단식</t>
        </is>
      </c>
      <c r="W1960" s="0" t="n">
        <v>95</v>
      </c>
      <c r="X1960" s="0" t="n">
        <v>7</v>
      </c>
      <c r="Y1960" s="0" t="n">
        <v>2</v>
      </c>
      <c r="Z1960" s="0" t="inlineStr">
        <is>
          <t>https://new.land.naver.com/complexes/22943?tab=detail&amp;rf=Y</t>
        </is>
      </c>
      <c r="AA1960" s="0" t="inlineStr">
        <is>
          <t>서울시 강동구 성내동 386-83</t>
        </is>
      </c>
      <c r="AB1960" s="0" t="inlineStr">
        <is>
          <t>서울시</t>
        </is>
      </c>
      <c r="AC1960" s="0" t="inlineStr">
        <is>
          <t>강동구</t>
        </is>
      </c>
      <c r="AD1960" s="0" t="inlineStr">
        <is>
          <t>성내동</t>
        </is>
      </c>
      <c r="AG1960" s="0" t="inlineStr">
        <is>
          <t>서울시 강동구 양재대로101길 51-18</t>
        </is>
      </c>
      <c r="AH1960" s="0" t="n">
        <v>0</v>
      </c>
      <c r="AI1960" s="0" t="n">
        <v>0</v>
      </c>
      <c r="AJ1960" s="0" t="n">
        <v>0</v>
      </c>
      <c r="AK1960" s="0" t="n">
        <v>60</v>
      </c>
      <c r="AL1960" s="0" t="n">
        <v>1.05</v>
      </c>
    </row>
    <row r="1961">
      <c r="A1961" s="0" t="inlineStr">
        <is>
          <t>[성내동]</t>
        </is>
      </c>
      <c r="B1961" s="0" t="n">
        <v>22943</v>
      </c>
      <c r="C1961" s="0" t="n">
        <v>14</v>
      </c>
      <c r="D1961" s="0" t="inlineStr">
        <is>
          <t>우성</t>
        </is>
      </c>
      <c r="E1961" s="0" t="inlineStr">
        <is>
          <t>2004.05.</t>
        </is>
      </c>
      <c r="F1961" s="0" t="n">
        <v>57</v>
      </c>
      <c r="G1961" s="0" t="n">
        <v>29.51</v>
      </c>
      <c r="H1961" s="0" t="n">
        <v>97.58</v>
      </c>
      <c r="I1961" s="0" t="n">
        <v>25.17</v>
      </c>
      <c r="J1961" s="0" t="n">
        <v>83.20999999999999</v>
      </c>
      <c r="K1961" s="0" t="n">
        <v>7</v>
      </c>
      <c r="T1961" s="0" t="n">
        <v>3</v>
      </c>
      <c r="U1961" s="0" t="n">
        <v>2</v>
      </c>
      <c r="V1961" s="0" t="inlineStr">
        <is>
          <t>계단식</t>
        </is>
      </c>
      <c r="W1961" s="0" t="inlineStr">
        <is>
          <t>97A</t>
        </is>
      </c>
      <c r="X1961" s="0" t="n">
        <v>7</v>
      </c>
      <c r="Y1961" s="0" t="n">
        <v>2</v>
      </c>
      <c r="Z1961" s="0" t="inlineStr">
        <is>
          <t>https://new.land.naver.com/complexes/22943?tab=detail&amp;rf=Y</t>
        </is>
      </c>
      <c r="AA1961" s="0" t="inlineStr">
        <is>
          <t>서울시 강동구 성내동 386-83</t>
        </is>
      </c>
      <c r="AB1961" s="0" t="inlineStr">
        <is>
          <t>서울시</t>
        </is>
      </c>
      <c r="AC1961" s="0" t="inlineStr">
        <is>
          <t>강동구</t>
        </is>
      </c>
      <c r="AD1961" s="0" t="inlineStr">
        <is>
          <t>성내동</t>
        </is>
      </c>
      <c r="AG1961" s="0" t="inlineStr">
        <is>
          <t>서울시 강동구 양재대로101길 51-18</t>
        </is>
      </c>
      <c r="AH1961" s="0" t="n">
        <v>0</v>
      </c>
      <c r="AI1961" s="0" t="n">
        <v>0</v>
      </c>
      <c r="AJ1961" s="0" t="n">
        <v>0</v>
      </c>
      <c r="AK1961" s="0" t="n">
        <v>60</v>
      </c>
      <c r="AL1961" s="0" t="n">
        <v>1.05</v>
      </c>
    </row>
    <row r="1962">
      <c r="A1962" s="0" t="inlineStr">
        <is>
          <t>[성내동]</t>
        </is>
      </c>
      <c r="B1962" s="0" t="n">
        <v>22943</v>
      </c>
      <c r="C1962" s="0" t="n">
        <v>15</v>
      </c>
      <c r="D1962" s="0" t="inlineStr">
        <is>
          <t>우성</t>
        </is>
      </c>
      <c r="E1962" s="0" t="inlineStr">
        <is>
          <t>2004.05.</t>
        </is>
      </c>
      <c r="F1962" s="0" t="n">
        <v>57</v>
      </c>
      <c r="G1962" s="0" t="n">
        <v>29.91</v>
      </c>
      <c r="H1962" s="0" t="n">
        <v>98.89</v>
      </c>
      <c r="I1962" s="0" t="n">
        <v>25.4</v>
      </c>
      <c r="J1962" s="0" t="n">
        <v>83.98999999999999</v>
      </c>
      <c r="K1962" s="0" t="n">
        <v>7</v>
      </c>
      <c r="T1962" s="0" t="n">
        <v>3</v>
      </c>
      <c r="U1962" s="0" t="n">
        <v>2</v>
      </c>
      <c r="V1962" s="0" t="inlineStr">
        <is>
          <t>계단식</t>
        </is>
      </c>
      <c r="W1962" s="0" t="inlineStr">
        <is>
          <t>98C</t>
        </is>
      </c>
      <c r="X1962" s="0" t="n">
        <v>7</v>
      </c>
      <c r="Y1962" s="0" t="n">
        <v>2</v>
      </c>
      <c r="Z1962" s="0" t="inlineStr">
        <is>
          <t>https://new.land.naver.com/complexes/22943?tab=detail&amp;rf=Y</t>
        </is>
      </c>
      <c r="AA1962" s="0" t="inlineStr">
        <is>
          <t>서울시 강동구 성내동 386-83</t>
        </is>
      </c>
      <c r="AB1962" s="0" t="inlineStr">
        <is>
          <t>서울시</t>
        </is>
      </c>
      <c r="AC1962" s="0" t="inlineStr">
        <is>
          <t>강동구</t>
        </is>
      </c>
      <c r="AD1962" s="0" t="inlineStr">
        <is>
          <t>성내동</t>
        </is>
      </c>
      <c r="AG1962" s="0" t="inlineStr">
        <is>
          <t>서울시 강동구 양재대로101길 51-18</t>
        </is>
      </c>
      <c r="AH1962" s="0" t="n">
        <v>0</v>
      </c>
      <c r="AI1962" s="0" t="n">
        <v>0</v>
      </c>
      <c r="AJ1962" s="0" t="n">
        <v>0</v>
      </c>
      <c r="AK1962" s="0" t="n">
        <v>60</v>
      </c>
      <c r="AL1962" s="0" t="n">
        <v>1.05</v>
      </c>
    </row>
    <row r="1963">
      <c r="A1963" s="0" t="inlineStr">
        <is>
          <t>[성내동]</t>
        </is>
      </c>
      <c r="B1963" s="0" t="n">
        <v>22943</v>
      </c>
      <c r="C1963" s="0" t="n">
        <v>16</v>
      </c>
      <c r="D1963" s="0" t="inlineStr">
        <is>
          <t>우성</t>
        </is>
      </c>
      <c r="E1963" s="0" t="inlineStr">
        <is>
          <t>2004.05.</t>
        </is>
      </c>
      <c r="F1963" s="0" t="n">
        <v>57</v>
      </c>
      <c r="G1963" s="0" t="n">
        <v>30.03</v>
      </c>
      <c r="H1963" s="0" t="n">
        <v>99.28</v>
      </c>
      <c r="I1963" s="0" t="n">
        <v>25.7</v>
      </c>
      <c r="J1963" s="0" t="n">
        <v>84.98999999999999</v>
      </c>
      <c r="K1963" s="0" t="n">
        <v>13</v>
      </c>
      <c r="T1963" s="0" t="n">
        <v>3</v>
      </c>
      <c r="U1963" s="0" t="n">
        <v>2</v>
      </c>
      <c r="V1963" s="0" t="inlineStr">
        <is>
          <t>계단식</t>
        </is>
      </c>
      <c r="W1963" s="0" t="inlineStr">
        <is>
          <t>99E</t>
        </is>
      </c>
      <c r="X1963" s="0" t="n">
        <v>7</v>
      </c>
      <c r="Y1963" s="0" t="n">
        <v>2</v>
      </c>
      <c r="Z1963" s="0" t="inlineStr">
        <is>
          <t>https://new.land.naver.com/complexes/22943?tab=detail&amp;rf=Y</t>
        </is>
      </c>
      <c r="AA1963" s="0" t="inlineStr">
        <is>
          <t>서울시 강동구 성내동 386-83</t>
        </is>
      </c>
      <c r="AB1963" s="0" t="inlineStr">
        <is>
          <t>서울시</t>
        </is>
      </c>
      <c r="AC1963" s="0" t="inlineStr">
        <is>
          <t>강동구</t>
        </is>
      </c>
      <c r="AD1963" s="0" t="inlineStr">
        <is>
          <t>성내동</t>
        </is>
      </c>
      <c r="AG1963" s="0" t="inlineStr">
        <is>
          <t>서울시 강동구 양재대로101길 51-18</t>
        </is>
      </c>
      <c r="AH1963" s="0" t="n">
        <v>0</v>
      </c>
      <c r="AI1963" s="0" t="n">
        <v>0</v>
      </c>
      <c r="AJ1963" s="0" t="n">
        <v>0</v>
      </c>
      <c r="AK1963" s="0" t="n">
        <v>60</v>
      </c>
      <c r="AL1963" s="0" t="n">
        <v>1.05</v>
      </c>
    </row>
    <row r="1964">
      <c r="A1964" s="0" t="inlineStr">
        <is>
          <t>[성내동]</t>
        </is>
      </c>
      <c r="B1964" s="0" t="n">
        <v>22943</v>
      </c>
      <c r="C1964" s="0" t="n">
        <v>17</v>
      </c>
      <c r="D1964" s="0" t="inlineStr">
        <is>
          <t>우성</t>
        </is>
      </c>
      <c r="E1964" s="0" t="inlineStr">
        <is>
          <t>2004.05.</t>
        </is>
      </c>
      <c r="F1964" s="0" t="n">
        <v>57</v>
      </c>
      <c r="G1964" s="0" t="n">
        <v>30.07</v>
      </c>
      <c r="H1964" s="0" t="n">
        <v>99.43000000000001</v>
      </c>
      <c r="I1964" s="0" t="n">
        <v>25.54</v>
      </c>
      <c r="J1964" s="0" t="n">
        <v>84.45</v>
      </c>
      <c r="K1964" s="0" t="n">
        <v>2</v>
      </c>
      <c r="T1964" s="0" t="n">
        <v>3</v>
      </c>
      <c r="U1964" s="0" t="n">
        <v>2</v>
      </c>
      <c r="V1964" s="0" t="inlineStr">
        <is>
          <t>계단식</t>
        </is>
      </c>
      <c r="W1964" s="0" t="inlineStr">
        <is>
          <t>99B</t>
        </is>
      </c>
      <c r="X1964" s="0" t="n">
        <v>7</v>
      </c>
      <c r="Y1964" s="0" t="n">
        <v>2</v>
      </c>
      <c r="Z1964" s="0" t="inlineStr">
        <is>
          <t>https://new.land.naver.com/complexes/22943?tab=detail&amp;rf=Y</t>
        </is>
      </c>
      <c r="AA1964" s="0" t="inlineStr">
        <is>
          <t>서울시 강동구 성내동 386-83</t>
        </is>
      </c>
      <c r="AB1964" s="0" t="inlineStr">
        <is>
          <t>서울시</t>
        </is>
      </c>
      <c r="AC1964" s="0" t="inlineStr">
        <is>
          <t>강동구</t>
        </is>
      </c>
      <c r="AD1964" s="0" t="inlineStr">
        <is>
          <t>성내동</t>
        </is>
      </c>
      <c r="AG1964" s="0" t="inlineStr">
        <is>
          <t>서울시 강동구 양재대로101길 51-18</t>
        </is>
      </c>
      <c r="AH1964" s="0" t="n">
        <v>0</v>
      </c>
      <c r="AI1964" s="0" t="n">
        <v>0</v>
      </c>
      <c r="AJ1964" s="0" t="n">
        <v>0</v>
      </c>
      <c r="AK1964" s="0" t="n">
        <v>60</v>
      </c>
      <c r="AL1964" s="0" t="n">
        <v>1.05</v>
      </c>
    </row>
    <row r="1965">
      <c r="A1965" s="0" t="inlineStr">
        <is>
          <t>[성내동]</t>
        </is>
      </c>
      <c r="B1965" s="0" t="n">
        <v>22943</v>
      </c>
      <c r="C1965" s="0" t="n">
        <v>18</v>
      </c>
      <c r="D1965" s="0" t="inlineStr">
        <is>
          <t>우성</t>
        </is>
      </c>
      <c r="E1965" s="0" t="inlineStr">
        <is>
          <t>2004.05.</t>
        </is>
      </c>
      <c r="F1965" s="0" t="n">
        <v>57</v>
      </c>
      <c r="G1965" s="0" t="n">
        <v>30.34</v>
      </c>
      <c r="H1965" s="0" t="n">
        <v>100.3</v>
      </c>
      <c r="I1965" s="0" t="n">
        <v>25.68</v>
      </c>
      <c r="J1965" s="0" t="n">
        <v>84.91</v>
      </c>
      <c r="K1965" s="0" t="n">
        <v>3</v>
      </c>
      <c r="T1965" s="0" t="n">
        <v>3</v>
      </c>
      <c r="U1965" s="0" t="n">
        <v>2</v>
      </c>
      <c r="V1965" s="0" t="inlineStr">
        <is>
          <t>계단식</t>
        </is>
      </c>
      <c r="W1965" s="0" t="inlineStr">
        <is>
          <t>100D</t>
        </is>
      </c>
      <c r="X1965" s="0" t="n">
        <v>7</v>
      </c>
      <c r="Y1965" s="0" t="n">
        <v>2</v>
      </c>
      <c r="Z1965" s="0" t="inlineStr">
        <is>
          <t>https://new.land.naver.com/complexes/22943?tab=detail&amp;rf=Y</t>
        </is>
      </c>
      <c r="AA1965" s="0" t="inlineStr">
        <is>
          <t>서울시 강동구 성내동 386-83</t>
        </is>
      </c>
      <c r="AB1965" s="0" t="inlineStr">
        <is>
          <t>서울시</t>
        </is>
      </c>
      <c r="AC1965" s="0" t="inlineStr">
        <is>
          <t>강동구</t>
        </is>
      </c>
      <c r="AD1965" s="0" t="inlineStr">
        <is>
          <t>성내동</t>
        </is>
      </c>
      <c r="AG1965" s="0" t="inlineStr">
        <is>
          <t>서울시 강동구 양재대로101길 51-18</t>
        </is>
      </c>
      <c r="AH1965" s="0" t="n">
        <v>0</v>
      </c>
      <c r="AI1965" s="0" t="n">
        <v>0</v>
      </c>
      <c r="AJ1965" s="0" t="n">
        <v>0</v>
      </c>
      <c r="AK1965" s="0" t="n">
        <v>60</v>
      </c>
      <c r="AL1965" s="0" t="n">
        <v>1.05</v>
      </c>
    </row>
    <row r="1966">
      <c r="A1966" s="0" t="inlineStr">
        <is>
          <t>[성내동]</t>
        </is>
      </c>
      <c r="B1966" s="0" t="n">
        <v>22943</v>
      </c>
      <c r="C1966" s="0" t="n">
        <v>19</v>
      </c>
      <c r="D1966" s="0" t="inlineStr">
        <is>
          <t>우성</t>
        </is>
      </c>
      <c r="E1966" s="0" t="inlineStr">
        <is>
          <t>2004.05.</t>
        </is>
      </c>
      <c r="F1966" s="0" t="n">
        <v>57</v>
      </c>
      <c r="G1966" s="0" t="n">
        <v>31.22</v>
      </c>
      <c r="H1966" s="0" t="n">
        <v>103.21</v>
      </c>
      <c r="I1966" s="0" t="n">
        <v>25.64</v>
      </c>
      <c r="J1966" s="0" t="n">
        <v>84.77</v>
      </c>
      <c r="K1966" s="0" t="n">
        <v>3</v>
      </c>
      <c r="T1966" s="0" t="n">
        <v>3</v>
      </c>
      <c r="U1966" s="0" t="n">
        <v>2</v>
      </c>
      <c r="V1966" s="0" t="inlineStr">
        <is>
          <t>계단식</t>
        </is>
      </c>
      <c r="W1966" s="0" t="n">
        <v>103</v>
      </c>
      <c r="X1966" s="0" t="n">
        <v>7</v>
      </c>
      <c r="Y1966" s="0" t="n">
        <v>2</v>
      </c>
      <c r="Z1966" s="0" t="inlineStr">
        <is>
          <t>https://new.land.naver.com/complexes/22943?tab=detail&amp;rf=Y</t>
        </is>
      </c>
      <c r="AA1966" s="0" t="inlineStr">
        <is>
          <t>서울시 강동구 성내동 386-83</t>
        </is>
      </c>
      <c r="AB1966" s="0" t="inlineStr">
        <is>
          <t>서울시</t>
        </is>
      </c>
      <c r="AC1966" s="0" t="inlineStr">
        <is>
          <t>강동구</t>
        </is>
      </c>
      <c r="AD1966" s="0" t="inlineStr">
        <is>
          <t>성내동</t>
        </is>
      </c>
      <c r="AG1966" s="0" t="inlineStr">
        <is>
          <t>서울시 강동구 양재대로101길 51-18</t>
        </is>
      </c>
      <c r="AH1966" s="0" t="n">
        <v>0</v>
      </c>
      <c r="AI1966" s="0" t="n">
        <v>0</v>
      </c>
      <c r="AJ1966" s="0" t="n">
        <v>0</v>
      </c>
      <c r="AK1966" s="0" t="n">
        <v>60</v>
      </c>
      <c r="AL1966" s="0" t="n">
        <v>1.05</v>
      </c>
    </row>
    <row r="1967">
      <c r="A1967" s="0" t="inlineStr">
        <is>
          <t>[성내동]</t>
        </is>
      </c>
      <c r="B1967" s="0" t="n">
        <v>22943</v>
      </c>
      <c r="C1967" s="0" t="n">
        <v>20</v>
      </c>
      <c r="D1967" s="0" t="inlineStr">
        <is>
          <t>우성</t>
        </is>
      </c>
      <c r="E1967" s="0" t="inlineStr">
        <is>
          <t>2004.05.</t>
        </is>
      </c>
      <c r="F1967" s="0" t="n">
        <v>57</v>
      </c>
      <c r="G1967" s="0" t="n">
        <v>32.35</v>
      </c>
      <c r="H1967" s="0" t="n">
        <v>106.96</v>
      </c>
      <c r="I1967" s="0" t="n">
        <v>25.63</v>
      </c>
      <c r="J1967" s="0" t="n">
        <v>84.75</v>
      </c>
      <c r="K1967" s="0" t="n">
        <v>1</v>
      </c>
      <c r="T1967" s="0" t="n">
        <v>3</v>
      </c>
      <c r="U1967" s="0" t="n">
        <v>2</v>
      </c>
      <c r="V1967" s="0" t="inlineStr">
        <is>
          <t>복도식</t>
        </is>
      </c>
      <c r="W1967" s="0" t="n">
        <v>106</v>
      </c>
      <c r="X1967" s="0" t="n">
        <v>7</v>
      </c>
      <c r="Y1967" s="0" t="n">
        <v>2</v>
      </c>
      <c r="Z1967" s="0" t="inlineStr">
        <is>
          <t>https://new.land.naver.com/complexes/22943?tab=detail&amp;rf=Y</t>
        </is>
      </c>
      <c r="AA1967" s="0" t="inlineStr">
        <is>
          <t>서울시 강동구 성내동 386-83</t>
        </is>
      </c>
      <c r="AB1967" s="0" t="inlineStr">
        <is>
          <t>서울시</t>
        </is>
      </c>
      <c r="AC1967" s="0" t="inlineStr">
        <is>
          <t>강동구</t>
        </is>
      </c>
      <c r="AD1967" s="0" t="inlineStr">
        <is>
          <t>성내동</t>
        </is>
      </c>
      <c r="AG1967" s="0" t="inlineStr">
        <is>
          <t>서울시 강동구 양재대로101길 51-18</t>
        </is>
      </c>
      <c r="AH1967" s="0" t="n">
        <v>0</v>
      </c>
      <c r="AI1967" s="0" t="n">
        <v>0</v>
      </c>
      <c r="AJ1967" s="0" t="n">
        <v>0</v>
      </c>
      <c r="AK1967" s="0" t="n">
        <v>60</v>
      </c>
      <c r="AL1967" s="0" t="n">
        <v>1.05</v>
      </c>
    </row>
    <row r="1968">
      <c r="A1968" s="0" t="inlineStr">
        <is>
          <t>[성내동]</t>
        </is>
      </c>
      <c r="B1968" s="0" t="n">
        <v>100456</v>
      </c>
      <c r="C1968" s="0" t="n">
        <v>1</v>
      </c>
      <c r="D1968" s="0" t="inlineStr">
        <is>
          <t>코랜드빌리지</t>
        </is>
      </c>
      <c r="E1968" s="0" t="inlineStr">
        <is>
          <t>2001.12.</t>
        </is>
      </c>
      <c r="F1968" s="0" t="n">
        <v>18</v>
      </c>
      <c r="G1968" s="0" t="n">
        <v>21.35</v>
      </c>
      <c r="H1968" s="0" t="n">
        <v>70.61</v>
      </c>
      <c r="I1968" s="0" t="n">
        <v>17.29</v>
      </c>
      <c r="J1968" s="0" t="n">
        <v>57.18</v>
      </c>
      <c r="K1968" s="0" t="n">
        <v>4</v>
      </c>
      <c r="T1968" s="0" t="n">
        <v>2</v>
      </c>
      <c r="U1968" s="0" t="n">
        <v>1</v>
      </c>
      <c r="V1968" s="0" t="inlineStr">
        <is>
          <t>계단식</t>
        </is>
      </c>
      <c r="W1968" s="0" t="n">
        <v>70</v>
      </c>
      <c r="X1968" s="0" t="n">
        <v>10</v>
      </c>
      <c r="Y1968" s="0" t="n">
        <v>10</v>
      </c>
      <c r="Z1968" s="0" t="inlineStr">
        <is>
          <t>https://new.land.naver.com/complexes/100456?tab=detail&amp;rf=Y</t>
        </is>
      </c>
      <c r="AA1968" s="0" t="inlineStr">
        <is>
          <t>서울시 강동구 성내동 465-1</t>
        </is>
      </c>
      <c r="AB1968" s="0" t="inlineStr">
        <is>
          <t>서울시</t>
        </is>
      </c>
      <c r="AC1968" s="0" t="inlineStr">
        <is>
          <t>강동구</t>
        </is>
      </c>
      <c r="AD1968" s="0" t="inlineStr">
        <is>
          <t>성내동</t>
        </is>
      </c>
      <c r="AG1968" s="0" t="inlineStr">
        <is>
          <t>서울시 강동구 성안로3길 51</t>
        </is>
      </c>
      <c r="AH1968" s="0" t="n">
        <v>0</v>
      </c>
      <c r="AI1968" s="0" t="n">
        <v>278</v>
      </c>
      <c r="AJ1968" s="0" t="n">
        <v>37</v>
      </c>
      <c r="AK1968" s="0" t="n">
        <v>19</v>
      </c>
      <c r="AL1968" s="0" t="n">
        <v>1.06</v>
      </c>
    </row>
    <row r="1969">
      <c r="A1969" s="0" t="inlineStr">
        <is>
          <t>[성내동]</t>
        </is>
      </c>
      <c r="B1969" s="0" t="n">
        <v>100456</v>
      </c>
      <c r="C1969" s="0" t="n">
        <v>2</v>
      </c>
      <c r="D1969" s="0" t="inlineStr">
        <is>
          <t>코랜드빌리지</t>
        </is>
      </c>
      <c r="E1969" s="0" t="inlineStr">
        <is>
          <t>2001.12.</t>
        </is>
      </c>
      <c r="F1969" s="0" t="n">
        <v>18</v>
      </c>
      <c r="G1969" s="0" t="n">
        <v>27.77</v>
      </c>
      <c r="H1969" s="0" t="n">
        <v>91.83</v>
      </c>
      <c r="I1969" s="0" t="n">
        <v>22.72</v>
      </c>
      <c r="J1969" s="0" t="n">
        <v>75.13</v>
      </c>
      <c r="K1969" s="0" t="n">
        <v>2</v>
      </c>
      <c r="T1969" s="0" t="n">
        <v>3</v>
      </c>
      <c r="U1969" s="0" t="n">
        <v>1</v>
      </c>
      <c r="V1969" s="0" t="inlineStr">
        <is>
          <t>계단식</t>
        </is>
      </c>
      <c r="W1969" s="0" t="n">
        <v>91</v>
      </c>
      <c r="X1969" s="0" t="n">
        <v>10</v>
      </c>
      <c r="Y1969" s="0" t="n">
        <v>10</v>
      </c>
      <c r="Z1969" s="0" t="inlineStr">
        <is>
          <t>https://new.land.naver.com/complexes/100456?tab=detail&amp;rf=Y</t>
        </is>
      </c>
      <c r="AA1969" s="0" t="inlineStr">
        <is>
          <t>서울시 강동구 성내동 465-1</t>
        </is>
      </c>
      <c r="AB1969" s="0" t="inlineStr">
        <is>
          <t>서울시</t>
        </is>
      </c>
      <c r="AC1969" s="0" t="inlineStr">
        <is>
          <t>강동구</t>
        </is>
      </c>
      <c r="AD1969" s="0" t="inlineStr">
        <is>
          <t>성내동</t>
        </is>
      </c>
      <c r="AG1969" s="0" t="inlineStr">
        <is>
          <t>서울시 강동구 성안로3길 51</t>
        </is>
      </c>
      <c r="AH1969" s="0" t="n">
        <v>0</v>
      </c>
      <c r="AI1969" s="0" t="n">
        <v>278</v>
      </c>
      <c r="AJ1969" s="0" t="n">
        <v>37</v>
      </c>
      <c r="AK1969" s="0" t="n">
        <v>19</v>
      </c>
      <c r="AL1969" s="0" t="n">
        <v>1.06</v>
      </c>
    </row>
    <row r="1970">
      <c r="A1970" s="0" t="inlineStr">
        <is>
          <t>[성내동]</t>
        </is>
      </c>
      <c r="B1970" s="0" t="n">
        <v>100456</v>
      </c>
      <c r="C1970" s="0" t="n">
        <v>3</v>
      </c>
      <c r="D1970" s="0" t="inlineStr">
        <is>
          <t>코랜드빌리지</t>
        </is>
      </c>
      <c r="E1970" s="0" t="inlineStr">
        <is>
          <t>2001.12.</t>
        </is>
      </c>
      <c r="F1970" s="0" t="n">
        <v>18</v>
      </c>
      <c r="G1970" s="0" t="n">
        <v>29.66</v>
      </c>
      <c r="H1970" s="0" t="n">
        <v>98.08</v>
      </c>
      <c r="I1970" s="0" t="n">
        <v>24.31</v>
      </c>
      <c r="J1970" s="0" t="n">
        <v>80.39</v>
      </c>
      <c r="K1970" s="0" t="n">
        <v>8</v>
      </c>
      <c r="T1970" s="0" t="n">
        <v>3</v>
      </c>
      <c r="U1970" s="0" t="n">
        <v>2</v>
      </c>
      <c r="V1970" s="0" t="inlineStr">
        <is>
          <t>계단식</t>
        </is>
      </c>
      <c r="W1970" s="0" t="inlineStr">
        <is>
          <t>98A</t>
        </is>
      </c>
      <c r="X1970" s="0" t="n">
        <v>10</v>
      </c>
      <c r="Y1970" s="0" t="n">
        <v>10</v>
      </c>
      <c r="Z1970" s="0" t="inlineStr">
        <is>
          <t>https://new.land.naver.com/complexes/100456?tab=detail&amp;rf=Y</t>
        </is>
      </c>
      <c r="AA1970" s="0" t="inlineStr">
        <is>
          <t>서울시 강동구 성내동 465-1</t>
        </is>
      </c>
      <c r="AB1970" s="0" t="inlineStr">
        <is>
          <t>서울시</t>
        </is>
      </c>
      <c r="AC1970" s="0" t="inlineStr">
        <is>
          <t>강동구</t>
        </is>
      </c>
      <c r="AD1970" s="0" t="inlineStr">
        <is>
          <t>성내동</t>
        </is>
      </c>
      <c r="AG1970" s="0" t="inlineStr">
        <is>
          <t>서울시 강동구 성안로3길 51</t>
        </is>
      </c>
      <c r="AH1970" s="0" t="n">
        <v>0</v>
      </c>
      <c r="AI1970" s="0" t="n">
        <v>278</v>
      </c>
      <c r="AJ1970" s="0" t="n">
        <v>37</v>
      </c>
      <c r="AK1970" s="0" t="n">
        <v>19</v>
      </c>
      <c r="AL1970" s="0" t="n">
        <v>1.06</v>
      </c>
    </row>
    <row r="1971">
      <c r="A1971" s="0" t="inlineStr">
        <is>
          <t>[성내동]</t>
        </is>
      </c>
      <c r="B1971" s="0" t="n">
        <v>100456</v>
      </c>
      <c r="C1971" s="0" t="n">
        <v>4</v>
      </c>
      <c r="D1971" s="0" t="inlineStr">
        <is>
          <t>코랜드빌리지</t>
        </is>
      </c>
      <c r="E1971" s="0" t="inlineStr">
        <is>
          <t>2001.12.</t>
        </is>
      </c>
      <c r="F1971" s="0" t="n">
        <v>18</v>
      </c>
      <c r="G1971" s="0" t="n">
        <v>30.42</v>
      </c>
      <c r="H1971" s="0" t="n">
        <v>100.57</v>
      </c>
      <c r="I1971" s="0" t="n">
        <v>24.95</v>
      </c>
      <c r="J1971" s="0" t="n">
        <v>82.51000000000001</v>
      </c>
      <c r="K1971" s="0" t="n">
        <v>4</v>
      </c>
      <c r="T1971" s="0" t="n">
        <v>3</v>
      </c>
      <c r="U1971" s="0" t="n">
        <v>2</v>
      </c>
      <c r="V1971" s="0" t="inlineStr">
        <is>
          <t>계단식</t>
        </is>
      </c>
      <c r="W1971" s="0" t="inlineStr">
        <is>
          <t>100B</t>
        </is>
      </c>
      <c r="X1971" s="0" t="n">
        <v>10</v>
      </c>
      <c r="Y1971" s="0" t="n">
        <v>10</v>
      </c>
      <c r="Z1971" s="0" t="inlineStr">
        <is>
          <t>https://new.land.naver.com/complexes/100456?tab=detail&amp;rf=Y</t>
        </is>
      </c>
      <c r="AA1971" s="0" t="inlineStr">
        <is>
          <t>서울시 강동구 성내동 465-1</t>
        </is>
      </c>
      <c r="AB1971" s="0" t="inlineStr">
        <is>
          <t>서울시</t>
        </is>
      </c>
      <c r="AC1971" s="0" t="inlineStr">
        <is>
          <t>강동구</t>
        </is>
      </c>
      <c r="AD1971" s="0" t="inlineStr">
        <is>
          <t>성내동</t>
        </is>
      </c>
      <c r="AG1971" s="0" t="inlineStr">
        <is>
          <t>서울시 강동구 성안로3길 51</t>
        </is>
      </c>
      <c r="AH1971" s="0" t="n">
        <v>0</v>
      </c>
      <c r="AI1971" s="0" t="n">
        <v>278</v>
      </c>
      <c r="AJ1971" s="0" t="n">
        <v>37</v>
      </c>
      <c r="AK1971" s="0" t="n">
        <v>19</v>
      </c>
      <c r="AL1971" s="0" t="n">
        <v>1.06</v>
      </c>
    </row>
    <row r="1972">
      <c r="A1972" s="0" t="inlineStr">
        <is>
          <t>[성내동]</t>
        </is>
      </c>
      <c r="B1972" s="0" t="n">
        <v>14437</v>
      </c>
      <c r="C1972" s="0" t="n">
        <v>1</v>
      </c>
      <c r="D1972" s="0" t="inlineStr">
        <is>
          <t>대주그린빌</t>
        </is>
      </c>
      <c r="E1972" s="0" t="inlineStr">
        <is>
          <t>2003.09.</t>
        </is>
      </c>
      <c r="F1972" s="0" t="n">
        <v>19</v>
      </c>
      <c r="G1972" s="0" t="n">
        <v>18.5</v>
      </c>
      <c r="H1972" s="0" t="n">
        <v>61.17</v>
      </c>
      <c r="I1972" s="0" t="n">
        <v>16.8</v>
      </c>
      <c r="J1972" s="0" t="n">
        <v>55.54</v>
      </c>
      <c r="K1972" s="0" t="n">
        <v>1</v>
      </c>
      <c r="T1972" s="0" t="n">
        <v>2</v>
      </c>
      <c r="U1972" s="0" t="n">
        <v>1</v>
      </c>
      <c r="V1972" s="0" t="inlineStr">
        <is>
          <t>계단식</t>
        </is>
      </c>
      <c r="W1972" s="0" t="inlineStr">
        <is>
          <t>61A</t>
        </is>
      </c>
      <c r="X1972" s="0" t="n">
        <v>7</v>
      </c>
      <c r="Y1972" s="0" t="n">
        <v>4</v>
      </c>
      <c r="Z1972" s="0" t="inlineStr">
        <is>
          <t>https://new.land.naver.com/complexes/14437?tab=detail&amp;rf=Y</t>
        </is>
      </c>
      <c r="AA1972" s="0" t="inlineStr">
        <is>
          <t>서울시 강동구 성내동 420-16</t>
        </is>
      </c>
      <c r="AB1972" s="0" t="inlineStr">
        <is>
          <t>서울시</t>
        </is>
      </c>
      <c r="AC1972" s="0" t="inlineStr">
        <is>
          <t>강동구</t>
        </is>
      </c>
      <c r="AD1972" s="0" t="inlineStr">
        <is>
          <t>성내동</t>
        </is>
      </c>
      <c r="AG1972" s="0" t="inlineStr">
        <is>
          <t>서울시 강동구 성안로 67</t>
        </is>
      </c>
      <c r="AH1972" s="0" t="n">
        <v>0</v>
      </c>
      <c r="AI1972" s="0" t="n">
        <v>288</v>
      </c>
      <c r="AJ1972" s="0" t="n">
        <v>59</v>
      </c>
      <c r="AK1972" s="0" t="n">
        <v>19</v>
      </c>
      <c r="AL1972" s="0" t="n">
        <v>1</v>
      </c>
    </row>
    <row r="1973">
      <c r="A1973" s="0" t="inlineStr">
        <is>
          <t>[성내동]</t>
        </is>
      </c>
      <c r="B1973" s="0" t="n">
        <v>14437</v>
      </c>
      <c r="C1973" s="0" t="n">
        <v>2</v>
      </c>
      <c r="D1973" s="0" t="inlineStr">
        <is>
          <t>대주그린빌</t>
        </is>
      </c>
      <c r="E1973" s="0" t="inlineStr">
        <is>
          <t>2003.09.</t>
        </is>
      </c>
      <c r="F1973" s="0" t="n">
        <v>19</v>
      </c>
      <c r="G1973" s="0" t="n">
        <v>19.49</v>
      </c>
      <c r="H1973" s="0" t="n">
        <v>64.43000000000001</v>
      </c>
      <c r="I1973" s="0" t="n">
        <v>17.69</v>
      </c>
      <c r="J1973" s="0" t="n">
        <v>58.5</v>
      </c>
      <c r="K1973" s="0" t="n">
        <v>1</v>
      </c>
      <c r="T1973" s="0" t="n">
        <v>2</v>
      </c>
      <c r="U1973" s="0" t="n">
        <v>1</v>
      </c>
      <c r="V1973" s="0" t="inlineStr">
        <is>
          <t>계단식</t>
        </is>
      </c>
      <c r="W1973" s="0" t="inlineStr">
        <is>
          <t>64B</t>
        </is>
      </c>
      <c r="X1973" s="0" t="n">
        <v>7</v>
      </c>
      <c r="Y1973" s="0" t="n">
        <v>4</v>
      </c>
      <c r="Z1973" s="0" t="inlineStr">
        <is>
          <t>https://new.land.naver.com/complexes/14437?tab=detail&amp;rf=Y</t>
        </is>
      </c>
      <c r="AA1973" s="0" t="inlineStr">
        <is>
          <t>서울시 강동구 성내동 420-16</t>
        </is>
      </c>
      <c r="AB1973" s="0" t="inlineStr">
        <is>
          <t>서울시</t>
        </is>
      </c>
      <c r="AC1973" s="0" t="inlineStr">
        <is>
          <t>강동구</t>
        </is>
      </c>
      <c r="AD1973" s="0" t="inlineStr">
        <is>
          <t>성내동</t>
        </is>
      </c>
      <c r="AG1973" s="0" t="inlineStr">
        <is>
          <t>서울시 강동구 성안로 67</t>
        </is>
      </c>
      <c r="AH1973" s="0" t="n">
        <v>0</v>
      </c>
      <c r="AI1973" s="0" t="n">
        <v>288</v>
      </c>
      <c r="AJ1973" s="0" t="n">
        <v>59</v>
      </c>
      <c r="AK1973" s="0" t="n">
        <v>19</v>
      </c>
      <c r="AL1973" s="0" t="n">
        <v>1</v>
      </c>
    </row>
    <row r="1974">
      <c r="A1974" s="0" t="inlineStr">
        <is>
          <t>[성내동]</t>
        </is>
      </c>
      <c r="B1974" s="0" t="n">
        <v>14437</v>
      </c>
      <c r="C1974" s="0" t="n">
        <v>3</v>
      </c>
      <c r="D1974" s="0" t="inlineStr">
        <is>
          <t>대주그린빌</t>
        </is>
      </c>
      <c r="E1974" s="0" t="inlineStr">
        <is>
          <t>2003.09.</t>
        </is>
      </c>
      <c r="F1974" s="0" t="n">
        <v>19</v>
      </c>
      <c r="G1974" s="0" t="n">
        <v>19.89</v>
      </c>
      <c r="H1974" s="0" t="n">
        <v>65.76000000000001</v>
      </c>
      <c r="I1974" s="0" t="n">
        <v>18.06</v>
      </c>
      <c r="J1974" s="0" t="n">
        <v>59.71</v>
      </c>
      <c r="K1974" s="0" t="n">
        <v>1</v>
      </c>
      <c r="T1974" s="0" t="n">
        <v>3</v>
      </c>
      <c r="U1974" s="0" t="n">
        <v>1</v>
      </c>
      <c r="V1974" s="0" t="inlineStr">
        <is>
          <t>복도식</t>
        </is>
      </c>
      <c r="W1974" s="0" t="n">
        <v>65</v>
      </c>
      <c r="X1974" s="0" t="n">
        <v>7</v>
      </c>
      <c r="Y1974" s="0" t="n">
        <v>4</v>
      </c>
      <c r="Z1974" s="0" t="inlineStr">
        <is>
          <t>https://new.land.naver.com/complexes/14437?tab=detail&amp;rf=Y</t>
        </is>
      </c>
      <c r="AA1974" s="0" t="inlineStr">
        <is>
          <t>서울시 강동구 성내동 420-16</t>
        </is>
      </c>
      <c r="AB1974" s="0" t="inlineStr">
        <is>
          <t>서울시</t>
        </is>
      </c>
      <c r="AC1974" s="0" t="inlineStr">
        <is>
          <t>강동구</t>
        </is>
      </c>
      <c r="AD1974" s="0" t="inlineStr">
        <is>
          <t>성내동</t>
        </is>
      </c>
      <c r="AG1974" s="0" t="inlineStr">
        <is>
          <t>서울시 강동구 성안로 67</t>
        </is>
      </c>
      <c r="AH1974" s="0" t="n">
        <v>0</v>
      </c>
      <c r="AI1974" s="0" t="n">
        <v>288</v>
      </c>
      <c r="AJ1974" s="0" t="n">
        <v>59</v>
      </c>
      <c r="AK1974" s="0" t="n">
        <v>19</v>
      </c>
      <c r="AL1974" s="0" t="n">
        <v>1</v>
      </c>
    </row>
    <row r="1975">
      <c r="A1975" s="0" t="inlineStr">
        <is>
          <t>[성내동]</t>
        </is>
      </c>
      <c r="B1975" s="0" t="n">
        <v>14437</v>
      </c>
      <c r="C1975" s="0" t="n">
        <v>4</v>
      </c>
      <c r="D1975" s="0" t="inlineStr">
        <is>
          <t>대주그린빌</t>
        </is>
      </c>
      <c r="E1975" s="0" t="inlineStr">
        <is>
          <t>2003.09.</t>
        </is>
      </c>
      <c r="F1975" s="0" t="n">
        <v>19</v>
      </c>
      <c r="G1975" s="0" t="n">
        <v>22.55</v>
      </c>
      <c r="H1975" s="0" t="n">
        <v>74.56</v>
      </c>
      <c r="I1975" s="0" t="n">
        <v>20.47</v>
      </c>
      <c r="J1975" s="0" t="n">
        <v>67.7</v>
      </c>
      <c r="K1975" s="0" t="n">
        <v>1</v>
      </c>
      <c r="T1975" s="0" t="n">
        <v>3</v>
      </c>
      <c r="U1975" s="0" t="n">
        <v>1</v>
      </c>
      <c r="V1975" s="0" t="inlineStr">
        <is>
          <t>복도식</t>
        </is>
      </c>
      <c r="W1975" s="0" t="n">
        <v>74</v>
      </c>
      <c r="X1975" s="0" t="n">
        <v>7</v>
      </c>
      <c r="Y1975" s="0" t="n">
        <v>4</v>
      </c>
      <c r="Z1975" s="0" t="inlineStr">
        <is>
          <t>https://new.land.naver.com/complexes/14437?tab=detail&amp;rf=Y</t>
        </is>
      </c>
      <c r="AA1975" s="0" t="inlineStr">
        <is>
          <t>서울시 강동구 성내동 420-16</t>
        </is>
      </c>
      <c r="AB1975" s="0" t="inlineStr">
        <is>
          <t>서울시</t>
        </is>
      </c>
      <c r="AC1975" s="0" t="inlineStr">
        <is>
          <t>강동구</t>
        </is>
      </c>
      <c r="AD1975" s="0" t="inlineStr">
        <is>
          <t>성내동</t>
        </is>
      </c>
      <c r="AG1975" s="0" t="inlineStr">
        <is>
          <t>서울시 강동구 성안로 67</t>
        </is>
      </c>
      <c r="AH1975" s="0" t="n">
        <v>0</v>
      </c>
      <c r="AI1975" s="0" t="n">
        <v>288</v>
      </c>
      <c r="AJ1975" s="0" t="n">
        <v>59</v>
      </c>
      <c r="AK1975" s="0" t="n">
        <v>19</v>
      </c>
      <c r="AL1975" s="0" t="n">
        <v>1</v>
      </c>
    </row>
    <row r="1976">
      <c r="A1976" s="0" t="inlineStr">
        <is>
          <t>[성내동]</t>
        </is>
      </c>
      <c r="B1976" s="0" t="n">
        <v>14437</v>
      </c>
      <c r="C1976" s="0" t="n">
        <v>5</v>
      </c>
      <c r="D1976" s="0" t="inlineStr">
        <is>
          <t>대주그린빌</t>
        </is>
      </c>
      <c r="E1976" s="0" t="inlineStr">
        <is>
          <t>2003.09.</t>
        </is>
      </c>
      <c r="F1976" s="0" t="n">
        <v>19</v>
      </c>
      <c r="G1976" s="0" t="n">
        <v>25.05</v>
      </c>
      <c r="H1976" s="0" t="n">
        <v>82.83</v>
      </c>
      <c r="I1976" s="0" t="n">
        <v>22.75</v>
      </c>
      <c r="J1976" s="0" t="n">
        <v>75.20999999999999</v>
      </c>
      <c r="K1976" s="0" t="n">
        <v>1</v>
      </c>
      <c r="T1976" s="0" t="n">
        <v>2</v>
      </c>
      <c r="U1976" s="0" t="n">
        <v>1</v>
      </c>
      <c r="V1976" s="0" t="inlineStr">
        <is>
          <t>계단식</t>
        </is>
      </c>
      <c r="W1976" s="0" t="inlineStr">
        <is>
          <t>82A</t>
        </is>
      </c>
      <c r="X1976" s="0" t="n">
        <v>7</v>
      </c>
      <c r="Y1976" s="0" t="n">
        <v>4</v>
      </c>
      <c r="Z1976" s="0" t="inlineStr">
        <is>
          <t>https://new.land.naver.com/complexes/14437?tab=detail&amp;rf=Y</t>
        </is>
      </c>
      <c r="AA1976" s="0" t="inlineStr">
        <is>
          <t>서울시 강동구 성내동 420-16</t>
        </is>
      </c>
      <c r="AB1976" s="0" t="inlineStr">
        <is>
          <t>서울시</t>
        </is>
      </c>
      <c r="AC1976" s="0" t="inlineStr">
        <is>
          <t>강동구</t>
        </is>
      </c>
      <c r="AD1976" s="0" t="inlineStr">
        <is>
          <t>성내동</t>
        </is>
      </c>
      <c r="AG1976" s="0" t="inlineStr">
        <is>
          <t>서울시 강동구 성안로 67</t>
        </is>
      </c>
      <c r="AH1976" s="0" t="n">
        <v>0</v>
      </c>
      <c r="AI1976" s="0" t="n">
        <v>288</v>
      </c>
      <c r="AJ1976" s="0" t="n">
        <v>59</v>
      </c>
      <c r="AK1976" s="0" t="n">
        <v>19</v>
      </c>
      <c r="AL1976" s="0" t="n">
        <v>1</v>
      </c>
    </row>
    <row r="1977">
      <c r="A1977" s="0" t="inlineStr">
        <is>
          <t>[성내동]</t>
        </is>
      </c>
      <c r="B1977" s="0" t="n">
        <v>14437</v>
      </c>
      <c r="C1977" s="0" t="n">
        <v>6</v>
      </c>
      <c r="D1977" s="0" t="inlineStr">
        <is>
          <t>대주그린빌</t>
        </is>
      </c>
      <c r="E1977" s="0" t="inlineStr">
        <is>
          <t>2003.09.</t>
        </is>
      </c>
      <c r="F1977" s="0" t="n">
        <v>19</v>
      </c>
      <c r="G1977" s="0" t="n">
        <v>25.47</v>
      </c>
      <c r="H1977" s="0" t="n">
        <v>84.22</v>
      </c>
      <c r="I1977" s="0" t="n">
        <v>23.12</v>
      </c>
      <c r="J1977" s="0" t="n">
        <v>76.45999999999999</v>
      </c>
      <c r="K1977" s="0" t="n">
        <v>6</v>
      </c>
      <c r="T1977" s="0" t="n">
        <v>2</v>
      </c>
      <c r="U1977" s="0" t="n">
        <v>1</v>
      </c>
      <c r="V1977" s="0" t="inlineStr">
        <is>
          <t>계단식</t>
        </is>
      </c>
      <c r="W1977" s="0" t="inlineStr">
        <is>
          <t>84B</t>
        </is>
      </c>
      <c r="X1977" s="0" t="n">
        <v>7</v>
      </c>
      <c r="Y1977" s="0" t="n">
        <v>4</v>
      </c>
      <c r="Z1977" s="0" t="inlineStr">
        <is>
          <t>https://new.land.naver.com/complexes/14437?tab=detail&amp;rf=Y</t>
        </is>
      </c>
      <c r="AA1977" s="0" t="inlineStr">
        <is>
          <t>서울시 강동구 성내동 420-16</t>
        </is>
      </c>
      <c r="AB1977" s="0" t="inlineStr">
        <is>
          <t>서울시</t>
        </is>
      </c>
      <c r="AC1977" s="0" t="inlineStr">
        <is>
          <t>강동구</t>
        </is>
      </c>
      <c r="AD1977" s="0" t="inlineStr">
        <is>
          <t>성내동</t>
        </is>
      </c>
      <c r="AG1977" s="0" t="inlineStr">
        <is>
          <t>서울시 강동구 성안로 67</t>
        </is>
      </c>
      <c r="AH1977" s="0" t="n">
        <v>0</v>
      </c>
      <c r="AI1977" s="0" t="n">
        <v>288</v>
      </c>
      <c r="AJ1977" s="0" t="n">
        <v>59</v>
      </c>
      <c r="AK1977" s="0" t="n">
        <v>19</v>
      </c>
      <c r="AL1977" s="0" t="n">
        <v>1</v>
      </c>
    </row>
    <row r="1978">
      <c r="A1978" s="0" t="inlineStr">
        <is>
          <t>[성내동]</t>
        </is>
      </c>
      <c r="B1978" s="0" t="n">
        <v>14437</v>
      </c>
      <c r="C1978" s="0" t="n">
        <v>7</v>
      </c>
      <c r="D1978" s="0" t="inlineStr">
        <is>
          <t>대주그린빌</t>
        </is>
      </c>
      <c r="E1978" s="0" t="inlineStr">
        <is>
          <t>2003.09.</t>
        </is>
      </c>
      <c r="F1978" s="0" t="n">
        <v>19</v>
      </c>
      <c r="G1978" s="0" t="n">
        <v>25.9</v>
      </c>
      <c r="H1978" s="0" t="n">
        <v>85.65000000000001</v>
      </c>
      <c r="I1978" s="0" t="n">
        <v>23.52</v>
      </c>
      <c r="J1978" s="0" t="n">
        <v>77.76000000000001</v>
      </c>
      <c r="K1978" s="0" t="n">
        <v>1</v>
      </c>
      <c r="T1978" s="0" t="n">
        <v>3</v>
      </c>
      <c r="U1978" s="0" t="n">
        <v>2</v>
      </c>
      <c r="V1978" s="0" t="inlineStr">
        <is>
          <t>계단식</t>
        </is>
      </c>
      <c r="W1978" s="0" t="n">
        <v>85</v>
      </c>
      <c r="X1978" s="0" t="n">
        <v>7</v>
      </c>
      <c r="Y1978" s="0" t="n">
        <v>4</v>
      </c>
      <c r="Z1978" s="0" t="inlineStr">
        <is>
          <t>https://new.land.naver.com/complexes/14437?tab=detail&amp;rf=Y</t>
        </is>
      </c>
      <c r="AA1978" s="0" t="inlineStr">
        <is>
          <t>서울시 강동구 성내동 420-16</t>
        </is>
      </c>
      <c r="AB1978" s="0" t="inlineStr">
        <is>
          <t>서울시</t>
        </is>
      </c>
      <c r="AC1978" s="0" t="inlineStr">
        <is>
          <t>강동구</t>
        </is>
      </c>
      <c r="AD1978" s="0" t="inlineStr">
        <is>
          <t>성내동</t>
        </is>
      </c>
      <c r="AG1978" s="0" t="inlineStr">
        <is>
          <t>서울시 강동구 성안로 67</t>
        </is>
      </c>
      <c r="AH1978" s="0" t="n">
        <v>0</v>
      </c>
      <c r="AI1978" s="0" t="n">
        <v>288</v>
      </c>
      <c r="AJ1978" s="0" t="n">
        <v>59</v>
      </c>
      <c r="AK1978" s="0" t="n">
        <v>19</v>
      </c>
      <c r="AL1978" s="0" t="n">
        <v>1</v>
      </c>
    </row>
    <row r="1979">
      <c r="A1979" s="0" t="inlineStr">
        <is>
          <t>[성내동]</t>
        </is>
      </c>
      <c r="B1979" s="0" t="n">
        <v>14437</v>
      </c>
      <c r="C1979" s="0" t="n">
        <v>8</v>
      </c>
      <c r="D1979" s="0" t="inlineStr">
        <is>
          <t>대주그린빌</t>
        </is>
      </c>
      <c r="E1979" s="0" t="inlineStr">
        <is>
          <t>2003.09.</t>
        </is>
      </c>
      <c r="F1979" s="0" t="n">
        <v>19</v>
      </c>
      <c r="G1979" s="0" t="n">
        <v>26.56</v>
      </c>
      <c r="H1979" s="0" t="n">
        <v>87.83</v>
      </c>
      <c r="I1979" s="0" t="n">
        <v>24.12</v>
      </c>
      <c r="J1979" s="0" t="n">
        <v>79.73999999999999</v>
      </c>
      <c r="K1979" s="0" t="n">
        <v>4</v>
      </c>
      <c r="T1979" s="0" t="n">
        <v>3</v>
      </c>
      <c r="U1979" s="0" t="n">
        <v>2</v>
      </c>
      <c r="V1979" s="0" t="inlineStr">
        <is>
          <t>계단식</t>
        </is>
      </c>
      <c r="W1979" s="0" t="n">
        <v>87</v>
      </c>
      <c r="X1979" s="0" t="n">
        <v>7</v>
      </c>
      <c r="Y1979" s="0" t="n">
        <v>4</v>
      </c>
      <c r="Z1979" s="0" t="inlineStr">
        <is>
          <t>https://new.land.naver.com/complexes/14437?tab=detail&amp;rf=Y</t>
        </is>
      </c>
      <c r="AA1979" s="0" t="inlineStr">
        <is>
          <t>서울시 강동구 성내동 420-16</t>
        </is>
      </c>
      <c r="AB1979" s="0" t="inlineStr">
        <is>
          <t>서울시</t>
        </is>
      </c>
      <c r="AC1979" s="0" t="inlineStr">
        <is>
          <t>강동구</t>
        </is>
      </c>
      <c r="AD1979" s="0" t="inlineStr">
        <is>
          <t>성내동</t>
        </is>
      </c>
      <c r="AG1979" s="0" t="inlineStr">
        <is>
          <t>서울시 강동구 성안로 67</t>
        </is>
      </c>
      <c r="AH1979" s="0" t="n">
        <v>0</v>
      </c>
      <c r="AI1979" s="0" t="n">
        <v>288</v>
      </c>
      <c r="AJ1979" s="0" t="n">
        <v>59</v>
      </c>
      <c r="AK1979" s="0" t="n">
        <v>19</v>
      </c>
      <c r="AL1979" s="0" t="n">
        <v>1</v>
      </c>
    </row>
    <row r="1980">
      <c r="A1980" s="0" t="inlineStr">
        <is>
          <t>[성내동]</t>
        </is>
      </c>
      <c r="B1980" s="0" t="n">
        <v>14437</v>
      </c>
      <c r="C1980" s="0" t="n">
        <v>9</v>
      </c>
      <c r="D1980" s="0" t="inlineStr">
        <is>
          <t>대주그린빌</t>
        </is>
      </c>
      <c r="E1980" s="0" t="inlineStr">
        <is>
          <t>2003.09.</t>
        </is>
      </c>
      <c r="F1980" s="0" t="n">
        <v>19</v>
      </c>
      <c r="G1980" s="0" t="n">
        <v>33.13</v>
      </c>
      <c r="H1980" s="0" t="n">
        <v>109.54</v>
      </c>
      <c r="I1980" s="0" t="n">
        <v>30.08</v>
      </c>
      <c r="J1980" s="0" t="n">
        <v>99.45</v>
      </c>
      <c r="K1980" s="0" t="n">
        <v>1</v>
      </c>
      <c r="T1980" s="0" t="n">
        <v>3</v>
      </c>
      <c r="U1980" s="0" t="n">
        <v>2</v>
      </c>
      <c r="V1980" s="0" t="inlineStr">
        <is>
          <t>계단식</t>
        </is>
      </c>
      <c r="W1980" s="0" t="inlineStr">
        <is>
          <t>109A</t>
        </is>
      </c>
      <c r="X1980" s="0" t="n">
        <v>7</v>
      </c>
      <c r="Y1980" s="0" t="n">
        <v>4</v>
      </c>
      <c r="Z1980" s="0" t="inlineStr">
        <is>
          <t>https://new.land.naver.com/complexes/14437?tab=detail&amp;rf=Y</t>
        </is>
      </c>
      <c r="AA1980" s="0" t="inlineStr">
        <is>
          <t>서울시 강동구 성내동 420-16</t>
        </is>
      </c>
      <c r="AB1980" s="0" t="inlineStr">
        <is>
          <t>서울시</t>
        </is>
      </c>
      <c r="AC1980" s="0" t="inlineStr">
        <is>
          <t>강동구</t>
        </is>
      </c>
      <c r="AD1980" s="0" t="inlineStr">
        <is>
          <t>성내동</t>
        </is>
      </c>
      <c r="AG1980" s="0" t="inlineStr">
        <is>
          <t>서울시 강동구 성안로 67</t>
        </is>
      </c>
      <c r="AH1980" s="0" t="n">
        <v>0</v>
      </c>
      <c r="AI1980" s="0" t="n">
        <v>288</v>
      </c>
      <c r="AJ1980" s="0" t="n">
        <v>59</v>
      </c>
      <c r="AK1980" s="0" t="n">
        <v>19</v>
      </c>
      <c r="AL1980" s="0" t="n">
        <v>1</v>
      </c>
    </row>
    <row r="1981">
      <c r="A1981" s="0" t="inlineStr">
        <is>
          <t>[성내동]</t>
        </is>
      </c>
      <c r="B1981" s="0" t="n">
        <v>14437</v>
      </c>
      <c r="C1981" s="0" t="n">
        <v>10</v>
      </c>
      <c r="D1981" s="0" t="inlineStr">
        <is>
          <t>대주그린빌</t>
        </is>
      </c>
      <c r="E1981" s="0" t="inlineStr">
        <is>
          <t>2003.09.</t>
        </is>
      </c>
      <c r="F1981" s="0" t="n">
        <v>19</v>
      </c>
      <c r="G1981" s="0" t="n">
        <v>33.27</v>
      </c>
      <c r="H1981" s="0" t="n">
        <v>110</v>
      </c>
      <c r="I1981" s="0" t="n">
        <v>30.21</v>
      </c>
      <c r="J1981" s="0" t="n">
        <v>99.87</v>
      </c>
      <c r="K1981" s="0" t="n">
        <v>1</v>
      </c>
      <c r="T1981" s="0" t="n">
        <v>3</v>
      </c>
      <c r="U1981" s="0" t="n">
        <v>2</v>
      </c>
      <c r="V1981" s="0" t="inlineStr">
        <is>
          <t>계단식</t>
        </is>
      </c>
      <c r="W1981" s="0" t="inlineStr">
        <is>
          <t>110B</t>
        </is>
      </c>
      <c r="X1981" s="0" t="n">
        <v>7</v>
      </c>
      <c r="Y1981" s="0" t="n">
        <v>4</v>
      </c>
      <c r="Z1981" s="0" t="inlineStr">
        <is>
          <t>https://new.land.naver.com/complexes/14437?tab=detail&amp;rf=Y</t>
        </is>
      </c>
      <c r="AA1981" s="0" t="inlineStr">
        <is>
          <t>서울시 강동구 성내동 420-16</t>
        </is>
      </c>
      <c r="AB1981" s="0" t="inlineStr">
        <is>
          <t>서울시</t>
        </is>
      </c>
      <c r="AC1981" s="0" t="inlineStr">
        <is>
          <t>강동구</t>
        </is>
      </c>
      <c r="AD1981" s="0" t="inlineStr">
        <is>
          <t>성내동</t>
        </is>
      </c>
      <c r="AG1981" s="0" t="inlineStr">
        <is>
          <t>서울시 강동구 성안로 67</t>
        </is>
      </c>
      <c r="AH1981" s="0" t="n">
        <v>0</v>
      </c>
      <c r="AI1981" s="0" t="n">
        <v>288</v>
      </c>
      <c r="AJ1981" s="0" t="n">
        <v>59</v>
      </c>
      <c r="AK1981" s="0" t="n">
        <v>19</v>
      </c>
      <c r="AL1981" s="0" t="n">
        <v>1</v>
      </c>
    </row>
    <row r="1982">
      <c r="A1982" s="0" t="inlineStr">
        <is>
          <t>[성내동]</t>
        </is>
      </c>
      <c r="B1982" s="0" t="n">
        <v>14437</v>
      </c>
      <c r="C1982" s="0" t="n">
        <v>11</v>
      </c>
      <c r="D1982" s="0" t="inlineStr">
        <is>
          <t>대주그린빌</t>
        </is>
      </c>
      <c r="E1982" s="0" t="inlineStr">
        <is>
          <t>2003.09.</t>
        </is>
      </c>
      <c r="F1982" s="0" t="n">
        <v>19</v>
      </c>
      <c r="G1982" s="0" t="n">
        <v>38.72</v>
      </c>
      <c r="H1982" s="0" t="n">
        <v>128.01</v>
      </c>
      <c r="I1982" s="0" t="n">
        <v>35.15</v>
      </c>
      <c r="J1982" s="0" t="n">
        <v>116.22</v>
      </c>
      <c r="K1982" s="0" t="n">
        <v>1</v>
      </c>
      <c r="T1982" s="0" t="n">
        <v>3</v>
      </c>
      <c r="U1982" s="0" t="n">
        <v>2</v>
      </c>
      <c r="V1982" s="0" t="inlineStr">
        <is>
          <t>계단식</t>
        </is>
      </c>
      <c r="W1982" s="0" t="n">
        <v>128</v>
      </c>
      <c r="X1982" s="0" t="n">
        <v>7</v>
      </c>
      <c r="Y1982" s="0" t="n">
        <v>4</v>
      </c>
      <c r="Z1982" s="0" t="inlineStr">
        <is>
          <t>https://new.land.naver.com/complexes/14437?tab=detail&amp;rf=Y</t>
        </is>
      </c>
      <c r="AA1982" s="0" t="inlineStr">
        <is>
          <t>서울시 강동구 성내동 420-16</t>
        </is>
      </c>
      <c r="AB1982" s="0" t="inlineStr">
        <is>
          <t>서울시</t>
        </is>
      </c>
      <c r="AC1982" s="0" t="inlineStr">
        <is>
          <t>강동구</t>
        </is>
      </c>
      <c r="AD1982" s="0" t="inlineStr">
        <is>
          <t>성내동</t>
        </is>
      </c>
      <c r="AG1982" s="0" t="inlineStr">
        <is>
          <t>서울시 강동구 성안로 67</t>
        </is>
      </c>
      <c r="AH1982" s="0" t="n">
        <v>0</v>
      </c>
      <c r="AI1982" s="0" t="n">
        <v>288</v>
      </c>
      <c r="AJ1982" s="0" t="n">
        <v>59</v>
      </c>
      <c r="AK1982" s="0" t="n">
        <v>19</v>
      </c>
      <c r="AL1982" s="0" t="n">
        <v>1</v>
      </c>
    </row>
    <row r="1983">
      <c r="A1983" s="0" t="inlineStr">
        <is>
          <t>[성내동]</t>
        </is>
      </c>
      <c r="B1983" s="0" t="n">
        <v>16590</v>
      </c>
      <c r="C1983" s="0" t="n">
        <v>1</v>
      </c>
      <c r="D1983" s="0" t="inlineStr">
        <is>
          <t>청구빌라트</t>
        </is>
      </c>
      <c r="E1983" s="0" t="inlineStr">
        <is>
          <t>1999.11.</t>
        </is>
      </c>
      <c r="F1983" s="0" t="n">
        <v>16</v>
      </c>
      <c r="G1983" s="0" t="n">
        <v>83.05</v>
      </c>
      <c r="H1983" s="0" t="n">
        <v>274.56</v>
      </c>
      <c r="I1983" s="0" t="n">
        <v>70.08</v>
      </c>
      <c r="J1983" s="0" t="n">
        <v>231.67</v>
      </c>
      <c r="K1983" s="0" t="n">
        <v>1</v>
      </c>
      <c r="T1983" s="0" t="n">
        <v>5</v>
      </c>
      <c r="U1983" s="0" t="n">
        <v>3</v>
      </c>
      <c r="V1983" s="0" t="inlineStr">
        <is>
          <t>계단식</t>
        </is>
      </c>
      <c r="W1983" s="0" t="n">
        <v>274</v>
      </c>
      <c r="X1983" s="0" t="n">
        <v>18</v>
      </c>
      <c r="Y1983" s="0" t="n">
        <v>18</v>
      </c>
      <c r="Z1983" s="0" t="inlineStr">
        <is>
          <t>https://new.land.naver.com/complexes/16590?tab=detail&amp;rf=Y</t>
        </is>
      </c>
      <c r="AA1983" s="0" t="inlineStr">
        <is>
          <t>서울시 강동구 성내동 459-2</t>
        </is>
      </c>
      <c r="AB1983" s="0" t="inlineStr">
        <is>
          <t>서울시</t>
        </is>
      </c>
      <c r="AC1983" s="0" t="inlineStr">
        <is>
          <t>강동구</t>
        </is>
      </c>
      <c r="AD1983" s="0" t="inlineStr">
        <is>
          <t>성내동</t>
        </is>
      </c>
      <c r="AG1983" s="0" t="inlineStr">
        <is>
          <t>서울시 강동구 강동대로 143-16</t>
        </is>
      </c>
      <c r="AH1983" s="0" t="n">
        <v>0</v>
      </c>
      <c r="AI1983" s="0" t="n">
        <v>345</v>
      </c>
      <c r="AJ1983" s="0" t="n">
        <v>23</v>
      </c>
      <c r="AK1983" s="0" t="n">
        <v>0</v>
      </c>
      <c r="AL1983" s="0" t="n">
        <v>0</v>
      </c>
    </row>
    <row r="1984">
      <c r="A1984" s="0" t="inlineStr">
        <is>
          <t>[성내동]</t>
        </is>
      </c>
      <c r="B1984" s="0" t="n">
        <v>16590</v>
      </c>
      <c r="C1984" s="0" t="n">
        <v>2</v>
      </c>
      <c r="D1984" s="0" t="inlineStr">
        <is>
          <t>청구빌라트</t>
        </is>
      </c>
      <c r="E1984" s="0" t="inlineStr">
        <is>
          <t>1999.11.</t>
        </is>
      </c>
      <c r="F1984" s="0" t="n">
        <v>16</v>
      </c>
      <c r="G1984" s="0" t="n">
        <v>87.70999999999999</v>
      </c>
      <c r="H1984" s="0" t="n">
        <v>289.98</v>
      </c>
      <c r="I1984" s="0" t="n">
        <v>73.90000000000001</v>
      </c>
      <c r="J1984" s="0" t="n">
        <v>244.33</v>
      </c>
      <c r="K1984" s="0" t="n">
        <v>1</v>
      </c>
      <c r="T1984" s="0" t="n">
        <v>5</v>
      </c>
      <c r="U1984" s="0" t="n">
        <v>3</v>
      </c>
      <c r="V1984" s="0" t="inlineStr">
        <is>
          <t>계단식</t>
        </is>
      </c>
      <c r="W1984" s="0" t="inlineStr">
        <is>
          <t>289A</t>
        </is>
      </c>
      <c r="X1984" s="0" t="n">
        <v>18</v>
      </c>
      <c r="Y1984" s="0" t="n">
        <v>18</v>
      </c>
      <c r="Z1984" s="0" t="inlineStr">
        <is>
          <t>https://new.land.naver.com/complexes/16590?tab=detail&amp;rf=Y</t>
        </is>
      </c>
      <c r="AA1984" s="0" t="inlineStr">
        <is>
          <t>서울시 강동구 성내동 459-2</t>
        </is>
      </c>
      <c r="AB1984" s="0" t="inlineStr">
        <is>
          <t>서울시</t>
        </is>
      </c>
      <c r="AC1984" s="0" t="inlineStr">
        <is>
          <t>강동구</t>
        </is>
      </c>
      <c r="AD1984" s="0" t="inlineStr">
        <is>
          <t>성내동</t>
        </is>
      </c>
      <c r="AG1984" s="0" t="inlineStr">
        <is>
          <t>서울시 강동구 강동대로 143-16</t>
        </is>
      </c>
      <c r="AH1984" s="0" t="n">
        <v>0</v>
      </c>
      <c r="AI1984" s="0" t="n">
        <v>345</v>
      </c>
      <c r="AJ1984" s="0" t="n">
        <v>23</v>
      </c>
      <c r="AK1984" s="0" t="n">
        <v>0</v>
      </c>
      <c r="AL1984" s="0" t="n">
        <v>0</v>
      </c>
    </row>
    <row r="1985">
      <c r="A1985" s="0" t="inlineStr">
        <is>
          <t>[성내동]</t>
        </is>
      </c>
      <c r="B1985" s="0" t="n">
        <v>16590</v>
      </c>
      <c r="C1985" s="0" t="n">
        <v>3</v>
      </c>
      <c r="D1985" s="0" t="inlineStr">
        <is>
          <t>청구빌라트</t>
        </is>
      </c>
      <c r="E1985" s="0" t="inlineStr">
        <is>
          <t>1999.11.</t>
        </is>
      </c>
      <c r="F1985" s="0" t="n">
        <v>16</v>
      </c>
      <c r="G1985" s="0" t="n">
        <v>87.81</v>
      </c>
      <c r="H1985" s="0" t="n">
        <v>290.29</v>
      </c>
      <c r="I1985" s="0" t="n">
        <v>73.98</v>
      </c>
      <c r="J1985" s="0" t="n">
        <v>244.59</v>
      </c>
      <c r="K1985" s="0" t="n">
        <v>14</v>
      </c>
      <c r="T1985" s="0" t="n">
        <v>5</v>
      </c>
      <c r="U1985" s="0" t="n">
        <v>3</v>
      </c>
      <c r="V1985" s="0" t="inlineStr">
        <is>
          <t>계단식</t>
        </is>
      </c>
      <c r="W1985" s="0" t="inlineStr">
        <is>
          <t>290B</t>
        </is>
      </c>
      <c r="X1985" s="0" t="n">
        <v>18</v>
      </c>
      <c r="Y1985" s="0" t="n">
        <v>18</v>
      </c>
      <c r="Z1985" s="0" t="inlineStr">
        <is>
          <t>https://new.land.naver.com/complexes/16590?tab=detail&amp;rf=Y</t>
        </is>
      </c>
      <c r="AA1985" s="0" t="inlineStr">
        <is>
          <t>서울시 강동구 성내동 459-2</t>
        </is>
      </c>
      <c r="AB1985" s="0" t="inlineStr">
        <is>
          <t>서울시</t>
        </is>
      </c>
      <c r="AC1985" s="0" t="inlineStr">
        <is>
          <t>강동구</t>
        </is>
      </c>
      <c r="AD1985" s="0" t="inlineStr">
        <is>
          <t>성내동</t>
        </is>
      </c>
      <c r="AG1985" s="0" t="inlineStr">
        <is>
          <t>서울시 강동구 강동대로 143-16</t>
        </is>
      </c>
      <c r="AH1985" s="0" t="n">
        <v>0</v>
      </c>
      <c r="AI1985" s="0" t="n">
        <v>345</v>
      </c>
      <c r="AJ1985" s="0" t="n">
        <v>23</v>
      </c>
      <c r="AK1985" s="0" t="n">
        <v>0</v>
      </c>
      <c r="AL1985" s="0" t="n">
        <v>0</v>
      </c>
    </row>
    <row r="1986">
      <c r="A1986" s="0" t="inlineStr">
        <is>
          <t>[성내동]</t>
        </is>
      </c>
      <c r="B1986" s="0" t="n">
        <v>12769</v>
      </c>
      <c r="C1986" s="0" t="n">
        <v>1</v>
      </c>
      <c r="D1986" s="0" t="inlineStr">
        <is>
          <t>하나플러스2</t>
        </is>
      </c>
      <c r="E1986" s="0" t="inlineStr">
        <is>
          <t>2004.09.</t>
        </is>
      </c>
      <c r="F1986" s="0" t="n">
        <v>90</v>
      </c>
      <c r="G1986" s="0" t="n">
        <v>31.51</v>
      </c>
      <c r="H1986" s="0" t="n">
        <v>104.18</v>
      </c>
      <c r="I1986" s="0" t="n">
        <v>25.7</v>
      </c>
      <c r="J1986" s="0" t="n">
        <v>84.98999999999999</v>
      </c>
      <c r="K1986" s="0" t="n">
        <v>40</v>
      </c>
      <c r="T1986" s="0" t="n">
        <v>3</v>
      </c>
      <c r="U1986" s="0" t="n">
        <v>2</v>
      </c>
      <c r="V1986" s="0" t="inlineStr">
        <is>
          <t>계단식</t>
        </is>
      </c>
      <c r="W1986" s="0" t="inlineStr">
        <is>
          <t>104S</t>
        </is>
      </c>
      <c r="X1986" s="0" t="n">
        <v>13</v>
      </c>
      <c r="Y1986" s="0" t="n">
        <v>7</v>
      </c>
      <c r="Z1986" s="0" t="inlineStr">
        <is>
          <t>https://new.land.naver.com/complexes/12769?tab=detail&amp;rf=Y</t>
        </is>
      </c>
      <c r="AA1986" s="0" t="inlineStr">
        <is>
          <t>서울시 강동구 성내동 601</t>
        </is>
      </c>
      <c r="AB1986" s="0" t="inlineStr">
        <is>
          <t>서울시</t>
        </is>
      </c>
      <c r="AC1986" s="0" t="inlineStr">
        <is>
          <t>강동구</t>
        </is>
      </c>
      <c r="AD1986" s="0" t="inlineStr">
        <is>
          <t>성내동</t>
        </is>
      </c>
      <c r="AG1986" s="0" t="inlineStr">
        <is>
          <t>서울시 강동구 양재대로85길 60</t>
        </is>
      </c>
      <c r="AH1986" s="0" t="n">
        <v>0</v>
      </c>
      <c r="AI1986" s="0" t="n">
        <v>252</v>
      </c>
      <c r="AJ1986" s="0" t="n">
        <v>33</v>
      </c>
      <c r="AK1986" s="0" t="n">
        <v>102</v>
      </c>
      <c r="AL1986" s="0" t="n">
        <v>1.13</v>
      </c>
    </row>
    <row r="1987">
      <c r="A1987" s="0" t="inlineStr">
        <is>
          <t>[성내동]</t>
        </is>
      </c>
      <c r="B1987" s="0" t="n">
        <v>12769</v>
      </c>
      <c r="C1987" s="0" t="n">
        <v>2</v>
      </c>
      <c r="D1987" s="0" t="inlineStr">
        <is>
          <t>하나플러스2</t>
        </is>
      </c>
      <c r="E1987" s="0" t="inlineStr">
        <is>
          <t>2004.09.</t>
        </is>
      </c>
      <c r="F1987" s="0" t="n">
        <v>90</v>
      </c>
      <c r="G1987" s="0" t="n">
        <v>31.59</v>
      </c>
      <c r="H1987" s="0" t="n">
        <v>104.46</v>
      </c>
      <c r="I1987" s="0" t="n">
        <v>25.61</v>
      </c>
      <c r="J1987" s="0" t="n">
        <v>84.67</v>
      </c>
      <c r="K1987" s="0" t="n">
        <v>28</v>
      </c>
      <c r="T1987" s="0" t="n">
        <v>3</v>
      </c>
      <c r="U1987" s="0" t="n">
        <v>2</v>
      </c>
      <c r="V1987" s="0" t="inlineStr">
        <is>
          <t>계단식</t>
        </is>
      </c>
      <c r="W1987" s="0" t="inlineStr">
        <is>
          <t>104N</t>
        </is>
      </c>
      <c r="X1987" s="0" t="n">
        <v>13</v>
      </c>
      <c r="Y1987" s="0" t="n">
        <v>7</v>
      </c>
      <c r="Z1987" s="0" t="inlineStr">
        <is>
          <t>https://new.land.naver.com/complexes/12769?tab=detail&amp;rf=Y</t>
        </is>
      </c>
      <c r="AA1987" s="0" t="inlineStr">
        <is>
          <t>서울시 강동구 성내동 601</t>
        </is>
      </c>
      <c r="AB1987" s="0" t="inlineStr">
        <is>
          <t>서울시</t>
        </is>
      </c>
      <c r="AC1987" s="0" t="inlineStr">
        <is>
          <t>강동구</t>
        </is>
      </c>
      <c r="AD1987" s="0" t="inlineStr">
        <is>
          <t>성내동</t>
        </is>
      </c>
      <c r="AG1987" s="0" t="inlineStr">
        <is>
          <t>서울시 강동구 양재대로85길 60</t>
        </is>
      </c>
      <c r="AH1987" s="0" t="n">
        <v>0</v>
      </c>
      <c r="AI1987" s="0" t="n">
        <v>252</v>
      </c>
      <c r="AJ1987" s="0" t="n">
        <v>33</v>
      </c>
      <c r="AK1987" s="0" t="n">
        <v>102</v>
      </c>
      <c r="AL1987" s="0" t="n">
        <v>1.13</v>
      </c>
    </row>
    <row r="1988">
      <c r="A1988" s="0" t="inlineStr">
        <is>
          <t>[성내동]</t>
        </is>
      </c>
      <c r="B1988" s="0" t="n">
        <v>12769</v>
      </c>
      <c r="C1988" s="0" t="n">
        <v>3</v>
      </c>
      <c r="D1988" s="0" t="inlineStr">
        <is>
          <t>하나플러스2</t>
        </is>
      </c>
      <c r="E1988" s="0" t="inlineStr">
        <is>
          <t>2004.09.</t>
        </is>
      </c>
      <c r="F1988" s="0" t="n">
        <v>90</v>
      </c>
      <c r="G1988" s="0" t="n">
        <v>31.62</v>
      </c>
      <c r="H1988" s="0" t="n">
        <v>104.53</v>
      </c>
      <c r="I1988" s="0" t="n">
        <v>25.62</v>
      </c>
      <c r="J1988" s="0" t="n">
        <v>84.7</v>
      </c>
      <c r="K1988" s="0" t="n">
        <v>22</v>
      </c>
      <c r="T1988" s="0" t="n">
        <v>3</v>
      </c>
      <c r="U1988" s="0" t="n">
        <v>2</v>
      </c>
      <c r="V1988" s="0" t="inlineStr">
        <is>
          <t>계단식</t>
        </is>
      </c>
      <c r="W1988" s="0" t="inlineStr">
        <is>
          <t>104E</t>
        </is>
      </c>
      <c r="X1988" s="0" t="n">
        <v>13</v>
      </c>
      <c r="Y1988" s="0" t="n">
        <v>7</v>
      </c>
      <c r="Z1988" s="0" t="inlineStr">
        <is>
          <t>https://new.land.naver.com/complexes/12769?tab=detail&amp;rf=Y</t>
        </is>
      </c>
      <c r="AA1988" s="0" t="inlineStr">
        <is>
          <t>서울시 강동구 성내동 601</t>
        </is>
      </c>
      <c r="AB1988" s="0" t="inlineStr">
        <is>
          <t>서울시</t>
        </is>
      </c>
      <c r="AC1988" s="0" t="inlineStr">
        <is>
          <t>강동구</t>
        </is>
      </c>
      <c r="AD1988" s="0" t="inlineStr">
        <is>
          <t>성내동</t>
        </is>
      </c>
      <c r="AG1988" s="0" t="inlineStr">
        <is>
          <t>서울시 강동구 양재대로85길 60</t>
        </is>
      </c>
      <c r="AH1988" s="0" t="n">
        <v>0</v>
      </c>
      <c r="AI1988" s="0" t="n">
        <v>252</v>
      </c>
      <c r="AJ1988" s="0" t="n">
        <v>33</v>
      </c>
      <c r="AK1988" s="0" t="n">
        <v>102</v>
      </c>
      <c r="AL1988" s="0" t="n">
        <v>1.13</v>
      </c>
    </row>
    <row r="1989">
      <c r="A1989" s="0" t="inlineStr">
        <is>
          <t>[성내동]</t>
        </is>
      </c>
      <c r="B1989" s="0" t="n">
        <v>11840</v>
      </c>
      <c r="C1989" s="0" t="n">
        <v>1</v>
      </c>
      <c r="D1989" s="0" t="inlineStr">
        <is>
          <t>한솔애리즈2차</t>
        </is>
      </c>
      <c r="E1989" s="0" t="inlineStr">
        <is>
          <t>2003.10.</t>
        </is>
      </c>
      <c r="F1989" s="0" t="n">
        <v>61</v>
      </c>
      <c r="G1989" s="0" t="n">
        <v>22.32</v>
      </c>
      <c r="H1989" s="0" t="n">
        <v>73.81</v>
      </c>
      <c r="I1989" s="0" t="n">
        <v>17.14</v>
      </c>
      <c r="J1989" s="0" t="n">
        <v>56.67</v>
      </c>
      <c r="K1989" s="0" t="n">
        <v>1</v>
      </c>
      <c r="T1989" s="0" t="n">
        <v>2</v>
      </c>
      <c r="U1989" s="0" t="n">
        <v>1</v>
      </c>
      <c r="V1989" s="0" t="inlineStr">
        <is>
          <t>계단식</t>
        </is>
      </c>
      <c r="W1989" s="0" t="n">
        <v>73</v>
      </c>
      <c r="X1989" s="0" t="n">
        <v>8</v>
      </c>
      <c r="Y1989" s="0" t="n">
        <v>7</v>
      </c>
      <c r="Z1989" s="0" t="inlineStr">
        <is>
          <t>https://new.land.naver.com/complexes/11840?tab=detail&amp;rf=Y</t>
        </is>
      </c>
      <c r="AA1989" s="0" t="inlineStr">
        <is>
          <t>서울시 강동구 성내동 597</t>
        </is>
      </c>
      <c r="AB1989" s="0" t="inlineStr">
        <is>
          <t>서울시</t>
        </is>
      </c>
      <c r="AC1989" s="0" t="inlineStr">
        <is>
          <t>강동구</t>
        </is>
      </c>
      <c r="AD1989" s="0" t="inlineStr">
        <is>
          <t>성내동</t>
        </is>
      </c>
      <c r="AG1989" s="0" t="inlineStr">
        <is>
          <t>서울시 강동구 풍성로54길 7</t>
        </is>
      </c>
      <c r="AH1989" s="0" t="n">
        <v>0</v>
      </c>
      <c r="AI1989" s="0" t="n">
        <v>0</v>
      </c>
      <c r="AJ1989" s="0" t="n">
        <v>0</v>
      </c>
      <c r="AK1989" s="0" t="n">
        <v>70</v>
      </c>
      <c r="AL1989" s="0" t="n">
        <v>1.15</v>
      </c>
    </row>
    <row r="1990">
      <c r="A1990" s="0" t="inlineStr">
        <is>
          <t>[성내동]</t>
        </is>
      </c>
      <c r="B1990" s="0" t="n">
        <v>11840</v>
      </c>
      <c r="C1990" s="0" t="n">
        <v>2</v>
      </c>
      <c r="D1990" s="0" t="inlineStr">
        <is>
          <t>한솔애리즈2차</t>
        </is>
      </c>
      <c r="E1990" s="0" t="inlineStr">
        <is>
          <t>2003.10.</t>
        </is>
      </c>
      <c r="F1990" s="0" t="n">
        <v>61</v>
      </c>
      <c r="G1990" s="0" t="n">
        <v>25.73</v>
      </c>
      <c r="H1990" s="0" t="n">
        <v>85.06999999999999</v>
      </c>
      <c r="I1990" s="0" t="n">
        <v>19.81</v>
      </c>
      <c r="J1990" s="0" t="n">
        <v>65.5</v>
      </c>
      <c r="K1990" s="0" t="n">
        <v>7</v>
      </c>
      <c r="T1990" s="0" t="n">
        <v>3</v>
      </c>
      <c r="U1990" s="0" t="n">
        <v>1</v>
      </c>
      <c r="V1990" s="0" t="inlineStr">
        <is>
          <t>계단식</t>
        </is>
      </c>
      <c r="W1990" s="0" t="inlineStr">
        <is>
          <t>85A</t>
        </is>
      </c>
      <c r="X1990" s="0" t="n">
        <v>8</v>
      </c>
      <c r="Y1990" s="0" t="n">
        <v>7</v>
      </c>
      <c r="Z1990" s="0" t="inlineStr">
        <is>
          <t>https://new.land.naver.com/complexes/11840?tab=detail&amp;rf=Y</t>
        </is>
      </c>
      <c r="AA1990" s="0" t="inlineStr">
        <is>
          <t>서울시 강동구 성내동 597</t>
        </is>
      </c>
      <c r="AB1990" s="0" t="inlineStr">
        <is>
          <t>서울시</t>
        </is>
      </c>
      <c r="AC1990" s="0" t="inlineStr">
        <is>
          <t>강동구</t>
        </is>
      </c>
      <c r="AD1990" s="0" t="inlineStr">
        <is>
          <t>성내동</t>
        </is>
      </c>
      <c r="AG1990" s="0" t="inlineStr">
        <is>
          <t>서울시 강동구 풍성로54길 7</t>
        </is>
      </c>
      <c r="AH1990" s="0" t="n">
        <v>0</v>
      </c>
      <c r="AI1990" s="0" t="n">
        <v>0</v>
      </c>
      <c r="AJ1990" s="0" t="n">
        <v>0</v>
      </c>
      <c r="AK1990" s="0" t="n">
        <v>70</v>
      </c>
      <c r="AL1990" s="0" t="n">
        <v>1.15</v>
      </c>
    </row>
    <row r="1991">
      <c r="A1991" s="0" t="inlineStr">
        <is>
          <t>[성내동]</t>
        </is>
      </c>
      <c r="B1991" s="0" t="n">
        <v>11840</v>
      </c>
      <c r="C1991" s="0" t="n">
        <v>3</v>
      </c>
      <c r="D1991" s="0" t="inlineStr">
        <is>
          <t>한솔애리즈2차</t>
        </is>
      </c>
      <c r="E1991" s="0" t="inlineStr">
        <is>
          <t>2003.10.</t>
        </is>
      </c>
      <c r="F1991" s="0" t="n">
        <v>61</v>
      </c>
      <c r="G1991" s="0" t="n">
        <v>26.45</v>
      </c>
      <c r="H1991" s="0" t="n">
        <v>87.45999999999999</v>
      </c>
      <c r="I1991" s="0" t="n">
        <v>20.22</v>
      </c>
      <c r="J1991" s="0" t="n">
        <v>66.84999999999999</v>
      </c>
      <c r="K1991" s="0" t="n">
        <v>1</v>
      </c>
      <c r="T1991" s="0" t="n">
        <v>3</v>
      </c>
      <c r="U1991" s="0" t="n">
        <v>1</v>
      </c>
      <c r="V1991" s="0" t="inlineStr">
        <is>
          <t>계단식</t>
        </is>
      </c>
      <c r="W1991" s="0" t="inlineStr">
        <is>
          <t>87B</t>
        </is>
      </c>
      <c r="X1991" s="0" t="n">
        <v>8</v>
      </c>
      <c r="Y1991" s="0" t="n">
        <v>7</v>
      </c>
      <c r="Z1991" s="0" t="inlineStr">
        <is>
          <t>https://new.land.naver.com/complexes/11840?tab=detail&amp;rf=Y</t>
        </is>
      </c>
      <c r="AA1991" s="0" t="inlineStr">
        <is>
          <t>서울시 강동구 성내동 597</t>
        </is>
      </c>
      <c r="AB1991" s="0" t="inlineStr">
        <is>
          <t>서울시</t>
        </is>
      </c>
      <c r="AC1991" s="0" t="inlineStr">
        <is>
          <t>강동구</t>
        </is>
      </c>
      <c r="AD1991" s="0" t="inlineStr">
        <is>
          <t>성내동</t>
        </is>
      </c>
      <c r="AG1991" s="0" t="inlineStr">
        <is>
          <t>서울시 강동구 풍성로54길 7</t>
        </is>
      </c>
      <c r="AH1991" s="0" t="n">
        <v>0</v>
      </c>
      <c r="AI1991" s="0" t="n">
        <v>0</v>
      </c>
      <c r="AJ1991" s="0" t="n">
        <v>0</v>
      </c>
      <c r="AK1991" s="0" t="n">
        <v>70</v>
      </c>
      <c r="AL1991" s="0" t="n">
        <v>1.15</v>
      </c>
    </row>
    <row r="1992">
      <c r="A1992" s="0" t="inlineStr">
        <is>
          <t>[성내동]</t>
        </is>
      </c>
      <c r="B1992" s="0" t="n">
        <v>11840</v>
      </c>
      <c r="C1992" s="0" t="n">
        <v>4</v>
      </c>
      <c r="D1992" s="0" t="inlineStr">
        <is>
          <t>한솔애리즈2차</t>
        </is>
      </c>
      <c r="E1992" s="0" t="inlineStr">
        <is>
          <t>2003.10.</t>
        </is>
      </c>
      <c r="F1992" s="0" t="n">
        <v>61</v>
      </c>
      <c r="G1992" s="0" t="n">
        <v>30.51</v>
      </c>
      <c r="H1992" s="0" t="n">
        <v>100.86</v>
      </c>
      <c r="I1992" s="0" t="n">
        <v>23.4</v>
      </c>
      <c r="J1992" s="0" t="n">
        <v>77.37</v>
      </c>
      <c r="K1992" s="0" t="n">
        <v>4</v>
      </c>
      <c r="T1992" s="0" t="n">
        <v>3</v>
      </c>
      <c r="U1992" s="0" t="n">
        <v>2</v>
      </c>
      <c r="V1992" s="0" t="inlineStr">
        <is>
          <t>계단식</t>
        </is>
      </c>
      <c r="W1992" s="0" t="inlineStr">
        <is>
          <t>100A</t>
        </is>
      </c>
      <c r="X1992" s="0" t="n">
        <v>8</v>
      </c>
      <c r="Y1992" s="0" t="n">
        <v>7</v>
      </c>
      <c r="Z1992" s="0" t="inlineStr">
        <is>
          <t>https://new.land.naver.com/complexes/11840?tab=detail&amp;rf=Y</t>
        </is>
      </c>
      <c r="AA1992" s="0" t="inlineStr">
        <is>
          <t>서울시 강동구 성내동 597</t>
        </is>
      </c>
      <c r="AB1992" s="0" t="inlineStr">
        <is>
          <t>서울시</t>
        </is>
      </c>
      <c r="AC1992" s="0" t="inlineStr">
        <is>
          <t>강동구</t>
        </is>
      </c>
      <c r="AD1992" s="0" t="inlineStr">
        <is>
          <t>성내동</t>
        </is>
      </c>
      <c r="AG1992" s="0" t="inlineStr">
        <is>
          <t>서울시 강동구 풍성로54길 7</t>
        </is>
      </c>
      <c r="AH1992" s="0" t="n">
        <v>0</v>
      </c>
      <c r="AI1992" s="0" t="n">
        <v>0</v>
      </c>
      <c r="AJ1992" s="0" t="n">
        <v>0</v>
      </c>
      <c r="AK1992" s="0" t="n">
        <v>70</v>
      </c>
      <c r="AL1992" s="0" t="n">
        <v>1.15</v>
      </c>
    </row>
    <row r="1993">
      <c r="A1993" s="0" t="inlineStr">
        <is>
          <t>[성내동]</t>
        </is>
      </c>
      <c r="B1993" s="0" t="n">
        <v>11840</v>
      </c>
      <c r="C1993" s="0" t="n">
        <v>5</v>
      </c>
      <c r="D1993" s="0" t="inlineStr">
        <is>
          <t>한솔애리즈2차</t>
        </is>
      </c>
      <c r="E1993" s="0" t="inlineStr">
        <is>
          <t>2003.10.</t>
        </is>
      </c>
      <c r="F1993" s="0" t="n">
        <v>61</v>
      </c>
      <c r="G1993" s="0" t="n">
        <v>30.96</v>
      </c>
      <c r="H1993" s="0" t="n">
        <v>102.37</v>
      </c>
      <c r="I1993" s="0" t="n">
        <v>23.79</v>
      </c>
      <c r="J1993" s="0" t="n">
        <v>78.66</v>
      </c>
      <c r="K1993" s="0" t="n">
        <v>7</v>
      </c>
      <c r="T1993" s="0" t="n">
        <v>3</v>
      </c>
      <c r="U1993" s="0" t="n">
        <v>2</v>
      </c>
      <c r="V1993" s="0" t="inlineStr">
        <is>
          <t>계단식</t>
        </is>
      </c>
      <c r="W1993" s="0" t="inlineStr">
        <is>
          <t>102B</t>
        </is>
      </c>
      <c r="X1993" s="0" t="n">
        <v>8</v>
      </c>
      <c r="Y1993" s="0" t="n">
        <v>7</v>
      </c>
      <c r="Z1993" s="0" t="inlineStr">
        <is>
          <t>https://new.land.naver.com/complexes/11840?tab=detail&amp;rf=Y</t>
        </is>
      </c>
      <c r="AA1993" s="0" t="inlineStr">
        <is>
          <t>서울시 강동구 성내동 597</t>
        </is>
      </c>
      <c r="AB1993" s="0" t="inlineStr">
        <is>
          <t>서울시</t>
        </is>
      </c>
      <c r="AC1993" s="0" t="inlineStr">
        <is>
          <t>강동구</t>
        </is>
      </c>
      <c r="AD1993" s="0" t="inlineStr">
        <is>
          <t>성내동</t>
        </is>
      </c>
      <c r="AG1993" s="0" t="inlineStr">
        <is>
          <t>서울시 강동구 풍성로54길 7</t>
        </is>
      </c>
      <c r="AH1993" s="0" t="n">
        <v>0</v>
      </c>
      <c r="AI1993" s="0" t="n">
        <v>0</v>
      </c>
      <c r="AJ1993" s="0" t="n">
        <v>0</v>
      </c>
      <c r="AK1993" s="0" t="n">
        <v>70</v>
      </c>
      <c r="AL1993" s="0" t="n">
        <v>1.15</v>
      </c>
    </row>
    <row r="1994">
      <c r="A1994" s="0" t="inlineStr">
        <is>
          <t>[성내동]</t>
        </is>
      </c>
      <c r="B1994" s="0" t="n">
        <v>11840</v>
      </c>
      <c r="C1994" s="0" t="n">
        <v>6</v>
      </c>
      <c r="D1994" s="0" t="inlineStr">
        <is>
          <t>한솔애리즈2차</t>
        </is>
      </c>
      <c r="E1994" s="0" t="inlineStr">
        <is>
          <t>2003.10.</t>
        </is>
      </c>
      <c r="F1994" s="0" t="n">
        <v>61</v>
      </c>
      <c r="G1994" s="0" t="n">
        <v>32.28</v>
      </c>
      <c r="H1994" s="0" t="n">
        <v>106.72</v>
      </c>
      <c r="I1994" s="0" t="n">
        <v>24.87</v>
      </c>
      <c r="J1994" s="0" t="n">
        <v>82.22</v>
      </c>
      <c r="K1994" s="0" t="n">
        <v>28</v>
      </c>
      <c r="T1994" s="0" t="n">
        <v>3</v>
      </c>
      <c r="U1994" s="0" t="n">
        <v>2</v>
      </c>
      <c r="V1994" s="0" t="inlineStr">
        <is>
          <t>계단식</t>
        </is>
      </c>
      <c r="W1994" s="0" t="n">
        <v>106</v>
      </c>
      <c r="X1994" s="0" t="n">
        <v>8</v>
      </c>
      <c r="Y1994" s="0" t="n">
        <v>7</v>
      </c>
      <c r="Z1994" s="0" t="inlineStr">
        <is>
          <t>https://new.land.naver.com/complexes/11840?tab=detail&amp;rf=Y</t>
        </is>
      </c>
      <c r="AA1994" s="0" t="inlineStr">
        <is>
          <t>서울시 강동구 성내동 597</t>
        </is>
      </c>
      <c r="AB1994" s="0" t="inlineStr">
        <is>
          <t>서울시</t>
        </is>
      </c>
      <c r="AC1994" s="0" t="inlineStr">
        <is>
          <t>강동구</t>
        </is>
      </c>
      <c r="AD1994" s="0" t="inlineStr">
        <is>
          <t>성내동</t>
        </is>
      </c>
      <c r="AG1994" s="0" t="inlineStr">
        <is>
          <t>서울시 강동구 풍성로54길 7</t>
        </is>
      </c>
      <c r="AH1994" s="0" t="n">
        <v>0</v>
      </c>
      <c r="AI1994" s="0" t="n">
        <v>0</v>
      </c>
      <c r="AJ1994" s="0" t="n">
        <v>0</v>
      </c>
      <c r="AK1994" s="0" t="n">
        <v>70</v>
      </c>
      <c r="AL1994" s="0" t="n">
        <v>1.15</v>
      </c>
    </row>
    <row r="1995">
      <c r="A1995" s="0" t="inlineStr">
        <is>
          <t>[성내동]</t>
        </is>
      </c>
      <c r="B1995" s="0" t="n">
        <v>11840</v>
      </c>
      <c r="C1995" s="0" t="n">
        <v>7</v>
      </c>
      <c r="D1995" s="0" t="inlineStr">
        <is>
          <t>한솔애리즈2차</t>
        </is>
      </c>
      <c r="E1995" s="0" t="inlineStr">
        <is>
          <t>2003.10.</t>
        </is>
      </c>
      <c r="F1995" s="0" t="n">
        <v>61</v>
      </c>
      <c r="G1995" s="0" t="n">
        <v>34.32</v>
      </c>
      <c r="H1995" s="0" t="n">
        <v>113.48</v>
      </c>
      <c r="I1995" s="0" t="n">
        <v>31.03</v>
      </c>
      <c r="J1995" s="0" t="n">
        <v>102.58</v>
      </c>
      <c r="K1995" s="0" t="n">
        <v>1</v>
      </c>
      <c r="T1995" s="0" t="n">
        <v>3</v>
      </c>
      <c r="U1995" s="0" t="n">
        <v>2</v>
      </c>
      <c r="V1995" s="0" t="inlineStr">
        <is>
          <t>계단식</t>
        </is>
      </c>
      <c r="W1995" s="0" t="n">
        <v>113</v>
      </c>
      <c r="X1995" s="0" t="n">
        <v>8</v>
      </c>
      <c r="Y1995" s="0" t="n">
        <v>7</v>
      </c>
      <c r="Z1995" s="0" t="inlineStr">
        <is>
          <t>https://new.land.naver.com/complexes/11840?tab=detail&amp;rf=Y</t>
        </is>
      </c>
      <c r="AA1995" s="0" t="inlineStr">
        <is>
          <t>서울시 강동구 성내동 597</t>
        </is>
      </c>
      <c r="AB1995" s="0" t="inlineStr">
        <is>
          <t>서울시</t>
        </is>
      </c>
      <c r="AC1995" s="0" t="inlineStr">
        <is>
          <t>강동구</t>
        </is>
      </c>
      <c r="AD1995" s="0" t="inlineStr">
        <is>
          <t>성내동</t>
        </is>
      </c>
      <c r="AG1995" s="0" t="inlineStr">
        <is>
          <t>서울시 강동구 풍성로54길 7</t>
        </is>
      </c>
      <c r="AH1995" s="0" t="n">
        <v>0</v>
      </c>
      <c r="AI1995" s="0" t="n">
        <v>0</v>
      </c>
      <c r="AJ1995" s="0" t="n">
        <v>0</v>
      </c>
      <c r="AK1995" s="0" t="n">
        <v>70</v>
      </c>
      <c r="AL1995" s="0" t="n">
        <v>1.15</v>
      </c>
    </row>
    <row r="1996">
      <c r="A1996" s="0" t="inlineStr">
        <is>
          <t>[성내동]</t>
        </is>
      </c>
      <c r="B1996" s="0" t="n">
        <v>11840</v>
      </c>
      <c r="C1996" s="0" t="n">
        <v>8</v>
      </c>
      <c r="D1996" s="0" t="inlineStr">
        <is>
          <t>한솔애리즈2차</t>
        </is>
      </c>
      <c r="E1996" s="0" t="inlineStr">
        <is>
          <t>2003.10.</t>
        </is>
      </c>
      <c r="F1996" s="0" t="n">
        <v>61</v>
      </c>
      <c r="G1996" s="0" t="n">
        <v>36.12</v>
      </c>
      <c r="H1996" s="0" t="n">
        <v>119.41</v>
      </c>
      <c r="I1996" s="0" t="n">
        <v>32.65</v>
      </c>
      <c r="J1996" s="0" t="n">
        <v>107.94</v>
      </c>
      <c r="K1996" s="0" t="n">
        <v>1</v>
      </c>
      <c r="T1996" s="0" t="n">
        <v>3</v>
      </c>
      <c r="U1996" s="0" t="n">
        <v>2</v>
      </c>
      <c r="V1996" s="0" t="inlineStr">
        <is>
          <t>계단식</t>
        </is>
      </c>
      <c r="W1996" s="0" t="n">
        <v>119</v>
      </c>
      <c r="X1996" s="0" t="n">
        <v>8</v>
      </c>
      <c r="Y1996" s="0" t="n">
        <v>7</v>
      </c>
      <c r="Z1996" s="0" t="inlineStr">
        <is>
          <t>https://new.land.naver.com/complexes/11840?tab=detail&amp;rf=Y</t>
        </is>
      </c>
      <c r="AA1996" s="0" t="inlineStr">
        <is>
          <t>서울시 강동구 성내동 597</t>
        </is>
      </c>
      <c r="AB1996" s="0" t="inlineStr">
        <is>
          <t>서울시</t>
        </is>
      </c>
      <c r="AC1996" s="0" t="inlineStr">
        <is>
          <t>강동구</t>
        </is>
      </c>
      <c r="AD1996" s="0" t="inlineStr">
        <is>
          <t>성내동</t>
        </is>
      </c>
      <c r="AG1996" s="0" t="inlineStr">
        <is>
          <t>서울시 강동구 풍성로54길 7</t>
        </is>
      </c>
      <c r="AH1996" s="0" t="n">
        <v>0</v>
      </c>
      <c r="AI1996" s="0" t="n">
        <v>0</v>
      </c>
      <c r="AJ1996" s="0" t="n">
        <v>0</v>
      </c>
      <c r="AK1996" s="0" t="n">
        <v>70</v>
      </c>
      <c r="AL1996" s="0" t="n">
        <v>1.15</v>
      </c>
    </row>
    <row r="1997">
      <c r="A1997" s="0" t="inlineStr">
        <is>
          <t>[성내동]</t>
        </is>
      </c>
      <c r="B1997" s="0" t="n">
        <v>11840</v>
      </c>
      <c r="C1997" s="0" t="n">
        <v>9</v>
      </c>
      <c r="D1997" s="0" t="inlineStr">
        <is>
          <t>한솔애리즈2차</t>
        </is>
      </c>
      <c r="E1997" s="0" t="inlineStr">
        <is>
          <t>2003.10.</t>
        </is>
      </c>
      <c r="F1997" s="0" t="n">
        <v>61</v>
      </c>
      <c r="G1997" s="0" t="n">
        <v>37.46</v>
      </c>
      <c r="H1997" s="0" t="n">
        <v>123.85</v>
      </c>
      <c r="I1997" s="0" t="n">
        <v>33.86</v>
      </c>
      <c r="J1997" s="0" t="n">
        <v>111.96</v>
      </c>
      <c r="K1997" s="0" t="n">
        <v>11</v>
      </c>
      <c r="T1997" s="0" t="n">
        <v>4</v>
      </c>
      <c r="U1997" s="0" t="n">
        <v>2</v>
      </c>
      <c r="V1997" s="0" t="inlineStr">
        <is>
          <t>계단식</t>
        </is>
      </c>
      <c r="W1997" s="0" t="n">
        <v>123</v>
      </c>
      <c r="X1997" s="0" t="n">
        <v>8</v>
      </c>
      <c r="Y1997" s="0" t="n">
        <v>7</v>
      </c>
      <c r="Z1997" s="0" t="inlineStr">
        <is>
          <t>https://new.land.naver.com/complexes/11840?tab=detail&amp;rf=Y</t>
        </is>
      </c>
      <c r="AA1997" s="0" t="inlineStr">
        <is>
          <t>서울시 강동구 성내동 597</t>
        </is>
      </c>
      <c r="AB1997" s="0" t="inlineStr">
        <is>
          <t>서울시</t>
        </is>
      </c>
      <c r="AC1997" s="0" t="inlineStr">
        <is>
          <t>강동구</t>
        </is>
      </c>
      <c r="AD1997" s="0" t="inlineStr">
        <is>
          <t>성내동</t>
        </is>
      </c>
      <c r="AG1997" s="0" t="inlineStr">
        <is>
          <t>서울시 강동구 풍성로54길 7</t>
        </is>
      </c>
      <c r="AH1997" s="0" t="n">
        <v>0</v>
      </c>
      <c r="AI1997" s="0" t="n">
        <v>0</v>
      </c>
      <c r="AJ1997" s="0" t="n">
        <v>0</v>
      </c>
      <c r="AK1997" s="0" t="n">
        <v>70</v>
      </c>
      <c r="AL1997" s="0" t="n">
        <v>1.15</v>
      </c>
    </row>
    <row r="1998">
      <c r="A1998" s="0" t="inlineStr">
        <is>
          <t>[성내동]</t>
        </is>
      </c>
      <c r="B1998" s="0" t="n">
        <v>8677</v>
      </c>
      <c r="C1998" s="0" t="n">
        <v>1</v>
      </c>
      <c r="D1998" s="0" t="inlineStr">
        <is>
          <t>메이저</t>
        </is>
      </c>
      <c r="E1998" s="0" t="inlineStr">
        <is>
          <t>2001.06.</t>
        </is>
      </c>
      <c r="F1998" s="0" t="n">
        <v>41</v>
      </c>
      <c r="G1998" s="0" t="n">
        <v>18.18</v>
      </c>
      <c r="H1998" s="0" t="n">
        <v>60.12</v>
      </c>
      <c r="I1998" s="0" t="n">
        <v>14.94</v>
      </c>
      <c r="J1998" s="0" t="n">
        <v>49.42</v>
      </c>
      <c r="K1998" s="0" t="n">
        <v>1</v>
      </c>
      <c r="T1998" s="0" t="n">
        <v>2</v>
      </c>
      <c r="U1998" s="0" t="n">
        <v>1</v>
      </c>
      <c r="V1998" s="0" t="inlineStr">
        <is>
          <t>계단식</t>
        </is>
      </c>
      <c r="W1998" s="0" t="n">
        <v>60</v>
      </c>
      <c r="X1998" s="0" t="n">
        <v>7</v>
      </c>
      <c r="Y1998" s="0" t="n">
        <v>7</v>
      </c>
      <c r="Z1998" s="0" t="inlineStr">
        <is>
          <t>https://new.land.naver.com/complexes/8677?tab=detail&amp;rf=Y</t>
        </is>
      </c>
      <c r="AA1998" s="0" t="inlineStr">
        <is>
          <t>서울시 강동구 성내동 429-6</t>
        </is>
      </c>
      <c r="AB1998" s="0" t="inlineStr">
        <is>
          <t>서울시</t>
        </is>
      </c>
      <c r="AC1998" s="0" t="inlineStr">
        <is>
          <t>강동구</t>
        </is>
      </c>
      <c r="AD1998" s="0" t="inlineStr">
        <is>
          <t>성내동</t>
        </is>
      </c>
      <c r="AG1998" s="0" t="inlineStr">
        <is>
          <t>서울시 강동구 양재대로87길 18</t>
        </is>
      </c>
      <c r="AH1998" s="0" t="n">
        <v>0</v>
      </c>
      <c r="AI1998" s="0" t="n">
        <v>292</v>
      </c>
      <c r="AJ1998" s="0" t="n">
        <v>44</v>
      </c>
      <c r="AK1998" s="0" t="n">
        <v>45</v>
      </c>
      <c r="AL1998" s="0" t="n">
        <v>1.1</v>
      </c>
    </row>
    <row r="1999">
      <c r="A1999" s="0" t="inlineStr">
        <is>
          <t>[성내동]</t>
        </is>
      </c>
      <c r="B1999" s="0" t="n">
        <v>8677</v>
      </c>
      <c r="C1999" s="0" t="n">
        <v>2</v>
      </c>
      <c r="D1999" s="0" t="inlineStr">
        <is>
          <t>메이저</t>
        </is>
      </c>
      <c r="E1999" s="0" t="inlineStr">
        <is>
          <t>2001.06.</t>
        </is>
      </c>
      <c r="F1999" s="0" t="n">
        <v>41</v>
      </c>
      <c r="G1999" s="0" t="n">
        <v>19.29</v>
      </c>
      <c r="H1999" s="0" t="n">
        <v>63.78</v>
      </c>
      <c r="I1999" s="0" t="n">
        <v>15.84</v>
      </c>
      <c r="J1999" s="0" t="n">
        <v>52.37</v>
      </c>
      <c r="K1999" s="0" t="n">
        <v>1</v>
      </c>
      <c r="T1999" s="0" t="n">
        <v>2</v>
      </c>
      <c r="U1999" s="0" t="n">
        <v>1</v>
      </c>
      <c r="V1999" s="0" t="inlineStr">
        <is>
          <t>계단식</t>
        </is>
      </c>
      <c r="W1999" s="0" t="n">
        <v>63</v>
      </c>
      <c r="X1999" s="0" t="n">
        <v>7</v>
      </c>
      <c r="Y1999" s="0" t="n">
        <v>7</v>
      </c>
      <c r="Z1999" s="0" t="inlineStr">
        <is>
          <t>https://new.land.naver.com/complexes/8677?tab=detail&amp;rf=Y</t>
        </is>
      </c>
      <c r="AA1999" s="0" t="inlineStr">
        <is>
          <t>서울시 강동구 성내동 429-6</t>
        </is>
      </c>
      <c r="AB1999" s="0" t="inlineStr">
        <is>
          <t>서울시</t>
        </is>
      </c>
      <c r="AC1999" s="0" t="inlineStr">
        <is>
          <t>강동구</t>
        </is>
      </c>
      <c r="AD1999" s="0" t="inlineStr">
        <is>
          <t>성내동</t>
        </is>
      </c>
      <c r="AG1999" s="0" t="inlineStr">
        <is>
          <t>서울시 강동구 양재대로87길 18</t>
        </is>
      </c>
      <c r="AH1999" s="0" t="n">
        <v>0</v>
      </c>
      <c r="AI1999" s="0" t="n">
        <v>292</v>
      </c>
      <c r="AJ1999" s="0" t="n">
        <v>44</v>
      </c>
      <c r="AK1999" s="0" t="n">
        <v>45</v>
      </c>
      <c r="AL1999" s="0" t="n">
        <v>1.1</v>
      </c>
    </row>
    <row r="2000">
      <c r="A2000" s="0" t="inlineStr">
        <is>
          <t>[성내동]</t>
        </is>
      </c>
      <c r="B2000" s="0" t="n">
        <v>8677</v>
      </c>
      <c r="C2000" s="0" t="n">
        <v>3</v>
      </c>
      <c r="D2000" s="0" t="inlineStr">
        <is>
          <t>메이저</t>
        </is>
      </c>
      <c r="E2000" s="0" t="inlineStr">
        <is>
          <t>2001.06.</t>
        </is>
      </c>
      <c r="F2000" s="0" t="n">
        <v>41</v>
      </c>
      <c r="G2000" s="0" t="n">
        <v>27.47</v>
      </c>
      <c r="H2000" s="0" t="n">
        <v>90.81999999999999</v>
      </c>
      <c r="I2000" s="0" t="n">
        <v>22.58</v>
      </c>
      <c r="J2000" s="0" t="n">
        <v>74.67</v>
      </c>
      <c r="K2000" s="0" t="n">
        <v>1</v>
      </c>
      <c r="T2000" s="0" t="n">
        <v>3</v>
      </c>
      <c r="U2000" s="0" t="n">
        <v>1</v>
      </c>
      <c r="V2000" s="0" t="inlineStr">
        <is>
          <t>계단식</t>
        </is>
      </c>
      <c r="W2000" s="0" t="n">
        <v>90</v>
      </c>
      <c r="X2000" s="0" t="n">
        <v>7</v>
      </c>
      <c r="Y2000" s="0" t="n">
        <v>7</v>
      </c>
      <c r="Z2000" s="0" t="inlineStr">
        <is>
          <t>https://new.land.naver.com/complexes/8677?tab=detail&amp;rf=Y</t>
        </is>
      </c>
      <c r="AA2000" s="0" t="inlineStr">
        <is>
          <t>서울시 강동구 성내동 429-6</t>
        </is>
      </c>
      <c r="AB2000" s="0" t="inlineStr">
        <is>
          <t>서울시</t>
        </is>
      </c>
      <c r="AC2000" s="0" t="inlineStr">
        <is>
          <t>강동구</t>
        </is>
      </c>
      <c r="AD2000" s="0" t="inlineStr">
        <is>
          <t>성내동</t>
        </is>
      </c>
      <c r="AG2000" s="0" t="inlineStr">
        <is>
          <t>서울시 강동구 양재대로87길 18</t>
        </is>
      </c>
      <c r="AH2000" s="0" t="n">
        <v>0</v>
      </c>
      <c r="AI2000" s="0" t="n">
        <v>292</v>
      </c>
      <c r="AJ2000" s="0" t="n">
        <v>44</v>
      </c>
      <c r="AK2000" s="0" t="n">
        <v>45</v>
      </c>
      <c r="AL2000" s="0" t="n">
        <v>1.1</v>
      </c>
    </row>
    <row r="2001">
      <c r="A2001" s="0" t="inlineStr">
        <is>
          <t>[성내동]</t>
        </is>
      </c>
      <c r="B2001" s="0" t="n">
        <v>8677</v>
      </c>
      <c r="C2001" s="0" t="n">
        <v>4</v>
      </c>
      <c r="D2001" s="0" t="inlineStr">
        <is>
          <t>메이저</t>
        </is>
      </c>
      <c r="E2001" s="0" t="inlineStr">
        <is>
          <t>2001.06.</t>
        </is>
      </c>
      <c r="F2001" s="0" t="n">
        <v>41</v>
      </c>
      <c r="G2001" s="0" t="n">
        <v>28.23</v>
      </c>
      <c r="H2001" s="0" t="n">
        <v>93.34999999999999</v>
      </c>
      <c r="I2001" s="0" t="n">
        <v>23.21</v>
      </c>
      <c r="J2001" s="0" t="n">
        <v>76.73999999999999</v>
      </c>
      <c r="K2001" s="0" t="n">
        <v>1</v>
      </c>
      <c r="T2001" s="0" t="n">
        <v>3</v>
      </c>
      <c r="U2001" s="0" t="n">
        <v>1</v>
      </c>
      <c r="V2001" s="0" t="inlineStr">
        <is>
          <t>계단식</t>
        </is>
      </c>
      <c r="W2001" s="0" t="inlineStr">
        <is>
          <t>93A</t>
        </is>
      </c>
      <c r="X2001" s="0" t="n">
        <v>7</v>
      </c>
      <c r="Y2001" s="0" t="n">
        <v>7</v>
      </c>
      <c r="Z2001" s="0" t="inlineStr">
        <is>
          <t>https://new.land.naver.com/complexes/8677?tab=detail&amp;rf=Y</t>
        </is>
      </c>
      <c r="AA2001" s="0" t="inlineStr">
        <is>
          <t>서울시 강동구 성내동 429-6</t>
        </is>
      </c>
      <c r="AB2001" s="0" t="inlineStr">
        <is>
          <t>서울시</t>
        </is>
      </c>
      <c r="AC2001" s="0" t="inlineStr">
        <is>
          <t>강동구</t>
        </is>
      </c>
      <c r="AD2001" s="0" t="inlineStr">
        <is>
          <t>성내동</t>
        </is>
      </c>
      <c r="AG2001" s="0" t="inlineStr">
        <is>
          <t>서울시 강동구 양재대로87길 18</t>
        </is>
      </c>
      <c r="AH2001" s="0" t="n">
        <v>0</v>
      </c>
      <c r="AI2001" s="0" t="n">
        <v>292</v>
      </c>
      <c r="AJ2001" s="0" t="n">
        <v>44</v>
      </c>
      <c r="AK2001" s="0" t="n">
        <v>45</v>
      </c>
      <c r="AL2001" s="0" t="n">
        <v>1.1</v>
      </c>
    </row>
    <row r="2002">
      <c r="A2002" s="0" t="inlineStr">
        <is>
          <t>[성내동]</t>
        </is>
      </c>
      <c r="B2002" s="0" t="n">
        <v>8677</v>
      </c>
      <c r="C2002" s="0" t="n">
        <v>5</v>
      </c>
      <c r="D2002" s="0" t="inlineStr">
        <is>
          <t>메이저</t>
        </is>
      </c>
      <c r="E2002" s="0" t="inlineStr">
        <is>
          <t>2001.06.</t>
        </is>
      </c>
      <c r="F2002" s="0" t="n">
        <v>41</v>
      </c>
      <c r="G2002" s="0" t="n">
        <v>28.49</v>
      </c>
      <c r="H2002" s="0" t="n">
        <v>94.20999999999999</v>
      </c>
      <c r="I2002" s="0" t="n">
        <v>23.42</v>
      </c>
      <c r="J2002" s="0" t="n">
        <v>77.45</v>
      </c>
      <c r="K2002" s="0" t="n">
        <v>1</v>
      </c>
      <c r="T2002" s="0" t="n">
        <v>3</v>
      </c>
      <c r="U2002" s="0" t="n">
        <v>1</v>
      </c>
      <c r="V2002" s="0" t="inlineStr">
        <is>
          <t>계단식</t>
        </is>
      </c>
      <c r="W2002" s="0" t="inlineStr">
        <is>
          <t>94B</t>
        </is>
      </c>
      <c r="X2002" s="0" t="n">
        <v>7</v>
      </c>
      <c r="Y2002" s="0" t="n">
        <v>7</v>
      </c>
      <c r="Z2002" s="0" t="inlineStr">
        <is>
          <t>https://new.land.naver.com/complexes/8677?tab=detail&amp;rf=Y</t>
        </is>
      </c>
      <c r="AA2002" s="0" t="inlineStr">
        <is>
          <t>서울시 강동구 성내동 429-6</t>
        </is>
      </c>
      <c r="AB2002" s="0" t="inlineStr">
        <is>
          <t>서울시</t>
        </is>
      </c>
      <c r="AC2002" s="0" t="inlineStr">
        <is>
          <t>강동구</t>
        </is>
      </c>
      <c r="AD2002" s="0" t="inlineStr">
        <is>
          <t>성내동</t>
        </is>
      </c>
      <c r="AG2002" s="0" t="inlineStr">
        <is>
          <t>서울시 강동구 양재대로87길 18</t>
        </is>
      </c>
      <c r="AH2002" s="0" t="n">
        <v>0</v>
      </c>
      <c r="AI2002" s="0" t="n">
        <v>292</v>
      </c>
      <c r="AJ2002" s="0" t="n">
        <v>44</v>
      </c>
      <c r="AK2002" s="0" t="n">
        <v>45</v>
      </c>
      <c r="AL2002" s="0" t="n">
        <v>1.1</v>
      </c>
    </row>
    <row r="2003">
      <c r="A2003" s="0" t="inlineStr">
        <is>
          <t>[성내동]</t>
        </is>
      </c>
      <c r="B2003" s="0" t="n">
        <v>8677</v>
      </c>
      <c r="C2003" s="0" t="n">
        <v>6</v>
      </c>
      <c r="D2003" s="0" t="inlineStr">
        <is>
          <t>메이저</t>
        </is>
      </c>
      <c r="E2003" s="0" t="inlineStr">
        <is>
          <t>2001.06.</t>
        </is>
      </c>
      <c r="F2003" s="0" t="n">
        <v>41</v>
      </c>
      <c r="G2003" s="0" t="n">
        <v>30.45</v>
      </c>
      <c r="H2003" s="0" t="n">
        <v>100.68</v>
      </c>
      <c r="I2003" s="0" t="n">
        <v>25.02</v>
      </c>
      <c r="J2003" s="0" t="n">
        <v>82.72</v>
      </c>
      <c r="K2003" s="0" t="n">
        <v>1</v>
      </c>
      <c r="T2003" s="0" t="n">
        <v>3</v>
      </c>
      <c r="U2003" s="0" t="n">
        <v>2</v>
      </c>
      <c r="V2003" s="0" t="inlineStr">
        <is>
          <t>계단식</t>
        </is>
      </c>
      <c r="W2003" s="0" t="inlineStr">
        <is>
          <t>100A</t>
        </is>
      </c>
      <c r="X2003" s="0" t="n">
        <v>7</v>
      </c>
      <c r="Y2003" s="0" t="n">
        <v>7</v>
      </c>
      <c r="Z2003" s="0" t="inlineStr">
        <is>
          <t>https://new.land.naver.com/complexes/8677?tab=detail&amp;rf=Y</t>
        </is>
      </c>
      <c r="AA2003" s="0" t="inlineStr">
        <is>
          <t>서울시 강동구 성내동 429-6</t>
        </is>
      </c>
      <c r="AB2003" s="0" t="inlineStr">
        <is>
          <t>서울시</t>
        </is>
      </c>
      <c r="AC2003" s="0" t="inlineStr">
        <is>
          <t>강동구</t>
        </is>
      </c>
      <c r="AD2003" s="0" t="inlineStr">
        <is>
          <t>성내동</t>
        </is>
      </c>
      <c r="AG2003" s="0" t="inlineStr">
        <is>
          <t>서울시 강동구 양재대로87길 18</t>
        </is>
      </c>
      <c r="AH2003" s="0" t="n">
        <v>0</v>
      </c>
      <c r="AI2003" s="0" t="n">
        <v>292</v>
      </c>
      <c r="AJ2003" s="0" t="n">
        <v>44</v>
      </c>
      <c r="AK2003" s="0" t="n">
        <v>45</v>
      </c>
      <c r="AL2003" s="0" t="n">
        <v>1.1</v>
      </c>
    </row>
    <row r="2004">
      <c r="A2004" s="0" t="inlineStr">
        <is>
          <t>[성내동]</t>
        </is>
      </c>
      <c r="B2004" s="0" t="n">
        <v>8677</v>
      </c>
      <c r="C2004" s="0" t="n">
        <v>7</v>
      </c>
      <c r="D2004" s="0" t="inlineStr">
        <is>
          <t>메이저</t>
        </is>
      </c>
      <c r="E2004" s="0" t="inlineStr">
        <is>
          <t>2001.06.</t>
        </is>
      </c>
      <c r="F2004" s="0" t="n">
        <v>41</v>
      </c>
      <c r="G2004" s="0" t="n">
        <v>30.78</v>
      </c>
      <c r="H2004" s="0" t="n">
        <v>101.77</v>
      </c>
      <c r="I2004" s="0" t="n">
        <v>25.31</v>
      </c>
      <c r="J2004" s="0" t="n">
        <v>83.67</v>
      </c>
      <c r="K2004" s="0" t="n">
        <v>7</v>
      </c>
      <c r="T2004" s="0" t="n">
        <v>3</v>
      </c>
      <c r="U2004" s="0" t="n">
        <v>2</v>
      </c>
      <c r="V2004" s="0" t="inlineStr">
        <is>
          <t>계단식</t>
        </is>
      </c>
      <c r="W2004" s="0" t="inlineStr">
        <is>
          <t>101B</t>
        </is>
      </c>
      <c r="X2004" s="0" t="n">
        <v>7</v>
      </c>
      <c r="Y2004" s="0" t="n">
        <v>7</v>
      </c>
      <c r="Z2004" s="0" t="inlineStr">
        <is>
          <t>https://new.land.naver.com/complexes/8677?tab=detail&amp;rf=Y</t>
        </is>
      </c>
      <c r="AA2004" s="0" t="inlineStr">
        <is>
          <t>서울시 강동구 성내동 429-6</t>
        </is>
      </c>
      <c r="AB2004" s="0" t="inlineStr">
        <is>
          <t>서울시</t>
        </is>
      </c>
      <c r="AC2004" s="0" t="inlineStr">
        <is>
          <t>강동구</t>
        </is>
      </c>
      <c r="AD2004" s="0" t="inlineStr">
        <is>
          <t>성내동</t>
        </is>
      </c>
      <c r="AG2004" s="0" t="inlineStr">
        <is>
          <t>서울시 강동구 양재대로87길 18</t>
        </is>
      </c>
      <c r="AH2004" s="0" t="n">
        <v>0</v>
      </c>
      <c r="AI2004" s="0" t="n">
        <v>292</v>
      </c>
      <c r="AJ2004" s="0" t="n">
        <v>44</v>
      </c>
      <c r="AK2004" s="0" t="n">
        <v>45</v>
      </c>
      <c r="AL2004" s="0" t="n">
        <v>1.1</v>
      </c>
    </row>
    <row r="2005">
      <c r="A2005" s="0" t="inlineStr">
        <is>
          <t>[성내동]</t>
        </is>
      </c>
      <c r="B2005" s="0" t="n">
        <v>8677</v>
      </c>
      <c r="C2005" s="0" t="n">
        <v>8</v>
      </c>
      <c r="D2005" s="0" t="inlineStr">
        <is>
          <t>메이저</t>
        </is>
      </c>
      <c r="E2005" s="0" t="inlineStr">
        <is>
          <t>2001.06.</t>
        </is>
      </c>
      <c r="F2005" s="0" t="n">
        <v>41</v>
      </c>
      <c r="G2005" s="0" t="n">
        <v>31.23</v>
      </c>
      <c r="H2005" s="0" t="n">
        <v>103.24</v>
      </c>
      <c r="I2005" s="0" t="n">
        <v>25.67</v>
      </c>
      <c r="J2005" s="0" t="n">
        <v>84.88</v>
      </c>
      <c r="K2005" s="0" t="n">
        <v>7</v>
      </c>
      <c r="T2005" s="0" t="n">
        <v>3</v>
      </c>
      <c r="U2005" s="0" t="n">
        <v>2</v>
      </c>
      <c r="V2005" s="0" t="inlineStr">
        <is>
          <t>계단식</t>
        </is>
      </c>
      <c r="W2005" s="0" t="inlineStr">
        <is>
          <t>103E</t>
        </is>
      </c>
      <c r="X2005" s="0" t="n">
        <v>7</v>
      </c>
      <c r="Y2005" s="0" t="n">
        <v>7</v>
      </c>
      <c r="Z2005" s="0" t="inlineStr">
        <is>
          <t>https://new.land.naver.com/complexes/8677?tab=detail&amp;rf=Y</t>
        </is>
      </c>
      <c r="AA2005" s="0" t="inlineStr">
        <is>
          <t>서울시 강동구 성내동 429-6</t>
        </is>
      </c>
      <c r="AB2005" s="0" t="inlineStr">
        <is>
          <t>서울시</t>
        </is>
      </c>
      <c r="AC2005" s="0" t="inlineStr">
        <is>
          <t>강동구</t>
        </is>
      </c>
      <c r="AD2005" s="0" t="inlineStr">
        <is>
          <t>성내동</t>
        </is>
      </c>
      <c r="AG2005" s="0" t="inlineStr">
        <is>
          <t>서울시 강동구 양재대로87길 18</t>
        </is>
      </c>
      <c r="AH2005" s="0" t="n">
        <v>0</v>
      </c>
      <c r="AI2005" s="0" t="n">
        <v>292</v>
      </c>
      <c r="AJ2005" s="0" t="n">
        <v>44</v>
      </c>
      <c r="AK2005" s="0" t="n">
        <v>45</v>
      </c>
      <c r="AL2005" s="0" t="n">
        <v>1.1</v>
      </c>
    </row>
    <row r="2006">
      <c r="A2006" s="0" t="inlineStr">
        <is>
          <t>[성내동]</t>
        </is>
      </c>
      <c r="B2006" s="0" t="n">
        <v>8677</v>
      </c>
      <c r="C2006" s="0" t="n">
        <v>9</v>
      </c>
      <c r="D2006" s="0" t="inlineStr">
        <is>
          <t>메이저</t>
        </is>
      </c>
      <c r="E2006" s="0" t="inlineStr">
        <is>
          <t>2001.06.</t>
        </is>
      </c>
      <c r="F2006" s="0" t="n">
        <v>41</v>
      </c>
      <c r="G2006" s="0" t="n">
        <v>31.19</v>
      </c>
      <c r="H2006" s="0" t="n">
        <v>103.14</v>
      </c>
      <c r="I2006" s="0" t="n">
        <v>25.65</v>
      </c>
      <c r="J2006" s="0" t="n">
        <v>84.8</v>
      </c>
      <c r="K2006" s="0" t="n">
        <v>6</v>
      </c>
      <c r="T2006" s="0" t="n">
        <v>3</v>
      </c>
      <c r="U2006" s="0" t="n">
        <v>2</v>
      </c>
      <c r="V2006" s="0" t="inlineStr">
        <is>
          <t>계단식</t>
        </is>
      </c>
      <c r="W2006" s="0" t="inlineStr">
        <is>
          <t>103A</t>
        </is>
      </c>
      <c r="X2006" s="0" t="n">
        <v>7</v>
      </c>
      <c r="Y2006" s="0" t="n">
        <v>7</v>
      </c>
      <c r="Z2006" s="0" t="inlineStr">
        <is>
          <t>https://new.land.naver.com/complexes/8677?tab=detail&amp;rf=Y</t>
        </is>
      </c>
      <c r="AA2006" s="0" t="inlineStr">
        <is>
          <t>서울시 강동구 성내동 429-6</t>
        </is>
      </c>
      <c r="AB2006" s="0" t="inlineStr">
        <is>
          <t>서울시</t>
        </is>
      </c>
      <c r="AC2006" s="0" t="inlineStr">
        <is>
          <t>강동구</t>
        </is>
      </c>
      <c r="AD2006" s="0" t="inlineStr">
        <is>
          <t>성내동</t>
        </is>
      </c>
      <c r="AG2006" s="0" t="inlineStr">
        <is>
          <t>서울시 강동구 양재대로87길 18</t>
        </is>
      </c>
      <c r="AH2006" s="0" t="n">
        <v>0</v>
      </c>
      <c r="AI2006" s="0" t="n">
        <v>292</v>
      </c>
      <c r="AJ2006" s="0" t="n">
        <v>44</v>
      </c>
      <c r="AK2006" s="0" t="n">
        <v>45</v>
      </c>
      <c r="AL2006" s="0" t="n">
        <v>1.1</v>
      </c>
    </row>
    <row r="2007">
      <c r="A2007" s="0" t="inlineStr">
        <is>
          <t>[성내동]</t>
        </is>
      </c>
      <c r="B2007" s="0" t="n">
        <v>8677</v>
      </c>
      <c r="C2007" s="0" t="n">
        <v>10</v>
      </c>
      <c r="D2007" s="0" t="inlineStr">
        <is>
          <t>메이저</t>
        </is>
      </c>
      <c r="E2007" s="0" t="inlineStr">
        <is>
          <t>2001.06.</t>
        </is>
      </c>
      <c r="F2007" s="0" t="n">
        <v>41</v>
      </c>
      <c r="G2007" s="0" t="n">
        <v>31.22</v>
      </c>
      <c r="H2007" s="0" t="n">
        <v>103.22</v>
      </c>
      <c r="I2007" s="0" t="n">
        <v>25.67</v>
      </c>
      <c r="J2007" s="0" t="n">
        <v>84.86</v>
      </c>
      <c r="K2007" s="0" t="n">
        <v>6</v>
      </c>
      <c r="T2007" s="0" t="n">
        <v>3</v>
      </c>
      <c r="U2007" s="0" t="n">
        <v>2</v>
      </c>
      <c r="V2007" s="0" t="inlineStr">
        <is>
          <t>계단식</t>
        </is>
      </c>
      <c r="W2007" s="0" t="inlineStr">
        <is>
          <t>103D</t>
        </is>
      </c>
      <c r="X2007" s="0" t="n">
        <v>7</v>
      </c>
      <c r="Y2007" s="0" t="n">
        <v>7</v>
      </c>
      <c r="Z2007" s="0" t="inlineStr">
        <is>
          <t>https://new.land.naver.com/complexes/8677?tab=detail&amp;rf=Y</t>
        </is>
      </c>
      <c r="AA2007" s="0" t="inlineStr">
        <is>
          <t>서울시 강동구 성내동 429-6</t>
        </is>
      </c>
      <c r="AB2007" s="0" t="inlineStr">
        <is>
          <t>서울시</t>
        </is>
      </c>
      <c r="AC2007" s="0" t="inlineStr">
        <is>
          <t>강동구</t>
        </is>
      </c>
      <c r="AD2007" s="0" t="inlineStr">
        <is>
          <t>성내동</t>
        </is>
      </c>
      <c r="AG2007" s="0" t="inlineStr">
        <is>
          <t>서울시 강동구 양재대로87길 18</t>
        </is>
      </c>
      <c r="AH2007" s="0" t="n">
        <v>0</v>
      </c>
      <c r="AI2007" s="0" t="n">
        <v>292</v>
      </c>
      <c r="AJ2007" s="0" t="n">
        <v>44</v>
      </c>
      <c r="AK2007" s="0" t="n">
        <v>45</v>
      </c>
      <c r="AL2007" s="0" t="n">
        <v>1.1</v>
      </c>
    </row>
    <row r="2008">
      <c r="A2008" s="0" t="inlineStr">
        <is>
          <t>[성내동]</t>
        </is>
      </c>
      <c r="B2008" s="0" t="n">
        <v>8677</v>
      </c>
      <c r="C2008" s="0" t="n">
        <v>11</v>
      </c>
      <c r="D2008" s="0" t="inlineStr">
        <is>
          <t>메이저</t>
        </is>
      </c>
      <c r="E2008" s="0" t="inlineStr">
        <is>
          <t>2001.06.</t>
        </is>
      </c>
      <c r="F2008" s="0" t="n">
        <v>41</v>
      </c>
      <c r="G2008" s="0" t="n">
        <v>31.21</v>
      </c>
      <c r="H2008" s="0" t="n">
        <v>103.19</v>
      </c>
      <c r="I2008" s="0" t="n">
        <v>25.66</v>
      </c>
      <c r="J2008" s="0" t="n">
        <v>84.83</v>
      </c>
      <c r="K2008" s="0" t="n">
        <v>5</v>
      </c>
      <c r="T2008" s="0" t="n">
        <v>3</v>
      </c>
      <c r="U2008" s="0" t="n">
        <v>2</v>
      </c>
      <c r="V2008" s="0" t="inlineStr">
        <is>
          <t>계단식</t>
        </is>
      </c>
      <c r="W2008" s="0" t="inlineStr">
        <is>
          <t>103C</t>
        </is>
      </c>
      <c r="X2008" s="0" t="n">
        <v>7</v>
      </c>
      <c r="Y2008" s="0" t="n">
        <v>7</v>
      </c>
      <c r="Z2008" s="0" t="inlineStr">
        <is>
          <t>https://new.land.naver.com/complexes/8677?tab=detail&amp;rf=Y</t>
        </is>
      </c>
      <c r="AA2008" s="0" t="inlineStr">
        <is>
          <t>서울시 강동구 성내동 429-6</t>
        </is>
      </c>
      <c r="AB2008" s="0" t="inlineStr">
        <is>
          <t>서울시</t>
        </is>
      </c>
      <c r="AC2008" s="0" t="inlineStr">
        <is>
          <t>강동구</t>
        </is>
      </c>
      <c r="AD2008" s="0" t="inlineStr">
        <is>
          <t>성내동</t>
        </is>
      </c>
      <c r="AG2008" s="0" t="inlineStr">
        <is>
          <t>서울시 강동구 양재대로87길 18</t>
        </is>
      </c>
      <c r="AH2008" s="0" t="n">
        <v>0</v>
      </c>
      <c r="AI2008" s="0" t="n">
        <v>292</v>
      </c>
      <c r="AJ2008" s="0" t="n">
        <v>44</v>
      </c>
      <c r="AK2008" s="0" t="n">
        <v>45</v>
      </c>
      <c r="AL2008" s="0" t="n">
        <v>1.1</v>
      </c>
    </row>
    <row r="2009">
      <c r="A2009" s="0" t="inlineStr">
        <is>
          <t>[성내동]</t>
        </is>
      </c>
      <c r="B2009" s="0" t="n">
        <v>8677</v>
      </c>
      <c r="C2009" s="0" t="n">
        <v>12</v>
      </c>
      <c r="D2009" s="0" t="inlineStr">
        <is>
          <t>메이저</t>
        </is>
      </c>
      <c r="E2009" s="0" t="inlineStr">
        <is>
          <t>2001.06.</t>
        </is>
      </c>
      <c r="F2009" s="0" t="n">
        <v>41</v>
      </c>
      <c r="G2009" s="0" t="n">
        <v>31.2</v>
      </c>
      <c r="H2009" s="0" t="n">
        <v>103.17</v>
      </c>
      <c r="I2009" s="0" t="n">
        <v>25.65</v>
      </c>
      <c r="J2009" s="0" t="n">
        <v>84.81999999999999</v>
      </c>
      <c r="K2009" s="0" t="n">
        <v>4</v>
      </c>
      <c r="T2009" s="0" t="n">
        <v>3</v>
      </c>
      <c r="U2009" s="0" t="n">
        <v>2</v>
      </c>
      <c r="V2009" s="0" t="inlineStr">
        <is>
          <t>계단식</t>
        </is>
      </c>
      <c r="W2009" s="0" t="inlineStr">
        <is>
          <t>103B</t>
        </is>
      </c>
      <c r="X2009" s="0" t="n">
        <v>7</v>
      </c>
      <c r="Y2009" s="0" t="n">
        <v>7</v>
      </c>
      <c r="Z2009" s="0" t="inlineStr">
        <is>
          <t>https://new.land.naver.com/complexes/8677?tab=detail&amp;rf=Y</t>
        </is>
      </c>
      <c r="AA2009" s="0" t="inlineStr">
        <is>
          <t>서울시 강동구 성내동 429-6</t>
        </is>
      </c>
      <c r="AB2009" s="0" t="inlineStr">
        <is>
          <t>서울시</t>
        </is>
      </c>
      <c r="AC2009" s="0" t="inlineStr">
        <is>
          <t>강동구</t>
        </is>
      </c>
      <c r="AD2009" s="0" t="inlineStr">
        <is>
          <t>성내동</t>
        </is>
      </c>
      <c r="AG2009" s="0" t="inlineStr">
        <is>
          <t>서울시 강동구 양재대로87길 18</t>
        </is>
      </c>
      <c r="AH2009" s="0" t="n">
        <v>0</v>
      </c>
      <c r="AI2009" s="0" t="n">
        <v>292</v>
      </c>
      <c r="AJ2009" s="0" t="n">
        <v>44</v>
      </c>
      <c r="AK2009" s="0" t="n">
        <v>45</v>
      </c>
      <c r="AL2009" s="0" t="n">
        <v>1.1</v>
      </c>
    </row>
    <row r="2010">
      <c r="A2010" s="0" t="inlineStr">
        <is>
          <t>[성내동]</t>
        </is>
      </c>
      <c r="B2010" s="0" t="n">
        <v>3110</v>
      </c>
      <c r="C2010" s="0" t="n">
        <v>1</v>
      </c>
      <c r="D2010" s="0" t="inlineStr">
        <is>
          <t>코오롱1차</t>
        </is>
      </c>
      <c r="E2010" s="0" t="inlineStr">
        <is>
          <t>1999.05.</t>
        </is>
      </c>
      <c r="F2010" s="0" t="n">
        <v>257</v>
      </c>
      <c r="G2010" s="0" t="n">
        <v>27.01</v>
      </c>
      <c r="H2010" s="0" t="n">
        <v>89.31</v>
      </c>
      <c r="I2010" s="0" t="n">
        <v>17.92</v>
      </c>
      <c r="J2010" s="0" t="n">
        <v>59.24</v>
      </c>
      <c r="K2010" s="0" t="n">
        <v>9</v>
      </c>
      <c r="T2010" s="0" t="n">
        <v>3</v>
      </c>
      <c r="U2010" s="0" t="n">
        <v>1</v>
      </c>
      <c r="V2010" s="0" t="inlineStr">
        <is>
          <t>계단식</t>
        </is>
      </c>
      <c r="W2010" s="0" t="inlineStr">
        <is>
          <t>89A</t>
        </is>
      </c>
      <c r="X2010" s="0" t="n">
        <v>21</v>
      </c>
      <c r="Y2010" s="0" t="n">
        <v>9</v>
      </c>
      <c r="Z2010" s="0" t="inlineStr">
        <is>
          <t>https://new.land.naver.com/complexes/3110?tab=detail&amp;rf=Y</t>
        </is>
      </c>
      <c r="AA2010" s="0" t="inlineStr">
        <is>
          <t>서울시 강동구 성내동 196-8</t>
        </is>
      </c>
      <c r="AB2010" s="0" t="inlineStr">
        <is>
          <t>서울시</t>
        </is>
      </c>
      <c r="AC2010" s="0" t="inlineStr">
        <is>
          <t>강동구</t>
        </is>
      </c>
      <c r="AD2010" s="0" t="inlineStr">
        <is>
          <t>성내동</t>
        </is>
      </c>
      <c r="AG2010" s="0" t="inlineStr">
        <is>
          <t>서울시 강동구 천호대로168길 25</t>
        </is>
      </c>
      <c r="AH2010" s="0" t="n">
        <v>0</v>
      </c>
      <c r="AI2010" s="0" t="n">
        <v>351</v>
      </c>
      <c r="AJ2010" s="0" t="n">
        <v>54</v>
      </c>
      <c r="AK2010" s="0" t="n">
        <v>290</v>
      </c>
      <c r="AL2010" s="0" t="n">
        <v>1.13</v>
      </c>
    </row>
    <row r="2011">
      <c r="A2011" s="0" t="inlineStr">
        <is>
          <t>[성내동]</t>
        </is>
      </c>
      <c r="B2011" s="0" t="n">
        <v>3110</v>
      </c>
      <c r="C2011" s="0" t="n">
        <v>2</v>
      </c>
      <c r="D2011" s="0" t="inlineStr">
        <is>
          <t>코오롱1차</t>
        </is>
      </c>
      <c r="E2011" s="0" t="inlineStr">
        <is>
          <t>1999.05.</t>
        </is>
      </c>
      <c r="F2011" s="0" t="n">
        <v>257</v>
      </c>
      <c r="G2011" s="0" t="n">
        <v>27.34</v>
      </c>
      <c r="H2011" s="0" t="n">
        <v>90.40000000000001</v>
      </c>
      <c r="I2011" s="0" t="n">
        <v>18.13</v>
      </c>
      <c r="J2011" s="0" t="n">
        <v>59.96</v>
      </c>
      <c r="K2011" s="0" t="n">
        <v>111</v>
      </c>
      <c r="T2011" s="0" t="n">
        <v>3</v>
      </c>
      <c r="U2011" s="0" t="n">
        <v>1</v>
      </c>
      <c r="V2011" s="0" t="inlineStr">
        <is>
          <t>계단식</t>
        </is>
      </c>
      <c r="W2011" s="0" t="inlineStr">
        <is>
          <t>90B</t>
        </is>
      </c>
      <c r="X2011" s="0" t="n">
        <v>21</v>
      </c>
      <c r="Y2011" s="0" t="n">
        <v>9</v>
      </c>
      <c r="Z2011" s="0" t="inlineStr">
        <is>
          <t>https://new.land.naver.com/complexes/3110?tab=detail&amp;rf=Y</t>
        </is>
      </c>
      <c r="AA2011" s="0" t="inlineStr">
        <is>
          <t>서울시 강동구 성내동 196-8</t>
        </is>
      </c>
      <c r="AB2011" s="0" t="inlineStr">
        <is>
          <t>서울시</t>
        </is>
      </c>
      <c r="AC2011" s="0" t="inlineStr">
        <is>
          <t>강동구</t>
        </is>
      </c>
      <c r="AD2011" s="0" t="inlineStr">
        <is>
          <t>성내동</t>
        </is>
      </c>
      <c r="AG2011" s="0" t="inlineStr">
        <is>
          <t>서울시 강동구 천호대로168길 25</t>
        </is>
      </c>
      <c r="AH2011" s="0" t="n">
        <v>0</v>
      </c>
      <c r="AI2011" s="0" t="n">
        <v>351</v>
      </c>
      <c r="AJ2011" s="0" t="n">
        <v>54</v>
      </c>
      <c r="AK2011" s="0" t="n">
        <v>290</v>
      </c>
      <c r="AL2011" s="0" t="n">
        <v>1.13</v>
      </c>
    </row>
    <row r="2012">
      <c r="A2012" s="0" t="inlineStr">
        <is>
          <t>[성내동]</t>
        </is>
      </c>
      <c r="B2012" s="0" t="n">
        <v>3110</v>
      </c>
      <c r="C2012" s="0" t="n">
        <v>3</v>
      </c>
      <c r="D2012" s="0" t="inlineStr">
        <is>
          <t>코오롱1차</t>
        </is>
      </c>
      <c r="E2012" s="0" t="inlineStr">
        <is>
          <t>1999.05.</t>
        </is>
      </c>
      <c r="F2012" s="0" t="n">
        <v>257</v>
      </c>
      <c r="G2012" s="0" t="n">
        <v>32.63</v>
      </c>
      <c r="H2012" s="0" t="n">
        <v>107.87</v>
      </c>
      <c r="I2012" s="0" t="n">
        <v>25.61</v>
      </c>
      <c r="J2012" s="0" t="n">
        <v>84.69</v>
      </c>
      <c r="K2012" s="0" t="n">
        <v>75</v>
      </c>
      <c r="T2012" s="0" t="n">
        <v>3</v>
      </c>
      <c r="U2012" s="0" t="n">
        <v>2</v>
      </c>
      <c r="V2012" s="0" t="inlineStr">
        <is>
          <t>계단식</t>
        </is>
      </c>
      <c r="W2012" s="0" t="n">
        <v>107</v>
      </c>
      <c r="X2012" s="0" t="n">
        <v>21</v>
      </c>
      <c r="Y2012" s="0" t="n">
        <v>9</v>
      </c>
      <c r="Z2012" s="0" t="inlineStr">
        <is>
          <t>https://new.land.naver.com/complexes/3110?tab=detail&amp;rf=Y</t>
        </is>
      </c>
      <c r="AA2012" s="0" t="inlineStr">
        <is>
          <t>서울시 강동구 성내동 196-8</t>
        </is>
      </c>
      <c r="AB2012" s="0" t="inlineStr">
        <is>
          <t>서울시</t>
        </is>
      </c>
      <c r="AC2012" s="0" t="inlineStr">
        <is>
          <t>강동구</t>
        </is>
      </c>
      <c r="AD2012" s="0" t="inlineStr">
        <is>
          <t>성내동</t>
        </is>
      </c>
      <c r="AG2012" s="0" t="inlineStr">
        <is>
          <t>서울시 강동구 천호대로168길 25</t>
        </is>
      </c>
      <c r="AH2012" s="0" t="n">
        <v>0</v>
      </c>
      <c r="AI2012" s="0" t="n">
        <v>351</v>
      </c>
      <c r="AJ2012" s="0" t="n">
        <v>54</v>
      </c>
      <c r="AK2012" s="0" t="n">
        <v>290</v>
      </c>
      <c r="AL2012" s="0" t="n">
        <v>1.13</v>
      </c>
    </row>
    <row r="2013">
      <c r="A2013" s="0" t="inlineStr">
        <is>
          <t>[성내동]</t>
        </is>
      </c>
      <c r="B2013" s="0" t="n">
        <v>3110</v>
      </c>
      <c r="C2013" s="0" t="n">
        <v>4</v>
      </c>
      <c r="D2013" s="0" t="inlineStr">
        <is>
          <t>코오롱1차</t>
        </is>
      </c>
      <c r="E2013" s="0" t="inlineStr">
        <is>
          <t>1999.05.</t>
        </is>
      </c>
      <c r="F2013" s="0" t="n">
        <v>257</v>
      </c>
      <c r="G2013" s="0" t="n">
        <v>36.7</v>
      </c>
      <c r="H2013" s="0" t="n">
        <v>121.35</v>
      </c>
      <c r="I2013" s="0" t="n">
        <v>28.65</v>
      </c>
      <c r="J2013" s="0" t="n">
        <v>94.73999999999999</v>
      </c>
      <c r="K2013" s="0" t="n">
        <v>22</v>
      </c>
      <c r="T2013" s="0" t="n">
        <v>3</v>
      </c>
      <c r="U2013" s="0" t="n">
        <v>2</v>
      </c>
      <c r="V2013" s="0" t="inlineStr">
        <is>
          <t>계단식</t>
        </is>
      </c>
      <c r="W2013" s="0" t="n">
        <v>121</v>
      </c>
      <c r="X2013" s="0" t="n">
        <v>21</v>
      </c>
      <c r="Y2013" s="0" t="n">
        <v>9</v>
      </c>
      <c r="Z2013" s="0" t="inlineStr">
        <is>
          <t>https://new.land.naver.com/complexes/3110?tab=detail&amp;rf=Y</t>
        </is>
      </c>
      <c r="AA2013" s="0" t="inlineStr">
        <is>
          <t>서울시 강동구 성내동 196-8</t>
        </is>
      </c>
      <c r="AB2013" s="0" t="inlineStr">
        <is>
          <t>서울시</t>
        </is>
      </c>
      <c r="AC2013" s="0" t="inlineStr">
        <is>
          <t>강동구</t>
        </is>
      </c>
      <c r="AD2013" s="0" t="inlineStr">
        <is>
          <t>성내동</t>
        </is>
      </c>
      <c r="AG2013" s="0" t="inlineStr">
        <is>
          <t>서울시 강동구 천호대로168길 25</t>
        </is>
      </c>
      <c r="AH2013" s="0" t="n">
        <v>0</v>
      </c>
      <c r="AI2013" s="0" t="n">
        <v>351</v>
      </c>
      <c r="AJ2013" s="0" t="n">
        <v>54</v>
      </c>
      <c r="AK2013" s="0" t="n">
        <v>290</v>
      </c>
      <c r="AL2013" s="0" t="n">
        <v>1.13</v>
      </c>
    </row>
    <row r="2014">
      <c r="A2014" s="0" t="inlineStr">
        <is>
          <t>[성내동]</t>
        </is>
      </c>
      <c r="B2014" s="0" t="n">
        <v>3110</v>
      </c>
      <c r="C2014" s="0" t="n">
        <v>5</v>
      </c>
      <c r="D2014" s="0" t="inlineStr">
        <is>
          <t>코오롱1차</t>
        </is>
      </c>
      <c r="E2014" s="0" t="inlineStr">
        <is>
          <t>1999.05.</t>
        </is>
      </c>
      <c r="F2014" s="0" t="n">
        <v>257</v>
      </c>
      <c r="G2014" s="0" t="n">
        <v>42.91</v>
      </c>
      <c r="H2014" s="0" t="n">
        <v>141.88</v>
      </c>
      <c r="I2014" s="0" t="n">
        <v>34.63</v>
      </c>
      <c r="J2014" s="0" t="n">
        <v>114.5</v>
      </c>
      <c r="K2014" s="0" t="n">
        <v>38</v>
      </c>
      <c r="T2014" s="0" t="n">
        <v>4</v>
      </c>
      <c r="U2014" s="0" t="n">
        <v>2</v>
      </c>
      <c r="V2014" s="0" t="inlineStr">
        <is>
          <t>계단식</t>
        </is>
      </c>
      <c r="W2014" s="0" t="inlineStr">
        <is>
          <t>141B</t>
        </is>
      </c>
      <c r="X2014" s="0" t="n">
        <v>21</v>
      </c>
      <c r="Y2014" s="0" t="n">
        <v>9</v>
      </c>
      <c r="Z2014" s="0" t="inlineStr">
        <is>
          <t>https://new.land.naver.com/complexes/3110?tab=detail&amp;rf=Y</t>
        </is>
      </c>
      <c r="AA2014" s="0" t="inlineStr">
        <is>
          <t>서울시 강동구 성내동 196-8</t>
        </is>
      </c>
      <c r="AB2014" s="0" t="inlineStr">
        <is>
          <t>서울시</t>
        </is>
      </c>
      <c r="AC2014" s="0" t="inlineStr">
        <is>
          <t>강동구</t>
        </is>
      </c>
      <c r="AD2014" s="0" t="inlineStr">
        <is>
          <t>성내동</t>
        </is>
      </c>
      <c r="AG2014" s="0" t="inlineStr">
        <is>
          <t>서울시 강동구 천호대로168길 25</t>
        </is>
      </c>
      <c r="AH2014" s="0" t="n">
        <v>0</v>
      </c>
      <c r="AI2014" s="0" t="n">
        <v>351</v>
      </c>
      <c r="AJ2014" s="0" t="n">
        <v>54</v>
      </c>
      <c r="AK2014" s="0" t="n">
        <v>290</v>
      </c>
      <c r="AL2014" s="0" t="n">
        <v>1.13</v>
      </c>
    </row>
    <row r="2015">
      <c r="A2015" s="0" t="inlineStr">
        <is>
          <t>[성내동]</t>
        </is>
      </c>
      <c r="B2015" s="0" t="n">
        <v>3110</v>
      </c>
      <c r="C2015" s="0" t="n">
        <v>6</v>
      </c>
      <c r="D2015" s="0" t="inlineStr">
        <is>
          <t>코오롱1차</t>
        </is>
      </c>
      <c r="E2015" s="0" t="inlineStr">
        <is>
          <t>1999.05.</t>
        </is>
      </c>
      <c r="F2015" s="0" t="n">
        <v>257</v>
      </c>
      <c r="G2015" s="0" t="n">
        <v>43.41</v>
      </c>
      <c r="H2015" s="0" t="n">
        <v>143.53</v>
      </c>
      <c r="I2015" s="0" t="n">
        <v>34.08</v>
      </c>
      <c r="J2015" s="0" t="n">
        <v>112.68</v>
      </c>
      <c r="K2015" s="0" t="n">
        <v>2</v>
      </c>
      <c r="T2015" s="0" t="n">
        <v>4</v>
      </c>
      <c r="U2015" s="0" t="n">
        <v>3</v>
      </c>
      <c r="V2015" s="0" t="inlineStr">
        <is>
          <t>계단식</t>
        </is>
      </c>
      <c r="W2015" s="0" t="inlineStr">
        <is>
          <t>143A</t>
        </is>
      </c>
      <c r="X2015" s="0" t="n">
        <v>21</v>
      </c>
      <c r="Y2015" s="0" t="n">
        <v>9</v>
      </c>
      <c r="Z2015" s="0" t="inlineStr">
        <is>
          <t>https://new.land.naver.com/complexes/3110?tab=detail&amp;rf=Y</t>
        </is>
      </c>
      <c r="AA2015" s="0" t="inlineStr">
        <is>
          <t>서울시 강동구 성내동 196-8</t>
        </is>
      </c>
      <c r="AB2015" s="0" t="inlineStr">
        <is>
          <t>서울시</t>
        </is>
      </c>
      <c r="AC2015" s="0" t="inlineStr">
        <is>
          <t>강동구</t>
        </is>
      </c>
      <c r="AD2015" s="0" t="inlineStr">
        <is>
          <t>성내동</t>
        </is>
      </c>
      <c r="AG2015" s="0" t="inlineStr">
        <is>
          <t>서울시 강동구 천호대로168길 25</t>
        </is>
      </c>
      <c r="AH2015" s="0" t="n">
        <v>0</v>
      </c>
      <c r="AI2015" s="0" t="n">
        <v>351</v>
      </c>
      <c r="AJ2015" s="0" t="n">
        <v>54</v>
      </c>
      <c r="AK2015" s="0" t="n">
        <v>290</v>
      </c>
      <c r="AL2015" s="0" t="n">
        <v>1.13</v>
      </c>
    </row>
    <row r="2016">
      <c r="A2016" s="0" t="inlineStr">
        <is>
          <t>[성내동]</t>
        </is>
      </c>
      <c r="B2016" s="0" t="n">
        <v>8999</v>
      </c>
      <c r="C2016" s="0" t="n">
        <v>1</v>
      </c>
      <c r="D2016" s="0" t="inlineStr">
        <is>
          <t>일심</t>
        </is>
      </c>
      <c r="E2016" s="0" t="inlineStr">
        <is>
          <t>2001.11.</t>
        </is>
      </c>
      <c r="F2016" s="0" t="n">
        <v>28</v>
      </c>
      <c r="G2016" s="0" t="n">
        <v>17.34</v>
      </c>
      <c r="H2016" s="0" t="n">
        <v>57.35</v>
      </c>
      <c r="I2016" s="0" t="n">
        <v>14.22</v>
      </c>
      <c r="J2016" s="0" t="n">
        <v>47.03</v>
      </c>
      <c r="K2016" s="0" t="n">
        <v>1</v>
      </c>
      <c r="T2016" s="0" t="n">
        <v>2</v>
      </c>
      <c r="U2016" s="0" t="n">
        <v>1</v>
      </c>
      <c r="V2016" s="0" t="inlineStr">
        <is>
          <t>계단식</t>
        </is>
      </c>
      <c r="W2016" s="0" t="n">
        <v>57</v>
      </c>
      <c r="X2016" s="0" t="n">
        <v>7</v>
      </c>
      <c r="Y2016" s="0" t="n">
        <v>7</v>
      </c>
      <c r="Z2016" s="0" t="inlineStr">
        <is>
          <t>https://new.land.naver.com/complexes/8999?tab=detail&amp;rf=Y</t>
        </is>
      </c>
      <c r="AA2016" s="0" t="inlineStr">
        <is>
          <t>서울시 강동구 성내동 396-10</t>
        </is>
      </c>
      <c r="AB2016" s="0" t="inlineStr">
        <is>
          <t>서울시</t>
        </is>
      </c>
      <c r="AC2016" s="0" t="inlineStr">
        <is>
          <t>강동구</t>
        </is>
      </c>
      <c r="AD2016" s="0" t="inlineStr">
        <is>
          <t>성내동</t>
        </is>
      </c>
      <c r="AG2016" s="0" t="inlineStr">
        <is>
          <t>서울시 강동구 풍성로55길 52</t>
        </is>
      </c>
      <c r="AH2016" s="0" t="n">
        <v>0</v>
      </c>
      <c r="AI2016" s="0" t="n">
        <v>279</v>
      </c>
      <c r="AJ2016" s="0" t="n">
        <v>44</v>
      </c>
      <c r="AK2016" s="0" t="n">
        <v>30</v>
      </c>
      <c r="AL2016" s="0" t="n">
        <v>1.07</v>
      </c>
    </row>
    <row r="2017">
      <c r="A2017" s="0" t="inlineStr">
        <is>
          <t>[성내동]</t>
        </is>
      </c>
      <c r="B2017" s="0" t="n">
        <v>8999</v>
      </c>
      <c r="C2017" s="0" t="n">
        <v>2</v>
      </c>
      <c r="D2017" s="0" t="inlineStr">
        <is>
          <t>일심</t>
        </is>
      </c>
      <c r="E2017" s="0" t="inlineStr">
        <is>
          <t>2001.11.</t>
        </is>
      </c>
      <c r="F2017" s="0" t="n">
        <v>28</v>
      </c>
      <c r="G2017" s="0" t="n">
        <v>20.43</v>
      </c>
      <c r="H2017" s="0" t="n">
        <v>67.56999999999999</v>
      </c>
      <c r="I2017" s="0" t="n">
        <v>16.76</v>
      </c>
      <c r="J2017" s="0" t="n">
        <v>55.42</v>
      </c>
      <c r="K2017" s="0" t="n">
        <v>1</v>
      </c>
      <c r="T2017" s="0" t="n">
        <v>2</v>
      </c>
      <c r="U2017" s="0" t="n">
        <v>1</v>
      </c>
      <c r="V2017" s="0" t="inlineStr">
        <is>
          <t>계단식</t>
        </is>
      </c>
      <c r="W2017" s="0" t="n">
        <v>67</v>
      </c>
      <c r="X2017" s="0" t="n">
        <v>7</v>
      </c>
      <c r="Y2017" s="0" t="n">
        <v>7</v>
      </c>
      <c r="Z2017" s="0" t="inlineStr">
        <is>
          <t>https://new.land.naver.com/complexes/8999?tab=detail&amp;rf=Y</t>
        </is>
      </c>
      <c r="AA2017" s="0" t="inlineStr">
        <is>
          <t>서울시 강동구 성내동 396-10</t>
        </is>
      </c>
      <c r="AB2017" s="0" t="inlineStr">
        <is>
          <t>서울시</t>
        </is>
      </c>
      <c r="AC2017" s="0" t="inlineStr">
        <is>
          <t>강동구</t>
        </is>
      </c>
      <c r="AD2017" s="0" t="inlineStr">
        <is>
          <t>성내동</t>
        </is>
      </c>
      <c r="AG2017" s="0" t="inlineStr">
        <is>
          <t>서울시 강동구 풍성로55길 52</t>
        </is>
      </c>
      <c r="AH2017" s="0" t="n">
        <v>0</v>
      </c>
      <c r="AI2017" s="0" t="n">
        <v>279</v>
      </c>
      <c r="AJ2017" s="0" t="n">
        <v>44</v>
      </c>
      <c r="AK2017" s="0" t="n">
        <v>30</v>
      </c>
      <c r="AL2017" s="0" t="n">
        <v>1.07</v>
      </c>
    </row>
    <row r="2018">
      <c r="A2018" s="0" t="inlineStr">
        <is>
          <t>[성내동]</t>
        </is>
      </c>
      <c r="B2018" s="0" t="n">
        <v>8999</v>
      </c>
      <c r="C2018" s="0" t="n">
        <v>3</v>
      </c>
      <c r="D2018" s="0" t="inlineStr">
        <is>
          <t>일심</t>
        </is>
      </c>
      <c r="E2018" s="0" t="inlineStr">
        <is>
          <t>2001.11.</t>
        </is>
      </c>
      <c r="F2018" s="0" t="n">
        <v>28</v>
      </c>
      <c r="G2018" s="0" t="n">
        <v>21.24</v>
      </c>
      <c r="H2018" s="0" t="n">
        <v>70.22</v>
      </c>
      <c r="I2018" s="0" t="n">
        <v>17.42</v>
      </c>
      <c r="J2018" s="0" t="n">
        <v>57.59</v>
      </c>
      <c r="K2018" s="0" t="n">
        <v>1</v>
      </c>
      <c r="T2018" s="0" t="n">
        <v>2</v>
      </c>
      <c r="U2018" s="0" t="n">
        <v>1</v>
      </c>
      <c r="V2018" s="0" t="inlineStr">
        <is>
          <t>계단식</t>
        </is>
      </c>
      <c r="W2018" s="0" t="n">
        <v>70</v>
      </c>
      <c r="X2018" s="0" t="n">
        <v>7</v>
      </c>
      <c r="Y2018" s="0" t="n">
        <v>7</v>
      </c>
      <c r="Z2018" s="0" t="inlineStr">
        <is>
          <t>https://new.land.naver.com/complexes/8999?tab=detail&amp;rf=Y</t>
        </is>
      </c>
      <c r="AA2018" s="0" t="inlineStr">
        <is>
          <t>서울시 강동구 성내동 396-10</t>
        </is>
      </c>
      <c r="AB2018" s="0" t="inlineStr">
        <is>
          <t>서울시</t>
        </is>
      </c>
      <c r="AC2018" s="0" t="inlineStr">
        <is>
          <t>강동구</t>
        </is>
      </c>
      <c r="AD2018" s="0" t="inlineStr">
        <is>
          <t>성내동</t>
        </is>
      </c>
      <c r="AG2018" s="0" t="inlineStr">
        <is>
          <t>서울시 강동구 풍성로55길 52</t>
        </is>
      </c>
      <c r="AH2018" s="0" t="n">
        <v>0</v>
      </c>
      <c r="AI2018" s="0" t="n">
        <v>279</v>
      </c>
      <c r="AJ2018" s="0" t="n">
        <v>44</v>
      </c>
      <c r="AK2018" s="0" t="n">
        <v>30</v>
      </c>
      <c r="AL2018" s="0" t="n">
        <v>1.07</v>
      </c>
    </row>
    <row r="2019">
      <c r="A2019" s="0" t="inlineStr">
        <is>
          <t>[성내동]</t>
        </is>
      </c>
      <c r="B2019" s="0" t="n">
        <v>8999</v>
      </c>
      <c r="C2019" s="0" t="n">
        <v>4</v>
      </c>
      <c r="D2019" s="0" t="inlineStr">
        <is>
          <t>일심</t>
        </is>
      </c>
      <c r="E2019" s="0" t="inlineStr">
        <is>
          <t>2001.11.</t>
        </is>
      </c>
      <c r="F2019" s="0" t="n">
        <v>28</v>
      </c>
      <c r="G2019" s="0" t="n">
        <v>27.9</v>
      </c>
      <c r="H2019" s="0" t="n">
        <v>92.25</v>
      </c>
      <c r="I2019" s="0" t="n">
        <v>22.88</v>
      </c>
      <c r="J2019" s="0" t="n">
        <v>75.65000000000001</v>
      </c>
      <c r="K2019" s="0" t="n">
        <v>1</v>
      </c>
      <c r="T2019" s="0" t="n">
        <v>3</v>
      </c>
      <c r="U2019" s="0" t="n">
        <v>2</v>
      </c>
      <c r="V2019" s="0" t="inlineStr">
        <is>
          <t>계단식</t>
        </is>
      </c>
      <c r="W2019" s="0" t="n">
        <v>92</v>
      </c>
      <c r="X2019" s="0" t="n">
        <v>7</v>
      </c>
      <c r="Y2019" s="0" t="n">
        <v>7</v>
      </c>
      <c r="Z2019" s="0" t="inlineStr">
        <is>
          <t>https://new.land.naver.com/complexes/8999?tab=detail&amp;rf=Y</t>
        </is>
      </c>
      <c r="AA2019" s="0" t="inlineStr">
        <is>
          <t>서울시 강동구 성내동 396-10</t>
        </is>
      </c>
      <c r="AB2019" s="0" t="inlineStr">
        <is>
          <t>서울시</t>
        </is>
      </c>
      <c r="AC2019" s="0" t="inlineStr">
        <is>
          <t>강동구</t>
        </is>
      </c>
      <c r="AD2019" s="0" t="inlineStr">
        <is>
          <t>성내동</t>
        </is>
      </c>
      <c r="AG2019" s="0" t="inlineStr">
        <is>
          <t>서울시 강동구 풍성로55길 52</t>
        </is>
      </c>
      <c r="AH2019" s="0" t="n">
        <v>0</v>
      </c>
      <c r="AI2019" s="0" t="n">
        <v>279</v>
      </c>
      <c r="AJ2019" s="0" t="n">
        <v>44</v>
      </c>
      <c r="AK2019" s="0" t="n">
        <v>30</v>
      </c>
      <c r="AL2019" s="0" t="n">
        <v>1.07</v>
      </c>
    </row>
    <row r="2020">
      <c r="A2020" s="0" t="inlineStr">
        <is>
          <t>[성내동]</t>
        </is>
      </c>
      <c r="B2020" s="0" t="n">
        <v>8999</v>
      </c>
      <c r="C2020" s="0" t="n">
        <v>5</v>
      </c>
      <c r="D2020" s="0" t="inlineStr">
        <is>
          <t>일심</t>
        </is>
      </c>
      <c r="E2020" s="0" t="inlineStr">
        <is>
          <t>2001.11.</t>
        </is>
      </c>
      <c r="F2020" s="0" t="n">
        <v>28</v>
      </c>
      <c r="G2020" s="0" t="n">
        <v>28.88</v>
      </c>
      <c r="H2020" s="0" t="n">
        <v>95.48</v>
      </c>
      <c r="I2020" s="0" t="n">
        <v>23.68</v>
      </c>
      <c r="J2020" s="0" t="n">
        <v>78.3</v>
      </c>
      <c r="K2020" s="0" t="n">
        <v>1</v>
      </c>
      <c r="T2020" s="0" t="n">
        <v>3</v>
      </c>
      <c r="U2020" s="0" t="n">
        <v>2</v>
      </c>
      <c r="V2020" s="0" t="inlineStr">
        <is>
          <t>계단식</t>
        </is>
      </c>
      <c r="W2020" s="0" t="inlineStr">
        <is>
          <t>95A</t>
        </is>
      </c>
      <c r="X2020" s="0" t="n">
        <v>7</v>
      </c>
      <c r="Y2020" s="0" t="n">
        <v>7</v>
      </c>
      <c r="Z2020" s="0" t="inlineStr">
        <is>
          <t>https://new.land.naver.com/complexes/8999?tab=detail&amp;rf=Y</t>
        </is>
      </c>
      <c r="AA2020" s="0" t="inlineStr">
        <is>
          <t>서울시 강동구 성내동 396-10</t>
        </is>
      </c>
      <c r="AB2020" s="0" t="inlineStr">
        <is>
          <t>서울시</t>
        </is>
      </c>
      <c r="AC2020" s="0" t="inlineStr">
        <is>
          <t>강동구</t>
        </is>
      </c>
      <c r="AD2020" s="0" t="inlineStr">
        <is>
          <t>성내동</t>
        </is>
      </c>
      <c r="AG2020" s="0" t="inlineStr">
        <is>
          <t>서울시 강동구 풍성로55길 52</t>
        </is>
      </c>
      <c r="AH2020" s="0" t="n">
        <v>0</v>
      </c>
      <c r="AI2020" s="0" t="n">
        <v>279</v>
      </c>
      <c r="AJ2020" s="0" t="n">
        <v>44</v>
      </c>
      <c r="AK2020" s="0" t="n">
        <v>30</v>
      </c>
      <c r="AL2020" s="0" t="n">
        <v>1.07</v>
      </c>
    </row>
    <row r="2021">
      <c r="A2021" s="0" t="inlineStr">
        <is>
          <t>[성내동]</t>
        </is>
      </c>
      <c r="B2021" s="0" t="n">
        <v>8999</v>
      </c>
      <c r="C2021" s="0" t="n">
        <v>6</v>
      </c>
      <c r="D2021" s="0" t="inlineStr">
        <is>
          <t>일심</t>
        </is>
      </c>
      <c r="E2021" s="0" t="inlineStr">
        <is>
          <t>2001.11.</t>
        </is>
      </c>
      <c r="F2021" s="0" t="n">
        <v>28</v>
      </c>
      <c r="G2021" s="0" t="n">
        <v>29.29</v>
      </c>
      <c r="H2021" s="0" t="n">
        <v>96.84999999999999</v>
      </c>
      <c r="I2021" s="0" t="n">
        <v>24.02</v>
      </c>
      <c r="J2021" s="0" t="n">
        <v>79.42</v>
      </c>
      <c r="K2021" s="0" t="n">
        <v>1</v>
      </c>
      <c r="T2021" s="0" t="n">
        <v>3</v>
      </c>
      <c r="U2021" s="0" t="n">
        <v>2</v>
      </c>
      <c r="V2021" s="0" t="inlineStr">
        <is>
          <t>계단식</t>
        </is>
      </c>
      <c r="W2021" s="0" t="inlineStr">
        <is>
          <t>96B</t>
        </is>
      </c>
      <c r="X2021" s="0" t="n">
        <v>7</v>
      </c>
      <c r="Y2021" s="0" t="n">
        <v>7</v>
      </c>
      <c r="Z2021" s="0" t="inlineStr">
        <is>
          <t>https://new.land.naver.com/complexes/8999?tab=detail&amp;rf=Y</t>
        </is>
      </c>
      <c r="AA2021" s="0" t="inlineStr">
        <is>
          <t>서울시 강동구 성내동 396-10</t>
        </is>
      </c>
      <c r="AB2021" s="0" t="inlineStr">
        <is>
          <t>서울시</t>
        </is>
      </c>
      <c r="AC2021" s="0" t="inlineStr">
        <is>
          <t>강동구</t>
        </is>
      </c>
      <c r="AD2021" s="0" t="inlineStr">
        <is>
          <t>성내동</t>
        </is>
      </c>
      <c r="AG2021" s="0" t="inlineStr">
        <is>
          <t>서울시 강동구 풍성로55길 52</t>
        </is>
      </c>
      <c r="AH2021" s="0" t="n">
        <v>0</v>
      </c>
      <c r="AI2021" s="0" t="n">
        <v>279</v>
      </c>
      <c r="AJ2021" s="0" t="n">
        <v>44</v>
      </c>
      <c r="AK2021" s="0" t="n">
        <v>30</v>
      </c>
      <c r="AL2021" s="0" t="n">
        <v>1.07</v>
      </c>
    </row>
    <row r="2022">
      <c r="A2022" s="0" t="inlineStr">
        <is>
          <t>[성내동]</t>
        </is>
      </c>
      <c r="B2022" s="0" t="n">
        <v>8999</v>
      </c>
      <c r="C2022" s="0" t="n">
        <v>7</v>
      </c>
      <c r="D2022" s="0" t="inlineStr">
        <is>
          <t>일심</t>
        </is>
      </c>
      <c r="E2022" s="0" t="inlineStr">
        <is>
          <t>2001.11.</t>
        </is>
      </c>
      <c r="F2022" s="0" t="n">
        <v>28</v>
      </c>
      <c r="G2022" s="0" t="n">
        <v>30.51</v>
      </c>
      <c r="H2022" s="0" t="n">
        <v>100.87</v>
      </c>
      <c r="I2022" s="0" t="n">
        <v>25.02</v>
      </c>
      <c r="J2022" s="0" t="n">
        <v>82.72</v>
      </c>
      <c r="K2022" s="0" t="n">
        <v>1</v>
      </c>
      <c r="T2022" s="0" t="n">
        <v>3</v>
      </c>
      <c r="U2022" s="0" t="n">
        <v>2</v>
      </c>
      <c r="V2022" s="0" t="inlineStr">
        <is>
          <t>계단식</t>
        </is>
      </c>
      <c r="W2022" s="0" t="inlineStr">
        <is>
          <t>100A</t>
        </is>
      </c>
      <c r="X2022" s="0" t="n">
        <v>7</v>
      </c>
      <c r="Y2022" s="0" t="n">
        <v>7</v>
      </c>
      <c r="Z2022" s="0" t="inlineStr">
        <is>
          <t>https://new.land.naver.com/complexes/8999?tab=detail&amp;rf=Y</t>
        </is>
      </c>
      <c r="AA2022" s="0" t="inlineStr">
        <is>
          <t>서울시 강동구 성내동 396-10</t>
        </is>
      </c>
      <c r="AB2022" s="0" t="inlineStr">
        <is>
          <t>서울시</t>
        </is>
      </c>
      <c r="AC2022" s="0" t="inlineStr">
        <is>
          <t>강동구</t>
        </is>
      </c>
      <c r="AD2022" s="0" t="inlineStr">
        <is>
          <t>성내동</t>
        </is>
      </c>
      <c r="AG2022" s="0" t="inlineStr">
        <is>
          <t>서울시 강동구 풍성로55길 52</t>
        </is>
      </c>
      <c r="AH2022" s="0" t="n">
        <v>0</v>
      </c>
      <c r="AI2022" s="0" t="n">
        <v>279</v>
      </c>
      <c r="AJ2022" s="0" t="n">
        <v>44</v>
      </c>
      <c r="AK2022" s="0" t="n">
        <v>30</v>
      </c>
      <c r="AL2022" s="0" t="n">
        <v>1.07</v>
      </c>
    </row>
    <row r="2023">
      <c r="A2023" s="0" t="inlineStr">
        <is>
          <t>[성내동]</t>
        </is>
      </c>
      <c r="B2023" s="0" t="n">
        <v>8999</v>
      </c>
      <c r="C2023" s="0" t="n">
        <v>8</v>
      </c>
      <c r="D2023" s="0" t="inlineStr">
        <is>
          <t>일심</t>
        </is>
      </c>
      <c r="E2023" s="0" t="inlineStr">
        <is>
          <t>2001.11.</t>
        </is>
      </c>
      <c r="F2023" s="0" t="n">
        <v>28</v>
      </c>
      <c r="G2023" s="0" t="n">
        <v>31.13</v>
      </c>
      <c r="H2023" s="0" t="n">
        <v>102.92</v>
      </c>
      <c r="I2023" s="0" t="n">
        <v>25.53</v>
      </c>
      <c r="J2023" s="0" t="n">
        <v>84.40000000000001</v>
      </c>
      <c r="K2023" s="0" t="n">
        <v>6</v>
      </c>
      <c r="T2023" s="0" t="n">
        <v>3</v>
      </c>
      <c r="U2023" s="0" t="n">
        <v>2</v>
      </c>
      <c r="V2023" s="0" t="inlineStr">
        <is>
          <t>계단식</t>
        </is>
      </c>
      <c r="W2023" s="0" t="inlineStr">
        <is>
          <t>102C</t>
        </is>
      </c>
      <c r="X2023" s="0" t="n">
        <v>7</v>
      </c>
      <c r="Y2023" s="0" t="n">
        <v>7</v>
      </c>
      <c r="Z2023" s="0" t="inlineStr">
        <is>
          <t>https://new.land.naver.com/complexes/8999?tab=detail&amp;rf=Y</t>
        </is>
      </c>
      <c r="AA2023" s="0" t="inlineStr">
        <is>
          <t>서울시 강동구 성내동 396-10</t>
        </is>
      </c>
      <c r="AB2023" s="0" t="inlineStr">
        <is>
          <t>서울시</t>
        </is>
      </c>
      <c r="AC2023" s="0" t="inlineStr">
        <is>
          <t>강동구</t>
        </is>
      </c>
      <c r="AD2023" s="0" t="inlineStr">
        <is>
          <t>성내동</t>
        </is>
      </c>
      <c r="AG2023" s="0" t="inlineStr">
        <is>
          <t>서울시 강동구 풍성로55길 52</t>
        </is>
      </c>
      <c r="AH2023" s="0" t="n">
        <v>0</v>
      </c>
      <c r="AI2023" s="0" t="n">
        <v>279</v>
      </c>
      <c r="AJ2023" s="0" t="n">
        <v>44</v>
      </c>
      <c r="AK2023" s="0" t="n">
        <v>30</v>
      </c>
      <c r="AL2023" s="0" t="n">
        <v>1.07</v>
      </c>
    </row>
    <row r="2024">
      <c r="A2024" s="0" t="inlineStr">
        <is>
          <t>[성내동]</t>
        </is>
      </c>
      <c r="B2024" s="0" t="n">
        <v>8999</v>
      </c>
      <c r="C2024" s="0" t="n">
        <v>9</v>
      </c>
      <c r="D2024" s="0" t="inlineStr">
        <is>
          <t>일심</t>
        </is>
      </c>
      <c r="E2024" s="0" t="inlineStr">
        <is>
          <t>2001.11.</t>
        </is>
      </c>
      <c r="F2024" s="0" t="n">
        <v>28</v>
      </c>
      <c r="G2024" s="0" t="n">
        <v>31.11</v>
      </c>
      <c r="H2024" s="0" t="n">
        <v>102.87</v>
      </c>
      <c r="I2024" s="0" t="n">
        <v>25.51</v>
      </c>
      <c r="J2024" s="0" t="n">
        <v>84.36</v>
      </c>
      <c r="K2024" s="0" t="n">
        <v>5</v>
      </c>
      <c r="T2024" s="0" t="n">
        <v>3</v>
      </c>
      <c r="U2024" s="0" t="n">
        <v>2</v>
      </c>
      <c r="V2024" s="0" t="inlineStr">
        <is>
          <t>계단식</t>
        </is>
      </c>
      <c r="W2024" s="0" t="inlineStr">
        <is>
          <t>102B</t>
        </is>
      </c>
      <c r="X2024" s="0" t="n">
        <v>7</v>
      </c>
      <c r="Y2024" s="0" t="n">
        <v>7</v>
      </c>
      <c r="Z2024" s="0" t="inlineStr">
        <is>
          <t>https://new.land.naver.com/complexes/8999?tab=detail&amp;rf=Y</t>
        </is>
      </c>
      <c r="AA2024" s="0" t="inlineStr">
        <is>
          <t>서울시 강동구 성내동 396-10</t>
        </is>
      </c>
      <c r="AB2024" s="0" t="inlineStr">
        <is>
          <t>서울시</t>
        </is>
      </c>
      <c r="AC2024" s="0" t="inlineStr">
        <is>
          <t>강동구</t>
        </is>
      </c>
      <c r="AD2024" s="0" t="inlineStr">
        <is>
          <t>성내동</t>
        </is>
      </c>
      <c r="AG2024" s="0" t="inlineStr">
        <is>
          <t>서울시 강동구 풍성로55길 52</t>
        </is>
      </c>
      <c r="AH2024" s="0" t="n">
        <v>0</v>
      </c>
      <c r="AI2024" s="0" t="n">
        <v>279</v>
      </c>
      <c r="AJ2024" s="0" t="n">
        <v>44</v>
      </c>
      <c r="AK2024" s="0" t="n">
        <v>30</v>
      </c>
      <c r="AL2024" s="0" t="n">
        <v>1.07</v>
      </c>
    </row>
    <row r="2025">
      <c r="A2025" s="0" t="inlineStr">
        <is>
          <t>[성내동]</t>
        </is>
      </c>
      <c r="B2025" s="0" t="n">
        <v>8999</v>
      </c>
      <c r="C2025" s="0" t="n">
        <v>10</v>
      </c>
      <c r="D2025" s="0" t="inlineStr">
        <is>
          <t>일심</t>
        </is>
      </c>
      <c r="E2025" s="0" t="inlineStr">
        <is>
          <t>2001.11.</t>
        </is>
      </c>
      <c r="F2025" s="0" t="n">
        <v>28</v>
      </c>
      <c r="G2025" s="0" t="n">
        <v>31.16</v>
      </c>
      <c r="H2025" s="0" t="n">
        <v>103.01</v>
      </c>
      <c r="I2025" s="0" t="n">
        <v>25.55</v>
      </c>
      <c r="J2025" s="0" t="n">
        <v>84.48</v>
      </c>
      <c r="K2025" s="0" t="n">
        <v>5</v>
      </c>
      <c r="T2025" s="0" t="n">
        <v>3</v>
      </c>
      <c r="U2025" s="0" t="n">
        <v>2</v>
      </c>
      <c r="V2025" s="0" t="inlineStr">
        <is>
          <t>계단식</t>
        </is>
      </c>
      <c r="W2025" s="0" t="inlineStr">
        <is>
          <t>103D</t>
        </is>
      </c>
      <c r="X2025" s="0" t="n">
        <v>7</v>
      </c>
      <c r="Y2025" s="0" t="n">
        <v>7</v>
      </c>
      <c r="Z2025" s="0" t="inlineStr">
        <is>
          <t>https://new.land.naver.com/complexes/8999?tab=detail&amp;rf=Y</t>
        </is>
      </c>
      <c r="AA2025" s="0" t="inlineStr">
        <is>
          <t>서울시 강동구 성내동 396-10</t>
        </is>
      </c>
      <c r="AB2025" s="0" t="inlineStr">
        <is>
          <t>서울시</t>
        </is>
      </c>
      <c r="AC2025" s="0" t="inlineStr">
        <is>
          <t>강동구</t>
        </is>
      </c>
      <c r="AD2025" s="0" t="inlineStr">
        <is>
          <t>성내동</t>
        </is>
      </c>
      <c r="AG2025" s="0" t="inlineStr">
        <is>
          <t>서울시 강동구 풍성로55길 52</t>
        </is>
      </c>
      <c r="AH2025" s="0" t="n">
        <v>0</v>
      </c>
      <c r="AI2025" s="0" t="n">
        <v>279</v>
      </c>
      <c r="AJ2025" s="0" t="n">
        <v>44</v>
      </c>
      <c r="AK2025" s="0" t="n">
        <v>30</v>
      </c>
      <c r="AL2025" s="0" t="n">
        <v>1.07</v>
      </c>
    </row>
    <row r="2026">
      <c r="A2026" s="0" t="inlineStr">
        <is>
          <t>[성내동]</t>
        </is>
      </c>
      <c r="B2026" s="0" t="n">
        <v>8999</v>
      </c>
      <c r="C2026" s="0" t="n">
        <v>11</v>
      </c>
      <c r="D2026" s="0" t="inlineStr">
        <is>
          <t>일심</t>
        </is>
      </c>
      <c r="E2026" s="0" t="inlineStr">
        <is>
          <t>2001.11.</t>
        </is>
      </c>
      <c r="F2026" s="0" t="n">
        <v>28</v>
      </c>
      <c r="G2026" s="0" t="n">
        <v>31.19</v>
      </c>
      <c r="H2026" s="0" t="n">
        <v>103.14</v>
      </c>
      <c r="I2026" s="0" t="n">
        <v>25.58</v>
      </c>
      <c r="J2026" s="0" t="n">
        <v>84.58</v>
      </c>
      <c r="K2026" s="0" t="n">
        <v>5</v>
      </c>
      <c r="T2026" s="0" t="n">
        <v>3</v>
      </c>
      <c r="U2026" s="0" t="n">
        <v>2</v>
      </c>
      <c r="V2026" s="0" t="inlineStr">
        <is>
          <t>계단식</t>
        </is>
      </c>
      <c r="W2026" s="0" t="inlineStr">
        <is>
          <t>103E</t>
        </is>
      </c>
      <c r="X2026" s="0" t="n">
        <v>7</v>
      </c>
      <c r="Y2026" s="0" t="n">
        <v>7</v>
      </c>
      <c r="Z2026" s="0" t="inlineStr">
        <is>
          <t>https://new.land.naver.com/complexes/8999?tab=detail&amp;rf=Y</t>
        </is>
      </c>
      <c r="AA2026" s="0" t="inlineStr">
        <is>
          <t>서울시 강동구 성내동 396-10</t>
        </is>
      </c>
      <c r="AB2026" s="0" t="inlineStr">
        <is>
          <t>서울시</t>
        </is>
      </c>
      <c r="AC2026" s="0" t="inlineStr">
        <is>
          <t>강동구</t>
        </is>
      </c>
      <c r="AD2026" s="0" t="inlineStr">
        <is>
          <t>성내동</t>
        </is>
      </c>
      <c r="AG2026" s="0" t="inlineStr">
        <is>
          <t>서울시 강동구 풍성로55길 52</t>
        </is>
      </c>
      <c r="AH2026" s="0" t="n">
        <v>0</v>
      </c>
      <c r="AI2026" s="0" t="n">
        <v>279</v>
      </c>
      <c r="AJ2026" s="0" t="n">
        <v>44</v>
      </c>
      <c r="AK2026" s="0" t="n">
        <v>30</v>
      </c>
      <c r="AL2026" s="0" t="n">
        <v>1.07</v>
      </c>
    </row>
    <row r="2027">
      <c r="A2027" s="0" t="inlineStr">
        <is>
          <t>[성내동]</t>
        </is>
      </c>
      <c r="B2027" s="0" t="n">
        <v>103086</v>
      </c>
      <c r="C2027" s="0" t="n">
        <v>1</v>
      </c>
      <c r="D2027" s="0" t="inlineStr">
        <is>
          <t>한솔브리즈(199-4)</t>
        </is>
      </c>
      <c r="E2027" s="0" t="inlineStr">
        <is>
          <t>2004.01.</t>
        </is>
      </c>
      <c r="F2027" s="0" t="n">
        <v>18</v>
      </c>
      <c r="G2027" s="0" t="n">
        <v>32.03</v>
      </c>
      <c r="H2027" s="0" t="n">
        <v>105.89</v>
      </c>
      <c r="I2027" s="0" t="n">
        <v>25.56</v>
      </c>
      <c r="J2027" s="0" t="n">
        <v>84.52</v>
      </c>
      <c r="K2027" s="0" t="n">
        <v>18</v>
      </c>
      <c r="T2027" s="0" t="n">
        <v>3</v>
      </c>
      <c r="U2027" s="0" t="n">
        <v>2</v>
      </c>
      <c r="V2027" s="0" t="inlineStr">
        <is>
          <t>계단식</t>
        </is>
      </c>
      <c r="W2027" s="0" t="n">
        <v>105</v>
      </c>
      <c r="X2027" s="0" t="n">
        <v>10</v>
      </c>
      <c r="Y2027" s="0" t="n">
        <v>10</v>
      </c>
      <c r="Z2027" s="0" t="inlineStr">
        <is>
          <t>https://new.land.naver.com/complexes/103086?tab=detail&amp;rf=Y</t>
        </is>
      </c>
      <c r="AA2027" s="0" t="inlineStr">
        <is>
          <t>서울시 강동구 성내동 199-4</t>
        </is>
      </c>
      <c r="AB2027" s="0" t="inlineStr">
        <is>
          <t>서울시</t>
        </is>
      </c>
      <c r="AC2027" s="0" t="inlineStr">
        <is>
          <t>강동구</t>
        </is>
      </c>
      <c r="AD2027" s="0" t="inlineStr">
        <is>
          <t>성내동</t>
        </is>
      </c>
      <c r="AG2027" s="0" t="inlineStr">
        <is>
          <t>서울시 강동구 천호대로170길 13</t>
        </is>
      </c>
      <c r="AH2027" s="0" t="n">
        <v>0</v>
      </c>
      <c r="AI2027" s="0" t="n">
        <v>328</v>
      </c>
      <c r="AJ2027" s="0" t="n">
        <v>59</v>
      </c>
      <c r="AK2027" s="0" t="n">
        <v>23</v>
      </c>
      <c r="AL2027" s="0" t="n">
        <v>1.28</v>
      </c>
    </row>
    <row r="2028">
      <c r="A2028" s="0" t="inlineStr">
        <is>
          <t>[성내동]</t>
        </is>
      </c>
      <c r="B2028" s="0" t="n">
        <v>24621</v>
      </c>
      <c r="C2028" s="0" t="n">
        <v>1</v>
      </c>
      <c r="D2028" s="0" t="inlineStr">
        <is>
          <t>늘조은</t>
        </is>
      </c>
      <c r="E2028" s="0" t="inlineStr">
        <is>
          <t>2003.07.</t>
        </is>
      </c>
      <c r="F2028" s="0" t="n">
        <v>28</v>
      </c>
      <c r="G2028" s="0" t="n">
        <v>16.02</v>
      </c>
      <c r="H2028" s="0" t="n">
        <v>52.99</v>
      </c>
      <c r="I2028" s="0" t="n">
        <v>11.72</v>
      </c>
      <c r="J2028" s="0" t="n">
        <v>38.75</v>
      </c>
      <c r="K2028" s="0" t="n">
        <v>2</v>
      </c>
      <c r="T2028" s="0" t="n">
        <v>2</v>
      </c>
      <c r="U2028" s="0" t="n">
        <v>1</v>
      </c>
      <c r="V2028" s="0" t="inlineStr">
        <is>
          <t>계단식</t>
        </is>
      </c>
      <c r="W2028" s="0" t="n">
        <v>52</v>
      </c>
      <c r="X2028" s="0" t="n">
        <v>9</v>
      </c>
      <c r="Y2028" s="0" t="n">
        <v>9</v>
      </c>
      <c r="Z2028" s="0" t="inlineStr">
        <is>
          <t>https://new.land.naver.com/complexes/24621?tab=detail&amp;rf=Y</t>
        </is>
      </c>
      <c r="AA2028" s="0" t="inlineStr">
        <is>
          <t>서울시 강동구 성내동 244-8</t>
        </is>
      </c>
      <c r="AB2028" s="0" t="inlineStr">
        <is>
          <t>서울시</t>
        </is>
      </c>
      <c r="AC2028" s="0" t="inlineStr">
        <is>
          <t>강동구</t>
        </is>
      </c>
      <c r="AD2028" s="0" t="inlineStr">
        <is>
          <t>성내동</t>
        </is>
      </c>
      <c r="AG2028" s="0" t="inlineStr">
        <is>
          <t>서울시 강동구 천호대로176길 10-20</t>
        </is>
      </c>
      <c r="AH2028" s="0" t="n">
        <v>0</v>
      </c>
      <c r="AI2028" s="0" t="n">
        <v>342</v>
      </c>
      <c r="AJ2028" s="0" t="n">
        <v>59</v>
      </c>
      <c r="AK2028" s="0" t="n">
        <v>22</v>
      </c>
      <c r="AL2028" s="0" t="n">
        <v>0.79</v>
      </c>
    </row>
    <row r="2029">
      <c r="A2029" s="0" t="inlineStr">
        <is>
          <t>[성내동]</t>
        </is>
      </c>
      <c r="B2029" s="0" t="n">
        <v>24621</v>
      </c>
      <c r="C2029" s="0" t="n">
        <v>2</v>
      </c>
      <c r="D2029" s="0" t="inlineStr">
        <is>
          <t>늘조은</t>
        </is>
      </c>
      <c r="E2029" s="0" t="inlineStr">
        <is>
          <t>2003.07.</t>
        </is>
      </c>
      <c r="F2029" s="0" t="n">
        <v>28</v>
      </c>
      <c r="G2029" s="0" t="n">
        <v>17.64</v>
      </c>
      <c r="H2029" s="0" t="n">
        <v>58.32</v>
      </c>
      <c r="I2029" s="0" t="n">
        <v>13.13</v>
      </c>
      <c r="J2029" s="0" t="n">
        <v>43.43</v>
      </c>
      <c r="K2029" s="0" t="n">
        <v>2</v>
      </c>
      <c r="T2029" s="0" t="n">
        <v>2</v>
      </c>
      <c r="U2029" s="0" t="n">
        <v>1</v>
      </c>
      <c r="V2029" s="0" t="inlineStr">
        <is>
          <t>계단식</t>
        </is>
      </c>
      <c r="W2029" s="0" t="n">
        <v>58</v>
      </c>
      <c r="X2029" s="0" t="n">
        <v>9</v>
      </c>
      <c r="Y2029" s="0" t="n">
        <v>9</v>
      </c>
      <c r="Z2029" s="0" t="inlineStr">
        <is>
          <t>https://new.land.naver.com/complexes/24621?tab=detail&amp;rf=Y</t>
        </is>
      </c>
      <c r="AA2029" s="0" t="inlineStr">
        <is>
          <t>서울시 강동구 성내동 244-8</t>
        </is>
      </c>
      <c r="AB2029" s="0" t="inlineStr">
        <is>
          <t>서울시</t>
        </is>
      </c>
      <c r="AC2029" s="0" t="inlineStr">
        <is>
          <t>강동구</t>
        </is>
      </c>
      <c r="AD2029" s="0" t="inlineStr">
        <is>
          <t>성내동</t>
        </is>
      </c>
      <c r="AG2029" s="0" t="inlineStr">
        <is>
          <t>서울시 강동구 천호대로176길 10-20</t>
        </is>
      </c>
      <c r="AH2029" s="0" t="n">
        <v>0</v>
      </c>
      <c r="AI2029" s="0" t="n">
        <v>342</v>
      </c>
      <c r="AJ2029" s="0" t="n">
        <v>59</v>
      </c>
      <c r="AK2029" s="0" t="n">
        <v>22</v>
      </c>
      <c r="AL2029" s="0" t="n">
        <v>0.79</v>
      </c>
    </row>
    <row r="2030">
      <c r="A2030" s="0" t="inlineStr">
        <is>
          <t>[성내동]</t>
        </is>
      </c>
      <c r="B2030" s="0" t="n">
        <v>24621</v>
      </c>
      <c r="C2030" s="0" t="n">
        <v>3</v>
      </c>
      <c r="D2030" s="0" t="inlineStr">
        <is>
          <t>늘조은</t>
        </is>
      </c>
      <c r="E2030" s="0" t="inlineStr">
        <is>
          <t>2003.07.</t>
        </is>
      </c>
      <c r="F2030" s="0" t="n">
        <v>28</v>
      </c>
      <c r="G2030" s="0" t="n">
        <v>24.78</v>
      </c>
      <c r="H2030" s="0" t="n">
        <v>81.94</v>
      </c>
      <c r="I2030" s="0" t="n">
        <v>18.5</v>
      </c>
      <c r="J2030" s="0" t="n">
        <v>61.17</v>
      </c>
      <c r="K2030" s="0" t="n">
        <v>2</v>
      </c>
      <c r="T2030" s="0" t="n">
        <v>2</v>
      </c>
      <c r="U2030" s="0" t="n">
        <v>1</v>
      </c>
      <c r="V2030" s="0" t="inlineStr">
        <is>
          <t>계단식</t>
        </is>
      </c>
      <c r="W2030" s="0" t="inlineStr">
        <is>
          <t>81A</t>
        </is>
      </c>
      <c r="X2030" s="0" t="n">
        <v>9</v>
      </c>
      <c r="Y2030" s="0" t="n">
        <v>9</v>
      </c>
      <c r="Z2030" s="0" t="inlineStr">
        <is>
          <t>https://new.land.naver.com/complexes/24621?tab=detail&amp;rf=Y</t>
        </is>
      </c>
      <c r="AA2030" s="0" t="inlineStr">
        <is>
          <t>서울시 강동구 성내동 244-8</t>
        </is>
      </c>
      <c r="AB2030" s="0" t="inlineStr">
        <is>
          <t>서울시</t>
        </is>
      </c>
      <c r="AC2030" s="0" t="inlineStr">
        <is>
          <t>강동구</t>
        </is>
      </c>
      <c r="AD2030" s="0" t="inlineStr">
        <is>
          <t>성내동</t>
        </is>
      </c>
      <c r="AG2030" s="0" t="inlineStr">
        <is>
          <t>서울시 강동구 천호대로176길 10-20</t>
        </is>
      </c>
      <c r="AH2030" s="0" t="n">
        <v>0</v>
      </c>
      <c r="AI2030" s="0" t="n">
        <v>342</v>
      </c>
      <c r="AJ2030" s="0" t="n">
        <v>59</v>
      </c>
      <c r="AK2030" s="0" t="n">
        <v>22</v>
      </c>
      <c r="AL2030" s="0" t="n">
        <v>0.79</v>
      </c>
    </row>
    <row r="2031">
      <c r="A2031" s="0" t="inlineStr">
        <is>
          <t>[성내동]</t>
        </is>
      </c>
      <c r="B2031" s="0" t="n">
        <v>24621</v>
      </c>
      <c r="C2031" s="0" t="n">
        <v>4</v>
      </c>
      <c r="D2031" s="0" t="inlineStr">
        <is>
          <t>늘조은</t>
        </is>
      </c>
      <c r="E2031" s="0" t="inlineStr">
        <is>
          <t>2003.07.</t>
        </is>
      </c>
      <c r="F2031" s="0" t="n">
        <v>28</v>
      </c>
      <c r="G2031" s="0" t="n">
        <v>25.35</v>
      </c>
      <c r="H2031" s="0" t="n">
        <v>83.81999999999999</v>
      </c>
      <c r="I2031" s="0" t="n">
        <v>19.05</v>
      </c>
      <c r="J2031" s="0" t="n">
        <v>63</v>
      </c>
      <c r="K2031" s="0" t="n">
        <v>2</v>
      </c>
      <c r="T2031" s="0" t="n">
        <v>3</v>
      </c>
      <c r="U2031" s="0" t="n">
        <v>1</v>
      </c>
      <c r="V2031" s="0" t="inlineStr">
        <is>
          <t>계단식</t>
        </is>
      </c>
      <c r="W2031" s="0" t="inlineStr">
        <is>
          <t>83B</t>
        </is>
      </c>
      <c r="X2031" s="0" t="n">
        <v>9</v>
      </c>
      <c r="Y2031" s="0" t="n">
        <v>9</v>
      </c>
      <c r="Z2031" s="0" t="inlineStr">
        <is>
          <t>https://new.land.naver.com/complexes/24621?tab=detail&amp;rf=Y</t>
        </is>
      </c>
      <c r="AA2031" s="0" t="inlineStr">
        <is>
          <t>서울시 강동구 성내동 244-8</t>
        </is>
      </c>
      <c r="AB2031" s="0" t="inlineStr">
        <is>
          <t>서울시</t>
        </is>
      </c>
      <c r="AC2031" s="0" t="inlineStr">
        <is>
          <t>강동구</t>
        </is>
      </c>
      <c r="AD2031" s="0" t="inlineStr">
        <is>
          <t>성내동</t>
        </is>
      </c>
      <c r="AG2031" s="0" t="inlineStr">
        <is>
          <t>서울시 강동구 천호대로176길 10-20</t>
        </is>
      </c>
      <c r="AH2031" s="0" t="n">
        <v>0</v>
      </c>
      <c r="AI2031" s="0" t="n">
        <v>342</v>
      </c>
      <c r="AJ2031" s="0" t="n">
        <v>59</v>
      </c>
      <c r="AK2031" s="0" t="n">
        <v>22</v>
      </c>
      <c r="AL2031" s="0" t="n">
        <v>0.79</v>
      </c>
    </row>
    <row r="2032">
      <c r="A2032" s="0" t="inlineStr">
        <is>
          <t>[성내동]</t>
        </is>
      </c>
      <c r="B2032" s="0" t="n">
        <v>24621</v>
      </c>
      <c r="C2032" s="0" t="n">
        <v>5</v>
      </c>
      <c r="D2032" s="0" t="inlineStr">
        <is>
          <t>늘조은</t>
        </is>
      </c>
      <c r="E2032" s="0" t="inlineStr">
        <is>
          <t>2003.07.</t>
        </is>
      </c>
      <c r="F2032" s="0" t="n">
        <v>28</v>
      </c>
      <c r="G2032" s="0" t="n">
        <v>26.3</v>
      </c>
      <c r="H2032" s="0" t="n">
        <v>86.95999999999999</v>
      </c>
      <c r="I2032" s="0" t="n">
        <v>19.68</v>
      </c>
      <c r="J2032" s="0" t="n">
        <v>65.06</v>
      </c>
      <c r="K2032" s="0" t="n">
        <v>10</v>
      </c>
      <c r="T2032" s="0" t="n">
        <v>3</v>
      </c>
      <c r="U2032" s="0" t="n">
        <v>2</v>
      </c>
      <c r="V2032" s="0" t="inlineStr">
        <is>
          <t>계단식</t>
        </is>
      </c>
      <c r="W2032" s="0" t="inlineStr">
        <is>
          <t>86A</t>
        </is>
      </c>
      <c r="X2032" s="0" t="n">
        <v>9</v>
      </c>
      <c r="Y2032" s="0" t="n">
        <v>9</v>
      </c>
      <c r="Z2032" s="0" t="inlineStr">
        <is>
          <t>https://new.land.naver.com/complexes/24621?tab=detail&amp;rf=Y</t>
        </is>
      </c>
      <c r="AA2032" s="0" t="inlineStr">
        <is>
          <t>서울시 강동구 성내동 244-8</t>
        </is>
      </c>
      <c r="AB2032" s="0" t="inlineStr">
        <is>
          <t>서울시</t>
        </is>
      </c>
      <c r="AC2032" s="0" t="inlineStr">
        <is>
          <t>강동구</t>
        </is>
      </c>
      <c r="AD2032" s="0" t="inlineStr">
        <is>
          <t>성내동</t>
        </is>
      </c>
      <c r="AG2032" s="0" t="inlineStr">
        <is>
          <t>서울시 강동구 천호대로176길 10-20</t>
        </is>
      </c>
      <c r="AH2032" s="0" t="n">
        <v>0</v>
      </c>
      <c r="AI2032" s="0" t="n">
        <v>342</v>
      </c>
      <c r="AJ2032" s="0" t="n">
        <v>59</v>
      </c>
      <c r="AK2032" s="0" t="n">
        <v>22</v>
      </c>
      <c r="AL2032" s="0" t="n">
        <v>0.79</v>
      </c>
    </row>
    <row r="2033">
      <c r="A2033" s="0" t="inlineStr">
        <is>
          <t>[성내동]</t>
        </is>
      </c>
      <c r="B2033" s="0" t="n">
        <v>24621</v>
      </c>
      <c r="C2033" s="0" t="n">
        <v>6</v>
      </c>
      <c r="D2033" s="0" t="inlineStr">
        <is>
          <t>늘조은</t>
        </is>
      </c>
      <c r="E2033" s="0" t="inlineStr">
        <is>
          <t>2003.07.</t>
        </is>
      </c>
      <c r="F2033" s="0" t="n">
        <v>28</v>
      </c>
      <c r="G2033" s="0" t="n">
        <v>26.46</v>
      </c>
      <c r="H2033" s="0" t="n">
        <v>87.48</v>
      </c>
      <c r="I2033" s="0" t="n">
        <v>19.9</v>
      </c>
      <c r="J2033" s="0" t="n">
        <v>65.81</v>
      </c>
      <c r="K2033" s="0" t="n">
        <v>10</v>
      </c>
      <c r="T2033" s="0" t="n">
        <v>3</v>
      </c>
      <c r="U2033" s="0" t="n">
        <v>1</v>
      </c>
      <c r="V2033" s="0" t="inlineStr">
        <is>
          <t>계단식</t>
        </is>
      </c>
      <c r="W2033" s="0" t="inlineStr">
        <is>
          <t>87B</t>
        </is>
      </c>
      <c r="X2033" s="0" t="n">
        <v>9</v>
      </c>
      <c r="Y2033" s="0" t="n">
        <v>9</v>
      </c>
      <c r="Z2033" s="0" t="inlineStr">
        <is>
          <t>https://new.land.naver.com/complexes/24621?tab=detail&amp;rf=Y</t>
        </is>
      </c>
      <c r="AA2033" s="0" t="inlineStr">
        <is>
          <t>서울시 강동구 성내동 244-8</t>
        </is>
      </c>
      <c r="AB2033" s="0" t="inlineStr">
        <is>
          <t>서울시</t>
        </is>
      </c>
      <c r="AC2033" s="0" t="inlineStr">
        <is>
          <t>강동구</t>
        </is>
      </c>
      <c r="AD2033" s="0" t="inlineStr">
        <is>
          <t>성내동</t>
        </is>
      </c>
      <c r="AG2033" s="0" t="inlineStr">
        <is>
          <t>서울시 강동구 천호대로176길 10-20</t>
        </is>
      </c>
      <c r="AH2033" s="0" t="n">
        <v>0</v>
      </c>
      <c r="AI2033" s="0" t="n">
        <v>342</v>
      </c>
      <c r="AJ2033" s="0" t="n">
        <v>59</v>
      </c>
      <c r="AK2033" s="0" t="n">
        <v>22</v>
      </c>
      <c r="AL2033" s="0" t="n">
        <v>0.79</v>
      </c>
    </row>
    <row r="2034">
      <c r="A2034" s="0" t="inlineStr">
        <is>
          <t>[성내동]</t>
        </is>
      </c>
      <c r="B2034" s="0" t="n">
        <v>120050</v>
      </c>
      <c r="C2034" s="0" t="n">
        <v>1</v>
      </c>
      <c r="D2034" s="0" t="inlineStr">
        <is>
          <t>더존예가(A동,B동)</t>
        </is>
      </c>
      <c r="E2034" s="0" t="inlineStr">
        <is>
          <t>2017.11.</t>
        </is>
      </c>
      <c r="F2034" s="0" t="n">
        <v>40</v>
      </c>
      <c r="G2034" s="0" t="n">
        <v>6.27</v>
      </c>
      <c r="H2034" s="0" t="n">
        <v>20.75</v>
      </c>
      <c r="I2034" s="0" t="n">
        <v>4.9</v>
      </c>
      <c r="J2034" s="0" t="n">
        <v>16.23</v>
      </c>
      <c r="K2034" s="0" t="n">
        <v>5</v>
      </c>
      <c r="T2034" s="0" t="n">
        <v>1</v>
      </c>
      <c r="U2034" s="0" t="n">
        <v>1</v>
      </c>
      <c r="V2034" s="0" t="inlineStr">
        <is>
          <t>계단식</t>
        </is>
      </c>
      <c r="W2034" s="0" t="inlineStr">
        <is>
          <t>20A</t>
        </is>
      </c>
      <c r="X2034" s="0" t="n">
        <v>9</v>
      </c>
      <c r="Y2034" s="0" t="n">
        <v>9</v>
      </c>
      <c r="Z2034" s="0" t="inlineStr">
        <is>
          <t>https://new.land.naver.com/complexes/120050?tab=detail&amp;rf=Y</t>
        </is>
      </c>
      <c r="AA2034" s="0" t="inlineStr">
        <is>
          <t>서울시 강동구 성내동 46-23</t>
        </is>
      </c>
      <c r="AB2034" s="0" t="inlineStr">
        <is>
          <t>서울시</t>
        </is>
      </c>
      <c r="AC2034" s="0" t="inlineStr">
        <is>
          <t>강동구</t>
        </is>
      </c>
      <c r="AD2034" s="0" t="inlineStr">
        <is>
          <t>성내동</t>
        </is>
      </c>
      <c r="AG2034" s="0" t="inlineStr">
        <is>
          <t>서울시 강동구 올림픽로62길 23-13</t>
        </is>
      </c>
      <c r="AH2034" s="0" t="n">
        <v>0</v>
      </c>
      <c r="AI2034" s="0" t="n">
        <v>0</v>
      </c>
      <c r="AJ2034" s="0" t="n">
        <v>0</v>
      </c>
      <c r="AK2034" s="0" t="n">
        <v>0</v>
      </c>
      <c r="AL2034" s="0" t="n">
        <v>0</v>
      </c>
    </row>
    <row r="2035">
      <c r="A2035" s="0" t="inlineStr">
        <is>
          <t>[성내동]</t>
        </is>
      </c>
      <c r="B2035" s="0" t="n">
        <v>120050</v>
      </c>
      <c r="C2035" s="0" t="n">
        <v>2</v>
      </c>
      <c r="D2035" s="0" t="inlineStr">
        <is>
          <t>더존예가(A동,B동)</t>
        </is>
      </c>
      <c r="E2035" s="0" t="inlineStr">
        <is>
          <t>2017.11.</t>
        </is>
      </c>
      <c r="F2035" s="0" t="n">
        <v>40</v>
      </c>
      <c r="G2035" s="0" t="n">
        <v>6.31</v>
      </c>
      <c r="H2035" s="0" t="n">
        <v>20.87</v>
      </c>
      <c r="I2035" s="0" t="n">
        <v>4.92</v>
      </c>
      <c r="J2035" s="0" t="n">
        <v>16.29</v>
      </c>
      <c r="K2035" s="0" t="n">
        <v>5</v>
      </c>
      <c r="T2035" s="0" t="n">
        <v>1</v>
      </c>
      <c r="U2035" s="0" t="n">
        <v>1</v>
      </c>
      <c r="V2035" s="0" t="inlineStr">
        <is>
          <t>복도식</t>
        </is>
      </c>
      <c r="W2035" s="0" t="inlineStr">
        <is>
          <t>20B</t>
        </is>
      </c>
      <c r="X2035" s="0" t="n">
        <v>9</v>
      </c>
      <c r="Y2035" s="0" t="n">
        <v>9</v>
      </c>
      <c r="Z2035" s="0" t="inlineStr">
        <is>
          <t>https://new.land.naver.com/complexes/120050?tab=detail&amp;rf=Y</t>
        </is>
      </c>
      <c r="AA2035" s="0" t="inlineStr">
        <is>
          <t>서울시 강동구 성내동 46-23</t>
        </is>
      </c>
      <c r="AB2035" s="0" t="inlineStr">
        <is>
          <t>서울시</t>
        </is>
      </c>
      <c r="AC2035" s="0" t="inlineStr">
        <is>
          <t>강동구</t>
        </is>
      </c>
      <c r="AD2035" s="0" t="inlineStr">
        <is>
          <t>성내동</t>
        </is>
      </c>
      <c r="AG2035" s="0" t="inlineStr">
        <is>
          <t>서울시 강동구 올림픽로62길 23-13</t>
        </is>
      </c>
      <c r="AH2035" s="0" t="n">
        <v>0</v>
      </c>
      <c r="AI2035" s="0" t="n">
        <v>0</v>
      </c>
      <c r="AJ2035" s="0" t="n">
        <v>0</v>
      </c>
      <c r="AK2035" s="0" t="n">
        <v>0</v>
      </c>
      <c r="AL2035" s="0" t="n">
        <v>0</v>
      </c>
    </row>
    <row r="2036">
      <c r="A2036" s="0" t="inlineStr">
        <is>
          <t>[성내동]</t>
        </is>
      </c>
      <c r="B2036" s="0" t="n">
        <v>120050</v>
      </c>
      <c r="C2036" s="0" t="n">
        <v>3</v>
      </c>
      <c r="D2036" s="0" t="inlineStr">
        <is>
          <t>더존예가(A동,B동)</t>
        </is>
      </c>
      <c r="E2036" s="0" t="inlineStr">
        <is>
          <t>2017.11.</t>
        </is>
      </c>
      <c r="F2036" s="0" t="n">
        <v>40</v>
      </c>
      <c r="G2036" s="0" t="n">
        <v>6.44</v>
      </c>
      <c r="H2036" s="0" t="n">
        <v>21.32</v>
      </c>
      <c r="I2036" s="0" t="n">
        <v>5.03</v>
      </c>
      <c r="J2036" s="0" t="n">
        <v>16.64</v>
      </c>
      <c r="K2036" s="0" t="n">
        <v>5</v>
      </c>
      <c r="T2036" s="0" t="n">
        <v>1</v>
      </c>
      <c r="U2036" s="0" t="n">
        <v>1</v>
      </c>
      <c r="V2036" s="0" t="inlineStr">
        <is>
          <t>복도식</t>
        </is>
      </c>
      <c r="W2036" s="0" t="inlineStr">
        <is>
          <t>21C</t>
        </is>
      </c>
      <c r="X2036" s="0" t="n">
        <v>9</v>
      </c>
      <c r="Y2036" s="0" t="n">
        <v>9</v>
      </c>
      <c r="Z2036" s="0" t="inlineStr">
        <is>
          <t>https://new.land.naver.com/complexes/120050?tab=detail&amp;rf=Y</t>
        </is>
      </c>
      <c r="AA2036" s="0" t="inlineStr">
        <is>
          <t>서울시 강동구 성내동 46-23</t>
        </is>
      </c>
      <c r="AB2036" s="0" t="inlineStr">
        <is>
          <t>서울시</t>
        </is>
      </c>
      <c r="AC2036" s="0" t="inlineStr">
        <is>
          <t>강동구</t>
        </is>
      </c>
      <c r="AD2036" s="0" t="inlineStr">
        <is>
          <t>성내동</t>
        </is>
      </c>
      <c r="AG2036" s="0" t="inlineStr">
        <is>
          <t>서울시 강동구 올림픽로62길 23-13</t>
        </is>
      </c>
      <c r="AH2036" s="0" t="n">
        <v>0</v>
      </c>
      <c r="AI2036" s="0" t="n">
        <v>0</v>
      </c>
      <c r="AJ2036" s="0" t="n">
        <v>0</v>
      </c>
      <c r="AK2036" s="0" t="n">
        <v>0</v>
      </c>
      <c r="AL2036" s="0" t="n">
        <v>0</v>
      </c>
    </row>
    <row r="2037">
      <c r="A2037" s="0" t="inlineStr">
        <is>
          <t>[성내동]</t>
        </is>
      </c>
      <c r="B2037" s="0" t="n">
        <v>120050</v>
      </c>
      <c r="C2037" s="0" t="n">
        <v>4</v>
      </c>
      <c r="D2037" s="0" t="inlineStr">
        <is>
          <t>더존예가(A동,B동)</t>
        </is>
      </c>
      <c r="E2037" s="0" t="inlineStr">
        <is>
          <t>2017.11.</t>
        </is>
      </c>
      <c r="F2037" s="0" t="n">
        <v>40</v>
      </c>
      <c r="G2037" s="0" t="n">
        <v>7.24</v>
      </c>
      <c r="H2037" s="0" t="n">
        <v>23.95</v>
      </c>
      <c r="I2037" s="0" t="n">
        <v>5.65</v>
      </c>
      <c r="J2037" s="0" t="n">
        <v>18.7</v>
      </c>
      <c r="K2037" s="0" t="n">
        <v>5</v>
      </c>
      <c r="T2037" s="0" t="n">
        <v>1</v>
      </c>
      <c r="U2037" s="0" t="n">
        <v>1</v>
      </c>
      <c r="V2037" s="0" t="inlineStr">
        <is>
          <t>복도식</t>
        </is>
      </c>
      <c r="W2037" s="0" t="n">
        <v>23</v>
      </c>
      <c r="X2037" s="0" t="n">
        <v>9</v>
      </c>
      <c r="Y2037" s="0" t="n">
        <v>9</v>
      </c>
      <c r="Z2037" s="0" t="inlineStr">
        <is>
          <t>https://new.land.naver.com/complexes/120050?tab=detail&amp;rf=Y</t>
        </is>
      </c>
      <c r="AA2037" s="0" t="inlineStr">
        <is>
          <t>서울시 강동구 성내동 46-23</t>
        </is>
      </c>
      <c r="AB2037" s="0" t="inlineStr">
        <is>
          <t>서울시</t>
        </is>
      </c>
      <c r="AC2037" s="0" t="inlineStr">
        <is>
          <t>강동구</t>
        </is>
      </c>
      <c r="AD2037" s="0" t="inlineStr">
        <is>
          <t>성내동</t>
        </is>
      </c>
      <c r="AG2037" s="0" t="inlineStr">
        <is>
          <t>서울시 강동구 올림픽로62길 23-13</t>
        </is>
      </c>
      <c r="AH2037" s="0" t="n">
        <v>0</v>
      </c>
      <c r="AI2037" s="0" t="n">
        <v>0</v>
      </c>
      <c r="AJ2037" s="0" t="n">
        <v>0</v>
      </c>
      <c r="AK2037" s="0" t="n">
        <v>0</v>
      </c>
      <c r="AL2037" s="0" t="n">
        <v>0</v>
      </c>
    </row>
    <row r="2038">
      <c r="A2038" s="0" t="inlineStr">
        <is>
          <t>[성내동]</t>
        </is>
      </c>
      <c r="B2038" s="0" t="n">
        <v>120050</v>
      </c>
      <c r="C2038" s="0" t="n">
        <v>5</v>
      </c>
      <c r="D2038" s="0" t="inlineStr">
        <is>
          <t>더존예가(A동,B동)</t>
        </is>
      </c>
      <c r="E2038" s="0" t="inlineStr">
        <is>
          <t>2017.11.</t>
        </is>
      </c>
      <c r="F2038" s="0" t="n">
        <v>40</v>
      </c>
      <c r="G2038" s="0" t="n">
        <v>7.77</v>
      </c>
      <c r="H2038" s="0" t="n">
        <v>25.7</v>
      </c>
      <c r="I2038" s="0" t="n">
        <v>6.08</v>
      </c>
      <c r="J2038" s="0" t="n">
        <v>20.1</v>
      </c>
      <c r="K2038" s="0" t="n">
        <v>5</v>
      </c>
      <c r="T2038" s="0" t="n">
        <v>1</v>
      </c>
      <c r="U2038" s="0" t="n">
        <v>1</v>
      </c>
      <c r="V2038" s="0" t="inlineStr">
        <is>
          <t>계단식</t>
        </is>
      </c>
      <c r="W2038" s="0" t="inlineStr">
        <is>
          <t>25A</t>
        </is>
      </c>
      <c r="X2038" s="0" t="n">
        <v>9</v>
      </c>
      <c r="Y2038" s="0" t="n">
        <v>9</v>
      </c>
      <c r="Z2038" s="0" t="inlineStr">
        <is>
          <t>https://new.land.naver.com/complexes/120050?tab=detail&amp;rf=Y</t>
        </is>
      </c>
      <c r="AA2038" s="0" t="inlineStr">
        <is>
          <t>서울시 강동구 성내동 46-23</t>
        </is>
      </c>
      <c r="AB2038" s="0" t="inlineStr">
        <is>
          <t>서울시</t>
        </is>
      </c>
      <c r="AC2038" s="0" t="inlineStr">
        <is>
          <t>강동구</t>
        </is>
      </c>
      <c r="AD2038" s="0" t="inlineStr">
        <is>
          <t>성내동</t>
        </is>
      </c>
      <c r="AG2038" s="0" t="inlineStr">
        <is>
          <t>서울시 강동구 올림픽로62길 23-13</t>
        </is>
      </c>
      <c r="AH2038" s="0" t="n">
        <v>0</v>
      </c>
      <c r="AI2038" s="0" t="n">
        <v>0</v>
      </c>
      <c r="AJ2038" s="0" t="n">
        <v>0</v>
      </c>
      <c r="AK2038" s="0" t="n">
        <v>0</v>
      </c>
      <c r="AL2038" s="0" t="n">
        <v>0</v>
      </c>
    </row>
    <row r="2039">
      <c r="A2039" s="0" t="inlineStr">
        <is>
          <t>[성내동]</t>
        </is>
      </c>
      <c r="B2039" s="0" t="n">
        <v>120050</v>
      </c>
      <c r="C2039" s="0" t="n">
        <v>6</v>
      </c>
      <c r="D2039" s="0" t="inlineStr">
        <is>
          <t>더존예가(A동,B동)</t>
        </is>
      </c>
      <c r="E2039" s="0" t="inlineStr">
        <is>
          <t>2017.11.</t>
        </is>
      </c>
      <c r="F2039" s="0" t="n">
        <v>40</v>
      </c>
      <c r="G2039" s="0" t="n">
        <v>8.41</v>
      </c>
      <c r="H2039" s="0" t="n">
        <v>27.81</v>
      </c>
      <c r="I2039" s="0" t="n">
        <v>6.57</v>
      </c>
      <c r="J2039" s="0" t="n">
        <v>21.75</v>
      </c>
      <c r="K2039" s="0" t="n">
        <v>5</v>
      </c>
      <c r="T2039" s="0" t="n">
        <v>1</v>
      </c>
      <c r="U2039" s="0" t="n">
        <v>1</v>
      </c>
      <c r="V2039" s="0" t="inlineStr">
        <is>
          <t>계단식</t>
        </is>
      </c>
      <c r="W2039" s="0" t="inlineStr">
        <is>
          <t>27B</t>
        </is>
      </c>
      <c r="X2039" s="0" t="n">
        <v>9</v>
      </c>
      <c r="Y2039" s="0" t="n">
        <v>9</v>
      </c>
      <c r="Z2039" s="0" t="inlineStr">
        <is>
          <t>https://new.land.naver.com/complexes/120050?tab=detail&amp;rf=Y</t>
        </is>
      </c>
      <c r="AA2039" s="0" t="inlineStr">
        <is>
          <t>서울시 강동구 성내동 46-23</t>
        </is>
      </c>
      <c r="AB2039" s="0" t="inlineStr">
        <is>
          <t>서울시</t>
        </is>
      </c>
      <c r="AC2039" s="0" t="inlineStr">
        <is>
          <t>강동구</t>
        </is>
      </c>
      <c r="AD2039" s="0" t="inlineStr">
        <is>
          <t>성내동</t>
        </is>
      </c>
      <c r="AG2039" s="0" t="inlineStr">
        <is>
          <t>서울시 강동구 올림픽로62길 23-13</t>
        </is>
      </c>
      <c r="AH2039" s="0" t="n">
        <v>0</v>
      </c>
      <c r="AI2039" s="0" t="n">
        <v>0</v>
      </c>
      <c r="AJ2039" s="0" t="n">
        <v>0</v>
      </c>
      <c r="AK2039" s="0" t="n">
        <v>0</v>
      </c>
      <c r="AL2039" s="0" t="n">
        <v>0</v>
      </c>
    </row>
    <row r="2040">
      <c r="A2040" s="0" t="inlineStr">
        <is>
          <t>[성내동]</t>
        </is>
      </c>
      <c r="B2040" s="0" t="n">
        <v>120050</v>
      </c>
      <c r="C2040" s="0" t="n">
        <v>7</v>
      </c>
      <c r="D2040" s="0" t="inlineStr">
        <is>
          <t>더존예가(A동,B동)</t>
        </is>
      </c>
      <c r="E2040" s="0" t="inlineStr">
        <is>
          <t>2017.11.</t>
        </is>
      </c>
      <c r="F2040" s="0" t="n">
        <v>40</v>
      </c>
      <c r="G2040" s="0" t="n">
        <v>10.39</v>
      </c>
      <c r="H2040" s="0" t="n">
        <v>34.36</v>
      </c>
      <c r="I2040" s="0" t="n">
        <v>8.130000000000001</v>
      </c>
      <c r="J2040" s="0" t="n">
        <v>26.88</v>
      </c>
      <c r="K2040" s="0" t="n">
        <v>5</v>
      </c>
      <c r="T2040" s="0" t="n">
        <v>1</v>
      </c>
      <c r="U2040" s="0" t="n">
        <v>1</v>
      </c>
      <c r="V2040" s="0" t="inlineStr">
        <is>
          <t>계단식</t>
        </is>
      </c>
      <c r="W2040" s="0" t="n">
        <v>34</v>
      </c>
      <c r="X2040" s="0" t="n">
        <v>9</v>
      </c>
      <c r="Y2040" s="0" t="n">
        <v>9</v>
      </c>
      <c r="Z2040" s="0" t="inlineStr">
        <is>
          <t>https://new.land.naver.com/complexes/120050?tab=detail&amp;rf=Y</t>
        </is>
      </c>
      <c r="AA2040" s="0" t="inlineStr">
        <is>
          <t>서울시 강동구 성내동 46-23</t>
        </is>
      </c>
      <c r="AB2040" s="0" t="inlineStr">
        <is>
          <t>서울시</t>
        </is>
      </c>
      <c r="AC2040" s="0" t="inlineStr">
        <is>
          <t>강동구</t>
        </is>
      </c>
      <c r="AD2040" s="0" t="inlineStr">
        <is>
          <t>성내동</t>
        </is>
      </c>
      <c r="AG2040" s="0" t="inlineStr">
        <is>
          <t>서울시 강동구 올림픽로62길 23-13</t>
        </is>
      </c>
      <c r="AH2040" s="0" t="n">
        <v>0</v>
      </c>
      <c r="AI2040" s="0" t="n">
        <v>0</v>
      </c>
      <c r="AJ2040" s="0" t="n">
        <v>0</v>
      </c>
      <c r="AK2040" s="0" t="n">
        <v>0</v>
      </c>
      <c r="AL2040" s="0" t="n">
        <v>0</v>
      </c>
    </row>
    <row r="2041">
      <c r="A2041" s="0" t="inlineStr">
        <is>
          <t>[성내동]</t>
        </is>
      </c>
      <c r="B2041" s="0" t="n">
        <v>120050</v>
      </c>
      <c r="C2041" s="0" t="n">
        <v>8</v>
      </c>
      <c r="D2041" s="0" t="inlineStr">
        <is>
          <t>더존예가(A동,B동)</t>
        </is>
      </c>
      <c r="E2041" s="0" t="inlineStr">
        <is>
          <t>2017.11.</t>
        </is>
      </c>
      <c r="F2041" s="0" t="n">
        <v>40</v>
      </c>
      <c r="G2041" s="0" t="n">
        <v>11.36</v>
      </c>
      <c r="H2041" s="0" t="n">
        <v>37.56</v>
      </c>
      <c r="I2041" s="0" t="n">
        <v>8.859999999999999</v>
      </c>
      <c r="J2041" s="0" t="n">
        <v>29.32</v>
      </c>
      <c r="K2041" s="0" t="n">
        <v>5</v>
      </c>
      <c r="T2041" s="0" t="n">
        <v>1</v>
      </c>
      <c r="U2041" s="0" t="n">
        <v>1</v>
      </c>
      <c r="V2041" s="0" t="inlineStr">
        <is>
          <t>복도식</t>
        </is>
      </c>
      <c r="W2041" s="0" t="n">
        <v>37</v>
      </c>
      <c r="X2041" s="0" t="n">
        <v>9</v>
      </c>
      <c r="Y2041" s="0" t="n">
        <v>9</v>
      </c>
      <c r="Z2041" s="0" t="inlineStr">
        <is>
          <t>https://new.land.naver.com/complexes/120050?tab=detail&amp;rf=Y</t>
        </is>
      </c>
      <c r="AA2041" s="0" t="inlineStr">
        <is>
          <t>서울시 강동구 성내동 46-23</t>
        </is>
      </c>
      <c r="AB2041" s="0" t="inlineStr">
        <is>
          <t>서울시</t>
        </is>
      </c>
      <c r="AC2041" s="0" t="inlineStr">
        <is>
          <t>강동구</t>
        </is>
      </c>
      <c r="AD2041" s="0" t="inlineStr">
        <is>
          <t>성내동</t>
        </is>
      </c>
      <c r="AG2041" s="0" t="inlineStr">
        <is>
          <t>서울시 강동구 올림픽로62길 23-13</t>
        </is>
      </c>
      <c r="AH2041" s="0" t="n">
        <v>0</v>
      </c>
      <c r="AI2041" s="0" t="n">
        <v>0</v>
      </c>
      <c r="AJ2041" s="0" t="n">
        <v>0</v>
      </c>
      <c r="AK2041" s="0" t="n">
        <v>0</v>
      </c>
      <c r="AL2041" s="0" t="n">
        <v>0</v>
      </c>
    </row>
    <row r="2042">
      <c r="A2042" s="0" t="inlineStr">
        <is>
          <t>[성내동]</t>
        </is>
      </c>
      <c r="B2042" s="0" t="n">
        <v>11454</v>
      </c>
      <c r="C2042" s="0" t="n">
        <v>1</v>
      </c>
      <c r="D2042" s="0" t="inlineStr">
        <is>
          <t>태천해오름(422)</t>
        </is>
      </c>
      <c r="E2042" s="0" t="inlineStr">
        <is>
          <t>2003.09.</t>
        </is>
      </c>
      <c r="F2042" s="0" t="n">
        <v>44</v>
      </c>
      <c r="G2042" s="0" t="n">
        <v>24.36</v>
      </c>
      <c r="H2042" s="0" t="n">
        <v>80.53</v>
      </c>
      <c r="I2042" s="0" t="n">
        <v>20.17</v>
      </c>
      <c r="J2042" s="0" t="n">
        <v>66.68000000000001</v>
      </c>
      <c r="K2042" s="0" t="n">
        <v>1</v>
      </c>
      <c r="T2042" s="0" t="n">
        <v>3</v>
      </c>
      <c r="U2042" s="0" t="n">
        <v>1</v>
      </c>
      <c r="V2042" s="0" t="inlineStr">
        <is>
          <t>계단식</t>
        </is>
      </c>
      <c r="W2042" s="0" t="n">
        <v>80</v>
      </c>
      <c r="X2042" s="0" t="n">
        <v>11</v>
      </c>
      <c r="Y2042" s="0" t="n">
        <v>11</v>
      </c>
      <c r="Z2042" s="0" t="inlineStr">
        <is>
          <t>https://new.land.naver.com/complexes/11454?tab=detail&amp;rf=Y</t>
        </is>
      </c>
      <c r="AA2042" s="0" t="inlineStr">
        <is>
          <t>서울시 강동구 성내동 422</t>
        </is>
      </c>
      <c r="AB2042" s="0" t="inlineStr">
        <is>
          <t>서울시</t>
        </is>
      </c>
      <c r="AC2042" s="0" t="inlineStr">
        <is>
          <t>강동구</t>
        </is>
      </c>
      <c r="AD2042" s="0" t="inlineStr">
        <is>
          <t>성내동</t>
        </is>
      </c>
      <c r="AG2042" s="0" t="inlineStr">
        <is>
          <t>서울시 강동구 성안로 54</t>
        </is>
      </c>
      <c r="AH2042" s="0" t="n">
        <v>0</v>
      </c>
      <c r="AI2042" s="0" t="n">
        <v>236</v>
      </c>
      <c r="AJ2042" s="0" t="n">
        <v>25</v>
      </c>
      <c r="AK2042" s="0" t="n">
        <v>49</v>
      </c>
      <c r="AL2042" s="0" t="n">
        <v>1.11</v>
      </c>
    </row>
    <row r="2043">
      <c r="A2043" s="0" t="inlineStr">
        <is>
          <t>[성내동]</t>
        </is>
      </c>
      <c r="B2043" s="0" t="n">
        <v>11454</v>
      </c>
      <c r="C2043" s="0" t="n">
        <v>2</v>
      </c>
      <c r="D2043" s="0" t="inlineStr">
        <is>
          <t>태천해오름(422)</t>
        </is>
      </c>
      <c r="E2043" s="0" t="inlineStr">
        <is>
          <t>2003.09.</t>
        </is>
      </c>
      <c r="F2043" s="0" t="n">
        <v>44</v>
      </c>
      <c r="G2043" s="0" t="n">
        <v>27.99</v>
      </c>
      <c r="H2043" s="0" t="n">
        <v>92.55</v>
      </c>
      <c r="I2043" s="0" t="n">
        <v>23.21</v>
      </c>
      <c r="J2043" s="0" t="n">
        <v>76.73</v>
      </c>
      <c r="K2043" s="0" t="n">
        <v>3</v>
      </c>
      <c r="T2043" s="0" t="n">
        <v>3</v>
      </c>
      <c r="U2043" s="0" t="n">
        <v>1</v>
      </c>
      <c r="V2043" s="0" t="inlineStr">
        <is>
          <t>계단식</t>
        </is>
      </c>
      <c r="W2043" s="0" t="n">
        <v>92</v>
      </c>
      <c r="X2043" s="0" t="n">
        <v>11</v>
      </c>
      <c r="Y2043" s="0" t="n">
        <v>11</v>
      </c>
      <c r="Z2043" s="0" t="inlineStr">
        <is>
          <t>https://new.land.naver.com/complexes/11454?tab=detail&amp;rf=Y</t>
        </is>
      </c>
      <c r="AA2043" s="0" t="inlineStr">
        <is>
          <t>서울시 강동구 성내동 422</t>
        </is>
      </c>
      <c r="AB2043" s="0" t="inlineStr">
        <is>
          <t>서울시</t>
        </is>
      </c>
      <c r="AC2043" s="0" t="inlineStr">
        <is>
          <t>강동구</t>
        </is>
      </c>
      <c r="AD2043" s="0" t="inlineStr">
        <is>
          <t>성내동</t>
        </is>
      </c>
      <c r="AG2043" s="0" t="inlineStr">
        <is>
          <t>서울시 강동구 성안로 54</t>
        </is>
      </c>
      <c r="AH2043" s="0" t="n">
        <v>0</v>
      </c>
      <c r="AI2043" s="0" t="n">
        <v>236</v>
      </c>
      <c r="AJ2043" s="0" t="n">
        <v>25</v>
      </c>
      <c r="AK2043" s="0" t="n">
        <v>49</v>
      </c>
      <c r="AL2043" s="0" t="n">
        <v>1.11</v>
      </c>
    </row>
    <row r="2044">
      <c r="A2044" s="0" t="inlineStr">
        <is>
          <t>[성내동]</t>
        </is>
      </c>
      <c r="B2044" s="0" t="n">
        <v>11454</v>
      </c>
      <c r="C2044" s="0" t="n">
        <v>3</v>
      </c>
      <c r="D2044" s="0" t="inlineStr">
        <is>
          <t>태천해오름(422)</t>
        </is>
      </c>
      <c r="E2044" s="0" t="inlineStr">
        <is>
          <t>2003.09.</t>
        </is>
      </c>
      <c r="F2044" s="0" t="n">
        <v>44</v>
      </c>
      <c r="G2044" s="0" t="n">
        <v>29.26</v>
      </c>
      <c r="H2044" s="0" t="n">
        <v>96.73</v>
      </c>
      <c r="I2044" s="0" t="n">
        <v>24.28</v>
      </c>
      <c r="J2044" s="0" t="n">
        <v>80.28</v>
      </c>
      <c r="K2044" s="0" t="n">
        <v>4</v>
      </c>
      <c r="T2044" s="0" t="n">
        <v>3</v>
      </c>
      <c r="U2044" s="0" t="n">
        <v>1</v>
      </c>
      <c r="V2044" s="0" t="inlineStr">
        <is>
          <t>계단식</t>
        </is>
      </c>
      <c r="W2044" s="0" t="n">
        <v>96</v>
      </c>
      <c r="X2044" s="0" t="n">
        <v>11</v>
      </c>
      <c r="Y2044" s="0" t="n">
        <v>11</v>
      </c>
      <c r="Z2044" s="0" t="inlineStr">
        <is>
          <t>https://new.land.naver.com/complexes/11454?tab=detail&amp;rf=Y</t>
        </is>
      </c>
      <c r="AA2044" s="0" t="inlineStr">
        <is>
          <t>서울시 강동구 성내동 422</t>
        </is>
      </c>
      <c r="AB2044" s="0" t="inlineStr">
        <is>
          <t>서울시</t>
        </is>
      </c>
      <c r="AC2044" s="0" t="inlineStr">
        <is>
          <t>강동구</t>
        </is>
      </c>
      <c r="AD2044" s="0" t="inlineStr">
        <is>
          <t>성내동</t>
        </is>
      </c>
      <c r="AG2044" s="0" t="inlineStr">
        <is>
          <t>서울시 강동구 성안로 54</t>
        </is>
      </c>
      <c r="AH2044" s="0" t="n">
        <v>0</v>
      </c>
      <c r="AI2044" s="0" t="n">
        <v>236</v>
      </c>
      <c r="AJ2044" s="0" t="n">
        <v>25</v>
      </c>
      <c r="AK2044" s="0" t="n">
        <v>49</v>
      </c>
      <c r="AL2044" s="0" t="n">
        <v>1.11</v>
      </c>
    </row>
    <row r="2045">
      <c r="A2045" s="0" t="inlineStr">
        <is>
          <t>[성내동]</t>
        </is>
      </c>
      <c r="B2045" s="0" t="n">
        <v>11454</v>
      </c>
      <c r="C2045" s="0" t="n">
        <v>4</v>
      </c>
      <c r="D2045" s="0" t="inlineStr">
        <is>
          <t>태천해오름(422)</t>
        </is>
      </c>
      <c r="E2045" s="0" t="inlineStr">
        <is>
          <t>2003.09.</t>
        </is>
      </c>
      <c r="F2045" s="0" t="n">
        <v>44</v>
      </c>
      <c r="G2045" s="0" t="n">
        <v>30.73</v>
      </c>
      <c r="H2045" s="0" t="n">
        <v>101.59</v>
      </c>
      <c r="I2045" s="0" t="n">
        <v>25.48</v>
      </c>
      <c r="J2045" s="0" t="n">
        <v>84.25</v>
      </c>
      <c r="K2045" s="0" t="n">
        <v>36</v>
      </c>
      <c r="T2045" s="0" t="n">
        <v>3</v>
      </c>
      <c r="U2045" s="0" t="n">
        <v>1</v>
      </c>
      <c r="V2045" s="0" t="inlineStr">
        <is>
          <t>계단식</t>
        </is>
      </c>
      <c r="W2045" s="0" t="n">
        <v>101</v>
      </c>
      <c r="X2045" s="0" t="n">
        <v>11</v>
      </c>
      <c r="Y2045" s="0" t="n">
        <v>11</v>
      </c>
      <c r="Z2045" s="0" t="inlineStr">
        <is>
          <t>https://new.land.naver.com/complexes/11454?tab=detail&amp;rf=Y</t>
        </is>
      </c>
      <c r="AA2045" s="0" t="inlineStr">
        <is>
          <t>서울시 강동구 성내동 422</t>
        </is>
      </c>
      <c r="AB2045" s="0" t="inlineStr">
        <is>
          <t>서울시</t>
        </is>
      </c>
      <c r="AC2045" s="0" t="inlineStr">
        <is>
          <t>강동구</t>
        </is>
      </c>
      <c r="AD2045" s="0" t="inlineStr">
        <is>
          <t>성내동</t>
        </is>
      </c>
      <c r="AG2045" s="0" t="inlineStr">
        <is>
          <t>서울시 강동구 성안로 54</t>
        </is>
      </c>
      <c r="AH2045" s="0" t="n">
        <v>0</v>
      </c>
      <c r="AI2045" s="0" t="n">
        <v>236</v>
      </c>
      <c r="AJ2045" s="0" t="n">
        <v>25</v>
      </c>
      <c r="AK2045" s="0" t="n">
        <v>49</v>
      </c>
      <c r="AL2045" s="0" t="n">
        <v>1.11</v>
      </c>
    </row>
    <row r="2046">
      <c r="A2046" s="0" t="inlineStr">
        <is>
          <t>[성내동]</t>
        </is>
      </c>
      <c r="B2046" s="0" t="n">
        <v>119486</v>
      </c>
      <c r="C2046" s="0" t="n">
        <v>1</v>
      </c>
      <c r="D2046" s="0" t="inlineStr">
        <is>
          <t>건영아모리움(도시형)</t>
        </is>
      </c>
      <c r="E2046" s="0" t="inlineStr">
        <is>
          <t>2017.12.</t>
        </is>
      </c>
      <c r="F2046" s="0" t="n">
        <v>29</v>
      </c>
      <c r="G2046" s="0" t="n">
        <v>5.59</v>
      </c>
      <c r="H2046" s="0" t="n">
        <v>18.51</v>
      </c>
      <c r="I2046" s="0" t="n">
        <v>3.12</v>
      </c>
      <c r="J2046" s="0" t="n">
        <v>10.32</v>
      </c>
      <c r="K2046" s="0" t="n">
        <v>6</v>
      </c>
      <c r="T2046" s="0" t="n">
        <v>1</v>
      </c>
      <c r="U2046" s="0" t="n">
        <v>1</v>
      </c>
      <c r="V2046" s="0" t="inlineStr">
        <is>
          <t>계단식</t>
        </is>
      </c>
      <c r="W2046" s="0" t="inlineStr">
        <is>
          <t>18A</t>
        </is>
      </c>
      <c r="X2046" s="0" t="n">
        <v>12</v>
      </c>
      <c r="Y2046" s="0" t="n">
        <v>11</v>
      </c>
      <c r="Z2046" s="0" t="inlineStr">
        <is>
          <t>https://new.land.naver.com/complexes/119486?tab=detail&amp;rf=Y</t>
        </is>
      </c>
      <c r="AA2046" s="0" t="inlineStr">
        <is>
          <t>서울시 강동구 성내동 244-6</t>
        </is>
      </c>
      <c r="AB2046" s="0" t="inlineStr">
        <is>
          <t>서울시</t>
        </is>
      </c>
      <c r="AC2046" s="0" t="inlineStr">
        <is>
          <t>강동구</t>
        </is>
      </c>
      <c r="AD2046" s="0" t="inlineStr">
        <is>
          <t>성내동</t>
        </is>
      </c>
      <c r="AG2046" s="0" t="inlineStr">
        <is>
          <t>서울시 강동구 천호대로176길 10-12</t>
        </is>
      </c>
      <c r="AH2046" s="0" t="n">
        <v>0</v>
      </c>
      <c r="AI2046" s="0" t="n">
        <v>431</v>
      </c>
      <c r="AJ2046" s="0" t="n">
        <v>51</v>
      </c>
      <c r="AK2046" s="0" t="n">
        <v>16</v>
      </c>
      <c r="AL2046" s="0" t="n">
        <v>0.55</v>
      </c>
    </row>
    <row r="2047">
      <c r="A2047" s="0" t="inlineStr">
        <is>
          <t>[성내동]</t>
        </is>
      </c>
      <c r="B2047" s="0" t="n">
        <v>119486</v>
      </c>
      <c r="C2047" s="0" t="n">
        <v>2</v>
      </c>
      <c r="D2047" s="0" t="inlineStr">
        <is>
          <t>건영아모리움(도시형)</t>
        </is>
      </c>
      <c r="E2047" s="0" t="inlineStr">
        <is>
          <t>2017.12.</t>
        </is>
      </c>
      <c r="F2047" s="0" t="n">
        <v>29</v>
      </c>
      <c r="G2047" s="0" t="n">
        <v>6.27</v>
      </c>
      <c r="H2047" s="0" t="n">
        <v>20.76</v>
      </c>
      <c r="I2047" s="0" t="n">
        <v>3.52</v>
      </c>
      <c r="J2047" s="0" t="n">
        <v>11.64</v>
      </c>
      <c r="K2047" s="0" t="n">
        <v>6</v>
      </c>
      <c r="T2047" s="0" t="n">
        <v>1</v>
      </c>
      <c r="U2047" s="0" t="n">
        <v>1</v>
      </c>
      <c r="V2047" s="0" t="inlineStr">
        <is>
          <t>계단식</t>
        </is>
      </c>
      <c r="W2047" s="0" t="inlineStr">
        <is>
          <t>20C</t>
        </is>
      </c>
      <c r="X2047" s="0" t="n">
        <v>12</v>
      </c>
      <c r="Y2047" s="0" t="n">
        <v>11</v>
      </c>
      <c r="Z2047" s="0" t="inlineStr">
        <is>
          <t>https://new.land.naver.com/complexes/119486?tab=detail&amp;rf=Y</t>
        </is>
      </c>
      <c r="AA2047" s="0" t="inlineStr">
        <is>
          <t>서울시 강동구 성내동 244-6</t>
        </is>
      </c>
      <c r="AB2047" s="0" t="inlineStr">
        <is>
          <t>서울시</t>
        </is>
      </c>
      <c r="AC2047" s="0" t="inlineStr">
        <is>
          <t>강동구</t>
        </is>
      </c>
      <c r="AD2047" s="0" t="inlineStr">
        <is>
          <t>성내동</t>
        </is>
      </c>
      <c r="AG2047" s="0" t="inlineStr">
        <is>
          <t>서울시 강동구 천호대로176길 10-12</t>
        </is>
      </c>
      <c r="AH2047" s="0" t="n">
        <v>0</v>
      </c>
      <c r="AI2047" s="0" t="n">
        <v>431</v>
      </c>
      <c r="AJ2047" s="0" t="n">
        <v>51</v>
      </c>
      <c r="AK2047" s="0" t="n">
        <v>16</v>
      </c>
      <c r="AL2047" s="0" t="n">
        <v>0.55</v>
      </c>
    </row>
    <row r="2048">
      <c r="A2048" s="0" t="inlineStr">
        <is>
          <t>[성내동]</t>
        </is>
      </c>
      <c r="B2048" s="0" t="n">
        <v>119486</v>
      </c>
      <c r="C2048" s="0" t="n">
        <v>3</v>
      </c>
      <c r="D2048" s="0" t="inlineStr">
        <is>
          <t>건영아모리움(도시형)</t>
        </is>
      </c>
      <c r="E2048" s="0" t="inlineStr">
        <is>
          <t>2017.12.</t>
        </is>
      </c>
      <c r="F2048" s="0" t="n">
        <v>29</v>
      </c>
      <c r="G2048" s="0" t="n">
        <v>6.3</v>
      </c>
      <c r="H2048" s="0" t="n">
        <v>20.83</v>
      </c>
      <c r="I2048" s="0" t="n">
        <v>3.52</v>
      </c>
      <c r="J2048" s="0" t="n">
        <v>11.66</v>
      </c>
      <c r="K2048" s="0" t="n">
        <v>5</v>
      </c>
      <c r="T2048" s="0" t="n">
        <v>1</v>
      </c>
      <c r="U2048" s="0" t="n">
        <v>1</v>
      </c>
      <c r="V2048" s="0" t="inlineStr">
        <is>
          <t>계단식</t>
        </is>
      </c>
      <c r="W2048" s="0" t="inlineStr">
        <is>
          <t>20D</t>
        </is>
      </c>
      <c r="X2048" s="0" t="n">
        <v>12</v>
      </c>
      <c r="Y2048" s="0" t="n">
        <v>11</v>
      </c>
      <c r="Z2048" s="0" t="inlineStr">
        <is>
          <t>https://new.land.naver.com/complexes/119486?tab=detail&amp;rf=Y</t>
        </is>
      </c>
      <c r="AA2048" s="0" t="inlineStr">
        <is>
          <t>서울시 강동구 성내동 244-6</t>
        </is>
      </c>
      <c r="AB2048" s="0" t="inlineStr">
        <is>
          <t>서울시</t>
        </is>
      </c>
      <c r="AC2048" s="0" t="inlineStr">
        <is>
          <t>강동구</t>
        </is>
      </c>
      <c r="AD2048" s="0" t="inlineStr">
        <is>
          <t>성내동</t>
        </is>
      </c>
      <c r="AG2048" s="0" t="inlineStr">
        <is>
          <t>서울시 강동구 천호대로176길 10-12</t>
        </is>
      </c>
      <c r="AH2048" s="0" t="n">
        <v>0</v>
      </c>
      <c r="AI2048" s="0" t="n">
        <v>431</v>
      </c>
      <c r="AJ2048" s="0" t="n">
        <v>51</v>
      </c>
      <c r="AK2048" s="0" t="n">
        <v>16</v>
      </c>
      <c r="AL2048" s="0" t="n">
        <v>0.55</v>
      </c>
    </row>
    <row r="2049">
      <c r="A2049" s="0" t="inlineStr">
        <is>
          <t>[성내동]</t>
        </is>
      </c>
      <c r="B2049" s="0" t="n">
        <v>119486</v>
      </c>
      <c r="C2049" s="0" t="n">
        <v>4</v>
      </c>
      <c r="D2049" s="0" t="inlineStr">
        <is>
          <t>건영아모리움(도시형)</t>
        </is>
      </c>
      <c r="E2049" s="0" t="inlineStr">
        <is>
          <t>2017.12.</t>
        </is>
      </c>
      <c r="F2049" s="0" t="n">
        <v>29</v>
      </c>
      <c r="G2049" s="0" t="n">
        <v>6.38</v>
      </c>
      <c r="H2049" s="0" t="n">
        <v>21.12</v>
      </c>
      <c r="I2049" s="0" t="n">
        <v>3.62</v>
      </c>
      <c r="J2049" s="0" t="n">
        <v>11.98</v>
      </c>
      <c r="K2049" s="0" t="n">
        <v>6</v>
      </c>
      <c r="T2049" s="0" t="n">
        <v>1</v>
      </c>
      <c r="U2049" s="0" t="n">
        <v>1</v>
      </c>
      <c r="V2049" s="0" t="inlineStr">
        <is>
          <t>계단식</t>
        </is>
      </c>
      <c r="W2049" s="0" t="inlineStr">
        <is>
          <t>21B</t>
        </is>
      </c>
      <c r="X2049" s="0" t="n">
        <v>12</v>
      </c>
      <c r="Y2049" s="0" t="n">
        <v>11</v>
      </c>
      <c r="Z2049" s="0" t="inlineStr">
        <is>
          <t>https://new.land.naver.com/complexes/119486?tab=detail&amp;rf=Y</t>
        </is>
      </c>
      <c r="AA2049" s="0" t="inlineStr">
        <is>
          <t>서울시 강동구 성내동 244-6</t>
        </is>
      </c>
      <c r="AB2049" s="0" t="inlineStr">
        <is>
          <t>서울시</t>
        </is>
      </c>
      <c r="AC2049" s="0" t="inlineStr">
        <is>
          <t>강동구</t>
        </is>
      </c>
      <c r="AD2049" s="0" t="inlineStr">
        <is>
          <t>성내동</t>
        </is>
      </c>
      <c r="AG2049" s="0" t="inlineStr">
        <is>
          <t>서울시 강동구 천호대로176길 10-12</t>
        </is>
      </c>
      <c r="AH2049" s="0" t="n">
        <v>0</v>
      </c>
      <c r="AI2049" s="0" t="n">
        <v>431</v>
      </c>
      <c r="AJ2049" s="0" t="n">
        <v>51</v>
      </c>
      <c r="AK2049" s="0" t="n">
        <v>16</v>
      </c>
      <c r="AL2049" s="0" t="n">
        <v>0.55</v>
      </c>
    </row>
    <row r="2050">
      <c r="A2050" s="0" t="inlineStr">
        <is>
          <t>[성내동]</t>
        </is>
      </c>
      <c r="B2050" s="0" t="n">
        <v>119486</v>
      </c>
      <c r="C2050" s="0" t="n">
        <v>5</v>
      </c>
      <c r="D2050" s="0" t="inlineStr">
        <is>
          <t>건영아모리움(도시형)</t>
        </is>
      </c>
      <c r="E2050" s="0" t="inlineStr">
        <is>
          <t>2017.12.</t>
        </is>
      </c>
      <c r="F2050" s="0" t="n">
        <v>29</v>
      </c>
      <c r="G2050" s="0" t="n">
        <v>6.36</v>
      </c>
      <c r="H2050" s="0" t="n">
        <v>21.03</v>
      </c>
      <c r="I2050" s="0" t="n">
        <v>3.58</v>
      </c>
      <c r="J2050" s="0" t="n">
        <v>11.85</v>
      </c>
      <c r="K2050" s="0" t="n">
        <v>5</v>
      </c>
      <c r="T2050" s="0" t="n">
        <v>1</v>
      </c>
      <c r="U2050" s="0" t="n">
        <v>1</v>
      </c>
      <c r="V2050" s="0" t="inlineStr">
        <is>
          <t>계단식</t>
        </is>
      </c>
      <c r="W2050" s="0" t="inlineStr">
        <is>
          <t>21E</t>
        </is>
      </c>
      <c r="X2050" s="0" t="n">
        <v>12</v>
      </c>
      <c r="Y2050" s="0" t="n">
        <v>11</v>
      </c>
      <c r="Z2050" s="0" t="inlineStr">
        <is>
          <t>https://new.land.naver.com/complexes/119486?tab=detail&amp;rf=Y</t>
        </is>
      </c>
      <c r="AA2050" s="0" t="inlineStr">
        <is>
          <t>서울시 강동구 성내동 244-6</t>
        </is>
      </c>
      <c r="AB2050" s="0" t="inlineStr">
        <is>
          <t>서울시</t>
        </is>
      </c>
      <c r="AC2050" s="0" t="inlineStr">
        <is>
          <t>강동구</t>
        </is>
      </c>
      <c r="AD2050" s="0" t="inlineStr">
        <is>
          <t>성내동</t>
        </is>
      </c>
      <c r="AG2050" s="0" t="inlineStr">
        <is>
          <t>서울시 강동구 천호대로176길 10-12</t>
        </is>
      </c>
      <c r="AH2050" s="0" t="n">
        <v>0</v>
      </c>
      <c r="AI2050" s="0" t="n">
        <v>431</v>
      </c>
      <c r="AJ2050" s="0" t="n">
        <v>51</v>
      </c>
      <c r="AK2050" s="0" t="n">
        <v>16</v>
      </c>
      <c r="AL2050" s="0" t="n">
        <v>0.55</v>
      </c>
    </row>
    <row r="2051">
      <c r="A2051" s="0" t="inlineStr">
        <is>
          <t>[성내동]</t>
        </is>
      </c>
      <c r="B2051" s="0" t="n">
        <v>119486</v>
      </c>
      <c r="C2051" s="0" t="n">
        <v>6</v>
      </c>
      <c r="D2051" s="0" t="inlineStr">
        <is>
          <t>건영아모리움(도시형)</t>
        </is>
      </c>
      <c r="E2051" s="0" t="inlineStr">
        <is>
          <t>2017.12.</t>
        </is>
      </c>
      <c r="F2051" s="0" t="n">
        <v>29</v>
      </c>
      <c r="G2051" s="0" t="n">
        <v>11.99</v>
      </c>
      <c r="H2051" s="0" t="n">
        <v>39.64</v>
      </c>
      <c r="I2051" s="0" t="n">
        <v>6.91</v>
      </c>
      <c r="J2051" s="0" t="n">
        <v>22.86</v>
      </c>
      <c r="K2051" s="0" t="n">
        <v>1</v>
      </c>
      <c r="T2051" s="0" t="n">
        <v>1</v>
      </c>
      <c r="U2051" s="0" t="n">
        <v>1</v>
      </c>
      <c r="V2051" s="0" t="inlineStr">
        <is>
          <t>계단식</t>
        </is>
      </c>
      <c r="W2051" s="0" t="n">
        <v>39</v>
      </c>
      <c r="X2051" s="0" t="n">
        <v>12</v>
      </c>
      <c r="Y2051" s="0" t="n">
        <v>11</v>
      </c>
      <c r="Z2051" s="0" t="inlineStr">
        <is>
          <t>https://new.land.naver.com/complexes/119486?tab=detail&amp;rf=Y</t>
        </is>
      </c>
      <c r="AA2051" s="0" t="inlineStr">
        <is>
          <t>서울시 강동구 성내동 244-6</t>
        </is>
      </c>
      <c r="AB2051" s="0" t="inlineStr">
        <is>
          <t>서울시</t>
        </is>
      </c>
      <c r="AC2051" s="0" t="inlineStr">
        <is>
          <t>강동구</t>
        </is>
      </c>
      <c r="AD2051" s="0" t="inlineStr">
        <is>
          <t>성내동</t>
        </is>
      </c>
      <c r="AG2051" s="0" t="inlineStr">
        <is>
          <t>서울시 강동구 천호대로176길 10-12</t>
        </is>
      </c>
      <c r="AH2051" s="0" t="n">
        <v>0</v>
      </c>
      <c r="AI2051" s="0" t="n">
        <v>431</v>
      </c>
      <c r="AJ2051" s="0" t="n">
        <v>51</v>
      </c>
      <c r="AK2051" s="0" t="n">
        <v>16</v>
      </c>
      <c r="AL2051" s="0" t="n">
        <v>0.55</v>
      </c>
    </row>
    <row r="2052">
      <c r="A2052" s="0" t="inlineStr">
        <is>
          <t>[성내동]</t>
        </is>
      </c>
      <c r="B2052" s="0" t="n">
        <v>992</v>
      </c>
      <c r="C2052" s="0" t="n">
        <v>1</v>
      </c>
      <c r="D2052" s="0" t="inlineStr">
        <is>
          <t>동아1차</t>
        </is>
      </c>
      <c r="E2052" s="0" t="inlineStr">
        <is>
          <t>1997.02.</t>
        </is>
      </c>
      <c r="F2052" s="0" t="n">
        <v>135</v>
      </c>
      <c r="G2052" s="0" t="n">
        <v>23.08</v>
      </c>
      <c r="H2052" s="0" t="n">
        <v>76.31</v>
      </c>
      <c r="I2052" s="0" t="n">
        <v>15.88</v>
      </c>
      <c r="J2052" s="0" t="n">
        <v>52.52</v>
      </c>
      <c r="K2052" s="0" t="n">
        <v>1</v>
      </c>
      <c r="T2052" s="0" t="n">
        <v>3</v>
      </c>
      <c r="U2052" s="0" t="n">
        <v>1</v>
      </c>
      <c r="V2052" s="0" t="inlineStr">
        <is>
          <t>복도식</t>
        </is>
      </c>
      <c r="W2052" s="0" t="n">
        <v>76</v>
      </c>
      <c r="X2052" s="0" t="n">
        <v>16</v>
      </c>
      <c r="Y2052" s="0" t="n">
        <v>8</v>
      </c>
      <c r="Z2052" s="0" t="inlineStr">
        <is>
          <t>https://new.land.naver.com/complexes/992?tab=detail&amp;rf=Y</t>
        </is>
      </c>
      <c r="AA2052" s="0" t="inlineStr">
        <is>
          <t>서울시 강동구 성내동 419-13</t>
        </is>
      </c>
      <c r="AB2052" s="0" t="inlineStr">
        <is>
          <t>서울시</t>
        </is>
      </c>
      <c r="AC2052" s="0" t="inlineStr">
        <is>
          <t>강동구</t>
        </is>
      </c>
      <c r="AD2052" s="0" t="inlineStr">
        <is>
          <t>성내동</t>
        </is>
      </c>
      <c r="AG2052" s="0" t="inlineStr">
        <is>
          <t>서울시 강동구 풍성로54길 12-11</t>
        </is>
      </c>
      <c r="AH2052" s="0" t="n">
        <v>0</v>
      </c>
      <c r="AI2052" s="0" t="n">
        <v>318</v>
      </c>
      <c r="AJ2052" s="0" t="n">
        <v>36</v>
      </c>
      <c r="AK2052" s="0" t="n">
        <v>143</v>
      </c>
      <c r="AL2052" s="0" t="n">
        <v>1.06</v>
      </c>
    </row>
    <row r="2053">
      <c r="A2053" s="0" t="inlineStr">
        <is>
          <t>[성내동]</t>
        </is>
      </c>
      <c r="B2053" s="0" t="n">
        <v>992</v>
      </c>
      <c r="C2053" s="0" t="n">
        <v>2</v>
      </c>
      <c r="D2053" s="0" t="inlineStr">
        <is>
          <t>동아1차</t>
        </is>
      </c>
      <c r="E2053" s="0" t="inlineStr">
        <is>
          <t>1997.02.</t>
        </is>
      </c>
      <c r="F2053" s="0" t="n">
        <v>135</v>
      </c>
      <c r="G2053" s="0" t="n">
        <v>26.25</v>
      </c>
      <c r="H2053" s="0" t="n">
        <v>86.78</v>
      </c>
      <c r="I2053" s="0" t="n">
        <v>18.06</v>
      </c>
      <c r="J2053" s="0" t="n">
        <v>59.72</v>
      </c>
      <c r="K2053" s="0" t="n">
        <v>55</v>
      </c>
      <c r="T2053" s="0" t="n">
        <v>3</v>
      </c>
      <c r="U2053" s="0" t="n">
        <v>1</v>
      </c>
      <c r="V2053" s="0" t="inlineStr">
        <is>
          <t>복도식</t>
        </is>
      </c>
      <c r="W2053" s="0" t="n">
        <v>86</v>
      </c>
      <c r="X2053" s="0" t="n">
        <v>16</v>
      </c>
      <c r="Y2053" s="0" t="n">
        <v>8</v>
      </c>
      <c r="Z2053" s="0" t="inlineStr">
        <is>
          <t>https://new.land.naver.com/complexes/992?tab=detail&amp;rf=Y</t>
        </is>
      </c>
      <c r="AA2053" s="0" t="inlineStr">
        <is>
          <t>서울시 강동구 성내동 419-13</t>
        </is>
      </c>
      <c r="AB2053" s="0" t="inlineStr">
        <is>
          <t>서울시</t>
        </is>
      </c>
      <c r="AC2053" s="0" t="inlineStr">
        <is>
          <t>강동구</t>
        </is>
      </c>
      <c r="AD2053" s="0" t="inlineStr">
        <is>
          <t>성내동</t>
        </is>
      </c>
      <c r="AG2053" s="0" t="inlineStr">
        <is>
          <t>서울시 강동구 풍성로54길 12-11</t>
        </is>
      </c>
      <c r="AH2053" s="0" t="n">
        <v>0</v>
      </c>
      <c r="AI2053" s="0" t="n">
        <v>318</v>
      </c>
      <c r="AJ2053" s="0" t="n">
        <v>36</v>
      </c>
      <c r="AK2053" s="0" t="n">
        <v>143</v>
      </c>
      <c r="AL2053" s="0" t="n">
        <v>1.06</v>
      </c>
    </row>
    <row r="2054">
      <c r="A2054" s="0" t="inlineStr">
        <is>
          <t>[성내동]</t>
        </is>
      </c>
      <c r="B2054" s="0" t="n">
        <v>992</v>
      </c>
      <c r="C2054" s="0" t="n">
        <v>3</v>
      </c>
      <c r="D2054" s="0" t="inlineStr">
        <is>
          <t>동아1차</t>
        </is>
      </c>
      <c r="E2054" s="0" t="inlineStr">
        <is>
          <t>1997.02.</t>
        </is>
      </c>
      <c r="F2054" s="0" t="n">
        <v>135</v>
      </c>
      <c r="G2054" s="0" t="n">
        <v>29.72</v>
      </c>
      <c r="H2054" s="0" t="n">
        <v>98.26000000000001</v>
      </c>
      <c r="I2054" s="0" t="n">
        <v>20.46</v>
      </c>
      <c r="J2054" s="0" t="n">
        <v>67.64</v>
      </c>
      <c r="K2054" s="0" t="n">
        <v>15</v>
      </c>
      <c r="T2054" s="0" t="n">
        <v>3</v>
      </c>
      <c r="U2054" s="0" t="n">
        <v>1</v>
      </c>
      <c r="V2054" s="0" t="inlineStr">
        <is>
          <t>복도식</t>
        </is>
      </c>
      <c r="W2054" s="0" t="n">
        <v>98</v>
      </c>
      <c r="X2054" s="0" t="n">
        <v>16</v>
      </c>
      <c r="Y2054" s="0" t="n">
        <v>8</v>
      </c>
      <c r="Z2054" s="0" t="inlineStr">
        <is>
          <t>https://new.land.naver.com/complexes/992?tab=detail&amp;rf=Y</t>
        </is>
      </c>
      <c r="AA2054" s="0" t="inlineStr">
        <is>
          <t>서울시 강동구 성내동 419-13</t>
        </is>
      </c>
      <c r="AB2054" s="0" t="inlineStr">
        <is>
          <t>서울시</t>
        </is>
      </c>
      <c r="AC2054" s="0" t="inlineStr">
        <is>
          <t>강동구</t>
        </is>
      </c>
      <c r="AD2054" s="0" t="inlineStr">
        <is>
          <t>성내동</t>
        </is>
      </c>
      <c r="AG2054" s="0" t="inlineStr">
        <is>
          <t>서울시 강동구 풍성로54길 12-11</t>
        </is>
      </c>
      <c r="AH2054" s="0" t="n">
        <v>0</v>
      </c>
      <c r="AI2054" s="0" t="n">
        <v>318</v>
      </c>
      <c r="AJ2054" s="0" t="n">
        <v>36</v>
      </c>
      <c r="AK2054" s="0" t="n">
        <v>143</v>
      </c>
      <c r="AL2054" s="0" t="n">
        <v>1.06</v>
      </c>
    </row>
    <row r="2055">
      <c r="A2055" s="0" t="inlineStr">
        <is>
          <t>[성내동]</t>
        </is>
      </c>
      <c r="B2055" s="0" t="n">
        <v>992</v>
      </c>
      <c r="C2055" s="0" t="n">
        <v>4</v>
      </c>
      <c r="D2055" s="0" t="inlineStr">
        <is>
          <t>동아1차</t>
        </is>
      </c>
      <c r="E2055" s="0" t="inlineStr">
        <is>
          <t>1997.02.</t>
        </is>
      </c>
      <c r="F2055" s="0" t="n">
        <v>135</v>
      </c>
      <c r="G2055" s="0" t="n">
        <v>32.93</v>
      </c>
      <c r="H2055" s="0" t="n">
        <v>108.89</v>
      </c>
      <c r="I2055" s="0" t="n">
        <v>22.69</v>
      </c>
      <c r="J2055" s="0" t="n">
        <v>75.02</v>
      </c>
      <c r="K2055" s="0" t="n">
        <v>6</v>
      </c>
      <c r="T2055" s="0" t="n">
        <v>3</v>
      </c>
      <c r="U2055" s="0" t="n">
        <v>2</v>
      </c>
      <c r="V2055" s="0" t="inlineStr">
        <is>
          <t>복도식</t>
        </is>
      </c>
      <c r="W2055" s="0" t="n">
        <v>108</v>
      </c>
      <c r="X2055" s="0" t="n">
        <v>16</v>
      </c>
      <c r="Y2055" s="0" t="n">
        <v>8</v>
      </c>
      <c r="Z2055" s="0" t="inlineStr">
        <is>
          <t>https://new.land.naver.com/complexes/992?tab=detail&amp;rf=Y</t>
        </is>
      </c>
      <c r="AA2055" s="0" t="inlineStr">
        <is>
          <t>서울시 강동구 성내동 419-13</t>
        </is>
      </c>
      <c r="AB2055" s="0" t="inlineStr">
        <is>
          <t>서울시</t>
        </is>
      </c>
      <c r="AC2055" s="0" t="inlineStr">
        <is>
          <t>강동구</t>
        </is>
      </c>
      <c r="AD2055" s="0" t="inlineStr">
        <is>
          <t>성내동</t>
        </is>
      </c>
      <c r="AG2055" s="0" t="inlineStr">
        <is>
          <t>서울시 강동구 풍성로54길 12-11</t>
        </is>
      </c>
      <c r="AH2055" s="0" t="n">
        <v>0</v>
      </c>
      <c r="AI2055" s="0" t="n">
        <v>318</v>
      </c>
      <c r="AJ2055" s="0" t="n">
        <v>36</v>
      </c>
      <c r="AK2055" s="0" t="n">
        <v>143</v>
      </c>
      <c r="AL2055" s="0" t="n">
        <v>1.06</v>
      </c>
    </row>
    <row r="2056">
      <c r="A2056" s="0" t="inlineStr">
        <is>
          <t>[성내동]</t>
        </is>
      </c>
      <c r="B2056" s="0" t="n">
        <v>992</v>
      </c>
      <c r="C2056" s="0" t="n">
        <v>5</v>
      </c>
      <c r="D2056" s="0" t="inlineStr">
        <is>
          <t>동아1차</t>
        </is>
      </c>
      <c r="E2056" s="0" t="inlineStr">
        <is>
          <t>1997.02.</t>
        </is>
      </c>
      <c r="F2056" s="0" t="n">
        <v>135</v>
      </c>
      <c r="G2056" s="0" t="n">
        <v>33.83</v>
      </c>
      <c r="H2056" s="0" t="n">
        <v>111.86</v>
      </c>
      <c r="I2056" s="0" t="n">
        <v>25.68</v>
      </c>
      <c r="J2056" s="0" t="n">
        <v>84.91</v>
      </c>
      <c r="K2056" s="0" t="n">
        <v>29</v>
      </c>
      <c r="T2056" s="0" t="n">
        <v>3</v>
      </c>
      <c r="U2056" s="0" t="n">
        <v>2</v>
      </c>
      <c r="V2056" s="0" t="inlineStr">
        <is>
          <t>계단식</t>
        </is>
      </c>
      <c r="W2056" s="0" t="n">
        <v>111</v>
      </c>
      <c r="X2056" s="0" t="n">
        <v>16</v>
      </c>
      <c r="Y2056" s="0" t="n">
        <v>8</v>
      </c>
      <c r="Z2056" s="0" t="inlineStr">
        <is>
          <t>https://new.land.naver.com/complexes/992?tab=detail&amp;rf=Y</t>
        </is>
      </c>
      <c r="AA2056" s="0" t="inlineStr">
        <is>
          <t>서울시 강동구 성내동 419-13</t>
        </is>
      </c>
      <c r="AB2056" s="0" t="inlineStr">
        <is>
          <t>서울시</t>
        </is>
      </c>
      <c r="AC2056" s="0" t="inlineStr">
        <is>
          <t>강동구</t>
        </is>
      </c>
      <c r="AD2056" s="0" t="inlineStr">
        <is>
          <t>성내동</t>
        </is>
      </c>
      <c r="AG2056" s="0" t="inlineStr">
        <is>
          <t>서울시 강동구 풍성로54길 12-11</t>
        </is>
      </c>
      <c r="AH2056" s="0" t="n">
        <v>0</v>
      </c>
      <c r="AI2056" s="0" t="n">
        <v>318</v>
      </c>
      <c r="AJ2056" s="0" t="n">
        <v>36</v>
      </c>
      <c r="AK2056" s="0" t="n">
        <v>143</v>
      </c>
      <c r="AL2056" s="0" t="n">
        <v>1.06</v>
      </c>
    </row>
    <row r="2057">
      <c r="A2057" s="0" t="inlineStr">
        <is>
          <t>[성내동]</t>
        </is>
      </c>
      <c r="B2057" s="0" t="n">
        <v>992</v>
      </c>
      <c r="C2057" s="0" t="n">
        <v>6</v>
      </c>
      <c r="D2057" s="0" t="inlineStr">
        <is>
          <t>동아1차</t>
        </is>
      </c>
      <c r="E2057" s="0" t="inlineStr">
        <is>
          <t>1997.02.</t>
        </is>
      </c>
      <c r="F2057" s="0" t="n">
        <v>135</v>
      </c>
      <c r="G2057" s="0" t="n">
        <v>36.72</v>
      </c>
      <c r="H2057" s="0" t="n">
        <v>121.42</v>
      </c>
      <c r="I2057" s="0" t="n">
        <v>28.29</v>
      </c>
      <c r="J2057" s="0" t="n">
        <v>93.55</v>
      </c>
      <c r="K2057" s="0" t="n">
        <v>29</v>
      </c>
      <c r="T2057" s="0" t="n">
        <v>3</v>
      </c>
      <c r="U2057" s="0" t="n">
        <v>2</v>
      </c>
      <c r="V2057" s="0" t="inlineStr">
        <is>
          <t>계단식</t>
        </is>
      </c>
      <c r="W2057" s="0" t="n">
        <v>121</v>
      </c>
      <c r="X2057" s="0" t="n">
        <v>16</v>
      </c>
      <c r="Y2057" s="0" t="n">
        <v>8</v>
      </c>
      <c r="Z2057" s="0" t="inlineStr">
        <is>
          <t>https://new.land.naver.com/complexes/992?tab=detail&amp;rf=Y</t>
        </is>
      </c>
      <c r="AA2057" s="0" t="inlineStr">
        <is>
          <t>서울시 강동구 성내동 419-13</t>
        </is>
      </c>
      <c r="AB2057" s="0" t="inlineStr">
        <is>
          <t>서울시</t>
        </is>
      </c>
      <c r="AC2057" s="0" t="inlineStr">
        <is>
          <t>강동구</t>
        </is>
      </c>
      <c r="AD2057" s="0" t="inlineStr">
        <is>
          <t>성내동</t>
        </is>
      </c>
      <c r="AG2057" s="0" t="inlineStr">
        <is>
          <t>서울시 강동구 풍성로54길 12-11</t>
        </is>
      </c>
      <c r="AH2057" s="0" t="n">
        <v>0</v>
      </c>
      <c r="AI2057" s="0" t="n">
        <v>318</v>
      </c>
      <c r="AJ2057" s="0" t="n">
        <v>36</v>
      </c>
      <c r="AK2057" s="0" t="n">
        <v>143</v>
      </c>
      <c r="AL2057" s="0" t="n">
        <v>1.06</v>
      </c>
    </row>
    <row r="2058">
      <c r="A2058" s="0" t="inlineStr">
        <is>
          <t>[성내동]</t>
        </is>
      </c>
      <c r="B2058" s="0" t="n">
        <v>126460</v>
      </c>
      <c r="C2058" s="0" t="n">
        <v>1</v>
      </c>
      <c r="D2058" s="0" t="inlineStr">
        <is>
          <t>SM엘루이</t>
        </is>
      </c>
      <c r="E2058" s="0" t="inlineStr">
        <is>
          <t>2019.08.</t>
        </is>
      </c>
      <c r="F2058" s="0" t="n">
        <v>104</v>
      </c>
      <c r="G2058" s="0" t="n">
        <v>7.37</v>
      </c>
      <c r="H2058" s="0" t="n">
        <v>24.38</v>
      </c>
      <c r="I2058" s="0" t="n">
        <v>4.48</v>
      </c>
      <c r="J2058" s="0" t="n">
        <v>14.83</v>
      </c>
      <c r="K2058" s="0" t="n">
        <v>51</v>
      </c>
      <c r="T2058" s="0" t="n">
        <v>1</v>
      </c>
      <c r="U2058" s="0" t="n">
        <v>1</v>
      </c>
      <c r="V2058" s="0" t="inlineStr">
        <is>
          <t>계단식</t>
        </is>
      </c>
      <c r="W2058" s="0" t="inlineStr">
        <is>
          <t>24A</t>
        </is>
      </c>
      <c r="X2058" s="0" t="n">
        <v>13</v>
      </c>
      <c r="Y2058" s="0" t="n">
        <v>12</v>
      </c>
      <c r="Z2058" s="0" t="inlineStr">
        <is>
          <t>https://new.land.naver.com/complexes/126460?tab=detail&amp;rf=Y</t>
        </is>
      </c>
      <c r="AA2058" s="0" t="inlineStr">
        <is>
          <t>서울시 강동구 성내동 379-17</t>
        </is>
      </c>
      <c r="AB2058" s="0" t="inlineStr">
        <is>
          <t>서울시</t>
        </is>
      </c>
      <c r="AC2058" s="0" t="inlineStr">
        <is>
          <t>강동구</t>
        </is>
      </c>
      <c r="AD2058" s="0" t="inlineStr">
        <is>
          <t>성내동</t>
        </is>
      </c>
      <c r="AG2058" s="0" t="inlineStr">
        <is>
          <t>서울시 강동구 양재대로 1419</t>
        </is>
      </c>
      <c r="AH2058" s="0" t="n">
        <v>0</v>
      </c>
      <c r="AI2058" s="0" t="n">
        <v>472</v>
      </c>
      <c r="AJ2058" s="0" t="n">
        <v>58</v>
      </c>
      <c r="AK2058" s="0" t="n">
        <v>54</v>
      </c>
      <c r="AL2058" s="0" t="n">
        <v>0.52</v>
      </c>
    </row>
    <row r="2059">
      <c r="A2059" s="0" t="inlineStr">
        <is>
          <t>[성내동]</t>
        </is>
      </c>
      <c r="B2059" s="0" t="n">
        <v>126460</v>
      </c>
      <c r="C2059" s="0" t="n">
        <v>2</v>
      </c>
      <c r="D2059" s="0" t="inlineStr">
        <is>
          <t>SM엘루이</t>
        </is>
      </c>
      <c r="E2059" s="0" t="inlineStr">
        <is>
          <t>2019.08.</t>
        </is>
      </c>
      <c r="F2059" s="0" t="n">
        <v>104</v>
      </c>
      <c r="G2059" s="0" t="n">
        <v>11.37</v>
      </c>
      <c r="H2059" s="0" t="n">
        <v>37.61</v>
      </c>
      <c r="I2059" s="0" t="n">
        <v>7</v>
      </c>
      <c r="J2059" s="0" t="n">
        <v>23.17</v>
      </c>
      <c r="K2059" s="0" t="n">
        <v>10</v>
      </c>
      <c r="T2059" s="0" t="n">
        <v>1</v>
      </c>
      <c r="U2059" s="0" t="n">
        <v>1</v>
      </c>
      <c r="V2059" s="0" t="inlineStr">
        <is>
          <t>계단식</t>
        </is>
      </c>
      <c r="W2059" s="0" t="inlineStr">
        <is>
          <t>37D</t>
        </is>
      </c>
      <c r="X2059" s="0" t="n">
        <v>13</v>
      </c>
      <c r="Y2059" s="0" t="n">
        <v>12</v>
      </c>
      <c r="Z2059" s="0" t="inlineStr">
        <is>
          <t>https://new.land.naver.com/complexes/126460?tab=detail&amp;rf=Y</t>
        </is>
      </c>
      <c r="AA2059" s="0" t="inlineStr">
        <is>
          <t>서울시 강동구 성내동 379-17</t>
        </is>
      </c>
      <c r="AB2059" s="0" t="inlineStr">
        <is>
          <t>서울시</t>
        </is>
      </c>
      <c r="AC2059" s="0" t="inlineStr">
        <is>
          <t>강동구</t>
        </is>
      </c>
      <c r="AD2059" s="0" t="inlineStr">
        <is>
          <t>성내동</t>
        </is>
      </c>
      <c r="AG2059" s="0" t="inlineStr">
        <is>
          <t>서울시 강동구 양재대로 1419</t>
        </is>
      </c>
      <c r="AH2059" s="0" t="n">
        <v>0</v>
      </c>
      <c r="AI2059" s="0" t="n">
        <v>472</v>
      </c>
      <c r="AJ2059" s="0" t="n">
        <v>58</v>
      </c>
      <c r="AK2059" s="0" t="n">
        <v>54</v>
      </c>
      <c r="AL2059" s="0" t="n">
        <v>0.52</v>
      </c>
    </row>
    <row r="2060">
      <c r="A2060" s="0" t="inlineStr">
        <is>
          <t>[성내동]</t>
        </is>
      </c>
      <c r="B2060" s="0" t="n">
        <v>126460</v>
      </c>
      <c r="C2060" s="0" t="n">
        <v>3</v>
      </c>
      <c r="D2060" s="0" t="inlineStr">
        <is>
          <t>SM엘루이</t>
        </is>
      </c>
      <c r="E2060" s="0" t="inlineStr">
        <is>
          <t>2019.08.</t>
        </is>
      </c>
      <c r="F2060" s="0" t="n">
        <v>104</v>
      </c>
      <c r="G2060" s="0" t="n">
        <v>11.6</v>
      </c>
      <c r="H2060" s="0" t="n">
        <v>38.37</v>
      </c>
      <c r="I2060" s="0" t="n">
        <v>7.15</v>
      </c>
      <c r="J2060" s="0" t="n">
        <v>23.65</v>
      </c>
      <c r="K2060" s="0" t="n">
        <v>11</v>
      </c>
      <c r="T2060" s="0" t="n">
        <v>1</v>
      </c>
      <c r="U2060" s="0" t="n">
        <v>1</v>
      </c>
      <c r="V2060" s="0" t="inlineStr">
        <is>
          <t>계단식</t>
        </is>
      </c>
      <c r="W2060" s="0" t="inlineStr">
        <is>
          <t>38E</t>
        </is>
      </c>
      <c r="X2060" s="0" t="n">
        <v>13</v>
      </c>
      <c r="Y2060" s="0" t="n">
        <v>12</v>
      </c>
      <c r="Z2060" s="0" t="inlineStr">
        <is>
          <t>https://new.land.naver.com/complexes/126460?tab=detail&amp;rf=Y</t>
        </is>
      </c>
      <c r="AA2060" s="0" t="inlineStr">
        <is>
          <t>서울시 강동구 성내동 379-17</t>
        </is>
      </c>
      <c r="AB2060" s="0" t="inlineStr">
        <is>
          <t>서울시</t>
        </is>
      </c>
      <c r="AC2060" s="0" t="inlineStr">
        <is>
          <t>강동구</t>
        </is>
      </c>
      <c r="AD2060" s="0" t="inlineStr">
        <is>
          <t>성내동</t>
        </is>
      </c>
      <c r="AG2060" s="0" t="inlineStr">
        <is>
          <t>서울시 강동구 양재대로 1419</t>
        </is>
      </c>
      <c r="AH2060" s="0" t="n">
        <v>0</v>
      </c>
      <c r="AI2060" s="0" t="n">
        <v>472</v>
      </c>
      <c r="AJ2060" s="0" t="n">
        <v>58</v>
      </c>
      <c r="AK2060" s="0" t="n">
        <v>54</v>
      </c>
      <c r="AL2060" s="0" t="n">
        <v>0.52</v>
      </c>
    </row>
    <row r="2061">
      <c r="A2061" s="0" t="inlineStr">
        <is>
          <t>[성내동]</t>
        </is>
      </c>
      <c r="B2061" s="0" t="n">
        <v>126460</v>
      </c>
      <c r="C2061" s="0" t="n">
        <v>4</v>
      </c>
      <c r="D2061" s="0" t="inlineStr">
        <is>
          <t>SM엘루이</t>
        </is>
      </c>
      <c r="E2061" s="0" t="inlineStr">
        <is>
          <t>2019.08.</t>
        </is>
      </c>
      <c r="F2061" s="0" t="n">
        <v>104</v>
      </c>
      <c r="G2061" s="0" t="n">
        <v>12.99</v>
      </c>
      <c r="H2061" s="0" t="n">
        <v>42.97</v>
      </c>
      <c r="I2061" s="0" t="n">
        <v>7.98</v>
      </c>
      <c r="J2061" s="0" t="n">
        <v>26.41</v>
      </c>
      <c r="K2061" s="0" t="n">
        <v>10</v>
      </c>
      <c r="T2061" s="0" t="n">
        <v>1</v>
      </c>
      <c r="U2061" s="0" t="n">
        <v>1</v>
      </c>
      <c r="V2061" s="0" t="inlineStr">
        <is>
          <t>계단식</t>
        </is>
      </c>
      <c r="W2061" s="0" t="inlineStr">
        <is>
          <t>42C</t>
        </is>
      </c>
      <c r="X2061" s="0" t="n">
        <v>13</v>
      </c>
      <c r="Y2061" s="0" t="n">
        <v>12</v>
      </c>
      <c r="Z2061" s="0" t="inlineStr">
        <is>
          <t>https://new.land.naver.com/complexes/126460?tab=detail&amp;rf=Y</t>
        </is>
      </c>
      <c r="AA2061" s="0" t="inlineStr">
        <is>
          <t>서울시 강동구 성내동 379-17</t>
        </is>
      </c>
      <c r="AB2061" s="0" t="inlineStr">
        <is>
          <t>서울시</t>
        </is>
      </c>
      <c r="AC2061" s="0" t="inlineStr">
        <is>
          <t>강동구</t>
        </is>
      </c>
      <c r="AD2061" s="0" t="inlineStr">
        <is>
          <t>성내동</t>
        </is>
      </c>
      <c r="AG2061" s="0" t="inlineStr">
        <is>
          <t>서울시 강동구 양재대로 1419</t>
        </is>
      </c>
      <c r="AH2061" s="0" t="n">
        <v>0</v>
      </c>
      <c r="AI2061" s="0" t="n">
        <v>472</v>
      </c>
      <c r="AJ2061" s="0" t="n">
        <v>58</v>
      </c>
      <c r="AK2061" s="0" t="n">
        <v>54</v>
      </c>
      <c r="AL2061" s="0" t="n">
        <v>0.52</v>
      </c>
    </row>
    <row r="2062">
      <c r="A2062" s="0" t="inlineStr">
        <is>
          <t>[성내동]</t>
        </is>
      </c>
      <c r="B2062" s="0" t="n">
        <v>126460</v>
      </c>
      <c r="C2062" s="0" t="n">
        <v>5</v>
      </c>
      <c r="D2062" s="0" t="inlineStr">
        <is>
          <t>SM엘루이</t>
        </is>
      </c>
      <c r="E2062" s="0" t="inlineStr">
        <is>
          <t>2019.08.</t>
        </is>
      </c>
      <c r="F2062" s="0" t="n">
        <v>104</v>
      </c>
      <c r="G2062" s="0" t="n">
        <v>13.93</v>
      </c>
      <c r="H2062" s="0" t="n">
        <v>46.08</v>
      </c>
      <c r="I2062" s="0" t="n">
        <v>8.6</v>
      </c>
      <c r="J2062" s="0" t="n">
        <v>28.45</v>
      </c>
      <c r="K2062" s="0" t="n">
        <v>22</v>
      </c>
      <c r="T2062" s="0" t="n">
        <v>1</v>
      </c>
      <c r="U2062" s="0" t="n">
        <v>1</v>
      </c>
      <c r="V2062" s="0" t="inlineStr">
        <is>
          <t>계단식</t>
        </is>
      </c>
      <c r="W2062" s="0" t="inlineStr">
        <is>
          <t>46B</t>
        </is>
      </c>
      <c r="X2062" s="0" t="n">
        <v>13</v>
      </c>
      <c r="Y2062" s="0" t="n">
        <v>12</v>
      </c>
      <c r="Z2062" s="0" t="inlineStr">
        <is>
          <t>https://new.land.naver.com/complexes/126460?tab=detail&amp;rf=Y</t>
        </is>
      </c>
      <c r="AA2062" s="0" t="inlineStr">
        <is>
          <t>서울시 강동구 성내동 379-17</t>
        </is>
      </c>
      <c r="AB2062" s="0" t="inlineStr">
        <is>
          <t>서울시</t>
        </is>
      </c>
      <c r="AC2062" s="0" t="inlineStr">
        <is>
          <t>강동구</t>
        </is>
      </c>
      <c r="AD2062" s="0" t="inlineStr">
        <is>
          <t>성내동</t>
        </is>
      </c>
      <c r="AG2062" s="0" t="inlineStr">
        <is>
          <t>서울시 강동구 양재대로 1419</t>
        </is>
      </c>
      <c r="AH2062" s="0" t="n">
        <v>0</v>
      </c>
      <c r="AI2062" s="0" t="n">
        <v>472</v>
      </c>
      <c r="AJ2062" s="0" t="n">
        <v>58</v>
      </c>
      <c r="AK2062" s="0" t="n">
        <v>54</v>
      </c>
      <c r="AL2062" s="0" t="n">
        <v>0.52</v>
      </c>
    </row>
    <row r="2063">
      <c r="A2063" s="0" t="inlineStr">
        <is>
          <t>[성내동]</t>
        </is>
      </c>
      <c r="B2063" s="0" t="n">
        <v>137223</v>
      </c>
      <c r="C2063" s="0" t="n">
        <v>1</v>
      </c>
      <c r="D2063" s="0" t="inlineStr">
        <is>
          <t>집앤사비카(도시형)</t>
        </is>
      </c>
      <c r="E2063" s="0" t="inlineStr">
        <is>
          <t>2020.12.</t>
        </is>
      </c>
      <c r="F2063" s="0" t="n">
        <v>52</v>
      </c>
      <c r="G2063" s="0" t="n">
        <v>6.9</v>
      </c>
      <c r="H2063" s="0" t="n">
        <v>22.82</v>
      </c>
      <c r="I2063" s="0" t="n">
        <v>4.82</v>
      </c>
      <c r="J2063" s="0" t="n">
        <v>15.95</v>
      </c>
      <c r="K2063" s="0" t="n">
        <v>2</v>
      </c>
      <c r="T2063" s="0" t="n">
        <v>1</v>
      </c>
      <c r="U2063" s="0" t="n">
        <v>1</v>
      </c>
      <c r="V2063" s="0" t="inlineStr">
        <is>
          <t>복도식</t>
        </is>
      </c>
      <c r="W2063" s="0" t="n">
        <v>22</v>
      </c>
      <c r="X2063" s="0" t="n">
        <v>11</v>
      </c>
      <c r="Y2063" s="0" t="n">
        <v>8</v>
      </c>
      <c r="Z2063" s="0" t="inlineStr">
        <is>
          <t>https://new.land.naver.com/complexes/137223?tab=detail&amp;rf=Y</t>
        </is>
      </c>
      <c r="AA2063" s="0" t="inlineStr">
        <is>
          <t>서울시 강동구 성내동 419</t>
        </is>
      </c>
      <c r="AB2063" s="0" t="inlineStr">
        <is>
          <t>서울시</t>
        </is>
      </c>
      <c r="AC2063" s="0" t="inlineStr">
        <is>
          <t>강동구</t>
        </is>
      </c>
      <c r="AD2063" s="0" t="inlineStr">
        <is>
          <t>성내동</t>
        </is>
      </c>
      <c r="AG2063" s="0" t="inlineStr">
        <is>
          <t>서울시 강동구 풍성로 188</t>
        </is>
      </c>
      <c r="AH2063" s="0" t="n">
        <v>0</v>
      </c>
      <c r="AI2063" s="0" t="n">
        <v>249</v>
      </c>
      <c r="AJ2063" s="0" t="n">
        <v>35</v>
      </c>
      <c r="AK2063" s="0" t="n">
        <v>26</v>
      </c>
      <c r="AL2063" s="0" t="n">
        <v>0.5</v>
      </c>
    </row>
    <row r="2064">
      <c r="A2064" s="0" t="inlineStr">
        <is>
          <t>[성내동]</t>
        </is>
      </c>
      <c r="B2064" s="0" t="n">
        <v>137223</v>
      </c>
      <c r="C2064" s="0" t="n">
        <v>2</v>
      </c>
      <c r="D2064" s="0" t="inlineStr">
        <is>
          <t>집앤사비카(도시형)</t>
        </is>
      </c>
      <c r="E2064" s="0" t="inlineStr">
        <is>
          <t>2020.12.</t>
        </is>
      </c>
      <c r="F2064" s="0" t="n">
        <v>52</v>
      </c>
      <c r="G2064" s="0" t="n">
        <v>7.15</v>
      </c>
      <c r="H2064" s="0" t="n">
        <v>23.66</v>
      </c>
      <c r="I2064" s="0" t="n">
        <v>5.03</v>
      </c>
      <c r="J2064" s="0" t="n">
        <v>16.66</v>
      </c>
      <c r="K2064" s="0" t="n">
        <v>14</v>
      </c>
      <c r="T2064" s="0" t="n">
        <v>1</v>
      </c>
      <c r="U2064" s="0" t="n">
        <v>1</v>
      </c>
      <c r="V2064" s="0" t="inlineStr">
        <is>
          <t>복도식</t>
        </is>
      </c>
      <c r="W2064" s="0" t="inlineStr">
        <is>
          <t>23C</t>
        </is>
      </c>
      <c r="X2064" s="0" t="n">
        <v>11</v>
      </c>
      <c r="Y2064" s="0" t="n">
        <v>8</v>
      </c>
      <c r="Z2064" s="0" t="inlineStr">
        <is>
          <t>https://new.land.naver.com/complexes/137223?tab=detail&amp;rf=Y</t>
        </is>
      </c>
      <c r="AA2064" s="0" t="inlineStr">
        <is>
          <t>서울시 강동구 성내동 419</t>
        </is>
      </c>
      <c r="AB2064" s="0" t="inlineStr">
        <is>
          <t>서울시</t>
        </is>
      </c>
      <c r="AC2064" s="0" t="inlineStr">
        <is>
          <t>강동구</t>
        </is>
      </c>
      <c r="AD2064" s="0" t="inlineStr">
        <is>
          <t>성내동</t>
        </is>
      </c>
      <c r="AG2064" s="0" t="inlineStr">
        <is>
          <t>서울시 강동구 풍성로 188</t>
        </is>
      </c>
      <c r="AH2064" s="0" t="n">
        <v>0</v>
      </c>
      <c r="AI2064" s="0" t="n">
        <v>249</v>
      </c>
      <c r="AJ2064" s="0" t="n">
        <v>35</v>
      </c>
      <c r="AK2064" s="0" t="n">
        <v>26</v>
      </c>
      <c r="AL2064" s="0" t="n">
        <v>0.5</v>
      </c>
    </row>
    <row r="2065">
      <c r="A2065" s="0" t="inlineStr">
        <is>
          <t>[성내동]</t>
        </is>
      </c>
      <c r="B2065" s="0" t="n">
        <v>137223</v>
      </c>
      <c r="C2065" s="0" t="n">
        <v>3</v>
      </c>
      <c r="D2065" s="0" t="inlineStr">
        <is>
          <t>집앤사비카(도시형)</t>
        </is>
      </c>
      <c r="E2065" s="0" t="inlineStr">
        <is>
          <t>2020.12.</t>
        </is>
      </c>
      <c r="F2065" s="0" t="n">
        <v>52</v>
      </c>
      <c r="G2065" s="0" t="n">
        <v>7.87</v>
      </c>
      <c r="H2065" s="0" t="n">
        <v>26.04</v>
      </c>
      <c r="I2065" s="0" t="n">
        <v>5.58</v>
      </c>
      <c r="J2065" s="0" t="n">
        <v>18.45</v>
      </c>
      <c r="K2065" s="0" t="n">
        <v>14</v>
      </c>
      <c r="T2065" s="0" t="n">
        <v>1</v>
      </c>
      <c r="U2065" s="0" t="n">
        <v>1</v>
      </c>
      <c r="V2065" s="0" t="inlineStr">
        <is>
          <t>복도식</t>
        </is>
      </c>
      <c r="W2065" s="0" t="inlineStr">
        <is>
          <t>26B</t>
        </is>
      </c>
      <c r="X2065" s="0" t="n">
        <v>11</v>
      </c>
      <c r="Y2065" s="0" t="n">
        <v>8</v>
      </c>
      <c r="Z2065" s="0" t="inlineStr">
        <is>
          <t>https://new.land.naver.com/complexes/137223?tab=detail&amp;rf=Y</t>
        </is>
      </c>
      <c r="AA2065" s="0" t="inlineStr">
        <is>
          <t>서울시 강동구 성내동 419</t>
        </is>
      </c>
      <c r="AB2065" s="0" t="inlineStr">
        <is>
          <t>서울시</t>
        </is>
      </c>
      <c r="AC2065" s="0" t="inlineStr">
        <is>
          <t>강동구</t>
        </is>
      </c>
      <c r="AD2065" s="0" t="inlineStr">
        <is>
          <t>성내동</t>
        </is>
      </c>
      <c r="AG2065" s="0" t="inlineStr">
        <is>
          <t>서울시 강동구 풍성로 188</t>
        </is>
      </c>
      <c r="AH2065" s="0" t="n">
        <v>0</v>
      </c>
      <c r="AI2065" s="0" t="n">
        <v>249</v>
      </c>
      <c r="AJ2065" s="0" t="n">
        <v>35</v>
      </c>
      <c r="AK2065" s="0" t="n">
        <v>26</v>
      </c>
      <c r="AL2065" s="0" t="n">
        <v>0.5</v>
      </c>
    </row>
    <row r="2066">
      <c r="A2066" s="0" t="inlineStr">
        <is>
          <t>[성내동]</t>
        </is>
      </c>
      <c r="B2066" s="0" t="n">
        <v>137223</v>
      </c>
      <c r="C2066" s="0" t="n">
        <v>4</v>
      </c>
      <c r="D2066" s="0" t="inlineStr">
        <is>
          <t>집앤사비카(도시형)</t>
        </is>
      </c>
      <c r="E2066" s="0" t="inlineStr">
        <is>
          <t>2020.12.</t>
        </is>
      </c>
      <c r="F2066" s="0" t="n">
        <v>52</v>
      </c>
      <c r="G2066" s="0" t="n">
        <v>9.699999999999999</v>
      </c>
      <c r="H2066" s="0" t="n">
        <v>32.08</v>
      </c>
      <c r="I2066" s="0" t="n">
        <v>7.07</v>
      </c>
      <c r="J2066" s="0" t="n">
        <v>23.39</v>
      </c>
      <c r="K2066" s="0" t="n">
        <v>2</v>
      </c>
      <c r="T2066" s="0" t="n">
        <v>1</v>
      </c>
      <c r="U2066" s="0" t="n">
        <v>1</v>
      </c>
      <c r="V2066" s="0" t="inlineStr">
        <is>
          <t>복도식</t>
        </is>
      </c>
      <c r="W2066" s="0" t="n">
        <v>32</v>
      </c>
      <c r="X2066" s="0" t="n">
        <v>11</v>
      </c>
      <c r="Y2066" s="0" t="n">
        <v>8</v>
      </c>
      <c r="Z2066" s="0" t="inlineStr">
        <is>
          <t>https://new.land.naver.com/complexes/137223?tab=detail&amp;rf=Y</t>
        </is>
      </c>
      <c r="AA2066" s="0" t="inlineStr">
        <is>
          <t>서울시 강동구 성내동 419</t>
        </is>
      </c>
      <c r="AB2066" s="0" t="inlineStr">
        <is>
          <t>서울시</t>
        </is>
      </c>
      <c r="AC2066" s="0" t="inlineStr">
        <is>
          <t>강동구</t>
        </is>
      </c>
      <c r="AD2066" s="0" t="inlineStr">
        <is>
          <t>성내동</t>
        </is>
      </c>
      <c r="AG2066" s="0" t="inlineStr">
        <is>
          <t>서울시 강동구 풍성로 188</t>
        </is>
      </c>
      <c r="AH2066" s="0" t="n">
        <v>0</v>
      </c>
      <c r="AI2066" s="0" t="n">
        <v>249</v>
      </c>
      <c r="AJ2066" s="0" t="n">
        <v>35</v>
      </c>
      <c r="AK2066" s="0" t="n">
        <v>26</v>
      </c>
      <c r="AL2066" s="0" t="n">
        <v>0.5</v>
      </c>
    </row>
    <row r="2067">
      <c r="A2067" s="0" t="inlineStr">
        <is>
          <t>[성내동]</t>
        </is>
      </c>
      <c r="B2067" s="0" t="n">
        <v>137223</v>
      </c>
      <c r="C2067" s="0" t="n">
        <v>5</v>
      </c>
      <c r="D2067" s="0" t="inlineStr">
        <is>
          <t>집앤사비카(도시형)</t>
        </is>
      </c>
      <c r="E2067" s="0" t="inlineStr">
        <is>
          <t>2020.12.</t>
        </is>
      </c>
      <c r="F2067" s="0" t="n">
        <v>52</v>
      </c>
      <c r="G2067" s="0" t="n">
        <v>11.16</v>
      </c>
      <c r="H2067" s="0" t="n">
        <v>36.9</v>
      </c>
      <c r="I2067" s="0" t="n">
        <v>8.07</v>
      </c>
      <c r="J2067" s="0" t="n">
        <v>26.69</v>
      </c>
      <c r="K2067" s="0" t="n">
        <v>2</v>
      </c>
      <c r="T2067" s="0" t="n">
        <v>1</v>
      </c>
      <c r="U2067" s="0" t="n">
        <v>1</v>
      </c>
      <c r="V2067" s="0" t="inlineStr">
        <is>
          <t>복도식</t>
        </is>
      </c>
      <c r="W2067" s="0" t="inlineStr">
        <is>
          <t>36B</t>
        </is>
      </c>
      <c r="X2067" s="0" t="n">
        <v>11</v>
      </c>
      <c r="Y2067" s="0" t="n">
        <v>8</v>
      </c>
      <c r="Z2067" s="0" t="inlineStr">
        <is>
          <t>https://new.land.naver.com/complexes/137223?tab=detail&amp;rf=Y</t>
        </is>
      </c>
      <c r="AA2067" s="0" t="inlineStr">
        <is>
          <t>서울시 강동구 성내동 419</t>
        </is>
      </c>
      <c r="AB2067" s="0" t="inlineStr">
        <is>
          <t>서울시</t>
        </is>
      </c>
      <c r="AC2067" s="0" t="inlineStr">
        <is>
          <t>강동구</t>
        </is>
      </c>
      <c r="AD2067" s="0" t="inlineStr">
        <is>
          <t>성내동</t>
        </is>
      </c>
      <c r="AG2067" s="0" t="inlineStr">
        <is>
          <t>서울시 강동구 풍성로 188</t>
        </is>
      </c>
      <c r="AH2067" s="0" t="n">
        <v>0</v>
      </c>
      <c r="AI2067" s="0" t="n">
        <v>249</v>
      </c>
      <c r="AJ2067" s="0" t="n">
        <v>35</v>
      </c>
      <c r="AK2067" s="0" t="n">
        <v>26</v>
      </c>
      <c r="AL2067" s="0" t="n">
        <v>0.5</v>
      </c>
    </row>
    <row r="2068">
      <c r="A2068" s="0" t="inlineStr">
        <is>
          <t>[성내동]</t>
        </is>
      </c>
      <c r="B2068" s="0" t="n">
        <v>137223</v>
      </c>
      <c r="C2068" s="0" t="n">
        <v>6</v>
      </c>
      <c r="D2068" s="0" t="inlineStr">
        <is>
          <t>집앤사비카(도시형)</t>
        </is>
      </c>
      <c r="E2068" s="0" t="inlineStr">
        <is>
          <t>2020.12.</t>
        </is>
      </c>
      <c r="F2068" s="0" t="n">
        <v>52</v>
      </c>
      <c r="G2068" s="0" t="n">
        <v>11.25</v>
      </c>
      <c r="H2068" s="0" t="n">
        <v>37.21</v>
      </c>
      <c r="I2068" s="0" t="n">
        <v>7.89</v>
      </c>
      <c r="J2068" s="0" t="n">
        <v>26.11</v>
      </c>
      <c r="K2068" s="0" t="n">
        <v>2</v>
      </c>
      <c r="T2068" s="0" t="n">
        <v>1</v>
      </c>
      <c r="U2068" s="0" t="n">
        <v>1</v>
      </c>
      <c r="V2068" s="0" t="inlineStr">
        <is>
          <t>복도식</t>
        </is>
      </c>
      <c r="W2068" s="0" t="n">
        <v>37</v>
      </c>
      <c r="X2068" s="0" t="n">
        <v>11</v>
      </c>
      <c r="Y2068" s="0" t="n">
        <v>8</v>
      </c>
      <c r="Z2068" s="0" t="inlineStr">
        <is>
          <t>https://new.land.naver.com/complexes/137223?tab=detail&amp;rf=Y</t>
        </is>
      </c>
      <c r="AA2068" s="0" t="inlineStr">
        <is>
          <t>서울시 강동구 성내동 419</t>
        </is>
      </c>
      <c r="AB2068" s="0" t="inlineStr">
        <is>
          <t>서울시</t>
        </is>
      </c>
      <c r="AC2068" s="0" t="inlineStr">
        <is>
          <t>강동구</t>
        </is>
      </c>
      <c r="AD2068" s="0" t="inlineStr">
        <is>
          <t>성내동</t>
        </is>
      </c>
      <c r="AG2068" s="0" t="inlineStr">
        <is>
          <t>서울시 강동구 풍성로 188</t>
        </is>
      </c>
      <c r="AH2068" s="0" t="n">
        <v>0</v>
      </c>
      <c r="AI2068" s="0" t="n">
        <v>249</v>
      </c>
      <c r="AJ2068" s="0" t="n">
        <v>35</v>
      </c>
      <c r="AK2068" s="0" t="n">
        <v>26</v>
      </c>
      <c r="AL2068" s="0" t="n">
        <v>0.5</v>
      </c>
    </row>
    <row r="2069">
      <c r="A2069" s="0" t="inlineStr">
        <is>
          <t>[성내동]</t>
        </is>
      </c>
      <c r="B2069" s="0" t="n">
        <v>137223</v>
      </c>
      <c r="C2069" s="0" t="n">
        <v>7</v>
      </c>
      <c r="D2069" s="0" t="inlineStr">
        <is>
          <t>집앤사비카(도시형)</t>
        </is>
      </c>
      <c r="E2069" s="0" t="inlineStr">
        <is>
          <t>2020.12.</t>
        </is>
      </c>
      <c r="F2069" s="0" t="n">
        <v>52</v>
      </c>
      <c r="G2069" s="0" t="n">
        <v>12.01</v>
      </c>
      <c r="H2069" s="0" t="n">
        <v>39.72</v>
      </c>
      <c r="I2069" s="0" t="n">
        <v>8.69</v>
      </c>
      <c r="J2069" s="0" t="n">
        <v>28.74</v>
      </c>
      <c r="K2069" s="0" t="n">
        <v>14</v>
      </c>
      <c r="T2069" s="0" t="n">
        <v>1</v>
      </c>
      <c r="U2069" s="0" t="n">
        <v>1</v>
      </c>
      <c r="V2069" s="0" t="inlineStr">
        <is>
          <t>복도식</t>
        </is>
      </c>
      <c r="W2069" s="0" t="inlineStr">
        <is>
          <t>39A</t>
        </is>
      </c>
      <c r="X2069" s="0" t="n">
        <v>11</v>
      </c>
      <c r="Y2069" s="0" t="n">
        <v>8</v>
      </c>
      <c r="Z2069" s="0" t="inlineStr">
        <is>
          <t>https://new.land.naver.com/complexes/137223?tab=detail&amp;rf=Y</t>
        </is>
      </c>
      <c r="AA2069" s="0" t="inlineStr">
        <is>
          <t>서울시 강동구 성내동 419</t>
        </is>
      </c>
      <c r="AB2069" s="0" t="inlineStr">
        <is>
          <t>서울시</t>
        </is>
      </c>
      <c r="AC2069" s="0" t="inlineStr">
        <is>
          <t>강동구</t>
        </is>
      </c>
      <c r="AD2069" s="0" t="inlineStr">
        <is>
          <t>성내동</t>
        </is>
      </c>
      <c r="AG2069" s="0" t="inlineStr">
        <is>
          <t>서울시 강동구 풍성로 188</t>
        </is>
      </c>
      <c r="AH2069" s="0" t="n">
        <v>0</v>
      </c>
      <c r="AI2069" s="0" t="n">
        <v>249</v>
      </c>
      <c r="AJ2069" s="0" t="n">
        <v>35</v>
      </c>
      <c r="AK2069" s="0" t="n">
        <v>26</v>
      </c>
      <c r="AL2069" s="0" t="n">
        <v>0.5</v>
      </c>
    </row>
    <row r="2070">
      <c r="A2070" s="0" t="inlineStr">
        <is>
          <t>[성내동]</t>
        </is>
      </c>
      <c r="B2070" s="0" t="n">
        <v>137223</v>
      </c>
      <c r="C2070" s="0" t="n">
        <v>8</v>
      </c>
      <c r="D2070" s="0" t="inlineStr">
        <is>
          <t>집앤사비카(도시형)</t>
        </is>
      </c>
      <c r="E2070" s="0" t="inlineStr">
        <is>
          <t>2020.12.</t>
        </is>
      </c>
      <c r="F2070" s="0" t="n">
        <v>52</v>
      </c>
      <c r="G2070" s="0" t="n">
        <v>13.17</v>
      </c>
      <c r="H2070" s="0" t="n">
        <v>43.57</v>
      </c>
      <c r="I2070" s="0" t="n">
        <v>9.74</v>
      </c>
      <c r="J2070" s="0" t="n">
        <v>32.22</v>
      </c>
      <c r="K2070" s="0" t="n">
        <v>2</v>
      </c>
      <c r="T2070" s="0" t="n">
        <v>1</v>
      </c>
      <c r="U2070" s="0" t="n">
        <v>1</v>
      </c>
      <c r="V2070" s="0" t="inlineStr">
        <is>
          <t>복도식</t>
        </is>
      </c>
      <c r="W2070" s="0" t="inlineStr">
        <is>
          <t>43C</t>
        </is>
      </c>
      <c r="X2070" s="0" t="n">
        <v>11</v>
      </c>
      <c r="Y2070" s="0" t="n">
        <v>8</v>
      </c>
      <c r="Z2070" s="0" t="inlineStr">
        <is>
          <t>https://new.land.naver.com/complexes/137223?tab=detail&amp;rf=Y</t>
        </is>
      </c>
      <c r="AA2070" s="0" t="inlineStr">
        <is>
          <t>서울시 강동구 성내동 419</t>
        </is>
      </c>
      <c r="AB2070" s="0" t="inlineStr">
        <is>
          <t>서울시</t>
        </is>
      </c>
      <c r="AC2070" s="0" t="inlineStr">
        <is>
          <t>강동구</t>
        </is>
      </c>
      <c r="AD2070" s="0" t="inlineStr">
        <is>
          <t>성내동</t>
        </is>
      </c>
      <c r="AG2070" s="0" t="inlineStr">
        <is>
          <t>서울시 강동구 풍성로 188</t>
        </is>
      </c>
      <c r="AH2070" s="0" t="n">
        <v>0</v>
      </c>
      <c r="AI2070" s="0" t="n">
        <v>249</v>
      </c>
      <c r="AJ2070" s="0" t="n">
        <v>35</v>
      </c>
      <c r="AK2070" s="0" t="n">
        <v>26</v>
      </c>
      <c r="AL2070" s="0" t="n">
        <v>0.5</v>
      </c>
    </row>
    <row r="2071">
      <c r="A2071" s="0" t="inlineStr">
        <is>
          <t>[성내동]</t>
        </is>
      </c>
      <c r="B2071" s="0" t="n">
        <v>3319</v>
      </c>
      <c r="C2071" s="0" t="n">
        <v>1</v>
      </c>
      <c r="D2071" s="0" t="inlineStr">
        <is>
          <t>동원2차</t>
        </is>
      </c>
      <c r="E2071" s="0" t="inlineStr">
        <is>
          <t>2002.04.</t>
        </is>
      </c>
      <c r="F2071" s="0" t="n">
        <v>73</v>
      </c>
      <c r="G2071" s="0" t="n">
        <v>24.13</v>
      </c>
      <c r="H2071" s="0" t="n">
        <v>79.8</v>
      </c>
      <c r="I2071" s="0" t="n">
        <v>19.69</v>
      </c>
      <c r="J2071" s="0" t="n">
        <v>65.11</v>
      </c>
      <c r="K2071" s="0" t="n">
        <v>3</v>
      </c>
      <c r="T2071" s="0" t="n">
        <v>3</v>
      </c>
      <c r="U2071" s="0" t="n">
        <v>1</v>
      </c>
      <c r="V2071" s="0" t="inlineStr">
        <is>
          <t>계단식</t>
        </is>
      </c>
      <c r="W2071" s="0" t="n">
        <v>79</v>
      </c>
      <c r="X2071" s="0" t="n">
        <v>15</v>
      </c>
      <c r="Y2071" s="0" t="n">
        <v>7</v>
      </c>
      <c r="Z2071" s="0" t="inlineStr">
        <is>
          <t>https://new.land.naver.com/complexes/3319?tab=detail&amp;rf=Y</t>
        </is>
      </c>
      <c r="AA2071" s="0" t="inlineStr">
        <is>
          <t>서울시 강동구 성내동 456-8</t>
        </is>
      </c>
      <c r="AB2071" s="0" t="inlineStr">
        <is>
          <t>서울시</t>
        </is>
      </c>
      <c r="AC2071" s="0" t="inlineStr">
        <is>
          <t>강동구</t>
        </is>
      </c>
      <c r="AD2071" s="0" t="inlineStr">
        <is>
          <t>성내동</t>
        </is>
      </c>
      <c r="AG2071" s="0" t="inlineStr">
        <is>
          <t>서울시 강동구 성내로6가길 29</t>
        </is>
      </c>
      <c r="AH2071" s="0" t="n">
        <v>0</v>
      </c>
      <c r="AI2071" s="0" t="n">
        <v>0</v>
      </c>
      <c r="AJ2071" s="0" t="n">
        <v>0</v>
      </c>
      <c r="AK2071" s="0" t="n">
        <v>0</v>
      </c>
      <c r="AL2071" s="0" t="n">
        <v>0</v>
      </c>
    </row>
    <row r="2072">
      <c r="A2072" s="0" t="inlineStr">
        <is>
          <t>[성내동]</t>
        </is>
      </c>
      <c r="B2072" s="0" t="n">
        <v>3319</v>
      </c>
      <c r="C2072" s="0" t="n">
        <v>2</v>
      </c>
      <c r="D2072" s="0" t="inlineStr">
        <is>
          <t>동원2차</t>
        </is>
      </c>
      <c r="E2072" s="0" t="inlineStr">
        <is>
          <t>2002.04.</t>
        </is>
      </c>
      <c r="F2072" s="0" t="n">
        <v>73</v>
      </c>
      <c r="G2072" s="0" t="n">
        <v>27.31</v>
      </c>
      <c r="H2072" s="0" t="n">
        <v>90.3</v>
      </c>
      <c r="I2072" s="0" t="n">
        <v>22.05</v>
      </c>
      <c r="J2072" s="0" t="n">
        <v>72.92</v>
      </c>
      <c r="K2072" s="0" t="n">
        <v>14</v>
      </c>
      <c r="T2072" s="0" t="n">
        <v>3</v>
      </c>
      <c r="U2072" s="0" t="n">
        <v>1</v>
      </c>
      <c r="V2072" s="0" t="inlineStr">
        <is>
          <t>계단식</t>
        </is>
      </c>
      <c r="W2072" s="0" t="n">
        <v>90</v>
      </c>
      <c r="X2072" s="0" t="n">
        <v>15</v>
      </c>
      <c r="Y2072" s="0" t="n">
        <v>7</v>
      </c>
      <c r="Z2072" s="0" t="inlineStr">
        <is>
          <t>https://new.land.naver.com/complexes/3319?tab=detail&amp;rf=Y</t>
        </is>
      </c>
      <c r="AA2072" s="0" t="inlineStr">
        <is>
          <t>서울시 강동구 성내동 456-8</t>
        </is>
      </c>
      <c r="AB2072" s="0" t="inlineStr">
        <is>
          <t>서울시</t>
        </is>
      </c>
      <c r="AC2072" s="0" t="inlineStr">
        <is>
          <t>강동구</t>
        </is>
      </c>
      <c r="AD2072" s="0" t="inlineStr">
        <is>
          <t>성내동</t>
        </is>
      </c>
      <c r="AG2072" s="0" t="inlineStr">
        <is>
          <t>서울시 강동구 성내로6가길 29</t>
        </is>
      </c>
      <c r="AH2072" s="0" t="n">
        <v>0</v>
      </c>
      <c r="AI2072" s="0" t="n">
        <v>0</v>
      </c>
      <c r="AJ2072" s="0" t="n">
        <v>0</v>
      </c>
      <c r="AK2072" s="0" t="n">
        <v>0</v>
      </c>
      <c r="AL2072" s="0" t="n">
        <v>0</v>
      </c>
    </row>
    <row r="2073">
      <c r="A2073" s="0" t="inlineStr">
        <is>
          <t>[성내동]</t>
        </is>
      </c>
      <c r="B2073" s="0" t="n">
        <v>3319</v>
      </c>
      <c r="C2073" s="0" t="n">
        <v>3</v>
      </c>
      <c r="D2073" s="0" t="inlineStr">
        <is>
          <t>동원2차</t>
        </is>
      </c>
      <c r="E2073" s="0" t="inlineStr">
        <is>
          <t>2002.04.</t>
        </is>
      </c>
      <c r="F2073" s="0" t="n">
        <v>73</v>
      </c>
      <c r="G2073" s="0" t="n">
        <v>28.89</v>
      </c>
      <c r="H2073" s="0" t="n">
        <v>95.51000000000001</v>
      </c>
      <c r="I2073" s="0" t="n">
        <v>23.72</v>
      </c>
      <c r="J2073" s="0" t="n">
        <v>78.44</v>
      </c>
      <c r="K2073" s="0" t="n">
        <v>1</v>
      </c>
      <c r="T2073" s="0" t="n">
        <v>3</v>
      </c>
      <c r="U2073" s="0" t="n">
        <v>2</v>
      </c>
      <c r="V2073" s="0" t="inlineStr">
        <is>
          <t>계단식</t>
        </is>
      </c>
      <c r="W2073" s="0" t="n">
        <v>95</v>
      </c>
      <c r="X2073" s="0" t="n">
        <v>15</v>
      </c>
      <c r="Y2073" s="0" t="n">
        <v>7</v>
      </c>
      <c r="Z2073" s="0" t="inlineStr">
        <is>
          <t>https://new.land.naver.com/complexes/3319?tab=detail&amp;rf=Y</t>
        </is>
      </c>
      <c r="AA2073" s="0" t="inlineStr">
        <is>
          <t>서울시 강동구 성내동 456-8</t>
        </is>
      </c>
      <c r="AB2073" s="0" t="inlineStr">
        <is>
          <t>서울시</t>
        </is>
      </c>
      <c r="AC2073" s="0" t="inlineStr">
        <is>
          <t>강동구</t>
        </is>
      </c>
      <c r="AD2073" s="0" t="inlineStr">
        <is>
          <t>성내동</t>
        </is>
      </c>
      <c r="AG2073" s="0" t="inlineStr">
        <is>
          <t>서울시 강동구 성내로6가길 29</t>
        </is>
      </c>
      <c r="AH2073" s="0" t="n">
        <v>0</v>
      </c>
      <c r="AI2073" s="0" t="n">
        <v>0</v>
      </c>
      <c r="AJ2073" s="0" t="n">
        <v>0</v>
      </c>
      <c r="AK2073" s="0" t="n">
        <v>0</v>
      </c>
      <c r="AL2073" s="0" t="n">
        <v>0</v>
      </c>
    </row>
    <row r="2074">
      <c r="A2074" s="0" t="inlineStr">
        <is>
          <t>[성내동]</t>
        </is>
      </c>
      <c r="B2074" s="0" t="n">
        <v>3319</v>
      </c>
      <c r="C2074" s="0" t="n">
        <v>4</v>
      </c>
      <c r="D2074" s="0" t="inlineStr">
        <is>
          <t>동원2차</t>
        </is>
      </c>
      <c r="E2074" s="0" t="inlineStr">
        <is>
          <t>2002.04.</t>
        </is>
      </c>
      <c r="F2074" s="0" t="n">
        <v>73</v>
      </c>
      <c r="G2074" s="0" t="n">
        <v>31.18</v>
      </c>
      <c r="H2074" s="0" t="n">
        <v>103.1</v>
      </c>
      <c r="I2074" s="0" t="n">
        <v>25.66</v>
      </c>
      <c r="J2074" s="0" t="n">
        <v>84.83</v>
      </c>
      <c r="K2074" s="0" t="n">
        <v>55</v>
      </c>
      <c r="T2074" s="0" t="n">
        <v>3</v>
      </c>
      <c r="U2074" s="0" t="n">
        <v>2</v>
      </c>
      <c r="V2074" s="0" t="inlineStr">
        <is>
          <t>계단식</t>
        </is>
      </c>
      <c r="W2074" s="0" t="n">
        <v>103</v>
      </c>
      <c r="X2074" s="0" t="n">
        <v>15</v>
      </c>
      <c r="Y2074" s="0" t="n">
        <v>7</v>
      </c>
      <c r="Z2074" s="0" t="inlineStr">
        <is>
          <t>https://new.land.naver.com/complexes/3319?tab=detail&amp;rf=Y</t>
        </is>
      </c>
      <c r="AA2074" s="0" t="inlineStr">
        <is>
          <t>서울시 강동구 성내동 456-8</t>
        </is>
      </c>
      <c r="AB2074" s="0" t="inlineStr">
        <is>
          <t>서울시</t>
        </is>
      </c>
      <c r="AC2074" s="0" t="inlineStr">
        <is>
          <t>강동구</t>
        </is>
      </c>
      <c r="AD2074" s="0" t="inlineStr">
        <is>
          <t>성내동</t>
        </is>
      </c>
      <c r="AG2074" s="0" t="inlineStr">
        <is>
          <t>서울시 강동구 성내로6가길 29</t>
        </is>
      </c>
      <c r="AH2074" s="0" t="n">
        <v>0</v>
      </c>
      <c r="AI2074" s="0" t="n">
        <v>0</v>
      </c>
      <c r="AJ2074" s="0" t="n">
        <v>0</v>
      </c>
      <c r="AK2074" s="0" t="n">
        <v>0</v>
      </c>
      <c r="AL2074" s="0" t="n">
        <v>0</v>
      </c>
    </row>
    <row r="2075">
      <c r="A2075" s="0" t="inlineStr">
        <is>
          <t>[성내동]</t>
        </is>
      </c>
      <c r="B2075" s="0" t="n">
        <v>101903</v>
      </c>
      <c r="C2075" s="0" t="n">
        <v>1</v>
      </c>
      <c r="D2075" s="0" t="inlineStr">
        <is>
          <t>광남캐스빌1</t>
        </is>
      </c>
      <c r="E2075" s="0" t="inlineStr">
        <is>
          <t>2009.07.</t>
        </is>
      </c>
      <c r="F2075" s="0" t="n">
        <v>17</v>
      </c>
      <c r="G2075" s="0" t="n">
        <v>14.09</v>
      </c>
      <c r="H2075" s="0" t="n">
        <v>46.59</v>
      </c>
      <c r="I2075" s="0" t="n">
        <v>12.28</v>
      </c>
      <c r="J2075" s="0" t="n">
        <v>40.6</v>
      </c>
      <c r="K2075" s="0" t="n">
        <v>1</v>
      </c>
      <c r="T2075" s="0" t="n">
        <v>3</v>
      </c>
      <c r="U2075" s="0" t="n">
        <v>2</v>
      </c>
      <c r="V2075" s="0" t="inlineStr">
        <is>
          <t>계단식</t>
        </is>
      </c>
      <c r="W2075" s="0" t="n">
        <v>46</v>
      </c>
      <c r="X2075" s="0" t="n">
        <v>7</v>
      </c>
      <c r="Y2075" s="0" t="n">
        <v>7</v>
      </c>
      <c r="Z2075" s="0" t="inlineStr">
        <is>
          <t>https://new.land.naver.com/complexes/101903?tab=detail&amp;rf=Y</t>
        </is>
      </c>
      <c r="AA2075" s="0" t="inlineStr">
        <is>
          <t>서울시 강동구 성내동 443-26</t>
        </is>
      </c>
      <c r="AB2075" s="0" t="inlineStr">
        <is>
          <t>서울시</t>
        </is>
      </c>
      <c r="AC2075" s="0" t="inlineStr">
        <is>
          <t>강동구</t>
        </is>
      </c>
      <c r="AD2075" s="0" t="inlineStr">
        <is>
          <t>성내동</t>
        </is>
      </c>
      <c r="AG2075" s="0" t="inlineStr">
        <is>
          <t>서울시 강동구 양재대로91가길 98</t>
        </is>
      </c>
      <c r="AH2075" s="0" t="n">
        <v>0</v>
      </c>
      <c r="AI2075" s="0" t="n">
        <v>199</v>
      </c>
      <c r="AJ2075" s="0" t="n">
        <v>47</v>
      </c>
      <c r="AK2075" s="0" t="n">
        <v>17</v>
      </c>
      <c r="AL2075" s="0" t="n">
        <v>1</v>
      </c>
    </row>
    <row r="2076">
      <c r="A2076" s="0" t="inlineStr">
        <is>
          <t>[성내동]</t>
        </is>
      </c>
      <c r="B2076" s="0" t="n">
        <v>101903</v>
      </c>
      <c r="C2076" s="0" t="n">
        <v>2</v>
      </c>
      <c r="D2076" s="0" t="inlineStr">
        <is>
          <t>광남캐스빌1</t>
        </is>
      </c>
      <c r="E2076" s="0" t="inlineStr">
        <is>
          <t>2009.07.</t>
        </is>
      </c>
      <c r="F2076" s="0" t="n">
        <v>17</v>
      </c>
      <c r="G2076" s="0" t="n">
        <v>16.85</v>
      </c>
      <c r="H2076" s="0" t="n">
        <v>55.73</v>
      </c>
      <c r="I2076" s="0" t="n">
        <v>14.68</v>
      </c>
      <c r="J2076" s="0" t="n">
        <v>48.56</v>
      </c>
      <c r="K2076" s="0" t="n">
        <v>1</v>
      </c>
      <c r="T2076" s="0" t="n">
        <v>3</v>
      </c>
      <c r="U2076" s="0" t="n">
        <v>2</v>
      </c>
      <c r="V2076" s="0" t="inlineStr">
        <is>
          <t>계단식</t>
        </is>
      </c>
      <c r="W2076" s="0" t="n">
        <v>55</v>
      </c>
      <c r="X2076" s="0" t="n">
        <v>7</v>
      </c>
      <c r="Y2076" s="0" t="n">
        <v>7</v>
      </c>
      <c r="Z2076" s="0" t="inlineStr">
        <is>
          <t>https://new.land.naver.com/complexes/101903?tab=detail&amp;rf=Y</t>
        </is>
      </c>
      <c r="AA2076" s="0" t="inlineStr">
        <is>
          <t>서울시 강동구 성내동 443-26</t>
        </is>
      </c>
      <c r="AB2076" s="0" t="inlineStr">
        <is>
          <t>서울시</t>
        </is>
      </c>
      <c r="AC2076" s="0" t="inlineStr">
        <is>
          <t>강동구</t>
        </is>
      </c>
      <c r="AD2076" s="0" t="inlineStr">
        <is>
          <t>성내동</t>
        </is>
      </c>
      <c r="AG2076" s="0" t="inlineStr">
        <is>
          <t>서울시 강동구 양재대로91가길 98</t>
        </is>
      </c>
      <c r="AH2076" s="0" t="n">
        <v>0</v>
      </c>
      <c r="AI2076" s="0" t="n">
        <v>199</v>
      </c>
      <c r="AJ2076" s="0" t="n">
        <v>47</v>
      </c>
      <c r="AK2076" s="0" t="n">
        <v>17</v>
      </c>
      <c r="AL2076" s="0" t="n">
        <v>1</v>
      </c>
    </row>
    <row r="2077">
      <c r="A2077" s="0" t="inlineStr">
        <is>
          <t>[성내동]</t>
        </is>
      </c>
      <c r="B2077" s="0" t="n">
        <v>101903</v>
      </c>
      <c r="C2077" s="0" t="n">
        <v>3</v>
      </c>
      <c r="D2077" s="0" t="inlineStr">
        <is>
          <t>광남캐스빌1</t>
        </is>
      </c>
      <c r="E2077" s="0" t="inlineStr">
        <is>
          <t>2009.07.</t>
        </is>
      </c>
      <c r="F2077" s="0" t="n">
        <v>17</v>
      </c>
      <c r="G2077" s="0" t="n">
        <v>18.86</v>
      </c>
      <c r="H2077" s="0" t="n">
        <v>62.38</v>
      </c>
      <c r="I2077" s="0" t="n">
        <v>16.44</v>
      </c>
      <c r="J2077" s="0" t="n">
        <v>54.36</v>
      </c>
      <c r="K2077" s="0" t="n">
        <v>1</v>
      </c>
      <c r="T2077" s="0" t="n">
        <v>3</v>
      </c>
      <c r="U2077" s="0" t="n">
        <v>2</v>
      </c>
      <c r="V2077" s="0" t="inlineStr">
        <is>
          <t>계단식</t>
        </is>
      </c>
      <c r="W2077" s="0" t="inlineStr">
        <is>
          <t>62A</t>
        </is>
      </c>
      <c r="X2077" s="0" t="n">
        <v>7</v>
      </c>
      <c r="Y2077" s="0" t="n">
        <v>7</v>
      </c>
      <c r="Z2077" s="0" t="inlineStr">
        <is>
          <t>https://new.land.naver.com/complexes/101903?tab=detail&amp;rf=Y</t>
        </is>
      </c>
      <c r="AA2077" s="0" t="inlineStr">
        <is>
          <t>서울시 강동구 성내동 443-26</t>
        </is>
      </c>
      <c r="AB2077" s="0" t="inlineStr">
        <is>
          <t>서울시</t>
        </is>
      </c>
      <c r="AC2077" s="0" t="inlineStr">
        <is>
          <t>강동구</t>
        </is>
      </c>
      <c r="AD2077" s="0" t="inlineStr">
        <is>
          <t>성내동</t>
        </is>
      </c>
      <c r="AG2077" s="0" t="inlineStr">
        <is>
          <t>서울시 강동구 양재대로91가길 98</t>
        </is>
      </c>
      <c r="AH2077" s="0" t="n">
        <v>0</v>
      </c>
      <c r="AI2077" s="0" t="n">
        <v>199</v>
      </c>
      <c r="AJ2077" s="0" t="n">
        <v>47</v>
      </c>
      <c r="AK2077" s="0" t="n">
        <v>17</v>
      </c>
      <c r="AL2077" s="0" t="n">
        <v>1</v>
      </c>
    </row>
    <row r="2078">
      <c r="A2078" s="0" t="inlineStr">
        <is>
          <t>[성내동]</t>
        </is>
      </c>
      <c r="B2078" s="0" t="n">
        <v>101903</v>
      </c>
      <c r="C2078" s="0" t="n">
        <v>4</v>
      </c>
      <c r="D2078" s="0" t="inlineStr">
        <is>
          <t>광남캐스빌1</t>
        </is>
      </c>
      <c r="E2078" s="0" t="inlineStr">
        <is>
          <t>2009.07.</t>
        </is>
      </c>
      <c r="F2078" s="0" t="n">
        <v>17</v>
      </c>
      <c r="G2078" s="0" t="n">
        <v>18.98</v>
      </c>
      <c r="H2078" s="0" t="n">
        <v>62.75</v>
      </c>
      <c r="I2078" s="0" t="n">
        <v>16.54</v>
      </c>
      <c r="J2078" s="0" t="n">
        <v>54.68</v>
      </c>
      <c r="K2078" s="0" t="n">
        <v>1</v>
      </c>
      <c r="T2078" s="0" t="n">
        <v>3</v>
      </c>
      <c r="U2078" s="0" t="n">
        <v>2</v>
      </c>
      <c r="V2078" s="0" t="inlineStr">
        <is>
          <t>계단식</t>
        </is>
      </c>
      <c r="W2078" s="0" t="inlineStr">
        <is>
          <t>62B</t>
        </is>
      </c>
      <c r="X2078" s="0" t="n">
        <v>7</v>
      </c>
      <c r="Y2078" s="0" t="n">
        <v>7</v>
      </c>
      <c r="Z2078" s="0" t="inlineStr">
        <is>
          <t>https://new.land.naver.com/complexes/101903?tab=detail&amp;rf=Y</t>
        </is>
      </c>
      <c r="AA2078" s="0" t="inlineStr">
        <is>
          <t>서울시 강동구 성내동 443-26</t>
        </is>
      </c>
      <c r="AB2078" s="0" t="inlineStr">
        <is>
          <t>서울시</t>
        </is>
      </c>
      <c r="AC2078" s="0" t="inlineStr">
        <is>
          <t>강동구</t>
        </is>
      </c>
      <c r="AD2078" s="0" t="inlineStr">
        <is>
          <t>성내동</t>
        </is>
      </c>
      <c r="AG2078" s="0" t="inlineStr">
        <is>
          <t>서울시 강동구 양재대로91가길 98</t>
        </is>
      </c>
      <c r="AH2078" s="0" t="n">
        <v>0</v>
      </c>
      <c r="AI2078" s="0" t="n">
        <v>199</v>
      </c>
      <c r="AJ2078" s="0" t="n">
        <v>47</v>
      </c>
      <c r="AK2078" s="0" t="n">
        <v>17</v>
      </c>
      <c r="AL2078" s="0" t="n">
        <v>1</v>
      </c>
    </row>
    <row r="2079">
      <c r="A2079" s="0" t="inlineStr">
        <is>
          <t>[성내동]</t>
        </is>
      </c>
      <c r="B2079" s="0" t="n">
        <v>101903</v>
      </c>
      <c r="C2079" s="0" t="n">
        <v>5</v>
      </c>
      <c r="D2079" s="0" t="inlineStr">
        <is>
          <t>광남캐스빌1</t>
        </is>
      </c>
      <c r="E2079" s="0" t="inlineStr">
        <is>
          <t>2009.07.</t>
        </is>
      </c>
      <c r="F2079" s="0" t="n">
        <v>17</v>
      </c>
      <c r="G2079" s="0" t="n">
        <v>21.42</v>
      </c>
      <c r="H2079" s="0" t="n">
        <v>70.81</v>
      </c>
      <c r="I2079" s="0" t="n">
        <v>18.66</v>
      </c>
      <c r="J2079" s="0" t="n">
        <v>61.7</v>
      </c>
      <c r="K2079" s="0" t="n">
        <v>1</v>
      </c>
      <c r="T2079" s="0" t="n">
        <v>3</v>
      </c>
      <c r="U2079" s="0" t="n">
        <v>2</v>
      </c>
      <c r="V2079" s="0" t="inlineStr">
        <is>
          <t>계단식</t>
        </is>
      </c>
      <c r="W2079" s="0" t="n">
        <v>70</v>
      </c>
      <c r="X2079" s="0" t="n">
        <v>7</v>
      </c>
      <c r="Y2079" s="0" t="n">
        <v>7</v>
      </c>
      <c r="Z2079" s="0" t="inlineStr">
        <is>
          <t>https://new.land.naver.com/complexes/101903?tab=detail&amp;rf=Y</t>
        </is>
      </c>
      <c r="AA2079" s="0" t="inlineStr">
        <is>
          <t>서울시 강동구 성내동 443-26</t>
        </is>
      </c>
      <c r="AB2079" s="0" t="inlineStr">
        <is>
          <t>서울시</t>
        </is>
      </c>
      <c r="AC2079" s="0" t="inlineStr">
        <is>
          <t>강동구</t>
        </is>
      </c>
      <c r="AD2079" s="0" t="inlineStr">
        <is>
          <t>성내동</t>
        </is>
      </c>
      <c r="AG2079" s="0" t="inlineStr">
        <is>
          <t>서울시 강동구 양재대로91가길 98</t>
        </is>
      </c>
      <c r="AH2079" s="0" t="n">
        <v>0</v>
      </c>
      <c r="AI2079" s="0" t="n">
        <v>199</v>
      </c>
      <c r="AJ2079" s="0" t="n">
        <v>47</v>
      </c>
      <c r="AK2079" s="0" t="n">
        <v>17</v>
      </c>
      <c r="AL2079" s="0" t="n">
        <v>1</v>
      </c>
    </row>
    <row r="2080">
      <c r="A2080" s="0" t="inlineStr">
        <is>
          <t>[성내동]</t>
        </is>
      </c>
      <c r="B2080" s="0" t="n">
        <v>101903</v>
      </c>
      <c r="C2080" s="0" t="n">
        <v>6</v>
      </c>
      <c r="D2080" s="0" t="inlineStr">
        <is>
          <t>광남캐스빌1</t>
        </is>
      </c>
      <c r="E2080" s="0" t="inlineStr">
        <is>
          <t>2009.07.</t>
        </is>
      </c>
      <c r="F2080" s="0" t="n">
        <v>17</v>
      </c>
      <c r="G2080" s="0" t="n">
        <v>21.67</v>
      </c>
      <c r="H2080" s="0" t="n">
        <v>71.64</v>
      </c>
      <c r="I2080" s="0" t="n">
        <v>18.88</v>
      </c>
      <c r="J2080" s="0" t="n">
        <v>62.43</v>
      </c>
      <c r="K2080" s="0" t="n">
        <v>4</v>
      </c>
      <c r="T2080" s="0" t="n">
        <v>3</v>
      </c>
      <c r="U2080" s="0" t="n">
        <v>2</v>
      </c>
      <c r="V2080" s="0" t="inlineStr">
        <is>
          <t>계단식</t>
        </is>
      </c>
      <c r="W2080" s="0" t="inlineStr">
        <is>
          <t>71B</t>
        </is>
      </c>
      <c r="X2080" s="0" t="n">
        <v>7</v>
      </c>
      <c r="Y2080" s="0" t="n">
        <v>7</v>
      </c>
      <c r="Z2080" s="0" t="inlineStr">
        <is>
          <t>https://new.land.naver.com/complexes/101903?tab=detail&amp;rf=Y</t>
        </is>
      </c>
      <c r="AA2080" s="0" t="inlineStr">
        <is>
          <t>서울시 강동구 성내동 443-26</t>
        </is>
      </c>
      <c r="AB2080" s="0" t="inlineStr">
        <is>
          <t>서울시</t>
        </is>
      </c>
      <c r="AC2080" s="0" t="inlineStr">
        <is>
          <t>강동구</t>
        </is>
      </c>
      <c r="AD2080" s="0" t="inlineStr">
        <is>
          <t>성내동</t>
        </is>
      </c>
      <c r="AG2080" s="0" t="inlineStr">
        <is>
          <t>서울시 강동구 양재대로91가길 98</t>
        </is>
      </c>
      <c r="AH2080" s="0" t="n">
        <v>0</v>
      </c>
      <c r="AI2080" s="0" t="n">
        <v>199</v>
      </c>
      <c r="AJ2080" s="0" t="n">
        <v>47</v>
      </c>
      <c r="AK2080" s="0" t="n">
        <v>17</v>
      </c>
      <c r="AL2080" s="0" t="n">
        <v>1</v>
      </c>
    </row>
    <row r="2081">
      <c r="A2081" s="0" t="inlineStr">
        <is>
          <t>[성내동]</t>
        </is>
      </c>
      <c r="B2081" s="0" t="n">
        <v>101903</v>
      </c>
      <c r="C2081" s="0" t="n">
        <v>7</v>
      </c>
      <c r="D2081" s="0" t="inlineStr">
        <is>
          <t>광남캐스빌1</t>
        </is>
      </c>
      <c r="E2081" s="0" t="inlineStr">
        <is>
          <t>2009.07.</t>
        </is>
      </c>
      <c r="F2081" s="0" t="n">
        <v>17</v>
      </c>
      <c r="G2081" s="0" t="n">
        <v>22.06</v>
      </c>
      <c r="H2081" s="0" t="n">
        <v>72.94</v>
      </c>
      <c r="I2081" s="0" t="n">
        <v>19.22</v>
      </c>
      <c r="J2081" s="0" t="n">
        <v>63.56</v>
      </c>
      <c r="K2081" s="0" t="n">
        <v>4</v>
      </c>
      <c r="T2081" s="0" t="n">
        <v>3</v>
      </c>
      <c r="U2081" s="0" t="n">
        <v>2</v>
      </c>
      <c r="V2081" s="0" t="inlineStr">
        <is>
          <t>계단식</t>
        </is>
      </c>
      <c r="W2081" s="0" t="inlineStr">
        <is>
          <t>72A</t>
        </is>
      </c>
      <c r="X2081" s="0" t="n">
        <v>7</v>
      </c>
      <c r="Y2081" s="0" t="n">
        <v>7</v>
      </c>
      <c r="Z2081" s="0" t="inlineStr">
        <is>
          <t>https://new.land.naver.com/complexes/101903?tab=detail&amp;rf=Y</t>
        </is>
      </c>
      <c r="AA2081" s="0" t="inlineStr">
        <is>
          <t>서울시 강동구 성내동 443-26</t>
        </is>
      </c>
      <c r="AB2081" s="0" t="inlineStr">
        <is>
          <t>서울시</t>
        </is>
      </c>
      <c r="AC2081" s="0" t="inlineStr">
        <is>
          <t>강동구</t>
        </is>
      </c>
      <c r="AD2081" s="0" t="inlineStr">
        <is>
          <t>성내동</t>
        </is>
      </c>
      <c r="AG2081" s="0" t="inlineStr">
        <is>
          <t>서울시 강동구 양재대로91가길 98</t>
        </is>
      </c>
      <c r="AH2081" s="0" t="n">
        <v>0</v>
      </c>
      <c r="AI2081" s="0" t="n">
        <v>199</v>
      </c>
      <c r="AJ2081" s="0" t="n">
        <v>47</v>
      </c>
      <c r="AK2081" s="0" t="n">
        <v>17</v>
      </c>
      <c r="AL2081" s="0" t="n">
        <v>1</v>
      </c>
    </row>
    <row r="2082">
      <c r="A2082" s="0" t="inlineStr">
        <is>
          <t>[성내동]</t>
        </is>
      </c>
      <c r="B2082" s="0" t="n">
        <v>101903</v>
      </c>
      <c r="C2082" s="0" t="n">
        <v>8</v>
      </c>
      <c r="D2082" s="0" t="inlineStr">
        <is>
          <t>광남캐스빌1</t>
        </is>
      </c>
      <c r="E2082" s="0" t="inlineStr">
        <is>
          <t>2009.07.</t>
        </is>
      </c>
      <c r="F2082" s="0" t="n">
        <v>17</v>
      </c>
      <c r="G2082" s="0" t="n">
        <v>21.94</v>
      </c>
      <c r="H2082" s="0" t="n">
        <v>72.55</v>
      </c>
      <c r="I2082" s="0" t="n">
        <v>19.12</v>
      </c>
      <c r="J2082" s="0" t="n">
        <v>63.22</v>
      </c>
      <c r="K2082" s="0" t="n">
        <v>4</v>
      </c>
      <c r="T2082" s="0" t="n">
        <v>3</v>
      </c>
      <c r="U2082" s="0" t="n">
        <v>2</v>
      </c>
      <c r="V2082" s="0" t="inlineStr">
        <is>
          <t>계단식</t>
        </is>
      </c>
      <c r="W2082" s="0" t="inlineStr">
        <is>
          <t>72C</t>
        </is>
      </c>
      <c r="X2082" s="0" t="n">
        <v>7</v>
      </c>
      <c r="Y2082" s="0" t="n">
        <v>7</v>
      </c>
      <c r="Z2082" s="0" t="inlineStr">
        <is>
          <t>https://new.land.naver.com/complexes/101903?tab=detail&amp;rf=Y</t>
        </is>
      </c>
      <c r="AA2082" s="0" t="inlineStr">
        <is>
          <t>서울시 강동구 성내동 443-26</t>
        </is>
      </c>
      <c r="AB2082" s="0" t="inlineStr">
        <is>
          <t>서울시</t>
        </is>
      </c>
      <c r="AC2082" s="0" t="inlineStr">
        <is>
          <t>강동구</t>
        </is>
      </c>
      <c r="AD2082" s="0" t="inlineStr">
        <is>
          <t>성내동</t>
        </is>
      </c>
      <c r="AG2082" s="0" t="inlineStr">
        <is>
          <t>서울시 강동구 양재대로91가길 98</t>
        </is>
      </c>
      <c r="AH2082" s="0" t="n">
        <v>0</v>
      </c>
      <c r="AI2082" s="0" t="n">
        <v>199</v>
      </c>
      <c r="AJ2082" s="0" t="n">
        <v>47</v>
      </c>
      <c r="AK2082" s="0" t="n">
        <v>17</v>
      </c>
      <c r="AL2082" s="0" t="n">
        <v>1</v>
      </c>
    </row>
    <row r="2083">
      <c r="A2083" s="0" t="inlineStr">
        <is>
          <t>[성내동]</t>
        </is>
      </c>
      <c r="B2083" s="0" t="n">
        <v>1326</v>
      </c>
      <c r="C2083" s="0" t="n">
        <v>1</v>
      </c>
      <c r="D2083" s="0" t="inlineStr">
        <is>
          <t>현대(30-2)</t>
        </is>
      </c>
      <c r="E2083" s="0" t="inlineStr">
        <is>
          <t>1987.12.</t>
        </is>
      </c>
      <c r="F2083" s="0" t="n">
        <v>277</v>
      </c>
      <c r="G2083" s="0" t="n">
        <v>22.29</v>
      </c>
      <c r="H2083" s="0" t="n">
        <v>73.7</v>
      </c>
      <c r="I2083" s="0" t="n">
        <v>16.35</v>
      </c>
      <c r="J2083" s="0" t="n">
        <v>54.06</v>
      </c>
      <c r="K2083" s="0" t="n">
        <v>41</v>
      </c>
      <c r="T2083" s="0" t="n">
        <v>2</v>
      </c>
      <c r="U2083" s="0" t="n">
        <v>1</v>
      </c>
      <c r="V2083" s="0" t="inlineStr">
        <is>
          <t>복도식</t>
        </is>
      </c>
      <c r="W2083" s="0" t="n">
        <v>73</v>
      </c>
      <c r="X2083" s="0" t="n">
        <v>11</v>
      </c>
      <c r="Y2083" s="0" t="n">
        <v>8</v>
      </c>
      <c r="Z2083" s="0" t="inlineStr">
        <is>
          <t>https://new.land.naver.com/complexes/1326?tab=detail&amp;rf=Y</t>
        </is>
      </c>
      <c r="AA2083" s="0" t="inlineStr">
        <is>
          <t>서울시 강동구 성내동 30-2</t>
        </is>
      </c>
      <c r="AB2083" s="0" t="inlineStr">
        <is>
          <t>서울시</t>
        </is>
      </c>
      <c r="AC2083" s="0" t="inlineStr">
        <is>
          <t>강동구</t>
        </is>
      </c>
      <c r="AD2083" s="0" t="inlineStr">
        <is>
          <t>성내동</t>
        </is>
      </c>
      <c r="AG2083" s="0" t="inlineStr">
        <is>
          <t>서울시 강동구 천호옛12길 27</t>
        </is>
      </c>
      <c r="AH2083" s="0" t="n">
        <v>0</v>
      </c>
      <c r="AI2083" s="0" t="n">
        <v>211</v>
      </c>
      <c r="AJ2083" s="0" t="n">
        <v>21</v>
      </c>
      <c r="AK2083" s="0" t="n">
        <v>277</v>
      </c>
      <c r="AL2083" s="0" t="n">
        <v>1</v>
      </c>
    </row>
    <row r="2084">
      <c r="A2084" s="0" t="inlineStr">
        <is>
          <t>[성내동]</t>
        </is>
      </c>
      <c r="B2084" s="0" t="n">
        <v>1326</v>
      </c>
      <c r="C2084" s="0" t="n">
        <v>2</v>
      </c>
      <c r="D2084" s="0" t="inlineStr">
        <is>
          <t>현대(30-2)</t>
        </is>
      </c>
      <c r="E2084" s="0" t="inlineStr">
        <is>
          <t>1987.12.</t>
        </is>
      </c>
      <c r="F2084" s="0" t="n">
        <v>277</v>
      </c>
      <c r="G2084" s="0" t="n">
        <v>24.46</v>
      </c>
      <c r="H2084" s="0" t="n">
        <v>80.88</v>
      </c>
      <c r="I2084" s="0" t="n">
        <v>17.95</v>
      </c>
      <c r="J2084" s="0" t="n">
        <v>59.36</v>
      </c>
      <c r="K2084" s="0" t="n">
        <v>128</v>
      </c>
      <c r="T2084" s="0" t="n">
        <v>2</v>
      </c>
      <c r="U2084" s="0" t="n">
        <v>1</v>
      </c>
      <c r="V2084" s="0" t="inlineStr">
        <is>
          <t>복도식</t>
        </is>
      </c>
      <c r="W2084" s="0" t="n">
        <v>80</v>
      </c>
      <c r="X2084" s="0" t="n">
        <v>11</v>
      </c>
      <c r="Y2084" s="0" t="n">
        <v>8</v>
      </c>
      <c r="Z2084" s="0" t="inlineStr">
        <is>
          <t>https://new.land.naver.com/complexes/1326?tab=detail&amp;rf=Y</t>
        </is>
      </c>
      <c r="AA2084" s="0" t="inlineStr">
        <is>
          <t>서울시 강동구 성내동 30-2</t>
        </is>
      </c>
      <c r="AB2084" s="0" t="inlineStr">
        <is>
          <t>서울시</t>
        </is>
      </c>
      <c r="AC2084" s="0" t="inlineStr">
        <is>
          <t>강동구</t>
        </is>
      </c>
      <c r="AD2084" s="0" t="inlineStr">
        <is>
          <t>성내동</t>
        </is>
      </c>
      <c r="AG2084" s="0" t="inlineStr">
        <is>
          <t>서울시 강동구 천호옛12길 27</t>
        </is>
      </c>
      <c r="AH2084" s="0" t="n">
        <v>0</v>
      </c>
      <c r="AI2084" s="0" t="n">
        <v>211</v>
      </c>
      <c r="AJ2084" s="0" t="n">
        <v>21</v>
      </c>
      <c r="AK2084" s="0" t="n">
        <v>277</v>
      </c>
      <c r="AL2084" s="0" t="n">
        <v>1</v>
      </c>
    </row>
    <row r="2085">
      <c r="A2085" s="0" t="inlineStr">
        <is>
          <t>[성내동]</t>
        </is>
      </c>
      <c r="B2085" s="0" t="n">
        <v>1326</v>
      </c>
      <c r="C2085" s="0" t="n">
        <v>3</v>
      </c>
      <c r="D2085" s="0" t="inlineStr">
        <is>
          <t>현대(30-2)</t>
        </is>
      </c>
      <c r="E2085" s="0" t="inlineStr">
        <is>
          <t>1987.12.</t>
        </is>
      </c>
      <c r="F2085" s="0" t="n">
        <v>277</v>
      </c>
      <c r="G2085" s="0" t="n">
        <v>33.32</v>
      </c>
      <c r="H2085" s="0" t="n">
        <v>110.17</v>
      </c>
      <c r="I2085" s="0" t="n">
        <v>25.57</v>
      </c>
      <c r="J2085" s="0" t="n">
        <v>84.56</v>
      </c>
      <c r="K2085" s="0" t="n">
        <v>99</v>
      </c>
      <c r="T2085" s="0" t="n">
        <v>3</v>
      </c>
      <c r="U2085" s="0" t="n">
        <v>1</v>
      </c>
      <c r="V2085" s="0" t="inlineStr">
        <is>
          <t>복도식</t>
        </is>
      </c>
      <c r="W2085" s="0" t="inlineStr">
        <is>
          <t>110A</t>
        </is>
      </c>
      <c r="X2085" s="0" t="n">
        <v>11</v>
      </c>
      <c r="Y2085" s="0" t="n">
        <v>8</v>
      </c>
      <c r="Z2085" s="0" t="inlineStr">
        <is>
          <t>https://new.land.naver.com/complexes/1326?tab=detail&amp;rf=Y</t>
        </is>
      </c>
      <c r="AA2085" s="0" t="inlineStr">
        <is>
          <t>서울시 강동구 성내동 30-2</t>
        </is>
      </c>
      <c r="AB2085" s="0" t="inlineStr">
        <is>
          <t>서울시</t>
        </is>
      </c>
      <c r="AC2085" s="0" t="inlineStr">
        <is>
          <t>강동구</t>
        </is>
      </c>
      <c r="AD2085" s="0" t="inlineStr">
        <is>
          <t>성내동</t>
        </is>
      </c>
      <c r="AG2085" s="0" t="inlineStr">
        <is>
          <t>서울시 강동구 천호옛12길 27</t>
        </is>
      </c>
      <c r="AH2085" s="0" t="n">
        <v>0</v>
      </c>
      <c r="AI2085" s="0" t="n">
        <v>211</v>
      </c>
      <c r="AJ2085" s="0" t="n">
        <v>21</v>
      </c>
      <c r="AK2085" s="0" t="n">
        <v>277</v>
      </c>
      <c r="AL2085" s="0" t="n">
        <v>1</v>
      </c>
    </row>
    <row r="2086">
      <c r="A2086" s="0" t="inlineStr">
        <is>
          <t>[성내동]</t>
        </is>
      </c>
      <c r="B2086" s="0" t="n">
        <v>1326</v>
      </c>
      <c r="C2086" s="0" t="n">
        <v>4</v>
      </c>
      <c r="D2086" s="0" t="inlineStr">
        <is>
          <t>현대(30-2)</t>
        </is>
      </c>
      <c r="E2086" s="0" t="inlineStr">
        <is>
          <t>1987.12.</t>
        </is>
      </c>
      <c r="F2086" s="0" t="n">
        <v>277</v>
      </c>
      <c r="G2086" s="0" t="n">
        <v>33.34</v>
      </c>
      <c r="H2086" s="0" t="n">
        <v>110.24</v>
      </c>
      <c r="I2086" s="0" t="n">
        <v>25.59</v>
      </c>
      <c r="J2086" s="0" t="n">
        <v>84.59999999999999</v>
      </c>
      <c r="K2086" s="0" t="n">
        <v>9</v>
      </c>
      <c r="T2086" s="0" t="n">
        <v>3</v>
      </c>
      <c r="U2086" s="0" t="n">
        <v>1</v>
      </c>
      <c r="V2086" s="0" t="inlineStr">
        <is>
          <t>복도식</t>
        </is>
      </c>
      <c r="W2086" s="0" t="inlineStr">
        <is>
          <t>110B</t>
        </is>
      </c>
      <c r="X2086" s="0" t="n">
        <v>11</v>
      </c>
      <c r="Y2086" s="0" t="n">
        <v>8</v>
      </c>
      <c r="Z2086" s="0" t="inlineStr">
        <is>
          <t>https://new.land.naver.com/complexes/1326?tab=detail&amp;rf=Y</t>
        </is>
      </c>
      <c r="AA2086" s="0" t="inlineStr">
        <is>
          <t>서울시 강동구 성내동 30-2</t>
        </is>
      </c>
      <c r="AB2086" s="0" t="inlineStr">
        <is>
          <t>서울시</t>
        </is>
      </c>
      <c r="AC2086" s="0" t="inlineStr">
        <is>
          <t>강동구</t>
        </is>
      </c>
      <c r="AD2086" s="0" t="inlineStr">
        <is>
          <t>성내동</t>
        </is>
      </c>
      <c r="AG2086" s="0" t="inlineStr">
        <is>
          <t>서울시 강동구 천호옛12길 27</t>
        </is>
      </c>
      <c r="AH2086" s="0" t="n">
        <v>0</v>
      </c>
      <c r="AI2086" s="0" t="n">
        <v>211</v>
      </c>
      <c r="AJ2086" s="0" t="n">
        <v>21</v>
      </c>
      <c r="AK2086" s="0" t="n">
        <v>277</v>
      </c>
      <c r="AL2086" s="0" t="n">
        <v>1</v>
      </c>
    </row>
    <row r="2087">
      <c r="A2087" s="0" t="inlineStr">
        <is>
          <t>[성내동]</t>
        </is>
      </c>
      <c r="B2087" s="0" t="n">
        <v>15807</v>
      </c>
      <c r="C2087" s="0" t="n">
        <v>1</v>
      </c>
      <c r="D2087" s="0" t="inlineStr">
        <is>
          <t>한강훼미리</t>
        </is>
      </c>
      <c r="E2087" s="0" t="inlineStr">
        <is>
          <t>2003.01.</t>
        </is>
      </c>
      <c r="F2087" s="0" t="n">
        <v>18</v>
      </c>
      <c r="G2087" s="0" t="n">
        <v>24.62</v>
      </c>
      <c r="H2087" s="0" t="n">
        <v>81.41</v>
      </c>
      <c r="I2087" s="0" t="n">
        <v>21.82</v>
      </c>
      <c r="J2087" s="0" t="n">
        <v>72.14</v>
      </c>
      <c r="K2087" s="0" t="n">
        <v>1</v>
      </c>
      <c r="T2087" s="0" t="n">
        <v>3</v>
      </c>
      <c r="U2087" s="0" t="n">
        <v>2</v>
      </c>
      <c r="V2087" s="0" t="inlineStr">
        <is>
          <t>복도식</t>
        </is>
      </c>
      <c r="W2087" s="0" t="n">
        <v>81</v>
      </c>
      <c r="X2087" s="0" t="n">
        <v>7</v>
      </c>
      <c r="Y2087" s="0" t="n">
        <v>7</v>
      </c>
      <c r="Z2087" s="0" t="inlineStr">
        <is>
          <t>https://new.land.naver.com/complexes/15807?tab=detail&amp;rf=Y</t>
        </is>
      </c>
      <c r="AA2087" s="0" t="inlineStr">
        <is>
          <t>서울시 강동구 성내동 410-43</t>
        </is>
      </c>
      <c r="AB2087" s="0" t="inlineStr">
        <is>
          <t>서울시</t>
        </is>
      </c>
      <c r="AC2087" s="0" t="inlineStr">
        <is>
          <t>강동구</t>
        </is>
      </c>
      <c r="AD2087" s="0" t="inlineStr">
        <is>
          <t>성내동</t>
        </is>
      </c>
      <c r="AG2087" s="0" t="inlineStr">
        <is>
          <t>서울시 강동구 풍성로 197</t>
        </is>
      </c>
      <c r="AH2087" s="0" t="n">
        <v>0</v>
      </c>
      <c r="AI2087" s="0" t="n">
        <v>299</v>
      </c>
      <c r="AJ2087" s="0" t="n">
        <v>55</v>
      </c>
      <c r="AK2087" s="0" t="n">
        <v>22</v>
      </c>
      <c r="AL2087" s="0" t="n">
        <v>1.22</v>
      </c>
    </row>
    <row r="2088">
      <c r="A2088" s="0" t="inlineStr">
        <is>
          <t>[성내동]</t>
        </is>
      </c>
      <c r="B2088" s="0" t="n">
        <v>15807</v>
      </c>
      <c r="C2088" s="0" t="n">
        <v>2</v>
      </c>
      <c r="D2088" s="0" t="inlineStr">
        <is>
          <t>한강훼미리</t>
        </is>
      </c>
      <c r="E2088" s="0" t="inlineStr">
        <is>
          <t>2003.01.</t>
        </is>
      </c>
      <c r="F2088" s="0" t="n">
        <v>18</v>
      </c>
      <c r="G2088" s="0" t="n">
        <v>26.97</v>
      </c>
      <c r="H2088" s="0" t="n">
        <v>89.18000000000001</v>
      </c>
      <c r="I2088" s="0" t="n">
        <v>23.9</v>
      </c>
      <c r="J2088" s="0" t="n">
        <v>79.03</v>
      </c>
      <c r="K2088" s="0" t="n">
        <v>1</v>
      </c>
      <c r="T2088" s="0" t="n">
        <v>3</v>
      </c>
      <c r="U2088" s="0" t="n">
        <v>2</v>
      </c>
      <c r="V2088" s="0" t="inlineStr">
        <is>
          <t>복도식</t>
        </is>
      </c>
      <c r="W2088" s="0" t="n">
        <v>89</v>
      </c>
      <c r="X2088" s="0" t="n">
        <v>7</v>
      </c>
      <c r="Y2088" s="0" t="n">
        <v>7</v>
      </c>
      <c r="Z2088" s="0" t="inlineStr">
        <is>
          <t>https://new.land.naver.com/complexes/15807?tab=detail&amp;rf=Y</t>
        </is>
      </c>
      <c r="AA2088" s="0" t="inlineStr">
        <is>
          <t>서울시 강동구 성내동 410-43</t>
        </is>
      </c>
      <c r="AB2088" s="0" t="inlineStr">
        <is>
          <t>서울시</t>
        </is>
      </c>
      <c r="AC2088" s="0" t="inlineStr">
        <is>
          <t>강동구</t>
        </is>
      </c>
      <c r="AD2088" s="0" t="inlineStr">
        <is>
          <t>성내동</t>
        </is>
      </c>
      <c r="AG2088" s="0" t="inlineStr">
        <is>
          <t>서울시 강동구 풍성로 197</t>
        </is>
      </c>
      <c r="AH2088" s="0" t="n">
        <v>0</v>
      </c>
      <c r="AI2088" s="0" t="n">
        <v>299</v>
      </c>
      <c r="AJ2088" s="0" t="n">
        <v>55</v>
      </c>
      <c r="AK2088" s="0" t="n">
        <v>22</v>
      </c>
      <c r="AL2088" s="0" t="n">
        <v>1.22</v>
      </c>
    </row>
    <row r="2089">
      <c r="A2089" s="0" t="inlineStr">
        <is>
          <t>[성내동]</t>
        </is>
      </c>
      <c r="B2089" s="0" t="n">
        <v>15807</v>
      </c>
      <c r="C2089" s="0" t="n">
        <v>3</v>
      </c>
      <c r="D2089" s="0" t="inlineStr">
        <is>
          <t>한강훼미리</t>
        </is>
      </c>
      <c r="E2089" s="0" t="inlineStr">
        <is>
          <t>2003.01.</t>
        </is>
      </c>
      <c r="F2089" s="0" t="n">
        <v>18</v>
      </c>
      <c r="G2089" s="0" t="n">
        <v>28.02</v>
      </c>
      <c r="H2089" s="0" t="n">
        <v>92.66</v>
      </c>
      <c r="I2089" s="0" t="n">
        <v>24.84</v>
      </c>
      <c r="J2089" s="0" t="n">
        <v>82.12</v>
      </c>
      <c r="K2089" s="0" t="n">
        <v>1</v>
      </c>
      <c r="T2089" s="0" t="n">
        <v>3</v>
      </c>
      <c r="U2089" s="0" t="n">
        <v>2</v>
      </c>
      <c r="V2089" s="0" t="inlineStr">
        <is>
          <t>복도식</t>
        </is>
      </c>
      <c r="W2089" s="0" t="n">
        <v>92</v>
      </c>
      <c r="X2089" s="0" t="n">
        <v>7</v>
      </c>
      <c r="Y2089" s="0" t="n">
        <v>7</v>
      </c>
      <c r="Z2089" s="0" t="inlineStr">
        <is>
          <t>https://new.land.naver.com/complexes/15807?tab=detail&amp;rf=Y</t>
        </is>
      </c>
      <c r="AA2089" s="0" t="inlineStr">
        <is>
          <t>서울시 강동구 성내동 410-43</t>
        </is>
      </c>
      <c r="AB2089" s="0" t="inlineStr">
        <is>
          <t>서울시</t>
        </is>
      </c>
      <c r="AC2089" s="0" t="inlineStr">
        <is>
          <t>강동구</t>
        </is>
      </c>
      <c r="AD2089" s="0" t="inlineStr">
        <is>
          <t>성내동</t>
        </is>
      </c>
      <c r="AG2089" s="0" t="inlineStr">
        <is>
          <t>서울시 강동구 풍성로 197</t>
        </is>
      </c>
      <c r="AH2089" s="0" t="n">
        <v>0</v>
      </c>
      <c r="AI2089" s="0" t="n">
        <v>299</v>
      </c>
      <c r="AJ2089" s="0" t="n">
        <v>55</v>
      </c>
      <c r="AK2089" s="0" t="n">
        <v>22</v>
      </c>
      <c r="AL2089" s="0" t="n">
        <v>1.22</v>
      </c>
    </row>
    <row r="2090">
      <c r="A2090" s="0" t="inlineStr">
        <is>
          <t>[성내동]</t>
        </is>
      </c>
      <c r="B2090" s="0" t="n">
        <v>15807</v>
      </c>
      <c r="C2090" s="0" t="n">
        <v>4</v>
      </c>
      <c r="D2090" s="0" t="inlineStr">
        <is>
          <t>한강훼미리</t>
        </is>
      </c>
      <c r="E2090" s="0" t="inlineStr">
        <is>
          <t>2003.01.</t>
        </is>
      </c>
      <c r="F2090" s="0" t="n">
        <v>18</v>
      </c>
      <c r="G2090" s="0" t="n">
        <v>28.64</v>
      </c>
      <c r="H2090" s="0" t="n">
        <v>94.69</v>
      </c>
      <c r="I2090" s="0" t="n">
        <v>25.38</v>
      </c>
      <c r="J2090" s="0" t="n">
        <v>83.92</v>
      </c>
      <c r="K2090" s="0" t="n">
        <v>5</v>
      </c>
      <c r="T2090" s="0" t="n">
        <v>3</v>
      </c>
      <c r="U2090" s="0" t="n">
        <v>2</v>
      </c>
      <c r="V2090" s="0" t="inlineStr">
        <is>
          <t>계단식</t>
        </is>
      </c>
      <c r="W2090" s="0" t="inlineStr">
        <is>
          <t>94A</t>
        </is>
      </c>
      <c r="X2090" s="0" t="n">
        <v>7</v>
      </c>
      <c r="Y2090" s="0" t="n">
        <v>7</v>
      </c>
      <c r="Z2090" s="0" t="inlineStr">
        <is>
          <t>https://new.land.naver.com/complexes/15807?tab=detail&amp;rf=Y</t>
        </is>
      </c>
      <c r="AA2090" s="0" t="inlineStr">
        <is>
          <t>서울시 강동구 성내동 410-43</t>
        </is>
      </c>
      <c r="AB2090" s="0" t="inlineStr">
        <is>
          <t>서울시</t>
        </is>
      </c>
      <c r="AC2090" s="0" t="inlineStr">
        <is>
          <t>강동구</t>
        </is>
      </c>
      <c r="AD2090" s="0" t="inlineStr">
        <is>
          <t>성내동</t>
        </is>
      </c>
      <c r="AG2090" s="0" t="inlineStr">
        <is>
          <t>서울시 강동구 풍성로 197</t>
        </is>
      </c>
      <c r="AH2090" s="0" t="n">
        <v>0</v>
      </c>
      <c r="AI2090" s="0" t="n">
        <v>299</v>
      </c>
      <c r="AJ2090" s="0" t="n">
        <v>55</v>
      </c>
      <c r="AK2090" s="0" t="n">
        <v>22</v>
      </c>
      <c r="AL2090" s="0" t="n">
        <v>1.22</v>
      </c>
    </row>
    <row r="2091">
      <c r="A2091" s="0" t="inlineStr">
        <is>
          <t>[성내동]</t>
        </is>
      </c>
      <c r="B2091" s="0" t="n">
        <v>15807</v>
      </c>
      <c r="C2091" s="0" t="n">
        <v>5</v>
      </c>
      <c r="D2091" s="0" t="inlineStr">
        <is>
          <t>한강훼미리</t>
        </is>
      </c>
      <c r="E2091" s="0" t="inlineStr">
        <is>
          <t>2003.01.</t>
        </is>
      </c>
      <c r="F2091" s="0" t="n">
        <v>18</v>
      </c>
      <c r="G2091" s="0" t="n">
        <v>28.91</v>
      </c>
      <c r="H2091" s="0" t="n">
        <v>95.59</v>
      </c>
      <c r="I2091" s="0" t="n">
        <v>25.62</v>
      </c>
      <c r="J2091" s="0" t="n">
        <v>84.72</v>
      </c>
      <c r="K2091" s="0" t="n">
        <v>5</v>
      </c>
      <c r="T2091" s="0" t="n">
        <v>4</v>
      </c>
      <c r="U2091" s="0" t="n">
        <v>2</v>
      </c>
      <c r="V2091" s="0" t="inlineStr">
        <is>
          <t>계단식</t>
        </is>
      </c>
      <c r="W2091" s="0" t="inlineStr">
        <is>
          <t>95B</t>
        </is>
      </c>
      <c r="X2091" s="0" t="n">
        <v>7</v>
      </c>
      <c r="Y2091" s="0" t="n">
        <v>7</v>
      </c>
      <c r="Z2091" s="0" t="inlineStr">
        <is>
          <t>https://new.land.naver.com/complexes/15807?tab=detail&amp;rf=Y</t>
        </is>
      </c>
      <c r="AA2091" s="0" t="inlineStr">
        <is>
          <t>서울시 강동구 성내동 410-43</t>
        </is>
      </c>
      <c r="AB2091" s="0" t="inlineStr">
        <is>
          <t>서울시</t>
        </is>
      </c>
      <c r="AC2091" s="0" t="inlineStr">
        <is>
          <t>강동구</t>
        </is>
      </c>
      <c r="AD2091" s="0" t="inlineStr">
        <is>
          <t>성내동</t>
        </is>
      </c>
      <c r="AG2091" s="0" t="inlineStr">
        <is>
          <t>서울시 강동구 풍성로 197</t>
        </is>
      </c>
      <c r="AH2091" s="0" t="n">
        <v>0</v>
      </c>
      <c r="AI2091" s="0" t="n">
        <v>299</v>
      </c>
      <c r="AJ2091" s="0" t="n">
        <v>55</v>
      </c>
      <c r="AK2091" s="0" t="n">
        <v>22</v>
      </c>
      <c r="AL2091" s="0" t="n">
        <v>1.22</v>
      </c>
    </row>
    <row r="2092">
      <c r="A2092" s="0" t="inlineStr">
        <is>
          <t>[성내동]</t>
        </is>
      </c>
      <c r="B2092" s="0" t="n">
        <v>15807</v>
      </c>
      <c r="C2092" s="0" t="n">
        <v>6</v>
      </c>
      <c r="D2092" s="0" t="inlineStr">
        <is>
          <t>한강훼미리</t>
        </is>
      </c>
      <c r="E2092" s="0" t="inlineStr">
        <is>
          <t>2003.01.</t>
        </is>
      </c>
      <c r="F2092" s="0" t="n">
        <v>18</v>
      </c>
      <c r="G2092" s="0" t="n">
        <v>28.99</v>
      </c>
      <c r="H2092" s="0" t="n">
        <v>95.84</v>
      </c>
      <c r="I2092" s="0" t="n">
        <v>25.69</v>
      </c>
      <c r="J2092" s="0" t="n">
        <v>84.94</v>
      </c>
      <c r="K2092" s="0" t="n">
        <v>5</v>
      </c>
      <c r="T2092" s="0" t="n">
        <v>3</v>
      </c>
      <c r="U2092" s="0" t="n">
        <v>2</v>
      </c>
      <c r="V2092" s="0" t="inlineStr">
        <is>
          <t>계단식</t>
        </is>
      </c>
      <c r="W2092" s="0" t="inlineStr">
        <is>
          <t>95C</t>
        </is>
      </c>
      <c r="X2092" s="0" t="n">
        <v>7</v>
      </c>
      <c r="Y2092" s="0" t="n">
        <v>7</v>
      </c>
      <c r="Z2092" s="0" t="inlineStr">
        <is>
          <t>https://new.land.naver.com/complexes/15807?tab=detail&amp;rf=Y</t>
        </is>
      </c>
      <c r="AA2092" s="0" t="inlineStr">
        <is>
          <t>서울시 강동구 성내동 410-43</t>
        </is>
      </c>
      <c r="AB2092" s="0" t="inlineStr">
        <is>
          <t>서울시</t>
        </is>
      </c>
      <c r="AC2092" s="0" t="inlineStr">
        <is>
          <t>강동구</t>
        </is>
      </c>
      <c r="AD2092" s="0" t="inlineStr">
        <is>
          <t>성내동</t>
        </is>
      </c>
      <c r="AG2092" s="0" t="inlineStr">
        <is>
          <t>서울시 강동구 풍성로 197</t>
        </is>
      </c>
      <c r="AH2092" s="0" t="n">
        <v>0</v>
      </c>
      <c r="AI2092" s="0" t="n">
        <v>299</v>
      </c>
      <c r="AJ2092" s="0" t="n">
        <v>55</v>
      </c>
      <c r="AK2092" s="0" t="n">
        <v>22</v>
      </c>
      <c r="AL2092" s="0" t="n">
        <v>1.22</v>
      </c>
    </row>
    <row r="2093">
      <c r="A2093" s="0" t="inlineStr">
        <is>
          <t>[성내동]</t>
        </is>
      </c>
      <c r="B2093" s="0" t="n">
        <v>27034</v>
      </c>
      <c r="C2093" s="0" t="n">
        <v>1</v>
      </c>
      <c r="D2093" s="0" t="inlineStr">
        <is>
          <t>운암화인빌(101동)</t>
        </is>
      </c>
      <c r="E2093" s="0" t="inlineStr">
        <is>
          <t>2007.01.</t>
        </is>
      </c>
      <c r="F2093" s="0" t="n">
        <v>19</v>
      </c>
      <c r="G2093" s="0" t="n">
        <v>25.52</v>
      </c>
      <c r="H2093" s="0" t="n">
        <v>84.37</v>
      </c>
      <c r="I2093" s="0" t="n">
        <v>22.22</v>
      </c>
      <c r="J2093" s="0" t="n">
        <v>73.47</v>
      </c>
      <c r="K2093" s="0" t="n">
        <v>6</v>
      </c>
      <c r="T2093" s="0" t="n">
        <v>3</v>
      </c>
      <c r="U2093" s="0" t="n">
        <v>2</v>
      </c>
      <c r="V2093" s="0" t="inlineStr">
        <is>
          <t>계단식</t>
        </is>
      </c>
      <c r="W2093" s="0" t="inlineStr">
        <is>
          <t>84A</t>
        </is>
      </c>
      <c r="X2093" s="0" t="n">
        <v>8</v>
      </c>
      <c r="Y2093" s="0" t="n">
        <v>7</v>
      </c>
      <c r="Z2093" s="0" t="inlineStr">
        <is>
          <t>https://new.land.naver.com/complexes/27034?tab=detail&amp;rf=Y</t>
        </is>
      </c>
      <c r="AA2093" s="0" t="inlineStr">
        <is>
          <t>서울시 강동구 성내동 409-8</t>
        </is>
      </c>
      <c r="AB2093" s="0" t="inlineStr">
        <is>
          <t>서울시</t>
        </is>
      </c>
      <c r="AC2093" s="0" t="inlineStr">
        <is>
          <t>강동구</t>
        </is>
      </c>
      <c r="AD2093" s="0" t="inlineStr">
        <is>
          <t>성내동</t>
        </is>
      </c>
      <c r="AG2093" s="0" t="inlineStr">
        <is>
          <t>서울시 강동구 풍성로51길 11</t>
        </is>
      </c>
      <c r="AH2093" s="0" t="n">
        <v>0</v>
      </c>
      <c r="AI2093" s="0" t="n">
        <v>199</v>
      </c>
      <c r="AJ2093" s="0" t="n">
        <v>35</v>
      </c>
      <c r="AK2093" s="0" t="n">
        <v>21</v>
      </c>
      <c r="AL2093" s="0" t="n">
        <v>1.11</v>
      </c>
    </row>
    <row r="2094">
      <c r="A2094" s="0" t="inlineStr">
        <is>
          <t>[성내동]</t>
        </is>
      </c>
      <c r="B2094" s="0" t="n">
        <v>27034</v>
      </c>
      <c r="C2094" s="0" t="n">
        <v>2</v>
      </c>
      <c r="D2094" s="0" t="inlineStr">
        <is>
          <t>운암화인빌(101동)</t>
        </is>
      </c>
      <c r="E2094" s="0" t="inlineStr">
        <is>
          <t>2007.01.</t>
        </is>
      </c>
      <c r="F2094" s="0" t="n">
        <v>19</v>
      </c>
      <c r="G2094" s="0" t="n">
        <v>25.54</v>
      </c>
      <c r="H2094" s="0" t="n">
        <v>84.43000000000001</v>
      </c>
      <c r="I2094" s="0" t="n">
        <v>22.24</v>
      </c>
      <c r="J2094" s="0" t="n">
        <v>73.53</v>
      </c>
      <c r="K2094" s="0" t="n">
        <v>6</v>
      </c>
      <c r="T2094" s="0" t="n">
        <v>3</v>
      </c>
      <c r="U2094" s="0" t="n">
        <v>2</v>
      </c>
      <c r="V2094" s="0" t="inlineStr">
        <is>
          <t>계단식</t>
        </is>
      </c>
      <c r="W2094" s="0" t="inlineStr">
        <is>
          <t>84B</t>
        </is>
      </c>
      <c r="X2094" s="0" t="n">
        <v>8</v>
      </c>
      <c r="Y2094" s="0" t="n">
        <v>7</v>
      </c>
      <c r="Z2094" s="0" t="inlineStr">
        <is>
          <t>https://new.land.naver.com/complexes/27034?tab=detail&amp;rf=Y</t>
        </is>
      </c>
      <c r="AA2094" s="0" t="inlineStr">
        <is>
          <t>서울시 강동구 성내동 409-8</t>
        </is>
      </c>
      <c r="AB2094" s="0" t="inlineStr">
        <is>
          <t>서울시</t>
        </is>
      </c>
      <c r="AC2094" s="0" t="inlineStr">
        <is>
          <t>강동구</t>
        </is>
      </c>
      <c r="AD2094" s="0" t="inlineStr">
        <is>
          <t>성내동</t>
        </is>
      </c>
      <c r="AG2094" s="0" t="inlineStr">
        <is>
          <t>서울시 강동구 풍성로51길 11</t>
        </is>
      </c>
      <c r="AH2094" s="0" t="n">
        <v>0</v>
      </c>
      <c r="AI2094" s="0" t="n">
        <v>199</v>
      </c>
      <c r="AJ2094" s="0" t="n">
        <v>35</v>
      </c>
      <c r="AK2094" s="0" t="n">
        <v>21</v>
      </c>
      <c r="AL2094" s="0" t="n">
        <v>1.11</v>
      </c>
    </row>
    <row r="2095">
      <c r="A2095" s="0" t="inlineStr">
        <is>
          <t>[성내동]</t>
        </is>
      </c>
      <c r="B2095" s="0" t="n">
        <v>27034</v>
      </c>
      <c r="C2095" s="0" t="n">
        <v>3</v>
      </c>
      <c r="D2095" s="0" t="inlineStr">
        <is>
          <t>운암화인빌(101동)</t>
        </is>
      </c>
      <c r="E2095" s="0" t="inlineStr">
        <is>
          <t>2007.01.</t>
        </is>
      </c>
      <c r="F2095" s="0" t="n">
        <v>19</v>
      </c>
      <c r="G2095" s="0" t="n">
        <v>25.56</v>
      </c>
      <c r="H2095" s="0" t="n">
        <v>84.52</v>
      </c>
      <c r="I2095" s="0" t="n">
        <v>22.26</v>
      </c>
      <c r="J2095" s="0" t="n">
        <v>73.59999999999999</v>
      </c>
      <c r="K2095" s="0" t="n">
        <v>6</v>
      </c>
      <c r="T2095" s="0" t="n">
        <v>3</v>
      </c>
      <c r="U2095" s="0" t="n">
        <v>2</v>
      </c>
      <c r="V2095" s="0" t="inlineStr">
        <is>
          <t>계단식</t>
        </is>
      </c>
      <c r="W2095" s="0" t="inlineStr">
        <is>
          <t>84C</t>
        </is>
      </c>
      <c r="X2095" s="0" t="n">
        <v>8</v>
      </c>
      <c r="Y2095" s="0" t="n">
        <v>7</v>
      </c>
      <c r="Z2095" s="0" t="inlineStr">
        <is>
          <t>https://new.land.naver.com/complexes/27034?tab=detail&amp;rf=Y</t>
        </is>
      </c>
      <c r="AA2095" s="0" t="inlineStr">
        <is>
          <t>서울시 강동구 성내동 409-8</t>
        </is>
      </c>
      <c r="AB2095" s="0" t="inlineStr">
        <is>
          <t>서울시</t>
        </is>
      </c>
      <c r="AC2095" s="0" t="inlineStr">
        <is>
          <t>강동구</t>
        </is>
      </c>
      <c r="AD2095" s="0" t="inlineStr">
        <is>
          <t>성내동</t>
        </is>
      </c>
      <c r="AG2095" s="0" t="inlineStr">
        <is>
          <t>서울시 강동구 풍성로51길 11</t>
        </is>
      </c>
      <c r="AH2095" s="0" t="n">
        <v>0</v>
      </c>
      <c r="AI2095" s="0" t="n">
        <v>199</v>
      </c>
      <c r="AJ2095" s="0" t="n">
        <v>35</v>
      </c>
      <c r="AK2095" s="0" t="n">
        <v>21</v>
      </c>
      <c r="AL2095" s="0" t="n">
        <v>1.11</v>
      </c>
    </row>
    <row r="2096">
      <c r="A2096" s="0" t="inlineStr">
        <is>
          <t>[성내동]</t>
        </is>
      </c>
      <c r="B2096" s="0" t="n">
        <v>27034</v>
      </c>
      <c r="C2096" s="0" t="n">
        <v>4</v>
      </c>
      <c r="D2096" s="0" t="inlineStr">
        <is>
          <t>운암화인빌(101동)</t>
        </is>
      </c>
      <c r="E2096" s="0" t="inlineStr">
        <is>
          <t>2007.01.</t>
        </is>
      </c>
      <c r="F2096" s="0" t="n">
        <v>19</v>
      </c>
      <c r="G2096" s="0" t="n">
        <v>51.11</v>
      </c>
      <c r="H2096" s="0" t="n">
        <v>168.98</v>
      </c>
      <c r="I2096" s="0" t="n">
        <v>44.51</v>
      </c>
      <c r="J2096" s="0" t="n">
        <v>147.16</v>
      </c>
      <c r="K2096" s="0" t="n">
        <v>1</v>
      </c>
      <c r="T2096" s="0" t="n">
        <v>4</v>
      </c>
      <c r="U2096" s="0" t="n">
        <v>2</v>
      </c>
      <c r="V2096" s="0" t="inlineStr">
        <is>
          <t>복도식</t>
        </is>
      </c>
      <c r="W2096" s="0" t="n">
        <v>168</v>
      </c>
      <c r="X2096" s="0" t="n">
        <v>8</v>
      </c>
      <c r="Y2096" s="0" t="n">
        <v>7</v>
      </c>
      <c r="Z2096" s="0" t="inlineStr">
        <is>
          <t>https://new.land.naver.com/complexes/27034?tab=detail&amp;rf=Y</t>
        </is>
      </c>
      <c r="AA2096" s="0" t="inlineStr">
        <is>
          <t>서울시 강동구 성내동 409-8</t>
        </is>
      </c>
      <c r="AB2096" s="0" t="inlineStr">
        <is>
          <t>서울시</t>
        </is>
      </c>
      <c r="AC2096" s="0" t="inlineStr">
        <is>
          <t>강동구</t>
        </is>
      </c>
      <c r="AD2096" s="0" t="inlineStr">
        <is>
          <t>성내동</t>
        </is>
      </c>
      <c r="AG2096" s="0" t="inlineStr">
        <is>
          <t>서울시 강동구 풍성로51길 11</t>
        </is>
      </c>
      <c r="AH2096" s="0" t="n">
        <v>0</v>
      </c>
      <c r="AI2096" s="0" t="n">
        <v>199</v>
      </c>
      <c r="AJ2096" s="0" t="n">
        <v>35</v>
      </c>
      <c r="AK2096" s="0" t="n">
        <v>21</v>
      </c>
      <c r="AL2096" s="0" t="n">
        <v>1.11</v>
      </c>
    </row>
    <row r="2097">
      <c r="A2097" s="0" t="inlineStr">
        <is>
          <t>[성내동]</t>
        </is>
      </c>
      <c r="B2097" s="0" t="n">
        <v>139205</v>
      </c>
      <c r="C2097" s="0" t="n">
        <v>1</v>
      </c>
      <c r="D2097" s="0" t="inlineStr">
        <is>
          <t>영진쉐르빌(도시형)</t>
        </is>
      </c>
      <c r="E2097" s="0" t="inlineStr">
        <is>
          <t>2019.01.</t>
        </is>
      </c>
      <c r="F2097" s="0" t="n">
        <v>18</v>
      </c>
      <c r="G2097" s="0" t="n">
        <v>6.36</v>
      </c>
      <c r="H2097" s="0" t="n">
        <v>21.03</v>
      </c>
      <c r="I2097" s="0" t="n">
        <v>5.11</v>
      </c>
      <c r="J2097" s="0" t="n">
        <v>16.92</v>
      </c>
      <c r="K2097" s="0" t="n">
        <v>1</v>
      </c>
      <c r="T2097" s="0" t="n">
        <v>1</v>
      </c>
      <c r="U2097" s="0" t="n">
        <v>1</v>
      </c>
      <c r="V2097" s="0" t="inlineStr">
        <is>
          <t>계단식</t>
        </is>
      </c>
      <c r="W2097" s="0" t="n">
        <v>21</v>
      </c>
      <c r="X2097" s="0" t="n">
        <v>5</v>
      </c>
      <c r="Y2097" s="0" t="n">
        <v>4</v>
      </c>
      <c r="Z2097" s="0" t="inlineStr">
        <is>
          <t>https://new.land.naver.com/complexes/139205?tab=detail&amp;rf=Y</t>
        </is>
      </c>
      <c r="AA2097" s="0" t="inlineStr">
        <is>
          <t>서울시 강동구 성내동 529-6</t>
        </is>
      </c>
      <c r="AB2097" s="0" t="inlineStr">
        <is>
          <t>서울시</t>
        </is>
      </c>
      <c r="AC2097" s="0" t="inlineStr">
        <is>
          <t>강동구</t>
        </is>
      </c>
      <c r="AD2097" s="0" t="inlineStr">
        <is>
          <t>성내동</t>
        </is>
      </c>
      <c r="AG2097" s="0" t="inlineStr">
        <is>
          <t>서울시 강동구 성내로17길 57</t>
        </is>
      </c>
      <c r="AH2097" s="0" t="n">
        <v>0</v>
      </c>
      <c r="AI2097" s="0" t="n">
        <v>0</v>
      </c>
      <c r="AJ2097" s="0" t="n">
        <v>0</v>
      </c>
      <c r="AK2097" s="0" t="n">
        <v>14</v>
      </c>
      <c r="AL2097" s="0" t="n">
        <v>0.78</v>
      </c>
    </row>
    <row r="2098">
      <c r="A2098" s="0" t="inlineStr">
        <is>
          <t>[성내동]</t>
        </is>
      </c>
      <c r="B2098" s="0" t="n">
        <v>139205</v>
      </c>
      <c r="C2098" s="0" t="n">
        <v>2</v>
      </c>
      <c r="D2098" s="0" t="inlineStr">
        <is>
          <t>영진쉐르빌(도시형)</t>
        </is>
      </c>
      <c r="E2098" s="0" t="inlineStr">
        <is>
          <t>2019.01.</t>
        </is>
      </c>
      <c r="F2098" s="0" t="n">
        <v>18</v>
      </c>
      <c r="G2098" s="0" t="n">
        <v>7.33</v>
      </c>
      <c r="H2098" s="0" t="n">
        <v>24.24</v>
      </c>
      <c r="I2098" s="0" t="n">
        <v>5.9</v>
      </c>
      <c r="J2098" s="0" t="n">
        <v>19.51</v>
      </c>
      <c r="K2098" s="0" t="n">
        <v>1</v>
      </c>
      <c r="T2098" s="0" t="n">
        <v>1</v>
      </c>
      <c r="U2098" s="0" t="n">
        <v>1</v>
      </c>
      <c r="V2098" s="0" t="inlineStr">
        <is>
          <t>계단식</t>
        </is>
      </c>
      <c r="W2098" s="0" t="n">
        <v>24</v>
      </c>
      <c r="X2098" s="0" t="n">
        <v>5</v>
      </c>
      <c r="Y2098" s="0" t="n">
        <v>4</v>
      </c>
      <c r="Z2098" s="0" t="inlineStr">
        <is>
          <t>https://new.land.naver.com/complexes/139205?tab=detail&amp;rf=Y</t>
        </is>
      </c>
      <c r="AA2098" s="0" t="inlineStr">
        <is>
          <t>서울시 강동구 성내동 529-6</t>
        </is>
      </c>
      <c r="AB2098" s="0" t="inlineStr">
        <is>
          <t>서울시</t>
        </is>
      </c>
      <c r="AC2098" s="0" t="inlineStr">
        <is>
          <t>강동구</t>
        </is>
      </c>
      <c r="AD2098" s="0" t="inlineStr">
        <is>
          <t>성내동</t>
        </is>
      </c>
      <c r="AG2098" s="0" t="inlineStr">
        <is>
          <t>서울시 강동구 성내로17길 57</t>
        </is>
      </c>
      <c r="AH2098" s="0" t="n">
        <v>0</v>
      </c>
      <c r="AI2098" s="0" t="n">
        <v>0</v>
      </c>
      <c r="AJ2098" s="0" t="n">
        <v>0</v>
      </c>
      <c r="AK2098" s="0" t="n">
        <v>14</v>
      </c>
      <c r="AL2098" s="0" t="n">
        <v>0.78</v>
      </c>
    </row>
    <row r="2099">
      <c r="A2099" s="0" t="inlineStr">
        <is>
          <t>[성내동]</t>
        </is>
      </c>
      <c r="B2099" s="0" t="n">
        <v>139205</v>
      </c>
      <c r="C2099" s="0" t="n">
        <v>3</v>
      </c>
      <c r="D2099" s="0" t="inlineStr">
        <is>
          <t>영진쉐르빌(도시형)</t>
        </is>
      </c>
      <c r="E2099" s="0" t="inlineStr">
        <is>
          <t>2019.01.</t>
        </is>
      </c>
      <c r="F2099" s="0" t="n">
        <v>18</v>
      </c>
      <c r="G2099" s="0" t="n">
        <v>10.42</v>
      </c>
      <c r="H2099" s="0" t="n">
        <v>34.47</v>
      </c>
      <c r="I2099" s="0" t="n">
        <v>8.720000000000001</v>
      </c>
      <c r="J2099" s="0" t="n">
        <v>28.83</v>
      </c>
      <c r="K2099" s="0" t="n">
        <v>1</v>
      </c>
      <c r="T2099" s="0" t="n">
        <v>1</v>
      </c>
      <c r="U2099" s="0" t="n">
        <v>1</v>
      </c>
      <c r="V2099" s="0" t="inlineStr">
        <is>
          <t>계단식</t>
        </is>
      </c>
      <c r="W2099" s="0" t="n">
        <v>34</v>
      </c>
      <c r="X2099" s="0" t="n">
        <v>5</v>
      </c>
      <c r="Y2099" s="0" t="n">
        <v>4</v>
      </c>
      <c r="Z2099" s="0" t="inlineStr">
        <is>
          <t>https://new.land.naver.com/complexes/139205?tab=detail&amp;rf=Y</t>
        </is>
      </c>
      <c r="AA2099" s="0" t="inlineStr">
        <is>
          <t>서울시 강동구 성내동 529-6</t>
        </is>
      </c>
      <c r="AB2099" s="0" t="inlineStr">
        <is>
          <t>서울시</t>
        </is>
      </c>
      <c r="AC2099" s="0" t="inlineStr">
        <is>
          <t>강동구</t>
        </is>
      </c>
      <c r="AD2099" s="0" t="inlineStr">
        <is>
          <t>성내동</t>
        </is>
      </c>
      <c r="AG2099" s="0" t="inlineStr">
        <is>
          <t>서울시 강동구 성내로17길 57</t>
        </is>
      </c>
      <c r="AH2099" s="0" t="n">
        <v>0</v>
      </c>
      <c r="AI2099" s="0" t="n">
        <v>0</v>
      </c>
      <c r="AJ2099" s="0" t="n">
        <v>0</v>
      </c>
      <c r="AK2099" s="0" t="n">
        <v>14</v>
      </c>
      <c r="AL2099" s="0" t="n">
        <v>0.78</v>
      </c>
    </row>
    <row r="2100">
      <c r="A2100" s="0" t="inlineStr">
        <is>
          <t>[성내동]</t>
        </is>
      </c>
      <c r="B2100" s="0" t="n">
        <v>139205</v>
      </c>
      <c r="C2100" s="0" t="n">
        <v>4</v>
      </c>
      <c r="D2100" s="0" t="inlineStr">
        <is>
          <t>영진쉐르빌(도시형)</t>
        </is>
      </c>
      <c r="E2100" s="0" t="inlineStr">
        <is>
          <t>2019.01.</t>
        </is>
      </c>
      <c r="F2100" s="0" t="n">
        <v>18</v>
      </c>
      <c r="G2100" s="0" t="n">
        <v>12.29</v>
      </c>
      <c r="H2100" s="0" t="n">
        <v>40.63</v>
      </c>
      <c r="I2100" s="0" t="n">
        <v>9.890000000000001</v>
      </c>
      <c r="J2100" s="0" t="n">
        <v>32.7</v>
      </c>
      <c r="K2100" s="0" t="n">
        <v>1</v>
      </c>
      <c r="T2100" s="0" t="n">
        <v>1</v>
      </c>
      <c r="U2100" s="0" t="n">
        <v>1</v>
      </c>
      <c r="V2100" s="0" t="inlineStr">
        <is>
          <t>계단식</t>
        </is>
      </c>
      <c r="W2100" s="0" t="n">
        <v>40</v>
      </c>
      <c r="X2100" s="0" t="n">
        <v>5</v>
      </c>
      <c r="Y2100" s="0" t="n">
        <v>4</v>
      </c>
      <c r="Z2100" s="0" t="inlineStr">
        <is>
          <t>https://new.land.naver.com/complexes/139205?tab=detail&amp;rf=Y</t>
        </is>
      </c>
      <c r="AA2100" s="0" t="inlineStr">
        <is>
          <t>서울시 강동구 성내동 529-6</t>
        </is>
      </c>
      <c r="AB2100" s="0" t="inlineStr">
        <is>
          <t>서울시</t>
        </is>
      </c>
      <c r="AC2100" s="0" t="inlineStr">
        <is>
          <t>강동구</t>
        </is>
      </c>
      <c r="AD2100" s="0" t="inlineStr">
        <is>
          <t>성내동</t>
        </is>
      </c>
      <c r="AG2100" s="0" t="inlineStr">
        <is>
          <t>서울시 강동구 성내로17길 57</t>
        </is>
      </c>
      <c r="AH2100" s="0" t="n">
        <v>0</v>
      </c>
      <c r="AI2100" s="0" t="n">
        <v>0</v>
      </c>
      <c r="AJ2100" s="0" t="n">
        <v>0</v>
      </c>
      <c r="AK2100" s="0" t="n">
        <v>14</v>
      </c>
      <c r="AL2100" s="0" t="n">
        <v>0.78</v>
      </c>
    </row>
    <row r="2101">
      <c r="A2101" s="0" t="inlineStr">
        <is>
          <t>[성내동]</t>
        </is>
      </c>
      <c r="B2101" s="0" t="n">
        <v>139205</v>
      </c>
      <c r="C2101" s="0" t="n">
        <v>5</v>
      </c>
      <c r="D2101" s="0" t="inlineStr">
        <is>
          <t>영진쉐르빌(도시형)</t>
        </is>
      </c>
      <c r="E2101" s="0" t="inlineStr">
        <is>
          <t>2019.01.</t>
        </is>
      </c>
      <c r="F2101" s="0" t="n">
        <v>18</v>
      </c>
      <c r="G2101" s="0" t="n">
        <v>16.64</v>
      </c>
      <c r="H2101" s="0" t="n">
        <v>55.02</v>
      </c>
      <c r="I2101" s="0" t="n">
        <v>13.9</v>
      </c>
      <c r="J2101" s="0" t="n">
        <v>45.97</v>
      </c>
      <c r="K2101" s="0" t="n">
        <v>8</v>
      </c>
      <c r="T2101" s="0" t="n">
        <v>2</v>
      </c>
      <c r="U2101" s="0" t="n">
        <v>1</v>
      </c>
      <c r="V2101" s="0" t="inlineStr">
        <is>
          <t>계단식</t>
        </is>
      </c>
      <c r="W2101" s="0" t="n">
        <v>55</v>
      </c>
      <c r="X2101" s="0" t="n">
        <v>5</v>
      </c>
      <c r="Y2101" s="0" t="n">
        <v>4</v>
      </c>
      <c r="Z2101" s="0" t="inlineStr">
        <is>
          <t>https://new.land.naver.com/complexes/139205?tab=detail&amp;rf=Y</t>
        </is>
      </c>
      <c r="AA2101" s="0" t="inlineStr">
        <is>
          <t>서울시 강동구 성내동 529-6</t>
        </is>
      </c>
      <c r="AB2101" s="0" t="inlineStr">
        <is>
          <t>서울시</t>
        </is>
      </c>
      <c r="AC2101" s="0" t="inlineStr">
        <is>
          <t>강동구</t>
        </is>
      </c>
      <c r="AD2101" s="0" t="inlineStr">
        <is>
          <t>성내동</t>
        </is>
      </c>
      <c r="AG2101" s="0" t="inlineStr">
        <is>
          <t>서울시 강동구 성내로17길 57</t>
        </is>
      </c>
      <c r="AH2101" s="0" t="n">
        <v>0</v>
      </c>
      <c r="AI2101" s="0" t="n">
        <v>0</v>
      </c>
      <c r="AJ2101" s="0" t="n">
        <v>0</v>
      </c>
      <c r="AK2101" s="0" t="n">
        <v>14</v>
      </c>
      <c r="AL2101" s="0" t="n">
        <v>0.78</v>
      </c>
    </row>
    <row r="2102">
      <c r="A2102" s="0" t="inlineStr">
        <is>
          <t>[성내동]</t>
        </is>
      </c>
      <c r="B2102" s="0" t="n">
        <v>139205</v>
      </c>
      <c r="C2102" s="0" t="n">
        <v>6</v>
      </c>
      <c r="D2102" s="0" t="inlineStr">
        <is>
          <t>영진쉐르빌(도시형)</t>
        </is>
      </c>
      <c r="E2102" s="0" t="inlineStr">
        <is>
          <t>2019.01.</t>
        </is>
      </c>
      <c r="F2102" s="0" t="n">
        <v>18</v>
      </c>
      <c r="G2102" s="0" t="n">
        <v>18.12</v>
      </c>
      <c r="H2102" s="0" t="n">
        <v>59.93</v>
      </c>
      <c r="I2102" s="0" t="n">
        <v>14.59</v>
      </c>
      <c r="J2102" s="0" t="n">
        <v>48.24</v>
      </c>
      <c r="K2102" s="0" t="n">
        <v>5</v>
      </c>
      <c r="T2102" s="0" t="n">
        <v>2</v>
      </c>
      <c r="U2102" s="0" t="n">
        <v>1</v>
      </c>
      <c r="V2102" s="0" t="inlineStr">
        <is>
          <t>계단식</t>
        </is>
      </c>
      <c r="W2102" s="0" t="n">
        <v>59</v>
      </c>
      <c r="X2102" s="0" t="n">
        <v>5</v>
      </c>
      <c r="Y2102" s="0" t="n">
        <v>4</v>
      </c>
      <c r="Z2102" s="0" t="inlineStr">
        <is>
          <t>https://new.land.naver.com/complexes/139205?tab=detail&amp;rf=Y</t>
        </is>
      </c>
      <c r="AA2102" s="0" t="inlineStr">
        <is>
          <t>서울시 강동구 성내동 529-6</t>
        </is>
      </c>
      <c r="AB2102" s="0" t="inlineStr">
        <is>
          <t>서울시</t>
        </is>
      </c>
      <c r="AC2102" s="0" t="inlineStr">
        <is>
          <t>강동구</t>
        </is>
      </c>
      <c r="AD2102" s="0" t="inlineStr">
        <is>
          <t>성내동</t>
        </is>
      </c>
      <c r="AG2102" s="0" t="inlineStr">
        <is>
          <t>서울시 강동구 성내로17길 57</t>
        </is>
      </c>
      <c r="AH2102" s="0" t="n">
        <v>0</v>
      </c>
      <c r="AI2102" s="0" t="n">
        <v>0</v>
      </c>
      <c r="AJ2102" s="0" t="n">
        <v>0</v>
      </c>
      <c r="AK2102" s="0" t="n">
        <v>14</v>
      </c>
      <c r="AL2102" s="0" t="n">
        <v>0.78</v>
      </c>
    </row>
    <row r="2103">
      <c r="A2103" s="0" t="inlineStr">
        <is>
          <t>[성내동]</t>
        </is>
      </c>
      <c r="B2103" s="0" t="n">
        <v>139205</v>
      </c>
      <c r="C2103" s="0" t="n">
        <v>7</v>
      </c>
      <c r="D2103" s="0" t="inlineStr">
        <is>
          <t>영진쉐르빌(도시형)</t>
        </is>
      </c>
      <c r="E2103" s="0" t="inlineStr">
        <is>
          <t>2019.01.</t>
        </is>
      </c>
      <c r="F2103" s="0" t="n">
        <v>18</v>
      </c>
      <c r="G2103" s="0" t="n">
        <v>19.18</v>
      </c>
      <c r="H2103" s="0" t="n">
        <v>63.42</v>
      </c>
      <c r="I2103" s="0" t="n">
        <v>15.43</v>
      </c>
      <c r="J2103" s="0" t="n">
        <v>51.04</v>
      </c>
      <c r="K2103" s="0" t="n">
        <v>1</v>
      </c>
      <c r="T2103" s="0" t="n">
        <v>2</v>
      </c>
      <c r="U2103" s="0" t="n">
        <v>1</v>
      </c>
      <c r="V2103" s="0" t="inlineStr">
        <is>
          <t>계단식</t>
        </is>
      </c>
      <c r="W2103" s="0" t="n">
        <v>63</v>
      </c>
      <c r="X2103" s="0" t="n">
        <v>5</v>
      </c>
      <c r="Y2103" s="0" t="n">
        <v>4</v>
      </c>
      <c r="Z2103" s="0" t="inlineStr">
        <is>
          <t>https://new.land.naver.com/complexes/139205?tab=detail&amp;rf=Y</t>
        </is>
      </c>
      <c r="AA2103" s="0" t="inlineStr">
        <is>
          <t>서울시 강동구 성내동 529-6</t>
        </is>
      </c>
      <c r="AB2103" s="0" t="inlineStr">
        <is>
          <t>서울시</t>
        </is>
      </c>
      <c r="AC2103" s="0" t="inlineStr">
        <is>
          <t>강동구</t>
        </is>
      </c>
      <c r="AD2103" s="0" t="inlineStr">
        <is>
          <t>성내동</t>
        </is>
      </c>
      <c r="AG2103" s="0" t="inlineStr">
        <is>
          <t>서울시 강동구 성내로17길 57</t>
        </is>
      </c>
      <c r="AH2103" s="0" t="n">
        <v>0</v>
      </c>
      <c r="AI2103" s="0" t="n">
        <v>0</v>
      </c>
      <c r="AJ2103" s="0" t="n">
        <v>0</v>
      </c>
      <c r="AK2103" s="0" t="n">
        <v>14</v>
      </c>
      <c r="AL2103" s="0" t="n">
        <v>0.78</v>
      </c>
    </row>
    <row r="2104">
      <c r="A2104" s="0" t="inlineStr">
        <is>
          <t>[성내동]</t>
        </is>
      </c>
      <c r="B2104" s="0" t="n">
        <v>10274</v>
      </c>
      <c r="C2104" s="0" t="n">
        <v>1</v>
      </c>
      <c r="D2104" s="0" t="inlineStr">
        <is>
          <t>파크프라자</t>
        </is>
      </c>
      <c r="E2104" s="0" t="inlineStr">
        <is>
          <t>2003.05.</t>
        </is>
      </c>
      <c r="F2104" s="0" t="n">
        <v>87</v>
      </c>
      <c r="G2104" s="0" t="n">
        <v>20.36</v>
      </c>
      <c r="H2104" s="0" t="n">
        <v>67.33</v>
      </c>
      <c r="I2104" s="0" t="n">
        <v>16.04</v>
      </c>
      <c r="J2104" s="0" t="n">
        <v>53.03</v>
      </c>
      <c r="K2104" s="0" t="n">
        <v>1</v>
      </c>
      <c r="T2104" s="0" t="n">
        <v>2</v>
      </c>
      <c r="U2104" s="0" t="n">
        <v>1</v>
      </c>
      <c r="V2104" s="0" t="inlineStr">
        <is>
          <t>복도식</t>
        </is>
      </c>
      <c r="W2104" s="0" t="n">
        <v>67</v>
      </c>
      <c r="X2104" s="0" t="n">
        <v>12</v>
      </c>
      <c r="Y2104" s="0" t="n">
        <v>9</v>
      </c>
      <c r="Z2104" s="0" t="inlineStr">
        <is>
          <t>https://new.land.naver.com/complexes/10274?tab=detail&amp;rf=Y</t>
        </is>
      </c>
      <c r="AA2104" s="0" t="inlineStr">
        <is>
          <t>서울시 강동구 성내동 428-2</t>
        </is>
      </c>
      <c r="AB2104" s="0" t="inlineStr">
        <is>
          <t>서울시</t>
        </is>
      </c>
      <c r="AC2104" s="0" t="inlineStr">
        <is>
          <t>강동구</t>
        </is>
      </c>
      <c r="AD2104" s="0" t="inlineStr">
        <is>
          <t>성내동</t>
        </is>
      </c>
      <c r="AG2104" s="0" t="inlineStr">
        <is>
          <t>서울시 강동구 양재대로89길 16</t>
        </is>
      </c>
      <c r="AH2104" s="0" t="n">
        <v>0</v>
      </c>
      <c r="AI2104" s="0" t="n">
        <v>395</v>
      </c>
      <c r="AJ2104" s="0" t="n">
        <v>56</v>
      </c>
      <c r="AK2104" s="0" t="n">
        <v>202</v>
      </c>
      <c r="AL2104" s="0" t="n">
        <v>2.32</v>
      </c>
    </row>
    <row r="2105">
      <c r="A2105" s="0" t="inlineStr">
        <is>
          <t>[성내동]</t>
        </is>
      </c>
      <c r="B2105" s="0" t="n">
        <v>10274</v>
      </c>
      <c r="C2105" s="0" t="n">
        <v>2</v>
      </c>
      <c r="D2105" s="0" t="inlineStr">
        <is>
          <t>파크프라자</t>
        </is>
      </c>
      <c r="E2105" s="0" t="inlineStr">
        <is>
          <t>2003.05.</t>
        </is>
      </c>
      <c r="F2105" s="0" t="n">
        <v>87</v>
      </c>
      <c r="G2105" s="0" t="n">
        <v>22.32</v>
      </c>
      <c r="H2105" s="0" t="n">
        <v>73.8</v>
      </c>
      <c r="I2105" s="0" t="n">
        <v>17.58</v>
      </c>
      <c r="J2105" s="0" t="n">
        <v>58.13</v>
      </c>
      <c r="K2105" s="0" t="n">
        <v>6</v>
      </c>
      <c r="T2105" s="0" t="n">
        <v>2</v>
      </c>
      <c r="U2105" s="0" t="n">
        <v>1</v>
      </c>
      <c r="V2105" s="0" t="inlineStr">
        <is>
          <t>복도식</t>
        </is>
      </c>
      <c r="W2105" s="0" t="n">
        <v>73</v>
      </c>
      <c r="X2105" s="0" t="n">
        <v>12</v>
      </c>
      <c r="Y2105" s="0" t="n">
        <v>9</v>
      </c>
      <c r="Z2105" s="0" t="inlineStr">
        <is>
          <t>https://new.land.naver.com/complexes/10274?tab=detail&amp;rf=Y</t>
        </is>
      </c>
      <c r="AA2105" s="0" t="inlineStr">
        <is>
          <t>서울시 강동구 성내동 428-2</t>
        </is>
      </c>
      <c r="AB2105" s="0" t="inlineStr">
        <is>
          <t>서울시</t>
        </is>
      </c>
      <c r="AC2105" s="0" t="inlineStr">
        <is>
          <t>강동구</t>
        </is>
      </c>
      <c r="AD2105" s="0" t="inlineStr">
        <is>
          <t>성내동</t>
        </is>
      </c>
      <c r="AG2105" s="0" t="inlineStr">
        <is>
          <t>서울시 강동구 양재대로89길 16</t>
        </is>
      </c>
      <c r="AH2105" s="0" t="n">
        <v>0</v>
      </c>
      <c r="AI2105" s="0" t="n">
        <v>395</v>
      </c>
      <c r="AJ2105" s="0" t="n">
        <v>56</v>
      </c>
      <c r="AK2105" s="0" t="n">
        <v>202</v>
      </c>
      <c r="AL2105" s="0" t="n">
        <v>2.32</v>
      </c>
    </row>
    <row r="2106">
      <c r="A2106" s="0" t="inlineStr">
        <is>
          <t>[성내동]</t>
        </is>
      </c>
      <c r="B2106" s="0" t="n">
        <v>10274</v>
      </c>
      <c r="C2106" s="0" t="n">
        <v>3</v>
      </c>
      <c r="D2106" s="0" t="inlineStr">
        <is>
          <t>파크프라자</t>
        </is>
      </c>
      <c r="E2106" s="0" t="inlineStr">
        <is>
          <t>2003.05.</t>
        </is>
      </c>
      <c r="F2106" s="0" t="n">
        <v>87</v>
      </c>
      <c r="G2106" s="0" t="n">
        <v>26.49</v>
      </c>
      <c r="H2106" s="0" t="n">
        <v>87.59</v>
      </c>
      <c r="I2106" s="0" t="n">
        <v>20.86</v>
      </c>
      <c r="J2106" s="0" t="n">
        <v>68.98999999999999</v>
      </c>
      <c r="K2106" s="0" t="n">
        <v>1</v>
      </c>
      <c r="T2106" s="0" t="n">
        <v>2</v>
      </c>
      <c r="U2106" s="0" t="n">
        <v>1</v>
      </c>
      <c r="V2106" s="0" t="inlineStr">
        <is>
          <t>복도식</t>
        </is>
      </c>
      <c r="W2106" s="0" t="n">
        <v>87</v>
      </c>
      <c r="X2106" s="0" t="n">
        <v>12</v>
      </c>
      <c r="Y2106" s="0" t="n">
        <v>9</v>
      </c>
      <c r="Z2106" s="0" t="inlineStr">
        <is>
          <t>https://new.land.naver.com/complexes/10274?tab=detail&amp;rf=Y</t>
        </is>
      </c>
      <c r="AA2106" s="0" t="inlineStr">
        <is>
          <t>서울시 강동구 성내동 428-2</t>
        </is>
      </c>
      <c r="AB2106" s="0" t="inlineStr">
        <is>
          <t>서울시</t>
        </is>
      </c>
      <c r="AC2106" s="0" t="inlineStr">
        <is>
          <t>강동구</t>
        </is>
      </c>
      <c r="AD2106" s="0" t="inlineStr">
        <is>
          <t>성내동</t>
        </is>
      </c>
      <c r="AG2106" s="0" t="inlineStr">
        <is>
          <t>서울시 강동구 양재대로89길 16</t>
        </is>
      </c>
      <c r="AH2106" s="0" t="n">
        <v>0</v>
      </c>
      <c r="AI2106" s="0" t="n">
        <v>395</v>
      </c>
      <c r="AJ2106" s="0" t="n">
        <v>56</v>
      </c>
      <c r="AK2106" s="0" t="n">
        <v>202</v>
      </c>
      <c r="AL2106" s="0" t="n">
        <v>2.32</v>
      </c>
    </row>
    <row r="2107">
      <c r="A2107" s="0" t="inlineStr">
        <is>
          <t>[성내동]</t>
        </is>
      </c>
      <c r="B2107" s="0" t="n">
        <v>10274</v>
      </c>
      <c r="C2107" s="0" t="n">
        <v>4</v>
      </c>
      <c r="D2107" s="0" t="inlineStr">
        <is>
          <t>파크프라자</t>
        </is>
      </c>
      <c r="E2107" s="0" t="inlineStr">
        <is>
          <t>2003.05.</t>
        </is>
      </c>
      <c r="F2107" s="0" t="n">
        <v>87</v>
      </c>
      <c r="G2107" s="0" t="n">
        <v>27.77</v>
      </c>
      <c r="H2107" s="0" t="n">
        <v>91.83</v>
      </c>
      <c r="I2107" s="0" t="n">
        <v>21.87</v>
      </c>
      <c r="J2107" s="0" t="n">
        <v>72.33</v>
      </c>
      <c r="K2107" s="0" t="n">
        <v>2</v>
      </c>
      <c r="T2107" s="0" t="n">
        <v>3</v>
      </c>
      <c r="U2107" s="0" t="n">
        <v>2</v>
      </c>
      <c r="V2107" s="0" t="inlineStr">
        <is>
          <t>복도식</t>
        </is>
      </c>
      <c r="W2107" s="0" t="inlineStr">
        <is>
          <t>91B</t>
        </is>
      </c>
      <c r="X2107" s="0" t="n">
        <v>12</v>
      </c>
      <c r="Y2107" s="0" t="n">
        <v>9</v>
      </c>
      <c r="Z2107" s="0" t="inlineStr">
        <is>
          <t>https://new.land.naver.com/complexes/10274?tab=detail&amp;rf=Y</t>
        </is>
      </c>
      <c r="AA2107" s="0" t="inlineStr">
        <is>
          <t>서울시 강동구 성내동 428-2</t>
        </is>
      </c>
      <c r="AB2107" s="0" t="inlineStr">
        <is>
          <t>서울시</t>
        </is>
      </c>
      <c r="AC2107" s="0" t="inlineStr">
        <is>
          <t>강동구</t>
        </is>
      </c>
      <c r="AD2107" s="0" t="inlineStr">
        <is>
          <t>성내동</t>
        </is>
      </c>
      <c r="AG2107" s="0" t="inlineStr">
        <is>
          <t>서울시 강동구 양재대로89길 16</t>
        </is>
      </c>
      <c r="AH2107" s="0" t="n">
        <v>0</v>
      </c>
      <c r="AI2107" s="0" t="n">
        <v>395</v>
      </c>
      <c r="AJ2107" s="0" t="n">
        <v>56</v>
      </c>
      <c r="AK2107" s="0" t="n">
        <v>202</v>
      </c>
      <c r="AL2107" s="0" t="n">
        <v>2.32</v>
      </c>
    </row>
    <row r="2108">
      <c r="A2108" s="0" t="inlineStr">
        <is>
          <t>[성내동]</t>
        </is>
      </c>
      <c r="B2108" s="0" t="n">
        <v>10274</v>
      </c>
      <c r="C2108" s="0" t="n">
        <v>5</v>
      </c>
      <c r="D2108" s="0" t="inlineStr">
        <is>
          <t>파크프라자</t>
        </is>
      </c>
      <c r="E2108" s="0" t="inlineStr">
        <is>
          <t>2003.05.</t>
        </is>
      </c>
      <c r="F2108" s="0" t="n">
        <v>87</v>
      </c>
      <c r="G2108" s="0" t="n">
        <v>27.77</v>
      </c>
      <c r="H2108" s="0" t="n">
        <v>91.81</v>
      </c>
      <c r="I2108" s="0" t="n">
        <v>21.87</v>
      </c>
      <c r="J2108" s="0" t="n">
        <v>72.31</v>
      </c>
      <c r="K2108" s="0" t="n">
        <v>1</v>
      </c>
      <c r="T2108" s="0" t="n">
        <v>3</v>
      </c>
      <c r="U2108" s="0" t="n">
        <v>2</v>
      </c>
      <c r="V2108" s="0" t="inlineStr">
        <is>
          <t>복도식</t>
        </is>
      </c>
      <c r="W2108" s="0" t="inlineStr">
        <is>
          <t>91A</t>
        </is>
      </c>
      <c r="X2108" s="0" t="n">
        <v>12</v>
      </c>
      <c r="Y2108" s="0" t="n">
        <v>9</v>
      </c>
      <c r="Z2108" s="0" t="inlineStr">
        <is>
          <t>https://new.land.naver.com/complexes/10274?tab=detail&amp;rf=Y</t>
        </is>
      </c>
      <c r="AA2108" s="0" t="inlineStr">
        <is>
          <t>서울시 강동구 성내동 428-2</t>
        </is>
      </c>
      <c r="AB2108" s="0" t="inlineStr">
        <is>
          <t>서울시</t>
        </is>
      </c>
      <c r="AC2108" s="0" t="inlineStr">
        <is>
          <t>강동구</t>
        </is>
      </c>
      <c r="AD2108" s="0" t="inlineStr">
        <is>
          <t>성내동</t>
        </is>
      </c>
      <c r="AG2108" s="0" t="inlineStr">
        <is>
          <t>서울시 강동구 양재대로89길 16</t>
        </is>
      </c>
      <c r="AH2108" s="0" t="n">
        <v>0</v>
      </c>
      <c r="AI2108" s="0" t="n">
        <v>395</v>
      </c>
      <c r="AJ2108" s="0" t="n">
        <v>56</v>
      </c>
      <c r="AK2108" s="0" t="n">
        <v>202</v>
      </c>
      <c r="AL2108" s="0" t="n">
        <v>2.32</v>
      </c>
    </row>
    <row r="2109">
      <c r="A2109" s="0" t="inlineStr">
        <is>
          <t>[성내동]</t>
        </is>
      </c>
      <c r="B2109" s="0" t="n">
        <v>10274</v>
      </c>
      <c r="C2109" s="0" t="n">
        <v>6</v>
      </c>
      <c r="D2109" s="0" t="inlineStr">
        <is>
          <t>파크프라자</t>
        </is>
      </c>
      <c r="E2109" s="0" t="inlineStr">
        <is>
          <t>2003.05.</t>
        </is>
      </c>
      <c r="F2109" s="0" t="n">
        <v>87</v>
      </c>
      <c r="G2109" s="0" t="n">
        <v>28.36</v>
      </c>
      <c r="H2109" s="0" t="n">
        <v>93.76000000000001</v>
      </c>
      <c r="I2109" s="0" t="n">
        <v>22.33</v>
      </c>
      <c r="J2109" s="0" t="n">
        <v>73.84999999999999</v>
      </c>
      <c r="K2109" s="0" t="n">
        <v>2</v>
      </c>
      <c r="T2109" s="0" t="n">
        <v>3</v>
      </c>
      <c r="U2109" s="0" t="n">
        <v>2</v>
      </c>
      <c r="V2109" s="0" t="inlineStr">
        <is>
          <t>복도식</t>
        </is>
      </c>
      <c r="W2109" s="0" t="inlineStr">
        <is>
          <t>93C</t>
        </is>
      </c>
      <c r="X2109" s="0" t="n">
        <v>12</v>
      </c>
      <c r="Y2109" s="0" t="n">
        <v>9</v>
      </c>
      <c r="Z2109" s="0" t="inlineStr">
        <is>
          <t>https://new.land.naver.com/complexes/10274?tab=detail&amp;rf=Y</t>
        </is>
      </c>
      <c r="AA2109" s="0" t="inlineStr">
        <is>
          <t>서울시 강동구 성내동 428-2</t>
        </is>
      </c>
      <c r="AB2109" s="0" t="inlineStr">
        <is>
          <t>서울시</t>
        </is>
      </c>
      <c r="AC2109" s="0" t="inlineStr">
        <is>
          <t>강동구</t>
        </is>
      </c>
      <c r="AD2109" s="0" t="inlineStr">
        <is>
          <t>성내동</t>
        </is>
      </c>
      <c r="AG2109" s="0" t="inlineStr">
        <is>
          <t>서울시 강동구 양재대로89길 16</t>
        </is>
      </c>
      <c r="AH2109" s="0" t="n">
        <v>0</v>
      </c>
      <c r="AI2109" s="0" t="n">
        <v>395</v>
      </c>
      <c r="AJ2109" s="0" t="n">
        <v>56</v>
      </c>
      <c r="AK2109" s="0" t="n">
        <v>202</v>
      </c>
      <c r="AL2109" s="0" t="n">
        <v>2.32</v>
      </c>
    </row>
    <row r="2110">
      <c r="A2110" s="0" t="inlineStr">
        <is>
          <t>[성내동]</t>
        </is>
      </c>
      <c r="B2110" s="0" t="n">
        <v>10274</v>
      </c>
      <c r="C2110" s="0" t="n">
        <v>7</v>
      </c>
      <c r="D2110" s="0" t="inlineStr">
        <is>
          <t>파크프라자</t>
        </is>
      </c>
      <c r="E2110" s="0" t="inlineStr">
        <is>
          <t>2003.05.</t>
        </is>
      </c>
      <c r="F2110" s="0" t="n">
        <v>87</v>
      </c>
      <c r="G2110" s="0" t="n">
        <v>29.72</v>
      </c>
      <c r="H2110" s="0" t="n">
        <v>98.28</v>
      </c>
      <c r="I2110" s="0" t="n">
        <v>23.41</v>
      </c>
      <c r="J2110" s="0" t="n">
        <v>77.41</v>
      </c>
      <c r="K2110" s="0" t="n">
        <v>6</v>
      </c>
      <c r="T2110" s="0" t="n">
        <v>3</v>
      </c>
      <c r="U2110" s="0" t="n">
        <v>2</v>
      </c>
      <c r="V2110" s="0" t="inlineStr">
        <is>
          <t>복도식</t>
        </is>
      </c>
      <c r="W2110" s="0" t="n">
        <v>98</v>
      </c>
      <c r="X2110" s="0" t="n">
        <v>12</v>
      </c>
      <c r="Y2110" s="0" t="n">
        <v>9</v>
      </c>
      <c r="Z2110" s="0" t="inlineStr">
        <is>
          <t>https://new.land.naver.com/complexes/10274?tab=detail&amp;rf=Y</t>
        </is>
      </c>
      <c r="AA2110" s="0" t="inlineStr">
        <is>
          <t>서울시 강동구 성내동 428-2</t>
        </is>
      </c>
      <c r="AB2110" s="0" t="inlineStr">
        <is>
          <t>서울시</t>
        </is>
      </c>
      <c r="AC2110" s="0" t="inlineStr">
        <is>
          <t>강동구</t>
        </is>
      </c>
      <c r="AD2110" s="0" t="inlineStr">
        <is>
          <t>성내동</t>
        </is>
      </c>
      <c r="AG2110" s="0" t="inlineStr">
        <is>
          <t>서울시 강동구 양재대로89길 16</t>
        </is>
      </c>
      <c r="AH2110" s="0" t="n">
        <v>0</v>
      </c>
      <c r="AI2110" s="0" t="n">
        <v>395</v>
      </c>
      <c r="AJ2110" s="0" t="n">
        <v>56</v>
      </c>
      <c r="AK2110" s="0" t="n">
        <v>202</v>
      </c>
      <c r="AL2110" s="0" t="n">
        <v>2.32</v>
      </c>
    </row>
    <row r="2111">
      <c r="A2111" s="0" t="inlineStr">
        <is>
          <t>[성내동]</t>
        </is>
      </c>
      <c r="B2111" s="0" t="n">
        <v>10274</v>
      </c>
      <c r="C2111" s="0" t="n">
        <v>8</v>
      </c>
      <c r="D2111" s="0" t="inlineStr">
        <is>
          <t>파크프라자</t>
        </is>
      </c>
      <c r="E2111" s="0" t="inlineStr">
        <is>
          <t>2003.05.</t>
        </is>
      </c>
      <c r="F2111" s="0" t="n">
        <v>87</v>
      </c>
      <c r="G2111" s="0" t="n">
        <v>31.55</v>
      </c>
      <c r="H2111" s="0" t="n">
        <v>104.3</v>
      </c>
      <c r="I2111" s="0" t="n">
        <v>24.85</v>
      </c>
      <c r="J2111" s="0" t="n">
        <v>82.15000000000001</v>
      </c>
      <c r="K2111" s="0" t="n">
        <v>1</v>
      </c>
      <c r="T2111" s="0" t="n">
        <v>3</v>
      </c>
      <c r="U2111" s="0" t="n">
        <v>2</v>
      </c>
      <c r="V2111" s="0" t="inlineStr">
        <is>
          <t>복도식</t>
        </is>
      </c>
      <c r="W2111" s="0" t="inlineStr">
        <is>
          <t>104A</t>
        </is>
      </c>
      <c r="X2111" s="0" t="n">
        <v>12</v>
      </c>
      <c r="Y2111" s="0" t="n">
        <v>9</v>
      </c>
      <c r="Z2111" s="0" t="inlineStr">
        <is>
          <t>https://new.land.naver.com/complexes/10274?tab=detail&amp;rf=Y</t>
        </is>
      </c>
      <c r="AA2111" s="0" t="inlineStr">
        <is>
          <t>서울시 강동구 성내동 428-2</t>
        </is>
      </c>
      <c r="AB2111" s="0" t="inlineStr">
        <is>
          <t>서울시</t>
        </is>
      </c>
      <c r="AC2111" s="0" t="inlineStr">
        <is>
          <t>강동구</t>
        </is>
      </c>
      <c r="AD2111" s="0" t="inlineStr">
        <is>
          <t>성내동</t>
        </is>
      </c>
      <c r="AG2111" s="0" t="inlineStr">
        <is>
          <t>서울시 강동구 양재대로89길 16</t>
        </is>
      </c>
      <c r="AH2111" s="0" t="n">
        <v>0</v>
      </c>
      <c r="AI2111" s="0" t="n">
        <v>395</v>
      </c>
      <c r="AJ2111" s="0" t="n">
        <v>56</v>
      </c>
      <c r="AK2111" s="0" t="n">
        <v>202</v>
      </c>
      <c r="AL2111" s="0" t="n">
        <v>2.32</v>
      </c>
    </row>
    <row r="2112">
      <c r="A2112" s="0" t="inlineStr">
        <is>
          <t>[성내동]</t>
        </is>
      </c>
      <c r="B2112" s="0" t="n">
        <v>10274</v>
      </c>
      <c r="C2112" s="0" t="n">
        <v>9</v>
      </c>
      <c r="D2112" s="0" t="inlineStr">
        <is>
          <t>파크프라자</t>
        </is>
      </c>
      <c r="E2112" s="0" t="inlineStr">
        <is>
          <t>2003.05.</t>
        </is>
      </c>
      <c r="F2112" s="0" t="n">
        <v>87</v>
      </c>
      <c r="G2112" s="0" t="n">
        <v>32.61</v>
      </c>
      <c r="H2112" s="0" t="n">
        <v>107.83</v>
      </c>
      <c r="I2112" s="0" t="n">
        <v>25.69</v>
      </c>
      <c r="J2112" s="0" t="n">
        <v>84.93000000000001</v>
      </c>
      <c r="K2112" s="0" t="n">
        <v>2</v>
      </c>
      <c r="T2112" s="0" t="n">
        <v>3</v>
      </c>
      <c r="U2112" s="0" t="n">
        <v>2</v>
      </c>
      <c r="V2112" s="0" t="inlineStr">
        <is>
          <t>복도식</t>
        </is>
      </c>
      <c r="W2112" s="0" t="inlineStr">
        <is>
          <t>107B</t>
        </is>
      </c>
      <c r="X2112" s="0" t="n">
        <v>12</v>
      </c>
      <c r="Y2112" s="0" t="n">
        <v>9</v>
      </c>
      <c r="Z2112" s="0" t="inlineStr">
        <is>
          <t>https://new.land.naver.com/complexes/10274?tab=detail&amp;rf=Y</t>
        </is>
      </c>
      <c r="AA2112" s="0" t="inlineStr">
        <is>
          <t>서울시 강동구 성내동 428-2</t>
        </is>
      </c>
      <c r="AB2112" s="0" t="inlineStr">
        <is>
          <t>서울시</t>
        </is>
      </c>
      <c r="AC2112" s="0" t="inlineStr">
        <is>
          <t>강동구</t>
        </is>
      </c>
      <c r="AD2112" s="0" t="inlineStr">
        <is>
          <t>성내동</t>
        </is>
      </c>
      <c r="AG2112" s="0" t="inlineStr">
        <is>
          <t>서울시 강동구 양재대로89길 16</t>
        </is>
      </c>
      <c r="AH2112" s="0" t="n">
        <v>0</v>
      </c>
      <c r="AI2112" s="0" t="n">
        <v>395</v>
      </c>
      <c r="AJ2112" s="0" t="n">
        <v>56</v>
      </c>
      <c r="AK2112" s="0" t="n">
        <v>202</v>
      </c>
      <c r="AL2112" s="0" t="n">
        <v>2.32</v>
      </c>
    </row>
    <row r="2113">
      <c r="A2113" s="0" t="inlineStr">
        <is>
          <t>[성내동]</t>
        </is>
      </c>
      <c r="B2113" s="0" t="n">
        <v>10274</v>
      </c>
      <c r="C2113" s="0" t="n">
        <v>10</v>
      </c>
      <c r="D2113" s="0" t="inlineStr">
        <is>
          <t>파크프라자</t>
        </is>
      </c>
      <c r="E2113" s="0" t="inlineStr">
        <is>
          <t>2003.05.</t>
        </is>
      </c>
      <c r="F2113" s="0" t="n">
        <v>87</v>
      </c>
      <c r="G2113" s="0" t="n">
        <v>32.85</v>
      </c>
      <c r="H2113" s="0" t="n">
        <v>108.61</v>
      </c>
      <c r="I2113" s="0" t="n">
        <v>25.87</v>
      </c>
      <c r="J2113" s="0" t="n">
        <v>85.54000000000001</v>
      </c>
      <c r="K2113" s="0" t="n">
        <v>1</v>
      </c>
      <c r="T2113" s="0" t="n">
        <v>3</v>
      </c>
      <c r="U2113" s="0" t="n">
        <v>2</v>
      </c>
      <c r="V2113" s="0" t="inlineStr">
        <is>
          <t>복도식</t>
        </is>
      </c>
      <c r="W2113" s="0" t="n">
        <v>108</v>
      </c>
      <c r="X2113" s="0" t="n">
        <v>12</v>
      </c>
      <c r="Y2113" s="0" t="n">
        <v>9</v>
      </c>
      <c r="Z2113" s="0" t="inlineStr">
        <is>
          <t>https://new.land.naver.com/complexes/10274?tab=detail&amp;rf=Y</t>
        </is>
      </c>
      <c r="AA2113" s="0" t="inlineStr">
        <is>
          <t>서울시 강동구 성내동 428-2</t>
        </is>
      </c>
      <c r="AB2113" s="0" t="inlineStr">
        <is>
          <t>서울시</t>
        </is>
      </c>
      <c r="AC2113" s="0" t="inlineStr">
        <is>
          <t>강동구</t>
        </is>
      </c>
      <c r="AD2113" s="0" t="inlineStr">
        <is>
          <t>성내동</t>
        </is>
      </c>
      <c r="AG2113" s="0" t="inlineStr">
        <is>
          <t>서울시 강동구 양재대로89길 16</t>
        </is>
      </c>
      <c r="AH2113" s="0" t="n">
        <v>0</v>
      </c>
      <c r="AI2113" s="0" t="n">
        <v>395</v>
      </c>
      <c r="AJ2113" s="0" t="n">
        <v>56</v>
      </c>
      <c r="AK2113" s="0" t="n">
        <v>202</v>
      </c>
      <c r="AL2113" s="0" t="n">
        <v>2.32</v>
      </c>
    </row>
    <row r="2114">
      <c r="A2114" s="0" t="inlineStr">
        <is>
          <t>[성내동]</t>
        </is>
      </c>
      <c r="B2114" s="0" t="n">
        <v>10274</v>
      </c>
      <c r="C2114" s="0" t="n">
        <v>11</v>
      </c>
      <c r="D2114" s="0" t="inlineStr">
        <is>
          <t>파크프라자</t>
        </is>
      </c>
      <c r="E2114" s="0" t="inlineStr">
        <is>
          <t>2003.05.</t>
        </is>
      </c>
      <c r="F2114" s="0" t="n">
        <v>87</v>
      </c>
      <c r="G2114" s="0" t="n">
        <v>34.93</v>
      </c>
      <c r="H2114" s="0" t="n">
        <v>115.49</v>
      </c>
      <c r="I2114" s="0" t="n">
        <v>27.51</v>
      </c>
      <c r="J2114" s="0" t="n">
        <v>90.95999999999999</v>
      </c>
      <c r="K2114" s="0" t="n">
        <v>22</v>
      </c>
      <c r="T2114" s="0" t="n">
        <v>3</v>
      </c>
      <c r="U2114" s="0" t="n">
        <v>2</v>
      </c>
      <c r="V2114" s="0" t="inlineStr">
        <is>
          <t>복도식</t>
        </is>
      </c>
      <c r="W2114" s="0" t="n">
        <v>115</v>
      </c>
      <c r="X2114" s="0" t="n">
        <v>12</v>
      </c>
      <c r="Y2114" s="0" t="n">
        <v>9</v>
      </c>
      <c r="Z2114" s="0" t="inlineStr">
        <is>
          <t>https://new.land.naver.com/complexes/10274?tab=detail&amp;rf=Y</t>
        </is>
      </c>
      <c r="AA2114" s="0" t="inlineStr">
        <is>
          <t>서울시 강동구 성내동 428-2</t>
        </is>
      </c>
      <c r="AB2114" s="0" t="inlineStr">
        <is>
          <t>서울시</t>
        </is>
      </c>
      <c r="AC2114" s="0" t="inlineStr">
        <is>
          <t>강동구</t>
        </is>
      </c>
      <c r="AD2114" s="0" t="inlineStr">
        <is>
          <t>성내동</t>
        </is>
      </c>
      <c r="AG2114" s="0" t="inlineStr">
        <is>
          <t>서울시 강동구 양재대로89길 16</t>
        </is>
      </c>
      <c r="AH2114" s="0" t="n">
        <v>0</v>
      </c>
      <c r="AI2114" s="0" t="n">
        <v>395</v>
      </c>
      <c r="AJ2114" s="0" t="n">
        <v>56</v>
      </c>
      <c r="AK2114" s="0" t="n">
        <v>202</v>
      </c>
      <c r="AL2114" s="0" t="n">
        <v>2.32</v>
      </c>
    </row>
    <row r="2115">
      <c r="A2115" s="0" t="inlineStr">
        <is>
          <t>[성내동]</t>
        </is>
      </c>
      <c r="B2115" s="0" t="n">
        <v>10274</v>
      </c>
      <c r="C2115" s="0" t="n">
        <v>12</v>
      </c>
      <c r="D2115" s="0" t="inlineStr">
        <is>
          <t>파크프라자</t>
        </is>
      </c>
      <c r="E2115" s="0" t="inlineStr">
        <is>
          <t>2003.05.</t>
        </is>
      </c>
      <c r="F2115" s="0" t="n">
        <v>87</v>
      </c>
      <c r="G2115" s="0" t="n">
        <v>37.45</v>
      </c>
      <c r="H2115" s="0" t="n">
        <v>123.83</v>
      </c>
      <c r="I2115" s="0" t="n">
        <v>29.5</v>
      </c>
      <c r="J2115" s="0" t="n">
        <v>97.53</v>
      </c>
      <c r="K2115" s="0" t="n">
        <v>32</v>
      </c>
      <c r="T2115" s="0" t="n">
        <v>3</v>
      </c>
      <c r="U2115" s="0" t="n">
        <v>2</v>
      </c>
      <c r="V2115" s="0" t="inlineStr">
        <is>
          <t>복도식</t>
        </is>
      </c>
      <c r="W2115" s="0" t="inlineStr">
        <is>
          <t>123B</t>
        </is>
      </c>
      <c r="X2115" s="0" t="n">
        <v>12</v>
      </c>
      <c r="Y2115" s="0" t="n">
        <v>9</v>
      </c>
      <c r="Z2115" s="0" t="inlineStr">
        <is>
          <t>https://new.land.naver.com/complexes/10274?tab=detail&amp;rf=Y</t>
        </is>
      </c>
      <c r="AA2115" s="0" t="inlineStr">
        <is>
          <t>서울시 강동구 성내동 428-2</t>
        </is>
      </c>
      <c r="AB2115" s="0" t="inlineStr">
        <is>
          <t>서울시</t>
        </is>
      </c>
      <c r="AC2115" s="0" t="inlineStr">
        <is>
          <t>강동구</t>
        </is>
      </c>
      <c r="AD2115" s="0" t="inlineStr">
        <is>
          <t>성내동</t>
        </is>
      </c>
      <c r="AG2115" s="0" t="inlineStr">
        <is>
          <t>서울시 강동구 양재대로89길 16</t>
        </is>
      </c>
      <c r="AH2115" s="0" t="n">
        <v>0</v>
      </c>
      <c r="AI2115" s="0" t="n">
        <v>395</v>
      </c>
      <c r="AJ2115" s="0" t="n">
        <v>56</v>
      </c>
      <c r="AK2115" s="0" t="n">
        <v>202</v>
      </c>
      <c r="AL2115" s="0" t="n">
        <v>2.32</v>
      </c>
    </row>
    <row r="2116">
      <c r="A2116" s="0" t="inlineStr">
        <is>
          <t>[성내동]</t>
        </is>
      </c>
      <c r="B2116" s="0" t="n">
        <v>10274</v>
      </c>
      <c r="C2116" s="0" t="n">
        <v>13</v>
      </c>
      <c r="D2116" s="0" t="inlineStr">
        <is>
          <t>파크프라자</t>
        </is>
      </c>
      <c r="E2116" s="0" t="inlineStr">
        <is>
          <t>2003.05.</t>
        </is>
      </c>
      <c r="F2116" s="0" t="n">
        <v>87</v>
      </c>
      <c r="G2116" s="0" t="n">
        <v>37.28</v>
      </c>
      <c r="H2116" s="0" t="n">
        <v>123.27</v>
      </c>
      <c r="I2116" s="0" t="n">
        <v>29.36</v>
      </c>
      <c r="J2116" s="0" t="n">
        <v>97.09</v>
      </c>
      <c r="K2116" s="0" t="n">
        <v>1</v>
      </c>
      <c r="T2116" s="0" t="n">
        <v>3</v>
      </c>
      <c r="U2116" s="0" t="n">
        <v>2</v>
      </c>
      <c r="V2116" s="0" t="inlineStr">
        <is>
          <t>복도식</t>
        </is>
      </c>
      <c r="W2116" s="0" t="inlineStr">
        <is>
          <t>123A</t>
        </is>
      </c>
      <c r="X2116" s="0" t="n">
        <v>12</v>
      </c>
      <c r="Y2116" s="0" t="n">
        <v>9</v>
      </c>
      <c r="Z2116" s="0" t="inlineStr">
        <is>
          <t>https://new.land.naver.com/complexes/10274?tab=detail&amp;rf=Y</t>
        </is>
      </c>
      <c r="AA2116" s="0" t="inlineStr">
        <is>
          <t>서울시 강동구 성내동 428-2</t>
        </is>
      </c>
      <c r="AB2116" s="0" t="inlineStr">
        <is>
          <t>서울시</t>
        </is>
      </c>
      <c r="AC2116" s="0" t="inlineStr">
        <is>
          <t>강동구</t>
        </is>
      </c>
      <c r="AD2116" s="0" t="inlineStr">
        <is>
          <t>성내동</t>
        </is>
      </c>
      <c r="AG2116" s="0" t="inlineStr">
        <is>
          <t>서울시 강동구 양재대로89길 16</t>
        </is>
      </c>
      <c r="AH2116" s="0" t="n">
        <v>0</v>
      </c>
      <c r="AI2116" s="0" t="n">
        <v>395</v>
      </c>
      <c r="AJ2116" s="0" t="n">
        <v>56</v>
      </c>
      <c r="AK2116" s="0" t="n">
        <v>202</v>
      </c>
      <c r="AL2116" s="0" t="n">
        <v>2.32</v>
      </c>
    </row>
    <row r="2117">
      <c r="A2117" s="0" t="inlineStr">
        <is>
          <t>[성내동]</t>
        </is>
      </c>
      <c r="B2117" s="0" t="n">
        <v>10274</v>
      </c>
      <c r="C2117" s="0" t="n">
        <v>14</v>
      </c>
      <c r="D2117" s="0" t="inlineStr">
        <is>
          <t>파크프라자</t>
        </is>
      </c>
      <c r="E2117" s="0" t="inlineStr">
        <is>
          <t>2003.05.</t>
        </is>
      </c>
      <c r="F2117" s="0" t="n">
        <v>87</v>
      </c>
      <c r="G2117" s="0" t="n">
        <v>41.16</v>
      </c>
      <c r="H2117" s="0" t="n">
        <v>136.07</v>
      </c>
      <c r="I2117" s="0" t="n">
        <v>32.41</v>
      </c>
      <c r="J2117" s="0" t="n">
        <v>107.17</v>
      </c>
      <c r="K2117" s="0" t="n">
        <v>6</v>
      </c>
      <c r="T2117" s="0" t="n">
        <v>4</v>
      </c>
      <c r="U2117" s="0" t="n">
        <v>2</v>
      </c>
      <c r="V2117" s="0" t="inlineStr">
        <is>
          <t>복도식</t>
        </is>
      </c>
      <c r="W2117" s="0" t="n">
        <v>136</v>
      </c>
      <c r="X2117" s="0" t="n">
        <v>12</v>
      </c>
      <c r="Y2117" s="0" t="n">
        <v>9</v>
      </c>
      <c r="Z2117" s="0" t="inlineStr">
        <is>
          <t>https://new.land.naver.com/complexes/10274?tab=detail&amp;rf=Y</t>
        </is>
      </c>
      <c r="AA2117" s="0" t="inlineStr">
        <is>
          <t>서울시 강동구 성내동 428-2</t>
        </is>
      </c>
      <c r="AB2117" s="0" t="inlineStr">
        <is>
          <t>서울시</t>
        </is>
      </c>
      <c r="AC2117" s="0" t="inlineStr">
        <is>
          <t>강동구</t>
        </is>
      </c>
      <c r="AD2117" s="0" t="inlineStr">
        <is>
          <t>성내동</t>
        </is>
      </c>
      <c r="AG2117" s="0" t="inlineStr">
        <is>
          <t>서울시 강동구 양재대로89길 16</t>
        </is>
      </c>
      <c r="AH2117" s="0" t="n">
        <v>0</v>
      </c>
      <c r="AI2117" s="0" t="n">
        <v>395</v>
      </c>
      <c r="AJ2117" s="0" t="n">
        <v>56</v>
      </c>
      <c r="AK2117" s="0" t="n">
        <v>202</v>
      </c>
      <c r="AL2117" s="0" t="n">
        <v>2.32</v>
      </c>
    </row>
    <row r="2118">
      <c r="A2118" s="0" t="inlineStr">
        <is>
          <t>[성내동]</t>
        </is>
      </c>
      <c r="B2118" s="0" t="n">
        <v>10274</v>
      </c>
      <c r="C2118" s="0" t="n">
        <v>15</v>
      </c>
      <c r="D2118" s="0" t="inlineStr">
        <is>
          <t>파크프라자</t>
        </is>
      </c>
      <c r="E2118" s="0" t="inlineStr">
        <is>
          <t>2003.05.</t>
        </is>
      </c>
      <c r="F2118" s="0" t="n">
        <v>87</v>
      </c>
      <c r="G2118" s="0" t="n">
        <v>46.16</v>
      </c>
      <c r="H2118" s="0" t="n">
        <v>152.61</v>
      </c>
      <c r="I2118" s="0" t="n">
        <v>36.36</v>
      </c>
      <c r="J2118" s="0" t="n">
        <v>120.21</v>
      </c>
      <c r="K2118" s="0" t="n">
        <v>1</v>
      </c>
      <c r="T2118" s="0" t="n">
        <v>4</v>
      </c>
      <c r="U2118" s="0" t="n">
        <v>2</v>
      </c>
      <c r="V2118" s="0" t="inlineStr">
        <is>
          <t>복도식</t>
        </is>
      </c>
      <c r="W2118" s="0" t="n">
        <v>152</v>
      </c>
      <c r="X2118" s="0" t="n">
        <v>12</v>
      </c>
      <c r="Y2118" s="0" t="n">
        <v>9</v>
      </c>
      <c r="Z2118" s="0" t="inlineStr">
        <is>
          <t>https://new.land.naver.com/complexes/10274?tab=detail&amp;rf=Y</t>
        </is>
      </c>
      <c r="AA2118" s="0" t="inlineStr">
        <is>
          <t>서울시 강동구 성내동 428-2</t>
        </is>
      </c>
      <c r="AB2118" s="0" t="inlineStr">
        <is>
          <t>서울시</t>
        </is>
      </c>
      <c r="AC2118" s="0" t="inlineStr">
        <is>
          <t>강동구</t>
        </is>
      </c>
      <c r="AD2118" s="0" t="inlineStr">
        <is>
          <t>성내동</t>
        </is>
      </c>
      <c r="AG2118" s="0" t="inlineStr">
        <is>
          <t>서울시 강동구 양재대로89길 16</t>
        </is>
      </c>
      <c r="AH2118" s="0" t="n">
        <v>0</v>
      </c>
      <c r="AI2118" s="0" t="n">
        <v>395</v>
      </c>
      <c r="AJ2118" s="0" t="n">
        <v>56</v>
      </c>
      <c r="AK2118" s="0" t="n">
        <v>202</v>
      </c>
      <c r="AL2118" s="0" t="n">
        <v>2.32</v>
      </c>
    </row>
    <row r="2119">
      <c r="A2119" s="0" t="inlineStr">
        <is>
          <t>[성내동]</t>
        </is>
      </c>
      <c r="B2119" s="0" t="n">
        <v>10274</v>
      </c>
      <c r="C2119" s="0" t="n">
        <v>16</v>
      </c>
      <c r="D2119" s="0" t="inlineStr">
        <is>
          <t>파크프라자</t>
        </is>
      </c>
      <c r="E2119" s="0" t="inlineStr">
        <is>
          <t>2003.05.</t>
        </is>
      </c>
      <c r="F2119" s="0" t="n">
        <v>87</v>
      </c>
      <c r="G2119" s="0" t="n">
        <v>54.21</v>
      </c>
      <c r="H2119" s="0" t="n">
        <v>179.21</v>
      </c>
      <c r="I2119" s="0" t="n">
        <v>42.69</v>
      </c>
      <c r="J2119" s="0" t="n">
        <v>141.15</v>
      </c>
      <c r="K2119" s="0" t="n">
        <v>2</v>
      </c>
      <c r="T2119" s="0" t="n">
        <v>4</v>
      </c>
      <c r="U2119" s="0" t="n">
        <v>2</v>
      </c>
      <c r="V2119" s="0" t="inlineStr">
        <is>
          <t>복도식</t>
        </is>
      </c>
      <c r="W2119" s="0" t="n">
        <v>179</v>
      </c>
      <c r="X2119" s="0" t="n">
        <v>12</v>
      </c>
      <c r="Y2119" s="0" t="n">
        <v>9</v>
      </c>
      <c r="Z2119" s="0" t="inlineStr">
        <is>
          <t>https://new.land.naver.com/complexes/10274?tab=detail&amp;rf=Y</t>
        </is>
      </c>
      <c r="AA2119" s="0" t="inlineStr">
        <is>
          <t>서울시 강동구 성내동 428-2</t>
        </is>
      </c>
      <c r="AB2119" s="0" t="inlineStr">
        <is>
          <t>서울시</t>
        </is>
      </c>
      <c r="AC2119" s="0" t="inlineStr">
        <is>
          <t>강동구</t>
        </is>
      </c>
      <c r="AD2119" s="0" t="inlineStr">
        <is>
          <t>성내동</t>
        </is>
      </c>
      <c r="AG2119" s="0" t="inlineStr">
        <is>
          <t>서울시 강동구 양재대로89길 16</t>
        </is>
      </c>
      <c r="AH2119" s="0" t="n">
        <v>0</v>
      </c>
      <c r="AI2119" s="0" t="n">
        <v>395</v>
      </c>
      <c r="AJ2119" s="0" t="n">
        <v>56</v>
      </c>
      <c r="AK2119" s="0" t="n">
        <v>202</v>
      </c>
      <c r="AL2119" s="0" t="n">
        <v>2.32</v>
      </c>
    </row>
    <row r="2120">
      <c r="A2120" s="0" t="inlineStr">
        <is>
          <t>[성내동]</t>
        </is>
      </c>
      <c r="B2120" s="0" t="n">
        <v>10760</v>
      </c>
      <c r="C2120" s="0" t="n">
        <v>1</v>
      </c>
      <c r="D2120" s="0" t="inlineStr">
        <is>
          <t>성내대성</t>
        </is>
      </c>
      <c r="E2120" s="0" t="inlineStr">
        <is>
          <t>2003.12.</t>
        </is>
      </c>
      <c r="F2120" s="0" t="n">
        <v>67</v>
      </c>
      <c r="G2120" s="0" t="n">
        <v>22.85</v>
      </c>
      <c r="H2120" s="0" t="n">
        <v>75.54000000000001</v>
      </c>
      <c r="I2120" s="0" t="n">
        <v>16.45</v>
      </c>
      <c r="J2120" s="0" t="n">
        <v>54.41</v>
      </c>
      <c r="K2120" s="0" t="n">
        <v>1</v>
      </c>
      <c r="T2120" s="0" t="n">
        <v>2</v>
      </c>
      <c r="U2120" s="0" t="n">
        <v>1</v>
      </c>
      <c r="V2120" s="0" t="inlineStr">
        <is>
          <t>계단식</t>
        </is>
      </c>
      <c r="W2120" s="0" t="n">
        <v>75</v>
      </c>
      <c r="X2120" s="0" t="n">
        <v>15</v>
      </c>
      <c r="Y2120" s="0" t="n">
        <v>13</v>
      </c>
      <c r="Z2120" s="0" t="inlineStr">
        <is>
          <t>https://new.land.naver.com/complexes/10760?tab=detail&amp;rf=Y</t>
        </is>
      </c>
      <c r="AA2120" s="0" t="inlineStr">
        <is>
          <t>서울시 강동구 성내동 51</t>
        </is>
      </c>
      <c r="AB2120" s="0" t="inlineStr">
        <is>
          <t>서울시</t>
        </is>
      </c>
      <c r="AC2120" s="0" t="inlineStr">
        <is>
          <t>강동구</t>
        </is>
      </c>
      <c r="AD2120" s="0" t="inlineStr">
        <is>
          <t>성내동</t>
        </is>
      </c>
      <c r="AG2120" s="0" t="inlineStr">
        <is>
          <t>서울시 강동구 올림픽로62길 39</t>
        </is>
      </c>
      <c r="AH2120" s="0" t="n">
        <v>0</v>
      </c>
      <c r="AI2120" s="0" t="n">
        <v>274</v>
      </c>
      <c r="AJ2120" s="0" t="n">
        <v>27</v>
      </c>
      <c r="AK2120" s="0" t="n">
        <v>74</v>
      </c>
      <c r="AL2120" s="0" t="n">
        <v>1.1</v>
      </c>
    </row>
    <row r="2121">
      <c r="A2121" s="0" t="inlineStr">
        <is>
          <t>[성내동]</t>
        </is>
      </c>
      <c r="B2121" s="0" t="n">
        <v>10760</v>
      </c>
      <c r="C2121" s="0" t="n">
        <v>2</v>
      </c>
      <c r="D2121" s="0" t="inlineStr">
        <is>
          <t>성내대성</t>
        </is>
      </c>
      <c r="E2121" s="0" t="inlineStr">
        <is>
          <t>2003.12.</t>
        </is>
      </c>
      <c r="F2121" s="0" t="n">
        <v>67</v>
      </c>
      <c r="G2121" s="0" t="n">
        <v>24.51</v>
      </c>
      <c r="H2121" s="0" t="n">
        <v>81.03</v>
      </c>
      <c r="I2121" s="0" t="n">
        <v>19.18</v>
      </c>
      <c r="J2121" s="0" t="n">
        <v>63.41</v>
      </c>
      <c r="K2121" s="0" t="n">
        <v>2</v>
      </c>
      <c r="T2121" s="0" t="n">
        <v>3</v>
      </c>
      <c r="U2121" s="0" t="n">
        <v>1</v>
      </c>
      <c r="V2121" s="0" t="inlineStr">
        <is>
          <t>계단식</t>
        </is>
      </c>
      <c r="W2121" s="0" t="inlineStr">
        <is>
          <t>81B</t>
        </is>
      </c>
      <c r="X2121" s="0" t="n">
        <v>15</v>
      </c>
      <c r="Y2121" s="0" t="n">
        <v>13</v>
      </c>
      <c r="Z2121" s="0" t="inlineStr">
        <is>
          <t>https://new.land.naver.com/complexes/10760?tab=detail&amp;rf=Y</t>
        </is>
      </c>
      <c r="AA2121" s="0" t="inlineStr">
        <is>
          <t>서울시 강동구 성내동 51</t>
        </is>
      </c>
      <c r="AB2121" s="0" t="inlineStr">
        <is>
          <t>서울시</t>
        </is>
      </c>
      <c r="AC2121" s="0" t="inlineStr">
        <is>
          <t>강동구</t>
        </is>
      </c>
      <c r="AD2121" s="0" t="inlineStr">
        <is>
          <t>성내동</t>
        </is>
      </c>
      <c r="AG2121" s="0" t="inlineStr">
        <is>
          <t>서울시 강동구 올림픽로62길 39</t>
        </is>
      </c>
      <c r="AH2121" s="0" t="n">
        <v>0</v>
      </c>
      <c r="AI2121" s="0" t="n">
        <v>274</v>
      </c>
      <c r="AJ2121" s="0" t="n">
        <v>27</v>
      </c>
      <c r="AK2121" s="0" t="n">
        <v>74</v>
      </c>
      <c r="AL2121" s="0" t="n">
        <v>1.1</v>
      </c>
    </row>
    <row r="2122">
      <c r="A2122" s="0" t="inlineStr">
        <is>
          <t>[성내동]</t>
        </is>
      </c>
      <c r="B2122" s="0" t="n">
        <v>10760</v>
      </c>
      <c r="C2122" s="0" t="n">
        <v>3</v>
      </c>
      <c r="D2122" s="0" t="inlineStr">
        <is>
          <t>성내대성</t>
        </is>
      </c>
      <c r="E2122" s="0" t="inlineStr">
        <is>
          <t>2003.12.</t>
        </is>
      </c>
      <c r="F2122" s="0" t="n">
        <v>67</v>
      </c>
      <c r="G2122" s="0" t="n">
        <v>24.7</v>
      </c>
      <c r="H2122" s="0" t="n">
        <v>81.68000000000001</v>
      </c>
      <c r="I2122" s="0" t="n">
        <v>18</v>
      </c>
      <c r="J2122" s="0" t="n">
        <v>59.53</v>
      </c>
      <c r="K2122" s="0" t="n">
        <v>1</v>
      </c>
      <c r="T2122" s="0" t="n">
        <v>3</v>
      </c>
      <c r="U2122" s="0" t="n">
        <v>1</v>
      </c>
      <c r="V2122" s="0" t="inlineStr">
        <is>
          <t>계단식</t>
        </is>
      </c>
      <c r="W2122" s="0" t="inlineStr">
        <is>
          <t>81A</t>
        </is>
      </c>
      <c r="X2122" s="0" t="n">
        <v>15</v>
      </c>
      <c r="Y2122" s="0" t="n">
        <v>13</v>
      </c>
      <c r="Z2122" s="0" t="inlineStr">
        <is>
          <t>https://new.land.naver.com/complexes/10760?tab=detail&amp;rf=Y</t>
        </is>
      </c>
      <c r="AA2122" s="0" t="inlineStr">
        <is>
          <t>서울시 강동구 성내동 51</t>
        </is>
      </c>
      <c r="AB2122" s="0" t="inlineStr">
        <is>
          <t>서울시</t>
        </is>
      </c>
      <c r="AC2122" s="0" t="inlineStr">
        <is>
          <t>강동구</t>
        </is>
      </c>
      <c r="AD2122" s="0" t="inlineStr">
        <is>
          <t>성내동</t>
        </is>
      </c>
      <c r="AG2122" s="0" t="inlineStr">
        <is>
          <t>서울시 강동구 올림픽로62길 39</t>
        </is>
      </c>
      <c r="AH2122" s="0" t="n">
        <v>0</v>
      </c>
      <c r="AI2122" s="0" t="n">
        <v>274</v>
      </c>
      <c r="AJ2122" s="0" t="n">
        <v>27</v>
      </c>
      <c r="AK2122" s="0" t="n">
        <v>74</v>
      </c>
      <c r="AL2122" s="0" t="n">
        <v>1.1</v>
      </c>
    </row>
    <row r="2123">
      <c r="A2123" s="0" t="inlineStr">
        <is>
          <t>[성내동]</t>
        </is>
      </c>
      <c r="B2123" s="0" t="n">
        <v>10760</v>
      </c>
      <c r="C2123" s="0" t="n">
        <v>4</v>
      </c>
      <c r="D2123" s="0" t="inlineStr">
        <is>
          <t>성내대성</t>
        </is>
      </c>
      <c r="E2123" s="0" t="inlineStr">
        <is>
          <t>2003.12.</t>
        </is>
      </c>
      <c r="F2123" s="0" t="n">
        <v>67</v>
      </c>
      <c r="G2123" s="0" t="n">
        <v>27.15</v>
      </c>
      <c r="H2123" s="0" t="n">
        <v>89.78</v>
      </c>
      <c r="I2123" s="0" t="n">
        <v>21.45</v>
      </c>
      <c r="J2123" s="0" t="n">
        <v>70.91</v>
      </c>
      <c r="K2123" s="0" t="n">
        <v>2</v>
      </c>
      <c r="T2123" s="0" t="n">
        <v>3</v>
      </c>
      <c r="U2123" s="0" t="n">
        <v>2</v>
      </c>
      <c r="V2123" s="0" t="inlineStr">
        <is>
          <t>계단식</t>
        </is>
      </c>
      <c r="W2123" s="0" t="n">
        <v>89</v>
      </c>
      <c r="X2123" s="0" t="n">
        <v>15</v>
      </c>
      <c r="Y2123" s="0" t="n">
        <v>13</v>
      </c>
      <c r="Z2123" s="0" t="inlineStr">
        <is>
          <t>https://new.land.naver.com/complexes/10760?tab=detail&amp;rf=Y</t>
        </is>
      </c>
      <c r="AA2123" s="0" t="inlineStr">
        <is>
          <t>서울시 강동구 성내동 51</t>
        </is>
      </c>
      <c r="AB2123" s="0" t="inlineStr">
        <is>
          <t>서울시</t>
        </is>
      </c>
      <c r="AC2123" s="0" t="inlineStr">
        <is>
          <t>강동구</t>
        </is>
      </c>
      <c r="AD2123" s="0" t="inlineStr">
        <is>
          <t>성내동</t>
        </is>
      </c>
      <c r="AG2123" s="0" t="inlineStr">
        <is>
          <t>서울시 강동구 올림픽로62길 39</t>
        </is>
      </c>
      <c r="AH2123" s="0" t="n">
        <v>0</v>
      </c>
      <c r="AI2123" s="0" t="n">
        <v>274</v>
      </c>
      <c r="AJ2123" s="0" t="n">
        <v>27</v>
      </c>
      <c r="AK2123" s="0" t="n">
        <v>74</v>
      </c>
      <c r="AL2123" s="0" t="n">
        <v>1.1</v>
      </c>
    </row>
    <row r="2124">
      <c r="A2124" s="0" t="inlineStr">
        <is>
          <t>[성내동]</t>
        </is>
      </c>
      <c r="B2124" s="0" t="n">
        <v>10760</v>
      </c>
      <c r="C2124" s="0" t="n">
        <v>5</v>
      </c>
      <c r="D2124" s="0" t="inlineStr">
        <is>
          <t>성내대성</t>
        </is>
      </c>
      <c r="E2124" s="0" t="inlineStr">
        <is>
          <t>2003.12.</t>
        </is>
      </c>
      <c r="F2124" s="0" t="n">
        <v>67</v>
      </c>
      <c r="G2124" s="0" t="n">
        <v>32.2</v>
      </c>
      <c r="H2124" s="0" t="n">
        <v>106.46</v>
      </c>
      <c r="I2124" s="0" t="n">
        <v>25.59</v>
      </c>
      <c r="J2124" s="0" t="n">
        <v>84.61</v>
      </c>
      <c r="K2124" s="0" t="n">
        <v>22</v>
      </c>
      <c r="T2124" s="0" t="n">
        <v>3</v>
      </c>
      <c r="U2124" s="0" t="n">
        <v>2</v>
      </c>
      <c r="V2124" s="0" t="inlineStr">
        <is>
          <t>계단식</t>
        </is>
      </c>
      <c r="W2124" s="0" t="inlineStr">
        <is>
          <t>106A</t>
        </is>
      </c>
      <c r="X2124" s="0" t="n">
        <v>15</v>
      </c>
      <c r="Y2124" s="0" t="n">
        <v>13</v>
      </c>
      <c r="Z2124" s="0" t="inlineStr">
        <is>
          <t>https://new.land.naver.com/complexes/10760?tab=detail&amp;rf=Y</t>
        </is>
      </c>
      <c r="AA2124" s="0" t="inlineStr">
        <is>
          <t>서울시 강동구 성내동 51</t>
        </is>
      </c>
      <c r="AB2124" s="0" t="inlineStr">
        <is>
          <t>서울시</t>
        </is>
      </c>
      <c r="AC2124" s="0" t="inlineStr">
        <is>
          <t>강동구</t>
        </is>
      </c>
      <c r="AD2124" s="0" t="inlineStr">
        <is>
          <t>성내동</t>
        </is>
      </c>
      <c r="AG2124" s="0" t="inlineStr">
        <is>
          <t>서울시 강동구 올림픽로62길 39</t>
        </is>
      </c>
      <c r="AH2124" s="0" t="n">
        <v>0</v>
      </c>
      <c r="AI2124" s="0" t="n">
        <v>274</v>
      </c>
      <c r="AJ2124" s="0" t="n">
        <v>27</v>
      </c>
      <c r="AK2124" s="0" t="n">
        <v>74</v>
      </c>
      <c r="AL2124" s="0" t="n">
        <v>1.1</v>
      </c>
    </row>
    <row r="2125">
      <c r="A2125" s="0" t="inlineStr">
        <is>
          <t>[성내동]</t>
        </is>
      </c>
      <c r="B2125" s="0" t="n">
        <v>10760</v>
      </c>
      <c r="C2125" s="0" t="n">
        <v>6</v>
      </c>
      <c r="D2125" s="0" t="inlineStr">
        <is>
          <t>성내대성</t>
        </is>
      </c>
      <c r="E2125" s="0" t="inlineStr">
        <is>
          <t>2003.12.</t>
        </is>
      </c>
      <c r="F2125" s="0" t="n">
        <v>67</v>
      </c>
      <c r="G2125" s="0" t="n">
        <v>32.19</v>
      </c>
      <c r="H2125" s="0" t="n">
        <v>106.43</v>
      </c>
      <c r="I2125" s="0" t="n">
        <v>25.65</v>
      </c>
      <c r="J2125" s="0" t="n">
        <v>84.81999999999999</v>
      </c>
      <c r="K2125" s="0" t="n">
        <v>15</v>
      </c>
      <c r="T2125" s="0" t="n">
        <v>3</v>
      </c>
      <c r="U2125" s="0" t="n">
        <v>2</v>
      </c>
      <c r="V2125" s="0" t="inlineStr">
        <is>
          <t>계단식</t>
        </is>
      </c>
      <c r="W2125" s="0" t="inlineStr">
        <is>
          <t>106B</t>
        </is>
      </c>
      <c r="X2125" s="0" t="n">
        <v>15</v>
      </c>
      <c r="Y2125" s="0" t="n">
        <v>13</v>
      </c>
      <c r="Z2125" s="0" t="inlineStr">
        <is>
          <t>https://new.land.naver.com/complexes/10760?tab=detail&amp;rf=Y</t>
        </is>
      </c>
      <c r="AA2125" s="0" t="inlineStr">
        <is>
          <t>서울시 강동구 성내동 51</t>
        </is>
      </c>
      <c r="AB2125" s="0" t="inlineStr">
        <is>
          <t>서울시</t>
        </is>
      </c>
      <c r="AC2125" s="0" t="inlineStr">
        <is>
          <t>강동구</t>
        </is>
      </c>
      <c r="AD2125" s="0" t="inlineStr">
        <is>
          <t>성내동</t>
        </is>
      </c>
      <c r="AG2125" s="0" t="inlineStr">
        <is>
          <t>서울시 강동구 올림픽로62길 39</t>
        </is>
      </c>
      <c r="AH2125" s="0" t="n">
        <v>0</v>
      </c>
      <c r="AI2125" s="0" t="n">
        <v>274</v>
      </c>
      <c r="AJ2125" s="0" t="n">
        <v>27</v>
      </c>
      <c r="AK2125" s="0" t="n">
        <v>74</v>
      </c>
      <c r="AL2125" s="0" t="n">
        <v>1.1</v>
      </c>
    </row>
    <row r="2126">
      <c r="A2126" s="0" t="inlineStr">
        <is>
          <t>[성내동]</t>
        </is>
      </c>
      <c r="B2126" s="0" t="n">
        <v>10760</v>
      </c>
      <c r="C2126" s="0" t="n">
        <v>7</v>
      </c>
      <c r="D2126" s="0" t="inlineStr">
        <is>
          <t>성내대성</t>
        </is>
      </c>
      <c r="E2126" s="0" t="inlineStr">
        <is>
          <t>2003.12.</t>
        </is>
      </c>
      <c r="F2126" s="0" t="n">
        <v>67</v>
      </c>
      <c r="G2126" s="0" t="n">
        <v>33.87</v>
      </c>
      <c r="H2126" s="0" t="n">
        <v>111.98</v>
      </c>
      <c r="I2126" s="0" t="n">
        <v>24.85</v>
      </c>
      <c r="J2126" s="0" t="n">
        <v>82.18000000000001</v>
      </c>
      <c r="K2126" s="0" t="n">
        <v>1</v>
      </c>
      <c r="T2126" s="0" t="n">
        <v>3</v>
      </c>
      <c r="U2126" s="0" t="n">
        <v>2</v>
      </c>
      <c r="V2126" s="0" t="inlineStr">
        <is>
          <t>계단식</t>
        </is>
      </c>
      <c r="W2126" s="0" t="n">
        <v>111</v>
      </c>
      <c r="X2126" s="0" t="n">
        <v>15</v>
      </c>
      <c r="Y2126" s="0" t="n">
        <v>13</v>
      </c>
      <c r="Z2126" s="0" t="inlineStr">
        <is>
          <t>https://new.land.naver.com/complexes/10760?tab=detail&amp;rf=Y</t>
        </is>
      </c>
      <c r="AA2126" s="0" t="inlineStr">
        <is>
          <t>서울시 강동구 성내동 51</t>
        </is>
      </c>
      <c r="AB2126" s="0" t="inlineStr">
        <is>
          <t>서울시</t>
        </is>
      </c>
      <c r="AC2126" s="0" t="inlineStr">
        <is>
          <t>강동구</t>
        </is>
      </c>
      <c r="AD2126" s="0" t="inlineStr">
        <is>
          <t>성내동</t>
        </is>
      </c>
      <c r="AG2126" s="0" t="inlineStr">
        <is>
          <t>서울시 강동구 올림픽로62길 39</t>
        </is>
      </c>
      <c r="AH2126" s="0" t="n">
        <v>0</v>
      </c>
      <c r="AI2126" s="0" t="n">
        <v>274</v>
      </c>
      <c r="AJ2126" s="0" t="n">
        <v>27</v>
      </c>
      <c r="AK2126" s="0" t="n">
        <v>74</v>
      </c>
      <c r="AL2126" s="0" t="n">
        <v>1.1</v>
      </c>
    </row>
    <row r="2127">
      <c r="A2127" s="0" t="inlineStr">
        <is>
          <t>[성내동]</t>
        </is>
      </c>
      <c r="B2127" s="0" t="n">
        <v>10760</v>
      </c>
      <c r="C2127" s="0" t="n">
        <v>8</v>
      </c>
      <c r="D2127" s="0" t="inlineStr">
        <is>
          <t>성내대성</t>
        </is>
      </c>
      <c r="E2127" s="0" t="inlineStr">
        <is>
          <t>2003.12.</t>
        </is>
      </c>
      <c r="F2127" s="0" t="n">
        <v>67</v>
      </c>
      <c r="G2127" s="0" t="n">
        <v>34.92</v>
      </c>
      <c r="H2127" s="0" t="n">
        <v>115.45</v>
      </c>
      <c r="I2127" s="0" t="n">
        <v>25.63</v>
      </c>
      <c r="J2127" s="0" t="n">
        <v>84.75</v>
      </c>
      <c r="K2127" s="0" t="n">
        <v>12</v>
      </c>
      <c r="T2127" s="0" t="n">
        <v>3</v>
      </c>
      <c r="U2127" s="0" t="n">
        <v>2</v>
      </c>
      <c r="V2127" s="0" t="inlineStr">
        <is>
          <t>계단식</t>
        </is>
      </c>
      <c r="W2127" s="0" t="inlineStr">
        <is>
          <t>115A</t>
        </is>
      </c>
      <c r="X2127" s="0" t="n">
        <v>15</v>
      </c>
      <c r="Y2127" s="0" t="n">
        <v>13</v>
      </c>
      <c r="Z2127" s="0" t="inlineStr">
        <is>
          <t>https://new.land.naver.com/complexes/10760?tab=detail&amp;rf=Y</t>
        </is>
      </c>
      <c r="AA2127" s="0" t="inlineStr">
        <is>
          <t>서울시 강동구 성내동 51</t>
        </is>
      </c>
      <c r="AB2127" s="0" t="inlineStr">
        <is>
          <t>서울시</t>
        </is>
      </c>
      <c r="AC2127" s="0" t="inlineStr">
        <is>
          <t>강동구</t>
        </is>
      </c>
      <c r="AD2127" s="0" t="inlineStr">
        <is>
          <t>성내동</t>
        </is>
      </c>
      <c r="AG2127" s="0" t="inlineStr">
        <is>
          <t>서울시 강동구 올림픽로62길 39</t>
        </is>
      </c>
      <c r="AH2127" s="0" t="n">
        <v>0</v>
      </c>
      <c r="AI2127" s="0" t="n">
        <v>274</v>
      </c>
      <c r="AJ2127" s="0" t="n">
        <v>27</v>
      </c>
      <c r="AK2127" s="0" t="n">
        <v>74</v>
      </c>
      <c r="AL2127" s="0" t="n">
        <v>1.1</v>
      </c>
    </row>
    <row r="2128">
      <c r="A2128" s="0" t="inlineStr">
        <is>
          <t>[성내동]</t>
        </is>
      </c>
      <c r="B2128" s="0" t="n">
        <v>10760</v>
      </c>
      <c r="C2128" s="0" t="n">
        <v>9</v>
      </c>
      <c r="D2128" s="0" t="inlineStr">
        <is>
          <t>성내대성</t>
        </is>
      </c>
      <c r="E2128" s="0" t="inlineStr">
        <is>
          <t>2003.12.</t>
        </is>
      </c>
      <c r="F2128" s="0" t="n">
        <v>67</v>
      </c>
      <c r="G2128" s="0" t="n">
        <v>34.82</v>
      </c>
      <c r="H2128" s="0" t="n">
        <v>115.11</v>
      </c>
      <c r="I2128" s="0" t="n">
        <v>25.7</v>
      </c>
      <c r="J2128" s="0" t="n">
        <v>84.98</v>
      </c>
      <c r="K2128" s="0" t="n">
        <v>11</v>
      </c>
      <c r="T2128" s="0" t="n">
        <v>3</v>
      </c>
      <c r="U2128" s="0" t="n">
        <v>2</v>
      </c>
      <c r="V2128" s="0" t="inlineStr">
        <is>
          <t>계단식</t>
        </is>
      </c>
      <c r="W2128" s="0" t="inlineStr">
        <is>
          <t>115B</t>
        </is>
      </c>
      <c r="X2128" s="0" t="n">
        <v>15</v>
      </c>
      <c r="Y2128" s="0" t="n">
        <v>13</v>
      </c>
      <c r="Z2128" s="0" t="inlineStr">
        <is>
          <t>https://new.land.naver.com/complexes/10760?tab=detail&amp;rf=Y</t>
        </is>
      </c>
      <c r="AA2128" s="0" t="inlineStr">
        <is>
          <t>서울시 강동구 성내동 51</t>
        </is>
      </c>
      <c r="AB2128" s="0" t="inlineStr">
        <is>
          <t>서울시</t>
        </is>
      </c>
      <c r="AC2128" s="0" t="inlineStr">
        <is>
          <t>강동구</t>
        </is>
      </c>
      <c r="AD2128" s="0" t="inlineStr">
        <is>
          <t>성내동</t>
        </is>
      </c>
      <c r="AG2128" s="0" t="inlineStr">
        <is>
          <t>서울시 강동구 올림픽로62길 39</t>
        </is>
      </c>
      <c r="AH2128" s="0" t="n">
        <v>0</v>
      </c>
      <c r="AI2128" s="0" t="n">
        <v>274</v>
      </c>
      <c r="AJ2128" s="0" t="n">
        <v>27</v>
      </c>
      <c r="AK2128" s="0" t="n">
        <v>74</v>
      </c>
      <c r="AL2128" s="0" t="n">
        <v>1.1</v>
      </c>
    </row>
    <row r="2129">
      <c r="A2129" s="0" t="inlineStr">
        <is>
          <t>[성내동]</t>
        </is>
      </c>
      <c r="B2129" s="0" t="n">
        <v>106802</v>
      </c>
      <c r="C2129" s="0" t="n">
        <v>1</v>
      </c>
      <c r="D2129" s="0" t="inlineStr">
        <is>
          <t>강동다온채</t>
        </is>
      </c>
      <c r="E2129" s="0" t="inlineStr">
        <is>
          <t>2008.07.</t>
        </is>
      </c>
      <c r="F2129" s="0" t="n">
        <v>19</v>
      </c>
      <c r="G2129" s="0" t="n">
        <v>26.27</v>
      </c>
      <c r="H2129" s="0" t="n">
        <v>86.84999999999999</v>
      </c>
      <c r="I2129" s="0" t="n">
        <v>21.93</v>
      </c>
      <c r="J2129" s="0" t="n">
        <v>72.51000000000001</v>
      </c>
      <c r="K2129" s="0" t="n">
        <v>1</v>
      </c>
      <c r="T2129" s="0" t="n">
        <v>3</v>
      </c>
      <c r="U2129" s="0" t="n">
        <v>2</v>
      </c>
      <c r="V2129" s="0" t="inlineStr">
        <is>
          <t>복도식</t>
        </is>
      </c>
      <c r="W2129" s="0" t="n">
        <v>86</v>
      </c>
      <c r="X2129" s="0" t="n">
        <v>8</v>
      </c>
      <c r="Y2129" s="0" t="n">
        <v>7</v>
      </c>
      <c r="Z2129" s="0" t="inlineStr">
        <is>
          <t>https://new.land.naver.com/complexes/106802?tab=detail&amp;rf=Y</t>
        </is>
      </c>
      <c r="AA2129" s="0" t="inlineStr">
        <is>
          <t>서울시 강동구 성내동 447-2</t>
        </is>
      </c>
      <c r="AB2129" s="0" t="inlineStr">
        <is>
          <t>서울시</t>
        </is>
      </c>
      <c r="AC2129" s="0" t="inlineStr">
        <is>
          <t>강동구</t>
        </is>
      </c>
      <c r="AD2129" s="0" t="inlineStr">
        <is>
          <t>성내동</t>
        </is>
      </c>
      <c r="AG2129" s="0" t="inlineStr">
        <is>
          <t>서울시 강동구 성안로 11-10</t>
        </is>
      </c>
      <c r="AH2129" s="0" t="n">
        <v>0</v>
      </c>
      <c r="AI2129" s="0" t="n">
        <v>195</v>
      </c>
      <c r="AJ2129" s="0" t="n">
        <v>36</v>
      </c>
      <c r="AK2129" s="0" t="n">
        <v>25</v>
      </c>
      <c r="AL2129" s="0" t="n">
        <v>1.32</v>
      </c>
    </row>
    <row r="2130">
      <c r="A2130" s="0" t="inlineStr">
        <is>
          <t>[성내동]</t>
        </is>
      </c>
      <c r="B2130" s="0" t="n">
        <v>106802</v>
      </c>
      <c r="C2130" s="0" t="n">
        <v>2</v>
      </c>
      <c r="D2130" s="0" t="inlineStr">
        <is>
          <t>강동다온채</t>
        </is>
      </c>
      <c r="E2130" s="0" t="inlineStr">
        <is>
          <t>2008.07.</t>
        </is>
      </c>
      <c r="F2130" s="0" t="n">
        <v>19</v>
      </c>
      <c r="G2130" s="0" t="n">
        <v>28.51</v>
      </c>
      <c r="H2130" s="0" t="n">
        <v>94.28</v>
      </c>
      <c r="I2130" s="0" t="n">
        <v>23.8</v>
      </c>
      <c r="J2130" s="0" t="n">
        <v>78.70999999999999</v>
      </c>
      <c r="K2130" s="0" t="n">
        <v>1</v>
      </c>
      <c r="T2130" s="0" t="n">
        <v>3</v>
      </c>
      <c r="U2130" s="0" t="n">
        <v>2</v>
      </c>
      <c r="V2130" s="0" t="inlineStr">
        <is>
          <t>복도식</t>
        </is>
      </c>
      <c r="W2130" s="0" t="n">
        <v>94</v>
      </c>
      <c r="X2130" s="0" t="n">
        <v>8</v>
      </c>
      <c r="Y2130" s="0" t="n">
        <v>7</v>
      </c>
      <c r="Z2130" s="0" t="inlineStr">
        <is>
          <t>https://new.land.naver.com/complexes/106802?tab=detail&amp;rf=Y</t>
        </is>
      </c>
      <c r="AA2130" s="0" t="inlineStr">
        <is>
          <t>서울시 강동구 성내동 447-2</t>
        </is>
      </c>
      <c r="AB2130" s="0" t="inlineStr">
        <is>
          <t>서울시</t>
        </is>
      </c>
      <c r="AC2130" s="0" t="inlineStr">
        <is>
          <t>강동구</t>
        </is>
      </c>
      <c r="AD2130" s="0" t="inlineStr">
        <is>
          <t>성내동</t>
        </is>
      </c>
      <c r="AG2130" s="0" t="inlineStr">
        <is>
          <t>서울시 강동구 성안로 11-10</t>
        </is>
      </c>
      <c r="AH2130" s="0" t="n">
        <v>0</v>
      </c>
      <c r="AI2130" s="0" t="n">
        <v>195</v>
      </c>
      <c r="AJ2130" s="0" t="n">
        <v>36</v>
      </c>
      <c r="AK2130" s="0" t="n">
        <v>25</v>
      </c>
      <c r="AL2130" s="0" t="n">
        <v>1.32</v>
      </c>
    </row>
    <row r="2131">
      <c r="A2131" s="0" t="inlineStr">
        <is>
          <t>[성내동]</t>
        </is>
      </c>
      <c r="B2131" s="0" t="n">
        <v>106802</v>
      </c>
      <c r="C2131" s="0" t="n">
        <v>3</v>
      </c>
      <c r="D2131" s="0" t="inlineStr">
        <is>
          <t>강동다온채</t>
        </is>
      </c>
      <c r="E2131" s="0" t="inlineStr">
        <is>
          <t>2008.07.</t>
        </is>
      </c>
      <c r="F2131" s="0" t="n">
        <v>19</v>
      </c>
      <c r="G2131" s="0" t="n">
        <v>30.61</v>
      </c>
      <c r="H2131" s="0" t="n">
        <v>101.2</v>
      </c>
      <c r="I2131" s="0" t="n">
        <v>25.55</v>
      </c>
      <c r="J2131" s="0" t="n">
        <v>84.48</v>
      </c>
      <c r="K2131" s="0" t="n">
        <v>7</v>
      </c>
      <c r="T2131" s="0" t="n">
        <v>3</v>
      </c>
      <c r="U2131" s="0" t="n">
        <v>2</v>
      </c>
      <c r="V2131" s="0" t="inlineStr">
        <is>
          <t>복도식</t>
        </is>
      </c>
      <c r="W2131" s="0" t="inlineStr">
        <is>
          <t>101A</t>
        </is>
      </c>
      <c r="X2131" s="0" t="n">
        <v>8</v>
      </c>
      <c r="Y2131" s="0" t="n">
        <v>7</v>
      </c>
      <c r="Z2131" s="0" t="inlineStr">
        <is>
          <t>https://new.land.naver.com/complexes/106802?tab=detail&amp;rf=Y</t>
        </is>
      </c>
      <c r="AA2131" s="0" t="inlineStr">
        <is>
          <t>서울시 강동구 성내동 447-2</t>
        </is>
      </c>
      <c r="AB2131" s="0" t="inlineStr">
        <is>
          <t>서울시</t>
        </is>
      </c>
      <c r="AC2131" s="0" t="inlineStr">
        <is>
          <t>강동구</t>
        </is>
      </c>
      <c r="AD2131" s="0" t="inlineStr">
        <is>
          <t>성내동</t>
        </is>
      </c>
      <c r="AG2131" s="0" t="inlineStr">
        <is>
          <t>서울시 강동구 성안로 11-10</t>
        </is>
      </c>
      <c r="AH2131" s="0" t="n">
        <v>0</v>
      </c>
      <c r="AI2131" s="0" t="n">
        <v>195</v>
      </c>
      <c r="AJ2131" s="0" t="n">
        <v>36</v>
      </c>
      <c r="AK2131" s="0" t="n">
        <v>25</v>
      </c>
      <c r="AL2131" s="0" t="n">
        <v>1.32</v>
      </c>
    </row>
    <row r="2132">
      <c r="A2132" s="0" t="inlineStr">
        <is>
          <t>[성내동]</t>
        </is>
      </c>
      <c r="B2132" s="0" t="n">
        <v>106802</v>
      </c>
      <c r="C2132" s="0" t="n">
        <v>4</v>
      </c>
      <c r="D2132" s="0" t="inlineStr">
        <is>
          <t>강동다온채</t>
        </is>
      </c>
      <c r="E2132" s="0" t="inlineStr">
        <is>
          <t>2008.07.</t>
        </is>
      </c>
      <c r="F2132" s="0" t="n">
        <v>19</v>
      </c>
      <c r="G2132" s="0" t="n">
        <v>30.7</v>
      </c>
      <c r="H2132" s="0" t="n">
        <v>101.5</v>
      </c>
      <c r="I2132" s="0" t="n">
        <v>25.63</v>
      </c>
      <c r="J2132" s="0" t="n">
        <v>84.73</v>
      </c>
      <c r="K2132" s="0" t="n">
        <v>5</v>
      </c>
      <c r="T2132" s="0" t="n">
        <v>3</v>
      </c>
      <c r="U2132" s="0" t="n">
        <v>2</v>
      </c>
      <c r="V2132" s="0" t="inlineStr">
        <is>
          <t>복도식</t>
        </is>
      </c>
      <c r="W2132" s="0" t="inlineStr">
        <is>
          <t>101C</t>
        </is>
      </c>
      <c r="X2132" s="0" t="n">
        <v>8</v>
      </c>
      <c r="Y2132" s="0" t="n">
        <v>7</v>
      </c>
      <c r="Z2132" s="0" t="inlineStr">
        <is>
          <t>https://new.land.naver.com/complexes/106802?tab=detail&amp;rf=Y</t>
        </is>
      </c>
      <c r="AA2132" s="0" t="inlineStr">
        <is>
          <t>서울시 강동구 성내동 447-2</t>
        </is>
      </c>
      <c r="AB2132" s="0" t="inlineStr">
        <is>
          <t>서울시</t>
        </is>
      </c>
      <c r="AC2132" s="0" t="inlineStr">
        <is>
          <t>강동구</t>
        </is>
      </c>
      <c r="AD2132" s="0" t="inlineStr">
        <is>
          <t>성내동</t>
        </is>
      </c>
      <c r="AG2132" s="0" t="inlineStr">
        <is>
          <t>서울시 강동구 성안로 11-10</t>
        </is>
      </c>
      <c r="AH2132" s="0" t="n">
        <v>0</v>
      </c>
      <c r="AI2132" s="0" t="n">
        <v>195</v>
      </c>
      <c r="AJ2132" s="0" t="n">
        <v>36</v>
      </c>
      <c r="AK2132" s="0" t="n">
        <v>25</v>
      </c>
      <c r="AL2132" s="0" t="n">
        <v>1.32</v>
      </c>
    </row>
    <row r="2133">
      <c r="A2133" s="0" t="inlineStr">
        <is>
          <t>[성내동]</t>
        </is>
      </c>
      <c r="B2133" s="0" t="n">
        <v>106802</v>
      </c>
      <c r="C2133" s="0" t="n">
        <v>5</v>
      </c>
      <c r="D2133" s="0" t="inlineStr">
        <is>
          <t>강동다온채</t>
        </is>
      </c>
      <c r="E2133" s="0" t="inlineStr">
        <is>
          <t>2008.07.</t>
        </is>
      </c>
      <c r="F2133" s="0" t="n">
        <v>19</v>
      </c>
      <c r="G2133" s="0" t="n">
        <v>30.64</v>
      </c>
      <c r="H2133" s="0" t="n">
        <v>101.31</v>
      </c>
      <c r="I2133" s="0" t="n">
        <v>25.58</v>
      </c>
      <c r="J2133" s="0" t="n">
        <v>84.56999999999999</v>
      </c>
      <c r="K2133" s="0" t="n">
        <v>3</v>
      </c>
      <c r="T2133" s="0" t="n">
        <v>3</v>
      </c>
      <c r="U2133" s="0" t="n">
        <v>2</v>
      </c>
      <c r="V2133" s="0" t="inlineStr">
        <is>
          <t>복도식</t>
        </is>
      </c>
      <c r="W2133" s="0" t="inlineStr">
        <is>
          <t>101B</t>
        </is>
      </c>
      <c r="X2133" s="0" t="n">
        <v>8</v>
      </c>
      <c r="Y2133" s="0" t="n">
        <v>7</v>
      </c>
      <c r="Z2133" s="0" t="inlineStr">
        <is>
          <t>https://new.land.naver.com/complexes/106802?tab=detail&amp;rf=Y</t>
        </is>
      </c>
      <c r="AA2133" s="0" t="inlineStr">
        <is>
          <t>서울시 강동구 성내동 447-2</t>
        </is>
      </c>
      <c r="AB2133" s="0" t="inlineStr">
        <is>
          <t>서울시</t>
        </is>
      </c>
      <c r="AC2133" s="0" t="inlineStr">
        <is>
          <t>강동구</t>
        </is>
      </c>
      <c r="AD2133" s="0" t="inlineStr">
        <is>
          <t>성내동</t>
        </is>
      </c>
      <c r="AG2133" s="0" t="inlineStr">
        <is>
          <t>서울시 강동구 성안로 11-10</t>
        </is>
      </c>
      <c r="AH2133" s="0" t="n">
        <v>0</v>
      </c>
      <c r="AI2133" s="0" t="n">
        <v>195</v>
      </c>
      <c r="AJ2133" s="0" t="n">
        <v>36</v>
      </c>
      <c r="AK2133" s="0" t="n">
        <v>25</v>
      </c>
      <c r="AL2133" s="0" t="n">
        <v>1.32</v>
      </c>
    </row>
    <row r="2134">
      <c r="A2134" s="0" t="inlineStr">
        <is>
          <t>[성내동]</t>
        </is>
      </c>
      <c r="B2134" s="0" t="n">
        <v>106802</v>
      </c>
      <c r="C2134" s="0" t="n">
        <v>6</v>
      </c>
      <c r="D2134" s="0" t="inlineStr">
        <is>
          <t>강동다온채</t>
        </is>
      </c>
      <c r="E2134" s="0" t="inlineStr">
        <is>
          <t>2008.07.</t>
        </is>
      </c>
      <c r="F2134" s="0" t="n">
        <v>19</v>
      </c>
      <c r="G2134" s="0" t="n">
        <v>38.91</v>
      </c>
      <c r="H2134" s="0" t="n">
        <v>128.64</v>
      </c>
      <c r="I2134" s="0" t="n">
        <v>32.48</v>
      </c>
      <c r="J2134" s="0" t="n">
        <v>107.4</v>
      </c>
      <c r="K2134" s="0" t="n">
        <v>1</v>
      </c>
      <c r="T2134" s="0" t="n">
        <v>3</v>
      </c>
      <c r="U2134" s="0" t="n">
        <v>2</v>
      </c>
      <c r="V2134" s="0" t="inlineStr">
        <is>
          <t>계단식</t>
        </is>
      </c>
      <c r="W2134" s="0" t="n">
        <v>128</v>
      </c>
      <c r="X2134" s="0" t="n">
        <v>8</v>
      </c>
      <c r="Y2134" s="0" t="n">
        <v>7</v>
      </c>
      <c r="Z2134" s="0" t="inlineStr">
        <is>
          <t>https://new.land.naver.com/complexes/106802?tab=detail&amp;rf=Y</t>
        </is>
      </c>
      <c r="AA2134" s="0" t="inlineStr">
        <is>
          <t>서울시 강동구 성내동 447-2</t>
        </is>
      </c>
      <c r="AB2134" s="0" t="inlineStr">
        <is>
          <t>서울시</t>
        </is>
      </c>
      <c r="AC2134" s="0" t="inlineStr">
        <is>
          <t>강동구</t>
        </is>
      </c>
      <c r="AD2134" s="0" t="inlineStr">
        <is>
          <t>성내동</t>
        </is>
      </c>
      <c r="AG2134" s="0" t="inlineStr">
        <is>
          <t>서울시 강동구 성안로 11-10</t>
        </is>
      </c>
      <c r="AH2134" s="0" t="n">
        <v>0</v>
      </c>
      <c r="AI2134" s="0" t="n">
        <v>195</v>
      </c>
      <c r="AJ2134" s="0" t="n">
        <v>36</v>
      </c>
      <c r="AK2134" s="0" t="n">
        <v>25</v>
      </c>
      <c r="AL2134" s="0" t="n">
        <v>1.32</v>
      </c>
    </row>
    <row r="2135">
      <c r="A2135" s="0" t="inlineStr">
        <is>
          <t>[성내동]</t>
        </is>
      </c>
      <c r="B2135" s="0" t="n">
        <v>106802</v>
      </c>
      <c r="C2135" s="0" t="n">
        <v>7</v>
      </c>
      <c r="D2135" s="0" t="inlineStr">
        <is>
          <t>강동다온채</t>
        </is>
      </c>
      <c r="E2135" s="0" t="inlineStr">
        <is>
          <t>2008.07.</t>
        </is>
      </c>
      <c r="F2135" s="0" t="n">
        <v>19</v>
      </c>
      <c r="G2135" s="0" t="n">
        <v>55.76</v>
      </c>
      <c r="H2135" s="0" t="n">
        <v>184.35</v>
      </c>
      <c r="I2135" s="0" t="n">
        <v>46.55</v>
      </c>
      <c r="J2135" s="0" t="n">
        <v>153.9</v>
      </c>
      <c r="K2135" s="0" t="n">
        <v>1</v>
      </c>
      <c r="T2135" s="0" t="n">
        <v>4</v>
      </c>
      <c r="U2135" s="0" t="n">
        <v>2</v>
      </c>
      <c r="V2135" s="0" t="inlineStr">
        <is>
          <t>계단식</t>
        </is>
      </c>
      <c r="W2135" s="0" t="n">
        <v>184</v>
      </c>
      <c r="X2135" s="0" t="n">
        <v>8</v>
      </c>
      <c r="Y2135" s="0" t="n">
        <v>7</v>
      </c>
      <c r="Z2135" s="0" t="inlineStr">
        <is>
          <t>https://new.land.naver.com/complexes/106802?tab=detail&amp;rf=Y</t>
        </is>
      </c>
      <c r="AA2135" s="0" t="inlineStr">
        <is>
          <t>서울시 강동구 성내동 447-2</t>
        </is>
      </c>
      <c r="AB2135" s="0" t="inlineStr">
        <is>
          <t>서울시</t>
        </is>
      </c>
      <c r="AC2135" s="0" t="inlineStr">
        <is>
          <t>강동구</t>
        </is>
      </c>
      <c r="AD2135" s="0" t="inlineStr">
        <is>
          <t>성내동</t>
        </is>
      </c>
      <c r="AG2135" s="0" t="inlineStr">
        <is>
          <t>서울시 강동구 성안로 11-10</t>
        </is>
      </c>
      <c r="AH2135" s="0" t="n">
        <v>0</v>
      </c>
      <c r="AI2135" s="0" t="n">
        <v>195</v>
      </c>
      <c r="AJ2135" s="0" t="n">
        <v>36</v>
      </c>
      <c r="AK2135" s="0" t="n">
        <v>25</v>
      </c>
      <c r="AL2135" s="0" t="n">
        <v>1.32</v>
      </c>
    </row>
    <row r="2136">
      <c r="A2136" s="0" t="inlineStr">
        <is>
          <t>[성내동]</t>
        </is>
      </c>
      <c r="B2136" s="0" t="n">
        <v>128330</v>
      </c>
      <c r="C2136" s="0" t="n">
        <v>1</v>
      </c>
      <c r="D2136" s="0" t="inlineStr">
        <is>
          <t>집앤사비키</t>
        </is>
      </c>
      <c r="E2136" s="0" t="inlineStr">
        <is>
          <t>2019.11.</t>
        </is>
      </c>
      <c r="F2136" s="0" t="n">
        <v>21</v>
      </c>
      <c r="G2136" s="0" t="n">
        <v>16.56</v>
      </c>
      <c r="H2136" s="0" t="n">
        <v>54.77</v>
      </c>
      <c r="I2136" s="0" t="n">
        <v>14.58</v>
      </c>
      <c r="J2136" s="0" t="n">
        <v>48.2</v>
      </c>
      <c r="K2136" s="0" t="n">
        <v>1</v>
      </c>
      <c r="T2136" s="0" t="n">
        <v>2</v>
      </c>
      <c r="U2136" s="0" t="n">
        <v>1</v>
      </c>
      <c r="V2136" s="0" t="inlineStr">
        <is>
          <t>계단식</t>
        </is>
      </c>
      <c r="W2136" s="0" t="n">
        <v>54</v>
      </c>
      <c r="X2136" s="0" t="n">
        <v>12</v>
      </c>
      <c r="Y2136" s="0" t="n">
        <v>11</v>
      </c>
      <c r="Z2136" s="0" t="inlineStr">
        <is>
          <t>https://new.land.naver.com/complexes/128330?tab=detail&amp;rf=Y</t>
        </is>
      </c>
      <c r="AA2136" s="0" t="inlineStr">
        <is>
          <t>서울시 강동구 성내동 545-8</t>
        </is>
      </c>
      <c r="AB2136" s="0" t="inlineStr">
        <is>
          <t>서울시</t>
        </is>
      </c>
      <c r="AC2136" s="0" t="inlineStr">
        <is>
          <t>강동구</t>
        </is>
      </c>
      <c r="AD2136" s="0" t="inlineStr">
        <is>
          <t>성내동</t>
        </is>
      </c>
      <c r="AG2136" s="0" t="inlineStr">
        <is>
          <t>서울시 강동구 성내로 79</t>
        </is>
      </c>
      <c r="AH2136" s="0" t="n">
        <v>0</v>
      </c>
      <c r="AI2136" s="0" t="n">
        <v>249</v>
      </c>
      <c r="AJ2136" s="0" t="n">
        <v>33</v>
      </c>
      <c r="AK2136" s="0" t="n">
        <v>21</v>
      </c>
      <c r="AL2136" s="0" t="n">
        <v>1</v>
      </c>
    </row>
    <row r="2137">
      <c r="A2137" s="0" t="inlineStr">
        <is>
          <t>[성내동]</t>
        </is>
      </c>
      <c r="B2137" s="0" t="n">
        <v>128330</v>
      </c>
      <c r="C2137" s="0" t="n">
        <v>2</v>
      </c>
      <c r="D2137" s="0" t="inlineStr">
        <is>
          <t>집앤사비키</t>
        </is>
      </c>
      <c r="E2137" s="0" t="inlineStr">
        <is>
          <t>2019.11.</t>
        </is>
      </c>
      <c r="F2137" s="0" t="n">
        <v>21</v>
      </c>
      <c r="G2137" s="0" t="n">
        <v>18.74</v>
      </c>
      <c r="H2137" s="0" t="n">
        <v>61.98</v>
      </c>
      <c r="I2137" s="0" t="n">
        <v>16.5</v>
      </c>
      <c r="J2137" s="0" t="n">
        <v>54.55</v>
      </c>
      <c r="K2137" s="0" t="n">
        <v>1</v>
      </c>
      <c r="T2137" s="0" t="n">
        <v>3</v>
      </c>
      <c r="U2137" s="0" t="n">
        <v>2</v>
      </c>
      <c r="V2137" s="0" t="inlineStr">
        <is>
          <t>계단식</t>
        </is>
      </c>
      <c r="W2137" s="0" t="n">
        <v>61</v>
      </c>
      <c r="X2137" s="0" t="n">
        <v>12</v>
      </c>
      <c r="Y2137" s="0" t="n">
        <v>11</v>
      </c>
      <c r="Z2137" s="0" t="inlineStr">
        <is>
          <t>https://new.land.naver.com/complexes/128330?tab=detail&amp;rf=Y</t>
        </is>
      </c>
      <c r="AA2137" s="0" t="inlineStr">
        <is>
          <t>서울시 강동구 성내동 545-8</t>
        </is>
      </c>
      <c r="AB2137" s="0" t="inlineStr">
        <is>
          <t>서울시</t>
        </is>
      </c>
      <c r="AC2137" s="0" t="inlineStr">
        <is>
          <t>강동구</t>
        </is>
      </c>
      <c r="AD2137" s="0" t="inlineStr">
        <is>
          <t>성내동</t>
        </is>
      </c>
      <c r="AG2137" s="0" t="inlineStr">
        <is>
          <t>서울시 강동구 성내로 79</t>
        </is>
      </c>
      <c r="AH2137" s="0" t="n">
        <v>0</v>
      </c>
      <c r="AI2137" s="0" t="n">
        <v>249</v>
      </c>
      <c r="AJ2137" s="0" t="n">
        <v>33</v>
      </c>
      <c r="AK2137" s="0" t="n">
        <v>21</v>
      </c>
      <c r="AL2137" s="0" t="n">
        <v>1</v>
      </c>
    </row>
    <row r="2138">
      <c r="A2138" s="0" t="inlineStr">
        <is>
          <t>[성내동]</t>
        </is>
      </c>
      <c r="B2138" s="0" t="n">
        <v>128330</v>
      </c>
      <c r="C2138" s="0" t="n">
        <v>3</v>
      </c>
      <c r="D2138" s="0" t="inlineStr">
        <is>
          <t>집앤사비키</t>
        </is>
      </c>
      <c r="E2138" s="0" t="inlineStr">
        <is>
          <t>2019.11.</t>
        </is>
      </c>
      <c r="F2138" s="0" t="n">
        <v>21</v>
      </c>
      <c r="G2138" s="0" t="n">
        <v>22.25</v>
      </c>
      <c r="H2138" s="0" t="n">
        <v>73.58</v>
      </c>
      <c r="I2138" s="0" t="n">
        <v>19.58</v>
      </c>
      <c r="J2138" s="0" t="n">
        <v>64.76000000000001</v>
      </c>
      <c r="K2138" s="0" t="n">
        <v>1</v>
      </c>
      <c r="T2138" s="0" t="n">
        <v>3</v>
      </c>
      <c r="U2138" s="0" t="n">
        <v>2</v>
      </c>
      <c r="V2138" s="0" t="inlineStr">
        <is>
          <t>계단식</t>
        </is>
      </c>
      <c r="W2138" s="0" t="n">
        <v>73</v>
      </c>
      <c r="X2138" s="0" t="n">
        <v>12</v>
      </c>
      <c r="Y2138" s="0" t="n">
        <v>11</v>
      </c>
      <c r="Z2138" s="0" t="inlineStr">
        <is>
          <t>https://new.land.naver.com/complexes/128330?tab=detail&amp;rf=Y</t>
        </is>
      </c>
      <c r="AA2138" s="0" t="inlineStr">
        <is>
          <t>서울시 강동구 성내동 545-8</t>
        </is>
      </c>
      <c r="AB2138" s="0" t="inlineStr">
        <is>
          <t>서울시</t>
        </is>
      </c>
      <c r="AC2138" s="0" t="inlineStr">
        <is>
          <t>강동구</t>
        </is>
      </c>
      <c r="AD2138" s="0" t="inlineStr">
        <is>
          <t>성내동</t>
        </is>
      </c>
      <c r="AG2138" s="0" t="inlineStr">
        <is>
          <t>서울시 강동구 성내로 79</t>
        </is>
      </c>
      <c r="AH2138" s="0" t="n">
        <v>0</v>
      </c>
      <c r="AI2138" s="0" t="n">
        <v>249</v>
      </c>
      <c r="AJ2138" s="0" t="n">
        <v>33</v>
      </c>
      <c r="AK2138" s="0" t="n">
        <v>21</v>
      </c>
      <c r="AL2138" s="0" t="n">
        <v>1</v>
      </c>
    </row>
    <row r="2139">
      <c r="A2139" s="0" t="inlineStr">
        <is>
          <t>[성내동]</t>
        </is>
      </c>
      <c r="B2139" s="0" t="n">
        <v>128330</v>
      </c>
      <c r="C2139" s="0" t="n">
        <v>4</v>
      </c>
      <c r="D2139" s="0" t="inlineStr">
        <is>
          <t>집앤사비키</t>
        </is>
      </c>
      <c r="E2139" s="0" t="inlineStr">
        <is>
          <t>2019.11.</t>
        </is>
      </c>
      <c r="F2139" s="0" t="n">
        <v>21</v>
      </c>
      <c r="G2139" s="0" t="n">
        <v>24.49</v>
      </c>
      <c r="H2139" s="0" t="n">
        <v>80.95999999999999</v>
      </c>
      <c r="I2139" s="0" t="n">
        <v>21.55</v>
      </c>
      <c r="J2139" s="0" t="n">
        <v>71.25</v>
      </c>
      <c r="K2139" s="0" t="n">
        <v>8</v>
      </c>
      <c r="T2139" s="0" t="n">
        <v>3</v>
      </c>
      <c r="U2139" s="0" t="n">
        <v>2</v>
      </c>
      <c r="V2139" s="0" t="inlineStr">
        <is>
          <t>계단식</t>
        </is>
      </c>
      <c r="W2139" s="0" t="n">
        <v>80</v>
      </c>
      <c r="X2139" s="0" t="n">
        <v>12</v>
      </c>
      <c r="Y2139" s="0" t="n">
        <v>11</v>
      </c>
      <c r="Z2139" s="0" t="inlineStr">
        <is>
          <t>https://new.land.naver.com/complexes/128330?tab=detail&amp;rf=Y</t>
        </is>
      </c>
      <c r="AA2139" s="0" t="inlineStr">
        <is>
          <t>서울시 강동구 성내동 545-8</t>
        </is>
      </c>
      <c r="AB2139" s="0" t="inlineStr">
        <is>
          <t>서울시</t>
        </is>
      </c>
      <c r="AC2139" s="0" t="inlineStr">
        <is>
          <t>강동구</t>
        </is>
      </c>
      <c r="AD2139" s="0" t="inlineStr">
        <is>
          <t>성내동</t>
        </is>
      </c>
      <c r="AG2139" s="0" t="inlineStr">
        <is>
          <t>서울시 강동구 성내로 79</t>
        </is>
      </c>
      <c r="AH2139" s="0" t="n">
        <v>0</v>
      </c>
      <c r="AI2139" s="0" t="n">
        <v>249</v>
      </c>
      <c r="AJ2139" s="0" t="n">
        <v>33</v>
      </c>
      <c r="AK2139" s="0" t="n">
        <v>21</v>
      </c>
      <c r="AL2139" s="0" t="n">
        <v>1</v>
      </c>
    </row>
    <row r="2140">
      <c r="A2140" s="0" t="inlineStr">
        <is>
          <t>[성내동]</t>
        </is>
      </c>
      <c r="B2140" s="0" t="n">
        <v>128330</v>
      </c>
      <c r="C2140" s="0" t="n">
        <v>5</v>
      </c>
      <c r="D2140" s="0" t="inlineStr">
        <is>
          <t>집앤사비키</t>
        </is>
      </c>
      <c r="E2140" s="0" t="inlineStr">
        <is>
          <t>2019.11.</t>
        </is>
      </c>
      <c r="F2140" s="0" t="n">
        <v>21</v>
      </c>
      <c r="G2140" s="0" t="n">
        <v>24.76</v>
      </c>
      <c r="H2140" s="0" t="n">
        <v>81.88</v>
      </c>
      <c r="I2140" s="0" t="n">
        <v>21.79</v>
      </c>
      <c r="J2140" s="0" t="n">
        <v>72.06</v>
      </c>
      <c r="K2140" s="0" t="n">
        <v>8</v>
      </c>
      <c r="T2140" s="0" t="n">
        <v>3</v>
      </c>
      <c r="U2140" s="0" t="n">
        <v>2</v>
      </c>
      <c r="V2140" s="0" t="inlineStr">
        <is>
          <t>계단식</t>
        </is>
      </c>
      <c r="W2140" s="0" t="inlineStr">
        <is>
          <t>81A</t>
        </is>
      </c>
      <c r="X2140" s="0" t="n">
        <v>12</v>
      </c>
      <c r="Y2140" s="0" t="n">
        <v>11</v>
      </c>
      <c r="Z2140" s="0" t="inlineStr">
        <is>
          <t>https://new.land.naver.com/complexes/128330?tab=detail&amp;rf=Y</t>
        </is>
      </c>
      <c r="AA2140" s="0" t="inlineStr">
        <is>
          <t>서울시 강동구 성내동 545-8</t>
        </is>
      </c>
      <c r="AB2140" s="0" t="inlineStr">
        <is>
          <t>서울시</t>
        </is>
      </c>
      <c r="AC2140" s="0" t="inlineStr">
        <is>
          <t>강동구</t>
        </is>
      </c>
      <c r="AD2140" s="0" t="inlineStr">
        <is>
          <t>성내동</t>
        </is>
      </c>
      <c r="AG2140" s="0" t="inlineStr">
        <is>
          <t>서울시 강동구 성내로 79</t>
        </is>
      </c>
      <c r="AH2140" s="0" t="n">
        <v>0</v>
      </c>
      <c r="AI2140" s="0" t="n">
        <v>249</v>
      </c>
      <c r="AJ2140" s="0" t="n">
        <v>33</v>
      </c>
      <c r="AK2140" s="0" t="n">
        <v>21</v>
      </c>
      <c r="AL2140" s="0" t="n">
        <v>1</v>
      </c>
    </row>
    <row r="2141">
      <c r="A2141" s="0" t="inlineStr">
        <is>
          <t>[성내동]</t>
        </is>
      </c>
      <c r="B2141" s="0" t="n">
        <v>128330</v>
      </c>
      <c r="C2141" s="0" t="n">
        <v>6</v>
      </c>
      <c r="D2141" s="0" t="inlineStr">
        <is>
          <t>집앤사비키</t>
        </is>
      </c>
      <c r="E2141" s="0" t="inlineStr">
        <is>
          <t>2019.11.</t>
        </is>
      </c>
      <c r="F2141" s="0" t="n">
        <v>21</v>
      </c>
      <c r="G2141" s="0" t="n">
        <v>25.17</v>
      </c>
      <c r="H2141" s="0" t="n">
        <v>83.23</v>
      </c>
      <c r="I2141" s="0" t="n">
        <v>22.15</v>
      </c>
      <c r="J2141" s="0" t="n">
        <v>73.25</v>
      </c>
      <c r="K2141" s="0" t="n">
        <v>1</v>
      </c>
      <c r="T2141" s="0" t="n">
        <v>3</v>
      </c>
      <c r="U2141" s="0" t="n">
        <v>2</v>
      </c>
      <c r="V2141" s="0" t="inlineStr">
        <is>
          <t>계단식</t>
        </is>
      </c>
      <c r="W2141" s="0" t="inlineStr">
        <is>
          <t>83B</t>
        </is>
      </c>
      <c r="X2141" s="0" t="n">
        <v>12</v>
      </c>
      <c r="Y2141" s="0" t="n">
        <v>11</v>
      </c>
      <c r="Z2141" s="0" t="inlineStr">
        <is>
          <t>https://new.land.naver.com/complexes/128330?tab=detail&amp;rf=Y</t>
        </is>
      </c>
      <c r="AA2141" s="0" t="inlineStr">
        <is>
          <t>서울시 강동구 성내동 545-8</t>
        </is>
      </c>
      <c r="AB2141" s="0" t="inlineStr">
        <is>
          <t>서울시</t>
        </is>
      </c>
      <c r="AC2141" s="0" t="inlineStr">
        <is>
          <t>강동구</t>
        </is>
      </c>
      <c r="AD2141" s="0" t="inlineStr">
        <is>
          <t>성내동</t>
        </is>
      </c>
      <c r="AG2141" s="0" t="inlineStr">
        <is>
          <t>서울시 강동구 성내로 79</t>
        </is>
      </c>
      <c r="AH2141" s="0" t="n">
        <v>0</v>
      </c>
      <c r="AI2141" s="0" t="n">
        <v>249</v>
      </c>
      <c r="AJ2141" s="0" t="n">
        <v>33</v>
      </c>
      <c r="AK2141" s="0" t="n">
        <v>21</v>
      </c>
      <c r="AL2141" s="0" t="n">
        <v>1</v>
      </c>
    </row>
    <row r="2142">
      <c r="A2142" s="0" t="inlineStr">
        <is>
          <t>[성내동]</t>
        </is>
      </c>
      <c r="B2142" s="0" t="n">
        <v>128330</v>
      </c>
      <c r="C2142" s="0" t="n">
        <v>7</v>
      </c>
      <c r="D2142" s="0" t="inlineStr">
        <is>
          <t>집앤사비키</t>
        </is>
      </c>
      <c r="E2142" s="0" t="inlineStr">
        <is>
          <t>2019.11.</t>
        </is>
      </c>
      <c r="F2142" s="0" t="n">
        <v>21</v>
      </c>
      <c r="G2142" s="0" t="n">
        <v>35.7</v>
      </c>
      <c r="H2142" s="0" t="n">
        <v>118.03</v>
      </c>
      <c r="I2142" s="0" t="n">
        <v>31.42</v>
      </c>
      <c r="J2142" s="0" t="n">
        <v>103.88</v>
      </c>
      <c r="K2142" s="0" t="n">
        <v>1</v>
      </c>
      <c r="T2142" s="0" t="n">
        <v>4</v>
      </c>
      <c r="U2142" s="0" t="n">
        <v>2</v>
      </c>
      <c r="V2142" s="0" t="inlineStr">
        <is>
          <t>계단식</t>
        </is>
      </c>
      <c r="W2142" s="0" t="n">
        <v>118</v>
      </c>
      <c r="X2142" s="0" t="n">
        <v>12</v>
      </c>
      <c r="Y2142" s="0" t="n">
        <v>11</v>
      </c>
      <c r="Z2142" s="0" t="inlineStr">
        <is>
          <t>https://new.land.naver.com/complexes/128330?tab=detail&amp;rf=Y</t>
        </is>
      </c>
      <c r="AA2142" s="0" t="inlineStr">
        <is>
          <t>서울시 강동구 성내동 545-8</t>
        </is>
      </c>
      <c r="AB2142" s="0" t="inlineStr">
        <is>
          <t>서울시</t>
        </is>
      </c>
      <c r="AC2142" s="0" t="inlineStr">
        <is>
          <t>강동구</t>
        </is>
      </c>
      <c r="AD2142" s="0" t="inlineStr">
        <is>
          <t>성내동</t>
        </is>
      </c>
      <c r="AG2142" s="0" t="inlineStr">
        <is>
          <t>서울시 강동구 성내로 79</t>
        </is>
      </c>
      <c r="AH2142" s="0" t="n">
        <v>0</v>
      </c>
      <c r="AI2142" s="0" t="n">
        <v>249</v>
      </c>
      <c r="AJ2142" s="0" t="n">
        <v>33</v>
      </c>
      <c r="AK2142" s="0" t="n">
        <v>21</v>
      </c>
      <c r="AL2142" s="0" t="n">
        <v>1</v>
      </c>
    </row>
    <row r="2143">
      <c r="A2143" s="0" t="inlineStr">
        <is>
          <t>[성내동]</t>
        </is>
      </c>
      <c r="B2143" s="0" t="n">
        <v>23749</v>
      </c>
      <c r="C2143" s="0" t="n">
        <v>1</v>
      </c>
      <c r="D2143" s="0" t="inlineStr">
        <is>
          <t>라움</t>
        </is>
      </c>
      <c r="E2143" s="0" t="inlineStr">
        <is>
          <t>2004.05.</t>
        </is>
      </c>
      <c r="F2143" s="0" t="n">
        <v>16</v>
      </c>
      <c r="G2143" s="0" t="n">
        <v>14.81</v>
      </c>
      <c r="H2143" s="0" t="n">
        <v>48.97</v>
      </c>
      <c r="I2143" s="0" t="n">
        <v>12.44</v>
      </c>
      <c r="J2143" s="0" t="n">
        <v>41.14</v>
      </c>
      <c r="K2143" s="0" t="n">
        <v>4</v>
      </c>
      <c r="T2143" s="0" t="n">
        <v>2</v>
      </c>
      <c r="U2143" s="0" t="n">
        <v>1</v>
      </c>
      <c r="V2143" s="0" t="inlineStr">
        <is>
          <t>계단식</t>
        </is>
      </c>
      <c r="W2143" s="0" t="n">
        <v>48</v>
      </c>
      <c r="X2143" s="0" t="n">
        <v>7</v>
      </c>
      <c r="Y2143" s="0" t="n">
        <v>5</v>
      </c>
      <c r="Z2143" s="0" t="inlineStr">
        <is>
          <t>https://new.land.naver.com/complexes/23749?tab=detail&amp;rf=Y</t>
        </is>
      </c>
      <c r="AA2143" s="0" t="inlineStr">
        <is>
          <t>서울시 강동구 성내동 439-2</t>
        </is>
      </c>
      <c r="AB2143" s="0" t="inlineStr">
        <is>
          <t>서울시</t>
        </is>
      </c>
      <c r="AC2143" s="0" t="inlineStr">
        <is>
          <t>강동구</t>
        </is>
      </c>
      <c r="AD2143" s="0" t="inlineStr">
        <is>
          <t>성내동</t>
        </is>
      </c>
      <c r="AG2143" s="0" t="inlineStr">
        <is>
          <t>서울시 강동구 강동대로55길 68</t>
        </is>
      </c>
      <c r="AH2143" s="0" t="n">
        <v>0</v>
      </c>
      <c r="AI2143" s="0" t="n">
        <v>261</v>
      </c>
      <c r="AJ2143" s="0" t="n">
        <v>50</v>
      </c>
      <c r="AK2143" s="0" t="n">
        <v>16</v>
      </c>
      <c r="AL2143" s="0" t="n">
        <v>1</v>
      </c>
    </row>
    <row r="2144">
      <c r="A2144" s="0" t="inlineStr">
        <is>
          <t>[성내동]</t>
        </is>
      </c>
      <c r="B2144" s="0" t="n">
        <v>23749</v>
      </c>
      <c r="C2144" s="0" t="n">
        <v>2</v>
      </c>
      <c r="D2144" s="0" t="inlineStr">
        <is>
          <t>라움</t>
        </is>
      </c>
      <c r="E2144" s="0" t="inlineStr">
        <is>
          <t>2004.05.</t>
        </is>
      </c>
      <c r="F2144" s="0" t="n">
        <v>16</v>
      </c>
      <c r="G2144" s="0" t="n">
        <v>15.92</v>
      </c>
      <c r="H2144" s="0" t="n">
        <v>52.64</v>
      </c>
      <c r="I2144" s="0" t="n">
        <v>13.37</v>
      </c>
      <c r="J2144" s="0" t="n">
        <v>44.23</v>
      </c>
      <c r="K2144" s="0" t="n">
        <v>1</v>
      </c>
      <c r="T2144" s="0" t="n">
        <v>2</v>
      </c>
      <c r="U2144" s="0" t="n">
        <v>1</v>
      </c>
      <c r="V2144" s="0" t="inlineStr">
        <is>
          <t>계단식</t>
        </is>
      </c>
      <c r="W2144" s="0" t="n">
        <v>52</v>
      </c>
      <c r="X2144" s="0" t="n">
        <v>7</v>
      </c>
      <c r="Y2144" s="0" t="n">
        <v>5</v>
      </c>
      <c r="Z2144" s="0" t="inlineStr">
        <is>
          <t>https://new.land.naver.com/complexes/23749?tab=detail&amp;rf=Y</t>
        </is>
      </c>
      <c r="AA2144" s="0" t="inlineStr">
        <is>
          <t>서울시 강동구 성내동 439-2</t>
        </is>
      </c>
      <c r="AB2144" s="0" t="inlineStr">
        <is>
          <t>서울시</t>
        </is>
      </c>
      <c r="AC2144" s="0" t="inlineStr">
        <is>
          <t>강동구</t>
        </is>
      </c>
      <c r="AD2144" s="0" t="inlineStr">
        <is>
          <t>성내동</t>
        </is>
      </c>
      <c r="AG2144" s="0" t="inlineStr">
        <is>
          <t>서울시 강동구 강동대로55길 68</t>
        </is>
      </c>
      <c r="AH2144" s="0" t="n">
        <v>0</v>
      </c>
      <c r="AI2144" s="0" t="n">
        <v>261</v>
      </c>
      <c r="AJ2144" s="0" t="n">
        <v>50</v>
      </c>
      <c r="AK2144" s="0" t="n">
        <v>16</v>
      </c>
      <c r="AL2144" s="0" t="n">
        <v>1</v>
      </c>
    </row>
    <row r="2145">
      <c r="A2145" s="0" t="inlineStr">
        <is>
          <t>[성내동]</t>
        </is>
      </c>
      <c r="B2145" s="0" t="n">
        <v>23749</v>
      </c>
      <c r="C2145" s="0" t="n">
        <v>3</v>
      </c>
      <c r="D2145" s="0" t="inlineStr">
        <is>
          <t>라움</t>
        </is>
      </c>
      <c r="E2145" s="0" t="inlineStr">
        <is>
          <t>2004.05.</t>
        </is>
      </c>
      <c r="F2145" s="0" t="n">
        <v>16</v>
      </c>
      <c r="G2145" s="0" t="n">
        <v>23.5</v>
      </c>
      <c r="H2145" s="0" t="n">
        <v>77.7</v>
      </c>
      <c r="I2145" s="0" t="n">
        <v>19.74</v>
      </c>
      <c r="J2145" s="0" t="n">
        <v>65.28</v>
      </c>
      <c r="K2145" s="0" t="n">
        <v>1</v>
      </c>
      <c r="T2145" s="0" t="n">
        <v>3</v>
      </c>
      <c r="U2145" s="0" t="n">
        <v>1</v>
      </c>
      <c r="V2145" s="0" t="inlineStr">
        <is>
          <t>계단식</t>
        </is>
      </c>
      <c r="W2145" s="0" t="inlineStr">
        <is>
          <t>77A</t>
        </is>
      </c>
      <c r="X2145" s="0" t="n">
        <v>7</v>
      </c>
      <c r="Y2145" s="0" t="n">
        <v>5</v>
      </c>
      <c r="Z2145" s="0" t="inlineStr">
        <is>
          <t>https://new.land.naver.com/complexes/23749?tab=detail&amp;rf=Y</t>
        </is>
      </c>
      <c r="AA2145" s="0" t="inlineStr">
        <is>
          <t>서울시 강동구 성내동 439-2</t>
        </is>
      </c>
      <c r="AB2145" s="0" t="inlineStr">
        <is>
          <t>서울시</t>
        </is>
      </c>
      <c r="AC2145" s="0" t="inlineStr">
        <is>
          <t>강동구</t>
        </is>
      </c>
      <c r="AD2145" s="0" t="inlineStr">
        <is>
          <t>성내동</t>
        </is>
      </c>
      <c r="AG2145" s="0" t="inlineStr">
        <is>
          <t>서울시 강동구 강동대로55길 68</t>
        </is>
      </c>
      <c r="AH2145" s="0" t="n">
        <v>0</v>
      </c>
      <c r="AI2145" s="0" t="n">
        <v>261</v>
      </c>
      <c r="AJ2145" s="0" t="n">
        <v>50</v>
      </c>
      <c r="AK2145" s="0" t="n">
        <v>16</v>
      </c>
      <c r="AL2145" s="0" t="n">
        <v>1</v>
      </c>
    </row>
    <row r="2146">
      <c r="A2146" s="0" t="inlineStr">
        <is>
          <t>[성내동]</t>
        </is>
      </c>
      <c r="B2146" s="0" t="n">
        <v>23749</v>
      </c>
      <c r="C2146" s="0" t="n">
        <v>4</v>
      </c>
      <c r="D2146" s="0" t="inlineStr">
        <is>
          <t>라움</t>
        </is>
      </c>
      <c r="E2146" s="0" t="inlineStr">
        <is>
          <t>2004.05.</t>
        </is>
      </c>
      <c r="F2146" s="0" t="n">
        <v>16</v>
      </c>
      <c r="G2146" s="0" t="n">
        <v>24.01</v>
      </c>
      <c r="H2146" s="0" t="n">
        <v>79.40000000000001</v>
      </c>
      <c r="I2146" s="0" t="n">
        <v>20.17</v>
      </c>
      <c r="J2146" s="0" t="n">
        <v>66.70999999999999</v>
      </c>
      <c r="K2146" s="0" t="n">
        <v>1</v>
      </c>
      <c r="T2146" s="0" t="n">
        <v>3</v>
      </c>
      <c r="U2146" s="0" t="n">
        <v>1</v>
      </c>
      <c r="V2146" s="0" t="inlineStr">
        <is>
          <t>계단식</t>
        </is>
      </c>
      <c r="W2146" s="0" t="inlineStr">
        <is>
          <t>79B</t>
        </is>
      </c>
      <c r="X2146" s="0" t="n">
        <v>7</v>
      </c>
      <c r="Y2146" s="0" t="n">
        <v>5</v>
      </c>
      <c r="Z2146" s="0" t="inlineStr">
        <is>
          <t>https://new.land.naver.com/complexes/23749?tab=detail&amp;rf=Y</t>
        </is>
      </c>
      <c r="AA2146" s="0" t="inlineStr">
        <is>
          <t>서울시 강동구 성내동 439-2</t>
        </is>
      </c>
      <c r="AB2146" s="0" t="inlineStr">
        <is>
          <t>서울시</t>
        </is>
      </c>
      <c r="AC2146" s="0" t="inlineStr">
        <is>
          <t>강동구</t>
        </is>
      </c>
      <c r="AD2146" s="0" t="inlineStr">
        <is>
          <t>성내동</t>
        </is>
      </c>
      <c r="AG2146" s="0" t="inlineStr">
        <is>
          <t>서울시 강동구 강동대로55길 68</t>
        </is>
      </c>
      <c r="AH2146" s="0" t="n">
        <v>0</v>
      </c>
      <c r="AI2146" s="0" t="n">
        <v>261</v>
      </c>
      <c r="AJ2146" s="0" t="n">
        <v>50</v>
      </c>
      <c r="AK2146" s="0" t="n">
        <v>16</v>
      </c>
      <c r="AL2146" s="0" t="n">
        <v>1</v>
      </c>
    </row>
    <row r="2147">
      <c r="A2147" s="0" t="inlineStr">
        <is>
          <t>[성내동]</t>
        </is>
      </c>
      <c r="B2147" s="0" t="n">
        <v>23749</v>
      </c>
      <c r="C2147" s="0" t="n">
        <v>5</v>
      </c>
      <c r="D2147" s="0" t="inlineStr">
        <is>
          <t>라움</t>
        </is>
      </c>
      <c r="E2147" s="0" t="inlineStr">
        <is>
          <t>2004.05.</t>
        </is>
      </c>
      <c r="F2147" s="0" t="n">
        <v>16</v>
      </c>
      <c r="G2147" s="0" t="n">
        <v>24.42</v>
      </c>
      <c r="H2147" s="0" t="n">
        <v>80.73999999999999</v>
      </c>
      <c r="I2147" s="0" t="n">
        <v>20.52</v>
      </c>
      <c r="J2147" s="0" t="n">
        <v>67.84</v>
      </c>
      <c r="K2147" s="0" t="n">
        <v>4</v>
      </c>
      <c r="T2147" s="0" t="n">
        <v>3</v>
      </c>
      <c r="U2147" s="0" t="n">
        <v>1</v>
      </c>
      <c r="V2147" s="0" t="inlineStr">
        <is>
          <t>계단식</t>
        </is>
      </c>
      <c r="W2147" s="0" t="inlineStr">
        <is>
          <t>80C</t>
        </is>
      </c>
      <c r="X2147" s="0" t="n">
        <v>7</v>
      </c>
      <c r="Y2147" s="0" t="n">
        <v>5</v>
      </c>
      <c r="Z2147" s="0" t="inlineStr">
        <is>
          <t>https://new.land.naver.com/complexes/23749?tab=detail&amp;rf=Y</t>
        </is>
      </c>
      <c r="AA2147" s="0" t="inlineStr">
        <is>
          <t>서울시 강동구 성내동 439-2</t>
        </is>
      </c>
      <c r="AB2147" s="0" t="inlineStr">
        <is>
          <t>서울시</t>
        </is>
      </c>
      <c r="AC2147" s="0" t="inlineStr">
        <is>
          <t>강동구</t>
        </is>
      </c>
      <c r="AD2147" s="0" t="inlineStr">
        <is>
          <t>성내동</t>
        </is>
      </c>
      <c r="AG2147" s="0" t="inlineStr">
        <is>
          <t>서울시 강동구 강동대로55길 68</t>
        </is>
      </c>
      <c r="AH2147" s="0" t="n">
        <v>0</v>
      </c>
      <c r="AI2147" s="0" t="n">
        <v>261</v>
      </c>
      <c r="AJ2147" s="0" t="n">
        <v>50</v>
      </c>
      <c r="AK2147" s="0" t="n">
        <v>16</v>
      </c>
      <c r="AL2147" s="0" t="n">
        <v>1</v>
      </c>
    </row>
    <row r="2148">
      <c r="A2148" s="0" t="inlineStr">
        <is>
          <t>[성내동]</t>
        </is>
      </c>
      <c r="B2148" s="0" t="n">
        <v>23749</v>
      </c>
      <c r="C2148" s="0" t="n">
        <v>6</v>
      </c>
      <c r="D2148" s="0" t="inlineStr">
        <is>
          <t>라움</t>
        </is>
      </c>
      <c r="E2148" s="0" t="inlineStr">
        <is>
          <t>2004.05.</t>
        </is>
      </c>
      <c r="F2148" s="0" t="n">
        <v>16</v>
      </c>
      <c r="G2148" s="0" t="n">
        <v>27.55</v>
      </c>
      <c r="H2148" s="0" t="n">
        <v>91.09</v>
      </c>
      <c r="I2148" s="0" t="n">
        <v>23.15</v>
      </c>
      <c r="J2148" s="0" t="n">
        <v>76.53</v>
      </c>
      <c r="K2148" s="0" t="n">
        <v>4</v>
      </c>
      <c r="T2148" s="0" t="n">
        <v>3</v>
      </c>
      <c r="U2148" s="0" t="n">
        <v>2</v>
      </c>
      <c r="V2148" s="0" t="inlineStr">
        <is>
          <t>계단식</t>
        </is>
      </c>
      <c r="W2148" s="0" t="n">
        <v>91</v>
      </c>
      <c r="X2148" s="0" t="n">
        <v>7</v>
      </c>
      <c r="Y2148" s="0" t="n">
        <v>5</v>
      </c>
      <c r="Z2148" s="0" t="inlineStr">
        <is>
          <t>https://new.land.naver.com/complexes/23749?tab=detail&amp;rf=Y</t>
        </is>
      </c>
      <c r="AA2148" s="0" t="inlineStr">
        <is>
          <t>서울시 강동구 성내동 439-2</t>
        </is>
      </c>
      <c r="AB2148" s="0" t="inlineStr">
        <is>
          <t>서울시</t>
        </is>
      </c>
      <c r="AC2148" s="0" t="inlineStr">
        <is>
          <t>강동구</t>
        </is>
      </c>
      <c r="AD2148" s="0" t="inlineStr">
        <is>
          <t>성내동</t>
        </is>
      </c>
      <c r="AG2148" s="0" t="inlineStr">
        <is>
          <t>서울시 강동구 강동대로55길 68</t>
        </is>
      </c>
      <c r="AH2148" s="0" t="n">
        <v>0</v>
      </c>
      <c r="AI2148" s="0" t="n">
        <v>261</v>
      </c>
      <c r="AJ2148" s="0" t="n">
        <v>50</v>
      </c>
      <c r="AK2148" s="0" t="n">
        <v>16</v>
      </c>
      <c r="AL2148" s="0" t="n">
        <v>1</v>
      </c>
    </row>
    <row r="2149">
      <c r="A2149" s="0" t="inlineStr">
        <is>
          <t>[성내동]</t>
        </is>
      </c>
      <c r="B2149" s="0" t="n">
        <v>23749</v>
      </c>
      <c r="C2149" s="0" t="n">
        <v>7</v>
      </c>
      <c r="D2149" s="0" t="inlineStr">
        <is>
          <t>라움</t>
        </is>
      </c>
      <c r="E2149" s="0" t="inlineStr">
        <is>
          <t>2004.05.</t>
        </is>
      </c>
      <c r="F2149" s="0" t="n">
        <v>16</v>
      </c>
      <c r="G2149" s="0" t="n">
        <v>28.91</v>
      </c>
      <c r="H2149" s="0" t="n">
        <v>95.59</v>
      </c>
      <c r="I2149" s="0" t="n">
        <v>24.29</v>
      </c>
      <c r="J2149" s="0" t="n">
        <v>80.31</v>
      </c>
      <c r="K2149" s="0" t="n">
        <v>1</v>
      </c>
      <c r="T2149" s="0" t="n">
        <v>3</v>
      </c>
      <c r="U2149" s="0" t="n">
        <v>2</v>
      </c>
      <c r="V2149" s="0" t="inlineStr">
        <is>
          <t>계단식</t>
        </is>
      </c>
      <c r="W2149" s="0" t="n">
        <v>95</v>
      </c>
      <c r="X2149" s="0" t="n">
        <v>7</v>
      </c>
      <c r="Y2149" s="0" t="n">
        <v>5</v>
      </c>
      <c r="Z2149" s="0" t="inlineStr">
        <is>
          <t>https://new.land.naver.com/complexes/23749?tab=detail&amp;rf=Y</t>
        </is>
      </c>
      <c r="AA2149" s="0" t="inlineStr">
        <is>
          <t>서울시 강동구 성내동 439-2</t>
        </is>
      </c>
      <c r="AB2149" s="0" t="inlineStr">
        <is>
          <t>서울시</t>
        </is>
      </c>
      <c r="AC2149" s="0" t="inlineStr">
        <is>
          <t>강동구</t>
        </is>
      </c>
      <c r="AD2149" s="0" t="inlineStr">
        <is>
          <t>성내동</t>
        </is>
      </c>
      <c r="AG2149" s="0" t="inlineStr">
        <is>
          <t>서울시 강동구 강동대로55길 68</t>
        </is>
      </c>
      <c r="AH2149" s="0" t="n">
        <v>0</v>
      </c>
      <c r="AI2149" s="0" t="n">
        <v>261</v>
      </c>
      <c r="AJ2149" s="0" t="n">
        <v>50</v>
      </c>
      <c r="AK2149" s="0" t="n">
        <v>16</v>
      </c>
      <c r="AL2149" s="0" t="n">
        <v>1</v>
      </c>
    </row>
    <row r="2150">
      <c r="A2150" s="0" t="inlineStr">
        <is>
          <t>[성내동]</t>
        </is>
      </c>
      <c r="B2150" s="0" t="n">
        <v>8923</v>
      </c>
      <c r="C2150" s="0" t="n">
        <v>1</v>
      </c>
      <c r="D2150" s="0" t="inlineStr">
        <is>
          <t>강동네스빌</t>
        </is>
      </c>
      <c r="E2150" s="0" t="inlineStr">
        <is>
          <t>2002.02.</t>
        </is>
      </c>
      <c r="F2150" s="0" t="n">
        <v>38</v>
      </c>
      <c r="G2150" s="0" t="n">
        <v>10.17</v>
      </c>
      <c r="H2150" s="0" t="n">
        <v>33.64</v>
      </c>
      <c r="I2150" s="0" t="n">
        <v>7.39</v>
      </c>
      <c r="J2150" s="0" t="n">
        <v>24.45</v>
      </c>
      <c r="K2150" s="0" t="n">
        <v>7</v>
      </c>
      <c r="T2150" s="0" t="n">
        <v>1</v>
      </c>
      <c r="U2150" s="0" t="n">
        <v>1</v>
      </c>
      <c r="V2150" s="0" t="inlineStr">
        <is>
          <t>계단식</t>
        </is>
      </c>
      <c r="W2150" s="0" t="inlineStr">
        <is>
          <t>33A</t>
        </is>
      </c>
      <c r="X2150" s="0" t="n">
        <v>8</v>
      </c>
      <c r="Y2150" s="0" t="n">
        <v>8</v>
      </c>
      <c r="Z2150" s="0" t="inlineStr">
        <is>
          <t>https://new.land.naver.com/complexes/8923?tab=detail&amp;rf=Y</t>
        </is>
      </c>
      <c r="AA2150" s="0" t="inlineStr">
        <is>
          <t>서울시 강동구 성내동 444-4</t>
        </is>
      </c>
      <c r="AB2150" s="0" t="inlineStr">
        <is>
          <t>서울시</t>
        </is>
      </c>
      <c r="AC2150" s="0" t="inlineStr">
        <is>
          <t>강동구</t>
        </is>
      </c>
      <c r="AD2150" s="0" t="inlineStr">
        <is>
          <t>성내동</t>
        </is>
      </c>
      <c r="AG2150" s="0" t="inlineStr">
        <is>
          <t>서울시 강동구 강동대로53길 43</t>
        </is>
      </c>
      <c r="AH2150" s="0" t="n">
        <v>0</v>
      </c>
      <c r="AI2150" s="0" t="n">
        <v>289</v>
      </c>
      <c r="AJ2150" s="0" t="n">
        <v>41</v>
      </c>
      <c r="AK2150" s="0" t="n">
        <v>27</v>
      </c>
      <c r="AL2150" s="0" t="n">
        <v>0.71</v>
      </c>
    </row>
    <row r="2151">
      <c r="A2151" s="0" t="inlineStr">
        <is>
          <t>[성내동]</t>
        </is>
      </c>
      <c r="B2151" s="0" t="n">
        <v>8923</v>
      </c>
      <c r="C2151" s="0" t="n">
        <v>2</v>
      </c>
      <c r="D2151" s="0" t="inlineStr">
        <is>
          <t>강동네스빌</t>
        </is>
      </c>
      <c r="E2151" s="0" t="inlineStr">
        <is>
          <t>2002.02.</t>
        </is>
      </c>
      <c r="F2151" s="0" t="n">
        <v>38</v>
      </c>
      <c r="G2151" s="0" t="n">
        <v>10.42</v>
      </c>
      <c r="H2151" s="0" t="n">
        <v>34.47</v>
      </c>
      <c r="I2151" s="0" t="n">
        <v>7.58</v>
      </c>
      <c r="J2151" s="0" t="n">
        <v>25.09</v>
      </c>
      <c r="K2151" s="0" t="n">
        <v>10</v>
      </c>
      <c r="T2151" s="0" t="n">
        <v>1</v>
      </c>
      <c r="U2151" s="0" t="n">
        <v>1</v>
      </c>
      <c r="V2151" s="0" t="inlineStr">
        <is>
          <t>계단식</t>
        </is>
      </c>
      <c r="W2151" s="0" t="inlineStr">
        <is>
          <t>34B</t>
        </is>
      </c>
      <c r="X2151" s="0" t="n">
        <v>8</v>
      </c>
      <c r="Y2151" s="0" t="n">
        <v>8</v>
      </c>
      <c r="Z2151" s="0" t="inlineStr">
        <is>
          <t>https://new.land.naver.com/complexes/8923?tab=detail&amp;rf=Y</t>
        </is>
      </c>
      <c r="AA2151" s="0" t="inlineStr">
        <is>
          <t>서울시 강동구 성내동 444-4</t>
        </is>
      </c>
      <c r="AB2151" s="0" t="inlineStr">
        <is>
          <t>서울시</t>
        </is>
      </c>
      <c r="AC2151" s="0" t="inlineStr">
        <is>
          <t>강동구</t>
        </is>
      </c>
      <c r="AD2151" s="0" t="inlineStr">
        <is>
          <t>성내동</t>
        </is>
      </c>
      <c r="AG2151" s="0" t="inlineStr">
        <is>
          <t>서울시 강동구 강동대로53길 43</t>
        </is>
      </c>
      <c r="AH2151" s="0" t="n">
        <v>0</v>
      </c>
      <c r="AI2151" s="0" t="n">
        <v>289</v>
      </c>
      <c r="AJ2151" s="0" t="n">
        <v>41</v>
      </c>
      <c r="AK2151" s="0" t="n">
        <v>27</v>
      </c>
      <c r="AL2151" s="0" t="n">
        <v>0.71</v>
      </c>
    </row>
    <row r="2152">
      <c r="A2152" s="0" t="inlineStr">
        <is>
          <t>[성내동]</t>
        </is>
      </c>
      <c r="B2152" s="0" t="n">
        <v>8923</v>
      </c>
      <c r="C2152" s="0" t="n">
        <v>3</v>
      </c>
      <c r="D2152" s="0" t="inlineStr">
        <is>
          <t>강동네스빌</t>
        </is>
      </c>
      <c r="E2152" s="0" t="inlineStr">
        <is>
          <t>2002.02.</t>
        </is>
      </c>
      <c r="F2152" s="0" t="n">
        <v>38</v>
      </c>
      <c r="G2152" s="0" t="n">
        <v>11.98</v>
      </c>
      <c r="H2152" s="0" t="n">
        <v>39.62</v>
      </c>
      <c r="I2152" s="0" t="n">
        <v>8.82</v>
      </c>
      <c r="J2152" s="0" t="n">
        <v>29.19</v>
      </c>
      <c r="K2152" s="0" t="n">
        <v>3</v>
      </c>
      <c r="T2152" s="0" t="n">
        <v>1</v>
      </c>
      <c r="U2152" s="0" t="n">
        <v>1</v>
      </c>
      <c r="V2152" s="0" t="inlineStr">
        <is>
          <t>계단식</t>
        </is>
      </c>
      <c r="W2152" s="0" t="n">
        <v>39</v>
      </c>
      <c r="X2152" s="0" t="n">
        <v>8</v>
      </c>
      <c r="Y2152" s="0" t="n">
        <v>8</v>
      </c>
      <c r="Z2152" s="0" t="inlineStr">
        <is>
          <t>https://new.land.naver.com/complexes/8923?tab=detail&amp;rf=Y</t>
        </is>
      </c>
      <c r="AA2152" s="0" t="inlineStr">
        <is>
          <t>서울시 강동구 성내동 444-4</t>
        </is>
      </c>
      <c r="AB2152" s="0" t="inlineStr">
        <is>
          <t>서울시</t>
        </is>
      </c>
      <c r="AC2152" s="0" t="inlineStr">
        <is>
          <t>강동구</t>
        </is>
      </c>
      <c r="AD2152" s="0" t="inlineStr">
        <is>
          <t>성내동</t>
        </is>
      </c>
      <c r="AG2152" s="0" t="inlineStr">
        <is>
          <t>서울시 강동구 강동대로53길 43</t>
        </is>
      </c>
      <c r="AH2152" s="0" t="n">
        <v>0</v>
      </c>
      <c r="AI2152" s="0" t="n">
        <v>289</v>
      </c>
      <c r="AJ2152" s="0" t="n">
        <v>41</v>
      </c>
      <c r="AK2152" s="0" t="n">
        <v>27</v>
      </c>
      <c r="AL2152" s="0" t="n">
        <v>0.71</v>
      </c>
    </row>
    <row r="2153">
      <c r="A2153" s="0" t="inlineStr">
        <is>
          <t>[성내동]</t>
        </is>
      </c>
      <c r="B2153" s="0" t="n">
        <v>8923</v>
      </c>
      <c r="C2153" s="0" t="n">
        <v>4</v>
      </c>
      <c r="D2153" s="0" t="inlineStr">
        <is>
          <t>강동네스빌</t>
        </is>
      </c>
      <c r="E2153" s="0" t="inlineStr">
        <is>
          <t>2002.02.</t>
        </is>
      </c>
      <c r="F2153" s="0" t="n">
        <v>38</v>
      </c>
      <c r="G2153" s="0" t="n">
        <v>12.69</v>
      </c>
      <c r="H2153" s="0" t="n">
        <v>41.98</v>
      </c>
      <c r="I2153" s="0" t="n">
        <v>9.31</v>
      </c>
      <c r="J2153" s="0" t="n">
        <v>30.8</v>
      </c>
      <c r="K2153" s="0" t="n">
        <v>7</v>
      </c>
      <c r="T2153" s="0" t="n">
        <v>1</v>
      </c>
      <c r="U2153" s="0" t="n">
        <v>1</v>
      </c>
      <c r="V2153" s="0" t="inlineStr">
        <is>
          <t>계단식</t>
        </is>
      </c>
      <c r="W2153" s="0" t="n">
        <v>41</v>
      </c>
      <c r="X2153" s="0" t="n">
        <v>8</v>
      </c>
      <c r="Y2153" s="0" t="n">
        <v>8</v>
      </c>
      <c r="Z2153" s="0" t="inlineStr">
        <is>
          <t>https://new.land.naver.com/complexes/8923?tab=detail&amp;rf=Y</t>
        </is>
      </c>
      <c r="AA2153" s="0" t="inlineStr">
        <is>
          <t>서울시 강동구 성내동 444-4</t>
        </is>
      </c>
      <c r="AB2153" s="0" t="inlineStr">
        <is>
          <t>서울시</t>
        </is>
      </c>
      <c r="AC2153" s="0" t="inlineStr">
        <is>
          <t>강동구</t>
        </is>
      </c>
      <c r="AD2153" s="0" t="inlineStr">
        <is>
          <t>성내동</t>
        </is>
      </c>
      <c r="AG2153" s="0" t="inlineStr">
        <is>
          <t>서울시 강동구 강동대로53길 43</t>
        </is>
      </c>
      <c r="AH2153" s="0" t="n">
        <v>0</v>
      </c>
      <c r="AI2153" s="0" t="n">
        <v>289</v>
      </c>
      <c r="AJ2153" s="0" t="n">
        <v>41</v>
      </c>
      <c r="AK2153" s="0" t="n">
        <v>27</v>
      </c>
      <c r="AL2153" s="0" t="n">
        <v>0.71</v>
      </c>
    </row>
    <row r="2154">
      <c r="A2154" s="0" t="inlineStr">
        <is>
          <t>[성내동]</t>
        </is>
      </c>
      <c r="B2154" s="0" t="n">
        <v>8923</v>
      </c>
      <c r="C2154" s="0" t="n">
        <v>5</v>
      </c>
      <c r="D2154" s="0" t="inlineStr">
        <is>
          <t>강동네스빌</t>
        </is>
      </c>
      <c r="E2154" s="0" t="inlineStr">
        <is>
          <t>2002.02.</t>
        </is>
      </c>
      <c r="F2154" s="0" t="n">
        <v>38</v>
      </c>
      <c r="G2154" s="0" t="n">
        <v>19.52</v>
      </c>
      <c r="H2154" s="0" t="n">
        <v>64.54000000000001</v>
      </c>
      <c r="I2154" s="0" t="n">
        <v>14.57</v>
      </c>
      <c r="J2154" s="0" t="n">
        <v>48.19</v>
      </c>
      <c r="K2154" s="0" t="n">
        <v>7</v>
      </c>
      <c r="T2154" s="0" t="n">
        <v>2</v>
      </c>
      <c r="U2154" s="0" t="n">
        <v>1</v>
      </c>
      <c r="V2154" s="0" t="inlineStr">
        <is>
          <t>계단식</t>
        </is>
      </c>
      <c r="W2154" s="0" t="n">
        <v>64</v>
      </c>
      <c r="X2154" s="0" t="n">
        <v>8</v>
      </c>
      <c r="Y2154" s="0" t="n">
        <v>8</v>
      </c>
      <c r="Z2154" s="0" t="inlineStr">
        <is>
          <t>https://new.land.naver.com/complexes/8923?tab=detail&amp;rf=Y</t>
        </is>
      </c>
      <c r="AA2154" s="0" t="inlineStr">
        <is>
          <t>서울시 강동구 성내동 444-4</t>
        </is>
      </c>
      <c r="AB2154" s="0" t="inlineStr">
        <is>
          <t>서울시</t>
        </is>
      </c>
      <c r="AC2154" s="0" t="inlineStr">
        <is>
          <t>강동구</t>
        </is>
      </c>
      <c r="AD2154" s="0" t="inlineStr">
        <is>
          <t>성내동</t>
        </is>
      </c>
      <c r="AG2154" s="0" t="inlineStr">
        <is>
          <t>서울시 강동구 강동대로53길 43</t>
        </is>
      </c>
      <c r="AH2154" s="0" t="n">
        <v>0</v>
      </c>
      <c r="AI2154" s="0" t="n">
        <v>289</v>
      </c>
      <c r="AJ2154" s="0" t="n">
        <v>41</v>
      </c>
      <c r="AK2154" s="0" t="n">
        <v>27</v>
      </c>
      <c r="AL2154" s="0" t="n">
        <v>0.71</v>
      </c>
    </row>
    <row r="2155">
      <c r="A2155" s="0" t="inlineStr">
        <is>
          <t>[성내동]</t>
        </is>
      </c>
      <c r="B2155" s="0" t="n">
        <v>8923</v>
      </c>
      <c r="C2155" s="0" t="n">
        <v>6</v>
      </c>
      <c r="D2155" s="0" t="inlineStr">
        <is>
          <t>강동네스빌</t>
        </is>
      </c>
      <c r="E2155" s="0" t="inlineStr">
        <is>
          <t>2002.02.</t>
        </is>
      </c>
      <c r="F2155" s="0" t="n">
        <v>38</v>
      </c>
      <c r="G2155" s="0" t="n">
        <v>22.48</v>
      </c>
      <c r="H2155" s="0" t="n">
        <v>74.33</v>
      </c>
      <c r="I2155" s="0" t="n">
        <v>16.75</v>
      </c>
      <c r="J2155" s="0" t="n">
        <v>55.4</v>
      </c>
      <c r="K2155" s="0" t="n">
        <v>4</v>
      </c>
      <c r="T2155" s="0" t="n">
        <v>2</v>
      </c>
      <c r="U2155" s="0" t="n">
        <v>1</v>
      </c>
      <c r="V2155" s="0" t="inlineStr">
        <is>
          <t>계단식</t>
        </is>
      </c>
      <c r="W2155" s="0" t="n">
        <v>74</v>
      </c>
      <c r="X2155" s="0" t="n">
        <v>8</v>
      </c>
      <c r="Y2155" s="0" t="n">
        <v>8</v>
      </c>
      <c r="Z2155" s="0" t="inlineStr">
        <is>
          <t>https://new.land.naver.com/complexes/8923?tab=detail&amp;rf=Y</t>
        </is>
      </c>
      <c r="AA2155" s="0" t="inlineStr">
        <is>
          <t>서울시 강동구 성내동 444-4</t>
        </is>
      </c>
      <c r="AB2155" s="0" t="inlineStr">
        <is>
          <t>서울시</t>
        </is>
      </c>
      <c r="AC2155" s="0" t="inlineStr">
        <is>
          <t>강동구</t>
        </is>
      </c>
      <c r="AD2155" s="0" t="inlineStr">
        <is>
          <t>성내동</t>
        </is>
      </c>
      <c r="AG2155" s="0" t="inlineStr">
        <is>
          <t>서울시 강동구 강동대로53길 43</t>
        </is>
      </c>
      <c r="AH2155" s="0" t="n">
        <v>0</v>
      </c>
      <c r="AI2155" s="0" t="n">
        <v>289</v>
      </c>
      <c r="AJ2155" s="0" t="n">
        <v>41</v>
      </c>
      <c r="AK2155" s="0" t="n">
        <v>27</v>
      </c>
      <c r="AL2155" s="0" t="n">
        <v>0.71</v>
      </c>
    </row>
    <row r="2156">
      <c r="A2156" s="0" t="inlineStr">
        <is>
          <t>[성내동]</t>
        </is>
      </c>
      <c r="B2156" s="0" t="n">
        <v>123521</v>
      </c>
      <c r="C2156" s="0" t="n">
        <v>1</v>
      </c>
      <c r="D2156" s="0" t="inlineStr">
        <is>
          <t>베네스트빌리지</t>
        </is>
      </c>
      <c r="E2156" s="0" t="inlineStr">
        <is>
          <t>2002.12.</t>
        </is>
      </c>
      <c r="F2156" s="0" t="n">
        <v>12</v>
      </c>
      <c r="G2156" s="0" t="n">
        <v>18.37</v>
      </c>
      <c r="H2156" s="0" t="n">
        <v>60.74</v>
      </c>
      <c r="I2156" s="0" t="n">
        <v>16.37</v>
      </c>
      <c r="J2156" s="0" t="n">
        <v>54.12</v>
      </c>
      <c r="K2156" s="0" t="n">
        <v>1</v>
      </c>
      <c r="T2156" s="0" t="n">
        <v>2</v>
      </c>
      <c r="U2156" s="0" t="n">
        <v>1</v>
      </c>
      <c r="V2156" s="0" t="inlineStr">
        <is>
          <t>계단식</t>
        </is>
      </c>
      <c r="W2156" s="0" t="n">
        <v>60</v>
      </c>
      <c r="X2156" s="0" t="n">
        <v>5</v>
      </c>
      <c r="Y2156" s="0" t="n">
        <v>5</v>
      </c>
      <c r="Z2156" s="0" t="inlineStr">
        <is>
          <t>https://new.land.naver.com/complexes/123521?tab=detail&amp;rf=Y</t>
        </is>
      </c>
      <c r="AA2156" s="0" t="inlineStr">
        <is>
          <t>서울시 강동구 성내동 245</t>
        </is>
      </c>
      <c r="AB2156" s="0" t="inlineStr">
        <is>
          <t>서울시</t>
        </is>
      </c>
      <c r="AC2156" s="0" t="inlineStr">
        <is>
          <t>강동구</t>
        </is>
      </c>
      <c r="AD2156" s="0" t="inlineStr">
        <is>
          <t>성내동</t>
        </is>
      </c>
      <c r="AG2156" s="0" t="inlineStr">
        <is>
          <t>서울시 강동구 천호대로174길 15</t>
        </is>
      </c>
      <c r="AH2156" s="0" t="n">
        <v>0</v>
      </c>
      <c r="AI2156" s="0" t="n">
        <v>214</v>
      </c>
      <c r="AJ2156" s="0" t="n">
        <v>49</v>
      </c>
      <c r="AK2156" s="0" t="n">
        <v>11</v>
      </c>
      <c r="AL2156" s="0" t="n">
        <v>0.92</v>
      </c>
    </row>
    <row r="2157">
      <c r="A2157" s="0" t="inlineStr">
        <is>
          <t>[성내동]</t>
        </is>
      </c>
      <c r="B2157" s="0" t="n">
        <v>123521</v>
      </c>
      <c r="C2157" s="0" t="n">
        <v>2</v>
      </c>
      <c r="D2157" s="0" t="inlineStr">
        <is>
          <t>베네스트빌리지</t>
        </is>
      </c>
      <c r="E2157" s="0" t="inlineStr">
        <is>
          <t>2002.12.</t>
        </is>
      </c>
      <c r="F2157" s="0" t="n">
        <v>12</v>
      </c>
      <c r="G2157" s="0" t="n">
        <v>20.81</v>
      </c>
      <c r="H2157" s="0" t="n">
        <v>68.81</v>
      </c>
      <c r="I2157" s="0" t="n">
        <v>18.54</v>
      </c>
      <c r="J2157" s="0" t="n">
        <v>61.31</v>
      </c>
      <c r="K2157" s="0" t="n">
        <v>3</v>
      </c>
      <c r="T2157" s="0" t="n">
        <v>3</v>
      </c>
      <c r="U2157" s="0" t="n">
        <v>2</v>
      </c>
      <c r="V2157" s="0" t="inlineStr">
        <is>
          <t>계단식</t>
        </is>
      </c>
      <c r="W2157" s="0" t="n">
        <v>68</v>
      </c>
      <c r="X2157" s="0" t="n">
        <v>5</v>
      </c>
      <c r="Y2157" s="0" t="n">
        <v>5</v>
      </c>
      <c r="Z2157" s="0" t="inlineStr">
        <is>
          <t>https://new.land.naver.com/complexes/123521?tab=detail&amp;rf=Y</t>
        </is>
      </c>
      <c r="AA2157" s="0" t="inlineStr">
        <is>
          <t>서울시 강동구 성내동 245</t>
        </is>
      </c>
      <c r="AB2157" s="0" t="inlineStr">
        <is>
          <t>서울시</t>
        </is>
      </c>
      <c r="AC2157" s="0" t="inlineStr">
        <is>
          <t>강동구</t>
        </is>
      </c>
      <c r="AD2157" s="0" t="inlineStr">
        <is>
          <t>성내동</t>
        </is>
      </c>
      <c r="AG2157" s="0" t="inlineStr">
        <is>
          <t>서울시 강동구 천호대로174길 15</t>
        </is>
      </c>
      <c r="AH2157" s="0" t="n">
        <v>0</v>
      </c>
      <c r="AI2157" s="0" t="n">
        <v>214</v>
      </c>
      <c r="AJ2157" s="0" t="n">
        <v>49</v>
      </c>
      <c r="AK2157" s="0" t="n">
        <v>11</v>
      </c>
      <c r="AL2157" s="0" t="n">
        <v>0.92</v>
      </c>
    </row>
    <row r="2158">
      <c r="A2158" s="0" t="inlineStr">
        <is>
          <t>[성내동]</t>
        </is>
      </c>
      <c r="B2158" s="0" t="n">
        <v>123521</v>
      </c>
      <c r="C2158" s="0" t="n">
        <v>3</v>
      </c>
      <c r="D2158" s="0" t="inlineStr">
        <is>
          <t>베네스트빌리지</t>
        </is>
      </c>
      <c r="E2158" s="0" t="inlineStr">
        <is>
          <t>2002.12.</t>
        </is>
      </c>
      <c r="F2158" s="0" t="n">
        <v>12</v>
      </c>
      <c r="G2158" s="0" t="n">
        <v>22</v>
      </c>
      <c r="H2158" s="0" t="n">
        <v>72.73999999999999</v>
      </c>
      <c r="I2158" s="0" t="n">
        <v>19.6</v>
      </c>
      <c r="J2158" s="0" t="n">
        <v>64.8</v>
      </c>
      <c r="K2158" s="0" t="n">
        <v>1</v>
      </c>
      <c r="T2158" s="0" t="n">
        <v>3</v>
      </c>
      <c r="U2158" s="0" t="n">
        <v>2</v>
      </c>
      <c r="V2158" s="0" t="inlineStr">
        <is>
          <t>계단식</t>
        </is>
      </c>
      <c r="W2158" s="0" t="n">
        <v>72</v>
      </c>
      <c r="X2158" s="0" t="n">
        <v>5</v>
      </c>
      <c r="Y2158" s="0" t="n">
        <v>5</v>
      </c>
      <c r="Z2158" s="0" t="inlineStr">
        <is>
          <t>https://new.land.naver.com/complexes/123521?tab=detail&amp;rf=Y</t>
        </is>
      </c>
      <c r="AA2158" s="0" t="inlineStr">
        <is>
          <t>서울시 강동구 성내동 245</t>
        </is>
      </c>
      <c r="AB2158" s="0" t="inlineStr">
        <is>
          <t>서울시</t>
        </is>
      </c>
      <c r="AC2158" s="0" t="inlineStr">
        <is>
          <t>강동구</t>
        </is>
      </c>
      <c r="AD2158" s="0" t="inlineStr">
        <is>
          <t>성내동</t>
        </is>
      </c>
      <c r="AG2158" s="0" t="inlineStr">
        <is>
          <t>서울시 강동구 천호대로174길 15</t>
        </is>
      </c>
      <c r="AH2158" s="0" t="n">
        <v>0</v>
      </c>
      <c r="AI2158" s="0" t="n">
        <v>214</v>
      </c>
      <c r="AJ2158" s="0" t="n">
        <v>49</v>
      </c>
      <c r="AK2158" s="0" t="n">
        <v>11</v>
      </c>
      <c r="AL2158" s="0" t="n">
        <v>0.92</v>
      </c>
    </row>
    <row r="2159">
      <c r="A2159" s="0" t="inlineStr">
        <is>
          <t>[성내동]</t>
        </is>
      </c>
      <c r="B2159" s="0" t="n">
        <v>123521</v>
      </c>
      <c r="C2159" s="0" t="n">
        <v>4</v>
      </c>
      <c r="D2159" s="0" t="inlineStr">
        <is>
          <t>베네스트빌리지</t>
        </is>
      </c>
      <c r="E2159" s="0" t="inlineStr">
        <is>
          <t>2002.12.</t>
        </is>
      </c>
      <c r="F2159" s="0" t="n">
        <v>12</v>
      </c>
      <c r="G2159" s="0" t="n">
        <v>24.37</v>
      </c>
      <c r="H2159" s="0" t="n">
        <v>80.58</v>
      </c>
      <c r="I2159" s="0" t="n">
        <v>21.71</v>
      </c>
      <c r="J2159" s="0" t="n">
        <v>71.79000000000001</v>
      </c>
      <c r="K2159" s="0" t="n">
        <v>1</v>
      </c>
      <c r="T2159" s="0" t="n">
        <v>3</v>
      </c>
      <c r="U2159" s="0" t="n">
        <v>2</v>
      </c>
      <c r="V2159" s="0" t="inlineStr">
        <is>
          <t>계단식</t>
        </is>
      </c>
      <c r="W2159" s="0" t="n">
        <v>80</v>
      </c>
      <c r="X2159" s="0" t="n">
        <v>5</v>
      </c>
      <c r="Y2159" s="0" t="n">
        <v>5</v>
      </c>
      <c r="Z2159" s="0" t="inlineStr">
        <is>
          <t>https://new.land.naver.com/complexes/123521?tab=detail&amp;rf=Y</t>
        </is>
      </c>
      <c r="AA2159" s="0" t="inlineStr">
        <is>
          <t>서울시 강동구 성내동 245</t>
        </is>
      </c>
      <c r="AB2159" s="0" t="inlineStr">
        <is>
          <t>서울시</t>
        </is>
      </c>
      <c r="AC2159" s="0" t="inlineStr">
        <is>
          <t>강동구</t>
        </is>
      </c>
      <c r="AD2159" s="0" t="inlineStr">
        <is>
          <t>성내동</t>
        </is>
      </c>
      <c r="AG2159" s="0" t="inlineStr">
        <is>
          <t>서울시 강동구 천호대로174길 15</t>
        </is>
      </c>
      <c r="AH2159" s="0" t="n">
        <v>0</v>
      </c>
      <c r="AI2159" s="0" t="n">
        <v>214</v>
      </c>
      <c r="AJ2159" s="0" t="n">
        <v>49</v>
      </c>
      <c r="AK2159" s="0" t="n">
        <v>11</v>
      </c>
      <c r="AL2159" s="0" t="n">
        <v>0.92</v>
      </c>
    </row>
    <row r="2160">
      <c r="A2160" s="0" t="inlineStr">
        <is>
          <t>[성내동]</t>
        </is>
      </c>
      <c r="B2160" s="0" t="n">
        <v>123521</v>
      </c>
      <c r="C2160" s="0" t="n">
        <v>5</v>
      </c>
      <c r="D2160" s="0" t="inlineStr">
        <is>
          <t>베네스트빌리지</t>
        </is>
      </c>
      <c r="E2160" s="0" t="inlineStr">
        <is>
          <t>2002.12.</t>
        </is>
      </c>
      <c r="F2160" s="0" t="n">
        <v>12</v>
      </c>
      <c r="G2160" s="0" t="n">
        <v>24.72</v>
      </c>
      <c r="H2160" s="0" t="n">
        <v>81.75</v>
      </c>
      <c r="I2160" s="0" t="n">
        <v>22.03</v>
      </c>
      <c r="J2160" s="0" t="n">
        <v>72.84</v>
      </c>
      <c r="K2160" s="0" t="n">
        <v>3</v>
      </c>
      <c r="T2160" s="0" t="n">
        <v>3</v>
      </c>
      <c r="U2160" s="0" t="n">
        <v>2</v>
      </c>
      <c r="V2160" s="0" t="inlineStr">
        <is>
          <t>계단식</t>
        </is>
      </c>
      <c r="W2160" s="0" t="inlineStr">
        <is>
          <t>81A</t>
        </is>
      </c>
      <c r="X2160" s="0" t="n">
        <v>5</v>
      </c>
      <c r="Y2160" s="0" t="n">
        <v>5</v>
      </c>
      <c r="Z2160" s="0" t="inlineStr">
        <is>
          <t>https://new.land.naver.com/complexes/123521?tab=detail&amp;rf=Y</t>
        </is>
      </c>
      <c r="AA2160" s="0" t="inlineStr">
        <is>
          <t>서울시 강동구 성내동 245</t>
        </is>
      </c>
      <c r="AB2160" s="0" t="inlineStr">
        <is>
          <t>서울시</t>
        </is>
      </c>
      <c r="AC2160" s="0" t="inlineStr">
        <is>
          <t>강동구</t>
        </is>
      </c>
      <c r="AD2160" s="0" t="inlineStr">
        <is>
          <t>성내동</t>
        </is>
      </c>
      <c r="AG2160" s="0" t="inlineStr">
        <is>
          <t>서울시 강동구 천호대로174길 15</t>
        </is>
      </c>
      <c r="AH2160" s="0" t="n">
        <v>0</v>
      </c>
      <c r="AI2160" s="0" t="n">
        <v>214</v>
      </c>
      <c r="AJ2160" s="0" t="n">
        <v>49</v>
      </c>
      <c r="AK2160" s="0" t="n">
        <v>11</v>
      </c>
      <c r="AL2160" s="0" t="n">
        <v>0.92</v>
      </c>
    </row>
    <row r="2161">
      <c r="A2161" s="0" t="inlineStr">
        <is>
          <t>[성내동]</t>
        </is>
      </c>
      <c r="B2161" s="0" t="n">
        <v>123521</v>
      </c>
      <c r="C2161" s="0" t="n">
        <v>6</v>
      </c>
      <c r="D2161" s="0" t="inlineStr">
        <is>
          <t>베네스트빌리지</t>
        </is>
      </c>
      <c r="E2161" s="0" t="inlineStr">
        <is>
          <t>2002.12.</t>
        </is>
      </c>
      <c r="F2161" s="0" t="n">
        <v>12</v>
      </c>
      <c r="G2161" s="0" t="n">
        <v>25.34</v>
      </c>
      <c r="H2161" s="0" t="n">
        <v>83.8</v>
      </c>
      <c r="I2161" s="0" t="n">
        <v>22.58</v>
      </c>
      <c r="J2161" s="0" t="n">
        <v>74.67</v>
      </c>
      <c r="K2161" s="0" t="n">
        <v>3</v>
      </c>
      <c r="T2161" s="0" t="n">
        <v>3</v>
      </c>
      <c r="U2161" s="0" t="n">
        <v>2</v>
      </c>
      <c r="V2161" s="0" t="inlineStr">
        <is>
          <t>계단식</t>
        </is>
      </c>
      <c r="W2161" s="0" t="inlineStr">
        <is>
          <t>83B</t>
        </is>
      </c>
      <c r="X2161" s="0" t="n">
        <v>5</v>
      </c>
      <c r="Y2161" s="0" t="n">
        <v>5</v>
      </c>
      <c r="Z2161" s="0" t="inlineStr">
        <is>
          <t>https://new.land.naver.com/complexes/123521?tab=detail&amp;rf=Y</t>
        </is>
      </c>
      <c r="AA2161" s="0" t="inlineStr">
        <is>
          <t>서울시 강동구 성내동 245</t>
        </is>
      </c>
      <c r="AB2161" s="0" t="inlineStr">
        <is>
          <t>서울시</t>
        </is>
      </c>
      <c r="AC2161" s="0" t="inlineStr">
        <is>
          <t>강동구</t>
        </is>
      </c>
      <c r="AD2161" s="0" t="inlineStr">
        <is>
          <t>성내동</t>
        </is>
      </c>
      <c r="AG2161" s="0" t="inlineStr">
        <is>
          <t>서울시 강동구 천호대로174길 15</t>
        </is>
      </c>
      <c r="AH2161" s="0" t="n">
        <v>0</v>
      </c>
      <c r="AI2161" s="0" t="n">
        <v>214</v>
      </c>
      <c r="AJ2161" s="0" t="n">
        <v>49</v>
      </c>
      <c r="AK2161" s="0" t="n">
        <v>11</v>
      </c>
      <c r="AL2161" s="0" t="n">
        <v>0.92</v>
      </c>
    </row>
    <row r="2162">
      <c r="A2162" s="0" t="inlineStr">
        <is>
          <t>[성내동]</t>
        </is>
      </c>
      <c r="B2162" s="0" t="n">
        <v>100679</v>
      </c>
      <c r="C2162" s="0" t="n">
        <v>1</v>
      </c>
      <c r="D2162" s="0" t="inlineStr">
        <is>
          <t>광남캐스빌(448-5)</t>
        </is>
      </c>
      <c r="E2162" s="0" t="inlineStr">
        <is>
          <t>2001.12.</t>
        </is>
      </c>
      <c r="F2162" s="0" t="n">
        <v>28</v>
      </c>
      <c r="G2162" s="0" t="n">
        <v>22.76</v>
      </c>
      <c r="H2162" s="0" t="n">
        <v>75.27</v>
      </c>
      <c r="I2162" s="0" t="n">
        <v>18.25</v>
      </c>
      <c r="J2162" s="0" t="n">
        <v>60.34</v>
      </c>
      <c r="K2162" s="0" t="n">
        <v>1</v>
      </c>
      <c r="T2162" s="0" t="n">
        <v>2</v>
      </c>
      <c r="U2162" s="0" t="n">
        <v>1</v>
      </c>
      <c r="V2162" s="0" t="inlineStr">
        <is>
          <t>복도식</t>
        </is>
      </c>
      <c r="W2162" s="0" t="n">
        <v>75</v>
      </c>
      <c r="X2162" s="0" t="n">
        <v>10</v>
      </c>
      <c r="Y2162" s="0" t="n">
        <v>9</v>
      </c>
      <c r="Z2162" s="0" t="inlineStr">
        <is>
          <t>https://new.land.naver.com/complexes/100679?tab=detail&amp;rf=Y</t>
        </is>
      </c>
      <c r="AA2162" s="0" t="inlineStr">
        <is>
          <t>서울시 강동구 성내동 448-5</t>
        </is>
      </c>
      <c r="AB2162" s="0" t="inlineStr">
        <is>
          <t>서울시</t>
        </is>
      </c>
      <c r="AC2162" s="0" t="inlineStr">
        <is>
          <t>강동구</t>
        </is>
      </c>
      <c r="AD2162" s="0" t="inlineStr">
        <is>
          <t>성내동</t>
        </is>
      </c>
      <c r="AG2162" s="0" t="inlineStr">
        <is>
          <t>서울시 강동구 성안로 7-7</t>
        </is>
      </c>
      <c r="AH2162" s="0" t="n">
        <v>0</v>
      </c>
      <c r="AI2162" s="0" t="n">
        <v>297</v>
      </c>
      <c r="AJ2162" s="0" t="n">
        <v>33</v>
      </c>
      <c r="AK2162" s="0" t="n">
        <v>31</v>
      </c>
      <c r="AL2162" s="0" t="n">
        <v>1.11</v>
      </c>
    </row>
    <row r="2163">
      <c r="A2163" s="0" t="inlineStr">
        <is>
          <t>[성내동]</t>
        </is>
      </c>
      <c r="B2163" s="0" t="n">
        <v>100679</v>
      </c>
      <c r="C2163" s="0" t="n">
        <v>2</v>
      </c>
      <c r="D2163" s="0" t="inlineStr">
        <is>
          <t>광남캐스빌(448-5)</t>
        </is>
      </c>
      <c r="E2163" s="0" t="inlineStr">
        <is>
          <t>2001.12.</t>
        </is>
      </c>
      <c r="F2163" s="0" t="n">
        <v>28</v>
      </c>
      <c r="G2163" s="0" t="n">
        <v>30.44</v>
      </c>
      <c r="H2163" s="0" t="n">
        <v>100.65</v>
      </c>
      <c r="I2163" s="0" t="n">
        <v>24.69</v>
      </c>
      <c r="J2163" s="0" t="n">
        <v>81.62</v>
      </c>
      <c r="K2163" s="0" t="n">
        <v>1</v>
      </c>
      <c r="T2163" s="0" t="n">
        <v>3</v>
      </c>
      <c r="U2163" s="0" t="n">
        <v>2</v>
      </c>
      <c r="V2163" s="0" t="inlineStr">
        <is>
          <t>복도식</t>
        </is>
      </c>
      <c r="W2163" s="0" t="n">
        <v>100</v>
      </c>
      <c r="X2163" s="0" t="n">
        <v>10</v>
      </c>
      <c r="Y2163" s="0" t="n">
        <v>9</v>
      </c>
      <c r="Z2163" s="0" t="inlineStr">
        <is>
          <t>https://new.land.naver.com/complexes/100679?tab=detail&amp;rf=Y</t>
        </is>
      </c>
      <c r="AA2163" s="0" t="inlineStr">
        <is>
          <t>서울시 강동구 성내동 448-5</t>
        </is>
      </c>
      <c r="AB2163" s="0" t="inlineStr">
        <is>
          <t>서울시</t>
        </is>
      </c>
      <c r="AC2163" s="0" t="inlineStr">
        <is>
          <t>강동구</t>
        </is>
      </c>
      <c r="AD2163" s="0" t="inlineStr">
        <is>
          <t>성내동</t>
        </is>
      </c>
      <c r="AG2163" s="0" t="inlineStr">
        <is>
          <t>서울시 강동구 성안로 7-7</t>
        </is>
      </c>
      <c r="AH2163" s="0" t="n">
        <v>0</v>
      </c>
      <c r="AI2163" s="0" t="n">
        <v>297</v>
      </c>
      <c r="AJ2163" s="0" t="n">
        <v>33</v>
      </c>
      <c r="AK2163" s="0" t="n">
        <v>31</v>
      </c>
      <c r="AL2163" s="0" t="n">
        <v>1.11</v>
      </c>
    </row>
    <row r="2164">
      <c r="A2164" s="0" t="inlineStr">
        <is>
          <t>[성내동]</t>
        </is>
      </c>
      <c r="B2164" s="0" t="n">
        <v>100679</v>
      </c>
      <c r="C2164" s="0" t="n">
        <v>3</v>
      </c>
      <c r="D2164" s="0" t="inlineStr">
        <is>
          <t>광남캐스빌(448-5)</t>
        </is>
      </c>
      <c r="E2164" s="0" t="inlineStr">
        <is>
          <t>2001.12.</t>
        </is>
      </c>
      <c r="F2164" s="0" t="n">
        <v>28</v>
      </c>
      <c r="G2164" s="0" t="n">
        <v>30.91</v>
      </c>
      <c r="H2164" s="0" t="n">
        <v>102.19</v>
      </c>
      <c r="I2164" s="0" t="n">
        <v>25.15</v>
      </c>
      <c r="J2164" s="0" t="n">
        <v>83.17</v>
      </c>
      <c r="K2164" s="0" t="n">
        <v>1</v>
      </c>
      <c r="T2164" s="0" t="n">
        <v>3</v>
      </c>
      <c r="U2164" s="0" t="n">
        <v>2</v>
      </c>
      <c r="V2164" s="0" t="inlineStr">
        <is>
          <t>복도식</t>
        </is>
      </c>
      <c r="W2164" s="0" t="inlineStr">
        <is>
          <t>102A</t>
        </is>
      </c>
      <c r="X2164" s="0" t="n">
        <v>10</v>
      </c>
      <c r="Y2164" s="0" t="n">
        <v>9</v>
      </c>
      <c r="Z2164" s="0" t="inlineStr">
        <is>
          <t>https://new.land.naver.com/complexes/100679?tab=detail&amp;rf=Y</t>
        </is>
      </c>
      <c r="AA2164" s="0" t="inlineStr">
        <is>
          <t>서울시 강동구 성내동 448-5</t>
        </is>
      </c>
      <c r="AB2164" s="0" t="inlineStr">
        <is>
          <t>서울시</t>
        </is>
      </c>
      <c r="AC2164" s="0" t="inlineStr">
        <is>
          <t>강동구</t>
        </is>
      </c>
      <c r="AD2164" s="0" t="inlineStr">
        <is>
          <t>성내동</t>
        </is>
      </c>
      <c r="AG2164" s="0" t="inlineStr">
        <is>
          <t>서울시 강동구 성안로 7-7</t>
        </is>
      </c>
      <c r="AH2164" s="0" t="n">
        <v>0</v>
      </c>
      <c r="AI2164" s="0" t="n">
        <v>297</v>
      </c>
      <c r="AJ2164" s="0" t="n">
        <v>33</v>
      </c>
      <c r="AK2164" s="0" t="n">
        <v>31</v>
      </c>
      <c r="AL2164" s="0" t="n">
        <v>1.11</v>
      </c>
    </row>
    <row r="2165">
      <c r="A2165" s="0" t="inlineStr">
        <is>
          <t>[성내동]</t>
        </is>
      </c>
      <c r="B2165" s="0" t="n">
        <v>100679</v>
      </c>
      <c r="C2165" s="0" t="n">
        <v>4</v>
      </c>
      <c r="D2165" s="0" t="inlineStr">
        <is>
          <t>광남캐스빌(448-5)</t>
        </is>
      </c>
      <c r="E2165" s="0" t="inlineStr">
        <is>
          <t>2001.12.</t>
        </is>
      </c>
      <c r="F2165" s="0" t="n">
        <v>28</v>
      </c>
      <c r="G2165" s="0" t="n">
        <v>31.42</v>
      </c>
      <c r="H2165" s="0" t="n">
        <v>103.9</v>
      </c>
      <c r="I2165" s="0" t="n">
        <v>25.55</v>
      </c>
      <c r="J2165" s="0" t="n">
        <v>84.48</v>
      </c>
      <c r="K2165" s="0" t="n">
        <v>9</v>
      </c>
      <c r="T2165" s="0" t="n">
        <v>3</v>
      </c>
      <c r="U2165" s="0" t="n">
        <v>2</v>
      </c>
      <c r="V2165" s="0" t="inlineStr">
        <is>
          <t>복도식</t>
        </is>
      </c>
      <c r="W2165" s="0" t="inlineStr">
        <is>
          <t>103B</t>
        </is>
      </c>
      <c r="X2165" s="0" t="n">
        <v>10</v>
      </c>
      <c r="Y2165" s="0" t="n">
        <v>9</v>
      </c>
      <c r="Z2165" s="0" t="inlineStr">
        <is>
          <t>https://new.land.naver.com/complexes/100679?tab=detail&amp;rf=Y</t>
        </is>
      </c>
      <c r="AA2165" s="0" t="inlineStr">
        <is>
          <t>서울시 강동구 성내동 448-5</t>
        </is>
      </c>
      <c r="AB2165" s="0" t="inlineStr">
        <is>
          <t>서울시</t>
        </is>
      </c>
      <c r="AC2165" s="0" t="inlineStr">
        <is>
          <t>강동구</t>
        </is>
      </c>
      <c r="AD2165" s="0" t="inlineStr">
        <is>
          <t>성내동</t>
        </is>
      </c>
      <c r="AG2165" s="0" t="inlineStr">
        <is>
          <t>서울시 강동구 성안로 7-7</t>
        </is>
      </c>
      <c r="AH2165" s="0" t="n">
        <v>0</v>
      </c>
      <c r="AI2165" s="0" t="n">
        <v>297</v>
      </c>
      <c r="AJ2165" s="0" t="n">
        <v>33</v>
      </c>
      <c r="AK2165" s="0" t="n">
        <v>31</v>
      </c>
      <c r="AL2165" s="0" t="n">
        <v>1.11</v>
      </c>
    </row>
    <row r="2166">
      <c r="A2166" s="0" t="inlineStr">
        <is>
          <t>[성내동]</t>
        </is>
      </c>
      <c r="B2166" s="0" t="n">
        <v>100679</v>
      </c>
      <c r="C2166" s="0" t="n">
        <v>5</v>
      </c>
      <c r="D2166" s="0" t="inlineStr">
        <is>
          <t>광남캐스빌(448-5)</t>
        </is>
      </c>
      <c r="E2166" s="0" t="inlineStr">
        <is>
          <t>2001.12.</t>
        </is>
      </c>
      <c r="F2166" s="0" t="n">
        <v>28</v>
      </c>
      <c r="G2166" s="0" t="n">
        <v>31.51</v>
      </c>
      <c r="H2166" s="0" t="n">
        <v>104.19</v>
      </c>
      <c r="I2166" s="0" t="n">
        <v>25.52</v>
      </c>
      <c r="J2166" s="0" t="n">
        <v>84.39</v>
      </c>
      <c r="K2166" s="0" t="n">
        <v>7</v>
      </c>
      <c r="T2166" s="0" t="n">
        <v>3</v>
      </c>
      <c r="U2166" s="0" t="n">
        <v>2</v>
      </c>
      <c r="V2166" s="0" t="inlineStr">
        <is>
          <t>복도식</t>
        </is>
      </c>
      <c r="W2166" s="0" t="inlineStr">
        <is>
          <t>104A</t>
        </is>
      </c>
      <c r="X2166" s="0" t="n">
        <v>10</v>
      </c>
      <c r="Y2166" s="0" t="n">
        <v>9</v>
      </c>
      <c r="Z2166" s="0" t="inlineStr">
        <is>
          <t>https://new.land.naver.com/complexes/100679?tab=detail&amp;rf=Y</t>
        </is>
      </c>
      <c r="AA2166" s="0" t="inlineStr">
        <is>
          <t>서울시 강동구 성내동 448-5</t>
        </is>
      </c>
      <c r="AB2166" s="0" t="inlineStr">
        <is>
          <t>서울시</t>
        </is>
      </c>
      <c r="AC2166" s="0" t="inlineStr">
        <is>
          <t>강동구</t>
        </is>
      </c>
      <c r="AD2166" s="0" t="inlineStr">
        <is>
          <t>성내동</t>
        </is>
      </c>
      <c r="AG2166" s="0" t="inlineStr">
        <is>
          <t>서울시 강동구 성안로 7-7</t>
        </is>
      </c>
      <c r="AH2166" s="0" t="n">
        <v>0</v>
      </c>
      <c r="AI2166" s="0" t="n">
        <v>297</v>
      </c>
      <c r="AJ2166" s="0" t="n">
        <v>33</v>
      </c>
      <c r="AK2166" s="0" t="n">
        <v>31</v>
      </c>
      <c r="AL2166" s="0" t="n">
        <v>1.11</v>
      </c>
    </row>
    <row r="2167">
      <c r="A2167" s="0" t="inlineStr">
        <is>
          <t>[성내동]</t>
        </is>
      </c>
      <c r="B2167" s="0" t="n">
        <v>100679</v>
      </c>
      <c r="C2167" s="0" t="n">
        <v>6</v>
      </c>
      <c r="D2167" s="0" t="inlineStr">
        <is>
          <t>광남캐스빌(448-5)</t>
        </is>
      </c>
      <c r="E2167" s="0" t="inlineStr">
        <is>
          <t>2001.12.</t>
        </is>
      </c>
      <c r="F2167" s="0" t="n">
        <v>28</v>
      </c>
      <c r="G2167" s="0" t="n">
        <v>31.91</v>
      </c>
      <c r="H2167" s="0" t="n">
        <v>105.51</v>
      </c>
      <c r="I2167" s="0" t="n">
        <v>25.6</v>
      </c>
      <c r="J2167" s="0" t="n">
        <v>84.64</v>
      </c>
      <c r="K2167" s="0" t="n">
        <v>9</v>
      </c>
      <c r="T2167" s="0" t="n">
        <v>3</v>
      </c>
      <c r="U2167" s="0" t="n">
        <v>2</v>
      </c>
      <c r="V2167" s="0" t="inlineStr">
        <is>
          <t>복도식</t>
        </is>
      </c>
      <c r="W2167" s="0" t="inlineStr">
        <is>
          <t>105B</t>
        </is>
      </c>
      <c r="X2167" s="0" t="n">
        <v>10</v>
      </c>
      <c r="Y2167" s="0" t="n">
        <v>9</v>
      </c>
      <c r="Z2167" s="0" t="inlineStr">
        <is>
          <t>https://new.land.naver.com/complexes/100679?tab=detail&amp;rf=Y</t>
        </is>
      </c>
      <c r="AA2167" s="0" t="inlineStr">
        <is>
          <t>서울시 강동구 성내동 448-5</t>
        </is>
      </c>
      <c r="AB2167" s="0" t="inlineStr">
        <is>
          <t>서울시</t>
        </is>
      </c>
      <c r="AC2167" s="0" t="inlineStr">
        <is>
          <t>강동구</t>
        </is>
      </c>
      <c r="AD2167" s="0" t="inlineStr">
        <is>
          <t>성내동</t>
        </is>
      </c>
      <c r="AG2167" s="0" t="inlineStr">
        <is>
          <t>서울시 강동구 성안로 7-7</t>
        </is>
      </c>
      <c r="AH2167" s="0" t="n">
        <v>0</v>
      </c>
      <c r="AI2167" s="0" t="n">
        <v>297</v>
      </c>
      <c r="AJ2167" s="0" t="n">
        <v>33</v>
      </c>
      <c r="AK2167" s="0" t="n">
        <v>31</v>
      </c>
      <c r="AL2167" s="0" t="n">
        <v>1.11</v>
      </c>
    </row>
    <row r="2168">
      <c r="A2168" s="0" t="inlineStr">
        <is>
          <t>[성내동]</t>
        </is>
      </c>
      <c r="B2168" s="0" t="n">
        <v>113483</v>
      </c>
      <c r="C2168" s="0" t="n">
        <v>1</v>
      </c>
      <c r="D2168" s="0" t="inlineStr">
        <is>
          <t>다성이즈빌(434-13)</t>
        </is>
      </c>
      <c r="E2168" s="0" t="inlineStr">
        <is>
          <t>2016.07.</t>
        </is>
      </c>
      <c r="F2168" s="0" t="n">
        <v>43</v>
      </c>
      <c r="G2168" s="0" t="n">
        <v>9.98</v>
      </c>
      <c r="H2168" s="0" t="n">
        <v>33.01</v>
      </c>
      <c r="I2168" s="0" t="n">
        <v>7.8</v>
      </c>
      <c r="J2168" s="0" t="n">
        <v>25.81</v>
      </c>
      <c r="K2168" s="0" t="n">
        <v>1</v>
      </c>
      <c r="T2168" s="0" t="n">
        <v>1</v>
      </c>
      <c r="U2168" s="0" t="n">
        <v>1</v>
      </c>
      <c r="V2168" s="0" t="inlineStr">
        <is>
          <t>계단식</t>
        </is>
      </c>
      <c r="W2168" s="0" t="n">
        <v>33</v>
      </c>
      <c r="X2168" s="0" t="n">
        <v>12</v>
      </c>
      <c r="Y2168" s="0" t="n">
        <v>11</v>
      </c>
      <c r="Z2168" s="0" t="inlineStr">
        <is>
          <t>https://new.land.naver.com/complexes/113483?tab=detail&amp;rf=Y</t>
        </is>
      </c>
      <c r="AA2168" s="0" t="inlineStr">
        <is>
          <t>서울시 강동구 성내동 434-13</t>
        </is>
      </c>
      <c r="AB2168" s="0" t="inlineStr">
        <is>
          <t>서울시</t>
        </is>
      </c>
      <c r="AC2168" s="0" t="inlineStr">
        <is>
          <t>강동구</t>
        </is>
      </c>
      <c r="AD2168" s="0" t="inlineStr">
        <is>
          <t>성내동</t>
        </is>
      </c>
      <c r="AG2168" s="0" t="inlineStr">
        <is>
          <t>서울시 강동구 성내로 91</t>
        </is>
      </c>
      <c r="AH2168" s="0" t="n">
        <v>0</v>
      </c>
      <c r="AI2168" s="0" t="n">
        <v>249</v>
      </c>
      <c r="AJ2168" s="0" t="n">
        <v>41</v>
      </c>
      <c r="AK2168" s="0" t="n">
        <v>32</v>
      </c>
      <c r="AL2168" s="0" t="n">
        <v>0.74</v>
      </c>
    </row>
    <row r="2169">
      <c r="A2169" s="0" t="inlineStr">
        <is>
          <t>[성내동]</t>
        </is>
      </c>
      <c r="B2169" s="0" t="n">
        <v>113483</v>
      </c>
      <c r="C2169" s="0" t="n">
        <v>2</v>
      </c>
      <c r="D2169" s="0" t="inlineStr">
        <is>
          <t>다성이즈빌(434-13)</t>
        </is>
      </c>
      <c r="E2169" s="0" t="inlineStr">
        <is>
          <t>2016.07.</t>
        </is>
      </c>
      <c r="F2169" s="0" t="n">
        <v>43</v>
      </c>
      <c r="G2169" s="0" t="n">
        <v>10.55</v>
      </c>
      <c r="H2169" s="0" t="n">
        <v>34.89</v>
      </c>
      <c r="I2169" s="0" t="n">
        <v>8.210000000000001</v>
      </c>
      <c r="J2169" s="0" t="n">
        <v>27.15</v>
      </c>
      <c r="K2169" s="0" t="n">
        <v>1</v>
      </c>
      <c r="T2169" s="0" t="n">
        <v>1</v>
      </c>
      <c r="U2169" s="0" t="n">
        <v>1</v>
      </c>
      <c r="V2169" s="0" t="inlineStr">
        <is>
          <t>계단식</t>
        </is>
      </c>
      <c r="W2169" s="0" t="inlineStr">
        <is>
          <t>34A</t>
        </is>
      </c>
      <c r="X2169" s="0" t="n">
        <v>12</v>
      </c>
      <c r="Y2169" s="0" t="n">
        <v>11</v>
      </c>
      <c r="Z2169" s="0" t="inlineStr">
        <is>
          <t>https://new.land.naver.com/complexes/113483?tab=detail&amp;rf=Y</t>
        </is>
      </c>
      <c r="AA2169" s="0" t="inlineStr">
        <is>
          <t>서울시 강동구 성내동 434-13</t>
        </is>
      </c>
      <c r="AB2169" s="0" t="inlineStr">
        <is>
          <t>서울시</t>
        </is>
      </c>
      <c r="AC2169" s="0" t="inlineStr">
        <is>
          <t>강동구</t>
        </is>
      </c>
      <c r="AD2169" s="0" t="inlineStr">
        <is>
          <t>성내동</t>
        </is>
      </c>
      <c r="AG2169" s="0" t="inlineStr">
        <is>
          <t>서울시 강동구 성내로 91</t>
        </is>
      </c>
      <c r="AH2169" s="0" t="n">
        <v>0</v>
      </c>
      <c r="AI2169" s="0" t="n">
        <v>249</v>
      </c>
      <c r="AJ2169" s="0" t="n">
        <v>41</v>
      </c>
      <c r="AK2169" s="0" t="n">
        <v>32</v>
      </c>
      <c r="AL2169" s="0" t="n">
        <v>0.74</v>
      </c>
    </row>
    <row r="2170">
      <c r="A2170" s="0" t="inlineStr">
        <is>
          <t>[성내동]</t>
        </is>
      </c>
      <c r="B2170" s="0" t="n">
        <v>113483</v>
      </c>
      <c r="C2170" s="0" t="n">
        <v>3</v>
      </c>
      <c r="D2170" s="0" t="inlineStr">
        <is>
          <t>다성이즈빌(434-13)</t>
        </is>
      </c>
      <c r="E2170" s="0" t="inlineStr">
        <is>
          <t>2016.07.</t>
        </is>
      </c>
      <c r="F2170" s="0" t="n">
        <v>43</v>
      </c>
      <c r="G2170" s="0" t="n">
        <v>10.91</v>
      </c>
      <c r="H2170" s="0" t="n">
        <v>36.09</v>
      </c>
      <c r="I2170" s="0" t="n">
        <v>8.49</v>
      </c>
      <c r="J2170" s="0" t="n">
        <v>28.09</v>
      </c>
      <c r="K2170" s="0" t="n">
        <v>1</v>
      </c>
      <c r="T2170" s="0" t="n">
        <v>1</v>
      </c>
      <c r="U2170" s="0" t="n">
        <v>1</v>
      </c>
      <c r="V2170" s="0" t="inlineStr">
        <is>
          <t>계단식</t>
        </is>
      </c>
      <c r="W2170" s="0" t="inlineStr">
        <is>
          <t>36B</t>
        </is>
      </c>
      <c r="X2170" s="0" t="n">
        <v>12</v>
      </c>
      <c r="Y2170" s="0" t="n">
        <v>11</v>
      </c>
      <c r="Z2170" s="0" t="inlineStr">
        <is>
          <t>https://new.land.naver.com/complexes/113483?tab=detail&amp;rf=Y</t>
        </is>
      </c>
      <c r="AA2170" s="0" t="inlineStr">
        <is>
          <t>서울시 강동구 성내동 434-13</t>
        </is>
      </c>
      <c r="AB2170" s="0" t="inlineStr">
        <is>
          <t>서울시</t>
        </is>
      </c>
      <c r="AC2170" s="0" t="inlineStr">
        <is>
          <t>강동구</t>
        </is>
      </c>
      <c r="AD2170" s="0" t="inlineStr">
        <is>
          <t>성내동</t>
        </is>
      </c>
      <c r="AG2170" s="0" t="inlineStr">
        <is>
          <t>서울시 강동구 성내로 91</t>
        </is>
      </c>
      <c r="AH2170" s="0" t="n">
        <v>0</v>
      </c>
      <c r="AI2170" s="0" t="n">
        <v>249</v>
      </c>
      <c r="AJ2170" s="0" t="n">
        <v>41</v>
      </c>
      <c r="AK2170" s="0" t="n">
        <v>32</v>
      </c>
      <c r="AL2170" s="0" t="n">
        <v>0.74</v>
      </c>
    </row>
    <row r="2171">
      <c r="A2171" s="0" t="inlineStr">
        <is>
          <t>[성내동]</t>
        </is>
      </c>
      <c r="B2171" s="0" t="n">
        <v>113483</v>
      </c>
      <c r="C2171" s="0" t="n">
        <v>4</v>
      </c>
      <c r="D2171" s="0" t="inlineStr">
        <is>
          <t>다성이즈빌(434-13)</t>
        </is>
      </c>
      <c r="E2171" s="0" t="inlineStr">
        <is>
          <t>2016.07.</t>
        </is>
      </c>
      <c r="F2171" s="0" t="n">
        <v>43</v>
      </c>
      <c r="G2171" s="0" t="n">
        <v>12.02</v>
      </c>
      <c r="H2171" s="0" t="n">
        <v>39.75</v>
      </c>
      <c r="I2171" s="0" t="n">
        <v>9.279999999999999</v>
      </c>
      <c r="J2171" s="0" t="n">
        <v>30.69</v>
      </c>
      <c r="K2171" s="0" t="n">
        <v>1</v>
      </c>
      <c r="T2171" s="0" t="n">
        <v>1</v>
      </c>
      <c r="U2171" s="0" t="n">
        <v>1</v>
      </c>
      <c r="V2171" s="0" t="inlineStr">
        <is>
          <t>계단식</t>
        </is>
      </c>
      <c r="W2171" s="0" t="inlineStr">
        <is>
          <t>39A</t>
        </is>
      </c>
      <c r="X2171" s="0" t="n">
        <v>12</v>
      </c>
      <c r="Y2171" s="0" t="n">
        <v>11</v>
      </c>
      <c r="Z2171" s="0" t="inlineStr">
        <is>
          <t>https://new.land.naver.com/complexes/113483?tab=detail&amp;rf=Y</t>
        </is>
      </c>
      <c r="AA2171" s="0" t="inlineStr">
        <is>
          <t>서울시 강동구 성내동 434-13</t>
        </is>
      </c>
      <c r="AB2171" s="0" t="inlineStr">
        <is>
          <t>서울시</t>
        </is>
      </c>
      <c r="AC2171" s="0" t="inlineStr">
        <is>
          <t>강동구</t>
        </is>
      </c>
      <c r="AD2171" s="0" t="inlineStr">
        <is>
          <t>성내동</t>
        </is>
      </c>
      <c r="AG2171" s="0" t="inlineStr">
        <is>
          <t>서울시 강동구 성내로 91</t>
        </is>
      </c>
      <c r="AH2171" s="0" t="n">
        <v>0</v>
      </c>
      <c r="AI2171" s="0" t="n">
        <v>249</v>
      </c>
      <c r="AJ2171" s="0" t="n">
        <v>41</v>
      </c>
      <c r="AK2171" s="0" t="n">
        <v>32</v>
      </c>
      <c r="AL2171" s="0" t="n">
        <v>0.74</v>
      </c>
    </row>
    <row r="2172">
      <c r="A2172" s="0" t="inlineStr">
        <is>
          <t>[성내동]</t>
        </is>
      </c>
      <c r="B2172" s="0" t="n">
        <v>113483</v>
      </c>
      <c r="C2172" s="0" t="n">
        <v>5</v>
      </c>
      <c r="D2172" s="0" t="inlineStr">
        <is>
          <t>다성이즈빌(434-13)</t>
        </is>
      </c>
      <c r="E2172" s="0" t="inlineStr">
        <is>
          <t>2016.07.</t>
        </is>
      </c>
      <c r="F2172" s="0" t="n">
        <v>43</v>
      </c>
      <c r="G2172" s="0" t="n">
        <v>12.18</v>
      </c>
      <c r="H2172" s="0" t="n">
        <v>40.29</v>
      </c>
      <c r="I2172" s="0" t="n">
        <v>9.300000000000001</v>
      </c>
      <c r="J2172" s="0" t="n">
        <v>30.76</v>
      </c>
      <c r="K2172" s="0" t="n">
        <v>1</v>
      </c>
      <c r="T2172" s="0" t="n">
        <v>1</v>
      </c>
      <c r="U2172" s="0" t="n">
        <v>1</v>
      </c>
      <c r="V2172" s="0" t="inlineStr">
        <is>
          <t>계단식</t>
        </is>
      </c>
      <c r="W2172" s="0" t="inlineStr">
        <is>
          <t>40B</t>
        </is>
      </c>
      <c r="X2172" s="0" t="n">
        <v>12</v>
      </c>
      <c r="Y2172" s="0" t="n">
        <v>11</v>
      </c>
      <c r="Z2172" s="0" t="inlineStr">
        <is>
          <t>https://new.land.naver.com/complexes/113483?tab=detail&amp;rf=Y</t>
        </is>
      </c>
      <c r="AA2172" s="0" t="inlineStr">
        <is>
          <t>서울시 강동구 성내동 434-13</t>
        </is>
      </c>
      <c r="AB2172" s="0" t="inlineStr">
        <is>
          <t>서울시</t>
        </is>
      </c>
      <c r="AC2172" s="0" t="inlineStr">
        <is>
          <t>강동구</t>
        </is>
      </c>
      <c r="AD2172" s="0" t="inlineStr">
        <is>
          <t>성내동</t>
        </is>
      </c>
      <c r="AG2172" s="0" t="inlineStr">
        <is>
          <t>서울시 강동구 성내로 91</t>
        </is>
      </c>
      <c r="AH2172" s="0" t="n">
        <v>0</v>
      </c>
      <c r="AI2172" s="0" t="n">
        <v>249</v>
      </c>
      <c r="AJ2172" s="0" t="n">
        <v>41</v>
      </c>
      <c r="AK2172" s="0" t="n">
        <v>32</v>
      </c>
      <c r="AL2172" s="0" t="n">
        <v>0.74</v>
      </c>
    </row>
    <row r="2173">
      <c r="A2173" s="0" t="inlineStr">
        <is>
          <t>[성내동]</t>
        </is>
      </c>
      <c r="B2173" s="0" t="n">
        <v>113483</v>
      </c>
      <c r="C2173" s="0" t="n">
        <v>6</v>
      </c>
      <c r="D2173" s="0" t="inlineStr">
        <is>
          <t>다성이즈빌(434-13)</t>
        </is>
      </c>
      <c r="E2173" s="0" t="inlineStr">
        <is>
          <t>2016.07.</t>
        </is>
      </c>
      <c r="F2173" s="0" t="n">
        <v>43</v>
      </c>
      <c r="G2173" s="0" t="n">
        <v>13.19</v>
      </c>
      <c r="H2173" s="0" t="n">
        <v>43.62</v>
      </c>
      <c r="I2173" s="0" t="n">
        <v>10.43</v>
      </c>
      <c r="J2173" s="0" t="n">
        <v>34.48</v>
      </c>
      <c r="K2173" s="0" t="n">
        <v>10</v>
      </c>
      <c r="T2173" s="0" t="n">
        <v>2</v>
      </c>
      <c r="U2173" s="0" t="n">
        <v>1</v>
      </c>
      <c r="V2173" s="0" t="inlineStr">
        <is>
          <t>계단식</t>
        </is>
      </c>
      <c r="W2173" s="0" t="inlineStr">
        <is>
          <t>43B</t>
        </is>
      </c>
      <c r="X2173" s="0" t="n">
        <v>12</v>
      </c>
      <c r="Y2173" s="0" t="n">
        <v>11</v>
      </c>
      <c r="Z2173" s="0" t="inlineStr">
        <is>
          <t>https://new.land.naver.com/complexes/113483?tab=detail&amp;rf=Y</t>
        </is>
      </c>
      <c r="AA2173" s="0" t="inlineStr">
        <is>
          <t>서울시 강동구 성내동 434-13</t>
        </is>
      </c>
      <c r="AB2173" s="0" t="inlineStr">
        <is>
          <t>서울시</t>
        </is>
      </c>
      <c r="AC2173" s="0" t="inlineStr">
        <is>
          <t>강동구</t>
        </is>
      </c>
      <c r="AD2173" s="0" t="inlineStr">
        <is>
          <t>성내동</t>
        </is>
      </c>
      <c r="AG2173" s="0" t="inlineStr">
        <is>
          <t>서울시 강동구 성내로 91</t>
        </is>
      </c>
      <c r="AH2173" s="0" t="n">
        <v>0</v>
      </c>
      <c r="AI2173" s="0" t="n">
        <v>249</v>
      </c>
      <c r="AJ2173" s="0" t="n">
        <v>41</v>
      </c>
      <c r="AK2173" s="0" t="n">
        <v>32</v>
      </c>
      <c r="AL2173" s="0" t="n">
        <v>0.74</v>
      </c>
    </row>
    <row r="2174">
      <c r="A2174" s="0" t="inlineStr">
        <is>
          <t>[성내동]</t>
        </is>
      </c>
      <c r="B2174" s="0" t="n">
        <v>113483</v>
      </c>
      <c r="C2174" s="0" t="n">
        <v>7</v>
      </c>
      <c r="D2174" s="0" t="inlineStr">
        <is>
          <t>다성이즈빌(434-13)</t>
        </is>
      </c>
      <c r="E2174" s="0" t="inlineStr">
        <is>
          <t>2016.07.</t>
        </is>
      </c>
      <c r="F2174" s="0" t="n">
        <v>43</v>
      </c>
      <c r="G2174" s="0" t="n">
        <v>13.42</v>
      </c>
      <c r="H2174" s="0" t="n">
        <v>44.37</v>
      </c>
      <c r="I2174" s="0" t="n">
        <v>10.2</v>
      </c>
      <c r="J2174" s="0" t="n">
        <v>33.75</v>
      </c>
      <c r="K2174" s="0" t="n">
        <v>2</v>
      </c>
      <c r="T2174" s="0" t="n">
        <v>2</v>
      </c>
      <c r="U2174" s="0" t="n">
        <v>1</v>
      </c>
      <c r="V2174" s="0" t="inlineStr">
        <is>
          <t>계단식</t>
        </is>
      </c>
      <c r="W2174" s="0" t="inlineStr">
        <is>
          <t>44A</t>
        </is>
      </c>
      <c r="X2174" s="0" t="n">
        <v>12</v>
      </c>
      <c r="Y2174" s="0" t="n">
        <v>11</v>
      </c>
      <c r="Z2174" s="0" t="inlineStr">
        <is>
          <t>https://new.land.naver.com/complexes/113483?tab=detail&amp;rf=Y</t>
        </is>
      </c>
      <c r="AA2174" s="0" t="inlineStr">
        <is>
          <t>서울시 강동구 성내동 434-13</t>
        </is>
      </c>
      <c r="AB2174" s="0" t="inlineStr">
        <is>
          <t>서울시</t>
        </is>
      </c>
      <c r="AC2174" s="0" t="inlineStr">
        <is>
          <t>강동구</t>
        </is>
      </c>
      <c r="AD2174" s="0" t="inlineStr">
        <is>
          <t>성내동</t>
        </is>
      </c>
      <c r="AG2174" s="0" t="inlineStr">
        <is>
          <t>서울시 강동구 성내로 91</t>
        </is>
      </c>
      <c r="AH2174" s="0" t="n">
        <v>0</v>
      </c>
      <c r="AI2174" s="0" t="n">
        <v>249</v>
      </c>
      <c r="AJ2174" s="0" t="n">
        <v>41</v>
      </c>
      <c r="AK2174" s="0" t="n">
        <v>32</v>
      </c>
      <c r="AL2174" s="0" t="n">
        <v>0.74</v>
      </c>
    </row>
    <row r="2175">
      <c r="A2175" s="0" t="inlineStr">
        <is>
          <t>[성내동]</t>
        </is>
      </c>
      <c r="B2175" s="0" t="n">
        <v>113483</v>
      </c>
      <c r="C2175" s="0" t="n">
        <v>8</v>
      </c>
      <c r="D2175" s="0" t="inlineStr">
        <is>
          <t>다성이즈빌(434-13)</t>
        </is>
      </c>
      <c r="E2175" s="0" t="inlineStr">
        <is>
          <t>2016.07.</t>
        </is>
      </c>
      <c r="F2175" s="0" t="n">
        <v>43</v>
      </c>
      <c r="G2175" s="0" t="n">
        <v>14.52</v>
      </c>
      <c r="H2175" s="0" t="n">
        <v>48.01</v>
      </c>
      <c r="I2175" s="0" t="n">
        <v>11.36</v>
      </c>
      <c r="J2175" s="0" t="n">
        <v>37.56</v>
      </c>
      <c r="K2175" s="0" t="n">
        <v>7</v>
      </c>
      <c r="T2175" s="0" t="n">
        <v>1</v>
      </c>
      <c r="U2175" s="0" t="n">
        <v>1</v>
      </c>
      <c r="V2175" s="0" t="inlineStr">
        <is>
          <t>계단식</t>
        </is>
      </c>
      <c r="W2175" s="0" t="inlineStr">
        <is>
          <t>48A</t>
        </is>
      </c>
      <c r="X2175" s="0" t="n">
        <v>12</v>
      </c>
      <c r="Y2175" s="0" t="n">
        <v>11</v>
      </c>
      <c r="Z2175" s="0" t="inlineStr">
        <is>
          <t>https://new.land.naver.com/complexes/113483?tab=detail&amp;rf=Y</t>
        </is>
      </c>
      <c r="AA2175" s="0" t="inlineStr">
        <is>
          <t>서울시 강동구 성내동 434-13</t>
        </is>
      </c>
      <c r="AB2175" s="0" t="inlineStr">
        <is>
          <t>서울시</t>
        </is>
      </c>
      <c r="AC2175" s="0" t="inlineStr">
        <is>
          <t>강동구</t>
        </is>
      </c>
      <c r="AD2175" s="0" t="inlineStr">
        <is>
          <t>성내동</t>
        </is>
      </c>
      <c r="AG2175" s="0" t="inlineStr">
        <is>
          <t>서울시 강동구 성내로 91</t>
        </is>
      </c>
      <c r="AH2175" s="0" t="n">
        <v>0</v>
      </c>
      <c r="AI2175" s="0" t="n">
        <v>249</v>
      </c>
      <c r="AJ2175" s="0" t="n">
        <v>41</v>
      </c>
      <c r="AK2175" s="0" t="n">
        <v>32</v>
      </c>
      <c r="AL2175" s="0" t="n">
        <v>0.74</v>
      </c>
    </row>
    <row r="2176">
      <c r="A2176" s="0" t="inlineStr">
        <is>
          <t>[성내동]</t>
        </is>
      </c>
      <c r="B2176" s="0" t="n">
        <v>113483</v>
      </c>
      <c r="C2176" s="0" t="n">
        <v>9</v>
      </c>
      <c r="D2176" s="0" t="inlineStr">
        <is>
          <t>다성이즈빌(434-13)</t>
        </is>
      </c>
      <c r="E2176" s="0" t="inlineStr">
        <is>
          <t>2016.07.</t>
        </is>
      </c>
      <c r="F2176" s="0" t="n">
        <v>43</v>
      </c>
      <c r="G2176" s="0" t="n">
        <v>14.55</v>
      </c>
      <c r="H2176" s="0" t="n">
        <v>48.12</v>
      </c>
      <c r="I2176" s="0" t="n">
        <v>11.46</v>
      </c>
      <c r="J2176" s="0" t="n">
        <v>37.89</v>
      </c>
      <c r="K2176" s="0" t="n">
        <v>1</v>
      </c>
      <c r="T2176" s="0" t="n">
        <v>1</v>
      </c>
      <c r="U2176" s="0" t="n">
        <v>1</v>
      </c>
      <c r="V2176" s="0" t="inlineStr">
        <is>
          <t>계단식</t>
        </is>
      </c>
      <c r="W2176" s="0" t="inlineStr">
        <is>
          <t>48B</t>
        </is>
      </c>
      <c r="X2176" s="0" t="n">
        <v>12</v>
      </c>
      <c r="Y2176" s="0" t="n">
        <v>11</v>
      </c>
      <c r="Z2176" s="0" t="inlineStr">
        <is>
          <t>https://new.land.naver.com/complexes/113483?tab=detail&amp;rf=Y</t>
        </is>
      </c>
      <c r="AA2176" s="0" t="inlineStr">
        <is>
          <t>서울시 강동구 성내동 434-13</t>
        </is>
      </c>
      <c r="AB2176" s="0" t="inlineStr">
        <is>
          <t>서울시</t>
        </is>
      </c>
      <c r="AC2176" s="0" t="inlineStr">
        <is>
          <t>강동구</t>
        </is>
      </c>
      <c r="AD2176" s="0" t="inlineStr">
        <is>
          <t>성내동</t>
        </is>
      </c>
      <c r="AG2176" s="0" t="inlineStr">
        <is>
          <t>서울시 강동구 성내로 91</t>
        </is>
      </c>
      <c r="AH2176" s="0" t="n">
        <v>0</v>
      </c>
      <c r="AI2176" s="0" t="n">
        <v>249</v>
      </c>
      <c r="AJ2176" s="0" t="n">
        <v>41</v>
      </c>
      <c r="AK2176" s="0" t="n">
        <v>32</v>
      </c>
      <c r="AL2176" s="0" t="n">
        <v>0.74</v>
      </c>
    </row>
    <row r="2177">
      <c r="A2177" s="0" t="inlineStr">
        <is>
          <t>[성내동]</t>
        </is>
      </c>
      <c r="B2177" s="0" t="n">
        <v>113483</v>
      </c>
      <c r="C2177" s="0" t="n">
        <v>10</v>
      </c>
      <c r="D2177" s="0" t="inlineStr">
        <is>
          <t>다성이즈빌(434-13)</t>
        </is>
      </c>
      <c r="E2177" s="0" t="inlineStr">
        <is>
          <t>2016.07.</t>
        </is>
      </c>
      <c r="F2177" s="0" t="n">
        <v>43</v>
      </c>
      <c r="G2177" s="0" t="n">
        <v>16.89</v>
      </c>
      <c r="H2177" s="0" t="n">
        <v>55.85</v>
      </c>
      <c r="I2177" s="0" t="n">
        <v>13.4</v>
      </c>
      <c r="J2177" s="0" t="n">
        <v>44.31</v>
      </c>
      <c r="K2177" s="0" t="n">
        <v>1</v>
      </c>
      <c r="T2177" s="0" t="n">
        <v>2</v>
      </c>
      <c r="U2177" s="0" t="n">
        <v>1</v>
      </c>
      <c r="V2177" s="0" t="inlineStr">
        <is>
          <t>계단식</t>
        </is>
      </c>
      <c r="W2177" s="0" t="n">
        <v>55</v>
      </c>
      <c r="X2177" s="0" t="n">
        <v>12</v>
      </c>
      <c r="Y2177" s="0" t="n">
        <v>11</v>
      </c>
      <c r="Z2177" s="0" t="inlineStr">
        <is>
          <t>https://new.land.naver.com/complexes/113483?tab=detail&amp;rf=Y</t>
        </is>
      </c>
      <c r="AA2177" s="0" t="inlineStr">
        <is>
          <t>서울시 강동구 성내동 434-13</t>
        </is>
      </c>
      <c r="AB2177" s="0" t="inlineStr">
        <is>
          <t>서울시</t>
        </is>
      </c>
      <c r="AC2177" s="0" t="inlineStr">
        <is>
          <t>강동구</t>
        </is>
      </c>
      <c r="AD2177" s="0" t="inlineStr">
        <is>
          <t>성내동</t>
        </is>
      </c>
      <c r="AG2177" s="0" t="inlineStr">
        <is>
          <t>서울시 강동구 성내로 91</t>
        </is>
      </c>
      <c r="AH2177" s="0" t="n">
        <v>0</v>
      </c>
      <c r="AI2177" s="0" t="n">
        <v>249</v>
      </c>
      <c r="AJ2177" s="0" t="n">
        <v>41</v>
      </c>
      <c r="AK2177" s="0" t="n">
        <v>32</v>
      </c>
      <c r="AL2177" s="0" t="n">
        <v>0.74</v>
      </c>
    </row>
    <row r="2178">
      <c r="A2178" s="0" t="inlineStr">
        <is>
          <t>[성내동]</t>
        </is>
      </c>
      <c r="B2178" s="0" t="n">
        <v>113483</v>
      </c>
      <c r="C2178" s="0" t="n">
        <v>11</v>
      </c>
      <c r="D2178" s="0" t="inlineStr">
        <is>
          <t>다성이즈빌(434-13)</t>
        </is>
      </c>
      <c r="E2178" s="0" t="inlineStr">
        <is>
          <t>2016.07.</t>
        </is>
      </c>
      <c r="F2178" s="0" t="n">
        <v>43</v>
      </c>
      <c r="G2178" s="0" t="n">
        <v>18.14</v>
      </c>
      <c r="H2178" s="0" t="n">
        <v>59.98</v>
      </c>
      <c r="I2178" s="0" t="n">
        <v>14.35</v>
      </c>
      <c r="J2178" s="0" t="n">
        <v>47.44</v>
      </c>
      <c r="K2178" s="0" t="n">
        <v>1</v>
      </c>
      <c r="T2178" s="0" t="n">
        <v>2</v>
      </c>
      <c r="U2178" s="0" t="n">
        <v>1</v>
      </c>
      <c r="V2178" s="0" t="inlineStr">
        <is>
          <t>계단식</t>
        </is>
      </c>
      <c r="W2178" s="0" t="inlineStr">
        <is>
          <t>59A</t>
        </is>
      </c>
      <c r="X2178" s="0" t="n">
        <v>12</v>
      </c>
      <c r="Y2178" s="0" t="n">
        <v>11</v>
      </c>
      <c r="Z2178" s="0" t="inlineStr">
        <is>
          <t>https://new.land.naver.com/complexes/113483?tab=detail&amp;rf=Y</t>
        </is>
      </c>
      <c r="AA2178" s="0" t="inlineStr">
        <is>
          <t>서울시 강동구 성내동 434-13</t>
        </is>
      </c>
      <c r="AB2178" s="0" t="inlineStr">
        <is>
          <t>서울시</t>
        </is>
      </c>
      <c r="AC2178" s="0" t="inlineStr">
        <is>
          <t>강동구</t>
        </is>
      </c>
      <c r="AD2178" s="0" t="inlineStr">
        <is>
          <t>성내동</t>
        </is>
      </c>
      <c r="AG2178" s="0" t="inlineStr">
        <is>
          <t>서울시 강동구 성내로 91</t>
        </is>
      </c>
      <c r="AH2178" s="0" t="n">
        <v>0</v>
      </c>
      <c r="AI2178" s="0" t="n">
        <v>249</v>
      </c>
      <c r="AJ2178" s="0" t="n">
        <v>41</v>
      </c>
      <c r="AK2178" s="0" t="n">
        <v>32</v>
      </c>
      <c r="AL2178" s="0" t="n">
        <v>0.74</v>
      </c>
    </row>
    <row r="2179">
      <c r="A2179" s="0" t="inlineStr">
        <is>
          <t>[성내동]</t>
        </is>
      </c>
      <c r="B2179" s="0" t="n">
        <v>113483</v>
      </c>
      <c r="C2179" s="0" t="n">
        <v>12</v>
      </c>
      <c r="D2179" s="0" t="inlineStr">
        <is>
          <t>다성이즈빌(434-13)</t>
        </is>
      </c>
      <c r="E2179" s="0" t="inlineStr">
        <is>
          <t>2016.07.</t>
        </is>
      </c>
      <c r="F2179" s="0" t="n">
        <v>43</v>
      </c>
      <c r="G2179" s="0" t="n">
        <v>18.38</v>
      </c>
      <c r="H2179" s="0" t="n">
        <v>60.79</v>
      </c>
      <c r="I2179" s="0" t="n">
        <v>14.49</v>
      </c>
      <c r="J2179" s="0" t="n">
        <v>47.91</v>
      </c>
      <c r="K2179" s="0" t="n">
        <v>1</v>
      </c>
      <c r="T2179" s="0" t="n">
        <v>2</v>
      </c>
      <c r="U2179" s="0" t="n">
        <v>1</v>
      </c>
      <c r="V2179" s="0" t="inlineStr">
        <is>
          <t>계단식</t>
        </is>
      </c>
      <c r="W2179" s="0" t="inlineStr">
        <is>
          <t>60B</t>
        </is>
      </c>
      <c r="X2179" s="0" t="n">
        <v>12</v>
      </c>
      <c r="Y2179" s="0" t="n">
        <v>11</v>
      </c>
      <c r="Z2179" s="0" t="inlineStr">
        <is>
          <t>https://new.land.naver.com/complexes/113483?tab=detail&amp;rf=Y</t>
        </is>
      </c>
      <c r="AA2179" s="0" t="inlineStr">
        <is>
          <t>서울시 강동구 성내동 434-13</t>
        </is>
      </c>
      <c r="AB2179" s="0" t="inlineStr">
        <is>
          <t>서울시</t>
        </is>
      </c>
      <c r="AC2179" s="0" t="inlineStr">
        <is>
          <t>강동구</t>
        </is>
      </c>
      <c r="AD2179" s="0" t="inlineStr">
        <is>
          <t>성내동</t>
        </is>
      </c>
      <c r="AG2179" s="0" t="inlineStr">
        <is>
          <t>서울시 강동구 성내로 91</t>
        </is>
      </c>
      <c r="AH2179" s="0" t="n">
        <v>0</v>
      </c>
      <c r="AI2179" s="0" t="n">
        <v>249</v>
      </c>
      <c r="AJ2179" s="0" t="n">
        <v>41</v>
      </c>
      <c r="AK2179" s="0" t="n">
        <v>32</v>
      </c>
      <c r="AL2179" s="0" t="n">
        <v>0.74</v>
      </c>
    </row>
    <row r="2180">
      <c r="A2180" s="0" t="inlineStr">
        <is>
          <t>[성내동]</t>
        </is>
      </c>
      <c r="B2180" s="0" t="n">
        <v>113483</v>
      </c>
      <c r="C2180" s="0" t="n">
        <v>13</v>
      </c>
      <c r="D2180" s="0" t="inlineStr">
        <is>
          <t>다성이즈빌(434-13)</t>
        </is>
      </c>
      <c r="E2180" s="0" t="inlineStr">
        <is>
          <t>2016.07.</t>
        </is>
      </c>
      <c r="F2180" s="0" t="n">
        <v>43</v>
      </c>
      <c r="G2180" s="0" t="n">
        <v>19.65</v>
      </c>
      <c r="H2180" s="0" t="n">
        <v>64.97</v>
      </c>
      <c r="I2180" s="0" t="n">
        <v>15.5</v>
      </c>
      <c r="J2180" s="0" t="n">
        <v>51.24</v>
      </c>
      <c r="K2180" s="0" t="n">
        <v>1</v>
      </c>
      <c r="T2180" s="0" t="n">
        <v>2</v>
      </c>
      <c r="U2180" s="0" t="n">
        <v>1</v>
      </c>
      <c r="V2180" s="0" t="inlineStr">
        <is>
          <t>계단식</t>
        </is>
      </c>
      <c r="W2180" s="0" t="n">
        <v>64</v>
      </c>
      <c r="X2180" s="0" t="n">
        <v>12</v>
      </c>
      <c r="Y2180" s="0" t="n">
        <v>11</v>
      </c>
      <c r="Z2180" s="0" t="inlineStr">
        <is>
          <t>https://new.land.naver.com/complexes/113483?tab=detail&amp;rf=Y</t>
        </is>
      </c>
      <c r="AA2180" s="0" t="inlineStr">
        <is>
          <t>서울시 강동구 성내동 434-13</t>
        </is>
      </c>
      <c r="AB2180" s="0" t="inlineStr">
        <is>
          <t>서울시</t>
        </is>
      </c>
      <c r="AC2180" s="0" t="inlineStr">
        <is>
          <t>강동구</t>
        </is>
      </c>
      <c r="AD2180" s="0" t="inlineStr">
        <is>
          <t>성내동</t>
        </is>
      </c>
      <c r="AG2180" s="0" t="inlineStr">
        <is>
          <t>서울시 강동구 성내로 91</t>
        </is>
      </c>
      <c r="AH2180" s="0" t="n">
        <v>0</v>
      </c>
      <c r="AI2180" s="0" t="n">
        <v>249</v>
      </c>
      <c r="AJ2180" s="0" t="n">
        <v>41</v>
      </c>
      <c r="AK2180" s="0" t="n">
        <v>32</v>
      </c>
      <c r="AL2180" s="0" t="n">
        <v>0.74</v>
      </c>
    </row>
    <row r="2181">
      <c r="A2181" s="0" t="inlineStr">
        <is>
          <t>[성내동]</t>
        </is>
      </c>
      <c r="B2181" s="0" t="n">
        <v>113483</v>
      </c>
      <c r="C2181" s="0" t="n">
        <v>14</v>
      </c>
      <c r="D2181" s="0" t="inlineStr">
        <is>
          <t>다성이즈빌(434-13)</t>
        </is>
      </c>
      <c r="E2181" s="0" t="inlineStr">
        <is>
          <t>2016.07.</t>
        </is>
      </c>
      <c r="F2181" s="0" t="n">
        <v>43</v>
      </c>
      <c r="G2181" s="0" t="n">
        <v>20.51</v>
      </c>
      <c r="H2181" s="0" t="n">
        <v>67.81999999999999</v>
      </c>
      <c r="I2181" s="0" t="n">
        <v>16.25</v>
      </c>
      <c r="J2181" s="0" t="n">
        <v>53.72</v>
      </c>
      <c r="K2181" s="0" t="n">
        <v>7</v>
      </c>
      <c r="T2181" s="0" t="n">
        <v>3</v>
      </c>
      <c r="U2181" s="0" t="n">
        <v>2</v>
      </c>
      <c r="V2181" s="0" t="inlineStr">
        <is>
          <t>계단식</t>
        </is>
      </c>
      <c r="W2181" s="0" t="inlineStr">
        <is>
          <t>67A</t>
        </is>
      </c>
      <c r="X2181" s="0" t="n">
        <v>12</v>
      </c>
      <c r="Y2181" s="0" t="n">
        <v>11</v>
      </c>
      <c r="Z2181" s="0" t="inlineStr">
        <is>
          <t>https://new.land.naver.com/complexes/113483?tab=detail&amp;rf=Y</t>
        </is>
      </c>
      <c r="AA2181" s="0" t="inlineStr">
        <is>
          <t>서울시 강동구 성내동 434-13</t>
        </is>
      </c>
      <c r="AB2181" s="0" t="inlineStr">
        <is>
          <t>서울시</t>
        </is>
      </c>
      <c r="AC2181" s="0" t="inlineStr">
        <is>
          <t>강동구</t>
        </is>
      </c>
      <c r="AD2181" s="0" t="inlineStr">
        <is>
          <t>성내동</t>
        </is>
      </c>
      <c r="AG2181" s="0" t="inlineStr">
        <is>
          <t>서울시 강동구 성내로 91</t>
        </is>
      </c>
      <c r="AH2181" s="0" t="n">
        <v>0</v>
      </c>
      <c r="AI2181" s="0" t="n">
        <v>249</v>
      </c>
      <c r="AJ2181" s="0" t="n">
        <v>41</v>
      </c>
      <c r="AK2181" s="0" t="n">
        <v>32</v>
      </c>
      <c r="AL2181" s="0" t="n">
        <v>0.74</v>
      </c>
    </row>
    <row r="2182">
      <c r="A2182" s="0" t="inlineStr">
        <is>
          <t>[성내동]</t>
        </is>
      </c>
      <c r="B2182" s="0" t="n">
        <v>113483</v>
      </c>
      <c r="C2182" s="0" t="n">
        <v>15</v>
      </c>
      <c r="D2182" s="0" t="inlineStr">
        <is>
          <t>다성이즈빌(434-13)</t>
        </is>
      </c>
      <c r="E2182" s="0" t="inlineStr">
        <is>
          <t>2016.07.</t>
        </is>
      </c>
      <c r="F2182" s="0" t="n">
        <v>43</v>
      </c>
      <c r="G2182" s="0" t="n">
        <v>20.76</v>
      </c>
      <c r="H2182" s="0" t="n">
        <v>68.65000000000001</v>
      </c>
      <c r="I2182" s="0" t="n">
        <v>16.48</v>
      </c>
      <c r="J2182" s="0" t="n">
        <v>54.48</v>
      </c>
      <c r="K2182" s="0" t="n">
        <v>7</v>
      </c>
      <c r="T2182" s="0" t="n">
        <v>3</v>
      </c>
      <c r="U2182" s="0" t="n">
        <v>2</v>
      </c>
      <c r="V2182" s="0" t="inlineStr">
        <is>
          <t>계단식</t>
        </is>
      </c>
      <c r="W2182" s="0" t="inlineStr">
        <is>
          <t>68B</t>
        </is>
      </c>
      <c r="X2182" s="0" t="n">
        <v>12</v>
      </c>
      <c r="Y2182" s="0" t="n">
        <v>11</v>
      </c>
      <c r="Z2182" s="0" t="inlineStr">
        <is>
          <t>https://new.land.naver.com/complexes/113483?tab=detail&amp;rf=Y</t>
        </is>
      </c>
      <c r="AA2182" s="0" t="inlineStr">
        <is>
          <t>서울시 강동구 성내동 434-13</t>
        </is>
      </c>
      <c r="AB2182" s="0" t="inlineStr">
        <is>
          <t>서울시</t>
        </is>
      </c>
      <c r="AC2182" s="0" t="inlineStr">
        <is>
          <t>강동구</t>
        </is>
      </c>
      <c r="AD2182" s="0" t="inlineStr">
        <is>
          <t>성내동</t>
        </is>
      </c>
      <c r="AG2182" s="0" t="inlineStr">
        <is>
          <t>서울시 강동구 성내로 91</t>
        </is>
      </c>
      <c r="AH2182" s="0" t="n">
        <v>0</v>
      </c>
      <c r="AI2182" s="0" t="n">
        <v>249</v>
      </c>
      <c r="AJ2182" s="0" t="n">
        <v>41</v>
      </c>
      <c r="AK2182" s="0" t="n">
        <v>32</v>
      </c>
      <c r="AL2182" s="0" t="n">
        <v>0.74</v>
      </c>
    </row>
    <row r="2183">
      <c r="A2183" s="0" t="inlineStr">
        <is>
          <t>[성내동]</t>
        </is>
      </c>
      <c r="B2183" s="0" t="n">
        <v>13860</v>
      </c>
      <c r="C2183" s="0" t="n">
        <v>1</v>
      </c>
      <c r="D2183" s="0" t="inlineStr">
        <is>
          <t>우림루미아트</t>
        </is>
      </c>
      <c r="E2183" s="0" t="inlineStr">
        <is>
          <t>2004.07.</t>
        </is>
      </c>
      <c r="F2183" s="0" t="n">
        <v>69</v>
      </c>
      <c r="G2183" s="0" t="n">
        <v>24.24</v>
      </c>
      <c r="H2183" s="0" t="n">
        <v>80.14</v>
      </c>
      <c r="I2183" s="0" t="n">
        <v>19.43</v>
      </c>
      <c r="J2183" s="0" t="n">
        <v>64.26000000000001</v>
      </c>
      <c r="K2183" s="0" t="n">
        <v>5</v>
      </c>
      <c r="T2183" s="0" t="n">
        <v>3</v>
      </c>
      <c r="U2183" s="0" t="n">
        <v>2</v>
      </c>
      <c r="V2183" s="0" t="inlineStr">
        <is>
          <t>계단식</t>
        </is>
      </c>
      <c r="W2183" s="0" t="n">
        <v>80</v>
      </c>
      <c r="X2183" s="0" t="n">
        <v>11</v>
      </c>
      <c r="Y2183" s="0" t="n">
        <v>5</v>
      </c>
      <c r="Z2183" s="0" t="inlineStr">
        <is>
          <t>https://new.land.naver.com/complexes/13860?tab=detail&amp;rf=Y</t>
        </is>
      </c>
      <c r="AA2183" s="0" t="inlineStr">
        <is>
          <t>서울시 강동구 성내동 599</t>
        </is>
      </c>
      <c r="AB2183" s="0" t="inlineStr">
        <is>
          <t>서울시</t>
        </is>
      </c>
      <c r="AC2183" s="0" t="inlineStr">
        <is>
          <t>강동구</t>
        </is>
      </c>
      <c r="AD2183" s="0" t="inlineStr">
        <is>
          <t>성내동</t>
        </is>
      </c>
      <c r="AG2183" s="0" t="inlineStr">
        <is>
          <t>서울시 강동구 양재대로101길 46</t>
        </is>
      </c>
      <c r="AH2183" s="0" t="n">
        <v>0</v>
      </c>
      <c r="AI2183" s="0" t="n">
        <v>232</v>
      </c>
      <c r="AJ2183" s="0" t="n">
        <v>29</v>
      </c>
      <c r="AK2183" s="0" t="n">
        <v>79</v>
      </c>
      <c r="AL2183" s="0" t="n">
        <v>1.14</v>
      </c>
    </row>
    <row r="2184">
      <c r="A2184" s="0" t="inlineStr">
        <is>
          <t>[성내동]</t>
        </is>
      </c>
      <c r="B2184" s="0" t="n">
        <v>13860</v>
      </c>
      <c r="C2184" s="0" t="n">
        <v>2</v>
      </c>
      <c r="D2184" s="0" t="inlineStr">
        <is>
          <t>우림루미아트</t>
        </is>
      </c>
      <c r="E2184" s="0" t="inlineStr">
        <is>
          <t>2004.07.</t>
        </is>
      </c>
      <c r="F2184" s="0" t="n">
        <v>69</v>
      </c>
      <c r="G2184" s="0" t="n">
        <v>25.68</v>
      </c>
      <c r="H2184" s="0" t="n">
        <v>84.91</v>
      </c>
      <c r="I2184" s="0" t="n">
        <v>20.66</v>
      </c>
      <c r="J2184" s="0" t="n">
        <v>68.31</v>
      </c>
      <c r="K2184" s="0" t="n">
        <v>1</v>
      </c>
      <c r="T2184" s="0" t="n">
        <v>3</v>
      </c>
      <c r="U2184" s="0" t="n">
        <v>2</v>
      </c>
      <c r="V2184" s="0" t="inlineStr">
        <is>
          <t>계단식</t>
        </is>
      </c>
      <c r="W2184" s="0" t="n">
        <v>84</v>
      </c>
      <c r="X2184" s="0" t="n">
        <v>11</v>
      </c>
      <c r="Y2184" s="0" t="n">
        <v>5</v>
      </c>
      <c r="Z2184" s="0" t="inlineStr">
        <is>
          <t>https://new.land.naver.com/complexes/13860?tab=detail&amp;rf=Y</t>
        </is>
      </c>
      <c r="AA2184" s="0" t="inlineStr">
        <is>
          <t>서울시 강동구 성내동 599</t>
        </is>
      </c>
      <c r="AB2184" s="0" t="inlineStr">
        <is>
          <t>서울시</t>
        </is>
      </c>
      <c r="AC2184" s="0" t="inlineStr">
        <is>
          <t>강동구</t>
        </is>
      </c>
      <c r="AD2184" s="0" t="inlineStr">
        <is>
          <t>성내동</t>
        </is>
      </c>
      <c r="AG2184" s="0" t="inlineStr">
        <is>
          <t>서울시 강동구 양재대로101길 46</t>
        </is>
      </c>
      <c r="AH2184" s="0" t="n">
        <v>0</v>
      </c>
      <c r="AI2184" s="0" t="n">
        <v>232</v>
      </c>
      <c r="AJ2184" s="0" t="n">
        <v>29</v>
      </c>
      <c r="AK2184" s="0" t="n">
        <v>79</v>
      </c>
      <c r="AL2184" s="0" t="n">
        <v>1.14</v>
      </c>
    </row>
    <row r="2185">
      <c r="A2185" s="0" t="inlineStr">
        <is>
          <t>[성내동]</t>
        </is>
      </c>
      <c r="B2185" s="0" t="n">
        <v>13860</v>
      </c>
      <c r="C2185" s="0" t="n">
        <v>3</v>
      </c>
      <c r="D2185" s="0" t="inlineStr">
        <is>
          <t>우림루미아트</t>
        </is>
      </c>
      <c r="E2185" s="0" t="inlineStr">
        <is>
          <t>2004.07.</t>
        </is>
      </c>
      <c r="F2185" s="0" t="n">
        <v>69</v>
      </c>
      <c r="G2185" s="0" t="n">
        <v>29.22</v>
      </c>
      <c r="H2185" s="0" t="n">
        <v>96.62</v>
      </c>
      <c r="I2185" s="0" t="n">
        <v>23.44</v>
      </c>
      <c r="J2185" s="0" t="n">
        <v>77.5</v>
      </c>
      <c r="K2185" s="0" t="n">
        <v>1</v>
      </c>
      <c r="T2185" s="0" t="n">
        <v>3</v>
      </c>
      <c r="U2185" s="0" t="n">
        <v>2</v>
      </c>
      <c r="V2185" s="0" t="inlineStr">
        <is>
          <t>계단식</t>
        </is>
      </c>
      <c r="W2185" s="0" t="n">
        <v>96</v>
      </c>
      <c r="X2185" s="0" t="n">
        <v>11</v>
      </c>
      <c r="Y2185" s="0" t="n">
        <v>5</v>
      </c>
      <c r="Z2185" s="0" t="inlineStr">
        <is>
          <t>https://new.land.naver.com/complexes/13860?tab=detail&amp;rf=Y</t>
        </is>
      </c>
      <c r="AA2185" s="0" t="inlineStr">
        <is>
          <t>서울시 강동구 성내동 599</t>
        </is>
      </c>
      <c r="AB2185" s="0" t="inlineStr">
        <is>
          <t>서울시</t>
        </is>
      </c>
      <c r="AC2185" s="0" t="inlineStr">
        <is>
          <t>강동구</t>
        </is>
      </c>
      <c r="AD2185" s="0" t="inlineStr">
        <is>
          <t>성내동</t>
        </is>
      </c>
      <c r="AG2185" s="0" t="inlineStr">
        <is>
          <t>서울시 강동구 양재대로101길 46</t>
        </is>
      </c>
      <c r="AH2185" s="0" t="n">
        <v>0</v>
      </c>
      <c r="AI2185" s="0" t="n">
        <v>232</v>
      </c>
      <c r="AJ2185" s="0" t="n">
        <v>29</v>
      </c>
      <c r="AK2185" s="0" t="n">
        <v>79</v>
      </c>
      <c r="AL2185" s="0" t="n">
        <v>1.14</v>
      </c>
    </row>
    <row r="2186">
      <c r="A2186" s="0" t="inlineStr">
        <is>
          <t>[성내동]</t>
        </is>
      </c>
      <c r="B2186" s="0" t="n">
        <v>13860</v>
      </c>
      <c r="C2186" s="0" t="n">
        <v>4</v>
      </c>
      <c r="D2186" s="0" t="inlineStr">
        <is>
          <t>우림루미아트</t>
        </is>
      </c>
      <c r="E2186" s="0" t="inlineStr">
        <is>
          <t>2004.07.</t>
        </is>
      </c>
      <c r="F2186" s="0" t="n">
        <v>69</v>
      </c>
      <c r="G2186" s="0" t="n">
        <v>30.31</v>
      </c>
      <c r="H2186" s="0" t="n">
        <v>100.22</v>
      </c>
      <c r="I2186" s="0" t="n">
        <v>24.59</v>
      </c>
      <c r="J2186" s="0" t="n">
        <v>81.31999999999999</v>
      </c>
      <c r="K2186" s="0" t="n">
        <v>1</v>
      </c>
      <c r="T2186" s="0" t="n">
        <v>3</v>
      </c>
      <c r="U2186" s="0" t="n">
        <v>2</v>
      </c>
      <c r="V2186" s="0" t="inlineStr">
        <is>
          <t>계단식</t>
        </is>
      </c>
      <c r="W2186" s="0" t="n">
        <v>100</v>
      </c>
      <c r="X2186" s="0" t="n">
        <v>11</v>
      </c>
      <c r="Y2186" s="0" t="n">
        <v>5</v>
      </c>
      <c r="Z2186" s="0" t="inlineStr">
        <is>
          <t>https://new.land.naver.com/complexes/13860?tab=detail&amp;rf=Y</t>
        </is>
      </c>
      <c r="AA2186" s="0" t="inlineStr">
        <is>
          <t>서울시 강동구 성내동 599</t>
        </is>
      </c>
      <c r="AB2186" s="0" t="inlineStr">
        <is>
          <t>서울시</t>
        </is>
      </c>
      <c r="AC2186" s="0" t="inlineStr">
        <is>
          <t>강동구</t>
        </is>
      </c>
      <c r="AD2186" s="0" t="inlineStr">
        <is>
          <t>성내동</t>
        </is>
      </c>
      <c r="AG2186" s="0" t="inlineStr">
        <is>
          <t>서울시 강동구 양재대로101길 46</t>
        </is>
      </c>
      <c r="AH2186" s="0" t="n">
        <v>0</v>
      </c>
      <c r="AI2186" s="0" t="n">
        <v>232</v>
      </c>
      <c r="AJ2186" s="0" t="n">
        <v>29</v>
      </c>
      <c r="AK2186" s="0" t="n">
        <v>79</v>
      </c>
      <c r="AL2186" s="0" t="n">
        <v>1.14</v>
      </c>
    </row>
    <row r="2187">
      <c r="A2187" s="0" t="inlineStr">
        <is>
          <t>[성내동]</t>
        </is>
      </c>
      <c r="B2187" s="0" t="n">
        <v>13860</v>
      </c>
      <c r="C2187" s="0" t="n">
        <v>5</v>
      </c>
      <c r="D2187" s="0" t="inlineStr">
        <is>
          <t>우림루미아트</t>
        </is>
      </c>
      <c r="E2187" s="0" t="inlineStr">
        <is>
          <t>2004.07.</t>
        </is>
      </c>
      <c r="F2187" s="0" t="n">
        <v>69</v>
      </c>
      <c r="G2187" s="0" t="n">
        <v>31.64</v>
      </c>
      <c r="H2187" s="0" t="n">
        <v>104.6</v>
      </c>
      <c r="I2187" s="0" t="n">
        <v>25.56</v>
      </c>
      <c r="J2187" s="0" t="n">
        <v>84.5</v>
      </c>
      <c r="K2187" s="0" t="n">
        <v>45</v>
      </c>
      <c r="T2187" s="0" t="n">
        <v>3</v>
      </c>
      <c r="U2187" s="0" t="n">
        <v>2</v>
      </c>
      <c r="V2187" s="0" t="inlineStr">
        <is>
          <t>계단식</t>
        </is>
      </c>
      <c r="W2187" s="0" t="inlineStr">
        <is>
          <t>104B</t>
        </is>
      </c>
      <c r="X2187" s="0" t="n">
        <v>11</v>
      </c>
      <c r="Y2187" s="0" t="n">
        <v>5</v>
      </c>
      <c r="Z2187" s="0" t="inlineStr">
        <is>
          <t>https://new.land.naver.com/complexes/13860?tab=detail&amp;rf=Y</t>
        </is>
      </c>
      <c r="AA2187" s="0" t="inlineStr">
        <is>
          <t>서울시 강동구 성내동 599</t>
        </is>
      </c>
      <c r="AB2187" s="0" t="inlineStr">
        <is>
          <t>서울시</t>
        </is>
      </c>
      <c r="AC2187" s="0" t="inlineStr">
        <is>
          <t>강동구</t>
        </is>
      </c>
      <c r="AD2187" s="0" t="inlineStr">
        <is>
          <t>성내동</t>
        </is>
      </c>
      <c r="AG2187" s="0" t="inlineStr">
        <is>
          <t>서울시 강동구 양재대로101길 46</t>
        </is>
      </c>
      <c r="AH2187" s="0" t="n">
        <v>0</v>
      </c>
      <c r="AI2187" s="0" t="n">
        <v>232</v>
      </c>
      <c r="AJ2187" s="0" t="n">
        <v>29</v>
      </c>
      <c r="AK2187" s="0" t="n">
        <v>79</v>
      </c>
      <c r="AL2187" s="0" t="n">
        <v>1.14</v>
      </c>
    </row>
    <row r="2188">
      <c r="A2188" s="0" t="inlineStr">
        <is>
          <t>[성내동]</t>
        </is>
      </c>
      <c r="B2188" s="0" t="n">
        <v>13860</v>
      </c>
      <c r="C2188" s="0" t="n">
        <v>6</v>
      </c>
      <c r="D2188" s="0" t="inlineStr">
        <is>
          <t>우림루미아트</t>
        </is>
      </c>
      <c r="E2188" s="0" t="inlineStr">
        <is>
          <t>2004.07.</t>
        </is>
      </c>
      <c r="F2188" s="0" t="n">
        <v>69</v>
      </c>
      <c r="G2188" s="0" t="n">
        <v>31.68</v>
      </c>
      <c r="H2188" s="0" t="n">
        <v>104.75</v>
      </c>
      <c r="I2188" s="0" t="n">
        <v>25.48</v>
      </c>
      <c r="J2188" s="0" t="n">
        <v>84.23999999999999</v>
      </c>
      <c r="K2188" s="0" t="n">
        <v>7</v>
      </c>
      <c r="T2188" s="0" t="n">
        <v>3</v>
      </c>
      <c r="U2188" s="0" t="n">
        <v>2</v>
      </c>
      <c r="V2188" s="0" t="inlineStr">
        <is>
          <t>계단식</t>
        </is>
      </c>
      <c r="W2188" s="0" t="inlineStr">
        <is>
          <t>104A</t>
        </is>
      </c>
      <c r="X2188" s="0" t="n">
        <v>11</v>
      </c>
      <c r="Y2188" s="0" t="n">
        <v>5</v>
      </c>
      <c r="Z2188" s="0" t="inlineStr">
        <is>
          <t>https://new.land.naver.com/complexes/13860?tab=detail&amp;rf=Y</t>
        </is>
      </c>
      <c r="AA2188" s="0" t="inlineStr">
        <is>
          <t>서울시 강동구 성내동 599</t>
        </is>
      </c>
      <c r="AB2188" s="0" t="inlineStr">
        <is>
          <t>서울시</t>
        </is>
      </c>
      <c r="AC2188" s="0" t="inlineStr">
        <is>
          <t>강동구</t>
        </is>
      </c>
      <c r="AD2188" s="0" t="inlineStr">
        <is>
          <t>성내동</t>
        </is>
      </c>
      <c r="AG2188" s="0" t="inlineStr">
        <is>
          <t>서울시 강동구 양재대로101길 46</t>
        </is>
      </c>
      <c r="AH2188" s="0" t="n">
        <v>0</v>
      </c>
      <c r="AI2188" s="0" t="n">
        <v>232</v>
      </c>
      <c r="AJ2188" s="0" t="n">
        <v>29</v>
      </c>
      <c r="AK2188" s="0" t="n">
        <v>79</v>
      </c>
      <c r="AL2188" s="0" t="n">
        <v>1.14</v>
      </c>
    </row>
    <row r="2189">
      <c r="A2189" s="0" t="inlineStr">
        <is>
          <t>[성내동]</t>
        </is>
      </c>
      <c r="B2189" s="0" t="n">
        <v>13860</v>
      </c>
      <c r="C2189" s="0" t="n">
        <v>7</v>
      </c>
      <c r="D2189" s="0" t="inlineStr">
        <is>
          <t>우림루미아트</t>
        </is>
      </c>
      <c r="E2189" s="0" t="inlineStr">
        <is>
          <t>2004.07.</t>
        </is>
      </c>
      <c r="F2189" s="0" t="n">
        <v>69</v>
      </c>
      <c r="G2189" s="0" t="n">
        <v>31.55</v>
      </c>
      <c r="H2189" s="0" t="n">
        <v>104.3</v>
      </c>
      <c r="I2189" s="0" t="n">
        <v>25.64</v>
      </c>
      <c r="J2189" s="0" t="n">
        <v>84.77</v>
      </c>
      <c r="K2189" s="0" t="n">
        <v>7</v>
      </c>
      <c r="T2189" s="0" t="n">
        <v>3</v>
      </c>
      <c r="U2189" s="0" t="n">
        <v>2</v>
      </c>
      <c r="V2189" s="0" t="inlineStr">
        <is>
          <t>계단식</t>
        </is>
      </c>
      <c r="W2189" s="0" t="inlineStr">
        <is>
          <t>104C</t>
        </is>
      </c>
      <c r="X2189" s="0" t="n">
        <v>11</v>
      </c>
      <c r="Y2189" s="0" t="n">
        <v>5</v>
      </c>
      <c r="Z2189" s="0" t="inlineStr">
        <is>
          <t>https://new.land.naver.com/complexes/13860?tab=detail&amp;rf=Y</t>
        </is>
      </c>
      <c r="AA2189" s="0" t="inlineStr">
        <is>
          <t>서울시 강동구 성내동 599</t>
        </is>
      </c>
      <c r="AB2189" s="0" t="inlineStr">
        <is>
          <t>서울시</t>
        </is>
      </c>
      <c r="AC2189" s="0" t="inlineStr">
        <is>
          <t>강동구</t>
        </is>
      </c>
      <c r="AD2189" s="0" t="inlineStr">
        <is>
          <t>성내동</t>
        </is>
      </c>
      <c r="AG2189" s="0" t="inlineStr">
        <is>
          <t>서울시 강동구 양재대로101길 46</t>
        </is>
      </c>
      <c r="AH2189" s="0" t="n">
        <v>0</v>
      </c>
      <c r="AI2189" s="0" t="n">
        <v>232</v>
      </c>
      <c r="AJ2189" s="0" t="n">
        <v>29</v>
      </c>
      <c r="AK2189" s="0" t="n">
        <v>79</v>
      </c>
      <c r="AL2189" s="0" t="n">
        <v>1.14</v>
      </c>
    </row>
    <row r="2190">
      <c r="A2190" s="0" t="inlineStr">
        <is>
          <t>[성내동]</t>
        </is>
      </c>
      <c r="B2190" s="0" t="n">
        <v>13860</v>
      </c>
      <c r="C2190" s="0" t="n">
        <v>8</v>
      </c>
      <c r="D2190" s="0" t="inlineStr">
        <is>
          <t>우림루미아트</t>
        </is>
      </c>
      <c r="E2190" s="0" t="inlineStr">
        <is>
          <t>2004.07.</t>
        </is>
      </c>
      <c r="F2190" s="0" t="n">
        <v>69</v>
      </c>
      <c r="G2190" s="0" t="n">
        <v>50.48</v>
      </c>
      <c r="H2190" s="0" t="n">
        <v>166.88</v>
      </c>
      <c r="I2190" s="0" t="n">
        <v>40.56</v>
      </c>
      <c r="J2190" s="0" t="n">
        <v>134.09</v>
      </c>
      <c r="K2190" s="0" t="n">
        <v>1</v>
      </c>
      <c r="T2190" s="0" t="n">
        <v>5</v>
      </c>
      <c r="U2190" s="0" t="n">
        <v>3</v>
      </c>
      <c r="V2190" s="0" t="inlineStr">
        <is>
          <t>계단식</t>
        </is>
      </c>
      <c r="W2190" s="0" t="n">
        <v>166</v>
      </c>
      <c r="X2190" s="0" t="n">
        <v>11</v>
      </c>
      <c r="Y2190" s="0" t="n">
        <v>5</v>
      </c>
      <c r="Z2190" s="0" t="inlineStr">
        <is>
          <t>https://new.land.naver.com/complexes/13860?tab=detail&amp;rf=Y</t>
        </is>
      </c>
      <c r="AA2190" s="0" t="inlineStr">
        <is>
          <t>서울시 강동구 성내동 599</t>
        </is>
      </c>
      <c r="AB2190" s="0" t="inlineStr">
        <is>
          <t>서울시</t>
        </is>
      </c>
      <c r="AC2190" s="0" t="inlineStr">
        <is>
          <t>강동구</t>
        </is>
      </c>
      <c r="AD2190" s="0" t="inlineStr">
        <is>
          <t>성내동</t>
        </is>
      </c>
      <c r="AG2190" s="0" t="inlineStr">
        <is>
          <t>서울시 강동구 양재대로101길 46</t>
        </is>
      </c>
      <c r="AH2190" s="0" t="n">
        <v>0</v>
      </c>
      <c r="AI2190" s="0" t="n">
        <v>232</v>
      </c>
      <c r="AJ2190" s="0" t="n">
        <v>29</v>
      </c>
      <c r="AK2190" s="0" t="n">
        <v>79</v>
      </c>
      <c r="AL2190" s="0" t="n">
        <v>1.14</v>
      </c>
    </row>
    <row r="2191">
      <c r="A2191" s="0" t="inlineStr">
        <is>
          <t>[성내동]</t>
        </is>
      </c>
      <c r="B2191" s="0" t="n">
        <v>13860</v>
      </c>
      <c r="C2191" s="0" t="n">
        <v>9</v>
      </c>
      <c r="D2191" s="0" t="inlineStr">
        <is>
          <t>우림루미아트</t>
        </is>
      </c>
      <c r="E2191" s="0" t="inlineStr">
        <is>
          <t>2004.07.</t>
        </is>
      </c>
      <c r="F2191" s="0" t="n">
        <v>69</v>
      </c>
      <c r="G2191" s="0" t="n">
        <v>55.33</v>
      </c>
      <c r="H2191" s="0" t="n">
        <v>182.94</v>
      </c>
      <c r="I2191" s="0" t="n">
        <v>44.62</v>
      </c>
      <c r="J2191" s="0" t="n">
        <v>147.52</v>
      </c>
      <c r="K2191" s="0" t="n">
        <v>1</v>
      </c>
      <c r="T2191" s="0" t="n">
        <v>5</v>
      </c>
      <c r="U2191" s="0" t="n">
        <v>3</v>
      </c>
      <c r="V2191" s="0" t="inlineStr">
        <is>
          <t>계단식</t>
        </is>
      </c>
      <c r="W2191" s="0" t="n">
        <v>182</v>
      </c>
      <c r="X2191" s="0" t="n">
        <v>11</v>
      </c>
      <c r="Y2191" s="0" t="n">
        <v>5</v>
      </c>
      <c r="Z2191" s="0" t="inlineStr">
        <is>
          <t>https://new.land.naver.com/complexes/13860?tab=detail&amp;rf=Y</t>
        </is>
      </c>
      <c r="AA2191" s="0" t="inlineStr">
        <is>
          <t>서울시 강동구 성내동 599</t>
        </is>
      </c>
      <c r="AB2191" s="0" t="inlineStr">
        <is>
          <t>서울시</t>
        </is>
      </c>
      <c r="AC2191" s="0" t="inlineStr">
        <is>
          <t>강동구</t>
        </is>
      </c>
      <c r="AD2191" s="0" t="inlineStr">
        <is>
          <t>성내동</t>
        </is>
      </c>
      <c r="AG2191" s="0" t="inlineStr">
        <is>
          <t>서울시 강동구 양재대로101길 46</t>
        </is>
      </c>
      <c r="AH2191" s="0" t="n">
        <v>0</v>
      </c>
      <c r="AI2191" s="0" t="n">
        <v>232</v>
      </c>
      <c r="AJ2191" s="0" t="n">
        <v>29</v>
      </c>
      <c r="AK2191" s="0" t="n">
        <v>79</v>
      </c>
      <c r="AL2191" s="0" t="n">
        <v>1.14</v>
      </c>
    </row>
    <row r="2192">
      <c r="A2192" s="0" t="inlineStr">
        <is>
          <t>[성내동]</t>
        </is>
      </c>
      <c r="B2192" s="0" t="n">
        <v>115159</v>
      </c>
      <c r="C2192" s="0" t="n">
        <v>1</v>
      </c>
      <c r="D2192" s="0" t="inlineStr">
        <is>
          <t>행복빌(도시형)</t>
        </is>
      </c>
      <c r="E2192" s="0" t="inlineStr">
        <is>
          <t>2012.09.</t>
        </is>
      </c>
      <c r="F2192" s="0" t="n">
        <v>23</v>
      </c>
      <c r="G2192" s="0" t="n">
        <v>5.71</v>
      </c>
      <c r="H2192" s="0" t="n">
        <v>18.88</v>
      </c>
      <c r="I2192" s="0" t="n">
        <v>4.19</v>
      </c>
      <c r="J2192" s="0" t="n">
        <v>13.87</v>
      </c>
      <c r="K2192" s="0" t="n">
        <v>3</v>
      </c>
      <c r="T2192" s="0" t="n">
        <v>1</v>
      </c>
      <c r="U2192" s="0" t="n">
        <v>1</v>
      </c>
      <c r="V2192" s="0" t="inlineStr">
        <is>
          <t>복도식</t>
        </is>
      </c>
      <c r="W2192" s="0" t="inlineStr">
        <is>
          <t>18A</t>
        </is>
      </c>
      <c r="X2192" s="0" t="n">
        <v>5</v>
      </c>
      <c r="Y2192" s="0" t="n">
        <v>4</v>
      </c>
      <c r="Z2192" s="0" t="inlineStr">
        <is>
          <t>https://new.land.naver.com/complexes/115159?tab=detail&amp;rf=Y</t>
        </is>
      </c>
      <c r="AA2192" s="0" t="inlineStr">
        <is>
          <t>서울시 강동구 성내동 200-7</t>
        </is>
      </c>
      <c r="AB2192" s="0" t="inlineStr">
        <is>
          <t>서울시</t>
        </is>
      </c>
      <c r="AC2192" s="0" t="inlineStr">
        <is>
          <t>강동구</t>
        </is>
      </c>
      <c r="AD2192" s="0" t="inlineStr">
        <is>
          <t>성내동</t>
        </is>
      </c>
      <c r="AG2192" s="0" t="inlineStr">
        <is>
          <t>서울시 강동구 천호대로168길 41-27</t>
        </is>
      </c>
      <c r="AH2192" s="0" t="n">
        <v>0</v>
      </c>
      <c r="AI2192" s="0" t="n">
        <v>197</v>
      </c>
      <c r="AJ2192" s="0" t="n">
        <v>49</v>
      </c>
      <c r="AK2192" s="0" t="n">
        <v>9</v>
      </c>
      <c r="AL2192" s="0" t="n">
        <v>0.39</v>
      </c>
    </row>
    <row r="2193">
      <c r="A2193" s="0" t="inlineStr">
        <is>
          <t>[성내동]</t>
        </is>
      </c>
      <c r="B2193" s="0" t="n">
        <v>115159</v>
      </c>
      <c r="C2193" s="0" t="n">
        <v>2</v>
      </c>
      <c r="D2193" s="0" t="inlineStr">
        <is>
          <t>행복빌(도시형)</t>
        </is>
      </c>
      <c r="E2193" s="0" t="inlineStr">
        <is>
          <t>2012.09.</t>
        </is>
      </c>
      <c r="F2193" s="0" t="n">
        <v>23</v>
      </c>
      <c r="G2193" s="0" t="n">
        <v>5.81</v>
      </c>
      <c r="H2193" s="0" t="n">
        <v>19.21</v>
      </c>
      <c r="I2193" s="0" t="n">
        <v>4.26</v>
      </c>
      <c r="J2193" s="0" t="n">
        <v>14.11</v>
      </c>
      <c r="K2193" s="0" t="n">
        <v>1</v>
      </c>
      <c r="T2193" s="0" t="n">
        <v>1</v>
      </c>
      <c r="U2193" s="0" t="n">
        <v>1</v>
      </c>
      <c r="V2193" s="0" t="inlineStr">
        <is>
          <t>복도식</t>
        </is>
      </c>
      <c r="W2193" s="0" t="inlineStr">
        <is>
          <t>19B</t>
        </is>
      </c>
      <c r="X2193" s="0" t="n">
        <v>5</v>
      </c>
      <c r="Y2193" s="0" t="n">
        <v>4</v>
      </c>
      <c r="Z2193" s="0" t="inlineStr">
        <is>
          <t>https://new.land.naver.com/complexes/115159?tab=detail&amp;rf=Y</t>
        </is>
      </c>
      <c r="AA2193" s="0" t="inlineStr">
        <is>
          <t>서울시 강동구 성내동 200-7</t>
        </is>
      </c>
      <c r="AB2193" s="0" t="inlineStr">
        <is>
          <t>서울시</t>
        </is>
      </c>
      <c r="AC2193" s="0" t="inlineStr">
        <is>
          <t>강동구</t>
        </is>
      </c>
      <c r="AD2193" s="0" t="inlineStr">
        <is>
          <t>성내동</t>
        </is>
      </c>
      <c r="AG2193" s="0" t="inlineStr">
        <is>
          <t>서울시 강동구 천호대로168길 41-27</t>
        </is>
      </c>
      <c r="AH2193" s="0" t="n">
        <v>0</v>
      </c>
      <c r="AI2193" s="0" t="n">
        <v>197</v>
      </c>
      <c r="AJ2193" s="0" t="n">
        <v>49</v>
      </c>
      <c r="AK2193" s="0" t="n">
        <v>9</v>
      </c>
      <c r="AL2193" s="0" t="n">
        <v>0.39</v>
      </c>
    </row>
    <row r="2194">
      <c r="A2194" s="0" t="inlineStr">
        <is>
          <t>[성내동]</t>
        </is>
      </c>
      <c r="B2194" s="0" t="n">
        <v>115159</v>
      </c>
      <c r="C2194" s="0" t="n">
        <v>3</v>
      </c>
      <c r="D2194" s="0" t="inlineStr">
        <is>
          <t>행복빌(도시형)</t>
        </is>
      </c>
      <c r="E2194" s="0" t="inlineStr">
        <is>
          <t>2012.09.</t>
        </is>
      </c>
      <c r="F2194" s="0" t="n">
        <v>23</v>
      </c>
      <c r="G2194" s="0" t="n">
        <v>6.51</v>
      </c>
      <c r="H2194" s="0" t="n">
        <v>21.53</v>
      </c>
      <c r="I2194" s="0" t="n">
        <v>4.78</v>
      </c>
      <c r="J2194" s="0" t="n">
        <v>15.81</v>
      </c>
      <c r="K2194" s="0" t="n">
        <v>1</v>
      </c>
      <c r="T2194" s="0" t="n">
        <v>1</v>
      </c>
      <c r="U2194" s="0" t="n">
        <v>1</v>
      </c>
      <c r="V2194" s="0" t="inlineStr">
        <is>
          <t>복도식</t>
        </is>
      </c>
      <c r="W2194" s="0" t="inlineStr">
        <is>
          <t>21A</t>
        </is>
      </c>
      <c r="X2194" s="0" t="n">
        <v>5</v>
      </c>
      <c r="Y2194" s="0" t="n">
        <v>4</v>
      </c>
      <c r="Z2194" s="0" t="inlineStr">
        <is>
          <t>https://new.land.naver.com/complexes/115159?tab=detail&amp;rf=Y</t>
        </is>
      </c>
      <c r="AA2194" s="0" t="inlineStr">
        <is>
          <t>서울시 강동구 성내동 200-7</t>
        </is>
      </c>
      <c r="AB2194" s="0" t="inlineStr">
        <is>
          <t>서울시</t>
        </is>
      </c>
      <c r="AC2194" s="0" t="inlineStr">
        <is>
          <t>강동구</t>
        </is>
      </c>
      <c r="AD2194" s="0" t="inlineStr">
        <is>
          <t>성내동</t>
        </is>
      </c>
      <c r="AG2194" s="0" t="inlineStr">
        <is>
          <t>서울시 강동구 천호대로168길 41-27</t>
        </is>
      </c>
      <c r="AH2194" s="0" t="n">
        <v>0</v>
      </c>
      <c r="AI2194" s="0" t="n">
        <v>197</v>
      </c>
      <c r="AJ2194" s="0" t="n">
        <v>49</v>
      </c>
      <c r="AK2194" s="0" t="n">
        <v>9</v>
      </c>
      <c r="AL2194" s="0" t="n">
        <v>0.39</v>
      </c>
    </row>
    <row r="2195">
      <c r="A2195" s="0" t="inlineStr">
        <is>
          <t>[성내동]</t>
        </is>
      </c>
      <c r="B2195" s="0" t="n">
        <v>115159</v>
      </c>
      <c r="C2195" s="0" t="n">
        <v>4</v>
      </c>
      <c r="D2195" s="0" t="inlineStr">
        <is>
          <t>행복빌(도시형)</t>
        </is>
      </c>
      <c r="E2195" s="0" t="inlineStr">
        <is>
          <t>2012.09.</t>
        </is>
      </c>
      <c r="F2195" s="0" t="n">
        <v>23</v>
      </c>
      <c r="G2195" s="0" t="n">
        <v>6.93</v>
      </c>
      <c r="H2195" s="0" t="n">
        <v>22.92</v>
      </c>
      <c r="I2195" s="0" t="n">
        <v>5.09</v>
      </c>
      <c r="J2195" s="0" t="n">
        <v>16.83</v>
      </c>
      <c r="K2195" s="0" t="n">
        <v>1</v>
      </c>
      <c r="T2195" s="0" t="n">
        <v>1</v>
      </c>
      <c r="U2195" s="0" t="n">
        <v>1</v>
      </c>
      <c r="V2195" s="0" t="inlineStr">
        <is>
          <t>복도식</t>
        </is>
      </c>
      <c r="W2195" s="0" t="inlineStr">
        <is>
          <t>22B</t>
        </is>
      </c>
      <c r="X2195" s="0" t="n">
        <v>5</v>
      </c>
      <c r="Y2195" s="0" t="n">
        <v>4</v>
      </c>
      <c r="Z2195" s="0" t="inlineStr">
        <is>
          <t>https://new.land.naver.com/complexes/115159?tab=detail&amp;rf=Y</t>
        </is>
      </c>
      <c r="AA2195" s="0" t="inlineStr">
        <is>
          <t>서울시 강동구 성내동 200-7</t>
        </is>
      </c>
      <c r="AB2195" s="0" t="inlineStr">
        <is>
          <t>서울시</t>
        </is>
      </c>
      <c r="AC2195" s="0" t="inlineStr">
        <is>
          <t>강동구</t>
        </is>
      </c>
      <c r="AD2195" s="0" t="inlineStr">
        <is>
          <t>성내동</t>
        </is>
      </c>
      <c r="AG2195" s="0" t="inlineStr">
        <is>
          <t>서울시 강동구 천호대로168길 41-27</t>
        </is>
      </c>
      <c r="AH2195" s="0" t="n">
        <v>0</v>
      </c>
      <c r="AI2195" s="0" t="n">
        <v>197</v>
      </c>
      <c r="AJ2195" s="0" t="n">
        <v>49</v>
      </c>
      <c r="AK2195" s="0" t="n">
        <v>9</v>
      </c>
      <c r="AL2195" s="0" t="n">
        <v>0.39</v>
      </c>
    </row>
    <row r="2196">
      <c r="A2196" s="0" t="inlineStr">
        <is>
          <t>[성내동]</t>
        </is>
      </c>
      <c r="B2196" s="0" t="n">
        <v>115159</v>
      </c>
      <c r="C2196" s="0" t="n">
        <v>5</v>
      </c>
      <c r="D2196" s="0" t="inlineStr">
        <is>
          <t>행복빌(도시형)</t>
        </is>
      </c>
      <c r="E2196" s="0" t="inlineStr">
        <is>
          <t>2012.09.</t>
        </is>
      </c>
      <c r="F2196" s="0" t="n">
        <v>23</v>
      </c>
      <c r="G2196" s="0" t="n">
        <v>6.95</v>
      </c>
      <c r="H2196" s="0" t="n">
        <v>23</v>
      </c>
      <c r="I2196" s="0" t="n">
        <v>5.1</v>
      </c>
      <c r="J2196" s="0" t="n">
        <v>16.89</v>
      </c>
      <c r="K2196" s="0" t="n">
        <v>1</v>
      </c>
      <c r="T2196" s="0" t="n">
        <v>1</v>
      </c>
      <c r="U2196" s="0" t="n">
        <v>1</v>
      </c>
      <c r="V2196" s="0" t="inlineStr">
        <is>
          <t>복도식</t>
        </is>
      </c>
      <c r="W2196" s="0" t="inlineStr">
        <is>
          <t>23C</t>
        </is>
      </c>
      <c r="X2196" s="0" t="n">
        <v>5</v>
      </c>
      <c r="Y2196" s="0" t="n">
        <v>4</v>
      </c>
      <c r="Z2196" s="0" t="inlineStr">
        <is>
          <t>https://new.land.naver.com/complexes/115159?tab=detail&amp;rf=Y</t>
        </is>
      </c>
      <c r="AA2196" s="0" t="inlineStr">
        <is>
          <t>서울시 강동구 성내동 200-7</t>
        </is>
      </c>
      <c r="AB2196" s="0" t="inlineStr">
        <is>
          <t>서울시</t>
        </is>
      </c>
      <c r="AC2196" s="0" t="inlineStr">
        <is>
          <t>강동구</t>
        </is>
      </c>
      <c r="AD2196" s="0" t="inlineStr">
        <is>
          <t>성내동</t>
        </is>
      </c>
      <c r="AG2196" s="0" t="inlineStr">
        <is>
          <t>서울시 강동구 천호대로168길 41-27</t>
        </is>
      </c>
      <c r="AH2196" s="0" t="n">
        <v>0</v>
      </c>
      <c r="AI2196" s="0" t="n">
        <v>197</v>
      </c>
      <c r="AJ2196" s="0" t="n">
        <v>49</v>
      </c>
      <c r="AK2196" s="0" t="n">
        <v>9</v>
      </c>
      <c r="AL2196" s="0" t="n">
        <v>0.39</v>
      </c>
    </row>
    <row r="2197">
      <c r="A2197" s="0" t="inlineStr">
        <is>
          <t>[성내동]</t>
        </is>
      </c>
      <c r="B2197" s="0" t="n">
        <v>115159</v>
      </c>
      <c r="C2197" s="0" t="n">
        <v>6</v>
      </c>
      <c r="D2197" s="0" t="inlineStr">
        <is>
          <t>행복빌(도시형)</t>
        </is>
      </c>
      <c r="E2197" s="0" t="inlineStr">
        <is>
          <t>2012.09.</t>
        </is>
      </c>
      <c r="F2197" s="0" t="n">
        <v>23</v>
      </c>
      <c r="G2197" s="0" t="n">
        <v>7.19</v>
      </c>
      <c r="H2197" s="0" t="n">
        <v>23.77</v>
      </c>
      <c r="I2197" s="0" t="n">
        <v>5.28</v>
      </c>
      <c r="J2197" s="0" t="n">
        <v>17.46</v>
      </c>
      <c r="K2197" s="0" t="n">
        <v>1</v>
      </c>
      <c r="T2197" s="0" t="n">
        <v>1</v>
      </c>
      <c r="U2197" s="0" t="n">
        <v>1</v>
      </c>
      <c r="V2197" s="0" t="inlineStr">
        <is>
          <t>복도식</t>
        </is>
      </c>
      <c r="W2197" s="0" t="inlineStr">
        <is>
          <t>23D</t>
        </is>
      </c>
      <c r="X2197" s="0" t="n">
        <v>5</v>
      </c>
      <c r="Y2197" s="0" t="n">
        <v>4</v>
      </c>
      <c r="Z2197" s="0" t="inlineStr">
        <is>
          <t>https://new.land.naver.com/complexes/115159?tab=detail&amp;rf=Y</t>
        </is>
      </c>
      <c r="AA2197" s="0" t="inlineStr">
        <is>
          <t>서울시 강동구 성내동 200-7</t>
        </is>
      </c>
      <c r="AB2197" s="0" t="inlineStr">
        <is>
          <t>서울시</t>
        </is>
      </c>
      <c r="AC2197" s="0" t="inlineStr">
        <is>
          <t>강동구</t>
        </is>
      </c>
      <c r="AD2197" s="0" t="inlineStr">
        <is>
          <t>성내동</t>
        </is>
      </c>
      <c r="AG2197" s="0" t="inlineStr">
        <is>
          <t>서울시 강동구 천호대로168길 41-27</t>
        </is>
      </c>
      <c r="AH2197" s="0" t="n">
        <v>0</v>
      </c>
      <c r="AI2197" s="0" t="n">
        <v>197</v>
      </c>
      <c r="AJ2197" s="0" t="n">
        <v>49</v>
      </c>
      <c r="AK2197" s="0" t="n">
        <v>9</v>
      </c>
      <c r="AL2197" s="0" t="n">
        <v>0.39</v>
      </c>
    </row>
    <row r="2198">
      <c r="A2198" s="0" t="inlineStr">
        <is>
          <t>[성내동]</t>
        </is>
      </c>
      <c r="B2198" s="0" t="n">
        <v>115159</v>
      </c>
      <c r="C2198" s="0" t="n">
        <v>7</v>
      </c>
      <c r="D2198" s="0" t="inlineStr">
        <is>
          <t>행복빌(도시형)</t>
        </is>
      </c>
      <c r="E2198" s="0" t="inlineStr">
        <is>
          <t>2012.09.</t>
        </is>
      </c>
      <c r="F2198" s="0" t="n">
        <v>23</v>
      </c>
      <c r="G2198" s="0" t="n">
        <v>7.55</v>
      </c>
      <c r="H2198" s="0" t="n">
        <v>24.99</v>
      </c>
      <c r="I2198" s="0" t="n">
        <v>5.55</v>
      </c>
      <c r="J2198" s="0" t="n">
        <v>18.35</v>
      </c>
      <c r="K2198" s="0" t="n">
        <v>2</v>
      </c>
      <c r="T2198" s="0" t="n">
        <v>1</v>
      </c>
      <c r="U2198" s="0" t="n">
        <v>1</v>
      </c>
      <c r="V2198" s="0" t="inlineStr">
        <is>
          <t>복도식</t>
        </is>
      </c>
      <c r="W2198" s="0" t="inlineStr">
        <is>
          <t>24A</t>
        </is>
      </c>
      <c r="X2198" s="0" t="n">
        <v>5</v>
      </c>
      <c r="Y2198" s="0" t="n">
        <v>4</v>
      </c>
      <c r="Z2198" s="0" t="inlineStr">
        <is>
          <t>https://new.land.naver.com/complexes/115159?tab=detail&amp;rf=Y</t>
        </is>
      </c>
      <c r="AA2198" s="0" t="inlineStr">
        <is>
          <t>서울시 강동구 성내동 200-7</t>
        </is>
      </c>
      <c r="AB2198" s="0" t="inlineStr">
        <is>
          <t>서울시</t>
        </is>
      </c>
      <c r="AC2198" s="0" t="inlineStr">
        <is>
          <t>강동구</t>
        </is>
      </c>
      <c r="AD2198" s="0" t="inlineStr">
        <is>
          <t>성내동</t>
        </is>
      </c>
      <c r="AG2198" s="0" t="inlineStr">
        <is>
          <t>서울시 강동구 천호대로168길 41-27</t>
        </is>
      </c>
      <c r="AH2198" s="0" t="n">
        <v>0</v>
      </c>
      <c r="AI2198" s="0" t="n">
        <v>197</v>
      </c>
      <c r="AJ2198" s="0" t="n">
        <v>49</v>
      </c>
      <c r="AK2198" s="0" t="n">
        <v>9</v>
      </c>
      <c r="AL2198" s="0" t="n">
        <v>0.39</v>
      </c>
    </row>
    <row r="2199">
      <c r="A2199" s="0" t="inlineStr">
        <is>
          <t>[성내동]</t>
        </is>
      </c>
      <c r="B2199" s="0" t="n">
        <v>115159</v>
      </c>
      <c r="C2199" s="0" t="n">
        <v>8</v>
      </c>
      <c r="D2199" s="0" t="inlineStr">
        <is>
          <t>행복빌(도시형)</t>
        </is>
      </c>
      <c r="E2199" s="0" t="inlineStr">
        <is>
          <t>2012.09.</t>
        </is>
      </c>
      <c r="F2199" s="0" t="n">
        <v>23</v>
      </c>
      <c r="G2199" s="0" t="n">
        <v>7.45</v>
      </c>
      <c r="H2199" s="0" t="n">
        <v>24.65</v>
      </c>
      <c r="I2199" s="0" t="n">
        <v>5.47</v>
      </c>
      <c r="J2199" s="0" t="n">
        <v>18.1</v>
      </c>
      <c r="K2199" s="0" t="n">
        <v>2</v>
      </c>
      <c r="T2199" s="0" t="n">
        <v>1</v>
      </c>
      <c r="U2199" s="0" t="n">
        <v>1</v>
      </c>
      <c r="V2199" s="0" t="inlineStr">
        <is>
          <t>복도식</t>
        </is>
      </c>
      <c r="W2199" s="0" t="inlineStr">
        <is>
          <t>24E</t>
        </is>
      </c>
      <c r="X2199" s="0" t="n">
        <v>5</v>
      </c>
      <c r="Y2199" s="0" t="n">
        <v>4</v>
      </c>
      <c r="Z2199" s="0" t="inlineStr">
        <is>
          <t>https://new.land.naver.com/complexes/115159?tab=detail&amp;rf=Y</t>
        </is>
      </c>
      <c r="AA2199" s="0" t="inlineStr">
        <is>
          <t>서울시 강동구 성내동 200-7</t>
        </is>
      </c>
      <c r="AB2199" s="0" t="inlineStr">
        <is>
          <t>서울시</t>
        </is>
      </c>
      <c r="AC2199" s="0" t="inlineStr">
        <is>
          <t>강동구</t>
        </is>
      </c>
      <c r="AD2199" s="0" t="inlineStr">
        <is>
          <t>성내동</t>
        </is>
      </c>
      <c r="AG2199" s="0" t="inlineStr">
        <is>
          <t>서울시 강동구 천호대로168길 41-27</t>
        </is>
      </c>
      <c r="AH2199" s="0" t="n">
        <v>0</v>
      </c>
      <c r="AI2199" s="0" t="n">
        <v>197</v>
      </c>
      <c r="AJ2199" s="0" t="n">
        <v>49</v>
      </c>
      <c r="AK2199" s="0" t="n">
        <v>9</v>
      </c>
      <c r="AL2199" s="0" t="n">
        <v>0.39</v>
      </c>
    </row>
    <row r="2200">
      <c r="A2200" s="0" t="inlineStr">
        <is>
          <t>[성내동]</t>
        </is>
      </c>
      <c r="B2200" s="0" t="n">
        <v>115159</v>
      </c>
      <c r="C2200" s="0" t="n">
        <v>9</v>
      </c>
      <c r="D2200" s="0" t="inlineStr">
        <is>
          <t>행복빌(도시형)</t>
        </is>
      </c>
      <c r="E2200" s="0" t="inlineStr">
        <is>
          <t>2012.09.</t>
        </is>
      </c>
      <c r="F2200" s="0" t="n">
        <v>23</v>
      </c>
      <c r="G2200" s="0" t="n">
        <v>8.039999999999999</v>
      </c>
      <c r="H2200" s="0" t="n">
        <v>26.6</v>
      </c>
      <c r="I2200" s="0" t="n">
        <v>5.9</v>
      </c>
      <c r="J2200" s="0" t="n">
        <v>19.53</v>
      </c>
      <c r="K2200" s="0" t="n">
        <v>2</v>
      </c>
      <c r="T2200" s="0" t="n">
        <v>1</v>
      </c>
      <c r="U2200" s="0" t="n">
        <v>1</v>
      </c>
      <c r="V2200" s="0" t="inlineStr">
        <is>
          <t>복도식</t>
        </is>
      </c>
      <c r="W2200" s="0" t="inlineStr">
        <is>
          <t>26C</t>
        </is>
      </c>
      <c r="X2200" s="0" t="n">
        <v>5</v>
      </c>
      <c r="Y2200" s="0" t="n">
        <v>4</v>
      </c>
      <c r="Z2200" s="0" t="inlineStr">
        <is>
          <t>https://new.land.naver.com/complexes/115159?tab=detail&amp;rf=Y</t>
        </is>
      </c>
      <c r="AA2200" s="0" t="inlineStr">
        <is>
          <t>서울시 강동구 성내동 200-7</t>
        </is>
      </c>
      <c r="AB2200" s="0" t="inlineStr">
        <is>
          <t>서울시</t>
        </is>
      </c>
      <c r="AC2200" s="0" t="inlineStr">
        <is>
          <t>강동구</t>
        </is>
      </c>
      <c r="AD2200" s="0" t="inlineStr">
        <is>
          <t>성내동</t>
        </is>
      </c>
      <c r="AG2200" s="0" t="inlineStr">
        <is>
          <t>서울시 강동구 천호대로168길 41-27</t>
        </is>
      </c>
      <c r="AH2200" s="0" t="n">
        <v>0</v>
      </c>
      <c r="AI2200" s="0" t="n">
        <v>197</v>
      </c>
      <c r="AJ2200" s="0" t="n">
        <v>49</v>
      </c>
      <c r="AK2200" s="0" t="n">
        <v>9</v>
      </c>
      <c r="AL2200" s="0" t="n">
        <v>0.39</v>
      </c>
    </row>
    <row r="2201">
      <c r="A2201" s="0" t="inlineStr">
        <is>
          <t>[성내동]</t>
        </is>
      </c>
      <c r="B2201" s="0" t="n">
        <v>115159</v>
      </c>
      <c r="C2201" s="0" t="n">
        <v>10</v>
      </c>
      <c r="D2201" s="0" t="inlineStr">
        <is>
          <t>행복빌(도시형)</t>
        </is>
      </c>
      <c r="E2201" s="0" t="inlineStr">
        <is>
          <t>2012.09.</t>
        </is>
      </c>
      <c r="F2201" s="0" t="n">
        <v>23</v>
      </c>
      <c r="G2201" s="0" t="n">
        <v>7.91</v>
      </c>
      <c r="H2201" s="0" t="n">
        <v>26.15</v>
      </c>
      <c r="I2201" s="0" t="n">
        <v>5.8</v>
      </c>
      <c r="J2201" s="0" t="n">
        <v>19.2</v>
      </c>
      <c r="K2201" s="0" t="n">
        <v>1</v>
      </c>
      <c r="T2201" s="0" t="n">
        <v>1</v>
      </c>
      <c r="U2201" s="0" t="n">
        <v>1</v>
      </c>
      <c r="V2201" s="0" t="inlineStr">
        <is>
          <t>복도식</t>
        </is>
      </c>
      <c r="W2201" s="0" t="inlineStr">
        <is>
          <t>26B</t>
        </is>
      </c>
      <c r="X2201" s="0" t="n">
        <v>5</v>
      </c>
      <c r="Y2201" s="0" t="n">
        <v>4</v>
      </c>
      <c r="Z2201" s="0" t="inlineStr">
        <is>
          <t>https://new.land.naver.com/complexes/115159?tab=detail&amp;rf=Y</t>
        </is>
      </c>
      <c r="AA2201" s="0" t="inlineStr">
        <is>
          <t>서울시 강동구 성내동 200-7</t>
        </is>
      </c>
      <c r="AB2201" s="0" t="inlineStr">
        <is>
          <t>서울시</t>
        </is>
      </c>
      <c r="AC2201" s="0" t="inlineStr">
        <is>
          <t>강동구</t>
        </is>
      </c>
      <c r="AD2201" s="0" t="inlineStr">
        <is>
          <t>성내동</t>
        </is>
      </c>
      <c r="AG2201" s="0" t="inlineStr">
        <is>
          <t>서울시 강동구 천호대로168길 41-27</t>
        </is>
      </c>
      <c r="AH2201" s="0" t="n">
        <v>0</v>
      </c>
      <c r="AI2201" s="0" t="n">
        <v>197</v>
      </c>
      <c r="AJ2201" s="0" t="n">
        <v>49</v>
      </c>
      <c r="AK2201" s="0" t="n">
        <v>9</v>
      </c>
      <c r="AL2201" s="0" t="n">
        <v>0.39</v>
      </c>
    </row>
    <row r="2202">
      <c r="A2202" s="0" t="inlineStr">
        <is>
          <t>[성내동]</t>
        </is>
      </c>
      <c r="B2202" s="0" t="n">
        <v>115159</v>
      </c>
      <c r="C2202" s="0" t="n">
        <v>11</v>
      </c>
      <c r="D2202" s="0" t="inlineStr">
        <is>
          <t>행복빌(도시형)</t>
        </is>
      </c>
      <c r="E2202" s="0" t="inlineStr">
        <is>
          <t>2012.09.</t>
        </is>
      </c>
      <c r="F2202" s="0" t="n">
        <v>23</v>
      </c>
      <c r="G2202" s="0" t="n">
        <v>8.15</v>
      </c>
      <c r="H2202" s="0" t="n">
        <v>26.96</v>
      </c>
      <c r="I2202" s="0" t="n">
        <v>5.98</v>
      </c>
      <c r="J2202" s="0" t="n">
        <v>19.8</v>
      </c>
      <c r="K2202" s="0" t="n">
        <v>1</v>
      </c>
      <c r="T2202" s="0" t="n">
        <v>1</v>
      </c>
      <c r="U2202" s="0" t="n">
        <v>1</v>
      </c>
      <c r="V2202" s="0" t="inlineStr">
        <is>
          <t>복도식</t>
        </is>
      </c>
      <c r="W2202" s="0" t="inlineStr">
        <is>
          <t>26D</t>
        </is>
      </c>
      <c r="X2202" s="0" t="n">
        <v>5</v>
      </c>
      <c r="Y2202" s="0" t="n">
        <v>4</v>
      </c>
      <c r="Z2202" s="0" t="inlineStr">
        <is>
          <t>https://new.land.naver.com/complexes/115159?tab=detail&amp;rf=Y</t>
        </is>
      </c>
      <c r="AA2202" s="0" t="inlineStr">
        <is>
          <t>서울시 강동구 성내동 200-7</t>
        </is>
      </c>
      <c r="AB2202" s="0" t="inlineStr">
        <is>
          <t>서울시</t>
        </is>
      </c>
      <c r="AC2202" s="0" t="inlineStr">
        <is>
          <t>강동구</t>
        </is>
      </c>
      <c r="AD2202" s="0" t="inlineStr">
        <is>
          <t>성내동</t>
        </is>
      </c>
      <c r="AG2202" s="0" t="inlineStr">
        <is>
          <t>서울시 강동구 천호대로168길 41-27</t>
        </is>
      </c>
      <c r="AH2202" s="0" t="n">
        <v>0</v>
      </c>
      <c r="AI2202" s="0" t="n">
        <v>197</v>
      </c>
      <c r="AJ2202" s="0" t="n">
        <v>49</v>
      </c>
      <c r="AK2202" s="0" t="n">
        <v>9</v>
      </c>
      <c r="AL2202" s="0" t="n">
        <v>0.39</v>
      </c>
    </row>
    <row r="2203">
      <c r="A2203" s="0" t="inlineStr">
        <is>
          <t>[성내동]</t>
        </is>
      </c>
      <c r="B2203" s="0" t="n">
        <v>115159</v>
      </c>
      <c r="C2203" s="0" t="n">
        <v>12</v>
      </c>
      <c r="D2203" s="0" t="inlineStr">
        <is>
          <t>행복빌(도시형)</t>
        </is>
      </c>
      <c r="E2203" s="0" t="inlineStr">
        <is>
          <t>2012.09.</t>
        </is>
      </c>
      <c r="F2203" s="0" t="n">
        <v>23</v>
      </c>
      <c r="G2203" s="0" t="n">
        <v>8.77</v>
      </c>
      <c r="H2203" s="0" t="n">
        <v>29.01</v>
      </c>
      <c r="I2203" s="0" t="n">
        <v>6.44</v>
      </c>
      <c r="J2203" s="0" t="n">
        <v>21.3</v>
      </c>
      <c r="K2203" s="0" t="n">
        <v>2</v>
      </c>
      <c r="T2203" s="0" t="n">
        <v>1</v>
      </c>
      <c r="U2203" s="0" t="n">
        <v>1</v>
      </c>
      <c r="V2203" s="0" t="inlineStr">
        <is>
          <t>복도식</t>
        </is>
      </c>
      <c r="W2203" s="0" t="n">
        <v>29</v>
      </c>
      <c r="X2203" s="0" t="n">
        <v>5</v>
      </c>
      <c r="Y2203" s="0" t="n">
        <v>4</v>
      </c>
      <c r="Z2203" s="0" t="inlineStr">
        <is>
          <t>https://new.land.naver.com/complexes/115159?tab=detail&amp;rf=Y</t>
        </is>
      </c>
      <c r="AA2203" s="0" t="inlineStr">
        <is>
          <t>서울시 강동구 성내동 200-7</t>
        </is>
      </c>
      <c r="AB2203" s="0" t="inlineStr">
        <is>
          <t>서울시</t>
        </is>
      </c>
      <c r="AC2203" s="0" t="inlineStr">
        <is>
          <t>강동구</t>
        </is>
      </c>
      <c r="AD2203" s="0" t="inlineStr">
        <is>
          <t>성내동</t>
        </is>
      </c>
      <c r="AG2203" s="0" t="inlineStr">
        <is>
          <t>서울시 강동구 천호대로168길 41-27</t>
        </is>
      </c>
      <c r="AH2203" s="0" t="n">
        <v>0</v>
      </c>
      <c r="AI2203" s="0" t="n">
        <v>197</v>
      </c>
      <c r="AJ2203" s="0" t="n">
        <v>49</v>
      </c>
      <c r="AK2203" s="0" t="n">
        <v>9</v>
      </c>
      <c r="AL2203" s="0" t="n">
        <v>0.39</v>
      </c>
    </row>
    <row r="2204">
      <c r="A2204" s="0" t="inlineStr">
        <is>
          <t>[성내동]</t>
        </is>
      </c>
      <c r="B2204" s="0" t="n">
        <v>115159</v>
      </c>
      <c r="C2204" s="0" t="n">
        <v>13</v>
      </c>
      <c r="D2204" s="0" t="inlineStr">
        <is>
          <t>행복빌(도시형)</t>
        </is>
      </c>
      <c r="E2204" s="0" t="inlineStr">
        <is>
          <t>2012.09.</t>
        </is>
      </c>
      <c r="F2204" s="0" t="n">
        <v>23</v>
      </c>
      <c r="G2204" s="0" t="n">
        <v>16.06</v>
      </c>
      <c r="H2204" s="0" t="n">
        <v>53.11</v>
      </c>
      <c r="I2204" s="0" t="n">
        <v>11.79</v>
      </c>
      <c r="J2204" s="0" t="n">
        <v>39</v>
      </c>
      <c r="K2204" s="0" t="n">
        <v>1</v>
      </c>
      <c r="T2204" s="0" t="n">
        <v>1</v>
      </c>
      <c r="U2204" s="0" t="n">
        <v>1</v>
      </c>
      <c r="V2204" s="0" t="inlineStr">
        <is>
          <t>복도식</t>
        </is>
      </c>
      <c r="W2204" s="0" t="inlineStr">
        <is>
          <t>53A</t>
        </is>
      </c>
      <c r="X2204" s="0" t="n">
        <v>5</v>
      </c>
      <c r="Y2204" s="0" t="n">
        <v>4</v>
      </c>
      <c r="Z2204" s="0" t="inlineStr">
        <is>
          <t>https://new.land.naver.com/complexes/115159?tab=detail&amp;rf=Y</t>
        </is>
      </c>
      <c r="AA2204" s="0" t="inlineStr">
        <is>
          <t>서울시 강동구 성내동 200-7</t>
        </is>
      </c>
      <c r="AB2204" s="0" t="inlineStr">
        <is>
          <t>서울시</t>
        </is>
      </c>
      <c r="AC2204" s="0" t="inlineStr">
        <is>
          <t>강동구</t>
        </is>
      </c>
      <c r="AD2204" s="0" t="inlineStr">
        <is>
          <t>성내동</t>
        </is>
      </c>
      <c r="AG2204" s="0" t="inlineStr">
        <is>
          <t>서울시 강동구 천호대로168길 41-27</t>
        </is>
      </c>
      <c r="AH2204" s="0" t="n">
        <v>0</v>
      </c>
      <c r="AI2204" s="0" t="n">
        <v>197</v>
      </c>
      <c r="AJ2204" s="0" t="n">
        <v>49</v>
      </c>
      <c r="AK2204" s="0" t="n">
        <v>9</v>
      </c>
      <c r="AL2204" s="0" t="n">
        <v>0.39</v>
      </c>
    </row>
    <row r="2205">
      <c r="A2205" s="0" t="inlineStr">
        <is>
          <t>[성내동]</t>
        </is>
      </c>
      <c r="B2205" s="0" t="n">
        <v>115159</v>
      </c>
      <c r="C2205" s="0" t="n">
        <v>14</v>
      </c>
      <c r="D2205" s="0" t="inlineStr">
        <is>
          <t>행복빌(도시형)</t>
        </is>
      </c>
      <c r="E2205" s="0" t="inlineStr">
        <is>
          <t>2012.09.</t>
        </is>
      </c>
      <c r="F2205" s="0" t="n">
        <v>23</v>
      </c>
      <c r="G2205" s="0" t="n">
        <v>16.08</v>
      </c>
      <c r="H2205" s="0" t="n">
        <v>53.19</v>
      </c>
      <c r="I2205" s="0" t="n">
        <v>11.81</v>
      </c>
      <c r="J2205" s="0" t="n">
        <v>39.06</v>
      </c>
      <c r="K2205" s="0" t="n">
        <v>1</v>
      </c>
      <c r="T2205" s="0" t="n">
        <v>1</v>
      </c>
      <c r="U2205" s="0" t="n">
        <v>1</v>
      </c>
      <c r="V2205" s="0" t="inlineStr">
        <is>
          <t>복도식</t>
        </is>
      </c>
      <c r="W2205" s="0" t="inlineStr">
        <is>
          <t>53B</t>
        </is>
      </c>
      <c r="X2205" s="0" t="n">
        <v>5</v>
      </c>
      <c r="Y2205" s="0" t="n">
        <v>4</v>
      </c>
      <c r="Z2205" s="0" t="inlineStr">
        <is>
          <t>https://new.land.naver.com/complexes/115159?tab=detail&amp;rf=Y</t>
        </is>
      </c>
      <c r="AA2205" s="0" t="inlineStr">
        <is>
          <t>서울시 강동구 성내동 200-7</t>
        </is>
      </c>
      <c r="AB2205" s="0" t="inlineStr">
        <is>
          <t>서울시</t>
        </is>
      </c>
      <c r="AC2205" s="0" t="inlineStr">
        <is>
          <t>강동구</t>
        </is>
      </c>
      <c r="AD2205" s="0" t="inlineStr">
        <is>
          <t>성내동</t>
        </is>
      </c>
      <c r="AG2205" s="0" t="inlineStr">
        <is>
          <t>서울시 강동구 천호대로168길 41-27</t>
        </is>
      </c>
      <c r="AH2205" s="0" t="n">
        <v>0</v>
      </c>
      <c r="AI2205" s="0" t="n">
        <v>197</v>
      </c>
      <c r="AJ2205" s="0" t="n">
        <v>49</v>
      </c>
      <c r="AK2205" s="0" t="n">
        <v>9</v>
      </c>
      <c r="AL2205" s="0" t="n">
        <v>0.39</v>
      </c>
    </row>
    <row r="2206">
      <c r="A2206" s="0" t="inlineStr">
        <is>
          <t>[성내동]</t>
        </is>
      </c>
      <c r="B2206" s="0" t="n">
        <v>115159</v>
      </c>
      <c r="C2206" s="0" t="n">
        <v>15</v>
      </c>
      <c r="D2206" s="0" t="inlineStr">
        <is>
          <t>행복빌(도시형)</t>
        </is>
      </c>
      <c r="E2206" s="0" t="inlineStr">
        <is>
          <t>2012.09.</t>
        </is>
      </c>
      <c r="F2206" s="0" t="n">
        <v>23</v>
      </c>
      <c r="G2206" s="0" t="n">
        <v>16.69</v>
      </c>
      <c r="H2206" s="0" t="n">
        <v>55.18</v>
      </c>
      <c r="I2206" s="0" t="n">
        <v>12.38</v>
      </c>
      <c r="J2206" s="0" t="n">
        <v>40.94</v>
      </c>
      <c r="K2206" s="0" t="n">
        <v>1</v>
      </c>
      <c r="T2206" s="0" t="n">
        <v>1</v>
      </c>
      <c r="U2206" s="0" t="n">
        <v>1</v>
      </c>
      <c r="V2206" s="0" t="inlineStr">
        <is>
          <t>복도식</t>
        </is>
      </c>
      <c r="W2206" s="0" t="n">
        <v>55</v>
      </c>
      <c r="X2206" s="0" t="n">
        <v>5</v>
      </c>
      <c r="Y2206" s="0" t="n">
        <v>4</v>
      </c>
      <c r="Z2206" s="0" t="inlineStr">
        <is>
          <t>https://new.land.naver.com/complexes/115159?tab=detail&amp;rf=Y</t>
        </is>
      </c>
      <c r="AA2206" s="0" t="inlineStr">
        <is>
          <t>서울시 강동구 성내동 200-7</t>
        </is>
      </c>
      <c r="AB2206" s="0" t="inlineStr">
        <is>
          <t>서울시</t>
        </is>
      </c>
      <c r="AC2206" s="0" t="inlineStr">
        <is>
          <t>강동구</t>
        </is>
      </c>
      <c r="AD2206" s="0" t="inlineStr">
        <is>
          <t>성내동</t>
        </is>
      </c>
      <c r="AG2206" s="0" t="inlineStr">
        <is>
          <t>서울시 강동구 천호대로168길 41-27</t>
        </is>
      </c>
      <c r="AH2206" s="0" t="n">
        <v>0</v>
      </c>
      <c r="AI2206" s="0" t="n">
        <v>197</v>
      </c>
      <c r="AJ2206" s="0" t="n">
        <v>49</v>
      </c>
      <c r="AK2206" s="0" t="n">
        <v>9</v>
      </c>
      <c r="AL2206" s="0" t="n">
        <v>0.39</v>
      </c>
    </row>
    <row r="2207">
      <c r="A2207" s="0" t="inlineStr">
        <is>
          <t>[성내동]</t>
        </is>
      </c>
      <c r="B2207" s="0" t="n">
        <v>115159</v>
      </c>
      <c r="C2207" s="0" t="n">
        <v>16</v>
      </c>
      <c r="D2207" s="0" t="inlineStr">
        <is>
          <t>행복빌(도시형)</t>
        </is>
      </c>
      <c r="E2207" s="0" t="inlineStr">
        <is>
          <t>2012.09.</t>
        </is>
      </c>
      <c r="F2207" s="0" t="n">
        <v>23</v>
      </c>
      <c r="G2207" s="0" t="n">
        <v>17.54</v>
      </c>
      <c r="H2207" s="0" t="n">
        <v>58.01</v>
      </c>
      <c r="I2207" s="0" t="n">
        <v>12.88</v>
      </c>
      <c r="J2207" s="0" t="n">
        <v>42.6</v>
      </c>
      <c r="K2207" s="0" t="n">
        <v>1</v>
      </c>
      <c r="T2207" s="0" t="n">
        <v>1</v>
      </c>
      <c r="U2207" s="0" t="n">
        <v>1</v>
      </c>
      <c r="V2207" s="0" t="inlineStr">
        <is>
          <t>복도식</t>
        </is>
      </c>
      <c r="W2207" s="0" t="n">
        <v>58</v>
      </c>
      <c r="X2207" s="0" t="n">
        <v>5</v>
      </c>
      <c r="Y2207" s="0" t="n">
        <v>4</v>
      </c>
      <c r="Z2207" s="0" t="inlineStr">
        <is>
          <t>https://new.land.naver.com/complexes/115159?tab=detail&amp;rf=Y</t>
        </is>
      </c>
      <c r="AA2207" s="0" t="inlineStr">
        <is>
          <t>서울시 강동구 성내동 200-7</t>
        </is>
      </c>
      <c r="AB2207" s="0" t="inlineStr">
        <is>
          <t>서울시</t>
        </is>
      </c>
      <c r="AC2207" s="0" t="inlineStr">
        <is>
          <t>강동구</t>
        </is>
      </c>
      <c r="AD2207" s="0" t="inlineStr">
        <is>
          <t>성내동</t>
        </is>
      </c>
      <c r="AG2207" s="0" t="inlineStr">
        <is>
          <t>서울시 강동구 천호대로168길 41-27</t>
        </is>
      </c>
      <c r="AH2207" s="0" t="n">
        <v>0</v>
      </c>
      <c r="AI2207" s="0" t="n">
        <v>197</v>
      </c>
      <c r="AJ2207" s="0" t="n">
        <v>49</v>
      </c>
      <c r="AK2207" s="0" t="n">
        <v>9</v>
      </c>
      <c r="AL2207" s="0" t="n">
        <v>0.39</v>
      </c>
    </row>
    <row r="2208">
      <c r="A2208" s="0" t="inlineStr">
        <is>
          <t>[성내동]</t>
        </is>
      </c>
      <c r="B2208" s="0" t="n">
        <v>115159</v>
      </c>
      <c r="C2208" s="0" t="n">
        <v>17</v>
      </c>
      <c r="D2208" s="0" t="inlineStr">
        <is>
          <t>행복빌(도시형)</t>
        </is>
      </c>
      <c r="E2208" s="0" t="inlineStr">
        <is>
          <t>2012.09.</t>
        </is>
      </c>
      <c r="F2208" s="0" t="n">
        <v>23</v>
      </c>
      <c r="G2208" s="0" t="n">
        <v>21.38</v>
      </c>
      <c r="H2208" s="0" t="n">
        <v>70.70999999999999</v>
      </c>
      <c r="I2208" s="0" t="n">
        <v>15.81</v>
      </c>
      <c r="J2208" s="0" t="n">
        <v>52.27</v>
      </c>
      <c r="K2208" s="0" t="n">
        <v>1</v>
      </c>
      <c r="T2208" s="0" t="n">
        <v>1</v>
      </c>
      <c r="U2208" s="0" t="n">
        <v>1</v>
      </c>
      <c r="V2208" s="0" t="inlineStr">
        <is>
          <t>복도식</t>
        </is>
      </c>
      <c r="W2208" s="0" t="n">
        <v>70</v>
      </c>
      <c r="X2208" s="0" t="n">
        <v>5</v>
      </c>
      <c r="Y2208" s="0" t="n">
        <v>4</v>
      </c>
      <c r="Z2208" s="0" t="inlineStr">
        <is>
          <t>https://new.land.naver.com/complexes/115159?tab=detail&amp;rf=Y</t>
        </is>
      </c>
      <c r="AA2208" s="0" t="inlineStr">
        <is>
          <t>서울시 강동구 성내동 200-7</t>
        </is>
      </c>
      <c r="AB2208" s="0" t="inlineStr">
        <is>
          <t>서울시</t>
        </is>
      </c>
      <c r="AC2208" s="0" t="inlineStr">
        <is>
          <t>강동구</t>
        </is>
      </c>
      <c r="AD2208" s="0" t="inlineStr">
        <is>
          <t>성내동</t>
        </is>
      </c>
      <c r="AG2208" s="0" t="inlineStr">
        <is>
          <t>서울시 강동구 천호대로168길 41-27</t>
        </is>
      </c>
      <c r="AH2208" s="0" t="n">
        <v>0</v>
      </c>
      <c r="AI2208" s="0" t="n">
        <v>197</v>
      </c>
      <c r="AJ2208" s="0" t="n">
        <v>49</v>
      </c>
      <c r="AK2208" s="0" t="n">
        <v>9</v>
      </c>
      <c r="AL2208" s="0" t="n">
        <v>0.39</v>
      </c>
    </row>
    <row r="2209">
      <c r="A2209" s="0" t="inlineStr">
        <is>
          <t>[성내동]</t>
        </is>
      </c>
      <c r="B2209" s="0" t="n">
        <v>109736</v>
      </c>
      <c r="C2209" s="0" t="n">
        <v>1</v>
      </c>
      <c r="D2209" s="0" t="inlineStr">
        <is>
          <t>태천해오름(427-74)</t>
        </is>
      </c>
      <c r="E2209" s="0" t="inlineStr">
        <is>
          <t>2005.03.</t>
        </is>
      </c>
      <c r="F2209" s="0" t="n">
        <v>10</v>
      </c>
      <c r="G2209" s="0" t="n">
        <v>23.98</v>
      </c>
      <c r="H2209" s="0" t="n">
        <v>79.3</v>
      </c>
      <c r="I2209" s="0" t="n">
        <v>20.81</v>
      </c>
      <c r="J2209" s="0" t="n">
        <v>68.8</v>
      </c>
      <c r="K2209" s="0" t="n">
        <v>1</v>
      </c>
      <c r="T2209" s="0" t="n">
        <v>3</v>
      </c>
      <c r="U2209" s="0" t="n">
        <v>2</v>
      </c>
      <c r="V2209" s="0" t="inlineStr">
        <is>
          <t>계단식</t>
        </is>
      </c>
      <c r="W2209" s="0" t="n">
        <v>79</v>
      </c>
      <c r="X2209" s="0" t="n">
        <v>6</v>
      </c>
      <c r="Y2209" s="0" t="n">
        <v>6</v>
      </c>
      <c r="Z2209" s="0" t="inlineStr">
        <is>
          <t>https://new.land.naver.com/complexes/109736?tab=detail&amp;rf=Y</t>
        </is>
      </c>
      <c r="AA2209" s="0" t="inlineStr">
        <is>
          <t>서울시 강동구 성내동 427-74</t>
        </is>
      </c>
      <c r="AB2209" s="0" t="inlineStr">
        <is>
          <t>서울시</t>
        </is>
      </c>
      <c r="AC2209" s="0" t="inlineStr">
        <is>
          <t>강동구</t>
        </is>
      </c>
      <c r="AD2209" s="0" t="inlineStr">
        <is>
          <t>성내동</t>
        </is>
      </c>
      <c r="AG2209" s="0" t="inlineStr">
        <is>
          <t>서울시 강동구 양재대로91길 23</t>
        </is>
      </c>
      <c r="AH2209" s="0" t="n">
        <v>0</v>
      </c>
      <c r="AI2209" s="0" t="n">
        <v>210</v>
      </c>
      <c r="AJ2209" s="0" t="n">
        <v>58</v>
      </c>
      <c r="AK2209" s="0" t="n">
        <v>8</v>
      </c>
      <c r="AL2209" s="0" t="n">
        <v>0.8</v>
      </c>
    </row>
    <row r="2210">
      <c r="A2210" s="0" t="inlineStr">
        <is>
          <t>[성내동]</t>
        </is>
      </c>
      <c r="B2210" s="0" t="n">
        <v>109736</v>
      </c>
      <c r="C2210" s="0" t="n">
        <v>2</v>
      </c>
      <c r="D2210" s="0" t="inlineStr">
        <is>
          <t>태천해오름(427-74)</t>
        </is>
      </c>
      <c r="E2210" s="0" t="inlineStr">
        <is>
          <t>2005.03.</t>
        </is>
      </c>
      <c r="F2210" s="0" t="n">
        <v>10</v>
      </c>
      <c r="G2210" s="0" t="n">
        <v>29</v>
      </c>
      <c r="H2210" s="0" t="n">
        <v>95.89</v>
      </c>
      <c r="I2210" s="0" t="n">
        <v>25.16</v>
      </c>
      <c r="J2210" s="0" t="n">
        <v>83.2</v>
      </c>
      <c r="K2210" s="0" t="n">
        <v>4</v>
      </c>
      <c r="T2210" s="0" t="n">
        <v>3</v>
      </c>
      <c r="U2210" s="0" t="n">
        <v>2</v>
      </c>
      <c r="V2210" s="0" t="inlineStr">
        <is>
          <t>계단식</t>
        </is>
      </c>
      <c r="W2210" s="0" t="n">
        <v>95</v>
      </c>
      <c r="X2210" s="0" t="n">
        <v>6</v>
      </c>
      <c r="Y2210" s="0" t="n">
        <v>6</v>
      </c>
      <c r="Z2210" s="0" t="inlineStr">
        <is>
          <t>https://new.land.naver.com/complexes/109736?tab=detail&amp;rf=Y</t>
        </is>
      </c>
      <c r="AA2210" s="0" t="inlineStr">
        <is>
          <t>서울시 강동구 성내동 427-74</t>
        </is>
      </c>
      <c r="AB2210" s="0" t="inlineStr">
        <is>
          <t>서울시</t>
        </is>
      </c>
      <c r="AC2210" s="0" t="inlineStr">
        <is>
          <t>강동구</t>
        </is>
      </c>
      <c r="AD2210" s="0" t="inlineStr">
        <is>
          <t>성내동</t>
        </is>
      </c>
      <c r="AG2210" s="0" t="inlineStr">
        <is>
          <t>서울시 강동구 양재대로91길 23</t>
        </is>
      </c>
      <c r="AH2210" s="0" t="n">
        <v>0</v>
      </c>
      <c r="AI2210" s="0" t="n">
        <v>210</v>
      </c>
      <c r="AJ2210" s="0" t="n">
        <v>58</v>
      </c>
      <c r="AK2210" s="0" t="n">
        <v>8</v>
      </c>
      <c r="AL2210" s="0" t="n">
        <v>0.8</v>
      </c>
    </row>
    <row r="2211">
      <c r="A2211" s="0" t="inlineStr">
        <is>
          <t>[성내동]</t>
        </is>
      </c>
      <c r="B2211" s="0" t="n">
        <v>109736</v>
      </c>
      <c r="C2211" s="0" t="n">
        <v>3</v>
      </c>
      <c r="D2211" s="0" t="inlineStr">
        <is>
          <t>태천해오름(427-74)</t>
        </is>
      </c>
      <c r="E2211" s="0" t="inlineStr">
        <is>
          <t>2005.03.</t>
        </is>
      </c>
      <c r="F2211" s="0" t="n">
        <v>10</v>
      </c>
      <c r="G2211" s="0" t="n">
        <v>30.88</v>
      </c>
      <c r="H2211" s="0" t="n">
        <v>102.1</v>
      </c>
      <c r="I2211" s="0" t="n">
        <v>26.79</v>
      </c>
      <c r="J2211" s="0" t="n">
        <v>88.59</v>
      </c>
      <c r="K2211" s="0" t="n">
        <v>1</v>
      </c>
      <c r="T2211" s="0" t="n">
        <v>3</v>
      </c>
      <c r="U2211" s="0" t="n">
        <v>2</v>
      </c>
      <c r="V2211" s="0" t="inlineStr">
        <is>
          <t>계단식</t>
        </is>
      </c>
      <c r="W2211" s="0" t="n">
        <v>102</v>
      </c>
      <c r="X2211" s="0" t="n">
        <v>6</v>
      </c>
      <c r="Y2211" s="0" t="n">
        <v>6</v>
      </c>
      <c r="Z2211" s="0" t="inlineStr">
        <is>
          <t>https://new.land.naver.com/complexes/109736?tab=detail&amp;rf=Y</t>
        </is>
      </c>
      <c r="AA2211" s="0" t="inlineStr">
        <is>
          <t>서울시 강동구 성내동 427-74</t>
        </is>
      </c>
      <c r="AB2211" s="0" t="inlineStr">
        <is>
          <t>서울시</t>
        </is>
      </c>
      <c r="AC2211" s="0" t="inlineStr">
        <is>
          <t>강동구</t>
        </is>
      </c>
      <c r="AD2211" s="0" t="inlineStr">
        <is>
          <t>성내동</t>
        </is>
      </c>
      <c r="AG2211" s="0" t="inlineStr">
        <is>
          <t>서울시 강동구 양재대로91길 23</t>
        </is>
      </c>
      <c r="AH2211" s="0" t="n">
        <v>0</v>
      </c>
      <c r="AI2211" s="0" t="n">
        <v>210</v>
      </c>
      <c r="AJ2211" s="0" t="n">
        <v>58</v>
      </c>
      <c r="AK2211" s="0" t="n">
        <v>8</v>
      </c>
      <c r="AL2211" s="0" t="n">
        <v>0.8</v>
      </c>
    </row>
    <row r="2212">
      <c r="A2212" s="0" t="inlineStr">
        <is>
          <t>[성내동]</t>
        </is>
      </c>
      <c r="B2212" s="0" t="n">
        <v>109736</v>
      </c>
      <c r="C2212" s="0" t="n">
        <v>4</v>
      </c>
      <c r="D2212" s="0" t="inlineStr">
        <is>
          <t>태천해오름(427-74)</t>
        </is>
      </c>
      <c r="E2212" s="0" t="inlineStr">
        <is>
          <t>2005.03.</t>
        </is>
      </c>
      <c r="F2212" s="0" t="n">
        <v>10</v>
      </c>
      <c r="G2212" s="0" t="n">
        <v>35.74</v>
      </c>
      <c r="H2212" s="0" t="n">
        <v>118.15</v>
      </c>
      <c r="I2212" s="0" t="n">
        <v>31</v>
      </c>
      <c r="J2212" s="0" t="n">
        <v>102.51</v>
      </c>
      <c r="K2212" s="0" t="n">
        <v>4</v>
      </c>
      <c r="T2212" s="0" t="n">
        <v>3</v>
      </c>
      <c r="U2212" s="0" t="n">
        <v>2</v>
      </c>
      <c r="V2212" s="0" t="inlineStr">
        <is>
          <t>계단식</t>
        </is>
      </c>
      <c r="W2212" s="0" t="n">
        <v>118</v>
      </c>
      <c r="X2212" s="0" t="n">
        <v>6</v>
      </c>
      <c r="Y2212" s="0" t="n">
        <v>6</v>
      </c>
      <c r="Z2212" s="0" t="inlineStr">
        <is>
          <t>https://new.land.naver.com/complexes/109736?tab=detail&amp;rf=Y</t>
        </is>
      </c>
      <c r="AA2212" s="0" t="inlineStr">
        <is>
          <t>서울시 강동구 성내동 427-74</t>
        </is>
      </c>
      <c r="AB2212" s="0" t="inlineStr">
        <is>
          <t>서울시</t>
        </is>
      </c>
      <c r="AC2212" s="0" t="inlineStr">
        <is>
          <t>강동구</t>
        </is>
      </c>
      <c r="AD2212" s="0" t="inlineStr">
        <is>
          <t>성내동</t>
        </is>
      </c>
      <c r="AG2212" s="0" t="inlineStr">
        <is>
          <t>서울시 강동구 양재대로91길 23</t>
        </is>
      </c>
      <c r="AH2212" s="0" t="n">
        <v>0</v>
      </c>
      <c r="AI2212" s="0" t="n">
        <v>210</v>
      </c>
      <c r="AJ2212" s="0" t="n">
        <v>58</v>
      </c>
      <c r="AK2212" s="0" t="n">
        <v>8</v>
      </c>
      <c r="AL2212" s="0" t="n">
        <v>0.8</v>
      </c>
    </row>
    <row r="2213">
      <c r="A2213" s="0" t="inlineStr">
        <is>
          <t>[성내동]</t>
        </is>
      </c>
      <c r="B2213" s="0" t="n">
        <v>27032</v>
      </c>
      <c r="C2213" s="0" t="n">
        <v>1</v>
      </c>
      <c r="D2213" s="0" t="inlineStr">
        <is>
          <t>대은팰리스뷰</t>
        </is>
      </c>
      <c r="E2213" s="0" t="inlineStr">
        <is>
          <t>2006.04.</t>
        </is>
      </c>
      <c r="F2213" s="0" t="n">
        <v>12</v>
      </c>
      <c r="G2213" s="0" t="n">
        <v>19.5</v>
      </c>
      <c r="H2213" s="0" t="n">
        <v>64.48999999999999</v>
      </c>
      <c r="I2213" s="0" t="n">
        <v>17.05</v>
      </c>
      <c r="J2213" s="0" t="n">
        <v>56.38</v>
      </c>
      <c r="K2213" s="0" t="n">
        <v>1</v>
      </c>
      <c r="T2213" s="0" t="n">
        <v>3</v>
      </c>
      <c r="U2213" s="0" t="n">
        <v>1</v>
      </c>
      <c r="V2213" s="0" t="inlineStr">
        <is>
          <t>복도식</t>
        </is>
      </c>
      <c r="W2213" s="0" t="n">
        <v>64</v>
      </c>
      <c r="X2213" s="0" t="n">
        <v>6</v>
      </c>
      <c r="Y2213" s="0" t="n">
        <v>5</v>
      </c>
      <c r="Z2213" s="0" t="inlineStr">
        <is>
          <t>https://new.land.naver.com/complexes/27032?tab=detail&amp;rf=Y</t>
        </is>
      </c>
      <c r="AA2213" s="0" t="inlineStr">
        <is>
          <t>서울시 강동구 성내동 454-15</t>
        </is>
      </c>
      <c r="AB2213" s="0" t="inlineStr">
        <is>
          <t>서울시</t>
        </is>
      </c>
      <c r="AC2213" s="0" t="inlineStr">
        <is>
          <t>강동구</t>
        </is>
      </c>
      <c r="AD2213" s="0" t="inlineStr">
        <is>
          <t>성내동</t>
        </is>
      </c>
      <c r="AG2213" s="0" t="inlineStr">
        <is>
          <t>서울시 강동구 성내로6길 42-20</t>
        </is>
      </c>
      <c r="AH2213" s="0" t="n">
        <v>0</v>
      </c>
      <c r="AI2213" s="0" t="n">
        <v>199</v>
      </c>
      <c r="AJ2213" s="0" t="n">
        <v>44</v>
      </c>
      <c r="AK2213" s="0" t="n">
        <v>12</v>
      </c>
      <c r="AL2213" s="0" t="n">
        <v>1</v>
      </c>
    </row>
    <row r="2214">
      <c r="A2214" s="0" t="inlineStr">
        <is>
          <t>[성내동]</t>
        </is>
      </c>
      <c r="B2214" s="0" t="n">
        <v>27032</v>
      </c>
      <c r="C2214" s="0" t="n">
        <v>2</v>
      </c>
      <c r="D2214" s="0" t="inlineStr">
        <is>
          <t>대은팰리스뷰</t>
        </is>
      </c>
      <c r="E2214" s="0" t="inlineStr">
        <is>
          <t>2006.04.</t>
        </is>
      </c>
      <c r="F2214" s="0" t="n">
        <v>12</v>
      </c>
      <c r="G2214" s="0" t="n">
        <v>23.27</v>
      </c>
      <c r="H2214" s="0" t="n">
        <v>76.95</v>
      </c>
      <c r="I2214" s="0" t="n">
        <v>20.35</v>
      </c>
      <c r="J2214" s="0" t="n">
        <v>67.28</v>
      </c>
      <c r="K2214" s="0" t="n">
        <v>1</v>
      </c>
      <c r="T2214" s="0" t="n">
        <v>3</v>
      </c>
      <c r="U2214" s="0" t="n">
        <v>2</v>
      </c>
      <c r="V2214" s="0" t="inlineStr">
        <is>
          <t>계단식</t>
        </is>
      </c>
      <c r="W2214" s="0" t="n">
        <v>76</v>
      </c>
      <c r="X2214" s="0" t="n">
        <v>6</v>
      </c>
      <c r="Y2214" s="0" t="n">
        <v>5</v>
      </c>
      <c r="Z2214" s="0" t="inlineStr">
        <is>
          <t>https://new.land.naver.com/complexes/27032?tab=detail&amp;rf=Y</t>
        </is>
      </c>
      <c r="AA2214" s="0" t="inlineStr">
        <is>
          <t>서울시 강동구 성내동 454-15</t>
        </is>
      </c>
      <c r="AB2214" s="0" t="inlineStr">
        <is>
          <t>서울시</t>
        </is>
      </c>
      <c r="AC2214" s="0" t="inlineStr">
        <is>
          <t>강동구</t>
        </is>
      </c>
      <c r="AD2214" s="0" t="inlineStr">
        <is>
          <t>성내동</t>
        </is>
      </c>
      <c r="AG2214" s="0" t="inlineStr">
        <is>
          <t>서울시 강동구 성내로6길 42-20</t>
        </is>
      </c>
      <c r="AH2214" s="0" t="n">
        <v>0</v>
      </c>
      <c r="AI2214" s="0" t="n">
        <v>199</v>
      </c>
      <c r="AJ2214" s="0" t="n">
        <v>44</v>
      </c>
      <c r="AK2214" s="0" t="n">
        <v>12</v>
      </c>
      <c r="AL2214" s="0" t="n">
        <v>1</v>
      </c>
    </row>
    <row r="2215">
      <c r="A2215" s="0" t="inlineStr">
        <is>
          <t>[성내동]</t>
        </is>
      </c>
      <c r="B2215" s="0" t="n">
        <v>27032</v>
      </c>
      <c r="C2215" s="0" t="n">
        <v>3</v>
      </c>
      <c r="D2215" s="0" t="inlineStr">
        <is>
          <t>대은팰리스뷰</t>
        </is>
      </c>
      <c r="E2215" s="0" t="inlineStr">
        <is>
          <t>2006.04.</t>
        </is>
      </c>
      <c r="F2215" s="0" t="n">
        <v>12</v>
      </c>
      <c r="G2215" s="0" t="n">
        <v>25.32</v>
      </c>
      <c r="H2215" s="0" t="n">
        <v>83.72</v>
      </c>
      <c r="I2215" s="0" t="n">
        <v>22.13</v>
      </c>
      <c r="J2215" s="0" t="n">
        <v>73.19</v>
      </c>
      <c r="K2215" s="0" t="n">
        <v>4</v>
      </c>
      <c r="T2215" s="0" t="n">
        <v>3</v>
      </c>
      <c r="U2215" s="0" t="n">
        <v>2</v>
      </c>
      <c r="V2215" s="0" t="inlineStr">
        <is>
          <t>계단식</t>
        </is>
      </c>
      <c r="W2215" s="0" t="inlineStr">
        <is>
          <t>83A</t>
        </is>
      </c>
      <c r="X2215" s="0" t="n">
        <v>6</v>
      </c>
      <c r="Y2215" s="0" t="n">
        <v>5</v>
      </c>
      <c r="Z2215" s="0" t="inlineStr">
        <is>
          <t>https://new.land.naver.com/complexes/27032?tab=detail&amp;rf=Y</t>
        </is>
      </c>
      <c r="AA2215" s="0" t="inlineStr">
        <is>
          <t>서울시 강동구 성내동 454-15</t>
        </is>
      </c>
      <c r="AB2215" s="0" t="inlineStr">
        <is>
          <t>서울시</t>
        </is>
      </c>
      <c r="AC2215" s="0" t="inlineStr">
        <is>
          <t>강동구</t>
        </is>
      </c>
      <c r="AD2215" s="0" t="inlineStr">
        <is>
          <t>성내동</t>
        </is>
      </c>
      <c r="AG2215" s="0" t="inlineStr">
        <is>
          <t>서울시 강동구 성내로6길 42-20</t>
        </is>
      </c>
      <c r="AH2215" s="0" t="n">
        <v>0</v>
      </c>
      <c r="AI2215" s="0" t="n">
        <v>199</v>
      </c>
      <c r="AJ2215" s="0" t="n">
        <v>44</v>
      </c>
      <c r="AK2215" s="0" t="n">
        <v>12</v>
      </c>
      <c r="AL2215" s="0" t="n">
        <v>1</v>
      </c>
    </row>
    <row r="2216">
      <c r="A2216" s="0" t="inlineStr">
        <is>
          <t>[성내동]</t>
        </is>
      </c>
      <c r="B2216" s="0" t="n">
        <v>27032</v>
      </c>
      <c r="C2216" s="0" t="n">
        <v>4</v>
      </c>
      <c r="D2216" s="0" t="inlineStr">
        <is>
          <t>대은팰리스뷰</t>
        </is>
      </c>
      <c r="E2216" s="0" t="inlineStr">
        <is>
          <t>2006.04.</t>
        </is>
      </c>
      <c r="F2216" s="0" t="n">
        <v>12</v>
      </c>
      <c r="G2216" s="0" t="n">
        <v>25.32</v>
      </c>
      <c r="H2216" s="0" t="n">
        <v>83.73</v>
      </c>
      <c r="I2216" s="0" t="n">
        <v>22.14</v>
      </c>
      <c r="J2216" s="0" t="n">
        <v>73.2</v>
      </c>
      <c r="K2216" s="0" t="n">
        <v>4</v>
      </c>
      <c r="T2216" s="0" t="n">
        <v>3</v>
      </c>
      <c r="U2216" s="0" t="n">
        <v>2</v>
      </c>
      <c r="V2216" s="0" t="inlineStr">
        <is>
          <t>계단식</t>
        </is>
      </c>
      <c r="W2216" s="0" t="inlineStr">
        <is>
          <t>83B</t>
        </is>
      </c>
      <c r="X2216" s="0" t="n">
        <v>6</v>
      </c>
      <c r="Y2216" s="0" t="n">
        <v>5</v>
      </c>
      <c r="Z2216" s="0" t="inlineStr">
        <is>
          <t>https://new.land.naver.com/complexes/27032?tab=detail&amp;rf=Y</t>
        </is>
      </c>
      <c r="AA2216" s="0" t="inlineStr">
        <is>
          <t>서울시 강동구 성내동 454-15</t>
        </is>
      </c>
      <c r="AB2216" s="0" t="inlineStr">
        <is>
          <t>서울시</t>
        </is>
      </c>
      <c r="AC2216" s="0" t="inlineStr">
        <is>
          <t>강동구</t>
        </is>
      </c>
      <c r="AD2216" s="0" t="inlineStr">
        <is>
          <t>성내동</t>
        </is>
      </c>
      <c r="AG2216" s="0" t="inlineStr">
        <is>
          <t>서울시 강동구 성내로6길 42-20</t>
        </is>
      </c>
      <c r="AH2216" s="0" t="n">
        <v>0</v>
      </c>
      <c r="AI2216" s="0" t="n">
        <v>199</v>
      </c>
      <c r="AJ2216" s="0" t="n">
        <v>44</v>
      </c>
      <c r="AK2216" s="0" t="n">
        <v>12</v>
      </c>
      <c r="AL2216" s="0" t="n">
        <v>1</v>
      </c>
    </row>
    <row r="2217">
      <c r="A2217" s="0" t="inlineStr">
        <is>
          <t>[성내동]</t>
        </is>
      </c>
      <c r="B2217" s="0" t="n">
        <v>27032</v>
      </c>
      <c r="C2217" s="0" t="n">
        <v>5</v>
      </c>
      <c r="D2217" s="0" t="inlineStr">
        <is>
          <t>대은팰리스뷰</t>
        </is>
      </c>
      <c r="E2217" s="0" t="inlineStr">
        <is>
          <t>2006.04.</t>
        </is>
      </c>
      <c r="F2217" s="0" t="n">
        <v>12</v>
      </c>
      <c r="G2217" s="0" t="n">
        <v>25.46</v>
      </c>
      <c r="H2217" s="0" t="n">
        <v>84.17</v>
      </c>
      <c r="I2217" s="0" t="n">
        <v>22.25</v>
      </c>
      <c r="J2217" s="0" t="n">
        <v>73.58</v>
      </c>
      <c r="K2217" s="0" t="n">
        <v>2</v>
      </c>
      <c r="T2217" s="0" t="n">
        <v>3</v>
      </c>
      <c r="U2217" s="0" t="n">
        <v>2</v>
      </c>
      <c r="V2217" s="0" t="inlineStr">
        <is>
          <t>계단식</t>
        </is>
      </c>
      <c r="W2217" s="0" t="inlineStr">
        <is>
          <t>84C</t>
        </is>
      </c>
      <c r="X2217" s="0" t="n">
        <v>6</v>
      </c>
      <c r="Y2217" s="0" t="n">
        <v>5</v>
      </c>
      <c r="Z2217" s="0" t="inlineStr">
        <is>
          <t>https://new.land.naver.com/complexes/27032?tab=detail&amp;rf=Y</t>
        </is>
      </c>
      <c r="AA2217" s="0" t="inlineStr">
        <is>
          <t>서울시 강동구 성내동 454-15</t>
        </is>
      </c>
      <c r="AB2217" s="0" t="inlineStr">
        <is>
          <t>서울시</t>
        </is>
      </c>
      <c r="AC2217" s="0" t="inlineStr">
        <is>
          <t>강동구</t>
        </is>
      </c>
      <c r="AD2217" s="0" t="inlineStr">
        <is>
          <t>성내동</t>
        </is>
      </c>
      <c r="AG2217" s="0" t="inlineStr">
        <is>
          <t>서울시 강동구 성내로6길 42-20</t>
        </is>
      </c>
      <c r="AH2217" s="0" t="n">
        <v>0</v>
      </c>
      <c r="AI2217" s="0" t="n">
        <v>199</v>
      </c>
      <c r="AJ2217" s="0" t="n">
        <v>44</v>
      </c>
      <c r="AK2217" s="0" t="n">
        <v>12</v>
      </c>
      <c r="AL2217" s="0" t="n">
        <v>1</v>
      </c>
    </row>
    <row r="2218">
      <c r="A2218" s="0" t="inlineStr">
        <is>
          <t>[성내동]</t>
        </is>
      </c>
      <c r="B2218" s="0" t="n">
        <v>9053</v>
      </c>
      <c r="C2218" s="0" t="n">
        <v>1</v>
      </c>
      <c r="D2218" s="0" t="inlineStr">
        <is>
          <t>성내e-편한세상1차</t>
        </is>
      </c>
      <c r="E2218" s="0" t="inlineStr">
        <is>
          <t>2003.11.</t>
        </is>
      </c>
      <c r="F2218" s="0" t="n">
        <v>203</v>
      </c>
      <c r="G2218" s="0" t="n">
        <v>29.16</v>
      </c>
      <c r="H2218" s="0" t="n">
        <v>96.41</v>
      </c>
      <c r="I2218" s="0" t="n">
        <v>23.16</v>
      </c>
      <c r="J2218" s="0" t="n">
        <v>76.56999999999999</v>
      </c>
      <c r="K2218" s="0" t="n">
        <v>2</v>
      </c>
      <c r="T2218" s="0" t="n">
        <v>3</v>
      </c>
      <c r="U2218" s="0" t="n">
        <v>2</v>
      </c>
      <c r="V2218" s="0" t="inlineStr">
        <is>
          <t>계단식</t>
        </is>
      </c>
      <c r="W2218" s="0" t="n">
        <v>96</v>
      </c>
      <c r="X2218" s="0" t="n">
        <v>15</v>
      </c>
      <c r="Y2218" s="0" t="n">
        <v>9</v>
      </c>
      <c r="Z2218" s="0" t="inlineStr">
        <is>
          <t>https://new.land.naver.com/complexes/9053?tab=detail&amp;rf=Y</t>
        </is>
      </c>
      <c r="AA2218" s="0" t="inlineStr">
        <is>
          <t>서울시 강동구 성내동 598</t>
        </is>
      </c>
      <c r="AB2218" s="0" t="inlineStr">
        <is>
          <t>서울시</t>
        </is>
      </c>
      <c r="AC2218" s="0" t="inlineStr">
        <is>
          <t>강동구</t>
        </is>
      </c>
      <c r="AD2218" s="0" t="inlineStr">
        <is>
          <t>성내동</t>
        </is>
      </c>
      <c r="AG2218" s="0" t="inlineStr">
        <is>
          <t>서울시 강동구 천호대로168길 58</t>
        </is>
      </c>
      <c r="AH2218" s="0" t="n">
        <v>0</v>
      </c>
      <c r="AI2218" s="0" t="n">
        <v>225</v>
      </c>
      <c r="AJ2218" s="0" t="n">
        <v>21</v>
      </c>
      <c r="AK2218" s="0" t="n">
        <v>265</v>
      </c>
      <c r="AL2218" s="0" t="n">
        <v>1.31</v>
      </c>
    </row>
    <row r="2219">
      <c r="A2219" s="0" t="inlineStr">
        <is>
          <t>[성내동]</t>
        </is>
      </c>
      <c r="B2219" s="0" t="n">
        <v>9053</v>
      </c>
      <c r="C2219" s="0" t="n">
        <v>2</v>
      </c>
      <c r="D2219" s="0" t="inlineStr">
        <is>
          <t>성내e-편한세상1차</t>
        </is>
      </c>
      <c r="E2219" s="0" t="inlineStr">
        <is>
          <t>2003.11.</t>
        </is>
      </c>
      <c r="F2219" s="0" t="n">
        <v>203</v>
      </c>
      <c r="G2219" s="0" t="n">
        <v>31.68</v>
      </c>
      <c r="H2219" s="0" t="n">
        <v>104.76</v>
      </c>
      <c r="I2219" s="0" t="n">
        <v>25.55</v>
      </c>
      <c r="J2219" s="0" t="n">
        <v>84.48999999999999</v>
      </c>
      <c r="K2219" s="0" t="n">
        <v>72</v>
      </c>
      <c r="T2219" s="0" t="n">
        <v>3</v>
      </c>
      <c r="U2219" s="0" t="n">
        <v>2</v>
      </c>
      <c r="V2219" s="0" t="inlineStr">
        <is>
          <t>계단식</t>
        </is>
      </c>
      <c r="W2219" s="0" t="n">
        <v>104</v>
      </c>
      <c r="X2219" s="0" t="n">
        <v>15</v>
      </c>
      <c r="Y2219" s="0" t="n">
        <v>9</v>
      </c>
      <c r="Z2219" s="0" t="inlineStr">
        <is>
          <t>https://new.land.naver.com/complexes/9053?tab=detail&amp;rf=Y</t>
        </is>
      </c>
      <c r="AA2219" s="0" t="inlineStr">
        <is>
          <t>서울시 강동구 성내동 598</t>
        </is>
      </c>
      <c r="AB2219" s="0" t="inlineStr">
        <is>
          <t>서울시</t>
        </is>
      </c>
      <c r="AC2219" s="0" t="inlineStr">
        <is>
          <t>강동구</t>
        </is>
      </c>
      <c r="AD2219" s="0" t="inlineStr">
        <is>
          <t>성내동</t>
        </is>
      </c>
      <c r="AG2219" s="0" t="inlineStr">
        <is>
          <t>서울시 강동구 천호대로168길 58</t>
        </is>
      </c>
      <c r="AH2219" s="0" t="n">
        <v>0</v>
      </c>
      <c r="AI2219" s="0" t="n">
        <v>225</v>
      </c>
      <c r="AJ2219" s="0" t="n">
        <v>21</v>
      </c>
      <c r="AK2219" s="0" t="n">
        <v>265</v>
      </c>
      <c r="AL2219" s="0" t="n">
        <v>1.31</v>
      </c>
    </row>
    <row r="2220">
      <c r="A2220" s="0" t="inlineStr">
        <is>
          <t>[성내동]</t>
        </is>
      </c>
      <c r="B2220" s="0" t="n">
        <v>9053</v>
      </c>
      <c r="C2220" s="0" t="n">
        <v>3</v>
      </c>
      <c r="D2220" s="0" t="inlineStr">
        <is>
          <t>성내e-편한세상1차</t>
        </is>
      </c>
      <c r="E2220" s="0" t="inlineStr">
        <is>
          <t>2003.11.</t>
        </is>
      </c>
      <c r="F2220" s="0" t="n">
        <v>203</v>
      </c>
      <c r="G2220" s="0" t="n">
        <v>33.43</v>
      </c>
      <c r="H2220" s="0" t="n">
        <v>110.52</v>
      </c>
      <c r="I2220" s="0" t="n">
        <v>25.39</v>
      </c>
      <c r="J2220" s="0" t="n">
        <v>83.95</v>
      </c>
      <c r="K2220" s="0" t="n">
        <v>15</v>
      </c>
      <c r="T2220" s="0" t="n">
        <v>3</v>
      </c>
      <c r="U2220" s="0" t="n">
        <v>2</v>
      </c>
      <c r="V2220" s="0" t="inlineStr">
        <is>
          <t>계단식</t>
        </is>
      </c>
      <c r="W2220" s="0" t="inlineStr">
        <is>
          <t>110B</t>
        </is>
      </c>
      <c r="X2220" s="0" t="n">
        <v>15</v>
      </c>
      <c r="Y2220" s="0" t="n">
        <v>9</v>
      </c>
      <c r="Z2220" s="0" t="inlineStr">
        <is>
          <t>https://new.land.naver.com/complexes/9053?tab=detail&amp;rf=Y</t>
        </is>
      </c>
      <c r="AA2220" s="0" t="inlineStr">
        <is>
          <t>서울시 강동구 성내동 598</t>
        </is>
      </c>
      <c r="AB2220" s="0" t="inlineStr">
        <is>
          <t>서울시</t>
        </is>
      </c>
      <c r="AC2220" s="0" t="inlineStr">
        <is>
          <t>강동구</t>
        </is>
      </c>
      <c r="AD2220" s="0" t="inlineStr">
        <is>
          <t>성내동</t>
        </is>
      </c>
      <c r="AG2220" s="0" t="inlineStr">
        <is>
          <t>서울시 강동구 천호대로168길 58</t>
        </is>
      </c>
      <c r="AH2220" s="0" t="n">
        <v>0</v>
      </c>
      <c r="AI2220" s="0" t="n">
        <v>225</v>
      </c>
      <c r="AJ2220" s="0" t="n">
        <v>21</v>
      </c>
      <c r="AK2220" s="0" t="n">
        <v>265</v>
      </c>
      <c r="AL2220" s="0" t="n">
        <v>1.31</v>
      </c>
    </row>
    <row r="2221">
      <c r="A2221" s="0" t="inlineStr">
        <is>
          <t>[성내동]</t>
        </is>
      </c>
      <c r="B2221" s="0" t="n">
        <v>9053</v>
      </c>
      <c r="C2221" s="0" t="n">
        <v>4</v>
      </c>
      <c r="D2221" s="0" t="inlineStr">
        <is>
          <t>성내e-편한세상1차</t>
        </is>
      </c>
      <c r="E2221" s="0" t="inlineStr">
        <is>
          <t>2003.11.</t>
        </is>
      </c>
      <c r="F2221" s="0" t="n">
        <v>203</v>
      </c>
      <c r="G2221" s="0" t="n">
        <v>34.61</v>
      </c>
      <c r="H2221" s="0" t="n">
        <v>114.42</v>
      </c>
      <c r="I2221" s="0" t="n">
        <v>25.52</v>
      </c>
      <c r="J2221" s="0" t="n">
        <v>84.38</v>
      </c>
      <c r="K2221" s="0" t="n">
        <v>29</v>
      </c>
      <c r="T2221" s="0" t="n">
        <v>3</v>
      </c>
      <c r="U2221" s="0" t="n">
        <v>2</v>
      </c>
      <c r="V2221" s="0" t="inlineStr">
        <is>
          <t>계단식</t>
        </is>
      </c>
      <c r="W2221" s="0" t="inlineStr">
        <is>
          <t>114A</t>
        </is>
      </c>
      <c r="X2221" s="0" t="n">
        <v>15</v>
      </c>
      <c r="Y2221" s="0" t="n">
        <v>9</v>
      </c>
      <c r="Z2221" s="0" t="inlineStr">
        <is>
          <t>https://new.land.naver.com/complexes/9053?tab=detail&amp;rf=Y</t>
        </is>
      </c>
      <c r="AA2221" s="0" t="inlineStr">
        <is>
          <t>서울시 강동구 성내동 598</t>
        </is>
      </c>
      <c r="AB2221" s="0" t="inlineStr">
        <is>
          <t>서울시</t>
        </is>
      </c>
      <c r="AC2221" s="0" t="inlineStr">
        <is>
          <t>강동구</t>
        </is>
      </c>
      <c r="AD2221" s="0" t="inlineStr">
        <is>
          <t>성내동</t>
        </is>
      </c>
      <c r="AG2221" s="0" t="inlineStr">
        <is>
          <t>서울시 강동구 천호대로168길 58</t>
        </is>
      </c>
      <c r="AH2221" s="0" t="n">
        <v>0</v>
      </c>
      <c r="AI2221" s="0" t="n">
        <v>225</v>
      </c>
      <c r="AJ2221" s="0" t="n">
        <v>21</v>
      </c>
      <c r="AK2221" s="0" t="n">
        <v>265</v>
      </c>
      <c r="AL2221" s="0" t="n">
        <v>1.31</v>
      </c>
    </row>
    <row r="2222">
      <c r="A2222" s="0" t="inlineStr">
        <is>
          <t>[성내동]</t>
        </is>
      </c>
      <c r="B2222" s="0" t="n">
        <v>9053</v>
      </c>
      <c r="C2222" s="0" t="n">
        <v>5</v>
      </c>
      <c r="D2222" s="0" t="inlineStr">
        <is>
          <t>성내e-편한세상1차</t>
        </is>
      </c>
      <c r="E2222" s="0" t="inlineStr">
        <is>
          <t>2003.11.</t>
        </is>
      </c>
      <c r="F2222" s="0" t="n">
        <v>203</v>
      </c>
      <c r="G2222" s="0" t="n">
        <v>34.76</v>
      </c>
      <c r="H2222" s="0" t="n">
        <v>114.93</v>
      </c>
      <c r="I2222" s="0" t="n">
        <v>29.04</v>
      </c>
      <c r="J2222" s="0" t="n">
        <v>96.01000000000001</v>
      </c>
      <c r="K2222" s="0" t="n">
        <v>2</v>
      </c>
      <c r="T2222" s="0" t="n">
        <v>3</v>
      </c>
      <c r="U2222" s="0" t="n">
        <v>2</v>
      </c>
      <c r="V2222" s="0" t="inlineStr">
        <is>
          <t>계단식</t>
        </is>
      </c>
      <c r="W2222" s="0" t="inlineStr">
        <is>
          <t>114B</t>
        </is>
      </c>
      <c r="X2222" s="0" t="n">
        <v>15</v>
      </c>
      <c r="Y2222" s="0" t="n">
        <v>9</v>
      </c>
      <c r="Z2222" s="0" t="inlineStr">
        <is>
          <t>https://new.land.naver.com/complexes/9053?tab=detail&amp;rf=Y</t>
        </is>
      </c>
      <c r="AA2222" s="0" t="inlineStr">
        <is>
          <t>서울시 강동구 성내동 598</t>
        </is>
      </c>
      <c r="AB2222" s="0" t="inlineStr">
        <is>
          <t>서울시</t>
        </is>
      </c>
      <c r="AC2222" s="0" t="inlineStr">
        <is>
          <t>강동구</t>
        </is>
      </c>
      <c r="AD2222" s="0" t="inlineStr">
        <is>
          <t>성내동</t>
        </is>
      </c>
      <c r="AG2222" s="0" t="inlineStr">
        <is>
          <t>서울시 강동구 천호대로168길 58</t>
        </is>
      </c>
      <c r="AH2222" s="0" t="n">
        <v>0</v>
      </c>
      <c r="AI2222" s="0" t="n">
        <v>225</v>
      </c>
      <c r="AJ2222" s="0" t="n">
        <v>21</v>
      </c>
      <c r="AK2222" s="0" t="n">
        <v>265</v>
      </c>
      <c r="AL2222" s="0" t="n">
        <v>1.31</v>
      </c>
    </row>
    <row r="2223">
      <c r="A2223" s="0" t="inlineStr">
        <is>
          <t>[성내동]</t>
        </is>
      </c>
      <c r="B2223" s="0" t="n">
        <v>9053</v>
      </c>
      <c r="C2223" s="0" t="n">
        <v>6</v>
      </c>
      <c r="D2223" s="0" t="inlineStr">
        <is>
          <t>성내e-편한세상1차</t>
        </is>
      </c>
      <c r="E2223" s="0" t="inlineStr">
        <is>
          <t>2003.11.</t>
        </is>
      </c>
      <c r="F2223" s="0" t="n">
        <v>203</v>
      </c>
      <c r="G2223" s="0" t="n">
        <v>40.29</v>
      </c>
      <c r="H2223" s="0" t="n">
        <v>133.2</v>
      </c>
      <c r="I2223" s="0" t="n">
        <v>33.08</v>
      </c>
      <c r="J2223" s="0" t="n">
        <v>109.37</v>
      </c>
      <c r="K2223" s="0" t="n">
        <v>1</v>
      </c>
      <c r="T2223" s="0" t="n">
        <v>4</v>
      </c>
      <c r="U2223" s="0" t="n">
        <v>2</v>
      </c>
      <c r="V2223" s="0" t="inlineStr">
        <is>
          <t>계단식</t>
        </is>
      </c>
      <c r="W2223" s="0" t="n">
        <v>133</v>
      </c>
      <c r="X2223" s="0" t="n">
        <v>15</v>
      </c>
      <c r="Y2223" s="0" t="n">
        <v>9</v>
      </c>
      <c r="Z2223" s="0" t="inlineStr">
        <is>
          <t>https://new.land.naver.com/complexes/9053?tab=detail&amp;rf=Y</t>
        </is>
      </c>
      <c r="AA2223" s="0" t="inlineStr">
        <is>
          <t>서울시 강동구 성내동 598</t>
        </is>
      </c>
      <c r="AB2223" s="0" t="inlineStr">
        <is>
          <t>서울시</t>
        </is>
      </c>
      <c r="AC2223" s="0" t="inlineStr">
        <is>
          <t>강동구</t>
        </is>
      </c>
      <c r="AD2223" s="0" t="inlineStr">
        <is>
          <t>성내동</t>
        </is>
      </c>
      <c r="AG2223" s="0" t="inlineStr">
        <is>
          <t>서울시 강동구 천호대로168길 58</t>
        </is>
      </c>
      <c r="AH2223" s="0" t="n">
        <v>0</v>
      </c>
      <c r="AI2223" s="0" t="n">
        <v>225</v>
      </c>
      <c r="AJ2223" s="0" t="n">
        <v>21</v>
      </c>
      <c r="AK2223" s="0" t="n">
        <v>265</v>
      </c>
      <c r="AL2223" s="0" t="n">
        <v>1.31</v>
      </c>
    </row>
    <row r="2224">
      <c r="A2224" s="0" t="inlineStr">
        <is>
          <t>[성내동]</t>
        </is>
      </c>
      <c r="B2224" s="0" t="n">
        <v>9053</v>
      </c>
      <c r="C2224" s="0" t="n">
        <v>7</v>
      </c>
      <c r="D2224" s="0" t="inlineStr">
        <is>
          <t>성내e-편한세상1차</t>
        </is>
      </c>
      <c r="E2224" s="0" t="inlineStr">
        <is>
          <t>2003.11.</t>
        </is>
      </c>
      <c r="F2224" s="0" t="n">
        <v>203</v>
      </c>
      <c r="G2224" s="0" t="n">
        <v>43.02</v>
      </c>
      <c r="H2224" s="0" t="n">
        <v>142.24</v>
      </c>
      <c r="I2224" s="0" t="n">
        <v>25.46</v>
      </c>
      <c r="J2224" s="0" t="n">
        <v>84.18000000000001</v>
      </c>
      <c r="K2224" s="0" t="n">
        <v>35</v>
      </c>
      <c r="T2224" s="0" t="n">
        <v>3</v>
      </c>
      <c r="U2224" s="0" t="n">
        <v>2</v>
      </c>
      <c r="V2224" s="0" t="inlineStr">
        <is>
          <t>계단식</t>
        </is>
      </c>
      <c r="W2224" s="0" t="inlineStr">
        <is>
          <t>142A</t>
        </is>
      </c>
      <c r="X2224" s="0" t="n">
        <v>15</v>
      </c>
      <c r="Y2224" s="0" t="n">
        <v>9</v>
      </c>
      <c r="Z2224" s="0" t="inlineStr">
        <is>
          <t>https://new.land.naver.com/complexes/9053?tab=detail&amp;rf=Y</t>
        </is>
      </c>
      <c r="AA2224" s="0" t="inlineStr">
        <is>
          <t>서울시 강동구 성내동 598</t>
        </is>
      </c>
      <c r="AB2224" s="0" t="inlineStr">
        <is>
          <t>서울시</t>
        </is>
      </c>
      <c r="AC2224" s="0" t="inlineStr">
        <is>
          <t>강동구</t>
        </is>
      </c>
      <c r="AD2224" s="0" t="inlineStr">
        <is>
          <t>성내동</t>
        </is>
      </c>
      <c r="AG2224" s="0" t="inlineStr">
        <is>
          <t>서울시 강동구 천호대로168길 58</t>
        </is>
      </c>
      <c r="AH2224" s="0" t="n">
        <v>0</v>
      </c>
      <c r="AI2224" s="0" t="n">
        <v>225</v>
      </c>
      <c r="AJ2224" s="0" t="n">
        <v>21</v>
      </c>
      <c r="AK2224" s="0" t="n">
        <v>265</v>
      </c>
      <c r="AL2224" s="0" t="n">
        <v>1.31</v>
      </c>
    </row>
    <row r="2225">
      <c r="A2225" s="0" t="inlineStr">
        <is>
          <t>[성내동]</t>
        </is>
      </c>
      <c r="B2225" s="0" t="n">
        <v>9053</v>
      </c>
      <c r="C2225" s="0" t="n">
        <v>8</v>
      </c>
      <c r="D2225" s="0" t="inlineStr">
        <is>
          <t>성내e-편한세상1차</t>
        </is>
      </c>
      <c r="E2225" s="0" t="inlineStr">
        <is>
          <t>2003.11.</t>
        </is>
      </c>
      <c r="F2225" s="0" t="n">
        <v>203</v>
      </c>
      <c r="G2225" s="0" t="n">
        <v>43.74</v>
      </c>
      <c r="H2225" s="0" t="n">
        <v>144.61</v>
      </c>
      <c r="I2225" s="0" t="n">
        <v>36.43</v>
      </c>
      <c r="J2225" s="0" t="n">
        <v>120.46</v>
      </c>
      <c r="K2225" s="0" t="n">
        <v>47</v>
      </c>
      <c r="T2225" s="0" t="n">
        <v>4</v>
      </c>
      <c r="U2225" s="0" t="n">
        <v>2</v>
      </c>
      <c r="V2225" s="0" t="inlineStr">
        <is>
          <t>계단식</t>
        </is>
      </c>
      <c r="W2225" s="0" t="n">
        <v>144</v>
      </c>
      <c r="X2225" s="0" t="n">
        <v>15</v>
      </c>
      <c r="Y2225" s="0" t="n">
        <v>9</v>
      </c>
      <c r="Z2225" s="0" t="inlineStr">
        <is>
          <t>https://new.land.naver.com/complexes/9053?tab=detail&amp;rf=Y</t>
        </is>
      </c>
      <c r="AA2225" s="0" t="inlineStr">
        <is>
          <t>서울시 강동구 성내동 598</t>
        </is>
      </c>
      <c r="AB2225" s="0" t="inlineStr">
        <is>
          <t>서울시</t>
        </is>
      </c>
      <c r="AC2225" s="0" t="inlineStr">
        <is>
          <t>강동구</t>
        </is>
      </c>
      <c r="AD2225" s="0" t="inlineStr">
        <is>
          <t>성내동</t>
        </is>
      </c>
      <c r="AG2225" s="0" t="inlineStr">
        <is>
          <t>서울시 강동구 천호대로168길 58</t>
        </is>
      </c>
      <c r="AH2225" s="0" t="n">
        <v>0</v>
      </c>
      <c r="AI2225" s="0" t="n">
        <v>225</v>
      </c>
      <c r="AJ2225" s="0" t="n">
        <v>21</v>
      </c>
      <c r="AK2225" s="0" t="n">
        <v>265</v>
      </c>
      <c r="AL2225" s="0" t="n">
        <v>1.31</v>
      </c>
    </row>
    <row r="2226">
      <c r="A2226" s="0" t="inlineStr">
        <is>
          <t>[성내동]</t>
        </is>
      </c>
      <c r="B2226" s="0" t="n">
        <v>17479</v>
      </c>
      <c r="C2226" s="0" t="n">
        <v>1</v>
      </c>
      <c r="D2226" s="0" t="inlineStr">
        <is>
          <t>현대코랄</t>
        </is>
      </c>
      <c r="E2226" s="0" t="inlineStr">
        <is>
          <t>1999.04.</t>
        </is>
      </c>
      <c r="F2226" s="0" t="n">
        <v>19</v>
      </c>
      <c r="G2226" s="0" t="n">
        <v>82.95</v>
      </c>
      <c r="H2226" s="0" t="n">
        <v>274.23</v>
      </c>
      <c r="I2226" s="0" t="n">
        <v>68.54000000000001</v>
      </c>
      <c r="J2226" s="0" t="n">
        <v>226.61</v>
      </c>
      <c r="K2226" s="0" t="n">
        <v>8</v>
      </c>
      <c r="T2226" s="0" t="n">
        <v>5</v>
      </c>
      <c r="U2226" s="0" t="n">
        <v>2</v>
      </c>
      <c r="V2226" s="0" t="inlineStr">
        <is>
          <t>계단식</t>
        </is>
      </c>
      <c r="W2226" s="0" t="inlineStr">
        <is>
          <t>274A</t>
        </is>
      </c>
      <c r="X2226" s="0" t="n">
        <v>14</v>
      </c>
      <c r="Y2226" s="0" t="n">
        <v>11</v>
      </c>
      <c r="Z2226" s="0" t="inlineStr">
        <is>
          <t>https://new.land.naver.com/complexes/17479?tab=detail&amp;rf=Y</t>
        </is>
      </c>
      <c r="AA2226" s="0" t="inlineStr">
        <is>
          <t>서울시 강동구 성내동 468-6</t>
        </is>
      </c>
      <c r="AB2226" s="0" t="inlineStr">
        <is>
          <t>서울시</t>
        </is>
      </c>
      <c r="AC2226" s="0" t="inlineStr">
        <is>
          <t>강동구</t>
        </is>
      </c>
      <c r="AD2226" s="0" t="inlineStr">
        <is>
          <t>성내동</t>
        </is>
      </c>
      <c r="AG2226" s="0" t="inlineStr">
        <is>
          <t>서울시 강동구 강동대로 177</t>
        </is>
      </c>
      <c r="AH2226" s="0" t="n">
        <v>0</v>
      </c>
      <c r="AI2226" s="0" t="n">
        <v>397</v>
      </c>
      <c r="AJ2226" s="0" t="n">
        <v>51</v>
      </c>
      <c r="AK2226" s="0" t="n">
        <v>35</v>
      </c>
      <c r="AL2226" s="0" t="n">
        <v>1.84</v>
      </c>
    </row>
    <row r="2227">
      <c r="A2227" s="0" t="inlineStr">
        <is>
          <t>[성내동]</t>
        </is>
      </c>
      <c r="B2227" s="0" t="n">
        <v>17479</v>
      </c>
      <c r="C2227" s="0" t="n">
        <v>2</v>
      </c>
      <c r="D2227" s="0" t="inlineStr">
        <is>
          <t>현대코랄</t>
        </is>
      </c>
      <c r="E2227" s="0" t="inlineStr">
        <is>
          <t>1999.04.</t>
        </is>
      </c>
      <c r="F2227" s="0" t="n">
        <v>19</v>
      </c>
      <c r="G2227" s="0" t="n">
        <v>83.06999999999999</v>
      </c>
      <c r="H2227" s="0" t="n">
        <v>274.64</v>
      </c>
      <c r="I2227" s="0" t="n">
        <v>68.55</v>
      </c>
      <c r="J2227" s="0" t="n">
        <v>226.62</v>
      </c>
      <c r="K2227" s="0" t="n">
        <v>8</v>
      </c>
      <c r="T2227" s="0" t="n">
        <v>5</v>
      </c>
      <c r="U2227" s="0" t="n">
        <v>3</v>
      </c>
      <c r="V2227" s="0" t="inlineStr">
        <is>
          <t>계단식</t>
        </is>
      </c>
      <c r="W2227" s="0" t="inlineStr">
        <is>
          <t>274B</t>
        </is>
      </c>
      <c r="X2227" s="0" t="n">
        <v>14</v>
      </c>
      <c r="Y2227" s="0" t="n">
        <v>11</v>
      </c>
      <c r="Z2227" s="0" t="inlineStr">
        <is>
          <t>https://new.land.naver.com/complexes/17479?tab=detail&amp;rf=Y</t>
        </is>
      </c>
      <c r="AA2227" s="0" t="inlineStr">
        <is>
          <t>서울시 강동구 성내동 468-6</t>
        </is>
      </c>
      <c r="AB2227" s="0" t="inlineStr">
        <is>
          <t>서울시</t>
        </is>
      </c>
      <c r="AC2227" s="0" t="inlineStr">
        <is>
          <t>강동구</t>
        </is>
      </c>
      <c r="AD2227" s="0" t="inlineStr">
        <is>
          <t>성내동</t>
        </is>
      </c>
      <c r="AG2227" s="0" t="inlineStr">
        <is>
          <t>서울시 강동구 강동대로 177</t>
        </is>
      </c>
      <c r="AH2227" s="0" t="n">
        <v>0</v>
      </c>
      <c r="AI2227" s="0" t="n">
        <v>397</v>
      </c>
      <c r="AJ2227" s="0" t="n">
        <v>51</v>
      </c>
      <c r="AK2227" s="0" t="n">
        <v>35</v>
      </c>
      <c r="AL2227" s="0" t="n">
        <v>1.84</v>
      </c>
    </row>
    <row r="2228">
      <c r="A2228" s="0" t="inlineStr">
        <is>
          <t>[성내동]</t>
        </is>
      </c>
      <c r="B2228" s="0" t="n">
        <v>17479</v>
      </c>
      <c r="C2228" s="0" t="n">
        <v>3</v>
      </c>
      <c r="D2228" s="0" t="inlineStr">
        <is>
          <t>현대코랄</t>
        </is>
      </c>
      <c r="E2228" s="0" t="inlineStr">
        <is>
          <t>1999.04.</t>
        </is>
      </c>
      <c r="F2228" s="0" t="n">
        <v>19</v>
      </c>
      <c r="G2228" s="0" t="n">
        <v>83.23999999999999</v>
      </c>
      <c r="H2228" s="0" t="n">
        <v>275.19</v>
      </c>
      <c r="I2228" s="0" t="n">
        <v>68.78</v>
      </c>
      <c r="J2228" s="0" t="n">
        <v>227.39</v>
      </c>
      <c r="K2228" s="0" t="n">
        <v>3</v>
      </c>
      <c r="T2228" s="0" t="n">
        <v>5</v>
      </c>
      <c r="U2228" s="0" t="n">
        <v>3</v>
      </c>
      <c r="V2228" s="0" t="inlineStr">
        <is>
          <t>계단식</t>
        </is>
      </c>
      <c r="W2228" s="0" t="inlineStr">
        <is>
          <t>275C</t>
        </is>
      </c>
      <c r="X2228" s="0" t="n">
        <v>14</v>
      </c>
      <c r="Y2228" s="0" t="n">
        <v>11</v>
      </c>
      <c r="Z2228" s="0" t="inlineStr">
        <is>
          <t>https://new.land.naver.com/complexes/17479?tab=detail&amp;rf=Y</t>
        </is>
      </c>
      <c r="AA2228" s="0" t="inlineStr">
        <is>
          <t>서울시 강동구 성내동 468-6</t>
        </is>
      </c>
      <c r="AB2228" s="0" t="inlineStr">
        <is>
          <t>서울시</t>
        </is>
      </c>
      <c r="AC2228" s="0" t="inlineStr">
        <is>
          <t>강동구</t>
        </is>
      </c>
      <c r="AD2228" s="0" t="inlineStr">
        <is>
          <t>성내동</t>
        </is>
      </c>
      <c r="AG2228" s="0" t="inlineStr">
        <is>
          <t>서울시 강동구 강동대로 177</t>
        </is>
      </c>
      <c r="AH2228" s="0" t="n">
        <v>0</v>
      </c>
      <c r="AI2228" s="0" t="n">
        <v>397</v>
      </c>
      <c r="AJ2228" s="0" t="n">
        <v>51</v>
      </c>
      <c r="AK2228" s="0" t="n">
        <v>35</v>
      </c>
      <c r="AL2228" s="0" t="n">
        <v>1.84</v>
      </c>
    </row>
    <row r="2229">
      <c r="A2229" s="0" t="inlineStr">
        <is>
          <t>[성내동]</t>
        </is>
      </c>
      <c r="B2229" s="0" t="n">
        <v>27035</v>
      </c>
      <c r="C2229" s="0" t="n">
        <v>1</v>
      </c>
      <c r="D2229" s="0" t="inlineStr">
        <is>
          <t>성내아우라2</t>
        </is>
      </c>
      <c r="E2229" s="0" t="inlineStr">
        <is>
          <t>2008.01.</t>
        </is>
      </c>
      <c r="F2229" s="0" t="n">
        <v>14</v>
      </c>
      <c r="G2229" s="0" t="n">
        <v>27.95</v>
      </c>
      <c r="H2229" s="0" t="n">
        <v>92.41</v>
      </c>
      <c r="I2229" s="0" t="n">
        <v>24.78</v>
      </c>
      <c r="J2229" s="0" t="n">
        <v>81.93000000000001</v>
      </c>
      <c r="K2229" s="0" t="n">
        <v>2</v>
      </c>
      <c r="T2229" s="0" t="n">
        <v>3</v>
      </c>
      <c r="U2229" s="0" t="n">
        <v>2</v>
      </c>
      <c r="V2229" s="0" t="inlineStr">
        <is>
          <t>복도식</t>
        </is>
      </c>
      <c r="W2229" s="0" t="n">
        <v>92</v>
      </c>
      <c r="X2229" s="0" t="n">
        <v>8</v>
      </c>
      <c r="Y2229" s="0" t="n">
        <v>8</v>
      </c>
      <c r="Z2229" s="0" t="inlineStr">
        <is>
          <t>https://new.land.naver.com/complexes/27035?tab=detail&amp;rf=Y</t>
        </is>
      </c>
      <c r="AA2229" s="0" t="inlineStr">
        <is>
          <t>서울시 강동구 성내동 419-46</t>
        </is>
      </c>
      <c r="AB2229" s="0" t="inlineStr">
        <is>
          <t>서울시</t>
        </is>
      </c>
      <c r="AC2229" s="0" t="inlineStr">
        <is>
          <t>강동구</t>
        </is>
      </c>
      <c r="AD2229" s="0" t="inlineStr">
        <is>
          <t>성내동</t>
        </is>
      </c>
      <c r="AG2229" s="0" t="inlineStr">
        <is>
          <t>서울시 강동구 풍성로54길 12-21</t>
        </is>
      </c>
      <c r="AH2229" s="0" t="n">
        <v>0</v>
      </c>
      <c r="AI2229" s="0" t="n">
        <v>248</v>
      </c>
      <c r="AJ2229" s="0" t="n">
        <v>44</v>
      </c>
      <c r="AK2229" s="0" t="n">
        <v>16</v>
      </c>
      <c r="AL2229" s="0" t="n">
        <v>1.14</v>
      </c>
    </row>
    <row r="2230">
      <c r="A2230" s="0" t="inlineStr">
        <is>
          <t>[성내동]</t>
        </is>
      </c>
      <c r="B2230" s="0" t="n">
        <v>27035</v>
      </c>
      <c r="C2230" s="0" t="n">
        <v>2</v>
      </c>
      <c r="D2230" s="0" t="inlineStr">
        <is>
          <t>성내아우라2</t>
        </is>
      </c>
      <c r="E2230" s="0" t="inlineStr">
        <is>
          <t>2008.01.</t>
        </is>
      </c>
      <c r="F2230" s="0" t="n">
        <v>14</v>
      </c>
      <c r="G2230" s="0" t="n">
        <v>28.95</v>
      </c>
      <c r="H2230" s="0" t="n">
        <v>95.72</v>
      </c>
      <c r="I2230" s="0" t="n">
        <v>25.66</v>
      </c>
      <c r="J2230" s="0" t="n">
        <v>84.84</v>
      </c>
      <c r="K2230" s="0" t="n">
        <v>12</v>
      </c>
      <c r="T2230" s="0" t="n">
        <v>3</v>
      </c>
      <c r="U2230" s="0" t="n">
        <v>2</v>
      </c>
      <c r="V2230" s="0" t="inlineStr">
        <is>
          <t>복도식</t>
        </is>
      </c>
      <c r="W2230" s="0" t="n">
        <v>95</v>
      </c>
      <c r="X2230" s="0" t="n">
        <v>8</v>
      </c>
      <c r="Y2230" s="0" t="n">
        <v>8</v>
      </c>
      <c r="Z2230" s="0" t="inlineStr">
        <is>
          <t>https://new.land.naver.com/complexes/27035?tab=detail&amp;rf=Y</t>
        </is>
      </c>
      <c r="AA2230" s="0" t="inlineStr">
        <is>
          <t>서울시 강동구 성내동 419-46</t>
        </is>
      </c>
      <c r="AB2230" s="0" t="inlineStr">
        <is>
          <t>서울시</t>
        </is>
      </c>
      <c r="AC2230" s="0" t="inlineStr">
        <is>
          <t>강동구</t>
        </is>
      </c>
      <c r="AD2230" s="0" t="inlineStr">
        <is>
          <t>성내동</t>
        </is>
      </c>
      <c r="AG2230" s="0" t="inlineStr">
        <is>
          <t>서울시 강동구 풍성로54길 12-21</t>
        </is>
      </c>
      <c r="AH2230" s="0" t="n">
        <v>0</v>
      </c>
      <c r="AI2230" s="0" t="n">
        <v>248</v>
      </c>
      <c r="AJ2230" s="0" t="n">
        <v>44</v>
      </c>
      <c r="AK2230" s="0" t="n">
        <v>16</v>
      </c>
      <c r="AL2230" s="0" t="n">
        <v>1.14</v>
      </c>
    </row>
    <row r="2231">
      <c r="A2231" s="0" t="inlineStr">
        <is>
          <t>[성내동]</t>
        </is>
      </c>
      <c r="B2231" s="0" t="n">
        <v>13038</v>
      </c>
      <c r="C2231" s="0" t="n">
        <v>1</v>
      </c>
      <c r="D2231" s="0" t="inlineStr">
        <is>
          <t>하나플러스</t>
        </is>
      </c>
      <c r="E2231" s="0" t="inlineStr">
        <is>
          <t>2003.07.</t>
        </is>
      </c>
      <c r="F2231" s="0" t="n">
        <v>36</v>
      </c>
      <c r="G2231" s="0" t="n">
        <v>18.78</v>
      </c>
      <c r="H2231" s="0" t="n">
        <v>62.09</v>
      </c>
      <c r="I2231" s="0" t="n">
        <v>14.01</v>
      </c>
      <c r="J2231" s="0" t="n">
        <v>46.33</v>
      </c>
      <c r="K2231" s="0" t="n">
        <v>9</v>
      </c>
      <c r="T2231" s="0" t="n">
        <v>2</v>
      </c>
      <c r="U2231" s="0" t="n">
        <v>1</v>
      </c>
      <c r="V2231" s="0" t="inlineStr">
        <is>
          <t>계단식</t>
        </is>
      </c>
      <c r="W2231" s="0" t="n">
        <v>62</v>
      </c>
      <c r="X2231" s="0" t="n">
        <v>10</v>
      </c>
      <c r="Y2231" s="0" t="n">
        <v>10</v>
      </c>
      <c r="Z2231" s="0" t="inlineStr">
        <is>
          <t>https://new.land.naver.com/complexes/13038?tab=detail&amp;rf=Y</t>
        </is>
      </c>
      <c r="AA2231" s="0" t="inlineStr">
        <is>
          <t>서울시 강동구 성내동 448-14</t>
        </is>
      </c>
      <c r="AB2231" s="0" t="inlineStr">
        <is>
          <t>서울시</t>
        </is>
      </c>
      <c r="AC2231" s="0" t="inlineStr">
        <is>
          <t>강동구</t>
        </is>
      </c>
      <c r="AD2231" s="0" t="inlineStr">
        <is>
          <t>성내동</t>
        </is>
      </c>
      <c r="AG2231" s="0" t="inlineStr">
        <is>
          <t>서울시 강동구 강동대로51길 12</t>
        </is>
      </c>
      <c r="AH2231" s="0" t="n">
        <v>0</v>
      </c>
      <c r="AI2231" s="0" t="n">
        <v>265</v>
      </c>
      <c r="AJ2231" s="0" t="n">
        <v>30</v>
      </c>
      <c r="AK2231" s="0" t="n">
        <v>28</v>
      </c>
      <c r="AL2231" s="0" t="n">
        <v>0.78</v>
      </c>
    </row>
    <row r="2232">
      <c r="A2232" s="0" t="inlineStr">
        <is>
          <t>[성내동]</t>
        </is>
      </c>
      <c r="B2232" s="0" t="n">
        <v>13038</v>
      </c>
      <c r="C2232" s="0" t="n">
        <v>2</v>
      </c>
      <c r="D2232" s="0" t="inlineStr">
        <is>
          <t>하나플러스</t>
        </is>
      </c>
      <c r="E2232" s="0" t="inlineStr">
        <is>
          <t>2003.07.</t>
        </is>
      </c>
      <c r="F2232" s="0" t="n">
        <v>36</v>
      </c>
      <c r="G2232" s="0" t="n">
        <v>24.11</v>
      </c>
      <c r="H2232" s="0" t="n">
        <v>79.72</v>
      </c>
      <c r="I2232" s="0" t="n">
        <v>18.1</v>
      </c>
      <c r="J2232" s="0" t="n">
        <v>59.86</v>
      </c>
      <c r="K2232" s="0" t="n">
        <v>24</v>
      </c>
      <c r="T2232" s="0" t="n">
        <v>3</v>
      </c>
      <c r="U2232" s="0" t="n">
        <v>2</v>
      </c>
      <c r="V2232" s="0" t="inlineStr">
        <is>
          <t>계단식</t>
        </is>
      </c>
      <c r="W2232" s="0" t="n">
        <v>79</v>
      </c>
      <c r="X2232" s="0" t="n">
        <v>10</v>
      </c>
      <c r="Y2232" s="0" t="n">
        <v>10</v>
      </c>
      <c r="Z2232" s="0" t="inlineStr">
        <is>
          <t>https://new.land.naver.com/complexes/13038?tab=detail&amp;rf=Y</t>
        </is>
      </c>
      <c r="AA2232" s="0" t="inlineStr">
        <is>
          <t>서울시 강동구 성내동 448-14</t>
        </is>
      </c>
      <c r="AB2232" s="0" t="inlineStr">
        <is>
          <t>서울시</t>
        </is>
      </c>
      <c r="AC2232" s="0" t="inlineStr">
        <is>
          <t>강동구</t>
        </is>
      </c>
      <c r="AD2232" s="0" t="inlineStr">
        <is>
          <t>성내동</t>
        </is>
      </c>
      <c r="AG2232" s="0" t="inlineStr">
        <is>
          <t>서울시 강동구 강동대로51길 12</t>
        </is>
      </c>
      <c r="AH2232" s="0" t="n">
        <v>0</v>
      </c>
      <c r="AI2232" s="0" t="n">
        <v>265</v>
      </c>
      <c r="AJ2232" s="0" t="n">
        <v>30</v>
      </c>
      <c r="AK2232" s="0" t="n">
        <v>28</v>
      </c>
      <c r="AL2232" s="0" t="n">
        <v>0.78</v>
      </c>
    </row>
    <row r="2233">
      <c r="A2233" s="0" t="inlineStr">
        <is>
          <t>[성내동]</t>
        </is>
      </c>
      <c r="B2233" s="0" t="n">
        <v>13038</v>
      </c>
      <c r="C2233" s="0" t="n">
        <v>3</v>
      </c>
      <c r="D2233" s="0" t="inlineStr">
        <is>
          <t>하나플러스</t>
        </is>
      </c>
      <c r="E2233" s="0" t="inlineStr">
        <is>
          <t>2003.07.</t>
        </is>
      </c>
      <c r="F2233" s="0" t="n">
        <v>36</v>
      </c>
      <c r="G2233" s="0" t="n">
        <v>33.16</v>
      </c>
      <c r="H2233" s="0" t="n">
        <v>109.65</v>
      </c>
      <c r="I2233" s="0" t="n">
        <v>24.68</v>
      </c>
      <c r="J2233" s="0" t="n">
        <v>81.59</v>
      </c>
      <c r="K2233" s="0" t="n">
        <v>3</v>
      </c>
      <c r="T2233" s="0" t="n">
        <v>3</v>
      </c>
      <c r="U2233" s="0" t="n">
        <v>2</v>
      </c>
      <c r="V2233" s="0" t="inlineStr">
        <is>
          <t>계단식</t>
        </is>
      </c>
      <c r="W2233" s="0" t="n">
        <v>109</v>
      </c>
      <c r="X2233" s="0" t="n">
        <v>10</v>
      </c>
      <c r="Y2233" s="0" t="n">
        <v>10</v>
      </c>
      <c r="Z2233" s="0" t="inlineStr">
        <is>
          <t>https://new.land.naver.com/complexes/13038?tab=detail&amp;rf=Y</t>
        </is>
      </c>
      <c r="AA2233" s="0" t="inlineStr">
        <is>
          <t>서울시 강동구 성내동 448-14</t>
        </is>
      </c>
      <c r="AB2233" s="0" t="inlineStr">
        <is>
          <t>서울시</t>
        </is>
      </c>
      <c r="AC2233" s="0" t="inlineStr">
        <is>
          <t>강동구</t>
        </is>
      </c>
      <c r="AD2233" s="0" t="inlineStr">
        <is>
          <t>성내동</t>
        </is>
      </c>
      <c r="AG2233" s="0" t="inlineStr">
        <is>
          <t>서울시 강동구 강동대로51길 12</t>
        </is>
      </c>
      <c r="AH2233" s="0" t="n">
        <v>0</v>
      </c>
      <c r="AI2233" s="0" t="n">
        <v>265</v>
      </c>
      <c r="AJ2233" s="0" t="n">
        <v>30</v>
      </c>
      <c r="AK2233" s="0" t="n">
        <v>28</v>
      </c>
      <c r="AL2233" s="0" t="n">
        <v>0.78</v>
      </c>
    </row>
    <row r="2234">
      <c r="A2234" s="0" t="inlineStr">
        <is>
          <t>[성내동]</t>
        </is>
      </c>
      <c r="B2234" s="0" t="n">
        <v>8979</v>
      </c>
      <c r="C2234" s="0" t="n">
        <v>1</v>
      </c>
      <c r="D2234" s="0" t="inlineStr">
        <is>
          <t>원다빌2</t>
        </is>
      </c>
      <c r="E2234" s="0" t="inlineStr">
        <is>
          <t>2002.07.</t>
        </is>
      </c>
      <c r="F2234" s="0" t="n">
        <v>60</v>
      </c>
      <c r="G2234" s="0" t="n">
        <v>25.89</v>
      </c>
      <c r="H2234" s="0" t="n">
        <v>85.59</v>
      </c>
      <c r="I2234" s="0" t="n">
        <v>20.31</v>
      </c>
      <c r="J2234" s="0" t="n">
        <v>67.17</v>
      </c>
      <c r="K2234" s="0" t="n">
        <v>14</v>
      </c>
      <c r="T2234" s="0" t="n">
        <v>3</v>
      </c>
      <c r="U2234" s="0" t="n">
        <v>2</v>
      </c>
      <c r="V2234" s="0" t="inlineStr">
        <is>
          <t>복도식</t>
        </is>
      </c>
      <c r="W2234" s="0" t="inlineStr">
        <is>
          <t>85A</t>
        </is>
      </c>
      <c r="X2234" s="0" t="n">
        <v>13</v>
      </c>
      <c r="Y2234" s="0" t="n">
        <v>6</v>
      </c>
      <c r="Z2234" s="0" t="inlineStr">
        <is>
          <t>https://new.land.naver.com/complexes/8979?tab=detail&amp;rf=Y</t>
        </is>
      </c>
      <c r="AA2234" s="0" t="inlineStr">
        <is>
          <t>서울시 강동구 성내동 592</t>
        </is>
      </c>
      <c r="AB2234" s="0" t="inlineStr">
        <is>
          <t>서울시</t>
        </is>
      </c>
      <c r="AC2234" s="0" t="inlineStr">
        <is>
          <t>강동구</t>
        </is>
      </c>
      <c r="AD2234" s="0" t="inlineStr">
        <is>
          <t>성내동</t>
        </is>
      </c>
      <c r="AG2234" s="0" t="inlineStr">
        <is>
          <t>서울시 강동구 천호대로162길 73</t>
        </is>
      </c>
      <c r="AH2234" s="0" t="n">
        <v>0</v>
      </c>
      <c r="AI2234" s="0" t="n">
        <v>305</v>
      </c>
      <c r="AJ2234" s="0" t="n">
        <v>47</v>
      </c>
      <c r="AK2234" s="0" t="n">
        <v>52</v>
      </c>
      <c r="AL2234" s="0" t="n">
        <v>0.87</v>
      </c>
    </row>
    <row r="2235">
      <c r="A2235" s="0" t="inlineStr">
        <is>
          <t>[성내동]</t>
        </is>
      </c>
      <c r="B2235" s="0" t="n">
        <v>8979</v>
      </c>
      <c r="C2235" s="0" t="n">
        <v>2</v>
      </c>
      <c r="D2235" s="0" t="inlineStr">
        <is>
          <t>원다빌2</t>
        </is>
      </c>
      <c r="E2235" s="0" t="inlineStr">
        <is>
          <t>2002.07.</t>
        </is>
      </c>
      <c r="F2235" s="0" t="n">
        <v>60</v>
      </c>
      <c r="G2235" s="0" t="n">
        <v>25.89</v>
      </c>
      <c r="H2235" s="0" t="n">
        <v>85.59</v>
      </c>
      <c r="I2235" s="0" t="n">
        <v>20.31</v>
      </c>
      <c r="J2235" s="0" t="n">
        <v>67.17</v>
      </c>
      <c r="K2235" s="0" t="n">
        <v>11</v>
      </c>
      <c r="T2235" s="0" t="n">
        <v>3</v>
      </c>
      <c r="U2235" s="0" t="n">
        <v>2</v>
      </c>
      <c r="V2235" s="0" t="inlineStr">
        <is>
          <t>복도식</t>
        </is>
      </c>
      <c r="W2235" s="0" t="inlineStr">
        <is>
          <t>85C</t>
        </is>
      </c>
      <c r="X2235" s="0" t="n">
        <v>13</v>
      </c>
      <c r="Y2235" s="0" t="n">
        <v>6</v>
      </c>
      <c r="Z2235" s="0" t="inlineStr">
        <is>
          <t>https://new.land.naver.com/complexes/8979?tab=detail&amp;rf=Y</t>
        </is>
      </c>
      <c r="AA2235" s="0" t="inlineStr">
        <is>
          <t>서울시 강동구 성내동 592</t>
        </is>
      </c>
      <c r="AB2235" s="0" t="inlineStr">
        <is>
          <t>서울시</t>
        </is>
      </c>
      <c r="AC2235" s="0" t="inlineStr">
        <is>
          <t>강동구</t>
        </is>
      </c>
      <c r="AD2235" s="0" t="inlineStr">
        <is>
          <t>성내동</t>
        </is>
      </c>
      <c r="AG2235" s="0" t="inlineStr">
        <is>
          <t>서울시 강동구 천호대로162길 73</t>
        </is>
      </c>
      <c r="AH2235" s="0" t="n">
        <v>0</v>
      </c>
      <c r="AI2235" s="0" t="n">
        <v>305</v>
      </c>
      <c r="AJ2235" s="0" t="n">
        <v>47</v>
      </c>
      <c r="AK2235" s="0" t="n">
        <v>52</v>
      </c>
      <c r="AL2235" s="0" t="n">
        <v>0.87</v>
      </c>
    </row>
    <row r="2236">
      <c r="A2236" s="0" t="inlineStr">
        <is>
          <t>[성내동]</t>
        </is>
      </c>
      <c r="B2236" s="0" t="n">
        <v>8979</v>
      </c>
      <c r="C2236" s="0" t="n">
        <v>3</v>
      </c>
      <c r="D2236" s="0" t="inlineStr">
        <is>
          <t>원다빌2</t>
        </is>
      </c>
      <c r="E2236" s="0" t="inlineStr">
        <is>
          <t>2002.07.</t>
        </is>
      </c>
      <c r="F2236" s="0" t="n">
        <v>60</v>
      </c>
      <c r="G2236" s="0" t="n">
        <v>25.89</v>
      </c>
      <c r="H2236" s="0" t="n">
        <v>85.59</v>
      </c>
      <c r="I2236" s="0" t="n">
        <v>20.31</v>
      </c>
      <c r="J2236" s="0" t="n">
        <v>67.17</v>
      </c>
      <c r="K2236" s="0" t="n">
        <v>10</v>
      </c>
      <c r="T2236" s="0" t="n">
        <v>3</v>
      </c>
      <c r="U2236" s="0" t="n">
        <v>2</v>
      </c>
      <c r="V2236" s="0" t="inlineStr">
        <is>
          <t>계단식</t>
        </is>
      </c>
      <c r="W2236" s="0" t="inlineStr">
        <is>
          <t>85B</t>
        </is>
      </c>
      <c r="X2236" s="0" t="n">
        <v>13</v>
      </c>
      <c r="Y2236" s="0" t="n">
        <v>6</v>
      </c>
      <c r="Z2236" s="0" t="inlineStr">
        <is>
          <t>https://new.land.naver.com/complexes/8979?tab=detail&amp;rf=Y</t>
        </is>
      </c>
      <c r="AA2236" s="0" t="inlineStr">
        <is>
          <t>서울시 강동구 성내동 592</t>
        </is>
      </c>
      <c r="AB2236" s="0" t="inlineStr">
        <is>
          <t>서울시</t>
        </is>
      </c>
      <c r="AC2236" s="0" t="inlineStr">
        <is>
          <t>강동구</t>
        </is>
      </c>
      <c r="AD2236" s="0" t="inlineStr">
        <is>
          <t>성내동</t>
        </is>
      </c>
      <c r="AG2236" s="0" t="inlineStr">
        <is>
          <t>서울시 강동구 천호대로162길 73</t>
        </is>
      </c>
      <c r="AH2236" s="0" t="n">
        <v>0</v>
      </c>
      <c r="AI2236" s="0" t="n">
        <v>305</v>
      </c>
      <c r="AJ2236" s="0" t="n">
        <v>47</v>
      </c>
      <c r="AK2236" s="0" t="n">
        <v>52</v>
      </c>
      <c r="AL2236" s="0" t="n">
        <v>0.87</v>
      </c>
    </row>
    <row r="2237">
      <c r="A2237" s="0" t="inlineStr">
        <is>
          <t>[성내동]</t>
        </is>
      </c>
      <c r="B2237" s="0" t="n">
        <v>8979</v>
      </c>
      <c r="C2237" s="0" t="n">
        <v>4</v>
      </c>
      <c r="D2237" s="0" t="inlineStr">
        <is>
          <t>원다빌2</t>
        </is>
      </c>
      <c r="E2237" s="0" t="inlineStr">
        <is>
          <t>2002.07.</t>
        </is>
      </c>
      <c r="F2237" s="0" t="n">
        <v>60</v>
      </c>
      <c r="G2237" s="0" t="n">
        <v>32</v>
      </c>
      <c r="H2237" s="0" t="n">
        <v>105.81</v>
      </c>
      <c r="I2237" s="0" t="n">
        <v>25.2</v>
      </c>
      <c r="J2237" s="0" t="n">
        <v>83.33</v>
      </c>
      <c r="K2237" s="0" t="n">
        <v>13</v>
      </c>
      <c r="T2237" s="0" t="n">
        <v>3</v>
      </c>
      <c r="U2237" s="0" t="n">
        <v>2</v>
      </c>
      <c r="V2237" s="0" t="inlineStr">
        <is>
          <t>계단식</t>
        </is>
      </c>
      <c r="W2237" s="0" t="inlineStr">
        <is>
          <t>105A</t>
        </is>
      </c>
      <c r="X2237" s="0" t="n">
        <v>13</v>
      </c>
      <c r="Y2237" s="0" t="n">
        <v>6</v>
      </c>
      <c r="Z2237" s="0" t="inlineStr">
        <is>
          <t>https://new.land.naver.com/complexes/8979?tab=detail&amp;rf=Y</t>
        </is>
      </c>
      <c r="AA2237" s="0" t="inlineStr">
        <is>
          <t>서울시 강동구 성내동 592</t>
        </is>
      </c>
      <c r="AB2237" s="0" t="inlineStr">
        <is>
          <t>서울시</t>
        </is>
      </c>
      <c r="AC2237" s="0" t="inlineStr">
        <is>
          <t>강동구</t>
        </is>
      </c>
      <c r="AD2237" s="0" t="inlineStr">
        <is>
          <t>성내동</t>
        </is>
      </c>
      <c r="AG2237" s="0" t="inlineStr">
        <is>
          <t>서울시 강동구 천호대로162길 73</t>
        </is>
      </c>
      <c r="AH2237" s="0" t="n">
        <v>0</v>
      </c>
      <c r="AI2237" s="0" t="n">
        <v>305</v>
      </c>
      <c r="AJ2237" s="0" t="n">
        <v>47</v>
      </c>
      <c r="AK2237" s="0" t="n">
        <v>52</v>
      </c>
      <c r="AL2237" s="0" t="n">
        <v>0.87</v>
      </c>
    </row>
    <row r="2238">
      <c r="A2238" s="0" t="inlineStr">
        <is>
          <t>[성내동]</t>
        </is>
      </c>
      <c r="B2238" s="0" t="n">
        <v>8979</v>
      </c>
      <c r="C2238" s="0" t="n">
        <v>5</v>
      </c>
      <c r="D2238" s="0" t="inlineStr">
        <is>
          <t>원다빌2</t>
        </is>
      </c>
      <c r="E2238" s="0" t="inlineStr">
        <is>
          <t>2002.07.</t>
        </is>
      </c>
      <c r="F2238" s="0" t="n">
        <v>60</v>
      </c>
      <c r="G2238" s="0" t="n">
        <v>32</v>
      </c>
      <c r="H2238" s="0" t="n">
        <v>105.81</v>
      </c>
      <c r="I2238" s="0" t="n">
        <v>25.2</v>
      </c>
      <c r="J2238" s="0" t="n">
        <v>83.33</v>
      </c>
      <c r="K2238" s="0" t="n">
        <v>12</v>
      </c>
      <c r="T2238" s="0" t="n">
        <v>3</v>
      </c>
      <c r="U2238" s="0" t="n">
        <v>2</v>
      </c>
      <c r="V2238" s="0" t="inlineStr">
        <is>
          <t>계단식</t>
        </is>
      </c>
      <c r="W2238" s="0" t="inlineStr">
        <is>
          <t>105B</t>
        </is>
      </c>
      <c r="X2238" s="0" t="n">
        <v>13</v>
      </c>
      <c r="Y2238" s="0" t="n">
        <v>6</v>
      </c>
      <c r="Z2238" s="0" t="inlineStr">
        <is>
          <t>https://new.land.naver.com/complexes/8979?tab=detail&amp;rf=Y</t>
        </is>
      </c>
      <c r="AA2238" s="0" t="inlineStr">
        <is>
          <t>서울시 강동구 성내동 592</t>
        </is>
      </c>
      <c r="AB2238" s="0" t="inlineStr">
        <is>
          <t>서울시</t>
        </is>
      </c>
      <c r="AC2238" s="0" t="inlineStr">
        <is>
          <t>강동구</t>
        </is>
      </c>
      <c r="AD2238" s="0" t="inlineStr">
        <is>
          <t>성내동</t>
        </is>
      </c>
      <c r="AG2238" s="0" t="inlineStr">
        <is>
          <t>서울시 강동구 천호대로162길 73</t>
        </is>
      </c>
      <c r="AH2238" s="0" t="n">
        <v>0</v>
      </c>
      <c r="AI2238" s="0" t="n">
        <v>305</v>
      </c>
      <c r="AJ2238" s="0" t="n">
        <v>47</v>
      </c>
      <c r="AK2238" s="0" t="n">
        <v>52</v>
      </c>
      <c r="AL2238" s="0" t="n">
        <v>0.87</v>
      </c>
    </row>
    <row r="2239">
      <c r="A2239" s="0" t="inlineStr">
        <is>
          <t>[성내동]</t>
        </is>
      </c>
      <c r="B2239" s="0" t="n">
        <v>9960</v>
      </c>
      <c r="C2239" s="0" t="n">
        <v>1</v>
      </c>
      <c r="D2239" s="0" t="inlineStr">
        <is>
          <t>경보그레이스힐</t>
        </is>
      </c>
      <c r="E2239" s="0" t="inlineStr">
        <is>
          <t>2002.12.</t>
        </is>
      </c>
      <c r="F2239" s="0" t="n">
        <v>77</v>
      </c>
      <c r="G2239" s="0" t="n">
        <v>22.28</v>
      </c>
      <c r="H2239" s="0" t="n">
        <v>73.66</v>
      </c>
      <c r="I2239" s="0" t="n">
        <v>18.17</v>
      </c>
      <c r="J2239" s="0" t="n">
        <v>60.07</v>
      </c>
      <c r="K2239" s="0" t="n">
        <v>4</v>
      </c>
      <c r="T2239" s="0" t="n">
        <v>3</v>
      </c>
      <c r="U2239" s="0" t="n">
        <v>1</v>
      </c>
      <c r="V2239" s="0" t="inlineStr">
        <is>
          <t>계단식</t>
        </is>
      </c>
      <c r="W2239" s="0" t="n">
        <v>73</v>
      </c>
      <c r="X2239" s="0" t="n">
        <v>15</v>
      </c>
      <c r="Y2239" s="0" t="n">
        <v>11</v>
      </c>
      <c r="Z2239" s="0" t="inlineStr">
        <is>
          <t>https://new.land.naver.com/complexes/9960?tab=detail&amp;rf=Y</t>
        </is>
      </c>
      <c r="AA2239" s="0" t="inlineStr">
        <is>
          <t>서울시 강동구 성내동 596</t>
        </is>
      </c>
      <c r="AB2239" s="0" t="inlineStr">
        <is>
          <t>서울시</t>
        </is>
      </c>
      <c r="AC2239" s="0" t="inlineStr">
        <is>
          <t>강동구</t>
        </is>
      </c>
      <c r="AD2239" s="0" t="inlineStr">
        <is>
          <t>성내동</t>
        </is>
      </c>
      <c r="AG2239" s="0" t="inlineStr">
        <is>
          <t>서울시 강동구 풍성로53길 40</t>
        </is>
      </c>
      <c r="AH2239" s="0" t="n">
        <v>0</v>
      </c>
      <c r="AI2239" s="0" t="n">
        <v>290</v>
      </c>
      <c r="AJ2239" s="0" t="n">
        <v>26</v>
      </c>
      <c r="AK2239" s="0" t="n">
        <v>88</v>
      </c>
      <c r="AL2239" s="0" t="n">
        <v>1.14</v>
      </c>
    </row>
    <row r="2240">
      <c r="A2240" s="0" t="inlineStr">
        <is>
          <t>[성내동]</t>
        </is>
      </c>
      <c r="B2240" s="0" t="n">
        <v>9960</v>
      </c>
      <c r="C2240" s="0" t="n">
        <v>2</v>
      </c>
      <c r="D2240" s="0" t="inlineStr">
        <is>
          <t>경보그레이스힐</t>
        </is>
      </c>
      <c r="E2240" s="0" t="inlineStr">
        <is>
          <t>2002.12.</t>
        </is>
      </c>
      <c r="F2240" s="0" t="n">
        <v>77</v>
      </c>
      <c r="G2240" s="0" t="n">
        <v>24.32</v>
      </c>
      <c r="H2240" s="0" t="n">
        <v>80.40000000000001</v>
      </c>
      <c r="I2240" s="0" t="n">
        <v>19.77</v>
      </c>
      <c r="J2240" s="0" t="n">
        <v>65.37</v>
      </c>
      <c r="K2240" s="0" t="n">
        <v>1</v>
      </c>
      <c r="T2240" s="0" t="n">
        <v>3</v>
      </c>
      <c r="U2240" s="0" t="n">
        <v>1</v>
      </c>
      <c r="V2240" s="0" t="inlineStr">
        <is>
          <t>계단식</t>
        </is>
      </c>
      <c r="W2240" s="0" t="n">
        <v>80</v>
      </c>
      <c r="X2240" s="0" t="n">
        <v>15</v>
      </c>
      <c r="Y2240" s="0" t="n">
        <v>11</v>
      </c>
      <c r="Z2240" s="0" t="inlineStr">
        <is>
          <t>https://new.land.naver.com/complexes/9960?tab=detail&amp;rf=Y</t>
        </is>
      </c>
      <c r="AA2240" s="0" t="inlineStr">
        <is>
          <t>서울시 강동구 성내동 596</t>
        </is>
      </c>
      <c r="AB2240" s="0" t="inlineStr">
        <is>
          <t>서울시</t>
        </is>
      </c>
      <c r="AC2240" s="0" t="inlineStr">
        <is>
          <t>강동구</t>
        </is>
      </c>
      <c r="AD2240" s="0" t="inlineStr">
        <is>
          <t>성내동</t>
        </is>
      </c>
      <c r="AG2240" s="0" t="inlineStr">
        <is>
          <t>서울시 강동구 풍성로53길 40</t>
        </is>
      </c>
      <c r="AH2240" s="0" t="n">
        <v>0</v>
      </c>
      <c r="AI2240" s="0" t="n">
        <v>290</v>
      </c>
      <c r="AJ2240" s="0" t="n">
        <v>26</v>
      </c>
      <c r="AK2240" s="0" t="n">
        <v>88</v>
      </c>
      <c r="AL2240" s="0" t="n">
        <v>1.14</v>
      </c>
    </row>
    <row r="2241">
      <c r="A2241" s="0" t="inlineStr">
        <is>
          <t>[성내동]</t>
        </is>
      </c>
      <c r="B2241" s="0" t="n">
        <v>9960</v>
      </c>
      <c r="C2241" s="0" t="n">
        <v>3</v>
      </c>
      <c r="D2241" s="0" t="inlineStr">
        <is>
          <t>경보그레이스힐</t>
        </is>
      </c>
      <c r="E2241" s="0" t="inlineStr">
        <is>
          <t>2002.12.</t>
        </is>
      </c>
      <c r="F2241" s="0" t="n">
        <v>77</v>
      </c>
      <c r="G2241" s="0" t="n">
        <v>29.76</v>
      </c>
      <c r="H2241" s="0" t="n">
        <v>98.41</v>
      </c>
      <c r="I2241" s="0" t="n">
        <v>24.31</v>
      </c>
      <c r="J2241" s="0" t="n">
        <v>80.38</v>
      </c>
      <c r="K2241" s="0" t="n">
        <v>2</v>
      </c>
      <c r="T2241" s="0" t="n">
        <v>3</v>
      </c>
      <c r="U2241" s="0" t="n">
        <v>2</v>
      </c>
      <c r="V2241" s="0" t="inlineStr">
        <is>
          <t>계단식</t>
        </is>
      </c>
      <c r="W2241" s="0" t="n">
        <v>98</v>
      </c>
      <c r="X2241" s="0" t="n">
        <v>15</v>
      </c>
      <c r="Y2241" s="0" t="n">
        <v>11</v>
      </c>
      <c r="Z2241" s="0" t="inlineStr">
        <is>
          <t>https://new.land.naver.com/complexes/9960?tab=detail&amp;rf=Y</t>
        </is>
      </c>
      <c r="AA2241" s="0" t="inlineStr">
        <is>
          <t>서울시 강동구 성내동 596</t>
        </is>
      </c>
      <c r="AB2241" s="0" t="inlineStr">
        <is>
          <t>서울시</t>
        </is>
      </c>
      <c r="AC2241" s="0" t="inlineStr">
        <is>
          <t>강동구</t>
        </is>
      </c>
      <c r="AD2241" s="0" t="inlineStr">
        <is>
          <t>성내동</t>
        </is>
      </c>
      <c r="AG2241" s="0" t="inlineStr">
        <is>
          <t>서울시 강동구 풍성로53길 40</t>
        </is>
      </c>
      <c r="AH2241" s="0" t="n">
        <v>0</v>
      </c>
      <c r="AI2241" s="0" t="n">
        <v>290</v>
      </c>
      <c r="AJ2241" s="0" t="n">
        <v>26</v>
      </c>
      <c r="AK2241" s="0" t="n">
        <v>88</v>
      </c>
      <c r="AL2241" s="0" t="n">
        <v>1.14</v>
      </c>
    </row>
    <row r="2242">
      <c r="A2242" s="0" t="inlineStr">
        <is>
          <t>[성내동]</t>
        </is>
      </c>
      <c r="B2242" s="0" t="n">
        <v>9960</v>
      </c>
      <c r="C2242" s="0" t="n">
        <v>4</v>
      </c>
      <c r="D2242" s="0" t="inlineStr">
        <is>
          <t>경보그레이스힐</t>
        </is>
      </c>
      <c r="E2242" s="0" t="inlineStr">
        <is>
          <t>2002.12.</t>
        </is>
      </c>
      <c r="F2242" s="0" t="n">
        <v>77</v>
      </c>
      <c r="G2242" s="0" t="n">
        <v>29.99</v>
      </c>
      <c r="H2242" s="0" t="n">
        <v>99.17</v>
      </c>
      <c r="I2242" s="0" t="n">
        <v>24.61</v>
      </c>
      <c r="J2242" s="0" t="n">
        <v>81.36</v>
      </c>
      <c r="K2242" s="0" t="n">
        <v>2</v>
      </c>
      <c r="T2242" s="0" t="n">
        <v>3</v>
      </c>
      <c r="U2242" s="0" t="n">
        <v>2</v>
      </c>
      <c r="V2242" s="0" t="inlineStr">
        <is>
          <t>계단식</t>
        </is>
      </c>
      <c r="W2242" s="0" t="n">
        <v>99</v>
      </c>
      <c r="X2242" s="0" t="n">
        <v>15</v>
      </c>
      <c r="Y2242" s="0" t="n">
        <v>11</v>
      </c>
      <c r="Z2242" s="0" t="inlineStr">
        <is>
          <t>https://new.land.naver.com/complexes/9960?tab=detail&amp;rf=Y</t>
        </is>
      </c>
      <c r="AA2242" s="0" t="inlineStr">
        <is>
          <t>서울시 강동구 성내동 596</t>
        </is>
      </c>
      <c r="AB2242" s="0" t="inlineStr">
        <is>
          <t>서울시</t>
        </is>
      </c>
      <c r="AC2242" s="0" t="inlineStr">
        <is>
          <t>강동구</t>
        </is>
      </c>
      <c r="AD2242" s="0" t="inlineStr">
        <is>
          <t>성내동</t>
        </is>
      </c>
      <c r="AG2242" s="0" t="inlineStr">
        <is>
          <t>서울시 강동구 풍성로53길 40</t>
        </is>
      </c>
      <c r="AH2242" s="0" t="n">
        <v>0</v>
      </c>
      <c r="AI2242" s="0" t="n">
        <v>290</v>
      </c>
      <c r="AJ2242" s="0" t="n">
        <v>26</v>
      </c>
      <c r="AK2242" s="0" t="n">
        <v>88</v>
      </c>
      <c r="AL2242" s="0" t="n">
        <v>1.14</v>
      </c>
    </row>
    <row r="2243">
      <c r="A2243" s="0" t="inlineStr">
        <is>
          <t>[성내동]</t>
        </is>
      </c>
      <c r="B2243" s="0" t="n">
        <v>9960</v>
      </c>
      <c r="C2243" s="0" t="n">
        <v>5</v>
      </c>
      <c r="D2243" s="0" t="inlineStr">
        <is>
          <t>경보그레이스힐</t>
        </is>
      </c>
      <c r="E2243" s="0" t="inlineStr">
        <is>
          <t>2002.12.</t>
        </is>
      </c>
      <c r="F2243" s="0" t="n">
        <v>77</v>
      </c>
      <c r="G2243" s="0" t="n">
        <v>30.75</v>
      </c>
      <c r="H2243" s="0" t="n">
        <v>101.67</v>
      </c>
      <c r="I2243" s="0" t="n">
        <v>25.23</v>
      </c>
      <c r="J2243" s="0" t="n">
        <v>83.42</v>
      </c>
      <c r="K2243" s="0" t="n">
        <v>12</v>
      </c>
      <c r="T2243" s="0" t="n">
        <v>3</v>
      </c>
      <c r="U2243" s="0" t="n">
        <v>2</v>
      </c>
      <c r="V2243" s="0" t="inlineStr">
        <is>
          <t>복도식</t>
        </is>
      </c>
      <c r="W2243" s="0" t="n">
        <v>101</v>
      </c>
      <c r="X2243" s="0" t="n">
        <v>15</v>
      </c>
      <c r="Y2243" s="0" t="n">
        <v>11</v>
      </c>
      <c r="Z2243" s="0" t="inlineStr">
        <is>
          <t>https://new.land.naver.com/complexes/9960?tab=detail&amp;rf=Y</t>
        </is>
      </c>
      <c r="AA2243" s="0" t="inlineStr">
        <is>
          <t>서울시 강동구 성내동 596</t>
        </is>
      </c>
      <c r="AB2243" s="0" t="inlineStr">
        <is>
          <t>서울시</t>
        </is>
      </c>
      <c r="AC2243" s="0" t="inlineStr">
        <is>
          <t>강동구</t>
        </is>
      </c>
      <c r="AD2243" s="0" t="inlineStr">
        <is>
          <t>성내동</t>
        </is>
      </c>
      <c r="AG2243" s="0" t="inlineStr">
        <is>
          <t>서울시 강동구 풍성로53길 40</t>
        </is>
      </c>
      <c r="AH2243" s="0" t="n">
        <v>0</v>
      </c>
      <c r="AI2243" s="0" t="n">
        <v>290</v>
      </c>
      <c r="AJ2243" s="0" t="n">
        <v>26</v>
      </c>
      <c r="AK2243" s="0" t="n">
        <v>88</v>
      </c>
      <c r="AL2243" s="0" t="n">
        <v>1.14</v>
      </c>
    </row>
    <row r="2244">
      <c r="A2244" s="0" t="inlineStr">
        <is>
          <t>[성내동]</t>
        </is>
      </c>
      <c r="B2244" s="0" t="n">
        <v>9960</v>
      </c>
      <c r="C2244" s="0" t="n">
        <v>6</v>
      </c>
      <c r="D2244" s="0" t="inlineStr">
        <is>
          <t>경보그레이스힐</t>
        </is>
      </c>
      <c r="E2244" s="0" t="inlineStr">
        <is>
          <t>2002.12.</t>
        </is>
      </c>
      <c r="F2244" s="0" t="n">
        <v>77</v>
      </c>
      <c r="G2244" s="0" t="n">
        <v>31.02</v>
      </c>
      <c r="H2244" s="0" t="n">
        <v>102.55</v>
      </c>
      <c r="I2244" s="0" t="n">
        <v>25.46</v>
      </c>
      <c r="J2244" s="0" t="n">
        <v>84.17</v>
      </c>
      <c r="K2244" s="0" t="n">
        <v>46</v>
      </c>
      <c r="T2244" s="0" t="n">
        <v>3</v>
      </c>
      <c r="U2244" s="0" t="n">
        <v>2</v>
      </c>
      <c r="V2244" s="0" t="inlineStr">
        <is>
          <t>계단식</t>
        </is>
      </c>
      <c r="W2244" s="0" t="inlineStr">
        <is>
          <t>102B</t>
        </is>
      </c>
      <c r="X2244" s="0" t="n">
        <v>15</v>
      </c>
      <c r="Y2244" s="0" t="n">
        <v>11</v>
      </c>
      <c r="Z2244" s="0" t="inlineStr">
        <is>
          <t>https://new.land.naver.com/complexes/9960?tab=detail&amp;rf=Y</t>
        </is>
      </c>
      <c r="AA2244" s="0" t="inlineStr">
        <is>
          <t>서울시 강동구 성내동 596</t>
        </is>
      </c>
      <c r="AB2244" s="0" t="inlineStr">
        <is>
          <t>서울시</t>
        </is>
      </c>
      <c r="AC2244" s="0" t="inlineStr">
        <is>
          <t>강동구</t>
        </is>
      </c>
      <c r="AD2244" s="0" t="inlineStr">
        <is>
          <t>성내동</t>
        </is>
      </c>
      <c r="AG2244" s="0" t="inlineStr">
        <is>
          <t>서울시 강동구 풍성로53길 40</t>
        </is>
      </c>
      <c r="AH2244" s="0" t="n">
        <v>0</v>
      </c>
      <c r="AI2244" s="0" t="n">
        <v>290</v>
      </c>
      <c r="AJ2244" s="0" t="n">
        <v>26</v>
      </c>
      <c r="AK2244" s="0" t="n">
        <v>88</v>
      </c>
      <c r="AL2244" s="0" t="n">
        <v>1.14</v>
      </c>
    </row>
    <row r="2245">
      <c r="A2245" s="0" t="inlineStr">
        <is>
          <t>[성내동]</t>
        </is>
      </c>
      <c r="B2245" s="0" t="n">
        <v>9960</v>
      </c>
      <c r="C2245" s="0" t="n">
        <v>7</v>
      </c>
      <c r="D2245" s="0" t="inlineStr">
        <is>
          <t>경보그레이스힐</t>
        </is>
      </c>
      <c r="E2245" s="0" t="inlineStr">
        <is>
          <t>2002.12.</t>
        </is>
      </c>
      <c r="F2245" s="0" t="n">
        <v>77</v>
      </c>
      <c r="G2245" s="0" t="n">
        <v>34.33</v>
      </c>
      <c r="H2245" s="0" t="n">
        <v>113.51</v>
      </c>
      <c r="I2245" s="0" t="n">
        <v>28.15</v>
      </c>
      <c r="J2245" s="0" t="n">
        <v>93.09</v>
      </c>
      <c r="K2245" s="0" t="n">
        <v>10</v>
      </c>
      <c r="T2245" s="0" t="n">
        <v>3</v>
      </c>
      <c r="U2245" s="0" t="n">
        <v>2</v>
      </c>
      <c r="V2245" s="0" t="inlineStr">
        <is>
          <t>계단식</t>
        </is>
      </c>
      <c r="W2245" s="0" t="n">
        <v>113</v>
      </c>
      <c r="X2245" s="0" t="n">
        <v>15</v>
      </c>
      <c r="Y2245" s="0" t="n">
        <v>11</v>
      </c>
      <c r="Z2245" s="0" t="inlineStr">
        <is>
          <t>https://new.land.naver.com/complexes/9960?tab=detail&amp;rf=Y</t>
        </is>
      </c>
      <c r="AA2245" s="0" t="inlineStr">
        <is>
          <t>서울시 강동구 성내동 596</t>
        </is>
      </c>
      <c r="AB2245" s="0" t="inlineStr">
        <is>
          <t>서울시</t>
        </is>
      </c>
      <c r="AC2245" s="0" t="inlineStr">
        <is>
          <t>강동구</t>
        </is>
      </c>
      <c r="AD2245" s="0" t="inlineStr">
        <is>
          <t>성내동</t>
        </is>
      </c>
      <c r="AG2245" s="0" t="inlineStr">
        <is>
          <t>서울시 강동구 풍성로53길 40</t>
        </is>
      </c>
      <c r="AH2245" s="0" t="n">
        <v>0</v>
      </c>
      <c r="AI2245" s="0" t="n">
        <v>290</v>
      </c>
      <c r="AJ2245" s="0" t="n">
        <v>26</v>
      </c>
      <c r="AK2245" s="0" t="n">
        <v>88</v>
      </c>
      <c r="AL2245" s="0" t="n">
        <v>1.14</v>
      </c>
    </row>
    <row r="2246">
      <c r="A2246" s="0" t="inlineStr">
        <is>
          <t>[성내동]</t>
        </is>
      </c>
      <c r="B2246" s="0" t="n">
        <v>16586</v>
      </c>
      <c r="C2246" s="0" t="n">
        <v>1</v>
      </c>
      <c r="D2246" s="0" t="inlineStr">
        <is>
          <t>파크뷰캐슬</t>
        </is>
      </c>
      <c r="E2246" s="0" t="inlineStr">
        <is>
          <t>2002.02.</t>
        </is>
      </c>
      <c r="F2246" s="0" t="n">
        <v>19</v>
      </c>
      <c r="G2246" s="0" t="n">
        <v>50.77</v>
      </c>
      <c r="H2246" s="0" t="n">
        <v>167.86</v>
      </c>
      <c r="I2246" s="0" t="n">
        <v>49.03</v>
      </c>
      <c r="J2246" s="0" t="n">
        <v>162.1</v>
      </c>
      <c r="K2246" s="0" t="n">
        <v>19</v>
      </c>
      <c r="T2246" s="0" t="n">
        <v>4</v>
      </c>
      <c r="U2246" s="0" t="n">
        <v>2</v>
      </c>
      <c r="V2246" s="0" t="inlineStr">
        <is>
          <t>복도식</t>
        </is>
      </c>
      <c r="W2246" s="0" t="n">
        <v>167</v>
      </c>
      <c r="X2246" s="0" t="n">
        <v>12</v>
      </c>
      <c r="Y2246" s="0" t="n">
        <v>11</v>
      </c>
      <c r="Z2246" s="0" t="inlineStr">
        <is>
          <t>https://new.land.naver.com/complexes/16586?tab=detail&amp;rf=Y</t>
        </is>
      </c>
      <c r="AA2246" s="0" t="inlineStr">
        <is>
          <t>서울시 강동구 성내동 468-3</t>
        </is>
      </c>
      <c r="AB2246" s="0" t="inlineStr">
        <is>
          <t>서울시</t>
        </is>
      </c>
      <c r="AC2246" s="0" t="inlineStr">
        <is>
          <t>강동구</t>
        </is>
      </c>
      <c r="AD2246" s="0" t="inlineStr">
        <is>
          <t>성내동</t>
        </is>
      </c>
      <c r="AG2246" s="0" t="inlineStr">
        <is>
          <t>서울시 강동구 강동대로 187</t>
        </is>
      </c>
      <c r="AH2246" s="0" t="n">
        <v>0</v>
      </c>
      <c r="AI2246" s="0" t="n">
        <v>385</v>
      </c>
      <c r="AJ2246" s="0" t="n">
        <v>59</v>
      </c>
      <c r="AK2246" s="0" t="n">
        <v>59</v>
      </c>
      <c r="AL2246" s="0" t="n">
        <v>3.11</v>
      </c>
    </row>
    <row r="2247">
      <c r="A2247" s="0" t="inlineStr">
        <is>
          <t>[암사동]</t>
        </is>
      </c>
      <c r="B2247" s="0" t="n">
        <v>105112</v>
      </c>
      <c r="C2247" s="0" t="n">
        <v>1</v>
      </c>
      <c r="D2247" s="0" t="inlineStr">
        <is>
          <t>다성이즈빌(488-3)</t>
        </is>
      </c>
      <c r="E2247" s="0" t="inlineStr">
        <is>
          <t>2009.04.</t>
        </is>
      </c>
      <c r="F2247" s="0" t="n">
        <v>26</v>
      </c>
      <c r="G2247" s="0" t="n">
        <v>15.58</v>
      </c>
      <c r="H2247" s="0" t="n">
        <v>51.51</v>
      </c>
      <c r="I2247" s="0" t="n">
        <v>13.84</v>
      </c>
      <c r="J2247" s="0" t="n">
        <v>45.78</v>
      </c>
      <c r="K2247" s="0" t="n">
        <v>1</v>
      </c>
      <c r="T2247" s="0" t="n">
        <v>2</v>
      </c>
      <c r="U2247" s="0" t="n">
        <v>1</v>
      </c>
      <c r="V2247" s="0" t="inlineStr">
        <is>
          <t>복도식</t>
        </is>
      </c>
      <c r="W2247" s="0" t="n">
        <v>51</v>
      </c>
      <c r="X2247" s="0" t="n">
        <v>7</v>
      </c>
      <c r="Y2247" s="0" t="n">
        <v>5</v>
      </c>
      <c r="Z2247" s="0" t="inlineStr">
        <is>
          <t>https://new.land.naver.com/complexes/105112?tab=detail&amp;rf=Y</t>
        </is>
      </c>
      <c r="AA2247" s="0" t="inlineStr">
        <is>
          <t>서울시 강동구 암사동 488-3</t>
        </is>
      </c>
      <c r="AB2247" s="0" t="inlineStr">
        <is>
          <t>서울시</t>
        </is>
      </c>
      <c r="AC2247" s="0" t="inlineStr">
        <is>
          <t>강동구</t>
        </is>
      </c>
      <c r="AD2247" s="0" t="inlineStr">
        <is>
          <t>암사동</t>
        </is>
      </c>
      <c r="AG2247" s="0" t="inlineStr">
        <is>
          <t>서울시 강동구 상암로23길 28</t>
        </is>
      </c>
      <c r="AH2247" s="0" t="n">
        <v>0</v>
      </c>
      <c r="AI2247" s="0" t="n">
        <v>0</v>
      </c>
      <c r="AJ2247" s="0" t="n">
        <v>0</v>
      </c>
      <c r="AK2247" s="0" t="n">
        <v>28</v>
      </c>
      <c r="AL2247" s="0" t="n">
        <v>1.08</v>
      </c>
    </row>
    <row r="2248">
      <c r="A2248" s="0" t="inlineStr">
        <is>
          <t>[암사동]</t>
        </is>
      </c>
      <c r="B2248" s="0" t="n">
        <v>105112</v>
      </c>
      <c r="C2248" s="0" t="n">
        <v>2</v>
      </c>
      <c r="D2248" s="0" t="inlineStr">
        <is>
          <t>다성이즈빌(488-3)</t>
        </is>
      </c>
      <c r="E2248" s="0" t="inlineStr">
        <is>
          <t>2009.04.</t>
        </is>
      </c>
      <c r="F2248" s="0" t="n">
        <v>26</v>
      </c>
      <c r="G2248" s="0" t="n">
        <v>20.64</v>
      </c>
      <c r="H2248" s="0" t="n">
        <v>68.25</v>
      </c>
      <c r="I2248" s="0" t="n">
        <v>18.34</v>
      </c>
      <c r="J2248" s="0" t="n">
        <v>60.66</v>
      </c>
      <c r="K2248" s="0" t="n">
        <v>1</v>
      </c>
      <c r="T2248" s="0" t="n">
        <v>2</v>
      </c>
      <c r="U2248" s="0" t="n">
        <v>1</v>
      </c>
      <c r="V2248" s="0" t="inlineStr">
        <is>
          <t>복도식</t>
        </is>
      </c>
      <c r="W2248" s="0" t="inlineStr">
        <is>
          <t>68A</t>
        </is>
      </c>
      <c r="X2248" s="0" t="n">
        <v>7</v>
      </c>
      <c r="Y2248" s="0" t="n">
        <v>5</v>
      </c>
      <c r="Z2248" s="0" t="inlineStr">
        <is>
          <t>https://new.land.naver.com/complexes/105112?tab=detail&amp;rf=Y</t>
        </is>
      </c>
      <c r="AA2248" s="0" t="inlineStr">
        <is>
          <t>서울시 강동구 암사동 488-3</t>
        </is>
      </c>
      <c r="AB2248" s="0" t="inlineStr">
        <is>
          <t>서울시</t>
        </is>
      </c>
      <c r="AC2248" s="0" t="inlineStr">
        <is>
          <t>강동구</t>
        </is>
      </c>
      <c r="AD2248" s="0" t="inlineStr">
        <is>
          <t>암사동</t>
        </is>
      </c>
      <c r="AG2248" s="0" t="inlineStr">
        <is>
          <t>서울시 강동구 상암로23길 28</t>
        </is>
      </c>
      <c r="AH2248" s="0" t="n">
        <v>0</v>
      </c>
      <c r="AI2248" s="0" t="n">
        <v>0</v>
      </c>
      <c r="AJ2248" s="0" t="n">
        <v>0</v>
      </c>
      <c r="AK2248" s="0" t="n">
        <v>28</v>
      </c>
      <c r="AL2248" s="0" t="n">
        <v>1.08</v>
      </c>
    </row>
    <row r="2249">
      <c r="A2249" s="0" t="inlineStr">
        <is>
          <t>[암사동]</t>
        </is>
      </c>
      <c r="B2249" s="0" t="n">
        <v>105112</v>
      </c>
      <c r="C2249" s="0" t="n">
        <v>3</v>
      </c>
      <c r="D2249" s="0" t="inlineStr">
        <is>
          <t>다성이즈빌(488-3)</t>
        </is>
      </c>
      <c r="E2249" s="0" t="inlineStr">
        <is>
          <t>2009.04.</t>
        </is>
      </c>
      <c r="F2249" s="0" t="n">
        <v>26</v>
      </c>
      <c r="G2249" s="0" t="n">
        <v>21.32</v>
      </c>
      <c r="H2249" s="0" t="n">
        <v>70.51000000000001</v>
      </c>
      <c r="I2249" s="0" t="n">
        <v>18.95</v>
      </c>
      <c r="J2249" s="0" t="n">
        <v>62.67</v>
      </c>
      <c r="K2249" s="0" t="n">
        <v>5</v>
      </c>
      <c r="T2249" s="0" t="n">
        <v>2</v>
      </c>
      <c r="U2249" s="0" t="n">
        <v>1</v>
      </c>
      <c r="V2249" s="0" t="inlineStr">
        <is>
          <t>복도식</t>
        </is>
      </c>
      <c r="W2249" s="0" t="inlineStr">
        <is>
          <t>70B</t>
        </is>
      </c>
      <c r="X2249" s="0" t="n">
        <v>7</v>
      </c>
      <c r="Y2249" s="0" t="n">
        <v>5</v>
      </c>
      <c r="Z2249" s="0" t="inlineStr">
        <is>
          <t>https://new.land.naver.com/complexes/105112?tab=detail&amp;rf=Y</t>
        </is>
      </c>
      <c r="AA2249" s="0" t="inlineStr">
        <is>
          <t>서울시 강동구 암사동 488-3</t>
        </is>
      </c>
      <c r="AB2249" s="0" t="inlineStr">
        <is>
          <t>서울시</t>
        </is>
      </c>
      <c r="AC2249" s="0" t="inlineStr">
        <is>
          <t>강동구</t>
        </is>
      </c>
      <c r="AD2249" s="0" t="inlineStr">
        <is>
          <t>암사동</t>
        </is>
      </c>
      <c r="AG2249" s="0" t="inlineStr">
        <is>
          <t>서울시 강동구 상암로23길 28</t>
        </is>
      </c>
      <c r="AH2249" s="0" t="n">
        <v>0</v>
      </c>
      <c r="AI2249" s="0" t="n">
        <v>0</v>
      </c>
      <c r="AJ2249" s="0" t="n">
        <v>0</v>
      </c>
      <c r="AK2249" s="0" t="n">
        <v>28</v>
      </c>
      <c r="AL2249" s="0" t="n">
        <v>1.08</v>
      </c>
    </row>
    <row r="2250">
      <c r="A2250" s="0" t="inlineStr">
        <is>
          <t>[암사동]</t>
        </is>
      </c>
      <c r="B2250" s="0" t="n">
        <v>105112</v>
      </c>
      <c r="C2250" s="0" t="n">
        <v>4</v>
      </c>
      <c r="D2250" s="0" t="inlineStr">
        <is>
          <t>다성이즈빌(488-3)</t>
        </is>
      </c>
      <c r="E2250" s="0" t="inlineStr">
        <is>
          <t>2009.04.</t>
        </is>
      </c>
      <c r="F2250" s="0" t="n">
        <v>26</v>
      </c>
      <c r="G2250" s="0" t="n">
        <v>22.75</v>
      </c>
      <c r="H2250" s="0" t="n">
        <v>75.23</v>
      </c>
      <c r="I2250" s="0" t="n">
        <v>20.86</v>
      </c>
      <c r="J2250" s="0" t="n">
        <v>68.98999999999999</v>
      </c>
      <c r="K2250" s="0" t="n">
        <v>1</v>
      </c>
      <c r="T2250" s="0" t="n">
        <v>2</v>
      </c>
      <c r="U2250" s="0" t="n">
        <v>1</v>
      </c>
      <c r="V2250" s="0" t="inlineStr">
        <is>
          <t>계단식</t>
        </is>
      </c>
      <c r="W2250" s="0" t="n">
        <v>75</v>
      </c>
      <c r="X2250" s="0" t="n">
        <v>7</v>
      </c>
      <c r="Y2250" s="0" t="n">
        <v>5</v>
      </c>
      <c r="Z2250" s="0" t="inlineStr">
        <is>
          <t>https://new.land.naver.com/complexes/105112?tab=detail&amp;rf=Y</t>
        </is>
      </c>
      <c r="AA2250" s="0" t="inlineStr">
        <is>
          <t>서울시 강동구 암사동 488-3</t>
        </is>
      </c>
      <c r="AB2250" s="0" t="inlineStr">
        <is>
          <t>서울시</t>
        </is>
      </c>
      <c r="AC2250" s="0" t="inlineStr">
        <is>
          <t>강동구</t>
        </is>
      </c>
      <c r="AD2250" s="0" t="inlineStr">
        <is>
          <t>암사동</t>
        </is>
      </c>
      <c r="AG2250" s="0" t="inlineStr">
        <is>
          <t>서울시 강동구 상암로23길 28</t>
        </is>
      </c>
      <c r="AH2250" s="0" t="n">
        <v>0</v>
      </c>
      <c r="AI2250" s="0" t="n">
        <v>0</v>
      </c>
      <c r="AJ2250" s="0" t="n">
        <v>0</v>
      </c>
      <c r="AK2250" s="0" t="n">
        <v>28</v>
      </c>
      <c r="AL2250" s="0" t="n">
        <v>1.08</v>
      </c>
    </row>
    <row r="2251">
      <c r="A2251" s="0" t="inlineStr">
        <is>
          <t>[암사동]</t>
        </is>
      </c>
      <c r="B2251" s="0" t="n">
        <v>105112</v>
      </c>
      <c r="C2251" s="0" t="n">
        <v>5</v>
      </c>
      <c r="D2251" s="0" t="inlineStr">
        <is>
          <t>다성이즈빌(488-3)</t>
        </is>
      </c>
      <c r="E2251" s="0" t="inlineStr">
        <is>
          <t>2009.04.</t>
        </is>
      </c>
      <c r="F2251" s="0" t="n">
        <v>26</v>
      </c>
      <c r="G2251" s="0" t="n">
        <v>23.74</v>
      </c>
      <c r="H2251" s="0" t="n">
        <v>78.5</v>
      </c>
      <c r="I2251" s="0" t="n">
        <v>19.96</v>
      </c>
      <c r="J2251" s="0" t="n">
        <v>66</v>
      </c>
      <c r="K2251" s="0" t="n">
        <v>1</v>
      </c>
      <c r="T2251" s="0" t="n">
        <v>3</v>
      </c>
      <c r="U2251" s="0" t="n">
        <v>2</v>
      </c>
      <c r="V2251" s="0" t="inlineStr">
        <is>
          <t>복도식</t>
        </is>
      </c>
      <c r="W2251" s="0" t="n">
        <v>78</v>
      </c>
      <c r="X2251" s="0" t="n">
        <v>7</v>
      </c>
      <c r="Y2251" s="0" t="n">
        <v>5</v>
      </c>
      <c r="Z2251" s="0" t="inlineStr">
        <is>
          <t>https://new.land.naver.com/complexes/105112?tab=detail&amp;rf=Y</t>
        </is>
      </c>
      <c r="AA2251" s="0" t="inlineStr">
        <is>
          <t>서울시 강동구 암사동 488-3</t>
        </is>
      </c>
      <c r="AB2251" s="0" t="inlineStr">
        <is>
          <t>서울시</t>
        </is>
      </c>
      <c r="AC2251" s="0" t="inlineStr">
        <is>
          <t>강동구</t>
        </is>
      </c>
      <c r="AD2251" s="0" t="inlineStr">
        <is>
          <t>암사동</t>
        </is>
      </c>
      <c r="AG2251" s="0" t="inlineStr">
        <is>
          <t>서울시 강동구 상암로23길 28</t>
        </is>
      </c>
      <c r="AH2251" s="0" t="n">
        <v>0</v>
      </c>
      <c r="AI2251" s="0" t="n">
        <v>0</v>
      </c>
      <c r="AJ2251" s="0" t="n">
        <v>0</v>
      </c>
      <c r="AK2251" s="0" t="n">
        <v>28</v>
      </c>
      <c r="AL2251" s="0" t="n">
        <v>1.08</v>
      </c>
    </row>
    <row r="2252">
      <c r="A2252" s="0" t="inlineStr">
        <is>
          <t>[암사동]</t>
        </is>
      </c>
      <c r="B2252" s="0" t="n">
        <v>105112</v>
      </c>
      <c r="C2252" s="0" t="n">
        <v>6</v>
      </c>
      <c r="D2252" s="0" t="inlineStr">
        <is>
          <t>다성이즈빌(488-3)</t>
        </is>
      </c>
      <c r="E2252" s="0" t="inlineStr">
        <is>
          <t>2009.04.</t>
        </is>
      </c>
      <c r="F2252" s="0" t="n">
        <v>26</v>
      </c>
      <c r="G2252" s="0" t="n">
        <v>27.5</v>
      </c>
      <c r="H2252" s="0" t="n">
        <v>90.92</v>
      </c>
      <c r="I2252" s="0" t="n">
        <v>23.12</v>
      </c>
      <c r="J2252" s="0" t="n">
        <v>76.44</v>
      </c>
      <c r="K2252" s="0" t="n">
        <v>1</v>
      </c>
      <c r="T2252" s="0" t="n">
        <v>3</v>
      </c>
      <c r="U2252" s="0" t="n">
        <v>2</v>
      </c>
      <c r="V2252" s="0" t="inlineStr">
        <is>
          <t>복도식</t>
        </is>
      </c>
      <c r="W2252" s="0" t="inlineStr">
        <is>
          <t>90A</t>
        </is>
      </c>
      <c r="X2252" s="0" t="n">
        <v>7</v>
      </c>
      <c r="Y2252" s="0" t="n">
        <v>5</v>
      </c>
      <c r="Z2252" s="0" t="inlineStr">
        <is>
          <t>https://new.land.naver.com/complexes/105112?tab=detail&amp;rf=Y</t>
        </is>
      </c>
      <c r="AA2252" s="0" t="inlineStr">
        <is>
          <t>서울시 강동구 암사동 488-3</t>
        </is>
      </c>
      <c r="AB2252" s="0" t="inlineStr">
        <is>
          <t>서울시</t>
        </is>
      </c>
      <c r="AC2252" s="0" t="inlineStr">
        <is>
          <t>강동구</t>
        </is>
      </c>
      <c r="AD2252" s="0" t="inlineStr">
        <is>
          <t>암사동</t>
        </is>
      </c>
      <c r="AG2252" s="0" t="inlineStr">
        <is>
          <t>서울시 강동구 상암로23길 28</t>
        </is>
      </c>
      <c r="AH2252" s="0" t="n">
        <v>0</v>
      </c>
      <c r="AI2252" s="0" t="n">
        <v>0</v>
      </c>
      <c r="AJ2252" s="0" t="n">
        <v>0</v>
      </c>
      <c r="AK2252" s="0" t="n">
        <v>28</v>
      </c>
      <c r="AL2252" s="0" t="n">
        <v>1.08</v>
      </c>
    </row>
    <row r="2253">
      <c r="A2253" s="0" t="inlineStr">
        <is>
          <t>[암사동]</t>
        </is>
      </c>
      <c r="B2253" s="0" t="n">
        <v>105112</v>
      </c>
      <c r="C2253" s="0" t="n">
        <v>7</v>
      </c>
      <c r="D2253" s="0" t="inlineStr">
        <is>
          <t>다성이즈빌(488-3)</t>
        </is>
      </c>
      <c r="E2253" s="0" t="inlineStr">
        <is>
          <t>2009.04.</t>
        </is>
      </c>
      <c r="F2253" s="0" t="n">
        <v>26</v>
      </c>
      <c r="G2253" s="0" t="n">
        <v>28</v>
      </c>
      <c r="H2253" s="0" t="n">
        <v>92.59</v>
      </c>
      <c r="I2253" s="0" t="n">
        <v>23.54</v>
      </c>
      <c r="J2253" s="0" t="n">
        <v>77.84</v>
      </c>
      <c r="K2253" s="0" t="n">
        <v>1</v>
      </c>
      <c r="T2253" s="0" t="n">
        <v>3</v>
      </c>
      <c r="U2253" s="0" t="n">
        <v>2</v>
      </c>
      <c r="V2253" s="0" t="inlineStr">
        <is>
          <t>복도식</t>
        </is>
      </c>
      <c r="W2253" s="0" t="inlineStr">
        <is>
          <t>92B</t>
        </is>
      </c>
      <c r="X2253" s="0" t="n">
        <v>7</v>
      </c>
      <c r="Y2253" s="0" t="n">
        <v>5</v>
      </c>
      <c r="Z2253" s="0" t="inlineStr">
        <is>
          <t>https://new.land.naver.com/complexes/105112?tab=detail&amp;rf=Y</t>
        </is>
      </c>
      <c r="AA2253" s="0" t="inlineStr">
        <is>
          <t>서울시 강동구 암사동 488-3</t>
        </is>
      </c>
      <c r="AB2253" s="0" t="inlineStr">
        <is>
          <t>서울시</t>
        </is>
      </c>
      <c r="AC2253" s="0" t="inlineStr">
        <is>
          <t>강동구</t>
        </is>
      </c>
      <c r="AD2253" s="0" t="inlineStr">
        <is>
          <t>암사동</t>
        </is>
      </c>
      <c r="AG2253" s="0" t="inlineStr">
        <is>
          <t>서울시 강동구 상암로23길 28</t>
        </is>
      </c>
      <c r="AH2253" s="0" t="n">
        <v>0</v>
      </c>
      <c r="AI2253" s="0" t="n">
        <v>0</v>
      </c>
      <c r="AJ2253" s="0" t="n">
        <v>0</v>
      </c>
      <c r="AK2253" s="0" t="n">
        <v>28</v>
      </c>
      <c r="AL2253" s="0" t="n">
        <v>1.08</v>
      </c>
    </row>
    <row r="2254">
      <c r="A2254" s="0" t="inlineStr">
        <is>
          <t>[암사동]</t>
        </is>
      </c>
      <c r="B2254" s="0" t="n">
        <v>105112</v>
      </c>
      <c r="C2254" s="0" t="n">
        <v>8</v>
      </c>
      <c r="D2254" s="0" t="inlineStr">
        <is>
          <t>다성이즈빌(488-3)</t>
        </is>
      </c>
      <c r="E2254" s="0" t="inlineStr">
        <is>
          <t>2009.04.</t>
        </is>
      </c>
      <c r="F2254" s="0" t="n">
        <v>26</v>
      </c>
      <c r="G2254" s="0" t="n">
        <v>28.07</v>
      </c>
      <c r="H2254" s="0" t="n">
        <v>92.81</v>
      </c>
      <c r="I2254" s="0" t="n">
        <v>23.6</v>
      </c>
      <c r="J2254" s="0" t="n">
        <v>78.03</v>
      </c>
      <c r="K2254" s="0" t="n">
        <v>1</v>
      </c>
      <c r="T2254" s="0" t="n">
        <v>3</v>
      </c>
      <c r="U2254" s="0" t="n">
        <v>2</v>
      </c>
      <c r="V2254" s="0" t="inlineStr">
        <is>
          <t>복도식</t>
        </is>
      </c>
      <c r="W2254" s="0" t="inlineStr">
        <is>
          <t>92C</t>
        </is>
      </c>
      <c r="X2254" s="0" t="n">
        <v>7</v>
      </c>
      <c r="Y2254" s="0" t="n">
        <v>5</v>
      </c>
      <c r="Z2254" s="0" t="inlineStr">
        <is>
          <t>https://new.land.naver.com/complexes/105112?tab=detail&amp;rf=Y</t>
        </is>
      </c>
      <c r="AA2254" s="0" t="inlineStr">
        <is>
          <t>서울시 강동구 암사동 488-3</t>
        </is>
      </c>
      <c r="AB2254" s="0" t="inlineStr">
        <is>
          <t>서울시</t>
        </is>
      </c>
      <c r="AC2254" s="0" t="inlineStr">
        <is>
          <t>강동구</t>
        </is>
      </c>
      <c r="AD2254" s="0" t="inlineStr">
        <is>
          <t>암사동</t>
        </is>
      </c>
      <c r="AG2254" s="0" t="inlineStr">
        <is>
          <t>서울시 강동구 상암로23길 28</t>
        </is>
      </c>
      <c r="AH2254" s="0" t="n">
        <v>0</v>
      </c>
      <c r="AI2254" s="0" t="n">
        <v>0</v>
      </c>
      <c r="AJ2254" s="0" t="n">
        <v>0</v>
      </c>
      <c r="AK2254" s="0" t="n">
        <v>28</v>
      </c>
      <c r="AL2254" s="0" t="n">
        <v>1.08</v>
      </c>
    </row>
    <row r="2255">
      <c r="A2255" s="0" t="inlineStr">
        <is>
          <t>[암사동]</t>
        </is>
      </c>
      <c r="B2255" s="0" t="n">
        <v>105112</v>
      </c>
      <c r="C2255" s="0" t="n">
        <v>9</v>
      </c>
      <c r="D2255" s="0" t="inlineStr">
        <is>
          <t>다성이즈빌(488-3)</t>
        </is>
      </c>
      <c r="E2255" s="0" t="inlineStr">
        <is>
          <t>2009.04.</t>
        </is>
      </c>
      <c r="F2255" s="0" t="n">
        <v>26</v>
      </c>
      <c r="G2255" s="0" t="n">
        <v>30.44</v>
      </c>
      <c r="H2255" s="0" t="n">
        <v>100.63</v>
      </c>
      <c r="I2255" s="0" t="n">
        <v>25.59</v>
      </c>
      <c r="J2255" s="0" t="n">
        <v>84.59999999999999</v>
      </c>
      <c r="K2255" s="0" t="n">
        <v>5</v>
      </c>
      <c r="T2255" s="0" t="n">
        <v>3</v>
      </c>
      <c r="U2255" s="0" t="n">
        <v>2</v>
      </c>
      <c r="V2255" s="0" t="inlineStr">
        <is>
          <t>복도식</t>
        </is>
      </c>
      <c r="W2255" s="0" t="n">
        <v>100</v>
      </c>
      <c r="X2255" s="0" t="n">
        <v>7</v>
      </c>
      <c r="Y2255" s="0" t="n">
        <v>5</v>
      </c>
      <c r="Z2255" s="0" t="inlineStr">
        <is>
          <t>https://new.land.naver.com/complexes/105112?tab=detail&amp;rf=Y</t>
        </is>
      </c>
      <c r="AA2255" s="0" t="inlineStr">
        <is>
          <t>서울시 강동구 암사동 488-3</t>
        </is>
      </c>
      <c r="AB2255" s="0" t="inlineStr">
        <is>
          <t>서울시</t>
        </is>
      </c>
      <c r="AC2255" s="0" t="inlineStr">
        <is>
          <t>강동구</t>
        </is>
      </c>
      <c r="AD2255" s="0" t="inlineStr">
        <is>
          <t>암사동</t>
        </is>
      </c>
      <c r="AG2255" s="0" t="inlineStr">
        <is>
          <t>서울시 강동구 상암로23길 28</t>
        </is>
      </c>
      <c r="AH2255" s="0" t="n">
        <v>0</v>
      </c>
      <c r="AI2255" s="0" t="n">
        <v>0</v>
      </c>
      <c r="AJ2255" s="0" t="n">
        <v>0</v>
      </c>
      <c r="AK2255" s="0" t="n">
        <v>28</v>
      </c>
      <c r="AL2255" s="0" t="n">
        <v>1.08</v>
      </c>
    </row>
    <row r="2256">
      <c r="A2256" s="0" t="inlineStr">
        <is>
          <t>[암사동]</t>
        </is>
      </c>
      <c r="B2256" s="0" t="n">
        <v>105112</v>
      </c>
      <c r="C2256" s="0" t="n">
        <v>10</v>
      </c>
      <c r="D2256" s="0" t="inlineStr">
        <is>
          <t>다성이즈빌(488-3)</t>
        </is>
      </c>
      <c r="E2256" s="0" t="inlineStr">
        <is>
          <t>2009.04.</t>
        </is>
      </c>
      <c r="F2256" s="0" t="n">
        <v>26</v>
      </c>
      <c r="G2256" s="0" t="n">
        <v>30.52</v>
      </c>
      <c r="H2256" s="0" t="n">
        <v>100.91</v>
      </c>
      <c r="I2256" s="0" t="n">
        <v>25.66</v>
      </c>
      <c r="J2256" s="0" t="n">
        <v>84.84</v>
      </c>
      <c r="K2256" s="0" t="n">
        <v>4</v>
      </c>
      <c r="T2256" s="0" t="n">
        <v>3</v>
      </c>
      <c r="U2256" s="0" t="n">
        <v>2</v>
      </c>
      <c r="V2256" s="0" t="inlineStr">
        <is>
          <t>복도식</t>
        </is>
      </c>
      <c r="W2256" s="0" t="inlineStr">
        <is>
          <t>100A</t>
        </is>
      </c>
      <c r="X2256" s="0" t="n">
        <v>7</v>
      </c>
      <c r="Y2256" s="0" t="n">
        <v>5</v>
      </c>
      <c r="Z2256" s="0" t="inlineStr">
        <is>
          <t>https://new.land.naver.com/complexes/105112?tab=detail&amp;rf=Y</t>
        </is>
      </c>
      <c r="AA2256" s="0" t="inlineStr">
        <is>
          <t>서울시 강동구 암사동 488-3</t>
        </is>
      </c>
      <c r="AB2256" s="0" t="inlineStr">
        <is>
          <t>서울시</t>
        </is>
      </c>
      <c r="AC2256" s="0" t="inlineStr">
        <is>
          <t>강동구</t>
        </is>
      </c>
      <c r="AD2256" s="0" t="inlineStr">
        <is>
          <t>암사동</t>
        </is>
      </c>
      <c r="AG2256" s="0" t="inlineStr">
        <is>
          <t>서울시 강동구 상암로23길 28</t>
        </is>
      </c>
      <c r="AH2256" s="0" t="n">
        <v>0</v>
      </c>
      <c r="AI2256" s="0" t="n">
        <v>0</v>
      </c>
      <c r="AJ2256" s="0" t="n">
        <v>0</v>
      </c>
      <c r="AK2256" s="0" t="n">
        <v>28</v>
      </c>
      <c r="AL2256" s="0" t="n">
        <v>1.08</v>
      </c>
    </row>
    <row r="2257">
      <c r="A2257" s="0" t="inlineStr">
        <is>
          <t>[암사동]</t>
        </is>
      </c>
      <c r="B2257" s="0" t="n">
        <v>105112</v>
      </c>
      <c r="C2257" s="0" t="n">
        <v>11</v>
      </c>
      <c r="D2257" s="0" t="inlineStr">
        <is>
          <t>다성이즈빌(488-3)</t>
        </is>
      </c>
      <c r="E2257" s="0" t="inlineStr">
        <is>
          <t>2009.04.</t>
        </is>
      </c>
      <c r="F2257" s="0" t="n">
        <v>26</v>
      </c>
      <c r="G2257" s="0" t="n">
        <v>30.55</v>
      </c>
      <c r="H2257" s="0" t="n">
        <v>101</v>
      </c>
      <c r="I2257" s="0" t="n">
        <v>25.68</v>
      </c>
      <c r="J2257" s="0" t="n">
        <v>84.91</v>
      </c>
      <c r="K2257" s="0" t="n">
        <v>5</v>
      </c>
      <c r="T2257" s="0" t="n">
        <v>3</v>
      </c>
      <c r="U2257" s="0" t="n">
        <v>2</v>
      </c>
      <c r="V2257" s="0" t="inlineStr">
        <is>
          <t>복도식</t>
        </is>
      </c>
      <c r="W2257" s="0" t="inlineStr">
        <is>
          <t>101B</t>
        </is>
      </c>
      <c r="X2257" s="0" t="n">
        <v>7</v>
      </c>
      <c r="Y2257" s="0" t="n">
        <v>5</v>
      </c>
      <c r="Z2257" s="0" t="inlineStr">
        <is>
          <t>https://new.land.naver.com/complexes/105112?tab=detail&amp;rf=Y</t>
        </is>
      </c>
      <c r="AA2257" s="0" t="inlineStr">
        <is>
          <t>서울시 강동구 암사동 488-3</t>
        </is>
      </c>
      <c r="AB2257" s="0" t="inlineStr">
        <is>
          <t>서울시</t>
        </is>
      </c>
      <c r="AC2257" s="0" t="inlineStr">
        <is>
          <t>강동구</t>
        </is>
      </c>
      <c r="AD2257" s="0" t="inlineStr">
        <is>
          <t>암사동</t>
        </is>
      </c>
      <c r="AG2257" s="0" t="inlineStr">
        <is>
          <t>서울시 강동구 상암로23길 28</t>
        </is>
      </c>
      <c r="AH2257" s="0" t="n">
        <v>0</v>
      </c>
      <c r="AI2257" s="0" t="n">
        <v>0</v>
      </c>
      <c r="AJ2257" s="0" t="n">
        <v>0</v>
      </c>
      <c r="AK2257" s="0" t="n">
        <v>28</v>
      </c>
      <c r="AL2257" s="0" t="n">
        <v>1.08</v>
      </c>
    </row>
    <row r="2258">
      <c r="A2258" s="0" t="inlineStr">
        <is>
          <t>[암사동]</t>
        </is>
      </c>
      <c r="B2258" s="0" t="n">
        <v>9487</v>
      </c>
      <c r="C2258" s="0" t="n">
        <v>1</v>
      </c>
      <c r="D2258" s="0" t="inlineStr">
        <is>
          <t>다성리버빌</t>
        </is>
      </c>
      <c r="E2258" s="0" t="inlineStr">
        <is>
          <t>2000.11.</t>
        </is>
      </c>
      <c r="F2258" s="0" t="n">
        <v>23</v>
      </c>
      <c r="G2258" s="0" t="n">
        <v>31.66</v>
      </c>
      <c r="H2258" s="0" t="n">
        <v>104.68</v>
      </c>
      <c r="I2258" s="0" t="n">
        <v>24.14</v>
      </c>
      <c r="J2258" s="0" t="n">
        <v>79.83</v>
      </c>
      <c r="K2258" s="0" t="n">
        <v>2</v>
      </c>
      <c r="T2258" s="0" t="n">
        <v>3</v>
      </c>
      <c r="U2258" s="0" t="n">
        <v>2</v>
      </c>
      <c r="V2258" s="0" t="inlineStr">
        <is>
          <t>계단식</t>
        </is>
      </c>
      <c r="W2258" s="0" t="n">
        <v>104</v>
      </c>
      <c r="X2258" s="0" t="n">
        <v>12</v>
      </c>
      <c r="Y2258" s="0" t="n">
        <v>12</v>
      </c>
      <c r="Z2258" s="0" t="inlineStr">
        <is>
          <t>https://new.land.naver.com/complexes/9487?tab=detail&amp;rf=Y</t>
        </is>
      </c>
      <c r="AA2258" s="0" t="inlineStr">
        <is>
          <t>서울시 강동구 암사동 441-1</t>
        </is>
      </c>
      <c r="AB2258" s="0" t="inlineStr">
        <is>
          <t>서울시</t>
        </is>
      </c>
      <c r="AC2258" s="0" t="inlineStr">
        <is>
          <t>강동구</t>
        </is>
      </c>
      <c r="AD2258" s="0" t="inlineStr">
        <is>
          <t>암사동</t>
        </is>
      </c>
      <c r="AG2258" s="0" t="inlineStr">
        <is>
          <t>서울시 강동구 올림픽로104길 8</t>
        </is>
      </c>
      <c r="AH2258" s="0" t="n">
        <v>0</v>
      </c>
      <c r="AI2258" s="0" t="n">
        <v>284</v>
      </c>
      <c r="AJ2258" s="0" t="n">
        <v>27</v>
      </c>
      <c r="AK2258" s="0" t="n">
        <v>26</v>
      </c>
      <c r="AL2258" s="0" t="n">
        <v>1.13</v>
      </c>
    </row>
    <row r="2259">
      <c r="A2259" s="0" t="inlineStr">
        <is>
          <t>[암사동]</t>
        </is>
      </c>
      <c r="B2259" s="0" t="n">
        <v>9487</v>
      </c>
      <c r="C2259" s="0" t="n">
        <v>2</v>
      </c>
      <c r="D2259" s="0" t="inlineStr">
        <is>
          <t>다성리버빌</t>
        </is>
      </c>
      <c r="E2259" s="0" t="inlineStr">
        <is>
          <t>2000.11.</t>
        </is>
      </c>
      <c r="F2259" s="0" t="n">
        <v>23</v>
      </c>
      <c r="G2259" s="0" t="n">
        <v>33.72</v>
      </c>
      <c r="H2259" s="0" t="n">
        <v>111.49</v>
      </c>
      <c r="I2259" s="0" t="n">
        <v>25.69</v>
      </c>
      <c r="J2259" s="0" t="n">
        <v>84.94</v>
      </c>
      <c r="K2259" s="0" t="n">
        <v>21</v>
      </c>
      <c r="T2259" s="0" t="n">
        <v>3</v>
      </c>
      <c r="U2259" s="0" t="n">
        <v>2</v>
      </c>
      <c r="V2259" s="0" t="inlineStr">
        <is>
          <t>계단식</t>
        </is>
      </c>
      <c r="W2259" s="0" t="n">
        <v>111</v>
      </c>
      <c r="X2259" s="0" t="n">
        <v>12</v>
      </c>
      <c r="Y2259" s="0" t="n">
        <v>12</v>
      </c>
      <c r="Z2259" s="0" t="inlineStr">
        <is>
          <t>https://new.land.naver.com/complexes/9487?tab=detail&amp;rf=Y</t>
        </is>
      </c>
      <c r="AA2259" s="0" t="inlineStr">
        <is>
          <t>서울시 강동구 암사동 441-1</t>
        </is>
      </c>
      <c r="AB2259" s="0" t="inlineStr">
        <is>
          <t>서울시</t>
        </is>
      </c>
      <c r="AC2259" s="0" t="inlineStr">
        <is>
          <t>강동구</t>
        </is>
      </c>
      <c r="AD2259" s="0" t="inlineStr">
        <is>
          <t>암사동</t>
        </is>
      </c>
      <c r="AG2259" s="0" t="inlineStr">
        <is>
          <t>서울시 강동구 올림픽로104길 8</t>
        </is>
      </c>
      <c r="AH2259" s="0" t="n">
        <v>0</v>
      </c>
      <c r="AI2259" s="0" t="n">
        <v>284</v>
      </c>
      <c r="AJ2259" s="0" t="n">
        <v>27</v>
      </c>
      <c r="AK2259" s="0" t="n">
        <v>26</v>
      </c>
      <c r="AL2259" s="0" t="n">
        <v>1.13</v>
      </c>
    </row>
    <row r="2260">
      <c r="A2260" s="0" t="inlineStr">
        <is>
          <t>[암사동]</t>
        </is>
      </c>
      <c r="B2260" s="0" t="n">
        <v>19578</v>
      </c>
      <c r="C2260" s="0" t="n">
        <v>1</v>
      </c>
      <c r="D2260" s="0" t="inlineStr">
        <is>
          <t>프라이어팰리스</t>
        </is>
      </c>
      <c r="E2260" s="0" t="inlineStr">
        <is>
          <t>2007.07.</t>
        </is>
      </c>
      <c r="F2260" s="0" t="n">
        <v>1622</v>
      </c>
      <c r="G2260" s="0" t="n">
        <v>24.09</v>
      </c>
      <c r="H2260" s="0" t="n">
        <v>79.65000000000001</v>
      </c>
      <c r="I2260" s="0" t="n">
        <v>18.14</v>
      </c>
      <c r="J2260" s="0" t="n">
        <v>59.98</v>
      </c>
      <c r="K2260" s="0" t="n">
        <v>328</v>
      </c>
      <c r="T2260" s="0" t="n">
        <v>3</v>
      </c>
      <c r="U2260" s="0" t="n">
        <v>2</v>
      </c>
      <c r="V2260" s="0" t="inlineStr">
        <is>
          <t>계단식</t>
        </is>
      </c>
      <c r="W2260" s="0" t="n">
        <v>79</v>
      </c>
      <c r="X2260" s="0" t="n">
        <v>30</v>
      </c>
      <c r="Y2260" s="0" t="n">
        <v>16</v>
      </c>
      <c r="Z2260" s="0" t="inlineStr">
        <is>
          <t>https://new.land.naver.com/complexes/19578?tab=detail&amp;rf=Y</t>
        </is>
      </c>
      <c r="AA2260" s="0" t="inlineStr">
        <is>
          <t>서울시 강동구 암사동 413</t>
        </is>
      </c>
      <c r="AB2260" s="0" t="inlineStr">
        <is>
          <t>서울시</t>
        </is>
      </c>
      <c r="AC2260" s="0" t="inlineStr">
        <is>
          <t>강동구</t>
        </is>
      </c>
      <c r="AD2260" s="0" t="inlineStr">
        <is>
          <t>암사동</t>
        </is>
      </c>
      <c r="AG2260" s="0" t="inlineStr">
        <is>
          <t>서울시 강동구 고덕로 130</t>
        </is>
      </c>
      <c r="AH2260" s="0" t="n">
        <v>0</v>
      </c>
      <c r="AI2260" s="0" t="n">
        <v>277</v>
      </c>
      <c r="AJ2260" s="0" t="n">
        <v>15</v>
      </c>
      <c r="AK2260" s="0" t="n">
        <v>2185</v>
      </c>
      <c r="AL2260" s="0" t="n">
        <v>1.35</v>
      </c>
    </row>
    <row r="2261">
      <c r="A2261" s="0" t="inlineStr">
        <is>
          <t>[암사동]</t>
        </is>
      </c>
      <c r="B2261" s="0" t="n">
        <v>19578</v>
      </c>
      <c r="C2261" s="0" t="n">
        <v>2</v>
      </c>
      <c r="D2261" s="0" t="inlineStr">
        <is>
          <t>프라이어팰리스</t>
        </is>
      </c>
      <c r="E2261" s="0" t="inlineStr">
        <is>
          <t>2007.07.</t>
        </is>
      </c>
      <c r="F2261" s="0" t="n">
        <v>1622</v>
      </c>
      <c r="G2261" s="0" t="n">
        <v>33.12</v>
      </c>
      <c r="H2261" s="0" t="n">
        <v>109.51</v>
      </c>
      <c r="I2261" s="0" t="n">
        <v>25.69</v>
      </c>
      <c r="J2261" s="0" t="n">
        <v>84.94</v>
      </c>
      <c r="K2261" s="0" t="n">
        <v>230</v>
      </c>
      <c r="T2261" s="0" t="n">
        <v>3</v>
      </c>
      <c r="U2261" s="0" t="n">
        <v>2</v>
      </c>
      <c r="V2261" s="0" t="inlineStr">
        <is>
          <t>계단식</t>
        </is>
      </c>
      <c r="W2261" s="0" t="inlineStr">
        <is>
          <t>109B</t>
        </is>
      </c>
      <c r="X2261" s="0" t="n">
        <v>30</v>
      </c>
      <c r="Y2261" s="0" t="n">
        <v>16</v>
      </c>
      <c r="Z2261" s="0" t="inlineStr">
        <is>
          <t>https://new.land.naver.com/complexes/19578?tab=detail&amp;rf=Y</t>
        </is>
      </c>
      <c r="AA2261" s="0" t="inlineStr">
        <is>
          <t>서울시 강동구 암사동 413</t>
        </is>
      </c>
      <c r="AB2261" s="0" t="inlineStr">
        <is>
          <t>서울시</t>
        </is>
      </c>
      <c r="AC2261" s="0" t="inlineStr">
        <is>
          <t>강동구</t>
        </is>
      </c>
      <c r="AD2261" s="0" t="inlineStr">
        <is>
          <t>암사동</t>
        </is>
      </c>
      <c r="AG2261" s="0" t="inlineStr">
        <is>
          <t>서울시 강동구 고덕로 130</t>
        </is>
      </c>
      <c r="AH2261" s="0" t="n">
        <v>0</v>
      </c>
      <c r="AI2261" s="0" t="n">
        <v>277</v>
      </c>
      <c r="AJ2261" s="0" t="n">
        <v>15</v>
      </c>
      <c r="AK2261" s="0" t="n">
        <v>2185</v>
      </c>
      <c r="AL2261" s="0" t="n">
        <v>1.35</v>
      </c>
    </row>
    <row r="2262">
      <c r="A2262" s="0" t="inlineStr">
        <is>
          <t>[암사동]</t>
        </is>
      </c>
      <c r="B2262" s="0" t="n">
        <v>19578</v>
      </c>
      <c r="C2262" s="0" t="n">
        <v>3</v>
      </c>
      <c r="D2262" s="0" t="inlineStr">
        <is>
          <t>프라이어팰리스</t>
        </is>
      </c>
      <c r="E2262" s="0" t="inlineStr">
        <is>
          <t>2007.07.</t>
        </is>
      </c>
      <c r="F2262" s="0" t="n">
        <v>1622</v>
      </c>
      <c r="G2262" s="0" t="n">
        <v>33.4</v>
      </c>
      <c r="H2262" s="0" t="n">
        <v>110.42</v>
      </c>
      <c r="I2262" s="0" t="n">
        <v>25.7</v>
      </c>
      <c r="J2262" s="0" t="n">
        <v>84.97</v>
      </c>
      <c r="K2262" s="0" t="n">
        <v>222</v>
      </c>
      <c r="T2262" s="0" t="n">
        <v>3</v>
      </c>
      <c r="U2262" s="0" t="n">
        <v>2</v>
      </c>
      <c r="V2262" s="0" t="inlineStr">
        <is>
          <t>계단식</t>
        </is>
      </c>
      <c r="W2262" s="0" t="inlineStr">
        <is>
          <t>110A</t>
        </is>
      </c>
      <c r="X2262" s="0" t="n">
        <v>30</v>
      </c>
      <c r="Y2262" s="0" t="n">
        <v>16</v>
      </c>
      <c r="Z2262" s="0" t="inlineStr">
        <is>
          <t>https://new.land.naver.com/complexes/19578?tab=detail&amp;rf=Y</t>
        </is>
      </c>
      <c r="AA2262" s="0" t="inlineStr">
        <is>
          <t>서울시 강동구 암사동 413</t>
        </is>
      </c>
      <c r="AB2262" s="0" t="inlineStr">
        <is>
          <t>서울시</t>
        </is>
      </c>
      <c r="AC2262" s="0" t="inlineStr">
        <is>
          <t>강동구</t>
        </is>
      </c>
      <c r="AD2262" s="0" t="inlineStr">
        <is>
          <t>암사동</t>
        </is>
      </c>
      <c r="AG2262" s="0" t="inlineStr">
        <is>
          <t>서울시 강동구 고덕로 130</t>
        </is>
      </c>
      <c r="AH2262" s="0" t="n">
        <v>0</v>
      </c>
      <c r="AI2262" s="0" t="n">
        <v>277</v>
      </c>
      <c r="AJ2262" s="0" t="n">
        <v>15</v>
      </c>
      <c r="AK2262" s="0" t="n">
        <v>2185</v>
      </c>
      <c r="AL2262" s="0" t="n">
        <v>1.35</v>
      </c>
    </row>
    <row r="2263">
      <c r="A2263" s="0" t="inlineStr">
        <is>
          <t>[암사동]</t>
        </is>
      </c>
      <c r="B2263" s="0" t="n">
        <v>19578</v>
      </c>
      <c r="C2263" s="0" t="n">
        <v>4</v>
      </c>
      <c r="D2263" s="0" t="inlineStr">
        <is>
          <t>프라이어팰리스</t>
        </is>
      </c>
      <c r="E2263" s="0" t="inlineStr">
        <is>
          <t>2007.07.</t>
        </is>
      </c>
      <c r="F2263" s="0" t="n">
        <v>1622</v>
      </c>
      <c r="G2263" s="0" t="n">
        <v>33.9</v>
      </c>
      <c r="H2263" s="0" t="n">
        <v>112.07</v>
      </c>
      <c r="I2263" s="0" t="n">
        <v>25.7</v>
      </c>
      <c r="J2263" s="0" t="n">
        <v>84.98</v>
      </c>
      <c r="K2263" s="0" t="n">
        <v>462</v>
      </c>
      <c r="T2263" s="0" t="n">
        <v>3</v>
      </c>
      <c r="U2263" s="0" t="n">
        <v>2</v>
      </c>
      <c r="V2263" s="0" t="inlineStr">
        <is>
          <t>계단식</t>
        </is>
      </c>
      <c r="W2263" s="0" t="n">
        <v>112</v>
      </c>
      <c r="X2263" s="0" t="n">
        <v>30</v>
      </c>
      <c r="Y2263" s="0" t="n">
        <v>16</v>
      </c>
      <c r="Z2263" s="0" t="inlineStr">
        <is>
          <t>https://new.land.naver.com/complexes/19578?tab=detail&amp;rf=Y</t>
        </is>
      </c>
      <c r="AA2263" s="0" t="inlineStr">
        <is>
          <t>서울시 강동구 암사동 413</t>
        </is>
      </c>
      <c r="AB2263" s="0" t="inlineStr">
        <is>
          <t>서울시</t>
        </is>
      </c>
      <c r="AC2263" s="0" t="inlineStr">
        <is>
          <t>강동구</t>
        </is>
      </c>
      <c r="AD2263" s="0" t="inlineStr">
        <is>
          <t>암사동</t>
        </is>
      </c>
      <c r="AG2263" s="0" t="inlineStr">
        <is>
          <t>서울시 강동구 고덕로 130</t>
        </is>
      </c>
      <c r="AH2263" s="0" t="n">
        <v>0</v>
      </c>
      <c r="AI2263" s="0" t="n">
        <v>277</v>
      </c>
      <c r="AJ2263" s="0" t="n">
        <v>15</v>
      </c>
      <c r="AK2263" s="0" t="n">
        <v>2185</v>
      </c>
      <c r="AL2263" s="0" t="n">
        <v>1.35</v>
      </c>
    </row>
    <row r="2264">
      <c r="A2264" s="0" t="inlineStr">
        <is>
          <t>[암사동]</t>
        </is>
      </c>
      <c r="B2264" s="0" t="n">
        <v>19578</v>
      </c>
      <c r="C2264" s="0" t="n">
        <v>5</v>
      </c>
      <c r="D2264" s="0" t="inlineStr">
        <is>
          <t>프라이어팰리스</t>
        </is>
      </c>
      <c r="E2264" s="0" t="inlineStr">
        <is>
          <t>2007.07.</t>
        </is>
      </c>
      <c r="F2264" s="0" t="n">
        <v>1622</v>
      </c>
      <c r="G2264" s="0" t="n">
        <v>43.18</v>
      </c>
      <c r="H2264" s="0" t="n">
        <v>142.75</v>
      </c>
      <c r="I2264" s="0" t="n">
        <v>34.56</v>
      </c>
      <c r="J2264" s="0" t="n">
        <v>114.27</v>
      </c>
      <c r="K2264" s="0" t="n">
        <v>380</v>
      </c>
      <c r="T2264" s="0" t="n">
        <v>4</v>
      </c>
      <c r="U2264" s="0" t="n">
        <v>2</v>
      </c>
      <c r="V2264" s="0" t="inlineStr">
        <is>
          <t>계단식</t>
        </is>
      </c>
      <c r="W2264" s="0" t="n">
        <v>142</v>
      </c>
      <c r="X2264" s="0" t="n">
        <v>30</v>
      </c>
      <c r="Y2264" s="0" t="n">
        <v>16</v>
      </c>
      <c r="Z2264" s="0" t="inlineStr">
        <is>
          <t>https://new.land.naver.com/complexes/19578?tab=detail&amp;rf=Y</t>
        </is>
      </c>
      <c r="AA2264" s="0" t="inlineStr">
        <is>
          <t>서울시 강동구 암사동 413</t>
        </is>
      </c>
      <c r="AB2264" s="0" t="inlineStr">
        <is>
          <t>서울시</t>
        </is>
      </c>
      <c r="AC2264" s="0" t="inlineStr">
        <is>
          <t>강동구</t>
        </is>
      </c>
      <c r="AD2264" s="0" t="inlineStr">
        <is>
          <t>암사동</t>
        </is>
      </c>
      <c r="AG2264" s="0" t="inlineStr">
        <is>
          <t>서울시 강동구 고덕로 130</t>
        </is>
      </c>
      <c r="AH2264" s="0" t="n">
        <v>0</v>
      </c>
      <c r="AI2264" s="0" t="n">
        <v>277</v>
      </c>
      <c r="AJ2264" s="0" t="n">
        <v>15</v>
      </c>
      <c r="AK2264" s="0" t="n">
        <v>2185</v>
      </c>
      <c r="AL2264" s="0" t="n">
        <v>1.35</v>
      </c>
    </row>
    <row r="2265">
      <c r="A2265" s="0" t="inlineStr">
        <is>
          <t>[암사동]</t>
        </is>
      </c>
      <c r="B2265" s="0" t="n">
        <v>995</v>
      </c>
      <c r="C2265" s="0" t="n">
        <v>1</v>
      </c>
      <c r="D2265" s="0" t="inlineStr">
        <is>
          <t>대원</t>
        </is>
      </c>
      <c r="E2265" s="0" t="inlineStr">
        <is>
          <t>1998.06.</t>
        </is>
      </c>
      <c r="F2265" s="0" t="n">
        <v>114</v>
      </c>
      <c r="G2265" s="0" t="n">
        <v>32.77</v>
      </c>
      <c r="H2265" s="0" t="n">
        <v>108.34</v>
      </c>
      <c r="I2265" s="0" t="n">
        <v>18.11</v>
      </c>
      <c r="J2265" s="0" t="n">
        <v>59.9</v>
      </c>
      <c r="K2265" s="0" t="n">
        <v>60</v>
      </c>
      <c r="T2265" s="0" t="n">
        <v>3</v>
      </c>
      <c r="U2265" s="0" t="n">
        <v>1</v>
      </c>
      <c r="V2265" s="0" t="inlineStr">
        <is>
          <t>복도식</t>
        </is>
      </c>
      <c r="W2265" s="0" t="n">
        <v>108</v>
      </c>
      <c r="X2265" s="0" t="n">
        <v>19</v>
      </c>
      <c r="Y2265" s="0" t="n">
        <v>16</v>
      </c>
      <c r="Z2265" s="0" t="inlineStr">
        <is>
          <t>https://new.land.naver.com/complexes/995?tab=detail&amp;rf=Y</t>
        </is>
      </c>
      <c r="AA2265" s="0" t="inlineStr">
        <is>
          <t>서울시 강동구 암사동 461</t>
        </is>
      </c>
      <c r="AB2265" s="0" t="inlineStr">
        <is>
          <t>서울시</t>
        </is>
      </c>
      <c r="AC2265" s="0" t="inlineStr">
        <is>
          <t>강동구</t>
        </is>
      </c>
      <c r="AD2265" s="0" t="inlineStr">
        <is>
          <t>암사동</t>
        </is>
      </c>
      <c r="AG2265" s="0" t="inlineStr">
        <is>
          <t>서울시 강동구 고덕로 52</t>
        </is>
      </c>
      <c r="AH2265" s="0" t="n">
        <v>0</v>
      </c>
      <c r="AI2265" s="0" t="n">
        <v>389</v>
      </c>
      <c r="AJ2265" s="0" t="n">
        <v>40</v>
      </c>
      <c r="AK2265" s="0" t="n">
        <v>134</v>
      </c>
      <c r="AL2265" s="0" t="n">
        <v>1.18</v>
      </c>
    </row>
    <row r="2266">
      <c r="A2266" s="0" t="inlineStr">
        <is>
          <t>[암사동]</t>
        </is>
      </c>
      <c r="B2266" s="0" t="n">
        <v>995</v>
      </c>
      <c r="C2266" s="0" t="n">
        <v>2</v>
      </c>
      <c r="D2266" s="0" t="inlineStr">
        <is>
          <t>대원</t>
        </is>
      </c>
      <c r="E2266" s="0" t="inlineStr">
        <is>
          <t>1998.06.</t>
        </is>
      </c>
      <c r="F2266" s="0" t="n">
        <v>114</v>
      </c>
      <c r="G2266" s="0" t="n">
        <v>46.43</v>
      </c>
      <c r="H2266" s="0" t="n">
        <v>153.52</v>
      </c>
      <c r="I2266" s="0" t="n">
        <v>25.67</v>
      </c>
      <c r="J2266" s="0" t="n">
        <v>84.88</v>
      </c>
      <c r="K2266" s="0" t="n">
        <v>54</v>
      </c>
      <c r="T2266" s="0" t="n">
        <v>3</v>
      </c>
      <c r="U2266" s="0" t="n">
        <v>2</v>
      </c>
      <c r="V2266" s="0" t="inlineStr">
        <is>
          <t>복도식</t>
        </is>
      </c>
      <c r="W2266" s="0" t="n">
        <v>153</v>
      </c>
      <c r="X2266" s="0" t="n">
        <v>19</v>
      </c>
      <c r="Y2266" s="0" t="n">
        <v>16</v>
      </c>
      <c r="Z2266" s="0" t="inlineStr">
        <is>
          <t>https://new.land.naver.com/complexes/995?tab=detail&amp;rf=Y</t>
        </is>
      </c>
      <c r="AA2266" s="0" t="inlineStr">
        <is>
          <t>서울시 강동구 암사동 461</t>
        </is>
      </c>
      <c r="AB2266" s="0" t="inlineStr">
        <is>
          <t>서울시</t>
        </is>
      </c>
      <c r="AC2266" s="0" t="inlineStr">
        <is>
          <t>강동구</t>
        </is>
      </c>
      <c r="AD2266" s="0" t="inlineStr">
        <is>
          <t>암사동</t>
        </is>
      </c>
      <c r="AG2266" s="0" t="inlineStr">
        <is>
          <t>서울시 강동구 고덕로 52</t>
        </is>
      </c>
      <c r="AH2266" s="0" t="n">
        <v>0</v>
      </c>
      <c r="AI2266" s="0" t="n">
        <v>389</v>
      </c>
      <c r="AJ2266" s="0" t="n">
        <v>40</v>
      </c>
      <c r="AK2266" s="0" t="n">
        <v>134</v>
      </c>
      <c r="AL2266" s="0" t="n">
        <v>1.18</v>
      </c>
    </row>
    <row r="2267">
      <c r="A2267" s="0" t="inlineStr">
        <is>
          <t>[암사동]</t>
        </is>
      </c>
      <c r="B2267" s="0" t="n">
        <v>120558</v>
      </c>
      <c r="C2267" s="0" t="n">
        <v>1</v>
      </c>
      <c r="D2267" s="0" t="inlineStr">
        <is>
          <t>금정우리가</t>
        </is>
      </c>
      <c r="E2267" s="0" t="inlineStr">
        <is>
          <t>2018.03.</t>
        </is>
      </c>
      <c r="F2267" s="0" t="n">
        <v>78</v>
      </c>
      <c r="G2267" s="0" t="n">
        <v>14.49</v>
      </c>
      <c r="H2267" s="0" t="n">
        <v>47.92</v>
      </c>
      <c r="I2267" s="0" t="n">
        <v>8.630000000000001</v>
      </c>
      <c r="J2267" s="0" t="n">
        <v>28.55</v>
      </c>
      <c r="K2267" s="0" t="n">
        <v>9</v>
      </c>
      <c r="T2267" s="0" t="n">
        <v>2</v>
      </c>
      <c r="U2267" s="0" t="n">
        <v>1</v>
      </c>
      <c r="V2267" s="0" t="inlineStr">
        <is>
          <t>계단식</t>
        </is>
      </c>
      <c r="W2267" s="0" t="n">
        <v>47</v>
      </c>
      <c r="X2267" s="0" t="n">
        <v>11</v>
      </c>
      <c r="Y2267" s="0" t="n">
        <v>9</v>
      </c>
      <c r="Z2267" s="0" t="inlineStr">
        <is>
          <t>https://new.land.naver.com/complexes/120558?tab=detail&amp;rf=Y</t>
        </is>
      </c>
      <c r="AA2267" s="0" t="inlineStr">
        <is>
          <t>서울시 강동구 암사동 451-16</t>
        </is>
      </c>
      <c r="AB2267" s="0" t="inlineStr">
        <is>
          <t>서울시</t>
        </is>
      </c>
      <c r="AC2267" s="0" t="inlineStr">
        <is>
          <t>강동구</t>
        </is>
      </c>
      <c r="AD2267" s="0" t="inlineStr">
        <is>
          <t>암사동</t>
        </is>
      </c>
      <c r="AG2267" s="0" t="inlineStr">
        <is>
          <t>서울시 강동구 고덕로27길 7</t>
        </is>
      </c>
      <c r="AH2267" s="0" t="n">
        <v>0</v>
      </c>
      <c r="AI2267" s="0" t="n">
        <v>281</v>
      </c>
      <c r="AJ2267" s="0" t="n">
        <v>49</v>
      </c>
      <c r="AK2267" s="0" t="n">
        <v>62</v>
      </c>
      <c r="AL2267" s="0" t="n">
        <v>0.79</v>
      </c>
    </row>
    <row r="2268">
      <c r="A2268" s="0" t="inlineStr">
        <is>
          <t>[암사동]</t>
        </is>
      </c>
      <c r="B2268" s="0" t="n">
        <v>120558</v>
      </c>
      <c r="C2268" s="0" t="n">
        <v>2</v>
      </c>
      <c r="D2268" s="0" t="inlineStr">
        <is>
          <t>금정우리가</t>
        </is>
      </c>
      <c r="E2268" s="0" t="inlineStr">
        <is>
          <t>2018.03.</t>
        </is>
      </c>
      <c r="F2268" s="0" t="n">
        <v>78</v>
      </c>
      <c r="G2268" s="0" t="n">
        <v>16.29</v>
      </c>
      <c r="H2268" s="0" t="n">
        <v>53.88</v>
      </c>
      <c r="I2268" s="0" t="n">
        <v>8.91</v>
      </c>
      <c r="J2268" s="0" t="n">
        <v>29.46</v>
      </c>
      <c r="K2268" s="0" t="n">
        <v>63</v>
      </c>
      <c r="T2268" s="0" t="n">
        <v>2</v>
      </c>
      <c r="U2268" s="0" t="n">
        <v>1</v>
      </c>
      <c r="V2268" s="0" t="inlineStr">
        <is>
          <t>계단식</t>
        </is>
      </c>
      <c r="W2268" s="0" t="n">
        <v>53</v>
      </c>
      <c r="X2268" s="0" t="n">
        <v>11</v>
      </c>
      <c r="Y2268" s="0" t="n">
        <v>9</v>
      </c>
      <c r="Z2268" s="0" t="inlineStr">
        <is>
          <t>https://new.land.naver.com/complexes/120558?tab=detail&amp;rf=Y</t>
        </is>
      </c>
      <c r="AA2268" s="0" t="inlineStr">
        <is>
          <t>서울시 강동구 암사동 451-16</t>
        </is>
      </c>
      <c r="AB2268" s="0" t="inlineStr">
        <is>
          <t>서울시</t>
        </is>
      </c>
      <c r="AC2268" s="0" t="inlineStr">
        <is>
          <t>강동구</t>
        </is>
      </c>
      <c r="AD2268" s="0" t="inlineStr">
        <is>
          <t>암사동</t>
        </is>
      </c>
      <c r="AG2268" s="0" t="inlineStr">
        <is>
          <t>서울시 강동구 고덕로27길 7</t>
        </is>
      </c>
      <c r="AH2268" s="0" t="n">
        <v>0</v>
      </c>
      <c r="AI2268" s="0" t="n">
        <v>281</v>
      </c>
      <c r="AJ2268" s="0" t="n">
        <v>49</v>
      </c>
      <c r="AK2268" s="0" t="n">
        <v>62</v>
      </c>
      <c r="AL2268" s="0" t="n">
        <v>0.79</v>
      </c>
    </row>
    <row r="2269">
      <c r="A2269" s="0" t="inlineStr">
        <is>
          <t>[암사동]</t>
        </is>
      </c>
      <c r="B2269" s="0" t="n">
        <v>120558</v>
      </c>
      <c r="C2269" s="0" t="n">
        <v>3</v>
      </c>
      <c r="D2269" s="0" t="inlineStr">
        <is>
          <t>금정우리가</t>
        </is>
      </c>
      <c r="E2269" s="0" t="inlineStr">
        <is>
          <t>2018.03.</t>
        </is>
      </c>
      <c r="F2269" s="0" t="n">
        <v>78</v>
      </c>
      <c r="G2269" s="0" t="n">
        <v>19.58</v>
      </c>
      <c r="H2269" s="0" t="n">
        <v>64.73</v>
      </c>
      <c r="I2269" s="0" t="n">
        <v>10.59</v>
      </c>
      <c r="J2269" s="0" t="n">
        <v>35.04</v>
      </c>
      <c r="K2269" s="0" t="n">
        <v>2</v>
      </c>
      <c r="T2269" s="0" t="n">
        <v>3</v>
      </c>
      <c r="U2269" s="0" t="n">
        <v>1</v>
      </c>
      <c r="V2269" s="0" t="inlineStr">
        <is>
          <t>계단식</t>
        </is>
      </c>
      <c r="W2269" s="0" t="n">
        <v>64</v>
      </c>
      <c r="X2269" s="0" t="n">
        <v>11</v>
      </c>
      <c r="Y2269" s="0" t="n">
        <v>9</v>
      </c>
      <c r="Z2269" s="0" t="inlineStr">
        <is>
          <t>https://new.land.naver.com/complexes/120558?tab=detail&amp;rf=Y</t>
        </is>
      </c>
      <c r="AA2269" s="0" t="inlineStr">
        <is>
          <t>서울시 강동구 암사동 451-16</t>
        </is>
      </c>
      <c r="AB2269" s="0" t="inlineStr">
        <is>
          <t>서울시</t>
        </is>
      </c>
      <c r="AC2269" s="0" t="inlineStr">
        <is>
          <t>강동구</t>
        </is>
      </c>
      <c r="AD2269" s="0" t="inlineStr">
        <is>
          <t>암사동</t>
        </is>
      </c>
      <c r="AG2269" s="0" t="inlineStr">
        <is>
          <t>서울시 강동구 고덕로27길 7</t>
        </is>
      </c>
      <c r="AH2269" s="0" t="n">
        <v>0</v>
      </c>
      <c r="AI2269" s="0" t="n">
        <v>281</v>
      </c>
      <c r="AJ2269" s="0" t="n">
        <v>49</v>
      </c>
      <c r="AK2269" s="0" t="n">
        <v>62</v>
      </c>
      <c r="AL2269" s="0" t="n">
        <v>0.79</v>
      </c>
    </row>
    <row r="2270">
      <c r="A2270" s="0" t="inlineStr">
        <is>
          <t>[암사동]</t>
        </is>
      </c>
      <c r="B2270" s="0" t="n">
        <v>120558</v>
      </c>
      <c r="C2270" s="0" t="n">
        <v>4</v>
      </c>
      <c r="D2270" s="0" t="inlineStr">
        <is>
          <t>금정우리가</t>
        </is>
      </c>
      <c r="E2270" s="0" t="inlineStr">
        <is>
          <t>2018.03.</t>
        </is>
      </c>
      <c r="F2270" s="0" t="n">
        <v>78</v>
      </c>
      <c r="G2270" s="0" t="n">
        <v>23.1</v>
      </c>
      <c r="H2270" s="0" t="n">
        <v>76.38</v>
      </c>
      <c r="I2270" s="0" t="n">
        <v>12.46</v>
      </c>
      <c r="J2270" s="0" t="n">
        <v>41.2</v>
      </c>
      <c r="K2270" s="0" t="n">
        <v>1</v>
      </c>
      <c r="T2270" s="0" t="n">
        <v>3</v>
      </c>
      <c r="U2270" s="0" t="n">
        <v>1</v>
      </c>
      <c r="V2270" s="0" t="inlineStr">
        <is>
          <t>계단식</t>
        </is>
      </c>
      <c r="W2270" s="0" t="n">
        <v>76</v>
      </c>
      <c r="X2270" s="0" t="n">
        <v>11</v>
      </c>
      <c r="Y2270" s="0" t="n">
        <v>9</v>
      </c>
      <c r="Z2270" s="0" t="inlineStr">
        <is>
          <t>https://new.land.naver.com/complexes/120558?tab=detail&amp;rf=Y</t>
        </is>
      </c>
      <c r="AA2270" s="0" t="inlineStr">
        <is>
          <t>서울시 강동구 암사동 451-16</t>
        </is>
      </c>
      <c r="AB2270" s="0" t="inlineStr">
        <is>
          <t>서울시</t>
        </is>
      </c>
      <c r="AC2270" s="0" t="inlineStr">
        <is>
          <t>강동구</t>
        </is>
      </c>
      <c r="AD2270" s="0" t="inlineStr">
        <is>
          <t>암사동</t>
        </is>
      </c>
      <c r="AG2270" s="0" t="inlineStr">
        <is>
          <t>서울시 강동구 고덕로27길 7</t>
        </is>
      </c>
      <c r="AH2270" s="0" t="n">
        <v>0</v>
      </c>
      <c r="AI2270" s="0" t="n">
        <v>281</v>
      </c>
      <c r="AJ2270" s="0" t="n">
        <v>49</v>
      </c>
      <c r="AK2270" s="0" t="n">
        <v>62</v>
      </c>
      <c r="AL2270" s="0" t="n">
        <v>0.79</v>
      </c>
    </row>
    <row r="2271">
      <c r="A2271" s="0" t="inlineStr">
        <is>
          <t>[암사동]</t>
        </is>
      </c>
      <c r="B2271" s="0" t="n">
        <v>120558</v>
      </c>
      <c r="C2271" s="0" t="n">
        <v>5</v>
      </c>
      <c r="D2271" s="0" t="inlineStr">
        <is>
          <t>금정우리가</t>
        </is>
      </c>
      <c r="E2271" s="0" t="inlineStr">
        <is>
          <t>2018.03.</t>
        </is>
      </c>
      <c r="F2271" s="0" t="n">
        <v>78</v>
      </c>
      <c r="G2271" s="0" t="n">
        <v>23.55</v>
      </c>
      <c r="H2271" s="0" t="n">
        <v>77.88</v>
      </c>
      <c r="I2271" s="0" t="n">
        <v>13.03</v>
      </c>
      <c r="J2271" s="0" t="n">
        <v>43.08</v>
      </c>
      <c r="K2271" s="0" t="n">
        <v>2</v>
      </c>
      <c r="T2271" s="0" t="n">
        <v>3</v>
      </c>
      <c r="U2271" s="0" t="n">
        <v>1</v>
      </c>
      <c r="V2271" s="0" t="inlineStr">
        <is>
          <t>계단식</t>
        </is>
      </c>
      <c r="W2271" s="0" t="n">
        <v>77</v>
      </c>
      <c r="X2271" s="0" t="n">
        <v>11</v>
      </c>
      <c r="Y2271" s="0" t="n">
        <v>9</v>
      </c>
      <c r="Z2271" s="0" t="inlineStr">
        <is>
          <t>https://new.land.naver.com/complexes/120558?tab=detail&amp;rf=Y</t>
        </is>
      </c>
      <c r="AA2271" s="0" t="inlineStr">
        <is>
          <t>서울시 강동구 암사동 451-16</t>
        </is>
      </c>
      <c r="AB2271" s="0" t="inlineStr">
        <is>
          <t>서울시</t>
        </is>
      </c>
      <c r="AC2271" s="0" t="inlineStr">
        <is>
          <t>강동구</t>
        </is>
      </c>
      <c r="AD2271" s="0" t="inlineStr">
        <is>
          <t>암사동</t>
        </is>
      </c>
      <c r="AG2271" s="0" t="inlineStr">
        <is>
          <t>서울시 강동구 고덕로27길 7</t>
        </is>
      </c>
      <c r="AH2271" s="0" t="n">
        <v>0</v>
      </c>
      <c r="AI2271" s="0" t="n">
        <v>281</v>
      </c>
      <c r="AJ2271" s="0" t="n">
        <v>49</v>
      </c>
      <c r="AK2271" s="0" t="n">
        <v>62</v>
      </c>
      <c r="AL2271" s="0" t="n">
        <v>0.79</v>
      </c>
    </row>
    <row r="2272">
      <c r="A2272" s="0" t="inlineStr">
        <is>
          <t>[암사동]</t>
        </is>
      </c>
      <c r="B2272" s="0" t="n">
        <v>120558</v>
      </c>
      <c r="C2272" s="0" t="n">
        <v>6</v>
      </c>
      <c r="D2272" s="0" t="inlineStr">
        <is>
          <t>금정우리가</t>
        </is>
      </c>
      <c r="E2272" s="0" t="inlineStr">
        <is>
          <t>2018.03.</t>
        </is>
      </c>
      <c r="F2272" s="0" t="n">
        <v>78</v>
      </c>
      <c r="G2272" s="0" t="n">
        <v>39.22</v>
      </c>
      <c r="H2272" s="0" t="n">
        <v>129.68</v>
      </c>
      <c r="I2272" s="0" t="n">
        <v>17.96</v>
      </c>
      <c r="J2272" s="0" t="n">
        <v>59.4</v>
      </c>
      <c r="K2272" s="0" t="n">
        <v>1</v>
      </c>
      <c r="T2272" s="0" t="n">
        <v>2</v>
      </c>
      <c r="U2272" s="0" t="n">
        <v>2</v>
      </c>
      <c r="V2272" s="0" t="inlineStr">
        <is>
          <t>계단식</t>
        </is>
      </c>
      <c r="W2272" s="0" t="n">
        <v>129</v>
      </c>
      <c r="X2272" s="0" t="n">
        <v>11</v>
      </c>
      <c r="Y2272" s="0" t="n">
        <v>9</v>
      </c>
      <c r="Z2272" s="0" t="inlineStr">
        <is>
          <t>https://new.land.naver.com/complexes/120558?tab=detail&amp;rf=Y</t>
        </is>
      </c>
      <c r="AA2272" s="0" t="inlineStr">
        <is>
          <t>서울시 강동구 암사동 451-16</t>
        </is>
      </c>
      <c r="AB2272" s="0" t="inlineStr">
        <is>
          <t>서울시</t>
        </is>
      </c>
      <c r="AC2272" s="0" t="inlineStr">
        <is>
          <t>강동구</t>
        </is>
      </c>
      <c r="AD2272" s="0" t="inlineStr">
        <is>
          <t>암사동</t>
        </is>
      </c>
      <c r="AG2272" s="0" t="inlineStr">
        <is>
          <t>서울시 강동구 고덕로27길 7</t>
        </is>
      </c>
      <c r="AH2272" s="0" t="n">
        <v>0</v>
      </c>
      <c r="AI2272" s="0" t="n">
        <v>281</v>
      </c>
      <c r="AJ2272" s="0" t="n">
        <v>49</v>
      </c>
      <c r="AK2272" s="0" t="n">
        <v>62</v>
      </c>
      <c r="AL2272" s="0" t="n">
        <v>0.79</v>
      </c>
    </row>
    <row r="2273">
      <c r="A2273" s="0" t="inlineStr">
        <is>
          <t>[암사동]</t>
        </is>
      </c>
      <c r="B2273" s="0" t="n">
        <v>101549</v>
      </c>
      <c r="C2273" s="0" t="n">
        <v>1</v>
      </c>
      <c r="D2273" s="0" t="inlineStr">
        <is>
          <t>라움B동</t>
        </is>
      </c>
      <c r="E2273" s="0" t="inlineStr">
        <is>
          <t>2006.04.</t>
        </is>
      </c>
      <c r="F2273" s="0" t="n">
        <v>11</v>
      </c>
      <c r="G2273" s="0" t="n">
        <v>23.58</v>
      </c>
      <c r="H2273" s="0" t="n">
        <v>77.97</v>
      </c>
      <c r="I2273" s="0" t="n">
        <v>20.46</v>
      </c>
      <c r="J2273" s="0" t="n">
        <v>67.64</v>
      </c>
      <c r="K2273" s="0" t="n">
        <v>11</v>
      </c>
      <c r="T2273" s="0" t="n">
        <v>3</v>
      </c>
      <c r="U2273" s="0" t="n">
        <v>2</v>
      </c>
      <c r="V2273" s="0" t="inlineStr">
        <is>
          <t>계단식</t>
        </is>
      </c>
      <c r="W2273" s="0" t="n">
        <v>77</v>
      </c>
      <c r="X2273" s="0" t="n">
        <v>7</v>
      </c>
      <c r="Y2273" s="0" t="n">
        <v>6</v>
      </c>
      <c r="Z2273" s="0" t="inlineStr">
        <is>
          <t>https://new.land.naver.com/complexes/101549?tab=detail&amp;rf=Y</t>
        </is>
      </c>
      <c r="AA2273" s="0" t="inlineStr">
        <is>
          <t>서울시 강동구 암사동 492-45</t>
        </is>
      </c>
      <c r="AB2273" s="0" t="inlineStr">
        <is>
          <t>서울시</t>
        </is>
      </c>
      <c r="AC2273" s="0" t="inlineStr">
        <is>
          <t>강동구</t>
        </is>
      </c>
      <c r="AD2273" s="0" t="inlineStr">
        <is>
          <t>암사동</t>
        </is>
      </c>
      <c r="AG2273" s="0" t="inlineStr">
        <is>
          <t>서울시 강동구 상암로15길 30-5</t>
        </is>
      </c>
      <c r="AH2273" s="0" t="n">
        <v>0</v>
      </c>
      <c r="AI2273" s="0" t="n">
        <v>199</v>
      </c>
      <c r="AJ2273" s="0" t="n">
        <v>39</v>
      </c>
      <c r="AK2273" s="0" t="n">
        <v>11</v>
      </c>
      <c r="AL2273" s="0" t="n">
        <v>1</v>
      </c>
    </row>
    <row r="2274">
      <c r="A2274" s="0" t="inlineStr">
        <is>
          <t>[암사동]</t>
        </is>
      </c>
      <c r="B2274" s="0" t="n">
        <v>8669</v>
      </c>
      <c r="C2274" s="0" t="n">
        <v>1</v>
      </c>
      <c r="D2274" s="0" t="inlineStr">
        <is>
          <t>정산(101동)</t>
        </is>
      </c>
      <c r="E2274" s="0" t="inlineStr">
        <is>
          <t>2000.09.</t>
        </is>
      </c>
      <c r="F2274" s="0" t="n">
        <v>19</v>
      </c>
      <c r="G2274" s="0" t="n">
        <v>30.64</v>
      </c>
      <c r="H2274" s="0" t="n">
        <v>101.32</v>
      </c>
      <c r="I2274" s="0" t="n">
        <v>25.58</v>
      </c>
      <c r="J2274" s="0" t="n">
        <v>84.59</v>
      </c>
      <c r="K2274" s="0" t="n">
        <v>16</v>
      </c>
      <c r="T2274" s="0" t="n">
        <v>3</v>
      </c>
      <c r="U2274" s="0" t="n">
        <v>2</v>
      </c>
      <c r="V2274" s="0" t="inlineStr">
        <is>
          <t>계단식</t>
        </is>
      </c>
      <c r="W2274" s="0" t="n">
        <v>101</v>
      </c>
      <c r="X2274" s="0" t="n">
        <v>14</v>
      </c>
      <c r="Y2274" s="0" t="n">
        <v>11</v>
      </c>
      <c r="Z2274" s="0" t="inlineStr">
        <is>
          <t>https://new.land.naver.com/complexes/8669?tab=detail&amp;rf=Y</t>
        </is>
      </c>
      <c r="AA2274" s="0" t="inlineStr">
        <is>
          <t>서울시 강동구 암사동 441-10</t>
        </is>
      </c>
      <c r="AB2274" s="0" t="inlineStr">
        <is>
          <t>서울시</t>
        </is>
      </c>
      <c r="AC2274" s="0" t="inlineStr">
        <is>
          <t>강동구</t>
        </is>
      </c>
      <c r="AD2274" s="0" t="inlineStr">
        <is>
          <t>암사동</t>
        </is>
      </c>
      <c r="AG2274" s="0" t="inlineStr">
        <is>
          <t>서울시 강동구 고덕로 47</t>
        </is>
      </c>
      <c r="AH2274" s="0" t="n">
        <v>0</v>
      </c>
      <c r="AI2274" s="0" t="n">
        <v>297</v>
      </c>
      <c r="AJ2274" s="0" t="n">
        <v>29</v>
      </c>
      <c r="AK2274" s="0" t="n">
        <v>26</v>
      </c>
      <c r="AL2274" s="0" t="n">
        <v>1.37</v>
      </c>
    </row>
    <row r="2275">
      <c r="A2275" s="0" t="inlineStr">
        <is>
          <t>[암사동]</t>
        </is>
      </c>
      <c r="B2275" s="0" t="n">
        <v>8669</v>
      </c>
      <c r="C2275" s="0" t="n">
        <v>2</v>
      </c>
      <c r="D2275" s="0" t="inlineStr">
        <is>
          <t>정산(101동)</t>
        </is>
      </c>
      <c r="E2275" s="0" t="inlineStr">
        <is>
          <t>2000.09.</t>
        </is>
      </c>
      <c r="F2275" s="0" t="n">
        <v>19</v>
      </c>
      <c r="G2275" s="0" t="n">
        <v>62.92</v>
      </c>
      <c r="H2275" s="0" t="n">
        <v>208.03</v>
      </c>
      <c r="I2275" s="0" t="n">
        <v>52.53</v>
      </c>
      <c r="J2275" s="0" t="n">
        <v>173.68</v>
      </c>
      <c r="K2275" s="0" t="n">
        <v>3</v>
      </c>
      <c r="T2275" s="0" t="n">
        <v>5</v>
      </c>
      <c r="U2275" s="0" t="n">
        <v>3</v>
      </c>
      <c r="V2275" s="0" t="inlineStr">
        <is>
          <t>계단식</t>
        </is>
      </c>
      <c r="W2275" s="0" t="n">
        <v>208</v>
      </c>
      <c r="X2275" s="0" t="n">
        <v>14</v>
      </c>
      <c r="Y2275" s="0" t="n">
        <v>11</v>
      </c>
      <c r="Z2275" s="0" t="inlineStr">
        <is>
          <t>https://new.land.naver.com/complexes/8669?tab=detail&amp;rf=Y</t>
        </is>
      </c>
      <c r="AA2275" s="0" t="inlineStr">
        <is>
          <t>서울시 강동구 암사동 441-10</t>
        </is>
      </c>
      <c r="AB2275" s="0" t="inlineStr">
        <is>
          <t>서울시</t>
        </is>
      </c>
      <c r="AC2275" s="0" t="inlineStr">
        <is>
          <t>강동구</t>
        </is>
      </c>
      <c r="AD2275" s="0" t="inlineStr">
        <is>
          <t>암사동</t>
        </is>
      </c>
      <c r="AG2275" s="0" t="inlineStr">
        <is>
          <t>서울시 강동구 고덕로 47</t>
        </is>
      </c>
      <c r="AH2275" s="0" t="n">
        <v>0</v>
      </c>
      <c r="AI2275" s="0" t="n">
        <v>297</v>
      </c>
      <c r="AJ2275" s="0" t="n">
        <v>29</v>
      </c>
      <c r="AK2275" s="0" t="n">
        <v>26</v>
      </c>
      <c r="AL2275" s="0" t="n">
        <v>1.37</v>
      </c>
    </row>
    <row r="2276">
      <c r="A2276" s="0" t="inlineStr">
        <is>
          <t>[암사동]</t>
        </is>
      </c>
      <c r="B2276" s="0" t="n">
        <v>111771</v>
      </c>
      <c r="C2276" s="0" t="n">
        <v>1</v>
      </c>
      <c r="D2276" s="0" t="inlineStr">
        <is>
          <t>한강리치팰리스</t>
        </is>
      </c>
      <c r="E2276" s="0" t="inlineStr">
        <is>
          <t>2010.08.</t>
        </is>
      </c>
      <c r="F2276" s="0" t="n">
        <v>17</v>
      </c>
      <c r="G2276" s="0" t="n">
        <v>28.2</v>
      </c>
      <c r="H2276" s="0" t="n">
        <v>93.23</v>
      </c>
      <c r="I2276" s="0" t="n">
        <v>23.65</v>
      </c>
      <c r="J2276" s="0" t="n">
        <v>78.19</v>
      </c>
      <c r="K2276" s="0" t="n">
        <v>5</v>
      </c>
      <c r="T2276" s="0" t="n">
        <v>3</v>
      </c>
      <c r="U2276" s="0" t="n">
        <v>2</v>
      </c>
      <c r="V2276" s="0" t="inlineStr">
        <is>
          <t>계단식</t>
        </is>
      </c>
      <c r="W2276" s="0" t="n">
        <v>93</v>
      </c>
      <c r="X2276" s="0" t="n">
        <v>7</v>
      </c>
      <c r="Y2276" s="0" t="n">
        <v>6</v>
      </c>
      <c r="Z2276" s="0" t="inlineStr">
        <is>
          <t>https://new.land.naver.com/complexes/111771?tab=detail&amp;rf=Y</t>
        </is>
      </c>
      <c r="AA2276" s="0" t="inlineStr">
        <is>
          <t>서울시 강동구 암사동 516-2</t>
        </is>
      </c>
      <c r="AB2276" s="0" t="inlineStr">
        <is>
          <t>서울시</t>
        </is>
      </c>
      <c r="AC2276" s="0" t="inlineStr">
        <is>
          <t>강동구</t>
        </is>
      </c>
      <c r="AD2276" s="0" t="inlineStr">
        <is>
          <t>암사동</t>
        </is>
      </c>
      <c r="AG2276" s="0" t="inlineStr">
        <is>
          <t>서울시 강동구 선사로 138</t>
        </is>
      </c>
      <c r="AH2276" s="0" t="n">
        <v>0</v>
      </c>
      <c r="AI2276" s="0" t="n">
        <v>297</v>
      </c>
      <c r="AJ2276" s="0" t="n">
        <v>58</v>
      </c>
      <c r="AK2276" s="0" t="n">
        <v>21</v>
      </c>
      <c r="AL2276" s="0" t="n">
        <v>1.24</v>
      </c>
    </row>
    <row r="2277">
      <c r="A2277" s="0" t="inlineStr">
        <is>
          <t>[암사동]</t>
        </is>
      </c>
      <c r="B2277" s="0" t="n">
        <v>111771</v>
      </c>
      <c r="C2277" s="0" t="n">
        <v>2</v>
      </c>
      <c r="D2277" s="0" t="inlineStr">
        <is>
          <t>한강리치팰리스</t>
        </is>
      </c>
      <c r="E2277" s="0" t="inlineStr">
        <is>
          <t>2010.08.</t>
        </is>
      </c>
      <c r="F2277" s="0" t="n">
        <v>17</v>
      </c>
      <c r="G2277" s="0" t="n">
        <v>29.38</v>
      </c>
      <c r="H2277" s="0" t="n">
        <v>97.13</v>
      </c>
      <c r="I2277" s="0" t="n">
        <v>24.64</v>
      </c>
      <c r="J2277" s="0" t="n">
        <v>81.45999999999999</v>
      </c>
      <c r="K2277" s="0" t="n">
        <v>5</v>
      </c>
      <c r="T2277" s="0" t="n">
        <v>3</v>
      </c>
      <c r="U2277" s="0" t="n">
        <v>2</v>
      </c>
      <c r="V2277" s="0" t="inlineStr">
        <is>
          <t>계단식</t>
        </is>
      </c>
      <c r="W2277" s="0" t="n">
        <v>97</v>
      </c>
      <c r="X2277" s="0" t="n">
        <v>7</v>
      </c>
      <c r="Y2277" s="0" t="n">
        <v>6</v>
      </c>
      <c r="Z2277" s="0" t="inlineStr">
        <is>
          <t>https://new.land.naver.com/complexes/111771?tab=detail&amp;rf=Y</t>
        </is>
      </c>
      <c r="AA2277" s="0" t="inlineStr">
        <is>
          <t>서울시 강동구 암사동 516-2</t>
        </is>
      </c>
      <c r="AB2277" s="0" t="inlineStr">
        <is>
          <t>서울시</t>
        </is>
      </c>
      <c r="AC2277" s="0" t="inlineStr">
        <is>
          <t>강동구</t>
        </is>
      </c>
      <c r="AD2277" s="0" t="inlineStr">
        <is>
          <t>암사동</t>
        </is>
      </c>
      <c r="AG2277" s="0" t="inlineStr">
        <is>
          <t>서울시 강동구 선사로 138</t>
        </is>
      </c>
      <c r="AH2277" s="0" t="n">
        <v>0</v>
      </c>
      <c r="AI2277" s="0" t="n">
        <v>297</v>
      </c>
      <c r="AJ2277" s="0" t="n">
        <v>58</v>
      </c>
      <c r="AK2277" s="0" t="n">
        <v>21</v>
      </c>
      <c r="AL2277" s="0" t="n">
        <v>1.24</v>
      </c>
    </row>
    <row r="2278">
      <c r="A2278" s="0" t="inlineStr">
        <is>
          <t>[암사동]</t>
        </is>
      </c>
      <c r="B2278" s="0" t="n">
        <v>111771</v>
      </c>
      <c r="C2278" s="0" t="n">
        <v>3</v>
      </c>
      <c r="D2278" s="0" t="inlineStr">
        <is>
          <t>한강리치팰리스</t>
        </is>
      </c>
      <c r="E2278" s="0" t="inlineStr">
        <is>
          <t>2010.08.</t>
        </is>
      </c>
      <c r="F2278" s="0" t="n">
        <v>17</v>
      </c>
      <c r="G2278" s="0" t="n">
        <v>30.6</v>
      </c>
      <c r="H2278" s="0" t="n">
        <v>101.19</v>
      </c>
      <c r="I2278" s="0" t="n">
        <v>25.67</v>
      </c>
      <c r="J2278" s="0" t="n">
        <v>84.86</v>
      </c>
      <c r="K2278" s="0" t="n">
        <v>5</v>
      </c>
      <c r="T2278" s="0" t="n">
        <v>3</v>
      </c>
      <c r="U2278" s="0" t="n">
        <v>2</v>
      </c>
      <c r="V2278" s="0" t="inlineStr">
        <is>
          <t>계단식</t>
        </is>
      </c>
      <c r="W2278" s="0" t="n">
        <v>101</v>
      </c>
      <c r="X2278" s="0" t="n">
        <v>7</v>
      </c>
      <c r="Y2278" s="0" t="n">
        <v>6</v>
      </c>
      <c r="Z2278" s="0" t="inlineStr">
        <is>
          <t>https://new.land.naver.com/complexes/111771?tab=detail&amp;rf=Y</t>
        </is>
      </c>
      <c r="AA2278" s="0" t="inlineStr">
        <is>
          <t>서울시 강동구 암사동 516-2</t>
        </is>
      </c>
      <c r="AB2278" s="0" t="inlineStr">
        <is>
          <t>서울시</t>
        </is>
      </c>
      <c r="AC2278" s="0" t="inlineStr">
        <is>
          <t>강동구</t>
        </is>
      </c>
      <c r="AD2278" s="0" t="inlineStr">
        <is>
          <t>암사동</t>
        </is>
      </c>
      <c r="AG2278" s="0" t="inlineStr">
        <is>
          <t>서울시 강동구 선사로 138</t>
        </is>
      </c>
      <c r="AH2278" s="0" t="n">
        <v>0</v>
      </c>
      <c r="AI2278" s="0" t="n">
        <v>297</v>
      </c>
      <c r="AJ2278" s="0" t="n">
        <v>58</v>
      </c>
      <c r="AK2278" s="0" t="n">
        <v>21</v>
      </c>
      <c r="AL2278" s="0" t="n">
        <v>1.24</v>
      </c>
    </row>
    <row r="2279">
      <c r="A2279" s="0" t="inlineStr">
        <is>
          <t>[암사동]</t>
        </is>
      </c>
      <c r="B2279" s="0" t="n">
        <v>111771</v>
      </c>
      <c r="C2279" s="0" t="n">
        <v>4</v>
      </c>
      <c r="D2279" s="0" t="inlineStr">
        <is>
          <t>한강리치팰리스</t>
        </is>
      </c>
      <c r="E2279" s="0" t="inlineStr">
        <is>
          <t>2010.08.</t>
        </is>
      </c>
      <c r="F2279" s="0" t="n">
        <v>17</v>
      </c>
      <c r="G2279" s="0" t="n">
        <v>44.01</v>
      </c>
      <c r="H2279" s="0" t="n">
        <v>145.51</v>
      </c>
      <c r="I2279" s="0" t="n">
        <v>36.91</v>
      </c>
      <c r="J2279" s="0" t="n">
        <v>122.03</v>
      </c>
      <c r="K2279" s="0" t="n">
        <v>1</v>
      </c>
      <c r="T2279" s="0" t="n">
        <v>3</v>
      </c>
      <c r="U2279" s="0" t="n">
        <v>2</v>
      </c>
      <c r="V2279" s="0" t="inlineStr">
        <is>
          <t>계단식</t>
        </is>
      </c>
      <c r="W2279" s="0" t="inlineStr">
        <is>
          <t>145A</t>
        </is>
      </c>
      <c r="X2279" s="0" t="n">
        <v>7</v>
      </c>
      <c r="Y2279" s="0" t="n">
        <v>6</v>
      </c>
      <c r="Z2279" s="0" t="inlineStr">
        <is>
          <t>https://new.land.naver.com/complexes/111771?tab=detail&amp;rf=Y</t>
        </is>
      </c>
      <c r="AA2279" s="0" t="inlineStr">
        <is>
          <t>서울시 강동구 암사동 516-2</t>
        </is>
      </c>
      <c r="AB2279" s="0" t="inlineStr">
        <is>
          <t>서울시</t>
        </is>
      </c>
      <c r="AC2279" s="0" t="inlineStr">
        <is>
          <t>강동구</t>
        </is>
      </c>
      <c r="AD2279" s="0" t="inlineStr">
        <is>
          <t>암사동</t>
        </is>
      </c>
      <c r="AG2279" s="0" t="inlineStr">
        <is>
          <t>서울시 강동구 선사로 138</t>
        </is>
      </c>
      <c r="AH2279" s="0" t="n">
        <v>0</v>
      </c>
      <c r="AI2279" s="0" t="n">
        <v>297</v>
      </c>
      <c r="AJ2279" s="0" t="n">
        <v>58</v>
      </c>
      <c r="AK2279" s="0" t="n">
        <v>21</v>
      </c>
      <c r="AL2279" s="0" t="n">
        <v>1.24</v>
      </c>
    </row>
    <row r="2280">
      <c r="A2280" s="0" t="inlineStr">
        <is>
          <t>[암사동]</t>
        </is>
      </c>
      <c r="B2280" s="0" t="n">
        <v>111771</v>
      </c>
      <c r="C2280" s="0" t="n">
        <v>5</v>
      </c>
      <c r="D2280" s="0" t="inlineStr">
        <is>
          <t>한강리치팰리스</t>
        </is>
      </c>
      <c r="E2280" s="0" t="inlineStr">
        <is>
          <t>2010.08.</t>
        </is>
      </c>
      <c r="F2280" s="0" t="n">
        <v>17</v>
      </c>
      <c r="G2280" s="0" t="n">
        <v>44.44</v>
      </c>
      <c r="H2280" s="0" t="n">
        <v>146.94</v>
      </c>
      <c r="I2280" s="0" t="n">
        <v>37.27</v>
      </c>
      <c r="J2280" s="0" t="n">
        <v>123.21</v>
      </c>
      <c r="K2280" s="0" t="n">
        <v>1</v>
      </c>
      <c r="T2280" s="0" t="n">
        <v>3</v>
      </c>
      <c r="U2280" s="0" t="n">
        <v>2</v>
      </c>
      <c r="V2280" s="0" t="inlineStr">
        <is>
          <t>계단식</t>
        </is>
      </c>
      <c r="W2280" s="0" t="inlineStr">
        <is>
          <t>146B</t>
        </is>
      </c>
      <c r="X2280" s="0" t="n">
        <v>7</v>
      </c>
      <c r="Y2280" s="0" t="n">
        <v>6</v>
      </c>
      <c r="Z2280" s="0" t="inlineStr">
        <is>
          <t>https://new.land.naver.com/complexes/111771?tab=detail&amp;rf=Y</t>
        </is>
      </c>
      <c r="AA2280" s="0" t="inlineStr">
        <is>
          <t>서울시 강동구 암사동 516-2</t>
        </is>
      </c>
      <c r="AB2280" s="0" t="inlineStr">
        <is>
          <t>서울시</t>
        </is>
      </c>
      <c r="AC2280" s="0" t="inlineStr">
        <is>
          <t>강동구</t>
        </is>
      </c>
      <c r="AD2280" s="0" t="inlineStr">
        <is>
          <t>암사동</t>
        </is>
      </c>
      <c r="AG2280" s="0" t="inlineStr">
        <is>
          <t>서울시 강동구 선사로 138</t>
        </is>
      </c>
      <c r="AH2280" s="0" t="n">
        <v>0</v>
      </c>
      <c r="AI2280" s="0" t="n">
        <v>297</v>
      </c>
      <c r="AJ2280" s="0" t="n">
        <v>58</v>
      </c>
      <c r="AK2280" s="0" t="n">
        <v>21</v>
      </c>
      <c r="AL2280" s="0" t="n">
        <v>1.24</v>
      </c>
    </row>
    <row r="2281">
      <c r="A2281" s="0" t="inlineStr">
        <is>
          <t>[암사동]</t>
        </is>
      </c>
      <c r="B2281" s="0" t="n">
        <v>9523</v>
      </c>
      <c r="C2281" s="0" t="n">
        <v>1</v>
      </c>
      <c r="D2281" s="0" t="inlineStr">
        <is>
          <t>한양그린</t>
        </is>
      </c>
      <c r="E2281" s="0" t="inlineStr">
        <is>
          <t>1992.03.</t>
        </is>
      </c>
      <c r="F2281" s="0" t="n">
        <v>19</v>
      </c>
      <c r="G2281" s="0" t="n">
        <v>51.99</v>
      </c>
      <c r="H2281" s="0" t="n">
        <v>171.9</v>
      </c>
      <c r="I2281" s="0" t="n">
        <v>38.72</v>
      </c>
      <c r="J2281" s="0" t="n">
        <v>128.03</v>
      </c>
      <c r="K2281" s="0" t="n">
        <v>1</v>
      </c>
      <c r="T2281" s="0" t="n">
        <v>4</v>
      </c>
      <c r="U2281" s="0" t="n">
        <v>2</v>
      </c>
      <c r="V2281" s="0" t="inlineStr">
        <is>
          <t>복도식</t>
        </is>
      </c>
      <c r="W2281" s="0" t="n">
        <v>171</v>
      </c>
      <c r="X2281" s="0" t="n">
        <v>7</v>
      </c>
      <c r="Y2281" s="0" t="n">
        <v>5</v>
      </c>
      <c r="Z2281" s="0" t="inlineStr">
        <is>
          <t>https://new.land.naver.com/complexes/9523?tab=detail&amp;rf=Y</t>
        </is>
      </c>
      <c r="AA2281" s="0" t="inlineStr">
        <is>
          <t>서울시 강동구 암사동 449</t>
        </is>
      </c>
      <c r="AB2281" s="0" t="inlineStr">
        <is>
          <t>서울시</t>
        </is>
      </c>
      <c r="AC2281" s="0" t="inlineStr">
        <is>
          <t>강동구</t>
        </is>
      </c>
      <c r="AD2281" s="0" t="inlineStr">
        <is>
          <t>암사동</t>
        </is>
      </c>
      <c r="AG2281" s="0" t="inlineStr">
        <is>
          <t>서울시 강동구 아리수로 64</t>
        </is>
      </c>
      <c r="AH2281" s="0" t="n">
        <v>0</v>
      </c>
      <c r="AI2281" s="0" t="n">
        <v>262</v>
      </c>
      <c r="AJ2281" s="0" t="n">
        <v>44</v>
      </c>
      <c r="AK2281" s="0" t="n">
        <v>13</v>
      </c>
      <c r="AL2281" s="0" t="n">
        <v>0.68</v>
      </c>
    </row>
    <row r="2282">
      <c r="A2282" s="0" t="inlineStr">
        <is>
          <t>[암사동]</t>
        </is>
      </c>
      <c r="B2282" s="0" t="n">
        <v>9523</v>
      </c>
      <c r="C2282" s="0" t="n">
        <v>2</v>
      </c>
      <c r="D2282" s="0" t="inlineStr">
        <is>
          <t>한양그린</t>
        </is>
      </c>
      <c r="E2282" s="0" t="inlineStr">
        <is>
          <t>1992.03.</t>
        </is>
      </c>
      <c r="F2282" s="0" t="n">
        <v>19</v>
      </c>
      <c r="G2282" s="0" t="n">
        <v>53.5</v>
      </c>
      <c r="H2282" s="0" t="n">
        <v>176.88</v>
      </c>
      <c r="I2282" s="0" t="n">
        <v>39.91</v>
      </c>
      <c r="J2282" s="0" t="n">
        <v>131.94</v>
      </c>
      <c r="K2282" s="0" t="n">
        <v>1</v>
      </c>
      <c r="T2282" s="0" t="n">
        <v>4</v>
      </c>
      <c r="U2282" s="0" t="n">
        <v>2</v>
      </c>
      <c r="V2282" s="0" t="inlineStr">
        <is>
          <t>복도식</t>
        </is>
      </c>
      <c r="W2282" s="0" t="inlineStr">
        <is>
          <t>176A</t>
        </is>
      </c>
      <c r="X2282" s="0" t="n">
        <v>7</v>
      </c>
      <c r="Y2282" s="0" t="n">
        <v>5</v>
      </c>
      <c r="Z2282" s="0" t="inlineStr">
        <is>
          <t>https://new.land.naver.com/complexes/9523?tab=detail&amp;rf=Y</t>
        </is>
      </c>
      <c r="AA2282" s="0" t="inlineStr">
        <is>
          <t>서울시 강동구 암사동 449</t>
        </is>
      </c>
      <c r="AB2282" s="0" t="inlineStr">
        <is>
          <t>서울시</t>
        </is>
      </c>
      <c r="AC2282" s="0" t="inlineStr">
        <is>
          <t>강동구</t>
        </is>
      </c>
      <c r="AD2282" s="0" t="inlineStr">
        <is>
          <t>암사동</t>
        </is>
      </c>
      <c r="AG2282" s="0" t="inlineStr">
        <is>
          <t>서울시 강동구 아리수로 64</t>
        </is>
      </c>
      <c r="AH2282" s="0" t="n">
        <v>0</v>
      </c>
      <c r="AI2282" s="0" t="n">
        <v>262</v>
      </c>
      <c r="AJ2282" s="0" t="n">
        <v>44</v>
      </c>
      <c r="AK2282" s="0" t="n">
        <v>13</v>
      </c>
      <c r="AL2282" s="0" t="n">
        <v>0.68</v>
      </c>
    </row>
    <row r="2283">
      <c r="A2283" s="0" t="inlineStr">
        <is>
          <t>[암사동]</t>
        </is>
      </c>
      <c r="B2283" s="0" t="n">
        <v>9523</v>
      </c>
      <c r="C2283" s="0" t="n">
        <v>3</v>
      </c>
      <c r="D2283" s="0" t="inlineStr">
        <is>
          <t>한양그린</t>
        </is>
      </c>
      <c r="E2283" s="0" t="inlineStr">
        <is>
          <t>1992.03.</t>
        </is>
      </c>
      <c r="F2283" s="0" t="n">
        <v>19</v>
      </c>
      <c r="G2283" s="0" t="n">
        <v>54.16</v>
      </c>
      <c r="H2283" s="0" t="n">
        <v>179.06</v>
      </c>
      <c r="I2283" s="0" t="n">
        <v>39.93</v>
      </c>
      <c r="J2283" s="0" t="n">
        <v>132.03</v>
      </c>
      <c r="K2283" s="0" t="n">
        <v>1</v>
      </c>
      <c r="T2283" s="0" t="n">
        <v>4</v>
      </c>
      <c r="U2283" s="0" t="n">
        <v>2</v>
      </c>
      <c r="V2283" s="0" t="inlineStr">
        <is>
          <t>복도식</t>
        </is>
      </c>
      <c r="W2283" s="0" t="inlineStr">
        <is>
          <t>179B</t>
        </is>
      </c>
      <c r="X2283" s="0" t="n">
        <v>7</v>
      </c>
      <c r="Y2283" s="0" t="n">
        <v>5</v>
      </c>
      <c r="Z2283" s="0" t="inlineStr">
        <is>
          <t>https://new.land.naver.com/complexes/9523?tab=detail&amp;rf=Y</t>
        </is>
      </c>
      <c r="AA2283" s="0" t="inlineStr">
        <is>
          <t>서울시 강동구 암사동 449</t>
        </is>
      </c>
      <c r="AB2283" s="0" t="inlineStr">
        <is>
          <t>서울시</t>
        </is>
      </c>
      <c r="AC2283" s="0" t="inlineStr">
        <is>
          <t>강동구</t>
        </is>
      </c>
      <c r="AD2283" s="0" t="inlineStr">
        <is>
          <t>암사동</t>
        </is>
      </c>
      <c r="AG2283" s="0" t="inlineStr">
        <is>
          <t>서울시 강동구 아리수로 64</t>
        </is>
      </c>
      <c r="AH2283" s="0" t="n">
        <v>0</v>
      </c>
      <c r="AI2283" s="0" t="n">
        <v>262</v>
      </c>
      <c r="AJ2283" s="0" t="n">
        <v>44</v>
      </c>
      <c r="AK2283" s="0" t="n">
        <v>13</v>
      </c>
      <c r="AL2283" s="0" t="n">
        <v>0.68</v>
      </c>
    </row>
    <row r="2284">
      <c r="A2284" s="0" t="inlineStr">
        <is>
          <t>[암사동]</t>
        </is>
      </c>
      <c r="B2284" s="0" t="n">
        <v>9523</v>
      </c>
      <c r="C2284" s="0" t="n">
        <v>4</v>
      </c>
      <c r="D2284" s="0" t="inlineStr">
        <is>
          <t>한양그린</t>
        </is>
      </c>
      <c r="E2284" s="0" t="inlineStr">
        <is>
          <t>1992.03.</t>
        </is>
      </c>
      <c r="F2284" s="0" t="n">
        <v>19</v>
      </c>
      <c r="G2284" s="0" t="n">
        <v>55.94</v>
      </c>
      <c r="H2284" s="0" t="n">
        <v>184.95</v>
      </c>
      <c r="I2284" s="0" t="n">
        <v>40.87</v>
      </c>
      <c r="J2284" s="0" t="n">
        <v>135.13</v>
      </c>
      <c r="K2284" s="0" t="n">
        <v>5</v>
      </c>
      <c r="T2284" s="0" t="n">
        <v>4</v>
      </c>
      <c r="U2284" s="0" t="n">
        <v>2</v>
      </c>
      <c r="V2284" s="0" t="inlineStr">
        <is>
          <t>계단식</t>
        </is>
      </c>
      <c r="W2284" s="0" t="n">
        <v>184</v>
      </c>
      <c r="X2284" s="0" t="n">
        <v>7</v>
      </c>
      <c r="Y2284" s="0" t="n">
        <v>5</v>
      </c>
      <c r="Z2284" s="0" t="inlineStr">
        <is>
          <t>https://new.land.naver.com/complexes/9523?tab=detail&amp;rf=Y</t>
        </is>
      </c>
      <c r="AA2284" s="0" t="inlineStr">
        <is>
          <t>서울시 강동구 암사동 449</t>
        </is>
      </c>
      <c r="AB2284" s="0" t="inlineStr">
        <is>
          <t>서울시</t>
        </is>
      </c>
      <c r="AC2284" s="0" t="inlineStr">
        <is>
          <t>강동구</t>
        </is>
      </c>
      <c r="AD2284" s="0" t="inlineStr">
        <is>
          <t>암사동</t>
        </is>
      </c>
      <c r="AG2284" s="0" t="inlineStr">
        <is>
          <t>서울시 강동구 아리수로 64</t>
        </is>
      </c>
      <c r="AH2284" s="0" t="n">
        <v>0</v>
      </c>
      <c r="AI2284" s="0" t="n">
        <v>262</v>
      </c>
      <c r="AJ2284" s="0" t="n">
        <v>44</v>
      </c>
      <c r="AK2284" s="0" t="n">
        <v>13</v>
      </c>
      <c r="AL2284" s="0" t="n">
        <v>0.68</v>
      </c>
    </row>
    <row r="2285">
      <c r="A2285" s="0" t="inlineStr">
        <is>
          <t>[암사동]</t>
        </is>
      </c>
      <c r="B2285" s="0" t="n">
        <v>9523</v>
      </c>
      <c r="C2285" s="0" t="n">
        <v>5</v>
      </c>
      <c r="D2285" s="0" t="inlineStr">
        <is>
          <t>한양그린</t>
        </is>
      </c>
      <c r="E2285" s="0" t="inlineStr">
        <is>
          <t>1992.03.</t>
        </is>
      </c>
      <c r="F2285" s="0" t="n">
        <v>19</v>
      </c>
      <c r="G2285" s="0" t="n">
        <v>58.3</v>
      </c>
      <c r="H2285" s="0" t="n">
        <v>192.73</v>
      </c>
      <c r="I2285" s="0" t="n">
        <v>43.19</v>
      </c>
      <c r="J2285" s="0" t="n">
        <v>142.78</v>
      </c>
      <c r="K2285" s="0" t="n">
        <v>1</v>
      </c>
      <c r="T2285" s="0" t="n">
        <v>4</v>
      </c>
      <c r="U2285" s="0" t="n">
        <v>2</v>
      </c>
      <c r="V2285" s="0" t="inlineStr">
        <is>
          <t>계단식</t>
        </is>
      </c>
      <c r="W2285" s="0" t="n">
        <v>192</v>
      </c>
      <c r="X2285" s="0" t="n">
        <v>7</v>
      </c>
      <c r="Y2285" s="0" t="n">
        <v>5</v>
      </c>
      <c r="Z2285" s="0" t="inlineStr">
        <is>
          <t>https://new.land.naver.com/complexes/9523?tab=detail&amp;rf=Y</t>
        </is>
      </c>
      <c r="AA2285" s="0" t="inlineStr">
        <is>
          <t>서울시 강동구 암사동 449</t>
        </is>
      </c>
      <c r="AB2285" s="0" t="inlineStr">
        <is>
          <t>서울시</t>
        </is>
      </c>
      <c r="AC2285" s="0" t="inlineStr">
        <is>
          <t>강동구</t>
        </is>
      </c>
      <c r="AD2285" s="0" t="inlineStr">
        <is>
          <t>암사동</t>
        </is>
      </c>
      <c r="AG2285" s="0" t="inlineStr">
        <is>
          <t>서울시 강동구 아리수로 64</t>
        </is>
      </c>
      <c r="AH2285" s="0" t="n">
        <v>0</v>
      </c>
      <c r="AI2285" s="0" t="n">
        <v>262</v>
      </c>
      <c r="AJ2285" s="0" t="n">
        <v>44</v>
      </c>
      <c r="AK2285" s="0" t="n">
        <v>13</v>
      </c>
      <c r="AL2285" s="0" t="n">
        <v>0.68</v>
      </c>
    </row>
    <row r="2286">
      <c r="A2286" s="0" t="inlineStr">
        <is>
          <t>[암사동]</t>
        </is>
      </c>
      <c r="B2286" s="0" t="n">
        <v>9523</v>
      </c>
      <c r="C2286" s="0" t="n">
        <v>6</v>
      </c>
      <c r="D2286" s="0" t="inlineStr">
        <is>
          <t>한양그린</t>
        </is>
      </c>
      <c r="E2286" s="0" t="inlineStr">
        <is>
          <t>1992.03.</t>
        </is>
      </c>
      <c r="F2286" s="0" t="n">
        <v>19</v>
      </c>
      <c r="G2286" s="0" t="n">
        <v>60.41</v>
      </c>
      <c r="H2286" s="0" t="n">
        <v>199.71</v>
      </c>
      <c r="I2286" s="0" t="n">
        <v>44.38</v>
      </c>
      <c r="J2286" s="0" t="n">
        <v>146.74</v>
      </c>
      <c r="K2286" s="0" t="n">
        <v>5</v>
      </c>
      <c r="T2286" s="0" t="n">
        <v>4</v>
      </c>
      <c r="U2286" s="0" t="n">
        <v>2</v>
      </c>
      <c r="V2286" s="0" t="inlineStr">
        <is>
          <t>계단식</t>
        </is>
      </c>
      <c r="W2286" s="0" t="n">
        <v>199</v>
      </c>
      <c r="X2286" s="0" t="n">
        <v>7</v>
      </c>
      <c r="Y2286" s="0" t="n">
        <v>5</v>
      </c>
      <c r="Z2286" s="0" t="inlineStr">
        <is>
          <t>https://new.land.naver.com/complexes/9523?tab=detail&amp;rf=Y</t>
        </is>
      </c>
      <c r="AA2286" s="0" t="inlineStr">
        <is>
          <t>서울시 강동구 암사동 449</t>
        </is>
      </c>
      <c r="AB2286" s="0" t="inlineStr">
        <is>
          <t>서울시</t>
        </is>
      </c>
      <c r="AC2286" s="0" t="inlineStr">
        <is>
          <t>강동구</t>
        </is>
      </c>
      <c r="AD2286" s="0" t="inlineStr">
        <is>
          <t>암사동</t>
        </is>
      </c>
      <c r="AG2286" s="0" t="inlineStr">
        <is>
          <t>서울시 강동구 아리수로 64</t>
        </is>
      </c>
      <c r="AH2286" s="0" t="n">
        <v>0</v>
      </c>
      <c r="AI2286" s="0" t="n">
        <v>262</v>
      </c>
      <c r="AJ2286" s="0" t="n">
        <v>44</v>
      </c>
      <c r="AK2286" s="0" t="n">
        <v>13</v>
      </c>
      <c r="AL2286" s="0" t="n">
        <v>0.68</v>
      </c>
    </row>
    <row r="2287">
      <c r="A2287" s="0" t="inlineStr">
        <is>
          <t>[암사동]</t>
        </is>
      </c>
      <c r="B2287" s="0" t="n">
        <v>9523</v>
      </c>
      <c r="C2287" s="0" t="n">
        <v>7</v>
      </c>
      <c r="D2287" s="0" t="inlineStr">
        <is>
          <t>한양그린</t>
        </is>
      </c>
      <c r="E2287" s="0" t="inlineStr">
        <is>
          <t>1992.03.</t>
        </is>
      </c>
      <c r="F2287" s="0" t="n">
        <v>19</v>
      </c>
      <c r="G2287" s="0" t="n">
        <v>71.69</v>
      </c>
      <c r="H2287" s="0" t="n">
        <v>237.01</v>
      </c>
      <c r="I2287" s="0" t="n">
        <v>50.21</v>
      </c>
      <c r="J2287" s="0" t="n">
        <v>166</v>
      </c>
      <c r="K2287" s="0" t="n">
        <v>5</v>
      </c>
      <c r="T2287" s="0" t="n">
        <v>4</v>
      </c>
      <c r="U2287" s="0" t="n">
        <v>2</v>
      </c>
      <c r="V2287" s="0" t="inlineStr">
        <is>
          <t>계단식</t>
        </is>
      </c>
      <c r="W2287" s="0" t="n">
        <v>237</v>
      </c>
      <c r="X2287" s="0" t="n">
        <v>7</v>
      </c>
      <c r="Y2287" s="0" t="n">
        <v>5</v>
      </c>
      <c r="Z2287" s="0" t="inlineStr">
        <is>
          <t>https://new.land.naver.com/complexes/9523?tab=detail&amp;rf=Y</t>
        </is>
      </c>
      <c r="AA2287" s="0" t="inlineStr">
        <is>
          <t>서울시 강동구 암사동 449</t>
        </is>
      </c>
      <c r="AB2287" s="0" t="inlineStr">
        <is>
          <t>서울시</t>
        </is>
      </c>
      <c r="AC2287" s="0" t="inlineStr">
        <is>
          <t>강동구</t>
        </is>
      </c>
      <c r="AD2287" s="0" t="inlineStr">
        <is>
          <t>암사동</t>
        </is>
      </c>
      <c r="AG2287" s="0" t="inlineStr">
        <is>
          <t>서울시 강동구 아리수로 64</t>
        </is>
      </c>
      <c r="AH2287" s="0" t="n">
        <v>0</v>
      </c>
      <c r="AI2287" s="0" t="n">
        <v>262</v>
      </c>
      <c r="AJ2287" s="0" t="n">
        <v>44</v>
      </c>
      <c r="AK2287" s="0" t="n">
        <v>13</v>
      </c>
      <c r="AL2287" s="0" t="n">
        <v>0.68</v>
      </c>
    </row>
    <row r="2288">
      <c r="A2288" s="0" t="inlineStr">
        <is>
          <t>[암사동]</t>
        </is>
      </c>
      <c r="B2288" s="0" t="n">
        <v>23932</v>
      </c>
      <c r="C2288" s="0" t="n">
        <v>1</v>
      </c>
      <c r="D2288" s="0" t="inlineStr">
        <is>
          <t>평대정원</t>
        </is>
      </c>
      <c r="E2288" s="0" t="inlineStr">
        <is>
          <t>2004.11.</t>
        </is>
      </c>
      <c r="F2288" s="0" t="n">
        <v>14</v>
      </c>
      <c r="G2288" s="0" t="n">
        <v>26.62</v>
      </c>
      <c r="H2288" s="0" t="n">
        <v>88.02</v>
      </c>
      <c r="I2288" s="0" t="n">
        <v>24.13</v>
      </c>
      <c r="J2288" s="0" t="n">
        <v>79.77</v>
      </c>
      <c r="K2288" s="0" t="n">
        <v>14</v>
      </c>
      <c r="T2288" s="0" t="n">
        <v>3</v>
      </c>
      <c r="U2288" s="0" t="n">
        <v>2</v>
      </c>
      <c r="V2288" s="0" t="inlineStr">
        <is>
          <t>계단식</t>
        </is>
      </c>
      <c r="W2288" s="0" t="n">
        <v>88</v>
      </c>
      <c r="X2288" s="0" t="n">
        <v>7</v>
      </c>
      <c r="Y2288" s="0" t="n">
        <v>7</v>
      </c>
      <c r="Z2288" s="0" t="inlineStr">
        <is>
          <t>https://new.land.naver.com/complexes/23932?tab=detail&amp;rf=Y</t>
        </is>
      </c>
      <c r="AA2288" s="0" t="inlineStr">
        <is>
          <t>서울시 강동구 암사동 453-38</t>
        </is>
      </c>
      <c r="AB2288" s="0" t="inlineStr">
        <is>
          <t>서울시</t>
        </is>
      </c>
      <c r="AC2288" s="0" t="inlineStr">
        <is>
          <t>강동구</t>
        </is>
      </c>
      <c r="AD2288" s="0" t="inlineStr">
        <is>
          <t>암사동</t>
        </is>
      </c>
      <c r="AG2288" s="0" t="inlineStr">
        <is>
          <t>서울시 강동구 고덕로20가길 44</t>
        </is>
      </c>
      <c r="AH2288" s="0" t="n">
        <v>0</v>
      </c>
      <c r="AI2288" s="0" t="n">
        <v>232</v>
      </c>
      <c r="AJ2288" s="0" t="n">
        <v>36</v>
      </c>
      <c r="AK2288" s="0" t="n">
        <v>14</v>
      </c>
      <c r="AL2288" s="0" t="n">
        <v>1</v>
      </c>
    </row>
    <row r="2289">
      <c r="A2289" s="0" t="inlineStr">
        <is>
          <t>[암사동]</t>
        </is>
      </c>
      <c r="B2289" s="0" t="n">
        <v>105096</v>
      </c>
      <c r="C2289" s="0" t="n">
        <v>1</v>
      </c>
      <c r="D2289" s="0" t="inlineStr">
        <is>
          <t>다성이즈빌(488-10)</t>
        </is>
      </c>
      <c r="E2289" s="0" t="inlineStr">
        <is>
          <t>2011.10.</t>
        </is>
      </c>
      <c r="F2289" s="0" t="n">
        <v>24</v>
      </c>
      <c r="G2289" s="0" t="n">
        <v>29.88</v>
      </c>
      <c r="H2289" s="0" t="n">
        <v>98.78</v>
      </c>
      <c r="I2289" s="0" t="n">
        <v>24.32</v>
      </c>
      <c r="J2289" s="0" t="n">
        <v>80.42</v>
      </c>
      <c r="K2289" s="0" t="n">
        <v>1</v>
      </c>
      <c r="T2289" s="0" t="n">
        <v>3</v>
      </c>
      <c r="U2289" s="0" t="n">
        <v>2</v>
      </c>
      <c r="V2289" s="0" t="inlineStr">
        <is>
          <t>계단식</t>
        </is>
      </c>
      <c r="W2289" s="0" t="n">
        <v>98</v>
      </c>
      <c r="X2289" s="0" t="n">
        <v>7</v>
      </c>
      <c r="Y2289" s="0" t="n">
        <v>7</v>
      </c>
      <c r="Z2289" s="0" t="inlineStr">
        <is>
          <t>https://new.land.naver.com/complexes/105096?tab=detail&amp;rf=Y</t>
        </is>
      </c>
      <c r="AA2289" s="0" t="inlineStr">
        <is>
          <t>서울시 강동구 암사동 488-10</t>
        </is>
      </c>
      <c r="AB2289" s="0" t="inlineStr">
        <is>
          <t>서울시</t>
        </is>
      </c>
      <c r="AC2289" s="0" t="inlineStr">
        <is>
          <t>강동구</t>
        </is>
      </c>
      <c r="AD2289" s="0" t="inlineStr">
        <is>
          <t>암사동</t>
        </is>
      </c>
      <c r="AG2289" s="0" t="inlineStr">
        <is>
          <t>서울시 강동구 상암로23길 14</t>
        </is>
      </c>
      <c r="AH2289" s="0" t="n">
        <v>0</v>
      </c>
      <c r="AI2289" s="0" t="n">
        <v>199</v>
      </c>
      <c r="AJ2289" s="0" t="n">
        <v>41</v>
      </c>
      <c r="AK2289" s="0" t="n">
        <v>30</v>
      </c>
      <c r="AL2289" s="0" t="n">
        <v>1.25</v>
      </c>
    </row>
    <row r="2290">
      <c r="A2290" s="0" t="inlineStr">
        <is>
          <t>[암사동]</t>
        </is>
      </c>
      <c r="B2290" s="0" t="n">
        <v>105096</v>
      </c>
      <c r="C2290" s="0" t="n">
        <v>2</v>
      </c>
      <c r="D2290" s="0" t="inlineStr">
        <is>
          <t>다성이즈빌(488-10)</t>
        </is>
      </c>
      <c r="E2290" s="0" t="inlineStr">
        <is>
          <t>2011.10.</t>
        </is>
      </c>
      <c r="F2290" s="0" t="n">
        <v>24</v>
      </c>
      <c r="G2290" s="0" t="n">
        <v>31.08</v>
      </c>
      <c r="H2290" s="0" t="n">
        <v>102.77</v>
      </c>
      <c r="I2290" s="0" t="n">
        <v>25.68</v>
      </c>
      <c r="J2290" s="0" t="n">
        <v>84.91</v>
      </c>
      <c r="K2290" s="0" t="n">
        <v>18</v>
      </c>
      <c r="T2290" s="0" t="n">
        <v>3</v>
      </c>
      <c r="U2290" s="0" t="n">
        <v>2</v>
      </c>
      <c r="V2290" s="0" t="inlineStr">
        <is>
          <t>계단식</t>
        </is>
      </c>
      <c r="W2290" s="0" t="n">
        <v>102</v>
      </c>
      <c r="X2290" s="0" t="n">
        <v>7</v>
      </c>
      <c r="Y2290" s="0" t="n">
        <v>7</v>
      </c>
      <c r="Z2290" s="0" t="inlineStr">
        <is>
          <t>https://new.land.naver.com/complexes/105096?tab=detail&amp;rf=Y</t>
        </is>
      </c>
      <c r="AA2290" s="0" t="inlineStr">
        <is>
          <t>서울시 강동구 암사동 488-10</t>
        </is>
      </c>
      <c r="AB2290" s="0" t="inlineStr">
        <is>
          <t>서울시</t>
        </is>
      </c>
      <c r="AC2290" s="0" t="inlineStr">
        <is>
          <t>강동구</t>
        </is>
      </c>
      <c r="AD2290" s="0" t="inlineStr">
        <is>
          <t>암사동</t>
        </is>
      </c>
      <c r="AG2290" s="0" t="inlineStr">
        <is>
          <t>서울시 강동구 상암로23길 14</t>
        </is>
      </c>
      <c r="AH2290" s="0" t="n">
        <v>0</v>
      </c>
      <c r="AI2290" s="0" t="n">
        <v>199</v>
      </c>
      <c r="AJ2290" s="0" t="n">
        <v>41</v>
      </c>
      <c r="AK2290" s="0" t="n">
        <v>30</v>
      </c>
      <c r="AL2290" s="0" t="n">
        <v>1.25</v>
      </c>
    </row>
    <row r="2291">
      <c r="A2291" s="0" t="inlineStr">
        <is>
          <t>[암사동]</t>
        </is>
      </c>
      <c r="B2291" s="0" t="n">
        <v>105096</v>
      </c>
      <c r="C2291" s="0" t="n">
        <v>3</v>
      </c>
      <c r="D2291" s="0" t="inlineStr">
        <is>
          <t>다성이즈빌(488-10)</t>
        </is>
      </c>
      <c r="E2291" s="0" t="inlineStr">
        <is>
          <t>2011.10.</t>
        </is>
      </c>
      <c r="F2291" s="0" t="n">
        <v>24</v>
      </c>
      <c r="G2291" s="0" t="n">
        <v>38.03</v>
      </c>
      <c r="H2291" s="0" t="n">
        <v>125.75</v>
      </c>
      <c r="I2291" s="0" t="n">
        <v>31.56</v>
      </c>
      <c r="J2291" s="0" t="n">
        <v>104.34</v>
      </c>
      <c r="K2291" s="0" t="n">
        <v>5</v>
      </c>
      <c r="T2291" s="0" t="n">
        <v>3</v>
      </c>
      <c r="U2291" s="0" t="n">
        <v>2</v>
      </c>
      <c r="V2291" s="0" t="inlineStr">
        <is>
          <t>계단식</t>
        </is>
      </c>
      <c r="W2291" s="0" t="n">
        <v>125</v>
      </c>
      <c r="X2291" s="0" t="n">
        <v>7</v>
      </c>
      <c r="Y2291" s="0" t="n">
        <v>7</v>
      </c>
      <c r="Z2291" s="0" t="inlineStr">
        <is>
          <t>https://new.land.naver.com/complexes/105096?tab=detail&amp;rf=Y</t>
        </is>
      </c>
      <c r="AA2291" s="0" t="inlineStr">
        <is>
          <t>서울시 강동구 암사동 488-10</t>
        </is>
      </c>
      <c r="AB2291" s="0" t="inlineStr">
        <is>
          <t>서울시</t>
        </is>
      </c>
      <c r="AC2291" s="0" t="inlineStr">
        <is>
          <t>강동구</t>
        </is>
      </c>
      <c r="AD2291" s="0" t="inlineStr">
        <is>
          <t>암사동</t>
        </is>
      </c>
      <c r="AG2291" s="0" t="inlineStr">
        <is>
          <t>서울시 강동구 상암로23길 14</t>
        </is>
      </c>
      <c r="AH2291" s="0" t="n">
        <v>0</v>
      </c>
      <c r="AI2291" s="0" t="n">
        <v>199</v>
      </c>
      <c r="AJ2291" s="0" t="n">
        <v>41</v>
      </c>
      <c r="AK2291" s="0" t="n">
        <v>30</v>
      </c>
      <c r="AL2291" s="0" t="n">
        <v>1.25</v>
      </c>
    </row>
    <row r="2292">
      <c r="A2292" s="0" t="inlineStr">
        <is>
          <t>[암사동]</t>
        </is>
      </c>
      <c r="B2292" s="0" t="n">
        <v>109865</v>
      </c>
      <c r="C2292" s="0" t="n">
        <v>1</v>
      </c>
      <c r="D2292" s="0" t="inlineStr">
        <is>
          <t>대의아름누리</t>
        </is>
      </c>
      <c r="E2292" s="0" t="inlineStr">
        <is>
          <t>2010.02.</t>
        </is>
      </c>
      <c r="F2292" s="0" t="n">
        <v>12</v>
      </c>
      <c r="G2292" s="0" t="n">
        <v>20.18</v>
      </c>
      <c r="H2292" s="0" t="n">
        <v>66.72</v>
      </c>
      <c r="I2292" s="0" t="n">
        <v>17.11</v>
      </c>
      <c r="J2292" s="0" t="n">
        <v>56.59</v>
      </c>
      <c r="K2292" s="0" t="n">
        <v>1</v>
      </c>
      <c r="T2292" s="0" t="n">
        <v>2</v>
      </c>
      <c r="U2292" s="0" t="n">
        <v>1</v>
      </c>
      <c r="V2292" s="0" t="inlineStr">
        <is>
          <t>계단식</t>
        </is>
      </c>
      <c r="W2292" s="0" t="n">
        <v>66</v>
      </c>
      <c r="X2292" s="0" t="n">
        <v>7</v>
      </c>
      <c r="Y2292" s="0" t="n">
        <v>6</v>
      </c>
      <c r="Z2292" s="0" t="inlineStr">
        <is>
          <t>https://new.land.naver.com/complexes/109865?tab=detail&amp;rf=Y</t>
        </is>
      </c>
      <c r="AA2292" s="0" t="inlineStr">
        <is>
          <t>서울시 강동구 암사동 671</t>
        </is>
      </c>
      <c r="AB2292" s="0" t="inlineStr">
        <is>
          <t>서울시</t>
        </is>
      </c>
      <c r="AC2292" s="0" t="inlineStr">
        <is>
          <t>강동구</t>
        </is>
      </c>
      <c r="AD2292" s="0" t="inlineStr">
        <is>
          <t>암사동</t>
        </is>
      </c>
      <c r="AG2292" s="0" t="inlineStr">
        <is>
          <t>서울시 강동구 암사19길 45</t>
        </is>
      </c>
      <c r="AH2292" s="0" t="n">
        <v>0</v>
      </c>
      <c r="AI2292" s="0" t="n">
        <v>210</v>
      </c>
      <c r="AJ2292" s="0" t="n">
        <v>44</v>
      </c>
      <c r="AK2292" s="0" t="n">
        <v>13</v>
      </c>
      <c r="AL2292" s="0" t="n">
        <v>1.08</v>
      </c>
    </row>
    <row r="2293">
      <c r="A2293" s="0" t="inlineStr">
        <is>
          <t>[암사동]</t>
        </is>
      </c>
      <c r="B2293" s="0" t="n">
        <v>109865</v>
      </c>
      <c r="C2293" s="0" t="n">
        <v>2</v>
      </c>
      <c r="D2293" s="0" t="inlineStr">
        <is>
          <t>대의아름누리</t>
        </is>
      </c>
      <c r="E2293" s="0" t="inlineStr">
        <is>
          <t>2010.02.</t>
        </is>
      </c>
      <c r="F2293" s="0" t="n">
        <v>12</v>
      </c>
      <c r="G2293" s="0" t="n">
        <v>25.49</v>
      </c>
      <c r="H2293" s="0" t="n">
        <v>84.29000000000001</v>
      </c>
      <c r="I2293" s="0" t="n">
        <v>21.62</v>
      </c>
      <c r="J2293" s="0" t="n">
        <v>71.48999999999999</v>
      </c>
      <c r="K2293" s="0" t="n">
        <v>1</v>
      </c>
      <c r="T2293" s="0" t="n">
        <v>3</v>
      </c>
      <c r="U2293" s="0" t="n">
        <v>1</v>
      </c>
      <c r="V2293" s="0" t="inlineStr">
        <is>
          <t>계단식</t>
        </is>
      </c>
      <c r="W2293" s="0" t="n">
        <v>84</v>
      </c>
      <c r="X2293" s="0" t="n">
        <v>7</v>
      </c>
      <c r="Y2293" s="0" t="n">
        <v>6</v>
      </c>
      <c r="Z2293" s="0" t="inlineStr">
        <is>
          <t>https://new.land.naver.com/complexes/109865?tab=detail&amp;rf=Y</t>
        </is>
      </c>
      <c r="AA2293" s="0" t="inlineStr">
        <is>
          <t>서울시 강동구 암사동 671</t>
        </is>
      </c>
      <c r="AB2293" s="0" t="inlineStr">
        <is>
          <t>서울시</t>
        </is>
      </c>
      <c r="AC2293" s="0" t="inlineStr">
        <is>
          <t>강동구</t>
        </is>
      </c>
      <c r="AD2293" s="0" t="inlineStr">
        <is>
          <t>암사동</t>
        </is>
      </c>
      <c r="AG2293" s="0" t="inlineStr">
        <is>
          <t>서울시 강동구 암사19길 45</t>
        </is>
      </c>
      <c r="AH2293" s="0" t="n">
        <v>0</v>
      </c>
      <c r="AI2293" s="0" t="n">
        <v>210</v>
      </c>
      <c r="AJ2293" s="0" t="n">
        <v>44</v>
      </c>
      <c r="AK2293" s="0" t="n">
        <v>13</v>
      </c>
      <c r="AL2293" s="0" t="n">
        <v>1.08</v>
      </c>
    </row>
    <row r="2294">
      <c r="A2294" s="0" t="inlineStr">
        <is>
          <t>[암사동]</t>
        </is>
      </c>
      <c r="B2294" s="0" t="n">
        <v>109865</v>
      </c>
      <c r="C2294" s="0" t="n">
        <v>3</v>
      </c>
      <c r="D2294" s="0" t="inlineStr">
        <is>
          <t>대의아름누리</t>
        </is>
      </c>
      <c r="E2294" s="0" t="inlineStr">
        <is>
          <t>2010.02.</t>
        </is>
      </c>
      <c r="F2294" s="0" t="n">
        <v>12</v>
      </c>
      <c r="G2294" s="0" t="n">
        <v>28.76</v>
      </c>
      <c r="H2294" s="0" t="n">
        <v>95.08</v>
      </c>
      <c r="I2294" s="0" t="n">
        <v>24.39</v>
      </c>
      <c r="J2294" s="0" t="n">
        <v>80.64</v>
      </c>
      <c r="K2294" s="0" t="n">
        <v>1</v>
      </c>
      <c r="T2294" s="0" t="n">
        <v>3</v>
      </c>
      <c r="U2294" s="0" t="n">
        <v>2</v>
      </c>
      <c r="V2294" s="0" t="inlineStr">
        <is>
          <t>계단식</t>
        </is>
      </c>
      <c r="W2294" s="0" t="inlineStr">
        <is>
          <t>95A</t>
        </is>
      </c>
      <c r="X2294" s="0" t="n">
        <v>7</v>
      </c>
      <c r="Y2294" s="0" t="n">
        <v>6</v>
      </c>
      <c r="Z2294" s="0" t="inlineStr">
        <is>
          <t>https://new.land.naver.com/complexes/109865?tab=detail&amp;rf=Y</t>
        </is>
      </c>
      <c r="AA2294" s="0" t="inlineStr">
        <is>
          <t>서울시 강동구 암사동 671</t>
        </is>
      </c>
      <c r="AB2294" s="0" t="inlineStr">
        <is>
          <t>서울시</t>
        </is>
      </c>
      <c r="AC2294" s="0" t="inlineStr">
        <is>
          <t>강동구</t>
        </is>
      </c>
      <c r="AD2294" s="0" t="inlineStr">
        <is>
          <t>암사동</t>
        </is>
      </c>
      <c r="AG2294" s="0" t="inlineStr">
        <is>
          <t>서울시 강동구 암사19길 45</t>
        </is>
      </c>
      <c r="AH2294" s="0" t="n">
        <v>0</v>
      </c>
      <c r="AI2294" s="0" t="n">
        <v>210</v>
      </c>
      <c r="AJ2294" s="0" t="n">
        <v>44</v>
      </c>
      <c r="AK2294" s="0" t="n">
        <v>13</v>
      </c>
      <c r="AL2294" s="0" t="n">
        <v>1.08</v>
      </c>
    </row>
    <row r="2295">
      <c r="A2295" s="0" t="inlineStr">
        <is>
          <t>[암사동]</t>
        </is>
      </c>
      <c r="B2295" s="0" t="n">
        <v>109865</v>
      </c>
      <c r="C2295" s="0" t="n">
        <v>4</v>
      </c>
      <c r="D2295" s="0" t="inlineStr">
        <is>
          <t>대의아름누리</t>
        </is>
      </c>
      <c r="E2295" s="0" t="inlineStr">
        <is>
          <t>2010.02.</t>
        </is>
      </c>
      <c r="F2295" s="0" t="n">
        <v>12</v>
      </c>
      <c r="G2295" s="0" t="n">
        <v>29.04</v>
      </c>
      <c r="H2295" s="0" t="n">
        <v>96</v>
      </c>
      <c r="I2295" s="0" t="n">
        <v>24.62</v>
      </c>
      <c r="J2295" s="0" t="n">
        <v>81.42</v>
      </c>
      <c r="K2295" s="0" t="n">
        <v>1</v>
      </c>
      <c r="T2295" s="0" t="n">
        <v>3</v>
      </c>
      <c r="U2295" s="0" t="n">
        <v>2</v>
      </c>
      <c r="V2295" s="0" t="inlineStr">
        <is>
          <t>계단식</t>
        </is>
      </c>
      <c r="W2295" s="0" t="inlineStr">
        <is>
          <t>96B</t>
        </is>
      </c>
      <c r="X2295" s="0" t="n">
        <v>7</v>
      </c>
      <c r="Y2295" s="0" t="n">
        <v>6</v>
      </c>
      <c r="Z2295" s="0" t="inlineStr">
        <is>
          <t>https://new.land.naver.com/complexes/109865?tab=detail&amp;rf=Y</t>
        </is>
      </c>
      <c r="AA2295" s="0" t="inlineStr">
        <is>
          <t>서울시 강동구 암사동 671</t>
        </is>
      </c>
      <c r="AB2295" s="0" t="inlineStr">
        <is>
          <t>서울시</t>
        </is>
      </c>
      <c r="AC2295" s="0" t="inlineStr">
        <is>
          <t>강동구</t>
        </is>
      </c>
      <c r="AD2295" s="0" t="inlineStr">
        <is>
          <t>암사동</t>
        </is>
      </c>
      <c r="AG2295" s="0" t="inlineStr">
        <is>
          <t>서울시 강동구 암사19길 45</t>
        </is>
      </c>
      <c r="AH2295" s="0" t="n">
        <v>0</v>
      </c>
      <c r="AI2295" s="0" t="n">
        <v>210</v>
      </c>
      <c r="AJ2295" s="0" t="n">
        <v>44</v>
      </c>
      <c r="AK2295" s="0" t="n">
        <v>13</v>
      </c>
      <c r="AL2295" s="0" t="n">
        <v>1.08</v>
      </c>
    </row>
    <row r="2296">
      <c r="A2296" s="0" t="inlineStr">
        <is>
          <t>[암사동]</t>
        </is>
      </c>
      <c r="B2296" s="0" t="n">
        <v>109865</v>
      </c>
      <c r="C2296" s="0" t="n">
        <v>5</v>
      </c>
      <c r="D2296" s="0" t="inlineStr">
        <is>
          <t>대의아름누리</t>
        </is>
      </c>
      <c r="E2296" s="0" t="inlineStr">
        <is>
          <t>2010.02.</t>
        </is>
      </c>
      <c r="F2296" s="0" t="n">
        <v>12</v>
      </c>
      <c r="G2296" s="0" t="n">
        <v>29.58</v>
      </c>
      <c r="H2296" s="0" t="n">
        <v>97.81</v>
      </c>
      <c r="I2296" s="0" t="n">
        <v>25.09</v>
      </c>
      <c r="J2296" s="0" t="n">
        <v>82.95</v>
      </c>
      <c r="K2296" s="0" t="n">
        <v>4</v>
      </c>
      <c r="T2296" s="0" t="n">
        <v>3</v>
      </c>
      <c r="U2296" s="0" t="n">
        <v>2</v>
      </c>
      <c r="V2296" s="0" t="inlineStr">
        <is>
          <t>계단식</t>
        </is>
      </c>
      <c r="W2296" s="0" t="inlineStr">
        <is>
          <t>97A</t>
        </is>
      </c>
      <c r="X2296" s="0" t="n">
        <v>7</v>
      </c>
      <c r="Y2296" s="0" t="n">
        <v>6</v>
      </c>
      <c r="Z2296" s="0" t="inlineStr">
        <is>
          <t>https://new.land.naver.com/complexes/109865?tab=detail&amp;rf=Y</t>
        </is>
      </c>
      <c r="AA2296" s="0" t="inlineStr">
        <is>
          <t>서울시 강동구 암사동 671</t>
        </is>
      </c>
      <c r="AB2296" s="0" t="inlineStr">
        <is>
          <t>서울시</t>
        </is>
      </c>
      <c r="AC2296" s="0" t="inlineStr">
        <is>
          <t>강동구</t>
        </is>
      </c>
      <c r="AD2296" s="0" t="inlineStr">
        <is>
          <t>암사동</t>
        </is>
      </c>
      <c r="AG2296" s="0" t="inlineStr">
        <is>
          <t>서울시 강동구 암사19길 45</t>
        </is>
      </c>
      <c r="AH2296" s="0" t="n">
        <v>0</v>
      </c>
      <c r="AI2296" s="0" t="n">
        <v>210</v>
      </c>
      <c r="AJ2296" s="0" t="n">
        <v>44</v>
      </c>
      <c r="AK2296" s="0" t="n">
        <v>13</v>
      </c>
      <c r="AL2296" s="0" t="n">
        <v>1.08</v>
      </c>
    </row>
    <row r="2297">
      <c r="A2297" s="0" t="inlineStr">
        <is>
          <t>[암사동]</t>
        </is>
      </c>
      <c r="B2297" s="0" t="n">
        <v>109865</v>
      </c>
      <c r="C2297" s="0" t="n">
        <v>6</v>
      </c>
      <c r="D2297" s="0" t="inlineStr">
        <is>
          <t>대의아름누리</t>
        </is>
      </c>
      <c r="E2297" s="0" t="inlineStr">
        <is>
          <t>2010.02.</t>
        </is>
      </c>
      <c r="F2297" s="0" t="n">
        <v>12</v>
      </c>
      <c r="G2297" s="0" t="n">
        <v>29.74</v>
      </c>
      <c r="H2297" s="0" t="n">
        <v>98.34</v>
      </c>
      <c r="I2297" s="0" t="n">
        <v>25.22</v>
      </c>
      <c r="J2297" s="0" t="n">
        <v>83.40000000000001</v>
      </c>
      <c r="K2297" s="0" t="n">
        <v>1</v>
      </c>
      <c r="T2297" s="0" t="n">
        <v>3</v>
      </c>
      <c r="U2297" s="0" t="n">
        <v>2</v>
      </c>
      <c r="V2297" s="0" t="inlineStr">
        <is>
          <t>계단식</t>
        </is>
      </c>
      <c r="W2297" s="0" t="inlineStr">
        <is>
          <t>98B</t>
        </is>
      </c>
      <c r="X2297" s="0" t="n">
        <v>7</v>
      </c>
      <c r="Y2297" s="0" t="n">
        <v>6</v>
      </c>
      <c r="Z2297" s="0" t="inlineStr">
        <is>
          <t>https://new.land.naver.com/complexes/109865?tab=detail&amp;rf=Y</t>
        </is>
      </c>
      <c r="AA2297" s="0" t="inlineStr">
        <is>
          <t>서울시 강동구 암사동 671</t>
        </is>
      </c>
      <c r="AB2297" s="0" t="inlineStr">
        <is>
          <t>서울시</t>
        </is>
      </c>
      <c r="AC2297" s="0" t="inlineStr">
        <is>
          <t>강동구</t>
        </is>
      </c>
      <c r="AD2297" s="0" t="inlineStr">
        <is>
          <t>암사동</t>
        </is>
      </c>
      <c r="AG2297" s="0" t="inlineStr">
        <is>
          <t>서울시 강동구 암사19길 45</t>
        </is>
      </c>
      <c r="AH2297" s="0" t="n">
        <v>0</v>
      </c>
      <c r="AI2297" s="0" t="n">
        <v>210</v>
      </c>
      <c r="AJ2297" s="0" t="n">
        <v>44</v>
      </c>
      <c r="AK2297" s="0" t="n">
        <v>13</v>
      </c>
      <c r="AL2297" s="0" t="n">
        <v>1.08</v>
      </c>
    </row>
    <row r="2298">
      <c r="A2298" s="0" t="inlineStr">
        <is>
          <t>[암사동]</t>
        </is>
      </c>
      <c r="B2298" s="0" t="n">
        <v>109865</v>
      </c>
      <c r="C2298" s="0" t="n">
        <v>7</v>
      </c>
      <c r="D2298" s="0" t="inlineStr">
        <is>
          <t>대의아름누리</t>
        </is>
      </c>
      <c r="E2298" s="0" t="inlineStr">
        <is>
          <t>2010.02.</t>
        </is>
      </c>
      <c r="F2298" s="0" t="n">
        <v>12</v>
      </c>
      <c r="G2298" s="0" t="n">
        <v>30.08</v>
      </c>
      <c r="H2298" s="0" t="n">
        <v>99.44</v>
      </c>
      <c r="I2298" s="0" t="n">
        <v>25.5</v>
      </c>
      <c r="J2298" s="0" t="n">
        <v>84.33</v>
      </c>
      <c r="K2298" s="0" t="n">
        <v>3</v>
      </c>
      <c r="T2298" s="0" t="n">
        <v>3</v>
      </c>
      <c r="U2298" s="0" t="n">
        <v>2</v>
      </c>
      <c r="V2298" s="0" t="inlineStr">
        <is>
          <t>계단식</t>
        </is>
      </c>
      <c r="W2298" s="0" t="inlineStr">
        <is>
          <t>99C</t>
        </is>
      </c>
      <c r="X2298" s="0" t="n">
        <v>7</v>
      </c>
      <c r="Y2298" s="0" t="n">
        <v>6</v>
      </c>
      <c r="Z2298" s="0" t="inlineStr">
        <is>
          <t>https://new.land.naver.com/complexes/109865?tab=detail&amp;rf=Y</t>
        </is>
      </c>
      <c r="AA2298" s="0" t="inlineStr">
        <is>
          <t>서울시 강동구 암사동 671</t>
        </is>
      </c>
      <c r="AB2298" s="0" t="inlineStr">
        <is>
          <t>서울시</t>
        </is>
      </c>
      <c r="AC2298" s="0" t="inlineStr">
        <is>
          <t>강동구</t>
        </is>
      </c>
      <c r="AD2298" s="0" t="inlineStr">
        <is>
          <t>암사동</t>
        </is>
      </c>
      <c r="AG2298" s="0" t="inlineStr">
        <is>
          <t>서울시 강동구 암사19길 45</t>
        </is>
      </c>
      <c r="AH2298" s="0" t="n">
        <v>0</v>
      </c>
      <c r="AI2298" s="0" t="n">
        <v>210</v>
      </c>
      <c r="AJ2298" s="0" t="n">
        <v>44</v>
      </c>
      <c r="AK2298" s="0" t="n">
        <v>13</v>
      </c>
      <c r="AL2298" s="0" t="n">
        <v>1.08</v>
      </c>
    </row>
    <row r="2299">
      <c r="A2299" s="0" t="inlineStr">
        <is>
          <t>[암사동]</t>
        </is>
      </c>
      <c r="B2299" s="0" t="n">
        <v>8602</v>
      </c>
      <c r="C2299" s="0" t="n">
        <v>1</v>
      </c>
      <c r="D2299" s="0" t="inlineStr">
        <is>
          <t>동원베네스트</t>
        </is>
      </c>
      <c r="E2299" s="0" t="inlineStr">
        <is>
          <t>2002.12.</t>
        </is>
      </c>
      <c r="F2299" s="0" t="n">
        <v>106</v>
      </c>
      <c r="G2299" s="0" t="n">
        <v>27.43</v>
      </c>
      <c r="H2299" s="0" t="n">
        <v>90.69</v>
      </c>
      <c r="I2299" s="0" t="n">
        <v>21.84</v>
      </c>
      <c r="J2299" s="0" t="n">
        <v>72.23</v>
      </c>
      <c r="K2299" s="0" t="n">
        <v>1</v>
      </c>
      <c r="T2299" s="0" t="n">
        <v>3</v>
      </c>
      <c r="U2299" s="0" t="n">
        <v>2</v>
      </c>
      <c r="V2299" s="0" t="inlineStr">
        <is>
          <t>계단식</t>
        </is>
      </c>
      <c r="W2299" s="0" t="inlineStr">
        <is>
          <t>90B</t>
        </is>
      </c>
      <c r="X2299" s="0" t="n">
        <v>13</v>
      </c>
      <c r="Y2299" s="0" t="n">
        <v>11</v>
      </c>
      <c r="Z2299" s="0" t="inlineStr">
        <is>
          <t>https://new.land.naver.com/complexes/8602?tab=detail&amp;rf=Y</t>
        </is>
      </c>
      <c r="AA2299" s="0" t="inlineStr">
        <is>
          <t>서울시 강동구 암사동 670</t>
        </is>
      </c>
      <c r="AB2299" s="0" t="inlineStr">
        <is>
          <t>서울시</t>
        </is>
      </c>
      <c r="AC2299" s="0" t="inlineStr">
        <is>
          <t>강동구</t>
        </is>
      </c>
      <c r="AD2299" s="0" t="inlineStr">
        <is>
          <t>암사동</t>
        </is>
      </c>
      <c r="AG2299" s="0" t="inlineStr">
        <is>
          <t>서울시 강동구 고덕로 52-11</t>
        </is>
      </c>
      <c r="AH2299" s="0" t="n">
        <v>0</v>
      </c>
      <c r="AI2299" s="0" t="n">
        <v>286</v>
      </c>
      <c r="AJ2299" s="0" t="n">
        <v>27</v>
      </c>
      <c r="AK2299" s="0" t="n">
        <v>120</v>
      </c>
      <c r="AL2299" s="0" t="n">
        <v>1.13</v>
      </c>
    </row>
    <row r="2300">
      <c r="A2300" s="0" t="inlineStr">
        <is>
          <t>[암사동]</t>
        </is>
      </c>
      <c r="B2300" s="0" t="n">
        <v>8602</v>
      </c>
      <c r="C2300" s="0" t="n">
        <v>2</v>
      </c>
      <c r="D2300" s="0" t="inlineStr">
        <is>
          <t>동원베네스트</t>
        </is>
      </c>
      <c r="E2300" s="0" t="inlineStr">
        <is>
          <t>2002.12.</t>
        </is>
      </c>
      <c r="F2300" s="0" t="n">
        <v>106</v>
      </c>
      <c r="G2300" s="0" t="n">
        <v>27.56</v>
      </c>
      <c r="H2300" s="0" t="n">
        <v>91.13</v>
      </c>
      <c r="I2300" s="0" t="n">
        <v>21.94</v>
      </c>
      <c r="J2300" s="0" t="n">
        <v>72.53</v>
      </c>
      <c r="K2300" s="0" t="n">
        <v>1</v>
      </c>
      <c r="T2300" s="0" t="n">
        <v>3</v>
      </c>
      <c r="U2300" s="0" t="n">
        <v>2</v>
      </c>
      <c r="V2300" s="0" t="inlineStr">
        <is>
          <t>계단식</t>
        </is>
      </c>
      <c r="W2300" s="0" t="inlineStr">
        <is>
          <t>91A</t>
        </is>
      </c>
      <c r="X2300" s="0" t="n">
        <v>13</v>
      </c>
      <c r="Y2300" s="0" t="n">
        <v>11</v>
      </c>
      <c r="Z2300" s="0" t="inlineStr">
        <is>
          <t>https://new.land.naver.com/complexes/8602?tab=detail&amp;rf=Y</t>
        </is>
      </c>
      <c r="AA2300" s="0" t="inlineStr">
        <is>
          <t>서울시 강동구 암사동 670</t>
        </is>
      </c>
      <c r="AB2300" s="0" t="inlineStr">
        <is>
          <t>서울시</t>
        </is>
      </c>
      <c r="AC2300" s="0" t="inlineStr">
        <is>
          <t>강동구</t>
        </is>
      </c>
      <c r="AD2300" s="0" t="inlineStr">
        <is>
          <t>암사동</t>
        </is>
      </c>
      <c r="AG2300" s="0" t="inlineStr">
        <is>
          <t>서울시 강동구 고덕로 52-11</t>
        </is>
      </c>
      <c r="AH2300" s="0" t="n">
        <v>0</v>
      </c>
      <c r="AI2300" s="0" t="n">
        <v>286</v>
      </c>
      <c r="AJ2300" s="0" t="n">
        <v>27</v>
      </c>
      <c r="AK2300" s="0" t="n">
        <v>120</v>
      </c>
      <c r="AL2300" s="0" t="n">
        <v>1.13</v>
      </c>
    </row>
    <row r="2301">
      <c r="A2301" s="0" t="inlineStr">
        <is>
          <t>[암사동]</t>
        </is>
      </c>
      <c r="B2301" s="0" t="n">
        <v>8602</v>
      </c>
      <c r="C2301" s="0" t="n">
        <v>3</v>
      </c>
      <c r="D2301" s="0" t="inlineStr">
        <is>
          <t>동원베네스트</t>
        </is>
      </c>
      <c r="E2301" s="0" t="inlineStr">
        <is>
          <t>2002.12.</t>
        </is>
      </c>
      <c r="F2301" s="0" t="n">
        <v>106</v>
      </c>
      <c r="G2301" s="0" t="n">
        <v>28.81</v>
      </c>
      <c r="H2301" s="0" t="n">
        <v>95.27</v>
      </c>
      <c r="I2301" s="0" t="n">
        <v>23.09</v>
      </c>
      <c r="J2301" s="0" t="n">
        <v>76.36</v>
      </c>
      <c r="K2301" s="0" t="n">
        <v>4</v>
      </c>
      <c r="T2301" s="0" t="n">
        <v>3</v>
      </c>
      <c r="U2301" s="0" t="n">
        <v>2</v>
      </c>
      <c r="V2301" s="0" t="inlineStr">
        <is>
          <t>계단식</t>
        </is>
      </c>
      <c r="W2301" s="0" t="inlineStr">
        <is>
          <t>95B</t>
        </is>
      </c>
      <c r="X2301" s="0" t="n">
        <v>13</v>
      </c>
      <c r="Y2301" s="0" t="n">
        <v>11</v>
      </c>
      <c r="Z2301" s="0" t="inlineStr">
        <is>
          <t>https://new.land.naver.com/complexes/8602?tab=detail&amp;rf=Y</t>
        </is>
      </c>
      <c r="AA2301" s="0" t="inlineStr">
        <is>
          <t>서울시 강동구 암사동 670</t>
        </is>
      </c>
      <c r="AB2301" s="0" t="inlineStr">
        <is>
          <t>서울시</t>
        </is>
      </c>
      <c r="AC2301" s="0" t="inlineStr">
        <is>
          <t>강동구</t>
        </is>
      </c>
      <c r="AD2301" s="0" t="inlineStr">
        <is>
          <t>암사동</t>
        </is>
      </c>
      <c r="AG2301" s="0" t="inlineStr">
        <is>
          <t>서울시 강동구 고덕로 52-11</t>
        </is>
      </c>
      <c r="AH2301" s="0" t="n">
        <v>0</v>
      </c>
      <c r="AI2301" s="0" t="n">
        <v>286</v>
      </c>
      <c r="AJ2301" s="0" t="n">
        <v>27</v>
      </c>
      <c r="AK2301" s="0" t="n">
        <v>120</v>
      </c>
      <c r="AL2301" s="0" t="n">
        <v>1.13</v>
      </c>
    </row>
    <row r="2302">
      <c r="A2302" s="0" t="inlineStr">
        <is>
          <t>[암사동]</t>
        </is>
      </c>
      <c r="B2302" s="0" t="n">
        <v>8602</v>
      </c>
      <c r="C2302" s="0" t="n">
        <v>4</v>
      </c>
      <c r="D2302" s="0" t="inlineStr">
        <is>
          <t>동원베네스트</t>
        </is>
      </c>
      <c r="E2302" s="0" t="inlineStr">
        <is>
          <t>2002.12.</t>
        </is>
      </c>
      <c r="F2302" s="0" t="n">
        <v>106</v>
      </c>
      <c r="G2302" s="0" t="n">
        <v>28.78</v>
      </c>
      <c r="H2302" s="0" t="n">
        <v>95.15000000000001</v>
      </c>
      <c r="I2302" s="0" t="n">
        <v>22.95</v>
      </c>
      <c r="J2302" s="0" t="n">
        <v>75.90000000000001</v>
      </c>
      <c r="K2302" s="0" t="n">
        <v>2</v>
      </c>
      <c r="T2302" s="0" t="n">
        <v>3</v>
      </c>
      <c r="U2302" s="0" t="n">
        <v>2</v>
      </c>
      <c r="V2302" s="0" t="inlineStr">
        <is>
          <t>계단식</t>
        </is>
      </c>
      <c r="W2302" s="0" t="inlineStr">
        <is>
          <t>95A</t>
        </is>
      </c>
      <c r="X2302" s="0" t="n">
        <v>13</v>
      </c>
      <c r="Y2302" s="0" t="n">
        <v>11</v>
      </c>
      <c r="Z2302" s="0" t="inlineStr">
        <is>
          <t>https://new.land.naver.com/complexes/8602?tab=detail&amp;rf=Y</t>
        </is>
      </c>
      <c r="AA2302" s="0" t="inlineStr">
        <is>
          <t>서울시 강동구 암사동 670</t>
        </is>
      </c>
      <c r="AB2302" s="0" t="inlineStr">
        <is>
          <t>서울시</t>
        </is>
      </c>
      <c r="AC2302" s="0" t="inlineStr">
        <is>
          <t>강동구</t>
        </is>
      </c>
      <c r="AD2302" s="0" t="inlineStr">
        <is>
          <t>암사동</t>
        </is>
      </c>
      <c r="AG2302" s="0" t="inlineStr">
        <is>
          <t>서울시 강동구 고덕로 52-11</t>
        </is>
      </c>
      <c r="AH2302" s="0" t="n">
        <v>0</v>
      </c>
      <c r="AI2302" s="0" t="n">
        <v>286</v>
      </c>
      <c r="AJ2302" s="0" t="n">
        <v>27</v>
      </c>
      <c r="AK2302" s="0" t="n">
        <v>120</v>
      </c>
      <c r="AL2302" s="0" t="n">
        <v>1.13</v>
      </c>
    </row>
    <row r="2303">
      <c r="A2303" s="0" t="inlineStr">
        <is>
          <t>[암사동]</t>
        </is>
      </c>
      <c r="B2303" s="0" t="n">
        <v>8602</v>
      </c>
      <c r="C2303" s="0" t="n">
        <v>5</v>
      </c>
      <c r="D2303" s="0" t="inlineStr">
        <is>
          <t>동원베네스트</t>
        </is>
      </c>
      <c r="E2303" s="0" t="inlineStr">
        <is>
          <t>2002.12.</t>
        </is>
      </c>
      <c r="F2303" s="0" t="n">
        <v>106</v>
      </c>
      <c r="G2303" s="0" t="n">
        <v>32.01</v>
      </c>
      <c r="H2303" s="0" t="n">
        <v>105.85</v>
      </c>
      <c r="I2303" s="0" t="n">
        <v>25.65</v>
      </c>
      <c r="J2303" s="0" t="n">
        <v>84.81999999999999</v>
      </c>
      <c r="K2303" s="0" t="n">
        <v>56</v>
      </c>
      <c r="T2303" s="0" t="n">
        <v>3</v>
      </c>
      <c r="U2303" s="0" t="n">
        <v>2</v>
      </c>
      <c r="V2303" s="0" t="inlineStr">
        <is>
          <t>계단식</t>
        </is>
      </c>
      <c r="W2303" s="0" t="inlineStr">
        <is>
          <t>105A</t>
        </is>
      </c>
      <c r="X2303" s="0" t="n">
        <v>13</v>
      </c>
      <c r="Y2303" s="0" t="n">
        <v>11</v>
      </c>
      <c r="Z2303" s="0" t="inlineStr">
        <is>
          <t>https://new.land.naver.com/complexes/8602?tab=detail&amp;rf=Y</t>
        </is>
      </c>
      <c r="AA2303" s="0" t="inlineStr">
        <is>
          <t>서울시 강동구 암사동 670</t>
        </is>
      </c>
      <c r="AB2303" s="0" t="inlineStr">
        <is>
          <t>서울시</t>
        </is>
      </c>
      <c r="AC2303" s="0" t="inlineStr">
        <is>
          <t>강동구</t>
        </is>
      </c>
      <c r="AD2303" s="0" t="inlineStr">
        <is>
          <t>암사동</t>
        </is>
      </c>
      <c r="AG2303" s="0" t="inlineStr">
        <is>
          <t>서울시 강동구 고덕로 52-11</t>
        </is>
      </c>
      <c r="AH2303" s="0" t="n">
        <v>0</v>
      </c>
      <c r="AI2303" s="0" t="n">
        <v>286</v>
      </c>
      <c r="AJ2303" s="0" t="n">
        <v>27</v>
      </c>
      <c r="AK2303" s="0" t="n">
        <v>120</v>
      </c>
      <c r="AL2303" s="0" t="n">
        <v>1.13</v>
      </c>
    </row>
    <row r="2304">
      <c r="A2304" s="0" t="inlineStr">
        <is>
          <t>[암사동]</t>
        </is>
      </c>
      <c r="B2304" s="0" t="n">
        <v>8602</v>
      </c>
      <c r="C2304" s="0" t="n">
        <v>6</v>
      </c>
      <c r="D2304" s="0" t="inlineStr">
        <is>
          <t>동원베네스트</t>
        </is>
      </c>
      <c r="E2304" s="0" t="inlineStr">
        <is>
          <t>2002.12.</t>
        </is>
      </c>
      <c r="F2304" s="0" t="n">
        <v>106</v>
      </c>
      <c r="G2304" s="0" t="n">
        <v>32.05</v>
      </c>
      <c r="H2304" s="0" t="n">
        <v>105.98</v>
      </c>
      <c r="I2304" s="0" t="n">
        <v>25.66</v>
      </c>
      <c r="J2304" s="0" t="n">
        <v>84.83</v>
      </c>
      <c r="K2304" s="0" t="n">
        <v>21</v>
      </c>
      <c r="T2304" s="0" t="n">
        <v>3</v>
      </c>
      <c r="U2304" s="0" t="n">
        <v>2</v>
      </c>
      <c r="V2304" s="0" t="inlineStr">
        <is>
          <t>계단식</t>
        </is>
      </c>
      <c r="W2304" s="0" t="inlineStr">
        <is>
          <t>105B</t>
        </is>
      </c>
      <c r="X2304" s="0" t="n">
        <v>13</v>
      </c>
      <c r="Y2304" s="0" t="n">
        <v>11</v>
      </c>
      <c r="Z2304" s="0" t="inlineStr">
        <is>
          <t>https://new.land.naver.com/complexes/8602?tab=detail&amp;rf=Y</t>
        </is>
      </c>
      <c r="AA2304" s="0" t="inlineStr">
        <is>
          <t>서울시 강동구 암사동 670</t>
        </is>
      </c>
      <c r="AB2304" s="0" t="inlineStr">
        <is>
          <t>서울시</t>
        </is>
      </c>
      <c r="AC2304" s="0" t="inlineStr">
        <is>
          <t>강동구</t>
        </is>
      </c>
      <c r="AD2304" s="0" t="inlineStr">
        <is>
          <t>암사동</t>
        </is>
      </c>
      <c r="AG2304" s="0" t="inlineStr">
        <is>
          <t>서울시 강동구 고덕로 52-11</t>
        </is>
      </c>
      <c r="AH2304" s="0" t="n">
        <v>0</v>
      </c>
      <c r="AI2304" s="0" t="n">
        <v>286</v>
      </c>
      <c r="AJ2304" s="0" t="n">
        <v>27</v>
      </c>
      <c r="AK2304" s="0" t="n">
        <v>120</v>
      </c>
      <c r="AL2304" s="0" t="n">
        <v>1.13</v>
      </c>
    </row>
    <row r="2305">
      <c r="A2305" s="0" t="inlineStr">
        <is>
          <t>[암사동]</t>
        </is>
      </c>
      <c r="B2305" s="0" t="n">
        <v>8602</v>
      </c>
      <c r="C2305" s="0" t="n">
        <v>7</v>
      </c>
      <c r="D2305" s="0" t="inlineStr">
        <is>
          <t>동원베네스트</t>
        </is>
      </c>
      <c r="E2305" s="0" t="inlineStr">
        <is>
          <t>2002.12.</t>
        </is>
      </c>
      <c r="F2305" s="0" t="n">
        <v>106</v>
      </c>
      <c r="G2305" s="0" t="n">
        <v>32.12</v>
      </c>
      <c r="H2305" s="0" t="n">
        <v>106.21</v>
      </c>
      <c r="I2305" s="0" t="n">
        <v>25.7</v>
      </c>
      <c r="J2305" s="0" t="n">
        <v>84.98</v>
      </c>
      <c r="K2305" s="0" t="n">
        <v>11</v>
      </c>
      <c r="T2305" s="0" t="n">
        <v>3</v>
      </c>
      <c r="U2305" s="0" t="n">
        <v>2</v>
      </c>
      <c r="V2305" s="0" t="inlineStr">
        <is>
          <t>계단식</t>
        </is>
      </c>
      <c r="W2305" s="0" t="inlineStr">
        <is>
          <t>106C</t>
        </is>
      </c>
      <c r="X2305" s="0" t="n">
        <v>13</v>
      </c>
      <c r="Y2305" s="0" t="n">
        <v>11</v>
      </c>
      <c r="Z2305" s="0" t="inlineStr">
        <is>
          <t>https://new.land.naver.com/complexes/8602?tab=detail&amp;rf=Y</t>
        </is>
      </c>
      <c r="AA2305" s="0" t="inlineStr">
        <is>
          <t>서울시 강동구 암사동 670</t>
        </is>
      </c>
      <c r="AB2305" s="0" t="inlineStr">
        <is>
          <t>서울시</t>
        </is>
      </c>
      <c r="AC2305" s="0" t="inlineStr">
        <is>
          <t>강동구</t>
        </is>
      </c>
      <c r="AD2305" s="0" t="inlineStr">
        <is>
          <t>암사동</t>
        </is>
      </c>
      <c r="AG2305" s="0" t="inlineStr">
        <is>
          <t>서울시 강동구 고덕로 52-11</t>
        </is>
      </c>
      <c r="AH2305" s="0" t="n">
        <v>0</v>
      </c>
      <c r="AI2305" s="0" t="n">
        <v>286</v>
      </c>
      <c r="AJ2305" s="0" t="n">
        <v>27</v>
      </c>
      <c r="AK2305" s="0" t="n">
        <v>120</v>
      </c>
      <c r="AL2305" s="0" t="n">
        <v>1.13</v>
      </c>
    </row>
    <row r="2306">
      <c r="A2306" s="0" t="inlineStr">
        <is>
          <t>[암사동]</t>
        </is>
      </c>
      <c r="B2306" s="0" t="n">
        <v>8602</v>
      </c>
      <c r="C2306" s="0" t="n">
        <v>8</v>
      </c>
      <c r="D2306" s="0" t="inlineStr">
        <is>
          <t>동원베네스트</t>
        </is>
      </c>
      <c r="E2306" s="0" t="inlineStr">
        <is>
          <t>2002.12.</t>
        </is>
      </c>
      <c r="F2306" s="0" t="n">
        <v>106</v>
      </c>
      <c r="G2306" s="0" t="n">
        <v>32.13</v>
      </c>
      <c r="H2306" s="0" t="n">
        <v>106.22</v>
      </c>
      <c r="I2306" s="0" t="n">
        <v>25.67</v>
      </c>
      <c r="J2306" s="0" t="n">
        <v>84.89</v>
      </c>
      <c r="K2306" s="0" t="n">
        <v>10</v>
      </c>
      <c r="T2306" s="0" t="n">
        <v>3</v>
      </c>
      <c r="U2306" s="0" t="n">
        <v>2</v>
      </c>
      <c r="V2306" s="0" t="inlineStr">
        <is>
          <t>계단식</t>
        </is>
      </c>
      <c r="W2306" s="0" t="inlineStr">
        <is>
          <t>106D</t>
        </is>
      </c>
      <c r="X2306" s="0" t="n">
        <v>13</v>
      </c>
      <c r="Y2306" s="0" t="n">
        <v>11</v>
      </c>
      <c r="Z2306" s="0" t="inlineStr">
        <is>
          <t>https://new.land.naver.com/complexes/8602?tab=detail&amp;rf=Y</t>
        </is>
      </c>
      <c r="AA2306" s="0" t="inlineStr">
        <is>
          <t>서울시 강동구 암사동 670</t>
        </is>
      </c>
      <c r="AB2306" s="0" t="inlineStr">
        <is>
          <t>서울시</t>
        </is>
      </c>
      <c r="AC2306" s="0" t="inlineStr">
        <is>
          <t>강동구</t>
        </is>
      </c>
      <c r="AD2306" s="0" t="inlineStr">
        <is>
          <t>암사동</t>
        </is>
      </c>
      <c r="AG2306" s="0" t="inlineStr">
        <is>
          <t>서울시 강동구 고덕로 52-11</t>
        </is>
      </c>
      <c r="AH2306" s="0" t="n">
        <v>0</v>
      </c>
      <c r="AI2306" s="0" t="n">
        <v>286</v>
      </c>
      <c r="AJ2306" s="0" t="n">
        <v>27</v>
      </c>
      <c r="AK2306" s="0" t="n">
        <v>120</v>
      </c>
      <c r="AL2306" s="0" t="n">
        <v>1.13</v>
      </c>
    </row>
    <row r="2307">
      <c r="A2307" s="0" t="inlineStr">
        <is>
          <t>[암사동]</t>
        </is>
      </c>
      <c r="B2307" s="0" t="n">
        <v>114203</v>
      </c>
      <c r="C2307" s="0" t="n">
        <v>1</v>
      </c>
      <c r="D2307" s="0" t="inlineStr">
        <is>
          <t>현진빌리지(469-26,도시형)</t>
        </is>
      </c>
      <c r="E2307" s="0" t="inlineStr">
        <is>
          <t>2011.03.</t>
        </is>
      </c>
      <c r="F2307" s="0" t="n">
        <v>16</v>
      </c>
      <c r="G2307" s="0" t="n">
        <v>12.72</v>
      </c>
      <c r="H2307" s="0" t="n">
        <v>42.06</v>
      </c>
      <c r="I2307" s="0" t="n">
        <v>11.09</v>
      </c>
      <c r="J2307" s="0" t="n">
        <v>36.68</v>
      </c>
      <c r="K2307" s="0" t="n">
        <v>8</v>
      </c>
      <c r="T2307" s="0" t="n">
        <v>2</v>
      </c>
      <c r="U2307" s="0" t="n">
        <v>1</v>
      </c>
      <c r="V2307" s="0" t="inlineStr">
        <is>
          <t>계단식</t>
        </is>
      </c>
      <c r="W2307" s="0" t="n">
        <v>42</v>
      </c>
      <c r="X2307" s="0" t="n">
        <v>4</v>
      </c>
      <c r="Y2307" s="0" t="n">
        <v>4</v>
      </c>
      <c r="Z2307" s="0" t="inlineStr">
        <is>
          <t>https://new.land.naver.com/complexes/114203?tab=detail&amp;rf=Y</t>
        </is>
      </c>
      <c r="AA2307" s="0" t="inlineStr">
        <is>
          <t>서울시 강동구 암사동 469-26</t>
        </is>
      </c>
      <c r="AB2307" s="0" t="inlineStr">
        <is>
          <t>서울시</t>
        </is>
      </c>
      <c r="AC2307" s="0" t="inlineStr">
        <is>
          <t>강동구</t>
        </is>
      </c>
      <c r="AD2307" s="0" t="inlineStr">
        <is>
          <t>암사동</t>
        </is>
      </c>
      <c r="AG2307" s="0" t="inlineStr">
        <is>
          <t>서울시 강동구 고덕로20마길 31</t>
        </is>
      </c>
      <c r="AH2307" s="0" t="n">
        <v>0</v>
      </c>
      <c r="AI2307" s="0" t="n">
        <v>0</v>
      </c>
      <c r="AJ2307" s="0" t="n">
        <v>0</v>
      </c>
      <c r="AK2307" s="0" t="n">
        <v>0</v>
      </c>
      <c r="AL2307" s="0" t="n">
        <v>0</v>
      </c>
    </row>
    <row r="2308">
      <c r="A2308" s="0" t="inlineStr">
        <is>
          <t>[암사동]</t>
        </is>
      </c>
      <c r="B2308" s="0" t="n">
        <v>114203</v>
      </c>
      <c r="C2308" s="0" t="n">
        <v>2</v>
      </c>
      <c r="D2308" s="0" t="inlineStr">
        <is>
          <t>현진빌리지(469-26,도시형)</t>
        </is>
      </c>
      <c r="E2308" s="0" t="inlineStr">
        <is>
          <t>2011.03.</t>
        </is>
      </c>
      <c r="F2308" s="0" t="n">
        <v>16</v>
      </c>
      <c r="G2308" s="0" t="n">
        <v>17.86</v>
      </c>
      <c r="H2308" s="0" t="n">
        <v>59.05</v>
      </c>
      <c r="I2308" s="0" t="n">
        <v>15.56</v>
      </c>
      <c r="J2308" s="0" t="n">
        <v>51.44</v>
      </c>
      <c r="K2308" s="0" t="n">
        <v>1</v>
      </c>
      <c r="T2308" s="0" t="n">
        <v>2</v>
      </c>
      <c r="U2308" s="0" t="n">
        <v>1</v>
      </c>
      <c r="V2308" s="0" t="inlineStr">
        <is>
          <t>계단식</t>
        </is>
      </c>
      <c r="W2308" s="0" t="n">
        <v>59</v>
      </c>
      <c r="X2308" s="0" t="n">
        <v>4</v>
      </c>
      <c r="Y2308" s="0" t="n">
        <v>4</v>
      </c>
      <c r="Z2308" s="0" t="inlineStr">
        <is>
          <t>https://new.land.naver.com/complexes/114203?tab=detail&amp;rf=Y</t>
        </is>
      </c>
      <c r="AA2308" s="0" t="inlineStr">
        <is>
          <t>서울시 강동구 암사동 469-26</t>
        </is>
      </c>
      <c r="AB2308" s="0" t="inlineStr">
        <is>
          <t>서울시</t>
        </is>
      </c>
      <c r="AC2308" s="0" t="inlineStr">
        <is>
          <t>강동구</t>
        </is>
      </c>
      <c r="AD2308" s="0" t="inlineStr">
        <is>
          <t>암사동</t>
        </is>
      </c>
      <c r="AG2308" s="0" t="inlineStr">
        <is>
          <t>서울시 강동구 고덕로20마길 31</t>
        </is>
      </c>
      <c r="AH2308" s="0" t="n">
        <v>0</v>
      </c>
      <c r="AI2308" s="0" t="n">
        <v>0</v>
      </c>
      <c r="AJ2308" s="0" t="n">
        <v>0</v>
      </c>
      <c r="AK2308" s="0" t="n">
        <v>0</v>
      </c>
      <c r="AL2308" s="0" t="n">
        <v>0</v>
      </c>
    </row>
    <row r="2309">
      <c r="A2309" s="0" t="inlineStr">
        <is>
          <t>[암사동]</t>
        </is>
      </c>
      <c r="B2309" s="0" t="n">
        <v>114203</v>
      </c>
      <c r="C2309" s="0" t="n">
        <v>3</v>
      </c>
      <c r="D2309" s="0" t="inlineStr">
        <is>
          <t>현진빌리지(469-26,도시형)</t>
        </is>
      </c>
      <c r="E2309" s="0" t="inlineStr">
        <is>
          <t>2011.03.</t>
        </is>
      </c>
      <c r="F2309" s="0" t="n">
        <v>16</v>
      </c>
      <c r="G2309" s="0" t="n">
        <v>18.91</v>
      </c>
      <c r="H2309" s="0" t="n">
        <v>62.54</v>
      </c>
      <c r="I2309" s="0" t="n">
        <v>16.49</v>
      </c>
      <c r="J2309" s="0" t="n">
        <v>54.53</v>
      </c>
      <c r="K2309" s="0" t="n">
        <v>7</v>
      </c>
      <c r="T2309" s="0" t="n">
        <v>2</v>
      </c>
      <c r="U2309" s="0" t="n">
        <v>1</v>
      </c>
      <c r="V2309" s="0" t="inlineStr">
        <is>
          <t>계단식</t>
        </is>
      </c>
      <c r="W2309" s="0" t="n">
        <v>62</v>
      </c>
      <c r="X2309" s="0" t="n">
        <v>4</v>
      </c>
      <c r="Y2309" s="0" t="n">
        <v>4</v>
      </c>
      <c r="Z2309" s="0" t="inlineStr">
        <is>
          <t>https://new.land.naver.com/complexes/114203?tab=detail&amp;rf=Y</t>
        </is>
      </c>
      <c r="AA2309" s="0" t="inlineStr">
        <is>
          <t>서울시 강동구 암사동 469-26</t>
        </is>
      </c>
      <c r="AB2309" s="0" t="inlineStr">
        <is>
          <t>서울시</t>
        </is>
      </c>
      <c r="AC2309" s="0" t="inlineStr">
        <is>
          <t>강동구</t>
        </is>
      </c>
      <c r="AD2309" s="0" t="inlineStr">
        <is>
          <t>암사동</t>
        </is>
      </c>
      <c r="AG2309" s="0" t="inlineStr">
        <is>
          <t>서울시 강동구 고덕로20마길 31</t>
        </is>
      </c>
      <c r="AH2309" s="0" t="n">
        <v>0</v>
      </c>
      <c r="AI2309" s="0" t="n">
        <v>0</v>
      </c>
      <c r="AJ2309" s="0" t="n">
        <v>0</v>
      </c>
      <c r="AK2309" s="0" t="n">
        <v>0</v>
      </c>
      <c r="AL2309" s="0" t="n">
        <v>0</v>
      </c>
    </row>
    <row r="2310">
      <c r="A2310" s="0" t="inlineStr">
        <is>
          <t>[암사동]</t>
        </is>
      </c>
      <c r="B2310" s="0" t="n">
        <v>129795</v>
      </c>
      <c r="C2310" s="0" t="n">
        <v>1</v>
      </c>
      <c r="D2310" s="0" t="inlineStr">
        <is>
          <t>성우스타팰리스(도시형)</t>
        </is>
      </c>
      <c r="E2310" s="0" t="inlineStr">
        <is>
          <t>2019.12.</t>
        </is>
      </c>
      <c r="F2310" s="0" t="n">
        <v>29</v>
      </c>
      <c r="G2310" s="0" t="n">
        <v>10.76</v>
      </c>
      <c r="H2310" s="0" t="n">
        <v>35.59</v>
      </c>
      <c r="I2310" s="0" t="n">
        <v>9.050000000000001</v>
      </c>
      <c r="J2310" s="0" t="n">
        <v>29.94</v>
      </c>
      <c r="K2310" s="0" t="n">
        <v>4</v>
      </c>
      <c r="T2310" s="0" t="n">
        <v>1</v>
      </c>
      <c r="U2310" s="0" t="n">
        <v>1</v>
      </c>
      <c r="V2310" s="0" t="inlineStr">
        <is>
          <t>복도식</t>
        </is>
      </c>
      <c r="W2310" s="0" t="n">
        <v>35</v>
      </c>
      <c r="X2310" s="0" t="n">
        <v>7</v>
      </c>
      <c r="Y2310" s="0" t="n">
        <v>5</v>
      </c>
      <c r="Z2310" s="0" t="inlineStr">
        <is>
          <t>https://new.land.naver.com/complexes/129795?tab=detail&amp;rf=Y</t>
        </is>
      </c>
      <c r="AA2310" s="0" t="inlineStr">
        <is>
          <t>서울시 강동구 암사동 486-24</t>
        </is>
      </c>
      <c r="AB2310" s="0" t="inlineStr">
        <is>
          <t>서울시</t>
        </is>
      </c>
      <c r="AC2310" s="0" t="inlineStr">
        <is>
          <t>강동구</t>
        </is>
      </c>
      <c r="AD2310" s="0" t="inlineStr">
        <is>
          <t>암사동</t>
        </is>
      </c>
      <c r="AG2310" s="0" t="inlineStr">
        <is>
          <t>서울시 강동구 구천면로47길 38-17</t>
        </is>
      </c>
      <c r="AH2310" s="0" t="n">
        <v>0</v>
      </c>
      <c r="AI2310" s="0" t="n">
        <v>199</v>
      </c>
      <c r="AJ2310" s="0" t="n">
        <v>50</v>
      </c>
      <c r="AK2310" s="0" t="n">
        <v>23</v>
      </c>
      <c r="AL2310" s="0" t="n">
        <v>0.79</v>
      </c>
    </row>
    <row r="2311">
      <c r="A2311" s="0" t="inlineStr">
        <is>
          <t>[암사동]</t>
        </is>
      </c>
      <c r="B2311" s="0" t="n">
        <v>129795</v>
      </c>
      <c r="C2311" s="0" t="n">
        <v>2</v>
      </c>
      <c r="D2311" s="0" t="inlineStr">
        <is>
          <t>성우스타팰리스(도시형)</t>
        </is>
      </c>
      <c r="E2311" s="0" t="inlineStr">
        <is>
          <t>2019.12.</t>
        </is>
      </c>
      <c r="F2311" s="0" t="n">
        <v>29</v>
      </c>
      <c r="G2311" s="0" t="n">
        <v>12.29</v>
      </c>
      <c r="H2311" s="0" t="n">
        <v>40.64</v>
      </c>
      <c r="I2311" s="0" t="n">
        <v>10.33</v>
      </c>
      <c r="J2311" s="0" t="n">
        <v>34.17</v>
      </c>
      <c r="K2311" s="0" t="n">
        <v>5</v>
      </c>
      <c r="T2311" s="0" t="n">
        <v>1</v>
      </c>
      <c r="U2311" s="0" t="n">
        <v>1</v>
      </c>
      <c r="V2311" s="0" t="inlineStr">
        <is>
          <t>계단식</t>
        </is>
      </c>
      <c r="W2311" s="0" t="n">
        <v>40</v>
      </c>
      <c r="X2311" s="0" t="n">
        <v>7</v>
      </c>
      <c r="Y2311" s="0" t="n">
        <v>5</v>
      </c>
      <c r="Z2311" s="0" t="inlineStr">
        <is>
          <t>https://new.land.naver.com/complexes/129795?tab=detail&amp;rf=Y</t>
        </is>
      </c>
      <c r="AA2311" s="0" t="inlineStr">
        <is>
          <t>서울시 강동구 암사동 486-24</t>
        </is>
      </c>
      <c r="AB2311" s="0" t="inlineStr">
        <is>
          <t>서울시</t>
        </is>
      </c>
      <c r="AC2311" s="0" t="inlineStr">
        <is>
          <t>강동구</t>
        </is>
      </c>
      <c r="AD2311" s="0" t="inlineStr">
        <is>
          <t>암사동</t>
        </is>
      </c>
      <c r="AG2311" s="0" t="inlineStr">
        <is>
          <t>서울시 강동구 구천면로47길 38-17</t>
        </is>
      </c>
      <c r="AH2311" s="0" t="n">
        <v>0</v>
      </c>
      <c r="AI2311" s="0" t="n">
        <v>199</v>
      </c>
      <c r="AJ2311" s="0" t="n">
        <v>50</v>
      </c>
      <c r="AK2311" s="0" t="n">
        <v>23</v>
      </c>
      <c r="AL2311" s="0" t="n">
        <v>0.79</v>
      </c>
    </row>
    <row r="2312">
      <c r="A2312" s="0" t="inlineStr">
        <is>
          <t>[암사동]</t>
        </is>
      </c>
      <c r="B2312" s="0" t="n">
        <v>129795</v>
      </c>
      <c r="C2312" s="0" t="n">
        <v>3</v>
      </c>
      <c r="D2312" s="0" t="inlineStr">
        <is>
          <t>성우스타팰리스(도시형)</t>
        </is>
      </c>
      <c r="E2312" s="0" t="inlineStr">
        <is>
          <t>2019.12.</t>
        </is>
      </c>
      <c r="F2312" s="0" t="n">
        <v>29</v>
      </c>
      <c r="G2312" s="0" t="n">
        <v>12.72</v>
      </c>
      <c r="H2312" s="0" t="n">
        <v>42.05</v>
      </c>
      <c r="I2312" s="0" t="n">
        <v>10.69</v>
      </c>
      <c r="J2312" s="0" t="n">
        <v>35.37</v>
      </c>
      <c r="K2312" s="0" t="n">
        <v>1</v>
      </c>
      <c r="T2312" s="0" t="n">
        <v>1</v>
      </c>
      <c r="U2312" s="0" t="n">
        <v>1</v>
      </c>
      <c r="V2312" s="0" t="inlineStr">
        <is>
          <t>계단식</t>
        </is>
      </c>
      <c r="W2312" s="0" t="n">
        <v>42</v>
      </c>
      <c r="X2312" s="0" t="n">
        <v>7</v>
      </c>
      <c r="Y2312" s="0" t="n">
        <v>5</v>
      </c>
      <c r="Z2312" s="0" t="inlineStr">
        <is>
          <t>https://new.land.naver.com/complexes/129795?tab=detail&amp;rf=Y</t>
        </is>
      </c>
      <c r="AA2312" s="0" t="inlineStr">
        <is>
          <t>서울시 강동구 암사동 486-24</t>
        </is>
      </c>
      <c r="AB2312" s="0" t="inlineStr">
        <is>
          <t>서울시</t>
        </is>
      </c>
      <c r="AC2312" s="0" t="inlineStr">
        <is>
          <t>강동구</t>
        </is>
      </c>
      <c r="AD2312" s="0" t="inlineStr">
        <is>
          <t>암사동</t>
        </is>
      </c>
      <c r="AG2312" s="0" t="inlineStr">
        <is>
          <t>서울시 강동구 구천면로47길 38-17</t>
        </is>
      </c>
      <c r="AH2312" s="0" t="n">
        <v>0</v>
      </c>
      <c r="AI2312" s="0" t="n">
        <v>199</v>
      </c>
      <c r="AJ2312" s="0" t="n">
        <v>50</v>
      </c>
      <c r="AK2312" s="0" t="n">
        <v>23</v>
      </c>
      <c r="AL2312" s="0" t="n">
        <v>0.79</v>
      </c>
    </row>
    <row r="2313">
      <c r="A2313" s="0" t="inlineStr">
        <is>
          <t>[암사동]</t>
        </is>
      </c>
      <c r="B2313" s="0" t="n">
        <v>129795</v>
      </c>
      <c r="C2313" s="0" t="n">
        <v>4</v>
      </c>
      <c r="D2313" s="0" t="inlineStr">
        <is>
          <t>성우스타팰리스(도시형)</t>
        </is>
      </c>
      <c r="E2313" s="0" t="inlineStr">
        <is>
          <t>2019.12.</t>
        </is>
      </c>
      <c r="F2313" s="0" t="n">
        <v>29</v>
      </c>
      <c r="G2313" s="0" t="n">
        <v>13.61</v>
      </c>
      <c r="H2313" s="0" t="n">
        <v>45</v>
      </c>
      <c r="I2313" s="0" t="n">
        <v>11.44</v>
      </c>
      <c r="J2313" s="0" t="n">
        <v>37.82</v>
      </c>
      <c r="K2313" s="0" t="n">
        <v>5</v>
      </c>
      <c r="T2313" s="0" t="n">
        <v>1</v>
      </c>
      <c r="U2313" s="0" t="n">
        <v>1</v>
      </c>
      <c r="V2313" s="0" t="inlineStr">
        <is>
          <t>계단식</t>
        </is>
      </c>
      <c r="W2313" s="0" t="inlineStr">
        <is>
          <t>45A</t>
        </is>
      </c>
      <c r="X2313" s="0" t="n">
        <v>7</v>
      </c>
      <c r="Y2313" s="0" t="n">
        <v>5</v>
      </c>
      <c r="Z2313" s="0" t="inlineStr">
        <is>
          <t>https://new.land.naver.com/complexes/129795?tab=detail&amp;rf=Y</t>
        </is>
      </c>
      <c r="AA2313" s="0" t="inlineStr">
        <is>
          <t>서울시 강동구 암사동 486-24</t>
        </is>
      </c>
      <c r="AB2313" s="0" t="inlineStr">
        <is>
          <t>서울시</t>
        </is>
      </c>
      <c r="AC2313" s="0" t="inlineStr">
        <is>
          <t>강동구</t>
        </is>
      </c>
      <c r="AD2313" s="0" t="inlineStr">
        <is>
          <t>암사동</t>
        </is>
      </c>
      <c r="AG2313" s="0" t="inlineStr">
        <is>
          <t>서울시 강동구 구천면로47길 38-17</t>
        </is>
      </c>
      <c r="AH2313" s="0" t="n">
        <v>0</v>
      </c>
      <c r="AI2313" s="0" t="n">
        <v>199</v>
      </c>
      <c r="AJ2313" s="0" t="n">
        <v>50</v>
      </c>
      <c r="AK2313" s="0" t="n">
        <v>23</v>
      </c>
      <c r="AL2313" s="0" t="n">
        <v>0.79</v>
      </c>
    </row>
    <row r="2314">
      <c r="A2314" s="0" t="inlineStr">
        <is>
          <t>[암사동]</t>
        </is>
      </c>
      <c r="B2314" s="0" t="n">
        <v>129795</v>
      </c>
      <c r="C2314" s="0" t="n">
        <v>5</v>
      </c>
      <c r="D2314" s="0" t="inlineStr">
        <is>
          <t>성우스타팰리스(도시형)</t>
        </is>
      </c>
      <c r="E2314" s="0" t="inlineStr">
        <is>
          <t>2019.12.</t>
        </is>
      </c>
      <c r="F2314" s="0" t="n">
        <v>29</v>
      </c>
      <c r="G2314" s="0" t="n">
        <v>13.83</v>
      </c>
      <c r="H2314" s="0" t="n">
        <v>45.75</v>
      </c>
      <c r="I2314" s="0" t="n">
        <v>11.63</v>
      </c>
      <c r="J2314" s="0" t="n">
        <v>38.47</v>
      </c>
      <c r="K2314" s="0" t="n">
        <v>4</v>
      </c>
      <c r="T2314" s="0" t="n">
        <v>1</v>
      </c>
      <c r="U2314" s="0" t="n">
        <v>1</v>
      </c>
      <c r="V2314" s="0" t="inlineStr">
        <is>
          <t>계단식</t>
        </is>
      </c>
      <c r="W2314" s="0" t="inlineStr">
        <is>
          <t>45B</t>
        </is>
      </c>
      <c r="X2314" s="0" t="n">
        <v>7</v>
      </c>
      <c r="Y2314" s="0" t="n">
        <v>5</v>
      </c>
      <c r="Z2314" s="0" t="inlineStr">
        <is>
          <t>https://new.land.naver.com/complexes/129795?tab=detail&amp;rf=Y</t>
        </is>
      </c>
      <c r="AA2314" s="0" t="inlineStr">
        <is>
          <t>서울시 강동구 암사동 486-24</t>
        </is>
      </c>
      <c r="AB2314" s="0" t="inlineStr">
        <is>
          <t>서울시</t>
        </is>
      </c>
      <c r="AC2314" s="0" t="inlineStr">
        <is>
          <t>강동구</t>
        </is>
      </c>
      <c r="AD2314" s="0" t="inlineStr">
        <is>
          <t>암사동</t>
        </is>
      </c>
      <c r="AG2314" s="0" t="inlineStr">
        <is>
          <t>서울시 강동구 구천면로47길 38-17</t>
        </is>
      </c>
      <c r="AH2314" s="0" t="n">
        <v>0</v>
      </c>
      <c r="AI2314" s="0" t="n">
        <v>199</v>
      </c>
      <c r="AJ2314" s="0" t="n">
        <v>50</v>
      </c>
      <c r="AK2314" s="0" t="n">
        <v>23</v>
      </c>
      <c r="AL2314" s="0" t="n">
        <v>0.79</v>
      </c>
    </row>
    <row r="2315">
      <c r="A2315" s="0" t="inlineStr">
        <is>
          <t>[암사동]</t>
        </is>
      </c>
      <c r="B2315" s="0" t="n">
        <v>129795</v>
      </c>
      <c r="C2315" s="0" t="n">
        <v>6</v>
      </c>
      <c r="D2315" s="0" t="inlineStr">
        <is>
          <t>성우스타팰리스(도시형)</t>
        </is>
      </c>
      <c r="E2315" s="0" t="inlineStr">
        <is>
          <t>2019.12.</t>
        </is>
      </c>
      <c r="F2315" s="0" t="n">
        <v>29</v>
      </c>
      <c r="G2315" s="0" t="n">
        <v>13.93</v>
      </c>
      <c r="H2315" s="0" t="n">
        <v>46.07</v>
      </c>
      <c r="I2315" s="0" t="n">
        <v>11.71</v>
      </c>
      <c r="J2315" s="0" t="n">
        <v>38.74</v>
      </c>
      <c r="K2315" s="0" t="n">
        <v>1</v>
      </c>
      <c r="T2315" s="0" t="n">
        <v>1</v>
      </c>
      <c r="U2315" s="0" t="n">
        <v>1</v>
      </c>
      <c r="V2315" s="0" t="inlineStr">
        <is>
          <t>복도식</t>
        </is>
      </c>
      <c r="W2315" s="0" t="inlineStr">
        <is>
          <t>46C</t>
        </is>
      </c>
      <c r="X2315" s="0" t="n">
        <v>7</v>
      </c>
      <c r="Y2315" s="0" t="n">
        <v>5</v>
      </c>
      <c r="Z2315" s="0" t="inlineStr">
        <is>
          <t>https://new.land.naver.com/complexes/129795?tab=detail&amp;rf=Y</t>
        </is>
      </c>
      <c r="AA2315" s="0" t="inlineStr">
        <is>
          <t>서울시 강동구 암사동 486-24</t>
        </is>
      </c>
      <c r="AB2315" s="0" t="inlineStr">
        <is>
          <t>서울시</t>
        </is>
      </c>
      <c r="AC2315" s="0" t="inlineStr">
        <is>
          <t>강동구</t>
        </is>
      </c>
      <c r="AD2315" s="0" t="inlineStr">
        <is>
          <t>암사동</t>
        </is>
      </c>
      <c r="AG2315" s="0" t="inlineStr">
        <is>
          <t>서울시 강동구 구천면로47길 38-17</t>
        </is>
      </c>
      <c r="AH2315" s="0" t="n">
        <v>0</v>
      </c>
      <c r="AI2315" s="0" t="n">
        <v>199</v>
      </c>
      <c r="AJ2315" s="0" t="n">
        <v>50</v>
      </c>
      <c r="AK2315" s="0" t="n">
        <v>23</v>
      </c>
      <c r="AL2315" s="0" t="n">
        <v>0.79</v>
      </c>
    </row>
    <row r="2316">
      <c r="A2316" s="0" t="inlineStr">
        <is>
          <t>[암사동]</t>
        </is>
      </c>
      <c r="B2316" s="0" t="n">
        <v>129795</v>
      </c>
      <c r="C2316" s="0" t="n">
        <v>7</v>
      </c>
      <c r="D2316" s="0" t="inlineStr">
        <is>
          <t>성우스타팰리스(도시형)</t>
        </is>
      </c>
      <c r="E2316" s="0" t="inlineStr">
        <is>
          <t>2019.12.</t>
        </is>
      </c>
      <c r="F2316" s="0" t="n">
        <v>29</v>
      </c>
      <c r="G2316" s="0" t="n">
        <v>14.19</v>
      </c>
      <c r="H2316" s="0" t="n">
        <v>46.93</v>
      </c>
      <c r="I2316" s="0" t="n">
        <v>11.93</v>
      </c>
      <c r="J2316" s="0" t="n">
        <v>39.45</v>
      </c>
      <c r="K2316" s="0" t="n">
        <v>1</v>
      </c>
      <c r="T2316" s="0" t="n">
        <v>1</v>
      </c>
      <c r="U2316" s="0" t="n">
        <v>1</v>
      </c>
      <c r="V2316" s="0" t="inlineStr">
        <is>
          <t>계단식</t>
        </is>
      </c>
      <c r="W2316" s="0" t="inlineStr">
        <is>
          <t>46D</t>
        </is>
      </c>
      <c r="X2316" s="0" t="n">
        <v>7</v>
      </c>
      <c r="Y2316" s="0" t="n">
        <v>5</v>
      </c>
      <c r="Z2316" s="0" t="inlineStr">
        <is>
          <t>https://new.land.naver.com/complexes/129795?tab=detail&amp;rf=Y</t>
        </is>
      </c>
      <c r="AA2316" s="0" t="inlineStr">
        <is>
          <t>서울시 강동구 암사동 486-24</t>
        </is>
      </c>
      <c r="AB2316" s="0" t="inlineStr">
        <is>
          <t>서울시</t>
        </is>
      </c>
      <c r="AC2316" s="0" t="inlineStr">
        <is>
          <t>강동구</t>
        </is>
      </c>
      <c r="AD2316" s="0" t="inlineStr">
        <is>
          <t>암사동</t>
        </is>
      </c>
      <c r="AG2316" s="0" t="inlineStr">
        <is>
          <t>서울시 강동구 구천면로47길 38-17</t>
        </is>
      </c>
      <c r="AH2316" s="0" t="n">
        <v>0</v>
      </c>
      <c r="AI2316" s="0" t="n">
        <v>199</v>
      </c>
      <c r="AJ2316" s="0" t="n">
        <v>50</v>
      </c>
      <c r="AK2316" s="0" t="n">
        <v>23</v>
      </c>
      <c r="AL2316" s="0" t="n">
        <v>0.79</v>
      </c>
    </row>
    <row r="2317">
      <c r="A2317" s="0" t="inlineStr">
        <is>
          <t>[암사동]</t>
        </is>
      </c>
      <c r="B2317" s="0" t="n">
        <v>129795</v>
      </c>
      <c r="C2317" s="0" t="n">
        <v>8</v>
      </c>
      <c r="D2317" s="0" t="inlineStr">
        <is>
          <t>성우스타팰리스(도시형)</t>
        </is>
      </c>
      <c r="E2317" s="0" t="inlineStr">
        <is>
          <t>2019.12.</t>
        </is>
      </c>
      <c r="F2317" s="0" t="n">
        <v>29</v>
      </c>
      <c r="G2317" s="0" t="n">
        <v>14.4</v>
      </c>
      <c r="H2317" s="0" t="n">
        <v>47.61</v>
      </c>
      <c r="I2317" s="0" t="n">
        <v>12.11</v>
      </c>
      <c r="J2317" s="0" t="n">
        <v>40.05</v>
      </c>
      <c r="K2317" s="0" t="n">
        <v>4</v>
      </c>
      <c r="T2317" s="0" t="n">
        <v>1</v>
      </c>
      <c r="U2317" s="0" t="n">
        <v>1</v>
      </c>
      <c r="V2317" s="0" t="inlineStr">
        <is>
          <t>계단식</t>
        </is>
      </c>
      <c r="W2317" s="0" t="inlineStr">
        <is>
          <t>47E</t>
        </is>
      </c>
      <c r="X2317" s="0" t="n">
        <v>7</v>
      </c>
      <c r="Y2317" s="0" t="n">
        <v>5</v>
      </c>
      <c r="Z2317" s="0" t="inlineStr">
        <is>
          <t>https://new.land.naver.com/complexes/129795?tab=detail&amp;rf=Y</t>
        </is>
      </c>
      <c r="AA2317" s="0" t="inlineStr">
        <is>
          <t>서울시 강동구 암사동 486-24</t>
        </is>
      </c>
      <c r="AB2317" s="0" t="inlineStr">
        <is>
          <t>서울시</t>
        </is>
      </c>
      <c r="AC2317" s="0" t="inlineStr">
        <is>
          <t>강동구</t>
        </is>
      </c>
      <c r="AD2317" s="0" t="inlineStr">
        <is>
          <t>암사동</t>
        </is>
      </c>
      <c r="AG2317" s="0" t="inlineStr">
        <is>
          <t>서울시 강동구 구천면로47길 38-17</t>
        </is>
      </c>
      <c r="AH2317" s="0" t="n">
        <v>0</v>
      </c>
      <c r="AI2317" s="0" t="n">
        <v>199</v>
      </c>
      <c r="AJ2317" s="0" t="n">
        <v>50</v>
      </c>
      <c r="AK2317" s="0" t="n">
        <v>23</v>
      </c>
      <c r="AL2317" s="0" t="n">
        <v>0.79</v>
      </c>
    </row>
    <row r="2318">
      <c r="A2318" s="0" t="inlineStr">
        <is>
          <t>[암사동]</t>
        </is>
      </c>
      <c r="B2318" s="0" t="n">
        <v>129795</v>
      </c>
      <c r="C2318" s="0" t="n">
        <v>9</v>
      </c>
      <c r="D2318" s="0" t="inlineStr">
        <is>
          <t>성우스타팰리스(도시형)</t>
        </is>
      </c>
      <c r="E2318" s="0" t="inlineStr">
        <is>
          <t>2019.12.</t>
        </is>
      </c>
      <c r="F2318" s="0" t="n">
        <v>29</v>
      </c>
      <c r="G2318" s="0" t="n">
        <v>15.05</v>
      </c>
      <c r="H2318" s="0" t="n">
        <v>49.76</v>
      </c>
      <c r="I2318" s="0" t="n">
        <v>12.65</v>
      </c>
      <c r="J2318" s="0" t="n">
        <v>41.85</v>
      </c>
      <c r="K2318" s="0" t="n">
        <v>4</v>
      </c>
      <c r="T2318" s="0" t="n">
        <v>1</v>
      </c>
      <c r="U2318" s="0" t="n">
        <v>1</v>
      </c>
      <c r="V2318" s="0" t="inlineStr">
        <is>
          <t>계단식</t>
        </is>
      </c>
      <c r="W2318" s="0" t="n">
        <v>49</v>
      </c>
      <c r="X2318" s="0" t="n">
        <v>7</v>
      </c>
      <c r="Y2318" s="0" t="n">
        <v>5</v>
      </c>
      <c r="Z2318" s="0" t="inlineStr">
        <is>
          <t>https://new.land.naver.com/complexes/129795?tab=detail&amp;rf=Y</t>
        </is>
      </c>
      <c r="AA2318" s="0" t="inlineStr">
        <is>
          <t>서울시 강동구 암사동 486-24</t>
        </is>
      </c>
      <c r="AB2318" s="0" t="inlineStr">
        <is>
          <t>서울시</t>
        </is>
      </c>
      <c r="AC2318" s="0" t="inlineStr">
        <is>
          <t>강동구</t>
        </is>
      </c>
      <c r="AD2318" s="0" t="inlineStr">
        <is>
          <t>암사동</t>
        </is>
      </c>
      <c r="AG2318" s="0" t="inlineStr">
        <is>
          <t>서울시 강동구 구천면로47길 38-17</t>
        </is>
      </c>
      <c r="AH2318" s="0" t="n">
        <v>0</v>
      </c>
      <c r="AI2318" s="0" t="n">
        <v>199</v>
      </c>
      <c r="AJ2318" s="0" t="n">
        <v>50</v>
      </c>
      <c r="AK2318" s="0" t="n">
        <v>23</v>
      </c>
      <c r="AL2318" s="0" t="n">
        <v>0.79</v>
      </c>
    </row>
    <row r="2319">
      <c r="A2319" s="0" t="inlineStr">
        <is>
          <t>[암사동]</t>
        </is>
      </c>
      <c r="B2319" s="0" t="n">
        <v>11946</v>
      </c>
      <c r="C2319" s="0" t="n">
        <v>1</v>
      </c>
      <c r="D2319" s="0" t="inlineStr">
        <is>
          <t>우암쎈스뷰</t>
        </is>
      </c>
      <c r="E2319" s="0" t="inlineStr">
        <is>
          <t>2003.10.</t>
        </is>
      </c>
      <c r="F2319" s="0" t="n">
        <v>37</v>
      </c>
      <c r="G2319" s="0" t="n">
        <v>23.35</v>
      </c>
      <c r="H2319" s="0" t="n">
        <v>77.2</v>
      </c>
      <c r="I2319" s="0" t="n">
        <v>18.12</v>
      </c>
      <c r="J2319" s="0" t="n">
        <v>59.93</v>
      </c>
      <c r="K2319" s="0" t="n">
        <v>7</v>
      </c>
      <c r="T2319" s="0" t="n">
        <v>3</v>
      </c>
      <c r="U2319" s="0" t="n">
        <v>1</v>
      </c>
      <c r="V2319" s="0" t="inlineStr">
        <is>
          <t>계단식</t>
        </is>
      </c>
      <c r="W2319" s="0" t="n">
        <v>77</v>
      </c>
      <c r="X2319" s="0" t="n">
        <v>11</v>
      </c>
      <c r="Y2319" s="0" t="n">
        <v>7</v>
      </c>
      <c r="Z2319" s="0" t="inlineStr">
        <is>
          <t>https://new.land.naver.com/complexes/11946?tab=detail&amp;rf=Y</t>
        </is>
      </c>
      <c r="AA2319" s="0" t="inlineStr">
        <is>
          <t>서울시 강동구 암사동 463-18</t>
        </is>
      </c>
      <c r="AB2319" s="0" t="inlineStr">
        <is>
          <t>서울시</t>
        </is>
      </c>
      <c r="AC2319" s="0" t="inlineStr">
        <is>
          <t>강동구</t>
        </is>
      </c>
      <c r="AD2319" s="0" t="inlineStr">
        <is>
          <t>암사동</t>
        </is>
      </c>
      <c r="AG2319" s="0" t="inlineStr">
        <is>
          <t>서울시 강동구 고덕로10길 30</t>
        </is>
      </c>
      <c r="AH2319" s="0" t="n">
        <v>0</v>
      </c>
      <c r="AI2319" s="0" t="n">
        <v>247</v>
      </c>
      <c r="AJ2319" s="0" t="n">
        <v>28</v>
      </c>
      <c r="AK2319" s="0" t="n">
        <v>37</v>
      </c>
      <c r="AL2319" s="0" t="n">
        <v>1</v>
      </c>
    </row>
    <row r="2320">
      <c r="A2320" s="0" t="inlineStr">
        <is>
          <t>[암사동]</t>
        </is>
      </c>
      <c r="B2320" s="0" t="n">
        <v>11946</v>
      </c>
      <c r="C2320" s="0" t="n">
        <v>2</v>
      </c>
      <c r="D2320" s="0" t="inlineStr">
        <is>
          <t>우암쎈스뷰</t>
        </is>
      </c>
      <c r="E2320" s="0" t="inlineStr">
        <is>
          <t>2003.10.</t>
        </is>
      </c>
      <c r="F2320" s="0" t="n">
        <v>37</v>
      </c>
      <c r="G2320" s="0" t="n">
        <v>24.51</v>
      </c>
      <c r="H2320" s="0" t="n">
        <v>81.03</v>
      </c>
      <c r="I2320" s="0" t="n">
        <v>19.02</v>
      </c>
      <c r="J2320" s="0" t="n">
        <v>62.89</v>
      </c>
      <c r="K2320" s="0" t="n">
        <v>2</v>
      </c>
      <c r="T2320" s="0" t="n">
        <v>3</v>
      </c>
      <c r="U2320" s="0" t="n">
        <v>2</v>
      </c>
      <c r="V2320" s="0" t="inlineStr">
        <is>
          <t>계단식</t>
        </is>
      </c>
      <c r="W2320" s="0" t="n">
        <v>81</v>
      </c>
      <c r="X2320" s="0" t="n">
        <v>11</v>
      </c>
      <c r="Y2320" s="0" t="n">
        <v>7</v>
      </c>
      <c r="Z2320" s="0" t="inlineStr">
        <is>
          <t>https://new.land.naver.com/complexes/11946?tab=detail&amp;rf=Y</t>
        </is>
      </c>
      <c r="AA2320" s="0" t="inlineStr">
        <is>
          <t>서울시 강동구 암사동 463-18</t>
        </is>
      </c>
      <c r="AB2320" s="0" t="inlineStr">
        <is>
          <t>서울시</t>
        </is>
      </c>
      <c r="AC2320" s="0" t="inlineStr">
        <is>
          <t>강동구</t>
        </is>
      </c>
      <c r="AD2320" s="0" t="inlineStr">
        <is>
          <t>암사동</t>
        </is>
      </c>
      <c r="AG2320" s="0" t="inlineStr">
        <is>
          <t>서울시 강동구 고덕로10길 30</t>
        </is>
      </c>
      <c r="AH2320" s="0" t="n">
        <v>0</v>
      </c>
      <c r="AI2320" s="0" t="n">
        <v>247</v>
      </c>
      <c r="AJ2320" s="0" t="n">
        <v>28</v>
      </c>
      <c r="AK2320" s="0" t="n">
        <v>37</v>
      </c>
      <c r="AL2320" s="0" t="n">
        <v>1</v>
      </c>
    </row>
    <row r="2321">
      <c r="A2321" s="0" t="inlineStr">
        <is>
          <t>[암사동]</t>
        </is>
      </c>
      <c r="B2321" s="0" t="n">
        <v>11946</v>
      </c>
      <c r="C2321" s="0" t="n">
        <v>3</v>
      </c>
      <c r="D2321" s="0" t="inlineStr">
        <is>
          <t>우암쎈스뷰</t>
        </is>
      </c>
      <c r="E2321" s="0" t="inlineStr">
        <is>
          <t>2003.10.</t>
        </is>
      </c>
      <c r="F2321" s="0" t="n">
        <v>37</v>
      </c>
      <c r="G2321" s="0" t="n">
        <v>25.71</v>
      </c>
      <c r="H2321" s="0" t="n">
        <v>85.02</v>
      </c>
      <c r="I2321" s="0" t="n">
        <v>20.07</v>
      </c>
      <c r="J2321" s="0" t="n">
        <v>66.37</v>
      </c>
      <c r="K2321" s="0" t="n">
        <v>1</v>
      </c>
      <c r="T2321" s="0" t="n">
        <v>3</v>
      </c>
      <c r="U2321" s="0" t="n">
        <v>1</v>
      </c>
      <c r="V2321" s="0" t="inlineStr">
        <is>
          <t>계단식</t>
        </is>
      </c>
      <c r="W2321" s="0" t="n">
        <v>85</v>
      </c>
      <c r="X2321" s="0" t="n">
        <v>11</v>
      </c>
      <c r="Y2321" s="0" t="n">
        <v>7</v>
      </c>
      <c r="Z2321" s="0" t="inlineStr">
        <is>
          <t>https://new.land.naver.com/complexes/11946?tab=detail&amp;rf=Y</t>
        </is>
      </c>
      <c r="AA2321" s="0" t="inlineStr">
        <is>
          <t>서울시 강동구 암사동 463-18</t>
        </is>
      </c>
      <c r="AB2321" s="0" t="inlineStr">
        <is>
          <t>서울시</t>
        </is>
      </c>
      <c r="AC2321" s="0" t="inlineStr">
        <is>
          <t>강동구</t>
        </is>
      </c>
      <c r="AD2321" s="0" t="inlineStr">
        <is>
          <t>암사동</t>
        </is>
      </c>
      <c r="AG2321" s="0" t="inlineStr">
        <is>
          <t>서울시 강동구 고덕로10길 30</t>
        </is>
      </c>
      <c r="AH2321" s="0" t="n">
        <v>0</v>
      </c>
      <c r="AI2321" s="0" t="n">
        <v>247</v>
      </c>
      <c r="AJ2321" s="0" t="n">
        <v>28</v>
      </c>
      <c r="AK2321" s="0" t="n">
        <v>37</v>
      </c>
      <c r="AL2321" s="0" t="n">
        <v>1</v>
      </c>
    </row>
    <row r="2322">
      <c r="A2322" s="0" t="inlineStr">
        <is>
          <t>[암사동]</t>
        </is>
      </c>
      <c r="B2322" s="0" t="n">
        <v>11946</v>
      </c>
      <c r="C2322" s="0" t="n">
        <v>4</v>
      </c>
      <c r="D2322" s="0" t="inlineStr">
        <is>
          <t>우암쎈스뷰</t>
        </is>
      </c>
      <c r="E2322" s="0" t="inlineStr">
        <is>
          <t>2003.10.</t>
        </is>
      </c>
      <c r="F2322" s="0" t="n">
        <v>37</v>
      </c>
      <c r="G2322" s="0" t="n">
        <v>28.58</v>
      </c>
      <c r="H2322" s="0" t="n">
        <v>94.51000000000001</v>
      </c>
      <c r="I2322" s="0" t="n">
        <v>22.38</v>
      </c>
      <c r="J2322" s="0" t="n">
        <v>74</v>
      </c>
      <c r="K2322" s="0" t="n">
        <v>1</v>
      </c>
      <c r="T2322" s="0" t="n">
        <v>3</v>
      </c>
      <c r="U2322" s="0" t="n">
        <v>2</v>
      </c>
      <c r="V2322" s="0" t="inlineStr">
        <is>
          <t>계단식</t>
        </is>
      </c>
      <c r="W2322" s="0" t="inlineStr">
        <is>
          <t>94A</t>
        </is>
      </c>
      <c r="X2322" s="0" t="n">
        <v>11</v>
      </c>
      <c r="Y2322" s="0" t="n">
        <v>7</v>
      </c>
      <c r="Z2322" s="0" t="inlineStr">
        <is>
          <t>https://new.land.naver.com/complexes/11946?tab=detail&amp;rf=Y</t>
        </is>
      </c>
      <c r="AA2322" s="0" t="inlineStr">
        <is>
          <t>서울시 강동구 암사동 463-18</t>
        </is>
      </c>
      <c r="AB2322" s="0" t="inlineStr">
        <is>
          <t>서울시</t>
        </is>
      </c>
      <c r="AC2322" s="0" t="inlineStr">
        <is>
          <t>강동구</t>
        </is>
      </c>
      <c r="AD2322" s="0" t="inlineStr">
        <is>
          <t>암사동</t>
        </is>
      </c>
      <c r="AG2322" s="0" t="inlineStr">
        <is>
          <t>서울시 강동구 고덕로10길 30</t>
        </is>
      </c>
      <c r="AH2322" s="0" t="n">
        <v>0</v>
      </c>
      <c r="AI2322" s="0" t="n">
        <v>247</v>
      </c>
      <c r="AJ2322" s="0" t="n">
        <v>28</v>
      </c>
      <c r="AK2322" s="0" t="n">
        <v>37</v>
      </c>
      <c r="AL2322" s="0" t="n">
        <v>1</v>
      </c>
    </row>
    <row r="2323">
      <c r="A2323" s="0" t="inlineStr">
        <is>
          <t>[암사동]</t>
        </is>
      </c>
      <c r="B2323" s="0" t="n">
        <v>11946</v>
      </c>
      <c r="C2323" s="0" t="n">
        <v>5</v>
      </c>
      <c r="D2323" s="0" t="inlineStr">
        <is>
          <t>우암쎈스뷰</t>
        </is>
      </c>
      <c r="E2323" s="0" t="inlineStr">
        <is>
          <t>2003.10.</t>
        </is>
      </c>
      <c r="F2323" s="0" t="n">
        <v>37</v>
      </c>
      <c r="G2323" s="0" t="n">
        <v>29.46</v>
      </c>
      <c r="H2323" s="0" t="n">
        <v>97.42</v>
      </c>
      <c r="I2323" s="0" t="n">
        <v>23</v>
      </c>
      <c r="J2323" s="0" t="n">
        <v>76.05</v>
      </c>
      <c r="K2323" s="0" t="n">
        <v>18</v>
      </c>
      <c r="T2323" s="0" t="n">
        <v>3</v>
      </c>
      <c r="U2323" s="0" t="n">
        <v>2</v>
      </c>
      <c r="V2323" s="0" t="inlineStr">
        <is>
          <t>계단식</t>
        </is>
      </c>
      <c r="W2323" s="0" t="inlineStr">
        <is>
          <t>97B</t>
        </is>
      </c>
      <c r="X2323" s="0" t="n">
        <v>11</v>
      </c>
      <c r="Y2323" s="0" t="n">
        <v>7</v>
      </c>
      <c r="Z2323" s="0" t="inlineStr">
        <is>
          <t>https://new.land.naver.com/complexes/11946?tab=detail&amp;rf=Y</t>
        </is>
      </c>
      <c r="AA2323" s="0" t="inlineStr">
        <is>
          <t>서울시 강동구 암사동 463-18</t>
        </is>
      </c>
      <c r="AB2323" s="0" t="inlineStr">
        <is>
          <t>서울시</t>
        </is>
      </c>
      <c r="AC2323" s="0" t="inlineStr">
        <is>
          <t>강동구</t>
        </is>
      </c>
      <c r="AD2323" s="0" t="inlineStr">
        <is>
          <t>암사동</t>
        </is>
      </c>
      <c r="AG2323" s="0" t="inlineStr">
        <is>
          <t>서울시 강동구 고덕로10길 30</t>
        </is>
      </c>
      <c r="AH2323" s="0" t="n">
        <v>0</v>
      </c>
      <c r="AI2323" s="0" t="n">
        <v>247</v>
      </c>
      <c r="AJ2323" s="0" t="n">
        <v>28</v>
      </c>
      <c r="AK2323" s="0" t="n">
        <v>37</v>
      </c>
      <c r="AL2323" s="0" t="n">
        <v>1</v>
      </c>
    </row>
    <row r="2324">
      <c r="A2324" s="0" t="inlineStr">
        <is>
          <t>[암사동]</t>
        </is>
      </c>
      <c r="B2324" s="0" t="n">
        <v>11946</v>
      </c>
      <c r="C2324" s="0" t="n">
        <v>6</v>
      </c>
      <c r="D2324" s="0" t="inlineStr">
        <is>
          <t>우암쎈스뷰</t>
        </is>
      </c>
      <c r="E2324" s="0" t="inlineStr">
        <is>
          <t>2003.10.</t>
        </is>
      </c>
      <c r="F2324" s="0" t="n">
        <v>37</v>
      </c>
      <c r="G2324" s="0" t="n">
        <v>29.82</v>
      </c>
      <c r="H2324" s="0" t="n">
        <v>98.58</v>
      </c>
      <c r="I2324" s="0" t="n">
        <v>23.34</v>
      </c>
      <c r="J2324" s="0" t="n">
        <v>77.19</v>
      </c>
      <c r="K2324" s="0" t="n">
        <v>8</v>
      </c>
      <c r="T2324" s="0" t="n">
        <v>3</v>
      </c>
      <c r="U2324" s="0" t="n">
        <v>2</v>
      </c>
      <c r="V2324" s="0" t="inlineStr">
        <is>
          <t>계단식</t>
        </is>
      </c>
      <c r="W2324" s="0" t="n">
        <v>98</v>
      </c>
      <c r="X2324" s="0" t="n">
        <v>11</v>
      </c>
      <c r="Y2324" s="0" t="n">
        <v>7</v>
      </c>
      <c r="Z2324" s="0" t="inlineStr">
        <is>
          <t>https://new.land.naver.com/complexes/11946?tab=detail&amp;rf=Y</t>
        </is>
      </c>
      <c r="AA2324" s="0" t="inlineStr">
        <is>
          <t>서울시 강동구 암사동 463-18</t>
        </is>
      </c>
      <c r="AB2324" s="0" t="inlineStr">
        <is>
          <t>서울시</t>
        </is>
      </c>
      <c r="AC2324" s="0" t="inlineStr">
        <is>
          <t>강동구</t>
        </is>
      </c>
      <c r="AD2324" s="0" t="inlineStr">
        <is>
          <t>암사동</t>
        </is>
      </c>
      <c r="AG2324" s="0" t="inlineStr">
        <is>
          <t>서울시 강동구 고덕로10길 30</t>
        </is>
      </c>
      <c r="AH2324" s="0" t="n">
        <v>0</v>
      </c>
      <c r="AI2324" s="0" t="n">
        <v>247</v>
      </c>
      <c r="AJ2324" s="0" t="n">
        <v>28</v>
      </c>
      <c r="AK2324" s="0" t="n">
        <v>37</v>
      </c>
      <c r="AL2324" s="0" t="n">
        <v>1</v>
      </c>
    </row>
    <row r="2325">
      <c r="A2325" s="0" t="inlineStr">
        <is>
          <t>[암사동]</t>
        </is>
      </c>
      <c r="B2325" s="0" t="n">
        <v>104319</v>
      </c>
      <c r="C2325" s="0" t="n">
        <v>1</v>
      </c>
      <c r="D2325" s="0" t="inlineStr">
        <is>
          <t>로뎀하우스(도시형)</t>
        </is>
      </c>
      <c r="E2325" s="0" t="inlineStr">
        <is>
          <t>2011.12.</t>
        </is>
      </c>
      <c r="F2325" s="0" t="n">
        <v>19</v>
      </c>
      <c r="G2325" s="0" t="n">
        <v>5.26</v>
      </c>
      <c r="H2325" s="0" t="n">
        <v>17.4</v>
      </c>
      <c r="I2325" s="0" t="n">
        <v>3.7</v>
      </c>
      <c r="J2325" s="0" t="n">
        <v>12.25</v>
      </c>
      <c r="K2325" s="0" t="n">
        <v>4</v>
      </c>
      <c r="T2325" s="0" t="n">
        <v>1</v>
      </c>
      <c r="U2325" s="0" t="n">
        <v>1</v>
      </c>
      <c r="V2325" s="0" t="inlineStr">
        <is>
          <t>복도식</t>
        </is>
      </c>
      <c r="W2325" s="0" t="inlineStr">
        <is>
          <t>17A</t>
        </is>
      </c>
      <c r="X2325" s="0" t="n">
        <v>7</v>
      </c>
      <c r="Y2325" s="0" t="n">
        <v>7</v>
      </c>
      <c r="Z2325" s="0" t="inlineStr">
        <is>
          <t>https://new.land.naver.com/complexes/104319?tab=detail&amp;rf=Y</t>
        </is>
      </c>
      <c r="AA2325" s="0" t="inlineStr">
        <is>
          <t>서울시 강동구 암사동 503-9</t>
        </is>
      </c>
      <c r="AB2325" s="0" t="inlineStr">
        <is>
          <t>서울시</t>
        </is>
      </c>
      <c r="AC2325" s="0" t="inlineStr">
        <is>
          <t>강동구</t>
        </is>
      </c>
      <c r="AD2325" s="0" t="inlineStr">
        <is>
          <t>암사동</t>
        </is>
      </c>
      <c r="AG2325" s="0" t="inlineStr">
        <is>
          <t>서울시 강동구 상암로5길 25</t>
        </is>
      </c>
      <c r="AH2325" s="0" t="n">
        <v>0</v>
      </c>
      <c r="AI2325" s="0" t="n">
        <v>316</v>
      </c>
      <c r="AJ2325" s="0" t="n">
        <v>59</v>
      </c>
      <c r="AK2325" s="0" t="n">
        <v>5</v>
      </c>
      <c r="AL2325" s="0" t="n">
        <v>0.26</v>
      </c>
    </row>
    <row r="2326">
      <c r="A2326" s="0" t="inlineStr">
        <is>
          <t>[암사동]</t>
        </is>
      </c>
      <c r="B2326" s="0" t="n">
        <v>104319</v>
      </c>
      <c r="C2326" s="0" t="n">
        <v>2</v>
      </c>
      <c r="D2326" s="0" t="inlineStr">
        <is>
          <t>로뎀하우스(도시형)</t>
        </is>
      </c>
      <c r="E2326" s="0" t="inlineStr">
        <is>
          <t>2011.12.</t>
        </is>
      </c>
      <c r="F2326" s="0" t="n">
        <v>19</v>
      </c>
      <c r="G2326" s="0" t="n">
        <v>5.28</v>
      </c>
      <c r="H2326" s="0" t="n">
        <v>17.48</v>
      </c>
      <c r="I2326" s="0" t="n">
        <v>3.72</v>
      </c>
      <c r="J2326" s="0" t="n">
        <v>12.31</v>
      </c>
      <c r="K2326" s="0" t="n">
        <v>4</v>
      </c>
      <c r="T2326" s="0" t="n">
        <v>1</v>
      </c>
      <c r="U2326" s="0" t="n">
        <v>1</v>
      </c>
      <c r="V2326" s="0" t="inlineStr">
        <is>
          <t>복도식</t>
        </is>
      </c>
      <c r="W2326" s="0" t="inlineStr">
        <is>
          <t>17B</t>
        </is>
      </c>
      <c r="X2326" s="0" t="n">
        <v>7</v>
      </c>
      <c r="Y2326" s="0" t="n">
        <v>7</v>
      </c>
      <c r="Z2326" s="0" t="inlineStr">
        <is>
          <t>https://new.land.naver.com/complexes/104319?tab=detail&amp;rf=Y</t>
        </is>
      </c>
      <c r="AA2326" s="0" t="inlineStr">
        <is>
          <t>서울시 강동구 암사동 503-9</t>
        </is>
      </c>
      <c r="AB2326" s="0" t="inlineStr">
        <is>
          <t>서울시</t>
        </is>
      </c>
      <c r="AC2326" s="0" t="inlineStr">
        <is>
          <t>강동구</t>
        </is>
      </c>
      <c r="AD2326" s="0" t="inlineStr">
        <is>
          <t>암사동</t>
        </is>
      </c>
      <c r="AG2326" s="0" t="inlineStr">
        <is>
          <t>서울시 강동구 상암로5길 25</t>
        </is>
      </c>
      <c r="AH2326" s="0" t="n">
        <v>0</v>
      </c>
      <c r="AI2326" s="0" t="n">
        <v>316</v>
      </c>
      <c r="AJ2326" s="0" t="n">
        <v>59</v>
      </c>
      <c r="AK2326" s="0" t="n">
        <v>5</v>
      </c>
      <c r="AL2326" s="0" t="n">
        <v>0.26</v>
      </c>
    </row>
    <row r="2327">
      <c r="A2327" s="0" t="inlineStr">
        <is>
          <t>[암사동]</t>
        </is>
      </c>
      <c r="B2327" s="0" t="n">
        <v>104319</v>
      </c>
      <c r="C2327" s="0" t="n">
        <v>3</v>
      </c>
      <c r="D2327" s="0" t="inlineStr">
        <is>
          <t>로뎀하우스(도시형)</t>
        </is>
      </c>
      <c r="E2327" s="0" t="inlineStr">
        <is>
          <t>2011.12.</t>
        </is>
      </c>
      <c r="F2327" s="0" t="n">
        <v>19</v>
      </c>
      <c r="G2327" s="0" t="n">
        <v>5.6</v>
      </c>
      <c r="H2327" s="0" t="n">
        <v>18.52</v>
      </c>
      <c r="I2327" s="0" t="n">
        <v>3.94</v>
      </c>
      <c r="J2327" s="0" t="n">
        <v>13.04</v>
      </c>
      <c r="K2327" s="0" t="n">
        <v>3</v>
      </c>
      <c r="T2327" s="0" t="n">
        <v>1</v>
      </c>
      <c r="U2327" s="0" t="n">
        <v>1</v>
      </c>
      <c r="V2327" s="0" t="inlineStr">
        <is>
          <t>복도식</t>
        </is>
      </c>
      <c r="W2327" s="0" t="n">
        <v>18</v>
      </c>
      <c r="X2327" s="0" t="n">
        <v>7</v>
      </c>
      <c r="Y2327" s="0" t="n">
        <v>7</v>
      </c>
      <c r="Z2327" s="0" t="inlineStr">
        <is>
          <t>https://new.land.naver.com/complexes/104319?tab=detail&amp;rf=Y</t>
        </is>
      </c>
      <c r="AA2327" s="0" t="inlineStr">
        <is>
          <t>서울시 강동구 암사동 503-9</t>
        </is>
      </c>
      <c r="AB2327" s="0" t="inlineStr">
        <is>
          <t>서울시</t>
        </is>
      </c>
      <c r="AC2327" s="0" t="inlineStr">
        <is>
          <t>강동구</t>
        </is>
      </c>
      <c r="AD2327" s="0" t="inlineStr">
        <is>
          <t>암사동</t>
        </is>
      </c>
      <c r="AG2327" s="0" t="inlineStr">
        <is>
          <t>서울시 강동구 상암로5길 25</t>
        </is>
      </c>
      <c r="AH2327" s="0" t="n">
        <v>0</v>
      </c>
      <c r="AI2327" s="0" t="n">
        <v>316</v>
      </c>
      <c r="AJ2327" s="0" t="n">
        <v>59</v>
      </c>
      <c r="AK2327" s="0" t="n">
        <v>5</v>
      </c>
      <c r="AL2327" s="0" t="n">
        <v>0.26</v>
      </c>
    </row>
    <row r="2328">
      <c r="A2328" s="0" t="inlineStr">
        <is>
          <t>[암사동]</t>
        </is>
      </c>
      <c r="B2328" s="0" t="n">
        <v>104319</v>
      </c>
      <c r="C2328" s="0" t="n">
        <v>4</v>
      </c>
      <c r="D2328" s="0" t="inlineStr">
        <is>
          <t>로뎀하우스(도시형)</t>
        </is>
      </c>
      <c r="E2328" s="0" t="inlineStr">
        <is>
          <t>2011.12.</t>
        </is>
      </c>
      <c r="F2328" s="0" t="n">
        <v>19</v>
      </c>
      <c r="G2328" s="0" t="n">
        <v>6.61</v>
      </c>
      <c r="H2328" s="0" t="n">
        <v>21.87</v>
      </c>
      <c r="I2328" s="0" t="n">
        <v>4.65</v>
      </c>
      <c r="J2328" s="0" t="n">
        <v>15.4</v>
      </c>
      <c r="K2328" s="0" t="n">
        <v>2</v>
      </c>
      <c r="T2328" s="0" t="n">
        <v>1</v>
      </c>
      <c r="U2328" s="0" t="n">
        <v>1</v>
      </c>
      <c r="V2328" s="0" t="inlineStr">
        <is>
          <t>복도식</t>
        </is>
      </c>
      <c r="W2328" s="0" t="n">
        <v>21</v>
      </c>
      <c r="X2328" s="0" t="n">
        <v>7</v>
      </c>
      <c r="Y2328" s="0" t="n">
        <v>7</v>
      </c>
      <c r="Z2328" s="0" t="inlineStr">
        <is>
          <t>https://new.land.naver.com/complexes/104319?tab=detail&amp;rf=Y</t>
        </is>
      </c>
      <c r="AA2328" s="0" t="inlineStr">
        <is>
          <t>서울시 강동구 암사동 503-9</t>
        </is>
      </c>
      <c r="AB2328" s="0" t="inlineStr">
        <is>
          <t>서울시</t>
        </is>
      </c>
      <c r="AC2328" s="0" t="inlineStr">
        <is>
          <t>강동구</t>
        </is>
      </c>
      <c r="AD2328" s="0" t="inlineStr">
        <is>
          <t>암사동</t>
        </is>
      </c>
      <c r="AG2328" s="0" t="inlineStr">
        <is>
          <t>서울시 강동구 상암로5길 25</t>
        </is>
      </c>
      <c r="AH2328" s="0" t="n">
        <v>0</v>
      </c>
      <c r="AI2328" s="0" t="n">
        <v>316</v>
      </c>
      <c r="AJ2328" s="0" t="n">
        <v>59</v>
      </c>
      <c r="AK2328" s="0" t="n">
        <v>5</v>
      </c>
      <c r="AL2328" s="0" t="n">
        <v>0.26</v>
      </c>
    </row>
    <row r="2329">
      <c r="A2329" s="0" t="inlineStr">
        <is>
          <t>[암사동]</t>
        </is>
      </c>
      <c r="B2329" s="0" t="n">
        <v>104319</v>
      </c>
      <c r="C2329" s="0" t="n">
        <v>5</v>
      </c>
      <c r="D2329" s="0" t="inlineStr">
        <is>
          <t>로뎀하우스(도시형)</t>
        </is>
      </c>
      <c r="E2329" s="0" t="inlineStr">
        <is>
          <t>2011.12.</t>
        </is>
      </c>
      <c r="F2329" s="0" t="n">
        <v>19</v>
      </c>
      <c r="G2329" s="0" t="n">
        <v>7.75</v>
      </c>
      <c r="H2329" s="0" t="n">
        <v>25.65</v>
      </c>
      <c r="I2329" s="0" t="n">
        <v>5.46</v>
      </c>
      <c r="J2329" s="0" t="n">
        <v>18.06</v>
      </c>
      <c r="K2329" s="0" t="n">
        <v>2</v>
      </c>
      <c r="T2329" s="0" t="n">
        <v>1</v>
      </c>
      <c r="U2329" s="0" t="n">
        <v>1</v>
      </c>
      <c r="V2329" s="0" t="inlineStr">
        <is>
          <t>복도식</t>
        </is>
      </c>
      <c r="W2329" s="0" t="inlineStr">
        <is>
          <t>25A</t>
        </is>
      </c>
      <c r="X2329" s="0" t="n">
        <v>7</v>
      </c>
      <c r="Y2329" s="0" t="n">
        <v>7</v>
      </c>
      <c r="Z2329" s="0" t="inlineStr">
        <is>
          <t>https://new.land.naver.com/complexes/104319?tab=detail&amp;rf=Y</t>
        </is>
      </c>
      <c r="AA2329" s="0" t="inlineStr">
        <is>
          <t>서울시 강동구 암사동 503-9</t>
        </is>
      </c>
      <c r="AB2329" s="0" t="inlineStr">
        <is>
          <t>서울시</t>
        </is>
      </c>
      <c r="AC2329" s="0" t="inlineStr">
        <is>
          <t>강동구</t>
        </is>
      </c>
      <c r="AD2329" s="0" t="inlineStr">
        <is>
          <t>암사동</t>
        </is>
      </c>
      <c r="AG2329" s="0" t="inlineStr">
        <is>
          <t>서울시 강동구 상암로5길 25</t>
        </is>
      </c>
      <c r="AH2329" s="0" t="n">
        <v>0</v>
      </c>
      <c r="AI2329" s="0" t="n">
        <v>316</v>
      </c>
      <c r="AJ2329" s="0" t="n">
        <v>59</v>
      </c>
      <c r="AK2329" s="0" t="n">
        <v>5</v>
      </c>
      <c r="AL2329" s="0" t="n">
        <v>0.26</v>
      </c>
    </row>
    <row r="2330">
      <c r="A2330" s="0" t="inlineStr">
        <is>
          <t>[암사동]</t>
        </is>
      </c>
      <c r="B2330" s="0" t="n">
        <v>104319</v>
      </c>
      <c r="C2330" s="0" t="n">
        <v>6</v>
      </c>
      <c r="D2330" s="0" t="inlineStr">
        <is>
          <t>로뎀하우스(도시형)</t>
        </is>
      </c>
      <c r="E2330" s="0" t="inlineStr">
        <is>
          <t>2011.12.</t>
        </is>
      </c>
      <c r="F2330" s="0" t="n">
        <v>19</v>
      </c>
      <c r="G2330" s="0" t="n">
        <v>8.029999999999999</v>
      </c>
      <c r="H2330" s="0" t="n">
        <v>26.55</v>
      </c>
      <c r="I2330" s="0" t="n">
        <v>5.65</v>
      </c>
      <c r="J2330" s="0" t="n">
        <v>18.7</v>
      </c>
      <c r="K2330" s="0" t="n">
        <v>1</v>
      </c>
      <c r="T2330" s="0" t="n">
        <v>1</v>
      </c>
      <c r="U2330" s="0" t="n">
        <v>1</v>
      </c>
      <c r="V2330" s="0" t="inlineStr">
        <is>
          <t>복도식</t>
        </is>
      </c>
      <c r="W2330" s="0" t="inlineStr">
        <is>
          <t>26B</t>
        </is>
      </c>
      <c r="X2330" s="0" t="n">
        <v>7</v>
      </c>
      <c r="Y2330" s="0" t="n">
        <v>7</v>
      </c>
      <c r="Z2330" s="0" t="inlineStr">
        <is>
          <t>https://new.land.naver.com/complexes/104319?tab=detail&amp;rf=Y</t>
        </is>
      </c>
      <c r="AA2330" s="0" t="inlineStr">
        <is>
          <t>서울시 강동구 암사동 503-9</t>
        </is>
      </c>
      <c r="AB2330" s="0" t="inlineStr">
        <is>
          <t>서울시</t>
        </is>
      </c>
      <c r="AC2330" s="0" t="inlineStr">
        <is>
          <t>강동구</t>
        </is>
      </c>
      <c r="AD2330" s="0" t="inlineStr">
        <is>
          <t>암사동</t>
        </is>
      </c>
      <c r="AG2330" s="0" t="inlineStr">
        <is>
          <t>서울시 강동구 상암로5길 25</t>
        </is>
      </c>
      <c r="AH2330" s="0" t="n">
        <v>0</v>
      </c>
      <c r="AI2330" s="0" t="n">
        <v>316</v>
      </c>
      <c r="AJ2330" s="0" t="n">
        <v>59</v>
      </c>
      <c r="AK2330" s="0" t="n">
        <v>5</v>
      </c>
      <c r="AL2330" s="0" t="n">
        <v>0.26</v>
      </c>
    </row>
    <row r="2331">
      <c r="A2331" s="0" t="inlineStr">
        <is>
          <t>[암사동]</t>
        </is>
      </c>
      <c r="B2331" s="0" t="n">
        <v>104319</v>
      </c>
      <c r="C2331" s="0" t="n">
        <v>7</v>
      </c>
      <c r="D2331" s="0" t="inlineStr">
        <is>
          <t>로뎀하우스(도시형)</t>
        </is>
      </c>
      <c r="E2331" s="0" t="inlineStr">
        <is>
          <t>2011.12.</t>
        </is>
      </c>
      <c r="F2331" s="0" t="n">
        <v>19</v>
      </c>
      <c r="G2331" s="0" t="n">
        <v>8.07</v>
      </c>
      <c r="H2331" s="0" t="n">
        <v>26.71</v>
      </c>
      <c r="I2331" s="0" t="n">
        <v>5.69</v>
      </c>
      <c r="J2331" s="0" t="n">
        <v>18.81</v>
      </c>
      <c r="K2331" s="0" t="n">
        <v>1</v>
      </c>
      <c r="T2331" s="0" t="n">
        <v>1</v>
      </c>
      <c r="U2331" s="0" t="n">
        <v>1</v>
      </c>
      <c r="V2331" s="0" t="inlineStr">
        <is>
          <t>복도식</t>
        </is>
      </c>
      <c r="W2331" s="0" t="inlineStr">
        <is>
          <t>26C</t>
        </is>
      </c>
      <c r="X2331" s="0" t="n">
        <v>7</v>
      </c>
      <c r="Y2331" s="0" t="n">
        <v>7</v>
      </c>
      <c r="Z2331" s="0" t="inlineStr">
        <is>
          <t>https://new.land.naver.com/complexes/104319?tab=detail&amp;rf=Y</t>
        </is>
      </c>
      <c r="AA2331" s="0" t="inlineStr">
        <is>
          <t>서울시 강동구 암사동 503-9</t>
        </is>
      </c>
      <c r="AB2331" s="0" t="inlineStr">
        <is>
          <t>서울시</t>
        </is>
      </c>
      <c r="AC2331" s="0" t="inlineStr">
        <is>
          <t>강동구</t>
        </is>
      </c>
      <c r="AD2331" s="0" t="inlineStr">
        <is>
          <t>암사동</t>
        </is>
      </c>
      <c r="AG2331" s="0" t="inlineStr">
        <is>
          <t>서울시 강동구 상암로5길 25</t>
        </is>
      </c>
      <c r="AH2331" s="0" t="n">
        <v>0</v>
      </c>
      <c r="AI2331" s="0" t="n">
        <v>316</v>
      </c>
      <c r="AJ2331" s="0" t="n">
        <v>59</v>
      </c>
      <c r="AK2331" s="0" t="n">
        <v>5</v>
      </c>
      <c r="AL2331" s="0" t="n">
        <v>0.26</v>
      </c>
    </row>
    <row r="2332">
      <c r="A2332" s="0" t="inlineStr">
        <is>
          <t>[암사동]</t>
        </is>
      </c>
      <c r="B2332" s="0" t="n">
        <v>104319</v>
      </c>
      <c r="C2332" s="0" t="n">
        <v>8</v>
      </c>
      <c r="D2332" s="0" t="inlineStr">
        <is>
          <t>로뎀하우스(도시형)</t>
        </is>
      </c>
      <c r="E2332" s="0" t="inlineStr">
        <is>
          <t>2011.12.</t>
        </is>
      </c>
      <c r="F2332" s="0" t="n">
        <v>19</v>
      </c>
      <c r="G2332" s="0" t="n">
        <v>8.710000000000001</v>
      </c>
      <c r="H2332" s="0" t="n">
        <v>28.82</v>
      </c>
      <c r="I2332" s="0" t="n">
        <v>6.14</v>
      </c>
      <c r="J2332" s="0" t="n">
        <v>20.3</v>
      </c>
      <c r="K2332" s="0" t="n">
        <v>1</v>
      </c>
      <c r="T2332" s="0" t="n">
        <v>1</v>
      </c>
      <c r="U2332" s="0" t="n">
        <v>1</v>
      </c>
      <c r="V2332" s="0" t="inlineStr">
        <is>
          <t>복도식</t>
        </is>
      </c>
      <c r="W2332" s="0" t="inlineStr">
        <is>
          <t>28A</t>
        </is>
      </c>
      <c r="X2332" s="0" t="n">
        <v>7</v>
      </c>
      <c r="Y2332" s="0" t="n">
        <v>7</v>
      </c>
      <c r="Z2332" s="0" t="inlineStr">
        <is>
          <t>https://new.land.naver.com/complexes/104319?tab=detail&amp;rf=Y</t>
        </is>
      </c>
      <c r="AA2332" s="0" t="inlineStr">
        <is>
          <t>서울시 강동구 암사동 503-9</t>
        </is>
      </c>
      <c r="AB2332" s="0" t="inlineStr">
        <is>
          <t>서울시</t>
        </is>
      </c>
      <c r="AC2332" s="0" t="inlineStr">
        <is>
          <t>강동구</t>
        </is>
      </c>
      <c r="AD2332" s="0" t="inlineStr">
        <is>
          <t>암사동</t>
        </is>
      </c>
      <c r="AG2332" s="0" t="inlineStr">
        <is>
          <t>서울시 강동구 상암로5길 25</t>
        </is>
      </c>
      <c r="AH2332" s="0" t="n">
        <v>0</v>
      </c>
      <c r="AI2332" s="0" t="n">
        <v>316</v>
      </c>
      <c r="AJ2332" s="0" t="n">
        <v>59</v>
      </c>
      <c r="AK2332" s="0" t="n">
        <v>5</v>
      </c>
      <c r="AL2332" s="0" t="n">
        <v>0.26</v>
      </c>
    </row>
    <row r="2333">
      <c r="A2333" s="0" t="inlineStr">
        <is>
          <t>[암사동]</t>
        </is>
      </c>
      <c r="B2333" s="0" t="n">
        <v>104319</v>
      </c>
      <c r="C2333" s="0" t="n">
        <v>9</v>
      </c>
      <c r="D2333" s="0" t="inlineStr">
        <is>
          <t>로뎀하우스(도시형)</t>
        </is>
      </c>
      <c r="E2333" s="0" t="inlineStr">
        <is>
          <t>2011.12.</t>
        </is>
      </c>
      <c r="F2333" s="0" t="n">
        <v>19</v>
      </c>
      <c r="G2333" s="0" t="n">
        <v>9.02</v>
      </c>
      <c r="H2333" s="0" t="n">
        <v>29.82</v>
      </c>
      <c r="I2333" s="0" t="n">
        <v>6.35</v>
      </c>
      <c r="J2333" s="0" t="n">
        <v>21</v>
      </c>
      <c r="K2333" s="0" t="n">
        <v>1</v>
      </c>
      <c r="T2333" s="0" t="n">
        <v>1</v>
      </c>
      <c r="U2333" s="0" t="n">
        <v>1</v>
      </c>
      <c r="V2333" s="0" t="inlineStr">
        <is>
          <t>복도식</t>
        </is>
      </c>
      <c r="W2333" s="0" t="inlineStr">
        <is>
          <t>29B</t>
        </is>
      </c>
      <c r="X2333" s="0" t="n">
        <v>7</v>
      </c>
      <c r="Y2333" s="0" t="n">
        <v>7</v>
      </c>
      <c r="Z2333" s="0" t="inlineStr">
        <is>
          <t>https://new.land.naver.com/complexes/104319?tab=detail&amp;rf=Y</t>
        </is>
      </c>
      <c r="AA2333" s="0" t="inlineStr">
        <is>
          <t>서울시 강동구 암사동 503-9</t>
        </is>
      </c>
      <c r="AB2333" s="0" t="inlineStr">
        <is>
          <t>서울시</t>
        </is>
      </c>
      <c r="AC2333" s="0" t="inlineStr">
        <is>
          <t>강동구</t>
        </is>
      </c>
      <c r="AD2333" s="0" t="inlineStr">
        <is>
          <t>암사동</t>
        </is>
      </c>
      <c r="AG2333" s="0" t="inlineStr">
        <is>
          <t>서울시 강동구 상암로5길 25</t>
        </is>
      </c>
      <c r="AH2333" s="0" t="n">
        <v>0</v>
      </c>
      <c r="AI2333" s="0" t="n">
        <v>316</v>
      </c>
      <c r="AJ2333" s="0" t="n">
        <v>59</v>
      </c>
      <c r="AK2333" s="0" t="n">
        <v>5</v>
      </c>
      <c r="AL2333" s="0" t="n">
        <v>0.26</v>
      </c>
    </row>
    <row r="2334">
      <c r="A2334" s="0" t="inlineStr">
        <is>
          <t>[암사동]</t>
        </is>
      </c>
      <c r="B2334" s="0" t="n">
        <v>116836</v>
      </c>
      <c r="C2334" s="0" t="n">
        <v>1</v>
      </c>
      <c r="D2334" s="0" t="inlineStr">
        <is>
          <t>힐스테이트강동리버뷰</t>
        </is>
      </c>
      <c r="E2334" s="0" t="inlineStr">
        <is>
          <t>2019.11.</t>
        </is>
      </c>
      <c r="F2334" s="0" t="n">
        <v>460</v>
      </c>
      <c r="G2334" s="0" t="n">
        <v>24.16</v>
      </c>
      <c r="H2334" s="0" t="n">
        <v>79.90000000000001</v>
      </c>
      <c r="I2334" s="0" t="n">
        <v>18.11</v>
      </c>
      <c r="J2334" s="0" t="n">
        <v>59.89</v>
      </c>
      <c r="K2334" s="0" t="n">
        <v>12</v>
      </c>
      <c r="T2334" s="0" t="n">
        <v>3</v>
      </c>
      <c r="U2334" s="0" t="n">
        <v>2</v>
      </c>
      <c r="V2334" s="0" t="inlineStr">
        <is>
          <t>계단식</t>
        </is>
      </c>
      <c r="W2334" s="0" t="inlineStr">
        <is>
          <t>79B</t>
        </is>
      </c>
      <c r="X2334" s="0" t="n">
        <v>26</v>
      </c>
      <c r="Y2334" s="0" t="n">
        <v>15</v>
      </c>
      <c r="Z2334" s="0" t="inlineStr">
        <is>
          <t>https://new.land.naver.com/complexes/116836?tab=detail&amp;rf=Y</t>
        </is>
      </c>
      <c r="AA2334" s="0" t="inlineStr">
        <is>
          <t>서울시 강동구 암사동 675</t>
        </is>
      </c>
      <c r="AB2334" s="0" t="inlineStr">
        <is>
          <t>서울시</t>
        </is>
      </c>
      <c r="AC2334" s="0" t="inlineStr">
        <is>
          <t>강동구</t>
        </is>
      </c>
      <c r="AD2334" s="0" t="inlineStr">
        <is>
          <t>암사동</t>
        </is>
      </c>
      <c r="AG2334" s="0" t="inlineStr">
        <is>
          <t>서울시 강동구 올림픽로91길 30</t>
        </is>
      </c>
      <c r="AH2334" s="0" t="n">
        <v>147</v>
      </c>
      <c r="AI2334" s="0" t="n">
        <v>472</v>
      </c>
      <c r="AJ2334" s="0" t="n">
        <v>50</v>
      </c>
      <c r="AK2334" s="0" t="n">
        <v>528</v>
      </c>
      <c r="AL2334" s="0" t="n">
        <v>1.15</v>
      </c>
    </row>
    <row r="2335">
      <c r="A2335" s="0" t="inlineStr">
        <is>
          <t>[암사동]</t>
        </is>
      </c>
      <c r="B2335" s="0" t="n">
        <v>116836</v>
      </c>
      <c r="C2335" s="0" t="n">
        <v>2</v>
      </c>
      <c r="D2335" s="0" t="inlineStr">
        <is>
          <t>힐스테이트강동리버뷰</t>
        </is>
      </c>
      <c r="E2335" s="0" t="inlineStr">
        <is>
          <t>2019.11.</t>
        </is>
      </c>
      <c r="F2335" s="0" t="n">
        <v>460</v>
      </c>
      <c r="G2335" s="0" t="n">
        <v>24.7</v>
      </c>
      <c r="H2335" s="0" t="n">
        <v>81.68000000000001</v>
      </c>
      <c r="I2335" s="0" t="n">
        <v>18.14</v>
      </c>
      <c r="J2335" s="0" t="n">
        <v>59.99</v>
      </c>
      <c r="K2335" s="0" t="n">
        <v>12</v>
      </c>
      <c r="T2335" s="0" t="n">
        <v>3</v>
      </c>
      <c r="U2335" s="0" t="n">
        <v>2</v>
      </c>
      <c r="V2335" s="0" t="inlineStr">
        <is>
          <t>계단식</t>
        </is>
      </c>
      <c r="W2335" s="0" t="inlineStr">
        <is>
          <t>81A</t>
        </is>
      </c>
      <c r="X2335" s="0" t="n">
        <v>26</v>
      </c>
      <c r="Y2335" s="0" t="n">
        <v>15</v>
      </c>
      <c r="Z2335" s="0" t="inlineStr">
        <is>
          <t>https://new.land.naver.com/complexes/116836?tab=detail&amp;rf=Y</t>
        </is>
      </c>
      <c r="AA2335" s="0" t="inlineStr">
        <is>
          <t>서울시 강동구 암사동 675</t>
        </is>
      </c>
      <c r="AB2335" s="0" t="inlineStr">
        <is>
          <t>서울시</t>
        </is>
      </c>
      <c r="AC2335" s="0" t="inlineStr">
        <is>
          <t>강동구</t>
        </is>
      </c>
      <c r="AD2335" s="0" t="inlineStr">
        <is>
          <t>암사동</t>
        </is>
      </c>
      <c r="AG2335" s="0" t="inlineStr">
        <is>
          <t>서울시 강동구 올림픽로91길 30</t>
        </is>
      </c>
      <c r="AH2335" s="0" t="n">
        <v>147</v>
      </c>
      <c r="AI2335" s="0" t="n">
        <v>472</v>
      </c>
      <c r="AJ2335" s="0" t="n">
        <v>50</v>
      </c>
      <c r="AK2335" s="0" t="n">
        <v>528</v>
      </c>
      <c r="AL2335" s="0" t="n">
        <v>1.15</v>
      </c>
    </row>
    <row r="2336">
      <c r="A2336" s="0" t="inlineStr">
        <is>
          <t>[암사동]</t>
        </is>
      </c>
      <c r="B2336" s="0" t="n">
        <v>116836</v>
      </c>
      <c r="C2336" s="0" t="n">
        <v>3</v>
      </c>
      <c r="D2336" s="0" t="inlineStr">
        <is>
          <t>힐스테이트강동리버뷰</t>
        </is>
      </c>
      <c r="E2336" s="0" t="inlineStr">
        <is>
          <t>2019.11.</t>
        </is>
      </c>
      <c r="F2336" s="0" t="n">
        <v>460</v>
      </c>
      <c r="G2336" s="0" t="n">
        <v>34.01</v>
      </c>
      <c r="H2336" s="0" t="n">
        <v>112.46</v>
      </c>
      <c r="I2336" s="0" t="n">
        <v>25.7</v>
      </c>
      <c r="J2336" s="0" t="n">
        <v>84.98999999999999</v>
      </c>
      <c r="K2336" s="0" t="n">
        <v>88</v>
      </c>
      <c r="T2336" s="0" t="n">
        <v>3</v>
      </c>
      <c r="U2336" s="0" t="n">
        <v>2</v>
      </c>
      <c r="V2336" s="0" t="inlineStr">
        <is>
          <t>계단식</t>
        </is>
      </c>
      <c r="W2336" s="0" t="inlineStr">
        <is>
          <t>112B</t>
        </is>
      </c>
      <c r="X2336" s="0" t="n">
        <v>26</v>
      </c>
      <c r="Y2336" s="0" t="n">
        <v>15</v>
      </c>
      <c r="Z2336" s="0" t="inlineStr">
        <is>
          <t>https://new.land.naver.com/complexes/116836?tab=detail&amp;rf=Y</t>
        </is>
      </c>
      <c r="AA2336" s="0" t="inlineStr">
        <is>
          <t>서울시 강동구 암사동 675</t>
        </is>
      </c>
      <c r="AB2336" s="0" t="inlineStr">
        <is>
          <t>서울시</t>
        </is>
      </c>
      <c r="AC2336" s="0" t="inlineStr">
        <is>
          <t>강동구</t>
        </is>
      </c>
      <c r="AD2336" s="0" t="inlineStr">
        <is>
          <t>암사동</t>
        </is>
      </c>
      <c r="AG2336" s="0" t="inlineStr">
        <is>
          <t>서울시 강동구 올림픽로91길 30</t>
        </is>
      </c>
      <c r="AH2336" s="0" t="n">
        <v>147</v>
      </c>
      <c r="AI2336" s="0" t="n">
        <v>472</v>
      </c>
      <c r="AJ2336" s="0" t="n">
        <v>50</v>
      </c>
      <c r="AK2336" s="0" t="n">
        <v>528</v>
      </c>
      <c r="AL2336" s="0" t="n">
        <v>1.15</v>
      </c>
    </row>
    <row r="2337">
      <c r="A2337" s="0" t="inlineStr">
        <is>
          <t>[암사동]</t>
        </is>
      </c>
      <c r="B2337" s="0" t="n">
        <v>116836</v>
      </c>
      <c r="C2337" s="0" t="n">
        <v>4</v>
      </c>
      <c r="D2337" s="0" t="inlineStr">
        <is>
          <t>힐스테이트강동리버뷰</t>
        </is>
      </c>
      <c r="E2337" s="0" t="inlineStr">
        <is>
          <t>2019.11.</t>
        </is>
      </c>
      <c r="F2337" s="0" t="n">
        <v>460</v>
      </c>
      <c r="G2337" s="0" t="n">
        <v>34.11</v>
      </c>
      <c r="H2337" s="0" t="n">
        <v>112.79</v>
      </c>
      <c r="I2337" s="0" t="n">
        <v>25.7</v>
      </c>
      <c r="J2337" s="0" t="n">
        <v>84.95999999999999</v>
      </c>
      <c r="K2337" s="0" t="n">
        <v>39</v>
      </c>
      <c r="T2337" s="0" t="n">
        <v>3</v>
      </c>
      <c r="U2337" s="0" t="n">
        <v>2</v>
      </c>
      <c r="V2337" s="0" t="inlineStr">
        <is>
          <t>계단식</t>
        </is>
      </c>
      <c r="W2337" s="0" t="inlineStr">
        <is>
          <t>112C</t>
        </is>
      </c>
      <c r="X2337" s="0" t="n">
        <v>26</v>
      </c>
      <c r="Y2337" s="0" t="n">
        <v>15</v>
      </c>
      <c r="Z2337" s="0" t="inlineStr">
        <is>
          <t>https://new.land.naver.com/complexes/116836?tab=detail&amp;rf=Y</t>
        </is>
      </c>
      <c r="AA2337" s="0" t="inlineStr">
        <is>
          <t>서울시 강동구 암사동 675</t>
        </is>
      </c>
      <c r="AB2337" s="0" t="inlineStr">
        <is>
          <t>서울시</t>
        </is>
      </c>
      <c r="AC2337" s="0" t="inlineStr">
        <is>
          <t>강동구</t>
        </is>
      </c>
      <c r="AD2337" s="0" t="inlineStr">
        <is>
          <t>암사동</t>
        </is>
      </c>
      <c r="AG2337" s="0" t="inlineStr">
        <is>
          <t>서울시 강동구 올림픽로91길 30</t>
        </is>
      </c>
      <c r="AH2337" s="0" t="n">
        <v>147</v>
      </c>
      <c r="AI2337" s="0" t="n">
        <v>472</v>
      </c>
      <c r="AJ2337" s="0" t="n">
        <v>50</v>
      </c>
      <c r="AK2337" s="0" t="n">
        <v>528</v>
      </c>
      <c r="AL2337" s="0" t="n">
        <v>1.15</v>
      </c>
    </row>
    <row r="2338">
      <c r="A2338" s="0" t="inlineStr">
        <is>
          <t>[암사동]</t>
        </is>
      </c>
      <c r="B2338" s="0" t="n">
        <v>116836</v>
      </c>
      <c r="C2338" s="0" t="n">
        <v>5</v>
      </c>
      <c r="D2338" s="0" t="inlineStr">
        <is>
          <t>힐스테이트강동리버뷰</t>
        </is>
      </c>
      <c r="E2338" s="0" t="inlineStr">
        <is>
          <t>2019.11.</t>
        </is>
      </c>
      <c r="F2338" s="0" t="n">
        <v>460</v>
      </c>
      <c r="G2338" s="0" t="n">
        <v>34.47</v>
      </c>
      <c r="H2338" s="0" t="n">
        <v>113.96</v>
      </c>
      <c r="I2338" s="0" t="n">
        <v>25.7</v>
      </c>
      <c r="J2338" s="0" t="n">
        <v>84.98999999999999</v>
      </c>
      <c r="K2338" s="0" t="n">
        <v>162</v>
      </c>
      <c r="T2338" s="0" t="n">
        <v>3</v>
      </c>
      <c r="U2338" s="0" t="n">
        <v>2</v>
      </c>
      <c r="V2338" s="0" t="inlineStr">
        <is>
          <t>계단식</t>
        </is>
      </c>
      <c r="W2338" s="0" t="inlineStr">
        <is>
          <t>113A</t>
        </is>
      </c>
      <c r="X2338" s="0" t="n">
        <v>26</v>
      </c>
      <c r="Y2338" s="0" t="n">
        <v>15</v>
      </c>
      <c r="Z2338" s="0" t="inlineStr">
        <is>
          <t>https://new.land.naver.com/complexes/116836?tab=detail&amp;rf=Y</t>
        </is>
      </c>
      <c r="AA2338" s="0" t="inlineStr">
        <is>
          <t>서울시 강동구 암사동 675</t>
        </is>
      </c>
      <c r="AB2338" s="0" t="inlineStr">
        <is>
          <t>서울시</t>
        </is>
      </c>
      <c r="AC2338" s="0" t="inlineStr">
        <is>
          <t>강동구</t>
        </is>
      </c>
      <c r="AD2338" s="0" t="inlineStr">
        <is>
          <t>암사동</t>
        </is>
      </c>
      <c r="AG2338" s="0" t="inlineStr">
        <is>
          <t>서울시 강동구 올림픽로91길 30</t>
        </is>
      </c>
      <c r="AH2338" s="0" t="n">
        <v>147</v>
      </c>
      <c r="AI2338" s="0" t="n">
        <v>472</v>
      </c>
      <c r="AJ2338" s="0" t="n">
        <v>50</v>
      </c>
      <c r="AK2338" s="0" t="n">
        <v>528</v>
      </c>
      <c r="AL2338" s="0" t="n">
        <v>1.15</v>
      </c>
    </row>
    <row r="2339">
      <c r="A2339" s="0" t="inlineStr">
        <is>
          <t>[암사동]</t>
        </is>
      </c>
      <c r="B2339" s="0" t="n">
        <v>132053</v>
      </c>
      <c r="C2339" s="0" t="n">
        <v>1</v>
      </c>
      <c r="D2339" s="0" t="inlineStr">
        <is>
          <t>제이빌더스(도시형)</t>
        </is>
      </c>
      <c r="E2339" s="0" t="inlineStr">
        <is>
          <t>2016.10.</t>
        </is>
      </c>
      <c r="F2339" s="0" t="n">
        <v>106</v>
      </c>
      <c r="G2339" s="0" t="n">
        <v>8.9</v>
      </c>
      <c r="H2339" s="0" t="n">
        <v>29.44</v>
      </c>
      <c r="I2339" s="0" t="n">
        <v>7.46</v>
      </c>
      <c r="J2339" s="0" t="n">
        <v>24.69</v>
      </c>
      <c r="K2339" s="0" t="n">
        <v>4</v>
      </c>
      <c r="T2339" s="0" t="n">
        <v>1</v>
      </c>
      <c r="U2339" s="0" t="n">
        <v>1</v>
      </c>
      <c r="V2339" s="0" t="inlineStr">
        <is>
          <t>계단식</t>
        </is>
      </c>
      <c r="W2339" s="0" t="inlineStr">
        <is>
          <t>29A</t>
        </is>
      </c>
      <c r="X2339" s="0" t="n">
        <v>6</v>
      </c>
      <c r="Y2339" s="0" t="n">
        <v>6</v>
      </c>
      <c r="Z2339" s="0" t="inlineStr">
        <is>
          <t>https://new.land.naver.com/complexes/132053?tab=detail&amp;rf=Y</t>
        </is>
      </c>
      <c r="AA2339" s="0" t="inlineStr">
        <is>
          <t>서울시 강동구 암사동 479-13</t>
        </is>
      </c>
      <c r="AB2339" s="0" t="inlineStr">
        <is>
          <t>서울시</t>
        </is>
      </c>
      <c r="AC2339" s="0" t="inlineStr">
        <is>
          <t>강동구</t>
        </is>
      </c>
      <c r="AD2339" s="0" t="inlineStr">
        <is>
          <t>암사동</t>
        </is>
      </c>
      <c r="AG2339" s="0" t="inlineStr">
        <is>
          <t>서울시 강동구 암사길 50</t>
        </is>
      </c>
      <c r="AH2339" s="0" t="n">
        <v>0</v>
      </c>
      <c r="AI2339" s="0" t="n">
        <v>191</v>
      </c>
      <c r="AJ2339" s="0" t="n">
        <v>57</v>
      </c>
      <c r="AK2339" s="0" t="n">
        <v>79</v>
      </c>
      <c r="AL2339" s="0" t="n">
        <v>0.75</v>
      </c>
    </row>
    <row r="2340">
      <c r="A2340" s="0" t="inlineStr">
        <is>
          <t>[암사동]</t>
        </is>
      </c>
      <c r="B2340" s="0" t="n">
        <v>132053</v>
      </c>
      <c r="C2340" s="0" t="n">
        <v>2</v>
      </c>
      <c r="D2340" s="0" t="inlineStr">
        <is>
          <t>제이빌더스(도시형)</t>
        </is>
      </c>
      <c r="E2340" s="0" t="inlineStr">
        <is>
          <t>2016.10.</t>
        </is>
      </c>
      <c r="F2340" s="0" t="n">
        <v>106</v>
      </c>
      <c r="G2340" s="0" t="n">
        <v>9.210000000000001</v>
      </c>
      <c r="H2340" s="0" t="n">
        <v>30.45</v>
      </c>
      <c r="I2340" s="0" t="n">
        <v>7.71</v>
      </c>
      <c r="J2340" s="0" t="n">
        <v>25.49</v>
      </c>
      <c r="K2340" s="0" t="n">
        <v>15</v>
      </c>
      <c r="T2340" s="0" t="n">
        <v>1</v>
      </c>
      <c r="U2340" s="0" t="n">
        <v>1</v>
      </c>
      <c r="V2340" s="0" t="inlineStr">
        <is>
          <t>계단식</t>
        </is>
      </c>
      <c r="W2340" s="0" t="inlineStr">
        <is>
          <t>30C</t>
        </is>
      </c>
      <c r="X2340" s="0" t="n">
        <v>6</v>
      </c>
      <c r="Y2340" s="0" t="n">
        <v>6</v>
      </c>
      <c r="Z2340" s="0" t="inlineStr">
        <is>
          <t>https://new.land.naver.com/complexes/132053?tab=detail&amp;rf=Y</t>
        </is>
      </c>
      <c r="AA2340" s="0" t="inlineStr">
        <is>
          <t>서울시 강동구 암사동 479-13</t>
        </is>
      </c>
      <c r="AB2340" s="0" t="inlineStr">
        <is>
          <t>서울시</t>
        </is>
      </c>
      <c r="AC2340" s="0" t="inlineStr">
        <is>
          <t>강동구</t>
        </is>
      </c>
      <c r="AD2340" s="0" t="inlineStr">
        <is>
          <t>암사동</t>
        </is>
      </c>
      <c r="AG2340" s="0" t="inlineStr">
        <is>
          <t>서울시 강동구 암사길 50</t>
        </is>
      </c>
      <c r="AH2340" s="0" t="n">
        <v>0</v>
      </c>
      <c r="AI2340" s="0" t="n">
        <v>191</v>
      </c>
      <c r="AJ2340" s="0" t="n">
        <v>57</v>
      </c>
      <c r="AK2340" s="0" t="n">
        <v>79</v>
      </c>
      <c r="AL2340" s="0" t="n">
        <v>0.75</v>
      </c>
    </row>
    <row r="2341">
      <c r="A2341" s="0" t="inlineStr">
        <is>
          <t>[암사동]</t>
        </is>
      </c>
      <c r="B2341" s="0" t="n">
        <v>132053</v>
      </c>
      <c r="C2341" s="0" t="n">
        <v>3</v>
      </c>
      <c r="D2341" s="0" t="inlineStr">
        <is>
          <t>제이빌더스(도시형)</t>
        </is>
      </c>
      <c r="E2341" s="0" t="inlineStr">
        <is>
          <t>2016.10.</t>
        </is>
      </c>
      <c r="F2341" s="0" t="n">
        <v>106</v>
      </c>
      <c r="G2341" s="0" t="n">
        <v>9.18</v>
      </c>
      <c r="H2341" s="0" t="n">
        <v>30.35</v>
      </c>
      <c r="I2341" s="0" t="n">
        <v>7.69</v>
      </c>
      <c r="J2341" s="0" t="n">
        <v>25.44</v>
      </c>
      <c r="K2341" s="0" t="n">
        <v>8</v>
      </c>
      <c r="T2341" s="0" t="n">
        <v>1</v>
      </c>
      <c r="U2341" s="0" t="n">
        <v>1</v>
      </c>
      <c r="V2341" s="0" t="inlineStr">
        <is>
          <t>계단식</t>
        </is>
      </c>
      <c r="W2341" s="0" t="inlineStr">
        <is>
          <t>30B</t>
        </is>
      </c>
      <c r="X2341" s="0" t="n">
        <v>6</v>
      </c>
      <c r="Y2341" s="0" t="n">
        <v>6</v>
      </c>
      <c r="Z2341" s="0" t="inlineStr">
        <is>
          <t>https://new.land.naver.com/complexes/132053?tab=detail&amp;rf=Y</t>
        </is>
      </c>
      <c r="AA2341" s="0" t="inlineStr">
        <is>
          <t>서울시 강동구 암사동 479-13</t>
        </is>
      </c>
      <c r="AB2341" s="0" t="inlineStr">
        <is>
          <t>서울시</t>
        </is>
      </c>
      <c r="AC2341" s="0" t="inlineStr">
        <is>
          <t>강동구</t>
        </is>
      </c>
      <c r="AD2341" s="0" t="inlineStr">
        <is>
          <t>암사동</t>
        </is>
      </c>
      <c r="AG2341" s="0" t="inlineStr">
        <is>
          <t>서울시 강동구 암사길 50</t>
        </is>
      </c>
      <c r="AH2341" s="0" t="n">
        <v>0</v>
      </c>
      <c r="AI2341" s="0" t="n">
        <v>191</v>
      </c>
      <c r="AJ2341" s="0" t="n">
        <v>57</v>
      </c>
      <c r="AK2341" s="0" t="n">
        <v>79</v>
      </c>
      <c r="AL2341" s="0" t="n">
        <v>0.75</v>
      </c>
    </row>
    <row r="2342">
      <c r="A2342" s="0" t="inlineStr">
        <is>
          <t>[암사동]</t>
        </is>
      </c>
      <c r="B2342" s="0" t="n">
        <v>132053</v>
      </c>
      <c r="C2342" s="0" t="n">
        <v>4</v>
      </c>
      <c r="D2342" s="0" t="inlineStr">
        <is>
          <t>제이빌더스(도시형)</t>
        </is>
      </c>
      <c r="E2342" s="0" t="inlineStr">
        <is>
          <t>2016.10.</t>
        </is>
      </c>
      <c r="F2342" s="0" t="n">
        <v>106</v>
      </c>
      <c r="G2342" s="0" t="n">
        <v>9.66</v>
      </c>
      <c r="H2342" s="0" t="n">
        <v>31.95</v>
      </c>
      <c r="I2342" s="0" t="n">
        <v>8.09</v>
      </c>
      <c r="J2342" s="0" t="n">
        <v>26.77</v>
      </c>
      <c r="K2342" s="0" t="n">
        <v>2</v>
      </c>
      <c r="T2342" s="0" t="n">
        <v>1</v>
      </c>
      <c r="U2342" s="0" t="n">
        <v>1</v>
      </c>
      <c r="V2342" s="0" t="inlineStr">
        <is>
          <t>계단식</t>
        </is>
      </c>
      <c r="W2342" s="0" t="inlineStr">
        <is>
          <t>31A</t>
        </is>
      </c>
      <c r="X2342" s="0" t="n">
        <v>6</v>
      </c>
      <c r="Y2342" s="0" t="n">
        <v>6</v>
      </c>
      <c r="Z2342" s="0" t="inlineStr">
        <is>
          <t>https://new.land.naver.com/complexes/132053?tab=detail&amp;rf=Y</t>
        </is>
      </c>
      <c r="AA2342" s="0" t="inlineStr">
        <is>
          <t>서울시 강동구 암사동 479-13</t>
        </is>
      </c>
      <c r="AB2342" s="0" t="inlineStr">
        <is>
          <t>서울시</t>
        </is>
      </c>
      <c r="AC2342" s="0" t="inlineStr">
        <is>
          <t>강동구</t>
        </is>
      </c>
      <c r="AD2342" s="0" t="inlineStr">
        <is>
          <t>암사동</t>
        </is>
      </c>
      <c r="AG2342" s="0" t="inlineStr">
        <is>
          <t>서울시 강동구 암사길 50</t>
        </is>
      </c>
      <c r="AH2342" s="0" t="n">
        <v>0</v>
      </c>
      <c r="AI2342" s="0" t="n">
        <v>191</v>
      </c>
      <c r="AJ2342" s="0" t="n">
        <v>57</v>
      </c>
      <c r="AK2342" s="0" t="n">
        <v>79</v>
      </c>
      <c r="AL2342" s="0" t="n">
        <v>0.75</v>
      </c>
    </row>
    <row r="2343">
      <c r="A2343" s="0" t="inlineStr">
        <is>
          <t>[암사동]</t>
        </is>
      </c>
      <c r="B2343" s="0" t="n">
        <v>132053</v>
      </c>
      <c r="C2343" s="0" t="n">
        <v>5</v>
      </c>
      <c r="D2343" s="0" t="inlineStr">
        <is>
          <t>제이빌더스(도시형)</t>
        </is>
      </c>
      <c r="E2343" s="0" t="inlineStr">
        <is>
          <t>2016.10.</t>
        </is>
      </c>
      <c r="F2343" s="0" t="n">
        <v>106</v>
      </c>
      <c r="G2343" s="0" t="n">
        <v>10.22</v>
      </c>
      <c r="H2343" s="0" t="n">
        <v>33.79</v>
      </c>
      <c r="I2343" s="0" t="n">
        <v>8.56</v>
      </c>
      <c r="J2343" s="0" t="n">
        <v>28.31</v>
      </c>
      <c r="K2343" s="0" t="n">
        <v>4</v>
      </c>
      <c r="T2343" s="0" t="n">
        <v>1</v>
      </c>
      <c r="U2343" s="0" t="n">
        <v>1</v>
      </c>
      <c r="V2343" s="0" t="inlineStr">
        <is>
          <t>계단식</t>
        </is>
      </c>
      <c r="W2343" s="0" t="inlineStr">
        <is>
          <t>33C</t>
        </is>
      </c>
      <c r="X2343" s="0" t="n">
        <v>6</v>
      </c>
      <c r="Y2343" s="0" t="n">
        <v>6</v>
      </c>
      <c r="Z2343" s="0" t="inlineStr">
        <is>
          <t>https://new.land.naver.com/complexes/132053?tab=detail&amp;rf=Y</t>
        </is>
      </c>
      <c r="AA2343" s="0" t="inlineStr">
        <is>
          <t>서울시 강동구 암사동 479-13</t>
        </is>
      </c>
      <c r="AB2343" s="0" t="inlineStr">
        <is>
          <t>서울시</t>
        </is>
      </c>
      <c r="AC2343" s="0" t="inlineStr">
        <is>
          <t>강동구</t>
        </is>
      </c>
      <c r="AD2343" s="0" t="inlineStr">
        <is>
          <t>암사동</t>
        </is>
      </c>
      <c r="AG2343" s="0" t="inlineStr">
        <is>
          <t>서울시 강동구 암사길 50</t>
        </is>
      </c>
      <c r="AH2343" s="0" t="n">
        <v>0</v>
      </c>
      <c r="AI2343" s="0" t="n">
        <v>191</v>
      </c>
      <c r="AJ2343" s="0" t="n">
        <v>57</v>
      </c>
      <c r="AK2343" s="0" t="n">
        <v>79</v>
      </c>
      <c r="AL2343" s="0" t="n">
        <v>0.75</v>
      </c>
    </row>
    <row r="2344">
      <c r="A2344" s="0" t="inlineStr">
        <is>
          <t>[암사동]</t>
        </is>
      </c>
      <c r="B2344" s="0" t="n">
        <v>132053</v>
      </c>
      <c r="C2344" s="0" t="n">
        <v>6</v>
      </c>
      <c r="D2344" s="0" t="inlineStr">
        <is>
          <t>제이빌더스(도시형)</t>
        </is>
      </c>
      <c r="E2344" s="0" t="inlineStr">
        <is>
          <t>2016.10.</t>
        </is>
      </c>
      <c r="F2344" s="0" t="n">
        <v>106</v>
      </c>
      <c r="G2344" s="0" t="n">
        <v>10.49</v>
      </c>
      <c r="H2344" s="0" t="n">
        <v>34.69</v>
      </c>
      <c r="I2344" s="0" t="n">
        <v>8.779999999999999</v>
      </c>
      <c r="J2344" s="0" t="n">
        <v>29.05</v>
      </c>
      <c r="K2344" s="0" t="n">
        <v>2</v>
      </c>
      <c r="T2344" s="0" t="n">
        <v>1</v>
      </c>
      <c r="U2344" s="0" t="n">
        <v>1</v>
      </c>
      <c r="V2344" s="0" t="inlineStr">
        <is>
          <t>계단식</t>
        </is>
      </c>
      <c r="W2344" s="0" t="inlineStr">
        <is>
          <t>34B</t>
        </is>
      </c>
      <c r="X2344" s="0" t="n">
        <v>6</v>
      </c>
      <c r="Y2344" s="0" t="n">
        <v>6</v>
      </c>
      <c r="Z2344" s="0" t="inlineStr">
        <is>
          <t>https://new.land.naver.com/complexes/132053?tab=detail&amp;rf=Y</t>
        </is>
      </c>
      <c r="AA2344" s="0" t="inlineStr">
        <is>
          <t>서울시 강동구 암사동 479-13</t>
        </is>
      </c>
      <c r="AB2344" s="0" t="inlineStr">
        <is>
          <t>서울시</t>
        </is>
      </c>
      <c r="AC2344" s="0" t="inlineStr">
        <is>
          <t>강동구</t>
        </is>
      </c>
      <c r="AD2344" s="0" t="inlineStr">
        <is>
          <t>암사동</t>
        </is>
      </c>
      <c r="AG2344" s="0" t="inlineStr">
        <is>
          <t>서울시 강동구 암사길 50</t>
        </is>
      </c>
      <c r="AH2344" s="0" t="n">
        <v>0</v>
      </c>
      <c r="AI2344" s="0" t="n">
        <v>191</v>
      </c>
      <c r="AJ2344" s="0" t="n">
        <v>57</v>
      </c>
      <c r="AK2344" s="0" t="n">
        <v>79</v>
      </c>
      <c r="AL2344" s="0" t="n">
        <v>0.75</v>
      </c>
    </row>
    <row r="2345">
      <c r="A2345" s="0" t="inlineStr">
        <is>
          <t>[암사동]</t>
        </is>
      </c>
      <c r="B2345" s="0" t="n">
        <v>132053</v>
      </c>
      <c r="C2345" s="0" t="n">
        <v>7</v>
      </c>
      <c r="D2345" s="0" t="inlineStr">
        <is>
          <t>제이빌더스(도시형)</t>
        </is>
      </c>
      <c r="E2345" s="0" t="inlineStr">
        <is>
          <t>2016.10.</t>
        </is>
      </c>
      <c r="F2345" s="0" t="n">
        <v>106</v>
      </c>
      <c r="G2345" s="0" t="n">
        <v>10.54</v>
      </c>
      <c r="H2345" s="0" t="n">
        <v>34.85</v>
      </c>
      <c r="I2345" s="0" t="n">
        <v>8.83</v>
      </c>
      <c r="J2345" s="0" t="n">
        <v>29.22</v>
      </c>
      <c r="K2345" s="0" t="n">
        <v>1</v>
      </c>
      <c r="T2345" s="0" t="n">
        <v>1</v>
      </c>
      <c r="U2345" s="0" t="n">
        <v>1</v>
      </c>
      <c r="V2345" s="0" t="inlineStr">
        <is>
          <t>계단식</t>
        </is>
      </c>
      <c r="W2345" s="0" t="inlineStr">
        <is>
          <t>34A</t>
        </is>
      </c>
      <c r="X2345" s="0" t="n">
        <v>6</v>
      </c>
      <c r="Y2345" s="0" t="n">
        <v>6</v>
      </c>
      <c r="Z2345" s="0" t="inlineStr">
        <is>
          <t>https://new.land.naver.com/complexes/132053?tab=detail&amp;rf=Y</t>
        </is>
      </c>
      <c r="AA2345" s="0" t="inlineStr">
        <is>
          <t>서울시 강동구 암사동 479-13</t>
        </is>
      </c>
      <c r="AB2345" s="0" t="inlineStr">
        <is>
          <t>서울시</t>
        </is>
      </c>
      <c r="AC2345" s="0" t="inlineStr">
        <is>
          <t>강동구</t>
        </is>
      </c>
      <c r="AD2345" s="0" t="inlineStr">
        <is>
          <t>암사동</t>
        </is>
      </c>
      <c r="AG2345" s="0" t="inlineStr">
        <is>
          <t>서울시 강동구 암사길 50</t>
        </is>
      </c>
      <c r="AH2345" s="0" t="n">
        <v>0</v>
      </c>
      <c r="AI2345" s="0" t="n">
        <v>191</v>
      </c>
      <c r="AJ2345" s="0" t="n">
        <v>57</v>
      </c>
      <c r="AK2345" s="0" t="n">
        <v>79</v>
      </c>
      <c r="AL2345" s="0" t="n">
        <v>0.75</v>
      </c>
    </row>
    <row r="2346">
      <c r="A2346" s="0" t="inlineStr">
        <is>
          <t>[암사동]</t>
        </is>
      </c>
      <c r="B2346" s="0" t="n">
        <v>132053</v>
      </c>
      <c r="C2346" s="0" t="n">
        <v>8</v>
      </c>
      <c r="D2346" s="0" t="inlineStr">
        <is>
          <t>제이빌더스(도시형)</t>
        </is>
      </c>
      <c r="E2346" s="0" t="inlineStr">
        <is>
          <t>2016.10.</t>
        </is>
      </c>
      <c r="F2346" s="0" t="n">
        <v>106</v>
      </c>
      <c r="G2346" s="0" t="n">
        <v>10.69</v>
      </c>
      <c r="H2346" s="0" t="n">
        <v>35.37</v>
      </c>
      <c r="I2346" s="0" t="n">
        <v>8.960000000000001</v>
      </c>
      <c r="J2346" s="0" t="n">
        <v>29.62</v>
      </c>
      <c r="K2346" s="0" t="n">
        <v>13</v>
      </c>
      <c r="T2346" s="0" t="n">
        <v>1</v>
      </c>
      <c r="U2346" s="0" t="n">
        <v>1</v>
      </c>
      <c r="V2346" s="0" t="inlineStr">
        <is>
          <t>계단식</t>
        </is>
      </c>
      <c r="W2346" s="0" t="inlineStr">
        <is>
          <t>35C</t>
        </is>
      </c>
      <c r="X2346" s="0" t="n">
        <v>6</v>
      </c>
      <c r="Y2346" s="0" t="n">
        <v>6</v>
      </c>
      <c r="Z2346" s="0" t="inlineStr">
        <is>
          <t>https://new.land.naver.com/complexes/132053?tab=detail&amp;rf=Y</t>
        </is>
      </c>
      <c r="AA2346" s="0" t="inlineStr">
        <is>
          <t>서울시 강동구 암사동 479-13</t>
        </is>
      </c>
      <c r="AB2346" s="0" t="inlineStr">
        <is>
          <t>서울시</t>
        </is>
      </c>
      <c r="AC2346" s="0" t="inlineStr">
        <is>
          <t>강동구</t>
        </is>
      </c>
      <c r="AD2346" s="0" t="inlineStr">
        <is>
          <t>암사동</t>
        </is>
      </c>
      <c r="AG2346" s="0" t="inlineStr">
        <is>
          <t>서울시 강동구 암사길 50</t>
        </is>
      </c>
      <c r="AH2346" s="0" t="n">
        <v>0</v>
      </c>
      <c r="AI2346" s="0" t="n">
        <v>191</v>
      </c>
      <c r="AJ2346" s="0" t="n">
        <v>57</v>
      </c>
      <c r="AK2346" s="0" t="n">
        <v>79</v>
      </c>
      <c r="AL2346" s="0" t="n">
        <v>0.75</v>
      </c>
    </row>
    <row r="2347">
      <c r="A2347" s="0" t="inlineStr">
        <is>
          <t>[암사동]</t>
        </is>
      </c>
      <c r="B2347" s="0" t="n">
        <v>132053</v>
      </c>
      <c r="C2347" s="0" t="n">
        <v>9</v>
      </c>
      <c r="D2347" s="0" t="inlineStr">
        <is>
          <t>제이빌더스(도시형)</t>
        </is>
      </c>
      <c r="E2347" s="0" t="inlineStr">
        <is>
          <t>2016.10.</t>
        </is>
      </c>
      <c r="F2347" s="0" t="n">
        <v>106</v>
      </c>
      <c r="G2347" s="0" t="n">
        <v>10.73</v>
      </c>
      <c r="H2347" s="0" t="n">
        <v>35.48</v>
      </c>
      <c r="I2347" s="0" t="n">
        <v>8.99</v>
      </c>
      <c r="J2347" s="0" t="n">
        <v>29.73</v>
      </c>
      <c r="K2347" s="0" t="n">
        <v>8</v>
      </c>
      <c r="T2347" s="0" t="n">
        <v>1</v>
      </c>
      <c r="U2347" s="0" t="n">
        <v>1</v>
      </c>
      <c r="V2347" s="0" t="inlineStr">
        <is>
          <t>계단식</t>
        </is>
      </c>
      <c r="W2347" s="0" t="inlineStr">
        <is>
          <t>35B</t>
        </is>
      </c>
      <c r="X2347" s="0" t="n">
        <v>6</v>
      </c>
      <c r="Y2347" s="0" t="n">
        <v>6</v>
      </c>
      <c r="Z2347" s="0" t="inlineStr">
        <is>
          <t>https://new.land.naver.com/complexes/132053?tab=detail&amp;rf=Y</t>
        </is>
      </c>
      <c r="AA2347" s="0" t="inlineStr">
        <is>
          <t>서울시 강동구 암사동 479-13</t>
        </is>
      </c>
      <c r="AB2347" s="0" t="inlineStr">
        <is>
          <t>서울시</t>
        </is>
      </c>
      <c r="AC2347" s="0" t="inlineStr">
        <is>
          <t>강동구</t>
        </is>
      </c>
      <c r="AD2347" s="0" t="inlineStr">
        <is>
          <t>암사동</t>
        </is>
      </c>
      <c r="AG2347" s="0" t="inlineStr">
        <is>
          <t>서울시 강동구 암사길 50</t>
        </is>
      </c>
      <c r="AH2347" s="0" t="n">
        <v>0</v>
      </c>
      <c r="AI2347" s="0" t="n">
        <v>191</v>
      </c>
      <c r="AJ2347" s="0" t="n">
        <v>57</v>
      </c>
      <c r="AK2347" s="0" t="n">
        <v>79</v>
      </c>
      <c r="AL2347" s="0" t="n">
        <v>0.75</v>
      </c>
    </row>
    <row r="2348">
      <c r="A2348" s="0" t="inlineStr">
        <is>
          <t>[암사동]</t>
        </is>
      </c>
      <c r="B2348" s="0" t="n">
        <v>132053</v>
      </c>
      <c r="C2348" s="0" t="n">
        <v>10</v>
      </c>
      <c r="D2348" s="0" t="inlineStr">
        <is>
          <t>제이빌더스(도시형)</t>
        </is>
      </c>
      <c r="E2348" s="0" t="inlineStr">
        <is>
          <t>2016.10.</t>
        </is>
      </c>
      <c r="F2348" s="0" t="n">
        <v>106</v>
      </c>
      <c r="G2348" s="0" t="n">
        <v>11.1</v>
      </c>
      <c r="H2348" s="0" t="n">
        <v>36.72</v>
      </c>
      <c r="I2348" s="0" t="n">
        <v>9.33</v>
      </c>
      <c r="J2348" s="0" t="n">
        <v>30.86</v>
      </c>
      <c r="K2348" s="0" t="n">
        <v>4</v>
      </c>
      <c r="T2348" s="0" t="n">
        <v>1</v>
      </c>
      <c r="U2348" s="0" t="n">
        <v>1</v>
      </c>
      <c r="V2348" s="0" t="inlineStr">
        <is>
          <t>계단식</t>
        </is>
      </c>
      <c r="W2348" s="0" t="inlineStr">
        <is>
          <t>36D</t>
        </is>
      </c>
      <c r="X2348" s="0" t="n">
        <v>6</v>
      </c>
      <c r="Y2348" s="0" t="n">
        <v>6</v>
      </c>
      <c r="Z2348" s="0" t="inlineStr">
        <is>
          <t>https://new.land.naver.com/complexes/132053?tab=detail&amp;rf=Y</t>
        </is>
      </c>
      <c r="AA2348" s="0" t="inlineStr">
        <is>
          <t>서울시 강동구 암사동 479-13</t>
        </is>
      </c>
      <c r="AB2348" s="0" t="inlineStr">
        <is>
          <t>서울시</t>
        </is>
      </c>
      <c r="AC2348" s="0" t="inlineStr">
        <is>
          <t>강동구</t>
        </is>
      </c>
      <c r="AD2348" s="0" t="inlineStr">
        <is>
          <t>암사동</t>
        </is>
      </c>
      <c r="AG2348" s="0" t="inlineStr">
        <is>
          <t>서울시 강동구 암사길 50</t>
        </is>
      </c>
      <c r="AH2348" s="0" t="n">
        <v>0</v>
      </c>
      <c r="AI2348" s="0" t="n">
        <v>191</v>
      </c>
      <c r="AJ2348" s="0" t="n">
        <v>57</v>
      </c>
      <c r="AK2348" s="0" t="n">
        <v>79</v>
      </c>
      <c r="AL2348" s="0" t="n">
        <v>0.75</v>
      </c>
    </row>
    <row r="2349">
      <c r="A2349" s="0" t="inlineStr">
        <is>
          <t>[암사동]</t>
        </is>
      </c>
      <c r="B2349" s="0" t="n">
        <v>132053</v>
      </c>
      <c r="C2349" s="0" t="n">
        <v>11</v>
      </c>
      <c r="D2349" s="0" t="inlineStr">
        <is>
          <t>제이빌더스(도시형)</t>
        </is>
      </c>
      <c r="E2349" s="0" t="inlineStr">
        <is>
          <t>2016.10.</t>
        </is>
      </c>
      <c r="F2349" s="0" t="n">
        <v>106</v>
      </c>
      <c r="G2349" s="0" t="n">
        <v>11.78</v>
      </c>
      <c r="H2349" s="0" t="n">
        <v>38.96</v>
      </c>
      <c r="I2349" s="0" t="n">
        <v>9.9</v>
      </c>
      <c r="J2349" s="0" t="n">
        <v>32.74</v>
      </c>
      <c r="K2349" s="0" t="n">
        <v>1</v>
      </c>
      <c r="T2349" s="0" t="n">
        <v>1</v>
      </c>
      <c r="U2349" s="0" t="n">
        <v>1</v>
      </c>
      <c r="V2349" s="0" t="inlineStr">
        <is>
          <t>계단식</t>
        </is>
      </c>
      <c r="W2349" s="0" t="n">
        <v>38</v>
      </c>
      <c r="X2349" s="0" t="n">
        <v>6</v>
      </c>
      <c r="Y2349" s="0" t="n">
        <v>6</v>
      </c>
      <c r="Z2349" s="0" t="inlineStr">
        <is>
          <t>https://new.land.naver.com/complexes/132053?tab=detail&amp;rf=Y</t>
        </is>
      </c>
      <c r="AA2349" s="0" t="inlineStr">
        <is>
          <t>서울시 강동구 암사동 479-13</t>
        </is>
      </c>
      <c r="AB2349" s="0" t="inlineStr">
        <is>
          <t>서울시</t>
        </is>
      </c>
      <c r="AC2349" s="0" t="inlineStr">
        <is>
          <t>강동구</t>
        </is>
      </c>
      <c r="AD2349" s="0" t="inlineStr">
        <is>
          <t>암사동</t>
        </is>
      </c>
      <c r="AG2349" s="0" t="inlineStr">
        <is>
          <t>서울시 강동구 암사길 50</t>
        </is>
      </c>
      <c r="AH2349" s="0" t="n">
        <v>0</v>
      </c>
      <c r="AI2349" s="0" t="n">
        <v>191</v>
      </c>
      <c r="AJ2349" s="0" t="n">
        <v>57</v>
      </c>
      <c r="AK2349" s="0" t="n">
        <v>79</v>
      </c>
      <c r="AL2349" s="0" t="n">
        <v>0.75</v>
      </c>
    </row>
    <row r="2350">
      <c r="A2350" s="0" t="inlineStr">
        <is>
          <t>[암사동]</t>
        </is>
      </c>
      <c r="B2350" s="0" t="n">
        <v>132053</v>
      </c>
      <c r="C2350" s="0" t="n">
        <v>12</v>
      </c>
      <c r="D2350" s="0" t="inlineStr">
        <is>
          <t>제이빌더스(도시형)</t>
        </is>
      </c>
      <c r="E2350" s="0" t="inlineStr">
        <is>
          <t>2016.10.</t>
        </is>
      </c>
      <c r="F2350" s="0" t="n">
        <v>106</v>
      </c>
      <c r="G2350" s="0" t="n">
        <v>13.52</v>
      </c>
      <c r="H2350" s="0" t="n">
        <v>44.72</v>
      </c>
      <c r="I2350" s="0" t="n">
        <v>11.36</v>
      </c>
      <c r="J2350" s="0" t="n">
        <v>37.58</v>
      </c>
      <c r="K2350" s="0" t="n">
        <v>4</v>
      </c>
      <c r="T2350" s="0" t="n">
        <v>2</v>
      </c>
      <c r="U2350" s="0" t="n">
        <v>1</v>
      </c>
      <c r="V2350" s="0" t="inlineStr">
        <is>
          <t>계단식</t>
        </is>
      </c>
      <c r="W2350" s="0" t="inlineStr">
        <is>
          <t>44A</t>
        </is>
      </c>
      <c r="X2350" s="0" t="n">
        <v>6</v>
      </c>
      <c r="Y2350" s="0" t="n">
        <v>6</v>
      </c>
      <c r="Z2350" s="0" t="inlineStr">
        <is>
          <t>https://new.land.naver.com/complexes/132053?tab=detail&amp;rf=Y</t>
        </is>
      </c>
      <c r="AA2350" s="0" t="inlineStr">
        <is>
          <t>서울시 강동구 암사동 479-13</t>
        </is>
      </c>
      <c r="AB2350" s="0" t="inlineStr">
        <is>
          <t>서울시</t>
        </is>
      </c>
      <c r="AC2350" s="0" t="inlineStr">
        <is>
          <t>강동구</t>
        </is>
      </c>
      <c r="AD2350" s="0" t="inlineStr">
        <is>
          <t>암사동</t>
        </is>
      </c>
      <c r="AG2350" s="0" t="inlineStr">
        <is>
          <t>서울시 강동구 암사길 50</t>
        </is>
      </c>
      <c r="AH2350" s="0" t="n">
        <v>0</v>
      </c>
      <c r="AI2350" s="0" t="n">
        <v>191</v>
      </c>
      <c r="AJ2350" s="0" t="n">
        <v>57</v>
      </c>
      <c r="AK2350" s="0" t="n">
        <v>79</v>
      </c>
      <c r="AL2350" s="0" t="n">
        <v>0.75</v>
      </c>
    </row>
    <row r="2351">
      <c r="A2351" s="0" t="inlineStr">
        <is>
          <t>[암사동]</t>
        </is>
      </c>
      <c r="B2351" s="0" t="n">
        <v>132053</v>
      </c>
      <c r="C2351" s="0" t="n">
        <v>13</v>
      </c>
      <c r="D2351" s="0" t="inlineStr">
        <is>
          <t>제이빌더스(도시형)</t>
        </is>
      </c>
      <c r="E2351" s="0" t="inlineStr">
        <is>
          <t>2016.10.</t>
        </is>
      </c>
      <c r="F2351" s="0" t="n">
        <v>106</v>
      </c>
      <c r="G2351" s="0" t="n">
        <v>14.26</v>
      </c>
      <c r="H2351" s="0" t="n">
        <v>47.16</v>
      </c>
      <c r="I2351" s="0" t="n">
        <v>11.98</v>
      </c>
      <c r="J2351" s="0" t="n">
        <v>39.62</v>
      </c>
      <c r="K2351" s="0" t="n">
        <v>1</v>
      </c>
      <c r="T2351" s="0" t="n">
        <v>2</v>
      </c>
      <c r="U2351" s="0" t="n">
        <v>1</v>
      </c>
      <c r="V2351" s="0" t="inlineStr">
        <is>
          <t>계단식</t>
        </is>
      </c>
      <c r="W2351" s="0" t="inlineStr">
        <is>
          <t>47B</t>
        </is>
      </c>
      <c r="X2351" s="0" t="n">
        <v>6</v>
      </c>
      <c r="Y2351" s="0" t="n">
        <v>6</v>
      </c>
      <c r="Z2351" s="0" t="inlineStr">
        <is>
          <t>https://new.land.naver.com/complexes/132053?tab=detail&amp;rf=Y</t>
        </is>
      </c>
      <c r="AA2351" s="0" t="inlineStr">
        <is>
          <t>서울시 강동구 암사동 479-13</t>
        </is>
      </c>
      <c r="AB2351" s="0" t="inlineStr">
        <is>
          <t>서울시</t>
        </is>
      </c>
      <c r="AC2351" s="0" t="inlineStr">
        <is>
          <t>강동구</t>
        </is>
      </c>
      <c r="AD2351" s="0" t="inlineStr">
        <is>
          <t>암사동</t>
        </is>
      </c>
      <c r="AG2351" s="0" t="inlineStr">
        <is>
          <t>서울시 강동구 암사길 50</t>
        </is>
      </c>
      <c r="AH2351" s="0" t="n">
        <v>0</v>
      </c>
      <c r="AI2351" s="0" t="n">
        <v>191</v>
      </c>
      <c r="AJ2351" s="0" t="n">
        <v>57</v>
      </c>
      <c r="AK2351" s="0" t="n">
        <v>79</v>
      </c>
      <c r="AL2351" s="0" t="n">
        <v>0.75</v>
      </c>
    </row>
    <row r="2352">
      <c r="A2352" s="0" t="inlineStr">
        <is>
          <t>[암사동]</t>
        </is>
      </c>
      <c r="B2352" s="0" t="n">
        <v>132053</v>
      </c>
      <c r="C2352" s="0" t="n">
        <v>14</v>
      </c>
      <c r="D2352" s="0" t="inlineStr">
        <is>
          <t>제이빌더스(도시형)</t>
        </is>
      </c>
      <c r="E2352" s="0" t="inlineStr">
        <is>
          <t>2016.10.</t>
        </is>
      </c>
      <c r="F2352" s="0" t="n">
        <v>106</v>
      </c>
      <c r="G2352" s="0" t="n">
        <v>15.07</v>
      </c>
      <c r="H2352" s="0" t="n">
        <v>49.82</v>
      </c>
      <c r="I2352" s="0" t="n">
        <v>12.63</v>
      </c>
      <c r="J2352" s="0" t="n">
        <v>41.78</v>
      </c>
      <c r="K2352" s="0" t="n">
        <v>5</v>
      </c>
      <c r="T2352" s="0" t="n">
        <v>2</v>
      </c>
      <c r="U2352" s="0" t="n">
        <v>1</v>
      </c>
      <c r="V2352" s="0" t="inlineStr">
        <is>
          <t>계단식</t>
        </is>
      </c>
      <c r="W2352" s="0" t="inlineStr">
        <is>
          <t>49A</t>
        </is>
      </c>
      <c r="X2352" s="0" t="n">
        <v>6</v>
      </c>
      <c r="Y2352" s="0" t="n">
        <v>6</v>
      </c>
      <c r="Z2352" s="0" t="inlineStr">
        <is>
          <t>https://new.land.naver.com/complexes/132053?tab=detail&amp;rf=Y</t>
        </is>
      </c>
      <c r="AA2352" s="0" t="inlineStr">
        <is>
          <t>서울시 강동구 암사동 479-13</t>
        </is>
      </c>
      <c r="AB2352" s="0" t="inlineStr">
        <is>
          <t>서울시</t>
        </is>
      </c>
      <c r="AC2352" s="0" t="inlineStr">
        <is>
          <t>강동구</t>
        </is>
      </c>
      <c r="AD2352" s="0" t="inlineStr">
        <is>
          <t>암사동</t>
        </is>
      </c>
      <c r="AG2352" s="0" t="inlineStr">
        <is>
          <t>서울시 강동구 암사길 50</t>
        </is>
      </c>
      <c r="AH2352" s="0" t="n">
        <v>0</v>
      </c>
      <c r="AI2352" s="0" t="n">
        <v>191</v>
      </c>
      <c r="AJ2352" s="0" t="n">
        <v>57</v>
      </c>
      <c r="AK2352" s="0" t="n">
        <v>79</v>
      </c>
      <c r="AL2352" s="0" t="n">
        <v>0.75</v>
      </c>
    </row>
    <row r="2353">
      <c r="A2353" s="0" t="inlineStr">
        <is>
          <t>[암사동]</t>
        </is>
      </c>
      <c r="B2353" s="0" t="n">
        <v>132053</v>
      </c>
      <c r="C2353" s="0" t="n">
        <v>15</v>
      </c>
      <c r="D2353" s="0" t="inlineStr">
        <is>
          <t>제이빌더스(도시형)</t>
        </is>
      </c>
      <c r="E2353" s="0" t="inlineStr">
        <is>
          <t>2016.10.</t>
        </is>
      </c>
      <c r="F2353" s="0" t="n">
        <v>106</v>
      </c>
      <c r="G2353" s="0" t="n">
        <v>14.87</v>
      </c>
      <c r="H2353" s="0" t="n">
        <v>49.18</v>
      </c>
      <c r="I2353" s="0" t="n">
        <v>12.5</v>
      </c>
      <c r="J2353" s="0" t="n">
        <v>41.33</v>
      </c>
      <c r="K2353" s="0" t="n">
        <v>4</v>
      </c>
      <c r="T2353" s="0" t="n">
        <v>2</v>
      </c>
      <c r="U2353" s="0" t="n">
        <v>1</v>
      </c>
      <c r="V2353" s="0" t="inlineStr">
        <is>
          <t>계단식</t>
        </is>
      </c>
      <c r="W2353" s="0" t="inlineStr">
        <is>
          <t>49C</t>
        </is>
      </c>
      <c r="X2353" s="0" t="n">
        <v>6</v>
      </c>
      <c r="Y2353" s="0" t="n">
        <v>6</v>
      </c>
      <c r="Z2353" s="0" t="inlineStr">
        <is>
          <t>https://new.land.naver.com/complexes/132053?tab=detail&amp;rf=Y</t>
        </is>
      </c>
      <c r="AA2353" s="0" t="inlineStr">
        <is>
          <t>서울시 강동구 암사동 479-13</t>
        </is>
      </c>
      <c r="AB2353" s="0" t="inlineStr">
        <is>
          <t>서울시</t>
        </is>
      </c>
      <c r="AC2353" s="0" t="inlineStr">
        <is>
          <t>강동구</t>
        </is>
      </c>
      <c r="AD2353" s="0" t="inlineStr">
        <is>
          <t>암사동</t>
        </is>
      </c>
      <c r="AG2353" s="0" t="inlineStr">
        <is>
          <t>서울시 강동구 암사길 50</t>
        </is>
      </c>
      <c r="AH2353" s="0" t="n">
        <v>0</v>
      </c>
      <c r="AI2353" s="0" t="n">
        <v>191</v>
      </c>
      <c r="AJ2353" s="0" t="n">
        <v>57</v>
      </c>
      <c r="AK2353" s="0" t="n">
        <v>79</v>
      </c>
      <c r="AL2353" s="0" t="n">
        <v>0.75</v>
      </c>
    </row>
    <row r="2354">
      <c r="A2354" s="0" t="inlineStr">
        <is>
          <t>[암사동]</t>
        </is>
      </c>
      <c r="B2354" s="0" t="n">
        <v>132053</v>
      </c>
      <c r="C2354" s="0" t="n">
        <v>16</v>
      </c>
      <c r="D2354" s="0" t="inlineStr">
        <is>
          <t>제이빌더스(도시형)</t>
        </is>
      </c>
      <c r="E2354" s="0" t="inlineStr">
        <is>
          <t>2016.10.</t>
        </is>
      </c>
      <c r="F2354" s="0" t="n">
        <v>106</v>
      </c>
      <c r="G2354" s="0" t="n">
        <v>15.3</v>
      </c>
      <c r="H2354" s="0" t="n">
        <v>50.58</v>
      </c>
      <c r="I2354" s="0" t="n">
        <v>12.82</v>
      </c>
      <c r="J2354" s="0" t="n">
        <v>42.41</v>
      </c>
      <c r="K2354" s="0" t="n">
        <v>4</v>
      </c>
      <c r="T2354" s="0" t="n">
        <v>2</v>
      </c>
      <c r="U2354" s="0" t="n">
        <v>1</v>
      </c>
      <c r="V2354" s="0" t="inlineStr">
        <is>
          <t>계단식</t>
        </is>
      </c>
      <c r="W2354" s="0" t="inlineStr">
        <is>
          <t>50B</t>
        </is>
      </c>
      <c r="X2354" s="0" t="n">
        <v>6</v>
      </c>
      <c r="Y2354" s="0" t="n">
        <v>6</v>
      </c>
      <c r="Z2354" s="0" t="inlineStr">
        <is>
          <t>https://new.land.naver.com/complexes/132053?tab=detail&amp;rf=Y</t>
        </is>
      </c>
      <c r="AA2354" s="0" t="inlineStr">
        <is>
          <t>서울시 강동구 암사동 479-13</t>
        </is>
      </c>
      <c r="AB2354" s="0" t="inlineStr">
        <is>
          <t>서울시</t>
        </is>
      </c>
      <c r="AC2354" s="0" t="inlineStr">
        <is>
          <t>강동구</t>
        </is>
      </c>
      <c r="AD2354" s="0" t="inlineStr">
        <is>
          <t>암사동</t>
        </is>
      </c>
      <c r="AG2354" s="0" t="inlineStr">
        <is>
          <t>서울시 강동구 암사길 50</t>
        </is>
      </c>
      <c r="AH2354" s="0" t="n">
        <v>0</v>
      </c>
      <c r="AI2354" s="0" t="n">
        <v>191</v>
      </c>
      <c r="AJ2354" s="0" t="n">
        <v>57</v>
      </c>
      <c r="AK2354" s="0" t="n">
        <v>79</v>
      </c>
      <c r="AL2354" s="0" t="n">
        <v>0.75</v>
      </c>
    </row>
    <row r="2355">
      <c r="A2355" s="0" t="inlineStr">
        <is>
          <t>[암사동]</t>
        </is>
      </c>
      <c r="B2355" s="0" t="n">
        <v>132053</v>
      </c>
      <c r="C2355" s="0" t="n">
        <v>17</v>
      </c>
      <c r="D2355" s="0" t="inlineStr">
        <is>
          <t>제이빌더스(도시형)</t>
        </is>
      </c>
      <c r="E2355" s="0" t="inlineStr">
        <is>
          <t>2016.10.</t>
        </is>
      </c>
      <c r="F2355" s="0" t="n">
        <v>106</v>
      </c>
      <c r="G2355" s="0" t="n">
        <v>15.38</v>
      </c>
      <c r="H2355" s="0" t="n">
        <v>50.85</v>
      </c>
      <c r="I2355" s="0" t="n">
        <v>12.91</v>
      </c>
      <c r="J2355" s="0" t="n">
        <v>42.71</v>
      </c>
      <c r="K2355" s="0" t="n">
        <v>1</v>
      </c>
      <c r="T2355" s="0" t="n">
        <v>2</v>
      </c>
      <c r="U2355" s="0" t="n">
        <v>1</v>
      </c>
      <c r="V2355" s="0" t="inlineStr">
        <is>
          <t>계단식</t>
        </is>
      </c>
      <c r="W2355" s="0" t="inlineStr">
        <is>
          <t>50D</t>
        </is>
      </c>
      <c r="X2355" s="0" t="n">
        <v>6</v>
      </c>
      <c r="Y2355" s="0" t="n">
        <v>6</v>
      </c>
      <c r="Z2355" s="0" t="inlineStr">
        <is>
          <t>https://new.land.naver.com/complexes/132053?tab=detail&amp;rf=Y</t>
        </is>
      </c>
      <c r="AA2355" s="0" t="inlineStr">
        <is>
          <t>서울시 강동구 암사동 479-13</t>
        </is>
      </c>
      <c r="AB2355" s="0" t="inlineStr">
        <is>
          <t>서울시</t>
        </is>
      </c>
      <c r="AC2355" s="0" t="inlineStr">
        <is>
          <t>강동구</t>
        </is>
      </c>
      <c r="AD2355" s="0" t="inlineStr">
        <is>
          <t>암사동</t>
        </is>
      </c>
      <c r="AG2355" s="0" t="inlineStr">
        <is>
          <t>서울시 강동구 암사길 50</t>
        </is>
      </c>
      <c r="AH2355" s="0" t="n">
        <v>0</v>
      </c>
      <c r="AI2355" s="0" t="n">
        <v>191</v>
      </c>
      <c r="AJ2355" s="0" t="n">
        <v>57</v>
      </c>
      <c r="AK2355" s="0" t="n">
        <v>79</v>
      </c>
      <c r="AL2355" s="0" t="n">
        <v>0.75</v>
      </c>
    </row>
    <row r="2356">
      <c r="A2356" s="0" t="inlineStr">
        <is>
          <t>[암사동]</t>
        </is>
      </c>
      <c r="B2356" s="0" t="n">
        <v>132053</v>
      </c>
      <c r="C2356" s="0" t="n">
        <v>18</v>
      </c>
      <c r="D2356" s="0" t="inlineStr">
        <is>
          <t>제이빌더스(도시형)</t>
        </is>
      </c>
      <c r="E2356" s="0" t="inlineStr">
        <is>
          <t>2016.10.</t>
        </is>
      </c>
      <c r="F2356" s="0" t="n">
        <v>106</v>
      </c>
      <c r="G2356" s="0" t="n">
        <v>16.9</v>
      </c>
      <c r="H2356" s="0" t="n">
        <v>55.9</v>
      </c>
      <c r="I2356" s="0" t="n">
        <v>14.17</v>
      </c>
      <c r="J2356" s="0" t="n">
        <v>46.86</v>
      </c>
      <c r="K2356" s="0" t="n">
        <v>1</v>
      </c>
      <c r="T2356" s="0" t="n">
        <v>3</v>
      </c>
      <c r="U2356" s="0" t="n">
        <v>1</v>
      </c>
      <c r="V2356" s="0" t="inlineStr">
        <is>
          <t>계단식</t>
        </is>
      </c>
      <c r="W2356" s="0" t="inlineStr">
        <is>
          <t>55A</t>
        </is>
      </c>
      <c r="X2356" s="0" t="n">
        <v>6</v>
      </c>
      <c r="Y2356" s="0" t="n">
        <v>6</v>
      </c>
      <c r="Z2356" s="0" t="inlineStr">
        <is>
          <t>https://new.land.naver.com/complexes/132053?tab=detail&amp;rf=Y</t>
        </is>
      </c>
      <c r="AA2356" s="0" t="inlineStr">
        <is>
          <t>서울시 강동구 암사동 479-13</t>
        </is>
      </c>
      <c r="AB2356" s="0" t="inlineStr">
        <is>
          <t>서울시</t>
        </is>
      </c>
      <c r="AC2356" s="0" t="inlineStr">
        <is>
          <t>강동구</t>
        </is>
      </c>
      <c r="AD2356" s="0" t="inlineStr">
        <is>
          <t>암사동</t>
        </is>
      </c>
      <c r="AG2356" s="0" t="inlineStr">
        <is>
          <t>서울시 강동구 암사길 50</t>
        </is>
      </c>
      <c r="AH2356" s="0" t="n">
        <v>0</v>
      </c>
      <c r="AI2356" s="0" t="n">
        <v>191</v>
      </c>
      <c r="AJ2356" s="0" t="n">
        <v>57</v>
      </c>
      <c r="AK2356" s="0" t="n">
        <v>79</v>
      </c>
      <c r="AL2356" s="0" t="n">
        <v>0.75</v>
      </c>
    </row>
    <row r="2357">
      <c r="A2357" s="0" t="inlineStr">
        <is>
          <t>[암사동]</t>
        </is>
      </c>
      <c r="B2357" s="0" t="n">
        <v>132053</v>
      </c>
      <c r="C2357" s="0" t="n">
        <v>19</v>
      </c>
      <c r="D2357" s="0" t="inlineStr">
        <is>
          <t>제이빌더스(도시형)</t>
        </is>
      </c>
      <c r="E2357" s="0" t="inlineStr">
        <is>
          <t>2016.10.</t>
        </is>
      </c>
      <c r="F2357" s="0" t="n">
        <v>106</v>
      </c>
      <c r="G2357" s="0" t="n">
        <v>17.27</v>
      </c>
      <c r="H2357" s="0" t="n">
        <v>57.11</v>
      </c>
      <c r="I2357" s="0" t="n">
        <v>14.49</v>
      </c>
      <c r="J2357" s="0" t="n">
        <v>47.92</v>
      </c>
      <c r="K2357" s="0" t="n">
        <v>16</v>
      </c>
      <c r="T2357" s="0" t="n">
        <v>3</v>
      </c>
      <c r="U2357" s="0" t="n">
        <v>1</v>
      </c>
      <c r="V2357" s="0" t="inlineStr">
        <is>
          <t>계단식</t>
        </is>
      </c>
      <c r="W2357" s="0" t="inlineStr">
        <is>
          <t>57B</t>
        </is>
      </c>
      <c r="X2357" s="0" t="n">
        <v>6</v>
      </c>
      <c r="Y2357" s="0" t="n">
        <v>6</v>
      </c>
      <c r="Z2357" s="0" t="inlineStr">
        <is>
          <t>https://new.land.naver.com/complexes/132053?tab=detail&amp;rf=Y</t>
        </is>
      </c>
      <c r="AA2357" s="0" t="inlineStr">
        <is>
          <t>서울시 강동구 암사동 479-13</t>
        </is>
      </c>
      <c r="AB2357" s="0" t="inlineStr">
        <is>
          <t>서울시</t>
        </is>
      </c>
      <c r="AC2357" s="0" t="inlineStr">
        <is>
          <t>강동구</t>
        </is>
      </c>
      <c r="AD2357" s="0" t="inlineStr">
        <is>
          <t>암사동</t>
        </is>
      </c>
      <c r="AG2357" s="0" t="inlineStr">
        <is>
          <t>서울시 강동구 암사길 50</t>
        </is>
      </c>
      <c r="AH2357" s="0" t="n">
        <v>0</v>
      </c>
      <c r="AI2357" s="0" t="n">
        <v>191</v>
      </c>
      <c r="AJ2357" s="0" t="n">
        <v>57</v>
      </c>
      <c r="AK2357" s="0" t="n">
        <v>79</v>
      </c>
      <c r="AL2357" s="0" t="n">
        <v>0.75</v>
      </c>
    </row>
    <row r="2358">
      <c r="A2358" s="0" t="inlineStr">
        <is>
          <t>[암사동]</t>
        </is>
      </c>
      <c r="B2358" s="0" t="n">
        <v>132053</v>
      </c>
      <c r="C2358" s="0" t="n">
        <v>20</v>
      </c>
      <c r="D2358" s="0" t="inlineStr">
        <is>
          <t>제이빌더스(도시형)</t>
        </is>
      </c>
      <c r="E2358" s="0" t="inlineStr">
        <is>
          <t>2016.10.</t>
        </is>
      </c>
      <c r="F2358" s="0" t="n">
        <v>106</v>
      </c>
      <c r="G2358" s="0" t="n">
        <v>17.74</v>
      </c>
      <c r="H2358" s="0" t="n">
        <v>58.66</v>
      </c>
      <c r="I2358" s="0" t="n">
        <v>14.89</v>
      </c>
      <c r="J2358" s="0" t="n">
        <v>49.25</v>
      </c>
      <c r="K2358" s="0" t="n">
        <v>4</v>
      </c>
      <c r="T2358" s="0" t="n">
        <v>3</v>
      </c>
      <c r="U2358" s="0" t="n">
        <v>1</v>
      </c>
      <c r="V2358" s="0" t="inlineStr">
        <is>
          <t>계단식</t>
        </is>
      </c>
      <c r="W2358" s="0" t="n">
        <v>58</v>
      </c>
      <c r="X2358" s="0" t="n">
        <v>6</v>
      </c>
      <c r="Y2358" s="0" t="n">
        <v>6</v>
      </c>
      <c r="Z2358" s="0" t="inlineStr">
        <is>
          <t>https://new.land.naver.com/complexes/132053?tab=detail&amp;rf=Y</t>
        </is>
      </c>
      <c r="AA2358" s="0" t="inlineStr">
        <is>
          <t>서울시 강동구 암사동 479-13</t>
        </is>
      </c>
      <c r="AB2358" s="0" t="inlineStr">
        <is>
          <t>서울시</t>
        </is>
      </c>
      <c r="AC2358" s="0" t="inlineStr">
        <is>
          <t>강동구</t>
        </is>
      </c>
      <c r="AD2358" s="0" t="inlineStr">
        <is>
          <t>암사동</t>
        </is>
      </c>
      <c r="AG2358" s="0" t="inlineStr">
        <is>
          <t>서울시 강동구 암사길 50</t>
        </is>
      </c>
      <c r="AH2358" s="0" t="n">
        <v>0</v>
      </c>
      <c r="AI2358" s="0" t="n">
        <v>191</v>
      </c>
      <c r="AJ2358" s="0" t="n">
        <v>57</v>
      </c>
      <c r="AK2358" s="0" t="n">
        <v>79</v>
      </c>
      <c r="AL2358" s="0" t="n">
        <v>0.75</v>
      </c>
    </row>
    <row r="2359">
      <c r="A2359" s="0" t="inlineStr">
        <is>
          <t>[암사동]</t>
        </is>
      </c>
      <c r="B2359" s="0" t="n">
        <v>132053</v>
      </c>
      <c r="C2359" s="0" t="n">
        <v>21</v>
      </c>
      <c r="D2359" s="0" t="inlineStr">
        <is>
          <t>제이빌더스(도시형)</t>
        </is>
      </c>
      <c r="E2359" s="0" t="inlineStr">
        <is>
          <t>2016.10.</t>
        </is>
      </c>
      <c r="F2359" s="0" t="n">
        <v>106</v>
      </c>
      <c r="G2359" s="0" t="n">
        <v>19.61</v>
      </c>
      <c r="H2359" s="0" t="n">
        <v>64.84</v>
      </c>
      <c r="I2359" s="0" t="n">
        <v>16.42</v>
      </c>
      <c r="J2359" s="0" t="n">
        <v>54.29</v>
      </c>
      <c r="K2359" s="0" t="n">
        <v>4</v>
      </c>
      <c r="T2359" s="0" t="n">
        <v>3</v>
      </c>
      <c r="U2359" s="0" t="n">
        <v>1</v>
      </c>
      <c r="V2359" s="0" t="inlineStr">
        <is>
          <t>계단식</t>
        </is>
      </c>
      <c r="W2359" s="0" t="n">
        <v>64</v>
      </c>
      <c r="X2359" s="0" t="n">
        <v>6</v>
      </c>
      <c r="Y2359" s="0" t="n">
        <v>6</v>
      </c>
      <c r="Z2359" s="0" t="inlineStr">
        <is>
          <t>https://new.land.naver.com/complexes/132053?tab=detail&amp;rf=Y</t>
        </is>
      </c>
      <c r="AA2359" s="0" t="inlineStr">
        <is>
          <t>서울시 강동구 암사동 479-13</t>
        </is>
      </c>
      <c r="AB2359" s="0" t="inlineStr">
        <is>
          <t>서울시</t>
        </is>
      </c>
      <c r="AC2359" s="0" t="inlineStr">
        <is>
          <t>강동구</t>
        </is>
      </c>
      <c r="AD2359" s="0" t="inlineStr">
        <is>
          <t>암사동</t>
        </is>
      </c>
      <c r="AG2359" s="0" t="inlineStr">
        <is>
          <t>서울시 강동구 암사길 50</t>
        </is>
      </c>
      <c r="AH2359" s="0" t="n">
        <v>0</v>
      </c>
      <c r="AI2359" s="0" t="n">
        <v>191</v>
      </c>
      <c r="AJ2359" s="0" t="n">
        <v>57</v>
      </c>
      <c r="AK2359" s="0" t="n">
        <v>79</v>
      </c>
      <c r="AL2359" s="0" t="n">
        <v>0.75</v>
      </c>
    </row>
    <row r="2360">
      <c r="A2360" s="0" t="inlineStr">
        <is>
          <t>[암사동]</t>
        </is>
      </c>
      <c r="B2360" s="0" t="n">
        <v>127130</v>
      </c>
      <c r="C2360" s="0" t="n">
        <v>1</v>
      </c>
      <c r="D2360" s="0" t="inlineStr">
        <is>
          <t>에벤에셀나래하우스</t>
        </is>
      </c>
      <c r="E2360" s="0" t="inlineStr">
        <is>
          <t>2016.05.</t>
        </is>
      </c>
      <c r="F2360" s="0" t="n">
        <v>22</v>
      </c>
      <c r="G2360" s="0" t="n">
        <v>5.27</v>
      </c>
      <c r="H2360" s="0" t="n">
        <v>17.44</v>
      </c>
      <c r="I2360" s="0" t="n">
        <v>4.23</v>
      </c>
      <c r="J2360" s="0" t="n">
        <v>14.01</v>
      </c>
      <c r="K2360" s="0" t="n">
        <v>3</v>
      </c>
      <c r="T2360" s="0" t="n">
        <v>1</v>
      </c>
      <c r="U2360" s="0" t="n">
        <v>1</v>
      </c>
      <c r="V2360" s="0" t="inlineStr">
        <is>
          <t>복도식</t>
        </is>
      </c>
      <c r="W2360" s="0" t="inlineStr">
        <is>
          <t>17A</t>
        </is>
      </c>
      <c r="X2360" s="0" t="n">
        <v>8</v>
      </c>
      <c r="Y2360" s="0" t="n">
        <v>7</v>
      </c>
      <c r="Z2360" s="0" t="inlineStr">
        <is>
          <t>https://new.land.naver.com/complexes/127130?tab=detail&amp;rf=Y</t>
        </is>
      </c>
      <c r="AA2360" s="0" t="inlineStr">
        <is>
          <t>서울시 강동구 암사동 513-39</t>
        </is>
      </c>
      <c r="AB2360" s="0" t="inlineStr">
        <is>
          <t>서울시</t>
        </is>
      </c>
      <c r="AC2360" s="0" t="inlineStr">
        <is>
          <t>강동구</t>
        </is>
      </c>
      <c r="AD2360" s="0" t="inlineStr">
        <is>
          <t>암사동</t>
        </is>
      </c>
      <c r="AG2360" s="0" t="inlineStr">
        <is>
          <t>서울시 강동구 상암로6길 48</t>
        </is>
      </c>
      <c r="AH2360" s="0" t="n">
        <v>0</v>
      </c>
      <c r="AI2360" s="0" t="n">
        <v>359</v>
      </c>
      <c r="AJ2360" s="0" t="n">
        <v>58</v>
      </c>
      <c r="AK2360" s="0" t="n">
        <v>10</v>
      </c>
      <c r="AL2360" s="0" t="n">
        <v>0.45</v>
      </c>
    </row>
    <row r="2361">
      <c r="A2361" s="0" t="inlineStr">
        <is>
          <t>[암사동]</t>
        </is>
      </c>
      <c r="B2361" s="0" t="n">
        <v>127130</v>
      </c>
      <c r="C2361" s="0" t="n">
        <v>2</v>
      </c>
      <c r="D2361" s="0" t="inlineStr">
        <is>
          <t>에벤에셀나래하우스</t>
        </is>
      </c>
      <c r="E2361" s="0" t="inlineStr">
        <is>
          <t>2016.05.</t>
        </is>
      </c>
      <c r="F2361" s="0" t="n">
        <v>22</v>
      </c>
      <c r="G2361" s="0" t="n">
        <v>5.44</v>
      </c>
      <c r="H2361" s="0" t="n">
        <v>18</v>
      </c>
      <c r="I2361" s="0" t="n">
        <v>4.37</v>
      </c>
      <c r="J2361" s="0" t="n">
        <v>14.46</v>
      </c>
      <c r="K2361" s="0" t="n">
        <v>3</v>
      </c>
      <c r="T2361" s="0" t="n">
        <v>1</v>
      </c>
      <c r="U2361" s="0" t="n">
        <v>1</v>
      </c>
      <c r="V2361" s="0" t="inlineStr">
        <is>
          <t>복도식</t>
        </is>
      </c>
      <c r="W2361" s="0" t="inlineStr">
        <is>
          <t>18B</t>
        </is>
      </c>
      <c r="X2361" s="0" t="n">
        <v>8</v>
      </c>
      <c r="Y2361" s="0" t="n">
        <v>7</v>
      </c>
      <c r="Z2361" s="0" t="inlineStr">
        <is>
          <t>https://new.land.naver.com/complexes/127130?tab=detail&amp;rf=Y</t>
        </is>
      </c>
      <c r="AA2361" s="0" t="inlineStr">
        <is>
          <t>서울시 강동구 암사동 513-39</t>
        </is>
      </c>
      <c r="AB2361" s="0" t="inlineStr">
        <is>
          <t>서울시</t>
        </is>
      </c>
      <c r="AC2361" s="0" t="inlineStr">
        <is>
          <t>강동구</t>
        </is>
      </c>
      <c r="AD2361" s="0" t="inlineStr">
        <is>
          <t>암사동</t>
        </is>
      </c>
      <c r="AG2361" s="0" t="inlineStr">
        <is>
          <t>서울시 강동구 상암로6길 48</t>
        </is>
      </c>
      <c r="AH2361" s="0" t="n">
        <v>0</v>
      </c>
      <c r="AI2361" s="0" t="n">
        <v>359</v>
      </c>
      <c r="AJ2361" s="0" t="n">
        <v>58</v>
      </c>
      <c r="AK2361" s="0" t="n">
        <v>10</v>
      </c>
      <c r="AL2361" s="0" t="n">
        <v>0.45</v>
      </c>
    </row>
    <row r="2362">
      <c r="A2362" s="0" t="inlineStr">
        <is>
          <t>[암사동]</t>
        </is>
      </c>
      <c r="B2362" s="0" t="n">
        <v>127130</v>
      </c>
      <c r="C2362" s="0" t="n">
        <v>3</v>
      </c>
      <c r="D2362" s="0" t="inlineStr">
        <is>
          <t>에벤에셀나래하우스</t>
        </is>
      </c>
      <c r="E2362" s="0" t="inlineStr">
        <is>
          <t>2016.05.</t>
        </is>
      </c>
      <c r="F2362" s="0" t="n">
        <v>22</v>
      </c>
      <c r="G2362" s="0" t="n">
        <v>8.07</v>
      </c>
      <c r="H2362" s="0" t="n">
        <v>26.68</v>
      </c>
      <c r="I2362" s="0" t="n">
        <v>6.48</v>
      </c>
      <c r="J2362" s="0" t="n">
        <v>21.43</v>
      </c>
      <c r="K2362" s="0" t="n">
        <v>4</v>
      </c>
      <c r="T2362" s="0" t="n">
        <v>1</v>
      </c>
      <c r="U2362" s="0" t="n">
        <v>1</v>
      </c>
      <c r="V2362" s="0" t="inlineStr">
        <is>
          <t>복도식</t>
        </is>
      </c>
      <c r="W2362" s="0" t="inlineStr">
        <is>
          <t>26B</t>
        </is>
      </c>
      <c r="X2362" s="0" t="n">
        <v>8</v>
      </c>
      <c r="Y2362" s="0" t="n">
        <v>7</v>
      </c>
      <c r="Z2362" s="0" t="inlineStr">
        <is>
          <t>https://new.land.naver.com/complexes/127130?tab=detail&amp;rf=Y</t>
        </is>
      </c>
      <c r="AA2362" s="0" t="inlineStr">
        <is>
          <t>서울시 강동구 암사동 513-39</t>
        </is>
      </c>
      <c r="AB2362" s="0" t="inlineStr">
        <is>
          <t>서울시</t>
        </is>
      </c>
      <c r="AC2362" s="0" t="inlineStr">
        <is>
          <t>강동구</t>
        </is>
      </c>
      <c r="AD2362" s="0" t="inlineStr">
        <is>
          <t>암사동</t>
        </is>
      </c>
      <c r="AG2362" s="0" t="inlineStr">
        <is>
          <t>서울시 강동구 상암로6길 48</t>
        </is>
      </c>
      <c r="AH2362" s="0" t="n">
        <v>0</v>
      </c>
      <c r="AI2362" s="0" t="n">
        <v>359</v>
      </c>
      <c r="AJ2362" s="0" t="n">
        <v>58</v>
      </c>
      <c r="AK2362" s="0" t="n">
        <v>10</v>
      </c>
      <c r="AL2362" s="0" t="n">
        <v>0.45</v>
      </c>
    </row>
    <row r="2363">
      <c r="A2363" s="0" t="inlineStr">
        <is>
          <t>[암사동]</t>
        </is>
      </c>
      <c r="B2363" s="0" t="n">
        <v>127130</v>
      </c>
      <c r="C2363" s="0" t="n">
        <v>4</v>
      </c>
      <c r="D2363" s="0" t="inlineStr">
        <is>
          <t>에벤에셀나래하우스</t>
        </is>
      </c>
      <c r="E2363" s="0" t="inlineStr">
        <is>
          <t>2016.05.</t>
        </is>
      </c>
      <c r="F2363" s="0" t="n">
        <v>22</v>
      </c>
      <c r="G2363" s="0" t="n">
        <v>7.89</v>
      </c>
      <c r="H2363" s="0" t="n">
        <v>26.1</v>
      </c>
      <c r="I2363" s="0" t="n">
        <v>6.34</v>
      </c>
      <c r="J2363" s="0" t="n">
        <v>20.97</v>
      </c>
      <c r="K2363" s="0" t="n">
        <v>3</v>
      </c>
      <c r="T2363" s="0" t="n">
        <v>1</v>
      </c>
      <c r="U2363" s="0" t="n">
        <v>1</v>
      </c>
      <c r="V2363" s="0" t="inlineStr">
        <is>
          <t>복도식</t>
        </is>
      </c>
      <c r="W2363" s="0" t="inlineStr">
        <is>
          <t>26A</t>
        </is>
      </c>
      <c r="X2363" s="0" t="n">
        <v>8</v>
      </c>
      <c r="Y2363" s="0" t="n">
        <v>7</v>
      </c>
      <c r="Z2363" s="0" t="inlineStr">
        <is>
          <t>https://new.land.naver.com/complexes/127130?tab=detail&amp;rf=Y</t>
        </is>
      </c>
      <c r="AA2363" s="0" t="inlineStr">
        <is>
          <t>서울시 강동구 암사동 513-39</t>
        </is>
      </c>
      <c r="AB2363" s="0" t="inlineStr">
        <is>
          <t>서울시</t>
        </is>
      </c>
      <c r="AC2363" s="0" t="inlineStr">
        <is>
          <t>강동구</t>
        </is>
      </c>
      <c r="AD2363" s="0" t="inlineStr">
        <is>
          <t>암사동</t>
        </is>
      </c>
      <c r="AG2363" s="0" t="inlineStr">
        <is>
          <t>서울시 강동구 상암로6길 48</t>
        </is>
      </c>
      <c r="AH2363" s="0" t="n">
        <v>0</v>
      </c>
      <c r="AI2363" s="0" t="n">
        <v>359</v>
      </c>
      <c r="AJ2363" s="0" t="n">
        <v>58</v>
      </c>
      <c r="AK2363" s="0" t="n">
        <v>10</v>
      </c>
      <c r="AL2363" s="0" t="n">
        <v>0.45</v>
      </c>
    </row>
    <row r="2364">
      <c r="A2364" s="0" t="inlineStr">
        <is>
          <t>[암사동]</t>
        </is>
      </c>
      <c r="B2364" s="0" t="n">
        <v>127130</v>
      </c>
      <c r="C2364" s="0" t="n">
        <v>5</v>
      </c>
      <c r="D2364" s="0" t="inlineStr">
        <is>
          <t>에벤에셀나래하우스</t>
        </is>
      </c>
      <c r="E2364" s="0" t="inlineStr">
        <is>
          <t>2016.05.</t>
        </is>
      </c>
      <c r="F2364" s="0" t="n">
        <v>22</v>
      </c>
      <c r="G2364" s="0" t="n">
        <v>8.43</v>
      </c>
      <c r="H2364" s="0" t="n">
        <v>27.87</v>
      </c>
      <c r="I2364" s="0" t="n">
        <v>6.77</v>
      </c>
      <c r="J2364" s="0" t="n">
        <v>22.39</v>
      </c>
      <c r="K2364" s="0" t="n">
        <v>4</v>
      </c>
      <c r="T2364" s="0" t="n">
        <v>1</v>
      </c>
      <c r="U2364" s="0" t="n">
        <v>1</v>
      </c>
      <c r="V2364" s="0" t="inlineStr">
        <is>
          <t>복도식</t>
        </is>
      </c>
      <c r="W2364" s="0" t="inlineStr">
        <is>
          <t>27D</t>
        </is>
      </c>
      <c r="X2364" s="0" t="n">
        <v>8</v>
      </c>
      <c r="Y2364" s="0" t="n">
        <v>7</v>
      </c>
      <c r="Z2364" s="0" t="inlineStr">
        <is>
          <t>https://new.land.naver.com/complexes/127130?tab=detail&amp;rf=Y</t>
        </is>
      </c>
      <c r="AA2364" s="0" t="inlineStr">
        <is>
          <t>서울시 강동구 암사동 513-39</t>
        </is>
      </c>
      <c r="AB2364" s="0" t="inlineStr">
        <is>
          <t>서울시</t>
        </is>
      </c>
      <c r="AC2364" s="0" t="inlineStr">
        <is>
          <t>강동구</t>
        </is>
      </c>
      <c r="AD2364" s="0" t="inlineStr">
        <is>
          <t>암사동</t>
        </is>
      </c>
      <c r="AG2364" s="0" t="inlineStr">
        <is>
          <t>서울시 강동구 상암로6길 48</t>
        </is>
      </c>
      <c r="AH2364" s="0" t="n">
        <v>0</v>
      </c>
      <c r="AI2364" s="0" t="n">
        <v>359</v>
      </c>
      <c r="AJ2364" s="0" t="n">
        <v>58</v>
      </c>
      <c r="AK2364" s="0" t="n">
        <v>10</v>
      </c>
      <c r="AL2364" s="0" t="n">
        <v>0.45</v>
      </c>
    </row>
    <row r="2365">
      <c r="A2365" s="0" t="inlineStr">
        <is>
          <t>[암사동]</t>
        </is>
      </c>
      <c r="B2365" s="0" t="n">
        <v>127130</v>
      </c>
      <c r="C2365" s="0" t="n">
        <v>6</v>
      </c>
      <c r="D2365" s="0" t="inlineStr">
        <is>
          <t>에벤에셀나래하우스</t>
        </is>
      </c>
      <c r="E2365" s="0" t="inlineStr">
        <is>
          <t>2016.05.</t>
        </is>
      </c>
      <c r="F2365" s="0" t="n">
        <v>22</v>
      </c>
      <c r="G2365" s="0" t="n">
        <v>8.17</v>
      </c>
      <c r="H2365" s="0" t="n">
        <v>27.04</v>
      </c>
      <c r="I2365" s="0" t="n">
        <v>6.57</v>
      </c>
      <c r="J2365" s="0" t="n">
        <v>21.72</v>
      </c>
      <c r="K2365" s="0" t="n">
        <v>1</v>
      </c>
      <c r="T2365" s="0" t="n">
        <v>1</v>
      </c>
      <c r="U2365" s="0" t="n">
        <v>1</v>
      </c>
      <c r="V2365" s="0" t="inlineStr">
        <is>
          <t>복도식</t>
        </is>
      </c>
      <c r="W2365" s="0" t="inlineStr">
        <is>
          <t>27C</t>
        </is>
      </c>
      <c r="X2365" s="0" t="n">
        <v>8</v>
      </c>
      <c r="Y2365" s="0" t="n">
        <v>7</v>
      </c>
      <c r="Z2365" s="0" t="inlineStr">
        <is>
          <t>https://new.land.naver.com/complexes/127130?tab=detail&amp;rf=Y</t>
        </is>
      </c>
      <c r="AA2365" s="0" t="inlineStr">
        <is>
          <t>서울시 강동구 암사동 513-39</t>
        </is>
      </c>
      <c r="AB2365" s="0" t="inlineStr">
        <is>
          <t>서울시</t>
        </is>
      </c>
      <c r="AC2365" s="0" t="inlineStr">
        <is>
          <t>강동구</t>
        </is>
      </c>
      <c r="AD2365" s="0" t="inlineStr">
        <is>
          <t>암사동</t>
        </is>
      </c>
      <c r="AG2365" s="0" t="inlineStr">
        <is>
          <t>서울시 강동구 상암로6길 48</t>
        </is>
      </c>
      <c r="AH2365" s="0" t="n">
        <v>0</v>
      </c>
      <c r="AI2365" s="0" t="n">
        <v>359</v>
      </c>
      <c r="AJ2365" s="0" t="n">
        <v>58</v>
      </c>
      <c r="AK2365" s="0" t="n">
        <v>10</v>
      </c>
      <c r="AL2365" s="0" t="n">
        <v>0.45</v>
      </c>
    </row>
    <row r="2366">
      <c r="A2366" s="0" t="inlineStr">
        <is>
          <t>[암사동]</t>
        </is>
      </c>
      <c r="B2366" s="0" t="n">
        <v>127130</v>
      </c>
      <c r="C2366" s="0" t="n">
        <v>7</v>
      </c>
      <c r="D2366" s="0" t="inlineStr">
        <is>
          <t>에벤에셀나래하우스</t>
        </is>
      </c>
      <c r="E2366" s="0" t="inlineStr">
        <is>
          <t>2016.05.</t>
        </is>
      </c>
      <c r="F2366" s="0" t="n">
        <v>22</v>
      </c>
      <c r="G2366" s="0" t="n">
        <v>9.710000000000001</v>
      </c>
      <c r="H2366" s="0" t="n">
        <v>32.11</v>
      </c>
      <c r="I2366" s="0" t="n">
        <v>7.8</v>
      </c>
      <c r="J2366" s="0" t="n">
        <v>25.79</v>
      </c>
      <c r="K2366" s="0" t="n">
        <v>4</v>
      </c>
      <c r="T2366" s="0" t="n">
        <v>1</v>
      </c>
      <c r="U2366" s="0" t="n">
        <v>1</v>
      </c>
      <c r="V2366" s="0" t="inlineStr">
        <is>
          <t>복도식</t>
        </is>
      </c>
      <c r="W2366" s="0" t="n">
        <v>32</v>
      </c>
      <c r="X2366" s="0" t="n">
        <v>8</v>
      </c>
      <c r="Y2366" s="0" t="n">
        <v>7</v>
      </c>
      <c r="Z2366" s="0" t="inlineStr">
        <is>
          <t>https://new.land.naver.com/complexes/127130?tab=detail&amp;rf=Y</t>
        </is>
      </c>
      <c r="AA2366" s="0" t="inlineStr">
        <is>
          <t>서울시 강동구 암사동 513-39</t>
        </is>
      </c>
      <c r="AB2366" s="0" t="inlineStr">
        <is>
          <t>서울시</t>
        </is>
      </c>
      <c r="AC2366" s="0" t="inlineStr">
        <is>
          <t>강동구</t>
        </is>
      </c>
      <c r="AD2366" s="0" t="inlineStr">
        <is>
          <t>암사동</t>
        </is>
      </c>
      <c r="AG2366" s="0" t="inlineStr">
        <is>
          <t>서울시 강동구 상암로6길 48</t>
        </is>
      </c>
      <c r="AH2366" s="0" t="n">
        <v>0</v>
      </c>
      <c r="AI2366" s="0" t="n">
        <v>359</v>
      </c>
      <c r="AJ2366" s="0" t="n">
        <v>58</v>
      </c>
      <c r="AK2366" s="0" t="n">
        <v>10</v>
      </c>
      <c r="AL2366" s="0" t="n">
        <v>0.45</v>
      </c>
    </row>
    <row r="2367">
      <c r="A2367" s="0" t="inlineStr">
        <is>
          <t>[암사동]</t>
        </is>
      </c>
      <c r="B2367" s="0" t="n">
        <v>12886</v>
      </c>
      <c r="C2367" s="0" t="n">
        <v>1</v>
      </c>
      <c r="D2367" s="0" t="inlineStr">
        <is>
          <t>경지리버캐슬</t>
        </is>
      </c>
      <c r="E2367" s="0" t="inlineStr">
        <is>
          <t>2003.04.</t>
        </is>
      </c>
      <c r="F2367" s="0" t="n">
        <v>19</v>
      </c>
      <c r="G2367" s="0" t="n">
        <v>46.19</v>
      </c>
      <c r="H2367" s="0" t="n">
        <v>152.7</v>
      </c>
      <c r="I2367" s="0" t="n">
        <v>41.12</v>
      </c>
      <c r="J2367" s="0" t="n">
        <v>135.96</v>
      </c>
      <c r="K2367" s="0" t="n">
        <v>7</v>
      </c>
      <c r="T2367" s="0" t="n">
        <v>4</v>
      </c>
      <c r="U2367" s="0" t="n">
        <v>2</v>
      </c>
      <c r="V2367" s="0" t="inlineStr">
        <is>
          <t>계단식</t>
        </is>
      </c>
      <c r="W2367" s="0" t="n">
        <v>152</v>
      </c>
      <c r="X2367" s="0" t="n">
        <v>12</v>
      </c>
      <c r="Y2367" s="0" t="n">
        <v>12</v>
      </c>
      <c r="Z2367" s="0" t="inlineStr">
        <is>
          <t>https://new.land.naver.com/complexes/12886?tab=detail&amp;rf=Y</t>
        </is>
      </c>
      <c r="AA2367" s="0" t="inlineStr">
        <is>
          <t>서울시 강동구 암사동 510-10</t>
        </is>
      </c>
      <c r="AB2367" s="0" t="inlineStr">
        <is>
          <t>서울시</t>
        </is>
      </c>
      <c r="AC2367" s="0" t="inlineStr">
        <is>
          <t>강동구</t>
        </is>
      </c>
      <c r="AD2367" s="0" t="inlineStr">
        <is>
          <t>암사동</t>
        </is>
      </c>
      <c r="AG2367" s="0" t="inlineStr">
        <is>
          <t>서울시 강동구 상암로4가길 48</t>
        </is>
      </c>
      <c r="AH2367" s="0" t="n">
        <v>0</v>
      </c>
      <c r="AI2367" s="0" t="n">
        <v>299</v>
      </c>
      <c r="AJ2367" s="0" t="n">
        <v>30</v>
      </c>
      <c r="AK2367" s="0" t="n">
        <v>40</v>
      </c>
      <c r="AL2367" s="0" t="n">
        <v>2.11</v>
      </c>
    </row>
    <row r="2368">
      <c r="A2368" s="0" t="inlineStr">
        <is>
          <t>[암사동]</t>
        </is>
      </c>
      <c r="B2368" s="0" t="n">
        <v>12886</v>
      </c>
      <c r="C2368" s="0" t="n">
        <v>2</v>
      </c>
      <c r="D2368" s="0" t="inlineStr">
        <is>
          <t>경지리버캐슬</t>
        </is>
      </c>
      <c r="E2368" s="0" t="inlineStr">
        <is>
          <t>2003.04.</t>
        </is>
      </c>
      <c r="F2368" s="0" t="n">
        <v>19</v>
      </c>
      <c r="G2368" s="0" t="n">
        <v>48.52</v>
      </c>
      <c r="H2368" s="0" t="n">
        <v>160.41</v>
      </c>
      <c r="I2368" s="0" t="n">
        <v>43.2</v>
      </c>
      <c r="J2368" s="0" t="n">
        <v>142.83</v>
      </c>
      <c r="K2368" s="0" t="n">
        <v>9</v>
      </c>
      <c r="T2368" s="0" t="n">
        <v>4</v>
      </c>
      <c r="U2368" s="0" t="n">
        <v>2</v>
      </c>
      <c r="V2368" s="0" t="inlineStr">
        <is>
          <t>계단식</t>
        </is>
      </c>
      <c r="W2368" s="0" t="n">
        <v>160</v>
      </c>
      <c r="X2368" s="0" t="n">
        <v>12</v>
      </c>
      <c r="Y2368" s="0" t="n">
        <v>12</v>
      </c>
      <c r="Z2368" s="0" t="inlineStr">
        <is>
          <t>https://new.land.naver.com/complexes/12886?tab=detail&amp;rf=Y</t>
        </is>
      </c>
      <c r="AA2368" s="0" t="inlineStr">
        <is>
          <t>서울시 강동구 암사동 510-10</t>
        </is>
      </c>
      <c r="AB2368" s="0" t="inlineStr">
        <is>
          <t>서울시</t>
        </is>
      </c>
      <c r="AC2368" s="0" t="inlineStr">
        <is>
          <t>강동구</t>
        </is>
      </c>
      <c r="AD2368" s="0" t="inlineStr">
        <is>
          <t>암사동</t>
        </is>
      </c>
      <c r="AG2368" s="0" t="inlineStr">
        <is>
          <t>서울시 강동구 상암로4가길 48</t>
        </is>
      </c>
      <c r="AH2368" s="0" t="n">
        <v>0</v>
      </c>
      <c r="AI2368" s="0" t="n">
        <v>299</v>
      </c>
      <c r="AJ2368" s="0" t="n">
        <v>30</v>
      </c>
      <c r="AK2368" s="0" t="n">
        <v>40</v>
      </c>
      <c r="AL2368" s="0" t="n">
        <v>2.11</v>
      </c>
    </row>
    <row r="2369">
      <c r="A2369" s="0" t="inlineStr">
        <is>
          <t>[암사동]</t>
        </is>
      </c>
      <c r="B2369" s="0" t="n">
        <v>12886</v>
      </c>
      <c r="C2369" s="0" t="n">
        <v>3</v>
      </c>
      <c r="D2369" s="0" t="inlineStr">
        <is>
          <t>경지리버캐슬</t>
        </is>
      </c>
      <c r="E2369" s="0" t="inlineStr">
        <is>
          <t>2003.04.</t>
        </is>
      </c>
      <c r="F2369" s="0" t="n">
        <v>19</v>
      </c>
      <c r="G2369" s="0" t="n">
        <v>81.31999999999999</v>
      </c>
      <c r="H2369" s="0" t="n">
        <v>268.85</v>
      </c>
      <c r="I2369" s="0" t="n">
        <v>72.40000000000001</v>
      </c>
      <c r="J2369" s="0" t="n">
        <v>239.37</v>
      </c>
      <c r="K2369" s="0" t="n">
        <v>1</v>
      </c>
      <c r="T2369" s="0" t="n">
        <v>6</v>
      </c>
      <c r="U2369" s="0" t="n">
        <v>3</v>
      </c>
      <c r="V2369" s="0" t="inlineStr">
        <is>
          <t>계단식</t>
        </is>
      </c>
      <c r="W2369" s="0" t="n">
        <v>268</v>
      </c>
      <c r="X2369" s="0" t="n">
        <v>12</v>
      </c>
      <c r="Y2369" s="0" t="n">
        <v>12</v>
      </c>
      <c r="Z2369" s="0" t="inlineStr">
        <is>
          <t>https://new.land.naver.com/complexes/12886?tab=detail&amp;rf=Y</t>
        </is>
      </c>
      <c r="AA2369" s="0" t="inlineStr">
        <is>
          <t>서울시 강동구 암사동 510-10</t>
        </is>
      </c>
      <c r="AB2369" s="0" t="inlineStr">
        <is>
          <t>서울시</t>
        </is>
      </c>
      <c r="AC2369" s="0" t="inlineStr">
        <is>
          <t>강동구</t>
        </is>
      </c>
      <c r="AD2369" s="0" t="inlineStr">
        <is>
          <t>암사동</t>
        </is>
      </c>
      <c r="AG2369" s="0" t="inlineStr">
        <is>
          <t>서울시 강동구 상암로4가길 48</t>
        </is>
      </c>
      <c r="AH2369" s="0" t="n">
        <v>0</v>
      </c>
      <c r="AI2369" s="0" t="n">
        <v>299</v>
      </c>
      <c r="AJ2369" s="0" t="n">
        <v>30</v>
      </c>
      <c r="AK2369" s="0" t="n">
        <v>40</v>
      </c>
      <c r="AL2369" s="0" t="n">
        <v>2.11</v>
      </c>
    </row>
    <row r="2370">
      <c r="A2370" s="0" t="inlineStr">
        <is>
          <t>[암사동]</t>
        </is>
      </c>
      <c r="B2370" s="0" t="n">
        <v>12886</v>
      </c>
      <c r="C2370" s="0" t="n">
        <v>4</v>
      </c>
      <c r="D2370" s="0" t="inlineStr">
        <is>
          <t>경지리버캐슬</t>
        </is>
      </c>
      <c r="E2370" s="0" t="inlineStr">
        <is>
          <t>2003.04.</t>
        </is>
      </c>
      <c r="F2370" s="0" t="n">
        <v>19</v>
      </c>
      <c r="G2370" s="0" t="n">
        <v>84.78</v>
      </c>
      <c r="H2370" s="0" t="n">
        <v>280.29</v>
      </c>
      <c r="I2370" s="0" t="n">
        <v>75.48</v>
      </c>
      <c r="J2370" s="0" t="n">
        <v>249.55</v>
      </c>
      <c r="K2370" s="0" t="n">
        <v>1</v>
      </c>
      <c r="T2370" s="0" t="n">
        <v>6</v>
      </c>
      <c r="U2370" s="0" t="n">
        <v>3</v>
      </c>
      <c r="V2370" s="0" t="inlineStr">
        <is>
          <t>계단식</t>
        </is>
      </c>
      <c r="W2370" s="0" t="n">
        <v>280</v>
      </c>
      <c r="X2370" s="0" t="n">
        <v>12</v>
      </c>
      <c r="Y2370" s="0" t="n">
        <v>12</v>
      </c>
      <c r="Z2370" s="0" t="inlineStr">
        <is>
          <t>https://new.land.naver.com/complexes/12886?tab=detail&amp;rf=Y</t>
        </is>
      </c>
      <c r="AA2370" s="0" t="inlineStr">
        <is>
          <t>서울시 강동구 암사동 510-10</t>
        </is>
      </c>
      <c r="AB2370" s="0" t="inlineStr">
        <is>
          <t>서울시</t>
        </is>
      </c>
      <c r="AC2370" s="0" t="inlineStr">
        <is>
          <t>강동구</t>
        </is>
      </c>
      <c r="AD2370" s="0" t="inlineStr">
        <is>
          <t>암사동</t>
        </is>
      </c>
      <c r="AG2370" s="0" t="inlineStr">
        <is>
          <t>서울시 강동구 상암로4가길 48</t>
        </is>
      </c>
      <c r="AH2370" s="0" t="n">
        <v>0</v>
      </c>
      <c r="AI2370" s="0" t="n">
        <v>299</v>
      </c>
      <c r="AJ2370" s="0" t="n">
        <v>30</v>
      </c>
      <c r="AK2370" s="0" t="n">
        <v>40</v>
      </c>
      <c r="AL2370" s="0" t="n">
        <v>2.11</v>
      </c>
    </row>
    <row r="2371">
      <c r="A2371" s="0" t="inlineStr">
        <is>
          <t>[암사동]</t>
        </is>
      </c>
      <c r="B2371" s="0" t="n">
        <v>12886</v>
      </c>
      <c r="C2371" s="0" t="n">
        <v>5</v>
      </c>
      <c r="D2371" s="0" t="inlineStr">
        <is>
          <t>경지리버캐슬</t>
        </is>
      </c>
      <c r="E2371" s="0" t="inlineStr">
        <is>
          <t>2003.04.</t>
        </is>
      </c>
      <c r="F2371" s="0" t="n">
        <v>19</v>
      </c>
      <c r="G2371" s="0" t="n">
        <v>87.09</v>
      </c>
      <c r="H2371" s="0" t="n">
        <v>287.93</v>
      </c>
      <c r="I2371" s="0" t="n">
        <v>77.54000000000001</v>
      </c>
      <c r="J2371" s="0" t="n">
        <v>256.36</v>
      </c>
      <c r="K2371" s="0" t="n">
        <v>1</v>
      </c>
      <c r="T2371" s="0" t="n">
        <v>6</v>
      </c>
      <c r="U2371" s="0" t="n">
        <v>3</v>
      </c>
      <c r="V2371" s="0" t="inlineStr">
        <is>
          <t>계단식</t>
        </is>
      </c>
      <c r="W2371" s="0" t="n">
        <v>287</v>
      </c>
      <c r="X2371" s="0" t="n">
        <v>12</v>
      </c>
      <c r="Y2371" s="0" t="n">
        <v>12</v>
      </c>
      <c r="Z2371" s="0" t="inlineStr">
        <is>
          <t>https://new.land.naver.com/complexes/12886?tab=detail&amp;rf=Y</t>
        </is>
      </c>
      <c r="AA2371" s="0" t="inlineStr">
        <is>
          <t>서울시 강동구 암사동 510-10</t>
        </is>
      </c>
      <c r="AB2371" s="0" t="inlineStr">
        <is>
          <t>서울시</t>
        </is>
      </c>
      <c r="AC2371" s="0" t="inlineStr">
        <is>
          <t>강동구</t>
        </is>
      </c>
      <c r="AD2371" s="0" t="inlineStr">
        <is>
          <t>암사동</t>
        </is>
      </c>
      <c r="AG2371" s="0" t="inlineStr">
        <is>
          <t>서울시 강동구 상암로4가길 48</t>
        </is>
      </c>
      <c r="AH2371" s="0" t="n">
        <v>0</v>
      </c>
      <c r="AI2371" s="0" t="n">
        <v>299</v>
      </c>
      <c r="AJ2371" s="0" t="n">
        <v>30</v>
      </c>
      <c r="AK2371" s="0" t="n">
        <v>40</v>
      </c>
      <c r="AL2371" s="0" t="n">
        <v>2.11</v>
      </c>
    </row>
    <row r="2372">
      <c r="A2372" s="0" t="inlineStr">
        <is>
          <t>[암사동]</t>
        </is>
      </c>
      <c r="B2372" s="0" t="n">
        <v>26272</v>
      </c>
      <c r="C2372" s="0" t="n">
        <v>1</v>
      </c>
      <c r="D2372" s="0" t="inlineStr">
        <is>
          <t>한솔솔파크더리버</t>
        </is>
      </c>
      <c r="E2372" s="0" t="inlineStr">
        <is>
          <t>2009.08.</t>
        </is>
      </c>
      <c r="F2372" s="0" t="n">
        <v>127</v>
      </c>
      <c r="G2372" s="0" t="n">
        <v>32.01</v>
      </c>
      <c r="H2372" s="0" t="n">
        <v>105.82</v>
      </c>
      <c r="I2372" s="0" t="n">
        <v>25.7</v>
      </c>
      <c r="J2372" s="0" t="n">
        <v>84.98</v>
      </c>
      <c r="K2372" s="0" t="n">
        <v>44</v>
      </c>
      <c r="T2372" s="0" t="n">
        <v>3</v>
      </c>
      <c r="U2372" s="0" t="n">
        <v>2</v>
      </c>
      <c r="V2372" s="0" t="inlineStr">
        <is>
          <t>계단식</t>
        </is>
      </c>
      <c r="W2372" s="0" t="inlineStr">
        <is>
          <t>105B1</t>
        </is>
      </c>
      <c r="X2372" s="0" t="n">
        <v>16</v>
      </c>
      <c r="Y2372" s="0" t="n">
        <v>11</v>
      </c>
      <c r="Z2372" s="0" t="inlineStr">
        <is>
          <t>https://new.land.naver.com/complexes/26272?tab=detail&amp;rf=Y</t>
        </is>
      </c>
      <c r="AA2372" s="0" t="inlineStr">
        <is>
          <t>서울시 강동구 암사동 518</t>
        </is>
      </c>
      <c r="AB2372" s="0" t="inlineStr">
        <is>
          <t>서울시</t>
        </is>
      </c>
      <c r="AC2372" s="0" t="inlineStr">
        <is>
          <t>강동구</t>
        </is>
      </c>
      <c r="AD2372" s="0" t="inlineStr">
        <is>
          <t>암사동</t>
        </is>
      </c>
      <c r="AG2372" s="0" t="inlineStr">
        <is>
          <t>서울시 강동구 선사로 120</t>
        </is>
      </c>
      <c r="AH2372" s="0" t="n">
        <v>0</v>
      </c>
      <c r="AI2372" s="0" t="n">
        <v>226</v>
      </c>
      <c r="AJ2372" s="0" t="n">
        <v>24</v>
      </c>
      <c r="AK2372" s="0" t="n">
        <v>144</v>
      </c>
      <c r="AL2372" s="0" t="n">
        <v>1.13</v>
      </c>
    </row>
    <row r="2373">
      <c r="A2373" s="0" t="inlineStr">
        <is>
          <t>[암사동]</t>
        </is>
      </c>
      <c r="B2373" s="0" t="n">
        <v>26272</v>
      </c>
      <c r="C2373" s="0" t="n">
        <v>2</v>
      </c>
      <c r="D2373" s="0" t="inlineStr">
        <is>
          <t>한솔솔파크더리버</t>
        </is>
      </c>
      <c r="E2373" s="0" t="inlineStr">
        <is>
          <t>2009.08.</t>
        </is>
      </c>
      <c r="F2373" s="0" t="n">
        <v>127</v>
      </c>
      <c r="G2373" s="0" t="n">
        <v>32.01</v>
      </c>
      <c r="H2373" s="0" t="n">
        <v>105.82</v>
      </c>
      <c r="I2373" s="0" t="n">
        <v>25.7</v>
      </c>
      <c r="J2373" s="0" t="n">
        <v>84.98</v>
      </c>
      <c r="K2373" s="0" t="n">
        <v>39</v>
      </c>
      <c r="T2373" s="0" t="n">
        <v>3</v>
      </c>
      <c r="U2373" s="0" t="n">
        <v>2</v>
      </c>
      <c r="V2373" s="0" t="inlineStr">
        <is>
          <t>계단식</t>
        </is>
      </c>
      <c r="W2373" s="0" t="inlineStr">
        <is>
          <t>105B2</t>
        </is>
      </c>
      <c r="X2373" s="0" t="n">
        <v>16</v>
      </c>
      <c r="Y2373" s="0" t="n">
        <v>11</v>
      </c>
      <c r="Z2373" s="0" t="inlineStr">
        <is>
          <t>https://new.land.naver.com/complexes/26272?tab=detail&amp;rf=Y</t>
        </is>
      </c>
      <c r="AA2373" s="0" t="inlineStr">
        <is>
          <t>서울시 강동구 암사동 518</t>
        </is>
      </c>
      <c r="AB2373" s="0" t="inlineStr">
        <is>
          <t>서울시</t>
        </is>
      </c>
      <c r="AC2373" s="0" t="inlineStr">
        <is>
          <t>강동구</t>
        </is>
      </c>
      <c r="AD2373" s="0" t="inlineStr">
        <is>
          <t>암사동</t>
        </is>
      </c>
      <c r="AG2373" s="0" t="inlineStr">
        <is>
          <t>서울시 강동구 선사로 120</t>
        </is>
      </c>
      <c r="AH2373" s="0" t="n">
        <v>0</v>
      </c>
      <c r="AI2373" s="0" t="n">
        <v>226</v>
      </c>
      <c r="AJ2373" s="0" t="n">
        <v>24</v>
      </c>
      <c r="AK2373" s="0" t="n">
        <v>144</v>
      </c>
      <c r="AL2373" s="0" t="n">
        <v>1.13</v>
      </c>
    </row>
    <row r="2374">
      <c r="A2374" s="0" t="inlineStr">
        <is>
          <t>[암사동]</t>
        </is>
      </c>
      <c r="B2374" s="0" t="n">
        <v>26272</v>
      </c>
      <c r="C2374" s="0" t="n">
        <v>3</v>
      </c>
      <c r="D2374" s="0" t="inlineStr">
        <is>
          <t>한솔솔파크더리버</t>
        </is>
      </c>
      <c r="E2374" s="0" t="inlineStr">
        <is>
          <t>2009.08.</t>
        </is>
      </c>
      <c r="F2374" s="0" t="n">
        <v>127</v>
      </c>
      <c r="G2374" s="0" t="n">
        <v>32.16</v>
      </c>
      <c r="H2374" s="0" t="n">
        <v>106.32</v>
      </c>
      <c r="I2374" s="0" t="n">
        <v>25.67</v>
      </c>
      <c r="J2374" s="0" t="n">
        <v>84.89</v>
      </c>
      <c r="K2374" s="0" t="n">
        <v>44</v>
      </c>
      <c r="T2374" s="0" t="n">
        <v>3</v>
      </c>
      <c r="U2374" s="0" t="n">
        <v>2</v>
      </c>
      <c r="V2374" s="0" t="inlineStr">
        <is>
          <t>계단식</t>
        </is>
      </c>
      <c r="W2374" s="0" t="inlineStr">
        <is>
          <t>106A</t>
        </is>
      </c>
      <c r="X2374" s="0" t="n">
        <v>16</v>
      </c>
      <c r="Y2374" s="0" t="n">
        <v>11</v>
      </c>
      <c r="Z2374" s="0" t="inlineStr">
        <is>
          <t>https://new.land.naver.com/complexes/26272?tab=detail&amp;rf=Y</t>
        </is>
      </c>
      <c r="AA2374" s="0" t="inlineStr">
        <is>
          <t>서울시 강동구 암사동 518</t>
        </is>
      </c>
      <c r="AB2374" s="0" t="inlineStr">
        <is>
          <t>서울시</t>
        </is>
      </c>
      <c r="AC2374" s="0" t="inlineStr">
        <is>
          <t>강동구</t>
        </is>
      </c>
      <c r="AD2374" s="0" t="inlineStr">
        <is>
          <t>암사동</t>
        </is>
      </c>
      <c r="AG2374" s="0" t="inlineStr">
        <is>
          <t>서울시 강동구 선사로 120</t>
        </is>
      </c>
      <c r="AH2374" s="0" t="n">
        <v>0</v>
      </c>
      <c r="AI2374" s="0" t="n">
        <v>226</v>
      </c>
      <c r="AJ2374" s="0" t="n">
        <v>24</v>
      </c>
      <c r="AK2374" s="0" t="n">
        <v>144</v>
      </c>
      <c r="AL2374" s="0" t="n">
        <v>1.13</v>
      </c>
    </row>
    <row r="2375">
      <c r="A2375" s="0" t="inlineStr">
        <is>
          <t>[암사동]</t>
        </is>
      </c>
      <c r="B2375" s="0" t="n">
        <v>3116</v>
      </c>
      <c r="C2375" s="0" t="n">
        <v>1</v>
      </c>
      <c r="D2375" s="0" t="inlineStr">
        <is>
          <t>삼성광나루</t>
        </is>
      </c>
      <c r="E2375" s="0" t="inlineStr">
        <is>
          <t>2002.11.</t>
        </is>
      </c>
      <c r="F2375" s="0" t="n">
        <v>490</v>
      </c>
      <c r="G2375" s="0" t="n">
        <v>23.39</v>
      </c>
      <c r="H2375" s="0" t="n">
        <v>77.33</v>
      </c>
      <c r="I2375" s="0" t="n">
        <v>18.05</v>
      </c>
      <c r="J2375" s="0" t="n">
        <v>59.69</v>
      </c>
      <c r="K2375" s="0" t="n">
        <v>112</v>
      </c>
      <c r="T2375" s="0" t="n">
        <v>2</v>
      </c>
      <c r="U2375" s="0" t="n">
        <v>2</v>
      </c>
      <c r="V2375" s="0" t="inlineStr">
        <is>
          <t>계단식</t>
        </is>
      </c>
      <c r="W2375" s="0" t="inlineStr">
        <is>
          <t>77B</t>
        </is>
      </c>
      <c r="X2375" s="0" t="n">
        <v>28</v>
      </c>
      <c r="Y2375" s="0" t="n">
        <v>18</v>
      </c>
      <c r="Z2375" s="0" t="inlineStr">
        <is>
          <t>https://new.land.naver.com/complexes/3116?tab=detail&amp;rf=Y</t>
        </is>
      </c>
      <c r="AA2375" s="0" t="inlineStr">
        <is>
          <t>서울시 강동구 암사동 508</t>
        </is>
      </c>
      <c r="AB2375" s="0" t="inlineStr">
        <is>
          <t>서울시</t>
        </is>
      </c>
      <c r="AC2375" s="0" t="inlineStr">
        <is>
          <t>강동구</t>
        </is>
      </c>
      <c r="AD2375" s="0" t="inlineStr">
        <is>
          <t>암사동</t>
        </is>
      </c>
      <c r="AG2375" s="0" t="inlineStr">
        <is>
          <t>서울시 강동구 상암로3길 77</t>
        </is>
      </c>
      <c r="AH2375" s="0" t="n">
        <v>0</v>
      </c>
      <c r="AI2375" s="0" t="n">
        <v>395</v>
      </c>
      <c r="AJ2375" s="0" t="n">
        <v>65</v>
      </c>
      <c r="AK2375" s="0" t="n">
        <v>627</v>
      </c>
      <c r="AL2375" s="0" t="n">
        <v>1.28</v>
      </c>
    </row>
    <row r="2376">
      <c r="A2376" s="0" t="inlineStr">
        <is>
          <t>[암사동]</t>
        </is>
      </c>
      <c r="B2376" s="0" t="n">
        <v>3116</v>
      </c>
      <c r="C2376" s="0" t="n">
        <v>2</v>
      </c>
      <c r="D2376" s="0" t="inlineStr">
        <is>
          <t>삼성광나루</t>
        </is>
      </c>
      <c r="E2376" s="0" t="inlineStr">
        <is>
          <t>2002.11.</t>
        </is>
      </c>
      <c r="F2376" s="0" t="n">
        <v>490</v>
      </c>
      <c r="G2376" s="0" t="n">
        <v>23.48</v>
      </c>
      <c r="H2376" s="0" t="n">
        <v>77.65000000000001</v>
      </c>
      <c r="I2376" s="0" t="n">
        <v>18.13</v>
      </c>
      <c r="J2376" s="0" t="n">
        <v>59.94</v>
      </c>
      <c r="K2376" s="0" t="n">
        <v>38</v>
      </c>
      <c r="T2376" s="0" t="n">
        <v>3</v>
      </c>
      <c r="U2376" s="0" t="n">
        <v>1</v>
      </c>
      <c r="V2376" s="0" t="inlineStr">
        <is>
          <t>계단식</t>
        </is>
      </c>
      <c r="W2376" s="0" t="inlineStr">
        <is>
          <t>77A</t>
        </is>
      </c>
      <c r="X2376" s="0" t="n">
        <v>28</v>
      </c>
      <c r="Y2376" s="0" t="n">
        <v>18</v>
      </c>
      <c r="Z2376" s="0" t="inlineStr">
        <is>
          <t>https://new.land.naver.com/complexes/3116?tab=detail&amp;rf=Y</t>
        </is>
      </c>
      <c r="AA2376" s="0" t="inlineStr">
        <is>
          <t>서울시 강동구 암사동 508</t>
        </is>
      </c>
      <c r="AB2376" s="0" t="inlineStr">
        <is>
          <t>서울시</t>
        </is>
      </c>
      <c r="AC2376" s="0" t="inlineStr">
        <is>
          <t>강동구</t>
        </is>
      </c>
      <c r="AD2376" s="0" t="inlineStr">
        <is>
          <t>암사동</t>
        </is>
      </c>
      <c r="AG2376" s="0" t="inlineStr">
        <is>
          <t>서울시 강동구 상암로3길 77</t>
        </is>
      </c>
      <c r="AH2376" s="0" t="n">
        <v>0</v>
      </c>
      <c r="AI2376" s="0" t="n">
        <v>395</v>
      </c>
      <c r="AJ2376" s="0" t="n">
        <v>65</v>
      </c>
      <c r="AK2376" s="0" t="n">
        <v>627</v>
      </c>
      <c r="AL2376" s="0" t="n">
        <v>1.28</v>
      </c>
    </row>
    <row r="2377">
      <c r="A2377" s="0" t="inlineStr">
        <is>
          <t>[암사동]</t>
        </is>
      </c>
      <c r="B2377" s="0" t="n">
        <v>3116</v>
      </c>
      <c r="C2377" s="0" t="n">
        <v>3</v>
      </c>
      <c r="D2377" s="0" t="inlineStr">
        <is>
          <t>삼성광나루</t>
        </is>
      </c>
      <c r="E2377" s="0" t="inlineStr">
        <is>
          <t>2002.11.</t>
        </is>
      </c>
      <c r="F2377" s="0" t="n">
        <v>490</v>
      </c>
      <c r="G2377" s="0" t="n">
        <v>33.22</v>
      </c>
      <c r="H2377" s="0" t="n">
        <v>109.85</v>
      </c>
      <c r="I2377" s="0" t="n">
        <v>25.64</v>
      </c>
      <c r="J2377" s="0" t="n">
        <v>84.79000000000001</v>
      </c>
      <c r="K2377" s="0" t="n">
        <v>157</v>
      </c>
      <c r="T2377" s="0" t="n">
        <v>3</v>
      </c>
      <c r="U2377" s="0" t="n">
        <v>2</v>
      </c>
      <c r="V2377" s="0" t="inlineStr">
        <is>
          <t>계단식</t>
        </is>
      </c>
      <c r="W2377" s="0" t="inlineStr">
        <is>
          <t>109A</t>
        </is>
      </c>
      <c r="X2377" s="0" t="n">
        <v>28</v>
      </c>
      <c r="Y2377" s="0" t="n">
        <v>18</v>
      </c>
      <c r="Z2377" s="0" t="inlineStr">
        <is>
          <t>https://new.land.naver.com/complexes/3116?tab=detail&amp;rf=Y</t>
        </is>
      </c>
      <c r="AA2377" s="0" t="inlineStr">
        <is>
          <t>서울시 강동구 암사동 508</t>
        </is>
      </c>
      <c r="AB2377" s="0" t="inlineStr">
        <is>
          <t>서울시</t>
        </is>
      </c>
      <c r="AC2377" s="0" t="inlineStr">
        <is>
          <t>강동구</t>
        </is>
      </c>
      <c r="AD2377" s="0" t="inlineStr">
        <is>
          <t>암사동</t>
        </is>
      </c>
      <c r="AG2377" s="0" t="inlineStr">
        <is>
          <t>서울시 강동구 상암로3길 77</t>
        </is>
      </c>
      <c r="AH2377" s="0" t="n">
        <v>0</v>
      </c>
      <c r="AI2377" s="0" t="n">
        <v>395</v>
      </c>
      <c r="AJ2377" s="0" t="n">
        <v>65</v>
      </c>
      <c r="AK2377" s="0" t="n">
        <v>627</v>
      </c>
      <c r="AL2377" s="0" t="n">
        <v>1.28</v>
      </c>
    </row>
    <row r="2378">
      <c r="A2378" s="0" t="inlineStr">
        <is>
          <t>[암사동]</t>
        </is>
      </c>
      <c r="B2378" s="0" t="n">
        <v>3116</v>
      </c>
      <c r="C2378" s="0" t="n">
        <v>4</v>
      </c>
      <c r="D2378" s="0" t="inlineStr">
        <is>
          <t>삼성광나루</t>
        </is>
      </c>
      <c r="E2378" s="0" t="inlineStr">
        <is>
          <t>2002.11.</t>
        </is>
      </c>
      <c r="F2378" s="0" t="n">
        <v>490</v>
      </c>
      <c r="G2378" s="0" t="n">
        <v>33.26</v>
      </c>
      <c r="H2378" s="0" t="n">
        <v>109.96</v>
      </c>
      <c r="I2378" s="0" t="n">
        <v>25.67</v>
      </c>
      <c r="J2378" s="0" t="n">
        <v>84.88</v>
      </c>
      <c r="K2378" s="0" t="n">
        <v>20</v>
      </c>
      <c r="T2378" s="0" t="n">
        <v>3</v>
      </c>
      <c r="U2378" s="0" t="n">
        <v>2</v>
      </c>
      <c r="V2378" s="0" t="inlineStr">
        <is>
          <t>계단식</t>
        </is>
      </c>
      <c r="W2378" s="0" t="inlineStr">
        <is>
          <t>109B</t>
        </is>
      </c>
      <c r="X2378" s="0" t="n">
        <v>28</v>
      </c>
      <c r="Y2378" s="0" t="n">
        <v>18</v>
      </c>
      <c r="Z2378" s="0" t="inlineStr">
        <is>
          <t>https://new.land.naver.com/complexes/3116?tab=detail&amp;rf=Y</t>
        </is>
      </c>
      <c r="AA2378" s="0" t="inlineStr">
        <is>
          <t>서울시 강동구 암사동 508</t>
        </is>
      </c>
      <c r="AB2378" s="0" t="inlineStr">
        <is>
          <t>서울시</t>
        </is>
      </c>
      <c r="AC2378" s="0" t="inlineStr">
        <is>
          <t>강동구</t>
        </is>
      </c>
      <c r="AD2378" s="0" t="inlineStr">
        <is>
          <t>암사동</t>
        </is>
      </c>
      <c r="AG2378" s="0" t="inlineStr">
        <is>
          <t>서울시 강동구 상암로3길 77</t>
        </is>
      </c>
      <c r="AH2378" s="0" t="n">
        <v>0</v>
      </c>
      <c r="AI2378" s="0" t="n">
        <v>395</v>
      </c>
      <c r="AJ2378" s="0" t="n">
        <v>65</v>
      </c>
      <c r="AK2378" s="0" t="n">
        <v>627</v>
      </c>
      <c r="AL2378" s="0" t="n">
        <v>1.28</v>
      </c>
    </row>
    <row r="2379">
      <c r="A2379" s="0" t="inlineStr">
        <is>
          <t>[암사동]</t>
        </is>
      </c>
      <c r="B2379" s="0" t="n">
        <v>3116</v>
      </c>
      <c r="C2379" s="0" t="n">
        <v>5</v>
      </c>
      <c r="D2379" s="0" t="inlineStr">
        <is>
          <t>삼성광나루</t>
        </is>
      </c>
      <c r="E2379" s="0" t="inlineStr">
        <is>
          <t>2002.11.</t>
        </is>
      </c>
      <c r="F2379" s="0" t="n">
        <v>490</v>
      </c>
      <c r="G2379" s="0" t="n">
        <v>33.26</v>
      </c>
      <c r="H2379" s="0" t="n">
        <v>109.98</v>
      </c>
      <c r="I2379" s="0" t="n">
        <v>25.67</v>
      </c>
      <c r="J2379" s="0" t="n">
        <v>84.89</v>
      </c>
      <c r="K2379" s="0" t="n">
        <v>19</v>
      </c>
      <c r="T2379" s="0" t="n">
        <v>3</v>
      </c>
      <c r="U2379" s="0" t="n">
        <v>2</v>
      </c>
      <c r="V2379" s="0" t="inlineStr">
        <is>
          <t>계단식</t>
        </is>
      </c>
      <c r="W2379" s="0" t="inlineStr">
        <is>
          <t>109C</t>
        </is>
      </c>
      <c r="X2379" s="0" t="n">
        <v>28</v>
      </c>
      <c r="Y2379" s="0" t="n">
        <v>18</v>
      </c>
      <c r="Z2379" s="0" t="inlineStr">
        <is>
          <t>https://new.land.naver.com/complexes/3116?tab=detail&amp;rf=Y</t>
        </is>
      </c>
      <c r="AA2379" s="0" t="inlineStr">
        <is>
          <t>서울시 강동구 암사동 508</t>
        </is>
      </c>
      <c r="AB2379" s="0" t="inlineStr">
        <is>
          <t>서울시</t>
        </is>
      </c>
      <c r="AC2379" s="0" t="inlineStr">
        <is>
          <t>강동구</t>
        </is>
      </c>
      <c r="AD2379" s="0" t="inlineStr">
        <is>
          <t>암사동</t>
        </is>
      </c>
      <c r="AG2379" s="0" t="inlineStr">
        <is>
          <t>서울시 강동구 상암로3길 77</t>
        </is>
      </c>
      <c r="AH2379" s="0" t="n">
        <v>0</v>
      </c>
      <c r="AI2379" s="0" t="n">
        <v>395</v>
      </c>
      <c r="AJ2379" s="0" t="n">
        <v>65</v>
      </c>
      <c r="AK2379" s="0" t="n">
        <v>627</v>
      </c>
      <c r="AL2379" s="0" t="n">
        <v>1.28</v>
      </c>
    </row>
    <row r="2380">
      <c r="A2380" s="0" t="inlineStr">
        <is>
          <t>[암사동]</t>
        </is>
      </c>
      <c r="B2380" s="0" t="n">
        <v>3116</v>
      </c>
      <c r="C2380" s="0" t="n">
        <v>6</v>
      </c>
      <c r="D2380" s="0" t="inlineStr">
        <is>
          <t>삼성광나루</t>
        </is>
      </c>
      <c r="E2380" s="0" t="inlineStr">
        <is>
          <t>2002.11.</t>
        </is>
      </c>
      <c r="F2380" s="0" t="n">
        <v>490</v>
      </c>
      <c r="G2380" s="0" t="n">
        <v>33.28</v>
      </c>
      <c r="H2380" s="0" t="n">
        <v>110.02</v>
      </c>
      <c r="I2380" s="0" t="n">
        <v>25.69</v>
      </c>
      <c r="J2380" s="0" t="n">
        <v>84.93000000000001</v>
      </c>
      <c r="K2380" s="0" t="n">
        <v>24</v>
      </c>
      <c r="T2380" s="0" t="n">
        <v>3</v>
      </c>
      <c r="U2380" s="0" t="n">
        <v>2</v>
      </c>
      <c r="V2380" s="0" t="inlineStr">
        <is>
          <t>계단식</t>
        </is>
      </c>
      <c r="W2380" s="0" t="inlineStr">
        <is>
          <t>110D</t>
        </is>
      </c>
      <c r="X2380" s="0" t="n">
        <v>28</v>
      </c>
      <c r="Y2380" s="0" t="n">
        <v>18</v>
      </c>
      <c r="Z2380" s="0" t="inlineStr">
        <is>
          <t>https://new.land.naver.com/complexes/3116?tab=detail&amp;rf=Y</t>
        </is>
      </c>
      <c r="AA2380" s="0" t="inlineStr">
        <is>
          <t>서울시 강동구 암사동 508</t>
        </is>
      </c>
      <c r="AB2380" s="0" t="inlineStr">
        <is>
          <t>서울시</t>
        </is>
      </c>
      <c r="AC2380" s="0" t="inlineStr">
        <is>
          <t>강동구</t>
        </is>
      </c>
      <c r="AD2380" s="0" t="inlineStr">
        <is>
          <t>암사동</t>
        </is>
      </c>
      <c r="AG2380" s="0" t="inlineStr">
        <is>
          <t>서울시 강동구 상암로3길 77</t>
        </is>
      </c>
      <c r="AH2380" s="0" t="n">
        <v>0</v>
      </c>
      <c r="AI2380" s="0" t="n">
        <v>395</v>
      </c>
      <c r="AJ2380" s="0" t="n">
        <v>65</v>
      </c>
      <c r="AK2380" s="0" t="n">
        <v>627</v>
      </c>
      <c r="AL2380" s="0" t="n">
        <v>1.28</v>
      </c>
    </row>
    <row r="2381">
      <c r="A2381" s="0" t="inlineStr">
        <is>
          <t>[암사동]</t>
        </is>
      </c>
      <c r="B2381" s="0" t="n">
        <v>3116</v>
      </c>
      <c r="C2381" s="0" t="n">
        <v>7</v>
      </c>
      <c r="D2381" s="0" t="inlineStr">
        <is>
          <t>삼성광나루</t>
        </is>
      </c>
      <c r="E2381" s="0" t="inlineStr">
        <is>
          <t>2002.11.</t>
        </is>
      </c>
      <c r="F2381" s="0" t="n">
        <v>490</v>
      </c>
      <c r="G2381" s="0" t="n">
        <v>45.01</v>
      </c>
      <c r="H2381" s="0" t="n">
        <v>148.82</v>
      </c>
      <c r="I2381" s="0" t="n">
        <v>34.74</v>
      </c>
      <c r="J2381" s="0" t="n">
        <v>114.87</v>
      </c>
      <c r="K2381" s="0" t="n">
        <v>52</v>
      </c>
      <c r="T2381" s="0" t="n">
        <v>4</v>
      </c>
      <c r="U2381" s="0" t="n">
        <v>2</v>
      </c>
      <c r="V2381" s="0" t="inlineStr">
        <is>
          <t>계단식</t>
        </is>
      </c>
      <c r="W2381" s="0" t="inlineStr">
        <is>
          <t>148A</t>
        </is>
      </c>
      <c r="X2381" s="0" t="n">
        <v>28</v>
      </c>
      <c r="Y2381" s="0" t="n">
        <v>18</v>
      </c>
      <c r="Z2381" s="0" t="inlineStr">
        <is>
          <t>https://new.land.naver.com/complexes/3116?tab=detail&amp;rf=Y</t>
        </is>
      </c>
      <c r="AA2381" s="0" t="inlineStr">
        <is>
          <t>서울시 강동구 암사동 508</t>
        </is>
      </c>
      <c r="AB2381" s="0" t="inlineStr">
        <is>
          <t>서울시</t>
        </is>
      </c>
      <c r="AC2381" s="0" t="inlineStr">
        <is>
          <t>강동구</t>
        </is>
      </c>
      <c r="AD2381" s="0" t="inlineStr">
        <is>
          <t>암사동</t>
        </is>
      </c>
      <c r="AG2381" s="0" t="inlineStr">
        <is>
          <t>서울시 강동구 상암로3길 77</t>
        </is>
      </c>
      <c r="AH2381" s="0" t="n">
        <v>0</v>
      </c>
      <c r="AI2381" s="0" t="n">
        <v>395</v>
      </c>
      <c r="AJ2381" s="0" t="n">
        <v>65</v>
      </c>
      <c r="AK2381" s="0" t="n">
        <v>627</v>
      </c>
      <c r="AL2381" s="0" t="n">
        <v>1.28</v>
      </c>
    </row>
    <row r="2382">
      <c r="A2382" s="0" t="inlineStr">
        <is>
          <t>[암사동]</t>
        </is>
      </c>
      <c r="B2382" s="0" t="n">
        <v>3116</v>
      </c>
      <c r="C2382" s="0" t="n">
        <v>8</v>
      </c>
      <c r="D2382" s="0" t="inlineStr">
        <is>
          <t>삼성광나루</t>
        </is>
      </c>
      <c r="E2382" s="0" t="inlineStr">
        <is>
          <t>2002.11.</t>
        </is>
      </c>
      <c r="F2382" s="0" t="n">
        <v>490</v>
      </c>
      <c r="G2382" s="0" t="n">
        <v>45.01</v>
      </c>
      <c r="H2382" s="0" t="n">
        <v>148.82</v>
      </c>
      <c r="I2382" s="0" t="n">
        <v>34.74</v>
      </c>
      <c r="J2382" s="0" t="n">
        <v>114.87</v>
      </c>
      <c r="K2382" s="0" t="n">
        <v>20</v>
      </c>
      <c r="T2382" s="0" t="n">
        <v>4</v>
      </c>
      <c r="U2382" s="0" t="n">
        <v>2</v>
      </c>
      <c r="V2382" s="0" t="inlineStr">
        <is>
          <t>계단식</t>
        </is>
      </c>
      <c r="W2382" s="0" t="inlineStr">
        <is>
          <t>148B</t>
        </is>
      </c>
      <c r="X2382" s="0" t="n">
        <v>28</v>
      </c>
      <c r="Y2382" s="0" t="n">
        <v>18</v>
      </c>
      <c r="Z2382" s="0" t="inlineStr">
        <is>
          <t>https://new.land.naver.com/complexes/3116?tab=detail&amp;rf=Y</t>
        </is>
      </c>
      <c r="AA2382" s="0" t="inlineStr">
        <is>
          <t>서울시 강동구 암사동 508</t>
        </is>
      </c>
      <c r="AB2382" s="0" t="inlineStr">
        <is>
          <t>서울시</t>
        </is>
      </c>
      <c r="AC2382" s="0" t="inlineStr">
        <is>
          <t>강동구</t>
        </is>
      </c>
      <c r="AD2382" s="0" t="inlineStr">
        <is>
          <t>암사동</t>
        </is>
      </c>
      <c r="AG2382" s="0" t="inlineStr">
        <is>
          <t>서울시 강동구 상암로3길 77</t>
        </is>
      </c>
      <c r="AH2382" s="0" t="n">
        <v>0</v>
      </c>
      <c r="AI2382" s="0" t="n">
        <v>395</v>
      </c>
      <c r="AJ2382" s="0" t="n">
        <v>65</v>
      </c>
      <c r="AK2382" s="0" t="n">
        <v>627</v>
      </c>
      <c r="AL2382" s="0" t="n">
        <v>1.28</v>
      </c>
    </row>
    <row r="2383">
      <c r="A2383" s="0" t="inlineStr">
        <is>
          <t>[암사동]</t>
        </is>
      </c>
      <c r="B2383" s="0" t="n">
        <v>3116</v>
      </c>
      <c r="C2383" s="0" t="n">
        <v>9</v>
      </c>
      <c r="D2383" s="0" t="inlineStr">
        <is>
          <t>삼성광나루</t>
        </is>
      </c>
      <c r="E2383" s="0" t="inlineStr">
        <is>
          <t>2002.11.</t>
        </is>
      </c>
      <c r="F2383" s="0" t="n">
        <v>490</v>
      </c>
      <c r="G2383" s="0" t="n">
        <v>61.61</v>
      </c>
      <c r="H2383" s="0" t="n">
        <v>203.7</v>
      </c>
      <c r="I2383" s="0" t="n">
        <v>47.56</v>
      </c>
      <c r="J2383" s="0" t="n">
        <v>157.24</v>
      </c>
      <c r="K2383" s="0" t="n">
        <v>48</v>
      </c>
      <c r="T2383" s="0" t="n">
        <v>5</v>
      </c>
      <c r="U2383" s="0" t="n">
        <v>2</v>
      </c>
      <c r="V2383" s="0" t="inlineStr">
        <is>
          <t>계단식</t>
        </is>
      </c>
      <c r="W2383" s="0" t="n">
        <v>203</v>
      </c>
      <c r="X2383" s="0" t="n">
        <v>28</v>
      </c>
      <c r="Y2383" s="0" t="n">
        <v>18</v>
      </c>
      <c r="Z2383" s="0" t="inlineStr">
        <is>
          <t>https://new.land.naver.com/complexes/3116?tab=detail&amp;rf=Y</t>
        </is>
      </c>
      <c r="AA2383" s="0" t="inlineStr">
        <is>
          <t>서울시 강동구 암사동 508</t>
        </is>
      </c>
      <c r="AB2383" s="0" t="inlineStr">
        <is>
          <t>서울시</t>
        </is>
      </c>
      <c r="AC2383" s="0" t="inlineStr">
        <is>
          <t>강동구</t>
        </is>
      </c>
      <c r="AD2383" s="0" t="inlineStr">
        <is>
          <t>암사동</t>
        </is>
      </c>
      <c r="AG2383" s="0" t="inlineStr">
        <is>
          <t>서울시 강동구 상암로3길 77</t>
        </is>
      </c>
      <c r="AH2383" s="0" t="n">
        <v>0</v>
      </c>
      <c r="AI2383" s="0" t="n">
        <v>395</v>
      </c>
      <c r="AJ2383" s="0" t="n">
        <v>65</v>
      </c>
      <c r="AK2383" s="0" t="n">
        <v>627</v>
      </c>
      <c r="AL2383" s="0" t="n">
        <v>1.28</v>
      </c>
    </row>
    <row r="2384">
      <c r="A2384" s="0" t="inlineStr">
        <is>
          <t>[암사동]</t>
        </is>
      </c>
      <c r="B2384" s="0" t="n">
        <v>140986</v>
      </c>
      <c r="C2384" s="0" t="n">
        <v>1</v>
      </c>
      <c r="D2384" s="0" t="inlineStr">
        <is>
          <t>신주리버빌(도시형)</t>
        </is>
      </c>
      <c r="E2384" s="0" t="inlineStr">
        <is>
          <t>2019.02.</t>
        </is>
      </c>
      <c r="F2384" s="0" t="n">
        <v>15</v>
      </c>
      <c r="G2384" s="0" t="n">
        <v>11.07</v>
      </c>
      <c r="H2384" s="0" t="n">
        <v>36.62</v>
      </c>
      <c r="I2384" s="0" t="n">
        <v>9.470000000000001</v>
      </c>
      <c r="J2384" s="0" t="n">
        <v>31.33</v>
      </c>
      <c r="K2384" s="0" t="n">
        <v>1</v>
      </c>
      <c r="T2384" s="0" t="n">
        <v>1</v>
      </c>
      <c r="U2384" s="0" t="n">
        <v>1</v>
      </c>
      <c r="V2384" s="0" t="inlineStr">
        <is>
          <t>계단식</t>
        </is>
      </c>
      <c r="W2384" s="0" t="n">
        <v>36</v>
      </c>
      <c r="X2384" s="0" t="n">
        <v>7</v>
      </c>
      <c r="Y2384" s="0" t="n">
        <v>7</v>
      </c>
      <c r="Z2384" s="0" t="inlineStr">
        <is>
          <t>https://new.land.naver.com/complexes/140986?tab=detail&amp;rf=Y</t>
        </is>
      </c>
      <c r="AA2384" s="0" t="inlineStr">
        <is>
          <t>서울시 강동구 암사동 455-9</t>
        </is>
      </c>
      <c r="AB2384" s="0" t="inlineStr">
        <is>
          <t>서울시</t>
        </is>
      </c>
      <c r="AC2384" s="0" t="inlineStr">
        <is>
          <t>강동구</t>
        </is>
      </c>
      <c r="AD2384" s="0" t="inlineStr">
        <is>
          <t>암사동</t>
        </is>
      </c>
      <c r="AG2384" s="0" t="inlineStr">
        <is>
          <t>서울시 강동구 고덕로20가길 14-15</t>
        </is>
      </c>
      <c r="AH2384" s="0" t="n">
        <v>0</v>
      </c>
      <c r="AI2384" s="0" t="n">
        <v>195</v>
      </c>
      <c r="AJ2384" s="0" t="n">
        <v>50</v>
      </c>
      <c r="AK2384" s="0" t="n">
        <v>14</v>
      </c>
      <c r="AL2384" s="0" t="n">
        <v>0.93</v>
      </c>
    </row>
    <row r="2385">
      <c r="A2385" s="0" t="inlineStr">
        <is>
          <t>[암사동]</t>
        </is>
      </c>
      <c r="B2385" s="0" t="n">
        <v>140986</v>
      </c>
      <c r="C2385" s="0" t="n">
        <v>2</v>
      </c>
      <c r="D2385" s="0" t="inlineStr">
        <is>
          <t>신주리버빌(도시형)</t>
        </is>
      </c>
      <c r="E2385" s="0" t="inlineStr">
        <is>
          <t>2019.02.</t>
        </is>
      </c>
      <c r="F2385" s="0" t="n">
        <v>15</v>
      </c>
      <c r="G2385" s="0" t="n">
        <v>12.16</v>
      </c>
      <c r="H2385" s="0" t="n">
        <v>40.2</v>
      </c>
      <c r="I2385" s="0" t="n">
        <v>10.4</v>
      </c>
      <c r="J2385" s="0" t="n">
        <v>34.39</v>
      </c>
      <c r="K2385" s="0" t="n">
        <v>5</v>
      </c>
      <c r="T2385" s="0" t="n">
        <v>1</v>
      </c>
      <c r="U2385" s="0" t="n">
        <v>1</v>
      </c>
      <c r="V2385" s="0" t="inlineStr">
        <is>
          <t>계단식</t>
        </is>
      </c>
      <c r="W2385" s="0" t="n">
        <v>40</v>
      </c>
      <c r="X2385" s="0" t="n">
        <v>7</v>
      </c>
      <c r="Y2385" s="0" t="n">
        <v>7</v>
      </c>
      <c r="Z2385" s="0" t="inlineStr">
        <is>
          <t>https://new.land.naver.com/complexes/140986?tab=detail&amp;rf=Y</t>
        </is>
      </c>
      <c r="AA2385" s="0" t="inlineStr">
        <is>
          <t>서울시 강동구 암사동 455-9</t>
        </is>
      </c>
      <c r="AB2385" s="0" t="inlineStr">
        <is>
          <t>서울시</t>
        </is>
      </c>
      <c r="AC2385" s="0" t="inlineStr">
        <is>
          <t>강동구</t>
        </is>
      </c>
      <c r="AD2385" s="0" t="inlineStr">
        <is>
          <t>암사동</t>
        </is>
      </c>
      <c r="AG2385" s="0" t="inlineStr">
        <is>
          <t>서울시 강동구 고덕로20가길 14-15</t>
        </is>
      </c>
      <c r="AH2385" s="0" t="n">
        <v>0</v>
      </c>
      <c r="AI2385" s="0" t="n">
        <v>195</v>
      </c>
      <c r="AJ2385" s="0" t="n">
        <v>50</v>
      </c>
      <c r="AK2385" s="0" t="n">
        <v>14</v>
      </c>
      <c r="AL2385" s="0" t="n">
        <v>0.93</v>
      </c>
    </row>
    <row r="2386">
      <c r="A2386" s="0" t="inlineStr">
        <is>
          <t>[암사동]</t>
        </is>
      </c>
      <c r="B2386" s="0" t="n">
        <v>140986</v>
      </c>
      <c r="C2386" s="0" t="n">
        <v>3</v>
      </c>
      <c r="D2386" s="0" t="inlineStr">
        <is>
          <t>신주리버빌(도시형)</t>
        </is>
      </c>
      <c r="E2386" s="0" t="inlineStr">
        <is>
          <t>2019.02.</t>
        </is>
      </c>
      <c r="F2386" s="0" t="n">
        <v>15</v>
      </c>
      <c r="G2386" s="0" t="n">
        <v>13.65</v>
      </c>
      <c r="H2386" s="0" t="n">
        <v>45.15</v>
      </c>
      <c r="I2386" s="0" t="n">
        <v>11.68</v>
      </c>
      <c r="J2386" s="0" t="n">
        <v>38.63</v>
      </c>
      <c r="K2386" s="0" t="n">
        <v>4</v>
      </c>
      <c r="T2386" s="0" t="n">
        <v>1</v>
      </c>
      <c r="U2386" s="0" t="n">
        <v>1</v>
      </c>
      <c r="V2386" s="0" t="inlineStr">
        <is>
          <t>계단식</t>
        </is>
      </c>
      <c r="W2386" s="0" t="n">
        <v>45</v>
      </c>
      <c r="X2386" s="0" t="n">
        <v>7</v>
      </c>
      <c r="Y2386" s="0" t="n">
        <v>7</v>
      </c>
      <c r="Z2386" s="0" t="inlineStr">
        <is>
          <t>https://new.land.naver.com/complexes/140986?tab=detail&amp;rf=Y</t>
        </is>
      </c>
      <c r="AA2386" s="0" t="inlineStr">
        <is>
          <t>서울시 강동구 암사동 455-9</t>
        </is>
      </c>
      <c r="AB2386" s="0" t="inlineStr">
        <is>
          <t>서울시</t>
        </is>
      </c>
      <c r="AC2386" s="0" t="inlineStr">
        <is>
          <t>강동구</t>
        </is>
      </c>
      <c r="AD2386" s="0" t="inlineStr">
        <is>
          <t>암사동</t>
        </is>
      </c>
      <c r="AG2386" s="0" t="inlineStr">
        <is>
          <t>서울시 강동구 고덕로20가길 14-15</t>
        </is>
      </c>
      <c r="AH2386" s="0" t="n">
        <v>0</v>
      </c>
      <c r="AI2386" s="0" t="n">
        <v>195</v>
      </c>
      <c r="AJ2386" s="0" t="n">
        <v>50</v>
      </c>
      <c r="AK2386" s="0" t="n">
        <v>14</v>
      </c>
      <c r="AL2386" s="0" t="n">
        <v>0.93</v>
      </c>
    </row>
    <row r="2387">
      <c r="A2387" s="0" t="inlineStr">
        <is>
          <t>[암사동]</t>
        </is>
      </c>
      <c r="B2387" s="0" t="n">
        <v>140986</v>
      </c>
      <c r="C2387" s="0" t="n">
        <v>4</v>
      </c>
      <c r="D2387" s="0" t="inlineStr">
        <is>
          <t>신주리버빌(도시형)</t>
        </is>
      </c>
      <c r="E2387" s="0" t="inlineStr">
        <is>
          <t>2019.02.</t>
        </is>
      </c>
      <c r="F2387" s="0" t="n">
        <v>15</v>
      </c>
      <c r="G2387" s="0" t="n">
        <v>14.58</v>
      </c>
      <c r="H2387" s="0" t="n">
        <v>48.22</v>
      </c>
      <c r="I2387" s="0" t="n">
        <v>12.48</v>
      </c>
      <c r="J2387" s="0" t="n">
        <v>41.26</v>
      </c>
      <c r="K2387" s="0" t="n">
        <v>5</v>
      </c>
      <c r="T2387" s="0" t="n">
        <v>3</v>
      </c>
      <c r="U2387" s="0" t="n">
        <v>2</v>
      </c>
      <c r="V2387" s="0" t="inlineStr">
        <is>
          <t>계단식</t>
        </is>
      </c>
      <c r="W2387" s="0" t="n">
        <v>48</v>
      </c>
      <c r="X2387" s="0" t="n">
        <v>7</v>
      </c>
      <c r="Y2387" s="0" t="n">
        <v>7</v>
      </c>
      <c r="Z2387" s="0" t="inlineStr">
        <is>
          <t>https://new.land.naver.com/complexes/140986?tab=detail&amp;rf=Y</t>
        </is>
      </c>
      <c r="AA2387" s="0" t="inlineStr">
        <is>
          <t>서울시 강동구 암사동 455-9</t>
        </is>
      </c>
      <c r="AB2387" s="0" t="inlineStr">
        <is>
          <t>서울시</t>
        </is>
      </c>
      <c r="AC2387" s="0" t="inlineStr">
        <is>
          <t>강동구</t>
        </is>
      </c>
      <c r="AD2387" s="0" t="inlineStr">
        <is>
          <t>암사동</t>
        </is>
      </c>
      <c r="AG2387" s="0" t="inlineStr">
        <is>
          <t>서울시 강동구 고덕로20가길 14-15</t>
        </is>
      </c>
      <c r="AH2387" s="0" t="n">
        <v>0</v>
      </c>
      <c r="AI2387" s="0" t="n">
        <v>195</v>
      </c>
      <c r="AJ2387" s="0" t="n">
        <v>50</v>
      </c>
      <c r="AK2387" s="0" t="n">
        <v>14</v>
      </c>
      <c r="AL2387" s="0" t="n">
        <v>0.93</v>
      </c>
    </row>
    <row r="2388">
      <c r="A2388" s="0" t="inlineStr">
        <is>
          <t>[암사동]</t>
        </is>
      </c>
      <c r="B2388" s="0" t="n">
        <v>3117</v>
      </c>
      <c r="C2388" s="0" t="n">
        <v>1</v>
      </c>
      <c r="D2388" s="0" t="inlineStr">
        <is>
          <t>암사동양덱스빌</t>
        </is>
      </c>
      <c r="E2388" s="0" t="inlineStr">
        <is>
          <t>1999.05.</t>
        </is>
      </c>
      <c r="F2388" s="0" t="n">
        <v>39</v>
      </c>
      <c r="G2388" s="0" t="n">
        <v>24.37</v>
      </c>
      <c r="H2388" s="0" t="n">
        <v>80.56999999999999</v>
      </c>
      <c r="I2388" s="0" t="n">
        <v>18.07</v>
      </c>
      <c r="J2388" s="0" t="n">
        <v>59.75</v>
      </c>
      <c r="K2388" s="0" t="n">
        <v>6</v>
      </c>
      <c r="T2388" s="0" t="n">
        <v>3</v>
      </c>
      <c r="U2388" s="0" t="n">
        <v>2</v>
      </c>
      <c r="V2388" s="0" t="inlineStr">
        <is>
          <t>복도식</t>
        </is>
      </c>
      <c r="W2388" s="0" t="n">
        <v>80</v>
      </c>
      <c r="X2388" s="0" t="n">
        <v>16</v>
      </c>
      <c r="Y2388" s="0" t="n">
        <v>8</v>
      </c>
      <c r="Z2388" s="0" t="inlineStr">
        <is>
          <t>https://new.land.naver.com/complexes/3117?tab=detail&amp;rf=Y</t>
        </is>
      </c>
      <c r="AA2388" s="0" t="inlineStr">
        <is>
          <t>서울시 강동구 암사동 501-4</t>
        </is>
      </c>
      <c r="AB2388" s="0" t="inlineStr">
        <is>
          <t>서울시</t>
        </is>
      </c>
      <c r="AC2388" s="0" t="inlineStr">
        <is>
          <t>강동구</t>
        </is>
      </c>
      <c r="AD2388" s="0" t="inlineStr">
        <is>
          <t>암사동</t>
        </is>
      </c>
      <c r="AG2388" s="0" t="inlineStr">
        <is>
          <t>서울시 강동구 상암로 41</t>
        </is>
      </c>
      <c r="AH2388" s="0" t="n">
        <v>0</v>
      </c>
      <c r="AI2388" s="0" t="n">
        <v>418</v>
      </c>
      <c r="AJ2388" s="0" t="n">
        <v>59</v>
      </c>
      <c r="AK2388" s="0" t="n">
        <v>113</v>
      </c>
      <c r="AL2388" s="0" t="n">
        <v>2.9</v>
      </c>
    </row>
    <row r="2389">
      <c r="A2389" s="0" t="inlineStr">
        <is>
          <t>[암사동]</t>
        </is>
      </c>
      <c r="B2389" s="0" t="n">
        <v>3117</v>
      </c>
      <c r="C2389" s="0" t="n">
        <v>2</v>
      </c>
      <c r="D2389" s="0" t="inlineStr">
        <is>
          <t>암사동양덱스빌</t>
        </is>
      </c>
      <c r="E2389" s="0" t="inlineStr">
        <is>
          <t>1999.05.</t>
        </is>
      </c>
      <c r="F2389" s="0" t="n">
        <v>39</v>
      </c>
      <c r="G2389" s="0" t="n">
        <v>26.29</v>
      </c>
      <c r="H2389" s="0" t="n">
        <v>86.92</v>
      </c>
      <c r="I2389" s="0" t="n">
        <v>18.14</v>
      </c>
      <c r="J2389" s="0" t="n">
        <v>59.98</v>
      </c>
      <c r="K2389" s="0" t="n">
        <v>10</v>
      </c>
      <c r="T2389" s="0" t="n">
        <v>3</v>
      </c>
      <c r="U2389" s="0" t="n">
        <v>2</v>
      </c>
      <c r="V2389" s="0" t="inlineStr">
        <is>
          <t>계단식</t>
        </is>
      </c>
      <c r="W2389" s="0" t="n">
        <v>86</v>
      </c>
      <c r="X2389" s="0" t="n">
        <v>16</v>
      </c>
      <c r="Y2389" s="0" t="n">
        <v>8</v>
      </c>
      <c r="Z2389" s="0" t="inlineStr">
        <is>
          <t>https://new.land.naver.com/complexes/3117?tab=detail&amp;rf=Y</t>
        </is>
      </c>
      <c r="AA2389" s="0" t="inlineStr">
        <is>
          <t>서울시 강동구 암사동 501-4</t>
        </is>
      </c>
      <c r="AB2389" s="0" t="inlineStr">
        <is>
          <t>서울시</t>
        </is>
      </c>
      <c r="AC2389" s="0" t="inlineStr">
        <is>
          <t>강동구</t>
        </is>
      </c>
      <c r="AD2389" s="0" t="inlineStr">
        <is>
          <t>암사동</t>
        </is>
      </c>
      <c r="AG2389" s="0" t="inlineStr">
        <is>
          <t>서울시 강동구 상암로 41</t>
        </is>
      </c>
      <c r="AH2389" s="0" t="n">
        <v>0</v>
      </c>
      <c r="AI2389" s="0" t="n">
        <v>418</v>
      </c>
      <c r="AJ2389" s="0" t="n">
        <v>59</v>
      </c>
      <c r="AK2389" s="0" t="n">
        <v>113</v>
      </c>
      <c r="AL2389" s="0" t="n">
        <v>2.9</v>
      </c>
    </row>
    <row r="2390">
      <c r="A2390" s="0" t="inlineStr">
        <is>
          <t>[암사동]</t>
        </is>
      </c>
      <c r="B2390" s="0" t="n">
        <v>3117</v>
      </c>
      <c r="C2390" s="0" t="n">
        <v>3</v>
      </c>
      <c r="D2390" s="0" t="inlineStr">
        <is>
          <t>암사동양덱스빌</t>
        </is>
      </c>
      <c r="E2390" s="0" t="inlineStr">
        <is>
          <t>1999.05.</t>
        </is>
      </c>
      <c r="F2390" s="0" t="n">
        <v>39</v>
      </c>
      <c r="G2390" s="0" t="n">
        <v>34.53</v>
      </c>
      <c r="H2390" s="0" t="n">
        <v>114.18</v>
      </c>
      <c r="I2390" s="0" t="n">
        <v>25.61</v>
      </c>
      <c r="J2390" s="0" t="n">
        <v>84.68000000000001</v>
      </c>
      <c r="K2390" s="0" t="n">
        <v>18</v>
      </c>
      <c r="T2390" s="0" t="n">
        <v>3</v>
      </c>
      <c r="U2390" s="0" t="n">
        <v>2</v>
      </c>
      <c r="V2390" s="0" t="inlineStr">
        <is>
          <t>계단식</t>
        </is>
      </c>
      <c r="W2390" s="0" t="n">
        <v>114</v>
      </c>
      <c r="X2390" s="0" t="n">
        <v>16</v>
      </c>
      <c r="Y2390" s="0" t="n">
        <v>8</v>
      </c>
      <c r="Z2390" s="0" t="inlineStr">
        <is>
          <t>https://new.land.naver.com/complexes/3117?tab=detail&amp;rf=Y</t>
        </is>
      </c>
      <c r="AA2390" s="0" t="inlineStr">
        <is>
          <t>서울시 강동구 암사동 501-4</t>
        </is>
      </c>
      <c r="AB2390" s="0" t="inlineStr">
        <is>
          <t>서울시</t>
        </is>
      </c>
      <c r="AC2390" s="0" t="inlineStr">
        <is>
          <t>강동구</t>
        </is>
      </c>
      <c r="AD2390" s="0" t="inlineStr">
        <is>
          <t>암사동</t>
        </is>
      </c>
      <c r="AG2390" s="0" t="inlineStr">
        <is>
          <t>서울시 강동구 상암로 41</t>
        </is>
      </c>
      <c r="AH2390" s="0" t="n">
        <v>0</v>
      </c>
      <c r="AI2390" s="0" t="n">
        <v>418</v>
      </c>
      <c r="AJ2390" s="0" t="n">
        <v>59</v>
      </c>
      <c r="AK2390" s="0" t="n">
        <v>113</v>
      </c>
      <c r="AL2390" s="0" t="n">
        <v>2.9</v>
      </c>
    </row>
    <row r="2391">
      <c r="A2391" s="0" t="inlineStr">
        <is>
          <t>[암사동]</t>
        </is>
      </c>
      <c r="B2391" s="0" t="n">
        <v>3117</v>
      </c>
      <c r="C2391" s="0" t="n">
        <v>4</v>
      </c>
      <c r="D2391" s="0" t="inlineStr">
        <is>
          <t>암사동양덱스빌</t>
        </is>
      </c>
      <c r="E2391" s="0" t="inlineStr">
        <is>
          <t>1999.05.</t>
        </is>
      </c>
      <c r="F2391" s="0" t="n">
        <v>39</v>
      </c>
      <c r="G2391" s="0" t="n">
        <v>36.23</v>
      </c>
      <c r="H2391" s="0" t="n">
        <v>119.78</v>
      </c>
      <c r="I2391" s="0" t="n">
        <v>26.87</v>
      </c>
      <c r="J2391" s="0" t="n">
        <v>88.84</v>
      </c>
      <c r="K2391" s="0" t="n">
        <v>1</v>
      </c>
      <c r="T2391" s="0" t="n">
        <v>3</v>
      </c>
      <c r="U2391" s="0" t="n">
        <v>2</v>
      </c>
      <c r="V2391" s="0" t="inlineStr">
        <is>
          <t>계단식</t>
        </is>
      </c>
      <c r="W2391" s="0" t="n">
        <v>119</v>
      </c>
      <c r="X2391" s="0" t="n">
        <v>16</v>
      </c>
      <c r="Y2391" s="0" t="n">
        <v>8</v>
      </c>
      <c r="Z2391" s="0" t="inlineStr">
        <is>
          <t>https://new.land.naver.com/complexes/3117?tab=detail&amp;rf=Y</t>
        </is>
      </c>
      <c r="AA2391" s="0" t="inlineStr">
        <is>
          <t>서울시 강동구 암사동 501-4</t>
        </is>
      </c>
      <c r="AB2391" s="0" t="inlineStr">
        <is>
          <t>서울시</t>
        </is>
      </c>
      <c r="AC2391" s="0" t="inlineStr">
        <is>
          <t>강동구</t>
        </is>
      </c>
      <c r="AD2391" s="0" t="inlineStr">
        <is>
          <t>암사동</t>
        </is>
      </c>
      <c r="AG2391" s="0" t="inlineStr">
        <is>
          <t>서울시 강동구 상암로 41</t>
        </is>
      </c>
      <c r="AH2391" s="0" t="n">
        <v>0</v>
      </c>
      <c r="AI2391" s="0" t="n">
        <v>418</v>
      </c>
      <c r="AJ2391" s="0" t="n">
        <v>59</v>
      </c>
      <c r="AK2391" s="0" t="n">
        <v>113</v>
      </c>
      <c r="AL2391" s="0" t="n">
        <v>2.9</v>
      </c>
    </row>
    <row r="2392">
      <c r="A2392" s="0" t="inlineStr">
        <is>
          <t>[암사동]</t>
        </is>
      </c>
      <c r="B2392" s="0" t="n">
        <v>3117</v>
      </c>
      <c r="C2392" s="0" t="n">
        <v>5</v>
      </c>
      <c r="D2392" s="0" t="inlineStr">
        <is>
          <t>암사동양덱스빌</t>
        </is>
      </c>
      <c r="E2392" s="0" t="inlineStr">
        <is>
          <t>1999.05.</t>
        </is>
      </c>
      <c r="F2392" s="0" t="n">
        <v>39</v>
      </c>
      <c r="G2392" s="0" t="n">
        <v>42.53</v>
      </c>
      <c r="H2392" s="0" t="n">
        <v>140.6</v>
      </c>
      <c r="I2392" s="0" t="n">
        <v>31.54</v>
      </c>
      <c r="J2392" s="0" t="n">
        <v>104.27</v>
      </c>
      <c r="K2392" s="0" t="n">
        <v>3</v>
      </c>
      <c r="T2392" s="0" t="n">
        <v>4</v>
      </c>
      <c r="U2392" s="0" t="n">
        <v>2</v>
      </c>
      <c r="V2392" s="0" t="inlineStr">
        <is>
          <t>계단식</t>
        </is>
      </c>
      <c r="W2392" s="0" t="n">
        <v>140</v>
      </c>
      <c r="X2392" s="0" t="n">
        <v>16</v>
      </c>
      <c r="Y2392" s="0" t="n">
        <v>8</v>
      </c>
      <c r="Z2392" s="0" t="inlineStr">
        <is>
          <t>https://new.land.naver.com/complexes/3117?tab=detail&amp;rf=Y</t>
        </is>
      </c>
      <c r="AA2392" s="0" t="inlineStr">
        <is>
          <t>서울시 강동구 암사동 501-4</t>
        </is>
      </c>
      <c r="AB2392" s="0" t="inlineStr">
        <is>
          <t>서울시</t>
        </is>
      </c>
      <c r="AC2392" s="0" t="inlineStr">
        <is>
          <t>강동구</t>
        </is>
      </c>
      <c r="AD2392" s="0" t="inlineStr">
        <is>
          <t>암사동</t>
        </is>
      </c>
      <c r="AG2392" s="0" t="inlineStr">
        <is>
          <t>서울시 강동구 상암로 41</t>
        </is>
      </c>
      <c r="AH2392" s="0" t="n">
        <v>0</v>
      </c>
      <c r="AI2392" s="0" t="n">
        <v>418</v>
      </c>
      <c r="AJ2392" s="0" t="n">
        <v>59</v>
      </c>
      <c r="AK2392" s="0" t="n">
        <v>113</v>
      </c>
      <c r="AL2392" s="0" t="n">
        <v>2.9</v>
      </c>
    </row>
    <row r="2393">
      <c r="A2393" s="0" t="inlineStr">
        <is>
          <t>[암사동]</t>
        </is>
      </c>
      <c r="B2393" s="0" t="n">
        <v>3117</v>
      </c>
      <c r="C2393" s="0" t="n">
        <v>6</v>
      </c>
      <c r="D2393" s="0" t="inlineStr">
        <is>
          <t>암사동양덱스빌</t>
        </is>
      </c>
      <c r="E2393" s="0" t="inlineStr">
        <is>
          <t>1999.05.</t>
        </is>
      </c>
      <c r="F2393" s="0" t="n">
        <v>39</v>
      </c>
      <c r="G2393" s="0" t="n">
        <v>49.25</v>
      </c>
      <c r="H2393" s="0" t="n">
        <v>162.81</v>
      </c>
      <c r="I2393" s="0" t="n">
        <v>36.52</v>
      </c>
      <c r="J2393" s="0" t="n">
        <v>120.75</v>
      </c>
      <c r="K2393" s="0" t="n">
        <v>1</v>
      </c>
      <c r="T2393" s="0" t="n">
        <v>4</v>
      </c>
      <c r="U2393" s="0" t="n">
        <v>2</v>
      </c>
      <c r="V2393" s="0" t="inlineStr">
        <is>
          <t>계단식</t>
        </is>
      </c>
      <c r="W2393" s="0" t="n">
        <v>162</v>
      </c>
      <c r="X2393" s="0" t="n">
        <v>16</v>
      </c>
      <c r="Y2393" s="0" t="n">
        <v>8</v>
      </c>
      <c r="Z2393" s="0" t="inlineStr">
        <is>
          <t>https://new.land.naver.com/complexes/3117?tab=detail&amp;rf=Y</t>
        </is>
      </c>
      <c r="AA2393" s="0" t="inlineStr">
        <is>
          <t>서울시 강동구 암사동 501-4</t>
        </is>
      </c>
      <c r="AB2393" s="0" t="inlineStr">
        <is>
          <t>서울시</t>
        </is>
      </c>
      <c r="AC2393" s="0" t="inlineStr">
        <is>
          <t>강동구</t>
        </is>
      </c>
      <c r="AD2393" s="0" t="inlineStr">
        <is>
          <t>암사동</t>
        </is>
      </c>
      <c r="AG2393" s="0" t="inlineStr">
        <is>
          <t>서울시 강동구 상암로 41</t>
        </is>
      </c>
      <c r="AH2393" s="0" t="n">
        <v>0</v>
      </c>
      <c r="AI2393" s="0" t="n">
        <v>418</v>
      </c>
      <c r="AJ2393" s="0" t="n">
        <v>59</v>
      </c>
      <c r="AK2393" s="0" t="n">
        <v>113</v>
      </c>
      <c r="AL2393" s="0" t="n">
        <v>2.9</v>
      </c>
    </row>
    <row r="2394">
      <c r="A2394" s="0" t="inlineStr">
        <is>
          <t>[암사동]</t>
        </is>
      </c>
      <c r="B2394" s="0" t="n">
        <v>104734</v>
      </c>
      <c r="C2394" s="0" t="n">
        <v>1</v>
      </c>
      <c r="D2394" s="0" t="inlineStr">
        <is>
          <t>유진</t>
        </is>
      </c>
      <c r="E2394" s="0" t="inlineStr">
        <is>
          <t>2003.11.</t>
        </is>
      </c>
      <c r="F2394" s="0" t="n">
        <v>11</v>
      </c>
      <c r="G2394" s="0" t="n">
        <v>20.11</v>
      </c>
      <c r="H2394" s="0" t="n">
        <v>66.48999999999999</v>
      </c>
      <c r="I2394" s="0" t="n">
        <v>17.16</v>
      </c>
      <c r="J2394" s="0" t="n">
        <v>56.76</v>
      </c>
      <c r="K2394" s="0" t="n">
        <v>1</v>
      </c>
      <c r="T2394" s="0" t="n">
        <v>2</v>
      </c>
      <c r="U2394" s="0" t="n">
        <v>1</v>
      </c>
      <c r="V2394" s="0" t="inlineStr">
        <is>
          <t>복도식</t>
        </is>
      </c>
      <c r="W2394" s="0" t="n">
        <v>66</v>
      </c>
      <c r="X2394" s="0" t="n">
        <v>7</v>
      </c>
      <c r="Y2394" s="0" t="n">
        <v>6</v>
      </c>
      <c r="Z2394" s="0" t="inlineStr">
        <is>
          <t>https://new.land.naver.com/complexes/104734?tab=detail&amp;rf=Y</t>
        </is>
      </c>
      <c r="AA2394" s="0" t="inlineStr">
        <is>
          <t>서울시 강동구 암사동 504-1</t>
        </is>
      </c>
      <c r="AB2394" s="0" t="inlineStr">
        <is>
          <t>서울시</t>
        </is>
      </c>
      <c r="AC2394" s="0" t="inlineStr">
        <is>
          <t>강동구</t>
        </is>
      </c>
      <c r="AD2394" s="0" t="inlineStr">
        <is>
          <t>암사동</t>
        </is>
      </c>
      <c r="AG2394" s="0" t="inlineStr">
        <is>
          <t>서울시 강동구 상암로5길 77</t>
        </is>
      </c>
      <c r="AH2394" s="0" t="n">
        <v>0</v>
      </c>
      <c r="AI2394" s="0" t="n">
        <v>282</v>
      </c>
      <c r="AJ2394" s="0" t="n">
        <v>52</v>
      </c>
      <c r="AK2394" s="0" t="n">
        <v>11</v>
      </c>
      <c r="AL2394" s="0" t="n">
        <v>1</v>
      </c>
    </row>
    <row r="2395">
      <c r="A2395" s="0" t="inlineStr">
        <is>
          <t>[암사동]</t>
        </is>
      </c>
      <c r="B2395" s="0" t="n">
        <v>104734</v>
      </c>
      <c r="C2395" s="0" t="n">
        <v>2</v>
      </c>
      <c r="D2395" s="0" t="inlineStr">
        <is>
          <t>유진</t>
        </is>
      </c>
      <c r="E2395" s="0" t="inlineStr">
        <is>
          <t>2003.11.</t>
        </is>
      </c>
      <c r="F2395" s="0" t="n">
        <v>11</v>
      </c>
      <c r="G2395" s="0" t="n">
        <v>25.66</v>
      </c>
      <c r="H2395" s="0" t="n">
        <v>84.84999999999999</v>
      </c>
      <c r="I2395" s="0" t="n">
        <v>21.91</v>
      </c>
      <c r="J2395" s="0" t="n">
        <v>72.44</v>
      </c>
      <c r="K2395" s="0" t="n">
        <v>1</v>
      </c>
      <c r="T2395" s="0" t="n">
        <v>3</v>
      </c>
      <c r="U2395" s="0" t="n">
        <v>2</v>
      </c>
      <c r="V2395" s="0" t="inlineStr">
        <is>
          <t>복도식</t>
        </is>
      </c>
      <c r="W2395" s="0" t="inlineStr">
        <is>
          <t>84A</t>
        </is>
      </c>
      <c r="X2395" s="0" t="n">
        <v>7</v>
      </c>
      <c r="Y2395" s="0" t="n">
        <v>6</v>
      </c>
      <c r="Z2395" s="0" t="inlineStr">
        <is>
          <t>https://new.land.naver.com/complexes/104734?tab=detail&amp;rf=Y</t>
        </is>
      </c>
      <c r="AA2395" s="0" t="inlineStr">
        <is>
          <t>서울시 강동구 암사동 504-1</t>
        </is>
      </c>
      <c r="AB2395" s="0" t="inlineStr">
        <is>
          <t>서울시</t>
        </is>
      </c>
      <c r="AC2395" s="0" t="inlineStr">
        <is>
          <t>강동구</t>
        </is>
      </c>
      <c r="AD2395" s="0" t="inlineStr">
        <is>
          <t>암사동</t>
        </is>
      </c>
      <c r="AG2395" s="0" t="inlineStr">
        <is>
          <t>서울시 강동구 상암로5길 77</t>
        </is>
      </c>
      <c r="AH2395" s="0" t="n">
        <v>0</v>
      </c>
      <c r="AI2395" s="0" t="n">
        <v>282</v>
      </c>
      <c r="AJ2395" s="0" t="n">
        <v>52</v>
      </c>
      <c r="AK2395" s="0" t="n">
        <v>11</v>
      </c>
      <c r="AL2395" s="0" t="n">
        <v>1</v>
      </c>
    </row>
    <row r="2396">
      <c r="A2396" s="0" t="inlineStr">
        <is>
          <t>[암사동]</t>
        </is>
      </c>
      <c r="B2396" s="0" t="n">
        <v>104734</v>
      </c>
      <c r="C2396" s="0" t="n">
        <v>3</v>
      </c>
      <c r="D2396" s="0" t="inlineStr">
        <is>
          <t>유진</t>
        </is>
      </c>
      <c r="E2396" s="0" t="inlineStr">
        <is>
          <t>2003.11.</t>
        </is>
      </c>
      <c r="F2396" s="0" t="n">
        <v>11</v>
      </c>
      <c r="G2396" s="0" t="n">
        <v>25.71</v>
      </c>
      <c r="H2396" s="0" t="n">
        <v>85.01000000000001</v>
      </c>
      <c r="I2396" s="0" t="n">
        <v>21.95</v>
      </c>
      <c r="J2396" s="0" t="n">
        <v>72.58</v>
      </c>
      <c r="K2396" s="0" t="n">
        <v>1</v>
      </c>
      <c r="T2396" s="0" t="n">
        <v>3</v>
      </c>
      <c r="U2396" s="0" t="n">
        <v>2</v>
      </c>
      <c r="V2396" s="0" t="inlineStr">
        <is>
          <t>복도식</t>
        </is>
      </c>
      <c r="W2396" s="0" t="inlineStr">
        <is>
          <t>85B</t>
        </is>
      </c>
      <c r="X2396" s="0" t="n">
        <v>7</v>
      </c>
      <c r="Y2396" s="0" t="n">
        <v>6</v>
      </c>
      <c r="Z2396" s="0" t="inlineStr">
        <is>
          <t>https://new.land.naver.com/complexes/104734?tab=detail&amp;rf=Y</t>
        </is>
      </c>
      <c r="AA2396" s="0" t="inlineStr">
        <is>
          <t>서울시 강동구 암사동 504-1</t>
        </is>
      </c>
      <c r="AB2396" s="0" t="inlineStr">
        <is>
          <t>서울시</t>
        </is>
      </c>
      <c r="AC2396" s="0" t="inlineStr">
        <is>
          <t>강동구</t>
        </is>
      </c>
      <c r="AD2396" s="0" t="inlineStr">
        <is>
          <t>암사동</t>
        </is>
      </c>
      <c r="AG2396" s="0" t="inlineStr">
        <is>
          <t>서울시 강동구 상암로5길 77</t>
        </is>
      </c>
      <c r="AH2396" s="0" t="n">
        <v>0</v>
      </c>
      <c r="AI2396" s="0" t="n">
        <v>282</v>
      </c>
      <c r="AJ2396" s="0" t="n">
        <v>52</v>
      </c>
      <c r="AK2396" s="0" t="n">
        <v>11</v>
      </c>
      <c r="AL2396" s="0" t="n">
        <v>1</v>
      </c>
    </row>
    <row r="2397">
      <c r="A2397" s="0" t="inlineStr">
        <is>
          <t>[암사동]</t>
        </is>
      </c>
      <c r="B2397" s="0" t="n">
        <v>104734</v>
      </c>
      <c r="C2397" s="0" t="n">
        <v>4</v>
      </c>
      <c r="D2397" s="0" t="inlineStr">
        <is>
          <t>유진</t>
        </is>
      </c>
      <c r="E2397" s="0" t="inlineStr">
        <is>
          <t>2003.11.</t>
        </is>
      </c>
      <c r="F2397" s="0" t="n">
        <v>11</v>
      </c>
      <c r="G2397" s="0" t="n">
        <v>29.17</v>
      </c>
      <c r="H2397" s="0" t="n">
        <v>96.45999999999999</v>
      </c>
      <c r="I2397" s="0" t="n">
        <v>24.9</v>
      </c>
      <c r="J2397" s="0" t="n">
        <v>82.34</v>
      </c>
      <c r="K2397" s="0" t="n">
        <v>3</v>
      </c>
      <c r="T2397" s="0" t="n">
        <v>3</v>
      </c>
      <c r="U2397" s="0" t="n">
        <v>2</v>
      </c>
      <c r="V2397" s="0" t="inlineStr">
        <is>
          <t>복도식</t>
        </is>
      </c>
      <c r="W2397" s="0" t="n">
        <v>96</v>
      </c>
      <c r="X2397" s="0" t="n">
        <v>7</v>
      </c>
      <c r="Y2397" s="0" t="n">
        <v>6</v>
      </c>
      <c r="Z2397" s="0" t="inlineStr">
        <is>
          <t>https://new.land.naver.com/complexes/104734?tab=detail&amp;rf=Y</t>
        </is>
      </c>
      <c r="AA2397" s="0" t="inlineStr">
        <is>
          <t>서울시 강동구 암사동 504-1</t>
        </is>
      </c>
      <c r="AB2397" s="0" t="inlineStr">
        <is>
          <t>서울시</t>
        </is>
      </c>
      <c r="AC2397" s="0" t="inlineStr">
        <is>
          <t>강동구</t>
        </is>
      </c>
      <c r="AD2397" s="0" t="inlineStr">
        <is>
          <t>암사동</t>
        </is>
      </c>
      <c r="AG2397" s="0" t="inlineStr">
        <is>
          <t>서울시 강동구 상암로5길 77</t>
        </is>
      </c>
      <c r="AH2397" s="0" t="n">
        <v>0</v>
      </c>
      <c r="AI2397" s="0" t="n">
        <v>282</v>
      </c>
      <c r="AJ2397" s="0" t="n">
        <v>52</v>
      </c>
      <c r="AK2397" s="0" t="n">
        <v>11</v>
      </c>
      <c r="AL2397" s="0" t="n">
        <v>1</v>
      </c>
    </row>
    <row r="2398">
      <c r="A2398" s="0" t="inlineStr">
        <is>
          <t>[암사동]</t>
        </is>
      </c>
      <c r="B2398" s="0" t="n">
        <v>104734</v>
      </c>
      <c r="C2398" s="0" t="n">
        <v>5</v>
      </c>
      <c r="D2398" s="0" t="inlineStr">
        <is>
          <t>유진</t>
        </is>
      </c>
      <c r="E2398" s="0" t="inlineStr">
        <is>
          <t>2003.11.</t>
        </is>
      </c>
      <c r="F2398" s="0" t="n">
        <v>11</v>
      </c>
      <c r="G2398" s="0" t="n">
        <v>29.72</v>
      </c>
      <c r="H2398" s="0" t="n">
        <v>98.26000000000001</v>
      </c>
      <c r="I2398" s="0" t="n">
        <v>25.37</v>
      </c>
      <c r="J2398" s="0" t="n">
        <v>83.88</v>
      </c>
      <c r="K2398" s="0" t="n">
        <v>4</v>
      </c>
      <c r="T2398" s="0" t="n">
        <v>3</v>
      </c>
      <c r="U2398" s="0" t="n">
        <v>2</v>
      </c>
      <c r="V2398" s="0" t="inlineStr">
        <is>
          <t>복도식</t>
        </is>
      </c>
      <c r="W2398" s="0" t="n">
        <v>98</v>
      </c>
      <c r="X2398" s="0" t="n">
        <v>7</v>
      </c>
      <c r="Y2398" s="0" t="n">
        <v>6</v>
      </c>
      <c r="Z2398" s="0" t="inlineStr">
        <is>
          <t>https://new.land.naver.com/complexes/104734?tab=detail&amp;rf=Y</t>
        </is>
      </c>
      <c r="AA2398" s="0" t="inlineStr">
        <is>
          <t>서울시 강동구 암사동 504-1</t>
        </is>
      </c>
      <c r="AB2398" s="0" t="inlineStr">
        <is>
          <t>서울시</t>
        </is>
      </c>
      <c r="AC2398" s="0" t="inlineStr">
        <is>
          <t>강동구</t>
        </is>
      </c>
      <c r="AD2398" s="0" t="inlineStr">
        <is>
          <t>암사동</t>
        </is>
      </c>
      <c r="AG2398" s="0" t="inlineStr">
        <is>
          <t>서울시 강동구 상암로5길 77</t>
        </is>
      </c>
      <c r="AH2398" s="0" t="n">
        <v>0</v>
      </c>
      <c r="AI2398" s="0" t="n">
        <v>282</v>
      </c>
      <c r="AJ2398" s="0" t="n">
        <v>52</v>
      </c>
      <c r="AK2398" s="0" t="n">
        <v>11</v>
      </c>
      <c r="AL2398" s="0" t="n">
        <v>1</v>
      </c>
    </row>
    <row r="2399">
      <c r="A2399" s="0" t="inlineStr">
        <is>
          <t>[암사동]</t>
        </is>
      </c>
      <c r="B2399" s="0" t="n">
        <v>104734</v>
      </c>
      <c r="C2399" s="0" t="n">
        <v>6</v>
      </c>
      <c r="D2399" s="0" t="inlineStr">
        <is>
          <t>유진</t>
        </is>
      </c>
      <c r="E2399" s="0" t="inlineStr">
        <is>
          <t>2003.11.</t>
        </is>
      </c>
      <c r="F2399" s="0" t="n">
        <v>11</v>
      </c>
      <c r="G2399" s="0" t="n">
        <v>34.76</v>
      </c>
      <c r="H2399" s="0" t="n">
        <v>114.94</v>
      </c>
      <c r="I2399" s="0" t="n">
        <v>29.67</v>
      </c>
      <c r="J2399" s="0" t="n">
        <v>98.09999999999999</v>
      </c>
      <c r="K2399" s="0" t="n">
        <v>1</v>
      </c>
      <c r="T2399" s="0" t="n">
        <v>3</v>
      </c>
      <c r="U2399" s="0" t="n">
        <v>2</v>
      </c>
      <c r="V2399" s="0" t="inlineStr">
        <is>
          <t>복도식</t>
        </is>
      </c>
      <c r="W2399" s="0" t="n">
        <v>114</v>
      </c>
      <c r="X2399" s="0" t="n">
        <v>7</v>
      </c>
      <c r="Y2399" s="0" t="n">
        <v>6</v>
      </c>
      <c r="Z2399" s="0" t="inlineStr">
        <is>
          <t>https://new.land.naver.com/complexes/104734?tab=detail&amp;rf=Y</t>
        </is>
      </c>
      <c r="AA2399" s="0" t="inlineStr">
        <is>
          <t>서울시 강동구 암사동 504-1</t>
        </is>
      </c>
      <c r="AB2399" s="0" t="inlineStr">
        <is>
          <t>서울시</t>
        </is>
      </c>
      <c r="AC2399" s="0" t="inlineStr">
        <is>
          <t>강동구</t>
        </is>
      </c>
      <c r="AD2399" s="0" t="inlineStr">
        <is>
          <t>암사동</t>
        </is>
      </c>
      <c r="AG2399" s="0" t="inlineStr">
        <is>
          <t>서울시 강동구 상암로5길 77</t>
        </is>
      </c>
      <c r="AH2399" s="0" t="n">
        <v>0</v>
      </c>
      <c r="AI2399" s="0" t="n">
        <v>282</v>
      </c>
      <c r="AJ2399" s="0" t="n">
        <v>52</v>
      </c>
      <c r="AK2399" s="0" t="n">
        <v>11</v>
      </c>
      <c r="AL2399" s="0" t="n">
        <v>1</v>
      </c>
    </row>
    <row r="2400">
      <c r="A2400" s="0" t="inlineStr">
        <is>
          <t>[암사동]</t>
        </is>
      </c>
      <c r="B2400" s="0" t="n">
        <v>11097</v>
      </c>
      <c r="C2400" s="0" t="n">
        <v>1</v>
      </c>
      <c r="D2400" s="0" t="inlineStr">
        <is>
          <t>효정하나플러스</t>
        </is>
      </c>
      <c r="E2400" s="0" t="inlineStr">
        <is>
          <t>2003.12.</t>
        </is>
      </c>
      <c r="F2400" s="0" t="n">
        <v>60</v>
      </c>
      <c r="G2400" s="0" t="n">
        <v>30.25</v>
      </c>
      <c r="H2400" s="0" t="n">
        <v>100.02</v>
      </c>
      <c r="I2400" s="0" t="n">
        <v>24.64</v>
      </c>
      <c r="J2400" s="0" t="n">
        <v>81.45999999999999</v>
      </c>
      <c r="K2400" s="0" t="n">
        <v>20</v>
      </c>
      <c r="T2400" s="0" t="n">
        <v>3</v>
      </c>
      <c r="U2400" s="0" t="n">
        <v>2</v>
      </c>
      <c r="V2400" s="0" t="inlineStr">
        <is>
          <t>계단식</t>
        </is>
      </c>
      <c r="W2400" s="0" t="n">
        <v>100</v>
      </c>
      <c r="X2400" s="0" t="n">
        <v>10</v>
      </c>
      <c r="Y2400" s="0" t="n">
        <v>10</v>
      </c>
      <c r="Z2400" s="0" t="inlineStr">
        <is>
          <t>https://new.land.naver.com/complexes/11097?tab=detail&amp;rf=Y</t>
        </is>
      </c>
      <c r="AA2400" s="0" t="inlineStr">
        <is>
          <t>서울시 강동구 암사동 672</t>
        </is>
      </c>
      <c r="AB2400" s="0" t="inlineStr">
        <is>
          <t>서울시</t>
        </is>
      </c>
      <c r="AC2400" s="0" t="inlineStr">
        <is>
          <t>강동구</t>
        </is>
      </c>
      <c r="AD2400" s="0" t="inlineStr">
        <is>
          <t>암사동</t>
        </is>
      </c>
      <c r="AG2400" s="0" t="inlineStr">
        <is>
          <t>서울시 강동구 구천면로47길 69-18</t>
        </is>
      </c>
      <c r="AH2400" s="0" t="n">
        <v>0</v>
      </c>
      <c r="AI2400" s="0" t="n">
        <v>232</v>
      </c>
      <c r="AJ2400" s="0" t="n">
        <v>27</v>
      </c>
      <c r="AK2400" s="0" t="n">
        <v>69</v>
      </c>
      <c r="AL2400" s="0" t="n">
        <v>1.15</v>
      </c>
    </row>
    <row r="2401">
      <c r="A2401" s="0" t="inlineStr">
        <is>
          <t>[암사동]</t>
        </is>
      </c>
      <c r="B2401" s="0" t="n">
        <v>11097</v>
      </c>
      <c r="C2401" s="0" t="n">
        <v>2</v>
      </c>
      <c r="D2401" s="0" t="inlineStr">
        <is>
          <t>효정하나플러스</t>
        </is>
      </c>
      <c r="E2401" s="0" t="inlineStr">
        <is>
          <t>2003.12.</t>
        </is>
      </c>
      <c r="F2401" s="0" t="n">
        <v>60</v>
      </c>
      <c r="G2401" s="0" t="n">
        <v>31.18</v>
      </c>
      <c r="H2401" s="0" t="n">
        <v>103.1</v>
      </c>
      <c r="I2401" s="0" t="n">
        <v>25.54</v>
      </c>
      <c r="J2401" s="0" t="n">
        <v>84.45</v>
      </c>
      <c r="K2401" s="0" t="n">
        <v>40</v>
      </c>
      <c r="T2401" s="0" t="n">
        <v>3</v>
      </c>
      <c r="U2401" s="0" t="n">
        <v>2</v>
      </c>
      <c r="V2401" s="0" t="inlineStr">
        <is>
          <t>계단식</t>
        </is>
      </c>
      <c r="W2401" s="0" t="n">
        <v>103</v>
      </c>
      <c r="X2401" s="0" t="n">
        <v>10</v>
      </c>
      <c r="Y2401" s="0" t="n">
        <v>10</v>
      </c>
      <c r="Z2401" s="0" t="inlineStr">
        <is>
          <t>https://new.land.naver.com/complexes/11097?tab=detail&amp;rf=Y</t>
        </is>
      </c>
      <c r="AA2401" s="0" t="inlineStr">
        <is>
          <t>서울시 강동구 암사동 672</t>
        </is>
      </c>
      <c r="AB2401" s="0" t="inlineStr">
        <is>
          <t>서울시</t>
        </is>
      </c>
      <c r="AC2401" s="0" t="inlineStr">
        <is>
          <t>강동구</t>
        </is>
      </c>
      <c r="AD2401" s="0" t="inlineStr">
        <is>
          <t>암사동</t>
        </is>
      </c>
      <c r="AG2401" s="0" t="inlineStr">
        <is>
          <t>서울시 강동구 구천면로47길 69-18</t>
        </is>
      </c>
      <c r="AH2401" s="0" t="n">
        <v>0</v>
      </c>
      <c r="AI2401" s="0" t="n">
        <v>232</v>
      </c>
      <c r="AJ2401" s="0" t="n">
        <v>27</v>
      </c>
      <c r="AK2401" s="0" t="n">
        <v>69</v>
      </c>
      <c r="AL2401" s="0" t="n">
        <v>1.15</v>
      </c>
    </row>
    <row r="2402">
      <c r="A2402" s="0" t="inlineStr">
        <is>
          <t>[암사동]</t>
        </is>
      </c>
      <c r="B2402" s="0" t="n">
        <v>27535</v>
      </c>
      <c r="C2402" s="0" t="n">
        <v>1</v>
      </c>
      <c r="D2402" s="0" t="inlineStr">
        <is>
          <t>대은팰리스뷰</t>
        </is>
      </c>
      <c r="E2402" s="0" t="inlineStr">
        <is>
          <t>2007.03.</t>
        </is>
      </c>
      <c r="F2402" s="0" t="n">
        <v>38</v>
      </c>
      <c r="G2402" s="0" t="n">
        <v>29.09</v>
      </c>
      <c r="H2402" s="0" t="n">
        <v>96.18000000000001</v>
      </c>
      <c r="I2402" s="0" t="n">
        <v>25.68</v>
      </c>
      <c r="J2402" s="0" t="n">
        <v>84.90000000000001</v>
      </c>
      <c r="K2402" s="0" t="n">
        <v>19</v>
      </c>
      <c r="T2402" s="0" t="n">
        <v>3</v>
      </c>
      <c r="U2402" s="0" t="n">
        <v>1</v>
      </c>
      <c r="V2402" s="0" t="inlineStr">
        <is>
          <t>계단식</t>
        </is>
      </c>
      <c r="W2402" s="0" t="inlineStr">
        <is>
          <t>96A</t>
        </is>
      </c>
      <c r="X2402" s="0" t="n">
        <v>10</v>
      </c>
      <c r="Y2402" s="0" t="n">
        <v>10</v>
      </c>
      <c r="Z2402" s="0" t="inlineStr">
        <is>
          <t>https://new.land.naver.com/complexes/27535?tab=detail&amp;rf=Y</t>
        </is>
      </c>
      <c r="AA2402" s="0" t="inlineStr">
        <is>
          <t>서울시 강동구 암사동 503-31</t>
        </is>
      </c>
      <c r="AB2402" s="0" t="inlineStr">
        <is>
          <t>서울시</t>
        </is>
      </c>
      <c r="AC2402" s="0" t="inlineStr">
        <is>
          <t>강동구</t>
        </is>
      </c>
      <c r="AD2402" s="0" t="inlineStr">
        <is>
          <t>암사동</t>
        </is>
      </c>
      <c r="AG2402" s="0" t="inlineStr">
        <is>
          <t>서울시 강동구 상암로3길 32</t>
        </is>
      </c>
      <c r="AH2402" s="0" t="n">
        <v>0</v>
      </c>
      <c r="AI2402" s="0" t="n">
        <v>0</v>
      </c>
      <c r="AJ2402" s="0" t="n">
        <v>0</v>
      </c>
      <c r="AK2402" s="0" t="n">
        <v>22</v>
      </c>
      <c r="AL2402" s="0" t="n">
        <v>0.58</v>
      </c>
    </row>
    <row r="2403">
      <c r="A2403" s="0" t="inlineStr">
        <is>
          <t>[암사동]</t>
        </is>
      </c>
      <c r="B2403" s="0" t="n">
        <v>27535</v>
      </c>
      <c r="C2403" s="0" t="n">
        <v>2</v>
      </c>
      <c r="D2403" s="0" t="inlineStr">
        <is>
          <t>대은팰리스뷰</t>
        </is>
      </c>
      <c r="E2403" s="0" t="inlineStr">
        <is>
          <t>2007.03.</t>
        </is>
      </c>
      <c r="F2403" s="0" t="n">
        <v>38</v>
      </c>
      <c r="G2403" s="0" t="n">
        <v>29.09</v>
      </c>
      <c r="H2403" s="0" t="n">
        <v>96.18000000000001</v>
      </c>
      <c r="I2403" s="0" t="n">
        <v>25.68</v>
      </c>
      <c r="J2403" s="0" t="n">
        <v>84.90000000000001</v>
      </c>
      <c r="K2403" s="0" t="n">
        <v>19</v>
      </c>
      <c r="T2403" s="0" t="n">
        <v>3</v>
      </c>
      <c r="U2403" s="0" t="n">
        <v>2</v>
      </c>
      <c r="V2403" s="0" t="inlineStr">
        <is>
          <t>계단식</t>
        </is>
      </c>
      <c r="W2403" s="0" t="inlineStr">
        <is>
          <t>96B</t>
        </is>
      </c>
      <c r="X2403" s="0" t="n">
        <v>10</v>
      </c>
      <c r="Y2403" s="0" t="n">
        <v>10</v>
      </c>
      <c r="Z2403" s="0" t="inlineStr">
        <is>
          <t>https://new.land.naver.com/complexes/27535?tab=detail&amp;rf=Y</t>
        </is>
      </c>
      <c r="AA2403" s="0" t="inlineStr">
        <is>
          <t>서울시 강동구 암사동 503-31</t>
        </is>
      </c>
      <c r="AB2403" s="0" t="inlineStr">
        <is>
          <t>서울시</t>
        </is>
      </c>
      <c r="AC2403" s="0" t="inlineStr">
        <is>
          <t>강동구</t>
        </is>
      </c>
      <c r="AD2403" s="0" t="inlineStr">
        <is>
          <t>암사동</t>
        </is>
      </c>
      <c r="AG2403" s="0" t="inlineStr">
        <is>
          <t>서울시 강동구 상암로3길 32</t>
        </is>
      </c>
      <c r="AH2403" s="0" t="n">
        <v>0</v>
      </c>
      <c r="AI2403" s="0" t="n">
        <v>0</v>
      </c>
      <c r="AJ2403" s="0" t="n">
        <v>0</v>
      </c>
      <c r="AK2403" s="0" t="n">
        <v>22</v>
      </c>
      <c r="AL2403" s="0" t="n">
        <v>0.58</v>
      </c>
    </row>
    <row r="2404">
      <c r="A2404" s="0" t="inlineStr">
        <is>
          <t>[암사동]</t>
        </is>
      </c>
      <c r="B2404" s="0" t="n">
        <v>142320</v>
      </c>
      <c r="C2404" s="0" t="n">
        <v>1</v>
      </c>
      <c r="D2404" s="0" t="inlineStr">
        <is>
          <t>샬롬하우스(도시형)</t>
        </is>
      </c>
      <c r="E2404" s="0" t="inlineStr">
        <is>
          <t>2011.10.</t>
        </is>
      </c>
      <c r="F2404" s="0" t="n">
        <v>18</v>
      </c>
      <c r="G2404" s="0" t="n">
        <v>6.33</v>
      </c>
      <c r="H2404" s="0" t="n">
        <v>20.95</v>
      </c>
      <c r="I2404" s="0" t="n">
        <v>3.72</v>
      </c>
      <c r="J2404" s="0" t="n">
        <v>12.3</v>
      </c>
      <c r="K2404" s="0" t="n">
        <v>18</v>
      </c>
      <c r="T2404" s="0" t="n">
        <v>1</v>
      </c>
      <c r="U2404" s="0" t="n">
        <v>1</v>
      </c>
      <c r="V2404" s="0" t="inlineStr">
        <is>
          <t>계단식</t>
        </is>
      </c>
      <c r="W2404" s="0" t="n">
        <v>20</v>
      </c>
      <c r="X2404" s="0" t="n">
        <v>7</v>
      </c>
      <c r="Y2404" s="0" t="n">
        <v>6</v>
      </c>
      <c r="Z2404" s="0" t="inlineStr">
        <is>
          <t>https://new.land.naver.com/complexes/142320?tab=detail&amp;rf=Y</t>
        </is>
      </c>
      <c r="AA2404" s="0" t="inlineStr">
        <is>
          <t>서울시 강동구 암사동 503-5</t>
        </is>
      </c>
      <c r="AB2404" s="0" t="inlineStr">
        <is>
          <t>서울시</t>
        </is>
      </c>
      <c r="AC2404" s="0" t="inlineStr">
        <is>
          <t>강동구</t>
        </is>
      </c>
      <c r="AD2404" s="0" t="inlineStr">
        <is>
          <t>암사동</t>
        </is>
      </c>
      <c r="AG2404" s="0" t="inlineStr">
        <is>
          <t>서울시 강동구 상암로3길 40</t>
        </is>
      </c>
      <c r="AH2404" s="0" t="n">
        <v>0</v>
      </c>
      <c r="AI2404" s="0" t="n">
        <v>294</v>
      </c>
      <c r="AJ2404" s="0" t="n">
        <v>57</v>
      </c>
      <c r="AK2404" s="0" t="n">
        <v>4</v>
      </c>
      <c r="AL2404" s="0" t="n">
        <v>0.22</v>
      </c>
    </row>
    <row r="2405">
      <c r="A2405" s="0" t="inlineStr">
        <is>
          <t>[암사동]</t>
        </is>
      </c>
      <c r="B2405" s="0" t="n">
        <v>17531</v>
      </c>
      <c r="C2405" s="0" t="n">
        <v>1</v>
      </c>
      <c r="D2405" s="0" t="inlineStr">
        <is>
          <t>암사e-편한세상</t>
        </is>
      </c>
      <c r="E2405" s="0" t="inlineStr">
        <is>
          <t>2005.10.</t>
        </is>
      </c>
      <c r="F2405" s="0" t="n">
        <v>131</v>
      </c>
      <c r="G2405" s="0" t="n">
        <v>32.1</v>
      </c>
      <c r="H2405" s="0" t="n">
        <v>106.12</v>
      </c>
      <c r="I2405" s="0" t="n">
        <v>25.7</v>
      </c>
      <c r="J2405" s="0" t="n">
        <v>84.98</v>
      </c>
      <c r="K2405" s="0" t="n">
        <v>68</v>
      </c>
      <c r="T2405" s="0" t="n">
        <v>3</v>
      </c>
      <c r="U2405" s="0" t="n">
        <v>2</v>
      </c>
      <c r="V2405" s="0" t="inlineStr">
        <is>
          <t>계단식</t>
        </is>
      </c>
      <c r="W2405" s="0" t="inlineStr">
        <is>
          <t>106B12</t>
        </is>
      </c>
      <c r="X2405" s="0" t="n">
        <v>13</v>
      </c>
      <c r="Y2405" s="0" t="n">
        <v>6</v>
      </c>
      <c r="Z2405" s="0" t="inlineStr">
        <is>
          <t>https://new.land.naver.com/complexes/17531?tab=detail&amp;rf=Y</t>
        </is>
      </c>
      <c r="AA2405" s="0" t="inlineStr">
        <is>
          <t>서울시 강동구 암사동 422-26</t>
        </is>
      </c>
      <c r="AB2405" s="0" t="inlineStr">
        <is>
          <t>서울시</t>
        </is>
      </c>
      <c r="AC2405" s="0" t="inlineStr">
        <is>
          <t>강동구</t>
        </is>
      </c>
      <c r="AD2405" s="0" t="inlineStr">
        <is>
          <t>암사동</t>
        </is>
      </c>
      <c r="AG2405" s="0" t="inlineStr">
        <is>
          <t>서울시 강동구 구천면로 365-13</t>
        </is>
      </c>
      <c r="AH2405" s="0" t="n">
        <v>0</v>
      </c>
      <c r="AI2405" s="0" t="n">
        <v>248</v>
      </c>
      <c r="AJ2405" s="0" t="n">
        <v>27</v>
      </c>
      <c r="AK2405" s="0" t="n">
        <v>149</v>
      </c>
      <c r="AL2405" s="0" t="n">
        <v>1.14</v>
      </c>
    </row>
    <row r="2406">
      <c r="A2406" s="0" t="inlineStr">
        <is>
          <t>[암사동]</t>
        </is>
      </c>
      <c r="B2406" s="0" t="n">
        <v>17531</v>
      </c>
      <c r="C2406" s="0" t="n">
        <v>2</v>
      </c>
      <c r="D2406" s="0" t="inlineStr">
        <is>
          <t>암사e-편한세상</t>
        </is>
      </c>
      <c r="E2406" s="0" t="inlineStr">
        <is>
          <t>2005.10.</t>
        </is>
      </c>
      <c r="F2406" s="0" t="n">
        <v>131</v>
      </c>
      <c r="G2406" s="0" t="n">
        <v>32.09</v>
      </c>
      <c r="H2406" s="0" t="n">
        <v>106.1</v>
      </c>
      <c r="I2406" s="0" t="n">
        <v>25.7</v>
      </c>
      <c r="J2406" s="0" t="n">
        <v>84.95999999999999</v>
      </c>
      <c r="K2406" s="0" t="n">
        <v>29</v>
      </c>
      <c r="T2406" s="0" t="n">
        <v>3</v>
      </c>
      <c r="U2406" s="0" t="n">
        <v>2</v>
      </c>
      <c r="V2406" s="0" t="inlineStr">
        <is>
          <t>계단식</t>
        </is>
      </c>
      <c r="W2406" s="0" t="inlineStr">
        <is>
          <t>106A12</t>
        </is>
      </c>
      <c r="X2406" s="0" t="n">
        <v>13</v>
      </c>
      <c r="Y2406" s="0" t="n">
        <v>6</v>
      </c>
      <c r="Z2406" s="0" t="inlineStr">
        <is>
          <t>https://new.land.naver.com/complexes/17531?tab=detail&amp;rf=Y</t>
        </is>
      </c>
      <c r="AA2406" s="0" t="inlineStr">
        <is>
          <t>서울시 강동구 암사동 422-26</t>
        </is>
      </c>
      <c r="AB2406" s="0" t="inlineStr">
        <is>
          <t>서울시</t>
        </is>
      </c>
      <c r="AC2406" s="0" t="inlineStr">
        <is>
          <t>강동구</t>
        </is>
      </c>
      <c r="AD2406" s="0" t="inlineStr">
        <is>
          <t>암사동</t>
        </is>
      </c>
      <c r="AG2406" s="0" t="inlineStr">
        <is>
          <t>서울시 강동구 구천면로 365-13</t>
        </is>
      </c>
      <c r="AH2406" s="0" t="n">
        <v>0</v>
      </c>
      <c r="AI2406" s="0" t="n">
        <v>248</v>
      </c>
      <c r="AJ2406" s="0" t="n">
        <v>27</v>
      </c>
      <c r="AK2406" s="0" t="n">
        <v>149</v>
      </c>
      <c r="AL2406" s="0" t="n">
        <v>1.14</v>
      </c>
    </row>
    <row r="2407">
      <c r="A2407" s="0" t="inlineStr">
        <is>
          <t>[암사동]</t>
        </is>
      </c>
      <c r="B2407" s="0" t="n">
        <v>17531</v>
      </c>
      <c r="C2407" s="0" t="n">
        <v>3</v>
      </c>
      <c r="D2407" s="0" t="inlineStr">
        <is>
          <t>암사e-편한세상</t>
        </is>
      </c>
      <c r="E2407" s="0" t="inlineStr">
        <is>
          <t>2005.10.</t>
        </is>
      </c>
      <c r="F2407" s="0" t="n">
        <v>131</v>
      </c>
      <c r="G2407" s="0" t="n">
        <v>32.09</v>
      </c>
      <c r="H2407" s="0" t="n">
        <v>106.1</v>
      </c>
      <c r="I2407" s="0" t="n">
        <v>25.7</v>
      </c>
      <c r="J2407" s="0" t="n">
        <v>84.95999999999999</v>
      </c>
      <c r="K2407" s="0" t="n">
        <v>21</v>
      </c>
      <c r="T2407" s="0" t="n">
        <v>3</v>
      </c>
      <c r="U2407" s="0" t="n">
        <v>2</v>
      </c>
      <c r="V2407" s="0" t="inlineStr">
        <is>
          <t>계단식</t>
        </is>
      </c>
      <c r="W2407" s="0" t="inlineStr">
        <is>
          <t>106A34</t>
        </is>
      </c>
      <c r="X2407" s="0" t="n">
        <v>13</v>
      </c>
      <c r="Y2407" s="0" t="n">
        <v>6</v>
      </c>
      <c r="Z2407" s="0" t="inlineStr">
        <is>
          <t>https://new.land.naver.com/complexes/17531?tab=detail&amp;rf=Y</t>
        </is>
      </c>
      <c r="AA2407" s="0" t="inlineStr">
        <is>
          <t>서울시 강동구 암사동 422-26</t>
        </is>
      </c>
      <c r="AB2407" s="0" t="inlineStr">
        <is>
          <t>서울시</t>
        </is>
      </c>
      <c r="AC2407" s="0" t="inlineStr">
        <is>
          <t>강동구</t>
        </is>
      </c>
      <c r="AD2407" s="0" t="inlineStr">
        <is>
          <t>암사동</t>
        </is>
      </c>
      <c r="AG2407" s="0" t="inlineStr">
        <is>
          <t>서울시 강동구 구천면로 365-13</t>
        </is>
      </c>
      <c r="AH2407" s="0" t="n">
        <v>0</v>
      </c>
      <c r="AI2407" s="0" t="n">
        <v>248</v>
      </c>
      <c r="AJ2407" s="0" t="n">
        <v>27</v>
      </c>
      <c r="AK2407" s="0" t="n">
        <v>149</v>
      </c>
      <c r="AL2407" s="0" t="n">
        <v>1.14</v>
      </c>
    </row>
    <row r="2408">
      <c r="A2408" s="0" t="inlineStr">
        <is>
          <t>[암사동]</t>
        </is>
      </c>
      <c r="B2408" s="0" t="n">
        <v>17531</v>
      </c>
      <c r="C2408" s="0" t="n">
        <v>4</v>
      </c>
      <c r="D2408" s="0" t="inlineStr">
        <is>
          <t>암사e-편한세상</t>
        </is>
      </c>
      <c r="E2408" s="0" t="inlineStr">
        <is>
          <t>2005.10.</t>
        </is>
      </c>
      <c r="F2408" s="0" t="n">
        <v>131</v>
      </c>
      <c r="G2408" s="0" t="n">
        <v>32.08</v>
      </c>
      <c r="H2408" s="0" t="n">
        <v>106.07</v>
      </c>
      <c r="I2408" s="0" t="n">
        <v>25.69</v>
      </c>
      <c r="J2408" s="0" t="n">
        <v>84.94</v>
      </c>
      <c r="K2408" s="0" t="n">
        <v>12</v>
      </c>
      <c r="T2408" s="0" t="n">
        <v>3</v>
      </c>
      <c r="U2408" s="0" t="n">
        <v>2</v>
      </c>
      <c r="V2408" s="0" t="inlineStr">
        <is>
          <t>계단식</t>
        </is>
      </c>
      <c r="W2408" s="0" t="inlineStr">
        <is>
          <t>106C</t>
        </is>
      </c>
      <c r="X2408" s="0" t="n">
        <v>13</v>
      </c>
      <c r="Y2408" s="0" t="n">
        <v>6</v>
      </c>
      <c r="Z2408" s="0" t="inlineStr">
        <is>
          <t>https://new.land.naver.com/complexes/17531?tab=detail&amp;rf=Y</t>
        </is>
      </c>
      <c r="AA2408" s="0" t="inlineStr">
        <is>
          <t>서울시 강동구 암사동 422-26</t>
        </is>
      </c>
      <c r="AB2408" s="0" t="inlineStr">
        <is>
          <t>서울시</t>
        </is>
      </c>
      <c r="AC2408" s="0" t="inlineStr">
        <is>
          <t>강동구</t>
        </is>
      </c>
      <c r="AD2408" s="0" t="inlineStr">
        <is>
          <t>암사동</t>
        </is>
      </c>
      <c r="AG2408" s="0" t="inlineStr">
        <is>
          <t>서울시 강동구 구천면로 365-13</t>
        </is>
      </c>
      <c r="AH2408" s="0" t="n">
        <v>0</v>
      </c>
      <c r="AI2408" s="0" t="n">
        <v>248</v>
      </c>
      <c r="AJ2408" s="0" t="n">
        <v>27</v>
      </c>
      <c r="AK2408" s="0" t="n">
        <v>149</v>
      </c>
      <c r="AL2408" s="0" t="n">
        <v>1.14</v>
      </c>
    </row>
    <row r="2409">
      <c r="A2409" s="0" t="inlineStr">
        <is>
          <t>[암사동]</t>
        </is>
      </c>
      <c r="B2409" s="0" t="n">
        <v>17531</v>
      </c>
      <c r="C2409" s="0" t="n">
        <v>5</v>
      </c>
      <c r="D2409" s="0" t="inlineStr">
        <is>
          <t>암사e-편한세상</t>
        </is>
      </c>
      <c r="E2409" s="0" t="inlineStr">
        <is>
          <t>2005.10.</t>
        </is>
      </c>
      <c r="F2409" s="0" t="n">
        <v>131</v>
      </c>
      <c r="G2409" s="0" t="n">
        <v>32.16</v>
      </c>
      <c r="H2409" s="0" t="n">
        <v>106.33</v>
      </c>
      <c r="I2409" s="0" t="n">
        <v>25.69</v>
      </c>
      <c r="J2409" s="0" t="n">
        <v>84.94</v>
      </c>
      <c r="K2409" s="0" t="n">
        <v>1</v>
      </c>
      <c r="T2409" s="0" t="n">
        <v>3</v>
      </c>
      <c r="U2409" s="0" t="n">
        <v>2</v>
      </c>
      <c r="V2409" s="0" t="inlineStr">
        <is>
          <t>계단식</t>
        </is>
      </c>
      <c r="W2409" s="0" t="inlineStr">
        <is>
          <t>106A4</t>
        </is>
      </c>
      <c r="X2409" s="0" t="n">
        <v>13</v>
      </c>
      <c r="Y2409" s="0" t="n">
        <v>6</v>
      </c>
      <c r="Z2409" s="0" t="inlineStr">
        <is>
          <t>https://new.land.naver.com/complexes/17531?tab=detail&amp;rf=Y</t>
        </is>
      </c>
      <c r="AA2409" s="0" t="inlineStr">
        <is>
          <t>서울시 강동구 암사동 422-26</t>
        </is>
      </c>
      <c r="AB2409" s="0" t="inlineStr">
        <is>
          <t>서울시</t>
        </is>
      </c>
      <c r="AC2409" s="0" t="inlineStr">
        <is>
          <t>강동구</t>
        </is>
      </c>
      <c r="AD2409" s="0" t="inlineStr">
        <is>
          <t>암사동</t>
        </is>
      </c>
      <c r="AG2409" s="0" t="inlineStr">
        <is>
          <t>서울시 강동구 구천면로 365-13</t>
        </is>
      </c>
      <c r="AH2409" s="0" t="n">
        <v>0</v>
      </c>
      <c r="AI2409" s="0" t="n">
        <v>248</v>
      </c>
      <c r="AJ2409" s="0" t="n">
        <v>27</v>
      </c>
      <c r="AK2409" s="0" t="n">
        <v>149</v>
      </c>
      <c r="AL2409" s="0" t="n">
        <v>1.14</v>
      </c>
    </row>
    <row r="2410">
      <c r="A2410" s="0" t="inlineStr">
        <is>
          <t>[암사동]</t>
        </is>
      </c>
      <c r="B2410" s="0" t="n">
        <v>104312</v>
      </c>
      <c r="C2410" s="0" t="n">
        <v>1</v>
      </c>
      <c r="D2410" s="0" t="inlineStr">
        <is>
          <t>현진빌리지(513-43,도시형)</t>
        </is>
      </c>
      <c r="E2410" s="0" t="inlineStr">
        <is>
          <t>2011.12.</t>
        </is>
      </c>
      <c r="F2410" s="0" t="n">
        <v>8</v>
      </c>
      <c r="G2410" s="0" t="n">
        <v>8.84</v>
      </c>
      <c r="H2410" s="0" t="n">
        <v>29.24</v>
      </c>
      <c r="I2410" s="0" t="n">
        <v>5.98</v>
      </c>
      <c r="J2410" s="0" t="n">
        <v>19.8</v>
      </c>
      <c r="K2410" s="0" t="n">
        <v>4</v>
      </c>
      <c r="T2410" s="0" t="n">
        <v>1</v>
      </c>
      <c r="U2410" s="0" t="n">
        <v>1</v>
      </c>
      <c r="V2410" s="0" t="inlineStr">
        <is>
          <t>복도식</t>
        </is>
      </c>
      <c r="W2410" s="0" t="n">
        <v>29</v>
      </c>
      <c r="X2410" s="0" t="n">
        <v>7</v>
      </c>
      <c r="Y2410" s="0" t="n">
        <v>7</v>
      </c>
      <c r="Z2410" s="0" t="inlineStr">
        <is>
          <t>https://new.land.naver.com/complexes/104312?tab=detail&amp;rf=Y</t>
        </is>
      </c>
      <c r="AA2410" s="0" t="inlineStr">
        <is>
          <t>서울시 강동구 암사동 513-43</t>
        </is>
      </c>
      <c r="AB2410" s="0" t="inlineStr">
        <is>
          <t>서울시</t>
        </is>
      </c>
      <c r="AC2410" s="0" t="inlineStr">
        <is>
          <t>강동구</t>
        </is>
      </c>
      <c r="AD2410" s="0" t="inlineStr">
        <is>
          <t>암사동</t>
        </is>
      </c>
      <c r="AG2410" s="0" t="inlineStr">
        <is>
          <t>서울시 강동구 상암로6길 46</t>
        </is>
      </c>
      <c r="AH2410" s="0" t="n">
        <v>0</v>
      </c>
      <c r="AI2410" s="0" t="n">
        <v>315</v>
      </c>
      <c r="AJ2410" s="0" t="n">
        <v>59</v>
      </c>
      <c r="AK2410" s="0" t="n">
        <v>3</v>
      </c>
      <c r="AL2410" s="0" t="n">
        <v>0.38</v>
      </c>
    </row>
    <row r="2411">
      <c r="A2411" s="0" t="inlineStr">
        <is>
          <t>[암사동]</t>
        </is>
      </c>
      <c r="B2411" s="0" t="n">
        <v>104312</v>
      </c>
      <c r="C2411" s="0" t="n">
        <v>2</v>
      </c>
      <c r="D2411" s="0" t="inlineStr">
        <is>
          <t>현진빌리지(513-43,도시형)</t>
        </is>
      </c>
      <c r="E2411" s="0" t="inlineStr">
        <is>
          <t>2011.12.</t>
        </is>
      </c>
      <c r="F2411" s="0" t="n">
        <v>8</v>
      </c>
      <c r="G2411" s="0" t="n">
        <v>9.539999999999999</v>
      </c>
      <c r="H2411" s="0" t="n">
        <v>31.55</v>
      </c>
      <c r="I2411" s="0" t="n">
        <v>7.14</v>
      </c>
      <c r="J2411" s="0" t="n">
        <v>23.63</v>
      </c>
      <c r="K2411" s="0" t="n">
        <v>1</v>
      </c>
      <c r="T2411" s="0" t="n">
        <v>1</v>
      </c>
      <c r="U2411" s="0" t="n">
        <v>1</v>
      </c>
      <c r="V2411" s="0" t="inlineStr">
        <is>
          <t>복도식</t>
        </is>
      </c>
      <c r="W2411" s="0" t="n">
        <v>31</v>
      </c>
      <c r="X2411" s="0" t="n">
        <v>7</v>
      </c>
      <c r="Y2411" s="0" t="n">
        <v>7</v>
      </c>
      <c r="Z2411" s="0" t="inlineStr">
        <is>
          <t>https://new.land.naver.com/complexes/104312?tab=detail&amp;rf=Y</t>
        </is>
      </c>
      <c r="AA2411" s="0" t="inlineStr">
        <is>
          <t>서울시 강동구 암사동 513-43</t>
        </is>
      </c>
      <c r="AB2411" s="0" t="inlineStr">
        <is>
          <t>서울시</t>
        </is>
      </c>
      <c r="AC2411" s="0" t="inlineStr">
        <is>
          <t>강동구</t>
        </is>
      </c>
      <c r="AD2411" s="0" t="inlineStr">
        <is>
          <t>암사동</t>
        </is>
      </c>
      <c r="AG2411" s="0" t="inlineStr">
        <is>
          <t>서울시 강동구 상암로6길 46</t>
        </is>
      </c>
      <c r="AH2411" s="0" t="n">
        <v>0</v>
      </c>
      <c r="AI2411" s="0" t="n">
        <v>315</v>
      </c>
      <c r="AJ2411" s="0" t="n">
        <v>59</v>
      </c>
      <c r="AK2411" s="0" t="n">
        <v>3</v>
      </c>
      <c r="AL2411" s="0" t="n">
        <v>0.38</v>
      </c>
    </row>
    <row r="2412">
      <c r="A2412" s="0" t="inlineStr">
        <is>
          <t>[암사동]</t>
        </is>
      </c>
      <c r="B2412" s="0" t="n">
        <v>104312</v>
      </c>
      <c r="C2412" s="0" t="n">
        <v>3</v>
      </c>
      <c r="D2412" s="0" t="inlineStr">
        <is>
          <t>현진빌리지(513-43,도시형)</t>
        </is>
      </c>
      <c r="E2412" s="0" t="inlineStr">
        <is>
          <t>2011.12.</t>
        </is>
      </c>
      <c r="F2412" s="0" t="n">
        <v>8</v>
      </c>
      <c r="G2412" s="0" t="n">
        <v>10.51</v>
      </c>
      <c r="H2412" s="0" t="n">
        <v>34.76</v>
      </c>
      <c r="I2412" s="0" t="n">
        <v>7.7</v>
      </c>
      <c r="J2412" s="0" t="n">
        <v>25.48</v>
      </c>
      <c r="K2412" s="0" t="n">
        <v>1</v>
      </c>
      <c r="T2412" s="0" t="n">
        <v>1</v>
      </c>
      <c r="U2412" s="0" t="n">
        <v>1</v>
      </c>
      <c r="V2412" s="0" t="inlineStr">
        <is>
          <t>복도식</t>
        </is>
      </c>
      <c r="W2412" s="0" t="n">
        <v>34</v>
      </c>
      <c r="X2412" s="0" t="n">
        <v>7</v>
      </c>
      <c r="Y2412" s="0" t="n">
        <v>7</v>
      </c>
      <c r="Z2412" s="0" t="inlineStr">
        <is>
          <t>https://new.land.naver.com/complexes/104312?tab=detail&amp;rf=Y</t>
        </is>
      </c>
      <c r="AA2412" s="0" t="inlineStr">
        <is>
          <t>서울시 강동구 암사동 513-43</t>
        </is>
      </c>
      <c r="AB2412" s="0" t="inlineStr">
        <is>
          <t>서울시</t>
        </is>
      </c>
      <c r="AC2412" s="0" t="inlineStr">
        <is>
          <t>강동구</t>
        </is>
      </c>
      <c r="AD2412" s="0" t="inlineStr">
        <is>
          <t>암사동</t>
        </is>
      </c>
      <c r="AG2412" s="0" t="inlineStr">
        <is>
          <t>서울시 강동구 상암로6길 46</t>
        </is>
      </c>
      <c r="AH2412" s="0" t="n">
        <v>0</v>
      </c>
      <c r="AI2412" s="0" t="n">
        <v>315</v>
      </c>
      <c r="AJ2412" s="0" t="n">
        <v>59</v>
      </c>
      <c r="AK2412" s="0" t="n">
        <v>3</v>
      </c>
      <c r="AL2412" s="0" t="n">
        <v>0.38</v>
      </c>
    </row>
    <row r="2413">
      <c r="A2413" s="0" t="inlineStr">
        <is>
          <t>[암사동]</t>
        </is>
      </c>
      <c r="B2413" s="0" t="n">
        <v>104312</v>
      </c>
      <c r="C2413" s="0" t="n">
        <v>4</v>
      </c>
      <c r="D2413" s="0" t="inlineStr">
        <is>
          <t>현진빌리지(513-43,도시형)</t>
        </is>
      </c>
      <c r="E2413" s="0" t="inlineStr">
        <is>
          <t>2011.12.</t>
        </is>
      </c>
      <c r="F2413" s="0" t="n">
        <v>8</v>
      </c>
      <c r="G2413" s="0" t="n">
        <v>13.89</v>
      </c>
      <c r="H2413" s="0" t="n">
        <v>45.95</v>
      </c>
      <c r="I2413" s="0" t="n">
        <v>9.41</v>
      </c>
      <c r="J2413" s="0" t="n">
        <v>31.12</v>
      </c>
      <c r="K2413" s="0" t="n">
        <v>1</v>
      </c>
      <c r="T2413" s="0" t="n">
        <v>1</v>
      </c>
      <c r="U2413" s="0" t="n">
        <v>1</v>
      </c>
      <c r="V2413" s="0" t="inlineStr">
        <is>
          <t>복도식</t>
        </is>
      </c>
      <c r="W2413" s="0" t="n">
        <v>45</v>
      </c>
      <c r="X2413" s="0" t="n">
        <v>7</v>
      </c>
      <c r="Y2413" s="0" t="n">
        <v>7</v>
      </c>
      <c r="Z2413" s="0" t="inlineStr">
        <is>
          <t>https://new.land.naver.com/complexes/104312?tab=detail&amp;rf=Y</t>
        </is>
      </c>
      <c r="AA2413" s="0" t="inlineStr">
        <is>
          <t>서울시 강동구 암사동 513-43</t>
        </is>
      </c>
      <c r="AB2413" s="0" t="inlineStr">
        <is>
          <t>서울시</t>
        </is>
      </c>
      <c r="AC2413" s="0" t="inlineStr">
        <is>
          <t>강동구</t>
        </is>
      </c>
      <c r="AD2413" s="0" t="inlineStr">
        <is>
          <t>암사동</t>
        </is>
      </c>
      <c r="AG2413" s="0" t="inlineStr">
        <is>
          <t>서울시 강동구 상암로6길 46</t>
        </is>
      </c>
      <c r="AH2413" s="0" t="n">
        <v>0</v>
      </c>
      <c r="AI2413" s="0" t="n">
        <v>315</v>
      </c>
      <c r="AJ2413" s="0" t="n">
        <v>59</v>
      </c>
      <c r="AK2413" s="0" t="n">
        <v>3</v>
      </c>
      <c r="AL2413" s="0" t="n">
        <v>0.38</v>
      </c>
    </row>
    <row r="2414">
      <c r="A2414" s="0" t="inlineStr">
        <is>
          <t>[암사동]</t>
        </is>
      </c>
      <c r="B2414" s="0" t="n">
        <v>104312</v>
      </c>
      <c r="C2414" s="0" t="n">
        <v>5</v>
      </c>
      <c r="D2414" s="0" t="inlineStr">
        <is>
          <t>현진빌리지(513-43,도시형)</t>
        </is>
      </c>
      <c r="E2414" s="0" t="inlineStr">
        <is>
          <t>2011.12.</t>
        </is>
      </c>
      <c r="F2414" s="0" t="n">
        <v>8</v>
      </c>
      <c r="G2414" s="0" t="n">
        <v>15.56</v>
      </c>
      <c r="H2414" s="0" t="n">
        <v>51.47</v>
      </c>
      <c r="I2414" s="0" t="n">
        <v>11.22</v>
      </c>
      <c r="J2414" s="0" t="n">
        <v>37.12</v>
      </c>
      <c r="K2414" s="0" t="n">
        <v>1</v>
      </c>
      <c r="T2414" s="0" t="n">
        <v>1</v>
      </c>
      <c r="U2414" s="0" t="n">
        <v>1</v>
      </c>
      <c r="V2414" s="0" t="inlineStr">
        <is>
          <t>복도식</t>
        </is>
      </c>
      <c r="W2414" s="0" t="n">
        <v>51</v>
      </c>
      <c r="X2414" s="0" t="n">
        <v>7</v>
      </c>
      <c r="Y2414" s="0" t="n">
        <v>7</v>
      </c>
      <c r="Z2414" s="0" t="inlineStr">
        <is>
          <t>https://new.land.naver.com/complexes/104312?tab=detail&amp;rf=Y</t>
        </is>
      </c>
      <c r="AA2414" s="0" t="inlineStr">
        <is>
          <t>서울시 강동구 암사동 513-43</t>
        </is>
      </c>
      <c r="AB2414" s="0" t="inlineStr">
        <is>
          <t>서울시</t>
        </is>
      </c>
      <c r="AC2414" s="0" t="inlineStr">
        <is>
          <t>강동구</t>
        </is>
      </c>
      <c r="AD2414" s="0" t="inlineStr">
        <is>
          <t>암사동</t>
        </is>
      </c>
      <c r="AG2414" s="0" t="inlineStr">
        <is>
          <t>서울시 강동구 상암로6길 46</t>
        </is>
      </c>
      <c r="AH2414" s="0" t="n">
        <v>0</v>
      </c>
      <c r="AI2414" s="0" t="n">
        <v>315</v>
      </c>
      <c r="AJ2414" s="0" t="n">
        <v>59</v>
      </c>
      <c r="AK2414" s="0" t="n">
        <v>3</v>
      </c>
      <c r="AL2414" s="0" t="n">
        <v>0.38</v>
      </c>
    </row>
    <row r="2415">
      <c r="A2415" s="0" t="inlineStr">
        <is>
          <t>[암사동]</t>
        </is>
      </c>
      <c r="B2415" s="0" t="n">
        <v>24641</v>
      </c>
      <c r="C2415" s="0" t="n">
        <v>1</v>
      </c>
      <c r="D2415" s="0" t="inlineStr">
        <is>
          <t>SM해그린</t>
        </is>
      </c>
      <c r="E2415" s="0" t="inlineStr">
        <is>
          <t>2004.12.</t>
        </is>
      </c>
      <c r="F2415" s="0" t="n">
        <v>45</v>
      </c>
      <c r="G2415" s="0" t="n">
        <v>27.71</v>
      </c>
      <c r="H2415" s="0" t="n">
        <v>91.63</v>
      </c>
      <c r="I2415" s="0" t="n">
        <v>23.07</v>
      </c>
      <c r="J2415" s="0" t="n">
        <v>76.27</v>
      </c>
      <c r="K2415" s="0" t="n">
        <v>2</v>
      </c>
      <c r="T2415" s="0" t="n">
        <v>3</v>
      </c>
      <c r="U2415" s="0" t="n">
        <v>2</v>
      </c>
      <c r="V2415" s="0" t="inlineStr">
        <is>
          <t>계단식</t>
        </is>
      </c>
      <c r="W2415" s="0" t="inlineStr">
        <is>
          <t>91B</t>
        </is>
      </c>
      <c r="X2415" s="0" t="n">
        <v>10</v>
      </c>
      <c r="Y2415" s="0" t="n">
        <v>10</v>
      </c>
      <c r="Z2415" s="0" t="inlineStr">
        <is>
          <t>https://new.land.naver.com/complexes/24641?tab=detail&amp;rf=Y</t>
        </is>
      </c>
      <c r="AA2415" s="0" t="inlineStr">
        <is>
          <t>서울시 강동구 암사동 472-18</t>
        </is>
      </c>
      <c r="AB2415" s="0" t="inlineStr">
        <is>
          <t>서울시</t>
        </is>
      </c>
      <c r="AC2415" s="0" t="inlineStr">
        <is>
          <t>강동구</t>
        </is>
      </c>
      <c r="AD2415" s="0" t="inlineStr">
        <is>
          <t>암사동</t>
        </is>
      </c>
      <c r="AG2415" s="0" t="inlineStr">
        <is>
          <t>서울시 강동구 암사길 35</t>
        </is>
      </c>
      <c r="AH2415" s="0" t="n">
        <v>0</v>
      </c>
      <c r="AI2415" s="0" t="n">
        <v>249</v>
      </c>
      <c r="AJ2415" s="0" t="n">
        <v>32</v>
      </c>
      <c r="AK2415" s="0" t="n">
        <v>54</v>
      </c>
      <c r="AL2415" s="0" t="n">
        <v>1.2</v>
      </c>
    </row>
    <row r="2416">
      <c r="A2416" s="0" t="inlineStr">
        <is>
          <t>[암사동]</t>
        </is>
      </c>
      <c r="B2416" s="0" t="n">
        <v>24641</v>
      </c>
      <c r="C2416" s="0" t="n">
        <v>2</v>
      </c>
      <c r="D2416" s="0" t="inlineStr">
        <is>
          <t>SM해그린</t>
        </is>
      </c>
      <c r="E2416" s="0" t="inlineStr">
        <is>
          <t>2004.12.</t>
        </is>
      </c>
      <c r="F2416" s="0" t="n">
        <v>45</v>
      </c>
      <c r="G2416" s="0" t="n">
        <v>27.88</v>
      </c>
      <c r="H2416" s="0" t="n">
        <v>92.19</v>
      </c>
      <c r="I2416" s="0" t="n">
        <v>23.04</v>
      </c>
      <c r="J2416" s="0" t="n">
        <v>76.19</v>
      </c>
      <c r="K2416" s="0" t="n">
        <v>1</v>
      </c>
      <c r="T2416" s="0" t="n">
        <v>3</v>
      </c>
      <c r="U2416" s="0" t="n">
        <v>1</v>
      </c>
      <c r="V2416" s="0" t="inlineStr">
        <is>
          <t>계단식</t>
        </is>
      </c>
      <c r="W2416" s="0" t="inlineStr">
        <is>
          <t>92A</t>
        </is>
      </c>
      <c r="X2416" s="0" t="n">
        <v>10</v>
      </c>
      <c r="Y2416" s="0" t="n">
        <v>10</v>
      </c>
      <c r="Z2416" s="0" t="inlineStr">
        <is>
          <t>https://new.land.naver.com/complexes/24641?tab=detail&amp;rf=Y</t>
        </is>
      </c>
      <c r="AA2416" s="0" t="inlineStr">
        <is>
          <t>서울시 강동구 암사동 472-18</t>
        </is>
      </c>
      <c r="AB2416" s="0" t="inlineStr">
        <is>
          <t>서울시</t>
        </is>
      </c>
      <c r="AC2416" s="0" t="inlineStr">
        <is>
          <t>강동구</t>
        </is>
      </c>
      <c r="AD2416" s="0" t="inlineStr">
        <is>
          <t>암사동</t>
        </is>
      </c>
      <c r="AG2416" s="0" t="inlineStr">
        <is>
          <t>서울시 강동구 암사길 35</t>
        </is>
      </c>
      <c r="AH2416" s="0" t="n">
        <v>0</v>
      </c>
      <c r="AI2416" s="0" t="n">
        <v>249</v>
      </c>
      <c r="AJ2416" s="0" t="n">
        <v>32</v>
      </c>
      <c r="AK2416" s="0" t="n">
        <v>54</v>
      </c>
      <c r="AL2416" s="0" t="n">
        <v>1.2</v>
      </c>
    </row>
    <row r="2417">
      <c r="A2417" s="0" t="inlineStr">
        <is>
          <t>[암사동]</t>
        </is>
      </c>
      <c r="B2417" s="0" t="n">
        <v>24641</v>
      </c>
      <c r="C2417" s="0" t="n">
        <v>3</v>
      </c>
      <c r="D2417" s="0" t="inlineStr">
        <is>
          <t>SM해그린</t>
        </is>
      </c>
      <c r="E2417" s="0" t="inlineStr">
        <is>
          <t>2004.12.</t>
        </is>
      </c>
      <c r="F2417" s="0" t="n">
        <v>45</v>
      </c>
      <c r="G2417" s="0" t="n">
        <v>29.56</v>
      </c>
      <c r="H2417" s="0" t="n">
        <v>97.72</v>
      </c>
      <c r="I2417" s="0" t="n">
        <v>24.53</v>
      </c>
      <c r="J2417" s="0" t="n">
        <v>81.11</v>
      </c>
      <c r="K2417" s="0" t="n">
        <v>2</v>
      </c>
      <c r="T2417" s="0" t="n">
        <v>3</v>
      </c>
      <c r="U2417" s="0" t="n">
        <v>2</v>
      </c>
      <c r="V2417" s="0" t="inlineStr">
        <is>
          <t>계단식</t>
        </is>
      </c>
      <c r="W2417" s="0" t="inlineStr">
        <is>
          <t>97A</t>
        </is>
      </c>
      <c r="X2417" s="0" t="n">
        <v>10</v>
      </c>
      <c r="Y2417" s="0" t="n">
        <v>10</v>
      </c>
      <c r="Z2417" s="0" t="inlineStr">
        <is>
          <t>https://new.land.naver.com/complexes/24641?tab=detail&amp;rf=Y</t>
        </is>
      </c>
      <c r="AA2417" s="0" t="inlineStr">
        <is>
          <t>서울시 강동구 암사동 472-18</t>
        </is>
      </c>
      <c r="AB2417" s="0" t="inlineStr">
        <is>
          <t>서울시</t>
        </is>
      </c>
      <c r="AC2417" s="0" t="inlineStr">
        <is>
          <t>강동구</t>
        </is>
      </c>
      <c r="AD2417" s="0" t="inlineStr">
        <is>
          <t>암사동</t>
        </is>
      </c>
      <c r="AG2417" s="0" t="inlineStr">
        <is>
          <t>서울시 강동구 암사길 35</t>
        </is>
      </c>
      <c r="AH2417" s="0" t="n">
        <v>0</v>
      </c>
      <c r="AI2417" s="0" t="n">
        <v>249</v>
      </c>
      <c r="AJ2417" s="0" t="n">
        <v>32</v>
      </c>
      <c r="AK2417" s="0" t="n">
        <v>54</v>
      </c>
      <c r="AL2417" s="0" t="n">
        <v>1.2</v>
      </c>
    </row>
    <row r="2418">
      <c r="A2418" s="0" t="inlineStr">
        <is>
          <t>[암사동]</t>
        </is>
      </c>
      <c r="B2418" s="0" t="n">
        <v>24641</v>
      </c>
      <c r="C2418" s="0" t="n">
        <v>4</v>
      </c>
      <c r="D2418" s="0" t="inlineStr">
        <is>
          <t>SM해그린</t>
        </is>
      </c>
      <c r="E2418" s="0" t="inlineStr">
        <is>
          <t>2004.12.</t>
        </is>
      </c>
      <c r="F2418" s="0" t="n">
        <v>45</v>
      </c>
      <c r="G2418" s="0" t="n">
        <v>29.75</v>
      </c>
      <c r="H2418" s="0" t="n">
        <v>98.37</v>
      </c>
      <c r="I2418" s="0" t="n">
        <v>24.82</v>
      </c>
      <c r="J2418" s="0" t="n">
        <v>82.08</v>
      </c>
      <c r="K2418" s="0" t="n">
        <v>2</v>
      </c>
      <c r="T2418" s="0" t="n">
        <v>3</v>
      </c>
      <c r="U2418" s="0" t="n">
        <v>2</v>
      </c>
      <c r="V2418" s="0" t="inlineStr">
        <is>
          <t>계단식</t>
        </is>
      </c>
      <c r="W2418" s="0" t="inlineStr">
        <is>
          <t>98B</t>
        </is>
      </c>
      <c r="X2418" s="0" t="n">
        <v>10</v>
      </c>
      <c r="Y2418" s="0" t="n">
        <v>10</v>
      </c>
      <c r="Z2418" s="0" t="inlineStr">
        <is>
          <t>https://new.land.naver.com/complexes/24641?tab=detail&amp;rf=Y</t>
        </is>
      </c>
      <c r="AA2418" s="0" t="inlineStr">
        <is>
          <t>서울시 강동구 암사동 472-18</t>
        </is>
      </c>
      <c r="AB2418" s="0" t="inlineStr">
        <is>
          <t>서울시</t>
        </is>
      </c>
      <c r="AC2418" s="0" t="inlineStr">
        <is>
          <t>강동구</t>
        </is>
      </c>
      <c r="AD2418" s="0" t="inlineStr">
        <is>
          <t>암사동</t>
        </is>
      </c>
      <c r="AG2418" s="0" t="inlineStr">
        <is>
          <t>서울시 강동구 암사길 35</t>
        </is>
      </c>
      <c r="AH2418" s="0" t="n">
        <v>0</v>
      </c>
      <c r="AI2418" s="0" t="n">
        <v>249</v>
      </c>
      <c r="AJ2418" s="0" t="n">
        <v>32</v>
      </c>
      <c r="AK2418" s="0" t="n">
        <v>54</v>
      </c>
      <c r="AL2418" s="0" t="n">
        <v>1.2</v>
      </c>
    </row>
    <row r="2419">
      <c r="A2419" s="0" t="inlineStr">
        <is>
          <t>[암사동]</t>
        </is>
      </c>
      <c r="B2419" s="0" t="n">
        <v>24641</v>
      </c>
      <c r="C2419" s="0" t="n">
        <v>5</v>
      </c>
      <c r="D2419" s="0" t="inlineStr">
        <is>
          <t>SM해그린</t>
        </is>
      </c>
      <c r="E2419" s="0" t="inlineStr">
        <is>
          <t>2004.12.</t>
        </is>
      </c>
      <c r="F2419" s="0" t="n">
        <v>45</v>
      </c>
      <c r="G2419" s="0" t="n">
        <v>30.11</v>
      </c>
      <c r="H2419" s="0" t="n">
        <v>99.56999999999999</v>
      </c>
      <c r="I2419" s="0" t="n">
        <v>24.99</v>
      </c>
      <c r="J2419" s="0" t="n">
        <v>82.62</v>
      </c>
      <c r="K2419" s="0" t="n">
        <v>16</v>
      </c>
      <c r="T2419" s="0" t="n">
        <v>3</v>
      </c>
      <c r="U2419" s="0" t="n">
        <v>2</v>
      </c>
      <c r="V2419" s="0" t="inlineStr">
        <is>
          <t>계단식</t>
        </is>
      </c>
      <c r="W2419" s="0" t="inlineStr">
        <is>
          <t>99C</t>
        </is>
      </c>
      <c r="X2419" s="0" t="n">
        <v>10</v>
      </c>
      <c r="Y2419" s="0" t="n">
        <v>10</v>
      </c>
      <c r="Z2419" s="0" t="inlineStr">
        <is>
          <t>https://new.land.naver.com/complexes/24641?tab=detail&amp;rf=Y</t>
        </is>
      </c>
      <c r="AA2419" s="0" t="inlineStr">
        <is>
          <t>서울시 강동구 암사동 472-18</t>
        </is>
      </c>
      <c r="AB2419" s="0" t="inlineStr">
        <is>
          <t>서울시</t>
        </is>
      </c>
      <c r="AC2419" s="0" t="inlineStr">
        <is>
          <t>강동구</t>
        </is>
      </c>
      <c r="AD2419" s="0" t="inlineStr">
        <is>
          <t>암사동</t>
        </is>
      </c>
      <c r="AG2419" s="0" t="inlineStr">
        <is>
          <t>서울시 강동구 암사길 35</t>
        </is>
      </c>
      <c r="AH2419" s="0" t="n">
        <v>0</v>
      </c>
      <c r="AI2419" s="0" t="n">
        <v>249</v>
      </c>
      <c r="AJ2419" s="0" t="n">
        <v>32</v>
      </c>
      <c r="AK2419" s="0" t="n">
        <v>54</v>
      </c>
      <c r="AL2419" s="0" t="n">
        <v>1.2</v>
      </c>
    </row>
    <row r="2420">
      <c r="A2420" s="0" t="inlineStr">
        <is>
          <t>[암사동]</t>
        </is>
      </c>
      <c r="B2420" s="0" t="n">
        <v>24641</v>
      </c>
      <c r="C2420" s="0" t="n">
        <v>6</v>
      </c>
      <c r="D2420" s="0" t="inlineStr">
        <is>
          <t>SM해그린</t>
        </is>
      </c>
      <c r="E2420" s="0" t="inlineStr">
        <is>
          <t>2004.12.</t>
        </is>
      </c>
      <c r="F2420" s="0" t="n">
        <v>45</v>
      </c>
      <c r="G2420" s="0" t="n">
        <v>30.2</v>
      </c>
      <c r="H2420" s="0" t="n">
        <v>99.84999999999999</v>
      </c>
      <c r="I2420" s="0" t="n">
        <v>25.24</v>
      </c>
      <c r="J2420" s="0" t="n">
        <v>83.45999999999999</v>
      </c>
      <c r="K2420" s="0" t="n">
        <v>15</v>
      </c>
      <c r="T2420" s="0" t="n">
        <v>3</v>
      </c>
      <c r="U2420" s="0" t="n">
        <v>2</v>
      </c>
      <c r="V2420" s="0" t="inlineStr">
        <is>
          <t>계단식</t>
        </is>
      </c>
      <c r="W2420" s="0" t="inlineStr">
        <is>
          <t>99D</t>
        </is>
      </c>
      <c r="X2420" s="0" t="n">
        <v>10</v>
      </c>
      <c r="Y2420" s="0" t="n">
        <v>10</v>
      </c>
      <c r="Z2420" s="0" t="inlineStr">
        <is>
          <t>https://new.land.naver.com/complexes/24641?tab=detail&amp;rf=Y</t>
        </is>
      </c>
      <c r="AA2420" s="0" t="inlineStr">
        <is>
          <t>서울시 강동구 암사동 472-18</t>
        </is>
      </c>
      <c r="AB2420" s="0" t="inlineStr">
        <is>
          <t>서울시</t>
        </is>
      </c>
      <c r="AC2420" s="0" t="inlineStr">
        <is>
          <t>강동구</t>
        </is>
      </c>
      <c r="AD2420" s="0" t="inlineStr">
        <is>
          <t>암사동</t>
        </is>
      </c>
      <c r="AG2420" s="0" t="inlineStr">
        <is>
          <t>서울시 강동구 암사길 35</t>
        </is>
      </c>
      <c r="AH2420" s="0" t="n">
        <v>0</v>
      </c>
      <c r="AI2420" s="0" t="n">
        <v>249</v>
      </c>
      <c r="AJ2420" s="0" t="n">
        <v>32</v>
      </c>
      <c r="AK2420" s="0" t="n">
        <v>54</v>
      </c>
      <c r="AL2420" s="0" t="n">
        <v>1.2</v>
      </c>
    </row>
    <row r="2421">
      <c r="A2421" s="0" t="inlineStr">
        <is>
          <t>[암사동]</t>
        </is>
      </c>
      <c r="B2421" s="0" t="n">
        <v>24641</v>
      </c>
      <c r="C2421" s="0" t="n">
        <v>7</v>
      </c>
      <c r="D2421" s="0" t="inlineStr">
        <is>
          <t>SM해그린</t>
        </is>
      </c>
      <c r="E2421" s="0" t="inlineStr">
        <is>
          <t>2004.12.</t>
        </is>
      </c>
      <c r="F2421" s="0" t="n">
        <v>45</v>
      </c>
      <c r="G2421" s="0" t="n">
        <v>32.3</v>
      </c>
      <c r="H2421" s="0" t="n">
        <v>106.78</v>
      </c>
      <c r="I2421" s="0" t="n">
        <v>26.79</v>
      </c>
      <c r="J2421" s="0" t="n">
        <v>88.56999999999999</v>
      </c>
      <c r="K2421" s="0" t="n">
        <v>1</v>
      </c>
      <c r="T2421" s="0" t="n">
        <v>3</v>
      </c>
      <c r="U2421" s="0" t="n">
        <v>2</v>
      </c>
      <c r="V2421" s="0" t="inlineStr">
        <is>
          <t>계단식</t>
        </is>
      </c>
      <c r="W2421" s="0" t="n">
        <v>106</v>
      </c>
      <c r="X2421" s="0" t="n">
        <v>10</v>
      </c>
      <c r="Y2421" s="0" t="n">
        <v>10</v>
      </c>
      <c r="Z2421" s="0" t="inlineStr">
        <is>
          <t>https://new.land.naver.com/complexes/24641?tab=detail&amp;rf=Y</t>
        </is>
      </c>
      <c r="AA2421" s="0" t="inlineStr">
        <is>
          <t>서울시 강동구 암사동 472-18</t>
        </is>
      </c>
      <c r="AB2421" s="0" t="inlineStr">
        <is>
          <t>서울시</t>
        </is>
      </c>
      <c r="AC2421" s="0" t="inlineStr">
        <is>
          <t>강동구</t>
        </is>
      </c>
      <c r="AD2421" s="0" t="inlineStr">
        <is>
          <t>암사동</t>
        </is>
      </c>
      <c r="AG2421" s="0" t="inlineStr">
        <is>
          <t>서울시 강동구 암사길 35</t>
        </is>
      </c>
      <c r="AH2421" s="0" t="n">
        <v>0</v>
      </c>
      <c r="AI2421" s="0" t="n">
        <v>249</v>
      </c>
      <c r="AJ2421" s="0" t="n">
        <v>32</v>
      </c>
      <c r="AK2421" s="0" t="n">
        <v>54</v>
      </c>
      <c r="AL2421" s="0" t="n">
        <v>1.2</v>
      </c>
    </row>
    <row r="2422">
      <c r="A2422" s="0" t="inlineStr">
        <is>
          <t>[암사동]</t>
        </is>
      </c>
      <c r="B2422" s="0" t="n">
        <v>24641</v>
      </c>
      <c r="C2422" s="0" t="n">
        <v>8</v>
      </c>
      <c r="D2422" s="0" t="inlineStr">
        <is>
          <t>SM해그린</t>
        </is>
      </c>
      <c r="E2422" s="0" t="inlineStr">
        <is>
          <t>2004.12.</t>
        </is>
      </c>
      <c r="F2422" s="0" t="n">
        <v>45</v>
      </c>
      <c r="G2422" s="0" t="n">
        <v>35.08</v>
      </c>
      <c r="H2422" s="0" t="n">
        <v>115.97</v>
      </c>
      <c r="I2422" s="0" t="n">
        <v>28.97</v>
      </c>
      <c r="J2422" s="0" t="n">
        <v>95.8</v>
      </c>
      <c r="K2422" s="0" t="n">
        <v>6</v>
      </c>
      <c r="T2422" s="0" t="n">
        <v>4</v>
      </c>
      <c r="U2422" s="0" t="n">
        <v>2</v>
      </c>
      <c r="V2422" s="0" t="inlineStr">
        <is>
          <t>계단식</t>
        </is>
      </c>
      <c r="W2422" s="0" t="n">
        <v>115</v>
      </c>
      <c r="X2422" s="0" t="n">
        <v>10</v>
      </c>
      <c r="Y2422" s="0" t="n">
        <v>10</v>
      </c>
      <c r="Z2422" s="0" t="inlineStr">
        <is>
          <t>https://new.land.naver.com/complexes/24641?tab=detail&amp;rf=Y</t>
        </is>
      </c>
      <c r="AA2422" s="0" t="inlineStr">
        <is>
          <t>서울시 강동구 암사동 472-18</t>
        </is>
      </c>
      <c r="AB2422" s="0" t="inlineStr">
        <is>
          <t>서울시</t>
        </is>
      </c>
      <c r="AC2422" s="0" t="inlineStr">
        <is>
          <t>강동구</t>
        </is>
      </c>
      <c r="AD2422" s="0" t="inlineStr">
        <is>
          <t>암사동</t>
        </is>
      </c>
      <c r="AG2422" s="0" t="inlineStr">
        <is>
          <t>서울시 강동구 암사길 35</t>
        </is>
      </c>
      <c r="AH2422" s="0" t="n">
        <v>0</v>
      </c>
      <c r="AI2422" s="0" t="n">
        <v>249</v>
      </c>
      <c r="AJ2422" s="0" t="n">
        <v>32</v>
      </c>
      <c r="AK2422" s="0" t="n">
        <v>54</v>
      </c>
      <c r="AL2422" s="0" t="n">
        <v>1.2</v>
      </c>
    </row>
    <row r="2423">
      <c r="A2423" s="0" t="inlineStr">
        <is>
          <t>[암사동]</t>
        </is>
      </c>
      <c r="B2423" s="0" t="n">
        <v>3323</v>
      </c>
      <c r="C2423" s="0" t="n">
        <v>1</v>
      </c>
      <c r="D2423" s="0" t="inlineStr">
        <is>
          <t>한강포스파크</t>
        </is>
      </c>
      <c r="E2423" s="0" t="inlineStr">
        <is>
          <t>2002.09.</t>
        </is>
      </c>
      <c r="F2423" s="0" t="n">
        <v>134</v>
      </c>
      <c r="G2423" s="0" t="n">
        <v>24.37</v>
      </c>
      <c r="H2423" s="0" t="n">
        <v>80.58</v>
      </c>
      <c r="I2423" s="0" t="n">
        <v>18.07</v>
      </c>
      <c r="J2423" s="0" t="n">
        <v>59.75</v>
      </c>
      <c r="K2423" s="0" t="n">
        <v>15</v>
      </c>
      <c r="T2423" s="0" t="n">
        <v>3</v>
      </c>
      <c r="U2423" s="0" t="n">
        <v>1</v>
      </c>
      <c r="V2423" s="0" t="inlineStr">
        <is>
          <t>계단식</t>
        </is>
      </c>
      <c r="W2423" s="0" t="n">
        <v>80</v>
      </c>
      <c r="X2423" s="0" t="n">
        <v>19</v>
      </c>
      <c r="Y2423" s="0" t="n">
        <v>14</v>
      </c>
      <c r="Z2423" s="0" t="inlineStr">
        <is>
          <t>https://new.land.naver.com/complexes/3323?tab=detail&amp;rf=Y</t>
        </is>
      </c>
      <c r="AA2423" s="0" t="inlineStr">
        <is>
          <t>서울시 강동구 암사동 445</t>
        </is>
      </c>
      <c r="AB2423" s="0" t="inlineStr">
        <is>
          <t>서울시</t>
        </is>
      </c>
      <c r="AC2423" s="0" t="inlineStr">
        <is>
          <t>강동구</t>
        </is>
      </c>
      <c r="AD2423" s="0" t="inlineStr">
        <is>
          <t>암사동</t>
        </is>
      </c>
      <c r="AG2423" s="0" t="inlineStr">
        <is>
          <t>서울시 강동구 고덕로19길 30</t>
        </is>
      </c>
      <c r="AH2423" s="0" t="n">
        <v>0</v>
      </c>
      <c r="AI2423" s="0" t="n">
        <v>341</v>
      </c>
      <c r="AJ2423" s="0" t="n">
        <v>26</v>
      </c>
      <c r="AK2423" s="0" t="n">
        <v>161</v>
      </c>
      <c r="AL2423" s="0" t="n">
        <v>1.2</v>
      </c>
    </row>
    <row r="2424">
      <c r="A2424" s="0" t="inlineStr">
        <is>
          <t>[암사동]</t>
        </is>
      </c>
      <c r="B2424" s="0" t="n">
        <v>3323</v>
      </c>
      <c r="C2424" s="0" t="n">
        <v>2</v>
      </c>
      <c r="D2424" s="0" t="inlineStr">
        <is>
          <t>한강포스파크</t>
        </is>
      </c>
      <c r="E2424" s="0" t="inlineStr">
        <is>
          <t>2002.09.</t>
        </is>
      </c>
      <c r="F2424" s="0" t="n">
        <v>134</v>
      </c>
      <c r="G2424" s="0" t="n">
        <v>31.04</v>
      </c>
      <c r="H2424" s="0" t="n">
        <v>102.64</v>
      </c>
      <c r="I2424" s="0" t="n">
        <v>24.39</v>
      </c>
      <c r="J2424" s="0" t="n">
        <v>80.65000000000001</v>
      </c>
      <c r="K2424" s="0" t="n">
        <v>86</v>
      </c>
      <c r="T2424" s="0" t="n">
        <v>3</v>
      </c>
      <c r="U2424" s="0" t="n">
        <v>2</v>
      </c>
      <c r="V2424" s="0" t="inlineStr">
        <is>
          <t>계단식</t>
        </is>
      </c>
      <c r="W2424" s="0" t="n">
        <v>102</v>
      </c>
      <c r="X2424" s="0" t="n">
        <v>19</v>
      </c>
      <c r="Y2424" s="0" t="n">
        <v>14</v>
      </c>
      <c r="Z2424" s="0" t="inlineStr">
        <is>
          <t>https://new.land.naver.com/complexes/3323?tab=detail&amp;rf=Y</t>
        </is>
      </c>
      <c r="AA2424" s="0" t="inlineStr">
        <is>
          <t>서울시 강동구 암사동 445</t>
        </is>
      </c>
      <c r="AB2424" s="0" t="inlineStr">
        <is>
          <t>서울시</t>
        </is>
      </c>
      <c r="AC2424" s="0" t="inlineStr">
        <is>
          <t>강동구</t>
        </is>
      </c>
      <c r="AD2424" s="0" t="inlineStr">
        <is>
          <t>암사동</t>
        </is>
      </c>
      <c r="AG2424" s="0" t="inlineStr">
        <is>
          <t>서울시 강동구 고덕로19길 30</t>
        </is>
      </c>
      <c r="AH2424" s="0" t="n">
        <v>0</v>
      </c>
      <c r="AI2424" s="0" t="n">
        <v>341</v>
      </c>
      <c r="AJ2424" s="0" t="n">
        <v>26</v>
      </c>
      <c r="AK2424" s="0" t="n">
        <v>161</v>
      </c>
      <c r="AL2424" s="0" t="n">
        <v>1.2</v>
      </c>
    </row>
    <row r="2425">
      <c r="A2425" s="0" t="inlineStr">
        <is>
          <t>[암사동]</t>
        </is>
      </c>
      <c r="B2425" s="0" t="n">
        <v>3323</v>
      </c>
      <c r="C2425" s="0" t="n">
        <v>3</v>
      </c>
      <c r="D2425" s="0" t="inlineStr">
        <is>
          <t>한강포스파크</t>
        </is>
      </c>
      <c r="E2425" s="0" t="inlineStr">
        <is>
          <t>2002.09.</t>
        </is>
      </c>
      <c r="F2425" s="0" t="n">
        <v>134</v>
      </c>
      <c r="G2425" s="0" t="n">
        <v>33.52</v>
      </c>
      <c r="H2425" s="0" t="n">
        <v>110.81</v>
      </c>
      <c r="I2425" s="0" t="n">
        <v>24.93</v>
      </c>
      <c r="J2425" s="0" t="n">
        <v>82.43000000000001</v>
      </c>
      <c r="K2425" s="0" t="n">
        <v>14</v>
      </c>
      <c r="T2425" s="0" t="n">
        <v>3</v>
      </c>
      <c r="U2425" s="0" t="n">
        <v>2</v>
      </c>
      <c r="V2425" s="0" t="inlineStr">
        <is>
          <t>계단식</t>
        </is>
      </c>
      <c r="W2425" s="0" t="n">
        <v>110</v>
      </c>
      <c r="X2425" s="0" t="n">
        <v>19</v>
      </c>
      <c r="Y2425" s="0" t="n">
        <v>14</v>
      </c>
      <c r="Z2425" s="0" t="inlineStr">
        <is>
          <t>https://new.land.naver.com/complexes/3323?tab=detail&amp;rf=Y</t>
        </is>
      </c>
      <c r="AA2425" s="0" t="inlineStr">
        <is>
          <t>서울시 강동구 암사동 445</t>
        </is>
      </c>
      <c r="AB2425" s="0" t="inlineStr">
        <is>
          <t>서울시</t>
        </is>
      </c>
      <c r="AC2425" s="0" t="inlineStr">
        <is>
          <t>강동구</t>
        </is>
      </c>
      <c r="AD2425" s="0" t="inlineStr">
        <is>
          <t>암사동</t>
        </is>
      </c>
      <c r="AG2425" s="0" t="inlineStr">
        <is>
          <t>서울시 강동구 고덕로19길 30</t>
        </is>
      </c>
      <c r="AH2425" s="0" t="n">
        <v>0</v>
      </c>
      <c r="AI2425" s="0" t="n">
        <v>341</v>
      </c>
      <c r="AJ2425" s="0" t="n">
        <v>26</v>
      </c>
      <c r="AK2425" s="0" t="n">
        <v>161</v>
      </c>
      <c r="AL2425" s="0" t="n">
        <v>1.2</v>
      </c>
    </row>
    <row r="2426">
      <c r="A2426" s="0" t="inlineStr">
        <is>
          <t>[암사동]</t>
        </is>
      </c>
      <c r="B2426" s="0" t="n">
        <v>3323</v>
      </c>
      <c r="C2426" s="0" t="n">
        <v>4</v>
      </c>
      <c r="D2426" s="0" t="inlineStr">
        <is>
          <t>한강포스파크</t>
        </is>
      </c>
      <c r="E2426" s="0" t="inlineStr">
        <is>
          <t>2002.09.</t>
        </is>
      </c>
      <c r="F2426" s="0" t="n">
        <v>134</v>
      </c>
      <c r="G2426" s="0" t="n">
        <v>42.22</v>
      </c>
      <c r="H2426" s="0" t="n">
        <v>139.59</v>
      </c>
      <c r="I2426" s="0" t="n">
        <v>34.42</v>
      </c>
      <c r="J2426" s="0" t="n">
        <v>113.8</v>
      </c>
      <c r="K2426" s="0" t="n">
        <v>19</v>
      </c>
      <c r="T2426" s="0" t="n">
        <v>4</v>
      </c>
      <c r="U2426" s="0" t="n">
        <v>2</v>
      </c>
      <c r="V2426" s="0" t="inlineStr">
        <is>
          <t>계단식</t>
        </is>
      </c>
      <c r="W2426" s="0" t="n">
        <v>139</v>
      </c>
      <c r="X2426" s="0" t="n">
        <v>19</v>
      </c>
      <c r="Y2426" s="0" t="n">
        <v>14</v>
      </c>
      <c r="Z2426" s="0" t="inlineStr">
        <is>
          <t>https://new.land.naver.com/complexes/3323?tab=detail&amp;rf=Y</t>
        </is>
      </c>
      <c r="AA2426" s="0" t="inlineStr">
        <is>
          <t>서울시 강동구 암사동 445</t>
        </is>
      </c>
      <c r="AB2426" s="0" t="inlineStr">
        <is>
          <t>서울시</t>
        </is>
      </c>
      <c r="AC2426" s="0" t="inlineStr">
        <is>
          <t>강동구</t>
        </is>
      </c>
      <c r="AD2426" s="0" t="inlineStr">
        <is>
          <t>암사동</t>
        </is>
      </c>
      <c r="AG2426" s="0" t="inlineStr">
        <is>
          <t>서울시 강동구 고덕로19길 30</t>
        </is>
      </c>
      <c r="AH2426" s="0" t="n">
        <v>0</v>
      </c>
      <c r="AI2426" s="0" t="n">
        <v>341</v>
      </c>
      <c r="AJ2426" s="0" t="n">
        <v>26</v>
      </c>
      <c r="AK2426" s="0" t="n">
        <v>161</v>
      </c>
      <c r="AL2426" s="0" t="n">
        <v>1.2</v>
      </c>
    </row>
    <row r="2427">
      <c r="A2427" s="0" t="inlineStr">
        <is>
          <t>[암사동]</t>
        </is>
      </c>
      <c r="B2427" s="0" t="n">
        <v>102633</v>
      </c>
      <c r="C2427" s="0" t="n">
        <v>1</v>
      </c>
      <c r="D2427" s="0" t="inlineStr">
        <is>
          <t>양지벨로스</t>
        </is>
      </c>
      <c r="E2427" s="0" t="inlineStr">
        <is>
          <t>2004.11.</t>
        </is>
      </c>
      <c r="F2427" s="0" t="n">
        <v>15</v>
      </c>
      <c r="G2427" s="0" t="n">
        <v>21.78</v>
      </c>
      <c r="H2427" s="0" t="n">
        <v>72.03</v>
      </c>
      <c r="I2427" s="0" t="n">
        <v>19.22</v>
      </c>
      <c r="J2427" s="0" t="n">
        <v>63.56</v>
      </c>
      <c r="K2427" s="0" t="n">
        <v>1</v>
      </c>
      <c r="T2427" s="0" t="n">
        <v>3</v>
      </c>
      <c r="U2427" s="0" t="n">
        <v>1</v>
      </c>
      <c r="V2427" s="0" t="inlineStr">
        <is>
          <t>계단식</t>
        </is>
      </c>
      <c r="W2427" s="0" t="n">
        <v>72</v>
      </c>
      <c r="X2427" s="0" t="n">
        <v>7</v>
      </c>
      <c r="Y2427" s="0" t="n">
        <v>4</v>
      </c>
      <c r="Z2427" s="0" t="inlineStr">
        <is>
          <t>https://new.land.naver.com/complexes/102633?tab=detail&amp;rf=Y</t>
        </is>
      </c>
      <c r="AA2427" s="0" t="inlineStr">
        <is>
          <t>서울시 강동구 암사동 446-21</t>
        </is>
      </c>
      <c r="AB2427" s="0" t="inlineStr">
        <is>
          <t>서울시</t>
        </is>
      </c>
      <c r="AC2427" s="0" t="inlineStr">
        <is>
          <t>강동구</t>
        </is>
      </c>
      <c r="AD2427" s="0" t="inlineStr">
        <is>
          <t>암사동</t>
        </is>
      </c>
      <c r="AG2427" s="0" t="inlineStr">
        <is>
          <t>서울시 강동구 고덕로23길 9</t>
        </is>
      </c>
      <c r="AH2427" s="0" t="n">
        <v>0</v>
      </c>
      <c r="AI2427" s="0" t="n">
        <v>249</v>
      </c>
      <c r="AJ2427" s="0" t="n">
        <v>49</v>
      </c>
      <c r="AK2427" s="0" t="n">
        <v>15</v>
      </c>
      <c r="AL2427" s="0" t="n">
        <v>1</v>
      </c>
    </row>
    <row r="2428">
      <c r="A2428" s="0" t="inlineStr">
        <is>
          <t>[암사동]</t>
        </is>
      </c>
      <c r="B2428" s="0" t="n">
        <v>102633</v>
      </c>
      <c r="C2428" s="0" t="n">
        <v>2</v>
      </c>
      <c r="D2428" s="0" t="inlineStr">
        <is>
          <t>양지벨로스</t>
        </is>
      </c>
      <c r="E2428" s="0" t="inlineStr">
        <is>
          <t>2004.11.</t>
        </is>
      </c>
      <c r="F2428" s="0" t="n">
        <v>15</v>
      </c>
      <c r="G2428" s="0" t="n">
        <v>22.9</v>
      </c>
      <c r="H2428" s="0" t="n">
        <v>75.70999999999999</v>
      </c>
      <c r="I2428" s="0" t="n">
        <v>20.2</v>
      </c>
      <c r="J2428" s="0" t="n">
        <v>66.8</v>
      </c>
      <c r="K2428" s="0" t="n">
        <v>1</v>
      </c>
      <c r="T2428" s="0" t="n">
        <v>3</v>
      </c>
      <c r="U2428" s="0" t="n">
        <v>2</v>
      </c>
      <c r="V2428" s="0" t="inlineStr">
        <is>
          <t>계단식</t>
        </is>
      </c>
      <c r="W2428" s="0" t="n">
        <v>75</v>
      </c>
      <c r="X2428" s="0" t="n">
        <v>7</v>
      </c>
      <c r="Y2428" s="0" t="n">
        <v>4</v>
      </c>
      <c r="Z2428" s="0" t="inlineStr">
        <is>
          <t>https://new.land.naver.com/complexes/102633?tab=detail&amp;rf=Y</t>
        </is>
      </c>
      <c r="AA2428" s="0" t="inlineStr">
        <is>
          <t>서울시 강동구 암사동 446-21</t>
        </is>
      </c>
      <c r="AB2428" s="0" t="inlineStr">
        <is>
          <t>서울시</t>
        </is>
      </c>
      <c r="AC2428" s="0" t="inlineStr">
        <is>
          <t>강동구</t>
        </is>
      </c>
      <c r="AD2428" s="0" t="inlineStr">
        <is>
          <t>암사동</t>
        </is>
      </c>
      <c r="AG2428" s="0" t="inlineStr">
        <is>
          <t>서울시 강동구 고덕로23길 9</t>
        </is>
      </c>
      <c r="AH2428" s="0" t="n">
        <v>0</v>
      </c>
      <c r="AI2428" s="0" t="n">
        <v>249</v>
      </c>
      <c r="AJ2428" s="0" t="n">
        <v>49</v>
      </c>
      <c r="AK2428" s="0" t="n">
        <v>15</v>
      </c>
      <c r="AL2428" s="0" t="n">
        <v>1</v>
      </c>
    </row>
    <row r="2429">
      <c r="A2429" s="0" t="inlineStr">
        <is>
          <t>[암사동]</t>
        </is>
      </c>
      <c r="B2429" s="0" t="n">
        <v>102633</v>
      </c>
      <c r="C2429" s="0" t="n">
        <v>3</v>
      </c>
      <c r="D2429" s="0" t="inlineStr">
        <is>
          <t>양지벨로스</t>
        </is>
      </c>
      <c r="E2429" s="0" t="inlineStr">
        <is>
          <t>2004.11.</t>
        </is>
      </c>
      <c r="F2429" s="0" t="n">
        <v>15</v>
      </c>
      <c r="G2429" s="0" t="n">
        <v>23.76</v>
      </c>
      <c r="H2429" s="0" t="n">
        <v>78.56999999999999</v>
      </c>
      <c r="I2429" s="0" t="n">
        <v>20.97</v>
      </c>
      <c r="J2429" s="0" t="n">
        <v>69.33</v>
      </c>
      <c r="K2429" s="0" t="n">
        <v>2</v>
      </c>
      <c r="T2429" s="0" t="n">
        <v>3</v>
      </c>
      <c r="U2429" s="0" t="n">
        <v>2</v>
      </c>
      <c r="V2429" s="0" t="inlineStr">
        <is>
          <t>계단식</t>
        </is>
      </c>
      <c r="W2429" s="0" t="n">
        <v>78</v>
      </c>
      <c r="X2429" s="0" t="n">
        <v>7</v>
      </c>
      <c r="Y2429" s="0" t="n">
        <v>4</v>
      </c>
      <c r="Z2429" s="0" t="inlineStr">
        <is>
          <t>https://new.land.naver.com/complexes/102633?tab=detail&amp;rf=Y</t>
        </is>
      </c>
      <c r="AA2429" s="0" t="inlineStr">
        <is>
          <t>서울시 강동구 암사동 446-21</t>
        </is>
      </c>
      <c r="AB2429" s="0" t="inlineStr">
        <is>
          <t>서울시</t>
        </is>
      </c>
      <c r="AC2429" s="0" t="inlineStr">
        <is>
          <t>강동구</t>
        </is>
      </c>
      <c r="AD2429" s="0" t="inlineStr">
        <is>
          <t>암사동</t>
        </is>
      </c>
      <c r="AG2429" s="0" t="inlineStr">
        <is>
          <t>서울시 강동구 고덕로23길 9</t>
        </is>
      </c>
      <c r="AH2429" s="0" t="n">
        <v>0</v>
      </c>
      <c r="AI2429" s="0" t="n">
        <v>249</v>
      </c>
      <c r="AJ2429" s="0" t="n">
        <v>49</v>
      </c>
      <c r="AK2429" s="0" t="n">
        <v>15</v>
      </c>
      <c r="AL2429" s="0" t="n">
        <v>1</v>
      </c>
    </row>
    <row r="2430">
      <c r="A2430" s="0" t="inlineStr">
        <is>
          <t>[암사동]</t>
        </is>
      </c>
      <c r="B2430" s="0" t="n">
        <v>102633</v>
      </c>
      <c r="C2430" s="0" t="n">
        <v>4</v>
      </c>
      <c r="D2430" s="0" t="inlineStr">
        <is>
          <t>양지벨로스</t>
        </is>
      </c>
      <c r="E2430" s="0" t="inlineStr">
        <is>
          <t>2004.11.</t>
        </is>
      </c>
      <c r="F2430" s="0" t="n">
        <v>15</v>
      </c>
      <c r="G2430" s="0" t="n">
        <v>26.49</v>
      </c>
      <c r="H2430" s="0" t="n">
        <v>87.58</v>
      </c>
      <c r="I2430" s="0" t="n">
        <v>23.37</v>
      </c>
      <c r="J2430" s="0" t="n">
        <v>77.28</v>
      </c>
      <c r="K2430" s="0" t="n">
        <v>3</v>
      </c>
      <c r="T2430" s="0" t="n">
        <v>3</v>
      </c>
      <c r="U2430" s="0" t="n">
        <v>2</v>
      </c>
      <c r="V2430" s="0" t="inlineStr">
        <is>
          <t>계단식</t>
        </is>
      </c>
      <c r="W2430" s="0" t="n">
        <v>87</v>
      </c>
      <c r="X2430" s="0" t="n">
        <v>7</v>
      </c>
      <c r="Y2430" s="0" t="n">
        <v>4</v>
      </c>
      <c r="Z2430" s="0" t="inlineStr">
        <is>
          <t>https://new.land.naver.com/complexes/102633?tab=detail&amp;rf=Y</t>
        </is>
      </c>
      <c r="AA2430" s="0" t="inlineStr">
        <is>
          <t>서울시 강동구 암사동 446-21</t>
        </is>
      </c>
      <c r="AB2430" s="0" t="inlineStr">
        <is>
          <t>서울시</t>
        </is>
      </c>
      <c r="AC2430" s="0" t="inlineStr">
        <is>
          <t>강동구</t>
        </is>
      </c>
      <c r="AD2430" s="0" t="inlineStr">
        <is>
          <t>암사동</t>
        </is>
      </c>
      <c r="AG2430" s="0" t="inlineStr">
        <is>
          <t>서울시 강동구 고덕로23길 9</t>
        </is>
      </c>
      <c r="AH2430" s="0" t="n">
        <v>0</v>
      </c>
      <c r="AI2430" s="0" t="n">
        <v>249</v>
      </c>
      <c r="AJ2430" s="0" t="n">
        <v>49</v>
      </c>
      <c r="AK2430" s="0" t="n">
        <v>15</v>
      </c>
      <c r="AL2430" s="0" t="n">
        <v>1</v>
      </c>
    </row>
    <row r="2431">
      <c r="A2431" s="0" t="inlineStr">
        <is>
          <t>[암사동]</t>
        </is>
      </c>
      <c r="B2431" s="0" t="n">
        <v>102633</v>
      </c>
      <c r="C2431" s="0" t="n">
        <v>5</v>
      </c>
      <c r="D2431" s="0" t="inlineStr">
        <is>
          <t>양지벨로스</t>
        </is>
      </c>
      <c r="E2431" s="0" t="inlineStr">
        <is>
          <t>2004.11.</t>
        </is>
      </c>
      <c r="F2431" s="0" t="n">
        <v>15</v>
      </c>
      <c r="G2431" s="0" t="n">
        <v>27.88</v>
      </c>
      <c r="H2431" s="0" t="n">
        <v>92.18000000000001</v>
      </c>
      <c r="I2431" s="0" t="n">
        <v>24.6</v>
      </c>
      <c r="J2431" s="0" t="n">
        <v>81.34</v>
      </c>
      <c r="K2431" s="0" t="n">
        <v>6</v>
      </c>
      <c r="T2431" s="0" t="n">
        <v>3</v>
      </c>
      <c r="U2431" s="0" t="n">
        <v>2</v>
      </c>
      <c r="V2431" s="0" t="inlineStr">
        <is>
          <t>계단식</t>
        </is>
      </c>
      <c r="W2431" s="0" t="n">
        <v>92</v>
      </c>
      <c r="X2431" s="0" t="n">
        <v>7</v>
      </c>
      <c r="Y2431" s="0" t="n">
        <v>4</v>
      </c>
      <c r="Z2431" s="0" t="inlineStr">
        <is>
          <t>https://new.land.naver.com/complexes/102633?tab=detail&amp;rf=Y</t>
        </is>
      </c>
      <c r="AA2431" s="0" t="inlineStr">
        <is>
          <t>서울시 강동구 암사동 446-21</t>
        </is>
      </c>
      <c r="AB2431" s="0" t="inlineStr">
        <is>
          <t>서울시</t>
        </is>
      </c>
      <c r="AC2431" s="0" t="inlineStr">
        <is>
          <t>강동구</t>
        </is>
      </c>
      <c r="AD2431" s="0" t="inlineStr">
        <is>
          <t>암사동</t>
        </is>
      </c>
      <c r="AG2431" s="0" t="inlineStr">
        <is>
          <t>서울시 강동구 고덕로23길 9</t>
        </is>
      </c>
      <c r="AH2431" s="0" t="n">
        <v>0</v>
      </c>
      <c r="AI2431" s="0" t="n">
        <v>249</v>
      </c>
      <c r="AJ2431" s="0" t="n">
        <v>49</v>
      </c>
      <c r="AK2431" s="0" t="n">
        <v>15</v>
      </c>
      <c r="AL2431" s="0" t="n">
        <v>1</v>
      </c>
    </row>
    <row r="2432">
      <c r="A2432" s="0" t="inlineStr">
        <is>
          <t>[암사동]</t>
        </is>
      </c>
      <c r="B2432" s="0" t="n">
        <v>102633</v>
      </c>
      <c r="C2432" s="0" t="n">
        <v>6</v>
      </c>
      <c r="D2432" s="0" t="inlineStr">
        <is>
          <t>양지벨로스</t>
        </is>
      </c>
      <c r="E2432" s="0" t="inlineStr">
        <is>
          <t>2004.11.</t>
        </is>
      </c>
      <c r="F2432" s="0" t="n">
        <v>15</v>
      </c>
      <c r="G2432" s="0" t="n">
        <v>28.78</v>
      </c>
      <c r="H2432" s="0" t="n">
        <v>95.15000000000001</v>
      </c>
      <c r="I2432" s="0" t="n">
        <v>25.4</v>
      </c>
      <c r="J2432" s="0" t="n">
        <v>83.97</v>
      </c>
      <c r="K2432" s="0" t="n">
        <v>2</v>
      </c>
      <c r="T2432" s="0" t="n">
        <v>3</v>
      </c>
      <c r="U2432" s="0" t="n">
        <v>2</v>
      </c>
      <c r="V2432" s="0" t="inlineStr">
        <is>
          <t>계단식</t>
        </is>
      </c>
      <c r="W2432" s="0" t="n">
        <v>95</v>
      </c>
      <c r="X2432" s="0" t="n">
        <v>7</v>
      </c>
      <c r="Y2432" s="0" t="n">
        <v>4</v>
      </c>
      <c r="Z2432" s="0" t="inlineStr">
        <is>
          <t>https://new.land.naver.com/complexes/102633?tab=detail&amp;rf=Y</t>
        </is>
      </c>
      <c r="AA2432" s="0" t="inlineStr">
        <is>
          <t>서울시 강동구 암사동 446-21</t>
        </is>
      </c>
      <c r="AB2432" s="0" t="inlineStr">
        <is>
          <t>서울시</t>
        </is>
      </c>
      <c r="AC2432" s="0" t="inlineStr">
        <is>
          <t>강동구</t>
        </is>
      </c>
      <c r="AD2432" s="0" t="inlineStr">
        <is>
          <t>암사동</t>
        </is>
      </c>
      <c r="AG2432" s="0" t="inlineStr">
        <is>
          <t>서울시 강동구 고덕로23길 9</t>
        </is>
      </c>
      <c r="AH2432" s="0" t="n">
        <v>0</v>
      </c>
      <c r="AI2432" s="0" t="n">
        <v>249</v>
      </c>
      <c r="AJ2432" s="0" t="n">
        <v>49</v>
      </c>
      <c r="AK2432" s="0" t="n">
        <v>15</v>
      </c>
      <c r="AL2432" s="0" t="n">
        <v>1</v>
      </c>
    </row>
    <row r="2433">
      <c r="A2433" s="0" t="inlineStr">
        <is>
          <t>[암사동]</t>
        </is>
      </c>
      <c r="B2433" s="0" t="n">
        <v>106976</v>
      </c>
      <c r="C2433" s="0" t="n">
        <v>1</v>
      </c>
      <c r="D2433" s="0" t="inlineStr">
        <is>
          <t>드림하우스(도시형)</t>
        </is>
      </c>
      <c r="E2433" s="0" t="inlineStr">
        <is>
          <t>2012.03.</t>
        </is>
      </c>
      <c r="F2433" s="0" t="n">
        <v>11</v>
      </c>
      <c r="G2433" s="0" t="n">
        <v>6.09</v>
      </c>
      <c r="H2433" s="0" t="n">
        <v>20.14</v>
      </c>
      <c r="I2433" s="0" t="n">
        <v>4.17</v>
      </c>
      <c r="J2433" s="0" t="n">
        <v>13.8</v>
      </c>
      <c r="K2433" s="0" t="n">
        <v>2</v>
      </c>
      <c r="T2433" s="0" t="n">
        <v>1</v>
      </c>
      <c r="U2433" s="0" t="n">
        <v>1</v>
      </c>
      <c r="V2433" s="0" t="inlineStr">
        <is>
          <t>계단식</t>
        </is>
      </c>
      <c r="W2433" s="0" t="inlineStr">
        <is>
          <t>20A</t>
        </is>
      </c>
      <c r="X2433" s="0" t="n">
        <v>7</v>
      </c>
      <c r="Y2433" s="0" t="n">
        <v>5</v>
      </c>
      <c r="Z2433" s="0" t="inlineStr">
        <is>
          <t>https://new.land.naver.com/complexes/106976?tab=detail&amp;rf=Y</t>
        </is>
      </c>
      <c r="AA2433" s="0" t="inlineStr">
        <is>
          <t>서울시 강동구 암사동 501-7</t>
        </is>
      </c>
      <c r="AB2433" s="0" t="inlineStr">
        <is>
          <t>서울시</t>
        </is>
      </c>
      <c r="AC2433" s="0" t="inlineStr">
        <is>
          <t>강동구</t>
        </is>
      </c>
      <c r="AD2433" s="0" t="inlineStr">
        <is>
          <t>암사동</t>
        </is>
      </c>
      <c r="AG2433" s="0" t="inlineStr">
        <is>
          <t>서울시 강동구 올림픽로98길 8-12</t>
        </is>
      </c>
      <c r="AH2433" s="0" t="n">
        <v>0</v>
      </c>
      <c r="AI2433" s="0" t="n">
        <v>315</v>
      </c>
      <c r="AJ2433" s="0" t="n">
        <v>59</v>
      </c>
      <c r="AK2433" s="0" t="n">
        <v>3</v>
      </c>
      <c r="AL2433" s="0" t="n">
        <v>0.27</v>
      </c>
    </row>
    <row r="2434">
      <c r="A2434" s="0" t="inlineStr">
        <is>
          <t>[암사동]</t>
        </is>
      </c>
      <c r="B2434" s="0" t="n">
        <v>106976</v>
      </c>
      <c r="C2434" s="0" t="n">
        <v>2</v>
      </c>
      <c r="D2434" s="0" t="inlineStr">
        <is>
          <t>드림하우스(도시형)</t>
        </is>
      </c>
      <c r="E2434" s="0" t="inlineStr">
        <is>
          <t>2012.03.</t>
        </is>
      </c>
      <c r="F2434" s="0" t="n">
        <v>11</v>
      </c>
      <c r="G2434" s="0" t="n">
        <v>6.37</v>
      </c>
      <c r="H2434" s="0" t="n">
        <v>21.09</v>
      </c>
      <c r="I2434" s="0" t="n">
        <v>4.37</v>
      </c>
      <c r="J2434" s="0" t="n">
        <v>14.45</v>
      </c>
      <c r="K2434" s="0" t="n">
        <v>1</v>
      </c>
      <c r="T2434" s="0" t="n">
        <v>1</v>
      </c>
      <c r="U2434" s="0" t="n">
        <v>1</v>
      </c>
      <c r="V2434" s="0" t="inlineStr">
        <is>
          <t>계단식</t>
        </is>
      </c>
      <c r="W2434" s="0" t="inlineStr">
        <is>
          <t>21B</t>
        </is>
      </c>
      <c r="X2434" s="0" t="n">
        <v>7</v>
      </c>
      <c r="Y2434" s="0" t="n">
        <v>5</v>
      </c>
      <c r="Z2434" s="0" t="inlineStr">
        <is>
          <t>https://new.land.naver.com/complexes/106976?tab=detail&amp;rf=Y</t>
        </is>
      </c>
      <c r="AA2434" s="0" t="inlineStr">
        <is>
          <t>서울시 강동구 암사동 501-7</t>
        </is>
      </c>
      <c r="AB2434" s="0" t="inlineStr">
        <is>
          <t>서울시</t>
        </is>
      </c>
      <c r="AC2434" s="0" t="inlineStr">
        <is>
          <t>강동구</t>
        </is>
      </c>
      <c r="AD2434" s="0" t="inlineStr">
        <is>
          <t>암사동</t>
        </is>
      </c>
      <c r="AG2434" s="0" t="inlineStr">
        <is>
          <t>서울시 강동구 올림픽로98길 8-12</t>
        </is>
      </c>
      <c r="AH2434" s="0" t="n">
        <v>0</v>
      </c>
      <c r="AI2434" s="0" t="n">
        <v>315</v>
      </c>
      <c r="AJ2434" s="0" t="n">
        <v>59</v>
      </c>
      <c r="AK2434" s="0" t="n">
        <v>3</v>
      </c>
      <c r="AL2434" s="0" t="n">
        <v>0.27</v>
      </c>
    </row>
    <row r="2435">
      <c r="A2435" s="0" t="inlineStr">
        <is>
          <t>[암사동]</t>
        </is>
      </c>
      <c r="B2435" s="0" t="n">
        <v>106976</v>
      </c>
      <c r="C2435" s="0" t="n">
        <v>3</v>
      </c>
      <c r="D2435" s="0" t="inlineStr">
        <is>
          <t>드림하우스(도시형)</t>
        </is>
      </c>
      <c r="E2435" s="0" t="inlineStr">
        <is>
          <t>2012.03.</t>
        </is>
      </c>
      <c r="F2435" s="0" t="n">
        <v>11</v>
      </c>
      <c r="G2435" s="0" t="n">
        <v>7</v>
      </c>
      <c r="H2435" s="0" t="n">
        <v>23.17</v>
      </c>
      <c r="I2435" s="0" t="n">
        <v>4.8</v>
      </c>
      <c r="J2435" s="0" t="n">
        <v>15.88</v>
      </c>
      <c r="K2435" s="0" t="n">
        <v>2</v>
      </c>
      <c r="T2435" s="0" t="n">
        <v>1</v>
      </c>
      <c r="U2435" s="0" t="n">
        <v>1</v>
      </c>
      <c r="V2435" s="0" t="inlineStr">
        <is>
          <t>계단식</t>
        </is>
      </c>
      <c r="W2435" s="0" t="inlineStr">
        <is>
          <t>23A</t>
        </is>
      </c>
      <c r="X2435" s="0" t="n">
        <v>7</v>
      </c>
      <c r="Y2435" s="0" t="n">
        <v>5</v>
      </c>
      <c r="Z2435" s="0" t="inlineStr">
        <is>
          <t>https://new.land.naver.com/complexes/106976?tab=detail&amp;rf=Y</t>
        </is>
      </c>
      <c r="AA2435" s="0" t="inlineStr">
        <is>
          <t>서울시 강동구 암사동 501-7</t>
        </is>
      </c>
      <c r="AB2435" s="0" t="inlineStr">
        <is>
          <t>서울시</t>
        </is>
      </c>
      <c r="AC2435" s="0" t="inlineStr">
        <is>
          <t>강동구</t>
        </is>
      </c>
      <c r="AD2435" s="0" t="inlineStr">
        <is>
          <t>암사동</t>
        </is>
      </c>
      <c r="AG2435" s="0" t="inlineStr">
        <is>
          <t>서울시 강동구 올림픽로98길 8-12</t>
        </is>
      </c>
      <c r="AH2435" s="0" t="n">
        <v>0</v>
      </c>
      <c r="AI2435" s="0" t="n">
        <v>315</v>
      </c>
      <c r="AJ2435" s="0" t="n">
        <v>59</v>
      </c>
      <c r="AK2435" s="0" t="n">
        <v>3</v>
      </c>
      <c r="AL2435" s="0" t="n">
        <v>0.27</v>
      </c>
    </row>
    <row r="2436">
      <c r="A2436" s="0" t="inlineStr">
        <is>
          <t>[암사동]</t>
        </is>
      </c>
      <c r="B2436" s="0" t="n">
        <v>106976</v>
      </c>
      <c r="C2436" s="0" t="n">
        <v>4</v>
      </c>
      <c r="D2436" s="0" t="inlineStr">
        <is>
          <t>드림하우스(도시형)</t>
        </is>
      </c>
      <c r="E2436" s="0" t="inlineStr">
        <is>
          <t>2012.03.</t>
        </is>
      </c>
      <c r="F2436" s="0" t="n">
        <v>11</v>
      </c>
      <c r="G2436" s="0" t="n">
        <v>7.35</v>
      </c>
      <c r="H2436" s="0" t="n">
        <v>24.33</v>
      </c>
      <c r="I2436" s="0" t="n">
        <v>5.04</v>
      </c>
      <c r="J2436" s="0" t="n">
        <v>16.67</v>
      </c>
      <c r="K2436" s="0" t="n">
        <v>1</v>
      </c>
      <c r="T2436" s="0" t="n">
        <v>1</v>
      </c>
      <c r="U2436" s="0" t="n">
        <v>1</v>
      </c>
      <c r="V2436" s="0" t="inlineStr">
        <is>
          <t>계단식</t>
        </is>
      </c>
      <c r="W2436" s="0" t="inlineStr">
        <is>
          <t>24B</t>
        </is>
      </c>
      <c r="X2436" s="0" t="n">
        <v>7</v>
      </c>
      <c r="Y2436" s="0" t="n">
        <v>5</v>
      </c>
      <c r="Z2436" s="0" t="inlineStr">
        <is>
          <t>https://new.land.naver.com/complexes/106976?tab=detail&amp;rf=Y</t>
        </is>
      </c>
      <c r="AA2436" s="0" t="inlineStr">
        <is>
          <t>서울시 강동구 암사동 501-7</t>
        </is>
      </c>
      <c r="AB2436" s="0" t="inlineStr">
        <is>
          <t>서울시</t>
        </is>
      </c>
      <c r="AC2436" s="0" t="inlineStr">
        <is>
          <t>강동구</t>
        </is>
      </c>
      <c r="AD2436" s="0" t="inlineStr">
        <is>
          <t>암사동</t>
        </is>
      </c>
      <c r="AG2436" s="0" t="inlineStr">
        <is>
          <t>서울시 강동구 올림픽로98길 8-12</t>
        </is>
      </c>
      <c r="AH2436" s="0" t="n">
        <v>0</v>
      </c>
      <c r="AI2436" s="0" t="n">
        <v>315</v>
      </c>
      <c r="AJ2436" s="0" t="n">
        <v>59</v>
      </c>
      <c r="AK2436" s="0" t="n">
        <v>3</v>
      </c>
      <c r="AL2436" s="0" t="n">
        <v>0.27</v>
      </c>
    </row>
    <row r="2437">
      <c r="A2437" s="0" t="inlineStr">
        <is>
          <t>[암사동]</t>
        </is>
      </c>
      <c r="B2437" s="0" t="n">
        <v>106976</v>
      </c>
      <c r="C2437" s="0" t="n">
        <v>5</v>
      </c>
      <c r="D2437" s="0" t="inlineStr">
        <is>
          <t>드림하우스(도시형)</t>
        </is>
      </c>
      <c r="E2437" s="0" t="inlineStr">
        <is>
          <t>2012.03.</t>
        </is>
      </c>
      <c r="F2437" s="0" t="n">
        <v>11</v>
      </c>
      <c r="G2437" s="0" t="n">
        <v>7.65</v>
      </c>
      <c r="H2437" s="0" t="n">
        <v>25.31</v>
      </c>
      <c r="I2437" s="0" t="n">
        <v>5.7</v>
      </c>
      <c r="J2437" s="0" t="n">
        <v>18.86</v>
      </c>
      <c r="K2437" s="0" t="n">
        <v>1</v>
      </c>
      <c r="T2437" s="0" t="n">
        <v>1</v>
      </c>
      <c r="U2437" s="0" t="n">
        <v>1</v>
      </c>
      <c r="V2437" s="0" t="inlineStr">
        <is>
          <t>계단식</t>
        </is>
      </c>
      <c r="W2437" s="0" t="inlineStr">
        <is>
          <t>25A</t>
        </is>
      </c>
      <c r="X2437" s="0" t="n">
        <v>7</v>
      </c>
      <c r="Y2437" s="0" t="n">
        <v>5</v>
      </c>
      <c r="Z2437" s="0" t="inlineStr">
        <is>
          <t>https://new.land.naver.com/complexes/106976?tab=detail&amp;rf=Y</t>
        </is>
      </c>
      <c r="AA2437" s="0" t="inlineStr">
        <is>
          <t>서울시 강동구 암사동 501-7</t>
        </is>
      </c>
      <c r="AB2437" s="0" t="inlineStr">
        <is>
          <t>서울시</t>
        </is>
      </c>
      <c r="AC2437" s="0" t="inlineStr">
        <is>
          <t>강동구</t>
        </is>
      </c>
      <c r="AD2437" s="0" t="inlineStr">
        <is>
          <t>암사동</t>
        </is>
      </c>
      <c r="AG2437" s="0" t="inlineStr">
        <is>
          <t>서울시 강동구 올림픽로98길 8-12</t>
        </is>
      </c>
      <c r="AH2437" s="0" t="n">
        <v>0</v>
      </c>
      <c r="AI2437" s="0" t="n">
        <v>315</v>
      </c>
      <c r="AJ2437" s="0" t="n">
        <v>59</v>
      </c>
      <c r="AK2437" s="0" t="n">
        <v>3</v>
      </c>
      <c r="AL2437" s="0" t="n">
        <v>0.27</v>
      </c>
    </row>
    <row r="2438">
      <c r="A2438" s="0" t="inlineStr">
        <is>
          <t>[암사동]</t>
        </is>
      </c>
      <c r="B2438" s="0" t="n">
        <v>106976</v>
      </c>
      <c r="C2438" s="0" t="n">
        <v>6</v>
      </c>
      <c r="D2438" s="0" t="inlineStr">
        <is>
          <t>드림하우스(도시형)</t>
        </is>
      </c>
      <c r="E2438" s="0" t="inlineStr">
        <is>
          <t>2012.03.</t>
        </is>
      </c>
      <c r="F2438" s="0" t="n">
        <v>11</v>
      </c>
      <c r="G2438" s="0" t="n">
        <v>8.43</v>
      </c>
      <c r="H2438" s="0" t="n">
        <v>27.9</v>
      </c>
      <c r="I2438" s="0" t="n">
        <v>6.16</v>
      </c>
      <c r="J2438" s="0" t="n">
        <v>20.39</v>
      </c>
      <c r="K2438" s="0" t="n">
        <v>1</v>
      </c>
      <c r="T2438" s="0" t="n">
        <v>1</v>
      </c>
      <c r="U2438" s="0" t="n">
        <v>1</v>
      </c>
      <c r="V2438" s="0" t="inlineStr">
        <is>
          <t>계단식</t>
        </is>
      </c>
      <c r="W2438" s="0" t="inlineStr">
        <is>
          <t>27B</t>
        </is>
      </c>
      <c r="X2438" s="0" t="n">
        <v>7</v>
      </c>
      <c r="Y2438" s="0" t="n">
        <v>5</v>
      </c>
      <c r="Z2438" s="0" t="inlineStr">
        <is>
          <t>https://new.land.naver.com/complexes/106976?tab=detail&amp;rf=Y</t>
        </is>
      </c>
      <c r="AA2438" s="0" t="inlineStr">
        <is>
          <t>서울시 강동구 암사동 501-7</t>
        </is>
      </c>
      <c r="AB2438" s="0" t="inlineStr">
        <is>
          <t>서울시</t>
        </is>
      </c>
      <c r="AC2438" s="0" t="inlineStr">
        <is>
          <t>강동구</t>
        </is>
      </c>
      <c r="AD2438" s="0" t="inlineStr">
        <is>
          <t>암사동</t>
        </is>
      </c>
      <c r="AG2438" s="0" t="inlineStr">
        <is>
          <t>서울시 강동구 올림픽로98길 8-12</t>
        </is>
      </c>
      <c r="AH2438" s="0" t="n">
        <v>0</v>
      </c>
      <c r="AI2438" s="0" t="n">
        <v>315</v>
      </c>
      <c r="AJ2438" s="0" t="n">
        <v>59</v>
      </c>
      <c r="AK2438" s="0" t="n">
        <v>3</v>
      </c>
      <c r="AL2438" s="0" t="n">
        <v>0.27</v>
      </c>
    </row>
    <row r="2439">
      <c r="A2439" s="0" t="inlineStr">
        <is>
          <t>[암사동]</t>
        </is>
      </c>
      <c r="B2439" s="0" t="n">
        <v>106976</v>
      </c>
      <c r="C2439" s="0" t="n">
        <v>7</v>
      </c>
      <c r="D2439" s="0" t="inlineStr">
        <is>
          <t>드림하우스(도시형)</t>
        </is>
      </c>
      <c r="E2439" s="0" t="inlineStr">
        <is>
          <t>2012.03.</t>
        </is>
      </c>
      <c r="F2439" s="0" t="n">
        <v>11</v>
      </c>
      <c r="G2439" s="0" t="n">
        <v>10.43</v>
      </c>
      <c r="H2439" s="0" t="n">
        <v>34.49</v>
      </c>
      <c r="I2439" s="0" t="n">
        <v>8.289999999999999</v>
      </c>
      <c r="J2439" s="0" t="n">
        <v>27.43</v>
      </c>
      <c r="K2439" s="0" t="n">
        <v>1</v>
      </c>
      <c r="T2439" s="0" t="n">
        <v>1</v>
      </c>
      <c r="U2439" s="0" t="n">
        <v>1</v>
      </c>
      <c r="V2439" s="0" t="inlineStr">
        <is>
          <t>계단식</t>
        </is>
      </c>
      <c r="W2439" s="0" t="n">
        <v>34</v>
      </c>
      <c r="X2439" s="0" t="n">
        <v>7</v>
      </c>
      <c r="Y2439" s="0" t="n">
        <v>5</v>
      </c>
      <c r="Z2439" s="0" t="inlineStr">
        <is>
          <t>https://new.land.naver.com/complexes/106976?tab=detail&amp;rf=Y</t>
        </is>
      </c>
      <c r="AA2439" s="0" t="inlineStr">
        <is>
          <t>서울시 강동구 암사동 501-7</t>
        </is>
      </c>
      <c r="AB2439" s="0" t="inlineStr">
        <is>
          <t>서울시</t>
        </is>
      </c>
      <c r="AC2439" s="0" t="inlineStr">
        <is>
          <t>강동구</t>
        </is>
      </c>
      <c r="AD2439" s="0" t="inlineStr">
        <is>
          <t>암사동</t>
        </is>
      </c>
      <c r="AG2439" s="0" t="inlineStr">
        <is>
          <t>서울시 강동구 올림픽로98길 8-12</t>
        </is>
      </c>
      <c r="AH2439" s="0" t="n">
        <v>0</v>
      </c>
      <c r="AI2439" s="0" t="n">
        <v>315</v>
      </c>
      <c r="AJ2439" s="0" t="n">
        <v>59</v>
      </c>
      <c r="AK2439" s="0" t="n">
        <v>3</v>
      </c>
      <c r="AL2439" s="0" t="n">
        <v>0.27</v>
      </c>
    </row>
    <row r="2440">
      <c r="A2440" s="0" t="inlineStr">
        <is>
          <t>[암사동]</t>
        </is>
      </c>
      <c r="B2440" s="0" t="n">
        <v>106976</v>
      </c>
      <c r="C2440" s="0" t="n">
        <v>8</v>
      </c>
      <c r="D2440" s="0" t="inlineStr">
        <is>
          <t>드림하우스(도시형)</t>
        </is>
      </c>
      <c r="E2440" s="0" t="inlineStr">
        <is>
          <t>2012.03.</t>
        </is>
      </c>
      <c r="F2440" s="0" t="n">
        <v>11</v>
      </c>
      <c r="G2440" s="0" t="n">
        <v>23.05</v>
      </c>
      <c r="H2440" s="0" t="n">
        <v>76.20999999999999</v>
      </c>
      <c r="I2440" s="0" t="n">
        <v>16.58</v>
      </c>
      <c r="J2440" s="0" t="n">
        <v>54.82</v>
      </c>
      <c r="K2440" s="0" t="n">
        <v>1</v>
      </c>
      <c r="T2440" s="0" t="n">
        <v>3</v>
      </c>
      <c r="U2440" s="0" t="n">
        <v>1</v>
      </c>
      <c r="V2440" s="0" t="inlineStr">
        <is>
          <t>계단식</t>
        </is>
      </c>
      <c r="W2440" s="0" t="n">
        <v>76</v>
      </c>
      <c r="X2440" s="0" t="n">
        <v>7</v>
      </c>
      <c r="Y2440" s="0" t="n">
        <v>5</v>
      </c>
      <c r="Z2440" s="0" t="inlineStr">
        <is>
          <t>https://new.land.naver.com/complexes/106976?tab=detail&amp;rf=Y</t>
        </is>
      </c>
      <c r="AA2440" s="0" t="inlineStr">
        <is>
          <t>서울시 강동구 암사동 501-7</t>
        </is>
      </c>
      <c r="AB2440" s="0" t="inlineStr">
        <is>
          <t>서울시</t>
        </is>
      </c>
      <c r="AC2440" s="0" t="inlineStr">
        <is>
          <t>강동구</t>
        </is>
      </c>
      <c r="AD2440" s="0" t="inlineStr">
        <is>
          <t>암사동</t>
        </is>
      </c>
      <c r="AG2440" s="0" t="inlineStr">
        <is>
          <t>서울시 강동구 올림픽로98길 8-12</t>
        </is>
      </c>
      <c r="AH2440" s="0" t="n">
        <v>0</v>
      </c>
      <c r="AI2440" s="0" t="n">
        <v>315</v>
      </c>
      <c r="AJ2440" s="0" t="n">
        <v>59</v>
      </c>
      <c r="AK2440" s="0" t="n">
        <v>3</v>
      </c>
      <c r="AL2440" s="0" t="n">
        <v>0.27</v>
      </c>
    </row>
    <row r="2441">
      <c r="A2441" s="0" t="inlineStr">
        <is>
          <t>[암사동]</t>
        </is>
      </c>
      <c r="B2441" s="0" t="n">
        <v>106976</v>
      </c>
      <c r="C2441" s="0" t="n">
        <v>9</v>
      </c>
      <c r="D2441" s="0" t="inlineStr">
        <is>
          <t>드림하우스(도시형)</t>
        </is>
      </c>
      <c r="E2441" s="0" t="inlineStr">
        <is>
          <t>2012.03.</t>
        </is>
      </c>
      <c r="F2441" s="0" t="n">
        <v>11</v>
      </c>
      <c r="G2441" s="0" t="n">
        <v>26.75</v>
      </c>
      <c r="H2441" s="0" t="n">
        <v>88.45999999999999</v>
      </c>
      <c r="I2441" s="0" t="n">
        <v>19.52</v>
      </c>
      <c r="J2441" s="0" t="n">
        <v>64.53</v>
      </c>
      <c r="K2441" s="0" t="n">
        <v>1</v>
      </c>
      <c r="T2441" s="0" t="n">
        <v>3</v>
      </c>
      <c r="U2441" s="0" t="n">
        <v>1</v>
      </c>
      <c r="V2441" s="0" t="inlineStr">
        <is>
          <t>계단식</t>
        </is>
      </c>
      <c r="W2441" s="0" t="n">
        <v>88</v>
      </c>
      <c r="X2441" s="0" t="n">
        <v>7</v>
      </c>
      <c r="Y2441" s="0" t="n">
        <v>5</v>
      </c>
      <c r="Z2441" s="0" t="inlineStr">
        <is>
          <t>https://new.land.naver.com/complexes/106976?tab=detail&amp;rf=Y</t>
        </is>
      </c>
      <c r="AA2441" s="0" t="inlineStr">
        <is>
          <t>서울시 강동구 암사동 501-7</t>
        </is>
      </c>
      <c r="AB2441" s="0" t="inlineStr">
        <is>
          <t>서울시</t>
        </is>
      </c>
      <c r="AC2441" s="0" t="inlineStr">
        <is>
          <t>강동구</t>
        </is>
      </c>
      <c r="AD2441" s="0" t="inlineStr">
        <is>
          <t>암사동</t>
        </is>
      </c>
      <c r="AG2441" s="0" t="inlineStr">
        <is>
          <t>서울시 강동구 올림픽로98길 8-12</t>
        </is>
      </c>
      <c r="AH2441" s="0" t="n">
        <v>0</v>
      </c>
      <c r="AI2441" s="0" t="n">
        <v>315</v>
      </c>
      <c r="AJ2441" s="0" t="n">
        <v>59</v>
      </c>
      <c r="AK2441" s="0" t="n">
        <v>3</v>
      </c>
      <c r="AL2441" s="0" t="n">
        <v>0.27</v>
      </c>
    </row>
    <row r="2442">
      <c r="A2442" s="0" t="inlineStr">
        <is>
          <t>[암사동]</t>
        </is>
      </c>
      <c r="B2442" s="0" t="n">
        <v>24365</v>
      </c>
      <c r="C2442" s="0" t="n">
        <v>1</v>
      </c>
      <c r="D2442" s="0" t="inlineStr">
        <is>
          <t>영진해가든</t>
        </is>
      </c>
      <c r="E2442" s="0" t="inlineStr">
        <is>
          <t>2004.04.</t>
        </is>
      </c>
      <c r="F2442" s="0" t="n">
        <v>25</v>
      </c>
      <c r="G2442" s="0" t="n">
        <v>20.6</v>
      </c>
      <c r="H2442" s="0" t="n">
        <v>68.13</v>
      </c>
      <c r="I2442" s="0" t="n">
        <v>17.7</v>
      </c>
      <c r="J2442" s="0" t="n">
        <v>58.53</v>
      </c>
      <c r="K2442" s="0" t="n">
        <v>3</v>
      </c>
      <c r="T2442" s="0" t="n">
        <v>3</v>
      </c>
      <c r="U2442" s="0" t="n">
        <v>1</v>
      </c>
      <c r="V2442" s="0" t="inlineStr">
        <is>
          <t>계단식</t>
        </is>
      </c>
      <c r="W2442" s="0" t="n">
        <v>68</v>
      </c>
      <c r="X2442" s="0" t="n">
        <v>6</v>
      </c>
      <c r="Y2442" s="0" t="n">
        <v>5</v>
      </c>
      <c r="Z2442" s="0" t="inlineStr">
        <is>
          <t>https://new.land.naver.com/complexes/24365?tab=detail&amp;rf=Y</t>
        </is>
      </c>
      <c r="AA2442" s="0" t="inlineStr">
        <is>
          <t>서울시 강동구 암사동 485-1</t>
        </is>
      </c>
      <c r="AB2442" s="0" t="inlineStr">
        <is>
          <t>서울시</t>
        </is>
      </c>
      <c r="AC2442" s="0" t="inlineStr">
        <is>
          <t>강동구</t>
        </is>
      </c>
      <c r="AD2442" s="0" t="inlineStr">
        <is>
          <t>암사동</t>
        </is>
      </c>
      <c r="AG2442" s="0" t="inlineStr">
        <is>
          <t>서울시 강동구 구천면로47가길 14-36</t>
        </is>
      </c>
      <c r="AH2442" s="0" t="n">
        <v>0</v>
      </c>
      <c r="AI2442" s="0" t="n">
        <v>0</v>
      </c>
      <c r="AJ2442" s="0" t="n">
        <v>0</v>
      </c>
      <c r="AK2442" s="0" t="n">
        <v>26</v>
      </c>
      <c r="AL2442" s="0" t="n">
        <v>1.04</v>
      </c>
    </row>
    <row r="2443">
      <c r="A2443" s="0" t="inlineStr">
        <is>
          <t>[암사동]</t>
        </is>
      </c>
      <c r="B2443" s="0" t="n">
        <v>24365</v>
      </c>
      <c r="C2443" s="0" t="n">
        <v>2</v>
      </c>
      <c r="D2443" s="0" t="inlineStr">
        <is>
          <t>영진해가든</t>
        </is>
      </c>
      <c r="E2443" s="0" t="inlineStr">
        <is>
          <t>2004.04.</t>
        </is>
      </c>
      <c r="F2443" s="0" t="n">
        <v>25</v>
      </c>
      <c r="G2443" s="0" t="n">
        <v>24.38</v>
      </c>
      <c r="H2443" s="0" t="n">
        <v>80.61</v>
      </c>
      <c r="I2443" s="0" t="n">
        <v>19.55</v>
      </c>
      <c r="J2443" s="0" t="n">
        <v>64.66</v>
      </c>
      <c r="K2443" s="0" t="n">
        <v>1</v>
      </c>
      <c r="T2443" s="0" t="n">
        <v>3</v>
      </c>
      <c r="U2443" s="0" t="n">
        <v>2</v>
      </c>
      <c r="V2443" s="0" t="inlineStr">
        <is>
          <t>계단식</t>
        </is>
      </c>
      <c r="W2443" s="0" t="n">
        <v>80</v>
      </c>
      <c r="X2443" s="0" t="n">
        <v>6</v>
      </c>
      <c r="Y2443" s="0" t="n">
        <v>5</v>
      </c>
      <c r="Z2443" s="0" t="inlineStr">
        <is>
          <t>https://new.land.naver.com/complexes/24365?tab=detail&amp;rf=Y</t>
        </is>
      </c>
      <c r="AA2443" s="0" t="inlineStr">
        <is>
          <t>서울시 강동구 암사동 485-1</t>
        </is>
      </c>
      <c r="AB2443" s="0" t="inlineStr">
        <is>
          <t>서울시</t>
        </is>
      </c>
      <c r="AC2443" s="0" t="inlineStr">
        <is>
          <t>강동구</t>
        </is>
      </c>
      <c r="AD2443" s="0" t="inlineStr">
        <is>
          <t>암사동</t>
        </is>
      </c>
      <c r="AG2443" s="0" t="inlineStr">
        <is>
          <t>서울시 강동구 구천면로47가길 14-36</t>
        </is>
      </c>
      <c r="AH2443" s="0" t="n">
        <v>0</v>
      </c>
      <c r="AI2443" s="0" t="n">
        <v>0</v>
      </c>
      <c r="AJ2443" s="0" t="n">
        <v>0</v>
      </c>
      <c r="AK2443" s="0" t="n">
        <v>26</v>
      </c>
      <c r="AL2443" s="0" t="n">
        <v>1.04</v>
      </c>
    </row>
    <row r="2444">
      <c r="A2444" s="0" t="inlineStr">
        <is>
          <t>[암사동]</t>
        </is>
      </c>
      <c r="B2444" s="0" t="n">
        <v>24365</v>
      </c>
      <c r="C2444" s="0" t="n">
        <v>3</v>
      </c>
      <c r="D2444" s="0" t="inlineStr">
        <is>
          <t>영진해가든</t>
        </is>
      </c>
      <c r="E2444" s="0" t="inlineStr">
        <is>
          <t>2004.04.</t>
        </is>
      </c>
      <c r="F2444" s="0" t="n">
        <v>25</v>
      </c>
      <c r="G2444" s="0" t="n">
        <v>26.01</v>
      </c>
      <c r="H2444" s="0" t="n">
        <v>86.01000000000001</v>
      </c>
      <c r="I2444" s="0" t="n">
        <v>20.87</v>
      </c>
      <c r="J2444" s="0" t="n">
        <v>69</v>
      </c>
      <c r="K2444" s="0" t="n">
        <v>5</v>
      </c>
      <c r="T2444" s="0" t="n">
        <v>3</v>
      </c>
      <c r="U2444" s="0" t="n">
        <v>1</v>
      </c>
      <c r="V2444" s="0" t="inlineStr">
        <is>
          <t>계단식</t>
        </is>
      </c>
      <c r="W2444" s="0" t="inlineStr">
        <is>
          <t>86A</t>
        </is>
      </c>
      <c r="X2444" s="0" t="n">
        <v>6</v>
      </c>
      <c r="Y2444" s="0" t="n">
        <v>5</v>
      </c>
      <c r="Z2444" s="0" t="inlineStr">
        <is>
          <t>https://new.land.naver.com/complexes/24365?tab=detail&amp;rf=Y</t>
        </is>
      </c>
      <c r="AA2444" s="0" t="inlineStr">
        <is>
          <t>서울시 강동구 암사동 485-1</t>
        </is>
      </c>
      <c r="AB2444" s="0" t="inlineStr">
        <is>
          <t>서울시</t>
        </is>
      </c>
      <c r="AC2444" s="0" t="inlineStr">
        <is>
          <t>강동구</t>
        </is>
      </c>
      <c r="AD2444" s="0" t="inlineStr">
        <is>
          <t>암사동</t>
        </is>
      </c>
      <c r="AG2444" s="0" t="inlineStr">
        <is>
          <t>서울시 강동구 구천면로47가길 14-36</t>
        </is>
      </c>
      <c r="AH2444" s="0" t="n">
        <v>0</v>
      </c>
      <c r="AI2444" s="0" t="n">
        <v>0</v>
      </c>
      <c r="AJ2444" s="0" t="n">
        <v>0</v>
      </c>
      <c r="AK2444" s="0" t="n">
        <v>26</v>
      </c>
      <c r="AL2444" s="0" t="n">
        <v>1.04</v>
      </c>
    </row>
    <row r="2445">
      <c r="A2445" s="0" t="inlineStr">
        <is>
          <t>[암사동]</t>
        </is>
      </c>
      <c r="B2445" s="0" t="n">
        <v>24365</v>
      </c>
      <c r="C2445" s="0" t="n">
        <v>4</v>
      </c>
      <c r="D2445" s="0" t="inlineStr">
        <is>
          <t>영진해가든</t>
        </is>
      </c>
      <c r="E2445" s="0" t="inlineStr">
        <is>
          <t>2004.04.</t>
        </is>
      </c>
      <c r="F2445" s="0" t="n">
        <v>25</v>
      </c>
      <c r="G2445" s="0" t="n">
        <v>26.15</v>
      </c>
      <c r="H2445" s="0" t="n">
        <v>86.45999999999999</v>
      </c>
      <c r="I2445" s="0" t="n">
        <v>22.46</v>
      </c>
      <c r="J2445" s="0" t="n">
        <v>74.28</v>
      </c>
      <c r="K2445" s="0" t="n">
        <v>1</v>
      </c>
      <c r="T2445" s="0" t="n">
        <v>3</v>
      </c>
      <c r="U2445" s="0" t="n">
        <v>1</v>
      </c>
      <c r="V2445" s="0" t="inlineStr">
        <is>
          <t>계단식</t>
        </is>
      </c>
      <c r="W2445" s="0" t="inlineStr">
        <is>
          <t>86B</t>
        </is>
      </c>
      <c r="X2445" s="0" t="n">
        <v>6</v>
      </c>
      <c r="Y2445" s="0" t="n">
        <v>5</v>
      </c>
      <c r="Z2445" s="0" t="inlineStr">
        <is>
          <t>https://new.land.naver.com/complexes/24365?tab=detail&amp;rf=Y</t>
        </is>
      </c>
      <c r="AA2445" s="0" t="inlineStr">
        <is>
          <t>서울시 강동구 암사동 485-1</t>
        </is>
      </c>
      <c r="AB2445" s="0" t="inlineStr">
        <is>
          <t>서울시</t>
        </is>
      </c>
      <c r="AC2445" s="0" t="inlineStr">
        <is>
          <t>강동구</t>
        </is>
      </c>
      <c r="AD2445" s="0" t="inlineStr">
        <is>
          <t>암사동</t>
        </is>
      </c>
      <c r="AG2445" s="0" t="inlineStr">
        <is>
          <t>서울시 강동구 구천면로47가길 14-36</t>
        </is>
      </c>
      <c r="AH2445" s="0" t="n">
        <v>0</v>
      </c>
      <c r="AI2445" s="0" t="n">
        <v>0</v>
      </c>
      <c r="AJ2445" s="0" t="n">
        <v>0</v>
      </c>
      <c r="AK2445" s="0" t="n">
        <v>26</v>
      </c>
      <c r="AL2445" s="0" t="n">
        <v>1.04</v>
      </c>
    </row>
    <row r="2446">
      <c r="A2446" s="0" t="inlineStr">
        <is>
          <t>[암사동]</t>
        </is>
      </c>
      <c r="B2446" s="0" t="n">
        <v>24365</v>
      </c>
      <c r="C2446" s="0" t="n">
        <v>5</v>
      </c>
      <c r="D2446" s="0" t="inlineStr">
        <is>
          <t>영진해가든</t>
        </is>
      </c>
      <c r="E2446" s="0" t="inlineStr">
        <is>
          <t>2004.04.</t>
        </is>
      </c>
      <c r="F2446" s="0" t="n">
        <v>25</v>
      </c>
      <c r="G2446" s="0" t="n">
        <v>26.51</v>
      </c>
      <c r="H2446" s="0" t="n">
        <v>87.65000000000001</v>
      </c>
      <c r="I2446" s="0" t="n">
        <v>22.77</v>
      </c>
      <c r="J2446" s="0" t="n">
        <v>75.29000000000001</v>
      </c>
      <c r="K2446" s="0" t="n">
        <v>2</v>
      </c>
      <c r="T2446" s="0" t="n">
        <v>3</v>
      </c>
      <c r="U2446" s="0" t="n">
        <v>2</v>
      </c>
      <c r="V2446" s="0" t="inlineStr">
        <is>
          <t>계단식</t>
        </is>
      </c>
      <c r="W2446" s="0" t="inlineStr">
        <is>
          <t>87A</t>
        </is>
      </c>
      <c r="X2446" s="0" t="n">
        <v>6</v>
      </c>
      <c r="Y2446" s="0" t="n">
        <v>5</v>
      </c>
      <c r="Z2446" s="0" t="inlineStr">
        <is>
          <t>https://new.land.naver.com/complexes/24365?tab=detail&amp;rf=Y</t>
        </is>
      </c>
      <c r="AA2446" s="0" t="inlineStr">
        <is>
          <t>서울시 강동구 암사동 485-1</t>
        </is>
      </c>
      <c r="AB2446" s="0" t="inlineStr">
        <is>
          <t>서울시</t>
        </is>
      </c>
      <c r="AC2446" s="0" t="inlineStr">
        <is>
          <t>강동구</t>
        </is>
      </c>
      <c r="AD2446" s="0" t="inlineStr">
        <is>
          <t>암사동</t>
        </is>
      </c>
      <c r="AG2446" s="0" t="inlineStr">
        <is>
          <t>서울시 강동구 구천면로47가길 14-36</t>
        </is>
      </c>
      <c r="AH2446" s="0" t="n">
        <v>0</v>
      </c>
      <c r="AI2446" s="0" t="n">
        <v>0</v>
      </c>
      <c r="AJ2446" s="0" t="n">
        <v>0</v>
      </c>
      <c r="AK2446" s="0" t="n">
        <v>26</v>
      </c>
      <c r="AL2446" s="0" t="n">
        <v>1.04</v>
      </c>
    </row>
    <row r="2447">
      <c r="A2447" s="0" t="inlineStr">
        <is>
          <t>[암사동]</t>
        </is>
      </c>
      <c r="B2447" s="0" t="n">
        <v>24365</v>
      </c>
      <c r="C2447" s="0" t="n">
        <v>6</v>
      </c>
      <c r="D2447" s="0" t="inlineStr">
        <is>
          <t>영진해가든</t>
        </is>
      </c>
      <c r="E2447" s="0" t="inlineStr">
        <is>
          <t>2004.04.</t>
        </is>
      </c>
      <c r="F2447" s="0" t="n">
        <v>25</v>
      </c>
      <c r="G2447" s="0" t="n">
        <v>26.98</v>
      </c>
      <c r="H2447" s="0" t="n">
        <v>89.20999999999999</v>
      </c>
      <c r="I2447" s="0" t="n">
        <v>23.18</v>
      </c>
      <c r="J2447" s="0" t="n">
        <v>76.64</v>
      </c>
      <c r="K2447" s="0" t="n">
        <v>12</v>
      </c>
      <c r="T2447" s="0" t="n">
        <v>3</v>
      </c>
      <c r="U2447" s="0" t="n">
        <v>2</v>
      </c>
      <c r="V2447" s="0" t="inlineStr">
        <is>
          <t>계단식</t>
        </is>
      </c>
      <c r="W2447" s="0" t="inlineStr">
        <is>
          <t>89B</t>
        </is>
      </c>
      <c r="X2447" s="0" t="n">
        <v>6</v>
      </c>
      <c r="Y2447" s="0" t="n">
        <v>5</v>
      </c>
      <c r="Z2447" s="0" t="inlineStr">
        <is>
          <t>https://new.land.naver.com/complexes/24365?tab=detail&amp;rf=Y</t>
        </is>
      </c>
      <c r="AA2447" s="0" t="inlineStr">
        <is>
          <t>서울시 강동구 암사동 485-1</t>
        </is>
      </c>
      <c r="AB2447" s="0" t="inlineStr">
        <is>
          <t>서울시</t>
        </is>
      </c>
      <c r="AC2447" s="0" t="inlineStr">
        <is>
          <t>강동구</t>
        </is>
      </c>
      <c r="AD2447" s="0" t="inlineStr">
        <is>
          <t>암사동</t>
        </is>
      </c>
      <c r="AG2447" s="0" t="inlineStr">
        <is>
          <t>서울시 강동구 구천면로47가길 14-36</t>
        </is>
      </c>
      <c r="AH2447" s="0" t="n">
        <v>0</v>
      </c>
      <c r="AI2447" s="0" t="n">
        <v>0</v>
      </c>
      <c r="AJ2447" s="0" t="n">
        <v>0</v>
      </c>
      <c r="AK2447" s="0" t="n">
        <v>26</v>
      </c>
      <c r="AL2447" s="0" t="n">
        <v>1.04</v>
      </c>
    </row>
    <row r="2448">
      <c r="A2448" s="0" t="inlineStr">
        <is>
          <t>[암사동]</t>
        </is>
      </c>
      <c r="B2448" s="0" t="n">
        <v>24365</v>
      </c>
      <c r="C2448" s="0" t="n">
        <v>7</v>
      </c>
      <c r="D2448" s="0" t="inlineStr">
        <is>
          <t>영진해가든</t>
        </is>
      </c>
      <c r="E2448" s="0" t="inlineStr">
        <is>
          <t>2004.04.</t>
        </is>
      </c>
      <c r="F2448" s="0" t="n">
        <v>25</v>
      </c>
      <c r="G2448" s="0" t="n">
        <v>45.69</v>
      </c>
      <c r="H2448" s="0" t="n">
        <v>151.05</v>
      </c>
      <c r="I2448" s="0" t="n">
        <v>39.25</v>
      </c>
      <c r="J2448" s="0" t="n">
        <v>129.77</v>
      </c>
      <c r="K2448" s="0" t="n">
        <v>1</v>
      </c>
      <c r="T2448" s="0" t="n">
        <v>4</v>
      </c>
      <c r="U2448" s="0" t="n">
        <v>2</v>
      </c>
      <c r="V2448" s="0" t="inlineStr">
        <is>
          <t>계단식</t>
        </is>
      </c>
      <c r="W2448" s="0" t="n">
        <v>151</v>
      </c>
      <c r="X2448" s="0" t="n">
        <v>6</v>
      </c>
      <c r="Y2448" s="0" t="n">
        <v>5</v>
      </c>
      <c r="Z2448" s="0" t="inlineStr">
        <is>
          <t>https://new.land.naver.com/complexes/24365?tab=detail&amp;rf=Y</t>
        </is>
      </c>
      <c r="AA2448" s="0" t="inlineStr">
        <is>
          <t>서울시 강동구 암사동 485-1</t>
        </is>
      </c>
      <c r="AB2448" s="0" t="inlineStr">
        <is>
          <t>서울시</t>
        </is>
      </c>
      <c r="AC2448" s="0" t="inlineStr">
        <is>
          <t>강동구</t>
        </is>
      </c>
      <c r="AD2448" s="0" t="inlineStr">
        <is>
          <t>암사동</t>
        </is>
      </c>
      <c r="AG2448" s="0" t="inlineStr">
        <is>
          <t>서울시 강동구 구천면로47가길 14-36</t>
        </is>
      </c>
      <c r="AH2448" s="0" t="n">
        <v>0</v>
      </c>
      <c r="AI2448" s="0" t="n">
        <v>0</v>
      </c>
      <c r="AJ2448" s="0" t="n">
        <v>0</v>
      </c>
      <c r="AK2448" s="0" t="n">
        <v>26</v>
      </c>
      <c r="AL2448" s="0" t="n">
        <v>1.04</v>
      </c>
    </row>
    <row r="2449">
      <c r="A2449" s="0" t="inlineStr">
        <is>
          <t>[암사동]</t>
        </is>
      </c>
      <c r="B2449" s="0" t="n">
        <v>3118</v>
      </c>
      <c r="C2449" s="0" t="n">
        <v>1</v>
      </c>
      <c r="D2449" s="0" t="inlineStr">
        <is>
          <t>선사현대</t>
        </is>
      </c>
      <c r="E2449" s="0" t="inlineStr">
        <is>
          <t>2000.06.</t>
        </is>
      </c>
      <c r="F2449" s="0" t="n">
        <v>2938</v>
      </c>
      <c r="G2449" s="0" t="n">
        <v>24.28</v>
      </c>
      <c r="H2449" s="0" t="n">
        <v>80.29000000000001</v>
      </c>
      <c r="I2449" s="0" t="n">
        <v>17.75</v>
      </c>
      <c r="J2449" s="0" t="n">
        <v>58.68</v>
      </c>
      <c r="K2449" s="0" t="n">
        <v>264</v>
      </c>
      <c r="T2449" s="0" t="n">
        <v>3</v>
      </c>
      <c r="U2449" s="0" t="n">
        <v>1</v>
      </c>
      <c r="V2449" s="0" t="inlineStr">
        <is>
          <t>복도식</t>
        </is>
      </c>
      <c r="W2449" s="0" t="inlineStr">
        <is>
          <t>80B</t>
        </is>
      </c>
      <c r="X2449" s="0" t="n">
        <v>28</v>
      </c>
      <c r="Y2449" s="0" t="n">
        <v>9</v>
      </c>
      <c r="Z2449" s="0" t="inlineStr">
        <is>
          <t>https://new.land.naver.com/complexes/3118?tab=detail&amp;rf=Y</t>
        </is>
      </c>
      <c r="AA2449" s="0" t="inlineStr">
        <is>
          <t>서울시 강동구 암사동 509</t>
        </is>
      </c>
      <c r="AB2449" s="0" t="inlineStr">
        <is>
          <t>서울시</t>
        </is>
      </c>
      <c r="AC2449" s="0" t="inlineStr">
        <is>
          <t>강동구</t>
        </is>
      </c>
      <c r="AD2449" s="0" t="inlineStr">
        <is>
          <t>암사동</t>
        </is>
      </c>
      <c r="AG2449" s="0" t="inlineStr">
        <is>
          <t>서울시 강동구 상암로 11</t>
        </is>
      </c>
      <c r="AH2449" s="0" t="n">
        <v>0</v>
      </c>
      <c r="AI2449" s="0" t="n">
        <v>393</v>
      </c>
      <c r="AJ2449" s="0" t="n">
        <v>22</v>
      </c>
      <c r="AK2449" s="0" t="n">
        <v>3012</v>
      </c>
      <c r="AL2449" s="0" t="n">
        <v>1.03</v>
      </c>
    </row>
    <row r="2450">
      <c r="A2450" s="0" t="inlineStr">
        <is>
          <t>[암사동]</t>
        </is>
      </c>
      <c r="B2450" s="0" t="n">
        <v>3118</v>
      </c>
      <c r="C2450" s="0" t="n">
        <v>2</v>
      </c>
      <c r="D2450" s="0" t="inlineStr">
        <is>
          <t>선사현대</t>
        </is>
      </c>
      <c r="E2450" s="0" t="inlineStr">
        <is>
          <t>2000.06.</t>
        </is>
      </c>
      <c r="F2450" s="0" t="n">
        <v>2938</v>
      </c>
      <c r="G2450" s="0" t="n">
        <v>24.68</v>
      </c>
      <c r="H2450" s="0" t="n">
        <v>81.61</v>
      </c>
      <c r="I2450" s="0" t="n">
        <v>18.04</v>
      </c>
      <c r="J2450" s="0" t="n">
        <v>59.64</v>
      </c>
      <c r="K2450" s="0" t="n">
        <v>1139</v>
      </c>
      <c r="T2450" s="0" t="n">
        <v>3</v>
      </c>
      <c r="U2450" s="0" t="n">
        <v>1</v>
      </c>
      <c r="V2450" s="0" t="inlineStr">
        <is>
          <t>복도식</t>
        </is>
      </c>
      <c r="W2450" s="0" t="inlineStr">
        <is>
          <t>81A</t>
        </is>
      </c>
      <c r="X2450" s="0" t="n">
        <v>28</v>
      </c>
      <c r="Y2450" s="0" t="n">
        <v>9</v>
      </c>
      <c r="Z2450" s="0" t="inlineStr">
        <is>
          <t>https://new.land.naver.com/complexes/3118?tab=detail&amp;rf=Y</t>
        </is>
      </c>
      <c r="AA2450" s="0" t="inlineStr">
        <is>
          <t>서울시 강동구 암사동 509</t>
        </is>
      </c>
      <c r="AB2450" s="0" t="inlineStr">
        <is>
          <t>서울시</t>
        </is>
      </c>
      <c r="AC2450" s="0" t="inlineStr">
        <is>
          <t>강동구</t>
        </is>
      </c>
      <c r="AD2450" s="0" t="inlineStr">
        <is>
          <t>암사동</t>
        </is>
      </c>
      <c r="AG2450" s="0" t="inlineStr">
        <is>
          <t>서울시 강동구 상암로 11</t>
        </is>
      </c>
      <c r="AH2450" s="0" t="n">
        <v>0</v>
      </c>
      <c r="AI2450" s="0" t="n">
        <v>393</v>
      </c>
      <c r="AJ2450" s="0" t="n">
        <v>22</v>
      </c>
      <c r="AK2450" s="0" t="n">
        <v>3012</v>
      </c>
      <c r="AL2450" s="0" t="n">
        <v>1.03</v>
      </c>
    </row>
    <row r="2451">
      <c r="A2451" s="0" t="inlineStr">
        <is>
          <t>[암사동]</t>
        </is>
      </c>
      <c r="B2451" s="0" t="n">
        <v>3118</v>
      </c>
      <c r="C2451" s="0" t="n">
        <v>3</v>
      </c>
      <c r="D2451" s="0" t="inlineStr">
        <is>
          <t>선사현대</t>
        </is>
      </c>
      <c r="E2451" s="0" t="inlineStr">
        <is>
          <t>2000.06.</t>
        </is>
      </c>
      <c r="F2451" s="0" t="n">
        <v>2938</v>
      </c>
      <c r="G2451" s="0" t="n">
        <v>30.15</v>
      </c>
      <c r="H2451" s="0" t="n">
        <v>99.67</v>
      </c>
      <c r="I2451" s="0" t="n">
        <v>22.03</v>
      </c>
      <c r="J2451" s="0" t="n">
        <v>72.84999999999999</v>
      </c>
      <c r="K2451" s="0" t="n">
        <v>521</v>
      </c>
      <c r="T2451" s="0" t="n">
        <v>3</v>
      </c>
      <c r="U2451" s="0" t="n">
        <v>1</v>
      </c>
      <c r="V2451" s="0" t="inlineStr">
        <is>
          <t>복도식</t>
        </is>
      </c>
      <c r="W2451" s="0" t="n">
        <v>99</v>
      </c>
      <c r="X2451" s="0" t="n">
        <v>28</v>
      </c>
      <c r="Y2451" s="0" t="n">
        <v>9</v>
      </c>
      <c r="Z2451" s="0" t="inlineStr">
        <is>
          <t>https://new.land.naver.com/complexes/3118?tab=detail&amp;rf=Y</t>
        </is>
      </c>
      <c r="AA2451" s="0" t="inlineStr">
        <is>
          <t>서울시 강동구 암사동 509</t>
        </is>
      </c>
      <c r="AB2451" s="0" t="inlineStr">
        <is>
          <t>서울시</t>
        </is>
      </c>
      <c r="AC2451" s="0" t="inlineStr">
        <is>
          <t>강동구</t>
        </is>
      </c>
      <c r="AD2451" s="0" t="inlineStr">
        <is>
          <t>암사동</t>
        </is>
      </c>
      <c r="AG2451" s="0" t="inlineStr">
        <is>
          <t>서울시 강동구 상암로 11</t>
        </is>
      </c>
      <c r="AH2451" s="0" t="n">
        <v>0</v>
      </c>
      <c r="AI2451" s="0" t="n">
        <v>393</v>
      </c>
      <c r="AJ2451" s="0" t="n">
        <v>22</v>
      </c>
      <c r="AK2451" s="0" t="n">
        <v>3012</v>
      </c>
      <c r="AL2451" s="0" t="n">
        <v>1.03</v>
      </c>
    </row>
    <row r="2452">
      <c r="A2452" s="0" t="inlineStr">
        <is>
          <t>[암사동]</t>
        </is>
      </c>
      <c r="B2452" s="0" t="n">
        <v>3118</v>
      </c>
      <c r="C2452" s="0" t="n">
        <v>4</v>
      </c>
      <c r="D2452" s="0" t="inlineStr">
        <is>
          <t>선사현대</t>
        </is>
      </c>
      <c r="E2452" s="0" t="inlineStr">
        <is>
          <t>2000.06.</t>
        </is>
      </c>
      <c r="F2452" s="0" t="n">
        <v>2938</v>
      </c>
      <c r="G2452" s="0" t="n">
        <v>34.33</v>
      </c>
      <c r="H2452" s="0" t="n">
        <v>113.5</v>
      </c>
      <c r="I2452" s="0" t="n">
        <v>25.08</v>
      </c>
      <c r="J2452" s="0" t="n">
        <v>82.94</v>
      </c>
      <c r="K2452" s="0" t="n">
        <v>434</v>
      </c>
      <c r="T2452" s="0" t="n">
        <v>3</v>
      </c>
      <c r="U2452" s="0" t="n">
        <v>2</v>
      </c>
      <c r="V2452" s="0" t="inlineStr">
        <is>
          <t>계단식</t>
        </is>
      </c>
      <c r="W2452" s="0" t="inlineStr">
        <is>
          <t>113E</t>
        </is>
      </c>
      <c r="X2452" s="0" t="n">
        <v>28</v>
      </c>
      <c r="Y2452" s="0" t="n">
        <v>9</v>
      </c>
      <c r="Z2452" s="0" t="inlineStr">
        <is>
          <t>https://new.land.naver.com/complexes/3118?tab=detail&amp;rf=Y</t>
        </is>
      </c>
      <c r="AA2452" s="0" t="inlineStr">
        <is>
          <t>서울시 강동구 암사동 509</t>
        </is>
      </c>
      <c r="AB2452" s="0" t="inlineStr">
        <is>
          <t>서울시</t>
        </is>
      </c>
      <c r="AC2452" s="0" t="inlineStr">
        <is>
          <t>강동구</t>
        </is>
      </c>
      <c r="AD2452" s="0" t="inlineStr">
        <is>
          <t>암사동</t>
        </is>
      </c>
      <c r="AG2452" s="0" t="inlineStr">
        <is>
          <t>서울시 강동구 상암로 11</t>
        </is>
      </c>
      <c r="AH2452" s="0" t="n">
        <v>0</v>
      </c>
      <c r="AI2452" s="0" t="n">
        <v>393</v>
      </c>
      <c r="AJ2452" s="0" t="n">
        <v>22</v>
      </c>
      <c r="AK2452" s="0" t="n">
        <v>3012</v>
      </c>
      <c r="AL2452" s="0" t="n">
        <v>1.03</v>
      </c>
    </row>
    <row r="2453">
      <c r="A2453" s="0" t="inlineStr">
        <is>
          <t>[암사동]</t>
        </is>
      </c>
      <c r="B2453" s="0" t="n">
        <v>3118</v>
      </c>
      <c r="C2453" s="0" t="n">
        <v>5</v>
      </c>
      <c r="D2453" s="0" t="inlineStr">
        <is>
          <t>선사현대</t>
        </is>
      </c>
      <c r="E2453" s="0" t="inlineStr">
        <is>
          <t>2000.06.</t>
        </is>
      </c>
      <c r="F2453" s="0" t="n">
        <v>2938</v>
      </c>
      <c r="G2453" s="0" t="n">
        <v>34.43</v>
      </c>
      <c r="H2453" s="0" t="n">
        <v>113.82</v>
      </c>
      <c r="I2453" s="0" t="n">
        <v>25.16</v>
      </c>
      <c r="J2453" s="0" t="n">
        <v>83.18000000000001</v>
      </c>
      <c r="K2453" s="0" t="n">
        <v>211</v>
      </c>
      <c r="T2453" s="0" t="n">
        <v>3</v>
      </c>
      <c r="U2453" s="0" t="n">
        <v>2</v>
      </c>
      <c r="V2453" s="0" t="inlineStr">
        <is>
          <t>계단식</t>
        </is>
      </c>
      <c r="W2453" s="0" t="inlineStr">
        <is>
          <t>113D</t>
        </is>
      </c>
      <c r="X2453" s="0" t="n">
        <v>28</v>
      </c>
      <c r="Y2453" s="0" t="n">
        <v>9</v>
      </c>
      <c r="Z2453" s="0" t="inlineStr">
        <is>
          <t>https://new.land.naver.com/complexes/3118?tab=detail&amp;rf=Y</t>
        </is>
      </c>
      <c r="AA2453" s="0" t="inlineStr">
        <is>
          <t>서울시 강동구 암사동 509</t>
        </is>
      </c>
      <c r="AB2453" s="0" t="inlineStr">
        <is>
          <t>서울시</t>
        </is>
      </c>
      <c r="AC2453" s="0" t="inlineStr">
        <is>
          <t>강동구</t>
        </is>
      </c>
      <c r="AD2453" s="0" t="inlineStr">
        <is>
          <t>암사동</t>
        </is>
      </c>
      <c r="AG2453" s="0" t="inlineStr">
        <is>
          <t>서울시 강동구 상암로 11</t>
        </is>
      </c>
      <c r="AH2453" s="0" t="n">
        <v>0</v>
      </c>
      <c r="AI2453" s="0" t="n">
        <v>393</v>
      </c>
      <c r="AJ2453" s="0" t="n">
        <v>22</v>
      </c>
      <c r="AK2453" s="0" t="n">
        <v>3012</v>
      </c>
      <c r="AL2453" s="0" t="n">
        <v>1.03</v>
      </c>
    </row>
    <row r="2454">
      <c r="A2454" s="0" t="inlineStr">
        <is>
          <t>[암사동]</t>
        </is>
      </c>
      <c r="B2454" s="0" t="n">
        <v>3118</v>
      </c>
      <c r="C2454" s="0" t="n">
        <v>6</v>
      </c>
      <c r="D2454" s="0" t="inlineStr">
        <is>
          <t>선사현대</t>
        </is>
      </c>
      <c r="E2454" s="0" t="inlineStr">
        <is>
          <t>2000.06.</t>
        </is>
      </c>
      <c r="F2454" s="0" t="n">
        <v>2938</v>
      </c>
      <c r="G2454" s="0" t="n">
        <v>34.63</v>
      </c>
      <c r="H2454" s="0" t="n">
        <v>114.49</v>
      </c>
      <c r="I2454" s="0" t="n">
        <v>25.31</v>
      </c>
      <c r="J2454" s="0" t="n">
        <v>83.67</v>
      </c>
      <c r="K2454" s="0" t="n">
        <v>168</v>
      </c>
      <c r="T2454" s="0" t="n">
        <v>3</v>
      </c>
      <c r="U2454" s="0" t="n">
        <v>2</v>
      </c>
      <c r="V2454" s="0" t="inlineStr">
        <is>
          <t>계단식</t>
        </is>
      </c>
      <c r="W2454" s="0" t="inlineStr">
        <is>
          <t>114G</t>
        </is>
      </c>
      <c r="X2454" s="0" t="n">
        <v>28</v>
      </c>
      <c r="Y2454" s="0" t="n">
        <v>9</v>
      </c>
      <c r="Z2454" s="0" t="inlineStr">
        <is>
          <t>https://new.land.naver.com/complexes/3118?tab=detail&amp;rf=Y</t>
        </is>
      </c>
      <c r="AA2454" s="0" t="inlineStr">
        <is>
          <t>서울시 강동구 암사동 509</t>
        </is>
      </c>
      <c r="AB2454" s="0" t="inlineStr">
        <is>
          <t>서울시</t>
        </is>
      </c>
      <c r="AC2454" s="0" t="inlineStr">
        <is>
          <t>강동구</t>
        </is>
      </c>
      <c r="AD2454" s="0" t="inlineStr">
        <is>
          <t>암사동</t>
        </is>
      </c>
      <c r="AG2454" s="0" t="inlineStr">
        <is>
          <t>서울시 강동구 상암로 11</t>
        </is>
      </c>
      <c r="AH2454" s="0" t="n">
        <v>0</v>
      </c>
      <c r="AI2454" s="0" t="n">
        <v>393</v>
      </c>
      <c r="AJ2454" s="0" t="n">
        <v>22</v>
      </c>
      <c r="AK2454" s="0" t="n">
        <v>3012</v>
      </c>
      <c r="AL2454" s="0" t="n">
        <v>1.03</v>
      </c>
    </row>
    <row r="2455">
      <c r="A2455" s="0" t="inlineStr">
        <is>
          <t>[암사동]</t>
        </is>
      </c>
      <c r="B2455" s="0" t="n">
        <v>3118</v>
      </c>
      <c r="C2455" s="0" t="n">
        <v>7</v>
      </c>
      <c r="D2455" s="0" t="inlineStr">
        <is>
          <t>선사현대</t>
        </is>
      </c>
      <c r="E2455" s="0" t="inlineStr">
        <is>
          <t>2000.06.</t>
        </is>
      </c>
      <c r="F2455" s="0" t="n">
        <v>2938</v>
      </c>
      <c r="G2455" s="0" t="n">
        <v>34.68</v>
      </c>
      <c r="H2455" s="0" t="n">
        <v>114.66</v>
      </c>
      <c r="I2455" s="0" t="n">
        <v>25.34</v>
      </c>
      <c r="J2455" s="0" t="n">
        <v>83.79000000000001</v>
      </c>
      <c r="K2455" s="0" t="n">
        <v>75</v>
      </c>
      <c r="T2455" s="0" t="n">
        <v>3</v>
      </c>
      <c r="U2455" s="0" t="n">
        <v>2</v>
      </c>
      <c r="V2455" s="0" t="inlineStr">
        <is>
          <t>계단식</t>
        </is>
      </c>
      <c r="W2455" s="0" t="inlineStr">
        <is>
          <t>114F</t>
        </is>
      </c>
      <c r="X2455" s="0" t="n">
        <v>28</v>
      </c>
      <c r="Y2455" s="0" t="n">
        <v>9</v>
      </c>
      <c r="Z2455" s="0" t="inlineStr">
        <is>
          <t>https://new.land.naver.com/complexes/3118?tab=detail&amp;rf=Y</t>
        </is>
      </c>
      <c r="AA2455" s="0" t="inlineStr">
        <is>
          <t>서울시 강동구 암사동 509</t>
        </is>
      </c>
      <c r="AB2455" s="0" t="inlineStr">
        <is>
          <t>서울시</t>
        </is>
      </c>
      <c r="AC2455" s="0" t="inlineStr">
        <is>
          <t>강동구</t>
        </is>
      </c>
      <c r="AD2455" s="0" t="inlineStr">
        <is>
          <t>암사동</t>
        </is>
      </c>
      <c r="AG2455" s="0" t="inlineStr">
        <is>
          <t>서울시 강동구 상암로 11</t>
        </is>
      </c>
      <c r="AH2455" s="0" t="n">
        <v>0</v>
      </c>
      <c r="AI2455" s="0" t="n">
        <v>393</v>
      </c>
      <c r="AJ2455" s="0" t="n">
        <v>22</v>
      </c>
      <c r="AK2455" s="0" t="n">
        <v>3012</v>
      </c>
      <c r="AL2455" s="0" t="n">
        <v>1.03</v>
      </c>
    </row>
    <row r="2456">
      <c r="A2456" s="0" t="inlineStr">
        <is>
          <t>[암사동]</t>
        </is>
      </c>
      <c r="B2456" s="0" t="n">
        <v>3118</v>
      </c>
      <c r="C2456" s="0" t="n">
        <v>8</v>
      </c>
      <c r="D2456" s="0" t="inlineStr">
        <is>
          <t>선사현대</t>
        </is>
      </c>
      <c r="E2456" s="0" t="inlineStr">
        <is>
          <t>2000.06.</t>
        </is>
      </c>
      <c r="F2456" s="0" t="n">
        <v>2938</v>
      </c>
      <c r="G2456" s="0" t="n">
        <v>42.74</v>
      </c>
      <c r="H2456" s="0" t="n">
        <v>141.3</v>
      </c>
      <c r="I2456" s="0" t="n">
        <v>34.61</v>
      </c>
      <c r="J2456" s="0" t="n">
        <v>114.42</v>
      </c>
      <c r="K2456" s="0" t="n">
        <v>126</v>
      </c>
      <c r="T2456" s="0" t="n">
        <v>4</v>
      </c>
      <c r="U2456" s="0" t="n">
        <v>2</v>
      </c>
      <c r="V2456" s="0" t="inlineStr">
        <is>
          <t>계단식</t>
        </is>
      </c>
      <c r="W2456" s="0" t="n">
        <v>141</v>
      </c>
      <c r="X2456" s="0" t="n">
        <v>28</v>
      </c>
      <c r="Y2456" s="0" t="n">
        <v>9</v>
      </c>
      <c r="Z2456" s="0" t="inlineStr">
        <is>
          <t>https://new.land.naver.com/complexes/3118?tab=detail&amp;rf=Y</t>
        </is>
      </c>
      <c r="AA2456" s="0" t="inlineStr">
        <is>
          <t>서울시 강동구 암사동 509</t>
        </is>
      </c>
      <c r="AB2456" s="0" t="inlineStr">
        <is>
          <t>서울시</t>
        </is>
      </c>
      <c r="AC2456" s="0" t="inlineStr">
        <is>
          <t>강동구</t>
        </is>
      </c>
      <c r="AD2456" s="0" t="inlineStr">
        <is>
          <t>암사동</t>
        </is>
      </c>
      <c r="AG2456" s="0" t="inlineStr">
        <is>
          <t>서울시 강동구 상암로 11</t>
        </is>
      </c>
      <c r="AH2456" s="0" t="n">
        <v>0</v>
      </c>
      <c r="AI2456" s="0" t="n">
        <v>393</v>
      </c>
      <c r="AJ2456" s="0" t="n">
        <v>22</v>
      </c>
      <c r="AK2456" s="0" t="n">
        <v>3012</v>
      </c>
      <c r="AL2456" s="0" t="n">
        <v>1.03</v>
      </c>
    </row>
    <row r="2457">
      <c r="A2457" s="0" t="inlineStr">
        <is>
          <t>[암사동]</t>
        </is>
      </c>
      <c r="B2457" s="0" t="n">
        <v>13244</v>
      </c>
      <c r="C2457" s="0" t="n">
        <v>1</v>
      </c>
      <c r="D2457" s="0" t="inlineStr">
        <is>
          <t>신동아빌라트</t>
        </is>
      </c>
      <c r="E2457" s="0" t="inlineStr">
        <is>
          <t>1994.07.</t>
        </is>
      </c>
      <c r="F2457" s="0" t="n">
        <v>18</v>
      </c>
      <c r="G2457" s="0" t="n">
        <v>53.33</v>
      </c>
      <c r="H2457" s="0" t="n">
        <v>176.3</v>
      </c>
      <c r="I2457" s="0" t="n">
        <v>49.53</v>
      </c>
      <c r="J2457" s="0" t="n">
        <v>163.74</v>
      </c>
      <c r="K2457" s="0" t="n">
        <v>17</v>
      </c>
      <c r="T2457" s="0" t="n">
        <v>5</v>
      </c>
      <c r="U2457" s="0" t="n">
        <v>2</v>
      </c>
      <c r="V2457" s="0" t="inlineStr">
        <is>
          <t>계단식</t>
        </is>
      </c>
      <c r="W2457" s="0" t="inlineStr">
        <is>
          <t>176B</t>
        </is>
      </c>
      <c r="X2457" s="0" t="n">
        <v>9</v>
      </c>
      <c r="Y2457" s="0" t="n">
        <v>9</v>
      </c>
      <c r="Z2457" s="0" t="inlineStr">
        <is>
          <t>https://new.land.naver.com/complexes/13244?tab=detail&amp;rf=Y</t>
        </is>
      </c>
      <c r="AA2457" s="0" t="inlineStr">
        <is>
          <t>서울시 강동구 암사동 450-10</t>
        </is>
      </c>
      <c r="AB2457" s="0" t="inlineStr">
        <is>
          <t>서울시</t>
        </is>
      </c>
      <c r="AC2457" s="0" t="inlineStr">
        <is>
          <t>강동구</t>
        </is>
      </c>
      <c r="AD2457" s="0" t="inlineStr">
        <is>
          <t>암사동</t>
        </is>
      </c>
      <c r="AG2457" s="0" t="inlineStr">
        <is>
          <t>서울시 강동구 고덕로27길 33-27</t>
        </is>
      </c>
      <c r="AH2457" s="0" t="n">
        <v>0</v>
      </c>
      <c r="AI2457" s="0" t="n">
        <v>241</v>
      </c>
      <c r="AJ2457" s="0" t="n">
        <v>29</v>
      </c>
      <c r="AK2457" s="0" t="n">
        <v>32</v>
      </c>
      <c r="AL2457" s="0" t="n">
        <v>1.78</v>
      </c>
    </row>
    <row r="2458">
      <c r="A2458" s="0" t="inlineStr">
        <is>
          <t>[암사동]</t>
        </is>
      </c>
      <c r="B2458" s="0" t="n">
        <v>13244</v>
      </c>
      <c r="C2458" s="0" t="n">
        <v>2</v>
      </c>
      <c r="D2458" s="0" t="inlineStr">
        <is>
          <t>신동아빌라트</t>
        </is>
      </c>
      <c r="E2458" s="0" t="inlineStr">
        <is>
          <t>1994.07.</t>
        </is>
      </c>
      <c r="F2458" s="0" t="n">
        <v>18</v>
      </c>
      <c r="G2458" s="0" t="n">
        <v>53.32</v>
      </c>
      <c r="H2458" s="0" t="n">
        <v>176.29</v>
      </c>
      <c r="I2458" s="0" t="n">
        <v>49.52</v>
      </c>
      <c r="J2458" s="0" t="n">
        <v>163.73</v>
      </c>
      <c r="K2458" s="0" t="n">
        <v>1</v>
      </c>
      <c r="T2458" s="0" t="n">
        <v>5</v>
      </c>
      <c r="U2458" s="0" t="n">
        <v>2</v>
      </c>
      <c r="V2458" s="0" t="inlineStr">
        <is>
          <t>계단식</t>
        </is>
      </c>
      <c r="W2458" s="0" t="inlineStr">
        <is>
          <t>176A</t>
        </is>
      </c>
      <c r="X2458" s="0" t="n">
        <v>9</v>
      </c>
      <c r="Y2458" s="0" t="n">
        <v>9</v>
      </c>
      <c r="Z2458" s="0" t="inlineStr">
        <is>
          <t>https://new.land.naver.com/complexes/13244?tab=detail&amp;rf=Y</t>
        </is>
      </c>
      <c r="AA2458" s="0" t="inlineStr">
        <is>
          <t>서울시 강동구 암사동 450-10</t>
        </is>
      </c>
      <c r="AB2458" s="0" t="inlineStr">
        <is>
          <t>서울시</t>
        </is>
      </c>
      <c r="AC2458" s="0" t="inlineStr">
        <is>
          <t>강동구</t>
        </is>
      </c>
      <c r="AD2458" s="0" t="inlineStr">
        <is>
          <t>암사동</t>
        </is>
      </c>
      <c r="AG2458" s="0" t="inlineStr">
        <is>
          <t>서울시 강동구 고덕로27길 33-27</t>
        </is>
      </c>
      <c r="AH2458" s="0" t="n">
        <v>0</v>
      </c>
      <c r="AI2458" s="0" t="n">
        <v>241</v>
      </c>
      <c r="AJ2458" s="0" t="n">
        <v>29</v>
      </c>
      <c r="AK2458" s="0" t="n">
        <v>32</v>
      </c>
      <c r="AL2458" s="0" t="n">
        <v>1.78</v>
      </c>
    </row>
    <row r="2459">
      <c r="A2459" s="0" t="inlineStr">
        <is>
          <t>[암사동]</t>
        </is>
      </c>
      <c r="B2459" s="0" t="n">
        <v>9702</v>
      </c>
      <c r="C2459" s="0" t="n">
        <v>1</v>
      </c>
      <c r="D2459" s="0" t="inlineStr">
        <is>
          <t>새롬</t>
        </is>
      </c>
      <c r="E2459" s="0" t="inlineStr">
        <is>
          <t>2002.05.</t>
        </is>
      </c>
      <c r="F2459" s="0" t="n">
        <v>12</v>
      </c>
      <c r="G2459" s="0" t="n">
        <v>15.45</v>
      </c>
      <c r="H2459" s="0" t="n">
        <v>51.1</v>
      </c>
      <c r="I2459" s="0" t="n">
        <v>13.47</v>
      </c>
      <c r="J2459" s="0" t="n">
        <v>44.54</v>
      </c>
      <c r="K2459" s="0" t="n">
        <v>2</v>
      </c>
      <c r="T2459" s="0" t="n">
        <v>2</v>
      </c>
      <c r="U2459" s="0" t="n">
        <v>1</v>
      </c>
      <c r="V2459" s="0" t="inlineStr">
        <is>
          <t>복도식</t>
        </is>
      </c>
      <c r="W2459" s="0" t="n">
        <v>51</v>
      </c>
      <c r="X2459" s="0" t="n">
        <v>7</v>
      </c>
      <c r="Y2459" s="0" t="n">
        <v>7</v>
      </c>
      <c r="Z2459" s="0" t="inlineStr">
        <is>
          <t>https://new.land.naver.com/complexes/9702?tab=detail&amp;rf=Y</t>
        </is>
      </c>
      <c r="AA2459" s="0" t="inlineStr">
        <is>
          <t>서울시 강동구 암사동 474-10</t>
        </is>
      </c>
      <c r="AB2459" s="0" t="inlineStr">
        <is>
          <t>서울시</t>
        </is>
      </c>
      <c r="AC2459" s="0" t="inlineStr">
        <is>
          <t>강동구</t>
        </is>
      </c>
      <c r="AD2459" s="0" t="inlineStr">
        <is>
          <t>암사동</t>
        </is>
      </c>
      <c r="AG2459" s="0" t="inlineStr">
        <is>
          <t>서울시 강동구 암사길 59</t>
        </is>
      </c>
      <c r="AH2459" s="0" t="n">
        <v>0</v>
      </c>
      <c r="AI2459" s="0" t="n">
        <v>274</v>
      </c>
      <c r="AJ2459" s="0" t="n">
        <v>59</v>
      </c>
      <c r="AK2459" s="0" t="n">
        <v>10</v>
      </c>
      <c r="AL2459" s="0" t="n">
        <v>0.83</v>
      </c>
    </row>
    <row r="2460">
      <c r="A2460" s="0" t="inlineStr">
        <is>
          <t>[암사동]</t>
        </is>
      </c>
      <c r="B2460" s="0" t="n">
        <v>9702</v>
      </c>
      <c r="C2460" s="0" t="n">
        <v>2</v>
      </c>
      <c r="D2460" s="0" t="inlineStr">
        <is>
          <t>새롬</t>
        </is>
      </c>
      <c r="E2460" s="0" t="inlineStr">
        <is>
          <t>2002.05.</t>
        </is>
      </c>
      <c r="F2460" s="0" t="n">
        <v>12</v>
      </c>
      <c r="G2460" s="0" t="n">
        <v>23.74</v>
      </c>
      <c r="H2460" s="0" t="n">
        <v>78.48999999999999</v>
      </c>
      <c r="I2460" s="0" t="n">
        <v>20.7</v>
      </c>
      <c r="J2460" s="0" t="n">
        <v>68.45</v>
      </c>
      <c r="K2460" s="0" t="n">
        <v>4</v>
      </c>
      <c r="T2460" s="0" t="n">
        <v>3</v>
      </c>
      <c r="U2460" s="0" t="n">
        <v>2</v>
      </c>
      <c r="V2460" s="0" t="inlineStr">
        <is>
          <t>계단식</t>
        </is>
      </c>
      <c r="W2460" s="0" t="inlineStr">
        <is>
          <t>78A</t>
        </is>
      </c>
      <c r="X2460" s="0" t="n">
        <v>7</v>
      </c>
      <c r="Y2460" s="0" t="n">
        <v>7</v>
      </c>
      <c r="Z2460" s="0" t="inlineStr">
        <is>
          <t>https://new.land.naver.com/complexes/9702?tab=detail&amp;rf=Y</t>
        </is>
      </c>
      <c r="AA2460" s="0" t="inlineStr">
        <is>
          <t>서울시 강동구 암사동 474-10</t>
        </is>
      </c>
      <c r="AB2460" s="0" t="inlineStr">
        <is>
          <t>서울시</t>
        </is>
      </c>
      <c r="AC2460" s="0" t="inlineStr">
        <is>
          <t>강동구</t>
        </is>
      </c>
      <c r="AD2460" s="0" t="inlineStr">
        <is>
          <t>암사동</t>
        </is>
      </c>
      <c r="AG2460" s="0" t="inlineStr">
        <is>
          <t>서울시 강동구 암사길 59</t>
        </is>
      </c>
      <c r="AH2460" s="0" t="n">
        <v>0</v>
      </c>
      <c r="AI2460" s="0" t="n">
        <v>274</v>
      </c>
      <c r="AJ2460" s="0" t="n">
        <v>59</v>
      </c>
      <c r="AK2460" s="0" t="n">
        <v>10</v>
      </c>
      <c r="AL2460" s="0" t="n">
        <v>0.83</v>
      </c>
    </row>
    <row r="2461">
      <c r="A2461" s="0" t="inlineStr">
        <is>
          <t>[암사동]</t>
        </is>
      </c>
      <c r="B2461" s="0" t="n">
        <v>9702</v>
      </c>
      <c r="C2461" s="0" t="n">
        <v>3</v>
      </c>
      <c r="D2461" s="0" t="inlineStr">
        <is>
          <t>새롬</t>
        </is>
      </c>
      <c r="E2461" s="0" t="inlineStr">
        <is>
          <t>2002.05.</t>
        </is>
      </c>
      <c r="F2461" s="0" t="n">
        <v>12</v>
      </c>
      <c r="G2461" s="0" t="n">
        <v>23.97</v>
      </c>
      <c r="H2461" s="0" t="n">
        <v>79.23999999999999</v>
      </c>
      <c r="I2461" s="0" t="n">
        <v>20.9</v>
      </c>
      <c r="J2461" s="0" t="n">
        <v>69.11</v>
      </c>
      <c r="K2461" s="0" t="n">
        <v>6</v>
      </c>
      <c r="T2461" s="0" t="n">
        <v>3</v>
      </c>
      <c r="U2461" s="0" t="n">
        <v>2</v>
      </c>
      <c r="V2461" s="0" t="inlineStr">
        <is>
          <t>계단식</t>
        </is>
      </c>
      <c r="W2461" s="0" t="inlineStr">
        <is>
          <t>79B</t>
        </is>
      </c>
      <c r="X2461" s="0" t="n">
        <v>7</v>
      </c>
      <c r="Y2461" s="0" t="n">
        <v>7</v>
      </c>
      <c r="Z2461" s="0" t="inlineStr">
        <is>
          <t>https://new.land.naver.com/complexes/9702?tab=detail&amp;rf=Y</t>
        </is>
      </c>
      <c r="AA2461" s="0" t="inlineStr">
        <is>
          <t>서울시 강동구 암사동 474-10</t>
        </is>
      </c>
      <c r="AB2461" s="0" t="inlineStr">
        <is>
          <t>서울시</t>
        </is>
      </c>
      <c r="AC2461" s="0" t="inlineStr">
        <is>
          <t>강동구</t>
        </is>
      </c>
      <c r="AD2461" s="0" t="inlineStr">
        <is>
          <t>암사동</t>
        </is>
      </c>
      <c r="AG2461" s="0" t="inlineStr">
        <is>
          <t>서울시 강동구 암사길 59</t>
        </is>
      </c>
      <c r="AH2461" s="0" t="n">
        <v>0</v>
      </c>
      <c r="AI2461" s="0" t="n">
        <v>274</v>
      </c>
      <c r="AJ2461" s="0" t="n">
        <v>59</v>
      </c>
      <c r="AK2461" s="0" t="n">
        <v>10</v>
      </c>
      <c r="AL2461" s="0" t="n">
        <v>0.83</v>
      </c>
    </row>
    <row r="2462">
      <c r="A2462" s="0" t="inlineStr">
        <is>
          <t>[암사동]</t>
        </is>
      </c>
      <c r="B2462" s="0" t="n">
        <v>9773</v>
      </c>
      <c r="C2462" s="0" t="n">
        <v>1</v>
      </c>
      <c r="D2462" s="0" t="inlineStr">
        <is>
          <t>메이저</t>
        </is>
      </c>
      <c r="E2462" s="0" t="inlineStr">
        <is>
          <t>2002.06.</t>
        </is>
      </c>
      <c r="F2462" s="0" t="n">
        <v>44</v>
      </c>
      <c r="G2462" s="0" t="n">
        <v>20.61</v>
      </c>
      <c r="H2462" s="0" t="n">
        <v>68.15000000000001</v>
      </c>
      <c r="I2462" s="0" t="n">
        <v>16.47</v>
      </c>
      <c r="J2462" s="0" t="n">
        <v>54.45</v>
      </c>
      <c r="K2462" s="0" t="n">
        <v>1</v>
      </c>
      <c r="T2462" s="0" t="n">
        <v>2</v>
      </c>
      <c r="U2462" s="0" t="n">
        <v>1</v>
      </c>
      <c r="V2462" s="0" t="inlineStr">
        <is>
          <t>계단식</t>
        </is>
      </c>
      <c r="W2462" s="0" t="n">
        <v>68</v>
      </c>
      <c r="X2462" s="0" t="n">
        <v>8</v>
      </c>
      <c r="Y2462" s="0" t="n">
        <v>7</v>
      </c>
      <c r="Z2462" s="0" t="inlineStr">
        <is>
          <t>https://new.land.naver.com/complexes/9773?tab=detail&amp;rf=Y</t>
        </is>
      </c>
      <c r="AA2462" s="0" t="inlineStr">
        <is>
          <t>서울시 강동구 암사동 474-21</t>
        </is>
      </c>
      <c r="AB2462" s="0" t="inlineStr">
        <is>
          <t>서울시</t>
        </is>
      </c>
      <c r="AC2462" s="0" t="inlineStr">
        <is>
          <t>강동구</t>
        </is>
      </c>
      <c r="AD2462" s="0" t="inlineStr">
        <is>
          <t>암사동</t>
        </is>
      </c>
      <c r="AG2462" s="0" t="inlineStr">
        <is>
          <t>서울시 강동구 암사13길 7</t>
        </is>
      </c>
      <c r="AH2462" s="0" t="n">
        <v>0</v>
      </c>
      <c r="AI2462" s="0" t="n">
        <v>226</v>
      </c>
      <c r="AJ2462" s="0" t="n">
        <v>34</v>
      </c>
      <c r="AK2462" s="0" t="n">
        <v>46</v>
      </c>
      <c r="AL2462" s="0" t="n">
        <v>1.05</v>
      </c>
    </row>
    <row r="2463">
      <c r="A2463" s="0" t="inlineStr">
        <is>
          <t>[암사동]</t>
        </is>
      </c>
      <c r="B2463" s="0" t="n">
        <v>9773</v>
      </c>
      <c r="C2463" s="0" t="n">
        <v>2</v>
      </c>
      <c r="D2463" s="0" t="inlineStr">
        <is>
          <t>메이저</t>
        </is>
      </c>
      <c r="E2463" s="0" t="inlineStr">
        <is>
          <t>2002.06.</t>
        </is>
      </c>
      <c r="F2463" s="0" t="n">
        <v>44</v>
      </c>
      <c r="G2463" s="0" t="n">
        <v>21.52</v>
      </c>
      <c r="H2463" s="0" t="n">
        <v>71.15000000000001</v>
      </c>
      <c r="I2463" s="0" t="n">
        <v>17.35</v>
      </c>
      <c r="J2463" s="0" t="n">
        <v>57.38</v>
      </c>
      <c r="K2463" s="0" t="n">
        <v>1</v>
      </c>
      <c r="T2463" s="0" t="n">
        <v>2</v>
      </c>
      <c r="U2463" s="0" t="n">
        <v>1</v>
      </c>
      <c r="V2463" s="0" t="inlineStr">
        <is>
          <t>계단식</t>
        </is>
      </c>
      <c r="W2463" s="0" t="n">
        <v>71</v>
      </c>
      <c r="X2463" s="0" t="n">
        <v>8</v>
      </c>
      <c r="Y2463" s="0" t="n">
        <v>7</v>
      </c>
      <c r="Z2463" s="0" t="inlineStr">
        <is>
          <t>https://new.land.naver.com/complexes/9773?tab=detail&amp;rf=Y</t>
        </is>
      </c>
      <c r="AA2463" s="0" t="inlineStr">
        <is>
          <t>서울시 강동구 암사동 474-21</t>
        </is>
      </c>
      <c r="AB2463" s="0" t="inlineStr">
        <is>
          <t>서울시</t>
        </is>
      </c>
      <c r="AC2463" s="0" t="inlineStr">
        <is>
          <t>강동구</t>
        </is>
      </c>
      <c r="AD2463" s="0" t="inlineStr">
        <is>
          <t>암사동</t>
        </is>
      </c>
      <c r="AG2463" s="0" t="inlineStr">
        <is>
          <t>서울시 강동구 암사13길 7</t>
        </is>
      </c>
      <c r="AH2463" s="0" t="n">
        <v>0</v>
      </c>
      <c r="AI2463" s="0" t="n">
        <v>226</v>
      </c>
      <c r="AJ2463" s="0" t="n">
        <v>34</v>
      </c>
      <c r="AK2463" s="0" t="n">
        <v>46</v>
      </c>
      <c r="AL2463" s="0" t="n">
        <v>1.05</v>
      </c>
    </row>
    <row r="2464">
      <c r="A2464" s="0" t="inlineStr">
        <is>
          <t>[암사동]</t>
        </is>
      </c>
      <c r="B2464" s="0" t="n">
        <v>9773</v>
      </c>
      <c r="C2464" s="0" t="n">
        <v>3</v>
      </c>
      <c r="D2464" s="0" t="inlineStr">
        <is>
          <t>메이저</t>
        </is>
      </c>
      <c r="E2464" s="0" t="inlineStr">
        <is>
          <t>2002.06.</t>
        </is>
      </c>
      <c r="F2464" s="0" t="n">
        <v>44</v>
      </c>
      <c r="G2464" s="0" t="n">
        <v>24.14</v>
      </c>
      <c r="H2464" s="0" t="n">
        <v>79.81</v>
      </c>
      <c r="I2464" s="0" t="n">
        <v>19.56</v>
      </c>
      <c r="J2464" s="0" t="n">
        <v>64.67</v>
      </c>
      <c r="K2464" s="0" t="n">
        <v>3</v>
      </c>
      <c r="T2464" s="0" t="n">
        <v>3</v>
      </c>
      <c r="U2464" s="0" t="n">
        <v>1</v>
      </c>
      <c r="V2464" s="0" t="inlineStr">
        <is>
          <t>계단식</t>
        </is>
      </c>
      <c r="W2464" s="0" t="n">
        <v>79</v>
      </c>
      <c r="X2464" s="0" t="n">
        <v>8</v>
      </c>
      <c r="Y2464" s="0" t="n">
        <v>7</v>
      </c>
      <c r="Z2464" s="0" t="inlineStr">
        <is>
          <t>https://new.land.naver.com/complexes/9773?tab=detail&amp;rf=Y</t>
        </is>
      </c>
      <c r="AA2464" s="0" t="inlineStr">
        <is>
          <t>서울시 강동구 암사동 474-21</t>
        </is>
      </c>
      <c r="AB2464" s="0" t="inlineStr">
        <is>
          <t>서울시</t>
        </is>
      </c>
      <c r="AC2464" s="0" t="inlineStr">
        <is>
          <t>강동구</t>
        </is>
      </c>
      <c r="AD2464" s="0" t="inlineStr">
        <is>
          <t>암사동</t>
        </is>
      </c>
      <c r="AG2464" s="0" t="inlineStr">
        <is>
          <t>서울시 강동구 암사13길 7</t>
        </is>
      </c>
      <c r="AH2464" s="0" t="n">
        <v>0</v>
      </c>
      <c r="AI2464" s="0" t="n">
        <v>226</v>
      </c>
      <c r="AJ2464" s="0" t="n">
        <v>34</v>
      </c>
      <c r="AK2464" s="0" t="n">
        <v>46</v>
      </c>
      <c r="AL2464" s="0" t="n">
        <v>1.05</v>
      </c>
    </row>
    <row r="2465">
      <c r="A2465" s="0" t="inlineStr">
        <is>
          <t>[암사동]</t>
        </is>
      </c>
      <c r="B2465" s="0" t="n">
        <v>9773</v>
      </c>
      <c r="C2465" s="0" t="n">
        <v>4</v>
      </c>
      <c r="D2465" s="0" t="inlineStr">
        <is>
          <t>메이저</t>
        </is>
      </c>
      <c r="E2465" s="0" t="inlineStr">
        <is>
          <t>2002.06.</t>
        </is>
      </c>
      <c r="F2465" s="0" t="n">
        <v>44</v>
      </c>
      <c r="G2465" s="0" t="n">
        <v>25.36</v>
      </c>
      <c r="H2465" s="0" t="n">
        <v>83.84999999999999</v>
      </c>
      <c r="I2465" s="0" t="n">
        <v>20.37</v>
      </c>
      <c r="J2465" s="0" t="n">
        <v>67.34999999999999</v>
      </c>
      <c r="K2465" s="0" t="n">
        <v>1</v>
      </c>
      <c r="T2465" s="0" t="n">
        <v>3</v>
      </c>
      <c r="U2465" s="0" t="n">
        <v>2</v>
      </c>
      <c r="V2465" s="0" t="inlineStr">
        <is>
          <t>계단식</t>
        </is>
      </c>
      <c r="W2465" s="0" t="n">
        <v>83</v>
      </c>
      <c r="X2465" s="0" t="n">
        <v>8</v>
      </c>
      <c r="Y2465" s="0" t="n">
        <v>7</v>
      </c>
      <c r="Z2465" s="0" t="inlineStr">
        <is>
          <t>https://new.land.naver.com/complexes/9773?tab=detail&amp;rf=Y</t>
        </is>
      </c>
      <c r="AA2465" s="0" t="inlineStr">
        <is>
          <t>서울시 강동구 암사동 474-21</t>
        </is>
      </c>
      <c r="AB2465" s="0" t="inlineStr">
        <is>
          <t>서울시</t>
        </is>
      </c>
      <c r="AC2465" s="0" t="inlineStr">
        <is>
          <t>강동구</t>
        </is>
      </c>
      <c r="AD2465" s="0" t="inlineStr">
        <is>
          <t>암사동</t>
        </is>
      </c>
      <c r="AG2465" s="0" t="inlineStr">
        <is>
          <t>서울시 강동구 암사13길 7</t>
        </is>
      </c>
      <c r="AH2465" s="0" t="n">
        <v>0</v>
      </c>
      <c r="AI2465" s="0" t="n">
        <v>226</v>
      </c>
      <c r="AJ2465" s="0" t="n">
        <v>34</v>
      </c>
      <c r="AK2465" s="0" t="n">
        <v>46</v>
      </c>
      <c r="AL2465" s="0" t="n">
        <v>1.05</v>
      </c>
    </row>
    <row r="2466">
      <c r="A2466" s="0" t="inlineStr">
        <is>
          <t>[암사동]</t>
        </is>
      </c>
      <c r="B2466" s="0" t="n">
        <v>9773</v>
      </c>
      <c r="C2466" s="0" t="n">
        <v>5</v>
      </c>
      <c r="D2466" s="0" t="inlineStr">
        <is>
          <t>메이저</t>
        </is>
      </c>
      <c r="E2466" s="0" t="inlineStr">
        <is>
          <t>2002.06.</t>
        </is>
      </c>
      <c r="F2466" s="0" t="n">
        <v>44</v>
      </c>
      <c r="G2466" s="0" t="n">
        <v>27.56</v>
      </c>
      <c r="H2466" s="0" t="n">
        <v>91.14</v>
      </c>
      <c r="I2466" s="0" t="n">
        <v>22.31</v>
      </c>
      <c r="J2466" s="0" t="n">
        <v>73.77</v>
      </c>
      <c r="K2466" s="0" t="n">
        <v>6</v>
      </c>
      <c r="T2466" s="0" t="n">
        <v>3</v>
      </c>
      <c r="U2466" s="0" t="n">
        <v>1</v>
      </c>
      <c r="V2466" s="0" t="inlineStr">
        <is>
          <t>계단식</t>
        </is>
      </c>
      <c r="W2466" s="0" t="inlineStr">
        <is>
          <t>91A</t>
        </is>
      </c>
      <c r="X2466" s="0" t="n">
        <v>8</v>
      </c>
      <c r="Y2466" s="0" t="n">
        <v>7</v>
      </c>
      <c r="Z2466" s="0" t="inlineStr">
        <is>
          <t>https://new.land.naver.com/complexes/9773?tab=detail&amp;rf=Y</t>
        </is>
      </c>
      <c r="AA2466" s="0" t="inlineStr">
        <is>
          <t>서울시 강동구 암사동 474-21</t>
        </is>
      </c>
      <c r="AB2466" s="0" t="inlineStr">
        <is>
          <t>서울시</t>
        </is>
      </c>
      <c r="AC2466" s="0" t="inlineStr">
        <is>
          <t>강동구</t>
        </is>
      </c>
      <c r="AD2466" s="0" t="inlineStr">
        <is>
          <t>암사동</t>
        </is>
      </c>
      <c r="AG2466" s="0" t="inlineStr">
        <is>
          <t>서울시 강동구 암사13길 7</t>
        </is>
      </c>
      <c r="AH2466" s="0" t="n">
        <v>0</v>
      </c>
      <c r="AI2466" s="0" t="n">
        <v>226</v>
      </c>
      <c r="AJ2466" s="0" t="n">
        <v>34</v>
      </c>
      <c r="AK2466" s="0" t="n">
        <v>46</v>
      </c>
      <c r="AL2466" s="0" t="n">
        <v>1.05</v>
      </c>
    </row>
    <row r="2467">
      <c r="A2467" s="0" t="inlineStr">
        <is>
          <t>[암사동]</t>
        </is>
      </c>
      <c r="B2467" s="0" t="n">
        <v>9773</v>
      </c>
      <c r="C2467" s="0" t="n">
        <v>6</v>
      </c>
      <c r="D2467" s="0" t="inlineStr">
        <is>
          <t>메이저</t>
        </is>
      </c>
      <c r="E2467" s="0" t="inlineStr">
        <is>
          <t>2002.06.</t>
        </is>
      </c>
      <c r="F2467" s="0" t="n">
        <v>44</v>
      </c>
      <c r="G2467" s="0" t="n">
        <v>28.01</v>
      </c>
      <c r="H2467" s="0" t="n">
        <v>92.59999999999999</v>
      </c>
      <c r="I2467" s="0" t="n">
        <v>22.74</v>
      </c>
      <c r="J2467" s="0" t="n">
        <v>75.19</v>
      </c>
      <c r="K2467" s="0" t="n">
        <v>3</v>
      </c>
      <c r="T2467" s="0" t="n">
        <v>3</v>
      </c>
      <c r="U2467" s="0" t="n">
        <v>1</v>
      </c>
      <c r="V2467" s="0" t="inlineStr">
        <is>
          <t>계단식</t>
        </is>
      </c>
      <c r="W2467" s="0" t="inlineStr">
        <is>
          <t>92B</t>
        </is>
      </c>
      <c r="X2467" s="0" t="n">
        <v>8</v>
      </c>
      <c r="Y2467" s="0" t="n">
        <v>7</v>
      </c>
      <c r="Z2467" s="0" t="inlineStr">
        <is>
          <t>https://new.land.naver.com/complexes/9773?tab=detail&amp;rf=Y</t>
        </is>
      </c>
      <c r="AA2467" s="0" t="inlineStr">
        <is>
          <t>서울시 강동구 암사동 474-21</t>
        </is>
      </c>
      <c r="AB2467" s="0" t="inlineStr">
        <is>
          <t>서울시</t>
        </is>
      </c>
      <c r="AC2467" s="0" t="inlineStr">
        <is>
          <t>강동구</t>
        </is>
      </c>
      <c r="AD2467" s="0" t="inlineStr">
        <is>
          <t>암사동</t>
        </is>
      </c>
      <c r="AG2467" s="0" t="inlineStr">
        <is>
          <t>서울시 강동구 암사13길 7</t>
        </is>
      </c>
      <c r="AH2467" s="0" t="n">
        <v>0</v>
      </c>
      <c r="AI2467" s="0" t="n">
        <v>226</v>
      </c>
      <c r="AJ2467" s="0" t="n">
        <v>34</v>
      </c>
      <c r="AK2467" s="0" t="n">
        <v>46</v>
      </c>
      <c r="AL2467" s="0" t="n">
        <v>1.05</v>
      </c>
    </row>
    <row r="2468">
      <c r="A2468" s="0" t="inlineStr">
        <is>
          <t>[암사동]</t>
        </is>
      </c>
      <c r="B2468" s="0" t="n">
        <v>9773</v>
      </c>
      <c r="C2468" s="0" t="n">
        <v>7</v>
      </c>
      <c r="D2468" s="0" t="inlineStr">
        <is>
          <t>메이저</t>
        </is>
      </c>
      <c r="E2468" s="0" t="inlineStr">
        <is>
          <t>2002.06.</t>
        </is>
      </c>
      <c r="F2468" s="0" t="n">
        <v>44</v>
      </c>
      <c r="G2468" s="0" t="n">
        <v>28.98</v>
      </c>
      <c r="H2468" s="0" t="n">
        <v>95.83</v>
      </c>
      <c r="I2468" s="0" t="n">
        <v>23.41</v>
      </c>
      <c r="J2468" s="0" t="n">
        <v>77.41</v>
      </c>
      <c r="K2468" s="0" t="n">
        <v>5</v>
      </c>
      <c r="T2468" s="0" t="n">
        <v>3</v>
      </c>
      <c r="U2468" s="0" t="n">
        <v>2</v>
      </c>
      <c r="V2468" s="0" t="inlineStr">
        <is>
          <t>계단식</t>
        </is>
      </c>
      <c r="W2468" s="0" t="n">
        <v>95</v>
      </c>
      <c r="X2468" s="0" t="n">
        <v>8</v>
      </c>
      <c r="Y2468" s="0" t="n">
        <v>7</v>
      </c>
      <c r="Z2468" s="0" t="inlineStr">
        <is>
          <t>https://new.land.naver.com/complexes/9773?tab=detail&amp;rf=Y</t>
        </is>
      </c>
      <c r="AA2468" s="0" t="inlineStr">
        <is>
          <t>서울시 강동구 암사동 474-21</t>
        </is>
      </c>
      <c r="AB2468" s="0" t="inlineStr">
        <is>
          <t>서울시</t>
        </is>
      </c>
      <c r="AC2468" s="0" t="inlineStr">
        <is>
          <t>강동구</t>
        </is>
      </c>
      <c r="AD2468" s="0" t="inlineStr">
        <is>
          <t>암사동</t>
        </is>
      </c>
      <c r="AG2468" s="0" t="inlineStr">
        <is>
          <t>서울시 강동구 암사13길 7</t>
        </is>
      </c>
      <c r="AH2468" s="0" t="n">
        <v>0</v>
      </c>
      <c r="AI2468" s="0" t="n">
        <v>226</v>
      </c>
      <c r="AJ2468" s="0" t="n">
        <v>34</v>
      </c>
      <c r="AK2468" s="0" t="n">
        <v>46</v>
      </c>
      <c r="AL2468" s="0" t="n">
        <v>1.05</v>
      </c>
    </row>
    <row r="2469">
      <c r="A2469" s="0" t="inlineStr">
        <is>
          <t>[암사동]</t>
        </is>
      </c>
      <c r="B2469" s="0" t="n">
        <v>9773</v>
      </c>
      <c r="C2469" s="0" t="n">
        <v>8</v>
      </c>
      <c r="D2469" s="0" t="inlineStr">
        <is>
          <t>메이저</t>
        </is>
      </c>
      <c r="E2469" s="0" t="inlineStr">
        <is>
          <t>2002.06.</t>
        </is>
      </c>
      <c r="F2469" s="0" t="n">
        <v>44</v>
      </c>
      <c r="G2469" s="0" t="n">
        <v>30.94</v>
      </c>
      <c r="H2469" s="0" t="n">
        <v>102.31</v>
      </c>
      <c r="I2469" s="0" t="n">
        <v>25.16</v>
      </c>
      <c r="J2469" s="0" t="n">
        <v>83.2</v>
      </c>
      <c r="K2469" s="0" t="n">
        <v>18</v>
      </c>
      <c r="T2469" s="0" t="n">
        <v>3</v>
      </c>
      <c r="U2469" s="0" t="n">
        <v>2</v>
      </c>
      <c r="V2469" s="0" t="inlineStr">
        <is>
          <t>계단식</t>
        </is>
      </c>
      <c r="W2469" s="0" t="inlineStr">
        <is>
          <t>102A</t>
        </is>
      </c>
      <c r="X2469" s="0" t="n">
        <v>8</v>
      </c>
      <c r="Y2469" s="0" t="n">
        <v>7</v>
      </c>
      <c r="Z2469" s="0" t="inlineStr">
        <is>
          <t>https://new.land.naver.com/complexes/9773?tab=detail&amp;rf=Y</t>
        </is>
      </c>
      <c r="AA2469" s="0" t="inlineStr">
        <is>
          <t>서울시 강동구 암사동 474-21</t>
        </is>
      </c>
      <c r="AB2469" s="0" t="inlineStr">
        <is>
          <t>서울시</t>
        </is>
      </c>
      <c r="AC2469" s="0" t="inlineStr">
        <is>
          <t>강동구</t>
        </is>
      </c>
      <c r="AD2469" s="0" t="inlineStr">
        <is>
          <t>암사동</t>
        </is>
      </c>
      <c r="AG2469" s="0" t="inlineStr">
        <is>
          <t>서울시 강동구 암사13길 7</t>
        </is>
      </c>
      <c r="AH2469" s="0" t="n">
        <v>0</v>
      </c>
      <c r="AI2469" s="0" t="n">
        <v>226</v>
      </c>
      <c r="AJ2469" s="0" t="n">
        <v>34</v>
      </c>
      <c r="AK2469" s="0" t="n">
        <v>46</v>
      </c>
      <c r="AL2469" s="0" t="n">
        <v>1.05</v>
      </c>
    </row>
    <row r="2470">
      <c r="A2470" s="0" t="inlineStr">
        <is>
          <t>[암사동]</t>
        </is>
      </c>
      <c r="B2470" s="0" t="n">
        <v>9773</v>
      </c>
      <c r="C2470" s="0" t="n">
        <v>9</v>
      </c>
      <c r="D2470" s="0" t="inlineStr">
        <is>
          <t>메이저</t>
        </is>
      </c>
      <c r="E2470" s="0" t="inlineStr">
        <is>
          <t>2002.06.</t>
        </is>
      </c>
      <c r="F2470" s="0" t="n">
        <v>44</v>
      </c>
      <c r="G2470" s="0" t="n">
        <v>31.44</v>
      </c>
      <c r="H2470" s="0" t="n">
        <v>103.96</v>
      </c>
      <c r="I2470" s="0" t="n">
        <v>25.58</v>
      </c>
      <c r="J2470" s="0" t="n">
        <v>84.58</v>
      </c>
      <c r="K2470" s="0" t="n">
        <v>6</v>
      </c>
      <c r="T2470" s="0" t="n">
        <v>3</v>
      </c>
      <c r="U2470" s="0" t="n">
        <v>2</v>
      </c>
      <c r="V2470" s="0" t="inlineStr">
        <is>
          <t>계단식</t>
        </is>
      </c>
      <c r="W2470" s="0" t="inlineStr">
        <is>
          <t>103B</t>
        </is>
      </c>
      <c r="X2470" s="0" t="n">
        <v>8</v>
      </c>
      <c r="Y2470" s="0" t="n">
        <v>7</v>
      </c>
      <c r="Z2470" s="0" t="inlineStr">
        <is>
          <t>https://new.land.naver.com/complexes/9773?tab=detail&amp;rf=Y</t>
        </is>
      </c>
      <c r="AA2470" s="0" t="inlineStr">
        <is>
          <t>서울시 강동구 암사동 474-21</t>
        </is>
      </c>
      <c r="AB2470" s="0" t="inlineStr">
        <is>
          <t>서울시</t>
        </is>
      </c>
      <c r="AC2470" s="0" t="inlineStr">
        <is>
          <t>강동구</t>
        </is>
      </c>
      <c r="AD2470" s="0" t="inlineStr">
        <is>
          <t>암사동</t>
        </is>
      </c>
      <c r="AG2470" s="0" t="inlineStr">
        <is>
          <t>서울시 강동구 암사13길 7</t>
        </is>
      </c>
      <c r="AH2470" s="0" t="n">
        <v>0</v>
      </c>
      <c r="AI2470" s="0" t="n">
        <v>226</v>
      </c>
      <c r="AJ2470" s="0" t="n">
        <v>34</v>
      </c>
      <c r="AK2470" s="0" t="n">
        <v>46</v>
      </c>
      <c r="AL2470" s="0" t="n">
        <v>1.05</v>
      </c>
    </row>
    <row r="2471">
      <c r="A2471" s="0" t="inlineStr">
        <is>
          <t>[암사동]</t>
        </is>
      </c>
      <c r="B2471" s="0" t="n">
        <v>11017</v>
      </c>
      <c r="C2471" s="0" t="n">
        <v>1</v>
      </c>
      <c r="D2471" s="0" t="inlineStr">
        <is>
          <t>대송</t>
        </is>
      </c>
      <c r="E2471" s="0" t="inlineStr">
        <is>
          <t>2003.03.</t>
        </is>
      </c>
      <c r="F2471" s="0" t="n">
        <v>18</v>
      </c>
      <c r="G2471" s="0" t="n">
        <v>24.87</v>
      </c>
      <c r="H2471" s="0" t="n">
        <v>82.22</v>
      </c>
      <c r="I2471" s="0" t="n">
        <v>21.05</v>
      </c>
      <c r="J2471" s="0" t="n">
        <v>69.59</v>
      </c>
      <c r="K2471" s="0" t="n">
        <v>12</v>
      </c>
      <c r="T2471" s="0" t="n">
        <v>3</v>
      </c>
      <c r="U2471" s="0" t="n">
        <v>2</v>
      </c>
      <c r="V2471" s="0" t="inlineStr">
        <is>
          <t>계단식</t>
        </is>
      </c>
      <c r="W2471" s="0" t="inlineStr">
        <is>
          <t>82A</t>
        </is>
      </c>
      <c r="X2471" s="0" t="n">
        <v>7</v>
      </c>
      <c r="Y2471" s="0" t="n">
        <v>7</v>
      </c>
      <c r="Z2471" s="0" t="inlineStr">
        <is>
          <t>https://new.land.naver.com/complexes/11017?tab=detail&amp;rf=Y</t>
        </is>
      </c>
      <c r="AA2471" s="0" t="inlineStr">
        <is>
          <t>서울시 강동구 암사동 440-4</t>
        </is>
      </c>
      <c r="AB2471" s="0" t="inlineStr">
        <is>
          <t>서울시</t>
        </is>
      </c>
      <c r="AC2471" s="0" t="inlineStr">
        <is>
          <t>강동구</t>
        </is>
      </c>
      <c r="AD2471" s="0" t="inlineStr">
        <is>
          <t>암사동</t>
        </is>
      </c>
      <c r="AG2471" s="0" t="inlineStr">
        <is>
          <t>서울시 강동구 올림픽로104길 17</t>
        </is>
      </c>
      <c r="AH2471" s="0" t="n">
        <v>0</v>
      </c>
      <c r="AI2471" s="0" t="n">
        <v>276</v>
      </c>
      <c r="AJ2471" s="0" t="n">
        <v>47</v>
      </c>
      <c r="AK2471" s="0" t="n">
        <v>17</v>
      </c>
      <c r="AL2471" s="0" t="n">
        <v>0.9399999999999999</v>
      </c>
    </row>
    <row r="2472">
      <c r="A2472" s="0" t="inlineStr">
        <is>
          <t>[암사동]</t>
        </is>
      </c>
      <c r="B2472" s="0" t="n">
        <v>11017</v>
      </c>
      <c r="C2472" s="0" t="n">
        <v>2</v>
      </c>
      <c r="D2472" s="0" t="inlineStr">
        <is>
          <t>대송</t>
        </is>
      </c>
      <c r="E2472" s="0" t="inlineStr">
        <is>
          <t>2003.03.</t>
        </is>
      </c>
      <c r="F2472" s="0" t="n">
        <v>18</v>
      </c>
      <c r="G2472" s="0" t="n">
        <v>25.23</v>
      </c>
      <c r="H2472" s="0" t="n">
        <v>83.42</v>
      </c>
      <c r="I2472" s="0" t="n">
        <v>21.35</v>
      </c>
      <c r="J2472" s="0" t="n">
        <v>70.59999999999999</v>
      </c>
      <c r="K2472" s="0" t="n">
        <v>6</v>
      </c>
      <c r="T2472" s="0" t="n">
        <v>3</v>
      </c>
      <c r="U2472" s="0" t="n">
        <v>2</v>
      </c>
      <c r="V2472" s="0" t="inlineStr">
        <is>
          <t>계단식</t>
        </is>
      </c>
      <c r="W2472" s="0" t="inlineStr">
        <is>
          <t>83B</t>
        </is>
      </c>
      <c r="X2472" s="0" t="n">
        <v>7</v>
      </c>
      <c r="Y2472" s="0" t="n">
        <v>7</v>
      </c>
      <c r="Z2472" s="0" t="inlineStr">
        <is>
          <t>https://new.land.naver.com/complexes/11017?tab=detail&amp;rf=Y</t>
        </is>
      </c>
      <c r="AA2472" s="0" t="inlineStr">
        <is>
          <t>서울시 강동구 암사동 440-4</t>
        </is>
      </c>
      <c r="AB2472" s="0" t="inlineStr">
        <is>
          <t>서울시</t>
        </is>
      </c>
      <c r="AC2472" s="0" t="inlineStr">
        <is>
          <t>강동구</t>
        </is>
      </c>
      <c r="AD2472" s="0" t="inlineStr">
        <is>
          <t>암사동</t>
        </is>
      </c>
      <c r="AG2472" s="0" t="inlineStr">
        <is>
          <t>서울시 강동구 올림픽로104길 17</t>
        </is>
      </c>
      <c r="AH2472" s="0" t="n">
        <v>0</v>
      </c>
      <c r="AI2472" s="0" t="n">
        <v>276</v>
      </c>
      <c r="AJ2472" s="0" t="n">
        <v>47</v>
      </c>
      <c r="AK2472" s="0" t="n">
        <v>17</v>
      </c>
      <c r="AL2472" s="0" t="n">
        <v>0.9399999999999999</v>
      </c>
    </row>
    <row r="2473">
      <c r="A2473" s="0" t="inlineStr">
        <is>
          <t>[암사동]</t>
        </is>
      </c>
      <c r="B2473" s="0" t="n">
        <v>3324</v>
      </c>
      <c r="C2473" s="0" t="n">
        <v>1</v>
      </c>
      <c r="D2473" s="0" t="inlineStr">
        <is>
          <t>암사한솔</t>
        </is>
      </c>
      <c r="E2473" s="0" t="inlineStr">
        <is>
          <t>2002.01.</t>
        </is>
      </c>
      <c r="F2473" s="0" t="n">
        <v>203</v>
      </c>
      <c r="G2473" s="0" t="n">
        <v>32.05</v>
      </c>
      <c r="H2473" s="0" t="n">
        <v>105.96</v>
      </c>
      <c r="I2473" s="0" t="n">
        <v>25.63</v>
      </c>
      <c r="J2473" s="0" t="n">
        <v>84.73</v>
      </c>
      <c r="K2473" s="0" t="n">
        <v>165</v>
      </c>
      <c r="T2473" s="0" t="n">
        <v>3</v>
      </c>
      <c r="U2473" s="0" t="n">
        <v>2</v>
      </c>
      <c r="V2473" s="0" t="inlineStr">
        <is>
          <t>계단식</t>
        </is>
      </c>
      <c r="W2473" s="0" t="n">
        <v>105</v>
      </c>
      <c r="X2473" s="0" t="n">
        <v>14</v>
      </c>
      <c r="Y2473" s="0" t="n">
        <v>9</v>
      </c>
      <c r="Z2473" s="0" t="inlineStr">
        <is>
          <t>https://new.land.naver.com/complexes/3324?tab=detail&amp;rf=Y</t>
        </is>
      </c>
      <c r="AA2473" s="0" t="inlineStr">
        <is>
          <t>서울시 강동구 암사동 419</t>
        </is>
      </c>
      <c r="AB2473" s="0" t="inlineStr">
        <is>
          <t>서울시</t>
        </is>
      </c>
      <c r="AC2473" s="0" t="inlineStr">
        <is>
          <t>강동구</t>
        </is>
      </c>
      <c r="AD2473" s="0" t="inlineStr">
        <is>
          <t>암사동</t>
        </is>
      </c>
      <c r="AG2473" s="0" t="inlineStr">
        <is>
          <t>서울시 강동구 암사19길 25</t>
        </is>
      </c>
      <c r="AH2473" s="0" t="n">
        <v>0</v>
      </c>
      <c r="AI2473" s="0" t="n">
        <v>258</v>
      </c>
      <c r="AJ2473" s="0" t="n">
        <v>23</v>
      </c>
      <c r="AK2473" s="0" t="n">
        <v>251</v>
      </c>
      <c r="AL2473" s="0" t="n">
        <v>1.24</v>
      </c>
    </row>
    <row r="2474">
      <c r="A2474" s="0" t="inlineStr">
        <is>
          <t>[암사동]</t>
        </is>
      </c>
      <c r="B2474" s="0" t="n">
        <v>3324</v>
      </c>
      <c r="C2474" s="0" t="n">
        <v>2</v>
      </c>
      <c r="D2474" s="0" t="inlineStr">
        <is>
          <t>암사한솔</t>
        </is>
      </c>
      <c r="E2474" s="0" t="inlineStr">
        <is>
          <t>2002.01.</t>
        </is>
      </c>
      <c r="F2474" s="0" t="n">
        <v>203</v>
      </c>
      <c r="G2474" s="0" t="n">
        <v>38.09</v>
      </c>
      <c r="H2474" s="0" t="n">
        <v>125.92</v>
      </c>
      <c r="I2474" s="0" t="n">
        <v>32.01</v>
      </c>
      <c r="J2474" s="0" t="n">
        <v>105.82</v>
      </c>
      <c r="K2474" s="0" t="n">
        <v>26</v>
      </c>
      <c r="T2474" s="0" t="n">
        <v>4</v>
      </c>
      <c r="U2474" s="0" t="n">
        <v>2</v>
      </c>
      <c r="V2474" s="0" t="inlineStr">
        <is>
          <t>계단식</t>
        </is>
      </c>
      <c r="W2474" s="0" t="n">
        <v>125</v>
      </c>
      <c r="X2474" s="0" t="n">
        <v>14</v>
      </c>
      <c r="Y2474" s="0" t="n">
        <v>9</v>
      </c>
      <c r="Z2474" s="0" t="inlineStr">
        <is>
          <t>https://new.land.naver.com/complexes/3324?tab=detail&amp;rf=Y</t>
        </is>
      </c>
      <c r="AA2474" s="0" t="inlineStr">
        <is>
          <t>서울시 강동구 암사동 419</t>
        </is>
      </c>
      <c r="AB2474" s="0" t="inlineStr">
        <is>
          <t>서울시</t>
        </is>
      </c>
      <c r="AC2474" s="0" t="inlineStr">
        <is>
          <t>강동구</t>
        </is>
      </c>
      <c r="AD2474" s="0" t="inlineStr">
        <is>
          <t>암사동</t>
        </is>
      </c>
      <c r="AG2474" s="0" t="inlineStr">
        <is>
          <t>서울시 강동구 암사19길 25</t>
        </is>
      </c>
      <c r="AH2474" s="0" t="n">
        <v>0</v>
      </c>
      <c r="AI2474" s="0" t="n">
        <v>258</v>
      </c>
      <c r="AJ2474" s="0" t="n">
        <v>23</v>
      </c>
      <c r="AK2474" s="0" t="n">
        <v>251</v>
      </c>
      <c r="AL2474" s="0" t="n">
        <v>1.24</v>
      </c>
    </row>
    <row r="2475">
      <c r="A2475" s="0" t="inlineStr">
        <is>
          <t>[암사동]</t>
        </is>
      </c>
      <c r="B2475" s="0" t="n">
        <v>3324</v>
      </c>
      <c r="C2475" s="0" t="n">
        <v>3</v>
      </c>
      <c r="D2475" s="0" t="inlineStr">
        <is>
          <t>암사한솔</t>
        </is>
      </c>
      <c r="E2475" s="0" t="inlineStr">
        <is>
          <t>2002.01.</t>
        </is>
      </c>
      <c r="F2475" s="0" t="n">
        <v>203</v>
      </c>
      <c r="G2475" s="0" t="n">
        <v>44.64</v>
      </c>
      <c r="H2475" s="0" t="n">
        <v>147.58</v>
      </c>
      <c r="I2475" s="0" t="n">
        <v>34.22</v>
      </c>
      <c r="J2475" s="0" t="n">
        <v>113.14</v>
      </c>
      <c r="K2475" s="0" t="n">
        <v>12</v>
      </c>
      <c r="T2475" s="0" t="n">
        <v>4</v>
      </c>
      <c r="U2475" s="0" t="n">
        <v>2</v>
      </c>
      <c r="V2475" s="0" t="inlineStr">
        <is>
          <t>계단식</t>
        </is>
      </c>
      <c r="W2475" s="0" t="n">
        <v>147</v>
      </c>
      <c r="X2475" s="0" t="n">
        <v>14</v>
      </c>
      <c r="Y2475" s="0" t="n">
        <v>9</v>
      </c>
      <c r="Z2475" s="0" t="inlineStr">
        <is>
          <t>https://new.land.naver.com/complexes/3324?tab=detail&amp;rf=Y</t>
        </is>
      </c>
      <c r="AA2475" s="0" t="inlineStr">
        <is>
          <t>서울시 강동구 암사동 419</t>
        </is>
      </c>
      <c r="AB2475" s="0" t="inlineStr">
        <is>
          <t>서울시</t>
        </is>
      </c>
      <c r="AC2475" s="0" t="inlineStr">
        <is>
          <t>강동구</t>
        </is>
      </c>
      <c r="AD2475" s="0" t="inlineStr">
        <is>
          <t>암사동</t>
        </is>
      </c>
      <c r="AG2475" s="0" t="inlineStr">
        <is>
          <t>서울시 강동구 암사19길 25</t>
        </is>
      </c>
      <c r="AH2475" s="0" t="n">
        <v>0</v>
      </c>
      <c r="AI2475" s="0" t="n">
        <v>258</v>
      </c>
      <c r="AJ2475" s="0" t="n">
        <v>23</v>
      </c>
      <c r="AK2475" s="0" t="n">
        <v>251</v>
      </c>
      <c r="AL2475" s="0" t="n">
        <v>1.24</v>
      </c>
    </row>
    <row r="2476">
      <c r="A2476" s="0" t="inlineStr">
        <is>
          <t>[암사동]</t>
        </is>
      </c>
      <c r="B2476" s="0" t="n">
        <v>15512</v>
      </c>
      <c r="C2476" s="0" t="n">
        <v>1</v>
      </c>
      <c r="D2476" s="0" t="inlineStr">
        <is>
          <t>영상</t>
        </is>
      </c>
      <c r="E2476" s="0" t="inlineStr">
        <is>
          <t>2002.12.</t>
        </is>
      </c>
      <c r="F2476" s="0" t="n">
        <v>19</v>
      </c>
      <c r="G2476" s="0" t="n">
        <v>28.98</v>
      </c>
      <c r="H2476" s="0" t="n">
        <v>95.83</v>
      </c>
      <c r="I2476" s="0" t="n">
        <v>25.59</v>
      </c>
      <c r="J2476" s="0" t="n">
        <v>84.61</v>
      </c>
      <c r="K2476" s="0" t="n">
        <v>15</v>
      </c>
      <c r="T2476" s="0" t="n">
        <v>3</v>
      </c>
      <c r="U2476" s="0" t="n">
        <v>2</v>
      </c>
      <c r="V2476" s="0" t="inlineStr">
        <is>
          <t>계단식</t>
        </is>
      </c>
      <c r="W2476" s="0" t="n">
        <v>95</v>
      </c>
      <c r="X2476" s="0" t="n">
        <v>6</v>
      </c>
      <c r="Y2476" s="0" t="n">
        <v>6</v>
      </c>
      <c r="Z2476" s="0" t="inlineStr">
        <is>
          <t>https://new.land.naver.com/complexes/15512?tab=detail&amp;rf=Y</t>
        </is>
      </c>
      <c r="AA2476" s="0" t="inlineStr">
        <is>
          <t>서울시 강동구 암사동 446-3</t>
        </is>
      </c>
      <c r="AB2476" s="0" t="inlineStr">
        <is>
          <t>서울시</t>
        </is>
      </c>
      <c r="AC2476" s="0" t="inlineStr">
        <is>
          <t>강동구</t>
        </is>
      </c>
      <c r="AD2476" s="0" t="inlineStr">
        <is>
          <t>암사동</t>
        </is>
      </c>
      <c r="AG2476" s="0" t="inlineStr">
        <is>
          <t>서울시 강동구 고덕로23길 13-19</t>
        </is>
      </c>
      <c r="AH2476" s="0" t="n">
        <v>0</v>
      </c>
      <c r="AI2476" s="0" t="n">
        <v>239</v>
      </c>
      <c r="AJ2476" s="0" t="n">
        <v>42</v>
      </c>
      <c r="AK2476" s="0" t="n">
        <v>25</v>
      </c>
      <c r="AL2476" s="0" t="n">
        <v>1.32</v>
      </c>
    </row>
    <row r="2477">
      <c r="A2477" s="0" t="inlineStr">
        <is>
          <t>[암사동]</t>
        </is>
      </c>
      <c r="B2477" s="0" t="n">
        <v>15512</v>
      </c>
      <c r="C2477" s="0" t="n">
        <v>2</v>
      </c>
      <c r="D2477" s="0" t="inlineStr">
        <is>
          <t>영상</t>
        </is>
      </c>
      <c r="E2477" s="0" t="inlineStr">
        <is>
          <t>2002.12.</t>
        </is>
      </c>
      <c r="F2477" s="0" t="n">
        <v>19</v>
      </c>
      <c r="G2477" s="0" t="n">
        <v>44.97</v>
      </c>
      <c r="H2477" s="0" t="n">
        <v>148.68</v>
      </c>
      <c r="I2477" s="0" t="n">
        <v>41.58</v>
      </c>
      <c r="J2477" s="0" t="n">
        <v>137.46</v>
      </c>
      <c r="K2477" s="0" t="n">
        <v>4</v>
      </c>
      <c r="T2477" s="0" t="n">
        <v>5</v>
      </c>
      <c r="U2477" s="0" t="n">
        <v>3</v>
      </c>
      <c r="V2477" s="0" t="inlineStr">
        <is>
          <t>계단식</t>
        </is>
      </c>
      <c r="W2477" s="0" t="n">
        <v>148</v>
      </c>
      <c r="X2477" s="0" t="n">
        <v>6</v>
      </c>
      <c r="Y2477" s="0" t="n">
        <v>6</v>
      </c>
      <c r="Z2477" s="0" t="inlineStr">
        <is>
          <t>https://new.land.naver.com/complexes/15512?tab=detail&amp;rf=Y</t>
        </is>
      </c>
      <c r="AA2477" s="0" t="inlineStr">
        <is>
          <t>서울시 강동구 암사동 446-3</t>
        </is>
      </c>
      <c r="AB2477" s="0" t="inlineStr">
        <is>
          <t>서울시</t>
        </is>
      </c>
      <c r="AC2477" s="0" t="inlineStr">
        <is>
          <t>강동구</t>
        </is>
      </c>
      <c r="AD2477" s="0" t="inlineStr">
        <is>
          <t>암사동</t>
        </is>
      </c>
      <c r="AG2477" s="0" t="inlineStr">
        <is>
          <t>서울시 강동구 고덕로23길 13-19</t>
        </is>
      </c>
      <c r="AH2477" s="0" t="n">
        <v>0</v>
      </c>
      <c r="AI2477" s="0" t="n">
        <v>239</v>
      </c>
      <c r="AJ2477" s="0" t="n">
        <v>42</v>
      </c>
      <c r="AK2477" s="0" t="n">
        <v>25</v>
      </c>
      <c r="AL2477" s="0" t="n">
        <v>1.32</v>
      </c>
    </row>
    <row r="2478">
      <c r="A2478" s="0" t="inlineStr">
        <is>
          <t>[암사동]</t>
        </is>
      </c>
      <c r="B2478" s="0" t="n">
        <v>1330</v>
      </c>
      <c r="C2478" s="0" t="n">
        <v>1</v>
      </c>
      <c r="D2478" s="0" t="inlineStr">
        <is>
          <t>대명</t>
        </is>
      </c>
      <c r="E2478" s="0" t="inlineStr">
        <is>
          <t>1987.12.</t>
        </is>
      </c>
      <c r="F2478" s="0" t="n">
        <v>80</v>
      </c>
      <c r="G2478" s="0" t="n">
        <v>19.83</v>
      </c>
      <c r="H2478" s="0" t="n">
        <v>65.58</v>
      </c>
      <c r="I2478" s="0" t="n">
        <v>14.65</v>
      </c>
      <c r="J2478" s="0" t="n">
        <v>48.45</v>
      </c>
      <c r="K2478" s="0" t="n">
        <v>30</v>
      </c>
      <c r="T2478" s="0" t="n">
        <v>2</v>
      </c>
      <c r="U2478" s="0" t="n">
        <v>1</v>
      </c>
      <c r="V2478" s="0" t="inlineStr">
        <is>
          <t>계단식</t>
        </is>
      </c>
      <c r="W2478" s="0" t="n">
        <v>65</v>
      </c>
      <c r="X2478" s="0" t="n">
        <v>5</v>
      </c>
      <c r="Y2478" s="0" t="n">
        <v>5</v>
      </c>
      <c r="Z2478" s="0" t="inlineStr">
        <is>
          <t>https://new.land.naver.com/complexes/1330?tab=detail&amp;rf=Y</t>
        </is>
      </c>
      <c r="AA2478" s="0" t="inlineStr">
        <is>
          <t>서울시 강동구 암사동 447-8</t>
        </is>
      </c>
      <c r="AB2478" s="0" t="inlineStr">
        <is>
          <t>서울시</t>
        </is>
      </c>
      <c r="AC2478" s="0" t="inlineStr">
        <is>
          <t>강동구</t>
        </is>
      </c>
      <c r="AD2478" s="0" t="inlineStr">
        <is>
          <t>암사동</t>
        </is>
      </c>
      <c r="AG2478" s="0" t="inlineStr">
        <is>
          <t>서울시 강동구 고덕로25길 13-11</t>
        </is>
      </c>
      <c r="AH2478" s="0" t="n">
        <v>0</v>
      </c>
      <c r="AI2478" s="0" t="n">
        <v>0</v>
      </c>
      <c r="AJ2478" s="0" t="n">
        <v>0</v>
      </c>
      <c r="AK2478" s="0" t="n">
        <v>23</v>
      </c>
      <c r="AL2478" s="0" t="n">
        <v>0.29</v>
      </c>
    </row>
    <row r="2479">
      <c r="A2479" s="0" t="inlineStr">
        <is>
          <t>[암사동]</t>
        </is>
      </c>
      <c r="B2479" s="0" t="n">
        <v>1330</v>
      </c>
      <c r="C2479" s="0" t="n">
        <v>2</v>
      </c>
      <c r="D2479" s="0" t="inlineStr">
        <is>
          <t>대명</t>
        </is>
      </c>
      <c r="E2479" s="0" t="inlineStr">
        <is>
          <t>1987.12.</t>
        </is>
      </c>
      <c r="F2479" s="0" t="n">
        <v>80</v>
      </c>
      <c r="G2479" s="0" t="n">
        <v>20.8</v>
      </c>
      <c r="H2479" s="0" t="n">
        <v>68.79000000000001</v>
      </c>
      <c r="I2479" s="0" t="n">
        <v>15.46</v>
      </c>
      <c r="J2479" s="0" t="n">
        <v>51.12</v>
      </c>
      <c r="K2479" s="0" t="n">
        <v>30</v>
      </c>
      <c r="T2479" s="0" t="n">
        <v>2</v>
      </c>
      <c r="U2479" s="0" t="n">
        <v>1</v>
      </c>
      <c r="V2479" s="0" t="inlineStr">
        <is>
          <t>계단식</t>
        </is>
      </c>
      <c r="W2479" s="0" t="n">
        <v>68</v>
      </c>
      <c r="X2479" s="0" t="n">
        <v>5</v>
      </c>
      <c r="Y2479" s="0" t="n">
        <v>5</v>
      </c>
      <c r="Z2479" s="0" t="inlineStr">
        <is>
          <t>https://new.land.naver.com/complexes/1330?tab=detail&amp;rf=Y</t>
        </is>
      </c>
      <c r="AA2479" s="0" t="inlineStr">
        <is>
          <t>서울시 강동구 암사동 447-8</t>
        </is>
      </c>
      <c r="AB2479" s="0" t="inlineStr">
        <is>
          <t>서울시</t>
        </is>
      </c>
      <c r="AC2479" s="0" t="inlineStr">
        <is>
          <t>강동구</t>
        </is>
      </c>
      <c r="AD2479" s="0" t="inlineStr">
        <is>
          <t>암사동</t>
        </is>
      </c>
      <c r="AG2479" s="0" t="inlineStr">
        <is>
          <t>서울시 강동구 고덕로25길 13-11</t>
        </is>
      </c>
      <c r="AH2479" s="0" t="n">
        <v>0</v>
      </c>
      <c r="AI2479" s="0" t="n">
        <v>0</v>
      </c>
      <c r="AJ2479" s="0" t="n">
        <v>0</v>
      </c>
      <c r="AK2479" s="0" t="n">
        <v>23</v>
      </c>
      <c r="AL2479" s="0" t="n">
        <v>0.29</v>
      </c>
    </row>
    <row r="2480">
      <c r="A2480" s="0" t="inlineStr">
        <is>
          <t>[암사동]</t>
        </is>
      </c>
      <c r="B2480" s="0" t="n">
        <v>1330</v>
      </c>
      <c r="C2480" s="0" t="n">
        <v>3</v>
      </c>
      <c r="D2480" s="0" t="inlineStr">
        <is>
          <t>대명</t>
        </is>
      </c>
      <c r="E2480" s="0" t="inlineStr">
        <is>
          <t>1987.12.</t>
        </is>
      </c>
      <c r="F2480" s="0" t="n">
        <v>80</v>
      </c>
      <c r="G2480" s="0" t="n">
        <v>24.03</v>
      </c>
      <c r="H2480" s="0" t="n">
        <v>79.44</v>
      </c>
      <c r="I2480" s="0" t="n">
        <v>18.14</v>
      </c>
      <c r="J2480" s="0" t="n">
        <v>59.99</v>
      </c>
      <c r="K2480" s="0" t="n">
        <v>10</v>
      </c>
      <c r="T2480" s="0" t="n">
        <v>3</v>
      </c>
      <c r="U2480" s="0" t="n">
        <v>1</v>
      </c>
      <c r="V2480" s="0" t="inlineStr">
        <is>
          <t>계단식</t>
        </is>
      </c>
      <c r="W2480" s="0" t="n">
        <v>79</v>
      </c>
      <c r="X2480" s="0" t="n">
        <v>5</v>
      </c>
      <c r="Y2480" s="0" t="n">
        <v>5</v>
      </c>
      <c r="Z2480" s="0" t="inlineStr">
        <is>
          <t>https://new.land.naver.com/complexes/1330?tab=detail&amp;rf=Y</t>
        </is>
      </c>
      <c r="AA2480" s="0" t="inlineStr">
        <is>
          <t>서울시 강동구 암사동 447-8</t>
        </is>
      </c>
      <c r="AB2480" s="0" t="inlineStr">
        <is>
          <t>서울시</t>
        </is>
      </c>
      <c r="AC2480" s="0" t="inlineStr">
        <is>
          <t>강동구</t>
        </is>
      </c>
      <c r="AD2480" s="0" t="inlineStr">
        <is>
          <t>암사동</t>
        </is>
      </c>
      <c r="AG2480" s="0" t="inlineStr">
        <is>
          <t>서울시 강동구 고덕로25길 13-11</t>
        </is>
      </c>
      <c r="AH2480" s="0" t="n">
        <v>0</v>
      </c>
      <c r="AI2480" s="0" t="n">
        <v>0</v>
      </c>
      <c r="AJ2480" s="0" t="n">
        <v>0</v>
      </c>
      <c r="AK2480" s="0" t="n">
        <v>23</v>
      </c>
      <c r="AL2480" s="0" t="n">
        <v>0.29</v>
      </c>
    </row>
    <row r="2481">
      <c r="A2481" s="0" t="inlineStr">
        <is>
          <t>[암사동]</t>
        </is>
      </c>
      <c r="B2481" s="0" t="n">
        <v>1330</v>
      </c>
      <c r="C2481" s="0" t="n">
        <v>4</v>
      </c>
      <c r="D2481" s="0" t="inlineStr">
        <is>
          <t>대명</t>
        </is>
      </c>
      <c r="E2481" s="0" t="inlineStr">
        <is>
          <t>1987.12.</t>
        </is>
      </c>
      <c r="F2481" s="0" t="n">
        <v>80</v>
      </c>
      <c r="G2481" s="0" t="n">
        <v>27</v>
      </c>
      <c r="H2481" s="0" t="n">
        <v>89.27</v>
      </c>
      <c r="I2481" s="0" t="n">
        <v>20.62</v>
      </c>
      <c r="J2481" s="0" t="n">
        <v>68.19</v>
      </c>
      <c r="K2481" s="0" t="n">
        <v>10</v>
      </c>
      <c r="T2481" s="0" t="n">
        <v>3</v>
      </c>
      <c r="U2481" s="0" t="n">
        <v>1</v>
      </c>
      <c r="V2481" s="0" t="inlineStr">
        <is>
          <t>계단식</t>
        </is>
      </c>
      <c r="W2481" s="0" t="n">
        <v>89</v>
      </c>
      <c r="X2481" s="0" t="n">
        <v>5</v>
      </c>
      <c r="Y2481" s="0" t="n">
        <v>5</v>
      </c>
      <c r="Z2481" s="0" t="inlineStr">
        <is>
          <t>https://new.land.naver.com/complexes/1330?tab=detail&amp;rf=Y</t>
        </is>
      </c>
      <c r="AA2481" s="0" t="inlineStr">
        <is>
          <t>서울시 강동구 암사동 447-8</t>
        </is>
      </c>
      <c r="AB2481" s="0" t="inlineStr">
        <is>
          <t>서울시</t>
        </is>
      </c>
      <c r="AC2481" s="0" t="inlineStr">
        <is>
          <t>강동구</t>
        </is>
      </c>
      <c r="AD2481" s="0" t="inlineStr">
        <is>
          <t>암사동</t>
        </is>
      </c>
      <c r="AG2481" s="0" t="inlineStr">
        <is>
          <t>서울시 강동구 고덕로25길 13-11</t>
        </is>
      </c>
      <c r="AH2481" s="0" t="n">
        <v>0</v>
      </c>
      <c r="AI2481" s="0" t="n">
        <v>0</v>
      </c>
      <c r="AJ2481" s="0" t="n">
        <v>0</v>
      </c>
      <c r="AK2481" s="0" t="n">
        <v>23</v>
      </c>
      <c r="AL2481" s="0" t="n">
        <v>0.29</v>
      </c>
    </row>
    <row r="2482">
      <c r="A2482" s="0" t="inlineStr">
        <is>
          <t>[암사동]</t>
        </is>
      </c>
      <c r="B2482" s="0" t="n">
        <v>8670</v>
      </c>
      <c r="C2482" s="0" t="n">
        <v>1</v>
      </c>
      <c r="D2482" s="0" t="inlineStr">
        <is>
          <t>정산(102,103동)</t>
        </is>
      </c>
      <c r="E2482" s="0" t="inlineStr">
        <is>
          <t>2001.08.</t>
        </is>
      </c>
      <c r="F2482" s="0" t="n">
        <v>60</v>
      </c>
      <c r="G2482" s="0" t="n">
        <v>19.22</v>
      </c>
      <c r="H2482" s="0" t="n">
        <v>63.54</v>
      </c>
      <c r="I2482" s="0" t="n">
        <v>15.58</v>
      </c>
      <c r="J2482" s="0" t="n">
        <v>51.52</v>
      </c>
      <c r="K2482" s="0" t="n">
        <v>8</v>
      </c>
      <c r="T2482" s="0" t="n">
        <v>3</v>
      </c>
      <c r="U2482" s="0" t="n">
        <v>2</v>
      </c>
      <c r="V2482" s="0" t="inlineStr">
        <is>
          <t>계단식</t>
        </is>
      </c>
      <c r="W2482" s="0" t="n">
        <v>63</v>
      </c>
      <c r="X2482" s="0" t="n">
        <v>14</v>
      </c>
      <c r="Y2482" s="0" t="n">
        <v>12</v>
      </c>
      <c r="Z2482" s="0" t="inlineStr">
        <is>
          <t>https://new.land.naver.com/complexes/8670?tab=detail&amp;rf=Y</t>
        </is>
      </c>
      <c r="AA2482" s="0" t="inlineStr">
        <is>
          <t>서울시 강동구 암사동 441-2</t>
        </is>
      </c>
      <c r="AB2482" s="0" t="inlineStr">
        <is>
          <t>서울시</t>
        </is>
      </c>
      <c r="AC2482" s="0" t="inlineStr">
        <is>
          <t>강동구</t>
        </is>
      </c>
      <c r="AD2482" s="0" t="inlineStr">
        <is>
          <t>암사동</t>
        </is>
      </c>
      <c r="AG2482" s="0" t="inlineStr">
        <is>
          <t>서울시 강동구 올림픽로104길 14</t>
        </is>
      </c>
      <c r="AH2482" s="0" t="n">
        <v>0</v>
      </c>
      <c r="AI2482" s="0" t="n">
        <v>0</v>
      </c>
      <c r="AJ2482" s="0" t="n">
        <v>0</v>
      </c>
      <c r="AK2482" s="0" t="n">
        <v>53</v>
      </c>
      <c r="AL2482" s="0" t="n">
        <v>0.88</v>
      </c>
    </row>
    <row r="2483">
      <c r="A2483" s="0" t="inlineStr">
        <is>
          <t>[암사동]</t>
        </is>
      </c>
      <c r="B2483" s="0" t="n">
        <v>8670</v>
      </c>
      <c r="C2483" s="0" t="n">
        <v>2</v>
      </c>
      <c r="D2483" s="0" t="inlineStr">
        <is>
          <t>정산(102,103동)</t>
        </is>
      </c>
      <c r="E2483" s="0" t="inlineStr">
        <is>
          <t>2001.08.</t>
        </is>
      </c>
      <c r="F2483" s="0" t="n">
        <v>60</v>
      </c>
      <c r="G2483" s="0" t="n">
        <v>31.1</v>
      </c>
      <c r="H2483" s="0" t="n">
        <v>102.83</v>
      </c>
      <c r="I2483" s="0" t="n">
        <v>25.23</v>
      </c>
      <c r="J2483" s="0" t="n">
        <v>83.42</v>
      </c>
      <c r="K2483" s="0" t="n">
        <v>39</v>
      </c>
      <c r="T2483" s="0" t="n">
        <v>3</v>
      </c>
      <c r="U2483" s="0" t="n">
        <v>2</v>
      </c>
      <c r="V2483" s="0" t="inlineStr">
        <is>
          <t>계단식</t>
        </is>
      </c>
      <c r="W2483" s="0" t="n">
        <v>102</v>
      </c>
      <c r="X2483" s="0" t="n">
        <v>14</v>
      </c>
      <c r="Y2483" s="0" t="n">
        <v>12</v>
      </c>
      <c r="Z2483" s="0" t="inlineStr">
        <is>
          <t>https://new.land.naver.com/complexes/8670?tab=detail&amp;rf=Y</t>
        </is>
      </c>
      <c r="AA2483" s="0" t="inlineStr">
        <is>
          <t>서울시 강동구 암사동 441-2</t>
        </is>
      </c>
      <c r="AB2483" s="0" t="inlineStr">
        <is>
          <t>서울시</t>
        </is>
      </c>
      <c r="AC2483" s="0" t="inlineStr">
        <is>
          <t>강동구</t>
        </is>
      </c>
      <c r="AD2483" s="0" t="inlineStr">
        <is>
          <t>암사동</t>
        </is>
      </c>
      <c r="AG2483" s="0" t="inlineStr">
        <is>
          <t>서울시 강동구 올림픽로104길 14</t>
        </is>
      </c>
      <c r="AH2483" s="0" t="n">
        <v>0</v>
      </c>
      <c r="AI2483" s="0" t="n">
        <v>0</v>
      </c>
      <c r="AJ2483" s="0" t="n">
        <v>0</v>
      </c>
      <c r="AK2483" s="0" t="n">
        <v>53</v>
      </c>
      <c r="AL2483" s="0" t="n">
        <v>0.88</v>
      </c>
    </row>
    <row r="2484">
      <c r="A2484" s="0" t="inlineStr">
        <is>
          <t>[암사동]</t>
        </is>
      </c>
      <c r="B2484" s="0" t="n">
        <v>8670</v>
      </c>
      <c r="C2484" s="0" t="n">
        <v>3</v>
      </c>
      <c r="D2484" s="0" t="inlineStr">
        <is>
          <t>정산(102,103동)</t>
        </is>
      </c>
      <c r="E2484" s="0" t="inlineStr">
        <is>
          <t>2001.08.</t>
        </is>
      </c>
      <c r="F2484" s="0" t="n">
        <v>60</v>
      </c>
      <c r="G2484" s="0" t="n">
        <v>34.46</v>
      </c>
      <c r="H2484" s="0" t="n">
        <v>113.92</v>
      </c>
      <c r="I2484" s="0" t="n">
        <v>30.4</v>
      </c>
      <c r="J2484" s="0" t="n">
        <v>100.52</v>
      </c>
      <c r="K2484" s="0" t="n">
        <v>1</v>
      </c>
      <c r="T2484" s="0" t="n">
        <v>3</v>
      </c>
      <c r="U2484" s="0" t="n">
        <v>2</v>
      </c>
      <c r="V2484" s="0" t="inlineStr">
        <is>
          <t>계단식</t>
        </is>
      </c>
      <c r="W2484" s="0" t="n">
        <v>113</v>
      </c>
      <c r="X2484" s="0" t="n">
        <v>14</v>
      </c>
      <c r="Y2484" s="0" t="n">
        <v>12</v>
      </c>
      <c r="Z2484" s="0" t="inlineStr">
        <is>
          <t>https://new.land.naver.com/complexes/8670?tab=detail&amp;rf=Y</t>
        </is>
      </c>
      <c r="AA2484" s="0" t="inlineStr">
        <is>
          <t>서울시 강동구 암사동 441-2</t>
        </is>
      </c>
      <c r="AB2484" s="0" t="inlineStr">
        <is>
          <t>서울시</t>
        </is>
      </c>
      <c r="AC2484" s="0" t="inlineStr">
        <is>
          <t>강동구</t>
        </is>
      </c>
      <c r="AD2484" s="0" t="inlineStr">
        <is>
          <t>암사동</t>
        </is>
      </c>
      <c r="AG2484" s="0" t="inlineStr">
        <is>
          <t>서울시 강동구 올림픽로104길 14</t>
        </is>
      </c>
      <c r="AH2484" s="0" t="n">
        <v>0</v>
      </c>
      <c r="AI2484" s="0" t="n">
        <v>0</v>
      </c>
      <c r="AJ2484" s="0" t="n">
        <v>0</v>
      </c>
      <c r="AK2484" s="0" t="n">
        <v>53</v>
      </c>
      <c r="AL2484" s="0" t="n">
        <v>0.88</v>
      </c>
    </row>
    <row r="2485">
      <c r="A2485" s="0" t="inlineStr">
        <is>
          <t>[암사동]</t>
        </is>
      </c>
      <c r="B2485" s="0" t="n">
        <v>8670</v>
      </c>
      <c r="C2485" s="0" t="n">
        <v>4</v>
      </c>
      <c r="D2485" s="0" t="inlineStr">
        <is>
          <t>정산(102,103동)</t>
        </is>
      </c>
      <c r="E2485" s="0" t="inlineStr">
        <is>
          <t>2001.08.</t>
        </is>
      </c>
      <c r="F2485" s="0" t="n">
        <v>60</v>
      </c>
      <c r="G2485" s="0" t="n">
        <v>45.23</v>
      </c>
      <c r="H2485" s="0" t="n">
        <v>149.53</v>
      </c>
      <c r="I2485" s="0" t="n">
        <v>39.92</v>
      </c>
      <c r="J2485" s="0" t="n">
        <v>131.98</v>
      </c>
      <c r="K2485" s="0" t="n">
        <v>12</v>
      </c>
      <c r="T2485" s="0" t="n">
        <v>3</v>
      </c>
      <c r="U2485" s="0" t="n">
        <v>2</v>
      </c>
      <c r="V2485" s="0" t="inlineStr">
        <is>
          <t>계단식</t>
        </is>
      </c>
      <c r="W2485" s="0" t="n">
        <v>149</v>
      </c>
      <c r="X2485" s="0" t="n">
        <v>14</v>
      </c>
      <c r="Y2485" s="0" t="n">
        <v>12</v>
      </c>
      <c r="Z2485" s="0" t="inlineStr">
        <is>
          <t>https://new.land.naver.com/complexes/8670?tab=detail&amp;rf=Y</t>
        </is>
      </c>
      <c r="AA2485" s="0" t="inlineStr">
        <is>
          <t>서울시 강동구 암사동 441-2</t>
        </is>
      </c>
      <c r="AB2485" s="0" t="inlineStr">
        <is>
          <t>서울시</t>
        </is>
      </c>
      <c r="AC2485" s="0" t="inlineStr">
        <is>
          <t>강동구</t>
        </is>
      </c>
      <c r="AD2485" s="0" t="inlineStr">
        <is>
          <t>암사동</t>
        </is>
      </c>
      <c r="AG2485" s="0" t="inlineStr">
        <is>
          <t>서울시 강동구 올림픽로104길 14</t>
        </is>
      </c>
      <c r="AH2485" s="0" t="n">
        <v>0</v>
      </c>
      <c r="AI2485" s="0" t="n">
        <v>0</v>
      </c>
      <c r="AJ2485" s="0" t="n">
        <v>0</v>
      </c>
      <c r="AK2485" s="0" t="n">
        <v>53</v>
      </c>
      <c r="AL2485" s="0" t="n">
        <v>0.88</v>
      </c>
    </row>
    <row r="2486">
      <c r="A2486" s="0" t="inlineStr">
        <is>
          <t>[암사동]</t>
        </is>
      </c>
      <c r="B2486" s="0" t="n">
        <v>102701</v>
      </c>
      <c r="C2486" s="0" t="n">
        <v>1</v>
      </c>
      <c r="D2486" s="0" t="inlineStr">
        <is>
          <t>주은</t>
        </is>
      </c>
      <c r="E2486" s="0" t="inlineStr">
        <is>
          <t>2008.04.</t>
        </is>
      </c>
      <c r="F2486" s="0" t="n">
        <v>12</v>
      </c>
      <c r="G2486" s="0" t="n">
        <v>21.87</v>
      </c>
      <c r="H2486" s="0" t="n">
        <v>72.31999999999999</v>
      </c>
      <c r="I2486" s="0" t="n">
        <v>17.81</v>
      </c>
      <c r="J2486" s="0" t="n">
        <v>58.9</v>
      </c>
      <c r="K2486" s="0" t="n">
        <v>1</v>
      </c>
      <c r="T2486" s="0" t="n">
        <v>2</v>
      </c>
      <c r="U2486" s="0" t="n">
        <v>1</v>
      </c>
      <c r="V2486" s="0" t="inlineStr">
        <is>
          <t>계단식</t>
        </is>
      </c>
      <c r="W2486" s="0" t="inlineStr">
        <is>
          <t>72A</t>
        </is>
      </c>
      <c r="X2486" s="0" t="n">
        <v>7</v>
      </c>
      <c r="Y2486" s="0" t="n">
        <v>7</v>
      </c>
      <c r="Z2486" s="0" t="inlineStr">
        <is>
          <t>https://new.land.naver.com/complexes/102701?tab=detail&amp;rf=Y</t>
        </is>
      </c>
      <c r="AA2486" s="0" t="inlineStr">
        <is>
          <t>서울시 강동구 암사동 469-22</t>
        </is>
      </c>
      <c r="AB2486" s="0" t="inlineStr">
        <is>
          <t>서울시</t>
        </is>
      </c>
      <c r="AC2486" s="0" t="inlineStr">
        <is>
          <t>강동구</t>
        </is>
      </c>
      <c r="AD2486" s="0" t="inlineStr">
        <is>
          <t>암사동</t>
        </is>
      </c>
      <c r="AG2486" s="0" t="inlineStr">
        <is>
          <t>서울시 강동구 고덕로20마길 35</t>
        </is>
      </c>
      <c r="AH2486" s="0" t="n">
        <v>0</v>
      </c>
      <c r="AI2486" s="0" t="n">
        <v>199</v>
      </c>
      <c r="AJ2486" s="0" t="n">
        <v>35</v>
      </c>
      <c r="AK2486" s="0" t="n">
        <v>12</v>
      </c>
      <c r="AL2486" s="0" t="n">
        <v>1</v>
      </c>
    </row>
    <row r="2487">
      <c r="A2487" s="0" t="inlineStr">
        <is>
          <t>[암사동]</t>
        </is>
      </c>
      <c r="B2487" s="0" t="n">
        <v>102701</v>
      </c>
      <c r="C2487" s="0" t="n">
        <v>2</v>
      </c>
      <c r="D2487" s="0" t="inlineStr">
        <is>
          <t>주은</t>
        </is>
      </c>
      <c r="E2487" s="0" t="inlineStr">
        <is>
          <t>2008.04.</t>
        </is>
      </c>
      <c r="F2487" s="0" t="n">
        <v>12</v>
      </c>
      <c r="G2487" s="0" t="n">
        <v>22.34</v>
      </c>
      <c r="H2487" s="0" t="n">
        <v>73.86</v>
      </c>
      <c r="I2487" s="0" t="n">
        <v>18.18</v>
      </c>
      <c r="J2487" s="0" t="n">
        <v>60.13</v>
      </c>
      <c r="K2487" s="0" t="n">
        <v>11</v>
      </c>
      <c r="T2487" s="0" t="n">
        <v>3</v>
      </c>
      <c r="U2487" s="0" t="n">
        <v>2</v>
      </c>
      <c r="V2487" s="0" t="inlineStr">
        <is>
          <t>계단식</t>
        </is>
      </c>
      <c r="W2487" s="0" t="inlineStr">
        <is>
          <t>73B</t>
        </is>
      </c>
      <c r="X2487" s="0" t="n">
        <v>7</v>
      </c>
      <c r="Y2487" s="0" t="n">
        <v>7</v>
      </c>
      <c r="Z2487" s="0" t="inlineStr">
        <is>
          <t>https://new.land.naver.com/complexes/102701?tab=detail&amp;rf=Y</t>
        </is>
      </c>
      <c r="AA2487" s="0" t="inlineStr">
        <is>
          <t>서울시 강동구 암사동 469-22</t>
        </is>
      </c>
      <c r="AB2487" s="0" t="inlineStr">
        <is>
          <t>서울시</t>
        </is>
      </c>
      <c r="AC2487" s="0" t="inlineStr">
        <is>
          <t>강동구</t>
        </is>
      </c>
      <c r="AD2487" s="0" t="inlineStr">
        <is>
          <t>암사동</t>
        </is>
      </c>
      <c r="AG2487" s="0" t="inlineStr">
        <is>
          <t>서울시 강동구 고덕로20마길 35</t>
        </is>
      </c>
      <c r="AH2487" s="0" t="n">
        <v>0</v>
      </c>
      <c r="AI2487" s="0" t="n">
        <v>199</v>
      </c>
      <c r="AJ2487" s="0" t="n">
        <v>35</v>
      </c>
      <c r="AK2487" s="0" t="n">
        <v>12</v>
      </c>
      <c r="AL2487" s="0" t="n">
        <v>1</v>
      </c>
    </row>
    <row r="2488">
      <c r="A2488" s="0" t="inlineStr">
        <is>
          <t>[암사동]</t>
        </is>
      </c>
      <c r="B2488" s="0" t="n">
        <v>11269</v>
      </c>
      <c r="C2488" s="0" t="n">
        <v>1</v>
      </c>
      <c r="D2488" s="0" t="inlineStr">
        <is>
          <t>한건브리앙</t>
        </is>
      </c>
      <c r="E2488" s="0" t="inlineStr">
        <is>
          <t>2004.11.</t>
        </is>
      </c>
      <c r="F2488" s="0" t="n">
        <v>34</v>
      </c>
      <c r="G2488" s="0" t="n">
        <v>19.66</v>
      </c>
      <c r="H2488" s="0" t="n">
        <v>65.02</v>
      </c>
      <c r="I2488" s="0" t="n">
        <v>15.51</v>
      </c>
      <c r="J2488" s="0" t="n">
        <v>51.3</v>
      </c>
      <c r="K2488" s="0" t="n">
        <v>1</v>
      </c>
      <c r="T2488" s="0" t="n">
        <v>3</v>
      </c>
      <c r="U2488" s="0" t="n">
        <v>1</v>
      </c>
      <c r="V2488" s="0" t="inlineStr">
        <is>
          <t>계단식</t>
        </is>
      </c>
      <c r="W2488" s="0" t="n">
        <v>65</v>
      </c>
      <c r="X2488" s="0" t="n">
        <v>9</v>
      </c>
      <c r="Y2488" s="0" t="n">
        <v>8</v>
      </c>
      <c r="Z2488" s="0" t="inlineStr">
        <is>
          <t>https://new.land.naver.com/complexes/11269?tab=detail&amp;rf=Y</t>
        </is>
      </c>
      <c r="AA2488" s="0" t="inlineStr">
        <is>
          <t>서울시 강동구 암사동 497-6</t>
        </is>
      </c>
      <c r="AB2488" s="0" t="inlineStr">
        <is>
          <t>서울시</t>
        </is>
      </c>
      <c r="AC2488" s="0" t="inlineStr">
        <is>
          <t>강동구</t>
        </is>
      </c>
      <c r="AD2488" s="0" t="inlineStr">
        <is>
          <t>암사동</t>
        </is>
      </c>
      <c r="AG2488" s="0" t="inlineStr">
        <is>
          <t>서울시 강동구 암사1길 9</t>
        </is>
      </c>
      <c r="AH2488" s="0" t="n">
        <v>0</v>
      </c>
      <c r="AI2488" s="0" t="n">
        <v>246</v>
      </c>
      <c r="AJ2488" s="0" t="n">
        <v>32</v>
      </c>
      <c r="AK2488" s="0" t="n">
        <v>38</v>
      </c>
      <c r="AL2488" s="0" t="n">
        <v>1.12</v>
      </c>
    </row>
    <row r="2489">
      <c r="A2489" s="0" t="inlineStr">
        <is>
          <t>[암사동]</t>
        </is>
      </c>
      <c r="B2489" s="0" t="n">
        <v>11269</v>
      </c>
      <c r="C2489" s="0" t="n">
        <v>2</v>
      </c>
      <c r="D2489" s="0" t="inlineStr">
        <is>
          <t>한건브리앙</t>
        </is>
      </c>
      <c r="E2489" s="0" t="inlineStr">
        <is>
          <t>2004.11.</t>
        </is>
      </c>
      <c r="F2489" s="0" t="n">
        <v>34</v>
      </c>
      <c r="G2489" s="0" t="n">
        <v>26.27</v>
      </c>
      <c r="H2489" s="0" t="n">
        <v>86.87</v>
      </c>
      <c r="I2489" s="0" t="n">
        <v>20.73</v>
      </c>
      <c r="J2489" s="0" t="n">
        <v>68.54000000000001</v>
      </c>
      <c r="K2489" s="0" t="n">
        <v>1</v>
      </c>
      <c r="T2489" s="0" t="n">
        <v>3</v>
      </c>
      <c r="U2489" s="0" t="n">
        <v>2</v>
      </c>
      <c r="V2489" s="0" t="inlineStr">
        <is>
          <t>계단식</t>
        </is>
      </c>
      <c r="W2489" s="0" t="n">
        <v>86</v>
      </c>
      <c r="X2489" s="0" t="n">
        <v>9</v>
      </c>
      <c r="Y2489" s="0" t="n">
        <v>8</v>
      </c>
      <c r="Z2489" s="0" t="inlineStr">
        <is>
          <t>https://new.land.naver.com/complexes/11269?tab=detail&amp;rf=Y</t>
        </is>
      </c>
      <c r="AA2489" s="0" t="inlineStr">
        <is>
          <t>서울시 강동구 암사동 497-6</t>
        </is>
      </c>
      <c r="AB2489" s="0" t="inlineStr">
        <is>
          <t>서울시</t>
        </is>
      </c>
      <c r="AC2489" s="0" t="inlineStr">
        <is>
          <t>강동구</t>
        </is>
      </c>
      <c r="AD2489" s="0" t="inlineStr">
        <is>
          <t>암사동</t>
        </is>
      </c>
      <c r="AG2489" s="0" t="inlineStr">
        <is>
          <t>서울시 강동구 암사1길 9</t>
        </is>
      </c>
      <c r="AH2489" s="0" t="n">
        <v>0</v>
      </c>
      <c r="AI2489" s="0" t="n">
        <v>246</v>
      </c>
      <c r="AJ2489" s="0" t="n">
        <v>32</v>
      </c>
      <c r="AK2489" s="0" t="n">
        <v>38</v>
      </c>
      <c r="AL2489" s="0" t="n">
        <v>1.12</v>
      </c>
    </row>
    <row r="2490">
      <c r="A2490" s="0" t="inlineStr">
        <is>
          <t>[암사동]</t>
        </is>
      </c>
      <c r="B2490" s="0" t="n">
        <v>11269</v>
      </c>
      <c r="C2490" s="0" t="n">
        <v>3</v>
      </c>
      <c r="D2490" s="0" t="inlineStr">
        <is>
          <t>한건브리앙</t>
        </is>
      </c>
      <c r="E2490" s="0" t="inlineStr">
        <is>
          <t>2004.11.</t>
        </is>
      </c>
      <c r="F2490" s="0" t="n">
        <v>34</v>
      </c>
      <c r="G2490" s="0" t="n">
        <v>28.19</v>
      </c>
      <c r="H2490" s="0" t="n">
        <v>93.20999999999999</v>
      </c>
      <c r="I2490" s="0" t="n">
        <v>22.24</v>
      </c>
      <c r="J2490" s="0" t="n">
        <v>73.54000000000001</v>
      </c>
      <c r="K2490" s="0" t="n">
        <v>1</v>
      </c>
      <c r="T2490" s="0" t="n">
        <v>3</v>
      </c>
      <c r="U2490" s="0" t="n">
        <v>2</v>
      </c>
      <c r="V2490" s="0" t="inlineStr">
        <is>
          <t>계단식</t>
        </is>
      </c>
      <c r="W2490" s="0" t="n">
        <v>93</v>
      </c>
      <c r="X2490" s="0" t="n">
        <v>9</v>
      </c>
      <c r="Y2490" s="0" t="n">
        <v>8</v>
      </c>
      <c r="Z2490" s="0" t="inlineStr">
        <is>
          <t>https://new.land.naver.com/complexes/11269?tab=detail&amp;rf=Y</t>
        </is>
      </c>
      <c r="AA2490" s="0" t="inlineStr">
        <is>
          <t>서울시 강동구 암사동 497-6</t>
        </is>
      </c>
      <c r="AB2490" s="0" t="inlineStr">
        <is>
          <t>서울시</t>
        </is>
      </c>
      <c r="AC2490" s="0" t="inlineStr">
        <is>
          <t>강동구</t>
        </is>
      </c>
      <c r="AD2490" s="0" t="inlineStr">
        <is>
          <t>암사동</t>
        </is>
      </c>
      <c r="AG2490" s="0" t="inlineStr">
        <is>
          <t>서울시 강동구 암사1길 9</t>
        </is>
      </c>
      <c r="AH2490" s="0" t="n">
        <v>0</v>
      </c>
      <c r="AI2490" s="0" t="n">
        <v>246</v>
      </c>
      <c r="AJ2490" s="0" t="n">
        <v>32</v>
      </c>
      <c r="AK2490" s="0" t="n">
        <v>38</v>
      </c>
      <c r="AL2490" s="0" t="n">
        <v>1.12</v>
      </c>
    </row>
    <row r="2491">
      <c r="A2491" s="0" t="inlineStr">
        <is>
          <t>[암사동]</t>
        </is>
      </c>
      <c r="B2491" s="0" t="n">
        <v>11269</v>
      </c>
      <c r="C2491" s="0" t="n">
        <v>4</v>
      </c>
      <c r="D2491" s="0" t="inlineStr">
        <is>
          <t>한건브리앙</t>
        </is>
      </c>
      <c r="E2491" s="0" t="inlineStr">
        <is>
          <t>2004.11.</t>
        </is>
      </c>
      <c r="F2491" s="0" t="n">
        <v>34</v>
      </c>
      <c r="G2491" s="0" t="n">
        <v>29.49</v>
      </c>
      <c r="H2491" s="0" t="n">
        <v>97.5</v>
      </c>
      <c r="I2491" s="0" t="n">
        <v>23.26</v>
      </c>
      <c r="J2491" s="0" t="n">
        <v>76.92</v>
      </c>
      <c r="K2491" s="0" t="n">
        <v>2</v>
      </c>
      <c r="T2491" s="0" t="n">
        <v>3</v>
      </c>
      <c r="U2491" s="0" t="n">
        <v>2</v>
      </c>
      <c r="V2491" s="0" t="inlineStr">
        <is>
          <t>계단식</t>
        </is>
      </c>
      <c r="W2491" s="0" t="n">
        <v>97</v>
      </c>
      <c r="X2491" s="0" t="n">
        <v>9</v>
      </c>
      <c r="Y2491" s="0" t="n">
        <v>8</v>
      </c>
      <c r="Z2491" s="0" t="inlineStr">
        <is>
          <t>https://new.land.naver.com/complexes/11269?tab=detail&amp;rf=Y</t>
        </is>
      </c>
      <c r="AA2491" s="0" t="inlineStr">
        <is>
          <t>서울시 강동구 암사동 497-6</t>
        </is>
      </c>
      <c r="AB2491" s="0" t="inlineStr">
        <is>
          <t>서울시</t>
        </is>
      </c>
      <c r="AC2491" s="0" t="inlineStr">
        <is>
          <t>강동구</t>
        </is>
      </c>
      <c r="AD2491" s="0" t="inlineStr">
        <is>
          <t>암사동</t>
        </is>
      </c>
      <c r="AG2491" s="0" t="inlineStr">
        <is>
          <t>서울시 강동구 암사1길 9</t>
        </is>
      </c>
      <c r="AH2491" s="0" t="n">
        <v>0</v>
      </c>
      <c r="AI2491" s="0" t="n">
        <v>246</v>
      </c>
      <c r="AJ2491" s="0" t="n">
        <v>32</v>
      </c>
      <c r="AK2491" s="0" t="n">
        <v>38</v>
      </c>
      <c r="AL2491" s="0" t="n">
        <v>1.12</v>
      </c>
    </row>
    <row r="2492">
      <c r="A2492" s="0" t="inlineStr">
        <is>
          <t>[암사동]</t>
        </is>
      </c>
      <c r="B2492" s="0" t="n">
        <v>11269</v>
      </c>
      <c r="C2492" s="0" t="n">
        <v>5</v>
      </c>
      <c r="D2492" s="0" t="inlineStr">
        <is>
          <t>한건브리앙</t>
        </is>
      </c>
      <c r="E2492" s="0" t="inlineStr">
        <is>
          <t>2004.11.</t>
        </is>
      </c>
      <c r="F2492" s="0" t="n">
        <v>34</v>
      </c>
      <c r="G2492" s="0" t="n">
        <v>31.78</v>
      </c>
      <c r="H2492" s="0" t="n">
        <v>105.09</v>
      </c>
      <c r="I2492" s="0" t="n">
        <v>25.08</v>
      </c>
      <c r="J2492" s="0" t="n">
        <v>82.91</v>
      </c>
      <c r="K2492" s="0" t="n">
        <v>1</v>
      </c>
      <c r="T2492" s="0" t="n">
        <v>3</v>
      </c>
      <c r="U2492" s="0" t="n">
        <v>2</v>
      </c>
      <c r="V2492" s="0" t="inlineStr">
        <is>
          <t>계단식</t>
        </is>
      </c>
      <c r="W2492" s="0" t="inlineStr">
        <is>
          <t>105A</t>
        </is>
      </c>
      <c r="X2492" s="0" t="n">
        <v>9</v>
      </c>
      <c r="Y2492" s="0" t="n">
        <v>8</v>
      </c>
      <c r="Z2492" s="0" t="inlineStr">
        <is>
          <t>https://new.land.naver.com/complexes/11269?tab=detail&amp;rf=Y</t>
        </is>
      </c>
      <c r="AA2492" s="0" t="inlineStr">
        <is>
          <t>서울시 강동구 암사동 497-6</t>
        </is>
      </c>
      <c r="AB2492" s="0" t="inlineStr">
        <is>
          <t>서울시</t>
        </is>
      </c>
      <c r="AC2492" s="0" t="inlineStr">
        <is>
          <t>강동구</t>
        </is>
      </c>
      <c r="AD2492" s="0" t="inlineStr">
        <is>
          <t>암사동</t>
        </is>
      </c>
      <c r="AG2492" s="0" t="inlineStr">
        <is>
          <t>서울시 강동구 암사1길 9</t>
        </is>
      </c>
      <c r="AH2492" s="0" t="n">
        <v>0</v>
      </c>
      <c r="AI2492" s="0" t="n">
        <v>246</v>
      </c>
      <c r="AJ2492" s="0" t="n">
        <v>32</v>
      </c>
      <c r="AK2492" s="0" t="n">
        <v>38</v>
      </c>
      <c r="AL2492" s="0" t="n">
        <v>1.12</v>
      </c>
    </row>
    <row r="2493">
      <c r="A2493" s="0" t="inlineStr">
        <is>
          <t>[암사동]</t>
        </is>
      </c>
      <c r="B2493" s="0" t="n">
        <v>11269</v>
      </c>
      <c r="C2493" s="0" t="n">
        <v>6</v>
      </c>
      <c r="D2493" s="0" t="inlineStr">
        <is>
          <t>한건브리앙</t>
        </is>
      </c>
      <c r="E2493" s="0" t="inlineStr">
        <is>
          <t>2004.11.</t>
        </is>
      </c>
      <c r="F2493" s="0" t="n">
        <v>34</v>
      </c>
      <c r="G2493" s="0" t="n">
        <v>32.31</v>
      </c>
      <c r="H2493" s="0" t="n">
        <v>106.83</v>
      </c>
      <c r="I2493" s="0" t="n">
        <v>25.49</v>
      </c>
      <c r="J2493" s="0" t="n">
        <v>84.28</v>
      </c>
      <c r="K2493" s="0" t="n">
        <v>1</v>
      </c>
      <c r="T2493" s="0" t="n">
        <v>3</v>
      </c>
      <c r="U2493" s="0" t="n">
        <v>2</v>
      </c>
      <c r="V2493" s="0" t="inlineStr">
        <is>
          <t>계단식</t>
        </is>
      </c>
      <c r="W2493" s="0" t="inlineStr">
        <is>
          <t>106B</t>
        </is>
      </c>
      <c r="X2493" s="0" t="n">
        <v>9</v>
      </c>
      <c r="Y2493" s="0" t="n">
        <v>8</v>
      </c>
      <c r="Z2493" s="0" t="inlineStr">
        <is>
          <t>https://new.land.naver.com/complexes/11269?tab=detail&amp;rf=Y</t>
        </is>
      </c>
      <c r="AA2493" s="0" t="inlineStr">
        <is>
          <t>서울시 강동구 암사동 497-6</t>
        </is>
      </c>
      <c r="AB2493" s="0" t="inlineStr">
        <is>
          <t>서울시</t>
        </is>
      </c>
      <c r="AC2493" s="0" t="inlineStr">
        <is>
          <t>강동구</t>
        </is>
      </c>
      <c r="AD2493" s="0" t="inlineStr">
        <is>
          <t>암사동</t>
        </is>
      </c>
      <c r="AG2493" s="0" t="inlineStr">
        <is>
          <t>서울시 강동구 암사1길 9</t>
        </is>
      </c>
      <c r="AH2493" s="0" t="n">
        <v>0</v>
      </c>
      <c r="AI2493" s="0" t="n">
        <v>246</v>
      </c>
      <c r="AJ2493" s="0" t="n">
        <v>32</v>
      </c>
      <c r="AK2493" s="0" t="n">
        <v>38</v>
      </c>
      <c r="AL2493" s="0" t="n">
        <v>1.12</v>
      </c>
    </row>
    <row r="2494">
      <c r="A2494" s="0" t="inlineStr">
        <is>
          <t>[암사동]</t>
        </is>
      </c>
      <c r="B2494" s="0" t="n">
        <v>11269</v>
      </c>
      <c r="C2494" s="0" t="n">
        <v>7</v>
      </c>
      <c r="D2494" s="0" t="inlineStr">
        <is>
          <t>한건브리앙</t>
        </is>
      </c>
      <c r="E2494" s="0" t="inlineStr">
        <is>
          <t>2004.11.</t>
        </is>
      </c>
      <c r="F2494" s="0" t="n">
        <v>34</v>
      </c>
      <c r="G2494" s="0" t="n">
        <v>32.56</v>
      </c>
      <c r="H2494" s="0" t="n">
        <v>107.64</v>
      </c>
      <c r="I2494" s="0" t="n">
        <v>25.68</v>
      </c>
      <c r="J2494" s="0" t="n">
        <v>84.92</v>
      </c>
      <c r="K2494" s="0" t="n">
        <v>16</v>
      </c>
      <c r="T2494" s="0" t="n">
        <v>3</v>
      </c>
      <c r="U2494" s="0" t="n">
        <v>2</v>
      </c>
      <c r="V2494" s="0" t="inlineStr">
        <is>
          <t>계단식</t>
        </is>
      </c>
      <c r="W2494" s="0" t="inlineStr">
        <is>
          <t>107C</t>
        </is>
      </c>
      <c r="X2494" s="0" t="n">
        <v>9</v>
      </c>
      <c r="Y2494" s="0" t="n">
        <v>8</v>
      </c>
      <c r="Z2494" s="0" t="inlineStr">
        <is>
          <t>https://new.land.naver.com/complexes/11269?tab=detail&amp;rf=Y</t>
        </is>
      </c>
      <c r="AA2494" s="0" t="inlineStr">
        <is>
          <t>서울시 강동구 암사동 497-6</t>
        </is>
      </c>
      <c r="AB2494" s="0" t="inlineStr">
        <is>
          <t>서울시</t>
        </is>
      </c>
      <c r="AC2494" s="0" t="inlineStr">
        <is>
          <t>강동구</t>
        </is>
      </c>
      <c r="AD2494" s="0" t="inlineStr">
        <is>
          <t>암사동</t>
        </is>
      </c>
      <c r="AG2494" s="0" t="inlineStr">
        <is>
          <t>서울시 강동구 암사1길 9</t>
        </is>
      </c>
      <c r="AH2494" s="0" t="n">
        <v>0</v>
      </c>
      <c r="AI2494" s="0" t="n">
        <v>246</v>
      </c>
      <c r="AJ2494" s="0" t="n">
        <v>32</v>
      </c>
      <c r="AK2494" s="0" t="n">
        <v>38</v>
      </c>
      <c r="AL2494" s="0" t="n">
        <v>1.12</v>
      </c>
    </row>
    <row r="2495">
      <c r="A2495" s="0" t="inlineStr">
        <is>
          <t>[암사동]</t>
        </is>
      </c>
      <c r="B2495" s="0" t="n">
        <v>11269</v>
      </c>
      <c r="C2495" s="0" t="n">
        <v>8</v>
      </c>
      <c r="D2495" s="0" t="inlineStr">
        <is>
          <t>한건브리앙</t>
        </is>
      </c>
      <c r="E2495" s="0" t="inlineStr">
        <is>
          <t>2004.11.</t>
        </is>
      </c>
      <c r="F2495" s="0" t="n">
        <v>34</v>
      </c>
      <c r="G2495" s="0" t="n">
        <v>32.55</v>
      </c>
      <c r="H2495" s="0" t="n">
        <v>107.62</v>
      </c>
      <c r="I2495" s="0" t="n">
        <v>25.68</v>
      </c>
      <c r="J2495" s="0" t="n">
        <v>84.91</v>
      </c>
      <c r="K2495" s="0" t="n">
        <v>6</v>
      </c>
      <c r="T2495" s="0" t="n">
        <v>3</v>
      </c>
      <c r="U2495" s="0" t="n">
        <v>2</v>
      </c>
      <c r="V2495" s="0" t="inlineStr">
        <is>
          <t>계단식</t>
        </is>
      </c>
      <c r="W2495" s="0" t="inlineStr">
        <is>
          <t>107B</t>
        </is>
      </c>
      <c r="X2495" s="0" t="n">
        <v>9</v>
      </c>
      <c r="Y2495" s="0" t="n">
        <v>8</v>
      </c>
      <c r="Z2495" s="0" t="inlineStr">
        <is>
          <t>https://new.land.naver.com/complexes/11269?tab=detail&amp;rf=Y</t>
        </is>
      </c>
      <c r="AA2495" s="0" t="inlineStr">
        <is>
          <t>서울시 강동구 암사동 497-6</t>
        </is>
      </c>
      <c r="AB2495" s="0" t="inlineStr">
        <is>
          <t>서울시</t>
        </is>
      </c>
      <c r="AC2495" s="0" t="inlineStr">
        <is>
          <t>강동구</t>
        </is>
      </c>
      <c r="AD2495" s="0" t="inlineStr">
        <is>
          <t>암사동</t>
        </is>
      </c>
      <c r="AG2495" s="0" t="inlineStr">
        <is>
          <t>서울시 강동구 암사1길 9</t>
        </is>
      </c>
      <c r="AH2495" s="0" t="n">
        <v>0</v>
      </c>
      <c r="AI2495" s="0" t="n">
        <v>246</v>
      </c>
      <c r="AJ2495" s="0" t="n">
        <v>32</v>
      </c>
      <c r="AK2495" s="0" t="n">
        <v>38</v>
      </c>
      <c r="AL2495" s="0" t="n">
        <v>1.12</v>
      </c>
    </row>
    <row r="2496">
      <c r="A2496" s="0" t="inlineStr">
        <is>
          <t>[암사동]</t>
        </is>
      </c>
      <c r="B2496" s="0" t="n">
        <v>11269</v>
      </c>
      <c r="C2496" s="0" t="n">
        <v>9</v>
      </c>
      <c r="D2496" s="0" t="inlineStr">
        <is>
          <t>한건브리앙</t>
        </is>
      </c>
      <c r="E2496" s="0" t="inlineStr">
        <is>
          <t>2004.11.</t>
        </is>
      </c>
      <c r="F2496" s="0" t="n">
        <v>34</v>
      </c>
      <c r="G2496" s="0" t="n">
        <v>32.55</v>
      </c>
      <c r="H2496" s="0" t="n">
        <v>107.61</v>
      </c>
      <c r="I2496" s="0" t="n">
        <v>25.68</v>
      </c>
      <c r="J2496" s="0" t="n">
        <v>84.90000000000001</v>
      </c>
      <c r="K2496" s="0" t="n">
        <v>5</v>
      </c>
      <c r="T2496" s="0" t="n">
        <v>3</v>
      </c>
      <c r="U2496" s="0" t="n">
        <v>2</v>
      </c>
      <c r="V2496" s="0" t="inlineStr">
        <is>
          <t>계단식</t>
        </is>
      </c>
      <c r="W2496" s="0" t="inlineStr">
        <is>
          <t>107A</t>
        </is>
      </c>
      <c r="X2496" s="0" t="n">
        <v>9</v>
      </c>
      <c r="Y2496" s="0" t="n">
        <v>8</v>
      </c>
      <c r="Z2496" s="0" t="inlineStr">
        <is>
          <t>https://new.land.naver.com/complexes/11269?tab=detail&amp;rf=Y</t>
        </is>
      </c>
      <c r="AA2496" s="0" t="inlineStr">
        <is>
          <t>서울시 강동구 암사동 497-6</t>
        </is>
      </c>
      <c r="AB2496" s="0" t="inlineStr">
        <is>
          <t>서울시</t>
        </is>
      </c>
      <c r="AC2496" s="0" t="inlineStr">
        <is>
          <t>강동구</t>
        </is>
      </c>
      <c r="AD2496" s="0" t="inlineStr">
        <is>
          <t>암사동</t>
        </is>
      </c>
      <c r="AG2496" s="0" t="inlineStr">
        <is>
          <t>서울시 강동구 암사1길 9</t>
        </is>
      </c>
      <c r="AH2496" s="0" t="n">
        <v>0</v>
      </c>
      <c r="AI2496" s="0" t="n">
        <v>246</v>
      </c>
      <c r="AJ2496" s="0" t="n">
        <v>32</v>
      </c>
      <c r="AK2496" s="0" t="n">
        <v>38</v>
      </c>
      <c r="AL2496" s="0" t="n">
        <v>1.12</v>
      </c>
    </row>
    <row r="2497">
      <c r="A2497" s="0" t="inlineStr">
        <is>
          <t>[암사동]</t>
        </is>
      </c>
      <c r="B2497" s="0" t="n">
        <v>101548</v>
      </c>
      <c r="C2497" s="0" t="n">
        <v>1</v>
      </c>
      <c r="D2497" s="0" t="inlineStr">
        <is>
          <t>라움A동</t>
        </is>
      </c>
      <c r="E2497" s="0" t="inlineStr">
        <is>
          <t>2006.04.</t>
        </is>
      </c>
      <c r="F2497" s="0" t="n">
        <v>12</v>
      </c>
      <c r="G2497" s="0" t="n">
        <v>12.68</v>
      </c>
      <c r="H2497" s="0" t="n">
        <v>41.93</v>
      </c>
      <c r="I2497" s="0" t="n">
        <v>11.02</v>
      </c>
      <c r="J2497" s="0" t="n">
        <v>36.44</v>
      </c>
      <c r="K2497" s="0" t="n">
        <v>1</v>
      </c>
      <c r="T2497" s="0" t="n">
        <v>2</v>
      </c>
      <c r="U2497" s="0" t="n">
        <v>1</v>
      </c>
      <c r="V2497" s="0" t="inlineStr">
        <is>
          <t>계단식</t>
        </is>
      </c>
      <c r="W2497" s="0" t="n">
        <v>41</v>
      </c>
      <c r="X2497" s="0" t="n">
        <v>7</v>
      </c>
      <c r="Y2497" s="0" t="n">
        <v>7</v>
      </c>
      <c r="Z2497" s="0" t="inlineStr">
        <is>
          <t>https://new.land.naver.com/complexes/101548?tab=detail&amp;rf=Y</t>
        </is>
      </c>
      <c r="AA2497" s="0" t="inlineStr">
        <is>
          <t>서울시 강동구 암사동 492-28</t>
        </is>
      </c>
      <c r="AB2497" s="0" t="inlineStr">
        <is>
          <t>서울시</t>
        </is>
      </c>
      <c r="AC2497" s="0" t="inlineStr">
        <is>
          <t>강동구</t>
        </is>
      </c>
      <c r="AD2497" s="0" t="inlineStr">
        <is>
          <t>암사동</t>
        </is>
      </c>
      <c r="AG2497" s="0" t="inlineStr">
        <is>
          <t>서울시 강동구 상암로15길 34</t>
        </is>
      </c>
      <c r="AH2497" s="0" t="n">
        <v>0</v>
      </c>
      <c r="AI2497" s="0" t="n">
        <v>199</v>
      </c>
      <c r="AJ2497" s="0" t="n">
        <v>39</v>
      </c>
      <c r="AK2497" s="0" t="n">
        <v>12</v>
      </c>
      <c r="AL2497" s="0" t="n">
        <v>1</v>
      </c>
    </row>
    <row r="2498">
      <c r="A2498" s="0" t="inlineStr">
        <is>
          <t>[암사동]</t>
        </is>
      </c>
      <c r="B2498" s="0" t="n">
        <v>101548</v>
      </c>
      <c r="C2498" s="0" t="n">
        <v>2</v>
      </c>
      <c r="D2498" s="0" t="inlineStr">
        <is>
          <t>라움A동</t>
        </is>
      </c>
      <c r="E2498" s="0" t="inlineStr">
        <is>
          <t>2006.04.</t>
        </is>
      </c>
      <c r="F2498" s="0" t="n">
        <v>12</v>
      </c>
      <c r="G2498" s="0" t="n">
        <v>17.13</v>
      </c>
      <c r="H2498" s="0" t="n">
        <v>56.66</v>
      </c>
      <c r="I2498" s="0" t="n">
        <v>14.91</v>
      </c>
      <c r="J2498" s="0" t="n">
        <v>49.31</v>
      </c>
      <c r="K2498" s="0" t="n">
        <v>1</v>
      </c>
      <c r="T2498" s="0" t="n">
        <v>2</v>
      </c>
      <c r="U2498" s="0" t="n">
        <v>1</v>
      </c>
      <c r="V2498" s="0" t="inlineStr">
        <is>
          <t>계단식</t>
        </is>
      </c>
      <c r="W2498" s="0" t="n">
        <v>56</v>
      </c>
      <c r="X2498" s="0" t="n">
        <v>7</v>
      </c>
      <c r="Y2498" s="0" t="n">
        <v>7</v>
      </c>
      <c r="Z2498" s="0" t="inlineStr">
        <is>
          <t>https://new.land.naver.com/complexes/101548?tab=detail&amp;rf=Y</t>
        </is>
      </c>
      <c r="AA2498" s="0" t="inlineStr">
        <is>
          <t>서울시 강동구 암사동 492-28</t>
        </is>
      </c>
      <c r="AB2498" s="0" t="inlineStr">
        <is>
          <t>서울시</t>
        </is>
      </c>
      <c r="AC2498" s="0" t="inlineStr">
        <is>
          <t>강동구</t>
        </is>
      </c>
      <c r="AD2498" s="0" t="inlineStr">
        <is>
          <t>암사동</t>
        </is>
      </c>
      <c r="AG2498" s="0" t="inlineStr">
        <is>
          <t>서울시 강동구 상암로15길 34</t>
        </is>
      </c>
      <c r="AH2498" s="0" t="n">
        <v>0</v>
      </c>
      <c r="AI2498" s="0" t="n">
        <v>199</v>
      </c>
      <c r="AJ2498" s="0" t="n">
        <v>39</v>
      </c>
      <c r="AK2498" s="0" t="n">
        <v>12</v>
      </c>
      <c r="AL2498" s="0" t="n">
        <v>1</v>
      </c>
    </row>
    <row r="2499">
      <c r="A2499" s="0" t="inlineStr">
        <is>
          <t>[암사동]</t>
        </is>
      </c>
      <c r="B2499" s="0" t="n">
        <v>101548</v>
      </c>
      <c r="C2499" s="0" t="n">
        <v>3</v>
      </c>
      <c r="D2499" s="0" t="inlineStr">
        <is>
          <t>라움A동</t>
        </is>
      </c>
      <c r="E2499" s="0" t="inlineStr">
        <is>
          <t>2006.04.</t>
        </is>
      </c>
      <c r="F2499" s="0" t="n">
        <v>12</v>
      </c>
      <c r="G2499" s="0" t="n">
        <v>23.5</v>
      </c>
      <c r="H2499" s="0" t="n">
        <v>77.70999999999999</v>
      </c>
      <c r="I2499" s="0" t="n">
        <v>20.46</v>
      </c>
      <c r="J2499" s="0" t="n">
        <v>67.64</v>
      </c>
      <c r="K2499" s="0" t="n">
        <v>10</v>
      </c>
      <c r="T2499" s="0" t="n">
        <v>3</v>
      </c>
      <c r="U2499" s="0" t="n">
        <v>2</v>
      </c>
      <c r="V2499" s="0" t="inlineStr">
        <is>
          <t>계단식</t>
        </is>
      </c>
      <c r="W2499" s="0" t="n">
        <v>77</v>
      </c>
      <c r="X2499" s="0" t="n">
        <v>7</v>
      </c>
      <c r="Y2499" s="0" t="n">
        <v>7</v>
      </c>
      <c r="Z2499" s="0" t="inlineStr">
        <is>
          <t>https://new.land.naver.com/complexes/101548?tab=detail&amp;rf=Y</t>
        </is>
      </c>
      <c r="AA2499" s="0" t="inlineStr">
        <is>
          <t>서울시 강동구 암사동 492-28</t>
        </is>
      </c>
      <c r="AB2499" s="0" t="inlineStr">
        <is>
          <t>서울시</t>
        </is>
      </c>
      <c r="AC2499" s="0" t="inlineStr">
        <is>
          <t>강동구</t>
        </is>
      </c>
      <c r="AD2499" s="0" t="inlineStr">
        <is>
          <t>암사동</t>
        </is>
      </c>
      <c r="AG2499" s="0" t="inlineStr">
        <is>
          <t>서울시 강동구 상암로15길 34</t>
        </is>
      </c>
      <c r="AH2499" s="0" t="n">
        <v>0</v>
      </c>
      <c r="AI2499" s="0" t="n">
        <v>199</v>
      </c>
      <c r="AJ2499" s="0" t="n">
        <v>39</v>
      </c>
      <c r="AK2499" s="0" t="n">
        <v>12</v>
      </c>
      <c r="AL2499" s="0" t="n">
        <v>1</v>
      </c>
    </row>
    <row r="2500">
      <c r="A2500" s="0" t="inlineStr">
        <is>
          <t>[암사동]</t>
        </is>
      </c>
      <c r="B2500" s="0" t="n">
        <v>22570</v>
      </c>
      <c r="C2500" s="0" t="n">
        <v>1</v>
      </c>
      <c r="D2500" s="0" t="inlineStr">
        <is>
          <t>강동롯데캐슬퍼스트</t>
        </is>
      </c>
      <c r="E2500" s="0" t="inlineStr">
        <is>
          <t>2008.09.</t>
        </is>
      </c>
      <c r="F2500" s="0" t="n">
        <v>3226</v>
      </c>
      <c r="G2500" s="0" t="n">
        <v>26.44</v>
      </c>
      <c r="H2500" s="0" t="n">
        <v>87.41</v>
      </c>
      <c r="I2500" s="0" t="n">
        <v>18.14</v>
      </c>
      <c r="J2500" s="0" t="n">
        <v>59.99</v>
      </c>
      <c r="K2500" s="0" t="n">
        <v>442</v>
      </c>
      <c r="T2500" s="0" t="n">
        <v>3</v>
      </c>
      <c r="U2500" s="0" t="n">
        <v>2</v>
      </c>
      <c r="V2500" s="0" t="inlineStr">
        <is>
          <t>계단식</t>
        </is>
      </c>
      <c r="W2500" s="0" t="inlineStr">
        <is>
          <t>87A</t>
        </is>
      </c>
      <c r="X2500" s="0" t="n">
        <v>34</v>
      </c>
      <c r="Y2500" s="0" t="n">
        <v>24</v>
      </c>
      <c r="Z2500" s="0" t="inlineStr">
        <is>
          <t>https://new.land.naver.com/complexes/22570?tab=detail&amp;rf=Y</t>
        </is>
      </c>
      <c r="AA2500" s="0" t="inlineStr">
        <is>
          <t>서울시 강동구 암사동 414-2</t>
        </is>
      </c>
      <c r="AB2500" s="0" t="inlineStr">
        <is>
          <t>서울시</t>
        </is>
      </c>
      <c r="AC2500" s="0" t="inlineStr">
        <is>
          <t>강동구</t>
        </is>
      </c>
      <c r="AD2500" s="0" t="inlineStr">
        <is>
          <t>암사동</t>
        </is>
      </c>
      <c r="AG2500" s="0" t="inlineStr">
        <is>
          <t>서울시 강동구 고덕로 131</t>
        </is>
      </c>
      <c r="AH2500" s="0" t="n">
        <v>0</v>
      </c>
      <c r="AI2500" s="0" t="n">
        <v>276</v>
      </c>
      <c r="AJ2500" s="0" t="n">
        <v>13</v>
      </c>
      <c r="AK2500" s="0" t="n">
        <v>4596</v>
      </c>
      <c r="AL2500" s="0" t="n">
        <v>1.42</v>
      </c>
    </row>
    <row r="2501">
      <c r="A2501" s="0" t="inlineStr">
        <is>
          <t>[암사동]</t>
        </is>
      </c>
      <c r="B2501" s="0" t="n">
        <v>22570</v>
      </c>
      <c r="C2501" s="0" t="n">
        <v>2</v>
      </c>
      <c r="D2501" s="0" t="inlineStr">
        <is>
          <t>강동롯데캐슬퍼스트</t>
        </is>
      </c>
      <c r="E2501" s="0" t="inlineStr">
        <is>
          <t>2008.09.</t>
        </is>
      </c>
      <c r="F2501" s="0" t="n">
        <v>3226</v>
      </c>
      <c r="G2501" s="0" t="n">
        <v>26.44</v>
      </c>
      <c r="H2501" s="0" t="n">
        <v>87.41</v>
      </c>
      <c r="I2501" s="0" t="n">
        <v>18.14</v>
      </c>
      <c r="J2501" s="0" t="n">
        <v>59.99</v>
      </c>
      <c r="K2501" s="0" t="n">
        <v>212</v>
      </c>
      <c r="T2501" s="0" t="n">
        <v>3</v>
      </c>
      <c r="U2501" s="0" t="n">
        <v>2</v>
      </c>
      <c r="V2501" s="0" t="inlineStr">
        <is>
          <t>계단식</t>
        </is>
      </c>
      <c r="W2501" s="0" t="inlineStr">
        <is>
          <t>87B</t>
        </is>
      </c>
      <c r="X2501" s="0" t="n">
        <v>34</v>
      </c>
      <c r="Y2501" s="0" t="n">
        <v>24</v>
      </c>
      <c r="Z2501" s="0" t="inlineStr">
        <is>
          <t>https://new.land.naver.com/complexes/22570?tab=detail&amp;rf=Y</t>
        </is>
      </c>
      <c r="AA2501" s="0" t="inlineStr">
        <is>
          <t>서울시 강동구 암사동 414-2</t>
        </is>
      </c>
      <c r="AB2501" s="0" t="inlineStr">
        <is>
          <t>서울시</t>
        </is>
      </c>
      <c r="AC2501" s="0" t="inlineStr">
        <is>
          <t>강동구</t>
        </is>
      </c>
      <c r="AD2501" s="0" t="inlineStr">
        <is>
          <t>암사동</t>
        </is>
      </c>
      <c r="AG2501" s="0" t="inlineStr">
        <is>
          <t>서울시 강동구 고덕로 131</t>
        </is>
      </c>
      <c r="AH2501" s="0" t="n">
        <v>0</v>
      </c>
      <c r="AI2501" s="0" t="n">
        <v>276</v>
      </c>
      <c r="AJ2501" s="0" t="n">
        <v>13</v>
      </c>
      <c r="AK2501" s="0" t="n">
        <v>4596</v>
      </c>
      <c r="AL2501" s="0" t="n">
        <v>1.42</v>
      </c>
    </row>
    <row r="2502">
      <c r="A2502" s="0" t="inlineStr">
        <is>
          <t>[암사동]</t>
        </is>
      </c>
      <c r="B2502" s="0" t="n">
        <v>22570</v>
      </c>
      <c r="C2502" s="0" t="n">
        <v>3</v>
      </c>
      <c r="D2502" s="0" t="inlineStr">
        <is>
          <t>강동롯데캐슬퍼스트</t>
        </is>
      </c>
      <c r="E2502" s="0" t="inlineStr">
        <is>
          <t>2008.09.</t>
        </is>
      </c>
      <c r="F2502" s="0" t="n">
        <v>3226</v>
      </c>
      <c r="G2502" s="0" t="n">
        <v>34.02</v>
      </c>
      <c r="H2502" s="0" t="n">
        <v>112.47</v>
      </c>
      <c r="I2502" s="0" t="n">
        <v>25.7</v>
      </c>
      <c r="J2502" s="0" t="n">
        <v>84.98</v>
      </c>
      <c r="K2502" s="0" t="n">
        <v>422</v>
      </c>
      <c r="T2502" s="0" t="n">
        <v>3</v>
      </c>
      <c r="U2502" s="0" t="n">
        <v>2</v>
      </c>
      <c r="V2502" s="0" t="inlineStr">
        <is>
          <t>계단식</t>
        </is>
      </c>
      <c r="W2502" s="0" t="inlineStr">
        <is>
          <t>112B</t>
        </is>
      </c>
      <c r="X2502" s="0" t="n">
        <v>34</v>
      </c>
      <c r="Y2502" s="0" t="n">
        <v>24</v>
      </c>
      <c r="Z2502" s="0" t="inlineStr">
        <is>
          <t>https://new.land.naver.com/complexes/22570?tab=detail&amp;rf=Y</t>
        </is>
      </c>
      <c r="AA2502" s="0" t="inlineStr">
        <is>
          <t>서울시 강동구 암사동 414-2</t>
        </is>
      </c>
      <c r="AB2502" s="0" t="inlineStr">
        <is>
          <t>서울시</t>
        </is>
      </c>
      <c r="AC2502" s="0" t="inlineStr">
        <is>
          <t>강동구</t>
        </is>
      </c>
      <c r="AD2502" s="0" t="inlineStr">
        <is>
          <t>암사동</t>
        </is>
      </c>
      <c r="AG2502" s="0" t="inlineStr">
        <is>
          <t>서울시 강동구 고덕로 131</t>
        </is>
      </c>
      <c r="AH2502" s="0" t="n">
        <v>0</v>
      </c>
      <c r="AI2502" s="0" t="n">
        <v>276</v>
      </c>
      <c r="AJ2502" s="0" t="n">
        <v>13</v>
      </c>
      <c r="AK2502" s="0" t="n">
        <v>4596</v>
      </c>
      <c r="AL2502" s="0" t="n">
        <v>1.42</v>
      </c>
    </row>
    <row r="2503">
      <c r="A2503" s="0" t="inlineStr">
        <is>
          <t>[암사동]</t>
        </is>
      </c>
      <c r="B2503" s="0" t="n">
        <v>22570</v>
      </c>
      <c r="C2503" s="0" t="n">
        <v>4</v>
      </c>
      <c r="D2503" s="0" t="inlineStr">
        <is>
          <t>강동롯데캐슬퍼스트</t>
        </is>
      </c>
      <c r="E2503" s="0" t="inlineStr">
        <is>
          <t>2008.09.</t>
        </is>
      </c>
      <c r="F2503" s="0" t="n">
        <v>3226</v>
      </c>
      <c r="G2503" s="0" t="n">
        <v>34.03</v>
      </c>
      <c r="H2503" s="0" t="n">
        <v>112.52</v>
      </c>
      <c r="I2503" s="0" t="n">
        <v>25.7</v>
      </c>
      <c r="J2503" s="0" t="n">
        <v>84.98</v>
      </c>
      <c r="K2503" s="0" t="n">
        <v>132</v>
      </c>
      <c r="T2503" s="0" t="n">
        <v>3</v>
      </c>
      <c r="U2503" s="0" t="n">
        <v>2</v>
      </c>
      <c r="V2503" s="0" t="inlineStr">
        <is>
          <t>계단식</t>
        </is>
      </c>
      <c r="W2503" s="0" t="inlineStr">
        <is>
          <t>112A</t>
        </is>
      </c>
      <c r="X2503" s="0" t="n">
        <v>34</v>
      </c>
      <c r="Y2503" s="0" t="n">
        <v>24</v>
      </c>
      <c r="Z2503" s="0" t="inlineStr">
        <is>
          <t>https://new.land.naver.com/complexes/22570?tab=detail&amp;rf=Y</t>
        </is>
      </c>
      <c r="AA2503" s="0" t="inlineStr">
        <is>
          <t>서울시 강동구 암사동 414-2</t>
        </is>
      </c>
      <c r="AB2503" s="0" t="inlineStr">
        <is>
          <t>서울시</t>
        </is>
      </c>
      <c r="AC2503" s="0" t="inlineStr">
        <is>
          <t>강동구</t>
        </is>
      </c>
      <c r="AD2503" s="0" t="inlineStr">
        <is>
          <t>암사동</t>
        </is>
      </c>
      <c r="AG2503" s="0" t="inlineStr">
        <is>
          <t>서울시 강동구 고덕로 131</t>
        </is>
      </c>
      <c r="AH2503" s="0" t="n">
        <v>0</v>
      </c>
      <c r="AI2503" s="0" t="n">
        <v>276</v>
      </c>
      <c r="AJ2503" s="0" t="n">
        <v>13</v>
      </c>
      <c r="AK2503" s="0" t="n">
        <v>4596</v>
      </c>
      <c r="AL2503" s="0" t="n">
        <v>1.42</v>
      </c>
    </row>
    <row r="2504">
      <c r="A2504" s="0" t="inlineStr">
        <is>
          <t>[암사동]</t>
        </is>
      </c>
      <c r="B2504" s="0" t="n">
        <v>22570</v>
      </c>
      <c r="C2504" s="0" t="n">
        <v>5</v>
      </c>
      <c r="D2504" s="0" t="inlineStr">
        <is>
          <t>강동롯데캐슬퍼스트</t>
        </is>
      </c>
      <c r="E2504" s="0" t="inlineStr">
        <is>
          <t>2008.09.</t>
        </is>
      </c>
      <c r="F2504" s="0" t="n">
        <v>3226</v>
      </c>
      <c r="G2504" s="0" t="n">
        <v>34.18</v>
      </c>
      <c r="H2504" s="0" t="n">
        <v>113</v>
      </c>
      <c r="I2504" s="0" t="n">
        <v>25.65</v>
      </c>
      <c r="J2504" s="0" t="n">
        <v>84.81</v>
      </c>
      <c r="K2504" s="0" t="n">
        <v>300</v>
      </c>
      <c r="T2504" s="0" t="n">
        <v>3</v>
      </c>
      <c r="U2504" s="0" t="n">
        <v>2</v>
      </c>
      <c r="V2504" s="0" t="inlineStr">
        <is>
          <t>계단식</t>
        </is>
      </c>
      <c r="W2504" s="0" t="inlineStr">
        <is>
          <t>113C</t>
        </is>
      </c>
      <c r="X2504" s="0" t="n">
        <v>34</v>
      </c>
      <c r="Y2504" s="0" t="n">
        <v>24</v>
      </c>
      <c r="Z2504" s="0" t="inlineStr">
        <is>
          <t>https://new.land.naver.com/complexes/22570?tab=detail&amp;rf=Y</t>
        </is>
      </c>
      <c r="AA2504" s="0" t="inlineStr">
        <is>
          <t>서울시 강동구 암사동 414-2</t>
        </is>
      </c>
      <c r="AB2504" s="0" t="inlineStr">
        <is>
          <t>서울시</t>
        </is>
      </c>
      <c r="AC2504" s="0" t="inlineStr">
        <is>
          <t>강동구</t>
        </is>
      </c>
      <c r="AD2504" s="0" t="inlineStr">
        <is>
          <t>암사동</t>
        </is>
      </c>
      <c r="AG2504" s="0" t="inlineStr">
        <is>
          <t>서울시 강동구 고덕로 131</t>
        </is>
      </c>
      <c r="AH2504" s="0" t="n">
        <v>0</v>
      </c>
      <c r="AI2504" s="0" t="n">
        <v>276</v>
      </c>
      <c r="AJ2504" s="0" t="n">
        <v>13</v>
      </c>
      <c r="AK2504" s="0" t="n">
        <v>4596</v>
      </c>
      <c r="AL2504" s="0" t="n">
        <v>1.42</v>
      </c>
    </row>
    <row r="2505">
      <c r="A2505" s="0" t="inlineStr">
        <is>
          <t>[암사동]</t>
        </is>
      </c>
      <c r="B2505" s="0" t="n">
        <v>22570</v>
      </c>
      <c r="C2505" s="0" t="n">
        <v>6</v>
      </c>
      <c r="D2505" s="0" t="inlineStr">
        <is>
          <t>강동롯데캐슬퍼스트</t>
        </is>
      </c>
      <c r="E2505" s="0" t="inlineStr">
        <is>
          <t>2008.09.</t>
        </is>
      </c>
      <c r="F2505" s="0" t="n">
        <v>3226</v>
      </c>
      <c r="G2505" s="0" t="n">
        <v>34.18</v>
      </c>
      <c r="H2505" s="0" t="n">
        <v>113</v>
      </c>
      <c r="I2505" s="0" t="n">
        <v>25.65</v>
      </c>
      <c r="J2505" s="0" t="n">
        <v>84.81</v>
      </c>
      <c r="K2505" s="0" t="n">
        <v>154</v>
      </c>
      <c r="T2505" s="0" t="n">
        <v>3</v>
      </c>
      <c r="U2505" s="0" t="n">
        <v>2</v>
      </c>
      <c r="V2505" s="0" t="inlineStr">
        <is>
          <t>계단식</t>
        </is>
      </c>
      <c r="W2505" s="0" t="inlineStr">
        <is>
          <t>113D</t>
        </is>
      </c>
      <c r="X2505" s="0" t="n">
        <v>34</v>
      </c>
      <c r="Y2505" s="0" t="n">
        <v>24</v>
      </c>
      <c r="Z2505" s="0" t="inlineStr">
        <is>
          <t>https://new.land.naver.com/complexes/22570?tab=detail&amp;rf=Y</t>
        </is>
      </c>
      <c r="AA2505" s="0" t="inlineStr">
        <is>
          <t>서울시 강동구 암사동 414-2</t>
        </is>
      </c>
      <c r="AB2505" s="0" t="inlineStr">
        <is>
          <t>서울시</t>
        </is>
      </c>
      <c r="AC2505" s="0" t="inlineStr">
        <is>
          <t>강동구</t>
        </is>
      </c>
      <c r="AD2505" s="0" t="inlineStr">
        <is>
          <t>암사동</t>
        </is>
      </c>
      <c r="AG2505" s="0" t="inlineStr">
        <is>
          <t>서울시 강동구 고덕로 131</t>
        </is>
      </c>
      <c r="AH2505" s="0" t="n">
        <v>0</v>
      </c>
      <c r="AI2505" s="0" t="n">
        <v>276</v>
      </c>
      <c r="AJ2505" s="0" t="n">
        <v>13</v>
      </c>
      <c r="AK2505" s="0" t="n">
        <v>4596</v>
      </c>
      <c r="AL2505" s="0" t="n">
        <v>1.42</v>
      </c>
    </row>
    <row r="2506">
      <c r="A2506" s="0" t="inlineStr">
        <is>
          <t>[암사동]</t>
        </is>
      </c>
      <c r="B2506" s="0" t="n">
        <v>22570</v>
      </c>
      <c r="C2506" s="0" t="n">
        <v>7</v>
      </c>
      <c r="D2506" s="0" t="inlineStr">
        <is>
          <t>강동롯데캐슬퍼스트</t>
        </is>
      </c>
      <c r="E2506" s="0" t="inlineStr">
        <is>
          <t>2008.09.</t>
        </is>
      </c>
      <c r="F2506" s="0" t="n">
        <v>3226</v>
      </c>
      <c r="G2506" s="0" t="n">
        <v>34.31</v>
      </c>
      <c r="H2506" s="0" t="n">
        <v>113.45</v>
      </c>
      <c r="I2506" s="0" t="n">
        <v>25.65</v>
      </c>
      <c r="J2506" s="0" t="n">
        <v>84.81</v>
      </c>
      <c r="K2506" s="0" t="n">
        <v>60</v>
      </c>
      <c r="T2506" s="0" t="n">
        <v>3</v>
      </c>
      <c r="U2506" s="0" t="n">
        <v>2</v>
      </c>
      <c r="V2506" s="0" t="inlineStr">
        <is>
          <t>계단식</t>
        </is>
      </c>
      <c r="W2506" s="0" t="inlineStr">
        <is>
          <t>113I</t>
        </is>
      </c>
      <c r="X2506" s="0" t="n">
        <v>34</v>
      </c>
      <c r="Y2506" s="0" t="n">
        <v>24</v>
      </c>
      <c r="Z2506" s="0" t="inlineStr">
        <is>
          <t>https://new.land.naver.com/complexes/22570?tab=detail&amp;rf=Y</t>
        </is>
      </c>
      <c r="AA2506" s="0" t="inlineStr">
        <is>
          <t>서울시 강동구 암사동 414-2</t>
        </is>
      </c>
      <c r="AB2506" s="0" t="inlineStr">
        <is>
          <t>서울시</t>
        </is>
      </c>
      <c r="AC2506" s="0" t="inlineStr">
        <is>
          <t>강동구</t>
        </is>
      </c>
      <c r="AD2506" s="0" t="inlineStr">
        <is>
          <t>암사동</t>
        </is>
      </c>
      <c r="AG2506" s="0" t="inlineStr">
        <is>
          <t>서울시 강동구 고덕로 131</t>
        </is>
      </c>
      <c r="AH2506" s="0" t="n">
        <v>0</v>
      </c>
      <c r="AI2506" s="0" t="n">
        <v>276</v>
      </c>
      <c r="AJ2506" s="0" t="n">
        <v>13</v>
      </c>
      <c r="AK2506" s="0" t="n">
        <v>4596</v>
      </c>
      <c r="AL2506" s="0" t="n">
        <v>1.42</v>
      </c>
    </row>
    <row r="2507">
      <c r="A2507" s="0" t="inlineStr">
        <is>
          <t>[암사동]</t>
        </is>
      </c>
      <c r="B2507" s="0" t="n">
        <v>22570</v>
      </c>
      <c r="C2507" s="0" t="n">
        <v>8</v>
      </c>
      <c r="D2507" s="0" t="inlineStr">
        <is>
          <t>강동롯데캐슬퍼스트</t>
        </is>
      </c>
      <c r="E2507" s="0" t="inlineStr">
        <is>
          <t>2008.09.</t>
        </is>
      </c>
      <c r="F2507" s="0" t="n">
        <v>3226</v>
      </c>
      <c r="G2507" s="0" t="n">
        <v>40.17</v>
      </c>
      <c r="H2507" s="0" t="n">
        <v>132.81</v>
      </c>
      <c r="I2507" s="0" t="n">
        <v>30.95</v>
      </c>
      <c r="J2507" s="0" t="n">
        <v>102.34</v>
      </c>
      <c r="K2507" s="0" t="n">
        <v>336</v>
      </c>
      <c r="T2507" s="0" t="n">
        <v>3</v>
      </c>
      <c r="U2507" s="0" t="n">
        <v>2</v>
      </c>
      <c r="V2507" s="0" t="inlineStr">
        <is>
          <t>계단식</t>
        </is>
      </c>
      <c r="W2507" s="0" t="inlineStr">
        <is>
          <t>132I</t>
        </is>
      </c>
      <c r="X2507" s="0" t="n">
        <v>34</v>
      </c>
      <c r="Y2507" s="0" t="n">
        <v>24</v>
      </c>
      <c r="Z2507" s="0" t="inlineStr">
        <is>
          <t>https://new.land.naver.com/complexes/22570?tab=detail&amp;rf=Y</t>
        </is>
      </c>
      <c r="AA2507" s="0" t="inlineStr">
        <is>
          <t>서울시 강동구 암사동 414-2</t>
        </is>
      </c>
      <c r="AB2507" s="0" t="inlineStr">
        <is>
          <t>서울시</t>
        </is>
      </c>
      <c r="AC2507" s="0" t="inlineStr">
        <is>
          <t>강동구</t>
        </is>
      </c>
      <c r="AD2507" s="0" t="inlineStr">
        <is>
          <t>암사동</t>
        </is>
      </c>
      <c r="AG2507" s="0" t="inlineStr">
        <is>
          <t>서울시 강동구 고덕로 131</t>
        </is>
      </c>
      <c r="AH2507" s="0" t="n">
        <v>0</v>
      </c>
      <c r="AI2507" s="0" t="n">
        <v>276</v>
      </c>
      <c r="AJ2507" s="0" t="n">
        <v>13</v>
      </c>
      <c r="AK2507" s="0" t="n">
        <v>4596</v>
      </c>
      <c r="AL2507" s="0" t="n">
        <v>1.42</v>
      </c>
    </row>
    <row r="2508">
      <c r="A2508" s="0" t="inlineStr">
        <is>
          <t>[암사동]</t>
        </is>
      </c>
      <c r="B2508" s="0" t="n">
        <v>22570</v>
      </c>
      <c r="C2508" s="0" t="n">
        <v>9</v>
      </c>
      <c r="D2508" s="0" t="inlineStr">
        <is>
          <t>강동롯데캐슬퍼스트</t>
        </is>
      </c>
      <c r="E2508" s="0" t="inlineStr">
        <is>
          <t>2008.09.</t>
        </is>
      </c>
      <c r="F2508" s="0" t="n">
        <v>3226</v>
      </c>
      <c r="G2508" s="0" t="n">
        <v>40.7</v>
      </c>
      <c r="H2508" s="0" t="n">
        <v>134.57</v>
      </c>
      <c r="I2508" s="0" t="n">
        <v>31.16</v>
      </c>
      <c r="J2508" s="0" t="n">
        <v>103.01</v>
      </c>
      <c r="K2508" s="0" t="n">
        <v>132</v>
      </c>
      <c r="T2508" s="0" t="n">
        <v>3</v>
      </c>
      <c r="U2508" s="0" t="n">
        <v>2</v>
      </c>
      <c r="V2508" s="0" t="inlineStr">
        <is>
          <t>계단식</t>
        </is>
      </c>
      <c r="W2508" s="0" t="inlineStr">
        <is>
          <t>134A</t>
        </is>
      </c>
      <c r="X2508" s="0" t="n">
        <v>34</v>
      </c>
      <c r="Y2508" s="0" t="n">
        <v>24</v>
      </c>
      <c r="Z2508" s="0" t="inlineStr">
        <is>
          <t>https://new.land.naver.com/complexes/22570?tab=detail&amp;rf=Y</t>
        </is>
      </c>
      <c r="AA2508" s="0" t="inlineStr">
        <is>
          <t>서울시 강동구 암사동 414-2</t>
        </is>
      </c>
      <c r="AB2508" s="0" t="inlineStr">
        <is>
          <t>서울시</t>
        </is>
      </c>
      <c r="AC2508" s="0" t="inlineStr">
        <is>
          <t>강동구</t>
        </is>
      </c>
      <c r="AD2508" s="0" t="inlineStr">
        <is>
          <t>암사동</t>
        </is>
      </c>
      <c r="AG2508" s="0" t="inlineStr">
        <is>
          <t>서울시 강동구 고덕로 131</t>
        </is>
      </c>
      <c r="AH2508" s="0" t="n">
        <v>0</v>
      </c>
      <c r="AI2508" s="0" t="n">
        <v>276</v>
      </c>
      <c r="AJ2508" s="0" t="n">
        <v>13</v>
      </c>
      <c r="AK2508" s="0" t="n">
        <v>4596</v>
      </c>
      <c r="AL2508" s="0" t="n">
        <v>1.42</v>
      </c>
    </row>
    <row r="2509">
      <c r="A2509" s="0" t="inlineStr">
        <is>
          <t>[암사동]</t>
        </is>
      </c>
      <c r="B2509" s="0" t="n">
        <v>22570</v>
      </c>
      <c r="C2509" s="0" t="n">
        <v>10</v>
      </c>
      <c r="D2509" s="0" t="inlineStr">
        <is>
          <t>강동롯데캐슬퍼스트</t>
        </is>
      </c>
      <c r="E2509" s="0" t="inlineStr">
        <is>
          <t>2008.09.</t>
        </is>
      </c>
      <c r="F2509" s="0" t="n">
        <v>3226</v>
      </c>
      <c r="G2509" s="0" t="n">
        <v>44</v>
      </c>
      <c r="H2509" s="0" t="n">
        <v>145.47</v>
      </c>
      <c r="I2509" s="0" t="n">
        <v>33.64</v>
      </c>
      <c r="J2509" s="0" t="n">
        <v>111.22</v>
      </c>
      <c r="K2509" s="0" t="n">
        <v>419</v>
      </c>
      <c r="T2509" s="0" t="n">
        <v>4</v>
      </c>
      <c r="U2509" s="0" t="n">
        <v>2</v>
      </c>
      <c r="V2509" s="0" t="inlineStr">
        <is>
          <t>계단식</t>
        </is>
      </c>
      <c r="W2509" s="0" t="inlineStr">
        <is>
          <t>145A</t>
        </is>
      </c>
      <c r="X2509" s="0" t="n">
        <v>34</v>
      </c>
      <c r="Y2509" s="0" t="n">
        <v>24</v>
      </c>
      <c r="Z2509" s="0" t="inlineStr">
        <is>
          <t>https://new.land.naver.com/complexes/22570?tab=detail&amp;rf=Y</t>
        </is>
      </c>
      <c r="AA2509" s="0" t="inlineStr">
        <is>
          <t>서울시 강동구 암사동 414-2</t>
        </is>
      </c>
      <c r="AB2509" s="0" t="inlineStr">
        <is>
          <t>서울시</t>
        </is>
      </c>
      <c r="AC2509" s="0" t="inlineStr">
        <is>
          <t>강동구</t>
        </is>
      </c>
      <c r="AD2509" s="0" t="inlineStr">
        <is>
          <t>암사동</t>
        </is>
      </c>
      <c r="AG2509" s="0" t="inlineStr">
        <is>
          <t>서울시 강동구 고덕로 131</t>
        </is>
      </c>
      <c r="AH2509" s="0" t="n">
        <v>0</v>
      </c>
      <c r="AI2509" s="0" t="n">
        <v>276</v>
      </c>
      <c r="AJ2509" s="0" t="n">
        <v>13</v>
      </c>
      <c r="AK2509" s="0" t="n">
        <v>4596</v>
      </c>
      <c r="AL2509" s="0" t="n">
        <v>1.42</v>
      </c>
    </row>
    <row r="2510">
      <c r="A2510" s="0" t="inlineStr">
        <is>
          <t>[암사동]</t>
        </is>
      </c>
      <c r="B2510" s="0" t="n">
        <v>22570</v>
      </c>
      <c r="C2510" s="0" t="n">
        <v>11</v>
      </c>
      <c r="D2510" s="0" t="inlineStr">
        <is>
          <t>강동롯데캐슬퍼스트</t>
        </is>
      </c>
      <c r="E2510" s="0" t="inlineStr">
        <is>
          <t>2008.09.</t>
        </is>
      </c>
      <c r="F2510" s="0" t="n">
        <v>3226</v>
      </c>
      <c r="G2510" s="0" t="n">
        <v>44.09</v>
      </c>
      <c r="H2510" s="0" t="n">
        <v>145.76</v>
      </c>
      <c r="I2510" s="0" t="n">
        <v>33.91</v>
      </c>
      <c r="J2510" s="0" t="n">
        <v>112.11</v>
      </c>
      <c r="K2510" s="0" t="n">
        <v>398</v>
      </c>
      <c r="T2510" s="0" t="n">
        <v>4</v>
      </c>
      <c r="U2510" s="0" t="n">
        <v>2</v>
      </c>
      <c r="V2510" s="0" t="inlineStr">
        <is>
          <t>계단식</t>
        </is>
      </c>
      <c r="W2510" s="0" t="inlineStr">
        <is>
          <t>145I</t>
        </is>
      </c>
      <c r="X2510" s="0" t="n">
        <v>34</v>
      </c>
      <c r="Y2510" s="0" t="n">
        <v>24</v>
      </c>
      <c r="Z2510" s="0" t="inlineStr">
        <is>
          <t>https://new.land.naver.com/complexes/22570?tab=detail&amp;rf=Y</t>
        </is>
      </c>
      <c r="AA2510" s="0" t="inlineStr">
        <is>
          <t>서울시 강동구 암사동 414-2</t>
        </is>
      </c>
      <c r="AB2510" s="0" t="inlineStr">
        <is>
          <t>서울시</t>
        </is>
      </c>
      <c r="AC2510" s="0" t="inlineStr">
        <is>
          <t>강동구</t>
        </is>
      </c>
      <c r="AD2510" s="0" t="inlineStr">
        <is>
          <t>암사동</t>
        </is>
      </c>
      <c r="AG2510" s="0" t="inlineStr">
        <is>
          <t>서울시 강동구 고덕로 131</t>
        </is>
      </c>
      <c r="AH2510" s="0" t="n">
        <v>0</v>
      </c>
      <c r="AI2510" s="0" t="n">
        <v>276</v>
      </c>
      <c r="AJ2510" s="0" t="n">
        <v>13</v>
      </c>
      <c r="AK2510" s="0" t="n">
        <v>4596</v>
      </c>
      <c r="AL2510" s="0" t="n">
        <v>1.42</v>
      </c>
    </row>
    <row r="2511">
      <c r="A2511" s="0" t="inlineStr">
        <is>
          <t>[암사동]</t>
        </is>
      </c>
      <c r="B2511" s="0" t="n">
        <v>22570</v>
      </c>
      <c r="C2511" s="0" t="n">
        <v>12</v>
      </c>
      <c r="D2511" s="0" t="inlineStr">
        <is>
          <t>강동롯데캐슬퍼스트</t>
        </is>
      </c>
      <c r="E2511" s="0" t="inlineStr">
        <is>
          <t>2008.09.</t>
        </is>
      </c>
      <c r="F2511" s="0" t="n">
        <v>3226</v>
      </c>
      <c r="G2511" s="0" t="n">
        <v>51.18</v>
      </c>
      <c r="H2511" s="0" t="n">
        <v>169.22</v>
      </c>
      <c r="I2511" s="0" t="n">
        <v>40.52</v>
      </c>
      <c r="J2511" s="0" t="n">
        <v>133.97</v>
      </c>
      <c r="K2511" s="0" t="n">
        <v>159</v>
      </c>
      <c r="T2511" s="0" t="n">
        <v>4</v>
      </c>
      <c r="U2511" s="0" t="n">
        <v>2</v>
      </c>
      <c r="V2511" s="0" t="inlineStr">
        <is>
          <t>계단식</t>
        </is>
      </c>
      <c r="W2511" s="0" t="inlineStr">
        <is>
          <t>169I</t>
        </is>
      </c>
      <c r="X2511" s="0" t="n">
        <v>34</v>
      </c>
      <c r="Y2511" s="0" t="n">
        <v>24</v>
      </c>
      <c r="Z2511" s="0" t="inlineStr">
        <is>
          <t>https://new.land.naver.com/complexes/22570?tab=detail&amp;rf=Y</t>
        </is>
      </c>
      <c r="AA2511" s="0" t="inlineStr">
        <is>
          <t>서울시 강동구 암사동 414-2</t>
        </is>
      </c>
      <c r="AB2511" s="0" t="inlineStr">
        <is>
          <t>서울시</t>
        </is>
      </c>
      <c r="AC2511" s="0" t="inlineStr">
        <is>
          <t>강동구</t>
        </is>
      </c>
      <c r="AD2511" s="0" t="inlineStr">
        <is>
          <t>암사동</t>
        </is>
      </c>
      <c r="AG2511" s="0" t="inlineStr">
        <is>
          <t>서울시 강동구 고덕로 131</t>
        </is>
      </c>
      <c r="AH2511" s="0" t="n">
        <v>0</v>
      </c>
      <c r="AI2511" s="0" t="n">
        <v>276</v>
      </c>
      <c r="AJ2511" s="0" t="n">
        <v>13</v>
      </c>
      <c r="AK2511" s="0" t="n">
        <v>4596</v>
      </c>
      <c r="AL2511" s="0" t="n">
        <v>1.42</v>
      </c>
    </row>
    <row r="2512">
      <c r="A2512" s="0" t="inlineStr">
        <is>
          <t>[암사동]</t>
        </is>
      </c>
      <c r="B2512" s="0" t="n">
        <v>22570</v>
      </c>
      <c r="C2512" s="0" t="n">
        <v>13</v>
      </c>
      <c r="D2512" s="0" t="inlineStr">
        <is>
          <t>강동롯데캐슬퍼스트</t>
        </is>
      </c>
      <c r="E2512" s="0" t="inlineStr">
        <is>
          <t>2008.09.</t>
        </is>
      </c>
      <c r="F2512" s="0" t="n">
        <v>3226</v>
      </c>
      <c r="G2512" s="0" t="n">
        <v>60.04</v>
      </c>
      <c r="H2512" s="0" t="n">
        <v>198.51</v>
      </c>
      <c r="I2512" s="0" t="n">
        <v>48.59</v>
      </c>
      <c r="J2512" s="0" t="n">
        <v>160.63</v>
      </c>
      <c r="K2512" s="0" t="n">
        <v>60</v>
      </c>
      <c r="T2512" s="0" t="n">
        <v>4</v>
      </c>
      <c r="U2512" s="0" t="n">
        <v>3</v>
      </c>
      <c r="V2512" s="0" t="inlineStr">
        <is>
          <t>계단식</t>
        </is>
      </c>
      <c r="W2512" s="0" t="inlineStr">
        <is>
          <t>198I</t>
        </is>
      </c>
      <c r="X2512" s="0" t="n">
        <v>34</v>
      </c>
      <c r="Y2512" s="0" t="n">
        <v>24</v>
      </c>
      <c r="Z2512" s="0" t="inlineStr">
        <is>
          <t>https://new.land.naver.com/complexes/22570?tab=detail&amp;rf=Y</t>
        </is>
      </c>
      <c r="AA2512" s="0" t="inlineStr">
        <is>
          <t>서울시 강동구 암사동 414-2</t>
        </is>
      </c>
      <c r="AB2512" s="0" t="inlineStr">
        <is>
          <t>서울시</t>
        </is>
      </c>
      <c r="AC2512" s="0" t="inlineStr">
        <is>
          <t>강동구</t>
        </is>
      </c>
      <c r="AD2512" s="0" t="inlineStr">
        <is>
          <t>암사동</t>
        </is>
      </c>
      <c r="AG2512" s="0" t="inlineStr">
        <is>
          <t>서울시 강동구 고덕로 131</t>
        </is>
      </c>
      <c r="AH2512" s="0" t="n">
        <v>0</v>
      </c>
      <c r="AI2512" s="0" t="n">
        <v>276</v>
      </c>
      <c r="AJ2512" s="0" t="n">
        <v>13</v>
      </c>
      <c r="AK2512" s="0" t="n">
        <v>4596</v>
      </c>
      <c r="AL2512" s="0" t="n">
        <v>1.42</v>
      </c>
    </row>
    <row r="2513">
      <c r="A2513" s="0" t="inlineStr">
        <is>
          <t>[암사동]</t>
        </is>
      </c>
      <c r="B2513" s="0" t="n">
        <v>996</v>
      </c>
      <c r="C2513" s="0" t="n">
        <v>1</v>
      </c>
      <c r="D2513" s="0" t="inlineStr">
        <is>
          <t>한강현대</t>
        </is>
      </c>
      <c r="E2513" s="0" t="inlineStr">
        <is>
          <t>1999.05.</t>
        </is>
      </c>
      <c r="F2513" s="0" t="n">
        <v>417</v>
      </c>
      <c r="G2513" s="0" t="n">
        <v>23.8</v>
      </c>
      <c r="H2513" s="0" t="n">
        <v>78.7</v>
      </c>
      <c r="I2513" s="0" t="n">
        <v>18.13</v>
      </c>
      <c r="J2513" s="0" t="n">
        <v>59.94</v>
      </c>
      <c r="K2513" s="0" t="n">
        <v>168</v>
      </c>
      <c r="T2513" s="0" t="n">
        <v>3</v>
      </c>
      <c r="U2513" s="0" t="n">
        <v>1</v>
      </c>
      <c r="V2513" s="0" t="inlineStr">
        <is>
          <t>계단식</t>
        </is>
      </c>
      <c r="W2513" s="0" t="n">
        <v>78</v>
      </c>
      <c r="X2513" s="0" t="n">
        <v>27</v>
      </c>
      <c r="Y2513" s="0" t="n">
        <v>16</v>
      </c>
      <c r="Z2513" s="0" t="inlineStr">
        <is>
          <t>https://new.land.naver.com/complexes/996?tab=detail&amp;rf=Y</t>
        </is>
      </c>
      <c r="AA2513" s="0" t="inlineStr">
        <is>
          <t>서울시 강동구 암사동 442-1</t>
        </is>
      </c>
      <c r="AB2513" s="0" t="inlineStr">
        <is>
          <t>서울시</t>
        </is>
      </c>
      <c r="AC2513" s="0" t="inlineStr">
        <is>
          <t>강동구</t>
        </is>
      </c>
      <c r="AD2513" s="0" t="inlineStr">
        <is>
          <t>암사동</t>
        </is>
      </c>
      <c r="AG2513" s="0" t="inlineStr">
        <is>
          <t>서울시 강동구 올림픽로104길 41</t>
        </is>
      </c>
      <c r="AH2513" s="0" t="n">
        <v>0</v>
      </c>
      <c r="AI2513" s="0" t="n">
        <v>326</v>
      </c>
      <c r="AJ2513" s="0" t="n">
        <v>20</v>
      </c>
      <c r="AK2513" s="0" t="n">
        <v>477</v>
      </c>
      <c r="AL2513" s="0" t="n">
        <v>1.14</v>
      </c>
    </row>
    <row r="2514">
      <c r="A2514" s="0" t="inlineStr">
        <is>
          <t>[암사동]</t>
        </is>
      </c>
      <c r="B2514" s="0" t="n">
        <v>996</v>
      </c>
      <c r="C2514" s="0" t="n">
        <v>2</v>
      </c>
      <c r="D2514" s="0" t="inlineStr">
        <is>
          <t>한강현대</t>
        </is>
      </c>
      <c r="E2514" s="0" t="inlineStr">
        <is>
          <t>1999.05.</t>
        </is>
      </c>
      <c r="F2514" s="0" t="n">
        <v>417</v>
      </c>
      <c r="G2514" s="0" t="n">
        <v>28.56</v>
      </c>
      <c r="H2514" s="0" t="n">
        <v>94.42</v>
      </c>
      <c r="I2514" s="0" t="n">
        <v>21.75</v>
      </c>
      <c r="J2514" s="0" t="n">
        <v>71.91</v>
      </c>
      <c r="K2514" s="0" t="n">
        <v>54</v>
      </c>
      <c r="T2514" s="0" t="n">
        <v>3</v>
      </c>
      <c r="U2514" s="0" t="n">
        <v>1</v>
      </c>
      <c r="V2514" s="0" t="inlineStr">
        <is>
          <t>계단식</t>
        </is>
      </c>
      <c r="W2514" s="0" t="n">
        <v>94</v>
      </c>
      <c r="X2514" s="0" t="n">
        <v>27</v>
      </c>
      <c r="Y2514" s="0" t="n">
        <v>16</v>
      </c>
      <c r="Z2514" s="0" t="inlineStr">
        <is>
          <t>https://new.land.naver.com/complexes/996?tab=detail&amp;rf=Y</t>
        </is>
      </c>
      <c r="AA2514" s="0" t="inlineStr">
        <is>
          <t>서울시 강동구 암사동 442-1</t>
        </is>
      </c>
      <c r="AB2514" s="0" t="inlineStr">
        <is>
          <t>서울시</t>
        </is>
      </c>
      <c r="AC2514" s="0" t="inlineStr">
        <is>
          <t>강동구</t>
        </is>
      </c>
      <c r="AD2514" s="0" t="inlineStr">
        <is>
          <t>암사동</t>
        </is>
      </c>
      <c r="AG2514" s="0" t="inlineStr">
        <is>
          <t>서울시 강동구 올림픽로104길 41</t>
        </is>
      </c>
      <c r="AH2514" s="0" t="n">
        <v>0</v>
      </c>
      <c r="AI2514" s="0" t="n">
        <v>326</v>
      </c>
      <c r="AJ2514" s="0" t="n">
        <v>20</v>
      </c>
      <c r="AK2514" s="0" t="n">
        <v>477</v>
      </c>
      <c r="AL2514" s="0" t="n">
        <v>1.14</v>
      </c>
    </row>
    <row r="2515">
      <c r="A2515" s="0" t="inlineStr">
        <is>
          <t>[암사동]</t>
        </is>
      </c>
      <c r="B2515" s="0" t="n">
        <v>996</v>
      </c>
      <c r="C2515" s="0" t="n">
        <v>3</v>
      </c>
      <c r="D2515" s="0" t="inlineStr">
        <is>
          <t>한강현대</t>
        </is>
      </c>
      <c r="E2515" s="0" t="inlineStr">
        <is>
          <t>1999.05.</t>
        </is>
      </c>
      <c r="F2515" s="0" t="n">
        <v>417</v>
      </c>
      <c r="G2515" s="0" t="n">
        <v>33.73</v>
      </c>
      <c r="H2515" s="0" t="n">
        <v>111.51</v>
      </c>
      <c r="I2515" s="0" t="n">
        <v>25.69</v>
      </c>
      <c r="J2515" s="0" t="n">
        <v>84.93000000000001</v>
      </c>
      <c r="K2515" s="0" t="n">
        <v>108</v>
      </c>
      <c r="T2515" s="0" t="n">
        <v>3</v>
      </c>
      <c r="U2515" s="0" t="n">
        <v>2</v>
      </c>
      <c r="V2515" s="0" t="inlineStr">
        <is>
          <t>계단식</t>
        </is>
      </c>
      <c r="W2515" s="0" t="n">
        <v>111</v>
      </c>
      <c r="X2515" s="0" t="n">
        <v>27</v>
      </c>
      <c r="Y2515" s="0" t="n">
        <v>16</v>
      </c>
      <c r="Z2515" s="0" t="inlineStr">
        <is>
          <t>https://new.land.naver.com/complexes/996?tab=detail&amp;rf=Y</t>
        </is>
      </c>
      <c r="AA2515" s="0" t="inlineStr">
        <is>
          <t>서울시 강동구 암사동 442-1</t>
        </is>
      </c>
      <c r="AB2515" s="0" t="inlineStr">
        <is>
          <t>서울시</t>
        </is>
      </c>
      <c r="AC2515" s="0" t="inlineStr">
        <is>
          <t>강동구</t>
        </is>
      </c>
      <c r="AD2515" s="0" t="inlineStr">
        <is>
          <t>암사동</t>
        </is>
      </c>
      <c r="AG2515" s="0" t="inlineStr">
        <is>
          <t>서울시 강동구 올림픽로104길 41</t>
        </is>
      </c>
      <c r="AH2515" s="0" t="n">
        <v>0</v>
      </c>
      <c r="AI2515" s="0" t="n">
        <v>326</v>
      </c>
      <c r="AJ2515" s="0" t="n">
        <v>20</v>
      </c>
      <c r="AK2515" s="0" t="n">
        <v>477</v>
      </c>
      <c r="AL2515" s="0" t="n">
        <v>1.14</v>
      </c>
    </row>
    <row r="2516">
      <c r="A2516" s="0" t="inlineStr">
        <is>
          <t>[암사동]</t>
        </is>
      </c>
      <c r="B2516" s="0" t="n">
        <v>996</v>
      </c>
      <c r="C2516" s="0" t="n">
        <v>4</v>
      </c>
      <c r="D2516" s="0" t="inlineStr">
        <is>
          <t>한강현대</t>
        </is>
      </c>
      <c r="E2516" s="0" t="inlineStr">
        <is>
          <t>1999.05.</t>
        </is>
      </c>
      <c r="F2516" s="0" t="n">
        <v>417</v>
      </c>
      <c r="G2516" s="0" t="n">
        <v>45.68</v>
      </c>
      <c r="H2516" s="0" t="n">
        <v>151.01</v>
      </c>
      <c r="I2516" s="0" t="n">
        <v>34.78</v>
      </c>
      <c r="J2516" s="0" t="n">
        <v>115</v>
      </c>
      <c r="K2516" s="0" t="n">
        <v>87</v>
      </c>
      <c r="T2516" s="0" t="n">
        <v>4</v>
      </c>
      <c r="U2516" s="0" t="n">
        <v>2</v>
      </c>
      <c r="V2516" s="0" t="inlineStr">
        <is>
          <t>계단식</t>
        </is>
      </c>
      <c r="W2516" s="0" t="n">
        <v>151</v>
      </c>
      <c r="X2516" s="0" t="n">
        <v>27</v>
      </c>
      <c r="Y2516" s="0" t="n">
        <v>16</v>
      </c>
      <c r="Z2516" s="0" t="inlineStr">
        <is>
          <t>https://new.land.naver.com/complexes/996?tab=detail&amp;rf=Y</t>
        </is>
      </c>
      <c r="AA2516" s="0" t="inlineStr">
        <is>
          <t>서울시 강동구 암사동 442-1</t>
        </is>
      </c>
      <c r="AB2516" s="0" t="inlineStr">
        <is>
          <t>서울시</t>
        </is>
      </c>
      <c r="AC2516" s="0" t="inlineStr">
        <is>
          <t>강동구</t>
        </is>
      </c>
      <c r="AD2516" s="0" t="inlineStr">
        <is>
          <t>암사동</t>
        </is>
      </c>
      <c r="AG2516" s="0" t="inlineStr">
        <is>
          <t>서울시 강동구 올림픽로104길 41</t>
        </is>
      </c>
      <c r="AH2516" s="0" t="n">
        <v>0</v>
      </c>
      <c r="AI2516" s="0" t="n">
        <v>326</v>
      </c>
      <c r="AJ2516" s="0" t="n">
        <v>20</v>
      </c>
      <c r="AK2516" s="0" t="n">
        <v>477</v>
      </c>
      <c r="AL2516" s="0" t="n">
        <v>1.14</v>
      </c>
    </row>
    <row r="2517">
      <c r="A2517" s="0" t="inlineStr">
        <is>
          <t>[암사동]</t>
        </is>
      </c>
      <c r="B2517" s="0" t="n">
        <v>102808</v>
      </c>
      <c r="C2517" s="0" t="n">
        <v>1</v>
      </c>
      <c r="D2517" s="0" t="inlineStr">
        <is>
          <t>아키스</t>
        </is>
      </c>
      <c r="E2517" s="0" t="inlineStr">
        <is>
          <t>2003.12.</t>
        </is>
      </c>
      <c r="F2517" s="0" t="n">
        <v>12</v>
      </c>
      <c r="G2517" s="0" t="n">
        <v>27.94</v>
      </c>
      <c r="H2517" s="0" t="n">
        <v>92.38</v>
      </c>
      <c r="I2517" s="0" t="n">
        <v>25.17</v>
      </c>
      <c r="J2517" s="0" t="n">
        <v>83.23</v>
      </c>
      <c r="K2517" s="0" t="n">
        <v>1</v>
      </c>
      <c r="T2517" s="0" t="n">
        <v>3</v>
      </c>
      <c r="U2517" s="0" t="n">
        <v>1</v>
      </c>
      <c r="V2517" s="0" t="inlineStr">
        <is>
          <t>계단식</t>
        </is>
      </c>
      <c r="W2517" s="0" t="inlineStr">
        <is>
          <t>92A</t>
        </is>
      </c>
      <c r="X2517" s="0" t="n">
        <v>7</v>
      </c>
      <c r="Y2517" s="0" t="n">
        <v>7</v>
      </c>
      <c r="Z2517" s="0" t="inlineStr">
        <is>
          <t>https://new.land.naver.com/complexes/102808?tab=detail&amp;rf=Y</t>
        </is>
      </c>
      <c r="AA2517" s="0" t="inlineStr">
        <is>
          <t>서울시 강동구 암사동 487-37</t>
        </is>
      </c>
      <c r="AB2517" s="0" t="inlineStr">
        <is>
          <t>서울시</t>
        </is>
      </c>
      <c r="AC2517" s="0" t="inlineStr">
        <is>
          <t>강동구</t>
        </is>
      </c>
      <c r="AD2517" s="0" t="inlineStr">
        <is>
          <t>암사동</t>
        </is>
      </c>
      <c r="AG2517" s="0" t="inlineStr">
        <is>
          <t>서울시 강동구 구천면로 335</t>
        </is>
      </c>
      <c r="AH2517" s="0" t="n">
        <v>0</v>
      </c>
      <c r="AI2517" s="0" t="n">
        <v>256</v>
      </c>
      <c r="AJ2517" s="0" t="n">
        <v>59</v>
      </c>
      <c r="AK2517" s="0" t="n">
        <v>14</v>
      </c>
      <c r="AL2517" s="0" t="n">
        <v>1.17</v>
      </c>
    </row>
    <row r="2518">
      <c r="A2518" s="0" t="inlineStr">
        <is>
          <t>[암사동]</t>
        </is>
      </c>
      <c r="B2518" s="0" t="n">
        <v>102808</v>
      </c>
      <c r="C2518" s="0" t="n">
        <v>2</v>
      </c>
      <c r="D2518" s="0" t="inlineStr">
        <is>
          <t>아키스</t>
        </is>
      </c>
      <c r="E2518" s="0" t="inlineStr">
        <is>
          <t>2003.12.</t>
        </is>
      </c>
      <c r="F2518" s="0" t="n">
        <v>12</v>
      </c>
      <c r="G2518" s="0" t="n">
        <v>28.07</v>
      </c>
      <c r="H2518" s="0" t="n">
        <v>92.81999999999999</v>
      </c>
      <c r="I2518" s="0" t="n">
        <v>25.29</v>
      </c>
      <c r="J2518" s="0" t="n">
        <v>83.62</v>
      </c>
      <c r="K2518" s="0" t="n">
        <v>1</v>
      </c>
      <c r="T2518" s="0" t="n">
        <v>3</v>
      </c>
      <c r="U2518" s="0" t="n">
        <v>1</v>
      </c>
      <c r="V2518" s="0" t="inlineStr">
        <is>
          <t>계단식</t>
        </is>
      </c>
      <c r="W2518" s="0" t="inlineStr">
        <is>
          <t>92B</t>
        </is>
      </c>
      <c r="X2518" s="0" t="n">
        <v>7</v>
      </c>
      <c r="Y2518" s="0" t="n">
        <v>7</v>
      </c>
      <c r="Z2518" s="0" t="inlineStr">
        <is>
          <t>https://new.land.naver.com/complexes/102808?tab=detail&amp;rf=Y</t>
        </is>
      </c>
      <c r="AA2518" s="0" t="inlineStr">
        <is>
          <t>서울시 강동구 암사동 487-37</t>
        </is>
      </c>
      <c r="AB2518" s="0" t="inlineStr">
        <is>
          <t>서울시</t>
        </is>
      </c>
      <c r="AC2518" s="0" t="inlineStr">
        <is>
          <t>강동구</t>
        </is>
      </c>
      <c r="AD2518" s="0" t="inlineStr">
        <is>
          <t>암사동</t>
        </is>
      </c>
      <c r="AG2518" s="0" t="inlineStr">
        <is>
          <t>서울시 강동구 구천면로 335</t>
        </is>
      </c>
      <c r="AH2518" s="0" t="n">
        <v>0</v>
      </c>
      <c r="AI2518" s="0" t="n">
        <v>256</v>
      </c>
      <c r="AJ2518" s="0" t="n">
        <v>59</v>
      </c>
      <c r="AK2518" s="0" t="n">
        <v>14</v>
      </c>
      <c r="AL2518" s="0" t="n">
        <v>1.17</v>
      </c>
    </row>
    <row r="2519">
      <c r="A2519" s="0" t="inlineStr">
        <is>
          <t>[암사동]</t>
        </is>
      </c>
      <c r="B2519" s="0" t="n">
        <v>102808</v>
      </c>
      <c r="C2519" s="0" t="n">
        <v>3</v>
      </c>
      <c r="D2519" s="0" t="inlineStr">
        <is>
          <t>아키스</t>
        </is>
      </c>
      <c r="E2519" s="0" t="inlineStr">
        <is>
          <t>2003.12.</t>
        </is>
      </c>
      <c r="F2519" s="0" t="n">
        <v>12</v>
      </c>
      <c r="G2519" s="0" t="n">
        <v>28.34</v>
      </c>
      <c r="H2519" s="0" t="n">
        <v>93.7</v>
      </c>
      <c r="I2519" s="0" t="n">
        <v>25.54</v>
      </c>
      <c r="J2519" s="0" t="n">
        <v>84.43000000000001</v>
      </c>
      <c r="K2519" s="0" t="n">
        <v>5</v>
      </c>
      <c r="T2519" s="0" t="n">
        <v>3</v>
      </c>
      <c r="U2519" s="0" t="n">
        <v>1</v>
      </c>
      <c r="V2519" s="0" t="inlineStr">
        <is>
          <t>계단식</t>
        </is>
      </c>
      <c r="W2519" s="0" t="inlineStr">
        <is>
          <t>93C</t>
        </is>
      </c>
      <c r="X2519" s="0" t="n">
        <v>7</v>
      </c>
      <c r="Y2519" s="0" t="n">
        <v>7</v>
      </c>
      <c r="Z2519" s="0" t="inlineStr">
        <is>
          <t>https://new.land.naver.com/complexes/102808?tab=detail&amp;rf=Y</t>
        </is>
      </c>
      <c r="AA2519" s="0" t="inlineStr">
        <is>
          <t>서울시 강동구 암사동 487-37</t>
        </is>
      </c>
      <c r="AB2519" s="0" t="inlineStr">
        <is>
          <t>서울시</t>
        </is>
      </c>
      <c r="AC2519" s="0" t="inlineStr">
        <is>
          <t>강동구</t>
        </is>
      </c>
      <c r="AD2519" s="0" t="inlineStr">
        <is>
          <t>암사동</t>
        </is>
      </c>
      <c r="AG2519" s="0" t="inlineStr">
        <is>
          <t>서울시 강동구 구천면로 335</t>
        </is>
      </c>
      <c r="AH2519" s="0" t="n">
        <v>0</v>
      </c>
      <c r="AI2519" s="0" t="n">
        <v>256</v>
      </c>
      <c r="AJ2519" s="0" t="n">
        <v>59</v>
      </c>
      <c r="AK2519" s="0" t="n">
        <v>14</v>
      </c>
      <c r="AL2519" s="0" t="n">
        <v>1.17</v>
      </c>
    </row>
    <row r="2520">
      <c r="A2520" s="0" t="inlineStr">
        <is>
          <t>[암사동]</t>
        </is>
      </c>
      <c r="B2520" s="0" t="n">
        <v>102808</v>
      </c>
      <c r="C2520" s="0" t="n">
        <v>4</v>
      </c>
      <c r="D2520" s="0" t="inlineStr">
        <is>
          <t>아키스</t>
        </is>
      </c>
      <c r="E2520" s="0" t="inlineStr">
        <is>
          <t>2003.12.</t>
        </is>
      </c>
      <c r="F2520" s="0" t="n">
        <v>12</v>
      </c>
      <c r="G2520" s="0" t="n">
        <v>28.41</v>
      </c>
      <c r="H2520" s="0" t="n">
        <v>93.94</v>
      </c>
      <c r="I2520" s="0" t="n">
        <v>25.6</v>
      </c>
      <c r="J2520" s="0" t="n">
        <v>84.64</v>
      </c>
      <c r="K2520" s="0" t="n">
        <v>5</v>
      </c>
      <c r="T2520" s="0" t="n">
        <v>3</v>
      </c>
      <c r="U2520" s="0" t="n">
        <v>1</v>
      </c>
      <c r="V2520" s="0" t="inlineStr">
        <is>
          <t>계단식</t>
        </is>
      </c>
      <c r="W2520" s="0" t="inlineStr">
        <is>
          <t>93D</t>
        </is>
      </c>
      <c r="X2520" s="0" t="n">
        <v>7</v>
      </c>
      <c r="Y2520" s="0" t="n">
        <v>7</v>
      </c>
      <c r="Z2520" s="0" t="inlineStr">
        <is>
          <t>https://new.land.naver.com/complexes/102808?tab=detail&amp;rf=Y</t>
        </is>
      </c>
      <c r="AA2520" s="0" t="inlineStr">
        <is>
          <t>서울시 강동구 암사동 487-37</t>
        </is>
      </c>
      <c r="AB2520" s="0" t="inlineStr">
        <is>
          <t>서울시</t>
        </is>
      </c>
      <c r="AC2520" s="0" t="inlineStr">
        <is>
          <t>강동구</t>
        </is>
      </c>
      <c r="AD2520" s="0" t="inlineStr">
        <is>
          <t>암사동</t>
        </is>
      </c>
      <c r="AG2520" s="0" t="inlineStr">
        <is>
          <t>서울시 강동구 구천면로 335</t>
        </is>
      </c>
      <c r="AH2520" s="0" t="n">
        <v>0</v>
      </c>
      <c r="AI2520" s="0" t="n">
        <v>256</v>
      </c>
      <c r="AJ2520" s="0" t="n">
        <v>59</v>
      </c>
      <c r="AK2520" s="0" t="n">
        <v>14</v>
      </c>
      <c r="AL2520" s="0" t="n">
        <v>1.17</v>
      </c>
    </row>
    <row r="2521">
      <c r="A2521" s="0" t="inlineStr">
        <is>
          <t>[암사동]</t>
        </is>
      </c>
      <c r="B2521" s="0" t="n">
        <v>130499</v>
      </c>
      <c r="C2521" s="0" t="n">
        <v>1</v>
      </c>
      <c r="D2521" s="0" t="inlineStr">
        <is>
          <t>마일스톤(도시형)</t>
        </is>
      </c>
      <c r="E2521" s="0" t="inlineStr">
        <is>
          <t>2019.12.</t>
        </is>
      </c>
      <c r="F2521" s="0" t="n">
        <v>23</v>
      </c>
      <c r="G2521" s="0" t="n">
        <v>5.96</v>
      </c>
      <c r="H2521" s="0" t="n">
        <v>19.71</v>
      </c>
      <c r="I2521" s="0" t="n">
        <v>4.27</v>
      </c>
      <c r="J2521" s="0" t="n">
        <v>14.14</v>
      </c>
      <c r="K2521" s="0" t="n">
        <v>3</v>
      </c>
      <c r="T2521" s="0" t="n">
        <v>1</v>
      </c>
      <c r="U2521" s="0" t="n">
        <v>1</v>
      </c>
      <c r="V2521" s="0" t="inlineStr">
        <is>
          <t>계단식</t>
        </is>
      </c>
      <c r="W2521" s="0" t="n">
        <v>19</v>
      </c>
      <c r="X2521" s="0" t="n">
        <v>6</v>
      </c>
      <c r="Y2521" s="0" t="n">
        <v>5</v>
      </c>
      <c r="Z2521" s="0" t="inlineStr">
        <is>
          <t>https://new.land.naver.com/complexes/130499?tab=detail&amp;rf=Y</t>
        </is>
      </c>
      <c r="AA2521" s="0" t="inlineStr">
        <is>
          <t>서울시 강동구 암사동 505-10</t>
        </is>
      </c>
      <c r="AB2521" s="0" t="inlineStr">
        <is>
          <t>서울시</t>
        </is>
      </c>
      <c r="AC2521" s="0" t="inlineStr">
        <is>
          <t>강동구</t>
        </is>
      </c>
      <c r="AD2521" s="0" t="inlineStr">
        <is>
          <t>암사동</t>
        </is>
      </c>
      <c r="AG2521" s="0" t="inlineStr">
        <is>
          <t>서울시 강동구 올림픽로 819</t>
        </is>
      </c>
      <c r="AH2521" s="0" t="n">
        <v>23</v>
      </c>
      <c r="AI2521" s="0" t="n">
        <v>243</v>
      </c>
      <c r="AJ2521" s="0" t="n">
        <v>49</v>
      </c>
      <c r="AK2521" s="0" t="n">
        <v>13</v>
      </c>
      <c r="AL2521" s="0" t="n">
        <v>0.57</v>
      </c>
    </row>
    <row r="2522">
      <c r="A2522" s="0" t="inlineStr">
        <is>
          <t>[암사동]</t>
        </is>
      </c>
      <c r="B2522" s="0" t="n">
        <v>130499</v>
      </c>
      <c r="C2522" s="0" t="n">
        <v>2</v>
      </c>
      <c r="D2522" s="0" t="inlineStr">
        <is>
          <t>마일스톤(도시형)</t>
        </is>
      </c>
      <c r="E2522" s="0" t="inlineStr">
        <is>
          <t>2019.12.</t>
        </is>
      </c>
      <c r="F2522" s="0" t="n">
        <v>23</v>
      </c>
      <c r="G2522" s="0" t="n">
        <v>6.94</v>
      </c>
      <c r="H2522" s="0" t="n">
        <v>22.97</v>
      </c>
      <c r="I2522" s="0" t="n">
        <v>4.98</v>
      </c>
      <c r="J2522" s="0" t="n">
        <v>16.49</v>
      </c>
      <c r="K2522" s="0" t="n">
        <v>2</v>
      </c>
      <c r="T2522" s="0" t="n">
        <v>1</v>
      </c>
      <c r="U2522" s="0" t="n">
        <v>1</v>
      </c>
      <c r="V2522" s="0" t="inlineStr">
        <is>
          <t>계단식</t>
        </is>
      </c>
      <c r="W2522" s="0" t="inlineStr">
        <is>
          <t>22A</t>
        </is>
      </c>
      <c r="X2522" s="0" t="n">
        <v>6</v>
      </c>
      <c r="Y2522" s="0" t="n">
        <v>5</v>
      </c>
      <c r="Z2522" s="0" t="inlineStr">
        <is>
          <t>https://new.land.naver.com/complexes/130499?tab=detail&amp;rf=Y</t>
        </is>
      </c>
      <c r="AA2522" s="0" t="inlineStr">
        <is>
          <t>서울시 강동구 암사동 505-10</t>
        </is>
      </c>
      <c r="AB2522" s="0" t="inlineStr">
        <is>
          <t>서울시</t>
        </is>
      </c>
      <c r="AC2522" s="0" t="inlineStr">
        <is>
          <t>강동구</t>
        </is>
      </c>
      <c r="AD2522" s="0" t="inlineStr">
        <is>
          <t>암사동</t>
        </is>
      </c>
      <c r="AG2522" s="0" t="inlineStr">
        <is>
          <t>서울시 강동구 올림픽로 819</t>
        </is>
      </c>
      <c r="AH2522" s="0" t="n">
        <v>23</v>
      </c>
      <c r="AI2522" s="0" t="n">
        <v>243</v>
      </c>
      <c r="AJ2522" s="0" t="n">
        <v>49</v>
      </c>
      <c r="AK2522" s="0" t="n">
        <v>13</v>
      </c>
      <c r="AL2522" s="0" t="n">
        <v>0.57</v>
      </c>
    </row>
    <row r="2523">
      <c r="A2523" s="0" t="inlineStr">
        <is>
          <t>[암사동]</t>
        </is>
      </c>
      <c r="B2523" s="0" t="n">
        <v>130499</v>
      </c>
      <c r="C2523" s="0" t="n">
        <v>3</v>
      </c>
      <c r="D2523" s="0" t="inlineStr">
        <is>
          <t>마일스톤(도시형)</t>
        </is>
      </c>
      <c r="E2523" s="0" t="inlineStr">
        <is>
          <t>2019.12.</t>
        </is>
      </c>
      <c r="F2523" s="0" t="n">
        <v>23</v>
      </c>
      <c r="G2523" s="0" t="n">
        <v>7.08</v>
      </c>
      <c r="H2523" s="0" t="n">
        <v>23.41</v>
      </c>
      <c r="I2523" s="0" t="n">
        <v>5.07</v>
      </c>
      <c r="J2523" s="0" t="n">
        <v>16.79</v>
      </c>
      <c r="K2523" s="0" t="n">
        <v>5</v>
      </c>
      <c r="T2523" s="0" t="n">
        <v>1</v>
      </c>
      <c r="U2523" s="0" t="n">
        <v>1</v>
      </c>
      <c r="V2523" s="0" t="inlineStr">
        <is>
          <t>복도식</t>
        </is>
      </c>
      <c r="W2523" s="0" t="inlineStr">
        <is>
          <t>23B</t>
        </is>
      </c>
      <c r="X2523" s="0" t="n">
        <v>6</v>
      </c>
      <c r="Y2523" s="0" t="n">
        <v>5</v>
      </c>
      <c r="Z2523" s="0" t="inlineStr">
        <is>
          <t>https://new.land.naver.com/complexes/130499?tab=detail&amp;rf=Y</t>
        </is>
      </c>
      <c r="AA2523" s="0" t="inlineStr">
        <is>
          <t>서울시 강동구 암사동 505-10</t>
        </is>
      </c>
      <c r="AB2523" s="0" t="inlineStr">
        <is>
          <t>서울시</t>
        </is>
      </c>
      <c r="AC2523" s="0" t="inlineStr">
        <is>
          <t>강동구</t>
        </is>
      </c>
      <c r="AD2523" s="0" t="inlineStr">
        <is>
          <t>암사동</t>
        </is>
      </c>
      <c r="AG2523" s="0" t="inlineStr">
        <is>
          <t>서울시 강동구 올림픽로 819</t>
        </is>
      </c>
      <c r="AH2523" s="0" t="n">
        <v>23</v>
      </c>
      <c r="AI2523" s="0" t="n">
        <v>243</v>
      </c>
      <c r="AJ2523" s="0" t="n">
        <v>49</v>
      </c>
      <c r="AK2523" s="0" t="n">
        <v>13</v>
      </c>
      <c r="AL2523" s="0" t="n">
        <v>0.57</v>
      </c>
    </row>
    <row r="2524">
      <c r="A2524" s="0" t="inlineStr">
        <is>
          <t>[암사동]</t>
        </is>
      </c>
      <c r="B2524" s="0" t="n">
        <v>130499</v>
      </c>
      <c r="C2524" s="0" t="n">
        <v>4</v>
      </c>
      <c r="D2524" s="0" t="inlineStr">
        <is>
          <t>마일스톤(도시형)</t>
        </is>
      </c>
      <c r="E2524" s="0" t="inlineStr">
        <is>
          <t>2019.12.</t>
        </is>
      </c>
      <c r="F2524" s="0" t="n">
        <v>23</v>
      </c>
      <c r="G2524" s="0" t="n">
        <v>7.21</v>
      </c>
      <c r="H2524" s="0" t="n">
        <v>23.84</v>
      </c>
      <c r="I2524" s="0" t="n">
        <v>5.17</v>
      </c>
      <c r="J2524" s="0" t="n">
        <v>17.1</v>
      </c>
      <c r="K2524" s="0" t="n">
        <v>3</v>
      </c>
      <c r="T2524" s="0" t="n">
        <v>1</v>
      </c>
      <c r="U2524" s="0" t="n">
        <v>1</v>
      </c>
      <c r="V2524" s="0" t="inlineStr">
        <is>
          <t>복도식</t>
        </is>
      </c>
      <c r="W2524" s="0" t="inlineStr">
        <is>
          <t>23C</t>
        </is>
      </c>
      <c r="X2524" s="0" t="n">
        <v>6</v>
      </c>
      <c r="Y2524" s="0" t="n">
        <v>5</v>
      </c>
      <c r="Z2524" s="0" t="inlineStr">
        <is>
          <t>https://new.land.naver.com/complexes/130499?tab=detail&amp;rf=Y</t>
        </is>
      </c>
      <c r="AA2524" s="0" t="inlineStr">
        <is>
          <t>서울시 강동구 암사동 505-10</t>
        </is>
      </c>
      <c r="AB2524" s="0" t="inlineStr">
        <is>
          <t>서울시</t>
        </is>
      </c>
      <c r="AC2524" s="0" t="inlineStr">
        <is>
          <t>강동구</t>
        </is>
      </c>
      <c r="AD2524" s="0" t="inlineStr">
        <is>
          <t>암사동</t>
        </is>
      </c>
      <c r="AG2524" s="0" t="inlineStr">
        <is>
          <t>서울시 강동구 올림픽로 819</t>
        </is>
      </c>
      <c r="AH2524" s="0" t="n">
        <v>23</v>
      </c>
      <c r="AI2524" s="0" t="n">
        <v>243</v>
      </c>
      <c r="AJ2524" s="0" t="n">
        <v>49</v>
      </c>
      <c r="AK2524" s="0" t="n">
        <v>13</v>
      </c>
      <c r="AL2524" s="0" t="n">
        <v>0.57</v>
      </c>
    </row>
    <row r="2525">
      <c r="A2525" s="0" t="inlineStr">
        <is>
          <t>[암사동]</t>
        </is>
      </c>
      <c r="B2525" s="0" t="n">
        <v>130499</v>
      </c>
      <c r="C2525" s="0" t="n">
        <v>5</v>
      </c>
      <c r="D2525" s="0" t="inlineStr">
        <is>
          <t>마일스톤(도시형)</t>
        </is>
      </c>
      <c r="E2525" s="0" t="inlineStr">
        <is>
          <t>2019.12.</t>
        </is>
      </c>
      <c r="F2525" s="0" t="n">
        <v>23</v>
      </c>
      <c r="G2525" s="0" t="n">
        <v>7.29</v>
      </c>
      <c r="H2525" s="0" t="n">
        <v>24.11</v>
      </c>
      <c r="I2525" s="0" t="n">
        <v>5.23</v>
      </c>
      <c r="J2525" s="0" t="n">
        <v>17.29</v>
      </c>
      <c r="K2525" s="0" t="n">
        <v>3</v>
      </c>
      <c r="T2525" s="0" t="n">
        <v>1</v>
      </c>
      <c r="U2525" s="0" t="n">
        <v>1</v>
      </c>
      <c r="V2525" s="0" t="inlineStr">
        <is>
          <t>복도식</t>
        </is>
      </c>
      <c r="W2525" s="0" t="inlineStr">
        <is>
          <t>24D</t>
        </is>
      </c>
      <c r="X2525" s="0" t="n">
        <v>6</v>
      </c>
      <c r="Y2525" s="0" t="n">
        <v>5</v>
      </c>
      <c r="Z2525" s="0" t="inlineStr">
        <is>
          <t>https://new.land.naver.com/complexes/130499?tab=detail&amp;rf=Y</t>
        </is>
      </c>
      <c r="AA2525" s="0" t="inlineStr">
        <is>
          <t>서울시 강동구 암사동 505-10</t>
        </is>
      </c>
      <c r="AB2525" s="0" t="inlineStr">
        <is>
          <t>서울시</t>
        </is>
      </c>
      <c r="AC2525" s="0" t="inlineStr">
        <is>
          <t>강동구</t>
        </is>
      </c>
      <c r="AD2525" s="0" t="inlineStr">
        <is>
          <t>암사동</t>
        </is>
      </c>
      <c r="AG2525" s="0" t="inlineStr">
        <is>
          <t>서울시 강동구 올림픽로 819</t>
        </is>
      </c>
      <c r="AH2525" s="0" t="n">
        <v>23</v>
      </c>
      <c r="AI2525" s="0" t="n">
        <v>243</v>
      </c>
      <c r="AJ2525" s="0" t="n">
        <v>49</v>
      </c>
      <c r="AK2525" s="0" t="n">
        <v>13</v>
      </c>
      <c r="AL2525" s="0" t="n">
        <v>0.57</v>
      </c>
    </row>
    <row r="2526">
      <c r="A2526" s="0" t="inlineStr">
        <is>
          <t>[암사동]</t>
        </is>
      </c>
      <c r="B2526" s="0" t="n">
        <v>130499</v>
      </c>
      <c r="C2526" s="0" t="n">
        <v>6</v>
      </c>
      <c r="D2526" s="0" t="inlineStr">
        <is>
          <t>마일스톤(도시형)</t>
        </is>
      </c>
      <c r="E2526" s="0" t="inlineStr">
        <is>
          <t>2019.12.</t>
        </is>
      </c>
      <c r="F2526" s="0" t="n">
        <v>23</v>
      </c>
      <c r="G2526" s="0" t="n">
        <v>7.38</v>
      </c>
      <c r="H2526" s="0" t="n">
        <v>24.42</v>
      </c>
      <c r="I2526" s="0" t="n">
        <v>5.29</v>
      </c>
      <c r="J2526" s="0" t="n">
        <v>17.52</v>
      </c>
      <c r="K2526" s="0" t="n">
        <v>3</v>
      </c>
      <c r="T2526" s="0" t="n">
        <v>1</v>
      </c>
      <c r="U2526" s="0" t="n">
        <v>1</v>
      </c>
      <c r="V2526" s="0" t="inlineStr">
        <is>
          <t>계단식</t>
        </is>
      </c>
      <c r="W2526" s="0" t="inlineStr">
        <is>
          <t>24E</t>
        </is>
      </c>
      <c r="X2526" s="0" t="n">
        <v>6</v>
      </c>
      <c r="Y2526" s="0" t="n">
        <v>5</v>
      </c>
      <c r="Z2526" s="0" t="inlineStr">
        <is>
          <t>https://new.land.naver.com/complexes/130499?tab=detail&amp;rf=Y</t>
        </is>
      </c>
      <c r="AA2526" s="0" t="inlineStr">
        <is>
          <t>서울시 강동구 암사동 505-10</t>
        </is>
      </c>
      <c r="AB2526" s="0" t="inlineStr">
        <is>
          <t>서울시</t>
        </is>
      </c>
      <c r="AC2526" s="0" t="inlineStr">
        <is>
          <t>강동구</t>
        </is>
      </c>
      <c r="AD2526" s="0" t="inlineStr">
        <is>
          <t>암사동</t>
        </is>
      </c>
      <c r="AG2526" s="0" t="inlineStr">
        <is>
          <t>서울시 강동구 올림픽로 819</t>
        </is>
      </c>
      <c r="AH2526" s="0" t="n">
        <v>23</v>
      </c>
      <c r="AI2526" s="0" t="n">
        <v>243</v>
      </c>
      <c r="AJ2526" s="0" t="n">
        <v>49</v>
      </c>
      <c r="AK2526" s="0" t="n">
        <v>13</v>
      </c>
      <c r="AL2526" s="0" t="n">
        <v>0.57</v>
      </c>
    </row>
    <row r="2527">
      <c r="A2527" s="0" t="inlineStr">
        <is>
          <t>[암사동]</t>
        </is>
      </c>
      <c r="B2527" s="0" t="n">
        <v>130499</v>
      </c>
      <c r="C2527" s="0" t="n">
        <v>7</v>
      </c>
      <c r="D2527" s="0" t="inlineStr">
        <is>
          <t>마일스톤(도시형)</t>
        </is>
      </c>
      <c r="E2527" s="0" t="inlineStr">
        <is>
          <t>2019.12.</t>
        </is>
      </c>
      <c r="F2527" s="0" t="n">
        <v>23</v>
      </c>
      <c r="G2527" s="0" t="n">
        <v>8.18</v>
      </c>
      <c r="H2527" s="0" t="n">
        <v>27.07</v>
      </c>
      <c r="I2527" s="0" t="n">
        <v>5.87</v>
      </c>
      <c r="J2527" s="0" t="n">
        <v>19.43</v>
      </c>
      <c r="K2527" s="0" t="n">
        <v>3</v>
      </c>
      <c r="T2527" s="0" t="n">
        <v>1</v>
      </c>
      <c r="U2527" s="0" t="n">
        <v>1</v>
      </c>
      <c r="V2527" s="0" t="inlineStr">
        <is>
          <t>계단식</t>
        </is>
      </c>
      <c r="W2527" s="0" t="n">
        <v>27</v>
      </c>
      <c r="X2527" s="0" t="n">
        <v>6</v>
      </c>
      <c r="Y2527" s="0" t="n">
        <v>5</v>
      </c>
      <c r="Z2527" s="0" t="inlineStr">
        <is>
          <t>https://new.land.naver.com/complexes/130499?tab=detail&amp;rf=Y</t>
        </is>
      </c>
      <c r="AA2527" s="0" t="inlineStr">
        <is>
          <t>서울시 강동구 암사동 505-10</t>
        </is>
      </c>
      <c r="AB2527" s="0" t="inlineStr">
        <is>
          <t>서울시</t>
        </is>
      </c>
      <c r="AC2527" s="0" t="inlineStr">
        <is>
          <t>강동구</t>
        </is>
      </c>
      <c r="AD2527" s="0" t="inlineStr">
        <is>
          <t>암사동</t>
        </is>
      </c>
      <c r="AG2527" s="0" t="inlineStr">
        <is>
          <t>서울시 강동구 올림픽로 819</t>
        </is>
      </c>
      <c r="AH2527" s="0" t="n">
        <v>23</v>
      </c>
      <c r="AI2527" s="0" t="n">
        <v>243</v>
      </c>
      <c r="AJ2527" s="0" t="n">
        <v>49</v>
      </c>
      <c r="AK2527" s="0" t="n">
        <v>13</v>
      </c>
      <c r="AL2527" s="0" t="n">
        <v>0.57</v>
      </c>
    </row>
    <row r="2528">
      <c r="A2528" s="0" t="inlineStr">
        <is>
          <t>[암사동]</t>
        </is>
      </c>
      <c r="B2528" s="0" t="n">
        <v>130499</v>
      </c>
      <c r="C2528" s="0" t="n">
        <v>8</v>
      </c>
      <c r="D2528" s="0" t="inlineStr">
        <is>
          <t>마일스톤(도시형)</t>
        </is>
      </c>
      <c r="E2528" s="0" t="inlineStr">
        <is>
          <t>2019.12.</t>
        </is>
      </c>
      <c r="F2528" s="0" t="n">
        <v>23</v>
      </c>
      <c r="G2528" s="0" t="n">
        <v>14.02</v>
      </c>
      <c r="H2528" s="0" t="n">
        <v>46.38</v>
      </c>
      <c r="I2528" s="0" t="n">
        <v>10.06</v>
      </c>
      <c r="J2528" s="0" t="n">
        <v>33.28</v>
      </c>
      <c r="K2528" s="0" t="n">
        <v>1</v>
      </c>
      <c r="T2528" s="0" t="n">
        <v>1</v>
      </c>
      <c r="U2528" s="0" t="n">
        <v>1</v>
      </c>
      <c r="V2528" s="0" t="inlineStr">
        <is>
          <t>계단식</t>
        </is>
      </c>
      <c r="W2528" s="0" t="n">
        <v>46</v>
      </c>
      <c r="X2528" s="0" t="n">
        <v>6</v>
      </c>
      <c r="Y2528" s="0" t="n">
        <v>5</v>
      </c>
      <c r="Z2528" s="0" t="inlineStr">
        <is>
          <t>https://new.land.naver.com/complexes/130499?tab=detail&amp;rf=Y</t>
        </is>
      </c>
      <c r="AA2528" s="0" t="inlineStr">
        <is>
          <t>서울시 강동구 암사동 505-10</t>
        </is>
      </c>
      <c r="AB2528" s="0" t="inlineStr">
        <is>
          <t>서울시</t>
        </is>
      </c>
      <c r="AC2528" s="0" t="inlineStr">
        <is>
          <t>강동구</t>
        </is>
      </c>
      <c r="AD2528" s="0" t="inlineStr">
        <is>
          <t>암사동</t>
        </is>
      </c>
      <c r="AG2528" s="0" t="inlineStr">
        <is>
          <t>서울시 강동구 올림픽로 819</t>
        </is>
      </c>
      <c r="AH2528" s="0" t="n">
        <v>23</v>
      </c>
      <c r="AI2528" s="0" t="n">
        <v>243</v>
      </c>
      <c r="AJ2528" s="0" t="n">
        <v>49</v>
      </c>
      <c r="AK2528" s="0" t="n">
        <v>13</v>
      </c>
      <c r="AL2528" s="0" t="n">
        <v>0.57</v>
      </c>
    </row>
    <row r="2529">
      <c r="A2529" s="0" t="inlineStr">
        <is>
          <t>[암사동]</t>
        </is>
      </c>
      <c r="B2529" s="0" t="n">
        <v>24253</v>
      </c>
      <c r="C2529" s="0" t="n">
        <v>1</v>
      </c>
      <c r="D2529" s="0" t="inlineStr">
        <is>
          <t>풍천</t>
        </is>
      </c>
      <c r="E2529" s="0" t="inlineStr">
        <is>
          <t>2003.03.</t>
        </is>
      </c>
      <c r="F2529" s="0" t="n">
        <v>6</v>
      </c>
      <c r="G2529" s="0" t="n">
        <v>32.31</v>
      </c>
      <c r="H2529" s="0" t="n">
        <v>106.83</v>
      </c>
      <c r="I2529" s="0" t="n">
        <v>26.55</v>
      </c>
      <c r="J2529" s="0" t="n">
        <v>87.77</v>
      </c>
      <c r="K2529" s="0" t="n">
        <v>1</v>
      </c>
      <c r="T2529" s="0" t="n">
        <v>3</v>
      </c>
      <c r="U2529" s="0" t="n">
        <v>2</v>
      </c>
      <c r="V2529" s="0" t="inlineStr">
        <is>
          <t>계단식</t>
        </is>
      </c>
      <c r="W2529" s="0" t="n">
        <v>106</v>
      </c>
      <c r="X2529" s="0" t="n">
        <v>7</v>
      </c>
      <c r="Y2529" s="0" t="n">
        <v>7</v>
      </c>
      <c r="Z2529" s="0" t="inlineStr">
        <is>
          <t>https://new.land.naver.com/complexes/24253?tab=detail&amp;rf=Y</t>
        </is>
      </c>
      <c r="AA2529" s="0" t="inlineStr">
        <is>
          <t>서울시 강동구 암사동 440-7</t>
        </is>
      </c>
      <c r="AB2529" s="0" t="inlineStr">
        <is>
          <t>서울시</t>
        </is>
      </c>
      <c r="AC2529" s="0" t="inlineStr">
        <is>
          <t>강동구</t>
        </is>
      </c>
      <c r="AD2529" s="0" t="inlineStr">
        <is>
          <t>암사동</t>
        </is>
      </c>
      <c r="AG2529" s="0" t="inlineStr">
        <is>
          <t>서울시 강동구 올림픽로104길 21</t>
        </is>
      </c>
      <c r="AH2529" s="0" t="n">
        <v>0</v>
      </c>
      <c r="AI2529" s="0" t="n">
        <v>284</v>
      </c>
      <c r="AJ2529" s="0" t="n">
        <v>46</v>
      </c>
      <c r="AK2529" s="0" t="n">
        <v>6</v>
      </c>
      <c r="AL2529" s="0" t="n">
        <v>1</v>
      </c>
    </row>
    <row r="2530">
      <c r="A2530" s="0" t="inlineStr">
        <is>
          <t>[암사동]</t>
        </is>
      </c>
      <c r="B2530" s="0" t="n">
        <v>24253</v>
      </c>
      <c r="C2530" s="0" t="n">
        <v>2</v>
      </c>
      <c r="D2530" s="0" t="inlineStr">
        <is>
          <t>풍천</t>
        </is>
      </c>
      <c r="E2530" s="0" t="inlineStr">
        <is>
          <t>2003.03.</t>
        </is>
      </c>
      <c r="F2530" s="0" t="n">
        <v>6</v>
      </c>
      <c r="G2530" s="0" t="n">
        <v>33.23</v>
      </c>
      <c r="H2530" s="0" t="n">
        <v>109.86</v>
      </c>
      <c r="I2530" s="0" t="n">
        <v>27.3</v>
      </c>
      <c r="J2530" s="0" t="n">
        <v>90.27</v>
      </c>
      <c r="K2530" s="0" t="n">
        <v>5</v>
      </c>
      <c r="T2530" s="0" t="n">
        <v>3</v>
      </c>
      <c r="U2530" s="0" t="n">
        <v>2</v>
      </c>
      <c r="V2530" s="0" t="inlineStr">
        <is>
          <t>복도식</t>
        </is>
      </c>
      <c r="W2530" s="0" t="n">
        <v>109</v>
      </c>
      <c r="X2530" s="0" t="n">
        <v>7</v>
      </c>
      <c r="Y2530" s="0" t="n">
        <v>7</v>
      </c>
      <c r="Z2530" s="0" t="inlineStr">
        <is>
          <t>https://new.land.naver.com/complexes/24253?tab=detail&amp;rf=Y</t>
        </is>
      </c>
      <c r="AA2530" s="0" t="inlineStr">
        <is>
          <t>서울시 강동구 암사동 440-7</t>
        </is>
      </c>
      <c r="AB2530" s="0" t="inlineStr">
        <is>
          <t>서울시</t>
        </is>
      </c>
      <c r="AC2530" s="0" t="inlineStr">
        <is>
          <t>강동구</t>
        </is>
      </c>
      <c r="AD2530" s="0" t="inlineStr">
        <is>
          <t>암사동</t>
        </is>
      </c>
      <c r="AG2530" s="0" t="inlineStr">
        <is>
          <t>서울시 강동구 올림픽로104길 21</t>
        </is>
      </c>
      <c r="AH2530" s="0" t="n">
        <v>0</v>
      </c>
      <c r="AI2530" s="0" t="n">
        <v>284</v>
      </c>
      <c r="AJ2530" s="0" t="n">
        <v>46</v>
      </c>
      <c r="AK2530" s="0" t="n">
        <v>6</v>
      </c>
      <c r="AL2530" s="0" t="n">
        <v>1</v>
      </c>
    </row>
    <row r="2531">
      <c r="A2531" s="0" t="inlineStr">
        <is>
          <t>[암사동]</t>
        </is>
      </c>
      <c r="B2531" s="0" t="n">
        <v>122936</v>
      </c>
      <c r="C2531" s="0" t="n">
        <v>1</v>
      </c>
      <c r="D2531" s="0" t="inlineStr">
        <is>
          <t>까사806(도시형)</t>
        </is>
      </c>
      <c r="E2531" s="0" t="inlineStr">
        <is>
          <t>2018.08.</t>
        </is>
      </c>
      <c r="F2531" s="0" t="n">
        <v>20</v>
      </c>
      <c r="G2531" s="0" t="n">
        <v>9.949999999999999</v>
      </c>
      <c r="H2531" s="0" t="n">
        <v>32.91</v>
      </c>
      <c r="I2531" s="0" t="n">
        <v>5.48</v>
      </c>
      <c r="J2531" s="0" t="n">
        <v>18.13</v>
      </c>
      <c r="K2531" s="0" t="n">
        <v>20</v>
      </c>
      <c r="T2531" s="0" t="n">
        <v>1</v>
      </c>
      <c r="U2531" s="0" t="n">
        <v>1</v>
      </c>
      <c r="V2531" s="0" t="inlineStr">
        <is>
          <t>복도식</t>
        </is>
      </c>
      <c r="W2531" s="0" t="n">
        <v>32</v>
      </c>
      <c r="X2531" s="0" t="n">
        <v>6</v>
      </c>
      <c r="Y2531" s="0" t="n">
        <v>6</v>
      </c>
      <c r="Z2531" s="0" t="inlineStr">
        <is>
          <t>https://new.land.naver.com/complexes/122936?tab=detail&amp;rf=Y</t>
        </is>
      </c>
      <c r="AA2531" s="0" t="inlineStr">
        <is>
          <t>서울시 강동구 암사동 463-4</t>
        </is>
      </c>
      <c r="AB2531" s="0" t="inlineStr">
        <is>
          <t>서울시</t>
        </is>
      </c>
      <c r="AC2531" s="0" t="inlineStr">
        <is>
          <t>강동구</t>
        </is>
      </c>
      <c r="AD2531" s="0" t="inlineStr">
        <is>
          <t>암사동</t>
        </is>
      </c>
      <c r="AG2531" s="0" t="inlineStr">
        <is>
          <t>서울시 강동구 올림픽로 806</t>
        </is>
      </c>
      <c r="AH2531" s="0" t="n">
        <v>0</v>
      </c>
      <c r="AI2531" s="0" t="n">
        <v>249</v>
      </c>
      <c r="AJ2531" s="0" t="n">
        <v>49</v>
      </c>
      <c r="AK2531" s="0" t="n">
        <v>12</v>
      </c>
      <c r="AL2531" s="0" t="n">
        <v>0.6</v>
      </c>
    </row>
    <row r="2532">
      <c r="A2532" s="0" t="inlineStr">
        <is>
          <t>[암사동]</t>
        </is>
      </c>
      <c r="B2532" s="0" t="n">
        <v>111897</v>
      </c>
      <c r="C2532" s="0" t="n">
        <v>1</v>
      </c>
      <c r="D2532" s="0" t="inlineStr">
        <is>
          <t>다성이즈빌(459-1)</t>
        </is>
      </c>
      <c r="E2532" s="0" t="inlineStr">
        <is>
          <t>2016.02.</t>
        </is>
      </c>
      <c r="F2532" s="0" t="n">
        <v>33</v>
      </c>
      <c r="G2532" s="0" t="n">
        <v>11.85</v>
      </c>
      <c r="H2532" s="0" t="n">
        <v>39.19</v>
      </c>
      <c r="I2532" s="0" t="n">
        <v>8.9</v>
      </c>
      <c r="J2532" s="0" t="n">
        <v>29.45</v>
      </c>
      <c r="K2532" s="0" t="n">
        <v>11</v>
      </c>
      <c r="T2532" s="0" t="n">
        <v>3</v>
      </c>
      <c r="U2532" s="0" t="n">
        <v>1</v>
      </c>
      <c r="V2532" s="0" t="inlineStr">
        <is>
          <t>계단식</t>
        </is>
      </c>
      <c r="W2532" s="0" t="n">
        <v>39</v>
      </c>
      <c r="X2532" s="0" t="n">
        <v>12</v>
      </c>
      <c r="Y2532" s="0" t="n">
        <v>12</v>
      </c>
      <c r="Z2532" s="0" t="inlineStr">
        <is>
          <t>https://new.land.naver.com/complexes/111897?tab=detail&amp;rf=Y</t>
        </is>
      </c>
      <c r="AA2532" s="0" t="inlineStr">
        <is>
          <t>서울시 강동구 암사동 459-1</t>
        </is>
      </c>
      <c r="AB2532" s="0" t="inlineStr">
        <is>
          <t>서울시</t>
        </is>
      </c>
      <c r="AC2532" s="0" t="inlineStr">
        <is>
          <t>강동구</t>
        </is>
      </c>
      <c r="AD2532" s="0" t="inlineStr">
        <is>
          <t>암사동</t>
        </is>
      </c>
      <c r="AG2532" s="0" t="inlineStr">
        <is>
          <t>서울시 강동구 고덕로 64</t>
        </is>
      </c>
      <c r="AH2532" s="0" t="n">
        <v>0</v>
      </c>
      <c r="AI2532" s="0" t="n">
        <v>199</v>
      </c>
      <c r="AJ2532" s="0" t="n">
        <v>25</v>
      </c>
      <c r="AK2532" s="0" t="n">
        <v>26</v>
      </c>
      <c r="AL2532" s="0" t="n">
        <v>0.79</v>
      </c>
    </row>
    <row r="2533">
      <c r="A2533" s="0" t="inlineStr">
        <is>
          <t>[암사동]</t>
        </is>
      </c>
      <c r="B2533" s="0" t="n">
        <v>111897</v>
      </c>
      <c r="C2533" s="0" t="n">
        <v>2</v>
      </c>
      <c r="D2533" s="0" t="inlineStr">
        <is>
          <t>다성이즈빌(459-1)</t>
        </is>
      </c>
      <c r="E2533" s="0" t="inlineStr">
        <is>
          <t>2016.02.</t>
        </is>
      </c>
      <c r="F2533" s="0" t="n">
        <v>33</v>
      </c>
      <c r="G2533" s="0" t="n">
        <v>20.78</v>
      </c>
      <c r="H2533" s="0" t="n">
        <v>68.70999999999999</v>
      </c>
      <c r="I2533" s="0" t="n">
        <v>16.1</v>
      </c>
      <c r="J2533" s="0" t="n">
        <v>53.23</v>
      </c>
      <c r="K2533" s="0" t="n">
        <v>11</v>
      </c>
      <c r="T2533" s="0" t="n">
        <v>3</v>
      </c>
      <c r="U2533" s="0" t="n">
        <v>2</v>
      </c>
      <c r="V2533" s="0" t="inlineStr">
        <is>
          <t>계단식</t>
        </is>
      </c>
      <c r="W2533" s="0" t="n">
        <v>68</v>
      </c>
      <c r="X2533" s="0" t="n">
        <v>12</v>
      </c>
      <c r="Y2533" s="0" t="n">
        <v>12</v>
      </c>
      <c r="Z2533" s="0" t="inlineStr">
        <is>
          <t>https://new.land.naver.com/complexes/111897?tab=detail&amp;rf=Y</t>
        </is>
      </c>
      <c r="AA2533" s="0" t="inlineStr">
        <is>
          <t>서울시 강동구 암사동 459-1</t>
        </is>
      </c>
      <c r="AB2533" s="0" t="inlineStr">
        <is>
          <t>서울시</t>
        </is>
      </c>
      <c r="AC2533" s="0" t="inlineStr">
        <is>
          <t>강동구</t>
        </is>
      </c>
      <c r="AD2533" s="0" t="inlineStr">
        <is>
          <t>암사동</t>
        </is>
      </c>
      <c r="AG2533" s="0" t="inlineStr">
        <is>
          <t>서울시 강동구 고덕로 64</t>
        </is>
      </c>
      <c r="AH2533" s="0" t="n">
        <v>0</v>
      </c>
      <c r="AI2533" s="0" t="n">
        <v>199</v>
      </c>
      <c r="AJ2533" s="0" t="n">
        <v>25</v>
      </c>
      <c r="AK2533" s="0" t="n">
        <v>26</v>
      </c>
      <c r="AL2533" s="0" t="n">
        <v>0.79</v>
      </c>
    </row>
    <row r="2534">
      <c r="A2534" s="0" t="inlineStr">
        <is>
          <t>[암사동]</t>
        </is>
      </c>
      <c r="B2534" s="0" t="n">
        <v>111897</v>
      </c>
      <c r="C2534" s="0" t="n">
        <v>3</v>
      </c>
      <c r="D2534" s="0" t="inlineStr">
        <is>
          <t>다성이즈빌(459-1)</t>
        </is>
      </c>
      <c r="E2534" s="0" t="inlineStr">
        <is>
          <t>2016.02.</t>
        </is>
      </c>
      <c r="F2534" s="0" t="n">
        <v>33</v>
      </c>
      <c r="G2534" s="0" t="n">
        <v>22.91</v>
      </c>
      <c r="H2534" s="0" t="n">
        <v>75.73999999999999</v>
      </c>
      <c r="I2534" s="0" t="n">
        <v>17.81</v>
      </c>
      <c r="J2534" s="0" t="n">
        <v>58.88</v>
      </c>
      <c r="K2534" s="0" t="n">
        <v>11</v>
      </c>
      <c r="T2534" s="0" t="n">
        <v>3</v>
      </c>
      <c r="U2534" s="0" t="n">
        <v>2</v>
      </c>
      <c r="V2534" s="0" t="inlineStr">
        <is>
          <t>계단식</t>
        </is>
      </c>
      <c r="W2534" s="0" t="n">
        <v>75</v>
      </c>
      <c r="X2534" s="0" t="n">
        <v>12</v>
      </c>
      <c r="Y2534" s="0" t="n">
        <v>12</v>
      </c>
      <c r="Z2534" s="0" t="inlineStr">
        <is>
          <t>https://new.land.naver.com/complexes/111897?tab=detail&amp;rf=Y</t>
        </is>
      </c>
      <c r="AA2534" s="0" t="inlineStr">
        <is>
          <t>서울시 강동구 암사동 459-1</t>
        </is>
      </c>
      <c r="AB2534" s="0" t="inlineStr">
        <is>
          <t>서울시</t>
        </is>
      </c>
      <c r="AC2534" s="0" t="inlineStr">
        <is>
          <t>강동구</t>
        </is>
      </c>
      <c r="AD2534" s="0" t="inlineStr">
        <is>
          <t>암사동</t>
        </is>
      </c>
      <c r="AG2534" s="0" t="inlineStr">
        <is>
          <t>서울시 강동구 고덕로 64</t>
        </is>
      </c>
      <c r="AH2534" s="0" t="n">
        <v>0</v>
      </c>
      <c r="AI2534" s="0" t="n">
        <v>199</v>
      </c>
      <c r="AJ2534" s="0" t="n">
        <v>25</v>
      </c>
      <c r="AK2534" s="0" t="n">
        <v>26</v>
      </c>
      <c r="AL2534" s="0" t="n">
        <v>0.79</v>
      </c>
    </row>
    <row r="2535">
      <c r="A2535" s="0" t="inlineStr">
        <is>
          <t>[암사동]</t>
        </is>
      </c>
      <c r="B2535" s="0" t="n">
        <v>904</v>
      </c>
      <c r="C2535" s="0" t="n">
        <v>1</v>
      </c>
      <c r="D2535" s="0" t="inlineStr">
        <is>
          <t>중앙하이츠</t>
        </is>
      </c>
      <c r="E2535" s="0" t="inlineStr">
        <is>
          <t>1998.07.</t>
        </is>
      </c>
      <c r="F2535" s="0" t="n">
        <v>126</v>
      </c>
      <c r="G2535" s="0" t="n">
        <v>21.38</v>
      </c>
      <c r="H2535" s="0" t="n">
        <v>70.70999999999999</v>
      </c>
      <c r="I2535" s="0" t="n">
        <v>16.01</v>
      </c>
      <c r="J2535" s="0" t="n">
        <v>52.94</v>
      </c>
      <c r="K2535" s="0" t="n">
        <v>8</v>
      </c>
      <c r="T2535" s="0" t="n">
        <v>2</v>
      </c>
      <c r="U2535" s="0" t="n">
        <v>1</v>
      </c>
      <c r="V2535" s="0" t="inlineStr">
        <is>
          <t>복도식</t>
        </is>
      </c>
      <c r="W2535" s="0" t="n">
        <v>70</v>
      </c>
      <c r="X2535" s="0" t="n">
        <v>11</v>
      </c>
      <c r="Y2535" s="0" t="n">
        <v>8</v>
      </c>
      <c r="Z2535" s="0" t="inlineStr">
        <is>
          <t>https://new.land.naver.com/complexes/904?tab=detail&amp;rf=Y</t>
        </is>
      </c>
      <c r="AA2535" s="0" t="inlineStr">
        <is>
          <t>서울시 강동구 암사동 493-14</t>
        </is>
      </c>
      <c r="AB2535" s="0" t="inlineStr">
        <is>
          <t>서울시</t>
        </is>
      </c>
      <c r="AC2535" s="0" t="inlineStr">
        <is>
          <t>강동구</t>
        </is>
      </c>
      <c r="AD2535" s="0" t="inlineStr">
        <is>
          <t>암사동</t>
        </is>
      </c>
      <c r="AG2535" s="0" t="inlineStr">
        <is>
          <t>서울시 강동구 올림픽로98가길 47</t>
        </is>
      </c>
      <c r="AH2535" s="0" t="n">
        <v>0</v>
      </c>
      <c r="AI2535" s="0" t="n">
        <v>278</v>
      </c>
      <c r="AJ2535" s="0" t="n">
        <v>30</v>
      </c>
      <c r="AK2535" s="0" t="n">
        <v>137</v>
      </c>
      <c r="AL2535" s="0" t="n">
        <v>1.09</v>
      </c>
    </row>
    <row r="2536">
      <c r="A2536" s="0" t="inlineStr">
        <is>
          <t>[암사동]</t>
        </is>
      </c>
      <c r="B2536" s="0" t="n">
        <v>904</v>
      </c>
      <c r="C2536" s="0" t="n">
        <v>2</v>
      </c>
      <c r="D2536" s="0" t="inlineStr">
        <is>
          <t>중앙하이츠</t>
        </is>
      </c>
      <c r="E2536" s="0" t="inlineStr">
        <is>
          <t>1998.07.</t>
        </is>
      </c>
      <c r="F2536" s="0" t="n">
        <v>126</v>
      </c>
      <c r="G2536" s="0" t="n">
        <v>24.04</v>
      </c>
      <c r="H2536" s="0" t="n">
        <v>79.48999999999999</v>
      </c>
      <c r="I2536" s="0" t="n">
        <v>18</v>
      </c>
      <c r="J2536" s="0" t="n">
        <v>59.52</v>
      </c>
      <c r="K2536" s="0" t="n">
        <v>107</v>
      </c>
      <c r="T2536" s="0" t="n">
        <v>3</v>
      </c>
      <c r="U2536" s="0" t="n">
        <v>1</v>
      </c>
      <c r="V2536" s="0" t="inlineStr">
        <is>
          <t>복도식</t>
        </is>
      </c>
      <c r="W2536" s="0" t="n">
        <v>79</v>
      </c>
      <c r="X2536" s="0" t="n">
        <v>11</v>
      </c>
      <c r="Y2536" s="0" t="n">
        <v>8</v>
      </c>
      <c r="Z2536" s="0" t="inlineStr">
        <is>
          <t>https://new.land.naver.com/complexes/904?tab=detail&amp;rf=Y</t>
        </is>
      </c>
      <c r="AA2536" s="0" t="inlineStr">
        <is>
          <t>서울시 강동구 암사동 493-14</t>
        </is>
      </c>
      <c r="AB2536" s="0" t="inlineStr">
        <is>
          <t>서울시</t>
        </is>
      </c>
      <c r="AC2536" s="0" t="inlineStr">
        <is>
          <t>강동구</t>
        </is>
      </c>
      <c r="AD2536" s="0" t="inlineStr">
        <is>
          <t>암사동</t>
        </is>
      </c>
      <c r="AG2536" s="0" t="inlineStr">
        <is>
          <t>서울시 강동구 올림픽로98가길 47</t>
        </is>
      </c>
      <c r="AH2536" s="0" t="n">
        <v>0</v>
      </c>
      <c r="AI2536" s="0" t="n">
        <v>278</v>
      </c>
      <c r="AJ2536" s="0" t="n">
        <v>30</v>
      </c>
      <c r="AK2536" s="0" t="n">
        <v>137</v>
      </c>
      <c r="AL2536" s="0" t="n">
        <v>1.09</v>
      </c>
    </row>
    <row r="2537">
      <c r="A2537" s="0" t="inlineStr">
        <is>
          <t>[암사동]</t>
        </is>
      </c>
      <c r="B2537" s="0" t="n">
        <v>904</v>
      </c>
      <c r="C2537" s="0" t="n">
        <v>3</v>
      </c>
      <c r="D2537" s="0" t="inlineStr">
        <is>
          <t>중앙하이츠</t>
        </is>
      </c>
      <c r="E2537" s="0" t="inlineStr">
        <is>
          <t>1998.07.</t>
        </is>
      </c>
      <c r="F2537" s="0" t="n">
        <v>126</v>
      </c>
      <c r="G2537" s="0" t="n">
        <v>42.16</v>
      </c>
      <c r="H2537" s="0" t="n">
        <v>139.38</v>
      </c>
      <c r="I2537" s="0" t="n">
        <v>31.56</v>
      </c>
      <c r="J2537" s="0" t="n">
        <v>104.36</v>
      </c>
      <c r="K2537" s="0" t="n">
        <v>11</v>
      </c>
      <c r="T2537" s="0" t="n">
        <v>4</v>
      </c>
      <c r="U2537" s="0" t="n">
        <v>2</v>
      </c>
      <c r="V2537" s="0" t="inlineStr">
        <is>
          <t>복도식</t>
        </is>
      </c>
      <c r="W2537" s="0" t="n">
        <v>139</v>
      </c>
      <c r="X2537" s="0" t="n">
        <v>11</v>
      </c>
      <c r="Y2537" s="0" t="n">
        <v>8</v>
      </c>
      <c r="Z2537" s="0" t="inlineStr">
        <is>
          <t>https://new.land.naver.com/complexes/904?tab=detail&amp;rf=Y</t>
        </is>
      </c>
      <c r="AA2537" s="0" t="inlineStr">
        <is>
          <t>서울시 강동구 암사동 493-14</t>
        </is>
      </c>
      <c r="AB2537" s="0" t="inlineStr">
        <is>
          <t>서울시</t>
        </is>
      </c>
      <c r="AC2537" s="0" t="inlineStr">
        <is>
          <t>강동구</t>
        </is>
      </c>
      <c r="AD2537" s="0" t="inlineStr">
        <is>
          <t>암사동</t>
        </is>
      </c>
      <c r="AG2537" s="0" t="inlineStr">
        <is>
          <t>서울시 강동구 올림픽로98가길 47</t>
        </is>
      </c>
      <c r="AH2537" s="0" t="n">
        <v>0</v>
      </c>
      <c r="AI2537" s="0" t="n">
        <v>278</v>
      </c>
      <c r="AJ2537" s="0" t="n">
        <v>30</v>
      </c>
      <c r="AK2537" s="0" t="n">
        <v>137</v>
      </c>
      <c r="AL2537" s="0" t="n">
        <v>1.09</v>
      </c>
    </row>
    <row r="2538">
      <c r="A2538" s="0" t="inlineStr">
        <is>
          <t>[암사동]</t>
        </is>
      </c>
      <c r="B2538" s="0" t="n">
        <v>15511</v>
      </c>
      <c r="C2538" s="0" t="n">
        <v>1</v>
      </c>
      <c r="D2538" s="0" t="inlineStr">
        <is>
          <t>한건새봄</t>
        </is>
      </c>
      <c r="E2538" s="0" t="inlineStr">
        <is>
          <t>2001.07.</t>
        </is>
      </c>
      <c r="F2538" s="0" t="n">
        <v>34</v>
      </c>
      <c r="G2538" s="0" t="n">
        <v>27.76</v>
      </c>
      <c r="H2538" s="0" t="n">
        <v>91.79000000000001</v>
      </c>
      <c r="I2538" s="0" t="n">
        <v>21.57</v>
      </c>
      <c r="J2538" s="0" t="n">
        <v>71.31</v>
      </c>
      <c r="K2538" s="0" t="n">
        <v>1</v>
      </c>
      <c r="T2538" s="0" t="n">
        <v>3</v>
      </c>
      <c r="U2538" s="0" t="n">
        <v>2</v>
      </c>
      <c r="V2538" s="0" t="inlineStr">
        <is>
          <t>복도식</t>
        </is>
      </c>
      <c r="W2538" s="0" t="n">
        <v>91</v>
      </c>
      <c r="X2538" s="0" t="n">
        <v>7</v>
      </c>
      <c r="Y2538" s="0" t="n">
        <v>7</v>
      </c>
      <c r="Z2538" s="0" t="inlineStr">
        <is>
          <t>https://new.land.naver.com/complexes/15511?tab=detail&amp;rf=Y</t>
        </is>
      </c>
      <c r="AA2538" s="0" t="inlineStr">
        <is>
          <t>서울시 강동구 암사동 504-8</t>
        </is>
      </c>
      <c r="AB2538" s="0" t="inlineStr">
        <is>
          <t>서울시</t>
        </is>
      </c>
      <c r="AC2538" s="0" t="inlineStr">
        <is>
          <t>강동구</t>
        </is>
      </c>
      <c r="AD2538" s="0" t="inlineStr">
        <is>
          <t>암사동</t>
        </is>
      </c>
      <c r="AG2538" s="0" t="inlineStr">
        <is>
          <t>서울시 강동구 상암로3길 54</t>
        </is>
      </c>
      <c r="AH2538" s="0" t="n">
        <v>0</v>
      </c>
      <c r="AI2538" s="0" t="n">
        <v>298</v>
      </c>
      <c r="AJ2538" s="0" t="n">
        <v>50</v>
      </c>
      <c r="AK2538" s="0" t="n">
        <v>35</v>
      </c>
      <c r="AL2538" s="0" t="n">
        <v>1.03</v>
      </c>
    </row>
    <row r="2539">
      <c r="A2539" s="0" t="inlineStr">
        <is>
          <t>[암사동]</t>
        </is>
      </c>
      <c r="B2539" s="0" t="n">
        <v>15511</v>
      </c>
      <c r="C2539" s="0" t="n">
        <v>2</v>
      </c>
      <c r="D2539" s="0" t="inlineStr">
        <is>
          <t>한건새봄</t>
        </is>
      </c>
      <c r="E2539" s="0" t="inlineStr">
        <is>
          <t>2001.07.</t>
        </is>
      </c>
      <c r="F2539" s="0" t="n">
        <v>34</v>
      </c>
      <c r="G2539" s="0" t="n">
        <v>32.47</v>
      </c>
      <c r="H2539" s="0" t="n">
        <v>107.34</v>
      </c>
      <c r="I2539" s="0" t="n">
        <v>25.22</v>
      </c>
      <c r="J2539" s="0" t="n">
        <v>83.39</v>
      </c>
      <c r="K2539" s="0" t="n">
        <v>6</v>
      </c>
      <c r="T2539" s="0" t="n">
        <v>3</v>
      </c>
      <c r="U2539" s="0" t="n">
        <v>2</v>
      </c>
      <c r="V2539" s="0" t="inlineStr">
        <is>
          <t>복도식</t>
        </is>
      </c>
      <c r="W2539" s="0" t="inlineStr">
        <is>
          <t>107A</t>
        </is>
      </c>
      <c r="X2539" s="0" t="n">
        <v>7</v>
      </c>
      <c r="Y2539" s="0" t="n">
        <v>7</v>
      </c>
      <c r="Z2539" s="0" t="inlineStr">
        <is>
          <t>https://new.land.naver.com/complexes/15511?tab=detail&amp;rf=Y</t>
        </is>
      </c>
      <c r="AA2539" s="0" t="inlineStr">
        <is>
          <t>서울시 강동구 암사동 504-8</t>
        </is>
      </c>
      <c r="AB2539" s="0" t="inlineStr">
        <is>
          <t>서울시</t>
        </is>
      </c>
      <c r="AC2539" s="0" t="inlineStr">
        <is>
          <t>강동구</t>
        </is>
      </c>
      <c r="AD2539" s="0" t="inlineStr">
        <is>
          <t>암사동</t>
        </is>
      </c>
      <c r="AG2539" s="0" t="inlineStr">
        <is>
          <t>서울시 강동구 상암로3길 54</t>
        </is>
      </c>
      <c r="AH2539" s="0" t="n">
        <v>0</v>
      </c>
      <c r="AI2539" s="0" t="n">
        <v>298</v>
      </c>
      <c r="AJ2539" s="0" t="n">
        <v>50</v>
      </c>
      <c r="AK2539" s="0" t="n">
        <v>35</v>
      </c>
      <c r="AL2539" s="0" t="n">
        <v>1.03</v>
      </c>
    </row>
    <row r="2540">
      <c r="A2540" s="0" t="inlineStr">
        <is>
          <t>[암사동]</t>
        </is>
      </c>
      <c r="B2540" s="0" t="n">
        <v>15511</v>
      </c>
      <c r="C2540" s="0" t="n">
        <v>3</v>
      </c>
      <c r="D2540" s="0" t="inlineStr">
        <is>
          <t>한건새봄</t>
        </is>
      </c>
      <c r="E2540" s="0" t="inlineStr">
        <is>
          <t>2001.07.</t>
        </is>
      </c>
      <c r="F2540" s="0" t="n">
        <v>34</v>
      </c>
      <c r="G2540" s="0" t="n">
        <v>32.5</v>
      </c>
      <c r="H2540" s="0" t="n">
        <v>107.45</v>
      </c>
      <c r="I2540" s="0" t="n">
        <v>25.25</v>
      </c>
      <c r="J2540" s="0" t="n">
        <v>83.48</v>
      </c>
      <c r="K2540" s="0" t="n">
        <v>5</v>
      </c>
      <c r="T2540" s="0" t="n">
        <v>3</v>
      </c>
      <c r="U2540" s="0" t="n">
        <v>2</v>
      </c>
      <c r="V2540" s="0" t="inlineStr">
        <is>
          <t>복도식</t>
        </is>
      </c>
      <c r="W2540" s="0" t="inlineStr">
        <is>
          <t>107C</t>
        </is>
      </c>
      <c r="X2540" s="0" t="n">
        <v>7</v>
      </c>
      <c r="Y2540" s="0" t="n">
        <v>7</v>
      </c>
      <c r="Z2540" s="0" t="inlineStr">
        <is>
          <t>https://new.land.naver.com/complexes/15511?tab=detail&amp;rf=Y</t>
        </is>
      </c>
      <c r="AA2540" s="0" t="inlineStr">
        <is>
          <t>서울시 강동구 암사동 504-8</t>
        </is>
      </c>
      <c r="AB2540" s="0" t="inlineStr">
        <is>
          <t>서울시</t>
        </is>
      </c>
      <c r="AC2540" s="0" t="inlineStr">
        <is>
          <t>강동구</t>
        </is>
      </c>
      <c r="AD2540" s="0" t="inlineStr">
        <is>
          <t>암사동</t>
        </is>
      </c>
      <c r="AG2540" s="0" t="inlineStr">
        <is>
          <t>서울시 강동구 상암로3길 54</t>
        </is>
      </c>
      <c r="AH2540" s="0" t="n">
        <v>0</v>
      </c>
      <c r="AI2540" s="0" t="n">
        <v>298</v>
      </c>
      <c r="AJ2540" s="0" t="n">
        <v>50</v>
      </c>
      <c r="AK2540" s="0" t="n">
        <v>35</v>
      </c>
      <c r="AL2540" s="0" t="n">
        <v>1.03</v>
      </c>
    </row>
    <row r="2541">
      <c r="A2541" s="0" t="inlineStr">
        <is>
          <t>[암사동]</t>
        </is>
      </c>
      <c r="B2541" s="0" t="n">
        <v>15511</v>
      </c>
      <c r="C2541" s="0" t="n">
        <v>4</v>
      </c>
      <c r="D2541" s="0" t="inlineStr">
        <is>
          <t>한건새봄</t>
        </is>
      </c>
      <c r="E2541" s="0" t="inlineStr">
        <is>
          <t>2001.07.</t>
        </is>
      </c>
      <c r="F2541" s="0" t="n">
        <v>34</v>
      </c>
      <c r="G2541" s="0" t="n">
        <v>33.03</v>
      </c>
      <c r="H2541" s="0" t="n">
        <v>109.2</v>
      </c>
      <c r="I2541" s="0" t="n">
        <v>25.66</v>
      </c>
      <c r="J2541" s="0" t="n">
        <v>84.83</v>
      </c>
      <c r="K2541" s="0" t="n">
        <v>21</v>
      </c>
      <c r="T2541" s="0" t="n">
        <v>3</v>
      </c>
      <c r="U2541" s="0" t="n">
        <v>2</v>
      </c>
      <c r="V2541" s="0" t="inlineStr">
        <is>
          <t>복도식</t>
        </is>
      </c>
      <c r="W2541" s="0" t="inlineStr">
        <is>
          <t>109B</t>
        </is>
      </c>
      <c r="X2541" s="0" t="n">
        <v>7</v>
      </c>
      <c r="Y2541" s="0" t="n">
        <v>7</v>
      </c>
      <c r="Z2541" s="0" t="inlineStr">
        <is>
          <t>https://new.land.naver.com/complexes/15511?tab=detail&amp;rf=Y</t>
        </is>
      </c>
      <c r="AA2541" s="0" t="inlineStr">
        <is>
          <t>서울시 강동구 암사동 504-8</t>
        </is>
      </c>
      <c r="AB2541" s="0" t="inlineStr">
        <is>
          <t>서울시</t>
        </is>
      </c>
      <c r="AC2541" s="0" t="inlineStr">
        <is>
          <t>강동구</t>
        </is>
      </c>
      <c r="AD2541" s="0" t="inlineStr">
        <is>
          <t>암사동</t>
        </is>
      </c>
      <c r="AG2541" s="0" t="inlineStr">
        <is>
          <t>서울시 강동구 상암로3길 54</t>
        </is>
      </c>
      <c r="AH2541" s="0" t="n">
        <v>0</v>
      </c>
      <c r="AI2541" s="0" t="n">
        <v>298</v>
      </c>
      <c r="AJ2541" s="0" t="n">
        <v>50</v>
      </c>
      <c r="AK2541" s="0" t="n">
        <v>35</v>
      </c>
      <c r="AL2541" s="0" t="n">
        <v>1.03</v>
      </c>
    </row>
    <row r="2542">
      <c r="A2542" s="0" t="inlineStr">
        <is>
          <t>[암사동]</t>
        </is>
      </c>
      <c r="B2542" s="0" t="n">
        <v>15511</v>
      </c>
      <c r="C2542" s="0" t="n">
        <v>5</v>
      </c>
      <c r="D2542" s="0" t="inlineStr">
        <is>
          <t>한건새봄</t>
        </is>
      </c>
      <c r="E2542" s="0" t="inlineStr">
        <is>
          <t>2001.07.</t>
        </is>
      </c>
      <c r="F2542" s="0" t="n">
        <v>34</v>
      </c>
      <c r="G2542" s="0" t="n">
        <v>32.98</v>
      </c>
      <c r="H2542" s="0" t="n">
        <v>109.03</v>
      </c>
      <c r="I2542" s="0" t="n">
        <v>25.62</v>
      </c>
      <c r="J2542" s="0" t="n">
        <v>84.7</v>
      </c>
      <c r="K2542" s="0" t="n">
        <v>1</v>
      </c>
      <c r="T2542" s="0" t="n">
        <v>3</v>
      </c>
      <c r="U2542" s="0" t="n">
        <v>2</v>
      </c>
      <c r="V2542" s="0" t="inlineStr">
        <is>
          <t>복도식</t>
        </is>
      </c>
      <c r="W2542" s="0" t="inlineStr">
        <is>
          <t>109A</t>
        </is>
      </c>
      <c r="X2542" s="0" t="n">
        <v>7</v>
      </c>
      <c r="Y2542" s="0" t="n">
        <v>7</v>
      </c>
      <c r="Z2542" s="0" t="inlineStr">
        <is>
          <t>https://new.land.naver.com/complexes/15511?tab=detail&amp;rf=Y</t>
        </is>
      </c>
      <c r="AA2542" s="0" t="inlineStr">
        <is>
          <t>서울시 강동구 암사동 504-8</t>
        </is>
      </c>
      <c r="AB2542" s="0" t="inlineStr">
        <is>
          <t>서울시</t>
        </is>
      </c>
      <c r="AC2542" s="0" t="inlineStr">
        <is>
          <t>강동구</t>
        </is>
      </c>
      <c r="AD2542" s="0" t="inlineStr">
        <is>
          <t>암사동</t>
        </is>
      </c>
      <c r="AG2542" s="0" t="inlineStr">
        <is>
          <t>서울시 강동구 상암로3길 54</t>
        </is>
      </c>
      <c r="AH2542" s="0" t="n">
        <v>0</v>
      </c>
      <c r="AI2542" s="0" t="n">
        <v>298</v>
      </c>
      <c r="AJ2542" s="0" t="n">
        <v>50</v>
      </c>
      <c r="AK2542" s="0" t="n">
        <v>35</v>
      </c>
      <c r="AL2542" s="0" t="n">
        <v>1.03</v>
      </c>
    </row>
    <row r="2543">
      <c r="A2543" s="0" t="inlineStr">
        <is>
          <t>[암사동]</t>
        </is>
      </c>
      <c r="B2543" s="0" t="n">
        <v>23247</v>
      </c>
      <c r="C2543" s="0" t="n">
        <v>1</v>
      </c>
      <c r="D2543" s="0" t="inlineStr">
        <is>
          <t>삼화그린</t>
        </is>
      </c>
      <c r="E2543" s="0" t="inlineStr">
        <is>
          <t>2004.03.</t>
        </is>
      </c>
      <c r="F2543" s="0" t="n">
        <v>12</v>
      </c>
      <c r="G2543" s="0" t="n">
        <v>32.99</v>
      </c>
      <c r="H2543" s="0" t="n">
        <v>109.07</v>
      </c>
      <c r="I2543" s="0" t="n">
        <v>30.24</v>
      </c>
      <c r="J2543" s="0" t="n">
        <v>99.97</v>
      </c>
      <c r="K2543" s="0" t="n">
        <v>12</v>
      </c>
      <c r="T2543" s="0" t="n">
        <v>4</v>
      </c>
      <c r="U2543" s="0" t="n">
        <v>2</v>
      </c>
      <c r="V2543" s="0" t="inlineStr">
        <is>
          <t>계단식</t>
        </is>
      </c>
      <c r="W2543" s="0" t="n">
        <v>109</v>
      </c>
      <c r="X2543" s="0" t="n">
        <v>7</v>
      </c>
      <c r="Y2543" s="0" t="n">
        <v>7</v>
      </c>
      <c r="Z2543" s="0" t="inlineStr">
        <is>
          <t>https://new.land.naver.com/complexes/23247?tab=detail&amp;rf=Y</t>
        </is>
      </c>
      <c r="AA2543" s="0" t="inlineStr">
        <is>
          <t>서울시 강동구 암사동 454-10</t>
        </is>
      </c>
      <c r="AB2543" s="0" t="inlineStr">
        <is>
          <t>서울시</t>
        </is>
      </c>
      <c r="AC2543" s="0" t="inlineStr">
        <is>
          <t>강동구</t>
        </is>
      </c>
      <c r="AD2543" s="0" t="inlineStr">
        <is>
          <t>암사동</t>
        </is>
      </c>
      <c r="AG2543" s="0" t="inlineStr">
        <is>
          <t>서울시 강동구 고덕로24가길 4</t>
        </is>
      </c>
      <c r="AH2543" s="0" t="n">
        <v>0</v>
      </c>
      <c r="AI2543" s="0" t="n">
        <v>272</v>
      </c>
      <c r="AJ2543" s="0" t="n">
        <v>47</v>
      </c>
      <c r="AK2543" s="0" t="n">
        <v>15</v>
      </c>
      <c r="AL2543" s="0" t="n">
        <v>1.25</v>
      </c>
    </row>
    <row r="2544">
      <c r="A2544" s="0" t="inlineStr">
        <is>
          <t>[암사동]</t>
        </is>
      </c>
      <c r="B2544" s="0" t="n">
        <v>9682</v>
      </c>
      <c r="C2544" s="0" t="n">
        <v>1</v>
      </c>
      <c r="D2544" s="0" t="inlineStr">
        <is>
          <t>강동현대홈타운</t>
        </is>
      </c>
      <c r="E2544" s="0" t="inlineStr">
        <is>
          <t>2004.08.</t>
        </is>
      </c>
      <c r="F2544" s="0" t="n">
        <v>568</v>
      </c>
      <c r="G2544" s="0" t="n">
        <v>25.43</v>
      </c>
      <c r="H2544" s="0" t="n">
        <v>84.09</v>
      </c>
      <c r="I2544" s="0" t="n">
        <v>18.14</v>
      </c>
      <c r="J2544" s="0" t="n">
        <v>59.97</v>
      </c>
      <c r="K2544" s="0" t="n">
        <v>122</v>
      </c>
      <c r="T2544" s="0" t="n">
        <v>3</v>
      </c>
      <c r="U2544" s="0" t="n">
        <v>2</v>
      </c>
      <c r="V2544" s="0" t="inlineStr">
        <is>
          <t>계단식</t>
        </is>
      </c>
      <c r="W2544" s="0" t="n">
        <v>84</v>
      </c>
      <c r="X2544" s="0" t="n">
        <v>25</v>
      </c>
      <c r="Y2544" s="0" t="n">
        <v>19</v>
      </c>
      <c r="Z2544" s="0" t="inlineStr">
        <is>
          <t>https://new.land.naver.com/complexes/9682?tab=detail&amp;rf=Y</t>
        </is>
      </c>
      <c r="AA2544" s="0" t="inlineStr">
        <is>
          <t>서울시 강동구 암사동 400</t>
        </is>
      </c>
      <c r="AB2544" s="0" t="inlineStr">
        <is>
          <t>서울시</t>
        </is>
      </c>
      <c r="AC2544" s="0" t="inlineStr">
        <is>
          <t>강동구</t>
        </is>
      </c>
      <c r="AD2544" s="0" t="inlineStr">
        <is>
          <t>암사동</t>
        </is>
      </c>
      <c r="AG2544" s="0" t="inlineStr">
        <is>
          <t>서울시 강동구 고덕로27길 36</t>
        </is>
      </c>
      <c r="AH2544" s="0" t="n">
        <v>0</v>
      </c>
      <c r="AI2544" s="0" t="n">
        <v>277</v>
      </c>
      <c r="AJ2544" s="0" t="n">
        <v>14</v>
      </c>
      <c r="AK2544" s="0" t="n">
        <v>682</v>
      </c>
      <c r="AL2544" s="0" t="n">
        <v>1.2</v>
      </c>
    </row>
    <row r="2545">
      <c r="A2545" s="0" t="inlineStr">
        <is>
          <t>[암사동]</t>
        </is>
      </c>
      <c r="B2545" s="0" t="n">
        <v>9682</v>
      </c>
      <c r="C2545" s="0" t="n">
        <v>2</v>
      </c>
      <c r="D2545" s="0" t="inlineStr">
        <is>
          <t>강동현대홈타운</t>
        </is>
      </c>
      <c r="E2545" s="0" t="inlineStr">
        <is>
          <t>2004.08.</t>
        </is>
      </c>
      <c r="F2545" s="0" t="n">
        <v>568</v>
      </c>
      <c r="G2545" s="0" t="n">
        <v>33.84</v>
      </c>
      <c r="H2545" s="0" t="n">
        <v>111.87</v>
      </c>
      <c r="I2545" s="0" t="n">
        <v>25.7</v>
      </c>
      <c r="J2545" s="0" t="n">
        <v>84.98</v>
      </c>
      <c r="K2545" s="0" t="n">
        <v>346</v>
      </c>
      <c r="T2545" s="0" t="n">
        <v>3</v>
      </c>
      <c r="U2545" s="0" t="n">
        <v>2</v>
      </c>
      <c r="V2545" s="0" t="inlineStr">
        <is>
          <t>계단식</t>
        </is>
      </c>
      <c r="W2545" s="0" t="n">
        <v>111</v>
      </c>
      <c r="X2545" s="0" t="n">
        <v>25</v>
      </c>
      <c r="Y2545" s="0" t="n">
        <v>19</v>
      </c>
      <c r="Z2545" s="0" t="inlineStr">
        <is>
          <t>https://new.land.naver.com/complexes/9682?tab=detail&amp;rf=Y</t>
        </is>
      </c>
      <c r="AA2545" s="0" t="inlineStr">
        <is>
          <t>서울시 강동구 암사동 400</t>
        </is>
      </c>
      <c r="AB2545" s="0" t="inlineStr">
        <is>
          <t>서울시</t>
        </is>
      </c>
      <c r="AC2545" s="0" t="inlineStr">
        <is>
          <t>강동구</t>
        </is>
      </c>
      <c r="AD2545" s="0" t="inlineStr">
        <is>
          <t>암사동</t>
        </is>
      </c>
      <c r="AG2545" s="0" t="inlineStr">
        <is>
          <t>서울시 강동구 고덕로27길 36</t>
        </is>
      </c>
      <c r="AH2545" s="0" t="n">
        <v>0</v>
      </c>
      <c r="AI2545" s="0" t="n">
        <v>277</v>
      </c>
      <c r="AJ2545" s="0" t="n">
        <v>14</v>
      </c>
      <c r="AK2545" s="0" t="n">
        <v>682</v>
      </c>
      <c r="AL2545" s="0" t="n">
        <v>1.2</v>
      </c>
    </row>
    <row r="2546">
      <c r="A2546" s="0" t="inlineStr">
        <is>
          <t>[암사동]</t>
        </is>
      </c>
      <c r="B2546" s="0" t="n">
        <v>9682</v>
      </c>
      <c r="C2546" s="0" t="n">
        <v>3</v>
      </c>
      <c r="D2546" s="0" t="inlineStr">
        <is>
          <t>강동현대홈타운</t>
        </is>
      </c>
      <c r="E2546" s="0" t="inlineStr">
        <is>
          <t>2004.08.</t>
        </is>
      </c>
      <c r="F2546" s="0" t="n">
        <v>568</v>
      </c>
      <c r="G2546" s="0" t="n">
        <v>42.89</v>
      </c>
      <c r="H2546" s="0" t="n">
        <v>141.8</v>
      </c>
      <c r="I2546" s="0" t="n">
        <v>34.5</v>
      </c>
      <c r="J2546" s="0" t="n">
        <v>114.07</v>
      </c>
      <c r="K2546" s="0" t="n">
        <v>100</v>
      </c>
      <c r="T2546" s="0" t="n">
        <v>4</v>
      </c>
      <c r="U2546" s="0" t="n">
        <v>2</v>
      </c>
      <c r="V2546" s="0" t="inlineStr">
        <is>
          <t>계단식</t>
        </is>
      </c>
      <c r="W2546" s="0" t="n">
        <v>141</v>
      </c>
      <c r="X2546" s="0" t="n">
        <v>25</v>
      </c>
      <c r="Y2546" s="0" t="n">
        <v>19</v>
      </c>
      <c r="Z2546" s="0" t="inlineStr">
        <is>
          <t>https://new.land.naver.com/complexes/9682?tab=detail&amp;rf=Y</t>
        </is>
      </c>
      <c r="AA2546" s="0" t="inlineStr">
        <is>
          <t>서울시 강동구 암사동 400</t>
        </is>
      </c>
      <c r="AB2546" s="0" t="inlineStr">
        <is>
          <t>서울시</t>
        </is>
      </c>
      <c r="AC2546" s="0" t="inlineStr">
        <is>
          <t>강동구</t>
        </is>
      </c>
      <c r="AD2546" s="0" t="inlineStr">
        <is>
          <t>암사동</t>
        </is>
      </c>
      <c r="AG2546" s="0" t="inlineStr">
        <is>
          <t>서울시 강동구 고덕로27길 36</t>
        </is>
      </c>
      <c r="AH2546" s="0" t="n">
        <v>0</v>
      </c>
      <c r="AI2546" s="0" t="n">
        <v>277</v>
      </c>
      <c r="AJ2546" s="0" t="n">
        <v>14</v>
      </c>
      <c r="AK2546" s="0" t="n">
        <v>682</v>
      </c>
      <c r="AL2546" s="0" t="n">
        <v>1.2</v>
      </c>
    </row>
    <row r="2547">
      <c r="A2547" s="0" t="inlineStr">
        <is>
          <t>[암사동]</t>
        </is>
      </c>
      <c r="B2547" s="0" t="n">
        <v>1331</v>
      </c>
      <c r="C2547" s="0" t="n">
        <v>1</v>
      </c>
      <c r="D2547" s="0" t="inlineStr">
        <is>
          <t>라인</t>
        </is>
      </c>
      <c r="E2547" s="0" t="inlineStr">
        <is>
          <t>1996.01.</t>
        </is>
      </c>
      <c r="F2547" s="0" t="n">
        <v>107</v>
      </c>
      <c r="G2547" s="0" t="n">
        <v>26.76</v>
      </c>
      <c r="H2547" s="0" t="n">
        <v>88.47</v>
      </c>
      <c r="I2547" s="0" t="n">
        <v>17.95</v>
      </c>
      <c r="J2547" s="0" t="n">
        <v>59.34</v>
      </c>
      <c r="K2547" s="0" t="n">
        <v>57</v>
      </c>
      <c r="T2547" s="0" t="n">
        <v>2</v>
      </c>
      <c r="U2547" s="0" t="n">
        <v>1</v>
      </c>
      <c r="V2547" s="0" t="inlineStr">
        <is>
          <t>복도식</t>
        </is>
      </c>
      <c r="W2547" s="0" t="n">
        <v>88</v>
      </c>
      <c r="X2547" s="0" t="n">
        <v>19</v>
      </c>
      <c r="Y2547" s="0" t="n">
        <v>11</v>
      </c>
      <c r="Z2547" s="0" t="inlineStr">
        <is>
          <t>https://new.land.naver.com/complexes/1331?tab=detail&amp;rf=Y</t>
        </is>
      </c>
      <c r="AA2547" s="0" t="inlineStr">
        <is>
          <t>서울시 강동구 암사동 442</t>
        </is>
      </c>
      <c r="AB2547" s="0" t="inlineStr">
        <is>
          <t>서울시</t>
        </is>
      </c>
      <c r="AC2547" s="0" t="inlineStr">
        <is>
          <t>강동구</t>
        </is>
      </c>
      <c r="AD2547" s="0" t="inlineStr">
        <is>
          <t>암사동</t>
        </is>
      </c>
      <c r="AG2547" s="0" t="inlineStr">
        <is>
          <t>서울시 강동구 올림픽로104길 32</t>
        </is>
      </c>
      <c r="AH2547" s="0" t="n">
        <v>0</v>
      </c>
      <c r="AI2547" s="0" t="n">
        <v>367</v>
      </c>
      <c r="AJ2547" s="0" t="n">
        <v>32</v>
      </c>
      <c r="AK2547" s="0" t="n">
        <v>111</v>
      </c>
      <c r="AL2547" s="0" t="n">
        <v>1.04</v>
      </c>
    </row>
    <row r="2548">
      <c r="A2548" s="0" t="inlineStr">
        <is>
          <t>[암사동]</t>
        </is>
      </c>
      <c r="B2548" s="0" t="n">
        <v>1331</v>
      </c>
      <c r="C2548" s="0" t="n">
        <v>2</v>
      </c>
      <c r="D2548" s="0" t="inlineStr">
        <is>
          <t>라인</t>
        </is>
      </c>
      <c r="E2548" s="0" t="inlineStr">
        <is>
          <t>1996.01.</t>
        </is>
      </c>
      <c r="F2548" s="0" t="n">
        <v>107</v>
      </c>
      <c r="G2548" s="0" t="n">
        <v>33.25</v>
      </c>
      <c r="H2548" s="0" t="n">
        <v>109.94</v>
      </c>
      <c r="I2548" s="0" t="n">
        <v>25.67</v>
      </c>
      <c r="J2548" s="0" t="n">
        <v>84.87</v>
      </c>
      <c r="K2548" s="0" t="n">
        <v>50</v>
      </c>
      <c r="T2548" s="0" t="n">
        <v>3</v>
      </c>
      <c r="U2548" s="0" t="n">
        <v>2</v>
      </c>
      <c r="V2548" s="0" t="inlineStr">
        <is>
          <t>계단식</t>
        </is>
      </c>
      <c r="W2548" s="0" t="n">
        <v>109</v>
      </c>
      <c r="X2548" s="0" t="n">
        <v>19</v>
      </c>
      <c r="Y2548" s="0" t="n">
        <v>11</v>
      </c>
      <c r="Z2548" s="0" t="inlineStr">
        <is>
          <t>https://new.land.naver.com/complexes/1331?tab=detail&amp;rf=Y</t>
        </is>
      </c>
      <c r="AA2548" s="0" t="inlineStr">
        <is>
          <t>서울시 강동구 암사동 442</t>
        </is>
      </c>
      <c r="AB2548" s="0" t="inlineStr">
        <is>
          <t>서울시</t>
        </is>
      </c>
      <c r="AC2548" s="0" t="inlineStr">
        <is>
          <t>강동구</t>
        </is>
      </c>
      <c r="AD2548" s="0" t="inlineStr">
        <is>
          <t>암사동</t>
        </is>
      </c>
      <c r="AG2548" s="0" t="inlineStr">
        <is>
          <t>서울시 강동구 올림픽로104길 32</t>
        </is>
      </c>
      <c r="AH2548" s="0" t="n">
        <v>0</v>
      </c>
      <c r="AI2548" s="0" t="n">
        <v>367</v>
      </c>
      <c r="AJ2548" s="0" t="n">
        <v>32</v>
      </c>
      <c r="AK2548" s="0" t="n">
        <v>111</v>
      </c>
      <c r="AL2548" s="0" t="n">
        <v>1.04</v>
      </c>
    </row>
    <row r="2549">
      <c r="A2549" s="0" t="inlineStr">
        <is>
          <t>[암사동]</t>
        </is>
      </c>
      <c r="B2549" s="0" t="n">
        <v>25180</v>
      </c>
      <c r="C2549" s="0" t="n">
        <v>1</v>
      </c>
      <c r="D2549" s="0" t="inlineStr">
        <is>
          <t>동진</t>
        </is>
      </c>
      <c r="E2549" s="0" t="inlineStr">
        <is>
          <t>2007.11.</t>
        </is>
      </c>
      <c r="F2549" s="0" t="n">
        <v>32</v>
      </c>
      <c r="G2549" s="0" t="n">
        <v>26.16</v>
      </c>
      <c r="H2549" s="0" t="n">
        <v>86.48</v>
      </c>
      <c r="I2549" s="0" t="n">
        <v>21.41</v>
      </c>
      <c r="J2549" s="0" t="n">
        <v>70.78</v>
      </c>
      <c r="K2549" s="0" t="n">
        <v>1</v>
      </c>
      <c r="T2549" s="0" t="n">
        <v>3</v>
      </c>
      <c r="U2549" s="0" t="n">
        <v>2</v>
      </c>
      <c r="V2549" s="0" t="inlineStr">
        <is>
          <t>복도식</t>
        </is>
      </c>
      <c r="W2549" s="0" t="inlineStr">
        <is>
          <t>86A</t>
        </is>
      </c>
      <c r="X2549" s="0" t="n">
        <v>9</v>
      </c>
      <c r="Y2549" s="0" t="n">
        <v>7</v>
      </c>
      <c r="Z2549" s="0" t="inlineStr">
        <is>
          <t>https://new.land.naver.com/complexes/25180?tab=detail&amp;rf=Y</t>
        </is>
      </c>
      <c r="AA2549" s="0" t="inlineStr">
        <is>
          <t>서울시 강동구 암사동 466-3</t>
        </is>
      </c>
      <c r="AB2549" s="0" t="inlineStr">
        <is>
          <t>서울시</t>
        </is>
      </c>
      <c r="AC2549" s="0" t="inlineStr">
        <is>
          <t>강동구</t>
        </is>
      </c>
      <c r="AD2549" s="0" t="inlineStr">
        <is>
          <t>암사동</t>
        </is>
      </c>
      <c r="AG2549" s="0" t="inlineStr">
        <is>
          <t>서울시 강동구 고덕로20나길 49</t>
        </is>
      </c>
      <c r="AH2549" s="0" t="n">
        <v>0</v>
      </c>
      <c r="AI2549" s="0" t="n">
        <v>290</v>
      </c>
      <c r="AJ2549" s="0" t="n">
        <v>38</v>
      </c>
      <c r="AK2549" s="0" t="n">
        <v>36</v>
      </c>
      <c r="AL2549" s="0" t="n">
        <v>1.12</v>
      </c>
    </row>
    <row r="2550">
      <c r="A2550" s="0" t="inlineStr">
        <is>
          <t>[암사동]</t>
        </is>
      </c>
      <c r="B2550" s="0" t="n">
        <v>25180</v>
      </c>
      <c r="C2550" s="0" t="n">
        <v>2</v>
      </c>
      <c r="D2550" s="0" t="inlineStr">
        <is>
          <t>동진</t>
        </is>
      </c>
      <c r="E2550" s="0" t="inlineStr">
        <is>
          <t>2007.11.</t>
        </is>
      </c>
      <c r="F2550" s="0" t="n">
        <v>32</v>
      </c>
      <c r="G2550" s="0" t="n">
        <v>26.39</v>
      </c>
      <c r="H2550" s="0" t="n">
        <v>87.26000000000001</v>
      </c>
      <c r="I2550" s="0" t="n">
        <v>21.57</v>
      </c>
      <c r="J2550" s="0" t="n">
        <v>71.31</v>
      </c>
      <c r="K2550" s="0" t="n">
        <v>1</v>
      </c>
      <c r="T2550" s="0" t="n">
        <v>3</v>
      </c>
      <c r="U2550" s="0" t="n">
        <v>2</v>
      </c>
      <c r="V2550" s="0" t="inlineStr">
        <is>
          <t>복도식</t>
        </is>
      </c>
      <c r="W2550" s="0" t="inlineStr">
        <is>
          <t>87B</t>
        </is>
      </c>
      <c r="X2550" s="0" t="n">
        <v>9</v>
      </c>
      <c r="Y2550" s="0" t="n">
        <v>7</v>
      </c>
      <c r="Z2550" s="0" t="inlineStr">
        <is>
          <t>https://new.land.naver.com/complexes/25180?tab=detail&amp;rf=Y</t>
        </is>
      </c>
      <c r="AA2550" s="0" t="inlineStr">
        <is>
          <t>서울시 강동구 암사동 466-3</t>
        </is>
      </c>
      <c r="AB2550" s="0" t="inlineStr">
        <is>
          <t>서울시</t>
        </is>
      </c>
      <c r="AC2550" s="0" t="inlineStr">
        <is>
          <t>강동구</t>
        </is>
      </c>
      <c r="AD2550" s="0" t="inlineStr">
        <is>
          <t>암사동</t>
        </is>
      </c>
      <c r="AG2550" s="0" t="inlineStr">
        <is>
          <t>서울시 강동구 고덕로20나길 49</t>
        </is>
      </c>
      <c r="AH2550" s="0" t="n">
        <v>0</v>
      </c>
      <c r="AI2550" s="0" t="n">
        <v>290</v>
      </c>
      <c r="AJ2550" s="0" t="n">
        <v>38</v>
      </c>
      <c r="AK2550" s="0" t="n">
        <v>36</v>
      </c>
      <c r="AL2550" s="0" t="n">
        <v>1.12</v>
      </c>
    </row>
    <row r="2551">
      <c r="A2551" s="0" t="inlineStr">
        <is>
          <t>[암사동]</t>
        </is>
      </c>
      <c r="B2551" s="0" t="n">
        <v>25180</v>
      </c>
      <c r="C2551" s="0" t="n">
        <v>3</v>
      </c>
      <c r="D2551" s="0" t="inlineStr">
        <is>
          <t>동진</t>
        </is>
      </c>
      <c r="E2551" s="0" t="inlineStr">
        <is>
          <t>2007.11.</t>
        </is>
      </c>
      <c r="F2551" s="0" t="n">
        <v>32</v>
      </c>
      <c r="G2551" s="0" t="n">
        <v>29.24</v>
      </c>
      <c r="H2551" s="0" t="n">
        <v>96.68000000000001</v>
      </c>
      <c r="I2551" s="0" t="n">
        <v>23.95</v>
      </c>
      <c r="J2551" s="0" t="n">
        <v>79.2</v>
      </c>
      <c r="K2551" s="0" t="n">
        <v>16</v>
      </c>
      <c r="T2551" s="0" t="n">
        <v>3</v>
      </c>
      <c r="U2551" s="0" t="n">
        <v>2</v>
      </c>
      <c r="V2551" s="0" t="inlineStr">
        <is>
          <t>계단식</t>
        </is>
      </c>
      <c r="W2551" s="0" t="inlineStr">
        <is>
          <t>96A</t>
        </is>
      </c>
      <c r="X2551" s="0" t="n">
        <v>9</v>
      </c>
      <c r="Y2551" s="0" t="n">
        <v>7</v>
      </c>
      <c r="Z2551" s="0" t="inlineStr">
        <is>
          <t>https://new.land.naver.com/complexes/25180?tab=detail&amp;rf=Y</t>
        </is>
      </c>
      <c r="AA2551" s="0" t="inlineStr">
        <is>
          <t>서울시 강동구 암사동 466-3</t>
        </is>
      </c>
      <c r="AB2551" s="0" t="inlineStr">
        <is>
          <t>서울시</t>
        </is>
      </c>
      <c r="AC2551" s="0" t="inlineStr">
        <is>
          <t>강동구</t>
        </is>
      </c>
      <c r="AD2551" s="0" t="inlineStr">
        <is>
          <t>암사동</t>
        </is>
      </c>
      <c r="AG2551" s="0" t="inlineStr">
        <is>
          <t>서울시 강동구 고덕로20나길 49</t>
        </is>
      </c>
      <c r="AH2551" s="0" t="n">
        <v>0</v>
      </c>
      <c r="AI2551" s="0" t="n">
        <v>290</v>
      </c>
      <c r="AJ2551" s="0" t="n">
        <v>38</v>
      </c>
      <c r="AK2551" s="0" t="n">
        <v>36</v>
      </c>
      <c r="AL2551" s="0" t="n">
        <v>1.12</v>
      </c>
    </row>
    <row r="2552">
      <c r="A2552" s="0" t="inlineStr">
        <is>
          <t>[암사동]</t>
        </is>
      </c>
      <c r="B2552" s="0" t="n">
        <v>25180</v>
      </c>
      <c r="C2552" s="0" t="n">
        <v>4</v>
      </c>
      <c r="D2552" s="0" t="inlineStr">
        <is>
          <t>동진</t>
        </is>
      </c>
      <c r="E2552" s="0" t="inlineStr">
        <is>
          <t>2007.11.</t>
        </is>
      </c>
      <c r="F2552" s="0" t="n">
        <v>32</v>
      </c>
      <c r="G2552" s="0" t="n">
        <v>29.36</v>
      </c>
      <c r="H2552" s="0" t="n">
        <v>97.06999999999999</v>
      </c>
      <c r="I2552" s="0" t="n">
        <v>23.98</v>
      </c>
      <c r="J2552" s="0" t="n">
        <v>79.29000000000001</v>
      </c>
      <c r="K2552" s="0" t="n">
        <v>6</v>
      </c>
      <c r="T2552" s="0" t="n">
        <v>3</v>
      </c>
      <c r="U2552" s="0" t="n">
        <v>2</v>
      </c>
      <c r="V2552" s="0" t="inlineStr">
        <is>
          <t>복도식</t>
        </is>
      </c>
      <c r="W2552" s="0" t="inlineStr">
        <is>
          <t>97B</t>
        </is>
      </c>
      <c r="X2552" s="0" t="n">
        <v>9</v>
      </c>
      <c r="Y2552" s="0" t="n">
        <v>7</v>
      </c>
      <c r="Z2552" s="0" t="inlineStr">
        <is>
          <t>https://new.land.naver.com/complexes/25180?tab=detail&amp;rf=Y</t>
        </is>
      </c>
      <c r="AA2552" s="0" t="inlineStr">
        <is>
          <t>서울시 강동구 암사동 466-3</t>
        </is>
      </c>
      <c r="AB2552" s="0" t="inlineStr">
        <is>
          <t>서울시</t>
        </is>
      </c>
      <c r="AC2552" s="0" t="inlineStr">
        <is>
          <t>강동구</t>
        </is>
      </c>
      <c r="AD2552" s="0" t="inlineStr">
        <is>
          <t>암사동</t>
        </is>
      </c>
      <c r="AG2552" s="0" t="inlineStr">
        <is>
          <t>서울시 강동구 고덕로20나길 49</t>
        </is>
      </c>
      <c r="AH2552" s="0" t="n">
        <v>0</v>
      </c>
      <c r="AI2552" s="0" t="n">
        <v>290</v>
      </c>
      <c r="AJ2552" s="0" t="n">
        <v>38</v>
      </c>
      <c r="AK2552" s="0" t="n">
        <v>36</v>
      </c>
      <c r="AL2552" s="0" t="n">
        <v>1.12</v>
      </c>
    </row>
    <row r="2553">
      <c r="A2553" s="0" t="inlineStr">
        <is>
          <t>[암사동]</t>
        </is>
      </c>
      <c r="B2553" s="0" t="n">
        <v>25180</v>
      </c>
      <c r="C2553" s="0" t="n">
        <v>5</v>
      </c>
      <c r="D2553" s="0" t="inlineStr">
        <is>
          <t>동진</t>
        </is>
      </c>
      <c r="E2553" s="0" t="inlineStr">
        <is>
          <t>2007.11.</t>
        </is>
      </c>
      <c r="F2553" s="0" t="n">
        <v>32</v>
      </c>
      <c r="G2553" s="0" t="n">
        <v>31.03</v>
      </c>
      <c r="H2553" s="0" t="n">
        <v>102.58</v>
      </c>
      <c r="I2553" s="0" t="n">
        <v>25.52</v>
      </c>
      <c r="J2553" s="0" t="n">
        <v>84.37</v>
      </c>
      <c r="K2553" s="0" t="n">
        <v>6</v>
      </c>
      <c r="T2553" s="0" t="n">
        <v>3</v>
      </c>
      <c r="U2553" s="0" t="n">
        <v>2</v>
      </c>
      <c r="V2553" s="0" t="inlineStr">
        <is>
          <t>복도식</t>
        </is>
      </c>
      <c r="W2553" s="0" t="n">
        <v>102</v>
      </c>
      <c r="X2553" s="0" t="n">
        <v>9</v>
      </c>
      <c r="Y2553" s="0" t="n">
        <v>7</v>
      </c>
      <c r="Z2553" s="0" t="inlineStr">
        <is>
          <t>https://new.land.naver.com/complexes/25180?tab=detail&amp;rf=Y</t>
        </is>
      </c>
      <c r="AA2553" s="0" t="inlineStr">
        <is>
          <t>서울시 강동구 암사동 466-3</t>
        </is>
      </c>
      <c r="AB2553" s="0" t="inlineStr">
        <is>
          <t>서울시</t>
        </is>
      </c>
      <c r="AC2553" s="0" t="inlineStr">
        <is>
          <t>강동구</t>
        </is>
      </c>
      <c r="AD2553" s="0" t="inlineStr">
        <is>
          <t>암사동</t>
        </is>
      </c>
      <c r="AG2553" s="0" t="inlineStr">
        <is>
          <t>서울시 강동구 고덕로20나길 49</t>
        </is>
      </c>
      <c r="AH2553" s="0" t="n">
        <v>0</v>
      </c>
      <c r="AI2553" s="0" t="n">
        <v>290</v>
      </c>
      <c r="AJ2553" s="0" t="n">
        <v>38</v>
      </c>
      <c r="AK2553" s="0" t="n">
        <v>36</v>
      </c>
      <c r="AL2553" s="0" t="n">
        <v>1.12</v>
      </c>
    </row>
    <row r="2554">
      <c r="A2554" s="0" t="inlineStr">
        <is>
          <t>[암사동]</t>
        </is>
      </c>
      <c r="B2554" s="0" t="n">
        <v>25180</v>
      </c>
      <c r="C2554" s="0" t="n">
        <v>6</v>
      </c>
      <c r="D2554" s="0" t="inlineStr">
        <is>
          <t>동진</t>
        </is>
      </c>
      <c r="E2554" s="0" t="inlineStr">
        <is>
          <t>2007.11.</t>
        </is>
      </c>
      <c r="F2554" s="0" t="n">
        <v>32</v>
      </c>
      <c r="G2554" s="0" t="n">
        <v>41.25</v>
      </c>
      <c r="H2554" s="0" t="n">
        <v>136.37</v>
      </c>
      <c r="I2554" s="0" t="n">
        <v>33.69</v>
      </c>
      <c r="J2554" s="0" t="n">
        <v>111.4</v>
      </c>
      <c r="K2554" s="0" t="n">
        <v>2</v>
      </c>
      <c r="T2554" s="0" t="n">
        <v>4</v>
      </c>
      <c r="U2554" s="0" t="n">
        <v>2</v>
      </c>
      <c r="V2554" s="0" t="inlineStr">
        <is>
          <t>복도식</t>
        </is>
      </c>
      <c r="W2554" s="0" t="n">
        <v>136</v>
      </c>
      <c r="X2554" s="0" t="n">
        <v>9</v>
      </c>
      <c r="Y2554" s="0" t="n">
        <v>7</v>
      </c>
      <c r="Z2554" s="0" t="inlineStr">
        <is>
          <t>https://new.land.naver.com/complexes/25180?tab=detail&amp;rf=Y</t>
        </is>
      </c>
      <c r="AA2554" s="0" t="inlineStr">
        <is>
          <t>서울시 강동구 암사동 466-3</t>
        </is>
      </c>
      <c r="AB2554" s="0" t="inlineStr">
        <is>
          <t>서울시</t>
        </is>
      </c>
      <c r="AC2554" s="0" t="inlineStr">
        <is>
          <t>강동구</t>
        </is>
      </c>
      <c r="AD2554" s="0" t="inlineStr">
        <is>
          <t>암사동</t>
        </is>
      </c>
      <c r="AG2554" s="0" t="inlineStr">
        <is>
          <t>서울시 강동구 고덕로20나길 49</t>
        </is>
      </c>
      <c r="AH2554" s="0" t="n">
        <v>0</v>
      </c>
      <c r="AI2554" s="0" t="n">
        <v>290</v>
      </c>
      <c r="AJ2554" s="0" t="n">
        <v>38</v>
      </c>
      <c r="AK2554" s="0" t="n">
        <v>36</v>
      </c>
      <c r="AL2554" s="0" t="n">
        <v>1.12</v>
      </c>
    </row>
    <row r="2555">
      <c r="A2555" s="0" t="inlineStr">
        <is>
          <t>[천호동]</t>
        </is>
      </c>
      <c r="B2555" s="0" t="n">
        <v>22038</v>
      </c>
      <c r="C2555" s="0" t="n">
        <v>1</v>
      </c>
      <c r="D2555" s="0" t="inlineStr">
        <is>
          <t>이연아마빌레</t>
        </is>
      </c>
      <c r="E2555" s="0" t="inlineStr">
        <is>
          <t>2004.03.</t>
        </is>
      </c>
      <c r="F2555" s="0" t="n">
        <v>19</v>
      </c>
      <c r="G2555" s="0" t="n">
        <v>41.51</v>
      </c>
      <c r="H2555" s="0" t="n">
        <v>137.23</v>
      </c>
      <c r="I2555" s="0" t="n">
        <v>34.74</v>
      </c>
      <c r="J2555" s="0" t="n">
        <v>114.85</v>
      </c>
      <c r="K2555" s="0" t="n">
        <v>6</v>
      </c>
      <c r="T2555" s="0" t="n">
        <v>4</v>
      </c>
      <c r="U2555" s="0" t="n">
        <v>2</v>
      </c>
      <c r="V2555" s="0" t="inlineStr">
        <is>
          <t>계단식</t>
        </is>
      </c>
      <c r="W2555" s="0" t="n">
        <v>137</v>
      </c>
      <c r="X2555" s="0" t="n">
        <v>9</v>
      </c>
      <c r="Y2555" s="0" t="n">
        <v>8</v>
      </c>
      <c r="Z2555" s="0" t="inlineStr">
        <is>
          <t>https://new.land.naver.com/complexes/22038?tab=detail&amp;rf=Y</t>
        </is>
      </c>
      <c r="AA2555" s="0" t="inlineStr">
        <is>
          <t>서울시 강동구 천호동 293-8</t>
        </is>
      </c>
      <c r="AB2555" s="0" t="inlineStr">
        <is>
          <t>서울시</t>
        </is>
      </c>
      <c r="AC2555" s="0" t="inlineStr">
        <is>
          <t>강동구</t>
        </is>
      </c>
      <c r="AD2555" s="0" t="inlineStr">
        <is>
          <t>천호동</t>
        </is>
      </c>
      <c r="AG2555" s="0" t="inlineStr">
        <is>
          <t>서울시 강동구 구천면로 297-5</t>
        </is>
      </c>
      <c r="AH2555" s="0" t="n">
        <v>0</v>
      </c>
      <c r="AI2555" s="0" t="n">
        <v>214</v>
      </c>
      <c r="AJ2555" s="0" t="n">
        <v>55</v>
      </c>
      <c r="AK2555" s="0" t="n">
        <v>34</v>
      </c>
      <c r="AL2555" s="0" t="n">
        <v>1.79</v>
      </c>
    </row>
    <row r="2556">
      <c r="A2556" s="0" t="inlineStr">
        <is>
          <t>[천호동]</t>
        </is>
      </c>
      <c r="B2556" s="0" t="n">
        <v>22038</v>
      </c>
      <c r="C2556" s="0" t="n">
        <v>2</v>
      </c>
      <c r="D2556" s="0" t="inlineStr">
        <is>
          <t>이연아마빌레</t>
        </is>
      </c>
      <c r="E2556" s="0" t="inlineStr">
        <is>
          <t>2004.03.</t>
        </is>
      </c>
      <c r="F2556" s="0" t="n">
        <v>19</v>
      </c>
      <c r="G2556" s="0" t="n">
        <v>50.99</v>
      </c>
      <c r="H2556" s="0" t="n">
        <v>168.57</v>
      </c>
      <c r="I2556" s="0" t="n">
        <v>42.67</v>
      </c>
      <c r="J2556" s="0" t="n">
        <v>141.08</v>
      </c>
      <c r="K2556" s="0" t="n">
        <v>6</v>
      </c>
      <c r="T2556" s="0" t="n">
        <v>4</v>
      </c>
      <c r="U2556" s="0" t="n">
        <v>2</v>
      </c>
      <c r="V2556" s="0" t="inlineStr">
        <is>
          <t>계단식</t>
        </is>
      </c>
      <c r="W2556" s="0" t="n">
        <v>168</v>
      </c>
      <c r="X2556" s="0" t="n">
        <v>9</v>
      </c>
      <c r="Y2556" s="0" t="n">
        <v>8</v>
      </c>
      <c r="Z2556" s="0" t="inlineStr">
        <is>
          <t>https://new.land.naver.com/complexes/22038?tab=detail&amp;rf=Y</t>
        </is>
      </c>
      <c r="AA2556" s="0" t="inlineStr">
        <is>
          <t>서울시 강동구 천호동 293-8</t>
        </is>
      </c>
      <c r="AB2556" s="0" t="inlineStr">
        <is>
          <t>서울시</t>
        </is>
      </c>
      <c r="AC2556" s="0" t="inlineStr">
        <is>
          <t>강동구</t>
        </is>
      </c>
      <c r="AD2556" s="0" t="inlineStr">
        <is>
          <t>천호동</t>
        </is>
      </c>
      <c r="AG2556" s="0" t="inlineStr">
        <is>
          <t>서울시 강동구 구천면로 297-5</t>
        </is>
      </c>
      <c r="AH2556" s="0" t="n">
        <v>0</v>
      </c>
      <c r="AI2556" s="0" t="n">
        <v>214</v>
      </c>
      <c r="AJ2556" s="0" t="n">
        <v>55</v>
      </c>
      <c r="AK2556" s="0" t="n">
        <v>34</v>
      </c>
      <c r="AL2556" s="0" t="n">
        <v>1.79</v>
      </c>
    </row>
    <row r="2557">
      <c r="A2557" s="0" t="inlineStr">
        <is>
          <t>[천호동]</t>
        </is>
      </c>
      <c r="B2557" s="0" t="n">
        <v>22038</v>
      </c>
      <c r="C2557" s="0" t="n">
        <v>3</v>
      </c>
      <c r="D2557" s="0" t="inlineStr">
        <is>
          <t>이연아마빌레</t>
        </is>
      </c>
      <c r="E2557" s="0" t="inlineStr">
        <is>
          <t>2004.03.</t>
        </is>
      </c>
      <c r="F2557" s="0" t="n">
        <v>19</v>
      </c>
      <c r="G2557" s="0" t="n">
        <v>52.21</v>
      </c>
      <c r="H2557" s="0" t="n">
        <v>172.61</v>
      </c>
      <c r="I2557" s="0" t="n">
        <v>43.69</v>
      </c>
      <c r="J2557" s="0" t="n">
        <v>144.46</v>
      </c>
      <c r="K2557" s="0" t="n">
        <v>7</v>
      </c>
      <c r="T2557" s="0" t="n">
        <v>4</v>
      </c>
      <c r="U2557" s="0" t="n">
        <v>2</v>
      </c>
      <c r="V2557" s="0" t="inlineStr">
        <is>
          <t>계단식</t>
        </is>
      </c>
      <c r="W2557" s="0" t="n">
        <v>172</v>
      </c>
      <c r="X2557" s="0" t="n">
        <v>9</v>
      </c>
      <c r="Y2557" s="0" t="n">
        <v>8</v>
      </c>
      <c r="Z2557" s="0" t="inlineStr">
        <is>
          <t>https://new.land.naver.com/complexes/22038?tab=detail&amp;rf=Y</t>
        </is>
      </c>
      <c r="AA2557" s="0" t="inlineStr">
        <is>
          <t>서울시 강동구 천호동 293-8</t>
        </is>
      </c>
      <c r="AB2557" s="0" t="inlineStr">
        <is>
          <t>서울시</t>
        </is>
      </c>
      <c r="AC2557" s="0" t="inlineStr">
        <is>
          <t>강동구</t>
        </is>
      </c>
      <c r="AD2557" s="0" t="inlineStr">
        <is>
          <t>천호동</t>
        </is>
      </c>
      <c r="AG2557" s="0" t="inlineStr">
        <is>
          <t>서울시 강동구 구천면로 297-5</t>
        </is>
      </c>
      <c r="AH2557" s="0" t="n">
        <v>0</v>
      </c>
      <c r="AI2557" s="0" t="n">
        <v>214</v>
      </c>
      <c r="AJ2557" s="0" t="n">
        <v>55</v>
      </c>
      <c r="AK2557" s="0" t="n">
        <v>34</v>
      </c>
      <c r="AL2557" s="0" t="n">
        <v>1.79</v>
      </c>
    </row>
    <row r="2558">
      <c r="A2558" s="0" t="inlineStr">
        <is>
          <t>[천호동]</t>
        </is>
      </c>
      <c r="B2558" s="0" t="n">
        <v>17530</v>
      </c>
      <c r="C2558" s="0" t="n">
        <v>1</v>
      </c>
      <c r="D2558" s="0" t="inlineStr">
        <is>
          <t>암사브라운스톤</t>
        </is>
      </c>
      <c r="E2558" s="0" t="inlineStr">
        <is>
          <t>2005.10.</t>
        </is>
      </c>
      <c r="F2558" s="0" t="n">
        <v>125</v>
      </c>
      <c r="G2558" s="0" t="n">
        <v>32.34</v>
      </c>
      <c r="H2558" s="0" t="n">
        <v>106.94</v>
      </c>
      <c r="I2558" s="0" t="n">
        <v>25.7</v>
      </c>
      <c r="J2558" s="0" t="n">
        <v>84.97</v>
      </c>
      <c r="K2558" s="0" t="n">
        <v>125</v>
      </c>
      <c r="T2558" s="0" t="n">
        <v>3</v>
      </c>
      <c r="U2558" s="0" t="n">
        <v>2</v>
      </c>
      <c r="V2558" s="0" t="inlineStr">
        <is>
          <t>계단식</t>
        </is>
      </c>
      <c r="W2558" s="0" t="n">
        <v>106</v>
      </c>
      <c r="X2558" s="0" t="n">
        <v>12</v>
      </c>
      <c r="Y2558" s="0" t="n">
        <v>11</v>
      </c>
      <c r="Z2558" s="0" t="inlineStr">
        <is>
          <t>https://new.land.naver.com/complexes/17530?tab=detail&amp;rf=Y</t>
        </is>
      </c>
      <c r="AA2558" s="0" t="inlineStr">
        <is>
          <t>서울시 강동구 천호동 288-29</t>
        </is>
      </c>
      <c r="AB2558" s="0" t="inlineStr">
        <is>
          <t>서울시</t>
        </is>
      </c>
      <c r="AC2558" s="0" t="inlineStr">
        <is>
          <t>강동구</t>
        </is>
      </c>
      <c r="AD2558" s="0" t="inlineStr">
        <is>
          <t>천호동</t>
        </is>
      </c>
      <c r="AG2558" s="0" t="inlineStr">
        <is>
          <t>서울시 강동구 올림픽로92길 61</t>
        </is>
      </c>
      <c r="AH2558" s="0" t="n">
        <v>0</v>
      </c>
      <c r="AI2558" s="0" t="n">
        <v>199</v>
      </c>
      <c r="AJ2558" s="0" t="n">
        <v>28</v>
      </c>
      <c r="AK2558" s="0" t="n">
        <v>153</v>
      </c>
      <c r="AL2558" s="0" t="n">
        <v>1.22</v>
      </c>
    </row>
    <row r="2559">
      <c r="A2559" s="0" t="inlineStr">
        <is>
          <t>[천호동]</t>
        </is>
      </c>
      <c r="B2559" s="0" t="n">
        <v>100463</v>
      </c>
      <c r="C2559" s="0" t="n">
        <v>1</v>
      </c>
      <c r="D2559" s="0" t="inlineStr">
        <is>
          <t>광남벨라스643V(A)</t>
        </is>
      </c>
      <c r="E2559" s="0" t="inlineStr">
        <is>
          <t>2003.02.</t>
        </is>
      </c>
      <c r="F2559" s="0" t="n">
        <v>19</v>
      </c>
      <c r="G2559" s="0" t="n">
        <v>20.17</v>
      </c>
      <c r="H2559" s="0" t="n">
        <v>66.68000000000001</v>
      </c>
      <c r="I2559" s="0" t="n">
        <v>18.15</v>
      </c>
      <c r="J2559" s="0" t="n">
        <v>60</v>
      </c>
      <c r="K2559" s="0" t="n">
        <v>1</v>
      </c>
      <c r="T2559" s="0" t="n">
        <v>3</v>
      </c>
      <c r="U2559" s="0" t="n">
        <v>1</v>
      </c>
      <c r="V2559" s="0" t="inlineStr">
        <is>
          <t>계단식</t>
        </is>
      </c>
      <c r="W2559" s="0" t="n">
        <v>66</v>
      </c>
      <c r="X2559" s="0" t="n">
        <v>7</v>
      </c>
      <c r="Y2559" s="0" t="n">
        <v>7</v>
      </c>
      <c r="Z2559" s="0" t="inlineStr">
        <is>
          <t>https://new.land.naver.com/complexes/100463?tab=detail&amp;rf=Y</t>
        </is>
      </c>
      <c r="AA2559" s="0" t="inlineStr">
        <is>
          <t>서울시 강동구 천호동 50-32</t>
        </is>
      </c>
      <c r="AB2559" s="0" t="inlineStr">
        <is>
          <t>서울시</t>
        </is>
      </c>
      <c r="AC2559" s="0" t="inlineStr">
        <is>
          <t>강동구</t>
        </is>
      </c>
      <c r="AD2559" s="0" t="inlineStr">
        <is>
          <t>천호동</t>
        </is>
      </c>
      <c r="AG2559" s="0" t="inlineStr">
        <is>
          <t>서울시 강동구 양재대로121길 16</t>
        </is>
      </c>
      <c r="AH2559" s="0" t="n">
        <v>0</v>
      </c>
      <c r="AI2559" s="0" t="n">
        <v>276</v>
      </c>
      <c r="AJ2559" s="0" t="n">
        <v>53</v>
      </c>
      <c r="AK2559" s="0" t="n">
        <v>27</v>
      </c>
      <c r="AL2559" s="0" t="n">
        <v>1.42</v>
      </c>
    </row>
    <row r="2560">
      <c r="A2560" s="0" t="inlineStr">
        <is>
          <t>[천호동]</t>
        </is>
      </c>
      <c r="B2560" s="0" t="n">
        <v>100463</v>
      </c>
      <c r="C2560" s="0" t="n">
        <v>2</v>
      </c>
      <c r="D2560" s="0" t="inlineStr">
        <is>
          <t>광남벨라스643V(A)</t>
        </is>
      </c>
      <c r="E2560" s="0" t="inlineStr">
        <is>
          <t>2003.02.</t>
        </is>
      </c>
      <c r="F2560" s="0" t="n">
        <v>19</v>
      </c>
      <c r="G2560" s="0" t="n">
        <v>28.54</v>
      </c>
      <c r="H2560" s="0" t="n">
        <v>94.36</v>
      </c>
      <c r="I2560" s="0" t="n">
        <v>25.67</v>
      </c>
      <c r="J2560" s="0" t="n">
        <v>84.89</v>
      </c>
      <c r="K2560" s="0" t="n">
        <v>5</v>
      </c>
      <c r="T2560" s="0" t="n">
        <v>3</v>
      </c>
      <c r="U2560" s="0" t="n">
        <v>1</v>
      </c>
      <c r="V2560" s="0" t="inlineStr">
        <is>
          <t>계단식</t>
        </is>
      </c>
      <c r="W2560" s="0" t="n">
        <v>94</v>
      </c>
      <c r="X2560" s="0" t="n">
        <v>7</v>
      </c>
      <c r="Y2560" s="0" t="n">
        <v>7</v>
      </c>
      <c r="Z2560" s="0" t="inlineStr">
        <is>
          <t>https://new.land.naver.com/complexes/100463?tab=detail&amp;rf=Y</t>
        </is>
      </c>
      <c r="AA2560" s="0" t="inlineStr">
        <is>
          <t>서울시 강동구 천호동 50-32</t>
        </is>
      </c>
      <c r="AB2560" s="0" t="inlineStr">
        <is>
          <t>서울시</t>
        </is>
      </c>
      <c r="AC2560" s="0" t="inlineStr">
        <is>
          <t>강동구</t>
        </is>
      </c>
      <c r="AD2560" s="0" t="inlineStr">
        <is>
          <t>천호동</t>
        </is>
      </c>
      <c r="AG2560" s="0" t="inlineStr">
        <is>
          <t>서울시 강동구 양재대로121길 16</t>
        </is>
      </c>
      <c r="AH2560" s="0" t="n">
        <v>0</v>
      </c>
      <c r="AI2560" s="0" t="n">
        <v>276</v>
      </c>
      <c r="AJ2560" s="0" t="n">
        <v>53</v>
      </c>
      <c r="AK2560" s="0" t="n">
        <v>27</v>
      </c>
      <c r="AL2560" s="0" t="n">
        <v>1.42</v>
      </c>
    </row>
    <row r="2561">
      <c r="A2561" s="0" t="inlineStr">
        <is>
          <t>[천호동]</t>
        </is>
      </c>
      <c r="B2561" s="0" t="n">
        <v>100463</v>
      </c>
      <c r="C2561" s="0" t="n">
        <v>3</v>
      </c>
      <c r="D2561" s="0" t="inlineStr">
        <is>
          <t>광남벨라스643V(A)</t>
        </is>
      </c>
      <c r="E2561" s="0" t="inlineStr">
        <is>
          <t>2003.02.</t>
        </is>
      </c>
      <c r="F2561" s="0" t="n">
        <v>19</v>
      </c>
      <c r="G2561" s="0" t="n">
        <v>28.46</v>
      </c>
      <c r="H2561" s="0" t="n">
        <v>94.09999999999999</v>
      </c>
      <c r="I2561" s="0" t="n">
        <v>25.6</v>
      </c>
      <c r="J2561" s="0" t="n">
        <v>84.66</v>
      </c>
      <c r="K2561" s="0" t="n">
        <v>1</v>
      </c>
      <c r="T2561" s="0" t="n">
        <v>3</v>
      </c>
      <c r="U2561" s="0" t="n">
        <v>1</v>
      </c>
      <c r="V2561" s="0" t="inlineStr">
        <is>
          <t>계단식</t>
        </is>
      </c>
      <c r="W2561" s="0" t="n">
        <v>94</v>
      </c>
      <c r="X2561" s="0" t="n">
        <v>7</v>
      </c>
      <c r="Y2561" s="0" t="n">
        <v>7</v>
      </c>
      <c r="Z2561" s="0" t="inlineStr">
        <is>
          <t>https://new.land.naver.com/complexes/100463?tab=detail&amp;rf=Y</t>
        </is>
      </c>
      <c r="AA2561" s="0" t="inlineStr">
        <is>
          <t>서울시 강동구 천호동 50-32</t>
        </is>
      </c>
      <c r="AB2561" s="0" t="inlineStr">
        <is>
          <t>서울시</t>
        </is>
      </c>
      <c r="AC2561" s="0" t="inlineStr">
        <is>
          <t>강동구</t>
        </is>
      </c>
      <c r="AD2561" s="0" t="inlineStr">
        <is>
          <t>천호동</t>
        </is>
      </c>
      <c r="AG2561" s="0" t="inlineStr">
        <is>
          <t>서울시 강동구 양재대로121길 16</t>
        </is>
      </c>
      <c r="AH2561" s="0" t="n">
        <v>0</v>
      </c>
      <c r="AI2561" s="0" t="n">
        <v>276</v>
      </c>
      <c r="AJ2561" s="0" t="n">
        <v>53</v>
      </c>
      <c r="AK2561" s="0" t="n">
        <v>27</v>
      </c>
      <c r="AL2561" s="0" t="n">
        <v>1.42</v>
      </c>
    </row>
    <row r="2562">
      <c r="A2562" s="0" t="inlineStr">
        <is>
          <t>[천호동]</t>
        </is>
      </c>
      <c r="B2562" s="0" t="n">
        <v>100463</v>
      </c>
      <c r="C2562" s="0" t="n">
        <v>4</v>
      </c>
      <c r="D2562" s="0" t="inlineStr">
        <is>
          <t>광남벨라스643V(A)</t>
        </is>
      </c>
      <c r="E2562" s="0" t="inlineStr">
        <is>
          <t>2003.02.</t>
        </is>
      </c>
      <c r="F2562" s="0" t="n">
        <v>19</v>
      </c>
      <c r="G2562" s="0" t="n">
        <v>37.29</v>
      </c>
      <c r="H2562" s="0" t="n">
        <v>123.3</v>
      </c>
      <c r="I2562" s="0" t="n">
        <v>33.55</v>
      </c>
      <c r="J2562" s="0" t="n">
        <v>110.94</v>
      </c>
      <c r="K2562" s="0" t="n">
        <v>1</v>
      </c>
      <c r="T2562" s="0" t="n">
        <v>3</v>
      </c>
      <c r="U2562" s="0" t="n">
        <v>1</v>
      </c>
      <c r="V2562" s="0" t="inlineStr">
        <is>
          <t>계단식</t>
        </is>
      </c>
      <c r="W2562" s="0" t="n">
        <v>123</v>
      </c>
      <c r="X2562" s="0" t="n">
        <v>7</v>
      </c>
      <c r="Y2562" s="0" t="n">
        <v>7</v>
      </c>
      <c r="Z2562" s="0" t="inlineStr">
        <is>
          <t>https://new.land.naver.com/complexes/100463?tab=detail&amp;rf=Y</t>
        </is>
      </c>
      <c r="AA2562" s="0" t="inlineStr">
        <is>
          <t>서울시 강동구 천호동 50-32</t>
        </is>
      </c>
      <c r="AB2562" s="0" t="inlineStr">
        <is>
          <t>서울시</t>
        </is>
      </c>
      <c r="AC2562" s="0" t="inlineStr">
        <is>
          <t>강동구</t>
        </is>
      </c>
      <c r="AD2562" s="0" t="inlineStr">
        <is>
          <t>천호동</t>
        </is>
      </c>
      <c r="AG2562" s="0" t="inlineStr">
        <is>
          <t>서울시 강동구 양재대로121길 16</t>
        </is>
      </c>
      <c r="AH2562" s="0" t="n">
        <v>0</v>
      </c>
      <c r="AI2562" s="0" t="n">
        <v>276</v>
      </c>
      <c r="AJ2562" s="0" t="n">
        <v>53</v>
      </c>
      <c r="AK2562" s="0" t="n">
        <v>27</v>
      </c>
      <c r="AL2562" s="0" t="n">
        <v>1.42</v>
      </c>
    </row>
    <row r="2563">
      <c r="A2563" s="0" t="inlineStr">
        <is>
          <t>[천호동]</t>
        </is>
      </c>
      <c r="B2563" s="0" t="n">
        <v>100463</v>
      </c>
      <c r="C2563" s="0" t="n">
        <v>5</v>
      </c>
      <c r="D2563" s="0" t="inlineStr">
        <is>
          <t>광남벨라스643V(A)</t>
        </is>
      </c>
      <c r="E2563" s="0" t="inlineStr">
        <is>
          <t>2003.02.</t>
        </is>
      </c>
      <c r="F2563" s="0" t="n">
        <v>19</v>
      </c>
      <c r="G2563" s="0" t="n">
        <v>41.54</v>
      </c>
      <c r="H2563" s="0" t="n">
        <v>137.33</v>
      </c>
      <c r="I2563" s="0" t="n">
        <v>37.37</v>
      </c>
      <c r="J2563" s="0" t="n">
        <v>123.55</v>
      </c>
      <c r="K2563" s="0" t="n">
        <v>5</v>
      </c>
      <c r="T2563" s="0" t="n">
        <v>3</v>
      </c>
      <c r="U2563" s="0" t="n">
        <v>1</v>
      </c>
      <c r="V2563" s="0" t="inlineStr">
        <is>
          <t>계단식</t>
        </is>
      </c>
      <c r="W2563" s="0" t="n">
        <v>137</v>
      </c>
      <c r="X2563" s="0" t="n">
        <v>7</v>
      </c>
      <c r="Y2563" s="0" t="n">
        <v>7</v>
      </c>
      <c r="Z2563" s="0" t="inlineStr">
        <is>
          <t>https://new.land.naver.com/complexes/100463?tab=detail&amp;rf=Y</t>
        </is>
      </c>
      <c r="AA2563" s="0" t="inlineStr">
        <is>
          <t>서울시 강동구 천호동 50-32</t>
        </is>
      </c>
      <c r="AB2563" s="0" t="inlineStr">
        <is>
          <t>서울시</t>
        </is>
      </c>
      <c r="AC2563" s="0" t="inlineStr">
        <is>
          <t>강동구</t>
        </is>
      </c>
      <c r="AD2563" s="0" t="inlineStr">
        <is>
          <t>천호동</t>
        </is>
      </c>
      <c r="AG2563" s="0" t="inlineStr">
        <is>
          <t>서울시 강동구 양재대로121길 16</t>
        </is>
      </c>
      <c r="AH2563" s="0" t="n">
        <v>0</v>
      </c>
      <c r="AI2563" s="0" t="n">
        <v>276</v>
      </c>
      <c r="AJ2563" s="0" t="n">
        <v>53</v>
      </c>
      <c r="AK2563" s="0" t="n">
        <v>27</v>
      </c>
      <c r="AL2563" s="0" t="n">
        <v>1.42</v>
      </c>
    </row>
    <row r="2564">
      <c r="A2564" s="0" t="inlineStr">
        <is>
          <t>[천호동]</t>
        </is>
      </c>
      <c r="B2564" s="0" t="n">
        <v>100463</v>
      </c>
      <c r="C2564" s="0" t="n">
        <v>6</v>
      </c>
      <c r="D2564" s="0" t="inlineStr">
        <is>
          <t>광남벨라스643V(A)</t>
        </is>
      </c>
      <c r="E2564" s="0" t="inlineStr">
        <is>
          <t>2003.02.</t>
        </is>
      </c>
      <c r="F2564" s="0" t="n">
        <v>19</v>
      </c>
      <c r="G2564" s="0" t="n">
        <v>42.49</v>
      </c>
      <c r="H2564" s="0" t="n">
        <v>140.49</v>
      </c>
      <c r="I2564" s="0" t="n">
        <v>38.23</v>
      </c>
      <c r="J2564" s="0" t="n">
        <v>126.4</v>
      </c>
      <c r="K2564" s="0" t="n">
        <v>6</v>
      </c>
      <c r="T2564" s="0" t="n">
        <v>3</v>
      </c>
      <c r="U2564" s="0" t="n">
        <v>1</v>
      </c>
      <c r="V2564" s="0" t="inlineStr">
        <is>
          <t>계단식</t>
        </is>
      </c>
      <c r="W2564" s="0" t="n">
        <v>140</v>
      </c>
      <c r="X2564" s="0" t="n">
        <v>7</v>
      </c>
      <c r="Y2564" s="0" t="n">
        <v>7</v>
      </c>
      <c r="Z2564" s="0" t="inlineStr">
        <is>
          <t>https://new.land.naver.com/complexes/100463?tab=detail&amp;rf=Y</t>
        </is>
      </c>
      <c r="AA2564" s="0" t="inlineStr">
        <is>
          <t>서울시 강동구 천호동 50-32</t>
        </is>
      </c>
      <c r="AB2564" s="0" t="inlineStr">
        <is>
          <t>서울시</t>
        </is>
      </c>
      <c r="AC2564" s="0" t="inlineStr">
        <is>
          <t>강동구</t>
        </is>
      </c>
      <c r="AD2564" s="0" t="inlineStr">
        <is>
          <t>천호동</t>
        </is>
      </c>
      <c r="AG2564" s="0" t="inlineStr">
        <is>
          <t>서울시 강동구 양재대로121길 16</t>
        </is>
      </c>
      <c r="AH2564" s="0" t="n">
        <v>0</v>
      </c>
      <c r="AI2564" s="0" t="n">
        <v>276</v>
      </c>
      <c r="AJ2564" s="0" t="n">
        <v>53</v>
      </c>
      <c r="AK2564" s="0" t="n">
        <v>27</v>
      </c>
      <c r="AL2564" s="0" t="n">
        <v>1.42</v>
      </c>
    </row>
    <row r="2565">
      <c r="A2565" s="0" t="inlineStr">
        <is>
          <t>[천호동]</t>
        </is>
      </c>
      <c r="B2565" s="0" t="n">
        <v>123136</v>
      </c>
      <c r="C2565" s="0" t="n">
        <v>1</v>
      </c>
      <c r="D2565" s="0" t="inlineStr">
        <is>
          <t>타워파크(도시형)</t>
        </is>
      </c>
      <c r="E2565" s="0" t="inlineStr">
        <is>
          <t>2014.09.</t>
        </is>
      </c>
      <c r="F2565" s="0" t="n">
        <v>12</v>
      </c>
      <c r="G2565" s="0" t="n">
        <v>10.58</v>
      </c>
      <c r="H2565" s="0" t="n">
        <v>35</v>
      </c>
      <c r="I2565" s="0" t="n">
        <v>9.02</v>
      </c>
      <c r="J2565" s="0" t="n">
        <v>29.85</v>
      </c>
      <c r="K2565" s="0" t="n">
        <v>4</v>
      </c>
      <c r="T2565" s="0" t="n">
        <v>1</v>
      </c>
      <c r="U2565" s="0" t="n">
        <v>1</v>
      </c>
      <c r="V2565" s="0" t="inlineStr">
        <is>
          <t>계단식</t>
        </is>
      </c>
      <c r="W2565" s="0" t="n">
        <v>35</v>
      </c>
      <c r="X2565" s="0" t="n">
        <v>5</v>
      </c>
      <c r="Y2565" s="0" t="n">
        <v>5</v>
      </c>
      <c r="Z2565" s="0" t="inlineStr">
        <is>
          <t>https://new.land.naver.com/complexes/123136?tab=detail&amp;rf=Y</t>
        </is>
      </c>
      <c r="AA2565" s="0" t="inlineStr">
        <is>
          <t>서울시 강동구 천호동 30-18</t>
        </is>
      </c>
      <c r="AB2565" s="0" t="inlineStr">
        <is>
          <t>서울시</t>
        </is>
      </c>
      <c r="AC2565" s="0" t="inlineStr">
        <is>
          <t>강동구</t>
        </is>
      </c>
      <c r="AD2565" s="0" t="inlineStr">
        <is>
          <t>천호동</t>
        </is>
      </c>
      <c r="AG2565" s="0" t="inlineStr">
        <is>
          <t>서울시 강동구 구천면로68길 47-1</t>
        </is>
      </c>
      <c r="AH2565" s="0" t="n">
        <v>0</v>
      </c>
      <c r="AI2565" s="0" t="n">
        <v>194</v>
      </c>
      <c r="AJ2565" s="0" t="n">
        <v>49</v>
      </c>
      <c r="AK2565" s="0" t="n">
        <v>9</v>
      </c>
      <c r="AL2565" s="0" t="n">
        <v>0.75</v>
      </c>
    </row>
    <row r="2566">
      <c r="A2566" s="0" t="inlineStr">
        <is>
          <t>[천호동]</t>
        </is>
      </c>
      <c r="B2566" s="0" t="n">
        <v>123136</v>
      </c>
      <c r="C2566" s="0" t="n">
        <v>2</v>
      </c>
      <c r="D2566" s="0" t="inlineStr">
        <is>
          <t>타워파크(도시형)</t>
        </is>
      </c>
      <c r="E2566" s="0" t="inlineStr">
        <is>
          <t>2014.09.</t>
        </is>
      </c>
      <c r="F2566" s="0" t="n">
        <v>12</v>
      </c>
      <c r="G2566" s="0" t="n">
        <v>19.09</v>
      </c>
      <c r="H2566" s="0" t="n">
        <v>63.11</v>
      </c>
      <c r="I2566" s="0" t="n">
        <v>16.28</v>
      </c>
      <c r="J2566" s="0" t="n">
        <v>53.83</v>
      </c>
      <c r="K2566" s="0" t="n">
        <v>8</v>
      </c>
      <c r="T2566" s="0" t="n">
        <v>2</v>
      </c>
      <c r="U2566" s="0" t="n">
        <v>1</v>
      </c>
      <c r="V2566" s="0" t="inlineStr">
        <is>
          <t>계단식</t>
        </is>
      </c>
      <c r="W2566" s="0" t="n">
        <v>63</v>
      </c>
      <c r="X2566" s="0" t="n">
        <v>5</v>
      </c>
      <c r="Y2566" s="0" t="n">
        <v>5</v>
      </c>
      <c r="Z2566" s="0" t="inlineStr">
        <is>
          <t>https://new.land.naver.com/complexes/123136?tab=detail&amp;rf=Y</t>
        </is>
      </c>
      <c r="AA2566" s="0" t="inlineStr">
        <is>
          <t>서울시 강동구 천호동 30-18</t>
        </is>
      </c>
      <c r="AB2566" s="0" t="inlineStr">
        <is>
          <t>서울시</t>
        </is>
      </c>
      <c r="AC2566" s="0" t="inlineStr">
        <is>
          <t>강동구</t>
        </is>
      </c>
      <c r="AD2566" s="0" t="inlineStr">
        <is>
          <t>천호동</t>
        </is>
      </c>
      <c r="AG2566" s="0" t="inlineStr">
        <is>
          <t>서울시 강동구 구천면로68길 47-1</t>
        </is>
      </c>
      <c r="AH2566" s="0" t="n">
        <v>0</v>
      </c>
      <c r="AI2566" s="0" t="n">
        <v>194</v>
      </c>
      <c r="AJ2566" s="0" t="n">
        <v>49</v>
      </c>
      <c r="AK2566" s="0" t="n">
        <v>9</v>
      </c>
      <c r="AL2566" s="0" t="n">
        <v>0.75</v>
      </c>
    </row>
    <row r="2567">
      <c r="A2567" s="0" t="inlineStr">
        <is>
          <t>[천호동]</t>
        </is>
      </c>
      <c r="B2567" s="0" t="n">
        <v>19176</v>
      </c>
      <c r="C2567" s="0" t="n">
        <v>1</v>
      </c>
      <c r="D2567" s="0" t="inlineStr">
        <is>
          <t>광남벨라스2차</t>
        </is>
      </c>
      <c r="E2567" s="0" t="inlineStr">
        <is>
          <t>2004.05.</t>
        </is>
      </c>
      <c r="F2567" s="0" t="n">
        <v>38</v>
      </c>
      <c r="G2567" s="0" t="n">
        <v>29.05</v>
      </c>
      <c r="H2567" s="0" t="n">
        <v>96.05</v>
      </c>
      <c r="I2567" s="0" t="n">
        <v>25.68</v>
      </c>
      <c r="J2567" s="0" t="n">
        <v>84.92</v>
      </c>
      <c r="K2567" s="0" t="n">
        <v>7</v>
      </c>
      <c r="T2567" s="0" t="n">
        <v>3</v>
      </c>
      <c r="U2567" s="0" t="n">
        <v>2</v>
      </c>
      <c r="V2567" s="0" t="inlineStr">
        <is>
          <t>계단식</t>
        </is>
      </c>
      <c r="W2567" s="0" t="n">
        <v>96</v>
      </c>
      <c r="X2567" s="0" t="n">
        <v>7</v>
      </c>
      <c r="Y2567" s="0" t="n">
        <v>7</v>
      </c>
      <c r="Z2567" s="0" t="inlineStr">
        <is>
          <t>https://new.land.naver.com/complexes/19176?tab=detail&amp;rf=Y</t>
        </is>
      </c>
      <c r="AA2567" s="0" t="inlineStr">
        <is>
          <t>서울시 강동구 천호동 53-6</t>
        </is>
      </c>
      <c r="AB2567" s="0" t="inlineStr">
        <is>
          <t>서울시</t>
        </is>
      </c>
      <c r="AC2567" s="0" t="inlineStr">
        <is>
          <t>강동구</t>
        </is>
      </c>
      <c r="AD2567" s="0" t="inlineStr">
        <is>
          <t>천호동</t>
        </is>
      </c>
      <c r="AG2567" s="0" t="inlineStr">
        <is>
          <t>서울시 강동구 양재대로121길 49</t>
        </is>
      </c>
      <c r="AH2567" s="0" t="n">
        <v>0</v>
      </c>
      <c r="AI2567" s="0" t="n">
        <v>0</v>
      </c>
      <c r="AJ2567" s="0" t="n">
        <v>0</v>
      </c>
      <c r="AK2567" s="0" t="n">
        <v>52</v>
      </c>
      <c r="AL2567" s="0" t="n">
        <v>1.37</v>
      </c>
    </row>
    <row r="2568">
      <c r="A2568" s="0" t="inlineStr">
        <is>
          <t>[천호동]</t>
        </is>
      </c>
      <c r="B2568" s="0" t="n">
        <v>19176</v>
      </c>
      <c r="C2568" s="0" t="n">
        <v>2</v>
      </c>
      <c r="D2568" s="0" t="inlineStr">
        <is>
          <t>광남벨라스2차</t>
        </is>
      </c>
      <c r="E2568" s="0" t="inlineStr">
        <is>
          <t>2004.05.</t>
        </is>
      </c>
      <c r="F2568" s="0" t="n">
        <v>38</v>
      </c>
      <c r="G2568" s="0" t="n">
        <v>29.92</v>
      </c>
      <c r="H2568" s="0" t="n">
        <v>98.92</v>
      </c>
      <c r="I2568" s="0" t="n">
        <v>25.68</v>
      </c>
      <c r="J2568" s="0" t="n">
        <v>84.92</v>
      </c>
      <c r="K2568" s="0" t="n">
        <v>7</v>
      </c>
      <c r="T2568" s="0" t="n">
        <v>3</v>
      </c>
      <c r="U2568" s="0" t="n">
        <v>2</v>
      </c>
      <c r="V2568" s="0" t="inlineStr">
        <is>
          <t>계단식</t>
        </is>
      </c>
      <c r="W2568" s="0" t="inlineStr">
        <is>
          <t>98B</t>
        </is>
      </c>
      <c r="X2568" s="0" t="n">
        <v>7</v>
      </c>
      <c r="Y2568" s="0" t="n">
        <v>7</v>
      </c>
      <c r="Z2568" s="0" t="inlineStr">
        <is>
          <t>https://new.land.naver.com/complexes/19176?tab=detail&amp;rf=Y</t>
        </is>
      </c>
      <c r="AA2568" s="0" t="inlineStr">
        <is>
          <t>서울시 강동구 천호동 53-6</t>
        </is>
      </c>
      <c r="AB2568" s="0" t="inlineStr">
        <is>
          <t>서울시</t>
        </is>
      </c>
      <c r="AC2568" s="0" t="inlineStr">
        <is>
          <t>강동구</t>
        </is>
      </c>
      <c r="AD2568" s="0" t="inlineStr">
        <is>
          <t>천호동</t>
        </is>
      </c>
      <c r="AG2568" s="0" t="inlineStr">
        <is>
          <t>서울시 강동구 양재대로121길 49</t>
        </is>
      </c>
      <c r="AH2568" s="0" t="n">
        <v>0</v>
      </c>
      <c r="AI2568" s="0" t="n">
        <v>0</v>
      </c>
      <c r="AJ2568" s="0" t="n">
        <v>0</v>
      </c>
      <c r="AK2568" s="0" t="n">
        <v>52</v>
      </c>
      <c r="AL2568" s="0" t="n">
        <v>1.37</v>
      </c>
    </row>
    <row r="2569">
      <c r="A2569" s="0" t="inlineStr">
        <is>
          <t>[천호동]</t>
        </is>
      </c>
      <c r="B2569" s="0" t="n">
        <v>19176</v>
      </c>
      <c r="C2569" s="0" t="n">
        <v>3</v>
      </c>
      <c r="D2569" s="0" t="inlineStr">
        <is>
          <t>광남벨라스2차</t>
        </is>
      </c>
      <c r="E2569" s="0" t="inlineStr">
        <is>
          <t>2004.05.</t>
        </is>
      </c>
      <c r="F2569" s="0" t="n">
        <v>38</v>
      </c>
      <c r="G2569" s="0" t="n">
        <v>29.83</v>
      </c>
      <c r="H2569" s="0" t="n">
        <v>98.63</v>
      </c>
      <c r="I2569" s="0" t="n">
        <v>25.61</v>
      </c>
      <c r="J2569" s="0" t="n">
        <v>84.67</v>
      </c>
      <c r="K2569" s="0" t="n">
        <v>6</v>
      </c>
      <c r="T2569" s="0" t="n">
        <v>3</v>
      </c>
      <c r="U2569" s="0" t="n">
        <v>2</v>
      </c>
      <c r="V2569" s="0" t="inlineStr">
        <is>
          <t>계단식</t>
        </is>
      </c>
      <c r="W2569" s="0" t="inlineStr">
        <is>
          <t>98A</t>
        </is>
      </c>
      <c r="X2569" s="0" t="n">
        <v>7</v>
      </c>
      <c r="Y2569" s="0" t="n">
        <v>7</v>
      </c>
      <c r="Z2569" s="0" t="inlineStr">
        <is>
          <t>https://new.land.naver.com/complexes/19176?tab=detail&amp;rf=Y</t>
        </is>
      </c>
      <c r="AA2569" s="0" t="inlineStr">
        <is>
          <t>서울시 강동구 천호동 53-6</t>
        </is>
      </c>
      <c r="AB2569" s="0" t="inlineStr">
        <is>
          <t>서울시</t>
        </is>
      </c>
      <c r="AC2569" s="0" t="inlineStr">
        <is>
          <t>강동구</t>
        </is>
      </c>
      <c r="AD2569" s="0" t="inlineStr">
        <is>
          <t>천호동</t>
        </is>
      </c>
      <c r="AG2569" s="0" t="inlineStr">
        <is>
          <t>서울시 강동구 양재대로121길 49</t>
        </is>
      </c>
      <c r="AH2569" s="0" t="n">
        <v>0</v>
      </c>
      <c r="AI2569" s="0" t="n">
        <v>0</v>
      </c>
      <c r="AJ2569" s="0" t="n">
        <v>0</v>
      </c>
      <c r="AK2569" s="0" t="n">
        <v>52</v>
      </c>
      <c r="AL2569" s="0" t="n">
        <v>1.37</v>
      </c>
    </row>
    <row r="2570">
      <c r="A2570" s="0" t="inlineStr">
        <is>
          <t>[천호동]</t>
        </is>
      </c>
      <c r="B2570" s="0" t="n">
        <v>19176</v>
      </c>
      <c r="C2570" s="0" t="n">
        <v>4</v>
      </c>
      <c r="D2570" s="0" t="inlineStr">
        <is>
          <t>광남벨라스2차</t>
        </is>
      </c>
      <c r="E2570" s="0" t="inlineStr">
        <is>
          <t>2004.05.</t>
        </is>
      </c>
      <c r="F2570" s="0" t="n">
        <v>38</v>
      </c>
      <c r="G2570" s="0" t="n">
        <v>39.56</v>
      </c>
      <c r="H2570" s="0" t="n">
        <v>130.79</v>
      </c>
      <c r="I2570" s="0" t="n">
        <v>34.97</v>
      </c>
      <c r="J2570" s="0" t="n">
        <v>115.63</v>
      </c>
      <c r="K2570" s="0" t="n">
        <v>1</v>
      </c>
      <c r="T2570" s="0" t="n">
        <v>3</v>
      </c>
      <c r="U2570" s="0" t="n">
        <v>2</v>
      </c>
      <c r="V2570" s="0" t="inlineStr">
        <is>
          <t>계단식</t>
        </is>
      </c>
      <c r="W2570" s="0" t="inlineStr">
        <is>
          <t>130A</t>
        </is>
      </c>
      <c r="X2570" s="0" t="n">
        <v>7</v>
      </c>
      <c r="Y2570" s="0" t="n">
        <v>7</v>
      </c>
      <c r="Z2570" s="0" t="inlineStr">
        <is>
          <t>https://new.land.naver.com/complexes/19176?tab=detail&amp;rf=Y</t>
        </is>
      </c>
      <c r="AA2570" s="0" t="inlineStr">
        <is>
          <t>서울시 강동구 천호동 53-6</t>
        </is>
      </c>
      <c r="AB2570" s="0" t="inlineStr">
        <is>
          <t>서울시</t>
        </is>
      </c>
      <c r="AC2570" s="0" t="inlineStr">
        <is>
          <t>강동구</t>
        </is>
      </c>
      <c r="AD2570" s="0" t="inlineStr">
        <is>
          <t>천호동</t>
        </is>
      </c>
      <c r="AG2570" s="0" t="inlineStr">
        <is>
          <t>서울시 강동구 양재대로121길 49</t>
        </is>
      </c>
      <c r="AH2570" s="0" t="n">
        <v>0</v>
      </c>
      <c r="AI2570" s="0" t="n">
        <v>0</v>
      </c>
      <c r="AJ2570" s="0" t="n">
        <v>0</v>
      </c>
      <c r="AK2570" s="0" t="n">
        <v>52</v>
      </c>
      <c r="AL2570" s="0" t="n">
        <v>1.37</v>
      </c>
    </row>
    <row r="2571">
      <c r="A2571" s="0" t="inlineStr">
        <is>
          <t>[천호동]</t>
        </is>
      </c>
      <c r="B2571" s="0" t="n">
        <v>19176</v>
      </c>
      <c r="C2571" s="0" t="n">
        <v>5</v>
      </c>
      <c r="D2571" s="0" t="inlineStr">
        <is>
          <t>광남벨라스2차</t>
        </is>
      </c>
      <c r="E2571" s="0" t="inlineStr">
        <is>
          <t>2004.05.</t>
        </is>
      </c>
      <c r="F2571" s="0" t="n">
        <v>38</v>
      </c>
      <c r="G2571" s="0" t="n">
        <v>40.28</v>
      </c>
      <c r="H2571" s="0" t="n">
        <v>133.17</v>
      </c>
      <c r="I2571" s="0" t="n">
        <v>35.61</v>
      </c>
      <c r="J2571" s="0" t="n">
        <v>117.74</v>
      </c>
      <c r="K2571" s="0" t="n">
        <v>5</v>
      </c>
      <c r="T2571" s="0" t="n">
        <v>3</v>
      </c>
      <c r="U2571" s="0" t="n">
        <v>2</v>
      </c>
      <c r="V2571" s="0" t="inlineStr">
        <is>
          <t>계단식</t>
        </is>
      </c>
      <c r="W2571" s="0" t="inlineStr">
        <is>
          <t>133B</t>
        </is>
      </c>
      <c r="X2571" s="0" t="n">
        <v>7</v>
      </c>
      <c r="Y2571" s="0" t="n">
        <v>7</v>
      </c>
      <c r="Z2571" s="0" t="inlineStr">
        <is>
          <t>https://new.land.naver.com/complexes/19176?tab=detail&amp;rf=Y</t>
        </is>
      </c>
      <c r="AA2571" s="0" t="inlineStr">
        <is>
          <t>서울시 강동구 천호동 53-6</t>
        </is>
      </c>
      <c r="AB2571" s="0" t="inlineStr">
        <is>
          <t>서울시</t>
        </is>
      </c>
      <c r="AC2571" s="0" t="inlineStr">
        <is>
          <t>강동구</t>
        </is>
      </c>
      <c r="AD2571" s="0" t="inlineStr">
        <is>
          <t>천호동</t>
        </is>
      </c>
      <c r="AG2571" s="0" t="inlineStr">
        <is>
          <t>서울시 강동구 양재대로121길 49</t>
        </is>
      </c>
      <c r="AH2571" s="0" t="n">
        <v>0</v>
      </c>
      <c r="AI2571" s="0" t="n">
        <v>0</v>
      </c>
      <c r="AJ2571" s="0" t="n">
        <v>0</v>
      </c>
      <c r="AK2571" s="0" t="n">
        <v>52</v>
      </c>
      <c r="AL2571" s="0" t="n">
        <v>1.37</v>
      </c>
    </row>
    <row r="2572">
      <c r="A2572" s="0" t="inlineStr">
        <is>
          <t>[천호동]</t>
        </is>
      </c>
      <c r="B2572" s="0" t="n">
        <v>19176</v>
      </c>
      <c r="C2572" s="0" t="n">
        <v>6</v>
      </c>
      <c r="D2572" s="0" t="inlineStr">
        <is>
          <t>광남벨라스2차</t>
        </is>
      </c>
      <c r="E2572" s="0" t="inlineStr">
        <is>
          <t>2004.05.</t>
        </is>
      </c>
      <c r="F2572" s="0" t="n">
        <v>38</v>
      </c>
      <c r="G2572" s="0" t="n">
        <v>40.55</v>
      </c>
      <c r="H2572" s="0" t="n">
        <v>134.06</v>
      </c>
      <c r="I2572" s="0" t="n">
        <v>34.81</v>
      </c>
      <c r="J2572" s="0" t="n">
        <v>115.08</v>
      </c>
      <c r="K2572" s="0" t="n">
        <v>1</v>
      </c>
      <c r="T2572" s="0" t="n">
        <v>4</v>
      </c>
      <c r="U2572" s="0" t="n">
        <v>2</v>
      </c>
      <c r="V2572" s="0" t="inlineStr">
        <is>
          <t>계단식</t>
        </is>
      </c>
      <c r="W2572" s="0" t="inlineStr">
        <is>
          <t>134A</t>
        </is>
      </c>
      <c r="X2572" s="0" t="n">
        <v>7</v>
      </c>
      <c r="Y2572" s="0" t="n">
        <v>7</v>
      </c>
      <c r="Z2572" s="0" t="inlineStr">
        <is>
          <t>https://new.land.naver.com/complexes/19176?tab=detail&amp;rf=Y</t>
        </is>
      </c>
      <c r="AA2572" s="0" t="inlineStr">
        <is>
          <t>서울시 강동구 천호동 53-6</t>
        </is>
      </c>
      <c r="AB2572" s="0" t="inlineStr">
        <is>
          <t>서울시</t>
        </is>
      </c>
      <c r="AC2572" s="0" t="inlineStr">
        <is>
          <t>강동구</t>
        </is>
      </c>
      <c r="AD2572" s="0" t="inlineStr">
        <is>
          <t>천호동</t>
        </is>
      </c>
      <c r="AG2572" s="0" t="inlineStr">
        <is>
          <t>서울시 강동구 양재대로121길 49</t>
        </is>
      </c>
      <c r="AH2572" s="0" t="n">
        <v>0</v>
      </c>
      <c r="AI2572" s="0" t="n">
        <v>0</v>
      </c>
      <c r="AJ2572" s="0" t="n">
        <v>0</v>
      </c>
      <c r="AK2572" s="0" t="n">
        <v>52</v>
      </c>
      <c r="AL2572" s="0" t="n">
        <v>1.37</v>
      </c>
    </row>
    <row r="2573">
      <c r="A2573" s="0" t="inlineStr">
        <is>
          <t>[천호동]</t>
        </is>
      </c>
      <c r="B2573" s="0" t="n">
        <v>19176</v>
      </c>
      <c r="C2573" s="0" t="n">
        <v>7</v>
      </c>
      <c r="D2573" s="0" t="inlineStr">
        <is>
          <t>광남벨라스2차</t>
        </is>
      </c>
      <c r="E2573" s="0" t="inlineStr">
        <is>
          <t>2004.05.</t>
        </is>
      </c>
      <c r="F2573" s="0" t="n">
        <v>38</v>
      </c>
      <c r="G2573" s="0" t="n">
        <v>41.36</v>
      </c>
      <c r="H2573" s="0" t="n">
        <v>136.73</v>
      </c>
      <c r="I2573" s="0" t="n">
        <v>35.5</v>
      </c>
      <c r="J2573" s="0" t="n">
        <v>117.38</v>
      </c>
      <c r="K2573" s="0" t="n">
        <v>1</v>
      </c>
      <c r="T2573" s="0" t="n">
        <v>3</v>
      </c>
      <c r="U2573" s="0" t="n">
        <v>2</v>
      </c>
      <c r="V2573" s="0" t="inlineStr">
        <is>
          <t>계단식</t>
        </is>
      </c>
      <c r="W2573" s="0" t="inlineStr">
        <is>
          <t>136B</t>
        </is>
      </c>
      <c r="X2573" s="0" t="n">
        <v>7</v>
      </c>
      <c r="Y2573" s="0" t="n">
        <v>7</v>
      </c>
      <c r="Z2573" s="0" t="inlineStr">
        <is>
          <t>https://new.land.naver.com/complexes/19176?tab=detail&amp;rf=Y</t>
        </is>
      </c>
      <c r="AA2573" s="0" t="inlineStr">
        <is>
          <t>서울시 강동구 천호동 53-6</t>
        </is>
      </c>
      <c r="AB2573" s="0" t="inlineStr">
        <is>
          <t>서울시</t>
        </is>
      </c>
      <c r="AC2573" s="0" t="inlineStr">
        <is>
          <t>강동구</t>
        </is>
      </c>
      <c r="AD2573" s="0" t="inlineStr">
        <is>
          <t>천호동</t>
        </is>
      </c>
      <c r="AG2573" s="0" t="inlineStr">
        <is>
          <t>서울시 강동구 양재대로121길 49</t>
        </is>
      </c>
      <c r="AH2573" s="0" t="n">
        <v>0</v>
      </c>
      <c r="AI2573" s="0" t="n">
        <v>0</v>
      </c>
      <c r="AJ2573" s="0" t="n">
        <v>0</v>
      </c>
      <c r="AK2573" s="0" t="n">
        <v>52</v>
      </c>
      <c r="AL2573" s="0" t="n">
        <v>1.37</v>
      </c>
    </row>
    <row r="2574">
      <c r="A2574" s="0" t="inlineStr">
        <is>
          <t>[천호동]</t>
        </is>
      </c>
      <c r="B2574" s="0" t="n">
        <v>19176</v>
      </c>
      <c r="C2574" s="0" t="n">
        <v>8</v>
      </c>
      <c r="D2574" s="0" t="inlineStr">
        <is>
          <t>광남벨라스2차</t>
        </is>
      </c>
      <c r="E2574" s="0" t="inlineStr">
        <is>
          <t>2004.05.</t>
        </is>
      </c>
      <c r="F2574" s="0" t="n">
        <v>38</v>
      </c>
      <c r="G2574" s="0" t="n">
        <v>41.44</v>
      </c>
      <c r="H2574" s="0" t="n">
        <v>137</v>
      </c>
      <c r="I2574" s="0" t="n">
        <v>35.57</v>
      </c>
      <c r="J2574" s="0" t="n">
        <v>117.6</v>
      </c>
      <c r="K2574" s="0" t="n">
        <v>4</v>
      </c>
      <c r="T2574" s="0" t="n">
        <v>3</v>
      </c>
      <c r="U2574" s="0" t="n">
        <v>2</v>
      </c>
      <c r="V2574" s="0" t="inlineStr">
        <is>
          <t>계단식</t>
        </is>
      </c>
      <c r="W2574" s="0" t="inlineStr">
        <is>
          <t>137C</t>
        </is>
      </c>
      <c r="X2574" s="0" t="n">
        <v>7</v>
      </c>
      <c r="Y2574" s="0" t="n">
        <v>7</v>
      </c>
      <c r="Z2574" s="0" t="inlineStr">
        <is>
          <t>https://new.land.naver.com/complexes/19176?tab=detail&amp;rf=Y</t>
        </is>
      </c>
      <c r="AA2574" s="0" t="inlineStr">
        <is>
          <t>서울시 강동구 천호동 53-6</t>
        </is>
      </c>
      <c r="AB2574" s="0" t="inlineStr">
        <is>
          <t>서울시</t>
        </is>
      </c>
      <c r="AC2574" s="0" t="inlineStr">
        <is>
          <t>강동구</t>
        </is>
      </c>
      <c r="AD2574" s="0" t="inlineStr">
        <is>
          <t>천호동</t>
        </is>
      </c>
      <c r="AG2574" s="0" t="inlineStr">
        <is>
          <t>서울시 강동구 양재대로121길 49</t>
        </is>
      </c>
      <c r="AH2574" s="0" t="n">
        <v>0</v>
      </c>
      <c r="AI2574" s="0" t="n">
        <v>0</v>
      </c>
      <c r="AJ2574" s="0" t="n">
        <v>0</v>
      </c>
      <c r="AK2574" s="0" t="n">
        <v>52</v>
      </c>
      <c r="AL2574" s="0" t="n">
        <v>1.37</v>
      </c>
    </row>
    <row r="2575">
      <c r="A2575" s="0" t="inlineStr">
        <is>
          <t>[천호동]</t>
        </is>
      </c>
      <c r="B2575" s="0" t="n">
        <v>19176</v>
      </c>
      <c r="C2575" s="0" t="n">
        <v>9</v>
      </c>
      <c r="D2575" s="0" t="inlineStr">
        <is>
          <t>광남벨라스2차</t>
        </is>
      </c>
      <c r="E2575" s="0" t="inlineStr">
        <is>
          <t>2004.05.</t>
        </is>
      </c>
      <c r="F2575" s="0" t="n">
        <v>38</v>
      </c>
      <c r="G2575" s="0" t="n">
        <v>42.41</v>
      </c>
      <c r="H2575" s="0" t="n">
        <v>140.23</v>
      </c>
      <c r="I2575" s="0" t="n">
        <v>37.5</v>
      </c>
      <c r="J2575" s="0" t="n">
        <v>123.97</v>
      </c>
      <c r="K2575" s="0" t="n">
        <v>1</v>
      </c>
      <c r="T2575" s="0" t="n">
        <v>3</v>
      </c>
      <c r="U2575" s="0" t="n">
        <v>2</v>
      </c>
      <c r="V2575" s="0" t="inlineStr">
        <is>
          <t>계단식</t>
        </is>
      </c>
      <c r="W2575" s="0" t="n">
        <v>140</v>
      </c>
      <c r="X2575" s="0" t="n">
        <v>7</v>
      </c>
      <c r="Y2575" s="0" t="n">
        <v>7</v>
      </c>
      <c r="Z2575" s="0" t="inlineStr">
        <is>
          <t>https://new.land.naver.com/complexes/19176?tab=detail&amp;rf=Y</t>
        </is>
      </c>
      <c r="AA2575" s="0" t="inlineStr">
        <is>
          <t>서울시 강동구 천호동 53-6</t>
        </is>
      </c>
      <c r="AB2575" s="0" t="inlineStr">
        <is>
          <t>서울시</t>
        </is>
      </c>
      <c r="AC2575" s="0" t="inlineStr">
        <is>
          <t>강동구</t>
        </is>
      </c>
      <c r="AD2575" s="0" t="inlineStr">
        <is>
          <t>천호동</t>
        </is>
      </c>
      <c r="AG2575" s="0" t="inlineStr">
        <is>
          <t>서울시 강동구 양재대로121길 49</t>
        </is>
      </c>
      <c r="AH2575" s="0" t="n">
        <v>0</v>
      </c>
      <c r="AI2575" s="0" t="n">
        <v>0</v>
      </c>
      <c r="AJ2575" s="0" t="n">
        <v>0</v>
      </c>
      <c r="AK2575" s="0" t="n">
        <v>52</v>
      </c>
      <c r="AL2575" s="0" t="n">
        <v>1.37</v>
      </c>
    </row>
    <row r="2576">
      <c r="A2576" s="0" t="inlineStr">
        <is>
          <t>[천호동]</t>
        </is>
      </c>
      <c r="B2576" s="0" t="n">
        <v>19176</v>
      </c>
      <c r="C2576" s="0" t="n">
        <v>10</v>
      </c>
      <c r="D2576" s="0" t="inlineStr">
        <is>
          <t>광남벨라스2차</t>
        </is>
      </c>
      <c r="E2576" s="0" t="inlineStr">
        <is>
          <t>2004.05.</t>
        </is>
      </c>
      <c r="F2576" s="0" t="n">
        <v>38</v>
      </c>
      <c r="G2576" s="0" t="n">
        <v>43</v>
      </c>
      <c r="H2576" s="0" t="n">
        <v>142.17</v>
      </c>
      <c r="I2576" s="0" t="n">
        <v>38.02</v>
      </c>
      <c r="J2576" s="0" t="n">
        <v>125.69</v>
      </c>
      <c r="K2576" s="0" t="n">
        <v>5</v>
      </c>
      <c r="T2576" s="0" t="n">
        <v>4</v>
      </c>
      <c r="U2576" s="0" t="n">
        <v>2</v>
      </c>
      <c r="V2576" s="0" t="inlineStr">
        <is>
          <t>계단식</t>
        </is>
      </c>
      <c r="W2576" s="0" t="n">
        <v>142</v>
      </c>
      <c r="X2576" s="0" t="n">
        <v>7</v>
      </c>
      <c r="Y2576" s="0" t="n">
        <v>7</v>
      </c>
      <c r="Z2576" s="0" t="inlineStr">
        <is>
          <t>https://new.land.naver.com/complexes/19176?tab=detail&amp;rf=Y</t>
        </is>
      </c>
      <c r="AA2576" s="0" t="inlineStr">
        <is>
          <t>서울시 강동구 천호동 53-6</t>
        </is>
      </c>
      <c r="AB2576" s="0" t="inlineStr">
        <is>
          <t>서울시</t>
        </is>
      </c>
      <c r="AC2576" s="0" t="inlineStr">
        <is>
          <t>강동구</t>
        </is>
      </c>
      <c r="AD2576" s="0" t="inlineStr">
        <is>
          <t>천호동</t>
        </is>
      </c>
      <c r="AG2576" s="0" t="inlineStr">
        <is>
          <t>서울시 강동구 양재대로121길 49</t>
        </is>
      </c>
      <c r="AH2576" s="0" t="n">
        <v>0</v>
      </c>
      <c r="AI2576" s="0" t="n">
        <v>0</v>
      </c>
      <c r="AJ2576" s="0" t="n">
        <v>0</v>
      </c>
      <c r="AK2576" s="0" t="n">
        <v>52</v>
      </c>
      <c r="AL2576" s="0" t="n">
        <v>1.37</v>
      </c>
    </row>
    <row r="2577">
      <c r="A2577" s="0" t="inlineStr">
        <is>
          <t>[천호동]</t>
        </is>
      </c>
      <c r="B2577" s="0" t="n">
        <v>134944</v>
      </c>
      <c r="C2577" s="0" t="n">
        <v>1</v>
      </c>
      <c r="D2577" s="0" t="inlineStr">
        <is>
          <t>스카이캐슬라(도시형)</t>
        </is>
      </c>
      <c r="E2577" s="0" t="inlineStr">
        <is>
          <t>2020.09.</t>
        </is>
      </c>
      <c r="F2577" s="0" t="n">
        <v>25</v>
      </c>
      <c r="G2577" s="0" t="n">
        <v>6.03</v>
      </c>
      <c r="H2577" s="0" t="n">
        <v>19.96</v>
      </c>
      <c r="I2577" s="0" t="n">
        <v>4.27</v>
      </c>
      <c r="J2577" s="0" t="n">
        <v>14.13</v>
      </c>
      <c r="K2577" s="0" t="n">
        <v>5</v>
      </c>
      <c r="T2577" s="0" t="n">
        <v>1</v>
      </c>
      <c r="U2577" s="0" t="n">
        <v>1</v>
      </c>
      <c r="V2577" s="0" t="inlineStr">
        <is>
          <t>계단식</t>
        </is>
      </c>
      <c r="W2577" s="0" t="inlineStr">
        <is>
          <t>19A</t>
        </is>
      </c>
      <c r="X2577" s="0" t="n">
        <v>11</v>
      </c>
      <c r="Y2577" s="0" t="n">
        <v>11</v>
      </c>
      <c r="Z2577" s="0" t="inlineStr">
        <is>
          <t>https://new.land.naver.com/complexes/134944?tab=detail&amp;rf=Y</t>
        </is>
      </c>
      <c r="AA2577" s="0" t="inlineStr">
        <is>
          <t>서울시 강동구 천호동 562</t>
        </is>
      </c>
      <c r="AB2577" s="0" t="inlineStr">
        <is>
          <t>서울시</t>
        </is>
      </c>
      <c r="AC2577" s="0" t="inlineStr">
        <is>
          <t>강동구</t>
        </is>
      </c>
      <c r="AD2577" s="0" t="inlineStr">
        <is>
          <t>천호동</t>
        </is>
      </c>
      <c r="AG2577" s="0" t="inlineStr">
        <is>
          <t>서울시 강동구 진황도로25길 18</t>
        </is>
      </c>
      <c r="AH2577" s="0" t="n">
        <v>0</v>
      </c>
      <c r="AI2577" s="0" t="n">
        <v>399</v>
      </c>
      <c r="AJ2577" s="0" t="n">
        <v>59</v>
      </c>
      <c r="AK2577" s="0" t="n">
        <v>12</v>
      </c>
      <c r="AL2577" s="0" t="n">
        <v>0.48</v>
      </c>
    </row>
    <row r="2578">
      <c r="A2578" s="0" t="inlineStr">
        <is>
          <t>[천호동]</t>
        </is>
      </c>
      <c r="B2578" s="0" t="n">
        <v>134944</v>
      </c>
      <c r="C2578" s="0" t="n">
        <v>2</v>
      </c>
      <c r="D2578" s="0" t="inlineStr">
        <is>
          <t>스카이캐슬라(도시형)</t>
        </is>
      </c>
      <c r="E2578" s="0" t="inlineStr">
        <is>
          <t>2020.09.</t>
        </is>
      </c>
      <c r="F2578" s="0" t="n">
        <v>25</v>
      </c>
      <c r="G2578" s="0" t="n">
        <v>6.19</v>
      </c>
      <c r="H2578" s="0" t="n">
        <v>20.48</v>
      </c>
      <c r="I2578" s="0" t="n">
        <v>4.38</v>
      </c>
      <c r="J2578" s="0" t="n">
        <v>14.5</v>
      </c>
      <c r="K2578" s="0" t="n">
        <v>5</v>
      </c>
      <c r="T2578" s="0" t="n">
        <v>1</v>
      </c>
      <c r="U2578" s="0" t="n">
        <v>1</v>
      </c>
      <c r="V2578" s="0" t="inlineStr">
        <is>
          <t>계단식</t>
        </is>
      </c>
      <c r="W2578" s="0" t="inlineStr">
        <is>
          <t>20B</t>
        </is>
      </c>
      <c r="X2578" s="0" t="n">
        <v>11</v>
      </c>
      <c r="Y2578" s="0" t="n">
        <v>11</v>
      </c>
      <c r="Z2578" s="0" t="inlineStr">
        <is>
          <t>https://new.land.naver.com/complexes/134944?tab=detail&amp;rf=Y</t>
        </is>
      </c>
      <c r="AA2578" s="0" t="inlineStr">
        <is>
          <t>서울시 강동구 천호동 562</t>
        </is>
      </c>
      <c r="AB2578" s="0" t="inlineStr">
        <is>
          <t>서울시</t>
        </is>
      </c>
      <c r="AC2578" s="0" t="inlineStr">
        <is>
          <t>강동구</t>
        </is>
      </c>
      <c r="AD2578" s="0" t="inlineStr">
        <is>
          <t>천호동</t>
        </is>
      </c>
      <c r="AG2578" s="0" t="inlineStr">
        <is>
          <t>서울시 강동구 진황도로25길 18</t>
        </is>
      </c>
      <c r="AH2578" s="0" t="n">
        <v>0</v>
      </c>
      <c r="AI2578" s="0" t="n">
        <v>399</v>
      </c>
      <c r="AJ2578" s="0" t="n">
        <v>59</v>
      </c>
      <c r="AK2578" s="0" t="n">
        <v>12</v>
      </c>
      <c r="AL2578" s="0" t="n">
        <v>0.48</v>
      </c>
    </row>
    <row r="2579">
      <c r="A2579" s="0" t="inlineStr">
        <is>
          <t>[천호동]</t>
        </is>
      </c>
      <c r="B2579" s="0" t="n">
        <v>134944</v>
      </c>
      <c r="C2579" s="0" t="n">
        <v>3</v>
      </c>
      <c r="D2579" s="0" t="inlineStr">
        <is>
          <t>스카이캐슬라(도시형)</t>
        </is>
      </c>
      <c r="E2579" s="0" t="inlineStr">
        <is>
          <t>2020.09.</t>
        </is>
      </c>
      <c r="F2579" s="0" t="n">
        <v>25</v>
      </c>
      <c r="G2579" s="0" t="n">
        <v>6.32</v>
      </c>
      <c r="H2579" s="0" t="n">
        <v>20.92</v>
      </c>
      <c r="I2579" s="0" t="n">
        <v>4.48</v>
      </c>
      <c r="J2579" s="0" t="n">
        <v>14.81</v>
      </c>
      <c r="K2579" s="0" t="n">
        <v>5</v>
      </c>
      <c r="T2579" s="0" t="n">
        <v>1</v>
      </c>
      <c r="U2579" s="0" t="n">
        <v>1</v>
      </c>
      <c r="V2579" s="0" t="inlineStr">
        <is>
          <t>계단식</t>
        </is>
      </c>
      <c r="W2579" s="0" t="inlineStr">
        <is>
          <t>20C</t>
        </is>
      </c>
      <c r="X2579" s="0" t="n">
        <v>11</v>
      </c>
      <c r="Y2579" s="0" t="n">
        <v>11</v>
      </c>
      <c r="Z2579" s="0" t="inlineStr">
        <is>
          <t>https://new.land.naver.com/complexes/134944?tab=detail&amp;rf=Y</t>
        </is>
      </c>
      <c r="AA2579" s="0" t="inlineStr">
        <is>
          <t>서울시 강동구 천호동 562</t>
        </is>
      </c>
      <c r="AB2579" s="0" t="inlineStr">
        <is>
          <t>서울시</t>
        </is>
      </c>
      <c r="AC2579" s="0" t="inlineStr">
        <is>
          <t>강동구</t>
        </is>
      </c>
      <c r="AD2579" s="0" t="inlineStr">
        <is>
          <t>천호동</t>
        </is>
      </c>
      <c r="AG2579" s="0" t="inlineStr">
        <is>
          <t>서울시 강동구 진황도로25길 18</t>
        </is>
      </c>
      <c r="AH2579" s="0" t="n">
        <v>0</v>
      </c>
      <c r="AI2579" s="0" t="n">
        <v>399</v>
      </c>
      <c r="AJ2579" s="0" t="n">
        <v>59</v>
      </c>
      <c r="AK2579" s="0" t="n">
        <v>12</v>
      </c>
      <c r="AL2579" s="0" t="n">
        <v>0.48</v>
      </c>
    </row>
    <row r="2580">
      <c r="A2580" s="0" t="inlineStr">
        <is>
          <t>[천호동]</t>
        </is>
      </c>
      <c r="B2580" s="0" t="n">
        <v>134944</v>
      </c>
      <c r="C2580" s="0" t="n">
        <v>4</v>
      </c>
      <c r="D2580" s="0" t="inlineStr">
        <is>
          <t>스카이캐슬라(도시형)</t>
        </is>
      </c>
      <c r="E2580" s="0" t="inlineStr">
        <is>
          <t>2020.09.</t>
        </is>
      </c>
      <c r="F2580" s="0" t="n">
        <v>25</v>
      </c>
      <c r="G2580" s="0" t="n">
        <v>6.5</v>
      </c>
      <c r="H2580" s="0" t="n">
        <v>21.49</v>
      </c>
      <c r="I2580" s="0" t="n">
        <v>4.6</v>
      </c>
      <c r="J2580" s="0" t="n">
        <v>15.21</v>
      </c>
      <c r="K2580" s="0" t="n">
        <v>5</v>
      </c>
      <c r="T2580" s="0" t="n">
        <v>1</v>
      </c>
      <c r="U2580" s="0" t="n">
        <v>1</v>
      </c>
      <c r="V2580" s="0" t="inlineStr">
        <is>
          <t>계단식</t>
        </is>
      </c>
      <c r="W2580" s="0" t="inlineStr">
        <is>
          <t>21A</t>
        </is>
      </c>
      <c r="X2580" s="0" t="n">
        <v>11</v>
      </c>
      <c r="Y2580" s="0" t="n">
        <v>11</v>
      </c>
      <c r="Z2580" s="0" t="inlineStr">
        <is>
          <t>https://new.land.naver.com/complexes/134944?tab=detail&amp;rf=Y</t>
        </is>
      </c>
      <c r="AA2580" s="0" t="inlineStr">
        <is>
          <t>서울시 강동구 천호동 562</t>
        </is>
      </c>
      <c r="AB2580" s="0" t="inlineStr">
        <is>
          <t>서울시</t>
        </is>
      </c>
      <c r="AC2580" s="0" t="inlineStr">
        <is>
          <t>강동구</t>
        </is>
      </c>
      <c r="AD2580" s="0" t="inlineStr">
        <is>
          <t>천호동</t>
        </is>
      </c>
      <c r="AG2580" s="0" t="inlineStr">
        <is>
          <t>서울시 강동구 진황도로25길 18</t>
        </is>
      </c>
      <c r="AH2580" s="0" t="n">
        <v>0</v>
      </c>
      <c r="AI2580" s="0" t="n">
        <v>399</v>
      </c>
      <c r="AJ2580" s="0" t="n">
        <v>59</v>
      </c>
      <c r="AK2580" s="0" t="n">
        <v>12</v>
      </c>
      <c r="AL2580" s="0" t="n">
        <v>0.48</v>
      </c>
    </row>
    <row r="2581">
      <c r="A2581" s="0" t="inlineStr">
        <is>
          <t>[천호동]</t>
        </is>
      </c>
      <c r="B2581" s="0" t="n">
        <v>134944</v>
      </c>
      <c r="C2581" s="0" t="n">
        <v>5</v>
      </c>
      <c r="D2581" s="0" t="inlineStr">
        <is>
          <t>스카이캐슬라(도시형)</t>
        </is>
      </c>
      <c r="E2581" s="0" t="inlineStr">
        <is>
          <t>2020.09.</t>
        </is>
      </c>
      <c r="F2581" s="0" t="n">
        <v>25</v>
      </c>
      <c r="G2581" s="0" t="n">
        <v>6.8</v>
      </c>
      <c r="H2581" s="0" t="n">
        <v>22.5</v>
      </c>
      <c r="I2581" s="0" t="n">
        <v>4.81</v>
      </c>
      <c r="J2581" s="0" t="n">
        <v>15.93</v>
      </c>
      <c r="K2581" s="0" t="n">
        <v>5</v>
      </c>
      <c r="T2581" s="0" t="n">
        <v>1</v>
      </c>
      <c r="U2581" s="0" t="n">
        <v>1</v>
      </c>
      <c r="V2581" s="0" t="inlineStr">
        <is>
          <t>계단식</t>
        </is>
      </c>
      <c r="W2581" s="0" t="inlineStr">
        <is>
          <t>22B</t>
        </is>
      </c>
      <c r="X2581" s="0" t="n">
        <v>11</v>
      </c>
      <c r="Y2581" s="0" t="n">
        <v>11</v>
      </c>
      <c r="Z2581" s="0" t="inlineStr">
        <is>
          <t>https://new.land.naver.com/complexes/134944?tab=detail&amp;rf=Y</t>
        </is>
      </c>
      <c r="AA2581" s="0" t="inlineStr">
        <is>
          <t>서울시 강동구 천호동 562</t>
        </is>
      </c>
      <c r="AB2581" s="0" t="inlineStr">
        <is>
          <t>서울시</t>
        </is>
      </c>
      <c r="AC2581" s="0" t="inlineStr">
        <is>
          <t>강동구</t>
        </is>
      </c>
      <c r="AD2581" s="0" t="inlineStr">
        <is>
          <t>천호동</t>
        </is>
      </c>
      <c r="AG2581" s="0" t="inlineStr">
        <is>
          <t>서울시 강동구 진황도로25길 18</t>
        </is>
      </c>
      <c r="AH2581" s="0" t="n">
        <v>0</v>
      </c>
      <c r="AI2581" s="0" t="n">
        <v>399</v>
      </c>
      <c r="AJ2581" s="0" t="n">
        <v>59</v>
      </c>
      <c r="AK2581" s="0" t="n">
        <v>12</v>
      </c>
      <c r="AL2581" s="0" t="n">
        <v>0.48</v>
      </c>
    </row>
    <row r="2582">
      <c r="A2582" s="0" t="inlineStr">
        <is>
          <t>[천호동]</t>
        </is>
      </c>
      <c r="B2582" s="0" t="n">
        <v>140926</v>
      </c>
      <c r="C2582" s="0" t="n">
        <v>1</v>
      </c>
      <c r="D2582" s="0" t="inlineStr">
        <is>
          <t>다성이즈빌(167-100,도시형)</t>
        </is>
      </c>
      <c r="E2582" s="0" t="inlineStr">
        <is>
          <t>2021.01.</t>
        </is>
      </c>
      <c r="F2582" s="0" t="n">
        <v>20</v>
      </c>
      <c r="G2582" s="0" t="n">
        <v>6.48</v>
      </c>
      <c r="H2582" s="0" t="n">
        <v>21.45</v>
      </c>
      <c r="I2582" s="0" t="n">
        <v>5.05</v>
      </c>
      <c r="J2582" s="0" t="n">
        <v>16.71</v>
      </c>
      <c r="K2582" s="0" t="n">
        <v>5</v>
      </c>
      <c r="T2582" s="0" t="n">
        <v>1</v>
      </c>
      <c r="U2582" s="0" t="n">
        <v>1</v>
      </c>
      <c r="V2582" s="0" t="inlineStr">
        <is>
          <t>계단식</t>
        </is>
      </c>
      <c r="W2582" s="0" t="n">
        <v>21</v>
      </c>
      <c r="X2582" s="0" t="n">
        <v>12</v>
      </c>
      <c r="Y2582" s="0" t="n">
        <v>12</v>
      </c>
      <c r="Z2582" s="0" t="inlineStr">
        <is>
          <t>https://new.land.naver.com/complexes/140926?tab=detail&amp;rf=Y</t>
        </is>
      </c>
      <c r="AA2582" s="0" t="inlineStr">
        <is>
          <t>서울시 강동구 천호동 167-100</t>
        </is>
      </c>
      <c r="AB2582" s="0" t="inlineStr">
        <is>
          <t>서울시</t>
        </is>
      </c>
      <c r="AC2582" s="0" t="inlineStr">
        <is>
          <t>강동구</t>
        </is>
      </c>
      <c r="AD2582" s="0" t="inlineStr">
        <is>
          <t>천호동</t>
        </is>
      </c>
      <c r="AG2582" s="0" t="inlineStr">
        <is>
          <t>서울시 강동구 성안로27길 57-30</t>
        </is>
      </c>
      <c r="AH2582" s="0" t="n">
        <v>0</v>
      </c>
      <c r="AI2582" s="0" t="n">
        <v>398</v>
      </c>
      <c r="AJ2582" s="0" t="n">
        <v>57</v>
      </c>
      <c r="AK2582" s="0" t="n">
        <v>10</v>
      </c>
      <c r="AL2582" s="0" t="n">
        <v>0.5</v>
      </c>
    </row>
    <row r="2583">
      <c r="A2583" s="0" t="inlineStr">
        <is>
          <t>[천호동]</t>
        </is>
      </c>
      <c r="B2583" s="0" t="n">
        <v>140926</v>
      </c>
      <c r="C2583" s="0" t="n">
        <v>2</v>
      </c>
      <c r="D2583" s="0" t="inlineStr">
        <is>
          <t>다성이즈빌(167-100,도시형)</t>
        </is>
      </c>
      <c r="E2583" s="0" t="inlineStr">
        <is>
          <t>2021.01.</t>
        </is>
      </c>
      <c r="F2583" s="0" t="n">
        <v>20</v>
      </c>
      <c r="G2583" s="0" t="n">
        <v>6.54</v>
      </c>
      <c r="H2583" s="0" t="n">
        <v>21.65</v>
      </c>
      <c r="I2583" s="0" t="n">
        <v>5.1</v>
      </c>
      <c r="J2583" s="0" t="n">
        <v>16.87</v>
      </c>
      <c r="K2583" s="0" t="n">
        <v>5</v>
      </c>
      <c r="T2583" s="0" t="n">
        <v>1</v>
      </c>
      <c r="U2583" s="0" t="n">
        <v>1</v>
      </c>
      <c r="V2583" s="0" t="inlineStr">
        <is>
          <t>계단식</t>
        </is>
      </c>
      <c r="W2583" s="0" t="inlineStr">
        <is>
          <t>21A</t>
        </is>
      </c>
      <c r="X2583" s="0" t="n">
        <v>12</v>
      </c>
      <c r="Y2583" s="0" t="n">
        <v>12</v>
      </c>
      <c r="Z2583" s="0" t="inlineStr">
        <is>
          <t>https://new.land.naver.com/complexes/140926?tab=detail&amp;rf=Y</t>
        </is>
      </c>
      <c r="AA2583" s="0" t="inlineStr">
        <is>
          <t>서울시 강동구 천호동 167-100</t>
        </is>
      </c>
      <c r="AB2583" s="0" t="inlineStr">
        <is>
          <t>서울시</t>
        </is>
      </c>
      <c r="AC2583" s="0" t="inlineStr">
        <is>
          <t>강동구</t>
        </is>
      </c>
      <c r="AD2583" s="0" t="inlineStr">
        <is>
          <t>천호동</t>
        </is>
      </c>
      <c r="AG2583" s="0" t="inlineStr">
        <is>
          <t>서울시 강동구 성안로27길 57-30</t>
        </is>
      </c>
      <c r="AH2583" s="0" t="n">
        <v>0</v>
      </c>
      <c r="AI2583" s="0" t="n">
        <v>398</v>
      </c>
      <c r="AJ2583" s="0" t="n">
        <v>57</v>
      </c>
      <c r="AK2583" s="0" t="n">
        <v>10</v>
      </c>
      <c r="AL2583" s="0" t="n">
        <v>0.5</v>
      </c>
    </row>
    <row r="2584">
      <c r="A2584" s="0" t="inlineStr">
        <is>
          <t>[천호동]</t>
        </is>
      </c>
      <c r="B2584" s="0" t="n">
        <v>140926</v>
      </c>
      <c r="C2584" s="0" t="n">
        <v>3</v>
      </c>
      <c r="D2584" s="0" t="inlineStr">
        <is>
          <t>다성이즈빌(167-100,도시형)</t>
        </is>
      </c>
      <c r="E2584" s="0" t="inlineStr">
        <is>
          <t>2021.01.</t>
        </is>
      </c>
      <c r="F2584" s="0" t="n">
        <v>20</v>
      </c>
      <c r="G2584" s="0" t="n">
        <v>7.54</v>
      </c>
      <c r="H2584" s="0" t="n">
        <v>24.95</v>
      </c>
      <c r="I2584" s="0" t="n">
        <v>5.88</v>
      </c>
      <c r="J2584" s="0" t="n">
        <v>19.44</v>
      </c>
      <c r="K2584" s="0" t="n">
        <v>5</v>
      </c>
      <c r="T2584" s="0" t="n">
        <v>1</v>
      </c>
      <c r="U2584" s="0" t="n">
        <v>1</v>
      </c>
      <c r="V2584" s="0" t="inlineStr">
        <is>
          <t>계단식</t>
        </is>
      </c>
      <c r="W2584" s="0" t="n">
        <v>24</v>
      </c>
      <c r="X2584" s="0" t="n">
        <v>12</v>
      </c>
      <c r="Y2584" s="0" t="n">
        <v>12</v>
      </c>
      <c r="Z2584" s="0" t="inlineStr">
        <is>
          <t>https://new.land.naver.com/complexes/140926?tab=detail&amp;rf=Y</t>
        </is>
      </c>
      <c r="AA2584" s="0" t="inlineStr">
        <is>
          <t>서울시 강동구 천호동 167-100</t>
        </is>
      </c>
      <c r="AB2584" s="0" t="inlineStr">
        <is>
          <t>서울시</t>
        </is>
      </c>
      <c r="AC2584" s="0" t="inlineStr">
        <is>
          <t>강동구</t>
        </is>
      </c>
      <c r="AD2584" s="0" t="inlineStr">
        <is>
          <t>천호동</t>
        </is>
      </c>
      <c r="AG2584" s="0" t="inlineStr">
        <is>
          <t>서울시 강동구 성안로27길 57-30</t>
        </is>
      </c>
      <c r="AH2584" s="0" t="n">
        <v>0</v>
      </c>
      <c r="AI2584" s="0" t="n">
        <v>398</v>
      </c>
      <c r="AJ2584" s="0" t="n">
        <v>57</v>
      </c>
      <c r="AK2584" s="0" t="n">
        <v>10</v>
      </c>
      <c r="AL2584" s="0" t="n">
        <v>0.5</v>
      </c>
    </row>
    <row r="2585">
      <c r="A2585" s="0" t="inlineStr">
        <is>
          <t>[천호동]</t>
        </is>
      </c>
      <c r="B2585" s="0" t="n">
        <v>140926</v>
      </c>
      <c r="C2585" s="0" t="n">
        <v>4</v>
      </c>
      <c r="D2585" s="0" t="inlineStr">
        <is>
          <t>다성이즈빌(167-100,도시형)</t>
        </is>
      </c>
      <c r="E2585" s="0" t="inlineStr">
        <is>
          <t>2021.01.</t>
        </is>
      </c>
      <c r="F2585" s="0" t="n">
        <v>20</v>
      </c>
      <c r="G2585" s="0" t="n">
        <v>7.46</v>
      </c>
      <c r="H2585" s="0" t="n">
        <v>24.68</v>
      </c>
      <c r="I2585" s="0" t="n">
        <v>5.81</v>
      </c>
      <c r="J2585" s="0" t="n">
        <v>19.23</v>
      </c>
      <c r="K2585" s="0" t="n">
        <v>5</v>
      </c>
      <c r="T2585" s="0" t="n">
        <v>1</v>
      </c>
      <c r="U2585" s="0" t="n">
        <v>1</v>
      </c>
      <c r="V2585" s="0" t="inlineStr">
        <is>
          <t>계단식</t>
        </is>
      </c>
      <c r="W2585" s="0" t="inlineStr">
        <is>
          <t>24B</t>
        </is>
      </c>
      <c r="X2585" s="0" t="n">
        <v>12</v>
      </c>
      <c r="Y2585" s="0" t="n">
        <v>12</v>
      </c>
      <c r="Z2585" s="0" t="inlineStr">
        <is>
          <t>https://new.land.naver.com/complexes/140926?tab=detail&amp;rf=Y</t>
        </is>
      </c>
      <c r="AA2585" s="0" t="inlineStr">
        <is>
          <t>서울시 강동구 천호동 167-100</t>
        </is>
      </c>
      <c r="AB2585" s="0" t="inlineStr">
        <is>
          <t>서울시</t>
        </is>
      </c>
      <c r="AC2585" s="0" t="inlineStr">
        <is>
          <t>강동구</t>
        </is>
      </c>
      <c r="AD2585" s="0" t="inlineStr">
        <is>
          <t>천호동</t>
        </is>
      </c>
      <c r="AG2585" s="0" t="inlineStr">
        <is>
          <t>서울시 강동구 성안로27길 57-30</t>
        </is>
      </c>
      <c r="AH2585" s="0" t="n">
        <v>0</v>
      </c>
      <c r="AI2585" s="0" t="n">
        <v>398</v>
      </c>
      <c r="AJ2585" s="0" t="n">
        <v>57</v>
      </c>
      <c r="AK2585" s="0" t="n">
        <v>10</v>
      </c>
      <c r="AL2585" s="0" t="n">
        <v>0.5</v>
      </c>
    </row>
    <row r="2586">
      <c r="A2586" s="0" t="inlineStr">
        <is>
          <t>[천호동]</t>
        </is>
      </c>
      <c r="B2586" s="0" t="n">
        <v>133403</v>
      </c>
      <c r="C2586" s="0" t="n">
        <v>1</v>
      </c>
      <c r="D2586" s="0" t="inlineStr">
        <is>
          <t>미사아름채(도시형)</t>
        </is>
      </c>
      <c r="E2586" s="0" t="inlineStr">
        <is>
          <t>2020.02.</t>
        </is>
      </c>
      <c r="F2586" s="0" t="n">
        <v>130</v>
      </c>
      <c r="G2586" s="0" t="n">
        <v>6.35</v>
      </c>
      <c r="H2586" s="0" t="n">
        <v>21.01</v>
      </c>
      <c r="I2586" s="0" t="n">
        <v>3.67</v>
      </c>
      <c r="J2586" s="0" t="n">
        <v>12.14</v>
      </c>
      <c r="K2586" s="0" t="n">
        <v>26</v>
      </c>
      <c r="T2586" s="0" t="n">
        <v>1</v>
      </c>
      <c r="U2586" s="0" t="n">
        <v>1</v>
      </c>
      <c r="V2586" s="0" t="inlineStr">
        <is>
          <t>계단식</t>
        </is>
      </c>
      <c r="W2586" s="0" t="n">
        <v>21</v>
      </c>
      <c r="X2586" s="0" t="n">
        <v>16</v>
      </c>
      <c r="Y2586" s="0" t="n">
        <v>16</v>
      </c>
      <c r="Z2586" s="0" t="inlineStr">
        <is>
          <t>https://new.land.naver.com/complexes/133403?tab=detail&amp;rf=Y</t>
        </is>
      </c>
      <c r="AA2586" s="0" t="inlineStr">
        <is>
          <t>서울시 강동구 천호동 452-15</t>
        </is>
      </c>
      <c r="AB2586" s="0" t="inlineStr">
        <is>
          <t>서울시</t>
        </is>
      </c>
      <c r="AC2586" s="0" t="inlineStr">
        <is>
          <t>강동구</t>
        </is>
      </c>
      <c r="AD2586" s="0" t="inlineStr">
        <is>
          <t>천호동</t>
        </is>
      </c>
      <c r="AG2586" s="0" t="inlineStr">
        <is>
          <t>서울시 강동구 천호대로159길 22-24</t>
        </is>
      </c>
      <c r="AH2586" s="0" t="n">
        <v>0</v>
      </c>
      <c r="AI2586" s="0" t="n">
        <v>553</v>
      </c>
      <c r="AJ2586" s="0" t="n">
        <v>59</v>
      </c>
      <c r="AK2586" s="0" t="n">
        <v>65</v>
      </c>
      <c r="AL2586" s="0" t="n">
        <v>0.5</v>
      </c>
    </row>
    <row r="2587">
      <c r="A2587" s="0" t="inlineStr">
        <is>
          <t>[천호동]</t>
        </is>
      </c>
      <c r="B2587" s="0" t="n">
        <v>133403</v>
      </c>
      <c r="C2587" s="0" t="n">
        <v>2</v>
      </c>
      <c r="D2587" s="0" t="inlineStr">
        <is>
          <t>미사아름채(도시형)</t>
        </is>
      </c>
      <c r="E2587" s="0" t="inlineStr">
        <is>
          <t>2020.02.</t>
        </is>
      </c>
      <c r="F2587" s="0" t="n">
        <v>130</v>
      </c>
      <c r="G2587" s="0" t="n">
        <v>6.58</v>
      </c>
      <c r="H2587" s="0" t="n">
        <v>21.77</v>
      </c>
      <c r="I2587" s="0" t="n">
        <v>3.79</v>
      </c>
      <c r="J2587" s="0" t="n">
        <v>12.56</v>
      </c>
      <c r="K2587" s="0" t="n">
        <v>13</v>
      </c>
      <c r="T2587" s="0" t="n">
        <v>1</v>
      </c>
      <c r="U2587" s="0" t="n">
        <v>1</v>
      </c>
      <c r="V2587" s="0" t="inlineStr">
        <is>
          <t>계단식</t>
        </is>
      </c>
      <c r="W2587" s="0" t="inlineStr">
        <is>
          <t>21A</t>
        </is>
      </c>
      <c r="X2587" s="0" t="n">
        <v>16</v>
      </c>
      <c r="Y2587" s="0" t="n">
        <v>16</v>
      </c>
      <c r="Z2587" s="0" t="inlineStr">
        <is>
          <t>https://new.land.naver.com/complexes/133403?tab=detail&amp;rf=Y</t>
        </is>
      </c>
      <c r="AA2587" s="0" t="inlineStr">
        <is>
          <t>서울시 강동구 천호동 452-15</t>
        </is>
      </c>
      <c r="AB2587" s="0" t="inlineStr">
        <is>
          <t>서울시</t>
        </is>
      </c>
      <c r="AC2587" s="0" t="inlineStr">
        <is>
          <t>강동구</t>
        </is>
      </c>
      <c r="AD2587" s="0" t="inlineStr">
        <is>
          <t>천호동</t>
        </is>
      </c>
      <c r="AG2587" s="0" t="inlineStr">
        <is>
          <t>서울시 강동구 천호대로159길 22-24</t>
        </is>
      </c>
      <c r="AH2587" s="0" t="n">
        <v>0</v>
      </c>
      <c r="AI2587" s="0" t="n">
        <v>553</v>
      </c>
      <c r="AJ2587" s="0" t="n">
        <v>59</v>
      </c>
      <c r="AK2587" s="0" t="n">
        <v>65</v>
      </c>
      <c r="AL2587" s="0" t="n">
        <v>0.5</v>
      </c>
    </row>
    <row r="2588">
      <c r="A2588" s="0" t="inlineStr">
        <is>
          <t>[천호동]</t>
        </is>
      </c>
      <c r="B2588" s="0" t="n">
        <v>133403</v>
      </c>
      <c r="C2588" s="0" t="n">
        <v>3</v>
      </c>
      <c r="D2588" s="0" t="inlineStr">
        <is>
          <t>미사아름채(도시형)</t>
        </is>
      </c>
      <c r="E2588" s="0" t="inlineStr">
        <is>
          <t>2020.02.</t>
        </is>
      </c>
      <c r="F2588" s="0" t="n">
        <v>130</v>
      </c>
      <c r="G2588" s="0" t="n">
        <v>6.8</v>
      </c>
      <c r="H2588" s="0" t="n">
        <v>22.49</v>
      </c>
      <c r="I2588" s="0" t="n">
        <v>3.92</v>
      </c>
      <c r="J2588" s="0" t="n">
        <v>12.99</v>
      </c>
      <c r="K2588" s="0" t="n">
        <v>52</v>
      </c>
      <c r="T2588" s="0" t="n">
        <v>1</v>
      </c>
      <c r="U2588" s="0" t="n">
        <v>1</v>
      </c>
      <c r="V2588" s="0" t="inlineStr">
        <is>
          <t>계단식</t>
        </is>
      </c>
      <c r="W2588" s="0" t="inlineStr">
        <is>
          <t>22C</t>
        </is>
      </c>
      <c r="X2588" s="0" t="n">
        <v>16</v>
      </c>
      <c r="Y2588" s="0" t="n">
        <v>16</v>
      </c>
      <c r="Z2588" s="0" t="inlineStr">
        <is>
          <t>https://new.land.naver.com/complexes/133403?tab=detail&amp;rf=Y</t>
        </is>
      </c>
      <c r="AA2588" s="0" t="inlineStr">
        <is>
          <t>서울시 강동구 천호동 452-15</t>
        </is>
      </c>
      <c r="AB2588" s="0" t="inlineStr">
        <is>
          <t>서울시</t>
        </is>
      </c>
      <c r="AC2588" s="0" t="inlineStr">
        <is>
          <t>강동구</t>
        </is>
      </c>
      <c r="AD2588" s="0" t="inlineStr">
        <is>
          <t>천호동</t>
        </is>
      </c>
      <c r="AG2588" s="0" t="inlineStr">
        <is>
          <t>서울시 강동구 천호대로159길 22-24</t>
        </is>
      </c>
      <c r="AH2588" s="0" t="n">
        <v>0</v>
      </c>
      <c r="AI2588" s="0" t="n">
        <v>553</v>
      </c>
      <c r="AJ2588" s="0" t="n">
        <v>59</v>
      </c>
      <c r="AK2588" s="0" t="n">
        <v>65</v>
      </c>
      <c r="AL2588" s="0" t="n">
        <v>0.5</v>
      </c>
    </row>
    <row r="2589">
      <c r="A2589" s="0" t="inlineStr">
        <is>
          <t>[천호동]</t>
        </is>
      </c>
      <c r="B2589" s="0" t="n">
        <v>133403</v>
      </c>
      <c r="C2589" s="0" t="n">
        <v>4</v>
      </c>
      <c r="D2589" s="0" t="inlineStr">
        <is>
          <t>미사아름채(도시형)</t>
        </is>
      </c>
      <c r="E2589" s="0" t="inlineStr">
        <is>
          <t>2020.02.</t>
        </is>
      </c>
      <c r="F2589" s="0" t="n">
        <v>130</v>
      </c>
      <c r="G2589" s="0" t="n">
        <v>6.73</v>
      </c>
      <c r="H2589" s="0" t="n">
        <v>22.25</v>
      </c>
      <c r="I2589" s="0" t="n">
        <v>3.81</v>
      </c>
      <c r="J2589" s="0" t="n">
        <v>12.62</v>
      </c>
      <c r="K2589" s="0" t="n">
        <v>13</v>
      </c>
      <c r="T2589" s="0" t="n">
        <v>1</v>
      </c>
      <c r="U2589" s="0" t="n">
        <v>1</v>
      </c>
      <c r="V2589" s="0" t="inlineStr">
        <is>
          <t>계단식</t>
        </is>
      </c>
      <c r="W2589" s="0" t="inlineStr">
        <is>
          <t>22B</t>
        </is>
      </c>
      <c r="X2589" s="0" t="n">
        <v>16</v>
      </c>
      <c r="Y2589" s="0" t="n">
        <v>16</v>
      </c>
      <c r="Z2589" s="0" t="inlineStr">
        <is>
          <t>https://new.land.naver.com/complexes/133403?tab=detail&amp;rf=Y</t>
        </is>
      </c>
      <c r="AA2589" s="0" t="inlineStr">
        <is>
          <t>서울시 강동구 천호동 452-15</t>
        </is>
      </c>
      <c r="AB2589" s="0" t="inlineStr">
        <is>
          <t>서울시</t>
        </is>
      </c>
      <c r="AC2589" s="0" t="inlineStr">
        <is>
          <t>강동구</t>
        </is>
      </c>
      <c r="AD2589" s="0" t="inlineStr">
        <is>
          <t>천호동</t>
        </is>
      </c>
      <c r="AG2589" s="0" t="inlineStr">
        <is>
          <t>서울시 강동구 천호대로159길 22-24</t>
        </is>
      </c>
      <c r="AH2589" s="0" t="n">
        <v>0</v>
      </c>
      <c r="AI2589" s="0" t="n">
        <v>553</v>
      </c>
      <c r="AJ2589" s="0" t="n">
        <v>59</v>
      </c>
      <c r="AK2589" s="0" t="n">
        <v>65</v>
      </c>
      <c r="AL2589" s="0" t="n">
        <v>0.5</v>
      </c>
    </row>
    <row r="2590">
      <c r="A2590" s="0" t="inlineStr">
        <is>
          <t>[천호동]</t>
        </is>
      </c>
      <c r="B2590" s="0" t="n">
        <v>133403</v>
      </c>
      <c r="C2590" s="0" t="n">
        <v>5</v>
      </c>
      <c r="D2590" s="0" t="inlineStr">
        <is>
          <t>미사아름채(도시형)</t>
        </is>
      </c>
      <c r="E2590" s="0" t="inlineStr">
        <is>
          <t>2020.02.</t>
        </is>
      </c>
      <c r="F2590" s="0" t="n">
        <v>130</v>
      </c>
      <c r="G2590" s="0" t="n">
        <v>6.88</v>
      </c>
      <c r="H2590" s="0" t="n">
        <v>22.76</v>
      </c>
      <c r="I2590" s="0" t="n">
        <v>3.93</v>
      </c>
      <c r="J2590" s="0" t="n">
        <v>13.01</v>
      </c>
      <c r="K2590" s="0" t="n">
        <v>13</v>
      </c>
      <c r="T2590" s="0" t="n">
        <v>1</v>
      </c>
      <c r="U2590" s="0" t="n">
        <v>1</v>
      </c>
      <c r="V2590" s="0" t="inlineStr">
        <is>
          <t>계단식</t>
        </is>
      </c>
      <c r="W2590" s="0" t="inlineStr">
        <is>
          <t>22D</t>
        </is>
      </c>
      <c r="X2590" s="0" t="n">
        <v>16</v>
      </c>
      <c r="Y2590" s="0" t="n">
        <v>16</v>
      </c>
      <c r="Z2590" s="0" t="inlineStr">
        <is>
          <t>https://new.land.naver.com/complexes/133403?tab=detail&amp;rf=Y</t>
        </is>
      </c>
      <c r="AA2590" s="0" t="inlineStr">
        <is>
          <t>서울시 강동구 천호동 452-15</t>
        </is>
      </c>
      <c r="AB2590" s="0" t="inlineStr">
        <is>
          <t>서울시</t>
        </is>
      </c>
      <c r="AC2590" s="0" t="inlineStr">
        <is>
          <t>강동구</t>
        </is>
      </c>
      <c r="AD2590" s="0" t="inlineStr">
        <is>
          <t>천호동</t>
        </is>
      </c>
      <c r="AG2590" s="0" t="inlineStr">
        <is>
          <t>서울시 강동구 천호대로159길 22-24</t>
        </is>
      </c>
      <c r="AH2590" s="0" t="n">
        <v>0</v>
      </c>
      <c r="AI2590" s="0" t="n">
        <v>553</v>
      </c>
      <c r="AJ2590" s="0" t="n">
        <v>59</v>
      </c>
      <c r="AK2590" s="0" t="n">
        <v>65</v>
      </c>
      <c r="AL2590" s="0" t="n">
        <v>0.5</v>
      </c>
    </row>
    <row r="2591">
      <c r="A2591" s="0" t="inlineStr">
        <is>
          <t>[천호동]</t>
        </is>
      </c>
      <c r="B2591" s="0" t="n">
        <v>133403</v>
      </c>
      <c r="C2591" s="0" t="n">
        <v>6</v>
      </c>
      <c r="D2591" s="0" t="inlineStr">
        <is>
          <t>미사아름채(도시형)</t>
        </is>
      </c>
      <c r="E2591" s="0" t="inlineStr">
        <is>
          <t>2020.02.</t>
        </is>
      </c>
      <c r="F2591" s="0" t="n">
        <v>130</v>
      </c>
      <c r="G2591" s="0" t="n">
        <v>6.97</v>
      </c>
      <c r="H2591" s="0" t="n">
        <v>23.07</v>
      </c>
      <c r="I2591" s="0" t="n">
        <v>4.02</v>
      </c>
      <c r="J2591" s="0" t="n">
        <v>13.32</v>
      </c>
      <c r="K2591" s="0" t="n">
        <v>13</v>
      </c>
      <c r="T2591" s="0" t="n">
        <v>1</v>
      </c>
      <c r="U2591" s="0" t="n">
        <v>1</v>
      </c>
      <c r="V2591" s="0" t="inlineStr">
        <is>
          <t>계단식</t>
        </is>
      </c>
      <c r="W2591" s="0" t="inlineStr">
        <is>
          <t>23E</t>
        </is>
      </c>
      <c r="X2591" s="0" t="n">
        <v>16</v>
      </c>
      <c r="Y2591" s="0" t="n">
        <v>16</v>
      </c>
      <c r="Z2591" s="0" t="inlineStr">
        <is>
          <t>https://new.land.naver.com/complexes/133403?tab=detail&amp;rf=Y</t>
        </is>
      </c>
      <c r="AA2591" s="0" t="inlineStr">
        <is>
          <t>서울시 강동구 천호동 452-15</t>
        </is>
      </c>
      <c r="AB2591" s="0" t="inlineStr">
        <is>
          <t>서울시</t>
        </is>
      </c>
      <c r="AC2591" s="0" t="inlineStr">
        <is>
          <t>강동구</t>
        </is>
      </c>
      <c r="AD2591" s="0" t="inlineStr">
        <is>
          <t>천호동</t>
        </is>
      </c>
      <c r="AG2591" s="0" t="inlineStr">
        <is>
          <t>서울시 강동구 천호대로159길 22-24</t>
        </is>
      </c>
      <c r="AH2591" s="0" t="n">
        <v>0</v>
      </c>
      <c r="AI2591" s="0" t="n">
        <v>553</v>
      </c>
      <c r="AJ2591" s="0" t="n">
        <v>59</v>
      </c>
      <c r="AK2591" s="0" t="n">
        <v>65</v>
      </c>
      <c r="AL2591" s="0" t="n">
        <v>0.5</v>
      </c>
    </row>
    <row r="2592">
      <c r="A2592" s="0" t="inlineStr">
        <is>
          <t>[천호동]</t>
        </is>
      </c>
      <c r="B2592" s="0" t="n">
        <v>1002</v>
      </c>
      <c r="C2592" s="0" t="n">
        <v>1</v>
      </c>
      <c r="D2592" s="0" t="inlineStr">
        <is>
          <t>삼익</t>
        </is>
      </c>
      <c r="E2592" s="0" t="inlineStr">
        <is>
          <t>1997.12.</t>
        </is>
      </c>
      <c r="F2592" s="0" t="n">
        <v>150</v>
      </c>
      <c r="G2592" s="0" t="n">
        <v>26.3</v>
      </c>
      <c r="H2592" s="0" t="n">
        <v>86.97</v>
      </c>
      <c r="I2592" s="0" t="n">
        <v>18.01</v>
      </c>
      <c r="J2592" s="0" t="n">
        <v>59.55</v>
      </c>
      <c r="K2592" s="0" t="n">
        <v>7</v>
      </c>
      <c r="T2592" s="0" t="n">
        <v>3</v>
      </c>
      <c r="U2592" s="0" t="n">
        <v>1</v>
      </c>
      <c r="V2592" s="0" t="inlineStr">
        <is>
          <t>계단식</t>
        </is>
      </c>
      <c r="W2592" s="0" t="inlineStr">
        <is>
          <t>86A</t>
        </is>
      </c>
      <c r="X2592" s="0" t="n">
        <v>15</v>
      </c>
      <c r="Y2592" s="0" t="n">
        <v>8</v>
      </c>
      <c r="Z2592" s="0" t="inlineStr">
        <is>
          <t>https://new.land.naver.com/complexes/1002?tab=detail&amp;rf=Y</t>
        </is>
      </c>
      <c r="AA2592" s="0" t="inlineStr">
        <is>
          <t>서울시 강동구 천호동 288-5</t>
        </is>
      </c>
      <c r="AB2592" s="0" t="inlineStr">
        <is>
          <t>서울시</t>
        </is>
      </c>
      <c r="AC2592" s="0" t="inlineStr">
        <is>
          <t>강동구</t>
        </is>
      </c>
      <c r="AD2592" s="0" t="inlineStr">
        <is>
          <t>천호동</t>
        </is>
      </c>
      <c r="AG2592" s="0" t="inlineStr">
        <is>
          <t>서울시 강동구 상암로12길 13</t>
        </is>
      </c>
      <c r="AH2592" s="0" t="n">
        <v>0</v>
      </c>
      <c r="AI2592" s="0" t="n">
        <v>295</v>
      </c>
      <c r="AJ2592" s="0" t="n">
        <v>29</v>
      </c>
      <c r="AK2592" s="0" t="n">
        <v>152</v>
      </c>
      <c r="AL2592" s="0" t="n">
        <v>1.01</v>
      </c>
    </row>
    <row r="2593">
      <c r="A2593" s="0" t="inlineStr">
        <is>
          <t>[천호동]</t>
        </is>
      </c>
      <c r="B2593" s="0" t="n">
        <v>1002</v>
      </c>
      <c r="C2593" s="0" t="n">
        <v>2</v>
      </c>
      <c r="D2593" s="0" t="inlineStr">
        <is>
          <t>삼익</t>
        </is>
      </c>
      <c r="E2593" s="0" t="inlineStr">
        <is>
          <t>1997.12.</t>
        </is>
      </c>
      <c r="F2593" s="0" t="n">
        <v>150</v>
      </c>
      <c r="G2593" s="0" t="n">
        <v>26.41</v>
      </c>
      <c r="H2593" s="0" t="n">
        <v>87.33</v>
      </c>
      <c r="I2593" s="0" t="n">
        <v>18.08</v>
      </c>
      <c r="J2593" s="0" t="n">
        <v>59.8</v>
      </c>
      <c r="K2593" s="0" t="n">
        <v>45</v>
      </c>
      <c r="T2593" s="0" t="n">
        <v>3</v>
      </c>
      <c r="U2593" s="0" t="n">
        <v>1</v>
      </c>
      <c r="V2593" s="0" t="inlineStr">
        <is>
          <t>계단식</t>
        </is>
      </c>
      <c r="W2593" s="0" t="inlineStr">
        <is>
          <t>87C</t>
        </is>
      </c>
      <c r="X2593" s="0" t="n">
        <v>15</v>
      </c>
      <c r="Y2593" s="0" t="n">
        <v>8</v>
      </c>
      <c r="Z2593" s="0" t="inlineStr">
        <is>
          <t>https://new.land.naver.com/complexes/1002?tab=detail&amp;rf=Y</t>
        </is>
      </c>
      <c r="AA2593" s="0" t="inlineStr">
        <is>
          <t>서울시 강동구 천호동 288-5</t>
        </is>
      </c>
      <c r="AB2593" s="0" t="inlineStr">
        <is>
          <t>서울시</t>
        </is>
      </c>
      <c r="AC2593" s="0" t="inlineStr">
        <is>
          <t>강동구</t>
        </is>
      </c>
      <c r="AD2593" s="0" t="inlineStr">
        <is>
          <t>천호동</t>
        </is>
      </c>
      <c r="AG2593" s="0" t="inlineStr">
        <is>
          <t>서울시 강동구 상암로12길 13</t>
        </is>
      </c>
      <c r="AH2593" s="0" t="n">
        <v>0</v>
      </c>
      <c r="AI2593" s="0" t="n">
        <v>295</v>
      </c>
      <c r="AJ2593" s="0" t="n">
        <v>29</v>
      </c>
      <c r="AK2593" s="0" t="n">
        <v>152</v>
      </c>
      <c r="AL2593" s="0" t="n">
        <v>1.01</v>
      </c>
    </row>
    <row r="2594">
      <c r="A2594" s="0" t="inlineStr">
        <is>
          <t>[천호동]</t>
        </is>
      </c>
      <c r="B2594" s="0" t="n">
        <v>1002</v>
      </c>
      <c r="C2594" s="0" t="n">
        <v>3</v>
      </c>
      <c r="D2594" s="0" t="inlineStr">
        <is>
          <t>삼익</t>
        </is>
      </c>
      <c r="E2594" s="0" t="inlineStr">
        <is>
          <t>1997.12.</t>
        </is>
      </c>
      <c r="F2594" s="0" t="n">
        <v>150</v>
      </c>
      <c r="G2594" s="0" t="n">
        <v>26.32</v>
      </c>
      <c r="H2594" s="0" t="n">
        <v>87.01000000000001</v>
      </c>
      <c r="I2594" s="0" t="n">
        <v>18.02</v>
      </c>
      <c r="J2594" s="0" t="n">
        <v>59.58</v>
      </c>
      <c r="K2594" s="0" t="n">
        <v>15</v>
      </c>
      <c r="T2594" s="0" t="n">
        <v>3</v>
      </c>
      <c r="U2594" s="0" t="n">
        <v>1</v>
      </c>
      <c r="V2594" s="0" t="inlineStr">
        <is>
          <t>계단식</t>
        </is>
      </c>
      <c r="W2594" s="0" t="inlineStr">
        <is>
          <t>87B</t>
        </is>
      </c>
      <c r="X2594" s="0" t="n">
        <v>15</v>
      </c>
      <c r="Y2594" s="0" t="n">
        <v>8</v>
      </c>
      <c r="Z2594" s="0" t="inlineStr">
        <is>
          <t>https://new.land.naver.com/complexes/1002?tab=detail&amp;rf=Y</t>
        </is>
      </c>
      <c r="AA2594" s="0" t="inlineStr">
        <is>
          <t>서울시 강동구 천호동 288-5</t>
        </is>
      </c>
      <c r="AB2594" s="0" t="inlineStr">
        <is>
          <t>서울시</t>
        </is>
      </c>
      <c r="AC2594" s="0" t="inlineStr">
        <is>
          <t>강동구</t>
        </is>
      </c>
      <c r="AD2594" s="0" t="inlineStr">
        <is>
          <t>천호동</t>
        </is>
      </c>
      <c r="AG2594" s="0" t="inlineStr">
        <is>
          <t>서울시 강동구 상암로12길 13</t>
        </is>
      </c>
      <c r="AH2594" s="0" t="n">
        <v>0</v>
      </c>
      <c r="AI2594" s="0" t="n">
        <v>295</v>
      </c>
      <c r="AJ2594" s="0" t="n">
        <v>29</v>
      </c>
      <c r="AK2594" s="0" t="n">
        <v>152</v>
      </c>
      <c r="AL2594" s="0" t="n">
        <v>1.01</v>
      </c>
    </row>
    <row r="2595">
      <c r="A2595" s="0" t="inlineStr">
        <is>
          <t>[천호동]</t>
        </is>
      </c>
      <c r="B2595" s="0" t="n">
        <v>1002</v>
      </c>
      <c r="C2595" s="0" t="n">
        <v>4</v>
      </c>
      <c r="D2595" s="0" t="inlineStr">
        <is>
          <t>삼익</t>
        </is>
      </c>
      <c r="E2595" s="0" t="inlineStr">
        <is>
          <t>1997.12.</t>
        </is>
      </c>
      <c r="F2595" s="0" t="n">
        <v>150</v>
      </c>
      <c r="G2595" s="0" t="n">
        <v>32.31</v>
      </c>
      <c r="H2595" s="0" t="n">
        <v>106.82</v>
      </c>
      <c r="I2595" s="0" t="n">
        <v>25.7</v>
      </c>
      <c r="J2595" s="0" t="n">
        <v>84.97</v>
      </c>
      <c r="K2595" s="0" t="n">
        <v>47</v>
      </c>
      <c r="T2595" s="0" t="n">
        <v>3</v>
      </c>
      <c r="U2595" s="0" t="n">
        <v>2</v>
      </c>
      <c r="V2595" s="0" t="inlineStr">
        <is>
          <t>계단식</t>
        </is>
      </c>
      <c r="W2595" s="0" t="n">
        <v>106</v>
      </c>
      <c r="X2595" s="0" t="n">
        <v>15</v>
      </c>
      <c r="Y2595" s="0" t="n">
        <v>8</v>
      </c>
      <c r="Z2595" s="0" t="inlineStr">
        <is>
          <t>https://new.land.naver.com/complexes/1002?tab=detail&amp;rf=Y</t>
        </is>
      </c>
      <c r="AA2595" s="0" t="inlineStr">
        <is>
          <t>서울시 강동구 천호동 288-5</t>
        </is>
      </c>
      <c r="AB2595" s="0" t="inlineStr">
        <is>
          <t>서울시</t>
        </is>
      </c>
      <c r="AC2595" s="0" t="inlineStr">
        <is>
          <t>강동구</t>
        </is>
      </c>
      <c r="AD2595" s="0" t="inlineStr">
        <is>
          <t>천호동</t>
        </is>
      </c>
      <c r="AG2595" s="0" t="inlineStr">
        <is>
          <t>서울시 강동구 상암로12길 13</t>
        </is>
      </c>
      <c r="AH2595" s="0" t="n">
        <v>0</v>
      </c>
      <c r="AI2595" s="0" t="n">
        <v>295</v>
      </c>
      <c r="AJ2595" s="0" t="n">
        <v>29</v>
      </c>
      <c r="AK2595" s="0" t="n">
        <v>152</v>
      </c>
      <c r="AL2595" s="0" t="n">
        <v>1.01</v>
      </c>
    </row>
    <row r="2596">
      <c r="A2596" s="0" t="inlineStr">
        <is>
          <t>[천호동]</t>
        </is>
      </c>
      <c r="B2596" s="0" t="n">
        <v>1002</v>
      </c>
      <c r="C2596" s="0" t="n">
        <v>5</v>
      </c>
      <c r="D2596" s="0" t="inlineStr">
        <is>
          <t>삼익</t>
        </is>
      </c>
      <c r="E2596" s="0" t="inlineStr">
        <is>
          <t>1997.12.</t>
        </is>
      </c>
      <c r="F2596" s="0" t="n">
        <v>150</v>
      </c>
      <c r="G2596" s="0" t="n">
        <v>33.67</v>
      </c>
      <c r="H2596" s="0" t="n">
        <v>111.33</v>
      </c>
      <c r="I2596" s="0" t="n">
        <v>25.6</v>
      </c>
      <c r="J2596" s="0" t="n">
        <v>84.66</v>
      </c>
      <c r="K2596" s="0" t="n">
        <v>11</v>
      </c>
      <c r="T2596" s="0" t="n">
        <v>3</v>
      </c>
      <c r="U2596" s="0" t="n">
        <v>2</v>
      </c>
      <c r="V2596" s="0" t="inlineStr">
        <is>
          <t>계단식</t>
        </is>
      </c>
      <c r="W2596" s="0" t="n">
        <v>111</v>
      </c>
      <c r="X2596" s="0" t="n">
        <v>15</v>
      </c>
      <c r="Y2596" s="0" t="n">
        <v>8</v>
      </c>
      <c r="Z2596" s="0" t="inlineStr">
        <is>
          <t>https://new.land.naver.com/complexes/1002?tab=detail&amp;rf=Y</t>
        </is>
      </c>
      <c r="AA2596" s="0" t="inlineStr">
        <is>
          <t>서울시 강동구 천호동 288-5</t>
        </is>
      </c>
      <c r="AB2596" s="0" t="inlineStr">
        <is>
          <t>서울시</t>
        </is>
      </c>
      <c r="AC2596" s="0" t="inlineStr">
        <is>
          <t>강동구</t>
        </is>
      </c>
      <c r="AD2596" s="0" t="inlineStr">
        <is>
          <t>천호동</t>
        </is>
      </c>
      <c r="AG2596" s="0" t="inlineStr">
        <is>
          <t>서울시 강동구 상암로12길 13</t>
        </is>
      </c>
      <c r="AH2596" s="0" t="n">
        <v>0</v>
      </c>
      <c r="AI2596" s="0" t="n">
        <v>295</v>
      </c>
      <c r="AJ2596" s="0" t="n">
        <v>29</v>
      </c>
      <c r="AK2596" s="0" t="n">
        <v>152</v>
      </c>
      <c r="AL2596" s="0" t="n">
        <v>1.01</v>
      </c>
    </row>
    <row r="2597">
      <c r="A2597" s="0" t="inlineStr">
        <is>
          <t>[천호동]</t>
        </is>
      </c>
      <c r="B2597" s="0" t="n">
        <v>1002</v>
      </c>
      <c r="C2597" s="0" t="n">
        <v>6</v>
      </c>
      <c r="D2597" s="0" t="inlineStr">
        <is>
          <t>삼익</t>
        </is>
      </c>
      <c r="E2597" s="0" t="inlineStr">
        <is>
          <t>1997.12.</t>
        </is>
      </c>
      <c r="F2597" s="0" t="n">
        <v>150</v>
      </c>
      <c r="G2597" s="0" t="n">
        <v>45.54</v>
      </c>
      <c r="H2597" s="0" t="n">
        <v>150.55</v>
      </c>
      <c r="I2597" s="0" t="n">
        <v>34.63</v>
      </c>
      <c r="J2597" s="0" t="n">
        <v>114.49</v>
      </c>
      <c r="K2597" s="0" t="n">
        <v>15</v>
      </c>
      <c r="T2597" s="0" t="n">
        <v>4</v>
      </c>
      <c r="U2597" s="0" t="n">
        <v>2</v>
      </c>
      <c r="V2597" s="0" t="inlineStr">
        <is>
          <t>계단식</t>
        </is>
      </c>
      <c r="W2597" s="0" t="inlineStr">
        <is>
          <t>150A</t>
        </is>
      </c>
      <c r="X2597" s="0" t="n">
        <v>15</v>
      </c>
      <c r="Y2597" s="0" t="n">
        <v>8</v>
      </c>
      <c r="Z2597" s="0" t="inlineStr">
        <is>
          <t>https://new.land.naver.com/complexes/1002?tab=detail&amp;rf=Y</t>
        </is>
      </c>
      <c r="AA2597" s="0" t="inlineStr">
        <is>
          <t>서울시 강동구 천호동 288-5</t>
        </is>
      </c>
      <c r="AB2597" s="0" t="inlineStr">
        <is>
          <t>서울시</t>
        </is>
      </c>
      <c r="AC2597" s="0" t="inlineStr">
        <is>
          <t>강동구</t>
        </is>
      </c>
      <c r="AD2597" s="0" t="inlineStr">
        <is>
          <t>천호동</t>
        </is>
      </c>
      <c r="AG2597" s="0" t="inlineStr">
        <is>
          <t>서울시 강동구 상암로12길 13</t>
        </is>
      </c>
      <c r="AH2597" s="0" t="n">
        <v>0</v>
      </c>
      <c r="AI2597" s="0" t="n">
        <v>295</v>
      </c>
      <c r="AJ2597" s="0" t="n">
        <v>29</v>
      </c>
      <c r="AK2597" s="0" t="n">
        <v>152</v>
      </c>
      <c r="AL2597" s="0" t="n">
        <v>1.01</v>
      </c>
    </row>
    <row r="2598">
      <c r="A2598" s="0" t="inlineStr">
        <is>
          <t>[천호동]</t>
        </is>
      </c>
      <c r="B2598" s="0" t="n">
        <v>1002</v>
      </c>
      <c r="C2598" s="0" t="n">
        <v>7</v>
      </c>
      <c r="D2598" s="0" t="inlineStr">
        <is>
          <t>삼익</t>
        </is>
      </c>
      <c r="E2598" s="0" t="inlineStr">
        <is>
          <t>1997.12.</t>
        </is>
      </c>
      <c r="F2598" s="0" t="n">
        <v>150</v>
      </c>
      <c r="G2598" s="0" t="n">
        <v>45.7</v>
      </c>
      <c r="H2598" s="0" t="n">
        <v>151.1</v>
      </c>
      <c r="I2598" s="0" t="n">
        <v>34.76</v>
      </c>
      <c r="J2598" s="0" t="n">
        <v>114.91</v>
      </c>
      <c r="K2598" s="0" t="n">
        <v>10</v>
      </c>
      <c r="T2598" s="0" t="n">
        <v>4</v>
      </c>
      <c r="U2598" s="0" t="n">
        <v>2</v>
      </c>
      <c r="V2598" s="0" t="inlineStr">
        <is>
          <t>계단식</t>
        </is>
      </c>
      <c r="W2598" s="0" t="inlineStr">
        <is>
          <t>151B</t>
        </is>
      </c>
      <c r="X2598" s="0" t="n">
        <v>15</v>
      </c>
      <c r="Y2598" s="0" t="n">
        <v>8</v>
      </c>
      <c r="Z2598" s="0" t="inlineStr">
        <is>
          <t>https://new.land.naver.com/complexes/1002?tab=detail&amp;rf=Y</t>
        </is>
      </c>
      <c r="AA2598" s="0" t="inlineStr">
        <is>
          <t>서울시 강동구 천호동 288-5</t>
        </is>
      </c>
      <c r="AB2598" s="0" t="inlineStr">
        <is>
          <t>서울시</t>
        </is>
      </c>
      <c r="AC2598" s="0" t="inlineStr">
        <is>
          <t>강동구</t>
        </is>
      </c>
      <c r="AD2598" s="0" t="inlineStr">
        <is>
          <t>천호동</t>
        </is>
      </c>
      <c r="AG2598" s="0" t="inlineStr">
        <is>
          <t>서울시 강동구 상암로12길 13</t>
        </is>
      </c>
      <c r="AH2598" s="0" t="n">
        <v>0</v>
      </c>
      <c r="AI2598" s="0" t="n">
        <v>295</v>
      </c>
      <c r="AJ2598" s="0" t="n">
        <v>29</v>
      </c>
      <c r="AK2598" s="0" t="n">
        <v>152</v>
      </c>
      <c r="AL2598" s="0" t="n">
        <v>1.01</v>
      </c>
    </row>
    <row r="2599">
      <c r="A2599" s="0" t="inlineStr">
        <is>
          <t>[천호동]</t>
        </is>
      </c>
      <c r="B2599" s="0" t="n">
        <v>10589</v>
      </c>
      <c r="C2599" s="0" t="n">
        <v>1</v>
      </c>
      <c r="D2599" s="0" t="inlineStr">
        <is>
          <t>천호(동성)</t>
        </is>
      </c>
      <c r="E2599" s="0" t="inlineStr">
        <is>
          <t>2002.08.</t>
        </is>
      </c>
      <c r="F2599" s="0" t="n">
        <v>19</v>
      </c>
      <c r="G2599" s="0" t="n">
        <v>29.09</v>
      </c>
      <c r="H2599" s="0" t="n">
        <v>96.17</v>
      </c>
      <c r="I2599" s="0" t="n">
        <v>25.49</v>
      </c>
      <c r="J2599" s="0" t="n">
        <v>84.28</v>
      </c>
      <c r="K2599" s="0" t="n">
        <v>15</v>
      </c>
      <c r="T2599" s="0" t="n">
        <v>3</v>
      </c>
      <c r="U2599" s="0" t="n">
        <v>2</v>
      </c>
      <c r="V2599" s="0" t="inlineStr">
        <is>
          <t>계단식</t>
        </is>
      </c>
      <c r="W2599" s="0" t="n">
        <v>96</v>
      </c>
      <c r="X2599" s="0" t="n">
        <v>6</v>
      </c>
      <c r="Y2599" s="0" t="n">
        <v>4</v>
      </c>
      <c r="Z2599" s="0" t="inlineStr">
        <is>
          <t>https://new.land.naver.com/complexes/10589?tab=detail&amp;rf=Y</t>
        </is>
      </c>
      <c r="AA2599" s="0" t="inlineStr">
        <is>
          <t>서울시 강동구 천호동 35-8</t>
        </is>
      </c>
      <c r="AB2599" s="0" t="inlineStr">
        <is>
          <t>서울시</t>
        </is>
      </c>
      <c r="AC2599" s="0" t="inlineStr">
        <is>
          <t>강동구</t>
        </is>
      </c>
      <c r="AD2599" s="0" t="inlineStr">
        <is>
          <t>천호동</t>
        </is>
      </c>
      <c r="AG2599" s="0" t="inlineStr">
        <is>
          <t>서울시 강동구 상암로41길 13</t>
        </is>
      </c>
      <c r="AH2599" s="0" t="n">
        <v>0</v>
      </c>
      <c r="AI2599" s="0" t="n">
        <v>249</v>
      </c>
      <c r="AJ2599" s="0" t="n">
        <v>52</v>
      </c>
      <c r="AK2599" s="0" t="n">
        <v>23</v>
      </c>
      <c r="AL2599" s="0" t="n">
        <v>1.21</v>
      </c>
    </row>
    <row r="2600">
      <c r="A2600" s="0" t="inlineStr">
        <is>
          <t>[천호동]</t>
        </is>
      </c>
      <c r="B2600" s="0" t="n">
        <v>10589</v>
      </c>
      <c r="C2600" s="0" t="n">
        <v>2</v>
      </c>
      <c r="D2600" s="0" t="inlineStr">
        <is>
          <t>천호(동성)</t>
        </is>
      </c>
      <c r="E2600" s="0" t="inlineStr">
        <is>
          <t>2002.08.</t>
        </is>
      </c>
      <c r="F2600" s="0" t="n">
        <v>19</v>
      </c>
      <c r="G2600" s="0" t="n">
        <v>36.55</v>
      </c>
      <c r="H2600" s="0" t="n">
        <v>120.83</v>
      </c>
      <c r="I2600" s="0" t="n">
        <v>32.02</v>
      </c>
      <c r="J2600" s="0" t="n">
        <v>105.86</v>
      </c>
      <c r="K2600" s="0" t="n">
        <v>2</v>
      </c>
      <c r="T2600" s="0" t="n">
        <v>4</v>
      </c>
      <c r="U2600" s="0" t="n">
        <v>2</v>
      </c>
      <c r="V2600" s="0" t="inlineStr">
        <is>
          <t>계단식</t>
        </is>
      </c>
      <c r="W2600" s="0" t="n">
        <v>120</v>
      </c>
      <c r="X2600" s="0" t="n">
        <v>6</v>
      </c>
      <c r="Y2600" s="0" t="n">
        <v>4</v>
      </c>
      <c r="Z2600" s="0" t="inlineStr">
        <is>
          <t>https://new.land.naver.com/complexes/10589?tab=detail&amp;rf=Y</t>
        </is>
      </c>
      <c r="AA2600" s="0" t="inlineStr">
        <is>
          <t>서울시 강동구 천호동 35-8</t>
        </is>
      </c>
      <c r="AB2600" s="0" t="inlineStr">
        <is>
          <t>서울시</t>
        </is>
      </c>
      <c r="AC2600" s="0" t="inlineStr">
        <is>
          <t>강동구</t>
        </is>
      </c>
      <c r="AD2600" s="0" t="inlineStr">
        <is>
          <t>천호동</t>
        </is>
      </c>
      <c r="AG2600" s="0" t="inlineStr">
        <is>
          <t>서울시 강동구 상암로41길 13</t>
        </is>
      </c>
      <c r="AH2600" s="0" t="n">
        <v>0</v>
      </c>
      <c r="AI2600" s="0" t="n">
        <v>249</v>
      </c>
      <c r="AJ2600" s="0" t="n">
        <v>52</v>
      </c>
      <c r="AK2600" s="0" t="n">
        <v>23</v>
      </c>
      <c r="AL2600" s="0" t="n">
        <v>1.21</v>
      </c>
    </row>
    <row r="2601">
      <c r="A2601" s="0" t="inlineStr">
        <is>
          <t>[천호동]</t>
        </is>
      </c>
      <c r="B2601" s="0" t="n">
        <v>10589</v>
      </c>
      <c r="C2601" s="0" t="n">
        <v>3</v>
      </c>
      <c r="D2601" s="0" t="inlineStr">
        <is>
          <t>천호(동성)</t>
        </is>
      </c>
      <c r="E2601" s="0" t="inlineStr">
        <is>
          <t>2002.08.</t>
        </is>
      </c>
      <c r="F2601" s="0" t="n">
        <v>19</v>
      </c>
      <c r="G2601" s="0" t="n">
        <v>43.48</v>
      </c>
      <c r="H2601" s="0" t="n">
        <v>143.76</v>
      </c>
      <c r="I2601" s="0" t="n">
        <v>38.09</v>
      </c>
      <c r="J2601" s="0" t="n">
        <v>125.95</v>
      </c>
      <c r="K2601" s="0" t="n">
        <v>2</v>
      </c>
      <c r="T2601" s="0" t="n">
        <v>4</v>
      </c>
      <c r="U2601" s="0" t="n">
        <v>2</v>
      </c>
      <c r="V2601" s="0" t="inlineStr">
        <is>
          <t>계단식</t>
        </is>
      </c>
      <c r="W2601" s="0" t="n">
        <v>143</v>
      </c>
      <c r="X2601" s="0" t="n">
        <v>6</v>
      </c>
      <c r="Y2601" s="0" t="n">
        <v>4</v>
      </c>
      <c r="Z2601" s="0" t="inlineStr">
        <is>
          <t>https://new.land.naver.com/complexes/10589?tab=detail&amp;rf=Y</t>
        </is>
      </c>
      <c r="AA2601" s="0" t="inlineStr">
        <is>
          <t>서울시 강동구 천호동 35-8</t>
        </is>
      </c>
      <c r="AB2601" s="0" t="inlineStr">
        <is>
          <t>서울시</t>
        </is>
      </c>
      <c r="AC2601" s="0" t="inlineStr">
        <is>
          <t>강동구</t>
        </is>
      </c>
      <c r="AD2601" s="0" t="inlineStr">
        <is>
          <t>천호동</t>
        </is>
      </c>
      <c r="AG2601" s="0" t="inlineStr">
        <is>
          <t>서울시 강동구 상암로41길 13</t>
        </is>
      </c>
      <c r="AH2601" s="0" t="n">
        <v>0</v>
      </c>
      <c r="AI2601" s="0" t="n">
        <v>249</v>
      </c>
      <c r="AJ2601" s="0" t="n">
        <v>52</v>
      </c>
      <c r="AK2601" s="0" t="n">
        <v>23</v>
      </c>
      <c r="AL2601" s="0" t="n">
        <v>1.21</v>
      </c>
    </row>
    <row r="2602">
      <c r="A2602" s="0" t="inlineStr">
        <is>
          <t>[천호동]</t>
        </is>
      </c>
      <c r="B2602" s="0" t="n">
        <v>3125</v>
      </c>
      <c r="C2602" s="0" t="n">
        <v>1</v>
      </c>
      <c r="D2602" s="0" t="inlineStr">
        <is>
          <t>현대프라자</t>
        </is>
      </c>
      <c r="E2602" s="0" t="inlineStr">
        <is>
          <t>1990.06.</t>
        </is>
      </c>
      <c r="F2602" s="0" t="n">
        <v>112</v>
      </c>
      <c r="G2602" s="0" t="n">
        <v>12.48</v>
      </c>
      <c r="H2602" s="0" t="n">
        <v>41.27</v>
      </c>
      <c r="I2602" s="0" t="n">
        <v>9.83</v>
      </c>
      <c r="J2602" s="0" t="n">
        <v>32.51</v>
      </c>
      <c r="K2602" s="0" t="n">
        <v>2</v>
      </c>
      <c r="T2602" s="0" t="n">
        <v>1</v>
      </c>
      <c r="U2602" s="0" t="n">
        <v>1</v>
      </c>
      <c r="V2602" s="0" t="inlineStr">
        <is>
          <t>복도식</t>
        </is>
      </c>
      <c r="W2602" s="0" t="n">
        <v>41</v>
      </c>
      <c r="X2602" s="0" t="n">
        <v>13</v>
      </c>
      <c r="Y2602" s="0" t="n">
        <v>11</v>
      </c>
      <c r="Z2602" s="0" t="inlineStr">
        <is>
          <t>https://new.land.naver.com/complexes/3125?tab=detail&amp;rf=Y</t>
        </is>
      </c>
      <c r="AA2602" s="0" t="inlineStr">
        <is>
          <t>서울시 강동구 천호동 410-105</t>
        </is>
      </c>
      <c r="AB2602" s="0" t="inlineStr">
        <is>
          <t>서울시</t>
        </is>
      </c>
      <c r="AC2602" s="0" t="inlineStr">
        <is>
          <t>강동구</t>
        </is>
      </c>
      <c r="AD2602" s="0" t="inlineStr">
        <is>
          <t>천호동</t>
        </is>
      </c>
      <c r="AG2602" s="0" t="inlineStr">
        <is>
          <t>서울시 강동구 진황도로 18</t>
        </is>
      </c>
      <c r="AH2602" s="0" t="n">
        <v>0</v>
      </c>
      <c r="AI2602" s="0" t="n">
        <v>475</v>
      </c>
      <c r="AJ2602" s="0" t="n">
        <v>49</v>
      </c>
      <c r="AK2602" s="0" t="n">
        <v>241</v>
      </c>
      <c r="AL2602" s="0" t="n">
        <v>2.15</v>
      </c>
    </row>
    <row r="2603">
      <c r="A2603" s="0" t="inlineStr">
        <is>
          <t>[천호동]</t>
        </is>
      </c>
      <c r="B2603" s="0" t="n">
        <v>3125</v>
      </c>
      <c r="C2603" s="0" t="n">
        <v>2</v>
      </c>
      <c r="D2603" s="0" t="inlineStr">
        <is>
          <t>현대프라자</t>
        </is>
      </c>
      <c r="E2603" s="0" t="inlineStr">
        <is>
          <t>1990.06.</t>
        </is>
      </c>
      <c r="F2603" s="0" t="n">
        <v>112</v>
      </c>
      <c r="G2603" s="0" t="n">
        <v>13.51</v>
      </c>
      <c r="H2603" s="0" t="n">
        <v>44.69</v>
      </c>
      <c r="I2603" s="0" t="n">
        <v>10.64</v>
      </c>
      <c r="J2603" s="0" t="n">
        <v>35.2</v>
      </c>
      <c r="K2603" s="0" t="n">
        <v>2</v>
      </c>
      <c r="T2603" s="0" t="n">
        <v>1</v>
      </c>
      <c r="U2603" s="0" t="n">
        <v>1</v>
      </c>
      <c r="V2603" s="0" t="inlineStr">
        <is>
          <t>복도식</t>
        </is>
      </c>
      <c r="W2603" s="0" t="n">
        <v>44</v>
      </c>
      <c r="X2603" s="0" t="n">
        <v>13</v>
      </c>
      <c r="Y2603" s="0" t="n">
        <v>11</v>
      </c>
      <c r="Z2603" s="0" t="inlineStr">
        <is>
          <t>https://new.land.naver.com/complexes/3125?tab=detail&amp;rf=Y</t>
        </is>
      </c>
      <c r="AA2603" s="0" t="inlineStr">
        <is>
          <t>서울시 강동구 천호동 410-105</t>
        </is>
      </c>
      <c r="AB2603" s="0" t="inlineStr">
        <is>
          <t>서울시</t>
        </is>
      </c>
      <c r="AC2603" s="0" t="inlineStr">
        <is>
          <t>강동구</t>
        </is>
      </c>
      <c r="AD2603" s="0" t="inlineStr">
        <is>
          <t>천호동</t>
        </is>
      </c>
      <c r="AG2603" s="0" t="inlineStr">
        <is>
          <t>서울시 강동구 진황도로 18</t>
        </is>
      </c>
      <c r="AH2603" s="0" t="n">
        <v>0</v>
      </c>
      <c r="AI2603" s="0" t="n">
        <v>475</v>
      </c>
      <c r="AJ2603" s="0" t="n">
        <v>49</v>
      </c>
      <c r="AK2603" s="0" t="n">
        <v>241</v>
      </c>
      <c r="AL2603" s="0" t="n">
        <v>2.15</v>
      </c>
    </row>
    <row r="2604">
      <c r="A2604" s="0" t="inlineStr">
        <is>
          <t>[천호동]</t>
        </is>
      </c>
      <c r="B2604" s="0" t="n">
        <v>3125</v>
      </c>
      <c r="C2604" s="0" t="n">
        <v>3</v>
      </c>
      <c r="D2604" s="0" t="inlineStr">
        <is>
          <t>현대프라자</t>
        </is>
      </c>
      <c r="E2604" s="0" t="inlineStr">
        <is>
          <t>1990.06.</t>
        </is>
      </c>
      <c r="F2604" s="0" t="n">
        <v>112</v>
      </c>
      <c r="G2604" s="0" t="n">
        <v>15.81</v>
      </c>
      <c r="H2604" s="0" t="n">
        <v>52.28</v>
      </c>
      <c r="I2604" s="0" t="n">
        <v>12.45</v>
      </c>
      <c r="J2604" s="0" t="n">
        <v>41.17</v>
      </c>
      <c r="K2604" s="0" t="n">
        <v>2</v>
      </c>
      <c r="T2604" s="0" t="n">
        <v>1</v>
      </c>
      <c r="U2604" s="0" t="n">
        <v>1</v>
      </c>
      <c r="V2604" s="0" t="inlineStr">
        <is>
          <t>복도식</t>
        </is>
      </c>
      <c r="W2604" s="0" t="n">
        <v>52</v>
      </c>
      <c r="X2604" s="0" t="n">
        <v>13</v>
      </c>
      <c r="Y2604" s="0" t="n">
        <v>11</v>
      </c>
      <c r="Z2604" s="0" t="inlineStr">
        <is>
          <t>https://new.land.naver.com/complexes/3125?tab=detail&amp;rf=Y</t>
        </is>
      </c>
      <c r="AA2604" s="0" t="inlineStr">
        <is>
          <t>서울시 강동구 천호동 410-105</t>
        </is>
      </c>
      <c r="AB2604" s="0" t="inlineStr">
        <is>
          <t>서울시</t>
        </is>
      </c>
      <c r="AC2604" s="0" t="inlineStr">
        <is>
          <t>강동구</t>
        </is>
      </c>
      <c r="AD2604" s="0" t="inlineStr">
        <is>
          <t>천호동</t>
        </is>
      </c>
      <c r="AG2604" s="0" t="inlineStr">
        <is>
          <t>서울시 강동구 진황도로 18</t>
        </is>
      </c>
      <c r="AH2604" s="0" t="n">
        <v>0</v>
      </c>
      <c r="AI2604" s="0" t="n">
        <v>475</v>
      </c>
      <c r="AJ2604" s="0" t="n">
        <v>49</v>
      </c>
      <c r="AK2604" s="0" t="n">
        <v>241</v>
      </c>
      <c r="AL2604" s="0" t="n">
        <v>2.15</v>
      </c>
    </row>
    <row r="2605">
      <c r="A2605" s="0" t="inlineStr">
        <is>
          <t>[천호동]</t>
        </is>
      </c>
      <c r="B2605" s="0" t="n">
        <v>3125</v>
      </c>
      <c r="C2605" s="0" t="n">
        <v>4</v>
      </c>
      <c r="D2605" s="0" t="inlineStr">
        <is>
          <t>현대프라자</t>
        </is>
      </c>
      <c r="E2605" s="0" t="inlineStr">
        <is>
          <t>1990.06.</t>
        </is>
      </c>
      <c r="F2605" s="0" t="n">
        <v>112</v>
      </c>
      <c r="G2605" s="0" t="n">
        <v>17.32</v>
      </c>
      <c r="H2605" s="0" t="n">
        <v>57.27</v>
      </c>
      <c r="I2605" s="0" t="n">
        <v>13.64</v>
      </c>
      <c r="J2605" s="0" t="n">
        <v>45.11</v>
      </c>
      <c r="K2605" s="0" t="n">
        <v>2</v>
      </c>
      <c r="T2605" s="0" t="n">
        <v>1</v>
      </c>
      <c r="U2605" s="0" t="n">
        <v>1</v>
      </c>
      <c r="V2605" s="0" t="inlineStr">
        <is>
          <t>복도식</t>
        </is>
      </c>
      <c r="W2605" s="0" t="n">
        <v>57</v>
      </c>
      <c r="X2605" s="0" t="n">
        <v>13</v>
      </c>
      <c r="Y2605" s="0" t="n">
        <v>11</v>
      </c>
      <c r="Z2605" s="0" t="inlineStr">
        <is>
          <t>https://new.land.naver.com/complexes/3125?tab=detail&amp;rf=Y</t>
        </is>
      </c>
      <c r="AA2605" s="0" t="inlineStr">
        <is>
          <t>서울시 강동구 천호동 410-105</t>
        </is>
      </c>
      <c r="AB2605" s="0" t="inlineStr">
        <is>
          <t>서울시</t>
        </is>
      </c>
      <c r="AC2605" s="0" t="inlineStr">
        <is>
          <t>강동구</t>
        </is>
      </c>
      <c r="AD2605" s="0" t="inlineStr">
        <is>
          <t>천호동</t>
        </is>
      </c>
      <c r="AG2605" s="0" t="inlineStr">
        <is>
          <t>서울시 강동구 진황도로 18</t>
        </is>
      </c>
      <c r="AH2605" s="0" t="n">
        <v>0</v>
      </c>
      <c r="AI2605" s="0" t="n">
        <v>475</v>
      </c>
      <c r="AJ2605" s="0" t="n">
        <v>49</v>
      </c>
      <c r="AK2605" s="0" t="n">
        <v>241</v>
      </c>
      <c r="AL2605" s="0" t="n">
        <v>2.15</v>
      </c>
    </row>
    <row r="2606">
      <c r="A2606" s="0" t="inlineStr">
        <is>
          <t>[천호동]</t>
        </is>
      </c>
      <c r="B2606" s="0" t="n">
        <v>3125</v>
      </c>
      <c r="C2606" s="0" t="n">
        <v>5</v>
      </c>
      <c r="D2606" s="0" t="inlineStr">
        <is>
          <t>현대프라자</t>
        </is>
      </c>
      <c r="E2606" s="0" t="inlineStr">
        <is>
          <t>1990.06.</t>
        </is>
      </c>
      <c r="F2606" s="0" t="n">
        <v>112</v>
      </c>
      <c r="G2606" s="0" t="n">
        <v>18.01</v>
      </c>
      <c r="H2606" s="0" t="n">
        <v>59.57</v>
      </c>
      <c r="I2606" s="0" t="n">
        <v>14.19</v>
      </c>
      <c r="J2606" s="0" t="n">
        <v>46.93</v>
      </c>
      <c r="K2606" s="0" t="n">
        <v>14</v>
      </c>
      <c r="T2606" s="0" t="n">
        <v>2</v>
      </c>
      <c r="U2606" s="0" t="n">
        <v>1</v>
      </c>
      <c r="V2606" s="0" t="inlineStr">
        <is>
          <t>복도식</t>
        </is>
      </c>
      <c r="W2606" s="0" t="n">
        <v>59</v>
      </c>
      <c r="X2606" s="0" t="n">
        <v>13</v>
      </c>
      <c r="Y2606" s="0" t="n">
        <v>11</v>
      </c>
      <c r="Z2606" s="0" t="inlineStr">
        <is>
          <t>https://new.land.naver.com/complexes/3125?tab=detail&amp;rf=Y</t>
        </is>
      </c>
      <c r="AA2606" s="0" t="inlineStr">
        <is>
          <t>서울시 강동구 천호동 410-105</t>
        </is>
      </c>
      <c r="AB2606" s="0" t="inlineStr">
        <is>
          <t>서울시</t>
        </is>
      </c>
      <c r="AC2606" s="0" t="inlineStr">
        <is>
          <t>강동구</t>
        </is>
      </c>
      <c r="AD2606" s="0" t="inlineStr">
        <is>
          <t>천호동</t>
        </is>
      </c>
      <c r="AG2606" s="0" t="inlineStr">
        <is>
          <t>서울시 강동구 진황도로 18</t>
        </is>
      </c>
      <c r="AH2606" s="0" t="n">
        <v>0</v>
      </c>
      <c r="AI2606" s="0" t="n">
        <v>475</v>
      </c>
      <c r="AJ2606" s="0" t="n">
        <v>49</v>
      </c>
      <c r="AK2606" s="0" t="n">
        <v>241</v>
      </c>
      <c r="AL2606" s="0" t="n">
        <v>2.15</v>
      </c>
    </row>
    <row r="2607">
      <c r="A2607" s="0" t="inlineStr">
        <is>
          <t>[천호동]</t>
        </is>
      </c>
      <c r="B2607" s="0" t="n">
        <v>3125</v>
      </c>
      <c r="C2607" s="0" t="n">
        <v>6</v>
      </c>
      <c r="D2607" s="0" t="inlineStr">
        <is>
          <t>현대프라자</t>
        </is>
      </c>
      <c r="E2607" s="0" t="inlineStr">
        <is>
          <t>1990.06.</t>
        </is>
      </c>
      <c r="F2607" s="0" t="n">
        <v>112</v>
      </c>
      <c r="G2607" s="0" t="n">
        <v>18.77</v>
      </c>
      <c r="H2607" s="0" t="n">
        <v>62.06</v>
      </c>
      <c r="I2607" s="0" t="n">
        <v>14.78</v>
      </c>
      <c r="J2607" s="0" t="n">
        <v>48.88</v>
      </c>
      <c r="K2607" s="0" t="n">
        <v>2</v>
      </c>
      <c r="T2607" s="0" t="n">
        <v>2</v>
      </c>
      <c r="U2607" s="0" t="n">
        <v>1</v>
      </c>
      <c r="V2607" s="0" t="inlineStr">
        <is>
          <t>복도식</t>
        </is>
      </c>
      <c r="W2607" s="0" t="inlineStr">
        <is>
          <t>62A</t>
        </is>
      </c>
      <c r="X2607" s="0" t="n">
        <v>13</v>
      </c>
      <c r="Y2607" s="0" t="n">
        <v>11</v>
      </c>
      <c r="Z2607" s="0" t="inlineStr">
        <is>
          <t>https://new.land.naver.com/complexes/3125?tab=detail&amp;rf=Y</t>
        </is>
      </c>
      <c r="AA2607" s="0" t="inlineStr">
        <is>
          <t>서울시 강동구 천호동 410-105</t>
        </is>
      </c>
      <c r="AB2607" s="0" t="inlineStr">
        <is>
          <t>서울시</t>
        </is>
      </c>
      <c r="AC2607" s="0" t="inlineStr">
        <is>
          <t>강동구</t>
        </is>
      </c>
      <c r="AD2607" s="0" t="inlineStr">
        <is>
          <t>천호동</t>
        </is>
      </c>
      <c r="AG2607" s="0" t="inlineStr">
        <is>
          <t>서울시 강동구 진황도로 18</t>
        </is>
      </c>
      <c r="AH2607" s="0" t="n">
        <v>0</v>
      </c>
      <c r="AI2607" s="0" t="n">
        <v>475</v>
      </c>
      <c r="AJ2607" s="0" t="n">
        <v>49</v>
      </c>
      <c r="AK2607" s="0" t="n">
        <v>241</v>
      </c>
      <c r="AL2607" s="0" t="n">
        <v>2.15</v>
      </c>
    </row>
    <row r="2608">
      <c r="A2608" s="0" t="inlineStr">
        <is>
          <t>[천호동]</t>
        </is>
      </c>
      <c r="B2608" s="0" t="n">
        <v>3125</v>
      </c>
      <c r="C2608" s="0" t="n">
        <v>7</v>
      </c>
      <c r="D2608" s="0" t="inlineStr">
        <is>
          <t>현대프라자</t>
        </is>
      </c>
      <c r="E2608" s="0" t="inlineStr">
        <is>
          <t>1990.06.</t>
        </is>
      </c>
      <c r="F2608" s="0" t="n">
        <v>112</v>
      </c>
      <c r="G2608" s="0" t="n">
        <v>19.4</v>
      </c>
      <c r="H2608" s="0" t="n">
        <v>64.14</v>
      </c>
      <c r="I2608" s="0" t="n">
        <v>15.28</v>
      </c>
      <c r="J2608" s="0" t="n">
        <v>50.52</v>
      </c>
      <c r="K2608" s="0" t="n">
        <v>2</v>
      </c>
      <c r="T2608" s="0" t="n">
        <v>2</v>
      </c>
      <c r="U2608" s="0" t="n">
        <v>1</v>
      </c>
      <c r="V2608" s="0" t="inlineStr">
        <is>
          <t>복도식</t>
        </is>
      </c>
      <c r="W2608" s="0" t="inlineStr">
        <is>
          <t>64B</t>
        </is>
      </c>
      <c r="X2608" s="0" t="n">
        <v>13</v>
      </c>
      <c r="Y2608" s="0" t="n">
        <v>11</v>
      </c>
      <c r="Z2608" s="0" t="inlineStr">
        <is>
          <t>https://new.land.naver.com/complexes/3125?tab=detail&amp;rf=Y</t>
        </is>
      </c>
      <c r="AA2608" s="0" t="inlineStr">
        <is>
          <t>서울시 강동구 천호동 410-105</t>
        </is>
      </c>
      <c r="AB2608" s="0" t="inlineStr">
        <is>
          <t>서울시</t>
        </is>
      </c>
      <c r="AC2608" s="0" t="inlineStr">
        <is>
          <t>강동구</t>
        </is>
      </c>
      <c r="AD2608" s="0" t="inlineStr">
        <is>
          <t>천호동</t>
        </is>
      </c>
      <c r="AG2608" s="0" t="inlineStr">
        <is>
          <t>서울시 강동구 진황도로 18</t>
        </is>
      </c>
      <c r="AH2608" s="0" t="n">
        <v>0</v>
      </c>
      <c r="AI2608" s="0" t="n">
        <v>475</v>
      </c>
      <c r="AJ2608" s="0" t="n">
        <v>49</v>
      </c>
      <c r="AK2608" s="0" t="n">
        <v>241</v>
      </c>
      <c r="AL2608" s="0" t="n">
        <v>2.15</v>
      </c>
    </row>
    <row r="2609">
      <c r="A2609" s="0" t="inlineStr">
        <is>
          <t>[천호동]</t>
        </is>
      </c>
      <c r="B2609" s="0" t="n">
        <v>3125</v>
      </c>
      <c r="C2609" s="0" t="n">
        <v>8</v>
      </c>
      <c r="D2609" s="0" t="inlineStr">
        <is>
          <t>현대프라자</t>
        </is>
      </c>
      <c r="E2609" s="0" t="inlineStr">
        <is>
          <t>1990.06.</t>
        </is>
      </c>
      <c r="F2609" s="0" t="n">
        <v>112</v>
      </c>
      <c r="G2609" s="0" t="n">
        <v>21.67</v>
      </c>
      <c r="H2609" s="0" t="n">
        <v>71.64</v>
      </c>
      <c r="I2609" s="0" t="n">
        <v>17.07</v>
      </c>
      <c r="J2609" s="0" t="n">
        <v>56.43</v>
      </c>
      <c r="K2609" s="0" t="n">
        <v>2</v>
      </c>
      <c r="T2609" s="0" t="n">
        <v>2</v>
      </c>
      <c r="U2609" s="0" t="n">
        <v>2</v>
      </c>
      <c r="V2609" s="0" t="inlineStr">
        <is>
          <t>복도식</t>
        </is>
      </c>
      <c r="W2609" s="0" t="inlineStr">
        <is>
          <t>71A</t>
        </is>
      </c>
      <c r="X2609" s="0" t="n">
        <v>13</v>
      </c>
      <c r="Y2609" s="0" t="n">
        <v>11</v>
      </c>
      <c r="Z2609" s="0" t="inlineStr">
        <is>
          <t>https://new.land.naver.com/complexes/3125?tab=detail&amp;rf=Y</t>
        </is>
      </c>
      <c r="AA2609" s="0" t="inlineStr">
        <is>
          <t>서울시 강동구 천호동 410-105</t>
        </is>
      </c>
      <c r="AB2609" s="0" t="inlineStr">
        <is>
          <t>서울시</t>
        </is>
      </c>
      <c r="AC2609" s="0" t="inlineStr">
        <is>
          <t>강동구</t>
        </is>
      </c>
      <c r="AD2609" s="0" t="inlineStr">
        <is>
          <t>천호동</t>
        </is>
      </c>
      <c r="AG2609" s="0" t="inlineStr">
        <is>
          <t>서울시 강동구 진황도로 18</t>
        </is>
      </c>
      <c r="AH2609" s="0" t="n">
        <v>0</v>
      </c>
      <c r="AI2609" s="0" t="n">
        <v>475</v>
      </c>
      <c r="AJ2609" s="0" t="n">
        <v>49</v>
      </c>
      <c r="AK2609" s="0" t="n">
        <v>241</v>
      </c>
      <c r="AL2609" s="0" t="n">
        <v>2.15</v>
      </c>
    </row>
    <row r="2610">
      <c r="A2610" s="0" t="inlineStr">
        <is>
          <t>[천호동]</t>
        </is>
      </c>
      <c r="B2610" s="0" t="n">
        <v>3125</v>
      </c>
      <c r="C2610" s="0" t="n">
        <v>9</v>
      </c>
      <c r="D2610" s="0" t="inlineStr">
        <is>
          <t>현대프라자</t>
        </is>
      </c>
      <c r="E2610" s="0" t="inlineStr">
        <is>
          <t>1990.06.</t>
        </is>
      </c>
      <c r="F2610" s="0" t="n">
        <v>112</v>
      </c>
      <c r="G2610" s="0" t="n">
        <v>22.16</v>
      </c>
      <c r="H2610" s="0" t="n">
        <v>73.27</v>
      </c>
      <c r="I2610" s="0" t="n">
        <v>17.45</v>
      </c>
      <c r="J2610" s="0" t="n">
        <v>57.71</v>
      </c>
      <c r="K2610" s="0" t="n">
        <v>2</v>
      </c>
      <c r="T2610" s="0" t="n">
        <v>2</v>
      </c>
      <c r="U2610" s="0" t="n">
        <v>2</v>
      </c>
      <c r="V2610" s="0" t="inlineStr">
        <is>
          <t>복도식</t>
        </is>
      </c>
      <c r="W2610" s="0" t="inlineStr">
        <is>
          <t>73B</t>
        </is>
      </c>
      <c r="X2610" s="0" t="n">
        <v>13</v>
      </c>
      <c r="Y2610" s="0" t="n">
        <v>11</v>
      </c>
      <c r="Z2610" s="0" t="inlineStr">
        <is>
          <t>https://new.land.naver.com/complexes/3125?tab=detail&amp;rf=Y</t>
        </is>
      </c>
      <c r="AA2610" s="0" t="inlineStr">
        <is>
          <t>서울시 강동구 천호동 410-105</t>
        </is>
      </c>
      <c r="AB2610" s="0" t="inlineStr">
        <is>
          <t>서울시</t>
        </is>
      </c>
      <c r="AC2610" s="0" t="inlineStr">
        <is>
          <t>강동구</t>
        </is>
      </c>
      <c r="AD2610" s="0" t="inlineStr">
        <is>
          <t>천호동</t>
        </is>
      </c>
      <c r="AG2610" s="0" t="inlineStr">
        <is>
          <t>서울시 강동구 진황도로 18</t>
        </is>
      </c>
      <c r="AH2610" s="0" t="n">
        <v>0</v>
      </c>
      <c r="AI2610" s="0" t="n">
        <v>475</v>
      </c>
      <c r="AJ2610" s="0" t="n">
        <v>49</v>
      </c>
      <c r="AK2610" s="0" t="n">
        <v>241</v>
      </c>
      <c r="AL2610" s="0" t="n">
        <v>2.15</v>
      </c>
    </row>
    <row r="2611">
      <c r="A2611" s="0" t="inlineStr">
        <is>
          <t>[천호동]</t>
        </is>
      </c>
      <c r="B2611" s="0" t="n">
        <v>3125</v>
      </c>
      <c r="C2611" s="0" t="n">
        <v>10</v>
      </c>
      <c r="D2611" s="0" t="inlineStr">
        <is>
          <t>현대프라자</t>
        </is>
      </c>
      <c r="E2611" s="0" t="inlineStr">
        <is>
          <t>1990.06.</t>
        </is>
      </c>
      <c r="F2611" s="0" t="n">
        <v>112</v>
      </c>
      <c r="G2611" s="0" t="n">
        <v>24.02</v>
      </c>
      <c r="H2611" s="0" t="n">
        <v>79.42</v>
      </c>
      <c r="I2611" s="0" t="n">
        <v>18.92</v>
      </c>
      <c r="J2611" s="0" t="n">
        <v>62.56</v>
      </c>
      <c r="K2611" s="0" t="n">
        <v>2</v>
      </c>
      <c r="T2611" s="0" t="n">
        <v>2</v>
      </c>
      <c r="U2611" s="0" t="n">
        <v>2</v>
      </c>
      <c r="V2611" s="0" t="inlineStr">
        <is>
          <t>복도식</t>
        </is>
      </c>
      <c r="W2611" s="0" t="n">
        <v>79</v>
      </c>
      <c r="X2611" s="0" t="n">
        <v>13</v>
      </c>
      <c r="Y2611" s="0" t="n">
        <v>11</v>
      </c>
      <c r="Z2611" s="0" t="inlineStr">
        <is>
          <t>https://new.land.naver.com/complexes/3125?tab=detail&amp;rf=Y</t>
        </is>
      </c>
      <c r="AA2611" s="0" t="inlineStr">
        <is>
          <t>서울시 강동구 천호동 410-105</t>
        </is>
      </c>
      <c r="AB2611" s="0" t="inlineStr">
        <is>
          <t>서울시</t>
        </is>
      </c>
      <c r="AC2611" s="0" t="inlineStr">
        <is>
          <t>강동구</t>
        </is>
      </c>
      <c r="AD2611" s="0" t="inlineStr">
        <is>
          <t>천호동</t>
        </is>
      </c>
      <c r="AG2611" s="0" t="inlineStr">
        <is>
          <t>서울시 강동구 진황도로 18</t>
        </is>
      </c>
      <c r="AH2611" s="0" t="n">
        <v>0</v>
      </c>
      <c r="AI2611" s="0" t="n">
        <v>475</v>
      </c>
      <c r="AJ2611" s="0" t="n">
        <v>49</v>
      </c>
      <c r="AK2611" s="0" t="n">
        <v>241</v>
      </c>
      <c r="AL2611" s="0" t="n">
        <v>2.15</v>
      </c>
    </row>
    <row r="2612">
      <c r="A2612" s="0" t="inlineStr">
        <is>
          <t>[천호동]</t>
        </is>
      </c>
      <c r="B2612" s="0" t="n">
        <v>3125</v>
      </c>
      <c r="C2612" s="0" t="n">
        <v>11</v>
      </c>
      <c r="D2612" s="0" t="inlineStr">
        <is>
          <t>현대프라자</t>
        </is>
      </c>
      <c r="E2612" s="0" t="inlineStr">
        <is>
          <t>1990.06.</t>
        </is>
      </c>
      <c r="F2612" s="0" t="n">
        <v>112</v>
      </c>
      <c r="G2612" s="0" t="n">
        <v>26.78</v>
      </c>
      <c r="H2612" s="0" t="n">
        <v>88.56</v>
      </c>
      <c r="I2612" s="0" t="n">
        <v>21.1</v>
      </c>
      <c r="J2612" s="0" t="n">
        <v>69.76000000000001</v>
      </c>
      <c r="K2612" s="0" t="n">
        <v>14</v>
      </c>
      <c r="T2612" s="0" t="n">
        <v>3</v>
      </c>
      <c r="U2612" s="0" t="n">
        <v>2</v>
      </c>
      <c r="V2612" s="0" t="inlineStr">
        <is>
          <t>복도식</t>
        </is>
      </c>
      <c r="W2612" s="0" t="inlineStr">
        <is>
          <t>88B</t>
        </is>
      </c>
      <c r="X2612" s="0" t="n">
        <v>13</v>
      </c>
      <c r="Y2612" s="0" t="n">
        <v>11</v>
      </c>
      <c r="Z2612" s="0" t="inlineStr">
        <is>
          <t>https://new.land.naver.com/complexes/3125?tab=detail&amp;rf=Y</t>
        </is>
      </c>
      <c r="AA2612" s="0" t="inlineStr">
        <is>
          <t>서울시 강동구 천호동 410-105</t>
        </is>
      </c>
      <c r="AB2612" s="0" t="inlineStr">
        <is>
          <t>서울시</t>
        </is>
      </c>
      <c r="AC2612" s="0" t="inlineStr">
        <is>
          <t>강동구</t>
        </is>
      </c>
      <c r="AD2612" s="0" t="inlineStr">
        <is>
          <t>천호동</t>
        </is>
      </c>
      <c r="AG2612" s="0" t="inlineStr">
        <is>
          <t>서울시 강동구 진황도로 18</t>
        </is>
      </c>
      <c r="AH2612" s="0" t="n">
        <v>0</v>
      </c>
      <c r="AI2612" s="0" t="n">
        <v>475</v>
      </c>
      <c r="AJ2612" s="0" t="n">
        <v>49</v>
      </c>
      <c r="AK2612" s="0" t="n">
        <v>241</v>
      </c>
      <c r="AL2612" s="0" t="n">
        <v>2.15</v>
      </c>
    </row>
    <row r="2613">
      <c r="A2613" s="0" t="inlineStr">
        <is>
          <t>[천호동]</t>
        </is>
      </c>
      <c r="B2613" s="0" t="n">
        <v>3125</v>
      </c>
      <c r="C2613" s="0" t="n">
        <v>12</v>
      </c>
      <c r="D2613" s="0" t="inlineStr">
        <is>
          <t>현대프라자</t>
        </is>
      </c>
      <c r="E2613" s="0" t="inlineStr">
        <is>
          <t>1990.06.</t>
        </is>
      </c>
      <c r="F2613" s="0" t="n">
        <v>112</v>
      </c>
      <c r="G2613" s="0" t="n">
        <v>26.72</v>
      </c>
      <c r="H2613" s="0" t="n">
        <v>88.36</v>
      </c>
      <c r="I2613" s="0" t="n">
        <v>21.05</v>
      </c>
      <c r="J2613" s="0" t="n">
        <v>69.59999999999999</v>
      </c>
      <c r="K2613" s="0" t="n">
        <v>2</v>
      </c>
      <c r="T2613" s="0" t="n">
        <v>3</v>
      </c>
      <c r="U2613" s="0" t="n">
        <v>2</v>
      </c>
      <c r="V2613" s="0" t="inlineStr">
        <is>
          <t>계단식</t>
        </is>
      </c>
      <c r="W2613" s="0" t="inlineStr">
        <is>
          <t>88A</t>
        </is>
      </c>
      <c r="X2613" s="0" t="n">
        <v>13</v>
      </c>
      <c r="Y2613" s="0" t="n">
        <v>11</v>
      </c>
      <c r="Z2613" s="0" t="inlineStr">
        <is>
          <t>https://new.land.naver.com/complexes/3125?tab=detail&amp;rf=Y</t>
        </is>
      </c>
      <c r="AA2613" s="0" t="inlineStr">
        <is>
          <t>서울시 강동구 천호동 410-105</t>
        </is>
      </c>
      <c r="AB2613" s="0" t="inlineStr">
        <is>
          <t>서울시</t>
        </is>
      </c>
      <c r="AC2613" s="0" t="inlineStr">
        <is>
          <t>강동구</t>
        </is>
      </c>
      <c r="AD2613" s="0" t="inlineStr">
        <is>
          <t>천호동</t>
        </is>
      </c>
      <c r="AG2613" s="0" t="inlineStr">
        <is>
          <t>서울시 강동구 진황도로 18</t>
        </is>
      </c>
      <c r="AH2613" s="0" t="n">
        <v>0</v>
      </c>
      <c r="AI2613" s="0" t="n">
        <v>475</v>
      </c>
      <c r="AJ2613" s="0" t="n">
        <v>49</v>
      </c>
      <c r="AK2613" s="0" t="n">
        <v>241</v>
      </c>
      <c r="AL2613" s="0" t="n">
        <v>2.15</v>
      </c>
    </row>
    <row r="2614">
      <c r="A2614" s="0" t="inlineStr">
        <is>
          <t>[천호동]</t>
        </is>
      </c>
      <c r="B2614" s="0" t="n">
        <v>3125</v>
      </c>
      <c r="C2614" s="0" t="n">
        <v>13</v>
      </c>
      <c r="D2614" s="0" t="inlineStr">
        <is>
          <t>현대프라자</t>
        </is>
      </c>
      <c r="E2614" s="0" t="inlineStr">
        <is>
          <t>1990.06.</t>
        </is>
      </c>
      <c r="F2614" s="0" t="n">
        <v>112</v>
      </c>
      <c r="G2614" s="0" t="n">
        <v>26.79</v>
      </c>
      <c r="H2614" s="0" t="n">
        <v>88.59</v>
      </c>
      <c r="I2614" s="0" t="n">
        <v>21.11</v>
      </c>
      <c r="J2614" s="0" t="n">
        <v>69.79000000000001</v>
      </c>
      <c r="K2614" s="0" t="n">
        <v>2</v>
      </c>
      <c r="T2614" s="0" t="n">
        <v>3</v>
      </c>
      <c r="U2614" s="0" t="n">
        <v>2</v>
      </c>
      <c r="V2614" s="0" t="inlineStr">
        <is>
          <t>계단식</t>
        </is>
      </c>
      <c r="W2614" s="0" t="inlineStr">
        <is>
          <t>88C</t>
        </is>
      </c>
      <c r="X2614" s="0" t="n">
        <v>13</v>
      </c>
      <c r="Y2614" s="0" t="n">
        <v>11</v>
      </c>
      <c r="Z2614" s="0" t="inlineStr">
        <is>
          <t>https://new.land.naver.com/complexes/3125?tab=detail&amp;rf=Y</t>
        </is>
      </c>
      <c r="AA2614" s="0" t="inlineStr">
        <is>
          <t>서울시 강동구 천호동 410-105</t>
        </is>
      </c>
      <c r="AB2614" s="0" t="inlineStr">
        <is>
          <t>서울시</t>
        </is>
      </c>
      <c r="AC2614" s="0" t="inlineStr">
        <is>
          <t>강동구</t>
        </is>
      </c>
      <c r="AD2614" s="0" t="inlineStr">
        <is>
          <t>천호동</t>
        </is>
      </c>
      <c r="AG2614" s="0" t="inlineStr">
        <is>
          <t>서울시 강동구 진황도로 18</t>
        </is>
      </c>
      <c r="AH2614" s="0" t="n">
        <v>0</v>
      </c>
      <c r="AI2614" s="0" t="n">
        <v>475</v>
      </c>
      <c r="AJ2614" s="0" t="n">
        <v>49</v>
      </c>
      <c r="AK2614" s="0" t="n">
        <v>241</v>
      </c>
      <c r="AL2614" s="0" t="n">
        <v>2.15</v>
      </c>
    </row>
    <row r="2615">
      <c r="A2615" s="0" t="inlineStr">
        <is>
          <t>[천호동]</t>
        </is>
      </c>
      <c r="B2615" s="0" t="n">
        <v>3125</v>
      </c>
      <c r="C2615" s="0" t="n">
        <v>14</v>
      </c>
      <c r="D2615" s="0" t="inlineStr">
        <is>
          <t>현대프라자</t>
        </is>
      </c>
      <c r="E2615" s="0" t="inlineStr">
        <is>
          <t>1990.06.</t>
        </is>
      </c>
      <c r="F2615" s="0" t="n">
        <v>112</v>
      </c>
      <c r="G2615" s="0" t="n">
        <v>27.83</v>
      </c>
      <c r="H2615" s="0" t="n">
        <v>92</v>
      </c>
      <c r="I2615" s="0" t="n">
        <v>21.91</v>
      </c>
      <c r="J2615" s="0" t="n">
        <v>72.45</v>
      </c>
      <c r="K2615" s="0" t="n">
        <v>1</v>
      </c>
      <c r="T2615" s="0" t="n">
        <v>3</v>
      </c>
      <c r="U2615" s="0" t="n">
        <v>2</v>
      </c>
      <c r="V2615" s="0" t="inlineStr">
        <is>
          <t>복도식</t>
        </is>
      </c>
      <c r="W2615" s="0" t="inlineStr">
        <is>
          <t>92A</t>
        </is>
      </c>
      <c r="X2615" s="0" t="n">
        <v>13</v>
      </c>
      <c r="Y2615" s="0" t="n">
        <v>11</v>
      </c>
      <c r="Z2615" s="0" t="inlineStr">
        <is>
          <t>https://new.land.naver.com/complexes/3125?tab=detail&amp;rf=Y</t>
        </is>
      </c>
      <c r="AA2615" s="0" t="inlineStr">
        <is>
          <t>서울시 강동구 천호동 410-105</t>
        </is>
      </c>
      <c r="AB2615" s="0" t="inlineStr">
        <is>
          <t>서울시</t>
        </is>
      </c>
      <c r="AC2615" s="0" t="inlineStr">
        <is>
          <t>강동구</t>
        </is>
      </c>
      <c r="AD2615" s="0" t="inlineStr">
        <is>
          <t>천호동</t>
        </is>
      </c>
      <c r="AG2615" s="0" t="inlineStr">
        <is>
          <t>서울시 강동구 진황도로 18</t>
        </is>
      </c>
      <c r="AH2615" s="0" t="n">
        <v>0</v>
      </c>
      <c r="AI2615" s="0" t="n">
        <v>475</v>
      </c>
      <c r="AJ2615" s="0" t="n">
        <v>49</v>
      </c>
      <c r="AK2615" s="0" t="n">
        <v>241</v>
      </c>
      <c r="AL2615" s="0" t="n">
        <v>2.15</v>
      </c>
    </row>
    <row r="2616">
      <c r="A2616" s="0" t="inlineStr">
        <is>
          <t>[천호동]</t>
        </is>
      </c>
      <c r="B2616" s="0" t="n">
        <v>3125</v>
      </c>
      <c r="C2616" s="0" t="n">
        <v>15</v>
      </c>
      <c r="D2616" s="0" t="inlineStr">
        <is>
          <t>현대프라자</t>
        </is>
      </c>
      <c r="E2616" s="0" t="inlineStr">
        <is>
          <t>1990.06.</t>
        </is>
      </c>
      <c r="F2616" s="0" t="n">
        <v>112</v>
      </c>
      <c r="G2616" s="0" t="n">
        <v>27.85</v>
      </c>
      <c r="H2616" s="0" t="n">
        <v>92.09</v>
      </c>
      <c r="I2616" s="0" t="n">
        <v>21.94</v>
      </c>
      <c r="J2616" s="0" t="n">
        <v>72.54000000000001</v>
      </c>
      <c r="K2616" s="0" t="n">
        <v>1</v>
      </c>
      <c r="T2616" s="0" t="n">
        <v>3</v>
      </c>
      <c r="U2616" s="0" t="n">
        <v>2</v>
      </c>
      <c r="V2616" s="0" t="inlineStr">
        <is>
          <t>계단식</t>
        </is>
      </c>
      <c r="W2616" s="0" t="inlineStr">
        <is>
          <t>92B</t>
        </is>
      </c>
      <c r="X2616" s="0" t="n">
        <v>13</v>
      </c>
      <c r="Y2616" s="0" t="n">
        <v>11</v>
      </c>
      <c r="Z2616" s="0" t="inlineStr">
        <is>
          <t>https://new.land.naver.com/complexes/3125?tab=detail&amp;rf=Y</t>
        </is>
      </c>
      <c r="AA2616" s="0" t="inlineStr">
        <is>
          <t>서울시 강동구 천호동 410-105</t>
        </is>
      </c>
      <c r="AB2616" s="0" t="inlineStr">
        <is>
          <t>서울시</t>
        </is>
      </c>
      <c r="AC2616" s="0" t="inlineStr">
        <is>
          <t>강동구</t>
        </is>
      </c>
      <c r="AD2616" s="0" t="inlineStr">
        <is>
          <t>천호동</t>
        </is>
      </c>
      <c r="AG2616" s="0" t="inlineStr">
        <is>
          <t>서울시 강동구 진황도로 18</t>
        </is>
      </c>
      <c r="AH2616" s="0" t="n">
        <v>0</v>
      </c>
      <c r="AI2616" s="0" t="n">
        <v>475</v>
      </c>
      <c r="AJ2616" s="0" t="n">
        <v>49</v>
      </c>
      <c r="AK2616" s="0" t="n">
        <v>241</v>
      </c>
      <c r="AL2616" s="0" t="n">
        <v>2.15</v>
      </c>
    </row>
    <row r="2617">
      <c r="A2617" s="0" t="inlineStr">
        <is>
          <t>[천호동]</t>
        </is>
      </c>
      <c r="B2617" s="0" t="n">
        <v>3125</v>
      </c>
      <c r="C2617" s="0" t="n">
        <v>16</v>
      </c>
      <c r="D2617" s="0" t="inlineStr">
        <is>
          <t>현대프라자</t>
        </is>
      </c>
      <c r="E2617" s="0" t="inlineStr">
        <is>
          <t>1990.06.</t>
        </is>
      </c>
      <c r="F2617" s="0" t="n">
        <v>112</v>
      </c>
      <c r="G2617" s="0" t="n">
        <v>28.13</v>
      </c>
      <c r="H2617" s="0" t="n">
        <v>93</v>
      </c>
      <c r="I2617" s="0" t="n">
        <v>22.16</v>
      </c>
      <c r="J2617" s="0" t="n">
        <v>73.26000000000001</v>
      </c>
      <c r="K2617" s="0" t="n">
        <v>2</v>
      </c>
      <c r="T2617" s="0" t="n">
        <v>3</v>
      </c>
      <c r="U2617" s="0" t="n">
        <v>2</v>
      </c>
      <c r="V2617" s="0" t="inlineStr">
        <is>
          <t>복도식</t>
        </is>
      </c>
      <c r="W2617" s="0" t="inlineStr">
        <is>
          <t>93C</t>
        </is>
      </c>
      <c r="X2617" s="0" t="n">
        <v>13</v>
      </c>
      <c r="Y2617" s="0" t="n">
        <v>11</v>
      </c>
      <c r="Z2617" s="0" t="inlineStr">
        <is>
          <t>https://new.land.naver.com/complexes/3125?tab=detail&amp;rf=Y</t>
        </is>
      </c>
      <c r="AA2617" s="0" t="inlineStr">
        <is>
          <t>서울시 강동구 천호동 410-105</t>
        </is>
      </c>
      <c r="AB2617" s="0" t="inlineStr">
        <is>
          <t>서울시</t>
        </is>
      </c>
      <c r="AC2617" s="0" t="inlineStr">
        <is>
          <t>강동구</t>
        </is>
      </c>
      <c r="AD2617" s="0" t="inlineStr">
        <is>
          <t>천호동</t>
        </is>
      </c>
      <c r="AG2617" s="0" t="inlineStr">
        <is>
          <t>서울시 강동구 진황도로 18</t>
        </is>
      </c>
      <c r="AH2617" s="0" t="n">
        <v>0</v>
      </c>
      <c r="AI2617" s="0" t="n">
        <v>475</v>
      </c>
      <c r="AJ2617" s="0" t="n">
        <v>49</v>
      </c>
      <c r="AK2617" s="0" t="n">
        <v>241</v>
      </c>
      <c r="AL2617" s="0" t="n">
        <v>2.15</v>
      </c>
    </row>
    <row r="2618">
      <c r="A2618" s="0" t="inlineStr">
        <is>
          <t>[천호동]</t>
        </is>
      </c>
      <c r="B2618" s="0" t="n">
        <v>3125</v>
      </c>
      <c r="C2618" s="0" t="n">
        <v>17</v>
      </c>
      <c r="D2618" s="0" t="inlineStr">
        <is>
          <t>현대프라자</t>
        </is>
      </c>
      <c r="E2618" s="0" t="inlineStr">
        <is>
          <t>1990.06.</t>
        </is>
      </c>
      <c r="F2618" s="0" t="n">
        <v>112</v>
      </c>
      <c r="G2618" s="0" t="n">
        <v>29.67</v>
      </c>
      <c r="H2618" s="0" t="n">
        <v>98.11</v>
      </c>
      <c r="I2618" s="0" t="n">
        <v>23.38</v>
      </c>
      <c r="J2618" s="0" t="n">
        <v>77.29000000000001</v>
      </c>
      <c r="K2618" s="0" t="n">
        <v>8</v>
      </c>
      <c r="T2618" s="0" t="n">
        <v>3</v>
      </c>
      <c r="U2618" s="0" t="n">
        <v>2</v>
      </c>
      <c r="V2618" s="0" t="inlineStr">
        <is>
          <t>복도식</t>
        </is>
      </c>
      <c r="W2618" s="0" t="inlineStr">
        <is>
          <t>98A</t>
        </is>
      </c>
      <c r="X2618" s="0" t="n">
        <v>13</v>
      </c>
      <c r="Y2618" s="0" t="n">
        <v>11</v>
      </c>
      <c r="Z2618" s="0" t="inlineStr">
        <is>
          <t>https://new.land.naver.com/complexes/3125?tab=detail&amp;rf=Y</t>
        </is>
      </c>
      <c r="AA2618" s="0" t="inlineStr">
        <is>
          <t>서울시 강동구 천호동 410-105</t>
        </is>
      </c>
      <c r="AB2618" s="0" t="inlineStr">
        <is>
          <t>서울시</t>
        </is>
      </c>
      <c r="AC2618" s="0" t="inlineStr">
        <is>
          <t>강동구</t>
        </is>
      </c>
      <c r="AD2618" s="0" t="inlineStr">
        <is>
          <t>천호동</t>
        </is>
      </c>
      <c r="AG2618" s="0" t="inlineStr">
        <is>
          <t>서울시 강동구 진황도로 18</t>
        </is>
      </c>
      <c r="AH2618" s="0" t="n">
        <v>0</v>
      </c>
      <c r="AI2618" s="0" t="n">
        <v>475</v>
      </c>
      <c r="AJ2618" s="0" t="n">
        <v>49</v>
      </c>
      <c r="AK2618" s="0" t="n">
        <v>241</v>
      </c>
      <c r="AL2618" s="0" t="n">
        <v>2.15</v>
      </c>
    </row>
    <row r="2619">
      <c r="A2619" s="0" t="inlineStr">
        <is>
          <t>[천호동]</t>
        </is>
      </c>
      <c r="B2619" s="0" t="n">
        <v>3125</v>
      </c>
      <c r="C2619" s="0" t="n">
        <v>18</v>
      </c>
      <c r="D2619" s="0" t="inlineStr">
        <is>
          <t>현대프라자</t>
        </is>
      </c>
      <c r="E2619" s="0" t="inlineStr">
        <is>
          <t>1990.06.</t>
        </is>
      </c>
      <c r="F2619" s="0" t="n">
        <v>112</v>
      </c>
      <c r="G2619" s="0" t="n">
        <v>30.2</v>
      </c>
      <c r="H2619" s="0" t="n">
        <v>99.84999999999999</v>
      </c>
      <c r="I2619" s="0" t="n">
        <v>23.79</v>
      </c>
      <c r="J2619" s="0" t="n">
        <v>78.65000000000001</v>
      </c>
      <c r="K2619" s="0" t="n">
        <v>2</v>
      </c>
      <c r="T2619" s="0" t="n">
        <v>3</v>
      </c>
      <c r="U2619" s="0" t="n">
        <v>2</v>
      </c>
      <c r="V2619" s="0" t="inlineStr">
        <is>
          <t>계단식</t>
        </is>
      </c>
      <c r="W2619" s="0" t="inlineStr">
        <is>
          <t>99B</t>
        </is>
      </c>
      <c r="X2619" s="0" t="n">
        <v>13</v>
      </c>
      <c r="Y2619" s="0" t="n">
        <v>11</v>
      </c>
      <c r="Z2619" s="0" t="inlineStr">
        <is>
          <t>https://new.land.naver.com/complexes/3125?tab=detail&amp;rf=Y</t>
        </is>
      </c>
      <c r="AA2619" s="0" t="inlineStr">
        <is>
          <t>서울시 강동구 천호동 410-105</t>
        </is>
      </c>
      <c r="AB2619" s="0" t="inlineStr">
        <is>
          <t>서울시</t>
        </is>
      </c>
      <c r="AC2619" s="0" t="inlineStr">
        <is>
          <t>강동구</t>
        </is>
      </c>
      <c r="AD2619" s="0" t="inlineStr">
        <is>
          <t>천호동</t>
        </is>
      </c>
      <c r="AG2619" s="0" t="inlineStr">
        <is>
          <t>서울시 강동구 진황도로 18</t>
        </is>
      </c>
      <c r="AH2619" s="0" t="n">
        <v>0</v>
      </c>
      <c r="AI2619" s="0" t="n">
        <v>475</v>
      </c>
      <c r="AJ2619" s="0" t="n">
        <v>49</v>
      </c>
      <c r="AK2619" s="0" t="n">
        <v>241</v>
      </c>
      <c r="AL2619" s="0" t="n">
        <v>2.15</v>
      </c>
    </row>
    <row r="2620">
      <c r="A2620" s="0" t="inlineStr">
        <is>
          <t>[천호동]</t>
        </is>
      </c>
      <c r="B2620" s="0" t="n">
        <v>3125</v>
      </c>
      <c r="C2620" s="0" t="n">
        <v>19</v>
      </c>
      <c r="D2620" s="0" t="inlineStr">
        <is>
          <t>현대프라자</t>
        </is>
      </c>
      <c r="E2620" s="0" t="inlineStr">
        <is>
          <t>1990.06.</t>
        </is>
      </c>
      <c r="F2620" s="0" t="n">
        <v>112</v>
      </c>
      <c r="G2620" s="0" t="n">
        <v>30.25</v>
      </c>
      <c r="H2620" s="0" t="n">
        <v>100.02</v>
      </c>
      <c r="I2620" s="0" t="n">
        <v>23.83</v>
      </c>
      <c r="J2620" s="0" t="n">
        <v>78.78</v>
      </c>
      <c r="K2620" s="0" t="n">
        <v>2</v>
      </c>
      <c r="T2620" s="0" t="n">
        <v>3</v>
      </c>
      <c r="U2620" s="0" t="n">
        <v>2</v>
      </c>
      <c r="V2620" s="0" t="inlineStr">
        <is>
          <t>계단식</t>
        </is>
      </c>
      <c r="W2620" s="0" t="inlineStr">
        <is>
          <t>100C</t>
        </is>
      </c>
      <c r="X2620" s="0" t="n">
        <v>13</v>
      </c>
      <c r="Y2620" s="0" t="n">
        <v>11</v>
      </c>
      <c r="Z2620" s="0" t="inlineStr">
        <is>
          <t>https://new.land.naver.com/complexes/3125?tab=detail&amp;rf=Y</t>
        </is>
      </c>
      <c r="AA2620" s="0" t="inlineStr">
        <is>
          <t>서울시 강동구 천호동 410-105</t>
        </is>
      </c>
      <c r="AB2620" s="0" t="inlineStr">
        <is>
          <t>서울시</t>
        </is>
      </c>
      <c r="AC2620" s="0" t="inlineStr">
        <is>
          <t>강동구</t>
        </is>
      </c>
      <c r="AD2620" s="0" t="inlineStr">
        <is>
          <t>천호동</t>
        </is>
      </c>
      <c r="AG2620" s="0" t="inlineStr">
        <is>
          <t>서울시 강동구 진황도로 18</t>
        </is>
      </c>
      <c r="AH2620" s="0" t="n">
        <v>0</v>
      </c>
      <c r="AI2620" s="0" t="n">
        <v>475</v>
      </c>
      <c r="AJ2620" s="0" t="n">
        <v>49</v>
      </c>
      <c r="AK2620" s="0" t="n">
        <v>241</v>
      </c>
      <c r="AL2620" s="0" t="n">
        <v>2.15</v>
      </c>
    </row>
    <row r="2621">
      <c r="A2621" s="0" t="inlineStr">
        <is>
          <t>[천호동]</t>
        </is>
      </c>
      <c r="B2621" s="0" t="n">
        <v>3125</v>
      </c>
      <c r="C2621" s="0" t="n">
        <v>20</v>
      </c>
      <c r="D2621" s="0" t="inlineStr">
        <is>
          <t>현대프라자</t>
        </is>
      </c>
      <c r="E2621" s="0" t="inlineStr">
        <is>
          <t>1990.06.</t>
        </is>
      </c>
      <c r="F2621" s="0" t="n">
        <v>112</v>
      </c>
      <c r="G2621" s="0" t="n">
        <v>32.14</v>
      </c>
      <c r="H2621" s="0" t="n">
        <v>106.26</v>
      </c>
      <c r="I2621" s="0" t="n">
        <v>25.31</v>
      </c>
      <c r="J2621" s="0" t="n">
        <v>83.69</v>
      </c>
      <c r="K2621" s="0" t="n">
        <v>6</v>
      </c>
      <c r="T2621" s="0" t="n">
        <v>3</v>
      </c>
      <c r="U2621" s="0" t="n">
        <v>2</v>
      </c>
      <c r="V2621" s="0" t="inlineStr">
        <is>
          <t>복도식</t>
        </is>
      </c>
      <c r="W2621" s="0" t="n">
        <v>106</v>
      </c>
      <c r="X2621" s="0" t="n">
        <v>13</v>
      </c>
      <c r="Y2621" s="0" t="n">
        <v>11</v>
      </c>
      <c r="Z2621" s="0" t="inlineStr">
        <is>
          <t>https://new.land.naver.com/complexes/3125?tab=detail&amp;rf=Y</t>
        </is>
      </c>
      <c r="AA2621" s="0" t="inlineStr">
        <is>
          <t>서울시 강동구 천호동 410-105</t>
        </is>
      </c>
      <c r="AB2621" s="0" t="inlineStr">
        <is>
          <t>서울시</t>
        </is>
      </c>
      <c r="AC2621" s="0" t="inlineStr">
        <is>
          <t>강동구</t>
        </is>
      </c>
      <c r="AD2621" s="0" t="inlineStr">
        <is>
          <t>천호동</t>
        </is>
      </c>
      <c r="AG2621" s="0" t="inlineStr">
        <is>
          <t>서울시 강동구 진황도로 18</t>
        </is>
      </c>
      <c r="AH2621" s="0" t="n">
        <v>0</v>
      </c>
      <c r="AI2621" s="0" t="n">
        <v>475</v>
      </c>
      <c r="AJ2621" s="0" t="n">
        <v>49</v>
      </c>
      <c r="AK2621" s="0" t="n">
        <v>241</v>
      </c>
      <c r="AL2621" s="0" t="n">
        <v>2.15</v>
      </c>
    </row>
    <row r="2622">
      <c r="A2622" s="0" t="inlineStr">
        <is>
          <t>[천호동]</t>
        </is>
      </c>
      <c r="B2622" s="0" t="n">
        <v>3125</v>
      </c>
      <c r="C2622" s="0" t="n">
        <v>21</v>
      </c>
      <c r="D2622" s="0" t="inlineStr">
        <is>
          <t>현대프라자</t>
        </is>
      </c>
      <c r="E2622" s="0" t="inlineStr">
        <is>
          <t>1990.06.</t>
        </is>
      </c>
      <c r="F2622" s="0" t="n">
        <v>112</v>
      </c>
      <c r="G2622" s="0" t="n">
        <v>38.7</v>
      </c>
      <c r="H2622" s="0" t="n">
        <v>127.96</v>
      </c>
      <c r="I2622" s="0" t="n">
        <v>30.49</v>
      </c>
      <c r="J2622" s="0" t="n">
        <v>100.8</v>
      </c>
      <c r="K2622" s="0" t="n">
        <v>40</v>
      </c>
      <c r="T2622" s="0" t="n">
        <v>3</v>
      </c>
      <c r="U2622" s="0" t="n">
        <v>2</v>
      </c>
      <c r="V2622" s="0" t="inlineStr">
        <is>
          <t>복도식</t>
        </is>
      </c>
      <c r="W2622" s="0" t="n">
        <v>127</v>
      </c>
      <c r="X2622" s="0" t="n">
        <v>13</v>
      </c>
      <c r="Y2622" s="0" t="n">
        <v>11</v>
      </c>
      <c r="Z2622" s="0" t="inlineStr">
        <is>
          <t>https://new.land.naver.com/complexes/3125?tab=detail&amp;rf=Y</t>
        </is>
      </c>
      <c r="AA2622" s="0" t="inlineStr">
        <is>
          <t>서울시 강동구 천호동 410-105</t>
        </is>
      </c>
      <c r="AB2622" s="0" t="inlineStr">
        <is>
          <t>서울시</t>
        </is>
      </c>
      <c r="AC2622" s="0" t="inlineStr">
        <is>
          <t>강동구</t>
        </is>
      </c>
      <c r="AD2622" s="0" t="inlineStr">
        <is>
          <t>천호동</t>
        </is>
      </c>
      <c r="AG2622" s="0" t="inlineStr">
        <is>
          <t>서울시 강동구 진황도로 18</t>
        </is>
      </c>
      <c r="AH2622" s="0" t="n">
        <v>0</v>
      </c>
      <c r="AI2622" s="0" t="n">
        <v>475</v>
      </c>
      <c r="AJ2622" s="0" t="n">
        <v>49</v>
      </c>
      <c r="AK2622" s="0" t="n">
        <v>241</v>
      </c>
      <c r="AL2622" s="0" t="n">
        <v>2.15</v>
      </c>
    </row>
    <row r="2623">
      <c r="A2623" s="0" t="inlineStr">
        <is>
          <t>[천호동]</t>
        </is>
      </c>
      <c r="B2623" s="0" t="n">
        <v>104414</v>
      </c>
      <c r="C2623" s="0" t="n">
        <v>1</v>
      </c>
      <c r="D2623" s="0" t="inlineStr">
        <is>
          <t>율전에버그린</t>
        </is>
      </c>
      <c r="E2623" s="0" t="inlineStr">
        <is>
          <t>2005.11.</t>
        </is>
      </c>
      <c r="F2623" s="0" t="n">
        <v>18</v>
      </c>
      <c r="G2623" s="0" t="n">
        <v>27.55</v>
      </c>
      <c r="H2623" s="0" t="n">
        <v>91.09999999999999</v>
      </c>
      <c r="I2623" s="0" t="n">
        <v>23.81</v>
      </c>
      <c r="J2623" s="0" t="n">
        <v>78.73</v>
      </c>
      <c r="K2623" s="0" t="n">
        <v>12</v>
      </c>
      <c r="T2623" s="0" t="n">
        <v>3</v>
      </c>
      <c r="U2623" s="0" t="n">
        <v>2</v>
      </c>
      <c r="V2623" s="0" t="inlineStr">
        <is>
          <t>계단식</t>
        </is>
      </c>
      <c r="W2623" s="0" t="inlineStr">
        <is>
          <t>91A</t>
        </is>
      </c>
      <c r="X2623" s="0" t="n">
        <v>7</v>
      </c>
      <c r="Y2623" s="0" t="n">
        <v>7</v>
      </c>
      <c r="Z2623" s="0" t="inlineStr">
        <is>
          <t>https://new.land.naver.com/complexes/104414?tab=detail&amp;rf=Y</t>
        </is>
      </c>
      <c r="AA2623" s="0" t="inlineStr">
        <is>
          <t>서울시 강동구 천호동 54-7</t>
        </is>
      </c>
      <c r="AB2623" s="0" t="inlineStr">
        <is>
          <t>서울시</t>
        </is>
      </c>
      <c r="AC2623" s="0" t="inlineStr">
        <is>
          <t>강동구</t>
        </is>
      </c>
      <c r="AD2623" s="0" t="inlineStr">
        <is>
          <t>천호동</t>
        </is>
      </c>
      <c r="AG2623" s="0" t="inlineStr">
        <is>
          <t>서울시 강동구 천중로39길 19</t>
        </is>
      </c>
      <c r="AH2623" s="0" t="n">
        <v>0</v>
      </c>
      <c r="AI2623" s="0" t="n">
        <v>199</v>
      </c>
      <c r="AJ2623" s="0" t="n">
        <v>36</v>
      </c>
      <c r="AK2623" s="0" t="n">
        <v>20</v>
      </c>
      <c r="AL2623" s="0" t="n">
        <v>1.11</v>
      </c>
    </row>
    <row r="2624">
      <c r="A2624" s="0" t="inlineStr">
        <is>
          <t>[천호동]</t>
        </is>
      </c>
      <c r="B2624" s="0" t="n">
        <v>104414</v>
      </c>
      <c r="C2624" s="0" t="n">
        <v>2</v>
      </c>
      <c r="D2624" s="0" t="inlineStr">
        <is>
          <t>율전에버그린</t>
        </is>
      </c>
      <c r="E2624" s="0" t="inlineStr">
        <is>
          <t>2005.11.</t>
        </is>
      </c>
      <c r="F2624" s="0" t="n">
        <v>18</v>
      </c>
      <c r="G2624" s="0" t="n">
        <v>27.78</v>
      </c>
      <c r="H2624" s="0" t="n">
        <v>91.86</v>
      </c>
      <c r="I2624" s="0" t="n">
        <v>24.01</v>
      </c>
      <c r="J2624" s="0" t="n">
        <v>79.38</v>
      </c>
      <c r="K2624" s="0" t="n">
        <v>6</v>
      </c>
      <c r="T2624" s="0" t="n">
        <v>3</v>
      </c>
      <c r="U2624" s="0" t="n">
        <v>2</v>
      </c>
      <c r="V2624" s="0" t="inlineStr">
        <is>
          <t>계단식</t>
        </is>
      </c>
      <c r="W2624" s="0" t="inlineStr">
        <is>
          <t>91B</t>
        </is>
      </c>
      <c r="X2624" s="0" t="n">
        <v>7</v>
      </c>
      <c r="Y2624" s="0" t="n">
        <v>7</v>
      </c>
      <c r="Z2624" s="0" t="inlineStr">
        <is>
          <t>https://new.land.naver.com/complexes/104414?tab=detail&amp;rf=Y</t>
        </is>
      </c>
      <c r="AA2624" s="0" t="inlineStr">
        <is>
          <t>서울시 강동구 천호동 54-7</t>
        </is>
      </c>
      <c r="AB2624" s="0" t="inlineStr">
        <is>
          <t>서울시</t>
        </is>
      </c>
      <c r="AC2624" s="0" t="inlineStr">
        <is>
          <t>강동구</t>
        </is>
      </c>
      <c r="AD2624" s="0" t="inlineStr">
        <is>
          <t>천호동</t>
        </is>
      </c>
      <c r="AG2624" s="0" t="inlineStr">
        <is>
          <t>서울시 강동구 천중로39길 19</t>
        </is>
      </c>
      <c r="AH2624" s="0" t="n">
        <v>0</v>
      </c>
      <c r="AI2624" s="0" t="n">
        <v>199</v>
      </c>
      <c r="AJ2624" s="0" t="n">
        <v>36</v>
      </c>
      <c r="AK2624" s="0" t="n">
        <v>20</v>
      </c>
      <c r="AL2624" s="0" t="n">
        <v>1.11</v>
      </c>
    </row>
    <row r="2625">
      <c r="A2625" s="0" t="inlineStr">
        <is>
          <t>[천호동]</t>
        </is>
      </c>
      <c r="B2625" s="0" t="n">
        <v>14137</v>
      </c>
      <c r="C2625" s="0" t="n">
        <v>1</v>
      </c>
      <c r="D2625" s="0" t="inlineStr">
        <is>
          <t>장방</t>
        </is>
      </c>
      <c r="E2625" s="0" t="inlineStr">
        <is>
          <t>2003.10.</t>
        </is>
      </c>
      <c r="F2625" s="0" t="n">
        <v>14</v>
      </c>
      <c r="G2625" s="0" t="n">
        <v>28.36</v>
      </c>
      <c r="H2625" s="0" t="n">
        <v>93.76000000000001</v>
      </c>
      <c r="I2625" s="0" t="n">
        <v>25.46</v>
      </c>
      <c r="J2625" s="0" t="n">
        <v>84.18000000000001</v>
      </c>
      <c r="K2625" s="0" t="n">
        <v>14</v>
      </c>
      <c r="T2625" s="0" t="n">
        <v>3</v>
      </c>
      <c r="U2625" s="0" t="n">
        <v>2</v>
      </c>
      <c r="V2625" s="0" t="inlineStr">
        <is>
          <t>계단식</t>
        </is>
      </c>
      <c r="W2625" s="0" t="n">
        <v>93</v>
      </c>
      <c r="X2625" s="0" t="n">
        <v>7</v>
      </c>
      <c r="Y2625" s="0" t="n">
        <v>7</v>
      </c>
      <c r="Z2625" s="0" t="inlineStr">
        <is>
          <t>https://new.land.naver.com/complexes/14137?tab=detail&amp;rf=Y</t>
        </is>
      </c>
      <c r="AA2625" s="0" t="inlineStr">
        <is>
          <t>서울시 강동구 천호동 36-9</t>
        </is>
      </c>
      <c r="AB2625" s="0" t="inlineStr">
        <is>
          <t>서울시</t>
        </is>
      </c>
      <c r="AC2625" s="0" t="inlineStr">
        <is>
          <t>강동구</t>
        </is>
      </c>
      <c r="AD2625" s="0" t="inlineStr">
        <is>
          <t>천호동</t>
        </is>
      </c>
      <c r="AG2625" s="0" t="inlineStr">
        <is>
          <t>서울시 강동구 상암로39길 27</t>
        </is>
      </c>
      <c r="AH2625" s="0" t="n">
        <v>0</v>
      </c>
      <c r="AI2625" s="0" t="n">
        <v>182</v>
      </c>
      <c r="AJ2625" s="0" t="n">
        <v>28</v>
      </c>
      <c r="AK2625" s="0" t="n">
        <v>15</v>
      </c>
      <c r="AL2625" s="0" t="n">
        <v>1.07</v>
      </c>
    </row>
    <row r="2626">
      <c r="A2626" s="0" t="inlineStr">
        <is>
          <t>[천호동]</t>
        </is>
      </c>
      <c r="B2626" s="0" t="n">
        <v>14011</v>
      </c>
      <c r="C2626" s="0" t="n">
        <v>1</v>
      </c>
      <c r="D2626" s="0" t="inlineStr">
        <is>
          <t>태천와이드빌</t>
        </is>
      </c>
      <c r="E2626" s="0" t="inlineStr">
        <is>
          <t>2000.11.</t>
        </is>
      </c>
      <c r="F2626" s="0" t="n">
        <v>32</v>
      </c>
      <c r="G2626" s="0" t="n">
        <v>26.39</v>
      </c>
      <c r="H2626" s="0" t="n">
        <v>87.26000000000001</v>
      </c>
      <c r="I2626" s="0" t="n">
        <v>20.06</v>
      </c>
      <c r="J2626" s="0" t="n">
        <v>66.31999999999999</v>
      </c>
      <c r="K2626" s="0" t="n">
        <v>4</v>
      </c>
      <c r="T2626" s="0" t="n">
        <v>3</v>
      </c>
      <c r="U2626" s="0" t="n">
        <v>2</v>
      </c>
      <c r="V2626" s="0" t="inlineStr">
        <is>
          <t>계단식</t>
        </is>
      </c>
      <c r="W2626" s="0" t="n">
        <v>87</v>
      </c>
      <c r="X2626" s="0" t="n">
        <v>8</v>
      </c>
      <c r="Y2626" s="0" t="n">
        <v>8</v>
      </c>
      <c r="Z2626" s="0" t="inlineStr">
        <is>
          <t>https://new.land.naver.com/complexes/14011?tab=detail&amp;rf=Y</t>
        </is>
      </c>
      <c r="AA2626" s="0" t="inlineStr">
        <is>
          <t>서울시 강동구 천호동 302-3</t>
        </is>
      </c>
      <c r="AB2626" s="0" t="inlineStr">
        <is>
          <t>서울시</t>
        </is>
      </c>
      <c r="AC2626" s="0" t="inlineStr">
        <is>
          <t>강동구</t>
        </is>
      </c>
      <c r="AD2626" s="0" t="inlineStr">
        <is>
          <t>천호동</t>
        </is>
      </c>
      <c r="AG2626" s="0" t="inlineStr">
        <is>
          <t>서울시 강동구 천중로17길 42-10</t>
        </is>
      </c>
      <c r="AH2626" s="0" t="n">
        <v>0</v>
      </c>
      <c r="AI2626" s="0" t="n">
        <v>245</v>
      </c>
      <c r="AJ2626" s="0" t="n">
        <v>34</v>
      </c>
      <c r="AK2626" s="0" t="n">
        <v>36</v>
      </c>
      <c r="AL2626" s="0" t="n">
        <v>1.12</v>
      </c>
    </row>
    <row r="2627">
      <c r="A2627" s="0" t="inlineStr">
        <is>
          <t>[천호동]</t>
        </is>
      </c>
      <c r="B2627" s="0" t="n">
        <v>14011</v>
      </c>
      <c r="C2627" s="0" t="n">
        <v>2</v>
      </c>
      <c r="D2627" s="0" t="inlineStr">
        <is>
          <t>태천와이드빌</t>
        </is>
      </c>
      <c r="E2627" s="0" t="inlineStr">
        <is>
          <t>2000.11.</t>
        </is>
      </c>
      <c r="F2627" s="0" t="n">
        <v>32</v>
      </c>
      <c r="G2627" s="0" t="n">
        <v>33.48</v>
      </c>
      <c r="H2627" s="0" t="n">
        <v>110.7</v>
      </c>
      <c r="I2627" s="0" t="n">
        <v>25.63</v>
      </c>
      <c r="J2627" s="0" t="n">
        <v>84.75</v>
      </c>
      <c r="K2627" s="0" t="n">
        <v>28</v>
      </c>
      <c r="T2627" s="0" t="n">
        <v>3</v>
      </c>
      <c r="U2627" s="0" t="n">
        <v>2</v>
      </c>
      <c r="V2627" s="0" t="inlineStr">
        <is>
          <t>계단식</t>
        </is>
      </c>
      <c r="W2627" s="0" t="n">
        <v>110</v>
      </c>
      <c r="X2627" s="0" t="n">
        <v>8</v>
      </c>
      <c r="Y2627" s="0" t="n">
        <v>8</v>
      </c>
      <c r="Z2627" s="0" t="inlineStr">
        <is>
          <t>https://new.land.naver.com/complexes/14011?tab=detail&amp;rf=Y</t>
        </is>
      </c>
      <c r="AA2627" s="0" t="inlineStr">
        <is>
          <t>서울시 강동구 천호동 302-3</t>
        </is>
      </c>
      <c r="AB2627" s="0" t="inlineStr">
        <is>
          <t>서울시</t>
        </is>
      </c>
      <c r="AC2627" s="0" t="inlineStr">
        <is>
          <t>강동구</t>
        </is>
      </c>
      <c r="AD2627" s="0" t="inlineStr">
        <is>
          <t>천호동</t>
        </is>
      </c>
      <c r="AG2627" s="0" t="inlineStr">
        <is>
          <t>서울시 강동구 천중로17길 42-10</t>
        </is>
      </c>
      <c r="AH2627" s="0" t="n">
        <v>0</v>
      </c>
      <c r="AI2627" s="0" t="n">
        <v>245</v>
      </c>
      <c r="AJ2627" s="0" t="n">
        <v>34</v>
      </c>
      <c r="AK2627" s="0" t="n">
        <v>36</v>
      </c>
      <c r="AL2627" s="0" t="n">
        <v>1.12</v>
      </c>
    </row>
    <row r="2628">
      <c r="A2628" s="0" t="inlineStr">
        <is>
          <t>[천호동]</t>
        </is>
      </c>
      <c r="B2628" s="0" t="n">
        <v>3124</v>
      </c>
      <c r="C2628" s="0" t="n">
        <v>1</v>
      </c>
      <c r="D2628" s="0" t="inlineStr">
        <is>
          <t>현대코아(천호아이파크)</t>
        </is>
      </c>
      <c r="E2628" s="0" t="inlineStr">
        <is>
          <t>1999.02.</t>
        </is>
      </c>
      <c r="F2628" s="0" t="n">
        <v>185</v>
      </c>
      <c r="G2628" s="0" t="n">
        <v>23.22</v>
      </c>
      <c r="H2628" s="0" t="n">
        <v>76.77</v>
      </c>
      <c r="I2628" s="0" t="n">
        <v>15.67</v>
      </c>
      <c r="J2628" s="0" t="n">
        <v>51.82</v>
      </c>
      <c r="K2628" s="0" t="n">
        <v>9</v>
      </c>
      <c r="T2628" s="0" t="n">
        <v>2</v>
      </c>
      <c r="U2628" s="0" t="n">
        <v>1</v>
      </c>
      <c r="V2628" s="0" t="inlineStr">
        <is>
          <t>복도식</t>
        </is>
      </c>
      <c r="W2628" s="0" t="n">
        <v>76</v>
      </c>
      <c r="X2628" s="0" t="n">
        <v>25</v>
      </c>
      <c r="Y2628" s="0" t="n">
        <v>23</v>
      </c>
      <c r="Z2628" s="0" t="inlineStr">
        <is>
          <t>https://new.land.naver.com/complexes/3124?tab=detail&amp;rf=Y</t>
        </is>
      </c>
      <c r="AA2628" s="0" t="inlineStr">
        <is>
          <t>서울시 강동구 천호동 565</t>
        </is>
      </c>
      <c r="AB2628" s="0" t="inlineStr">
        <is>
          <t>서울시</t>
        </is>
      </c>
      <c r="AC2628" s="0" t="inlineStr">
        <is>
          <t>강동구</t>
        </is>
      </c>
      <c r="AD2628" s="0" t="inlineStr">
        <is>
          <t>천호동</t>
        </is>
      </c>
      <c r="AG2628" s="0" t="inlineStr">
        <is>
          <t>서울시 강동구 천호대로 1095</t>
        </is>
      </c>
      <c r="AH2628" s="0" t="n">
        <v>0</v>
      </c>
      <c r="AI2628" s="0" t="n">
        <v>789</v>
      </c>
      <c r="AJ2628" s="0" t="n">
        <v>49</v>
      </c>
      <c r="AK2628" s="0" t="n">
        <v>345</v>
      </c>
      <c r="AL2628" s="0" t="n">
        <v>1.86</v>
      </c>
    </row>
    <row r="2629">
      <c r="A2629" s="0" t="inlineStr">
        <is>
          <t>[천호동]</t>
        </is>
      </c>
      <c r="B2629" s="0" t="n">
        <v>3124</v>
      </c>
      <c r="C2629" s="0" t="n">
        <v>2</v>
      </c>
      <c r="D2629" s="0" t="inlineStr">
        <is>
          <t>현대코아(천호아이파크)</t>
        </is>
      </c>
      <c r="E2629" s="0" t="inlineStr">
        <is>
          <t>1999.02.</t>
        </is>
      </c>
      <c r="F2629" s="0" t="n">
        <v>185</v>
      </c>
      <c r="G2629" s="0" t="n">
        <v>26.84</v>
      </c>
      <c r="H2629" s="0" t="n">
        <v>88.75</v>
      </c>
      <c r="I2629" s="0" t="n">
        <v>18.11</v>
      </c>
      <c r="J2629" s="0" t="n">
        <v>59.9</v>
      </c>
      <c r="K2629" s="0" t="n">
        <v>80</v>
      </c>
      <c r="T2629" s="0" t="n">
        <v>2</v>
      </c>
      <c r="U2629" s="0" t="n">
        <v>1</v>
      </c>
      <c r="V2629" s="0" t="inlineStr">
        <is>
          <t>복도식</t>
        </is>
      </c>
      <c r="W2629" s="0" t="n">
        <v>88</v>
      </c>
      <c r="X2629" s="0" t="n">
        <v>25</v>
      </c>
      <c r="Y2629" s="0" t="n">
        <v>23</v>
      </c>
      <c r="Z2629" s="0" t="inlineStr">
        <is>
          <t>https://new.land.naver.com/complexes/3124?tab=detail&amp;rf=Y</t>
        </is>
      </c>
      <c r="AA2629" s="0" t="inlineStr">
        <is>
          <t>서울시 강동구 천호동 565</t>
        </is>
      </c>
      <c r="AB2629" s="0" t="inlineStr">
        <is>
          <t>서울시</t>
        </is>
      </c>
      <c r="AC2629" s="0" t="inlineStr">
        <is>
          <t>강동구</t>
        </is>
      </c>
      <c r="AD2629" s="0" t="inlineStr">
        <is>
          <t>천호동</t>
        </is>
      </c>
      <c r="AG2629" s="0" t="inlineStr">
        <is>
          <t>서울시 강동구 천호대로 1095</t>
        </is>
      </c>
      <c r="AH2629" s="0" t="n">
        <v>0</v>
      </c>
      <c r="AI2629" s="0" t="n">
        <v>789</v>
      </c>
      <c r="AJ2629" s="0" t="n">
        <v>49</v>
      </c>
      <c r="AK2629" s="0" t="n">
        <v>345</v>
      </c>
      <c r="AL2629" s="0" t="n">
        <v>1.86</v>
      </c>
    </row>
    <row r="2630">
      <c r="A2630" s="0" t="inlineStr">
        <is>
          <t>[천호동]</t>
        </is>
      </c>
      <c r="B2630" s="0" t="n">
        <v>3124</v>
      </c>
      <c r="C2630" s="0" t="n">
        <v>3</v>
      </c>
      <c r="D2630" s="0" t="inlineStr">
        <is>
          <t>현대코아(천호아이파크)</t>
        </is>
      </c>
      <c r="E2630" s="0" t="inlineStr">
        <is>
          <t>1999.02.</t>
        </is>
      </c>
      <c r="F2630" s="0" t="n">
        <v>185</v>
      </c>
      <c r="G2630" s="0" t="n">
        <v>35.84</v>
      </c>
      <c r="H2630" s="0" t="n">
        <v>118.49</v>
      </c>
      <c r="I2630" s="0" t="n">
        <v>24.19</v>
      </c>
      <c r="J2630" s="0" t="n">
        <v>79.98</v>
      </c>
      <c r="K2630" s="0" t="n">
        <v>48</v>
      </c>
      <c r="T2630" s="0" t="n">
        <v>3</v>
      </c>
      <c r="U2630" s="0" t="n">
        <v>2</v>
      </c>
      <c r="V2630" s="0" t="inlineStr">
        <is>
          <t>복도식</t>
        </is>
      </c>
      <c r="W2630" s="0" t="n">
        <v>118</v>
      </c>
      <c r="X2630" s="0" t="n">
        <v>25</v>
      </c>
      <c r="Y2630" s="0" t="n">
        <v>23</v>
      </c>
      <c r="Z2630" s="0" t="inlineStr">
        <is>
          <t>https://new.land.naver.com/complexes/3124?tab=detail&amp;rf=Y</t>
        </is>
      </c>
      <c r="AA2630" s="0" t="inlineStr">
        <is>
          <t>서울시 강동구 천호동 565</t>
        </is>
      </c>
      <c r="AB2630" s="0" t="inlineStr">
        <is>
          <t>서울시</t>
        </is>
      </c>
      <c r="AC2630" s="0" t="inlineStr">
        <is>
          <t>강동구</t>
        </is>
      </c>
      <c r="AD2630" s="0" t="inlineStr">
        <is>
          <t>천호동</t>
        </is>
      </c>
      <c r="AG2630" s="0" t="inlineStr">
        <is>
          <t>서울시 강동구 천호대로 1095</t>
        </is>
      </c>
      <c r="AH2630" s="0" t="n">
        <v>0</v>
      </c>
      <c r="AI2630" s="0" t="n">
        <v>789</v>
      </c>
      <c r="AJ2630" s="0" t="n">
        <v>49</v>
      </c>
      <c r="AK2630" s="0" t="n">
        <v>345</v>
      </c>
      <c r="AL2630" s="0" t="n">
        <v>1.86</v>
      </c>
    </row>
    <row r="2631">
      <c r="A2631" s="0" t="inlineStr">
        <is>
          <t>[천호동]</t>
        </is>
      </c>
      <c r="B2631" s="0" t="n">
        <v>3124</v>
      </c>
      <c r="C2631" s="0" t="n">
        <v>4</v>
      </c>
      <c r="D2631" s="0" t="inlineStr">
        <is>
          <t>현대코아(천호아이파크)</t>
        </is>
      </c>
      <c r="E2631" s="0" t="inlineStr">
        <is>
          <t>1999.02.</t>
        </is>
      </c>
      <c r="F2631" s="0" t="n">
        <v>185</v>
      </c>
      <c r="G2631" s="0" t="n">
        <v>37.44</v>
      </c>
      <c r="H2631" s="0" t="n">
        <v>123.78</v>
      </c>
      <c r="I2631" s="0" t="n">
        <v>25.27</v>
      </c>
      <c r="J2631" s="0" t="n">
        <v>83.55</v>
      </c>
      <c r="K2631" s="0" t="n">
        <v>3</v>
      </c>
      <c r="T2631" s="0" t="n">
        <v>3</v>
      </c>
      <c r="U2631" s="0" t="n">
        <v>2</v>
      </c>
      <c r="V2631" s="0" t="inlineStr">
        <is>
          <t>복도식</t>
        </is>
      </c>
      <c r="W2631" s="0" t="n">
        <v>123</v>
      </c>
      <c r="X2631" s="0" t="n">
        <v>25</v>
      </c>
      <c r="Y2631" s="0" t="n">
        <v>23</v>
      </c>
      <c r="Z2631" s="0" t="inlineStr">
        <is>
          <t>https://new.land.naver.com/complexes/3124?tab=detail&amp;rf=Y</t>
        </is>
      </c>
      <c r="AA2631" s="0" t="inlineStr">
        <is>
          <t>서울시 강동구 천호동 565</t>
        </is>
      </c>
      <c r="AB2631" s="0" t="inlineStr">
        <is>
          <t>서울시</t>
        </is>
      </c>
      <c r="AC2631" s="0" t="inlineStr">
        <is>
          <t>강동구</t>
        </is>
      </c>
      <c r="AD2631" s="0" t="inlineStr">
        <is>
          <t>천호동</t>
        </is>
      </c>
      <c r="AG2631" s="0" t="inlineStr">
        <is>
          <t>서울시 강동구 천호대로 1095</t>
        </is>
      </c>
      <c r="AH2631" s="0" t="n">
        <v>0</v>
      </c>
      <c r="AI2631" s="0" t="n">
        <v>789</v>
      </c>
      <c r="AJ2631" s="0" t="n">
        <v>49</v>
      </c>
      <c r="AK2631" s="0" t="n">
        <v>345</v>
      </c>
      <c r="AL2631" s="0" t="n">
        <v>1.86</v>
      </c>
    </row>
    <row r="2632">
      <c r="A2632" s="0" t="inlineStr">
        <is>
          <t>[천호동]</t>
        </is>
      </c>
      <c r="B2632" s="0" t="n">
        <v>3124</v>
      </c>
      <c r="C2632" s="0" t="n">
        <v>5</v>
      </c>
      <c r="D2632" s="0" t="inlineStr">
        <is>
          <t>현대코아(천호아이파크)</t>
        </is>
      </c>
      <c r="E2632" s="0" t="inlineStr">
        <is>
          <t>1999.02.</t>
        </is>
      </c>
      <c r="F2632" s="0" t="n">
        <v>185</v>
      </c>
      <c r="G2632" s="0" t="n">
        <v>52.59</v>
      </c>
      <c r="H2632" s="0" t="n">
        <v>173.87</v>
      </c>
      <c r="I2632" s="0" t="n">
        <v>35.5</v>
      </c>
      <c r="J2632" s="0" t="n">
        <v>117.36</v>
      </c>
      <c r="K2632" s="0" t="n">
        <v>15</v>
      </c>
      <c r="T2632" s="0" t="n">
        <v>4</v>
      </c>
      <c r="U2632" s="0" t="n">
        <v>2</v>
      </c>
      <c r="V2632" s="0" t="inlineStr">
        <is>
          <t>복도식</t>
        </is>
      </c>
      <c r="W2632" s="0" t="inlineStr">
        <is>
          <t>173A</t>
        </is>
      </c>
      <c r="X2632" s="0" t="n">
        <v>25</v>
      </c>
      <c r="Y2632" s="0" t="n">
        <v>23</v>
      </c>
      <c r="Z2632" s="0" t="inlineStr">
        <is>
          <t>https://new.land.naver.com/complexes/3124?tab=detail&amp;rf=Y</t>
        </is>
      </c>
      <c r="AA2632" s="0" t="inlineStr">
        <is>
          <t>서울시 강동구 천호동 565</t>
        </is>
      </c>
      <c r="AB2632" s="0" t="inlineStr">
        <is>
          <t>서울시</t>
        </is>
      </c>
      <c r="AC2632" s="0" t="inlineStr">
        <is>
          <t>강동구</t>
        </is>
      </c>
      <c r="AD2632" s="0" t="inlineStr">
        <is>
          <t>천호동</t>
        </is>
      </c>
      <c r="AG2632" s="0" t="inlineStr">
        <is>
          <t>서울시 강동구 천호대로 1095</t>
        </is>
      </c>
      <c r="AH2632" s="0" t="n">
        <v>0</v>
      </c>
      <c r="AI2632" s="0" t="n">
        <v>789</v>
      </c>
      <c r="AJ2632" s="0" t="n">
        <v>49</v>
      </c>
      <c r="AK2632" s="0" t="n">
        <v>345</v>
      </c>
      <c r="AL2632" s="0" t="n">
        <v>1.86</v>
      </c>
    </row>
    <row r="2633">
      <c r="A2633" s="0" t="inlineStr">
        <is>
          <t>[천호동]</t>
        </is>
      </c>
      <c r="B2633" s="0" t="n">
        <v>3124</v>
      </c>
      <c r="C2633" s="0" t="n">
        <v>6</v>
      </c>
      <c r="D2633" s="0" t="inlineStr">
        <is>
          <t>현대코아(천호아이파크)</t>
        </is>
      </c>
      <c r="E2633" s="0" t="inlineStr">
        <is>
          <t>1999.02.</t>
        </is>
      </c>
      <c r="F2633" s="0" t="n">
        <v>185</v>
      </c>
      <c r="G2633" s="0" t="n">
        <v>53.35</v>
      </c>
      <c r="H2633" s="0" t="n">
        <v>176.37</v>
      </c>
      <c r="I2633" s="0" t="n">
        <v>36</v>
      </c>
      <c r="J2633" s="0" t="n">
        <v>119.04</v>
      </c>
      <c r="K2633" s="0" t="n">
        <v>15</v>
      </c>
      <c r="T2633" s="0" t="n">
        <v>4</v>
      </c>
      <c r="U2633" s="0" t="n">
        <v>2</v>
      </c>
      <c r="V2633" s="0" t="inlineStr">
        <is>
          <t>복도식</t>
        </is>
      </c>
      <c r="W2633" s="0" t="inlineStr">
        <is>
          <t>176B</t>
        </is>
      </c>
      <c r="X2633" s="0" t="n">
        <v>25</v>
      </c>
      <c r="Y2633" s="0" t="n">
        <v>23</v>
      </c>
      <c r="Z2633" s="0" t="inlineStr">
        <is>
          <t>https://new.land.naver.com/complexes/3124?tab=detail&amp;rf=Y</t>
        </is>
      </c>
      <c r="AA2633" s="0" t="inlineStr">
        <is>
          <t>서울시 강동구 천호동 565</t>
        </is>
      </c>
      <c r="AB2633" s="0" t="inlineStr">
        <is>
          <t>서울시</t>
        </is>
      </c>
      <c r="AC2633" s="0" t="inlineStr">
        <is>
          <t>강동구</t>
        </is>
      </c>
      <c r="AD2633" s="0" t="inlineStr">
        <is>
          <t>천호동</t>
        </is>
      </c>
      <c r="AG2633" s="0" t="inlineStr">
        <is>
          <t>서울시 강동구 천호대로 1095</t>
        </is>
      </c>
      <c r="AH2633" s="0" t="n">
        <v>0</v>
      </c>
      <c r="AI2633" s="0" t="n">
        <v>789</v>
      </c>
      <c r="AJ2633" s="0" t="n">
        <v>49</v>
      </c>
      <c r="AK2633" s="0" t="n">
        <v>345</v>
      </c>
      <c r="AL2633" s="0" t="n">
        <v>1.86</v>
      </c>
    </row>
    <row r="2634">
      <c r="A2634" s="0" t="inlineStr">
        <is>
          <t>[천호동]</t>
        </is>
      </c>
      <c r="B2634" s="0" t="n">
        <v>3124</v>
      </c>
      <c r="C2634" s="0" t="n">
        <v>7</v>
      </c>
      <c r="D2634" s="0" t="inlineStr">
        <is>
          <t>현대코아(천호아이파크)</t>
        </is>
      </c>
      <c r="E2634" s="0" t="inlineStr">
        <is>
          <t>1999.02.</t>
        </is>
      </c>
      <c r="F2634" s="0" t="n">
        <v>185</v>
      </c>
      <c r="G2634" s="0" t="n">
        <v>61.29</v>
      </c>
      <c r="H2634" s="0" t="n">
        <v>202.63</v>
      </c>
      <c r="I2634" s="0" t="n">
        <v>41.37</v>
      </c>
      <c r="J2634" s="0" t="n">
        <v>136.77</v>
      </c>
      <c r="K2634" s="0" t="n">
        <v>15</v>
      </c>
      <c r="T2634" s="0" t="n">
        <v>5</v>
      </c>
      <c r="U2634" s="0" t="n">
        <v>2</v>
      </c>
      <c r="V2634" s="0" t="inlineStr">
        <is>
          <t>복도식</t>
        </is>
      </c>
      <c r="W2634" s="0" t="n">
        <v>202</v>
      </c>
      <c r="X2634" s="0" t="n">
        <v>25</v>
      </c>
      <c r="Y2634" s="0" t="n">
        <v>23</v>
      </c>
      <c r="Z2634" s="0" t="inlineStr">
        <is>
          <t>https://new.land.naver.com/complexes/3124?tab=detail&amp;rf=Y</t>
        </is>
      </c>
      <c r="AA2634" s="0" t="inlineStr">
        <is>
          <t>서울시 강동구 천호동 565</t>
        </is>
      </c>
      <c r="AB2634" s="0" t="inlineStr">
        <is>
          <t>서울시</t>
        </is>
      </c>
      <c r="AC2634" s="0" t="inlineStr">
        <is>
          <t>강동구</t>
        </is>
      </c>
      <c r="AD2634" s="0" t="inlineStr">
        <is>
          <t>천호동</t>
        </is>
      </c>
      <c r="AG2634" s="0" t="inlineStr">
        <is>
          <t>서울시 강동구 천호대로 1095</t>
        </is>
      </c>
      <c r="AH2634" s="0" t="n">
        <v>0</v>
      </c>
      <c r="AI2634" s="0" t="n">
        <v>789</v>
      </c>
      <c r="AJ2634" s="0" t="n">
        <v>49</v>
      </c>
      <c r="AK2634" s="0" t="n">
        <v>345</v>
      </c>
      <c r="AL2634" s="0" t="n">
        <v>1.86</v>
      </c>
    </row>
    <row r="2635">
      <c r="A2635" s="0" t="inlineStr">
        <is>
          <t>[천호동]</t>
        </is>
      </c>
      <c r="B2635" s="0" t="n">
        <v>118713</v>
      </c>
      <c r="C2635" s="0" t="n">
        <v>1</v>
      </c>
      <c r="D2635" s="0" t="inlineStr">
        <is>
          <t>다성이즈빌</t>
        </is>
      </c>
      <c r="E2635" s="0" t="inlineStr">
        <is>
          <t>2017.12.</t>
        </is>
      </c>
      <c r="F2635" s="0" t="n">
        <v>96</v>
      </c>
      <c r="G2635" s="0" t="n">
        <v>17.6</v>
      </c>
      <c r="H2635" s="0" t="n">
        <v>58.2</v>
      </c>
      <c r="I2635" s="0" t="n">
        <v>14.08</v>
      </c>
      <c r="J2635" s="0" t="n">
        <v>46.55</v>
      </c>
      <c r="K2635" s="0" t="n">
        <v>7</v>
      </c>
      <c r="T2635" s="0" t="n">
        <v>3</v>
      </c>
      <c r="U2635" s="0" t="n">
        <v>2</v>
      </c>
      <c r="V2635" s="0" t="inlineStr">
        <is>
          <t>계단식</t>
        </is>
      </c>
      <c r="W2635" s="0" t="inlineStr">
        <is>
          <t>58A</t>
        </is>
      </c>
      <c r="X2635" s="0" t="n">
        <v>7</v>
      </c>
      <c r="Y2635" s="0" t="n">
        <v>7</v>
      </c>
      <c r="Z2635" s="0" t="inlineStr">
        <is>
          <t>https://new.land.naver.com/complexes/118713?tab=detail&amp;rf=Y</t>
        </is>
      </c>
      <c r="AA2635" s="0" t="inlineStr">
        <is>
          <t>서울시 강동구 천호동 320</t>
        </is>
      </c>
      <c r="AB2635" s="0" t="inlineStr">
        <is>
          <t>서울시</t>
        </is>
      </c>
      <c r="AC2635" s="0" t="inlineStr">
        <is>
          <t>강동구</t>
        </is>
      </c>
      <c r="AD2635" s="0" t="inlineStr">
        <is>
          <t>천호동</t>
        </is>
      </c>
      <c r="AG2635" s="0" t="inlineStr">
        <is>
          <t>서울시 강동구 올림픽로89길 39-4</t>
        </is>
      </c>
      <c r="AH2635" s="0" t="n">
        <v>0</v>
      </c>
      <c r="AI2635" s="0" t="n">
        <v>199</v>
      </c>
      <c r="AJ2635" s="0" t="n">
        <v>41</v>
      </c>
      <c r="AK2635" s="0" t="n">
        <v>95</v>
      </c>
      <c r="AL2635" s="0" t="n">
        <v>0.99</v>
      </c>
    </row>
    <row r="2636">
      <c r="A2636" s="0" t="inlineStr">
        <is>
          <t>[천호동]</t>
        </is>
      </c>
      <c r="B2636" s="0" t="n">
        <v>118713</v>
      </c>
      <c r="C2636" s="0" t="n">
        <v>2</v>
      </c>
      <c r="D2636" s="0" t="inlineStr">
        <is>
          <t>다성이즈빌</t>
        </is>
      </c>
      <c r="E2636" s="0" t="inlineStr">
        <is>
          <t>2017.12.</t>
        </is>
      </c>
      <c r="F2636" s="0" t="n">
        <v>96</v>
      </c>
      <c r="G2636" s="0" t="n">
        <v>18.3</v>
      </c>
      <c r="H2636" s="0" t="n">
        <v>60.52</v>
      </c>
      <c r="I2636" s="0" t="n">
        <v>14.76</v>
      </c>
      <c r="J2636" s="0" t="n">
        <v>48.82</v>
      </c>
      <c r="K2636" s="0" t="n">
        <v>12</v>
      </c>
      <c r="T2636" s="0" t="n">
        <v>3</v>
      </c>
      <c r="U2636" s="0" t="n">
        <v>2</v>
      </c>
      <c r="V2636" s="0" t="inlineStr">
        <is>
          <t>계단식</t>
        </is>
      </c>
      <c r="W2636" s="0" t="inlineStr">
        <is>
          <t>60B</t>
        </is>
      </c>
      <c r="X2636" s="0" t="n">
        <v>7</v>
      </c>
      <c r="Y2636" s="0" t="n">
        <v>7</v>
      </c>
      <c r="Z2636" s="0" t="inlineStr">
        <is>
          <t>https://new.land.naver.com/complexes/118713?tab=detail&amp;rf=Y</t>
        </is>
      </c>
      <c r="AA2636" s="0" t="inlineStr">
        <is>
          <t>서울시 강동구 천호동 320</t>
        </is>
      </c>
      <c r="AB2636" s="0" t="inlineStr">
        <is>
          <t>서울시</t>
        </is>
      </c>
      <c r="AC2636" s="0" t="inlineStr">
        <is>
          <t>강동구</t>
        </is>
      </c>
      <c r="AD2636" s="0" t="inlineStr">
        <is>
          <t>천호동</t>
        </is>
      </c>
      <c r="AG2636" s="0" t="inlineStr">
        <is>
          <t>서울시 강동구 올림픽로89길 39-4</t>
        </is>
      </c>
      <c r="AH2636" s="0" t="n">
        <v>0</v>
      </c>
      <c r="AI2636" s="0" t="n">
        <v>199</v>
      </c>
      <c r="AJ2636" s="0" t="n">
        <v>41</v>
      </c>
      <c r="AK2636" s="0" t="n">
        <v>95</v>
      </c>
      <c r="AL2636" s="0" t="n">
        <v>0.99</v>
      </c>
    </row>
    <row r="2637">
      <c r="A2637" s="0" t="inlineStr">
        <is>
          <t>[천호동]</t>
        </is>
      </c>
      <c r="B2637" s="0" t="n">
        <v>118713</v>
      </c>
      <c r="C2637" s="0" t="n">
        <v>3</v>
      </c>
      <c r="D2637" s="0" t="inlineStr">
        <is>
          <t>다성이즈빌</t>
        </is>
      </c>
      <c r="E2637" s="0" t="inlineStr">
        <is>
          <t>2017.12.</t>
        </is>
      </c>
      <c r="F2637" s="0" t="n">
        <v>96</v>
      </c>
      <c r="G2637" s="0" t="n">
        <v>21.7</v>
      </c>
      <c r="H2637" s="0" t="n">
        <v>71.75</v>
      </c>
      <c r="I2637" s="0" t="n">
        <v>17.47</v>
      </c>
      <c r="J2637" s="0" t="n">
        <v>57.78</v>
      </c>
      <c r="K2637" s="0" t="n">
        <v>70</v>
      </c>
      <c r="T2637" s="0" t="n">
        <v>3</v>
      </c>
      <c r="U2637" s="0" t="n">
        <v>2</v>
      </c>
      <c r="V2637" s="0" t="inlineStr">
        <is>
          <t>계단식</t>
        </is>
      </c>
      <c r="W2637" s="0" t="inlineStr">
        <is>
          <t>71B</t>
        </is>
      </c>
      <c r="X2637" s="0" t="n">
        <v>7</v>
      </c>
      <c r="Y2637" s="0" t="n">
        <v>7</v>
      </c>
      <c r="Z2637" s="0" t="inlineStr">
        <is>
          <t>https://new.land.naver.com/complexes/118713?tab=detail&amp;rf=Y</t>
        </is>
      </c>
      <c r="AA2637" s="0" t="inlineStr">
        <is>
          <t>서울시 강동구 천호동 320</t>
        </is>
      </c>
      <c r="AB2637" s="0" t="inlineStr">
        <is>
          <t>서울시</t>
        </is>
      </c>
      <c r="AC2637" s="0" t="inlineStr">
        <is>
          <t>강동구</t>
        </is>
      </c>
      <c r="AD2637" s="0" t="inlineStr">
        <is>
          <t>천호동</t>
        </is>
      </c>
      <c r="AG2637" s="0" t="inlineStr">
        <is>
          <t>서울시 강동구 올림픽로89길 39-4</t>
        </is>
      </c>
      <c r="AH2637" s="0" t="n">
        <v>0</v>
      </c>
      <c r="AI2637" s="0" t="n">
        <v>199</v>
      </c>
      <c r="AJ2637" s="0" t="n">
        <v>41</v>
      </c>
      <c r="AK2637" s="0" t="n">
        <v>95</v>
      </c>
      <c r="AL2637" s="0" t="n">
        <v>0.99</v>
      </c>
    </row>
    <row r="2638">
      <c r="A2638" s="0" t="inlineStr">
        <is>
          <t>[천호동]</t>
        </is>
      </c>
      <c r="B2638" s="0" t="n">
        <v>118713</v>
      </c>
      <c r="C2638" s="0" t="n">
        <v>4</v>
      </c>
      <c r="D2638" s="0" t="inlineStr">
        <is>
          <t>다성이즈빌</t>
        </is>
      </c>
      <c r="E2638" s="0" t="inlineStr">
        <is>
          <t>2017.12.</t>
        </is>
      </c>
      <c r="F2638" s="0" t="n">
        <v>96</v>
      </c>
      <c r="G2638" s="0" t="n">
        <v>21.55</v>
      </c>
      <c r="H2638" s="0" t="n">
        <v>71.23999999999999</v>
      </c>
      <c r="I2638" s="0" t="n">
        <v>17.37</v>
      </c>
      <c r="J2638" s="0" t="n">
        <v>57.43</v>
      </c>
      <c r="K2638" s="0" t="n">
        <v>7</v>
      </c>
      <c r="T2638" s="0" t="n">
        <v>3</v>
      </c>
      <c r="U2638" s="0" t="n">
        <v>2</v>
      </c>
      <c r="V2638" s="0" t="inlineStr">
        <is>
          <t>계단식</t>
        </is>
      </c>
      <c r="W2638" s="0" t="inlineStr">
        <is>
          <t>71A</t>
        </is>
      </c>
      <c r="X2638" s="0" t="n">
        <v>7</v>
      </c>
      <c r="Y2638" s="0" t="n">
        <v>7</v>
      </c>
      <c r="Z2638" s="0" t="inlineStr">
        <is>
          <t>https://new.land.naver.com/complexes/118713?tab=detail&amp;rf=Y</t>
        </is>
      </c>
      <c r="AA2638" s="0" t="inlineStr">
        <is>
          <t>서울시 강동구 천호동 320</t>
        </is>
      </c>
      <c r="AB2638" s="0" t="inlineStr">
        <is>
          <t>서울시</t>
        </is>
      </c>
      <c r="AC2638" s="0" t="inlineStr">
        <is>
          <t>강동구</t>
        </is>
      </c>
      <c r="AD2638" s="0" t="inlineStr">
        <is>
          <t>천호동</t>
        </is>
      </c>
      <c r="AG2638" s="0" t="inlineStr">
        <is>
          <t>서울시 강동구 올림픽로89길 39-4</t>
        </is>
      </c>
      <c r="AH2638" s="0" t="n">
        <v>0</v>
      </c>
      <c r="AI2638" s="0" t="n">
        <v>199</v>
      </c>
      <c r="AJ2638" s="0" t="n">
        <v>41</v>
      </c>
      <c r="AK2638" s="0" t="n">
        <v>95</v>
      </c>
      <c r="AL2638" s="0" t="n">
        <v>0.99</v>
      </c>
    </row>
    <row r="2639">
      <c r="A2639" s="0" t="inlineStr">
        <is>
          <t>[천호동]</t>
        </is>
      </c>
      <c r="B2639" s="0" t="n">
        <v>126618</v>
      </c>
      <c r="C2639" s="0" t="n">
        <v>1</v>
      </c>
      <c r="D2639" s="0" t="inlineStr">
        <is>
          <t>기화빌리지(도시형)</t>
        </is>
      </c>
      <c r="E2639" s="0" t="inlineStr">
        <is>
          <t>2019.06.</t>
        </is>
      </c>
      <c r="F2639" s="0" t="n">
        <v>18</v>
      </c>
      <c r="G2639" s="0" t="n">
        <v>7.04</v>
      </c>
      <c r="H2639" s="0" t="n">
        <v>23.29</v>
      </c>
      <c r="I2639" s="0" t="n">
        <v>5.73</v>
      </c>
      <c r="J2639" s="0" t="n">
        <v>18.97</v>
      </c>
      <c r="K2639" s="0" t="n">
        <v>1</v>
      </c>
      <c r="T2639" s="0" t="n">
        <v>1</v>
      </c>
      <c r="U2639" s="0" t="n">
        <v>1</v>
      </c>
      <c r="V2639" s="0" t="inlineStr">
        <is>
          <t>계단식</t>
        </is>
      </c>
      <c r="W2639" s="0" t="n">
        <v>23</v>
      </c>
      <c r="X2639" s="0" t="n">
        <v>64</v>
      </c>
      <c r="Y2639" s="0" t="n">
        <v>4</v>
      </c>
      <c r="Z2639" s="0" t="inlineStr">
        <is>
          <t>https://new.land.naver.com/complexes/126618?tab=detail&amp;rf=Y</t>
        </is>
      </c>
      <c r="AA2639" s="0" t="inlineStr">
        <is>
          <t>서울시 강동구 천호동 180-9</t>
        </is>
      </c>
      <c r="AB2639" s="0" t="inlineStr">
        <is>
          <t>서울시</t>
        </is>
      </c>
      <c r="AC2639" s="0" t="inlineStr">
        <is>
          <t>강동구</t>
        </is>
      </c>
      <c r="AD2639" s="0" t="inlineStr">
        <is>
          <t>천호동</t>
        </is>
      </c>
      <c r="AG2639" s="0" t="inlineStr">
        <is>
          <t>서울시 강동구 성안로27길 29-5</t>
        </is>
      </c>
      <c r="AH2639" s="0" t="n">
        <v>18</v>
      </c>
      <c r="AI2639" s="0" t="n">
        <v>190</v>
      </c>
      <c r="AJ2639" s="0" t="n">
        <v>59</v>
      </c>
      <c r="AK2639" s="0" t="n">
        <v>9</v>
      </c>
      <c r="AL2639" s="0" t="n">
        <v>0.5</v>
      </c>
    </row>
    <row r="2640">
      <c r="A2640" s="0" t="inlineStr">
        <is>
          <t>[천호동]</t>
        </is>
      </c>
      <c r="B2640" s="0" t="n">
        <v>126618</v>
      </c>
      <c r="C2640" s="0" t="n">
        <v>2</v>
      </c>
      <c r="D2640" s="0" t="inlineStr">
        <is>
          <t>기화빌리지(도시형)</t>
        </is>
      </c>
      <c r="E2640" s="0" t="inlineStr">
        <is>
          <t>2019.06.</t>
        </is>
      </c>
      <c r="F2640" s="0" t="n">
        <v>18</v>
      </c>
      <c r="G2640" s="0" t="n">
        <v>8.57</v>
      </c>
      <c r="H2640" s="0" t="n">
        <v>28.36</v>
      </c>
      <c r="I2640" s="0" t="n">
        <v>6.98</v>
      </c>
      <c r="J2640" s="0" t="n">
        <v>23.1</v>
      </c>
      <c r="K2640" s="0" t="n">
        <v>1</v>
      </c>
      <c r="T2640" s="0" t="n">
        <v>1</v>
      </c>
      <c r="U2640" s="0" t="n">
        <v>1</v>
      </c>
      <c r="V2640" s="0" t="inlineStr">
        <is>
          <t>계단식</t>
        </is>
      </c>
      <c r="W2640" s="0" t="n">
        <v>28</v>
      </c>
      <c r="X2640" s="0" t="n">
        <v>64</v>
      </c>
      <c r="Y2640" s="0" t="n">
        <v>4</v>
      </c>
      <c r="Z2640" s="0" t="inlineStr">
        <is>
          <t>https://new.land.naver.com/complexes/126618?tab=detail&amp;rf=Y</t>
        </is>
      </c>
      <c r="AA2640" s="0" t="inlineStr">
        <is>
          <t>서울시 강동구 천호동 180-9</t>
        </is>
      </c>
      <c r="AB2640" s="0" t="inlineStr">
        <is>
          <t>서울시</t>
        </is>
      </c>
      <c r="AC2640" s="0" t="inlineStr">
        <is>
          <t>강동구</t>
        </is>
      </c>
      <c r="AD2640" s="0" t="inlineStr">
        <is>
          <t>천호동</t>
        </is>
      </c>
      <c r="AG2640" s="0" t="inlineStr">
        <is>
          <t>서울시 강동구 성안로27길 29-5</t>
        </is>
      </c>
      <c r="AH2640" s="0" t="n">
        <v>18</v>
      </c>
      <c r="AI2640" s="0" t="n">
        <v>190</v>
      </c>
      <c r="AJ2640" s="0" t="n">
        <v>59</v>
      </c>
      <c r="AK2640" s="0" t="n">
        <v>9</v>
      </c>
      <c r="AL2640" s="0" t="n">
        <v>0.5</v>
      </c>
    </row>
    <row r="2641">
      <c r="A2641" s="0" t="inlineStr">
        <is>
          <t>[천호동]</t>
        </is>
      </c>
      <c r="B2641" s="0" t="n">
        <v>126618</v>
      </c>
      <c r="C2641" s="0" t="n">
        <v>3</v>
      </c>
      <c r="D2641" s="0" t="inlineStr">
        <is>
          <t>기화빌리지(도시형)</t>
        </is>
      </c>
      <c r="E2641" s="0" t="inlineStr">
        <is>
          <t>2019.06.</t>
        </is>
      </c>
      <c r="F2641" s="0" t="n">
        <v>18</v>
      </c>
      <c r="G2641" s="0" t="n">
        <v>9.710000000000001</v>
      </c>
      <c r="H2641" s="0" t="n">
        <v>32.12</v>
      </c>
      <c r="I2641" s="0" t="n">
        <v>7.91</v>
      </c>
      <c r="J2641" s="0" t="n">
        <v>26.16</v>
      </c>
      <c r="K2641" s="0" t="n">
        <v>1</v>
      </c>
      <c r="T2641" s="0" t="n">
        <v>1</v>
      </c>
      <c r="U2641" s="0" t="n">
        <v>1</v>
      </c>
      <c r="V2641" s="0" t="inlineStr">
        <is>
          <t>계단식</t>
        </is>
      </c>
      <c r="W2641" s="0" t="n">
        <v>32</v>
      </c>
      <c r="X2641" s="0" t="n">
        <v>64</v>
      </c>
      <c r="Y2641" s="0" t="n">
        <v>4</v>
      </c>
      <c r="Z2641" s="0" t="inlineStr">
        <is>
          <t>https://new.land.naver.com/complexes/126618?tab=detail&amp;rf=Y</t>
        </is>
      </c>
      <c r="AA2641" s="0" t="inlineStr">
        <is>
          <t>서울시 강동구 천호동 180-9</t>
        </is>
      </c>
      <c r="AB2641" s="0" t="inlineStr">
        <is>
          <t>서울시</t>
        </is>
      </c>
      <c r="AC2641" s="0" t="inlineStr">
        <is>
          <t>강동구</t>
        </is>
      </c>
      <c r="AD2641" s="0" t="inlineStr">
        <is>
          <t>천호동</t>
        </is>
      </c>
      <c r="AG2641" s="0" t="inlineStr">
        <is>
          <t>서울시 강동구 성안로27길 29-5</t>
        </is>
      </c>
      <c r="AH2641" s="0" t="n">
        <v>18</v>
      </c>
      <c r="AI2641" s="0" t="n">
        <v>190</v>
      </c>
      <c r="AJ2641" s="0" t="n">
        <v>59</v>
      </c>
      <c r="AK2641" s="0" t="n">
        <v>9</v>
      </c>
      <c r="AL2641" s="0" t="n">
        <v>0.5</v>
      </c>
    </row>
    <row r="2642">
      <c r="A2642" s="0" t="inlineStr">
        <is>
          <t>[천호동]</t>
        </is>
      </c>
      <c r="B2642" s="0" t="n">
        <v>126618</v>
      </c>
      <c r="C2642" s="0" t="n">
        <v>4</v>
      </c>
      <c r="D2642" s="0" t="inlineStr">
        <is>
          <t>기화빌리지(도시형)</t>
        </is>
      </c>
      <c r="E2642" s="0" t="inlineStr">
        <is>
          <t>2019.06.</t>
        </is>
      </c>
      <c r="F2642" s="0" t="n">
        <v>18</v>
      </c>
      <c r="G2642" s="0" t="n">
        <v>10.79</v>
      </c>
      <c r="H2642" s="0" t="n">
        <v>35.67</v>
      </c>
      <c r="I2642" s="0" t="n">
        <v>8.779999999999999</v>
      </c>
      <c r="J2642" s="0" t="n">
        <v>29.05</v>
      </c>
      <c r="K2642" s="0" t="n">
        <v>5</v>
      </c>
      <c r="T2642" s="0" t="n">
        <v>1</v>
      </c>
      <c r="U2642" s="0" t="n">
        <v>1</v>
      </c>
      <c r="V2642" s="0" t="inlineStr">
        <is>
          <t>계단식</t>
        </is>
      </c>
      <c r="W2642" s="0" t="inlineStr">
        <is>
          <t>35A</t>
        </is>
      </c>
      <c r="X2642" s="0" t="n">
        <v>64</v>
      </c>
      <c r="Y2642" s="0" t="n">
        <v>4</v>
      </c>
      <c r="Z2642" s="0" t="inlineStr">
        <is>
          <t>https://new.land.naver.com/complexes/126618?tab=detail&amp;rf=Y</t>
        </is>
      </c>
      <c r="AA2642" s="0" t="inlineStr">
        <is>
          <t>서울시 강동구 천호동 180-9</t>
        </is>
      </c>
      <c r="AB2642" s="0" t="inlineStr">
        <is>
          <t>서울시</t>
        </is>
      </c>
      <c r="AC2642" s="0" t="inlineStr">
        <is>
          <t>강동구</t>
        </is>
      </c>
      <c r="AD2642" s="0" t="inlineStr">
        <is>
          <t>천호동</t>
        </is>
      </c>
      <c r="AG2642" s="0" t="inlineStr">
        <is>
          <t>서울시 강동구 성안로27길 29-5</t>
        </is>
      </c>
      <c r="AH2642" s="0" t="n">
        <v>18</v>
      </c>
      <c r="AI2642" s="0" t="n">
        <v>190</v>
      </c>
      <c r="AJ2642" s="0" t="n">
        <v>59</v>
      </c>
      <c r="AK2642" s="0" t="n">
        <v>9</v>
      </c>
      <c r="AL2642" s="0" t="n">
        <v>0.5</v>
      </c>
    </row>
    <row r="2643">
      <c r="A2643" s="0" t="inlineStr">
        <is>
          <t>[천호동]</t>
        </is>
      </c>
      <c r="B2643" s="0" t="n">
        <v>126618</v>
      </c>
      <c r="C2643" s="0" t="n">
        <v>5</v>
      </c>
      <c r="D2643" s="0" t="inlineStr">
        <is>
          <t>기화빌리지(도시형)</t>
        </is>
      </c>
      <c r="E2643" s="0" t="inlineStr">
        <is>
          <t>2019.06.</t>
        </is>
      </c>
      <c r="F2643" s="0" t="n">
        <v>18</v>
      </c>
      <c r="G2643" s="0" t="n">
        <v>10.82</v>
      </c>
      <c r="H2643" s="0" t="n">
        <v>35.77</v>
      </c>
      <c r="I2643" s="0" t="n">
        <v>8.81</v>
      </c>
      <c r="J2643" s="0" t="n">
        <v>29.13</v>
      </c>
      <c r="K2643" s="0" t="n">
        <v>2</v>
      </c>
      <c r="T2643" s="0" t="n">
        <v>1</v>
      </c>
      <c r="U2643" s="0" t="n">
        <v>1</v>
      </c>
      <c r="V2643" s="0" t="inlineStr">
        <is>
          <t>계단식</t>
        </is>
      </c>
      <c r="W2643" s="0" t="inlineStr">
        <is>
          <t>35B</t>
        </is>
      </c>
      <c r="X2643" s="0" t="n">
        <v>64</v>
      </c>
      <c r="Y2643" s="0" t="n">
        <v>4</v>
      </c>
      <c r="Z2643" s="0" t="inlineStr">
        <is>
          <t>https://new.land.naver.com/complexes/126618?tab=detail&amp;rf=Y</t>
        </is>
      </c>
      <c r="AA2643" s="0" t="inlineStr">
        <is>
          <t>서울시 강동구 천호동 180-9</t>
        </is>
      </c>
      <c r="AB2643" s="0" t="inlineStr">
        <is>
          <t>서울시</t>
        </is>
      </c>
      <c r="AC2643" s="0" t="inlineStr">
        <is>
          <t>강동구</t>
        </is>
      </c>
      <c r="AD2643" s="0" t="inlineStr">
        <is>
          <t>천호동</t>
        </is>
      </c>
      <c r="AG2643" s="0" t="inlineStr">
        <is>
          <t>서울시 강동구 성안로27길 29-5</t>
        </is>
      </c>
      <c r="AH2643" s="0" t="n">
        <v>18</v>
      </c>
      <c r="AI2643" s="0" t="n">
        <v>190</v>
      </c>
      <c r="AJ2643" s="0" t="n">
        <v>59</v>
      </c>
      <c r="AK2643" s="0" t="n">
        <v>9</v>
      </c>
      <c r="AL2643" s="0" t="n">
        <v>0.5</v>
      </c>
    </row>
    <row r="2644">
      <c r="A2644" s="0" t="inlineStr">
        <is>
          <t>[천호동]</t>
        </is>
      </c>
      <c r="B2644" s="0" t="n">
        <v>126618</v>
      </c>
      <c r="C2644" s="0" t="n">
        <v>6</v>
      </c>
      <c r="D2644" s="0" t="inlineStr">
        <is>
          <t>기화빌리지(도시형)</t>
        </is>
      </c>
      <c r="E2644" s="0" t="inlineStr">
        <is>
          <t>2019.06.</t>
        </is>
      </c>
      <c r="F2644" s="0" t="n">
        <v>18</v>
      </c>
      <c r="G2644" s="0" t="n">
        <v>10.88</v>
      </c>
      <c r="H2644" s="0" t="n">
        <v>35.99</v>
      </c>
      <c r="I2644" s="0" t="n">
        <v>8.859999999999999</v>
      </c>
      <c r="J2644" s="0" t="n">
        <v>29.31</v>
      </c>
      <c r="K2644" s="0" t="n">
        <v>2</v>
      </c>
      <c r="T2644" s="0" t="n">
        <v>1</v>
      </c>
      <c r="U2644" s="0" t="n">
        <v>1</v>
      </c>
      <c r="V2644" s="0" t="inlineStr">
        <is>
          <t>계단식</t>
        </is>
      </c>
      <c r="W2644" s="0" t="inlineStr">
        <is>
          <t>35C</t>
        </is>
      </c>
      <c r="X2644" s="0" t="n">
        <v>64</v>
      </c>
      <c r="Y2644" s="0" t="n">
        <v>4</v>
      </c>
      <c r="Z2644" s="0" t="inlineStr">
        <is>
          <t>https://new.land.naver.com/complexes/126618?tab=detail&amp;rf=Y</t>
        </is>
      </c>
      <c r="AA2644" s="0" t="inlineStr">
        <is>
          <t>서울시 강동구 천호동 180-9</t>
        </is>
      </c>
      <c r="AB2644" s="0" t="inlineStr">
        <is>
          <t>서울시</t>
        </is>
      </c>
      <c r="AC2644" s="0" t="inlineStr">
        <is>
          <t>강동구</t>
        </is>
      </c>
      <c r="AD2644" s="0" t="inlineStr">
        <is>
          <t>천호동</t>
        </is>
      </c>
      <c r="AG2644" s="0" t="inlineStr">
        <is>
          <t>서울시 강동구 성안로27길 29-5</t>
        </is>
      </c>
      <c r="AH2644" s="0" t="n">
        <v>18</v>
      </c>
      <c r="AI2644" s="0" t="n">
        <v>190</v>
      </c>
      <c r="AJ2644" s="0" t="n">
        <v>59</v>
      </c>
      <c r="AK2644" s="0" t="n">
        <v>9</v>
      </c>
      <c r="AL2644" s="0" t="n">
        <v>0.5</v>
      </c>
    </row>
    <row r="2645">
      <c r="A2645" s="0" t="inlineStr">
        <is>
          <t>[천호동]</t>
        </is>
      </c>
      <c r="B2645" s="0" t="n">
        <v>126618</v>
      </c>
      <c r="C2645" s="0" t="n">
        <v>7</v>
      </c>
      <c r="D2645" s="0" t="inlineStr">
        <is>
          <t>기화빌리지(도시형)</t>
        </is>
      </c>
      <c r="E2645" s="0" t="inlineStr">
        <is>
          <t>2019.06.</t>
        </is>
      </c>
      <c r="F2645" s="0" t="n">
        <v>18</v>
      </c>
      <c r="G2645" s="0" t="n">
        <v>10.98</v>
      </c>
      <c r="H2645" s="0" t="n">
        <v>36.32</v>
      </c>
      <c r="I2645" s="0" t="n">
        <v>8.94</v>
      </c>
      <c r="J2645" s="0" t="n">
        <v>29.58</v>
      </c>
      <c r="K2645" s="0" t="n">
        <v>5</v>
      </c>
      <c r="T2645" s="0" t="n">
        <v>1</v>
      </c>
      <c r="U2645" s="0" t="n">
        <v>1</v>
      </c>
      <c r="V2645" s="0" t="inlineStr">
        <is>
          <t>계단식</t>
        </is>
      </c>
      <c r="W2645" s="0" t="inlineStr">
        <is>
          <t>36D</t>
        </is>
      </c>
      <c r="X2645" s="0" t="n">
        <v>64</v>
      </c>
      <c r="Y2645" s="0" t="n">
        <v>4</v>
      </c>
      <c r="Z2645" s="0" t="inlineStr">
        <is>
          <t>https://new.land.naver.com/complexes/126618?tab=detail&amp;rf=Y</t>
        </is>
      </c>
      <c r="AA2645" s="0" t="inlineStr">
        <is>
          <t>서울시 강동구 천호동 180-9</t>
        </is>
      </c>
      <c r="AB2645" s="0" t="inlineStr">
        <is>
          <t>서울시</t>
        </is>
      </c>
      <c r="AC2645" s="0" t="inlineStr">
        <is>
          <t>강동구</t>
        </is>
      </c>
      <c r="AD2645" s="0" t="inlineStr">
        <is>
          <t>천호동</t>
        </is>
      </c>
      <c r="AG2645" s="0" t="inlineStr">
        <is>
          <t>서울시 강동구 성안로27길 29-5</t>
        </is>
      </c>
      <c r="AH2645" s="0" t="n">
        <v>18</v>
      </c>
      <c r="AI2645" s="0" t="n">
        <v>190</v>
      </c>
      <c r="AJ2645" s="0" t="n">
        <v>59</v>
      </c>
      <c r="AK2645" s="0" t="n">
        <v>9</v>
      </c>
      <c r="AL2645" s="0" t="n">
        <v>0.5</v>
      </c>
    </row>
    <row r="2646">
      <c r="A2646" s="0" t="inlineStr">
        <is>
          <t>[천호동]</t>
        </is>
      </c>
      <c r="B2646" s="0" t="n">
        <v>126618</v>
      </c>
      <c r="C2646" s="0" t="n">
        <v>8</v>
      </c>
      <c r="D2646" s="0" t="inlineStr">
        <is>
          <t>기화빌리지(도시형)</t>
        </is>
      </c>
      <c r="E2646" s="0" t="inlineStr">
        <is>
          <t>2019.06.</t>
        </is>
      </c>
      <c r="F2646" s="0" t="n">
        <v>18</v>
      </c>
      <c r="G2646" s="0" t="n">
        <v>11.09</v>
      </c>
      <c r="H2646" s="0" t="n">
        <v>36.69</v>
      </c>
      <c r="I2646" s="0" t="n">
        <v>9.029999999999999</v>
      </c>
      <c r="J2646" s="0" t="n">
        <v>29.88</v>
      </c>
      <c r="K2646" s="0" t="n">
        <v>1</v>
      </c>
      <c r="T2646" s="0" t="n">
        <v>1</v>
      </c>
      <c r="U2646" s="0" t="n">
        <v>1</v>
      </c>
      <c r="V2646" s="0" t="inlineStr">
        <is>
          <t>계단식</t>
        </is>
      </c>
      <c r="W2646" s="0" t="inlineStr">
        <is>
          <t>36E</t>
        </is>
      </c>
      <c r="X2646" s="0" t="n">
        <v>64</v>
      </c>
      <c r="Y2646" s="0" t="n">
        <v>4</v>
      </c>
      <c r="Z2646" s="0" t="inlineStr">
        <is>
          <t>https://new.land.naver.com/complexes/126618?tab=detail&amp;rf=Y</t>
        </is>
      </c>
      <c r="AA2646" s="0" t="inlineStr">
        <is>
          <t>서울시 강동구 천호동 180-9</t>
        </is>
      </c>
      <c r="AB2646" s="0" t="inlineStr">
        <is>
          <t>서울시</t>
        </is>
      </c>
      <c r="AC2646" s="0" t="inlineStr">
        <is>
          <t>강동구</t>
        </is>
      </c>
      <c r="AD2646" s="0" t="inlineStr">
        <is>
          <t>천호동</t>
        </is>
      </c>
      <c r="AG2646" s="0" t="inlineStr">
        <is>
          <t>서울시 강동구 성안로27길 29-5</t>
        </is>
      </c>
      <c r="AH2646" s="0" t="n">
        <v>18</v>
      </c>
      <c r="AI2646" s="0" t="n">
        <v>190</v>
      </c>
      <c r="AJ2646" s="0" t="n">
        <v>59</v>
      </c>
      <c r="AK2646" s="0" t="n">
        <v>9</v>
      </c>
      <c r="AL2646" s="0" t="n">
        <v>0.5</v>
      </c>
    </row>
    <row r="2647">
      <c r="A2647" s="0" t="inlineStr">
        <is>
          <t>[천호동]</t>
        </is>
      </c>
      <c r="B2647" s="0" t="n">
        <v>128845</v>
      </c>
      <c r="C2647" s="0" t="n">
        <v>1</v>
      </c>
      <c r="D2647" s="0" t="inlineStr">
        <is>
          <t>S.I팰리스(163-15)</t>
        </is>
      </c>
      <c r="E2647" s="0" t="inlineStr">
        <is>
          <t>2020.02.</t>
        </is>
      </c>
      <c r="F2647" s="0" t="n">
        <v>21</v>
      </c>
      <c r="G2647" s="0" t="n">
        <v>8.5</v>
      </c>
      <c r="H2647" s="0" t="n">
        <v>28.1</v>
      </c>
      <c r="I2647" s="0" t="n">
        <v>6.07</v>
      </c>
      <c r="J2647" s="0" t="n">
        <v>20.08</v>
      </c>
      <c r="K2647" s="0" t="n">
        <v>6</v>
      </c>
      <c r="T2647" s="0" t="n">
        <v>1</v>
      </c>
      <c r="U2647" s="0" t="n">
        <v>1</v>
      </c>
      <c r="V2647" s="0" t="inlineStr">
        <is>
          <t>계단식</t>
        </is>
      </c>
      <c r="W2647" s="0" t="inlineStr">
        <is>
          <t>28A</t>
        </is>
      </c>
      <c r="X2647" s="0" t="n">
        <v>10</v>
      </c>
      <c r="Y2647" s="0" t="n">
        <v>10</v>
      </c>
      <c r="Z2647" s="0" t="inlineStr">
        <is>
          <t>https://new.land.naver.com/complexes/128845?tab=detail&amp;rf=Y</t>
        </is>
      </c>
      <c r="AA2647" s="0" t="inlineStr">
        <is>
          <t>서울시 강동구 천호동 163-15</t>
        </is>
      </c>
      <c r="AB2647" s="0" t="inlineStr">
        <is>
          <t>서울시</t>
        </is>
      </c>
      <c r="AC2647" s="0" t="inlineStr">
        <is>
          <t>강동구</t>
        </is>
      </c>
      <c r="AD2647" s="0" t="inlineStr">
        <is>
          <t>천호동</t>
        </is>
      </c>
      <c r="AG2647" s="0" t="inlineStr">
        <is>
          <t>서울시 강동구 진황도로33길 11</t>
        </is>
      </c>
      <c r="AH2647" s="0" t="n">
        <v>0</v>
      </c>
      <c r="AI2647" s="0" t="n">
        <v>399</v>
      </c>
      <c r="AJ2647" s="0" t="n">
        <v>58</v>
      </c>
      <c r="AK2647" s="0" t="n">
        <v>14</v>
      </c>
      <c r="AL2647" s="0" t="n">
        <v>0.67</v>
      </c>
    </row>
    <row r="2648">
      <c r="A2648" s="0" t="inlineStr">
        <is>
          <t>[천호동]</t>
        </is>
      </c>
      <c r="B2648" s="0" t="n">
        <v>128845</v>
      </c>
      <c r="C2648" s="0" t="n">
        <v>2</v>
      </c>
      <c r="D2648" s="0" t="inlineStr">
        <is>
          <t>S.I팰리스(163-15)</t>
        </is>
      </c>
      <c r="E2648" s="0" t="inlineStr">
        <is>
          <t>2020.02.</t>
        </is>
      </c>
      <c r="F2648" s="0" t="n">
        <v>21</v>
      </c>
      <c r="G2648" s="0" t="n">
        <v>8.6</v>
      </c>
      <c r="H2648" s="0" t="n">
        <v>28.43</v>
      </c>
      <c r="I2648" s="0" t="n">
        <v>6.19</v>
      </c>
      <c r="J2648" s="0" t="n">
        <v>20.47</v>
      </c>
      <c r="K2648" s="0" t="n">
        <v>3</v>
      </c>
      <c r="T2648" s="0" t="n">
        <v>1</v>
      </c>
      <c r="U2648" s="0" t="n">
        <v>1</v>
      </c>
      <c r="V2648" s="0" t="inlineStr">
        <is>
          <t>계단식</t>
        </is>
      </c>
      <c r="W2648" s="0" t="inlineStr">
        <is>
          <t>28B</t>
        </is>
      </c>
      <c r="X2648" s="0" t="n">
        <v>10</v>
      </c>
      <c r="Y2648" s="0" t="n">
        <v>10</v>
      </c>
      <c r="Z2648" s="0" t="inlineStr">
        <is>
          <t>https://new.land.naver.com/complexes/128845?tab=detail&amp;rf=Y</t>
        </is>
      </c>
      <c r="AA2648" s="0" t="inlineStr">
        <is>
          <t>서울시 강동구 천호동 163-15</t>
        </is>
      </c>
      <c r="AB2648" s="0" t="inlineStr">
        <is>
          <t>서울시</t>
        </is>
      </c>
      <c r="AC2648" s="0" t="inlineStr">
        <is>
          <t>강동구</t>
        </is>
      </c>
      <c r="AD2648" s="0" t="inlineStr">
        <is>
          <t>천호동</t>
        </is>
      </c>
      <c r="AG2648" s="0" t="inlineStr">
        <is>
          <t>서울시 강동구 진황도로33길 11</t>
        </is>
      </c>
      <c r="AH2648" s="0" t="n">
        <v>0</v>
      </c>
      <c r="AI2648" s="0" t="n">
        <v>399</v>
      </c>
      <c r="AJ2648" s="0" t="n">
        <v>58</v>
      </c>
      <c r="AK2648" s="0" t="n">
        <v>14</v>
      </c>
      <c r="AL2648" s="0" t="n">
        <v>0.67</v>
      </c>
    </row>
    <row r="2649">
      <c r="A2649" s="0" t="inlineStr">
        <is>
          <t>[천호동]</t>
        </is>
      </c>
      <c r="B2649" s="0" t="n">
        <v>128845</v>
      </c>
      <c r="C2649" s="0" t="n">
        <v>3</v>
      </c>
      <c r="D2649" s="0" t="inlineStr">
        <is>
          <t>S.I팰리스(163-15)</t>
        </is>
      </c>
      <c r="E2649" s="0" t="inlineStr">
        <is>
          <t>2020.02.</t>
        </is>
      </c>
      <c r="F2649" s="0" t="n">
        <v>21</v>
      </c>
      <c r="G2649" s="0" t="n">
        <v>9.9</v>
      </c>
      <c r="H2649" s="0" t="n">
        <v>32.73</v>
      </c>
      <c r="I2649" s="0" t="n">
        <v>7.08</v>
      </c>
      <c r="J2649" s="0" t="n">
        <v>23.43</v>
      </c>
      <c r="K2649" s="0" t="n">
        <v>3</v>
      </c>
      <c r="T2649" s="0" t="n">
        <v>1</v>
      </c>
      <c r="U2649" s="0" t="n">
        <v>1</v>
      </c>
      <c r="V2649" s="0" t="inlineStr">
        <is>
          <t>계단식</t>
        </is>
      </c>
      <c r="W2649" s="0" t="inlineStr">
        <is>
          <t>32A</t>
        </is>
      </c>
      <c r="X2649" s="0" t="n">
        <v>10</v>
      </c>
      <c r="Y2649" s="0" t="n">
        <v>10</v>
      </c>
      <c r="Z2649" s="0" t="inlineStr">
        <is>
          <t>https://new.land.naver.com/complexes/128845?tab=detail&amp;rf=Y</t>
        </is>
      </c>
      <c r="AA2649" s="0" t="inlineStr">
        <is>
          <t>서울시 강동구 천호동 163-15</t>
        </is>
      </c>
      <c r="AB2649" s="0" t="inlineStr">
        <is>
          <t>서울시</t>
        </is>
      </c>
      <c r="AC2649" s="0" t="inlineStr">
        <is>
          <t>강동구</t>
        </is>
      </c>
      <c r="AD2649" s="0" t="inlineStr">
        <is>
          <t>천호동</t>
        </is>
      </c>
      <c r="AG2649" s="0" t="inlineStr">
        <is>
          <t>서울시 강동구 진황도로33길 11</t>
        </is>
      </c>
      <c r="AH2649" s="0" t="n">
        <v>0</v>
      </c>
      <c r="AI2649" s="0" t="n">
        <v>399</v>
      </c>
      <c r="AJ2649" s="0" t="n">
        <v>58</v>
      </c>
      <c r="AK2649" s="0" t="n">
        <v>14</v>
      </c>
      <c r="AL2649" s="0" t="n">
        <v>0.67</v>
      </c>
    </row>
    <row r="2650">
      <c r="A2650" s="0" t="inlineStr">
        <is>
          <t>[천호동]</t>
        </is>
      </c>
      <c r="B2650" s="0" t="n">
        <v>128845</v>
      </c>
      <c r="C2650" s="0" t="n">
        <v>4</v>
      </c>
      <c r="D2650" s="0" t="inlineStr">
        <is>
          <t>S.I팰리스(163-15)</t>
        </is>
      </c>
      <c r="E2650" s="0" t="inlineStr">
        <is>
          <t>2020.02.</t>
        </is>
      </c>
      <c r="F2650" s="0" t="n">
        <v>21</v>
      </c>
      <c r="G2650" s="0" t="n">
        <v>9.94</v>
      </c>
      <c r="H2650" s="0" t="n">
        <v>32.89</v>
      </c>
      <c r="I2650" s="0" t="n">
        <v>7.12</v>
      </c>
      <c r="J2650" s="0" t="n">
        <v>23.55</v>
      </c>
      <c r="K2650" s="0" t="n">
        <v>3</v>
      </c>
      <c r="T2650" s="0" t="n">
        <v>1</v>
      </c>
      <c r="U2650" s="0" t="n">
        <v>1</v>
      </c>
      <c r="V2650" s="0" t="inlineStr">
        <is>
          <t>계단식</t>
        </is>
      </c>
      <c r="W2650" s="0" t="inlineStr">
        <is>
          <t>32B</t>
        </is>
      </c>
      <c r="X2650" s="0" t="n">
        <v>10</v>
      </c>
      <c r="Y2650" s="0" t="n">
        <v>10</v>
      </c>
      <c r="Z2650" s="0" t="inlineStr">
        <is>
          <t>https://new.land.naver.com/complexes/128845?tab=detail&amp;rf=Y</t>
        </is>
      </c>
      <c r="AA2650" s="0" t="inlineStr">
        <is>
          <t>서울시 강동구 천호동 163-15</t>
        </is>
      </c>
      <c r="AB2650" s="0" t="inlineStr">
        <is>
          <t>서울시</t>
        </is>
      </c>
      <c r="AC2650" s="0" t="inlineStr">
        <is>
          <t>강동구</t>
        </is>
      </c>
      <c r="AD2650" s="0" t="inlineStr">
        <is>
          <t>천호동</t>
        </is>
      </c>
      <c r="AG2650" s="0" t="inlineStr">
        <is>
          <t>서울시 강동구 진황도로33길 11</t>
        </is>
      </c>
      <c r="AH2650" s="0" t="n">
        <v>0</v>
      </c>
      <c r="AI2650" s="0" t="n">
        <v>399</v>
      </c>
      <c r="AJ2650" s="0" t="n">
        <v>58</v>
      </c>
      <c r="AK2650" s="0" t="n">
        <v>14</v>
      </c>
      <c r="AL2650" s="0" t="n">
        <v>0.67</v>
      </c>
    </row>
    <row r="2651">
      <c r="A2651" s="0" t="inlineStr">
        <is>
          <t>[천호동]</t>
        </is>
      </c>
      <c r="B2651" s="0" t="n">
        <v>128845</v>
      </c>
      <c r="C2651" s="0" t="n">
        <v>5</v>
      </c>
      <c r="D2651" s="0" t="inlineStr">
        <is>
          <t>S.I팰리스(163-15)</t>
        </is>
      </c>
      <c r="E2651" s="0" t="inlineStr">
        <is>
          <t>2020.02.</t>
        </is>
      </c>
      <c r="F2651" s="0" t="n">
        <v>21</v>
      </c>
      <c r="G2651" s="0" t="n">
        <v>10.23</v>
      </c>
      <c r="H2651" s="0" t="n">
        <v>33.82</v>
      </c>
      <c r="I2651" s="0" t="n">
        <v>7.29</v>
      </c>
      <c r="J2651" s="0" t="n">
        <v>24.1</v>
      </c>
      <c r="K2651" s="0" t="n">
        <v>3</v>
      </c>
      <c r="T2651" s="0" t="n">
        <v>1</v>
      </c>
      <c r="U2651" s="0" t="n">
        <v>1</v>
      </c>
      <c r="V2651" s="0" t="inlineStr">
        <is>
          <t>계단식</t>
        </is>
      </c>
      <c r="W2651" s="0" t="inlineStr">
        <is>
          <t>33C</t>
        </is>
      </c>
      <c r="X2651" s="0" t="n">
        <v>10</v>
      </c>
      <c r="Y2651" s="0" t="n">
        <v>10</v>
      </c>
      <c r="Z2651" s="0" t="inlineStr">
        <is>
          <t>https://new.land.naver.com/complexes/128845?tab=detail&amp;rf=Y</t>
        </is>
      </c>
      <c r="AA2651" s="0" t="inlineStr">
        <is>
          <t>서울시 강동구 천호동 163-15</t>
        </is>
      </c>
      <c r="AB2651" s="0" t="inlineStr">
        <is>
          <t>서울시</t>
        </is>
      </c>
      <c r="AC2651" s="0" t="inlineStr">
        <is>
          <t>강동구</t>
        </is>
      </c>
      <c r="AD2651" s="0" t="inlineStr">
        <is>
          <t>천호동</t>
        </is>
      </c>
      <c r="AG2651" s="0" t="inlineStr">
        <is>
          <t>서울시 강동구 진황도로33길 11</t>
        </is>
      </c>
      <c r="AH2651" s="0" t="n">
        <v>0</v>
      </c>
      <c r="AI2651" s="0" t="n">
        <v>399</v>
      </c>
      <c r="AJ2651" s="0" t="n">
        <v>58</v>
      </c>
      <c r="AK2651" s="0" t="n">
        <v>14</v>
      </c>
      <c r="AL2651" s="0" t="n">
        <v>0.67</v>
      </c>
    </row>
    <row r="2652">
      <c r="A2652" s="0" t="inlineStr">
        <is>
          <t>[천호동]</t>
        </is>
      </c>
      <c r="B2652" s="0" t="n">
        <v>128845</v>
      </c>
      <c r="C2652" s="0" t="n">
        <v>6</v>
      </c>
      <c r="D2652" s="0" t="inlineStr">
        <is>
          <t>S.I팰리스(163-15)</t>
        </is>
      </c>
      <c r="E2652" s="0" t="inlineStr">
        <is>
          <t>2020.02.</t>
        </is>
      </c>
      <c r="F2652" s="0" t="n">
        <v>21</v>
      </c>
      <c r="G2652" s="0" t="n">
        <v>11.93</v>
      </c>
      <c r="H2652" s="0" t="n">
        <v>39.45</v>
      </c>
      <c r="I2652" s="0" t="n">
        <v>8.539999999999999</v>
      </c>
      <c r="J2652" s="0" t="n">
        <v>28.25</v>
      </c>
      <c r="K2652" s="0" t="n">
        <v>3</v>
      </c>
      <c r="T2652" s="0" t="n">
        <v>1</v>
      </c>
      <c r="U2652" s="0" t="n">
        <v>1</v>
      </c>
      <c r="V2652" s="0" t="inlineStr">
        <is>
          <t>계단식</t>
        </is>
      </c>
      <c r="W2652" s="0" t="n">
        <v>39</v>
      </c>
      <c r="X2652" s="0" t="n">
        <v>10</v>
      </c>
      <c r="Y2652" s="0" t="n">
        <v>10</v>
      </c>
      <c r="Z2652" s="0" t="inlineStr">
        <is>
          <t>https://new.land.naver.com/complexes/128845?tab=detail&amp;rf=Y</t>
        </is>
      </c>
      <c r="AA2652" s="0" t="inlineStr">
        <is>
          <t>서울시 강동구 천호동 163-15</t>
        </is>
      </c>
      <c r="AB2652" s="0" t="inlineStr">
        <is>
          <t>서울시</t>
        </is>
      </c>
      <c r="AC2652" s="0" t="inlineStr">
        <is>
          <t>강동구</t>
        </is>
      </c>
      <c r="AD2652" s="0" t="inlineStr">
        <is>
          <t>천호동</t>
        </is>
      </c>
      <c r="AG2652" s="0" t="inlineStr">
        <is>
          <t>서울시 강동구 진황도로33길 11</t>
        </is>
      </c>
      <c r="AH2652" s="0" t="n">
        <v>0</v>
      </c>
      <c r="AI2652" s="0" t="n">
        <v>399</v>
      </c>
      <c r="AJ2652" s="0" t="n">
        <v>58</v>
      </c>
      <c r="AK2652" s="0" t="n">
        <v>14</v>
      </c>
      <c r="AL2652" s="0" t="n">
        <v>0.67</v>
      </c>
    </row>
    <row r="2653">
      <c r="A2653" s="0" t="inlineStr">
        <is>
          <t>[천호동]</t>
        </is>
      </c>
      <c r="B2653" s="0" t="n">
        <v>18604</v>
      </c>
      <c r="C2653" s="0" t="n">
        <v>1</v>
      </c>
      <c r="D2653" s="0" t="inlineStr">
        <is>
          <t>강동상떼빌</t>
        </is>
      </c>
      <c r="E2653" s="0" t="inlineStr">
        <is>
          <t>2007.03.</t>
        </is>
      </c>
      <c r="F2653" s="0" t="n">
        <v>110</v>
      </c>
      <c r="G2653" s="0" t="n">
        <v>35.93</v>
      </c>
      <c r="H2653" s="0" t="n">
        <v>118.78</v>
      </c>
      <c r="I2653" s="0" t="n">
        <v>28.37</v>
      </c>
      <c r="J2653" s="0" t="n">
        <v>93.79000000000001</v>
      </c>
      <c r="K2653" s="0" t="n">
        <v>10</v>
      </c>
      <c r="T2653" s="0" t="n">
        <v>3</v>
      </c>
      <c r="U2653" s="0" t="n">
        <v>2</v>
      </c>
      <c r="V2653" s="0" t="inlineStr">
        <is>
          <t>계단식</t>
        </is>
      </c>
      <c r="W2653" s="0" t="n">
        <v>118</v>
      </c>
      <c r="X2653" s="0" t="n">
        <v>20</v>
      </c>
      <c r="Y2653" s="0" t="n">
        <v>17</v>
      </c>
      <c r="Z2653" s="0" t="inlineStr">
        <is>
          <t>https://new.land.naver.com/complexes/18604?tab=detail&amp;rf=Y</t>
        </is>
      </c>
      <c r="AA2653" s="0" t="inlineStr">
        <is>
          <t>서울시 강동구 천호동 450</t>
        </is>
      </c>
      <c r="AB2653" s="0" t="inlineStr">
        <is>
          <t>서울시</t>
        </is>
      </c>
      <c r="AC2653" s="0" t="inlineStr">
        <is>
          <t>강동구</t>
        </is>
      </c>
      <c r="AD2653" s="0" t="inlineStr">
        <is>
          <t>천호동</t>
        </is>
      </c>
      <c r="AG2653" s="0" t="inlineStr">
        <is>
          <t>서울시 강동구 천호대로 1065</t>
        </is>
      </c>
      <c r="AH2653" s="0" t="n">
        <v>0</v>
      </c>
      <c r="AI2653" s="0" t="n">
        <v>627</v>
      </c>
      <c r="AJ2653" s="0" t="n">
        <v>49</v>
      </c>
      <c r="AK2653" s="0" t="n">
        <v>150</v>
      </c>
      <c r="AL2653" s="0" t="n">
        <v>1.36</v>
      </c>
    </row>
    <row r="2654">
      <c r="A2654" s="0" t="inlineStr">
        <is>
          <t>[천호동]</t>
        </is>
      </c>
      <c r="B2654" s="0" t="n">
        <v>18604</v>
      </c>
      <c r="C2654" s="0" t="n">
        <v>2</v>
      </c>
      <c r="D2654" s="0" t="inlineStr">
        <is>
          <t>강동상떼빌</t>
        </is>
      </c>
      <c r="E2654" s="0" t="inlineStr">
        <is>
          <t>2007.03.</t>
        </is>
      </c>
      <c r="F2654" s="0" t="n">
        <v>110</v>
      </c>
      <c r="G2654" s="0" t="n">
        <v>36.14</v>
      </c>
      <c r="H2654" s="0" t="n">
        <v>119.49</v>
      </c>
      <c r="I2654" s="0" t="n">
        <v>28.54</v>
      </c>
      <c r="J2654" s="0" t="n">
        <v>94.36</v>
      </c>
      <c r="K2654" s="0" t="n">
        <v>30</v>
      </c>
      <c r="T2654" s="0" t="n">
        <v>3</v>
      </c>
      <c r="U2654" s="0" t="n">
        <v>2</v>
      </c>
      <c r="V2654" s="0" t="inlineStr">
        <is>
          <t>계단식</t>
        </is>
      </c>
      <c r="W2654" s="0" t="n">
        <v>119</v>
      </c>
      <c r="X2654" s="0" t="n">
        <v>20</v>
      </c>
      <c r="Y2654" s="0" t="n">
        <v>17</v>
      </c>
      <c r="Z2654" s="0" t="inlineStr">
        <is>
          <t>https://new.land.naver.com/complexes/18604?tab=detail&amp;rf=Y</t>
        </is>
      </c>
      <c r="AA2654" s="0" t="inlineStr">
        <is>
          <t>서울시 강동구 천호동 450</t>
        </is>
      </c>
      <c r="AB2654" s="0" t="inlineStr">
        <is>
          <t>서울시</t>
        </is>
      </c>
      <c r="AC2654" s="0" t="inlineStr">
        <is>
          <t>강동구</t>
        </is>
      </c>
      <c r="AD2654" s="0" t="inlineStr">
        <is>
          <t>천호동</t>
        </is>
      </c>
      <c r="AG2654" s="0" t="inlineStr">
        <is>
          <t>서울시 강동구 천호대로 1065</t>
        </is>
      </c>
      <c r="AH2654" s="0" t="n">
        <v>0</v>
      </c>
      <c r="AI2654" s="0" t="n">
        <v>627</v>
      </c>
      <c r="AJ2654" s="0" t="n">
        <v>49</v>
      </c>
      <c r="AK2654" s="0" t="n">
        <v>150</v>
      </c>
      <c r="AL2654" s="0" t="n">
        <v>1.36</v>
      </c>
    </row>
    <row r="2655">
      <c r="A2655" s="0" t="inlineStr">
        <is>
          <t>[천호동]</t>
        </is>
      </c>
      <c r="B2655" s="0" t="n">
        <v>18604</v>
      </c>
      <c r="C2655" s="0" t="n">
        <v>3</v>
      </c>
      <c r="D2655" s="0" t="inlineStr">
        <is>
          <t>강동상떼빌</t>
        </is>
      </c>
      <c r="E2655" s="0" t="inlineStr">
        <is>
          <t>2007.03.</t>
        </is>
      </c>
      <c r="F2655" s="0" t="n">
        <v>110</v>
      </c>
      <c r="G2655" s="0" t="n">
        <v>41.43</v>
      </c>
      <c r="H2655" s="0" t="n">
        <v>136.98</v>
      </c>
      <c r="I2655" s="0" t="n">
        <v>32.72</v>
      </c>
      <c r="J2655" s="0" t="n">
        <v>108.17</v>
      </c>
      <c r="K2655" s="0" t="n">
        <v>10</v>
      </c>
      <c r="T2655" s="0" t="n">
        <v>3</v>
      </c>
      <c r="U2655" s="0" t="n">
        <v>2</v>
      </c>
      <c r="V2655" s="0" t="inlineStr">
        <is>
          <t>계단식</t>
        </is>
      </c>
      <c r="W2655" s="0" t="n">
        <v>136</v>
      </c>
      <c r="X2655" s="0" t="n">
        <v>20</v>
      </c>
      <c r="Y2655" s="0" t="n">
        <v>17</v>
      </c>
      <c r="Z2655" s="0" t="inlineStr">
        <is>
          <t>https://new.land.naver.com/complexes/18604?tab=detail&amp;rf=Y</t>
        </is>
      </c>
      <c r="AA2655" s="0" t="inlineStr">
        <is>
          <t>서울시 강동구 천호동 450</t>
        </is>
      </c>
      <c r="AB2655" s="0" t="inlineStr">
        <is>
          <t>서울시</t>
        </is>
      </c>
      <c r="AC2655" s="0" t="inlineStr">
        <is>
          <t>강동구</t>
        </is>
      </c>
      <c r="AD2655" s="0" t="inlineStr">
        <is>
          <t>천호동</t>
        </is>
      </c>
      <c r="AG2655" s="0" t="inlineStr">
        <is>
          <t>서울시 강동구 천호대로 1065</t>
        </is>
      </c>
      <c r="AH2655" s="0" t="n">
        <v>0</v>
      </c>
      <c r="AI2655" s="0" t="n">
        <v>627</v>
      </c>
      <c r="AJ2655" s="0" t="n">
        <v>49</v>
      </c>
      <c r="AK2655" s="0" t="n">
        <v>150</v>
      </c>
      <c r="AL2655" s="0" t="n">
        <v>1.36</v>
      </c>
    </row>
    <row r="2656">
      <c r="A2656" s="0" t="inlineStr">
        <is>
          <t>[천호동]</t>
        </is>
      </c>
      <c r="B2656" s="0" t="n">
        <v>18604</v>
      </c>
      <c r="C2656" s="0" t="n">
        <v>4</v>
      </c>
      <c r="D2656" s="0" t="inlineStr">
        <is>
          <t>강동상떼빌</t>
        </is>
      </c>
      <c r="E2656" s="0" t="inlineStr">
        <is>
          <t>2007.03.</t>
        </is>
      </c>
      <c r="F2656" s="0" t="n">
        <v>110</v>
      </c>
      <c r="G2656" s="0" t="n">
        <v>45.85</v>
      </c>
      <c r="H2656" s="0" t="n">
        <v>151.59</v>
      </c>
      <c r="I2656" s="0" t="n">
        <v>36.2</v>
      </c>
      <c r="J2656" s="0" t="n">
        <v>119.7</v>
      </c>
      <c r="K2656" s="0" t="n">
        <v>60</v>
      </c>
      <c r="T2656" s="0" t="n">
        <v>3</v>
      </c>
      <c r="U2656" s="0" t="n">
        <v>2</v>
      </c>
      <c r="V2656" s="0" t="inlineStr">
        <is>
          <t>계단식</t>
        </is>
      </c>
      <c r="W2656" s="0" t="n">
        <v>151</v>
      </c>
      <c r="X2656" s="0" t="n">
        <v>20</v>
      </c>
      <c r="Y2656" s="0" t="n">
        <v>17</v>
      </c>
      <c r="Z2656" s="0" t="inlineStr">
        <is>
          <t>https://new.land.naver.com/complexes/18604?tab=detail&amp;rf=Y</t>
        </is>
      </c>
      <c r="AA2656" s="0" t="inlineStr">
        <is>
          <t>서울시 강동구 천호동 450</t>
        </is>
      </c>
      <c r="AB2656" s="0" t="inlineStr">
        <is>
          <t>서울시</t>
        </is>
      </c>
      <c r="AC2656" s="0" t="inlineStr">
        <is>
          <t>강동구</t>
        </is>
      </c>
      <c r="AD2656" s="0" t="inlineStr">
        <is>
          <t>천호동</t>
        </is>
      </c>
      <c r="AG2656" s="0" t="inlineStr">
        <is>
          <t>서울시 강동구 천호대로 1065</t>
        </is>
      </c>
      <c r="AH2656" s="0" t="n">
        <v>0</v>
      </c>
      <c r="AI2656" s="0" t="n">
        <v>627</v>
      </c>
      <c r="AJ2656" s="0" t="n">
        <v>49</v>
      </c>
      <c r="AK2656" s="0" t="n">
        <v>150</v>
      </c>
      <c r="AL2656" s="0" t="n">
        <v>1.36</v>
      </c>
    </row>
    <row r="2657">
      <c r="A2657" s="0" t="inlineStr">
        <is>
          <t>[천호동]</t>
        </is>
      </c>
      <c r="B2657" s="0" t="n">
        <v>14364</v>
      </c>
      <c r="C2657" s="0" t="n">
        <v>1</v>
      </c>
      <c r="D2657" s="0" t="inlineStr">
        <is>
          <t>우정에쉐르</t>
        </is>
      </c>
      <c r="E2657" s="0" t="inlineStr">
        <is>
          <t>2004.12.</t>
        </is>
      </c>
      <c r="F2657" s="0" t="n">
        <v>68</v>
      </c>
      <c r="G2657" s="0" t="n">
        <v>21.86</v>
      </c>
      <c r="H2657" s="0" t="n">
        <v>72.27</v>
      </c>
      <c r="I2657" s="0" t="n">
        <v>18.11</v>
      </c>
      <c r="J2657" s="0" t="n">
        <v>59.88</v>
      </c>
      <c r="K2657" s="0" t="n">
        <v>9</v>
      </c>
      <c r="T2657" s="0" t="n">
        <v>3</v>
      </c>
      <c r="U2657" s="0" t="n">
        <v>1</v>
      </c>
      <c r="V2657" s="0" t="inlineStr">
        <is>
          <t>계단식</t>
        </is>
      </c>
      <c r="W2657" s="0" t="inlineStr">
        <is>
          <t>72B</t>
        </is>
      </c>
      <c r="X2657" s="0" t="n">
        <v>10</v>
      </c>
      <c r="Y2657" s="0" t="n">
        <v>10</v>
      </c>
      <c r="Z2657" s="0" t="inlineStr">
        <is>
          <t>https://new.land.naver.com/complexes/14364?tab=detail&amp;rf=Y</t>
        </is>
      </c>
      <c r="AA2657" s="0" t="inlineStr">
        <is>
          <t>서울시 강동구 천호동 163-34</t>
        </is>
      </c>
      <c r="AB2657" s="0" t="inlineStr">
        <is>
          <t>서울시</t>
        </is>
      </c>
      <c r="AC2657" s="0" t="inlineStr">
        <is>
          <t>강동구</t>
        </is>
      </c>
      <c r="AD2657" s="0" t="inlineStr">
        <is>
          <t>천호동</t>
        </is>
      </c>
      <c r="AG2657" s="0" t="inlineStr">
        <is>
          <t>서울시 강동구 진황도로31길 6</t>
        </is>
      </c>
      <c r="AH2657" s="0" t="n">
        <v>0</v>
      </c>
      <c r="AI2657" s="0" t="n">
        <v>473</v>
      </c>
      <c r="AJ2657" s="0" t="n">
        <v>59</v>
      </c>
      <c r="AK2657" s="0" t="n">
        <v>72</v>
      </c>
      <c r="AL2657" s="0" t="n">
        <v>1.06</v>
      </c>
    </row>
    <row r="2658">
      <c r="A2658" s="0" t="inlineStr">
        <is>
          <t>[천호동]</t>
        </is>
      </c>
      <c r="B2658" s="0" t="n">
        <v>14364</v>
      </c>
      <c r="C2658" s="0" t="n">
        <v>2</v>
      </c>
      <c r="D2658" s="0" t="inlineStr">
        <is>
          <t>우정에쉐르</t>
        </is>
      </c>
      <c r="E2658" s="0" t="inlineStr">
        <is>
          <t>2004.12.</t>
        </is>
      </c>
      <c r="F2658" s="0" t="n">
        <v>68</v>
      </c>
      <c r="G2658" s="0" t="n">
        <v>22.2</v>
      </c>
      <c r="H2658" s="0" t="n">
        <v>73.42</v>
      </c>
      <c r="I2658" s="0" t="n">
        <v>18</v>
      </c>
      <c r="J2658" s="0" t="n">
        <v>59.52</v>
      </c>
      <c r="K2658" s="0" t="n">
        <v>4</v>
      </c>
      <c r="T2658" s="0" t="n">
        <v>3</v>
      </c>
      <c r="U2658" s="0" t="n">
        <v>1</v>
      </c>
      <c r="V2658" s="0" t="inlineStr">
        <is>
          <t>계단식</t>
        </is>
      </c>
      <c r="W2658" s="0" t="inlineStr">
        <is>
          <t>73A</t>
        </is>
      </c>
      <c r="X2658" s="0" t="n">
        <v>10</v>
      </c>
      <c r="Y2658" s="0" t="n">
        <v>10</v>
      </c>
      <c r="Z2658" s="0" t="inlineStr">
        <is>
          <t>https://new.land.naver.com/complexes/14364?tab=detail&amp;rf=Y</t>
        </is>
      </c>
      <c r="AA2658" s="0" t="inlineStr">
        <is>
          <t>서울시 강동구 천호동 163-34</t>
        </is>
      </c>
      <c r="AB2658" s="0" t="inlineStr">
        <is>
          <t>서울시</t>
        </is>
      </c>
      <c r="AC2658" s="0" t="inlineStr">
        <is>
          <t>강동구</t>
        </is>
      </c>
      <c r="AD2658" s="0" t="inlineStr">
        <is>
          <t>천호동</t>
        </is>
      </c>
      <c r="AG2658" s="0" t="inlineStr">
        <is>
          <t>서울시 강동구 진황도로31길 6</t>
        </is>
      </c>
      <c r="AH2658" s="0" t="n">
        <v>0</v>
      </c>
      <c r="AI2658" s="0" t="n">
        <v>473</v>
      </c>
      <c r="AJ2658" s="0" t="n">
        <v>59</v>
      </c>
      <c r="AK2658" s="0" t="n">
        <v>72</v>
      </c>
      <c r="AL2658" s="0" t="n">
        <v>1.06</v>
      </c>
    </row>
    <row r="2659">
      <c r="A2659" s="0" t="inlineStr">
        <is>
          <t>[천호동]</t>
        </is>
      </c>
      <c r="B2659" s="0" t="n">
        <v>14364</v>
      </c>
      <c r="C2659" s="0" t="n">
        <v>3</v>
      </c>
      <c r="D2659" s="0" t="inlineStr">
        <is>
          <t>우정에쉐르</t>
        </is>
      </c>
      <c r="E2659" s="0" t="inlineStr">
        <is>
          <t>2004.12.</t>
        </is>
      </c>
      <c r="F2659" s="0" t="n">
        <v>68</v>
      </c>
      <c r="G2659" s="0" t="n">
        <v>22.94</v>
      </c>
      <c r="H2659" s="0" t="n">
        <v>75.84999999999999</v>
      </c>
      <c r="I2659" s="0" t="n">
        <v>18.67</v>
      </c>
      <c r="J2659" s="0" t="n">
        <v>61.73</v>
      </c>
      <c r="K2659" s="0" t="n">
        <v>12</v>
      </c>
      <c r="T2659" s="0" t="n">
        <v>3</v>
      </c>
      <c r="U2659" s="0" t="n">
        <v>2</v>
      </c>
      <c r="V2659" s="0" t="inlineStr">
        <is>
          <t>계단식</t>
        </is>
      </c>
      <c r="W2659" s="0" t="n">
        <v>75</v>
      </c>
      <c r="X2659" s="0" t="n">
        <v>10</v>
      </c>
      <c r="Y2659" s="0" t="n">
        <v>10</v>
      </c>
      <c r="Z2659" s="0" t="inlineStr">
        <is>
          <t>https://new.land.naver.com/complexes/14364?tab=detail&amp;rf=Y</t>
        </is>
      </c>
      <c r="AA2659" s="0" t="inlineStr">
        <is>
          <t>서울시 강동구 천호동 163-34</t>
        </is>
      </c>
      <c r="AB2659" s="0" t="inlineStr">
        <is>
          <t>서울시</t>
        </is>
      </c>
      <c r="AC2659" s="0" t="inlineStr">
        <is>
          <t>강동구</t>
        </is>
      </c>
      <c r="AD2659" s="0" t="inlineStr">
        <is>
          <t>천호동</t>
        </is>
      </c>
      <c r="AG2659" s="0" t="inlineStr">
        <is>
          <t>서울시 강동구 진황도로31길 6</t>
        </is>
      </c>
      <c r="AH2659" s="0" t="n">
        <v>0</v>
      </c>
      <c r="AI2659" s="0" t="n">
        <v>473</v>
      </c>
      <c r="AJ2659" s="0" t="n">
        <v>59</v>
      </c>
      <c r="AK2659" s="0" t="n">
        <v>72</v>
      </c>
      <c r="AL2659" s="0" t="n">
        <v>1.06</v>
      </c>
    </row>
    <row r="2660">
      <c r="A2660" s="0" t="inlineStr">
        <is>
          <t>[천호동]</t>
        </is>
      </c>
      <c r="B2660" s="0" t="n">
        <v>14364</v>
      </c>
      <c r="C2660" s="0" t="n">
        <v>4</v>
      </c>
      <c r="D2660" s="0" t="inlineStr">
        <is>
          <t>우정에쉐르</t>
        </is>
      </c>
      <c r="E2660" s="0" t="inlineStr">
        <is>
          <t>2004.12.</t>
        </is>
      </c>
      <c r="F2660" s="0" t="n">
        <v>68</v>
      </c>
      <c r="G2660" s="0" t="n">
        <v>29.56</v>
      </c>
      <c r="H2660" s="0" t="n">
        <v>97.75</v>
      </c>
      <c r="I2660" s="0" t="n">
        <v>24.5</v>
      </c>
      <c r="J2660" s="0" t="n">
        <v>81</v>
      </c>
      <c r="K2660" s="0" t="n">
        <v>9</v>
      </c>
      <c r="T2660" s="0" t="n">
        <v>3</v>
      </c>
      <c r="U2660" s="0" t="n">
        <v>2</v>
      </c>
      <c r="V2660" s="0" t="inlineStr">
        <is>
          <t>계단식</t>
        </is>
      </c>
      <c r="W2660" s="0" t="n">
        <v>97</v>
      </c>
      <c r="X2660" s="0" t="n">
        <v>10</v>
      </c>
      <c r="Y2660" s="0" t="n">
        <v>10</v>
      </c>
      <c r="Z2660" s="0" t="inlineStr">
        <is>
          <t>https://new.land.naver.com/complexes/14364?tab=detail&amp;rf=Y</t>
        </is>
      </c>
      <c r="AA2660" s="0" t="inlineStr">
        <is>
          <t>서울시 강동구 천호동 163-34</t>
        </is>
      </c>
      <c r="AB2660" s="0" t="inlineStr">
        <is>
          <t>서울시</t>
        </is>
      </c>
      <c r="AC2660" s="0" t="inlineStr">
        <is>
          <t>강동구</t>
        </is>
      </c>
      <c r="AD2660" s="0" t="inlineStr">
        <is>
          <t>천호동</t>
        </is>
      </c>
      <c r="AG2660" s="0" t="inlineStr">
        <is>
          <t>서울시 강동구 진황도로31길 6</t>
        </is>
      </c>
      <c r="AH2660" s="0" t="n">
        <v>0</v>
      </c>
      <c r="AI2660" s="0" t="n">
        <v>473</v>
      </c>
      <c r="AJ2660" s="0" t="n">
        <v>59</v>
      </c>
      <c r="AK2660" s="0" t="n">
        <v>72</v>
      </c>
      <c r="AL2660" s="0" t="n">
        <v>1.06</v>
      </c>
    </row>
    <row r="2661">
      <c r="A2661" s="0" t="inlineStr">
        <is>
          <t>[천호동]</t>
        </is>
      </c>
      <c r="B2661" s="0" t="n">
        <v>14364</v>
      </c>
      <c r="C2661" s="0" t="n">
        <v>5</v>
      </c>
      <c r="D2661" s="0" t="inlineStr">
        <is>
          <t>우정에쉐르</t>
        </is>
      </c>
      <c r="E2661" s="0" t="inlineStr">
        <is>
          <t>2004.12.</t>
        </is>
      </c>
      <c r="F2661" s="0" t="n">
        <v>68</v>
      </c>
      <c r="G2661" s="0" t="n">
        <v>30.75</v>
      </c>
      <c r="H2661" s="0" t="n">
        <v>101.66</v>
      </c>
      <c r="I2661" s="0" t="n">
        <v>25.48</v>
      </c>
      <c r="J2661" s="0" t="n">
        <v>84.23999999999999</v>
      </c>
      <c r="K2661" s="0" t="n">
        <v>18</v>
      </c>
      <c r="T2661" s="0" t="n">
        <v>3</v>
      </c>
      <c r="U2661" s="0" t="n">
        <v>2</v>
      </c>
      <c r="V2661" s="0" t="inlineStr">
        <is>
          <t>계단식</t>
        </is>
      </c>
      <c r="W2661" s="0" t="inlineStr">
        <is>
          <t>101A</t>
        </is>
      </c>
      <c r="X2661" s="0" t="n">
        <v>10</v>
      </c>
      <c r="Y2661" s="0" t="n">
        <v>10</v>
      </c>
      <c r="Z2661" s="0" t="inlineStr">
        <is>
          <t>https://new.land.naver.com/complexes/14364?tab=detail&amp;rf=Y</t>
        </is>
      </c>
      <c r="AA2661" s="0" t="inlineStr">
        <is>
          <t>서울시 강동구 천호동 163-34</t>
        </is>
      </c>
      <c r="AB2661" s="0" t="inlineStr">
        <is>
          <t>서울시</t>
        </is>
      </c>
      <c r="AC2661" s="0" t="inlineStr">
        <is>
          <t>강동구</t>
        </is>
      </c>
      <c r="AD2661" s="0" t="inlineStr">
        <is>
          <t>천호동</t>
        </is>
      </c>
      <c r="AG2661" s="0" t="inlineStr">
        <is>
          <t>서울시 강동구 진황도로31길 6</t>
        </is>
      </c>
      <c r="AH2661" s="0" t="n">
        <v>0</v>
      </c>
      <c r="AI2661" s="0" t="n">
        <v>473</v>
      </c>
      <c r="AJ2661" s="0" t="n">
        <v>59</v>
      </c>
      <c r="AK2661" s="0" t="n">
        <v>72</v>
      </c>
      <c r="AL2661" s="0" t="n">
        <v>1.06</v>
      </c>
    </row>
    <row r="2662">
      <c r="A2662" s="0" t="inlineStr">
        <is>
          <t>[천호동]</t>
        </is>
      </c>
      <c r="B2662" s="0" t="n">
        <v>14364</v>
      </c>
      <c r="C2662" s="0" t="n">
        <v>6</v>
      </c>
      <c r="D2662" s="0" t="inlineStr">
        <is>
          <t>우정에쉐르</t>
        </is>
      </c>
      <c r="E2662" s="0" t="inlineStr">
        <is>
          <t>2004.12.</t>
        </is>
      </c>
      <c r="F2662" s="0" t="n">
        <v>68</v>
      </c>
      <c r="G2662" s="0" t="n">
        <v>31.46</v>
      </c>
      <c r="H2662" s="0" t="n">
        <v>104</v>
      </c>
      <c r="I2662" s="0" t="n">
        <v>25.5</v>
      </c>
      <c r="J2662" s="0" t="n">
        <v>84.3</v>
      </c>
      <c r="K2662" s="0" t="n">
        <v>16</v>
      </c>
      <c r="T2662" s="0" t="n">
        <v>3</v>
      </c>
      <c r="U2662" s="0" t="n">
        <v>2</v>
      </c>
      <c r="V2662" s="0" t="inlineStr">
        <is>
          <t>계단식</t>
        </is>
      </c>
      <c r="W2662" s="0" t="inlineStr">
        <is>
          <t>104B</t>
        </is>
      </c>
      <c r="X2662" s="0" t="n">
        <v>10</v>
      </c>
      <c r="Y2662" s="0" t="n">
        <v>10</v>
      </c>
      <c r="Z2662" s="0" t="inlineStr">
        <is>
          <t>https://new.land.naver.com/complexes/14364?tab=detail&amp;rf=Y</t>
        </is>
      </c>
      <c r="AA2662" s="0" t="inlineStr">
        <is>
          <t>서울시 강동구 천호동 163-34</t>
        </is>
      </c>
      <c r="AB2662" s="0" t="inlineStr">
        <is>
          <t>서울시</t>
        </is>
      </c>
      <c r="AC2662" s="0" t="inlineStr">
        <is>
          <t>강동구</t>
        </is>
      </c>
      <c r="AD2662" s="0" t="inlineStr">
        <is>
          <t>천호동</t>
        </is>
      </c>
      <c r="AG2662" s="0" t="inlineStr">
        <is>
          <t>서울시 강동구 진황도로31길 6</t>
        </is>
      </c>
      <c r="AH2662" s="0" t="n">
        <v>0</v>
      </c>
      <c r="AI2662" s="0" t="n">
        <v>473</v>
      </c>
      <c r="AJ2662" s="0" t="n">
        <v>59</v>
      </c>
      <c r="AK2662" s="0" t="n">
        <v>72</v>
      </c>
      <c r="AL2662" s="0" t="n">
        <v>1.06</v>
      </c>
    </row>
    <row r="2663">
      <c r="A2663" s="0" t="inlineStr">
        <is>
          <t>[천호동]</t>
        </is>
      </c>
      <c r="B2663" s="0" t="n">
        <v>127347</v>
      </c>
      <c r="C2663" s="0" t="n">
        <v>1</v>
      </c>
      <c r="D2663" s="0" t="inlineStr">
        <is>
          <t>현일디와이디(도시형)</t>
        </is>
      </c>
      <c r="E2663" s="0" t="inlineStr">
        <is>
          <t>2019.08.</t>
        </is>
      </c>
      <c r="F2663" s="0" t="n">
        <v>20</v>
      </c>
      <c r="G2663" s="0" t="n">
        <v>6.83</v>
      </c>
      <c r="H2663" s="0" t="n">
        <v>22.6</v>
      </c>
      <c r="I2663" s="0" t="n">
        <v>4.48</v>
      </c>
      <c r="J2663" s="0" t="n">
        <v>14.84</v>
      </c>
      <c r="K2663" s="0" t="n">
        <v>5</v>
      </c>
      <c r="T2663" s="0" t="n">
        <v>1</v>
      </c>
      <c r="U2663" s="0" t="n">
        <v>1</v>
      </c>
      <c r="V2663" s="0" t="inlineStr">
        <is>
          <t>계단식</t>
        </is>
      </c>
      <c r="W2663" s="0" t="n">
        <v>22</v>
      </c>
      <c r="X2663" s="0" t="n">
        <v>10</v>
      </c>
      <c r="Y2663" s="0" t="n">
        <v>10</v>
      </c>
      <c r="Z2663" s="0" t="inlineStr">
        <is>
          <t>https://new.land.naver.com/complexes/127347?tab=detail&amp;rf=Y</t>
        </is>
      </c>
      <c r="AA2663" s="0" t="inlineStr">
        <is>
          <t>서울시 강동구 천호동 163-7</t>
        </is>
      </c>
      <c r="AB2663" s="0" t="inlineStr">
        <is>
          <t>서울시</t>
        </is>
      </c>
      <c r="AC2663" s="0" t="inlineStr">
        <is>
          <t>강동구</t>
        </is>
      </c>
      <c r="AD2663" s="0" t="inlineStr">
        <is>
          <t>천호동</t>
        </is>
      </c>
      <c r="AG2663" s="0" t="inlineStr">
        <is>
          <t>서울시 강동구 진황도로 53-3</t>
        </is>
      </c>
      <c r="AH2663" s="0" t="n">
        <v>0</v>
      </c>
      <c r="AI2663" s="0" t="n">
        <v>471</v>
      </c>
      <c r="AJ2663" s="0" t="n">
        <v>59</v>
      </c>
      <c r="AK2663" s="0" t="n">
        <v>10</v>
      </c>
      <c r="AL2663" s="0" t="n">
        <v>0.5</v>
      </c>
    </row>
    <row r="2664">
      <c r="A2664" s="0" t="inlineStr">
        <is>
          <t>[천호동]</t>
        </is>
      </c>
      <c r="B2664" s="0" t="n">
        <v>127347</v>
      </c>
      <c r="C2664" s="0" t="n">
        <v>2</v>
      </c>
      <c r="D2664" s="0" t="inlineStr">
        <is>
          <t>현일디와이디(도시형)</t>
        </is>
      </c>
      <c r="E2664" s="0" t="inlineStr">
        <is>
          <t>2019.08.</t>
        </is>
      </c>
      <c r="F2664" s="0" t="n">
        <v>20</v>
      </c>
      <c r="G2664" s="0" t="n">
        <v>7.64</v>
      </c>
      <c r="H2664" s="0" t="n">
        <v>25.28</v>
      </c>
      <c r="I2664" s="0" t="n">
        <v>5.03</v>
      </c>
      <c r="J2664" s="0" t="n">
        <v>16.66</v>
      </c>
      <c r="K2664" s="0" t="n">
        <v>5</v>
      </c>
      <c r="T2664" s="0" t="n">
        <v>1</v>
      </c>
      <c r="U2664" s="0" t="n">
        <v>1</v>
      </c>
      <c r="V2664" s="0" t="inlineStr">
        <is>
          <t>계단식</t>
        </is>
      </c>
      <c r="W2664" s="0" t="inlineStr">
        <is>
          <t>25A</t>
        </is>
      </c>
      <c r="X2664" s="0" t="n">
        <v>10</v>
      </c>
      <c r="Y2664" s="0" t="n">
        <v>10</v>
      </c>
      <c r="Z2664" s="0" t="inlineStr">
        <is>
          <t>https://new.land.naver.com/complexes/127347?tab=detail&amp;rf=Y</t>
        </is>
      </c>
      <c r="AA2664" s="0" t="inlineStr">
        <is>
          <t>서울시 강동구 천호동 163-7</t>
        </is>
      </c>
      <c r="AB2664" s="0" t="inlineStr">
        <is>
          <t>서울시</t>
        </is>
      </c>
      <c r="AC2664" s="0" t="inlineStr">
        <is>
          <t>강동구</t>
        </is>
      </c>
      <c r="AD2664" s="0" t="inlineStr">
        <is>
          <t>천호동</t>
        </is>
      </c>
      <c r="AG2664" s="0" t="inlineStr">
        <is>
          <t>서울시 강동구 진황도로 53-3</t>
        </is>
      </c>
      <c r="AH2664" s="0" t="n">
        <v>0</v>
      </c>
      <c r="AI2664" s="0" t="n">
        <v>471</v>
      </c>
      <c r="AJ2664" s="0" t="n">
        <v>59</v>
      </c>
      <c r="AK2664" s="0" t="n">
        <v>10</v>
      </c>
      <c r="AL2664" s="0" t="n">
        <v>0.5</v>
      </c>
    </row>
    <row r="2665">
      <c r="A2665" s="0" t="inlineStr">
        <is>
          <t>[천호동]</t>
        </is>
      </c>
      <c r="B2665" s="0" t="n">
        <v>127347</v>
      </c>
      <c r="C2665" s="0" t="n">
        <v>3</v>
      </c>
      <c r="D2665" s="0" t="inlineStr">
        <is>
          <t>현일디와이디(도시형)</t>
        </is>
      </c>
      <c r="E2665" s="0" t="inlineStr">
        <is>
          <t>2019.08.</t>
        </is>
      </c>
      <c r="F2665" s="0" t="n">
        <v>20</v>
      </c>
      <c r="G2665" s="0" t="n">
        <v>7.95</v>
      </c>
      <c r="H2665" s="0" t="n">
        <v>26.3</v>
      </c>
      <c r="I2665" s="0" t="n">
        <v>5.19</v>
      </c>
      <c r="J2665" s="0" t="n">
        <v>17.19</v>
      </c>
      <c r="K2665" s="0" t="n">
        <v>5</v>
      </c>
      <c r="T2665" s="0" t="n">
        <v>1</v>
      </c>
      <c r="U2665" s="0" t="n">
        <v>1</v>
      </c>
      <c r="V2665" s="0" t="inlineStr">
        <is>
          <t>계단식</t>
        </is>
      </c>
      <c r="W2665" s="0" t="inlineStr">
        <is>
          <t>26B</t>
        </is>
      </c>
      <c r="X2665" s="0" t="n">
        <v>10</v>
      </c>
      <c r="Y2665" s="0" t="n">
        <v>10</v>
      </c>
      <c r="Z2665" s="0" t="inlineStr">
        <is>
          <t>https://new.land.naver.com/complexes/127347?tab=detail&amp;rf=Y</t>
        </is>
      </c>
      <c r="AA2665" s="0" t="inlineStr">
        <is>
          <t>서울시 강동구 천호동 163-7</t>
        </is>
      </c>
      <c r="AB2665" s="0" t="inlineStr">
        <is>
          <t>서울시</t>
        </is>
      </c>
      <c r="AC2665" s="0" t="inlineStr">
        <is>
          <t>강동구</t>
        </is>
      </c>
      <c r="AD2665" s="0" t="inlineStr">
        <is>
          <t>천호동</t>
        </is>
      </c>
      <c r="AG2665" s="0" t="inlineStr">
        <is>
          <t>서울시 강동구 진황도로 53-3</t>
        </is>
      </c>
      <c r="AH2665" s="0" t="n">
        <v>0</v>
      </c>
      <c r="AI2665" s="0" t="n">
        <v>471</v>
      </c>
      <c r="AJ2665" s="0" t="n">
        <v>59</v>
      </c>
      <c r="AK2665" s="0" t="n">
        <v>10</v>
      </c>
      <c r="AL2665" s="0" t="n">
        <v>0.5</v>
      </c>
    </row>
    <row r="2666">
      <c r="A2666" s="0" t="inlineStr">
        <is>
          <t>[천호동]</t>
        </is>
      </c>
      <c r="B2666" s="0" t="n">
        <v>127347</v>
      </c>
      <c r="C2666" s="0" t="n">
        <v>4</v>
      </c>
      <c r="D2666" s="0" t="inlineStr">
        <is>
          <t>현일디와이디(도시형)</t>
        </is>
      </c>
      <c r="E2666" s="0" t="inlineStr">
        <is>
          <t>2019.08.</t>
        </is>
      </c>
      <c r="F2666" s="0" t="n">
        <v>20</v>
      </c>
      <c r="G2666" s="0" t="n">
        <v>9.16</v>
      </c>
      <c r="H2666" s="0" t="n">
        <v>30.3</v>
      </c>
      <c r="I2666" s="0" t="n">
        <v>5.96</v>
      </c>
      <c r="J2666" s="0" t="n">
        <v>19.73</v>
      </c>
      <c r="K2666" s="0" t="n">
        <v>5</v>
      </c>
      <c r="T2666" s="0" t="n">
        <v>1</v>
      </c>
      <c r="U2666" s="0" t="n">
        <v>1</v>
      </c>
      <c r="V2666" s="0" t="inlineStr">
        <is>
          <t>계단식</t>
        </is>
      </c>
      <c r="W2666" s="0" t="n">
        <v>30</v>
      </c>
      <c r="X2666" s="0" t="n">
        <v>10</v>
      </c>
      <c r="Y2666" s="0" t="n">
        <v>10</v>
      </c>
      <c r="Z2666" s="0" t="inlineStr">
        <is>
          <t>https://new.land.naver.com/complexes/127347?tab=detail&amp;rf=Y</t>
        </is>
      </c>
      <c r="AA2666" s="0" t="inlineStr">
        <is>
          <t>서울시 강동구 천호동 163-7</t>
        </is>
      </c>
      <c r="AB2666" s="0" t="inlineStr">
        <is>
          <t>서울시</t>
        </is>
      </c>
      <c r="AC2666" s="0" t="inlineStr">
        <is>
          <t>강동구</t>
        </is>
      </c>
      <c r="AD2666" s="0" t="inlineStr">
        <is>
          <t>천호동</t>
        </is>
      </c>
      <c r="AG2666" s="0" t="inlineStr">
        <is>
          <t>서울시 강동구 진황도로 53-3</t>
        </is>
      </c>
      <c r="AH2666" s="0" t="n">
        <v>0</v>
      </c>
      <c r="AI2666" s="0" t="n">
        <v>471</v>
      </c>
      <c r="AJ2666" s="0" t="n">
        <v>59</v>
      </c>
      <c r="AK2666" s="0" t="n">
        <v>10</v>
      </c>
      <c r="AL2666" s="0" t="n">
        <v>0.5</v>
      </c>
    </row>
    <row r="2667">
      <c r="A2667" s="0" t="inlineStr">
        <is>
          <t>[천호동]</t>
        </is>
      </c>
      <c r="B2667" s="0" t="n">
        <v>124153</v>
      </c>
      <c r="C2667" s="0" t="n">
        <v>1</v>
      </c>
      <c r="D2667" s="0" t="inlineStr">
        <is>
          <t>동신아트빌(도시형)</t>
        </is>
      </c>
      <c r="E2667" s="0" t="inlineStr">
        <is>
          <t>2016.05.</t>
        </is>
      </c>
      <c r="F2667" s="0" t="n">
        <v>13</v>
      </c>
      <c r="G2667" s="0" t="n">
        <v>7.86</v>
      </c>
      <c r="H2667" s="0" t="n">
        <v>25.99</v>
      </c>
      <c r="I2667" s="0" t="n">
        <v>5.9</v>
      </c>
      <c r="J2667" s="0" t="n">
        <v>19.53</v>
      </c>
      <c r="K2667" s="0" t="n">
        <v>2</v>
      </c>
      <c r="T2667" s="0" t="n">
        <v>1</v>
      </c>
      <c r="U2667" s="0" t="n">
        <v>1</v>
      </c>
      <c r="V2667" s="0" t="inlineStr">
        <is>
          <t>계단식</t>
        </is>
      </c>
      <c r="W2667" s="0" t="inlineStr">
        <is>
          <t>25A</t>
        </is>
      </c>
      <c r="X2667" s="0" t="n">
        <v>6</v>
      </c>
      <c r="Y2667" s="0" t="n">
        <v>5</v>
      </c>
      <c r="Z2667" s="0" t="inlineStr">
        <is>
          <t>https://new.land.naver.com/complexes/124153?tab=detail&amp;rf=Y</t>
        </is>
      </c>
      <c r="AA2667" s="0" t="inlineStr">
        <is>
          <t>서울시 강동구 천호동 243-99</t>
        </is>
      </c>
      <c r="AB2667" s="0" t="inlineStr">
        <is>
          <t>서울시</t>
        </is>
      </c>
      <c r="AC2667" s="0" t="inlineStr">
        <is>
          <t>강동구</t>
        </is>
      </c>
      <c r="AD2667" s="0" t="inlineStr">
        <is>
          <t>천호동</t>
        </is>
      </c>
      <c r="AG2667" s="0" t="inlineStr">
        <is>
          <t>서울시 강동구 구천면로60길 32</t>
        </is>
      </c>
      <c r="AH2667" s="0" t="n">
        <v>0</v>
      </c>
      <c r="AI2667" s="0" t="n">
        <v>199</v>
      </c>
      <c r="AJ2667" s="0" t="n">
        <v>58</v>
      </c>
      <c r="AK2667" s="0" t="n">
        <v>8</v>
      </c>
      <c r="AL2667" s="0" t="n">
        <v>0.62</v>
      </c>
    </row>
    <row r="2668">
      <c r="A2668" s="0" t="inlineStr">
        <is>
          <t>[천호동]</t>
        </is>
      </c>
      <c r="B2668" s="0" t="n">
        <v>124153</v>
      </c>
      <c r="C2668" s="0" t="n">
        <v>2</v>
      </c>
      <c r="D2668" s="0" t="inlineStr">
        <is>
          <t>동신아트빌(도시형)</t>
        </is>
      </c>
      <c r="E2668" s="0" t="inlineStr">
        <is>
          <t>2016.05.</t>
        </is>
      </c>
      <c r="F2668" s="0" t="n">
        <v>13</v>
      </c>
      <c r="G2668" s="0" t="n">
        <v>7.87</v>
      </c>
      <c r="H2668" s="0" t="n">
        <v>26.03</v>
      </c>
      <c r="I2668" s="0" t="n">
        <v>5.91</v>
      </c>
      <c r="J2668" s="0" t="n">
        <v>19.56</v>
      </c>
      <c r="K2668" s="0" t="n">
        <v>2</v>
      </c>
      <c r="T2668" s="0" t="n">
        <v>1</v>
      </c>
      <c r="U2668" s="0" t="n">
        <v>1</v>
      </c>
      <c r="V2668" s="0" t="inlineStr">
        <is>
          <t>계단식</t>
        </is>
      </c>
      <c r="W2668" s="0" t="inlineStr">
        <is>
          <t>26B</t>
        </is>
      </c>
      <c r="X2668" s="0" t="n">
        <v>6</v>
      </c>
      <c r="Y2668" s="0" t="n">
        <v>5</v>
      </c>
      <c r="Z2668" s="0" t="inlineStr">
        <is>
          <t>https://new.land.naver.com/complexes/124153?tab=detail&amp;rf=Y</t>
        </is>
      </c>
      <c r="AA2668" s="0" t="inlineStr">
        <is>
          <t>서울시 강동구 천호동 243-99</t>
        </is>
      </c>
      <c r="AB2668" s="0" t="inlineStr">
        <is>
          <t>서울시</t>
        </is>
      </c>
      <c r="AC2668" s="0" t="inlineStr">
        <is>
          <t>강동구</t>
        </is>
      </c>
      <c r="AD2668" s="0" t="inlineStr">
        <is>
          <t>천호동</t>
        </is>
      </c>
      <c r="AG2668" s="0" t="inlineStr">
        <is>
          <t>서울시 강동구 구천면로60길 32</t>
        </is>
      </c>
      <c r="AH2668" s="0" t="n">
        <v>0</v>
      </c>
      <c r="AI2668" s="0" t="n">
        <v>199</v>
      </c>
      <c r="AJ2668" s="0" t="n">
        <v>58</v>
      </c>
      <c r="AK2668" s="0" t="n">
        <v>8</v>
      </c>
      <c r="AL2668" s="0" t="n">
        <v>0.62</v>
      </c>
    </row>
    <row r="2669">
      <c r="A2669" s="0" t="inlineStr">
        <is>
          <t>[천호동]</t>
        </is>
      </c>
      <c r="B2669" s="0" t="n">
        <v>124153</v>
      </c>
      <c r="C2669" s="0" t="n">
        <v>3</v>
      </c>
      <c r="D2669" s="0" t="inlineStr">
        <is>
          <t>동신아트빌(도시형)</t>
        </is>
      </c>
      <c r="E2669" s="0" t="inlineStr">
        <is>
          <t>2016.05.</t>
        </is>
      </c>
      <c r="F2669" s="0" t="n">
        <v>13</v>
      </c>
      <c r="G2669" s="0" t="n">
        <v>8.84</v>
      </c>
      <c r="H2669" s="0" t="n">
        <v>29.23</v>
      </c>
      <c r="I2669" s="0" t="n">
        <v>6.64</v>
      </c>
      <c r="J2669" s="0" t="n">
        <v>21.96</v>
      </c>
      <c r="K2669" s="0" t="n">
        <v>2</v>
      </c>
      <c r="T2669" s="0" t="n">
        <v>1</v>
      </c>
      <c r="U2669" s="0" t="n">
        <v>1</v>
      </c>
      <c r="V2669" s="0" t="inlineStr">
        <is>
          <t>계단식</t>
        </is>
      </c>
      <c r="W2669" s="0" t="n">
        <v>29</v>
      </c>
      <c r="X2669" s="0" t="n">
        <v>6</v>
      </c>
      <c r="Y2669" s="0" t="n">
        <v>5</v>
      </c>
      <c r="Z2669" s="0" t="inlineStr">
        <is>
          <t>https://new.land.naver.com/complexes/124153?tab=detail&amp;rf=Y</t>
        </is>
      </c>
      <c r="AA2669" s="0" t="inlineStr">
        <is>
          <t>서울시 강동구 천호동 243-99</t>
        </is>
      </c>
      <c r="AB2669" s="0" t="inlineStr">
        <is>
          <t>서울시</t>
        </is>
      </c>
      <c r="AC2669" s="0" t="inlineStr">
        <is>
          <t>강동구</t>
        </is>
      </c>
      <c r="AD2669" s="0" t="inlineStr">
        <is>
          <t>천호동</t>
        </is>
      </c>
      <c r="AG2669" s="0" t="inlineStr">
        <is>
          <t>서울시 강동구 구천면로60길 32</t>
        </is>
      </c>
      <c r="AH2669" s="0" t="n">
        <v>0</v>
      </c>
      <c r="AI2669" s="0" t="n">
        <v>199</v>
      </c>
      <c r="AJ2669" s="0" t="n">
        <v>58</v>
      </c>
      <c r="AK2669" s="0" t="n">
        <v>8</v>
      </c>
      <c r="AL2669" s="0" t="n">
        <v>0.62</v>
      </c>
    </row>
    <row r="2670">
      <c r="A2670" s="0" t="inlineStr">
        <is>
          <t>[천호동]</t>
        </is>
      </c>
      <c r="B2670" s="0" t="n">
        <v>124153</v>
      </c>
      <c r="C2670" s="0" t="n">
        <v>4</v>
      </c>
      <c r="D2670" s="0" t="inlineStr">
        <is>
          <t>동신아트빌(도시형)</t>
        </is>
      </c>
      <c r="E2670" s="0" t="inlineStr">
        <is>
          <t>2016.05.</t>
        </is>
      </c>
      <c r="F2670" s="0" t="n">
        <v>13</v>
      </c>
      <c r="G2670" s="0" t="n">
        <v>11.63</v>
      </c>
      <c r="H2670" s="0" t="n">
        <v>38.47</v>
      </c>
      <c r="I2670" s="0" t="n">
        <v>8.74</v>
      </c>
      <c r="J2670" s="0" t="n">
        <v>28.9</v>
      </c>
      <c r="K2670" s="0" t="n">
        <v>2</v>
      </c>
      <c r="T2670" s="0" t="n">
        <v>1</v>
      </c>
      <c r="U2670" s="0" t="n">
        <v>1</v>
      </c>
      <c r="V2670" s="0" t="inlineStr">
        <is>
          <t>계단식</t>
        </is>
      </c>
      <c r="W2670" s="0" t="n">
        <v>38</v>
      </c>
      <c r="X2670" s="0" t="n">
        <v>6</v>
      </c>
      <c r="Y2670" s="0" t="n">
        <v>5</v>
      </c>
      <c r="Z2670" s="0" t="inlineStr">
        <is>
          <t>https://new.land.naver.com/complexes/124153?tab=detail&amp;rf=Y</t>
        </is>
      </c>
      <c r="AA2670" s="0" t="inlineStr">
        <is>
          <t>서울시 강동구 천호동 243-99</t>
        </is>
      </c>
      <c r="AB2670" s="0" t="inlineStr">
        <is>
          <t>서울시</t>
        </is>
      </c>
      <c r="AC2670" s="0" t="inlineStr">
        <is>
          <t>강동구</t>
        </is>
      </c>
      <c r="AD2670" s="0" t="inlineStr">
        <is>
          <t>천호동</t>
        </is>
      </c>
      <c r="AG2670" s="0" t="inlineStr">
        <is>
          <t>서울시 강동구 구천면로60길 32</t>
        </is>
      </c>
      <c r="AH2670" s="0" t="n">
        <v>0</v>
      </c>
      <c r="AI2670" s="0" t="n">
        <v>199</v>
      </c>
      <c r="AJ2670" s="0" t="n">
        <v>58</v>
      </c>
      <c r="AK2670" s="0" t="n">
        <v>8</v>
      </c>
      <c r="AL2670" s="0" t="n">
        <v>0.62</v>
      </c>
    </row>
    <row r="2671">
      <c r="A2671" s="0" t="inlineStr">
        <is>
          <t>[천호동]</t>
        </is>
      </c>
      <c r="B2671" s="0" t="n">
        <v>124153</v>
      </c>
      <c r="C2671" s="0" t="n">
        <v>5</v>
      </c>
      <c r="D2671" s="0" t="inlineStr">
        <is>
          <t>동신아트빌(도시형)</t>
        </is>
      </c>
      <c r="E2671" s="0" t="inlineStr">
        <is>
          <t>2016.05.</t>
        </is>
      </c>
      <c r="F2671" s="0" t="n">
        <v>13</v>
      </c>
      <c r="G2671" s="0" t="n">
        <v>12.85</v>
      </c>
      <c r="H2671" s="0" t="n">
        <v>42.5</v>
      </c>
      <c r="I2671" s="0" t="n">
        <v>9.65</v>
      </c>
      <c r="J2671" s="0" t="n">
        <v>31.93</v>
      </c>
      <c r="K2671" s="0" t="n">
        <v>2</v>
      </c>
      <c r="T2671" s="0" t="n">
        <v>1</v>
      </c>
      <c r="U2671" s="0" t="n">
        <v>1</v>
      </c>
      <c r="V2671" s="0" t="inlineStr">
        <is>
          <t>계단식</t>
        </is>
      </c>
      <c r="W2671" s="0" t="n">
        <v>42</v>
      </c>
      <c r="X2671" s="0" t="n">
        <v>6</v>
      </c>
      <c r="Y2671" s="0" t="n">
        <v>5</v>
      </c>
      <c r="Z2671" s="0" t="inlineStr">
        <is>
          <t>https://new.land.naver.com/complexes/124153?tab=detail&amp;rf=Y</t>
        </is>
      </c>
      <c r="AA2671" s="0" t="inlineStr">
        <is>
          <t>서울시 강동구 천호동 243-99</t>
        </is>
      </c>
      <c r="AB2671" s="0" t="inlineStr">
        <is>
          <t>서울시</t>
        </is>
      </c>
      <c r="AC2671" s="0" t="inlineStr">
        <is>
          <t>강동구</t>
        </is>
      </c>
      <c r="AD2671" s="0" t="inlineStr">
        <is>
          <t>천호동</t>
        </is>
      </c>
      <c r="AG2671" s="0" t="inlineStr">
        <is>
          <t>서울시 강동구 구천면로60길 32</t>
        </is>
      </c>
      <c r="AH2671" s="0" t="n">
        <v>0</v>
      </c>
      <c r="AI2671" s="0" t="n">
        <v>199</v>
      </c>
      <c r="AJ2671" s="0" t="n">
        <v>58</v>
      </c>
      <c r="AK2671" s="0" t="n">
        <v>8</v>
      </c>
      <c r="AL2671" s="0" t="n">
        <v>0.62</v>
      </c>
    </row>
    <row r="2672">
      <c r="A2672" s="0" t="inlineStr">
        <is>
          <t>[천호동]</t>
        </is>
      </c>
      <c r="B2672" s="0" t="n">
        <v>124153</v>
      </c>
      <c r="C2672" s="0" t="n">
        <v>6</v>
      </c>
      <c r="D2672" s="0" t="inlineStr">
        <is>
          <t>동신아트빌(도시형)</t>
        </is>
      </c>
      <c r="E2672" s="0" t="inlineStr">
        <is>
          <t>2016.05.</t>
        </is>
      </c>
      <c r="F2672" s="0" t="n">
        <v>13</v>
      </c>
      <c r="G2672" s="0" t="n">
        <v>16.53</v>
      </c>
      <c r="H2672" s="0" t="n">
        <v>54.66</v>
      </c>
      <c r="I2672" s="0" t="n">
        <v>12.42</v>
      </c>
      <c r="J2672" s="0" t="n">
        <v>41.07</v>
      </c>
      <c r="K2672" s="0" t="n">
        <v>2</v>
      </c>
      <c r="T2672" s="0" t="n">
        <v>2</v>
      </c>
      <c r="U2672" s="0" t="n">
        <v>1</v>
      </c>
      <c r="V2672" s="0" t="inlineStr">
        <is>
          <t>계단식</t>
        </is>
      </c>
      <c r="W2672" s="0" t="n">
        <v>54</v>
      </c>
      <c r="X2672" s="0" t="n">
        <v>6</v>
      </c>
      <c r="Y2672" s="0" t="n">
        <v>5</v>
      </c>
      <c r="Z2672" s="0" t="inlineStr">
        <is>
          <t>https://new.land.naver.com/complexes/124153?tab=detail&amp;rf=Y</t>
        </is>
      </c>
      <c r="AA2672" s="0" t="inlineStr">
        <is>
          <t>서울시 강동구 천호동 243-99</t>
        </is>
      </c>
      <c r="AB2672" s="0" t="inlineStr">
        <is>
          <t>서울시</t>
        </is>
      </c>
      <c r="AC2672" s="0" t="inlineStr">
        <is>
          <t>강동구</t>
        </is>
      </c>
      <c r="AD2672" s="0" t="inlineStr">
        <is>
          <t>천호동</t>
        </is>
      </c>
      <c r="AG2672" s="0" t="inlineStr">
        <is>
          <t>서울시 강동구 구천면로60길 32</t>
        </is>
      </c>
      <c r="AH2672" s="0" t="n">
        <v>0</v>
      </c>
      <c r="AI2672" s="0" t="n">
        <v>199</v>
      </c>
      <c r="AJ2672" s="0" t="n">
        <v>58</v>
      </c>
      <c r="AK2672" s="0" t="n">
        <v>8</v>
      </c>
      <c r="AL2672" s="0" t="n">
        <v>0.62</v>
      </c>
    </row>
    <row r="2673">
      <c r="A2673" s="0" t="inlineStr">
        <is>
          <t>[천호동]</t>
        </is>
      </c>
      <c r="B2673" s="0" t="n">
        <v>124153</v>
      </c>
      <c r="C2673" s="0" t="n">
        <v>7</v>
      </c>
      <c r="D2673" s="0" t="inlineStr">
        <is>
          <t>동신아트빌(도시형)</t>
        </is>
      </c>
      <c r="E2673" s="0" t="inlineStr">
        <is>
          <t>2016.05.</t>
        </is>
      </c>
      <c r="F2673" s="0" t="n">
        <v>13</v>
      </c>
      <c r="G2673" s="0" t="n">
        <v>20</v>
      </c>
      <c r="H2673" s="0" t="n">
        <v>66.13</v>
      </c>
      <c r="I2673" s="0" t="n">
        <v>15.02</v>
      </c>
      <c r="J2673" s="0" t="n">
        <v>49.68</v>
      </c>
      <c r="K2673" s="0" t="n">
        <v>1</v>
      </c>
      <c r="T2673" s="0" t="n">
        <v>2</v>
      </c>
      <c r="U2673" s="0" t="n">
        <v>1</v>
      </c>
      <c r="V2673" s="0" t="inlineStr">
        <is>
          <t>계단식</t>
        </is>
      </c>
      <c r="W2673" s="0" t="n">
        <v>66</v>
      </c>
      <c r="X2673" s="0" t="n">
        <v>6</v>
      </c>
      <c r="Y2673" s="0" t="n">
        <v>5</v>
      </c>
      <c r="Z2673" s="0" t="inlineStr">
        <is>
          <t>https://new.land.naver.com/complexes/124153?tab=detail&amp;rf=Y</t>
        </is>
      </c>
      <c r="AA2673" s="0" t="inlineStr">
        <is>
          <t>서울시 강동구 천호동 243-99</t>
        </is>
      </c>
      <c r="AB2673" s="0" t="inlineStr">
        <is>
          <t>서울시</t>
        </is>
      </c>
      <c r="AC2673" s="0" t="inlineStr">
        <is>
          <t>강동구</t>
        </is>
      </c>
      <c r="AD2673" s="0" t="inlineStr">
        <is>
          <t>천호동</t>
        </is>
      </c>
      <c r="AG2673" s="0" t="inlineStr">
        <is>
          <t>서울시 강동구 구천면로60길 32</t>
        </is>
      </c>
      <c r="AH2673" s="0" t="n">
        <v>0</v>
      </c>
      <c r="AI2673" s="0" t="n">
        <v>199</v>
      </c>
      <c r="AJ2673" s="0" t="n">
        <v>58</v>
      </c>
      <c r="AK2673" s="0" t="n">
        <v>8</v>
      </c>
      <c r="AL2673" s="0" t="n">
        <v>0.62</v>
      </c>
    </row>
    <row r="2674">
      <c r="A2674" s="0" t="inlineStr">
        <is>
          <t>[천호동]</t>
        </is>
      </c>
      <c r="B2674" s="0" t="n">
        <v>118119</v>
      </c>
      <c r="C2674" s="0" t="n">
        <v>1</v>
      </c>
      <c r="D2674" s="0" t="inlineStr">
        <is>
          <t>다성이즈빌(167-153,도시형)</t>
        </is>
      </c>
      <c r="E2674" s="0" t="inlineStr">
        <is>
          <t>2017.08.</t>
        </is>
      </c>
      <c r="F2674" s="0" t="n">
        <v>20</v>
      </c>
      <c r="G2674" s="0" t="n">
        <v>7.52</v>
      </c>
      <c r="H2674" s="0" t="n">
        <v>24.87</v>
      </c>
      <c r="I2674" s="0" t="n">
        <v>6.25</v>
      </c>
      <c r="J2674" s="0" t="n">
        <v>20.69</v>
      </c>
      <c r="K2674" s="0" t="n">
        <v>10</v>
      </c>
      <c r="T2674" s="0" t="n">
        <v>1</v>
      </c>
      <c r="U2674" s="0" t="n">
        <v>1</v>
      </c>
      <c r="V2674" s="0" t="inlineStr">
        <is>
          <t>계단식</t>
        </is>
      </c>
      <c r="W2674" s="0" t="n">
        <v>24</v>
      </c>
      <c r="X2674" s="0" t="n">
        <v>12</v>
      </c>
      <c r="Y2674" s="0" t="n">
        <v>12</v>
      </c>
      <c r="Z2674" s="0" t="inlineStr">
        <is>
          <t>https://new.land.naver.com/complexes/118119?tab=detail&amp;rf=Y</t>
        </is>
      </c>
      <c r="AA2674" s="0" t="inlineStr">
        <is>
          <t>서울시 강동구 천호동 167-153</t>
        </is>
      </c>
      <c r="AB2674" s="0" t="inlineStr">
        <is>
          <t>서울시</t>
        </is>
      </c>
      <c r="AC2674" s="0" t="inlineStr">
        <is>
          <t>강동구</t>
        </is>
      </c>
      <c r="AD2674" s="0" t="inlineStr">
        <is>
          <t>천호동</t>
        </is>
      </c>
      <c r="AG2674" s="0" t="inlineStr">
        <is>
          <t>서울시 강동구 성안로27길 51-14</t>
        </is>
      </c>
      <c r="AH2674" s="0" t="n">
        <v>0</v>
      </c>
      <c r="AI2674" s="0" t="n">
        <v>391</v>
      </c>
      <c r="AJ2674" s="0" t="n">
        <v>57</v>
      </c>
      <c r="AK2674" s="0" t="n">
        <v>13</v>
      </c>
      <c r="AL2674" s="0" t="n">
        <v>0.65</v>
      </c>
    </row>
    <row r="2675">
      <c r="A2675" s="0" t="inlineStr">
        <is>
          <t>[천호동]</t>
        </is>
      </c>
      <c r="B2675" s="0" t="n">
        <v>118119</v>
      </c>
      <c r="C2675" s="0" t="n">
        <v>2</v>
      </c>
      <c r="D2675" s="0" t="inlineStr">
        <is>
          <t>다성이즈빌(167-153,도시형)</t>
        </is>
      </c>
      <c r="E2675" s="0" t="inlineStr">
        <is>
          <t>2017.08.</t>
        </is>
      </c>
      <c r="F2675" s="0" t="n">
        <v>20</v>
      </c>
      <c r="G2675" s="0" t="n">
        <v>7.35</v>
      </c>
      <c r="H2675" s="0" t="n">
        <v>24.3</v>
      </c>
      <c r="I2675" s="0" t="n">
        <v>6.11</v>
      </c>
      <c r="J2675" s="0" t="n">
        <v>20.22</v>
      </c>
      <c r="K2675" s="0" t="n">
        <v>5</v>
      </c>
      <c r="T2675" s="0" t="n">
        <v>1</v>
      </c>
      <c r="U2675" s="0" t="n">
        <v>1</v>
      </c>
      <c r="V2675" s="0" t="inlineStr">
        <is>
          <t>계단식</t>
        </is>
      </c>
      <c r="W2675" s="0" t="inlineStr">
        <is>
          <t>24A</t>
        </is>
      </c>
      <c r="X2675" s="0" t="n">
        <v>12</v>
      </c>
      <c r="Y2675" s="0" t="n">
        <v>12</v>
      </c>
      <c r="Z2675" s="0" t="inlineStr">
        <is>
          <t>https://new.land.naver.com/complexes/118119?tab=detail&amp;rf=Y</t>
        </is>
      </c>
      <c r="AA2675" s="0" t="inlineStr">
        <is>
          <t>서울시 강동구 천호동 167-153</t>
        </is>
      </c>
      <c r="AB2675" s="0" t="inlineStr">
        <is>
          <t>서울시</t>
        </is>
      </c>
      <c r="AC2675" s="0" t="inlineStr">
        <is>
          <t>강동구</t>
        </is>
      </c>
      <c r="AD2675" s="0" t="inlineStr">
        <is>
          <t>천호동</t>
        </is>
      </c>
      <c r="AG2675" s="0" t="inlineStr">
        <is>
          <t>서울시 강동구 성안로27길 51-14</t>
        </is>
      </c>
      <c r="AH2675" s="0" t="n">
        <v>0</v>
      </c>
      <c r="AI2675" s="0" t="n">
        <v>391</v>
      </c>
      <c r="AJ2675" s="0" t="n">
        <v>57</v>
      </c>
      <c r="AK2675" s="0" t="n">
        <v>13</v>
      </c>
      <c r="AL2675" s="0" t="n">
        <v>0.65</v>
      </c>
    </row>
    <row r="2676">
      <c r="A2676" s="0" t="inlineStr">
        <is>
          <t>[천호동]</t>
        </is>
      </c>
      <c r="B2676" s="0" t="n">
        <v>118119</v>
      </c>
      <c r="C2676" s="0" t="n">
        <v>3</v>
      </c>
      <c r="D2676" s="0" t="inlineStr">
        <is>
          <t>다성이즈빌(167-153,도시형)</t>
        </is>
      </c>
      <c r="E2676" s="0" t="inlineStr">
        <is>
          <t>2017.08.</t>
        </is>
      </c>
      <c r="F2676" s="0" t="n">
        <v>20</v>
      </c>
      <c r="G2676" s="0" t="n">
        <v>7.36</v>
      </c>
      <c r="H2676" s="0" t="n">
        <v>24.36</v>
      </c>
      <c r="I2676" s="0" t="n">
        <v>6.13</v>
      </c>
      <c r="J2676" s="0" t="n">
        <v>20.27</v>
      </c>
      <c r="K2676" s="0" t="n">
        <v>5</v>
      </c>
      <c r="T2676" s="0" t="n">
        <v>1</v>
      </c>
      <c r="U2676" s="0" t="n">
        <v>1</v>
      </c>
      <c r="V2676" s="0" t="inlineStr">
        <is>
          <t>계단식</t>
        </is>
      </c>
      <c r="W2676" s="0" t="inlineStr">
        <is>
          <t>24B</t>
        </is>
      </c>
      <c r="X2676" s="0" t="n">
        <v>12</v>
      </c>
      <c r="Y2676" s="0" t="n">
        <v>12</v>
      </c>
      <c r="Z2676" s="0" t="inlineStr">
        <is>
          <t>https://new.land.naver.com/complexes/118119?tab=detail&amp;rf=Y</t>
        </is>
      </c>
      <c r="AA2676" s="0" t="inlineStr">
        <is>
          <t>서울시 강동구 천호동 167-153</t>
        </is>
      </c>
      <c r="AB2676" s="0" t="inlineStr">
        <is>
          <t>서울시</t>
        </is>
      </c>
      <c r="AC2676" s="0" t="inlineStr">
        <is>
          <t>강동구</t>
        </is>
      </c>
      <c r="AD2676" s="0" t="inlineStr">
        <is>
          <t>천호동</t>
        </is>
      </c>
      <c r="AG2676" s="0" t="inlineStr">
        <is>
          <t>서울시 강동구 성안로27길 51-14</t>
        </is>
      </c>
      <c r="AH2676" s="0" t="n">
        <v>0</v>
      </c>
      <c r="AI2676" s="0" t="n">
        <v>391</v>
      </c>
      <c r="AJ2676" s="0" t="n">
        <v>57</v>
      </c>
      <c r="AK2676" s="0" t="n">
        <v>13</v>
      </c>
      <c r="AL2676" s="0" t="n">
        <v>0.65</v>
      </c>
    </row>
    <row r="2677">
      <c r="A2677" s="0" t="inlineStr">
        <is>
          <t>[천호동]</t>
        </is>
      </c>
      <c r="B2677" s="0" t="n">
        <v>131811</v>
      </c>
      <c r="C2677" s="0" t="n">
        <v>1</v>
      </c>
      <c r="D2677" s="0" t="inlineStr">
        <is>
          <t>더결블레스</t>
        </is>
      </c>
      <c r="E2677" s="0" t="inlineStr">
        <is>
          <t>2020.05.</t>
        </is>
      </c>
      <c r="F2677" s="0" t="n">
        <v>20</v>
      </c>
      <c r="G2677" s="0" t="n">
        <v>4.52</v>
      </c>
      <c r="H2677" s="0" t="n">
        <v>14.95</v>
      </c>
      <c r="I2677" s="0" t="n">
        <v>3.06</v>
      </c>
      <c r="J2677" s="0" t="n">
        <v>10.13</v>
      </c>
      <c r="K2677" s="0" t="n">
        <v>4</v>
      </c>
      <c r="T2677" s="0" t="n">
        <v>1</v>
      </c>
      <c r="U2677" s="0" t="n">
        <v>1</v>
      </c>
      <c r="V2677" s="0" t="inlineStr">
        <is>
          <t>계단식</t>
        </is>
      </c>
      <c r="W2677" s="0" t="inlineStr">
        <is>
          <t>14A</t>
        </is>
      </c>
      <c r="X2677" s="0" t="n">
        <v>10</v>
      </c>
      <c r="Y2677" s="0" t="n">
        <v>10</v>
      </c>
      <c r="Z2677" s="0" t="inlineStr">
        <is>
          <t>https://new.land.naver.com/complexes/131811?tab=detail&amp;rf=Y</t>
        </is>
      </c>
      <c r="AA2677" s="0" t="inlineStr">
        <is>
          <t>서울시 강동구 천호동 562-2</t>
        </is>
      </c>
      <c r="AB2677" s="0" t="inlineStr">
        <is>
          <t>서울시</t>
        </is>
      </c>
      <c r="AC2677" s="0" t="inlineStr">
        <is>
          <t>강동구</t>
        </is>
      </c>
      <c r="AD2677" s="0" t="inlineStr">
        <is>
          <t>천호동</t>
        </is>
      </c>
      <c r="AG2677" s="0" t="inlineStr">
        <is>
          <t>서울시 강동구 진황도로25길 14</t>
        </is>
      </c>
      <c r="AH2677" s="0" t="n">
        <v>20</v>
      </c>
      <c r="AI2677" s="0" t="n">
        <v>390</v>
      </c>
      <c r="AJ2677" s="0" t="n">
        <v>59</v>
      </c>
      <c r="AK2677" s="0" t="n">
        <v>12</v>
      </c>
      <c r="AL2677" s="0" t="n">
        <v>0.6</v>
      </c>
    </row>
    <row r="2678">
      <c r="A2678" s="0" t="inlineStr">
        <is>
          <t>[천호동]</t>
        </is>
      </c>
      <c r="B2678" s="0" t="n">
        <v>131811</v>
      </c>
      <c r="C2678" s="0" t="n">
        <v>2</v>
      </c>
      <c r="D2678" s="0" t="inlineStr">
        <is>
          <t>더결블레스</t>
        </is>
      </c>
      <c r="E2678" s="0" t="inlineStr">
        <is>
          <t>2020.05.</t>
        </is>
      </c>
      <c r="F2678" s="0" t="n">
        <v>20</v>
      </c>
      <c r="G2678" s="0" t="n">
        <v>4.6</v>
      </c>
      <c r="H2678" s="0" t="n">
        <v>15.22</v>
      </c>
      <c r="I2678" s="0" t="n">
        <v>3.11</v>
      </c>
      <c r="J2678" s="0" t="n">
        <v>10.31</v>
      </c>
      <c r="K2678" s="0" t="n">
        <v>4</v>
      </c>
      <c r="T2678" s="0" t="n">
        <v>1</v>
      </c>
      <c r="U2678" s="0" t="n">
        <v>1</v>
      </c>
      <c r="V2678" s="0" t="inlineStr">
        <is>
          <t>계단식</t>
        </is>
      </c>
      <c r="W2678" s="0" t="inlineStr">
        <is>
          <t>15B</t>
        </is>
      </c>
      <c r="X2678" s="0" t="n">
        <v>10</v>
      </c>
      <c r="Y2678" s="0" t="n">
        <v>10</v>
      </c>
      <c r="Z2678" s="0" t="inlineStr">
        <is>
          <t>https://new.land.naver.com/complexes/131811?tab=detail&amp;rf=Y</t>
        </is>
      </c>
      <c r="AA2678" s="0" t="inlineStr">
        <is>
          <t>서울시 강동구 천호동 562-2</t>
        </is>
      </c>
      <c r="AB2678" s="0" t="inlineStr">
        <is>
          <t>서울시</t>
        </is>
      </c>
      <c r="AC2678" s="0" t="inlineStr">
        <is>
          <t>강동구</t>
        </is>
      </c>
      <c r="AD2678" s="0" t="inlineStr">
        <is>
          <t>천호동</t>
        </is>
      </c>
      <c r="AG2678" s="0" t="inlineStr">
        <is>
          <t>서울시 강동구 진황도로25길 14</t>
        </is>
      </c>
      <c r="AH2678" s="0" t="n">
        <v>20</v>
      </c>
      <c r="AI2678" s="0" t="n">
        <v>390</v>
      </c>
      <c r="AJ2678" s="0" t="n">
        <v>59</v>
      </c>
      <c r="AK2678" s="0" t="n">
        <v>12</v>
      </c>
      <c r="AL2678" s="0" t="n">
        <v>0.6</v>
      </c>
    </row>
    <row r="2679">
      <c r="A2679" s="0" t="inlineStr">
        <is>
          <t>[천호동]</t>
        </is>
      </c>
      <c r="B2679" s="0" t="n">
        <v>131811</v>
      </c>
      <c r="C2679" s="0" t="n">
        <v>3</v>
      </c>
      <c r="D2679" s="0" t="inlineStr">
        <is>
          <t>더결블레스</t>
        </is>
      </c>
      <c r="E2679" s="0" t="inlineStr">
        <is>
          <t>2020.05.</t>
        </is>
      </c>
      <c r="F2679" s="0" t="n">
        <v>20</v>
      </c>
      <c r="G2679" s="0" t="n">
        <v>7.53</v>
      </c>
      <c r="H2679" s="0" t="n">
        <v>24.91</v>
      </c>
      <c r="I2679" s="0" t="n">
        <v>5.1</v>
      </c>
      <c r="J2679" s="0" t="n">
        <v>16.87</v>
      </c>
      <c r="K2679" s="0" t="n">
        <v>8</v>
      </c>
      <c r="T2679" s="0" t="n">
        <v>1</v>
      </c>
      <c r="U2679" s="0" t="n">
        <v>1</v>
      </c>
      <c r="V2679" s="0" t="inlineStr">
        <is>
          <t>계단식</t>
        </is>
      </c>
      <c r="W2679" s="0" t="inlineStr">
        <is>
          <t>24B</t>
        </is>
      </c>
      <c r="X2679" s="0" t="n">
        <v>10</v>
      </c>
      <c r="Y2679" s="0" t="n">
        <v>10</v>
      </c>
      <c r="Z2679" s="0" t="inlineStr">
        <is>
          <t>https://new.land.naver.com/complexes/131811?tab=detail&amp;rf=Y</t>
        </is>
      </c>
      <c r="AA2679" s="0" t="inlineStr">
        <is>
          <t>서울시 강동구 천호동 562-2</t>
        </is>
      </c>
      <c r="AB2679" s="0" t="inlineStr">
        <is>
          <t>서울시</t>
        </is>
      </c>
      <c r="AC2679" s="0" t="inlineStr">
        <is>
          <t>강동구</t>
        </is>
      </c>
      <c r="AD2679" s="0" t="inlineStr">
        <is>
          <t>천호동</t>
        </is>
      </c>
      <c r="AG2679" s="0" t="inlineStr">
        <is>
          <t>서울시 강동구 진황도로25길 14</t>
        </is>
      </c>
      <c r="AH2679" s="0" t="n">
        <v>20</v>
      </c>
      <c r="AI2679" s="0" t="n">
        <v>390</v>
      </c>
      <c r="AJ2679" s="0" t="n">
        <v>59</v>
      </c>
      <c r="AK2679" s="0" t="n">
        <v>12</v>
      </c>
      <c r="AL2679" s="0" t="n">
        <v>0.6</v>
      </c>
    </row>
    <row r="2680">
      <c r="A2680" s="0" t="inlineStr">
        <is>
          <t>[천호동]</t>
        </is>
      </c>
      <c r="B2680" s="0" t="n">
        <v>131811</v>
      </c>
      <c r="C2680" s="0" t="n">
        <v>4</v>
      </c>
      <c r="D2680" s="0" t="inlineStr">
        <is>
          <t>더결블레스</t>
        </is>
      </c>
      <c r="E2680" s="0" t="inlineStr">
        <is>
          <t>2020.05.</t>
        </is>
      </c>
      <c r="F2680" s="0" t="n">
        <v>20</v>
      </c>
      <c r="G2680" s="0" t="n">
        <v>8.300000000000001</v>
      </c>
      <c r="H2680" s="0" t="n">
        <v>27.46</v>
      </c>
      <c r="I2680" s="0" t="n">
        <v>5.62</v>
      </c>
      <c r="J2680" s="0" t="n">
        <v>18.6</v>
      </c>
      <c r="K2680" s="0" t="n">
        <v>4</v>
      </c>
      <c r="T2680" s="0" t="n">
        <v>1</v>
      </c>
      <c r="U2680" s="0" t="n">
        <v>1</v>
      </c>
      <c r="V2680" s="0" t="inlineStr">
        <is>
          <t>계단식</t>
        </is>
      </c>
      <c r="W2680" s="0" t="inlineStr">
        <is>
          <t>27A</t>
        </is>
      </c>
      <c r="X2680" s="0" t="n">
        <v>10</v>
      </c>
      <c r="Y2680" s="0" t="n">
        <v>10</v>
      </c>
      <c r="Z2680" s="0" t="inlineStr">
        <is>
          <t>https://new.land.naver.com/complexes/131811?tab=detail&amp;rf=Y</t>
        </is>
      </c>
      <c r="AA2680" s="0" t="inlineStr">
        <is>
          <t>서울시 강동구 천호동 562-2</t>
        </is>
      </c>
      <c r="AB2680" s="0" t="inlineStr">
        <is>
          <t>서울시</t>
        </is>
      </c>
      <c r="AC2680" s="0" t="inlineStr">
        <is>
          <t>강동구</t>
        </is>
      </c>
      <c r="AD2680" s="0" t="inlineStr">
        <is>
          <t>천호동</t>
        </is>
      </c>
      <c r="AG2680" s="0" t="inlineStr">
        <is>
          <t>서울시 강동구 진황도로25길 14</t>
        </is>
      </c>
      <c r="AH2680" s="0" t="n">
        <v>20</v>
      </c>
      <c r="AI2680" s="0" t="n">
        <v>390</v>
      </c>
      <c r="AJ2680" s="0" t="n">
        <v>59</v>
      </c>
      <c r="AK2680" s="0" t="n">
        <v>12</v>
      </c>
      <c r="AL2680" s="0" t="n">
        <v>0.6</v>
      </c>
    </row>
    <row r="2681">
      <c r="A2681" s="0" t="inlineStr">
        <is>
          <t>[천호동]</t>
        </is>
      </c>
      <c r="B2681" s="0" t="n">
        <v>9151</v>
      </c>
      <c r="C2681" s="0" t="n">
        <v>1</v>
      </c>
      <c r="D2681" s="0" t="inlineStr">
        <is>
          <t>제일</t>
        </is>
      </c>
      <c r="E2681" s="0" t="inlineStr">
        <is>
          <t>1995.06.</t>
        </is>
      </c>
      <c r="F2681" s="0" t="n">
        <v>62</v>
      </c>
      <c r="G2681" s="0" t="n">
        <v>24.97</v>
      </c>
      <c r="H2681" s="0" t="n">
        <v>82.56</v>
      </c>
      <c r="I2681" s="0" t="n">
        <v>17.99</v>
      </c>
      <c r="J2681" s="0" t="n">
        <v>59.49</v>
      </c>
      <c r="K2681" s="0" t="n">
        <v>17</v>
      </c>
      <c r="T2681" s="0" t="n">
        <v>3</v>
      </c>
      <c r="U2681" s="0" t="n">
        <v>1</v>
      </c>
      <c r="V2681" s="0" t="inlineStr">
        <is>
          <t>복도식</t>
        </is>
      </c>
      <c r="W2681" s="0" t="inlineStr">
        <is>
          <t>82A</t>
        </is>
      </c>
      <c r="X2681" s="0" t="n">
        <v>12</v>
      </c>
      <c r="Y2681" s="0" t="n">
        <v>7</v>
      </c>
      <c r="Z2681" s="0" t="inlineStr">
        <is>
          <t>https://new.land.naver.com/complexes/9151?tab=detail&amp;rf=Y</t>
        </is>
      </c>
      <c r="AA2681" s="0" t="inlineStr">
        <is>
          <t>서울시 강동구 천호동 361-1</t>
        </is>
      </c>
      <c r="AB2681" s="0" t="inlineStr">
        <is>
          <t>서울시</t>
        </is>
      </c>
      <c r="AC2681" s="0" t="inlineStr">
        <is>
          <t>강동구</t>
        </is>
      </c>
      <c r="AD2681" s="0" t="inlineStr">
        <is>
          <t>천호동</t>
        </is>
      </c>
      <c r="AG2681" s="0" t="inlineStr">
        <is>
          <t>서울시 강동구 천중로12길 17</t>
        </is>
      </c>
      <c r="AH2681" s="0" t="n">
        <v>0</v>
      </c>
      <c r="AI2681" s="0" t="n">
        <v>256</v>
      </c>
      <c r="AJ2681" s="0" t="n">
        <v>35</v>
      </c>
      <c r="AK2681" s="0" t="n">
        <v>64</v>
      </c>
      <c r="AL2681" s="0" t="n">
        <v>1.03</v>
      </c>
    </row>
    <row r="2682">
      <c r="A2682" s="0" t="inlineStr">
        <is>
          <t>[천호동]</t>
        </is>
      </c>
      <c r="B2682" s="0" t="n">
        <v>9151</v>
      </c>
      <c r="C2682" s="0" t="n">
        <v>2</v>
      </c>
      <c r="D2682" s="0" t="inlineStr">
        <is>
          <t>제일</t>
        </is>
      </c>
      <c r="E2682" s="0" t="inlineStr">
        <is>
          <t>1995.06.</t>
        </is>
      </c>
      <c r="F2682" s="0" t="n">
        <v>62</v>
      </c>
      <c r="G2682" s="0" t="n">
        <v>25.17</v>
      </c>
      <c r="H2682" s="0" t="n">
        <v>83.20999999999999</v>
      </c>
      <c r="I2682" s="0" t="n">
        <v>18.13</v>
      </c>
      <c r="J2682" s="0" t="n">
        <v>59.96</v>
      </c>
      <c r="K2682" s="0" t="n">
        <v>11</v>
      </c>
      <c r="T2682" s="0" t="n">
        <v>3</v>
      </c>
      <c r="U2682" s="0" t="n">
        <v>1</v>
      </c>
      <c r="V2682" s="0" t="inlineStr">
        <is>
          <t>복도식</t>
        </is>
      </c>
      <c r="W2682" s="0" t="inlineStr">
        <is>
          <t>83B</t>
        </is>
      </c>
      <c r="X2682" s="0" t="n">
        <v>12</v>
      </c>
      <c r="Y2682" s="0" t="n">
        <v>7</v>
      </c>
      <c r="Z2682" s="0" t="inlineStr">
        <is>
          <t>https://new.land.naver.com/complexes/9151?tab=detail&amp;rf=Y</t>
        </is>
      </c>
      <c r="AA2682" s="0" t="inlineStr">
        <is>
          <t>서울시 강동구 천호동 361-1</t>
        </is>
      </c>
      <c r="AB2682" s="0" t="inlineStr">
        <is>
          <t>서울시</t>
        </is>
      </c>
      <c r="AC2682" s="0" t="inlineStr">
        <is>
          <t>강동구</t>
        </is>
      </c>
      <c r="AD2682" s="0" t="inlineStr">
        <is>
          <t>천호동</t>
        </is>
      </c>
      <c r="AG2682" s="0" t="inlineStr">
        <is>
          <t>서울시 강동구 천중로12길 17</t>
        </is>
      </c>
      <c r="AH2682" s="0" t="n">
        <v>0</v>
      </c>
      <c r="AI2682" s="0" t="n">
        <v>256</v>
      </c>
      <c r="AJ2682" s="0" t="n">
        <v>35</v>
      </c>
      <c r="AK2682" s="0" t="n">
        <v>64</v>
      </c>
      <c r="AL2682" s="0" t="n">
        <v>1.03</v>
      </c>
    </row>
    <row r="2683">
      <c r="A2683" s="0" t="inlineStr">
        <is>
          <t>[천호동]</t>
        </is>
      </c>
      <c r="B2683" s="0" t="n">
        <v>9151</v>
      </c>
      <c r="C2683" s="0" t="n">
        <v>3</v>
      </c>
      <c r="D2683" s="0" t="inlineStr">
        <is>
          <t>제일</t>
        </is>
      </c>
      <c r="E2683" s="0" t="inlineStr">
        <is>
          <t>1995.06.</t>
        </is>
      </c>
      <c r="F2683" s="0" t="n">
        <v>62</v>
      </c>
      <c r="G2683" s="0" t="n">
        <v>31.77</v>
      </c>
      <c r="H2683" s="0" t="n">
        <v>105.04</v>
      </c>
      <c r="I2683" s="0" t="n">
        <v>22.89</v>
      </c>
      <c r="J2683" s="0" t="n">
        <v>75.69</v>
      </c>
      <c r="K2683" s="0" t="n">
        <v>2</v>
      </c>
      <c r="T2683" s="0" t="n">
        <v>3</v>
      </c>
      <c r="U2683" s="0" t="n">
        <v>2</v>
      </c>
      <c r="V2683" s="0" t="inlineStr">
        <is>
          <t>복도식</t>
        </is>
      </c>
      <c r="W2683" s="0" t="n">
        <v>105</v>
      </c>
      <c r="X2683" s="0" t="n">
        <v>12</v>
      </c>
      <c r="Y2683" s="0" t="n">
        <v>7</v>
      </c>
      <c r="Z2683" s="0" t="inlineStr">
        <is>
          <t>https://new.land.naver.com/complexes/9151?tab=detail&amp;rf=Y</t>
        </is>
      </c>
      <c r="AA2683" s="0" t="inlineStr">
        <is>
          <t>서울시 강동구 천호동 361-1</t>
        </is>
      </c>
      <c r="AB2683" s="0" t="inlineStr">
        <is>
          <t>서울시</t>
        </is>
      </c>
      <c r="AC2683" s="0" t="inlineStr">
        <is>
          <t>강동구</t>
        </is>
      </c>
      <c r="AD2683" s="0" t="inlineStr">
        <is>
          <t>천호동</t>
        </is>
      </c>
      <c r="AG2683" s="0" t="inlineStr">
        <is>
          <t>서울시 강동구 천중로12길 17</t>
        </is>
      </c>
      <c r="AH2683" s="0" t="n">
        <v>0</v>
      </c>
      <c r="AI2683" s="0" t="n">
        <v>256</v>
      </c>
      <c r="AJ2683" s="0" t="n">
        <v>35</v>
      </c>
      <c r="AK2683" s="0" t="n">
        <v>64</v>
      </c>
      <c r="AL2683" s="0" t="n">
        <v>1.03</v>
      </c>
    </row>
    <row r="2684">
      <c r="A2684" s="0" t="inlineStr">
        <is>
          <t>[천호동]</t>
        </is>
      </c>
      <c r="B2684" s="0" t="n">
        <v>9151</v>
      </c>
      <c r="C2684" s="0" t="n">
        <v>4</v>
      </c>
      <c r="D2684" s="0" t="inlineStr">
        <is>
          <t>제일</t>
        </is>
      </c>
      <c r="E2684" s="0" t="inlineStr">
        <is>
          <t>1995.06.</t>
        </is>
      </c>
      <c r="F2684" s="0" t="n">
        <v>62</v>
      </c>
      <c r="G2684" s="0" t="n">
        <v>32.58</v>
      </c>
      <c r="H2684" s="0" t="n">
        <v>107.71</v>
      </c>
      <c r="I2684" s="0" t="n">
        <v>23.47</v>
      </c>
      <c r="J2684" s="0" t="n">
        <v>77.61</v>
      </c>
      <c r="K2684" s="0" t="n">
        <v>27</v>
      </c>
      <c r="T2684" s="0" t="n">
        <v>3</v>
      </c>
      <c r="U2684" s="0" t="n">
        <v>2</v>
      </c>
      <c r="V2684" s="0" t="inlineStr">
        <is>
          <t>복도식</t>
        </is>
      </c>
      <c r="W2684" s="0" t="n">
        <v>107</v>
      </c>
      <c r="X2684" s="0" t="n">
        <v>12</v>
      </c>
      <c r="Y2684" s="0" t="n">
        <v>7</v>
      </c>
      <c r="Z2684" s="0" t="inlineStr">
        <is>
          <t>https://new.land.naver.com/complexes/9151?tab=detail&amp;rf=Y</t>
        </is>
      </c>
      <c r="AA2684" s="0" t="inlineStr">
        <is>
          <t>서울시 강동구 천호동 361-1</t>
        </is>
      </c>
      <c r="AB2684" s="0" t="inlineStr">
        <is>
          <t>서울시</t>
        </is>
      </c>
      <c r="AC2684" s="0" t="inlineStr">
        <is>
          <t>강동구</t>
        </is>
      </c>
      <c r="AD2684" s="0" t="inlineStr">
        <is>
          <t>천호동</t>
        </is>
      </c>
      <c r="AG2684" s="0" t="inlineStr">
        <is>
          <t>서울시 강동구 천중로12길 17</t>
        </is>
      </c>
      <c r="AH2684" s="0" t="n">
        <v>0</v>
      </c>
      <c r="AI2684" s="0" t="n">
        <v>256</v>
      </c>
      <c r="AJ2684" s="0" t="n">
        <v>35</v>
      </c>
      <c r="AK2684" s="0" t="n">
        <v>64</v>
      </c>
      <c r="AL2684" s="0" t="n">
        <v>1.03</v>
      </c>
    </row>
    <row r="2685">
      <c r="A2685" s="0" t="inlineStr">
        <is>
          <t>[천호동]</t>
        </is>
      </c>
      <c r="B2685" s="0" t="n">
        <v>9151</v>
      </c>
      <c r="C2685" s="0" t="n">
        <v>5</v>
      </c>
      <c r="D2685" s="0" t="inlineStr">
        <is>
          <t>제일</t>
        </is>
      </c>
      <c r="E2685" s="0" t="inlineStr">
        <is>
          <t>1995.06.</t>
        </is>
      </c>
      <c r="F2685" s="0" t="n">
        <v>62</v>
      </c>
      <c r="G2685" s="0" t="n">
        <v>35.37</v>
      </c>
      <c r="H2685" s="0" t="n">
        <v>116.94</v>
      </c>
      <c r="I2685" s="0" t="n">
        <v>25.48</v>
      </c>
      <c r="J2685" s="0" t="n">
        <v>84.26000000000001</v>
      </c>
      <c r="K2685" s="0" t="n">
        <v>1</v>
      </c>
      <c r="T2685" s="0" t="n">
        <v>3</v>
      </c>
      <c r="U2685" s="0" t="n">
        <v>2</v>
      </c>
      <c r="V2685" s="0" t="inlineStr">
        <is>
          <t>복도식</t>
        </is>
      </c>
      <c r="W2685" s="0" t="n">
        <v>116</v>
      </c>
      <c r="X2685" s="0" t="n">
        <v>12</v>
      </c>
      <c r="Y2685" s="0" t="n">
        <v>7</v>
      </c>
      <c r="Z2685" s="0" t="inlineStr">
        <is>
          <t>https://new.land.naver.com/complexes/9151?tab=detail&amp;rf=Y</t>
        </is>
      </c>
      <c r="AA2685" s="0" t="inlineStr">
        <is>
          <t>서울시 강동구 천호동 361-1</t>
        </is>
      </c>
      <c r="AB2685" s="0" t="inlineStr">
        <is>
          <t>서울시</t>
        </is>
      </c>
      <c r="AC2685" s="0" t="inlineStr">
        <is>
          <t>강동구</t>
        </is>
      </c>
      <c r="AD2685" s="0" t="inlineStr">
        <is>
          <t>천호동</t>
        </is>
      </c>
      <c r="AG2685" s="0" t="inlineStr">
        <is>
          <t>서울시 강동구 천중로12길 17</t>
        </is>
      </c>
      <c r="AH2685" s="0" t="n">
        <v>0</v>
      </c>
      <c r="AI2685" s="0" t="n">
        <v>256</v>
      </c>
      <c r="AJ2685" s="0" t="n">
        <v>35</v>
      </c>
      <c r="AK2685" s="0" t="n">
        <v>64</v>
      </c>
      <c r="AL2685" s="0" t="n">
        <v>1.03</v>
      </c>
    </row>
    <row r="2686">
      <c r="A2686" s="0" t="inlineStr">
        <is>
          <t>[천호동]</t>
        </is>
      </c>
      <c r="B2686" s="0" t="n">
        <v>9151</v>
      </c>
      <c r="C2686" s="0" t="n">
        <v>6</v>
      </c>
      <c r="D2686" s="0" t="inlineStr">
        <is>
          <t>제일</t>
        </is>
      </c>
      <c r="E2686" s="0" t="inlineStr">
        <is>
          <t>1995.06.</t>
        </is>
      </c>
      <c r="F2686" s="0" t="n">
        <v>62</v>
      </c>
      <c r="G2686" s="0" t="n">
        <v>44.37</v>
      </c>
      <c r="H2686" s="0" t="n">
        <v>146.68</v>
      </c>
      <c r="I2686" s="0" t="n">
        <v>31.97</v>
      </c>
      <c r="J2686" s="0" t="n">
        <v>105.69</v>
      </c>
      <c r="K2686" s="0" t="n">
        <v>4</v>
      </c>
      <c r="T2686" s="0" t="n">
        <v>5</v>
      </c>
      <c r="U2686" s="0" t="n">
        <v>2</v>
      </c>
      <c r="V2686" s="0" t="inlineStr">
        <is>
          <t>복도식</t>
        </is>
      </c>
      <c r="W2686" s="0" t="n">
        <v>146</v>
      </c>
      <c r="X2686" s="0" t="n">
        <v>12</v>
      </c>
      <c r="Y2686" s="0" t="n">
        <v>7</v>
      </c>
      <c r="Z2686" s="0" t="inlineStr">
        <is>
          <t>https://new.land.naver.com/complexes/9151?tab=detail&amp;rf=Y</t>
        </is>
      </c>
      <c r="AA2686" s="0" t="inlineStr">
        <is>
          <t>서울시 강동구 천호동 361-1</t>
        </is>
      </c>
      <c r="AB2686" s="0" t="inlineStr">
        <is>
          <t>서울시</t>
        </is>
      </c>
      <c r="AC2686" s="0" t="inlineStr">
        <is>
          <t>강동구</t>
        </is>
      </c>
      <c r="AD2686" s="0" t="inlineStr">
        <is>
          <t>천호동</t>
        </is>
      </c>
      <c r="AG2686" s="0" t="inlineStr">
        <is>
          <t>서울시 강동구 천중로12길 17</t>
        </is>
      </c>
      <c r="AH2686" s="0" t="n">
        <v>0</v>
      </c>
      <c r="AI2686" s="0" t="n">
        <v>256</v>
      </c>
      <c r="AJ2686" s="0" t="n">
        <v>35</v>
      </c>
      <c r="AK2686" s="0" t="n">
        <v>64</v>
      </c>
      <c r="AL2686" s="0" t="n">
        <v>1.03</v>
      </c>
    </row>
    <row r="2687">
      <c r="A2687" s="0" t="inlineStr">
        <is>
          <t>[천호동]</t>
        </is>
      </c>
      <c r="B2687" s="0" t="n">
        <v>3122</v>
      </c>
      <c r="C2687" s="0" t="n">
        <v>1</v>
      </c>
      <c r="D2687" s="0" t="inlineStr">
        <is>
          <t>성원</t>
        </is>
      </c>
      <c r="E2687" s="0" t="inlineStr">
        <is>
          <t>1998.09.</t>
        </is>
      </c>
      <c r="F2687" s="0" t="n">
        <v>122</v>
      </c>
      <c r="G2687" s="0" t="n">
        <v>22.23</v>
      </c>
      <c r="H2687" s="0" t="n">
        <v>73.52</v>
      </c>
      <c r="I2687" s="0" t="n">
        <v>16.03</v>
      </c>
      <c r="J2687" s="0" t="n">
        <v>53</v>
      </c>
      <c r="K2687" s="0" t="n">
        <v>3</v>
      </c>
      <c r="T2687" s="0" t="n">
        <v>2</v>
      </c>
      <c r="U2687" s="0" t="n">
        <v>1</v>
      </c>
      <c r="V2687" s="0" t="inlineStr">
        <is>
          <t>복도식</t>
        </is>
      </c>
      <c r="W2687" s="0" t="inlineStr">
        <is>
          <t>73A</t>
        </is>
      </c>
      <c r="X2687" s="0" t="n">
        <v>13</v>
      </c>
      <c r="Y2687" s="0" t="n">
        <v>6</v>
      </c>
      <c r="Z2687" s="0" t="inlineStr">
        <is>
          <t>https://new.land.naver.com/complexes/3122?tab=detail&amp;rf=Y</t>
        </is>
      </c>
      <c r="AA2687" s="0" t="inlineStr">
        <is>
          <t>서울시 강동구 천호동 564</t>
        </is>
      </c>
      <c r="AB2687" s="0" t="inlineStr">
        <is>
          <t>서울시</t>
        </is>
      </c>
      <c r="AC2687" s="0" t="inlineStr">
        <is>
          <t>강동구</t>
        </is>
      </c>
      <c r="AD2687" s="0" t="inlineStr">
        <is>
          <t>천호동</t>
        </is>
      </c>
      <c r="AG2687" s="0" t="inlineStr">
        <is>
          <t>서울시 강동구 진황도로31길 26</t>
        </is>
      </c>
      <c r="AH2687" s="0" t="n">
        <v>0</v>
      </c>
      <c r="AI2687" s="0" t="n">
        <v>359</v>
      </c>
      <c r="AJ2687" s="0" t="n">
        <v>53</v>
      </c>
      <c r="AK2687" s="0" t="n">
        <v>158</v>
      </c>
      <c r="AL2687" s="0" t="n">
        <v>1.3</v>
      </c>
    </row>
    <row r="2688">
      <c r="A2688" s="0" t="inlineStr">
        <is>
          <t>[천호동]</t>
        </is>
      </c>
      <c r="B2688" s="0" t="n">
        <v>3122</v>
      </c>
      <c r="C2688" s="0" t="n">
        <v>2</v>
      </c>
      <c r="D2688" s="0" t="inlineStr">
        <is>
          <t>성원</t>
        </is>
      </c>
      <c r="E2688" s="0" t="inlineStr">
        <is>
          <t>1998.09.</t>
        </is>
      </c>
      <c r="F2688" s="0" t="n">
        <v>122</v>
      </c>
      <c r="G2688" s="0" t="n">
        <v>22.29</v>
      </c>
      <c r="H2688" s="0" t="n">
        <v>73.70999999999999</v>
      </c>
      <c r="I2688" s="0" t="n">
        <v>16.07</v>
      </c>
      <c r="J2688" s="0" t="n">
        <v>53.14</v>
      </c>
      <c r="K2688" s="0" t="n">
        <v>2</v>
      </c>
      <c r="T2688" s="0" t="n">
        <v>2</v>
      </c>
      <c r="U2688" s="0" t="n">
        <v>1</v>
      </c>
      <c r="V2688" s="0" t="inlineStr">
        <is>
          <t>복도식</t>
        </is>
      </c>
      <c r="W2688" s="0" t="inlineStr">
        <is>
          <t>73B</t>
        </is>
      </c>
      <c r="X2688" s="0" t="n">
        <v>13</v>
      </c>
      <c r="Y2688" s="0" t="n">
        <v>6</v>
      </c>
      <c r="Z2688" s="0" t="inlineStr">
        <is>
          <t>https://new.land.naver.com/complexes/3122?tab=detail&amp;rf=Y</t>
        </is>
      </c>
      <c r="AA2688" s="0" t="inlineStr">
        <is>
          <t>서울시 강동구 천호동 564</t>
        </is>
      </c>
      <c r="AB2688" s="0" t="inlineStr">
        <is>
          <t>서울시</t>
        </is>
      </c>
      <c r="AC2688" s="0" t="inlineStr">
        <is>
          <t>강동구</t>
        </is>
      </c>
      <c r="AD2688" s="0" t="inlineStr">
        <is>
          <t>천호동</t>
        </is>
      </c>
      <c r="AG2688" s="0" t="inlineStr">
        <is>
          <t>서울시 강동구 진황도로31길 26</t>
        </is>
      </c>
      <c r="AH2688" s="0" t="n">
        <v>0</v>
      </c>
      <c r="AI2688" s="0" t="n">
        <v>359</v>
      </c>
      <c r="AJ2688" s="0" t="n">
        <v>53</v>
      </c>
      <c r="AK2688" s="0" t="n">
        <v>158</v>
      </c>
      <c r="AL2688" s="0" t="n">
        <v>1.3</v>
      </c>
    </row>
    <row r="2689">
      <c r="A2689" s="0" t="inlineStr">
        <is>
          <t>[천호동]</t>
        </is>
      </c>
      <c r="B2689" s="0" t="n">
        <v>3122</v>
      </c>
      <c r="C2689" s="0" t="n">
        <v>3</v>
      </c>
      <c r="D2689" s="0" t="inlineStr">
        <is>
          <t>성원</t>
        </is>
      </c>
      <c r="E2689" s="0" t="inlineStr">
        <is>
          <t>1998.09.</t>
        </is>
      </c>
      <c r="F2689" s="0" t="n">
        <v>122</v>
      </c>
      <c r="G2689" s="0" t="n">
        <v>25.18</v>
      </c>
      <c r="H2689" s="0" t="n">
        <v>83.23999999999999</v>
      </c>
      <c r="I2689" s="0" t="n">
        <v>18.15</v>
      </c>
      <c r="J2689" s="0" t="n">
        <v>60</v>
      </c>
      <c r="K2689" s="0" t="n">
        <v>47</v>
      </c>
      <c r="T2689" s="0" t="n">
        <v>3</v>
      </c>
      <c r="U2689" s="0" t="n">
        <v>1</v>
      </c>
      <c r="V2689" s="0" t="inlineStr">
        <is>
          <t>복도식</t>
        </is>
      </c>
      <c r="W2689" s="0" t="inlineStr">
        <is>
          <t>83A</t>
        </is>
      </c>
      <c r="X2689" s="0" t="n">
        <v>13</v>
      </c>
      <c r="Y2689" s="0" t="n">
        <v>6</v>
      </c>
      <c r="Z2689" s="0" t="inlineStr">
        <is>
          <t>https://new.land.naver.com/complexes/3122?tab=detail&amp;rf=Y</t>
        </is>
      </c>
      <c r="AA2689" s="0" t="inlineStr">
        <is>
          <t>서울시 강동구 천호동 564</t>
        </is>
      </c>
      <c r="AB2689" s="0" t="inlineStr">
        <is>
          <t>서울시</t>
        </is>
      </c>
      <c r="AC2689" s="0" t="inlineStr">
        <is>
          <t>강동구</t>
        </is>
      </c>
      <c r="AD2689" s="0" t="inlineStr">
        <is>
          <t>천호동</t>
        </is>
      </c>
      <c r="AG2689" s="0" t="inlineStr">
        <is>
          <t>서울시 강동구 진황도로31길 26</t>
        </is>
      </c>
      <c r="AH2689" s="0" t="n">
        <v>0</v>
      </c>
      <c r="AI2689" s="0" t="n">
        <v>359</v>
      </c>
      <c r="AJ2689" s="0" t="n">
        <v>53</v>
      </c>
      <c r="AK2689" s="0" t="n">
        <v>158</v>
      </c>
      <c r="AL2689" s="0" t="n">
        <v>1.3</v>
      </c>
    </row>
    <row r="2690">
      <c r="A2690" s="0" t="inlineStr">
        <is>
          <t>[천호동]</t>
        </is>
      </c>
      <c r="B2690" s="0" t="n">
        <v>3122</v>
      </c>
      <c r="C2690" s="0" t="n">
        <v>4</v>
      </c>
      <c r="D2690" s="0" t="inlineStr">
        <is>
          <t>성원</t>
        </is>
      </c>
      <c r="E2690" s="0" t="inlineStr">
        <is>
          <t>1998.09.</t>
        </is>
      </c>
      <c r="F2690" s="0" t="n">
        <v>122</v>
      </c>
      <c r="G2690" s="0" t="n">
        <v>25.35</v>
      </c>
      <c r="H2690" s="0" t="n">
        <v>83.83</v>
      </c>
      <c r="I2690" s="0" t="n">
        <v>18.27</v>
      </c>
      <c r="J2690" s="0" t="n">
        <v>60.42</v>
      </c>
      <c r="K2690" s="0" t="n">
        <v>7</v>
      </c>
      <c r="T2690" s="0" t="n">
        <v>3</v>
      </c>
      <c r="U2690" s="0" t="n">
        <v>1</v>
      </c>
      <c r="V2690" s="0" t="inlineStr">
        <is>
          <t>복도식</t>
        </is>
      </c>
      <c r="W2690" s="0" t="inlineStr">
        <is>
          <t>83B</t>
        </is>
      </c>
      <c r="X2690" s="0" t="n">
        <v>13</v>
      </c>
      <c r="Y2690" s="0" t="n">
        <v>6</v>
      </c>
      <c r="Z2690" s="0" t="inlineStr">
        <is>
          <t>https://new.land.naver.com/complexes/3122?tab=detail&amp;rf=Y</t>
        </is>
      </c>
      <c r="AA2690" s="0" t="inlineStr">
        <is>
          <t>서울시 강동구 천호동 564</t>
        </is>
      </c>
      <c r="AB2690" s="0" t="inlineStr">
        <is>
          <t>서울시</t>
        </is>
      </c>
      <c r="AC2690" s="0" t="inlineStr">
        <is>
          <t>강동구</t>
        </is>
      </c>
      <c r="AD2690" s="0" t="inlineStr">
        <is>
          <t>천호동</t>
        </is>
      </c>
      <c r="AG2690" s="0" t="inlineStr">
        <is>
          <t>서울시 강동구 진황도로31길 26</t>
        </is>
      </c>
      <c r="AH2690" s="0" t="n">
        <v>0</v>
      </c>
      <c r="AI2690" s="0" t="n">
        <v>359</v>
      </c>
      <c r="AJ2690" s="0" t="n">
        <v>53</v>
      </c>
      <c r="AK2690" s="0" t="n">
        <v>158</v>
      </c>
      <c r="AL2690" s="0" t="n">
        <v>1.3</v>
      </c>
    </row>
    <row r="2691">
      <c r="A2691" s="0" t="inlineStr">
        <is>
          <t>[천호동]</t>
        </is>
      </c>
      <c r="B2691" s="0" t="n">
        <v>3122</v>
      </c>
      <c r="C2691" s="0" t="n">
        <v>5</v>
      </c>
      <c r="D2691" s="0" t="inlineStr">
        <is>
          <t>성원</t>
        </is>
      </c>
      <c r="E2691" s="0" t="inlineStr">
        <is>
          <t>1998.09.</t>
        </is>
      </c>
      <c r="F2691" s="0" t="n">
        <v>122</v>
      </c>
      <c r="G2691" s="0" t="n">
        <v>34.89</v>
      </c>
      <c r="H2691" s="0" t="n">
        <v>115.36</v>
      </c>
      <c r="I2691" s="0" t="n">
        <v>25.15</v>
      </c>
      <c r="J2691" s="0" t="n">
        <v>83.15000000000001</v>
      </c>
      <c r="K2691" s="0" t="n">
        <v>24</v>
      </c>
      <c r="T2691" s="0" t="n">
        <v>3</v>
      </c>
      <c r="U2691" s="0" t="n">
        <v>2</v>
      </c>
      <c r="V2691" s="0" t="inlineStr">
        <is>
          <t>복도식</t>
        </is>
      </c>
      <c r="W2691" s="0" t="n">
        <v>115</v>
      </c>
      <c r="X2691" s="0" t="n">
        <v>13</v>
      </c>
      <c r="Y2691" s="0" t="n">
        <v>6</v>
      </c>
      <c r="Z2691" s="0" t="inlineStr">
        <is>
          <t>https://new.land.naver.com/complexes/3122?tab=detail&amp;rf=Y</t>
        </is>
      </c>
      <c r="AA2691" s="0" t="inlineStr">
        <is>
          <t>서울시 강동구 천호동 564</t>
        </is>
      </c>
      <c r="AB2691" s="0" t="inlineStr">
        <is>
          <t>서울시</t>
        </is>
      </c>
      <c r="AC2691" s="0" t="inlineStr">
        <is>
          <t>강동구</t>
        </is>
      </c>
      <c r="AD2691" s="0" t="inlineStr">
        <is>
          <t>천호동</t>
        </is>
      </c>
      <c r="AG2691" s="0" t="inlineStr">
        <is>
          <t>서울시 강동구 진황도로31길 26</t>
        </is>
      </c>
      <c r="AH2691" s="0" t="n">
        <v>0</v>
      </c>
      <c r="AI2691" s="0" t="n">
        <v>359</v>
      </c>
      <c r="AJ2691" s="0" t="n">
        <v>53</v>
      </c>
      <c r="AK2691" s="0" t="n">
        <v>158</v>
      </c>
      <c r="AL2691" s="0" t="n">
        <v>1.3</v>
      </c>
    </row>
    <row r="2692">
      <c r="A2692" s="0" t="inlineStr">
        <is>
          <t>[천호동]</t>
        </is>
      </c>
      <c r="B2692" s="0" t="n">
        <v>3122</v>
      </c>
      <c r="C2692" s="0" t="n">
        <v>6</v>
      </c>
      <c r="D2692" s="0" t="inlineStr">
        <is>
          <t>성원</t>
        </is>
      </c>
      <c r="E2692" s="0" t="inlineStr">
        <is>
          <t>1998.09.</t>
        </is>
      </c>
      <c r="F2692" s="0" t="n">
        <v>122</v>
      </c>
      <c r="G2692" s="0" t="n">
        <v>35.64</v>
      </c>
      <c r="H2692" s="0" t="n">
        <v>117.84</v>
      </c>
      <c r="I2692" s="0" t="n">
        <v>25.69</v>
      </c>
      <c r="J2692" s="0" t="n">
        <v>84.93000000000001</v>
      </c>
      <c r="K2692" s="0" t="n">
        <v>15</v>
      </c>
      <c r="T2692" s="0" t="n">
        <v>3</v>
      </c>
      <c r="U2692" s="0" t="n">
        <v>2</v>
      </c>
      <c r="V2692" s="0" t="inlineStr">
        <is>
          <t>복도식</t>
        </is>
      </c>
      <c r="W2692" s="0" t="n">
        <v>117</v>
      </c>
      <c r="X2692" s="0" t="n">
        <v>13</v>
      </c>
      <c r="Y2692" s="0" t="n">
        <v>6</v>
      </c>
      <c r="Z2692" s="0" t="inlineStr">
        <is>
          <t>https://new.land.naver.com/complexes/3122?tab=detail&amp;rf=Y</t>
        </is>
      </c>
      <c r="AA2692" s="0" t="inlineStr">
        <is>
          <t>서울시 강동구 천호동 564</t>
        </is>
      </c>
      <c r="AB2692" s="0" t="inlineStr">
        <is>
          <t>서울시</t>
        </is>
      </c>
      <c r="AC2692" s="0" t="inlineStr">
        <is>
          <t>강동구</t>
        </is>
      </c>
      <c r="AD2692" s="0" t="inlineStr">
        <is>
          <t>천호동</t>
        </is>
      </c>
      <c r="AG2692" s="0" t="inlineStr">
        <is>
          <t>서울시 강동구 진황도로31길 26</t>
        </is>
      </c>
      <c r="AH2692" s="0" t="n">
        <v>0</v>
      </c>
      <c r="AI2692" s="0" t="n">
        <v>359</v>
      </c>
      <c r="AJ2692" s="0" t="n">
        <v>53</v>
      </c>
      <c r="AK2692" s="0" t="n">
        <v>158</v>
      </c>
      <c r="AL2692" s="0" t="n">
        <v>1.3</v>
      </c>
    </row>
    <row r="2693">
      <c r="A2693" s="0" t="inlineStr">
        <is>
          <t>[천호동]</t>
        </is>
      </c>
      <c r="B2693" s="0" t="n">
        <v>3122</v>
      </c>
      <c r="C2693" s="0" t="n">
        <v>7</v>
      </c>
      <c r="D2693" s="0" t="inlineStr">
        <is>
          <t>성원</t>
        </is>
      </c>
      <c r="E2693" s="0" t="inlineStr">
        <is>
          <t>1998.09.</t>
        </is>
      </c>
      <c r="F2693" s="0" t="n">
        <v>122</v>
      </c>
      <c r="G2693" s="0" t="n">
        <v>45.93</v>
      </c>
      <c r="H2693" s="0" t="n">
        <v>151.84</v>
      </c>
      <c r="I2693" s="0" t="n">
        <v>33.1</v>
      </c>
      <c r="J2693" s="0" t="n">
        <v>109.44</v>
      </c>
      <c r="K2693" s="0" t="n">
        <v>17</v>
      </c>
      <c r="T2693" s="0" t="n">
        <v>4</v>
      </c>
      <c r="U2693" s="0" t="n">
        <v>2</v>
      </c>
      <c r="V2693" s="0" t="inlineStr">
        <is>
          <t>복도식</t>
        </is>
      </c>
      <c r="W2693" s="0" t="n">
        <v>151</v>
      </c>
      <c r="X2693" s="0" t="n">
        <v>13</v>
      </c>
      <c r="Y2693" s="0" t="n">
        <v>6</v>
      </c>
      <c r="Z2693" s="0" t="inlineStr">
        <is>
          <t>https://new.land.naver.com/complexes/3122?tab=detail&amp;rf=Y</t>
        </is>
      </c>
      <c r="AA2693" s="0" t="inlineStr">
        <is>
          <t>서울시 강동구 천호동 564</t>
        </is>
      </c>
      <c r="AB2693" s="0" t="inlineStr">
        <is>
          <t>서울시</t>
        </is>
      </c>
      <c r="AC2693" s="0" t="inlineStr">
        <is>
          <t>강동구</t>
        </is>
      </c>
      <c r="AD2693" s="0" t="inlineStr">
        <is>
          <t>천호동</t>
        </is>
      </c>
      <c r="AG2693" s="0" t="inlineStr">
        <is>
          <t>서울시 강동구 진황도로31길 26</t>
        </is>
      </c>
      <c r="AH2693" s="0" t="n">
        <v>0</v>
      </c>
      <c r="AI2693" s="0" t="n">
        <v>359</v>
      </c>
      <c r="AJ2693" s="0" t="n">
        <v>53</v>
      </c>
      <c r="AK2693" s="0" t="n">
        <v>158</v>
      </c>
      <c r="AL2693" s="0" t="n">
        <v>1.3</v>
      </c>
    </row>
    <row r="2694">
      <c r="A2694" s="0" t="inlineStr">
        <is>
          <t>[천호동]</t>
        </is>
      </c>
      <c r="B2694" s="0" t="n">
        <v>3122</v>
      </c>
      <c r="C2694" s="0" t="n">
        <v>8</v>
      </c>
      <c r="D2694" s="0" t="inlineStr">
        <is>
          <t>성원</t>
        </is>
      </c>
      <c r="E2694" s="0" t="inlineStr">
        <is>
          <t>1998.09.</t>
        </is>
      </c>
      <c r="F2694" s="0" t="n">
        <v>122</v>
      </c>
      <c r="G2694" s="0" t="n">
        <v>48.07</v>
      </c>
      <c r="H2694" s="0" t="n">
        <v>158.92</v>
      </c>
      <c r="I2694" s="0" t="n">
        <v>34.65</v>
      </c>
      <c r="J2694" s="0" t="n">
        <v>114.55</v>
      </c>
      <c r="K2694" s="0" t="n">
        <v>7</v>
      </c>
      <c r="T2694" s="0" t="n">
        <v>4</v>
      </c>
      <c r="U2694" s="0" t="n">
        <v>2</v>
      </c>
      <c r="V2694" s="0" t="inlineStr">
        <is>
          <t>복도식</t>
        </is>
      </c>
      <c r="W2694" s="0" t="n">
        <v>158</v>
      </c>
      <c r="X2694" s="0" t="n">
        <v>13</v>
      </c>
      <c r="Y2694" s="0" t="n">
        <v>6</v>
      </c>
      <c r="Z2694" s="0" t="inlineStr">
        <is>
          <t>https://new.land.naver.com/complexes/3122?tab=detail&amp;rf=Y</t>
        </is>
      </c>
      <c r="AA2694" s="0" t="inlineStr">
        <is>
          <t>서울시 강동구 천호동 564</t>
        </is>
      </c>
      <c r="AB2694" s="0" t="inlineStr">
        <is>
          <t>서울시</t>
        </is>
      </c>
      <c r="AC2694" s="0" t="inlineStr">
        <is>
          <t>강동구</t>
        </is>
      </c>
      <c r="AD2694" s="0" t="inlineStr">
        <is>
          <t>천호동</t>
        </is>
      </c>
      <c r="AG2694" s="0" t="inlineStr">
        <is>
          <t>서울시 강동구 진황도로31길 26</t>
        </is>
      </c>
      <c r="AH2694" s="0" t="n">
        <v>0</v>
      </c>
      <c r="AI2694" s="0" t="n">
        <v>359</v>
      </c>
      <c r="AJ2694" s="0" t="n">
        <v>53</v>
      </c>
      <c r="AK2694" s="0" t="n">
        <v>158</v>
      </c>
      <c r="AL2694" s="0" t="n">
        <v>1.3</v>
      </c>
    </row>
    <row r="2695">
      <c r="A2695" s="0" t="inlineStr">
        <is>
          <t>[천호동]</t>
        </is>
      </c>
      <c r="B2695" s="0" t="n">
        <v>14218</v>
      </c>
      <c r="C2695" s="0" t="n">
        <v>1</v>
      </c>
      <c r="D2695" s="0" t="inlineStr">
        <is>
          <t>천호예전이룸1차</t>
        </is>
      </c>
      <c r="E2695" s="0" t="inlineStr">
        <is>
          <t>2004.11.</t>
        </is>
      </c>
      <c r="F2695" s="0" t="n">
        <v>49</v>
      </c>
      <c r="G2695" s="0" t="n">
        <v>12.91</v>
      </c>
      <c r="H2695" s="0" t="n">
        <v>42.7</v>
      </c>
      <c r="I2695" s="0" t="n">
        <v>10.65</v>
      </c>
      <c r="J2695" s="0" t="n">
        <v>35.23</v>
      </c>
      <c r="K2695" s="0" t="n">
        <v>1</v>
      </c>
      <c r="T2695" s="0" t="n">
        <v>2</v>
      </c>
      <c r="U2695" s="0" t="n">
        <v>1</v>
      </c>
      <c r="V2695" s="0" t="inlineStr">
        <is>
          <t>계단식</t>
        </is>
      </c>
      <c r="W2695" s="0" t="n">
        <v>42</v>
      </c>
      <c r="X2695" s="0" t="n">
        <v>11</v>
      </c>
      <c r="Y2695" s="0" t="n">
        <v>9</v>
      </c>
      <c r="Z2695" s="0" t="inlineStr">
        <is>
          <t>https://new.land.naver.com/complexes/14218?tab=detail&amp;rf=Y</t>
        </is>
      </c>
      <c r="AA2695" s="0" t="inlineStr">
        <is>
          <t>서울시 강동구 천호동 49-4</t>
        </is>
      </c>
      <c r="AB2695" s="0" t="inlineStr">
        <is>
          <t>서울시</t>
        </is>
      </c>
      <c r="AC2695" s="0" t="inlineStr">
        <is>
          <t>강동구</t>
        </is>
      </c>
      <c r="AD2695" s="0" t="inlineStr">
        <is>
          <t>천호동</t>
        </is>
      </c>
      <c r="AG2695" s="0" t="inlineStr">
        <is>
          <t>서울시 강동구 양재대로121길 50</t>
        </is>
      </c>
      <c r="AH2695" s="0" t="n">
        <v>0</v>
      </c>
      <c r="AI2695" s="0" t="n">
        <v>244</v>
      </c>
      <c r="AJ2695" s="0" t="n">
        <v>33</v>
      </c>
      <c r="AK2695" s="0" t="n">
        <v>52</v>
      </c>
      <c r="AL2695" s="0" t="n">
        <v>1.06</v>
      </c>
    </row>
    <row r="2696">
      <c r="A2696" s="0" t="inlineStr">
        <is>
          <t>[천호동]</t>
        </is>
      </c>
      <c r="B2696" s="0" t="n">
        <v>14218</v>
      </c>
      <c r="C2696" s="0" t="n">
        <v>2</v>
      </c>
      <c r="D2696" s="0" t="inlineStr">
        <is>
          <t>천호예전이룸1차</t>
        </is>
      </c>
      <c r="E2696" s="0" t="inlineStr">
        <is>
          <t>2004.11.</t>
        </is>
      </c>
      <c r="F2696" s="0" t="n">
        <v>49</v>
      </c>
      <c r="G2696" s="0" t="n">
        <v>16.58</v>
      </c>
      <c r="H2696" s="0" t="n">
        <v>54.83</v>
      </c>
      <c r="I2696" s="0" t="n">
        <v>13.68</v>
      </c>
      <c r="J2696" s="0" t="n">
        <v>45.23</v>
      </c>
      <c r="K2696" s="0" t="n">
        <v>1</v>
      </c>
      <c r="T2696" s="0" t="n">
        <v>2</v>
      </c>
      <c r="U2696" s="0" t="n">
        <v>1</v>
      </c>
      <c r="V2696" s="0" t="inlineStr">
        <is>
          <t>계단식</t>
        </is>
      </c>
      <c r="W2696" s="0" t="n">
        <v>54</v>
      </c>
      <c r="X2696" s="0" t="n">
        <v>11</v>
      </c>
      <c r="Y2696" s="0" t="n">
        <v>9</v>
      </c>
      <c r="Z2696" s="0" t="inlineStr">
        <is>
          <t>https://new.land.naver.com/complexes/14218?tab=detail&amp;rf=Y</t>
        </is>
      </c>
      <c r="AA2696" s="0" t="inlineStr">
        <is>
          <t>서울시 강동구 천호동 49-4</t>
        </is>
      </c>
      <c r="AB2696" s="0" t="inlineStr">
        <is>
          <t>서울시</t>
        </is>
      </c>
      <c r="AC2696" s="0" t="inlineStr">
        <is>
          <t>강동구</t>
        </is>
      </c>
      <c r="AD2696" s="0" t="inlineStr">
        <is>
          <t>천호동</t>
        </is>
      </c>
      <c r="AG2696" s="0" t="inlineStr">
        <is>
          <t>서울시 강동구 양재대로121길 50</t>
        </is>
      </c>
      <c r="AH2696" s="0" t="n">
        <v>0</v>
      </c>
      <c r="AI2696" s="0" t="n">
        <v>244</v>
      </c>
      <c r="AJ2696" s="0" t="n">
        <v>33</v>
      </c>
      <c r="AK2696" s="0" t="n">
        <v>52</v>
      </c>
      <c r="AL2696" s="0" t="n">
        <v>1.06</v>
      </c>
    </row>
    <row r="2697">
      <c r="A2697" s="0" t="inlineStr">
        <is>
          <t>[천호동]</t>
        </is>
      </c>
      <c r="B2697" s="0" t="n">
        <v>14218</v>
      </c>
      <c r="C2697" s="0" t="n">
        <v>3</v>
      </c>
      <c r="D2697" s="0" t="inlineStr">
        <is>
          <t>천호예전이룸1차</t>
        </is>
      </c>
      <c r="E2697" s="0" t="inlineStr">
        <is>
          <t>2004.11.</t>
        </is>
      </c>
      <c r="F2697" s="0" t="n">
        <v>49</v>
      </c>
      <c r="G2697" s="0" t="n">
        <v>18.64</v>
      </c>
      <c r="H2697" s="0" t="n">
        <v>61.62</v>
      </c>
      <c r="I2697" s="0" t="n">
        <v>15.37</v>
      </c>
      <c r="J2697" s="0" t="n">
        <v>50.83</v>
      </c>
      <c r="K2697" s="0" t="n">
        <v>1</v>
      </c>
      <c r="T2697" s="0" t="n">
        <v>2</v>
      </c>
      <c r="U2697" s="0" t="n">
        <v>1</v>
      </c>
      <c r="V2697" s="0" t="inlineStr">
        <is>
          <t>계단식</t>
        </is>
      </c>
      <c r="W2697" s="0" t="inlineStr">
        <is>
          <t>61A</t>
        </is>
      </c>
      <c r="X2697" s="0" t="n">
        <v>11</v>
      </c>
      <c r="Y2697" s="0" t="n">
        <v>9</v>
      </c>
      <c r="Z2697" s="0" t="inlineStr">
        <is>
          <t>https://new.land.naver.com/complexes/14218?tab=detail&amp;rf=Y</t>
        </is>
      </c>
      <c r="AA2697" s="0" t="inlineStr">
        <is>
          <t>서울시 강동구 천호동 49-4</t>
        </is>
      </c>
      <c r="AB2697" s="0" t="inlineStr">
        <is>
          <t>서울시</t>
        </is>
      </c>
      <c r="AC2697" s="0" t="inlineStr">
        <is>
          <t>강동구</t>
        </is>
      </c>
      <c r="AD2697" s="0" t="inlineStr">
        <is>
          <t>천호동</t>
        </is>
      </c>
      <c r="AG2697" s="0" t="inlineStr">
        <is>
          <t>서울시 강동구 양재대로121길 50</t>
        </is>
      </c>
      <c r="AH2697" s="0" t="n">
        <v>0</v>
      </c>
      <c r="AI2697" s="0" t="n">
        <v>244</v>
      </c>
      <c r="AJ2697" s="0" t="n">
        <v>33</v>
      </c>
      <c r="AK2697" s="0" t="n">
        <v>52</v>
      </c>
      <c r="AL2697" s="0" t="n">
        <v>1.06</v>
      </c>
    </row>
    <row r="2698">
      <c r="A2698" s="0" t="inlineStr">
        <is>
          <t>[천호동]</t>
        </is>
      </c>
      <c r="B2698" s="0" t="n">
        <v>14218</v>
      </c>
      <c r="C2698" s="0" t="n">
        <v>4</v>
      </c>
      <c r="D2698" s="0" t="inlineStr">
        <is>
          <t>천호예전이룸1차</t>
        </is>
      </c>
      <c r="E2698" s="0" t="inlineStr">
        <is>
          <t>2004.11.</t>
        </is>
      </c>
      <c r="F2698" s="0" t="n">
        <v>49</v>
      </c>
      <c r="G2698" s="0" t="n">
        <v>19.41</v>
      </c>
      <c r="H2698" s="0" t="n">
        <v>64.19</v>
      </c>
      <c r="I2698" s="0" t="n">
        <v>16.01</v>
      </c>
      <c r="J2698" s="0" t="n">
        <v>52.95</v>
      </c>
      <c r="K2698" s="0" t="n">
        <v>1</v>
      </c>
      <c r="T2698" s="0" t="n">
        <v>2</v>
      </c>
      <c r="U2698" s="0" t="n">
        <v>1</v>
      </c>
      <c r="V2698" s="0" t="inlineStr">
        <is>
          <t>계단식</t>
        </is>
      </c>
      <c r="W2698" s="0" t="inlineStr">
        <is>
          <t>64B</t>
        </is>
      </c>
      <c r="X2698" s="0" t="n">
        <v>11</v>
      </c>
      <c r="Y2698" s="0" t="n">
        <v>9</v>
      </c>
      <c r="Z2698" s="0" t="inlineStr">
        <is>
          <t>https://new.land.naver.com/complexes/14218?tab=detail&amp;rf=Y</t>
        </is>
      </c>
      <c r="AA2698" s="0" t="inlineStr">
        <is>
          <t>서울시 강동구 천호동 49-4</t>
        </is>
      </c>
      <c r="AB2698" s="0" t="inlineStr">
        <is>
          <t>서울시</t>
        </is>
      </c>
      <c r="AC2698" s="0" t="inlineStr">
        <is>
          <t>강동구</t>
        </is>
      </c>
      <c r="AD2698" s="0" t="inlineStr">
        <is>
          <t>천호동</t>
        </is>
      </c>
      <c r="AG2698" s="0" t="inlineStr">
        <is>
          <t>서울시 강동구 양재대로121길 50</t>
        </is>
      </c>
      <c r="AH2698" s="0" t="n">
        <v>0</v>
      </c>
      <c r="AI2698" s="0" t="n">
        <v>244</v>
      </c>
      <c r="AJ2698" s="0" t="n">
        <v>33</v>
      </c>
      <c r="AK2698" s="0" t="n">
        <v>52</v>
      </c>
      <c r="AL2698" s="0" t="n">
        <v>1.06</v>
      </c>
    </row>
    <row r="2699">
      <c r="A2699" s="0" t="inlineStr">
        <is>
          <t>[천호동]</t>
        </is>
      </c>
      <c r="B2699" s="0" t="n">
        <v>14218</v>
      </c>
      <c r="C2699" s="0" t="n">
        <v>5</v>
      </c>
      <c r="D2699" s="0" t="inlineStr">
        <is>
          <t>천호예전이룸1차</t>
        </is>
      </c>
      <c r="E2699" s="0" t="inlineStr">
        <is>
          <t>2004.11.</t>
        </is>
      </c>
      <c r="F2699" s="0" t="n">
        <v>49</v>
      </c>
      <c r="G2699" s="0" t="n">
        <v>21.67</v>
      </c>
      <c r="H2699" s="0" t="n">
        <v>71.66</v>
      </c>
      <c r="I2699" s="0" t="n">
        <v>17.88</v>
      </c>
      <c r="J2699" s="0" t="n">
        <v>59.12</v>
      </c>
      <c r="K2699" s="0" t="n">
        <v>1</v>
      </c>
      <c r="T2699" s="0" t="n">
        <v>3</v>
      </c>
      <c r="U2699" s="0" t="n">
        <v>1</v>
      </c>
      <c r="V2699" s="0" t="inlineStr">
        <is>
          <t>계단식</t>
        </is>
      </c>
      <c r="W2699" s="0" t="inlineStr">
        <is>
          <t>71A</t>
        </is>
      </c>
      <c r="X2699" s="0" t="n">
        <v>11</v>
      </c>
      <c r="Y2699" s="0" t="n">
        <v>9</v>
      </c>
      <c r="Z2699" s="0" t="inlineStr">
        <is>
          <t>https://new.land.naver.com/complexes/14218?tab=detail&amp;rf=Y</t>
        </is>
      </c>
      <c r="AA2699" s="0" t="inlineStr">
        <is>
          <t>서울시 강동구 천호동 49-4</t>
        </is>
      </c>
      <c r="AB2699" s="0" t="inlineStr">
        <is>
          <t>서울시</t>
        </is>
      </c>
      <c r="AC2699" s="0" t="inlineStr">
        <is>
          <t>강동구</t>
        </is>
      </c>
      <c r="AD2699" s="0" t="inlineStr">
        <is>
          <t>천호동</t>
        </is>
      </c>
      <c r="AG2699" s="0" t="inlineStr">
        <is>
          <t>서울시 강동구 양재대로121길 50</t>
        </is>
      </c>
      <c r="AH2699" s="0" t="n">
        <v>0</v>
      </c>
      <c r="AI2699" s="0" t="n">
        <v>244</v>
      </c>
      <c r="AJ2699" s="0" t="n">
        <v>33</v>
      </c>
      <c r="AK2699" s="0" t="n">
        <v>52</v>
      </c>
      <c r="AL2699" s="0" t="n">
        <v>1.06</v>
      </c>
    </row>
    <row r="2700">
      <c r="A2700" s="0" t="inlineStr">
        <is>
          <t>[천호동]</t>
        </is>
      </c>
      <c r="B2700" s="0" t="n">
        <v>14218</v>
      </c>
      <c r="C2700" s="0" t="n">
        <v>6</v>
      </c>
      <c r="D2700" s="0" t="inlineStr">
        <is>
          <t>천호예전이룸1차</t>
        </is>
      </c>
      <c r="E2700" s="0" t="inlineStr">
        <is>
          <t>2004.11.</t>
        </is>
      </c>
      <c r="F2700" s="0" t="n">
        <v>49</v>
      </c>
      <c r="G2700" s="0" t="n">
        <v>21.84</v>
      </c>
      <c r="H2700" s="0" t="n">
        <v>72.23</v>
      </c>
      <c r="I2700" s="0" t="n">
        <v>18.02</v>
      </c>
      <c r="J2700" s="0" t="n">
        <v>59.58</v>
      </c>
      <c r="K2700" s="0" t="n">
        <v>1</v>
      </c>
      <c r="T2700" s="0" t="n">
        <v>3</v>
      </c>
      <c r="U2700" s="0" t="n">
        <v>1</v>
      </c>
      <c r="V2700" s="0" t="inlineStr">
        <is>
          <t>계단식</t>
        </is>
      </c>
      <c r="W2700" s="0" t="inlineStr">
        <is>
          <t>72B</t>
        </is>
      </c>
      <c r="X2700" s="0" t="n">
        <v>11</v>
      </c>
      <c r="Y2700" s="0" t="n">
        <v>9</v>
      </c>
      <c r="Z2700" s="0" t="inlineStr">
        <is>
          <t>https://new.land.naver.com/complexes/14218?tab=detail&amp;rf=Y</t>
        </is>
      </c>
      <c r="AA2700" s="0" t="inlineStr">
        <is>
          <t>서울시 강동구 천호동 49-4</t>
        </is>
      </c>
      <c r="AB2700" s="0" t="inlineStr">
        <is>
          <t>서울시</t>
        </is>
      </c>
      <c r="AC2700" s="0" t="inlineStr">
        <is>
          <t>강동구</t>
        </is>
      </c>
      <c r="AD2700" s="0" t="inlineStr">
        <is>
          <t>천호동</t>
        </is>
      </c>
      <c r="AG2700" s="0" t="inlineStr">
        <is>
          <t>서울시 강동구 양재대로121길 50</t>
        </is>
      </c>
      <c r="AH2700" s="0" t="n">
        <v>0</v>
      </c>
      <c r="AI2700" s="0" t="n">
        <v>244</v>
      </c>
      <c r="AJ2700" s="0" t="n">
        <v>33</v>
      </c>
      <c r="AK2700" s="0" t="n">
        <v>52</v>
      </c>
      <c r="AL2700" s="0" t="n">
        <v>1.06</v>
      </c>
    </row>
    <row r="2701">
      <c r="A2701" s="0" t="inlineStr">
        <is>
          <t>[천호동]</t>
        </is>
      </c>
      <c r="B2701" s="0" t="n">
        <v>14218</v>
      </c>
      <c r="C2701" s="0" t="n">
        <v>7</v>
      </c>
      <c r="D2701" s="0" t="inlineStr">
        <is>
          <t>천호예전이룸1차</t>
        </is>
      </c>
      <c r="E2701" s="0" t="inlineStr">
        <is>
          <t>2004.11.</t>
        </is>
      </c>
      <c r="F2701" s="0" t="n">
        <v>49</v>
      </c>
      <c r="G2701" s="0" t="n">
        <v>24.1</v>
      </c>
      <c r="H2701" s="0" t="n">
        <v>79.7</v>
      </c>
      <c r="I2701" s="0" t="n">
        <v>19.88</v>
      </c>
      <c r="J2701" s="0" t="n">
        <v>65.73999999999999</v>
      </c>
      <c r="K2701" s="0" t="n">
        <v>1</v>
      </c>
      <c r="T2701" s="0" t="n">
        <v>3</v>
      </c>
      <c r="U2701" s="0" t="n">
        <v>1</v>
      </c>
      <c r="V2701" s="0" t="inlineStr">
        <is>
          <t>계단식</t>
        </is>
      </c>
      <c r="W2701" s="0" t="inlineStr">
        <is>
          <t>79A</t>
        </is>
      </c>
      <c r="X2701" s="0" t="n">
        <v>11</v>
      </c>
      <c r="Y2701" s="0" t="n">
        <v>9</v>
      </c>
      <c r="Z2701" s="0" t="inlineStr">
        <is>
          <t>https://new.land.naver.com/complexes/14218?tab=detail&amp;rf=Y</t>
        </is>
      </c>
      <c r="AA2701" s="0" t="inlineStr">
        <is>
          <t>서울시 강동구 천호동 49-4</t>
        </is>
      </c>
      <c r="AB2701" s="0" t="inlineStr">
        <is>
          <t>서울시</t>
        </is>
      </c>
      <c r="AC2701" s="0" t="inlineStr">
        <is>
          <t>강동구</t>
        </is>
      </c>
      <c r="AD2701" s="0" t="inlineStr">
        <is>
          <t>천호동</t>
        </is>
      </c>
      <c r="AG2701" s="0" t="inlineStr">
        <is>
          <t>서울시 강동구 양재대로121길 50</t>
        </is>
      </c>
      <c r="AH2701" s="0" t="n">
        <v>0</v>
      </c>
      <c r="AI2701" s="0" t="n">
        <v>244</v>
      </c>
      <c r="AJ2701" s="0" t="n">
        <v>33</v>
      </c>
      <c r="AK2701" s="0" t="n">
        <v>52</v>
      </c>
      <c r="AL2701" s="0" t="n">
        <v>1.06</v>
      </c>
    </row>
    <row r="2702">
      <c r="A2702" s="0" t="inlineStr">
        <is>
          <t>[천호동]</t>
        </is>
      </c>
      <c r="B2702" s="0" t="n">
        <v>14218</v>
      </c>
      <c r="C2702" s="0" t="n">
        <v>8</v>
      </c>
      <c r="D2702" s="0" t="inlineStr">
        <is>
          <t>천호예전이룸1차</t>
        </is>
      </c>
      <c r="E2702" s="0" t="inlineStr">
        <is>
          <t>2004.11.</t>
        </is>
      </c>
      <c r="F2702" s="0" t="n">
        <v>49</v>
      </c>
      <c r="G2702" s="0" t="n">
        <v>24.32</v>
      </c>
      <c r="H2702" s="0" t="n">
        <v>80.41</v>
      </c>
      <c r="I2702" s="0" t="n">
        <v>20.06</v>
      </c>
      <c r="J2702" s="0" t="n">
        <v>66.33</v>
      </c>
      <c r="K2702" s="0" t="n">
        <v>1</v>
      </c>
      <c r="T2702" s="0" t="n">
        <v>3</v>
      </c>
      <c r="U2702" s="0" t="n">
        <v>1</v>
      </c>
      <c r="V2702" s="0" t="inlineStr">
        <is>
          <t>계단식</t>
        </is>
      </c>
      <c r="W2702" s="0" t="inlineStr">
        <is>
          <t>80B</t>
        </is>
      </c>
      <c r="X2702" s="0" t="n">
        <v>11</v>
      </c>
      <c r="Y2702" s="0" t="n">
        <v>9</v>
      </c>
      <c r="Z2702" s="0" t="inlineStr">
        <is>
          <t>https://new.land.naver.com/complexes/14218?tab=detail&amp;rf=Y</t>
        </is>
      </c>
      <c r="AA2702" s="0" t="inlineStr">
        <is>
          <t>서울시 강동구 천호동 49-4</t>
        </is>
      </c>
      <c r="AB2702" s="0" t="inlineStr">
        <is>
          <t>서울시</t>
        </is>
      </c>
      <c r="AC2702" s="0" t="inlineStr">
        <is>
          <t>강동구</t>
        </is>
      </c>
      <c r="AD2702" s="0" t="inlineStr">
        <is>
          <t>천호동</t>
        </is>
      </c>
      <c r="AG2702" s="0" t="inlineStr">
        <is>
          <t>서울시 강동구 양재대로121길 50</t>
        </is>
      </c>
      <c r="AH2702" s="0" t="n">
        <v>0</v>
      </c>
      <c r="AI2702" s="0" t="n">
        <v>244</v>
      </c>
      <c r="AJ2702" s="0" t="n">
        <v>33</v>
      </c>
      <c r="AK2702" s="0" t="n">
        <v>52</v>
      </c>
      <c r="AL2702" s="0" t="n">
        <v>1.06</v>
      </c>
    </row>
    <row r="2703">
      <c r="A2703" s="0" t="inlineStr">
        <is>
          <t>[천호동]</t>
        </is>
      </c>
      <c r="B2703" s="0" t="n">
        <v>14218</v>
      </c>
      <c r="C2703" s="0" t="n">
        <v>9</v>
      </c>
      <c r="D2703" s="0" t="inlineStr">
        <is>
          <t>천호예전이룸1차</t>
        </is>
      </c>
      <c r="E2703" s="0" t="inlineStr">
        <is>
          <t>2004.11.</t>
        </is>
      </c>
      <c r="F2703" s="0" t="n">
        <v>49</v>
      </c>
      <c r="G2703" s="0" t="n">
        <v>28.71</v>
      </c>
      <c r="H2703" s="0" t="n">
        <v>94.92</v>
      </c>
      <c r="I2703" s="0" t="n">
        <v>23.68</v>
      </c>
      <c r="J2703" s="0" t="n">
        <v>78.3</v>
      </c>
      <c r="K2703" s="0" t="n">
        <v>1</v>
      </c>
      <c r="T2703" s="0" t="n">
        <v>3</v>
      </c>
      <c r="U2703" s="0" t="n">
        <v>2</v>
      </c>
      <c r="V2703" s="0" t="inlineStr">
        <is>
          <t>계단식</t>
        </is>
      </c>
      <c r="W2703" s="0" t="inlineStr">
        <is>
          <t>94A</t>
        </is>
      </c>
      <c r="X2703" s="0" t="n">
        <v>11</v>
      </c>
      <c r="Y2703" s="0" t="n">
        <v>9</v>
      </c>
      <c r="Z2703" s="0" t="inlineStr">
        <is>
          <t>https://new.land.naver.com/complexes/14218?tab=detail&amp;rf=Y</t>
        </is>
      </c>
      <c r="AA2703" s="0" t="inlineStr">
        <is>
          <t>서울시 강동구 천호동 49-4</t>
        </is>
      </c>
      <c r="AB2703" s="0" t="inlineStr">
        <is>
          <t>서울시</t>
        </is>
      </c>
      <c r="AC2703" s="0" t="inlineStr">
        <is>
          <t>강동구</t>
        </is>
      </c>
      <c r="AD2703" s="0" t="inlineStr">
        <is>
          <t>천호동</t>
        </is>
      </c>
      <c r="AG2703" s="0" t="inlineStr">
        <is>
          <t>서울시 강동구 양재대로121길 50</t>
        </is>
      </c>
      <c r="AH2703" s="0" t="n">
        <v>0</v>
      </c>
      <c r="AI2703" s="0" t="n">
        <v>244</v>
      </c>
      <c r="AJ2703" s="0" t="n">
        <v>33</v>
      </c>
      <c r="AK2703" s="0" t="n">
        <v>52</v>
      </c>
      <c r="AL2703" s="0" t="n">
        <v>1.06</v>
      </c>
    </row>
    <row r="2704">
      <c r="A2704" s="0" t="inlineStr">
        <is>
          <t>[천호동]</t>
        </is>
      </c>
      <c r="B2704" s="0" t="n">
        <v>14218</v>
      </c>
      <c r="C2704" s="0" t="n">
        <v>10</v>
      </c>
      <c r="D2704" s="0" t="inlineStr">
        <is>
          <t>천호예전이룸1차</t>
        </is>
      </c>
      <c r="E2704" s="0" t="inlineStr">
        <is>
          <t>2004.11.</t>
        </is>
      </c>
      <c r="F2704" s="0" t="n">
        <v>49</v>
      </c>
      <c r="G2704" s="0" t="n">
        <v>29.14</v>
      </c>
      <c r="H2704" s="0" t="n">
        <v>96.36</v>
      </c>
      <c r="I2704" s="0" t="n">
        <v>24.04</v>
      </c>
      <c r="J2704" s="0" t="n">
        <v>79.48999999999999</v>
      </c>
      <c r="K2704" s="0" t="n">
        <v>2</v>
      </c>
      <c r="T2704" s="0" t="n">
        <v>3</v>
      </c>
      <c r="U2704" s="0" t="n">
        <v>2</v>
      </c>
      <c r="V2704" s="0" t="inlineStr">
        <is>
          <t>계단식</t>
        </is>
      </c>
      <c r="W2704" s="0" t="inlineStr">
        <is>
          <t>96B</t>
        </is>
      </c>
      <c r="X2704" s="0" t="n">
        <v>11</v>
      </c>
      <c r="Y2704" s="0" t="n">
        <v>9</v>
      </c>
      <c r="Z2704" s="0" t="inlineStr">
        <is>
          <t>https://new.land.naver.com/complexes/14218?tab=detail&amp;rf=Y</t>
        </is>
      </c>
      <c r="AA2704" s="0" t="inlineStr">
        <is>
          <t>서울시 강동구 천호동 49-4</t>
        </is>
      </c>
      <c r="AB2704" s="0" t="inlineStr">
        <is>
          <t>서울시</t>
        </is>
      </c>
      <c r="AC2704" s="0" t="inlineStr">
        <is>
          <t>강동구</t>
        </is>
      </c>
      <c r="AD2704" s="0" t="inlineStr">
        <is>
          <t>천호동</t>
        </is>
      </c>
      <c r="AG2704" s="0" t="inlineStr">
        <is>
          <t>서울시 강동구 양재대로121길 50</t>
        </is>
      </c>
      <c r="AH2704" s="0" t="n">
        <v>0</v>
      </c>
      <c r="AI2704" s="0" t="n">
        <v>244</v>
      </c>
      <c r="AJ2704" s="0" t="n">
        <v>33</v>
      </c>
      <c r="AK2704" s="0" t="n">
        <v>52</v>
      </c>
      <c r="AL2704" s="0" t="n">
        <v>1.06</v>
      </c>
    </row>
    <row r="2705">
      <c r="A2705" s="0" t="inlineStr">
        <is>
          <t>[천호동]</t>
        </is>
      </c>
      <c r="B2705" s="0" t="n">
        <v>14218</v>
      </c>
      <c r="C2705" s="0" t="n">
        <v>11</v>
      </c>
      <c r="D2705" s="0" t="inlineStr">
        <is>
          <t>천호예전이룸1차</t>
        </is>
      </c>
      <c r="E2705" s="0" t="inlineStr">
        <is>
          <t>2004.11.</t>
        </is>
      </c>
      <c r="F2705" s="0" t="n">
        <v>49</v>
      </c>
      <c r="G2705" s="0" t="n">
        <v>30.19</v>
      </c>
      <c r="H2705" s="0" t="n">
        <v>99.81999999999999</v>
      </c>
      <c r="I2705" s="0" t="n">
        <v>24.9</v>
      </c>
      <c r="J2705" s="0" t="n">
        <v>82.34</v>
      </c>
      <c r="K2705" s="0" t="n">
        <v>1</v>
      </c>
      <c r="T2705" s="0" t="n">
        <v>3</v>
      </c>
      <c r="U2705" s="0" t="n">
        <v>2</v>
      </c>
      <c r="V2705" s="0" t="inlineStr">
        <is>
          <t>계단식</t>
        </is>
      </c>
      <c r="W2705" s="0" t="inlineStr">
        <is>
          <t>99A</t>
        </is>
      </c>
      <c r="X2705" s="0" t="n">
        <v>11</v>
      </c>
      <c r="Y2705" s="0" t="n">
        <v>9</v>
      </c>
      <c r="Z2705" s="0" t="inlineStr">
        <is>
          <t>https://new.land.naver.com/complexes/14218?tab=detail&amp;rf=Y</t>
        </is>
      </c>
      <c r="AA2705" s="0" t="inlineStr">
        <is>
          <t>서울시 강동구 천호동 49-4</t>
        </is>
      </c>
      <c r="AB2705" s="0" t="inlineStr">
        <is>
          <t>서울시</t>
        </is>
      </c>
      <c r="AC2705" s="0" t="inlineStr">
        <is>
          <t>강동구</t>
        </is>
      </c>
      <c r="AD2705" s="0" t="inlineStr">
        <is>
          <t>천호동</t>
        </is>
      </c>
      <c r="AG2705" s="0" t="inlineStr">
        <is>
          <t>서울시 강동구 양재대로121길 50</t>
        </is>
      </c>
      <c r="AH2705" s="0" t="n">
        <v>0</v>
      </c>
      <c r="AI2705" s="0" t="n">
        <v>244</v>
      </c>
      <c r="AJ2705" s="0" t="n">
        <v>33</v>
      </c>
      <c r="AK2705" s="0" t="n">
        <v>52</v>
      </c>
      <c r="AL2705" s="0" t="n">
        <v>1.06</v>
      </c>
    </row>
    <row r="2706">
      <c r="A2706" s="0" t="inlineStr">
        <is>
          <t>[천호동]</t>
        </is>
      </c>
      <c r="B2706" s="0" t="n">
        <v>14218</v>
      </c>
      <c r="C2706" s="0" t="n">
        <v>12</v>
      </c>
      <c r="D2706" s="0" t="inlineStr">
        <is>
          <t>천호예전이룸1차</t>
        </is>
      </c>
      <c r="E2706" s="0" t="inlineStr">
        <is>
          <t>2004.11.</t>
        </is>
      </c>
      <c r="F2706" s="0" t="n">
        <v>49</v>
      </c>
      <c r="G2706" s="0" t="n">
        <v>30.45</v>
      </c>
      <c r="H2706" s="0" t="n">
        <v>100.69</v>
      </c>
      <c r="I2706" s="0" t="n">
        <v>25.12</v>
      </c>
      <c r="J2706" s="0" t="n">
        <v>83.06</v>
      </c>
      <c r="K2706" s="0" t="n">
        <v>1</v>
      </c>
      <c r="T2706" s="0" t="n">
        <v>3</v>
      </c>
      <c r="U2706" s="0" t="n">
        <v>2</v>
      </c>
      <c r="V2706" s="0" t="inlineStr">
        <is>
          <t>계단식</t>
        </is>
      </c>
      <c r="W2706" s="0" t="inlineStr">
        <is>
          <t>100C</t>
        </is>
      </c>
      <c r="X2706" s="0" t="n">
        <v>11</v>
      </c>
      <c r="Y2706" s="0" t="n">
        <v>9</v>
      </c>
      <c r="Z2706" s="0" t="inlineStr">
        <is>
          <t>https://new.land.naver.com/complexes/14218?tab=detail&amp;rf=Y</t>
        </is>
      </c>
      <c r="AA2706" s="0" t="inlineStr">
        <is>
          <t>서울시 강동구 천호동 49-4</t>
        </is>
      </c>
      <c r="AB2706" s="0" t="inlineStr">
        <is>
          <t>서울시</t>
        </is>
      </c>
      <c r="AC2706" s="0" t="inlineStr">
        <is>
          <t>강동구</t>
        </is>
      </c>
      <c r="AD2706" s="0" t="inlineStr">
        <is>
          <t>천호동</t>
        </is>
      </c>
      <c r="AG2706" s="0" t="inlineStr">
        <is>
          <t>서울시 강동구 양재대로121길 50</t>
        </is>
      </c>
      <c r="AH2706" s="0" t="n">
        <v>0</v>
      </c>
      <c r="AI2706" s="0" t="n">
        <v>244</v>
      </c>
      <c r="AJ2706" s="0" t="n">
        <v>33</v>
      </c>
      <c r="AK2706" s="0" t="n">
        <v>52</v>
      </c>
      <c r="AL2706" s="0" t="n">
        <v>1.06</v>
      </c>
    </row>
    <row r="2707">
      <c r="A2707" s="0" t="inlineStr">
        <is>
          <t>[천호동]</t>
        </is>
      </c>
      <c r="B2707" s="0" t="n">
        <v>14218</v>
      </c>
      <c r="C2707" s="0" t="n">
        <v>13</v>
      </c>
      <c r="D2707" s="0" t="inlineStr">
        <is>
          <t>천호예전이룸1차</t>
        </is>
      </c>
      <c r="E2707" s="0" t="inlineStr">
        <is>
          <t>2004.11.</t>
        </is>
      </c>
      <c r="F2707" s="0" t="n">
        <v>49</v>
      </c>
      <c r="G2707" s="0" t="n">
        <v>30.65</v>
      </c>
      <c r="H2707" s="0" t="n">
        <v>101.33</v>
      </c>
      <c r="I2707" s="0" t="n">
        <v>25.28</v>
      </c>
      <c r="J2707" s="0" t="n">
        <v>83.59</v>
      </c>
      <c r="K2707" s="0" t="n">
        <v>6</v>
      </c>
      <c r="T2707" s="0" t="n">
        <v>3</v>
      </c>
      <c r="U2707" s="0" t="n">
        <v>2</v>
      </c>
      <c r="V2707" s="0" t="inlineStr">
        <is>
          <t>계단식</t>
        </is>
      </c>
      <c r="W2707" s="0" t="inlineStr">
        <is>
          <t>101E</t>
        </is>
      </c>
      <c r="X2707" s="0" t="n">
        <v>11</v>
      </c>
      <c r="Y2707" s="0" t="n">
        <v>9</v>
      </c>
      <c r="Z2707" s="0" t="inlineStr">
        <is>
          <t>https://new.land.naver.com/complexes/14218?tab=detail&amp;rf=Y</t>
        </is>
      </c>
      <c r="AA2707" s="0" t="inlineStr">
        <is>
          <t>서울시 강동구 천호동 49-4</t>
        </is>
      </c>
      <c r="AB2707" s="0" t="inlineStr">
        <is>
          <t>서울시</t>
        </is>
      </c>
      <c r="AC2707" s="0" t="inlineStr">
        <is>
          <t>강동구</t>
        </is>
      </c>
      <c r="AD2707" s="0" t="inlineStr">
        <is>
          <t>천호동</t>
        </is>
      </c>
      <c r="AG2707" s="0" t="inlineStr">
        <is>
          <t>서울시 강동구 양재대로121길 50</t>
        </is>
      </c>
      <c r="AH2707" s="0" t="n">
        <v>0</v>
      </c>
      <c r="AI2707" s="0" t="n">
        <v>244</v>
      </c>
      <c r="AJ2707" s="0" t="n">
        <v>33</v>
      </c>
      <c r="AK2707" s="0" t="n">
        <v>52</v>
      </c>
      <c r="AL2707" s="0" t="n">
        <v>1.06</v>
      </c>
    </row>
    <row r="2708">
      <c r="A2708" s="0" t="inlineStr">
        <is>
          <t>[천호동]</t>
        </is>
      </c>
      <c r="B2708" s="0" t="n">
        <v>14218</v>
      </c>
      <c r="C2708" s="0" t="n">
        <v>14</v>
      </c>
      <c r="D2708" s="0" t="inlineStr">
        <is>
          <t>천호예전이룸1차</t>
        </is>
      </c>
      <c r="E2708" s="0" t="inlineStr">
        <is>
          <t>2004.11.</t>
        </is>
      </c>
      <c r="F2708" s="0" t="n">
        <v>49</v>
      </c>
      <c r="G2708" s="0" t="n">
        <v>30.87</v>
      </c>
      <c r="H2708" s="0" t="n">
        <v>102.05</v>
      </c>
      <c r="I2708" s="0" t="n">
        <v>25.46</v>
      </c>
      <c r="J2708" s="0" t="n">
        <v>84.18000000000001</v>
      </c>
      <c r="K2708" s="0" t="n">
        <v>24</v>
      </c>
      <c r="T2708" s="0" t="n">
        <v>3</v>
      </c>
      <c r="U2708" s="0" t="n">
        <v>2</v>
      </c>
      <c r="V2708" s="0" t="inlineStr">
        <is>
          <t>계단식</t>
        </is>
      </c>
      <c r="W2708" s="0" t="inlineStr">
        <is>
          <t>102F</t>
        </is>
      </c>
      <c r="X2708" s="0" t="n">
        <v>11</v>
      </c>
      <c r="Y2708" s="0" t="n">
        <v>9</v>
      </c>
      <c r="Z2708" s="0" t="inlineStr">
        <is>
          <t>https://new.land.naver.com/complexes/14218?tab=detail&amp;rf=Y</t>
        </is>
      </c>
      <c r="AA2708" s="0" t="inlineStr">
        <is>
          <t>서울시 강동구 천호동 49-4</t>
        </is>
      </c>
      <c r="AB2708" s="0" t="inlineStr">
        <is>
          <t>서울시</t>
        </is>
      </c>
      <c r="AC2708" s="0" t="inlineStr">
        <is>
          <t>강동구</t>
        </is>
      </c>
      <c r="AD2708" s="0" t="inlineStr">
        <is>
          <t>천호동</t>
        </is>
      </c>
      <c r="AG2708" s="0" t="inlineStr">
        <is>
          <t>서울시 강동구 양재대로121길 50</t>
        </is>
      </c>
      <c r="AH2708" s="0" t="n">
        <v>0</v>
      </c>
      <c r="AI2708" s="0" t="n">
        <v>244</v>
      </c>
      <c r="AJ2708" s="0" t="n">
        <v>33</v>
      </c>
      <c r="AK2708" s="0" t="n">
        <v>52</v>
      </c>
      <c r="AL2708" s="0" t="n">
        <v>1.06</v>
      </c>
    </row>
    <row r="2709">
      <c r="A2709" s="0" t="inlineStr">
        <is>
          <t>[천호동]</t>
        </is>
      </c>
      <c r="B2709" s="0" t="n">
        <v>14218</v>
      </c>
      <c r="C2709" s="0" t="n">
        <v>15</v>
      </c>
      <c r="D2709" s="0" t="inlineStr">
        <is>
          <t>천호예전이룸1차</t>
        </is>
      </c>
      <c r="E2709" s="0" t="inlineStr">
        <is>
          <t>2004.11.</t>
        </is>
      </c>
      <c r="F2709" s="0" t="n">
        <v>49</v>
      </c>
      <c r="G2709" s="0" t="n">
        <v>30.91</v>
      </c>
      <c r="H2709" s="0" t="n">
        <v>102.19</v>
      </c>
      <c r="I2709" s="0" t="n">
        <v>25.5</v>
      </c>
      <c r="J2709" s="0" t="n">
        <v>84.3</v>
      </c>
      <c r="K2709" s="0" t="n">
        <v>5</v>
      </c>
      <c r="T2709" s="0" t="n">
        <v>3</v>
      </c>
      <c r="U2709" s="0" t="n">
        <v>2</v>
      </c>
      <c r="V2709" s="0" t="inlineStr">
        <is>
          <t>계단식</t>
        </is>
      </c>
      <c r="W2709" s="0" t="inlineStr">
        <is>
          <t>102B</t>
        </is>
      </c>
      <c r="X2709" s="0" t="n">
        <v>11</v>
      </c>
      <c r="Y2709" s="0" t="n">
        <v>9</v>
      </c>
      <c r="Z2709" s="0" t="inlineStr">
        <is>
          <t>https://new.land.naver.com/complexes/14218?tab=detail&amp;rf=Y</t>
        </is>
      </c>
      <c r="AA2709" s="0" t="inlineStr">
        <is>
          <t>서울시 강동구 천호동 49-4</t>
        </is>
      </c>
      <c r="AB2709" s="0" t="inlineStr">
        <is>
          <t>서울시</t>
        </is>
      </c>
      <c r="AC2709" s="0" t="inlineStr">
        <is>
          <t>강동구</t>
        </is>
      </c>
      <c r="AD2709" s="0" t="inlineStr">
        <is>
          <t>천호동</t>
        </is>
      </c>
      <c r="AG2709" s="0" t="inlineStr">
        <is>
          <t>서울시 강동구 양재대로121길 50</t>
        </is>
      </c>
      <c r="AH2709" s="0" t="n">
        <v>0</v>
      </c>
      <c r="AI2709" s="0" t="n">
        <v>244</v>
      </c>
      <c r="AJ2709" s="0" t="n">
        <v>33</v>
      </c>
      <c r="AK2709" s="0" t="n">
        <v>52</v>
      </c>
      <c r="AL2709" s="0" t="n">
        <v>1.06</v>
      </c>
    </row>
    <row r="2710">
      <c r="A2710" s="0" t="inlineStr">
        <is>
          <t>[천호동]</t>
        </is>
      </c>
      <c r="B2710" s="0" t="n">
        <v>14218</v>
      </c>
      <c r="C2710" s="0" t="n">
        <v>16</v>
      </c>
      <c r="D2710" s="0" t="inlineStr">
        <is>
          <t>천호예전이룸1차</t>
        </is>
      </c>
      <c r="E2710" s="0" t="inlineStr">
        <is>
          <t>2004.11.</t>
        </is>
      </c>
      <c r="F2710" s="0" t="n">
        <v>49</v>
      </c>
      <c r="G2710" s="0" t="n">
        <v>30.91</v>
      </c>
      <c r="H2710" s="0" t="n">
        <v>102.19</v>
      </c>
      <c r="I2710" s="0" t="n">
        <v>25.5</v>
      </c>
      <c r="J2710" s="0" t="n">
        <v>84.3</v>
      </c>
      <c r="K2710" s="0" t="n">
        <v>1</v>
      </c>
      <c r="T2710" s="0" t="n">
        <v>3</v>
      </c>
      <c r="U2710" s="0" t="n">
        <v>2</v>
      </c>
      <c r="V2710" s="0" t="inlineStr">
        <is>
          <t>계단식</t>
        </is>
      </c>
      <c r="W2710" s="0" t="inlineStr">
        <is>
          <t>102D</t>
        </is>
      </c>
      <c r="X2710" s="0" t="n">
        <v>11</v>
      </c>
      <c r="Y2710" s="0" t="n">
        <v>9</v>
      </c>
      <c r="Z2710" s="0" t="inlineStr">
        <is>
          <t>https://new.land.naver.com/complexes/14218?tab=detail&amp;rf=Y</t>
        </is>
      </c>
      <c r="AA2710" s="0" t="inlineStr">
        <is>
          <t>서울시 강동구 천호동 49-4</t>
        </is>
      </c>
      <c r="AB2710" s="0" t="inlineStr">
        <is>
          <t>서울시</t>
        </is>
      </c>
      <c r="AC2710" s="0" t="inlineStr">
        <is>
          <t>강동구</t>
        </is>
      </c>
      <c r="AD2710" s="0" t="inlineStr">
        <is>
          <t>천호동</t>
        </is>
      </c>
      <c r="AG2710" s="0" t="inlineStr">
        <is>
          <t>서울시 강동구 양재대로121길 50</t>
        </is>
      </c>
      <c r="AH2710" s="0" t="n">
        <v>0</v>
      </c>
      <c r="AI2710" s="0" t="n">
        <v>244</v>
      </c>
      <c r="AJ2710" s="0" t="n">
        <v>33</v>
      </c>
      <c r="AK2710" s="0" t="n">
        <v>52</v>
      </c>
      <c r="AL2710" s="0" t="n">
        <v>1.06</v>
      </c>
    </row>
    <row r="2711">
      <c r="A2711" s="0" t="inlineStr">
        <is>
          <t>[천호동]</t>
        </is>
      </c>
      <c r="B2711" s="0" t="n">
        <v>17417</v>
      </c>
      <c r="C2711" s="0" t="n">
        <v>1</v>
      </c>
      <c r="D2711" s="0" t="inlineStr">
        <is>
          <t>천호케이엔피</t>
        </is>
      </c>
      <c r="E2711" s="0" t="inlineStr">
        <is>
          <t>2004.03.</t>
        </is>
      </c>
      <c r="F2711" s="0" t="n">
        <v>18</v>
      </c>
      <c r="G2711" s="0" t="n">
        <v>25.23</v>
      </c>
      <c r="H2711" s="0" t="n">
        <v>83.42</v>
      </c>
      <c r="I2711" s="0" t="n">
        <v>22.02</v>
      </c>
      <c r="J2711" s="0" t="n">
        <v>72.8</v>
      </c>
      <c r="K2711" s="0" t="n">
        <v>1</v>
      </c>
      <c r="T2711" s="0" t="n">
        <v>3</v>
      </c>
      <c r="U2711" s="0" t="n">
        <v>2</v>
      </c>
      <c r="V2711" s="0" t="inlineStr">
        <is>
          <t>계단식</t>
        </is>
      </c>
      <c r="W2711" s="0" t="n">
        <v>83</v>
      </c>
      <c r="X2711" s="0" t="n">
        <v>7</v>
      </c>
      <c r="Y2711" s="0" t="n">
        <v>6</v>
      </c>
      <c r="Z2711" s="0" t="inlineStr">
        <is>
          <t>https://new.land.naver.com/complexes/17417?tab=detail&amp;rf=Y</t>
        </is>
      </c>
      <c r="AA2711" s="0" t="inlineStr">
        <is>
          <t>서울시 강동구 천호동 33-7</t>
        </is>
      </c>
      <c r="AB2711" s="0" t="inlineStr">
        <is>
          <t>서울시</t>
        </is>
      </c>
      <c r="AC2711" s="0" t="inlineStr">
        <is>
          <t>강동구</t>
        </is>
      </c>
      <c r="AD2711" s="0" t="inlineStr">
        <is>
          <t>천호동</t>
        </is>
      </c>
      <c r="AG2711" s="0" t="inlineStr">
        <is>
          <t>서울시 강동구 양재대로131가길 19</t>
        </is>
      </c>
      <c r="AH2711" s="0" t="n">
        <v>0</v>
      </c>
      <c r="AI2711" s="0" t="n">
        <v>213</v>
      </c>
      <c r="AJ2711" s="0" t="n">
        <v>39</v>
      </c>
      <c r="AK2711" s="0" t="n">
        <v>21</v>
      </c>
      <c r="AL2711" s="0" t="n">
        <v>1.17</v>
      </c>
    </row>
    <row r="2712">
      <c r="A2712" s="0" t="inlineStr">
        <is>
          <t>[천호동]</t>
        </is>
      </c>
      <c r="B2712" s="0" t="n">
        <v>17417</v>
      </c>
      <c r="C2712" s="0" t="n">
        <v>2</v>
      </c>
      <c r="D2712" s="0" t="inlineStr">
        <is>
          <t>천호케이엔피</t>
        </is>
      </c>
      <c r="E2712" s="0" t="inlineStr">
        <is>
          <t>2004.03.</t>
        </is>
      </c>
      <c r="F2712" s="0" t="n">
        <v>18</v>
      </c>
      <c r="G2712" s="0" t="n">
        <v>27.03</v>
      </c>
      <c r="H2712" s="0" t="n">
        <v>89.36</v>
      </c>
      <c r="I2712" s="0" t="n">
        <v>23.59</v>
      </c>
      <c r="J2712" s="0" t="n">
        <v>78</v>
      </c>
      <c r="K2712" s="0" t="n">
        <v>4</v>
      </c>
      <c r="T2712" s="0" t="n">
        <v>3</v>
      </c>
      <c r="U2712" s="0" t="n">
        <v>2</v>
      </c>
      <c r="V2712" s="0" t="inlineStr">
        <is>
          <t>계단식</t>
        </is>
      </c>
      <c r="W2712" s="0" t="n">
        <v>89</v>
      </c>
      <c r="X2712" s="0" t="n">
        <v>7</v>
      </c>
      <c r="Y2712" s="0" t="n">
        <v>6</v>
      </c>
      <c r="Z2712" s="0" t="inlineStr">
        <is>
          <t>https://new.land.naver.com/complexes/17417?tab=detail&amp;rf=Y</t>
        </is>
      </c>
      <c r="AA2712" s="0" t="inlineStr">
        <is>
          <t>서울시 강동구 천호동 33-7</t>
        </is>
      </c>
      <c r="AB2712" s="0" t="inlineStr">
        <is>
          <t>서울시</t>
        </is>
      </c>
      <c r="AC2712" s="0" t="inlineStr">
        <is>
          <t>강동구</t>
        </is>
      </c>
      <c r="AD2712" s="0" t="inlineStr">
        <is>
          <t>천호동</t>
        </is>
      </c>
      <c r="AG2712" s="0" t="inlineStr">
        <is>
          <t>서울시 강동구 양재대로131가길 19</t>
        </is>
      </c>
      <c r="AH2712" s="0" t="n">
        <v>0</v>
      </c>
      <c r="AI2712" s="0" t="n">
        <v>213</v>
      </c>
      <c r="AJ2712" s="0" t="n">
        <v>39</v>
      </c>
      <c r="AK2712" s="0" t="n">
        <v>21</v>
      </c>
      <c r="AL2712" s="0" t="n">
        <v>1.17</v>
      </c>
    </row>
    <row r="2713">
      <c r="A2713" s="0" t="inlineStr">
        <is>
          <t>[천호동]</t>
        </is>
      </c>
      <c r="B2713" s="0" t="n">
        <v>17417</v>
      </c>
      <c r="C2713" s="0" t="n">
        <v>3</v>
      </c>
      <c r="D2713" s="0" t="inlineStr">
        <is>
          <t>천호케이엔피</t>
        </is>
      </c>
      <c r="E2713" s="0" t="inlineStr">
        <is>
          <t>2004.03.</t>
        </is>
      </c>
      <c r="F2713" s="0" t="n">
        <v>18</v>
      </c>
      <c r="G2713" s="0" t="n">
        <v>27.84</v>
      </c>
      <c r="H2713" s="0" t="n">
        <v>92.04000000000001</v>
      </c>
      <c r="I2713" s="0" t="n">
        <v>24.29</v>
      </c>
      <c r="J2713" s="0" t="n">
        <v>80.33</v>
      </c>
      <c r="K2713" s="0" t="n">
        <v>1</v>
      </c>
      <c r="T2713" s="0" t="n">
        <v>3</v>
      </c>
      <c r="U2713" s="0" t="n">
        <v>2</v>
      </c>
      <c r="V2713" s="0" t="inlineStr">
        <is>
          <t>계단식</t>
        </is>
      </c>
      <c r="W2713" s="0" t="n">
        <v>92</v>
      </c>
      <c r="X2713" s="0" t="n">
        <v>7</v>
      </c>
      <c r="Y2713" s="0" t="n">
        <v>6</v>
      </c>
      <c r="Z2713" s="0" t="inlineStr">
        <is>
          <t>https://new.land.naver.com/complexes/17417?tab=detail&amp;rf=Y</t>
        </is>
      </c>
      <c r="AA2713" s="0" t="inlineStr">
        <is>
          <t>서울시 강동구 천호동 33-7</t>
        </is>
      </c>
      <c r="AB2713" s="0" t="inlineStr">
        <is>
          <t>서울시</t>
        </is>
      </c>
      <c r="AC2713" s="0" t="inlineStr">
        <is>
          <t>강동구</t>
        </is>
      </c>
      <c r="AD2713" s="0" t="inlineStr">
        <is>
          <t>천호동</t>
        </is>
      </c>
      <c r="AG2713" s="0" t="inlineStr">
        <is>
          <t>서울시 강동구 양재대로131가길 19</t>
        </is>
      </c>
      <c r="AH2713" s="0" t="n">
        <v>0</v>
      </c>
      <c r="AI2713" s="0" t="n">
        <v>213</v>
      </c>
      <c r="AJ2713" s="0" t="n">
        <v>39</v>
      </c>
      <c r="AK2713" s="0" t="n">
        <v>21</v>
      </c>
      <c r="AL2713" s="0" t="n">
        <v>1.17</v>
      </c>
    </row>
    <row r="2714">
      <c r="A2714" s="0" t="inlineStr">
        <is>
          <t>[천호동]</t>
        </is>
      </c>
      <c r="B2714" s="0" t="n">
        <v>17417</v>
      </c>
      <c r="C2714" s="0" t="n">
        <v>4</v>
      </c>
      <c r="D2714" s="0" t="inlineStr">
        <is>
          <t>천호케이엔피</t>
        </is>
      </c>
      <c r="E2714" s="0" t="inlineStr">
        <is>
          <t>2004.03.</t>
        </is>
      </c>
      <c r="F2714" s="0" t="n">
        <v>18</v>
      </c>
      <c r="G2714" s="0" t="n">
        <v>29.19</v>
      </c>
      <c r="H2714" s="0" t="n">
        <v>96.5</v>
      </c>
      <c r="I2714" s="0" t="n">
        <v>25.47</v>
      </c>
      <c r="J2714" s="0" t="n">
        <v>84.23</v>
      </c>
      <c r="K2714" s="0" t="n">
        <v>4</v>
      </c>
      <c r="T2714" s="0" t="n">
        <v>3</v>
      </c>
      <c r="U2714" s="0" t="n">
        <v>2</v>
      </c>
      <c r="V2714" s="0" t="inlineStr">
        <is>
          <t>계단식</t>
        </is>
      </c>
      <c r="W2714" s="0" t="inlineStr">
        <is>
          <t>96A</t>
        </is>
      </c>
      <c r="X2714" s="0" t="n">
        <v>7</v>
      </c>
      <c r="Y2714" s="0" t="n">
        <v>6</v>
      </c>
      <c r="Z2714" s="0" t="inlineStr">
        <is>
          <t>https://new.land.naver.com/complexes/17417?tab=detail&amp;rf=Y</t>
        </is>
      </c>
      <c r="AA2714" s="0" t="inlineStr">
        <is>
          <t>서울시 강동구 천호동 33-7</t>
        </is>
      </c>
      <c r="AB2714" s="0" t="inlineStr">
        <is>
          <t>서울시</t>
        </is>
      </c>
      <c r="AC2714" s="0" t="inlineStr">
        <is>
          <t>강동구</t>
        </is>
      </c>
      <c r="AD2714" s="0" t="inlineStr">
        <is>
          <t>천호동</t>
        </is>
      </c>
      <c r="AG2714" s="0" t="inlineStr">
        <is>
          <t>서울시 강동구 양재대로131가길 19</t>
        </is>
      </c>
      <c r="AH2714" s="0" t="n">
        <v>0</v>
      </c>
      <c r="AI2714" s="0" t="n">
        <v>213</v>
      </c>
      <c r="AJ2714" s="0" t="n">
        <v>39</v>
      </c>
      <c r="AK2714" s="0" t="n">
        <v>21</v>
      </c>
      <c r="AL2714" s="0" t="n">
        <v>1.17</v>
      </c>
    </row>
    <row r="2715">
      <c r="A2715" s="0" t="inlineStr">
        <is>
          <t>[천호동]</t>
        </is>
      </c>
      <c r="B2715" s="0" t="n">
        <v>17417</v>
      </c>
      <c r="C2715" s="0" t="n">
        <v>5</v>
      </c>
      <c r="D2715" s="0" t="inlineStr">
        <is>
          <t>천호케이엔피</t>
        </is>
      </c>
      <c r="E2715" s="0" t="inlineStr">
        <is>
          <t>2004.03.</t>
        </is>
      </c>
      <c r="F2715" s="0" t="n">
        <v>18</v>
      </c>
      <c r="G2715" s="0" t="n">
        <v>29.4</v>
      </c>
      <c r="H2715" s="0" t="n">
        <v>97.2</v>
      </c>
      <c r="I2715" s="0" t="n">
        <v>25.66</v>
      </c>
      <c r="J2715" s="0" t="n">
        <v>84.84</v>
      </c>
      <c r="K2715" s="0" t="n">
        <v>7</v>
      </c>
      <c r="T2715" s="0" t="n">
        <v>3</v>
      </c>
      <c r="U2715" s="0" t="n">
        <v>2</v>
      </c>
      <c r="V2715" s="0" t="inlineStr">
        <is>
          <t>계단식</t>
        </is>
      </c>
      <c r="W2715" s="0" t="inlineStr">
        <is>
          <t>97B</t>
        </is>
      </c>
      <c r="X2715" s="0" t="n">
        <v>7</v>
      </c>
      <c r="Y2715" s="0" t="n">
        <v>6</v>
      </c>
      <c r="Z2715" s="0" t="inlineStr">
        <is>
          <t>https://new.land.naver.com/complexes/17417?tab=detail&amp;rf=Y</t>
        </is>
      </c>
      <c r="AA2715" s="0" t="inlineStr">
        <is>
          <t>서울시 강동구 천호동 33-7</t>
        </is>
      </c>
      <c r="AB2715" s="0" t="inlineStr">
        <is>
          <t>서울시</t>
        </is>
      </c>
      <c r="AC2715" s="0" t="inlineStr">
        <is>
          <t>강동구</t>
        </is>
      </c>
      <c r="AD2715" s="0" t="inlineStr">
        <is>
          <t>천호동</t>
        </is>
      </c>
      <c r="AG2715" s="0" t="inlineStr">
        <is>
          <t>서울시 강동구 양재대로131가길 19</t>
        </is>
      </c>
      <c r="AH2715" s="0" t="n">
        <v>0</v>
      </c>
      <c r="AI2715" s="0" t="n">
        <v>213</v>
      </c>
      <c r="AJ2715" s="0" t="n">
        <v>39</v>
      </c>
      <c r="AK2715" s="0" t="n">
        <v>21</v>
      </c>
      <c r="AL2715" s="0" t="n">
        <v>1.17</v>
      </c>
    </row>
    <row r="2716">
      <c r="A2716" s="0" t="inlineStr">
        <is>
          <t>[천호동]</t>
        </is>
      </c>
      <c r="B2716" s="0" t="n">
        <v>17417</v>
      </c>
      <c r="C2716" s="0" t="n">
        <v>6</v>
      </c>
      <c r="D2716" s="0" t="inlineStr">
        <is>
          <t>천호케이엔피</t>
        </is>
      </c>
      <c r="E2716" s="0" t="inlineStr">
        <is>
          <t>2004.03.</t>
        </is>
      </c>
      <c r="F2716" s="0" t="n">
        <v>18</v>
      </c>
      <c r="G2716" s="0" t="n">
        <v>39.74</v>
      </c>
      <c r="H2716" s="0" t="n">
        <v>131.38</v>
      </c>
      <c r="I2716" s="0" t="n">
        <v>34.68</v>
      </c>
      <c r="J2716" s="0" t="n">
        <v>114.66</v>
      </c>
      <c r="K2716" s="0" t="n">
        <v>1</v>
      </c>
      <c r="T2716" s="0" t="n">
        <v>3</v>
      </c>
      <c r="U2716" s="0" t="n">
        <v>2</v>
      </c>
      <c r="V2716" s="0" t="inlineStr">
        <is>
          <t>계단식</t>
        </is>
      </c>
      <c r="W2716" s="0" t="n">
        <v>131</v>
      </c>
      <c r="X2716" s="0" t="n">
        <v>7</v>
      </c>
      <c r="Y2716" s="0" t="n">
        <v>6</v>
      </c>
      <c r="Z2716" s="0" t="inlineStr">
        <is>
          <t>https://new.land.naver.com/complexes/17417?tab=detail&amp;rf=Y</t>
        </is>
      </c>
      <c r="AA2716" s="0" t="inlineStr">
        <is>
          <t>서울시 강동구 천호동 33-7</t>
        </is>
      </c>
      <c r="AB2716" s="0" t="inlineStr">
        <is>
          <t>서울시</t>
        </is>
      </c>
      <c r="AC2716" s="0" t="inlineStr">
        <is>
          <t>강동구</t>
        </is>
      </c>
      <c r="AD2716" s="0" t="inlineStr">
        <is>
          <t>천호동</t>
        </is>
      </c>
      <c r="AG2716" s="0" t="inlineStr">
        <is>
          <t>서울시 강동구 양재대로131가길 19</t>
        </is>
      </c>
      <c r="AH2716" s="0" t="n">
        <v>0</v>
      </c>
      <c r="AI2716" s="0" t="n">
        <v>213</v>
      </c>
      <c r="AJ2716" s="0" t="n">
        <v>39</v>
      </c>
      <c r="AK2716" s="0" t="n">
        <v>21</v>
      </c>
      <c r="AL2716" s="0" t="n">
        <v>1.17</v>
      </c>
    </row>
    <row r="2717">
      <c r="A2717" s="0" t="inlineStr">
        <is>
          <t>[천호동]</t>
        </is>
      </c>
      <c r="B2717" s="0" t="n">
        <v>24214</v>
      </c>
      <c r="C2717" s="0" t="n">
        <v>1</v>
      </c>
      <c r="D2717" s="0" t="inlineStr">
        <is>
          <t>보람</t>
        </is>
      </c>
      <c r="E2717" s="0" t="inlineStr">
        <is>
          <t>2005.01.</t>
        </is>
      </c>
      <c r="F2717" s="0" t="n">
        <v>25</v>
      </c>
      <c r="G2717" s="0" t="n">
        <v>25.66</v>
      </c>
      <c r="H2717" s="0" t="n">
        <v>84.84999999999999</v>
      </c>
      <c r="I2717" s="0" t="n">
        <v>20.41</v>
      </c>
      <c r="J2717" s="0" t="n">
        <v>67.48999999999999</v>
      </c>
      <c r="K2717" s="0" t="n">
        <v>1</v>
      </c>
      <c r="T2717" s="0" t="n">
        <v>3</v>
      </c>
      <c r="U2717" s="0" t="n">
        <v>2</v>
      </c>
      <c r="V2717" s="0" t="inlineStr">
        <is>
          <t>복도식</t>
        </is>
      </c>
      <c r="W2717" s="0" t="inlineStr">
        <is>
          <t>84A</t>
        </is>
      </c>
      <c r="X2717" s="0" t="n">
        <v>10</v>
      </c>
      <c r="Y2717" s="0" t="n">
        <v>9</v>
      </c>
      <c r="Z2717" s="0" t="inlineStr">
        <is>
          <t>https://new.land.naver.com/complexes/24214?tab=detail&amp;rf=Y</t>
        </is>
      </c>
      <c r="AA2717" s="0" t="inlineStr">
        <is>
          <t>서울시 강동구 천호동 287-25</t>
        </is>
      </c>
      <c r="AB2717" s="0" t="inlineStr">
        <is>
          <t>서울시</t>
        </is>
      </c>
      <c r="AC2717" s="0" t="inlineStr">
        <is>
          <t>강동구</t>
        </is>
      </c>
      <c r="AD2717" s="0" t="inlineStr">
        <is>
          <t>천호동</t>
        </is>
      </c>
      <c r="AG2717" s="0" t="inlineStr">
        <is>
          <t>서울시 강동구 상암로12길 32</t>
        </is>
      </c>
      <c r="AH2717" s="0" t="n">
        <v>0</v>
      </c>
      <c r="AI2717" s="0" t="n">
        <v>318</v>
      </c>
      <c r="AJ2717" s="0" t="n">
        <v>51</v>
      </c>
      <c r="AK2717" s="0" t="n">
        <v>28</v>
      </c>
      <c r="AL2717" s="0" t="n">
        <v>1.12</v>
      </c>
    </row>
    <row r="2718">
      <c r="A2718" s="0" t="inlineStr">
        <is>
          <t>[천호동]</t>
        </is>
      </c>
      <c r="B2718" s="0" t="n">
        <v>24214</v>
      </c>
      <c r="C2718" s="0" t="n">
        <v>2</v>
      </c>
      <c r="D2718" s="0" t="inlineStr">
        <is>
          <t>보람</t>
        </is>
      </c>
      <c r="E2718" s="0" t="inlineStr">
        <is>
          <t>2005.01.</t>
        </is>
      </c>
      <c r="F2718" s="0" t="n">
        <v>25</v>
      </c>
      <c r="G2718" s="0" t="n">
        <v>26.06</v>
      </c>
      <c r="H2718" s="0" t="n">
        <v>86.17</v>
      </c>
      <c r="I2718" s="0" t="n">
        <v>20.97</v>
      </c>
      <c r="J2718" s="0" t="n">
        <v>69.34</v>
      </c>
      <c r="K2718" s="0" t="n">
        <v>1</v>
      </c>
      <c r="T2718" s="0" t="n">
        <v>3</v>
      </c>
      <c r="U2718" s="0" t="n">
        <v>2</v>
      </c>
      <c r="V2718" s="0" t="inlineStr">
        <is>
          <t>복도식</t>
        </is>
      </c>
      <c r="W2718" s="0" t="inlineStr">
        <is>
          <t>86B</t>
        </is>
      </c>
      <c r="X2718" s="0" t="n">
        <v>10</v>
      </c>
      <c r="Y2718" s="0" t="n">
        <v>9</v>
      </c>
      <c r="Z2718" s="0" t="inlineStr">
        <is>
          <t>https://new.land.naver.com/complexes/24214?tab=detail&amp;rf=Y</t>
        </is>
      </c>
      <c r="AA2718" s="0" t="inlineStr">
        <is>
          <t>서울시 강동구 천호동 287-25</t>
        </is>
      </c>
      <c r="AB2718" s="0" t="inlineStr">
        <is>
          <t>서울시</t>
        </is>
      </c>
      <c r="AC2718" s="0" t="inlineStr">
        <is>
          <t>강동구</t>
        </is>
      </c>
      <c r="AD2718" s="0" t="inlineStr">
        <is>
          <t>천호동</t>
        </is>
      </c>
      <c r="AG2718" s="0" t="inlineStr">
        <is>
          <t>서울시 강동구 상암로12길 32</t>
        </is>
      </c>
      <c r="AH2718" s="0" t="n">
        <v>0</v>
      </c>
      <c r="AI2718" s="0" t="n">
        <v>318</v>
      </c>
      <c r="AJ2718" s="0" t="n">
        <v>51</v>
      </c>
      <c r="AK2718" s="0" t="n">
        <v>28</v>
      </c>
      <c r="AL2718" s="0" t="n">
        <v>1.12</v>
      </c>
    </row>
    <row r="2719">
      <c r="A2719" s="0" t="inlineStr">
        <is>
          <t>[천호동]</t>
        </is>
      </c>
      <c r="B2719" s="0" t="n">
        <v>24214</v>
      </c>
      <c r="C2719" s="0" t="n">
        <v>3</v>
      </c>
      <c r="D2719" s="0" t="inlineStr">
        <is>
          <t>보람</t>
        </is>
      </c>
      <c r="E2719" s="0" t="inlineStr">
        <is>
          <t>2005.01.</t>
        </is>
      </c>
      <c r="F2719" s="0" t="n">
        <v>25</v>
      </c>
      <c r="G2719" s="0" t="n">
        <v>31.1</v>
      </c>
      <c r="H2719" s="0" t="n">
        <v>102.84</v>
      </c>
      <c r="I2719" s="0" t="n">
        <v>25.08</v>
      </c>
      <c r="J2719" s="0" t="n">
        <v>82.93000000000001</v>
      </c>
      <c r="K2719" s="0" t="n">
        <v>7</v>
      </c>
      <c r="T2719" s="0" t="n">
        <v>3</v>
      </c>
      <c r="U2719" s="0" t="n">
        <v>2</v>
      </c>
      <c r="V2719" s="0" t="inlineStr">
        <is>
          <t>계단식</t>
        </is>
      </c>
      <c r="W2719" s="0" t="inlineStr">
        <is>
          <t>102A</t>
        </is>
      </c>
      <c r="X2719" s="0" t="n">
        <v>10</v>
      </c>
      <c r="Y2719" s="0" t="n">
        <v>9</v>
      </c>
      <c r="Z2719" s="0" t="inlineStr">
        <is>
          <t>https://new.land.naver.com/complexes/24214?tab=detail&amp;rf=Y</t>
        </is>
      </c>
      <c r="AA2719" s="0" t="inlineStr">
        <is>
          <t>서울시 강동구 천호동 287-25</t>
        </is>
      </c>
      <c r="AB2719" s="0" t="inlineStr">
        <is>
          <t>서울시</t>
        </is>
      </c>
      <c r="AC2719" s="0" t="inlineStr">
        <is>
          <t>강동구</t>
        </is>
      </c>
      <c r="AD2719" s="0" t="inlineStr">
        <is>
          <t>천호동</t>
        </is>
      </c>
      <c r="AG2719" s="0" t="inlineStr">
        <is>
          <t>서울시 강동구 상암로12길 32</t>
        </is>
      </c>
      <c r="AH2719" s="0" t="n">
        <v>0</v>
      </c>
      <c r="AI2719" s="0" t="n">
        <v>318</v>
      </c>
      <c r="AJ2719" s="0" t="n">
        <v>51</v>
      </c>
      <c r="AK2719" s="0" t="n">
        <v>28</v>
      </c>
      <c r="AL2719" s="0" t="n">
        <v>1.12</v>
      </c>
    </row>
    <row r="2720">
      <c r="A2720" s="0" t="inlineStr">
        <is>
          <t>[천호동]</t>
        </is>
      </c>
      <c r="B2720" s="0" t="n">
        <v>24214</v>
      </c>
      <c r="C2720" s="0" t="n">
        <v>4</v>
      </c>
      <c r="D2720" s="0" t="inlineStr">
        <is>
          <t>보람</t>
        </is>
      </c>
      <c r="E2720" s="0" t="inlineStr">
        <is>
          <t>2005.01.</t>
        </is>
      </c>
      <c r="F2720" s="0" t="n">
        <v>25</v>
      </c>
      <c r="G2720" s="0" t="n">
        <v>31.42</v>
      </c>
      <c r="H2720" s="0" t="n">
        <v>103.89</v>
      </c>
      <c r="I2720" s="0" t="n">
        <v>25.14</v>
      </c>
      <c r="J2720" s="0" t="n">
        <v>83.14</v>
      </c>
      <c r="K2720" s="0" t="n">
        <v>7</v>
      </c>
      <c r="T2720" s="0" t="n">
        <v>3</v>
      </c>
      <c r="U2720" s="0" t="n">
        <v>2</v>
      </c>
      <c r="V2720" s="0" t="inlineStr">
        <is>
          <t>계단식</t>
        </is>
      </c>
      <c r="W2720" s="0" t="inlineStr">
        <is>
          <t>103B</t>
        </is>
      </c>
      <c r="X2720" s="0" t="n">
        <v>10</v>
      </c>
      <c r="Y2720" s="0" t="n">
        <v>9</v>
      </c>
      <c r="Z2720" s="0" t="inlineStr">
        <is>
          <t>https://new.land.naver.com/complexes/24214?tab=detail&amp;rf=Y</t>
        </is>
      </c>
      <c r="AA2720" s="0" t="inlineStr">
        <is>
          <t>서울시 강동구 천호동 287-25</t>
        </is>
      </c>
      <c r="AB2720" s="0" t="inlineStr">
        <is>
          <t>서울시</t>
        </is>
      </c>
      <c r="AC2720" s="0" t="inlineStr">
        <is>
          <t>강동구</t>
        </is>
      </c>
      <c r="AD2720" s="0" t="inlineStr">
        <is>
          <t>천호동</t>
        </is>
      </c>
      <c r="AG2720" s="0" t="inlineStr">
        <is>
          <t>서울시 강동구 상암로12길 32</t>
        </is>
      </c>
      <c r="AH2720" s="0" t="n">
        <v>0</v>
      </c>
      <c r="AI2720" s="0" t="n">
        <v>318</v>
      </c>
      <c r="AJ2720" s="0" t="n">
        <v>51</v>
      </c>
      <c r="AK2720" s="0" t="n">
        <v>28</v>
      </c>
      <c r="AL2720" s="0" t="n">
        <v>1.12</v>
      </c>
    </row>
    <row r="2721">
      <c r="A2721" s="0" t="inlineStr">
        <is>
          <t>[천호동]</t>
        </is>
      </c>
      <c r="B2721" s="0" t="n">
        <v>24214</v>
      </c>
      <c r="C2721" s="0" t="n">
        <v>5</v>
      </c>
      <c r="D2721" s="0" t="inlineStr">
        <is>
          <t>보람</t>
        </is>
      </c>
      <c r="E2721" s="0" t="inlineStr">
        <is>
          <t>2005.01.</t>
        </is>
      </c>
      <c r="F2721" s="0" t="n">
        <v>25</v>
      </c>
      <c r="G2721" s="0" t="n">
        <v>31.73</v>
      </c>
      <c r="H2721" s="0" t="n">
        <v>104.91</v>
      </c>
      <c r="I2721" s="0" t="n">
        <v>25.39</v>
      </c>
      <c r="J2721" s="0" t="n">
        <v>83.95</v>
      </c>
      <c r="K2721" s="0" t="n">
        <v>8</v>
      </c>
      <c r="T2721" s="0" t="n">
        <v>3</v>
      </c>
      <c r="U2721" s="0" t="n">
        <v>2</v>
      </c>
      <c r="V2721" s="0" t="inlineStr">
        <is>
          <t>계단식</t>
        </is>
      </c>
      <c r="W2721" s="0" t="inlineStr">
        <is>
          <t>104A</t>
        </is>
      </c>
      <c r="X2721" s="0" t="n">
        <v>10</v>
      </c>
      <c r="Y2721" s="0" t="n">
        <v>9</v>
      </c>
      <c r="Z2721" s="0" t="inlineStr">
        <is>
          <t>https://new.land.naver.com/complexes/24214?tab=detail&amp;rf=Y</t>
        </is>
      </c>
      <c r="AA2721" s="0" t="inlineStr">
        <is>
          <t>서울시 강동구 천호동 287-25</t>
        </is>
      </c>
      <c r="AB2721" s="0" t="inlineStr">
        <is>
          <t>서울시</t>
        </is>
      </c>
      <c r="AC2721" s="0" t="inlineStr">
        <is>
          <t>강동구</t>
        </is>
      </c>
      <c r="AD2721" s="0" t="inlineStr">
        <is>
          <t>천호동</t>
        </is>
      </c>
      <c r="AG2721" s="0" t="inlineStr">
        <is>
          <t>서울시 강동구 상암로12길 32</t>
        </is>
      </c>
      <c r="AH2721" s="0" t="n">
        <v>0</v>
      </c>
      <c r="AI2721" s="0" t="n">
        <v>318</v>
      </c>
      <c r="AJ2721" s="0" t="n">
        <v>51</v>
      </c>
      <c r="AK2721" s="0" t="n">
        <v>28</v>
      </c>
      <c r="AL2721" s="0" t="n">
        <v>1.12</v>
      </c>
    </row>
    <row r="2722">
      <c r="A2722" s="0" t="inlineStr">
        <is>
          <t>[천호동]</t>
        </is>
      </c>
      <c r="B2722" s="0" t="n">
        <v>24214</v>
      </c>
      <c r="C2722" s="0" t="n">
        <v>6</v>
      </c>
      <c r="D2722" s="0" t="inlineStr">
        <is>
          <t>보람</t>
        </is>
      </c>
      <c r="E2722" s="0" t="inlineStr">
        <is>
          <t>2005.01.</t>
        </is>
      </c>
      <c r="F2722" s="0" t="n">
        <v>25</v>
      </c>
      <c r="G2722" s="0" t="n">
        <v>32.38</v>
      </c>
      <c r="H2722" s="0" t="n">
        <v>107.06</v>
      </c>
      <c r="I2722" s="0" t="n">
        <v>25.7</v>
      </c>
      <c r="J2722" s="0" t="n">
        <v>84.97</v>
      </c>
      <c r="K2722" s="0" t="n">
        <v>1</v>
      </c>
      <c r="T2722" s="0" t="n">
        <v>3</v>
      </c>
      <c r="U2722" s="0" t="n">
        <v>2</v>
      </c>
      <c r="V2722" s="0" t="inlineStr">
        <is>
          <t>계단식</t>
        </is>
      </c>
      <c r="W2722" s="0" t="inlineStr">
        <is>
          <t>107B</t>
        </is>
      </c>
      <c r="X2722" s="0" t="n">
        <v>10</v>
      </c>
      <c r="Y2722" s="0" t="n">
        <v>9</v>
      </c>
      <c r="Z2722" s="0" t="inlineStr">
        <is>
          <t>https://new.land.naver.com/complexes/24214?tab=detail&amp;rf=Y</t>
        </is>
      </c>
      <c r="AA2722" s="0" t="inlineStr">
        <is>
          <t>서울시 강동구 천호동 287-25</t>
        </is>
      </c>
      <c r="AB2722" s="0" t="inlineStr">
        <is>
          <t>서울시</t>
        </is>
      </c>
      <c r="AC2722" s="0" t="inlineStr">
        <is>
          <t>강동구</t>
        </is>
      </c>
      <c r="AD2722" s="0" t="inlineStr">
        <is>
          <t>천호동</t>
        </is>
      </c>
      <c r="AG2722" s="0" t="inlineStr">
        <is>
          <t>서울시 강동구 상암로12길 32</t>
        </is>
      </c>
      <c r="AH2722" s="0" t="n">
        <v>0</v>
      </c>
      <c r="AI2722" s="0" t="n">
        <v>318</v>
      </c>
      <c r="AJ2722" s="0" t="n">
        <v>51</v>
      </c>
      <c r="AK2722" s="0" t="n">
        <v>28</v>
      </c>
      <c r="AL2722" s="0" t="n">
        <v>1.12</v>
      </c>
    </row>
    <row r="2723">
      <c r="A2723" s="0" t="inlineStr">
        <is>
          <t>[천호동]</t>
        </is>
      </c>
      <c r="B2723" s="0" t="n">
        <v>133431</v>
      </c>
      <c r="C2723" s="0" t="n">
        <v>1</v>
      </c>
      <c r="D2723" s="0" t="inlineStr">
        <is>
          <t>성우스타팰리스(361,도시형)</t>
        </is>
      </c>
      <c r="E2723" s="0" t="inlineStr">
        <is>
          <t>2019.08.</t>
        </is>
      </c>
      <c r="F2723" s="0" t="n">
        <v>75</v>
      </c>
      <c r="G2723" s="0" t="n">
        <v>11.75</v>
      </c>
      <c r="H2723" s="0" t="n">
        <v>38.85</v>
      </c>
      <c r="I2723" s="0" t="n">
        <v>9.16</v>
      </c>
      <c r="J2723" s="0" t="n">
        <v>30.31</v>
      </c>
      <c r="K2723" s="0" t="n">
        <v>5</v>
      </c>
      <c r="T2723" s="0" t="n">
        <v>1</v>
      </c>
      <c r="U2723" s="0" t="n">
        <v>1</v>
      </c>
      <c r="V2723" s="0" t="inlineStr">
        <is>
          <t>복도식</t>
        </is>
      </c>
      <c r="W2723" s="0" t="n">
        <v>38</v>
      </c>
      <c r="X2723" s="0" t="n">
        <v>9</v>
      </c>
      <c r="Y2723" s="0" t="n">
        <v>6</v>
      </c>
      <c r="Z2723" s="0" t="inlineStr">
        <is>
          <t>https://new.land.naver.com/complexes/133431?tab=detail&amp;rf=Y</t>
        </is>
      </c>
      <c r="AA2723" s="0" t="inlineStr">
        <is>
          <t>서울시 강동구 천호동 361</t>
        </is>
      </c>
      <c r="AB2723" s="0" t="inlineStr">
        <is>
          <t>서울시</t>
        </is>
      </c>
      <c r="AC2723" s="0" t="inlineStr">
        <is>
          <t>강동구</t>
        </is>
      </c>
      <c r="AD2723" s="0" t="inlineStr">
        <is>
          <t>천호동</t>
        </is>
      </c>
      <c r="AG2723" s="0" t="inlineStr">
        <is>
          <t>서울시 강동구 천중로12길 1</t>
        </is>
      </c>
      <c r="AH2723" s="0" t="n">
        <v>0</v>
      </c>
      <c r="AI2723" s="0" t="n">
        <v>246</v>
      </c>
      <c r="AJ2723" s="0" t="n">
        <v>49</v>
      </c>
      <c r="AK2723" s="0" t="n">
        <v>52</v>
      </c>
      <c r="AL2723" s="0" t="n">
        <v>0.6899999999999999</v>
      </c>
    </row>
    <row r="2724">
      <c r="A2724" s="0" t="inlineStr">
        <is>
          <t>[천호동]</t>
        </is>
      </c>
      <c r="B2724" s="0" t="n">
        <v>133431</v>
      </c>
      <c r="C2724" s="0" t="n">
        <v>2</v>
      </c>
      <c r="D2724" s="0" t="inlineStr">
        <is>
          <t>성우스타팰리스(361,도시형)</t>
        </is>
      </c>
      <c r="E2724" s="0" t="inlineStr">
        <is>
          <t>2019.08.</t>
        </is>
      </c>
      <c r="F2724" s="0" t="n">
        <v>75</v>
      </c>
      <c r="G2724" s="0" t="n">
        <v>12.58</v>
      </c>
      <c r="H2724" s="0" t="n">
        <v>41.61</v>
      </c>
      <c r="I2724" s="0" t="n">
        <v>9.9</v>
      </c>
      <c r="J2724" s="0" t="n">
        <v>32.75</v>
      </c>
      <c r="K2724" s="0" t="n">
        <v>10</v>
      </c>
      <c r="T2724" s="0" t="n">
        <v>1</v>
      </c>
      <c r="U2724" s="0" t="n">
        <v>1</v>
      </c>
      <c r="V2724" s="0" t="inlineStr">
        <is>
          <t>복도식</t>
        </is>
      </c>
      <c r="W2724" s="0" t="inlineStr">
        <is>
          <t>41E</t>
        </is>
      </c>
      <c r="X2724" s="0" t="n">
        <v>9</v>
      </c>
      <c r="Y2724" s="0" t="n">
        <v>6</v>
      </c>
      <c r="Z2724" s="0" t="inlineStr">
        <is>
          <t>https://new.land.naver.com/complexes/133431?tab=detail&amp;rf=Y</t>
        </is>
      </c>
      <c r="AA2724" s="0" t="inlineStr">
        <is>
          <t>서울시 강동구 천호동 361</t>
        </is>
      </c>
      <c r="AB2724" s="0" t="inlineStr">
        <is>
          <t>서울시</t>
        </is>
      </c>
      <c r="AC2724" s="0" t="inlineStr">
        <is>
          <t>강동구</t>
        </is>
      </c>
      <c r="AD2724" s="0" t="inlineStr">
        <is>
          <t>천호동</t>
        </is>
      </c>
      <c r="AG2724" s="0" t="inlineStr">
        <is>
          <t>서울시 강동구 천중로12길 1</t>
        </is>
      </c>
      <c r="AH2724" s="0" t="n">
        <v>0</v>
      </c>
      <c r="AI2724" s="0" t="n">
        <v>246</v>
      </c>
      <c r="AJ2724" s="0" t="n">
        <v>49</v>
      </c>
      <c r="AK2724" s="0" t="n">
        <v>52</v>
      </c>
      <c r="AL2724" s="0" t="n">
        <v>0.6899999999999999</v>
      </c>
    </row>
    <row r="2725">
      <c r="A2725" s="0" t="inlineStr">
        <is>
          <t>[천호동]</t>
        </is>
      </c>
      <c r="B2725" s="0" t="n">
        <v>133431</v>
      </c>
      <c r="C2725" s="0" t="n">
        <v>3</v>
      </c>
      <c r="D2725" s="0" t="inlineStr">
        <is>
          <t>성우스타팰리스(361,도시형)</t>
        </is>
      </c>
      <c r="E2725" s="0" t="inlineStr">
        <is>
          <t>2019.08.</t>
        </is>
      </c>
      <c r="F2725" s="0" t="n">
        <v>75</v>
      </c>
      <c r="G2725" s="0" t="n">
        <v>12.52</v>
      </c>
      <c r="H2725" s="0" t="n">
        <v>41.4</v>
      </c>
      <c r="I2725" s="0" t="n">
        <v>9.16</v>
      </c>
      <c r="J2725" s="0" t="n">
        <v>30.29</v>
      </c>
      <c r="K2725" s="0" t="n">
        <v>5</v>
      </c>
      <c r="T2725" s="0" t="n">
        <v>1</v>
      </c>
      <c r="U2725" s="0" t="n">
        <v>1</v>
      </c>
      <c r="V2725" s="0" t="inlineStr">
        <is>
          <t>복도식</t>
        </is>
      </c>
      <c r="W2725" s="0" t="inlineStr">
        <is>
          <t>41A</t>
        </is>
      </c>
      <c r="X2725" s="0" t="n">
        <v>9</v>
      </c>
      <c r="Y2725" s="0" t="n">
        <v>6</v>
      </c>
      <c r="Z2725" s="0" t="inlineStr">
        <is>
          <t>https://new.land.naver.com/complexes/133431?tab=detail&amp;rf=Y</t>
        </is>
      </c>
      <c r="AA2725" s="0" t="inlineStr">
        <is>
          <t>서울시 강동구 천호동 361</t>
        </is>
      </c>
      <c r="AB2725" s="0" t="inlineStr">
        <is>
          <t>서울시</t>
        </is>
      </c>
      <c r="AC2725" s="0" t="inlineStr">
        <is>
          <t>강동구</t>
        </is>
      </c>
      <c r="AD2725" s="0" t="inlineStr">
        <is>
          <t>천호동</t>
        </is>
      </c>
      <c r="AG2725" s="0" t="inlineStr">
        <is>
          <t>서울시 강동구 천중로12길 1</t>
        </is>
      </c>
      <c r="AH2725" s="0" t="n">
        <v>0</v>
      </c>
      <c r="AI2725" s="0" t="n">
        <v>246</v>
      </c>
      <c r="AJ2725" s="0" t="n">
        <v>49</v>
      </c>
      <c r="AK2725" s="0" t="n">
        <v>52</v>
      </c>
      <c r="AL2725" s="0" t="n">
        <v>0.6899999999999999</v>
      </c>
    </row>
    <row r="2726">
      <c r="A2726" s="0" t="inlineStr">
        <is>
          <t>[천호동]</t>
        </is>
      </c>
      <c r="B2726" s="0" t="n">
        <v>133431</v>
      </c>
      <c r="C2726" s="0" t="n">
        <v>4</v>
      </c>
      <c r="D2726" s="0" t="inlineStr">
        <is>
          <t>성우스타팰리스(361,도시형)</t>
        </is>
      </c>
      <c r="E2726" s="0" t="inlineStr">
        <is>
          <t>2019.08.</t>
        </is>
      </c>
      <c r="F2726" s="0" t="n">
        <v>75</v>
      </c>
      <c r="G2726" s="0" t="n">
        <v>13</v>
      </c>
      <c r="H2726" s="0" t="n">
        <v>43</v>
      </c>
      <c r="I2726" s="0" t="n">
        <v>9.5</v>
      </c>
      <c r="J2726" s="0" t="n">
        <v>31.42</v>
      </c>
      <c r="K2726" s="0" t="n">
        <v>5</v>
      </c>
      <c r="T2726" s="0" t="n">
        <v>1</v>
      </c>
      <c r="U2726" s="0" t="n">
        <v>1</v>
      </c>
      <c r="V2726" s="0" t="inlineStr">
        <is>
          <t>복도식</t>
        </is>
      </c>
      <c r="W2726" s="0" t="inlineStr">
        <is>
          <t>43B</t>
        </is>
      </c>
      <c r="X2726" s="0" t="n">
        <v>9</v>
      </c>
      <c r="Y2726" s="0" t="n">
        <v>6</v>
      </c>
      <c r="Z2726" s="0" t="inlineStr">
        <is>
          <t>https://new.land.naver.com/complexes/133431?tab=detail&amp;rf=Y</t>
        </is>
      </c>
      <c r="AA2726" s="0" t="inlineStr">
        <is>
          <t>서울시 강동구 천호동 361</t>
        </is>
      </c>
      <c r="AB2726" s="0" t="inlineStr">
        <is>
          <t>서울시</t>
        </is>
      </c>
      <c r="AC2726" s="0" t="inlineStr">
        <is>
          <t>강동구</t>
        </is>
      </c>
      <c r="AD2726" s="0" t="inlineStr">
        <is>
          <t>천호동</t>
        </is>
      </c>
      <c r="AG2726" s="0" t="inlineStr">
        <is>
          <t>서울시 강동구 천중로12길 1</t>
        </is>
      </c>
      <c r="AH2726" s="0" t="n">
        <v>0</v>
      </c>
      <c r="AI2726" s="0" t="n">
        <v>246</v>
      </c>
      <c r="AJ2726" s="0" t="n">
        <v>49</v>
      </c>
      <c r="AK2726" s="0" t="n">
        <v>52</v>
      </c>
      <c r="AL2726" s="0" t="n">
        <v>0.6899999999999999</v>
      </c>
    </row>
    <row r="2727">
      <c r="A2727" s="0" t="inlineStr">
        <is>
          <t>[천호동]</t>
        </is>
      </c>
      <c r="B2727" s="0" t="n">
        <v>133431</v>
      </c>
      <c r="C2727" s="0" t="n">
        <v>5</v>
      </c>
      <c r="D2727" s="0" t="inlineStr">
        <is>
          <t>성우스타팰리스(361,도시형)</t>
        </is>
      </c>
      <c r="E2727" s="0" t="inlineStr">
        <is>
          <t>2019.08.</t>
        </is>
      </c>
      <c r="F2727" s="0" t="n">
        <v>75</v>
      </c>
      <c r="G2727" s="0" t="n">
        <v>13.2</v>
      </c>
      <c r="H2727" s="0" t="n">
        <v>43.65</v>
      </c>
      <c r="I2727" s="0" t="n">
        <v>9.65</v>
      </c>
      <c r="J2727" s="0" t="n">
        <v>31.91</v>
      </c>
      <c r="K2727" s="0" t="n">
        <v>5</v>
      </c>
      <c r="T2727" s="0" t="n">
        <v>1</v>
      </c>
      <c r="U2727" s="0" t="n">
        <v>1</v>
      </c>
      <c r="V2727" s="0" t="inlineStr">
        <is>
          <t>복도식</t>
        </is>
      </c>
      <c r="W2727" s="0" t="inlineStr">
        <is>
          <t>43C</t>
        </is>
      </c>
      <c r="X2727" s="0" t="n">
        <v>9</v>
      </c>
      <c r="Y2727" s="0" t="n">
        <v>6</v>
      </c>
      <c r="Z2727" s="0" t="inlineStr">
        <is>
          <t>https://new.land.naver.com/complexes/133431?tab=detail&amp;rf=Y</t>
        </is>
      </c>
      <c r="AA2727" s="0" t="inlineStr">
        <is>
          <t>서울시 강동구 천호동 361</t>
        </is>
      </c>
      <c r="AB2727" s="0" t="inlineStr">
        <is>
          <t>서울시</t>
        </is>
      </c>
      <c r="AC2727" s="0" t="inlineStr">
        <is>
          <t>강동구</t>
        </is>
      </c>
      <c r="AD2727" s="0" t="inlineStr">
        <is>
          <t>천호동</t>
        </is>
      </c>
      <c r="AG2727" s="0" t="inlineStr">
        <is>
          <t>서울시 강동구 천중로12길 1</t>
        </is>
      </c>
      <c r="AH2727" s="0" t="n">
        <v>0</v>
      </c>
      <c r="AI2727" s="0" t="n">
        <v>246</v>
      </c>
      <c r="AJ2727" s="0" t="n">
        <v>49</v>
      </c>
      <c r="AK2727" s="0" t="n">
        <v>52</v>
      </c>
      <c r="AL2727" s="0" t="n">
        <v>0.6899999999999999</v>
      </c>
    </row>
    <row r="2728">
      <c r="A2728" s="0" t="inlineStr">
        <is>
          <t>[천호동]</t>
        </is>
      </c>
      <c r="B2728" s="0" t="n">
        <v>133431</v>
      </c>
      <c r="C2728" s="0" t="n">
        <v>6</v>
      </c>
      <c r="D2728" s="0" t="inlineStr">
        <is>
          <t>성우스타팰리스(361,도시형)</t>
        </is>
      </c>
      <c r="E2728" s="0" t="inlineStr">
        <is>
          <t>2019.08.</t>
        </is>
      </c>
      <c r="F2728" s="0" t="n">
        <v>75</v>
      </c>
      <c r="G2728" s="0" t="n">
        <v>13.3</v>
      </c>
      <c r="H2728" s="0" t="n">
        <v>43.97</v>
      </c>
      <c r="I2728" s="0" t="n">
        <v>9.69</v>
      </c>
      <c r="J2728" s="0" t="n">
        <v>32.05</v>
      </c>
      <c r="K2728" s="0" t="n">
        <v>5</v>
      </c>
      <c r="T2728" s="0" t="n">
        <v>1</v>
      </c>
      <c r="U2728" s="0" t="n">
        <v>1</v>
      </c>
      <c r="V2728" s="0" t="inlineStr">
        <is>
          <t>복도식</t>
        </is>
      </c>
      <c r="W2728" s="0" t="inlineStr">
        <is>
          <t>43D</t>
        </is>
      </c>
      <c r="X2728" s="0" t="n">
        <v>9</v>
      </c>
      <c r="Y2728" s="0" t="n">
        <v>6</v>
      </c>
      <c r="Z2728" s="0" t="inlineStr">
        <is>
          <t>https://new.land.naver.com/complexes/133431?tab=detail&amp;rf=Y</t>
        </is>
      </c>
      <c r="AA2728" s="0" t="inlineStr">
        <is>
          <t>서울시 강동구 천호동 361</t>
        </is>
      </c>
      <c r="AB2728" s="0" t="inlineStr">
        <is>
          <t>서울시</t>
        </is>
      </c>
      <c r="AC2728" s="0" t="inlineStr">
        <is>
          <t>강동구</t>
        </is>
      </c>
      <c r="AD2728" s="0" t="inlineStr">
        <is>
          <t>천호동</t>
        </is>
      </c>
      <c r="AG2728" s="0" t="inlineStr">
        <is>
          <t>서울시 강동구 천중로12길 1</t>
        </is>
      </c>
      <c r="AH2728" s="0" t="n">
        <v>0</v>
      </c>
      <c r="AI2728" s="0" t="n">
        <v>246</v>
      </c>
      <c r="AJ2728" s="0" t="n">
        <v>49</v>
      </c>
      <c r="AK2728" s="0" t="n">
        <v>52</v>
      </c>
      <c r="AL2728" s="0" t="n">
        <v>0.6899999999999999</v>
      </c>
    </row>
    <row r="2729">
      <c r="A2729" s="0" t="inlineStr">
        <is>
          <t>[천호동]</t>
        </is>
      </c>
      <c r="B2729" s="0" t="n">
        <v>133431</v>
      </c>
      <c r="C2729" s="0" t="n">
        <v>7</v>
      </c>
      <c r="D2729" s="0" t="inlineStr">
        <is>
          <t>성우스타팰리스(361,도시형)</t>
        </is>
      </c>
      <c r="E2729" s="0" t="inlineStr">
        <is>
          <t>2019.08.</t>
        </is>
      </c>
      <c r="F2729" s="0" t="n">
        <v>75</v>
      </c>
      <c r="G2729" s="0" t="n">
        <v>13.38</v>
      </c>
      <c r="H2729" s="0" t="n">
        <v>44.24</v>
      </c>
      <c r="I2729" s="0" t="n">
        <v>10.5</v>
      </c>
      <c r="J2729" s="0" t="n">
        <v>34.73</v>
      </c>
      <c r="K2729" s="0" t="n">
        <v>10</v>
      </c>
      <c r="T2729" s="0" t="n">
        <v>1</v>
      </c>
      <c r="U2729" s="0" t="n">
        <v>1</v>
      </c>
      <c r="V2729" s="0" t="inlineStr">
        <is>
          <t>복도식</t>
        </is>
      </c>
      <c r="W2729" s="0" t="inlineStr">
        <is>
          <t>44F</t>
        </is>
      </c>
      <c r="X2729" s="0" t="n">
        <v>9</v>
      </c>
      <c r="Y2729" s="0" t="n">
        <v>6</v>
      </c>
      <c r="Z2729" s="0" t="inlineStr">
        <is>
          <t>https://new.land.naver.com/complexes/133431?tab=detail&amp;rf=Y</t>
        </is>
      </c>
      <c r="AA2729" s="0" t="inlineStr">
        <is>
          <t>서울시 강동구 천호동 361</t>
        </is>
      </c>
      <c r="AB2729" s="0" t="inlineStr">
        <is>
          <t>서울시</t>
        </is>
      </c>
      <c r="AC2729" s="0" t="inlineStr">
        <is>
          <t>강동구</t>
        </is>
      </c>
      <c r="AD2729" s="0" t="inlineStr">
        <is>
          <t>천호동</t>
        </is>
      </c>
      <c r="AG2729" s="0" t="inlineStr">
        <is>
          <t>서울시 강동구 천중로12길 1</t>
        </is>
      </c>
      <c r="AH2729" s="0" t="n">
        <v>0</v>
      </c>
      <c r="AI2729" s="0" t="n">
        <v>246</v>
      </c>
      <c r="AJ2729" s="0" t="n">
        <v>49</v>
      </c>
      <c r="AK2729" s="0" t="n">
        <v>52</v>
      </c>
      <c r="AL2729" s="0" t="n">
        <v>0.6899999999999999</v>
      </c>
    </row>
    <row r="2730">
      <c r="A2730" s="0" t="inlineStr">
        <is>
          <t>[천호동]</t>
        </is>
      </c>
      <c r="B2730" s="0" t="n">
        <v>133431</v>
      </c>
      <c r="C2730" s="0" t="n">
        <v>8</v>
      </c>
      <c r="D2730" s="0" t="inlineStr">
        <is>
          <t>성우스타팰리스(361,도시형)</t>
        </is>
      </c>
      <c r="E2730" s="0" t="inlineStr">
        <is>
          <t>2019.08.</t>
        </is>
      </c>
      <c r="F2730" s="0" t="n">
        <v>75</v>
      </c>
      <c r="G2730" s="0" t="n">
        <v>13.6</v>
      </c>
      <c r="H2730" s="0" t="n">
        <v>44.97</v>
      </c>
      <c r="I2730" s="0" t="n">
        <v>9.99</v>
      </c>
      <c r="J2730" s="0" t="n">
        <v>33.05</v>
      </c>
      <c r="K2730" s="0" t="n">
        <v>5</v>
      </c>
      <c r="T2730" s="0" t="n">
        <v>1</v>
      </c>
      <c r="U2730" s="0" t="n">
        <v>1</v>
      </c>
      <c r="V2730" s="0" t="inlineStr">
        <is>
          <t>복도식</t>
        </is>
      </c>
      <c r="W2730" s="0" t="inlineStr">
        <is>
          <t>44A</t>
        </is>
      </c>
      <c r="X2730" s="0" t="n">
        <v>9</v>
      </c>
      <c r="Y2730" s="0" t="n">
        <v>6</v>
      </c>
      <c r="Z2730" s="0" t="inlineStr">
        <is>
          <t>https://new.land.naver.com/complexes/133431?tab=detail&amp;rf=Y</t>
        </is>
      </c>
      <c r="AA2730" s="0" t="inlineStr">
        <is>
          <t>서울시 강동구 천호동 361</t>
        </is>
      </c>
      <c r="AB2730" s="0" t="inlineStr">
        <is>
          <t>서울시</t>
        </is>
      </c>
      <c r="AC2730" s="0" t="inlineStr">
        <is>
          <t>강동구</t>
        </is>
      </c>
      <c r="AD2730" s="0" t="inlineStr">
        <is>
          <t>천호동</t>
        </is>
      </c>
      <c r="AG2730" s="0" t="inlineStr">
        <is>
          <t>서울시 강동구 천중로12길 1</t>
        </is>
      </c>
      <c r="AH2730" s="0" t="n">
        <v>0</v>
      </c>
      <c r="AI2730" s="0" t="n">
        <v>246</v>
      </c>
      <c r="AJ2730" s="0" t="n">
        <v>49</v>
      </c>
      <c r="AK2730" s="0" t="n">
        <v>52</v>
      </c>
      <c r="AL2730" s="0" t="n">
        <v>0.6899999999999999</v>
      </c>
    </row>
    <row r="2731">
      <c r="A2731" s="0" t="inlineStr">
        <is>
          <t>[천호동]</t>
        </is>
      </c>
      <c r="B2731" s="0" t="n">
        <v>133431</v>
      </c>
      <c r="C2731" s="0" t="n">
        <v>9</v>
      </c>
      <c r="D2731" s="0" t="inlineStr">
        <is>
          <t>성우스타팰리스(361,도시형)</t>
        </is>
      </c>
      <c r="E2731" s="0" t="inlineStr">
        <is>
          <t>2019.08.</t>
        </is>
      </c>
      <c r="F2731" s="0" t="n">
        <v>75</v>
      </c>
      <c r="G2731" s="0" t="n">
        <v>13.68</v>
      </c>
      <c r="H2731" s="0" t="n">
        <v>45.23</v>
      </c>
      <c r="I2731" s="0" t="n">
        <v>10.81</v>
      </c>
      <c r="J2731" s="0" t="n">
        <v>35.75</v>
      </c>
      <c r="K2731" s="0" t="n">
        <v>10</v>
      </c>
      <c r="T2731" s="0" t="n">
        <v>1</v>
      </c>
      <c r="U2731" s="0" t="n">
        <v>1</v>
      </c>
      <c r="V2731" s="0" t="inlineStr">
        <is>
          <t>복도식</t>
        </is>
      </c>
      <c r="W2731" s="0" t="inlineStr">
        <is>
          <t>45D</t>
        </is>
      </c>
      <c r="X2731" s="0" t="n">
        <v>9</v>
      </c>
      <c r="Y2731" s="0" t="n">
        <v>6</v>
      </c>
      <c r="Z2731" s="0" t="inlineStr">
        <is>
          <t>https://new.land.naver.com/complexes/133431?tab=detail&amp;rf=Y</t>
        </is>
      </c>
      <c r="AA2731" s="0" t="inlineStr">
        <is>
          <t>서울시 강동구 천호동 361</t>
        </is>
      </c>
      <c r="AB2731" s="0" t="inlineStr">
        <is>
          <t>서울시</t>
        </is>
      </c>
      <c r="AC2731" s="0" t="inlineStr">
        <is>
          <t>강동구</t>
        </is>
      </c>
      <c r="AD2731" s="0" t="inlineStr">
        <is>
          <t>천호동</t>
        </is>
      </c>
      <c r="AG2731" s="0" t="inlineStr">
        <is>
          <t>서울시 강동구 천중로12길 1</t>
        </is>
      </c>
      <c r="AH2731" s="0" t="n">
        <v>0</v>
      </c>
      <c r="AI2731" s="0" t="n">
        <v>246</v>
      </c>
      <c r="AJ2731" s="0" t="n">
        <v>49</v>
      </c>
      <c r="AK2731" s="0" t="n">
        <v>52</v>
      </c>
      <c r="AL2731" s="0" t="n">
        <v>0.6899999999999999</v>
      </c>
    </row>
    <row r="2732">
      <c r="A2732" s="0" t="inlineStr">
        <is>
          <t>[천호동]</t>
        </is>
      </c>
      <c r="B2732" s="0" t="n">
        <v>133431</v>
      </c>
      <c r="C2732" s="0" t="n">
        <v>10</v>
      </c>
      <c r="D2732" s="0" t="inlineStr">
        <is>
          <t>성우스타팰리스(361,도시형)</t>
        </is>
      </c>
      <c r="E2732" s="0" t="inlineStr">
        <is>
          <t>2019.08.</t>
        </is>
      </c>
      <c r="F2732" s="0" t="n">
        <v>75</v>
      </c>
      <c r="G2732" s="0" t="n">
        <v>13.76</v>
      </c>
      <c r="H2732" s="0" t="n">
        <v>45.52</v>
      </c>
      <c r="I2732" s="0" t="n">
        <v>10.75</v>
      </c>
      <c r="J2732" s="0" t="n">
        <v>35.55</v>
      </c>
      <c r="K2732" s="0" t="n">
        <v>5</v>
      </c>
      <c r="T2732" s="0" t="n">
        <v>1</v>
      </c>
      <c r="U2732" s="0" t="n">
        <v>1</v>
      </c>
      <c r="V2732" s="0" t="inlineStr">
        <is>
          <t>복도식</t>
        </is>
      </c>
      <c r="W2732" s="0" t="inlineStr">
        <is>
          <t>45C</t>
        </is>
      </c>
      <c r="X2732" s="0" t="n">
        <v>9</v>
      </c>
      <c r="Y2732" s="0" t="n">
        <v>6</v>
      </c>
      <c r="Z2732" s="0" t="inlineStr">
        <is>
          <t>https://new.land.naver.com/complexes/133431?tab=detail&amp;rf=Y</t>
        </is>
      </c>
      <c r="AA2732" s="0" t="inlineStr">
        <is>
          <t>서울시 강동구 천호동 361</t>
        </is>
      </c>
      <c r="AB2732" s="0" t="inlineStr">
        <is>
          <t>서울시</t>
        </is>
      </c>
      <c r="AC2732" s="0" t="inlineStr">
        <is>
          <t>강동구</t>
        </is>
      </c>
      <c r="AD2732" s="0" t="inlineStr">
        <is>
          <t>천호동</t>
        </is>
      </c>
      <c r="AG2732" s="0" t="inlineStr">
        <is>
          <t>서울시 강동구 천중로12길 1</t>
        </is>
      </c>
      <c r="AH2732" s="0" t="n">
        <v>0</v>
      </c>
      <c r="AI2732" s="0" t="n">
        <v>246</v>
      </c>
      <c r="AJ2732" s="0" t="n">
        <v>49</v>
      </c>
      <c r="AK2732" s="0" t="n">
        <v>52</v>
      </c>
      <c r="AL2732" s="0" t="n">
        <v>0.6899999999999999</v>
      </c>
    </row>
    <row r="2733">
      <c r="A2733" s="0" t="inlineStr">
        <is>
          <t>[천호동]</t>
        </is>
      </c>
      <c r="B2733" s="0" t="n">
        <v>133431</v>
      </c>
      <c r="C2733" s="0" t="n">
        <v>11</v>
      </c>
      <c r="D2733" s="0" t="inlineStr">
        <is>
          <t>성우스타팰리스(361,도시형)</t>
        </is>
      </c>
      <c r="E2733" s="0" t="inlineStr">
        <is>
          <t>2019.08.</t>
        </is>
      </c>
      <c r="F2733" s="0" t="n">
        <v>75</v>
      </c>
      <c r="G2733" s="0" t="n">
        <v>14.15</v>
      </c>
      <c r="H2733" s="0" t="n">
        <v>46.8</v>
      </c>
      <c r="I2733" s="0" t="n">
        <v>10.48</v>
      </c>
      <c r="J2733" s="0" t="n">
        <v>34.65</v>
      </c>
      <c r="K2733" s="0" t="n">
        <v>5</v>
      </c>
      <c r="T2733" s="0" t="n">
        <v>1</v>
      </c>
      <c r="U2733" s="0" t="n">
        <v>1</v>
      </c>
      <c r="V2733" s="0" t="inlineStr">
        <is>
          <t>복도식</t>
        </is>
      </c>
      <c r="W2733" s="0" t="inlineStr">
        <is>
          <t>46B</t>
        </is>
      </c>
      <c r="X2733" s="0" t="n">
        <v>9</v>
      </c>
      <c r="Y2733" s="0" t="n">
        <v>6</v>
      </c>
      <c r="Z2733" s="0" t="inlineStr">
        <is>
          <t>https://new.land.naver.com/complexes/133431?tab=detail&amp;rf=Y</t>
        </is>
      </c>
      <c r="AA2733" s="0" t="inlineStr">
        <is>
          <t>서울시 강동구 천호동 361</t>
        </is>
      </c>
      <c r="AB2733" s="0" t="inlineStr">
        <is>
          <t>서울시</t>
        </is>
      </c>
      <c r="AC2733" s="0" t="inlineStr">
        <is>
          <t>강동구</t>
        </is>
      </c>
      <c r="AD2733" s="0" t="inlineStr">
        <is>
          <t>천호동</t>
        </is>
      </c>
      <c r="AG2733" s="0" t="inlineStr">
        <is>
          <t>서울시 강동구 천중로12길 1</t>
        </is>
      </c>
      <c r="AH2733" s="0" t="n">
        <v>0</v>
      </c>
      <c r="AI2733" s="0" t="n">
        <v>246</v>
      </c>
      <c r="AJ2733" s="0" t="n">
        <v>49</v>
      </c>
      <c r="AK2733" s="0" t="n">
        <v>52</v>
      </c>
      <c r="AL2733" s="0" t="n">
        <v>0.6899999999999999</v>
      </c>
    </row>
    <row r="2734">
      <c r="A2734" s="0" t="inlineStr">
        <is>
          <t>[천호동]</t>
        </is>
      </c>
      <c r="B2734" s="0" t="n">
        <v>133431</v>
      </c>
      <c r="C2734" s="0" t="n">
        <v>12</v>
      </c>
      <c r="D2734" s="0" t="inlineStr">
        <is>
          <t>성우스타팰리스(361,도시형)</t>
        </is>
      </c>
      <c r="E2734" s="0" t="inlineStr">
        <is>
          <t>2019.08.</t>
        </is>
      </c>
      <c r="F2734" s="0" t="n">
        <v>75</v>
      </c>
      <c r="G2734" s="0" t="n">
        <v>14.35</v>
      </c>
      <c r="H2734" s="0" t="n">
        <v>47.44</v>
      </c>
      <c r="I2734" s="0" t="n">
        <v>11.26</v>
      </c>
      <c r="J2734" s="0" t="n">
        <v>37.23</v>
      </c>
      <c r="K2734" s="0" t="n">
        <v>5</v>
      </c>
      <c r="T2734" s="0" t="n">
        <v>1</v>
      </c>
      <c r="U2734" s="0" t="n">
        <v>1</v>
      </c>
      <c r="V2734" s="0" t="inlineStr">
        <is>
          <t>복도식</t>
        </is>
      </c>
      <c r="W2734" s="0" t="inlineStr">
        <is>
          <t>47E</t>
        </is>
      </c>
      <c r="X2734" s="0" t="n">
        <v>9</v>
      </c>
      <c r="Y2734" s="0" t="n">
        <v>6</v>
      </c>
      <c r="Z2734" s="0" t="inlineStr">
        <is>
          <t>https://new.land.naver.com/complexes/133431?tab=detail&amp;rf=Y</t>
        </is>
      </c>
      <c r="AA2734" s="0" t="inlineStr">
        <is>
          <t>서울시 강동구 천호동 361</t>
        </is>
      </c>
      <c r="AB2734" s="0" t="inlineStr">
        <is>
          <t>서울시</t>
        </is>
      </c>
      <c r="AC2734" s="0" t="inlineStr">
        <is>
          <t>강동구</t>
        </is>
      </c>
      <c r="AD2734" s="0" t="inlineStr">
        <is>
          <t>천호동</t>
        </is>
      </c>
      <c r="AG2734" s="0" t="inlineStr">
        <is>
          <t>서울시 강동구 천중로12길 1</t>
        </is>
      </c>
      <c r="AH2734" s="0" t="n">
        <v>0</v>
      </c>
      <c r="AI2734" s="0" t="n">
        <v>246</v>
      </c>
      <c r="AJ2734" s="0" t="n">
        <v>49</v>
      </c>
      <c r="AK2734" s="0" t="n">
        <v>52</v>
      </c>
      <c r="AL2734" s="0" t="n">
        <v>0.6899999999999999</v>
      </c>
    </row>
    <row r="2735">
      <c r="A2735" s="0" t="inlineStr">
        <is>
          <t>[천호동]</t>
        </is>
      </c>
      <c r="B2735" s="0" t="n">
        <v>127489</v>
      </c>
      <c r="C2735" s="0" t="n">
        <v>1</v>
      </c>
      <c r="D2735" s="0" t="inlineStr">
        <is>
          <t>다성이즈빌(166-59,도시형)</t>
        </is>
      </c>
      <c r="E2735" s="0" t="inlineStr">
        <is>
          <t>2019.09.</t>
        </is>
      </c>
      <c r="F2735" s="0" t="n">
        <v>20</v>
      </c>
      <c r="G2735" s="0" t="n">
        <v>6.21</v>
      </c>
      <c r="H2735" s="0" t="n">
        <v>20.54</v>
      </c>
      <c r="I2735" s="0" t="n">
        <v>4.75</v>
      </c>
      <c r="J2735" s="0" t="n">
        <v>15.73</v>
      </c>
      <c r="K2735" s="0" t="n">
        <v>5</v>
      </c>
      <c r="T2735" s="0" t="n">
        <v>1</v>
      </c>
      <c r="U2735" s="0" t="n">
        <v>1</v>
      </c>
      <c r="V2735" s="0" t="inlineStr">
        <is>
          <t>복도식</t>
        </is>
      </c>
      <c r="W2735" s="0" t="inlineStr">
        <is>
          <t>20A</t>
        </is>
      </c>
      <c r="X2735" s="0" t="n">
        <v>13</v>
      </c>
      <c r="Y2735" s="0" t="n">
        <v>13</v>
      </c>
      <c r="Z2735" s="0" t="inlineStr">
        <is>
          <t>https://new.land.naver.com/complexes/127489?tab=detail&amp;rf=Y</t>
        </is>
      </c>
      <c r="AA2735" s="0" t="inlineStr">
        <is>
          <t>서울시 강동구 천호동 166-59</t>
        </is>
      </c>
      <c r="AB2735" s="0" t="inlineStr">
        <is>
          <t>서울시</t>
        </is>
      </c>
      <c r="AC2735" s="0" t="inlineStr">
        <is>
          <t>강동구</t>
        </is>
      </c>
      <c r="AD2735" s="0" t="inlineStr">
        <is>
          <t>천호동</t>
        </is>
      </c>
      <c r="AG2735" s="0" t="inlineStr">
        <is>
          <t>서울시 강동구 진황도로27가길 6-21</t>
        </is>
      </c>
      <c r="AH2735" s="0" t="n">
        <v>0</v>
      </c>
      <c r="AI2735" s="0" t="n">
        <v>397</v>
      </c>
      <c r="AJ2735" s="0" t="n">
        <v>57</v>
      </c>
      <c r="AK2735" s="0" t="n">
        <v>10</v>
      </c>
      <c r="AL2735" s="0" t="n">
        <v>0.5</v>
      </c>
    </row>
    <row r="2736">
      <c r="A2736" s="0" t="inlineStr">
        <is>
          <t>[천호동]</t>
        </is>
      </c>
      <c r="B2736" s="0" t="n">
        <v>127489</v>
      </c>
      <c r="C2736" s="0" t="n">
        <v>2</v>
      </c>
      <c r="D2736" s="0" t="inlineStr">
        <is>
          <t>다성이즈빌(166-59,도시형)</t>
        </is>
      </c>
      <c r="E2736" s="0" t="inlineStr">
        <is>
          <t>2019.09.</t>
        </is>
      </c>
      <c r="F2736" s="0" t="n">
        <v>20</v>
      </c>
      <c r="G2736" s="0" t="n">
        <v>6.3</v>
      </c>
      <c r="H2736" s="0" t="n">
        <v>20.84</v>
      </c>
      <c r="I2736" s="0" t="n">
        <v>4.82</v>
      </c>
      <c r="J2736" s="0" t="n">
        <v>15.96</v>
      </c>
      <c r="K2736" s="0" t="n">
        <v>5</v>
      </c>
      <c r="T2736" s="0" t="n">
        <v>1</v>
      </c>
      <c r="U2736" s="0" t="n">
        <v>1</v>
      </c>
      <c r="V2736" s="0" t="inlineStr">
        <is>
          <t>복도식</t>
        </is>
      </c>
      <c r="W2736" s="0" t="inlineStr">
        <is>
          <t>20B</t>
        </is>
      </c>
      <c r="X2736" s="0" t="n">
        <v>13</v>
      </c>
      <c r="Y2736" s="0" t="n">
        <v>13</v>
      </c>
      <c r="Z2736" s="0" t="inlineStr">
        <is>
          <t>https://new.land.naver.com/complexes/127489?tab=detail&amp;rf=Y</t>
        </is>
      </c>
      <c r="AA2736" s="0" t="inlineStr">
        <is>
          <t>서울시 강동구 천호동 166-59</t>
        </is>
      </c>
      <c r="AB2736" s="0" t="inlineStr">
        <is>
          <t>서울시</t>
        </is>
      </c>
      <c r="AC2736" s="0" t="inlineStr">
        <is>
          <t>강동구</t>
        </is>
      </c>
      <c r="AD2736" s="0" t="inlineStr">
        <is>
          <t>천호동</t>
        </is>
      </c>
      <c r="AG2736" s="0" t="inlineStr">
        <is>
          <t>서울시 강동구 진황도로27가길 6-21</t>
        </is>
      </c>
      <c r="AH2736" s="0" t="n">
        <v>0</v>
      </c>
      <c r="AI2736" s="0" t="n">
        <v>397</v>
      </c>
      <c r="AJ2736" s="0" t="n">
        <v>57</v>
      </c>
      <c r="AK2736" s="0" t="n">
        <v>10</v>
      </c>
      <c r="AL2736" s="0" t="n">
        <v>0.5</v>
      </c>
    </row>
    <row r="2737">
      <c r="A2737" s="0" t="inlineStr">
        <is>
          <t>[천호동]</t>
        </is>
      </c>
      <c r="B2737" s="0" t="n">
        <v>127489</v>
      </c>
      <c r="C2737" s="0" t="n">
        <v>3</v>
      </c>
      <c r="D2737" s="0" t="inlineStr">
        <is>
          <t>다성이즈빌(166-59,도시형)</t>
        </is>
      </c>
      <c r="E2737" s="0" t="inlineStr">
        <is>
          <t>2019.09.</t>
        </is>
      </c>
      <c r="F2737" s="0" t="n">
        <v>20</v>
      </c>
      <c r="G2737" s="0" t="n">
        <v>8.92</v>
      </c>
      <c r="H2737" s="0" t="n">
        <v>29.5</v>
      </c>
      <c r="I2737" s="0" t="n">
        <v>6.83</v>
      </c>
      <c r="J2737" s="0" t="n">
        <v>22.6</v>
      </c>
      <c r="K2737" s="0" t="n">
        <v>5</v>
      </c>
      <c r="T2737" s="0" t="n">
        <v>1</v>
      </c>
      <c r="U2737" s="0" t="n">
        <v>1</v>
      </c>
      <c r="V2737" s="0" t="inlineStr">
        <is>
          <t>복도식</t>
        </is>
      </c>
      <c r="W2737" s="0" t="n">
        <v>29</v>
      </c>
      <c r="X2737" s="0" t="n">
        <v>13</v>
      </c>
      <c r="Y2737" s="0" t="n">
        <v>13</v>
      </c>
      <c r="Z2737" s="0" t="inlineStr">
        <is>
          <t>https://new.land.naver.com/complexes/127489?tab=detail&amp;rf=Y</t>
        </is>
      </c>
      <c r="AA2737" s="0" t="inlineStr">
        <is>
          <t>서울시 강동구 천호동 166-59</t>
        </is>
      </c>
      <c r="AB2737" s="0" t="inlineStr">
        <is>
          <t>서울시</t>
        </is>
      </c>
      <c r="AC2737" s="0" t="inlineStr">
        <is>
          <t>강동구</t>
        </is>
      </c>
      <c r="AD2737" s="0" t="inlineStr">
        <is>
          <t>천호동</t>
        </is>
      </c>
      <c r="AG2737" s="0" t="inlineStr">
        <is>
          <t>서울시 강동구 진황도로27가길 6-21</t>
        </is>
      </c>
      <c r="AH2737" s="0" t="n">
        <v>0</v>
      </c>
      <c r="AI2737" s="0" t="n">
        <v>397</v>
      </c>
      <c r="AJ2737" s="0" t="n">
        <v>57</v>
      </c>
      <c r="AK2737" s="0" t="n">
        <v>10</v>
      </c>
      <c r="AL2737" s="0" t="n">
        <v>0.5</v>
      </c>
    </row>
    <row r="2738">
      <c r="A2738" s="0" t="inlineStr">
        <is>
          <t>[천호동]</t>
        </is>
      </c>
      <c r="B2738" s="0" t="n">
        <v>127489</v>
      </c>
      <c r="C2738" s="0" t="n">
        <v>4</v>
      </c>
      <c r="D2738" s="0" t="inlineStr">
        <is>
          <t>다성이즈빌(166-59,도시형)</t>
        </is>
      </c>
      <c r="E2738" s="0" t="inlineStr">
        <is>
          <t>2019.09.</t>
        </is>
      </c>
      <c r="F2738" s="0" t="n">
        <v>20</v>
      </c>
      <c r="G2738" s="0" t="n">
        <v>10.32</v>
      </c>
      <c r="H2738" s="0" t="n">
        <v>34.14</v>
      </c>
      <c r="I2738" s="0" t="n">
        <v>7.91</v>
      </c>
      <c r="J2738" s="0" t="n">
        <v>26.15</v>
      </c>
      <c r="K2738" s="0" t="n">
        <v>5</v>
      </c>
      <c r="T2738" s="0" t="n">
        <v>1</v>
      </c>
      <c r="U2738" s="0" t="n">
        <v>1</v>
      </c>
      <c r="V2738" s="0" t="inlineStr">
        <is>
          <t>복도식</t>
        </is>
      </c>
      <c r="W2738" s="0" t="n">
        <v>34</v>
      </c>
      <c r="X2738" s="0" t="n">
        <v>13</v>
      </c>
      <c r="Y2738" s="0" t="n">
        <v>13</v>
      </c>
      <c r="Z2738" s="0" t="inlineStr">
        <is>
          <t>https://new.land.naver.com/complexes/127489?tab=detail&amp;rf=Y</t>
        </is>
      </c>
      <c r="AA2738" s="0" t="inlineStr">
        <is>
          <t>서울시 강동구 천호동 166-59</t>
        </is>
      </c>
      <c r="AB2738" s="0" t="inlineStr">
        <is>
          <t>서울시</t>
        </is>
      </c>
      <c r="AC2738" s="0" t="inlineStr">
        <is>
          <t>강동구</t>
        </is>
      </c>
      <c r="AD2738" s="0" t="inlineStr">
        <is>
          <t>천호동</t>
        </is>
      </c>
      <c r="AG2738" s="0" t="inlineStr">
        <is>
          <t>서울시 강동구 진황도로27가길 6-21</t>
        </is>
      </c>
      <c r="AH2738" s="0" t="n">
        <v>0</v>
      </c>
      <c r="AI2738" s="0" t="n">
        <v>397</v>
      </c>
      <c r="AJ2738" s="0" t="n">
        <v>57</v>
      </c>
      <c r="AK2738" s="0" t="n">
        <v>10</v>
      </c>
      <c r="AL2738" s="0" t="n">
        <v>0.5</v>
      </c>
    </row>
    <row r="2739">
      <c r="A2739" s="0" t="inlineStr">
        <is>
          <t>[천호동]</t>
        </is>
      </c>
      <c r="B2739" s="0" t="n">
        <v>129723</v>
      </c>
      <c r="C2739" s="0" t="n">
        <v>1</v>
      </c>
      <c r="D2739" s="0" t="inlineStr">
        <is>
          <t>다성이즈빌(167-57,도시형)</t>
        </is>
      </c>
      <c r="E2739" s="0" t="inlineStr">
        <is>
          <t>2019.12.</t>
        </is>
      </c>
      <c r="F2739" s="0" t="n">
        <v>20</v>
      </c>
      <c r="G2739" s="0" t="n">
        <v>6.59</v>
      </c>
      <c r="H2739" s="0" t="n">
        <v>21.79</v>
      </c>
      <c r="I2739" s="0" t="n">
        <v>5.05</v>
      </c>
      <c r="J2739" s="0" t="n">
        <v>16.71</v>
      </c>
      <c r="K2739" s="0" t="n">
        <v>5</v>
      </c>
      <c r="T2739" s="0" t="n">
        <v>1</v>
      </c>
      <c r="U2739" s="0" t="n">
        <v>1</v>
      </c>
      <c r="V2739" s="0" t="inlineStr">
        <is>
          <t>계단식</t>
        </is>
      </c>
      <c r="W2739" s="0" t="inlineStr">
        <is>
          <t>21A</t>
        </is>
      </c>
      <c r="X2739" s="0" t="n">
        <v>13</v>
      </c>
      <c r="Y2739" s="0" t="n">
        <v>13</v>
      </c>
      <c r="Z2739" s="0" t="inlineStr">
        <is>
          <t>https://new.land.naver.com/complexes/129723?tab=detail&amp;rf=Y</t>
        </is>
      </c>
      <c r="AA2739" s="0" t="inlineStr">
        <is>
          <t>서울시 강동구 천호동 167-57</t>
        </is>
      </c>
      <c r="AB2739" s="0" t="inlineStr">
        <is>
          <t>서울시</t>
        </is>
      </c>
      <c r="AC2739" s="0" t="inlineStr">
        <is>
          <t>강동구</t>
        </is>
      </c>
      <c r="AD2739" s="0" t="inlineStr">
        <is>
          <t>천호동</t>
        </is>
      </c>
      <c r="AG2739" s="0" t="inlineStr">
        <is>
          <t>서울시 강동구 성안로25길 59</t>
        </is>
      </c>
      <c r="AH2739" s="0" t="n">
        <v>0</v>
      </c>
      <c r="AI2739" s="0" t="n">
        <v>399</v>
      </c>
      <c r="AJ2739" s="0" t="n">
        <v>55</v>
      </c>
      <c r="AK2739" s="0" t="n">
        <v>10</v>
      </c>
      <c r="AL2739" s="0" t="n">
        <v>0.5</v>
      </c>
    </row>
    <row r="2740">
      <c r="A2740" s="0" t="inlineStr">
        <is>
          <t>[천호동]</t>
        </is>
      </c>
      <c r="B2740" s="0" t="n">
        <v>129723</v>
      </c>
      <c r="C2740" s="0" t="n">
        <v>2</v>
      </c>
      <c r="D2740" s="0" t="inlineStr">
        <is>
          <t>다성이즈빌(167-57,도시형)</t>
        </is>
      </c>
      <c r="E2740" s="0" t="inlineStr">
        <is>
          <t>2019.12.</t>
        </is>
      </c>
      <c r="F2740" s="0" t="n">
        <v>20</v>
      </c>
      <c r="G2740" s="0" t="n">
        <v>6.8</v>
      </c>
      <c r="H2740" s="0" t="n">
        <v>22.5</v>
      </c>
      <c r="I2740" s="0" t="n">
        <v>5.22</v>
      </c>
      <c r="J2740" s="0" t="n">
        <v>17.26</v>
      </c>
      <c r="K2740" s="0" t="n">
        <v>5</v>
      </c>
      <c r="T2740" s="0" t="n">
        <v>1</v>
      </c>
      <c r="U2740" s="0" t="n">
        <v>1</v>
      </c>
      <c r="V2740" s="0" t="inlineStr">
        <is>
          <t>계단식</t>
        </is>
      </c>
      <c r="W2740" s="0" t="inlineStr">
        <is>
          <t>22B</t>
        </is>
      </c>
      <c r="X2740" s="0" t="n">
        <v>13</v>
      </c>
      <c r="Y2740" s="0" t="n">
        <v>13</v>
      </c>
      <c r="Z2740" s="0" t="inlineStr">
        <is>
          <t>https://new.land.naver.com/complexes/129723?tab=detail&amp;rf=Y</t>
        </is>
      </c>
      <c r="AA2740" s="0" t="inlineStr">
        <is>
          <t>서울시 강동구 천호동 167-57</t>
        </is>
      </c>
      <c r="AB2740" s="0" t="inlineStr">
        <is>
          <t>서울시</t>
        </is>
      </c>
      <c r="AC2740" s="0" t="inlineStr">
        <is>
          <t>강동구</t>
        </is>
      </c>
      <c r="AD2740" s="0" t="inlineStr">
        <is>
          <t>천호동</t>
        </is>
      </c>
      <c r="AG2740" s="0" t="inlineStr">
        <is>
          <t>서울시 강동구 성안로25길 59</t>
        </is>
      </c>
      <c r="AH2740" s="0" t="n">
        <v>0</v>
      </c>
      <c r="AI2740" s="0" t="n">
        <v>399</v>
      </c>
      <c r="AJ2740" s="0" t="n">
        <v>55</v>
      </c>
      <c r="AK2740" s="0" t="n">
        <v>10</v>
      </c>
      <c r="AL2740" s="0" t="n">
        <v>0.5</v>
      </c>
    </row>
    <row r="2741">
      <c r="A2741" s="0" t="inlineStr">
        <is>
          <t>[천호동]</t>
        </is>
      </c>
      <c r="B2741" s="0" t="n">
        <v>129723</v>
      </c>
      <c r="C2741" s="0" t="n">
        <v>3</v>
      </c>
      <c r="D2741" s="0" t="inlineStr">
        <is>
          <t>다성이즈빌(167-57,도시형)</t>
        </is>
      </c>
      <c r="E2741" s="0" t="inlineStr">
        <is>
          <t>2019.12.</t>
        </is>
      </c>
      <c r="F2741" s="0" t="n">
        <v>20</v>
      </c>
      <c r="G2741" s="0" t="n">
        <v>6.9</v>
      </c>
      <c r="H2741" s="0" t="n">
        <v>22.81</v>
      </c>
      <c r="I2741" s="0" t="n">
        <v>5.29</v>
      </c>
      <c r="J2741" s="0" t="n">
        <v>17.5</v>
      </c>
      <c r="K2741" s="0" t="n">
        <v>5</v>
      </c>
      <c r="T2741" s="0" t="n">
        <v>1</v>
      </c>
      <c r="U2741" s="0" t="n">
        <v>1</v>
      </c>
      <c r="V2741" s="0" t="inlineStr">
        <is>
          <t>계단식</t>
        </is>
      </c>
      <c r="W2741" s="0" t="inlineStr">
        <is>
          <t>22C</t>
        </is>
      </c>
      <c r="X2741" s="0" t="n">
        <v>13</v>
      </c>
      <c r="Y2741" s="0" t="n">
        <v>13</v>
      </c>
      <c r="Z2741" s="0" t="inlineStr">
        <is>
          <t>https://new.land.naver.com/complexes/129723?tab=detail&amp;rf=Y</t>
        </is>
      </c>
      <c r="AA2741" s="0" t="inlineStr">
        <is>
          <t>서울시 강동구 천호동 167-57</t>
        </is>
      </c>
      <c r="AB2741" s="0" t="inlineStr">
        <is>
          <t>서울시</t>
        </is>
      </c>
      <c r="AC2741" s="0" t="inlineStr">
        <is>
          <t>강동구</t>
        </is>
      </c>
      <c r="AD2741" s="0" t="inlineStr">
        <is>
          <t>천호동</t>
        </is>
      </c>
      <c r="AG2741" s="0" t="inlineStr">
        <is>
          <t>서울시 강동구 성안로25길 59</t>
        </is>
      </c>
      <c r="AH2741" s="0" t="n">
        <v>0</v>
      </c>
      <c r="AI2741" s="0" t="n">
        <v>399</v>
      </c>
      <c r="AJ2741" s="0" t="n">
        <v>55</v>
      </c>
      <c r="AK2741" s="0" t="n">
        <v>10</v>
      </c>
      <c r="AL2741" s="0" t="n">
        <v>0.5</v>
      </c>
    </row>
    <row r="2742">
      <c r="A2742" s="0" t="inlineStr">
        <is>
          <t>[천호동]</t>
        </is>
      </c>
      <c r="B2742" s="0" t="n">
        <v>129723</v>
      </c>
      <c r="C2742" s="0" t="n">
        <v>4</v>
      </c>
      <c r="D2742" s="0" t="inlineStr">
        <is>
          <t>다성이즈빌(167-57,도시형)</t>
        </is>
      </c>
      <c r="E2742" s="0" t="inlineStr">
        <is>
          <t>2019.12.</t>
        </is>
      </c>
      <c r="F2742" s="0" t="n">
        <v>20</v>
      </c>
      <c r="G2742" s="0" t="n">
        <v>7.67</v>
      </c>
      <c r="H2742" s="0" t="n">
        <v>25.38</v>
      </c>
      <c r="I2742" s="0" t="n">
        <v>5.88</v>
      </c>
      <c r="J2742" s="0" t="n">
        <v>19.46</v>
      </c>
      <c r="K2742" s="0" t="n">
        <v>5</v>
      </c>
      <c r="T2742" s="0" t="n">
        <v>1</v>
      </c>
      <c r="U2742" s="0" t="n">
        <v>1</v>
      </c>
      <c r="V2742" s="0" t="inlineStr">
        <is>
          <t>계단식</t>
        </is>
      </c>
      <c r="W2742" s="0" t="n">
        <v>25</v>
      </c>
      <c r="X2742" s="0" t="n">
        <v>13</v>
      </c>
      <c r="Y2742" s="0" t="n">
        <v>13</v>
      </c>
      <c r="Z2742" s="0" t="inlineStr">
        <is>
          <t>https://new.land.naver.com/complexes/129723?tab=detail&amp;rf=Y</t>
        </is>
      </c>
      <c r="AA2742" s="0" t="inlineStr">
        <is>
          <t>서울시 강동구 천호동 167-57</t>
        </is>
      </c>
      <c r="AB2742" s="0" t="inlineStr">
        <is>
          <t>서울시</t>
        </is>
      </c>
      <c r="AC2742" s="0" t="inlineStr">
        <is>
          <t>강동구</t>
        </is>
      </c>
      <c r="AD2742" s="0" t="inlineStr">
        <is>
          <t>천호동</t>
        </is>
      </c>
      <c r="AG2742" s="0" t="inlineStr">
        <is>
          <t>서울시 강동구 성안로25길 59</t>
        </is>
      </c>
      <c r="AH2742" s="0" t="n">
        <v>0</v>
      </c>
      <c r="AI2742" s="0" t="n">
        <v>399</v>
      </c>
      <c r="AJ2742" s="0" t="n">
        <v>55</v>
      </c>
      <c r="AK2742" s="0" t="n">
        <v>10</v>
      </c>
      <c r="AL2742" s="0" t="n">
        <v>0.5</v>
      </c>
    </row>
    <row r="2743">
      <c r="A2743" s="0" t="inlineStr">
        <is>
          <t>[천호동]</t>
        </is>
      </c>
      <c r="B2743" s="0" t="n">
        <v>134509</v>
      </c>
      <c r="C2743" s="0" t="n">
        <v>1</v>
      </c>
      <c r="D2743" s="0" t="inlineStr">
        <is>
          <t>신주</t>
        </is>
      </c>
      <c r="E2743" s="0" t="inlineStr">
        <is>
          <t>2001.09.</t>
        </is>
      </c>
      <c r="F2743" s="0" t="n">
        <v>10</v>
      </c>
      <c r="G2743" s="0" t="n">
        <v>17.09</v>
      </c>
      <c r="H2743" s="0" t="n">
        <v>56.5</v>
      </c>
      <c r="I2743" s="0" t="n">
        <v>14.94</v>
      </c>
      <c r="J2743" s="0" t="n">
        <v>49.41</v>
      </c>
      <c r="K2743" s="0" t="n">
        <v>1</v>
      </c>
      <c r="T2743" s="0" t="n">
        <v>2</v>
      </c>
      <c r="U2743" s="0" t="n">
        <v>1</v>
      </c>
      <c r="V2743" s="0" t="inlineStr">
        <is>
          <t>계단식</t>
        </is>
      </c>
      <c r="W2743" s="0" t="n">
        <v>56</v>
      </c>
      <c r="X2743" s="0" t="n">
        <v>6</v>
      </c>
      <c r="Y2743" s="0" t="n">
        <v>6</v>
      </c>
      <c r="Z2743" s="0" t="inlineStr">
        <is>
          <t>https://new.land.naver.com/complexes/134509?tab=detail&amp;rf=Y</t>
        </is>
      </c>
      <c r="AA2743" s="0" t="inlineStr">
        <is>
          <t>서울시 강동구 천호동 313</t>
        </is>
      </c>
      <c r="AB2743" s="0" t="inlineStr">
        <is>
          <t>서울시</t>
        </is>
      </c>
      <c r="AC2743" s="0" t="inlineStr">
        <is>
          <t>강동구</t>
        </is>
      </c>
      <c r="AD2743" s="0" t="inlineStr">
        <is>
          <t>천호동</t>
        </is>
      </c>
      <c r="AG2743" s="0" t="inlineStr">
        <is>
          <t>서울시 강동구 천중로11길 24</t>
        </is>
      </c>
      <c r="AH2743" s="0" t="n">
        <v>0</v>
      </c>
      <c r="AI2743" s="0" t="n">
        <v>266</v>
      </c>
      <c r="AJ2743" s="0" t="n">
        <v>59</v>
      </c>
      <c r="AK2743" s="0" t="n">
        <v>8</v>
      </c>
      <c r="AL2743" s="0" t="n">
        <v>0.8</v>
      </c>
    </row>
    <row r="2744">
      <c r="A2744" s="0" t="inlineStr">
        <is>
          <t>[천호동]</t>
        </is>
      </c>
      <c r="B2744" s="0" t="n">
        <v>134509</v>
      </c>
      <c r="C2744" s="0" t="n">
        <v>2</v>
      </c>
      <c r="D2744" s="0" t="inlineStr">
        <is>
          <t>신주</t>
        </is>
      </c>
      <c r="E2744" s="0" t="inlineStr">
        <is>
          <t>2001.09.</t>
        </is>
      </c>
      <c r="F2744" s="0" t="n">
        <v>10</v>
      </c>
      <c r="G2744" s="0" t="n">
        <v>17.49</v>
      </c>
      <c r="H2744" s="0" t="n">
        <v>57.84</v>
      </c>
      <c r="I2744" s="0" t="n">
        <v>15.3</v>
      </c>
      <c r="J2744" s="0" t="n">
        <v>50.58</v>
      </c>
      <c r="K2744" s="0" t="n">
        <v>1</v>
      </c>
      <c r="T2744" s="0" t="n">
        <v>2</v>
      </c>
      <c r="U2744" s="0" t="n">
        <v>1</v>
      </c>
      <c r="V2744" s="0" t="inlineStr">
        <is>
          <t>계단식</t>
        </is>
      </c>
      <c r="W2744" s="0" t="n">
        <v>57</v>
      </c>
      <c r="X2744" s="0" t="n">
        <v>6</v>
      </c>
      <c r="Y2744" s="0" t="n">
        <v>6</v>
      </c>
      <c r="Z2744" s="0" t="inlineStr">
        <is>
          <t>https://new.land.naver.com/complexes/134509?tab=detail&amp;rf=Y</t>
        </is>
      </c>
      <c r="AA2744" s="0" t="inlineStr">
        <is>
          <t>서울시 강동구 천호동 313</t>
        </is>
      </c>
      <c r="AB2744" s="0" t="inlineStr">
        <is>
          <t>서울시</t>
        </is>
      </c>
      <c r="AC2744" s="0" t="inlineStr">
        <is>
          <t>강동구</t>
        </is>
      </c>
      <c r="AD2744" s="0" t="inlineStr">
        <is>
          <t>천호동</t>
        </is>
      </c>
      <c r="AG2744" s="0" t="inlineStr">
        <is>
          <t>서울시 강동구 천중로11길 24</t>
        </is>
      </c>
      <c r="AH2744" s="0" t="n">
        <v>0</v>
      </c>
      <c r="AI2744" s="0" t="n">
        <v>266</v>
      </c>
      <c r="AJ2744" s="0" t="n">
        <v>59</v>
      </c>
      <c r="AK2744" s="0" t="n">
        <v>8</v>
      </c>
      <c r="AL2744" s="0" t="n">
        <v>0.8</v>
      </c>
    </row>
    <row r="2745">
      <c r="A2745" s="0" t="inlineStr">
        <is>
          <t>[천호동]</t>
        </is>
      </c>
      <c r="B2745" s="0" t="n">
        <v>134509</v>
      </c>
      <c r="C2745" s="0" t="n">
        <v>3</v>
      </c>
      <c r="D2745" s="0" t="inlineStr">
        <is>
          <t>신주</t>
        </is>
      </c>
      <c r="E2745" s="0" t="inlineStr">
        <is>
          <t>2001.09.</t>
        </is>
      </c>
      <c r="F2745" s="0" t="n">
        <v>10</v>
      </c>
      <c r="G2745" s="0" t="n">
        <v>21.58</v>
      </c>
      <c r="H2745" s="0" t="n">
        <v>71.37</v>
      </c>
      <c r="I2745" s="0" t="n">
        <v>18.87</v>
      </c>
      <c r="J2745" s="0" t="n">
        <v>62.41</v>
      </c>
      <c r="K2745" s="0" t="n">
        <v>1</v>
      </c>
      <c r="T2745" s="0" t="n">
        <v>3</v>
      </c>
      <c r="U2745" s="0" t="n">
        <v>1</v>
      </c>
      <c r="V2745" s="0" t="inlineStr">
        <is>
          <t>계단식</t>
        </is>
      </c>
      <c r="W2745" s="0" t="n">
        <v>71</v>
      </c>
      <c r="X2745" s="0" t="n">
        <v>6</v>
      </c>
      <c r="Y2745" s="0" t="n">
        <v>6</v>
      </c>
      <c r="Z2745" s="0" t="inlineStr">
        <is>
          <t>https://new.land.naver.com/complexes/134509?tab=detail&amp;rf=Y</t>
        </is>
      </c>
      <c r="AA2745" s="0" t="inlineStr">
        <is>
          <t>서울시 강동구 천호동 313</t>
        </is>
      </c>
      <c r="AB2745" s="0" t="inlineStr">
        <is>
          <t>서울시</t>
        </is>
      </c>
      <c r="AC2745" s="0" t="inlineStr">
        <is>
          <t>강동구</t>
        </is>
      </c>
      <c r="AD2745" s="0" t="inlineStr">
        <is>
          <t>천호동</t>
        </is>
      </c>
      <c r="AG2745" s="0" t="inlineStr">
        <is>
          <t>서울시 강동구 천중로11길 24</t>
        </is>
      </c>
      <c r="AH2745" s="0" t="n">
        <v>0</v>
      </c>
      <c r="AI2745" s="0" t="n">
        <v>266</v>
      </c>
      <c r="AJ2745" s="0" t="n">
        <v>59</v>
      </c>
      <c r="AK2745" s="0" t="n">
        <v>8</v>
      </c>
      <c r="AL2745" s="0" t="n">
        <v>0.8</v>
      </c>
    </row>
    <row r="2746">
      <c r="A2746" s="0" t="inlineStr">
        <is>
          <t>[천호동]</t>
        </is>
      </c>
      <c r="B2746" s="0" t="n">
        <v>134509</v>
      </c>
      <c r="C2746" s="0" t="n">
        <v>4</v>
      </c>
      <c r="D2746" s="0" t="inlineStr">
        <is>
          <t>신주</t>
        </is>
      </c>
      <c r="E2746" s="0" t="inlineStr">
        <is>
          <t>2001.09.</t>
        </is>
      </c>
      <c r="F2746" s="0" t="n">
        <v>10</v>
      </c>
      <c r="G2746" s="0" t="n">
        <v>22.53</v>
      </c>
      <c r="H2746" s="0" t="n">
        <v>74.51000000000001</v>
      </c>
      <c r="I2746" s="0" t="n">
        <v>19.71</v>
      </c>
      <c r="J2746" s="0" t="n">
        <v>65.16</v>
      </c>
      <c r="K2746" s="0" t="n">
        <v>3</v>
      </c>
      <c r="T2746" s="0" t="n">
        <v>3</v>
      </c>
      <c r="U2746" s="0" t="n">
        <v>1</v>
      </c>
      <c r="V2746" s="0" t="inlineStr">
        <is>
          <t>계단식</t>
        </is>
      </c>
      <c r="W2746" s="0" t="n">
        <v>74</v>
      </c>
      <c r="X2746" s="0" t="n">
        <v>6</v>
      </c>
      <c r="Y2746" s="0" t="n">
        <v>6</v>
      </c>
      <c r="Z2746" s="0" t="inlineStr">
        <is>
          <t>https://new.land.naver.com/complexes/134509?tab=detail&amp;rf=Y</t>
        </is>
      </c>
      <c r="AA2746" s="0" t="inlineStr">
        <is>
          <t>서울시 강동구 천호동 313</t>
        </is>
      </c>
      <c r="AB2746" s="0" t="inlineStr">
        <is>
          <t>서울시</t>
        </is>
      </c>
      <c r="AC2746" s="0" t="inlineStr">
        <is>
          <t>강동구</t>
        </is>
      </c>
      <c r="AD2746" s="0" t="inlineStr">
        <is>
          <t>천호동</t>
        </is>
      </c>
      <c r="AG2746" s="0" t="inlineStr">
        <is>
          <t>서울시 강동구 천중로11길 24</t>
        </is>
      </c>
      <c r="AH2746" s="0" t="n">
        <v>0</v>
      </c>
      <c r="AI2746" s="0" t="n">
        <v>266</v>
      </c>
      <c r="AJ2746" s="0" t="n">
        <v>59</v>
      </c>
      <c r="AK2746" s="0" t="n">
        <v>8</v>
      </c>
      <c r="AL2746" s="0" t="n">
        <v>0.8</v>
      </c>
    </row>
    <row r="2747">
      <c r="A2747" s="0" t="inlineStr">
        <is>
          <t>[천호동]</t>
        </is>
      </c>
      <c r="B2747" s="0" t="n">
        <v>134509</v>
      </c>
      <c r="C2747" s="0" t="n">
        <v>5</v>
      </c>
      <c r="D2747" s="0" t="inlineStr">
        <is>
          <t>신주</t>
        </is>
      </c>
      <c r="E2747" s="0" t="inlineStr">
        <is>
          <t>2001.09.</t>
        </is>
      </c>
      <c r="F2747" s="0" t="n">
        <v>10</v>
      </c>
      <c r="G2747" s="0" t="n">
        <v>23.68</v>
      </c>
      <c r="H2747" s="0" t="n">
        <v>78.29000000000001</v>
      </c>
      <c r="I2747" s="0" t="n">
        <v>20.7</v>
      </c>
      <c r="J2747" s="0" t="n">
        <v>68.45999999999999</v>
      </c>
      <c r="K2747" s="0" t="n">
        <v>4</v>
      </c>
      <c r="T2747" s="0" t="n">
        <v>3</v>
      </c>
      <c r="U2747" s="0" t="n">
        <v>1</v>
      </c>
      <c r="V2747" s="0" t="inlineStr">
        <is>
          <t>계단식</t>
        </is>
      </c>
      <c r="W2747" s="0" t="n">
        <v>78</v>
      </c>
      <c r="X2747" s="0" t="n">
        <v>6</v>
      </c>
      <c r="Y2747" s="0" t="n">
        <v>6</v>
      </c>
      <c r="Z2747" s="0" t="inlineStr">
        <is>
          <t>https://new.land.naver.com/complexes/134509?tab=detail&amp;rf=Y</t>
        </is>
      </c>
      <c r="AA2747" s="0" t="inlineStr">
        <is>
          <t>서울시 강동구 천호동 313</t>
        </is>
      </c>
      <c r="AB2747" s="0" t="inlineStr">
        <is>
          <t>서울시</t>
        </is>
      </c>
      <c r="AC2747" s="0" t="inlineStr">
        <is>
          <t>강동구</t>
        </is>
      </c>
      <c r="AD2747" s="0" t="inlineStr">
        <is>
          <t>천호동</t>
        </is>
      </c>
      <c r="AG2747" s="0" t="inlineStr">
        <is>
          <t>서울시 강동구 천중로11길 24</t>
        </is>
      </c>
      <c r="AH2747" s="0" t="n">
        <v>0</v>
      </c>
      <c r="AI2747" s="0" t="n">
        <v>266</v>
      </c>
      <c r="AJ2747" s="0" t="n">
        <v>59</v>
      </c>
      <c r="AK2747" s="0" t="n">
        <v>8</v>
      </c>
      <c r="AL2747" s="0" t="n">
        <v>0.8</v>
      </c>
    </row>
    <row r="2748">
      <c r="A2748" s="0" t="inlineStr">
        <is>
          <t>[천호동]</t>
        </is>
      </c>
      <c r="B2748" s="0" t="n">
        <v>7956</v>
      </c>
      <c r="C2748" s="0" t="n">
        <v>1</v>
      </c>
      <c r="D2748" s="0" t="inlineStr">
        <is>
          <t>동아하이빌</t>
        </is>
      </c>
      <c r="E2748" s="0" t="inlineStr">
        <is>
          <t>2000.06.</t>
        </is>
      </c>
      <c r="F2748" s="0" t="n">
        <v>526</v>
      </c>
      <c r="G2748" s="0" t="n">
        <v>23.68</v>
      </c>
      <c r="H2748" s="0" t="n">
        <v>78.29000000000001</v>
      </c>
      <c r="I2748" s="0" t="n">
        <v>18.14</v>
      </c>
      <c r="J2748" s="0" t="n">
        <v>59.98</v>
      </c>
      <c r="K2748" s="0" t="n">
        <v>17</v>
      </c>
      <c r="T2748" s="0" t="n">
        <v>3</v>
      </c>
      <c r="U2748" s="0" t="n">
        <v>1</v>
      </c>
      <c r="V2748" s="0" t="inlineStr">
        <is>
          <t>계단식</t>
        </is>
      </c>
      <c r="W2748" s="0" t="n">
        <v>78</v>
      </c>
      <c r="X2748" s="0" t="n">
        <v>25</v>
      </c>
      <c r="Y2748" s="0" t="n">
        <v>14</v>
      </c>
      <c r="Z2748" s="0" t="inlineStr">
        <is>
          <t>https://new.land.naver.com/complexes/7956?tab=detail&amp;rf=Y</t>
        </is>
      </c>
      <c r="AA2748" s="0" t="inlineStr">
        <is>
          <t>서울시 강동구 천호동 217-132</t>
        </is>
      </c>
      <c r="AB2748" s="0" t="inlineStr">
        <is>
          <t>서울시</t>
        </is>
      </c>
      <c r="AC2748" s="0" t="inlineStr">
        <is>
          <t>강동구</t>
        </is>
      </c>
      <c r="AD2748" s="0" t="inlineStr">
        <is>
          <t>천호동</t>
        </is>
      </c>
      <c r="AG2748" s="0" t="inlineStr">
        <is>
          <t>서울시 강동구 구천면로 278</t>
        </is>
      </c>
      <c r="AH2748" s="0" t="n">
        <v>0</v>
      </c>
      <c r="AI2748" s="0" t="n">
        <v>313</v>
      </c>
      <c r="AJ2748" s="0" t="n">
        <v>21</v>
      </c>
      <c r="AK2748" s="0" t="n">
        <v>551</v>
      </c>
      <c r="AL2748" s="0" t="n">
        <v>1.05</v>
      </c>
    </row>
    <row r="2749">
      <c r="A2749" s="0" t="inlineStr">
        <is>
          <t>[천호동]</t>
        </is>
      </c>
      <c r="B2749" s="0" t="n">
        <v>7956</v>
      </c>
      <c r="C2749" s="0" t="n">
        <v>2</v>
      </c>
      <c r="D2749" s="0" t="inlineStr">
        <is>
          <t>동아하이빌</t>
        </is>
      </c>
      <c r="E2749" s="0" t="inlineStr">
        <is>
          <t>2000.06.</t>
        </is>
      </c>
      <c r="F2749" s="0" t="n">
        <v>526</v>
      </c>
      <c r="G2749" s="0" t="n">
        <v>26.3</v>
      </c>
      <c r="H2749" s="0" t="n">
        <v>86.97</v>
      </c>
      <c r="I2749" s="0" t="n">
        <v>18.14</v>
      </c>
      <c r="J2749" s="0" t="n">
        <v>59.98</v>
      </c>
      <c r="K2749" s="0" t="n">
        <v>194</v>
      </c>
      <c r="T2749" s="0" t="n">
        <v>3</v>
      </c>
      <c r="U2749" s="0" t="n">
        <v>1</v>
      </c>
      <c r="V2749" s="0" t="inlineStr">
        <is>
          <t>복도식</t>
        </is>
      </c>
      <c r="W2749" s="0" t="n">
        <v>86</v>
      </c>
      <c r="X2749" s="0" t="n">
        <v>25</v>
      </c>
      <c r="Y2749" s="0" t="n">
        <v>14</v>
      </c>
      <c r="Z2749" s="0" t="inlineStr">
        <is>
          <t>https://new.land.naver.com/complexes/7956?tab=detail&amp;rf=Y</t>
        </is>
      </c>
      <c r="AA2749" s="0" t="inlineStr">
        <is>
          <t>서울시 강동구 천호동 217-132</t>
        </is>
      </c>
      <c r="AB2749" s="0" t="inlineStr">
        <is>
          <t>서울시</t>
        </is>
      </c>
      <c r="AC2749" s="0" t="inlineStr">
        <is>
          <t>강동구</t>
        </is>
      </c>
      <c r="AD2749" s="0" t="inlineStr">
        <is>
          <t>천호동</t>
        </is>
      </c>
      <c r="AG2749" s="0" t="inlineStr">
        <is>
          <t>서울시 강동구 구천면로 278</t>
        </is>
      </c>
      <c r="AH2749" s="0" t="n">
        <v>0</v>
      </c>
      <c r="AI2749" s="0" t="n">
        <v>313</v>
      </c>
      <c r="AJ2749" s="0" t="n">
        <v>21</v>
      </c>
      <c r="AK2749" s="0" t="n">
        <v>551</v>
      </c>
      <c r="AL2749" s="0" t="n">
        <v>1.05</v>
      </c>
    </row>
    <row r="2750">
      <c r="A2750" s="0" t="inlineStr">
        <is>
          <t>[천호동]</t>
        </is>
      </c>
      <c r="B2750" s="0" t="n">
        <v>7956</v>
      </c>
      <c r="C2750" s="0" t="n">
        <v>3</v>
      </c>
      <c r="D2750" s="0" t="inlineStr">
        <is>
          <t>동아하이빌</t>
        </is>
      </c>
      <c r="E2750" s="0" t="inlineStr">
        <is>
          <t>2000.06.</t>
        </is>
      </c>
      <c r="F2750" s="0" t="n">
        <v>526</v>
      </c>
      <c r="G2750" s="0" t="n">
        <v>32.6</v>
      </c>
      <c r="H2750" s="0" t="n">
        <v>107.8</v>
      </c>
      <c r="I2750" s="0" t="n">
        <v>24.98</v>
      </c>
      <c r="J2750" s="0" t="n">
        <v>82.59</v>
      </c>
      <c r="K2750" s="0" t="n">
        <v>3</v>
      </c>
      <c r="T2750" s="0" t="n">
        <v>3</v>
      </c>
      <c r="U2750" s="0" t="n">
        <v>2</v>
      </c>
      <c r="V2750" s="0" t="inlineStr">
        <is>
          <t>계단식</t>
        </is>
      </c>
      <c r="W2750" s="0" t="n">
        <v>107</v>
      </c>
      <c r="X2750" s="0" t="n">
        <v>25</v>
      </c>
      <c r="Y2750" s="0" t="n">
        <v>14</v>
      </c>
      <c r="Z2750" s="0" t="inlineStr">
        <is>
          <t>https://new.land.naver.com/complexes/7956?tab=detail&amp;rf=Y</t>
        </is>
      </c>
      <c r="AA2750" s="0" t="inlineStr">
        <is>
          <t>서울시 강동구 천호동 217-132</t>
        </is>
      </c>
      <c r="AB2750" s="0" t="inlineStr">
        <is>
          <t>서울시</t>
        </is>
      </c>
      <c r="AC2750" s="0" t="inlineStr">
        <is>
          <t>강동구</t>
        </is>
      </c>
      <c r="AD2750" s="0" t="inlineStr">
        <is>
          <t>천호동</t>
        </is>
      </c>
      <c r="AG2750" s="0" t="inlineStr">
        <is>
          <t>서울시 강동구 구천면로 278</t>
        </is>
      </c>
      <c r="AH2750" s="0" t="n">
        <v>0</v>
      </c>
      <c r="AI2750" s="0" t="n">
        <v>313</v>
      </c>
      <c r="AJ2750" s="0" t="n">
        <v>21</v>
      </c>
      <c r="AK2750" s="0" t="n">
        <v>551</v>
      </c>
      <c r="AL2750" s="0" t="n">
        <v>1.05</v>
      </c>
    </row>
    <row r="2751">
      <c r="A2751" s="0" t="inlineStr">
        <is>
          <t>[천호동]</t>
        </is>
      </c>
      <c r="B2751" s="0" t="n">
        <v>7956</v>
      </c>
      <c r="C2751" s="0" t="n">
        <v>4</v>
      </c>
      <c r="D2751" s="0" t="inlineStr">
        <is>
          <t>동아하이빌</t>
        </is>
      </c>
      <c r="E2751" s="0" t="inlineStr">
        <is>
          <t>2000.06.</t>
        </is>
      </c>
      <c r="F2751" s="0" t="n">
        <v>526</v>
      </c>
      <c r="G2751" s="0" t="n">
        <v>33.55</v>
      </c>
      <c r="H2751" s="0" t="n">
        <v>110.92</v>
      </c>
      <c r="I2751" s="0" t="n">
        <v>25.7</v>
      </c>
      <c r="J2751" s="0" t="n">
        <v>84.97</v>
      </c>
      <c r="K2751" s="0" t="n">
        <v>295</v>
      </c>
      <c r="T2751" s="0" t="n">
        <v>3</v>
      </c>
      <c r="U2751" s="0" t="n">
        <v>2</v>
      </c>
      <c r="V2751" s="0" t="inlineStr">
        <is>
          <t>계단식</t>
        </is>
      </c>
      <c r="W2751" s="0" t="n">
        <v>110</v>
      </c>
      <c r="X2751" s="0" t="n">
        <v>25</v>
      </c>
      <c r="Y2751" s="0" t="n">
        <v>14</v>
      </c>
      <c r="Z2751" s="0" t="inlineStr">
        <is>
          <t>https://new.land.naver.com/complexes/7956?tab=detail&amp;rf=Y</t>
        </is>
      </c>
      <c r="AA2751" s="0" t="inlineStr">
        <is>
          <t>서울시 강동구 천호동 217-132</t>
        </is>
      </c>
      <c r="AB2751" s="0" t="inlineStr">
        <is>
          <t>서울시</t>
        </is>
      </c>
      <c r="AC2751" s="0" t="inlineStr">
        <is>
          <t>강동구</t>
        </is>
      </c>
      <c r="AD2751" s="0" t="inlineStr">
        <is>
          <t>천호동</t>
        </is>
      </c>
      <c r="AG2751" s="0" t="inlineStr">
        <is>
          <t>서울시 강동구 구천면로 278</t>
        </is>
      </c>
      <c r="AH2751" s="0" t="n">
        <v>0</v>
      </c>
      <c r="AI2751" s="0" t="n">
        <v>313</v>
      </c>
      <c r="AJ2751" s="0" t="n">
        <v>21</v>
      </c>
      <c r="AK2751" s="0" t="n">
        <v>551</v>
      </c>
      <c r="AL2751" s="0" t="n">
        <v>1.05</v>
      </c>
    </row>
    <row r="2752">
      <c r="A2752" s="0" t="inlineStr">
        <is>
          <t>[천호동]</t>
        </is>
      </c>
      <c r="B2752" s="0" t="n">
        <v>7956</v>
      </c>
      <c r="C2752" s="0" t="n">
        <v>5</v>
      </c>
      <c r="D2752" s="0" t="inlineStr">
        <is>
          <t>동아하이빌</t>
        </is>
      </c>
      <c r="E2752" s="0" t="inlineStr">
        <is>
          <t>2000.06.</t>
        </is>
      </c>
      <c r="F2752" s="0" t="n">
        <v>526</v>
      </c>
      <c r="G2752" s="0" t="n">
        <v>45.39</v>
      </c>
      <c r="H2752" s="0" t="n">
        <v>150.07</v>
      </c>
      <c r="I2752" s="0" t="n">
        <v>34.78</v>
      </c>
      <c r="J2752" s="0" t="n">
        <v>114.98</v>
      </c>
      <c r="K2752" s="0" t="n">
        <v>17</v>
      </c>
      <c r="T2752" s="0" t="n">
        <v>4</v>
      </c>
      <c r="U2752" s="0" t="n">
        <v>2</v>
      </c>
      <c r="V2752" s="0" t="inlineStr">
        <is>
          <t>계단식</t>
        </is>
      </c>
      <c r="W2752" s="0" t="n">
        <v>150</v>
      </c>
      <c r="X2752" s="0" t="n">
        <v>25</v>
      </c>
      <c r="Y2752" s="0" t="n">
        <v>14</v>
      </c>
      <c r="Z2752" s="0" t="inlineStr">
        <is>
          <t>https://new.land.naver.com/complexes/7956?tab=detail&amp;rf=Y</t>
        </is>
      </c>
      <c r="AA2752" s="0" t="inlineStr">
        <is>
          <t>서울시 강동구 천호동 217-132</t>
        </is>
      </c>
      <c r="AB2752" s="0" t="inlineStr">
        <is>
          <t>서울시</t>
        </is>
      </c>
      <c r="AC2752" s="0" t="inlineStr">
        <is>
          <t>강동구</t>
        </is>
      </c>
      <c r="AD2752" s="0" t="inlineStr">
        <is>
          <t>천호동</t>
        </is>
      </c>
      <c r="AG2752" s="0" t="inlineStr">
        <is>
          <t>서울시 강동구 구천면로 278</t>
        </is>
      </c>
      <c r="AH2752" s="0" t="n">
        <v>0</v>
      </c>
      <c r="AI2752" s="0" t="n">
        <v>313</v>
      </c>
      <c r="AJ2752" s="0" t="n">
        <v>21</v>
      </c>
      <c r="AK2752" s="0" t="n">
        <v>551</v>
      </c>
      <c r="AL2752" s="0" t="n">
        <v>1.05</v>
      </c>
    </row>
    <row r="2753">
      <c r="A2753" s="0" t="inlineStr">
        <is>
          <t>[천호동]</t>
        </is>
      </c>
      <c r="B2753" s="0" t="n">
        <v>102246</v>
      </c>
      <c r="C2753" s="0" t="n">
        <v>1</v>
      </c>
      <c r="D2753" s="0" t="inlineStr">
        <is>
          <t>신주(27-6)</t>
        </is>
      </c>
      <c r="E2753" s="0" t="inlineStr">
        <is>
          <t>2002.09.</t>
        </is>
      </c>
      <c r="F2753" s="0" t="n">
        <v>12</v>
      </c>
      <c r="G2753" s="0" t="n">
        <v>22.09</v>
      </c>
      <c r="H2753" s="0" t="n">
        <v>73.04000000000001</v>
      </c>
      <c r="I2753" s="0" t="n">
        <v>19.43</v>
      </c>
      <c r="J2753" s="0" t="n">
        <v>64.26000000000001</v>
      </c>
      <c r="K2753" s="0" t="n">
        <v>2</v>
      </c>
      <c r="T2753" s="0" t="n">
        <v>2</v>
      </c>
      <c r="U2753" s="0" t="n">
        <v>1</v>
      </c>
      <c r="V2753" s="0" t="inlineStr">
        <is>
          <t>계단식</t>
        </is>
      </c>
      <c r="W2753" s="0" t="n">
        <v>73</v>
      </c>
      <c r="X2753" s="0" t="n">
        <v>7</v>
      </c>
      <c r="Y2753" s="0" t="n">
        <v>7</v>
      </c>
      <c r="Z2753" s="0" t="inlineStr">
        <is>
          <t>https://new.land.naver.com/complexes/102246?tab=detail&amp;rf=Y</t>
        </is>
      </c>
      <c r="AA2753" s="0" t="inlineStr">
        <is>
          <t>서울시 강동구 천호동 27-6</t>
        </is>
      </c>
      <c r="AB2753" s="0" t="inlineStr">
        <is>
          <t>서울시</t>
        </is>
      </c>
      <c r="AC2753" s="0" t="inlineStr">
        <is>
          <t>강동구</t>
        </is>
      </c>
      <c r="AD2753" s="0" t="inlineStr">
        <is>
          <t>천호동</t>
        </is>
      </c>
      <c r="AG2753" s="0" t="inlineStr">
        <is>
          <t>서울시 강동구 상암로41길 67-8</t>
        </is>
      </c>
      <c r="AH2753" s="0" t="n">
        <v>0</v>
      </c>
      <c r="AI2753" s="0" t="n">
        <v>215</v>
      </c>
      <c r="AJ2753" s="0" t="n">
        <v>39</v>
      </c>
      <c r="AK2753" s="0" t="n">
        <v>13</v>
      </c>
      <c r="AL2753" s="0" t="n">
        <v>1.08</v>
      </c>
    </row>
    <row r="2754">
      <c r="A2754" s="0" t="inlineStr">
        <is>
          <t>[천호동]</t>
        </is>
      </c>
      <c r="B2754" s="0" t="n">
        <v>102246</v>
      </c>
      <c r="C2754" s="0" t="n">
        <v>2</v>
      </c>
      <c r="D2754" s="0" t="inlineStr">
        <is>
          <t>신주(27-6)</t>
        </is>
      </c>
      <c r="E2754" s="0" t="inlineStr">
        <is>
          <t>2002.09.</t>
        </is>
      </c>
      <c r="F2754" s="0" t="n">
        <v>12</v>
      </c>
      <c r="G2754" s="0" t="n">
        <v>28.85</v>
      </c>
      <c r="H2754" s="0" t="n">
        <v>95.38</v>
      </c>
      <c r="I2754" s="0" t="n">
        <v>25.38</v>
      </c>
      <c r="J2754" s="0" t="n">
        <v>83.92</v>
      </c>
      <c r="K2754" s="0" t="n">
        <v>2</v>
      </c>
      <c r="T2754" s="0" t="n">
        <v>3</v>
      </c>
      <c r="U2754" s="0" t="n">
        <v>2</v>
      </c>
      <c r="V2754" s="0" t="inlineStr">
        <is>
          <t>계단식</t>
        </is>
      </c>
      <c r="W2754" s="0" t="inlineStr">
        <is>
          <t>95A</t>
        </is>
      </c>
      <c r="X2754" s="0" t="n">
        <v>7</v>
      </c>
      <c r="Y2754" s="0" t="n">
        <v>7</v>
      </c>
      <c r="Z2754" s="0" t="inlineStr">
        <is>
          <t>https://new.land.naver.com/complexes/102246?tab=detail&amp;rf=Y</t>
        </is>
      </c>
      <c r="AA2754" s="0" t="inlineStr">
        <is>
          <t>서울시 강동구 천호동 27-6</t>
        </is>
      </c>
      <c r="AB2754" s="0" t="inlineStr">
        <is>
          <t>서울시</t>
        </is>
      </c>
      <c r="AC2754" s="0" t="inlineStr">
        <is>
          <t>강동구</t>
        </is>
      </c>
      <c r="AD2754" s="0" t="inlineStr">
        <is>
          <t>천호동</t>
        </is>
      </c>
      <c r="AG2754" s="0" t="inlineStr">
        <is>
          <t>서울시 강동구 상암로41길 67-8</t>
        </is>
      </c>
      <c r="AH2754" s="0" t="n">
        <v>0</v>
      </c>
      <c r="AI2754" s="0" t="n">
        <v>215</v>
      </c>
      <c r="AJ2754" s="0" t="n">
        <v>39</v>
      </c>
      <c r="AK2754" s="0" t="n">
        <v>13</v>
      </c>
      <c r="AL2754" s="0" t="n">
        <v>1.08</v>
      </c>
    </row>
    <row r="2755">
      <c r="A2755" s="0" t="inlineStr">
        <is>
          <t>[천호동]</t>
        </is>
      </c>
      <c r="B2755" s="0" t="n">
        <v>102246</v>
      </c>
      <c r="C2755" s="0" t="n">
        <v>3</v>
      </c>
      <c r="D2755" s="0" t="inlineStr">
        <is>
          <t>신주(27-6)</t>
        </is>
      </c>
      <c r="E2755" s="0" t="inlineStr">
        <is>
          <t>2002.09.</t>
        </is>
      </c>
      <c r="F2755" s="0" t="n">
        <v>12</v>
      </c>
      <c r="G2755" s="0" t="n">
        <v>29.21</v>
      </c>
      <c r="H2755" s="0" t="n">
        <v>96.56999999999999</v>
      </c>
      <c r="I2755" s="0" t="n">
        <v>25.7</v>
      </c>
      <c r="J2755" s="0" t="n">
        <v>84.97</v>
      </c>
      <c r="K2755" s="0" t="n">
        <v>8</v>
      </c>
      <c r="T2755" s="0" t="n">
        <v>3</v>
      </c>
      <c r="U2755" s="0" t="n">
        <v>2</v>
      </c>
      <c r="V2755" s="0" t="inlineStr">
        <is>
          <t>계단식</t>
        </is>
      </c>
      <c r="W2755" s="0" t="inlineStr">
        <is>
          <t>96B</t>
        </is>
      </c>
      <c r="X2755" s="0" t="n">
        <v>7</v>
      </c>
      <c r="Y2755" s="0" t="n">
        <v>7</v>
      </c>
      <c r="Z2755" s="0" t="inlineStr">
        <is>
          <t>https://new.land.naver.com/complexes/102246?tab=detail&amp;rf=Y</t>
        </is>
      </c>
      <c r="AA2755" s="0" t="inlineStr">
        <is>
          <t>서울시 강동구 천호동 27-6</t>
        </is>
      </c>
      <c r="AB2755" s="0" t="inlineStr">
        <is>
          <t>서울시</t>
        </is>
      </c>
      <c r="AC2755" s="0" t="inlineStr">
        <is>
          <t>강동구</t>
        </is>
      </c>
      <c r="AD2755" s="0" t="inlineStr">
        <is>
          <t>천호동</t>
        </is>
      </c>
      <c r="AG2755" s="0" t="inlineStr">
        <is>
          <t>서울시 강동구 상암로41길 67-8</t>
        </is>
      </c>
      <c r="AH2755" s="0" t="n">
        <v>0</v>
      </c>
      <c r="AI2755" s="0" t="n">
        <v>215</v>
      </c>
      <c r="AJ2755" s="0" t="n">
        <v>39</v>
      </c>
      <c r="AK2755" s="0" t="n">
        <v>13</v>
      </c>
      <c r="AL2755" s="0" t="n">
        <v>1.08</v>
      </c>
    </row>
    <row r="2756">
      <c r="A2756" s="0" t="inlineStr">
        <is>
          <t>[천호동]</t>
        </is>
      </c>
      <c r="B2756" s="0" t="n">
        <v>27164</v>
      </c>
      <c r="C2756" s="0" t="n">
        <v>1</v>
      </c>
      <c r="D2756" s="0" t="inlineStr">
        <is>
          <t>부강</t>
        </is>
      </c>
      <c r="E2756" s="0" t="inlineStr">
        <is>
          <t>2006.02.</t>
        </is>
      </c>
      <c r="F2756" s="0" t="n">
        <v>18</v>
      </c>
      <c r="G2756" s="0" t="n">
        <v>22.72</v>
      </c>
      <c r="H2756" s="0" t="n">
        <v>75.12</v>
      </c>
      <c r="I2756" s="0" t="n">
        <v>20.24</v>
      </c>
      <c r="J2756" s="0" t="n">
        <v>66.94</v>
      </c>
      <c r="K2756" s="0" t="n">
        <v>2</v>
      </c>
      <c r="T2756" s="0" t="n">
        <v>3</v>
      </c>
      <c r="U2756" s="0" t="n">
        <v>1</v>
      </c>
      <c r="V2756" s="0" t="inlineStr">
        <is>
          <t>복도식</t>
        </is>
      </c>
      <c r="W2756" s="0" t="n">
        <v>75</v>
      </c>
      <c r="X2756" s="0" t="n">
        <v>6</v>
      </c>
      <c r="Y2756" s="0" t="n">
        <v>5</v>
      </c>
      <c r="Z2756" s="0" t="inlineStr">
        <is>
          <t>https://new.land.naver.com/complexes/27164?tab=detail&amp;rf=Y</t>
        </is>
      </c>
      <c r="AA2756" s="0" t="inlineStr">
        <is>
          <t>서울시 강동구 천호동 317-31</t>
        </is>
      </c>
      <c r="AB2756" s="0" t="inlineStr">
        <is>
          <t>서울시</t>
        </is>
      </c>
      <c r="AC2756" s="0" t="inlineStr">
        <is>
          <t>강동구</t>
        </is>
      </c>
      <c r="AD2756" s="0" t="inlineStr">
        <is>
          <t>천호동</t>
        </is>
      </c>
      <c r="AG2756" s="0" t="inlineStr">
        <is>
          <t>서울시 강동구 올림픽로89길 24</t>
        </is>
      </c>
      <c r="AH2756" s="0" t="n">
        <v>0</v>
      </c>
      <c r="AI2756" s="0" t="n">
        <v>199</v>
      </c>
      <c r="AJ2756" s="0" t="n">
        <v>48</v>
      </c>
      <c r="AK2756" s="0" t="n">
        <v>21</v>
      </c>
      <c r="AL2756" s="0" t="n">
        <v>1.17</v>
      </c>
    </row>
    <row r="2757">
      <c r="A2757" s="0" t="inlineStr">
        <is>
          <t>[천호동]</t>
        </is>
      </c>
      <c r="B2757" s="0" t="n">
        <v>27164</v>
      </c>
      <c r="C2757" s="0" t="n">
        <v>2</v>
      </c>
      <c r="D2757" s="0" t="inlineStr">
        <is>
          <t>부강</t>
        </is>
      </c>
      <c r="E2757" s="0" t="inlineStr">
        <is>
          <t>2006.02.</t>
        </is>
      </c>
      <c r="F2757" s="0" t="n">
        <v>18</v>
      </c>
      <c r="G2757" s="0" t="n">
        <v>25.46</v>
      </c>
      <c r="H2757" s="0" t="n">
        <v>84.18000000000001</v>
      </c>
      <c r="I2757" s="0" t="n">
        <v>22.69</v>
      </c>
      <c r="J2757" s="0" t="n">
        <v>75.01000000000001</v>
      </c>
      <c r="K2757" s="0" t="n">
        <v>2</v>
      </c>
      <c r="T2757" s="0" t="n">
        <v>3</v>
      </c>
      <c r="U2757" s="0" t="n">
        <v>2</v>
      </c>
      <c r="V2757" s="0" t="inlineStr">
        <is>
          <t>복도식</t>
        </is>
      </c>
      <c r="W2757" s="0" t="n">
        <v>84</v>
      </c>
      <c r="X2757" s="0" t="n">
        <v>6</v>
      </c>
      <c r="Y2757" s="0" t="n">
        <v>5</v>
      </c>
      <c r="Z2757" s="0" t="inlineStr">
        <is>
          <t>https://new.land.naver.com/complexes/27164?tab=detail&amp;rf=Y</t>
        </is>
      </c>
      <c r="AA2757" s="0" t="inlineStr">
        <is>
          <t>서울시 강동구 천호동 317-31</t>
        </is>
      </c>
      <c r="AB2757" s="0" t="inlineStr">
        <is>
          <t>서울시</t>
        </is>
      </c>
      <c r="AC2757" s="0" t="inlineStr">
        <is>
          <t>강동구</t>
        </is>
      </c>
      <c r="AD2757" s="0" t="inlineStr">
        <is>
          <t>천호동</t>
        </is>
      </c>
      <c r="AG2757" s="0" t="inlineStr">
        <is>
          <t>서울시 강동구 올림픽로89길 24</t>
        </is>
      </c>
      <c r="AH2757" s="0" t="n">
        <v>0</v>
      </c>
      <c r="AI2757" s="0" t="n">
        <v>199</v>
      </c>
      <c r="AJ2757" s="0" t="n">
        <v>48</v>
      </c>
      <c r="AK2757" s="0" t="n">
        <v>21</v>
      </c>
      <c r="AL2757" s="0" t="n">
        <v>1.17</v>
      </c>
    </row>
    <row r="2758">
      <c r="A2758" s="0" t="inlineStr">
        <is>
          <t>[천호동]</t>
        </is>
      </c>
      <c r="B2758" s="0" t="n">
        <v>27164</v>
      </c>
      <c r="C2758" s="0" t="n">
        <v>3</v>
      </c>
      <c r="D2758" s="0" t="inlineStr">
        <is>
          <t>부강</t>
        </is>
      </c>
      <c r="E2758" s="0" t="inlineStr">
        <is>
          <t>2006.02.</t>
        </is>
      </c>
      <c r="F2758" s="0" t="n">
        <v>18</v>
      </c>
      <c r="G2758" s="0" t="n">
        <v>27.58</v>
      </c>
      <c r="H2758" s="0" t="n">
        <v>91.19</v>
      </c>
      <c r="I2758" s="0" t="n">
        <v>24.57</v>
      </c>
      <c r="J2758" s="0" t="n">
        <v>81.25</v>
      </c>
      <c r="K2758" s="0" t="n">
        <v>2</v>
      </c>
      <c r="T2758" s="0" t="n">
        <v>3</v>
      </c>
      <c r="U2758" s="0" t="n">
        <v>2</v>
      </c>
      <c r="V2758" s="0" t="inlineStr">
        <is>
          <t>복도식</t>
        </is>
      </c>
      <c r="W2758" s="0" t="n">
        <v>91</v>
      </c>
      <c r="X2758" s="0" t="n">
        <v>6</v>
      </c>
      <c r="Y2758" s="0" t="n">
        <v>5</v>
      </c>
      <c r="Z2758" s="0" t="inlineStr">
        <is>
          <t>https://new.land.naver.com/complexes/27164?tab=detail&amp;rf=Y</t>
        </is>
      </c>
      <c r="AA2758" s="0" t="inlineStr">
        <is>
          <t>서울시 강동구 천호동 317-31</t>
        </is>
      </c>
      <c r="AB2758" s="0" t="inlineStr">
        <is>
          <t>서울시</t>
        </is>
      </c>
      <c r="AC2758" s="0" t="inlineStr">
        <is>
          <t>강동구</t>
        </is>
      </c>
      <c r="AD2758" s="0" t="inlineStr">
        <is>
          <t>천호동</t>
        </is>
      </c>
      <c r="AG2758" s="0" t="inlineStr">
        <is>
          <t>서울시 강동구 올림픽로89길 24</t>
        </is>
      </c>
      <c r="AH2758" s="0" t="n">
        <v>0</v>
      </c>
      <c r="AI2758" s="0" t="n">
        <v>199</v>
      </c>
      <c r="AJ2758" s="0" t="n">
        <v>48</v>
      </c>
      <c r="AK2758" s="0" t="n">
        <v>21</v>
      </c>
      <c r="AL2758" s="0" t="n">
        <v>1.17</v>
      </c>
    </row>
    <row r="2759">
      <c r="A2759" s="0" t="inlineStr">
        <is>
          <t>[천호동]</t>
        </is>
      </c>
      <c r="B2759" s="0" t="n">
        <v>27164</v>
      </c>
      <c r="C2759" s="0" t="n">
        <v>4</v>
      </c>
      <c r="D2759" s="0" t="inlineStr">
        <is>
          <t>부강</t>
        </is>
      </c>
      <c r="E2759" s="0" t="inlineStr">
        <is>
          <t>2006.02.</t>
        </is>
      </c>
      <c r="F2759" s="0" t="n">
        <v>18</v>
      </c>
      <c r="G2759" s="0" t="n">
        <v>28.84</v>
      </c>
      <c r="H2759" s="0" t="n">
        <v>95.37</v>
      </c>
      <c r="I2759" s="0" t="n">
        <v>25.7</v>
      </c>
      <c r="J2759" s="0" t="n">
        <v>84.98999999999999</v>
      </c>
      <c r="K2759" s="0" t="n">
        <v>12</v>
      </c>
      <c r="T2759" s="0" t="n">
        <v>3</v>
      </c>
      <c r="U2759" s="0" t="n">
        <v>2</v>
      </c>
      <c r="V2759" s="0" t="inlineStr">
        <is>
          <t>복도식</t>
        </is>
      </c>
      <c r="W2759" s="0" t="n">
        <v>95</v>
      </c>
      <c r="X2759" s="0" t="n">
        <v>6</v>
      </c>
      <c r="Y2759" s="0" t="n">
        <v>5</v>
      </c>
      <c r="Z2759" s="0" t="inlineStr">
        <is>
          <t>https://new.land.naver.com/complexes/27164?tab=detail&amp;rf=Y</t>
        </is>
      </c>
      <c r="AA2759" s="0" t="inlineStr">
        <is>
          <t>서울시 강동구 천호동 317-31</t>
        </is>
      </c>
      <c r="AB2759" s="0" t="inlineStr">
        <is>
          <t>서울시</t>
        </is>
      </c>
      <c r="AC2759" s="0" t="inlineStr">
        <is>
          <t>강동구</t>
        </is>
      </c>
      <c r="AD2759" s="0" t="inlineStr">
        <is>
          <t>천호동</t>
        </is>
      </c>
      <c r="AG2759" s="0" t="inlineStr">
        <is>
          <t>서울시 강동구 올림픽로89길 24</t>
        </is>
      </c>
      <c r="AH2759" s="0" t="n">
        <v>0</v>
      </c>
      <c r="AI2759" s="0" t="n">
        <v>199</v>
      </c>
      <c r="AJ2759" s="0" t="n">
        <v>48</v>
      </c>
      <c r="AK2759" s="0" t="n">
        <v>21</v>
      </c>
      <c r="AL2759" s="0" t="n">
        <v>1.17</v>
      </c>
    </row>
    <row r="2760">
      <c r="A2760" s="0" t="inlineStr">
        <is>
          <t>[천호동]</t>
        </is>
      </c>
      <c r="B2760" s="0" t="n">
        <v>142025</v>
      </c>
      <c r="C2760" s="0" t="n">
        <v>1</v>
      </c>
      <c r="D2760" s="0" t="inlineStr">
        <is>
          <t>청운캐슬2단지(도시형)</t>
        </is>
      </c>
      <c r="E2760" s="0" t="inlineStr">
        <is>
          <t>2019.02.</t>
        </is>
      </c>
      <c r="F2760" s="0" t="n">
        <v>84</v>
      </c>
      <c r="G2760" s="0" t="n">
        <v>8.789999999999999</v>
      </c>
      <c r="H2760" s="0" t="n">
        <v>29.07</v>
      </c>
      <c r="I2760" s="0" t="n">
        <v>7.18</v>
      </c>
      <c r="J2760" s="0" t="n">
        <v>23.76</v>
      </c>
      <c r="K2760" s="0" t="n">
        <v>1</v>
      </c>
      <c r="T2760" s="0" t="n">
        <v>2</v>
      </c>
      <c r="U2760" s="0" t="n">
        <v>1</v>
      </c>
      <c r="V2760" s="0" t="inlineStr">
        <is>
          <t>계단식</t>
        </is>
      </c>
      <c r="W2760" s="0" t="inlineStr">
        <is>
          <t>29A</t>
        </is>
      </c>
      <c r="X2760" s="0" t="n">
        <v>6</v>
      </c>
      <c r="Y2760" s="0" t="n">
        <v>6</v>
      </c>
      <c r="Z2760" s="0" t="inlineStr">
        <is>
          <t>https://new.land.naver.com/complexes/142025?tab=detail&amp;rf=Y</t>
        </is>
      </c>
      <c r="AA2760" s="0" t="inlineStr">
        <is>
          <t>서울시 강동구 천호동 575</t>
        </is>
      </c>
      <c r="AB2760" s="0" t="inlineStr">
        <is>
          <t>서울시</t>
        </is>
      </c>
      <c r="AC2760" s="0" t="inlineStr">
        <is>
          <t>강동구</t>
        </is>
      </c>
      <c r="AD2760" s="0" t="inlineStr">
        <is>
          <t>천호동</t>
        </is>
      </c>
      <c r="AG2760" s="0" t="inlineStr">
        <is>
          <t>서울시 강동구 천중로27길 60</t>
        </is>
      </c>
      <c r="AH2760" s="0" t="n">
        <v>0</v>
      </c>
      <c r="AI2760" s="0" t="n">
        <v>189</v>
      </c>
      <c r="AJ2760" s="0" t="n">
        <v>47</v>
      </c>
      <c r="AK2760" s="0" t="n">
        <v>59</v>
      </c>
      <c r="AL2760" s="0" t="n">
        <v>0.7</v>
      </c>
    </row>
    <row r="2761">
      <c r="A2761" s="0" t="inlineStr">
        <is>
          <t>[천호동]</t>
        </is>
      </c>
      <c r="B2761" s="0" t="n">
        <v>142025</v>
      </c>
      <c r="C2761" s="0" t="n">
        <v>2</v>
      </c>
      <c r="D2761" s="0" t="inlineStr">
        <is>
          <t>청운캐슬2단지(도시형)</t>
        </is>
      </c>
      <c r="E2761" s="0" t="inlineStr">
        <is>
          <t>2019.02.</t>
        </is>
      </c>
      <c r="F2761" s="0" t="n">
        <v>84</v>
      </c>
      <c r="G2761" s="0" t="n">
        <v>9.609999999999999</v>
      </c>
      <c r="H2761" s="0" t="n">
        <v>31.79</v>
      </c>
      <c r="I2761" s="0" t="n">
        <v>7.85</v>
      </c>
      <c r="J2761" s="0" t="n">
        <v>25.98</v>
      </c>
      <c r="K2761" s="0" t="n">
        <v>13</v>
      </c>
      <c r="T2761" s="0" t="n">
        <v>2</v>
      </c>
      <c r="U2761" s="0" t="n">
        <v>1</v>
      </c>
      <c r="V2761" s="0" t="inlineStr">
        <is>
          <t>계단식</t>
        </is>
      </c>
      <c r="W2761" s="0" t="inlineStr">
        <is>
          <t>31A</t>
        </is>
      </c>
      <c r="X2761" s="0" t="n">
        <v>6</v>
      </c>
      <c r="Y2761" s="0" t="n">
        <v>6</v>
      </c>
      <c r="Z2761" s="0" t="inlineStr">
        <is>
          <t>https://new.land.naver.com/complexes/142025?tab=detail&amp;rf=Y</t>
        </is>
      </c>
      <c r="AA2761" s="0" t="inlineStr">
        <is>
          <t>서울시 강동구 천호동 575</t>
        </is>
      </c>
      <c r="AB2761" s="0" t="inlineStr">
        <is>
          <t>서울시</t>
        </is>
      </c>
      <c r="AC2761" s="0" t="inlineStr">
        <is>
          <t>강동구</t>
        </is>
      </c>
      <c r="AD2761" s="0" t="inlineStr">
        <is>
          <t>천호동</t>
        </is>
      </c>
      <c r="AG2761" s="0" t="inlineStr">
        <is>
          <t>서울시 강동구 천중로27길 60</t>
        </is>
      </c>
      <c r="AH2761" s="0" t="n">
        <v>0</v>
      </c>
      <c r="AI2761" s="0" t="n">
        <v>189</v>
      </c>
      <c r="AJ2761" s="0" t="n">
        <v>47</v>
      </c>
      <c r="AK2761" s="0" t="n">
        <v>59</v>
      </c>
      <c r="AL2761" s="0" t="n">
        <v>0.7</v>
      </c>
    </row>
    <row r="2762">
      <c r="A2762" s="0" t="inlineStr">
        <is>
          <t>[천호동]</t>
        </is>
      </c>
      <c r="B2762" s="0" t="n">
        <v>142025</v>
      </c>
      <c r="C2762" s="0" t="n">
        <v>3</v>
      </c>
      <c r="D2762" s="0" t="inlineStr">
        <is>
          <t>청운캐슬2단지(도시형)</t>
        </is>
      </c>
      <c r="E2762" s="0" t="inlineStr">
        <is>
          <t>2019.02.</t>
        </is>
      </c>
      <c r="F2762" s="0" t="n">
        <v>84</v>
      </c>
      <c r="G2762" s="0" t="n">
        <v>9.369999999999999</v>
      </c>
      <c r="H2762" s="0" t="n">
        <v>31</v>
      </c>
      <c r="I2762" s="0" t="n">
        <v>7.66</v>
      </c>
      <c r="J2762" s="0" t="n">
        <v>25.33</v>
      </c>
      <c r="K2762" s="0" t="n">
        <v>5</v>
      </c>
      <c r="T2762" s="0" t="n">
        <v>2</v>
      </c>
      <c r="U2762" s="0" t="n">
        <v>1</v>
      </c>
      <c r="V2762" s="0" t="inlineStr">
        <is>
          <t>계단식</t>
        </is>
      </c>
      <c r="W2762" s="0" t="inlineStr">
        <is>
          <t>31B</t>
        </is>
      </c>
      <c r="X2762" s="0" t="n">
        <v>6</v>
      </c>
      <c r="Y2762" s="0" t="n">
        <v>6</v>
      </c>
      <c r="Z2762" s="0" t="inlineStr">
        <is>
          <t>https://new.land.naver.com/complexes/142025?tab=detail&amp;rf=Y</t>
        </is>
      </c>
      <c r="AA2762" s="0" t="inlineStr">
        <is>
          <t>서울시 강동구 천호동 575</t>
        </is>
      </c>
      <c r="AB2762" s="0" t="inlineStr">
        <is>
          <t>서울시</t>
        </is>
      </c>
      <c r="AC2762" s="0" t="inlineStr">
        <is>
          <t>강동구</t>
        </is>
      </c>
      <c r="AD2762" s="0" t="inlineStr">
        <is>
          <t>천호동</t>
        </is>
      </c>
      <c r="AG2762" s="0" t="inlineStr">
        <is>
          <t>서울시 강동구 천중로27길 60</t>
        </is>
      </c>
      <c r="AH2762" s="0" t="n">
        <v>0</v>
      </c>
      <c r="AI2762" s="0" t="n">
        <v>189</v>
      </c>
      <c r="AJ2762" s="0" t="n">
        <v>47</v>
      </c>
      <c r="AK2762" s="0" t="n">
        <v>59</v>
      </c>
      <c r="AL2762" s="0" t="n">
        <v>0.7</v>
      </c>
    </row>
    <row r="2763">
      <c r="A2763" s="0" t="inlineStr">
        <is>
          <t>[천호동]</t>
        </is>
      </c>
      <c r="B2763" s="0" t="n">
        <v>142025</v>
      </c>
      <c r="C2763" s="0" t="n">
        <v>4</v>
      </c>
      <c r="D2763" s="0" t="inlineStr">
        <is>
          <t>청운캐슬2단지(도시형)</t>
        </is>
      </c>
      <c r="E2763" s="0" t="inlineStr">
        <is>
          <t>2019.02.</t>
        </is>
      </c>
      <c r="F2763" s="0" t="n">
        <v>84</v>
      </c>
      <c r="G2763" s="0" t="n">
        <v>9.710000000000001</v>
      </c>
      <c r="H2763" s="0" t="n">
        <v>32.11</v>
      </c>
      <c r="I2763" s="0" t="n">
        <v>7.93</v>
      </c>
      <c r="J2763" s="0" t="n">
        <v>26.24</v>
      </c>
      <c r="K2763" s="0" t="n">
        <v>5</v>
      </c>
      <c r="T2763" s="0" t="n">
        <v>2</v>
      </c>
      <c r="U2763" s="0" t="n">
        <v>1</v>
      </c>
      <c r="V2763" s="0" t="inlineStr">
        <is>
          <t>계단식</t>
        </is>
      </c>
      <c r="W2763" s="0" t="inlineStr">
        <is>
          <t>32B</t>
        </is>
      </c>
      <c r="X2763" s="0" t="n">
        <v>6</v>
      </c>
      <c r="Y2763" s="0" t="n">
        <v>6</v>
      </c>
      <c r="Z2763" s="0" t="inlineStr">
        <is>
          <t>https://new.land.naver.com/complexes/142025?tab=detail&amp;rf=Y</t>
        </is>
      </c>
      <c r="AA2763" s="0" t="inlineStr">
        <is>
          <t>서울시 강동구 천호동 575</t>
        </is>
      </c>
      <c r="AB2763" s="0" t="inlineStr">
        <is>
          <t>서울시</t>
        </is>
      </c>
      <c r="AC2763" s="0" t="inlineStr">
        <is>
          <t>강동구</t>
        </is>
      </c>
      <c r="AD2763" s="0" t="inlineStr">
        <is>
          <t>천호동</t>
        </is>
      </c>
      <c r="AG2763" s="0" t="inlineStr">
        <is>
          <t>서울시 강동구 천중로27길 60</t>
        </is>
      </c>
      <c r="AH2763" s="0" t="n">
        <v>0</v>
      </c>
      <c r="AI2763" s="0" t="n">
        <v>189</v>
      </c>
      <c r="AJ2763" s="0" t="n">
        <v>47</v>
      </c>
      <c r="AK2763" s="0" t="n">
        <v>59</v>
      </c>
      <c r="AL2763" s="0" t="n">
        <v>0.7</v>
      </c>
    </row>
    <row r="2764">
      <c r="A2764" s="0" t="inlineStr">
        <is>
          <t>[천호동]</t>
        </is>
      </c>
      <c r="B2764" s="0" t="n">
        <v>142025</v>
      </c>
      <c r="C2764" s="0" t="n">
        <v>5</v>
      </c>
      <c r="D2764" s="0" t="inlineStr">
        <is>
          <t>청운캐슬2단지(도시형)</t>
        </is>
      </c>
      <c r="E2764" s="0" t="inlineStr">
        <is>
          <t>2019.02.</t>
        </is>
      </c>
      <c r="F2764" s="0" t="n">
        <v>84</v>
      </c>
      <c r="G2764" s="0" t="n">
        <v>9.92</v>
      </c>
      <c r="H2764" s="0" t="n">
        <v>32.81</v>
      </c>
      <c r="I2764" s="0" t="n">
        <v>8.109999999999999</v>
      </c>
      <c r="J2764" s="0" t="n">
        <v>26.81</v>
      </c>
      <c r="K2764" s="0" t="n">
        <v>1</v>
      </c>
      <c r="T2764" s="0" t="n">
        <v>2</v>
      </c>
      <c r="U2764" s="0" t="n">
        <v>1</v>
      </c>
      <c r="V2764" s="0" t="inlineStr">
        <is>
          <t>계단식</t>
        </is>
      </c>
      <c r="W2764" s="0" t="inlineStr">
        <is>
          <t>32C</t>
        </is>
      </c>
      <c r="X2764" s="0" t="n">
        <v>6</v>
      </c>
      <c r="Y2764" s="0" t="n">
        <v>6</v>
      </c>
      <c r="Z2764" s="0" t="inlineStr">
        <is>
          <t>https://new.land.naver.com/complexes/142025?tab=detail&amp;rf=Y</t>
        </is>
      </c>
      <c r="AA2764" s="0" t="inlineStr">
        <is>
          <t>서울시 강동구 천호동 575</t>
        </is>
      </c>
      <c r="AB2764" s="0" t="inlineStr">
        <is>
          <t>서울시</t>
        </is>
      </c>
      <c r="AC2764" s="0" t="inlineStr">
        <is>
          <t>강동구</t>
        </is>
      </c>
      <c r="AD2764" s="0" t="inlineStr">
        <is>
          <t>천호동</t>
        </is>
      </c>
      <c r="AG2764" s="0" t="inlineStr">
        <is>
          <t>서울시 강동구 천중로27길 60</t>
        </is>
      </c>
      <c r="AH2764" s="0" t="n">
        <v>0</v>
      </c>
      <c r="AI2764" s="0" t="n">
        <v>189</v>
      </c>
      <c r="AJ2764" s="0" t="n">
        <v>47</v>
      </c>
      <c r="AK2764" s="0" t="n">
        <v>59</v>
      </c>
      <c r="AL2764" s="0" t="n">
        <v>0.7</v>
      </c>
    </row>
    <row r="2765">
      <c r="A2765" s="0" t="inlineStr">
        <is>
          <t>[천호동]</t>
        </is>
      </c>
      <c r="B2765" s="0" t="n">
        <v>142025</v>
      </c>
      <c r="C2765" s="0" t="n">
        <v>6</v>
      </c>
      <c r="D2765" s="0" t="inlineStr">
        <is>
          <t>청운캐슬2단지(도시형)</t>
        </is>
      </c>
      <c r="E2765" s="0" t="inlineStr">
        <is>
          <t>2019.02.</t>
        </is>
      </c>
      <c r="F2765" s="0" t="n">
        <v>84</v>
      </c>
      <c r="G2765" s="0" t="n">
        <v>12.76</v>
      </c>
      <c r="H2765" s="0" t="n">
        <v>42.2</v>
      </c>
      <c r="I2765" s="0" t="n">
        <v>10.43</v>
      </c>
      <c r="J2765" s="0" t="n">
        <v>34.49</v>
      </c>
      <c r="K2765" s="0" t="n">
        <v>1</v>
      </c>
      <c r="T2765" s="0" t="n">
        <v>2</v>
      </c>
      <c r="U2765" s="0" t="n">
        <v>1</v>
      </c>
      <c r="V2765" s="0" t="inlineStr">
        <is>
          <t>계단식</t>
        </is>
      </c>
      <c r="W2765" s="0" t="n">
        <v>42</v>
      </c>
      <c r="X2765" s="0" t="n">
        <v>6</v>
      </c>
      <c r="Y2765" s="0" t="n">
        <v>6</v>
      </c>
      <c r="Z2765" s="0" t="inlineStr">
        <is>
          <t>https://new.land.naver.com/complexes/142025?tab=detail&amp;rf=Y</t>
        </is>
      </c>
      <c r="AA2765" s="0" t="inlineStr">
        <is>
          <t>서울시 강동구 천호동 575</t>
        </is>
      </c>
      <c r="AB2765" s="0" t="inlineStr">
        <is>
          <t>서울시</t>
        </is>
      </c>
      <c r="AC2765" s="0" t="inlineStr">
        <is>
          <t>강동구</t>
        </is>
      </c>
      <c r="AD2765" s="0" t="inlineStr">
        <is>
          <t>천호동</t>
        </is>
      </c>
      <c r="AG2765" s="0" t="inlineStr">
        <is>
          <t>서울시 강동구 천중로27길 60</t>
        </is>
      </c>
      <c r="AH2765" s="0" t="n">
        <v>0</v>
      </c>
      <c r="AI2765" s="0" t="n">
        <v>189</v>
      </c>
      <c r="AJ2765" s="0" t="n">
        <v>47</v>
      </c>
      <c r="AK2765" s="0" t="n">
        <v>59</v>
      </c>
      <c r="AL2765" s="0" t="n">
        <v>0.7</v>
      </c>
    </row>
    <row r="2766">
      <c r="A2766" s="0" t="inlineStr">
        <is>
          <t>[천호동]</t>
        </is>
      </c>
      <c r="B2766" s="0" t="n">
        <v>142025</v>
      </c>
      <c r="C2766" s="0" t="n">
        <v>7</v>
      </c>
      <c r="D2766" s="0" t="inlineStr">
        <is>
          <t>청운캐슬2단지(도시형)</t>
        </is>
      </c>
      <c r="E2766" s="0" t="inlineStr">
        <is>
          <t>2019.02.</t>
        </is>
      </c>
      <c r="F2766" s="0" t="n">
        <v>84</v>
      </c>
      <c r="G2766" s="0" t="n">
        <v>13.86</v>
      </c>
      <c r="H2766" s="0" t="n">
        <v>45.84</v>
      </c>
      <c r="I2766" s="0" t="n">
        <v>11.33</v>
      </c>
      <c r="J2766" s="0" t="n">
        <v>37.46</v>
      </c>
      <c r="K2766" s="0" t="n">
        <v>1</v>
      </c>
      <c r="T2766" s="0" t="n">
        <v>2</v>
      </c>
      <c r="U2766" s="0" t="n">
        <v>1</v>
      </c>
      <c r="V2766" s="0" t="inlineStr">
        <is>
          <t>계단식</t>
        </is>
      </c>
      <c r="W2766" s="0" t="n">
        <v>45</v>
      </c>
      <c r="X2766" s="0" t="n">
        <v>6</v>
      </c>
      <c r="Y2766" s="0" t="n">
        <v>6</v>
      </c>
      <c r="Z2766" s="0" t="inlineStr">
        <is>
          <t>https://new.land.naver.com/complexes/142025?tab=detail&amp;rf=Y</t>
        </is>
      </c>
      <c r="AA2766" s="0" t="inlineStr">
        <is>
          <t>서울시 강동구 천호동 575</t>
        </is>
      </c>
      <c r="AB2766" s="0" t="inlineStr">
        <is>
          <t>서울시</t>
        </is>
      </c>
      <c r="AC2766" s="0" t="inlineStr">
        <is>
          <t>강동구</t>
        </is>
      </c>
      <c r="AD2766" s="0" t="inlineStr">
        <is>
          <t>천호동</t>
        </is>
      </c>
      <c r="AG2766" s="0" t="inlineStr">
        <is>
          <t>서울시 강동구 천중로27길 60</t>
        </is>
      </c>
      <c r="AH2766" s="0" t="n">
        <v>0</v>
      </c>
      <c r="AI2766" s="0" t="n">
        <v>189</v>
      </c>
      <c r="AJ2766" s="0" t="n">
        <v>47</v>
      </c>
      <c r="AK2766" s="0" t="n">
        <v>59</v>
      </c>
      <c r="AL2766" s="0" t="n">
        <v>0.7</v>
      </c>
    </row>
    <row r="2767">
      <c r="A2767" s="0" t="inlineStr">
        <is>
          <t>[천호동]</t>
        </is>
      </c>
      <c r="B2767" s="0" t="n">
        <v>142025</v>
      </c>
      <c r="C2767" s="0" t="n">
        <v>8</v>
      </c>
      <c r="D2767" s="0" t="inlineStr">
        <is>
          <t>청운캐슬2단지(도시형)</t>
        </is>
      </c>
      <c r="E2767" s="0" t="inlineStr">
        <is>
          <t>2019.02.</t>
        </is>
      </c>
      <c r="F2767" s="0" t="n">
        <v>84</v>
      </c>
      <c r="G2767" s="0" t="n">
        <v>14.75</v>
      </c>
      <c r="H2767" s="0" t="n">
        <v>48.79</v>
      </c>
      <c r="I2767" s="0" t="n">
        <v>12.06</v>
      </c>
      <c r="J2767" s="0" t="n">
        <v>39.87</v>
      </c>
      <c r="K2767" s="0" t="n">
        <v>13</v>
      </c>
      <c r="T2767" s="0" t="n">
        <v>2</v>
      </c>
      <c r="U2767" s="0" t="n">
        <v>1</v>
      </c>
      <c r="V2767" s="0" t="inlineStr">
        <is>
          <t>복도식</t>
        </is>
      </c>
      <c r="W2767" s="0" t="inlineStr">
        <is>
          <t>48B</t>
        </is>
      </c>
      <c r="X2767" s="0" t="n">
        <v>6</v>
      </c>
      <c r="Y2767" s="0" t="n">
        <v>6</v>
      </c>
      <c r="Z2767" s="0" t="inlineStr">
        <is>
          <t>https://new.land.naver.com/complexes/142025?tab=detail&amp;rf=Y</t>
        </is>
      </c>
      <c r="AA2767" s="0" t="inlineStr">
        <is>
          <t>서울시 강동구 천호동 575</t>
        </is>
      </c>
      <c r="AB2767" s="0" t="inlineStr">
        <is>
          <t>서울시</t>
        </is>
      </c>
      <c r="AC2767" s="0" t="inlineStr">
        <is>
          <t>강동구</t>
        </is>
      </c>
      <c r="AD2767" s="0" t="inlineStr">
        <is>
          <t>천호동</t>
        </is>
      </c>
      <c r="AG2767" s="0" t="inlineStr">
        <is>
          <t>서울시 강동구 천중로27길 60</t>
        </is>
      </c>
      <c r="AH2767" s="0" t="n">
        <v>0</v>
      </c>
      <c r="AI2767" s="0" t="n">
        <v>189</v>
      </c>
      <c r="AJ2767" s="0" t="n">
        <v>47</v>
      </c>
      <c r="AK2767" s="0" t="n">
        <v>59</v>
      </c>
      <c r="AL2767" s="0" t="n">
        <v>0.7</v>
      </c>
    </row>
    <row r="2768">
      <c r="A2768" s="0" t="inlineStr">
        <is>
          <t>[천호동]</t>
        </is>
      </c>
      <c r="B2768" s="0" t="n">
        <v>142025</v>
      </c>
      <c r="C2768" s="0" t="n">
        <v>9</v>
      </c>
      <c r="D2768" s="0" t="inlineStr">
        <is>
          <t>청운캐슬2단지(도시형)</t>
        </is>
      </c>
      <c r="E2768" s="0" t="inlineStr">
        <is>
          <t>2019.02.</t>
        </is>
      </c>
      <c r="F2768" s="0" t="n">
        <v>84</v>
      </c>
      <c r="G2768" s="0" t="n">
        <v>14.61</v>
      </c>
      <c r="H2768" s="0" t="n">
        <v>48.3</v>
      </c>
      <c r="I2768" s="0" t="n">
        <v>11.93</v>
      </c>
      <c r="J2768" s="0" t="n">
        <v>39.47</v>
      </c>
      <c r="K2768" s="0" t="n">
        <v>3</v>
      </c>
      <c r="T2768" s="0" t="n">
        <v>2</v>
      </c>
      <c r="U2768" s="0" t="n">
        <v>1</v>
      </c>
      <c r="V2768" s="0" t="inlineStr">
        <is>
          <t>복도식</t>
        </is>
      </c>
      <c r="W2768" s="0" t="inlineStr">
        <is>
          <t>48A</t>
        </is>
      </c>
      <c r="X2768" s="0" t="n">
        <v>6</v>
      </c>
      <c r="Y2768" s="0" t="n">
        <v>6</v>
      </c>
      <c r="Z2768" s="0" t="inlineStr">
        <is>
          <t>https://new.land.naver.com/complexes/142025?tab=detail&amp;rf=Y</t>
        </is>
      </c>
      <c r="AA2768" s="0" t="inlineStr">
        <is>
          <t>서울시 강동구 천호동 575</t>
        </is>
      </c>
      <c r="AB2768" s="0" t="inlineStr">
        <is>
          <t>서울시</t>
        </is>
      </c>
      <c r="AC2768" s="0" t="inlineStr">
        <is>
          <t>강동구</t>
        </is>
      </c>
      <c r="AD2768" s="0" t="inlineStr">
        <is>
          <t>천호동</t>
        </is>
      </c>
      <c r="AG2768" s="0" t="inlineStr">
        <is>
          <t>서울시 강동구 천중로27길 60</t>
        </is>
      </c>
      <c r="AH2768" s="0" t="n">
        <v>0</v>
      </c>
      <c r="AI2768" s="0" t="n">
        <v>189</v>
      </c>
      <c r="AJ2768" s="0" t="n">
        <v>47</v>
      </c>
      <c r="AK2768" s="0" t="n">
        <v>59</v>
      </c>
      <c r="AL2768" s="0" t="n">
        <v>0.7</v>
      </c>
    </row>
    <row r="2769">
      <c r="A2769" s="0" t="inlineStr">
        <is>
          <t>[천호동]</t>
        </is>
      </c>
      <c r="B2769" s="0" t="n">
        <v>142025</v>
      </c>
      <c r="C2769" s="0" t="n">
        <v>10</v>
      </c>
      <c r="D2769" s="0" t="inlineStr">
        <is>
          <t>청운캐슬2단지(도시형)</t>
        </is>
      </c>
      <c r="E2769" s="0" t="inlineStr">
        <is>
          <t>2019.02.</t>
        </is>
      </c>
      <c r="F2769" s="0" t="n">
        <v>84</v>
      </c>
      <c r="G2769" s="0" t="n">
        <v>15.05</v>
      </c>
      <c r="H2769" s="0" t="n">
        <v>49.76</v>
      </c>
      <c r="I2769" s="0" t="n">
        <v>12.29</v>
      </c>
      <c r="J2769" s="0" t="n">
        <v>40.66</v>
      </c>
      <c r="K2769" s="0" t="n">
        <v>1</v>
      </c>
      <c r="T2769" s="0" t="n">
        <v>2</v>
      </c>
      <c r="U2769" s="0" t="n">
        <v>1</v>
      </c>
      <c r="V2769" s="0" t="inlineStr">
        <is>
          <t>복도식</t>
        </is>
      </c>
      <c r="W2769" s="0" t="inlineStr">
        <is>
          <t>49C</t>
        </is>
      </c>
      <c r="X2769" s="0" t="n">
        <v>6</v>
      </c>
      <c r="Y2769" s="0" t="n">
        <v>6</v>
      </c>
      <c r="Z2769" s="0" t="inlineStr">
        <is>
          <t>https://new.land.naver.com/complexes/142025?tab=detail&amp;rf=Y</t>
        </is>
      </c>
      <c r="AA2769" s="0" t="inlineStr">
        <is>
          <t>서울시 강동구 천호동 575</t>
        </is>
      </c>
      <c r="AB2769" s="0" t="inlineStr">
        <is>
          <t>서울시</t>
        </is>
      </c>
      <c r="AC2769" s="0" t="inlineStr">
        <is>
          <t>강동구</t>
        </is>
      </c>
      <c r="AD2769" s="0" t="inlineStr">
        <is>
          <t>천호동</t>
        </is>
      </c>
      <c r="AG2769" s="0" t="inlineStr">
        <is>
          <t>서울시 강동구 천중로27길 60</t>
        </is>
      </c>
      <c r="AH2769" s="0" t="n">
        <v>0</v>
      </c>
      <c r="AI2769" s="0" t="n">
        <v>189</v>
      </c>
      <c r="AJ2769" s="0" t="n">
        <v>47</v>
      </c>
      <c r="AK2769" s="0" t="n">
        <v>59</v>
      </c>
      <c r="AL2769" s="0" t="n">
        <v>0.7</v>
      </c>
    </row>
    <row r="2770">
      <c r="A2770" s="0" t="inlineStr">
        <is>
          <t>[천호동]</t>
        </is>
      </c>
      <c r="B2770" s="0" t="n">
        <v>142025</v>
      </c>
      <c r="C2770" s="0" t="n">
        <v>11</v>
      </c>
      <c r="D2770" s="0" t="inlineStr">
        <is>
          <t>청운캐슬2단지(도시형)</t>
        </is>
      </c>
      <c r="E2770" s="0" t="inlineStr">
        <is>
          <t>2019.02.</t>
        </is>
      </c>
      <c r="F2770" s="0" t="n">
        <v>84</v>
      </c>
      <c r="G2770" s="0" t="n">
        <v>15.25</v>
      </c>
      <c r="H2770" s="0" t="n">
        <v>50.44</v>
      </c>
      <c r="I2770" s="0" t="n">
        <v>12.46</v>
      </c>
      <c r="J2770" s="0" t="n">
        <v>41.22</v>
      </c>
      <c r="K2770" s="0" t="n">
        <v>1</v>
      </c>
      <c r="T2770" s="0" t="n">
        <v>2</v>
      </c>
      <c r="U2770" s="0" t="n">
        <v>1</v>
      </c>
      <c r="V2770" s="0" t="inlineStr">
        <is>
          <t>복도식</t>
        </is>
      </c>
      <c r="W2770" s="0" t="inlineStr">
        <is>
          <t>50D</t>
        </is>
      </c>
      <c r="X2770" s="0" t="n">
        <v>6</v>
      </c>
      <c r="Y2770" s="0" t="n">
        <v>6</v>
      </c>
      <c r="Z2770" s="0" t="inlineStr">
        <is>
          <t>https://new.land.naver.com/complexes/142025?tab=detail&amp;rf=Y</t>
        </is>
      </c>
      <c r="AA2770" s="0" t="inlineStr">
        <is>
          <t>서울시 강동구 천호동 575</t>
        </is>
      </c>
      <c r="AB2770" s="0" t="inlineStr">
        <is>
          <t>서울시</t>
        </is>
      </c>
      <c r="AC2770" s="0" t="inlineStr">
        <is>
          <t>강동구</t>
        </is>
      </c>
      <c r="AD2770" s="0" t="inlineStr">
        <is>
          <t>천호동</t>
        </is>
      </c>
      <c r="AG2770" s="0" t="inlineStr">
        <is>
          <t>서울시 강동구 천중로27길 60</t>
        </is>
      </c>
      <c r="AH2770" s="0" t="n">
        <v>0</v>
      </c>
      <c r="AI2770" s="0" t="n">
        <v>189</v>
      </c>
      <c r="AJ2770" s="0" t="n">
        <v>47</v>
      </c>
      <c r="AK2770" s="0" t="n">
        <v>59</v>
      </c>
      <c r="AL2770" s="0" t="n">
        <v>0.7</v>
      </c>
    </row>
    <row r="2771">
      <c r="A2771" s="0" t="inlineStr">
        <is>
          <t>[천호동]</t>
        </is>
      </c>
      <c r="B2771" s="0" t="n">
        <v>142025</v>
      </c>
      <c r="C2771" s="0" t="n">
        <v>12</v>
      </c>
      <c r="D2771" s="0" t="inlineStr">
        <is>
          <t>청운캐슬2단지(도시형)</t>
        </is>
      </c>
      <c r="E2771" s="0" t="inlineStr">
        <is>
          <t>2019.02.</t>
        </is>
      </c>
      <c r="F2771" s="0" t="n">
        <v>84</v>
      </c>
      <c r="G2771" s="0" t="n">
        <v>15.48</v>
      </c>
      <c r="H2771" s="0" t="n">
        <v>51.18</v>
      </c>
      <c r="I2771" s="0" t="n">
        <v>12.65</v>
      </c>
      <c r="J2771" s="0" t="n">
        <v>41.82</v>
      </c>
      <c r="K2771" s="0" t="n">
        <v>5</v>
      </c>
      <c r="T2771" s="0" t="n">
        <v>2</v>
      </c>
      <c r="U2771" s="0" t="n">
        <v>1</v>
      </c>
      <c r="V2771" s="0" t="inlineStr">
        <is>
          <t>복도식</t>
        </is>
      </c>
      <c r="W2771" s="0" t="inlineStr">
        <is>
          <t>51E</t>
        </is>
      </c>
      <c r="X2771" s="0" t="n">
        <v>6</v>
      </c>
      <c r="Y2771" s="0" t="n">
        <v>6</v>
      </c>
      <c r="Z2771" s="0" t="inlineStr">
        <is>
          <t>https://new.land.naver.com/complexes/142025?tab=detail&amp;rf=Y</t>
        </is>
      </c>
      <c r="AA2771" s="0" t="inlineStr">
        <is>
          <t>서울시 강동구 천호동 575</t>
        </is>
      </c>
      <c r="AB2771" s="0" t="inlineStr">
        <is>
          <t>서울시</t>
        </is>
      </c>
      <c r="AC2771" s="0" t="inlineStr">
        <is>
          <t>강동구</t>
        </is>
      </c>
      <c r="AD2771" s="0" t="inlineStr">
        <is>
          <t>천호동</t>
        </is>
      </c>
      <c r="AG2771" s="0" t="inlineStr">
        <is>
          <t>서울시 강동구 천중로27길 60</t>
        </is>
      </c>
      <c r="AH2771" s="0" t="n">
        <v>0</v>
      </c>
      <c r="AI2771" s="0" t="n">
        <v>189</v>
      </c>
      <c r="AJ2771" s="0" t="n">
        <v>47</v>
      </c>
      <c r="AK2771" s="0" t="n">
        <v>59</v>
      </c>
      <c r="AL2771" s="0" t="n">
        <v>0.7</v>
      </c>
    </row>
    <row r="2772">
      <c r="A2772" s="0" t="inlineStr">
        <is>
          <t>[천호동]</t>
        </is>
      </c>
      <c r="B2772" s="0" t="n">
        <v>142025</v>
      </c>
      <c r="C2772" s="0" t="n">
        <v>13</v>
      </c>
      <c r="D2772" s="0" t="inlineStr">
        <is>
          <t>청운캐슬2단지(도시형)</t>
        </is>
      </c>
      <c r="E2772" s="0" t="inlineStr">
        <is>
          <t>2019.02.</t>
        </is>
      </c>
      <c r="F2772" s="0" t="n">
        <v>84</v>
      </c>
      <c r="G2772" s="0" t="n">
        <v>15.75</v>
      </c>
      <c r="H2772" s="0" t="n">
        <v>52.08</v>
      </c>
      <c r="I2772" s="0" t="n">
        <v>12.87</v>
      </c>
      <c r="J2772" s="0" t="n">
        <v>42.56</v>
      </c>
      <c r="K2772" s="0" t="n">
        <v>12</v>
      </c>
      <c r="T2772" s="0" t="n">
        <v>2</v>
      </c>
      <c r="U2772" s="0" t="n">
        <v>1</v>
      </c>
      <c r="V2772" s="0" t="inlineStr">
        <is>
          <t>복도식</t>
        </is>
      </c>
      <c r="W2772" s="0" t="inlineStr">
        <is>
          <t>52B</t>
        </is>
      </c>
      <c r="X2772" s="0" t="n">
        <v>6</v>
      </c>
      <c r="Y2772" s="0" t="n">
        <v>6</v>
      </c>
      <c r="Z2772" s="0" t="inlineStr">
        <is>
          <t>https://new.land.naver.com/complexes/142025?tab=detail&amp;rf=Y</t>
        </is>
      </c>
      <c r="AA2772" s="0" t="inlineStr">
        <is>
          <t>서울시 강동구 천호동 575</t>
        </is>
      </c>
      <c r="AB2772" s="0" t="inlineStr">
        <is>
          <t>서울시</t>
        </is>
      </c>
      <c r="AC2772" s="0" t="inlineStr">
        <is>
          <t>강동구</t>
        </is>
      </c>
      <c r="AD2772" s="0" t="inlineStr">
        <is>
          <t>천호동</t>
        </is>
      </c>
      <c r="AG2772" s="0" t="inlineStr">
        <is>
          <t>서울시 강동구 천중로27길 60</t>
        </is>
      </c>
      <c r="AH2772" s="0" t="n">
        <v>0</v>
      </c>
      <c r="AI2772" s="0" t="n">
        <v>189</v>
      </c>
      <c r="AJ2772" s="0" t="n">
        <v>47</v>
      </c>
      <c r="AK2772" s="0" t="n">
        <v>59</v>
      </c>
      <c r="AL2772" s="0" t="n">
        <v>0.7</v>
      </c>
    </row>
    <row r="2773">
      <c r="A2773" s="0" t="inlineStr">
        <is>
          <t>[천호동]</t>
        </is>
      </c>
      <c r="B2773" s="0" t="n">
        <v>142025</v>
      </c>
      <c r="C2773" s="0" t="n">
        <v>14</v>
      </c>
      <c r="D2773" s="0" t="inlineStr">
        <is>
          <t>청운캐슬2단지(도시형)</t>
        </is>
      </c>
      <c r="E2773" s="0" t="inlineStr">
        <is>
          <t>2019.02.</t>
        </is>
      </c>
      <c r="F2773" s="0" t="n">
        <v>84</v>
      </c>
      <c r="G2773" s="0" t="n">
        <v>15.74</v>
      </c>
      <c r="H2773" s="0" t="n">
        <v>52.05</v>
      </c>
      <c r="I2773" s="0" t="n">
        <v>12.86</v>
      </c>
      <c r="J2773" s="0" t="n">
        <v>42.53</v>
      </c>
      <c r="K2773" s="0" t="n">
        <v>5</v>
      </c>
      <c r="T2773" s="0" t="n">
        <v>2</v>
      </c>
      <c r="U2773" s="0" t="n">
        <v>1</v>
      </c>
      <c r="V2773" s="0" t="inlineStr">
        <is>
          <t>복도식</t>
        </is>
      </c>
      <c r="W2773" s="0" t="inlineStr">
        <is>
          <t>52A</t>
        </is>
      </c>
      <c r="X2773" s="0" t="n">
        <v>6</v>
      </c>
      <c r="Y2773" s="0" t="n">
        <v>6</v>
      </c>
      <c r="Z2773" s="0" t="inlineStr">
        <is>
          <t>https://new.land.naver.com/complexes/142025?tab=detail&amp;rf=Y</t>
        </is>
      </c>
      <c r="AA2773" s="0" t="inlineStr">
        <is>
          <t>서울시 강동구 천호동 575</t>
        </is>
      </c>
      <c r="AB2773" s="0" t="inlineStr">
        <is>
          <t>서울시</t>
        </is>
      </c>
      <c r="AC2773" s="0" t="inlineStr">
        <is>
          <t>강동구</t>
        </is>
      </c>
      <c r="AD2773" s="0" t="inlineStr">
        <is>
          <t>천호동</t>
        </is>
      </c>
      <c r="AG2773" s="0" t="inlineStr">
        <is>
          <t>서울시 강동구 천중로27길 60</t>
        </is>
      </c>
      <c r="AH2773" s="0" t="n">
        <v>0</v>
      </c>
      <c r="AI2773" s="0" t="n">
        <v>189</v>
      </c>
      <c r="AJ2773" s="0" t="n">
        <v>47</v>
      </c>
      <c r="AK2773" s="0" t="n">
        <v>59</v>
      </c>
      <c r="AL2773" s="0" t="n">
        <v>0.7</v>
      </c>
    </row>
    <row r="2774">
      <c r="A2774" s="0" t="inlineStr">
        <is>
          <t>[천호동]</t>
        </is>
      </c>
      <c r="B2774" s="0" t="n">
        <v>142025</v>
      </c>
      <c r="C2774" s="0" t="n">
        <v>15</v>
      </c>
      <c r="D2774" s="0" t="inlineStr">
        <is>
          <t>청운캐슬2단지(도시형)</t>
        </is>
      </c>
      <c r="E2774" s="0" t="inlineStr">
        <is>
          <t>2019.02.</t>
        </is>
      </c>
      <c r="F2774" s="0" t="n">
        <v>84</v>
      </c>
      <c r="G2774" s="0" t="n">
        <v>16.24</v>
      </c>
      <c r="H2774" s="0" t="n">
        <v>53.71</v>
      </c>
      <c r="I2774" s="0" t="n">
        <v>13.27</v>
      </c>
      <c r="J2774" s="0" t="n">
        <v>43.89</v>
      </c>
      <c r="K2774" s="0" t="n">
        <v>1</v>
      </c>
      <c r="T2774" s="0" t="n">
        <v>2</v>
      </c>
      <c r="U2774" s="0" t="n">
        <v>1</v>
      </c>
      <c r="V2774" s="0" t="inlineStr">
        <is>
          <t>복도식</t>
        </is>
      </c>
      <c r="W2774" s="0" t="inlineStr">
        <is>
          <t>53C</t>
        </is>
      </c>
      <c r="X2774" s="0" t="n">
        <v>6</v>
      </c>
      <c r="Y2774" s="0" t="n">
        <v>6</v>
      </c>
      <c r="Z2774" s="0" t="inlineStr">
        <is>
          <t>https://new.land.naver.com/complexes/142025?tab=detail&amp;rf=Y</t>
        </is>
      </c>
      <c r="AA2774" s="0" t="inlineStr">
        <is>
          <t>서울시 강동구 천호동 575</t>
        </is>
      </c>
      <c r="AB2774" s="0" t="inlineStr">
        <is>
          <t>서울시</t>
        </is>
      </c>
      <c r="AC2774" s="0" t="inlineStr">
        <is>
          <t>강동구</t>
        </is>
      </c>
      <c r="AD2774" s="0" t="inlineStr">
        <is>
          <t>천호동</t>
        </is>
      </c>
      <c r="AG2774" s="0" t="inlineStr">
        <is>
          <t>서울시 강동구 천중로27길 60</t>
        </is>
      </c>
      <c r="AH2774" s="0" t="n">
        <v>0</v>
      </c>
      <c r="AI2774" s="0" t="n">
        <v>189</v>
      </c>
      <c r="AJ2774" s="0" t="n">
        <v>47</v>
      </c>
      <c r="AK2774" s="0" t="n">
        <v>59</v>
      </c>
      <c r="AL2774" s="0" t="n">
        <v>0.7</v>
      </c>
    </row>
    <row r="2775">
      <c r="A2775" s="0" t="inlineStr">
        <is>
          <t>[천호동]</t>
        </is>
      </c>
      <c r="B2775" s="0" t="n">
        <v>142025</v>
      </c>
      <c r="C2775" s="0" t="n">
        <v>16</v>
      </c>
      <c r="D2775" s="0" t="inlineStr">
        <is>
          <t>청운캐슬2단지(도시형)</t>
        </is>
      </c>
      <c r="E2775" s="0" t="inlineStr">
        <is>
          <t>2019.02.</t>
        </is>
      </c>
      <c r="F2775" s="0" t="n">
        <v>84</v>
      </c>
      <c r="G2775" s="0" t="n">
        <v>16.92</v>
      </c>
      <c r="H2775" s="0" t="n">
        <v>55.96</v>
      </c>
      <c r="I2775" s="0" t="n">
        <v>13.83</v>
      </c>
      <c r="J2775" s="0" t="n">
        <v>45.73</v>
      </c>
      <c r="K2775" s="0" t="n">
        <v>5</v>
      </c>
      <c r="T2775" s="0" t="n">
        <v>2</v>
      </c>
      <c r="U2775" s="0" t="n">
        <v>1</v>
      </c>
      <c r="V2775" s="0" t="inlineStr">
        <is>
          <t>복도식</t>
        </is>
      </c>
      <c r="W2775" s="0" t="n">
        <v>55</v>
      </c>
      <c r="X2775" s="0" t="n">
        <v>6</v>
      </c>
      <c r="Y2775" s="0" t="n">
        <v>6</v>
      </c>
      <c r="Z2775" s="0" t="inlineStr">
        <is>
          <t>https://new.land.naver.com/complexes/142025?tab=detail&amp;rf=Y</t>
        </is>
      </c>
      <c r="AA2775" s="0" t="inlineStr">
        <is>
          <t>서울시 강동구 천호동 575</t>
        </is>
      </c>
      <c r="AB2775" s="0" t="inlineStr">
        <is>
          <t>서울시</t>
        </is>
      </c>
      <c r="AC2775" s="0" t="inlineStr">
        <is>
          <t>강동구</t>
        </is>
      </c>
      <c r="AD2775" s="0" t="inlineStr">
        <is>
          <t>천호동</t>
        </is>
      </c>
      <c r="AG2775" s="0" t="inlineStr">
        <is>
          <t>서울시 강동구 천중로27길 60</t>
        </is>
      </c>
      <c r="AH2775" s="0" t="n">
        <v>0</v>
      </c>
      <c r="AI2775" s="0" t="n">
        <v>189</v>
      </c>
      <c r="AJ2775" s="0" t="n">
        <v>47</v>
      </c>
      <c r="AK2775" s="0" t="n">
        <v>59</v>
      </c>
      <c r="AL2775" s="0" t="n">
        <v>0.7</v>
      </c>
    </row>
    <row r="2776">
      <c r="A2776" s="0" t="inlineStr">
        <is>
          <t>[천호동]</t>
        </is>
      </c>
      <c r="B2776" s="0" t="n">
        <v>142025</v>
      </c>
      <c r="C2776" s="0" t="n">
        <v>17</v>
      </c>
      <c r="D2776" s="0" t="inlineStr">
        <is>
          <t>청운캐슬2단지(도시형)</t>
        </is>
      </c>
      <c r="E2776" s="0" t="inlineStr">
        <is>
          <t>2019.02.</t>
        </is>
      </c>
      <c r="F2776" s="0" t="n">
        <v>84</v>
      </c>
      <c r="G2776" s="0" t="n">
        <v>18.65</v>
      </c>
      <c r="H2776" s="0" t="n">
        <v>61.68</v>
      </c>
      <c r="I2776" s="0" t="n">
        <v>15.24</v>
      </c>
      <c r="J2776" s="0" t="n">
        <v>50.4</v>
      </c>
      <c r="K2776" s="0" t="n">
        <v>5</v>
      </c>
      <c r="T2776" s="0" t="n">
        <v>2</v>
      </c>
      <c r="U2776" s="0" t="n">
        <v>1</v>
      </c>
      <c r="V2776" s="0" t="inlineStr">
        <is>
          <t>복도식</t>
        </is>
      </c>
      <c r="W2776" s="0" t="n">
        <v>61</v>
      </c>
      <c r="X2776" s="0" t="n">
        <v>6</v>
      </c>
      <c r="Y2776" s="0" t="n">
        <v>6</v>
      </c>
      <c r="Z2776" s="0" t="inlineStr">
        <is>
          <t>https://new.land.naver.com/complexes/142025?tab=detail&amp;rf=Y</t>
        </is>
      </c>
      <c r="AA2776" s="0" t="inlineStr">
        <is>
          <t>서울시 강동구 천호동 575</t>
        </is>
      </c>
      <c r="AB2776" s="0" t="inlineStr">
        <is>
          <t>서울시</t>
        </is>
      </c>
      <c r="AC2776" s="0" t="inlineStr">
        <is>
          <t>강동구</t>
        </is>
      </c>
      <c r="AD2776" s="0" t="inlineStr">
        <is>
          <t>천호동</t>
        </is>
      </c>
      <c r="AG2776" s="0" t="inlineStr">
        <is>
          <t>서울시 강동구 천중로27길 60</t>
        </is>
      </c>
      <c r="AH2776" s="0" t="n">
        <v>0</v>
      </c>
      <c r="AI2776" s="0" t="n">
        <v>189</v>
      </c>
      <c r="AJ2776" s="0" t="n">
        <v>47</v>
      </c>
      <c r="AK2776" s="0" t="n">
        <v>59</v>
      </c>
      <c r="AL2776" s="0" t="n">
        <v>0.7</v>
      </c>
    </row>
    <row r="2777">
      <c r="A2777" s="0" t="inlineStr">
        <is>
          <t>[천호동]</t>
        </is>
      </c>
      <c r="B2777" s="0" t="n">
        <v>142025</v>
      </c>
      <c r="C2777" s="0" t="n">
        <v>18</v>
      </c>
      <c r="D2777" s="0" t="inlineStr">
        <is>
          <t>청운캐슬2단지(도시형)</t>
        </is>
      </c>
      <c r="E2777" s="0" t="inlineStr">
        <is>
          <t>2019.02.</t>
        </is>
      </c>
      <c r="F2777" s="0" t="n">
        <v>84</v>
      </c>
      <c r="G2777" s="0" t="n">
        <v>20</v>
      </c>
      <c r="H2777" s="0" t="n">
        <v>66.14</v>
      </c>
      <c r="I2777" s="0" t="n">
        <v>16.35</v>
      </c>
      <c r="J2777" s="0" t="n">
        <v>54.05</v>
      </c>
      <c r="K2777" s="0" t="n">
        <v>1</v>
      </c>
      <c r="T2777" s="0" t="n">
        <v>3</v>
      </c>
      <c r="U2777" s="0" t="n">
        <v>1</v>
      </c>
      <c r="V2777" s="0" t="inlineStr">
        <is>
          <t>복도식</t>
        </is>
      </c>
      <c r="W2777" s="0" t="n">
        <v>66</v>
      </c>
      <c r="X2777" s="0" t="n">
        <v>6</v>
      </c>
      <c r="Y2777" s="0" t="n">
        <v>6</v>
      </c>
      <c r="Z2777" s="0" t="inlineStr">
        <is>
          <t>https://new.land.naver.com/complexes/142025?tab=detail&amp;rf=Y</t>
        </is>
      </c>
      <c r="AA2777" s="0" t="inlineStr">
        <is>
          <t>서울시 강동구 천호동 575</t>
        </is>
      </c>
      <c r="AB2777" s="0" t="inlineStr">
        <is>
          <t>서울시</t>
        </is>
      </c>
      <c r="AC2777" s="0" t="inlineStr">
        <is>
          <t>강동구</t>
        </is>
      </c>
      <c r="AD2777" s="0" t="inlineStr">
        <is>
          <t>천호동</t>
        </is>
      </c>
      <c r="AG2777" s="0" t="inlineStr">
        <is>
          <t>서울시 강동구 천중로27길 60</t>
        </is>
      </c>
      <c r="AH2777" s="0" t="n">
        <v>0</v>
      </c>
      <c r="AI2777" s="0" t="n">
        <v>189</v>
      </c>
      <c r="AJ2777" s="0" t="n">
        <v>47</v>
      </c>
      <c r="AK2777" s="0" t="n">
        <v>59</v>
      </c>
      <c r="AL2777" s="0" t="n">
        <v>0.7</v>
      </c>
    </row>
    <row r="2778">
      <c r="A2778" s="0" t="inlineStr">
        <is>
          <t>[천호동]</t>
        </is>
      </c>
      <c r="B2778" s="0" t="n">
        <v>142025</v>
      </c>
      <c r="C2778" s="0" t="n">
        <v>19</v>
      </c>
      <c r="D2778" s="0" t="inlineStr">
        <is>
          <t>청운캐슬2단지(도시형)</t>
        </is>
      </c>
      <c r="E2778" s="0" t="inlineStr">
        <is>
          <t>2019.02.</t>
        </is>
      </c>
      <c r="F2778" s="0" t="n">
        <v>84</v>
      </c>
      <c r="G2778" s="0" t="n">
        <v>20.82</v>
      </c>
      <c r="H2778" s="0" t="n">
        <v>68.84999999999999</v>
      </c>
      <c r="I2778" s="0" t="n">
        <v>17.01</v>
      </c>
      <c r="J2778" s="0" t="n">
        <v>56.26</v>
      </c>
      <c r="K2778" s="0" t="n">
        <v>1</v>
      </c>
      <c r="T2778" s="0" t="n">
        <v>3</v>
      </c>
      <c r="U2778" s="0" t="n">
        <v>1</v>
      </c>
      <c r="V2778" s="0" t="inlineStr">
        <is>
          <t>복도식</t>
        </is>
      </c>
      <c r="W2778" s="0" t="n">
        <v>68</v>
      </c>
      <c r="X2778" s="0" t="n">
        <v>6</v>
      </c>
      <c r="Y2778" s="0" t="n">
        <v>6</v>
      </c>
      <c r="Z2778" s="0" t="inlineStr">
        <is>
          <t>https://new.land.naver.com/complexes/142025?tab=detail&amp;rf=Y</t>
        </is>
      </c>
      <c r="AA2778" s="0" t="inlineStr">
        <is>
          <t>서울시 강동구 천호동 575</t>
        </is>
      </c>
      <c r="AB2778" s="0" t="inlineStr">
        <is>
          <t>서울시</t>
        </is>
      </c>
      <c r="AC2778" s="0" t="inlineStr">
        <is>
          <t>강동구</t>
        </is>
      </c>
      <c r="AD2778" s="0" t="inlineStr">
        <is>
          <t>천호동</t>
        </is>
      </c>
      <c r="AG2778" s="0" t="inlineStr">
        <is>
          <t>서울시 강동구 천중로27길 60</t>
        </is>
      </c>
      <c r="AH2778" s="0" t="n">
        <v>0</v>
      </c>
      <c r="AI2778" s="0" t="n">
        <v>189</v>
      </c>
      <c r="AJ2778" s="0" t="n">
        <v>47</v>
      </c>
      <c r="AK2778" s="0" t="n">
        <v>59</v>
      </c>
      <c r="AL2778" s="0" t="n">
        <v>0.7</v>
      </c>
    </row>
    <row r="2779">
      <c r="A2779" s="0" t="inlineStr">
        <is>
          <t>[천호동]</t>
        </is>
      </c>
      <c r="B2779" s="0" t="n">
        <v>142025</v>
      </c>
      <c r="C2779" s="0" t="n">
        <v>20</v>
      </c>
      <c r="D2779" s="0" t="inlineStr">
        <is>
          <t>청운캐슬2단지(도시형)</t>
        </is>
      </c>
      <c r="E2779" s="0" t="inlineStr">
        <is>
          <t>2019.02.</t>
        </is>
      </c>
      <c r="F2779" s="0" t="n">
        <v>84</v>
      </c>
      <c r="G2779" s="0" t="n">
        <v>22</v>
      </c>
      <c r="H2779" s="0" t="n">
        <v>72.73</v>
      </c>
      <c r="I2779" s="0" t="n">
        <v>18</v>
      </c>
      <c r="J2779" s="0" t="n">
        <v>59.51</v>
      </c>
      <c r="K2779" s="0" t="n">
        <v>4</v>
      </c>
      <c r="T2779" s="0" t="n">
        <v>3</v>
      </c>
      <c r="U2779" s="0" t="n">
        <v>1</v>
      </c>
      <c r="V2779" s="0" t="inlineStr">
        <is>
          <t>복도식</t>
        </is>
      </c>
      <c r="W2779" s="0" t="n">
        <v>72</v>
      </c>
      <c r="X2779" s="0" t="n">
        <v>6</v>
      </c>
      <c r="Y2779" s="0" t="n">
        <v>6</v>
      </c>
      <c r="Z2779" s="0" t="inlineStr">
        <is>
          <t>https://new.land.naver.com/complexes/142025?tab=detail&amp;rf=Y</t>
        </is>
      </c>
      <c r="AA2779" s="0" t="inlineStr">
        <is>
          <t>서울시 강동구 천호동 575</t>
        </is>
      </c>
      <c r="AB2779" s="0" t="inlineStr">
        <is>
          <t>서울시</t>
        </is>
      </c>
      <c r="AC2779" s="0" t="inlineStr">
        <is>
          <t>강동구</t>
        </is>
      </c>
      <c r="AD2779" s="0" t="inlineStr">
        <is>
          <t>천호동</t>
        </is>
      </c>
      <c r="AG2779" s="0" t="inlineStr">
        <is>
          <t>서울시 강동구 천중로27길 60</t>
        </is>
      </c>
      <c r="AH2779" s="0" t="n">
        <v>0</v>
      </c>
      <c r="AI2779" s="0" t="n">
        <v>189</v>
      </c>
      <c r="AJ2779" s="0" t="n">
        <v>47</v>
      </c>
      <c r="AK2779" s="0" t="n">
        <v>59</v>
      </c>
      <c r="AL2779" s="0" t="n">
        <v>0.7</v>
      </c>
    </row>
    <row r="2780">
      <c r="A2780" s="0" t="inlineStr">
        <is>
          <t>[천호동]</t>
        </is>
      </c>
      <c r="B2780" s="0" t="n">
        <v>13108</v>
      </c>
      <c r="C2780" s="0" t="n">
        <v>1</v>
      </c>
      <c r="D2780" s="0" t="inlineStr">
        <is>
          <t>광남캐스빌</t>
        </is>
      </c>
      <c r="E2780" s="0" t="inlineStr">
        <is>
          <t>2003.06.</t>
        </is>
      </c>
      <c r="F2780" s="0" t="n">
        <v>32</v>
      </c>
      <c r="G2780" s="0" t="n">
        <v>26.75</v>
      </c>
      <c r="H2780" s="0" t="n">
        <v>88.44</v>
      </c>
      <c r="I2780" s="0" t="n">
        <v>21.9</v>
      </c>
      <c r="J2780" s="0" t="n">
        <v>72.42</v>
      </c>
      <c r="K2780" s="0" t="n">
        <v>1</v>
      </c>
      <c r="T2780" s="0" t="n">
        <v>3</v>
      </c>
      <c r="U2780" s="0" t="n">
        <v>2</v>
      </c>
      <c r="V2780" s="0" t="inlineStr">
        <is>
          <t>계단식</t>
        </is>
      </c>
      <c r="W2780" s="0" t="n">
        <v>88</v>
      </c>
      <c r="X2780" s="0" t="n">
        <v>9</v>
      </c>
      <c r="Y2780" s="0" t="n">
        <v>7</v>
      </c>
      <c r="Z2780" s="0" t="inlineStr">
        <is>
          <t>https://new.land.naver.com/complexes/13108?tab=detail&amp;rf=Y</t>
        </is>
      </c>
      <c r="AA2780" s="0" t="inlineStr">
        <is>
          <t>서울시 강동구 천호동 52-1</t>
        </is>
      </c>
      <c r="AB2780" s="0" t="inlineStr">
        <is>
          <t>서울시</t>
        </is>
      </c>
      <c r="AC2780" s="0" t="inlineStr">
        <is>
          <t>강동구</t>
        </is>
      </c>
      <c r="AD2780" s="0" t="inlineStr">
        <is>
          <t>천호동</t>
        </is>
      </c>
      <c r="AG2780" s="0" t="inlineStr">
        <is>
          <t>서울시 강동구 양재대로121길 31</t>
        </is>
      </c>
      <c r="AH2780" s="0" t="n">
        <v>0</v>
      </c>
      <c r="AI2780" s="0" t="n">
        <v>249</v>
      </c>
      <c r="AJ2780" s="0" t="n">
        <v>35</v>
      </c>
      <c r="AK2780" s="0" t="n">
        <v>35</v>
      </c>
      <c r="AL2780" s="0" t="n">
        <v>1.09</v>
      </c>
    </row>
    <row r="2781">
      <c r="A2781" s="0" t="inlineStr">
        <is>
          <t>[천호동]</t>
        </is>
      </c>
      <c r="B2781" s="0" t="n">
        <v>13108</v>
      </c>
      <c r="C2781" s="0" t="n">
        <v>2</v>
      </c>
      <c r="D2781" s="0" t="inlineStr">
        <is>
          <t>광남캐스빌</t>
        </is>
      </c>
      <c r="E2781" s="0" t="inlineStr">
        <is>
          <t>2003.06.</t>
        </is>
      </c>
      <c r="F2781" s="0" t="n">
        <v>32</v>
      </c>
      <c r="G2781" s="0" t="n">
        <v>29.86</v>
      </c>
      <c r="H2781" s="0" t="n">
        <v>98.73999999999999</v>
      </c>
      <c r="I2781" s="0" t="n">
        <v>24.55</v>
      </c>
      <c r="J2781" s="0" t="n">
        <v>81.16</v>
      </c>
      <c r="K2781" s="0" t="n">
        <v>6</v>
      </c>
      <c r="T2781" s="0" t="n">
        <v>3</v>
      </c>
      <c r="U2781" s="0" t="n">
        <v>2</v>
      </c>
      <c r="V2781" s="0" t="inlineStr">
        <is>
          <t>계단식</t>
        </is>
      </c>
      <c r="W2781" s="0" t="inlineStr">
        <is>
          <t>98B</t>
        </is>
      </c>
      <c r="X2781" s="0" t="n">
        <v>9</v>
      </c>
      <c r="Y2781" s="0" t="n">
        <v>7</v>
      </c>
      <c r="Z2781" s="0" t="inlineStr">
        <is>
          <t>https://new.land.naver.com/complexes/13108?tab=detail&amp;rf=Y</t>
        </is>
      </c>
      <c r="AA2781" s="0" t="inlineStr">
        <is>
          <t>서울시 강동구 천호동 52-1</t>
        </is>
      </c>
      <c r="AB2781" s="0" t="inlineStr">
        <is>
          <t>서울시</t>
        </is>
      </c>
      <c r="AC2781" s="0" t="inlineStr">
        <is>
          <t>강동구</t>
        </is>
      </c>
      <c r="AD2781" s="0" t="inlineStr">
        <is>
          <t>천호동</t>
        </is>
      </c>
      <c r="AG2781" s="0" t="inlineStr">
        <is>
          <t>서울시 강동구 양재대로121길 31</t>
        </is>
      </c>
      <c r="AH2781" s="0" t="n">
        <v>0</v>
      </c>
      <c r="AI2781" s="0" t="n">
        <v>249</v>
      </c>
      <c r="AJ2781" s="0" t="n">
        <v>35</v>
      </c>
      <c r="AK2781" s="0" t="n">
        <v>35</v>
      </c>
      <c r="AL2781" s="0" t="n">
        <v>1.09</v>
      </c>
    </row>
    <row r="2782">
      <c r="A2782" s="0" t="inlineStr">
        <is>
          <t>[천호동]</t>
        </is>
      </c>
      <c r="B2782" s="0" t="n">
        <v>13108</v>
      </c>
      <c r="C2782" s="0" t="n">
        <v>3</v>
      </c>
      <c r="D2782" s="0" t="inlineStr">
        <is>
          <t>광남캐스빌</t>
        </is>
      </c>
      <c r="E2782" s="0" t="inlineStr">
        <is>
          <t>2003.06.</t>
        </is>
      </c>
      <c r="F2782" s="0" t="n">
        <v>32</v>
      </c>
      <c r="G2782" s="0" t="n">
        <v>30.08</v>
      </c>
      <c r="H2782" s="0" t="n">
        <v>99.45999999999999</v>
      </c>
      <c r="I2782" s="0" t="n">
        <v>24.5</v>
      </c>
      <c r="J2782" s="0" t="n">
        <v>81.01000000000001</v>
      </c>
      <c r="K2782" s="0" t="n">
        <v>18</v>
      </c>
      <c r="T2782" s="0" t="n">
        <v>3</v>
      </c>
      <c r="U2782" s="0" t="n">
        <v>2</v>
      </c>
      <c r="V2782" s="0" t="inlineStr">
        <is>
          <t>계단식</t>
        </is>
      </c>
      <c r="W2782" s="0" t="inlineStr">
        <is>
          <t>99A</t>
        </is>
      </c>
      <c r="X2782" s="0" t="n">
        <v>9</v>
      </c>
      <c r="Y2782" s="0" t="n">
        <v>7</v>
      </c>
      <c r="Z2782" s="0" t="inlineStr">
        <is>
          <t>https://new.land.naver.com/complexes/13108?tab=detail&amp;rf=Y</t>
        </is>
      </c>
      <c r="AA2782" s="0" t="inlineStr">
        <is>
          <t>서울시 강동구 천호동 52-1</t>
        </is>
      </c>
      <c r="AB2782" s="0" t="inlineStr">
        <is>
          <t>서울시</t>
        </is>
      </c>
      <c r="AC2782" s="0" t="inlineStr">
        <is>
          <t>강동구</t>
        </is>
      </c>
      <c r="AD2782" s="0" t="inlineStr">
        <is>
          <t>천호동</t>
        </is>
      </c>
      <c r="AG2782" s="0" t="inlineStr">
        <is>
          <t>서울시 강동구 양재대로121길 31</t>
        </is>
      </c>
      <c r="AH2782" s="0" t="n">
        <v>0</v>
      </c>
      <c r="AI2782" s="0" t="n">
        <v>249</v>
      </c>
      <c r="AJ2782" s="0" t="n">
        <v>35</v>
      </c>
      <c r="AK2782" s="0" t="n">
        <v>35</v>
      </c>
      <c r="AL2782" s="0" t="n">
        <v>1.09</v>
      </c>
    </row>
    <row r="2783">
      <c r="A2783" s="0" t="inlineStr">
        <is>
          <t>[천호동]</t>
        </is>
      </c>
      <c r="B2783" s="0" t="n">
        <v>13108</v>
      </c>
      <c r="C2783" s="0" t="n">
        <v>4</v>
      </c>
      <c r="D2783" s="0" t="inlineStr">
        <is>
          <t>광남캐스빌</t>
        </is>
      </c>
      <c r="E2783" s="0" t="inlineStr">
        <is>
          <t>2003.06.</t>
        </is>
      </c>
      <c r="F2783" s="0" t="n">
        <v>32</v>
      </c>
      <c r="G2783" s="0" t="n">
        <v>29.97</v>
      </c>
      <c r="H2783" s="0" t="n">
        <v>99.09999999999999</v>
      </c>
      <c r="I2783" s="0" t="n">
        <v>24.6</v>
      </c>
      <c r="J2783" s="0" t="n">
        <v>81.34999999999999</v>
      </c>
      <c r="K2783" s="0" t="n">
        <v>7</v>
      </c>
      <c r="T2783" s="0" t="n">
        <v>3</v>
      </c>
      <c r="U2783" s="0" t="n">
        <v>2</v>
      </c>
      <c r="V2783" s="0" t="inlineStr">
        <is>
          <t>계단식</t>
        </is>
      </c>
      <c r="W2783" s="0" t="inlineStr">
        <is>
          <t>99C</t>
        </is>
      </c>
      <c r="X2783" s="0" t="n">
        <v>9</v>
      </c>
      <c r="Y2783" s="0" t="n">
        <v>7</v>
      </c>
      <c r="Z2783" s="0" t="inlineStr">
        <is>
          <t>https://new.land.naver.com/complexes/13108?tab=detail&amp;rf=Y</t>
        </is>
      </c>
      <c r="AA2783" s="0" t="inlineStr">
        <is>
          <t>서울시 강동구 천호동 52-1</t>
        </is>
      </c>
      <c r="AB2783" s="0" t="inlineStr">
        <is>
          <t>서울시</t>
        </is>
      </c>
      <c r="AC2783" s="0" t="inlineStr">
        <is>
          <t>강동구</t>
        </is>
      </c>
      <c r="AD2783" s="0" t="inlineStr">
        <is>
          <t>천호동</t>
        </is>
      </c>
      <c r="AG2783" s="0" t="inlineStr">
        <is>
          <t>서울시 강동구 양재대로121길 31</t>
        </is>
      </c>
      <c r="AH2783" s="0" t="n">
        <v>0</v>
      </c>
      <c r="AI2783" s="0" t="n">
        <v>249</v>
      </c>
      <c r="AJ2783" s="0" t="n">
        <v>35</v>
      </c>
      <c r="AK2783" s="0" t="n">
        <v>35</v>
      </c>
      <c r="AL2783" s="0" t="n">
        <v>1.09</v>
      </c>
    </row>
    <row r="2784">
      <c r="A2784" s="0" t="inlineStr">
        <is>
          <t>[천호동]</t>
        </is>
      </c>
      <c r="B2784" s="0" t="n">
        <v>128872</v>
      </c>
      <c r="C2784" s="0" t="n">
        <v>1</v>
      </c>
      <c r="D2784" s="0" t="inlineStr">
        <is>
          <t>어바니엘(도시형)</t>
        </is>
      </c>
      <c r="E2784" s="0" t="inlineStr">
        <is>
          <t>2019.10.</t>
        </is>
      </c>
      <c r="F2784" s="0" t="n">
        <v>182</v>
      </c>
      <c r="G2784" s="0" t="n">
        <v>5.84</v>
      </c>
      <c r="H2784" s="0" t="n">
        <v>19.31</v>
      </c>
      <c r="I2784" s="0" t="n">
        <v>3.53</v>
      </c>
      <c r="J2784" s="0" t="n">
        <v>11.69</v>
      </c>
      <c r="K2784" s="0" t="n">
        <v>14</v>
      </c>
      <c r="T2784" s="0" t="n">
        <v>1</v>
      </c>
      <c r="U2784" s="0" t="n">
        <v>1</v>
      </c>
      <c r="V2784" s="0" t="inlineStr">
        <is>
          <t>계단식</t>
        </is>
      </c>
      <c r="W2784" s="0" t="n">
        <v>19</v>
      </c>
      <c r="X2784" s="0" t="n">
        <v>17</v>
      </c>
      <c r="Y2784" s="0" t="n">
        <v>17</v>
      </c>
      <c r="Z2784" s="0" t="inlineStr">
        <is>
          <t>https://new.land.naver.com/complexes/128872?tab=detail&amp;rf=Y</t>
        </is>
      </c>
      <c r="AA2784" s="0" t="inlineStr">
        <is>
          <t>서울시 강동구 천호동 452-22</t>
        </is>
      </c>
      <c r="AB2784" s="0" t="inlineStr">
        <is>
          <t>서울시</t>
        </is>
      </c>
      <c r="AC2784" s="0" t="inlineStr">
        <is>
          <t>강동구</t>
        </is>
      </c>
      <c r="AD2784" s="0" t="inlineStr">
        <is>
          <t>천호동</t>
        </is>
      </c>
      <c r="AG2784" s="0" t="inlineStr">
        <is>
          <t>서울시 강동구 천호대로161길 21</t>
        </is>
      </c>
      <c r="AH2784" s="0" t="n">
        <v>182</v>
      </c>
      <c r="AI2784" s="0" t="n">
        <v>599</v>
      </c>
      <c r="AJ2784" s="0" t="n">
        <v>59</v>
      </c>
      <c r="AK2784" s="0" t="n">
        <v>94</v>
      </c>
      <c r="AL2784" s="0" t="n">
        <v>0.52</v>
      </c>
    </row>
    <row r="2785">
      <c r="A2785" s="0" t="inlineStr">
        <is>
          <t>[천호동]</t>
        </is>
      </c>
      <c r="B2785" s="0" t="n">
        <v>128872</v>
      </c>
      <c r="C2785" s="0" t="n">
        <v>2</v>
      </c>
      <c r="D2785" s="0" t="inlineStr">
        <is>
          <t>어바니엘(도시형)</t>
        </is>
      </c>
      <c r="E2785" s="0" t="inlineStr">
        <is>
          <t>2019.10.</t>
        </is>
      </c>
      <c r="F2785" s="0" t="n">
        <v>182</v>
      </c>
      <c r="G2785" s="0" t="n">
        <v>6.61</v>
      </c>
      <c r="H2785" s="0" t="n">
        <v>21.86</v>
      </c>
      <c r="I2785" s="0" t="n">
        <v>4.01</v>
      </c>
      <c r="J2785" s="0" t="n">
        <v>13.28</v>
      </c>
      <c r="K2785" s="0" t="n">
        <v>28</v>
      </c>
      <c r="T2785" s="0" t="n">
        <v>1</v>
      </c>
      <c r="U2785" s="0" t="n">
        <v>1</v>
      </c>
      <c r="V2785" s="0" t="inlineStr">
        <is>
          <t>계단식</t>
        </is>
      </c>
      <c r="W2785" s="0" t="inlineStr">
        <is>
          <t>21A</t>
        </is>
      </c>
      <c r="X2785" s="0" t="n">
        <v>17</v>
      </c>
      <c r="Y2785" s="0" t="n">
        <v>17</v>
      </c>
      <c r="Z2785" s="0" t="inlineStr">
        <is>
          <t>https://new.land.naver.com/complexes/128872?tab=detail&amp;rf=Y</t>
        </is>
      </c>
      <c r="AA2785" s="0" t="inlineStr">
        <is>
          <t>서울시 강동구 천호동 452-22</t>
        </is>
      </c>
      <c r="AB2785" s="0" t="inlineStr">
        <is>
          <t>서울시</t>
        </is>
      </c>
      <c r="AC2785" s="0" t="inlineStr">
        <is>
          <t>강동구</t>
        </is>
      </c>
      <c r="AD2785" s="0" t="inlineStr">
        <is>
          <t>천호동</t>
        </is>
      </c>
      <c r="AG2785" s="0" t="inlineStr">
        <is>
          <t>서울시 강동구 천호대로161길 21</t>
        </is>
      </c>
      <c r="AH2785" s="0" t="n">
        <v>182</v>
      </c>
      <c r="AI2785" s="0" t="n">
        <v>599</v>
      </c>
      <c r="AJ2785" s="0" t="n">
        <v>59</v>
      </c>
      <c r="AK2785" s="0" t="n">
        <v>94</v>
      </c>
      <c r="AL2785" s="0" t="n">
        <v>0.52</v>
      </c>
    </row>
    <row r="2786">
      <c r="A2786" s="0" t="inlineStr">
        <is>
          <t>[천호동]</t>
        </is>
      </c>
      <c r="B2786" s="0" t="n">
        <v>128872</v>
      </c>
      <c r="C2786" s="0" t="n">
        <v>3</v>
      </c>
      <c r="D2786" s="0" t="inlineStr">
        <is>
          <t>어바니엘(도시형)</t>
        </is>
      </c>
      <c r="E2786" s="0" t="inlineStr">
        <is>
          <t>2019.10.</t>
        </is>
      </c>
      <c r="F2786" s="0" t="n">
        <v>182</v>
      </c>
      <c r="G2786" s="0" t="n">
        <v>6.69</v>
      </c>
      <c r="H2786" s="0" t="n">
        <v>22.12</v>
      </c>
      <c r="I2786" s="0" t="n">
        <v>4.06</v>
      </c>
      <c r="J2786" s="0" t="n">
        <v>13.44</v>
      </c>
      <c r="K2786" s="0" t="n">
        <v>126</v>
      </c>
      <c r="T2786" s="0" t="n">
        <v>1</v>
      </c>
      <c r="U2786" s="0" t="n">
        <v>1</v>
      </c>
      <c r="V2786" s="0" t="inlineStr">
        <is>
          <t>계단식</t>
        </is>
      </c>
      <c r="W2786" s="0" t="inlineStr">
        <is>
          <t>22B</t>
        </is>
      </c>
      <c r="X2786" s="0" t="n">
        <v>17</v>
      </c>
      <c r="Y2786" s="0" t="n">
        <v>17</v>
      </c>
      <c r="Z2786" s="0" t="inlineStr">
        <is>
          <t>https://new.land.naver.com/complexes/128872?tab=detail&amp;rf=Y</t>
        </is>
      </c>
      <c r="AA2786" s="0" t="inlineStr">
        <is>
          <t>서울시 강동구 천호동 452-22</t>
        </is>
      </c>
      <c r="AB2786" s="0" t="inlineStr">
        <is>
          <t>서울시</t>
        </is>
      </c>
      <c r="AC2786" s="0" t="inlineStr">
        <is>
          <t>강동구</t>
        </is>
      </c>
      <c r="AD2786" s="0" t="inlineStr">
        <is>
          <t>천호동</t>
        </is>
      </c>
      <c r="AG2786" s="0" t="inlineStr">
        <is>
          <t>서울시 강동구 천호대로161길 21</t>
        </is>
      </c>
      <c r="AH2786" s="0" t="n">
        <v>182</v>
      </c>
      <c r="AI2786" s="0" t="n">
        <v>599</v>
      </c>
      <c r="AJ2786" s="0" t="n">
        <v>59</v>
      </c>
      <c r="AK2786" s="0" t="n">
        <v>94</v>
      </c>
      <c r="AL2786" s="0" t="n">
        <v>0.52</v>
      </c>
    </row>
    <row r="2787">
      <c r="A2787" s="0" t="inlineStr">
        <is>
          <t>[천호동]</t>
        </is>
      </c>
      <c r="B2787" s="0" t="n">
        <v>128872</v>
      </c>
      <c r="C2787" s="0" t="n">
        <v>4</v>
      </c>
      <c r="D2787" s="0" t="inlineStr">
        <is>
          <t>어바니엘(도시형)</t>
        </is>
      </c>
      <c r="E2787" s="0" t="inlineStr">
        <is>
          <t>2019.10.</t>
        </is>
      </c>
      <c r="F2787" s="0" t="n">
        <v>182</v>
      </c>
      <c r="G2787" s="0" t="n">
        <v>6.82</v>
      </c>
      <c r="H2787" s="0" t="n">
        <v>22.56</v>
      </c>
      <c r="I2787" s="0" t="n">
        <v>4.1</v>
      </c>
      <c r="J2787" s="0" t="n">
        <v>13.56</v>
      </c>
      <c r="K2787" s="0" t="n">
        <v>14</v>
      </c>
      <c r="T2787" s="0" t="n">
        <v>1</v>
      </c>
      <c r="U2787" s="0" t="n">
        <v>1</v>
      </c>
      <c r="V2787" s="0" t="inlineStr">
        <is>
          <t>계단식</t>
        </is>
      </c>
      <c r="W2787" s="0" t="inlineStr">
        <is>
          <t>22C</t>
        </is>
      </c>
      <c r="X2787" s="0" t="n">
        <v>17</v>
      </c>
      <c r="Y2787" s="0" t="n">
        <v>17</v>
      </c>
      <c r="Z2787" s="0" t="inlineStr">
        <is>
          <t>https://new.land.naver.com/complexes/128872?tab=detail&amp;rf=Y</t>
        </is>
      </c>
      <c r="AA2787" s="0" t="inlineStr">
        <is>
          <t>서울시 강동구 천호동 452-22</t>
        </is>
      </c>
      <c r="AB2787" s="0" t="inlineStr">
        <is>
          <t>서울시</t>
        </is>
      </c>
      <c r="AC2787" s="0" t="inlineStr">
        <is>
          <t>강동구</t>
        </is>
      </c>
      <c r="AD2787" s="0" t="inlineStr">
        <is>
          <t>천호동</t>
        </is>
      </c>
      <c r="AG2787" s="0" t="inlineStr">
        <is>
          <t>서울시 강동구 천호대로161길 21</t>
        </is>
      </c>
      <c r="AH2787" s="0" t="n">
        <v>182</v>
      </c>
      <c r="AI2787" s="0" t="n">
        <v>599</v>
      </c>
      <c r="AJ2787" s="0" t="n">
        <v>59</v>
      </c>
      <c r="AK2787" s="0" t="n">
        <v>94</v>
      </c>
      <c r="AL2787" s="0" t="n">
        <v>0.52</v>
      </c>
    </row>
    <row r="2788">
      <c r="A2788" s="0" t="inlineStr">
        <is>
          <t>[천호동]</t>
        </is>
      </c>
      <c r="B2788" s="0" t="n">
        <v>15514</v>
      </c>
      <c r="C2788" s="0" t="n">
        <v>1</v>
      </c>
      <c r="D2788" s="0" t="inlineStr">
        <is>
          <t>광남벨라스643V(B)</t>
        </is>
      </c>
      <c r="E2788" s="0" t="inlineStr">
        <is>
          <t>2003.02.</t>
        </is>
      </c>
      <c r="F2788" s="0" t="n">
        <v>19</v>
      </c>
      <c r="G2788" s="0" t="n">
        <v>28.43</v>
      </c>
      <c r="H2788" s="0" t="n">
        <v>93.98999999999999</v>
      </c>
      <c r="I2788" s="0" t="n">
        <v>25.6</v>
      </c>
      <c r="J2788" s="0" t="n">
        <v>84.66</v>
      </c>
      <c r="K2788" s="0" t="n">
        <v>6</v>
      </c>
      <c r="T2788" s="0" t="n">
        <v>3</v>
      </c>
      <c r="U2788" s="0" t="n">
        <v>2</v>
      </c>
      <c r="V2788" s="0" t="inlineStr">
        <is>
          <t>계단식</t>
        </is>
      </c>
      <c r="W2788" s="0" t="n">
        <v>93</v>
      </c>
      <c r="X2788" s="0" t="n">
        <v>7</v>
      </c>
      <c r="Y2788" s="0" t="n">
        <v>7</v>
      </c>
      <c r="Z2788" s="0" t="inlineStr">
        <is>
          <t>https://new.land.naver.com/complexes/15514?tab=detail&amp;rf=Y</t>
        </is>
      </c>
      <c r="AA2788" s="0" t="inlineStr">
        <is>
          <t>서울시 강동구 천호동 50-7</t>
        </is>
      </c>
      <c r="AB2788" s="0" t="inlineStr">
        <is>
          <t>서울시</t>
        </is>
      </c>
      <c r="AC2788" s="0" t="inlineStr">
        <is>
          <t>강동구</t>
        </is>
      </c>
      <c r="AD2788" s="0" t="inlineStr">
        <is>
          <t>천호동</t>
        </is>
      </c>
      <c r="AG2788" s="0" t="inlineStr">
        <is>
          <t>서울시 강동구 양재대로121길 16</t>
        </is>
      </c>
      <c r="AH2788" s="0" t="n">
        <v>0</v>
      </c>
      <c r="AI2788" s="0" t="n">
        <v>234</v>
      </c>
      <c r="AJ2788" s="0" t="n">
        <v>45</v>
      </c>
      <c r="AK2788" s="0" t="n">
        <v>27</v>
      </c>
      <c r="AL2788" s="0" t="n">
        <v>1.42</v>
      </c>
    </row>
    <row r="2789">
      <c r="A2789" s="0" t="inlineStr">
        <is>
          <t>[천호동]</t>
        </is>
      </c>
      <c r="B2789" s="0" t="n">
        <v>15514</v>
      </c>
      <c r="C2789" s="0" t="n">
        <v>2</v>
      </c>
      <c r="D2789" s="0" t="inlineStr">
        <is>
          <t>광남벨라스643V(B)</t>
        </is>
      </c>
      <c r="E2789" s="0" t="inlineStr">
        <is>
          <t>2003.02.</t>
        </is>
      </c>
      <c r="F2789" s="0" t="n">
        <v>19</v>
      </c>
      <c r="G2789" s="0" t="n">
        <v>28.54</v>
      </c>
      <c r="H2789" s="0" t="n">
        <v>94.34999999999999</v>
      </c>
      <c r="I2789" s="0" t="n">
        <v>25.7</v>
      </c>
      <c r="J2789" s="0" t="n">
        <v>84.97</v>
      </c>
      <c r="K2789" s="0" t="n">
        <v>1</v>
      </c>
      <c r="T2789" s="0" t="n">
        <v>3</v>
      </c>
      <c r="U2789" s="0" t="n">
        <v>2</v>
      </c>
      <c r="V2789" s="0" t="inlineStr">
        <is>
          <t>계단식</t>
        </is>
      </c>
      <c r="W2789" s="0" t="n">
        <v>94</v>
      </c>
      <c r="X2789" s="0" t="n">
        <v>7</v>
      </c>
      <c r="Y2789" s="0" t="n">
        <v>7</v>
      </c>
      <c r="Z2789" s="0" t="inlineStr">
        <is>
          <t>https://new.land.naver.com/complexes/15514?tab=detail&amp;rf=Y</t>
        </is>
      </c>
      <c r="AA2789" s="0" t="inlineStr">
        <is>
          <t>서울시 강동구 천호동 50-7</t>
        </is>
      </c>
      <c r="AB2789" s="0" t="inlineStr">
        <is>
          <t>서울시</t>
        </is>
      </c>
      <c r="AC2789" s="0" t="inlineStr">
        <is>
          <t>강동구</t>
        </is>
      </c>
      <c r="AD2789" s="0" t="inlineStr">
        <is>
          <t>천호동</t>
        </is>
      </c>
      <c r="AG2789" s="0" t="inlineStr">
        <is>
          <t>서울시 강동구 양재대로121길 16</t>
        </is>
      </c>
      <c r="AH2789" s="0" t="n">
        <v>0</v>
      </c>
      <c r="AI2789" s="0" t="n">
        <v>234</v>
      </c>
      <c r="AJ2789" s="0" t="n">
        <v>45</v>
      </c>
      <c r="AK2789" s="0" t="n">
        <v>27</v>
      </c>
      <c r="AL2789" s="0" t="n">
        <v>1.42</v>
      </c>
    </row>
    <row r="2790">
      <c r="A2790" s="0" t="inlineStr">
        <is>
          <t>[천호동]</t>
        </is>
      </c>
      <c r="B2790" s="0" t="n">
        <v>15514</v>
      </c>
      <c r="C2790" s="0" t="n">
        <v>3</v>
      </c>
      <c r="D2790" s="0" t="inlineStr">
        <is>
          <t>광남벨라스643V(B)</t>
        </is>
      </c>
      <c r="E2790" s="0" t="inlineStr">
        <is>
          <t>2003.02.</t>
        </is>
      </c>
      <c r="F2790" s="0" t="n">
        <v>19</v>
      </c>
      <c r="G2790" s="0" t="n">
        <v>37.25</v>
      </c>
      <c r="H2790" s="0" t="n">
        <v>123.17</v>
      </c>
      <c r="I2790" s="0" t="n">
        <v>33.55</v>
      </c>
      <c r="J2790" s="0" t="n">
        <v>110.94</v>
      </c>
      <c r="K2790" s="0" t="n">
        <v>1</v>
      </c>
      <c r="T2790" s="0" t="n">
        <v>3</v>
      </c>
      <c r="U2790" s="0" t="n">
        <v>2</v>
      </c>
      <c r="V2790" s="0" t="inlineStr">
        <is>
          <t>계단식</t>
        </is>
      </c>
      <c r="W2790" s="0" t="n">
        <v>123</v>
      </c>
      <c r="X2790" s="0" t="n">
        <v>7</v>
      </c>
      <c r="Y2790" s="0" t="n">
        <v>7</v>
      </c>
      <c r="Z2790" s="0" t="inlineStr">
        <is>
          <t>https://new.land.naver.com/complexes/15514?tab=detail&amp;rf=Y</t>
        </is>
      </c>
      <c r="AA2790" s="0" t="inlineStr">
        <is>
          <t>서울시 강동구 천호동 50-7</t>
        </is>
      </c>
      <c r="AB2790" s="0" t="inlineStr">
        <is>
          <t>서울시</t>
        </is>
      </c>
      <c r="AC2790" s="0" t="inlineStr">
        <is>
          <t>강동구</t>
        </is>
      </c>
      <c r="AD2790" s="0" t="inlineStr">
        <is>
          <t>천호동</t>
        </is>
      </c>
      <c r="AG2790" s="0" t="inlineStr">
        <is>
          <t>서울시 강동구 양재대로121길 16</t>
        </is>
      </c>
      <c r="AH2790" s="0" t="n">
        <v>0</v>
      </c>
      <c r="AI2790" s="0" t="n">
        <v>234</v>
      </c>
      <c r="AJ2790" s="0" t="n">
        <v>45</v>
      </c>
      <c r="AK2790" s="0" t="n">
        <v>27</v>
      </c>
      <c r="AL2790" s="0" t="n">
        <v>1.42</v>
      </c>
    </row>
    <row r="2791">
      <c r="A2791" s="0" t="inlineStr">
        <is>
          <t>[천호동]</t>
        </is>
      </c>
      <c r="B2791" s="0" t="n">
        <v>15514</v>
      </c>
      <c r="C2791" s="0" t="n">
        <v>4</v>
      </c>
      <c r="D2791" s="0" t="inlineStr">
        <is>
          <t>광남벨라스643V(B)</t>
        </is>
      </c>
      <c r="E2791" s="0" t="inlineStr">
        <is>
          <t>2003.02.</t>
        </is>
      </c>
      <c r="F2791" s="0" t="n">
        <v>19</v>
      </c>
      <c r="G2791" s="0" t="n">
        <v>41.49</v>
      </c>
      <c r="H2791" s="0" t="n">
        <v>137.17</v>
      </c>
      <c r="I2791" s="0" t="n">
        <v>37.37</v>
      </c>
      <c r="J2791" s="0" t="n">
        <v>123.55</v>
      </c>
      <c r="K2791" s="0" t="n">
        <v>5</v>
      </c>
      <c r="T2791" s="0" t="n">
        <v>4</v>
      </c>
      <c r="U2791" s="0" t="n">
        <v>2</v>
      </c>
      <c r="V2791" s="0" t="inlineStr">
        <is>
          <t>계단식</t>
        </is>
      </c>
      <c r="W2791" s="0" t="n">
        <v>137</v>
      </c>
      <c r="X2791" s="0" t="n">
        <v>7</v>
      </c>
      <c r="Y2791" s="0" t="n">
        <v>7</v>
      </c>
      <c r="Z2791" s="0" t="inlineStr">
        <is>
          <t>https://new.land.naver.com/complexes/15514?tab=detail&amp;rf=Y</t>
        </is>
      </c>
      <c r="AA2791" s="0" t="inlineStr">
        <is>
          <t>서울시 강동구 천호동 50-7</t>
        </is>
      </c>
      <c r="AB2791" s="0" t="inlineStr">
        <is>
          <t>서울시</t>
        </is>
      </c>
      <c r="AC2791" s="0" t="inlineStr">
        <is>
          <t>강동구</t>
        </is>
      </c>
      <c r="AD2791" s="0" t="inlineStr">
        <is>
          <t>천호동</t>
        </is>
      </c>
      <c r="AG2791" s="0" t="inlineStr">
        <is>
          <t>서울시 강동구 양재대로121길 16</t>
        </is>
      </c>
      <c r="AH2791" s="0" t="n">
        <v>0</v>
      </c>
      <c r="AI2791" s="0" t="n">
        <v>234</v>
      </c>
      <c r="AJ2791" s="0" t="n">
        <v>45</v>
      </c>
      <c r="AK2791" s="0" t="n">
        <v>27</v>
      </c>
      <c r="AL2791" s="0" t="n">
        <v>1.42</v>
      </c>
    </row>
    <row r="2792">
      <c r="A2792" s="0" t="inlineStr">
        <is>
          <t>[천호동]</t>
        </is>
      </c>
      <c r="B2792" s="0" t="n">
        <v>15514</v>
      </c>
      <c r="C2792" s="0" t="n">
        <v>5</v>
      </c>
      <c r="D2792" s="0" t="inlineStr">
        <is>
          <t>광남벨라스643V(B)</t>
        </is>
      </c>
      <c r="E2792" s="0" t="inlineStr">
        <is>
          <t>2003.02.</t>
        </is>
      </c>
      <c r="F2792" s="0" t="n">
        <v>19</v>
      </c>
      <c r="G2792" s="0" t="n">
        <v>42.44</v>
      </c>
      <c r="H2792" s="0" t="n">
        <v>140.33</v>
      </c>
      <c r="I2792" s="0" t="n">
        <v>38.23</v>
      </c>
      <c r="J2792" s="0" t="n">
        <v>126.4</v>
      </c>
      <c r="K2792" s="0" t="n">
        <v>6</v>
      </c>
      <c r="T2792" s="0" t="n">
        <v>4</v>
      </c>
      <c r="U2792" s="0" t="n">
        <v>2</v>
      </c>
      <c r="V2792" s="0" t="inlineStr">
        <is>
          <t>계단식</t>
        </is>
      </c>
      <c r="W2792" s="0" t="n">
        <v>140</v>
      </c>
      <c r="X2792" s="0" t="n">
        <v>7</v>
      </c>
      <c r="Y2792" s="0" t="n">
        <v>7</v>
      </c>
      <c r="Z2792" s="0" t="inlineStr">
        <is>
          <t>https://new.land.naver.com/complexes/15514?tab=detail&amp;rf=Y</t>
        </is>
      </c>
      <c r="AA2792" s="0" t="inlineStr">
        <is>
          <t>서울시 강동구 천호동 50-7</t>
        </is>
      </c>
      <c r="AB2792" s="0" t="inlineStr">
        <is>
          <t>서울시</t>
        </is>
      </c>
      <c r="AC2792" s="0" t="inlineStr">
        <is>
          <t>강동구</t>
        </is>
      </c>
      <c r="AD2792" s="0" t="inlineStr">
        <is>
          <t>천호동</t>
        </is>
      </c>
      <c r="AG2792" s="0" t="inlineStr">
        <is>
          <t>서울시 강동구 양재대로121길 16</t>
        </is>
      </c>
      <c r="AH2792" s="0" t="n">
        <v>0</v>
      </c>
      <c r="AI2792" s="0" t="n">
        <v>234</v>
      </c>
      <c r="AJ2792" s="0" t="n">
        <v>45</v>
      </c>
      <c r="AK2792" s="0" t="n">
        <v>27</v>
      </c>
      <c r="AL2792" s="0" t="n">
        <v>1.42</v>
      </c>
    </row>
    <row r="2793">
      <c r="A2793" s="0" t="inlineStr">
        <is>
          <t>[천호동]</t>
        </is>
      </c>
      <c r="B2793" s="0" t="n">
        <v>119820</v>
      </c>
      <c r="C2793" s="0" t="n">
        <v>1</v>
      </c>
      <c r="D2793" s="0" t="inlineStr">
        <is>
          <t>엘림스퀘어1(도시형)</t>
        </is>
      </c>
      <c r="E2793" s="0" t="inlineStr">
        <is>
          <t>2018.01.</t>
        </is>
      </c>
      <c r="F2793" s="0" t="n">
        <v>34</v>
      </c>
      <c r="G2793" s="0" t="n">
        <v>5.72</v>
      </c>
      <c r="H2793" s="0" t="n">
        <v>18.93</v>
      </c>
      <c r="I2793" s="0" t="n">
        <v>4.28</v>
      </c>
      <c r="J2793" s="0" t="n">
        <v>14.16</v>
      </c>
      <c r="K2793" s="0" t="n">
        <v>16</v>
      </c>
      <c r="T2793" s="0" t="n">
        <v>1</v>
      </c>
      <c r="U2793" s="0" t="n">
        <v>1</v>
      </c>
      <c r="V2793" s="0" t="inlineStr">
        <is>
          <t>복도식</t>
        </is>
      </c>
      <c r="W2793" s="0" t="inlineStr">
        <is>
          <t>18A</t>
        </is>
      </c>
      <c r="X2793" s="0" t="n">
        <v>15</v>
      </c>
      <c r="Y2793" s="0" t="n">
        <v>15</v>
      </c>
      <c r="Z2793" s="0" t="inlineStr">
        <is>
          <t>https://new.land.naver.com/complexes/119820?tab=detail&amp;rf=Y</t>
        </is>
      </c>
      <c r="AA2793" s="0" t="inlineStr">
        <is>
          <t>서울시 강동구 천호동 452-5</t>
        </is>
      </c>
      <c r="AB2793" s="0" t="inlineStr">
        <is>
          <t>서울시</t>
        </is>
      </c>
      <c r="AC2793" s="0" t="inlineStr">
        <is>
          <t>강동구</t>
        </is>
      </c>
      <c r="AD2793" s="0" t="inlineStr">
        <is>
          <t>천호동</t>
        </is>
      </c>
      <c r="AG2793" s="0" t="inlineStr">
        <is>
          <t>서울시 강동구 천호대로161길 15</t>
        </is>
      </c>
      <c r="AH2793" s="0" t="n">
        <v>0</v>
      </c>
      <c r="AI2793" s="0" t="n">
        <v>599</v>
      </c>
      <c r="AJ2793" s="0" t="n">
        <v>59</v>
      </c>
      <c r="AK2793" s="0" t="n">
        <v>16</v>
      </c>
      <c r="AL2793" s="0" t="n">
        <v>0.47</v>
      </c>
    </row>
    <row r="2794">
      <c r="A2794" s="0" t="inlineStr">
        <is>
          <t>[천호동]</t>
        </is>
      </c>
      <c r="B2794" s="0" t="n">
        <v>119820</v>
      </c>
      <c r="C2794" s="0" t="n">
        <v>2</v>
      </c>
      <c r="D2794" s="0" t="inlineStr">
        <is>
          <t>엘림스퀘어1(도시형)</t>
        </is>
      </c>
      <c r="E2794" s="0" t="inlineStr">
        <is>
          <t>2018.01.</t>
        </is>
      </c>
      <c r="F2794" s="0" t="n">
        <v>34</v>
      </c>
      <c r="G2794" s="0" t="n">
        <v>6.03</v>
      </c>
      <c r="H2794" s="0" t="n">
        <v>19.94</v>
      </c>
      <c r="I2794" s="0" t="n">
        <v>4.51</v>
      </c>
      <c r="J2794" s="0" t="n">
        <v>14.92</v>
      </c>
      <c r="K2794" s="0" t="n">
        <v>4</v>
      </c>
      <c r="T2794" s="0" t="n">
        <v>1</v>
      </c>
      <c r="U2794" s="0" t="n">
        <v>1</v>
      </c>
      <c r="V2794" s="0" t="inlineStr">
        <is>
          <t>복도식</t>
        </is>
      </c>
      <c r="W2794" s="0" t="inlineStr">
        <is>
          <t>19B</t>
        </is>
      </c>
      <c r="X2794" s="0" t="n">
        <v>15</v>
      </c>
      <c r="Y2794" s="0" t="n">
        <v>15</v>
      </c>
      <c r="Z2794" s="0" t="inlineStr">
        <is>
          <t>https://new.land.naver.com/complexes/119820?tab=detail&amp;rf=Y</t>
        </is>
      </c>
      <c r="AA2794" s="0" t="inlineStr">
        <is>
          <t>서울시 강동구 천호동 452-5</t>
        </is>
      </c>
      <c r="AB2794" s="0" t="inlineStr">
        <is>
          <t>서울시</t>
        </is>
      </c>
      <c r="AC2794" s="0" t="inlineStr">
        <is>
          <t>강동구</t>
        </is>
      </c>
      <c r="AD2794" s="0" t="inlineStr">
        <is>
          <t>천호동</t>
        </is>
      </c>
      <c r="AG2794" s="0" t="inlineStr">
        <is>
          <t>서울시 강동구 천호대로161길 15</t>
        </is>
      </c>
      <c r="AH2794" s="0" t="n">
        <v>0</v>
      </c>
      <c r="AI2794" s="0" t="n">
        <v>599</v>
      </c>
      <c r="AJ2794" s="0" t="n">
        <v>59</v>
      </c>
      <c r="AK2794" s="0" t="n">
        <v>16</v>
      </c>
      <c r="AL2794" s="0" t="n">
        <v>0.47</v>
      </c>
    </row>
    <row r="2795">
      <c r="A2795" s="0" t="inlineStr">
        <is>
          <t>[천호동]</t>
        </is>
      </c>
      <c r="B2795" s="0" t="n">
        <v>119820</v>
      </c>
      <c r="C2795" s="0" t="n">
        <v>3</v>
      </c>
      <c r="D2795" s="0" t="inlineStr">
        <is>
          <t>엘림스퀘어1(도시형)</t>
        </is>
      </c>
      <c r="E2795" s="0" t="inlineStr">
        <is>
          <t>2018.01.</t>
        </is>
      </c>
      <c r="F2795" s="0" t="n">
        <v>34</v>
      </c>
      <c r="G2795" s="0" t="n">
        <v>6.3</v>
      </c>
      <c r="H2795" s="0" t="n">
        <v>20.83</v>
      </c>
      <c r="I2795" s="0" t="n">
        <v>4.71</v>
      </c>
      <c r="J2795" s="0" t="n">
        <v>15.59</v>
      </c>
      <c r="K2795" s="0" t="n">
        <v>6</v>
      </c>
      <c r="T2795" s="0" t="n">
        <v>1</v>
      </c>
      <c r="U2795" s="0" t="n">
        <v>1</v>
      </c>
      <c r="V2795" s="0" t="inlineStr">
        <is>
          <t>복도식</t>
        </is>
      </c>
      <c r="W2795" s="0" t="inlineStr">
        <is>
          <t>20D</t>
        </is>
      </c>
      <c r="X2795" s="0" t="n">
        <v>15</v>
      </c>
      <c r="Y2795" s="0" t="n">
        <v>15</v>
      </c>
      <c r="Z2795" s="0" t="inlineStr">
        <is>
          <t>https://new.land.naver.com/complexes/119820?tab=detail&amp;rf=Y</t>
        </is>
      </c>
      <c r="AA2795" s="0" t="inlineStr">
        <is>
          <t>서울시 강동구 천호동 452-5</t>
        </is>
      </c>
      <c r="AB2795" s="0" t="inlineStr">
        <is>
          <t>서울시</t>
        </is>
      </c>
      <c r="AC2795" s="0" t="inlineStr">
        <is>
          <t>강동구</t>
        </is>
      </c>
      <c r="AD2795" s="0" t="inlineStr">
        <is>
          <t>천호동</t>
        </is>
      </c>
      <c r="AG2795" s="0" t="inlineStr">
        <is>
          <t>서울시 강동구 천호대로161길 15</t>
        </is>
      </c>
      <c r="AH2795" s="0" t="n">
        <v>0</v>
      </c>
      <c r="AI2795" s="0" t="n">
        <v>599</v>
      </c>
      <c r="AJ2795" s="0" t="n">
        <v>59</v>
      </c>
      <c r="AK2795" s="0" t="n">
        <v>16</v>
      </c>
      <c r="AL2795" s="0" t="n">
        <v>0.47</v>
      </c>
    </row>
    <row r="2796">
      <c r="A2796" s="0" t="inlineStr">
        <is>
          <t>[천호동]</t>
        </is>
      </c>
      <c r="B2796" s="0" t="n">
        <v>119820</v>
      </c>
      <c r="C2796" s="0" t="n">
        <v>4</v>
      </c>
      <c r="D2796" s="0" t="inlineStr">
        <is>
          <t>엘림스퀘어1(도시형)</t>
        </is>
      </c>
      <c r="E2796" s="0" t="inlineStr">
        <is>
          <t>2018.01.</t>
        </is>
      </c>
      <c r="F2796" s="0" t="n">
        <v>34</v>
      </c>
      <c r="G2796" s="0" t="n">
        <v>6.14</v>
      </c>
      <c r="H2796" s="0" t="n">
        <v>20.3</v>
      </c>
      <c r="I2796" s="0" t="n">
        <v>4.59</v>
      </c>
      <c r="J2796" s="0" t="n">
        <v>15.19</v>
      </c>
      <c r="K2796" s="0" t="n">
        <v>4</v>
      </c>
      <c r="T2796" s="0" t="n">
        <v>1</v>
      </c>
      <c r="U2796" s="0" t="n">
        <v>1</v>
      </c>
      <c r="V2796" s="0" t="inlineStr">
        <is>
          <t>복도식</t>
        </is>
      </c>
      <c r="W2796" s="0" t="inlineStr">
        <is>
          <t>20C</t>
        </is>
      </c>
      <c r="X2796" s="0" t="n">
        <v>15</v>
      </c>
      <c r="Y2796" s="0" t="n">
        <v>15</v>
      </c>
      <c r="Z2796" s="0" t="inlineStr">
        <is>
          <t>https://new.land.naver.com/complexes/119820?tab=detail&amp;rf=Y</t>
        </is>
      </c>
      <c r="AA2796" s="0" t="inlineStr">
        <is>
          <t>서울시 강동구 천호동 452-5</t>
        </is>
      </c>
      <c r="AB2796" s="0" t="inlineStr">
        <is>
          <t>서울시</t>
        </is>
      </c>
      <c r="AC2796" s="0" t="inlineStr">
        <is>
          <t>강동구</t>
        </is>
      </c>
      <c r="AD2796" s="0" t="inlineStr">
        <is>
          <t>천호동</t>
        </is>
      </c>
      <c r="AG2796" s="0" t="inlineStr">
        <is>
          <t>서울시 강동구 천호대로161길 15</t>
        </is>
      </c>
      <c r="AH2796" s="0" t="n">
        <v>0</v>
      </c>
      <c r="AI2796" s="0" t="n">
        <v>599</v>
      </c>
      <c r="AJ2796" s="0" t="n">
        <v>59</v>
      </c>
      <c r="AK2796" s="0" t="n">
        <v>16</v>
      </c>
      <c r="AL2796" s="0" t="n">
        <v>0.47</v>
      </c>
    </row>
    <row r="2797">
      <c r="A2797" s="0" t="inlineStr">
        <is>
          <t>[천호동]</t>
        </is>
      </c>
      <c r="B2797" s="0" t="n">
        <v>119820</v>
      </c>
      <c r="C2797" s="0" t="n">
        <v>5</v>
      </c>
      <c r="D2797" s="0" t="inlineStr">
        <is>
          <t>엘림스퀘어1(도시형)</t>
        </is>
      </c>
      <c r="E2797" s="0" t="inlineStr">
        <is>
          <t>2018.01.</t>
        </is>
      </c>
      <c r="F2797" s="0" t="n">
        <v>34</v>
      </c>
      <c r="G2797" s="0" t="n">
        <v>8.140000000000001</v>
      </c>
      <c r="H2797" s="0" t="n">
        <v>26.94</v>
      </c>
      <c r="I2797" s="0" t="n">
        <v>6.09</v>
      </c>
      <c r="J2797" s="0" t="n">
        <v>20.16</v>
      </c>
      <c r="K2797" s="0" t="n">
        <v>4</v>
      </c>
      <c r="T2797" s="0" t="n">
        <v>1</v>
      </c>
      <c r="U2797" s="0" t="n">
        <v>1</v>
      </c>
      <c r="V2797" s="0" t="inlineStr">
        <is>
          <t>복도식</t>
        </is>
      </c>
      <c r="W2797" s="0" t="n">
        <v>26</v>
      </c>
      <c r="X2797" s="0" t="n">
        <v>15</v>
      </c>
      <c r="Y2797" s="0" t="n">
        <v>15</v>
      </c>
      <c r="Z2797" s="0" t="inlineStr">
        <is>
          <t>https://new.land.naver.com/complexes/119820?tab=detail&amp;rf=Y</t>
        </is>
      </c>
      <c r="AA2797" s="0" t="inlineStr">
        <is>
          <t>서울시 강동구 천호동 452-5</t>
        </is>
      </c>
      <c r="AB2797" s="0" t="inlineStr">
        <is>
          <t>서울시</t>
        </is>
      </c>
      <c r="AC2797" s="0" t="inlineStr">
        <is>
          <t>강동구</t>
        </is>
      </c>
      <c r="AD2797" s="0" t="inlineStr">
        <is>
          <t>천호동</t>
        </is>
      </c>
      <c r="AG2797" s="0" t="inlineStr">
        <is>
          <t>서울시 강동구 천호대로161길 15</t>
        </is>
      </c>
      <c r="AH2797" s="0" t="n">
        <v>0</v>
      </c>
      <c r="AI2797" s="0" t="n">
        <v>599</v>
      </c>
      <c r="AJ2797" s="0" t="n">
        <v>59</v>
      </c>
      <c r="AK2797" s="0" t="n">
        <v>16</v>
      </c>
      <c r="AL2797" s="0" t="n">
        <v>0.47</v>
      </c>
    </row>
    <row r="2798">
      <c r="A2798" s="0" t="inlineStr">
        <is>
          <t>[천호동]</t>
        </is>
      </c>
      <c r="B2798" s="0" t="n">
        <v>117675</v>
      </c>
      <c r="C2798" s="0" t="n">
        <v>1</v>
      </c>
      <c r="D2798" s="0" t="inlineStr">
        <is>
          <t>유한</t>
        </is>
      </c>
      <c r="E2798" s="0" t="inlineStr">
        <is>
          <t>2017.07.</t>
        </is>
      </c>
      <c r="F2798" s="0" t="n">
        <v>18</v>
      </c>
      <c r="G2798" s="0" t="n">
        <v>7.35</v>
      </c>
      <c r="H2798" s="0" t="n">
        <v>24.33</v>
      </c>
      <c r="I2798" s="0" t="n">
        <v>5.44</v>
      </c>
      <c r="J2798" s="0" t="n">
        <v>18</v>
      </c>
      <c r="K2798" s="0" t="n">
        <v>8</v>
      </c>
      <c r="T2798" s="0" t="n">
        <v>1</v>
      </c>
      <c r="U2798" s="0" t="n">
        <v>1</v>
      </c>
      <c r="V2798" s="0" t="inlineStr">
        <is>
          <t>복도식</t>
        </is>
      </c>
      <c r="W2798" s="0" t="n">
        <v>24</v>
      </c>
      <c r="X2798" s="0" t="n">
        <v>6</v>
      </c>
      <c r="Y2798" s="0" t="n">
        <v>6</v>
      </c>
      <c r="Z2798" s="0" t="inlineStr">
        <is>
          <t>https://new.land.naver.com/complexes/117675?tab=detail&amp;rf=Y</t>
        </is>
      </c>
      <c r="AA2798" s="0" t="inlineStr">
        <is>
          <t>서울시 강동구 천호동 314-1</t>
        </is>
      </c>
      <c r="AB2798" s="0" t="inlineStr">
        <is>
          <t>서울시</t>
        </is>
      </c>
      <c r="AC2798" s="0" t="inlineStr">
        <is>
          <t>강동구</t>
        </is>
      </c>
      <c r="AD2798" s="0" t="inlineStr">
        <is>
          <t>천호동</t>
        </is>
      </c>
      <c r="AG2798" s="0" t="inlineStr">
        <is>
          <t>서울시 강동구 올림픽로 730</t>
        </is>
      </c>
      <c r="AH2798" s="0" t="n">
        <v>0</v>
      </c>
      <c r="AI2798" s="0" t="n">
        <v>249</v>
      </c>
      <c r="AJ2798" s="0" t="n">
        <v>49</v>
      </c>
      <c r="AK2798" s="0" t="n">
        <v>9</v>
      </c>
      <c r="AL2798" s="0" t="n">
        <v>0.5</v>
      </c>
    </row>
    <row r="2799">
      <c r="A2799" s="0" t="inlineStr">
        <is>
          <t>[천호동]</t>
        </is>
      </c>
      <c r="B2799" s="0" t="n">
        <v>117675</v>
      </c>
      <c r="C2799" s="0" t="n">
        <v>2</v>
      </c>
      <c r="D2799" s="0" t="inlineStr">
        <is>
          <t>유한</t>
        </is>
      </c>
      <c r="E2799" s="0" t="inlineStr">
        <is>
          <t>2017.07.</t>
        </is>
      </c>
      <c r="F2799" s="0" t="n">
        <v>18</v>
      </c>
      <c r="G2799" s="0" t="n">
        <v>7.54</v>
      </c>
      <c r="H2799" s="0" t="n">
        <v>24.94</v>
      </c>
      <c r="I2799" s="0" t="n">
        <v>5.58</v>
      </c>
      <c r="J2799" s="0" t="n">
        <v>18.45</v>
      </c>
      <c r="K2799" s="0" t="n">
        <v>4</v>
      </c>
      <c r="T2799" s="0" t="n">
        <v>1</v>
      </c>
      <c r="U2799" s="0" t="n">
        <v>1</v>
      </c>
      <c r="V2799" s="0" t="inlineStr">
        <is>
          <t>복도식</t>
        </is>
      </c>
      <c r="W2799" s="0" t="n">
        <v>24</v>
      </c>
      <c r="X2799" s="0" t="n">
        <v>6</v>
      </c>
      <c r="Y2799" s="0" t="n">
        <v>6</v>
      </c>
      <c r="Z2799" s="0" t="inlineStr">
        <is>
          <t>https://new.land.naver.com/complexes/117675?tab=detail&amp;rf=Y</t>
        </is>
      </c>
      <c r="AA2799" s="0" t="inlineStr">
        <is>
          <t>서울시 강동구 천호동 314-1</t>
        </is>
      </c>
      <c r="AB2799" s="0" t="inlineStr">
        <is>
          <t>서울시</t>
        </is>
      </c>
      <c r="AC2799" s="0" t="inlineStr">
        <is>
          <t>강동구</t>
        </is>
      </c>
      <c r="AD2799" s="0" t="inlineStr">
        <is>
          <t>천호동</t>
        </is>
      </c>
      <c r="AG2799" s="0" t="inlineStr">
        <is>
          <t>서울시 강동구 올림픽로 730</t>
        </is>
      </c>
      <c r="AH2799" s="0" t="n">
        <v>0</v>
      </c>
      <c r="AI2799" s="0" t="n">
        <v>249</v>
      </c>
      <c r="AJ2799" s="0" t="n">
        <v>49</v>
      </c>
      <c r="AK2799" s="0" t="n">
        <v>9</v>
      </c>
      <c r="AL2799" s="0" t="n">
        <v>0.5</v>
      </c>
    </row>
    <row r="2800">
      <c r="A2800" s="0" t="inlineStr">
        <is>
          <t>[천호동]</t>
        </is>
      </c>
      <c r="B2800" s="0" t="n">
        <v>117675</v>
      </c>
      <c r="C2800" s="0" t="n">
        <v>3</v>
      </c>
      <c r="D2800" s="0" t="inlineStr">
        <is>
          <t>유한</t>
        </is>
      </c>
      <c r="E2800" s="0" t="inlineStr">
        <is>
          <t>2017.07.</t>
        </is>
      </c>
      <c r="F2800" s="0" t="n">
        <v>18</v>
      </c>
      <c r="G2800" s="0" t="n">
        <v>9.09</v>
      </c>
      <c r="H2800" s="0" t="n">
        <v>30.05</v>
      </c>
      <c r="I2800" s="0" t="n">
        <v>6.72</v>
      </c>
      <c r="J2800" s="0" t="n">
        <v>22.23</v>
      </c>
      <c r="K2800" s="0" t="n">
        <v>2</v>
      </c>
      <c r="T2800" s="0" t="n">
        <v>1</v>
      </c>
      <c r="U2800" s="0" t="n">
        <v>1</v>
      </c>
      <c r="V2800" s="0" t="inlineStr">
        <is>
          <t>복도식</t>
        </is>
      </c>
      <c r="W2800" s="0" t="inlineStr">
        <is>
          <t>30A</t>
        </is>
      </c>
      <c r="X2800" s="0" t="n">
        <v>6</v>
      </c>
      <c r="Y2800" s="0" t="n">
        <v>6</v>
      </c>
      <c r="Z2800" s="0" t="inlineStr">
        <is>
          <t>https://new.land.naver.com/complexes/117675?tab=detail&amp;rf=Y</t>
        </is>
      </c>
      <c r="AA2800" s="0" t="inlineStr">
        <is>
          <t>서울시 강동구 천호동 314-1</t>
        </is>
      </c>
      <c r="AB2800" s="0" t="inlineStr">
        <is>
          <t>서울시</t>
        </is>
      </c>
      <c r="AC2800" s="0" t="inlineStr">
        <is>
          <t>강동구</t>
        </is>
      </c>
      <c r="AD2800" s="0" t="inlineStr">
        <is>
          <t>천호동</t>
        </is>
      </c>
      <c r="AG2800" s="0" t="inlineStr">
        <is>
          <t>서울시 강동구 올림픽로 730</t>
        </is>
      </c>
      <c r="AH2800" s="0" t="n">
        <v>0</v>
      </c>
      <c r="AI2800" s="0" t="n">
        <v>249</v>
      </c>
      <c r="AJ2800" s="0" t="n">
        <v>49</v>
      </c>
      <c r="AK2800" s="0" t="n">
        <v>9</v>
      </c>
      <c r="AL2800" s="0" t="n">
        <v>0.5</v>
      </c>
    </row>
    <row r="2801">
      <c r="A2801" s="0" t="inlineStr">
        <is>
          <t>[천호동]</t>
        </is>
      </c>
      <c r="B2801" s="0" t="n">
        <v>117675</v>
      </c>
      <c r="C2801" s="0" t="n">
        <v>4</v>
      </c>
      <c r="D2801" s="0" t="inlineStr">
        <is>
          <t>유한</t>
        </is>
      </c>
      <c r="E2801" s="0" t="inlineStr">
        <is>
          <t>2017.07.</t>
        </is>
      </c>
      <c r="F2801" s="0" t="n">
        <v>18</v>
      </c>
      <c r="G2801" s="0" t="n">
        <v>9.380000000000001</v>
      </c>
      <c r="H2801" s="0" t="n">
        <v>31.03</v>
      </c>
      <c r="I2801" s="0" t="n">
        <v>6.94</v>
      </c>
      <c r="J2801" s="0" t="n">
        <v>22.95</v>
      </c>
      <c r="K2801" s="0" t="n">
        <v>4</v>
      </c>
      <c r="T2801" s="0" t="n">
        <v>1</v>
      </c>
      <c r="U2801" s="0" t="n">
        <v>1</v>
      </c>
      <c r="V2801" s="0" t="inlineStr">
        <is>
          <t>복도식</t>
        </is>
      </c>
      <c r="W2801" s="0" t="inlineStr">
        <is>
          <t>31B</t>
        </is>
      </c>
      <c r="X2801" s="0" t="n">
        <v>6</v>
      </c>
      <c r="Y2801" s="0" t="n">
        <v>6</v>
      </c>
      <c r="Z2801" s="0" t="inlineStr">
        <is>
          <t>https://new.land.naver.com/complexes/117675?tab=detail&amp;rf=Y</t>
        </is>
      </c>
      <c r="AA2801" s="0" t="inlineStr">
        <is>
          <t>서울시 강동구 천호동 314-1</t>
        </is>
      </c>
      <c r="AB2801" s="0" t="inlineStr">
        <is>
          <t>서울시</t>
        </is>
      </c>
      <c r="AC2801" s="0" t="inlineStr">
        <is>
          <t>강동구</t>
        </is>
      </c>
      <c r="AD2801" s="0" t="inlineStr">
        <is>
          <t>천호동</t>
        </is>
      </c>
      <c r="AG2801" s="0" t="inlineStr">
        <is>
          <t>서울시 강동구 올림픽로 730</t>
        </is>
      </c>
      <c r="AH2801" s="0" t="n">
        <v>0</v>
      </c>
      <c r="AI2801" s="0" t="n">
        <v>249</v>
      </c>
      <c r="AJ2801" s="0" t="n">
        <v>49</v>
      </c>
      <c r="AK2801" s="0" t="n">
        <v>9</v>
      </c>
      <c r="AL2801" s="0" t="n">
        <v>0.5</v>
      </c>
    </row>
    <row r="2802">
      <c r="A2802" s="0" t="inlineStr">
        <is>
          <t>[천호동]</t>
        </is>
      </c>
      <c r="B2802" s="0" t="n">
        <v>107101</v>
      </c>
      <c r="C2802" s="0" t="n">
        <v>1</v>
      </c>
      <c r="D2802" s="0" t="inlineStr">
        <is>
          <t>강동파크빌</t>
        </is>
      </c>
      <c r="E2802" s="0" t="inlineStr">
        <is>
          <t>2003.04.</t>
        </is>
      </c>
      <c r="F2802" s="0" t="n">
        <v>9</v>
      </c>
      <c r="G2802" s="0" t="n">
        <v>21.87</v>
      </c>
      <c r="H2802" s="0" t="n">
        <v>72.33</v>
      </c>
      <c r="I2802" s="0" t="n">
        <v>18.86</v>
      </c>
      <c r="J2802" s="0" t="n">
        <v>62.35</v>
      </c>
      <c r="K2802" s="0" t="n">
        <v>2</v>
      </c>
      <c r="T2802" s="0" t="n">
        <v>2</v>
      </c>
      <c r="U2802" s="0" t="n">
        <v>1</v>
      </c>
      <c r="V2802" s="0" t="inlineStr">
        <is>
          <t>복도식</t>
        </is>
      </c>
      <c r="W2802" s="0" t="n">
        <v>72</v>
      </c>
      <c r="X2802" s="0" t="n">
        <v>6</v>
      </c>
      <c r="Y2802" s="0" t="n">
        <v>6</v>
      </c>
      <c r="Z2802" s="0" t="inlineStr">
        <is>
          <t>https://new.land.naver.com/complexes/107101?tab=detail&amp;rf=Y</t>
        </is>
      </c>
      <c r="AA2802" s="0" t="inlineStr">
        <is>
          <t>서울시 강동구 천호동 450-38</t>
        </is>
      </c>
      <c r="AB2802" s="0" t="inlineStr">
        <is>
          <t>서울시</t>
        </is>
      </c>
      <c r="AC2802" s="0" t="inlineStr">
        <is>
          <t>강동구</t>
        </is>
      </c>
      <c r="AD2802" s="0" t="inlineStr">
        <is>
          <t>천호동</t>
        </is>
      </c>
      <c r="AG2802" s="0" t="inlineStr">
        <is>
          <t>서울시 강동구 천호대로163길 29</t>
        </is>
      </c>
      <c r="AH2802" s="0" t="n">
        <v>0</v>
      </c>
      <c r="AI2802" s="0" t="n">
        <v>283</v>
      </c>
      <c r="AJ2802" s="0" t="n">
        <v>58</v>
      </c>
      <c r="AK2802" s="0" t="n">
        <v>8</v>
      </c>
      <c r="AL2802" s="0" t="n">
        <v>0.89</v>
      </c>
    </row>
    <row r="2803">
      <c r="A2803" s="0" t="inlineStr">
        <is>
          <t>[천호동]</t>
        </is>
      </c>
      <c r="B2803" s="0" t="n">
        <v>107101</v>
      </c>
      <c r="C2803" s="0" t="n">
        <v>2</v>
      </c>
      <c r="D2803" s="0" t="inlineStr">
        <is>
          <t>강동파크빌</t>
        </is>
      </c>
      <c r="E2803" s="0" t="inlineStr">
        <is>
          <t>2003.04.</t>
        </is>
      </c>
      <c r="F2803" s="0" t="n">
        <v>9</v>
      </c>
      <c r="G2803" s="0" t="n">
        <v>23.31</v>
      </c>
      <c r="H2803" s="0" t="n">
        <v>77.08</v>
      </c>
      <c r="I2803" s="0" t="n">
        <v>20.1</v>
      </c>
      <c r="J2803" s="0" t="n">
        <v>66.45</v>
      </c>
      <c r="K2803" s="0" t="n">
        <v>7</v>
      </c>
      <c r="T2803" s="0" t="n">
        <v>3</v>
      </c>
      <c r="U2803" s="0" t="n">
        <v>2</v>
      </c>
      <c r="V2803" s="0" t="inlineStr">
        <is>
          <t>복도식</t>
        </is>
      </c>
      <c r="W2803" s="0" t="n">
        <v>77</v>
      </c>
      <c r="X2803" s="0" t="n">
        <v>6</v>
      </c>
      <c r="Y2803" s="0" t="n">
        <v>6</v>
      </c>
      <c r="Z2803" s="0" t="inlineStr">
        <is>
          <t>https://new.land.naver.com/complexes/107101?tab=detail&amp;rf=Y</t>
        </is>
      </c>
      <c r="AA2803" s="0" t="inlineStr">
        <is>
          <t>서울시 강동구 천호동 450-38</t>
        </is>
      </c>
      <c r="AB2803" s="0" t="inlineStr">
        <is>
          <t>서울시</t>
        </is>
      </c>
      <c r="AC2803" s="0" t="inlineStr">
        <is>
          <t>강동구</t>
        </is>
      </c>
      <c r="AD2803" s="0" t="inlineStr">
        <is>
          <t>천호동</t>
        </is>
      </c>
      <c r="AG2803" s="0" t="inlineStr">
        <is>
          <t>서울시 강동구 천호대로163길 29</t>
        </is>
      </c>
      <c r="AH2803" s="0" t="n">
        <v>0</v>
      </c>
      <c r="AI2803" s="0" t="n">
        <v>283</v>
      </c>
      <c r="AJ2803" s="0" t="n">
        <v>58</v>
      </c>
      <c r="AK2803" s="0" t="n">
        <v>8</v>
      </c>
      <c r="AL2803" s="0" t="n">
        <v>0.89</v>
      </c>
    </row>
    <row r="2804">
      <c r="A2804" s="0" t="inlineStr">
        <is>
          <t>[천호동]</t>
        </is>
      </c>
      <c r="B2804" s="0" t="n">
        <v>1333</v>
      </c>
      <c r="C2804" s="0" t="n">
        <v>1</v>
      </c>
      <c r="D2804" s="0" t="inlineStr">
        <is>
          <t>현대</t>
        </is>
      </c>
      <c r="E2804" s="0" t="inlineStr">
        <is>
          <t>1990.05.</t>
        </is>
      </c>
      <c r="F2804" s="0" t="n">
        <v>156</v>
      </c>
      <c r="G2804" s="0" t="n">
        <v>18.22</v>
      </c>
      <c r="H2804" s="0" t="n">
        <v>60.25</v>
      </c>
      <c r="I2804" s="0" t="n">
        <v>13.34</v>
      </c>
      <c r="J2804" s="0" t="n">
        <v>44.1</v>
      </c>
      <c r="K2804" s="0" t="n">
        <v>48</v>
      </c>
      <c r="T2804" s="0" t="n">
        <v>3</v>
      </c>
      <c r="U2804" s="0" t="n">
        <v>1</v>
      </c>
      <c r="V2804" s="0" t="inlineStr">
        <is>
          <t>복도식</t>
        </is>
      </c>
      <c r="W2804" s="0" t="n">
        <v>60</v>
      </c>
      <c r="X2804" s="0" t="n">
        <v>12</v>
      </c>
      <c r="Y2804" s="0" t="n">
        <v>9</v>
      </c>
      <c r="Z2804" s="0" t="inlineStr">
        <is>
          <t>https://new.land.naver.com/complexes/1333?tab=detail&amp;rf=Y</t>
        </is>
      </c>
      <c r="AA2804" s="0" t="inlineStr">
        <is>
          <t>서울시 강동구 천호동 168-6</t>
        </is>
      </c>
      <c r="AB2804" s="0" t="inlineStr">
        <is>
          <t>서울시</t>
        </is>
      </c>
      <c r="AC2804" s="0" t="inlineStr">
        <is>
          <t>강동구</t>
        </is>
      </c>
      <c r="AD2804" s="0" t="inlineStr">
        <is>
          <t>천호동</t>
        </is>
      </c>
      <c r="AG2804" s="0" t="inlineStr">
        <is>
          <t>서울시 강동구 진황도로 47-2</t>
        </is>
      </c>
      <c r="AH2804" s="0" t="n">
        <v>0</v>
      </c>
      <c r="AI2804" s="0" t="n">
        <v>191</v>
      </c>
      <c r="AJ2804" s="0" t="n">
        <v>22</v>
      </c>
      <c r="AK2804" s="0" t="n">
        <v>108</v>
      </c>
      <c r="AL2804" s="0" t="n">
        <v>0.6899999999999999</v>
      </c>
    </row>
    <row r="2805">
      <c r="A2805" s="0" t="inlineStr">
        <is>
          <t>[천호동]</t>
        </is>
      </c>
      <c r="B2805" s="0" t="n">
        <v>1333</v>
      </c>
      <c r="C2805" s="0" t="n">
        <v>2</v>
      </c>
      <c r="D2805" s="0" t="inlineStr">
        <is>
          <t>현대</t>
        </is>
      </c>
      <c r="E2805" s="0" t="inlineStr">
        <is>
          <t>1990.05.</t>
        </is>
      </c>
      <c r="F2805" s="0" t="n">
        <v>156</v>
      </c>
      <c r="G2805" s="0" t="n">
        <v>25.11</v>
      </c>
      <c r="H2805" s="0" t="n">
        <v>83.01000000000001</v>
      </c>
      <c r="I2805" s="0" t="n">
        <v>18.37</v>
      </c>
      <c r="J2805" s="0" t="n">
        <v>60.76</v>
      </c>
      <c r="K2805" s="0" t="n">
        <v>75</v>
      </c>
      <c r="T2805" s="0" t="n">
        <v>3</v>
      </c>
      <c r="U2805" s="0" t="n">
        <v>1</v>
      </c>
      <c r="V2805" s="0" t="inlineStr">
        <is>
          <t>복도식</t>
        </is>
      </c>
      <c r="W2805" s="0" t="n">
        <v>83</v>
      </c>
      <c r="X2805" s="0" t="n">
        <v>12</v>
      </c>
      <c r="Y2805" s="0" t="n">
        <v>9</v>
      </c>
      <c r="Z2805" s="0" t="inlineStr">
        <is>
          <t>https://new.land.naver.com/complexes/1333?tab=detail&amp;rf=Y</t>
        </is>
      </c>
      <c r="AA2805" s="0" t="inlineStr">
        <is>
          <t>서울시 강동구 천호동 168-6</t>
        </is>
      </c>
      <c r="AB2805" s="0" t="inlineStr">
        <is>
          <t>서울시</t>
        </is>
      </c>
      <c r="AC2805" s="0" t="inlineStr">
        <is>
          <t>강동구</t>
        </is>
      </c>
      <c r="AD2805" s="0" t="inlineStr">
        <is>
          <t>천호동</t>
        </is>
      </c>
      <c r="AG2805" s="0" t="inlineStr">
        <is>
          <t>서울시 강동구 진황도로 47-2</t>
        </is>
      </c>
      <c r="AH2805" s="0" t="n">
        <v>0</v>
      </c>
      <c r="AI2805" s="0" t="n">
        <v>191</v>
      </c>
      <c r="AJ2805" s="0" t="n">
        <v>22</v>
      </c>
      <c r="AK2805" s="0" t="n">
        <v>108</v>
      </c>
      <c r="AL2805" s="0" t="n">
        <v>0.6899999999999999</v>
      </c>
    </row>
    <row r="2806">
      <c r="A2806" s="0" t="inlineStr">
        <is>
          <t>[천호동]</t>
        </is>
      </c>
      <c r="B2806" s="0" t="n">
        <v>1333</v>
      </c>
      <c r="C2806" s="0" t="n">
        <v>3</v>
      </c>
      <c r="D2806" s="0" t="inlineStr">
        <is>
          <t>현대</t>
        </is>
      </c>
      <c r="E2806" s="0" t="inlineStr">
        <is>
          <t>1990.05.</t>
        </is>
      </c>
      <c r="F2806" s="0" t="n">
        <v>156</v>
      </c>
      <c r="G2806" s="0" t="n">
        <v>28.35</v>
      </c>
      <c r="H2806" s="0" t="n">
        <v>93.73</v>
      </c>
      <c r="I2806" s="0" t="n">
        <v>20.77</v>
      </c>
      <c r="J2806" s="0" t="n">
        <v>68.68000000000001</v>
      </c>
      <c r="K2806" s="0" t="n">
        <v>16</v>
      </c>
      <c r="T2806" s="0" t="n">
        <v>3</v>
      </c>
      <c r="U2806" s="0" t="n">
        <v>1</v>
      </c>
      <c r="V2806" s="0" t="inlineStr">
        <is>
          <t>복도식</t>
        </is>
      </c>
      <c r="W2806" s="0" t="n">
        <v>93</v>
      </c>
      <c r="X2806" s="0" t="n">
        <v>12</v>
      </c>
      <c r="Y2806" s="0" t="n">
        <v>9</v>
      </c>
      <c r="Z2806" s="0" t="inlineStr">
        <is>
          <t>https://new.land.naver.com/complexes/1333?tab=detail&amp;rf=Y</t>
        </is>
      </c>
      <c r="AA2806" s="0" t="inlineStr">
        <is>
          <t>서울시 강동구 천호동 168-6</t>
        </is>
      </c>
      <c r="AB2806" s="0" t="inlineStr">
        <is>
          <t>서울시</t>
        </is>
      </c>
      <c r="AC2806" s="0" t="inlineStr">
        <is>
          <t>강동구</t>
        </is>
      </c>
      <c r="AD2806" s="0" t="inlineStr">
        <is>
          <t>천호동</t>
        </is>
      </c>
      <c r="AG2806" s="0" t="inlineStr">
        <is>
          <t>서울시 강동구 진황도로 47-2</t>
        </is>
      </c>
      <c r="AH2806" s="0" t="n">
        <v>0</v>
      </c>
      <c r="AI2806" s="0" t="n">
        <v>191</v>
      </c>
      <c r="AJ2806" s="0" t="n">
        <v>22</v>
      </c>
      <c r="AK2806" s="0" t="n">
        <v>108</v>
      </c>
      <c r="AL2806" s="0" t="n">
        <v>0.6899999999999999</v>
      </c>
    </row>
    <row r="2807">
      <c r="A2807" s="0" t="inlineStr">
        <is>
          <t>[천호동]</t>
        </is>
      </c>
      <c r="B2807" s="0" t="n">
        <v>1333</v>
      </c>
      <c r="C2807" s="0" t="n">
        <v>4</v>
      </c>
      <c r="D2807" s="0" t="inlineStr">
        <is>
          <t>현대</t>
        </is>
      </c>
      <c r="E2807" s="0" t="inlineStr">
        <is>
          <t>1990.05.</t>
        </is>
      </c>
      <c r="F2807" s="0" t="n">
        <v>156</v>
      </c>
      <c r="G2807" s="0" t="n">
        <v>28.8</v>
      </c>
      <c r="H2807" s="0" t="n">
        <v>95.23</v>
      </c>
      <c r="I2807" s="0" t="n">
        <v>21.08</v>
      </c>
      <c r="J2807" s="0" t="n">
        <v>69.7</v>
      </c>
      <c r="K2807" s="0" t="n">
        <v>9</v>
      </c>
      <c r="T2807" s="0" t="n">
        <v>3</v>
      </c>
      <c r="U2807" s="0" t="n">
        <v>1</v>
      </c>
      <c r="V2807" s="0" t="inlineStr">
        <is>
          <t>복도식</t>
        </is>
      </c>
      <c r="W2807" s="0" t="n">
        <v>95</v>
      </c>
      <c r="X2807" s="0" t="n">
        <v>12</v>
      </c>
      <c r="Y2807" s="0" t="n">
        <v>9</v>
      </c>
      <c r="Z2807" s="0" t="inlineStr">
        <is>
          <t>https://new.land.naver.com/complexes/1333?tab=detail&amp;rf=Y</t>
        </is>
      </c>
      <c r="AA2807" s="0" t="inlineStr">
        <is>
          <t>서울시 강동구 천호동 168-6</t>
        </is>
      </c>
      <c r="AB2807" s="0" t="inlineStr">
        <is>
          <t>서울시</t>
        </is>
      </c>
      <c r="AC2807" s="0" t="inlineStr">
        <is>
          <t>강동구</t>
        </is>
      </c>
      <c r="AD2807" s="0" t="inlineStr">
        <is>
          <t>천호동</t>
        </is>
      </c>
      <c r="AG2807" s="0" t="inlineStr">
        <is>
          <t>서울시 강동구 진황도로 47-2</t>
        </is>
      </c>
      <c r="AH2807" s="0" t="n">
        <v>0</v>
      </c>
      <c r="AI2807" s="0" t="n">
        <v>191</v>
      </c>
      <c r="AJ2807" s="0" t="n">
        <v>22</v>
      </c>
      <c r="AK2807" s="0" t="n">
        <v>108</v>
      </c>
      <c r="AL2807" s="0" t="n">
        <v>0.6899999999999999</v>
      </c>
    </row>
    <row r="2808">
      <c r="A2808" s="0" t="inlineStr">
        <is>
          <t>[천호동]</t>
        </is>
      </c>
      <c r="B2808" s="0" t="n">
        <v>1333</v>
      </c>
      <c r="C2808" s="0" t="n">
        <v>5</v>
      </c>
      <c r="D2808" s="0" t="inlineStr">
        <is>
          <t>현대</t>
        </is>
      </c>
      <c r="E2808" s="0" t="inlineStr">
        <is>
          <t>1990.05.</t>
        </is>
      </c>
      <c r="F2808" s="0" t="n">
        <v>156</v>
      </c>
      <c r="G2808" s="0" t="n">
        <v>29.77</v>
      </c>
      <c r="H2808" s="0" t="n">
        <v>98.42</v>
      </c>
      <c r="I2808" s="0" t="n">
        <v>21.79</v>
      </c>
      <c r="J2808" s="0" t="n">
        <v>72.04000000000001</v>
      </c>
      <c r="K2808" s="0" t="n">
        <v>8</v>
      </c>
      <c r="T2808" s="0" t="n">
        <v>3</v>
      </c>
      <c r="U2808" s="0" t="n">
        <v>1</v>
      </c>
      <c r="V2808" s="0" t="inlineStr">
        <is>
          <t>복도식</t>
        </is>
      </c>
      <c r="W2808" s="0" t="n">
        <v>98</v>
      </c>
      <c r="X2808" s="0" t="n">
        <v>12</v>
      </c>
      <c r="Y2808" s="0" t="n">
        <v>9</v>
      </c>
      <c r="Z2808" s="0" t="inlineStr">
        <is>
          <t>https://new.land.naver.com/complexes/1333?tab=detail&amp;rf=Y</t>
        </is>
      </c>
      <c r="AA2808" s="0" t="inlineStr">
        <is>
          <t>서울시 강동구 천호동 168-6</t>
        </is>
      </c>
      <c r="AB2808" s="0" t="inlineStr">
        <is>
          <t>서울시</t>
        </is>
      </c>
      <c r="AC2808" s="0" t="inlineStr">
        <is>
          <t>강동구</t>
        </is>
      </c>
      <c r="AD2808" s="0" t="inlineStr">
        <is>
          <t>천호동</t>
        </is>
      </c>
      <c r="AG2808" s="0" t="inlineStr">
        <is>
          <t>서울시 강동구 진황도로 47-2</t>
        </is>
      </c>
      <c r="AH2808" s="0" t="n">
        <v>0</v>
      </c>
      <c r="AI2808" s="0" t="n">
        <v>191</v>
      </c>
      <c r="AJ2808" s="0" t="n">
        <v>22</v>
      </c>
      <c r="AK2808" s="0" t="n">
        <v>108</v>
      </c>
      <c r="AL2808" s="0" t="n">
        <v>0.6899999999999999</v>
      </c>
    </row>
    <row r="2809">
      <c r="A2809" s="0" t="inlineStr">
        <is>
          <t>[천호동]</t>
        </is>
      </c>
      <c r="B2809" s="0" t="n">
        <v>110058</v>
      </c>
      <c r="C2809" s="0" t="n">
        <v>1</v>
      </c>
      <c r="D2809" s="0" t="inlineStr">
        <is>
          <t>지원골드</t>
        </is>
      </c>
      <c r="E2809" s="0" t="inlineStr">
        <is>
          <t>2005.09.</t>
        </is>
      </c>
      <c r="F2809" s="0" t="n">
        <v>13</v>
      </c>
      <c r="G2809" s="0" t="n">
        <v>32.04</v>
      </c>
      <c r="H2809" s="0" t="n">
        <v>105.92</v>
      </c>
      <c r="I2809" s="0" t="n">
        <v>25.62</v>
      </c>
      <c r="J2809" s="0" t="n">
        <v>84.70999999999999</v>
      </c>
      <c r="K2809" s="0" t="n">
        <v>11</v>
      </c>
      <c r="T2809" s="0" t="n">
        <v>3</v>
      </c>
      <c r="U2809" s="0" t="n">
        <v>2</v>
      </c>
      <c r="V2809" s="0" t="inlineStr">
        <is>
          <t>계단식</t>
        </is>
      </c>
      <c r="W2809" s="0" t="inlineStr">
        <is>
          <t>105B</t>
        </is>
      </c>
      <c r="X2809" s="0" t="n">
        <v>7</v>
      </c>
      <c r="Y2809" s="0" t="n">
        <v>7</v>
      </c>
      <c r="Z2809" s="0" t="inlineStr">
        <is>
          <t>https://new.land.naver.com/complexes/110058?tab=detail&amp;rf=Y</t>
        </is>
      </c>
      <c r="AA2809" s="0" t="inlineStr">
        <is>
          <t>서울시 강동구 천호동 54-6</t>
        </is>
      </c>
      <c r="AB2809" s="0" t="inlineStr">
        <is>
          <t>서울시</t>
        </is>
      </c>
      <c r="AC2809" s="0" t="inlineStr">
        <is>
          <t>강동구</t>
        </is>
      </c>
      <c r="AD2809" s="0" t="inlineStr">
        <is>
          <t>천호동</t>
        </is>
      </c>
      <c r="AG2809" s="0" t="inlineStr">
        <is>
          <t>서울시 강동구 천중로39길 19-9</t>
        </is>
      </c>
      <c r="AH2809" s="0" t="n">
        <v>0</v>
      </c>
      <c r="AI2809" s="0" t="n">
        <v>193</v>
      </c>
      <c r="AJ2809" s="0" t="n">
        <v>34</v>
      </c>
      <c r="AK2809" s="0" t="n">
        <v>15</v>
      </c>
      <c r="AL2809" s="0" t="n">
        <v>1.15</v>
      </c>
    </row>
    <row r="2810">
      <c r="A2810" s="0" t="inlineStr">
        <is>
          <t>[천호동]</t>
        </is>
      </c>
      <c r="B2810" s="0" t="n">
        <v>110058</v>
      </c>
      <c r="C2810" s="0" t="n">
        <v>2</v>
      </c>
      <c r="D2810" s="0" t="inlineStr">
        <is>
          <t>지원골드</t>
        </is>
      </c>
      <c r="E2810" s="0" t="inlineStr">
        <is>
          <t>2005.09.</t>
        </is>
      </c>
      <c r="F2810" s="0" t="n">
        <v>13</v>
      </c>
      <c r="G2810" s="0" t="n">
        <v>31.86</v>
      </c>
      <c r="H2810" s="0" t="n">
        <v>105.33</v>
      </c>
      <c r="I2810" s="0" t="n">
        <v>25.47</v>
      </c>
      <c r="J2810" s="0" t="n">
        <v>84.20999999999999</v>
      </c>
      <c r="K2810" s="0" t="n">
        <v>2</v>
      </c>
      <c r="T2810" s="0" t="n">
        <v>3</v>
      </c>
      <c r="U2810" s="0" t="n">
        <v>2</v>
      </c>
      <c r="V2810" s="0" t="inlineStr">
        <is>
          <t>계단식</t>
        </is>
      </c>
      <c r="W2810" s="0" t="inlineStr">
        <is>
          <t>105A</t>
        </is>
      </c>
      <c r="X2810" s="0" t="n">
        <v>7</v>
      </c>
      <c r="Y2810" s="0" t="n">
        <v>7</v>
      </c>
      <c r="Z2810" s="0" t="inlineStr">
        <is>
          <t>https://new.land.naver.com/complexes/110058?tab=detail&amp;rf=Y</t>
        </is>
      </c>
      <c r="AA2810" s="0" t="inlineStr">
        <is>
          <t>서울시 강동구 천호동 54-6</t>
        </is>
      </c>
      <c r="AB2810" s="0" t="inlineStr">
        <is>
          <t>서울시</t>
        </is>
      </c>
      <c r="AC2810" s="0" t="inlineStr">
        <is>
          <t>강동구</t>
        </is>
      </c>
      <c r="AD2810" s="0" t="inlineStr">
        <is>
          <t>천호동</t>
        </is>
      </c>
      <c r="AG2810" s="0" t="inlineStr">
        <is>
          <t>서울시 강동구 천중로39길 19-9</t>
        </is>
      </c>
      <c r="AH2810" s="0" t="n">
        <v>0</v>
      </c>
      <c r="AI2810" s="0" t="n">
        <v>193</v>
      </c>
      <c r="AJ2810" s="0" t="n">
        <v>34</v>
      </c>
      <c r="AK2810" s="0" t="n">
        <v>15</v>
      </c>
      <c r="AL2810" s="0" t="n">
        <v>1.15</v>
      </c>
    </row>
    <row r="2811">
      <c r="A2811" s="0" t="inlineStr">
        <is>
          <t>[천호동]</t>
        </is>
      </c>
      <c r="B2811" s="0" t="n">
        <v>138927</v>
      </c>
      <c r="C2811" s="0" t="n">
        <v>1</v>
      </c>
      <c r="D2811" s="0" t="inlineStr">
        <is>
          <t>다성이즈빌(도시형)</t>
        </is>
      </c>
      <c r="E2811" s="0" t="inlineStr">
        <is>
          <t>2020.12.</t>
        </is>
      </c>
      <c r="F2811" s="0" t="n">
        <v>25</v>
      </c>
      <c r="G2811" s="0" t="n">
        <v>5.36</v>
      </c>
      <c r="H2811" s="0" t="n">
        <v>17.72</v>
      </c>
      <c r="I2811" s="0" t="n">
        <v>4.25</v>
      </c>
      <c r="J2811" s="0" t="n">
        <v>14.08</v>
      </c>
      <c r="K2811" s="0" t="n">
        <v>5</v>
      </c>
      <c r="T2811" s="0" t="n">
        <v>2</v>
      </c>
      <c r="U2811" s="0" t="n">
        <v>1</v>
      </c>
      <c r="V2811" s="0" t="inlineStr">
        <is>
          <t>계단식</t>
        </is>
      </c>
      <c r="W2811" s="0" t="n">
        <v>17</v>
      </c>
      <c r="X2811" s="0" t="n">
        <v>11</v>
      </c>
      <c r="Y2811" s="0" t="n">
        <v>11</v>
      </c>
      <c r="Z2811" s="0" t="inlineStr">
        <is>
          <t>https://new.land.naver.com/complexes/138927?tab=detail&amp;rf=Y</t>
        </is>
      </c>
      <c r="AA2811" s="0" t="inlineStr">
        <is>
          <t>서울시 강동구 천호동 165-5</t>
        </is>
      </c>
      <c r="AB2811" s="0" t="inlineStr">
        <is>
          <t>서울시</t>
        </is>
      </c>
      <c r="AC2811" s="0" t="inlineStr">
        <is>
          <t>강동구</t>
        </is>
      </c>
      <c r="AD2811" s="0" t="inlineStr">
        <is>
          <t>천호동</t>
        </is>
      </c>
      <c r="AG2811" s="0" t="inlineStr">
        <is>
          <t>서울시 강동구 진황도로 45</t>
        </is>
      </c>
      <c r="AH2811" s="0" t="n">
        <v>0</v>
      </c>
      <c r="AI2811" s="0" t="n">
        <v>399</v>
      </c>
      <c r="AJ2811" s="0" t="n">
        <v>57</v>
      </c>
      <c r="AK2811" s="0" t="n">
        <v>25</v>
      </c>
      <c r="AL2811" s="0" t="n">
        <v>1</v>
      </c>
    </row>
    <row r="2812">
      <c r="A2812" s="0" t="inlineStr">
        <is>
          <t>[천호동]</t>
        </is>
      </c>
      <c r="B2812" s="0" t="n">
        <v>138927</v>
      </c>
      <c r="C2812" s="0" t="n">
        <v>2</v>
      </c>
      <c r="D2812" s="0" t="inlineStr">
        <is>
          <t>다성이즈빌(도시형)</t>
        </is>
      </c>
      <c r="E2812" s="0" t="inlineStr">
        <is>
          <t>2020.12.</t>
        </is>
      </c>
      <c r="F2812" s="0" t="n">
        <v>25</v>
      </c>
      <c r="G2812" s="0" t="n">
        <v>6.3</v>
      </c>
      <c r="H2812" s="0" t="n">
        <v>20.83</v>
      </c>
      <c r="I2812" s="0" t="n">
        <v>5</v>
      </c>
      <c r="J2812" s="0" t="n">
        <v>16.55</v>
      </c>
      <c r="K2812" s="0" t="n">
        <v>5</v>
      </c>
      <c r="T2812" s="0" t="n">
        <v>2</v>
      </c>
      <c r="U2812" s="0" t="n">
        <v>1</v>
      </c>
      <c r="V2812" s="0" t="inlineStr">
        <is>
          <t>계단식</t>
        </is>
      </c>
      <c r="W2812" s="0" t="n">
        <v>20</v>
      </c>
      <c r="X2812" s="0" t="n">
        <v>11</v>
      </c>
      <c r="Y2812" s="0" t="n">
        <v>11</v>
      </c>
      <c r="Z2812" s="0" t="inlineStr">
        <is>
          <t>https://new.land.naver.com/complexes/138927?tab=detail&amp;rf=Y</t>
        </is>
      </c>
      <c r="AA2812" s="0" t="inlineStr">
        <is>
          <t>서울시 강동구 천호동 165-5</t>
        </is>
      </c>
      <c r="AB2812" s="0" t="inlineStr">
        <is>
          <t>서울시</t>
        </is>
      </c>
      <c r="AC2812" s="0" t="inlineStr">
        <is>
          <t>강동구</t>
        </is>
      </c>
      <c r="AD2812" s="0" t="inlineStr">
        <is>
          <t>천호동</t>
        </is>
      </c>
      <c r="AG2812" s="0" t="inlineStr">
        <is>
          <t>서울시 강동구 진황도로 45</t>
        </is>
      </c>
      <c r="AH2812" s="0" t="n">
        <v>0</v>
      </c>
      <c r="AI2812" s="0" t="n">
        <v>399</v>
      </c>
      <c r="AJ2812" s="0" t="n">
        <v>57</v>
      </c>
      <c r="AK2812" s="0" t="n">
        <v>25</v>
      </c>
      <c r="AL2812" s="0" t="n">
        <v>1</v>
      </c>
    </row>
    <row r="2813">
      <c r="A2813" s="0" t="inlineStr">
        <is>
          <t>[천호동]</t>
        </is>
      </c>
      <c r="B2813" s="0" t="n">
        <v>138927</v>
      </c>
      <c r="C2813" s="0" t="n">
        <v>3</v>
      </c>
      <c r="D2813" s="0" t="inlineStr">
        <is>
          <t>다성이즈빌(도시형)</t>
        </is>
      </c>
      <c r="E2813" s="0" t="inlineStr">
        <is>
          <t>2020.12.</t>
        </is>
      </c>
      <c r="F2813" s="0" t="n">
        <v>25</v>
      </c>
      <c r="G2813" s="0" t="n">
        <v>7.43</v>
      </c>
      <c r="H2813" s="0" t="n">
        <v>24.57</v>
      </c>
      <c r="I2813" s="0" t="n">
        <v>5.9</v>
      </c>
      <c r="J2813" s="0" t="n">
        <v>19.52</v>
      </c>
      <c r="K2813" s="0" t="n">
        <v>5</v>
      </c>
      <c r="T2813" s="0" t="n">
        <v>2</v>
      </c>
      <c r="U2813" s="0" t="n">
        <v>1</v>
      </c>
      <c r="V2813" s="0" t="inlineStr">
        <is>
          <t>계단식</t>
        </is>
      </c>
      <c r="W2813" s="0" t="n">
        <v>24</v>
      </c>
      <c r="X2813" s="0" t="n">
        <v>11</v>
      </c>
      <c r="Y2813" s="0" t="n">
        <v>11</v>
      </c>
      <c r="Z2813" s="0" t="inlineStr">
        <is>
          <t>https://new.land.naver.com/complexes/138927?tab=detail&amp;rf=Y</t>
        </is>
      </c>
      <c r="AA2813" s="0" t="inlineStr">
        <is>
          <t>서울시 강동구 천호동 165-5</t>
        </is>
      </c>
      <c r="AB2813" s="0" t="inlineStr">
        <is>
          <t>서울시</t>
        </is>
      </c>
      <c r="AC2813" s="0" t="inlineStr">
        <is>
          <t>강동구</t>
        </is>
      </c>
      <c r="AD2813" s="0" t="inlineStr">
        <is>
          <t>천호동</t>
        </is>
      </c>
      <c r="AG2813" s="0" t="inlineStr">
        <is>
          <t>서울시 강동구 진황도로 45</t>
        </is>
      </c>
      <c r="AH2813" s="0" t="n">
        <v>0</v>
      </c>
      <c r="AI2813" s="0" t="n">
        <v>399</v>
      </c>
      <c r="AJ2813" s="0" t="n">
        <v>57</v>
      </c>
      <c r="AK2813" s="0" t="n">
        <v>25</v>
      </c>
      <c r="AL2813" s="0" t="n">
        <v>1</v>
      </c>
    </row>
    <row r="2814">
      <c r="A2814" s="0" t="inlineStr">
        <is>
          <t>[천호동]</t>
        </is>
      </c>
      <c r="B2814" s="0" t="n">
        <v>138927</v>
      </c>
      <c r="C2814" s="0" t="n">
        <v>4</v>
      </c>
      <c r="D2814" s="0" t="inlineStr">
        <is>
          <t>다성이즈빌(도시형)</t>
        </is>
      </c>
      <c r="E2814" s="0" t="inlineStr">
        <is>
          <t>2020.12.</t>
        </is>
      </c>
      <c r="F2814" s="0" t="n">
        <v>25</v>
      </c>
      <c r="G2814" s="0" t="n">
        <v>7.98</v>
      </c>
      <c r="H2814" s="0" t="n">
        <v>26.39</v>
      </c>
      <c r="I2814" s="0" t="n">
        <v>6.34</v>
      </c>
      <c r="J2814" s="0" t="n">
        <v>20.96</v>
      </c>
      <c r="K2814" s="0" t="n">
        <v>5</v>
      </c>
      <c r="T2814" s="0" t="n">
        <v>2</v>
      </c>
      <c r="U2814" s="0" t="n">
        <v>1</v>
      </c>
      <c r="V2814" s="0" t="inlineStr">
        <is>
          <t>계단식</t>
        </is>
      </c>
      <c r="W2814" s="0" t="n">
        <v>26</v>
      </c>
      <c r="X2814" s="0" t="n">
        <v>11</v>
      </c>
      <c r="Y2814" s="0" t="n">
        <v>11</v>
      </c>
      <c r="Z2814" s="0" t="inlineStr">
        <is>
          <t>https://new.land.naver.com/complexes/138927?tab=detail&amp;rf=Y</t>
        </is>
      </c>
      <c r="AA2814" s="0" t="inlineStr">
        <is>
          <t>서울시 강동구 천호동 165-5</t>
        </is>
      </c>
      <c r="AB2814" s="0" t="inlineStr">
        <is>
          <t>서울시</t>
        </is>
      </c>
      <c r="AC2814" s="0" t="inlineStr">
        <is>
          <t>강동구</t>
        </is>
      </c>
      <c r="AD2814" s="0" t="inlineStr">
        <is>
          <t>천호동</t>
        </is>
      </c>
      <c r="AG2814" s="0" t="inlineStr">
        <is>
          <t>서울시 강동구 진황도로 45</t>
        </is>
      </c>
      <c r="AH2814" s="0" t="n">
        <v>0</v>
      </c>
      <c r="AI2814" s="0" t="n">
        <v>399</v>
      </c>
      <c r="AJ2814" s="0" t="n">
        <v>57</v>
      </c>
      <c r="AK2814" s="0" t="n">
        <v>25</v>
      </c>
      <c r="AL2814" s="0" t="n">
        <v>1</v>
      </c>
    </row>
    <row r="2815">
      <c r="A2815" s="0" t="inlineStr">
        <is>
          <t>[천호동]</t>
        </is>
      </c>
      <c r="B2815" s="0" t="n">
        <v>138927</v>
      </c>
      <c r="C2815" s="0" t="n">
        <v>5</v>
      </c>
      <c r="D2815" s="0" t="inlineStr">
        <is>
          <t>다성이즈빌(도시형)</t>
        </is>
      </c>
      <c r="E2815" s="0" t="inlineStr">
        <is>
          <t>2020.12.</t>
        </is>
      </c>
      <c r="F2815" s="0" t="n">
        <v>25</v>
      </c>
      <c r="G2815" s="0" t="n">
        <v>9.02</v>
      </c>
      <c r="H2815" s="0" t="n">
        <v>29.82</v>
      </c>
      <c r="I2815" s="0" t="n">
        <v>7.16</v>
      </c>
      <c r="J2815" s="0" t="n">
        <v>23.69</v>
      </c>
      <c r="K2815" s="0" t="n">
        <v>5</v>
      </c>
      <c r="T2815" s="0" t="n">
        <v>2</v>
      </c>
      <c r="U2815" s="0" t="n">
        <v>1</v>
      </c>
      <c r="V2815" s="0" t="inlineStr">
        <is>
          <t>계단식</t>
        </is>
      </c>
      <c r="W2815" s="0" t="n">
        <v>29</v>
      </c>
      <c r="X2815" s="0" t="n">
        <v>11</v>
      </c>
      <c r="Y2815" s="0" t="n">
        <v>11</v>
      </c>
      <c r="Z2815" s="0" t="inlineStr">
        <is>
          <t>https://new.land.naver.com/complexes/138927?tab=detail&amp;rf=Y</t>
        </is>
      </c>
      <c r="AA2815" s="0" t="inlineStr">
        <is>
          <t>서울시 강동구 천호동 165-5</t>
        </is>
      </c>
      <c r="AB2815" s="0" t="inlineStr">
        <is>
          <t>서울시</t>
        </is>
      </c>
      <c r="AC2815" s="0" t="inlineStr">
        <is>
          <t>강동구</t>
        </is>
      </c>
      <c r="AD2815" s="0" t="inlineStr">
        <is>
          <t>천호동</t>
        </is>
      </c>
      <c r="AG2815" s="0" t="inlineStr">
        <is>
          <t>서울시 강동구 진황도로 45</t>
        </is>
      </c>
      <c r="AH2815" s="0" t="n">
        <v>0</v>
      </c>
      <c r="AI2815" s="0" t="n">
        <v>399</v>
      </c>
      <c r="AJ2815" s="0" t="n">
        <v>57</v>
      </c>
      <c r="AK2815" s="0" t="n">
        <v>25</v>
      </c>
      <c r="AL2815" s="0" t="n">
        <v>1</v>
      </c>
    </row>
    <row r="2816">
      <c r="A2816" s="0" t="inlineStr">
        <is>
          <t>[천호동]</t>
        </is>
      </c>
      <c r="B2816" s="0" t="n">
        <v>8529</v>
      </c>
      <c r="C2816" s="0" t="n">
        <v>1</v>
      </c>
      <c r="D2816" s="0" t="inlineStr">
        <is>
          <t>태천해오름</t>
        </is>
      </c>
      <c r="E2816" s="0" t="inlineStr">
        <is>
          <t>2002.04.</t>
        </is>
      </c>
      <c r="F2816" s="0" t="n">
        <v>49</v>
      </c>
      <c r="G2816" s="0" t="n">
        <v>19.52</v>
      </c>
      <c r="H2816" s="0" t="n">
        <v>64.55</v>
      </c>
      <c r="I2816" s="0" t="n">
        <v>14.77</v>
      </c>
      <c r="J2816" s="0" t="n">
        <v>48.83</v>
      </c>
      <c r="K2816" s="0" t="n">
        <v>8</v>
      </c>
      <c r="T2816" s="0" t="n">
        <v>2</v>
      </c>
      <c r="U2816" s="0" t="n">
        <v>2</v>
      </c>
      <c r="V2816" s="0" t="inlineStr">
        <is>
          <t>복도식</t>
        </is>
      </c>
      <c r="W2816" s="0" t="n">
        <v>64</v>
      </c>
      <c r="X2816" s="0" t="n">
        <v>13</v>
      </c>
      <c r="Y2816" s="0" t="n">
        <v>7</v>
      </c>
      <c r="Z2816" s="0" t="inlineStr">
        <is>
          <t>https://new.land.naver.com/complexes/8529?tab=detail&amp;rf=Y</t>
        </is>
      </c>
      <c r="AA2816" s="0" t="inlineStr">
        <is>
          <t>서울시 강동구 천호동 52-17</t>
        </is>
      </c>
      <c r="AB2816" s="0" t="inlineStr">
        <is>
          <t>서울시</t>
        </is>
      </c>
      <c r="AC2816" s="0" t="inlineStr">
        <is>
          <t>강동구</t>
        </is>
      </c>
      <c r="AD2816" s="0" t="inlineStr">
        <is>
          <t>천호동</t>
        </is>
      </c>
      <c r="AG2816" s="0" t="inlineStr">
        <is>
          <t>서울시 강동구 천중로43길 17</t>
        </is>
      </c>
      <c r="AH2816" s="0" t="n">
        <v>0</v>
      </c>
      <c r="AI2816" s="0" t="n">
        <v>251</v>
      </c>
      <c r="AJ2816" s="0" t="n">
        <v>28</v>
      </c>
      <c r="AK2816" s="0" t="n">
        <v>56</v>
      </c>
      <c r="AL2816" s="0" t="n">
        <v>1.14</v>
      </c>
    </row>
    <row r="2817">
      <c r="A2817" s="0" t="inlineStr">
        <is>
          <t>[천호동]</t>
        </is>
      </c>
      <c r="B2817" s="0" t="n">
        <v>8529</v>
      </c>
      <c r="C2817" s="0" t="n">
        <v>2</v>
      </c>
      <c r="D2817" s="0" t="inlineStr">
        <is>
          <t>태천해오름</t>
        </is>
      </c>
      <c r="E2817" s="0" t="inlineStr">
        <is>
          <t>2002.04.</t>
        </is>
      </c>
      <c r="F2817" s="0" t="n">
        <v>49</v>
      </c>
      <c r="G2817" s="0" t="n">
        <v>28.17</v>
      </c>
      <c r="H2817" s="0" t="n">
        <v>93.13</v>
      </c>
      <c r="I2817" s="0" t="n">
        <v>22.92</v>
      </c>
      <c r="J2817" s="0" t="n">
        <v>75.79000000000001</v>
      </c>
      <c r="K2817" s="0" t="n">
        <v>2</v>
      </c>
      <c r="T2817" s="0" t="n">
        <v>3</v>
      </c>
      <c r="U2817" s="0" t="n">
        <v>1</v>
      </c>
      <c r="V2817" s="0" t="inlineStr">
        <is>
          <t>계단식</t>
        </is>
      </c>
      <c r="W2817" s="0" t="n">
        <v>93</v>
      </c>
      <c r="X2817" s="0" t="n">
        <v>13</v>
      </c>
      <c r="Y2817" s="0" t="n">
        <v>7</v>
      </c>
      <c r="Z2817" s="0" t="inlineStr">
        <is>
          <t>https://new.land.naver.com/complexes/8529?tab=detail&amp;rf=Y</t>
        </is>
      </c>
      <c r="AA2817" s="0" t="inlineStr">
        <is>
          <t>서울시 강동구 천호동 52-17</t>
        </is>
      </c>
      <c r="AB2817" s="0" t="inlineStr">
        <is>
          <t>서울시</t>
        </is>
      </c>
      <c r="AC2817" s="0" t="inlineStr">
        <is>
          <t>강동구</t>
        </is>
      </c>
      <c r="AD2817" s="0" t="inlineStr">
        <is>
          <t>천호동</t>
        </is>
      </c>
      <c r="AG2817" s="0" t="inlineStr">
        <is>
          <t>서울시 강동구 천중로43길 17</t>
        </is>
      </c>
      <c r="AH2817" s="0" t="n">
        <v>0</v>
      </c>
      <c r="AI2817" s="0" t="n">
        <v>251</v>
      </c>
      <c r="AJ2817" s="0" t="n">
        <v>28</v>
      </c>
      <c r="AK2817" s="0" t="n">
        <v>56</v>
      </c>
      <c r="AL2817" s="0" t="n">
        <v>1.14</v>
      </c>
    </row>
    <row r="2818">
      <c r="A2818" s="0" t="inlineStr">
        <is>
          <t>[천호동]</t>
        </is>
      </c>
      <c r="B2818" s="0" t="n">
        <v>8529</v>
      </c>
      <c r="C2818" s="0" t="n">
        <v>3</v>
      </c>
      <c r="D2818" s="0" t="inlineStr">
        <is>
          <t>태천해오름</t>
        </is>
      </c>
      <c r="E2818" s="0" t="inlineStr">
        <is>
          <t>2002.04.</t>
        </is>
      </c>
      <c r="F2818" s="0" t="n">
        <v>49</v>
      </c>
      <c r="G2818" s="0" t="n">
        <v>31.26</v>
      </c>
      <c r="H2818" s="0" t="n">
        <v>103.35</v>
      </c>
      <c r="I2818" s="0" t="n">
        <v>25.48</v>
      </c>
      <c r="J2818" s="0" t="n">
        <v>84.23999999999999</v>
      </c>
      <c r="K2818" s="0" t="n">
        <v>24</v>
      </c>
      <c r="T2818" s="0" t="n">
        <v>3</v>
      </c>
      <c r="U2818" s="0" t="n">
        <v>2</v>
      </c>
      <c r="V2818" s="0" t="inlineStr">
        <is>
          <t>계단식</t>
        </is>
      </c>
      <c r="W2818" s="0" t="n">
        <v>103</v>
      </c>
      <c r="X2818" s="0" t="n">
        <v>13</v>
      </c>
      <c r="Y2818" s="0" t="n">
        <v>7</v>
      </c>
      <c r="Z2818" s="0" t="inlineStr">
        <is>
          <t>https://new.land.naver.com/complexes/8529?tab=detail&amp;rf=Y</t>
        </is>
      </c>
      <c r="AA2818" s="0" t="inlineStr">
        <is>
          <t>서울시 강동구 천호동 52-17</t>
        </is>
      </c>
      <c r="AB2818" s="0" t="inlineStr">
        <is>
          <t>서울시</t>
        </is>
      </c>
      <c r="AC2818" s="0" t="inlineStr">
        <is>
          <t>강동구</t>
        </is>
      </c>
      <c r="AD2818" s="0" t="inlineStr">
        <is>
          <t>천호동</t>
        </is>
      </c>
      <c r="AG2818" s="0" t="inlineStr">
        <is>
          <t>서울시 강동구 천중로43길 17</t>
        </is>
      </c>
      <c r="AH2818" s="0" t="n">
        <v>0</v>
      </c>
      <c r="AI2818" s="0" t="n">
        <v>251</v>
      </c>
      <c r="AJ2818" s="0" t="n">
        <v>28</v>
      </c>
      <c r="AK2818" s="0" t="n">
        <v>56</v>
      </c>
      <c r="AL2818" s="0" t="n">
        <v>1.14</v>
      </c>
    </row>
    <row r="2819">
      <c r="A2819" s="0" t="inlineStr">
        <is>
          <t>[천호동]</t>
        </is>
      </c>
      <c r="B2819" s="0" t="n">
        <v>8529</v>
      </c>
      <c r="C2819" s="0" t="n">
        <v>4</v>
      </c>
      <c r="D2819" s="0" t="inlineStr">
        <is>
          <t>태천해오름</t>
        </is>
      </c>
      <c r="E2819" s="0" t="inlineStr">
        <is>
          <t>2002.04.</t>
        </is>
      </c>
      <c r="F2819" s="0" t="n">
        <v>49</v>
      </c>
      <c r="G2819" s="0" t="n">
        <v>33.33</v>
      </c>
      <c r="H2819" s="0" t="n">
        <v>110.19</v>
      </c>
      <c r="I2819" s="0" t="n">
        <v>25.68</v>
      </c>
      <c r="J2819" s="0" t="n">
        <v>84.92</v>
      </c>
      <c r="K2819" s="0" t="n">
        <v>7</v>
      </c>
      <c r="T2819" s="0" t="n">
        <v>3</v>
      </c>
      <c r="U2819" s="0" t="n">
        <v>2</v>
      </c>
      <c r="V2819" s="0" t="inlineStr">
        <is>
          <t>계단식</t>
        </is>
      </c>
      <c r="W2819" s="0" t="n">
        <v>110</v>
      </c>
      <c r="X2819" s="0" t="n">
        <v>13</v>
      </c>
      <c r="Y2819" s="0" t="n">
        <v>7</v>
      </c>
      <c r="Z2819" s="0" t="inlineStr">
        <is>
          <t>https://new.land.naver.com/complexes/8529?tab=detail&amp;rf=Y</t>
        </is>
      </c>
      <c r="AA2819" s="0" t="inlineStr">
        <is>
          <t>서울시 강동구 천호동 52-17</t>
        </is>
      </c>
      <c r="AB2819" s="0" t="inlineStr">
        <is>
          <t>서울시</t>
        </is>
      </c>
      <c r="AC2819" s="0" t="inlineStr">
        <is>
          <t>강동구</t>
        </is>
      </c>
      <c r="AD2819" s="0" t="inlineStr">
        <is>
          <t>천호동</t>
        </is>
      </c>
      <c r="AG2819" s="0" t="inlineStr">
        <is>
          <t>서울시 강동구 천중로43길 17</t>
        </is>
      </c>
      <c r="AH2819" s="0" t="n">
        <v>0</v>
      </c>
      <c r="AI2819" s="0" t="n">
        <v>251</v>
      </c>
      <c r="AJ2819" s="0" t="n">
        <v>28</v>
      </c>
      <c r="AK2819" s="0" t="n">
        <v>56</v>
      </c>
      <c r="AL2819" s="0" t="n">
        <v>1.14</v>
      </c>
    </row>
    <row r="2820">
      <c r="A2820" s="0" t="inlineStr">
        <is>
          <t>[천호동]</t>
        </is>
      </c>
      <c r="B2820" s="0" t="n">
        <v>8529</v>
      </c>
      <c r="C2820" s="0" t="n">
        <v>5</v>
      </c>
      <c r="D2820" s="0" t="inlineStr">
        <is>
          <t>태천해오름</t>
        </is>
      </c>
      <c r="E2820" s="0" t="inlineStr">
        <is>
          <t>2002.04.</t>
        </is>
      </c>
      <c r="F2820" s="0" t="n">
        <v>49</v>
      </c>
      <c r="G2820" s="0" t="n">
        <v>41.47</v>
      </c>
      <c r="H2820" s="0" t="n">
        <v>137.11</v>
      </c>
      <c r="I2820" s="0" t="n">
        <v>32.05</v>
      </c>
      <c r="J2820" s="0" t="n">
        <v>105.97</v>
      </c>
      <c r="K2820" s="0" t="n">
        <v>8</v>
      </c>
      <c r="T2820" s="0" t="n">
        <v>4</v>
      </c>
      <c r="U2820" s="0" t="n">
        <v>2</v>
      </c>
      <c r="V2820" s="0" t="inlineStr">
        <is>
          <t>계단식</t>
        </is>
      </c>
      <c r="W2820" s="0" t="n">
        <v>137</v>
      </c>
      <c r="X2820" s="0" t="n">
        <v>13</v>
      </c>
      <c r="Y2820" s="0" t="n">
        <v>7</v>
      </c>
      <c r="Z2820" s="0" t="inlineStr">
        <is>
          <t>https://new.land.naver.com/complexes/8529?tab=detail&amp;rf=Y</t>
        </is>
      </c>
      <c r="AA2820" s="0" t="inlineStr">
        <is>
          <t>서울시 강동구 천호동 52-17</t>
        </is>
      </c>
      <c r="AB2820" s="0" t="inlineStr">
        <is>
          <t>서울시</t>
        </is>
      </c>
      <c r="AC2820" s="0" t="inlineStr">
        <is>
          <t>강동구</t>
        </is>
      </c>
      <c r="AD2820" s="0" t="inlineStr">
        <is>
          <t>천호동</t>
        </is>
      </c>
      <c r="AG2820" s="0" t="inlineStr">
        <is>
          <t>서울시 강동구 천중로43길 17</t>
        </is>
      </c>
      <c r="AH2820" s="0" t="n">
        <v>0</v>
      </c>
      <c r="AI2820" s="0" t="n">
        <v>251</v>
      </c>
      <c r="AJ2820" s="0" t="n">
        <v>28</v>
      </c>
      <c r="AK2820" s="0" t="n">
        <v>56</v>
      </c>
      <c r="AL2820" s="0" t="n">
        <v>1.14</v>
      </c>
    </row>
    <row r="2821">
      <c r="A2821" s="0" t="inlineStr">
        <is>
          <t>[천호동]</t>
        </is>
      </c>
      <c r="B2821" s="0" t="n">
        <v>122813</v>
      </c>
      <c r="C2821" s="0" t="n">
        <v>1</v>
      </c>
      <c r="D2821" s="0" t="inlineStr">
        <is>
          <t>다성이즈빌(163-5,도시형)</t>
        </is>
      </c>
      <c r="E2821" s="0" t="inlineStr">
        <is>
          <t>2018.09.</t>
        </is>
      </c>
      <c r="F2821" s="0" t="n">
        <v>20</v>
      </c>
      <c r="G2821" s="0" t="n">
        <v>6.51</v>
      </c>
      <c r="H2821" s="0" t="n">
        <v>21.53</v>
      </c>
      <c r="I2821" s="0" t="n">
        <v>5.15</v>
      </c>
      <c r="J2821" s="0" t="n">
        <v>17.05</v>
      </c>
      <c r="K2821" s="0" t="n">
        <v>5</v>
      </c>
      <c r="T2821" s="0" t="n">
        <v>1</v>
      </c>
      <c r="U2821" s="0" t="n">
        <v>1</v>
      </c>
      <c r="V2821" s="0" t="inlineStr">
        <is>
          <t>계단식</t>
        </is>
      </c>
      <c r="W2821" s="0" t="inlineStr">
        <is>
          <t>21A</t>
        </is>
      </c>
      <c r="X2821" s="0" t="n">
        <v>12</v>
      </c>
      <c r="Y2821" s="0" t="n">
        <v>12</v>
      </c>
      <c r="Z2821" s="0" t="inlineStr">
        <is>
          <t>https://new.land.naver.com/complexes/122813?tab=detail&amp;rf=Y</t>
        </is>
      </c>
      <c r="AA2821" s="0" t="inlineStr">
        <is>
          <t>서울시 강동구 천호동 163-5</t>
        </is>
      </c>
      <c r="AB2821" s="0" t="inlineStr">
        <is>
          <t>서울시</t>
        </is>
      </c>
      <c r="AC2821" s="0" t="inlineStr">
        <is>
          <t>강동구</t>
        </is>
      </c>
      <c r="AD2821" s="0" t="inlineStr">
        <is>
          <t>천호동</t>
        </is>
      </c>
      <c r="AG2821" s="0" t="inlineStr">
        <is>
          <t>서울시 강동구 진황도로 53-7</t>
        </is>
      </c>
      <c r="AH2821" s="0" t="n">
        <v>0</v>
      </c>
      <c r="AI2821" s="0" t="n">
        <v>399</v>
      </c>
      <c r="AJ2821" s="0" t="n">
        <v>56</v>
      </c>
      <c r="AK2821" s="0" t="n">
        <v>10</v>
      </c>
      <c r="AL2821" s="0" t="n">
        <v>0.5</v>
      </c>
    </row>
    <row r="2822">
      <c r="A2822" s="0" t="inlineStr">
        <is>
          <t>[천호동]</t>
        </is>
      </c>
      <c r="B2822" s="0" t="n">
        <v>122813</v>
      </c>
      <c r="C2822" s="0" t="n">
        <v>2</v>
      </c>
      <c r="D2822" s="0" t="inlineStr">
        <is>
          <t>다성이즈빌(163-5,도시형)</t>
        </is>
      </c>
      <c r="E2822" s="0" t="inlineStr">
        <is>
          <t>2018.09.</t>
        </is>
      </c>
      <c r="F2822" s="0" t="n">
        <v>20</v>
      </c>
      <c r="G2822" s="0" t="n">
        <v>7.28</v>
      </c>
      <c r="H2822" s="0" t="n">
        <v>24.08</v>
      </c>
      <c r="I2822" s="0" t="n">
        <v>5.76</v>
      </c>
      <c r="J2822" s="0" t="n">
        <v>19.07</v>
      </c>
      <c r="K2822" s="0" t="n">
        <v>5</v>
      </c>
      <c r="T2822" s="0" t="n">
        <v>1</v>
      </c>
      <c r="U2822" s="0" t="n">
        <v>1</v>
      </c>
      <c r="V2822" s="0" t="inlineStr">
        <is>
          <t>계단식</t>
        </is>
      </c>
      <c r="W2822" s="0" t="inlineStr">
        <is>
          <t>24B</t>
        </is>
      </c>
      <c r="X2822" s="0" t="n">
        <v>12</v>
      </c>
      <c r="Y2822" s="0" t="n">
        <v>12</v>
      </c>
      <c r="Z2822" s="0" t="inlineStr">
        <is>
          <t>https://new.land.naver.com/complexes/122813?tab=detail&amp;rf=Y</t>
        </is>
      </c>
      <c r="AA2822" s="0" t="inlineStr">
        <is>
          <t>서울시 강동구 천호동 163-5</t>
        </is>
      </c>
      <c r="AB2822" s="0" t="inlineStr">
        <is>
          <t>서울시</t>
        </is>
      </c>
      <c r="AC2822" s="0" t="inlineStr">
        <is>
          <t>강동구</t>
        </is>
      </c>
      <c r="AD2822" s="0" t="inlineStr">
        <is>
          <t>천호동</t>
        </is>
      </c>
      <c r="AG2822" s="0" t="inlineStr">
        <is>
          <t>서울시 강동구 진황도로 53-7</t>
        </is>
      </c>
      <c r="AH2822" s="0" t="n">
        <v>0</v>
      </c>
      <c r="AI2822" s="0" t="n">
        <v>399</v>
      </c>
      <c r="AJ2822" s="0" t="n">
        <v>56</v>
      </c>
      <c r="AK2822" s="0" t="n">
        <v>10</v>
      </c>
      <c r="AL2822" s="0" t="n">
        <v>0.5</v>
      </c>
    </row>
    <row r="2823">
      <c r="A2823" s="0" t="inlineStr">
        <is>
          <t>[천호동]</t>
        </is>
      </c>
      <c r="B2823" s="0" t="n">
        <v>122813</v>
      </c>
      <c r="C2823" s="0" t="n">
        <v>3</v>
      </c>
      <c r="D2823" s="0" t="inlineStr">
        <is>
          <t>다성이즈빌(163-5,도시형)</t>
        </is>
      </c>
      <c r="E2823" s="0" t="inlineStr">
        <is>
          <t>2018.09.</t>
        </is>
      </c>
      <c r="F2823" s="0" t="n">
        <v>20</v>
      </c>
      <c r="G2823" s="0" t="n">
        <v>7.45</v>
      </c>
      <c r="H2823" s="0" t="n">
        <v>24.65</v>
      </c>
      <c r="I2823" s="0" t="n">
        <v>5.9</v>
      </c>
      <c r="J2823" s="0" t="n">
        <v>19.52</v>
      </c>
      <c r="K2823" s="0" t="n">
        <v>5</v>
      </c>
      <c r="T2823" s="0" t="n">
        <v>1</v>
      </c>
      <c r="U2823" s="0" t="n">
        <v>1</v>
      </c>
      <c r="V2823" s="0" t="inlineStr">
        <is>
          <t>계단식</t>
        </is>
      </c>
      <c r="W2823" s="0" t="inlineStr">
        <is>
          <t>24C</t>
        </is>
      </c>
      <c r="X2823" s="0" t="n">
        <v>12</v>
      </c>
      <c r="Y2823" s="0" t="n">
        <v>12</v>
      </c>
      <c r="Z2823" s="0" t="inlineStr">
        <is>
          <t>https://new.land.naver.com/complexes/122813?tab=detail&amp;rf=Y</t>
        </is>
      </c>
      <c r="AA2823" s="0" t="inlineStr">
        <is>
          <t>서울시 강동구 천호동 163-5</t>
        </is>
      </c>
      <c r="AB2823" s="0" t="inlineStr">
        <is>
          <t>서울시</t>
        </is>
      </c>
      <c r="AC2823" s="0" t="inlineStr">
        <is>
          <t>강동구</t>
        </is>
      </c>
      <c r="AD2823" s="0" t="inlineStr">
        <is>
          <t>천호동</t>
        </is>
      </c>
      <c r="AG2823" s="0" t="inlineStr">
        <is>
          <t>서울시 강동구 진황도로 53-7</t>
        </is>
      </c>
      <c r="AH2823" s="0" t="n">
        <v>0</v>
      </c>
      <c r="AI2823" s="0" t="n">
        <v>399</v>
      </c>
      <c r="AJ2823" s="0" t="n">
        <v>56</v>
      </c>
      <c r="AK2823" s="0" t="n">
        <v>10</v>
      </c>
      <c r="AL2823" s="0" t="n">
        <v>0.5</v>
      </c>
    </row>
    <row r="2824">
      <c r="A2824" s="0" t="inlineStr">
        <is>
          <t>[천호동]</t>
        </is>
      </c>
      <c r="B2824" s="0" t="n">
        <v>122813</v>
      </c>
      <c r="C2824" s="0" t="n">
        <v>4</v>
      </c>
      <c r="D2824" s="0" t="inlineStr">
        <is>
          <t>다성이즈빌(163-5,도시형)</t>
        </is>
      </c>
      <c r="E2824" s="0" t="inlineStr">
        <is>
          <t>2018.09.</t>
        </is>
      </c>
      <c r="F2824" s="0" t="n">
        <v>20</v>
      </c>
      <c r="G2824" s="0" t="n">
        <v>9.640000000000001</v>
      </c>
      <c r="H2824" s="0" t="n">
        <v>31.87</v>
      </c>
      <c r="I2824" s="0" t="n">
        <v>7.63</v>
      </c>
      <c r="J2824" s="0" t="n">
        <v>25.23</v>
      </c>
      <c r="K2824" s="0" t="n">
        <v>5</v>
      </c>
      <c r="T2824" s="0" t="n">
        <v>1</v>
      </c>
      <c r="U2824" s="0" t="n">
        <v>1</v>
      </c>
      <c r="V2824" s="0" t="inlineStr">
        <is>
          <t>계단식</t>
        </is>
      </c>
      <c r="W2824" s="0" t="n">
        <v>31</v>
      </c>
      <c r="X2824" s="0" t="n">
        <v>12</v>
      </c>
      <c r="Y2824" s="0" t="n">
        <v>12</v>
      </c>
      <c r="Z2824" s="0" t="inlineStr">
        <is>
          <t>https://new.land.naver.com/complexes/122813?tab=detail&amp;rf=Y</t>
        </is>
      </c>
      <c r="AA2824" s="0" t="inlineStr">
        <is>
          <t>서울시 강동구 천호동 163-5</t>
        </is>
      </c>
      <c r="AB2824" s="0" t="inlineStr">
        <is>
          <t>서울시</t>
        </is>
      </c>
      <c r="AC2824" s="0" t="inlineStr">
        <is>
          <t>강동구</t>
        </is>
      </c>
      <c r="AD2824" s="0" t="inlineStr">
        <is>
          <t>천호동</t>
        </is>
      </c>
      <c r="AG2824" s="0" t="inlineStr">
        <is>
          <t>서울시 강동구 진황도로 53-7</t>
        </is>
      </c>
      <c r="AH2824" s="0" t="n">
        <v>0</v>
      </c>
      <c r="AI2824" s="0" t="n">
        <v>399</v>
      </c>
      <c r="AJ2824" s="0" t="n">
        <v>56</v>
      </c>
      <c r="AK2824" s="0" t="n">
        <v>10</v>
      </c>
      <c r="AL2824" s="0" t="n">
        <v>0.5</v>
      </c>
    </row>
    <row r="2825">
      <c r="A2825" s="0" t="inlineStr">
        <is>
          <t>[천호동]</t>
        </is>
      </c>
      <c r="B2825" s="0" t="n">
        <v>3121</v>
      </c>
      <c r="C2825" s="0" t="n">
        <v>1</v>
      </c>
      <c r="D2825" s="0" t="inlineStr">
        <is>
          <t>대명사이버</t>
        </is>
      </c>
      <c r="E2825" s="0" t="inlineStr">
        <is>
          <t>2001.01.</t>
        </is>
      </c>
      <c r="F2825" s="0" t="n">
        <v>100</v>
      </c>
      <c r="G2825" s="0" t="n">
        <v>26.71</v>
      </c>
      <c r="H2825" s="0" t="n">
        <v>88.31999999999999</v>
      </c>
      <c r="I2825" s="0" t="n">
        <v>18.1</v>
      </c>
      <c r="J2825" s="0" t="n">
        <v>59.84</v>
      </c>
      <c r="K2825" s="0" t="n">
        <v>54</v>
      </c>
      <c r="T2825" s="0" t="n">
        <v>3</v>
      </c>
      <c r="U2825" s="0" t="n">
        <v>1</v>
      </c>
      <c r="V2825" s="0" t="inlineStr">
        <is>
          <t>복도식</t>
        </is>
      </c>
      <c r="W2825" s="0" t="n">
        <v>88</v>
      </c>
      <c r="X2825" s="0" t="n">
        <v>15</v>
      </c>
      <c r="Y2825" s="0" t="n">
        <v>5</v>
      </c>
      <c r="Z2825" s="0" t="inlineStr">
        <is>
          <t>https://new.land.naver.com/complexes/3121?tab=detail&amp;rf=Y</t>
        </is>
      </c>
      <c r="AA2825" s="0" t="inlineStr">
        <is>
          <t>서울시 강동구 천호동 49-8</t>
        </is>
      </c>
      <c r="AB2825" s="0" t="inlineStr">
        <is>
          <t>서울시</t>
        </is>
      </c>
      <c r="AC2825" s="0" t="inlineStr">
        <is>
          <t>강동구</t>
        </is>
      </c>
      <c r="AD2825" s="0" t="inlineStr">
        <is>
          <t>천호동</t>
        </is>
      </c>
      <c r="AG2825" s="0" t="inlineStr">
        <is>
          <t>서울시 강동구 양재대로123길 31</t>
        </is>
      </c>
      <c r="AH2825" s="0" t="n">
        <v>0</v>
      </c>
      <c r="AI2825" s="0" t="n">
        <v>299</v>
      </c>
      <c r="AJ2825" s="0" t="n">
        <v>31</v>
      </c>
      <c r="AK2825" s="0" t="n">
        <v>100</v>
      </c>
      <c r="AL2825" s="0" t="n">
        <v>1</v>
      </c>
    </row>
    <row r="2826">
      <c r="A2826" s="0" t="inlineStr">
        <is>
          <t>[천호동]</t>
        </is>
      </c>
      <c r="B2826" s="0" t="n">
        <v>3121</v>
      </c>
      <c r="C2826" s="0" t="n">
        <v>2</v>
      </c>
      <c r="D2826" s="0" t="inlineStr">
        <is>
          <t>대명사이버</t>
        </is>
      </c>
      <c r="E2826" s="0" t="inlineStr">
        <is>
          <t>2001.01.</t>
        </is>
      </c>
      <c r="F2826" s="0" t="n">
        <v>100</v>
      </c>
      <c r="G2826" s="0" t="n">
        <v>37.18</v>
      </c>
      <c r="H2826" s="0" t="n">
        <v>122.93</v>
      </c>
      <c r="I2826" s="0" t="n">
        <v>25.59</v>
      </c>
      <c r="J2826" s="0" t="n">
        <v>84.62</v>
      </c>
      <c r="K2826" s="0" t="n">
        <v>46</v>
      </c>
      <c r="T2826" s="0" t="n">
        <v>3</v>
      </c>
      <c r="U2826" s="0" t="n">
        <v>2</v>
      </c>
      <c r="V2826" s="0" t="inlineStr">
        <is>
          <t>복도식</t>
        </is>
      </c>
      <c r="W2826" s="0" t="n">
        <v>122</v>
      </c>
      <c r="X2826" s="0" t="n">
        <v>15</v>
      </c>
      <c r="Y2826" s="0" t="n">
        <v>5</v>
      </c>
      <c r="Z2826" s="0" t="inlineStr">
        <is>
          <t>https://new.land.naver.com/complexes/3121?tab=detail&amp;rf=Y</t>
        </is>
      </c>
      <c r="AA2826" s="0" t="inlineStr">
        <is>
          <t>서울시 강동구 천호동 49-8</t>
        </is>
      </c>
      <c r="AB2826" s="0" t="inlineStr">
        <is>
          <t>서울시</t>
        </is>
      </c>
      <c r="AC2826" s="0" t="inlineStr">
        <is>
          <t>강동구</t>
        </is>
      </c>
      <c r="AD2826" s="0" t="inlineStr">
        <is>
          <t>천호동</t>
        </is>
      </c>
      <c r="AG2826" s="0" t="inlineStr">
        <is>
          <t>서울시 강동구 양재대로123길 31</t>
        </is>
      </c>
      <c r="AH2826" s="0" t="n">
        <v>0</v>
      </c>
      <c r="AI2826" s="0" t="n">
        <v>299</v>
      </c>
      <c r="AJ2826" s="0" t="n">
        <v>31</v>
      </c>
      <c r="AK2826" s="0" t="n">
        <v>100</v>
      </c>
      <c r="AL2826" s="0" t="n">
        <v>1</v>
      </c>
    </row>
    <row r="2827">
      <c r="A2827" s="0" t="inlineStr">
        <is>
          <t>[천호동]</t>
        </is>
      </c>
      <c r="B2827" s="0" t="n">
        <v>14221</v>
      </c>
      <c r="C2827" s="0" t="n">
        <v>1</v>
      </c>
      <c r="D2827" s="0" t="inlineStr">
        <is>
          <t>천호우림루미아트2차</t>
        </is>
      </c>
      <c r="E2827" s="0" t="inlineStr">
        <is>
          <t>2004.11.</t>
        </is>
      </c>
      <c r="F2827" s="0" t="n">
        <v>70</v>
      </c>
      <c r="G2827" s="0" t="n">
        <v>22.04</v>
      </c>
      <c r="H2827" s="0" t="n">
        <v>72.88</v>
      </c>
      <c r="I2827" s="0" t="n">
        <v>18</v>
      </c>
      <c r="J2827" s="0" t="n">
        <v>59.51</v>
      </c>
      <c r="K2827" s="0" t="n">
        <v>1</v>
      </c>
      <c r="T2827" s="0" t="n">
        <v>3</v>
      </c>
      <c r="U2827" s="0" t="n">
        <v>1</v>
      </c>
      <c r="V2827" s="0" t="inlineStr">
        <is>
          <t>계단식</t>
        </is>
      </c>
      <c r="W2827" s="0" t="n">
        <v>72</v>
      </c>
      <c r="X2827" s="0" t="n">
        <v>9</v>
      </c>
      <c r="Y2827" s="0" t="n">
        <v>7</v>
      </c>
      <c r="Z2827" s="0" t="inlineStr">
        <is>
          <t>https://new.land.naver.com/complexes/14221?tab=detail&amp;rf=Y</t>
        </is>
      </c>
      <c r="AA2827" s="0" t="inlineStr">
        <is>
          <t>서울시 강동구 천호동 50</t>
        </is>
      </c>
      <c r="AB2827" s="0" t="inlineStr">
        <is>
          <t>서울시</t>
        </is>
      </c>
      <c r="AC2827" s="0" t="inlineStr">
        <is>
          <t>강동구</t>
        </is>
      </c>
      <c r="AD2827" s="0" t="inlineStr">
        <is>
          <t>천호동</t>
        </is>
      </c>
      <c r="AG2827" s="0" t="inlineStr">
        <is>
          <t>서울시 강동구 양재대로121길 22</t>
        </is>
      </c>
      <c r="AH2827" s="0" t="n">
        <v>0</v>
      </c>
      <c r="AI2827" s="0" t="n">
        <v>230</v>
      </c>
      <c r="AJ2827" s="0" t="n">
        <v>31</v>
      </c>
      <c r="AK2827" s="0" t="n">
        <v>78</v>
      </c>
      <c r="AL2827" s="0" t="n">
        <v>1.11</v>
      </c>
    </row>
    <row r="2828">
      <c r="A2828" s="0" t="inlineStr">
        <is>
          <t>[천호동]</t>
        </is>
      </c>
      <c r="B2828" s="0" t="n">
        <v>14221</v>
      </c>
      <c r="C2828" s="0" t="n">
        <v>2</v>
      </c>
      <c r="D2828" s="0" t="inlineStr">
        <is>
          <t>천호우림루미아트2차</t>
        </is>
      </c>
      <c r="E2828" s="0" t="inlineStr">
        <is>
          <t>2004.11.</t>
        </is>
      </c>
      <c r="F2828" s="0" t="n">
        <v>70</v>
      </c>
      <c r="G2828" s="0" t="n">
        <v>27.89</v>
      </c>
      <c r="H2828" s="0" t="n">
        <v>92.22</v>
      </c>
      <c r="I2828" s="0" t="n">
        <v>22.95</v>
      </c>
      <c r="J2828" s="0" t="n">
        <v>75.89</v>
      </c>
      <c r="K2828" s="0" t="n">
        <v>7</v>
      </c>
      <c r="T2828" s="0" t="n">
        <v>3</v>
      </c>
      <c r="U2828" s="0" t="n">
        <v>1</v>
      </c>
      <c r="V2828" s="0" t="inlineStr">
        <is>
          <t>계단식</t>
        </is>
      </c>
      <c r="W2828" s="0" t="inlineStr">
        <is>
          <t>92B</t>
        </is>
      </c>
      <c r="X2828" s="0" t="n">
        <v>9</v>
      </c>
      <c r="Y2828" s="0" t="n">
        <v>7</v>
      </c>
      <c r="Z2828" s="0" t="inlineStr">
        <is>
          <t>https://new.land.naver.com/complexes/14221?tab=detail&amp;rf=Y</t>
        </is>
      </c>
      <c r="AA2828" s="0" t="inlineStr">
        <is>
          <t>서울시 강동구 천호동 50</t>
        </is>
      </c>
      <c r="AB2828" s="0" t="inlineStr">
        <is>
          <t>서울시</t>
        </is>
      </c>
      <c r="AC2828" s="0" t="inlineStr">
        <is>
          <t>강동구</t>
        </is>
      </c>
      <c r="AD2828" s="0" t="inlineStr">
        <is>
          <t>천호동</t>
        </is>
      </c>
      <c r="AG2828" s="0" t="inlineStr">
        <is>
          <t>서울시 강동구 양재대로121길 22</t>
        </is>
      </c>
      <c r="AH2828" s="0" t="n">
        <v>0</v>
      </c>
      <c r="AI2828" s="0" t="n">
        <v>230</v>
      </c>
      <c r="AJ2828" s="0" t="n">
        <v>31</v>
      </c>
      <c r="AK2828" s="0" t="n">
        <v>78</v>
      </c>
      <c r="AL2828" s="0" t="n">
        <v>1.11</v>
      </c>
    </row>
    <row r="2829">
      <c r="A2829" s="0" t="inlineStr">
        <is>
          <t>[천호동]</t>
        </is>
      </c>
      <c r="B2829" s="0" t="n">
        <v>14221</v>
      </c>
      <c r="C2829" s="0" t="n">
        <v>3</v>
      </c>
      <c r="D2829" s="0" t="inlineStr">
        <is>
          <t>천호우림루미아트2차</t>
        </is>
      </c>
      <c r="E2829" s="0" t="inlineStr">
        <is>
          <t>2004.11.</t>
        </is>
      </c>
      <c r="F2829" s="0" t="n">
        <v>70</v>
      </c>
      <c r="G2829" s="0" t="n">
        <v>27.89</v>
      </c>
      <c r="H2829" s="0" t="n">
        <v>92.22</v>
      </c>
      <c r="I2829" s="0" t="n">
        <v>22.93</v>
      </c>
      <c r="J2829" s="0" t="n">
        <v>75.83</v>
      </c>
      <c r="K2829" s="0" t="n">
        <v>1</v>
      </c>
      <c r="T2829" s="0" t="n">
        <v>3</v>
      </c>
      <c r="U2829" s="0" t="n">
        <v>1</v>
      </c>
      <c r="V2829" s="0" t="inlineStr">
        <is>
          <t>계단식</t>
        </is>
      </c>
      <c r="W2829" s="0" t="inlineStr">
        <is>
          <t>92A</t>
        </is>
      </c>
      <c r="X2829" s="0" t="n">
        <v>9</v>
      </c>
      <c r="Y2829" s="0" t="n">
        <v>7</v>
      </c>
      <c r="Z2829" s="0" t="inlineStr">
        <is>
          <t>https://new.land.naver.com/complexes/14221?tab=detail&amp;rf=Y</t>
        </is>
      </c>
      <c r="AA2829" s="0" t="inlineStr">
        <is>
          <t>서울시 강동구 천호동 50</t>
        </is>
      </c>
      <c r="AB2829" s="0" t="inlineStr">
        <is>
          <t>서울시</t>
        </is>
      </c>
      <c r="AC2829" s="0" t="inlineStr">
        <is>
          <t>강동구</t>
        </is>
      </c>
      <c r="AD2829" s="0" t="inlineStr">
        <is>
          <t>천호동</t>
        </is>
      </c>
      <c r="AG2829" s="0" t="inlineStr">
        <is>
          <t>서울시 강동구 양재대로121길 22</t>
        </is>
      </c>
      <c r="AH2829" s="0" t="n">
        <v>0</v>
      </c>
      <c r="AI2829" s="0" t="n">
        <v>230</v>
      </c>
      <c r="AJ2829" s="0" t="n">
        <v>31</v>
      </c>
      <c r="AK2829" s="0" t="n">
        <v>78</v>
      </c>
      <c r="AL2829" s="0" t="n">
        <v>1.11</v>
      </c>
    </row>
    <row r="2830">
      <c r="A2830" s="0" t="inlineStr">
        <is>
          <t>[천호동]</t>
        </is>
      </c>
      <c r="B2830" s="0" t="n">
        <v>14221</v>
      </c>
      <c r="C2830" s="0" t="n">
        <v>4</v>
      </c>
      <c r="D2830" s="0" t="inlineStr">
        <is>
          <t>천호우림루미아트2차</t>
        </is>
      </c>
      <c r="E2830" s="0" t="inlineStr">
        <is>
          <t>2004.11.</t>
        </is>
      </c>
      <c r="F2830" s="0" t="n">
        <v>70</v>
      </c>
      <c r="G2830" s="0" t="n">
        <v>31.14</v>
      </c>
      <c r="H2830" s="0" t="n">
        <v>102.95</v>
      </c>
      <c r="I2830" s="0" t="n">
        <v>25.62</v>
      </c>
      <c r="J2830" s="0" t="n">
        <v>84.7</v>
      </c>
      <c r="K2830" s="0" t="n">
        <v>49</v>
      </c>
      <c r="T2830" s="0" t="n">
        <v>3</v>
      </c>
      <c r="U2830" s="0" t="n">
        <v>2</v>
      </c>
      <c r="V2830" s="0" t="inlineStr">
        <is>
          <t>계단식</t>
        </is>
      </c>
      <c r="W2830" s="0" t="inlineStr">
        <is>
          <t>102A</t>
        </is>
      </c>
      <c r="X2830" s="0" t="n">
        <v>9</v>
      </c>
      <c r="Y2830" s="0" t="n">
        <v>7</v>
      </c>
      <c r="Z2830" s="0" t="inlineStr">
        <is>
          <t>https://new.land.naver.com/complexes/14221?tab=detail&amp;rf=Y</t>
        </is>
      </c>
      <c r="AA2830" s="0" t="inlineStr">
        <is>
          <t>서울시 강동구 천호동 50</t>
        </is>
      </c>
      <c r="AB2830" s="0" t="inlineStr">
        <is>
          <t>서울시</t>
        </is>
      </c>
      <c r="AC2830" s="0" t="inlineStr">
        <is>
          <t>강동구</t>
        </is>
      </c>
      <c r="AD2830" s="0" t="inlineStr">
        <is>
          <t>천호동</t>
        </is>
      </c>
      <c r="AG2830" s="0" t="inlineStr">
        <is>
          <t>서울시 강동구 양재대로121길 22</t>
        </is>
      </c>
      <c r="AH2830" s="0" t="n">
        <v>0</v>
      </c>
      <c r="AI2830" s="0" t="n">
        <v>230</v>
      </c>
      <c r="AJ2830" s="0" t="n">
        <v>31</v>
      </c>
      <c r="AK2830" s="0" t="n">
        <v>78</v>
      </c>
      <c r="AL2830" s="0" t="n">
        <v>1.11</v>
      </c>
    </row>
    <row r="2831">
      <c r="A2831" s="0" t="inlineStr">
        <is>
          <t>[천호동]</t>
        </is>
      </c>
      <c r="B2831" s="0" t="n">
        <v>14221</v>
      </c>
      <c r="C2831" s="0" t="n">
        <v>5</v>
      </c>
      <c r="D2831" s="0" t="inlineStr">
        <is>
          <t>천호우림루미아트2차</t>
        </is>
      </c>
      <c r="E2831" s="0" t="inlineStr">
        <is>
          <t>2004.11.</t>
        </is>
      </c>
      <c r="F2831" s="0" t="n">
        <v>70</v>
      </c>
      <c r="G2831" s="0" t="n">
        <v>31.23</v>
      </c>
      <c r="H2831" s="0" t="n">
        <v>103.24</v>
      </c>
      <c r="I2831" s="0" t="n">
        <v>25.7</v>
      </c>
      <c r="J2831" s="0" t="n">
        <v>84.97</v>
      </c>
      <c r="K2831" s="0" t="n">
        <v>12</v>
      </c>
      <c r="T2831" s="0" t="n">
        <v>3</v>
      </c>
      <c r="U2831" s="0" t="n">
        <v>2</v>
      </c>
      <c r="V2831" s="0" t="inlineStr">
        <is>
          <t>계단식</t>
        </is>
      </c>
      <c r="W2831" s="0" t="inlineStr">
        <is>
          <t>103B</t>
        </is>
      </c>
      <c r="X2831" s="0" t="n">
        <v>9</v>
      </c>
      <c r="Y2831" s="0" t="n">
        <v>7</v>
      </c>
      <c r="Z2831" s="0" t="inlineStr">
        <is>
          <t>https://new.land.naver.com/complexes/14221?tab=detail&amp;rf=Y</t>
        </is>
      </c>
      <c r="AA2831" s="0" t="inlineStr">
        <is>
          <t>서울시 강동구 천호동 50</t>
        </is>
      </c>
      <c r="AB2831" s="0" t="inlineStr">
        <is>
          <t>서울시</t>
        </is>
      </c>
      <c r="AC2831" s="0" t="inlineStr">
        <is>
          <t>강동구</t>
        </is>
      </c>
      <c r="AD2831" s="0" t="inlineStr">
        <is>
          <t>천호동</t>
        </is>
      </c>
      <c r="AG2831" s="0" t="inlineStr">
        <is>
          <t>서울시 강동구 양재대로121길 22</t>
        </is>
      </c>
      <c r="AH2831" s="0" t="n">
        <v>0</v>
      </c>
      <c r="AI2831" s="0" t="n">
        <v>230</v>
      </c>
      <c r="AJ2831" s="0" t="n">
        <v>31</v>
      </c>
      <c r="AK2831" s="0" t="n">
        <v>78</v>
      </c>
      <c r="AL2831" s="0" t="n">
        <v>1.11</v>
      </c>
    </row>
    <row r="2832">
      <c r="A2832" s="0" t="inlineStr">
        <is>
          <t>[천호동]</t>
        </is>
      </c>
      <c r="B2832" s="0" t="n">
        <v>8379</v>
      </c>
      <c r="C2832" s="0" t="n">
        <v>1</v>
      </c>
      <c r="D2832" s="0" t="inlineStr">
        <is>
          <t>고려</t>
        </is>
      </c>
      <c r="E2832" s="0" t="inlineStr">
        <is>
          <t>2000.06.</t>
        </is>
      </c>
      <c r="F2832" s="0" t="n">
        <v>67</v>
      </c>
      <c r="G2832" s="0" t="n">
        <v>16.47</v>
      </c>
      <c r="H2832" s="0" t="n">
        <v>54.47</v>
      </c>
      <c r="I2832" s="0" t="n">
        <v>14.09</v>
      </c>
      <c r="J2832" s="0" t="n">
        <v>46.61</v>
      </c>
      <c r="K2832" s="0" t="n">
        <v>1</v>
      </c>
      <c r="T2832" s="0" t="n">
        <v>2</v>
      </c>
      <c r="U2832" s="0" t="n">
        <v>1</v>
      </c>
      <c r="V2832" s="0" t="inlineStr">
        <is>
          <t>계단식</t>
        </is>
      </c>
      <c r="W2832" s="0" t="n">
        <v>54</v>
      </c>
      <c r="X2832" s="0" t="n">
        <v>9</v>
      </c>
      <c r="Y2832" s="0" t="n">
        <v>5</v>
      </c>
      <c r="Z2832" s="0" t="inlineStr">
        <is>
          <t>https://new.land.naver.com/complexes/8379?tab=detail&amp;rf=Y</t>
        </is>
      </c>
      <c r="AA2832" s="0" t="inlineStr">
        <is>
          <t>서울시 강동구 천호동 22-6</t>
        </is>
      </c>
      <c r="AB2832" s="0" t="inlineStr">
        <is>
          <t>서울시</t>
        </is>
      </c>
      <c r="AC2832" s="0" t="inlineStr">
        <is>
          <t>강동구</t>
        </is>
      </c>
      <c r="AD2832" s="0" t="inlineStr">
        <is>
          <t>천호동</t>
        </is>
      </c>
      <c r="AG2832" s="0" t="inlineStr">
        <is>
          <t>서울시 강동구 상암로41길 89-8</t>
        </is>
      </c>
      <c r="AH2832" s="0" t="n">
        <v>0</v>
      </c>
      <c r="AI2832" s="0" t="n">
        <v>0</v>
      </c>
      <c r="AJ2832" s="0" t="n">
        <v>0</v>
      </c>
      <c r="AK2832" s="0" t="n">
        <v>74</v>
      </c>
      <c r="AL2832" s="0" t="n">
        <v>1.1</v>
      </c>
    </row>
    <row r="2833">
      <c r="A2833" s="0" t="inlineStr">
        <is>
          <t>[천호동]</t>
        </is>
      </c>
      <c r="B2833" s="0" t="n">
        <v>8379</v>
      </c>
      <c r="C2833" s="0" t="n">
        <v>2</v>
      </c>
      <c r="D2833" s="0" t="inlineStr">
        <is>
          <t>고려</t>
        </is>
      </c>
      <c r="E2833" s="0" t="inlineStr">
        <is>
          <t>2000.06.</t>
        </is>
      </c>
      <c r="F2833" s="0" t="n">
        <v>67</v>
      </c>
      <c r="G2833" s="0" t="n">
        <v>17.12</v>
      </c>
      <c r="H2833" s="0" t="n">
        <v>56.6</v>
      </c>
      <c r="I2833" s="0" t="n">
        <v>14.72</v>
      </c>
      <c r="J2833" s="0" t="n">
        <v>48.69</v>
      </c>
      <c r="K2833" s="0" t="n">
        <v>2</v>
      </c>
      <c r="T2833" s="0" t="n">
        <v>2</v>
      </c>
      <c r="U2833" s="0" t="n">
        <v>1</v>
      </c>
      <c r="V2833" s="0" t="inlineStr">
        <is>
          <t>복도식</t>
        </is>
      </c>
      <c r="W2833" s="0" t="n">
        <v>56</v>
      </c>
      <c r="X2833" s="0" t="n">
        <v>9</v>
      </c>
      <c r="Y2833" s="0" t="n">
        <v>5</v>
      </c>
      <c r="Z2833" s="0" t="inlineStr">
        <is>
          <t>https://new.land.naver.com/complexes/8379?tab=detail&amp;rf=Y</t>
        </is>
      </c>
      <c r="AA2833" s="0" t="inlineStr">
        <is>
          <t>서울시 강동구 천호동 22-6</t>
        </is>
      </c>
      <c r="AB2833" s="0" t="inlineStr">
        <is>
          <t>서울시</t>
        </is>
      </c>
      <c r="AC2833" s="0" t="inlineStr">
        <is>
          <t>강동구</t>
        </is>
      </c>
      <c r="AD2833" s="0" t="inlineStr">
        <is>
          <t>천호동</t>
        </is>
      </c>
      <c r="AG2833" s="0" t="inlineStr">
        <is>
          <t>서울시 강동구 상암로41길 89-8</t>
        </is>
      </c>
      <c r="AH2833" s="0" t="n">
        <v>0</v>
      </c>
      <c r="AI2833" s="0" t="n">
        <v>0</v>
      </c>
      <c r="AJ2833" s="0" t="n">
        <v>0</v>
      </c>
      <c r="AK2833" s="0" t="n">
        <v>74</v>
      </c>
      <c r="AL2833" s="0" t="n">
        <v>1.1</v>
      </c>
    </row>
    <row r="2834">
      <c r="A2834" s="0" t="inlineStr">
        <is>
          <t>[천호동]</t>
        </is>
      </c>
      <c r="B2834" s="0" t="n">
        <v>8379</v>
      </c>
      <c r="C2834" s="0" t="n">
        <v>3</v>
      </c>
      <c r="D2834" s="0" t="inlineStr">
        <is>
          <t>고려</t>
        </is>
      </c>
      <c r="E2834" s="0" t="inlineStr">
        <is>
          <t>2000.06.</t>
        </is>
      </c>
      <c r="F2834" s="0" t="n">
        <v>67</v>
      </c>
      <c r="G2834" s="0" t="n">
        <v>21.5</v>
      </c>
      <c r="H2834" s="0" t="n">
        <v>71.09999999999999</v>
      </c>
      <c r="I2834" s="0" t="n">
        <v>18.4</v>
      </c>
      <c r="J2834" s="0" t="n">
        <v>60.83</v>
      </c>
      <c r="K2834" s="0" t="n">
        <v>1</v>
      </c>
      <c r="T2834" s="0" t="n">
        <v>2</v>
      </c>
      <c r="U2834" s="0" t="n">
        <v>1</v>
      </c>
      <c r="V2834" s="0" t="inlineStr">
        <is>
          <t>계단식</t>
        </is>
      </c>
      <c r="W2834" s="0" t="n">
        <v>71</v>
      </c>
      <c r="X2834" s="0" t="n">
        <v>9</v>
      </c>
      <c r="Y2834" s="0" t="n">
        <v>5</v>
      </c>
      <c r="Z2834" s="0" t="inlineStr">
        <is>
          <t>https://new.land.naver.com/complexes/8379?tab=detail&amp;rf=Y</t>
        </is>
      </c>
      <c r="AA2834" s="0" t="inlineStr">
        <is>
          <t>서울시 강동구 천호동 22-6</t>
        </is>
      </c>
      <c r="AB2834" s="0" t="inlineStr">
        <is>
          <t>서울시</t>
        </is>
      </c>
      <c r="AC2834" s="0" t="inlineStr">
        <is>
          <t>강동구</t>
        </is>
      </c>
      <c r="AD2834" s="0" t="inlineStr">
        <is>
          <t>천호동</t>
        </is>
      </c>
      <c r="AG2834" s="0" t="inlineStr">
        <is>
          <t>서울시 강동구 상암로41길 89-8</t>
        </is>
      </c>
      <c r="AH2834" s="0" t="n">
        <v>0</v>
      </c>
      <c r="AI2834" s="0" t="n">
        <v>0</v>
      </c>
      <c r="AJ2834" s="0" t="n">
        <v>0</v>
      </c>
      <c r="AK2834" s="0" t="n">
        <v>74</v>
      </c>
      <c r="AL2834" s="0" t="n">
        <v>1.1</v>
      </c>
    </row>
    <row r="2835">
      <c r="A2835" s="0" t="inlineStr">
        <is>
          <t>[천호동]</t>
        </is>
      </c>
      <c r="B2835" s="0" t="n">
        <v>8379</v>
      </c>
      <c r="C2835" s="0" t="n">
        <v>4</v>
      </c>
      <c r="D2835" s="0" t="inlineStr">
        <is>
          <t>고려</t>
        </is>
      </c>
      <c r="E2835" s="0" t="inlineStr">
        <is>
          <t>2000.06.</t>
        </is>
      </c>
      <c r="F2835" s="0" t="n">
        <v>67</v>
      </c>
      <c r="G2835" s="0" t="n">
        <v>24.03</v>
      </c>
      <c r="H2835" s="0" t="n">
        <v>79.45999999999999</v>
      </c>
      <c r="I2835" s="0" t="n">
        <v>20.09</v>
      </c>
      <c r="J2835" s="0" t="n">
        <v>66.42</v>
      </c>
      <c r="K2835" s="0" t="n">
        <v>1</v>
      </c>
      <c r="T2835" s="0" t="n">
        <v>3</v>
      </c>
      <c r="U2835" s="0" t="n">
        <v>1</v>
      </c>
      <c r="V2835" s="0" t="inlineStr">
        <is>
          <t>계단식</t>
        </is>
      </c>
      <c r="W2835" s="0" t="n">
        <v>79</v>
      </c>
      <c r="X2835" s="0" t="n">
        <v>9</v>
      </c>
      <c r="Y2835" s="0" t="n">
        <v>5</v>
      </c>
      <c r="Z2835" s="0" t="inlineStr">
        <is>
          <t>https://new.land.naver.com/complexes/8379?tab=detail&amp;rf=Y</t>
        </is>
      </c>
      <c r="AA2835" s="0" t="inlineStr">
        <is>
          <t>서울시 강동구 천호동 22-6</t>
        </is>
      </c>
      <c r="AB2835" s="0" t="inlineStr">
        <is>
          <t>서울시</t>
        </is>
      </c>
      <c r="AC2835" s="0" t="inlineStr">
        <is>
          <t>강동구</t>
        </is>
      </c>
      <c r="AD2835" s="0" t="inlineStr">
        <is>
          <t>천호동</t>
        </is>
      </c>
      <c r="AG2835" s="0" t="inlineStr">
        <is>
          <t>서울시 강동구 상암로41길 89-8</t>
        </is>
      </c>
      <c r="AH2835" s="0" t="n">
        <v>0</v>
      </c>
      <c r="AI2835" s="0" t="n">
        <v>0</v>
      </c>
      <c r="AJ2835" s="0" t="n">
        <v>0</v>
      </c>
      <c r="AK2835" s="0" t="n">
        <v>74</v>
      </c>
      <c r="AL2835" s="0" t="n">
        <v>1.1</v>
      </c>
    </row>
    <row r="2836">
      <c r="A2836" s="0" t="inlineStr">
        <is>
          <t>[천호동]</t>
        </is>
      </c>
      <c r="B2836" s="0" t="n">
        <v>8379</v>
      </c>
      <c r="C2836" s="0" t="n">
        <v>5</v>
      </c>
      <c r="D2836" s="0" t="inlineStr">
        <is>
          <t>고려</t>
        </is>
      </c>
      <c r="E2836" s="0" t="inlineStr">
        <is>
          <t>2000.06.</t>
        </is>
      </c>
      <c r="F2836" s="0" t="n">
        <v>67</v>
      </c>
      <c r="G2836" s="0" t="n">
        <v>24.49</v>
      </c>
      <c r="H2836" s="0" t="n">
        <v>80.98</v>
      </c>
      <c r="I2836" s="0" t="n">
        <v>21.07</v>
      </c>
      <c r="J2836" s="0" t="n">
        <v>69.66</v>
      </c>
      <c r="K2836" s="0" t="n">
        <v>2</v>
      </c>
      <c r="T2836" s="0" t="n">
        <v>3</v>
      </c>
      <c r="U2836" s="0" t="n">
        <v>1</v>
      </c>
      <c r="V2836" s="0" t="inlineStr">
        <is>
          <t>계단식</t>
        </is>
      </c>
      <c r="W2836" s="0" t="inlineStr">
        <is>
          <t>80B</t>
        </is>
      </c>
      <c r="X2836" s="0" t="n">
        <v>9</v>
      </c>
      <c r="Y2836" s="0" t="n">
        <v>5</v>
      </c>
      <c r="Z2836" s="0" t="inlineStr">
        <is>
          <t>https://new.land.naver.com/complexes/8379?tab=detail&amp;rf=Y</t>
        </is>
      </c>
      <c r="AA2836" s="0" t="inlineStr">
        <is>
          <t>서울시 강동구 천호동 22-6</t>
        </is>
      </c>
      <c r="AB2836" s="0" t="inlineStr">
        <is>
          <t>서울시</t>
        </is>
      </c>
      <c r="AC2836" s="0" t="inlineStr">
        <is>
          <t>강동구</t>
        </is>
      </c>
      <c r="AD2836" s="0" t="inlineStr">
        <is>
          <t>천호동</t>
        </is>
      </c>
      <c r="AG2836" s="0" t="inlineStr">
        <is>
          <t>서울시 강동구 상암로41길 89-8</t>
        </is>
      </c>
      <c r="AH2836" s="0" t="n">
        <v>0</v>
      </c>
      <c r="AI2836" s="0" t="n">
        <v>0</v>
      </c>
      <c r="AJ2836" s="0" t="n">
        <v>0</v>
      </c>
      <c r="AK2836" s="0" t="n">
        <v>74</v>
      </c>
      <c r="AL2836" s="0" t="n">
        <v>1.1</v>
      </c>
    </row>
    <row r="2837">
      <c r="A2837" s="0" t="inlineStr">
        <is>
          <t>[천호동]</t>
        </is>
      </c>
      <c r="B2837" s="0" t="n">
        <v>8379</v>
      </c>
      <c r="C2837" s="0" t="n">
        <v>6</v>
      </c>
      <c r="D2837" s="0" t="inlineStr">
        <is>
          <t>고려</t>
        </is>
      </c>
      <c r="E2837" s="0" t="inlineStr">
        <is>
          <t>2000.06.</t>
        </is>
      </c>
      <c r="F2837" s="0" t="n">
        <v>67</v>
      </c>
      <c r="G2837" s="0" t="n">
        <v>24.88</v>
      </c>
      <c r="H2837" s="0" t="n">
        <v>82.25</v>
      </c>
      <c r="I2837" s="0" t="n">
        <v>20.79</v>
      </c>
      <c r="J2837" s="0" t="n">
        <v>68.76000000000001</v>
      </c>
      <c r="K2837" s="0" t="n">
        <v>4</v>
      </c>
      <c r="T2837" s="0" t="n">
        <v>3</v>
      </c>
      <c r="U2837" s="0" t="n">
        <v>1</v>
      </c>
      <c r="V2837" s="0" t="inlineStr">
        <is>
          <t>계단식</t>
        </is>
      </c>
      <c r="W2837" s="0" t="inlineStr">
        <is>
          <t>82A</t>
        </is>
      </c>
      <c r="X2837" s="0" t="n">
        <v>9</v>
      </c>
      <c r="Y2837" s="0" t="n">
        <v>5</v>
      </c>
      <c r="Z2837" s="0" t="inlineStr">
        <is>
          <t>https://new.land.naver.com/complexes/8379?tab=detail&amp;rf=Y</t>
        </is>
      </c>
      <c r="AA2837" s="0" t="inlineStr">
        <is>
          <t>서울시 강동구 천호동 22-6</t>
        </is>
      </c>
      <c r="AB2837" s="0" t="inlineStr">
        <is>
          <t>서울시</t>
        </is>
      </c>
      <c r="AC2837" s="0" t="inlineStr">
        <is>
          <t>강동구</t>
        </is>
      </c>
      <c r="AD2837" s="0" t="inlineStr">
        <is>
          <t>천호동</t>
        </is>
      </c>
      <c r="AG2837" s="0" t="inlineStr">
        <is>
          <t>서울시 강동구 상암로41길 89-8</t>
        </is>
      </c>
      <c r="AH2837" s="0" t="n">
        <v>0</v>
      </c>
      <c r="AI2837" s="0" t="n">
        <v>0</v>
      </c>
      <c r="AJ2837" s="0" t="n">
        <v>0</v>
      </c>
      <c r="AK2837" s="0" t="n">
        <v>74</v>
      </c>
      <c r="AL2837" s="0" t="n">
        <v>1.1</v>
      </c>
    </row>
    <row r="2838">
      <c r="A2838" s="0" t="inlineStr">
        <is>
          <t>[천호동]</t>
        </is>
      </c>
      <c r="B2838" s="0" t="n">
        <v>8379</v>
      </c>
      <c r="C2838" s="0" t="n">
        <v>7</v>
      </c>
      <c r="D2838" s="0" t="inlineStr">
        <is>
          <t>고려</t>
        </is>
      </c>
      <c r="E2838" s="0" t="inlineStr">
        <is>
          <t>2000.06.</t>
        </is>
      </c>
      <c r="F2838" s="0" t="n">
        <v>67</v>
      </c>
      <c r="G2838" s="0" t="n">
        <v>24.95</v>
      </c>
      <c r="H2838" s="0" t="n">
        <v>82.48999999999999</v>
      </c>
      <c r="I2838" s="0" t="n">
        <v>21.68</v>
      </c>
      <c r="J2838" s="0" t="n">
        <v>71.69</v>
      </c>
      <c r="K2838" s="0" t="n">
        <v>2</v>
      </c>
      <c r="T2838" s="0" t="n">
        <v>3</v>
      </c>
      <c r="U2838" s="0" t="n">
        <v>1</v>
      </c>
      <c r="V2838" s="0" t="inlineStr">
        <is>
          <t>계단식</t>
        </is>
      </c>
      <c r="W2838" s="0" t="inlineStr">
        <is>
          <t>82C</t>
        </is>
      </c>
      <c r="X2838" s="0" t="n">
        <v>9</v>
      </c>
      <c r="Y2838" s="0" t="n">
        <v>5</v>
      </c>
      <c r="Z2838" s="0" t="inlineStr">
        <is>
          <t>https://new.land.naver.com/complexes/8379?tab=detail&amp;rf=Y</t>
        </is>
      </c>
      <c r="AA2838" s="0" t="inlineStr">
        <is>
          <t>서울시 강동구 천호동 22-6</t>
        </is>
      </c>
      <c r="AB2838" s="0" t="inlineStr">
        <is>
          <t>서울시</t>
        </is>
      </c>
      <c r="AC2838" s="0" t="inlineStr">
        <is>
          <t>강동구</t>
        </is>
      </c>
      <c r="AD2838" s="0" t="inlineStr">
        <is>
          <t>천호동</t>
        </is>
      </c>
      <c r="AG2838" s="0" t="inlineStr">
        <is>
          <t>서울시 강동구 상암로41길 89-8</t>
        </is>
      </c>
      <c r="AH2838" s="0" t="n">
        <v>0</v>
      </c>
      <c r="AI2838" s="0" t="n">
        <v>0</v>
      </c>
      <c r="AJ2838" s="0" t="n">
        <v>0</v>
      </c>
      <c r="AK2838" s="0" t="n">
        <v>74</v>
      </c>
      <c r="AL2838" s="0" t="n">
        <v>1.1</v>
      </c>
    </row>
    <row r="2839">
      <c r="A2839" s="0" t="inlineStr">
        <is>
          <t>[천호동]</t>
        </is>
      </c>
      <c r="B2839" s="0" t="n">
        <v>8379</v>
      </c>
      <c r="C2839" s="0" t="n">
        <v>8</v>
      </c>
      <c r="D2839" s="0" t="inlineStr">
        <is>
          <t>고려</t>
        </is>
      </c>
      <c r="E2839" s="0" t="inlineStr">
        <is>
          <t>2000.06.</t>
        </is>
      </c>
      <c r="F2839" s="0" t="n">
        <v>67</v>
      </c>
      <c r="G2839" s="0" t="n">
        <v>26.48</v>
      </c>
      <c r="H2839" s="0" t="n">
        <v>87.55</v>
      </c>
      <c r="I2839" s="0" t="n">
        <v>22.13</v>
      </c>
      <c r="J2839" s="0" t="n">
        <v>73.19</v>
      </c>
      <c r="K2839" s="0" t="n">
        <v>1</v>
      </c>
      <c r="T2839" s="0" t="n">
        <v>3</v>
      </c>
      <c r="U2839" s="0" t="n">
        <v>1</v>
      </c>
      <c r="V2839" s="0" t="inlineStr">
        <is>
          <t>계단식</t>
        </is>
      </c>
      <c r="W2839" s="0" t="n">
        <v>87</v>
      </c>
      <c r="X2839" s="0" t="n">
        <v>9</v>
      </c>
      <c r="Y2839" s="0" t="n">
        <v>5</v>
      </c>
      <c r="Z2839" s="0" t="inlineStr">
        <is>
          <t>https://new.land.naver.com/complexes/8379?tab=detail&amp;rf=Y</t>
        </is>
      </c>
      <c r="AA2839" s="0" t="inlineStr">
        <is>
          <t>서울시 강동구 천호동 22-6</t>
        </is>
      </c>
      <c r="AB2839" s="0" t="inlineStr">
        <is>
          <t>서울시</t>
        </is>
      </c>
      <c r="AC2839" s="0" t="inlineStr">
        <is>
          <t>강동구</t>
        </is>
      </c>
      <c r="AD2839" s="0" t="inlineStr">
        <is>
          <t>천호동</t>
        </is>
      </c>
      <c r="AG2839" s="0" t="inlineStr">
        <is>
          <t>서울시 강동구 상암로41길 89-8</t>
        </is>
      </c>
      <c r="AH2839" s="0" t="n">
        <v>0</v>
      </c>
      <c r="AI2839" s="0" t="n">
        <v>0</v>
      </c>
      <c r="AJ2839" s="0" t="n">
        <v>0</v>
      </c>
      <c r="AK2839" s="0" t="n">
        <v>74</v>
      </c>
      <c r="AL2839" s="0" t="n">
        <v>1.1</v>
      </c>
    </row>
    <row r="2840">
      <c r="A2840" s="0" t="inlineStr">
        <is>
          <t>[천호동]</t>
        </is>
      </c>
      <c r="B2840" s="0" t="n">
        <v>8379</v>
      </c>
      <c r="C2840" s="0" t="n">
        <v>9</v>
      </c>
      <c r="D2840" s="0" t="inlineStr">
        <is>
          <t>고려</t>
        </is>
      </c>
      <c r="E2840" s="0" t="inlineStr">
        <is>
          <t>2000.06.</t>
        </is>
      </c>
      <c r="F2840" s="0" t="n">
        <v>67</v>
      </c>
      <c r="G2840" s="0" t="n">
        <v>27.39</v>
      </c>
      <c r="H2840" s="0" t="n">
        <v>90.56</v>
      </c>
      <c r="I2840" s="0" t="n">
        <v>22.9</v>
      </c>
      <c r="J2840" s="0" t="n">
        <v>75.70999999999999</v>
      </c>
      <c r="K2840" s="0" t="n">
        <v>4</v>
      </c>
      <c r="T2840" s="0" t="n">
        <v>3</v>
      </c>
      <c r="U2840" s="0" t="n">
        <v>1</v>
      </c>
      <c r="V2840" s="0" t="inlineStr">
        <is>
          <t>계단식</t>
        </is>
      </c>
      <c r="W2840" s="0" t="n">
        <v>90</v>
      </c>
      <c r="X2840" s="0" t="n">
        <v>9</v>
      </c>
      <c r="Y2840" s="0" t="n">
        <v>5</v>
      </c>
      <c r="Z2840" s="0" t="inlineStr">
        <is>
          <t>https://new.land.naver.com/complexes/8379?tab=detail&amp;rf=Y</t>
        </is>
      </c>
      <c r="AA2840" s="0" t="inlineStr">
        <is>
          <t>서울시 강동구 천호동 22-6</t>
        </is>
      </c>
      <c r="AB2840" s="0" t="inlineStr">
        <is>
          <t>서울시</t>
        </is>
      </c>
      <c r="AC2840" s="0" t="inlineStr">
        <is>
          <t>강동구</t>
        </is>
      </c>
      <c r="AD2840" s="0" t="inlineStr">
        <is>
          <t>천호동</t>
        </is>
      </c>
      <c r="AG2840" s="0" t="inlineStr">
        <is>
          <t>서울시 강동구 상암로41길 89-8</t>
        </is>
      </c>
      <c r="AH2840" s="0" t="n">
        <v>0</v>
      </c>
      <c r="AI2840" s="0" t="n">
        <v>0</v>
      </c>
      <c r="AJ2840" s="0" t="n">
        <v>0</v>
      </c>
      <c r="AK2840" s="0" t="n">
        <v>74</v>
      </c>
      <c r="AL2840" s="0" t="n">
        <v>1.1</v>
      </c>
    </row>
    <row r="2841">
      <c r="A2841" s="0" t="inlineStr">
        <is>
          <t>[천호동]</t>
        </is>
      </c>
      <c r="B2841" s="0" t="n">
        <v>8379</v>
      </c>
      <c r="C2841" s="0" t="n">
        <v>10</v>
      </c>
      <c r="D2841" s="0" t="inlineStr">
        <is>
          <t>고려</t>
        </is>
      </c>
      <c r="E2841" s="0" t="inlineStr">
        <is>
          <t>2000.06.</t>
        </is>
      </c>
      <c r="F2841" s="0" t="n">
        <v>67</v>
      </c>
      <c r="G2841" s="0" t="n">
        <v>28.32</v>
      </c>
      <c r="H2841" s="0" t="n">
        <v>93.62</v>
      </c>
      <c r="I2841" s="0" t="n">
        <v>24.22</v>
      </c>
      <c r="J2841" s="0" t="n">
        <v>80.08</v>
      </c>
      <c r="K2841" s="0" t="n">
        <v>10</v>
      </c>
      <c r="T2841" s="0" t="n">
        <v>3</v>
      </c>
      <c r="U2841" s="0" t="n">
        <v>2</v>
      </c>
      <c r="V2841" s="0" t="inlineStr">
        <is>
          <t>계단식</t>
        </is>
      </c>
      <c r="W2841" s="0" t="n">
        <v>93</v>
      </c>
      <c r="X2841" s="0" t="n">
        <v>9</v>
      </c>
      <c r="Y2841" s="0" t="n">
        <v>5</v>
      </c>
      <c r="Z2841" s="0" t="inlineStr">
        <is>
          <t>https://new.land.naver.com/complexes/8379?tab=detail&amp;rf=Y</t>
        </is>
      </c>
      <c r="AA2841" s="0" t="inlineStr">
        <is>
          <t>서울시 강동구 천호동 22-6</t>
        </is>
      </c>
      <c r="AB2841" s="0" t="inlineStr">
        <is>
          <t>서울시</t>
        </is>
      </c>
      <c r="AC2841" s="0" t="inlineStr">
        <is>
          <t>강동구</t>
        </is>
      </c>
      <c r="AD2841" s="0" t="inlineStr">
        <is>
          <t>천호동</t>
        </is>
      </c>
      <c r="AG2841" s="0" t="inlineStr">
        <is>
          <t>서울시 강동구 상암로41길 89-8</t>
        </is>
      </c>
      <c r="AH2841" s="0" t="n">
        <v>0</v>
      </c>
      <c r="AI2841" s="0" t="n">
        <v>0</v>
      </c>
      <c r="AJ2841" s="0" t="n">
        <v>0</v>
      </c>
      <c r="AK2841" s="0" t="n">
        <v>74</v>
      </c>
      <c r="AL2841" s="0" t="n">
        <v>1.1</v>
      </c>
    </row>
    <row r="2842">
      <c r="A2842" s="0" t="inlineStr">
        <is>
          <t>[천호동]</t>
        </is>
      </c>
      <c r="B2842" s="0" t="n">
        <v>8379</v>
      </c>
      <c r="C2842" s="0" t="n">
        <v>11</v>
      </c>
      <c r="D2842" s="0" t="inlineStr">
        <is>
          <t>고려</t>
        </is>
      </c>
      <c r="E2842" s="0" t="inlineStr">
        <is>
          <t>2000.06.</t>
        </is>
      </c>
      <c r="F2842" s="0" t="n">
        <v>67</v>
      </c>
      <c r="G2842" s="0" t="n">
        <v>29.49</v>
      </c>
      <c r="H2842" s="0" t="n">
        <v>97.5</v>
      </c>
      <c r="I2842" s="0" t="n">
        <v>25.63</v>
      </c>
      <c r="J2842" s="0" t="n">
        <v>84.73999999999999</v>
      </c>
      <c r="K2842" s="0" t="n">
        <v>16</v>
      </c>
      <c r="T2842" s="0" t="n">
        <v>3</v>
      </c>
      <c r="U2842" s="0" t="n">
        <v>2</v>
      </c>
      <c r="V2842" s="0" t="inlineStr">
        <is>
          <t>계단식</t>
        </is>
      </c>
      <c r="W2842" s="0" t="n">
        <v>97</v>
      </c>
      <c r="X2842" s="0" t="n">
        <v>9</v>
      </c>
      <c r="Y2842" s="0" t="n">
        <v>5</v>
      </c>
      <c r="Z2842" s="0" t="inlineStr">
        <is>
          <t>https://new.land.naver.com/complexes/8379?tab=detail&amp;rf=Y</t>
        </is>
      </c>
      <c r="AA2842" s="0" t="inlineStr">
        <is>
          <t>서울시 강동구 천호동 22-6</t>
        </is>
      </c>
      <c r="AB2842" s="0" t="inlineStr">
        <is>
          <t>서울시</t>
        </is>
      </c>
      <c r="AC2842" s="0" t="inlineStr">
        <is>
          <t>강동구</t>
        </is>
      </c>
      <c r="AD2842" s="0" t="inlineStr">
        <is>
          <t>천호동</t>
        </is>
      </c>
      <c r="AG2842" s="0" t="inlineStr">
        <is>
          <t>서울시 강동구 상암로41길 89-8</t>
        </is>
      </c>
      <c r="AH2842" s="0" t="n">
        <v>0</v>
      </c>
      <c r="AI2842" s="0" t="n">
        <v>0</v>
      </c>
      <c r="AJ2842" s="0" t="n">
        <v>0</v>
      </c>
      <c r="AK2842" s="0" t="n">
        <v>74</v>
      </c>
      <c r="AL2842" s="0" t="n">
        <v>1.1</v>
      </c>
    </row>
    <row r="2843">
      <c r="A2843" s="0" t="inlineStr">
        <is>
          <t>[천호동]</t>
        </is>
      </c>
      <c r="B2843" s="0" t="n">
        <v>8379</v>
      </c>
      <c r="C2843" s="0" t="n">
        <v>12</v>
      </c>
      <c r="D2843" s="0" t="inlineStr">
        <is>
          <t>고려</t>
        </is>
      </c>
      <c r="E2843" s="0" t="inlineStr">
        <is>
          <t>2000.06.</t>
        </is>
      </c>
      <c r="F2843" s="0" t="n">
        <v>67</v>
      </c>
      <c r="G2843" s="0" t="n">
        <v>29.78</v>
      </c>
      <c r="H2843" s="0" t="n">
        <v>98.45999999999999</v>
      </c>
      <c r="I2843" s="0" t="n">
        <v>25.61</v>
      </c>
      <c r="J2843" s="0" t="n">
        <v>84.69</v>
      </c>
      <c r="K2843" s="0" t="n">
        <v>13</v>
      </c>
      <c r="T2843" s="0" t="n">
        <v>3</v>
      </c>
      <c r="U2843" s="0" t="n">
        <v>2</v>
      </c>
      <c r="V2843" s="0" t="inlineStr">
        <is>
          <t>계단식</t>
        </is>
      </c>
      <c r="W2843" s="0" t="n">
        <v>98</v>
      </c>
      <c r="X2843" s="0" t="n">
        <v>9</v>
      </c>
      <c r="Y2843" s="0" t="n">
        <v>5</v>
      </c>
      <c r="Z2843" s="0" t="inlineStr">
        <is>
          <t>https://new.land.naver.com/complexes/8379?tab=detail&amp;rf=Y</t>
        </is>
      </c>
      <c r="AA2843" s="0" t="inlineStr">
        <is>
          <t>서울시 강동구 천호동 22-6</t>
        </is>
      </c>
      <c r="AB2843" s="0" t="inlineStr">
        <is>
          <t>서울시</t>
        </is>
      </c>
      <c r="AC2843" s="0" t="inlineStr">
        <is>
          <t>강동구</t>
        </is>
      </c>
      <c r="AD2843" s="0" t="inlineStr">
        <is>
          <t>천호동</t>
        </is>
      </c>
      <c r="AG2843" s="0" t="inlineStr">
        <is>
          <t>서울시 강동구 상암로41길 89-8</t>
        </is>
      </c>
      <c r="AH2843" s="0" t="n">
        <v>0</v>
      </c>
      <c r="AI2843" s="0" t="n">
        <v>0</v>
      </c>
      <c r="AJ2843" s="0" t="n">
        <v>0</v>
      </c>
      <c r="AK2843" s="0" t="n">
        <v>74</v>
      </c>
      <c r="AL2843" s="0" t="n">
        <v>1.1</v>
      </c>
    </row>
    <row r="2844">
      <c r="A2844" s="0" t="inlineStr">
        <is>
          <t>[천호동]</t>
        </is>
      </c>
      <c r="B2844" s="0" t="n">
        <v>8379</v>
      </c>
      <c r="C2844" s="0" t="n">
        <v>13</v>
      </c>
      <c r="D2844" s="0" t="inlineStr">
        <is>
          <t>고려</t>
        </is>
      </c>
      <c r="E2844" s="0" t="inlineStr">
        <is>
          <t>2000.06.</t>
        </is>
      </c>
      <c r="F2844" s="0" t="n">
        <v>67</v>
      </c>
      <c r="G2844" s="0" t="n">
        <v>30.64</v>
      </c>
      <c r="H2844" s="0" t="n">
        <v>101.31</v>
      </c>
      <c r="I2844" s="0" t="n">
        <v>25.61</v>
      </c>
      <c r="J2844" s="0" t="n">
        <v>84.69</v>
      </c>
      <c r="K2844" s="0" t="n">
        <v>8</v>
      </c>
      <c r="T2844" s="0" t="n">
        <v>3</v>
      </c>
      <c r="U2844" s="0" t="n">
        <v>2</v>
      </c>
      <c r="V2844" s="0" t="inlineStr">
        <is>
          <t>계단식</t>
        </is>
      </c>
      <c r="W2844" s="0" t="n">
        <v>101</v>
      </c>
      <c r="X2844" s="0" t="n">
        <v>9</v>
      </c>
      <c r="Y2844" s="0" t="n">
        <v>5</v>
      </c>
      <c r="Z2844" s="0" t="inlineStr">
        <is>
          <t>https://new.land.naver.com/complexes/8379?tab=detail&amp;rf=Y</t>
        </is>
      </c>
      <c r="AA2844" s="0" t="inlineStr">
        <is>
          <t>서울시 강동구 천호동 22-6</t>
        </is>
      </c>
      <c r="AB2844" s="0" t="inlineStr">
        <is>
          <t>서울시</t>
        </is>
      </c>
      <c r="AC2844" s="0" t="inlineStr">
        <is>
          <t>강동구</t>
        </is>
      </c>
      <c r="AD2844" s="0" t="inlineStr">
        <is>
          <t>천호동</t>
        </is>
      </c>
      <c r="AG2844" s="0" t="inlineStr">
        <is>
          <t>서울시 강동구 상암로41길 89-8</t>
        </is>
      </c>
      <c r="AH2844" s="0" t="n">
        <v>0</v>
      </c>
      <c r="AI2844" s="0" t="n">
        <v>0</v>
      </c>
      <c r="AJ2844" s="0" t="n">
        <v>0</v>
      </c>
      <c r="AK2844" s="0" t="n">
        <v>74</v>
      </c>
      <c r="AL2844" s="0" t="n">
        <v>1.1</v>
      </c>
    </row>
    <row r="2845">
      <c r="A2845" s="0" t="inlineStr">
        <is>
          <t>[천호동]</t>
        </is>
      </c>
      <c r="B2845" s="0" t="n">
        <v>8379</v>
      </c>
      <c r="C2845" s="0" t="n">
        <v>14</v>
      </c>
      <c r="D2845" s="0" t="inlineStr">
        <is>
          <t>고려</t>
        </is>
      </c>
      <c r="E2845" s="0" t="inlineStr">
        <is>
          <t>2000.06.</t>
        </is>
      </c>
      <c r="F2845" s="0" t="n">
        <v>67</v>
      </c>
      <c r="G2845" s="0" t="n">
        <v>47.54</v>
      </c>
      <c r="H2845" s="0" t="n">
        <v>157.18</v>
      </c>
      <c r="I2845" s="0" t="n">
        <v>39.74</v>
      </c>
      <c r="J2845" s="0" t="n">
        <v>131.4</v>
      </c>
      <c r="K2845" s="0" t="n">
        <v>1</v>
      </c>
      <c r="T2845" s="0" t="n">
        <v>4</v>
      </c>
      <c r="U2845" s="0" t="n">
        <v>3</v>
      </c>
      <c r="V2845" s="0" t="inlineStr">
        <is>
          <t>계단식</t>
        </is>
      </c>
      <c r="W2845" s="0" t="n">
        <v>157</v>
      </c>
      <c r="X2845" s="0" t="n">
        <v>9</v>
      </c>
      <c r="Y2845" s="0" t="n">
        <v>5</v>
      </c>
      <c r="Z2845" s="0" t="inlineStr">
        <is>
          <t>https://new.land.naver.com/complexes/8379?tab=detail&amp;rf=Y</t>
        </is>
      </c>
      <c r="AA2845" s="0" t="inlineStr">
        <is>
          <t>서울시 강동구 천호동 22-6</t>
        </is>
      </c>
      <c r="AB2845" s="0" t="inlineStr">
        <is>
          <t>서울시</t>
        </is>
      </c>
      <c r="AC2845" s="0" t="inlineStr">
        <is>
          <t>강동구</t>
        </is>
      </c>
      <c r="AD2845" s="0" t="inlineStr">
        <is>
          <t>천호동</t>
        </is>
      </c>
      <c r="AG2845" s="0" t="inlineStr">
        <is>
          <t>서울시 강동구 상암로41길 89-8</t>
        </is>
      </c>
      <c r="AH2845" s="0" t="n">
        <v>0</v>
      </c>
      <c r="AI2845" s="0" t="n">
        <v>0</v>
      </c>
      <c r="AJ2845" s="0" t="n">
        <v>0</v>
      </c>
      <c r="AK2845" s="0" t="n">
        <v>74</v>
      </c>
      <c r="AL2845" s="0" t="n">
        <v>1.1</v>
      </c>
    </row>
    <row r="2846">
      <c r="A2846" s="0" t="inlineStr">
        <is>
          <t>[천호동]</t>
        </is>
      </c>
      <c r="B2846" s="0" t="n">
        <v>8379</v>
      </c>
      <c r="C2846" s="0" t="n">
        <v>15</v>
      </c>
      <c r="D2846" s="0" t="inlineStr">
        <is>
          <t>고려</t>
        </is>
      </c>
      <c r="E2846" s="0" t="inlineStr">
        <is>
          <t>2000.06.</t>
        </is>
      </c>
      <c r="F2846" s="0" t="n">
        <v>67</v>
      </c>
      <c r="G2846" s="0" t="n">
        <v>49.9</v>
      </c>
      <c r="H2846" s="0" t="n">
        <v>164.98</v>
      </c>
      <c r="I2846" s="0" t="n">
        <v>43.37</v>
      </c>
      <c r="J2846" s="0" t="n">
        <v>143.38</v>
      </c>
      <c r="K2846" s="0" t="n">
        <v>1</v>
      </c>
      <c r="T2846" s="0" t="n">
        <v>4</v>
      </c>
      <c r="U2846" s="0" t="n">
        <v>3</v>
      </c>
      <c r="V2846" s="0" t="inlineStr">
        <is>
          <t>계단식</t>
        </is>
      </c>
      <c r="W2846" s="0" t="n">
        <v>164</v>
      </c>
      <c r="X2846" s="0" t="n">
        <v>9</v>
      </c>
      <c r="Y2846" s="0" t="n">
        <v>5</v>
      </c>
      <c r="Z2846" s="0" t="inlineStr">
        <is>
          <t>https://new.land.naver.com/complexes/8379?tab=detail&amp;rf=Y</t>
        </is>
      </c>
      <c r="AA2846" s="0" t="inlineStr">
        <is>
          <t>서울시 강동구 천호동 22-6</t>
        </is>
      </c>
      <c r="AB2846" s="0" t="inlineStr">
        <is>
          <t>서울시</t>
        </is>
      </c>
      <c r="AC2846" s="0" t="inlineStr">
        <is>
          <t>강동구</t>
        </is>
      </c>
      <c r="AD2846" s="0" t="inlineStr">
        <is>
          <t>천호동</t>
        </is>
      </c>
      <c r="AG2846" s="0" t="inlineStr">
        <is>
          <t>서울시 강동구 상암로41길 89-8</t>
        </is>
      </c>
      <c r="AH2846" s="0" t="n">
        <v>0</v>
      </c>
      <c r="AI2846" s="0" t="n">
        <v>0</v>
      </c>
      <c r="AJ2846" s="0" t="n">
        <v>0</v>
      </c>
      <c r="AK2846" s="0" t="n">
        <v>74</v>
      </c>
      <c r="AL2846" s="0" t="n">
        <v>1.1</v>
      </c>
    </row>
    <row r="2847">
      <c r="A2847" s="0" t="inlineStr">
        <is>
          <t>[천호동]</t>
        </is>
      </c>
      <c r="B2847" s="0" t="n">
        <v>126519</v>
      </c>
      <c r="C2847" s="0" t="n">
        <v>1</v>
      </c>
      <c r="D2847" s="0" t="inlineStr">
        <is>
          <t>마루지움에비뉴(도시형)</t>
        </is>
      </c>
      <c r="E2847" s="0" t="inlineStr">
        <is>
          <t>2019.04.</t>
        </is>
      </c>
      <c r="F2847" s="0" t="n">
        <v>20</v>
      </c>
      <c r="G2847" s="0" t="n">
        <v>6.51</v>
      </c>
      <c r="H2847" s="0" t="n">
        <v>21.53</v>
      </c>
      <c r="I2847" s="0" t="n">
        <v>4.32</v>
      </c>
      <c r="J2847" s="0" t="n">
        <v>14.31</v>
      </c>
      <c r="K2847" s="0" t="n">
        <v>4</v>
      </c>
      <c r="T2847" s="0" t="n">
        <v>1</v>
      </c>
      <c r="U2847" s="0" t="n">
        <v>1</v>
      </c>
      <c r="V2847" s="0" t="inlineStr">
        <is>
          <t>복도식</t>
        </is>
      </c>
      <c r="W2847" s="0" t="inlineStr">
        <is>
          <t>21A</t>
        </is>
      </c>
      <c r="X2847" s="0" t="n">
        <v>13</v>
      </c>
      <c r="Y2847" s="0" t="n">
        <v>13</v>
      </c>
      <c r="Z2847" s="0" t="inlineStr">
        <is>
          <t>https://new.land.naver.com/complexes/126519?tab=detail&amp;rf=Y</t>
        </is>
      </c>
      <c r="AA2847" s="0" t="inlineStr">
        <is>
          <t>서울시 강동구 천호동 452-9</t>
        </is>
      </c>
      <c r="AB2847" s="0" t="inlineStr">
        <is>
          <t>서울시</t>
        </is>
      </c>
      <c r="AC2847" s="0" t="inlineStr">
        <is>
          <t>강동구</t>
        </is>
      </c>
      <c r="AD2847" s="0" t="inlineStr">
        <is>
          <t>천호동</t>
        </is>
      </c>
      <c r="AG2847" s="0" t="inlineStr">
        <is>
          <t>서울시 강동구 천호대로161길 15-11</t>
        </is>
      </c>
      <c r="AH2847" s="0" t="n">
        <v>0</v>
      </c>
      <c r="AI2847" s="0" t="n">
        <v>496</v>
      </c>
      <c r="AJ2847" s="0" t="n">
        <v>59</v>
      </c>
      <c r="AK2847" s="0" t="n">
        <v>11</v>
      </c>
      <c r="AL2847" s="0" t="n">
        <v>0.55</v>
      </c>
    </row>
    <row r="2848">
      <c r="A2848" s="0" t="inlineStr">
        <is>
          <t>[천호동]</t>
        </is>
      </c>
      <c r="B2848" s="0" t="n">
        <v>126519</v>
      </c>
      <c r="C2848" s="0" t="n">
        <v>2</v>
      </c>
      <c r="D2848" s="0" t="inlineStr">
        <is>
          <t>마루지움에비뉴(도시형)</t>
        </is>
      </c>
      <c r="E2848" s="0" t="inlineStr">
        <is>
          <t>2019.04.</t>
        </is>
      </c>
      <c r="F2848" s="0" t="n">
        <v>20</v>
      </c>
      <c r="G2848" s="0" t="n">
        <v>6.88</v>
      </c>
      <c r="H2848" s="0" t="n">
        <v>22.75</v>
      </c>
      <c r="I2848" s="0" t="n">
        <v>4.57</v>
      </c>
      <c r="J2848" s="0" t="n">
        <v>15.12</v>
      </c>
      <c r="K2848" s="0" t="n">
        <v>4</v>
      </c>
      <c r="T2848" s="0" t="n">
        <v>1</v>
      </c>
      <c r="U2848" s="0" t="n">
        <v>1</v>
      </c>
      <c r="V2848" s="0" t="inlineStr">
        <is>
          <t>복도식</t>
        </is>
      </c>
      <c r="W2848" s="0" t="inlineStr">
        <is>
          <t>22B</t>
        </is>
      </c>
      <c r="X2848" s="0" t="n">
        <v>13</v>
      </c>
      <c r="Y2848" s="0" t="n">
        <v>13</v>
      </c>
      <c r="Z2848" s="0" t="inlineStr">
        <is>
          <t>https://new.land.naver.com/complexes/126519?tab=detail&amp;rf=Y</t>
        </is>
      </c>
      <c r="AA2848" s="0" t="inlineStr">
        <is>
          <t>서울시 강동구 천호동 452-9</t>
        </is>
      </c>
      <c r="AB2848" s="0" t="inlineStr">
        <is>
          <t>서울시</t>
        </is>
      </c>
      <c r="AC2848" s="0" t="inlineStr">
        <is>
          <t>강동구</t>
        </is>
      </c>
      <c r="AD2848" s="0" t="inlineStr">
        <is>
          <t>천호동</t>
        </is>
      </c>
      <c r="AG2848" s="0" t="inlineStr">
        <is>
          <t>서울시 강동구 천호대로161길 15-11</t>
        </is>
      </c>
      <c r="AH2848" s="0" t="n">
        <v>0</v>
      </c>
      <c r="AI2848" s="0" t="n">
        <v>496</v>
      </c>
      <c r="AJ2848" s="0" t="n">
        <v>59</v>
      </c>
      <c r="AK2848" s="0" t="n">
        <v>11</v>
      </c>
      <c r="AL2848" s="0" t="n">
        <v>0.55</v>
      </c>
    </row>
    <row r="2849">
      <c r="A2849" s="0" t="inlineStr">
        <is>
          <t>[천호동]</t>
        </is>
      </c>
      <c r="B2849" s="0" t="n">
        <v>126519</v>
      </c>
      <c r="C2849" s="0" t="n">
        <v>3</v>
      </c>
      <c r="D2849" s="0" t="inlineStr">
        <is>
          <t>마루지움에비뉴(도시형)</t>
        </is>
      </c>
      <c r="E2849" s="0" t="inlineStr">
        <is>
          <t>2019.04.</t>
        </is>
      </c>
      <c r="F2849" s="0" t="n">
        <v>20</v>
      </c>
      <c r="G2849" s="0" t="n">
        <v>7.05</v>
      </c>
      <c r="H2849" s="0" t="n">
        <v>23.31</v>
      </c>
      <c r="I2849" s="0" t="n">
        <v>4.68</v>
      </c>
      <c r="J2849" s="0" t="n">
        <v>15.48</v>
      </c>
      <c r="K2849" s="0" t="n">
        <v>8</v>
      </c>
      <c r="T2849" s="0" t="n">
        <v>1</v>
      </c>
      <c r="U2849" s="0" t="n">
        <v>1</v>
      </c>
      <c r="V2849" s="0" t="inlineStr">
        <is>
          <t>복도식</t>
        </is>
      </c>
      <c r="W2849" s="0" t="inlineStr">
        <is>
          <t>23C</t>
        </is>
      </c>
      <c r="X2849" s="0" t="n">
        <v>13</v>
      </c>
      <c r="Y2849" s="0" t="n">
        <v>13</v>
      </c>
      <c r="Z2849" s="0" t="inlineStr">
        <is>
          <t>https://new.land.naver.com/complexes/126519?tab=detail&amp;rf=Y</t>
        </is>
      </c>
      <c r="AA2849" s="0" t="inlineStr">
        <is>
          <t>서울시 강동구 천호동 452-9</t>
        </is>
      </c>
      <c r="AB2849" s="0" t="inlineStr">
        <is>
          <t>서울시</t>
        </is>
      </c>
      <c r="AC2849" s="0" t="inlineStr">
        <is>
          <t>강동구</t>
        </is>
      </c>
      <c r="AD2849" s="0" t="inlineStr">
        <is>
          <t>천호동</t>
        </is>
      </c>
      <c r="AG2849" s="0" t="inlineStr">
        <is>
          <t>서울시 강동구 천호대로161길 15-11</t>
        </is>
      </c>
      <c r="AH2849" s="0" t="n">
        <v>0</v>
      </c>
      <c r="AI2849" s="0" t="n">
        <v>496</v>
      </c>
      <c r="AJ2849" s="0" t="n">
        <v>59</v>
      </c>
      <c r="AK2849" s="0" t="n">
        <v>11</v>
      </c>
      <c r="AL2849" s="0" t="n">
        <v>0.55</v>
      </c>
    </row>
    <row r="2850">
      <c r="A2850" s="0" t="inlineStr">
        <is>
          <t>[천호동]</t>
        </is>
      </c>
      <c r="B2850" s="0" t="n">
        <v>126519</v>
      </c>
      <c r="C2850" s="0" t="n">
        <v>4</v>
      </c>
      <c r="D2850" s="0" t="inlineStr">
        <is>
          <t>마루지움에비뉴(도시형)</t>
        </is>
      </c>
      <c r="E2850" s="0" t="inlineStr">
        <is>
          <t>2019.04.</t>
        </is>
      </c>
      <c r="F2850" s="0" t="n">
        <v>20</v>
      </c>
      <c r="G2850" s="0" t="n">
        <v>12.08</v>
      </c>
      <c r="H2850" s="0" t="n">
        <v>39.96</v>
      </c>
      <c r="I2850" s="0" t="n">
        <v>7.97</v>
      </c>
      <c r="J2850" s="0" t="n">
        <v>26.37</v>
      </c>
      <c r="K2850" s="0" t="n">
        <v>4</v>
      </c>
      <c r="T2850" s="0" t="n">
        <v>1</v>
      </c>
      <c r="U2850" s="0" t="n">
        <v>1</v>
      </c>
      <c r="V2850" s="0" t="inlineStr">
        <is>
          <t>복도식</t>
        </is>
      </c>
      <c r="W2850" s="0" t="n">
        <v>39</v>
      </c>
      <c r="X2850" s="0" t="n">
        <v>13</v>
      </c>
      <c r="Y2850" s="0" t="n">
        <v>13</v>
      </c>
      <c r="Z2850" s="0" t="inlineStr">
        <is>
          <t>https://new.land.naver.com/complexes/126519?tab=detail&amp;rf=Y</t>
        </is>
      </c>
      <c r="AA2850" s="0" t="inlineStr">
        <is>
          <t>서울시 강동구 천호동 452-9</t>
        </is>
      </c>
      <c r="AB2850" s="0" t="inlineStr">
        <is>
          <t>서울시</t>
        </is>
      </c>
      <c r="AC2850" s="0" t="inlineStr">
        <is>
          <t>강동구</t>
        </is>
      </c>
      <c r="AD2850" s="0" t="inlineStr">
        <is>
          <t>천호동</t>
        </is>
      </c>
      <c r="AG2850" s="0" t="inlineStr">
        <is>
          <t>서울시 강동구 천호대로161길 15-11</t>
        </is>
      </c>
      <c r="AH2850" s="0" t="n">
        <v>0</v>
      </c>
      <c r="AI2850" s="0" t="n">
        <v>496</v>
      </c>
      <c r="AJ2850" s="0" t="n">
        <v>59</v>
      </c>
      <c r="AK2850" s="0" t="n">
        <v>11</v>
      </c>
      <c r="AL2850" s="0" t="n">
        <v>0.55</v>
      </c>
    </row>
    <row r="2851">
      <c r="A2851" s="0" t="inlineStr">
        <is>
          <t>[천호동]</t>
        </is>
      </c>
      <c r="B2851" s="0" t="n">
        <v>23249</v>
      </c>
      <c r="C2851" s="0" t="n">
        <v>1</v>
      </c>
      <c r="D2851" s="0" t="inlineStr">
        <is>
          <t>용명브릿지</t>
        </is>
      </c>
      <c r="E2851" s="0" t="inlineStr">
        <is>
          <t>2005.07.</t>
        </is>
      </c>
      <c r="F2851" s="0" t="n">
        <v>44</v>
      </c>
      <c r="G2851" s="0" t="n">
        <v>25.11</v>
      </c>
      <c r="H2851" s="0" t="n">
        <v>83.02</v>
      </c>
      <c r="I2851" s="0" t="n">
        <v>18.72</v>
      </c>
      <c r="J2851" s="0" t="n">
        <v>61.89</v>
      </c>
      <c r="K2851" s="0" t="n">
        <v>1</v>
      </c>
      <c r="T2851" s="0" t="n">
        <v>3</v>
      </c>
      <c r="U2851" s="0" t="n">
        <v>2</v>
      </c>
      <c r="V2851" s="0" t="inlineStr">
        <is>
          <t>복도식</t>
        </is>
      </c>
      <c r="W2851" s="0" t="n">
        <v>83</v>
      </c>
      <c r="X2851" s="0" t="n">
        <v>10</v>
      </c>
      <c r="Y2851" s="0" t="n">
        <v>5</v>
      </c>
      <c r="Z2851" s="0" t="inlineStr">
        <is>
          <t>https://new.land.naver.com/complexes/23249?tab=detail&amp;rf=Y</t>
        </is>
      </c>
      <c r="AA2851" s="0" t="inlineStr">
        <is>
          <t>서울시 강동구 천호동 28</t>
        </is>
      </c>
      <c r="AB2851" s="0" t="inlineStr">
        <is>
          <t>서울시</t>
        </is>
      </c>
      <c r="AC2851" s="0" t="inlineStr">
        <is>
          <t>강동구</t>
        </is>
      </c>
      <c r="AD2851" s="0" t="inlineStr">
        <is>
          <t>천호동</t>
        </is>
      </c>
      <c r="AG2851" s="0" t="inlineStr">
        <is>
          <t>서울시 강동구 양재대로133길 51</t>
        </is>
      </c>
      <c r="AH2851" s="0" t="n">
        <v>0</v>
      </c>
      <c r="AI2851" s="0" t="n">
        <v>235</v>
      </c>
      <c r="AJ2851" s="0" t="n">
        <v>47</v>
      </c>
      <c r="AK2851" s="0" t="n">
        <v>46</v>
      </c>
      <c r="AL2851" s="0" t="n">
        <v>1.05</v>
      </c>
    </row>
    <row r="2852">
      <c r="A2852" s="0" t="inlineStr">
        <is>
          <t>[천호동]</t>
        </is>
      </c>
      <c r="B2852" s="0" t="n">
        <v>23249</v>
      </c>
      <c r="C2852" s="0" t="n">
        <v>2</v>
      </c>
      <c r="D2852" s="0" t="inlineStr">
        <is>
          <t>용명브릿지</t>
        </is>
      </c>
      <c r="E2852" s="0" t="inlineStr">
        <is>
          <t>2005.07.</t>
        </is>
      </c>
      <c r="F2852" s="0" t="n">
        <v>44</v>
      </c>
      <c r="G2852" s="0" t="n">
        <v>27.44</v>
      </c>
      <c r="H2852" s="0" t="n">
        <v>90.72</v>
      </c>
      <c r="I2852" s="0" t="n">
        <v>20.65</v>
      </c>
      <c r="J2852" s="0" t="n">
        <v>68.27</v>
      </c>
      <c r="K2852" s="0" t="n">
        <v>12</v>
      </c>
      <c r="T2852" s="0" t="n">
        <v>3</v>
      </c>
      <c r="U2852" s="0" t="n">
        <v>2</v>
      </c>
      <c r="V2852" s="0" t="inlineStr">
        <is>
          <t>계단식</t>
        </is>
      </c>
      <c r="W2852" s="0" t="n">
        <v>90</v>
      </c>
      <c r="X2852" s="0" t="n">
        <v>10</v>
      </c>
      <c r="Y2852" s="0" t="n">
        <v>5</v>
      </c>
      <c r="Z2852" s="0" t="inlineStr">
        <is>
          <t>https://new.land.naver.com/complexes/23249?tab=detail&amp;rf=Y</t>
        </is>
      </c>
      <c r="AA2852" s="0" t="inlineStr">
        <is>
          <t>서울시 강동구 천호동 28</t>
        </is>
      </c>
      <c r="AB2852" s="0" t="inlineStr">
        <is>
          <t>서울시</t>
        </is>
      </c>
      <c r="AC2852" s="0" t="inlineStr">
        <is>
          <t>강동구</t>
        </is>
      </c>
      <c r="AD2852" s="0" t="inlineStr">
        <is>
          <t>천호동</t>
        </is>
      </c>
      <c r="AG2852" s="0" t="inlineStr">
        <is>
          <t>서울시 강동구 양재대로133길 51</t>
        </is>
      </c>
      <c r="AH2852" s="0" t="n">
        <v>0</v>
      </c>
      <c r="AI2852" s="0" t="n">
        <v>235</v>
      </c>
      <c r="AJ2852" s="0" t="n">
        <v>47</v>
      </c>
      <c r="AK2852" s="0" t="n">
        <v>46</v>
      </c>
      <c r="AL2852" s="0" t="n">
        <v>1.05</v>
      </c>
    </row>
    <row r="2853">
      <c r="A2853" s="0" t="inlineStr">
        <is>
          <t>[천호동]</t>
        </is>
      </c>
      <c r="B2853" s="0" t="n">
        <v>23249</v>
      </c>
      <c r="C2853" s="0" t="n">
        <v>3</v>
      </c>
      <c r="D2853" s="0" t="inlineStr">
        <is>
          <t>용명브릿지</t>
        </is>
      </c>
      <c r="E2853" s="0" t="inlineStr">
        <is>
          <t>2005.07.</t>
        </is>
      </c>
      <c r="F2853" s="0" t="n">
        <v>44</v>
      </c>
      <c r="G2853" s="0" t="n">
        <v>30.82</v>
      </c>
      <c r="H2853" s="0" t="n">
        <v>101.9</v>
      </c>
      <c r="I2853" s="0" t="n">
        <v>23.08</v>
      </c>
      <c r="J2853" s="0" t="n">
        <v>76.31</v>
      </c>
      <c r="K2853" s="0" t="n">
        <v>13</v>
      </c>
      <c r="T2853" s="0" t="n">
        <v>3</v>
      </c>
      <c r="U2853" s="0" t="n">
        <v>2</v>
      </c>
      <c r="V2853" s="0" t="inlineStr">
        <is>
          <t>계단식</t>
        </is>
      </c>
      <c r="W2853" s="0" t="n">
        <v>101</v>
      </c>
      <c r="X2853" s="0" t="n">
        <v>10</v>
      </c>
      <c r="Y2853" s="0" t="n">
        <v>5</v>
      </c>
      <c r="Z2853" s="0" t="inlineStr">
        <is>
          <t>https://new.land.naver.com/complexes/23249?tab=detail&amp;rf=Y</t>
        </is>
      </c>
      <c r="AA2853" s="0" t="inlineStr">
        <is>
          <t>서울시 강동구 천호동 28</t>
        </is>
      </c>
      <c r="AB2853" s="0" t="inlineStr">
        <is>
          <t>서울시</t>
        </is>
      </c>
      <c r="AC2853" s="0" t="inlineStr">
        <is>
          <t>강동구</t>
        </is>
      </c>
      <c r="AD2853" s="0" t="inlineStr">
        <is>
          <t>천호동</t>
        </is>
      </c>
      <c r="AG2853" s="0" t="inlineStr">
        <is>
          <t>서울시 강동구 양재대로133길 51</t>
        </is>
      </c>
      <c r="AH2853" s="0" t="n">
        <v>0</v>
      </c>
      <c r="AI2853" s="0" t="n">
        <v>235</v>
      </c>
      <c r="AJ2853" s="0" t="n">
        <v>47</v>
      </c>
      <c r="AK2853" s="0" t="n">
        <v>46</v>
      </c>
      <c r="AL2853" s="0" t="n">
        <v>1.05</v>
      </c>
    </row>
    <row r="2854">
      <c r="A2854" s="0" t="inlineStr">
        <is>
          <t>[천호동]</t>
        </is>
      </c>
      <c r="B2854" s="0" t="n">
        <v>23249</v>
      </c>
      <c r="C2854" s="0" t="n">
        <v>4</v>
      </c>
      <c r="D2854" s="0" t="inlineStr">
        <is>
          <t>용명브릿지</t>
        </is>
      </c>
      <c r="E2854" s="0" t="inlineStr">
        <is>
          <t>2005.07.</t>
        </is>
      </c>
      <c r="F2854" s="0" t="n">
        <v>44</v>
      </c>
      <c r="G2854" s="0" t="n">
        <v>32.27</v>
      </c>
      <c r="H2854" s="0" t="n">
        <v>106.69</v>
      </c>
      <c r="I2854" s="0" t="n">
        <v>24.2</v>
      </c>
      <c r="J2854" s="0" t="n">
        <v>80</v>
      </c>
      <c r="K2854" s="0" t="n">
        <v>4</v>
      </c>
      <c r="T2854" s="0" t="n">
        <v>3</v>
      </c>
      <c r="U2854" s="0" t="n">
        <v>2</v>
      </c>
      <c r="V2854" s="0" t="inlineStr">
        <is>
          <t>복도식</t>
        </is>
      </c>
      <c r="W2854" s="0" t="n">
        <v>106</v>
      </c>
      <c r="X2854" s="0" t="n">
        <v>10</v>
      </c>
      <c r="Y2854" s="0" t="n">
        <v>5</v>
      </c>
      <c r="Z2854" s="0" t="inlineStr">
        <is>
          <t>https://new.land.naver.com/complexes/23249?tab=detail&amp;rf=Y</t>
        </is>
      </c>
      <c r="AA2854" s="0" t="inlineStr">
        <is>
          <t>서울시 강동구 천호동 28</t>
        </is>
      </c>
      <c r="AB2854" s="0" t="inlineStr">
        <is>
          <t>서울시</t>
        </is>
      </c>
      <c r="AC2854" s="0" t="inlineStr">
        <is>
          <t>강동구</t>
        </is>
      </c>
      <c r="AD2854" s="0" t="inlineStr">
        <is>
          <t>천호동</t>
        </is>
      </c>
      <c r="AG2854" s="0" t="inlineStr">
        <is>
          <t>서울시 강동구 양재대로133길 51</t>
        </is>
      </c>
      <c r="AH2854" s="0" t="n">
        <v>0</v>
      </c>
      <c r="AI2854" s="0" t="n">
        <v>235</v>
      </c>
      <c r="AJ2854" s="0" t="n">
        <v>47</v>
      </c>
      <c r="AK2854" s="0" t="n">
        <v>46</v>
      </c>
      <c r="AL2854" s="0" t="n">
        <v>1.05</v>
      </c>
    </row>
    <row r="2855">
      <c r="A2855" s="0" t="inlineStr">
        <is>
          <t>[천호동]</t>
        </is>
      </c>
      <c r="B2855" s="0" t="n">
        <v>23249</v>
      </c>
      <c r="C2855" s="0" t="n">
        <v>5</v>
      </c>
      <c r="D2855" s="0" t="inlineStr">
        <is>
          <t>용명브릿지</t>
        </is>
      </c>
      <c r="E2855" s="0" t="inlineStr">
        <is>
          <t>2005.07.</t>
        </is>
      </c>
      <c r="F2855" s="0" t="n">
        <v>44</v>
      </c>
      <c r="G2855" s="0" t="n">
        <v>33.61</v>
      </c>
      <c r="H2855" s="0" t="n">
        <v>111.11</v>
      </c>
      <c r="I2855" s="0" t="n">
        <v>24.85</v>
      </c>
      <c r="J2855" s="0" t="n">
        <v>82.18000000000001</v>
      </c>
      <c r="K2855" s="0" t="n">
        <v>5</v>
      </c>
      <c r="T2855" s="0" t="n">
        <v>3</v>
      </c>
      <c r="U2855" s="0" t="n">
        <v>2</v>
      </c>
      <c r="V2855" s="0" t="inlineStr">
        <is>
          <t>복도식</t>
        </is>
      </c>
      <c r="W2855" s="0" t="n">
        <v>111</v>
      </c>
      <c r="X2855" s="0" t="n">
        <v>10</v>
      </c>
      <c r="Y2855" s="0" t="n">
        <v>5</v>
      </c>
      <c r="Z2855" s="0" t="inlineStr">
        <is>
          <t>https://new.land.naver.com/complexes/23249?tab=detail&amp;rf=Y</t>
        </is>
      </c>
      <c r="AA2855" s="0" t="inlineStr">
        <is>
          <t>서울시 강동구 천호동 28</t>
        </is>
      </c>
      <c r="AB2855" s="0" t="inlineStr">
        <is>
          <t>서울시</t>
        </is>
      </c>
      <c r="AC2855" s="0" t="inlineStr">
        <is>
          <t>강동구</t>
        </is>
      </c>
      <c r="AD2855" s="0" t="inlineStr">
        <is>
          <t>천호동</t>
        </is>
      </c>
      <c r="AG2855" s="0" t="inlineStr">
        <is>
          <t>서울시 강동구 양재대로133길 51</t>
        </is>
      </c>
      <c r="AH2855" s="0" t="n">
        <v>0</v>
      </c>
      <c r="AI2855" s="0" t="n">
        <v>235</v>
      </c>
      <c r="AJ2855" s="0" t="n">
        <v>47</v>
      </c>
      <c r="AK2855" s="0" t="n">
        <v>46</v>
      </c>
      <c r="AL2855" s="0" t="n">
        <v>1.05</v>
      </c>
    </row>
    <row r="2856">
      <c r="A2856" s="0" t="inlineStr">
        <is>
          <t>[천호동]</t>
        </is>
      </c>
      <c r="B2856" s="0" t="n">
        <v>23249</v>
      </c>
      <c r="C2856" s="0" t="n">
        <v>6</v>
      </c>
      <c r="D2856" s="0" t="inlineStr">
        <is>
          <t>용명브릿지</t>
        </is>
      </c>
      <c r="E2856" s="0" t="inlineStr">
        <is>
          <t>2005.07.</t>
        </is>
      </c>
      <c r="F2856" s="0" t="n">
        <v>44</v>
      </c>
      <c r="G2856" s="0" t="n">
        <v>36.7</v>
      </c>
      <c r="H2856" s="0" t="n">
        <v>121.34</v>
      </c>
      <c r="I2856" s="0" t="n">
        <v>27.22</v>
      </c>
      <c r="J2856" s="0" t="n">
        <v>90.01000000000001</v>
      </c>
      <c r="K2856" s="0" t="n">
        <v>6</v>
      </c>
      <c r="T2856" s="0" t="n">
        <v>3</v>
      </c>
      <c r="U2856" s="0" t="n">
        <v>2</v>
      </c>
      <c r="V2856" s="0" t="inlineStr">
        <is>
          <t>계단식</t>
        </is>
      </c>
      <c r="W2856" s="0" t="n">
        <v>121</v>
      </c>
      <c r="X2856" s="0" t="n">
        <v>10</v>
      </c>
      <c r="Y2856" s="0" t="n">
        <v>5</v>
      </c>
      <c r="Z2856" s="0" t="inlineStr">
        <is>
          <t>https://new.land.naver.com/complexes/23249?tab=detail&amp;rf=Y</t>
        </is>
      </c>
      <c r="AA2856" s="0" t="inlineStr">
        <is>
          <t>서울시 강동구 천호동 28</t>
        </is>
      </c>
      <c r="AB2856" s="0" t="inlineStr">
        <is>
          <t>서울시</t>
        </is>
      </c>
      <c r="AC2856" s="0" t="inlineStr">
        <is>
          <t>강동구</t>
        </is>
      </c>
      <c r="AD2856" s="0" t="inlineStr">
        <is>
          <t>천호동</t>
        </is>
      </c>
      <c r="AG2856" s="0" t="inlineStr">
        <is>
          <t>서울시 강동구 양재대로133길 51</t>
        </is>
      </c>
      <c r="AH2856" s="0" t="n">
        <v>0</v>
      </c>
      <c r="AI2856" s="0" t="n">
        <v>235</v>
      </c>
      <c r="AJ2856" s="0" t="n">
        <v>47</v>
      </c>
      <c r="AK2856" s="0" t="n">
        <v>46</v>
      </c>
      <c r="AL2856" s="0" t="n">
        <v>1.05</v>
      </c>
    </row>
    <row r="2857">
      <c r="A2857" s="0" t="inlineStr">
        <is>
          <t>[천호동]</t>
        </is>
      </c>
      <c r="B2857" s="0" t="n">
        <v>23249</v>
      </c>
      <c r="C2857" s="0" t="n">
        <v>7</v>
      </c>
      <c r="D2857" s="0" t="inlineStr">
        <is>
          <t>용명브릿지</t>
        </is>
      </c>
      <c r="E2857" s="0" t="inlineStr">
        <is>
          <t>2005.07.</t>
        </is>
      </c>
      <c r="F2857" s="0" t="n">
        <v>44</v>
      </c>
      <c r="G2857" s="0" t="n">
        <v>41.04</v>
      </c>
      <c r="H2857" s="0" t="n">
        <v>135.69</v>
      </c>
      <c r="I2857" s="0" t="n">
        <v>30.4</v>
      </c>
      <c r="J2857" s="0" t="n">
        <v>100.51</v>
      </c>
      <c r="K2857" s="0" t="n">
        <v>3</v>
      </c>
      <c r="T2857" s="0" t="n">
        <v>3</v>
      </c>
      <c r="U2857" s="0" t="n">
        <v>2</v>
      </c>
      <c r="V2857" s="0" t="inlineStr">
        <is>
          <t>계단식</t>
        </is>
      </c>
      <c r="W2857" s="0" t="n">
        <v>135</v>
      </c>
      <c r="X2857" s="0" t="n">
        <v>10</v>
      </c>
      <c r="Y2857" s="0" t="n">
        <v>5</v>
      </c>
      <c r="Z2857" s="0" t="inlineStr">
        <is>
          <t>https://new.land.naver.com/complexes/23249?tab=detail&amp;rf=Y</t>
        </is>
      </c>
      <c r="AA2857" s="0" t="inlineStr">
        <is>
          <t>서울시 강동구 천호동 28</t>
        </is>
      </c>
      <c r="AB2857" s="0" t="inlineStr">
        <is>
          <t>서울시</t>
        </is>
      </c>
      <c r="AC2857" s="0" t="inlineStr">
        <is>
          <t>강동구</t>
        </is>
      </c>
      <c r="AD2857" s="0" t="inlineStr">
        <is>
          <t>천호동</t>
        </is>
      </c>
      <c r="AG2857" s="0" t="inlineStr">
        <is>
          <t>서울시 강동구 양재대로133길 51</t>
        </is>
      </c>
      <c r="AH2857" s="0" t="n">
        <v>0</v>
      </c>
      <c r="AI2857" s="0" t="n">
        <v>235</v>
      </c>
      <c r="AJ2857" s="0" t="n">
        <v>47</v>
      </c>
      <c r="AK2857" s="0" t="n">
        <v>46</v>
      </c>
      <c r="AL2857" s="0" t="n">
        <v>1.05</v>
      </c>
    </row>
    <row r="2858">
      <c r="A2858" s="0" t="inlineStr">
        <is>
          <t>[천호동]</t>
        </is>
      </c>
      <c r="B2858" s="0" t="n">
        <v>13228</v>
      </c>
      <c r="C2858" s="0" t="n">
        <v>1</v>
      </c>
      <c r="D2858" s="0" t="inlineStr">
        <is>
          <t>태천(35-12)</t>
        </is>
      </c>
      <c r="E2858" s="0" t="inlineStr">
        <is>
          <t>2003.09.</t>
        </is>
      </c>
      <c r="F2858" s="0" t="n">
        <v>19</v>
      </c>
      <c r="G2858" s="0" t="n">
        <v>31.04</v>
      </c>
      <c r="H2858" s="0" t="n">
        <v>102.62</v>
      </c>
      <c r="I2858" s="0" t="n">
        <v>25.63</v>
      </c>
      <c r="J2858" s="0" t="n">
        <v>84.75</v>
      </c>
      <c r="K2858" s="0" t="n">
        <v>13</v>
      </c>
      <c r="T2858" s="0" t="n">
        <v>3</v>
      </c>
      <c r="U2858" s="0" t="n">
        <v>2</v>
      </c>
      <c r="V2858" s="0" t="inlineStr">
        <is>
          <t>계단식</t>
        </is>
      </c>
      <c r="W2858" s="0" t="inlineStr">
        <is>
          <t>102A</t>
        </is>
      </c>
      <c r="X2858" s="0" t="n">
        <v>7</v>
      </c>
      <c r="Y2858" s="0" t="n">
        <v>7</v>
      </c>
      <c r="Z2858" s="0" t="inlineStr">
        <is>
          <t>https://new.land.naver.com/complexes/13228?tab=detail&amp;rf=Y</t>
        </is>
      </c>
      <c r="AA2858" s="0" t="inlineStr">
        <is>
          <t>서울시 강동구 천호동 35-12</t>
        </is>
      </c>
      <c r="AB2858" s="0" t="inlineStr">
        <is>
          <t>서울시</t>
        </is>
      </c>
      <c r="AC2858" s="0" t="inlineStr">
        <is>
          <t>강동구</t>
        </is>
      </c>
      <c r="AD2858" s="0" t="inlineStr">
        <is>
          <t>천호동</t>
        </is>
      </c>
      <c r="AG2858" s="0" t="inlineStr">
        <is>
          <t>서울시 강동구 양재대로131길 45</t>
        </is>
      </c>
      <c r="AH2858" s="0" t="n">
        <v>0</v>
      </c>
      <c r="AI2858" s="0" t="n">
        <v>205</v>
      </c>
      <c r="AJ2858" s="0" t="n">
        <v>35</v>
      </c>
      <c r="AK2858" s="0" t="n">
        <v>23</v>
      </c>
      <c r="AL2858" s="0" t="n">
        <v>1.21</v>
      </c>
    </row>
    <row r="2859">
      <c r="A2859" s="0" t="inlineStr">
        <is>
          <t>[천호동]</t>
        </is>
      </c>
      <c r="B2859" s="0" t="n">
        <v>13228</v>
      </c>
      <c r="C2859" s="0" t="n">
        <v>2</v>
      </c>
      <c r="D2859" s="0" t="inlineStr">
        <is>
          <t>태천(35-12)</t>
        </is>
      </c>
      <c r="E2859" s="0" t="inlineStr">
        <is>
          <t>2003.09.</t>
        </is>
      </c>
      <c r="F2859" s="0" t="n">
        <v>19</v>
      </c>
      <c r="G2859" s="0" t="n">
        <v>31.06</v>
      </c>
      <c r="H2859" s="0" t="n">
        <v>102.69</v>
      </c>
      <c r="I2859" s="0" t="n">
        <v>25.65</v>
      </c>
      <c r="J2859" s="0" t="n">
        <v>84.81</v>
      </c>
      <c r="K2859" s="0" t="n">
        <v>6</v>
      </c>
      <c r="T2859" s="0" t="n">
        <v>3</v>
      </c>
      <c r="U2859" s="0" t="n">
        <v>2</v>
      </c>
      <c r="V2859" s="0" t="inlineStr">
        <is>
          <t>계단식</t>
        </is>
      </c>
      <c r="W2859" s="0" t="inlineStr">
        <is>
          <t>102B</t>
        </is>
      </c>
      <c r="X2859" s="0" t="n">
        <v>7</v>
      </c>
      <c r="Y2859" s="0" t="n">
        <v>7</v>
      </c>
      <c r="Z2859" s="0" t="inlineStr">
        <is>
          <t>https://new.land.naver.com/complexes/13228?tab=detail&amp;rf=Y</t>
        </is>
      </c>
      <c r="AA2859" s="0" t="inlineStr">
        <is>
          <t>서울시 강동구 천호동 35-12</t>
        </is>
      </c>
      <c r="AB2859" s="0" t="inlineStr">
        <is>
          <t>서울시</t>
        </is>
      </c>
      <c r="AC2859" s="0" t="inlineStr">
        <is>
          <t>강동구</t>
        </is>
      </c>
      <c r="AD2859" s="0" t="inlineStr">
        <is>
          <t>천호동</t>
        </is>
      </c>
      <c r="AG2859" s="0" t="inlineStr">
        <is>
          <t>서울시 강동구 양재대로131길 45</t>
        </is>
      </c>
      <c r="AH2859" s="0" t="n">
        <v>0</v>
      </c>
      <c r="AI2859" s="0" t="n">
        <v>205</v>
      </c>
      <c r="AJ2859" s="0" t="n">
        <v>35</v>
      </c>
      <c r="AK2859" s="0" t="n">
        <v>23</v>
      </c>
      <c r="AL2859" s="0" t="n">
        <v>1.21</v>
      </c>
    </row>
    <row r="2860">
      <c r="A2860" s="0" t="inlineStr">
        <is>
          <t>[천호동]</t>
        </is>
      </c>
      <c r="B2860" s="0" t="n">
        <v>118263</v>
      </c>
      <c r="C2860" s="0" t="n">
        <v>1</v>
      </c>
      <c r="D2860" s="0" t="inlineStr">
        <is>
          <t>다성이즈빌(167-2,도시형)</t>
        </is>
      </c>
      <c r="E2860" s="0" t="inlineStr">
        <is>
          <t>2016.08.</t>
        </is>
      </c>
      <c r="F2860" s="0" t="n">
        <v>20</v>
      </c>
      <c r="G2860" s="0" t="n">
        <v>5.75</v>
      </c>
      <c r="H2860" s="0" t="n">
        <v>19.02</v>
      </c>
      <c r="I2860" s="0" t="n">
        <v>4.55</v>
      </c>
      <c r="J2860" s="0" t="n">
        <v>15.07</v>
      </c>
      <c r="K2860" s="0" t="n">
        <v>4</v>
      </c>
      <c r="T2860" s="0" t="n">
        <v>1</v>
      </c>
      <c r="U2860" s="0" t="n">
        <v>1</v>
      </c>
      <c r="V2860" s="0" t="inlineStr">
        <is>
          <t>복도식</t>
        </is>
      </c>
      <c r="W2860" s="0" t="n">
        <v>19</v>
      </c>
      <c r="X2860" s="0" t="n">
        <v>10</v>
      </c>
      <c r="Y2860" s="0" t="n">
        <v>10</v>
      </c>
      <c r="Z2860" s="0" t="inlineStr">
        <is>
          <t>https://new.land.naver.com/complexes/118263?tab=detail&amp;rf=Y</t>
        </is>
      </c>
      <c r="AA2860" s="0" t="inlineStr">
        <is>
          <t>서울시 강동구 천호동 167-2</t>
        </is>
      </c>
      <c r="AB2860" s="0" t="inlineStr">
        <is>
          <t>서울시</t>
        </is>
      </c>
      <c r="AC2860" s="0" t="inlineStr">
        <is>
          <t>강동구</t>
        </is>
      </c>
      <c r="AD2860" s="0" t="inlineStr">
        <is>
          <t>천호동</t>
        </is>
      </c>
      <c r="AG2860" s="0" t="inlineStr">
        <is>
          <t>서울시 강동구 성안로25길 54</t>
        </is>
      </c>
      <c r="AH2860" s="0" t="n">
        <v>0</v>
      </c>
      <c r="AI2860" s="0" t="n">
        <v>399</v>
      </c>
      <c r="AJ2860" s="0" t="n">
        <v>30</v>
      </c>
      <c r="AK2860" s="0" t="n">
        <v>20</v>
      </c>
      <c r="AL2860" s="0" t="n">
        <v>1</v>
      </c>
    </row>
    <row r="2861">
      <c r="A2861" s="0" t="inlineStr">
        <is>
          <t>[천호동]</t>
        </is>
      </c>
      <c r="B2861" s="0" t="n">
        <v>118263</v>
      </c>
      <c r="C2861" s="0" t="n">
        <v>2</v>
      </c>
      <c r="D2861" s="0" t="inlineStr">
        <is>
          <t>다성이즈빌(167-2,도시형)</t>
        </is>
      </c>
      <c r="E2861" s="0" t="inlineStr">
        <is>
          <t>2016.08.</t>
        </is>
      </c>
      <c r="F2861" s="0" t="n">
        <v>20</v>
      </c>
      <c r="G2861" s="0" t="n">
        <v>6.62</v>
      </c>
      <c r="H2861" s="0" t="n">
        <v>21.9</v>
      </c>
      <c r="I2861" s="0" t="n">
        <v>5.24</v>
      </c>
      <c r="J2861" s="0" t="n">
        <v>17.34</v>
      </c>
      <c r="K2861" s="0" t="n">
        <v>4</v>
      </c>
      <c r="T2861" s="0" t="n">
        <v>1</v>
      </c>
      <c r="U2861" s="0" t="n">
        <v>1</v>
      </c>
      <c r="V2861" s="0" t="inlineStr">
        <is>
          <t>복도식</t>
        </is>
      </c>
      <c r="W2861" s="0" t="n">
        <v>21</v>
      </c>
      <c r="X2861" s="0" t="n">
        <v>10</v>
      </c>
      <c r="Y2861" s="0" t="n">
        <v>10</v>
      </c>
      <c r="Z2861" s="0" t="inlineStr">
        <is>
          <t>https://new.land.naver.com/complexes/118263?tab=detail&amp;rf=Y</t>
        </is>
      </c>
      <c r="AA2861" s="0" t="inlineStr">
        <is>
          <t>서울시 강동구 천호동 167-2</t>
        </is>
      </c>
      <c r="AB2861" s="0" t="inlineStr">
        <is>
          <t>서울시</t>
        </is>
      </c>
      <c r="AC2861" s="0" t="inlineStr">
        <is>
          <t>강동구</t>
        </is>
      </c>
      <c r="AD2861" s="0" t="inlineStr">
        <is>
          <t>천호동</t>
        </is>
      </c>
      <c r="AG2861" s="0" t="inlineStr">
        <is>
          <t>서울시 강동구 성안로25길 54</t>
        </is>
      </c>
      <c r="AH2861" s="0" t="n">
        <v>0</v>
      </c>
      <c r="AI2861" s="0" t="n">
        <v>399</v>
      </c>
      <c r="AJ2861" s="0" t="n">
        <v>30</v>
      </c>
      <c r="AK2861" s="0" t="n">
        <v>20</v>
      </c>
      <c r="AL2861" s="0" t="n">
        <v>1</v>
      </c>
    </row>
    <row r="2862">
      <c r="A2862" s="0" t="inlineStr">
        <is>
          <t>[천호동]</t>
        </is>
      </c>
      <c r="B2862" s="0" t="n">
        <v>118263</v>
      </c>
      <c r="C2862" s="0" t="n">
        <v>3</v>
      </c>
      <c r="D2862" s="0" t="inlineStr">
        <is>
          <t>다성이즈빌(167-2,도시형)</t>
        </is>
      </c>
      <c r="E2862" s="0" t="inlineStr">
        <is>
          <t>2016.08.</t>
        </is>
      </c>
      <c r="F2862" s="0" t="n">
        <v>20</v>
      </c>
      <c r="G2862" s="0" t="n">
        <v>7.87</v>
      </c>
      <c r="H2862" s="0" t="n">
        <v>26.03</v>
      </c>
      <c r="I2862" s="0" t="n">
        <v>6.23</v>
      </c>
      <c r="J2862" s="0" t="n">
        <v>20.62</v>
      </c>
      <c r="K2862" s="0" t="n">
        <v>4</v>
      </c>
      <c r="T2862" s="0" t="n">
        <v>1</v>
      </c>
      <c r="U2862" s="0" t="n">
        <v>1</v>
      </c>
      <c r="V2862" s="0" t="inlineStr">
        <is>
          <t>복도식</t>
        </is>
      </c>
      <c r="W2862" s="0" t="n">
        <v>26</v>
      </c>
      <c r="X2862" s="0" t="n">
        <v>10</v>
      </c>
      <c r="Y2862" s="0" t="n">
        <v>10</v>
      </c>
      <c r="Z2862" s="0" t="inlineStr">
        <is>
          <t>https://new.land.naver.com/complexes/118263?tab=detail&amp;rf=Y</t>
        </is>
      </c>
      <c r="AA2862" s="0" t="inlineStr">
        <is>
          <t>서울시 강동구 천호동 167-2</t>
        </is>
      </c>
      <c r="AB2862" s="0" t="inlineStr">
        <is>
          <t>서울시</t>
        </is>
      </c>
      <c r="AC2862" s="0" t="inlineStr">
        <is>
          <t>강동구</t>
        </is>
      </c>
      <c r="AD2862" s="0" t="inlineStr">
        <is>
          <t>천호동</t>
        </is>
      </c>
      <c r="AG2862" s="0" t="inlineStr">
        <is>
          <t>서울시 강동구 성안로25길 54</t>
        </is>
      </c>
      <c r="AH2862" s="0" t="n">
        <v>0</v>
      </c>
      <c r="AI2862" s="0" t="n">
        <v>399</v>
      </c>
      <c r="AJ2862" s="0" t="n">
        <v>30</v>
      </c>
      <c r="AK2862" s="0" t="n">
        <v>20</v>
      </c>
      <c r="AL2862" s="0" t="n">
        <v>1</v>
      </c>
    </row>
    <row r="2863">
      <c r="A2863" s="0" t="inlineStr">
        <is>
          <t>[천호동]</t>
        </is>
      </c>
      <c r="B2863" s="0" t="n">
        <v>118263</v>
      </c>
      <c r="C2863" s="0" t="n">
        <v>4</v>
      </c>
      <c r="D2863" s="0" t="inlineStr">
        <is>
          <t>다성이즈빌(167-2,도시형)</t>
        </is>
      </c>
      <c r="E2863" s="0" t="inlineStr">
        <is>
          <t>2016.08.</t>
        </is>
      </c>
      <c r="F2863" s="0" t="n">
        <v>20</v>
      </c>
      <c r="G2863" s="0" t="n">
        <v>9.1</v>
      </c>
      <c r="H2863" s="0" t="n">
        <v>30.1</v>
      </c>
      <c r="I2863" s="0" t="n">
        <v>7.21</v>
      </c>
      <c r="J2863" s="0" t="n">
        <v>23.85</v>
      </c>
      <c r="K2863" s="0" t="n">
        <v>4</v>
      </c>
      <c r="T2863" s="0" t="n">
        <v>1</v>
      </c>
      <c r="U2863" s="0" t="n">
        <v>1</v>
      </c>
      <c r="V2863" s="0" t="inlineStr">
        <is>
          <t>복도식</t>
        </is>
      </c>
      <c r="W2863" s="0" t="n">
        <v>30</v>
      </c>
      <c r="X2863" s="0" t="n">
        <v>10</v>
      </c>
      <c r="Y2863" s="0" t="n">
        <v>10</v>
      </c>
      <c r="Z2863" s="0" t="inlineStr">
        <is>
          <t>https://new.land.naver.com/complexes/118263?tab=detail&amp;rf=Y</t>
        </is>
      </c>
      <c r="AA2863" s="0" t="inlineStr">
        <is>
          <t>서울시 강동구 천호동 167-2</t>
        </is>
      </c>
      <c r="AB2863" s="0" t="inlineStr">
        <is>
          <t>서울시</t>
        </is>
      </c>
      <c r="AC2863" s="0" t="inlineStr">
        <is>
          <t>강동구</t>
        </is>
      </c>
      <c r="AD2863" s="0" t="inlineStr">
        <is>
          <t>천호동</t>
        </is>
      </c>
      <c r="AG2863" s="0" t="inlineStr">
        <is>
          <t>서울시 강동구 성안로25길 54</t>
        </is>
      </c>
      <c r="AH2863" s="0" t="n">
        <v>0</v>
      </c>
      <c r="AI2863" s="0" t="n">
        <v>399</v>
      </c>
      <c r="AJ2863" s="0" t="n">
        <v>30</v>
      </c>
      <c r="AK2863" s="0" t="n">
        <v>20</v>
      </c>
      <c r="AL2863" s="0" t="n">
        <v>1</v>
      </c>
    </row>
    <row r="2864">
      <c r="A2864" s="0" t="inlineStr">
        <is>
          <t>[천호동]</t>
        </is>
      </c>
      <c r="B2864" s="0" t="n">
        <v>118263</v>
      </c>
      <c r="C2864" s="0" t="n">
        <v>5</v>
      </c>
      <c r="D2864" s="0" t="inlineStr">
        <is>
          <t>다성이즈빌(167-2,도시형)</t>
        </is>
      </c>
      <c r="E2864" s="0" t="inlineStr">
        <is>
          <t>2016.08.</t>
        </is>
      </c>
      <c r="F2864" s="0" t="n">
        <v>20</v>
      </c>
      <c r="G2864" s="0" t="n">
        <v>11.41</v>
      </c>
      <c r="H2864" s="0" t="n">
        <v>37.75</v>
      </c>
      <c r="I2864" s="0" t="n">
        <v>9.039999999999999</v>
      </c>
      <c r="J2864" s="0" t="n">
        <v>29.9</v>
      </c>
      <c r="K2864" s="0" t="n">
        <v>3</v>
      </c>
      <c r="T2864" s="0" t="n">
        <v>1</v>
      </c>
      <c r="U2864" s="0" t="n">
        <v>1</v>
      </c>
      <c r="V2864" s="0" t="inlineStr">
        <is>
          <t>복도식</t>
        </is>
      </c>
      <c r="W2864" s="0" t="inlineStr">
        <is>
          <t>37B</t>
        </is>
      </c>
      <c r="X2864" s="0" t="n">
        <v>10</v>
      </c>
      <c r="Y2864" s="0" t="n">
        <v>10</v>
      </c>
      <c r="Z2864" s="0" t="inlineStr">
        <is>
          <t>https://new.land.naver.com/complexes/118263?tab=detail&amp;rf=Y</t>
        </is>
      </c>
      <c r="AA2864" s="0" t="inlineStr">
        <is>
          <t>서울시 강동구 천호동 167-2</t>
        </is>
      </c>
      <c r="AB2864" s="0" t="inlineStr">
        <is>
          <t>서울시</t>
        </is>
      </c>
      <c r="AC2864" s="0" t="inlineStr">
        <is>
          <t>강동구</t>
        </is>
      </c>
      <c r="AD2864" s="0" t="inlineStr">
        <is>
          <t>천호동</t>
        </is>
      </c>
      <c r="AG2864" s="0" t="inlineStr">
        <is>
          <t>서울시 강동구 성안로25길 54</t>
        </is>
      </c>
      <c r="AH2864" s="0" t="n">
        <v>0</v>
      </c>
      <c r="AI2864" s="0" t="n">
        <v>399</v>
      </c>
      <c r="AJ2864" s="0" t="n">
        <v>30</v>
      </c>
      <c r="AK2864" s="0" t="n">
        <v>20</v>
      </c>
      <c r="AL2864" s="0" t="n">
        <v>1</v>
      </c>
    </row>
    <row r="2865">
      <c r="A2865" s="0" t="inlineStr">
        <is>
          <t>[천호동]</t>
        </is>
      </c>
      <c r="B2865" s="0" t="n">
        <v>118263</v>
      </c>
      <c r="C2865" s="0" t="n">
        <v>6</v>
      </c>
      <c r="D2865" s="0" t="inlineStr">
        <is>
          <t>다성이즈빌(167-2,도시형)</t>
        </is>
      </c>
      <c r="E2865" s="0" t="inlineStr">
        <is>
          <t>2016.08.</t>
        </is>
      </c>
      <c r="F2865" s="0" t="n">
        <v>20</v>
      </c>
      <c r="G2865" s="0" t="n">
        <v>11.41</v>
      </c>
      <c r="H2865" s="0" t="n">
        <v>37.75</v>
      </c>
      <c r="I2865" s="0" t="n">
        <v>9.039999999999999</v>
      </c>
      <c r="J2865" s="0" t="n">
        <v>29.9</v>
      </c>
      <c r="K2865" s="0" t="n">
        <v>1</v>
      </c>
      <c r="T2865" s="0" t="n">
        <v>1</v>
      </c>
      <c r="U2865" s="0" t="n">
        <v>1</v>
      </c>
      <c r="V2865" s="0" t="inlineStr">
        <is>
          <t>복도식</t>
        </is>
      </c>
      <c r="W2865" s="0" t="inlineStr">
        <is>
          <t>37A</t>
        </is>
      </c>
      <c r="X2865" s="0" t="n">
        <v>10</v>
      </c>
      <c r="Y2865" s="0" t="n">
        <v>10</v>
      </c>
      <c r="Z2865" s="0" t="inlineStr">
        <is>
          <t>https://new.land.naver.com/complexes/118263?tab=detail&amp;rf=Y</t>
        </is>
      </c>
      <c r="AA2865" s="0" t="inlineStr">
        <is>
          <t>서울시 강동구 천호동 167-2</t>
        </is>
      </c>
      <c r="AB2865" s="0" t="inlineStr">
        <is>
          <t>서울시</t>
        </is>
      </c>
      <c r="AC2865" s="0" t="inlineStr">
        <is>
          <t>강동구</t>
        </is>
      </c>
      <c r="AD2865" s="0" t="inlineStr">
        <is>
          <t>천호동</t>
        </is>
      </c>
      <c r="AG2865" s="0" t="inlineStr">
        <is>
          <t>서울시 강동구 성안로25길 54</t>
        </is>
      </c>
      <c r="AH2865" s="0" t="n">
        <v>0</v>
      </c>
      <c r="AI2865" s="0" t="n">
        <v>399</v>
      </c>
      <c r="AJ2865" s="0" t="n">
        <v>30</v>
      </c>
      <c r="AK2865" s="0" t="n">
        <v>20</v>
      </c>
      <c r="AL2865" s="0" t="n">
        <v>1</v>
      </c>
    </row>
    <row r="2866">
      <c r="A2866" s="0" t="inlineStr">
        <is>
          <t>[천호동]</t>
        </is>
      </c>
      <c r="B2866" s="0" t="n">
        <v>999</v>
      </c>
      <c r="C2866" s="0" t="n">
        <v>1</v>
      </c>
      <c r="D2866" s="0" t="inlineStr">
        <is>
          <t>금호</t>
        </is>
      </c>
      <c r="E2866" s="0" t="inlineStr">
        <is>
          <t>1987.06.</t>
        </is>
      </c>
      <c r="F2866" s="0" t="n">
        <v>232</v>
      </c>
      <c r="G2866" s="0" t="n">
        <v>11.31</v>
      </c>
      <c r="H2866" s="0" t="n">
        <v>37.42</v>
      </c>
      <c r="I2866" s="0" t="n">
        <v>8.35</v>
      </c>
      <c r="J2866" s="0" t="n">
        <v>27.61</v>
      </c>
      <c r="K2866" s="0" t="n">
        <v>232</v>
      </c>
      <c r="T2866" s="0" t="n">
        <v>1</v>
      </c>
      <c r="U2866" s="0" t="n">
        <v>1</v>
      </c>
      <c r="V2866" s="0" t="inlineStr">
        <is>
          <t>복도식</t>
        </is>
      </c>
      <c r="W2866" s="0" t="n">
        <v>37</v>
      </c>
      <c r="X2866" s="0" t="n">
        <v>14</v>
      </c>
      <c r="Y2866" s="0" t="n">
        <v>10</v>
      </c>
      <c r="Z2866" s="0" t="inlineStr">
        <is>
          <t>https://new.land.naver.com/complexes/999?tab=detail&amp;rf=Y</t>
        </is>
      </c>
      <c r="AA2866" s="0" t="inlineStr">
        <is>
          <t>서울시 강동구 천호동 44</t>
        </is>
      </c>
      <c r="AB2866" s="0" t="inlineStr">
        <is>
          <t>서울시</t>
        </is>
      </c>
      <c r="AC2866" s="0" t="inlineStr">
        <is>
          <t>강동구</t>
        </is>
      </c>
      <c r="AD2866" s="0" t="inlineStr">
        <is>
          <t>천호동</t>
        </is>
      </c>
      <c r="AG2866" s="0" t="inlineStr">
        <is>
          <t>서울시 강동구 양재대로 1557</t>
        </is>
      </c>
      <c r="AH2866" s="0" t="n">
        <v>0</v>
      </c>
      <c r="AI2866" s="0" t="n">
        <v>248</v>
      </c>
      <c r="AJ2866" s="0" t="n">
        <v>22</v>
      </c>
      <c r="AK2866" s="0" t="n">
        <v>37</v>
      </c>
      <c r="AL2866" s="0" t="n">
        <v>0.16</v>
      </c>
    </row>
    <row r="2867">
      <c r="A2867" s="0" t="inlineStr">
        <is>
          <t>[천호동]</t>
        </is>
      </c>
      <c r="B2867" s="0" t="n">
        <v>113556</v>
      </c>
      <c r="C2867" s="0" t="n">
        <v>1</v>
      </c>
      <c r="D2867" s="0" t="inlineStr">
        <is>
          <t>다성이즈빌(169-9,도시형)</t>
        </is>
      </c>
      <c r="E2867" s="0" t="inlineStr">
        <is>
          <t>2016.09.</t>
        </is>
      </c>
      <c r="F2867" s="0" t="n">
        <v>20</v>
      </c>
      <c r="G2867" s="0" t="n">
        <v>5.93</v>
      </c>
      <c r="H2867" s="0" t="n">
        <v>19.62</v>
      </c>
      <c r="I2867" s="0" t="n">
        <v>4.38</v>
      </c>
      <c r="J2867" s="0" t="n">
        <v>14.51</v>
      </c>
      <c r="K2867" s="0" t="n">
        <v>4</v>
      </c>
      <c r="T2867" s="0" t="n">
        <v>1</v>
      </c>
      <c r="U2867" s="0" t="n">
        <v>1</v>
      </c>
      <c r="V2867" s="0" t="inlineStr">
        <is>
          <t>복도식</t>
        </is>
      </c>
      <c r="W2867" s="0" t="inlineStr">
        <is>
          <t>19A</t>
        </is>
      </c>
      <c r="X2867" s="0" t="n">
        <v>9</v>
      </c>
      <c r="Y2867" s="0" t="n">
        <v>9</v>
      </c>
      <c r="Z2867" s="0" t="inlineStr">
        <is>
          <t>https://new.land.naver.com/complexes/113556?tab=detail&amp;rf=Y</t>
        </is>
      </c>
      <c r="AA2867" s="0" t="inlineStr">
        <is>
          <t>서울시 강동구 천호동 169-9</t>
        </is>
      </c>
      <c r="AB2867" s="0" t="inlineStr">
        <is>
          <t>서울시</t>
        </is>
      </c>
      <c r="AC2867" s="0" t="inlineStr">
        <is>
          <t>강동구</t>
        </is>
      </c>
      <c r="AD2867" s="0" t="inlineStr">
        <is>
          <t>천호동</t>
        </is>
      </c>
      <c r="AG2867" s="0" t="inlineStr">
        <is>
          <t>서울시 강동구 성안로25길 29</t>
        </is>
      </c>
      <c r="AH2867" s="0" t="n">
        <v>0</v>
      </c>
      <c r="AI2867" s="0" t="n">
        <v>399</v>
      </c>
      <c r="AJ2867" s="0" t="n">
        <v>57</v>
      </c>
      <c r="AK2867" s="0" t="n">
        <v>10</v>
      </c>
      <c r="AL2867" s="0" t="n">
        <v>0.5</v>
      </c>
    </row>
    <row r="2868">
      <c r="A2868" s="0" t="inlineStr">
        <is>
          <t>[천호동]</t>
        </is>
      </c>
      <c r="B2868" s="0" t="n">
        <v>113556</v>
      </c>
      <c r="C2868" s="0" t="n">
        <v>2</v>
      </c>
      <c r="D2868" s="0" t="inlineStr">
        <is>
          <t>다성이즈빌(169-9,도시형)</t>
        </is>
      </c>
      <c r="E2868" s="0" t="inlineStr">
        <is>
          <t>2016.09.</t>
        </is>
      </c>
      <c r="F2868" s="0" t="n">
        <v>20</v>
      </c>
      <c r="G2868" s="0" t="n">
        <v>5.94</v>
      </c>
      <c r="H2868" s="0" t="n">
        <v>19.66</v>
      </c>
      <c r="I2868" s="0" t="n">
        <v>4.39</v>
      </c>
      <c r="J2868" s="0" t="n">
        <v>14.54</v>
      </c>
      <c r="K2868" s="0" t="n">
        <v>4</v>
      </c>
      <c r="T2868" s="0" t="n">
        <v>1</v>
      </c>
      <c r="U2868" s="0" t="n">
        <v>1</v>
      </c>
      <c r="V2868" s="0" t="inlineStr">
        <is>
          <t>복도식</t>
        </is>
      </c>
      <c r="W2868" s="0" t="inlineStr">
        <is>
          <t>19B</t>
        </is>
      </c>
      <c r="X2868" s="0" t="n">
        <v>9</v>
      </c>
      <c r="Y2868" s="0" t="n">
        <v>9</v>
      </c>
      <c r="Z2868" s="0" t="inlineStr">
        <is>
          <t>https://new.land.naver.com/complexes/113556?tab=detail&amp;rf=Y</t>
        </is>
      </c>
      <c r="AA2868" s="0" t="inlineStr">
        <is>
          <t>서울시 강동구 천호동 169-9</t>
        </is>
      </c>
      <c r="AB2868" s="0" t="inlineStr">
        <is>
          <t>서울시</t>
        </is>
      </c>
      <c r="AC2868" s="0" t="inlineStr">
        <is>
          <t>강동구</t>
        </is>
      </c>
      <c r="AD2868" s="0" t="inlineStr">
        <is>
          <t>천호동</t>
        </is>
      </c>
      <c r="AG2868" s="0" t="inlineStr">
        <is>
          <t>서울시 강동구 성안로25길 29</t>
        </is>
      </c>
      <c r="AH2868" s="0" t="n">
        <v>0</v>
      </c>
      <c r="AI2868" s="0" t="n">
        <v>399</v>
      </c>
      <c r="AJ2868" s="0" t="n">
        <v>57</v>
      </c>
      <c r="AK2868" s="0" t="n">
        <v>10</v>
      </c>
      <c r="AL2868" s="0" t="n">
        <v>0.5</v>
      </c>
    </row>
    <row r="2869">
      <c r="A2869" s="0" t="inlineStr">
        <is>
          <t>[천호동]</t>
        </is>
      </c>
      <c r="B2869" s="0" t="n">
        <v>113556</v>
      </c>
      <c r="C2869" s="0" t="n">
        <v>3</v>
      </c>
      <c r="D2869" s="0" t="inlineStr">
        <is>
          <t>다성이즈빌(169-9,도시형)</t>
        </is>
      </c>
      <c r="E2869" s="0" t="inlineStr">
        <is>
          <t>2016.09.</t>
        </is>
      </c>
      <c r="F2869" s="0" t="n">
        <v>20</v>
      </c>
      <c r="G2869" s="0" t="n">
        <v>6.88</v>
      </c>
      <c r="H2869" s="0" t="n">
        <v>22.76</v>
      </c>
      <c r="I2869" s="0" t="n">
        <v>5.09</v>
      </c>
      <c r="J2869" s="0" t="n">
        <v>16.84</v>
      </c>
      <c r="K2869" s="0" t="n">
        <v>4</v>
      </c>
      <c r="T2869" s="0" t="n">
        <v>1</v>
      </c>
      <c r="U2869" s="0" t="n">
        <v>1</v>
      </c>
      <c r="V2869" s="0" t="inlineStr">
        <is>
          <t>복도식</t>
        </is>
      </c>
      <c r="W2869" s="0" t="inlineStr">
        <is>
          <t>22A</t>
        </is>
      </c>
      <c r="X2869" s="0" t="n">
        <v>9</v>
      </c>
      <c r="Y2869" s="0" t="n">
        <v>9</v>
      </c>
      <c r="Z2869" s="0" t="inlineStr">
        <is>
          <t>https://new.land.naver.com/complexes/113556?tab=detail&amp;rf=Y</t>
        </is>
      </c>
      <c r="AA2869" s="0" t="inlineStr">
        <is>
          <t>서울시 강동구 천호동 169-9</t>
        </is>
      </c>
      <c r="AB2869" s="0" t="inlineStr">
        <is>
          <t>서울시</t>
        </is>
      </c>
      <c r="AC2869" s="0" t="inlineStr">
        <is>
          <t>강동구</t>
        </is>
      </c>
      <c r="AD2869" s="0" t="inlineStr">
        <is>
          <t>천호동</t>
        </is>
      </c>
      <c r="AG2869" s="0" t="inlineStr">
        <is>
          <t>서울시 강동구 성안로25길 29</t>
        </is>
      </c>
      <c r="AH2869" s="0" t="n">
        <v>0</v>
      </c>
      <c r="AI2869" s="0" t="n">
        <v>399</v>
      </c>
      <c r="AJ2869" s="0" t="n">
        <v>57</v>
      </c>
      <c r="AK2869" s="0" t="n">
        <v>10</v>
      </c>
      <c r="AL2869" s="0" t="n">
        <v>0.5</v>
      </c>
    </row>
    <row r="2870">
      <c r="A2870" s="0" t="inlineStr">
        <is>
          <t>[천호동]</t>
        </is>
      </c>
      <c r="B2870" s="0" t="n">
        <v>113556</v>
      </c>
      <c r="C2870" s="0" t="n">
        <v>4</v>
      </c>
      <c r="D2870" s="0" t="inlineStr">
        <is>
          <t>다성이즈빌(169-9,도시형)</t>
        </is>
      </c>
      <c r="E2870" s="0" t="inlineStr">
        <is>
          <t>2016.09.</t>
        </is>
      </c>
      <c r="F2870" s="0" t="n">
        <v>20</v>
      </c>
      <c r="G2870" s="0" t="n">
        <v>6.96</v>
      </c>
      <c r="H2870" s="0" t="n">
        <v>23.01</v>
      </c>
      <c r="I2870" s="0" t="n">
        <v>5.14</v>
      </c>
      <c r="J2870" s="0" t="n">
        <v>17.02</v>
      </c>
      <c r="K2870" s="0" t="n">
        <v>4</v>
      </c>
      <c r="T2870" s="0" t="n">
        <v>1</v>
      </c>
      <c r="U2870" s="0" t="n">
        <v>1</v>
      </c>
      <c r="V2870" s="0" t="inlineStr">
        <is>
          <t>복도식</t>
        </is>
      </c>
      <c r="W2870" s="0" t="inlineStr">
        <is>
          <t>23B</t>
        </is>
      </c>
      <c r="X2870" s="0" t="n">
        <v>9</v>
      </c>
      <c r="Y2870" s="0" t="n">
        <v>9</v>
      </c>
      <c r="Z2870" s="0" t="inlineStr">
        <is>
          <t>https://new.land.naver.com/complexes/113556?tab=detail&amp;rf=Y</t>
        </is>
      </c>
      <c r="AA2870" s="0" t="inlineStr">
        <is>
          <t>서울시 강동구 천호동 169-9</t>
        </is>
      </c>
      <c r="AB2870" s="0" t="inlineStr">
        <is>
          <t>서울시</t>
        </is>
      </c>
      <c r="AC2870" s="0" t="inlineStr">
        <is>
          <t>강동구</t>
        </is>
      </c>
      <c r="AD2870" s="0" t="inlineStr">
        <is>
          <t>천호동</t>
        </is>
      </c>
      <c r="AG2870" s="0" t="inlineStr">
        <is>
          <t>서울시 강동구 성안로25길 29</t>
        </is>
      </c>
      <c r="AH2870" s="0" t="n">
        <v>0</v>
      </c>
      <c r="AI2870" s="0" t="n">
        <v>399</v>
      </c>
      <c r="AJ2870" s="0" t="n">
        <v>57</v>
      </c>
      <c r="AK2870" s="0" t="n">
        <v>10</v>
      </c>
      <c r="AL2870" s="0" t="n">
        <v>0.5</v>
      </c>
    </row>
    <row r="2871">
      <c r="A2871" s="0" t="inlineStr">
        <is>
          <t>[천호동]</t>
        </is>
      </c>
      <c r="B2871" s="0" t="n">
        <v>113556</v>
      </c>
      <c r="C2871" s="0" t="n">
        <v>5</v>
      </c>
      <c r="D2871" s="0" t="inlineStr">
        <is>
          <t>다성이즈빌(169-9,도시형)</t>
        </is>
      </c>
      <c r="E2871" s="0" t="inlineStr">
        <is>
          <t>2016.09.</t>
        </is>
      </c>
      <c r="F2871" s="0" t="n">
        <v>20</v>
      </c>
      <c r="G2871" s="0" t="n">
        <v>8.960000000000001</v>
      </c>
      <c r="H2871" s="0" t="n">
        <v>29.62</v>
      </c>
      <c r="I2871" s="0" t="n">
        <v>6.63</v>
      </c>
      <c r="J2871" s="0" t="n">
        <v>21.92</v>
      </c>
      <c r="K2871" s="0" t="n">
        <v>4</v>
      </c>
      <c r="T2871" s="0" t="n">
        <v>1</v>
      </c>
      <c r="U2871" s="0" t="n">
        <v>1</v>
      </c>
      <c r="V2871" s="0" t="inlineStr">
        <is>
          <t>복도식</t>
        </is>
      </c>
      <c r="W2871" s="0" t="n">
        <v>29</v>
      </c>
      <c r="X2871" s="0" t="n">
        <v>9</v>
      </c>
      <c r="Y2871" s="0" t="n">
        <v>9</v>
      </c>
      <c r="Z2871" s="0" t="inlineStr">
        <is>
          <t>https://new.land.naver.com/complexes/113556?tab=detail&amp;rf=Y</t>
        </is>
      </c>
      <c r="AA2871" s="0" t="inlineStr">
        <is>
          <t>서울시 강동구 천호동 169-9</t>
        </is>
      </c>
      <c r="AB2871" s="0" t="inlineStr">
        <is>
          <t>서울시</t>
        </is>
      </c>
      <c r="AC2871" s="0" t="inlineStr">
        <is>
          <t>강동구</t>
        </is>
      </c>
      <c r="AD2871" s="0" t="inlineStr">
        <is>
          <t>천호동</t>
        </is>
      </c>
      <c r="AG2871" s="0" t="inlineStr">
        <is>
          <t>서울시 강동구 성안로25길 29</t>
        </is>
      </c>
      <c r="AH2871" s="0" t="n">
        <v>0</v>
      </c>
      <c r="AI2871" s="0" t="n">
        <v>399</v>
      </c>
      <c r="AJ2871" s="0" t="n">
        <v>57</v>
      </c>
      <c r="AK2871" s="0" t="n">
        <v>10</v>
      </c>
      <c r="AL2871" s="0" t="n">
        <v>0.5</v>
      </c>
    </row>
    <row r="2872">
      <c r="A2872" s="0" t="inlineStr">
        <is>
          <t>[천호동]</t>
        </is>
      </c>
      <c r="B2872" s="0" t="n">
        <v>123860</v>
      </c>
      <c r="C2872" s="0" t="n">
        <v>1</v>
      </c>
      <c r="D2872" s="0" t="inlineStr">
        <is>
          <t>CJ(도시형)</t>
        </is>
      </c>
      <c r="E2872" s="0" t="inlineStr">
        <is>
          <t>2012.07.</t>
        </is>
      </c>
      <c r="F2872" s="0" t="n">
        <v>24</v>
      </c>
      <c r="G2872" s="0" t="n">
        <v>6.11</v>
      </c>
      <c r="H2872" s="0" t="n">
        <v>20.22</v>
      </c>
      <c r="I2872" s="0" t="n">
        <v>4.28</v>
      </c>
      <c r="J2872" s="0" t="n">
        <v>14.18</v>
      </c>
      <c r="K2872" s="0" t="n">
        <v>12</v>
      </c>
      <c r="T2872" s="0" t="n">
        <v>1</v>
      </c>
      <c r="U2872" s="0" t="n">
        <v>1</v>
      </c>
      <c r="V2872" s="0" t="inlineStr">
        <is>
          <t>복도식</t>
        </is>
      </c>
      <c r="W2872" s="0" t="inlineStr">
        <is>
          <t>20B</t>
        </is>
      </c>
      <c r="X2872" s="0" t="n">
        <v>8</v>
      </c>
      <c r="Y2872" s="0" t="n">
        <v>7</v>
      </c>
      <c r="Z2872" s="0" t="inlineStr">
        <is>
          <t>https://new.land.naver.com/complexes/123860?tab=detail&amp;rf=Y</t>
        </is>
      </c>
      <c r="AA2872" s="0" t="inlineStr">
        <is>
          <t>서울시 강동구 천호동 287-5</t>
        </is>
      </c>
      <c r="AB2872" s="0" t="inlineStr">
        <is>
          <t>서울시</t>
        </is>
      </c>
      <c r="AC2872" s="0" t="inlineStr">
        <is>
          <t>강동구</t>
        </is>
      </c>
      <c r="AD2872" s="0" t="inlineStr">
        <is>
          <t>천호동</t>
        </is>
      </c>
      <c r="AG2872" s="0" t="inlineStr">
        <is>
          <t>서울시 강동구 상암로12길 8</t>
        </is>
      </c>
      <c r="AH2872" s="0" t="n">
        <v>0</v>
      </c>
      <c r="AI2872" s="0" t="n">
        <v>299</v>
      </c>
      <c r="AJ2872" s="0" t="n">
        <v>58</v>
      </c>
      <c r="AK2872" s="0" t="n">
        <v>16</v>
      </c>
      <c r="AL2872" s="0" t="n">
        <v>0.67</v>
      </c>
    </row>
    <row r="2873">
      <c r="A2873" s="0" t="inlineStr">
        <is>
          <t>[천호동]</t>
        </is>
      </c>
      <c r="B2873" s="0" t="n">
        <v>123860</v>
      </c>
      <c r="C2873" s="0" t="n">
        <v>2</v>
      </c>
      <c r="D2873" s="0" t="inlineStr">
        <is>
          <t>CJ(도시형)</t>
        </is>
      </c>
      <c r="E2873" s="0" t="inlineStr">
        <is>
          <t>2012.07.</t>
        </is>
      </c>
      <c r="F2873" s="0" t="n">
        <v>24</v>
      </c>
      <c r="G2873" s="0" t="n">
        <v>6.08</v>
      </c>
      <c r="H2873" s="0" t="n">
        <v>20.11</v>
      </c>
      <c r="I2873" s="0" t="n">
        <v>4.26</v>
      </c>
      <c r="J2873" s="0" t="n">
        <v>14.1</v>
      </c>
      <c r="K2873" s="0" t="n">
        <v>6</v>
      </c>
      <c r="T2873" s="0" t="n">
        <v>1</v>
      </c>
      <c r="U2873" s="0" t="n">
        <v>1</v>
      </c>
      <c r="V2873" s="0" t="inlineStr">
        <is>
          <t>복도식</t>
        </is>
      </c>
      <c r="W2873" s="0" t="inlineStr">
        <is>
          <t>20A</t>
        </is>
      </c>
      <c r="X2873" s="0" t="n">
        <v>8</v>
      </c>
      <c r="Y2873" s="0" t="n">
        <v>7</v>
      </c>
      <c r="Z2873" s="0" t="inlineStr">
        <is>
          <t>https://new.land.naver.com/complexes/123860?tab=detail&amp;rf=Y</t>
        </is>
      </c>
      <c r="AA2873" s="0" t="inlineStr">
        <is>
          <t>서울시 강동구 천호동 287-5</t>
        </is>
      </c>
      <c r="AB2873" s="0" t="inlineStr">
        <is>
          <t>서울시</t>
        </is>
      </c>
      <c r="AC2873" s="0" t="inlineStr">
        <is>
          <t>강동구</t>
        </is>
      </c>
      <c r="AD2873" s="0" t="inlineStr">
        <is>
          <t>천호동</t>
        </is>
      </c>
      <c r="AG2873" s="0" t="inlineStr">
        <is>
          <t>서울시 강동구 상암로12길 8</t>
        </is>
      </c>
      <c r="AH2873" s="0" t="n">
        <v>0</v>
      </c>
      <c r="AI2873" s="0" t="n">
        <v>299</v>
      </c>
      <c r="AJ2873" s="0" t="n">
        <v>58</v>
      </c>
      <c r="AK2873" s="0" t="n">
        <v>16</v>
      </c>
      <c r="AL2873" s="0" t="n">
        <v>0.67</v>
      </c>
    </row>
    <row r="2874">
      <c r="A2874" s="0" t="inlineStr">
        <is>
          <t>[천호동]</t>
        </is>
      </c>
      <c r="B2874" s="0" t="n">
        <v>123860</v>
      </c>
      <c r="C2874" s="0" t="n">
        <v>3</v>
      </c>
      <c r="D2874" s="0" t="inlineStr">
        <is>
          <t>CJ(도시형)</t>
        </is>
      </c>
      <c r="E2874" s="0" t="inlineStr">
        <is>
          <t>2012.07.</t>
        </is>
      </c>
      <c r="F2874" s="0" t="n">
        <v>24</v>
      </c>
      <c r="G2874" s="0" t="n">
        <v>6.5</v>
      </c>
      <c r="H2874" s="0" t="n">
        <v>21.52</v>
      </c>
      <c r="I2874" s="0" t="n">
        <v>4.56</v>
      </c>
      <c r="J2874" s="0" t="n">
        <v>15.09</v>
      </c>
      <c r="K2874" s="0" t="n">
        <v>3</v>
      </c>
      <c r="T2874" s="0" t="n">
        <v>1</v>
      </c>
      <c r="U2874" s="0" t="n">
        <v>1</v>
      </c>
      <c r="V2874" s="0" t="inlineStr">
        <is>
          <t>복도식</t>
        </is>
      </c>
      <c r="W2874" s="0" t="n">
        <v>21</v>
      </c>
      <c r="X2874" s="0" t="n">
        <v>8</v>
      </c>
      <c r="Y2874" s="0" t="n">
        <v>7</v>
      </c>
      <c r="Z2874" s="0" t="inlineStr">
        <is>
          <t>https://new.land.naver.com/complexes/123860?tab=detail&amp;rf=Y</t>
        </is>
      </c>
      <c r="AA2874" s="0" t="inlineStr">
        <is>
          <t>서울시 강동구 천호동 287-5</t>
        </is>
      </c>
      <c r="AB2874" s="0" t="inlineStr">
        <is>
          <t>서울시</t>
        </is>
      </c>
      <c r="AC2874" s="0" t="inlineStr">
        <is>
          <t>강동구</t>
        </is>
      </c>
      <c r="AD2874" s="0" t="inlineStr">
        <is>
          <t>천호동</t>
        </is>
      </c>
      <c r="AG2874" s="0" t="inlineStr">
        <is>
          <t>서울시 강동구 상암로12길 8</t>
        </is>
      </c>
      <c r="AH2874" s="0" t="n">
        <v>0</v>
      </c>
      <c r="AI2874" s="0" t="n">
        <v>299</v>
      </c>
      <c r="AJ2874" s="0" t="n">
        <v>58</v>
      </c>
      <c r="AK2874" s="0" t="n">
        <v>16</v>
      </c>
      <c r="AL2874" s="0" t="n">
        <v>0.67</v>
      </c>
    </row>
    <row r="2875">
      <c r="A2875" s="0" t="inlineStr">
        <is>
          <t>[천호동]</t>
        </is>
      </c>
      <c r="B2875" s="0" t="n">
        <v>123860</v>
      </c>
      <c r="C2875" s="0" t="n">
        <v>4</v>
      </c>
      <c r="D2875" s="0" t="inlineStr">
        <is>
          <t>CJ(도시형)</t>
        </is>
      </c>
      <c r="E2875" s="0" t="inlineStr">
        <is>
          <t>2012.07.</t>
        </is>
      </c>
      <c r="F2875" s="0" t="n">
        <v>24</v>
      </c>
      <c r="G2875" s="0" t="n">
        <v>6.45</v>
      </c>
      <c r="H2875" s="0" t="n">
        <v>21.35</v>
      </c>
      <c r="I2875" s="0" t="n">
        <v>4.52</v>
      </c>
      <c r="J2875" s="0" t="n">
        <v>14.97</v>
      </c>
      <c r="K2875" s="0" t="n">
        <v>3</v>
      </c>
      <c r="T2875" s="0" t="n">
        <v>1</v>
      </c>
      <c r="U2875" s="0" t="n">
        <v>1</v>
      </c>
      <c r="V2875" s="0" t="inlineStr">
        <is>
          <t>복도식</t>
        </is>
      </c>
      <c r="W2875" s="0" t="inlineStr">
        <is>
          <t>21C</t>
        </is>
      </c>
      <c r="X2875" s="0" t="n">
        <v>8</v>
      </c>
      <c r="Y2875" s="0" t="n">
        <v>7</v>
      </c>
      <c r="Z2875" s="0" t="inlineStr">
        <is>
          <t>https://new.land.naver.com/complexes/123860?tab=detail&amp;rf=Y</t>
        </is>
      </c>
      <c r="AA2875" s="0" t="inlineStr">
        <is>
          <t>서울시 강동구 천호동 287-5</t>
        </is>
      </c>
      <c r="AB2875" s="0" t="inlineStr">
        <is>
          <t>서울시</t>
        </is>
      </c>
      <c r="AC2875" s="0" t="inlineStr">
        <is>
          <t>강동구</t>
        </is>
      </c>
      <c r="AD2875" s="0" t="inlineStr">
        <is>
          <t>천호동</t>
        </is>
      </c>
      <c r="AG2875" s="0" t="inlineStr">
        <is>
          <t>서울시 강동구 상암로12길 8</t>
        </is>
      </c>
      <c r="AH2875" s="0" t="n">
        <v>0</v>
      </c>
      <c r="AI2875" s="0" t="n">
        <v>299</v>
      </c>
      <c r="AJ2875" s="0" t="n">
        <v>58</v>
      </c>
      <c r="AK2875" s="0" t="n">
        <v>16</v>
      </c>
      <c r="AL2875" s="0" t="n">
        <v>0.67</v>
      </c>
    </row>
    <row r="2876">
      <c r="A2876" s="0" t="inlineStr">
        <is>
          <t>[천호동]</t>
        </is>
      </c>
      <c r="B2876" s="0" t="n">
        <v>14366</v>
      </c>
      <c r="C2876" s="0" t="n">
        <v>1</v>
      </c>
      <c r="D2876" s="0" t="inlineStr">
        <is>
          <t>두산위브센티움</t>
        </is>
      </c>
      <c r="E2876" s="0" t="inlineStr">
        <is>
          <t>2004.09.</t>
        </is>
      </c>
      <c r="F2876" s="0" t="n">
        <v>156</v>
      </c>
      <c r="G2876" s="0" t="n">
        <v>12.37</v>
      </c>
      <c r="H2876" s="0" t="n">
        <v>40.92</v>
      </c>
      <c r="I2876" s="0" t="n">
        <v>9.48</v>
      </c>
      <c r="J2876" s="0" t="n">
        <v>31.37</v>
      </c>
      <c r="K2876" s="0" t="n">
        <v>108</v>
      </c>
      <c r="T2876" s="0" t="n">
        <v>1</v>
      </c>
      <c r="U2876" s="0" t="n">
        <v>1</v>
      </c>
      <c r="V2876" s="0" t="inlineStr">
        <is>
          <t>복도식</t>
        </is>
      </c>
      <c r="W2876" s="0" t="inlineStr">
        <is>
          <t>40A</t>
        </is>
      </c>
      <c r="X2876" s="0" t="n">
        <v>8</v>
      </c>
      <c r="Y2876" s="0" t="n">
        <v>8</v>
      </c>
      <c r="Z2876" s="0" t="inlineStr">
        <is>
          <t>https://new.land.naver.com/complexes/14366?tab=detail&amp;rf=Y</t>
        </is>
      </c>
      <c r="AA2876" s="0" t="inlineStr">
        <is>
          <t>서울시 강동구 천호동 414</t>
        </is>
      </c>
      <c r="AB2876" s="0" t="inlineStr">
        <is>
          <t>서울시</t>
        </is>
      </c>
      <c r="AC2876" s="0" t="inlineStr">
        <is>
          <t>강동구</t>
        </is>
      </c>
      <c r="AD2876" s="0" t="inlineStr">
        <is>
          <t>천호동</t>
        </is>
      </c>
      <c r="AG2876" s="0" t="inlineStr">
        <is>
          <t>서울시 강동구 올림픽로70길 61</t>
        </is>
      </c>
      <c r="AH2876" s="0" t="n">
        <v>0</v>
      </c>
      <c r="AI2876" s="0" t="n">
        <v>846</v>
      </c>
      <c r="AJ2876" s="0" t="n">
        <v>45</v>
      </c>
      <c r="AK2876" s="0" t="n">
        <v>0</v>
      </c>
      <c r="AL2876" s="0" t="n">
        <v>0</v>
      </c>
    </row>
    <row r="2877">
      <c r="A2877" s="0" t="inlineStr">
        <is>
          <t>[천호동]</t>
        </is>
      </c>
      <c r="B2877" s="0" t="n">
        <v>14366</v>
      </c>
      <c r="C2877" s="0" t="n">
        <v>2</v>
      </c>
      <c r="D2877" s="0" t="inlineStr">
        <is>
          <t>두산위브센티움</t>
        </is>
      </c>
      <c r="E2877" s="0" t="inlineStr">
        <is>
          <t>2004.09.</t>
        </is>
      </c>
      <c r="F2877" s="0" t="n">
        <v>156</v>
      </c>
      <c r="G2877" s="0" t="n">
        <v>12.61</v>
      </c>
      <c r="H2877" s="0" t="n">
        <v>41.7</v>
      </c>
      <c r="I2877" s="0" t="n">
        <v>9.67</v>
      </c>
      <c r="J2877" s="0" t="n">
        <v>31.97</v>
      </c>
      <c r="K2877" s="0" t="n">
        <v>6</v>
      </c>
      <c r="T2877" s="0" t="n">
        <v>1</v>
      </c>
      <c r="U2877" s="0" t="n">
        <v>1</v>
      </c>
      <c r="V2877" s="0" t="inlineStr">
        <is>
          <t>복도식</t>
        </is>
      </c>
      <c r="W2877" s="0" t="inlineStr">
        <is>
          <t>41A</t>
        </is>
      </c>
      <c r="X2877" s="0" t="n">
        <v>8</v>
      </c>
      <c r="Y2877" s="0" t="n">
        <v>8</v>
      </c>
      <c r="Z2877" s="0" t="inlineStr">
        <is>
          <t>https://new.land.naver.com/complexes/14366?tab=detail&amp;rf=Y</t>
        </is>
      </c>
      <c r="AA2877" s="0" t="inlineStr">
        <is>
          <t>서울시 강동구 천호동 414</t>
        </is>
      </c>
      <c r="AB2877" s="0" t="inlineStr">
        <is>
          <t>서울시</t>
        </is>
      </c>
      <c r="AC2877" s="0" t="inlineStr">
        <is>
          <t>강동구</t>
        </is>
      </c>
      <c r="AD2877" s="0" t="inlineStr">
        <is>
          <t>천호동</t>
        </is>
      </c>
      <c r="AG2877" s="0" t="inlineStr">
        <is>
          <t>서울시 강동구 올림픽로70길 61</t>
        </is>
      </c>
      <c r="AH2877" s="0" t="n">
        <v>0</v>
      </c>
      <c r="AI2877" s="0" t="n">
        <v>846</v>
      </c>
      <c r="AJ2877" s="0" t="n">
        <v>45</v>
      </c>
      <c r="AK2877" s="0" t="n">
        <v>0</v>
      </c>
      <c r="AL2877" s="0" t="n">
        <v>0</v>
      </c>
    </row>
    <row r="2878">
      <c r="A2878" s="0" t="inlineStr">
        <is>
          <t>[천호동]</t>
        </is>
      </c>
      <c r="B2878" s="0" t="n">
        <v>14366</v>
      </c>
      <c r="C2878" s="0" t="n">
        <v>3</v>
      </c>
      <c r="D2878" s="0" t="inlineStr">
        <is>
          <t>두산위브센티움</t>
        </is>
      </c>
      <c r="E2878" s="0" t="inlineStr">
        <is>
          <t>2004.09.</t>
        </is>
      </c>
      <c r="F2878" s="0" t="n">
        <v>156</v>
      </c>
      <c r="G2878" s="0" t="n">
        <v>12.48</v>
      </c>
      <c r="H2878" s="0" t="n">
        <v>41.28</v>
      </c>
      <c r="I2878" s="0" t="n">
        <v>9.57</v>
      </c>
      <c r="J2878" s="0" t="n">
        <v>31.65</v>
      </c>
      <c r="K2878" s="0" t="n">
        <v>6</v>
      </c>
      <c r="T2878" s="0" t="n">
        <v>1</v>
      </c>
      <c r="U2878" s="0" t="n">
        <v>1</v>
      </c>
      <c r="V2878" s="0" t="inlineStr">
        <is>
          <t>복도식</t>
        </is>
      </c>
      <c r="W2878" s="0" t="inlineStr">
        <is>
          <t>41B</t>
        </is>
      </c>
      <c r="X2878" s="0" t="n">
        <v>8</v>
      </c>
      <c r="Y2878" s="0" t="n">
        <v>8</v>
      </c>
      <c r="Z2878" s="0" t="inlineStr">
        <is>
          <t>https://new.land.naver.com/complexes/14366?tab=detail&amp;rf=Y</t>
        </is>
      </c>
      <c r="AA2878" s="0" t="inlineStr">
        <is>
          <t>서울시 강동구 천호동 414</t>
        </is>
      </c>
      <c r="AB2878" s="0" t="inlineStr">
        <is>
          <t>서울시</t>
        </is>
      </c>
      <c r="AC2878" s="0" t="inlineStr">
        <is>
          <t>강동구</t>
        </is>
      </c>
      <c r="AD2878" s="0" t="inlineStr">
        <is>
          <t>천호동</t>
        </is>
      </c>
      <c r="AG2878" s="0" t="inlineStr">
        <is>
          <t>서울시 강동구 올림픽로70길 61</t>
        </is>
      </c>
      <c r="AH2878" s="0" t="n">
        <v>0</v>
      </c>
      <c r="AI2878" s="0" t="n">
        <v>846</v>
      </c>
      <c r="AJ2878" s="0" t="n">
        <v>45</v>
      </c>
      <c r="AK2878" s="0" t="n">
        <v>0</v>
      </c>
      <c r="AL2878" s="0" t="n">
        <v>0</v>
      </c>
    </row>
    <row r="2879">
      <c r="A2879" s="0" t="inlineStr">
        <is>
          <t>[천호동]</t>
        </is>
      </c>
      <c r="B2879" s="0" t="n">
        <v>14366</v>
      </c>
      <c r="C2879" s="0" t="n">
        <v>4</v>
      </c>
      <c r="D2879" s="0" t="inlineStr">
        <is>
          <t>두산위브센티움</t>
        </is>
      </c>
      <c r="E2879" s="0" t="inlineStr">
        <is>
          <t>2004.09.</t>
        </is>
      </c>
      <c r="F2879" s="0" t="n">
        <v>156</v>
      </c>
      <c r="G2879" s="0" t="n">
        <v>13.34</v>
      </c>
      <c r="H2879" s="0" t="n">
        <v>44.1</v>
      </c>
      <c r="I2879" s="0" t="n">
        <v>10.22</v>
      </c>
      <c r="J2879" s="0" t="n">
        <v>33.81</v>
      </c>
      <c r="K2879" s="0" t="n">
        <v>18</v>
      </c>
      <c r="T2879" s="0" t="n">
        <v>1</v>
      </c>
      <c r="U2879" s="0" t="n">
        <v>1</v>
      </c>
      <c r="V2879" s="0" t="inlineStr">
        <is>
          <t>복도식</t>
        </is>
      </c>
      <c r="W2879" s="0" t="inlineStr">
        <is>
          <t>44B</t>
        </is>
      </c>
      <c r="X2879" s="0" t="n">
        <v>8</v>
      </c>
      <c r="Y2879" s="0" t="n">
        <v>8</v>
      </c>
      <c r="Z2879" s="0" t="inlineStr">
        <is>
          <t>https://new.land.naver.com/complexes/14366?tab=detail&amp;rf=Y</t>
        </is>
      </c>
      <c r="AA2879" s="0" t="inlineStr">
        <is>
          <t>서울시 강동구 천호동 414</t>
        </is>
      </c>
      <c r="AB2879" s="0" t="inlineStr">
        <is>
          <t>서울시</t>
        </is>
      </c>
      <c r="AC2879" s="0" t="inlineStr">
        <is>
          <t>강동구</t>
        </is>
      </c>
      <c r="AD2879" s="0" t="inlineStr">
        <is>
          <t>천호동</t>
        </is>
      </c>
      <c r="AG2879" s="0" t="inlineStr">
        <is>
          <t>서울시 강동구 올림픽로70길 61</t>
        </is>
      </c>
      <c r="AH2879" s="0" t="n">
        <v>0</v>
      </c>
      <c r="AI2879" s="0" t="n">
        <v>846</v>
      </c>
      <c r="AJ2879" s="0" t="n">
        <v>45</v>
      </c>
      <c r="AK2879" s="0" t="n">
        <v>0</v>
      </c>
      <c r="AL2879" s="0" t="n">
        <v>0</v>
      </c>
    </row>
    <row r="2880">
      <c r="A2880" s="0" t="inlineStr">
        <is>
          <t>[천호동]</t>
        </is>
      </c>
      <c r="B2880" s="0" t="n">
        <v>14366</v>
      </c>
      <c r="C2880" s="0" t="n">
        <v>5</v>
      </c>
      <c r="D2880" s="0" t="inlineStr">
        <is>
          <t>두산위브센티움</t>
        </is>
      </c>
      <c r="E2880" s="0" t="inlineStr">
        <is>
          <t>2004.09.</t>
        </is>
      </c>
      <c r="F2880" s="0" t="n">
        <v>156</v>
      </c>
      <c r="G2880" s="0" t="n">
        <v>15.45</v>
      </c>
      <c r="H2880" s="0" t="n">
        <v>51.09</v>
      </c>
      <c r="I2880" s="0" t="n">
        <v>11.84</v>
      </c>
      <c r="J2880" s="0" t="n">
        <v>39.17</v>
      </c>
      <c r="K2880" s="0" t="n">
        <v>12</v>
      </c>
      <c r="T2880" s="0" t="n">
        <v>1</v>
      </c>
      <c r="U2880" s="0" t="n">
        <v>1</v>
      </c>
      <c r="V2880" s="0" t="inlineStr">
        <is>
          <t>복도식</t>
        </is>
      </c>
      <c r="W2880" s="0" t="n">
        <v>51</v>
      </c>
      <c r="X2880" s="0" t="n">
        <v>8</v>
      </c>
      <c r="Y2880" s="0" t="n">
        <v>8</v>
      </c>
      <c r="Z2880" s="0" t="inlineStr">
        <is>
          <t>https://new.land.naver.com/complexes/14366?tab=detail&amp;rf=Y</t>
        </is>
      </c>
      <c r="AA2880" s="0" t="inlineStr">
        <is>
          <t>서울시 강동구 천호동 414</t>
        </is>
      </c>
      <c r="AB2880" s="0" t="inlineStr">
        <is>
          <t>서울시</t>
        </is>
      </c>
      <c r="AC2880" s="0" t="inlineStr">
        <is>
          <t>강동구</t>
        </is>
      </c>
      <c r="AD2880" s="0" t="inlineStr">
        <is>
          <t>천호동</t>
        </is>
      </c>
      <c r="AG2880" s="0" t="inlineStr">
        <is>
          <t>서울시 강동구 올림픽로70길 61</t>
        </is>
      </c>
      <c r="AH2880" s="0" t="n">
        <v>0</v>
      </c>
      <c r="AI2880" s="0" t="n">
        <v>846</v>
      </c>
      <c r="AJ2880" s="0" t="n">
        <v>45</v>
      </c>
      <c r="AK2880" s="0" t="n">
        <v>0</v>
      </c>
      <c r="AL2880" s="0" t="n">
        <v>0</v>
      </c>
    </row>
    <row r="2881">
      <c r="A2881" s="0" t="inlineStr">
        <is>
          <t>[천호동]</t>
        </is>
      </c>
      <c r="B2881" s="0" t="n">
        <v>14366</v>
      </c>
      <c r="C2881" s="0" t="n">
        <v>6</v>
      </c>
      <c r="D2881" s="0" t="inlineStr">
        <is>
          <t>두산위브센티움</t>
        </is>
      </c>
      <c r="E2881" s="0" t="inlineStr">
        <is>
          <t>2004.09.</t>
        </is>
      </c>
      <c r="F2881" s="0" t="n">
        <v>156</v>
      </c>
      <c r="G2881" s="0" t="n">
        <v>22.02</v>
      </c>
      <c r="H2881" s="0" t="n">
        <v>72.81</v>
      </c>
      <c r="I2881" s="0" t="n">
        <v>16.88</v>
      </c>
      <c r="J2881" s="0" t="n">
        <v>55.82</v>
      </c>
      <c r="K2881" s="0" t="n">
        <v>6</v>
      </c>
      <c r="T2881" s="0" t="n">
        <v>2</v>
      </c>
      <c r="U2881" s="0" t="n">
        <v>1</v>
      </c>
      <c r="V2881" s="0" t="inlineStr">
        <is>
          <t>복도식</t>
        </is>
      </c>
      <c r="W2881" s="0" t="n">
        <v>72</v>
      </c>
      <c r="X2881" s="0" t="n">
        <v>8</v>
      </c>
      <c r="Y2881" s="0" t="n">
        <v>8</v>
      </c>
      <c r="Z2881" s="0" t="inlineStr">
        <is>
          <t>https://new.land.naver.com/complexes/14366?tab=detail&amp;rf=Y</t>
        </is>
      </c>
      <c r="AA2881" s="0" t="inlineStr">
        <is>
          <t>서울시 강동구 천호동 414</t>
        </is>
      </c>
      <c r="AB2881" s="0" t="inlineStr">
        <is>
          <t>서울시</t>
        </is>
      </c>
      <c r="AC2881" s="0" t="inlineStr">
        <is>
          <t>강동구</t>
        </is>
      </c>
      <c r="AD2881" s="0" t="inlineStr">
        <is>
          <t>천호동</t>
        </is>
      </c>
      <c r="AG2881" s="0" t="inlineStr">
        <is>
          <t>서울시 강동구 올림픽로70길 61</t>
        </is>
      </c>
      <c r="AH2881" s="0" t="n">
        <v>0</v>
      </c>
      <c r="AI2881" s="0" t="n">
        <v>846</v>
      </c>
      <c r="AJ2881" s="0" t="n">
        <v>45</v>
      </c>
      <c r="AK2881" s="0" t="n">
        <v>0</v>
      </c>
      <c r="AL2881" s="0" t="n">
        <v>0</v>
      </c>
    </row>
    <row r="2882">
      <c r="A2882" s="0" t="inlineStr">
        <is>
          <t>[천호동]</t>
        </is>
      </c>
      <c r="B2882" s="0" t="n">
        <v>119967</v>
      </c>
      <c r="C2882" s="0" t="n">
        <v>1</v>
      </c>
      <c r="D2882" s="0" t="inlineStr">
        <is>
          <t>성우스타팰리스(163-30,도시형)</t>
        </is>
      </c>
      <c r="E2882" s="0" t="inlineStr">
        <is>
          <t>2017.12.</t>
        </is>
      </c>
      <c r="F2882" s="0" t="n">
        <v>20</v>
      </c>
      <c r="G2882" s="0" t="n">
        <v>6.5</v>
      </c>
      <c r="H2882" s="0" t="n">
        <v>21.49</v>
      </c>
      <c r="I2882" s="0" t="n">
        <v>5.12</v>
      </c>
      <c r="J2882" s="0" t="n">
        <v>16.95</v>
      </c>
      <c r="K2882" s="0" t="n">
        <v>5</v>
      </c>
      <c r="T2882" s="0" t="n">
        <v>1</v>
      </c>
      <c r="U2882" s="0" t="n">
        <v>1</v>
      </c>
      <c r="V2882" s="0" t="inlineStr">
        <is>
          <t>계단식</t>
        </is>
      </c>
      <c r="W2882" s="0" t="n">
        <v>21</v>
      </c>
      <c r="X2882" s="0" t="n">
        <v>11</v>
      </c>
      <c r="Y2882" s="0" t="n">
        <v>11</v>
      </c>
      <c r="Z2882" s="0" t="inlineStr">
        <is>
          <t>https://new.land.naver.com/complexes/119967?tab=detail&amp;rf=Y</t>
        </is>
      </c>
      <c r="AA2882" s="0" t="inlineStr">
        <is>
          <t>서울시 강동구 천호동 163-30</t>
        </is>
      </c>
      <c r="AB2882" s="0" t="inlineStr">
        <is>
          <t>서울시</t>
        </is>
      </c>
      <c r="AC2882" s="0" t="inlineStr">
        <is>
          <t>강동구</t>
        </is>
      </c>
      <c r="AD2882" s="0" t="inlineStr">
        <is>
          <t>천호동</t>
        </is>
      </c>
      <c r="AG2882" s="0" t="inlineStr">
        <is>
          <t>서울시 강동구 진황도로31길 14-6</t>
        </is>
      </c>
      <c r="AH2882" s="0" t="n">
        <v>0</v>
      </c>
      <c r="AI2882" s="0" t="n">
        <v>395</v>
      </c>
      <c r="AJ2882" s="0" t="n">
        <v>47</v>
      </c>
      <c r="AK2882" s="0" t="n">
        <v>15</v>
      </c>
      <c r="AL2882" s="0" t="n">
        <v>0.75</v>
      </c>
    </row>
    <row r="2883">
      <c r="A2883" s="0" t="inlineStr">
        <is>
          <t>[천호동]</t>
        </is>
      </c>
      <c r="B2883" s="0" t="n">
        <v>119967</v>
      </c>
      <c r="C2883" s="0" t="n">
        <v>2</v>
      </c>
      <c r="D2883" s="0" t="inlineStr">
        <is>
          <t>성우스타팰리스(163-30,도시형)</t>
        </is>
      </c>
      <c r="E2883" s="0" t="inlineStr">
        <is>
          <t>2017.12.</t>
        </is>
      </c>
      <c r="F2883" s="0" t="n">
        <v>20</v>
      </c>
      <c r="G2883" s="0" t="n">
        <v>10.05</v>
      </c>
      <c r="H2883" s="0" t="n">
        <v>33.24</v>
      </c>
      <c r="I2883" s="0" t="n">
        <v>7.93</v>
      </c>
      <c r="J2883" s="0" t="n">
        <v>26.22</v>
      </c>
      <c r="K2883" s="0" t="n">
        <v>5</v>
      </c>
      <c r="T2883" s="0" t="n">
        <v>1</v>
      </c>
      <c r="U2883" s="0" t="n">
        <v>1</v>
      </c>
      <c r="V2883" s="0" t="inlineStr">
        <is>
          <t>계단식</t>
        </is>
      </c>
      <c r="W2883" s="0" t="n">
        <v>33</v>
      </c>
      <c r="X2883" s="0" t="n">
        <v>11</v>
      </c>
      <c r="Y2883" s="0" t="n">
        <v>11</v>
      </c>
      <c r="Z2883" s="0" t="inlineStr">
        <is>
          <t>https://new.land.naver.com/complexes/119967?tab=detail&amp;rf=Y</t>
        </is>
      </c>
      <c r="AA2883" s="0" t="inlineStr">
        <is>
          <t>서울시 강동구 천호동 163-30</t>
        </is>
      </c>
      <c r="AB2883" s="0" t="inlineStr">
        <is>
          <t>서울시</t>
        </is>
      </c>
      <c r="AC2883" s="0" t="inlineStr">
        <is>
          <t>강동구</t>
        </is>
      </c>
      <c r="AD2883" s="0" t="inlineStr">
        <is>
          <t>천호동</t>
        </is>
      </c>
      <c r="AG2883" s="0" t="inlineStr">
        <is>
          <t>서울시 강동구 진황도로31길 14-6</t>
        </is>
      </c>
      <c r="AH2883" s="0" t="n">
        <v>0</v>
      </c>
      <c r="AI2883" s="0" t="n">
        <v>395</v>
      </c>
      <c r="AJ2883" s="0" t="n">
        <v>47</v>
      </c>
      <c r="AK2883" s="0" t="n">
        <v>15</v>
      </c>
      <c r="AL2883" s="0" t="n">
        <v>0.75</v>
      </c>
    </row>
    <row r="2884">
      <c r="A2884" s="0" t="inlineStr">
        <is>
          <t>[천호동]</t>
        </is>
      </c>
      <c r="B2884" s="0" t="n">
        <v>119967</v>
      </c>
      <c r="C2884" s="0" t="n">
        <v>3</v>
      </c>
      <c r="D2884" s="0" t="inlineStr">
        <is>
          <t>성우스타팰리스(163-30,도시형)</t>
        </is>
      </c>
      <c r="E2884" s="0" t="inlineStr">
        <is>
          <t>2017.12.</t>
        </is>
      </c>
      <c r="F2884" s="0" t="n">
        <v>20</v>
      </c>
      <c r="G2884" s="0" t="n">
        <v>11.03</v>
      </c>
      <c r="H2884" s="0" t="n">
        <v>36.48</v>
      </c>
      <c r="I2884" s="0" t="n">
        <v>8.699999999999999</v>
      </c>
      <c r="J2884" s="0" t="n">
        <v>28.77</v>
      </c>
      <c r="K2884" s="0" t="n">
        <v>5</v>
      </c>
      <c r="T2884" s="0" t="n">
        <v>1</v>
      </c>
      <c r="U2884" s="0" t="n">
        <v>1</v>
      </c>
      <c r="V2884" s="0" t="inlineStr">
        <is>
          <t>계단식</t>
        </is>
      </c>
      <c r="W2884" s="0" t="inlineStr">
        <is>
          <t>36A</t>
        </is>
      </c>
      <c r="X2884" s="0" t="n">
        <v>11</v>
      </c>
      <c r="Y2884" s="0" t="n">
        <v>11</v>
      </c>
      <c r="Z2884" s="0" t="inlineStr">
        <is>
          <t>https://new.land.naver.com/complexes/119967?tab=detail&amp;rf=Y</t>
        </is>
      </c>
      <c r="AA2884" s="0" t="inlineStr">
        <is>
          <t>서울시 강동구 천호동 163-30</t>
        </is>
      </c>
      <c r="AB2884" s="0" t="inlineStr">
        <is>
          <t>서울시</t>
        </is>
      </c>
      <c r="AC2884" s="0" t="inlineStr">
        <is>
          <t>강동구</t>
        </is>
      </c>
      <c r="AD2884" s="0" t="inlineStr">
        <is>
          <t>천호동</t>
        </is>
      </c>
      <c r="AG2884" s="0" t="inlineStr">
        <is>
          <t>서울시 강동구 진황도로31길 14-6</t>
        </is>
      </c>
      <c r="AH2884" s="0" t="n">
        <v>0</v>
      </c>
      <c r="AI2884" s="0" t="n">
        <v>395</v>
      </c>
      <c r="AJ2884" s="0" t="n">
        <v>47</v>
      </c>
      <c r="AK2884" s="0" t="n">
        <v>15</v>
      </c>
      <c r="AL2884" s="0" t="n">
        <v>0.75</v>
      </c>
    </row>
    <row r="2885">
      <c r="A2885" s="0" t="inlineStr">
        <is>
          <t>[천호동]</t>
        </is>
      </c>
      <c r="B2885" s="0" t="n">
        <v>119967</v>
      </c>
      <c r="C2885" s="0" t="n">
        <v>4</v>
      </c>
      <c r="D2885" s="0" t="inlineStr">
        <is>
          <t>성우스타팰리스(163-30,도시형)</t>
        </is>
      </c>
      <c r="E2885" s="0" t="inlineStr">
        <is>
          <t>2017.12.</t>
        </is>
      </c>
      <c r="F2885" s="0" t="n">
        <v>20</v>
      </c>
      <c r="G2885" s="0" t="n">
        <v>11.48</v>
      </c>
      <c r="H2885" s="0" t="n">
        <v>37.96</v>
      </c>
      <c r="I2885" s="0" t="n">
        <v>9.050000000000001</v>
      </c>
      <c r="J2885" s="0" t="n">
        <v>29.94</v>
      </c>
      <c r="K2885" s="0" t="n">
        <v>5</v>
      </c>
      <c r="T2885" s="0" t="n">
        <v>1</v>
      </c>
      <c r="U2885" s="0" t="n">
        <v>1</v>
      </c>
      <c r="V2885" s="0" t="inlineStr">
        <is>
          <t>계단식</t>
        </is>
      </c>
      <c r="W2885" s="0" t="inlineStr">
        <is>
          <t>37B</t>
        </is>
      </c>
      <c r="X2885" s="0" t="n">
        <v>11</v>
      </c>
      <c r="Y2885" s="0" t="n">
        <v>11</v>
      </c>
      <c r="Z2885" s="0" t="inlineStr">
        <is>
          <t>https://new.land.naver.com/complexes/119967?tab=detail&amp;rf=Y</t>
        </is>
      </c>
      <c r="AA2885" s="0" t="inlineStr">
        <is>
          <t>서울시 강동구 천호동 163-30</t>
        </is>
      </c>
      <c r="AB2885" s="0" t="inlineStr">
        <is>
          <t>서울시</t>
        </is>
      </c>
      <c r="AC2885" s="0" t="inlineStr">
        <is>
          <t>강동구</t>
        </is>
      </c>
      <c r="AD2885" s="0" t="inlineStr">
        <is>
          <t>천호동</t>
        </is>
      </c>
      <c r="AG2885" s="0" t="inlineStr">
        <is>
          <t>서울시 강동구 진황도로31길 14-6</t>
        </is>
      </c>
      <c r="AH2885" s="0" t="n">
        <v>0</v>
      </c>
      <c r="AI2885" s="0" t="n">
        <v>395</v>
      </c>
      <c r="AJ2885" s="0" t="n">
        <v>47</v>
      </c>
      <c r="AK2885" s="0" t="n">
        <v>15</v>
      </c>
      <c r="AL2885" s="0" t="n">
        <v>0.75</v>
      </c>
    </row>
    <row r="2886">
      <c r="A2886" s="0" t="inlineStr">
        <is>
          <t>[천호동]</t>
        </is>
      </c>
      <c r="B2886" s="0" t="n">
        <v>106137</v>
      </c>
      <c r="C2886" s="0" t="n">
        <v>1</v>
      </c>
      <c r="D2886" s="0" t="inlineStr">
        <is>
          <t>하이브(도시형)</t>
        </is>
      </c>
      <c r="E2886" s="0" t="inlineStr">
        <is>
          <t>2013.02.</t>
        </is>
      </c>
      <c r="F2886" s="0" t="n">
        <v>66</v>
      </c>
      <c r="G2886" s="0" t="n">
        <v>6.78</v>
      </c>
      <c r="H2886" s="0" t="n">
        <v>22.43</v>
      </c>
      <c r="I2886" s="0" t="n">
        <v>4.08</v>
      </c>
      <c r="J2886" s="0" t="n">
        <v>13.5</v>
      </c>
      <c r="K2886" s="0" t="n">
        <v>22</v>
      </c>
      <c r="T2886" s="0" t="n">
        <v>1</v>
      </c>
      <c r="U2886" s="0" t="n">
        <v>1</v>
      </c>
      <c r="V2886" s="0" t="inlineStr">
        <is>
          <t>복도식</t>
        </is>
      </c>
      <c r="W2886" s="0" t="n">
        <v>22</v>
      </c>
      <c r="X2886" s="0" t="n">
        <v>16</v>
      </c>
      <c r="Y2886" s="0" t="n">
        <v>16</v>
      </c>
      <c r="Z2886" s="0" t="inlineStr">
        <is>
          <t>https://new.land.naver.com/complexes/106137?tab=detail&amp;rf=Y</t>
        </is>
      </c>
      <c r="AA2886" s="0" t="inlineStr">
        <is>
          <t>서울시 강동구 천호동 164-70</t>
        </is>
      </c>
      <c r="AB2886" s="0" t="inlineStr">
        <is>
          <t>서울시</t>
        </is>
      </c>
      <c r="AC2886" s="0" t="inlineStr">
        <is>
          <t>강동구</t>
        </is>
      </c>
      <c r="AD2886" s="0" t="inlineStr">
        <is>
          <t>천호동</t>
        </is>
      </c>
      <c r="AG2886" s="0" t="inlineStr">
        <is>
          <t>서울시 강동구 천호대로167길 26</t>
        </is>
      </c>
      <c r="AH2886" s="0" t="n">
        <v>0</v>
      </c>
      <c r="AI2886" s="0" t="n">
        <v>548</v>
      </c>
      <c r="AJ2886" s="0" t="n">
        <v>50</v>
      </c>
      <c r="AK2886" s="0" t="n">
        <v>19</v>
      </c>
      <c r="AL2886" s="0" t="n">
        <v>0.29</v>
      </c>
    </row>
    <row r="2887">
      <c r="A2887" s="0" t="inlineStr">
        <is>
          <t>[천호동]</t>
        </is>
      </c>
      <c r="B2887" s="0" t="n">
        <v>106137</v>
      </c>
      <c r="C2887" s="0" t="n">
        <v>2</v>
      </c>
      <c r="D2887" s="0" t="inlineStr">
        <is>
          <t>하이브(도시형)</t>
        </is>
      </c>
      <c r="E2887" s="0" t="inlineStr">
        <is>
          <t>2013.02.</t>
        </is>
      </c>
      <c r="F2887" s="0" t="n">
        <v>66</v>
      </c>
      <c r="G2887" s="0" t="n">
        <v>7.68</v>
      </c>
      <c r="H2887" s="0" t="n">
        <v>25.42</v>
      </c>
      <c r="I2887" s="0" t="n">
        <v>4.62</v>
      </c>
      <c r="J2887" s="0" t="n">
        <v>15.3</v>
      </c>
      <c r="K2887" s="0" t="n">
        <v>44</v>
      </c>
      <c r="T2887" s="0" t="n">
        <v>1</v>
      </c>
      <c r="U2887" s="0" t="n">
        <v>1</v>
      </c>
      <c r="V2887" s="0" t="inlineStr">
        <is>
          <t>복도식</t>
        </is>
      </c>
      <c r="W2887" s="0" t="n">
        <v>25</v>
      </c>
      <c r="X2887" s="0" t="n">
        <v>16</v>
      </c>
      <c r="Y2887" s="0" t="n">
        <v>16</v>
      </c>
      <c r="Z2887" s="0" t="inlineStr">
        <is>
          <t>https://new.land.naver.com/complexes/106137?tab=detail&amp;rf=Y</t>
        </is>
      </c>
      <c r="AA2887" s="0" t="inlineStr">
        <is>
          <t>서울시 강동구 천호동 164-70</t>
        </is>
      </c>
      <c r="AB2887" s="0" t="inlineStr">
        <is>
          <t>서울시</t>
        </is>
      </c>
      <c r="AC2887" s="0" t="inlineStr">
        <is>
          <t>강동구</t>
        </is>
      </c>
      <c r="AD2887" s="0" t="inlineStr">
        <is>
          <t>천호동</t>
        </is>
      </c>
      <c r="AG2887" s="0" t="inlineStr">
        <is>
          <t>서울시 강동구 천호대로167길 26</t>
        </is>
      </c>
      <c r="AH2887" s="0" t="n">
        <v>0</v>
      </c>
      <c r="AI2887" s="0" t="n">
        <v>548</v>
      </c>
      <c r="AJ2887" s="0" t="n">
        <v>50</v>
      </c>
      <c r="AK2887" s="0" t="n">
        <v>19</v>
      </c>
      <c r="AL2887" s="0" t="n">
        <v>0.29</v>
      </c>
    </row>
    <row r="2888">
      <c r="A2888" s="0" t="inlineStr">
        <is>
          <t>[천호동]</t>
        </is>
      </c>
      <c r="B2888" s="0" t="n">
        <v>13408</v>
      </c>
      <c r="C2888" s="0" t="n">
        <v>1</v>
      </c>
      <c r="D2888" s="0" t="inlineStr">
        <is>
          <t>베스트빌</t>
        </is>
      </c>
      <c r="E2888" s="0" t="inlineStr">
        <is>
          <t>2002.12.</t>
        </is>
      </c>
      <c r="F2888" s="0" t="n">
        <v>18</v>
      </c>
      <c r="G2888" s="0" t="n">
        <v>30.09</v>
      </c>
      <c r="H2888" s="0" t="n">
        <v>99.48</v>
      </c>
      <c r="I2888" s="0" t="n">
        <v>25.63</v>
      </c>
      <c r="J2888" s="0" t="n">
        <v>84.75</v>
      </c>
      <c r="K2888" s="0" t="n">
        <v>6</v>
      </c>
      <c r="T2888" s="0" t="n">
        <v>3</v>
      </c>
      <c r="U2888" s="0" t="n">
        <v>1</v>
      </c>
      <c r="V2888" s="0" t="inlineStr">
        <is>
          <t>계단식</t>
        </is>
      </c>
      <c r="W2888" s="0" t="n">
        <v>99</v>
      </c>
      <c r="X2888" s="0" t="n">
        <v>7</v>
      </c>
      <c r="Y2888" s="0" t="n">
        <v>7</v>
      </c>
      <c r="Z2888" s="0" t="inlineStr">
        <is>
          <t>https://new.land.naver.com/complexes/13408?tab=detail&amp;rf=Y</t>
        </is>
      </c>
      <c r="AA2888" s="0" t="inlineStr">
        <is>
          <t>서울시 강동구 천호동 37-24</t>
        </is>
      </c>
      <c r="AB2888" s="0" t="inlineStr">
        <is>
          <t>서울시</t>
        </is>
      </c>
      <c r="AC2888" s="0" t="inlineStr">
        <is>
          <t>강동구</t>
        </is>
      </c>
      <c r="AD2888" s="0" t="inlineStr">
        <is>
          <t>천호동</t>
        </is>
      </c>
      <c r="AG2888" s="0" t="inlineStr">
        <is>
          <t>서울시 강동구 상암로41가길 40</t>
        </is>
      </c>
      <c r="AH2888" s="0" t="n">
        <v>0</v>
      </c>
      <c r="AI2888" s="0" t="n">
        <v>218</v>
      </c>
      <c r="AJ2888" s="0" t="n">
        <v>41</v>
      </c>
      <c r="AK2888" s="0" t="n">
        <v>27</v>
      </c>
      <c r="AL2888" s="0" t="n">
        <v>1.5</v>
      </c>
    </row>
    <row r="2889">
      <c r="A2889" s="0" t="inlineStr">
        <is>
          <t>[천호동]</t>
        </is>
      </c>
      <c r="B2889" s="0" t="n">
        <v>13408</v>
      </c>
      <c r="C2889" s="0" t="n">
        <v>2</v>
      </c>
      <c r="D2889" s="0" t="inlineStr">
        <is>
          <t>베스트빌</t>
        </is>
      </c>
      <c r="E2889" s="0" t="inlineStr">
        <is>
          <t>2002.12.</t>
        </is>
      </c>
      <c r="F2889" s="0" t="n">
        <v>18</v>
      </c>
      <c r="G2889" s="0" t="n">
        <v>40.78</v>
      </c>
      <c r="H2889" s="0" t="n">
        <v>134.81</v>
      </c>
      <c r="I2889" s="0" t="n">
        <v>34.74</v>
      </c>
      <c r="J2889" s="0" t="n">
        <v>114.85</v>
      </c>
      <c r="K2889" s="0" t="n">
        <v>8</v>
      </c>
      <c r="T2889" s="0" t="n">
        <v>4</v>
      </c>
      <c r="U2889" s="0" t="n">
        <v>2</v>
      </c>
      <c r="V2889" s="0" t="inlineStr">
        <is>
          <t>계단식</t>
        </is>
      </c>
      <c r="W2889" s="0" t="n">
        <v>134</v>
      </c>
      <c r="X2889" s="0" t="n">
        <v>7</v>
      </c>
      <c r="Y2889" s="0" t="n">
        <v>7</v>
      </c>
      <c r="Z2889" s="0" t="inlineStr">
        <is>
          <t>https://new.land.naver.com/complexes/13408?tab=detail&amp;rf=Y</t>
        </is>
      </c>
      <c r="AA2889" s="0" t="inlineStr">
        <is>
          <t>서울시 강동구 천호동 37-24</t>
        </is>
      </c>
      <c r="AB2889" s="0" t="inlineStr">
        <is>
          <t>서울시</t>
        </is>
      </c>
      <c r="AC2889" s="0" t="inlineStr">
        <is>
          <t>강동구</t>
        </is>
      </c>
      <c r="AD2889" s="0" t="inlineStr">
        <is>
          <t>천호동</t>
        </is>
      </c>
      <c r="AG2889" s="0" t="inlineStr">
        <is>
          <t>서울시 강동구 상암로41가길 40</t>
        </is>
      </c>
      <c r="AH2889" s="0" t="n">
        <v>0</v>
      </c>
      <c r="AI2889" s="0" t="n">
        <v>218</v>
      </c>
      <c r="AJ2889" s="0" t="n">
        <v>41</v>
      </c>
      <c r="AK2889" s="0" t="n">
        <v>27</v>
      </c>
      <c r="AL2889" s="0" t="n">
        <v>1.5</v>
      </c>
    </row>
    <row r="2890">
      <c r="A2890" s="0" t="inlineStr">
        <is>
          <t>[천호동]</t>
        </is>
      </c>
      <c r="B2890" s="0" t="n">
        <v>13408</v>
      </c>
      <c r="C2890" s="0" t="n">
        <v>3</v>
      </c>
      <c r="D2890" s="0" t="inlineStr">
        <is>
          <t>베스트빌</t>
        </is>
      </c>
      <c r="E2890" s="0" t="inlineStr">
        <is>
          <t>2002.12.</t>
        </is>
      </c>
      <c r="F2890" s="0" t="n">
        <v>18</v>
      </c>
      <c r="G2890" s="0" t="n">
        <v>42.21</v>
      </c>
      <c r="H2890" s="0" t="n">
        <v>139.56</v>
      </c>
      <c r="I2890" s="0" t="n">
        <v>35.96</v>
      </c>
      <c r="J2890" s="0" t="n">
        <v>118.9</v>
      </c>
      <c r="K2890" s="0" t="n">
        <v>4</v>
      </c>
      <c r="T2890" s="0" t="n">
        <v>4</v>
      </c>
      <c r="U2890" s="0" t="n">
        <v>2</v>
      </c>
      <c r="V2890" s="0" t="inlineStr">
        <is>
          <t>계단식</t>
        </is>
      </c>
      <c r="W2890" s="0" t="n">
        <v>139</v>
      </c>
      <c r="X2890" s="0" t="n">
        <v>7</v>
      </c>
      <c r="Y2890" s="0" t="n">
        <v>7</v>
      </c>
      <c r="Z2890" s="0" t="inlineStr">
        <is>
          <t>https://new.land.naver.com/complexes/13408?tab=detail&amp;rf=Y</t>
        </is>
      </c>
      <c r="AA2890" s="0" t="inlineStr">
        <is>
          <t>서울시 강동구 천호동 37-24</t>
        </is>
      </c>
      <c r="AB2890" s="0" t="inlineStr">
        <is>
          <t>서울시</t>
        </is>
      </c>
      <c r="AC2890" s="0" t="inlineStr">
        <is>
          <t>강동구</t>
        </is>
      </c>
      <c r="AD2890" s="0" t="inlineStr">
        <is>
          <t>천호동</t>
        </is>
      </c>
      <c r="AG2890" s="0" t="inlineStr">
        <is>
          <t>서울시 강동구 상암로41가길 40</t>
        </is>
      </c>
      <c r="AH2890" s="0" t="n">
        <v>0</v>
      </c>
      <c r="AI2890" s="0" t="n">
        <v>218</v>
      </c>
      <c r="AJ2890" s="0" t="n">
        <v>41</v>
      </c>
      <c r="AK2890" s="0" t="n">
        <v>27</v>
      </c>
      <c r="AL2890" s="0" t="n">
        <v>1.5</v>
      </c>
    </row>
    <row r="2891">
      <c r="A2891" s="0" t="inlineStr">
        <is>
          <t>[천호동]</t>
        </is>
      </c>
      <c r="B2891" s="0" t="n">
        <v>14185</v>
      </c>
      <c r="C2891" s="0" t="n">
        <v>1</v>
      </c>
      <c r="D2891" s="0" t="inlineStr">
        <is>
          <t>진넥스빌Ⅲ</t>
        </is>
      </c>
      <c r="E2891" s="0" t="inlineStr">
        <is>
          <t>2003.09.</t>
        </is>
      </c>
      <c r="F2891" s="0" t="n">
        <v>39</v>
      </c>
      <c r="G2891" s="0" t="n">
        <v>26.03</v>
      </c>
      <c r="H2891" s="0" t="n">
        <v>86.06</v>
      </c>
      <c r="I2891" s="0" t="n">
        <v>22.16</v>
      </c>
      <c r="J2891" s="0" t="n">
        <v>73.26000000000001</v>
      </c>
      <c r="K2891" s="0" t="n">
        <v>13</v>
      </c>
      <c r="T2891" s="0" t="n">
        <v>3</v>
      </c>
      <c r="U2891" s="0" t="n">
        <v>2</v>
      </c>
      <c r="V2891" s="0" t="inlineStr">
        <is>
          <t>계단식</t>
        </is>
      </c>
      <c r="W2891" s="0" t="n">
        <v>86</v>
      </c>
      <c r="X2891" s="0" t="n">
        <v>15</v>
      </c>
      <c r="Y2891" s="0" t="n">
        <v>15</v>
      </c>
      <c r="Z2891" s="0" t="inlineStr">
        <is>
          <t>https://new.land.naver.com/complexes/14185?tab=detail&amp;rf=Y</t>
        </is>
      </c>
      <c r="AA2891" s="0" t="inlineStr">
        <is>
          <t>서울시 강동구 천호동 447-15</t>
        </is>
      </c>
      <c r="AB2891" s="0" t="inlineStr">
        <is>
          <t>서울시</t>
        </is>
      </c>
      <c r="AC2891" s="0" t="inlineStr">
        <is>
          <t>강동구</t>
        </is>
      </c>
      <c r="AD2891" s="0" t="inlineStr">
        <is>
          <t>천호동</t>
        </is>
      </c>
      <c r="AG2891" s="0" t="inlineStr">
        <is>
          <t>서울시 강동구 천호대로 1087</t>
        </is>
      </c>
      <c r="AH2891" s="0" t="n">
        <v>0</v>
      </c>
      <c r="AI2891" s="0" t="n">
        <v>533</v>
      </c>
      <c r="AJ2891" s="0" t="n">
        <v>51</v>
      </c>
      <c r="AK2891" s="0" t="n">
        <v>44</v>
      </c>
      <c r="AL2891" s="0" t="n">
        <v>1.13</v>
      </c>
    </row>
    <row r="2892">
      <c r="A2892" s="0" t="inlineStr">
        <is>
          <t>[천호동]</t>
        </is>
      </c>
      <c r="B2892" s="0" t="n">
        <v>14185</v>
      </c>
      <c r="C2892" s="0" t="n">
        <v>2</v>
      </c>
      <c r="D2892" s="0" t="inlineStr">
        <is>
          <t>진넥스빌Ⅲ</t>
        </is>
      </c>
      <c r="E2892" s="0" t="inlineStr">
        <is>
          <t>2003.09.</t>
        </is>
      </c>
      <c r="F2892" s="0" t="n">
        <v>39</v>
      </c>
      <c r="G2892" s="0" t="n">
        <v>26.8</v>
      </c>
      <c r="H2892" s="0" t="n">
        <v>88.61</v>
      </c>
      <c r="I2892" s="0" t="n">
        <v>22.81</v>
      </c>
      <c r="J2892" s="0" t="n">
        <v>75.43000000000001</v>
      </c>
      <c r="K2892" s="0" t="n">
        <v>13</v>
      </c>
      <c r="T2892" s="0" t="n">
        <v>3</v>
      </c>
      <c r="U2892" s="0" t="n">
        <v>2</v>
      </c>
      <c r="V2892" s="0" t="inlineStr">
        <is>
          <t>계단식</t>
        </is>
      </c>
      <c r="W2892" s="0" t="inlineStr">
        <is>
          <t>88B</t>
        </is>
      </c>
      <c r="X2892" s="0" t="n">
        <v>15</v>
      </c>
      <c r="Y2892" s="0" t="n">
        <v>15</v>
      </c>
      <c r="Z2892" s="0" t="inlineStr">
        <is>
          <t>https://new.land.naver.com/complexes/14185?tab=detail&amp;rf=Y</t>
        </is>
      </c>
      <c r="AA2892" s="0" t="inlineStr">
        <is>
          <t>서울시 강동구 천호동 447-15</t>
        </is>
      </c>
      <c r="AB2892" s="0" t="inlineStr">
        <is>
          <t>서울시</t>
        </is>
      </c>
      <c r="AC2892" s="0" t="inlineStr">
        <is>
          <t>강동구</t>
        </is>
      </c>
      <c r="AD2892" s="0" t="inlineStr">
        <is>
          <t>천호동</t>
        </is>
      </c>
      <c r="AG2892" s="0" t="inlineStr">
        <is>
          <t>서울시 강동구 천호대로 1087</t>
        </is>
      </c>
      <c r="AH2892" s="0" t="n">
        <v>0</v>
      </c>
      <c r="AI2892" s="0" t="n">
        <v>533</v>
      </c>
      <c r="AJ2892" s="0" t="n">
        <v>51</v>
      </c>
      <c r="AK2892" s="0" t="n">
        <v>44</v>
      </c>
      <c r="AL2892" s="0" t="n">
        <v>1.13</v>
      </c>
    </row>
    <row r="2893">
      <c r="A2893" s="0" t="inlineStr">
        <is>
          <t>[천호동]</t>
        </is>
      </c>
      <c r="B2893" s="0" t="n">
        <v>14185</v>
      </c>
      <c r="C2893" s="0" t="n">
        <v>3</v>
      </c>
      <c r="D2893" s="0" t="inlineStr">
        <is>
          <t>진넥스빌Ⅲ</t>
        </is>
      </c>
      <c r="E2893" s="0" t="inlineStr">
        <is>
          <t>2003.09.</t>
        </is>
      </c>
      <c r="F2893" s="0" t="n">
        <v>39</v>
      </c>
      <c r="G2893" s="0" t="n">
        <v>27.49</v>
      </c>
      <c r="H2893" s="0" t="n">
        <v>90.88</v>
      </c>
      <c r="I2893" s="0" t="n">
        <v>23.4</v>
      </c>
      <c r="J2893" s="0" t="n">
        <v>77.36</v>
      </c>
      <c r="K2893" s="0" t="n">
        <v>13</v>
      </c>
      <c r="T2893" s="0" t="n">
        <v>3</v>
      </c>
      <c r="U2893" s="0" t="n">
        <v>1</v>
      </c>
      <c r="V2893" s="0" t="inlineStr">
        <is>
          <t>계단식</t>
        </is>
      </c>
      <c r="W2893" s="0" t="inlineStr">
        <is>
          <t>90A</t>
        </is>
      </c>
      <c r="X2893" s="0" t="n">
        <v>15</v>
      </c>
      <c r="Y2893" s="0" t="n">
        <v>15</v>
      </c>
      <c r="Z2893" s="0" t="inlineStr">
        <is>
          <t>https://new.land.naver.com/complexes/14185?tab=detail&amp;rf=Y</t>
        </is>
      </c>
      <c r="AA2893" s="0" t="inlineStr">
        <is>
          <t>서울시 강동구 천호동 447-15</t>
        </is>
      </c>
      <c r="AB2893" s="0" t="inlineStr">
        <is>
          <t>서울시</t>
        </is>
      </c>
      <c r="AC2893" s="0" t="inlineStr">
        <is>
          <t>강동구</t>
        </is>
      </c>
      <c r="AD2893" s="0" t="inlineStr">
        <is>
          <t>천호동</t>
        </is>
      </c>
      <c r="AG2893" s="0" t="inlineStr">
        <is>
          <t>서울시 강동구 천호대로 1087</t>
        </is>
      </c>
      <c r="AH2893" s="0" t="n">
        <v>0</v>
      </c>
      <c r="AI2893" s="0" t="n">
        <v>533</v>
      </c>
      <c r="AJ2893" s="0" t="n">
        <v>51</v>
      </c>
      <c r="AK2893" s="0" t="n">
        <v>44</v>
      </c>
      <c r="AL2893" s="0" t="n">
        <v>1.13</v>
      </c>
    </row>
    <row r="2894">
      <c r="A2894" s="0" t="inlineStr">
        <is>
          <t>[천호동]</t>
        </is>
      </c>
      <c r="B2894" s="0" t="n">
        <v>22988</v>
      </c>
      <c r="C2894" s="0" t="n">
        <v>1</v>
      </c>
      <c r="D2894" s="0" t="inlineStr">
        <is>
          <t>강동이루미</t>
        </is>
      </c>
      <c r="E2894" s="0" t="inlineStr">
        <is>
          <t>2005.12.</t>
        </is>
      </c>
      <c r="F2894" s="0" t="n">
        <v>74</v>
      </c>
      <c r="G2894" s="0" t="n">
        <v>18.96</v>
      </c>
      <c r="H2894" s="0" t="n">
        <v>62.68</v>
      </c>
      <c r="I2894" s="0" t="n">
        <v>15.21</v>
      </c>
      <c r="J2894" s="0" t="n">
        <v>50.29</v>
      </c>
      <c r="K2894" s="0" t="n">
        <v>1</v>
      </c>
      <c r="T2894" s="0" t="n">
        <v>2</v>
      </c>
      <c r="U2894" s="0" t="n">
        <v>1</v>
      </c>
      <c r="V2894" s="0" t="inlineStr">
        <is>
          <t>계단식</t>
        </is>
      </c>
      <c r="W2894" s="0" t="n">
        <v>62</v>
      </c>
      <c r="X2894" s="0" t="n">
        <v>13</v>
      </c>
      <c r="Y2894" s="0" t="n">
        <v>5</v>
      </c>
      <c r="Z2894" s="0" t="inlineStr">
        <is>
          <t>https://new.land.naver.com/complexes/22988?tab=detail&amp;rf=Y</t>
        </is>
      </c>
      <c r="AA2894" s="0" t="inlineStr">
        <is>
          <t>서울시 강동구 천호동 46</t>
        </is>
      </c>
      <c r="AB2894" s="0" t="inlineStr">
        <is>
          <t>서울시</t>
        </is>
      </c>
      <c r="AC2894" s="0" t="inlineStr">
        <is>
          <t>강동구</t>
        </is>
      </c>
      <c r="AD2894" s="0" t="inlineStr">
        <is>
          <t>천호동</t>
        </is>
      </c>
      <c r="AG2894" s="0" t="inlineStr">
        <is>
          <t>서울시 강동구 양재대로123길 30</t>
        </is>
      </c>
      <c r="AH2894" s="0" t="n">
        <v>0</v>
      </c>
      <c r="AI2894" s="0" t="n">
        <v>233</v>
      </c>
      <c r="AJ2894" s="0" t="n">
        <v>26</v>
      </c>
      <c r="AK2894" s="0" t="n">
        <v>86</v>
      </c>
      <c r="AL2894" s="0" t="n">
        <v>1.16</v>
      </c>
    </row>
    <row r="2895">
      <c r="A2895" s="0" t="inlineStr">
        <is>
          <t>[천호동]</t>
        </is>
      </c>
      <c r="B2895" s="0" t="n">
        <v>22988</v>
      </c>
      <c r="C2895" s="0" t="n">
        <v>2</v>
      </c>
      <c r="D2895" s="0" t="inlineStr">
        <is>
          <t>강동이루미</t>
        </is>
      </c>
      <c r="E2895" s="0" t="inlineStr">
        <is>
          <t>2005.12.</t>
        </is>
      </c>
      <c r="F2895" s="0" t="n">
        <v>74</v>
      </c>
      <c r="G2895" s="0" t="n">
        <v>21.22</v>
      </c>
      <c r="H2895" s="0" t="n">
        <v>70.15000000000001</v>
      </c>
      <c r="I2895" s="0" t="n">
        <v>17</v>
      </c>
      <c r="J2895" s="0" t="n">
        <v>56.2</v>
      </c>
      <c r="K2895" s="0" t="n">
        <v>1</v>
      </c>
      <c r="T2895" s="0" t="n">
        <v>1</v>
      </c>
      <c r="U2895" s="0" t="n">
        <v>1</v>
      </c>
      <c r="V2895" s="0" t="inlineStr">
        <is>
          <t>계단식</t>
        </is>
      </c>
      <c r="W2895" s="0" t="n">
        <v>70</v>
      </c>
      <c r="X2895" s="0" t="n">
        <v>13</v>
      </c>
      <c r="Y2895" s="0" t="n">
        <v>5</v>
      </c>
      <c r="Z2895" s="0" t="inlineStr">
        <is>
          <t>https://new.land.naver.com/complexes/22988?tab=detail&amp;rf=Y</t>
        </is>
      </c>
      <c r="AA2895" s="0" t="inlineStr">
        <is>
          <t>서울시 강동구 천호동 46</t>
        </is>
      </c>
      <c r="AB2895" s="0" t="inlineStr">
        <is>
          <t>서울시</t>
        </is>
      </c>
      <c r="AC2895" s="0" t="inlineStr">
        <is>
          <t>강동구</t>
        </is>
      </c>
      <c r="AD2895" s="0" t="inlineStr">
        <is>
          <t>천호동</t>
        </is>
      </c>
      <c r="AG2895" s="0" t="inlineStr">
        <is>
          <t>서울시 강동구 양재대로123길 30</t>
        </is>
      </c>
      <c r="AH2895" s="0" t="n">
        <v>0</v>
      </c>
      <c r="AI2895" s="0" t="n">
        <v>233</v>
      </c>
      <c r="AJ2895" s="0" t="n">
        <v>26</v>
      </c>
      <c r="AK2895" s="0" t="n">
        <v>86</v>
      </c>
      <c r="AL2895" s="0" t="n">
        <v>1.16</v>
      </c>
    </row>
    <row r="2896">
      <c r="A2896" s="0" t="inlineStr">
        <is>
          <t>[천호동]</t>
        </is>
      </c>
      <c r="B2896" s="0" t="n">
        <v>22988</v>
      </c>
      <c r="C2896" s="0" t="n">
        <v>3</v>
      </c>
      <c r="D2896" s="0" t="inlineStr">
        <is>
          <t>강동이루미</t>
        </is>
      </c>
      <c r="E2896" s="0" t="inlineStr">
        <is>
          <t>2005.12.</t>
        </is>
      </c>
      <c r="F2896" s="0" t="n">
        <v>74</v>
      </c>
      <c r="G2896" s="0" t="n">
        <v>27.17</v>
      </c>
      <c r="H2896" s="0" t="n">
        <v>89.84</v>
      </c>
      <c r="I2896" s="0" t="n">
        <v>22</v>
      </c>
      <c r="J2896" s="0" t="n">
        <v>72.73</v>
      </c>
      <c r="K2896" s="0" t="n">
        <v>3</v>
      </c>
      <c r="T2896" s="0" t="n">
        <v>3</v>
      </c>
      <c r="U2896" s="0" t="n">
        <v>2</v>
      </c>
      <c r="V2896" s="0" t="inlineStr">
        <is>
          <t>계단식</t>
        </is>
      </c>
      <c r="W2896" s="0" t="n">
        <v>89</v>
      </c>
      <c r="X2896" s="0" t="n">
        <v>13</v>
      </c>
      <c r="Y2896" s="0" t="n">
        <v>5</v>
      </c>
      <c r="Z2896" s="0" t="inlineStr">
        <is>
          <t>https://new.land.naver.com/complexes/22988?tab=detail&amp;rf=Y</t>
        </is>
      </c>
      <c r="AA2896" s="0" t="inlineStr">
        <is>
          <t>서울시 강동구 천호동 46</t>
        </is>
      </c>
      <c r="AB2896" s="0" t="inlineStr">
        <is>
          <t>서울시</t>
        </is>
      </c>
      <c r="AC2896" s="0" t="inlineStr">
        <is>
          <t>강동구</t>
        </is>
      </c>
      <c r="AD2896" s="0" t="inlineStr">
        <is>
          <t>천호동</t>
        </is>
      </c>
      <c r="AG2896" s="0" t="inlineStr">
        <is>
          <t>서울시 강동구 양재대로123길 30</t>
        </is>
      </c>
      <c r="AH2896" s="0" t="n">
        <v>0</v>
      </c>
      <c r="AI2896" s="0" t="n">
        <v>233</v>
      </c>
      <c r="AJ2896" s="0" t="n">
        <v>26</v>
      </c>
      <c r="AK2896" s="0" t="n">
        <v>86</v>
      </c>
      <c r="AL2896" s="0" t="n">
        <v>1.16</v>
      </c>
    </row>
    <row r="2897">
      <c r="A2897" s="0" t="inlineStr">
        <is>
          <t>[천호동]</t>
        </is>
      </c>
      <c r="B2897" s="0" t="n">
        <v>22988</v>
      </c>
      <c r="C2897" s="0" t="n">
        <v>4</v>
      </c>
      <c r="D2897" s="0" t="inlineStr">
        <is>
          <t>강동이루미</t>
        </is>
      </c>
      <c r="E2897" s="0" t="inlineStr">
        <is>
          <t>2005.12.</t>
        </is>
      </c>
      <c r="F2897" s="0" t="n">
        <v>74</v>
      </c>
      <c r="G2897" s="0" t="n">
        <v>28.25</v>
      </c>
      <c r="H2897" s="0" t="n">
        <v>93.41</v>
      </c>
      <c r="I2897" s="0" t="n">
        <v>22.87</v>
      </c>
      <c r="J2897" s="0" t="n">
        <v>75.63</v>
      </c>
      <c r="K2897" s="0" t="n">
        <v>2</v>
      </c>
      <c r="T2897" s="0" t="n">
        <v>3</v>
      </c>
      <c r="U2897" s="0" t="n">
        <v>2</v>
      </c>
      <c r="V2897" s="0" t="inlineStr">
        <is>
          <t>계단식</t>
        </is>
      </c>
      <c r="W2897" s="0" t="n">
        <v>93</v>
      </c>
      <c r="X2897" s="0" t="n">
        <v>13</v>
      </c>
      <c r="Y2897" s="0" t="n">
        <v>5</v>
      </c>
      <c r="Z2897" s="0" t="inlineStr">
        <is>
          <t>https://new.land.naver.com/complexes/22988?tab=detail&amp;rf=Y</t>
        </is>
      </c>
      <c r="AA2897" s="0" t="inlineStr">
        <is>
          <t>서울시 강동구 천호동 46</t>
        </is>
      </c>
      <c r="AB2897" s="0" t="inlineStr">
        <is>
          <t>서울시</t>
        </is>
      </c>
      <c r="AC2897" s="0" t="inlineStr">
        <is>
          <t>강동구</t>
        </is>
      </c>
      <c r="AD2897" s="0" t="inlineStr">
        <is>
          <t>천호동</t>
        </is>
      </c>
      <c r="AG2897" s="0" t="inlineStr">
        <is>
          <t>서울시 강동구 양재대로123길 30</t>
        </is>
      </c>
      <c r="AH2897" s="0" t="n">
        <v>0</v>
      </c>
      <c r="AI2897" s="0" t="n">
        <v>233</v>
      </c>
      <c r="AJ2897" s="0" t="n">
        <v>26</v>
      </c>
      <c r="AK2897" s="0" t="n">
        <v>86</v>
      </c>
      <c r="AL2897" s="0" t="n">
        <v>1.16</v>
      </c>
    </row>
    <row r="2898">
      <c r="A2898" s="0" t="inlineStr">
        <is>
          <t>[천호동]</t>
        </is>
      </c>
      <c r="B2898" s="0" t="n">
        <v>22988</v>
      </c>
      <c r="C2898" s="0" t="n">
        <v>5</v>
      </c>
      <c r="D2898" s="0" t="inlineStr">
        <is>
          <t>강동이루미</t>
        </is>
      </c>
      <c r="E2898" s="0" t="inlineStr">
        <is>
          <t>2005.12.</t>
        </is>
      </c>
      <c r="F2898" s="0" t="n">
        <v>74</v>
      </c>
      <c r="G2898" s="0" t="n">
        <v>31.63</v>
      </c>
      <c r="H2898" s="0" t="n">
        <v>104.58</v>
      </c>
      <c r="I2898" s="0" t="n">
        <v>25.67</v>
      </c>
      <c r="J2898" s="0" t="n">
        <v>84.88</v>
      </c>
      <c r="K2898" s="0" t="n">
        <v>46</v>
      </c>
      <c r="T2898" s="0" t="n">
        <v>3</v>
      </c>
      <c r="U2898" s="0" t="n">
        <v>2</v>
      </c>
      <c r="V2898" s="0" t="inlineStr">
        <is>
          <t>계단식</t>
        </is>
      </c>
      <c r="W2898" s="0" t="inlineStr">
        <is>
          <t>104B</t>
        </is>
      </c>
      <c r="X2898" s="0" t="n">
        <v>13</v>
      </c>
      <c r="Y2898" s="0" t="n">
        <v>5</v>
      </c>
      <c r="Z2898" s="0" t="inlineStr">
        <is>
          <t>https://new.land.naver.com/complexes/22988?tab=detail&amp;rf=Y</t>
        </is>
      </c>
      <c r="AA2898" s="0" t="inlineStr">
        <is>
          <t>서울시 강동구 천호동 46</t>
        </is>
      </c>
      <c r="AB2898" s="0" t="inlineStr">
        <is>
          <t>서울시</t>
        </is>
      </c>
      <c r="AC2898" s="0" t="inlineStr">
        <is>
          <t>강동구</t>
        </is>
      </c>
      <c r="AD2898" s="0" t="inlineStr">
        <is>
          <t>천호동</t>
        </is>
      </c>
      <c r="AG2898" s="0" t="inlineStr">
        <is>
          <t>서울시 강동구 양재대로123길 30</t>
        </is>
      </c>
      <c r="AH2898" s="0" t="n">
        <v>0</v>
      </c>
      <c r="AI2898" s="0" t="n">
        <v>233</v>
      </c>
      <c r="AJ2898" s="0" t="n">
        <v>26</v>
      </c>
      <c r="AK2898" s="0" t="n">
        <v>86</v>
      </c>
      <c r="AL2898" s="0" t="n">
        <v>1.16</v>
      </c>
    </row>
    <row r="2899">
      <c r="A2899" s="0" t="inlineStr">
        <is>
          <t>[천호동]</t>
        </is>
      </c>
      <c r="B2899" s="0" t="n">
        <v>22988</v>
      </c>
      <c r="C2899" s="0" t="n">
        <v>6</v>
      </c>
      <c r="D2899" s="0" t="inlineStr">
        <is>
          <t>강동이루미</t>
        </is>
      </c>
      <c r="E2899" s="0" t="inlineStr">
        <is>
          <t>2005.12.</t>
        </is>
      </c>
      <c r="F2899" s="0" t="n">
        <v>74</v>
      </c>
      <c r="G2899" s="0" t="n">
        <v>31.57</v>
      </c>
      <c r="H2899" s="0" t="n">
        <v>104.38</v>
      </c>
      <c r="I2899" s="0" t="n">
        <v>25.66</v>
      </c>
      <c r="J2899" s="0" t="n">
        <v>84.84999999999999</v>
      </c>
      <c r="K2899" s="0" t="n">
        <v>16</v>
      </c>
      <c r="T2899" s="0" t="n">
        <v>3</v>
      </c>
      <c r="U2899" s="0" t="n">
        <v>2</v>
      </c>
      <c r="V2899" s="0" t="inlineStr">
        <is>
          <t>계단식</t>
        </is>
      </c>
      <c r="W2899" s="0" t="inlineStr">
        <is>
          <t>104A</t>
        </is>
      </c>
      <c r="X2899" s="0" t="n">
        <v>13</v>
      </c>
      <c r="Y2899" s="0" t="n">
        <v>5</v>
      </c>
      <c r="Z2899" s="0" t="inlineStr">
        <is>
          <t>https://new.land.naver.com/complexes/22988?tab=detail&amp;rf=Y</t>
        </is>
      </c>
      <c r="AA2899" s="0" t="inlineStr">
        <is>
          <t>서울시 강동구 천호동 46</t>
        </is>
      </c>
      <c r="AB2899" s="0" t="inlineStr">
        <is>
          <t>서울시</t>
        </is>
      </c>
      <c r="AC2899" s="0" t="inlineStr">
        <is>
          <t>강동구</t>
        </is>
      </c>
      <c r="AD2899" s="0" t="inlineStr">
        <is>
          <t>천호동</t>
        </is>
      </c>
      <c r="AG2899" s="0" t="inlineStr">
        <is>
          <t>서울시 강동구 양재대로123길 30</t>
        </is>
      </c>
      <c r="AH2899" s="0" t="n">
        <v>0</v>
      </c>
      <c r="AI2899" s="0" t="n">
        <v>233</v>
      </c>
      <c r="AJ2899" s="0" t="n">
        <v>26</v>
      </c>
      <c r="AK2899" s="0" t="n">
        <v>86</v>
      </c>
      <c r="AL2899" s="0" t="n">
        <v>1.16</v>
      </c>
    </row>
    <row r="2900">
      <c r="A2900" s="0" t="inlineStr">
        <is>
          <t>[천호동]</t>
        </is>
      </c>
      <c r="B2900" s="0" t="n">
        <v>22988</v>
      </c>
      <c r="C2900" s="0" t="n">
        <v>7</v>
      </c>
      <c r="D2900" s="0" t="inlineStr">
        <is>
          <t>강동이루미</t>
        </is>
      </c>
      <c r="E2900" s="0" t="inlineStr">
        <is>
          <t>2005.12.</t>
        </is>
      </c>
      <c r="F2900" s="0" t="n">
        <v>74</v>
      </c>
      <c r="G2900" s="0" t="n">
        <v>31.84</v>
      </c>
      <c r="H2900" s="0" t="n">
        <v>105.27</v>
      </c>
      <c r="I2900" s="0" t="n">
        <v>25.68</v>
      </c>
      <c r="J2900" s="0" t="n">
        <v>84.91</v>
      </c>
      <c r="K2900" s="0" t="n">
        <v>5</v>
      </c>
      <c r="T2900" s="0" t="n">
        <v>3</v>
      </c>
      <c r="U2900" s="0" t="n">
        <v>2</v>
      </c>
      <c r="V2900" s="0" t="inlineStr">
        <is>
          <t>계단식</t>
        </is>
      </c>
      <c r="W2900" s="0" t="n">
        <v>105</v>
      </c>
      <c r="X2900" s="0" t="n">
        <v>13</v>
      </c>
      <c r="Y2900" s="0" t="n">
        <v>5</v>
      </c>
      <c r="Z2900" s="0" t="inlineStr">
        <is>
          <t>https://new.land.naver.com/complexes/22988?tab=detail&amp;rf=Y</t>
        </is>
      </c>
      <c r="AA2900" s="0" t="inlineStr">
        <is>
          <t>서울시 강동구 천호동 46</t>
        </is>
      </c>
      <c r="AB2900" s="0" t="inlineStr">
        <is>
          <t>서울시</t>
        </is>
      </c>
      <c r="AC2900" s="0" t="inlineStr">
        <is>
          <t>강동구</t>
        </is>
      </c>
      <c r="AD2900" s="0" t="inlineStr">
        <is>
          <t>천호동</t>
        </is>
      </c>
      <c r="AG2900" s="0" t="inlineStr">
        <is>
          <t>서울시 강동구 양재대로123길 30</t>
        </is>
      </c>
      <c r="AH2900" s="0" t="n">
        <v>0</v>
      </c>
      <c r="AI2900" s="0" t="n">
        <v>233</v>
      </c>
      <c r="AJ2900" s="0" t="n">
        <v>26</v>
      </c>
      <c r="AK2900" s="0" t="n">
        <v>86</v>
      </c>
      <c r="AL2900" s="0" t="n">
        <v>1.16</v>
      </c>
    </row>
    <row r="2901">
      <c r="A2901" s="0" t="inlineStr">
        <is>
          <t>[천호동]</t>
        </is>
      </c>
      <c r="B2901" s="0" t="n">
        <v>106954</v>
      </c>
      <c r="C2901" s="0" t="n">
        <v>1</v>
      </c>
      <c r="D2901" s="0" t="inlineStr">
        <is>
          <t>베네캐슬</t>
        </is>
      </c>
      <c r="E2901" s="0" t="inlineStr">
        <is>
          <t>2011.04.</t>
        </is>
      </c>
      <c r="F2901" s="0" t="n">
        <v>16</v>
      </c>
      <c r="G2901" s="0" t="n">
        <v>22.66</v>
      </c>
      <c r="H2901" s="0" t="n">
        <v>74.93000000000001</v>
      </c>
      <c r="I2901" s="0" t="n">
        <v>19.64</v>
      </c>
      <c r="J2901" s="0" t="n">
        <v>64.95</v>
      </c>
      <c r="K2901" s="0" t="n">
        <v>2</v>
      </c>
      <c r="T2901" s="0" t="n">
        <v>3</v>
      </c>
      <c r="U2901" s="0" t="n">
        <v>2</v>
      </c>
      <c r="V2901" s="0" t="inlineStr">
        <is>
          <t>복도식</t>
        </is>
      </c>
      <c r="W2901" s="0" t="n">
        <v>74</v>
      </c>
      <c r="X2901" s="0" t="n">
        <v>9</v>
      </c>
      <c r="Y2901" s="0" t="n">
        <v>9</v>
      </c>
      <c r="Z2901" s="0" t="inlineStr">
        <is>
          <t>https://new.land.naver.com/complexes/106954?tab=detail&amp;rf=Y</t>
        </is>
      </c>
      <c r="AA2901" s="0" t="inlineStr">
        <is>
          <t>서울시 강동구 천호동 315-3</t>
        </is>
      </c>
      <c r="AB2901" s="0" t="inlineStr">
        <is>
          <t>서울시</t>
        </is>
      </c>
      <c r="AC2901" s="0" t="inlineStr">
        <is>
          <t>강동구</t>
        </is>
      </c>
      <c r="AD2901" s="0" t="inlineStr">
        <is>
          <t>천호동</t>
        </is>
      </c>
      <c r="AG2901" s="0" t="inlineStr">
        <is>
          <t>서울시 강동구 올림픽로88길 7</t>
        </is>
      </c>
      <c r="AH2901" s="0" t="n">
        <v>0</v>
      </c>
      <c r="AI2901" s="0" t="n">
        <v>249</v>
      </c>
      <c r="AJ2901" s="0" t="n">
        <v>37</v>
      </c>
      <c r="AK2901" s="0" t="n">
        <v>18</v>
      </c>
      <c r="AL2901" s="0" t="n">
        <v>1.12</v>
      </c>
    </row>
    <row r="2902">
      <c r="A2902" s="0" t="inlineStr">
        <is>
          <t>[천호동]</t>
        </is>
      </c>
      <c r="B2902" s="0" t="n">
        <v>106954</v>
      </c>
      <c r="C2902" s="0" t="n">
        <v>2</v>
      </c>
      <c r="D2902" s="0" t="inlineStr">
        <is>
          <t>베네캐슬</t>
        </is>
      </c>
      <c r="E2902" s="0" t="inlineStr">
        <is>
          <t>2011.04.</t>
        </is>
      </c>
      <c r="F2902" s="0" t="n">
        <v>16</v>
      </c>
      <c r="G2902" s="0" t="n">
        <v>29.15</v>
      </c>
      <c r="H2902" s="0" t="n">
        <v>96.38</v>
      </c>
      <c r="I2902" s="0" t="n">
        <v>25.26</v>
      </c>
      <c r="J2902" s="0" t="n">
        <v>83.52</v>
      </c>
      <c r="K2902" s="0" t="n">
        <v>14</v>
      </c>
      <c r="T2902" s="0" t="n">
        <v>3</v>
      </c>
      <c r="U2902" s="0" t="n">
        <v>2</v>
      </c>
      <c r="V2902" s="0" t="inlineStr">
        <is>
          <t>복도식</t>
        </is>
      </c>
      <c r="W2902" s="0" t="n">
        <v>96</v>
      </c>
      <c r="X2902" s="0" t="n">
        <v>9</v>
      </c>
      <c r="Y2902" s="0" t="n">
        <v>9</v>
      </c>
      <c r="Z2902" s="0" t="inlineStr">
        <is>
          <t>https://new.land.naver.com/complexes/106954?tab=detail&amp;rf=Y</t>
        </is>
      </c>
      <c r="AA2902" s="0" t="inlineStr">
        <is>
          <t>서울시 강동구 천호동 315-3</t>
        </is>
      </c>
      <c r="AB2902" s="0" t="inlineStr">
        <is>
          <t>서울시</t>
        </is>
      </c>
      <c r="AC2902" s="0" t="inlineStr">
        <is>
          <t>강동구</t>
        </is>
      </c>
      <c r="AD2902" s="0" t="inlineStr">
        <is>
          <t>천호동</t>
        </is>
      </c>
      <c r="AG2902" s="0" t="inlineStr">
        <is>
          <t>서울시 강동구 올림픽로88길 7</t>
        </is>
      </c>
      <c r="AH2902" s="0" t="n">
        <v>0</v>
      </c>
      <c r="AI2902" s="0" t="n">
        <v>249</v>
      </c>
      <c r="AJ2902" s="0" t="n">
        <v>37</v>
      </c>
      <c r="AK2902" s="0" t="n">
        <v>18</v>
      </c>
      <c r="AL2902" s="0" t="n">
        <v>1.12</v>
      </c>
    </row>
    <row r="2903">
      <c r="A2903" s="0" t="inlineStr">
        <is>
          <t>[천호동]</t>
        </is>
      </c>
      <c r="B2903" s="0" t="n">
        <v>8583</v>
      </c>
      <c r="C2903" s="0" t="n">
        <v>1</v>
      </c>
      <c r="D2903" s="0" t="inlineStr">
        <is>
          <t>금성타운</t>
        </is>
      </c>
      <c r="E2903" s="0" t="inlineStr">
        <is>
          <t>1997.11.</t>
        </is>
      </c>
      <c r="F2903" s="0" t="n">
        <v>19</v>
      </c>
      <c r="G2903" s="0" t="n">
        <v>12.75</v>
      </c>
      <c r="H2903" s="0" t="n">
        <v>42.17</v>
      </c>
      <c r="I2903" s="0" t="n">
        <v>10.73</v>
      </c>
      <c r="J2903" s="0" t="n">
        <v>35.49</v>
      </c>
      <c r="K2903" s="0" t="n">
        <v>1</v>
      </c>
      <c r="T2903" s="0" t="n">
        <v>2</v>
      </c>
      <c r="U2903" s="0" t="n">
        <v>1</v>
      </c>
      <c r="V2903" s="0" t="inlineStr">
        <is>
          <t>복도식</t>
        </is>
      </c>
      <c r="W2903" s="0" t="n">
        <v>42</v>
      </c>
      <c r="X2903" s="0" t="n">
        <v>9</v>
      </c>
      <c r="Y2903" s="0" t="n">
        <v>7</v>
      </c>
      <c r="Z2903" s="0" t="inlineStr">
        <is>
          <t>https://new.land.naver.com/complexes/8583?tab=detail&amp;rf=Y</t>
        </is>
      </c>
      <c r="AA2903" s="0" t="inlineStr">
        <is>
          <t>서울시 강동구 천호동 49-16</t>
        </is>
      </c>
      <c r="AB2903" s="0" t="inlineStr">
        <is>
          <t>서울시</t>
        </is>
      </c>
      <c r="AC2903" s="0" t="inlineStr">
        <is>
          <t>강동구</t>
        </is>
      </c>
      <c r="AD2903" s="0" t="inlineStr">
        <is>
          <t>천호동</t>
        </is>
      </c>
      <c r="AG2903" s="0" t="inlineStr">
        <is>
          <t>서울시 강동구 양재대로121길 26</t>
        </is>
      </c>
      <c r="AH2903" s="0" t="n">
        <v>0</v>
      </c>
      <c r="AI2903" s="0" t="n">
        <v>292</v>
      </c>
      <c r="AJ2903" s="0" t="n">
        <v>56</v>
      </c>
      <c r="AK2903" s="0" t="n">
        <v>11</v>
      </c>
      <c r="AL2903" s="0" t="n">
        <v>0.58</v>
      </c>
    </row>
    <row r="2904">
      <c r="A2904" s="0" t="inlineStr">
        <is>
          <t>[천호동]</t>
        </is>
      </c>
      <c r="B2904" s="0" t="n">
        <v>8583</v>
      </c>
      <c r="C2904" s="0" t="n">
        <v>2</v>
      </c>
      <c r="D2904" s="0" t="inlineStr">
        <is>
          <t>금성타운</t>
        </is>
      </c>
      <c r="E2904" s="0" t="inlineStr">
        <is>
          <t>1997.11.</t>
        </is>
      </c>
      <c r="F2904" s="0" t="n">
        <v>19</v>
      </c>
      <c r="G2904" s="0" t="n">
        <v>17.07</v>
      </c>
      <c r="H2904" s="0" t="n">
        <v>56.43</v>
      </c>
      <c r="I2904" s="0" t="n">
        <v>14.36</v>
      </c>
      <c r="J2904" s="0" t="n">
        <v>47.49</v>
      </c>
      <c r="K2904" s="0" t="n">
        <v>1</v>
      </c>
      <c r="T2904" s="0" t="n">
        <v>2</v>
      </c>
      <c r="U2904" s="0" t="n">
        <v>1</v>
      </c>
      <c r="V2904" s="0" t="inlineStr">
        <is>
          <t>복도식</t>
        </is>
      </c>
      <c r="W2904" s="0" t="n">
        <v>56</v>
      </c>
      <c r="X2904" s="0" t="n">
        <v>9</v>
      </c>
      <c r="Y2904" s="0" t="n">
        <v>7</v>
      </c>
      <c r="Z2904" s="0" t="inlineStr">
        <is>
          <t>https://new.land.naver.com/complexes/8583?tab=detail&amp;rf=Y</t>
        </is>
      </c>
      <c r="AA2904" s="0" t="inlineStr">
        <is>
          <t>서울시 강동구 천호동 49-16</t>
        </is>
      </c>
      <c r="AB2904" s="0" t="inlineStr">
        <is>
          <t>서울시</t>
        </is>
      </c>
      <c r="AC2904" s="0" t="inlineStr">
        <is>
          <t>강동구</t>
        </is>
      </c>
      <c r="AD2904" s="0" t="inlineStr">
        <is>
          <t>천호동</t>
        </is>
      </c>
      <c r="AG2904" s="0" t="inlineStr">
        <is>
          <t>서울시 강동구 양재대로121길 26</t>
        </is>
      </c>
      <c r="AH2904" s="0" t="n">
        <v>0</v>
      </c>
      <c r="AI2904" s="0" t="n">
        <v>292</v>
      </c>
      <c r="AJ2904" s="0" t="n">
        <v>56</v>
      </c>
      <c r="AK2904" s="0" t="n">
        <v>11</v>
      </c>
      <c r="AL2904" s="0" t="n">
        <v>0.58</v>
      </c>
    </row>
    <row r="2905">
      <c r="A2905" s="0" t="inlineStr">
        <is>
          <t>[천호동]</t>
        </is>
      </c>
      <c r="B2905" s="0" t="n">
        <v>8583</v>
      </c>
      <c r="C2905" s="0" t="n">
        <v>3</v>
      </c>
      <c r="D2905" s="0" t="inlineStr">
        <is>
          <t>금성타운</t>
        </is>
      </c>
      <c r="E2905" s="0" t="inlineStr">
        <is>
          <t>1997.11.</t>
        </is>
      </c>
      <c r="F2905" s="0" t="n">
        <v>19</v>
      </c>
      <c r="G2905" s="0" t="n">
        <v>21.38</v>
      </c>
      <c r="H2905" s="0" t="n">
        <v>70.68000000000001</v>
      </c>
      <c r="I2905" s="0" t="n">
        <v>17.99</v>
      </c>
      <c r="J2905" s="0" t="n">
        <v>59.49</v>
      </c>
      <c r="K2905" s="0" t="n">
        <v>3</v>
      </c>
      <c r="T2905" s="0" t="n">
        <v>2</v>
      </c>
      <c r="U2905" s="0" t="n">
        <v>1</v>
      </c>
      <c r="V2905" s="0" t="inlineStr">
        <is>
          <t>계단식</t>
        </is>
      </c>
      <c r="W2905" s="0" t="n">
        <v>70</v>
      </c>
      <c r="X2905" s="0" t="n">
        <v>9</v>
      </c>
      <c r="Y2905" s="0" t="n">
        <v>7</v>
      </c>
      <c r="Z2905" s="0" t="inlineStr">
        <is>
          <t>https://new.land.naver.com/complexes/8583?tab=detail&amp;rf=Y</t>
        </is>
      </c>
      <c r="AA2905" s="0" t="inlineStr">
        <is>
          <t>서울시 강동구 천호동 49-16</t>
        </is>
      </c>
      <c r="AB2905" s="0" t="inlineStr">
        <is>
          <t>서울시</t>
        </is>
      </c>
      <c r="AC2905" s="0" t="inlineStr">
        <is>
          <t>강동구</t>
        </is>
      </c>
      <c r="AD2905" s="0" t="inlineStr">
        <is>
          <t>천호동</t>
        </is>
      </c>
      <c r="AG2905" s="0" t="inlineStr">
        <is>
          <t>서울시 강동구 양재대로121길 26</t>
        </is>
      </c>
      <c r="AH2905" s="0" t="n">
        <v>0</v>
      </c>
      <c r="AI2905" s="0" t="n">
        <v>292</v>
      </c>
      <c r="AJ2905" s="0" t="n">
        <v>56</v>
      </c>
      <c r="AK2905" s="0" t="n">
        <v>11</v>
      </c>
      <c r="AL2905" s="0" t="n">
        <v>0.58</v>
      </c>
    </row>
    <row r="2906">
      <c r="A2906" s="0" t="inlineStr">
        <is>
          <t>[천호동]</t>
        </is>
      </c>
      <c r="B2906" s="0" t="n">
        <v>8583</v>
      </c>
      <c r="C2906" s="0" t="n">
        <v>4</v>
      </c>
      <c r="D2906" s="0" t="inlineStr">
        <is>
          <t>금성타운</t>
        </is>
      </c>
      <c r="E2906" s="0" t="inlineStr">
        <is>
          <t>1997.11.</t>
        </is>
      </c>
      <c r="F2906" s="0" t="n">
        <v>19</v>
      </c>
      <c r="G2906" s="0" t="n">
        <v>30.19</v>
      </c>
      <c r="H2906" s="0" t="n">
        <v>99.81</v>
      </c>
      <c r="I2906" s="0" t="n">
        <v>25.41</v>
      </c>
      <c r="J2906" s="0" t="n">
        <v>84</v>
      </c>
      <c r="K2906" s="0" t="n">
        <v>7</v>
      </c>
      <c r="T2906" s="0" t="n">
        <v>3</v>
      </c>
      <c r="U2906" s="0" t="n">
        <v>2</v>
      </c>
      <c r="V2906" s="0" t="inlineStr">
        <is>
          <t>계단식</t>
        </is>
      </c>
      <c r="W2906" s="0" t="inlineStr">
        <is>
          <t>99A</t>
        </is>
      </c>
      <c r="X2906" s="0" t="n">
        <v>9</v>
      </c>
      <c r="Y2906" s="0" t="n">
        <v>7</v>
      </c>
      <c r="Z2906" s="0" t="inlineStr">
        <is>
          <t>https://new.land.naver.com/complexes/8583?tab=detail&amp;rf=Y</t>
        </is>
      </c>
      <c r="AA2906" s="0" t="inlineStr">
        <is>
          <t>서울시 강동구 천호동 49-16</t>
        </is>
      </c>
      <c r="AB2906" s="0" t="inlineStr">
        <is>
          <t>서울시</t>
        </is>
      </c>
      <c r="AC2906" s="0" t="inlineStr">
        <is>
          <t>강동구</t>
        </is>
      </c>
      <c r="AD2906" s="0" t="inlineStr">
        <is>
          <t>천호동</t>
        </is>
      </c>
      <c r="AG2906" s="0" t="inlineStr">
        <is>
          <t>서울시 강동구 양재대로121길 26</t>
        </is>
      </c>
      <c r="AH2906" s="0" t="n">
        <v>0</v>
      </c>
      <c r="AI2906" s="0" t="n">
        <v>292</v>
      </c>
      <c r="AJ2906" s="0" t="n">
        <v>56</v>
      </c>
      <c r="AK2906" s="0" t="n">
        <v>11</v>
      </c>
      <c r="AL2906" s="0" t="n">
        <v>0.58</v>
      </c>
    </row>
    <row r="2907">
      <c r="A2907" s="0" t="inlineStr">
        <is>
          <t>[천호동]</t>
        </is>
      </c>
      <c r="B2907" s="0" t="n">
        <v>8583</v>
      </c>
      <c r="C2907" s="0" t="n">
        <v>5</v>
      </c>
      <c r="D2907" s="0" t="inlineStr">
        <is>
          <t>금성타운</t>
        </is>
      </c>
      <c r="E2907" s="0" t="inlineStr">
        <is>
          <t>1997.11.</t>
        </is>
      </c>
      <c r="F2907" s="0" t="n">
        <v>19</v>
      </c>
      <c r="G2907" s="0" t="n">
        <v>30.41</v>
      </c>
      <c r="H2907" s="0" t="n">
        <v>100.53</v>
      </c>
      <c r="I2907" s="0" t="n">
        <v>25.59</v>
      </c>
      <c r="J2907" s="0" t="n">
        <v>84.61</v>
      </c>
      <c r="K2907" s="0" t="n">
        <v>7</v>
      </c>
      <c r="T2907" s="0" t="n">
        <v>3</v>
      </c>
      <c r="U2907" s="0" t="n">
        <v>2</v>
      </c>
      <c r="V2907" s="0" t="inlineStr">
        <is>
          <t>계단식</t>
        </is>
      </c>
      <c r="W2907" s="0" t="inlineStr">
        <is>
          <t>100B</t>
        </is>
      </c>
      <c r="X2907" s="0" t="n">
        <v>9</v>
      </c>
      <c r="Y2907" s="0" t="n">
        <v>7</v>
      </c>
      <c r="Z2907" s="0" t="inlineStr">
        <is>
          <t>https://new.land.naver.com/complexes/8583?tab=detail&amp;rf=Y</t>
        </is>
      </c>
      <c r="AA2907" s="0" t="inlineStr">
        <is>
          <t>서울시 강동구 천호동 49-16</t>
        </is>
      </c>
      <c r="AB2907" s="0" t="inlineStr">
        <is>
          <t>서울시</t>
        </is>
      </c>
      <c r="AC2907" s="0" t="inlineStr">
        <is>
          <t>강동구</t>
        </is>
      </c>
      <c r="AD2907" s="0" t="inlineStr">
        <is>
          <t>천호동</t>
        </is>
      </c>
      <c r="AG2907" s="0" t="inlineStr">
        <is>
          <t>서울시 강동구 양재대로121길 26</t>
        </is>
      </c>
      <c r="AH2907" s="0" t="n">
        <v>0</v>
      </c>
      <c r="AI2907" s="0" t="n">
        <v>292</v>
      </c>
      <c r="AJ2907" s="0" t="n">
        <v>56</v>
      </c>
      <c r="AK2907" s="0" t="n">
        <v>11</v>
      </c>
      <c r="AL2907" s="0" t="n">
        <v>0.58</v>
      </c>
    </row>
    <row r="2908">
      <c r="A2908" s="0" t="inlineStr">
        <is>
          <t>[천호동]</t>
        </is>
      </c>
      <c r="B2908" s="0" t="n">
        <v>115096</v>
      </c>
      <c r="C2908" s="0" t="n">
        <v>1</v>
      </c>
      <c r="D2908" s="0" t="inlineStr">
        <is>
          <t>다성이즈빌(121-32)</t>
        </is>
      </c>
      <c r="E2908" s="0" t="inlineStr">
        <is>
          <t>2017.01.</t>
        </is>
      </c>
      <c r="F2908" s="0" t="n">
        <v>27</v>
      </c>
      <c r="G2908" s="0" t="n">
        <v>11.94</v>
      </c>
      <c r="H2908" s="0" t="n">
        <v>39.49</v>
      </c>
      <c r="I2908" s="0" t="n">
        <v>10.4</v>
      </c>
      <c r="J2908" s="0" t="n">
        <v>34.39</v>
      </c>
      <c r="K2908" s="0" t="n">
        <v>1</v>
      </c>
      <c r="T2908" s="0" t="n">
        <v>2</v>
      </c>
      <c r="U2908" s="0" t="n">
        <v>1</v>
      </c>
      <c r="V2908" s="0" t="inlineStr">
        <is>
          <t>계단식</t>
        </is>
      </c>
      <c r="W2908" s="0" t="inlineStr">
        <is>
          <t>39A</t>
        </is>
      </c>
      <c r="X2908" s="0" t="n">
        <v>7</v>
      </c>
      <c r="Y2908" s="0" t="n">
        <v>6</v>
      </c>
      <c r="Z2908" s="0" t="inlineStr">
        <is>
          <t>https://new.land.naver.com/complexes/115096?tab=detail&amp;rf=Y</t>
        </is>
      </c>
      <c r="AA2908" s="0" t="inlineStr">
        <is>
          <t>서울시 강동구 천호동 121-32</t>
        </is>
      </c>
      <c r="AB2908" s="0" t="inlineStr">
        <is>
          <t>서울시</t>
        </is>
      </c>
      <c r="AC2908" s="0" t="inlineStr">
        <is>
          <t>강동구</t>
        </is>
      </c>
      <c r="AD2908" s="0" t="inlineStr">
        <is>
          <t>천호동</t>
        </is>
      </c>
      <c r="AG2908" s="0" t="inlineStr">
        <is>
          <t>서울시 강동구 성안로 195</t>
        </is>
      </c>
      <c r="AH2908" s="0" t="n">
        <v>0</v>
      </c>
      <c r="AI2908" s="0" t="n">
        <v>199</v>
      </c>
      <c r="AJ2908" s="0" t="n">
        <v>42</v>
      </c>
      <c r="AK2908" s="0" t="n">
        <v>24</v>
      </c>
      <c r="AL2908" s="0" t="n">
        <v>0.89</v>
      </c>
    </row>
    <row r="2909">
      <c r="A2909" s="0" t="inlineStr">
        <is>
          <t>[천호동]</t>
        </is>
      </c>
      <c r="B2909" s="0" t="n">
        <v>115096</v>
      </c>
      <c r="C2909" s="0" t="n">
        <v>2</v>
      </c>
      <c r="D2909" s="0" t="inlineStr">
        <is>
          <t>다성이즈빌(121-32)</t>
        </is>
      </c>
      <c r="E2909" s="0" t="inlineStr">
        <is>
          <t>2017.01.</t>
        </is>
      </c>
      <c r="F2909" s="0" t="n">
        <v>27</v>
      </c>
      <c r="G2909" s="0" t="n">
        <v>12.4</v>
      </c>
      <c r="H2909" s="0" t="n">
        <v>41</v>
      </c>
      <c r="I2909" s="0" t="n">
        <v>10.79</v>
      </c>
      <c r="J2909" s="0" t="n">
        <v>35.7</v>
      </c>
      <c r="K2909" s="0" t="n">
        <v>1</v>
      </c>
      <c r="T2909" s="0" t="n">
        <v>2</v>
      </c>
      <c r="U2909" s="0" t="n">
        <v>1</v>
      </c>
      <c r="V2909" s="0" t="inlineStr">
        <is>
          <t>계단식</t>
        </is>
      </c>
      <c r="W2909" s="0" t="inlineStr">
        <is>
          <t>41B</t>
        </is>
      </c>
      <c r="X2909" s="0" t="n">
        <v>7</v>
      </c>
      <c r="Y2909" s="0" t="n">
        <v>6</v>
      </c>
      <c r="Z2909" s="0" t="inlineStr">
        <is>
          <t>https://new.land.naver.com/complexes/115096?tab=detail&amp;rf=Y</t>
        </is>
      </c>
      <c r="AA2909" s="0" t="inlineStr">
        <is>
          <t>서울시 강동구 천호동 121-32</t>
        </is>
      </c>
      <c r="AB2909" s="0" t="inlineStr">
        <is>
          <t>서울시</t>
        </is>
      </c>
      <c r="AC2909" s="0" t="inlineStr">
        <is>
          <t>강동구</t>
        </is>
      </c>
      <c r="AD2909" s="0" t="inlineStr">
        <is>
          <t>천호동</t>
        </is>
      </c>
      <c r="AG2909" s="0" t="inlineStr">
        <is>
          <t>서울시 강동구 성안로 195</t>
        </is>
      </c>
      <c r="AH2909" s="0" t="n">
        <v>0</v>
      </c>
      <c r="AI2909" s="0" t="n">
        <v>199</v>
      </c>
      <c r="AJ2909" s="0" t="n">
        <v>42</v>
      </c>
      <c r="AK2909" s="0" t="n">
        <v>24</v>
      </c>
      <c r="AL2909" s="0" t="n">
        <v>0.89</v>
      </c>
    </row>
    <row r="2910">
      <c r="A2910" s="0" t="inlineStr">
        <is>
          <t>[천호동]</t>
        </is>
      </c>
      <c r="B2910" s="0" t="n">
        <v>115096</v>
      </c>
      <c r="C2910" s="0" t="n">
        <v>3</v>
      </c>
      <c r="D2910" s="0" t="inlineStr">
        <is>
          <t>다성이즈빌(121-32)</t>
        </is>
      </c>
      <c r="E2910" s="0" t="inlineStr">
        <is>
          <t>2017.01.</t>
        </is>
      </c>
      <c r="F2910" s="0" t="n">
        <v>27</v>
      </c>
      <c r="G2910" s="0" t="n">
        <v>12.92</v>
      </c>
      <c r="H2910" s="0" t="n">
        <v>42.72</v>
      </c>
      <c r="I2910" s="0" t="n">
        <v>11.25</v>
      </c>
      <c r="J2910" s="0" t="n">
        <v>37.21</v>
      </c>
      <c r="K2910" s="0" t="n">
        <v>1</v>
      </c>
      <c r="T2910" s="0" t="n">
        <v>2</v>
      </c>
      <c r="U2910" s="0" t="n">
        <v>1</v>
      </c>
      <c r="V2910" s="0" t="inlineStr">
        <is>
          <t>계단식</t>
        </is>
      </c>
      <c r="W2910" s="0" t="n">
        <v>42</v>
      </c>
      <c r="X2910" s="0" t="n">
        <v>7</v>
      </c>
      <c r="Y2910" s="0" t="n">
        <v>6</v>
      </c>
      <c r="Z2910" s="0" t="inlineStr">
        <is>
          <t>https://new.land.naver.com/complexes/115096?tab=detail&amp;rf=Y</t>
        </is>
      </c>
      <c r="AA2910" s="0" t="inlineStr">
        <is>
          <t>서울시 강동구 천호동 121-32</t>
        </is>
      </c>
      <c r="AB2910" s="0" t="inlineStr">
        <is>
          <t>서울시</t>
        </is>
      </c>
      <c r="AC2910" s="0" t="inlineStr">
        <is>
          <t>강동구</t>
        </is>
      </c>
      <c r="AD2910" s="0" t="inlineStr">
        <is>
          <t>천호동</t>
        </is>
      </c>
      <c r="AG2910" s="0" t="inlineStr">
        <is>
          <t>서울시 강동구 성안로 195</t>
        </is>
      </c>
      <c r="AH2910" s="0" t="n">
        <v>0</v>
      </c>
      <c r="AI2910" s="0" t="n">
        <v>199</v>
      </c>
      <c r="AJ2910" s="0" t="n">
        <v>42</v>
      </c>
      <c r="AK2910" s="0" t="n">
        <v>24</v>
      </c>
      <c r="AL2910" s="0" t="n">
        <v>0.89</v>
      </c>
    </row>
    <row r="2911">
      <c r="A2911" s="0" t="inlineStr">
        <is>
          <t>[천호동]</t>
        </is>
      </c>
      <c r="B2911" s="0" t="n">
        <v>115096</v>
      </c>
      <c r="C2911" s="0" t="n">
        <v>4</v>
      </c>
      <c r="D2911" s="0" t="inlineStr">
        <is>
          <t>다성이즈빌(121-32)</t>
        </is>
      </c>
      <c r="E2911" s="0" t="inlineStr">
        <is>
          <t>2017.01.</t>
        </is>
      </c>
      <c r="F2911" s="0" t="n">
        <v>27</v>
      </c>
      <c r="G2911" s="0" t="n">
        <v>13.54</v>
      </c>
      <c r="H2911" s="0" t="n">
        <v>44.79</v>
      </c>
      <c r="I2911" s="0" t="n">
        <v>11.8</v>
      </c>
      <c r="J2911" s="0" t="n">
        <v>39.01</v>
      </c>
      <c r="K2911" s="0" t="n">
        <v>4</v>
      </c>
      <c r="T2911" s="0" t="n">
        <v>2</v>
      </c>
      <c r="U2911" s="0" t="n">
        <v>1</v>
      </c>
      <c r="V2911" s="0" t="inlineStr">
        <is>
          <t>계단식</t>
        </is>
      </c>
      <c r="W2911" s="0" t="n">
        <v>44</v>
      </c>
      <c r="X2911" s="0" t="n">
        <v>7</v>
      </c>
      <c r="Y2911" s="0" t="n">
        <v>6</v>
      </c>
      <c r="Z2911" s="0" t="inlineStr">
        <is>
          <t>https://new.land.naver.com/complexes/115096?tab=detail&amp;rf=Y</t>
        </is>
      </c>
      <c r="AA2911" s="0" t="inlineStr">
        <is>
          <t>서울시 강동구 천호동 121-32</t>
        </is>
      </c>
      <c r="AB2911" s="0" t="inlineStr">
        <is>
          <t>서울시</t>
        </is>
      </c>
      <c r="AC2911" s="0" t="inlineStr">
        <is>
          <t>강동구</t>
        </is>
      </c>
      <c r="AD2911" s="0" t="inlineStr">
        <is>
          <t>천호동</t>
        </is>
      </c>
      <c r="AG2911" s="0" t="inlineStr">
        <is>
          <t>서울시 강동구 성안로 195</t>
        </is>
      </c>
      <c r="AH2911" s="0" t="n">
        <v>0</v>
      </c>
      <c r="AI2911" s="0" t="n">
        <v>199</v>
      </c>
      <c r="AJ2911" s="0" t="n">
        <v>42</v>
      </c>
      <c r="AK2911" s="0" t="n">
        <v>24</v>
      </c>
      <c r="AL2911" s="0" t="n">
        <v>0.89</v>
      </c>
    </row>
    <row r="2912">
      <c r="A2912" s="0" t="inlineStr">
        <is>
          <t>[천호동]</t>
        </is>
      </c>
      <c r="B2912" s="0" t="n">
        <v>115096</v>
      </c>
      <c r="C2912" s="0" t="n">
        <v>5</v>
      </c>
      <c r="D2912" s="0" t="inlineStr">
        <is>
          <t>다성이즈빌(121-32)</t>
        </is>
      </c>
      <c r="E2912" s="0" t="inlineStr">
        <is>
          <t>2017.01.</t>
        </is>
      </c>
      <c r="F2912" s="0" t="n">
        <v>27</v>
      </c>
      <c r="G2912" s="0" t="n">
        <v>15.36</v>
      </c>
      <c r="H2912" s="0" t="n">
        <v>50.8</v>
      </c>
      <c r="I2912" s="0" t="n">
        <v>13.38</v>
      </c>
      <c r="J2912" s="0" t="n">
        <v>44.24</v>
      </c>
      <c r="K2912" s="0" t="n">
        <v>1</v>
      </c>
      <c r="T2912" s="0" t="n">
        <v>2</v>
      </c>
      <c r="U2912" s="0" t="n">
        <v>1</v>
      </c>
      <c r="V2912" s="0" t="inlineStr">
        <is>
          <t>계단식</t>
        </is>
      </c>
      <c r="W2912" s="0" t="n">
        <v>50</v>
      </c>
      <c r="X2912" s="0" t="n">
        <v>7</v>
      </c>
      <c r="Y2912" s="0" t="n">
        <v>6</v>
      </c>
      <c r="Z2912" s="0" t="inlineStr">
        <is>
          <t>https://new.land.naver.com/complexes/115096?tab=detail&amp;rf=Y</t>
        </is>
      </c>
      <c r="AA2912" s="0" t="inlineStr">
        <is>
          <t>서울시 강동구 천호동 121-32</t>
        </is>
      </c>
      <c r="AB2912" s="0" t="inlineStr">
        <is>
          <t>서울시</t>
        </is>
      </c>
      <c r="AC2912" s="0" t="inlineStr">
        <is>
          <t>강동구</t>
        </is>
      </c>
      <c r="AD2912" s="0" t="inlineStr">
        <is>
          <t>천호동</t>
        </is>
      </c>
      <c r="AG2912" s="0" t="inlineStr">
        <is>
          <t>서울시 강동구 성안로 195</t>
        </is>
      </c>
      <c r="AH2912" s="0" t="n">
        <v>0</v>
      </c>
      <c r="AI2912" s="0" t="n">
        <v>199</v>
      </c>
      <c r="AJ2912" s="0" t="n">
        <v>42</v>
      </c>
      <c r="AK2912" s="0" t="n">
        <v>24</v>
      </c>
      <c r="AL2912" s="0" t="n">
        <v>0.89</v>
      </c>
    </row>
    <row r="2913">
      <c r="A2913" s="0" t="inlineStr">
        <is>
          <t>[천호동]</t>
        </is>
      </c>
      <c r="B2913" s="0" t="n">
        <v>115096</v>
      </c>
      <c r="C2913" s="0" t="n">
        <v>6</v>
      </c>
      <c r="D2913" s="0" t="inlineStr">
        <is>
          <t>다성이즈빌(121-32)</t>
        </is>
      </c>
      <c r="E2913" s="0" t="inlineStr">
        <is>
          <t>2017.01.</t>
        </is>
      </c>
      <c r="F2913" s="0" t="n">
        <v>27</v>
      </c>
      <c r="G2913" s="0" t="n">
        <v>16.25</v>
      </c>
      <c r="H2913" s="0" t="n">
        <v>53.75</v>
      </c>
      <c r="I2913" s="0" t="n">
        <v>14.16</v>
      </c>
      <c r="J2913" s="0" t="n">
        <v>46.81</v>
      </c>
      <c r="K2913" s="0" t="n">
        <v>1</v>
      </c>
      <c r="T2913" s="0" t="n">
        <v>2</v>
      </c>
      <c r="U2913" s="0" t="n">
        <v>1</v>
      </c>
      <c r="V2913" s="0" t="inlineStr">
        <is>
          <t>계단식</t>
        </is>
      </c>
      <c r="W2913" s="0" t="inlineStr">
        <is>
          <t>53A</t>
        </is>
      </c>
      <c r="X2913" s="0" t="n">
        <v>7</v>
      </c>
      <c r="Y2913" s="0" t="n">
        <v>6</v>
      </c>
      <c r="Z2913" s="0" t="inlineStr">
        <is>
          <t>https://new.land.naver.com/complexes/115096?tab=detail&amp;rf=Y</t>
        </is>
      </c>
      <c r="AA2913" s="0" t="inlineStr">
        <is>
          <t>서울시 강동구 천호동 121-32</t>
        </is>
      </c>
      <c r="AB2913" s="0" t="inlineStr">
        <is>
          <t>서울시</t>
        </is>
      </c>
      <c r="AC2913" s="0" t="inlineStr">
        <is>
          <t>강동구</t>
        </is>
      </c>
      <c r="AD2913" s="0" t="inlineStr">
        <is>
          <t>천호동</t>
        </is>
      </c>
      <c r="AG2913" s="0" t="inlineStr">
        <is>
          <t>서울시 강동구 성안로 195</t>
        </is>
      </c>
      <c r="AH2913" s="0" t="n">
        <v>0</v>
      </c>
      <c r="AI2913" s="0" t="n">
        <v>199</v>
      </c>
      <c r="AJ2913" s="0" t="n">
        <v>42</v>
      </c>
      <c r="AK2913" s="0" t="n">
        <v>24</v>
      </c>
      <c r="AL2913" s="0" t="n">
        <v>0.89</v>
      </c>
    </row>
    <row r="2914">
      <c r="A2914" s="0" t="inlineStr">
        <is>
          <t>[천호동]</t>
        </is>
      </c>
      <c r="B2914" s="0" t="n">
        <v>115096</v>
      </c>
      <c r="C2914" s="0" t="n">
        <v>7</v>
      </c>
      <c r="D2914" s="0" t="inlineStr">
        <is>
          <t>다성이즈빌(121-32)</t>
        </is>
      </c>
      <c r="E2914" s="0" t="inlineStr">
        <is>
          <t>2017.01.</t>
        </is>
      </c>
      <c r="F2914" s="0" t="n">
        <v>27</v>
      </c>
      <c r="G2914" s="0" t="n">
        <v>16.27</v>
      </c>
      <c r="H2914" s="0" t="n">
        <v>53.79</v>
      </c>
      <c r="I2914" s="0" t="n">
        <v>14.16</v>
      </c>
      <c r="J2914" s="0" t="n">
        <v>46.84</v>
      </c>
      <c r="K2914" s="0" t="n">
        <v>1</v>
      </c>
      <c r="T2914" s="0" t="n">
        <v>2</v>
      </c>
      <c r="U2914" s="0" t="n">
        <v>1</v>
      </c>
      <c r="V2914" s="0" t="inlineStr">
        <is>
          <t>계단식</t>
        </is>
      </c>
      <c r="W2914" s="0" t="inlineStr">
        <is>
          <t>53B</t>
        </is>
      </c>
      <c r="X2914" s="0" t="n">
        <v>7</v>
      </c>
      <c r="Y2914" s="0" t="n">
        <v>6</v>
      </c>
      <c r="Z2914" s="0" t="inlineStr">
        <is>
          <t>https://new.land.naver.com/complexes/115096?tab=detail&amp;rf=Y</t>
        </is>
      </c>
      <c r="AA2914" s="0" t="inlineStr">
        <is>
          <t>서울시 강동구 천호동 121-32</t>
        </is>
      </c>
      <c r="AB2914" s="0" t="inlineStr">
        <is>
          <t>서울시</t>
        </is>
      </c>
      <c r="AC2914" s="0" t="inlineStr">
        <is>
          <t>강동구</t>
        </is>
      </c>
      <c r="AD2914" s="0" t="inlineStr">
        <is>
          <t>천호동</t>
        </is>
      </c>
      <c r="AG2914" s="0" t="inlineStr">
        <is>
          <t>서울시 강동구 성안로 195</t>
        </is>
      </c>
      <c r="AH2914" s="0" t="n">
        <v>0</v>
      </c>
      <c r="AI2914" s="0" t="n">
        <v>199</v>
      </c>
      <c r="AJ2914" s="0" t="n">
        <v>42</v>
      </c>
      <c r="AK2914" s="0" t="n">
        <v>24</v>
      </c>
      <c r="AL2914" s="0" t="n">
        <v>0.89</v>
      </c>
    </row>
    <row r="2915">
      <c r="A2915" s="0" t="inlineStr">
        <is>
          <t>[천호동]</t>
        </is>
      </c>
      <c r="B2915" s="0" t="n">
        <v>115096</v>
      </c>
      <c r="C2915" s="0" t="n">
        <v>8</v>
      </c>
      <c r="D2915" s="0" t="inlineStr">
        <is>
          <t>다성이즈빌(121-32)</t>
        </is>
      </c>
      <c r="E2915" s="0" t="inlineStr">
        <is>
          <t>2017.01.</t>
        </is>
      </c>
      <c r="F2915" s="0" t="n">
        <v>27</v>
      </c>
      <c r="G2915" s="0" t="n">
        <v>16.78</v>
      </c>
      <c r="H2915" s="0" t="n">
        <v>55.5</v>
      </c>
      <c r="I2915" s="0" t="n">
        <v>14.61</v>
      </c>
      <c r="J2915" s="0" t="n">
        <v>48.33</v>
      </c>
      <c r="K2915" s="0" t="n">
        <v>1</v>
      </c>
      <c r="T2915" s="0" t="n">
        <v>2</v>
      </c>
      <c r="U2915" s="0" t="n">
        <v>1</v>
      </c>
      <c r="V2915" s="0" t="inlineStr">
        <is>
          <t>계단식</t>
        </is>
      </c>
      <c r="W2915" s="0" t="n">
        <v>55</v>
      </c>
      <c r="X2915" s="0" t="n">
        <v>7</v>
      </c>
      <c r="Y2915" s="0" t="n">
        <v>6</v>
      </c>
      <c r="Z2915" s="0" t="inlineStr">
        <is>
          <t>https://new.land.naver.com/complexes/115096?tab=detail&amp;rf=Y</t>
        </is>
      </c>
      <c r="AA2915" s="0" t="inlineStr">
        <is>
          <t>서울시 강동구 천호동 121-32</t>
        </is>
      </c>
      <c r="AB2915" s="0" t="inlineStr">
        <is>
          <t>서울시</t>
        </is>
      </c>
      <c r="AC2915" s="0" t="inlineStr">
        <is>
          <t>강동구</t>
        </is>
      </c>
      <c r="AD2915" s="0" t="inlineStr">
        <is>
          <t>천호동</t>
        </is>
      </c>
      <c r="AG2915" s="0" t="inlineStr">
        <is>
          <t>서울시 강동구 성안로 195</t>
        </is>
      </c>
      <c r="AH2915" s="0" t="n">
        <v>0</v>
      </c>
      <c r="AI2915" s="0" t="n">
        <v>199</v>
      </c>
      <c r="AJ2915" s="0" t="n">
        <v>42</v>
      </c>
      <c r="AK2915" s="0" t="n">
        <v>24</v>
      </c>
      <c r="AL2915" s="0" t="n">
        <v>0.89</v>
      </c>
    </row>
    <row r="2916">
      <c r="A2916" s="0" t="inlineStr">
        <is>
          <t>[천호동]</t>
        </is>
      </c>
      <c r="B2916" s="0" t="n">
        <v>115096</v>
      </c>
      <c r="C2916" s="0" t="n">
        <v>9</v>
      </c>
      <c r="D2916" s="0" t="inlineStr">
        <is>
          <t>다성이즈빌(121-32)</t>
        </is>
      </c>
      <c r="E2916" s="0" t="inlineStr">
        <is>
          <t>2017.01.</t>
        </is>
      </c>
      <c r="F2916" s="0" t="n">
        <v>27</v>
      </c>
      <c r="G2916" s="0" t="n">
        <v>22.2</v>
      </c>
      <c r="H2916" s="0" t="n">
        <v>73.41</v>
      </c>
      <c r="I2916" s="0" t="n">
        <v>19.33</v>
      </c>
      <c r="J2916" s="0" t="n">
        <v>63.93</v>
      </c>
      <c r="K2916" s="0" t="n">
        <v>1</v>
      </c>
      <c r="T2916" s="0" t="n">
        <v>3</v>
      </c>
      <c r="U2916" s="0" t="n">
        <v>2</v>
      </c>
      <c r="V2916" s="0" t="inlineStr">
        <is>
          <t>계단식</t>
        </is>
      </c>
      <c r="W2916" s="0" t="inlineStr">
        <is>
          <t>73A</t>
        </is>
      </c>
      <c r="X2916" s="0" t="n">
        <v>7</v>
      </c>
      <c r="Y2916" s="0" t="n">
        <v>6</v>
      </c>
      <c r="Z2916" s="0" t="inlineStr">
        <is>
          <t>https://new.land.naver.com/complexes/115096?tab=detail&amp;rf=Y</t>
        </is>
      </c>
      <c r="AA2916" s="0" t="inlineStr">
        <is>
          <t>서울시 강동구 천호동 121-32</t>
        </is>
      </c>
      <c r="AB2916" s="0" t="inlineStr">
        <is>
          <t>서울시</t>
        </is>
      </c>
      <c r="AC2916" s="0" t="inlineStr">
        <is>
          <t>강동구</t>
        </is>
      </c>
      <c r="AD2916" s="0" t="inlineStr">
        <is>
          <t>천호동</t>
        </is>
      </c>
      <c r="AG2916" s="0" t="inlineStr">
        <is>
          <t>서울시 강동구 성안로 195</t>
        </is>
      </c>
      <c r="AH2916" s="0" t="n">
        <v>0</v>
      </c>
      <c r="AI2916" s="0" t="n">
        <v>199</v>
      </c>
      <c r="AJ2916" s="0" t="n">
        <v>42</v>
      </c>
      <c r="AK2916" s="0" t="n">
        <v>24</v>
      </c>
      <c r="AL2916" s="0" t="n">
        <v>0.89</v>
      </c>
    </row>
    <row r="2917">
      <c r="A2917" s="0" t="inlineStr">
        <is>
          <t>[천호동]</t>
        </is>
      </c>
      <c r="B2917" s="0" t="n">
        <v>115096</v>
      </c>
      <c r="C2917" s="0" t="n">
        <v>10</v>
      </c>
      <c r="D2917" s="0" t="inlineStr">
        <is>
          <t>다성이즈빌(121-32)</t>
        </is>
      </c>
      <c r="E2917" s="0" t="inlineStr">
        <is>
          <t>2017.01.</t>
        </is>
      </c>
      <c r="F2917" s="0" t="n">
        <v>27</v>
      </c>
      <c r="G2917" s="0" t="n">
        <v>22.27</v>
      </c>
      <c r="H2917" s="0" t="n">
        <v>73.65000000000001</v>
      </c>
      <c r="I2917" s="0" t="n">
        <v>19.4</v>
      </c>
      <c r="J2917" s="0" t="n">
        <v>64.14</v>
      </c>
      <c r="K2917" s="0" t="n">
        <v>1</v>
      </c>
      <c r="T2917" s="0" t="n">
        <v>3</v>
      </c>
      <c r="U2917" s="0" t="n">
        <v>2</v>
      </c>
      <c r="V2917" s="0" t="inlineStr">
        <is>
          <t>계단식</t>
        </is>
      </c>
      <c r="W2917" s="0" t="inlineStr">
        <is>
          <t>73B</t>
        </is>
      </c>
      <c r="X2917" s="0" t="n">
        <v>7</v>
      </c>
      <c r="Y2917" s="0" t="n">
        <v>6</v>
      </c>
      <c r="Z2917" s="0" t="inlineStr">
        <is>
          <t>https://new.land.naver.com/complexes/115096?tab=detail&amp;rf=Y</t>
        </is>
      </c>
      <c r="AA2917" s="0" t="inlineStr">
        <is>
          <t>서울시 강동구 천호동 121-32</t>
        </is>
      </c>
      <c r="AB2917" s="0" t="inlineStr">
        <is>
          <t>서울시</t>
        </is>
      </c>
      <c r="AC2917" s="0" t="inlineStr">
        <is>
          <t>강동구</t>
        </is>
      </c>
      <c r="AD2917" s="0" t="inlineStr">
        <is>
          <t>천호동</t>
        </is>
      </c>
      <c r="AG2917" s="0" t="inlineStr">
        <is>
          <t>서울시 강동구 성안로 195</t>
        </is>
      </c>
      <c r="AH2917" s="0" t="n">
        <v>0</v>
      </c>
      <c r="AI2917" s="0" t="n">
        <v>199</v>
      </c>
      <c r="AJ2917" s="0" t="n">
        <v>42</v>
      </c>
      <c r="AK2917" s="0" t="n">
        <v>24</v>
      </c>
      <c r="AL2917" s="0" t="n">
        <v>0.89</v>
      </c>
    </row>
    <row r="2918">
      <c r="A2918" s="0" t="inlineStr">
        <is>
          <t>[천호동]</t>
        </is>
      </c>
      <c r="B2918" s="0" t="n">
        <v>115096</v>
      </c>
      <c r="C2918" s="0" t="n">
        <v>11</v>
      </c>
      <c r="D2918" s="0" t="inlineStr">
        <is>
          <t>다성이즈빌(121-32)</t>
        </is>
      </c>
      <c r="E2918" s="0" t="inlineStr">
        <is>
          <t>2017.01.</t>
        </is>
      </c>
      <c r="F2918" s="0" t="n">
        <v>27</v>
      </c>
      <c r="G2918" s="0" t="n">
        <v>23.4</v>
      </c>
      <c r="H2918" s="0" t="n">
        <v>77.37</v>
      </c>
      <c r="I2918" s="0" t="n">
        <v>20.38</v>
      </c>
      <c r="J2918" s="0" t="n">
        <v>67.38</v>
      </c>
      <c r="K2918" s="0" t="n">
        <v>8</v>
      </c>
      <c r="T2918" s="0" t="n">
        <v>3</v>
      </c>
      <c r="U2918" s="0" t="n">
        <v>2</v>
      </c>
      <c r="V2918" s="0" t="inlineStr">
        <is>
          <t>계단식</t>
        </is>
      </c>
      <c r="W2918" s="0" t="n">
        <v>77</v>
      </c>
      <c r="X2918" s="0" t="n">
        <v>7</v>
      </c>
      <c r="Y2918" s="0" t="n">
        <v>6</v>
      </c>
      <c r="Z2918" s="0" t="inlineStr">
        <is>
          <t>https://new.land.naver.com/complexes/115096?tab=detail&amp;rf=Y</t>
        </is>
      </c>
      <c r="AA2918" s="0" t="inlineStr">
        <is>
          <t>서울시 강동구 천호동 121-32</t>
        </is>
      </c>
      <c r="AB2918" s="0" t="inlineStr">
        <is>
          <t>서울시</t>
        </is>
      </c>
      <c r="AC2918" s="0" t="inlineStr">
        <is>
          <t>강동구</t>
        </is>
      </c>
      <c r="AD2918" s="0" t="inlineStr">
        <is>
          <t>천호동</t>
        </is>
      </c>
      <c r="AG2918" s="0" t="inlineStr">
        <is>
          <t>서울시 강동구 성안로 195</t>
        </is>
      </c>
      <c r="AH2918" s="0" t="n">
        <v>0</v>
      </c>
      <c r="AI2918" s="0" t="n">
        <v>199</v>
      </c>
      <c r="AJ2918" s="0" t="n">
        <v>42</v>
      </c>
      <c r="AK2918" s="0" t="n">
        <v>24</v>
      </c>
      <c r="AL2918" s="0" t="n">
        <v>0.89</v>
      </c>
    </row>
    <row r="2919">
      <c r="A2919" s="0" t="inlineStr">
        <is>
          <t>[천호동]</t>
        </is>
      </c>
      <c r="B2919" s="0" t="n">
        <v>115096</v>
      </c>
      <c r="C2919" s="0" t="n">
        <v>12</v>
      </c>
      <c r="D2919" s="0" t="inlineStr">
        <is>
          <t>다성이즈빌(121-32)</t>
        </is>
      </c>
      <c r="E2919" s="0" t="inlineStr">
        <is>
          <t>2017.01.</t>
        </is>
      </c>
      <c r="F2919" s="0" t="n">
        <v>27</v>
      </c>
      <c r="G2919" s="0" t="n">
        <v>23.77</v>
      </c>
      <c r="H2919" s="0" t="n">
        <v>78.59</v>
      </c>
      <c r="I2919" s="0" t="n">
        <v>20.7</v>
      </c>
      <c r="J2919" s="0" t="n">
        <v>68.44</v>
      </c>
      <c r="K2919" s="0" t="n">
        <v>1</v>
      </c>
      <c r="T2919" s="0" t="n">
        <v>3</v>
      </c>
      <c r="U2919" s="0" t="n">
        <v>2</v>
      </c>
      <c r="V2919" s="0" t="inlineStr">
        <is>
          <t>계단식</t>
        </is>
      </c>
      <c r="W2919" s="0" t="inlineStr">
        <is>
          <t>78A</t>
        </is>
      </c>
      <c r="X2919" s="0" t="n">
        <v>7</v>
      </c>
      <c r="Y2919" s="0" t="n">
        <v>6</v>
      </c>
      <c r="Z2919" s="0" t="inlineStr">
        <is>
          <t>https://new.land.naver.com/complexes/115096?tab=detail&amp;rf=Y</t>
        </is>
      </c>
      <c r="AA2919" s="0" t="inlineStr">
        <is>
          <t>서울시 강동구 천호동 121-32</t>
        </is>
      </c>
      <c r="AB2919" s="0" t="inlineStr">
        <is>
          <t>서울시</t>
        </is>
      </c>
      <c r="AC2919" s="0" t="inlineStr">
        <is>
          <t>강동구</t>
        </is>
      </c>
      <c r="AD2919" s="0" t="inlineStr">
        <is>
          <t>천호동</t>
        </is>
      </c>
      <c r="AG2919" s="0" t="inlineStr">
        <is>
          <t>서울시 강동구 성안로 195</t>
        </is>
      </c>
      <c r="AH2919" s="0" t="n">
        <v>0</v>
      </c>
      <c r="AI2919" s="0" t="n">
        <v>199</v>
      </c>
      <c r="AJ2919" s="0" t="n">
        <v>42</v>
      </c>
      <c r="AK2919" s="0" t="n">
        <v>24</v>
      </c>
      <c r="AL2919" s="0" t="n">
        <v>0.89</v>
      </c>
    </row>
    <row r="2920">
      <c r="A2920" s="0" t="inlineStr">
        <is>
          <t>[천호동]</t>
        </is>
      </c>
      <c r="B2920" s="0" t="n">
        <v>115096</v>
      </c>
      <c r="C2920" s="0" t="n">
        <v>13</v>
      </c>
      <c r="D2920" s="0" t="inlineStr">
        <is>
          <t>다성이즈빌(121-32)</t>
        </is>
      </c>
      <c r="E2920" s="0" t="inlineStr">
        <is>
          <t>2017.01.</t>
        </is>
      </c>
      <c r="F2920" s="0" t="n">
        <v>27</v>
      </c>
      <c r="G2920" s="0" t="n">
        <v>24.01</v>
      </c>
      <c r="H2920" s="0" t="n">
        <v>79.39</v>
      </c>
      <c r="I2920" s="0" t="n">
        <v>20.91</v>
      </c>
      <c r="J2920" s="0" t="n">
        <v>69.13</v>
      </c>
      <c r="K2920" s="0" t="n">
        <v>1</v>
      </c>
      <c r="T2920" s="0" t="n">
        <v>3</v>
      </c>
      <c r="U2920" s="0" t="n">
        <v>2</v>
      </c>
      <c r="V2920" s="0" t="inlineStr">
        <is>
          <t>계단식</t>
        </is>
      </c>
      <c r="W2920" s="0" t="inlineStr">
        <is>
          <t>79B</t>
        </is>
      </c>
      <c r="X2920" s="0" t="n">
        <v>7</v>
      </c>
      <c r="Y2920" s="0" t="n">
        <v>6</v>
      </c>
      <c r="Z2920" s="0" t="inlineStr">
        <is>
          <t>https://new.land.naver.com/complexes/115096?tab=detail&amp;rf=Y</t>
        </is>
      </c>
      <c r="AA2920" s="0" t="inlineStr">
        <is>
          <t>서울시 강동구 천호동 121-32</t>
        </is>
      </c>
      <c r="AB2920" s="0" t="inlineStr">
        <is>
          <t>서울시</t>
        </is>
      </c>
      <c r="AC2920" s="0" t="inlineStr">
        <is>
          <t>강동구</t>
        </is>
      </c>
      <c r="AD2920" s="0" t="inlineStr">
        <is>
          <t>천호동</t>
        </is>
      </c>
      <c r="AG2920" s="0" t="inlineStr">
        <is>
          <t>서울시 강동구 성안로 195</t>
        </is>
      </c>
      <c r="AH2920" s="0" t="n">
        <v>0</v>
      </c>
      <c r="AI2920" s="0" t="n">
        <v>199</v>
      </c>
      <c r="AJ2920" s="0" t="n">
        <v>42</v>
      </c>
      <c r="AK2920" s="0" t="n">
        <v>24</v>
      </c>
      <c r="AL2920" s="0" t="n">
        <v>0.89</v>
      </c>
    </row>
    <row r="2921">
      <c r="A2921" s="0" t="inlineStr">
        <is>
          <t>[천호동]</t>
        </is>
      </c>
      <c r="B2921" s="0" t="n">
        <v>115096</v>
      </c>
      <c r="C2921" s="0" t="n">
        <v>14</v>
      </c>
      <c r="D2921" s="0" t="inlineStr">
        <is>
          <t>다성이즈빌(121-32)</t>
        </is>
      </c>
      <c r="E2921" s="0" t="inlineStr">
        <is>
          <t>2017.01.</t>
        </is>
      </c>
      <c r="F2921" s="0" t="n">
        <v>27</v>
      </c>
      <c r="G2921" s="0" t="n">
        <v>25.68</v>
      </c>
      <c r="H2921" s="0" t="n">
        <v>84.92</v>
      </c>
      <c r="I2921" s="0" t="n">
        <v>22.36</v>
      </c>
      <c r="J2921" s="0" t="n">
        <v>73.95</v>
      </c>
      <c r="K2921" s="0" t="n">
        <v>4</v>
      </c>
      <c r="T2921" s="0" t="n">
        <v>3</v>
      </c>
      <c r="U2921" s="0" t="n">
        <v>2</v>
      </c>
      <c r="V2921" s="0" t="inlineStr">
        <is>
          <t>계단식</t>
        </is>
      </c>
      <c r="W2921" s="0" t="n">
        <v>84</v>
      </c>
      <c r="X2921" s="0" t="n">
        <v>7</v>
      </c>
      <c r="Y2921" s="0" t="n">
        <v>6</v>
      </c>
      <c r="Z2921" s="0" t="inlineStr">
        <is>
          <t>https://new.land.naver.com/complexes/115096?tab=detail&amp;rf=Y</t>
        </is>
      </c>
      <c r="AA2921" s="0" t="inlineStr">
        <is>
          <t>서울시 강동구 천호동 121-32</t>
        </is>
      </c>
      <c r="AB2921" s="0" t="inlineStr">
        <is>
          <t>서울시</t>
        </is>
      </c>
      <c r="AC2921" s="0" t="inlineStr">
        <is>
          <t>강동구</t>
        </is>
      </c>
      <c r="AD2921" s="0" t="inlineStr">
        <is>
          <t>천호동</t>
        </is>
      </c>
      <c r="AG2921" s="0" t="inlineStr">
        <is>
          <t>서울시 강동구 성안로 195</t>
        </is>
      </c>
      <c r="AH2921" s="0" t="n">
        <v>0</v>
      </c>
      <c r="AI2921" s="0" t="n">
        <v>199</v>
      </c>
      <c r="AJ2921" s="0" t="n">
        <v>42</v>
      </c>
      <c r="AK2921" s="0" t="n">
        <v>24</v>
      </c>
      <c r="AL2921" s="0" t="n">
        <v>0.89</v>
      </c>
    </row>
    <row r="2922">
      <c r="A2922" s="0" t="inlineStr">
        <is>
          <t>[천호동]</t>
        </is>
      </c>
      <c r="B2922" s="0" t="n">
        <v>22266</v>
      </c>
      <c r="C2922" s="0" t="n">
        <v>1</v>
      </c>
      <c r="D2922" s="0" t="inlineStr">
        <is>
          <t>천호e-편한세상</t>
        </is>
      </c>
      <c r="E2922" s="0" t="inlineStr">
        <is>
          <t>2005.10.</t>
        </is>
      </c>
      <c r="F2922" s="0" t="n">
        <v>150</v>
      </c>
      <c r="G2922" s="0" t="n">
        <v>29.77</v>
      </c>
      <c r="H2922" s="0" t="n">
        <v>98.43000000000001</v>
      </c>
      <c r="I2922" s="0" t="n">
        <v>23.7</v>
      </c>
      <c r="J2922" s="0" t="n">
        <v>78.34999999999999</v>
      </c>
      <c r="K2922" s="0" t="n">
        <v>1</v>
      </c>
      <c r="T2922" s="0" t="n">
        <v>3</v>
      </c>
      <c r="U2922" s="0" t="n">
        <v>2</v>
      </c>
      <c r="V2922" s="0" t="inlineStr">
        <is>
          <t>계단식</t>
        </is>
      </c>
      <c r="W2922" s="0" t="n">
        <v>98</v>
      </c>
      <c r="X2922" s="0" t="n">
        <v>13</v>
      </c>
      <c r="Y2922" s="0" t="n">
        <v>10</v>
      </c>
      <c r="Z2922" s="0" t="inlineStr">
        <is>
          <t>https://new.land.naver.com/complexes/22266?tab=detail&amp;rf=Y</t>
        </is>
      </c>
      <c r="AA2922" s="0" t="inlineStr">
        <is>
          <t>서울시 강동구 천호동 333-55</t>
        </is>
      </c>
      <c r="AB2922" s="0" t="inlineStr">
        <is>
          <t>서울시</t>
        </is>
      </c>
      <c r="AC2922" s="0" t="inlineStr">
        <is>
          <t>강동구</t>
        </is>
      </c>
      <c r="AD2922" s="0" t="inlineStr">
        <is>
          <t>천호동</t>
        </is>
      </c>
      <c r="AG2922" s="0" t="inlineStr">
        <is>
          <t>서울시 강동구 올림픽로81길 15</t>
        </is>
      </c>
      <c r="AH2922" s="0" t="n">
        <v>0</v>
      </c>
      <c r="AI2922" s="0" t="n">
        <v>245</v>
      </c>
      <c r="AJ2922" s="0" t="n">
        <v>24</v>
      </c>
      <c r="AK2922" s="0" t="n">
        <v>198</v>
      </c>
      <c r="AL2922" s="0" t="n">
        <v>1.32</v>
      </c>
    </row>
    <row r="2923">
      <c r="A2923" s="0" t="inlineStr">
        <is>
          <t>[천호동]</t>
        </is>
      </c>
      <c r="B2923" s="0" t="n">
        <v>22266</v>
      </c>
      <c r="C2923" s="0" t="n">
        <v>2</v>
      </c>
      <c r="D2923" s="0" t="inlineStr">
        <is>
          <t>천호e-편한세상</t>
        </is>
      </c>
      <c r="E2923" s="0" t="inlineStr">
        <is>
          <t>2005.10.</t>
        </is>
      </c>
      <c r="F2923" s="0" t="n">
        <v>150</v>
      </c>
      <c r="G2923" s="0" t="n">
        <v>32.15</v>
      </c>
      <c r="H2923" s="0" t="n">
        <v>106.29</v>
      </c>
      <c r="I2923" s="0" t="n">
        <v>25.69</v>
      </c>
      <c r="J2923" s="0" t="n">
        <v>84.95</v>
      </c>
      <c r="K2923" s="0" t="n">
        <v>85</v>
      </c>
      <c r="T2923" s="0" t="n">
        <v>3</v>
      </c>
      <c r="U2923" s="0" t="n">
        <v>2</v>
      </c>
      <c r="V2923" s="0" t="inlineStr">
        <is>
          <t>계단식</t>
        </is>
      </c>
      <c r="W2923" s="0" t="inlineStr">
        <is>
          <t>106A</t>
        </is>
      </c>
      <c r="X2923" s="0" t="n">
        <v>13</v>
      </c>
      <c r="Y2923" s="0" t="n">
        <v>10</v>
      </c>
      <c r="Z2923" s="0" t="inlineStr">
        <is>
          <t>https://new.land.naver.com/complexes/22266?tab=detail&amp;rf=Y</t>
        </is>
      </c>
      <c r="AA2923" s="0" t="inlineStr">
        <is>
          <t>서울시 강동구 천호동 333-55</t>
        </is>
      </c>
      <c r="AB2923" s="0" t="inlineStr">
        <is>
          <t>서울시</t>
        </is>
      </c>
      <c r="AC2923" s="0" t="inlineStr">
        <is>
          <t>강동구</t>
        </is>
      </c>
      <c r="AD2923" s="0" t="inlineStr">
        <is>
          <t>천호동</t>
        </is>
      </c>
      <c r="AG2923" s="0" t="inlineStr">
        <is>
          <t>서울시 강동구 올림픽로81길 15</t>
        </is>
      </c>
      <c r="AH2923" s="0" t="n">
        <v>0</v>
      </c>
      <c r="AI2923" s="0" t="n">
        <v>245</v>
      </c>
      <c r="AJ2923" s="0" t="n">
        <v>24</v>
      </c>
      <c r="AK2923" s="0" t="n">
        <v>198</v>
      </c>
      <c r="AL2923" s="0" t="n">
        <v>1.32</v>
      </c>
    </row>
    <row r="2924">
      <c r="A2924" s="0" t="inlineStr">
        <is>
          <t>[천호동]</t>
        </is>
      </c>
      <c r="B2924" s="0" t="n">
        <v>22266</v>
      </c>
      <c r="C2924" s="0" t="n">
        <v>3</v>
      </c>
      <c r="D2924" s="0" t="inlineStr">
        <is>
          <t>천호e-편한세상</t>
        </is>
      </c>
      <c r="E2924" s="0" t="inlineStr">
        <is>
          <t>2005.10.</t>
        </is>
      </c>
      <c r="F2924" s="0" t="n">
        <v>150</v>
      </c>
      <c r="G2924" s="0" t="n">
        <v>32.14</v>
      </c>
      <c r="H2924" s="0" t="n">
        <v>106.26</v>
      </c>
      <c r="I2924" s="0" t="n">
        <v>25.61</v>
      </c>
      <c r="J2924" s="0" t="n">
        <v>84.69</v>
      </c>
      <c r="K2924" s="0" t="n">
        <v>12</v>
      </c>
      <c r="T2924" s="0" t="n">
        <v>3</v>
      </c>
      <c r="U2924" s="0" t="n">
        <v>2</v>
      </c>
      <c r="V2924" s="0" t="inlineStr">
        <is>
          <t>계단식</t>
        </is>
      </c>
      <c r="W2924" s="0" t="inlineStr">
        <is>
          <t>106B</t>
        </is>
      </c>
      <c r="X2924" s="0" t="n">
        <v>13</v>
      </c>
      <c r="Y2924" s="0" t="n">
        <v>10</v>
      </c>
      <c r="Z2924" s="0" t="inlineStr">
        <is>
          <t>https://new.land.naver.com/complexes/22266?tab=detail&amp;rf=Y</t>
        </is>
      </c>
      <c r="AA2924" s="0" t="inlineStr">
        <is>
          <t>서울시 강동구 천호동 333-55</t>
        </is>
      </c>
      <c r="AB2924" s="0" t="inlineStr">
        <is>
          <t>서울시</t>
        </is>
      </c>
      <c r="AC2924" s="0" t="inlineStr">
        <is>
          <t>강동구</t>
        </is>
      </c>
      <c r="AD2924" s="0" t="inlineStr">
        <is>
          <t>천호동</t>
        </is>
      </c>
      <c r="AG2924" s="0" t="inlineStr">
        <is>
          <t>서울시 강동구 올림픽로81길 15</t>
        </is>
      </c>
      <c r="AH2924" s="0" t="n">
        <v>0</v>
      </c>
      <c r="AI2924" s="0" t="n">
        <v>245</v>
      </c>
      <c r="AJ2924" s="0" t="n">
        <v>24</v>
      </c>
      <c r="AK2924" s="0" t="n">
        <v>198</v>
      </c>
      <c r="AL2924" s="0" t="n">
        <v>1.32</v>
      </c>
    </row>
    <row r="2925">
      <c r="A2925" s="0" t="inlineStr">
        <is>
          <t>[천호동]</t>
        </is>
      </c>
      <c r="B2925" s="0" t="n">
        <v>22266</v>
      </c>
      <c r="C2925" s="0" t="n">
        <v>4</v>
      </c>
      <c r="D2925" s="0" t="inlineStr">
        <is>
          <t>천호e-편한세상</t>
        </is>
      </c>
      <c r="E2925" s="0" t="inlineStr">
        <is>
          <t>2005.10.</t>
        </is>
      </c>
      <c r="F2925" s="0" t="n">
        <v>150</v>
      </c>
      <c r="G2925" s="0" t="n">
        <v>34.32</v>
      </c>
      <c r="H2925" s="0" t="n">
        <v>113.46</v>
      </c>
      <c r="I2925" s="0" t="n">
        <v>28.2</v>
      </c>
      <c r="J2925" s="0" t="n">
        <v>93.23</v>
      </c>
      <c r="K2925" s="0" t="n">
        <v>13</v>
      </c>
      <c r="T2925" s="0" t="n">
        <v>3</v>
      </c>
      <c r="U2925" s="0" t="n">
        <v>2</v>
      </c>
      <c r="V2925" s="0" t="inlineStr">
        <is>
          <t>계단식</t>
        </is>
      </c>
      <c r="W2925" s="0" t="inlineStr">
        <is>
          <t>113B</t>
        </is>
      </c>
      <c r="X2925" s="0" t="n">
        <v>13</v>
      </c>
      <c r="Y2925" s="0" t="n">
        <v>10</v>
      </c>
      <c r="Z2925" s="0" t="inlineStr">
        <is>
          <t>https://new.land.naver.com/complexes/22266?tab=detail&amp;rf=Y</t>
        </is>
      </c>
      <c r="AA2925" s="0" t="inlineStr">
        <is>
          <t>서울시 강동구 천호동 333-55</t>
        </is>
      </c>
      <c r="AB2925" s="0" t="inlineStr">
        <is>
          <t>서울시</t>
        </is>
      </c>
      <c r="AC2925" s="0" t="inlineStr">
        <is>
          <t>강동구</t>
        </is>
      </c>
      <c r="AD2925" s="0" t="inlineStr">
        <is>
          <t>천호동</t>
        </is>
      </c>
      <c r="AG2925" s="0" t="inlineStr">
        <is>
          <t>서울시 강동구 올림픽로81길 15</t>
        </is>
      </c>
      <c r="AH2925" s="0" t="n">
        <v>0</v>
      </c>
      <c r="AI2925" s="0" t="n">
        <v>245</v>
      </c>
      <c r="AJ2925" s="0" t="n">
        <v>24</v>
      </c>
      <c r="AK2925" s="0" t="n">
        <v>198</v>
      </c>
      <c r="AL2925" s="0" t="n">
        <v>1.32</v>
      </c>
    </row>
    <row r="2926">
      <c r="A2926" s="0" t="inlineStr">
        <is>
          <t>[천호동]</t>
        </is>
      </c>
      <c r="B2926" s="0" t="n">
        <v>22266</v>
      </c>
      <c r="C2926" s="0" t="n">
        <v>5</v>
      </c>
      <c r="D2926" s="0" t="inlineStr">
        <is>
          <t>천호e-편한세상</t>
        </is>
      </c>
      <c r="E2926" s="0" t="inlineStr">
        <is>
          <t>2005.10.</t>
        </is>
      </c>
      <c r="F2926" s="0" t="n">
        <v>150</v>
      </c>
      <c r="G2926" s="0" t="n">
        <v>34.58</v>
      </c>
      <c r="H2926" s="0" t="n">
        <v>114.33</v>
      </c>
      <c r="I2926" s="0" t="n">
        <v>28.41</v>
      </c>
      <c r="J2926" s="0" t="n">
        <v>93.95</v>
      </c>
      <c r="K2926" s="0" t="n">
        <v>1</v>
      </c>
      <c r="T2926" s="0" t="n">
        <v>3</v>
      </c>
      <c r="U2926" s="0" t="n">
        <v>2</v>
      </c>
      <c r="V2926" s="0" t="inlineStr">
        <is>
          <t>계단식</t>
        </is>
      </c>
      <c r="W2926" s="0" t="inlineStr">
        <is>
          <t>114A</t>
        </is>
      </c>
      <c r="X2926" s="0" t="n">
        <v>13</v>
      </c>
      <c r="Y2926" s="0" t="n">
        <v>10</v>
      </c>
      <c r="Z2926" s="0" t="inlineStr">
        <is>
          <t>https://new.land.naver.com/complexes/22266?tab=detail&amp;rf=Y</t>
        </is>
      </c>
      <c r="AA2926" s="0" t="inlineStr">
        <is>
          <t>서울시 강동구 천호동 333-55</t>
        </is>
      </c>
      <c r="AB2926" s="0" t="inlineStr">
        <is>
          <t>서울시</t>
        </is>
      </c>
      <c r="AC2926" s="0" t="inlineStr">
        <is>
          <t>강동구</t>
        </is>
      </c>
      <c r="AD2926" s="0" t="inlineStr">
        <is>
          <t>천호동</t>
        </is>
      </c>
      <c r="AG2926" s="0" t="inlineStr">
        <is>
          <t>서울시 강동구 올림픽로81길 15</t>
        </is>
      </c>
      <c r="AH2926" s="0" t="n">
        <v>0</v>
      </c>
      <c r="AI2926" s="0" t="n">
        <v>245</v>
      </c>
      <c r="AJ2926" s="0" t="n">
        <v>24</v>
      </c>
      <c r="AK2926" s="0" t="n">
        <v>198</v>
      </c>
      <c r="AL2926" s="0" t="n">
        <v>1.32</v>
      </c>
    </row>
    <row r="2927">
      <c r="A2927" s="0" t="inlineStr">
        <is>
          <t>[천호동]</t>
        </is>
      </c>
      <c r="B2927" s="0" t="n">
        <v>22266</v>
      </c>
      <c r="C2927" s="0" t="n">
        <v>6</v>
      </c>
      <c r="D2927" s="0" t="inlineStr">
        <is>
          <t>천호e-편한세상</t>
        </is>
      </c>
      <c r="E2927" s="0" t="inlineStr">
        <is>
          <t>2005.10.</t>
        </is>
      </c>
      <c r="F2927" s="0" t="n">
        <v>150</v>
      </c>
      <c r="G2927" s="0" t="n">
        <v>38.16</v>
      </c>
      <c r="H2927" s="0" t="n">
        <v>126.15</v>
      </c>
      <c r="I2927" s="0" t="n">
        <v>31.45</v>
      </c>
      <c r="J2927" s="0" t="n">
        <v>103.97</v>
      </c>
      <c r="K2927" s="0" t="n">
        <v>12</v>
      </c>
      <c r="T2927" s="0" t="n">
        <v>4</v>
      </c>
      <c r="U2927" s="0" t="n">
        <v>2</v>
      </c>
      <c r="V2927" s="0" t="inlineStr">
        <is>
          <t>계단식</t>
        </is>
      </c>
      <c r="W2927" s="0" t="n">
        <v>126</v>
      </c>
      <c r="X2927" s="0" t="n">
        <v>13</v>
      </c>
      <c r="Y2927" s="0" t="n">
        <v>10</v>
      </c>
      <c r="Z2927" s="0" t="inlineStr">
        <is>
          <t>https://new.land.naver.com/complexes/22266?tab=detail&amp;rf=Y</t>
        </is>
      </c>
      <c r="AA2927" s="0" t="inlineStr">
        <is>
          <t>서울시 강동구 천호동 333-55</t>
        </is>
      </c>
      <c r="AB2927" s="0" t="inlineStr">
        <is>
          <t>서울시</t>
        </is>
      </c>
      <c r="AC2927" s="0" t="inlineStr">
        <is>
          <t>강동구</t>
        </is>
      </c>
      <c r="AD2927" s="0" t="inlineStr">
        <is>
          <t>천호동</t>
        </is>
      </c>
      <c r="AG2927" s="0" t="inlineStr">
        <is>
          <t>서울시 강동구 올림픽로81길 15</t>
        </is>
      </c>
      <c r="AH2927" s="0" t="n">
        <v>0</v>
      </c>
      <c r="AI2927" s="0" t="n">
        <v>245</v>
      </c>
      <c r="AJ2927" s="0" t="n">
        <v>24</v>
      </c>
      <c r="AK2927" s="0" t="n">
        <v>198</v>
      </c>
      <c r="AL2927" s="0" t="n">
        <v>1.32</v>
      </c>
    </row>
    <row r="2928">
      <c r="A2928" s="0" t="inlineStr">
        <is>
          <t>[천호동]</t>
        </is>
      </c>
      <c r="B2928" s="0" t="n">
        <v>22266</v>
      </c>
      <c r="C2928" s="0" t="n">
        <v>7</v>
      </c>
      <c r="D2928" s="0" t="inlineStr">
        <is>
          <t>천호e-편한세상</t>
        </is>
      </c>
      <c r="E2928" s="0" t="inlineStr">
        <is>
          <t>2005.10.</t>
        </is>
      </c>
      <c r="F2928" s="0" t="n">
        <v>150</v>
      </c>
      <c r="G2928" s="0" t="n">
        <v>41.59</v>
      </c>
      <c r="H2928" s="0" t="n">
        <v>137.52</v>
      </c>
      <c r="I2928" s="0" t="n">
        <v>34.44</v>
      </c>
      <c r="J2928" s="0" t="n">
        <v>113.86</v>
      </c>
      <c r="K2928" s="0" t="n">
        <v>26</v>
      </c>
      <c r="T2928" s="0" t="n">
        <v>4</v>
      </c>
      <c r="U2928" s="0" t="n">
        <v>2</v>
      </c>
      <c r="V2928" s="0" t="inlineStr">
        <is>
          <t>계단식</t>
        </is>
      </c>
      <c r="W2928" s="0" t="n">
        <v>137</v>
      </c>
      <c r="X2928" s="0" t="n">
        <v>13</v>
      </c>
      <c r="Y2928" s="0" t="n">
        <v>10</v>
      </c>
      <c r="Z2928" s="0" t="inlineStr">
        <is>
          <t>https://new.land.naver.com/complexes/22266?tab=detail&amp;rf=Y</t>
        </is>
      </c>
      <c r="AA2928" s="0" t="inlineStr">
        <is>
          <t>서울시 강동구 천호동 333-55</t>
        </is>
      </c>
      <c r="AB2928" s="0" t="inlineStr">
        <is>
          <t>서울시</t>
        </is>
      </c>
      <c r="AC2928" s="0" t="inlineStr">
        <is>
          <t>강동구</t>
        </is>
      </c>
      <c r="AD2928" s="0" t="inlineStr">
        <is>
          <t>천호동</t>
        </is>
      </c>
      <c r="AG2928" s="0" t="inlineStr">
        <is>
          <t>서울시 강동구 올림픽로81길 15</t>
        </is>
      </c>
      <c r="AH2928" s="0" t="n">
        <v>0</v>
      </c>
      <c r="AI2928" s="0" t="n">
        <v>245</v>
      </c>
      <c r="AJ2928" s="0" t="n">
        <v>24</v>
      </c>
      <c r="AK2928" s="0" t="n">
        <v>198</v>
      </c>
      <c r="AL2928" s="0" t="n">
        <v>1.32</v>
      </c>
    </row>
    <row r="2929">
      <c r="A2929" s="0" t="inlineStr">
        <is>
          <t>[천호동]</t>
        </is>
      </c>
      <c r="B2929" s="0" t="n">
        <v>134515</v>
      </c>
      <c r="C2929" s="0" t="n">
        <v>1</v>
      </c>
      <c r="D2929" s="0" t="inlineStr">
        <is>
          <t>힐데스하임천호</t>
        </is>
      </c>
      <c r="E2929" s="0" t="inlineStr">
        <is>
          <t>2022.07.</t>
        </is>
      </c>
      <c r="F2929" s="0" t="n">
        <v>188</v>
      </c>
      <c r="G2929" s="0" t="n">
        <v>20.95</v>
      </c>
      <c r="H2929" s="0" t="n">
        <v>69.26000000000001</v>
      </c>
      <c r="I2929" s="0" t="n">
        <v>15.88</v>
      </c>
      <c r="J2929" s="0" t="n">
        <v>52.52</v>
      </c>
      <c r="K2929" s="0" t="n">
        <v>34</v>
      </c>
      <c r="T2929" s="0" t="n">
        <v>2</v>
      </c>
      <c r="U2929" s="0" t="n">
        <v>1</v>
      </c>
      <c r="V2929" s="0" t="inlineStr">
        <is>
          <t>계단식</t>
        </is>
      </c>
      <c r="W2929" s="0" t="inlineStr">
        <is>
          <t>69A</t>
        </is>
      </c>
      <c r="X2929" s="0" t="n">
        <v>20</v>
      </c>
      <c r="Y2929" s="0" t="n">
        <v>11</v>
      </c>
      <c r="Z2929" s="0" t="inlineStr">
        <is>
          <t>https://new.land.naver.com/complexes/134515?tab=detail&amp;rf=Y</t>
        </is>
      </c>
      <c r="AA2929" s="0" t="inlineStr">
        <is>
          <t>서울시 강동구 천호동 437-5</t>
        </is>
      </c>
      <c r="AB2929" s="0" t="inlineStr">
        <is>
          <t>서울시</t>
        </is>
      </c>
      <c r="AC2929" s="0" t="inlineStr">
        <is>
          <t>강동구</t>
        </is>
      </c>
      <c r="AD2929" s="0" t="inlineStr">
        <is>
          <t>천호동</t>
        </is>
      </c>
      <c r="AG2929" s="0" t="inlineStr">
        <is>
          <t>서울시 강동구</t>
        </is>
      </c>
      <c r="AH2929" s="0" t="n">
        <v>32</v>
      </c>
      <c r="AI2929" s="0" t="n">
        <v>0</v>
      </c>
      <c r="AJ2929" s="0" t="n">
        <v>0</v>
      </c>
      <c r="AK2929" s="0" t="n">
        <v>286</v>
      </c>
      <c r="AL2929" s="0" t="n">
        <v>1.52</v>
      </c>
    </row>
    <row r="2930">
      <c r="A2930" s="0" t="inlineStr">
        <is>
          <t>[천호동]</t>
        </is>
      </c>
      <c r="B2930" s="0" t="n">
        <v>134515</v>
      </c>
      <c r="C2930" s="0" t="n">
        <v>2</v>
      </c>
      <c r="D2930" s="0" t="inlineStr">
        <is>
          <t>힐데스하임천호</t>
        </is>
      </c>
      <c r="E2930" s="0" t="inlineStr">
        <is>
          <t>2022.07.</t>
        </is>
      </c>
      <c r="F2930" s="0" t="n">
        <v>188</v>
      </c>
      <c r="G2930" s="0" t="n">
        <v>24.12</v>
      </c>
      <c r="H2930" s="0" t="n">
        <v>79.75</v>
      </c>
      <c r="I2930" s="0" t="n">
        <v>18.14</v>
      </c>
      <c r="J2930" s="0" t="n">
        <v>59.97</v>
      </c>
      <c r="K2930" s="0" t="n">
        <v>20</v>
      </c>
      <c r="T2930" s="0" t="n">
        <v>3</v>
      </c>
      <c r="U2930" s="0" t="n">
        <v>2</v>
      </c>
      <c r="V2930" s="0" t="inlineStr">
        <is>
          <t>계단식</t>
        </is>
      </c>
      <c r="W2930" s="0" t="inlineStr">
        <is>
          <t>79A</t>
        </is>
      </c>
      <c r="X2930" s="0" t="n">
        <v>20</v>
      </c>
      <c r="Y2930" s="0" t="n">
        <v>11</v>
      </c>
      <c r="Z2930" s="0" t="inlineStr">
        <is>
          <t>https://new.land.naver.com/complexes/134515?tab=detail&amp;rf=Y</t>
        </is>
      </c>
      <c r="AA2930" s="0" t="inlineStr">
        <is>
          <t>서울시 강동구 천호동 437-5</t>
        </is>
      </c>
      <c r="AB2930" s="0" t="inlineStr">
        <is>
          <t>서울시</t>
        </is>
      </c>
      <c r="AC2930" s="0" t="inlineStr">
        <is>
          <t>강동구</t>
        </is>
      </c>
      <c r="AD2930" s="0" t="inlineStr">
        <is>
          <t>천호동</t>
        </is>
      </c>
      <c r="AG2930" s="0" t="inlineStr">
        <is>
          <t>서울시 강동구</t>
        </is>
      </c>
      <c r="AH2930" s="0" t="n">
        <v>32</v>
      </c>
      <c r="AI2930" s="0" t="n">
        <v>0</v>
      </c>
      <c r="AJ2930" s="0" t="n">
        <v>0</v>
      </c>
      <c r="AK2930" s="0" t="n">
        <v>286</v>
      </c>
      <c r="AL2930" s="0" t="n">
        <v>1.52</v>
      </c>
    </row>
    <row r="2931">
      <c r="A2931" s="0" t="inlineStr">
        <is>
          <t>[천호동]</t>
        </is>
      </c>
      <c r="B2931" s="0" t="n">
        <v>134515</v>
      </c>
      <c r="C2931" s="0" t="n">
        <v>3</v>
      </c>
      <c r="D2931" s="0" t="inlineStr">
        <is>
          <t>힐데스하임천호</t>
        </is>
      </c>
      <c r="E2931" s="0" t="inlineStr">
        <is>
          <t>2022.07.</t>
        </is>
      </c>
      <c r="F2931" s="0" t="n">
        <v>188</v>
      </c>
      <c r="G2931" s="0" t="n">
        <v>33.61</v>
      </c>
      <c r="H2931" s="0" t="n">
        <v>111.13</v>
      </c>
      <c r="I2931" s="0" t="n">
        <v>25.7</v>
      </c>
      <c r="J2931" s="0" t="n">
        <v>84.95999999999999</v>
      </c>
      <c r="K2931" s="0" t="n">
        <v>72</v>
      </c>
      <c r="T2931" s="0" t="n">
        <v>3</v>
      </c>
      <c r="U2931" s="0" t="n">
        <v>2</v>
      </c>
      <c r="V2931" s="0" t="inlineStr">
        <is>
          <t>계단식</t>
        </is>
      </c>
      <c r="W2931" s="0" t="inlineStr">
        <is>
          <t>111A</t>
        </is>
      </c>
      <c r="X2931" s="0" t="n">
        <v>20</v>
      </c>
      <c r="Y2931" s="0" t="n">
        <v>11</v>
      </c>
      <c r="Z2931" s="0" t="inlineStr">
        <is>
          <t>https://new.land.naver.com/complexes/134515?tab=detail&amp;rf=Y</t>
        </is>
      </c>
      <c r="AA2931" s="0" t="inlineStr">
        <is>
          <t>서울시 강동구 천호동 437-5</t>
        </is>
      </c>
      <c r="AB2931" s="0" t="inlineStr">
        <is>
          <t>서울시</t>
        </is>
      </c>
      <c r="AC2931" s="0" t="inlineStr">
        <is>
          <t>강동구</t>
        </is>
      </c>
      <c r="AD2931" s="0" t="inlineStr">
        <is>
          <t>천호동</t>
        </is>
      </c>
      <c r="AG2931" s="0" t="inlineStr">
        <is>
          <t>서울시 강동구</t>
        </is>
      </c>
      <c r="AH2931" s="0" t="n">
        <v>32</v>
      </c>
      <c r="AI2931" s="0" t="n">
        <v>0</v>
      </c>
      <c r="AJ2931" s="0" t="n">
        <v>0</v>
      </c>
      <c r="AK2931" s="0" t="n">
        <v>286</v>
      </c>
      <c r="AL2931" s="0" t="n">
        <v>1.52</v>
      </c>
    </row>
    <row r="2932">
      <c r="A2932" s="0" t="inlineStr">
        <is>
          <t>[천호동]</t>
        </is>
      </c>
      <c r="B2932" s="0" t="n">
        <v>134515</v>
      </c>
      <c r="C2932" s="0" t="n">
        <v>4</v>
      </c>
      <c r="D2932" s="0" t="inlineStr">
        <is>
          <t>힐데스하임천호</t>
        </is>
      </c>
      <c r="E2932" s="0" t="inlineStr">
        <is>
          <t>2022.07.</t>
        </is>
      </c>
      <c r="F2932" s="0" t="n">
        <v>188</v>
      </c>
      <c r="G2932" s="0" t="n">
        <v>33.62</v>
      </c>
      <c r="H2932" s="0" t="n">
        <v>111.17</v>
      </c>
      <c r="I2932" s="0" t="n">
        <v>25.7</v>
      </c>
      <c r="J2932" s="0" t="n">
        <v>84.98999999999999</v>
      </c>
      <c r="K2932" s="0" t="n">
        <v>44</v>
      </c>
      <c r="T2932" s="0" t="n">
        <v>3</v>
      </c>
      <c r="U2932" s="0" t="n">
        <v>2</v>
      </c>
      <c r="V2932" s="0" t="inlineStr">
        <is>
          <t>계단식</t>
        </is>
      </c>
      <c r="W2932" s="0" t="inlineStr">
        <is>
          <t>111B</t>
        </is>
      </c>
      <c r="X2932" s="0" t="n">
        <v>20</v>
      </c>
      <c r="Y2932" s="0" t="n">
        <v>11</v>
      </c>
      <c r="Z2932" s="0" t="inlineStr">
        <is>
          <t>https://new.land.naver.com/complexes/134515?tab=detail&amp;rf=Y</t>
        </is>
      </c>
      <c r="AA2932" s="0" t="inlineStr">
        <is>
          <t>서울시 강동구 천호동 437-5</t>
        </is>
      </c>
      <c r="AB2932" s="0" t="inlineStr">
        <is>
          <t>서울시</t>
        </is>
      </c>
      <c r="AC2932" s="0" t="inlineStr">
        <is>
          <t>강동구</t>
        </is>
      </c>
      <c r="AD2932" s="0" t="inlineStr">
        <is>
          <t>천호동</t>
        </is>
      </c>
      <c r="AG2932" s="0" t="inlineStr">
        <is>
          <t>서울시 강동구</t>
        </is>
      </c>
      <c r="AH2932" s="0" t="n">
        <v>32</v>
      </c>
      <c r="AI2932" s="0" t="n">
        <v>0</v>
      </c>
      <c r="AJ2932" s="0" t="n">
        <v>0</v>
      </c>
      <c r="AK2932" s="0" t="n">
        <v>286</v>
      </c>
      <c r="AL2932" s="0" t="n">
        <v>1.52</v>
      </c>
    </row>
    <row r="2933">
      <c r="A2933" s="0" t="inlineStr">
        <is>
          <t>[천호동]</t>
        </is>
      </c>
      <c r="B2933" s="0" t="n">
        <v>134515</v>
      </c>
      <c r="C2933" s="0" t="n">
        <v>5</v>
      </c>
      <c r="D2933" s="0" t="inlineStr">
        <is>
          <t>힐데스하임천호</t>
        </is>
      </c>
      <c r="E2933" s="0" t="inlineStr">
        <is>
          <t>2022.07.</t>
        </is>
      </c>
      <c r="F2933" s="0" t="n">
        <v>188</v>
      </c>
      <c r="G2933" s="0" t="n">
        <v>33.94</v>
      </c>
      <c r="H2933" s="0" t="n">
        <v>112.2</v>
      </c>
      <c r="I2933" s="0" t="n">
        <v>25.7</v>
      </c>
      <c r="J2933" s="0" t="n">
        <v>84.98</v>
      </c>
      <c r="K2933" s="0" t="n">
        <v>8</v>
      </c>
      <c r="T2933" s="0" t="n">
        <v>3</v>
      </c>
      <c r="U2933" s="0" t="n">
        <v>2</v>
      </c>
      <c r="V2933" s="0" t="inlineStr">
        <is>
          <t>계단식</t>
        </is>
      </c>
      <c r="W2933" s="0" t="inlineStr">
        <is>
          <t>112C</t>
        </is>
      </c>
      <c r="X2933" s="0" t="n">
        <v>20</v>
      </c>
      <c r="Y2933" s="0" t="n">
        <v>11</v>
      </c>
      <c r="Z2933" s="0" t="inlineStr">
        <is>
          <t>https://new.land.naver.com/complexes/134515?tab=detail&amp;rf=Y</t>
        </is>
      </c>
      <c r="AA2933" s="0" t="inlineStr">
        <is>
          <t>서울시 강동구 천호동 437-5</t>
        </is>
      </c>
      <c r="AB2933" s="0" t="inlineStr">
        <is>
          <t>서울시</t>
        </is>
      </c>
      <c r="AC2933" s="0" t="inlineStr">
        <is>
          <t>강동구</t>
        </is>
      </c>
      <c r="AD2933" s="0" t="inlineStr">
        <is>
          <t>천호동</t>
        </is>
      </c>
      <c r="AG2933" s="0" t="inlineStr">
        <is>
          <t>서울시 강동구</t>
        </is>
      </c>
      <c r="AH2933" s="0" t="n">
        <v>32</v>
      </c>
      <c r="AI2933" s="0" t="n">
        <v>0</v>
      </c>
      <c r="AJ2933" s="0" t="n">
        <v>0</v>
      </c>
      <c r="AK2933" s="0" t="n">
        <v>286</v>
      </c>
      <c r="AL2933" s="0" t="n">
        <v>1.52</v>
      </c>
    </row>
    <row r="2934">
      <c r="A2934" s="0" t="inlineStr">
        <is>
          <t>[천호동]</t>
        </is>
      </c>
      <c r="B2934" s="0" t="n">
        <v>134515</v>
      </c>
      <c r="C2934" s="0" t="n">
        <v>6</v>
      </c>
      <c r="D2934" s="0" t="inlineStr">
        <is>
          <t>힐데스하임천호</t>
        </is>
      </c>
      <c r="E2934" s="0" t="inlineStr">
        <is>
          <t>2022.07.</t>
        </is>
      </c>
      <c r="F2934" s="0" t="n">
        <v>188</v>
      </c>
      <c r="G2934" s="0" t="n">
        <v>43.07</v>
      </c>
      <c r="H2934" s="0" t="n">
        <v>142.39</v>
      </c>
      <c r="I2934" s="0" t="n">
        <v>32.95</v>
      </c>
      <c r="J2934" s="0" t="n">
        <v>108.95</v>
      </c>
      <c r="K2934" s="0" t="n">
        <v>6</v>
      </c>
      <c r="T2934" s="0" t="n">
        <v>4</v>
      </c>
      <c r="U2934" s="0" t="n">
        <v>2</v>
      </c>
      <c r="V2934" s="0" t="inlineStr">
        <is>
          <t>계단식</t>
        </is>
      </c>
      <c r="W2934" s="0" t="inlineStr">
        <is>
          <t>142A</t>
        </is>
      </c>
      <c r="X2934" s="0" t="n">
        <v>20</v>
      </c>
      <c r="Y2934" s="0" t="n">
        <v>11</v>
      </c>
      <c r="Z2934" s="0" t="inlineStr">
        <is>
          <t>https://new.land.naver.com/complexes/134515?tab=detail&amp;rf=Y</t>
        </is>
      </c>
      <c r="AA2934" s="0" t="inlineStr">
        <is>
          <t>서울시 강동구 천호동 437-5</t>
        </is>
      </c>
      <c r="AB2934" s="0" t="inlineStr">
        <is>
          <t>서울시</t>
        </is>
      </c>
      <c r="AC2934" s="0" t="inlineStr">
        <is>
          <t>강동구</t>
        </is>
      </c>
      <c r="AD2934" s="0" t="inlineStr">
        <is>
          <t>천호동</t>
        </is>
      </c>
      <c r="AG2934" s="0" t="inlineStr">
        <is>
          <t>서울시 강동구</t>
        </is>
      </c>
      <c r="AH2934" s="0" t="n">
        <v>32</v>
      </c>
      <c r="AI2934" s="0" t="n">
        <v>0</v>
      </c>
      <c r="AJ2934" s="0" t="n">
        <v>0</v>
      </c>
      <c r="AK2934" s="0" t="n">
        <v>286</v>
      </c>
      <c r="AL2934" s="0" t="n">
        <v>1.52</v>
      </c>
    </row>
    <row r="2935">
      <c r="A2935" s="0" t="inlineStr">
        <is>
          <t>[천호동]</t>
        </is>
      </c>
      <c r="B2935" s="0" t="n">
        <v>134515</v>
      </c>
      <c r="C2935" s="0" t="n">
        <v>7</v>
      </c>
      <c r="D2935" s="0" t="inlineStr">
        <is>
          <t>힐데스하임천호</t>
        </is>
      </c>
      <c r="E2935" s="0" t="inlineStr">
        <is>
          <t>2022.07.</t>
        </is>
      </c>
      <c r="F2935" s="0" t="n">
        <v>188</v>
      </c>
      <c r="G2935" s="0" t="n">
        <v>43.18</v>
      </c>
      <c r="H2935" s="0" t="n">
        <v>142.77</v>
      </c>
      <c r="I2935" s="0" t="n">
        <v>32.95</v>
      </c>
      <c r="J2935" s="0" t="n">
        <v>108.94</v>
      </c>
      <c r="K2935" s="0" t="n">
        <v>4</v>
      </c>
      <c r="T2935" s="0" t="n">
        <v>4</v>
      </c>
      <c r="U2935" s="0" t="n">
        <v>2</v>
      </c>
      <c r="V2935" s="0" t="inlineStr">
        <is>
          <t>계단식</t>
        </is>
      </c>
      <c r="W2935" s="0" t="inlineStr">
        <is>
          <t>142B</t>
        </is>
      </c>
      <c r="X2935" s="0" t="n">
        <v>20</v>
      </c>
      <c r="Y2935" s="0" t="n">
        <v>11</v>
      </c>
      <c r="Z2935" s="0" t="inlineStr">
        <is>
          <t>https://new.land.naver.com/complexes/134515?tab=detail&amp;rf=Y</t>
        </is>
      </c>
      <c r="AA2935" s="0" t="inlineStr">
        <is>
          <t>서울시 강동구 천호동 437-5</t>
        </is>
      </c>
      <c r="AB2935" s="0" t="inlineStr">
        <is>
          <t>서울시</t>
        </is>
      </c>
      <c r="AC2935" s="0" t="inlineStr">
        <is>
          <t>강동구</t>
        </is>
      </c>
      <c r="AD2935" s="0" t="inlineStr">
        <is>
          <t>천호동</t>
        </is>
      </c>
      <c r="AG2935" s="0" t="inlineStr">
        <is>
          <t>서울시 강동구</t>
        </is>
      </c>
      <c r="AH2935" s="0" t="n">
        <v>32</v>
      </c>
      <c r="AI2935" s="0" t="n">
        <v>0</v>
      </c>
      <c r="AJ2935" s="0" t="n">
        <v>0</v>
      </c>
      <c r="AK2935" s="0" t="n">
        <v>286</v>
      </c>
      <c r="AL2935" s="0" t="n">
        <v>1.52</v>
      </c>
    </row>
    <row r="2936">
      <c r="A2936" s="0" t="inlineStr">
        <is>
          <t>[천호동]</t>
        </is>
      </c>
      <c r="B2936" s="0" t="n">
        <v>120252</v>
      </c>
      <c r="C2936" s="0" t="n">
        <v>1</v>
      </c>
      <c r="D2936" s="0" t="inlineStr">
        <is>
          <t>드림하우스</t>
        </is>
      </c>
      <c r="E2936" s="0" t="inlineStr">
        <is>
          <t>2018.02.</t>
        </is>
      </c>
      <c r="F2936" s="0" t="n">
        <v>24</v>
      </c>
      <c r="G2936" s="0" t="n">
        <v>6.55</v>
      </c>
      <c r="H2936" s="0" t="n">
        <v>21.68</v>
      </c>
      <c r="I2936" s="0" t="n">
        <v>4.35</v>
      </c>
      <c r="J2936" s="0" t="n">
        <v>14.4</v>
      </c>
      <c r="K2936" s="0" t="n">
        <v>8</v>
      </c>
      <c r="T2936" s="0" t="n">
        <v>1</v>
      </c>
      <c r="U2936" s="0" t="n">
        <v>1</v>
      </c>
      <c r="V2936" s="0" t="inlineStr">
        <is>
          <t>복도식</t>
        </is>
      </c>
      <c r="W2936" s="0" t="inlineStr">
        <is>
          <t>21A</t>
        </is>
      </c>
      <c r="X2936" s="0" t="n">
        <v>13</v>
      </c>
      <c r="Y2936" s="0" t="n">
        <v>13</v>
      </c>
      <c r="Z2936" s="0" t="inlineStr">
        <is>
          <t>https://new.land.naver.com/complexes/120252?tab=detail&amp;rf=Y</t>
        </is>
      </c>
      <c r="AA2936" s="0" t="inlineStr">
        <is>
          <t>서울시 강동구 천호동 452-6</t>
        </is>
      </c>
      <c r="AB2936" s="0" t="inlineStr">
        <is>
          <t>서울시</t>
        </is>
      </c>
      <c r="AC2936" s="0" t="inlineStr">
        <is>
          <t>강동구</t>
        </is>
      </c>
      <c r="AD2936" s="0" t="inlineStr">
        <is>
          <t>천호동</t>
        </is>
      </c>
      <c r="AG2936" s="0" t="inlineStr">
        <is>
          <t>서울시 강동구 천호대로161길 15-6</t>
        </is>
      </c>
      <c r="AH2936" s="0" t="n">
        <v>0</v>
      </c>
      <c r="AI2936" s="0" t="n">
        <v>497</v>
      </c>
      <c r="AJ2936" s="0" t="n">
        <v>59</v>
      </c>
      <c r="AK2936" s="0" t="n">
        <v>12</v>
      </c>
      <c r="AL2936" s="0" t="n">
        <v>0.5</v>
      </c>
    </row>
    <row r="2937">
      <c r="A2937" s="0" t="inlineStr">
        <is>
          <t>[천호동]</t>
        </is>
      </c>
      <c r="B2937" s="0" t="n">
        <v>120252</v>
      </c>
      <c r="C2937" s="0" t="n">
        <v>2</v>
      </c>
      <c r="D2937" s="0" t="inlineStr">
        <is>
          <t>드림하우스</t>
        </is>
      </c>
      <c r="E2937" s="0" t="inlineStr">
        <is>
          <t>2018.02.</t>
        </is>
      </c>
      <c r="F2937" s="0" t="n">
        <v>24</v>
      </c>
      <c r="G2937" s="0" t="n">
        <v>6.44</v>
      </c>
      <c r="H2937" s="0" t="n">
        <v>21.29</v>
      </c>
      <c r="I2937" s="0" t="n">
        <v>4.28</v>
      </c>
      <c r="J2937" s="0" t="n">
        <v>14.15</v>
      </c>
      <c r="K2937" s="0" t="n">
        <v>4</v>
      </c>
      <c r="T2937" s="0" t="n">
        <v>1</v>
      </c>
      <c r="U2937" s="0" t="n">
        <v>1</v>
      </c>
      <c r="V2937" s="0" t="inlineStr">
        <is>
          <t>복도식</t>
        </is>
      </c>
      <c r="W2937" s="0" t="n">
        <v>21</v>
      </c>
      <c r="X2937" s="0" t="n">
        <v>13</v>
      </c>
      <c r="Y2937" s="0" t="n">
        <v>13</v>
      </c>
      <c r="Z2937" s="0" t="inlineStr">
        <is>
          <t>https://new.land.naver.com/complexes/120252?tab=detail&amp;rf=Y</t>
        </is>
      </c>
      <c r="AA2937" s="0" t="inlineStr">
        <is>
          <t>서울시 강동구 천호동 452-6</t>
        </is>
      </c>
      <c r="AB2937" s="0" t="inlineStr">
        <is>
          <t>서울시</t>
        </is>
      </c>
      <c r="AC2937" s="0" t="inlineStr">
        <is>
          <t>강동구</t>
        </is>
      </c>
      <c r="AD2937" s="0" t="inlineStr">
        <is>
          <t>천호동</t>
        </is>
      </c>
      <c r="AG2937" s="0" t="inlineStr">
        <is>
          <t>서울시 강동구 천호대로161길 15-6</t>
        </is>
      </c>
      <c r="AH2937" s="0" t="n">
        <v>0</v>
      </c>
      <c r="AI2937" s="0" t="n">
        <v>497</v>
      </c>
      <c r="AJ2937" s="0" t="n">
        <v>59</v>
      </c>
      <c r="AK2937" s="0" t="n">
        <v>12</v>
      </c>
      <c r="AL2937" s="0" t="n">
        <v>0.5</v>
      </c>
    </row>
    <row r="2938">
      <c r="A2938" s="0" t="inlineStr">
        <is>
          <t>[천호동]</t>
        </is>
      </c>
      <c r="B2938" s="0" t="n">
        <v>120252</v>
      </c>
      <c r="C2938" s="0" t="n">
        <v>3</v>
      </c>
      <c r="D2938" s="0" t="inlineStr">
        <is>
          <t>드림하우스</t>
        </is>
      </c>
      <c r="E2938" s="0" t="inlineStr">
        <is>
          <t>2018.02.</t>
        </is>
      </c>
      <c r="F2938" s="0" t="n">
        <v>24</v>
      </c>
      <c r="G2938" s="0" t="n">
        <v>6.61</v>
      </c>
      <c r="H2938" s="0" t="n">
        <v>21.86</v>
      </c>
      <c r="I2938" s="0" t="n">
        <v>4.39</v>
      </c>
      <c r="J2938" s="0" t="n">
        <v>14.52</v>
      </c>
      <c r="K2938" s="0" t="n">
        <v>4</v>
      </c>
      <c r="T2938" s="0" t="n">
        <v>1</v>
      </c>
      <c r="U2938" s="0" t="n">
        <v>1</v>
      </c>
      <c r="V2938" s="0" t="inlineStr">
        <is>
          <t>복도식</t>
        </is>
      </c>
      <c r="W2938" s="0" t="inlineStr">
        <is>
          <t>21D</t>
        </is>
      </c>
      <c r="X2938" s="0" t="n">
        <v>13</v>
      </c>
      <c r="Y2938" s="0" t="n">
        <v>13</v>
      </c>
      <c r="Z2938" s="0" t="inlineStr">
        <is>
          <t>https://new.land.naver.com/complexes/120252?tab=detail&amp;rf=Y</t>
        </is>
      </c>
      <c r="AA2938" s="0" t="inlineStr">
        <is>
          <t>서울시 강동구 천호동 452-6</t>
        </is>
      </c>
      <c r="AB2938" s="0" t="inlineStr">
        <is>
          <t>서울시</t>
        </is>
      </c>
      <c r="AC2938" s="0" t="inlineStr">
        <is>
          <t>강동구</t>
        </is>
      </c>
      <c r="AD2938" s="0" t="inlineStr">
        <is>
          <t>천호동</t>
        </is>
      </c>
      <c r="AG2938" s="0" t="inlineStr">
        <is>
          <t>서울시 강동구 천호대로161길 15-6</t>
        </is>
      </c>
      <c r="AH2938" s="0" t="n">
        <v>0</v>
      </c>
      <c r="AI2938" s="0" t="n">
        <v>497</v>
      </c>
      <c r="AJ2938" s="0" t="n">
        <v>59</v>
      </c>
      <c r="AK2938" s="0" t="n">
        <v>12</v>
      </c>
      <c r="AL2938" s="0" t="n">
        <v>0.5</v>
      </c>
    </row>
    <row r="2939">
      <c r="A2939" s="0" t="inlineStr">
        <is>
          <t>[천호동]</t>
        </is>
      </c>
      <c r="B2939" s="0" t="n">
        <v>120252</v>
      </c>
      <c r="C2939" s="0" t="n">
        <v>4</v>
      </c>
      <c r="D2939" s="0" t="inlineStr">
        <is>
          <t>드림하우스</t>
        </is>
      </c>
      <c r="E2939" s="0" t="inlineStr">
        <is>
          <t>2018.02.</t>
        </is>
      </c>
      <c r="F2939" s="0" t="n">
        <v>24</v>
      </c>
      <c r="G2939" s="0" t="n">
        <v>6.75</v>
      </c>
      <c r="H2939" s="0" t="n">
        <v>22.34</v>
      </c>
      <c r="I2939" s="0" t="n">
        <v>4.49</v>
      </c>
      <c r="J2939" s="0" t="n">
        <v>14.85</v>
      </c>
      <c r="K2939" s="0" t="n">
        <v>4</v>
      </c>
      <c r="T2939" s="0" t="n">
        <v>1</v>
      </c>
      <c r="U2939" s="0" t="n">
        <v>1</v>
      </c>
      <c r="V2939" s="0" t="inlineStr">
        <is>
          <t>복도식</t>
        </is>
      </c>
      <c r="W2939" s="0" t="inlineStr">
        <is>
          <t>22C</t>
        </is>
      </c>
      <c r="X2939" s="0" t="n">
        <v>13</v>
      </c>
      <c r="Y2939" s="0" t="n">
        <v>13</v>
      </c>
      <c r="Z2939" s="0" t="inlineStr">
        <is>
          <t>https://new.land.naver.com/complexes/120252?tab=detail&amp;rf=Y</t>
        </is>
      </c>
      <c r="AA2939" s="0" t="inlineStr">
        <is>
          <t>서울시 강동구 천호동 452-6</t>
        </is>
      </c>
      <c r="AB2939" s="0" t="inlineStr">
        <is>
          <t>서울시</t>
        </is>
      </c>
      <c r="AC2939" s="0" t="inlineStr">
        <is>
          <t>강동구</t>
        </is>
      </c>
      <c r="AD2939" s="0" t="inlineStr">
        <is>
          <t>천호동</t>
        </is>
      </c>
      <c r="AG2939" s="0" t="inlineStr">
        <is>
          <t>서울시 강동구 천호대로161길 15-6</t>
        </is>
      </c>
      <c r="AH2939" s="0" t="n">
        <v>0</v>
      </c>
      <c r="AI2939" s="0" t="n">
        <v>497</v>
      </c>
      <c r="AJ2939" s="0" t="n">
        <v>59</v>
      </c>
      <c r="AK2939" s="0" t="n">
        <v>12</v>
      </c>
      <c r="AL2939" s="0" t="n">
        <v>0.5</v>
      </c>
    </row>
    <row r="2940">
      <c r="A2940" s="0" t="inlineStr">
        <is>
          <t>[천호동]</t>
        </is>
      </c>
      <c r="B2940" s="0" t="n">
        <v>120252</v>
      </c>
      <c r="C2940" s="0" t="n">
        <v>5</v>
      </c>
      <c r="D2940" s="0" t="inlineStr">
        <is>
          <t>드림하우스</t>
        </is>
      </c>
      <c r="E2940" s="0" t="inlineStr">
        <is>
          <t>2018.02.</t>
        </is>
      </c>
      <c r="F2940" s="0" t="n">
        <v>24</v>
      </c>
      <c r="G2940" s="0" t="n">
        <v>7.48</v>
      </c>
      <c r="H2940" s="0" t="n">
        <v>24.75</v>
      </c>
      <c r="I2940" s="0" t="n">
        <v>4.97</v>
      </c>
      <c r="J2940" s="0" t="n">
        <v>16.44</v>
      </c>
      <c r="K2940" s="0" t="n">
        <v>4</v>
      </c>
      <c r="T2940" s="0" t="n">
        <v>1</v>
      </c>
      <c r="U2940" s="0" t="n">
        <v>1</v>
      </c>
      <c r="V2940" s="0" t="inlineStr">
        <is>
          <t>복도식</t>
        </is>
      </c>
      <c r="W2940" s="0" t="inlineStr">
        <is>
          <t>24B</t>
        </is>
      </c>
      <c r="X2940" s="0" t="n">
        <v>13</v>
      </c>
      <c r="Y2940" s="0" t="n">
        <v>13</v>
      </c>
      <c r="Z2940" s="0" t="inlineStr">
        <is>
          <t>https://new.land.naver.com/complexes/120252?tab=detail&amp;rf=Y</t>
        </is>
      </c>
      <c r="AA2940" s="0" t="inlineStr">
        <is>
          <t>서울시 강동구 천호동 452-6</t>
        </is>
      </c>
      <c r="AB2940" s="0" t="inlineStr">
        <is>
          <t>서울시</t>
        </is>
      </c>
      <c r="AC2940" s="0" t="inlineStr">
        <is>
          <t>강동구</t>
        </is>
      </c>
      <c r="AD2940" s="0" t="inlineStr">
        <is>
          <t>천호동</t>
        </is>
      </c>
      <c r="AG2940" s="0" t="inlineStr">
        <is>
          <t>서울시 강동구 천호대로161길 15-6</t>
        </is>
      </c>
      <c r="AH2940" s="0" t="n">
        <v>0</v>
      </c>
      <c r="AI2940" s="0" t="n">
        <v>497</v>
      </c>
      <c r="AJ2940" s="0" t="n">
        <v>59</v>
      </c>
      <c r="AK2940" s="0" t="n">
        <v>12</v>
      </c>
      <c r="AL2940" s="0" t="n">
        <v>0.5</v>
      </c>
    </row>
    <row r="2941">
      <c r="A2941" s="0" t="inlineStr">
        <is>
          <t>[천호동]</t>
        </is>
      </c>
      <c r="B2941" s="0" t="n">
        <v>115883</v>
      </c>
      <c r="C2941" s="0" t="n">
        <v>1</v>
      </c>
      <c r="D2941" s="0" t="inlineStr">
        <is>
          <t>다성이즈빌(437-22)</t>
        </is>
      </c>
      <c r="E2941" s="0" t="inlineStr">
        <is>
          <t>2004.03.</t>
        </is>
      </c>
      <c r="F2941" s="0" t="n">
        <v>18</v>
      </c>
      <c r="G2941" s="0" t="n">
        <v>23.2</v>
      </c>
      <c r="H2941" s="0" t="n">
        <v>76.7</v>
      </c>
      <c r="I2941" s="0" t="n">
        <v>20.81</v>
      </c>
      <c r="J2941" s="0" t="n">
        <v>68.8</v>
      </c>
      <c r="K2941" s="0" t="n">
        <v>1</v>
      </c>
      <c r="T2941" s="0" t="n">
        <v>3</v>
      </c>
      <c r="U2941" s="0" t="n">
        <v>2</v>
      </c>
      <c r="V2941" s="0" t="inlineStr">
        <is>
          <t>계단식</t>
        </is>
      </c>
      <c r="W2941" s="0" t="n">
        <v>76</v>
      </c>
      <c r="X2941" s="0" t="n">
        <v>7</v>
      </c>
      <c r="Y2941" s="0" t="n">
        <v>7</v>
      </c>
      <c r="Z2941" s="0" t="inlineStr">
        <is>
          <t>https://new.land.naver.com/complexes/115883?tab=detail&amp;rf=Y</t>
        </is>
      </c>
      <c r="AA2941" s="0" t="inlineStr">
        <is>
          <t>서울시 강동구 천호동 437-22</t>
        </is>
      </c>
      <c r="AB2941" s="0" t="inlineStr">
        <is>
          <t>서울시</t>
        </is>
      </c>
      <c r="AC2941" s="0" t="inlineStr">
        <is>
          <t>강동구</t>
        </is>
      </c>
      <c r="AD2941" s="0" t="inlineStr">
        <is>
          <t>천호동</t>
        </is>
      </c>
      <c r="AG2941" s="0" t="inlineStr">
        <is>
          <t>서울시 강동구 올림픽로78길 15-8</t>
        </is>
      </c>
      <c r="AH2941" s="0" t="n">
        <v>0</v>
      </c>
      <c r="AI2941" s="0" t="n">
        <v>299</v>
      </c>
      <c r="AJ2941" s="0" t="n">
        <v>55</v>
      </c>
      <c r="AK2941" s="0" t="n">
        <v>22</v>
      </c>
      <c r="AL2941" s="0" t="n">
        <v>1.22</v>
      </c>
    </row>
    <row r="2942">
      <c r="A2942" s="0" t="inlineStr">
        <is>
          <t>[천호동]</t>
        </is>
      </c>
      <c r="B2942" s="0" t="n">
        <v>115883</v>
      </c>
      <c r="C2942" s="0" t="n">
        <v>2</v>
      </c>
      <c r="D2942" s="0" t="inlineStr">
        <is>
          <t>다성이즈빌(437-22)</t>
        </is>
      </c>
      <c r="E2942" s="0" t="inlineStr">
        <is>
          <t>2004.03.</t>
        </is>
      </c>
      <c r="F2942" s="0" t="n">
        <v>18</v>
      </c>
      <c r="G2942" s="0" t="n">
        <v>23.57</v>
      </c>
      <c r="H2942" s="0" t="n">
        <v>77.95</v>
      </c>
      <c r="I2942" s="0" t="n">
        <v>21.15</v>
      </c>
      <c r="J2942" s="0" t="n">
        <v>69.92</v>
      </c>
      <c r="K2942" s="0" t="n">
        <v>1</v>
      </c>
      <c r="T2942" s="0" t="n">
        <v>3</v>
      </c>
      <c r="U2942" s="0" t="n">
        <v>2</v>
      </c>
      <c r="V2942" s="0" t="inlineStr">
        <is>
          <t>계단식</t>
        </is>
      </c>
      <c r="W2942" s="0" t="n">
        <v>77</v>
      </c>
      <c r="X2942" s="0" t="n">
        <v>7</v>
      </c>
      <c r="Y2942" s="0" t="n">
        <v>7</v>
      </c>
      <c r="Z2942" s="0" t="inlineStr">
        <is>
          <t>https://new.land.naver.com/complexes/115883?tab=detail&amp;rf=Y</t>
        </is>
      </c>
      <c r="AA2942" s="0" t="inlineStr">
        <is>
          <t>서울시 강동구 천호동 437-22</t>
        </is>
      </c>
      <c r="AB2942" s="0" t="inlineStr">
        <is>
          <t>서울시</t>
        </is>
      </c>
      <c r="AC2942" s="0" t="inlineStr">
        <is>
          <t>강동구</t>
        </is>
      </c>
      <c r="AD2942" s="0" t="inlineStr">
        <is>
          <t>천호동</t>
        </is>
      </c>
      <c r="AG2942" s="0" t="inlineStr">
        <is>
          <t>서울시 강동구 올림픽로78길 15-8</t>
        </is>
      </c>
      <c r="AH2942" s="0" t="n">
        <v>0</v>
      </c>
      <c r="AI2942" s="0" t="n">
        <v>299</v>
      </c>
      <c r="AJ2942" s="0" t="n">
        <v>55</v>
      </c>
      <c r="AK2942" s="0" t="n">
        <v>22</v>
      </c>
      <c r="AL2942" s="0" t="n">
        <v>1.22</v>
      </c>
    </row>
    <row r="2943">
      <c r="A2943" s="0" t="inlineStr">
        <is>
          <t>[천호동]</t>
        </is>
      </c>
      <c r="B2943" s="0" t="n">
        <v>115883</v>
      </c>
      <c r="C2943" s="0" t="n">
        <v>3</v>
      </c>
      <c r="D2943" s="0" t="inlineStr">
        <is>
          <t>다성이즈빌(437-22)</t>
        </is>
      </c>
      <c r="E2943" s="0" t="inlineStr">
        <is>
          <t>2004.03.</t>
        </is>
      </c>
      <c r="F2943" s="0" t="n">
        <v>18</v>
      </c>
      <c r="G2943" s="0" t="n">
        <v>26.41</v>
      </c>
      <c r="H2943" s="0" t="n">
        <v>87.31999999999999</v>
      </c>
      <c r="I2943" s="0" t="n">
        <v>23.69</v>
      </c>
      <c r="J2943" s="0" t="n">
        <v>78.33</v>
      </c>
      <c r="K2943" s="0" t="n">
        <v>1</v>
      </c>
      <c r="T2943" s="0" t="n">
        <v>3</v>
      </c>
      <c r="U2943" s="0" t="n">
        <v>2</v>
      </c>
      <c r="V2943" s="0" t="inlineStr">
        <is>
          <t>계단식</t>
        </is>
      </c>
      <c r="W2943" s="0" t="n">
        <v>87</v>
      </c>
      <c r="X2943" s="0" t="n">
        <v>7</v>
      </c>
      <c r="Y2943" s="0" t="n">
        <v>7</v>
      </c>
      <c r="Z2943" s="0" t="inlineStr">
        <is>
          <t>https://new.land.naver.com/complexes/115883?tab=detail&amp;rf=Y</t>
        </is>
      </c>
      <c r="AA2943" s="0" t="inlineStr">
        <is>
          <t>서울시 강동구 천호동 437-22</t>
        </is>
      </c>
      <c r="AB2943" s="0" t="inlineStr">
        <is>
          <t>서울시</t>
        </is>
      </c>
      <c r="AC2943" s="0" t="inlineStr">
        <is>
          <t>강동구</t>
        </is>
      </c>
      <c r="AD2943" s="0" t="inlineStr">
        <is>
          <t>천호동</t>
        </is>
      </c>
      <c r="AG2943" s="0" t="inlineStr">
        <is>
          <t>서울시 강동구 올림픽로78길 15-8</t>
        </is>
      </c>
      <c r="AH2943" s="0" t="n">
        <v>0</v>
      </c>
      <c r="AI2943" s="0" t="n">
        <v>299</v>
      </c>
      <c r="AJ2943" s="0" t="n">
        <v>55</v>
      </c>
      <c r="AK2943" s="0" t="n">
        <v>22</v>
      </c>
      <c r="AL2943" s="0" t="n">
        <v>1.22</v>
      </c>
    </row>
    <row r="2944">
      <c r="A2944" s="0" t="inlineStr">
        <is>
          <t>[천호동]</t>
        </is>
      </c>
      <c r="B2944" s="0" t="n">
        <v>115883</v>
      </c>
      <c r="C2944" s="0" t="n">
        <v>4</v>
      </c>
      <c r="D2944" s="0" t="inlineStr">
        <is>
          <t>다성이즈빌(437-22)</t>
        </is>
      </c>
      <c r="E2944" s="0" t="inlineStr">
        <is>
          <t>2004.03.</t>
        </is>
      </c>
      <c r="F2944" s="0" t="n">
        <v>18</v>
      </c>
      <c r="G2944" s="0" t="n">
        <v>26.56</v>
      </c>
      <c r="H2944" s="0" t="n">
        <v>87.83</v>
      </c>
      <c r="I2944" s="0" t="n">
        <v>23.83</v>
      </c>
      <c r="J2944" s="0" t="n">
        <v>78.79000000000001</v>
      </c>
      <c r="K2944" s="0" t="n">
        <v>1</v>
      </c>
      <c r="T2944" s="0" t="n">
        <v>3</v>
      </c>
      <c r="U2944" s="0" t="n">
        <v>2</v>
      </c>
      <c r="V2944" s="0" t="inlineStr">
        <is>
          <t>계단식</t>
        </is>
      </c>
      <c r="W2944" s="0" t="inlineStr">
        <is>
          <t>87A</t>
        </is>
      </c>
      <c r="X2944" s="0" t="n">
        <v>7</v>
      </c>
      <c r="Y2944" s="0" t="n">
        <v>7</v>
      </c>
      <c r="Z2944" s="0" t="inlineStr">
        <is>
          <t>https://new.land.naver.com/complexes/115883?tab=detail&amp;rf=Y</t>
        </is>
      </c>
      <c r="AA2944" s="0" t="inlineStr">
        <is>
          <t>서울시 강동구 천호동 437-22</t>
        </is>
      </c>
      <c r="AB2944" s="0" t="inlineStr">
        <is>
          <t>서울시</t>
        </is>
      </c>
      <c r="AC2944" s="0" t="inlineStr">
        <is>
          <t>강동구</t>
        </is>
      </c>
      <c r="AD2944" s="0" t="inlineStr">
        <is>
          <t>천호동</t>
        </is>
      </c>
      <c r="AG2944" s="0" t="inlineStr">
        <is>
          <t>서울시 강동구 올림픽로78길 15-8</t>
        </is>
      </c>
      <c r="AH2944" s="0" t="n">
        <v>0</v>
      </c>
      <c r="AI2944" s="0" t="n">
        <v>299</v>
      </c>
      <c r="AJ2944" s="0" t="n">
        <v>55</v>
      </c>
      <c r="AK2944" s="0" t="n">
        <v>22</v>
      </c>
      <c r="AL2944" s="0" t="n">
        <v>1.22</v>
      </c>
    </row>
    <row r="2945">
      <c r="A2945" s="0" t="inlineStr">
        <is>
          <t>[천호동]</t>
        </is>
      </c>
      <c r="B2945" s="0" t="n">
        <v>115883</v>
      </c>
      <c r="C2945" s="0" t="n">
        <v>5</v>
      </c>
      <c r="D2945" s="0" t="inlineStr">
        <is>
          <t>다성이즈빌(437-22)</t>
        </is>
      </c>
      <c r="E2945" s="0" t="inlineStr">
        <is>
          <t>2004.03.</t>
        </is>
      </c>
      <c r="F2945" s="0" t="n">
        <v>18</v>
      </c>
      <c r="G2945" s="0" t="n">
        <v>27.2</v>
      </c>
      <c r="H2945" s="0" t="n">
        <v>89.94</v>
      </c>
      <c r="I2945" s="0" t="n">
        <v>24.4</v>
      </c>
      <c r="J2945" s="0" t="n">
        <v>80.68000000000001</v>
      </c>
      <c r="K2945" s="0" t="n">
        <v>1</v>
      </c>
      <c r="T2945" s="0" t="n">
        <v>3</v>
      </c>
      <c r="U2945" s="0" t="n">
        <v>2</v>
      </c>
      <c r="V2945" s="0" t="inlineStr">
        <is>
          <t>계단식</t>
        </is>
      </c>
      <c r="W2945" s="0" t="inlineStr">
        <is>
          <t>89B</t>
        </is>
      </c>
      <c r="X2945" s="0" t="n">
        <v>7</v>
      </c>
      <c r="Y2945" s="0" t="n">
        <v>7</v>
      </c>
      <c r="Z2945" s="0" t="inlineStr">
        <is>
          <t>https://new.land.naver.com/complexes/115883?tab=detail&amp;rf=Y</t>
        </is>
      </c>
      <c r="AA2945" s="0" t="inlineStr">
        <is>
          <t>서울시 강동구 천호동 437-22</t>
        </is>
      </c>
      <c r="AB2945" s="0" t="inlineStr">
        <is>
          <t>서울시</t>
        </is>
      </c>
      <c r="AC2945" s="0" t="inlineStr">
        <is>
          <t>강동구</t>
        </is>
      </c>
      <c r="AD2945" s="0" t="inlineStr">
        <is>
          <t>천호동</t>
        </is>
      </c>
      <c r="AG2945" s="0" t="inlineStr">
        <is>
          <t>서울시 강동구 올림픽로78길 15-8</t>
        </is>
      </c>
      <c r="AH2945" s="0" t="n">
        <v>0</v>
      </c>
      <c r="AI2945" s="0" t="n">
        <v>299</v>
      </c>
      <c r="AJ2945" s="0" t="n">
        <v>55</v>
      </c>
      <c r="AK2945" s="0" t="n">
        <v>22</v>
      </c>
      <c r="AL2945" s="0" t="n">
        <v>1.22</v>
      </c>
    </row>
    <row r="2946">
      <c r="A2946" s="0" t="inlineStr">
        <is>
          <t>[천호동]</t>
        </is>
      </c>
      <c r="B2946" s="0" t="n">
        <v>115883</v>
      </c>
      <c r="C2946" s="0" t="n">
        <v>6</v>
      </c>
      <c r="D2946" s="0" t="inlineStr">
        <is>
          <t>다성이즈빌(437-22)</t>
        </is>
      </c>
      <c r="E2946" s="0" t="inlineStr">
        <is>
          <t>2004.03.</t>
        </is>
      </c>
      <c r="F2946" s="0" t="n">
        <v>18</v>
      </c>
      <c r="G2946" s="0" t="n">
        <v>28.54</v>
      </c>
      <c r="H2946" s="0" t="n">
        <v>94.34999999999999</v>
      </c>
      <c r="I2946" s="0" t="n">
        <v>25.6</v>
      </c>
      <c r="J2946" s="0" t="n">
        <v>84.64</v>
      </c>
      <c r="K2946" s="0" t="n">
        <v>8</v>
      </c>
      <c r="T2946" s="0" t="n">
        <v>3</v>
      </c>
      <c r="U2946" s="0" t="n">
        <v>2</v>
      </c>
      <c r="V2946" s="0" t="inlineStr">
        <is>
          <t>계단식</t>
        </is>
      </c>
      <c r="W2946" s="0" t="n">
        <v>94</v>
      </c>
      <c r="X2946" s="0" t="n">
        <v>7</v>
      </c>
      <c r="Y2946" s="0" t="n">
        <v>7</v>
      </c>
      <c r="Z2946" s="0" t="inlineStr">
        <is>
          <t>https://new.land.naver.com/complexes/115883?tab=detail&amp;rf=Y</t>
        </is>
      </c>
      <c r="AA2946" s="0" t="inlineStr">
        <is>
          <t>서울시 강동구 천호동 437-22</t>
        </is>
      </c>
      <c r="AB2946" s="0" t="inlineStr">
        <is>
          <t>서울시</t>
        </is>
      </c>
      <c r="AC2946" s="0" t="inlineStr">
        <is>
          <t>강동구</t>
        </is>
      </c>
      <c r="AD2946" s="0" t="inlineStr">
        <is>
          <t>천호동</t>
        </is>
      </c>
      <c r="AG2946" s="0" t="inlineStr">
        <is>
          <t>서울시 강동구 올림픽로78길 15-8</t>
        </is>
      </c>
      <c r="AH2946" s="0" t="n">
        <v>0</v>
      </c>
      <c r="AI2946" s="0" t="n">
        <v>299</v>
      </c>
      <c r="AJ2946" s="0" t="n">
        <v>55</v>
      </c>
      <c r="AK2946" s="0" t="n">
        <v>22</v>
      </c>
      <c r="AL2946" s="0" t="n">
        <v>1.22</v>
      </c>
    </row>
    <row r="2947">
      <c r="A2947" s="0" t="inlineStr">
        <is>
          <t>[천호동]</t>
        </is>
      </c>
      <c r="B2947" s="0" t="n">
        <v>115883</v>
      </c>
      <c r="C2947" s="0" t="n">
        <v>7</v>
      </c>
      <c r="D2947" s="0" t="inlineStr">
        <is>
          <t>다성이즈빌(437-22)</t>
        </is>
      </c>
      <c r="E2947" s="0" t="inlineStr">
        <is>
          <t>2004.03.</t>
        </is>
      </c>
      <c r="F2947" s="0" t="n">
        <v>18</v>
      </c>
      <c r="G2947" s="0" t="n">
        <v>33.74</v>
      </c>
      <c r="H2947" s="0" t="n">
        <v>111.54</v>
      </c>
      <c r="I2947" s="0" t="n">
        <v>30.26</v>
      </c>
      <c r="J2947" s="0" t="n">
        <v>100.06</v>
      </c>
      <c r="K2947" s="0" t="n">
        <v>1</v>
      </c>
      <c r="T2947" s="0" t="n">
        <v>3</v>
      </c>
      <c r="U2947" s="0" t="n">
        <v>2</v>
      </c>
      <c r="V2947" s="0" t="inlineStr">
        <is>
          <t>계단식</t>
        </is>
      </c>
      <c r="W2947" s="0" t="n">
        <v>111</v>
      </c>
      <c r="X2947" s="0" t="n">
        <v>7</v>
      </c>
      <c r="Y2947" s="0" t="n">
        <v>7</v>
      </c>
      <c r="Z2947" s="0" t="inlineStr">
        <is>
          <t>https://new.land.naver.com/complexes/115883?tab=detail&amp;rf=Y</t>
        </is>
      </c>
      <c r="AA2947" s="0" t="inlineStr">
        <is>
          <t>서울시 강동구 천호동 437-22</t>
        </is>
      </c>
      <c r="AB2947" s="0" t="inlineStr">
        <is>
          <t>서울시</t>
        </is>
      </c>
      <c r="AC2947" s="0" t="inlineStr">
        <is>
          <t>강동구</t>
        </is>
      </c>
      <c r="AD2947" s="0" t="inlineStr">
        <is>
          <t>천호동</t>
        </is>
      </c>
      <c r="AG2947" s="0" t="inlineStr">
        <is>
          <t>서울시 강동구 올림픽로78길 15-8</t>
        </is>
      </c>
      <c r="AH2947" s="0" t="n">
        <v>0</v>
      </c>
      <c r="AI2947" s="0" t="n">
        <v>299</v>
      </c>
      <c r="AJ2947" s="0" t="n">
        <v>55</v>
      </c>
      <c r="AK2947" s="0" t="n">
        <v>22</v>
      </c>
      <c r="AL2947" s="0" t="n">
        <v>1.22</v>
      </c>
    </row>
    <row r="2948">
      <c r="A2948" s="0" t="inlineStr">
        <is>
          <t>[천호동]</t>
        </is>
      </c>
      <c r="B2948" s="0" t="n">
        <v>115883</v>
      </c>
      <c r="C2948" s="0" t="n">
        <v>8</v>
      </c>
      <c r="D2948" s="0" t="inlineStr">
        <is>
          <t>다성이즈빌(437-22)</t>
        </is>
      </c>
      <c r="E2948" s="0" t="inlineStr">
        <is>
          <t>2004.03.</t>
        </is>
      </c>
      <c r="F2948" s="0" t="n">
        <v>18</v>
      </c>
      <c r="G2948" s="0" t="n">
        <v>39.76</v>
      </c>
      <c r="H2948" s="0" t="n">
        <v>131.45</v>
      </c>
      <c r="I2948" s="0" t="n">
        <v>35.67</v>
      </c>
      <c r="J2948" s="0" t="n">
        <v>117.92</v>
      </c>
      <c r="K2948" s="0" t="n">
        <v>1</v>
      </c>
      <c r="T2948" s="0" t="n">
        <v>3</v>
      </c>
      <c r="U2948" s="0" t="n">
        <v>2</v>
      </c>
      <c r="V2948" s="0" t="inlineStr">
        <is>
          <t>계단식</t>
        </is>
      </c>
      <c r="W2948" s="0" t="inlineStr">
        <is>
          <t>131A</t>
        </is>
      </c>
      <c r="X2948" s="0" t="n">
        <v>7</v>
      </c>
      <c r="Y2948" s="0" t="n">
        <v>7</v>
      </c>
      <c r="Z2948" s="0" t="inlineStr">
        <is>
          <t>https://new.land.naver.com/complexes/115883?tab=detail&amp;rf=Y</t>
        </is>
      </c>
      <c r="AA2948" s="0" t="inlineStr">
        <is>
          <t>서울시 강동구 천호동 437-22</t>
        </is>
      </c>
      <c r="AB2948" s="0" t="inlineStr">
        <is>
          <t>서울시</t>
        </is>
      </c>
      <c r="AC2948" s="0" t="inlineStr">
        <is>
          <t>강동구</t>
        </is>
      </c>
      <c r="AD2948" s="0" t="inlineStr">
        <is>
          <t>천호동</t>
        </is>
      </c>
      <c r="AG2948" s="0" t="inlineStr">
        <is>
          <t>서울시 강동구 올림픽로78길 15-8</t>
        </is>
      </c>
      <c r="AH2948" s="0" t="n">
        <v>0</v>
      </c>
      <c r="AI2948" s="0" t="n">
        <v>299</v>
      </c>
      <c r="AJ2948" s="0" t="n">
        <v>55</v>
      </c>
      <c r="AK2948" s="0" t="n">
        <v>22</v>
      </c>
      <c r="AL2948" s="0" t="n">
        <v>1.22</v>
      </c>
    </row>
    <row r="2949">
      <c r="A2949" s="0" t="inlineStr">
        <is>
          <t>[천호동]</t>
        </is>
      </c>
      <c r="B2949" s="0" t="n">
        <v>115883</v>
      </c>
      <c r="C2949" s="0" t="n">
        <v>9</v>
      </c>
      <c r="D2949" s="0" t="inlineStr">
        <is>
          <t>다성이즈빌(437-22)</t>
        </is>
      </c>
      <c r="E2949" s="0" t="inlineStr">
        <is>
          <t>2004.03.</t>
        </is>
      </c>
      <c r="F2949" s="0" t="n">
        <v>18</v>
      </c>
      <c r="G2949" s="0" t="n">
        <v>41.11</v>
      </c>
      <c r="H2949" s="0" t="n">
        <v>135.92</v>
      </c>
      <c r="I2949" s="0" t="n">
        <v>36.88</v>
      </c>
      <c r="J2949" s="0" t="n">
        <v>121.93</v>
      </c>
      <c r="K2949" s="0" t="n">
        <v>3</v>
      </c>
      <c r="T2949" s="0" t="n">
        <v>3</v>
      </c>
      <c r="U2949" s="0" t="n">
        <v>2</v>
      </c>
      <c r="V2949" s="0" t="inlineStr">
        <is>
          <t>계단식</t>
        </is>
      </c>
      <c r="W2949" s="0" t="inlineStr">
        <is>
          <t>135B</t>
        </is>
      </c>
      <c r="X2949" s="0" t="n">
        <v>7</v>
      </c>
      <c r="Y2949" s="0" t="n">
        <v>7</v>
      </c>
      <c r="Z2949" s="0" t="inlineStr">
        <is>
          <t>https://new.land.naver.com/complexes/115883?tab=detail&amp;rf=Y</t>
        </is>
      </c>
      <c r="AA2949" s="0" t="inlineStr">
        <is>
          <t>서울시 강동구 천호동 437-22</t>
        </is>
      </c>
      <c r="AB2949" s="0" t="inlineStr">
        <is>
          <t>서울시</t>
        </is>
      </c>
      <c r="AC2949" s="0" t="inlineStr">
        <is>
          <t>강동구</t>
        </is>
      </c>
      <c r="AD2949" s="0" t="inlineStr">
        <is>
          <t>천호동</t>
        </is>
      </c>
      <c r="AG2949" s="0" t="inlineStr">
        <is>
          <t>서울시 강동구 올림픽로78길 15-8</t>
        </is>
      </c>
      <c r="AH2949" s="0" t="n">
        <v>0</v>
      </c>
      <c r="AI2949" s="0" t="n">
        <v>299</v>
      </c>
      <c r="AJ2949" s="0" t="n">
        <v>55</v>
      </c>
      <c r="AK2949" s="0" t="n">
        <v>22</v>
      </c>
      <c r="AL2949" s="0" t="n">
        <v>1.22</v>
      </c>
    </row>
    <row r="2950">
      <c r="A2950" s="0" t="inlineStr">
        <is>
          <t>[천호동]</t>
        </is>
      </c>
      <c r="B2950" s="0" t="n">
        <v>105574</v>
      </c>
      <c r="C2950" s="0" t="n">
        <v>1</v>
      </c>
      <c r="D2950" s="0" t="inlineStr">
        <is>
          <t>강동역신동아파밀리에</t>
        </is>
      </c>
      <c r="E2950" s="0" t="inlineStr">
        <is>
          <t>2015.07.</t>
        </is>
      </c>
      <c r="F2950" s="0" t="n">
        <v>230</v>
      </c>
      <c r="G2950" s="0" t="n">
        <v>38.29</v>
      </c>
      <c r="H2950" s="0" t="n">
        <v>126.59</v>
      </c>
      <c r="I2950" s="0" t="n">
        <v>28.61</v>
      </c>
      <c r="J2950" s="0" t="n">
        <v>94.61</v>
      </c>
      <c r="K2950" s="0" t="n">
        <v>80</v>
      </c>
      <c r="T2950" s="0" t="n">
        <v>4</v>
      </c>
      <c r="U2950" s="0" t="n">
        <v>2</v>
      </c>
      <c r="V2950" s="0" t="inlineStr">
        <is>
          <t>계단식</t>
        </is>
      </c>
      <c r="W2950" s="0" t="n">
        <v>126</v>
      </c>
      <c r="X2950" s="0" t="n">
        <v>41</v>
      </c>
      <c r="Y2950" s="0" t="n">
        <v>36</v>
      </c>
      <c r="Z2950" s="0" t="inlineStr">
        <is>
          <t>https://new.land.naver.com/complexes/105574?tab=detail&amp;rf=Y</t>
        </is>
      </c>
      <c r="AA2950" s="0" t="inlineStr">
        <is>
          <t>서울시 강동구 천호동 447-17</t>
        </is>
      </c>
      <c r="AB2950" s="0" t="inlineStr">
        <is>
          <t>서울시</t>
        </is>
      </c>
      <c r="AC2950" s="0" t="inlineStr">
        <is>
          <t>강동구</t>
        </is>
      </c>
      <c r="AD2950" s="0" t="inlineStr">
        <is>
          <t>천호동</t>
        </is>
      </c>
      <c r="AG2950" s="0" t="inlineStr">
        <is>
          <t>서울시 강동구 천호대로 1089</t>
        </is>
      </c>
      <c r="AH2950" s="0" t="n">
        <v>0</v>
      </c>
      <c r="AI2950" s="0" t="n">
        <v>451</v>
      </c>
      <c r="AJ2950" s="0" t="n">
        <v>29</v>
      </c>
      <c r="AK2950" s="0" t="n">
        <v>300</v>
      </c>
      <c r="AL2950" s="0" t="n">
        <v>1.3</v>
      </c>
    </row>
    <row r="2951">
      <c r="A2951" s="0" t="inlineStr">
        <is>
          <t>[천호동]</t>
        </is>
      </c>
      <c r="B2951" s="0" t="n">
        <v>105574</v>
      </c>
      <c r="C2951" s="0" t="n">
        <v>2</v>
      </c>
      <c r="D2951" s="0" t="inlineStr">
        <is>
          <t>강동역신동아파밀리에</t>
        </is>
      </c>
      <c r="E2951" s="0" t="inlineStr">
        <is>
          <t>2015.07.</t>
        </is>
      </c>
      <c r="F2951" s="0" t="n">
        <v>230</v>
      </c>
      <c r="G2951" s="0" t="n">
        <v>40.48</v>
      </c>
      <c r="H2951" s="0" t="n">
        <v>133.83</v>
      </c>
      <c r="I2951" s="0" t="n">
        <v>30.62</v>
      </c>
      <c r="J2951" s="0" t="n">
        <v>101.25</v>
      </c>
      <c r="K2951" s="0" t="n">
        <v>70</v>
      </c>
      <c r="T2951" s="0" t="n">
        <v>4</v>
      </c>
      <c r="U2951" s="0" t="n">
        <v>2</v>
      </c>
      <c r="V2951" s="0" t="inlineStr">
        <is>
          <t>계단식</t>
        </is>
      </c>
      <c r="W2951" s="0" t="n">
        <v>133</v>
      </c>
      <c r="X2951" s="0" t="n">
        <v>41</v>
      </c>
      <c r="Y2951" s="0" t="n">
        <v>36</v>
      </c>
      <c r="Z2951" s="0" t="inlineStr">
        <is>
          <t>https://new.land.naver.com/complexes/105574?tab=detail&amp;rf=Y</t>
        </is>
      </c>
      <c r="AA2951" s="0" t="inlineStr">
        <is>
          <t>서울시 강동구 천호동 447-17</t>
        </is>
      </c>
      <c r="AB2951" s="0" t="inlineStr">
        <is>
          <t>서울시</t>
        </is>
      </c>
      <c r="AC2951" s="0" t="inlineStr">
        <is>
          <t>강동구</t>
        </is>
      </c>
      <c r="AD2951" s="0" t="inlineStr">
        <is>
          <t>천호동</t>
        </is>
      </c>
      <c r="AG2951" s="0" t="inlineStr">
        <is>
          <t>서울시 강동구 천호대로 1089</t>
        </is>
      </c>
      <c r="AH2951" s="0" t="n">
        <v>0</v>
      </c>
      <c r="AI2951" s="0" t="n">
        <v>451</v>
      </c>
      <c r="AJ2951" s="0" t="n">
        <v>29</v>
      </c>
      <c r="AK2951" s="0" t="n">
        <v>300</v>
      </c>
      <c r="AL2951" s="0" t="n">
        <v>1.3</v>
      </c>
    </row>
    <row r="2952">
      <c r="A2952" s="0" t="inlineStr">
        <is>
          <t>[천호동]</t>
        </is>
      </c>
      <c r="B2952" s="0" t="n">
        <v>105574</v>
      </c>
      <c r="C2952" s="0" t="n">
        <v>3</v>
      </c>
      <c r="D2952" s="0" t="inlineStr">
        <is>
          <t>강동역신동아파밀리에</t>
        </is>
      </c>
      <c r="E2952" s="0" t="inlineStr">
        <is>
          <t>2015.07.</t>
        </is>
      </c>
      <c r="F2952" s="0" t="n">
        <v>230</v>
      </c>
      <c r="G2952" s="0" t="n">
        <v>43.65</v>
      </c>
      <c r="H2952" s="0" t="n">
        <v>144.3</v>
      </c>
      <c r="I2952" s="0" t="n">
        <v>32.47</v>
      </c>
      <c r="J2952" s="0" t="n">
        <v>107.34</v>
      </c>
      <c r="K2952" s="0" t="n">
        <v>80</v>
      </c>
      <c r="T2952" s="0" t="n">
        <v>4</v>
      </c>
      <c r="U2952" s="0" t="n">
        <v>2</v>
      </c>
      <c r="V2952" s="0" t="inlineStr">
        <is>
          <t>계단식</t>
        </is>
      </c>
      <c r="W2952" s="0" t="n">
        <v>144</v>
      </c>
      <c r="X2952" s="0" t="n">
        <v>41</v>
      </c>
      <c r="Y2952" s="0" t="n">
        <v>36</v>
      </c>
      <c r="Z2952" s="0" t="inlineStr">
        <is>
          <t>https://new.land.naver.com/complexes/105574?tab=detail&amp;rf=Y</t>
        </is>
      </c>
      <c r="AA2952" s="0" t="inlineStr">
        <is>
          <t>서울시 강동구 천호동 447-17</t>
        </is>
      </c>
      <c r="AB2952" s="0" t="inlineStr">
        <is>
          <t>서울시</t>
        </is>
      </c>
      <c r="AC2952" s="0" t="inlineStr">
        <is>
          <t>강동구</t>
        </is>
      </c>
      <c r="AD2952" s="0" t="inlineStr">
        <is>
          <t>천호동</t>
        </is>
      </c>
      <c r="AG2952" s="0" t="inlineStr">
        <is>
          <t>서울시 강동구 천호대로 1089</t>
        </is>
      </c>
      <c r="AH2952" s="0" t="n">
        <v>0</v>
      </c>
      <c r="AI2952" s="0" t="n">
        <v>451</v>
      </c>
      <c r="AJ2952" s="0" t="n">
        <v>29</v>
      </c>
      <c r="AK2952" s="0" t="n">
        <v>300</v>
      </c>
      <c r="AL2952" s="0" t="n">
        <v>1.3</v>
      </c>
    </row>
    <row r="2953">
      <c r="A2953" s="0" t="inlineStr">
        <is>
          <t>[천호동]</t>
        </is>
      </c>
      <c r="B2953" s="0" t="n">
        <v>123284</v>
      </c>
      <c r="C2953" s="0" t="n">
        <v>1</v>
      </c>
      <c r="D2953" s="0" t="inlineStr">
        <is>
          <t>신주리버빌(도시형)</t>
        </is>
      </c>
      <c r="E2953" s="0" t="inlineStr">
        <is>
          <t>2014.12.</t>
        </is>
      </c>
      <c r="F2953" s="0" t="n">
        <v>10</v>
      </c>
      <c r="G2953" s="0" t="n">
        <v>12.77</v>
      </c>
      <c r="H2953" s="0" t="n">
        <v>42.23</v>
      </c>
      <c r="I2953" s="0" t="n">
        <v>10.14</v>
      </c>
      <c r="J2953" s="0" t="n">
        <v>33.54</v>
      </c>
      <c r="K2953" s="0" t="n">
        <v>1</v>
      </c>
      <c r="T2953" s="0" t="n">
        <v>1</v>
      </c>
      <c r="U2953" s="0" t="n">
        <v>1</v>
      </c>
      <c r="V2953" s="0" t="inlineStr">
        <is>
          <t>계단식</t>
        </is>
      </c>
      <c r="W2953" s="0" t="n">
        <v>42</v>
      </c>
      <c r="X2953" s="0" t="n">
        <v>6</v>
      </c>
      <c r="Y2953" s="0" t="n">
        <v>6</v>
      </c>
      <c r="Z2953" s="0" t="inlineStr">
        <is>
          <t>https://new.land.naver.com/complexes/123284?tab=detail&amp;rf=Y</t>
        </is>
      </c>
      <c r="AA2953" s="0" t="inlineStr">
        <is>
          <t>서울시 강동구 천호동 18-96</t>
        </is>
      </c>
      <c r="AB2953" s="0" t="inlineStr">
        <is>
          <t>서울시</t>
        </is>
      </c>
      <c r="AC2953" s="0" t="inlineStr">
        <is>
          <t>강동구</t>
        </is>
      </c>
      <c r="AD2953" s="0" t="inlineStr">
        <is>
          <t>천호동</t>
        </is>
      </c>
      <c r="AG2953" s="0" t="inlineStr">
        <is>
          <t>서울시 강동구 구천면로64길 18</t>
        </is>
      </c>
      <c r="AH2953" s="0" t="n">
        <v>0</v>
      </c>
      <c r="AI2953" s="0" t="n">
        <v>199</v>
      </c>
      <c r="AJ2953" s="0" t="n">
        <v>53</v>
      </c>
      <c r="AK2953" s="0" t="n">
        <v>8</v>
      </c>
      <c r="AL2953" s="0" t="n">
        <v>0.8</v>
      </c>
    </row>
    <row r="2954">
      <c r="A2954" s="0" t="inlineStr">
        <is>
          <t>[천호동]</t>
        </is>
      </c>
      <c r="B2954" s="0" t="n">
        <v>123284</v>
      </c>
      <c r="C2954" s="0" t="n">
        <v>2</v>
      </c>
      <c r="D2954" s="0" t="inlineStr">
        <is>
          <t>신주리버빌(도시형)</t>
        </is>
      </c>
      <c r="E2954" s="0" t="inlineStr">
        <is>
          <t>2014.12.</t>
        </is>
      </c>
      <c r="F2954" s="0" t="n">
        <v>10</v>
      </c>
      <c r="G2954" s="0" t="n">
        <v>14.71</v>
      </c>
      <c r="H2954" s="0" t="n">
        <v>48.66</v>
      </c>
      <c r="I2954" s="0" t="n">
        <v>11.69</v>
      </c>
      <c r="J2954" s="0" t="n">
        <v>38.65</v>
      </c>
      <c r="K2954" s="0" t="n">
        <v>1</v>
      </c>
      <c r="T2954" s="0" t="n">
        <v>2</v>
      </c>
      <c r="U2954" s="0" t="n">
        <v>1</v>
      </c>
      <c r="V2954" s="0" t="inlineStr">
        <is>
          <t>계단식</t>
        </is>
      </c>
      <c r="W2954" s="0" t="n">
        <v>48</v>
      </c>
      <c r="X2954" s="0" t="n">
        <v>6</v>
      </c>
      <c r="Y2954" s="0" t="n">
        <v>6</v>
      </c>
      <c r="Z2954" s="0" t="inlineStr">
        <is>
          <t>https://new.land.naver.com/complexes/123284?tab=detail&amp;rf=Y</t>
        </is>
      </c>
      <c r="AA2954" s="0" t="inlineStr">
        <is>
          <t>서울시 강동구 천호동 18-96</t>
        </is>
      </c>
      <c r="AB2954" s="0" t="inlineStr">
        <is>
          <t>서울시</t>
        </is>
      </c>
      <c r="AC2954" s="0" t="inlineStr">
        <is>
          <t>강동구</t>
        </is>
      </c>
      <c r="AD2954" s="0" t="inlineStr">
        <is>
          <t>천호동</t>
        </is>
      </c>
      <c r="AG2954" s="0" t="inlineStr">
        <is>
          <t>서울시 강동구 구천면로64길 18</t>
        </is>
      </c>
      <c r="AH2954" s="0" t="n">
        <v>0</v>
      </c>
      <c r="AI2954" s="0" t="n">
        <v>199</v>
      </c>
      <c r="AJ2954" s="0" t="n">
        <v>53</v>
      </c>
      <c r="AK2954" s="0" t="n">
        <v>8</v>
      </c>
      <c r="AL2954" s="0" t="n">
        <v>0.8</v>
      </c>
    </row>
    <row r="2955">
      <c r="A2955" s="0" t="inlineStr">
        <is>
          <t>[천호동]</t>
        </is>
      </c>
      <c r="B2955" s="0" t="n">
        <v>123284</v>
      </c>
      <c r="C2955" s="0" t="n">
        <v>3</v>
      </c>
      <c r="D2955" s="0" t="inlineStr">
        <is>
          <t>신주리버빌(도시형)</t>
        </is>
      </c>
      <c r="E2955" s="0" t="inlineStr">
        <is>
          <t>2014.12.</t>
        </is>
      </c>
      <c r="F2955" s="0" t="n">
        <v>10</v>
      </c>
      <c r="G2955" s="0" t="n">
        <v>16.77</v>
      </c>
      <c r="H2955" s="0" t="n">
        <v>55.46</v>
      </c>
      <c r="I2955" s="0" t="n">
        <v>13.32</v>
      </c>
      <c r="J2955" s="0" t="n">
        <v>44.06</v>
      </c>
      <c r="K2955" s="0" t="n">
        <v>4</v>
      </c>
      <c r="T2955" s="0" t="n">
        <v>2</v>
      </c>
      <c r="U2955" s="0" t="n">
        <v>1</v>
      </c>
      <c r="V2955" s="0" t="inlineStr">
        <is>
          <t>계단식</t>
        </is>
      </c>
      <c r="W2955" s="0" t="n">
        <v>55</v>
      </c>
      <c r="X2955" s="0" t="n">
        <v>6</v>
      </c>
      <c r="Y2955" s="0" t="n">
        <v>6</v>
      </c>
      <c r="Z2955" s="0" t="inlineStr">
        <is>
          <t>https://new.land.naver.com/complexes/123284?tab=detail&amp;rf=Y</t>
        </is>
      </c>
      <c r="AA2955" s="0" t="inlineStr">
        <is>
          <t>서울시 강동구 천호동 18-96</t>
        </is>
      </c>
      <c r="AB2955" s="0" t="inlineStr">
        <is>
          <t>서울시</t>
        </is>
      </c>
      <c r="AC2955" s="0" t="inlineStr">
        <is>
          <t>강동구</t>
        </is>
      </c>
      <c r="AD2955" s="0" t="inlineStr">
        <is>
          <t>천호동</t>
        </is>
      </c>
      <c r="AG2955" s="0" t="inlineStr">
        <is>
          <t>서울시 강동구 구천면로64길 18</t>
        </is>
      </c>
      <c r="AH2955" s="0" t="n">
        <v>0</v>
      </c>
      <c r="AI2955" s="0" t="n">
        <v>199</v>
      </c>
      <c r="AJ2955" s="0" t="n">
        <v>53</v>
      </c>
      <c r="AK2955" s="0" t="n">
        <v>8</v>
      </c>
      <c r="AL2955" s="0" t="n">
        <v>0.8</v>
      </c>
    </row>
    <row r="2956">
      <c r="A2956" s="0" t="inlineStr">
        <is>
          <t>[천호동]</t>
        </is>
      </c>
      <c r="B2956" s="0" t="n">
        <v>123284</v>
      </c>
      <c r="C2956" s="0" t="n">
        <v>4</v>
      </c>
      <c r="D2956" s="0" t="inlineStr">
        <is>
          <t>신주리버빌(도시형)</t>
        </is>
      </c>
      <c r="E2956" s="0" t="inlineStr">
        <is>
          <t>2014.12.</t>
        </is>
      </c>
      <c r="F2956" s="0" t="n">
        <v>10</v>
      </c>
      <c r="G2956" s="0" t="n">
        <v>18.38</v>
      </c>
      <c r="H2956" s="0" t="n">
        <v>60.79</v>
      </c>
      <c r="I2956" s="0" t="n">
        <v>14.6</v>
      </c>
      <c r="J2956" s="0" t="n">
        <v>48.29</v>
      </c>
      <c r="K2956" s="0" t="n">
        <v>4</v>
      </c>
      <c r="T2956" s="0" t="n">
        <v>2</v>
      </c>
      <c r="U2956" s="0" t="n">
        <v>1</v>
      </c>
      <c r="V2956" s="0" t="inlineStr">
        <is>
          <t>계단식</t>
        </is>
      </c>
      <c r="W2956" s="0" t="n">
        <v>60</v>
      </c>
      <c r="X2956" s="0" t="n">
        <v>6</v>
      </c>
      <c r="Y2956" s="0" t="n">
        <v>6</v>
      </c>
      <c r="Z2956" s="0" t="inlineStr">
        <is>
          <t>https://new.land.naver.com/complexes/123284?tab=detail&amp;rf=Y</t>
        </is>
      </c>
      <c r="AA2956" s="0" t="inlineStr">
        <is>
          <t>서울시 강동구 천호동 18-96</t>
        </is>
      </c>
      <c r="AB2956" s="0" t="inlineStr">
        <is>
          <t>서울시</t>
        </is>
      </c>
      <c r="AC2956" s="0" t="inlineStr">
        <is>
          <t>강동구</t>
        </is>
      </c>
      <c r="AD2956" s="0" t="inlineStr">
        <is>
          <t>천호동</t>
        </is>
      </c>
      <c r="AG2956" s="0" t="inlineStr">
        <is>
          <t>서울시 강동구 구천면로64길 18</t>
        </is>
      </c>
      <c r="AH2956" s="0" t="n">
        <v>0</v>
      </c>
      <c r="AI2956" s="0" t="n">
        <v>199</v>
      </c>
      <c r="AJ2956" s="0" t="n">
        <v>53</v>
      </c>
      <c r="AK2956" s="0" t="n">
        <v>8</v>
      </c>
      <c r="AL2956" s="0" t="n">
        <v>0.8</v>
      </c>
    </row>
    <row r="2957">
      <c r="A2957" s="0" t="inlineStr">
        <is>
          <t>[천호동]</t>
        </is>
      </c>
      <c r="B2957" s="0" t="n">
        <v>1003</v>
      </c>
      <c r="C2957" s="0" t="n">
        <v>1</v>
      </c>
      <c r="D2957" s="0" t="inlineStr">
        <is>
          <t>유원</t>
        </is>
      </c>
      <c r="E2957" s="0" t="inlineStr">
        <is>
          <t>1997.08.</t>
        </is>
      </c>
      <c r="F2957" s="0" t="n">
        <v>174</v>
      </c>
      <c r="G2957" s="0" t="n">
        <v>23.07</v>
      </c>
      <c r="H2957" s="0" t="n">
        <v>76.28</v>
      </c>
      <c r="I2957" s="0" t="n">
        <v>16.93</v>
      </c>
      <c r="J2957" s="0" t="n">
        <v>55.98</v>
      </c>
      <c r="K2957" s="0" t="n">
        <v>91</v>
      </c>
      <c r="T2957" s="0" t="n">
        <v>3</v>
      </c>
      <c r="U2957" s="0" t="n">
        <v>1</v>
      </c>
      <c r="V2957" s="0" t="inlineStr">
        <is>
          <t>계단식</t>
        </is>
      </c>
      <c r="W2957" s="0" t="n">
        <v>76</v>
      </c>
      <c r="X2957" s="0" t="n">
        <v>18</v>
      </c>
      <c r="Y2957" s="0" t="n">
        <v>7</v>
      </c>
      <c r="Z2957" s="0" t="inlineStr">
        <is>
          <t>https://new.land.naver.com/complexes/1003?tab=detail&amp;rf=Y</t>
        </is>
      </c>
      <c r="AA2957" s="0" t="inlineStr">
        <is>
          <t>서울시 강동구 천호동 287-9</t>
        </is>
      </c>
      <c r="AB2957" s="0" t="inlineStr">
        <is>
          <t>서울시</t>
        </is>
      </c>
      <c r="AC2957" s="0" t="inlineStr">
        <is>
          <t>강동구</t>
        </is>
      </c>
      <c r="AD2957" s="0" t="inlineStr">
        <is>
          <t>천호동</t>
        </is>
      </c>
      <c r="AG2957" s="0" t="inlineStr">
        <is>
          <t>서울시 강동구 상암로12길 24</t>
        </is>
      </c>
      <c r="AH2957" s="0" t="n">
        <v>0</v>
      </c>
      <c r="AI2957" s="0" t="n">
        <v>340</v>
      </c>
      <c r="AJ2957" s="0" t="n">
        <v>31</v>
      </c>
      <c r="AK2957" s="0" t="n">
        <v>226</v>
      </c>
      <c r="AL2957" s="0" t="n">
        <v>1.3</v>
      </c>
    </row>
    <row r="2958">
      <c r="A2958" s="0" t="inlineStr">
        <is>
          <t>[천호동]</t>
        </is>
      </c>
      <c r="B2958" s="0" t="n">
        <v>1003</v>
      </c>
      <c r="C2958" s="0" t="n">
        <v>2</v>
      </c>
      <c r="D2958" s="0" t="inlineStr">
        <is>
          <t>유원</t>
        </is>
      </c>
      <c r="E2958" s="0" t="inlineStr">
        <is>
          <t>1997.08.</t>
        </is>
      </c>
      <c r="F2958" s="0" t="n">
        <v>174</v>
      </c>
      <c r="G2958" s="0" t="n">
        <v>29.07</v>
      </c>
      <c r="H2958" s="0" t="n">
        <v>96.13</v>
      </c>
      <c r="I2958" s="0" t="n">
        <v>25.5</v>
      </c>
      <c r="J2958" s="0" t="n">
        <v>84.3</v>
      </c>
      <c r="K2958" s="0" t="n">
        <v>59</v>
      </c>
      <c r="T2958" s="0" t="n">
        <v>3</v>
      </c>
      <c r="U2958" s="0" t="n">
        <v>2</v>
      </c>
      <c r="V2958" s="0" t="inlineStr">
        <is>
          <t>계단식</t>
        </is>
      </c>
      <c r="W2958" s="0" t="n">
        <v>96</v>
      </c>
      <c r="X2958" s="0" t="n">
        <v>18</v>
      </c>
      <c r="Y2958" s="0" t="n">
        <v>7</v>
      </c>
      <c r="Z2958" s="0" t="inlineStr">
        <is>
          <t>https://new.land.naver.com/complexes/1003?tab=detail&amp;rf=Y</t>
        </is>
      </c>
      <c r="AA2958" s="0" t="inlineStr">
        <is>
          <t>서울시 강동구 천호동 287-9</t>
        </is>
      </c>
      <c r="AB2958" s="0" t="inlineStr">
        <is>
          <t>서울시</t>
        </is>
      </c>
      <c r="AC2958" s="0" t="inlineStr">
        <is>
          <t>강동구</t>
        </is>
      </c>
      <c r="AD2958" s="0" t="inlineStr">
        <is>
          <t>천호동</t>
        </is>
      </c>
      <c r="AG2958" s="0" t="inlineStr">
        <is>
          <t>서울시 강동구 상암로12길 24</t>
        </is>
      </c>
      <c r="AH2958" s="0" t="n">
        <v>0</v>
      </c>
      <c r="AI2958" s="0" t="n">
        <v>340</v>
      </c>
      <c r="AJ2958" s="0" t="n">
        <v>31</v>
      </c>
      <c r="AK2958" s="0" t="n">
        <v>226</v>
      </c>
      <c r="AL2958" s="0" t="n">
        <v>1.3</v>
      </c>
    </row>
    <row r="2959">
      <c r="A2959" s="0" t="inlineStr">
        <is>
          <t>[천호동]</t>
        </is>
      </c>
      <c r="B2959" s="0" t="n">
        <v>1003</v>
      </c>
      <c r="C2959" s="0" t="n">
        <v>3</v>
      </c>
      <c r="D2959" s="0" t="inlineStr">
        <is>
          <t>유원</t>
        </is>
      </c>
      <c r="E2959" s="0" t="inlineStr">
        <is>
          <t>1997.08.</t>
        </is>
      </c>
      <c r="F2959" s="0" t="n">
        <v>174</v>
      </c>
      <c r="G2959" s="0" t="n">
        <v>29.72</v>
      </c>
      <c r="H2959" s="0" t="n">
        <v>98.28</v>
      </c>
      <c r="I2959" s="0" t="n">
        <v>25.64</v>
      </c>
      <c r="J2959" s="0" t="n">
        <v>84.78</v>
      </c>
      <c r="K2959" s="0" t="n">
        <v>24</v>
      </c>
      <c r="T2959" s="0" t="n">
        <v>3</v>
      </c>
      <c r="U2959" s="0" t="n">
        <v>2</v>
      </c>
      <c r="V2959" s="0" t="inlineStr">
        <is>
          <t>계단식</t>
        </is>
      </c>
      <c r="W2959" s="0" t="n">
        <v>98</v>
      </c>
      <c r="X2959" s="0" t="n">
        <v>18</v>
      </c>
      <c r="Y2959" s="0" t="n">
        <v>7</v>
      </c>
      <c r="Z2959" s="0" t="inlineStr">
        <is>
          <t>https://new.land.naver.com/complexes/1003?tab=detail&amp;rf=Y</t>
        </is>
      </c>
      <c r="AA2959" s="0" t="inlineStr">
        <is>
          <t>서울시 강동구 천호동 287-9</t>
        </is>
      </c>
      <c r="AB2959" s="0" t="inlineStr">
        <is>
          <t>서울시</t>
        </is>
      </c>
      <c r="AC2959" s="0" t="inlineStr">
        <is>
          <t>강동구</t>
        </is>
      </c>
      <c r="AD2959" s="0" t="inlineStr">
        <is>
          <t>천호동</t>
        </is>
      </c>
      <c r="AG2959" s="0" t="inlineStr">
        <is>
          <t>서울시 강동구 상암로12길 24</t>
        </is>
      </c>
      <c r="AH2959" s="0" t="n">
        <v>0</v>
      </c>
      <c r="AI2959" s="0" t="n">
        <v>340</v>
      </c>
      <c r="AJ2959" s="0" t="n">
        <v>31</v>
      </c>
      <c r="AK2959" s="0" t="n">
        <v>226</v>
      </c>
      <c r="AL2959" s="0" t="n">
        <v>1.3</v>
      </c>
    </row>
    <row r="2960">
      <c r="A2960" s="0" t="inlineStr">
        <is>
          <t>[천호동]</t>
        </is>
      </c>
      <c r="B2960" s="0" t="n">
        <v>125608</v>
      </c>
      <c r="C2960" s="0" t="n">
        <v>1</v>
      </c>
      <c r="D2960" s="0" t="inlineStr">
        <is>
          <t>하우스D(도시형)</t>
        </is>
      </c>
      <c r="E2960" s="0" t="inlineStr">
        <is>
          <t>2019.04.</t>
        </is>
      </c>
      <c r="F2960" s="0" t="n">
        <v>15</v>
      </c>
      <c r="G2960" s="0" t="n">
        <v>10.77</v>
      </c>
      <c r="H2960" s="0" t="n">
        <v>35.62</v>
      </c>
      <c r="I2960" s="0" t="n">
        <v>7.42</v>
      </c>
      <c r="J2960" s="0" t="n">
        <v>24.54</v>
      </c>
      <c r="K2960" s="0" t="n">
        <v>1</v>
      </c>
      <c r="T2960" s="0" t="n">
        <v>1</v>
      </c>
      <c r="U2960" s="0" t="n">
        <v>1</v>
      </c>
      <c r="V2960" s="0" t="inlineStr">
        <is>
          <t>계단식</t>
        </is>
      </c>
      <c r="W2960" s="0" t="n">
        <v>35</v>
      </c>
      <c r="X2960" s="0" t="n">
        <v>6</v>
      </c>
      <c r="Y2960" s="0" t="n">
        <v>6</v>
      </c>
      <c r="Z2960" s="0" t="inlineStr">
        <is>
          <t>https://new.land.naver.com/complexes/125608?tab=detail&amp;rf=Y</t>
        </is>
      </c>
      <c r="AA2960" s="0" t="inlineStr">
        <is>
          <t>서울시 강동구 천호동 18-65</t>
        </is>
      </c>
      <c r="AB2960" s="0" t="inlineStr">
        <is>
          <t>서울시</t>
        </is>
      </c>
      <c r="AC2960" s="0" t="inlineStr">
        <is>
          <t>강동구</t>
        </is>
      </c>
      <c r="AD2960" s="0" t="inlineStr">
        <is>
          <t>천호동</t>
        </is>
      </c>
      <c r="AG2960" s="0" t="inlineStr">
        <is>
          <t>서울시 강동구 구천면로64길 10</t>
        </is>
      </c>
      <c r="AH2960" s="0" t="n">
        <v>0</v>
      </c>
      <c r="AI2960" s="0" t="n">
        <v>199</v>
      </c>
      <c r="AJ2960" s="0" t="n">
        <v>53</v>
      </c>
      <c r="AK2960" s="0" t="n">
        <v>8</v>
      </c>
      <c r="AL2960" s="0" t="n">
        <v>0.53</v>
      </c>
    </row>
    <row r="2961">
      <c r="A2961" s="0" t="inlineStr">
        <is>
          <t>[천호동]</t>
        </is>
      </c>
      <c r="B2961" s="0" t="n">
        <v>125608</v>
      </c>
      <c r="C2961" s="0" t="n">
        <v>2</v>
      </c>
      <c r="D2961" s="0" t="inlineStr">
        <is>
          <t>하우스D(도시형)</t>
        </is>
      </c>
      <c r="E2961" s="0" t="inlineStr">
        <is>
          <t>2019.04.</t>
        </is>
      </c>
      <c r="F2961" s="0" t="n">
        <v>15</v>
      </c>
      <c r="G2961" s="0" t="n">
        <v>11.92</v>
      </c>
      <c r="H2961" s="0" t="n">
        <v>39.41</v>
      </c>
      <c r="I2961" s="0" t="n">
        <v>8.210000000000001</v>
      </c>
      <c r="J2961" s="0" t="n">
        <v>27.16</v>
      </c>
      <c r="K2961" s="0" t="n">
        <v>4</v>
      </c>
      <c r="T2961" s="0" t="n">
        <v>1</v>
      </c>
      <c r="U2961" s="0" t="n">
        <v>1</v>
      </c>
      <c r="V2961" s="0" t="inlineStr">
        <is>
          <t>계단식</t>
        </is>
      </c>
      <c r="W2961" s="0" t="inlineStr">
        <is>
          <t>39A</t>
        </is>
      </c>
      <c r="X2961" s="0" t="n">
        <v>6</v>
      </c>
      <c r="Y2961" s="0" t="n">
        <v>6</v>
      </c>
      <c r="Z2961" s="0" t="inlineStr">
        <is>
          <t>https://new.land.naver.com/complexes/125608?tab=detail&amp;rf=Y</t>
        </is>
      </c>
      <c r="AA2961" s="0" t="inlineStr">
        <is>
          <t>서울시 강동구 천호동 18-65</t>
        </is>
      </c>
      <c r="AB2961" s="0" t="inlineStr">
        <is>
          <t>서울시</t>
        </is>
      </c>
      <c r="AC2961" s="0" t="inlineStr">
        <is>
          <t>강동구</t>
        </is>
      </c>
      <c r="AD2961" s="0" t="inlineStr">
        <is>
          <t>천호동</t>
        </is>
      </c>
      <c r="AG2961" s="0" t="inlineStr">
        <is>
          <t>서울시 강동구 구천면로64길 10</t>
        </is>
      </c>
      <c r="AH2961" s="0" t="n">
        <v>0</v>
      </c>
      <c r="AI2961" s="0" t="n">
        <v>199</v>
      </c>
      <c r="AJ2961" s="0" t="n">
        <v>53</v>
      </c>
      <c r="AK2961" s="0" t="n">
        <v>8</v>
      </c>
      <c r="AL2961" s="0" t="n">
        <v>0.53</v>
      </c>
    </row>
    <row r="2962">
      <c r="A2962" s="0" t="inlineStr">
        <is>
          <t>[천호동]</t>
        </is>
      </c>
      <c r="B2962" s="0" t="n">
        <v>125608</v>
      </c>
      <c r="C2962" s="0" t="n">
        <v>3</v>
      </c>
      <c r="D2962" s="0" t="inlineStr">
        <is>
          <t>하우스D(도시형)</t>
        </is>
      </c>
      <c r="E2962" s="0" t="inlineStr">
        <is>
          <t>2019.04.</t>
        </is>
      </c>
      <c r="F2962" s="0" t="n">
        <v>15</v>
      </c>
      <c r="G2962" s="0" t="n">
        <v>12.14</v>
      </c>
      <c r="H2962" s="0" t="n">
        <v>40.15</v>
      </c>
      <c r="I2962" s="0" t="n">
        <v>8.359999999999999</v>
      </c>
      <c r="J2962" s="0" t="n">
        <v>27.66</v>
      </c>
      <c r="K2962" s="0" t="n">
        <v>5</v>
      </c>
      <c r="T2962" s="0" t="n">
        <v>1</v>
      </c>
      <c r="U2962" s="0" t="n">
        <v>1</v>
      </c>
      <c r="V2962" s="0" t="inlineStr">
        <is>
          <t>계단식</t>
        </is>
      </c>
      <c r="W2962" s="0" t="inlineStr">
        <is>
          <t>40B</t>
        </is>
      </c>
      <c r="X2962" s="0" t="n">
        <v>6</v>
      </c>
      <c r="Y2962" s="0" t="n">
        <v>6</v>
      </c>
      <c r="Z2962" s="0" t="inlineStr">
        <is>
          <t>https://new.land.naver.com/complexes/125608?tab=detail&amp;rf=Y</t>
        </is>
      </c>
      <c r="AA2962" s="0" t="inlineStr">
        <is>
          <t>서울시 강동구 천호동 18-65</t>
        </is>
      </c>
      <c r="AB2962" s="0" t="inlineStr">
        <is>
          <t>서울시</t>
        </is>
      </c>
      <c r="AC2962" s="0" t="inlineStr">
        <is>
          <t>강동구</t>
        </is>
      </c>
      <c r="AD2962" s="0" t="inlineStr">
        <is>
          <t>천호동</t>
        </is>
      </c>
      <c r="AG2962" s="0" t="inlineStr">
        <is>
          <t>서울시 강동구 구천면로64길 10</t>
        </is>
      </c>
      <c r="AH2962" s="0" t="n">
        <v>0</v>
      </c>
      <c r="AI2962" s="0" t="n">
        <v>199</v>
      </c>
      <c r="AJ2962" s="0" t="n">
        <v>53</v>
      </c>
      <c r="AK2962" s="0" t="n">
        <v>8</v>
      </c>
      <c r="AL2962" s="0" t="n">
        <v>0.53</v>
      </c>
    </row>
    <row r="2963">
      <c r="A2963" s="0" t="inlineStr">
        <is>
          <t>[천호동]</t>
        </is>
      </c>
      <c r="B2963" s="0" t="n">
        <v>125608</v>
      </c>
      <c r="C2963" s="0" t="n">
        <v>4</v>
      </c>
      <c r="D2963" s="0" t="inlineStr">
        <is>
          <t>하우스D(도시형)</t>
        </is>
      </c>
      <c r="E2963" s="0" t="inlineStr">
        <is>
          <t>2019.04.</t>
        </is>
      </c>
      <c r="F2963" s="0" t="n">
        <v>15</v>
      </c>
      <c r="G2963" s="0" t="n">
        <v>12.58</v>
      </c>
      <c r="H2963" s="0" t="n">
        <v>41.6</v>
      </c>
      <c r="I2963" s="0" t="n">
        <v>8.66</v>
      </c>
      <c r="J2963" s="0" t="n">
        <v>28.66</v>
      </c>
      <c r="K2963" s="0" t="n">
        <v>5</v>
      </c>
      <c r="T2963" s="0" t="n">
        <v>1</v>
      </c>
      <c r="U2963" s="0" t="n">
        <v>1</v>
      </c>
      <c r="V2963" s="0" t="inlineStr">
        <is>
          <t>계단식</t>
        </is>
      </c>
      <c r="W2963" s="0" t="n">
        <v>41</v>
      </c>
      <c r="X2963" s="0" t="n">
        <v>6</v>
      </c>
      <c r="Y2963" s="0" t="n">
        <v>6</v>
      </c>
      <c r="Z2963" s="0" t="inlineStr">
        <is>
          <t>https://new.land.naver.com/complexes/125608?tab=detail&amp;rf=Y</t>
        </is>
      </c>
      <c r="AA2963" s="0" t="inlineStr">
        <is>
          <t>서울시 강동구 천호동 18-65</t>
        </is>
      </c>
      <c r="AB2963" s="0" t="inlineStr">
        <is>
          <t>서울시</t>
        </is>
      </c>
      <c r="AC2963" s="0" t="inlineStr">
        <is>
          <t>강동구</t>
        </is>
      </c>
      <c r="AD2963" s="0" t="inlineStr">
        <is>
          <t>천호동</t>
        </is>
      </c>
      <c r="AG2963" s="0" t="inlineStr">
        <is>
          <t>서울시 강동구 구천면로64길 10</t>
        </is>
      </c>
      <c r="AH2963" s="0" t="n">
        <v>0</v>
      </c>
      <c r="AI2963" s="0" t="n">
        <v>199</v>
      </c>
      <c r="AJ2963" s="0" t="n">
        <v>53</v>
      </c>
      <c r="AK2963" s="0" t="n">
        <v>8</v>
      </c>
      <c r="AL2963" s="0" t="n">
        <v>0.53</v>
      </c>
    </row>
    <row r="2964">
      <c r="A2964" s="0" t="inlineStr">
        <is>
          <t>[천호동]</t>
        </is>
      </c>
      <c r="B2964" s="0" t="n">
        <v>102371</v>
      </c>
      <c r="C2964" s="0" t="n">
        <v>1</v>
      </c>
      <c r="D2964" s="0" t="inlineStr">
        <is>
          <t>현진에스페랑스</t>
        </is>
      </c>
      <c r="E2964" s="0" t="inlineStr">
        <is>
          <t>2004.04.</t>
        </is>
      </c>
      <c r="F2964" s="0" t="n">
        <v>30</v>
      </c>
      <c r="G2964" s="0" t="n">
        <v>21.69</v>
      </c>
      <c r="H2964" s="0" t="n">
        <v>71.72</v>
      </c>
      <c r="I2964" s="0" t="n">
        <v>18.92</v>
      </c>
      <c r="J2964" s="0" t="n">
        <v>62.57</v>
      </c>
      <c r="K2964" s="0" t="n">
        <v>1</v>
      </c>
      <c r="T2964" s="0" t="n">
        <v>3</v>
      </c>
      <c r="U2964" s="0" t="n">
        <v>2</v>
      </c>
      <c r="V2964" s="0" t="inlineStr">
        <is>
          <t>계단식</t>
        </is>
      </c>
      <c r="W2964" s="0" t="n">
        <v>71</v>
      </c>
      <c r="X2964" s="0" t="n">
        <v>8</v>
      </c>
      <c r="Y2964" s="0" t="n">
        <v>8</v>
      </c>
      <c r="Z2964" s="0" t="inlineStr">
        <is>
          <t>https://new.land.naver.com/complexes/102371?tab=detail&amp;rf=Y</t>
        </is>
      </c>
      <c r="AA2964" s="0" t="inlineStr">
        <is>
          <t>서울시 강동구 천호동 166-109</t>
        </is>
      </c>
      <c r="AB2964" s="0" t="inlineStr">
        <is>
          <t>서울시</t>
        </is>
      </c>
      <c r="AC2964" s="0" t="inlineStr">
        <is>
          <t>강동구</t>
        </is>
      </c>
      <c r="AD2964" s="0" t="inlineStr">
        <is>
          <t>천호동</t>
        </is>
      </c>
      <c r="AG2964" s="0" t="inlineStr">
        <is>
          <t>서울시 강동구 천호대로163길 33</t>
        </is>
      </c>
      <c r="AH2964" s="0" t="n">
        <v>0</v>
      </c>
      <c r="AI2964" s="0" t="n">
        <v>419</v>
      </c>
      <c r="AJ2964" s="0" t="n">
        <v>57</v>
      </c>
      <c r="AK2964" s="0" t="n">
        <v>30</v>
      </c>
      <c r="AL2964" s="0" t="n">
        <v>1</v>
      </c>
    </row>
    <row r="2965">
      <c r="A2965" s="0" t="inlineStr">
        <is>
          <t>[천호동]</t>
        </is>
      </c>
      <c r="B2965" s="0" t="n">
        <v>102371</v>
      </c>
      <c r="C2965" s="0" t="n">
        <v>2</v>
      </c>
      <c r="D2965" s="0" t="inlineStr">
        <is>
          <t>현진에스페랑스</t>
        </is>
      </c>
      <c r="E2965" s="0" t="inlineStr">
        <is>
          <t>2004.04.</t>
        </is>
      </c>
      <c r="F2965" s="0" t="n">
        <v>30</v>
      </c>
      <c r="G2965" s="0" t="n">
        <v>22.75</v>
      </c>
      <c r="H2965" s="0" t="n">
        <v>75.22</v>
      </c>
      <c r="I2965" s="0" t="n">
        <v>19.85</v>
      </c>
      <c r="J2965" s="0" t="n">
        <v>65.62</v>
      </c>
      <c r="K2965" s="0" t="n">
        <v>2</v>
      </c>
      <c r="T2965" s="0" t="n">
        <v>3</v>
      </c>
      <c r="U2965" s="0" t="n">
        <v>2</v>
      </c>
      <c r="V2965" s="0" t="inlineStr">
        <is>
          <t>계단식</t>
        </is>
      </c>
      <c r="W2965" s="0" t="inlineStr">
        <is>
          <t>75A</t>
        </is>
      </c>
      <c r="X2965" s="0" t="n">
        <v>8</v>
      </c>
      <c r="Y2965" s="0" t="n">
        <v>8</v>
      </c>
      <c r="Z2965" s="0" t="inlineStr">
        <is>
          <t>https://new.land.naver.com/complexes/102371?tab=detail&amp;rf=Y</t>
        </is>
      </c>
      <c r="AA2965" s="0" t="inlineStr">
        <is>
          <t>서울시 강동구 천호동 166-109</t>
        </is>
      </c>
      <c r="AB2965" s="0" t="inlineStr">
        <is>
          <t>서울시</t>
        </is>
      </c>
      <c r="AC2965" s="0" t="inlineStr">
        <is>
          <t>강동구</t>
        </is>
      </c>
      <c r="AD2965" s="0" t="inlineStr">
        <is>
          <t>천호동</t>
        </is>
      </c>
      <c r="AG2965" s="0" t="inlineStr">
        <is>
          <t>서울시 강동구 천호대로163길 33</t>
        </is>
      </c>
      <c r="AH2965" s="0" t="n">
        <v>0</v>
      </c>
      <c r="AI2965" s="0" t="n">
        <v>419</v>
      </c>
      <c r="AJ2965" s="0" t="n">
        <v>57</v>
      </c>
      <c r="AK2965" s="0" t="n">
        <v>30</v>
      </c>
      <c r="AL2965" s="0" t="n">
        <v>1</v>
      </c>
    </row>
    <row r="2966">
      <c r="A2966" s="0" t="inlineStr">
        <is>
          <t>[천호동]</t>
        </is>
      </c>
      <c r="B2966" s="0" t="n">
        <v>102371</v>
      </c>
      <c r="C2966" s="0" t="n">
        <v>3</v>
      </c>
      <c r="D2966" s="0" t="inlineStr">
        <is>
          <t>현진에스페랑스</t>
        </is>
      </c>
      <c r="E2966" s="0" t="inlineStr">
        <is>
          <t>2004.04.</t>
        </is>
      </c>
      <c r="F2966" s="0" t="n">
        <v>30</v>
      </c>
      <c r="G2966" s="0" t="n">
        <v>22.77</v>
      </c>
      <c r="H2966" s="0" t="n">
        <v>75.28</v>
      </c>
      <c r="I2966" s="0" t="n">
        <v>19.86</v>
      </c>
      <c r="J2966" s="0" t="n">
        <v>65.67</v>
      </c>
      <c r="K2966" s="0" t="n">
        <v>1</v>
      </c>
      <c r="T2966" s="0" t="n">
        <v>3</v>
      </c>
      <c r="U2966" s="0" t="n">
        <v>2</v>
      </c>
      <c r="V2966" s="0" t="inlineStr">
        <is>
          <t>계단식</t>
        </is>
      </c>
      <c r="W2966" s="0" t="inlineStr">
        <is>
          <t>75B</t>
        </is>
      </c>
      <c r="X2966" s="0" t="n">
        <v>8</v>
      </c>
      <c r="Y2966" s="0" t="n">
        <v>8</v>
      </c>
      <c r="Z2966" s="0" t="inlineStr">
        <is>
          <t>https://new.land.naver.com/complexes/102371?tab=detail&amp;rf=Y</t>
        </is>
      </c>
      <c r="AA2966" s="0" t="inlineStr">
        <is>
          <t>서울시 강동구 천호동 166-109</t>
        </is>
      </c>
      <c r="AB2966" s="0" t="inlineStr">
        <is>
          <t>서울시</t>
        </is>
      </c>
      <c r="AC2966" s="0" t="inlineStr">
        <is>
          <t>강동구</t>
        </is>
      </c>
      <c r="AD2966" s="0" t="inlineStr">
        <is>
          <t>천호동</t>
        </is>
      </c>
      <c r="AG2966" s="0" t="inlineStr">
        <is>
          <t>서울시 강동구 천호대로163길 33</t>
        </is>
      </c>
      <c r="AH2966" s="0" t="n">
        <v>0</v>
      </c>
      <c r="AI2966" s="0" t="n">
        <v>419</v>
      </c>
      <c r="AJ2966" s="0" t="n">
        <v>57</v>
      </c>
      <c r="AK2966" s="0" t="n">
        <v>30</v>
      </c>
      <c r="AL2966" s="0" t="n">
        <v>1</v>
      </c>
    </row>
    <row r="2967">
      <c r="A2967" s="0" t="inlineStr">
        <is>
          <t>[천호동]</t>
        </is>
      </c>
      <c r="B2967" s="0" t="n">
        <v>102371</v>
      </c>
      <c r="C2967" s="0" t="n">
        <v>4</v>
      </c>
      <c r="D2967" s="0" t="inlineStr">
        <is>
          <t>현진에스페랑스</t>
        </is>
      </c>
      <c r="E2967" s="0" t="inlineStr">
        <is>
          <t>2004.04.</t>
        </is>
      </c>
      <c r="F2967" s="0" t="n">
        <v>30</v>
      </c>
      <c r="G2967" s="0" t="n">
        <v>25.21</v>
      </c>
      <c r="H2967" s="0" t="n">
        <v>83.34999999999999</v>
      </c>
      <c r="I2967" s="0" t="n">
        <v>21.99</v>
      </c>
      <c r="J2967" s="0" t="n">
        <v>72.70999999999999</v>
      </c>
      <c r="K2967" s="0" t="n">
        <v>1</v>
      </c>
      <c r="T2967" s="0" t="n">
        <v>3</v>
      </c>
      <c r="U2967" s="0" t="n">
        <v>2</v>
      </c>
      <c r="V2967" s="0" t="inlineStr">
        <is>
          <t>계단식</t>
        </is>
      </c>
      <c r="W2967" s="0" t="n">
        <v>83</v>
      </c>
      <c r="X2967" s="0" t="n">
        <v>8</v>
      </c>
      <c r="Y2967" s="0" t="n">
        <v>8</v>
      </c>
      <c r="Z2967" s="0" t="inlineStr">
        <is>
          <t>https://new.land.naver.com/complexes/102371?tab=detail&amp;rf=Y</t>
        </is>
      </c>
      <c r="AA2967" s="0" t="inlineStr">
        <is>
          <t>서울시 강동구 천호동 166-109</t>
        </is>
      </c>
      <c r="AB2967" s="0" t="inlineStr">
        <is>
          <t>서울시</t>
        </is>
      </c>
      <c r="AC2967" s="0" t="inlineStr">
        <is>
          <t>강동구</t>
        </is>
      </c>
      <c r="AD2967" s="0" t="inlineStr">
        <is>
          <t>천호동</t>
        </is>
      </c>
      <c r="AG2967" s="0" t="inlineStr">
        <is>
          <t>서울시 강동구 천호대로163길 33</t>
        </is>
      </c>
      <c r="AH2967" s="0" t="n">
        <v>0</v>
      </c>
      <c r="AI2967" s="0" t="n">
        <v>419</v>
      </c>
      <c r="AJ2967" s="0" t="n">
        <v>57</v>
      </c>
      <c r="AK2967" s="0" t="n">
        <v>30</v>
      </c>
      <c r="AL2967" s="0" t="n">
        <v>1</v>
      </c>
    </row>
    <row r="2968">
      <c r="A2968" s="0" t="inlineStr">
        <is>
          <t>[천호동]</t>
        </is>
      </c>
      <c r="B2968" s="0" t="n">
        <v>102371</v>
      </c>
      <c r="C2968" s="0" t="n">
        <v>5</v>
      </c>
      <c r="D2968" s="0" t="inlineStr">
        <is>
          <t>현진에스페랑스</t>
        </is>
      </c>
      <c r="E2968" s="0" t="inlineStr">
        <is>
          <t>2004.04.</t>
        </is>
      </c>
      <c r="F2968" s="0" t="n">
        <v>30</v>
      </c>
      <c r="G2968" s="0" t="n">
        <v>26.55</v>
      </c>
      <c r="H2968" s="0" t="n">
        <v>87.77</v>
      </c>
      <c r="I2968" s="0" t="n">
        <v>23.16</v>
      </c>
      <c r="J2968" s="0" t="n">
        <v>76.56999999999999</v>
      </c>
      <c r="K2968" s="0" t="n">
        <v>1</v>
      </c>
      <c r="T2968" s="0" t="n">
        <v>3</v>
      </c>
      <c r="U2968" s="0" t="n">
        <v>2</v>
      </c>
      <c r="V2968" s="0" t="inlineStr">
        <is>
          <t>계단식</t>
        </is>
      </c>
      <c r="W2968" s="0" t="inlineStr">
        <is>
          <t>87A</t>
        </is>
      </c>
      <c r="X2968" s="0" t="n">
        <v>8</v>
      </c>
      <c r="Y2968" s="0" t="n">
        <v>8</v>
      </c>
      <c r="Z2968" s="0" t="inlineStr">
        <is>
          <t>https://new.land.naver.com/complexes/102371?tab=detail&amp;rf=Y</t>
        </is>
      </c>
      <c r="AA2968" s="0" t="inlineStr">
        <is>
          <t>서울시 강동구 천호동 166-109</t>
        </is>
      </c>
      <c r="AB2968" s="0" t="inlineStr">
        <is>
          <t>서울시</t>
        </is>
      </c>
      <c r="AC2968" s="0" t="inlineStr">
        <is>
          <t>강동구</t>
        </is>
      </c>
      <c r="AD2968" s="0" t="inlineStr">
        <is>
          <t>천호동</t>
        </is>
      </c>
      <c r="AG2968" s="0" t="inlineStr">
        <is>
          <t>서울시 강동구 천호대로163길 33</t>
        </is>
      </c>
      <c r="AH2968" s="0" t="n">
        <v>0</v>
      </c>
      <c r="AI2968" s="0" t="n">
        <v>419</v>
      </c>
      <c r="AJ2968" s="0" t="n">
        <v>57</v>
      </c>
      <c r="AK2968" s="0" t="n">
        <v>30</v>
      </c>
      <c r="AL2968" s="0" t="n">
        <v>1</v>
      </c>
    </row>
    <row r="2969">
      <c r="A2969" s="0" t="inlineStr">
        <is>
          <t>[천호동]</t>
        </is>
      </c>
      <c r="B2969" s="0" t="n">
        <v>102371</v>
      </c>
      <c r="C2969" s="0" t="n">
        <v>6</v>
      </c>
      <c r="D2969" s="0" t="inlineStr">
        <is>
          <t>현진에스페랑스</t>
        </is>
      </c>
      <c r="E2969" s="0" t="inlineStr">
        <is>
          <t>2004.04.</t>
        </is>
      </c>
      <c r="F2969" s="0" t="n">
        <v>30</v>
      </c>
      <c r="G2969" s="0" t="n">
        <v>26.68</v>
      </c>
      <c r="H2969" s="0" t="n">
        <v>88.23</v>
      </c>
      <c r="I2969" s="0" t="n">
        <v>23.28</v>
      </c>
      <c r="J2969" s="0" t="n">
        <v>76.97</v>
      </c>
      <c r="K2969" s="0" t="n">
        <v>2</v>
      </c>
      <c r="T2969" s="0" t="n">
        <v>3</v>
      </c>
      <c r="U2969" s="0" t="n">
        <v>2</v>
      </c>
      <c r="V2969" s="0" t="inlineStr">
        <is>
          <t>계단식</t>
        </is>
      </c>
      <c r="W2969" s="0" t="inlineStr">
        <is>
          <t>88B</t>
        </is>
      </c>
      <c r="X2969" s="0" t="n">
        <v>8</v>
      </c>
      <c r="Y2969" s="0" t="n">
        <v>8</v>
      </c>
      <c r="Z2969" s="0" t="inlineStr">
        <is>
          <t>https://new.land.naver.com/complexes/102371?tab=detail&amp;rf=Y</t>
        </is>
      </c>
      <c r="AA2969" s="0" t="inlineStr">
        <is>
          <t>서울시 강동구 천호동 166-109</t>
        </is>
      </c>
      <c r="AB2969" s="0" t="inlineStr">
        <is>
          <t>서울시</t>
        </is>
      </c>
      <c r="AC2969" s="0" t="inlineStr">
        <is>
          <t>강동구</t>
        </is>
      </c>
      <c r="AD2969" s="0" t="inlineStr">
        <is>
          <t>천호동</t>
        </is>
      </c>
      <c r="AG2969" s="0" t="inlineStr">
        <is>
          <t>서울시 강동구 천호대로163길 33</t>
        </is>
      </c>
      <c r="AH2969" s="0" t="n">
        <v>0</v>
      </c>
      <c r="AI2969" s="0" t="n">
        <v>419</v>
      </c>
      <c r="AJ2969" s="0" t="n">
        <v>57</v>
      </c>
      <c r="AK2969" s="0" t="n">
        <v>30</v>
      </c>
      <c r="AL2969" s="0" t="n">
        <v>1</v>
      </c>
    </row>
    <row r="2970">
      <c r="A2970" s="0" t="inlineStr">
        <is>
          <t>[천호동]</t>
        </is>
      </c>
      <c r="B2970" s="0" t="n">
        <v>102371</v>
      </c>
      <c r="C2970" s="0" t="n">
        <v>7</v>
      </c>
      <c r="D2970" s="0" t="inlineStr">
        <is>
          <t>현진에스페랑스</t>
        </is>
      </c>
      <c r="E2970" s="0" t="inlineStr">
        <is>
          <t>2004.04.</t>
        </is>
      </c>
      <c r="F2970" s="0" t="n">
        <v>30</v>
      </c>
      <c r="G2970" s="0" t="n">
        <v>27.85</v>
      </c>
      <c r="H2970" s="0" t="n">
        <v>92.06999999999999</v>
      </c>
      <c r="I2970" s="0" t="n">
        <v>24.29</v>
      </c>
      <c r="J2970" s="0" t="n">
        <v>80.31999999999999</v>
      </c>
      <c r="K2970" s="0" t="n">
        <v>10</v>
      </c>
      <c r="T2970" s="0" t="n">
        <v>3</v>
      </c>
      <c r="U2970" s="0" t="n">
        <v>2</v>
      </c>
      <c r="V2970" s="0" t="inlineStr">
        <is>
          <t>계단식</t>
        </is>
      </c>
      <c r="W2970" s="0" t="n">
        <v>92</v>
      </c>
      <c r="X2970" s="0" t="n">
        <v>8</v>
      </c>
      <c r="Y2970" s="0" t="n">
        <v>8</v>
      </c>
      <c r="Z2970" s="0" t="inlineStr">
        <is>
          <t>https://new.land.naver.com/complexes/102371?tab=detail&amp;rf=Y</t>
        </is>
      </c>
      <c r="AA2970" s="0" t="inlineStr">
        <is>
          <t>서울시 강동구 천호동 166-109</t>
        </is>
      </c>
      <c r="AB2970" s="0" t="inlineStr">
        <is>
          <t>서울시</t>
        </is>
      </c>
      <c r="AC2970" s="0" t="inlineStr">
        <is>
          <t>강동구</t>
        </is>
      </c>
      <c r="AD2970" s="0" t="inlineStr">
        <is>
          <t>천호동</t>
        </is>
      </c>
      <c r="AG2970" s="0" t="inlineStr">
        <is>
          <t>서울시 강동구 천호대로163길 33</t>
        </is>
      </c>
      <c r="AH2970" s="0" t="n">
        <v>0</v>
      </c>
      <c r="AI2970" s="0" t="n">
        <v>419</v>
      </c>
      <c r="AJ2970" s="0" t="n">
        <v>57</v>
      </c>
      <c r="AK2970" s="0" t="n">
        <v>30</v>
      </c>
      <c r="AL2970" s="0" t="n">
        <v>1</v>
      </c>
    </row>
    <row r="2971">
      <c r="A2971" s="0" t="inlineStr">
        <is>
          <t>[천호동]</t>
        </is>
      </c>
      <c r="B2971" s="0" t="n">
        <v>102371</v>
      </c>
      <c r="C2971" s="0" t="n">
        <v>8</v>
      </c>
      <c r="D2971" s="0" t="inlineStr">
        <is>
          <t>현진에스페랑스</t>
        </is>
      </c>
      <c r="E2971" s="0" t="inlineStr">
        <is>
          <t>2004.04.</t>
        </is>
      </c>
      <c r="F2971" s="0" t="n">
        <v>30</v>
      </c>
      <c r="G2971" s="0" t="n">
        <v>28.21</v>
      </c>
      <c r="H2971" s="0" t="n">
        <v>93.28</v>
      </c>
      <c r="I2971" s="0" t="n">
        <v>24.61</v>
      </c>
      <c r="J2971" s="0" t="n">
        <v>81.38</v>
      </c>
      <c r="K2971" s="0" t="n">
        <v>10</v>
      </c>
      <c r="T2971" s="0" t="n">
        <v>3</v>
      </c>
      <c r="U2971" s="0" t="n">
        <v>2</v>
      </c>
      <c r="V2971" s="0" t="inlineStr">
        <is>
          <t>계단식</t>
        </is>
      </c>
      <c r="W2971" s="0" t="n">
        <v>93</v>
      </c>
      <c r="X2971" s="0" t="n">
        <v>8</v>
      </c>
      <c r="Y2971" s="0" t="n">
        <v>8</v>
      </c>
      <c r="Z2971" s="0" t="inlineStr">
        <is>
          <t>https://new.land.naver.com/complexes/102371?tab=detail&amp;rf=Y</t>
        </is>
      </c>
      <c r="AA2971" s="0" t="inlineStr">
        <is>
          <t>서울시 강동구 천호동 166-109</t>
        </is>
      </c>
      <c r="AB2971" s="0" t="inlineStr">
        <is>
          <t>서울시</t>
        </is>
      </c>
      <c r="AC2971" s="0" t="inlineStr">
        <is>
          <t>강동구</t>
        </is>
      </c>
      <c r="AD2971" s="0" t="inlineStr">
        <is>
          <t>천호동</t>
        </is>
      </c>
      <c r="AG2971" s="0" t="inlineStr">
        <is>
          <t>서울시 강동구 천호대로163길 33</t>
        </is>
      </c>
      <c r="AH2971" s="0" t="n">
        <v>0</v>
      </c>
      <c r="AI2971" s="0" t="n">
        <v>419</v>
      </c>
      <c r="AJ2971" s="0" t="n">
        <v>57</v>
      </c>
      <c r="AK2971" s="0" t="n">
        <v>30</v>
      </c>
      <c r="AL2971" s="0" t="n">
        <v>1</v>
      </c>
    </row>
    <row r="2972">
      <c r="A2972" s="0" t="inlineStr">
        <is>
          <t>[천호동]</t>
        </is>
      </c>
      <c r="B2972" s="0" t="n">
        <v>102371</v>
      </c>
      <c r="C2972" s="0" t="n">
        <v>9</v>
      </c>
      <c r="D2972" s="0" t="inlineStr">
        <is>
          <t>현진에스페랑스</t>
        </is>
      </c>
      <c r="E2972" s="0" t="inlineStr">
        <is>
          <t>2004.04.</t>
        </is>
      </c>
      <c r="F2972" s="0" t="n">
        <v>30</v>
      </c>
      <c r="G2972" s="0" t="n">
        <v>29.38</v>
      </c>
      <c r="H2972" s="0" t="n">
        <v>97.14</v>
      </c>
      <c r="I2972" s="0" t="n">
        <v>25.63</v>
      </c>
      <c r="J2972" s="0" t="n">
        <v>84.73999999999999</v>
      </c>
      <c r="K2972" s="0" t="n">
        <v>2</v>
      </c>
      <c r="T2972" s="0" t="n">
        <v>3</v>
      </c>
      <c r="U2972" s="0" t="n">
        <v>2</v>
      </c>
      <c r="V2972" s="0" t="inlineStr">
        <is>
          <t>계단식</t>
        </is>
      </c>
      <c r="W2972" s="0" t="n">
        <v>97</v>
      </c>
      <c r="X2972" s="0" t="n">
        <v>8</v>
      </c>
      <c r="Y2972" s="0" t="n">
        <v>8</v>
      </c>
      <c r="Z2972" s="0" t="inlineStr">
        <is>
          <t>https://new.land.naver.com/complexes/102371?tab=detail&amp;rf=Y</t>
        </is>
      </c>
      <c r="AA2972" s="0" t="inlineStr">
        <is>
          <t>서울시 강동구 천호동 166-109</t>
        </is>
      </c>
      <c r="AB2972" s="0" t="inlineStr">
        <is>
          <t>서울시</t>
        </is>
      </c>
      <c r="AC2972" s="0" t="inlineStr">
        <is>
          <t>강동구</t>
        </is>
      </c>
      <c r="AD2972" s="0" t="inlineStr">
        <is>
          <t>천호동</t>
        </is>
      </c>
      <c r="AG2972" s="0" t="inlineStr">
        <is>
          <t>서울시 강동구 천호대로163길 33</t>
        </is>
      </c>
      <c r="AH2972" s="0" t="n">
        <v>0</v>
      </c>
      <c r="AI2972" s="0" t="n">
        <v>419</v>
      </c>
      <c r="AJ2972" s="0" t="n">
        <v>57</v>
      </c>
      <c r="AK2972" s="0" t="n">
        <v>30</v>
      </c>
      <c r="AL2972" s="0" t="n">
        <v>1</v>
      </c>
    </row>
    <row r="2973">
      <c r="A2973" s="0" t="inlineStr">
        <is>
          <t>[천호동]</t>
        </is>
      </c>
      <c r="B2973" s="0" t="n">
        <v>8798</v>
      </c>
      <c r="C2973" s="0" t="n">
        <v>1</v>
      </c>
      <c r="D2973" s="0" t="inlineStr">
        <is>
          <t>천호이연아마빌레</t>
        </is>
      </c>
      <c r="E2973" s="0" t="inlineStr">
        <is>
          <t>2002.03.</t>
        </is>
      </c>
      <c r="F2973" s="0" t="n">
        <v>40</v>
      </c>
      <c r="G2973" s="0" t="n">
        <v>14.67</v>
      </c>
      <c r="H2973" s="0" t="n">
        <v>48.5</v>
      </c>
      <c r="I2973" s="0" t="n">
        <v>11.52</v>
      </c>
      <c r="J2973" s="0" t="n">
        <v>38.11</v>
      </c>
      <c r="K2973" s="0" t="n">
        <v>1</v>
      </c>
      <c r="T2973" s="0" t="n">
        <v>1</v>
      </c>
      <c r="U2973" s="0" t="n">
        <v>1</v>
      </c>
      <c r="V2973" s="0" t="inlineStr">
        <is>
          <t>계단식</t>
        </is>
      </c>
      <c r="W2973" s="0" t="n">
        <v>48</v>
      </c>
      <c r="X2973" s="0" t="n">
        <v>7</v>
      </c>
      <c r="Y2973" s="0" t="n">
        <v>6</v>
      </c>
      <c r="Z2973" s="0" t="inlineStr">
        <is>
          <t>https://new.land.naver.com/complexes/8798?tab=detail&amp;rf=Y</t>
        </is>
      </c>
      <c r="AA2973" s="0" t="inlineStr">
        <is>
          <t>서울시 강동구 천호동 291-50</t>
        </is>
      </c>
      <c r="AB2973" s="0" t="inlineStr">
        <is>
          <t>서울시</t>
        </is>
      </c>
      <c r="AC2973" s="0" t="inlineStr">
        <is>
          <t>강동구</t>
        </is>
      </c>
      <c r="AD2973" s="0" t="inlineStr">
        <is>
          <t>천호동</t>
        </is>
      </c>
      <c r="AG2973" s="0" t="inlineStr">
        <is>
          <t>서울시 강동구 천중로21길 61</t>
        </is>
      </c>
      <c r="AH2973" s="0" t="n">
        <v>0</v>
      </c>
      <c r="AI2973" s="0" t="n">
        <v>281</v>
      </c>
      <c r="AJ2973" s="0" t="n">
        <v>47</v>
      </c>
      <c r="AK2973" s="0" t="n">
        <v>42</v>
      </c>
      <c r="AL2973" s="0" t="n">
        <v>1.05</v>
      </c>
    </row>
    <row r="2974">
      <c r="A2974" s="0" t="inlineStr">
        <is>
          <t>[천호동]</t>
        </is>
      </c>
      <c r="B2974" s="0" t="n">
        <v>8798</v>
      </c>
      <c r="C2974" s="0" t="n">
        <v>2</v>
      </c>
      <c r="D2974" s="0" t="inlineStr">
        <is>
          <t>천호이연아마빌레</t>
        </is>
      </c>
      <c r="E2974" s="0" t="inlineStr">
        <is>
          <t>2002.03.</t>
        </is>
      </c>
      <c r="F2974" s="0" t="n">
        <v>40</v>
      </c>
      <c r="G2974" s="0" t="n">
        <v>18.37</v>
      </c>
      <c r="H2974" s="0" t="n">
        <v>60.73</v>
      </c>
      <c r="I2974" s="0" t="n">
        <v>14.58</v>
      </c>
      <c r="J2974" s="0" t="n">
        <v>48.21</v>
      </c>
      <c r="K2974" s="0" t="n">
        <v>1</v>
      </c>
      <c r="T2974" s="0" t="n">
        <v>2</v>
      </c>
      <c r="U2974" s="0" t="n">
        <v>1</v>
      </c>
      <c r="V2974" s="0" t="inlineStr">
        <is>
          <t>계단식</t>
        </is>
      </c>
      <c r="W2974" s="0" t="n">
        <v>60</v>
      </c>
      <c r="X2974" s="0" t="n">
        <v>7</v>
      </c>
      <c r="Y2974" s="0" t="n">
        <v>6</v>
      </c>
      <c r="Z2974" s="0" t="inlineStr">
        <is>
          <t>https://new.land.naver.com/complexes/8798?tab=detail&amp;rf=Y</t>
        </is>
      </c>
      <c r="AA2974" s="0" t="inlineStr">
        <is>
          <t>서울시 강동구 천호동 291-50</t>
        </is>
      </c>
      <c r="AB2974" s="0" t="inlineStr">
        <is>
          <t>서울시</t>
        </is>
      </c>
      <c r="AC2974" s="0" t="inlineStr">
        <is>
          <t>강동구</t>
        </is>
      </c>
      <c r="AD2974" s="0" t="inlineStr">
        <is>
          <t>천호동</t>
        </is>
      </c>
      <c r="AG2974" s="0" t="inlineStr">
        <is>
          <t>서울시 강동구 천중로21길 61</t>
        </is>
      </c>
      <c r="AH2974" s="0" t="n">
        <v>0</v>
      </c>
      <c r="AI2974" s="0" t="n">
        <v>281</v>
      </c>
      <c r="AJ2974" s="0" t="n">
        <v>47</v>
      </c>
      <c r="AK2974" s="0" t="n">
        <v>42</v>
      </c>
      <c r="AL2974" s="0" t="n">
        <v>1.05</v>
      </c>
    </row>
    <row r="2975">
      <c r="A2975" s="0" t="inlineStr">
        <is>
          <t>[천호동]</t>
        </is>
      </c>
      <c r="B2975" s="0" t="n">
        <v>8798</v>
      </c>
      <c r="C2975" s="0" t="n">
        <v>3</v>
      </c>
      <c r="D2975" s="0" t="inlineStr">
        <is>
          <t>천호이연아마빌레</t>
        </is>
      </c>
      <c r="E2975" s="0" t="inlineStr">
        <is>
          <t>2002.03.</t>
        </is>
      </c>
      <c r="F2975" s="0" t="n">
        <v>40</v>
      </c>
      <c r="G2975" s="0" t="n">
        <v>22.36</v>
      </c>
      <c r="H2975" s="0" t="n">
        <v>73.92</v>
      </c>
      <c r="I2975" s="0" t="n">
        <v>17.84</v>
      </c>
      <c r="J2975" s="0" t="n">
        <v>58.99</v>
      </c>
      <c r="K2975" s="0" t="n">
        <v>1</v>
      </c>
      <c r="T2975" s="0" t="n">
        <v>2</v>
      </c>
      <c r="U2975" s="0" t="n">
        <v>1</v>
      </c>
      <c r="V2975" s="0" t="inlineStr">
        <is>
          <t>계단식</t>
        </is>
      </c>
      <c r="W2975" s="0" t="n">
        <v>73</v>
      </c>
      <c r="X2975" s="0" t="n">
        <v>7</v>
      </c>
      <c r="Y2975" s="0" t="n">
        <v>6</v>
      </c>
      <c r="Z2975" s="0" t="inlineStr">
        <is>
          <t>https://new.land.naver.com/complexes/8798?tab=detail&amp;rf=Y</t>
        </is>
      </c>
      <c r="AA2975" s="0" t="inlineStr">
        <is>
          <t>서울시 강동구 천호동 291-50</t>
        </is>
      </c>
      <c r="AB2975" s="0" t="inlineStr">
        <is>
          <t>서울시</t>
        </is>
      </c>
      <c r="AC2975" s="0" t="inlineStr">
        <is>
          <t>강동구</t>
        </is>
      </c>
      <c r="AD2975" s="0" t="inlineStr">
        <is>
          <t>천호동</t>
        </is>
      </c>
      <c r="AG2975" s="0" t="inlineStr">
        <is>
          <t>서울시 강동구 천중로21길 61</t>
        </is>
      </c>
      <c r="AH2975" s="0" t="n">
        <v>0</v>
      </c>
      <c r="AI2975" s="0" t="n">
        <v>281</v>
      </c>
      <c r="AJ2975" s="0" t="n">
        <v>47</v>
      </c>
      <c r="AK2975" s="0" t="n">
        <v>42</v>
      </c>
      <c r="AL2975" s="0" t="n">
        <v>1.05</v>
      </c>
    </row>
    <row r="2976">
      <c r="A2976" s="0" t="inlineStr">
        <is>
          <t>[천호동]</t>
        </is>
      </c>
      <c r="B2976" s="0" t="n">
        <v>8798</v>
      </c>
      <c r="C2976" s="0" t="n">
        <v>4</v>
      </c>
      <c r="D2976" s="0" t="inlineStr">
        <is>
          <t>천호이연아마빌레</t>
        </is>
      </c>
      <c r="E2976" s="0" t="inlineStr">
        <is>
          <t>2002.03.</t>
        </is>
      </c>
      <c r="F2976" s="0" t="n">
        <v>40</v>
      </c>
      <c r="G2976" s="0" t="n">
        <v>24.89</v>
      </c>
      <c r="H2976" s="0" t="n">
        <v>82.31</v>
      </c>
      <c r="I2976" s="0" t="n">
        <v>19.87</v>
      </c>
      <c r="J2976" s="0" t="n">
        <v>65.70999999999999</v>
      </c>
      <c r="K2976" s="0" t="n">
        <v>5</v>
      </c>
      <c r="T2976" s="0" t="n">
        <v>3</v>
      </c>
      <c r="U2976" s="0" t="n">
        <v>1</v>
      </c>
      <c r="V2976" s="0" t="inlineStr">
        <is>
          <t>계단식</t>
        </is>
      </c>
      <c r="W2976" s="0" t="n">
        <v>82</v>
      </c>
      <c r="X2976" s="0" t="n">
        <v>7</v>
      </c>
      <c r="Y2976" s="0" t="n">
        <v>6</v>
      </c>
      <c r="Z2976" s="0" t="inlineStr">
        <is>
          <t>https://new.land.naver.com/complexes/8798?tab=detail&amp;rf=Y</t>
        </is>
      </c>
      <c r="AA2976" s="0" t="inlineStr">
        <is>
          <t>서울시 강동구 천호동 291-50</t>
        </is>
      </c>
      <c r="AB2976" s="0" t="inlineStr">
        <is>
          <t>서울시</t>
        </is>
      </c>
      <c r="AC2976" s="0" t="inlineStr">
        <is>
          <t>강동구</t>
        </is>
      </c>
      <c r="AD2976" s="0" t="inlineStr">
        <is>
          <t>천호동</t>
        </is>
      </c>
      <c r="AG2976" s="0" t="inlineStr">
        <is>
          <t>서울시 강동구 천중로21길 61</t>
        </is>
      </c>
      <c r="AH2976" s="0" t="n">
        <v>0</v>
      </c>
      <c r="AI2976" s="0" t="n">
        <v>281</v>
      </c>
      <c r="AJ2976" s="0" t="n">
        <v>47</v>
      </c>
      <c r="AK2976" s="0" t="n">
        <v>42</v>
      </c>
      <c r="AL2976" s="0" t="n">
        <v>1.05</v>
      </c>
    </row>
    <row r="2977">
      <c r="A2977" s="0" t="inlineStr">
        <is>
          <t>[천호동]</t>
        </is>
      </c>
      <c r="B2977" s="0" t="n">
        <v>8798</v>
      </c>
      <c r="C2977" s="0" t="n">
        <v>5</v>
      </c>
      <c r="D2977" s="0" t="inlineStr">
        <is>
          <t>천호이연아마빌레</t>
        </is>
      </c>
      <c r="E2977" s="0" t="inlineStr">
        <is>
          <t>2002.03.</t>
        </is>
      </c>
      <c r="F2977" s="0" t="n">
        <v>40</v>
      </c>
      <c r="G2977" s="0" t="n">
        <v>30.61</v>
      </c>
      <c r="H2977" s="0" t="n">
        <v>101.22</v>
      </c>
      <c r="I2977" s="0" t="n">
        <v>24.37</v>
      </c>
      <c r="J2977" s="0" t="n">
        <v>80.56999999999999</v>
      </c>
      <c r="K2977" s="0" t="n">
        <v>30</v>
      </c>
      <c r="T2977" s="0" t="n">
        <v>3</v>
      </c>
      <c r="U2977" s="0" t="n">
        <v>2</v>
      </c>
      <c r="V2977" s="0" t="inlineStr">
        <is>
          <t>계단식</t>
        </is>
      </c>
      <c r="W2977" s="0" t="inlineStr">
        <is>
          <t>101B</t>
        </is>
      </c>
      <c r="X2977" s="0" t="n">
        <v>7</v>
      </c>
      <c r="Y2977" s="0" t="n">
        <v>6</v>
      </c>
      <c r="Z2977" s="0" t="inlineStr">
        <is>
          <t>https://new.land.naver.com/complexes/8798?tab=detail&amp;rf=Y</t>
        </is>
      </c>
      <c r="AA2977" s="0" t="inlineStr">
        <is>
          <t>서울시 강동구 천호동 291-50</t>
        </is>
      </c>
      <c r="AB2977" s="0" t="inlineStr">
        <is>
          <t>서울시</t>
        </is>
      </c>
      <c r="AC2977" s="0" t="inlineStr">
        <is>
          <t>강동구</t>
        </is>
      </c>
      <c r="AD2977" s="0" t="inlineStr">
        <is>
          <t>천호동</t>
        </is>
      </c>
      <c r="AG2977" s="0" t="inlineStr">
        <is>
          <t>서울시 강동구 천중로21길 61</t>
        </is>
      </c>
      <c r="AH2977" s="0" t="n">
        <v>0</v>
      </c>
      <c r="AI2977" s="0" t="n">
        <v>281</v>
      </c>
      <c r="AJ2977" s="0" t="n">
        <v>47</v>
      </c>
      <c r="AK2977" s="0" t="n">
        <v>42</v>
      </c>
      <c r="AL2977" s="0" t="n">
        <v>1.05</v>
      </c>
    </row>
    <row r="2978">
      <c r="A2978" s="0" t="inlineStr">
        <is>
          <t>[천호동]</t>
        </is>
      </c>
      <c r="B2978" s="0" t="n">
        <v>8798</v>
      </c>
      <c r="C2978" s="0" t="n">
        <v>6</v>
      </c>
      <c r="D2978" s="0" t="inlineStr">
        <is>
          <t>천호이연아마빌레</t>
        </is>
      </c>
      <c r="E2978" s="0" t="inlineStr">
        <is>
          <t>2002.03.</t>
        </is>
      </c>
      <c r="F2978" s="0" t="n">
        <v>40</v>
      </c>
      <c r="G2978" s="0" t="n">
        <v>30.6</v>
      </c>
      <c r="H2978" s="0" t="n">
        <v>101.17</v>
      </c>
      <c r="I2978" s="0" t="n">
        <v>24.29</v>
      </c>
      <c r="J2978" s="0" t="n">
        <v>80.31999999999999</v>
      </c>
      <c r="K2978" s="0" t="n">
        <v>2</v>
      </c>
      <c r="T2978" s="0" t="n">
        <v>3</v>
      </c>
      <c r="U2978" s="0" t="n">
        <v>2</v>
      </c>
      <c r="V2978" s="0" t="inlineStr">
        <is>
          <t>계단식</t>
        </is>
      </c>
      <c r="W2978" s="0" t="inlineStr">
        <is>
          <t>101A</t>
        </is>
      </c>
      <c r="X2978" s="0" t="n">
        <v>7</v>
      </c>
      <c r="Y2978" s="0" t="n">
        <v>6</v>
      </c>
      <c r="Z2978" s="0" t="inlineStr">
        <is>
          <t>https://new.land.naver.com/complexes/8798?tab=detail&amp;rf=Y</t>
        </is>
      </c>
      <c r="AA2978" s="0" t="inlineStr">
        <is>
          <t>서울시 강동구 천호동 291-50</t>
        </is>
      </c>
      <c r="AB2978" s="0" t="inlineStr">
        <is>
          <t>서울시</t>
        </is>
      </c>
      <c r="AC2978" s="0" t="inlineStr">
        <is>
          <t>강동구</t>
        </is>
      </c>
      <c r="AD2978" s="0" t="inlineStr">
        <is>
          <t>천호동</t>
        </is>
      </c>
      <c r="AG2978" s="0" t="inlineStr">
        <is>
          <t>서울시 강동구 천중로21길 61</t>
        </is>
      </c>
      <c r="AH2978" s="0" t="n">
        <v>0</v>
      </c>
      <c r="AI2978" s="0" t="n">
        <v>281</v>
      </c>
      <c r="AJ2978" s="0" t="n">
        <v>47</v>
      </c>
      <c r="AK2978" s="0" t="n">
        <v>42</v>
      </c>
      <c r="AL2978" s="0" t="n">
        <v>1.05</v>
      </c>
    </row>
    <row r="2979">
      <c r="A2979" s="0" t="inlineStr">
        <is>
          <t>[천호동]</t>
        </is>
      </c>
      <c r="B2979" s="0" t="n">
        <v>11130</v>
      </c>
      <c r="C2979" s="0" t="n">
        <v>1</v>
      </c>
      <c r="D2979" s="0" t="inlineStr">
        <is>
          <t>평대미진</t>
        </is>
      </c>
      <c r="E2979" s="0" t="inlineStr">
        <is>
          <t>2003.01.</t>
        </is>
      </c>
      <c r="F2979" s="0" t="n">
        <v>58</v>
      </c>
      <c r="G2979" s="0" t="n">
        <v>18.37</v>
      </c>
      <c r="H2979" s="0" t="n">
        <v>60.73</v>
      </c>
      <c r="I2979" s="0" t="n">
        <v>14.75</v>
      </c>
      <c r="J2979" s="0" t="n">
        <v>48.78</v>
      </c>
      <c r="K2979" s="0" t="n">
        <v>2</v>
      </c>
      <c r="T2979" s="0" t="n">
        <v>2</v>
      </c>
      <c r="U2979" s="0" t="n">
        <v>1</v>
      </c>
      <c r="V2979" s="0" t="inlineStr">
        <is>
          <t>계단식</t>
        </is>
      </c>
      <c r="W2979" s="0" t="n">
        <v>60</v>
      </c>
      <c r="X2979" s="0" t="n">
        <v>11</v>
      </c>
      <c r="Y2979" s="0" t="n">
        <v>8</v>
      </c>
      <c r="Z2979" s="0" t="inlineStr">
        <is>
          <t>https://new.land.naver.com/complexes/11130?tab=detail&amp;rf=Y</t>
        </is>
      </c>
      <c r="AA2979" s="0" t="inlineStr">
        <is>
          <t>서울시 강동구 천호동 22-17</t>
        </is>
      </c>
      <c r="AB2979" s="0" t="inlineStr">
        <is>
          <t>서울시</t>
        </is>
      </c>
      <c r="AC2979" s="0" t="inlineStr">
        <is>
          <t>강동구</t>
        </is>
      </c>
      <c r="AD2979" s="0" t="inlineStr">
        <is>
          <t>천호동</t>
        </is>
      </c>
      <c r="AG2979" s="0" t="inlineStr">
        <is>
          <t>서울시 강동구 상암로41길 79</t>
        </is>
      </c>
      <c r="AH2979" s="0" t="n">
        <v>0</v>
      </c>
      <c r="AI2979" s="0" t="n">
        <v>294</v>
      </c>
      <c r="AJ2979" s="0" t="n">
        <v>34</v>
      </c>
      <c r="AK2979" s="0" t="n">
        <v>62</v>
      </c>
      <c r="AL2979" s="0" t="n">
        <v>1.07</v>
      </c>
    </row>
    <row r="2980">
      <c r="A2980" s="0" t="inlineStr">
        <is>
          <t>[천호동]</t>
        </is>
      </c>
      <c r="B2980" s="0" t="n">
        <v>11130</v>
      </c>
      <c r="C2980" s="0" t="n">
        <v>2</v>
      </c>
      <c r="D2980" s="0" t="inlineStr">
        <is>
          <t>평대미진</t>
        </is>
      </c>
      <c r="E2980" s="0" t="inlineStr">
        <is>
          <t>2003.01.</t>
        </is>
      </c>
      <c r="F2980" s="0" t="n">
        <v>58</v>
      </c>
      <c r="G2980" s="0" t="n">
        <v>23.16</v>
      </c>
      <c r="H2980" s="0" t="n">
        <v>76.56999999999999</v>
      </c>
      <c r="I2980" s="0" t="n">
        <v>18.61</v>
      </c>
      <c r="J2980" s="0" t="n">
        <v>61.54</v>
      </c>
      <c r="K2980" s="0" t="n">
        <v>4</v>
      </c>
      <c r="T2980" s="0" t="n">
        <v>3</v>
      </c>
      <c r="U2980" s="0" t="n">
        <v>1</v>
      </c>
      <c r="V2980" s="0" t="inlineStr">
        <is>
          <t>계단식</t>
        </is>
      </c>
      <c r="W2980" s="0" t="n">
        <v>76</v>
      </c>
      <c r="X2980" s="0" t="n">
        <v>11</v>
      </c>
      <c r="Y2980" s="0" t="n">
        <v>8</v>
      </c>
      <c r="Z2980" s="0" t="inlineStr">
        <is>
          <t>https://new.land.naver.com/complexes/11130?tab=detail&amp;rf=Y</t>
        </is>
      </c>
      <c r="AA2980" s="0" t="inlineStr">
        <is>
          <t>서울시 강동구 천호동 22-17</t>
        </is>
      </c>
      <c r="AB2980" s="0" t="inlineStr">
        <is>
          <t>서울시</t>
        </is>
      </c>
      <c r="AC2980" s="0" t="inlineStr">
        <is>
          <t>강동구</t>
        </is>
      </c>
      <c r="AD2980" s="0" t="inlineStr">
        <is>
          <t>천호동</t>
        </is>
      </c>
      <c r="AG2980" s="0" t="inlineStr">
        <is>
          <t>서울시 강동구 상암로41길 79</t>
        </is>
      </c>
      <c r="AH2980" s="0" t="n">
        <v>0</v>
      </c>
      <c r="AI2980" s="0" t="n">
        <v>294</v>
      </c>
      <c r="AJ2980" s="0" t="n">
        <v>34</v>
      </c>
      <c r="AK2980" s="0" t="n">
        <v>62</v>
      </c>
      <c r="AL2980" s="0" t="n">
        <v>1.07</v>
      </c>
    </row>
    <row r="2981">
      <c r="A2981" s="0" t="inlineStr">
        <is>
          <t>[천호동]</t>
        </is>
      </c>
      <c r="B2981" s="0" t="n">
        <v>11130</v>
      </c>
      <c r="C2981" s="0" t="n">
        <v>3</v>
      </c>
      <c r="D2981" s="0" t="inlineStr">
        <is>
          <t>평대미진</t>
        </is>
      </c>
      <c r="E2981" s="0" t="inlineStr">
        <is>
          <t>2003.01.</t>
        </is>
      </c>
      <c r="F2981" s="0" t="n">
        <v>58</v>
      </c>
      <c r="G2981" s="0" t="n">
        <v>28.48</v>
      </c>
      <c r="H2981" s="0" t="n">
        <v>94.16</v>
      </c>
      <c r="I2981" s="0" t="n">
        <v>22.96</v>
      </c>
      <c r="J2981" s="0" t="n">
        <v>75.93000000000001</v>
      </c>
      <c r="K2981" s="0" t="n">
        <v>2</v>
      </c>
      <c r="T2981" s="0" t="n">
        <v>3</v>
      </c>
      <c r="U2981" s="0" t="n">
        <v>2</v>
      </c>
      <c r="V2981" s="0" t="inlineStr">
        <is>
          <t>계단식</t>
        </is>
      </c>
      <c r="W2981" s="0" t="n">
        <v>94</v>
      </c>
      <c r="X2981" s="0" t="n">
        <v>11</v>
      </c>
      <c r="Y2981" s="0" t="n">
        <v>8</v>
      </c>
      <c r="Z2981" s="0" t="inlineStr">
        <is>
          <t>https://new.land.naver.com/complexes/11130?tab=detail&amp;rf=Y</t>
        </is>
      </c>
      <c r="AA2981" s="0" t="inlineStr">
        <is>
          <t>서울시 강동구 천호동 22-17</t>
        </is>
      </c>
      <c r="AB2981" s="0" t="inlineStr">
        <is>
          <t>서울시</t>
        </is>
      </c>
      <c r="AC2981" s="0" t="inlineStr">
        <is>
          <t>강동구</t>
        </is>
      </c>
      <c r="AD2981" s="0" t="inlineStr">
        <is>
          <t>천호동</t>
        </is>
      </c>
      <c r="AG2981" s="0" t="inlineStr">
        <is>
          <t>서울시 강동구 상암로41길 79</t>
        </is>
      </c>
      <c r="AH2981" s="0" t="n">
        <v>0</v>
      </c>
      <c r="AI2981" s="0" t="n">
        <v>294</v>
      </c>
      <c r="AJ2981" s="0" t="n">
        <v>34</v>
      </c>
      <c r="AK2981" s="0" t="n">
        <v>62</v>
      </c>
      <c r="AL2981" s="0" t="n">
        <v>1.07</v>
      </c>
    </row>
    <row r="2982">
      <c r="A2982" s="0" t="inlineStr">
        <is>
          <t>[천호동]</t>
        </is>
      </c>
      <c r="B2982" s="0" t="n">
        <v>11130</v>
      </c>
      <c r="C2982" s="0" t="n">
        <v>4</v>
      </c>
      <c r="D2982" s="0" t="inlineStr">
        <is>
          <t>평대미진</t>
        </is>
      </c>
      <c r="E2982" s="0" t="inlineStr">
        <is>
          <t>2003.01.</t>
        </is>
      </c>
      <c r="F2982" s="0" t="n">
        <v>58</v>
      </c>
      <c r="G2982" s="0" t="n">
        <v>31.39</v>
      </c>
      <c r="H2982" s="0" t="n">
        <v>103.8</v>
      </c>
      <c r="I2982" s="0" t="n">
        <v>25.45</v>
      </c>
      <c r="J2982" s="0" t="n">
        <v>84.14</v>
      </c>
      <c r="K2982" s="0" t="n">
        <v>38</v>
      </c>
      <c r="T2982" s="0" t="n">
        <v>3</v>
      </c>
      <c r="U2982" s="0" t="n">
        <v>2</v>
      </c>
      <c r="V2982" s="0" t="inlineStr">
        <is>
          <t>계단식</t>
        </is>
      </c>
      <c r="W2982" s="0" t="n">
        <v>103</v>
      </c>
      <c r="X2982" s="0" t="n">
        <v>11</v>
      </c>
      <c r="Y2982" s="0" t="n">
        <v>8</v>
      </c>
      <c r="Z2982" s="0" t="inlineStr">
        <is>
          <t>https://new.land.naver.com/complexes/11130?tab=detail&amp;rf=Y</t>
        </is>
      </c>
      <c r="AA2982" s="0" t="inlineStr">
        <is>
          <t>서울시 강동구 천호동 22-17</t>
        </is>
      </c>
      <c r="AB2982" s="0" t="inlineStr">
        <is>
          <t>서울시</t>
        </is>
      </c>
      <c r="AC2982" s="0" t="inlineStr">
        <is>
          <t>강동구</t>
        </is>
      </c>
      <c r="AD2982" s="0" t="inlineStr">
        <is>
          <t>천호동</t>
        </is>
      </c>
      <c r="AG2982" s="0" t="inlineStr">
        <is>
          <t>서울시 강동구 상암로41길 79</t>
        </is>
      </c>
      <c r="AH2982" s="0" t="n">
        <v>0</v>
      </c>
      <c r="AI2982" s="0" t="n">
        <v>294</v>
      </c>
      <c r="AJ2982" s="0" t="n">
        <v>34</v>
      </c>
      <c r="AK2982" s="0" t="n">
        <v>62</v>
      </c>
      <c r="AL2982" s="0" t="n">
        <v>1.07</v>
      </c>
    </row>
    <row r="2983">
      <c r="A2983" s="0" t="inlineStr">
        <is>
          <t>[천호동]</t>
        </is>
      </c>
      <c r="B2983" s="0" t="n">
        <v>11130</v>
      </c>
      <c r="C2983" s="0" t="n">
        <v>5</v>
      </c>
      <c r="D2983" s="0" t="inlineStr">
        <is>
          <t>평대미진</t>
        </is>
      </c>
      <c r="E2983" s="0" t="inlineStr">
        <is>
          <t>2003.01.</t>
        </is>
      </c>
      <c r="F2983" s="0" t="n">
        <v>58</v>
      </c>
      <c r="G2983" s="0" t="n">
        <v>31.65</v>
      </c>
      <c r="H2983" s="0" t="n">
        <v>104.66</v>
      </c>
      <c r="I2983" s="0" t="n">
        <v>25.63</v>
      </c>
      <c r="J2983" s="0" t="n">
        <v>84.73</v>
      </c>
      <c r="K2983" s="0" t="n">
        <v>12</v>
      </c>
      <c r="T2983" s="0" t="n">
        <v>3</v>
      </c>
      <c r="U2983" s="0" t="n">
        <v>2</v>
      </c>
      <c r="V2983" s="0" t="inlineStr">
        <is>
          <t>계단식</t>
        </is>
      </c>
      <c r="W2983" s="0" t="n">
        <v>104</v>
      </c>
      <c r="X2983" s="0" t="n">
        <v>11</v>
      </c>
      <c r="Y2983" s="0" t="n">
        <v>8</v>
      </c>
      <c r="Z2983" s="0" t="inlineStr">
        <is>
          <t>https://new.land.naver.com/complexes/11130?tab=detail&amp;rf=Y</t>
        </is>
      </c>
      <c r="AA2983" s="0" t="inlineStr">
        <is>
          <t>서울시 강동구 천호동 22-17</t>
        </is>
      </c>
      <c r="AB2983" s="0" t="inlineStr">
        <is>
          <t>서울시</t>
        </is>
      </c>
      <c r="AC2983" s="0" t="inlineStr">
        <is>
          <t>강동구</t>
        </is>
      </c>
      <c r="AD2983" s="0" t="inlineStr">
        <is>
          <t>천호동</t>
        </is>
      </c>
      <c r="AG2983" s="0" t="inlineStr">
        <is>
          <t>서울시 강동구 상암로41길 79</t>
        </is>
      </c>
      <c r="AH2983" s="0" t="n">
        <v>0</v>
      </c>
      <c r="AI2983" s="0" t="n">
        <v>294</v>
      </c>
      <c r="AJ2983" s="0" t="n">
        <v>34</v>
      </c>
      <c r="AK2983" s="0" t="n">
        <v>62</v>
      </c>
      <c r="AL2983" s="0" t="n">
        <v>1.07</v>
      </c>
    </row>
    <row r="2984">
      <c r="A2984" s="0" t="inlineStr">
        <is>
          <t>[천호동]</t>
        </is>
      </c>
      <c r="B2984" s="0" t="n">
        <v>136843</v>
      </c>
      <c r="C2984" s="0" t="n">
        <v>1</v>
      </c>
      <c r="D2984" s="0" t="inlineStr">
        <is>
          <t>아이빌(도시형)</t>
        </is>
      </c>
      <c r="E2984" s="0" t="inlineStr">
        <is>
          <t>2015.04.</t>
        </is>
      </c>
      <c r="F2984" s="0" t="n">
        <v>10</v>
      </c>
      <c r="G2984" s="0" t="n">
        <v>16.46</v>
      </c>
      <c r="H2984" s="0" t="n">
        <v>54.42</v>
      </c>
      <c r="I2984" s="0" t="n">
        <v>13.6</v>
      </c>
      <c r="J2984" s="0" t="n">
        <v>44.99</v>
      </c>
      <c r="K2984" s="0" t="n">
        <v>1</v>
      </c>
      <c r="T2984" s="0" t="n">
        <v>2</v>
      </c>
      <c r="U2984" s="0" t="n">
        <v>1</v>
      </c>
      <c r="V2984" s="0" t="inlineStr">
        <is>
          <t>계단식</t>
        </is>
      </c>
      <c r="W2984" s="0" t="n">
        <v>54</v>
      </c>
      <c r="X2984" s="0" t="n">
        <v>6</v>
      </c>
      <c r="Y2984" s="0" t="n">
        <v>6</v>
      </c>
      <c r="Z2984" s="0" t="inlineStr">
        <is>
          <t>https://new.land.naver.com/complexes/136843?tab=detail&amp;rf=Y</t>
        </is>
      </c>
      <c r="AA2984" s="0" t="inlineStr">
        <is>
          <t>서울시 강동구 천호동 322-1</t>
        </is>
      </c>
      <c r="AB2984" s="0" t="inlineStr">
        <is>
          <t>서울시</t>
        </is>
      </c>
      <c r="AC2984" s="0" t="inlineStr">
        <is>
          <t>강동구</t>
        </is>
      </c>
      <c r="AD2984" s="0" t="inlineStr">
        <is>
          <t>천호동</t>
        </is>
      </c>
      <c r="AG2984" s="0" t="inlineStr">
        <is>
          <t>서울시 강동구 상암로4길 73</t>
        </is>
      </c>
      <c r="AH2984" s="0" t="n">
        <v>0</v>
      </c>
      <c r="AI2984" s="0" t="n">
        <v>218</v>
      </c>
      <c r="AJ2984" s="0" t="n">
        <v>49</v>
      </c>
      <c r="AK2984" s="0" t="n">
        <v>8</v>
      </c>
      <c r="AL2984" s="0" t="n">
        <v>0.8</v>
      </c>
    </row>
    <row r="2985">
      <c r="A2985" s="0" t="inlineStr">
        <is>
          <t>[천호동]</t>
        </is>
      </c>
      <c r="B2985" s="0" t="n">
        <v>136843</v>
      </c>
      <c r="C2985" s="0" t="n">
        <v>2</v>
      </c>
      <c r="D2985" s="0" t="inlineStr">
        <is>
          <t>아이빌(도시형)</t>
        </is>
      </c>
      <c r="E2985" s="0" t="inlineStr">
        <is>
          <t>2015.04.</t>
        </is>
      </c>
      <c r="F2985" s="0" t="n">
        <v>10</v>
      </c>
      <c r="G2985" s="0" t="n">
        <v>19.3</v>
      </c>
      <c r="H2985" s="0" t="n">
        <v>63.81</v>
      </c>
      <c r="I2985" s="0" t="n">
        <v>15.95</v>
      </c>
      <c r="J2985" s="0" t="n">
        <v>52.75</v>
      </c>
      <c r="K2985" s="0" t="n">
        <v>4</v>
      </c>
      <c r="T2985" s="0" t="n">
        <v>3</v>
      </c>
      <c r="U2985" s="0" t="n">
        <v>2</v>
      </c>
      <c r="V2985" s="0" t="inlineStr">
        <is>
          <t>계단식</t>
        </is>
      </c>
      <c r="W2985" s="0" t="inlineStr">
        <is>
          <t>63A</t>
        </is>
      </c>
      <c r="X2985" s="0" t="n">
        <v>6</v>
      </c>
      <c r="Y2985" s="0" t="n">
        <v>6</v>
      </c>
      <c r="Z2985" s="0" t="inlineStr">
        <is>
          <t>https://new.land.naver.com/complexes/136843?tab=detail&amp;rf=Y</t>
        </is>
      </c>
      <c r="AA2985" s="0" t="inlineStr">
        <is>
          <t>서울시 강동구 천호동 322-1</t>
        </is>
      </c>
      <c r="AB2985" s="0" t="inlineStr">
        <is>
          <t>서울시</t>
        </is>
      </c>
      <c r="AC2985" s="0" t="inlineStr">
        <is>
          <t>강동구</t>
        </is>
      </c>
      <c r="AD2985" s="0" t="inlineStr">
        <is>
          <t>천호동</t>
        </is>
      </c>
      <c r="AG2985" s="0" t="inlineStr">
        <is>
          <t>서울시 강동구 상암로4길 73</t>
        </is>
      </c>
      <c r="AH2985" s="0" t="n">
        <v>0</v>
      </c>
      <c r="AI2985" s="0" t="n">
        <v>218</v>
      </c>
      <c r="AJ2985" s="0" t="n">
        <v>49</v>
      </c>
      <c r="AK2985" s="0" t="n">
        <v>8</v>
      </c>
      <c r="AL2985" s="0" t="n">
        <v>0.8</v>
      </c>
    </row>
    <row r="2986">
      <c r="A2986" s="0" t="inlineStr">
        <is>
          <t>[천호동]</t>
        </is>
      </c>
      <c r="B2986" s="0" t="n">
        <v>136843</v>
      </c>
      <c r="C2986" s="0" t="n">
        <v>3</v>
      </c>
      <c r="D2986" s="0" t="inlineStr">
        <is>
          <t>아이빌(도시형)</t>
        </is>
      </c>
      <c r="E2986" s="0" t="inlineStr">
        <is>
          <t>2015.04.</t>
        </is>
      </c>
      <c r="F2986" s="0" t="n">
        <v>10</v>
      </c>
      <c r="G2986" s="0" t="n">
        <v>19.39</v>
      </c>
      <c r="H2986" s="0" t="n">
        <v>64.09999999999999</v>
      </c>
      <c r="I2986" s="0" t="n">
        <v>16.02</v>
      </c>
      <c r="J2986" s="0" t="n">
        <v>52.99</v>
      </c>
      <c r="K2986" s="0" t="n">
        <v>4</v>
      </c>
      <c r="T2986" s="0" t="n">
        <v>3</v>
      </c>
      <c r="U2986" s="0" t="n">
        <v>2</v>
      </c>
      <c r="V2986" s="0" t="inlineStr">
        <is>
          <t>계단식</t>
        </is>
      </c>
      <c r="W2986" s="0" t="inlineStr">
        <is>
          <t>64B</t>
        </is>
      </c>
      <c r="X2986" s="0" t="n">
        <v>6</v>
      </c>
      <c r="Y2986" s="0" t="n">
        <v>6</v>
      </c>
      <c r="Z2986" s="0" t="inlineStr">
        <is>
          <t>https://new.land.naver.com/complexes/136843?tab=detail&amp;rf=Y</t>
        </is>
      </c>
      <c r="AA2986" s="0" t="inlineStr">
        <is>
          <t>서울시 강동구 천호동 322-1</t>
        </is>
      </c>
      <c r="AB2986" s="0" t="inlineStr">
        <is>
          <t>서울시</t>
        </is>
      </c>
      <c r="AC2986" s="0" t="inlineStr">
        <is>
          <t>강동구</t>
        </is>
      </c>
      <c r="AD2986" s="0" t="inlineStr">
        <is>
          <t>천호동</t>
        </is>
      </c>
      <c r="AG2986" s="0" t="inlineStr">
        <is>
          <t>서울시 강동구 상암로4길 73</t>
        </is>
      </c>
      <c r="AH2986" s="0" t="n">
        <v>0</v>
      </c>
      <c r="AI2986" s="0" t="n">
        <v>218</v>
      </c>
      <c r="AJ2986" s="0" t="n">
        <v>49</v>
      </c>
      <c r="AK2986" s="0" t="n">
        <v>8</v>
      </c>
      <c r="AL2986" s="0" t="n">
        <v>0.8</v>
      </c>
    </row>
    <row r="2987">
      <c r="A2987" s="0" t="inlineStr">
        <is>
          <t>[천호동]</t>
        </is>
      </c>
      <c r="B2987" s="0" t="n">
        <v>136843</v>
      </c>
      <c r="C2987" s="0" t="n">
        <v>4</v>
      </c>
      <c r="D2987" s="0" t="inlineStr">
        <is>
          <t>아이빌(도시형)</t>
        </is>
      </c>
      <c r="E2987" s="0" t="inlineStr">
        <is>
          <t>2015.04.</t>
        </is>
      </c>
      <c r="F2987" s="0" t="n">
        <v>10</v>
      </c>
      <c r="G2987" s="0" t="n">
        <v>19.52</v>
      </c>
      <c r="H2987" s="0" t="n">
        <v>64.54000000000001</v>
      </c>
      <c r="I2987" s="0" t="n">
        <v>16.13</v>
      </c>
      <c r="J2987" s="0" t="n">
        <v>53.35</v>
      </c>
      <c r="K2987" s="0" t="n">
        <v>1</v>
      </c>
      <c r="T2987" s="0" t="n">
        <v>3</v>
      </c>
      <c r="U2987" s="0" t="n">
        <v>2</v>
      </c>
      <c r="V2987" s="0" t="inlineStr">
        <is>
          <t>계단식</t>
        </is>
      </c>
      <c r="W2987" s="0" t="n">
        <v>64</v>
      </c>
      <c r="X2987" s="0" t="n">
        <v>6</v>
      </c>
      <c r="Y2987" s="0" t="n">
        <v>6</v>
      </c>
      <c r="Z2987" s="0" t="inlineStr">
        <is>
          <t>https://new.land.naver.com/complexes/136843?tab=detail&amp;rf=Y</t>
        </is>
      </c>
      <c r="AA2987" s="0" t="inlineStr">
        <is>
          <t>서울시 강동구 천호동 322-1</t>
        </is>
      </c>
      <c r="AB2987" s="0" t="inlineStr">
        <is>
          <t>서울시</t>
        </is>
      </c>
      <c r="AC2987" s="0" t="inlineStr">
        <is>
          <t>강동구</t>
        </is>
      </c>
      <c r="AD2987" s="0" t="inlineStr">
        <is>
          <t>천호동</t>
        </is>
      </c>
      <c r="AG2987" s="0" t="inlineStr">
        <is>
          <t>서울시 강동구 상암로4길 73</t>
        </is>
      </c>
      <c r="AH2987" s="0" t="n">
        <v>0</v>
      </c>
      <c r="AI2987" s="0" t="n">
        <v>218</v>
      </c>
      <c r="AJ2987" s="0" t="n">
        <v>49</v>
      </c>
      <c r="AK2987" s="0" t="n">
        <v>8</v>
      </c>
      <c r="AL2987" s="0" t="n">
        <v>0.8</v>
      </c>
    </row>
    <row r="2988">
      <c r="A2988" s="0" t="inlineStr">
        <is>
          <t>[천호동]</t>
        </is>
      </c>
      <c r="B2988" s="0" t="n">
        <v>110225</v>
      </c>
      <c r="C2988" s="0" t="n">
        <v>1</v>
      </c>
      <c r="D2988" s="0" t="inlineStr">
        <is>
          <t>다성이즈빌(50-11)</t>
        </is>
      </c>
      <c r="E2988" s="0" t="inlineStr">
        <is>
          <t>2007.06.</t>
        </is>
      </c>
      <c r="F2988" s="0" t="n">
        <v>18</v>
      </c>
      <c r="G2988" s="0" t="n">
        <v>15.23</v>
      </c>
      <c r="H2988" s="0" t="n">
        <v>50.37</v>
      </c>
      <c r="I2988" s="0" t="n">
        <v>13.19</v>
      </c>
      <c r="J2988" s="0" t="n">
        <v>43.63</v>
      </c>
      <c r="K2988" s="0" t="n">
        <v>1</v>
      </c>
      <c r="T2988" s="0" t="n">
        <v>2</v>
      </c>
      <c r="U2988" s="0" t="n">
        <v>1</v>
      </c>
      <c r="V2988" s="0" t="inlineStr">
        <is>
          <t>계단식</t>
        </is>
      </c>
      <c r="W2988" s="0" t="n">
        <v>50</v>
      </c>
      <c r="X2988" s="0" t="n">
        <v>7</v>
      </c>
      <c r="Y2988" s="0" t="n">
        <v>7</v>
      </c>
      <c r="Z2988" s="0" t="inlineStr">
        <is>
          <t>https://new.land.naver.com/complexes/110225?tab=detail&amp;rf=Y</t>
        </is>
      </c>
      <c r="AA2988" s="0" t="inlineStr">
        <is>
          <t>서울시 강동구 천호동 50-11</t>
        </is>
      </c>
      <c r="AB2988" s="0" t="inlineStr">
        <is>
          <t>서울시</t>
        </is>
      </c>
      <c r="AC2988" s="0" t="inlineStr">
        <is>
          <t>강동구</t>
        </is>
      </c>
      <c r="AD2988" s="0" t="inlineStr">
        <is>
          <t>천호동</t>
        </is>
      </c>
      <c r="AG2988" s="0" t="inlineStr">
        <is>
          <t>서울시 강동구 천중로43길 40</t>
        </is>
      </c>
      <c r="AH2988" s="0" t="n">
        <v>0</v>
      </c>
      <c r="AI2988" s="0" t="n">
        <v>249</v>
      </c>
      <c r="AJ2988" s="0" t="n">
        <v>48</v>
      </c>
      <c r="AK2988" s="0" t="n">
        <v>19</v>
      </c>
      <c r="AL2988" s="0" t="n">
        <v>1.06</v>
      </c>
    </row>
    <row r="2989">
      <c r="A2989" s="0" t="inlineStr">
        <is>
          <t>[천호동]</t>
        </is>
      </c>
      <c r="B2989" s="0" t="n">
        <v>110225</v>
      </c>
      <c r="C2989" s="0" t="n">
        <v>2</v>
      </c>
      <c r="D2989" s="0" t="inlineStr">
        <is>
          <t>다성이즈빌(50-11)</t>
        </is>
      </c>
      <c r="E2989" s="0" t="inlineStr">
        <is>
          <t>2007.06.</t>
        </is>
      </c>
      <c r="F2989" s="0" t="n">
        <v>18</v>
      </c>
      <c r="G2989" s="0" t="n">
        <v>18.95</v>
      </c>
      <c r="H2989" s="0" t="n">
        <v>62.65</v>
      </c>
      <c r="I2989" s="0" t="n">
        <v>16.41</v>
      </c>
      <c r="J2989" s="0" t="n">
        <v>54.27</v>
      </c>
      <c r="K2989" s="0" t="n">
        <v>1</v>
      </c>
      <c r="T2989" s="0" t="n">
        <v>2</v>
      </c>
      <c r="U2989" s="0" t="n">
        <v>1</v>
      </c>
      <c r="V2989" s="0" t="inlineStr">
        <is>
          <t>계단식</t>
        </is>
      </c>
      <c r="W2989" s="0" t="n">
        <v>62</v>
      </c>
      <c r="X2989" s="0" t="n">
        <v>7</v>
      </c>
      <c r="Y2989" s="0" t="n">
        <v>7</v>
      </c>
      <c r="Z2989" s="0" t="inlineStr">
        <is>
          <t>https://new.land.naver.com/complexes/110225?tab=detail&amp;rf=Y</t>
        </is>
      </c>
      <c r="AA2989" s="0" t="inlineStr">
        <is>
          <t>서울시 강동구 천호동 50-11</t>
        </is>
      </c>
      <c r="AB2989" s="0" t="inlineStr">
        <is>
          <t>서울시</t>
        </is>
      </c>
      <c r="AC2989" s="0" t="inlineStr">
        <is>
          <t>강동구</t>
        </is>
      </c>
      <c r="AD2989" s="0" t="inlineStr">
        <is>
          <t>천호동</t>
        </is>
      </c>
      <c r="AG2989" s="0" t="inlineStr">
        <is>
          <t>서울시 강동구 천중로43길 40</t>
        </is>
      </c>
      <c r="AH2989" s="0" t="n">
        <v>0</v>
      </c>
      <c r="AI2989" s="0" t="n">
        <v>249</v>
      </c>
      <c r="AJ2989" s="0" t="n">
        <v>48</v>
      </c>
      <c r="AK2989" s="0" t="n">
        <v>19</v>
      </c>
      <c r="AL2989" s="0" t="n">
        <v>1.06</v>
      </c>
    </row>
    <row r="2990">
      <c r="A2990" s="0" t="inlineStr">
        <is>
          <t>[천호동]</t>
        </is>
      </c>
      <c r="B2990" s="0" t="n">
        <v>110225</v>
      </c>
      <c r="C2990" s="0" t="n">
        <v>3</v>
      </c>
      <c r="D2990" s="0" t="inlineStr">
        <is>
          <t>다성이즈빌(50-11)</t>
        </is>
      </c>
      <c r="E2990" s="0" t="inlineStr">
        <is>
          <t>2007.06.</t>
        </is>
      </c>
      <c r="F2990" s="0" t="n">
        <v>18</v>
      </c>
      <c r="G2990" s="0" t="n">
        <v>24.04</v>
      </c>
      <c r="H2990" s="0" t="n">
        <v>79.48</v>
      </c>
      <c r="I2990" s="0" t="n">
        <v>20.82</v>
      </c>
      <c r="J2990" s="0" t="n">
        <v>68.84999999999999</v>
      </c>
      <c r="K2990" s="0" t="n">
        <v>1</v>
      </c>
      <c r="T2990" s="0" t="n">
        <v>3</v>
      </c>
      <c r="U2990" s="0" t="n">
        <v>2</v>
      </c>
      <c r="V2990" s="0" t="inlineStr">
        <is>
          <t>계단식</t>
        </is>
      </c>
      <c r="W2990" s="0" t="n">
        <v>79</v>
      </c>
      <c r="X2990" s="0" t="n">
        <v>7</v>
      </c>
      <c r="Y2990" s="0" t="n">
        <v>7</v>
      </c>
      <c r="Z2990" s="0" t="inlineStr">
        <is>
          <t>https://new.land.naver.com/complexes/110225?tab=detail&amp;rf=Y</t>
        </is>
      </c>
      <c r="AA2990" s="0" t="inlineStr">
        <is>
          <t>서울시 강동구 천호동 50-11</t>
        </is>
      </c>
      <c r="AB2990" s="0" t="inlineStr">
        <is>
          <t>서울시</t>
        </is>
      </c>
      <c r="AC2990" s="0" t="inlineStr">
        <is>
          <t>강동구</t>
        </is>
      </c>
      <c r="AD2990" s="0" t="inlineStr">
        <is>
          <t>천호동</t>
        </is>
      </c>
      <c r="AG2990" s="0" t="inlineStr">
        <is>
          <t>서울시 강동구 천중로43길 40</t>
        </is>
      </c>
      <c r="AH2990" s="0" t="n">
        <v>0</v>
      </c>
      <c r="AI2990" s="0" t="n">
        <v>249</v>
      </c>
      <c r="AJ2990" s="0" t="n">
        <v>48</v>
      </c>
      <c r="AK2990" s="0" t="n">
        <v>19</v>
      </c>
      <c r="AL2990" s="0" t="n">
        <v>1.06</v>
      </c>
    </row>
    <row r="2991">
      <c r="A2991" s="0" t="inlineStr">
        <is>
          <t>[천호동]</t>
        </is>
      </c>
      <c r="B2991" s="0" t="n">
        <v>110225</v>
      </c>
      <c r="C2991" s="0" t="n">
        <v>4</v>
      </c>
      <c r="D2991" s="0" t="inlineStr">
        <is>
          <t>다성이즈빌(50-11)</t>
        </is>
      </c>
      <c r="E2991" s="0" t="inlineStr">
        <is>
          <t>2007.06.</t>
        </is>
      </c>
      <c r="F2991" s="0" t="n">
        <v>18</v>
      </c>
      <c r="G2991" s="0" t="n">
        <v>25.14</v>
      </c>
      <c r="H2991" s="0" t="n">
        <v>83.14</v>
      </c>
      <c r="I2991" s="0" t="n">
        <v>21.78</v>
      </c>
      <c r="J2991" s="0" t="n">
        <v>72.02</v>
      </c>
      <c r="K2991" s="0" t="n">
        <v>1</v>
      </c>
      <c r="T2991" s="0" t="n">
        <v>3</v>
      </c>
      <c r="U2991" s="0" t="n">
        <v>2</v>
      </c>
      <c r="V2991" s="0" t="inlineStr">
        <is>
          <t>계단식</t>
        </is>
      </c>
      <c r="W2991" s="0" t="n">
        <v>83</v>
      </c>
      <c r="X2991" s="0" t="n">
        <v>7</v>
      </c>
      <c r="Y2991" s="0" t="n">
        <v>7</v>
      </c>
      <c r="Z2991" s="0" t="inlineStr">
        <is>
          <t>https://new.land.naver.com/complexes/110225?tab=detail&amp;rf=Y</t>
        </is>
      </c>
      <c r="AA2991" s="0" t="inlineStr">
        <is>
          <t>서울시 강동구 천호동 50-11</t>
        </is>
      </c>
      <c r="AB2991" s="0" t="inlineStr">
        <is>
          <t>서울시</t>
        </is>
      </c>
      <c r="AC2991" s="0" t="inlineStr">
        <is>
          <t>강동구</t>
        </is>
      </c>
      <c r="AD2991" s="0" t="inlineStr">
        <is>
          <t>천호동</t>
        </is>
      </c>
      <c r="AG2991" s="0" t="inlineStr">
        <is>
          <t>서울시 강동구 천중로43길 40</t>
        </is>
      </c>
      <c r="AH2991" s="0" t="n">
        <v>0</v>
      </c>
      <c r="AI2991" s="0" t="n">
        <v>249</v>
      </c>
      <c r="AJ2991" s="0" t="n">
        <v>48</v>
      </c>
      <c r="AK2991" s="0" t="n">
        <v>19</v>
      </c>
      <c r="AL2991" s="0" t="n">
        <v>1.06</v>
      </c>
    </row>
    <row r="2992">
      <c r="A2992" s="0" t="inlineStr">
        <is>
          <t>[천호동]</t>
        </is>
      </c>
      <c r="B2992" s="0" t="n">
        <v>110225</v>
      </c>
      <c r="C2992" s="0" t="n">
        <v>5</v>
      </c>
      <c r="D2992" s="0" t="inlineStr">
        <is>
          <t>다성이즈빌(50-11)</t>
        </is>
      </c>
      <c r="E2992" s="0" t="inlineStr">
        <is>
          <t>2007.06.</t>
        </is>
      </c>
      <c r="F2992" s="0" t="n">
        <v>18</v>
      </c>
      <c r="G2992" s="0" t="n">
        <v>27.77</v>
      </c>
      <c r="H2992" s="0" t="n">
        <v>91.81</v>
      </c>
      <c r="I2992" s="0" t="n">
        <v>24.05</v>
      </c>
      <c r="J2992" s="0" t="n">
        <v>79.53</v>
      </c>
      <c r="K2992" s="0" t="n">
        <v>1</v>
      </c>
      <c r="T2992" s="0" t="n">
        <v>3</v>
      </c>
      <c r="U2992" s="0" t="n">
        <v>2</v>
      </c>
      <c r="V2992" s="0" t="inlineStr">
        <is>
          <t>계단식</t>
        </is>
      </c>
      <c r="W2992" s="0" t="n">
        <v>91</v>
      </c>
      <c r="X2992" s="0" t="n">
        <v>7</v>
      </c>
      <c r="Y2992" s="0" t="n">
        <v>7</v>
      </c>
      <c r="Z2992" s="0" t="inlineStr">
        <is>
          <t>https://new.land.naver.com/complexes/110225?tab=detail&amp;rf=Y</t>
        </is>
      </c>
      <c r="AA2992" s="0" t="inlineStr">
        <is>
          <t>서울시 강동구 천호동 50-11</t>
        </is>
      </c>
      <c r="AB2992" s="0" t="inlineStr">
        <is>
          <t>서울시</t>
        </is>
      </c>
      <c r="AC2992" s="0" t="inlineStr">
        <is>
          <t>강동구</t>
        </is>
      </c>
      <c r="AD2992" s="0" t="inlineStr">
        <is>
          <t>천호동</t>
        </is>
      </c>
      <c r="AG2992" s="0" t="inlineStr">
        <is>
          <t>서울시 강동구 천중로43길 40</t>
        </is>
      </c>
      <c r="AH2992" s="0" t="n">
        <v>0</v>
      </c>
      <c r="AI2992" s="0" t="n">
        <v>249</v>
      </c>
      <c r="AJ2992" s="0" t="n">
        <v>48</v>
      </c>
      <c r="AK2992" s="0" t="n">
        <v>19</v>
      </c>
      <c r="AL2992" s="0" t="n">
        <v>1.06</v>
      </c>
    </row>
    <row r="2993">
      <c r="A2993" s="0" t="inlineStr">
        <is>
          <t>[천호동]</t>
        </is>
      </c>
      <c r="B2993" s="0" t="n">
        <v>110225</v>
      </c>
      <c r="C2993" s="0" t="n">
        <v>6</v>
      </c>
      <c r="D2993" s="0" t="inlineStr">
        <is>
          <t>다성이즈빌(50-11)</t>
        </is>
      </c>
      <c r="E2993" s="0" t="inlineStr">
        <is>
          <t>2007.06.</t>
        </is>
      </c>
      <c r="F2993" s="0" t="n">
        <v>18</v>
      </c>
      <c r="G2993" s="0" t="n">
        <v>29.13</v>
      </c>
      <c r="H2993" s="0" t="n">
        <v>96.33</v>
      </c>
      <c r="I2993" s="0" t="n">
        <v>25.24</v>
      </c>
      <c r="J2993" s="0" t="n">
        <v>83.45</v>
      </c>
      <c r="K2993" s="0" t="n">
        <v>3</v>
      </c>
      <c r="T2993" s="0" t="n">
        <v>3</v>
      </c>
      <c r="U2993" s="0" t="n">
        <v>2</v>
      </c>
      <c r="V2993" s="0" t="inlineStr">
        <is>
          <t>계단식</t>
        </is>
      </c>
      <c r="W2993" s="0" t="inlineStr">
        <is>
          <t>96A</t>
        </is>
      </c>
      <c r="X2993" s="0" t="n">
        <v>7</v>
      </c>
      <c r="Y2993" s="0" t="n">
        <v>7</v>
      </c>
      <c r="Z2993" s="0" t="inlineStr">
        <is>
          <t>https://new.land.naver.com/complexes/110225?tab=detail&amp;rf=Y</t>
        </is>
      </c>
      <c r="AA2993" s="0" t="inlineStr">
        <is>
          <t>서울시 강동구 천호동 50-11</t>
        </is>
      </c>
      <c r="AB2993" s="0" t="inlineStr">
        <is>
          <t>서울시</t>
        </is>
      </c>
      <c r="AC2993" s="0" t="inlineStr">
        <is>
          <t>강동구</t>
        </is>
      </c>
      <c r="AD2993" s="0" t="inlineStr">
        <is>
          <t>천호동</t>
        </is>
      </c>
      <c r="AG2993" s="0" t="inlineStr">
        <is>
          <t>서울시 강동구 천중로43길 40</t>
        </is>
      </c>
      <c r="AH2993" s="0" t="n">
        <v>0</v>
      </c>
      <c r="AI2993" s="0" t="n">
        <v>249</v>
      </c>
      <c r="AJ2993" s="0" t="n">
        <v>48</v>
      </c>
      <c r="AK2993" s="0" t="n">
        <v>19</v>
      </c>
      <c r="AL2993" s="0" t="n">
        <v>1.06</v>
      </c>
    </row>
    <row r="2994">
      <c r="A2994" s="0" t="inlineStr">
        <is>
          <t>[천호동]</t>
        </is>
      </c>
      <c r="B2994" s="0" t="n">
        <v>110225</v>
      </c>
      <c r="C2994" s="0" t="n">
        <v>7</v>
      </c>
      <c r="D2994" s="0" t="inlineStr">
        <is>
          <t>다성이즈빌(50-11)</t>
        </is>
      </c>
      <c r="E2994" s="0" t="inlineStr">
        <is>
          <t>2007.06.</t>
        </is>
      </c>
      <c r="F2994" s="0" t="n">
        <v>18</v>
      </c>
      <c r="G2994" s="0" t="n">
        <v>29.57</v>
      </c>
      <c r="H2994" s="0" t="n">
        <v>97.77</v>
      </c>
      <c r="I2994" s="0" t="n">
        <v>25.62</v>
      </c>
      <c r="J2994" s="0" t="n">
        <v>84.7</v>
      </c>
      <c r="K2994" s="0" t="n">
        <v>5</v>
      </c>
      <c r="T2994" s="0" t="n">
        <v>3</v>
      </c>
      <c r="U2994" s="0" t="n">
        <v>2</v>
      </c>
      <c r="V2994" s="0" t="inlineStr">
        <is>
          <t>계단식</t>
        </is>
      </c>
      <c r="W2994" s="0" t="inlineStr">
        <is>
          <t>97B</t>
        </is>
      </c>
      <c r="X2994" s="0" t="n">
        <v>7</v>
      </c>
      <c r="Y2994" s="0" t="n">
        <v>7</v>
      </c>
      <c r="Z2994" s="0" t="inlineStr">
        <is>
          <t>https://new.land.naver.com/complexes/110225?tab=detail&amp;rf=Y</t>
        </is>
      </c>
      <c r="AA2994" s="0" t="inlineStr">
        <is>
          <t>서울시 강동구 천호동 50-11</t>
        </is>
      </c>
      <c r="AB2994" s="0" t="inlineStr">
        <is>
          <t>서울시</t>
        </is>
      </c>
      <c r="AC2994" s="0" t="inlineStr">
        <is>
          <t>강동구</t>
        </is>
      </c>
      <c r="AD2994" s="0" t="inlineStr">
        <is>
          <t>천호동</t>
        </is>
      </c>
      <c r="AG2994" s="0" t="inlineStr">
        <is>
          <t>서울시 강동구 천중로43길 40</t>
        </is>
      </c>
      <c r="AH2994" s="0" t="n">
        <v>0</v>
      </c>
      <c r="AI2994" s="0" t="n">
        <v>249</v>
      </c>
      <c r="AJ2994" s="0" t="n">
        <v>48</v>
      </c>
      <c r="AK2994" s="0" t="n">
        <v>19</v>
      </c>
      <c r="AL2994" s="0" t="n">
        <v>1.06</v>
      </c>
    </row>
    <row r="2995">
      <c r="A2995" s="0" t="inlineStr">
        <is>
          <t>[천호동]</t>
        </is>
      </c>
      <c r="B2995" s="0" t="n">
        <v>110225</v>
      </c>
      <c r="C2995" s="0" t="n">
        <v>8</v>
      </c>
      <c r="D2995" s="0" t="inlineStr">
        <is>
          <t>다성이즈빌(50-11)</t>
        </is>
      </c>
      <c r="E2995" s="0" t="inlineStr">
        <is>
          <t>2007.06.</t>
        </is>
      </c>
      <c r="F2995" s="0" t="n">
        <v>18</v>
      </c>
      <c r="G2995" s="0" t="n">
        <v>29.49</v>
      </c>
      <c r="H2995" s="0" t="n">
        <v>97.5</v>
      </c>
      <c r="I2995" s="0" t="n">
        <v>25.54</v>
      </c>
      <c r="J2995" s="0" t="n">
        <v>84.45999999999999</v>
      </c>
      <c r="K2995" s="0" t="n">
        <v>4</v>
      </c>
      <c r="T2995" s="0" t="n">
        <v>3</v>
      </c>
      <c r="U2995" s="0" t="n">
        <v>2</v>
      </c>
      <c r="V2995" s="0" t="inlineStr">
        <is>
          <t>계단식</t>
        </is>
      </c>
      <c r="W2995" s="0" t="inlineStr">
        <is>
          <t>97B</t>
        </is>
      </c>
      <c r="X2995" s="0" t="n">
        <v>7</v>
      </c>
      <c r="Y2995" s="0" t="n">
        <v>7</v>
      </c>
      <c r="Z2995" s="0" t="inlineStr">
        <is>
          <t>https://new.land.naver.com/complexes/110225?tab=detail&amp;rf=Y</t>
        </is>
      </c>
      <c r="AA2995" s="0" t="inlineStr">
        <is>
          <t>서울시 강동구 천호동 50-11</t>
        </is>
      </c>
      <c r="AB2995" s="0" t="inlineStr">
        <is>
          <t>서울시</t>
        </is>
      </c>
      <c r="AC2995" s="0" t="inlineStr">
        <is>
          <t>강동구</t>
        </is>
      </c>
      <c r="AD2995" s="0" t="inlineStr">
        <is>
          <t>천호동</t>
        </is>
      </c>
      <c r="AG2995" s="0" t="inlineStr">
        <is>
          <t>서울시 강동구 천중로43길 40</t>
        </is>
      </c>
      <c r="AH2995" s="0" t="n">
        <v>0</v>
      </c>
      <c r="AI2995" s="0" t="n">
        <v>249</v>
      </c>
      <c r="AJ2995" s="0" t="n">
        <v>48</v>
      </c>
      <c r="AK2995" s="0" t="n">
        <v>19</v>
      </c>
      <c r="AL2995" s="0" t="n">
        <v>1.06</v>
      </c>
    </row>
    <row r="2996">
      <c r="A2996" s="0" t="inlineStr">
        <is>
          <t>[천호동]</t>
        </is>
      </c>
      <c r="B2996" s="0" t="n">
        <v>110225</v>
      </c>
      <c r="C2996" s="0" t="n">
        <v>9</v>
      </c>
      <c r="D2996" s="0" t="inlineStr">
        <is>
          <t>다성이즈빌(50-11)</t>
        </is>
      </c>
      <c r="E2996" s="0" t="inlineStr">
        <is>
          <t>2007.06.</t>
        </is>
      </c>
      <c r="F2996" s="0" t="n">
        <v>18</v>
      </c>
      <c r="G2996" s="0" t="n">
        <v>29.49</v>
      </c>
      <c r="H2996" s="0" t="n">
        <v>97.52</v>
      </c>
      <c r="I2996" s="0" t="n">
        <v>25.55</v>
      </c>
      <c r="J2996" s="0" t="n">
        <v>84.48</v>
      </c>
      <c r="K2996" s="0" t="n">
        <v>1</v>
      </c>
      <c r="T2996" s="0" t="n">
        <v>3</v>
      </c>
      <c r="U2996" s="0" t="n">
        <v>2</v>
      </c>
      <c r="V2996" s="0" t="inlineStr">
        <is>
          <t>계단식</t>
        </is>
      </c>
      <c r="W2996" s="0" t="inlineStr">
        <is>
          <t>97A</t>
        </is>
      </c>
      <c r="X2996" s="0" t="n">
        <v>7</v>
      </c>
      <c r="Y2996" s="0" t="n">
        <v>7</v>
      </c>
      <c r="Z2996" s="0" t="inlineStr">
        <is>
          <t>https://new.land.naver.com/complexes/110225?tab=detail&amp;rf=Y</t>
        </is>
      </c>
      <c r="AA2996" s="0" t="inlineStr">
        <is>
          <t>서울시 강동구 천호동 50-11</t>
        </is>
      </c>
      <c r="AB2996" s="0" t="inlineStr">
        <is>
          <t>서울시</t>
        </is>
      </c>
      <c r="AC2996" s="0" t="inlineStr">
        <is>
          <t>강동구</t>
        </is>
      </c>
      <c r="AD2996" s="0" t="inlineStr">
        <is>
          <t>천호동</t>
        </is>
      </c>
      <c r="AG2996" s="0" t="inlineStr">
        <is>
          <t>서울시 강동구 천중로43길 40</t>
        </is>
      </c>
      <c r="AH2996" s="0" t="n">
        <v>0</v>
      </c>
      <c r="AI2996" s="0" t="n">
        <v>249</v>
      </c>
      <c r="AJ2996" s="0" t="n">
        <v>48</v>
      </c>
      <c r="AK2996" s="0" t="n">
        <v>19</v>
      </c>
      <c r="AL2996" s="0" t="n">
        <v>1.06</v>
      </c>
    </row>
    <row r="2997">
      <c r="A2997" s="0" t="inlineStr">
        <is>
          <t>[천호동]</t>
        </is>
      </c>
      <c r="B2997" s="0" t="n">
        <v>1334</v>
      </c>
      <c r="C2997" s="0" t="n">
        <v>1</v>
      </c>
      <c r="D2997" s="0" t="inlineStr">
        <is>
          <t>코오롱상가</t>
        </is>
      </c>
      <c r="E2997" s="0" t="inlineStr">
        <is>
          <t>1988.11.</t>
        </is>
      </c>
      <c r="F2997" s="0" t="n">
        <v>198</v>
      </c>
      <c r="G2997" s="0" t="n">
        <v>20.77</v>
      </c>
      <c r="H2997" s="0" t="n">
        <v>68.68000000000001</v>
      </c>
      <c r="I2997" s="0" t="n">
        <v>17.06</v>
      </c>
      <c r="J2997" s="0" t="n">
        <v>56.4</v>
      </c>
      <c r="K2997" s="0" t="n">
        <v>90</v>
      </c>
      <c r="T2997" s="0" t="n">
        <v>2</v>
      </c>
      <c r="U2997" s="0" t="n">
        <v>1</v>
      </c>
      <c r="V2997" s="0" t="inlineStr">
        <is>
          <t>복도식</t>
        </is>
      </c>
      <c r="W2997" s="0" t="n">
        <v>68</v>
      </c>
      <c r="X2997" s="0" t="n">
        <v>12</v>
      </c>
      <c r="Y2997" s="0" t="n">
        <v>12</v>
      </c>
      <c r="Z2997" s="0" t="inlineStr">
        <is>
          <t>https://new.land.naver.com/complexes/1334?tab=detail&amp;rf=Y</t>
        </is>
      </c>
      <c r="AA2997" s="0" t="inlineStr">
        <is>
          <t>서울시 강동구 천호동 410-100</t>
        </is>
      </c>
      <c r="AB2997" s="0" t="inlineStr">
        <is>
          <t>서울시</t>
        </is>
      </c>
      <c r="AC2997" s="0" t="inlineStr">
        <is>
          <t>강동구</t>
        </is>
      </c>
      <c r="AD2997" s="0" t="inlineStr">
        <is>
          <t>천호동</t>
        </is>
      </c>
      <c r="AG2997" s="0" t="inlineStr">
        <is>
          <t>서울시 강동구 진황도로 12</t>
        </is>
      </c>
      <c r="AH2997" s="0" t="n">
        <v>0</v>
      </c>
      <c r="AI2997" s="0" t="n">
        <v>271</v>
      </c>
      <c r="AJ2997" s="0" t="n">
        <v>39</v>
      </c>
      <c r="AK2997" s="0" t="n">
        <v>198</v>
      </c>
      <c r="AL2997" s="0" t="n">
        <v>1</v>
      </c>
    </row>
    <row r="2998">
      <c r="A2998" s="0" t="inlineStr">
        <is>
          <t>[천호동]</t>
        </is>
      </c>
      <c r="B2998" s="0" t="n">
        <v>1334</v>
      </c>
      <c r="C2998" s="0" t="n">
        <v>2</v>
      </c>
      <c r="D2998" s="0" t="inlineStr">
        <is>
          <t>코오롱상가</t>
        </is>
      </c>
      <c r="E2998" s="0" t="inlineStr">
        <is>
          <t>1988.11.</t>
        </is>
      </c>
      <c r="F2998" s="0" t="n">
        <v>198</v>
      </c>
      <c r="G2998" s="0" t="n">
        <v>22.09</v>
      </c>
      <c r="H2998" s="0" t="n">
        <v>73.03</v>
      </c>
      <c r="I2998" s="0" t="n">
        <v>18.14</v>
      </c>
      <c r="J2998" s="0" t="n">
        <v>59.97</v>
      </c>
      <c r="K2998" s="0" t="n">
        <v>20</v>
      </c>
      <c r="T2998" s="0" t="n">
        <v>2</v>
      </c>
      <c r="U2998" s="0" t="n">
        <v>1</v>
      </c>
      <c r="V2998" s="0" t="inlineStr">
        <is>
          <t>복도식</t>
        </is>
      </c>
      <c r="W2998" s="0" t="n">
        <v>73</v>
      </c>
      <c r="X2998" s="0" t="n">
        <v>12</v>
      </c>
      <c r="Y2998" s="0" t="n">
        <v>12</v>
      </c>
      <c r="Z2998" s="0" t="inlineStr">
        <is>
          <t>https://new.land.naver.com/complexes/1334?tab=detail&amp;rf=Y</t>
        </is>
      </c>
      <c r="AA2998" s="0" t="inlineStr">
        <is>
          <t>서울시 강동구 천호동 410-100</t>
        </is>
      </c>
      <c r="AB2998" s="0" t="inlineStr">
        <is>
          <t>서울시</t>
        </is>
      </c>
      <c r="AC2998" s="0" t="inlineStr">
        <is>
          <t>강동구</t>
        </is>
      </c>
      <c r="AD2998" s="0" t="inlineStr">
        <is>
          <t>천호동</t>
        </is>
      </c>
      <c r="AG2998" s="0" t="inlineStr">
        <is>
          <t>서울시 강동구 진황도로 12</t>
        </is>
      </c>
      <c r="AH2998" s="0" t="n">
        <v>0</v>
      </c>
      <c r="AI2998" s="0" t="n">
        <v>271</v>
      </c>
      <c r="AJ2998" s="0" t="n">
        <v>39</v>
      </c>
      <c r="AK2998" s="0" t="n">
        <v>198</v>
      </c>
      <c r="AL2998" s="0" t="n">
        <v>1</v>
      </c>
    </row>
    <row r="2999">
      <c r="A2999" s="0" t="inlineStr">
        <is>
          <t>[천호동]</t>
        </is>
      </c>
      <c r="B2999" s="0" t="n">
        <v>1334</v>
      </c>
      <c r="C2999" s="0" t="n">
        <v>3</v>
      </c>
      <c r="D2999" s="0" t="inlineStr">
        <is>
          <t>코오롱상가</t>
        </is>
      </c>
      <c r="E2999" s="0" t="inlineStr">
        <is>
          <t>1988.11.</t>
        </is>
      </c>
      <c r="F2999" s="0" t="n">
        <v>198</v>
      </c>
      <c r="G2999" s="0" t="n">
        <v>24.93</v>
      </c>
      <c r="H2999" s="0" t="n">
        <v>82.42</v>
      </c>
      <c r="I2999" s="0" t="n">
        <v>20.47</v>
      </c>
      <c r="J2999" s="0" t="n">
        <v>67.68000000000001</v>
      </c>
      <c r="K2999" s="0" t="n">
        <v>20</v>
      </c>
      <c r="T2999" s="0" t="n">
        <v>3</v>
      </c>
      <c r="U2999" s="0" t="n">
        <v>1</v>
      </c>
      <c r="V2999" s="0" t="inlineStr">
        <is>
          <t>복도식</t>
        </is>
      </c>
      <c r="W2999" s="0" t="n">
        <v>82</v>
      </c>
      <c r="X2999" s="0" t="n">
        <v>12</v>
      </c>
      <c r="Y2999" s="0" t="n">
        <v>12</v>
      </c>
      <c r="Z2999" s="0" t="inlineStr">
        <is>
          <t>https://new.land.naver.com/complexes/1334?tab=detail&amp;rf=Y</t>
        </is>
      </c>
      <c r="AA2999" s="0" t="inlineStr">
        <is>
          <t>서울시 강동구 천호동 410-100</t>
        </is>
      </c>
      <c r="AB2999" s="0" t="inlineStr">
        <is>
          <t>서울시</t>
        </is>
      </c>
      <c r="AC2999" s="0" t="inlineStr">
        <is>
          <t>강동구</t>
        </is>
      </c>
      <c r="AD2999" s="0" t="inlineStr">
        <is>
          <t>천호동</t>
        </is>
      </c>
      <c r="AG2999" s="0" t="inlineStr">
        <is>
          <t>서울시 강동구 진황도로 12</t>
        </is>
      </c>
      <c r="AH2999" s="0" t="n">
        <v>0</v>
      </c>
      <c r="AI2999" s="0" t="n">
        <v>271</v>
      </c>
      <c r="AJ2999" s="0" t="n">
        <v>39</v>
      </c>
      <c r="AK2999" s="0" t="n">
        <v>198</v>
      </c>
      <c r="AL2999" s="0" t="n">
        <v>1</v>
      </c>
    </row>
    <row r="3000">
      <c r="A3000" s="0" t="inlineStr">
        <is>
          <t>[천호동]</t>
        </is>
      </c>
      <c r="B3000" s="0" t="n">
        <v>1334</v>
      </c>
      <c r="C3000" s="0" t="n">
        <v>4</v>
      </c>
      <c r="D3000" s="0" t="inlineStr">
        <is>
          <t>코오롱상가</t>
        </is>
      </c>
      <c r="E3000" s="0" t="inlineStr">
        <is>
          <t>1988.11.</t>
        </is>
      </c>
      <c r="F3000" s="0" t="n">
        <v>198</v>
      </c>
      <c r="G3000" s="0" t="n">
        <v>25.52</v>
      </c>
      <c r="H3000" s="0" t="n">
        <v>84.38</v>
      </c>
      <c r="I3000" s="0" t="n">
        <v>20.95</v>
      </c>
      <c r="J3000" s="0" t="n">
        <v>69.28</v>
      </c>
      <c r="K3000" s="0" t="n">
        <v>9</v>
      </c>
      <c r="T3000" s="0" t="n">
        <v>3</v>
      </c>
      <c r="U3000" s="0" t="n">
        <v>1</v>
      </c>
      <c r="V3000" s="0" t="inlineStr">
        <is>
          <t>복도식</t>
        </is>
      </c>
      <c r="W3000" s="0" t="inlineStr">
        <is>
          <t>84A</t>
        </is>
      </c>
      <c r="X3000" s="0" t="n">
        <v>12</v>
      </c>
      <c r="Y3000" s="0" t="n">
        <v>12</v>
      </c>
      <c r="Z3000" s="0" t="inlineStr">
        <is>
          <t>https://new.land.naver.com/complexes/1334?tab=detail&amp;rf=Y</t>
        </is>
      </c>
      <c r="AA3000" s="0" t="inlineStr">
        <is>
          <t>서울시 강동구 천호동 410-100</t>
        </is>
      </c>
      <c r="AB3000" s="0" t="inlineStr">
        <is>
          <t>서울시</t>
        </is>
      </c>
      <c r="AC3000" s="0" t="inlineStr">
        <is>
          <t>강동구</t>
        </is>
      </c>
      <c r="AD3000" s="0" t="inlineStr">
        <is>
          <t>천호동</t>
        </is>
      </c>
      <c r="AG3000" s="0" t="inlineStr">
        <is>
          <t>서울시 강동구 진황도로 12</t>
        </is>
      </c>
      <c r="AH3000" s="0" t="n">
        <v>0</v>
      </c>
      <c r="AI3000" s="0" t="n">
        <v>271</v>
      </c>
      <c r="AJ3000" s="0" t="n">
        <v>39</v>
      </c>
      <c r="AK3000" s="0" t="n">
        <v>198</v>
      </c>
      <c r="AL3000" s="0" t="n">
        <v>1</v>
      </c>
    </row>
    <row r="3001">
      <c r="A3001" s="0" t="inlineStr">
        <is>
          <t>[천호동]</t>
        </is>
      </c>
      <c r="B3001" s="0" t="n">
        <v>1334</v>
      </c>
      <c r="C3001" s="0" t="n">
        <v>5</v>
      </c>
      <c r="D3001" s="0" t="inlineStr">
        <is>
          <t>코오롱상가</t>
        </is>
      </c>
      <c r="E3001" s="0" t="inlineStr">
        <is>
          <t>1988.11.</t>
        </is>
      </c>
      <c r="F3001" s="0" t="n">
        <v>198</v>
      </c>
      <c r="G3001" s="0" t="n">
        <v>26.45</v>
      </c>
      <c r="H3001" s="0" t="n">
        <v>87.45</v>
      </c>
      <c r="I3001" s="0" t="n">
        <v>21.71</v>
      </c>
      <c r="J3001" s="0" t="n">
        <v>71.8</v>
      </c>
      <c r="K3001" s="0" t="n">
        <v>9</v>
      </c>
      <c r="T3001" s="0" t="n">
        <v>3</v>
      </c>
      <c r="U3001" s="0" t="n">
        <v>1</v>
      </c>
      <c r="V3001" s="0" t="inlineStr">
        <is>
          <t>복도식</t>
        </is>
      </c>
      <c r="W3001" s="0" t="inlineStr">
        <is>
          <t>87B</t>
        </is>
      </c>
      <c r="X3001" s="0" t="n">
        <v>12</v>
      </c>
      <c r="Y3001" s="0" t="n">
        <v>12</v>
      </c>
      <c r="Z3001" s="0" t="inlineStr">
        <is>
          <t>https://new.land.naver.com/complexes/1334?tab=detail&amp;rf=Y</t>
        </is>
      </c>
      <c r="AA3001" s="0" t="inlineStr">
        <is>
          <t>서울시 강동구 천호동 410-100</t>
        </is>
      </c>
      <c r="AB3001" s="0" t="inlineStr">
        <is>
          <t>서울시</t>
        </is>
      </c>
      <c r="AC3001" s="0" t="inlineStr">
        <is>
          <t>강동구</t>
        </is>
      </c>
      <c r="AD3001" s="0" t="inlineStr">
        <is>
          <t>천호동</t>
        </is>
      </c>
      <c r="AG3001" s="0" t="inlineStr">
        <is>
          <t>서울시 강동구 진황도로 12</t>
        </is>
      </c>
      <c r="AH3001" s="0" t="n">
        <v>0</v>
      </c>
      <c r="AI3001" s="0" t="n">
        <v>271</v>
      </c>
      <c r="AJ3001" s="0" t="n">
        <v>39</v>
      </c>
      <c r="AK3001" s="0" t="n">
        <v>198</v>
      </c>
      <c r="AL3001" s="0" t="n">
        <v>1</v>
      </c>
    </row>
    <row r="3002">
      <c r="A3002" s="0" t="inlineStr">
        <is>
          <t>[천호동]</t>
        </is>
      </c>
      <c r="B3002" s="0" t="n">
        <v>1334</v>
      </c>
      <c r="C3002" s="0" t="n">
        <v>6</v>
      </c>
      <c r="D3002" s="0" t="inlineStr">
        <is>
          <t>코오롱상가</t>
        </is>
      </c>
      <c r="E3002" s="0" t="inlineStr">
        <is>
          <t>1988.11.</t>
        </is>
      </c>
      <c r="F3002" s="0" t="n">
        <v>198</v>
      </c>
      <c r="G3002" s="0" t="n">
        <v>29.17</v>
      </c>
      <c r="H3002" s="0" t="n">
        <v>96.45</v>
      </c>
      <c r="I3002" s="0" t="n">
        <v>23.95</v>
      </c>
      <c r="J3002" s="0" t="n">
        <v>79.2</v>
      </c>
      <c r="K3002" s="0" t="n">
        <v>10</v>
      </c>
      <c r="T3002" s="0" t="n">
        <v>3</v>
      </c>
      <c r="U3002" s="0" t="n">
        <v>1</v>
      </c>
      <c r="V3002" s="0" t="inlineStr">
        <is>
          <t>복도식</t>
        </is>
      </c>
      <c r="W3002" s="0" t="n">
        <v>96</v>
      </c>
      <c r="X3002" s="0" t="n">
        <v>12</v>
      </c>
      <c r="Y3002" s="0" t="n">
        <v>12</v>
      </c>
      <c r="Z3002" s="0" t="inlineStr">
        <is>
          <t>https://new.land.naver.com/complexes/1334?tab=detail&amp;rf=Y</t>
        </is>
      </c>
      <c r="AA3002" s="0" t="inlineStr">
        <is>
          <t>서울시 강동구 천호동 410-100</t>
        </is>
      </c>
      <c r="AB3002" s="0" t="inlineStr">
        <is>
          <t>서울시</t>
        </is>
      </c>
      <c r="AC3002" s="0" t="inlineStr">
        <is>
          <t>강동구</t>
        </is>
      </c>
      <c r="AD3002" s="0" t="inlineStr">
        <is>
          <t>천호동</t>
        </is>
      </c>
      <c r="AG3002" s="0" t="inlineStr">
        <is>
          <t>서울시 강동구 진황도로 12</t>
        </is>
      </c>
      <c r="AH3002" s="0" t="n">
        <v>0</v>
      </c>
      <c r="AI3002" s="0" t="n">
        <v>271</v>
      </c>
      <c r="AJ3002" s="0" t="n">
        <v>39</v>
      </c>
      <c r="AK3002" s="0" t="n">
        <v>198</v>
      </c>
      <c r="AL3002" s="0" t="n">
        <v>1</v>
      </c>
    </row>
    <row r="3003">
      <c r="A3003" s="0" t="inlineStr">
        <is>
          <t>[천호동]</t>
        </is>
      </c>
      <c r="B3003" s="0" t="n">
        <v>1334</v>
      </c>
      <c r="C3003" s="0" t="n">
        <v>7</v>
      </c>
      <c r="D3003" s="0" t="inlineStr">
        <is>
          <t>코오롱상가</t>
        </is>
      </c>
      <c r="E3003" s="0" t="inlineStr">
        <is>
          <t>1988.11.</t>
        </is>
      </c>
      <c r="F3003" s="0" t="n">
        <v>198</v>
      </c>
      <c r="G3003" s="0" t="n">
        <v>30.39</v>
      </c>
      <c r="H3003" s="0" t="n">
        <v>100.47</v>
      </c>
      <c r="I3003" s="0" t="n">
        <v>24.95</v>
      </c>
      <c r="J3003" s="0" t="n">
        <v>82.5</v>
      </c>
      <c r="K3003" s="0" t="n">
        <v>40</v>
      </c>
      <c r="T3003" s="0" t="n">
        <v>3</v>
      </c>
      <c r="U3003" s="0" t="n">
        <v>1</v>
      </c>
      <c r="V3003" s="0" t="inlineStr">
        <is>
          <t>복도식</t>
        </is>
      </c>
      <c r="W3003" s="0" t="n">
        <v>100</v>
      </c>
      <c r="X3003" s="0" t="n">
        <v>12</v>
      </c>
      <c r="Y3003" s="0" t="n">
        <v>12</v>
      </c>
      <c r="Z3003" s="0" t="inlineStr">
        <is>
          <t>https://new.land.naver.com/complexes/1334?tab=detail&amp;rf=Y</t>
        </is>
      </c>
      <c r="AA3003" s="0" t="inlineStr">
        <is>
          <t>서울시 강동구 천호동 410-100</t>
        </is>
      </c>
      <c r="AB3003" s="0" t="inlineStr">
        <is>
          <t>서울시</t>
        </is>
      </c>
      <c r="AC3003" s="0" t="inlineStr">
        <is>
          <t>강동구</t>
        </is>
      </c>
      <c r="AD3003" s="0" t="inlineStr">
        <is>
          <t>천호동</t>
        </is>
      </c>
      <c r="AG3003" s="0" t="inlineStr">
        <is>
          <t>서울시 강동구 진황도로 12</t>
        </is>
      </c>
      <c r="AH3003" s="0" t="n">
        <v>0</v>
      </c>
      <c r="AI3003" s="0" t="n">
        <v>271</v>
      </c>
      <c r="AJ3003" s="0" t="n">
        <v>39</v>
      </c>
      <c r="AK3003" s="0" t="n">
        <v>198</v>
      </c>
      <c r="AL3003" s="0" t="n">
        <v>1</v>
      </c>
    </row>
    <row r="3004">
      <c r="A3004" s="0" t="inlineStr">
        <is>
          <t>[천호동]</t>
        </is>
      </c>
      <c r="B3004" s="0" t="n">
        <v>111571</v>
      </c>
      <c r="C3004" s="0" t="n">
        <v>1</v>
      </c>
      <c r="D3004" s="0" t="inlineStr">
        <is>
          <t>천호이룸2차</t>
        </is>
      </c>
      <c r="E3004" s="0" t="inlineStr">
        <is>
          <t>2004.09.</t>
        </is>
      </c>
      <c r="F3004" s="0" t="n">
        <v>27</v>
      </c>
      <c r="G3004" s="0" t="n">
        <v>18.92</v>
      </c>
      <c r="H3004" s="0" t="n">
        <v>62.57</v>
      </c>
      <c r="I3004" s="0" t="n">
        <v>15.54</v>
      </c>
      <c r="J3004" s="0" t="n">
        <v>51.39</v>
      </c>
      <c r="K3004" s="0" t="n">
        <v>1</v>
      </c>
      <c r="T3004" s="0" t="n">
        <v>2</v>
      </c>
      <c r="U3004" s="0" t="n">
        <v>1</v>
      </c>
      <c r="V3004" s="0" t="inlineStr">
        <is>
          <t>계단식</t>
        </is>
      </c>
      <c r="W3004" s="0" t="n">
        <v>62</v>
      </c>
      <c r="X3004" s="0" t="n">
        <v>7</v>
      </c>
      <c r="Y3004" s="0" t="n">
        <v>7</v>
      </c>
      <c r="Z3004" s="0" t="inlineStr">
        <is>
          <t>https://new.land.naver.com/complexes/111571?tab=detail&amp;rf=Y</t>
        </is>
      </c>
      <c r="AA3004" s="0" t="inlineStr">
        <is>
          <t>서울시 강동구 천호동 52-6</t>
        </is>
      </c>
      <c r="AB3004" s="0" t="inlineStr">
        <is>
          <t>서울시</t>
        </is>
      </c>
      <c r="AC3004" s="0" t="inlineStr">
        <is>
          <t>강동구</t>
        </is>
      </c>
      <c r="AD3004" s="0" t="inlineStr">
        <is>
          <t>천호동</t>
        </is>
      </c>
      <c r="AG3004" s="0" t="inlineStr">
        <is>
          <t>서울시 강동구 양재대로121길 25-6</t>
        </is>
      </c>
      <c r="AH3004" s="0" t="n">
        <v>0</v>
      </c>
      <c r="AI3004" s="0" t="n">
        <v>220</v>
      </c>
      <c r="AJ3004" s="0" t="n">
        <v>42</v>
      </c>
      <c r="AK3004" s="0" t="n">
        <v>30</v>
      </c>
      <c r="AL3004" s="0" t="n">
        <v>1.11</v>
      </c>
    </row>
    <row r="3005">
      <c r="A3005" s="0" t="inlineStr">
        <is>
          <t>[천호동]</t>
        </is>
      </c>
      <c r="B3005" s="0" t="n">
        <v>111571</v>
      </c>
      <c r="C3005" s="0" t="n">
        <v>2</v>
      </c>
      <c r="D3005" s="0" t="inlineStr">
        <is>
          <t>천호이룸2차</t>
        </is>
      </c>
      <c r="E3005" s="0" t="inlineStr">
        <is>
          <t>2004.09.</t>
        </is>
      </c>
      <c r="F3005" s="0" t="n">
        <v>27</v>
      </c>
      <c r="G3005" s="0" t="n">
        <v>23.03</v>
      </c>
      <c r="H3005" s="0" t="n">
        <v>76.14</v>
      </c>
      <c r="I3005" s="0" t="n">
        <v>18.88</v>
      </c>
      <c r="J3005" s="0" t="n">
        <v>62.44</v>
      </c>
      <c r="K3005" s="0" t="n">
        <v>3</v>
      </c>
      <c r="T3005" s="0" t="n">
        <v>3</v>
      </c>
      <c r="U3005" s="0" t="n">
        <v>1</v>
      </c>
      <c r="V3005" s="0" t="inlineStr">
        <is>
          <t>계단식</t>
        </is>
      </c>
      <c r="W3005" s="0" t="n">
        <v>76</v>
      </c>
      <c r="X3005" s="0" t="n">
        <v>7</v>
      </c>
      <c r="Y3005" s="0" t="n">
        <v>7</v>
      </c>
      <c r="Z3005" s="0" t="inlineStr">
        <is>
          <t>https://new.land.naver.com/complexes/111571?tab=detail&amp;rf=Y</t>
        </is>
      </c>
      <c r="AA3005" s="0" t="inlineStr">
        <is>
          <t>서울시 강동구 천호동 52-6</t>
        </is>
      </c>
      <c r="AB3005" s="0" t="inlineStr">
        <is>
          <t>서울시</t>
        </is>
      </c>
      <c r="AC3005" s="0" t="inlineStr">
        <is>
          <t>강동구</t>
        </is>
      </c>
      <c r="AD3005" s="0" t="inlineStr">
        <is>
          <t>천호동</t>
        </is>
      </c>
      <c r="AG3005" s="0" t="inlineStr">
        <is>
          <t>서울시 강동구 양재대로121길 25-6</t>
        </is>
      </c>
      <c r="AH3005" s="0" t="n">
        <v>0</v>
      </c>
      <c r="AI3005" s="0" t="n">
        <v>220</v>
      </c>
      <c r="AJ3005" s="0" t="n">
        <v>42</v>
      </c>
      <c r="AK3005" s="0" t="n">
        <v>30</v>
      </c>
      <c r="AL3005" s="0" t="n">
        <v>1.11</v>
      </c>
    </row>
    <row r="3006">
      <c r="A3006" s="0" t="inlineStr">
        <is>
          <t>[천호동]</t>
        </is>
      </c>
      <c r="B3006" s="0" t="n">
        <v>111571</v>
      </c>
      <c r="C3006" s="0" t="n">
        <v>3</v>
      </c>
      <c r="D3006" s="0" t="inlineStr">
        <is>
          <t>천호이룸2차</t>
        </is>
      </c>
      <c r="E3006" s="0" t="inlineStr">
        <is>
          <t>2004.09.</t>
        </is>
      </c>
      <c r="F3006" s="0" t="n">
        <v>27</v>
      </c>
      <c r="G3006" s="0" t="n">
        <v>30.47</v>
      </c>
      <c r="H3006" s="0" t="n">
        <v>100.74</v>
      </c>
      <c r="I3006" s="0" t="n">
        <v>25.2</v>
      </c>
      <c r="J3006" s="0" t="n">
        <v>83.33</v>
      </c>
      <c r="K3006" s="0" t="n">
        <v>4</v>
      </c>
      <c r="T3006" s="0" t="n">
        <v>3</v>
      </c>
      <c r="U3006" s="0" t="n">
        <v>2</v>
      </c>
      <c r="V3006" s="0" t="inlineStr">
        <is>
          <t>계단식</t>
        </is>
      </c>
      <c r="W3006" s="0" t="n">
        <v>100</v>
      </c>
      <c r="X3006" s="0" t="n">
        <v>7</v>
      </c>
      <c r="Y3006" s="0" t="n">
        <v>7</v>
      </c>
      <c r="Z3006" s="0" t="inlineStr">
        <is>
          <t>https://new.land.naver.com/complexes/111571?tab=detail&amp;rf=Y</t>
        </is>
      </c>
      <c r="AA3006" s="0" t="inlineStr">
        <is>
          <t>서울시 강동구 천호동 52-6</t>
        </is>
      </c>
      <c r="AB3006" s="0" t="inlineStr">
        <is>
          <t>서울시</t>
        </is>
      </c>
      <c r="AC3006" s="0" t="inlineStr">
        <is>
          <t>강동구</t>
        </is>
      </c>
      <c r="AD3006" s="0" t="inlineStr">
        <is>
          <t>천호동</t>
        </is>
      </c>
      <c r="AG3006" s="0" t="inlineStr">
        <is>
          <t>서울시 강동구 양재대로121길 25-6</t>
        </is>
      </c>
      <c r="AH3006" s="0" t="n">
        <v>0</v>
      </c>
      <c r="AI3006" s="0" t="n">
        <v>220</v>
      </c>
      <c r="AJ3006" s="0" t="n">
        <v>42</v>
      </c>
      <c r="AK3006" s="0" t="n">
        <v>30</v>
      </c>
      <c r="AL3006" s="0" t="n">
        <v>1.11</v>
      </c>
    </row>
    <row r="3007">
      <c r="A3007" s="0" t="inlineStr">
        <is>
          <t>[천호동]</t>
        </is>
      </c>
      <c r="B3007" s="0" t="n">
        <v>111571</v>
      </c>
      <c r="C3007" s="0" t="n">
        <v>4</v>
      </c>
      <c r="D3007" s="0" t="inlineStr">
        <is>
          <t>천호이룸2차</t>
        </is>
      </c>
      <c r="E3007" s="0" t="inlineStr">
        <is>
          <t>2004.09.</t>
        </is>
      </c>
      <c r="F3007" s="0" t="n">
        <v>27</v>
      </c>
      <c r="G3007" s="0" t="n">
        <v>30.7</v>
      </c>
      <c r="H3007" s="0" t="n">
        <v>101.51</v>
      </c>
      <c r="I3007" s="0" t="n">
        <v>25.35</v>
      </c>
      <c r="J3007" s="0" t="n">
        <v>83.81</v>
      </c>
      <c r="K3007" s="0" t="n">
        <v>19</v>
      </c>
      <c r="T3007" s="0" t="n">
        <v>3</v>
      </c>
      <c r="U3007" s="0" t="n">
        <v>2</v>
      </c>
      <c r="V3007" s="0" t="inlineStr">
        <is>
          <t>계단식</t>
        </is>
      </c>
      <c r="W3007" s="0" t="n">
        <v>101</v>
      </c>
      <c r="X3007" s="0" t="n">
        <v>7</v>
      </c>
      <c r="Y3007" s="0" t="n">
        <v>7</v>
      </c>
      <c r="Z3007" s="0" t="inlineStr">
        <is>
          <t>https://new.land.naver.com/complexes/111571?tab=detail&amp;rf=Y</t>
        </is>
      </c>
      <c r="AA3007" s="0" t="inlineStr">
        <is>
          <t>서울시 강동구 천호동 52-6</t>
        </is>
      </c>
      <c r="AB3007" s="0" t="inlineStr">
        <is>
          <t>서울시</t>
        </is>
      </c>
      <c r="AC3007" s="0" t="inlineStr">
        <is>
          <t>강동구</t>
        </is>
      </c>
      <c r="AD3007" s="0" t="inlineStr">
        <is>
          <t>천호동</t>
        </is>
      </c>
      <c r="AG3007" s="0" t="inlineStr">
        <is>
          <t>서울시 강동구 양재대로121길 25-6</t>
        </is>
      </c>
      <c r="AH3007" s="0" t="n">
        <v>0</v>
      </c>
      <c r="AI3007" s="0" t="n">
        <v>220</v>
      </c>
      <c r="AJ3007" s="0" t="n">
        <v>42</v>
      </c>
      <c r="AK3007" s="0" t="n">
        <v>30</v>
      </c>
      <c r="AL3007" s="0" t="n">
        <v>1.11</v>
      </c>
    </row>
    <row r="3008">
      <c r="A3008" s="0" t="inlineStr">
        <is>
          <t>[천호동]</t>
        </is>
      </c>
      <c r="B3008" s="0" t="n">
        <v>135589</v>
      </c>
      <c r="C3008" s="0" t="n">
        <v>1</v>
      </c>
      <c r="D3008" s="0" t="inlineStr">
        <is>
          <t>SI팰리스(167-73)</t>
        </is>
      </c>
      <c r="E3008" s="0" t="inlineStr">
        <is>
          <t>2020.10.</t>
        </is>
      </c>
      <c r="F3008" s="0" t="n">
        <v>29</v>
      </c>
      <c r="G3008" s="0" t="n">
        <v>5.68</v>
      </c>
      <c r="H3008" s="0" t="n">
        <v>18.78</v>
      </c>
      <c r="I3008" s="0" t="n">
        <v>4.4</v>
      </c>
      <c r="J3008" s="0" t="n">
        <v>14.56</v>
      </c>
      <c r="K3008" s="0" t="n">
        <v>22</v>
      </c>
      <c r="T3008" s="0" t="n">
        <v>1</v>
      </c>
      <c r="U3008" s="0" t="n">
        <v>1</v>
      </c>
      <c r="V3008" s="0" t="inlineStr">
        <is>
          <t>복도식</t>
        </is>
      </c>
      <c r="W3008" s="0" t="inlineStr">
        <is>
          <t>18A</t>
        </is>
      </c>
      <c r="X3008" s="0" t="n">
        <v>10</v>
      </c>
      <c r="Y3008" s="0" t="n">
        <v>9</v>
      </c>
      <c r="Z3008" s="0" t="inlineStr">
        <is>
          <t>https://new.land.naver.com/complexes/135589?tab=detail&amp;rf=Y</t>
        </is>
      </c>
      <c r="AA3008" s="0" t="inlineStr">
        <is>
          <t>서울시 강동구 천호동 167-73</t>
        </is>
      </c>
      <c r="AB3008" s="0" t="inlineStr">
        <is>
          <t>서울시</t>
        </is>
      </c>
      <c r="AC3008" s="0" t="inlineStr">
        <is>
          <t>강동구</t>
        </is>
      </c>
      <c r="AD3008" s="0" t="inlineStr">
        <is>
          <t>천호동</t>
        </is>
      </c>
      <c r="AG3008" s="0" t="inlineStr">
        <is>
          <t>서울시 강동구 진황도로27길 23</t>
        </is>
      </c>
      <c r="AH3008" s="0" t="n">
        <v>0</v>
      </c>
      <c r="AI3008" s="0" t="n">
        <v>399</v>
      </c>
      <c r="AJ3008" s="0" t="n">
        <v>55</v>
      </c>
      <c r="AK3008" s="0" t="n">
        <v>14</v>
      </c>
      <c r="AL3008" s="0" t="n">
        <v>0.48</v>
      </c>
    </row>
    <row r="3009">
      <c r="A3009" s="0" t="inlineStr">
        <is>
          <t>[천호동]</t>
        </is>
      </c>
      <c r="B3009" s="0" t="n">
        <v>135589</v>
      </c>
      <c r="C3009" s="0" t="n">
        <v>2</v>
      </c>
      <c r="D3009" s="0" t="inlineStr">
        <is>
          <t>SI팰리스(167-73)</t>
        </is>
      </c>
      <c r="E3009" s="0" t="inlineStr">
        <is>
          <t>2020.10.</t>
        </is>
      </c>
      <c r="F3009" s="0" t="n">
        <v>29</v>
      </c>
      <c r="G3009" s="0" t="n">
        <v>5.86</v>
      </c>
      <c r="H3009" s="0" t="n">
        <v>19.4</v>
      </c>
      <c r="I3009" s="0" t="n">
        <v>4.54</v>
      </c>
      <c r="J3009" s="0" t="n">
        <v>15.04</v>
      </c>
      <c r="K3009" s="0" t="n">
        <v>6</v>
      </c>
      <c r="T3009" s="0" t="n">
        <v>1</v>
      </c>
      <c r="U3009" s="0" t="n">
        <v>1</v>
      </c>
      <c r="V3009" s="0" t="inlineStr">
        <is>
          <t>복도식</t>
        </is>
      </c>
      <c r="W3009" s="0" t="inlineStr">
        <is>
          <t>19B</t>
        </is>
      </c>
      <c r="X3009" s="0" t="n">
        <v>10</v>
      </c>
      <c r="Y3009" s="0" t="n">
        <v>9</v>
      </c>
      <c r="Z3009" s="0" t="inlineStr">
        <is>
          <t>https://new.land.naver.com/complexes/135589?tab=detail&amp;rf=Y</t>
        </is>
      </c>
      <c r="AA3009" s="0" t="inlineStr">
        <is>
          <t>서울시 강동구 천호동 167-73</t>
        </is>
      </c>
      <c r="AB3009" s="0" t="inlineStr">
        <is>
          <t>서울시</t>
        </is>
      </c>
      <c r="AC3009" s="0" t="inlineStr">
        <is>
          <t>강동구</t>
        </is>
      </c>
      <c r="AD3009" s="0" t="inlineStr">
        <is>
          <t>천호동</t>
        </is>
      </c>
      <c r="AG3009" s="0" t="inlineStr">
        <is>
          <t>서울시 강동구 진황도로27길 23</t>
        </is>
      </c>
      <c r="AH3009" s="0" t="n">
        <v>0</v>
      </c>
      <c r="AI3009" s="0" t="n">
        <v>399</v>
      </c>
      <c r="AJ3009" s="0" t="n">
        <v>55</v>
      </c>
      <c r="AK3009" s="0" t="n">
        <v>14</v>
      </c>
      <c r="AL3009" s="0" t="n">
        <v>0.48</v>
      </c>
    </row>
    <row r="3010">
      <c r="A3010" s="0" t="inlineStr">
        <is>
          <t>[천호동]</t>
        </is>
      </c>
      <c r="B3010" s="0" t="n">
        <v>135589</v>
      </c>
      <c r="C3010" s="0" t="n">
        <v>3</v>
      </c>
      <c r="D3010" s="0" t="inlineStr">
        <is>
          <t>SI팰리스(167-73)</t>
        </is>
      </c>
      <c r="E3010" s="0" t="inlineStr">
        <is>
          <t>2020.10.</t>
        </is>
      </c>
      <c r="F3010" s="0" t="n">
        <v>29</v>
      </c>
      <c r="G3010" s="0" t="n">
        <v>11.61</v>
      </c>
      <c r="H3010" s="0" t="n">
        <v>38.39</v>
      </c>
      <c r="I3010" s="0" t="n">
        <v>9</v>
      </c>
      <c r="J3010" s="0" t="n">
        <v>29.76</v>
      </c>
      <c r="K3010" s="0" t="n">
        <v>1</v>
      </c>
      <c r="T3010" s="0" t="n">
        <v>1</v>
      </c>
      <c r="U3010" s="0" t="n">
        <v>1</v>
      </c>
      <c r="V3010" s="0" t="inlineStr">
        <is>
          <t>복도식</t>
        </is>
      </c>
      <c r="W3010" s="0" t="inlineStr">
        <is>
          <t>38A</t>
        </is>
      </c>
      <c r="X3010" s="0" t="n">
        <v>10</v>
      </c>
      <c r="Y3010" s="0" t="n">
        <v>9</v>
      </c>
      <c r="Z3010" s="0" t="inlineStr">
        <is>
          <t>https://new.land.naver.com/complexes/135589?tab=detail&amp;rf=Y</t>
        </is>
      </c>
      <c r="AA3010" s="0" t="inlineStr">
        <is>
          <t>서울시 강동구 천호동 167-73</t>
        </is>
      </c>
      <c r="AB3010" s="0" t="inlineStr">
        <is>
          <t>서울시</t>
        </is>
      </c>
      <c r="AC3010" s="0" t="inlineStr">
        <is>
          <t>강동구</t>
        </is>
      </c>
      <c r="AD3010" s="0" t="inlineStr">
        <is>
          <t>천호동</t>
        </is>
      </c>
      <c r="AG3010" s="0" t="inlineStr">
        <is>
          <t>서울시 강동구 진황도로27길 23</t>
        </is>
      </c>
      <c r="AH3010" s="0" t="n">
        <v>0</v>
      </c>
      <c r="AI3010" s="0" t="n">
        <v>399</v>
      </c>
      <c r="AJ3010" s="0" t="n">
        <v>55</v>
      </c>
      <c r="AK3010" s="0" t="n">
        <v>14</v>
      </c>
      <c r="AL3010" s="0" t="n">
        <v>0.48</v>
      </c>
    </row>
    <row r="3011">
      <c r="A3011" s="0" t="inlineStr">
        <is>
          <t>[천호동]</t>
        </is>
      </c>
      <c r="B3011" s="0" t="n">
        <v>121749</v>
      </c>
      <c r="C3011" s="0" t="n">
        <v>1</v>
      </c>
      <c r="D3011" s="0" t="inlineStr">
        <is>
          <t>가원(도시형)</t>
        </is>
      </c>
      <c r="E3011" s="0" t="inlineStr">
        <is>
          <t>2017.04.</t>
        </is>
      </c>
      <c r="F3011" s="0" t="n">
        <v>14</v>
      </c>
      <c r="G3011" s="0" t="n">
        <v>9.380000000000001</v>
      </c>
      <c r="H3011" s="0" t="n">
        <v>31.03</v>
      </c>
      <c r="I3011" s="0" t="n">
        <v>7.18</v>
      </c>
      <c r="J3011" s="0" t="n">
        <v>23.76</v>
      </c>
      <c r="K3011" s="0" t="n">
        <v>1</v>
      </c>
      <c r="T3011" s="0" t="n">
        <v>1</v>
      </c>
      <c r="U3011" s="0" t="n">
        <v>1</v>
      </c>
      <c r="V3011" s="0" t="inlineStr">
        <is>
          <t>계단식</t>
        </is>
      </c>
      <c r="W3011" s="0" t="n">
        <v>31</v>
      </c>
      <c r="X3011" s="0" t="n">
        <v>6</v>
      </c>
      <c r="Y3011" s="0" t="n">
        <v>3</v>
      </c>
      <c r="Z3011" s="0" t="inlineStr">
        <is>
          <t>https://new.land.naver.com/complexes/121749?tab=detail&amp;rf=Y</t>
        </is>
      </c>
      <c r="AA3011" s="0" t="inlineStr">
        <is>
          <t>서울시 강동구 천호동 18-6</t>
        </is>
      </c>
      <c r="AB3011" s="0" t="inlineStr">
        <is>
          <t>서울시</t>
        </is>
      </c>
      <c r="AC3011" s="0" t="inlineStr">
        <is>
          <t>강동구</t>
        </is>
      </c>
      <c r="AD3011" s="0" t="inlineStr">
        <is>
          <t>천호동</t>
        </is>
      </c>
      <c r="AG3011" s="0" t="inlineStr">
        <is>
          <t>서울시 강동구 구천면로62길 40</t>
        </is>
      </c>
      <c r="AH3011" s="0" t="n">
        <v>0</v>
      </c>
      <c r="AI3011" s="0" t="n">
        <v>193</v>
      </c>
      <c r="AJ3011" s="0" t="n">
        <v>59</v>
      </c>
      <c r="AK3011" s="0" t="n">
        <v>7</v>
      </c>
      <c r="AL3011" s="0" t="n">
        <v>0.5</v>
      </c>
    </row>
    <row r="3012">
      <c r="A3012" s="0" t="inlineStr">
        <is>
          <t>[천호동]</t>
        </is>
      </c>
      <c r="B3012" s="0" t="n">
        <v>121749</v>
      </c>
      <c r="C3012" s="0" t="n">
        <v>2</v>
      </c>
      <c r="D3012" s="0" t="inlineStr">
        <is>
          <t>가원(도시형)</t>
        </is>
      </c>
      <c r="E3012" s="0" t="inlineStr">
        <is>
          <t>2017.04.</t>
        </is>
      </c>
      <c r="F3012" s="0" t="n">
        <v>14</v>
      </c>
      <c r="G3012" s="0" t="n">
        <v>9.640000000000001</v>
      </c>
      <c r="H3012" s="0" t="n">
        <v>31.87</v>
      </c>
      <c r="I3012" s="0" t="n">
        <v>7.38</v>
      </c>
      <c r="J3012" s="0" t="n">
        <v>24.41</v>
      </c>
      <c r="K3012" s="0" t="n">
        <v>1</v>
      </c>
      <c r="T3012" s="0" t="n">
        <v>1</v>
      </c>
      <c r="U3012" s="0" t="n">
        <v>1</v>
      </c>
      <c r="V3012" s="0" t="inlineStr">
        <is>
          <t>계단식</t>
        </is>
      </c>
      <c r="W3012" s="0" t="n">
        <v>31</v>
      </c>
      <c r="X3012" s="0" t="n">
        <v>6</v>
      </c>
      <c r="Y3012" s="0" t="n">
        <v>3</v>
      </c>
      <c r="Z3012" s="0" t="inlineStr">
        <is>
          <t>https://new.land.naver.com/complexes/121749?tab=detail&amp;rf=Y</t>
        </is>
      </c>
      <c r="AA3012" s="0" t="inlineStr">
        <is>
          <t>서울시 강동구 천호동 18-6</t>
        </is>
      </c>
      <c r="AB3012" s="0" t="inlineStr">
        <is>
          <t>서울시</t>
        </is>
      </c>
      <c r="AC3012" s="0" t="inlineStr">
        <is>
          <t>강동구</t>
        </is>
      </c>
      <c r="AD3012" s="0" t="inlineStr">
        <is>
          <t>천호동</t>
        </is>
      </c>
      <c r="AG3012" s="0" t="inlineStr">
        <is>
          <t>서울시 강동구 구천면로62길 40</t>
        </is>
      </c>
      <c r="AH3012" s="0" t="n">
        <v>0</v>
      </c>
      <c r="AI3012" s="0" t="n">
        <v>193</v>
      </c>
      <c r="AJ3012" s="0" t="n">
        <v>59</v>
      </c>
      <c r="AK3012" s="0" t="n">
        <v>7</v>
      </c>
      <c r="AL3012" s="0" t="n">
        <v>0.5</v>
      </c>
    </row>
    <row r="3013">
      <c r="A3013" s="0" t="inlineStr">
        <is>
          <t>[천호동]</t>
        </is>
      </c>
      <c r="B3013" s="0" t="n">
        <v>121749</v>
      </c>
      <c r="C3013" s="0" t="n">
        <v>3</v>
      </c>
      <c r="D3013" s="0" t="inlineStr">
        <is>
          <t>가원(도시형)</t>
        </is>
      </c>
      <c r="E3013" s="0" t="inlineStr">
        <is>
          <t>2017.04.</t>
        </is>
      </c>
      <c r="F3013" s="0" t="n">
        <v>14</v>
      </c>
      <c r="G3013" s="0" t="n">
        <v>11.77</v>
      </c>
      <c r="H3013" s="0" t="n">
        <v>38.93</v>
      </c>
      <c r="I3013" s="0" t="n">
        <v>9.02</v>
      </c>
      <c r="J3013" s="0" t="n">
        <v>29.82</v>
      </c>
      <c r="K3013" s="0" t="n">
        <v>5</v>
      </c>
      <c r="T3013" s="0" t="n">
        <v>1</v>
      </c>
      <c r="U3013" s="0" t="n">
        <v>1</v>
      </c>
      <c r="V3013" s="0" t="inlineStr">
        <is>
          <t>계단식</t>
        </is>
      </c>
      <c r="W3013" s="0" t="inlineStr">
        <is>
          <t>38B</t>
        </is>
      </c>
      <c r="X3013" s="0" t="n">
        <v>6</v>
      </c>
      <c r="Y3013" s="0" t="n">
        <v>3</v>
      </c>
      <c r="Z3013" s="0" t="inlineStr">
        <is>
          <t>https://new.land.naver.com/complexes/121749?tab=detail&amp;rf=Y</t>
        </is>
      </c>
      <c r="AA3013" s="0" t="inlineStr">
        <is>
          <t>서울시 강동구 천호동 18-6</t>
        </is>
      </c>
      <c r="AB3013" s="0" t="inlineStr">
        <is>
          <t>서울시</t>
        </is>
      </c>
      <c r="AC3013" s="0" t="inlineStr">
        <is>
          <t>강동구</t>
        </is>
      </c>
      <c r="AD3013" s="0" t="inlineStr">
        <is>
          <t>천호동</t>
        </is>
      </c>
      <c r="AG3013" s="0" t="inlineStr">
        <is>
          <t>서울시 강동구 구천면로62길 40</t>
        </is>
      </c>
      <c r="AH3013" s="0" t="n">
        <v>0</v>
      </c>
      <c r="AI3013" s="0" t="n">
        <v>193</v>
      </c>
      <c r="AJ3013" s="0" t="n">
        <v>59</v>
      </c>
      <c r="AK3013" s="0" t="n">
        <v>7</v>
      </c>
      <c r="AL3013" s="0" t="n">
        <v>0.5</v>
      </c>
    </row>
    <row r="3014">
      <c r="A3014" s="0" t="inlineStr">
        <is>
          <t>[천호동]</t>
        </is>
      </c>
      <c r="B3014" s="0" t="n">
        <v>121749</v>
      </c>
      <c r="C3014" s="0" t="n">
        <v>4</v>
      </c>
      <c r="D3014" s="0" t="inlineStr">
        <is>
          <t>가원(도시형)</t>
        </is>
      </c>
      <c r="E3014" s="0" t="inlineStr">
        <is>
          <t>2017.04.</t>
        </is>
      </c>
      <c r="F3014" s="0" t="n">
        <v>14</v>
      </c>
      <c r="G3014" s="0" t="n">
        <v>11.53</v>
      </c>
      <c r="H3014" s="0" t="n">
        <v>38.12</v>
      </c>
      <c r="I3014" s="0" t="n">
        <v>8.82</v>
      </c>
      <c r="J3014" s="0" t="n">
        <v>29.19</v>
      </c>
      <c r="K3014" s="0" t="n">
        <v>2</v>
      </c>
      <c r="T3014" s="0" t="n">
        <v>1</v>
      </c>
      <c r="U3014" s="0" t="n">
        <v>1</v>
      </c>
      <c r="V3014" s="0" t="inlineStr">
        <is>
          <t>계단식</t>
        </is>
      </c>
      <c r="W3014" s="0" t="inlineStr">
        <is>
          <t>38A</t>
        </is>
      </c>
      <c r="X3014" s="0" t="n">
        <v>6</v>
      </c>
      <c r="Y3014" s="0" t="n">
        <v>3</v>
      </c>
      <c r="Z3014" s="0" t="inlineStr">
        <is>
          <t>https://new.land.naver.com/complexes/121749?tab=detail&amp;rf=Y</t>
        </is>
      </c>
      <c r="AA3014" s="0" t="inlineStr">
        <is>
          <t>서울시 강동구 천호동 18-6</t>
        </is>
      </c>
      <c r="AB3014" s="0" t="inlineStr">
        <is>
          <t>서울시</t>
        </is>
      </c>
      <c r="AC3014" s="0" t="inlineStr">
        <is>
          <t>강동구</t>
        </is>
      </c>
      <c r="AD3014" s="0" t="inlineStr">
        <is>
          <t>천호동</t>
        </is>
      </c>
      <c r="AG3014" s="0" t="inlineStr">
        <is>
          <t>서울시 강동구 구천면로62길 40</t>
        </is>
      </c>
      <c r="AH3014" s="0" t="n">
        <v>0</v>
      </c>
      <c r="AI3014" s="0" t="n">
        <v>193</v>
      </c>
      <c r="AJ3014" s="0" t="n">
        <v>59</v>
      </c>
      <c r="AK3014" s="0" t="n">
        <v>7</v>
      </c>
      <c r="AL3014" s="0" t="n">
        <v>0.5</v>
      </c>
    </row>
    <row r="3015">
      <c r="A3015" s="0" t="inlineStr">
        <is>
          <t>[천호동]</t>
        </is>
      </c>
      <c r="B3015" s="0" t="n">
        <v>121749</v>
      </c>
      <c r="C3015" s="0" t="n">
        <v>5</v>
      </c>
      <c r="D3015" s="0" t="inlineStr">
        <is>
          <t>가원(도시형)</t>
        </is>
      </c>
      <c r="E3015" s="0" t="inlineStr">
        <is>
          <t>2017.04.</t>
        </is>
      </c>
      <c r="F3015" s="0" t="n">
        <v>14</v>
      </c>
      <c r="G3015" s="0" t="n">
        <v>11.8</v>
      </c>
      <c r="H3015" s="0" t="n">
        <v>39.01</v>
      </c>
      <c r="I3015" s="0" t="n">
        <v>9.029999999999999</v>
      </c>
      <c r="J3015" s="0" t="n">
        <v>29.88</v>
      </c>
      <c r="K3015" s="0" t="n">
        <v>2</v>
      </c>
      <c r="T3015" s="0" t="n">
        <v>1</v>
      </c>
      <c r="U3015" s="0" t="n">
        <v>1</v>
      </c>
      <c r="V3015" s="0" t="inlineStr">
        <is>
          <t>계단식</t>
        </is>
      </c>
      <c r="W3015" s="0" t="inlineStr">
        <is>
          <t>39C</t>
        </is>
      </c>
      <c r="X3015" s="0" t="n">
        <v>6</v>
      </c>
      <c r="Y3015" s="0" t="n">
        <v>3</v>
      </c>
      <c r="Z3015" s="0" t="inlineStr">
        <is>
          <t>https://new.land.naver.com/complexes/121749?tab=detail&amp;rf=Y</t>
        </is>
      </c>
      <c r="AA3015" s="0" t="inlineStr">
        <is>
          <t>서울시 강동구 천호동 18-6</t>
        </is>
      </c>
      <c r="AB3015" s="0" t="inlineStr">
        <is>
          <t>서울시</t>
        </is>
      </c>
      <c r="AC3015" s="0" t="inlineStr">
        <is>
          <t>강동구</t>
        </is>
      </c>
      <c r="AD3015" s="0" t="inlineStr">
        <is>
          <t>천호동</t>
        </is>
      </c>
      <c r="AG3015" s="0" t="inlineStr">
        <is>
          <t>서울시 강동구 구천면로62길 40</t>
        </is>
      </c>
      <c r="AH3015" s="0" t="n">
        <v>0</v>
      </c>
      <c r="AI3015" s="0" t="n">
        <v>193</v>
      </c>
      <c r="AJ3015" s="0" t="n">
        <v>59</v>
      </c>
      <c r="AK3015" s="0" t="n">
        <v>7</v>
      </c>
      <c r="AL3015" s="0" t="n">
        <v>0.5</v>
      </c>
    </row>
    <row r="3016">
      <c r="A3016" s="0" t="inlineStr">
        <is>
          <t>[천호동]</t>
        </is>
      </c>
      <c r="B3016" s="0" t="n">
        <v>121749</v>
      </c>
      <c r="C3016" s="0" t="n">
        <v>6</v>
      </c>
      <c r="D3016" s="0" t="inlineStr">
        <is>
          <t>가원(도시형)</t>
        </is>
      </c>
      <c r="E3016" s="0" t="inlineStr">
        <is>
          <t>2017.04.</t>
        </is>
      </c>
      <c r="F3016" s="0" t="n">
        <v>14</v>
      </c>
      <c r="G3016" s="0" t="n">
        <v>13.06</v>
      </c>
      <c r="H3016" s="0" t="n">
        <v>43.2</v>
      </c>
      <c r="I3016" s="0" t="n">
        <v>10</v>
      </c>
      <c r="J3016" s="0" t="n">
        <v>33.09</v>
      </c>
      <c r="K3016" s="0" t="n">
        <v>2</v>
      </c>
      <c r="T3016" s="0" t="n">
        <v>1</v>
      </c>
      <c r="U3016" s="0" t="n">
        <v>1</v>
      </c>
      <c r="V3016" s="0" t="inlineStr">
        <is>
          <t>계단식</t>
        </is>
      </c>
      <c r="W3016" s="0" t="inlineStr">
        <is>
          <t>43A</t>
        </is>
      </c>
      <c r="X3016" s="0" t="n">
        <v>6</v>
      </c>
      <c r="Y3016" s="0" t="n">
        <v>3</v>
      </c>
      <c r="Z3016" s="0" t="inlineStr">
        <is>
          <t>https://new.land.naver.com/complexes/121749?tab=detail&amp;rf=Y</t>
        </is>
      </c>
      <c r="AA3016" s="0" t="inlineStr">
        <is>
          <t>서울시 강동구 천호동 18-6</t>
        </is>
      </c>
      <c r="AB3016" s="0" t="inlineStr">
        <is>
          <t>서울시</t>
        </is>
      </c>
      <c r="AC3016" s="0" t="inlineStr">
        <is>
          <t>강동구</t>
        </is>
      </c>
      <c r="AD3016" s="0" t="inlineStr">
        <is>
          <t>천호동</t>
        </is>
      </c>
      <c r="AG3016" s="0" t="inlineStr">
        <is>
          <t>서울시 강동구 구천면로62길 40</t>
        </is>
      </c>
      <c r="AH3016" s="0" t="n">
        <v>0</v>
      </c>
      <c r="AI3016" s="0" t="n">
        <v>193</v>
      </c>
      <c r="AJ3016" s="0" t="n">
        <v>59</v>
      </c>
      <c r="AK3016" s="0" t="n">
        <v>7</v>
      </c>
      <c r="AL3016" s="0" t="n">
        <v>0.5</v>
      </c>
    </row>
    <row r="3017">
      <c r="A3017" s="0" t="inlineStr">
        <is>
          <t>[천호동]</t>
        </is>
      </c>
      <c r="B3017" s="0" t="n">
        <v>121749</v>
      </c>
      <c r="C3017" s="0" t="n">
        <v>7</v>
      </c>
      <c r="D3017" s="0" t="inlineStr">
        <is>
          <t>가원(도시형)</t>
        </is>
      </c>
      <c r="E3017" s="0" t="inlineStr">
        <is>
          <t>2017.04.</t>
        </is>
      </c>
      <c r="F3017" s="0" t="n">
        <v>14</v>
      </c>
      <c r="G3017" s="0" t="n">
        <v>13.11</v>
      </c>
      <c r="H3017" s="0" t="n">
        <v>43.35</v>
      </c>
      <c r="I3017" s="0" t="n">
        <v>10.04</v>
      </c>
      <c r="J3017" s="0" t="n">
        <v>33.2</v>
      </c>
      <c r="K3017" s="0" t="n">
        <v>1</v>
      </c>
      <c r="T3017" s="0" t="n">
        <v>1</v>
      </c>
      <c r="U3017" s="0" t="n">
        <v>1</v>
      </c>
      <c r="V3017" s="0" t="inlineStr">
        <is>
          <t>계단식</t>
        </is>
      </c>
      <c r="W3017" s="0" t="inlineStr">
        <is>
          <t>43B</t>
        </is>
      </c>
      <c r="X3017" s="0" t="n">
        <v>6</v>
      </c>
      <c r="Y3017" s="0" t="n">
        <v>3</v>
      </c>
      <c r="Z3017" s="0" t="inlineStr">
        <is>
          <t>https://new.land.naver.com/complexes/121749?tab=detail&amp;rf=Y</t>
        </is>
      </c>
      <c r="AA3017" s="0" t="inlineStr">
        <is>
          <t>서울시 강동구 천호동 18-6</t>
        </is>
      </c>
      <c r="AB3017" s="0" t="inlineStr">
        <is>
          <t>서울시</t>
        </is>
      </c>
      <c r="AC3017" s="0" t="inlineStr">
        <is>
          <t>강동구</t>
        </is>
      </c>
      <c r="AD3017" s="0" t="inlineStr">
        <is>
          <t>천호동</t>
        </is>
      </c>
      <c r="AG3017" s="0" t="inlineStr">
        <is>
          <t>서울시 강동구 구천면로62길 40</t>
        </is>
      </c>
      <c r="AH3017" s="0" t="n">
        <v>0</v>
      </c>
      <c r="AI3017" s="0" t="n">
        <v>193</v>
      </c>
      <c r="AJ3017" s="0" t="n">
        <v>59</v>
      </c>
      <c r="AK3017" s="0" t="n">
        <v>7</v>
      </c>
      <c r="AL3017" s="0" t="n">
        <v>0.5</v>
      </c>
    </row>
    <row r="3018">
      <c r="A3018" s="0" t="inlineStr">
        <is>
          <t>[천호동]</t>
        </is>
      </c>
      <c r="B3018" s="0" t="n">
        <v>122221</v>
      </c>
      <c r="C3018" s="0" t="n">
        <v>1</v>
      </c>
      <c r="D3018" s="0" t="inlineStr">
        <is>
          <t>샤인트리움(도시형)</t>
        </is>
      </c>
      <c r="E3018" s="0" t="inlineStr">
        <is>
          <t>2016.05.</t>
        </is>
      </c>
      <c r="F3018" s="0" t="n">
        <v>9</v>
      </c>
      <c r="G3018" s="0" t="n">
        <v>10.37</v>
      </c>
      <c r="H3018" s="0" t="n">
        <v>34.29</v>
      </c>
      <c r="I3018" s="0" t="n">
        <v>7.73</v>
      </c>
      <c r="J3018" s="0" t="n">
        <v>25.58</v>
      </c>
      <c r="K3018" s="0" t="n">
        <v>1</v>
      </c>
      <c r="T3018" s="0" t="n">
        <v>1</v>
      </c>
      <c r="U3018" s="0" t="n">
        <v>1</v>
      </c>
      <c r="V3018" s="0" t="inlineStr">
        <is>
          <t>계단식</t>
        </is>
      </c>
      <c r="W3018" s="0" t="inlineStr">
        <is>
          <t>34A</t>
        </is>
      </c>
      <c r="X3018" s="0" t="n">
        <v>6</v>
      </c>
      <c r="Y3018" s="0" t="n">
        <v>5</v>
      </c>
      <c r="Z3018" s="0" t="inlineStr">
        <is>
          <t>https://new.land.naver.com/complexes/122221?tab=detail&amp;rf=Y</t>
        </is>
      </c>
      <c r="AA3018" s="0" t="inlineStr">
        <is>
          <t>서울시 강동구 천호동 18-16</t>
        </is>
      </c>
      <c r="AB3018" s="0" t="inlineStr">
        <is>
          <t>서울시</t>
        </is>
      </c>
      <c r="AC3018" s="0" t="inlineStr">
        <is>
          <t>강동구</t>
        </is>
      </c>
      <c r="AD3018" s="0" t="inlineStr">
        <is>
          <t>천호동</t>
        </is>
      </c>
      <c r="AG3018" s="0" t="inlineStr">
        <is>
          <t>서울시 강동구 양재대로133길 77</t>
        </is>
      </c>
      <c r="AH3018" s="0" t="n">
        <v>0</v>
      </c>
      <c r="AI3018" s="0" t="n">
        <v>199</v>
      </c>
      <c r="AJ3018" s="0" t="n">
        <v>52</v>
      </c>
      <c r="AK3018" s="0" t="n">
        <v>7</v>
      </c>
      <c r="AL3018" s="0" t="n">
        <v>0.78</v>
      </c>
    </row>
    <row r="3019">
      <c r="A3019" s="0" t="inlineStr">
        <is>
          <t>[천호동]</t>
        </is>
      </c>
      <c r="B3019" s="0" t="n">
        <v>122221</v>
      </c>
      <c r="C3019" s="0" t="n">
        <v>2</v>
      </c>
      <c r="D3019" s="0" t="inlineStr">
        <is>
          <t>샤인트리움(도시형)</t>
        </is>
      </c>
      <c r="E3019" s="0" t="inlineStr">
        <is>
          <t>2016.05.</t>
        </is>
      </c>
      <c r="F3019" s="0" t="n">
        <v>9</v>
      </c>
      <c r="G3019" s="0" t="n">
        <v>10.38</v>
      </c>
      <c r="H3019" s="0" t="n">
        <v>34.32</v>
      </c>
      <c r="I3019" s="0" t="n">
        <v>7.74</v>
      </c>
      <c r="J3019" s="0" t="n">
        <v>25.6</v>
      </c>
      <c r="K3019" s="0" t="n">
        <v>1</v>
      </c>
      <c r="T3019" s="0" t="n">
        <v>1</v>
      </c>
      <c r="U3019" s="0" t="n">
        <v>1</v>
      </c>
      <c r="V3019" s="0" t="inlineStr">
        <is>
          <t>계단식</t>
        </is>
      </c>
      <c r="W3019" s="0" t="inlineStr">
        <is>
          <t>34B</t>
        </is>
      </c>
      <c r="X3019" s="0" t="n">
        <v>6</v>
      </c>
      <c r="Y3019" s="0" t="n">
        <v>5</v>
      </c>
      <c r="Z3019" s="0" t="inlineStr">
        <is>
          <t>https://new.land.naver.com/complexes/122221?tab=detail&amp;rf=Y</t>
        </is>
      </c>
      <c r="AA3019" s="0" t="inlineStr">
        <is>
          <t>서울시 강동구 천호동 18-16</t>
        </is>
      </c>
      <c r="AB3019" s="0" t="inlineStr">
        <is>
          <t>서울시</t>
        </is>
      </c>
      <c r="AC3019" s="0" t="inlineStr">
        <is>
          <t>강동구</t>
        </is>
      </c>
      <c r="AD3019" s="0" t="inlineStr">
        <is>
          <t>천호동</t>
        </is>
      </c>
      <c r="AG3019" s="0" t="inlineStr">
        <is>
          <t>서울시 강동구 양재대로133길 77</t>
        </is>
      </c>
      <c r="AH3019" s="0" t="n">
        <v>0</v>
      </c>
      <c r="AI3019" s="0" t="n">
        <v>199</v>
      </c>
      <c r="AJ3019" s="0" t="n">
        <v>52</v>
      </c>
      <c r="AK3019" s="0" t="n">
        <v>7</v>
      </c>
      <c r="AL3019" s="0" t="n">
        <v>0.78</v>
      </c>
    </row>
    <row r="3020">
      <c r="A3020" s="0" t="inlineStr">
        <is>
          <t>[천호동]</t>
        </is>
      </c>
      <c r="B3020" s="0" t="n">
        <v>122221</v>
      </c>
      <c r="C3020" s="0" t="n">
        <v>3</v>
      </c>
      <c r="D3020" s="0" t="inlineStr">
        <is>
          <t>샤인트리움(도시형)</t>
        </is>
      </c>
      <c r="E3020" s="0" t="inlineStr">
        <is>
          <t>2016.05.</t>
        </is>
      </c>
      <c r="F3020" s="0" t="n">
        <v>9</v>
      </c>
      <c r="G3020" s="0" t="n">
        <v>11.39</v>
      </c>
      <c r="H3020" s="0" t="n">
        <v>37.67</v>
      </c>
      <c r="I3020" s="0" t="n">
        <v>8.49</v>
      </c>
      <c r="J3020" s="0" t="n">
        <v>28.09</v>
      </c>
      <c r="K3020" s="0" t="n">
        <v>3</v>
      </c>
      <c r="T3020" s="0" t="n">
        <v>1</v>
      </c>
      <c r="U3020" s="0" t="n">
        <v>1</v>
      </c>
      <c r="V3020" s="0" t="inlineStr">
        <is>
          <t>계단식</t>
        </is>
      </c>
      <c r="W3020" s="0" t="n">
        <v>37</v>
      </c>
      <c r="X3020" s="0" t="n">
        <v>6</v>
      </c>
      <c r="Y3020" s="0" t="n">
        <v>5</v>
      </c>
      <c r="Z3020" s="0" t="inlineStr">
        <is>
          <t>https://new.land.naver.com/complexes/122221?tab=detail&amp;rf=Y</t>
        </is>
      </c>
      <c r="AA3020" s="0" t="inlineStr">
        <is>
          <t>서울시 강동구 천호동 18-16</t>
        </is>
      </c>
      <c r="AB3020" s="0" t="inlineStr">
        <is>
          <t>서울시</t>
        </is>
      </c>
      <c r="AC3020" s="0" t="inlineStr">
        <is>
          <t>강동구</t>
        </is>
      </c>
      <c r="AD3020" s="0" t="inlineStr">
        <is>
          <t>천호동</t>
        </is>
      </c>
      <c r="AG3020" s="0" t="inlineStr">
        <is>
          <t>서울시 강동구 양재대로133길 77</t>
        </is>
      </c>
      <c r="AH3020" s="0" t="n">
        <v>0</v>
      </c>
      <c r="AI3020" s="0" t="n">
        <v>199</v>
      </c>
      <c r="AJ3020" s="0" t="n">
        <v>52</v>
      </c>
      <c r="AK3020" s="0" t="n">
        <v>7</v>
      </c>
      <c r="AL3020" s="0" t="n">
        <v>0.78</v>
      </c>
    </row>
    <row r="3021">
      <c r="A3021" s="0" t="inlineStr">
        <is>
          <t>[천호동]</t>
        </is>
      </c>
      <c r="B3021" s="0" t="n">
        <v>122221</v>
      </c>
      <c r="C3021" s="0" t="n">
        <v>4</v>
      </c>
      <c r="D3021" s="0" t="inlineStr">
        <is>
          <t>샤인트리움(도시형)</t>
        </is>
      </c>
      <c r="E3021" s="0" t="inlineStr">
        <is>
          <t>2016.05.</t>
        </is>
      </c>
      <c r="F3021" s="0" t="n">
        <v>9</v>
      </c>
      <c r="G3021" s="0" t="n">
        <v>11.91</v>
      </c>
      <c r="H3021" s="0" t="n">
        <v>39.38</v>
      </c>
      <c r="I3021" s="0" t="n">
        <v>8.880000000000001</v>
      </c>
      <c r="J3021" s="0" t="n">
        <v>29.36</v>
      </c>
      <c r="K3021" s="0" t="n">
        <v>3</v>
      </c>
      <c r="T3021" s="0" t="n">
        <v>1</v>
      </c>
      <c r="U3021" s="0" t="n">
        <v>1</v>
      </c>
      <c r="V3021" s="0" t="inlineStr">
        <is>
          <t>계단식</t>
        </is>
      </c>
      <c r="W3021" s="0" t="n">
        <v>39</v>
      </c>
      <c r="X3021" s="0" t="n">
        <v>6</v>
      </c>
      <c r="Y3021" s="0" t="n">
        <v>5</v>
      </c>
      <c r="Z3021" s="0" t="inlineStr">
        <is>
          <t>https://new.land.naver.com/complexes/122221?tab=detail&amp;rf=Y</t>
        </is>
      </c>
      <c r="AA3021" s="0" t="inlineStr">
        <is>
          <t>서울시 강동구 천호동 18-16</t>
        </is>
      </c>
      <c r="AB3021" s="0" t="inlineStr">
        <is>
          <t>서울시</t>
        </is>
      </c>
      <c r="AC3021" s="0" t="inlineStr">
        <is>
          <t>강동구</t>
        </is>
      </c>
      <c r="AD3021" s="0" t="inlineStr">
        <is>
          <t>천호동</t>
        </is>
      </c>
      <c r="AG3021" s="0" t="inlineStr">
        <is>
          <t>서울시 강동구 양재대로133길 77</t>
        </is>
      </c>
      <c r="AH3021" s="0" t="n">
        <v>0</v>
      </c>
      <c r="AI3021" s="0" t="n">
        <v>199</v>
      </c>
      <c r="AJ3021" s="0" t="n">
        <v>52</v>
      </c>
      <c r="AK3021" s="0" t="n">
        <v>7</v>
      </c>
      <c r="AL3021" s="0" t="n">
        <v>0.78</v>
      </c>
    </row>
    <row r="3022">
      <c r="A3022" s="0" t="inlineStr">
        <is>
          <t>[천호동]</t>
        </is>
      </c>
      <c r="B3022" s="0" t="n">
        <v>122221</v>
      </c>
      <c r="C3022" s="0" t="n">
        <v>5</v>
      </c>
      <c r="D3022" s="0" t="inlineStr">
        <is>
          <t>샤인트리움(도시형)</t>
        </is>
      </c>
      <c r="E3022" s="0" t="inlineStr">
        <is>
          <t>2016.05.</t>
        </is>
      </c>
      <c r="F3022" s="0" t="n">
        <v>9</v>
      </c>
      <c r="G3022" s="0" t="n">
        <v>13.24</v>
      </c>
      <c r="H3022" s="0" t="n">
        <v>43.78</v>
      </c>
      <c r="I3022" s="0" t="n">
        <v>9.869999999999999</v>
      </c>
      <c r="J3022" s="0" t="n">
        <v>32.65</v>
      </c>
      <c r="K3022" s="0" t="n">
        <v>1</v>
      </c>
      <c r="T3022" s="0" t="n">
        <v>1</v>
      </c>
      <c r="U3022" s="0" t="n">
        <v>1</v>
      </c>
      <c r="V3022" s="0" t="inlineStr">
        <is>
          <t>계단식</t>
        </is>
      </c>
      <c r="W3022" s="0" t="n">
        <v>43</v>
      </c>
      <c r="X3022" s="0" t="n">
        <v>6</v>
      </c>
      <c r="Y3022" s="0" t="n">
        <v>5</v>
      </c>
      <c r="Z3022" s="0" t="inlineStr">
        <is>
          <t>https://new.land.naver.com/complexes/122221?tab=detail&amp;rf=Y</t>
        </is>
      </c>
      <c r="AA3022" s="0" t="inlineStr">
        <is>
          <t>서울시 강동구 천호동 18-16</t>
        </is>
      </c>
      <c r="AB3022" s="0" t="inlineStr">
        <is>
          <t>서울시</t>
        </is>
      </c>
      <c r="AC3022" s="0" t="inlineStr">
        <is>
          <t>강동구</t>
        </is>
      </c>
      <c r="AD3022" s="0" t="inlineStr">
        <is>
          <t>천호동</t>
        </is>
      </c>
      <c r="AG3022" s="0" t="inlineStr">
        <is>
          <t>서울시 강동구 양재대로133길 77</t>
        </is>
      </c>
      <c r="AH3022" s="0" t="n">
        <v>0</v>
      </c>
      <c r="AI3022" s="0" t="n">
        <v>199</v>
      </c>
      <c r="AJ3022" s="0" t="n">
        <v>52</v>
      </c>
      <c r="AK3022" s="0" t="n">
        <v>7</v>
      </c>
      <c r="AL3022" s="0" t="n">
        <v>0.78</v>
      </c>
    </row>
    <row r="3023">
      <c r="A3023" s="0" t="inlineStr">
        <is>
          <t>[천호동]</t>
        </is>
      </c>
      <c r="B3023" s="0" t="n">
        <v>126810</v>
      </c>
      <c r="C3023" s="0" t="n">
        <v>1</v>
      </c>
      <c r="D3023" s="0" t="inlineStr">
        <is>
          <t>집앤사스윗사이드(도시형)</t>
        </is>
      </c>
      <c r="E3023" s="0" t="inlineStr">
        <is>
          <t>2019.07.</t>
        </is>
      </c>
      <c r="F3023" s="0" t="n">
        <v>76</v>
      </c>
      <c r="G3023" s="0" t="n">
        <v>6.4</v>
      </c>
      <c r="H3023" s="0" t="n">
        <v>21.19</v>
      </c>
      <c r="I3023" s="0" t="n">
        <v>4.24</v>
      </c>
      <c r="J3023" s="0" t="n">
        <v>14.02</v>
      </c>
      <c r="K3023" s="0" t="n">
        <v>72</v>
      </c>
      <c r="T3023" s="0" t="n">
        <v>1</v>
      </c>
      <c r="U3023" s="0" t="n">
        <v>1</v>
      </c>
      <c r="V3023" s="0" t="inlineStr">
        <is>
          <t>복도식</t>
        </is>
      </c>
      <c r="W3023" s="0" t="n">
        <v>21</v>
      </c>
      <c r="X3023" s="0" t="n">
        <v>7</v>
      </c>
      <c r="Y3023" s="0" t="n">
        <v>5</v>
      </c>
      <c r="Z3023" s="0" t="inlineStr">
        <is>
          <t>https://new.land.naver.com/complexes/126810?tab=detail&amp;rf=Y</t>
        </is>
      </c>
      <c r="AA3023" s="0" t="inlineStr">
        <is>
          <t>서울시 강동구 천호동 328-1</t>
        </is>
      </c>
      <c r="AB3023" s="0" t="inlineStr">
        <is>
          <t>서울시</t>
        </is>
      </c>
      <c r="AC3023" s="0" t="inlineStr">
        <is>
          <t>강동구</t>
        </is>
      </c>
      <c r="AD3023" s="0" t="inlineStr">
        <is>
          <t>천호동</t>
        </is>
      </c>
      <c r="AG3023" s="0" t="inlineStr">
        <is>
          <t>서울시 강동구 천중로 6</t>
        </is>
      </c>
      <c r="AH3023" s="0" t="n">
        <v>0</v>
      </c>
      <c r="AI3023" s="0" t="n">
        <v>199</v>
      </c>
      <c r="AJ3023" s="0" t="n">
        <v>49</v>
      </c>
      <c r="AK3023" s="0" t="n">
        <v>36</v>
      </c>
      <c r="AL3023" s="0" t="n">
        <v>0.47</v>
      </c>
    </row>
    <row r="3024">
      <c r="A3024" s="0" t="inlineStr">
        <is>
          <t>[천호동]</t>
        </is>
      </c>
      <c r="B3024" s="0" t="n">
        <v>126810</v>
      </c>
      <c r="C3024" s="0" t="n">
        <v>2</v>
      </c>
      <c r="D3024" s="0" t="inlineStr">
        <is>
          <t>집앤사스윗사이드(도시형)</t>
        </is>
      </c>
      <c r="E3024" s="0" t="inlineStr">
        <is>
          <t>2019.07.</t>
        </is>
      </c>
      <c r="F3024" s="0" t="n">
        <v>76</v>
      </c>
      <c r="G3024" s="0" t="n">
        <v>6.51</v>
      </c>
      <c r="H3024" s="0" t="n">
        <v>21.54</v>
      </c>
      <c r="I3024" s="0" t="n">
        <v>4.23</v>
      </c>
      <c r="J3024" s="0" t="n">
        <v>14.01</v>
      </c>
      <c r="K3024" s="0" t="n">
        <v>4</v>
      </c>
      <c r="T3024" s="0" t="n">
        <v>1</v>
      </c>
      <c r="U3024" s="0" t="n">
        <v>1</v>
      </c>
      <c r="V3024" s="0" t="inlineStr">
        <is>
          <t>복도식</t>
        </is>
      </c>
      <c r="W3024" s="0" t="n">
        <v>21</v>
      </c>
      <c r="X3024" s="0" t="n">
        <v>7</v>
      </c>
      <c r="Y3024" s="0" t="n">
        <v>5</v>
      </c>
      <c r="Z3024" s="0" t="inlineStr">
        <is>
          <t>https://new.land.naver.com/complexes/126810?tab=detail&amp;rf=Y</t>
        </is>
      </c>
      <c r="AA3024" s="0" t="inlineStr">
        <is>
          <t>서울시 강동구 천호동 328-1</t>
        </is>
      </c>
      <c r="AB3024" s="0" t="inlineStr">
        <is>
          <t>서울시</t>
        </is>
      </c>
      <c r="AC3024" s="0" t="inlineStr">
        <is>
          <t>강동구</t>
        </is>
      </c>
      <c r="AD3024" s="0" t="inlineStr">
        <is>
          <t>천호동</t>
        </is>
      </c>
      <c r="AG3024" s="0" t="inlineStr">
        <is>
          <t>서울시 강동구 천중로 6</t>
        </is>
      </c>
      <c r="AH3024" s="0" t="n">
        <v>0</v>
      </c>
      <c r="AI3024" s="0" t="n">
        <v>199</v>
      </c>
      <c r="AJ3024" s="0" t="n">
        <v>49</v>
      </c>
      <c r="AK3024" s="0" t="n">
        <v>36</v>
      </c>
      <c r="AL3024" s="0" t="n">
        <v>0.47</v>
      </c>
    </row>
    <row r="3025">
      <c r="A3025" s="0" t="inlineStr">
        <is>
          <t>[천호동]</t>
        </is>
      </c>
      <c r="B3025" s="0" t="n">
        <v>1335</v>
      </c>
      <c r="C3025" s="0" t="n">
        <v>1</v>
      </c>
      <c r="D3025" s="0" t="inlineStr">
        <is>
          <t>한신</t>
        </is>
      </c>
      <c r="E3025" s="0" t="inlineStr">
        <is>
          <t>1991.03.</t>
        </is>
      </c>
      <c r="F3025" s="0" t="n">
        <v>224</v>
      </c>
      <c r="G3025" s="0" t="n">
        <v>14.84</v>
      </c>
      <c r="H3025" s="0" t="n">
        <v>49.06</v>
      </c>
      <c r="I3025" s="0" t="n">
        <v>11.22</v>
      </c>
      <c r="J3025" s="0" t="n">
        <v>37.1</v>
      </c>
      <c r="K3025" s="0" t="n">
        <v>27</v>
      </c>
      <c r="T3025" s="0" t="n">
        <v>2</v>
      </c>
      <c r="U3025" s="0" t="n">
        <v>1</v>
      </c>
      <c r="V3025" s="0" t="inlineStr">
        <is>
          <t>복도식</t>
        </is>
      </c>
      <c r="W3025" s="0" t="n">
        <v>49</v>
      </c>
      <c r="X3025" s="0" t="n">
        <v>15</v>
      </c>
      <c r="Y3025" s="0" t="n">
        <v>8</v>
      </c>
      <c r="Z3025" s="0" t="inlineStr">
        <is>
          <t>https://new.land.naver.com/complexes/1335?tab=detail&amp;rf=Y</t>
        </is>
      </c>
      <c r="AA3025" s="0" t="inlineStr">
        <is>
          <t>서울시 강동구 천호동 237</t>
        </is>
      </c>
      <c r="AB3025" s="0" t="inlineStr">
        <is>
          <t>서울시</t>
        </is>
      </c>
      <c r="AC3025" s="0" t="inlineStr">
        <is>
          <t>강동구</t>
        </is>
      </c>
      <c r="AD3025" s="0" t="inlineStr">
        <is>
          <t>천호동</t>
        </is>
      </c>
      <c r="AG3025" s="0" t="inlineStr">
        <is>
          <t>서울시 강동구 구천면로42길 16</t>
        </is>
      </c>
      <c r="AH3025" s="0" t="n">
        <v>0</v>
      </c>
      <c r="AI3025" s="0" t="n">
        <v>240</v>
      </c>
      <c r="AJ3025" s="0" t="n">
        <v>21</v>
      </c>
      <c r="AK3025" s="0" t="n">
        <v>84</v>
      </c>
      <c r="AL3025" s="0" t="n">
        <v>0.38</v>
      </c>
    </row>
    <row r="3026">
      <c r="A3026" s="0" t="inlineStr">
        <is>
          <t>[천호동]</t>
        </is>
      </c>
      <c r="B3026" s="0" t="n">
        <v>1335</v>
      </c>
      <c r="C3026" s="0" t="n">
        <v>2</v>
      </c>
      <c r="D3026" s="0" t="inlineStr">
        <is>
          <t>한신</t>
        </is>
      </c>
      <c r="E3026" s="0" t="inlineStr">
        <is>
          <t>1991.03.</t>
        </is>
      </c>
      <c r="F3026" s="0" t="n">
        <v>224</v>
      </c>
      <c r="G3026" s="0" t="n">
        <v>18.75</v>
      </c>
      <c r="H3026" s="0" t="n">
        <v>62.01</v>
      </c>
      <c r="I3026" s="0" t="n">
        <v>14.18</v>
      </c>
      <c r="J3026" s="0" t="n">
        <v>46.9</v>
      </c>
      <c r="K3026" s="0" t="n">
        <v>27</v>
      </c>
      <c r="T3026" s="0" t="n">
        <v>3</v>
      </c>
      <c r="U3026" s="0" t="n">
        <v>1</v>
      </c>
      <c r="V3026" s="0" t="inlineStr">
        <is>
          <t>복도식</t>
        </is>
      </c>
      <c r="W3026" s="0" t="n">
        <v>62</v>
      </c>
      <c r="X3026" s="0" t="n">
        <v>15</v>
      </c>
      <c r="Y3026" s="0" t="n">
        <v>8</v>
      </c>
      <c r="Z3026" s="0" t="inlineStr">
        <is>
          <t>https://new.land.naver.com/complexes/1335?tab=detail&amp;rf=Y</t>
        </is>
      </c>
      <c r="AA3026" s="0" t="inlineStr">
        <is>
          <t>서울시 강동구 천호동 237</t>
        </is>
      </c>
      <c r="AB3026" s="0" t="inlineStr">
        <is>
          <t>서울시</t>
        </is>
      </c>
      <c r="AC3026" s="0" t="inlineStr">
        <is>
          <t>강동구</t>
        </is>
      </c>
      <c r="AD3026" s="0" t="inlineStr">
        <is>
          <t>천호동</t>
        </is>
      </c>
      <c r="AG3026" s="0" t="inlineStr">
        <is>
          <t>서울시 강동구 구천면로42길 16</t>
        </is>
      </c>
      <c r="AH3026" s="0" t="n">
        <v>0</v>
      </c>
      <c r="AI3026" s="0" t="n">
        <v>240</v>
      </c>
      <c r="AJ3026" s="0" t="n">
        <v>21</v>
      </c>
      <c r="AK3026" s="0" t="n">
        <v>84</v>
      </c>
      <c r="AL3026" s="0" t="n">
        <v>0.38</v>
      </c>
    </row>
    <row r="3027">
      <c r="A3027" s="0" t="inlineStr">
        <is>
          <t>[천호동]</t>
        </is>
      </c>
      <c r="B3027" s="0" t="n">
        <v>1335</v>
      </c>
      <c r="C3027" s="0" t="n">
        <v>3</v>
      </c>
      <c r="D3027" s="0" t="inlineStr">
        <is>
          <t>한신</t>
        </is>
      </c>
      <c r="E3027" s="0" t="inlineStr">
        <is>
          <t>1991.03.</t>
        </is>
      </c>
      <c r="F3027" s="0" t="n">
        <v>224</v>
      </c>
      <c r="G3027" s="0" t="n">
        <v>23.13</v>
      </c>
      <c r="H3027" s="0" t="n">
        <v>76.47</v>
      </c>
      <c r="I3027" s="0" t="n">
        <v>17.49</v>
      </c>
      <c r="J3027" s="0" t="n">
        <v>57.84</v>
      </c>
      <c r="K3027" s="0" t="n">
        <v>46</v>
      </c>
      <c r="T3027" s="0" t="n">
        <v>3</v>
      </c>
      <c r="U3027" s="0" t="n">
        <v>1</v>
      </c>
      <c r="V3027" s="0" t="inlineStr">
        <is>
          <t>복도식</t>
        </is>
      </c>
      <c r="W3027" s="0" t="inlineStr">
        <is>
          <t>76D</t>
        </is>
      </c>
      <c r="X3027" s="0" t="n">
        <v>15</v>
      </c>
      <c r="Y3027" s="0" t="n">
        <v>8</v>
      </c>
      <c r="Z3027" s="0" t="inlineStr">
        <is>
          <t>https://new.land.naver.com/complexes/1335?tab=detail&amp;rf=Y</t>
        </is>
      </c>
      <c r="AA3027" s="0" t="inlineStr">
        <is>
          <t>서울시 강동구 천호동 237</t>
        </is>
      </c>
      <c r="AB3027" s="0" t="inlineStr">
        <is>
          <t>서울시</t>
        </is>
      </c>
      <c r="AC3027" s="0" t="inlineStr">
        <is>
          <t>강동구</t>
        </is>
      </c>
      <c r="AD3027" s="0" t="inlineStr">
        <is>
          <t>천호동</t>
        </is>
      </c>
      <c r="AG3027" s="0" t="inlineStr">
        <is>
          <t>서울시 강동구 구천면로42길 16</t>
        </is>
      </c>
      <c r="AH3027" s="0" t="n">
        <v>0</v>
      </c>
      <c r="AI3027" s="0" t="n">
        <v>240</v>
      </c>
      <c r="AJ3027" s="0" t="n">
        <v>21</v>
      </c>
      <c r="AK3027" s="0" t="n">
        <v>84</v>
      </c>
      <c r="AL3027" s="0" t="n">
        <v>0.38</v>
      </c>
    </row>
    <row r="3028">
      <c r="A3028" s="0" t="inlineStr">
        <is>
          <t>[천호동]</t>
        </is>
      </c>
      <c r="B3028" s="0" t="n">
        <v>1335</v>
      </c>
      <c r="C3028" s="0" t="n">
        <v>4</v>
      </c>
      <c r="D3028" s="0" t="inlineStr">
        <is>
          <t>한신</t>
        </is>
      </c>
      <c r="E3028" s="0" t="inlineStr">
        <is>
          <t>1991.03.</t>
        </is>
      </c>
      <c r="F3028" s="0" t="n">
        <v>224</v>
      </c>
      <c r="G3028" s="0" t="n">
        <v>23.22</v>
      </c>
      <c r="H3028" s="0" t="n">
        <v>76.79000000000001</v>
      </c>
      <c r="I3028" s="0" t="n">
        <v>17.56</v>
      </c>
      <c r="J3028" s="0" t="n">
        <v>58.08</v>
      </c>
      <c r="K3028" s="0" t="n">
        <v>39</v>
      </c>
      <c r="T3028" s="0" t="n">
        <v>3</v>
      </c>
      <c r="U3028" s="0" t="n">
        <v>1</v>
      </c>
      <c r="V3028" s="0" t="inlineStr">
        <is>
          <t>복도식</t>
        </is>
      </c>
      <c r="W3028" s="0" t="inlineStr">
        <is>
          <t>76D1</t>
        </is>
      </c>
      <c r="X3028" s="0" t="n">
        <v>15</v>
      </c>
      <c r="Y3028" s="0" t="n">
        <v>8</v>
      </c>
      <c r="Z3028" s="0" t="inlineStr">
        <is>
          <t>https://new.land.naver.com/complexes/1335?tab=detail&amp;rf=Y</t>
        </is>
      </c>
      <c r="AA3028" s="0" t="inlineStr">
        <is>
          <t>서울시 강동구 천호동 237</t>
        </is>
      </c>
      <c r="AB3028" s="0" t="inlineStr">
        <is>
          <t>서울시</t>
        </is>
      </c>
      <c r="AC3028" s="0" t="inlineStr">
        <is>
          <t>강동구</t>
        </is>
      </c>
      <c r="AD3028" s="0" t="inlineStr">
        <is>
          <t>천호동</t>
        </is>
      </c>
      <c r="AG3028" s="0" t="inlineStr">
        <is>
          <t>서울시 강동구 구천면로42길 16</t>
        </is>
      </c>
      <c r="AH3028" s="0" t="n">
        <v>0</v>
      </c>
      <c r="AI3028" s="0" t="n">
        <v>240</v>
      </c>
      <c r="AJ3028" s="0" t="n">
        <v>21</v>
      </c>
      <c r="AK3028" s="0" t="n">
        <v>84</v>
      </c>
      <c r="AL3028" s="0" t="n">
        <v>0.38</v>
      </c>
    </row>
    <row r="3029">
      <c r="A3029" s="0" t="inlineStr">
        <is>
          <t>[천호동]</t>
        </is>
      </c>
      <c r="B3029" s="0" t="n">
        <v>1335</v>
      </c>
      <c r="C3029" s="0" t="n">
        <v>5</v>
      </c>
      <c r="D3029" s="0" t="inlineStr">
        <is>
          <t>한신</t>
        </is>
      </c>
      <c r="E3029" s="0" t="inlineStr">
        <is>
          <t>1991.03.</t>
        </is>
      </c>
      <c r="F3029" s="0" t="n">
        <v>224</v>
      </c>
      <c r="G3029" s="0" t="n">
        <v>32.15</v>
      </c>
      <c r="H3029" s="0" t="n">
        <v>106.31</v>
      </c>
      <c r="I3029" s="0" t="n">
        <v>24.82</v>
      </c>
      <c r="J3029" s="0" t="n">
        <v>82.08</v>
      </c>
      <c r="K3029" s="0" t="n">
        <v>58</v>
      </c>
      <c r="T3029" s="0" t="n">
        <v>3</v>
      </c>
      <c r="U3029" s="0" t="n">
        <v>1</v>
      </c>
      <c r="V3029" s="0" t="inlineStr">
        <is>
          <t>복도식</t>
        </is>
      </c>
      <c r="W3029" s="0" t="inlineStr">
        <is>
          <t>106B</t>
        </is>
      </c>
      <c r="X3029" s="0" t="n">
        <v>15</v>
      </c>
      <c r="Y3029" s="0" t="n">
        <v>8</v>
      </c>
      <c r="Z3029" s="0" t="inlineStr">
        <is>
          <t>https://new.land.naver.com/complexes/1335?tab=detail&amp;rf=Y</t>
        </is>
      </c>
      <c r="AA3029" s="0" t="inlineStr">
        <is>
          <t>서울시 강동구 천호동 237</t>
        </is>
      </c>
      <c r="AB3029" s="0" t="inlineStr">
        <is>
          <t>서울시</t>
        </is>
      </c>
      <c r="AC3029" s="0" t="inlineStr">
        <is>
          <t>강동구</t>
        </is>
      </c>
      <c r="AD3029" s="0" t="inlineStr">
        <is>
          <t>천호동</t>
        </is>
      </c>
      <c r="AG3029" s="0" t="inlineStr">
        <is>
          <t>서울시 강동구 구천면로42길 16</t>
        </is>
      </c>
      <c r="AH3029" s="0" t="n">
        <v>0</v>
      </c>
      <c r="AI3029" s="0" t="n">
        <v>240</v>
      </c>
      <c r="AJ3029" s="0" t="n">
        <v>21</v>
      </c>
      <c r="AK3029" s="0" t="n">
        <v>84</v>
      </c>
      <c r="AL3029" s="0" t="n">
        <v>0.38</v>
      </c>
    </row>
    <row r="3030">
      <c r="A3030" s="0" t="inlineStr">
        <is>
          <t>[천호동]</t>
        </is>
      </c>
      <c r="B3030" s="0" t="n">
        <v>1335</v>
      </c>
      <c r="C3030" s="0" t="n">
        <v>6</v>
      </c>
      <c r="D3030" s="0" t="inlineStr">
        <is>
          <t>한신</t>
        </is>
      </c>
      <c r="E3030" s="0" t="inlineStr">
        <is>
          <t>1991.03.</t>
        </is>
      </c>
      <c r="F3030" s="0" t="n">
        <v>224</v>
      </c>
      <c r="G3030" s="0" t="n">
        <v>32.63</v>
      </c>
      <c r="H3030" s="0" t="n">
        <v>107.89</v>
      </c>
      <c r="I3030" s="0" t="n">
        <v>24.68</v>
      </c>
      <c r="J3030" s="0" t="n">
        <v>81.59999999999999</v>
      </c>
      <c r="K3030" s="0" t="n">
        <v>14</v>
      </c>
      <c r="T3030" s="0" t="n">
        <v>3</v>
      </c>
      <c r="U3030" s="0" t="n">
        <v>1</v>
      </c>
      <c r="V3030" s="0" t="inlineStr">
        <is>
          <t>복도식</t>
        </is>
      </c>
      <c r="W3030" s="0" t="inlineStr">
        <is>
          <t>107C</t>
        </is>
      </c>
      <c r="X3030" s="0" t="n">
        <v>15</v>
      </c>
      <c r="Y3030" s="0" t="n">
        <v>8</v>
      </c>
      <c r="Z3030" s="0" t="inlineStr">
        <is>
          <t>https://new.land.naver.com/complexes/1335?tab=detail&amp;rf=Y</t>
        </is>
      </c>
      <c r="AA3030" s="0" t="inlineStr">
        <is>
          <t>서울시 강동구 천호동 237</t>
        </is>
      </c>
      <c r="AB3030" s="0" t="inlineStr">
        <is>
          <t>서울시</t>
        </is>
      </c>
      <c r="AC3030" s="0" t="inlineStr">
        <is>
          <t>강동구</t>
        </is>
      </c>
      <c r="AD3030" s="0" t="inlineStr">
        <is>
          <t>천호동</t>
        </is>
      </c>
      <c r="AG3030" s="0" t="inlineStr">
        <is>
          <t>서울시 강동구 구천면로42길 16</t>
        </is>
      </c>
      <c r="AH3030" s="0" t="n">
        <v>0</v>
      </c>
      <c r="AI3030" s="0" t="n">
        <v>240</v>
      </c>
      <c r="AJ3030" s="0" t="n">
        <v>21</v>
      </c>
      <c r="AK3030" s="0" t="n">
        <v>84</v>
      </c>
      <c r="AL3030" s="0" t="n">
        <v>0.38</v>
      </c>
    </row>
    <row r="3031">
      <c r="A3031" s="0" t="inlineStr">
        <is>
          <t>[천호동]</t>
        </is>
      </c>
      <c r="B3031" s="0" t="n">
        <v>1335</v>
      </c>
      <c r="C3031" s="0" t="n">
        <v>7</v>
      </c>
      <c r="D3031" s="0" t="inlineStr">
        <is>
          <t>한신</t>
        </is>
      </c>
      <c r="E3031" s="0" t="inlineStr">
        <is>
          <t>1991.03.</t>
        </is>
      </c>
      <c r="F3031" s="0" t="n">
        <v>224</v>
      </c>
      <c r="G3031" s="0" t="n">
        <v>32.72</v>
      </c>
      <c r="H3031" s="0" t="n">
        <v>108.17</v>
      </c>
      <c r="I3031" s="0" t="n">
        <v>25.26</v>
      </c>
      <c r="J3031" s="0" t="n">
        <v>83.52</v>
      </c>
      <c r="K3031" s="0" t="n">
        <v>13</v>
      </c>
      <c r="T3031" s="0" t="n">
        <v>3</v>
      </c>
      <c r="U3031" s="0" t="n">
        <v>1</v>
      </c>
      <c r="V3031" s="0" t="inlineStr">
        <is>
          <t>복도식</t>
        </is>
      </c>
      <c r="W3031" s="0" t="inlineStr">
        <is>
          <t>108A</t>
        </is>
      </c>
      <c r="X3031" s="0" t="n">
        <v>15</v>
      </c>
      <c r="Y3031" s="0" t="n">
        <v>8</v>
      </c>
      <c r="Z3031" s="0" t="inlineStr">
        <is>
          <t>https://new.land.naver.com/complexes/1335?tab=detail&amp;rf=Y</t>
        </is>
      </c>
      <c r="AA3031" s="0" t="inlineStr">
        <is>
          <t>서울시 강동구 천호동 237</t>
        </is>
      </c>
      <c r="AB3031" s="0" t="inlineStr">
        <is>
          <t>서울시</t>
        </is>
      </c>
      <c r="AC3031" s="0" t="inlineStr">
        <is>
          <t>강동구</t>
        </is>
      </c>
      <c r="AD3031" s="0" t="inlineStr">
        <is>
          <t>천호동</t>
        </is>
      </c>
      <c r="AG3031" s="0" t="inlineStr">
        <is>
          <t>서울시 강동구 구천면로42길 16</t>
        </is>
      </c>
      <c r="AH3031" s="0" t="n">
        <v>0</v>
      </c>
      <c r="AI3031" s="0" t="n">
        <v>240</v>
      </c>
      <c r="AJ3031" s="0" t="n">
        <v>21</v>
      </c>
      <c r="AK3031" s="0" t="n">
        <v>84</v>
      </c>
      <c r="AL3031" s="0" t="n">
        <v>0.38</v>
      </c>
    </row>
    <row r="3032">
      <c r="A3032" s="0" t="inlineStr">
        <is>
          <t>[천호동]</t>
        </is>
      </c>
      <c r="B3032" s="0" t="n">
        <v>134475</v>
      </c>
      <c r="C3032" s="0" t="n">
        <v>1</v>
      </c>
      <c r="D3032" s="0" t="inlineStr">
        <is>
          <t>집앤사더블린(도시형)</t>
        </is>
      </c>
      <c r="E3032" s="0" t="inlineStr">
        <is>
          <t>2020.05.</t>
        </is>
      </c>
      <c r="F3032" s="0" t="n">
        <v>20</v>
      </c>
      <c r="G3032" s="0" t="n">
        <v>9.1</v>
      </c>
      <c r="H3032" s="0" t="n">
        <v>30.09</v>
      </c>
      <c r="I3032" s="0" t="n">
        <v>7.25</v>
      </c>
      <c r="J3032" s="0" t="n">
        <v>23.97</v>
      </c>
      <c r="K3032" s="0" t="n">
        <v>1</v>
      </c>
      <c r="T3032" s="0" t="n">
        <v>1</v>
      </c>
      <c r="U3032" s="0" t="n">
        <v>1</v>
      </c>
      <c r="V3032" s="0" t="inlineStr">
        <is>
          <t>계단식</t>
        </is>
      </c>
      <c r="W3032" s="0" t="inlineStr">
        <is>
          <t>30A</t>
        </is>
      </c>
      <c r="X3032" s="0" t="n">
        <v>6</v>
      </c>
      <c r="Y3032" s="0" t="n">
        <v>6</v>
      </c>
      <c r="Z3032" s="0" t="inlineStr">
        <is>
          <t>https://new.land.naver.com/complexes/134475?tab=detail&amp;rf=Y</t>
        </is>
      </c>
      <c r="AA3032" s="0" t="inlineStr">
        <is>
          <t>서울시 강동구 천호동 289-36</t>
        </is>
      </c>
      <c r="AB3032" s="0" t="inlineStr">
        <is>
          <t>서울시</t>
        </is>
      </c>
      <c r="AC3032" s="0" t="inlineStr">
        <is>
          <t>강동구</t>
        </is>
      </c>
      <c r="AD3032" s="0" t="inlineStr">
        <is>
          <t>천호동</t>
        </is>
      </c>
      <c r="AG3032" s="0" t="inlineStr">
        <is>
          <t>서울시 강동구 상암로 62-7</t>
        </is>
      </c>
      <c r="AH3032" s="0" t="n">
        <v>0</v>
      </c>
      <c r="AI3032" s="0" t="n">
        <v>176</v>
      </c>
      <c r="AJ3032" s="0" t="n">
        <v>56</v>
      </c>
      <c r="AK3032" s="0" t="n">
        <v>10</v>
      </c>
      <c r="AL3032" s="0" t="n">
        <v>0.5</v>
      </c>
    </row>
    <row r="3033">
      <c r="A3033" s="0" t="inlineStr">
        <is>
          <t>[천호동]</t>
        </is>
      </c>
      <c r="B3033" s="0" t="n">
        <v>134475</v>
      </c>
      <c r="C3033" s="0" t="n">
        <v>2</v>
      </c>
      <c r="D3033" s="0" t="inlineStr">
        <is>
          <t>집앤사더블린(도시형)</t>
        </is>
      </c>
      <c r="E3033" s="0" t="inlineStr">
        <is>
          <t>2020.05.</t>
        </is>
      </c>
      <c r="F3033" s="0" t="n">
        <v>20</v>
      </c>
      <c r="G3033" s="0" t="n">
        <v>9.220000000000001</v>
      </c>
      <c r="H3033" s="0" t="n">
        <v>30.48</v>
      </c>
      <c r="I3033" s="0" t="n">
        <v>7.34</v>
      </c>
      <c r="J3033" s="0" t="n">
        <v>24.28</v>
      </c>
      <c r="K3033" s="0" t="n">
        <v>1</v>
      </c>
      <c r="T3033" s="0" t="n">
        <v>1</v>
      </c>
      <c r="U3033" s="0" t="n">
        <v>1</v>
      </c>
      <c r="V3033" s="0" t="inlineStr">
        <is>
          <t>계단식</t>
        </is>
      </c>
      <c r="W3033" s="0" t="inlineStr">
        <is>
          <t>30B</t>
        </is>
      </c>
      <c r="X3033" s="0" t="n">
        <v>6</v>
      </c>
      <c r="Y3033" s="0" t="n">
        <v>6</v>
      </c>
      <c r="Z3033" s="0" t="inlineStr">
        <is>
          <t>https://new.land.naver.com/complexes/134475?tab=detail&amp;rf=Y</t>
        </is>
      </c>
      <c r="AA3033" s="0" t="inlineStr">
        <is>
          <t>서울시 강동구 천호동 289-36</t>
        </is>
      </c>
      <c r="AB3033" s="0" t="inlineStr">
        <is>
          <t>서울시</t>
        </is>
      </c>
      <c r="AC3033" s="0" t="inlineStr">
        <is>
          <t>강동구</t>
        </is>
      </c>
      <c r="AD3033" s="0" t="inlineStr">
        <is>
          <t>천호동</t>
        </is>
      </c>
      <c r="AG3033" s="0" t="inlineStr">
        <is>
          <t>서울시 강동구 상암로 62-7</t>
        </is>
      </c>
      <c r="AH3033" s="0" t="n">
        <v>0</v>
      </c>
      <c r="AI3033" s="0" t="n">
        <v>176</v>
      </c>
      <c r="AJ3033" s="0" t="n">
        <v>56</v>
      </c>
      <c r="AK3033" s="0" t="n">
        <v>10</v>
      </c>
      <c r="AL3033" s="0" t="n">
        <v>0.5</v>
      </c>
    </row>
    <row r="3034">
      <c r="A3034" s="0" t="inlineStr">
        <is>
          <t>[천호동]</t>
        </is>
      </c>
      <c r="B3034" s="0" t="n">
        <v>134475</v>
      </c>
      <c r="C3034" s="0" t="n">
        <v>3</v>
      </c>
      <c r="D3034" s="0" t="inlineStr">
        <is>
          <t>집앤사더블린(도시형)</t>
        </is>
      </c>
      <c r="E3034" s="0" t="inlineStr">
        <is>
          <t>2020.05.</t>
        </is>
      </c>
      <c r="F3034" s="0" t="n">
        <v>20</v>
      </c>
      <c r="G3034" s="0" t="n">
        <v>9.94</v>
      </c>
      <c r="H3034" s="0" t="n">
        <v>32.89</v>
      </c>
      <c r="I3034" s="0" t="n">
        <v>7.92</v>
      </c>
      <c r="J3034" s="0" t="n">
        <v>26.19</v>
      </c>
      <c r="K3034" s="0" t="n">
        <v>11</v>
      </c>
      <c r="T3034" s="0" t="n">
        <v>1</v>
      </c>
      <c r="U3034" s="0" t="n">
        <v>1</v>
      </c>
      <c r="V3034" s="0" t="inlineStr">
        <is>
          <t>계단식</t>
        </is>
      </c>
      <c r="W3034" s="0" t="inlineStr">
        <is>
          <t>32A</t>
        </is>
      </c>
      <c r="X3034" s="0" t="n">
        <v>6</v>
      </c>
      <c r="Y3034" s="0" t="n">
        <v>6</v>
      </c>
      <c r="Z3034" s="0" t="inlineStr">
        <is>
          <t>https://new.land.naver.com/complexes/134475?tab=detail&amp;rf=Y</t>
        </is>
      </c>
      <c r="AA3034" s="0" t="inlineStr">
        <is>
          <t>서울시 강동구 천호동 289-36</t>
        </is>
      </c>
      <c r="AB3034" s="0" t="inlineStr">
        <is>
          <t>서울시</t>
        </is>
      </c>
      <c r="AC3034" s="0" t="inlineStr">
        <is>
          <t>강동구</t>
        </is>
      </c>
      <c r="AD3034" s="0" t="inlineStr">
        <is>
          <t>천호동</t>
        </is>
      </c>
      <c r="AG3034" s="0" t="inlineStr">
        <is>
          <t>서울시 강동구 상암로 62-7</t>
        </is>
      </c>
      <c r="AH3034" s="0" t="n">
        <v>0</v>
      </c>
      <c r="AI3034" s="0" t="n">
        <v>176</v>
      </c>
      <c r="AJ3034" s="0" t="n">
        <v>56</v>
      </c>
      <c r="AK3034" s="0" t="n">
        <v>10</v>
      </c>
      <c r="AL3034" s="0" t="n">
        <v>0.5</v>
      </c>
    </row>
    <row r="3035">
      <c r="A3035" s="0" t="inlineStr">
        <is>
          <t>[천호동]</t>
        </is>
      </c>
      <c r="B3035" s="0" t="n">
        <v>134475</v>
      </c>
      <c r="C3035" s="0" t="n">
        <v>4</v>
      </c>
      <c r="D3035" s="0" t="inlineStr">
        <is>
          <t>집앤사더블린(도시형)</t>
        </is>
      </c>
      <c r="E3035" s="0" t="inlineStr">
        <is>
          <t>2020.05.</t>
        </is>
      </c>
      <c r="F3035" s="0" t="n">
        <v>20</v>
      </c>
      <c r="G3035" s="0" t="n">
        <v>10.08</v>
      </c>
      <c r="H3035" s="0" t="n">
        <v>33.34</v>
      </c>
      <c r="I3035" s="0" t="n">
        <v>8.029999999999999</v>
      </c>
      <c r="J3035" s="0" t="n">
        <v>26.55</v>
      </c>
      <c r="K3035" s="0" t="n">
        <v>5</v>
      </c>
      <c r="T3035" s="0" t="n">
        <v>1</v>
      </c>
      <c r="U3035" s="0" t="n">
        <v>1</v>
      </c>
      <c r="V3035" s="0" t="inlineStr">
        <is>
          <t>계단식</t>
        </is>
      </c>
      <c r="W3035" s="0" t="inlineStr">
        <is>
          <t>33B</t>
        </is>
      </c>
      <c r="X3035" s="0" t="n">
        <v>6</v>
      </c>
      <c r="Y3035" s="0" t="n">
        <v>6</v>
      </c>
      <c r="Z3035" s="0" t="inlineStr">
        <is>
          <t>https://new.land.naver.com/complexes/134475?tab=detail&amp;rf=Y</t>
        </is>
      </c>
      <c r="AA3035" s="0" t="inlineStr">
        <is>
          <t>서울시 강동구 천호동 289-36</t>
        </is>
      </c>
      <c r="AB3035" s="0" t="inlineStr">
        <is>
          <t>서울시</t>
        </is>
      </c>
      <c r="AC3035" s="0" t="inlineStr">
        <is>
          <t>강동구</t>
        </is>
      </c>
      <c r="AD3035" s="0" t="inlineStr">
        <is>
          <t>천호동</t>
        </is>
      </c>
      <c r="AG3035" s="0" t="inlineStr">
        <is>
          <t>서울시 강동구 상암로 62-7</t>
        </is>
      </c>
      <c r="AH3035" s="0" t="n">
        <v>0</v>
      </c>
      <c r="AI3035" s="0" t="n">
        <v>176</v>
      </c>
      <c r="AJ3035" s="0" t="n">
        <v>56</v>
      </c>
      <c r="AK3035" s="0" t="n">
        <v>10</v>
      </c>
      <c r="AL3035" s="0" t="n">
        <v>0.5</v>
      </c>
    </row>
    <row r="3036">
      <c r="A3036" s="0" t="inlineStr">
        <is>
          <t>[천호동]</t>
        </is>
      </c>
      <c r="B3036" s="0" t="n">
        <v>134475</v>
      </c>
      <c r="C3036" s="0" t="n">
        <v>5</v>
      </c>
      <c r="D3036" s="0" t="inlineStr">
        <is>
          <t>집앤사더블린(도시형)</t>
        </is>
      </c>
      <c r="E3036" s="0" t="inlineStr">
        <is>
          <t>2020.05.</t>
        </is>
      </c>
      <c r="F3036" s="0" t="n">
        <v>20</v>
      </c>
      <c r="G3036" s="0" t="n">
        <v>10.64</v>
      </c>
      <c r="H3036" s="0" t="n">
        <v>35.19</v>
      </c>
      <c r="I3036" s="0" t="n">
        <v>8.470000000000001</v>
      </c>
      <c r="J3036" s="0" t="n">
        <v>28.03</v>
      </c>
      <c r="K3036" s="0" t="n">
        <v>1</v>
      </c>
      <c r="T3036" s="0" t="n">
        <v>1</v>
      </c>
      <c r="U3036" s="0" t="n">
        <v>1</v>
      </c>
      <c r="V3036" s="0" t="inlineStr">
        <is>
          <t>계단식</t>
        </is>
      </c>
      <c r="W3036" s="0" t="inlineStr">
        <is>
          <t>35A</t>
        </is>
      </c>
      <c r="X3036" s="0" t="n">
        <v>6</v>
      </c>
      <c r="Y3036" s="0" t="n">
        <v>6</v>
      </c>
      <c r="Z3036" s="0" t="inlineStr">
        <is>
          <t>https://new.land.naver.com/complexes/134475?tab=detail&amp;rf=Y</t>
        </is>
      </c>
      <c r="AA3036" s="0" t="inlineStr">
        <is>
          <t>서울시 강동구 천호동 289-36</t>
        </is>
      </c>
      <c r="AB3036" s="0" t="inlineStr">
        <is>
          <t>서울시</t>
        </is>
      </c>
      <c r="AC3036" s="0" t="inlineStr">
        <is>
          <t>강동구</t>
        </is>
      </c>
      <c r="AD3036" s="0" t="inlineStr">
        <is>
          <t>천호동</t>
        </is>
      </c>
      <c r="AG3036" s="0" t="inlineStr">
        <is>
          <t>서울시 강동구 상암로 62-7</t>
        </is>
      </c>
      <c r="AH3036" s="0" t="n">
        <v>0</v>
      </c>
      <c r="AI3036" s="0" t="n">
        <v>176</v>
      </c>
      <c r="AJ3036" s="0" t="n">
        <v>56</v>
      </c>
      <c r="AK3036" s="0" t="n">
        <v>10</v>
      </c>
      <c r="AL3036" s="0" t="n">
        <v>0.5</v>
      </c>
    </row>
    <row r="3037">
      <c r="A3037" s="0" t="inlineStr">
        <is>
          <t>[천호동]</t>
        </is>
      </c>
      <c r="B3037" s="0" t="n">
        <v>134475</v>
      </c>
      <c r="C3037" s="0" t="n">
        <v>6</v>
      </c>
      <c r="D3037" s="0" t="inlineStr">
        <is>
          <t>집앤사더블린(도시형)</t>
        </is>
      </c>
      <c r="E3037" s="0" t="inlineStr">
        <is>
          <t>2020.05.</t>
        </is>
      </c>
      <c r="F3037" s="0" t="n">
        <v>20</v>
      </c>
      <c r="G3037" s="0" t="n">
        <v>10.78</v>
      </c>
      <c r="H3037" s="0" t="n">
        <v>35.66</v>
      </c>
      <c r="I3037" s="0" t="n">
        <v>8.59</v>
      </c>
      <c r="J3037" s="0" t="n">
        <v>28.41</v>
      </c>
      <c r="K3037" s="0" t="n">
        <v>1</v>
      </c>
      <c r="T3037" s="0" t="n">
        <v>1</v>
      </c>
      <c r="U3037" s="0" t="n">
        <v>1</v>
      </c>
      <c r="V3037" s="0" t="inlineStr">
        <is>
          <t>계단식</t>
        </is>
      </c>
      <c r="W3037" s="0" t="inlineStr">
        <is>
          <t>35B</t>
        </is>
      </c>
      <c r="X3037" s="0" t="n">
        <v>6</v>
      </c>
      <c r="Y3037" s="0" t="n">
        <v>6</v>
      </c>
      <c r="Z3037" s="0" t="inlineStr">
        <is>
          <t>https://new.land.naver.com/complexes/134475?tab=detail&amp;rf=Y</t>
        </is>
      </c>
      <c r="AA3037" s="0" t="inlineStr">
        <is>
          <t>서울시 강동구 천호동 289-36</t>
        </is>
      </c>
      <c r="AB3037" s="0" t="inlineStr">
        <is>
          <t>서울시</t>
        </is>
      </c>
      <c r="AC3037" s="0" t="inlineStr">
        <is>
          <t>강동구</t>
        </is>
      </c>
      <c r="AD3037" s="0" t="inlineStr">
        <is>
          <t>천호동</t>
        </is>
      </c>
      <c r="AG3037" s="0" t="inlineStr">
        <is>
          <t>서울시 강동구 상암로 62-7</t>
        </is>
      </c>
      <c r="AH3037" s="0" t="n">
        <v>0</v>
      </c>
      <c r="AI3037" s="0" t="n">
        <v>176</v>
      </c>
      <c r="AJ3037" s="0" t="n">
        <v>56</v>
      </c>
      <c r="AK3037" s="0" t="n">
        <v>10</v>
      </c>
      <c r="AL3037" s="0" t="n">
        <v>0.5</v>
      </c>
    </row>
    <row r="3038">
      <c r="A3038" s="0" t="inlineStr">
        <is>
          <t>[천호동]</t>
        </is>
      </c>
      <c r="B3038" s="0" t="n">
        <v>11085</v>
      </c>
      <c r="C3038" s="0" t="n">
        <v>1</v>
      </c>
      <c r="D3038" s="0" t="inlineStr">
        <is>
          <t>평대보민</t>
        </is>
      </c>
      <c r="E3038" s="0" t="inlineStr">
        <is>
          <t>2003.01.</t>
        </is>
      </c>
      <c r="F3038" s="0" t="n">
        <v>38</v>
      </c>
      <c r="G3038" s="0" t="n">
        <v>23.37</v>
      </c>
      <c r="H3038" s="0" t="n">
        <v>77.27</v>
      </c>
      <c r="I3038" s="0" t="n">
        <v>17.79</v>
      </c>
      <c r="J3038" s="0" t="n">
        <v>58.81</v>
      </c>
      <c r="K3038" s="0" t="n">
        <v>7</v>
      </c>
      <c r="T3038" s="0" t="n">
        <v>3</v>
      </c>
      <c r="U3038" s="0" t="n">
        <v>1</v>
      </c>
      <c r="V3038" s="0" t="inlineStr">
        <is>
          <t>복도식</t>
        </is>
      </c>
      <c r="W3038" s="0" t="n">
        <v>77</v>
      </c>
      <c r="X3038" s="0" t="n">
        <v>7</v>
      </c>
      <c r="Y3038" s="0" t="n">
        <v>3</v>
      </c>
      <c r="Z3038" s="0" t="inlineStr">
        <is>
          <t>https://new.land.naver.com/complexes/11085?tab=detail&amp;rf=Y</t>
        </is>
      </c>
      <c r="AA3038" s="0" t="inlineStr">
        <is>
          <t>서울시 강동구 천호동 26-12</t>
        </is>
      </c>
      <c r="AB3038" s="0" t="inlineStr">
        <is>
          <t>서울시</t>
        </is>
      </c>
      <c r="AC3038" s="0" t="inlineStr">
        <is>
          <t>강동구</t>
        </is>
      </c>
      <c r="AD3038" s="0" t="inlineStr">
        <is>
          <t>천호동</t>
        </is>
      </c>
      <c r="AG3038" s="0" t="inlineStr">
        <is>
          <t>서울시 강동구 구천면로68길 38</t>
        </is>
      </c>
      <c r="AH3038" s="0" t="n">
        <v>0</v>
      </c>
      <c r="AI3038" s="0" t="n">
        <v>279</v>
      </c>
      <c r="AJ3038" s="0" t="n">
        <v>46</v>
      </c>
      <c r="AK3038" s="0" t="n">
        <v>38</v>
      </c>
      <c r="AL3038" s="0" t="n">
        <v>1</v>
      </c>
    </row>
    <row r="3039">
      <c r="A3039" s="0" t="inlineStr">
        <is>
          <t>[천호동]</t>
        </is>
      </c>
      <c r="B3039" s="0" t="n">
        <v>11085</v>
      </c>
      <c r="C3039" s="0" t="n">
        <v>2</v>
      </c>
      <c r="D3039" s="0" t="inlineStr">
        <is>
          <t>평대보민</t>
        </is>
      </c>
      <c r="E3039" s="0" t="inlineStr">
        <is>
          <t>2003.01.</t>
        </is>
      </c>
      <c r="F3039" s="0" t="n">
        <v>38</v>
      </c>
      <c r="G3039" s="0" t="n">
        <v>23.54</v>
      </c>
      <c r="H3039" s="0" t="n">
        <v>77.84</v>
      </c>
      <c r="I3039" s="0" t="n">
        <v>17.97</v>
      </c>
      <c r="J3039" s="0" t="n">
        <v>59.43</v>
      </c>
      <c r="K3039" s="0" t="n">
        <v>3</v>
      </c>
      <c r="T3039" s="0" t="n">
        <v>3</v>
      </c>
      <c r="U3039" s="0" t="n">
        <v>2</v>
      </c>
      <c r="V3039" s="0" t="inlineStr">
        <is>
          <t>계단식</t>
        </is>
      </c>
      <c r="W3039" s="0" t="n">
        <v>77</v>
      </c>
      <c r="X3039" s="0" t="n">
        <v>7</v>
      </c>
      <c r="Y3039" s="0" t="n">
        <v>3</v>
      </c>
      <c r="Z3039" s="0" t="inlineStr">
        <is>
          <t>https://new.land.naver.com/complexes/11085?tab=detail&amp;rf=Y</t>
        </is>
      </c>
      <c r="AA3039" s="0" t="inlineStr">
        <is>
          <t>서울시 강동구 천호동 26-12</t>
        </is>
      </c>
      <c r="AB3039" s="0" t="inlineStr">
        <is>
          <t>서울시</t>
        </is>
      </c>
      <c r="AC3039" s="0" t="inlineStr">
        <is>
          <t>강동구</t>
        </is>
      </c>
      <c r="AD3039" s="0" t="inlineStr">
        <is>
          <t>천호동</t>
        </is>
      </c>
      <c r="AG3039" s="0" t="inlineStr">
        <is>
          <t>서울시 강동구 구천면로68길 38</t>
        </is>
      </c>
      <c r="AH3039" s="0" t="n">
        <v>0</v>
      </c>
      <c r="AI3039" s="0" t="n">
        <v>279</v>
      </c>
      <c r="AJ3039" s="0" t="n">
        <v>46</v>
      </c>
      <c r="AK3039" s="0" t="n">
        <v>38</v>
      </c>
      <c r="AL3039" s="0" t="n">
        <v>1</v>
      </c>
    </row>
    <row r="3040">
      <c r="A3040" s="0" t="inlineStr">
        <is>
          <t>[천호동]</t>
        </is>
      </c>
      <c r="B3040" s="0" t="n">
        <v>11085</v>
      </c>
      <c r="C3040" s="0" t="n">
        <v>3</v>
      </c>
      <c r="D3040" s="0" t="inlineStr">
        <is>
          <t>평대보민</t>
        </is>
      </c>
      <c r="E3040" s="0" t="inlineStr">
        <is>
          <t>2003.01.</t>
        </is>
      </c>
      <c r="F3040" s="0" t="n">
        <v>38</v>
      </c>
      <c r="G3040" s="0" t="n">
        <v>27.49</v>
      </c>
      <c r="H3040" s="0" t="n">
        <v>90.89</v>
      </c>
      <c r="I3040" s="0" t="n">
        <v>21.19</v>
      </c>
      <c r="J3040" s="0" t="n">
        <v>70.05</v>
      </c>
      <c r="K3040" s="0" t="n">
        <v>3</v>
      </c>
      <c r="T3040" s="0" t="n">
        <v>3</v>
      </c>
      <c r="U3040" s="0" t="n">
        <v>1</v>
      </c>
      <c r="V3040" s="0" t="inlineStr">
        <is>
          <t>복도식</t>
        </is>
      </c>
      <c r="W3040" s="0" t="n">
        <v>90</v>
      </c>
      <c r="X3040" s="0" t="n">
        <v>7</v>
      </c>
      <c r="Y3040" s="0" t="n">
        <v>3</v>
      </c>
      <c r="Z3040" s="0" t="inlineStr">
        <is>
          <t>https://new.land.naver.com/complexes/11085?tab=detail&amp;rf=Y</t>
        </is>
      </c>
      <c r="AA3040" s="0" t="inlineStr">
        <is>
          <t>서울시 강동구 천호동 26-12</t>
        </is>
      </c>
      <c r="AB3040" s="0" t="inlineStr">
        <is>
          <t>서울시</t>
        </is>
      </c>
      <c r="AC3040" s="0" t="inlineStr">
        <is>
          <t>강동구</t>
        </is>
      </c>
      <c r="AD3040" s="0" t="inlineStr">
        <is>
          <t>천호동</t>
        </is>
      </c>
      <c r="AG3040" s="0" t="inlineStr">
        <is>
          <t>서울시 강동구 구천면로68길 38</t>
        </is>
      </c>
      <c r="AH3040" s="0" t="n">
        <v>0</v>
      </c>
      <c r="AI3040" s="0" t="n">
        <v>279</v>
      </c>
      <c r="AJ3040" s="0" t="n">
        <v>46</v>
      </c>
      <c r="AK3040" s="0" t="n">
        <v>38</v>
      </c>
      <c r="AL3040" s="0" t="n">
        <v>1</v>
      </c>
    </row>
    <row r="3041">
      <c r="A3041" s="0" t="inlineStr">
        <is>
          <t>[천호동]</t>
        </is>
      </c>
      <c r="B3041" s="0" t="n">
        <v>11085</v>
      </c>
      <c r="C3041" s="0" t="n">
        <v>4</v>
      </c>
      <c r="D3041" s="0" t="inlineStr">
        <is>
          <t>평대보민</t>
        </is>
      </c>
      <c r="E3041" s="0" t="inlineStr">
        <is>
          <t>2003.01.</t>
        </is>
      </c>
      <c r="F3041" s="0" t="n">
        <v>38</v>
      </c>
      <c r="G3041" s="0" t="n">
        <v>28.32</v>
      </c>
      <c r="H3041" s="0" t="n">
        <v>93.63</v>
      </c>
      <c r="I3041" s="0" t="n">
        <v>21.78</v>
      </c>
      <c r="J3041" s="0" t="n">
        <v>72</v>
      </c>
      <c r="K3041" s="0" t="n">
        <v>25</v>
      </c>
      <c r="T3041" s="0" t="n">
        <v>3</v>
      </c>
      <c r="U3041" s="0" t="n">
        <v>2</v>
      </c>
      <c r="V3041" s="0" t="inlineStr">
        <is>
          <t>계단식</t>
        </is>
      </c>
      <c r="W3041" s="0" t="n">
        <v>93</v>
      </c>
      <c r="X3041" s="0" t="n">
        <v>7</v>
      </c>
      <c r="Y3041" s="0" t="n">
        <v>3</v>
      </c>
      <c r="Z3041" s="0" t="inlineStr">
        <is>
          <t>https://new.land.naver.com/complexes/11085?tab=detail&amp;rf=Y</t>
        </is>
      </c>
      <c r="AA3041" s="0" t="inlineStr">
        <is>
          <t>서울시 강동구 천호동 26-12</t>
        </is>
      </c>
      <c r="AB3041" s="0" t="inlineStr">
        <is>
          <t>서울시</t>
        </is>
      </c>
      <c r="AC3041" s="0" t="inlineStr">
        <is>
          <t>강동구</t>
        </is>
      </c>
      <c r="AD3041" s="0" t="inlineStr">
        <is>
          <t>천호동</t>
        </is>
      </c>
      <c r="AG3041" s="0" t="inlineStr">
        <is>
          <t>서울시 강동구 구천면로68길 38</t>
        </is>
      </c>
      <c r="AH3041" s="0" t="n">
        <v>0</v>
      </c>
      <c r="AI3041" s="0" t="n">
        <v>279</v>
      </c>
      <c r="AJ3041" s="0" t="n">
        <v>46</v>
      </c>
      <c r="AK3041" s="0" t="n">
        <v>38</v>
      </c>
      <c r="AL3041" s="0" t="n">
        <v>1</v>
      </c>
    </row>
    <row r="3042">
      <c r="A3042" s="0" t="inlineStr">
        <is>
          <t>[천호동]</t>
        </is>
      </c>
      <c r="B3042" s="0" t="n">
        <v>26432</v>
      </c>
      <c r="C3042" s="0" t="n">
        <v>1</v>
      </c>
      <c r="D3042" s="0" t="inlineStr">
        <is>
          <t>한건브리앙</t>
        </is>
      </c>
      <c r="E3042" s="0" t="inlineStr">
        <is>
          <t>2004.12.</t>
        </is>
      </c>
      <c r="F3042" s="0" t="n">
        <v>42</v>
      </c>
      <c r="G3042" s="0" t="n">
        <v>23.46</v>
      </c>
      <c r="H3042" s="0" t="n">
        <v>77.58</v>
      </c>
      <c r="I3042" s="0" t="n">
        <v>19.11</v>
      </c>
      <c r="J3042" s="0" t="n">
        <v>63.2</v>
      </c>
      <c r="K3042" s="0" t="n">
        <v>9</v>
      </c>
      <c r="T3042" s="0" t="n">
        <v>3</v>
      </c>
      <c r="U3042" s="0" t="n">
        <v>2</v>
      </c>
      <c r="V3042" s="0" t="inlineStr">
        <is>
          <t>복도식</t>
        </is>
      </c>
      <c r="W3042" s="0" t="inlineStr">
        <is>
          <t>77A</t>
        </is>
      </c>
      <c r="X3042" s="0" t="n">
        <v>9</v>
      </c>
      <c r="Y3042" s="0" t="n">
        <v>9</v>
      </c>
      <c r="Z3042" s="0" t="inlineStr">
        <is>
          <t>https://new.land.naver.com/complexes/26432?tab=detail&amp;rf=Y</t>
        </is>
      </c>
      <c r="AA3042" s="0" t="inlineStr">
        <is>
          <t>서울시 강동구 천호동 338-20</t>
        </is>
      </c>
      <c r="AB3042" s="0" t="inlineStr">
        <is>
          <t>서울시</t>
        </is>
      </c>
      <c r="AC3042" s="0" t="inlineStr">
        <is>
          <t>강동구</t>
        </is>
      </c>
      <c r="AD3042" s="0" t="inlineStr">
        <is>
          <t>천호동</t>
        </is>
      </c>
      <c r="AG3042" s="0" t="inlineStr">
        <is>
          <t>서울시 강동구 구천면로13길 17</t>
        </is>
      </c>
      <c r="AH3042" s="0" t="n">
        <v>0</v>
      </c>
      <c r="AI3042" s="0" t="n">
        <v>248</v>
      </c>
      <c r="AJ3042" s="0" t="n">
        <v>40</v>
      </c>
      <c r="AK3042" s="0" t="n">
        <v>42</v>
      </c>
      <c r="AL3042" s="0" t="n">
        <v>1</v>
      </c>
    </row>
    <row r="3043">
      <c r="A3043" s="0" t="inlineStr">
        <is>
          <t>[천호동]</t>
        </is>
      </c>
      <c r="B3043" s="0" t="n">
        <v>26432</v>
      </c>
      <c r="C3043" s="0" t="n">
        <v>2</v>
      </c>
      <c r="D3043" s="0" t="inlineStr">
        <is>
          <t>한건브리앙</t>
        </is>
      </c>
      <c r="E3043" s="0" t="inlineStr">
        <is>
          <t>2004.12.</t>
        </is>
      </c>
      <c r="F3043" s="0" t="n">
        <v>42</v>
      </c>
      <c r="G3043" s="0" t="n">
        <v>23.44</v>
      </c>
      <c r="H3043" s="0" t="n">
        <v>77.5</v>
      </c>
      <c r="I3043" s="0" t="n">
        <v>19.12</v>
      </c>
      <c r="J3043" s="0" t="n">
        <v>63.21</v>
      </c>
      <c r="K3043" s="0" t="n">
        <v>8</v>
      </c>
      <c r="T3043" s="0" t="n">
        <v>3</v>
      </c>
      <c r="U3043" s="0" t="n">
        <v>2</v>
      </c>
      <c r="V3043" s="0" t="inlineStr">
        <is>
          <t>복도식</t>
        </is>
      </c>
      <c r="W3043" s="0" t="inlineStr">
        <is>
          <t>77B</t>
        </is>
      </c>
      <c r="X3043" s="0" t="n">
        <v>9</v>
      </c>
      <c r="Y3043" s="0" t="n">
        <v>9</v>
      </c>
      <c r="Z3043" s="0" t="inlineStr">
        <is>
          <t>https://new.land.naver.com/complexes/26432?tab=detail&amp;rf=Y</t>
        </is>
      </c>
      <c r="AA3043" s="0" t="inlineStr">
        <is>
          <t>서울시 강동구 천호동 338-20</t>
        </is>
      </c>
      <c r="AB3043" s="0" t="inlineStr">
        <is>
          <t>서울시</t>
        </is>
      </c>
      <c r="AC3043" s="0" t="inlineStr">
        <is>
          <t>강동구</t>
        </is>
      </c>
      <c r="AD3043" s="0" t="inlineStr">
        <is>
          <t>천호동</t>
        </is>
      </c>
      <c r="AG3043" s="0" t="inlineStr">
        <is>
          <t>서울시 강동구 구천면로13길 17</t>
        </is>
      </c>
      <c r="AH3043" s="0" t="n">
        <v>0</v>
      </c>
      <c r="AI3043" s="0" t="n">
        <v>248</v>
      </c>
      <c r="AJ3043" s="0" t="n">
        <v>40</v>
      </c>
      <c r="AK3043" s="0" t="n">
        <v>42</v>
      </c>
      <c r="AL3043" s="0" t="n">
        <v>1</v>
      </c>
    </row>
    <row r="3044">
      <c r="A3044" s="0" t="inlineStr">
        <is>
          <t>[천호동]</t>
        </is>
      </c>
      <c r="B3044" s="0" t="n">
        <v>26432</v>
      </c>
      <c r="C3044" s="0" t="n">
        <v>3</v>
      </c>
      <c r="D3044" s="0" t="inlineStr">
        <is>
          <t>한건브리앙</t>
        </is>
      </c>
      <c r="E3044" s="0" t="inlineStr">
        <is>
          <t>2004.12.</t>
        </is>
      </c>
      <c r="F3044" s="0" t="n">
        <v>42</v>
      </c>
      <c r="G3044" s="0" t="n">
        <v>23.59</v>
      </c>
      <c r="H3044" s="0" t="n">
        <v>78</v>
      </c>
      <c r="I3044" s="0" t="n">
        <v>19.22</v>
      </c>
      <c r="J3044" s="0" t="n">
        <v>63.55</v>
      </c>
      <c r="K3044" s="0" t="n">
        <v>8</v>
      </c>
      <c r="T3044" s="0" t="n">
        <v>3</v>
      </c>
      <c r="U3044" s="0" t="n">
        <v>2</v>
      </c>
      <c r="V3044" s="0" t="inlineStr">
        <is>
          <t>계단식</t>
        </is>
      </c>
      <c r="W3044" s="0" t="n">
        <v>78</v>
      </c>
      <c r="X3044" s="0" t="n">
        <v>9</v>
      </c>
      <c r="Y3044" s="0" t="n">
        <v>9</v>
      </c>
      <c r="Z3044" s="0" t="inlineStr">
        <is>
          <t>https://new.land.naver.com/complexes/26432?tab=detail&amp;rf=Y</t>
        </is>
      </c>
      <c r="AA3044" s="0" t="inlineStr">
        <is>
          <t>서울시 강동구 천호동 338-20</t>
        </is>
      </c>
      <c r="AB3044" s="0" t="inlineStr">
        <is>
          <t>서울시</t>
        </is>
      </c>
      <c r="AC3044" s="0" t="inlineStr">
        <is>
          <t>강동구</t>
        </is>
      </c>
      <c r="AD3044" s="0" t="inlineStr">
        <is>
          <t>천호동</t>
        </is>
      </c>
      <c r="AG3044" s="0" t="inlineStr">
        <is>
          <t>서울시 강동구 구천면로13길 17</t>
        </is>
      </c>
      <c r="AH3044" s="0" t="n">
        <v>0</v>
      </c>
      <c r="AI3044" s="0" t="n">
        <v>248</v>
      </c>
      <c r="AJ3044" s="0" t="n">
        <v>40</v>
      </c>
      <c r="AK3044" s="0" t="n">
        <v>42</v>
      </c>
      <c r="AL3044" s="0" t="n">
        <v>1</v>
      </c>
    </row>
    <row r="3045">
      <c r="A3045" s="0" t="inlineStr">
        <is>
          <t>[천호동]</t>
        </is>
      </c>
      <c r="B3045" s="0" t="n">
        <v>26432</v>
      </c>
      <c r="C3045" s="0" t="n">
        <v>4</v>
      </c>
      <c r="D3045" s="0" t="inlineStr">
        <is>
          <t>한건브리앙</t>
        </is>
      </c>
      <c r="E3045" s="0" t="inlineStr">
        <is>
          <t>2004.12.</t>
        </is>
      </c>
      <c r="F3045" s="0" t="n">
        <v>42</v>
      </c>
      <c r="G3045" s="0" t="n">
        <v>24.74</v>
      </c>
      <c r="H3045" s="0" t="n">
        <v>81.8</v>
      </c>
      <c r="I3045" s="0" t="n">
        <v>20.23</v>
      </c>
      <c r="J3045" s="0" t="n">
        <v>66.90000000000001</v>
      </c>
      <c r="K3045" s="0" t="n">
        <v>8</v>
      </c>
      <c r="T3045" s="0" t="n">
        <v>3</v>
      </c>
      <c r="U3045" s="0" t="n">
        <v>2</v>
      </c>
      <c r="V3045" s="0" t="inlineStr">
        <is>
          <t>계단식</t>
        </is>
      </c>
      <c r="W3045" s="0" t="n">
        <v>81</v>
      </c>
      <c r="X3045" s="0" t="n">
        <v>9</v>
      </c>
      <c r="Y3045" s="0" t="n">
        <v>9</v>
      </c>
      <c r="Z3045" s="0" t="inlineStr">
        <is>
          <t>https://new.land.naver.com/complexes/26432?tab=detail&amp;rf=Y</t>
        </is>
      </c>
      <c r="AA3045" s="0" t="inlineStr">
        <is>
          <t>서울시 강동구 천호동 338-20</t>
        </is>
      </c>
      <c r="AB3045" s="0" t="inlineStr">
        <is>
          <t>서울시</t>
        </is>
      </c>
      <c r="AC3045" s="0" t="inlineStr">
        <is>
          <t>강동구</t>
        </is>
      </c>
      <c r="AD3045" s="0" t="inlineStr">
        <is>
          <t>천호동</t>
        </is>
      </c>
      <c r="AG3045" s="0" t="inlineStr">
        <is>
          <t>서울시 강동구 구천면로13길 17</t>
        </is>
      </c>
      <c r="AH3045" s="0" t="n">
        <v>0</v>
      </c>
      <c r="AI3045" s="0" t="n">
        <v>248</v>
      </c>
      <c r="AJ3045" s="0" t="n">
        <v>40</v>
      </c>
      <c r="AK3045" s="0" t="n">
        <v>42</v>
      </c>
      <c r="AL3045" s="0" t="n">
        <v>1</v>
      </c>
    </row>
    <row r="3046">
      <c r="A3046" s="0" t="inlineStr">
        <is>
          <t>[천호동]</t>
        </is>
      </c>
      <c r="B3046" s="0" t="n">
        <v>26432</v>
      </c>
      <c r="C3046" s="0" t="n">
        <v>5</v>
      </c>
      <c r="D3046" s="0" t="inlineStr">
        <is>
          <t>한건브리앙</t>
        </is>
      </c>
      <c r="E3046" s="0" t="inlineStr">
        <is>
          <t>2004.12.</t>
        </is>
      </c>
      <c r="F3046" s="0" t="n">
        <v>42</v>
      </c>
      <c r="G3046" s="0" t="n">
        <v>30.28</v>
      </c>
      <c r="H3046" s="0" t="n">
        <v>100.11</v>
      </c>
      <c r="I3046" s="0" t="n">
        <v>24.71</v>
      </c>
      <c r="J3046" s="0" t="n">
        <v>81.7</v>
      </c>
      <c r="K3046" s="0" t="n">
        <v>9</v>
      </c>
      <c r="T3046" s="0" t="n">
        <v>3</v>
      </c>
      <c r="U3046" s="0" t="n">
        <v>2</v>
      </c>
      <c r="V3046" s="0" t="inlineStr">
        <is>
          <t>계단식</t>
        </is>
      </c>
      <c r="W3046" s="0" t="n">
        <v>100</v>
      </c>
      <c r="X3046" s="0" t="n">
        <v>9</v>
      </c>
      <c r="Y3046" s="0" t="n">
        <v>9</v>
      </c>
      <c r="Z3046" s="0" t="inlineStr">
        <is>
          <t>https://new.land.naver.com/complexes/26432?tab=detail&amp;rf=Y</t>
        </is>
      </c>
      <c r="AA3046" s="0" t="inlineStr">
        <is>
          <t>서울시 강동구 천호동 338-20</t>
        </is>
      </c>
      <c r="AB3046" s="0" t="inlineStr">
        <is>
          <t>서울시</t>
        </is>
      </c>
      <c r="AC3046" s="0" t="inlineStr">
        <is>
          <t>강동구</t>
        </is>
      </c>
      <c r="AD3046" s="0" t="inlineStr">
        <is>
          <t>천호동</t>
        </is>
      </c>
      <c r="AG3046" s="0" t="inlineStr">
        <is>
          <t>서울시 강동구 구천면로13길 17</t>
        </is>
      </c>
      <c r="AH3046" s="0" t="n">
        <v>0</v>
      </c>
      <c r="AI3046" s="0" t="n">
        <v>248</v>
      </c>
      <c r="AJ3046" s="0" t="n">
        <v>40</v>
      </c>
      <c r="AK3046" s="0" t="n">
        <v>42</v>
      </c>
      <c r="AL3046" s="0" t="n">
        <v>1</v>
      </c>
    </row>
    <row r="3047">
      <c r="A3047" s="0" t="inlineStr">
        <is>
          <t>[천호동]</t>
        </is>
      </c>
      <c r="B3047" s="0" t="n">
        <v>131442</v>
      </c>
      <c r="C3047" s="0" t="n">
        <v>1</v>
      </c>
      <c r="D3047" s="0" t="inlineStr">
        <is>
          <t>성우스타팰리스(167-160,도시형)</t>
        </is>
      </c>
      <c r="E3047" s="0" t="inlineStr">
        <is>
          <t>2017.05.</t>
        </is>
      </c>
      <c r="F3047" s="0" t="n">
        <v>20</v>
      </c>
      <c r="G3047" s="0" t="n">
        <v>10.2</v>
      </c>
      <c r="H3047" s="0" t="n">
        <v>33.73</v>
      </c>
      <c r="I3047" s="0" t="n">
        <v>8.710000000000001</v>
      </c>
      <c r="J3047" s="0" t="n">
        <v>28.8</v>
      </c>
      <c r="K3047" s="0" t="n">
        <v>5</v>
      </c>
      <c r="T3047" s="0" t="n">
        <v>1</v>
      </c>
      <c r="U3047" s="0" t="n">
        <v>1</v>
      </c>
      <c r="V3047" s="0" t="inlineStr">
        <is>
          <t>계단식</t>
        </is>
      </c>
      <c r="W3047" s="0" t="inlineStr">
        <is>
          <t>33A</t>
        </is>
      </c>
      <c r="X3047" s="0" t="n">
        <v>11</v>
      </c>
      <c r="Y3047" s="0" t="n">
        <v>11</v>
      </c>
      <c r="Z3047" s="0" t="inlineStr">
        <is>
          <t>https://new.land.naver.com/complexes/131442?tab=detail&amp;rf=Y</t>
        </is>
      </c>
      <c r="AA3047" s="0" t="inlineStr">
        <is>
          <t>서울시 강동구 천호동 167-160</t>
        </is>
      </c>
      <c r="AB3047" s="0" t="inlineStr">
        <is>
          <t>서울시</t>
        </is>
      </c>
      <c r="AC3047" s="0" t="inlineStr">
        <is>
          <t>강동구</t>
        </is>
      </c>
      <c r="AD3047" s="0" t="inlineStr">
        <is>
          <t>천호동</t>
        </is>
      </c>
      <c r="AG3047" s="0" t="inlineStr">
        <is>
          <t>서울시 강동구 성안로27길 57-23</t>
        </is>
      </c>
      <c r="AH3047" s="0" t="n">
        <v>0</v>
      </c>
      <c r="AI3047" s="0" t="n">
        <v>392</v>
      </c>
      <c r="AJ3047" s="0" t="n">
        <v>55</v>
      </c>
      <c r="AK3047" s="0" t="n">
        <v>15</v>
      </c>
      <c r="AL3047" s="0" t="n">
        <v>0.75</v>
      </c>
    </row>
    <row r="3048">
      <c r="A3048" s="0" t="inlineStr">
        <is>
          <t>[천호동]</t>
        </is>
      </c>
      <c r="B3048" s="0" t="n">
        <v>131442</v>
      </c>
      <c r="C3048" s="0" t="n">
        <v>2</v>
      </c>
      <c r="D3048" s="0" t="inlineStr">
        <is>
          <t>성우스타팰리스(167-160,도시형)</t>
        </is>
      </c>
      <c r="E3048" s="0" t="inlineStr">
        <is>
          <t>2017.05.</t>
        </is>
      </c>
      <c r="F3048" s="0" t="n">
        <v>20</v>
      </c>
      <c r="G3048" s="0" t="n">
        <v>10.28</v>
      </c>
      <c r="H3048" s="0" t="n">
        <v>34</v>
      </c>
      <c r="I3048" s="0" t="n">
        <v>8.779999999999999</v>
      </c>
      <c r="J3048" s="0" t="n">
        <v>29.03</v>
      </c>
      <c r="K3048" s="0" t="n">
        <v>5</v>
      </c>
      <c r="T3048" s="0" t="n">
        <v>1</v>
      </c>
      <c r="U3048" s="0" t="n">
        <v>1</v>
      </c>
      <c r="V3048" s="0" t="inlineStr">
        <is>
          <t>계단식</t>
        </is>
      </c>
      <c r="W3048" s="0" t="inlineStr">
        <is>
          <t>34B</t>
        </is>
      </c>
      <c r="X3048" s="0" t="n">
        <v>11</v>
      </c>
      <c r="Y3048" s="0" t="n">
        <v>11</v>
      </c>
      <c r="Z3048" s="0" t="inlineStr">
        <is>
          <t>https://new.land.naver.com/complexes/131442?tab=detail&amp;rf=Y</t>
        </is>
      </c>
      <c r="AA3048" s="0" t="inlineStr">
        <is>
          <t>서울시 강동구 천호동 167-160</t>
        </is>
      </c>
      <c r="AB3048" s="0" t="inlineStr">
        <is>
          <t>서울시</t>
        </is>
      </c>
      <c r="AC3048" s="0" t="inlineStr">
        <is>
          <t>강동구</t>
        </is>
      </c>
      <c r="AD3048" s="0" t="inlineStr">
        <is>
          <t>천호동</t>
        </is>
      </c>
      <c r="AG3048" s="0" t="inlineStr">
        <is>
          <t>서울시 강동구 성안로27길 57-23</t>
        </is>
      </c>
      <c r="AH3048" s="0" t="n">
        <v>0</v>
      </c>
      <c r="AI3048" s="0" t="n">
        <v>392</v>
      </c>
      <c r="AJ3048" s="0" t="n">
        <v>55</v>
      </c>
      <c r="AK3048" s="0" t="n">
        <v>15</v>
      </c>
      <c r="AL3048" s="0" t="n">
        <v>0.75</v>
      </c>
    </row>
    <row r="3049">
      <c r="A3049" s="0" t="inlineStr">
        <is>
          <t>[천호동]</t>
        </is>
      </c>
      <c r="B3049" s="0" t="n">
        <v>131442</v>
      </c>
      <c r="C3049" s="0" t="n">
        <v>3</v>
      </c>
      <c r="D3049" s="0" t="inlineStr">
        <is>
          <t>성우스타팰리스(167-160,도시형)</t>
        </is>
      </c>
      <c r="E3049" s="0" t="inlineStr">
        <is>
          <t>2017.05.</t>
        </is>
      </c>
      <c r="F3049" s="0" t="n">
        <v>20</v>
      </c>
      <c r="G3049" s="0" t="n">
        <v>15.02</v>
      </c>
      <c r="H3049" s="0" t="n">
        <v>49.66</v>
      </c>
      <c r="I3049" s="0" t="n">
        <v>12.82</v>
      </c>
      <c r="J3049" s="0" t="n">
        <v>42.4</v>
      </c>
      <c r="K3049" s="0" t="n">
        <v>5</v>
      </c>
      <c r="T3049" s="0" t="n">
        <v>1</v>
      </c>
      <c r="U3049" s="0" t="n">
        <v>1</v>
      </c>
      <c r="V3049" s="0" t="inlineStr">
        <is>
          <t>계단식</t>
        </is>
      </c>
      <c r="W3049" s="0" t="inlineStr">
        <is>
          <t>49A</t>
        </is>
      </c>
      <c r="X3049" s="0" t="n">
        <v>11</v>
      </c>
      <c r="Y3049" s="0" t="n">
        <v>11</v>
      </c>
      <c r="Z3049" s="0" t="inlineStr">
        <is>
          <t>https://new.land.naver.com/complexes/131442?tab=detail&amp;rf=Y</t>
        </is>
      </c>
      <c r="AA3049" s="0" t="inlineStr">
        <is>
          <t>서울시 강동구 천호동 167-160</t>
        </is>
      </c>
      <c r="AB3049" s="0" t="inlineStr">
        <is>
          <t>서울시</t>
        </is>
      </c>
      <c r="AC3049" s="0" t="inlineStr">
        <is>
          <t>강동구</t>
        </is>
      </c>
      <c r="AD3049" s="0" t="inlineStr">
        <is>
          <t>천호동</t>
        </is>
      </c>
      <c r="AG3049" s="0" t="inlineStr">
        <is>
          <t>서울시 강동구 성안로27길 57-23</t>
        </is>
      </c>
      <c r="AH3049" s="0" t="n">
        <v>0</v>
      </c>
      <c r="AI3049" s="0" t="n">
        <v>392</v>
      </c>
      <c r="AJ3049" s="0" t="n">
        <v>55</v>
      </c>
      <c r="AK3049" s="0" t="n">
        <v>15</v>
      </c>
      <c r="AL3049" s="0" t="n">
        <v>0.75</v>
      </c>
    </row>
    <row r="3050">
      <c r="A3050" s="0" t="inlineStr">
        <is>
          <t>[천호동]</t>
        </is>
      </c>
      <c r="B3050" s="0" t="n">
        <v>131442</v>
      </c>
      <c r="C3050" s="0" t="n">
        <v>4</v>
      </c>
      <c r="D3050" s="0" t="inlineStr">
        <is>
          <t>성우스타팰리스(167-160,도시형)</t>
        </is>
      </c>
      <c r="E3050" s="0" t="inlineStr">
        <is>
          <t>2017.05.</t>
        </is>
      </c>
      <c r="F3050" s="0" t="n">
        <v>20</v>
      </c>
      <c r="G3050" s="0" t="n">
        <v>15.04</v>
      </c>
      <c r="H3050" s="0" t="n">
        <v>49.73</v>
      </c>
      <c r="I3050" s="0" t="n">
        <v>12.84</v>
      </c>
      <c r="J3050" s="0" t="n">
        <v>42.46</v>
      </c>
      <c r="K3050" s="0" t="n">
        <v>5</v>
      </c>
      <c r="T3050" s="0" t="n">
        <v>1</v>
      </c>
      <c r="U3050" s="0" t="n">
        <v>1</v>
      </c>
      <c r="V3050" s="0" t="inlineStr">
        <is>
          <t>계단식</t>
        </is>
      </c>
      <c r="W3050" s="0" t="inlineStr">
        <is>
          <t>49B</t>
        </is>
      </c>
      <c r="X3050" s="0" t="n">
        <v>11</v>
      </c>
      <c r="Y3050" s="0" t="n">
        <v>11</v>
      </c>
      <c r="Z3050" s="0" t="inlineStr">
        <is>
          <t>https://new.land.naver.com/complexes/131442?tab=detail&amp;rf=Y</t>
        </is>
      </c>
      <c r="AA3050" s="0" t="inlineStr">
        <is>
          <t>서울시 강동구 천호동 167-160</t>
        </is>
      </c>
      <c r="AB3050" s="0" t="inlineStr">
        <is>
          <t>서울시</t>
        </is>
      </c>
      <c r="AC3050" s="0" t="inlineStr">
        <is>
          <t>강동구</t>
        </is>
      </c>
      <c r="AD3050" s="0" t="inlineStr">
        <is>
          <t>천호동</t>
        </is>
      </c>
      <c r="AG3050" s="0" t="inlineStr">
        <is>
          <t>서울시 강동구 성안로27길 57-23</t>
        </is>
      </c>
      <c r="AH3050" s="0" t="n">
        <v>0</v>
      </c>
      <c r="AI3050" s="0" t="n">
        <v>392</v>
      </c>
      <c r="AJ3050" s="0" t="n">
        <v>55</v>
      </c>
      <c r="AK3050" s="0" t="n">
        <v>15</v>
      </c>
      <c r="AL3050" s="0" t="n">
        <v>0.75</v>
      </c>
    </row>
    <row r="3051">
      <c r="A3051" s="0" t="inlineStr">
        <is>
          <t>[천호동]</t>
        </is>
      </c>
      <c r="B3051" s="0" t="n">
        <v>119855</v>
      </c>
      <c r="C3051" s="0" t="n">
        <v>1</v>
      </c>
      <c r="D3051" s="0" t="inlineStr">
        <is>
          <t>현진리버파크</t>
        </is>
      </c>
      <c r="E3051" s="0" t="inlineStr">
        <is>
          <t>2017.12.</t>
        </is>
      </c>
      <c r="F3051" s="0" t="n">
        <v>72</v>
      </c>
      <c r="G3051" s="0" t="n">
        <v>6.91</v>
      </c>
      <c r="H3051" s="0" t="n">
        <v>22.85</v>
      </c>
      <c r="I3051" s="0" t="n">
        <v>4.5</v>
      </c>
      <c r="J3051" s="0" t="n">
        <v>14.9</v>
      </c>
      <c r="K3051" s="0" t="n">
        <v>16</v>
      </c>
      <c r="T3051" s="0" t="n">
        <v>1</v>
      </c>
      <c r="U3051" s="0" t="n">
        <v>1</v>
      </c>
      <c r="V3051" s="0" t="inlineStr">
        <is>
          <t>계단식</t>
        </is>
      </c>
      <c r="W3051" s="0" t="n">
        <v>22</v>
      </c>
      <c r="X3051" s="0" t="n">
        <v>10</v>
      </c>
      <c r="Y3051" s="0" t="n">
        <v>10</v>
      </c>
      <c r="Z3051" s="0" t="inlineStr">
        <is>
          <t>https://new.land.naver.com/complexes/119855?tab=detail&amp;rf=Y</t>
        </is>
      </c>
      <c r="AA3051" s="0" t="inlineStr">
        <is>
          <t>서울시 강동구 천호동 467-11</t>
        </is>
      </c>
      <c r="AB3051" s="0" t="inlineStr">
        <is>
          <t>서울시</t>
        </is>
      </c>
      <c r="AC3051" s="0" t="inlineStr">
        <is>
          <t>강동구</t>
        </is>
      </c>
      <c r="AD3051" s="0" t="inlineStr">
        <is>
          <t>천호동</t>
        </is>
      </c>
      <c r="AG3051" s="0" t="inlineStr">
        <is>
          <t>서울시 강동구 구천면로 144</t>
        </is>
      </c>
      <c r="AH3051" s="0" t="n">
        <v>0</v>
      </c>
      <c r="AI3051" s="0" t="n">
        <v>359</v>
      </c>
      <c r="AJ3051" s="0" t="n">
        <v>56</v>
      </c>
      <c r="AK3051" s="0" t="n">
        <v>41</v>
      </c>
      <c r="AL3051" s="0" t="n">
        <v>0.57</v>
      </c>
    </row>
    <row r="3052">
      <c r="A3052" s="0" t="inlineStr">
        <is>
          <t>[천호동]</t>
        </is>
      </c>
      <c r="B3052" s="0" t="n">
        <v>119855</v>
      </c>
      <c r="C3052" s="0" t="n">
        <v>2</v>
      </c>
      <c r="D3052" s="0" t="inlineStr">
        <is>
          <t>현진리버파크</t>
        </is>
      </c>
      <c r="E3052" s="0" t="inlineStr">
        <is>
          <t>2017.12.</t>
        </is>
      </c>
      <c r="F3052" s="0" t="n">
        <v>72</v>
      </c>
      <c r="G3052" s="0" t="n">
        <v>10.17</v>
      </c>
      <c r="H3052" s="0" t="n">
        <v>33.64</v>
      </c>
      <c r="I3052" s="0" t="n">
        <v>6.98</v>
      </c>
      <c r="J3052" s="0" t="n">
        <v>23.08</v>
      </c>
      <c r="K3052" s="0" t="n">
        <v>8</v>
      </c>
      <c r="T3052" s="0" t="n">
        <v>1</v>
      </c>
      <c r="U3052" s="0" t="n">
        <v>1</v>
      </c>
      <c r="V3052" s="0" t="inlineStr">
        <is>
          <t>계단식</t>
        </is>
      </c>
      <c r="W3052" s="0" t="inlineStr">
        <is>
          <t>33A</t>
        </is>
      </c>
      <c r="X3052" s="0" t="n">
        <v>10</v>
      </c>
      <c r="Y3052" s="0" t="n">
        <v>10</v>
      </c>
      <c r="Z3052" s="0" t="inlineStr">
        <is>
          <t>https://new.land.naver.com/complexes/119855?tab=detail&amp;rf=Y</t>
        </is>
      </c>
      <c r="AA3052" s="0" t="inlineStr">
        <is>
          <t>서울시 강동구 천호동 467-11</t>
        </is>
      </c>
      <c r="AB3052" s="0" t="inlineStr">
        <is>
          <t>서울시</t>
        </is>
      </c>
      <c r="AC3052" s="0" t="inlineStr">
        <is>
          <t>강동구</t>
        </is>
      </c>
      <c r="AD3052" s="0" t="inlineStr">
        <is>
          <t>천호동</t>
        </is>
      </c>
      <c r="AG3052" s="0" t="inlineStr">
        <is>
          <t>서울시 강동구 구천면로 144</t>
        </is>
      </c>
      <c r="AH3052" s="0" t="n">
        <v>0</v>
      </c>
      <c r="AI3052" s="0" t="n">
        <v>359</v>
      </c>
      <c r="AJ3052" s="0" t="n">
        <v>56</v>
      </c>
      <c r="AK3052" s="0" t="n">
        <v>41</v>
      </c>
      <c r="AL3052" s="0" t="n">
        <v>0.57</v>
      </c>
    </row>
    <row r="3053">
      <c r="A3053" s="0" t="inlineStr">
        <is>
          <t>[천호동]</t>
        </is>
      </c>
      <c r="B3053" s="0" t="n">
        <v>119855</v>
      </c>
      <c r="C3053" s="0" t="n">
        <v>3</v>
      </c>
      <c r="D3053" s="0" t="inlineStr">
        <is>
          <t>현진리버파크</t>
        </is>
      </c>
      <c r="E3053" s="0" t="inlineStr">
        <is>
          <t>2017.12.</t>
        </is>
      </c>
      <c r="F3053" s="0" t="n">
        <v>72</v>
      </c>
      <c r="G3053" s="0" t="n">
        <v>10.39</v>
      </c>
      <c r="H3053" s="0" t="n">
        <v>34.38</v>
      </c>
      <c r="I3053" s="0" t="n">
        <v>7.03</v>
      </c>
      <c r="J3053" s="0" t="n">
        <v>23.24</v>
      </c>
      <c r="K3053" s="0" t="n">
        <v>32</v>
      </c>
      <c r="T3053" s="0" t="n">
        <v>1</v>
      </c>
      <c r="U3053" s="0" t="n">
        <v>1</v>
      </c>
      <c r="V3053" s="0" t="inlineStr">
        <is>
          <t>계단식</t>
        </is>
      </c>
      <c r="W3053" s="0" t="inlineStr">
        <is>
          <t>34B</t>
        </is>
      </c>
      <c r="X3053" s="0" t="n">
        <v>10</v>
      </c>
      <c r="Y3053" s="0" t="n">
        <v>10</v>
      </c>
      <c r="Z3053" s="0" t="inlineStr">
        <is>
          <t>https://new.land.naver.com/complexes/119855?tab=detail&amp;rf=Y</t>
        </is>
      </c>
      <c r="AA3053" s="0" t="inlineStr">
        <is>
          <t>서울시 강동구 천호동 467-11</t>
        </is>
      </c>
      <c r="AB3053" s="0" t="inlineStr">
        <is>
          <t>서울시</t>
        </is>
      </c>
      <c r="AC3053" s="0" t="inlineStr">
        <is>
          <t>강동구</t>
        </is>
      </c>
      <c r="AD3053" s="0" t="inlineStr">
        <is>
          <t>천호동</t>
        </is>
      </c>
      <c r="AG3053" s="0" t="inlineStr">
        <is>
          <t>서울시 강동구 구천면로 144</t>
        </is>
      </c>
      <c r="AH3053" s="0" t="n">
        <v>0</v>
      </c>
      <c r="AI3053" s="0" t="n">
        <v>359</v>
      </c>
      <c r="AJ3053" s="0" t="n">
        <v>56</v>
      </c>
      <c r="AK3053" s="0" t="n">
        <v>41</v>
      </c>
      <c r="AL3053" s="0" t="n">
        <v>0.57</v>
      </c>
    </row>
    <row r="3054">
      <c r="A3054" s="0" t="inlineStr">
        <is>
          <t>[천호동]</t>
        </is>
      </c>
      <c r="B3054" s="0" t="n">
        <v>119855</v>
      </c>
      <c r="C3054" s="0" t="n">
        <v>4</v>
      </c>
      <c r="D3054" s="0" t="inlineStr">
        <is>
          <t>현진리버파크</t>
        </is>
      </c>
      <c r="E3054" s="0" t="inlineStr">
        <is>
          <t>2017.12.</t>
        </is>
      </c>
      <c r="F3054" s="0" t="n">
        <v>72</v>
      </c>
      <c r="G3054" s="0" t="n">
        <v>10.31</v>
      </c>
      <c r="H3054" s="0" t="n">
        <v>34.09</v>
      </c>
      <c r="I3054" s="0" t="n">
        <v>7.03</v>
      </c>
      <c r="J3054" s="0" t="n">
        <v>23.26</v>
      </c>
      <c r="K3054" s="0" t="n">
        <v>8</v>
      </c>
      <c r="T3054" s="0" t="n">
        <v>1</v>
      </c>
      <c r="U3054" s="0" t="n">
        <v>1</v>
      </c>
      <c r="V3054" s="0" t="inlineStr">
        <is>
          <t>계단식</t>
        </is>
      </c>
      <c r="W3054" s="0" t="inlineStr">
        <is>
          <t>34C</t>
        </is>
      </c>
      <c r="X3054" s="0" t="n">
        <v>10</v>
      </c>
      <c r="Y3054" s="0" t="n">
        <v>10</v>
      </c>
      <c r="Z3054" s="0" t="inlineStr">
        <is>
          <t>https://new.land.naver.com/complexes/119855?tab=detail&amp;rf=Y</t>
        </is>
      </c>
      <c r="AA3054" s="0" t="inlineStr">
        <is>
          <t>서울시 강동구 천호동 467-11</t>
        </is>
      </c>
      <c r="AB3054" s="0" t="inlineStr">
        <is>
          <t>서울시</t>
        </is>
      </c>
      <c r="AC3054" s="0" t="inlineStr">
        <is>
          <t>강동구</t>
        </is>
      </c>
      <c r="AD3054" s="0" t="inlineStr">
        <is>
          <t>천호동</t>
        </is>
      </c>
      <c r="AG3054" s="0" t="inlineStr">
        <is>
          <t>서울시 강동구 구천면로 144</t>
        </is>
      </c>
      <c r="AH3054" s="0" t="n">
        <v>0</v>
      </c>
      <c r="AI3054" s="0" t="n">
        <v>359</v>
      </c>
      <c r="AJ3054" s="0" t="n">
        <v>56</v>
      </c>
      <c r="AK3054" s="0" t="n">
        <v>41</v>
      </c>
      <c r="AL3054" s="0" t="n">
        <v>0.57</v>
      </c>
    </row>
    <row r="3055">
      <c r="A3055" s="0" t="inlineStr">
        <is>
          <t>[천호동]</t>
        </is>
      </c>
      <c r="B3055" s="0" t="n">
        <v>119855</v>
      </c>
      <c r="C3055" s="0" t="n">
        <v>5</v>
      </c>
      <c r="D3055" s="0" t="inlineStr">
        <is>
          <t>현진리버파크</t>
        </is>
      </c>
      <c r="E3055" s="0" t="inlineStr">
        <is>
          <t>2017.12.</t>
        </is>
      </c>
      <c r="F3055" s="0" t="n">
        <v>72</v>
      </c>
      <c r="G3055" s="0" t="n">
        <v>11.14</v>
      </c>
      <c r="H3055" s="0" t="n">
        <v>36.85</v>
      </c>
      <c r="I3055" s="0" t="n">
        <v>7.49</v>
      </c>
      <c r="J3055" s="0" t="n">
        <v>24.77</v>
      </c>
      <c r="K3055" s="0" t="n">
        <v>8</v>
      </c>
      <c r="T3055" s="0" t="n">
        <v>1</v>
      </c>
      <c r="U3055" s="0" t="n">
        <v>1</v>
      </c>
      <c r="V3055" s="0" t="inlineStr">
        <is>
          <t>계단식</t>
        </is>
      </c>
      <c r="W3055" s="0" t="n">
        <v>36</v>
      </c>
      <c r="X3055" s="0" t="n">
        <v>10</v>
      </c>
      <c r="Y3055" s="0" t="n">
        <v>10</v>
      </c>
      <c r="Z3055" s="0" t="inlineStr">
        <is>
          <t>https://new.land.naver.com/complexes/119855?tab=detail&amp;rf=Y</t>
        </is>
      </c>
      <c r="AA3055" s="0" t="inlineStr">
        <is>
          <t>서울시 강동구 천호동 467-11</t>
        </is>
      </c>
      <c r="AB3055" s="0" t="inlineStr">
        <is>
          <t>서울시</t>
        </is>
      </c>
      <c r="AC3055" s="0" t="inlineStr">
        <is>
          <t>강동구</t>
        </is>
      </c>
      <c r="AD3055" s="0" t="inlineStr">
        <is>
          <t>천호동</t>
        </is>
      </c>
      <c r="AG3055" s="0" t="inlineStr">
        <is>
          <t>서울시 강동구 구천면로 144</t>
        </is>
      </c>
      <c r="AH3055" s="0" t="n">
        <v>0</v>
      </c>
      <c r="AI3055" s="0" t="n">
        <v>359</v>
      </c>
      <c r="AJ3055" s="0" t="n">
        <v>56</v>
      </c>
      <c r="AK3055" s="0" t="n">
        <v>41</v>
      </c>
      <c r="AL3055" s="0" t="n">
        <v>0.57</v>
      </c>
    </row>
    <row r="3056">
      <c r="A3056" s="0" t="inlineStr">
        <is>
          <t>[천호동]</t>
        </is>
      </c>
      <c r="B3056" s="0" t="n">
        <v>120213</v>
      </c>
      <c r="C3056" s="0" t="n">
        <v>1</v>
      </c>
      <c r="D3056" s="0" t="inlineStr">
        <is>
          <t>다성이즈빌(167-97)</t>
        </is>
      </c>
      <c r="E3056" s="0" t="inlineStr">
        <is>
          <t>2017.12.</t>
        </is>
      </c>
      <c r="F3056" s="0" t="n">
        <v>20</v>
      </c>
      <c r="G3056" s="0" t="n">
        <v>6.13</v>
      </c>
      <c r="H3056" s="0" t="n">
        <v>20.29</v>
      </c>
      <c r="I3056" s="0" t="n">
        <v>4.98</v>
      </c>
      <c r="J3056" s="0" t="n">
        <v>16.48</v>
      </c>
      <c r="K3056" s="0" t="n">
        <v>5</v>
      </c>
      <c r="T3056" s="0" t="n">
        <v>1</v>
      </c>
      <c r="U3056" s="0" t="n">
        <v>1</v>
      </c>
      <c r="V3056" s="0" t="inlineStr">
        <is>
          <t>계단식</t>
        </is>
      </c>
      <c r="W3056" s="0" t="inlineStr">
        <is>
          <t>20A</t>
        </is>
      </c>
      <c r="X3056" s="0" t="n">
        <v>12</v>
      </c>
      <c r="Y3056" s="0" t="n">
        <v>12</v>
      </c>
      <c r="Z3056" s="0" t="inlineStr">
        <is>
          <t>https://new.land.naver.com/complexes/120213?tab=detail&amp;rf=Y</t>
        </is>
      </c>
      <c r="AA3056" s="0" t="inlineStr">
        <is>
          <t>서울시 강동구 천호동 167-97</t>
        </is>
      </c>
      <c r="AB3056" s="0" t="inlineStr">
        <is>
          <t>서울시</t>
        </is>
      </c>
      <c r="AC3056" s="0" t="inlineStr">
        <is>
          <t>강동구</t>
        </is>
      </c>
      <c r="AD3056" s="0" t="inlineStr">
        <is>
          <t>천호동</t>
        </is>
      </c>
      <c r="AG3056" s="0" t="inlineStr">
        <is>
          <t>서울시 강동구 성안로27길 57-18</t>
        </is>
      </c>
      <c r="AH3056" s="0" t="n">
        <v>0</v>
      </c>
      <c r="AI3056" s="0" t="n">
        <v>399</v>
      </c>
      <c r="AJ3056" s="0" t="n">
        <v>58</v>
      </c>
      <c r="AK3056" s="0" t="n">
        <v>12</v>
      </c>
      <c r="AL3056" s="0" t="n">
        <v>0.6</v>
      </c>
    </row>
    <row r="3057">
      <c r="A3057" s="0" t="inlineStr">
        <is>
          <t>[천호동]</t>
        </is>
      </c>
      <c r="B3057" s="0" t="n">
        <v>120213</v>
      </c>
      <c r="C3057" s="0" t="n">
        <v>2</v>
      </c>
      <c r="D3057" s="0" t="inlineStr">
        <is>
          <t>다성이즈빌(167-97)</t>
        </is>
      </c>
      <c r="E3057" s="0" t="inlineStr">
        <is>
          <t>2017.12.</t>
        </is>
      </c>
      <c r="F3057" s="0" t="n">
        <v>20</v>
      </c>
      <c r="G3057" s="0" t="n">
        <v>6.34</v>
      </c>
      <c r="H3057" s="0" t="n">
        <v>20.97</v>
      </c>
      <c r="I3057" s="0" t="n">
        <v>5.15</v>
      </c>
      <c r="J3057" s="0" t="n">
        <v>17.03</v>
      </c>
      <c r="K3057" s="0" t="n">
        <v>5</v>
      </c>
      <c r="T3057" s="0" t="n">
        <v>1</v>
      </c>
      <c r="U3057" s="0" t="n">
        <v>1</v>
      </c>
      <c r="V3057" s="0" t="inlineStr">
        <is>
          <t>계단식</t>
        </is>
      </c>
      <c r="W3057" s="0" t="inlineStr">
        <is>
          <t>20B</t>
        </is>
      </c>
      <c r="X3057" s="0" t="n">
        <v>12</v>
      </c>
      <c r="Y3057" s="0" t="n">
        <v>12</v>
      </c>
      <c r="Z3057" s="0" t="inlineStr">
        <is>
          <t>https://new.land.naver.com/complexes/120213?tab=detail&amp;rf=Y</t>
        </is>
      </c>
      <c r="AA3057" s="0" t="inlineStr">
        <is>
          <t>서울시 강동구 천호동 167-97</t>
        </is>
      </c>
      <c r="AB3057" s="0" t="inlineStr">
        <is>
          <t>서울시</t>
        </is>
      </c>
      <c r="AC3057" s="0" t="inlineStr">
        <is>
          <t>강동구</t>
        </is>
      </c>
      <c r="AD3057" s="0" t="inlineStr">
        <is>
          <t>천호동</t>
        </is>
      </c>
      <c r="AG3057" s="0" t="inlineStr">
        <is>
          <t>서울시 강동구 성안로27길 57-18</t>
        </is>
      </c>
      <c r="AH3057" s="0" t="n">
        <v>0</v>
      </c>
      <c r="AI3057" s="0" t="n">
        <v>399</v>
      </c>
      <c r="AJ3057" s="0" t="n">
        <v>58</v>
      </c>
      <c r="AK3057" s="0" t="n">
        <v>12</v>
      </c>
      <c r="AL3057" s="0" t="n">
        <v>0.6</v>
      </c>
    </row>
    <row r="3058">
      <c r="A3058" s="0" t="inlineStr">
        <is>
          <t>[천호동]</t>
        </is>
      </c>
      <c r="B3058" s="0" t="n">
        <v>120213</v>
      </c>
      <c r="C3058" s="0" t="n">
        <v>3</v>
      </c>
      <c r="D3058" s="0" t="inlineStr">
        <is>
          <t>다성이즈빌(167-97)</t>
        </is>
      </c>
      <c r="E3058" s="0" t="inlineStr">
        <is>
          <t>2017.12.</t>
        </is>
      </c>
      <c r="F3058" s="0" t="n">
        <v>20</v>
      </c>
      <c r="G3058" s="0" t="n">
        <v>6.75</v>
      </c>
      <c r="H3058" s="0" t="n">
        <v>22.33</v>
      </c>
      <c r="I3058" s="0" t="n">
        <v>5.48</v>
      </c>
      <c r="J3058" s="0" t="n">
        <v>18.13</v>
      </c>
      <c r="K3058" s="0" t="n">
        <v>5</v>
      </c>
      <c r="T3058" s="0" t="n">
        <v>1</v>
      </c>
      <c r="U3058" s="0" t="n">
        <v>1</v>
      </c>
      <c r="V3058" s="0" t="inlineStr">
        <is>
          <t>계단식</t>
        </is>
      </c>
      <c r="W3058" s="0" t="n">
        <v>22</v>
      </c>
      <c r="X3058" s="0" t="n">
        <v>12</v>
      </c>
      <c r="Y3058" s="0" t="n">
        <v>12</v>
      </c>
      <c r="Z3058" s="0" t="inlineStr">
        <is>
          <t>https://new.land.naver.com/complexes/120213?tab=detail&amp;rf=Y</t>
        </is>
      </c>
      <c r="AA3058" s="0" t="inlineStr">
        <is>
          <t>서울시 강동구 천호동 167-97</t>
        </is>
      </c>
      <c r="AB3058" s="0" t="inlineStr">
        <is>
          <t>서울시</t>
        </is>
      </c>
      <c r="AC3058" s="0" t="inlineStr">
        <is>
          <t>강동구</t>
        </is>
      </c>
      <c r="AD3058" s="0" t="inlineStr">
        <is>
          <t>천호동</t>
        </is>
      </c>
      <c r="AG3058" s="0" t="inlineStr">
        <is>
          <t>서울시 강동구 성안로27길 57-18</t>
        </is>
      </c>
      <c r="AH3058" s="0" t="n">
        <v>0</v>
      </c>
      <c r="AI3058" s="0" t="n">
        <v>399</v>
      </c>
      <c r="AJ3058" s="0" t="n">
        <v>58</v>
      </c>
      <c r="AK3058" s="0" t="n">
        <v>12</v>
      </c>
      <c r="AL3058" s="0" t="n">
        <v>0.6</v>
      </c>
    </row>
    <row r="3059">
      <c r="A3059" s="0" t="inlineStr">
        <is>
          <t>[천호동]</t>
        </is>
      </c>
      <c r="B3059" s="0" t="n">
        <v>120213</v>
      </c>
      <c r="C3059" s="0" t="n">
        <v>4</v>
      </c>
      <c r="D3059" s="0" t="inlineStr">
        <is>
          <t>다성이즈빌(167-97)</t>
        </is>
      </c>
      <c r="E3059" s="0" t="inlineStr">
        <is>
          <t>2017.12.</t>
        </is>
      </c>
      <c r="F3059" s="0" t="n">
        <v>20</v>
      </c>
      <c r="G3059" s="0" t="n">
        <v>9.59</v>
      </c>
      <c r="H3059" s="0" t="n">
        <v>31.73</v>
      </c>
      <c r="I3059" s="0" t="n">
        <v>7.79</v>
      </c>
      <c r="J3059" s="0" t="n">
        <v>25.77</v>
      </c>
      <c r="K3059" s="0" t="n">
        <v>5</v>
      </c>
      <c r="T3059" s="0" t="n">
        <v>2</v>
      </c>
      <c r="U3059" s="0" t="n">
        <v>1</v>
      </c>
      <c r="V3059" s="0" t="inlineStr">
        <is>
          <t>계단식</t>
        </is>
      </c>
      <c r="W3059" s="0" t="n">
        <v>31</v>
      </c>
      <c r="X3059" s="0" t="n">
        <v>12</v>
      </c>
      <c r="Y3059" s="0" t="n">
        <v>12</v>
      </c>
      <c r="Z3059" s="0" t="inlineStr">
        <is>
          <t>https://new.land.naver.com/complexes/120213?tab=detail&amp;rf=Y</t>
        </is>
      </c>
      <c r="AA3059" s="0" t="inlineStr">
        <is>
          <t>서울시 강동구 천호동 167-97</t>
        </is>
      </c>
      <c r="AB3059" s="0" t="inlineStr">
        <is>
          <t>서울시</t>
        </is>
      </c>
      <c r="AC3059" s="0" t="inlineStr">
        <is>
          <t>강동구</t>
        </is>
      </c>
      <c r="AD3059" s="0" t="inlineStr">
        <is>
          <t>천호동</t>
        </is>
      </c>
      <c r="AG3059" s="0" t="inlineStr">
        <is>
          <t>서울시 강동구 성안로27길 57-18</t>
        </is>
      </c>
      <c r="AH3059" s="0" t="n">
        <v>0</v>
      </c>
      <c r="AI3059" s="0" t="n">
        <v>399</v>
      </c>
      <c r="AJ3059" s="0" t="n">
        <v>58</v>
      </c>
      <c r="AK3059" s="0" t="n">
        <v>12</v>
      </c>
      <c r="AL3059" s="0" t="n">
        <v>0.6</v>
      </c>
    </row>
    <row r="3060">
      <c r="A3060" s="0" t="inlineStr">
        <is>
          <t>[천호동]</t>
        </is>
      </c>
      <c r="B3060" s="0" t="n">
        <v>1004</v>
      </c>
      <c r="C3060" s="0" t="n">
        <v>1</v>
      </c>
      <c r="D3060" s="0" t="inlineStr">
        <is>
          <t>천호태영</t>
        </is>
      </c>
      <c r="E3060" s="0" t="inlineStr">
        <is>
          <t>1999.11.</t>
        </is>
      </c>
      <c r="F3060" s="0" t="n">
        <v>649</v>
      </c>
      <c r="G3060" s="0" t="n">
        <v>25.07</v>
      </c>
      <c r="H3060" s="0" t="n">
        <v>82.88</v>
      </c>
      <c r="I3060" s="0" t="n">
        <v>18.03</v>
      </c>
      <c r="J3060" s="0" t="n">
        <v>59.63</v>
      </c>
      <c r="K3060" s="0" t="n">
        <v>80</v>
      </c>
      <c r="T3060" s="0" t="n">
        <v>3</v>
      </c>
      <c r="U3060" s="0" t="n">
        <v>1</v>
      </c>
      <c r="V3060" s="0" t="inlineStr">
        <is>
          <t>복도식</t>
        </is>
      </c>
      <c r="W3060" s="0" t="n">
        <v>82</v>
      </c>
      <c r="X3060" s="0" t="n">
        <v>24</v>
      </c>
      <c r="Y3060" s="0" t="n">
        <v>15</v>
      </c>
      <c r="Z3060" s="0" t="inlineStr">
        <is>
          <t>https://new.land.naver.com/complexes/1004?tab=detail&amp;rf=Y</t>
        </is>
      </c>
      <c r="AA3060" s="0" t="inlineStr">
        <is>
          <t>서울시 강동구 천호동 566</t>
        </is>
      </c>
      <c r="AB3060" s="0" t="inlineStr">
        <is>
          <t>서울시</t>
        </is>
      </c>
      <c r="AC3060" s="0" t="inlineStr">
        <is>
          <t>강동구</t>
        </is>
      </c>
      <c r="AD3060" s="0" t="inlineStr">
        <is>
          <t>천호동</t>
        </is>
      </c>
      <c r="AG3060" s="0" t="inlineStr">
        <is>
          <t>서울시 강동구 천호대로 1055</t>
        </is>
      </c>
      <c r="AH3060" s="0" t="n">
        <v>264</v>
      </c>
      <c r="AI3060" s="0" t="n">
        <v>315</v>
      </c>
      <c r="AJ3060" s="0" t="n">
        <v>20</v>
      </c>
      <c r="AK3060" s="0" t="n">
        <v>535</v>
      </c>
      <c r="AL3060" s="0" t="n">
        <v>0.82</v>
      </c>
    </row>
    <row r="3061">
      <c r="A3061" s="0" t="inlineStr">
        <is>
          <t>[천호동]</t>
        </is>
      </c>
      <c r="B3061" s="0" t="n">
        <v>1004</v>
      </c>
      <c r="C3061" s="0" t="n">
        <v>2</v>
      </c>
      <c r="D3061" s="0" t="inlineStr">
        <is>
          <t>천호태영</t>
        </is>
      </c>
      <c r="E3061" s="0" t="inlineStr">
        <is>
          <t>1999.11.</t>
        </is>
      </c>
      <c r="F3061" s="0" t="n">
        <v>649</v>
      </c>
      <c r="G3061" s="0" t="n">
        <v>32.93</v>
      </c>
      <c r="H3061" s="0" t="n">
        <v>108.87</v>
      </c>
      <c r="I3061" s="0" t="n">
        <v>25.67</v>
      </c>
      <c r="J3061" s="0" t="n">
        <v>84.88</v>
      </c>
      <c r="K3061" s="0" t="n">
        <v>137</v>
      </c>
      <c r="T3061" s="0" t="n">
        <v>3</v>
      </c>
      <c r="U3061" s="0" t="n">
        <v>2</v>
      </c>
      <c r="V3061" s="0" t="inlineStr">
        <is>
          <t>계단식</t>
        </is>
      </c>
      <c r="W3061" s="0" t="inlineStr">
        <is>
          <t>108A</t>
        </is>
      </c>
      <c r="X3061" s="0" t="n">
        <v>24</v>
      </c>
      <c r="Y3061" s="0" t="n">
        <v>15</v>
      </c>
      <c r="Z3061" s="0" t="inlineStr">
        <is>
          <t>https://new.land.naver.com/complexes/1004?tab=detail&amp;rf=Y</t>
        </is>
      </c>
      <c r="AA3061" s="0" t="inlineStr">
        <is>
          <t>서울시 강동구 천호동 566</t>
        </is>
      </c>
      <c r="AB3061" s="0" t="inlineStr">
        <is>
          <t>서울시</t>
        </is>
      </c>
      <c r="AC3061" s="0" t="inlineStr">
        <is>
          <t>강동구</t>
        </is>
      </c>
      <c r="AD3061" s="0" t="inlineStr">
        <is>
          <t>천호동</t>
        </is>
      </c>
      <c r="AG3061" s="0" t="inlineStr">
        <is>
          <t>서울시 강동구 천호대로 1055</t>
        </is>
      </c>
      <c r="AH3061" s="0" t="n">
        <v>264</v>
      </c>
      <c r="AI3061" s="0" t="n">
        <v>315</v>
      </c>
      <c r="AJ3061" s="0" t="n">
        <v>20</v>
      </c>
      <c r="AK3061" s="0" t="n">
        <v>535</v>
      </c>
      <c r="AL3061" s="0" t="n">
        <v>0.82</v>
      </c>
    </row>
    <row r="3062">
      <c r="A3062" s="0" t="inlineStr">
        <is>
          <t>[천호동]</t>
        </is>
      </c>
      <c r="B3062" s="0" t="n">
        <v>1004</v>
      </c>
      <c r="C3062" s="0" t="n">
        <v>3</v>
      </c>
      <c r="D3062" s="0" t="inlineStr">
        <is>
          <t>천호태영</t>
        </is>
      </c>
      <c r="E3062" s="0" t="inlineStr">
        <is>
          <t>1999.11.</t>
        </is>
      </c>
      <c r="F3062" s="0" t="n">
        <v>649</v>
      </c>
      <c r="G3062" s="0" t="n">
        <v>33.18</v>
      </c>
      <c r="H3062" s="0" t="n">
        <v>109.71</v>
      </c>
      <c r="I3062" s="0" t="n">
        <v>25.67</v>
      </c>
      <c r="J3062" s="0" t="n">
        <v>84.88</v>
      </c>
      <c r="K3062" s="0" t="n">
        <v>46</v>
      </c>
      <c r="T3062" s="0" t="n">
        <v>3</v>
      </c>
      <c r="U3062" s="0" t="n">
        <v>2</v>
      </c>
      <c r="V3062" s="0" t="inlineStr">
        <is>
          <t>계단식</t>
        </is>
      </c>
      <c r="W3062" s="0" t="inlineStr">
        <is>
          <t>109B</t>
        </is>
      </c>
      <c r="X3062" s="0" t="n">
        <v>24</v>
      </c>
      <c r="Y3062" s="0" t="n">
        <v>15</v>
      </c>
      <c r="Z3062" s="0" t="inlineStr">
        <is>
          <t>https://new.land.naver.com/complexes/1004?tab=detail&amp;rf=Y</t>
        </is>
      </c>
      <c r="AA3062" s="0" t="inlineStr">
        <is>
          <t>서울시 강동구 천호동 566</t>
        </is>
      </c>
      <c r="AB3062" s="0" t="inlineStr">
        <is>
          <t>서울시</t>
        </is>
      </c>
      <c r="AC3062" s="0" t="inlineStr">
        <is>
          <t>강동구</t>
        </is>
      </c>
      <c r="AD3062" s="0" t="inlineStr">
        <is>
          <t>천호동</t>
        </is>
      </c>
      <c r="AG3062" s="0" t="inlineStr">
        <is>
          <t>서울시 강동구 천호대로 1055</t>
        </is>
      </c>
      <c r="AH3062" s="0" t="n">
        <v>264</v>
      </c>
      <c r="AI3062" s="0" t="n">
        <v>315</v>
      </c>
      <c r="AJ3062" s="0" t="n">
        <v>20</v>
      </c>
      <c r="AK3062" s="0" t="n">
        <v>535</v>
      </c>
      <c r="AL3062" s="0" t="n">
        <v>0.82</v>
      </c>
    </row>
    <row r="3063">
      <c r="A3063" s="0" t="inlineStr">
        <is>
          <t>[천호동]</t>
        </is>
      </c>
      <c r="B3063" s="0" t="n">
        <v>1004</v>
      </c>
      <c r="C3063" s="0" t="n">
        <v>4</v>
      </c>
      <c r="D3063" s="0" t="inlineStr">
        <is>
          <t>천호태영</t>
        </is>
      </c>
      <c r="E3063" s="0" t="inlineStr">
        <is>
          <t>1999.11.</t>
        </is>
      </c>
      <c r="F3063" s="0" t="n">
        <v>649</v>
      </c>
      <c r="G3063" s="0" t="n">
        <v>42.08</v>
      </c>
      <c r="H3063" s="0" t="n">
        <v>139.13</v>
      </c>
      <c r="I3063" s="0" t="n">
        <v>34.73</v>
      </c>
      <c r="J3063" s="0" t="n">
        <v>114.83</v>
      </c>
      <c r="K3063" s="0" t="n">
        <v>30</v>
      </c>
      <c r="T3063" s="0" t="n">
        <v>4</v>
      </c>
      <c r="U3063" s="0" t="n">
        <v>2</v>
      </c>
      <c r="V3063" s="0" t="inlineStr">
        <is>
          <t>계단식</t>
        </is>
      </c>
      <c r="W3063" s="0" t="inlineStr">
        <is>
          <t>139A</t>
        </is>
      </c>
      <c r="X3063" s="0" t="n">
        <v>24</v>
      </c>
      <c r="Y3063" s="0" t="n">
        <v>15</v>
      </c>
      <c r="Z3063" s="0" t="inlineStr">
        <is>
          <t>https://new.land.naver.com/complexes/1004?tab=detail&amp;rf=Y</t>
        </is>
      </c>
      <c r="AA3063" s="0" t="inlineStr">
        <is>
          <t>서울시 강동구 천호동 566</t>
        </is>
      </c>
      <c r="AB3063" s="0" t="inlineStr">
        <is>
          <t>서울시</t>
        </is>
      </c>
      <c r="AC3063" s="0" t="inlineStr">
        <is>
          <t>강동구</t>
        </is>
      </c>
      <c r="AD3063" s="0" t="inlineStr">
        <is>
          <t>천호동</t>
        </is>
      </c>
      <c r="AG3063" s="0" t="inlineStr">
        <is>
          <t>서울시 강동구 천호대로 1055</t>
        </is>
      </c>
      <c r="AH3063" s="0" t="n">
        <v>264</v>
      </c>
      <c r="AI3063" s="0" t="n">
        <v>315</v>
      </c>
      <c r="AJ3063" s="0" t="n">
        <v>20</v>
      </c>
      <c r="AK3063" s="0" t="n">
        <v>535</v>
      </c>
      <c r="AL3063" s="0" t="n">
        <v>0.82</v>
      </c>
    </row>
    <row r="3064">
      <c r="A3064" s="0" t="inlineStr">
        <is>
          <t>[천호동]</t>
        </is>
      </c>
      <c r="B3064" s="0" t="n">
        <v>1004</v>
      </c>
      <c r="C3064" s="0" t="n">
        <v>5</v>
      </c>
      <c r="D3064" s="0" t="inlineStr">
        <is>
          <t>천호태영</t>
        </is>
      </c>
      <c r="E3064" s="0" t="inlineStr">
        <is>
          <t>1999.11.</t>
        </is>
      </c>
      <c r="F3064" s="0" t="n">
        <v>649</v>
      </c>
      <c r="G3064" s="0" t="n">
        <v>42.84</v>
      </c>
      <c r="H3064" s="0" t="n">
        <v>141.65</v>
      </c>
      <c r="I3064" s="0" t="n">
        <v>34.73</v>
      </c>
      <c r="J3064" s="0" t="n">
        <v>114.83</v>
      </c>
      <c r="K3064" s="0" t="n">
        <v>46</v>
      </c>
      <c r="T3064" s="0" t="n">
        <v>4</v>
      </c>
      <c r="U3064" s="0" t="n">
        <v>2</v>
      </c>
      <c r="V3064" s="0" t="inlineStr">
        <is>
          <t>계단식</t>
        </is>
      </c>
      <c r="W3064" s="0" t="inlineStr">
        <is>
          <t>141B</t>
        </is>
      </c>
      <c r="X3064" s="0" t="n">
        <v>24</v>
      </c>
      <c r="Y3064" s="0" t="n">
        <v>15</v>
      </c>
      <c r="Z3064" s="0" t="inlineStr">
        <is>
          <t>https://new.land.naver.com/complexes/1004?tab=detail&amp;rf=Y</t>
        </is>
      </c>
      <c r="AA3064" s="0" t="inlineStr">
        <is>
          <t>서울시 강동구 천호동 566</t>
        </is>
      </c>
      <c r="AB3064" s="0" t="inlineStr">
        <is>
          <t>서울시</t>
        </is>
      </c>
      <c r="AC3064" s="0" t="inlineStr">
        <is>
          <t>강동구</t>
        </is>
      </c>
      <c r="AD3064" s="0" t="inlineStr">
        <is>
          <t>천호동</t>
        </is>
      </c>
      <c r="AG3064" s="0" t="inlineStr">
        <is>
          <t>서울시 강동구 천호대로 1055</t>
        </is>
      </c>
      <c r="AH3064" s="0" t="n">
        <v>264</v>
      </c>
      <c r="AI3064" s="0" t="n">
        <v>315</v>
      </c>
      <c r="AJ3064" s="0" t="n">
        <v>20</v>
      </c>
      <c r="AK3064" s="0" t="n">
        <v>535</v>
      </c>
      <c r="AL3064" s="0" t="n">
        <v>0.82</v>
      </c>
    </row>
    <row r="3065">
      <c r="A3065" s="0" t="inlineStr">
        <is>
          <t>[천호동]</t>
        </is>
      </c>
      <c r="B3065" s="0" t="n">
        <v>1004</v>
      </c>
      <c r="C3065" s="0" t="n">
        <v>6</v>
      </c>
      <c r="D3065" s="0" t="inlineStr">
        <is>
          <t>천호태영</t>
        </is>
      </c>
      <c r="E3065" s="0" t="inlineStr">
        <is>
          <t>1999.11.</t>
        </is>
      </c>
      <c r="F3065" s="0" t="n">
        <v>649</v>
      </c>
      <c r="G3065" s="0" t="n">
        <v>43.04</v>
      </c>
      <c r="H3065" s="0" t="n">
        <v>142.31</v>
      </c>
      <c r="I3065" s="0" t="n">
        <v>34.73</v>
      </c>
      <c r="J3065" s="0" t="n">
        <v>114.83</v>
      </c>
      <c r="K3065" s="0" t="n">
        <v>46</v>
      </c>
      <c r="T3065" s="0" t="n">
        <v>4</v>
      </c>
      <c r="U3065" s="0" t="n">
        <v>2</v>
      </c>
      <c r="V3065" s="0" t="inlineStr">
        <is>
          <t>계단식</t>
        </is>
      </c>
      <c r="W3065" s="0" t="inlineStr">
        <is>
          <t>142C</t>
        </is>
      </c>
      <c r="X3065" s="0" t="n">
        <v>24</v>
      </c>
      <c r="Y3065" s="0" t="n">
        <v>15</v>
      </c>
      <c r="Z3065" s="0" t="inlineStr">
        <is>
          <t>https://new.land.naver.com/complexes/1004?tab=detail&amp;rf=Y</t>
        </is>
      </c>
      <c r="AA3065" s="0" t="inlineStr">
        <is>
          <t>서울시 강동구 천호동 566</t>
        </is>
      </c>
      <c r="AB3065" s="0" t="inlineStr">
        <is>
          <t>서울시</t>
        </is>
      </c>
      <c r="AC3065" s="0" t="inlineStr">
        <is>
          <t>강동구</t>
        </is>
      </c>
      <c r="AD3065" s="0" t="inlineStr">
        <is>
          <t>천호동</t>
        </is>
      </c>
      <c r="AG3065" s="0" t="inlineStr">
        <is>
          <t>서울시 강동구 천호대로 1055</t>
        </is>
      </c>
      <c r="AH3065" s="0" t="n">
        <v>264</v>
      </c>
      <c r="AI3065" s="0" t="n">
        <v>315</v>
      </c>
      <c r="AJ3065" s="0" t="n">
        <v>20</v>
      </c>
      <c r="AK3065" s="0" t="n">
        <v>535</v>
      </c>
      <c r="AL3065" s="0" t="n">
        <v>0.82</v>
      </c>
    </row>
    <row r="3066">
      <c r="A3066" s="0" t="inlineStr">
        <is>
          <t>[천호동]</t>
        </is>
      </c>
      <c r="B3066" s="0" t="n">
        <v>126385</v>
      </c>
      <c r="C3066" s="0" t="n">
        <v>1</v>
      </c>
      <c r="D3066" s="0" t="inlineStr">
        <is>
          <t>성우스타팰리스(163-21,도시형)</t>
        </is>
      </c>
      <c r="E3066" s="0" t="inlineStr">
        <is>
          <t>2019.04.</t>
        </is>
      </c>
      <c r="F3066" s="0" t="n">
        <v>20</v>
      </c>
      <c r="G3066" s="0" t="n">
        <v>6.13</v>
      </c>
      <c r="H3066" s="0" t="n">
        <v>20.27</v>
      </c>
      <c r="I3066" s="0" t="n">
        <v>5.12</v>
      </c>
      <c r="J3066" s="0" t="n">
        <v>16.93</v>
      </c>
      <c r="K3066" s="0" t="n">
        <v>5</v>
      </c>
      <c r="T3066" s="0" t="n">
        <v>1</v>
      </c>
      <c r="U3066" s="0" t="n">
        <v>1</v>
      </c>
      <c r="V3066" s="0" t="inlineStr">
        <is>
          <t>계단식</t>
        </is>
      </c>
      <c r="W3066" s="0" t="n">
        <v>20</v>
      </c>
      <c r="X3066" s="0" t="n">
        <v>11</v>
      </c>
      <c r="Y3066" s="0" t="n">
        <v>11</v>
      </c>
      <c r="Z3066" s="0" t="inlineStr">
        <is>
          <t>https://new.land.naver.com/complexes/126385?tab=detail&amp;rf=Y</t>
        </is>
      </c>
      <c r="AA3066" s="0" t="inlineStr">
        <is>
          <t>서울시 강동구 천호동 163-21</t>
        </is>
      </c>
      <c r="AB3066" s="0" t="inlineStr">
        <is>
          <t>서울시</t>
        </is>
      </c>
      <c r="AC3066" s="0" t="inlineStr">
        <is>
          <t>강동구</t>
        </is>
      </c>
      <c r="AD3066" s="0" t="inlineStr">
        <is>
          <t>천호동</t>
        </is>
      </c>
      <c r="AG3066" s="0" t="inlineStr">
        <is>
          <t>서울시 강동구 진황도로31길 14-10</t>
        </is>
      </c>
      <c r="AH3066" s="0" t="n">
        <v>0</v>
      </c>
      <c r="AI3066" s="0" t="n">
        <v>399</v>
      </c>
      <c r="AJ3066" s="0" t="n">
        <v>46</v>
      </c>
      <c r="AK3066" s="0" t="n">
        <v>13</v>
      </c>
      <c r="AL3066" s="0" t="n">
        <v>0.65</v>
      </c>
    </row>
    <row r="3067">
      <c r="A3067" s="0" t="inlineStr">
        <is>
          <t>[천호동]</t>
        </is>
      </c>
      <c r="B3067" s="0" t="n">
        <v>126385</v>
      </c>
      <c r="C3067" s="0" t="n">
        <v>2</v>
      </c>
      <c r="D3067" s="0" t="inlineStr">
        <is>
          <t>성우스타팰리스(163-21,도시형)</t>
        </is>
      </c>
      <c r="E3067" s="0" t="inlineStr">
        <is>
          <t>2019.04.</t>
        </is>
      </c>
      <c r="F3067" s="0" t="n">
        <v>20</v>
      </c>
      <c r="G3067" s="0" t="n">
        <v>10.64</v>
      </c>
      <c r="H3067" s="0" t="n">
        <v>35.2</v>
      </c>
      <c r="I3067" s="0" t="n">
        <v>8.890000000000001</v>
      </c>
      <c r="J3067" s="0" t="n">
        <v>29.39</v>
      </c>
      <c r="K3067" s="0" t="n">
        <v>5</v>
      </c>
      <c r="T3067" s="0" t="n">
        <v>1</v>
      </c>
      <c r="U3067" s="0" t="n">
        <v>1</v>
      </c>
      <c r="V3067" s="0" t="inlineStr">
        <is>
          <t>계단식</t>
        </is>
      </c>
      <c r="W3067" s="0" t="inlineStr">
        <is>
          <t>35A</t>
        </is>
      </c>
      <c r="X3067" s="0" t="n">
        <v>11</v>
      </c>
      <c r="Y3067" s="0" t="n">
        <v>11</v>
      </c>
      <c r="Z3067" s="0" t="inlineStr">
        <is>
          <t>https://new.land.naver.com/complexes/126385?tab=detail&amp;rf=Y</t>
        </is>
      </c>
      <c r="AA3067" s="0" t="inlineStr">
        <is>
          <t>서울시 강동구 천호동 163-21</t>
        </is>
      </c>
      <c r="AB3067" s="0" t="inlineStr">
        <is>
          <t>서울시</t>
        </is>
      </c>
      <c r="AC3067" s="0" t="inlineStr">
        <is>
          <t>강동구</t>
        </is>
      </c>
      <c r="AD3067" s="0" t="inlineStr">
        <is>
          <t>천호동</t>
        </is>
      </c>
      <c r="AG3067" s="0" t="inlineStr">
        <is>
          <t>서울시 강동구 진황도로31길 14-10</t>
        </is>
      </c>
      <c r="AH3067" s="0" t="n">
        <v>0</v>
      </c>
      <c r="AI3067" s="0" t="n">
        <v>399</v>
      </c>
      <c r="AJ3067" s="0" t="n">
        <v>46</v>
      </c>
      <c r="AK3067" s="0" t="n">
        <v>13</v>
      </c>
      <c r="AL3067" s="0" t="n">
        <v>0.65</v>
      </c>
    </row>
    <row r="3068">
      <c r="A3068" s="0" t="inlineStr">
        <is>
          <t>[천호동]</t>
        </is>
      </c>
      <c r="B3068" s="0" t="n">
        <v>126385</v>
      </c>
      <c r="C3068" s="0" t="n">
        <v>3</v>
      </c>
      <c r="D3068" s="0" t="inlineStr">
        <is>
          <t>성우스타팰리스(163-21,도시형)</t>
        </is>
      </c>
      <c r="E3068" s="0" t="inlineStr">
        <is>
          <t>2019.04.</t>
        </is>
      </c>
      <c r="F3068" s="0" t="n">
        <v>20</v>
      </c>
      <c r="G3068" s="0" t="n">
        <v>10.81</v>
      </c>
      <c r="H3068" s="0" t="n">
        <v>35.75</v>
      </c>
      <c r="I3068" s="0" t="n">
        <v>9.02</v>
      </c>
      <c r="J3068" s="0" t="n">
        <v>29.85</v>
      </c>
      <c r="K3068" s="0" t="n">
        <v>5</v>
      </c>
      <c r="T3068" s="0" t="n">
        <v>1</v>
      </c>
      <c r="U3068" s="0" t="n">
        <v>1</v>
      </c>
      <c r="V3068" s="0" t="inlineStr">
        <is>
          <t>계단식</t>
        </is>
      </c>
      <c r="W3068" s="0" t="inlineStr">
        <is>
          <t>35B</t>
        </is>
      </c>
      <c r="X3068" s="0" t="n">
        <v>11</v>
      </c>
      <c r="Y3068" s="0" t="n">
        <v>11</v>
      </c>
      <c r="Z3068" s="0" t="inlineStr">
        <is>
          <t>https://new.land.naver.com/complexes/126385?tab=detail&amp;rf=Y</t>
        </is>
      </c>
      <c r="AA3068" s="0" t="inlineStr">
        <is>
          <t>서울시 강동구 천호동 163-21</t>
        </is>
      </c>
      <c r="AB3068" s="0" t="inlineStr">
        <is>
          <t>서울시</t>
        </is>
      </c>
      <c r="AC3068" s="0" t="inlineStr">
        <is>
          <t>강동구</t>
        </is>
      </c>
      <c r="AD3068" s="0" t="inlineStr">
        <is>
          <t>천호동</t>
        </is>
      </c>
      <c r="AG3068" s="0" t="inlineStr">
        <is>
          <t>서울시 강동구 진황도로31길 14-10</t>
        </is>
      </c>
      <c r="AH3068" s="0" t="n">
        <v>0</v>
      </c>
      <c r="AI3068" s="0" t="n">
        <v>399</v>
      </c>
      <c r="AJ3068" s="0" t="n">
        <v>46</v>
      </c>
      <c r="AK3068" s="0" t="n">
        <v>13</v>
      </c>
      <c r="AL3068" s="0" t="n">
        <v>0.65</v>
      </c>
    </row>
    <row r="3069">
      <c r="A3069" s="0" t="inlineStr">
        <is>
          <t>[천호동]</t>
        </is>
      </c>
      <c r="B3069" s="0" t="n">
        <v>126385</v>
      </c>
      <c r="C3069" s="0" t="n">
        <v>4</v>
      </c>
      <c r="D3069" s="0" t="inlineStr">
        <is>
          <t>성우스타팰리스(163-21,도시형)</t>
        </is>
      </c>
      <c r="E3069" s="0" t="inlineStr">
        <is>
          <t>2019.04.</t>
        </is>
      </c>
      <c r="F3069" s="0" t="n">
        <v>20</v>
      </c>
      <c r="G3069" s="0" t="n">
        <v>12.18</v>
      </c>
      <c r="H3069" s="0" t="n">
        <v>40.28</v>
      </c>
      <c r="I3069" s="0" t="n">
        <v>10.17</v>
      </c>
      <c r="J3069" s="0" t="n">
        <v>33.63</v>
      </c>
      <c r="K3069" s="0" t="n">
        <v>5</v>
      </c>
      <c r="T3069" s="0" t="n">
        <v>1</v>
      </c>
      <c r="U3069" s="0" t="n">
        <v>1</v>
      </c>
      <c r="V3069" s="0" t="inlineStr">
        <is>
          <t>계단식</t>
        </is>
      </c>
      <c r="W3069" s="0" t="n">
        <v>40</v>
      </c>
      <c r="X3069" s="0" t="n">
        <v>11</v>
      </c>
      <c r="Y3069" s="0" t="n">
        <v>11</v>
      </c>
      <c r="Z3069" s="0" t="inlineStr">
        <is>
          <t>https://new.land.naver.com/complexes/126385?tab=detail&amp;rf=Y</t>
        </is>
      </c>
      <c r="AA3069" s="0" t="inlineStr">
        <is>
          <t>서울시 강동구 천호동 163-21</t>
        </is>
      </c>
      <c r="AB3069" s="0" t="inlineStr">
        <is>
          <t>서울시</t>
        </is>
      </c>
      <c r="AC3069" s="0" t="inlineStr">
        <is>
          <t>강동구</t>
        </is>
      </c>
      <c r="AD3069" s="0" t="inlineStr">
        <is>
          <t>천호동</t>
        </is>
      </c>
      <c r="AG3069" s="0" t="inlineStr">
        <is>
          <t>서울시 강동구 진황도로31길 14-10</t>
        </is>
      </c>
      <c r="AH3069" s="0" t="n">
        <v>0</v>
      </c>
      <c r="AI3069" s="0" t="n">
        <v>399</v>
      </c>
      <c r="AJ3069" s="0" t="n">
        <v>46</v>
      </c>
      <c r="AK3069" s="0" t="n">
        <v>13</v>
      </c>
      <c r="AL3069" s="0" t="n">
        <v>0.65</v>
      </c>
    </row>
    <row r="3070">
      <c r="A3070" s="0" t="inlineStr">
        <is>
          <t>[천호동]</t>
        </is>
      </c>
      <c r="B3070" s="0" t="n">
        <v>105527</v>
      </c>
      <c r="C3070" s="0" t="n">
        <v>1</v>
      </c>
      <c r="D3070" s="0" t="inlineStr">
        <is>
          <t>지원G델타</t>
        </is>
      </c>
      <c r="E3070" s="0" t="inlineStr">
        <is>
          <t>2004.03.</t>
        </is>
      </c>
      <c r="F3070" s="0" t="n">
        <v>12</v>
      </c>
      <c r="G3070" s="0" t="n">
        <v>29.94</v>
      </c>
      <c r="H3070" s="0" t="n">
        <v>98.98999999999999</v>
      </c>
      <c r="I3070" s="0" t="n">
        <v>25.59</v>
      </c>
      <c r="J3070" s="0" t="n">
        <v>84.59999999999999</v>
      </c>
      <c r="K3070" s="0" t="n">
        <v>12</v>
      </c>
      <c r="T3070" s="0" t="n">
        <v>3</v>
      </c>
      <c r="U3070" s="0" t="n">
        <v>2</v>
      </c>
      <c r="V3070" s="0" t="inlineStr">
        <is>
          <t>복도식</t>
        </is>
      </c>
      <c r="W3070" s="0" t="n">
        <v>98</v>
      </c>
      <c r="X3070" s="0" t="n">
        <v>7</v>
      </c>
      <c r="Y3070" s="0" t="n">
        <v>7</v>
      </c>
      <c r="Z3070" s="0" t="inlineStr">
        <is>
          <t>https://new.land.naver.com/complexes/105527?tab=detail&amp;rf=Y</t>
        </is>
      </c>
      <c r="AA3070" s="0" t="inlineStr">
        <is>
          <t>서울시 강동구 천호동 54-12</t>
        </is>
      </c>
      <c r="AB3070" s="0" t="inlineStr">
        <is>
          <t>서울시</t>
        </is>
      </c>
      <c r="AC3070" s="0" t="inlineStr">
        <is>
          <t>강동구</t>
        </is>
      </c>
      <c r="AD3070" s="0" t="inlineStr">
        <is>
          <t>천호동</t>
        </is>
      </c>
      <c r="AG3070" s="0" t="inlineStr">
        <is>
          <t>서울시 강동구 천중로35가길 11</t>
        </is>
      </c>
      <c r="AH3070" s="0" t="n">
        <v>0</v>
      </c>
      <c r="AI3070" s="0" t="n">
        <v>199</v>
      </c>
      <c r="AJ3070" s="0" t="n">
        <v>35</v>
      </c>
      <c r="AK3070" s="0" t="n">
        <v>14</v>
      </c>
      <c r="AL3070" s="0" t="n">
        <v>1.17</v>
      </c>
    </row>
    <row r="3071">
      <c r="A3071" s="0" t="inlineStr">
        <is>
          <t>[천호동]</t>
        </is>
      </c>
      <c r="B3071" s="0" t="n">
        <v>103439</v>
      </c>
      <c r="C3071" s="0" t="n">
        <v>1</v>
      </c>
      <c r="D3071" s="0" t="inlineStr">
        <is>
          <t>썬팰리스</t>
        </is>
      </c>
      <c r="E3071" s="0" t="inlineStr">
        <is>
          <t>2010.11.</t>
        </is>
      </c>
      <c r="F3071" s="0" t="n">
        <v>29</v>
      </c>
      <c r="G3071" s="0" t="n">
        <v>30.8</v>
      </c>
      <c r="H3071" s="0" t="n">
        <v>101.84</v>
      </c>
      <c r="I3071" s="0" t="n">
        <v>25.5</v>
      </c>
      <c r="J3071" s="0" t="n">
        <v>84.31</v>
      </c>
      <c r="K3071" s="0" t="n">
        <v>29</v>
      </c>
      <c r="T3071" s="0" t="n">
        <v>3</v>
      </c>
      <c r="U3071" s="0" t="n">
        <v>2</v>
      </c>
      <c r="V3071" s="0" t="inlineStr">
        <is>
          <t>계단식</t>
        </is>
      </c>
      <c r="W3071" s="0" t="n">
        <v>101</v>
      </c>
      <c r="X3071" s="0" t="n">
        <v>12</v>
      </c>
      <c r="Y3071" s="0" t="n">
        <v>8</v>
      </c>
      <c r="Z3071" s="0" t="inlineStr">
        <is>
          <t>https://new.land.naver.com/complexes/103439?tab=detail&amp;rf=Y</t>
        </is>
      </c>
      <c r="AA3071" s="0" t="inlineStr">
        <is>
          <t>서울시 강동구 천호동 28-32</t>
        </is>
      </c>
      <c r="AB3071" s="0" t="inlineStr">
        <is>
          <t>서울시</t>
        </is>
      </c>
      <c r="AC3071" s="0" t="inlineStr">
        <is>
          <t>강동구</t>
        </is>
      </c>
      <c r="AD3071" s="0" t="inlineStr">
        <is>
          <t>천호동</t>
        </is>
      </c>
      <c r="AG3071" s="0" t="inlineStr">
        <is>
          <t>서울시 강동구 상암로41길 29</t>
        </is>
      </c>
      <c r="AH3071" s="0" t="n">
        <v>0</v>
      </c>
      <c r="AI3071" s="0" t="n">
        <v>199</v>
      </c>
      <c r="AJ3071" s="0" t="n">
        <v>26</v>
      </c>
      <c r="AK3071" s="0" t="n">
        <v>33</v>
      </c>
      <c r="AL3071" s="0" t="n">
        <v>1.14</v>
      </c>
    </row>
    <row r="3072">
      <c r="A3072" s="0" t="inlineStr">
        <is>
          <t>[천호동]</t>
        </is>
      </c>
      <c r="B3072" s="0" t="n">
        <v>13652</v>
      </c>
      <c r="C3072" s="0" t="n">
        <v>1</v>
      </c>
      <c r="D3072" s="0" t="inlineStr">
        <is>
          <t>신동양빛여울</t>
        </is>
      </c>
      <c r="E3072" s="0" t="inlineStr">
        <is>
          <t>2003.07.</t>
        </is>
      </c>
      <c r="F3072" s="0" t="n">
        <v>33</v>
      </c>
      <c r="G3072" s="0" t="n">
        <v>21.22</v>
      </c>
      <c r="H3072" s="0" t="n">
        <v>70.16</v>
      </c>
      <c r="I3072" s="0" t="n">
        <v>16.64</v>
      </c>
      <c r="J3072" s="0" t="n">
        <v>55.02</v>
      </c>
      <c r="K3072" s="0" t="n">
        <v>1</v>
      </c>
      <c r="T3072" s="0" t="n">
        <v>2</v>
      </c>
      <c r="U3072" s="0" t="n">
        <v>1</v>
      </c>
      <c r="V3072" s="0" t="inlineStr">
        <is>
          <t>계단식</t>
        </is>
      </c>
      <c r="W3072" s="0" t="n">
        <v>70</v>
      </c>
      <c r="X3072" s="0" t="n">
        <v>7</v>
      </c>
      <c r="Y3072" s="0" t="n">
        <v>6</v>
      </c>
      <c r="Z3072" s="0" t="inlineStr">
        <is>
          <t>https://new.land.naver.com/complexes/13652?tab=detail&amp;rf=Y</t>
        </is>
      </c>
      <c r="AA3072" s="0" t="inlineStr">
        <is>
          <t>서울시 강동구 천호동 35-4</t>
        </is>
      </c>
      <c r="AB3072" s="0" t="inlineStr">
        <is>
          <t>서울시</t>
        </is>
      </c>
      <c r="AC3072" s="0" t="inlineStr">
        <is>
          <t>강동구</t>
        </is>
      </c>
      <c r="AD3072" s="0" t="inlineStr">
        <is>
          <t>천호동</t>
        </is>
      </c>
      <c r="AG3072" s="0" t="inlineStr">
        <is>
          <t>서울시 강동구 상암로41가길 11</t>
        </is>
      </c>
      <c r="AH3072" s="0" t="n">
        <v>0</v>
      </c>
      <c r="AI3072" s="0" t="n">
        <v>242</v>
      </c>
      <c r="AJ3072" s="0" t="n">
        <v>38</v>
      </c>
      <c r="AK3072" s="0" t="n">
        <v>31</v>
      </c>
      <c r="AL3072" s="0" t="n">
        <v>0.9399999999999999</v>
      </c>
    </row>
    <row r="3073">
      <c r="A3073" s="0" t="inlineStr">
        <is>
          <t>[천호동]</t>
        </is>
      </c>
      <c r="B3073" s="0" t="n">
        <v>13652</v>
      </c>
      <c r="C3073" s="0" t="n">
        <v>2</v>
      </c>
      <c r="D3073" s="0" t="inlineStr">
        <is>
          <t>신동양빛여울</t>
        </is>
      </c>
      <c r="E3073" s="0" t="inlineStr">
        <is>
          <t>2003.07.</t>
        </is>
      </c>
      <c r="F3073" s="0" t="n">
        <v>33</v>
      </c>
      <c r="G3073" s="0" t="n">
        <v>22.84</v>
      </c>
      <c r="H3073" s="0" t="n">
        <v>75.53</v>
      </c>
      <c r="I3073" s="0" t="n">
        <v>17.99</v>
      </c>
      <c r="J3073" s="0" t="n">
        <v>59.48</v>
      </c>
      <c r="K3073" s="0" t="n">
        <v>7</v>
      </c>
      <c r="T3073" s="0" t="n">
        <v>2</v>
      </c>
      <c r="U3073" s="0" t="n">
        <v>1</v>
      </c>
      <c r="V3073" s="0" t="inlineStr">
        <is>
          <t>계단식</t>
        </is>
      </c>
      <c r="W3073" s="0" t="n">
        <v>75</v>
      </c>
      <c r="X3073" s="0" t="n">
        <v>7</v>
      </c>
      <c r="Y3073" s="0" t="n">
        <v>6</v>
      </c>
      <c r="Z3073" s="0" t="inlineStr">
        <is>
          <t>https://new.land.naver.com/complexes/13652?tab=detail&amp;rf=Y</t>
        </is>
      </c>
      <c r="AA3073" s="0" t="inlineStr">
        <is>
          <t>서울시 강동구 천호동 35-4</t>
        </is>
      </c>
      <c r="AB3073" s="0" t="inlineStr">
        <is>
          <t>서울시</t>
        </is>
      </c>
      <c r="AC3073" s="0" t="inlineStr">
        <is>
          <t>강동구</t>
        </is>
      </c>
      <c r="AD3073" s="0" t="inlineStr">
        <is>
          <t>천호동</t>
        </is>
      </c>
      <c r="AG3073" s="0" t="inlineStr">
        <is>
          <t>서울시 강동구 상암로41가길 11</t>
        </is>
      </c>
      <c r="AH3073" s="0" t="n">
        <v>0</v>
      </c>
      <c r="AI3073" s="0" t="n">
        <v>242</v>
      </c>
      <c r="AJ3073" s="0" t="n">
        <v>38</v>
      </c>
      <c r="AK3073" s="0" t="n">
        <v>31</v>
      </c>
      <c r="AL3073" s="0" t="n">
        <v>0.9399999999999999</v>
      </c>
    </row>
    <row r="3074">
      <c r="A3074" s="0" t="inlineStr">
        <is>
          <t>[천호동]</t>
        </is>
      </c>
      <c r="B3074" s="0" t="n">
        <v>13652</v>
      </c>
      <c r="C3074" s="0" t="n">
        <v>3</v>
      </c>
      <c r="D3074" s="0" t="inlineStr">
        <is>
          <t>신동양빛여울</t>
        </is>
      </c>
      <c r="E3074" s="0" t="inlineStr">
        <is>
          <t>2003.07.</t>
        </is>
      </c>
      <c r="F3074" s="0" t="n">
        <v>33</v>
      </c>
      <c r="G3074" s="0" t="n">
        <v>25.92</v>
      </c>
      <c r="H3074" s="0" t="n">
        <v>85.69</v>
      </c>
      <c r="I3074" s="0" t="n">
        <v>20.49</v>
      </c>
      <c r="J3074" s="0" t="n">
        <v>67.73999999999999</v>
      </c>
      <c r="K3074" s="0" t="n">
        <v>2</v>
      </c>
      <c r="T3074" s="0" t="n">
        <v>2</v>
      </c>
      <c r="U3074" s="0" t="n">
        <v>1</v>
      </c>
      <c r="V3074" s="0" t="inlineStr">
        <is>
          <t>계단식</t>
        </is>
      </c>
      <c r="W3074" s="0" t="n">
        <v>85</v>
      </c>
      <c r="X3074" s="0" t="n">
        <v>7</v>
      </c>
      <c r="Y3074" s="0" t="n">
        <v>6</v>
      </c>
      <c r="Z3074" s="0" t="inlineStr">
        <is>
          <t>https://new.land.naver.com/complexes/13652?tab=detail&amp;rf=Y</t>
        </is>
      </c>
      <c r="AA3074" s="0" t="inlineStr">
        <is>
          <t>서울시 강동구 천호동 35-4</t>
        </is>
      </c>
      <c r="AB3074" s="0" t="inlineStr">
        <is>
          <t>서울시</t>
        </is>
      </c>
      <c r="AC3074" s="0" t="inlineStr">
        <is>
          <t>강동구</t>
        </is>
      </c>
      <c r="AD3074" s="0" t="inlineStr">
        <is>
          <t>천호동</t>
        </is>
      </c>
      <c r="AG3074" s="0" t="inlineStr">
        <is>
          <t>서울시 강동구 상암로41가길 11</t>
        </is>
      </c>
      <c r="AH3074" s="0" t="n">
        <v>0</v>
      </c>
      <c r="AI3074" s="0" t="n">
        <v>242</v>
      </c>
      <c r="AJ3074" s="0" t="n">
        <v>38</v>
      </c>
      <c r="AK3074" s="0" t="n">
        <v>31</v>
      </c>
      <c r="AL3074" s="0" t="n">
        <v>0.9399999999999999</v>
      </c>
    </row>
    <row r="3075">
      <c r="A3075" s="0" t="inlineStr">
        <is>
          <t>[천호동]</t>
        </is>
      </c>
      <c r="B3075" s="0" t="n">
        <v>13652</v>
      </c>
      <c r="C3075" s="0" t="n">
        <v>4</v>
      </c>
      <c r="D3075" s="0" t="inlineStr">
        <is>
          <t>신동양빛여울</t>
        </is>
      </c>
      <c r="E3075" s="0" t="inlineStr">
        <is>
          <t>2003.07.</t>
        </is>
      </c>
      <c r="F3075" s="0" t="n">
        <v>33</v>
      </c>
      <c r="G3075" s="0" t="n">
        <v>26.8</v>
      </c>
      <c r="H3075" s="0" t="n">
        <v>88.59999999999999</v>
      </c>
      <c r="I3075" s="0" t="n">
        <v>21.02</v>
      </c>
      <c r="J3075" s="0" t="n">
        <v>69.5</v>
      </c>
      <c r="K3075" s="0" t="n">
        <v>14</v>
      </c>
      <c r="T3075" s="0" t="n">
        <v>3</v>
      </c>
      <c r="U3075" s="0" t="n">
        <v>1</v>
      </c>
      <c r="V3075" s="0" t="inlineStr">
        <is>
          <t>계단식</t>
        </is>
      </c>
      <c r="W3075" s="0" t="inlineStr">
        <is>
          <t>88A</t>
        </is>
      </c>
      <c r="X3075" s="0" t="n">
        <v>7</v>
      </c>
      <c r="Y3075" s="0" t="n">
        <v>6</v>
      </c>
      <c r="Z3075" s="0" t="inlineStr">
        <is>
          <t>https://new.land.naver.com/complexes/13652?tab=detail&amp;rf=Y</t>
        </is>
      </c>
      <c r="AA3075" s="0" t="inlineStr">
        <is>
          <t>서울시 강동구 천호동 35-4</t>
        </is>
      </c>
      <c r="AB3075" s="0" t="inlineStr">
        <is>
          <t>서울시</t>
        </is>
      </c>
      <c r="AC3075" s="0" t="inlineStr">
        <is>
          <t>강동구</t>
        </is>
      </c>
      <c r="AD3075" s="0" t="inlineStr">
        <is>
          <t>천호동</t>
        </is>
      </c>
      <c r="AG3075" s="0" t="inlineStr">
        <is>
          <t>서울시 강동구 상암로41가길 11</t>
        </is>
      </c>
      <c r="AH3075" s="0" t="n">
        <v>0</v>
      </c>
      <c r="AI3075" s="0" t="n">
        <v>242</v>
      </c>
      <c r="AJ3075" s="0" t="n">
        <v>38</v>
      </c>
      <c r="AK3075" s="0" t="n">
        <v>31</v>
      </c>
      <c r="AL3075" s="0" t="n">
        <v>0.9399999999999999</v>
      </c>
    </row>
    <row r="3076">
      <c r="A3076" s="0" t="inlineStr">
        <is>
          <t>[천호동]</t>
        </is>
      </c>
      <c r="B3076" s="0" t="n">
        <v>13652</v>
      </c>
      <c r="C3076" s="0" t="n">
        <v>5</v>
      </c>
      <c r="D3076" s="0" t="inlineStr">
        <is>
          <t>신동양빛여울</t>
        </is>
      </c>
      <c r="E3076" s="0" t="inlineStr">
        <is>
          <t>2003.07.</t>
        </is>
      </c>
      <c r="F3076" s="0" t="n">
        <v>33</v>
      </c>
      <c r="G3076" s="0" t="n">
        <v>27.2</v>
      </c>
      <c r="H3076" s="0" t="n">
        <v>89.92</v>
      </c>
      <c r="I3076" s="0" t="n">
        <v>21.54</v>
      </c>
      <c r="J3076" s="0" t="n">
        <v>71.22</v>
      </c>
      <c r="K3076" s="0" t="n">
        <v>1</v>
      </c>
      <c r="T3076" s="0" t="n">
        <v>3</v>
      </c>
      <c r="U3076" s="0" t="n">
        <v>1</v>
      </c>
      <c r="V3076" s="0" t="inlineStr">
        <is>
          <t>계단식</t>
        </is>
      </c>
      <c r="W3076" s="0" t="inlineStr">
        <is>
          <t>89B</t>
        </is>
      </c>
      <c r="X3076" s="0" t="n">
        <v>7</v>
      </c>
      <c r="Y3076" s="0" t="n">
        <v>6</v>
      </c>
      <c r="Z3076" s="0" t="inlineStr">
        <is>
          <t>https://new.land.naver.com/complexes/13652?tab=detail&amp;rf=Y</t>
        </is>
      </c>
      <c r="AA3076" s="0" t="inlineStr">
        <is>
          <t>서울시 강동구 천호동 35-4</t>
        </is>
      </c>
      <c r="AB3076" s="0" t="inlineStr">
        <is>
          <t>서울시</t>
        </is>
      </c>
      <c r="AC3076" s="0" t="inlineStr">
        <is>
          <t>강동구</t>
        </is>
      </c>
      <c r="AD3076" s="0" t="inlineStr">
        <is>
          <t>천호동</t>
        </is>
      </c>
      <c r="AG3076" s="0" t="inlineStr">
        <is>
          <t>서울시 강동구 상암로41가길 11</t>
        </is>
      </c>
      <c r="AH3076" s="0" t="n">
        <v>0</v>
      </c>
      <c r="AI3076" s="0" t="n">
        <v>242</v>
      </c>
      <c r="AJ3076" s="0" t="n">
        <v>38</v>
      </c>
      <c r="AK3076" s="0" t="n">
        <v>31</v>
      </c>
      <c r="AL3076" s="0" t="n">
        <v>0.9399999999999999</v>
      </c>
    </row>
    <row r="3077">
      <c r="A3077" s="0" t="inlineStr">
        <is>
          <t>[천호동]</t>
        </is>
      </c>
      <c r="B3077" s="0" t="n">
        <v>13652</v>
      </c>
      <c r="C3077" s="0" t="n">
        <v>6</v>
      </c>
      <c r="D3077" s="0" t="inlineStr">
        <is>
          <t>신동양빛여울</t>
        </is>
      </c>
      <c r="E3077" s="0" t="inlineStr">
        <is>
          <t>2003.07.</t>
        </is>
      </c>
      <c r="F3077" s="0" t="n">
        <v>33</v>
      </c>
      <c r="G3077" s="0" t="n">
        <v>29.04</v>
      </c>
      <c r="H3077" s="0" t="n">
        <v>96.03</v>
      </c>
      <c r="I3077" s="0" t="n">
        <v>23.05</v>
      </c>
      <c r="J3077" s="0" t="n">
        <v>76.2</v>
      </c>
      <c r="K3077" s="0" t="n">
        <v>5</v>
      </c>
      <c r="T3077" s="0" t="n">
        <v>3</v>
      </c>
      <c r="U3077" s="0" t="n">
        <v>1</v>
      </c>
      <c r="V3077" s="0" t="inlineStr">
        <is>
          <t>계단식</t>
        </is>
      </c>
      <c r="W3077" s="0" t="inlineStr">
        <is>
          <t>96A</t>
        </is>
      </c>
      <c r="X3077" s="0" t="n">
        <v>7</v>
      </c>
      <c r="Y3077" s="0" t="n">
        <v>6</v>
      </c>
      <c r="Z3077" s="0" t="inlineStr">
        <is>
          <t>https://new.land.naver.com/complexes/13652?tab=detail&amp;rf=Y</t>
        </is>
      </c>
      <c r="AA3077" s="0" t="inlineStr">
        <is>
          <t>서울시 강동구 천호동 35-4</t>
        </is>
      </c>
      <c r="AB3077" s="0" t="inlineStr">
        <is>
          <t>서울시</t>
        </is>
      </c>
      <c r="AC3077" s="0" t="inlineStr">
        <is>
          <t>강동구</t>
        </is>
      </c>
      <c r="AD3077" s="0" t="inlineStr">
        <is>
          <t>천호동</t>
        </is>
      </c>
      <c r="AG3077" s="0" t="inlineStr">
        <is>
          <t>서울시 강동구 상암로41가길 11</t>
        </is>
      </c>
      <c r="AH3077" s="0" t="n">
        <v>0</v>
      </c>
      <c r="AI3077" s="0" t="n">
        <v>242</v>
      </c>
      <c r="AJ3077" s="0" t="n">
        <v>38</v>
      </c>
      <c r="AK3077" s="0" t="n">
        <v>31</v>
      </c>
      <c r="AL3077" s="0" t="n">
        <v>0.9399999999999999</v>
      </c>
    </row>
    <row r="3078">
      <c r="A3078" s="0" t="inlineStr">
        <is>
          <t>[천호동]</t>
        </is>
      </c>
      <c r="B3078" s="0" t="n">
        <v>13652</v>
      </c>
      <c r="C3078" s="0" t="n">
        <v>7</v>
      </c>
      <c r="D3078" s="0" t="inlineStr">
        <is>
          <t>신동양빛여울</t>
        </is>
      </c>
      <c r="E3078" s="0" t="inlineStr">
        <is>
          <t>2003.07.</t>
        </is>
      </c>
      <c r="F3078" s="0" t="n">
        <v>33</v>
      </c>
      <c r="G3078" s="0" t="n">
        <v>29.05</v>
      </c>
      <c r="H3078" s="0" t="n">
        <v>96.06</v>
      </c>
      <c r="I3078" s="0" t="n">
        <v>23.05</v>
      </c>
      <c r="J3078" s="0" t="n">
        <v>76.20999999999999</v>
      </c>
      <c r="K3078" s="0" t="n">
        <v>1</v>
      </c>
      <c r="T3078" s="0" t="n">
        <v>3</v>
      </c>
      <c r="U3078" s="0" t="n">
        <v>1</v>
      </c>
      <c r="V3078" s="0" t="inlineStr">
        <is>
          <t>계단식</t>
        </is>
      </c>
      <c r="W3078" s="0" t="inlineStr">
        <is>
          <t>96B</t>
        </is>
      </c>
      <c r="X3078" s="0" t="n">
        <v>7</v>
      </c>
      <c r="Y3078" s="0" t="n">
        <v>6</v>
      </c>
      <c r="Z3078" s="0" t="inlineStr">
        <is>
          <t>https://new.land.naver.com/complexes/13652?tab=detail&amp;rf=Y</t>
        </is>
      </c>
      <c r="AA3078" s="0" t="inlineStr">
        <is>
          <t>서울시 강동구 천호동 35-4</t>
        </is>
      </c>
      <c r="AB3078" s="0" t="inlineStr">
        <is>
          <t>서울시</t>
        </is>
      </c>
      <c r="AC3078" s="0" t="inlineStr">
        <is>
          <t>강동구</t>
        </is>
      </c>
      <c r="AD3078" s="0" t="inlineStr">
        <is>
          <t>천호동</t>
        </is>
      </c>
      <c r="AG3078" s="0" t="inlineStr">
        <is>
          <t>서울시 강동구 상암로41가길 11</t>
        </is>
      </c>
      <c r="AH3078" s="0" t="n">
        <v>0</v>
      </c>
      <c r="AI3078" s="0" t="n">
        <v>242</v>
      </c>
      <c r="AJ3078" s="0" t="n">
        <v>38</v>
      </c>
      <c r="AK3078" s="0" t="n">
        <v>31</v>
      </c>
      <c r="AL3078" s="0" t="n">
        <v>0.9399999999999999</v>
      </c>
    </row>
    <row r="3079">
      <c r="A3079" s="0" t="inlineStr">
        <is>
          <t>[천호동]</t>
        </is>
      </c>
      <c r="B3079" s="0" t="n">
        <v>13652</v>
      </c>
      <c r="C3079" s="0" t="n">
        <v>8</v>
      </c>
      <c r="D3079" s="0" t="inlineStr">
        <is>
          <t>신동양빛여울</t>
        </is>
      </c>
      <c r="E3079" s="0" t="inlineStr">
        <is>
          <t>2003.07.</t>
        </is>
      </c>
      <c r="F3079" s="0" t="n">
        <v>33</v>
      </c>
      <c r="G3079" s="0" t="n">
        <v>29.56</v>
      </c>
      <c r="H3079" s="0" t="n">
        <v>97.73</v>
      </c>
      <c r="I3079" s="0" t="n">
        <v>23.34</v>
      </c>
      <c r="J3079" s="0" t="n">
        <v>77.19</v>
      </c>
      <c r="K3079" s="0" t="n">
        <v>2</v>
      </c>
      <c r="T3079" s="0" t="n">
        <v>3</v>
      </c>
      <c r="U3079" s="0" t="n">
        <v>1</v>
      </c>
      <c r="V3079" s="0" t="inlineStr">
        <is>
          <t>계단식</t>
        </is>
      </c>
      <c r="W3079" s="0" t="n">
        <v>97</v>
      </c>
      <c r="X3079" s="0" t="n">
        <v>7</v>
      </c>
      <c r="Y3079" s="0" t="n">
        <v>6</v>
      </c>
      <c r="Z3079" s="0" t="inlineStr">
        <is>
          <t>https://new.land.naver.com/complexes/13652?tab=detail&amp;rf=Y</t>
        </is>
      </c>
      <c r="AA3079" s="0" t="inlineStr">
        <is>
          <t>서울시 강동구 천호동 35-4</t>
        </is>
      </c>
      <c r="AB3079" s="0" t="inlineStr">
        <is>
          <t>서울시</t>
        </is>
      </c>
      <c r="AC3079" s="0" t="inlineStr">
        <is>
          <t>강동구</t>
        </is>
      </c>
      <c r="AD3079" s="0" t="inlineStr">
        <is>
          <t>천호동</t>
        </is>
      </c>
      <c r="AG3079" s="0" t="inlineStr">
        <is>
          <t>서울시 강동구 상암로41가길 11</t>
        </is>
      </c>
      <c r="AH3079" s="0" t="n">
        <v>0</v>
      </c>
      <c r="AI3079" s="0" t="n">
        <v>242</v>
      </c>
      <c r="AJ3079" s="0" t="n">
        <v>38</v>
      </c>
      <c r="AK3079" s="0" t="n">
        <v>31</v>
      </c>
      <c r="AL3079" s="0" t="n">
        <v>0.9399999999999999</v>
      </c>
    </row>
    <row r="3080">
      <c r="A3080" s="0" t="inlineStr">
        <is>
          <t>[천호동]</t>
        </is>
      </c>
      <c r="B3080" s="0" t="n">
        <v>102787</v>
      </c>
      <c r="C3080" s="0" t="n">
        <v>1</v>
      </c>
      <c r="D3080" s="0" t="inlineStr">
        <is>
          <t>골드하임</t>
        </is>
      </c>
      <c r="E3080" s="0" t="inlineStr">
        <is>
          <t>2005.01.</t>
        </is>
      </c>
      <c r="F3080" s="0" t="n">
        <v>23</v>
      </c>
      <c r="G3080" s="0" t="n">
        <v>21.3</v>
      </c>
      <c r="H3080" s="0" t="n">
        <v>70.44</v>
      </c>
      <c r="I3080" s="0" t="n">
        <v>18.33</v>
      </c>
      <c r="J3080" s="0" t="n">
        <v>60.62</v>
      </c>
      <c r="K3080" s="0" t="n">
        <v>1</v>
      </c>
      <c r="T3080" s="0" t="n">
        <v>3</v>
      </c>
      <c r="U3080" s="0" t="n">
        <v>1</v>
      </c>
      <c r="V3080" s="0" t="inlineStr">
        <is>
          <t>복도식</t>
        </is>
      </c>
      <c r="W3080" s="0" t="n">
        <v>70</v>
      </c>
      <c r="X3080" s="0" t="n">
        <v>7</v>
      </c>
      <c r="Y3080" s="0" t="n">
        <v>6</v>
      </c>
      <c r="Z3080" s="0" t="inlineStr">
        <is>
          <t>https://new.land.naver.com/complexes/102787?tab=detail&amp;rf=Y</t>
        </is>
      </c>
      <c r="AA3080" s="0" t="inlineStr">
        <is>
          <t>서울시 강동구 천호동 54-13</t>
        </is>
      </c>
      <c r="AB3080" s="0" t="inlineStr">
        <is>
          <t>서울시</t>
        </is>
      </c>
      <c r="AC3080" s="0" t="inlineStr">
        <is>
          <t>강동구</t>
        </is>
      </c>
      <c r="AD3080" s="0" t="inlineStr">
        <is>
          <t>천호동</t>
        </is>
      </c>
      <c r="AG3080" s="0" t="inlineStr">
        <is>
          <t>서울시 강동구 천중로35가길 15</t>
        </is>
      </c>
      <c r="AH3080" s="0" t="n">
        <v>0</v>
      </c>
      <c r="AI3080" s="0" t="n">
        <v>0</v>
      </c>
      <c r="AJ3080" s="0" t="n">
        <v>0</v>
      </c>
      <c r="AK3080" s="0" t="n">
        <v>26</v>
      </c>
      <c r="AL3080" s="0" t="n">
        <v>1.13</v>
      </c>
    </row>
    <row r="3081">
      <c r="A3081" s="0" t="inlineStr">
        <is>
          <t>[천호동]</t>
        </is>
      </c>
      <c r="B3081" s="0" t="n">
        <v>102787</v>
      </c>
      <c r="C3081" s="0" t="n">
        <v>2</v>
      </c>
      <c r="D3081" s="0" t="inlineStr">
        <is>
          <t>골드하임</t>
        </is>
      </c>
      <c r="E3081" s="0" t="inlineStr">
        <is>
          <t>2005.01.</t>
        </is>
      </c>
      <c r="F3081" s="0" t="n">
        <v>23</v>
      </c>
      <c r="G3081" s="0" t="n">
        <v>25.9</v>
      </c>
      <c r="H3081" s="0" t="n">
        <v>85.64</v>
      </c>
      <c r="I3081" s="0" t="n">
        <v>22.46</v>
      </c>
      <c r="J3081" s="0" t="n">
        <v>74.25</v>
      </c>
      <c r="K3081" s="0" t="n">
        <v>1</v>
      </c>
      <c r="T3081" s="0" t="n">
        <v>3</v>
      </c>
      <c r="U3081" s="0" t="n">
        <v>1</v>
      </c>
      <c r="V3081" s="0" t="inlineStr">
        <is>
          <t>계단식</t>
        </is>
      </c>
      <c r="W3081" s="0" t="n">
        <v>85</v>
      </c>
      <c r="X3081" s="0" t="n">
        <v>7</v>
      </c>
      <c r="Y3081" s="0" t="n">
        <v>6</v>
      </c>
      <c r="Z3081" s="0" t="inlineStr">
        <is>
          <t>https://new.land.naver.com/complexes/102787?tab=detail&amp;rf=Y</t>
        </is>
      </c>
      <c r="AA3081" s="0" t="inlineStr">
        <is>
          <t>서울시 강동구 천호동 54-13</t>
        </is>
      </c>
      <c r="AB3081" s="0" t="inlineStr">
        <is>
          <t>서울시</t>
        </is>
      </c>
      <c r="AC3081" s="0" t="inlineStr">
        <is>
          <t>강동구</t>
        </is>
      </c>
      <c r="AD3081" s="0" t="inlineStr">
        <is>
          <t>천호동</t>
        </is>
      </c>
      <c r="AG3081" s="0" t="inlineStr">
        <is>
          <t>서울시 강동구 천중로35가길 15</t>
        </is>
      </c>
      <c r="AH3081" s="0" t="n">
        <v>0</v>
      </c>
      <c r="AI3081" s="0" t="n">
        <v>0</v>
      </c>
      <c r="AJ3081" s="0" t="n">
        <v>0</v>
      </c>
      <c r="AK3081" s="0" t="n">
        <v>26</v>
      </c>
      <c r="AL3081" s="0" t="n">
        <v>1.13</v>
      </c>
    </row>
    <row r="3082">
      <c r="A3082" s="0" t="inlineStr">
        <is>
          <t>[천호동]</t>
        </is>
      </c>
      <c r="B3082" s="0" t="n">
        <v>102787</v>
      </c>
      <c r="C3082" s="0" t="n">
        <v>3</v>
      </c>
      <c r="D3082" s="0" t="inlineStr">
        <is>
          <t>골드하임</t>
        </is>
      </c>
      <c r="E3082" s="0" t="inlineStr">
        <is>
          <t>2005.01.</t>
        </is>
      </c>
      <c r="F3082" s="0" t="n">
        <v>23</v>
      </c>
      <c r="G3082" s="0" t="n">
        <v>27.09</v>
      </c>
      <c r="H3082" s="0" t="n">
        <v>89.56</v>
      </c>
      <c r="I3082" s="0" t="n">
        <v>23.31</v>
      </c>
      <c r="J3082" s="0" t="n">
        <v>77.06999999999999</v>
      </c>
      <c r="K3082" s="0" t="n">
        <v>1</v>
      </c>
      <c r="T3082" s="0" t="n">
        <v>3</v>
      </c>
      <c r="U3082" s="0" t="n">
        <v>2</v>
      </c>
      <c r="V3082" s="0" t="inlineStr">
        <is>
          <t>복도식</t>
        </is>
      </c>
      <c r="W3082" s="0" t="n">
        <v>89</v>
      </c>
      <c r="X3082" s="0" t="n">
        <v>7</v>
      </c>
      <c r="Y3082" s="0" t="n">
        <v>6</v>
      </c>
      <c r="Z3082" s="0" t="inlineStr">
        <is>
          <t>https://new.land.naver.com/complexes/102787?tab=detail&amp;rf=Y</t>
        </is>
      </c>
      <c r="AA3082" s="0" t="inlineStr">
        <is>
          <t>서울시 강동구 천호동 54-13</t>
        </is>
      </c>
      <c r="AB3082" s="0" t="inlineStr">
        <is>
          <t>서울시</t>
        </is>
      </c>
      <c r="AC3082" s="0" t="inlineStr">
        <is>
          <t>강동구</t>
        </is>
      </c>
      <c r="AD3082" s="0" t="inlineStr">
        <is>
          <t>천호동</t>
        </is>
      </c>
      <c r="AG3082" s="0" t="inlineStr">
        <is>
          <t>서울시 강동구 천중로35가길 15</t>
        </is>
      </c>
      <c r="AH3082" s="0" t="n">
        <v>0</v>
      </c>
      <c r="AI3082" s="0" t="n">
        <v>0</v>
      </c>
      <c r="AJ3082" s="0" t="n">
        <v>0</v>
      </c>
      <c r="AK3082" s="0" t="n">
        <v>26</v>
      </c>
      <c r="AL3082" s="0" t="n">
        <v>1.13</v>
      </c>
    </row>
    <row r="3083">
      <c r="A3083" s="0" t="inlineStr">
        <is>
          <t>[천호동]</t>
        </is>
      </c>
      <c r="B3083" s="0" t="n">
        <v>102787</v>
      </c>
      <c r="C3083" s="0" t="n">
        <v>4</v>
      </c>
      <c r="D3083" s="0" t="inlineStr">
        <is>
          <t>골드하임</t>
        </is>
      </c>
      <c r="E3083" s="0" t="inlineStr">
        <is>
          <t>2005.01.</t>
        </is>
      </c>
      <c r="F3083" s="0" t="n">
        <v>23</v>
      </c>
      <c r="G3083" s="0" t="n">
        <v>28.5</v>
      </c>
      <c r="H3083" s="0" t="n">
        <v>94.23</v>
      </c>
      <c r="I3083" s="0" t="n">
        <v>24.52</v>
      </c>
      <c r="J3083" s="0" t="n">
        <v>81.09</v>
      </c>
      <c r="K3083" s="0" t="n">
        <v>1</v>
      </c>
      <c r="T3083" s="0" t="n">
        <v>3</v>
      </c>
      <c r="U3083" s="0" t="n">
        <v>2</v>
      </c>
      <c r="V3083" s="0" t="inlineStr">
        <is>
          <t>계단식</t>
        </is>
      </c>
      <c r="W3083" s="0" t="inlineStr">
        <is>
          <t>94A</t>
        </is>
      </c>
      <c r="X3083" s="0" t="n">
        <v>7</v>
      </c>
      <c r="Y3083" s="0" t="n">
        <v>6</v>
      </c>
      <c r="Z3083" s="0" t="inlineStr">
        <is>
          <t>https://new.land.naver.com/complexes/102787?tab=detail&amp;rf=Y</t>
        </is>
      </c>
      <c r="AA3083" s="0" t="inlineStr">
        <is>
          <t>서울시 강동구 천호동 54-13</t>
        </is>
      </c>
      <c r="AB3083" s="0" t="inlineStr">
        <is>
          <t>서울시</t>
        </is>
      </c>
      <c r="AC3083" s="0" t="inlineStr">
        <is>
          <t>강동구</t>
        </is>
      </c>
      <c r="AD3083" s="0" t="inlineStr">
        <is>
          <t>천호동</t>
        </is>
      </c>
      <c r="AG3083" s="0" t="inlineStr">
        <is>
          <t>서울시 강동구 천중로35가길 15</t>
        </is>
      </c>
      <c r="AH3083" s="0" t="n">
        <v>0</v>
      </c>
      <c r="AI3083" s="0" t="n">
        <v>0</v>
      </c>
      <c r="AJ3083" s="0" t="n">
        <v>0</v>
      </c>
      <c r="AK3083" s="0" t="n">
        <v>26</v>
      </c>
      <c r="AL3083" s="0" t="n">
        <v>1.13</v>
      </c>
    </row>
    <row r="3084">
      <c r="A3084" s="0" t="inlineStr">
        <is>
          <t>[천호동]</t>
        </is>
      </c>
      <c r="B3084" s="0" t="n">
        <v>102787</v>
      </c>
      <c r="C3084" s="0" t="n">
        <v>5</v>
      </c>
      <c r="D3084" s="0" t="inlineStr">
        <is>
          <t>골드하임</t>
        </is>
      </c>
      <c r="E3084" s="0" t="inlineStr">
        <is>
          <t>2005.01.</t>
        </is>
      </c>
      <c r="F3084" s="0" t="n">
        <v>23</v>
      </c>
      <c r="G3084" s="0" t="n">
        <v>28.81</v>
      </c>
      <c r="H3084" s="0" t="n">
        <v>95.23999999999999</v>
      </c>
      <c r="I3084" s="0" t="n">
        <v>24.97</v>
      </c>
      <c r="J3084" s="0" t="n">
        <v>82.56999999999999</v>
      </c>
      <c r="K3084" s="0" t="n">
        <v>1</v>
      </c>
      <c r="T3084" s="0" t="n">
        <v>3</v>
      </c>
      <c r="U3084" s="0" t="n">
        <v>1</v>
      </c>
      <c r="V3084" s="0" t="inlineStr">
        <is>
          <t>계단식</t>
        </is>
      </c>
      <c r="W3084" s="0" t="inlineStr">
        <is>
          <t>95B</t>
        </is>
      </c>
      <c r="X3084" s="0" t="n">
        <v>7</v>
      </c>
      <c r="Y3084" s="0" t="n">
        <v>6</v>
      </c>
      <c r="Z3084" s="0" t="inlineStr">
        <is>
          <t>https://new.land.naver.com/complexes/102787?tab=detail&amp;rf=Y</t>
        </is>
      </c>
      <c r="AA3084" s="0" t="inlineStr">
        <is>
          <t>서울시 강동구 천호동 54-13</t>
        </is>
      </c>
      <c r="AB3084" s="0" t="inlineStr">
        <is>
          <t>서울시</t>
        </is>
      </c>
      <c r="AC3084" s="0" t="inlineStr">
        <is>
          <t>강동구</t>
        </is>
      </c>
      <c r="AD3084" s="0" t="inlineStr">
        <is>
          <t>천호동</t>
        </is>
      </c>
      <c r="AG3084" s="0" t="inlineStr">
        <is>
          <t>서울시 강동구 천중로35가길 15</t>
        </is>
      </c>
      <c r="AH3084" s="0" t="n">
        <v>0</v>
      </c>
      <c r="AI3084" s="0" t="n">
        <v>0</v>
      </c>
      <c r="AJ3084" s="0" t="n">
        <v>0</v>
      </c>
      <c r="AK3084" s="0" t="n">
        <v>26</v>
      </c>
      <c r="AL3084" s="0" t="n">
        <v>1.13</v>
      </c>
    </row>
    <row r="3085">
      <c r="A3085" s="0" t="inlineStr">
        <is>
          <t>[천호동]</t>
        </is>
      </c>
      <c r="B3085" s="0" t="n">
        <v>102787</v>
      </c>
      <c r="C3085" s="0" t="n">
        <v>6</v>
      </c>
      <c r="D3085" s="0" t="inlineStr">
        <is>
          <t>골드하임</t>
        </is>
      </c>
      <c r="E3085" s="0" t="inlineStr">
        <is>
          <t>2005.01.</t>
        </is>
      </c>
      <c r="F3085" s="0" t="n">
        <v>23</v>
      </c>
      <c r="G3085" s="0" t="n">
        <v>29.63</v>
      </c>
      <c r="H3085" s="0" t="n">
        <v>97.97</v>
      </c>
      <c r="I3085" s="0" t="n">
        <v>25.7</v>
      </c>
      <c r="J3085" s="0" t="n">
        <v>84.97</v>
      </c>
      <c r="K3085" s="0" t="n">
        <v>10</v>
      </c>
      <c r="T3085" s="0" t="n">
        <v>3</v>
      </c>
      <c r="U3085" s="0" t="n">
        <v>2</v>
      </c>
      <c r="V3085" s="0" t="inlineStr">
        <is>
          <t>계단식</t>
        </is>
      </c>
      <c r="W3085" s="0" t="inlineStr">
        <is>
          <t>97C</t>
        </is>
      </c>
      <c r="X3085" s="0" t="n">
        <v>7</v>
      </c>
      <c r="Y3085" s="0" t="n">
        <v>6</v>
      </c>
      <c r="Z3085" s="0" t="inlineStr">
        <is>
          <t>https://new.land.naver.com/complexes/102787?tab=detail&amp;rf=Y</t>
        </is>
      </c>
      <c r="AA3085" s="0" t="inlineStr">
        <is>
          <t>서울시 강동구 천호동 54-13</t>
        </is>
      </c>
      <c r="AB3085" s="0" t="inlineStr">
        <is>
          <t>서울시</t>
        </is>
      </c>
      <c r="AC3085" s="0" t="inlineStr">
        <is>
          <t>강동구</t>
        </is>
      </c>
      <c r="AD3085" s="0" t="inlineStr">
        <is>
          <t>천호동</t>
        </is>
      </c>
      <c r="AG3085" s="0" t="inlineStr">
        <is>
          <t>서울시 강동구 천중로35가길 15</t>
        </is>
      </c>
      <c r="AH3085" s="0" t="n">
        <v>0</v>
      </c>
      <c r="AI3085" s="0" t="n">
        <v>0</v>
      </c>
      <c r="AJ3085" s="0" t="n">
        <v>0</v>
      </c>
      <c r="AK3085" s="0" t="n">
        <v>26</v>
      </c>
      <c r="AL3085" s="0" t="n">
        <v>1.13</v>
      </c>
    </row>
    <row r="3086">
      <c r="A3086" s="0" t="inlineStr">
        <is>
          <t>[천호동]</t>
        </is>
      </c>
      <c r="B3086" s="0" t="n">
        <v>102787</v>
      </c>
      <c r="C3086" s="0" t="n">
        <v>7</v>
      </c>
      <c r="D3086" s="0" t="inlineStr">
        <is>
          <t>골드하임</t>
        </is>
      </c>
      <c r="E3086" s="0" t="inlineStr">
        <is>
          <t>2005.01.</t>
        </is>
      </c>
      <c r="F3086" s="0" t="n">
        <v>23</v>
      </c>
      <c r="G3086" s="0" t="n">
        <v>29.62</v>
      </c>
      <c r="H3086" s="0" t="n">
        <v>97.92</v>
      </c>
      <c r="I3086" s="0" t="n">
        <v>25.49</v>
      </c>
      <c r="J3086" s="0" t="n">
        <v>84.27</v>
      </c>
      <c r="K3086" s="0" t="n">
        <v>4</v>
      </c>
      <c r="T3086" s="0" t="n">
        <v>3</v>
      </c>
      <c r="U3086" s="0" t="n">
        <v>2</v>
      </c>
      <c r="V3086" s="0" t="inlineStr">
        <is>
          <t>계단식</t>
        </is>
      </c>
      <c r="W3086" s="0" t="inlineStr">
        <is>
          <t>97A</t>
        </is>
      </c>
      <c r="X3086" s="0" t="n">
        <v>7</v>
      </c>
      <c r="Y3086" s="0" t="n">
        <v>6</v>
      </c>
      <c r="Z3086" s="0" t="inlineStr">
        <is>
          <t>https://new.land.naver.com/complexes/102787?tab=detail&amp;rf=Y</t>
        </is>
      </c>
      <c r="AA3086" s="0" t="inlineStr">
        <is>
          <t>서울시 강동구 천호동 54-13</t>
        </is>
      </c>
      <c r="AB3086" s="0" t="inlineStr">
        <is>
          <t>서울시</t>
        </is>
      </c>
      <c r="AC3086" s="0" t="inlineStr">
        <is>
          <t>강동구</t>
        </is>
      </c>
      <c r="AD3086" s="0" t="inlineStr">
        <is>
          <t>천호동</t>
        </is>
      </c>
      <c r="AG3086" s="0" t="inlineStr">
        <is>
          <t>서울시 강동구 천중로35가길 15</t>
        </is>
      </c>
      <c r="AH3086" s="0" t="n">
        <v>0</v>
      </c>
      <c r="AI3086" s="0" t="n">
        <v>0</v>
      </c>
      <c r="AJ3086" s="0" t="n">
        <v>0</v>
      </c>
      <c r="AK3086" s="0" t="n">
        <v>26</v>
      </c>
      <c r="AL3086" s="0" t="n">
        <v>1.13</v>
      </c>
    </row>
    <row r="3087">
      <c r="A3087" s="0" t="inlineStr">
        <is>
          <t>[천호동]</t>
        </is>
      </c>
      <c r="B3087" s="0" t="n">
        <v>102787</v>
      </c>
      <c r="C3087" s="0" t="n">
        <v>8</v>
      </c>
      <c r="D3087" s="0" t="inlineStr">
        <is>
          <t>골드하임</t>
        </is>
      </c>
      <c r="E3087" s="0" t="inlineStr">
        <is>
          <t>2005.01.</t>
        </is>
      </c>
      <c r="F3087" s="0" t="n">
        <v>23</v>
      </c>
      <c r="G3087" s="0" t="n">
        <v>29.66</v>
      </c>
      <c r="H3087" s="0" t="n">
        <v>98.06</v>
      </c>
      <c r="I3087" s="0" t="n">
        <v>25.52</v>
      </c>
      <c r="J3087" s="0" t="n">
        <v>84.39</v>
      </c>
      <c r="K3087" s="0" t="n">
        <v>4</v>
      </c>
      <c r="T3087" s="0" t="n">
        <v>3</v>
      </c>
      <c r="U3087" s="0" t="n">
        <v>2</v>
      </c>
      <c r="V3087" s="0" t="inlineStr">
        <is>
          <t>계단식</t>
        </is>
      </c>
      <c r="W3087" s="0" t="inlineStr">
        <is>
          <t>98B</t>
        </is>
      </c>
      <c r="X3087" s="0" t="n">
        <v>7</v>
      </c>
      <c r="Y3087" s="0" t="n">
        <v>6</v>
      </c>
      <c r="Z3087" s="0" t="inlineStr">
        <is>
          <t>https://new.land.naver.com/complexes/102787?tab=detail&amp;rf=Y</t>
        </is>
      </c>
      <c r="AA3087" s="0" t="inlineStr">
        <is>
          <t>서울시 강동구 천호동 54-13</t>
        </is>
      </c>
      <c r="AB3087" s="0" t="inlineStr">
        <is>
          <t>서울시</t>
        </is>
      </c>
      <c r="AC3087" s="0" t="inlineStr">
        <is>
          <t>강동구</t>
        </is>
      </c>
      <c r="AD3087" s="0" t="inlineStr">
        <is>
          <t>천호동</t>
        </is>
      </c>
      <c r="AG3087" s="0" t="inlineStr">
        <is>
          <t>서울시 강동구 천중로35가길 15</t>
        </is>
      </c>
      <c r="AH3087" s="0" t="n">
        <v>0</v>
      </c>
      <c r="AI3087" s="0" t="n">
        <v>0</v>
      </c>
      <c r="AJ3087" s="0" t="n">
        <v>0</v>
      </c>
      <c r="AK3087" s="0" t="n">
        <v>26</v>
      </c>
      <c r="AL3087" s="0" t="n">
        <v>1.13</v>
      </c>
    </row>
    <row r="3088">
      <c r="A3088" s="0" t="inlineStr">
        <is>
          <t>[천호동]</t>
        </is>
      </c>
      <c r="B3088" s="0" t="n">
        <v>119732</v>
      </c>
      <c r="C3088" s="0" t="n">
        <v>1</v>
      </c>
      <c r="D3088" s="0" t="inlineStr">
        <is>
          <t>엘림스퀘어II(도시형)</t>
        </is>
      </c>
      <c r="E3088" s="0" t="inlineStr">
        <is>
          <t>2019.04.</t>
        </is>
      </c>
      <c r="F3088" s="0" t="n">
        <v>143</v>
      </c>
      <c r="G3088" s="0" t="n">
        <v>6.91</v>
      </c>
      <c r="H3088" s="0" t="n">
        <v>22.85</v>
      </c>
      <c r="I3088" s="0" t="n">
        <v>4.51</v>
      </c>
      <c r="J3088" s="0" t="n">
        <v>14.92</v>
      </c>
      <c r="K3088" s="0" t="n">
        <v>33</v>
      </c>
      <c r="T3088" s="0" t="n">
        <v>1</v>
      </c>
      <c r="U3088" s="0" t="n">
        <v>1</v>
      </c>
      <c r="V3088" s="0" t="inlineStr">
        <is>
          <t>복도식</t>
        </is>
      </c>
      <c r="W3088" s="0" t="inlineStr">
        <is>
          <t>22B</t>
        </is>
      </c>
      <c r="X3088" s="0" t="n">
        <v>13</v>
      </c>
      <c r="Y3088" s="0" t="n">
        <v>13</v>
      </c>
      <c r="Z3088" s="0" t="inlineStr">
        <is>
          <t>https://new.land.naver.com/complexes/119732?tab=detail&amp;rf=Y</t>
        </is>
      </c>
      <c r="AA3088" s="0" t="inlineStr">
        <is>
          <t>서울시 강동구 천호동 416-12</t>
        </is>
      </c>
      <c r="AB3088" s="0" t="inlineStr">
        <is>
          <t>서울시</t>
        </is>
      </c>
      <c r="AC3088" s="0" t="inlineStr">
        <is>
          <t>강동구</t>
        </is>
      </c>
      <c r="AD3088" s="0" t="inlineStr">
        <is>
          <t>천호동</t>
        </is>
      </c>
      <c r="AG3088" s="0" t="inlineStr">
        <is>
          <t>서울시 강동구 구천면로24길 9</t>
        </is>
      </c>
      <c r="AH3088" s="0" t="n">
        <v>0</v>
      </c>
      <c r="AI3088" s="0" t="n">
        <v>539</v>
      </c>
      <c r="AJ3088" s="0" t="n">
        <v>59</v>
      </c>
      <c r="AK3088" s="0" t="n">
        <v>73</v>
      </c>
      <c r="AL3088" s="0" t="n">
        <v>0.51</v>
      </c>
    </row>
    <row r="3089">
      <c r="A3089" s="0" t="inlineStr">
        <is>
          <t>[천호동]</t>
        </is>
      </c>
      <c r="B3089" s="0" t="n">
        <v>119732</v>
      </c>
      <c r="C3089" s="0" t="n">
        <v>2</v>
      </c>
      <c r="D3089" s="0" t="inlineStr">
        <is>
          <t>엘림스퀘어II(도시형)</t>
        </is>
      </c>
      <c r="E3089" s="0" t="inlineStr">
        <is>
          <t>2019.04.</t>
        </is>
      </c>
      <c r="F3089" s="0" t="n">
        <v>143</v>
      </c>
      <c r="G3089" s="0" t="n">
        <v>6.97</v>
      </c>
      <c r="H3089" s="0" t="n">
        <v>23.06</v>
      </c>
      <c r="I3089" s="0" t="n">
        <v>4.55</v>
      </c>
      <c r="J3089" s="0" t="n">
        <v>15.05</v>
      </c>
      <c r="K3089" s="0" t="n">
        <v>11</v>
      </c>
      <c r="T3089" s="0" t="n">
        <v>1</v>
      </c>
      <c r="U3089" s="0" t="n">
        <v>1</v>
      </c>
      <c r="V3089" s="0" t="inlineStr">
        <is>
          <t>복도식</t>
        </is>
      </c>
      <c r="W3089" s="0" t="inlineStr">
        <is>
          <t>23C</t>
        </is>
      </c>
      <c r="X3089" s="0" t="n">
        <v>13</v>
      </c>
      <c r="Y3089" s="0" t="n">
        <v>13</v>
      </c>
      <c r="Z3089" s="0" t="inlineStr">
        <is>
          <t>https://new.land.naver.com/complexes/119732?tab=detail&amp;rf=Y</t>
        </is>
      </c>
      <c r="AA3089" s="0" t="inlineStr">
        <is>
          <t>서울시 강동구 천호동 416-12</t>
        </is>
      </c>
      <c r="AB3089" s="0" t="inlineStr">
        <is>
          <t>서울시</t>
        </is>
      </c>
      <c r="AC3089" s="0" t="inlineStr">
        <is>
          <t>강동구</t>
        </is>
      </c>
      <c r="AD3089" s="0" t="inlineStr">
        <is>
          <t>천호동</t>
        </is>
      </c>
      <c r="AG3089" s="0" t="inlineStr">
        <is>
          <t>서울시 강동구 구천면로24길 9</t>
        </is>
      </c>
      <c r="AH3089" s="0" t="n">
        <v>0</v>
      </c>
      <c r="AI3089" s="0" t="n">
        <v>539</v>
      </c>
      <c r="AJ3089" s="0" t="n">
        <v>59</v>
      </c>
      <c r="AK3089" s="0" t="n">
        <v>73</v>
      </c>
      <c r="AL3089" s="0" t="n">
        <v>0.51</v>
      </c>
    </row>
    <row r="3090">
      <c r="A3090" s="0" t="inlineStr">
        <is>
          <t>[천호동]</t>
        </is>
      </c>
      <c r="B3090" s="0" t="n">
        <v>119732</v>
      </c>
      <c r="C3090" s="0" t="n">
        <v>3</v>
      </c>
      <c r="D3090" s="0" t="inlineStr">
        <is>
          <t>엘림스퀘어II(도시형)</t>
        </is>
      </c>
      <c r="E3090" s="0" t="inlineStr">
        <is>
          <t>2019.04.</t>
        </is>
      </c>
      <c r="F3090" s="0" t="n">
        <v>143</v>
      </c>
      <c r="G3090" s="0" t="n">
        <v>8.130000000000001</v>
      </c>
      <c r="H3090" s="0" t="n">
        <v>26.9</v>
      </c>
      <c r="I3090" s="0" t="n">
        <v>5.31</v>
      </c>
      <c r="J3090" s="0" t="n">
        <v>17.58</v>
      </c>
      <c r="K3090" s="0" t="n">
        <v>44</v>
      </c>
      <c r="T3090" s="0" t="n">
        <v>1</v>
      </c>
      <c r="U3090" s="0" t="n">
        <v>1</v>
      </c>
      <c r="V3090" s="0" t="inlineStr">
        <is>
          <t>복도식</t>
        </is>
      </c>
      <c r="W3090" s="0" t="inlineStr">
        <is>
          <t>26D</t>
        </is>
      </c>
      <c r="X3090" s="0" t="n">
        <v>13</v>
      </c>
      <c r="Y3090" s="0" t="n">
        <v>13</v>
      </c>
      <c r="Z3090" s="0" t="inlineStr">
        <is>
          <t>https://new.land.naver.com/complexes/119732?tab=detail&amp;rf=Y</t>
        </is>
      </c>
      <c r="AA3090" s="0" t="inlineStr">
        <is>
          <t>서울시 강동구 천호동 416-12</t>
        </is>
      </c>
      <c r="AB3090" s="0" t="inlineStr">
        <is>
          <t>서울시</t>
        </is>
      </c>
      <c r="AC3090" s="0" t="inlineStr">
        <is>
          <t>강동구</t>
        </is>
      </c>
      <c r="AD3090" s="0" t="inlineStr">
        <is>
          <t>천호동</t>
        </is>
      </c>
      <c r="AG3090" s="0" t="inlineStr">
        <is>
          <t>서울시 강동구 구천면로24길 9</t>
        </is>
      </c>
      <c r="AH3090" s="0" t="n">
        <v>0</v>
      </c>
      <c r="AI3090" s="0" t="n">
        <v>539</v>
      </c>
      <c r="AJ3090" s="0" t="n">
        <v>59</v>
      </c>
      <c r="AK3090" s="0" t="n">
        <v>73</v>
      </c>
      <c r="AL3090" s="0" t="n">
        <v>0.51</v>
      </c>
    </row>
    <row r="3091">
      <c r="A3091" s="0" t="inlineStr">
        <is>
          <t>[천호동]</t>
        </is>
      </c>
      <c r="B3091" s="0" t="n">
        <v>119732</v>
      </c>
      <c r="C3091" s="0" t="n">
        <v>4</v>
      </c>
      <c r="D3091" s="0" t="inlineStr">
        <is>
          <t>엘림스퀘어II(도시형)</t>
        </is>
      </c>
      <c r="E3091" s="0" t="inlineStr">
        <is>
          <t>2019.04.</t>
        </is>
      </c>
      <c r="F3091" s="0" t="n">
        <v>143</v>
      </c>
      <c r="G3091" s="0" t="n">
        <v>7.9</v>
      </c>
      <c r="H3091" s="0" t="n">
        <v>26.14</v>
      </c>
      <c r="I3091" s="0" t="n">
        <v>5.16</v>
      </c>
      <c r="J3091" s="0" t="n">
        <v>17.07</v>
      </c>
      <c r="K3091" s="0" t="n">
        <v>44</v>
      </c>
      <c r="T3091" s="0" t="n">
        <v>1</v>
      </c>
      <c r="U3091" s="0" t="n">
        <v>1</v>
      </c>
      <c r="V3091" s="0" t="inlineStr">
        <is>
          <t>복도식</t>
        </is>
      </c>
      <c r="W3091" s="0" t="inlineStr">
        <is>
          <t>26E</t>
        </is>
      </c>
      <c r="X3091" s="0" t="n">
        <v>13</v>
      </c>
      <c r="Y3091" s="0" t="n">
        <v>13</v>
      </c>
      <c r="Z3091" s="0" t="inlineStr">
        <is>
          <t>https://new.land.naver.com/complexes/119732?tab=detail&amp;rf=Y</t>
        </is>
      </c>
      <c r="AA3091" s="0" t="inlineStr">
        <is>
          <t>서울시 강동구 천호동 416-12</t>
        </is>
      </c>
      <c r="AB3091" s="0" t="inlineStr">
        <is>
          <t>서울시</t>
        </is>
      </c>
      <c r="AC3091" s="0" t="inlineStr">
        <is>
          <t>강동구</t>
        </is>
      </c>
      <c r="AD3091" s="0" t="inlineStr">
        <is>
          <t>천호동</t>
        </is>
      </c>
      <c r="AG3091" s="0" t="inlineStr">
        <is>
          <t>서울시 강동구 구천면로24길 9</t>
        </is>
      </c>
      <c r="AH3091" s="0" t="n">
        <v>0</v>
      </c>
      <c r="AI3091" s="0" t="n">
        <v>539</v>
      </c>
      <c r="AJ3091" s="0" t="n">
        <v>59</v>
      </c>
      <c r="AK3091" s="0" t="n">
        <v>73</v>
      </c>
      <c r="AL3091" s="0" t="n">
        <v>0.51</v>
      </c>
    </row>
    <row r="3092">
      <c r="A3092" s="0" t="inlineStr">
        <is>
          <t>[천호동]</t>
        </is>
      </c>
      <c r="B3092" s="0" t="n">
        <v>119732</v>
      </c>
      <c r="C3092" s="0" t="n">
        <v>5</v>
      </c>
      <c r="D3092" s="0" t="inlineStr">
        <is>
          <t>엘림스퀘어II(도시형)</t>
        </is>
      </c>
      <c r="E3092" s="0" t="inlineStr">
        <is>
          <t>2019.04.</t>
        </is>
      </c>
      <c r="F3092" s="0" t="n">
        <v>143</v>
      </c>
      <c r="G3092" s="0" t="n">
        <v>8.449999999999999</v>
      </c>
      <c r="H3092" s="0" t="n">
        <v>27.96</v>
      </c>
      <c r="I3092" s="0" t="n">
        <v>5.52</v>
      </c>
      <c r="J3092" s="0" t="n">
        <v>18.27</v>
      </c>
      <c r="K3092" s="0" t="n">
        <v>11</v>
      </c>
      <c r="T3092" s="0" t="n">
        <v>1</v>
      </c>
      <c r="U3092" s="0" t="n">
        <v>1</v>
      </c>
      <c r="V3092" s="0" t="inlineStr">
        <is>
          <t>복도식</t>
        </is>
      </c>
      <c r="W3092" s="0" t="inlineStr">
        <is>
          <t>27A</t>
        </is>
      </c>
      <c r="X3092" s="0" t="n">
        <v>13</v>
      </c>
      <c r="Y3092" s="0" t="n">
        <v>13</v>
      </c>
      <c r="Z3092" s="0" t="inlineStr">
        <is>
          <t>https://new.land.naver.com/complexes/119732?tab=detail&amp;rf=Y</t>
        </is>
      </c>
      <c r="AA3092" s="0" t="inlineStr">
        <is>
          <t>서울시 강동구 천호동 416-12</t>
        </is>
      </c>
      <c r="AB3092" s="0" t="inlineStr">
        <is>
          <t>서울시</t>
        </is>
      </c>
      <c r="AC3092" s="0" t="inlineStr">
        <is>
          <t>강동구</t>
        </is>
      </c>
      <c r="AD3092" s="0" t="inlineStr">
        <is>
          <t>천호동</t>
        </is>
      </c>
      <c r="AG3092" s="0" t="inlineStr">
        <is>
          <t>서울시 강동구 구천면로24길 9</t>
        </is>
      </c>
      <c r="AH3092" s="0" t="n">
        <v>0</v>
      </c>
      <c r="AI3092" s="0" t="n">
        <v>539</v>
      </c>
      <c r="AJ3092" s="0" t="n">
        <v>59</v>
      </c>
      <c r="AK3092" s="0" t="n">
        <v>73</v>
      </c>
      <c r="AL3092" s="0" t="n">
        <v>0.51</v>
      </c>
    </row>
    <row r="3093">
      <c r="A3093" s="0" t="inlineStr">
        <is>
          <t>[천호동]</t>
        </is>
      </c>
      <c r="B3093" s="0" t="n">
        <v>127695</v>
      </c>
      <c r="C3093" s="0" t="n">
        <v>1</v>
      </c>
      <c r="D3093" s="0" t="inlineStr">
        <is>
          <t>다성이즈빌(도시형)</t>
        </is>
      </c>
      <c r="E3093" s="0" t="inlineStr">
        <is>
          <t>2015.12.</t>
        </is>
      </c>
      <c r="F3093" s="0" t="n">
        <v>10</v>
      </c>
      <c r="G3093" s="0" t="n">
        <v>12.06</v>
      </c>
      <c r="H3093" s="0" t="n">
        <v>39.87</v>
      </c>
      <c r="I3093" s="0" t="n">
        <v>9.539999999999999</v>
      </c>
      <c r="J3093" s="0" t="n">
        <v>31.57</v>
      </c>
      <c r="K3093" s="0" t="n">
        <v>1</v>
      </c>
      <c r="T3093" s="0" t="n">
        <v>1</v>
      </c>
      <c r="U3093" s="0" t="n">
        <v>1</v>
      </c>
      <c r="V3093" s="0" t="inlineStr">
        <is>
          <t>계단식</t>
        </is>
      </c>
      <c r="W3093" s="0" t="n">
        <v>39</v>
      </c>
      <c r="X3093" s="0" t="n">
        <v>6</v>
      </c>
      <c r="Y3093" s="0" t="n">
        <v>6</v>
      </c>
      <c r="Z3093" s="0" t="inlineStr">
        <is>
          <t>https://new.land.naver.com/complexes/127695?tab=detail&amp;rf=Y</t>
        </is>
      </c>
      <c r="AA3093" s="0" t="inlineStr">
        <is>
          <t>서울시 강동구 천호동 167-54</t>
        </is>
      </c>
      <c r="AB3093" s="0" t="inlineStr">
        <is>
          <t>서울시</t>
        </is>
      </c>
      <c r="AC3093" s="0" t="inlineStr">
        <is>
          <t>강동구</t>
        </is>
      </c>
      <c r="AD3093" s="0" t="inlineStr">
        <is>
          <t>천호동</t>
        </is>
      </c>
      <c r="AG3093" s="0" t="inlineStr">
        <is>
          <t>서울시 강동구 성안로27길 61</t>
        </is>
      </c>
      <c r="AH3093" s="0" t="n">
        <v>0</v>
      </c>
      <c r="AI3093" s="0" t="n">
        <v>199</v>
      </c>
      <c r="AJ3093" s="0" t="n">
        <v>59</v>
      </c>
      <c r="AK3093" s="0" t="n">
        <v>8</v>
      </c>
      <c r="AL3093" s="0" t="n">
        <v>0.8</v>
      </c>
    </row>
    <row r="3094">
      <c r="A3094" s="0" t="inlineStr">
        <is>
          <t>[천호동]</t>
        </is>
      </c>
      <c r="B3094" s="0" t="n">
        <v>127695</v>
      </c>
      <c r="C3094" s="0" t="n">
        <v>2</v>
      </c>
      <c r="D3094" s="0" t="inlineStr">
        <is>
          <t>다성이즈빌(도시형)</t>
        </is>
      </c>
      <c r="E3094" s="0" t="inlineStr">
        <is>
          <t>2015.12.</t>
        </is>
      </c>
      <c r="F3094" s="0" t="n">
        <v>10</v>
      </c>
      <c r="G3094" s="0" t="n">
        <v>13.94</v>
      </c>
      <c r="H3094" s="0" t="n">
        <v>46.11</v>
      </c>
      <c r="I3094" s="0" t="n">
        <v>11.04</v>
      </c>
      <c r="J3094" s="0" t="n">
        <v>36.5</v>
      </c>
      <c r="K3094" s="0" t="n">
        <v>1</v>
      </c>
      <c r="T3094" s="0" t="n">
        <v>1</v>
      </c>
      <c r="U3094" s="0" t="n">
        <v>1</v>
      </c>
      <c r="V3094" s="0" t="inlineStr">
        <is>
          <t>계단식</t>
        </is>
      </c>
      <c r="W3094" s="0" t="inlineStr">
        <is>
          <t>46A</t>
        </is>
      </c>
      <c r="X3094" s="0" t="n">
        <v>6</v>
      </c>
      <c r="Y3094" s="0" t="n">
        <v>6</v>
      </c>
      <c r="Z3094" s="0" t="inlineStr">
        <is>
          <t>https://new.land.naver.com/complexes/127695?tab=detail&amp;rf=Y</t>
        </is>
      </c>
      <c r="AA3094" s="0" t="inlineStr">
        <is>
          <t>서울시 강동구 천호동 167-54</t>
        </is>
      </c>
      <c r="AB3094" s="0" t="inlineStr">
        <is>
          <t>서울시</t>
        </is>
      </c>
      <c r="AC3094" s="0" t="inlineStr">
        <is>
          <t>강동구</t>
        </is>
      </c>
      <c r="AD3094" s="0" t="inlineStr">
        <is>
          <t>천호동</t>
        </is>
      </c>
      <c r="AG3094" s="0" t="inlineStr">
        <is>
          <t>서울시 강동구 성안로27길 61</t>
        </is>
      </c>
      <c r="AH3094" s="0" t="n">
        <v>0</v>
      </c>
      <c r="AI3094" s="0" t="n">
        <v>199</v>
      </c>
      <c r="AJ3094" s="0" t="n">
        <v>59</v>
      </c>
      <c r="AK3094" s="0" t="n">
        <v>8</v>
      </c>
      <c r="AL3094" s="0" t="n">
        <v>0.8</v>
      </c>
    </row>
    <row r="3095">
      <c r="A3095" s="0" t="inlineStr">
        <is>
          <t>[천호동]</t>
        </is>
      </c>
      <c r="B3095" s="0" t="n">
        <v>127695</v>
      </c>
      <c r="C3095" s="0" t="n">
        <v>3</v>
      </c>
      <c r="D3095" s="0" t="inlineStr">
        <is>
          <t>다성이즈빌(도시형)</t>
        </is>
      </c>
      <c r="E3095" s="0" t="inlineStr">
        <is>
          <t>2015.12.</t>
        </is>
      </c>
      <c r="F3095" s="0" t="n">
        <v>10</v>
      </c>
      <c r="G3095" s="0" t="n">
        <v>14.66</v>
      </c>
      <c r="H3095" s="0" t="n">
        <v>48.48</v>
      </c>
      <c r="I3095" s="0" t="n">
        <v>11.6</v>
      </c>
      <c r="J3095" s="0" t="n">
        <v>38.38</v>
      </c>
      <c r="K3095" s="0" t="n">
        <v>1</v>
      </c>
      <c r="T3095" s="0" t="n">
        <v>1</v>
      </c>
      <c r="U3095" s="0" t="n">
        <v>1</v>
      </c>
      <c r="V3095" s="0" t="inlineStr">
        <is>
          <t>계단식</t>
        </is>
      </c>
      <c r="W3095" s="0" t="inlineStr">
        <is>
          <t>48B</t>
        </is>
      </c>
      <c r="X3095" s="0" t="n">
        <v>6</v>
      </c>
      <c r="Y3095" s="0" t="n">
        <v>6</v>
      </c>
      <c r="Z3095" s="0" t="inlineStr">
        <is>
          <t>https://new.land.naver.com/complexes/127695?tab=detail&amp;rf=Y</t>
        </is>
      </c>
      <c r="AA3095" s="0" t="inlineStr">
        <is>
          <t>서울시 강동구 천호동 167-54</t>
        </is>
      </c>
      <c r="AB3095" s="0" t="inlineStr">
        <is>
          <t>서울시</t>
        </is>
      </c>
      <c r="AC3095" s="0" t="inlineStr">
        <is>
          <t>강동구</t>
        </is>
      </c>
      <c r="AD3095" s="0" t="inlineStr">
        <is>
          <t>천호동</t>
        </is>
      </c>
      <c r="AG3095" s="0" t="inlineStr">
        <is>
          <t>서울시 강동구 성안로27길 61</t>
        </is>
      </c>
      <c r="AH3095" s="0" t="n">
        <v>0</v>
      </c>
      <c r="AI3095" s="0" t="n">
        <v>199</v>
      </c>
      <c r="AJ3095" s="0" t="n">
        <v>59</v>
      </c>
      <c r="AK3095" s="0" t="n">
        <v>8</v>
      </c>
      <c r="AL3095" s="0" t="n">
        <v>0.8</v>
      </c>
    </row>
    <row r="3096">
      <c r="A3096" s="0" t="inlineStr">
        <is>
          <t>[천호동]</t>
        </is>
      </c>
      <c r="B3096" s="0" t="n">
        <v>127695</v>
      </c>
      <c r="C3096" s="0" t="n">
        <v>4</v>
      </c>
      <c r="D3096" s="0" t="inlineStr">
        <is>
          <t>다성이즈빌(도시형)</t>
        </is>
      </c>
      <c r="E3096" s="0" t="inlineStr">
        <is>
          <t>2015.12.</t>
        </is>
      </c>
      <c r="F3096" s="0" t="n">
        <v>10</v>
      </c>
      <c r="G3096" s="0" t="n">
        <v>15.1</v>
      </c>
      <c r="H3096" s="0" t="n">
        <v>49.95</v>
      </c>
      <c r="I3096" s="0" t="n">
        <v>11.96</v>
      </c>
      <c r="J3096" s="0" t="n">
        <v>39.54</v>
      </c>
      <c r="K3096" s="0" t="n">
        <v>3</v>
      </c>
      <c r="T3096" s="0" t="n">
        <v>1</v>
      </c>
      <c r="U3096" s="0" t="n">
        <v>1</v>
      </c>
      <c r="V3096" s="0" t="inlineStr">
        <is>
          <t>계단식</t>
        </is>
      </c>
      <c r="W3096" s="0" t="inlineStr">
        <is>
          <t>49A</t>
        </is>
      </c>
      <c r="X3096" s="0" t="n">
        <v>6</v>
      </c>
      <c r="Y3096" s="0" t="n">
        <v>6</v>
      </c>
      <c r="Z3096" s="0" t="inlineStr">
        <is>
          <t>https://new.land.naver.com/complexes/127695?tab=detail&amp;rf=Y</t>
        </is>
      </c>
      <c r="AA3096" s="0" t="inlineStr">
        <is>
          <t>서울시 강동구 천호동 167-54</t>
        </is>
      </c>
      <c r="AB3096" s="0" t="inlineStr">
        <is>
          <t>서울시</t>
        </is>
      </c>
      <c r="AC3096" s="0" t="inlineStr">
        <is>
          <t>강동구</t>
        </is>
      </c>
      <c r="AD3096" s="0" t="inlineStr">
        <is>
          <t>천호동</t>
        </is>
      </c>
      <c r="AG3096" s="0" t="inlineStr">
        <is>
          <t>서울시 강동구 성안로27길 61</t>
        </is>
      </c>
      <c r="AH3096" s="0" t="n">
        <v>0</v>
      </c>
      <c r="AI3096" s="0" t="n">
        <v>199</v>
      </c>
      <c r="AJ3096" s="0" t="n">
        <v>59</v>
      </c>
      <c r="AK3096" s="0" t="n">
        <v>8</v>
      </c>
      <c r="AL3096" s="0" t="n">
        <v>0.8</v>
      </c>
    </row>
    <row r="3097">
      <c r="A3097" s="0" t="inlineStr">
        <is>
          <t>[천호동]</t>
        </is>
      </c>
      <c r="B3097" s="0" t="n">
        <v>127695</v>
      </c>
      <c r="C3097" s="0" t="n">
        <v>5</v>
      </c>
      <c r="D3097" s="0" t="inlineStr">
        <is>
          <t>다성이즈빌(도시형)</t>
        </is>
      </c>
      <c r="E3097" s="0" t="inlineStr">
        <is>
          <t>2015.12.</t>
        </is>
      </c>
      <c r="F3097" s="0" t="n">
        <v>10</v>
      </c>
      <c r="G3097" s="0" t="n">
        <v>15.15</v>
      </c>
      <c r="H3097" s="0" t="n">
        <v>50.1</v>
      </c>
      <c r="I3097" s="0" t="n">
        <v>11.99</v>
      </c>
      <c r="J3097" s="0" t="n">
        <v>39.66</v>
      </c>
      <c r="K3097" s="0" t="n">
        <v>1</v>
      </c>
      <c r="T3097" s="0" t="n">
        <v>1</v>
      </c>
      <c r="U3097" s="0" t="n">
        <v>1</v>
      </c>
      <c r="V3097" s="0" t="inlineStr">
        <is>
          <t>계단식</t>
        </is>
      </c>
      <c r="W3097" s="0" t="inlineStr">
        <is>
          <t>50B</t>
        </is>
      </c>
      <c r="X3097" s="0" t="n">
        <v>6</v>
      </c>
      <c r="Y3097" s="0" t="n">
        <v>6</v>
      </c>
      <c r="Z3097" s="0" t="inlineStr">
        <is>
          <t>https://new.land.naver.com/complexes/127695?tab=detail&amp;rf=Y</t>
        </is>
      </c>
      <c r="AA3097" s="0" t="inlineStr">
        <is>
          <t>서울시 강동구 천호동 167-54</t>
        </is>
      </c>
      <c r="AB3097" s="0" t="inlineStr">
        <is>
          <t>서울시</t>
        </is>
      </c>
      <c r="AC3097" s="0" t="inlineStr">
        <is>
          <t>강동구</t>
        </is>
      </c>
      <c r="AD3097" s="0" t="inlineStr">
        <is>
          <t>천호동</t>
        </is>
      </c>
      <c r="AG3097" s="0" t="inlineStr">
        <is>
          <t>서울시 강동구 성안로27길 61</t>
        </is>
      </c>
      <c r="AH3097" s="0" t="n">
        <v>0</v>
      </c>
      <c r="AI3097" s="0" t="n">
        <v>199</v>
      </c>
      <c r="AJ3097" s="0" t="n">
        <v>59</v>
      </c>
      <c r="AK3097" s="0" t="n">
        <v>8</v>
      </c>
      <c r="AL3097" s="0" t="n">
        <v>0.8</v>
      </c>
    </row>
    <row r="3098">
      <c r="A3098" s="0" t="inlineStr">
        <is>
          <t>[천호동]</t>
        </is>
      </c>
      <c r="B3098" s="0" t="n">
        <v>127695</v>
      </c>
      <c r="C3098" s="0" t="n">
        <v>6</v>
      </c>
      <c r="D3098" s="0" t="inlineStr">
        <is>
          <t>다성이즈빌(도시형)</t>
        </is>
      </c>
      <c r="E3098" s="0" t="inlineStr">
        <is>
          <t>2015.12.</t>
        </is>
      </c>
      <c r="F3098" s="0" t="n">
        <v>10</v>
      </c>
      <c r="G3098" s="0" t="n">
        <v>15.67</v>
      </c>
      <c r="H3098" s="0" t="n">
        <v>51.83</v>
      </c>
      <c r="I3098" s="0" t="n">
        <v>12.41</v>
      </c>
      <c r="J3098" s="0" t="n">
        <v>41.03</v>
      </c>
      <c r="K3098" s="0" t="n">
        <v>3</v>
      </c>
      <c r="T3098" s="0" t="n">
        <v>1</v>
      </c>
      <c r="U3098" s="0" t="n">
        <v>1</v>
      </c>
      <c r="V3098" s="0" t="inlineStr">
        <is>
          <t>계단식</t>
        </is>
      </c>
      <c r="W3098" s="0" t="n">
        <v>51</v>
      </c>
      <c r="X3098" s="0" t="n">
        <v>6</v>
      </c>
      <c r="Y3098" s="0" t="n">
        <v>6</v>
      </c>
      <c r="Z3098" s="0" t="inlineStr">
        <is>
          <t>https://new.land.naver.com/complexes/127695?tab=detail&amp;rf=Y</t>
        </is>
      </c>
      <c r="AA3098" s="0" t="inlineStr">
        <is>
          <t>서울시 강동구 천호동 167-54</t>
        </is>
      </c>
      <c r="AB3098" s="0" t="inlineStr">
        <is>
          <t>서울시</t>
        </is>
      </c>
      <c r="AC3098" s="0" t="inlineStr">
        <is>
          <t>강동구</t>
        </is>
      </c>
      <c r="AD3098" s="0" t="inlineStr">
        <is>
          <t>천호동</t>
        </is>
      </c>
      <c r="AG3098" s="0" t="inlineStr">
        <is>
          <t>서울시 강동구 성안로27길 61</t>
        </is>
      </c>
      <c r="AH3098" s="0" t="n">
        <v>0</v>
      </c>
      <c r="AI3098" s="0" t="n">
        <v>199</v>
      </c>
      <c r="AJ3098" s="0" t="n">
        <v>59</v>
      </c>
      <c r="AK3098" s="0" t="n">
        <v>8</v>
      </c>
      <c r="AL3098" s="0" t="n">
        <v>0.8</v>
      </c>
    </row>
    <row r="3099">
      <c r="A3099" s="0" t="inlineStr">
        <is>
          <t>[천호동]</t>
        </is>
      </c>
      <c r="B3099" s="0" t="n">
        <v>100209</v>
      </c>
      <c r="C3099" s="0" t="n">
        <v>1</v>
      </c>
      <c r="D3099" s="0" t="inlineStr">
        <is>
          <t>sm이로빌</t>
        </is>
      </c>
      <c r="E3099" s="0" t="inlineStr">
        <is>
          <t>2004.01.</t>
        </is>
      </c>
      <c r="F3099" s="0" t="n">
        <v>19</v>
      </c>
      <c r="G3099" s="0" t="n">
        <v>23.75</v>
      </c>
      <c r="H3099" s="0" t="n">
        <v>78.53</v>
      </c>
      <c r="I3099" s="0" t="n">
        <v>20.15</v>
      </c>
      <c r="J3099" s="0" t="n">
        <v>66.63</v>
      </c>
      <c r="K3099" s="0" t="n">
        <v>1</v>
      </c>
      <c r="T3099" s="0" t="n">
        <v>3</v>
      </c>
      <c r="U3099" s="0" t="n">
        <v>1</v>
      </c>
      <c r="V3099" s="0" t="inlineStr">
        <is>
          <t>계단식</t>
        </is>
      </c>
      <c r="W3099" s="0" t="n">
        <v>78</v>
      </c>
      <c r="X3099" s="0" t="n">
        <v>7</v>
      </c>
      <c r="Y3099" s="0" t="n">
        <v>7</v>
      </c>
      <c r="Z3099" s="0" t="inlineStr">
        <is>
          <t>https://new.land.naver.com/complexes/100209?tab=detail&amp;rf=Y</t>
        </is>
      </c>
      <c r="AA3099" s="0" t="inlineStr">
        <is>
          <t>서울시 강동구 천호동 52-3</t>
        </is>
      </c>
      <c r="AB3099" s="0" t="inlineStr">
        <is>
          <t>서울시</t>
        </is>
      </c>
      <c r="AC3099" s="0" t="inlineStr">
        <is>
          <t>강동구</t>
        </is>
      </c>
      <c r="AD3099" s="0" t="inlineStr">
        <is>
          <t>천호동</t>
        </is>
      </c>
      <c r="AG3099" s="0" t="inlineStr">
        <is>
          <t>서울시 강동구 천중로39길 22</t>
        </is>
      </c>
      <c r="AH3099" s="0" t="n">
        <v>0</v>
      </c>
      <c r="AI3099" s="0" t="n">
        <v>216</v>
      </c>
      <c r="AJ3099" s="0" t="n">
        <v>36</v>
      </c>
      <c r="AK3099" s="0" t="n">
        <v>20</v>
      </c>
      <c r="AL3099" s="0" t="n">
        <v>1.05</v>
      </c>
    </row>
    <row r="3100">
      <c r="A3100" s="0" t="inlineStr">
        <is>
          <t>[천호동]</t>
        </is>
      </c>
      <c r="B3100" s="0" t="n">
        <v>100209</v>
      </c>
      <c r="C3100" s="0" t="n">
        <v>2</v>
      </c>
      <c r="D3100" s="0" t="inlineStr">
        <is>
          <t>sm이로빌</t>
        </is>
      </c>
      <c r="E3100" s="0" t="inlineStr">
        <is>
          <t>2004.01.</t>
        </is>
      </c>
      <c r="F3100" s="0" t="n">
        <v>19</v>
      </c>
      <c r="G3100" s="0" t="n">
        <v>28.12</v>
      </c>
      <c r="H3100" s="0" t="n">
        <v>92.98</v>
      </c>
      <c r="I3100" s="0" t="n">
        <v>23.85</v>
      </c>
      <c r="J3100" s="0" t="n">
        <v>78.86</v>
      </c>
      <c r="K3100" s="0" t="n">
        <v>1</v>
      </c>
      <c r="T3100" s="0" t="n">
        <v>3</v>
      </c>
      <c r="U3100" s="0" t="n">
        <v>2</v>
      </c>
      <c r="V3100" s="0" t="inlineStr">
        <is>
          <t>계단식</t>
        </is>
      </c>
      <c r="W3100" s="0" t="inlineStr">
        <is>
          <t>92A</t>
        </is>
      </c>
      <c r="X3100" s="0" t="n">
        <v>7</v>
      </c>
      <c r="Y3100" s="0" t="n">
        <v>7</v>
      </c>
      <c r="Z3100" s="0" t="inlineStr">
        <is>
          <t>https://new.land.naver.com/complexes/100209?tab=detail&amp;rf=Y</t>
        </is>
      </c>
      <c r="AA3100" s="0" t="inlineStr">
        <is>
          <t>서울시 강동구 천호동 52-3</t>
        </is>
      </c>
      <c r="AB3100" s="0" t="inlineStr">
        <is>
          <t>서울시</t>
        </is>
      </c>
      <c r="AC3100" s="0" t="inlineStr">
        <is>
          <t>강동구</t>
        </is>
      </c>
      <c r="AD3100" s="0" t="inlineStr">
        <is>
          <t>천호동</t>
        </is>
      </c>
      <c r="AG3100" s="0" t="inlineStr">
        <is>
          <t>서울시 강동구 천중로39길 22</t>
        </is>
      </c>
      <c r="AH3100" s="0" t="n">
        <v>0</v>
      </c>
      <c r="AI3100" s="0" t="n">
        <v>216</v>
      </c>
      <c r="AJ3100" s="0" t="n">
        <v>36</v>
      </c>
      <c r="AK3100" s="0" t="n">
        <v>20</v>
      </c>
      <c r="AL3100" s="0" t="n">
        <v>1.05</v>
      </c>
    </row>
    <row r="3101">
      <c r="A3101" s="0" t="inlineStr">
        <is>
          <t>[천호동]</t>
        </is>
      </c>
      <c r="B3101" s="0" t="n">
        <v>100209</v>
      </c>
      <c r="C3101" s="0" t="n">
        <v>3</v>
      </c>
      <c r="D3101" s="0" t="inlineStr">
        <is>
          <t>sm이로빌</t>
        </is>
      </c>
      <c r="E3101" s="0" t="inlineStr">
        <is>
          <t>2004.01.</t>
        </is>
      </c>
      <c r="F3101" s="0" t="n">
        <v>19</v>
      </c>
      <c r="G3101" s="0" t="n">
        <v>28.41</v>
      </c>
      <c r="H3101" s="0" t="n">
        <v>93.92</v>
      </c>
      <c r="I3101" s="0" t="n">
        <v>24.09</v>
      </c>
      <c r="J3101" s="0" t="n">
        <v>79.66</v>
      </c>
      <c r="K3101" s="0" t="n">
        <v>1</v>
      </c>
      <c r="T3101" s="0" t="n">
        <v>3</v>
      </c>
      <c r="U3101" s="0" t="n">
        <v>2</v>
      </c>
      <c r="V3101" s="0" t="inlineStr">
        <is>
          <t>계단식</t>
        </is>
      </c>
      <c r="W3101" s="0" t="inlineStr">
        <is>
          <t>93B</t>
        </is>
      </c>
      <c r="X3101" s="0" t="n">
        <v>7</v>
      </c>
      <c r="Y3101" s="0" t="n">
        <v>7</v>
      </c>
      <c r="Z3101" s="0" t="inlineStr">
        <is>
          <t>https://new.land.naver.com/complexes/100209?tab=detail&amp;rf=Y</t>
        </is>
      </c>
      <c r="AA3101" s="0" t="inlineStr">
        <is>
          <t>서울시 강동구 천호동 52-3</t>
        </is>
      </c>
      <c r="AB3101" s="0" t="inlineStr">
        <is>
          <t>서울시</t>
        </is>
      </c>
      <c r="AC3101" s="0" t="inlineStr">
        <is>
          <t>강동구</t>
        </is>
      </c>
      <c r="AD3101" s="0" t="inlineStr">
        <is>
          <t>천호동</t>
        </is>
      </c>
      <c r="AG3101" s="0" t="inlineStr">
        <is>
          <t>서울시 강동구 천중로39길 22</t>
        </is>
      </c>
      <c r="AH3101" s="0" t="n">
        <v>0</v>
      </c>
      <c r="AI3101" s="0" t="n">
        <v>216</v>
      </c>
      <c r="AJ3101" s="0" t="n">
        <v>36</v>
      </c>
      <c r="AK3101" s="0" t="n">
        <v>20</v>
      </c>
      <c r="AL3101" s="0" t="n">
        <v>1.05</v>
      </c>
    </row>
    <row r="3102">
      <c r="A3102" s="0" t="inlineStr">
        <is>
          <t>[천호동]</t>
        </is>
      </c>
      <c r="B3102" s="0" t="n">
        <v>100209</v>
      </c>
      <c r="C3102" s="0" t="n">
        <v>4</v>
      </c>
      <c r="D3102" s="0" t="inlineStr">
        <is>
          <t>sm이로빌</t>
        </is>
      </c>
      <c r="E3102" s="0" t="inlineStr">
        <is>
          <t>2004.01.</t>
        </is>
      </c>
      <c r="F3102" s="0" t="n">
        <v>19</v>
      </c>
      <c r="G3102" s="0" t="n">
        <v>30.23</v>
      </c>
      <c r="H3102" s="0" t="n">
        <v>99.95</v>
      </c>
      <c r="I3102" s="0" t="n">
        <v>25.64</v>
      </c>
      <c r="J3102" s="0" t="n">
        <v>84.77</v>
      </c>
      <c r="K3102" s="0" t="n">
        <v>11</v>
      </c>
      <c r="T3102" s="0" t="n">
        <v>3</v>
      </c>
      <c r="U3102" s="0" t="n">
        <v>2</v>
      </c>
      <c r="V3102" s="0" t="inlineStr">
        <is>
          <t>계단식</t>
        </is>
      </c>
      <c r="W3102" s="0" t="inlineStr">
        <is>
          <t>99B</t>
        </is>
      </c>
      <c r="X3102" s="0" t="n">
        <v>7</v>
      </c>
      <c r="Y3102" s="0" t="n">
        <v>7</v>
      </c>
      <c r="Z3102" s="0" t="inlineStr">
        <is>
          <t>https://new.land.naver.com/complexes/100209?tab=detail&amp;rf=Y</t>
        </is>
      </c>
      <c r="AA3102" s="0" t="inlineStr">
        <is>
          <t>서울시 강동구 천호동 52-3</t>
        </is>
      </c>
      <c r="AB3102" s="0" t="inlineStr">
        <is>
          <t>서울시</t>
        </is>
      </c>
      <c r="AC3102" s="0" t="inlineStr">
        <is>
          <t>강동구</t>
        </is>
      </c>
      <c r="AD3102" s="0" t="inlineStr">
        <is>
          <t>천호동</t>
        </is>
      </c>
      <c r="AG3102" s="0" t="inlineStr">
        <is>
          <t>서울시 강동구 천중로39길 22</t>
        </is>
      </c>
      <c r="AH3102" s="0" t="n">
        <v>0</v>
      </c>
      <c r="AI3102" s="0" t="n">
        <v>216</v>
      </c>
      <c r="AJ3102" s="0" t="n">
        <v>36</v>
      </c>
      <c r="AK3102" s="0" t="n">
        <v>20</v>
      </c>
      <c r="AL3102" s="0" t="n">
        <v>1.05</v>
      </c>
    </row>
    <row r="3103">
      <c r="A3103" s="0" t="inlineStr">
        <is>
          <t>[천호동]</t>
        </is>
      </c>
      <c r="B3103" s="0" t="n">
        <v>100209</v>
      </c>
      <c r="C3103" s="0" t="n">
        <v>5</v>
      </c>
      <c r="D3103" s="0" t="inlineStr">
        <is>
          <t>sm이로빌</t>
        </is>
      </c>
      <c r="E3103" s="0" t="inlineStr">
        <is>
          <t>2004.01.</t>
        </is>
      </c>
      <c r="F3103" s="0" t="n">
        <v>19</v>
      </c>
      <c r="G3103" s="0" t="n">
        <v>30</v>
      </c>
      <c r="H3103" s="0" t="n">
        <v>99.18000000000001</v>
      </c>
      <c r="I3103" s="0" t="n">
        <v>25.44</v>
      </c>
      <c r="J3103" s="0" t="n">
        <v>84.12</v>
      </c>
      <c r="K3103" s="0" t="n">
        <v>5</v>
      </c>
      <c r="T3103" s="0" t="n">
        <v>3</v>
      </c>
      <c r="U3103" s="0" t="n">
        <v>2</v>
      </c>
      <c r="V3103" s="0" t="inlineStr">
        <is>
          <t>계단식</t>
        </is>
      </c>
      <c r="W3103" s="0" t="inlineStr">
        <is>
          <t>99A</t>
        </is>
      </c>
      <c r="X3103" s="0" t="n">
        <v>7</v>
      </c>
      <c r="Y3103" s="0" t="n">
        <v>7</v>
      </c>
      <c r="Z3103" s="0" t="inlineStr">
        <is>
          <t>https://new.land.naver.com/complexes/100209?tab=detail&amp;rf=Y</t>
        </is>
      </c>
      <c r="AA3103" s="0" t="inlineStr">
        <is>
          <t>서울시 강동구 천호동 52-3</t>
        </is>
      </c>
      <c r="AB3103" s="0" t="inlineStr">
        <is>
          <t>서울시</t>
        </is>
      </c>
      <c r="AC3103" s="0" t="inlineStr">
        <is>
          <t>강동구</t>
        </is>
      </c>
      <c r="AD3103" s="0" t="inlineStr">
        <is>
          <t>천호동</t>
        </is>
      </c>
      <c r="AG3103" s="0" t="inlineStr">
        <is>
          <t>서울시 강동구 천중로39길 22</t>
        </is>
      </c>
      <c r="AH3103" s="0" t="n">
        <v>0</v>
      </c>
      <c r="AI3103" s="0" t="n">
        <v>216</v>
      </c>
      <c r="AJ3103" s="0" t="n">
        <v>36</v>
      </c>
      <c r="AK3103" s="0" t="n">
        <v>20</v>
      </c>
      <c r="AL3103" s="0" t="n">
        <v>1.05</v>
      </c>
    </row>
    <row r="3104">
      <c r="A3104" s="0" t="inlineStr">
        <is>
          <t>[천호동]</t>
        </is>
      </c>
      <c r="B3104" s="0" t="n">
        <v>114400</v>
      </c>
      <c r="C3104" s="0" t="n">
        <v>1</v>
      </c>
      <c r="D3104" s="0" t="inlineStr">
        <is>
          <t>주성아파텔(도시형)</t>
        </is>
      </c>
      <c r="E3104" s="0" t="inlineStr">
        <is>
          <t>2016.08.</t>
        </is>
      </c>
      <c r="F3104" s="0" t="n">
        <v>20</v>
      </c>
      <c r="G3104" s="0" t="n">
        <v>6.36</v>
      </c>
      <c r="H3104" s="0" t="n">
        <v>21.03</v>
      </c>
      <c r="I3104" s="0" t="n">
        <v>4.64</v>
      </c>
      <c r="J3104" s="0" t="n">
        <v>15.34</v>
      </c>
      <c r="K3104" s="0" t="n">
        <v>5</v>
      </c>
      <c r="T3104" s="0" t="n">
        <v>1</v>
      </c>
      <c r="U3104" s="0" t="n">
        <v>1</v>
      </c>
      <c r="V3104" s="0" t="inlineStr">
        <is>
          <t>복도식</t>
        </is>
      </c>
      <c r="W3104" s="0" t="n">
        <v>21</v>
      </c>
      <c r="X3104" s="0" t="n">
        <v>6</v>
      </c>
      <c r="Y3104" s="0" t="n">
        <v>6</v>
      </c>
      <c r="Z3104" s="0" t="inlineStr">
        <is>
          <t>https://new.land.naver.com/complexes/114400?tab=detail&amp;rf=Y</t>
        </is>
      </c>
      <c r="AA3104" s="0" t="inlineStr">
        <is>
          <t>서울시 강동구 천호동 167-117</t>
        </is>
      </c>
      <c r="AB3104" s="0" t="inlineStr">
        <is>
          <t>서울시</t>
        </is>
      </c>
      <c r="AC3104" s="0" t="inlineStr">
        <is>
          <t>강동구</t>
        </is>
      </c>
      <c r="AD3104" s="0" t="inlineStr">
        <is>
          <t>천호동</t>
        </is>
      </c>
      <c r="AG3104" s="0" t="inlineStr">
        <is>
          <t>서울시 강동구 성안로27길 63-14</t>
        </is>
      </c>
      <c r="AH3104" s="0" t="n">
        <v>0</v>
      </c>
      <c r="AI3104" s="0" t="n">
        <v>377</v>
      </c>
      <c r="AJ3104" s="0" t="n">
        <v>58</v>
      </c>
      <c r="AK3104" s="0" t="n">
        <v>11</v>
      </c>
      <c r="AL3104" s="0" t="n">
        <v>0.55</v>
      </c>
    </row>
    <row r="3105">
      <c r="A3105" s="0" t="inlineStr">
        <is>
          <t>[천호동]</t>
        </is>
      </c>
      <c r="B3105" s="0" t="n">
        <v>114400</v>
      </c>
      <c r="C3105" s="0" t="n">
        <v>2</v>
      </c>
      <c r="D3105" s="0" t="inlineStr">
        <is>
          <t>주성아파텔(도시형)</t>
        </is>
      </c>
      <c r="E3105" s="0" t="inlineStr">
        <is>
          <t>2016.08.</t>
        </is>
      </c>
      <c r="F3105" s="0" t="n">
        <v>20</v>
      </c>
      <c r="G3105" s="0" t="n">
        <v>6.72</v>
      </c>
      <c r="H3105" s="0" t="n">
        <v>22.24</v>
      </c>
      <c r="I3105" s="0" t="n">
        <v>4.93</v>
      </c>
      <c r="J3105" s="0" t="n">
        <v>16.33</v>
      </c>
      <c r="K3105" s="0" t="n">
        <v>5</v>
      </c>
      <c r="T3105" s="0" t="n">
        <v>1</v>
      </c>
      <c r="U3105" s="0" t="n">
        <v>1</v>
      </c>
      <c r="V3105" s="0" t="inlineStr">
        <is>
          <t>복도식</t>
        </is>
      </c>
      <c r="W3105" s="0" t="n">
        <v>22</v>
      </c>
      <c r="X3105" s="0" t="n">
        <v>6</v>
      </c>
      <c r="Y3105" s="0" t="n">
        <v>6</v>
      </c>
      <c r="Z3105" s="0" t="inlineStr">
        <is>
          <t>https://new.land.naver.com/complexes/114400?tab=detail&amp;rf=Y</t>
        </is>
      </c>
      <c r="AA3105" s="0" t="inlineStr">
        <is>
          <t>서울시 강동구 천호동 167-117</t>
        </is>
      </c>
      <c r="AB3105" s="0" t="inlineStr">
        <is>
          <t>서울시</t>
        </is>
      </c>
      <c r="AC3105" s="0" t="inlineStr">
        <is>
          <t>강동구</t>
        </is>
      </c>
      <c r="AD3105" s="0" t="inlineStr">
        <is>
          <t>천호동</t>
        </is>
      </c>
      <c r="AG3105" s="0" t="inlineStr">
        <is>
          <t>서울시 강동구 성안로27길 63-14</t>
        </is>
      </c>
      <c r="AH3105" s="0" t="n">
        <v>0</v>
      </c>
      <c r="AI3105" s="0" t="n">
        <v>377</v>
      </c>
      <c r="AJ3105" s="0" t="n">
        <v>58</v>
      </c>
      <c r="AK3105" s="0" t="n">
        <v>11</v>
      </c>
      <c r="AL3105" s="0" t="n">
        <v>0.55</v>
      </c>
    </row>
    <row r="3106">
      <c r="A3106" s="0" t="inlineStr">
        <is>
          <t>[천호동]</t>
        </is>
      </c>
      <c r="B3106" s="0" t="n">
        <v>114400</v>
      </c>
      <c r="C3106" s="0" t="n">
        <v>3</v>
      </c>
      <c r="D3106" s="0" t="inlineStr">
        <is>
          <t>주성아파텔(도시형)</t>
        </is>
      </c>
      <c r="E3106" s="0" t="inlineStr">
        <is>
          <t>2016.08.</t>
        </is>
      </c>
      <c r="F3106" s="0" t="n">
        <v>20</v>
      </c>
      <c r="G3106" s="0" t="n">
        <v>11.73</v>
      </c>
      <c r="H3106" s="0" t="n">
        <v>38.79</v>
      </c>
      <c r="I3106" s="0" t="n">
        <v>8.76</v>
      </c>
      <c r="J3106" s="0" t="n">
        <v>28.99</v>
      </c>
      <c r="K3106" s="0" t="n">
        <v>5</v>
      </c>
      <c r="T3106" s="0" t="n">
        <v>1</v>
      </c>
      <c r="U3106" s="0" t="n">
        <v>1</v>
      </c>
      <c r="V3106" s="0" t="inlineStr">
        <is>
          <t>복도식</t>
        </is>
      </c>
      <c r="W3106" s="0" t="inlineStr">
        <is>
          <t>38A</t>
        </is>
      </c>
      <c r="X3106" s="0" t="n">
        <v>6</v>
      </c>
      <c r="Y3106" s="0" t="n">
        <v>6</v>
      </c>
      <c r="Z3106" s="0" t="inlineStr">
        <is>
          <t>https://new.land.naver.com/complexes/114400?tab=detail&amp;rf=Y</t>
        </is>
      </c>
      <c r="AA3106" s="0" t="inlineStr">
        <is>
          <t>서울시 강동구 천호동 167-117</t>
        </is>
      </c>
      <c r="AB3106" s="0" t="inlineStr">
        <is>
          <t>서울시</t>
        </is>
      </c>
      <c r="AC3106" s="0" t="inlineStr">
        <is>
          <t>강동구</t>
        </is>
      </c>
      <c r="AD3106" s="0" t="inlineStr">
        <is>
          <t>천호동</t>
        </is>
      </c>
      <c r="AG3106" s="0" t="inlineStr">
        <is>
          <t>서울시 강동구 성안로27길 63-14</t>
        </is>
      </c>
      <c r="AH3106" s="0" t="n">
        <v>0</v>
      </c>
      <c r="AI3106" s="0" t="n">
        <v>377</v>
      </c>
      <c r="AJ3106" s="0" t="n">
        <v>58</v>
      </c>
      <c r="AK3106" s="0" t="n">
        <v>11</v>
      </c>
      <c r="AL3106" s="0" t="n">
        <v>0.55</v>
      </c>
    </row>
    <row r="3107">
      <c r="A3107" s="0" t="inlineStr">
        <is>
          <t>[천호동]</t>
        </is>
      </c>
      <c r="B3107" s="0" t="n">
        <v>114400</v>
      </c>
      <c r="C3107" s="0" t="n">
        <v>4</v>
      </c>
      <c r="D3107" s="0" t="inlineStr">
        <is>
          <t>주성아파텔(도시형)</t>
        </is>
      </c>
      <c r="E3107" s="0" t="inlineStr">
        <is>
          <t>2016.08.</t>
        </is>
      </c>
      <c r="F3107" s="0" t="n">
        <v>20</v>
      </c>
      <c r="G3107" s="0" t="n">
        <v>11.63</v>
      </c>
      <c r="H3107" s="0" t="n">
        <v>38.47</v>
      </c>
      <c r="I3107" s="0" t="n">
        <v>8.69</v>
      </c>
      <c r="J3107" s="0" t="n">
        <v>28.75</v>
      </c>
      <c r="K3107" s="0" t="n">
        <v>5</v>
      </c>
      <c r="T3107" s="0" t="n">
        <v>1</v>
      </c>
      <c r="U3107" s="0" t="n">
        <v>1</v>
      </c>
      <c r="V3107" s="0" t="inlineStr">
        <is>
          <t>복도식</t>
        </is>
      </c>
      <c r="W3107" s="0" t="inlineStr">
        <is>
          <t>38B</t>
        </is>
      </c>
      <c r="X3107" s="0" t="n">
        <v>6</v>
      </c>
      <c r="Y3107" s="0" t="n">
        <v>6</v>
      </c>
      <c r="Z3107" s="0" t="inlineStr">
        <is>
          <t>https://new.land.naver.com/complexes/114400?tab=detail&amp;rf=Y</t>
        </is>
      </c>
      <c r="AA3107" s="0" t="inlineStr">
        <is>
          <t>서울시 강동구 천호동 167-117</t>
        </is>
      </c>
      <c r="AB3107" s="0" t="inlineStr">
        <is>
          <t>서울시</t>
        </is>
      </c>
      <c r="AC3107" s="0" t="inlineStr">
        <is>
          <t>강동구</t>
        </is>
      </c>
      <c r="AD3107" s="0" t="inlineStr">
        <is>
          <t>천호동</t>
        </is>
      </c>
      <c r="AG3107" s="0" t="inlineStr">
        <is>
          <t>서울시 강동구 성안로27길 63-14</t>
        </is>
      </c>
      <c r="AH3107" s="0" t="n">
        <v>0</v>
      </c>
      <c r="AI3107" s="0" t="n">
        <v>377</v>
      </c>
      <c r="AJ3107" s="0" t="n">
        <v>58</v>
      </c>
      <c r="AK3107" s="0" t="n">
        <v>11</v>
      </c>
      <c r="AL3107" s="0" t="n">
        <v>0.55</v>
      </c>
    </row>
    <row r="3108">
      <c r="A3108" s="0" t="inlineStr">
        <is>
          <t>[천호동]</t>
        </is>
      </c>
      <c r="B3108" s="0" t="n">
        <v>120598</v>
      </c>
      <c r="C3108" s="0" t="n">
        <v>1</v>
      </c>
      <c r="D3108" s="0" t="inlineStr">
        <is>
          <t>더존캐슬(도시형)</t>
        </is>
      </c>
      <c r="E3108" s="0" t="inlineStr">
        <is>
          <t>2016.08.</t>
        </is>
      </c>
      <c r="F3108" s="0" t="n">
        <v>20</v>
      </c>
      <c r="G3108" s="0" t="n">
        <v>5.67</v>
      </c>
      <c r="H3108" s="0" t="n">
        <v>18.77</v>
      </c>
      <c r="I3108" s="0" t="n">
        <v>4.34</v>
      </c>
      <c r="J3108" s="0" t="n">
        <v>14.35</v>
      </c>
      <c r="K3108" s="0" t="n">
        <v>4</v>
      </c>
      <c r="T3108" s="0" t="n">
        <v>1</v>
      </c>
      <c r="U3108" s="0" t="n">
        <v>1</v>
      </c>
      <c r="V3108" s="0" t="inlineStr">
        <is>
          <t>계단식</t>
        </is>
      </c>
      <c r="W3108" s="0" t="inlineStr">
        <is>
          <t>18A</t>
        </is>
      </c>
      <c r="X3108" s="0" t="n">
        <v>9</v>
      </c>
      <c r="Y3108" s="0" t="n">
        <v>9</v>
      </c>
      <c r="Z3108" s="0" t="inlineStr">
        <is>
          <t>https://new.land.naver.com/complexes/120598?tab=detail&amp;rf=Y</t>
        </is>
      </c>
      <c r="AA3108" s="0" t="inlineStr">
        <is>
          <t>서울시 강동구 천호동 167-156</t>
        </is>
      </c>
      <c r="AB3108" s="0" t="inlineStr">
        <is>
          <t>서울시</t>
        </is>
      </c>
      <c r="AC3108" s="0" t="inlineStr">
        <is>
          <t>강동구</t>
        </is>
      </c>
      <c r="AD3108" s="0" t="inlineStr">
        <is>
          <t>천호동</t>
        </is>
      </c>
      <c r="AG3108" s="0" t="inlineStr">
        <is>
          <t>서울시 강동구 진황도로29길 27</t>
        </is>
      </c>
      <c r="AH3108" s="0" t="n">
        <v>0</v>
      </c>
      <c r="AI3108" s="0" t="n">
        <v>398</v>
      </c>
      <c r="AJ3108" s="0" t="n">
        <v>58</v>
      </c>
      <c r="AK3108" s="0" t="n">
        <v>10</v>
      </c>
      <c r="AL3108" s="0" t="n">
        <v>0.5</v>
      </c>
    </row>
    <row r="3109">
      <c r="A3109" s="0" t="inlineStr">
        <is>
          <t>[천호동]</t>
        </is>
      </c>
      <c r="B3109" s="0" t="n">
        <v>120598</v>
      </c>
      <c r="C3109" s="0" t="n">
        <v>2</v>
      </c>
      <c r="D3109" s="0" t="inlineStr">
        <is>
          <t>더존캐슬(도시형)</t>
        </is>
      </c>
      <c r="E3109" s="0" t="inlineStr">
        <is>
          <t>2016.08.</t>
        </is>
      </c>
      <c r="F3109" s="0" t="n">
        <v>20</v>
      </c>
      <c r="G3109" s="0" t="n">
        <v>5.71</v>
      </c>
      <c r="H3109" s="0" t="n">
        <v>18.9</v>
      </c>
      <c r="I3109" s="0" t="n">
        <v>4.37</v>
      </c>
      <c r="J3109" s="0" t="n">
        <v>14.45</v>
      </c>
      <c r="K3109" s="0" t="n">
        <v>4</v>
      </c>
      <c r="T3109" s="0" t="n">
        <v>1</v>
      </c>
      <c r="U3109" s="0" t="n">
        <v>1</v>
      </c>
      <c r="V3109" s="0" t="inlineStr">
        <is>
          <t>계단식</t>
        </is>
      </c>
      <c r="W3109" s="0" t="inlineStr">
        <is>
          <t>18B</t>
        </is>
      </c>
      <c r="X3109" s="0" t="n">
        <v>9</v>
      </c>
      <c r="Y3109" s="0" t="n">
        <v>9</v>
      </c>
      <c r="Z3109" s="0" t="inlineStr">
        <is>
          <t>https://new.land.naver.com/complexes/120598?tab=detail&amp;rf=Y</t>
        </is>
      </c>
      <c r="AA3109" s="0" t="inlineStr">
        <is>
          <t>서울시 강동구 천호동 167-156</t>
        </is>
      </c>
      <c r="AB3109" s="0" t="inlineStr">
        <is>
          <t>서울시</t>
        </is>
      </c>
      <c r="AC3109" s="0" t="inlineStr">
        <is>
          <t>강동구</t>
        </is>
      </c>
      <c r="AD3109" s="0" t="inlineStr">
        <is>
          <t>천호동</t>
        </is>
      </c>
      <c r="AG3109" s="0" t="inlineStr">
        <is>
          <t>서울시 강동구 진황도로29길 27</t>
        </is>
      </c>
      <c r="AH3109" s="0" t="n">
        <v>0</v>
      </c>
      <c r="AI3109" s="0" t="n">
        <v>398</v>
      </c>
      <c r="AJ3109" s="0" t="n">
        <v>58</v>
      </c>
      <c r="AK3109" s="0" t="n">
        <v>10</v>
      </c>
      <c r="AL3109" s="0" t="n">
        <v>0.5</v>
      </c>
    </row>
    <row r="3110">
      <c r="A3110" s="0" t="inlineStr">
        <is>
          <t>[천호동]</t>
        </is>
      </c>
      <c r="B3110" s="0" t="n">
        <v>120598</v>
      </c>
      <c r="C3110" s="0" t="n">
        <v>3</v>
      </c>
      <c r="D3110" s="0" t="inlineStr">
        <is>
          <t>더존캐슬(도시형)</t>
        </is>
      </c>
      <c r="E3110" s="0" t="inlineStr">
        <is>
          <t>2016.08.</t>
        </is>
      </c>
      <c r="F3110" s="0" t="n">
        <v>20</v>
      </c>
      <c r="G3110" s="0" t="n">
        <v>5.87</v>
      </c>
      <c r="H3110" s="0" t="n">
        <v>19.41</v>
      </c>
      <c r="I3110" s="0" t="n">
        <v>4.48</v>
      </c>
      <c r="J3110" s="0" t="n">
        <v>14.84</v>
      </c>
      <c r="K3110" s="0" t="n">
        <v>4</v>
      </c>
      <c r="T3110" s="0" t="n">
        <v>1</v>
      </c>
      <c r="U3110" s="0" t="n">
        <v>1</v>
      </c>
      <c r="V3110" s="0" t="inlineStr">
        <is>
          <t>계단식</t>
        </is>
      </c>
      <c r="W3110" s="0" t="inlineStr">
        <is>
          <t>19C</t>
        </is>
      </c>
      <c r="X3110" s="0" t="n">
        <v>9</v>
      </c>
      <c r="Y3110" s="0" t="n">
        <v>9</v>
      </c>
      <c r="Z3110" s="0" t="inlineStr">
        <is>
          <t>https://new.land.naver.com/complexes/120598?tab=detail&amp;rf=Y</t>
        </is>
      </c>
      <c r="AA3110" s="0" t="inlineStr">
        <is>
          <t>서울시 강동구 천호동 167-156</t>
        </is>
      </c>
      <c r="AB3110" s="0" t="inlineStr">
        <is>
          <t>서울시</t>
        </is>
      </c>
      <c r="AC3110" s="0" t="inlineStr">
        <is>
          <t>강동구</t>
        </is>
      </c>
      <c r="AD3110" s="0" t="inlineStr">
        <is>
          <t>천호동</t>
        </is>
      </c>
      <c r="AG3110" s="0" t="inlineStr">
        <is>
          <t>서울시 강동구 진황도로29길 27</t>
        </is>
      </c>
      <c r="AH3110" s="0" t="n">
        <v>0</v>
      </c>
      <c r="AI3110" s="0" t="n">
        <v>398</v>
      </c>
      <c r="AJ3110" s="0" t="n">
        <v>58</v>
      </c>
      <c r="AK3110" s="0" t="n">
        <v>10</v>
      </c>
      <c r="AL3110" s="0" t="n">
        <v>0.5</v>
      </c>
    </row>
    <row r="3111">
      <c r="A3111" s="0" t="inlineStr">
        <is>
          <t>[천호동]</t>
        </is>
      </c>
      <c r="B3111" s="0" t="n">
        <v>120598</v>
      </c>
      <c r="C3111" s="0" t="n">
        <v>4</v>
      </c>
      <c r="D3111" s="0" t="inlineStr">
        <is>
          <t>더존캐슬(도시형)</t>
        </is>
      </c>
      <c r="E3111" s="0" t="inlineStr">
        <is>
          <t>2016.08.</t>
        </is>
      </c>
      <c r="F3111" s="0" t="n">
        <v>20</v>
      </c>
      <c r="G3111" s="0" t="n">
        <v>7.02</v>
      </c>
      <c r="H3111" s="0" t="n">
        <v>23.21</v>
      </c>
      <c r="I3111" s="0" t="n">
        <v>5.36</v>
      </c>
      <c r="J3111" s="0" t="n">
        <v>17.75</v>
      </c>
      <c r="K3111" s="0" t="n">
        <v>4</v>
      </c>
      <c r="T3111" s="0" t="n">
        <v>1</v>
      </c>
      <c r="U3111" s="0" t="n">
        <v>1</v>
      </c>
      <c r="V3111" s="0" t="inlineStr">
        <is>
          <t>계단식</t>
        </is>
      </c>
      <c r="W3111" s="0" t="n">
        <v>23</v>
      </c>
      <c r="X3111" s="0" t="n">
        <v>9</v>
      </c>
      <c r="Y3111" s="0" t="n">
        <v>9</v>
      </c>
      <c r="Z3111" s="0" t="inlineStr">
        <is>
          <t>https://new.land.naver.com/complexes/120598?tab=detail&amp;rf=Y</t>
        </is>
      </c>
      <c r="AA3111" s="0" t="inlineStr">
        <is>
          <t>서울시 강동구 천호동 167-156</t>
        </is>
      </c>
      <c r="AB3111" s="0" t="inlineStr">
        <is>
          <t>서울시</t>
        </is>
      </c>
      <c r="AC3111" s="0" t="inlineStr">
        <is>
          <t>강동구</t>
        </is>
      </c>
      <c r="AD3111" s="0" t="inlineStr">
        <is>
          <t>천호동</t>
        </is>
      </c>
      <c r="AG3111" s="0" t="inlineStr">
        <is>
          <t>서울시 강동구 진황도로29길 27</t>
        </is>
      </c>
      <c r="AH3111" s="0" t="n">
        <v>0</v>
      </c>
      <c r="AI3111" s="0" t="n">
        <v>398</v>
      </c>
      <c r="AJ3111" s="0" t="n">
        <v>58</v>
      </c>
      <c r="AK3111" s="0" t="n">
        <v>10</v>
      </c>
      <c r="AL3111" s="0" t="n">
        <v>0.5</v>
      </c>
    </row>
    <row r="3112">
      <c r="A3112" s="0" t="inlineStr">
        <is>
          <t>[천호동]</t>
        </is>
      </c>
      <c r="B3112" s="0" t="n">
        <v>120598</v>
      </c>
      <c r="C3112" s="0" t="n">
        <v>5</v>
      </c>
      <c r="D3112" s="0" t="inlineStr">
        <is>
          <t>더존캐슬(도시형)</t>
        </is>
      </c>
      <c r="E3112" s="0" t="inlineStr">
        <is>
          <t>2016.08.</t>
        </is>
      </c>
      <c r="F3112" s="0" t="n">
        <v>20</v>
      </c>
      <c r="G3112" s="0" t="n">
        <v>7.61</v>
      </c>
      <c r="H3112" s="0" t="n">
        <v>25.17</v>
      </c>
      <c r="I3112" s="0" t="n">
        <v>5.82</v>
      </c>
      <c r="J3112" s="0" t="n">
        <v>19.25</v>
      </c>
      <c r="K3112" s="0" t="n">
        <v>4</v>
      </c>
      <c r="T3112" s="0" t="n">
        <v>1</v>
      </c>
      <c r="U3112" s="0" t="n">
        <v>1</v>
      </c>
      <c r="V3112" s="0" t="inlineStr">
        <is>
          <t>계단식</t>
        </is>
      </c>
      <c r="W3112" s="0" t="n">
        <v>25</v>
      </c>
      <c r="X3112" s="0" t="n">
        <v>9</v>
      </c>
      <c r="Y3112" s="0" t="n">
        <v>9</v>
      </c>
      <c r="Z3112" s="0" t="inlineStr">
        <is>
          <t>https://new.land.naver.com/complexes/120598?tab=detail&amp;rf=Y</t>
        </is>
      </c>
      <c r="AA3112" s="0" t="inlineStr">
        <is>
          <t>서울시 강동구 천호동 167-156</t>
        </is>
      </c>
      <c r="AB3112" s="0" t="inlineStr">
        <is>
          <t>서울시</t>
        </is>
      </c>
      <c r="AC3112" s="0" t="inlineStr">
        <is>
          <t>강동구</t>
        </is>
      </c>
      <c r="AD3112" s="0" t="inlineStr">
        <is>
          <t>천호동</t>
        </is>
      </c>
      <c r="AG3112" s="0" t="inlineStr">
        <is>
          <t>서울시 강동구 진황도로29길 27</t>
        </is>
      </c>
      <c r="AH3112" s="0" t="n">
        <v>0</v>
      </c>
      <c r="AI3112" s="0" t="n">
        <v>398</v>
      </c>
      <c r="AJ3112" s="0" t="n">
        <v>58</v>
      </c>
      <c r="AK3112" s="0" t="n">
        <v>10</v>
      </c>
      <c r="AL3112" s="0" t="n">
        <v>0.5</v>
      </c>
    </row>
    <row r="3113">
      <c r="A3113" s="0" t="inlineStr">
        <is>
          <t>[천호동]</t>
        </is>
      </c>
      <c r="B3113" s="0" t="n">
        <v>125525</v>
      </c>
      <c r="C3113" s="0" t="n">
        <v>1</v>
      </c>
      <c r="D3113" s="0" t="inlineStr">
        <is>
          <t>루체167</t>
        </is>
      </c>
      <c r="E3113" s="0" t="inlineStr">
        <is>
          <t>2019.04.</t>
        </is>
      </c>
      <c r="F3113" s="0" t="n">
        <v>20</v>
      </c>
      <c r="G3113" s="0" t="n">
        <v>8.41</v>
      </c>
      <c r="H3113" s="0" t="n">
        <v>27.82</v>
      </c>
      <c r="I3113" s="0" t="n">
        <v>4.97</v>
      </c>
      <c r="J3113" s="0" t="n">
        <v>16.45</v>
      </c>
      <c r="K3113" s="0" t="n">
        <v>8</v>
      </c>
      <c r="T3113" s="0" t="n">
        <v>1</v>
      </c>
      <c r="U3113" s="0" t="n">
        <v>1</v>
      </c>
      <c r="V3113" s="0" t="inlineStr">
        <is>
          <t>복도식</t>
        </is>
      </c>
      <c r="W3113" s="0" t="n">
        <v>27</v>
      </c>
      <c r="X3113" s="0" t="n">
        <v>9</v>
      </c>
      <c r="Y3113" s="0" t="n">
        <v>8</v>
      </c>
      <c r="Z3113" s="0" t="inlineStr">
        <is>
          <t>https://new.land.naver.com/complexes/125525?tab=detail&amp;rf=Y</t>
        </is>
      </c>
      <c r="AA3113" s="0" t="inlineStr">
        <is>
          <t>서울시 강동구 천호동 167-122</t>
        </is>
      </c>
      <c r="AB3113" s="0" t="inlineStr">
        <is>
          <t>서울시</t>
        </is>
      </c>
      <c r="AC3113" s="0" t="inlineStr">
        <is>
          <t>강동구</t>
        </is>
      </c>
      <c r="AD3113" s="0" t="inlineStr">
        <is>
          <t>천호동</t>
        </is>
      </c>
      <c r="AG3113" s="0" t="inlineStr">
        <is>
          <t>서울시 강동구 진황도로27길 18</t>
        </is>
      </c>
      <c r="AH3113" s="0" t="n">
        <v>0</v>
      </c>
      <c r="AI3113" s="0" t="n">
        <v>399</v>
      </c>
      <c r="AJ3113" s="0" t="n">
        <v>52</v>
      </c>
      <c r="AK3113" s="0" t="n">
        <v>11</v>
      </c>
      <c r="AL3113" s="0" t="n">
        <v>0.55</v>
      </c>
    </row>
    <row r="3114">
      <c r="A3114" s="0" t="inlineStr">
        <is>
          <t>[천호동]</t>
        </is>
      </c>
      <c r="B3114" s="0" t="n">
        <v>125525</v>
      </c>
      <c r="C3114" s="0" t="n">
        <v>2</v>
      </c>
      <c r="D3114" s="0" t="inlineStr">
        <is>
          <t>루체167</t>
        </is>
      </c>
      <c r="E3114" s="0" t="inlineStr">
        <is>
          <t>2019.04.</t>
        </is>
      </c>
      <c r="F3114" s="0" t="n">
        <v>20</v>
      </c>
      <c r="G3114" s="0" t="n">
        <v>8.56</v>
      </c>
      <c r="H3114" s="0" t="n">
        <v>28.31</v>
      </c>
      <c r="I3114" s="0" t="n">
        <v>5.06</v>
      </c>
      <c r="J3114" s="0" t="n">
        <v>16.74</v>
      </c>
      <c r="K3114" s="0" t="n">
        <v>4</v>
      </c>
      <c r="T3114" s="0" t="n">
        <v>1</v>
      </c>
      <c r="U3114" s="0" t="n">
        <v>1</v>
      </c>
      <c r="V3114" s="0" t="inlineStr">
        <is>
          <t>복도식</t>
        </is>
      </c>
      <c r="W3114" s="0" t="n">
        <v>28</v>
      </c>
      <c r="X3114" s="0" t="n">
        <v>9</v>
      </c>
      <c r="Y3114" s="0" t="n">
        <v>8</v>
      </c>
      <c r="Z3114" s="0" t="inlineStr">
        <is>
          <t>https://new.land.naver.com/complexes/125525?tab=detail&amp;rf=Y</t>
        </is>
      </c>
      <c r="AA3114" s="0" t="inlineStr">
        <is>
          <t>서울시 강동구 천호동 167-122</t>
        </is>
      </c>
      <c r="AB3114" s="0" t="inlineStr">
        <is>
          <t>서울시</t>
        </is>
      </c>
      <c r="AC3114" s="0" t="inlineStr">
        <is>
          <t>강동구</t>
        </is>
      </c>
      <c r="AD3114" s="0" t="inlineStr">
        <is>
          <t>천호동</t>
        </is>
      </c>
      <c r="AG3114" s="0" t="inlineStr">
        <is>
          <t>서울시 강동구 진황도로27길 18</t>
        </is>
      </c>
      <c r="AH3114" s="0" t="n">
        <v>0</v>
      </c>
      <c r="AI3114" s="0" t="n">
        <v>399</v>
      </c>
      <c r="AJ3114" s="0" t="n">
        <v>52</v>
      </c>
      <c r="AK3114" s="0" t="n">
        <v>11</v>
      </c>
      <c r="AL3114" s="0" t="n">
        <v>0.55</v>
      </c>
    </row>
    <row r="3115">
      <c r="A3115" s="0" t="inlineStr">
        <is>
          <t>[천호동]</t>
        </is>
      </c>
      <c r="B3115" s="0" t="n">
        <v>125525</v>
      </c>
      <c r="C3115" s="0" t="n">
        <v>3</v>
      </c>
      <c r="D3115" s="0" t="inlineStr">
        <is>
          <t>루체167</t>
        </is>
      </c>
      <c r="E3115" s="0" t="inlineStr">
        <is>
          <t>2019.04.</t>
        </is>
      </c>
      <c r="F3115" s="0" t="n">
        <v>20</v>
      </c>
      <c r="G3115" s="0" t="n">
        <v>11.28</v>
      </c>
      <c r="H3115" s="0" t="n">
        <v>37.3</v>
      </c>
      <c r="I3115" s="0" t="n">
        <v>6.67</v>
      </c>
      <c r="J3115" s="0" t="n">
        <v>22.05</v>
      </c>
      <c r="K3115" s="0" t="n">
        <v>2</v>
      </c>
      <c r="T3115" s="0" t="n">
        <v>1</v>
      </c>
      <c r="U3115" s="0" t="n">
        <v>1</v>
      </c>
      <c r="V3115" s="0" t="inlineStr">
        <is>
          <t>복도식</t>
        </is>
      </c>
      <c r="W3115" s="0" t="n">
        <v>37</v>
      </c>
      <c r="X3115" s="0" t="n">
        <v>9</v>
      </c>
      <c r="Y3115" s="0" t="n">
        <v>8</v>
      </c>
      <c r="Z3115" s="0" t="inlineStr">
        <is>
          <t>https://new.land.naver.com/complexes/125525?tab=detail&amp;rf=Y</t>
        </is>
      </c>
      <c r="AA3115" s="0" t="inlineStr">
        <is>
          <t>서울시 강동구 천호동 167-122</t>
        </is>
      </c>
      <c r="AB3115" s="0" t="inlineStr">
        <is>
          <t>서울시</t>
        </is>
      </c>
      <c r="AC3115" s="0" t="inlineStr">
        <is>
          <t>강동구</t>
        </is>
      </c>
      <c r="AD3115" s="0" t="inlineStr">
        <is>
          <t>천호동</t>
        </is>
      </c>
      <c r="AG3115" s="0" t="inlineStr">
        <is>
          <t>서울시 강동구 진황도로27길 18</t>
        </is>
      </c>
      <c r="AH3115" s="0" t="n">
        <v>0</v>
      </c>
      <c r="AI3115" s="0" t="n">
        <v>399</v>
      </c>
      <c r="AJ3115" s="0" t="n">
        <v>52</v>
      </c>
      <c r="AK3115" s="0" t="n">
        <v>11</v>
      </c>
      <c r="AL3115" s="0" t="n">
        <v>0.55</v>
      </c>
    </row>
    <row r="3116">
      <c r="A3116" s="0" t="inlineStr">
        <is>
          <t>[천호동]</t>
        </is>
      </c>
      <c r="B3116" s="0" t="n">
        <v>125525</v>
      </c>
      <c r="C3116" s="0" t="n">
        <v>4</v>
      </c>
      <c r="D3116" s="0" t="inlineStr">
        <is>
          <t>루체167</t>
        </is>
      </c>
      <c r="E3116" s="0" t="inlineStr">
        <is>
          <t>2019.04.</t>
        </is>
      </c>
      <c r="F3116" s="0" t="n">
        <v>20</v>
      </c>
      <c r="G3116" s="0" t="n">
        <v>13.82</v>
      </c>
      <c r="H3116" s="0" t="n">
        <v>45.69</v>
      </c>
      <c r="I3116" s="0" t="n">
        <v>8.17</v>
      </c>
      <c r="J3116" s="0" t="n">
        <v>27.01</v>
      </c>
      <c r="K3116" s="0" t="n">
        <v>4</v>
      </c>
      <c r="T3116" s="0" t="n">
        <v>1</v>
      </c>
      <c r="U3116" s="0" t="n">
        <v>1</v>
      </c>
      <c r="V3116" s="0" t="inlineStr">
        <is>
          <t>복도식</t>
        </is>
      </c>
      <c r="W3116" s="0" t="n">
        <v>45</v>
      </c>
      <c r="X3116" s="0" t="n">
        <v>9</v>
      </c>
      <c r="Y3116" s="0" t="n">
        <v>8</v>
      </c>
      <c r="Z3116" s="0" t="inlineStr">
        <is>
          <t>https://new.land.naver.com/complexes/125525?tab=detail&amp;rf=Y</t>
        </is>
      </c>
      <c r="AA3116" s="0" t="inlineStr">
        <is>
          <t>서울시 강동구 천호동 167-122</t>
        </is>
      </c>
      <c r="AB3116" s="0" t="inlineStr">
        <is>
          <t>서울시</t>
        </is>
      </c>
      <c r="AC3116" s="0" t="inlineStr">
        <is>
          <t>강동구</t>
        </is>
      </c>
      <c r="AD3116" s="0" t="inlineStr">
        <is>
          <t>천호동</t>
        </is>
      </c>
      <c r="AG3116" s="0" t="inlineStr">
        <is>
          <t>서울시 강동구 진황도로27길 18</t>
        </is>
      </c>
      <c r="AH3116" s="0" t="n">
        <v>0</v>
      </c>
      <c r="AI3116" s="0" t="n">
        <v>399</v>
      </c>
      <c r="AJ3116" s="0" t="n">
        <v>52</v>
      </c>
      <c r="AK3116" s="0" t="n">
        <v>11</v>
      </c>
      <c r="AL3116" s="0" t="n">
        <v>0.55</v>
      </c>
    </row>
    <row r="3117">
      <c r="A3117" s="0" t="inlineStr">
        <is>
          <t>[천호동]</t>
        </is>
      </c>
      <c r="B3117" s="0" t="n">
        <v>125525</v>
      </c>
      <c r="C3117" s="0" t="n">
        <v>5</v>
      </c>
      <c r="D3117" s="0" t="inlineStr">
        <is>
          <t>루체167</t>
        </is>
      </c>
      <c r="E3117" s="0" t="inlineStr">
        <is>
          <t>2019.04.</t>
        </is>
      </c>
      <c r="F3117" s="0" t="n">
        <v>20</v>
      </c>
      <c r="G3117" s="0" t="n">
        <v>18.5</v>
      </c>
      <c r="H3117" s="0" t="n">
        <v>61.16</v>
      </c>
      <c r="I3117" s="0" t="n">
        <v>10.93</v>
      </c>
      <c r="J3117" s="0" t="n">
        <v>36.16</v>
      </c>
      <c r="K3117" s="0" t="n">
        <v>2</v>
      </c>
      <c r="T3117" s="0" t="n">
        <v>1</v>
      </c>
      <c r="U3117" s="0" t="n">
        <v>1</v>
      </c>
      <c r="V3117" s="0" t="inlineStr">
        <is>
          <t>복도식</t>
        </is>
      </c>
      <c r="W3117" s="0" t="n">
        <v>61</v>
      </c>
      <c r="X3117" s="0" t="n">
        <v>9</v>
      </c>
      <c r="Y3117" s="0" t="n">
        <v>8</v>
      </c>
      <c r="Z3117" s="0" t="inlineStr">
        <is>
          <t>https://new.land.naver.com/complexes/125525?tab=detail&amp;rf=Y</t>
        </is>
      </c>
      <c r="AA3117" s="0" t="inlineStr">
        <is>
          <t>서울시 강동구 천호동 167-122</t>
        </is>
      </c>
      <c r="AB3117" s="0" t="inlineStr">
        <is>
          <t>서울시</t>
        </is>
      </c>
      <c r="AC3117" s="0" t="inlineStr">
        <is>
          <t>강동구</t>
        </is>
      </c>
      <c r="AD3117" s="0" t="inlineStr">
        <is>
          <t>천호동</t>
        </is>
      </c>
      <c r="AG3117" s="0" t="inlineStr">
        <is>
          <t>서울시 강동구 진황도로27길 18</t>
        </is>
      </c>
      <c r="AH3117" s="0" t="n">
        <v>0</v>
      </c>
      <c r="AI3117" s="0" t="n">
        <v>399</v>
      </c>
      <c r="AJ3117" s="0" t="n">
        <v>52</v>
      </c>
      <c r="AK3117" s="0" t="n">
        <v>11</v>
      </c>
      <c r="AL3117" s="0" t="n">
        <v>0.55</v>
      </c>
    </row>
    <row r="3118">
      <c r="A3118" s="0" t="inlineStr">
        <is>
          <t>[천호동]</t>
        </is>
      </c>
      <c r="B3118" s="0" t="n">
        <v>143891</v>
      </c>
      <c r="C3118" s="0" t="n">
        <v>1</v>
      </c>
      <c r="D3118" s="0" t="inlineStr">
        <is>
          <t>파크뷰</t>
        </is>
      </c>
      <c r="E3118" s="0" t="inlineStr">
        <is>
          <t>2021.09.</t>
        </is>
      </c>
      <c r="F3118" s="0" t="n">
        <v>28</v>
      </c>
      <c r="G3118" s="0" t="n">
        <v>5.88</v>
      </c>
      <c r="H3118" s="0" t="n">
        <v>19.47</v>
      </c>
      <c r="I3118" s="0" t="n">
        <v>4.44</v>
      </c>
      <c r="J3118" s="0" t="n">
        <v>14.68</v>
      </c>
      <c r="K3118" s="0" t="n">
        <v>8</v>
      </c>
      <c r="T3118" s="0" t="n">
        <v>1</v>
      </c>
      <c r="U3118" s="0" t="n">
        <v>1</v>
      </c>
      <c r="V3118" s="0" t="inlineStr">
        <is>
          <t>계단식</t>
        </is>
      </c>
      <c r="W3118" s="0" t="inlineStr">
        <is>
          <t>19A</t>
        </is>
      </c>
      <c r="X3118" s="0" t="n">
        <v>5</v>
      </c>
      <c r="Y3118" s="0" t="n">
        <v>5</v>
      </c>
      <c r="Z3118" s="0" t="inlineStr">
        <is>
          <t>https://new.land.naver.com/complexes/143891?tab=detail&amp;rf=Y</t>
        </is>
      </c>
      <c r="AA3118" s="0" t="inlineStr">
        <is>
          <t>서울시 강동구 천호동 322-36</t>
        </is>
      </c>
      <c r="AB3118" s="0" t="inlineStr">
        <is>
          <t>서울시</t>
        </is>
      </c>
      <c r="AC3118" s="0" t="inlineStr">
        <is>
          <t>강동구</t>
        </is>
      </c>
      <c r="AD3118" s="0" t="inlineStr">
        <is>
          <t>천호동</t>
        </is>
      </c>
      <c r="AG3118" s="0" t="inlineStr">
        <is>
          <t>서울시 강동구 올림픽로 733</t>
        </is>
      </c>
      <c r="AH3118" s="0" t="n">
        <v>0</v>
      </c>
      <c r="AI3118" s="0" t="n">
        <v>249</v>
      </c>
      <c r="AJ3118" s="0" t="n">
        <v>49</v>
      </c>
      <c r="AK3118" s="0" t="n">
        <v>17</v>
      </c>
      <c r="AL3118" s="0" t="n">
        <v>0.61</v>
      </c>
    </row>
    <row r="3119">
      <c r="A3119" s="0" t="inlineStr">
        <is>
          <t>[천호동]</t>
        </is>
      </c>
      <c r="B3119" s="0" t="n">
        <v>143891</v>
      </c>
      <c r="C3119" s="0" t="n">
        <v>2</v>
      </c>
      <c r="D3119" s="0" t="inlineStr">
        <is>
          <t>파크뷰</t>
        </is>
      </c>
      <c r="E3119" s="0" t="inlineStr">
        <is>
          <t>2021.09.</t>
        </is>
      </c>
      <c r="F3119" s="0" t="n">
        <v>28</v>
      </c>
      <c r="G3119" s="0" t="n">
        <v>6.26</v>
      </c>
      <c r="H3119" s="0" t="n">
        <v>20.71</v>
      </c>
      <c r="I3119" s="0" t="n">
        <v>4.71</v>
      </c>
      <c r="J3119" s="0" t="n">
        <v>15.6</v>
      </c>
      <c r="K3119" s="0" t="n">
        <v>4</v>
      </c>
      <c r="T3119" s="0" t="n">
        <v>1</v>
      </c>
      <c r="U3119" s="0" t="n">
        <v>1</v>
      </c>
      <c r="V3119" s="0" t="inlineStr">
        <is>
          <t>계단식</t>
        </is>
      </c>
      <c r="W3119" s="0" t="inlineStr">
        <is>
          <t>20B</t>
        </is>
      </c>
      <c r="X3119" s="0" t="n">
        <v>5</v>
      </c>
      <c r="Y3119" s="0" t="n">
        <v>5</v>
      </c>
      <c r="Z3119" s="0" t="inlineStr">
        <is>
          <t>https://new.land.naver.com/complexes/143891?tab=detail&amp;rf=Y</t>
        </is>
      </c>
      <c r="AA3119" s="0" t="inlineStr">
        <is>
          <t>서울시 강동구 천호동 322-36</t>
        </is>
      </c>
      <c r="AB3119" s="0" t="inlineStr">
        <is>
          <t>서울시</t>
        </is>
      </c>
      <c r="AC3119" s="0" t="inlineStr">
        <is>
          <t>강동구</t>
        </is>
      </c>
      <c r="AD3119" s="0" t="inlineStr">
        <is>
          <t>천호동</t>
        </is>
      </c>
      <c r="AG3119" s="0" t="inlineStr">
        <is>
          <t>서울시 강동구 올림픽로 733</t>
        </is>
      </c>
      <c r="AH3119" s="0" t="n">
        <v>0</v>
      </c>
      <c r="AI3119" s="0" t="n">
        <v>249</v>
      </c>
      <c r="AJ3119" s="0" t="n">
        <v>49</v>
      </c>
      <c r="AK3119" s="0" t="n">
        <v>17</v>
      </c>
      <c r="AL3119" s="0" t="n">
        <v>0.61</v>
      </c>
    </row>
    <row r="3120">
      <c r="A3120" s="0" t="inlineStr">
        <is>
          <t>[천호동]</t>
        </is>
      </c>
      <c r="B3120" s="0" t="n">
        <v>143891</v>
      </c>
      <c r="C3120" s="0" t="n">
        <v>3</v>
      </c>
      <c r="D3120" s="0" t="inlineStr">
        <is>
          <t>파크뷰</t>
        </is>
      </c>
      <c r="E3120" s="0" t="inlineStr">
        <is>
          <t>2021.09.</t>
        </is>
      </c>
      <c r="F3120" s="0" t="n">
        <v>28</v>
      </c>
      <c r="G3120" s="0" t="n">
        <v>6.78</v>
      </c>
      <c r="H3120" s="0" t="n">
        <v>22.44</v>
      </c>
      <c r="I3120" s="0" t="n">
        <v>5.11</v>
      </c>
      <c r="J3120" s="0" t="n">
        <v>16.92</v>
      </c>
      <c r="K3120" s="0" t="n">
        <v>8</v>
      </c>
      <c r="T3120" s="0" t="n">
        <v>1</v>
      </c>
      <c r="U3120" s="0" t="n">
        <v>1</v>
      </c>
      <c r="V3120" s="0" t="inlineStr">
        <is>
          <t>계단식</t>
        </is>
      </c>
      <c r="W3120" s="0" t="inlineStr">
        <is>
          <t>22A</t>
        </is>
      </c>
      <c r="X3120" s="0" t="n">
        <v>5</v>
      </c>
      <c r="Y3120" s="0" t="n">
        <v>5</v>
      </c>
      <c r="Z3120" s="0" t="inlineStr">
        <is>
          <t>https://new.land.naver.com/complexes/143891?tab=detail&amp;rf=Y</t>
        </is>
      </c>
      <c r="AA3120" s="0" t="inlineStr">
        <is>
          <t>서울시 강동구 천호동 322-36</t>
        </is>
      </c>
      <c r="AB3120" s="0" t="inlineStr">
        <is>
          <t>서울시</t>
        </is>
      </c>
      <c r="AC3120" s="0" t="inlineStr">
        <is>
          <t>강동구</t>
        </is>
      </c>
      <c r="AD3120" s="0" t="inlineStr">
        <is>
          <t>천호동</t>
        </is>
      </c>
      <c r="AG3120" s="0" t="inlineStr">
        <is>
          <t>서울시 강동구 올림픽로 733</t>
        </is>
      </c>
      <c r="AH3120" s="0" t="n">
        <v>0</v>
      </c>
      <c r="AI3120" s="0" t="n">
        <v>249</v>
      </c>
      <c r="AJ3120" s="0" t="n">
        <v>49</v>
      </c>
      <c r="AK3120" s="0" t="n">
        <v>17</v>
      </c>
      <c r="AL3120" s="0" t="n">
        <v>0.61</v>
      </c>
    </row>
    <row r="3121">
      <c r="A3121" s="0" t="inlineStr">
        <is>
          <t>[천호동]</t>
        </is>
      </c>
      <c r="B3121" s="0" t="n">
        <v>143891</v>
      </c>
      <c r="C3121" s="0" t="n">
        <v>4</v>
      </c>
      <c r="D3121" s="0" t="inlineStr">
        <is>
          <t>파크뷰</t>
        </is>
      </c>
      <c r="E3121" s="0" t="inlineStr">
        <is>
          <t>2021.09.</t>
        </is>
      </c>
      <c r="F3121" s="0" t="n">
        <v>28</v>
      </c>
      <c r="G3121" s="0" t="n">
        <v>7.26</v>
      </c>
      <c r="H3121" s="0" t="n">
        <v>24.01</v>
      </c>
      <c r="I3121" s="0" t="n">
        <v>5.47</v>
      </c>
      <c r="J3121" s="0" t="n">
        <v>18.1</v>
      </c>
      <c r="K3121" s="0" t="n">
        <v>8</v>
      </c>
      <c r="T3121" s="0" t="n">
        <v>1</v>
      </c>
      <c r="U3121" s="0" t="n">
        <v>1</v>
      </c>
      <c r="V3121" s="0" t="inlineStr">
        <is>
          <t>계단식</t>
        </is>
      </c>
      <c r="W3121" s="0" t="inlineStr">
        <is>
          <t>24B</t>
        </is>
      </c>
      <c r="X3121" s="0" t="n">
        <v>5</v>
      </c>
      <c r="Y3121" s="0" t="n">
        <v>5</v>
      </c>
      <c r="Z3121" s="0" t="inlineStr">
        <is>
          <t>https://new.land.naver.com/complexes/143891?tab=detail&amp;rf=Y</t>
        </is>
      </c>
      <c r="AA3121" s="0" t="inlineStr">
        <is>
          <t>서울시 강동구 천호동 322-36</t>
        </is>
      </c>
      <c r="AB3121" s="0" t="inlineStr">
        <is>
          <t>서울시</t>
        </is>
      </c>
      <c r="AC3121" s="0" t="inlineStr">
        <is>
          <t>강동구</t>
        </is>
      </c>
      <c r="AD3121" s="0" t="inlineStr">
        <is>
          <t>천호동</t>
        </is>
      </c>
      <c r="AG3121" s="0" t="inlineStr">
        <is>
          <t>서울시 강동구 올림픽로 733</t>
        </is>
      </c>
      <c r="AH3121" s="0" t="n">
        <v>0</v>
      </c>
      <c r="AI3121" s="0" t="n">
        <v>249</v>
      </c>
      <c r="AJ3121" s="0" t="n">
        <v>49</v>
      </c>
      <c r="AK3121" s="0" t="n">
        <v>17</v>
      </c>
      <c r="AL3121" s="0" t="n">
        <v>0.61</v>
      </c>
    </row>
    <row r="3122">
      <c r="A3122" s="0" t="inlineStr">
        <is>
          <t>[천호동]</t>
        </is>
      </c>
      <c r="B3122" s="0" t="n">
        <v>143293</v>
      </c>
      <c r="C3122" s="0" t="n">
        <v>1</v>
      </c>
      <c r="D3122" s="0" t="inlineStr">
        <is>
          <t>청운캐슬1단지(도시형)</t>
        </is>
      </c>
      <c r="E3122" s="0" t="inlineStr">
        <is>
          <t>2018.12.</t>
        </is>
      </c>
      <c r="F3122" s="0" t="n">
        <v>84</v>
      </c>
      <c r="G3122" s="0" t="n">
        <v>9.69</v>
      </c>
      <c r="H3122" s="0" t="n">
        <v>32.04</v>
      </c>
      <c r="I3122" s="0" t="n">
        <v>7.85</v>
      </c>
      <c r="J3122" s="0" t="n">
        <v>25.98</v>
      </c>
      <c r="K3122" s="0" t="n">
        <v>17</v>
      </c>
      <c r="T3122" s="0" t="n">
        <v>1</v>
      </c>
      <c r="U3122" s="0" t="n">
        <v>1</v>
      </c>
      <c r="V3122" s="0" t="inlineStr">
        <is>
          <t>계단식</t>
        </is>
      </c>
      <c r="W3122" s="0" t="inlineStr">
        <is>
          <t>32A</t>
        </is>
      </c>
      <c r="X3122" s="0" t="n">
        <v>6</v>
      </c>
      <c r="Y3122" s="0" t="n">
        <v>6</v>
      </c>
      <c r="Z3122" s="0" t="inlineStr">
        <is>
          <t>https://new.land.naver.com/complexes/143293?tab=detail&amp;rf=Y</t>
        </is>
      </c>
      <c r="AA3122" s="0" t="inlineStr">
        <is>
          <t>서울시 강동구 천호동 574</t>
        </is>
      </c>
      <c r="AB3122" s="0" t="inlineStr">
        <is>
          <t>서울시</t>
        </is>
      </c>
      <c r="AC3122" s="0" t="inlineStr">
        <is>
          <t>강동구</t>
        </is>
      </c>
      <c r="AD3122" s="0" t="inlineStr">
        <is>
          <t>천호동</t>
        </is>
      </c>
      <c r="AG3122" s="0" t="inlineStr">
        <is>
          <t>서울시 강동구 천중로27길 70</t>
        </is>
      </c>
      <c r="AH3122" s="0" t="n">
        <v>0</v>
      </c>
      <c r="AI3122" s="0" t="n">
        <v>199</v>
      </c>
      <c r="AJ3122" s="0" t="n">
        <v>54</v>
      </c>
      <c r="AK3122" s="0" t="n">
        <v>63</v>
      </c>
      <c r="AL3122" s="0" t="n">
        <v>0.75</v>
      </c>
    </row>
    <row r="3123">
      <c r="A3123" s="0" t="inlineStr">
        <is>
          <t>[천호동]</t>
        </is>
      </c>
      <c r="B3123" s="0" t="n">
        <v>143293</v>
      </c>
      <c r="C3123" s="0" t="n">
        <v>2</v>
      </c>
      <c r="D3123" s="0" t="inlineStr">
        <is>
          <t>청운캐슬1단지(도시형)</t>
        </is>
      </c>
      <c r="E3123" s="0" t="inlineStr">
        <is>
          <t>2018.12.</t>
        </is>
      </c>
      <c r="F3123" s="0" t="n">
        <v>84</v>
      </c>
      <c r="G3123" s="0" t="n">
        <v>9.970000000000001</v>
      </c>
      <c r="H3123" s="0" t="n">
        <v>32.98</v>
      </c>
      <c r="I3123" s="0" t="n">
        <v>8.08</v>
      </c>
      <c r="J3123" s="0" t="n">
        <v>26.74</v>
      </c>
      <c r="K3123" s="0" t="n">
        <v>5</v>
      </c>
      <c r="T3123" s="0" t="n">
        <v>1</v>
      </c>
      <c r="U3123" s="0" t="n">
        <v>1</v>
      </c>
      <c r="V3123" s="0" t="inlineStr">
        <is>
          <t>계단식</t>
        </is>
      </c>
      <c r="W3123" s="0" t="inlineStr">
        <is>
          <t>32C</t>
        </is>
      </c>
      <c r="X3123" s="0" t="n">
        <v>6</v>
      </c>
      <c r="Y3123" s="0" t="n">
        <v>6</v>
      </c>
      <c r="Z3123" s="0" t="inlineStr">
        <is>
          <t>https://new.land.naver.com/complexes/143293?tab=detail&amp;rf=Y</t>
        </is>
      </c>
      <c r="AA3123" s="0" t="inlineStr">
        <is>
          <t>서울시 강동구 천호동 574</t>
        </is>
      </c>
      <c r="AB3123" s="0" t="inlineStr">
        <is>
          <t>서울시</t>
        </is>
      </c>
      <c r="AC3123" s="0" t="inlineStr">
        <is>
          <t>강동구</t>
        </is>
      </c>
      <c r="AD3123" s="0" t="inlineStr">
        <is>
          <t>천호동</t>
        </is>
      </c>
      <c r="AG3123" s="0" t="inlineStr">
        <is>
          <t>서울시 강동구 천중로27길 70</t>
        </is>
      </c>
      <c r="AH3123" s="0" t="n">
        <v>0</v>
      </c>
      <c r="AI3123" s="0" t="n">
        <v>199</v>
      </c>
      <c r="AJ3123" s="0" t="n">
        <v>54</v>
      </c>
      <c r="AK3123" s="0" t="n">
        <v>63</v>
      </c>
      <c r="AL3123" s="0" t="n">
        <v>0.75</v>
      </c>
    </row>
    <row r="3124">
      <c r="A3124" s="0" t="inlineStr">
        <is>
          <t>[천호동]</t>
        </is>
      </c>
      <c r="B3124" s="0" t="n">
        <v>143293</v>
      </c>
      <c r="C3124" s="0" t="n">
        <v>3</v>
      </c>
      <c r="D3124" s="0" t="inlineStr">
        <is>
          <t>청운캐슬1단지(도시형)</t>
        </is>
      </c>
      <c r="E3124" s="0" t="inlineStr">
        <is>
          <t>2018.12.</t>
        </is>
      </c>
      <c r="F3124" s="0" t="n">
        <v>84</v>
      </c>
      <c r="G3124" s="0" t="n">
        <v>9.85</v>
      </c>
      <c r="H3124" s="0" t="n">
        <v>32.59</v>
      </c>
      <c r="I3124" s="0" t="n">
        <v>7.99</v>
      </c>
      <c r="J3124" s="0" t="n">
        <v>26.42</v>
      </c>
      <c r="K3124" s="0" t="n">
        <v>2</v>
      </c>
      <c r="T3124" s="0" t="n">
        <v>1</v>
      </c>
      <c r="U3124" s="0" t="n">
        <v>1</v>
      </c>
      <c r="V3124" s="0" t="inlineStr">
        <is>
          <t>계단식</t>
        </is>
      </c>
      <c r="W3124" s="0" t="inlineStr">
        <is>
          <t>32B</t>
        </is>
      </c>
      <c r="X3124" s="0" t="n">
        <v>6</v>
      </c>
      <c r="Y3124" s="0" t="n">
        <v>6</v>
      </c>
      <c r="Z3124" s="0" t="inlineStr">
        <is>
          <t>https://new.land.naver.com/complexes/143293?tab=detail&amp;rf=Y</t>
        </is>
      </c>
      <c r="AA3124" s="0" t="inlineStr">
        <is>
          <t>서울시 강동구 천호동 574</t>
        </is>
      </c>
      <c r="AB3124" s="0" t="inlineStr">
        <is>
          <t>서울시</t>
        </is>
      </c>
      <c r="AC3124" s="0" t="inlineStr">
        <is>
          <t>강동구</t>
        </is>
      </c>
      <c r="AD3124" s="0" t="inlineStr">
        <is>
          <t>천호동</t>
        </is>
      </c>
      <c r="AG3124" s="0" t="inlineStr">
        <is>
          <t>서울시 강동구 천중로27길 70</t>
        </is>
      </c>
      <c r="AH3124" s="0" t="n">
        <v>0</v>
      </c>
      <c r="AI3124" s="0" t="n">
        <v>199</v>
      </c>
      <c r="AJ3124" s="0" t="n">
        <v>54</v>
      </c>
      <c r="AK3124" s="0" t="n">
        <v>63</v>
      </c>
      <c r="AL3124" s="0" t="n">
        <v>0.75</v>
      </c>
    </row>
    <row r="3125">
      <c r="A3125" s="0" t="inlineStr">
        <is>
          <t>[천호동]</t>
        </is>
      </c>
      <c r="B3125" s="0" t="n">
        <v>143293</v>
      </c>
      <c r="C3125" s="0" t="n">
        <v>4</v>
      </c>
      <c r="D3125" s="0" t="inlineStr">
        <is>
          <t>청운캐슬1단지(도시형)</t>
        </is>
      </c>
      <c r="E3125" s="0" t="inlineStr">
        <is>
          <t>2018.12.</t>
        </is>
      </c>
      <c r="F3125" s="0" t="n">
        <v>84</v>
      </c>
      <c r="G3125" s="0" t="n">
        <v>12.45</v>
      </c>
      <c r="H3125" s="0" t="n">
        <v>41.16</v>
      </c>
      <c r="I3125" s="0" t="n">
        <v>10.09</v>
      </c>
      <c r="J3125" s="0" t="n">
        <v>33.37</v>
      </c>
      <c r="K3125" s="0" t="n">
        <v>1</v>
      </c>
      <c r="T3125" s="0" t="n">
        <v>1</v>
      </c>
      <c r="U3125" s="0" t="n">
        <v>1</v>
      </c>
      <c r="V3125" s="0" t="inlineStr">
        <is>
          <t>계단식</t>
        </is>
      </c>
      <c r="W3125" s="0" t="n">
        <v>41</v>
      </c>
      <c r="X3125" s="0" t="n">
        <v>6</v>
      </c>
      <c r="Y3125" s="0" t="n">
        <v>6</v>
      </c>
      <c r="Z3125" s="0" t="inlineStr">
        <is>
          <t>https://new.land.naver.com/complexes/143293?tab=detail&amp;rf=Y</t>
        </is>
      </c>
      <c r="AA3125" s="0" t="inlineStr">
        <is>
          <t>서울시 강동구 천호동 574</t>
        </is>
      </c>
      <c r="AB3125" s="0" t="inlineStr">
        <is>
          <t>서울시</t>
        </is>
      </c>
      <c r="AC3125" s="0" t="inlineStr">
        <is>
          <t>강동구</t>
        </is>
      </c>
      <c r="AD3125" s="0" t="inlineStr">
        <is>
          <t>천호동</t>
        </is>
      </c>
      <c r="AG3125" s="0" t="inlineStr">
        <is>
          <t>서울시 강동구 천중로27길 70</t>
        </is>
      </c>
      <c r="AH3125" s="0" t="n">
        <v>0</v>
      </c>
      <c r="AI3125" s="0" t="n">
        <v>199</v>
      </c>
      <c r="AJ3125" s="0" t="n">
        <v>54</v>
      </c>
      <c r="AK3125" s="0" t="n">
        <v>63</v>
      </c>
      <c r="AL3125" s="0" t="n">
        <v>0.75</v>
      </c>
    </row>
    <row r="3126">
      <c r="A3126" s="0" t="inlineStr">
        <is>
          <t>[천호동]</t>
        </is>
      </c>
      <c r="B3126" s="0" t="n">
        <v>143293</v>
      </c>
      <c r="C3126" s="0" t="n">
        <v>5</v>
      </c>
      <c r="D3126" s="0" t="inlineStr">
        <is>
          <t>청운캐슬1단지(도시형)</t>
        </is>
      </c>
      <c r="E3126" s="0" t="inlineStr">
        <is>
          <t>2018.12.</t>
        </is>
      </c>
      <c r="F3126" s="0" t="n">
        <v>84</v>
      </c>
      <c r="G3126" s="0" t="n">
        <v>13.6</v>
      </c>
      <c r="H3126" s="0" t="n">
        <v>44.97</v>
      </c>
      <c r="I3126" s="0" t="n">
        <v>11.02</v>
      </c>
      <c r="J3126" s="0" t="n">
        <v>36.46</v>
      </c>
      <c r="K3126" s="0" t="n">
        <v>2</v>
      </c>
      <c r="T3126" s="0" t="n">
        <v>1</v>
      </c>
      <c r="U3126" s="0" t="n">
        <v>1</v>
      </c>
      <c r="V3126" s="0" t="inlineStr">
        <is>
          <t>계단식</t>
        </is>
      </c>
      <c r="W3126" s="0" t="inlineStr">
        <is>
          <t>44A</t>
        </is>
      </c>
      <c r="X3126" s="0" t="n">
        <v>6</v>
      </c>
      <c r="Y3126" s="0" t="n">
        <v>6</v>
      </c>
      <c r="Z3126" s="0" t="inlineStr">
        <is>
          <t>https://new.land.naver.com/complexes/143293?tab=detail&amp;rf=Y</t>
        </is>
      </c>
      <c r="AA3126" s="0" t="inlineStr">
        <is>
          <t>서울시 강동구 천호동 574</t>
        </is>
      </c>
      <c r="AB3126" s="0" t="inlineStr">
        <is>
          <t>서울시</t>
        </is>
      </c>
      <c r="AC3126" s="0" t="inlineStr">
        <is>
          <t>강동구</t>
        </is>
      </c>
      <c r="AD3126" s="0" t="inlineStr">
        <is>
          <t>천호동</t>
        </is>
      </c>
      <c r="AG3126" s="0" t="inlineStr">
        <is>
          <t>서울시 강동구 천중로27길 70</t>
        </is>
      </c>
      <c r="AH3126" s="0" t="n">
        <v>0</v>
      </c>
      <c r="AI3126" s="0" t="n">
        <v>199</v>
      </c>
      <c r="AJ3126" s="0" t="n">
        <v>54</v>
      </c>
      <c r="AK3126" s="0" t="n">
        <v>63</v>
      </c>
      <c r="AL3126" s="0" t="n">
        <v>0.75</v>
      </c>
    </row>
    <row r="3127">
      <c r="A3127" s="0" t="inlineStr">
        <is>
          <t>[천호동]</t>
        </is>
      </c>
      <c r="B3127" s="0" t="n">
        <v>143293</v>
      </c>
      <c r="C3127" s="0" t="n">
        <v>6</v>
      </c>
      <c r="D3127" s="0" t="inlineStr">
        <is>
          <t>청운캐슬1단지(도시형)</t>
        </is>
      </c>
      <c r="E3127" s="0" t="inlineStr">
        <is>
          <t>2018.12.</t>
        </is>
      </c>
      <c r="F3127" s="0" t="n">
        <v>84</v>
      </c>
      <c r="G3127" s="0" t="n">
        <v>13.82</v>
      </c>
      <c r="H3127" s="0" t="n">
        <v>45.71</v>
      </c>
      <c r="I3127" s="0" t="n">
        <v>11.21</v>
      </c>
      <c r="J3127" s="0" t="n">
        <v>37.06</v>
      </c>
      <c r="K3127" s="0" t="n">
        <v>1</v>
      </c>
      <c r="T3127" s="0" t="n">
        <v>1</v>
      </c>
      <c r="U3127" s="0" t="n">
        <v>1</v>
      </c>
      <c r="V3127" s="0" t="inlineStr">
        <is>
          <t>계단식</t>
        </is>
      </c>
      <c r="W3127" s="0" t="inlineStr">
        <is>
          <t>45B</t>
        </is>
      </c>
      <c r="X3127" s="0" t="n">
        <v>6</v>
      </c>
      <c r="Y3127" s="0" t="n">
        <v>6</v>
      </c>
      <c r="Z3127" s="0" t="inlineStr">
        <is>
          <t>https://new.land.naver.com/complexes/143293?tab=detail&amp;rf=Y</t>
        </is>
      </c>
      <c r="AA3127" s="0" t="inlineStr">
        <is>
          <t>서울시 강동구 천호동 574</t>
        </is>
      </c>
      <c r="AB3127" s="0" t="inlineStr">
        <is>
          <t>서울시</t>
        </is>
      </c>
      <c r="AC3127" s="0" t="inlineStr">
        <is>
          <t>강동구</t>
        </is>
      </c>
      <c r="AD3127" s="0" t="inlineStr">
        <is>
          <t>천호동</t>
        </is>
      </c>
      <c r="AG3127" s="0" t="inlineStr">
        <is>
          <t>서울시 강동구 천중로27길 70</t>
        </is>
      </c>
      <c r="AH3127" s="0" t="n">
        <v>0</v>
      </c>
      <c r="AI3127" s="0" t="n">
        <v>199</v>
      </c>
      <c r="AJ3127" s="0" t="n">
        <v>54</v>
      </c>
      <c r="AK3127" s="0" t="n">
        <v>63</v>
      </c>
      <c r="AL3127" s="0" t="n">
        <v>0.75</v>
      </c>
    </row>
    <row r="3128">
      <c r="A3128" s="0" t="inlineStr">
        <is>
          <t>[천호동]</t>
        </is>
      </c>
      <c r="B3128" s="0" t="n">
        <v>143293</v>
      </c>
      <c r="C3128" s="0" t="n">
        <v>7</v>
      </c>
      <c r="D3128" s="0" t="inlineStr">
        <is>
          <t>청운캐슬1단지(도시형)</t>
        </is>
      </c>
      <c r="E3128" s="0" t="inlineStr">
        <is>
          <t>2018.12.</t>
        </is>
      </c>
      <c r="F3128" s="0" t="n">
        <v>84</v>
      </c>
      <c r="G3128" s="0" t="n">
        <v>14.87</v>
      </c>
      <c r="H3128" s="0" t="n">
        <v>49.18</v>
      </c>
      <c r="I3128" s="0" t="n">
        <v>12.06</v>
      </c>
      <c r="J3128" s="0" t="n">
        <v>39.87</v>
      </c>
      <c r="K3128" s="0" t="n">
        <v>20</v>
      </c>
      <c r="T3128" s="0" t="n">
        <v>2</v>
      </c>
      <c r="U3128" s="0" t="n">
        <v>1</v>
      </c>
      <c r="V3128" s="0" t="inlineStr">
        <is>
          <t>계단식</t>
        </is>
      </c>
      <c r="W3128" s="0" t="inlineStr">
        <is>
          <t>49A</t>
        </is>
      </c>
      <c r="X3128" s="0" t="n">
        <v>6</v>
      </c>
      <c r="Y3128" s="0" t="n">
        <v>6</v>
      </c>
      <c r="Z3128" s="0" t="inlineStr">
        <is>
          <t>https://new.land.naver.com/complexes/143293?tab=detail&amp;rf=Y</t>
        </is>
      </c>
      <c r="AA3128" s="0" t="inlineStr">
        <is>
          <t>서울시 강동구 천호동 574</t>
        </is>
      </c>
      <c r="AB3128" s="0" t="inlineStr">
        <is>
          <t>서울시</t>
        </is>
      </c>
      <c r="AC3128" s="0" t="inlineStr">
        <is>
          <t>강동구</t>
        </is>
      </c>
      <c r="AD3128" s="0" t="inlineStr">
        <is>
          <t>천호동</t>
        </is>
      </c>
      <c r="AG3128" s="0" t="inlineStr">
        <is>
          <t>서울시 강동구 천중로27길 70</t>
        </is>
      </c>
      <c r="AH3128" s="0" t="n">
        <v>0</v>
      </c>
      <c r="AI3128" s="0" t="n">
        <v>199</v>
      </c>
      <c r="AJ3128" s="0" t="n">
        <v>54</v>
      </c>
      <c r="AK3128" s="0" t="n">
        <v>63</v>
      </c>
      <c r="AL3128" s="0" t="n">
        <v>0.75</v>
      </c>
    </row>
    <row r="3129">
      <c r="A3129" s="0" t="inlineStr">
        <is>
          <t>[천호동]</t>
        </is>
      </c>
      <c r="B3129" s="0" t="n">
        <v>143293</v>
      </c>
      <c r="C3129" s="0" t="n">
        <v>8</v>
      </c>
      <c r="D3129" s="0" t="inlineStr">
        <is>
          <t>청운캐슬1단지(도시형)</t>
        </is>
      </c>
      <c r="E3129" s="0" t="inlineStr">
        <is>
          <t>2018.12.</t>
        </is>
      </c>
      <c r="F3129" s="0" t="n">
        <v>84</v>
      </c>
      <c r="G3129" s="0" t="n">
        <v>14.89</v>
      </c>
      <c r="H3129" s="0" t="n">
        <v>49.25</v>
      </c>
      <c r="I3129" s="0" t="n">
        <v>12.07</v>
      </c>
      <c r="J3129" s="0" t="n">
        <v>39.93</v>
      </c>
      <c r="K3129" s="0" t="n">
        <v>5</v>
      </c>
      <c r="T3129" s="0" t="n">
        <v>2</v>
      </c>
      <c r="U3129" s="0" t="n">
        <v>1</v>
      </c>
      <c r="V3129" s="0" t="inlineStr">
        <is>
          <t>계단식</t>
        </is>
      </c>
      <c r="W3129" s="0" t="inlineStr">
        <is>
          <t>49B</t>
        </is>
      </c>
      <c r="X3129" s="0" t="n">
        <v>6</v>
      </c>
      <c r="Y3129" s="0" t="n">
        <v>6</v>
      </c>
      <c r="Z3129" s="0" t="inlineStr">
        <is>
          <t>https://new.land.naver.com/complexes/143293?tab=detail&amp;rf=Y</t>
        </is>
      </c>
      <c r="AA3129" s="0" t="inlineStr">
        <is>
          <t>서울시 강동구 천호동 574</t>
        </is>
      </c>
      <c r="AB3129" s="0" t="inlineStr">
        <is>
          <t>서울시</t>
        </is>
      </c>
      <c r="AC3129" s="0" t="inlineStr">
        <is>
          <t>강동구</t>
        </is>
      </c>
      <c r="AD3129" s="0" t="inlineStr">
        <is>
          <t>천호동</t>
        </is>
      </c>
      <c r="AG3129" s="0" t="inlineStr">
        <is>
          <t>서울시 강동구 천중로27길 70</t>
        </is>
      </c>
      <c r="AH3129" s="0" t="n">
        <v>0</v>
      </c>
      <c r="AI3129" s="0" t="n">
        <v>199</v>
      </c>
      <c r="AJ3129" s="0" t="n">
        <v>54</v>
      </c>
      <c r="AK3129" s="0" t="n">
        <v>63</v>
      </c>
      <c r="AL3129" s="0" t="n">
        <v>0.75</v>
      </c>
    </row>
    <row r="3130">
      <c r="A3130" s="0" t="inlineStr">
        <is>
          <t>[천호동]</t>
        </is>
      </c>
      <c r="B3130" s="0" t="n">
        <v>143293</v>
      </c>
      <c r="C3130" s="0" t="n">
        <v>9</v>
      </c>
      <c r="D3130" s="0" t="inlineStr">
        <is>
          <t>청운캐슬1단지(도시형)</t>
        </is>
      </c>
      <c r="E3130" s="0" t="inlineStr">
        <is>
          <t>2018.12.</t>
        </is>
      </c>
      <c r="F3130" s="0" t="n">
        <v>84</v>
      </c>
      <c r="G3130" s="0" t="n">
        <v>14.91</v>
      </c>
      <c r="H3130" s="0" t="n">
        <v>49.3</v>
      </c>
      <c r="I3130" s="0" t="n">
        <v>12.09</v>
      </c>
      <c r="J3130" s="0" t="n">
        <v>39.97</v>
      </c>
      <c r="K3130" s="0" t="n">
        <v>5</v>
      </c>
      <c r="T3130" s="0" t="n">
        <v>2</v>
      </c>
      <c r="U3130" s="0" t="n">
        <v>1</v>
      </c>
      <c r="V3130" s="0" t="inlineStr">
        <is>
          <t>계단식</t>
        </is>
      </c>
      <c r="W3130" s="0" t="inlineStr">
        <is>
          <t>49C</t>
        </is>
      </c>
      <c r="X3130" s="0" t="n">
        <v>6</v>
      </c>
      <c r="Y3130" s="0" t="n">
        <v>6</v>
      </c>
      <c r="Z3130" s="0" t="inlineStr">
        <is>
          <t>https://new.land.naver.com/complexes/143293?tab=detail&amp;rf=Y</t>
        </is>
      </c>
      <c r="AA3130" s="0" t="inlineStr">
        <is>
          <t>서울시 강동구 천호동 574</t>
        </is>
      </c>
      <c r="AB3130" s="0" t="inlineStr">
        <is>
          <t>서울시</t>
        </is>
      </c>
      <c r="AC3130" s="0" t="inlineStr">
        <is>
          <t>강동구</t>
        </is>
      </c>
      <c r="AD3130" s="0" t="inlineStr">
        <is>
          <t>천호동</t>
        </is>
      </c>
      <c r="AG3130" s="0" t="inlineStr">
        <is>
          <t>서울시 강동구 천중로27길 70</t>
        </is>
      </c>
      <c r="AH3130" s="0" t="n">
        <v>0</v>
      </c>
      <c r="AI3130" s="0" t="n">
        <v>199</v>
      </c>
      <c r="AJ3130" s="0" t="n">
        <v>54</v>
      </c>
      <c r="AK3130" s="0" t="n">
        <v>63</v>
      </c>
      <c r="AL3130" s="0" t="n">
        <v>0.75</v>
      </c>
    </row>
    <row r="3131">
      <c r="A3131" s="0" t="inlineStr">
        <is>
          <t>[천호동]</t>
        </is>
      </c>
      <c r="B3131" s="0" t="n">
        <v>143293</v>
      </c>
      <c r="C3131" s="0" t="n">
        <v>10</v>
      </c>
      <c r="D3131" s="0" t="inlineStr">
        <is>
          <t>청운캐슬1단지(도시형)</t>
        </is>
      </c>
      <c r="E3131" s="0" t="inlineStr">
        <is>
          <t>2018.12.</t>
        </is>
      </c>
      <c r="F3131" s="0" t="n">
        <v>84</v>
      </c>
      <c r="G3131" s="0" t="n">
        <v>15.15</v>
      </c>
      <c r="H3131" s="0" t="n">
        <v>50.09</v>
      </c>
      <c r="I3131" s="0" t="n">
        <v>12.28</v>
      </c>
      <c r="J3131" s="0" t="n">
        <v>40.61</v>
      </c>
      <c r="K3131" s="0" t="n">
        <v>17</v>
      </c>
      <c r="T3131" s="0" t="n">
        <v>2</v>
      </c>
      <c r="U3131" s="0" t="n">
        <v>1</v>
      </c>
      <c r="V3131" s="0" t="inlineStr">
        <is>
          <t>계단식</t>
        </is>
      </c>
      <c r="W3131" s="0" t="inlineStr">
        <is>
          <t>50D</t>
        </is>
      </c>
      <c r="X3131" s="0" t="n">
        <v>6</v>
      </c>
      <c r="Y3131" s="0" t="n">
        <v>6</v>
      </c>
      <c r="Z3131" s="0" t="inlineStr">
        <is>
          <t>https://new.land.naver.com/complexes/143293?tab=detail&amp;rf=Y</t>
        </is>
      </c>
      <c r="AA3131" s="0" t="inlineStr">
        <is>
          <t>서울시 강동구 천호동 574</t>
        </is>
      </c>
      <c r="AB3131" s="0" t="inlineStr">
        <is>
          <t>서울시</t>
        </is>
      </c>
      <c r="AC3131" s="0" t="inlineStr">
        <is>
          <t>강동구</t>
        </is>
      </c>
      <c r="AD3131" s="0" t="inlineStr">
        <is>
          <t>천호동</t>
        </is>
      </c>
      <c r="AG3131" s="0" t="inlineStr">
        <is>
          <t>서울시 강동구 천중로27길 70</t>
        </is>
      </c>
      <c r="AH3131" s="0" t="n">
        <v>0</v>
      </c>
      <c r="AI3131" s="0" t="n">
        <v>199</v>
      </c>
      <c r="AJ3131" s="0" t="n">
        <v>54</v>
      </c>
      <c r="AK3131" s="0" t="n">
        <v>63</v>
      </c>
      <c r="AL3131" s="0" t="n">
        <v>0.75</v>
      </c>
    </row>
    <row r="3132">
      <c r="A3132" s="0" t="inlineStr">
        <is>
          <t>[천호동]</t>
        </is>
      </c>
      <c r="B3132" s="0" t="n">
        <v>143293</v>
      </c>
      <c r="C3132" s="0" t="n">
        <v>11</v>
      </c>
      <c r="D3132" s="0" t="inlineStr">
        <is>
          <t>청운캐슬1단지(도시형)</t>
        </is>
      </c>
      <c r="E3132" s="0" t="inlineStr">
        <is>
          <t>2018.12.</t>
        </is>
      </c>
      <c r="F3132" s="0" t="n">
        <v>84</v>
      </c>
      <c r="G3132" s="0" t="n">
        <v>15.96</v>
      </c>
      <c r="H3132" s="0" t="n">
        <v>52.78</v>
      </c>
      <c r="I3132" s="0" t="n">
        <v>12.94</v>
      </c>
      <c r="J3132" s="0" t="n">
        <v>42.79</v>
      </c>
      <c r="K3132" s="0" t="n">
        <v>5</v>
      </c>
      <c r="T3132" s="0" t="n">
        <v>2</v>
      </c>
      <c r="U3132" s="0" t="n">
        <v>1</v>
      </c>
      <c r="V3132" s="0" t="inlineStr">
        <is>
          <t>계단식</t>
        </is>
      </c>
      <c r="W3132" s="0" t="inlineStr">
        <is>
          <t>52A</t>
        </is>
      </c>
      <c r="X3132" s="0" t="n">
        <v>6</v>
      </c>
      <c r="Y3132" s="0" t="n">
        <v>6</v>
      </c>
      <c r="Z3132" s="0" t="inlineStr">
        <is>
          <t>https://new.land.naver.com/complexes/143293?tab=detail&amp;rf=Y</t>
        </is>
      </c>
      <c r="AA3132" s="0" t="inlineStr">
        <is>
          <t>서울시 강동구 천호동 574</t>
        </is>
      </c>
      <c r="AB3132" s="0" t="inlineStr">
        <is>
          <t>서울시</t>
        </is>
      </c>
      <c r="AC3132" s="0" t="inlineStr">
        <is>
          <t>강동구</t>
        </is>
      </c>
      <c r="AD3132" s="0" t="inlineStr">
        <is>
          <t>천호동</t>
        </is>
      </c>
      <c r="AG3132" s="0" t="inlineStr">
        <is>
          <t>서울시 강동구 천중로27길 70</t>
        </is>
      </c>
      <c r="AH3132" s="0" t="n">
        <v>0</v>
      </c>
      <c r="AI3132" s="0" t="n">
        <v>199</v>
      </c>
      <c r="AJ3132" s="0" t="n">
        <v>54</v>
      </c>
      <c r="AK3132" s="0" t="n">
        <v>63</v>
      </c>
      <c r="AL3132" s="0" t="n">
        <v>0.75</v>
      </c>
    </row>
    <row r="3133">
      <c r="A3133" s="0" t="inlineStr">
        <is>
          <t>[천호동]</t>
        </is>
      </c>
      <c r="B3133" s="0" t="n">
        <v>143293</v>
      </c>
      <c r="C3133" s="0" t="n">
        <v>12</v>
      </c>
      <c r="D3133" s="0" t="inlineStr">
        <is>
          <t>청운캐슬1단지(도시형)</t>
        </is>
      </c>
      <c r="E3133" s="0" t="inlineStr">
        <is>
          <t>2018.12.</t>
        </is>
      </c>
      <c r="F3133" s="0" t="n">
        <v>84</v>
      </c>
      <c r="G3133" s="0" t="n">
        <v>16.03</v>
      </c>
      <c r="H3133" s="0" t="n">
        <v>53.01</v>
      </c>
      <c r="I3133" s="0" t="n">
        <v>13</v>
      </c>
      <c r="J3133" s="0" t="n">
        <v>42.98</v>
      </c>
      <c r="K3133" s="0" t="n">
        <v>2</v>
      </c>
      <c r="T3133" s="0" t="n">
        <v>2</v>
      </c>
      <c r="U3133" s="0" t="n">
        <v>1</v>
      </c>
      <c r="V3133" s="0" t="inlineStr">
        <is>
          <t>계단식</t>
        </is>
      </c>
      <c r="W3133" s="0" t="inlineStr">
        <is>
          <t>53B</t>
        </is>
      </c>
      <c r="X3133" s="0" t="n">
        <v>6</v>
      </c>
      <c r="Y3133" s="0" t="n">
        <v>6</v>
      </c>
      <c r="Z3133" s="0" t="inlineStr">
        <is>
          <t>https://new.land.naver.com/complexes/143293?tab=detail&amp;rf=Y</t>
        </is>
      </c>
      <c r="AA3133" s="0" t="inlineStr">
        <is>
          <t>서울시 강동구 천호동 574</t>
        </is>
      </c>
      <c r="AB3133" s="0" t="inlineStr">
        <is>
          <t>서울시</t>
        </is>
      </c>
      <c r="AC3133" s="0" t="inlineStr">
        <is>
          <t>강동구</t>
        </is>
      </c>
      <c r="AD3133" s="0" t="inlineStr">
        <is>
          <t>천호동</t>
        </is>
      </c>
      <c r="AG3133" s="0" t="inlineStr">
        <is>
          <t>서울시 강동구 천중로27길 70</t>
        </is>
      </c>
      <c r="AH3133" s="0" t="n">
        <v>0</v>
      </c>
      <c r="AI3133" s="0" t="n">
        <v>199</v>
      </c>
      <c r="AJ3133" s="0" t="n">
        <v>54</v>
      </c>
      <c r="AK3133" s="0" t="n">
        <v>63</v>
      </c>
      <c r="AL3133" s="0" t="n">
        <v>0.75</v>
      </c>
    </row>
    <row r="3134">
      <c r="A3134" s="0" t="inlineStr">
        <is>
          <t>[천호동]</t>
        </is>
      </c>
      <c r="B3134" s="0" t="n">
        <v>143293</v>
      </c>
      <c r="C3134" s="0" t="n">
        <v>13</v>
      </c>
      <c r="D3134" s="0" t="inlineStr">
        <is>
          <t>청운캐슬1단지(도시형)</t>
        </is>
      </c>
      <c r="E3134" s="0" t="inlineStr">
        <is>
          <t>2018.12.</t>
        </is>
      </c>
      <c r="F3134" s="0" t="n">
        <v>84</v>
      </c>
      <c r="G3134" s="0" t="n">
        <v>16.99</v>
      </c>
      <c r="H3134" s="0" t="n">
        <v>56.17</v>
      </c>
      <c r="I3134" s="0" t="n">
        <v>13.77</v>
      </c>
      <c r="J3134" s="0" t="n">
        <v>45.54</v>
      </c>
      <c r="K3134" s="0" t="n">
        <v>2</v>
      </c>
      <c r="T3134" s="0" t="n">
        <v>2</v>
      </c>
      <c r="U3134" s="0" t="n">
        <v>1</v>
      </c>
      <c r="V3134" s="0" t="inlineStr">
        <is>
          <t>계단식</t>
        </is>
      </c>
      <c r="W3134" s="0" t="n">
        <v>56</v>
      </c>
      <c r="X3134" s="0" t="n">
        <v>6</v>
      </c>
      <c r="Y3134" s="0" t="n">
        <v>6</v>
      </c>
      <c r="Z3134" s="0" t="inlineStr">
        <is>
          <t>https://new.land.naver.com/complexes/143293?tab=detail&amp;rf=Y</t>
        </is>
      </c>
      <c r="AA3134" s="0" t="inlineStr">
        <is>
          <t>서울시 강동구 천호동 574</t>
        </is>
      </c>
      <c r="AB3134" s="0" t="inlineStr">
        <is>
          <t>서울시</t>
        </is>
      </c>
      <c r="AC3134" s="0" t="inlineStr">
        <is>
          <t>강동구</t>
        </is>
      </c>
      <c r="AD3134" s="0" t="inlineStr">
        <is>
          <t>천호동</t>
        </is>
      </c>
      <c r="AG3134" s="0" t="inlineStr">
        <is>
          <t>서울시 강동구 천중로27길 70</t>
        </is>
      </c>
      <c r="AH3134" s="0" t="n">
        <v>0</v>
      </c>
      <c r="AI3134" s="0" t="n">
        <v>199</v>
      </c>
      <c r="AJ3134" s="0" t="n">
        <v>54</v>
      </c>
      <c r="AK3134" s="0" t="n">
        <v>63</v>
      </c>
      <c r="AL3134" s="0" t="n">
        <v>0.75</v>
      </c>
    </row>
    <row r="3135">
      <c r="A3135" s="0" t="inlineStr">
        <is>
          <t>[천호동]</t>
        </is>
      </c>
      <c r="B3135" s="0" t="n">
        <v>9199</v>
      </c>
      <c r="C3135" s="0" t="n">
        <v>1</v>
      </c>
      <c r="D3135" s="0" t="inlineStr">
        <is>
          <t>동구햇살</t>
        </is>
      </c>
      <c r="E3135" s="0" t="inlineStr">
        <is>
          <t>2002.06.</t>
        </is>
      </c>
      <c r="F3135" s="0" t="n">
        <v>63</v>
      </c>
      <c r="G3135" s="0" t="n">
        <v>31.63</v>
      </c>
      <c r="H3135" s="0" t="n">
        <v>104.59</v>
      </c>
      <c r="I3135" s="0" t="n">
        <v>25.29</v>
      </c>
      <c r="J3135" s="0" t="n">
        <v>83.62</v>
      </c>
      <c r="K3135" s="0" t="n">
        <v>11</v>
      </c>
      <c r="T3135" s="0" t="n">
        <v>3</v>
      </c>
      <c r="U3135" s="0" t="n">
        <v>2</v>
      </c>
      <c r="V3135" s="0" t="inlineStr">
        <is>
          <t>계단식</t>
        </is>
      </c>
      <c r="W3135" s="0" t="inlineStr">
        <is>
          <t>104A</t>
        </is>
      </c>
      <c r="X3135" s="0" t="n">
        <v>12</v>
      </c>
      <c r="Y3135" s="0" t="n">
        <v>7</v>
      </c>
      <c r="Z3135" s="0" t="inlineStr">
        <is>
          <t>https://new.land.naver.com/complexes/9199?tab=detail&amp;rf=Y</t>
        </is>
      </c>
      <c r="AA3135" s="0" t="inlineStr">
        <is>
          <t>서울시 강동구 천호동 567</t>
        </is>
      </c>
      <c r="AB3135" s="0" t="inlineStr">
        <is>
          <t>서울시</t>
        </is>
      </c>
      <c r="AC3135" s="0" t="inlineStr">
        <is>
          <t>강동구</t>
        </is>
      </c>
      <c r="AD3135" s="0" t="inlineStr">
        <is>
          <t>천호동</t>
        </is>
      </c>
      <c r="AG3135" s="0" t="inlineStr">
        <is>
          <t>서울시 강동구 상암로41길 45</t>
        </is>
      </c>
      <c r="AH3135" s="0" t="n">
        <v>0</v>
      </c>
      <c r="AI3135" s="0" t="n">
        <v>294</v>
      </c>
      <c r="AJ3135" s="0" t="n">
        <v>35</v>
      </c>
      <c r="AK3135" s="0" t="n">
        <v>76</v>
      </c>
      <c r="AL3135" s="0" t="n">
        <v>1.21</v>
      </c>
    </row>
    <row r="3136">
      <c r="A3136" s="0" t="inlineStr">
        <is>
          <t>[천호동]</t>
        </is>
      </c>
      <c r="B3136" s="0" t="n">
        <v>9199</v>
      </c>
      <c r="C3136" s="0" t="n">
        <v>2</v>
      </c>
      <c r="D3136" s="0" t="inlineStr">
        <is>
          <t>동구햇살</t>
        </is>
      </c>
      <c r="E3136" s="0" t="inlineStr">
        <is>
          <t>2002.06.</t>
        </is>
      </c>
      <c r="F3136" s="0" t="n">
        <v>63</v>
      </c>
      <c r="G3136" s="0" t="n">
        <v>31.98</v>
      </c>
      <c r="H3136" s="0" t="n">
        <v>105.74</v>
      </c>
      <c r="I3136" s="0" t="n">
        <v>25.57</v>
      </c>
      <c r="J3136" s="0" t="n">
        <v>84.54000000000001</v>
      </c>
      <c r="K3136" s="0" t="n">
        <v>6</v>
      </c>
      <c r="T3136" s="0" t="n">
        <v>3</v>
      </c>
      <c r="U3136" s="0" t="n">
        <v>2</v>
      </c>
      <c r="V3136" s="0" t="inlineStr">
        <is>
          <t>계단식</t>
        </is>
      </c>
      <c r="W3136" s="0" t="inlineStr">
        <is>
          <t>105B</t>
        </is>
      </c>
      <c r="X3136" s="0" t="n">
        <v>12</v>
      </c>
      <c r="Y3136" s="0" t="n">
        <v>7</v>
      </c>
      <c r="Z3136" s="0" t="inlineStr">
        <is>
          <t>https://new.land.naver.com/complexes/9199?tab=detail&amp;rf=Y</t>
        </is>
      </c>
      <c r="AA3136" s="0" t="inlineStr">
        <is>
          <t>서울시 강동구 천호동 567</t>
        </is>
      </c>
      <c r="AB3136" s="0" t="inlineStr">
        <is>
          <t>서울시</t>
        </is>
      </c>
      <c r="AC3136" s="0" t="inlineStr">
        <is>
          <t>강동구</t>
        </is>
      </c>
      <c r="AD3136" s="0" t="inlineStr">
        <is>
          <t>천호동</t>
        </is>
      </c>
      <c r="AG3136" s="0" t="inlineStr">
        <is>
          <t>서울시 강동구 상암로41길 45</t>
        </is>
      </c>
      <c r="AH3136" s="0" t="n">
        <v>0</v>
      </c>
      <c r="AI3136" s="0" t="n">
        <v>294</v>
      </c>
      <c r="AJ3136" s="0" t="n">
        <v>35</v>
      </c>
      <c r="AK3136" s="0" t="n">
        <v>76</v>
      </c>
      <c r="AL3136" s="0" t="n">
        <v>1.21</v>
      </c>
    </row>
    <row r="3137">
      <c r="A3137" s="0" t="inlineStr">
        <is>
          <t>[천호동]</t>
        </is>
      </c>
      <c r="B3137" s="0" t="n">
        <v>9199</v>
      </c>
      <c r="C3137" s="0" t="n">
        <v>3</v>
      </c>
      <c r="D3137" s="0" t="inlineStr">
        <is>
          <t>동구햇살</t>
        </is>
      </c>
      <c r="E3137" s="0" t="inlineStr">
        <is>
          <t>2002.06.</t>
        </is>
      </c>
      <c r="F3137" s="0" t="n">
        <v>63</v>
      </c>
      <c r="G3137" s="0" t="n">
        <v>32.09</v>
      </c>
      <c r="H3137" s="0" t="n">
        <v>106.09</v>
      </c>
      <c r="I3137" s="0" t="n">
        <v>25.65</v>
      </c>
      <c r="J3137" s="0" t="n">
        <v>84.81999999999999</v>
      </c>
      <c r="K3137" s="0" t="n">
        <v>20</v>
      </c>
      <c r="T3137" s="0" t="n">
        <v>3</v>
      </c>
      <c r="U3137" s="0" t="n">
        <v>2</v>
      </c>
      <c r="V3137" s="0" t="inlineStr">
        <is>
          <t>계단식</t>
        </is>
      </c>
      <c r="W3137" s="0" t="inlineStr">
        <is>
          <t>106C</t>
        </is>
      </c>
      <c r="X3137" s="0" t="n">
        <v>12</v>
      </c>
      <c r="Y3137" s="0" t="n">
        <v>7</v>
      </c>
      <c r="Z3137" s="0" t="inlineStr">
        <is>
          <t>https://new.land.naver.com/complexes/9199?tab=detail&amp;rf=Y</t>
        </is>
      </c>
      <c r="AA3137" s="0" t="inlineStr">
        <is>
          <t>서울시 강동구 천호동 567</t>
        </is>
      </c>
      <c r="AB3137" s="0" t="inlineStr">
        <is>
          <t>서울시</t>
        </is>
      </c>
      <c r="AC3137" s="0" t="inlineStr">
        <is>
          <t>강동구</t>
        </is>
      </c>
      <c r="AD3137" s="0" t="inlineStr">
        <is>
          <t>천호동</t>
        </is>
      </c>
      <c r="AG3137" s="0" t="inlineStr">
        <is>
          <t>서울시 강동구 상암로41길 45</t>
        </is>
      </c>
      <c r="AH3137" s="0" t="n">
        <v>0</v>
      </c>
      <c r="AI3137" s="0" t="n">
        <v>294</v>
      </c>
      <c r="AJ3137" s="0" t="n">
        <v>35</v>
      </c>
      <c r="AK3137" s="0" t="n">
        <v>76</v>
      </c>
      <c r="AL3137" s="0" t="n">
        <v>1.21</v>
      </c>
    </row>
    <row r="3138">
      <c r="A3138" s="0" t="inlineStr">
        <is>
          <t>[천호동]</t>
        </is>
      </c>
      <c r="B3138" s="0" t="n">
        <v>9199</v>
      </c>
      <c r="C3138" s="0" t="n">
        <v>4</v>
      </c>
      <c r="D3138" s="0" t="inlineStr">
        <is>
          <t>동구햇살</t>
        </is>
      </c>
      <c r="E3138" s="0" t="inlineStr">
        <is>
          <t>2002.06.</t>
        </is>
      </c>
      <c r="F3138" s="0" t="n">
        <v>63</v>
      </c>
      <c r="G3138" s="0" t="n">
        <v>32.1</v>
      </c>
      <c r="H3138" s="0" t="n">
        <v>106.14</v>
      </c>
      <c r="I3138" s="0" t="n">
        <v>25.67</v>
      </c>
      <c r="J3138" s="0" t="n">
        <v>84.86</v>
      </c>
      <c r="K3138" s="0" t="n">
        <v>12</v>
      </c>
      <c r="T3138" s="0" t="n">
        <v>3</v>
      </c>
      <c r="U3138" s="0" t="n">
        <v>2</v>
      </c>
      <c r="V3138" s="0" t="inlineStr">
        <is>
          <t>계단식</t>
        </is>
      </c>
      <c r="W3138" s="0" t="inlineStr">
        <is>
          <t>106D</t>
        </is>
      </c>
      <c r="X3138" s="0" t="n">
        <v>12</v>
      </c>
      <c r="Y3138" s="0" t="n">
        <v>7</v>
      </c>
      <c r="Z3138" s="0" t="inlineStr">
        <is>
          <t>https://new.land.naver.com/complexes/9199?tab=detail&amp;rf=Y</t>
        </is>
      </c>
      <c r="AA3138" s="0" t="inlineStr">
        <is>
          <t>서울시 강동구 천호동 567</t>
        </is>
      </c>
      <c r="AB3138" s="0" t="inlineStr">
        <is>
          <t>서울시</t>
        </is>
      </c>
      <c r="AC3138" s="0" t="inlineStr">
        <is>
          <t>강동구</t>
        </is>
      </c>
      <c r="AD3138" s="0" t="inlineStr">
        <is>
          <t>천호동</t>
        </is>
      </c>
      <c r="AG3138" s="0" t="inlineStr">
        <is>
          <t>서울시 강동구 상암로41길 45</t>
        </is>
      </c>
      <c r="AH3138" s="0" t="n">
        <v>0</v>
      </c>
      <c r="AI3138" s="0" t="n">
        <v>294</v>
      </c>
      <c r="AJ3138" s="0" t="n">
        <v>35</v>
      </c>
      <c r="AK3138" s="0" t="n">
        <v>76</v>
      </c>
      <c r="AL3138" s="0" t="n">
        <v>1.21</v>
      </c>
    </row>
    <row r="3139">
      <c r="A3139" s="0" t="inlineStr">
        <is>
          <t>[천호동]</t>
        </is>
      </c>
      <c r="B3139" s="0" t="n">
        <v>9199</v>
      </c>
      <c r="C3139" s="0" t="n">
        <v>5</v>
      </c>
      <c r="D3139" s="0" t="inlineStr">
        <is>
          <t>동구햇살</t>
        </is>
      </c>
      <c r="E3139" s="0" t="inlineStr">
        <is>
          <t>2002.06.</t>
        </is>
      </c>
      <c r="F3139" s="0" t="n">
        <v>63</v>
      </c>
      <c r="G3139" s="0" t="n">
        <v>34.49</v>
      </c>
      <c r="H3139" s="0" t="n">
        <v>114.02</v>
      </c>
      <c r="I3139" s="0" t="n">
        <v>27.57</v>
      </c>
      <c r="J3139" s="0" t="n">
        <v>91.16</v>
      </c>
      <c r="K3139" s="0" t="n">
        <v>8</v>
      </c>
      <c r="T3139" s="0" t="n">
        <v>4</v>
      </c>
      <c r="U3139" s="0" t="n">
        <v>2</v>
      </c>
      <c r="V3139" s="0" t="inlineStr">
        <is>
          <t>계단식</t>
        </is>
      </c>
      <c r="W3139" s="0" t="n">
        <v>114</v>
      </c>
      <c r="X3139" s="0" t="n">
        <v>12</v>
      </c>
      <c r="Y3139" s="0" t="n">
        <v>7</v>
      </c>
      <c r="Z3139" s="0" t="inlineStr">
        <is>
          <t>https://new.land.naver.com/complexes/9199?tab=detail&amp;rf=Y</t>
        </is>
      </c>
      <c r="AA3139" s="0" t="inlineStr">
        <is>
          <t>서울시 강동구 천호동 567</t>
        </is>
      </c>
      <c r="AB3139" s="0" t="inlineStr">
        <is>
          <t>서울시</t>
        </is>
      </c>
      <c r="AC3139" s="0" t="inlineStr">
        <is>
          <t>강동구</t>
        </is>
      </c>
      <c r="AD3139" s="0" t="inlineStr">
        <is>
          <t>천호동</t>
        </is>
      </c>
      <c r="AG3139" s="0" t="inlineStr">
        <is>
          <t>서울시 강동구 상암로41길 45</t>
        </is>
      </c>
      <c r="AH3139" s="0" t="n">
        <v>0</v>
      </c>
      <c r="AI3139" s="0" t="n">
        <v>294</v>
      </c>
      <c r="AJ3139" s="0" t="n">
        <v>35</v>
      </c>
      <c r="AK3139" s="0" t="n">
        <v>76</v>
      </c>
      <c r="AL3139" s="0" t="n">
        <v>1.21</v>
      </c>
    </row>
    <row r="3140">
      <c r="A3140" s="0" t="inlineStr">
        <is>
          <t>[천호동]</t>
        </is>
      </c>
      <c r="B3140" s="0" t="n">
        <v>9199</v>
      </c>
      <c r="C3140" s="0" t="n">
        <v>6</v>
      </c>
      <c r="D3140" s="0" t="inlineStr">
        <is>
          <t>동구햇살</t>
        </is>
      </c>
      <c r="E3140" s="0" t="inlineStr">
        <is>
          <t>2002.06.</t>
        </is>
      </c>
      <c r="F3140" s="0" t="n">
        <v>63</v>
      </c>
      <c r="G3140" s="0" t="n">
        <v>34.54</v>
      </c>
      <c r="H3140" s="0" t="n">
        <v>114.21</v>
      </c>
      <c r="I3140" s="0" t="n">
        <v>27.62</v>
      </c>
      <c r="J3140" s="0" t="n">
        <v>91.31</v>
      </c>
      <c r="K3140" s="0" t="n">
        <v>6</v>
      </c>
      <c r="T3140" s="0" t="n">
        <v>4</v>
      </c>
      <c r="U3140" s="0" t="n">
        <v>2</v>
      </c>
      <c r="V3140" s="0" t="inlineStr">
        <is>
          <t>계단식</t>
        </is>
      </c>
      <c r="W3140" s="0" t="n">
        <v>114</v>
      </c>
      <c r="X3140" s="0" t="n">
        <v>12</v>
      </c>
      <c r="Y3140" s="0" t="n">
        <v>7</v>
      </c>
      <c r="Z3140" s="0" t="inlineStr">
        <is>
          <t>https://new.land.naver.com/complexes/9199?tab=detail&amp;rf=Y</t>
        </is>
      </c>
      <c r="AA3140" s="0" t="inlineStr">
        <is>
          <t>서울시 강동구 천호동 567</t>
        </is>
      </c>
      <c r="AB3140" s="0" t="inlineStr">
        <is>
          <t>서울시</t>
        </is>
      </c>
      <c r="AC3140" s="0" t="inlineStr">
        <is>
          <t>강동구</t>
        </is>
      </c>
      <c r="AD3140" s="0" t="inlineStr">
        <is>
          <t>천호동</t>
        </is>
      </c>
      <c r="AG3140" s="0" t="inlineStr">
        <is>
          <t>서울시 강동구 상암로41길 45</t>
        </is>
      </c>
      <c r="AH3140" s="0" t="n">
        <v>0</v>
      </c>
      <c r="AI3140" s="0" t="n">
        <v>294</v>
      </c>
      <c r="AJ3140" s="0" t="n">
        <v>35</v>
      </c>
      <c r="AK3140" s="0" t="n">
        <v>76</v>
      </c>
      <c r="AL3140" s="0" t="n">
        <v>1.21</v>
      </c>
    </row>
    <row r="3141">
      <c r="A3141" s="0" t="inlineStr">
        <is>
          <t>[천호동]</t>
        </is>
      </c>
      <c r="B3141" s="0" t="n">
        <v>14535</v>
      </c>
      <c r="C3141" s="0" t="n">
        <v>1</v>
      </c>
      <c r="D3141" s="0" t="inlineStr">
        <is>
          <t>대우한강베네시티</t>
        </is>
      </c>
      <c r="E3141" s="0" t="inlineStr">
        <is>
          <t>2007.03.</t>
        </is>
      </c>
      <c r="F3141" s="0" t="n">
        <v>204</v>
      </c>
      <c r="G3141" s="0" t="n">
        <v>45.94</v>
      </c>
      <c r="H3141" s="0" t="n">
        <v>151.88</v>
      </c>
      <c r="I3141" s="0" t="n">
        <v>34.67</v>
      </c>
      <c r="J3141" s="0" t="n">
        <v>114.63</v>
      </c>
      <c r="K3141" s="0" t="n">
        <v>104</v>
      </c>
      <c r="T3141" s="0" t="n">
        <v>3</v>
      </c>
      <c r="U3141" s="0" t="n">
        <v>2</v>
      </c>
      <c r="V3141" s="0" t="inlineStr">
        <is>
          <t>계단식</t>
        </is>
      </c>
      <c r="W3141" s="0" t="inlineStr">
        <is>
          <t>151A</t>
        </is>
      </c>
      <c r="X3141" s="0" t="n">
        <v>22</v>
      </c>
      <c r="Y3141" s="0" t="n">
        <v>18</v>
      </c>
      <c r="Z3141" s="0" t="inlineStr">
        <is>
          <t>https://new.land.naver.com/complexes/14535?tab=detail&amp;rf=Y</t>
        </is>
      </c>
      <c r="AA3141" s="0" t="inlineStr">
        <is>
          <t>서울시 강동구 천호동 425-5</t>
        </is>
      </c>
      <c r="AB3141" s="0" t="inlineStr">
        <is>
          <t>서울시</t>
        </is>
      </c>
      <c r="AC3141" s="0" t="inlineStr">
        <is>
          <t>강동구</t>
        </is>
      </c>
      <c r="AD3141" s="0" t="inlineStr">
        <is>
          <t>천호동</t>
        </is>
      </c>
      <c r="AG3141" s="0" t="inlineStr">
        <is>
          <t>서울시 강동구 올림픽로 664</t>
        </is>
      </c>
      <c r="AH3141" s="0" t="n">
        <v>0</v>
      </c>
      <c r="AI3141" s="0" t="n">
        <v>696</v>
      </c>
      <c r="AJ3141" s="0" t="n">
        <v>49</v>
      </c>
      <c r="AK3141" s="0" t="n">
        <v>640</v>
      </c>
      <c r="AL3141" s="0" t="n">
        <v>3.14</v>
      </c>
    </row>
    <row r="3142">
      <c r="A3142" s="0" t="inlineStr">
        <is>
          <t>[천호동]</t>
        </is>
      </c>
      <c r="B3142" s="0" t="n">
        <v>14535</v>
      </c>
      <c r="C3142" s="0" t="n">
        <v>2</v>
      </c>
      <c r="D3142" s="0" t="inlineStr">
        <is>
          <t>대우한강베네시티</t>
        </is>
      </c>
      <c r="E3142" s="0" t="inlineStr">
        <is>
          <t>2007.03.</t>
        </is>
      </c>
      <c r="F3142" s="0" t="n">
        <v>204</v>
      </c>
      <c r="G3142" s="0" t="n">
        <v>45.96</v>
      </c>
      <c r="H3142" s="0" t="n">
        <v>151.96</v>
      </c>
      <c r="I3142" s="0" t="n">
        <v>34.68</v>
      </c>
      <c r="J3142" s="0" t="n">
        <v>114.67</v>
      </c>
      <c r="K3142" s="0" t="n">
        <v>12</v>
      </c>
      <c r="T3142" s="0" t="n">
        <v>2</v>
      </c>
      <c r="U3142" s="0" t="n">
        <v>2</v>
      </c>
      <c r="V3142" s="0" t="inlineStr">
        <is>
          <t>계단식</t>
        </is>
      </c>
      <c r="W3142" s="0" t="inlineStr">
        <is>
          <t>151P</t>
        </is>
      </c>
      <c r="X3142" s="0" t="n">
        <v>22</v>
      </c>
      <c r="Y3142" s="0" t="n">
        <v>18</v>
      </c>
      <c r="Z3142" s="0" t="inlineStr">
        <is>
          <t>https://new.land.naver.com/complexes/14535?tab=detail&amp;rf=Y</t>
        </is>
      </c>
      <c r="AA3142" s="0" t="inlineStr">
        <is>
          <t>서울시 강동구 천호동 425-5</t>
        </is>
      </c>
      <c r="AB3142" s="0" t="inlineStr">
        <is>
          <t>서울시</t>
        </is>
      </c>
      <c r="AC3142" s="0" t="inlineStr">
        <is>
          <t>강동구</t>
        </is>
      </c>
      <c r="AD3142" s="0" t="inlineStr">
        <is>
          <t>천호동</t>
        </is>
      </c>
      <c r="AG3142" s="0" t="inlineStr">
        <is>
          <t>서울시 강동구 올림픽로 664</t>
        </is>
      </c>
      <c r="AH3142" s="0" t="n">
        <v>0</v>
      </c>
      <c r="AI3142" s="0" t="n">
        <v>696</v>
      </c>
      <c r="AJ3142" s="0" t="n">
        <v>49</v>
      </c>
      <c r="AK3142" s="0" t="n">
        <v>640</v>
      </c>
      <c r="AL3142" s="0" t="n">
        <v>3.14</v>
      </c>
    </row>
    <row r="3143">
      <c r="A3143" s="0" t="inlineStr">
        <is>
          <t>[천호동]</t>
        </is>
      </c>
      <c r="B3143" s="0" t="n">
        <v>14535</v>
      </c>
      <c r="C3143" s="0" t="n">
        <v>3</v>
      </c>
      <c r="D3143" s="0" t="inlineStr">
        <is>
          <t>대우한강베네시티</t>
        </is>
      </c>
      <c r="E3143" s="0" t="inlineStr">
        <is>
          <t>2007.03.</t>
        </is>
      </c>
      <c r="F3143" s="0" t="n">
        <v>204</v>
      </c>
      <c r="G3143" s="0" t="n">
        <v>52.15</v>
      </c>
      <c r="H3143" s="0" t="n">
        <v>172.42</v>
      </c>
      <c r="I3143" s="0" t="n">
        <v>39.36</v>
      </c>
      <c r="J3143" s="0" t="n">
        <v>130.13</v>
      </c>
      <c r="K3143" s="0" t="n">
        <v>40</v>
      </c>
      <c r="T3143" s="0" t="n">
        <v>2</v>
      </c>
      <c r="U3143" s="0" t="n">
        <v>2</v>
      </c>
      <c r="V3143" s="0" t="inlineStr">
        <is>
          <t>계단식</t>
        </is>
      </c>
      <c r="W3143" s="0" t="inlineStr">
        <is>
          <t>172A</t>
        </is>
      </c>
      <c r="X3143" s="0" t="n">
        <v>22</v>
      </c>
      <c r="Y3143" s="0" t="n">
        <v>18</v>
      </c>
      <c r="Z3143" s="0" t="inlineStr">
        <is>
          <t>https://new.land.naver.com/complexes/14535?tab=detail&amp;rf=Y</t>
        </is>
      </c>
      <c r="AA3143" s="0" t="inlineStr">
        <is>
          <t>서울시 강동구 천호동 425-5</t>
        </is>
      </c>
      <c r="AB3143" s="0" t="inlineStr">
        <is>
          <t>서울시</t>
        </is>
      </c>
      <c r="AC3143" s="0" t="inlineStr">
        <is>
          <t>강동구</t>
        </is>
      </c>
      <c r="AD3143" s="0" t="inlineStr">
        <is>
          <t>천호동</t>
        </is>
      </c>
      <c r="AG3143" s="0" t="inlineStr">
        <is>
          <t>서울시 강동구 올림픽로 664</t>
        </is>
      </c>
      <c r="AH3143" s="0" t="n">
        <v>0</v>
      </c>
      <c r="AI3143" s="0" t="n">
        <v>696</v>
      </c>
      <c r="AJ3143" s="0" t="n">
        <v>49</v>
      </c>
      <c r="AK3143" s="0" t="n">
        <v>640</v>
      </c>
      <c r="AL3143" s="0" t="n">
        <v>3.14</v>
      </c>
    </row>
    <row r="3144">
      <c r="A3144" s="0" t="inlineStr">
        <is>
          <t>[천호동]</t>
        </is>
      </c>
      <c r="B3144" s="0" t="n">
        <v>14535</v>
      </c>
      <c r="C3144" s="0" t="n">
        <v>4</v>
      </c>
      <c r="D3144" s="0" t="inlineStr">
        <is>
          <t>대우한강베네시티</t>
        </is>
      </c>
      <c r="E3144" s="0" t="inlineStr">
        <is>
          <t>2007.03.</t>
        </is>
      </c>
      <c r="F3144" s="0" t="n">
        <v>204</v>
      </c>
      <c r="G3144" s="0" t="n">
        <v>53.08</v>
      </c>
      <c r="H3144" s="0" t="n">
        <v>175.48</v>
      </c>
      <c r="I3144" s="0" t="n">
        <v>40.06</v>
      </c>
      <c r="J3144" s="0" t="n">
        <v>132.44</v>
      </c>
      <c r="K3144" s="0" t="n">
        <v>44</v>
      </c>
      <c r="T3144" s="0" t="n">
        <v>3</v>
      </c>
      <c r="U3144" s="0" t="n">
        <v>3</v>
      </c>
      <c r="V3144" s="0" t="inlineStr">
        <is>
          <t>계단식</t>
        </is>
      </c>
      <c r="W3144" s="0" t="inlineStr">
        <is>
          <t>175B</t>
        </is>
      </c>
      <c r="X3144" s="0" t="n">
        <v>22</v>
      </c>
      <c r="Y3144" s="0" t="n">
        <v>18</v>
      </c>
      <c r="Z3144" s="0" t="inlineStr">
        <is>
          <t>https://new.land.naver.com/complexes/14535?tab=detail&amp;rf=Y</t>
        </is>
      </c>
      <c r="AA3144" s="0" t="inlineStr">
        <is>
          <t>서울시 강동구 천호동 425-5</t>
        </is>
      </c>
      <c r="AB3144" s="0" t="inlineStr">
        <is>
          <t>서울시</t>
        </is>
      </c>
      <c r="AC3144" s="0" t="inlineStr">
        <is>
          <t>강동구</t>
        </is>
      </c>
      <c r="AD3144" s="0" t="inlineStr">
        <is>
          <t>천호동</t>
        </is>
      </c>
      <c r="AG3144" s="0" t="inlineStr">
        <is>
          <t>서울시 강동구 올림픽로 664</t>
        </is>
      </c>
      <c r="AH3144" s="0" t="n">
        <v>0</v>
      </c>
      <c r="AI3144" s="0" t="n">
        <v>696</v>
      </c>
      <c r="AJ3144" s="0" t="n">
        <v>49</v>
      </c>
      <c r="AK3144" s="0" t="n">
        <v>640</v>
      </c>
      <c r="AL3144" s="0" t="n">
        <v>3.14</v>
      </c>
    </row>
    <row r="3145">
      <c r="A3145" s="0" t="inlineStr">
        <is>
          <t>[천호동]</t>
        </is>
      </c>
      <c r="B3145" s="0" t="n">
        <v>14535</v>
      </c>
      <c r="C3145" s="0" t="n">
        <v>5</v>
      </c>
      <c r="D3145" s="0" t="inlineStr">
        <is>
          <t>대우한강베네시티</t>
        </is>
      </c>
      <c r="E3145" s="0" t="inlineStr">
        <is>
          <t>2007.03.</t>
        </is>
      </c>
      <c r="F3145" s="0" t="n">
        <v>204</v>
      </c>
      <c r="G3145" s="0" t="n">
        <v>65.94</v>
      </c>
      <c r="H3145" s="0" t="n">
        <v>218</v>
      </c>
      <c r="I3145" s="0" t="n">
        <v>49.79</v>
      </c>
      <c r="J3145" s="0" t="n">
        <v>164.61</v>
      </c>
      <c r="K3145" s="0" t="n">
        <v>4</v>
      </c>
      <c r="T3145" s="0" t="n">
        <v>3</v>
      </c>
      <c r="U3145" s="0" t="n">
        <v>2</v>
      </c>
      <c r="V3145" s="0" t="inlineStr">
        <is>
          <t>계단식</t>
        </is>
      </c>
      <c r="W3145" s="0" t="inlineStr">
        <is>
          <t>218P</t>
        </is>
      </c>
      <c r="X3145" s="0" t="n">
        <v>22</v>
      </c>
      <c r="Y3145" s="0" t="n">
        <v>18</v>
      </c>
      <c r="Z3145" s="0" t="inlineStr">
        <is>
          <t>https://new.land.naver.com/complexes/14535?tab=detail&amp;rf=Y</t>
        </is>
      </c>
      <c r="AA3145" s="0" t="inlineStr">
        <is>
          <t>서울시 강동구 천호동 425-5</t>
        </is>
      </c>
      <c r="AB3145" s="0" t="inlineStr">
        <is>
          <t>서울시</t>
        </is>
      </c>
      <c r="AC3145" s="0" t="inlineStr">
        <is>
          <t>강동구</t>
        </is>
      </c>
      <c r="AD3145" s="0" t="inlineStr">
        <is>
          <t>천호동</t>
        </is>
      </c>
      <c r="AG3145" s="0" t="inlineStr">
        <is>
          <t>서울시 강동구 올림픽로 664</t>
        </is>
      </c>
      <c r="AH3145" s="0" t="n">
        <v>0</v>
      </c>
      <c r="AI3145" s="0" t="n">
        <v>696</v>
      </c>
      <c r="AJ3145" s="0" t="n">
        <v>49</v>
      </c>
      <c r="AK3145" s="0" t="n">
        <v>640</v>
      </c>
      <c r="AL3145" s="0" t="n">
        <v>3.14</v>
      </c>
    </row>
    <row r="3146">
      <c r="A3146" s="0" t="inlineStr">
        <is>
          <t>[천호동]</t>
        </is>
      </c>
      <c r="B3146" s="0" t="n">
        <v>111017</v>
      </c>
      <c r="C3146" s="0" t="n">
        <v>1</v>
      </c>
      <c r="D3146" s="0" t="inlineStr">
        <is>
          <t>다성씨티(340-6)</t>
        </is>
      </c>
      <c r="E3146" s="0" t="inlineStr">
        <is>
          <t>2002.09.</t>
        </is>
      </c>
      <c r="F3146" s="0" t="n">
        <v>19</v>
      </c>
      <c r="G3146" s="0" t="n">
        <v>24.42</v>
      </c>
      <c r="H3146" s="0" t="n">
        <v>80.75</v>
      </c>
      <c r="I3146" s="0" t="n">
        <v>22.39</v>
      </c>
      <c r="J3146" s="0" t="n">
        <v>74.04000000000001</v>
      </c>
      <c r="K3146" s="0" t="n">
        <v>1</v>
      </c>
      <c r="T3146" s="0" t="n">
        <v>3</v>
      </c>
      <c r="U3146" s="0" t="n">
        <v>2</v>
      </c>
      <c r="V3146" s="0" t="inlineStr">
        <is>
          <t>계단식</t>
        </is>
      </c>
      <c r="W3146" s="0" t="n">
        <v>80</v>
      </c>
      <c r="X3146" s="0" t="n">
        <v>5</v>
      </c>
      <c r="Y3146" s="0" t="n">
        <v>4</v>
      </c>
      <c r="Z3146" s="0" t="inlineStr">
        <is>
          <t>https://new.land.naver.com/complexes/111017?tab=detail&amp;rf=Y</t>
        </is>
      </c>
      <c r="AA3146" s="0" t="inlineStr">
        <is>
          <t>서울시 강동구 천호동 340-6</t>
        </is>
      </c>
      <c r="AB3146" s="0" t="inlineStr">
        <is>
          <t>서울시</t>
        </is>
      </c>
      <c r="AC3146" s="0" t="inlineStr">
        <is>
          <t>강동구</t>
        </is>
      </c>
      <c r="AD3146" s="0" t="inlineStr">
        <is>
          <t>천호동</t>
        </is>
      </c>
      <c r="AG3146" s="0" t="inlineStr">
        <is>
          <t>서울시 강동구 구천면로17길 18</t>
        </is>
      </c>
      <c r="AH3146" s="0" t="n">
        <v>0</v>
      </c>
      <c r="AI3146" s="0" t="n">
        <v>233</v>
      </c>
      <c r="AJ3146" s="0" t="n">
        <v>53</v>
      </c>
      <c r="AK3146" s="0" t="n">
        <v>20</v>
      </c>
      <c r="AL3146" s="0" t="n">
        <v>1.05</v>
      </c>
    </row>
    <row r="3147">
      <c r="A3147" s="0" t="inlineStr">
        <is>
          <t>[천호동]</t>
        </is>
      </c>
      <c r="B3147" s="0" t="n">
        <v>111017</v>
      </c>
      <c r="C3147" s="0" t="n">
        <v>2</v>
      </c>
      <c r="D3147" s="0" t="inlineStr">
        <is>
          <t>다성씨티(340-6)</t>
        </is>
      </c>
      <c r="E3147" s="0" t="inlineStr">
        <is>
          <t>2002.09.</t>
        </is>
      </c>
      <c r="F3147" s="0" t="n">
        <v>19</v>
      </c>
      <c r="G3147" s="0" t="n">
        <v>25.54</v>
      </c>
      <c r="H3147" s="0" t="n">
        <v>84.45999999999999</v>
      </c>
      <c r="I3147" s="0" t="n">
        <v>23.42</v>
      </c>
      <c r="J3147" s="0" t="n">
        <v>77.44</v>
      </c>
      <c r="K3147" s="0" t="n">
        <v>1</v>
      </c>
      <c r="T3147" s="0" t="n">
        <v>3</v>
      </c>
      <c r="U3147" s="0" t="n">
        <v>2</v>
      </c>
      <c r="V3147" s="0" t="inlineStr">
        <is>
          <t>계단식</t>
        </is>
      </c>
      <c r="W3147" s="0" t="n">
        <v>84</v>
      </c>
      <c r="X3147" s="0" t="n">
        <v>5</v>
      </c>
      <c r="Y3147" s="0" t="n">
        <v>4</v>
      </c>
      <c r="Z3147" s="0" t="inlineStr">
        <is>
          <t>https://new.land.naver.com/complexes/111017?tab=detail&amp;rf=Y</t>
        </is>
      </c>
      <c r="AA3147" s="0" t="inlineStr">
        <is>
          <t>서울시 강동구 천호동 340-6</t>
        </is>
      </c>
      <c r="AB3147" s="0" t="inlineStr">
        <is>
          <t>서울시</t>
        </is>
      </c>
      <c r="AC3147" s="0" t="inlineStr">
        <is>
          <t>강동구</t>
        </is>
      </c>
      <c r="AD3147" s="0" t="inlineStr">
        <is>
          <t>천호동</t>
        </is>
      </c>
      <c r="AG3147" s="0" t="inlineStr">
        <is>
          <t>서울시 강동구 구천면로17길 18</t>
        </is>
      </c>
      <c r="AH3147" s="0" t="n">
        <v>0</v>
      </c>
      <c r="AI3147" s="0" t="n">
        <v>233</v>
      </c>
      <c r="AJ3147" s="0" t="n">
        <v>53</v>
      </c>
      <c r="AK3147" s="0" t="n">
        <v>20</v>
      </c>
      <c r="AL3147" s="0" t="n">
        <v>1.05</v>
      </c>
    </row>
    <row r="3148">
      <c r="A3148" s="0" t="inlineStr">
        <is>
          <t>[천호동]</t>
        </is>
      </c>
      <c r="B3148" s="0" t="n">
        <v>111017</v>
      </c>
      <c r="C3148" s="0" t="n">
        <v>3</v>
      </c>
      <c r="D3148" s="0" t="inlineStr">
        <is>
          <t>다성씨티(340-6)</t>
        </is>
      </c>
      <c r="E3148" s="0" t="inlineStr">
        <is>
          <t>2002.09.</t>
        </is>
      </c>
      <c r="F3148" s="0" t="n">
        <v>19</v>
      </c>
      <c r="G3148" s="0" t="n">
        <v>27.8</v>
      </c>
      <c r="H3148" s="0" t="n">
        <v>91.93000000000001</v>
      </c>
      <c r="I3148" s="0" t="n">
        <v>25.49</v>
      </c>
      <c r="J3148" s="0" t="n">
        <v>84.29000000000001</v>
      </c>
      <c r="K3148" s="0" t="n">
        <v>5</v>
      </c>
      <c r="T3148" s="0" t="n">
        <v>3</v>
      </c>
      <c r="U3148" s="0" t="n">
        <v>2</v>
      </c>
      <c r="V3148" s="0" t="inlineStr">
        <is>
          <t>계단식</t>
        </is>
      </c>
      <c r="W3148" s="0" t="inlineStr">
        <is>
          <t>91A</t>
        </is>
      </c>
      <c r="X3148" s="0" t="n">
        <v>5</v>
      </c>
      <c r="Y3148" s="0" t="n">
        <v>4</v>
      </c>
      <c r="Z3148" s="0" t="inlineStr">
        <is>
          <t>https://new.land.naver.com/complexes/111017?tab=detail&amp;rf=Y</t>
        </is>
      </c>
      <c r="AA3148" s="0" t="inlineStr">
        <is>
          <t>서울시 강동구 천호동 340-6</t>
        </is>
      </c>
      <c r="AB3148" s="0" t="inlineStr">
        <is>
          <t>서울시</t>
        </is>
      </c>
      <c r="AC3148" s="0" t="inlineStr">
        <is>
          <t>강동구</t>
        </is>
      </c>
      <c r="AD3148" s="0" t="inlineStr">
        <is>
          <t>천호동</t>
        </is>
      </c>
      <c r="AG3148" s="0" t="inlineStr">
        <is>
          <t>서울시 강동구 구천면로17길 18</t>
        </is>
      </c>
      <c r="AH3148" s="0" t="n">
        <v>0</v>
      </c>
      <c r="AI3148" s="0" t="n">
        <v>233</v>
      </c>
      <c r="AJ3148" s="0" t="n">
        <v>53</v>
      </c>
      <c r="AK3148" s="0" t="n">
        <v>20</v>
      </c>
      <c r="AL3148" s="0" t="n">
        <v>1.05</v>
      </c>
    </row>
    <row r="3149">
      <c r="A3149" s="0" t="inlineStr">
        <is>
          <t>[천호동]</t>
        </is>
      </c>
      <c r="B3149" s="0" t="n">
        <v>111017</v>
      </c>
      <c r="C3149" s="0" t="n">
        <v>4</v>
      </c>
      <c r="D3149" s="0" t="inlineStr">
        <is>
          <t>다성씨티(340-6)</t>
        </is>
      </c>
      <c r="E3149" s="0" t="inlineStr">
        <is>
          <t>2002.09.</t>
        </is>
      </c>
      <c r="F3149" s="0" t="n">
        <v>19</v>
      </c>
      <c r="G3149" s="0" t="n">
        <v>27.94</v>
      </c>
      <c r="H3149" s="0" t="n">
        <v>92.37</v>
      </c>
      <c r="I3149" s="0" t="n">
        <v>25.61</v>
      </c>
      <c r="J3149" s="0" t="n">
        <v>84.69</v>
      </c>
      <c r="K3149" s="0" t="n">
        <v>5</v>
      </c>
      <c r="T3149" s="0" t="n">
        <v>3</v>
      </c>
      <c r="U3149" s="0" t="n">
        <v>2</v>
      </c>
      <c r="V3149" s="0" t="inlineStr">
        <is>
          <t>계단식</t>
        </is>
      </c>
      <c r="W3149" s="0" t="inlineStr">
        <is>
          <t>92D</t>
        </is>
      </c>
      <c r="X3149" s="0" t="n">
        <v>5</v>
      </c>
      <c r="Y3149" s="0" t="n">
        <v>4</v>
      </c>
      <c r="Z3149" s="0" t="inlineStr">
        <is>
          <t>https://new.land.naver.com/complexes/111017?tab=detail&amp;rf=Y</t>
        </is>
      </c>
      <c r="AA3149" s="0" t="inlineStr">
        <is>
          <t>서울시 강동구 천호동 340-6</t>
        </is>
      </c>
      <c r="AB3149" s="0" t="inlineStr">
        <is>
          <t>서울시</t>
        </is>
      </c>
      <c r="AC3149" s="0" t="inlineStr">
        <is>
          <t>강동구</t>
        </is>
      </c>
      <c r="AD3149" s="0" t="inlineStr">
        <is>
          <t>천호동</t>
        </is>
      </c>
      <c r="AG3149" s="0" t="inlineStr">
        <is>
          <t>서울시 강동구 구천면로17길 18</t>
        </is>
      </c>
      <c r="AH3149" s="0" t="n">
        <v>0</v>
      </c>
      <c r="AI3149" s="0" t="n">
        <v>233</v>
      </c>
      <c r="AJ3149" s="0" t="n">
        <v>53</v>
      </c>
      <c r="AK3149" s="0" t="n">
        <v>20</v>
      </c>
      <c r="AL3149" s="0" t="n">
        <v>1.05</v>
      </c>
    </row>
    <row r="3150">
      <c r="A3150" s="0" t="inlineStr">
        <is>
          <t>[천호동]</t>
        </is>
      </c>
      <c r="B3150" s="0" t="n">
        <v>111017</v>
      </c>
      <c r="C3150" s="0" t="n">
        <v>5</v>
      </c>
      <c r="D3150" s="0" t="inlineStr">
        <is>
          <t>다성씨티(340-6)</t>
        </is>
      </c>
      <c r="E3150" s="0" t="inlineStr">
        <is>
          <t>2002.09.</t>
        </is>
      </c>
      <c r="F3150" s="0" t="n">
        <v>19</v>
      </c>
      <c r="G3150" s="0" t="n">
        <v>27.86</v>
      </c>
      <c r="H3150" s="0" t="n">
        <v>92.11</v>
      </c>
      <c r="I3150" s="0" t="n">
        <v>25.54</v>
      </c>
      <c r="J3150" s="0" t="n">
        <v>84.45</v>
      </c>
      <c r="K3150" s="0" t="n">
        <v>4</v>
      </c>
      <c r="T3150" s="0" t="n">
        <v>3</v>
      </c>
      <c r="U3150" s="0" t="n">
        <v>2</v>
      </c>
      <c r="V3150" s="0" t="inlineStr">
        <is>
          <t>계단식</t>
        </is>
      </c>
      <c r="W3150" s="0" t="inlineStr">
        <is>
          <t>92C</t>
        </is>
      </c>
      <c r="X3150" s="0" t="n">
        <v>5</v>
      </c>
      <c r="Y3150" s="0" t="n">
        <v>4</v>
      </c>
      <c r="Z3150" s="0" t="inlineStr">
        <is>
          <t>https://new.land.naver.com/complexes/111017?tab=detail&amp;rf=Y</t>
        </is>
      </c>
      <c r="AA3150" s="0" t="inlineStr">
        <is>
          <t>서울시 강동구 천호동 340-6</t>
        </is>
      </c>
      <c r="AB3150" s="0" t="inlineStr">
        <is>
          <t>서울시</t>
        </is>
      </c>
      <c r="AC3150" s="0" t="inlineStr">
        <is>
          <t>강동구</t>
        </is>
      </c>
      <c r="AD3150" s="0" t="inlineStr">
        <is>
          <t>천호동</t>
        </is>
      </c>
      <c r="AG3150" s="0" t="inlineStr">
        <is>
          <t>서울시 강동구 구천면로17길 18</t>
        </is>
      </c>
      <c r="AH3150" s="0" t="n">
        <v>0</v>
      </c>
      <c r="AI3150" s="0" t="n">
        <v>233</v>
      </c>
      <c r="AJ3150" s="0" t="n">
        <v>53</v>
      </c>
      <c r="AK3150" s="0" t="n">
        <v>20</v>
      </c>
      <c r="AL3150" s="0" t="n">
        <v>1.05</v>
      </c>
    </row>
    <row r="3151">
      <c r="A3151" s="0" t="inlineStr">
        <is>
          <t>[천호동]</t>
        </is>
      </c>
      <c r="B3151" s="0" t="n">
        <v>111017</v>
      </c>
      <c r="C3151" s="0" t="n">
        <v>6</v>
      </c>
      <c r="D3151" s="0" t="inlineStr">
        <is>
          <t>다성씨티(340-6)</t>
        </is>
      </c>
      <c r="E3151" s="0" t="inlineStr">
        <is>
          <t>2002.09.</t>
        </is>
      </c>
      <c r="F3151" s="0" t="n">
        <v>19</v>
      </c>
      <c r="G3151" s="0" t="n">
        <v>27.86</v>
      </c>
      <c r="H3151" s="0" t="n">
        <v>92.09999999999999</v>
      </c>
      <c r="I3151" s="0" t="n">
        <v>25.54</v>
      </c>
      <c r="J3151" s="0" t="n">
        <v>84.44</v>
      </c>
      <c r="K3151" s="0" t="n">
        <v>3</v>
      </c>
      <c r="T3151" s="0" t="n">
        <v>3</v>
      </c>
      <c r="U3151" s="0" t="n">
        <v>2</v>
      </c>
      <c r="V3151" s="0" t="inlineStr">
        <is>
          <t>계단식</t>
        </is>
      </c>
      <c r="W3151" s="0" t="inlineStr">
        <is>
          <t>92B</t>
        </is>
      </c>
      <c r="X3151" s="0" t="n">
        <v>5</v>
      </c>
      <c r="Y3151" s="0" t="n">
        <v>4</v>
      </c>
      <c r="Z3151" s="0" t="inlineStr">
        <is>
          <t>https://new.land.naver.com/complexes/111017?tab=detail&amp;rf=Y</t>
        </is>
      </c>
      <c r="AA3151" s="0" t="inlineStr">
        <is>
          <t>서울시 강동구 천호동 340-6</t>
        </is>
      </c>
      <c r="AB3151" s="0" t="inlineStr">
        <is>
          <t>서울시</t>
        </is>
      </c>
      <c r="AC3151" s="0" t="inlineStr">
        <is>
          <t>강동구</t>
        </is>
      </c>
      <c r="AD3151" s="0" t="inlineStr">
        <is>
          <t>천호동</t>
        </is>
      </c>
      <c r="AG3151" s="0" t="inlineStr">
        <is>
          <t>서울시 강동구 구천면로17길 18</t>
        </is>
      </c>
      <c r="AH3151" s="0" t="n">
        <v>0</v>
      </c>
      <c r="AI3151" s="0" t="n">
        <v>233</v>
      </c>
      <c r="AJ3151" s="0" t="n">
        <v>53</v>
      </c>
      <c r="AK3151" s="0" t="n">
        <v>20</v>
      </c>
      <c r="AL3151" s="0" t="n">
        <v>1.05</v>
      </c>
    </row>
    <row r="3152">
      <c r="A3152" s="0" t="inlineStr">
        <is>
          <t>[천호동]</t>
        </is>
      </c>
      <c r="B3152" s="0" t="n">
        <v>3123</v>
      </c>
      <c r="C3152" s="0" t="n">
        <v>1</v>
      </c>
      <c r="D3152" s="0" t="inlineStr">
        <is>
          <t>우정</t>
        </is>
      </c>
      <c r="E3152" s="0" t="inlineStr">
        <is>
          <t>1996.01.</t>
        </is>
      </c>
      <c r="F3152" s="0" t="n">
        <v>85</v>
      </c>
      <c r="G3152" s="0" t="n">
        <v>22.86</v>
      </c>
      <c r="H3152" s="0" t="n">
        <v>75.58</v>
      </c>
      <c r="I3152" s="0" t="n">
        <v>18.13</v>
      </c>
      <c r="J3152" s="0" t="n">
        <v>59.95</v>
      </c>
      <c r="K3152" s="0" t="n">
        <v>2</v>
      </c>
      <c r="T3152" s="0" t="n">
        <v>3</v>
      </c>
      <c r="U3152" s="0" t="n">
        <v>1</v>
      </c>
      <c r="V3152" s="0" t="inlineStr">
        <is>
          <t>계단식</t>
        </is>
      </c>
      <c r="W3152" s="0" t="n">
        <v>75</v>
      </c>
      <c r="X3152" s="0" t="n">
        <v>13</v>
      </c>
      <c r="Y3152" s="0" t="n">
        <v>6</v>
      </c>
      <c r="Z3152" s="0" t="inlineStr">
        <is>
          <t>https://new.land.naver.com/complexes/3123?tab=detail&amp;rf=Y</t>
        </is>
      </c>
      <c r="AA3152" s="0" t="inlineStr">
        <is>
          <t>서울시 강동구 천호동 46-5</t>
        </is>
      </c>
      <c r="AB3152" s="0" t="inlineStr">
        <is>
          <t>서울시</t>
        </is>
      </c>
      <c r="AC3152" s="0" t="inlineStr">
        <is>
          <t>강동구</t>
        </is>
      </c>
      <c r="AD3152" s="0" t="inlineStr">
        <is>
          <t>천호동</t>
        </is>
      </c>
      <c r="AG3152" s="0" t="inlineStr">
        <is>
          <t>서울시 강동구 양재대로125길 19</t>
        </is>
      </c>
      <c r="AH3152" s="0" t="n">
        <v>0</v>
      </c>
      <c r="AI3152" s="0" t="n">
        <v>272</v>
      </c>
      <c r="AJ3152" s="0" t="n">
        <v>32</v>
      </c>
      <c r="AK3152" s="0" t="n">
        <v>87</v>
      </c>
      <c r="AL3152" s="0" t="n">
        <v>1.02</v>
      </c>
    </row>
    <row r="3153">
      <c r="A3153" s="0" t="inlineStr">
        <is>
          <t>[천호동]</t>
        </is>
      </c>
      <c r="B3153" s="0" t="n">
        <v>3123</v>
      </c>
      <c r="C3153" s="0" t="n">
        <v>2</v>
      </c>
      <c r="D3153" s="0" t="inlineStr">
        <is>
          <t>우정</t>
        </is>
      </c>
      <c r="E3153" s="0" t="inlineStr">
        <is>
          <t>1996.01.</t>
        </is>
      </c>
      <c r="F3153" s="0" t="n">
        <v>85</v>
      </c>
      <c r="G3153" s="0" t="n">
        <v>24.61</v>
      </c>
      <c r="H3153" s="0" t="n">
        <v>81.37</v>
      </c>
      <c r="I3153" s="0" t="n">
        <v>18.13</v>
      </c>
      <c r="J3153" s="0" t="n">
        <v>59.94</v>
      </c>
      <c r="K3153" s="0" t="n">
        <v>32</v>
      </c>
      <c r="T3153" s="0" t="n">
        <v>3</v>
      </c>
      <c r="U3153" s="0" t="n">
        <v>1</v>
      </c>
      <c r="V3153" s="0" t="inlineStr">
        <is>
          <t>복도식</t>
        </is>
      </c>
      <c r="W3153" s="0" t="n">
        <v>81</v>
      </c>
      <c r="X3153" s="0" t="n">
        <v>13</v>
      </c>
      <c r="Y3153" s="0" t="n">
        <v>6</v>
      </c>
      <c r="Z3153" s="0" t="inlineStr">
        <is>
          <t>https://new.land.naver.com/complexes/3123?tab=detail&amp;rf=Y</t>
        </is>
      </c>
      <c r="AA3153" s="0" t="inlineStr">
        <is>
          <t>서울시 강동구 천호동 46-5</t>
        </is>
      </c>
      <c r="AB3153" s="0" t="inlineStr">
        <is>
          <t>서울시</t>
        </is>
      </c>
      <c r="AC3153" s="0" t="inlineStr">
        <is>
          <t>강동구</t>
        </is>
      </c>
      <c r="AD3153" s="0" t="inlineStr">
        <is>
          <t>천호동</t>
        </is>
      </c>
      <c r="AG3153" s="0" t="inlineStr">
        <is>
          <t>서울시 강동구 양재대로125길 19</t>
        </is>
      </c>
      <c r="AH3153" s="0" t="n">
        <v>0</v>
      </c>
      <c r="AI3153" s="0" t="n">
        <v>272</v>
      </c>
      <c r="AJ3153" s="0" t="n">
        <v>32</v>
      </c>
      <c r="AK3153" s="0" t="n">
        <v>87</v>
      </c>
      <c r="AL3153" s="0" t="n">
        <v>1.02</v>
      </c>
    </row>
    <row r="3154">
      <c r="A3154" s="0" t="inlineStr">
        <is>
          <t>[천호동]</t>
        </is>
      </c>
      <c r="B3154" s="0" t="n">
        <v>3123</v>
      </c>
      <c r="C3154" s="0" t="n">
        <v>3</v>
      </c>
      <c r="D3154" s="0" t="inlineStr">
        <is>
          <t>우정</t>
        </is>
      </c>
      <c r="E3154" s="0" t="inlineStr">
        <is>
          <t>1996.01.</t>
        </is>
      </c>
      <c r="F3154" s="0" t="n">
        <v>85</v>
      </c>
      <c r="G3154" s="0" t="n">
        <v>25.7</v>
      </c>
      <c r="H3154" s="0" t="n">
        <v>84.98</v>
      </c>
      <c r="I3154" s="0" t="n">
        <v>20.39</v>
      </c>
      <c r="J3154" s="0" t="n">
        <v>67.42</v>
      </c>
      <c r="K3154" s="0" t="n">
        <v>10</v>
      </c>
      <c r="T3154" s="0" t="n">
        <v>3</v>
      </c>
      <c r="U3154" s="0" t="n">
        <v>1</v>
      </c>
      <c r="V3154" s="0" t="inlineStr">
        <is>
          <t>계단식</t>
        </is>
      </c>
      <c r="W3154" s="0" t="n">
        <v>84</v>
      </c>
      <c r="X3154" s="0" t="n">
        <v>13</v>
      </c>
      <c r="Y3154" s="0" t="n">
        <v>6</v>
      </c>
      <c r="Z3154" s="0" t="inlineStr">
        <is>
          <t>https://new.land.naver.com/complexes/3123?tab=detail&amp;rf=Y</t>
        </is>
      </c>
      <c r="AA3154" s="0" t="inlineStr">
        <is>
          <t>서울시 강동구 천호동 46-5</t>
        </is>
      </c>
      <c r="AB3154" s="0" t="inlineStr">
        <is>
          <t>서울시</t>
        </is>
      </c>
      <c r="AC3154" s="0" t="inlineStr">
        <is>
          <t>강동구</t>
        </is>
      </c>
      <c r="AD3154" s="0" t="inlineStr">
        <is>
          <t>천호동</t>
        </is>
      </c>
      <c r="AG3154" s="0" t="inlineStr">
        <is>
          <t>서울시 강동구 양재대로125길 19</t>
        </is>
      </c>
      <c r="AH3154" s="0" t="n">
        <v>0</v>
      </c>
      <c r="AI3154" s="0" t="n">
        <v>272</v>
      </c>
      <c r="AJ3154" s="0" t="n">
        <v>32</v>
      </c>
      <c r="AK3154" s="0" t="n">
        <v>87</v>
      </c>
      <c r="AL3154" s="0" t="n">
        <v>1.02</v>
      </c>
    </row>
    <row r="3155">
      <c r="A3155" s="0" t="inlineStr">
        <is>
          <t>[천호동]</t>
        </is>
      </c>
      <c r="B3155" s="0" t="n">
        <v>3123</v>
      </c>
      <c r="C3155" s="0" t="n">
        <v>4</v>
      </c>
      <c r="D3155" s="0" t="inlineStr">
        <is>
          <t>우정</t>
        </is>
      </c>
      <c r="E3155" s="0" t="inlineStr">
        <is>
          <t>1996.01.</t>
        </is>
      </c>
      <c r="F3155" s="0" t="n">
        <v>85</v>
      </c>
      <c r="G3155" s="0" t="n">
        <v>31.81</v>
      </c>
      <c r="H3155" s="0" t="n">
        <v>105.19</v>
      </c>
      <c r="I3155" s="0" t="n">
        <v>25.7</v>
      </c>
      <c r="J3155" s="0" t="n">
        <v>84.97</v>
      </c>
      <c r="K3155" s="0" t="n">
        <v>39</v>
      </c>
      <c r="T3155" s="0" t="n">
        <v>3</v>
      </c>
      <c r="U3155" s="0" t="n">
        <v>2</v>
      </c>
      <c r="V3155" s="0" t="inlineStr">
        <is>
          <t>계단식</t>
        </is>
      </c>
      <c r="W3155" s="0" t="n">
        <v>105</v>
      </c>
      <c r="X3155" s="0" t="n">
        <v>13</v>
      </c>
      <c r="Y3155" s="0" t="n">
        <v>6</v>
      </c>
      <c r="Z3155" s="0" t="inlineStr">
        <is>
          <t>https://new.land.naver.com/complexes/3123?tab=detail&amp;rf=Y</t>
        </is>
      </c>
      <c r="AA3155" s="0" t="inlineStr">
        <is>
          <t>서울시 강동구 천호동 46-5</t>
        </is>
      </c>
      <c r="AB3155" s="0" t="inlineStr">
        <is>
          <t>서울시</t>
        </is>
      </c>
      <c r="AC3155" s="0" t="inlineStr">
        <is>
          <t>강동구</t>
        </is>
      </c>
      <c r="AD3155" s="0" t="inlineStr">
        <is>
          <t>천호동</t>
        </is>
      </c>
      <c r="AG3155" s="0" t="inlineStr">
        <is>
          <t>서울시 강동구 양재대로125길 19</t>
        </is>
      </c>
      <c r="AH3155" s="0" t="n">
        <v>0</v>
      </c>
      <c r="AI3155" s="0" t="n">
        <v>272</v>
      </c>
      <c r="AJ3155" s="0" t="n">
        <v>32</v>
      </c>
      <c r="AK3155" s="0" t="n">
        <v>87</v>
      </c>
      <c r="AL3155" s="0" t="n">
        <v>1.02</v>
      </c>
    </row>
    <row r="3156">
      <c r="A3156" s="0" t="inlineStr">
        <is>
          <t>[천호동]</t>
        </is>
      </c>
      <c r="B3156" s="0" t="n">
        <v>3123</v>
      </c>
      <c r="C3156" s="0" t="n">
        <v>5</v>
      </c>
      <c r="D3156" s="0" t="inlineStr">
        <is>
          <t>우정</t>
        </is>
      </c>
      <c r="E3156" s="0" t="inlineStr">
        <is>
          <t>1996.01.</t>
        </is>
      </c>
      <c r="F3156" s="0" t="n">
        <v>85</v>
      </c>
      <c r="G3156" s="0" t="n">
        <v>34.86</v>
      </c>
      <c r="H3156" s="0" t="n">
        <v>115.27</v>
      </c>
      <c r="I3156" s="0" t="n">
        <v>25.68</v>
      </c>
      <c r="J3156" s="0" t="n">
        <v>84.90000000000001</v>
      </c>
      <c r="K3156" s="0" t="n">
        <v>2</v>
      </c>
      <c r="T3156" s="0" t="n">
        <v>3</v>
      </c>
      <c r="U3156" s="0" t="n">
        <v>2</v>
      </c>
      <c r="V3156" s="0" t="inlineStr">
        <is>
          <t>복도식</t>
        </is>
      </c>
      <c r="W3156" s="0" t="n">
        <v>115</v>
      </c>
      <c r="X3156" s="0" t="n">
        <v>13</v>
      </c>
      <c r="Y3156" s="0" t="n">
        <v>6</v>
      </c>
      <c r="Z3156" s="0" t="inlineStr">
        <is>
          <t>https://new.land.naver.com/complexes/3123?tab=detail&amp;rf=Y</t>
        </is>
      </c>
      <c r="AA3156" s="0" t="inlineStr">
        <is>
          <t>서울시 강동구 천호동 46-5</t>
        </is>
      </c>
      <c r="AB3156" s="0" t="inlineStr">
        <is>
          <t>서울시</t>
        </is>
      </c>
      <c r="AC3156" s="0" t="inlineStr">
        <is>
          <t>강동구</t>
        </is>
      </c>
      <c r="AD3156" s="0" t="inlineStr">
        <is>
          <t>천호동</t>
        </is>
      </c>
      <c r="AG3156" s="0" t="inlineStr">
        <is>
          <t>서울시 강동구 양재대로125길 19</t>
        </is>
      </c>
      <c r="AH3156" s="0" t="n">
        <v>0</v>
      </c>
      <c r="AI3156" s="0" t="n">
        <v>272</v>
      </c>
      <c r="AJ3156" s="0" t="n">
        <v>32</v>
      </c>
      <c r="AK3156" s="0" t="n">
        <v>87</v>
      </c>
      <c r="AL3156" s="0" t="n">
        <v>1.02</v>
      </c>
    </row>
    <row r="3157">
      <c r="A3157" s="0" t="inlineStr">
        <is>
          <t>[천호동]</t>
        </is>
      </c>
      <c r="B3157" s="0" t="n">
        <v>14365</v>
      </c>
      <c r="C3157" s="0" t="n">
        <v>1</v>
      </c>
      <c r="D3157" s="0" t="inlineStr">
        <is>
          <t>강동역두산위브센티움</t>
        </is>
      </c>
      <c r="E3157" s="0" t="inlineStr">
        <is>
          <t>2004.05.</t>
        </is>
      </c>
      <c r="F3157" s="0" t="n">
        <v>140</v>
      </c>
      <c r="G3157" s="0" t="n">
        <v>10.76</v>
      </c>
      <c r="H3157" s="0" t="n">
        <v>35.59</v>
      </c>
      <c r="I3157" s="0" t="n">
        <v>7.85</v>
      </c>
      <c r="J3157" s="0" t="n">
        <v>25.96</v>
      </c>
      <c r="K3157" s="0" t="n">
        <v>14</v>
      </c>
      <c r="T3157" s="0" t="n">
        <v>1</v>
      </c>
      <c r="U3157" s="0" t="n">
        <v>1</v>
      </c>
      <c r="V3157" s="0" t="inlineStr">
        <is>
          <t>복도식</t>
        </is>
      </c>
      <c r="W3157" s="0" t="n">
        <v>35</v>
      </c>
      <c r="X3157" s="0" t="n">
        <v>15</v>
      </c>
      <c r="Y3157" s="0" t="n">
        <v>15</v>
      </c>
      <c r="Z3157" s="0" t="inlineStr">
        <is>
          <t>https://new.land.naver.com/complexes/14365?tab=detail&amp;rf=Y</t>
        </is>
      </c>
      <c r="AA3157" s="0" t="inlineStr">
        <is>
          <t>서울시 강동구 천호동 155-5</t>
        </is>
      </c>
      <c r="AB3157" s="0" t="inlineStr">
        <is>
          <t>서울시</t>
        </is>
      </c>
      <c r="AC3157" s="0" t="inlineStr">
        <is>
          <t>강동구</t>
        </is>
      </c>
      <c r="AD3157" s="0" t="inlineStr">
        <is>
          <t>천호동</t>
        </is>
      </c>
      <c r="AG3157" s="0" t="inlineStr">
        <is>
          <t>서울시 강동구 성안로 155</t>
        </is>
      </c>
      <c r="AH3157" s="0" t="n">
        <v>0</v>
      </c>
      <c r="AI3157" s="0" t="n">
        <v>599</v>
      </c>
      <c r="AJ3157" s="0" t="n">
        <v>49</v>
      </c>
      <c r="AK3157" s="0" t="n">
        <v>165</v>
      </c>
      <c r="AL3157" s="0" t="n">
        <v>1.18</v>
      </c>
    </row>
    <row r="3158">
      <c r="A3158" s="0" t="inlineStr">
        <is>
          <t>[천호동]</t>
        </is>
      </c>
      <c r="B3158" s="0" t="n">
        <v>14365</v>
      </c>
      <c r="C3158" s="0" t="n">
        <v>2</v>
      </c>
      <c r="D3158" s="0" t="inlineStr">
        <is>
          <t>강동역두산위브센티움</t>
        </is>
      </c>
      <c r="E3158" s="0" t="inlineStr">
        <is>
          <t>2004.05.</t>
        </is>
      </c>
      <c r="F3158" s="0" t="n">
        <v>140</v>
      </c>
      <c r="G3158" s="0" t="n">
        <v>19.77</v>
      </c>
      <c r="H3158" s="0" t="n">
        <v>65.38</v>
      </c>
      <c r="I3158" s="0" t="n">
        <v>14.21</v>
      </c>
      <c r="J3158" s="0" t="n">
        <v>47</v>
      </c>
      <c r="K3158" s="0" t="n">
        <v>1</v>
      </c>
      <c r="T3158" s="0" t="n">
        <v>1</v>
      </c>
      <c r="U3158" s="0" t="n">
        <v>1</v>
      </c>
      <c r="V3158" s="0" t="inlineStr">
        <is>
          <t>복도식</t>
        </is>
      </c>
      <c r="W3158" s="0" t="n">
        <v>65</v>
      </c>
      <c r="X3158" s="0" t="n">
        <v>15</v>
      </c>
      <c r="Y3158" s="0" t="n">
        <v>15</v>
      </c>
      <c r="Z3158" s="0" t="inlineStr">
        <is>
          <t>https://new.land.naver.com/complexes/14365?tab=detail&amp;rf=Y</t>
        </is>
      </c>
      <c r="AA3158" s="0" t="inlineStr">
        <is>
          <t>서울시 강동구 천호동 155-5</t>
        </is>
      </c>
      <c r="AB3158" s="0" t="inlineStr">
        <is>
          <t>서울시</t>
        </is>
      </c>
      <c r="AC3158" s="0" t="inlineStr">
        <is>
          <t>강동구</t>
        </is>
      </c>
      <c r="AD3158" s="0" t="inlineStr">
        <is>
          <t>천호동</t>
        </is>
      </c>
      <c r="AG3158" s="0" t="inlineStr">
        <is>
          <t>서울시 강동구 성안로 155</t>
        </is>
      </c>
      <c r="AH3158" s="0" t="n">
        <v>0</v>
      </c>
      <c r="AI3158" s="0" t="n">
        <v>599</v>
      </c>
      <c r="AJ3158" s="0" t="n">
        <v>49</v>
      </c>
      <c r="AK3158" s="0" t="n">
        <v>165</v>
      </c>
      <c r="AL3158" s="0" t="n">
        <v>1.18</v>
      </c>
    </row>
    <row r="3159">
      <c r="A3159" s="0" t="inlineStr">
        <is>
          <t>[천호동]</t>
        </is>
      </c>
      <c r="B3159" s="0" t="n">
        <v>14365</v>
      </c>
      <c r="C3159" s="0" t="n">
        <v>3</v>
      </c>
      <c r="D3159" s="0" t="inlineStr">
        <is>
          <t>강동역두산위브센티움</t>
        </is>
      </c>
      <c r="E3159" s="0" t="inlineStr">
        <is>
          <t>2004.05.</t>
        </is>
      </c>
      <c r="F3159" s="0" t="n">
        <v>140</v>
      </c>
      <c r="G3159" s="0" t="n">
        <v>24.86</v>
      </c>
      <c r="H3159" s="0" t="n">
        <v>82.20999999999999</v>
      </c>
      <c r="I3159" s="0" t="n">
        <v>18.13</v>
      </c>
      <c r="J3159" s="0" t="n">
        <v>59.96</v>
      </c>
      <c r="K3159" s="0" t="n">
        <v>84</v>
      </c>
      <c r="T3159" s="0" t="n">
        <v>3</v>
      </c>
      <c r="U3159" s="0" t="n">
        <v>1</v>
      </c>
      <c r="V3159" s="0" t="inlineStr">
        <is>
          <t>복도식</t>
        </is>
      </c>
      <c r="W3159" s="0" t="inlineStr">
        <is>
          <t>82B</t>
        </is>
      </c>
      <c r="X3159" s="0" t="n">
        <v>15</v>
      </c>
      <c r="Y3159" s="0" t="n">
        <v>15</v>
      </c>
      <c r="Z3159" s="0" t="inlineStr">
        <is>
          <t>https://new.land.naver.com/complexes/14365?tab=detail&amp;rf=Y</t>
        </is>
      </c>
      <c r="AA3159" s="0" t="inlineStr">
        <is>
          <t>서울시 강동구 천호동 155-5</t>
        </is>
      </c>
      <c r="AB3159" s="0" t="inlineStr">
        <is>
          <t>서울시</t>
        </is>
      </c>
      <c r="AC3159" s="0" t="inlineStr">
        <is>
          <t>강동구</t>
        </is>
      </c>
      <c r="AD3159" s="0" t="inlineStr">
        <is>
          <t>천호동</t>
        </is>
      </c>
      <c r="AG3159" s="0" t="inlineStr">
        <is>
          <t>서울시 강동구 성안로 155</t>
        </is>
      </c>
      <c r="AH3159" s="0" t="n">
        <v>0</v>
      </c>
      <c r="AI3159" s="0" t="n">
        <v>599</v>
      </c>
      <c r="AJ3159" s="0" t="n">
        <v>49</v>
      </c>
      <c r="AK3159" s="0" t="n">
        <v>165</v>
      </c>
      <c r="AL3159" s="0" t="n">
        <v>1.18</v>
      </c>
    </row>
    <row r="3160">
      <c r="A3160" s="0" t="inlineStr">
        <is>
          <t>[천호동]</t>
        </is>
      </c>
      <c r="B3160" s="0" t="n">
        <v>14365</v>
      </c>
      <c r="C3160" s="0" t="n">
        <v>4</v>
      </c>
      <c r="D3160" s="0" t="inlineStr">
        <is>
          <t>강동역두산위브센티움</t>
        </is>
      </c>
      <c r="E3160" s="0" t="inlineStr">
        <is>
          <t>2004.05.</t>
        </is>
      </c>
      <c r="F3160" s="0" t="n">
        <v>140</v>
      </c>
      <c r="G3160" s="0" t="n">
        <v>24.86</v>
      </c>
      <c r="H3160" s="0" t="n">
        <v>82.20999999999999</v>
      </c>
      <c r="I3160" s="0" t="n">
        <v>18.13</v>
      </c>
      <c r="J3160" s="0" t="n">
        <v>59.96</v>
      </c>
      <c r="K3160" s="0" t="n">
        <v>13</v>
      </c>
      <c r="T3160" s="0" t="n">
        <v>3</v>
      </c>
      <c r="U3160" s="0" t="n">
        <v>1</v>
      </c>
      <c r="V3160" s="0" t="inlineStr">
        <is>
          <t>계단식</t>
        </is>
      </c>
      <c r="W3160" s="0" t="inlineStr">
        <is>
          <t>82A</t>
        </is>
      </c>
      <c r="X3160" s="0" t="n">
        <v>15</v>
      </c>
      <c r="Y3160" s="0" t="n">
        <v>15</v>
      </c>
      <c r="Z3160" s="0" t="inlineStr">
        <is>
          <t>https://new.land.naver.com/complexes/14365?tab=detail&amp;rf=Y</t>
        </is>
      </c>
      <c r="AA3160" s="0" t="inlineStr">
        <is>
          <t>서울시 강동구 천호동 155-5</t>
        </is>
      </c>
      <c r="AB3160" s="0" t="inlineStr">
        <is>
          <t>서울시</t>
        </is>
      </c>
      <c r="AC3160" s="0" t="inlineStr">
        <is>
          <t>강동구</t>
        </is>
      </c>
      <c r="AD3160" s="0" t="inlineStr">
        <is>
          <t>천호동</t>
        </is>
      </c>
      <c r="AG3160" s="0" t="inlineStr">
        <is>
          <t>서울시 강동구 성안로 155</t>
        </is>
      </c>
      <c r="AH3160" s="0" t="n">
        <v>0</v>
      </c>
      <c r="AI3160" s="0" t="n">
        <v>599</v>
      </c>
      <c r="AJ3160" s="0" t="n">
        <v>49</v>
      </c>
      <c r="AK3160" s="0" t="n">
        <v>165</v>
      </c>
      <c r="AL3160" s="0" t="n">
        <v>1.18</v>
      </c>
    </row>
    <row r="3161">
      <c r="A3161" s="0" t="inlineStr">
        <is>
          <t>[천호동]</t>
        </is>
      </c>
      <c r="B3161" s="0" t="n">
        <v>14365</v>
      </c>
      <c r="C3161" s="0" t="n">
        <v>5</v>
      </c>
      <c r="D3161" s="0" t="inlineStr">
        <is>
          <t>강동역두산위브센티움</t>
        </is>
      </c>
      <c r="E3161" s="0" t="inlineStr">
        <is>
          <t>2004.05.</t>
        </is>
      </c>
      <c r="F3161" s="0" t="n">
        <v>140</v>
      </c>
      <c r="G3161" s="0" t="n">
        <v>26.87</v>
      </c>
      <c r="H3161" s="0" t="n">
        <v>88.83</v>
      </c>
      <c r="I3161" s="0" t="n">
        <v>18.13</v>
      </c>
      <c r="J3161" s="0" t="n">
        <v>59.96</v>
      </c>
      <c r="K3161" s="0" t="n">
        <v>28</v>
      </c>
      <c r="T3161" s="0" t="n">
        <v>3</v>
      </c>
      <c r="U3161" s="0" t="n">
        <v>1</v>
      </c>
      <c r="V3161" s="0" t="inlineStr">
        <is>
          <t>계단식</t>
        </is>
      </c>
      <c r="W3161" s="0" t="n">
        <v>88</v>
      </c>
      <c r="X3161" s="0" t="n">
        <v>15</v>
      </c>
      <c r="Y3161" s="0" t="n">
        <v>15</v>
      </c>
      <c r="Z3161" s="0" t="inlineStr">
        <is>
          <t>https://new.land.naver.com/complexes/14365?tab=detail&amp;rf=Y</t>
        </is>
      </c>
      <c r="AA3161" s="0" t="inlineStr">
        <is>
          <t>서울시 강동구 천호동 155-5</t>
        </is>
      </c>
      <c r="AB3161" s="0" t="inlineStr">
        <is>
          <t>서울시</t>
        </is>
      </c>
      <c r="AC3161" s="0" t="inlineStr">
        <is>
          <t>강동구</t>
        </is>
      </c>
      <c r="AD3161" s="0" t="inlineStr">
        <is>
          <t>천호동</t>
        </is>
      </c>
      <c r="AG3161" s="0" t="inlineStr">
        <is>
          <t>서울시 강동구 성안로 155</t>
        </is>
      </c>
      <c r="AH3161" s="0" t="n">
        <v>0</v>
      </c>
      <c r="AI3161" s="0" t="n">
        <v>599</v>
      </c>
      <c r="AJ3161" s="0" t="n">
        <v>49</v>
      </c>
      <c r="AK3161" s="0" t="n">
        <v>165</v>
      </c>
      <c r="AL3161" s="0" t="n">
        <v>1.18</v>
      </c>
    </row>
    <row r="3162">
      <c r="A3162" s="0" t="inlineStr">
        <is>
          <t>[천호동]</t>
        </is>
      </c>
      <c r="B3162" s="0" t="n">
        <v>14055</v>
      </c>
      <c r="C3162" s="0" t="n">
        <v>1</v>
      </c>
      <c r="D3162" s="0" t="inlineStr">
        <is>
          <t>새롬트윈스</t>
        </is>
      </c>
      <c r="E3162" s="0" t="inlineStr">
        <is>
          <t>2003.11.</t>
        </is>
      </c>
      <c r="F3162" s="0" t="n">
        <v>24</v>
      </c>
      <c r="G3162" s="0" t="n">
        <v>25.85</v>
      </c>
      <c r="H3162" s="0" t="n">
        <v>85.47</v>
      </c>
      <c r="I3162" s="0" t="n">
        <v>22.83</v>
      </c>
      <c r="J3162" s="0" t="n">
        <v>75.5</v>
      </c>
      <c r="K3162" s="0" t="n">
        <v>12</v>
      </c>
      <c r="T3162" s="0" t="n">
        <v>3</v>
      </c>
      <c r="U3162" s="0" t="n">
        <v>2</v>
      </c>
      <c r="V3162" s="0" t="inlineStr">
        <is>
          <t>계단식</t>
        </is>
      </c>
      <c r="W3162" s="0" t="inlineStr">
        <is>
          <t>85A</t>
        </is>
      </c>
      <c r="X3162" s="0" t="n">
        <v>7</v>
      </c>
      <c r="Y3162" s="0" t="n">
        <v>7</v>
      </c>
      <c r="Z3162" s="0" t="inlineStr">
        <is>
          <t>https://new.land.naver.com/complexes/14055?tab=detail&amp;rf=Y</t>
        </is>
      </c>
      <c r="AA3162" s="0" t="inlineStr">
        <is>
          <t>서울시 강동구 천호동 39-7</t>
        </is>
      </c>
      <c r="AB3162" s="0" t="inlineStr">
        <is>
          <t>서울시</t>
        </is>
      </c>
      <c r="AC3162" s="0" t="inlineStr">
        <is>
          <t>강동구</t>
        </is>
      </c>
      <c r="AD3162" s="0" t="inlineStr">
        <is>
          <t>천호동</t>
        </is>
      </c>
      <c r="AG3162" s="0" t="inlineStr">
        <is>
          <t>서울시 강동구 상암로 154-1</t>
        </is>
      </c>
      <c r="AH3162" s="0" t="n">
        <v>0</v>
      </c>
      <c r="AI3162" s="0" t="n">
        <v>298</v>
      </c>
      <c r="AJ3162" s="0" t="n">
        <v>52</v>
      </c>
      <c r="AK3162" s="0" t="n">
        <v>24</v>
      </c>
      <c r="AL3162" s="0" t="n">
        <v>1</v>
      </c>
    </row>
    <row r="3163">
      <c r="A3163" s="0" t="inlineStr">
        <is>
          <t>[천호동]</t>
        </is>
      </c>
      <c r="B3163" s="0" t="n">
        <v>14055</v>
      </c>
      <c r="C3163" s="0" t="n">
        <v>2</v>
      </c>
      <c r="D3163" s="0" t="inlineStr">
        <is>
          <t>새롬트윈스</t>
        </is>
      </c>
      <c r="E3163" s="0" t="inlineStr">
        <is>
          <t>2003.11.</t>
        </is>
      </c>
      <c r="F3163" s="0" t="n">
        <v>24</v>
      </c>
      <c r="G3163" s="0" t="n">
        <v>25.76</v>
      </c>
      <c r="H3163" s="0" t="n">
        <v>85.17</v>
      </c>
      <c r="I3163" s="0" t="n">
        <v>22.84</v>
      </c>
      <c r="J3163" s="0" t="n">
        <v>75.51000000000001</v>
      </c>
      <c r="K3163" s="0" t="n">
        <v>10</v>
      </c>
      <c r="T3163" s="0" t="n">
        <v>3</v>
      </c>
      <c r="U3163" s="0" t="n">
        <v>2</v>
      </c>
      <c r="V3163" s="0" t="inlineStr">
        <is>
          <t>계단식</t>
        </is>
      </c>
      <c r="W3163" s="0" t="inlineStr">
        <is>
          <t>85B</t>
        </is>
      </c>
      <c r="X3163" s="0" t="n">
        <v>7</v>
      </c>
      <c r="Y3163" s="0" t="n">
        <v>7</v>
      </c>
      <c r="Z3163" s="0" t="inlineStr">
        <is>
          <t>https://new.land.naver.com/complexes/14055?tab=detail&amp;rf=Y</t>
        </is>
      </c>
      <c r="AA3163" s="0" t="inlineStr">
        <is>
          <t>서울시 강동구 천호동 39-7</t>
        </is>
      </c>
      <c r="AB3163" s="0" t="inlineStr">
        <is>
          <t>서울시</t>
        </is>
      </c>
      <c r="AC3163" s="0" t="inlineStr">
        <is>
          <t>강동구</t>
        </is>
      </c>
      <c r="AD3163" s="0" t="inlineStr">
        <is>
          <t>천호동</t>
        </is>
      </c>
      <c r="AG3163" s="0" t="inlineStr">
        <is>
          <t>서울시 강동구 상암로 154-1</t>
        </is>
      </c>
      <c r="AH3163" s="0" t="n">
        <v>0</v>
      </c>
      <c r="AI3163" s="0" t="n">
        <v>298</v>
      </c>
      <c r="AJ3163" s="0" t="n">
        <v>52</v>
      </c>
      <c r="AK3163" s="0" t="n">
        <v>24</v>
      </c>
      <c r="AL3163" s="0" t="n">
        <v>1</v>
      </c>
    </row>
    <row r="3164">
      <c r="A3164" s="0" t="inlineStr">
        <is>
          <t>[천호동]</t>
        </is>
      </c>
      <c r="B3164" s="0" t="n">
        <v>14055</v>
      </c>
      <c r="C3164" s="0" t="n">
        <v>3</v>
      </c>
      <c r="D3164" s="0" t="inlineStr">
        <is>
          <t>새롬트윈스</t>
        </is>
      </c>
      <c r="E3164" s="0" t="inlineStr">
        <is>
          <t>2003.11.</t>
        </is>
      </c>
      <c r="F3164" s="0" t="n">
        <v>24</v>
      </c>
      <c r="G3164" s="0" t="n">
        <v>31.84</v>
      </c>
      <c r="H3164" s="0" t="n">
        <v>105.26</v>
      </c>
      <c r="I3164" s="0" t="n">
        <v>22.84</v>
      </c>
      <c r="J3164" s="0" t="n">
        <v>75.51000000000001</v>
      </c>
      <c r="K3164" s="0" t="n">
        <v>2</v>
      </c>
      <c r="T3164" s="0" t="n">
        <v>3</v>
      </c>
      <c r="U3164" s="0" t="n">
        <v>2</v>
      </c>
      <c r="V3164" s="0" t="inlineStr">
        <is>
          <t>계단식</t>
        </is>
      </c>
      <c r="W3164" s="0" t="n">
        <v>105</v>
      </c>
      <c r="X3164" s="0" t="n">
        <v>7</v>
      </c>
      <c r="Y3164" s="0" t="n">
        <v>7</v>
      </c>
      <c r="Z3164" s="0" t="inlineStr">
        <is>
          <t>https://new.land.naver.com/complexes/14055?tab=detail&amp;rf=Y</t>
        </is>
      </c>
      <c r="AA3164" s="0" t="inlineStr">
        <is>
          <t>서울시 강동구 천호동 39-7</t>
        </is>
      </c>
      <c r="AB3164" s="0" t="inlineStr">
        <is>
          <t>서울시</t>
        </is>
      </c>
      <c r="AC3164" s="0" t="inlineStr">
        <is>
          <t>강동구</t>
        </is>
      </c>
      <c r="AD3164" s="0" t="inlineStr">
        <is>
          <t>천호동</t>
        </is>
      </c>
      <c r="AG3164" s="0" t="inlineStr">
        <is>
          <t>서울시 강동구 상암로 154-1</t>
        </is>
      </c>
      <c r="AH3164" s="0" t="n">
        <v>0</v>
      </c>
      <c r="AI3164" s="0" t="n">
        <v>298</v>
      </c>
      <c r="AJ3164" s="0" t="n">
        <v>52</v>
      </c>
      <c r="AK3164" s="0" t="n">
        <v>24</v>
      </c>
      <c r="AL3164" s="0" t="n">
        <v>1</v>
      </c>
    </row>
    <row r="3165">
      <c r="A3165" s="0" t="inlineStr">
        <is>
          <t>[천호동]</t>
        </is>
      </c>
      <c r="B3165" s="0" t="n">
        <v>134864</v>
      </c>
      <c r="C3165" s="0" t="n">
        <v>1</v>
      </c>
      <c r="D3165" s="0" t="inlineStr">
        <is>
          <t>DYD(도시형)</t>
        </is>
      </c>
      <c r="E3165" s="0" t="inlineStr">
        <is>
          <t>2020.08.</t>
        </is>
      </c>
      <c r="F3165" s="0" t="n">
        <v>20</v>
      </c>
      <c r="G3165" s="0" t="n">
        <v>8.800000000000001</v>
      </c>
      <c r="H3165" s="0" t="n">
        <v>29.11</v>
      </c>
      <c r="I3165" s="0" t="n">
        <v>6.34</v>
      </c>
      <c r="J3165" s="0" t="n">
        <v>20.98</v>
      </c>
      <c r="K3165" s="0" t="n">
        <v>5</v>
      </c>
      <c r="T3165" s="0" t="n">
        <v>1</v>
      </c>
      <c r="U3165" s="0" t="n">
        <v>1</v>
      </c>
      <c r="V3165" s="0" t="inlineStr">
        <is>
          <t>계단식</t>
        </is>
      </c>
      <c r="W3165" s="0" t="inlineStr">
        <is>
          <t>29A</t>
        </is>
      </c>
      <c r="X3165" s="0" t="n">
        <v>11</v>
      </c>
      <c r="Y3165" s="0" t="n">
        <v>11</v>
      </c>
      <c r="Z3165" s="0" t="inlineStr">
        <is>
          <t>https://new.land.naver.com/complexes/134864?tab=detail&amp;rf=Y</t>
        </is>
      </c>
      <c r="AA3165" s="0" t="inlineStr">
        <is>
          <t>서울시 강동구 천호동 191-22</t>
        </is>
      </c>
      <c r="AB3165" s="0" t="inlineStr">
        <is>
          <t>서울시</t>
        </is>
      </c>
      <c r="AC3165" s="0" t="inlineStr">
        <is>
          <t>강동구</t>
        </is>
      </c>
      <c r="AD3165" s="0" t="inlineStr">
        <is>
          <t>천호동</t>
        </is>
      </c>
      <c r="AG3165" s="0" t="inlineStr">
        <is>
          <t>서울시 강동구 진황도로27가길 17-10</t>
        </is>
      </c>
      <c r="AH3165" s="0" t="n">
        <v>0</v>
      </c>
      <c r="AI3165" s="0" t="n">
        <v>394</v>
      </c>
      <c r="AJ3165" s="0" t="n">
        <v>59</v>
      </c>
      <c r="AK3165" s="0" t="n">
        <v>12</v>
      </c>
      <c r="AL3165" s="0" t="n">
        <v>0.6</v>
      </c>
    </row>
    <row r="3166">
      <c r="A3166" s="0" t="inlineStr">
        <is>
          <t>[천호동]</t>
        </is>
      </c>
      <c r="B3166" s="0" t="n">
        <v>134864</v>
      </c>
      <c r="C3166" s="0" t="n">
        <v>2</v>
      </c>
      <c r="D3166" s="0" t="inlineStr">
        <is>
          <t>DYD(도시형)</t>
        </is>
      </c>
      <c r="E3166" s="0" t="inlineStr">
        <is>
          <t>2020.08.</t>
        </is>
      </c>
      <c r="F3166" s="0" t="n">
        <v>20</v>
      </c>
      <c r="G3166" s="0" t="n">
        <v>9.44</v>
      </c>
      <c r="H3166" s="0" t="n">
        <v>31.23</v>
      </c>
      <c r="I3166" s="0" t="n">
        <v>6.8</v>
      </c>
      <c r="J3166" s="0" t="n">
        <v>22.51</v>
      </c>
      <c r="K3166" s="0" t="n">
        <v>5</v>
      </c>
      <c r="T3166" s="0" t="n">
        <v>1</v>
      </c>
      <c r="U3166" s="0" t="n">
        <v>1</v>
      </c>
      <c r="V3166" s="0" t="inlineStr">
        <is>
          <t>계단식</t>
        </is>
      </c>
      <c r="W3166" s="0" t="inlineStr">
        <is>
          <t>31B</t>
        </is>
      </c>
      <c r="X3166" s="0" t="n">
        <v>11</v>
      </c>
      <c r="Y3166" s="0" t="n">
        <v>11</v>
      </c>
      <c r="Z3166" s="0" t="inlineStr">
        <is>
          <t>https://new.land.naver.com/complexes/134864?tab=detail&amp;rf=Y</t>
        </is>
      </c>
      <c r="AA3166" s="0" t="inlineStr">
        <is>
          <t>서울시 강동구 천호동 191-22</t>
        </is>
      </c>
      <c r="AB3166" s="0" t="inlineStr">
        <is>
          <t>서울시</t>
        </is>
      </c>
      <c r="AC3166" s="0" t="inlineStr">
        <is>
          <t>강동구</t>
        </is>
      </c>
      <c r="AD3166" s="0" t="inlineStr">
        <is>
          <t>천호동</t>
        </is>
      </c>
      <c r="AG3166" s="0" t="inlineStr">
        <is>
          <t>서울시 강동구 진황도로27가길 17-10</t>
        </is>
      </c>
      <c r="AH3166" s="0" t="n">
        <v>0</v>
      </c>
      <c r="AI3166" s="0" t="n">
        <v>394</v>
      </c>
      <c r="AJ3166" s="0" t="n">
        <v>59</v>
      </c>
      <c r="AK3166" s="0" t="n">
        <v>12</v>
      </c>
      <c r="AL3166" s="0" t="n">
        <v>0.6</v>
      </c>
    </row>
    <row r="3167">
      <c r="A3167" s="0" t="inlineStr">
        <is>
          <t>[천호동]</t>
        </is>
      </c>
      <c r="B3167" s="0" t="n">
        <v>134864</v>
      </c>
      <c r="C3167" s="0" t="n">
        <v>3</v>
      </c>
      <c r="D3167" s="0" t="inlineStr">
        <is>
          <t>DYD(도시형)</t>
        </is>
      </c>
      <c r="E3167" s="0" t="inlineStr">
        <is>
          <t>2020.08.</t>
        </is>
      </c>
      <c r="F3167" s="0" t="n">
        <v>20</v>
      </c>
      <c r="G3167" s="0" t="n">
        <v>10.4</v>
      </c>
      <c r="H3167" s="0" t="n">
        <v>34.39</v>
      </c>
      <c r="I3167" s="0" t="n">
        <v>7.49</v>
      </c>
      <c r="J3167" s="0" t="n">
        <v>24.78</v>
      </c>
      <c r="K3167" s="0" t="n">
        <v>5</v>
      </c>
      <c r="T3167" s="0" t="n">
        <v>1</v>
      </c>
      <c r="U3167" s="0" t="n">
        <v>1</v>
      </c>
      <c r="V3167" s="0" t="inlineStr">
        <is>
          <t>계단식</t>
        </is>
      </c>
      <c r="W3167" s="0" t="n">
        <v>34</v>
      </c>
      <c r="X3167" s="0" t="n">
        <v>11</v>
      </c>
      <c r="Y3167" s="0" t="n">
        <v>11</v>
      </c>
      <c r="Z3167" s="0" t="inlineStr">
        <is>
          <t>https://new.land.naver.com/complexes/134864?tab=detail&amp;rf=Y</t>
        </is>
      </c>
      <c r="AA3167" s="0" t="inlineStr">
        <is>
          <t>서울시 강동구 천호동 191-22</t>
        </is>
      </c>
      <c r="AB3167" s="0" t="inlineStr">
        <is>
          <t>서울시</t>
        </is>
      </c>
      <c r="AC3167" s="0" t="inlineStr">
        <is>
          <t>강동구</t>
        </is>
      </c>
      <c r="AD3167" s="0" t="inlineStr">
        <is>
          <t>천호동</t>
        </is>
      </c>
      <c r="AG3167" s="0" t="inlineStr">
        <is>
          <t>서울시 강동구 진황도로27가길 17-10</t>
        </is>
      </c>
      <c r="AH3167" s="0" t="n">
        <v>0</v>
      </c>
      <c r="AI3167" s="0" t="n">
        <v>394</v>
      </c>
      <c r="AJ3167" s="0" t="n">
        <v>59</v>
      </c>
      <c r="AK3167" s="0" t="n">
        <v>12</v>
      </c>
      <c r="AL3167" s="0" t="n">
        <v>0.6</v>
      </c>
    </row>
    <row r="3168">
      <c r="A3168" s="0" t="inlineStr">
        <is>
          <t>[천호동]</t>
        </is>
      </c>
      <c r="B3168" s="0" t="n">
        <v>134864</v>
      </c>
      <c r="C3168" s="0" t="n">
        <v>4</v>
      </c>
      <c r="D3168" s="0" t="inlineStr">
        <is>
          <t>DYD(도시형)</t>
        </is>
      </c>
      <c r="E3168" s="0" t="inlineStr">
        <is>
          <t>2020.08.</t>
        </is>
      </c>
      <c r="F3168" s="0" t="n">
        <v>20</v>
      </c>
      <c r="G3168" s="0" t="n">
        <v>11.41</v>
      </c>
      <c r="H3168" s="0" t="n">
        <v>37.75</v>
      </c>
      <c r="I3168" s="0" t="n">
        <v>8.23</v>
      </c>
      <c r="J3168" s="0" t="n">
        <v>27.21</v>
      </c>
      <c r="K3168" s="0" t="n">
        <v>5</v>
      </c>
      <c r="T3168" s="0" t="n">
        <v>1</v>
      </c>
      <c r="U3168" s="0" t="n">
        <v>1</v>
      </c>
      <c r="V3168" s="0" t="inlineStr">
        <is>
          <t>계단식</t>
        </is>
      </c>
      <c r="W3168" s="0" t="n">
        <v>37</v>
      </c>
      <c r="X3168" s="0" t="n">
        <v>11</v>
      </c>
      <c r="Y3168" s="0" t="n">
        <v>11</v>
      </c>
      <c r="Z3168" s="0" t="inlineStr">
        <is>
          <t>https://new.land.naver.com/complexes/134864?tab=detail&amp;rf=Y</t>
        </is>
      </c>
      <c r="AA3168" s="0" t="inlineStr">
        <is>
          <t>서울시 강동구 천호동 191-22</t>
        </is>
      </c>
      <c r="AB3168" s="0" t="inlineStr">
        <is>
          <t>서울시</t>
        </is>
      </c>
      <c r="AC3168" s="0" t="inlineStr">
        <is>
          <t>강동구</t>
        </is>
      </c>
      <c r="AD3168" s="0" t="inlineStr">
        <is>
          <t>천호동</t>
        </is>
      </c>
      <c r="AG3168" s="0" t="inlineStr">
        <is>
          <t>서울시 강동구 진황도로27가길 17-10</t>
        </is>
      </c>
      <c r="AH3168" s="0" t="n">
        <v>0</v>
      </c>
      <c r="AI3168" s="0" t="n">
        <v>394</v>
      </c>
      <c r="AJ3168" s="0" t="n">
        <v>59</v>
      </c>
      <c r="AK3168" s="0" t="n">
        <v>12</v>
      </c>
      <c r="AL3168" s="0" t="n">
        <v>0.6</v>
      </c>
    </row>
    <row r="3169">
      <c r="A3169" s="0" t="inlineStr">
        <is>
          <t>[천호동]</t>
        </is>
      </c>
      <c r="B3169" s="0" t="n">
        <v>15043</v>
      </c>
      <c r="C3169" s="0" t="n">
        <v>1</v>
      </c>
      <c r="D3169" s="0" t="inlineStr">
        <is>
          <t>로뎀</t>
        </is>
      </c>
      <c r="E3169" s="0" t="inlineStr">
        <is>
          <t>2003.10.</t>
        </is>
      </c>
      <c r="F3169" s="0" t="n">
        <v>18</v>
      </c>
      <c r="G3169" s="0" t="n">
        <v>30.43</v>
      </c>
      <c r="H3169" s="0" t="n">
        <v>100.62</v>
      </c>
      <c r="I3169" s="0" t="n">
        <v>25.69</v>
      </c>
      <c r="J3169" s="0" t="n">
        <v>84.93000000000001</v>
      </c>
      <c r="K3169" s="0" t="n">
        <v>12</v>
      </c>
      <c r="T3169" s="0" t="n">
        <v>3</v>
      </c>
      <c r="U3169" s="0" t="n">
        <v>2</v>
      </c>
      <c r="V3169" s="0" t="inlineStr">
        <is>
          <t>계단식</t>
        </is>
      </c>
      <c r="W3169" s="0" t="n">
        <v>100</v>
      </c>
      <c r="X3169" s="0" t="n">
        <v>7</v>
      </c>
      <c r="Y3169" s="0" t="n">
        <v>7</v>
      </c>
      <c r="Z3169" s="0" t="inlineStr">
        <is>
          <t>https://new.land.naver.com/complexes/15043?tab=detail&amp;rf=Y</t>
        </is>
      </c>
      <c r="AA3169" s="0" t="inlineStr">
        <is>
          <t>서울시 강동구 천호동 362</t>
        </is>
      </c>
      <c r="AB3169" s="0" t="inlineStr">
        <is>
          <t>서울시</t>
        </is>
      </c>
      <c r="AC3169" s="0" t="inlineStr">
        <is>
          <t>강동구</t>
        </is>
      </c>
      <c r="AD3169" s="0" t="inlineStr">
        <is>
          <t>천호동</t>
        </is>
      </c>
      <c r="AG3169" s="0" t="inlineStr">
        <is>
          <t>서울시 강동구 천중로12길 27</t>
        </is>
      </c>
      <c r="AH3169" s="0" t="n">
        <v>0</v>
      </c>
      <c r="AI3169" s="0" t="n">
        <v>219</v>
      </c>
      <c r="AJ3169" s="0" t="n">
        <v>45</v>
      </c>
      <c r="AK3169" s="0" t="n">
        <v>26</v>
      </c>
      <c r="AL3169" s="0" t="n">
        <v>1.44</v>
      </c>
    </row>
    <row r="3170">
      <c r="A3170" s="0" t="inlineStr">
        <is>
          <t>[천호동]</t>
        </is>
      </c>
      <c r="B3170" s="0" t="n">
        <v>15043</v>
      </c>
      <c r="C3170" s="0" t="n">
        <v>2</v>
      </c>
      <c r="D3170" s="0" t="inlineStr">
        <is>
          <t>로뎀</t>
        </is>
      </c>
      <c r="E3170" s="0" t="inlineStr">
        <is>
          <t>2003.10.</t>
        </is>
      </c>
      <c r="F3170" s="0" t="n">
        <v>18</v>
      </c>
      <c r="G3170" s="0" t="n">
        <v>45.32</v>
      </c>
      <c r="H3170" s="0" t="n">
        <v>149.83</v>
      </c>
      <c r="I3170" s="0" t="n">
        <v>38.26</v>
      </c>
      <c r="J3170" s="0" t="n">
        <v>126.48</v>
      </c>
      <c r="K3170" s="0" t="n">
        <v>6</v>
      </c>
      <c r="T3170" s="0" t="n">
        <v>4</v>
      </c>
      <c r="U3170" s="0" t="n">
        <v>2</v>
      </c>
      <c r="V3170" s="0" t="inlineStr">
        <is>
          <t>계단식</t>
        </is>
      </c>
      <c r="W3170" s="0" t="n">
        <v>149</v>
      </c>
      <c r="X3170" s="0" t="n">
        <v>7</v>
      </c>
      <c r="Y3170" s="0" t="n">
        <v>7</v>
      </c>
      <c r="Z3170" s="0" t="inlineStr">
        <is>
          <t>https://new.land.naver.com/complexes/15043?tab=detail&amp;rf=Y</t>
        </is>
      </c>
      <c r="AA3170" s="0" t="inlineStr">
        <is>
          <t>서울시 강동구 천호동 362</t>
        </is>
      </c>
      <c r="AB3170" s="0" t="inlineStr">
        <is>
          <t>서울시</t>
        </is>
      </c>
      <c r="AC3170" s="0" t="inlineStr">
        <is>
          <t>강동구</t>
        </is>
      </c>
      <c r="AD3170" s="0" t="inlineStr">
        <is>
          <t>천호동</t>
        </is>
      </c>
      <c r="AG3170" s="0" t="inlineStr">
        <is>
          <t>서울시 강동구 천중로12길 27</t>
        </is>
      </c>
      <c r="AH3170" s="0" t="n">
        <v>0</v>
      </c>
      <c r="AI3170" s="0" t="n">
        <v>219</v>
      </c>
      <c r="AJ3170" s="0" t="n">
        <v>45</v>
      </c>
      <c r="AK3170" s="0" t="n">
        <v>26</v>
      </c>
      <c r="AL3170" s="0" t="n">
        <v>1.44</v>
      </c>
    </row>
    <row r="3171">
      <c r="A3171" s="0" t="inlineStr">
        <is>
          <t>[천호동]</t>
        </is>
      </c>
      <c r="B3171" s="0" t="n">
        <v>12048</v>
      </c>
      <c r="C3171" s="0" t="n">
        <v>1</v>
      </c>
      <c r="D3171" s="0" t="inlineStr">
        <is>
          <t>천호우림루미아트1차</t>
        </is>
      </c>
      <c r="E3171" s="0" t="inlineStr">
        <is>
          <t>2004.08.</t>
        </is>
      </c>
      <c r="F3171" s="0" t="n">
        <v>77</v>
      </c>
      <c r="G3171" s="0" t="n">
        <v>25.88</v>
      </c>
      <c r="H3171" s="0" t="n">
        <v>85.56999999999999</v>
      </c>
      <c r="I3171" s="0" t="n">
        <v>21.06</v>
      </c>
      <c r="J3171" s="0" t="n">
        <v>69.62</v>
      </c>
      <c r="K3171" s="0" t="n">
        <v>2</v>
      </c>
      <c r="T3171" s="0" t="n">
        <v>3</v>
      </c>
      <c r="U3171" s="0" t="n">
        <v>1</v>
      </c>
      <c r="V3171" s="0" t="inlineStr">
        <is>
          <t>계단식</t>
        </is>
      </c>
      <c r="W3171" s="0" t="n">
        <v>85</v>
      </c>
      <c r="X3171" s="0" t="n">
        <v>13</v>
      </c>
      <c r="Y3171" s="0" t="n">
        <v>7</v>
      </c>
      <c r="Z3171" s="0" t="inlineStr">
        <is>
          <t>https://new.land.naver.com/complexes/12048?tab=detail&amp;rf=Y</t>
        </is>
      </c>
      <c r="AA3171" s="0" t="inlineStr">
        <is>
          <t>서울시 강동구 천호동 47-24</t>
        </is>
      </c>
      <c r="AB3171" s="0" t="inlineStr">
        <is>
          <t>서울시</t>
        </is>
      </c>
      <c r="AC3171" s="0" t="inlineStr">
        <is>
          <t>강동구</t>
        </is>
      </c>
      <c r="AD3171" s="0" t="inlineStr">
        <is>
          <t>천호동</t>
        </is>
      </c>
      <c r="AG3171" s="0" t="inlineStr">
        <is>
          <t>서울시 강동구 천중로39길 69</t>
        </is>
      </c>
      <c r="AH3171" s="0" t="n">
        <v>0</v>
      </c>
      <c r="AI3171" s="0" t="n">
        <v>241</v>
      </c>
      <c r="AJ3171" s="0" t="n">
        <v>28</v>
      </c>
      <c r="AK3171" s="0" t="n">
        <v>87</v>
      </c>
      <c r="AL3171" s="0" t="n">
        <v>1.13</v>
      </c>
    </row>
    <row r="3172">
      <c r="A3172" s="0" t="inlineStr">
        <is>
          <t>[천호동]</t>
        </is>
      </c>
      <c r="B3172" s="0" t="n">
        <v>12048</v>
      </c>
      <c r="C3172" s="0" t="n">
        <v>2</v>
      </c>
      <c r="D3172" s="0" t="inlineStr">
        <is>
          <t>천호우림루미아트1차</t>
        </is>
      </c>
      <c r="E3172" s="0" t="inlineStr">
        <is>
          <t>2004.08.</t>
        </is>
      </c>
      <c r="F3172" s="0" t="n">
        <v>77</v>
      </c>
      <c r="G3172" s="0" t="n">
        <v>27.14</v>
      </c>
      <c r="H3172" s="0" t="n">
        <v>89.73999999999999</v>
      </c>
      <c r="I3172" s="0" t="n">
        <v>22.08</v>
      </c>
      <c r="J3172" s="0" t="n">
        <v>73.02</v>
      </c>
      <c r="K3172" s="0" t="n">
        <v>1</v>
      </c>
      <c r="T3172" s="0" t="n">
        <v>3</v>
      </c>
      <c r="U3172" s="0" t="n">
        <v>1</v>
      </c>
      <c r="V3172" s="0" t="inlineStr">
        <is>
          <t>계단식</t>
        </is>
      </c>
      <c r="W3172" s="0" t="n">
        <v>89</v>
      </c>
      <c r="X3172" s="0" t="n">
        <v>13</v>
      </c>
      <c r="Y3172" s="0" t="n">
        <v>7</v>
      </c>
      <c r="Z3172" s="0" t="inlineStr">
        <is>
          <t>https://new.land.naver.com/complexes/12048?tab=detail&amp;rf=Y</t>
        </is>
      </c>
      <c r="AA3172" s="0" t="inlineStr">
        <is>
          <t>서울시 강동구 천호동 47-24</t>
        </is>
      </c>
      <c r="AB3172" s="0" t="inlineStr">
        <is>
          <t>서울시</t>
        </is>
      </c>
      <c r="AC3172" s="0" t="inlineStr">
        <is>
          <t>강동구</t>
        </is>
      </c>
      <c r="AD3172" s="0" t="inlineStr">
        <is>
          <t>천호동</t>
        </is>
      </c>
      <c r="AG3172" s="0" t="inlineStr">
        <is>
          <t>서울시 강동구 천중로39길 69</t>
        </is>
      </c>
      <c r="AH3172" s="0" t="n">
        <v>0</v>
      </c>
      <c r="AI3172" s="0" t="n">
        <v>241</v>
      </c>
      <c r="AJ3172" s="0" t="n">
        <v>28</v>
      </c>
      <c r="AK3172" s="0" t="n">
        <v>87</v>
      </c>
      <c r="AL3172" s="0" t="n">
        <v>1.13</v>
      </c>
    </row>
    <row r="3173">
      <c r="A3173" s="0" t="inlineStr">
        <is>
          <t>[천호동]</t>
        </is>
      </c>
      <c r="B3173" s="0" t="n">
        <v>12048</v>
      </c>
      <c r="C3173" s="0" t="n">
        <v>3</v>
      </c>
      <c r="D3173" s="0" t="inlineStr">
        <is>
          <t>천호우림루미아트1차</t>
        </is>
      </c>
      <c r="E3173" s="0" t="inlineStr">
        <is>
          <t>2004.08.</t>
        </is>
      </c>
      <c r="F3173" s="0" t="n">
        <v>77</v>
      </c>
      <c r="G3173" s="0" t="n">
        <v>31.02</v>
      </c>
      <c r="H3173" s="0" t="n">
        <v>102.56</v>
      </c>
      <c r="I3173" s="0" t="n">
        <v>25.32</v>
      </c>
      <c r="J3173" s="0" t="n">
        <v>83.70999999999999</v>
      </c>
      <c r="K3173" s="0" t="n">
        <v>9</v>
      </c>
      <c r="T3173" s="0" t="n">
        <v>3</v>
      </c>
      <c r="U3173" s="0" t="n">
        <v>2</v>
      </c>
      <c r="V3173" s="0" t="inlineStr">
        <is>
          <t>계단식</t>
        </is>
      </c>
      <c r="W3173" s="0" t="inlineStr">
        <is>
          <t>102A</t>
        </is>
      </c>
      <c r="X3173" s="0" t="n">
        <v>13</v>
      </c>
      <c r="Y3173" s="0" t="n">
        <v>7</v>
      </c>
      <c r="Z3173" s="0" t="inlineStr">
        <is>
          <t>https://new.land.naver.com/complexes/12048?tab=detail&amp;rf=Y</t>
        </is>
      </c>
      <c r="AA3173" s="0" t="inlineStr">
        <is>
          <t>서울시 강동구 천호동 47-24</t>
        </is>
      </c>
      <c r="AB3173" s="0" t="inlineStr">
        <is>
          <t>서울시</t>
        </is>
      </c>
      <c r="AC3173" s="0" t="inlineStr">
        <is>
          <t>강동구</t>
        </is>
      </c>
      <c r="AD3173" s="0" t="inlineStr">
        <is>
          <t>천호동</t>
        </is>
      </c>
      <c r="AG3173" s="0" t="inlineStr">
        <is>
          <t>서울시 강동구 천중로39길 69</t>
        </is>
      </c>
      <c r="AH3173" s="0" t="n">
        <v>0</v>
      </c>
      <c r="AI3173" s="0" t="n">
        <v>241</v>
      </c>
      <c r="AJ3173" s="0" t="n">
        <v>28</v>
      </c>
      <c r="AK3173" s="0" t="n">
        <v>87</v>
      </c>
      <c r="AL3173" s="0" t="n">
        <v>1.13</v>
      </c>
    </row>
    <row r="3174">
      <c r="A3174" s="0" t="inlineStr">
        <is>
          <t>[천호동]</t>
        </is>
      </c>
      <c r="B3174" s="0" t="n">
        <v>12048</v>
      </c>
      <c r="C3174" s="0" t="n">
        <v>4</v>
      </c>
      <c r="D3174" s="0" t="inlineStr">
        <is>
          <t>천호우림루미아트1차</t>
        </is>
      </c>
      <c r="E3174" s="0" t="inlineStr">
        <is>
          <t>2004.08.</t>
        </is>
      </c>
      <c r="F3174" s="0" t="n">
        <v>77</v>
      </c>
      <c r="G3174" s="0" t="n">
        <v>31.37</v>
      </c>
      <c r="H3174" s="0" t="n">
        <v>103.72</v>
      </c>
      <c r="I3174" s="0" t="n">
        <v>25.61</v>
      </c>
      <c r="J3174" s="0" t="n">
        <v>84.69</v>
      </c>
      <c r="K3174" s="0" t="n">
        <v>55</v>
      </c>
      <c r="T3174" s="0" t="n">
        <v>3</v>
      </c>
      <c r="U3174" s="0" t="n">
        <v>2</v>
      </c>
      <c r="V3174" s="0" t="inlineStr">
        <is>
          <t>계단식</t>
        </is>
      </c>
      <c r="W3174" s="0" t="inlineStr">
        <is>
          <t>103B</t>
        </is>
      </c>
      <c r="X3174" s="0" t="n">
        <v>13</v>
      </c>
      <c r="Y3174" s="0" t="n">
        <v>7</v>
      </c>
      <c r="Z3174" s="0" t="inlineStr">
        <is>
          <t>https://new.land.naver.com/complexes/12048?tab=detail&amp;rf=Y</t>
        </is>
      </c>
      <c r="AA3174" s="0" t="inlineStr">
        <is>
          <t>서울시 강동구 천호동 47-24</t>
        </is>
      </c>
      <c r="AB3174" s="0" t="inlineStr">
        <is>
          <t>서울시</t>
        </is>
      </c>
      <c r="AC3174" s="0" t="inlineStr">
        <is>
          <t>강동구</t>
        </is>
      </c>
      <c r="AD3174" s="0" t="inlineStr">
        <is>
          <t>천호동</t>
        </is>
      </c>
      <c r="AG3174" s="0" t="inlineStr">
        <is>
          <t>서울시 강동구 천중로39길 69</t>
        </is>
      </c>
      <c r="AH3174" s="0" t="n">
        <v>0</v>
      </c>
      <c r="AI3174" s="0" t="n">
        <v>241</v>
      </c>
      <c r="AJ3174" s="0" t="n">
        <v>28</v>
      </c>
      <c r="AK3174" s="0" t="n">
        <v>87</v>
      </c>
      <c r="AL3174" s="0" t="n">
        <v>1.13</v>
      </c>
    </row>
    <row r="3175">
      <c r="A3175" s="0" t="inlineStr">
        <is>
          <t>[천호동]</t>
        </is>
      </c>
      <c r="B3175" s="0" t="n">
        <v>12048</v>
      </c>
      <c r="C3175" s="0" t="n">
        <v>5</v>
      </c>
      <c r="D3175" s="0" t="inlineStr">
        <is>
          <t>천호우림루미아트1차</t>
        </is>
      </c>
      <c r="E3175" s="0" t="inlineStr">
        <is>
          <t>2004.08.</t>
        </is>
      </c>
      <c r="F3175" s="0" t="n">
        <v>77</v>
      </c>
      <c r="G3175" s="0" t="n">
        <v>31.3</v>
      </c>
      <c r="H3175" s="0" t="n">
        <v>103.49</v>
      </c>
      <c r="I3175" s="0" t="n">
        <v>25.67</v>
      </c>
      <c r="J3175" s="0" t="n">
        <v>84.88</v>
      </c>
      <c r="K3175" s="0" t="n">
        <v>10</v>
      </c>
      <c r="T3175" s="0" t="n">
        <v>3</v>
      </c>
      <c r="U3175" s="0" t="n">
        <v>2</v>
      </c>
      <c r="V3175" s="0" t="inlineStr">
        <is>
          <t>계단식</t>
        </is>
      </c>
      <c r="W3175" s="0" t="inlineStr">
        <is>
          <t>103C</t>
        </is>
      </c>
      <c r="X3175" s="0" t="n">
        <v>13</v>
      </c>
      <c r="Y3175" s="0" t="n">
        <v>7</v>
      </c>
      <c r="Z3175" s="0" t="inlineStr">
        <is>
          <t>https://new.land.naver.com/complexes/12048?tab=detail&amp;rf=Y</t>
        </is>
      </c>
      <c r="AA3175" s="0" t="inlineStr">
        <is>
          <t>서울시 강동구 천호동 47-24</t>
        </is>
      </c>
      <c r="AB3175" s="0" t="inlineStr">
        <is>
          <t>서울시</t>
        </is>
      </c>
      <c r="AC3175" s="0" t="inlineStr">
        <is>
          <t>강동구</t>
        </is>
      </c>
      <c r="AD3175" s="0" t="inlineStr">
        <is>
          <t>천호동</t>
        </is>
      </c>
      <c r="AG3175" s="0" t="inlineStr">
        <is>
          <t>서울시 강동구 천중로39길 69</t>
        </is>
      </c>
      <c r="AH3175" s="0" t="n">
        <v>0</v>
      </c>
      <c r="AI3175" s="0" t="n">
        <v>241</v>
      </c>
      <c r="AJ3175" s="0" t="n">
        <v>28</v>
      </c>
      <c r="AK3175" s="0" t="n">
        <v>87</v>
      </c>
      <c r="AL3175" s="0" t="n">
        <v>1.13</v>
      </c>
    </row>
    <row r="3176">
      <c r="A3176" s="0" t="inlineStr">
        <is>
          <t>[천호동]</t>
        </is>
      </c>
      <c r="B3176" s="0" t="n">
        <v>22537</v>
      </c>
      <c r="C3176" s="0" t="n">
        <v>1</v>
      </c>
      <c r="D3176" s="0" t="inlineStr">
        <is>
          <t>강변그대가리버뷰</t>
        </is>
      </c>
      <c r="E3176" s="0" t="inlineStr">
        <is>
          <t>2007.02.</t>
        </is>
      </c>
      <c r="F3176" s="0" t="n">
        <v>225</v>
      </c>
      <c r="G3176" s="0" t="n">
        <v>33.71</v>
      </c>
      <c r="H3176" s="0" t="n">
        <v>111.45</v>
      </c>
      <c r="I3176" s="0" t="n">
        <v>25.69</v>
      </c>
      <c r="J3176" s="0" t="n">
        <v>84.93000000000001</v>
      </c>
      <c r="K3176" s="0" t="n">
        <v>39</v>
      </c>
      <c r="T3176" s="0" t="n">
        <v>3</v>
      </c>
      <c r="U3176" s="0" t="n">
        <v>2</v>
      </c>
      <c r="V3176" s="0" t="inlineStr">
        <is>
          <t>계단식</t>
        </is>
      </c>
      <c r="W3176" s="0" t="inlineStr">
        <is>
          <t>111B</t>
        </is>
      </c>
      <c r="X3176" s="0" t="n">
        <v>15</v>
      </c>
      <c r="Y3176" s="0" t="n">
        <v>10</v>
      </c>
      <c r="Z3176" s="0" t="inlineStr">
        <is>
          <t>https://new.land.naver.com/complexes/22537?tab=detail&amp;rf=Y</t>
        </is>
      </c>
      <c r="AA3176" s="0" t="inlineStr">
        <is>
          <t>서울시 강동구 천호동 568</t>
        </is>
      </c>
      <c r="AB3176" s="0" t="inlineStr">
        <is>
          <t>서울시</t>
        </is>
      </c>
      <c r="AC3176" s="0" t="inlineStr">
        <is>
          <t>강동구</t>
        </is>
      </c>
      <c r="AD3176" s="0" t="inlineStr">
        <is>
          <t>천호동</t>
        </is>
      </c>
      <c r="AG3176" s="0" t="inlineStr">
        <is>
          <t>서울시 강동구 올림픽로89길 58</t>
        </is>
      </c>
      <c r="AH3176" s="0" t="n">
        <v>0</v>
      </c>
      <c r="AI3176" s="0" t="n">
        <v>229</v>
      </c>
      <c r="AJ3176" s="0" t="n">
        <v>22</v>
      </c>
      <c r="AK3176" s="0" t="n">
        <v>269</v>
      </c>
      <c r="AL3176" s="0" t="n">
        <v>1.2</v>
      </c>
    </row>
    <row r="3177">
      <c r="A3177" s="0" t="inlineStr">
        <is>
          <t>[천호동]</t>
        </is>
      </c>
      <c r="B3177" s="0" t="n">
        <v>22537</v>
      </c>
      <c r="C3177" s="0" t="n">
        <v>2</v>
      </c>
      <c r="D3177" s="0" t="inlineStr">
        <is>
          <t>강변그대가리버뷰</t>
        </is>
      </c>
      <c r="E3177" s="0" t="inlineStr">
        <is>
          <t>2007.02.</t>
        </is>
      </c>
      <c r="F3177" s="0" t="n">
        <v>225</v>
      </c>
      <c r="G3177" s="0" t="n">
        <v>33.88</v>
      </c>
      <c r="H3177" s="0" t="n">
        <v>112</v>
      </c>
      <c r="I3177" s="0" t="n">
        <v>25.7</v>
      </c>
      <c r="J3177" s="0" t="n">
        <v>84.97</v>
      </c>
      <c r="K3177" s="0" t="n">
        <v>83</v>
      </c>
      <c r="T3177" s="0" t="n">
        <v>3</v>
      </c>
      <c r="U3177" s="0" t="n">
        <v>2</v>
      </c>
      <c r="V3177" s="0" t="inlineStr">
        <is>
          <t>계단식</t>
        </is>
      </c>
      <c r="W3177" s="0" t="inlineStr">
        <is>
          <t>112AA</t>
        </is>
      </c>
      <c r="X3177" s="0" t="n">
        <v>15</v>
      </c>
      <c r="Y3177" s="0" t="n">
        <v>10</v>
      </c>
      <c r="Z3177" s="0" t="inlineStr">
        <is>
          <t>https://new.land.naver.com/complexes/22537?tab=detail&amp;rf=Y</t>
        </is>
      </c>
      <c r="AA3177" s="0" t="inlineStr">
        <is>
          <t>서울시 강동구 천호동 568</t>
        </is>
      </c>
      <c r="AB3177" s="0" t="inlineStr">
        <is>
          <t>서울시</t>
        </is>
      </c>
      <c r="AC3177" s="0" t="inlineStr">
        <is>
          <t>강동구</t>
        </is>
      </c>
      <c r="AD3177" s="0" t="inlineStr">
        <is>
          <t>천호동</t>
        </is>
      </c>
      <c r="AG3177" s="0" t="inlineStr">
        <is>
          <t>서울시 강동구 올림픽로89길 58</t>
        </is>
      </c>
      <c r="AH3177" s="0" t="n">
        <v>0</v>
      </c>
      <c r="AI3177" s="0" t="n">
        <v>229</v>
      </c>
      <c r="AJ3177" s="0" t="n">
        <v>22</v>
      </c>
      <c r="AK3177" s="0" t="n">
        <v>269</v>
      </c>
      <c r="AL3177" s="0" t="n">
        <v>1.2</v>
      </c>
    </row>
    <row r="3178">
      <c r="A3178" s="0" t="inlineStr">
        <is>
          <t>[천호동]</t>
        </is>
      </c>
      <c r="B3178" s="0" t="n">
        <v>22537</v>
      </c>
      <c r="C3178" s="0" t="n">
        <v>3</v>
      </c>
      <c r="D3178" s="0" t="inlineStr">
        <is>
          <t>강변그대가리버뷰</t>
        </is>
      </c>
      <c r="E3178" s="0" t="inlineStr">
        <is>
          <t>2007.02.</t>
        </is>
      </c>
      <c r="F3178" s="0" t="n">
        <v>225</v>
      </c>
      <c r="G3178" s="0" t="n">
        <v>34.53</v>
      </c>
      <c r="H3178" s="0" t="n">
        <v>114.16</v>
      </c>
      <c r="I3178" s="0" t="n">
        <v>25.7</v>
      </c>
      <c r="J3178" s="0" t="n">
        <v>84.98999999999999</v>
      </c>
      <c r="K3178" s="0" t="n">
        <v>74</v>
      </c>
      <c r="T3178" s="0" t="n">
        <v>3</v>
      </c>
      <c r="U3178" s="0" t="n">
        <v>2</v>
      </c>
      <c r="V3178" s="0" t="inlineStr">
        <is>
          <t>계단식</t>
        </is>
      </c>
      <c r="W3178" s="0" t="inlineStr">
        <is>
          <t>114A</t>
        </is>
      </c>
      <c r="X3178" s="0" t="n">
        <v>15</v>
      </c>
      <c r="Y3178" s="0" t="n">
        <v>10</v>
      </c>
      <c r="Z3178" s="0" t="inlineStr">
        <is>
          <t>https://new.land.naver.com/complexes/22537?tab=detail&amp;rf=Y</t>
        </is>
      </c>
      <c r="AA3178" s="0" t="inlineStr">
        <is>
          <t>서울시 강동구 천호동 568</t>
        </is>
      </c>
      <c r="AB3178" s="0" t="inlineStr">
        <is>
          <t>서울시</t>
        </is>
      </c>
      <c r="AC3178" s="0" t="inlineStr">
        <is>
          <t>강동구</t>
        </is>
      </c>
      <c r="AD3178" s="0" t="inlineStr">
        <is>
          <t>천호동</t>
        </is>
      </c>
      <c r="AG3178" s="0" t="inlineStr">
        <is>
          <t>서울시 강동구 올림픽로89길 58</t>
        </is>
      </c>
      <c r="AH3178" s="0" t="n">
        <v>0</v>
      </c>
      <c r="AI3178" s="0" t="n">
        <v>229</v>
      </c>
      <c r="AJ3178" s="0" t="n">
        <v>22</v>
      </c>
      <c r="AK3178" s="0" t="n">
        <v>269</v>
      </c>
      <c r="AL3178" s="0" t="n">
        <v>1.2</v>
      </c>
    </row>
    <row r="3179">
      <c r="A3179" s="0" t="inlineStr">
        <is>
          <t>[천호동]</t>
        </is>
      </c>
      <c r="B3179" s="0" t="n">
        <v>22537</v>
      </c>
      <c r="C3179" s="0" t="n">
        <v>4</v>
      </c>
      <c r="D3179" s="0" t="inlineStr">
        <is>
          <t>강변그대가리버뷰</t>
        </is>
      </c>
      <c r="E3179" s="0" t="inlineStr">
        <is>
          <t>2007.02.</t>
        </is>
      </c>
      <c r="F3179" s="0" t="n">
        <v>225</v>
      </c>
      <c r="G3179" s="0" t="n">
        <v>34.54</v>
      </c>
      <c r="H3179" s="0" t="n">
        <v>114.21</v>
      </c>
      <c r="I3179" s="0" t="n">
        <v>25.7</v>
      </c>
      <c r="J3179" s="0" t="n">
        <v>84.98999999999999</v>
      </c>
      <c r="K3179" s="0" t="n">
        <v>6</v>
      </c>
      <c r="T3179" s="0" t="n">
        <v>3</v>
      </c>
      <c r="U3179" s="0" t="n">
        <v>2</v>
      </c>
      <c r="V3179" s="0" t="inlineStr">
        <is>
          <t>계단식</t>
        </is>
      </c>
      <c r="W3179" s="0" t="inlineStr">
        <is>
          <t>114B</t>
        </is>
      </c>
      <c r="X3179" s="0" t="n">
        <v>15</v>
      </c>
      <c r="Y3179" s="0" t="n">
        <v>10</v>
      </c>
      <c r="Z3179" s="0" t="inlineStr">
        <is>
          <t>https://new.land.naver.com/complexes/22537?tab=detail&amp;rf=Y</t>
        </is>
      </c>
      <c r="AA3179" s="0" t="inlineStr">
        <is>
          <t>서울시 강동구 천호동 568</t>
        </is>
      </c>
      <c r="AB3179" s="0" t="inlineStr">
        <is>
          <t>서울시</t>
        </is>
      </c>
      <c r="AC3179" s="0" t="inlineStr">
        <is>
          <t>강동구</t>
        </is>
      </c>
      <c r="AD3179" s="0" t="inlineStr">
        <is>
          <t>천호동</t>
        </is>
      </c>
      <c r="AG3179" s="0" t="inlineStr">
        <is>
          <t>서울시 강동구 올림픽로89길 58</t>
        </is>
      </c>
      <c r="AH3179" s="0" t="n">
        <v>0</v>
      </c>
      <c r="AI3179" s="0" t="n">
        <v>229</v>
      </c>
      <c r="AJ3179" s="0" t="n">
        <v>22</v>
      </c>
      <c r="AK3179" s="0" t="n">
        <v>269</v>
      </c>
      <c r="AL3179" s="0" t="n">
        <v>1.2</v>
      </c>
    </row>
    <row r="3180">
      <c r="A3180" s="0" t="inlineStr">
        <is>
          <t>[천호동]</t>
        </is>
      </c>
      <c r="B3180" s="0" t="n">
        <v>22537</v>
      </c>
      <c r="C3180" s="0" t="n">
        <v>5</v>
      </c>
      <c r="D3180" s="0" t="inlineStr">
        <is>
          <t>강변그대가리버뷰</t>
        </is>
      </c>
      <c r="E3180" s="0" t="inlineStr">
        <is>
          <t>2007.02.</t>
        </is>
      </c>
      <c r="F3180" s="0" t="n">
        <v>225</v>
      </c>
      <c r="G3180" s="0" t="n">
        <v>36.98</v>
      </c>
      <c r="H3180" s="0" t="n">
        <v>122.26</v>
      </c>
      <c r="I3180" s="0" t="n">
        <v>25.7</v>
      </c>
      <c r="J3180" s="0" t="n">
        <v>84.97</v>
      </c>
      <c r="K3180" s="0" t="n">
        <v>23</v>
      </c>
      <c r="T3180" s="0" t="n">
        <v>3</v>
      </c>
      <c r="U3180" s="0" t="n">
        <v>2</v>
      </c>
      <c r="V3180" s="0" t="inlineStr">
        <is>
          <t>계단식</t>
        </is>
      </c>
      <c r="W3180" s="0" t="inlineStr">
        <is>
          <t>122AB</t>
        </is>
      </c>
      <c r="X3180" s="0" t="n">
        <v>15</v>
      </c>
      <c r="Y3180" s="0" t="n">
        <v>10</v>
      </c>
      <c r="Z3180" s="0" t="inlineStr">
        <is>
          <t>https://new.land.naver.com/complexes/22537?tab=detail&amp;rf=Y</t>
        </is>
      </c>
      <c r="AA3180" s="0" t="inlineStr">
        <is>
          <t>서울시 강동구 천호동 568</t>
        </is>
      </c>
      <c r="AB3180" s="0" t="inlineStr">
        <is>
          <t>서울시</t>
        </is>
      </c>
      <c r="AC3180" s="0" t="inlineStr">
        <is>
          <t>강동구</t>
        </is>
      </c>
      <c r="AD3180" s="0" t="inlineStr">
        <is>
          <t>천호동</t>
        </is>
      </c>
      <c r="AG3180" s="0" t="inlineStr">
        <is>
          <t>서울시 강동구 올림픽로89길 58</t>
        </is>
      </c>
      <c r="AH3180" s="0" t="n">
        <v>0</v>
      </c>
      <c r="AI3180" s="0" t="n">
        <v>229</v>
      </c>
      <c r="AJ3180" s="0" t="n">
        <v>22</v>
      </c>
      <c r="AK3180" s="0" t="n">
        <v>269</v>
      </c>
      <c r="AL3180" s="0" t="n">
        <v>1.2</v>
      </c>
    </row>
    <row r="3181">
      <c r="A3181" s="0" t="inlineStr">
        <is>
          <t>[천호동]</t>
        </is>
      </c>
      <c r="B3181" s="0" t="n">
        <v>1001</v>
      </c>
      <c r="C3181" s="0" t="n">
        <v>1</v>
      </c>
      <c r="D3181" s="0" t="inlineStr">
        <is>
          <t>천호롯데</t>
        </is>
      </c>
      <c r="E3181" s="0" t="inlineStr">
        <is>
          <t>1999.11.</t>
        </is>
      </c>
      <c r="F3181" s="0" t="n">
        <v>114</v>
      </c>
      <c r="G3181" s="0" t="n">
        <v>24.47</v>
      </c>
      <c r="H3181" s="0" t="n">
        <v>80.92</v>
      </c>
      <c r="I3181" s="0" t="n">
        <v>18.14</v>
      </c>
      <c r="J3181" s="0" t="n">
        <v>59.99</v>
      </c>
      <c r="K3181" s="0" t="n">
        <v>57</v>
      </c>
      <c r="T3181" s="0" t="n">
        <v>3</v>
      </c>
      <c r="U3181" s="0" t="n">
        <v>1</v>
      </c>
      <c r="V3181" s="0" t="inlineStr">
        <is>
          <t>복도식</t>
        </is>
      </c>
      <c r="W3181" s="0" t="n">
        <v>80</v>
      </c>
      <c r="X3181" s="0" t="n">
        <v>19</v>
      </c>
      <c r="Y3181" s="0" t="n">
        <v>7</v>
      </c>
      <c r="Z3181" s="0" t="inlineStr">
        <is>
          <t>https://new.land.naver.com/complexes/1001?tab=detail&amp;rf=Y</t>
        </is>
      </c>
      <c r="AA3181" s="0" t="inlineStr">
        <is>
          <t>서울시 강동구 천호동 55-4</t>
        </is>
      </c>
      <c r="AB3181" s="0" t="inlineStr">
        <is>
          <t>서울시</t>
        </is>
      </c>
      <c r="AC3181" s="0" t="inlineStr">
        <is>
          <t>강동구</t>
        </is>
      </c>
      <c r="AD3181" s="0" t="inlineStr">
        <is>
          <t>천호동</t>
        </is>
      </c>
      <c r="AG3181" s="0" t="inlineStr">
        <is>
          <t>서울시 강동구 천중로 161</t>
        </is>
      </c>
      <c r="AH3181" s="0" t="n">
        <v>0</v>
      </c>
      <c r="AI3181" s="0" t="n">
        <v>394</v>
      </c>
      <c r="AJ3181" s="0" t="n">
        <v>31</v>
      </c>
      <c r="AK3181" s="0" t="n">
        <v>114</v>
      </c>
      <c r="AL3181" s="0" t="n">
        <v>1</v>
      </c>
    </row>
    <row r="3182">
      <c r="A3182" s="0" t="inlineStr">
        <is>
          <t>[천호동]</t>
        </is>
      </c>
      <c r="B3182" s="0" t="n">
        <v>1001</v>
      </c>
      <c r="C3182" s="0" t="n">
        <v>2</v>
      </c>
      <c r="D3182" s="0" t="inlineStr">
        <is>
          <t>천호롯데</t>
        </is>
      </c>
      <c r="E3182" s="0" t="inlineStr">
        <is>
          <t>1999.11.</t>
        </is>
      </c>
      <c r="F3182" s="0" t="n">
        <v>114</v>
      </c>
      <c r="G3182" s="0" t="n">
        <v>32.74</v>
      </c>
      <c r="H3182" s="0" t="n">
        <v>108.24</v>
      </c>
      <c r="I3182" s="0" t="n">
        <v>25.7</v>
      </c>
      <c r="J3182" s="0" t="n">
        <v>84.98999999999999</v>
      </c>
      <c r="K3182" s="0" t="n">
        <v>14</v>
      </c>
      <c r="T3182" s="0" t="n">
        <v>3</v>
      </c>
      <c r="U3182" s="0" t="n">
        <v>2</v>
      </c>
      <c r="V3182" s="0" t="inlineStr">
        <is>
          <t>계단식</t>
        </is>
      </c>
      <c r="W3182" s="0" t="n">
        <v>108</v>
      </c>
      <c r="X3182" s="0" t="n">
        <v>19</v>
      </c>
      <c r="Y3182" s="0" t="n">
        <v>7</v>
      </c>
      <c r="Z3182" s="0" t="inlineStr">
        <is>
          <t>https://new.land.naver.com/complexes/1001?tab=detail&amp;rf=Y</t>
        </is>
      </c>
      <c r="AA3182" s="0" t="inlineStr">
        <is>
          <t>서울시 강동구 천호동 55-4</t>
        </is>
      </c>
      <c r="AB3182" s="0" t="inlineStr">
        <is>
          <t>서울시</t>
        </is>
      </c>
      <c r="AC3182" s="0" t="inlineStr">
        <is>
          <t>강동구</t>
        </is>
      </c>
      <c r="AD3182" s="0" t="inlineStr">
        <is>
          <t>천호동</t>
        </is>
      </c>
      <c r="AG3182" s="0" t="inlineStr">
        <is>
          <t>서울시 강동구 천중로 161</t>
        </is>
      </c>
      <c r="AH3182" s="0" t="n">
        <v>0</v>
      </c>
      <c r="AI3182" s="0" t="n">
        <v>394</v>
      </c>
      <c r="AJ3182" s="0" t="n">
        <v>31</v>
      </c>
      <c r="AK3182" s="0" t="n">
        <v>114</v>
      </c>
      <c r="AL3182" s="0" t="n">
        <v>1</v>
      </c>
    </row>
    <row r="3183">
      <c r="A3183" s="0" t="inlineStr">
        <is>
          <t>[천호동]</t>
        </is>
      </c>
      <c r="B3183" s="0" t="n">
        <v>1001</v>
      </c>
      <c r="C3183" s="0" t="n">
        <v>3</v>
      </c>
      <c r="D3183" s="0" t="inlineStr">
        <is>
          <t>천호롯데</t>
        </is>
      </c>
      <c r="E3183" s="0" t="inlineStr">
        <is>
          <t>1999.11.</t>
        </is>
      </c>
      <c r="F3183" s="0" t="n">
        <v>114</v>
      </c>
      <c r="G3183" s="0" t="n">
        <v>34.48</v>
      </c>
      <c r="H3183" s="0" t="n">
        <v>113.99</v>
      </c>
      <c r="I3183" s="0" t="n">
        <v>25.56</v>
      </c>
      <c r="J3183" s="0" t="n">
        <v>84.51000000000001</v>
      </c>
      <c r="K3183" s="0" t="n">
        <v>38</v>
      </c>
      <c r="T3183" s="0" t="n">
        <v>3</v>
      </c>
      <c r="U3183" s="0" t="n">
        <v>2</v>
      </c>
      <c r="V3183" s="0" t="inlineStr">
        <is>
          <t>복도식</t>
        </is>
      </c>
      <c r="W3183" s="0" t="n">
        <v>113</v>
      </c>
      <c r="X3183" s="0" t="n">
        <v>19</v>
      </c>
      <c r="Y3183" s="0" t="n">
        <v>7</v>
      </c>
      <c r="Z3183" s="0" t="inlineStr">
        <is>
          <t>https://new.land.naver.com/complexes/1001?tab=detail&amp;rf=Y</t>
        </is>
      </c>
      <c r="AA3183" s="0" t="inlineStr">
        <is>
          <t>서울시 강동구 천호동 55-4</t>
        </is>
      </c>
      <c r="AB3183" s="0" t="inlineStr">
        <is>
          <t>서울시</t>
        </is>
      </c>
      <c r="AC3183" s="0" t="inlineStr">
        <is>
          <t>강동구</t>
        </is>
      </c>
      <c r="AD3183" s="0" t="inlineStr">
        <is>
          <t>천호동</t>
        </is>
      </c>
      <c r="AG3183" s="0" t="inlineStr">
        <is>
          <t>서울시 강동구 천중로 161</t>
        </is>
      </c>
      <c r="AH3183" s="0" t="n">
        <v>0</v>
      </c>
      <c r="AI3183" s="0" t="n">
        <v>394</v>
      </c>
      <c r="AJ3183" s="0" t="n">
        <v>31</v>
      </c>
      <c r="AK3183" s="0" t="n">
        <v>114</v>
      </c>
      <c r="AL3183" s="0" t="n">
        <v>1</v>
      </c>
    </row>
    <row r="3184">
      <c r="A3184" s="0" t="inlineStr">
        <is>
          <t>[천호동]</t>
        </is>
      </c>
      <c r="B3184" s="0" t="n">
        <v>1001</v>
      </c>
      <c r="C3184" s="0" t="n">
        <v>4</v>
      </c>
      <c r="D3184" s="0" t="inlineStr">
        <is>
          <t>천호롯데</t>
        </is>
      </c>
      <c r="E3184" s="0" t="inlineStr">
        <is>
          <t>1999.11.</t>
        </is>
      </c>
      <c r="F3184" s="0" t="n">
        <v>114</v>
      </c>
      <c r="G3184" s="0" t="n">
        <v>44.18</v>
      </c>
      <c r="H3184" s="0" t="n">
        <v>146.07</v>
      </c>
      <c r="I3184" s="0" t="n">
        <v>34.69</v>
      </c>
      <c r="J3184" s="0" t="n">
        <v>114.68</v>
      </c>
      <c r="K3184" s="0" t="n">
        <v>5</v>
      </c>
      <c r="T3184" s="0" t="n">
        <v>4</v>
      </c>
      <c r="U3184" s="0" t="n">
        <v>2</v>
      </c>
      <c r="V3184" s="0" t="inlineStr">
        <is>
          <t>계단식</t>
        </is>
      </c>
      <c r="W3184" s="0" t="n">
        <v>146</v>
      </c>
      <c r="X3184" s="0" t="n">
        <v>19</v>
      </c>
      <c r="Y3184" s="0" t="n">
        <v>7</v>
      </c>
      <c r="Z3184" s="0" t="inlineStr">
        <is>
          <t>https://new.land.naver.com/complexes/1001?tab=detail&amp;rf=Y</t>
        </is>
      </c>
      <c r="AA3184" s="0" t="inlineStr">
        <is>
          <t>서울시 강동구 천호동 55-4</t>
        </is>
      </c>
      <c r="AB3184" s="0" t="inlineStr">
        <is>
          <t>서울시</t>
        </is>
      </c>
      <c r="AC3184" s="0" t="inlineStr">
        <is>
          <t>강동구</t>
        </is>
      </c>
      <c r="AD3184" s="0" t="inlineStr">
        <is>
          <t>천호동</t>
        </is>
      </c>
      <c r="AG3184" s="0" t="inlineStr">
        <is>
          <t>서울시 강동구 천중로 161</t>
        </is>
      </c>
      <c r="AH3184" s="0" t="n">
        <v>0</v>
      </c>
      <c r="AI3184" s="0" t="n">
        <v>394</v>
      </c>
      <c r="AJ3184" s="0" t="n">
        <v>31</v>
      </c>
      <c r="AK3184" s="0" t="n">
        <v>114</v>
      </c>
      <c r="AL3184" s="0" t="n">
        <v>1</v>
      </c>
    </row>
    <row r="3185">
      <c r="A3185" s="0" t="inlineStr">
        <is>
          <t>[천호동]</t>
        </is>
      </c>
      <c r="B3185" s="0" t="n">
        <v>27263</v>
      </c>
      <c r="C3185" s="0" t="n">
        <v>1</v>
      </c>
      <c r="D3185" s="0" t="inlineStr">
        <is>
          <t>다성이즈빌(55-25)</t>
        </is>
      </c>
      <c r="E3185" s="0" t="inlineStr">
        <is>
          <t>2006.10.</t>
        </is>
      </c>
      <c r="F3185" s="0" t="n">
        <v>49</v>
      </c>
      <c r="G3185" s="0" t="n">
        <v>25.7</v>
      </c>
      <c r="H3185" s="0" t="n">
        <v>84.95999999999999</v>
      </c>
      <c r="I3185" s="0" t="n">
        <v>21.41</v>
      </c>
      <c r="J3185" s="0" t="n">
        <v>70.8</v>
      </c>
      <c r="K3185" s="0" t="n">
        <v>3</v>
      </c>
      <c r="T3185" s="0" t="n">
        <v>3</v>
      </c>
      <c r="U3185" s="0" t="n">
        <v>2</v>
      </c>
      <c r="V3185" s="0" t="inlineStr">
        <is>
          <t>계단식</t>
        </is>
      </c>
      <c r="W3185" s="0" t="n">
        <v>84</v>
      </c>
      <c r="X3185" s="0" t="n">
        <v>15</v>
      </c>
      <c r="Y3185" s="0" t="n">
        <v>5</v>
      </c>
      <c r="Z3185" s="0" t="inlineStr">
        <is>
          <t>https://new.land.naver.com/complexes/27263?tab=detail&amp;rf=Y</t>
        </is>
      </c>
      <c r="AA3185" s="0" t="inlineStr">
        <is>
          <t>서울시 강동구 천호동 55-25</t>
        </is>
      </c>
      <c r="AB3185" s="0" t="inlineStr">
        <is>
          <t>서울시</t>
        </is>
      </c>
      <c r="AC3185" s="0" t="inlineStr">
        <is>
          <t>강동구</t>
        </is>
      </c>
      <c r="AD3185" s="0" t="inlineStr">
        <is>
          <t>천호동</t>
        </is>
      </c>
      <c r="AG3185" s="0" t="inlineStr">
        <is>
          <t>서울시 강동구 천중로 177</t>
        </is>
      </c>
      <c r="AH3185" s="0" t="n">
        <v>0</v>
      </c>
      <c r="AI3185" s="0" t="n">
        <v>249</v>
      </c>
      <c r="AJ3185" s="0" t="n">
        <v>28</v>
      </c>
      <c r="AK3185" s="0" t="n">
        <v>63</v>
      </c>
      <c r="AL3185" s="0" t="n">
        <v>1.29</v>
      </c>
    </row>
    <row r="3186">
      <c r="A3186" s="0" t="inlineStr">
        <is>
          <t>[천호동]</t>
        </is>
      </c>
      <c r="B3186" s="0" t="n">
        <v>27263</v>
      </c>
      <c r="C3186" s="0" t="n">
        <v>2</v>
      </c>
      <c r="D3186" s="0" t="inlineStr">
        <is>
          <t>다성이즈빌(55-25)</t>
        </is>
      </c>
      <c r="E3186" s="0" t="inlineStr">
        <is>
          <t>2006.10.</t>
        </is>
      </c>
      <c r="F3186" s="0" t="n">
        <v>49</v>
      </c>
      <c r="G3186" s="0" t="n">
        <v>30.83</v>
      </c>
      <c r="H3186" s="0" t="n">
        <v>101.93</v>
      </c>
      <c r="I3186" s="0" t="n">
        <v>25.69</v>
      </c>
      <c r="J3186" s="0" t="n">
        <v>84.95</v>
      </c>
      <c r="K3186" s="0" t="n">
        <v>32</v>
      </c>
      <c r="T3186" s="0" t="n">
        <v>4</v>
      </c>
      <c r="U3186" s="0" t="n">
        <v>2</v>
      </c>
      <c r="V3186" s="0" t="inlineStr">
        <is>
          <t>계단식</t>
        </is>
      </c>
      <c r="W3186" s="0" t="n">
        <v>101</v>
      </c>
      <c r="X3186" s="0" t="n">
        <v>15</v>
      </c>
      <c r="Y3186" s="0" t="n">
        <v>5</v>
      </c>
      <c r="Z3186" s="0" t="inlineStr">
        <is>
          <t>https://new.land.naver.com/complexes/27263?tab=detail&amp;rf=Y</t>
        </is>
      </c>
      <c r="AA3186" s="0" t="inlineStr">
        <is>
          <t>서울시 강동구 천호동 55-25</t>
        </is>
      </c>
      <c r="AB3186" s="0" t="inlineStr">
        <is>
          <t>서울시</t>
        </is>
      </c>
      <c r="AC3186" s="0" t="inlineStr">
        <is>
          <t>강동구</t>
        </is>
      </c>
      <c r="AD3186" s="0" t="inlineStr">
        <is>
          <t>천호동</t>
        </is>
      </c>
      <c r="AG3186" s="0" t="inlineStr">
        <is>
          <t>서울시 강동구 천중로 177</t>
        </is>
      </c>
      <c r="AH3186" s="0" t="n">
        <v>0</v>
      </c>
      <c r="AI3186" s="0" t="n">
        <v>249</v>
      </c>
      <c r="AJ3186" s="0" t="n">
        <v>28</v>
      </c>
      <c r="AK3186" s="0" t="n">
        <v>63</v>
      </c>
      <c r="AL3186" s="0" t="n">
        <v>1.29</v>
      </c>
    </row>
    <row r="3187">
      <c r="A3187" s="0" t="inlineStr">
        <is>
          <t>[천호동]</t>
        </is>
      </c>
      <c r="B3187" s="0" t="n">
        <v>27263</v>
      </c>
      <c r="C3187" s="0" t="n">
        <v>3</v>
      </c>
      <c r="D3187" s="0" t="inlineStr">
        <is>
          <t>다성이즈빌(55-25)</t>
        </is>
      </c>
      <c r="E3187" s="0" t="inlineStr">
        <is>
          <t>2006.10.</t>
        </is>
      </c>
      <c r="F3187" s="0" t="n">
        <v>49</v>
      </c>
      <c r="G3187" s="0" t="n">
        <v>38.16</v>
      </c>
      <c r="H3187" s="0" t="n">
        <v>126.16</v>
      </c>
      <c r="I3187" s="0" t="n">
        <v>31.8</v>
      </c>
      <c r="J3187" s="0" t="n">
        <v>105.14</v>
      </c>
      <c r="K3187" s="0" t="n">
        <v>1</v>
      </c>
      <c r="T3187" s="0" t="n">
        <v>4</v>
      </c>
      <c r="U3187" s="0" t="n">
        <v>2</v>
      </c>
      <c r="V3187" s="0" t="inlineStr">
        <is>
          <t>계단식</t>
        </is>
      </c>
      <c r="W3187" s="0" t="n">
        <v>126</v>
      </c>
      <c r="X3187" s="0" t="n">
        <v>15</v>
      </c>
      <c r="Y3187" s="0" t="n">
        <v>5</v>
      </c>
      <c r="Z3187" s="0" t="inlineStr">
        <is>
          <t>https://new.land.naver.com/complexes/27263?tab=detail&amp;rf=Y</t>
        </is>
      </c>
      <c r="AA3187" s="0" t="inlineStr">
        <is>
          <t>서울시 강동구 천호동 55-25</t>
        </is>
      </c>
      <c r="AB3187" s="0" t="inlineStr">
        <is>
          <t>서울시</t>
        </is>
      </c>
      <c r="AC3187" s="0" t="inlineStr">
        <is>
          <t>강동구</t>
        </is>
      </c>
      <c r="AD3187" s="0" t="inlineStr">
        <is>
          <t>천호동</t>
        </is>
      </c>
      <c r="AG3187" s="0" t="inlineStr">
        <is>
          <t>서울시 강동구 천중로 177</t>
        </is>
      </c>
      <c r="AH3187" s="0" t="n">
        <v>0</v>
      </c>
      <c r="AI3187" s="0" t="n">
        <v>249</v>
      </c>
      <c r="AJ3187" s="0" t="n">
        <v>28</v>
      </c>
      <c r="AK3187" s="0" t="n">
        <v>63</v>
      </c>
      <c r="AL3187" s="0" t="n">
        <v>1.29</v>
      </c>
    </row>
    <row r="3188">
      <c r="A3188" s="0" t="inlineStr">
        <is>
          <t>[천호동]</t>
        </is>
      </c>
      <c r="B3188" s="0" t="n">
        <v>27263</v>
      </c>
      <c r="C3188" s="0" t="n">
        <v>4</v>
      </c>
      <c r="D3188" s="0" t="inlineStr">
        <is>
          <t>다성이즈빌(55-25)</t>
        </is>
      </c>
      <c r="E3188" s="0" t="inlineStr">
        <is>
          <t>2006.10.</t>
        </is>
      </c>
      <c r="F3188" s="0" t="n">
        <v>49</v>
      </c>
      <c r="G3188" s="0" t="n">
        <v>39.7</v>
      </c>
      <c r="H3188" s="0" t="n">
        <v>131.25</v>
      </c>
      <c r="I3188" s="0" t="n">
        <v>33.08</v>
      </c>
      <c r="J3188" s="0" t="n">
        <v>109.37</v>
      </c>
      <c r="K3188" s="0" t="n">
        <v>13</v>
      </c>
      <c r="T3188" s="0" t="n">
        <v>4</v>
      </c>
      <c r="U3188" s="0" t="n">
        <v>2</v>
      </c>
      <c r="V3188" s="0" t="inlineStr">
        <is>
          <t>계단식</t>
        </is>
      </c>
      <c r="W3188" s="0" t="n">
        <v>131</v>
      </c>
      <c r="X3188" s="0" t="n">
        <v>15</v>
      </c>
      <c r="Y3188" s="0" t="n">
        <v>5</v>
      </c>
      <c r="Z3188" s="0" t="inlineStr">
        <is>
          <t>https://new.land.naver.com/complexes/27263?tab=detail&amp;rf=Y</t>
        </is>
      </c>
      <c r="AA3188" s="0" t="inlineStr">
        <is>
          <t>서울시 강동구 천호동 55-25</t>
        </is>
      </c>
      <c r="AB3188" s="0" t="inlineStr">
        <is>
          <t>서울시</t>
        </is>
      </c>
      <c r="AC3188" s="0" t="inlineStr">
        <is>
          <t>강동구</t>
        </is>
      </c>
      <c r="AD3188" s="0" t="inlineStr">
        <is>
          <t>천호동</t>
        </is>
      </c>
      <c r="AG3188" s="0" t="inlineStr">
        <is>
          <t>서울시 강동구 천중로 177</t>
        </is>
      </c>
      <c r="AH3188" s="0" t="n">
        <v>0</v>
      </c>
      <c r="AI3188" s="0" t="n">
        <v>249</v>
      </c>
      <c r="AJ3188" s="0" t="n">
        <v>28</v>
      </c>
      <c r="AK3188" s="0" t="n">
        <v>63</v>
      </c>
      <c r="AL3188" s="0" t="n">
        <v>1.29</v>
      </c>
    </row>
    <row r="3189">
      <c r="A3189" s="0" t="inlineStr">
        <is>
          <t>[천호동]</t>
        </is>
      </c>
      <c r="B3189" s="0" t="n">
        <v>126977</v>
      </c>
      <c r="C3189" s="0" t="n">
        <v>1</v>
      </c>
      <c r="D3189" s="0" t="inlineStr">
        <is>
          <t>다성이즈빌(169-6,도시형)</t>
        </is>
      </c>
      <c r="E3189" s="0" t="inlineStr">
        <is>
          <t>2018.07.</t>
        </is>
      </c>
      <c r="F3189" s="0" t="n">
        <v>20</v>
      </c>
      <c r="G3189" s="0" t="n">
        <v>5.83</v>
      </c>
      <c r="H3189" s="0" t="n">
        <v>19.3</v>
      </c>
      <c r="I3189" s="0" t="n">
        <v>4.42</v>
      </c>
      <c r="J3189" s="0" t="n">
        <v>14.62</v>
      </c>
      <c r="K3189" s="0" t="n">
        <v>5</v>
      </c>
      <c r="T3189" s="0" t="n">
        <v>1</v>
      </c>
      <c r="U3189" s="0" t="n">
        <v>1</v>
      </c>
      <c r="V3189" s="0" t="inlineStr">
        <is>
          <t>계단식</t>
        </is>
      </c>
      <c r="W3189" s="0" t="n">
        <v>19</v>
      </c>
      <c r="X3189" s="0" t="n">
        <v>12</v>
      </c>
      <c r="Y3189" s="0" t="n">
        <v>12</v>
      </c>
      <c r="Z3189" s="0" t="inlineStr">
        <is>
          <t>https://new.land.naver.com/complexes/126977?tab=detail&amp;rf=Y</t>
        </is>
      </c>
      <c r="AA3189" s="0" t="inlineStr">
        <is>
          <t>서울시 강동구 천호동 169-6</t>
        </is>
      </c>
      <c r="AB3189" s="0" t="inlineStr">
        <is>
          <t>서울시</t>
        </is>
      </c>
      <c r="AC3189" s="0" t="inlineStr">
        <is>
          <t>강동구</t>
        </is>
      </c>
      <c r="AD3189" s="0" t="inlineStr">
        <is>
          <t>천호동</t>
        </is>
      </c>
      <c r="AG3189" s="0" t="inlineStr">
        <is>
          <t>서울시 강동구 성안로25길 31</t>
        </is>
      </c>
      <c r="AH3189" s="0" t="n">
        <v>0</v>
      </c>
      <c r="AI3189" s="0" t="n">
        <v>399</v>
      </c>
      <c r="AJ3189" s="0" t="n">
        <v>56</v>
      </c>
      <c r="AK3189" s="0" t="n">
        <v>12</v>
      </c>
      <c r="AL3189" s="0" t="n">
        <v>0.6</v>
      </c>
    </row>
    <row r="3190">
      <c r="A3190" s="0" t="inlineStr">
        <is>
          <t>[천호동]</t>
        </is>
      </c>
      <c r="B3190" s="0" t="n">
        <v>126977</v>
      </c>
      <c r="C3190" s="0" t="n">
        <v>2</v>
      </c>
      <c r="D3190" s="0" t="inlineStr">
        <is>
          <t>다성이즈빌(169-6,도시형)</t>
        </is>
      </c>
      <c r="E3190" s="0" t="inlineStr">
        <is>
          <t>2018.07.</t>
        </is>
      </c>
      <c r="F3190" s="0" t="n">
        <v>20</v>
      </c>
      <c r="G3190" s="0" t="n">
        <v>6.82</v>
      </c>
      <c r="H3190" s="0" t="n">
        <v>22.57</v>
      </c>
      <c r="I3190" s="0" t="n">
        <v>5.17</v>
      </c>
      <c r="J3190" s="0" t="n">
        <v>17.1</v>
      </c>
      <c r="K3190" s="0" t="n">
        <v>5</v>
      </c>
      <c r="T3190" s="0" t="n">
        <v>1</v>
      </c>
      <c r="U3190" s="0" t="n">
        <v>1</v>
      </c>
      <c r="V3190" s="0" t="inlineStr">
        <is>
          <t>계단식</t>
        </is>
      </c>
      <c r="W3190" s="0" t="n">
        <v>22</v>
      </c>
      <c r="X3190" s="0" t="n">
        <v>12</v>
      </c>
      <c r="Y3190" s="0" t="n">
        <v>12</v>
      </c>
      <c r="Z3190" s="0" t="inlineStr">
        <is>
          <t>https://new.land.naver.com/complexes/126977?tab=detail&amp;rf=Y</t>
        </is>
      </c>
      <c r="AA3190" s="0" t="inlineStr">
        <is>
          <t>서울시 강동구 천호동 169-6</t>
        </is>
      </c>
      <c r="AB3190" s="0" t="inlineStr">
        <is>
          <t>서울시</t>
        </is>
      </c>
      <c r="AC3190" s="0" t="inlineStr">
        <is>
          <t>강동구</t>
        </is>
      </c>
      <c r="AD3190" s="0" t="inlineStr">
        <is>
          <t>천호동</t>
        </is>
      </c>
      <c r="AG3190" s="0" t="inlineStr">
        <is>
          <t>서울시 강동구 성안로25길 31</t>
        </is>
      </c>
      <c r="AH3190" s="0" t="n">
        <v>0</v>
      </c>
      <c r="AI3190" s="0" t="n">
        <v>399</v>
      </c>
      <c r="AJ3190" s="0" t="n">
        <v>56</v>
      </c>
      <c r="AK3190" s="0" t="n">
        <v>12</v>
      </c>
      <c r="AL3190" s="0" t="n">
        <v>0.6</v>
      </c>
    </row>
    <row r="3191">
      <c r="A3191" s="0" t="inlineStr">
        <is>
          <t>[천호동]</t>
        </is>
      </c>
      <c r="B3191" s="0" t="n">
        <v>126977</v>
      </c>
      <c r="C3191" s="0" t="n">
        <v>3</v>
      </c>
      <c r="D3191" s="0" t="inlineStr">
        <is>
          <t>다성이즈빌(169-6,도시형)</t>
        </is>
      </c>
      <c r="E3191" s="0" t="inlineStr">
        <is>
          <t>2018.07.</t>
        </is>
      </c>
      <c r="F3191" s="0" t="n">
        <v>20</v>
      </c>
      <c r="G3191" s="0" t="n">
        <v>7.64</v>
      </c>
      <c r="H3191" s="0" t="n">
        <v>25.27</v>
      </c>
      <c r="I3191" s="0" t="n">
        <v>5.78</v>
      </c>
      <c r="J3191" s="0" t="n">
        <v>19.14</v>
      </c>
      <c r="K3191" s="0" t="n">
        <v>5</v>
      </c>
      <c r="T3191" s="0" t="n">
        <v>1</v>
      </c>
      <c r="U3191" s="0" t="n">
        <v>1</v>
      </c>
      <c r="V3191" s="0" t="inlineStr">
        <is>
          <t>계단식</t>
        </is>
      </c>
      <c r="W3191" s="0" t="n">
        <v>25</v>
      </c>
      <c r="X3191" s="0" t="n">
        <v>12</v>
      </c>
      <c r="Y3191" s="0" t="n">
        <v>12</v>
      </c>
      <c r="Z3191" s="0" t="inlineStr">
        <is>
          <t>https://new.land.naver.com/complexes/126977?tab=detail&amp;rf=Y</t>
        </is>
      </c>
      <c r="AA3191" s="0" t="inlineStr">
        <is>
          <t>서울시 강동구 천호동 169-6</t>
        </is>
      </c>
      <c r="AB3191" s="0" t="inlineStr">
        <is>
          <t>서울시</t>
        </is>
      </c>
      <c r="AC3191" s="0" t="inlineStr">
        <is>
          <t>강동구</t>
        </is>
      </c>
      <c r="AD3191" s="0" t="inlineStr">
        <is>
          <t>천호동</t>
        </is>
      </c>
      <c r="AG3191" s="0" t="inlineStr">
        <is>
          <t>서울시 강동구 성안로25길 31</t>
        </is>
      </c>
      <c r="AH3191" s="0" t="n">
        <v>0</v>
      </c>
      <c r="AI3191" s="0" t="n">
        <v>399</v>
      </c>
      <c r="AJ3191" s="0" t="n">
        <v>56</v>
      </c>
      <c r="AK3191" s="0" t="n">
        <v>12</v>
      </c>
      <c r="AL3191" s="0" t="n">
        <v>0.6</v>
      </c>
    </row>
    <row r="3192">
      <c r="A3192" s="0" t="inlineStr">
        <is>
          <t>[천호동]</t>
        </is>
      </c>
      <c r="B3192" s="0" t="n">
        <v>126977</v>
      </c>
      <c r="C3192" s="0" t="n">
        <v>4</v>
      </c>
      <c r="D3192" s="0" t="inlineStr">
        <is>
          <t>다성이즈빌(169-6,도시형)</t>
        </is>
      </c>
      <c r="E3192" s="0" t="inlineStr">
        <is>
          <t>2018.07.</t>
        </is>
      </c>
      <c r="F3192" s="0" t="n">
        <v>20</v>
      </c>
      <c r="G3192" s="0" t="n">
        <v>9.289999999999999</v>
      </c>
      <c r="H3192" s="0" t="n">
        <v>30.73</v>
      </c>
      <c r="I3192" s="0" t="n">
        <v>7.04</v>
      </c>
      <c r="J3192" s="0" t="n">
        <v>23.28</v>
      </c>
      <c r="K3192" s="0" t="n">
        <v>5</v>
      </c>
      <c r="T3192" s="0" t="n">
        <v>1</v>
      </c>
      <c r="U3192" s="0" t="n">
        <v>1</v>
      </c>
      <c r="V3192" s="0" t="inlineStr">
        <is>
          <t>계단식</t>
        </is>
      </c>
      <c r="W3192" s="0" t="n">
        <v>30</v>
      </c>
      <c r="X3192" s="0" t="n">
        <v>12</v>
      </c>
      <c r="Y3192" s="0" t="n">
        <v>12</v>
      </c>
      <c r="Z3192" s="0" t="inlineStr">
        <is>
          <t>https://new.land.naver.com/complexes/126977?tab=detail&amp;rf=Y</t>
        </is>
      </c>
      <c r="AA3192" s="0" t="inlineStr">
        <is>
          <t>서울시 강동구 천호동 169-6</t>
        </is>
      </c>
      <c r="AB3192" s="0" t="inlineStr">
        <is>
          <t>서울시</t>
        </is>
      </c>
      <c r="AC3192" s="0" t="inlineStr">
        <is>
          <t>강동구</t>
        </is>
      </c>
      <c r="AD3192" s="0" t="inlineStr">
        <is>
          <t>천호동</t>
        </is>
      </c>
      <c r="AG3192" s="0" t="inlineStr">
        <is>
          <t>서울시 강동구 성안로25길 31</t>
        </is>
      </c>
      <c r="AH3192" s="0" t="n">
        <v>0</v>
      </c>
      <c r="AI3192" s="0" t="n">
        <v>399</v>
      </c>
      <c r="AJ3192" s="0" t="n">
        <v>56</v>
      </c>
      <c r="AK3192" s="0" t="n">
        <v>12</v>
      </c>
      <c r="AL3192" s="0" t="n">
        <v>0.6</v>
      </c>
    </row>
    <row r="3193">
      <c r="A3193" s="0" t="inlineStr">
        <is>
          <t>[천호동]</t>
        </is>
      </c>
      <c r="B3193" s="0" t="n">
        <v>100678</v>
      </c>
      <c r="C3193" s="0" t="n">
        <v>1</v>
      </c>
      <c r="D3193" s="0" t="inlineStr">
        <is>
          <t>시티빌</t>
        </is>
      </c>
      <c r="E3193" s="0" t="inlineStr">
        <is>
          <t>2006.07.</t>
        </is>
      </c>
      <c r="F3193" s="0" t="n">
        <v>19</v>
      </c>
      <c r="G3193" s="0" t="n">
        <v>16.31</v>
      </c>
      <c r="H3193" s="0" t="n">
        <v>53.92</v>
      </c>
      <c r="I3193" s="0" t="n">
        <v>14.13</v>
      </c>
      <c r="J3193" s="0" t="n">
        <v>46.74</v>
      </c>
      <c r="K3193" s="0" t="n">
        <v>1</v>
      </c>
      <c r="T3193" s="0" t="n">
        <v>2</v>
      </c>
      <c r="U3193" s="0" t="n">
        <v>1</v>
      </c>
      <c r="V3193" s="0" t="inlineStr">
        <is>
          <t>계단식</t>
        </is>
      </c>
      <c r="W3193" s="0" t="n">
        <v>53</v>
      </c>
      <c r="X3193" s="0" t="n">
        <v>6</v>
      </c>
      <c r="Y3193" s="0" t="n">
        <v>5</v>
      </c>
      <c r="Z3193" s="0" t="inlineStr">
        <is>
          <t>https://new.land.naver.com/complexes/100678?tab=detail&amp;rf=Y</t>
        </is>
      </c>
      <c r="AA3193" s="0" t="inlineStr">
        <is>
          <t>서울시 강동구 천호동 287-16</t>
        </is>
      </c>
      <c r="AB3193" s="0" t="inlineStr">
        <is>
          <t>서울시</t>
        </is>
      </c>
      <c r="AC3193" s="0" t="inlineStr">
        <is>
          <t>강동구</t>
        </is>
      </c>
      <c r="AD3193" s="0" t="inlineStr">
        <is>
          <t>천호동</t>
        </is>
      </c>
      <c r="AG3193" s="0" t="inlineStr">
        <is>
          <t>서울시 강동구 올림픽로92길 7-9</t>
        </is>
      </c>
      <c r="AH3193" s="0" t="n">
        <v>0</v>
      </c>
      <c r="AI3193" s="0" t="n">
        <v>255</v>
      </c>
      <c r="AJ3193" s="0" t="n">
        <v>55</v>
      </c>
      <c r="AK3193" s="0" t="n">
        <v>19</v>
      </c>
      <c r="AL3193" s="0" t="n">
        <v>1</v>
      </c>
    </row>
    <row r="3194">
      <c r="A3194" s="0" t="inlineStr">
        <is>
          <t>[천호동]</t>
        </is>
      </c>
      <c r="B3194" s="0" t="n">
        <v>100678</v>
      </c>
      <c r="C3194" s="0" t="n">
        <v>2</v>
      </c>
      <c r="D3194" s="0" t="inlineStr">
        <is>
          <t>시티빌</t>
        </is>
      </c>
      <c r="E3194" s="0" t="inlineStr">
        <is>
          <t>2006.07.</t>
        </is>
      </c>
      <c r="F3194" s="0" t="n">
        <v>19</v>
      </c>
      <c r="G3194" s="0" t="n">
        <v>24.1</v>
      </c>
      <c r="H3194" s="0" t="n">
        <v>79.68000000000001</v>
      </c>
      <c r="I3194" s="0" t="n">
        <v>20.89</v>
      </c>
      <c r="J3194" s="0" t="n">
        <v>69.08</v>
      </c>
      <c r="K3194" s="0" t="n">
        <v>1</v>
      </c>
      <c r="T3194" s="0" t="n">
        <v>3</v>
      </c>
      <c r="U3194" s="0" t="n">
        <v>2</v>
      </c>
      <c r="V3194" s="0" t="inlineStr">
        <is>
          <t>계단식</t>
        </is>
      </c>
      <c r="W3194" s="0" t="n">
        <v>79</v>
      </c>
      <c r="X3194" s="0" t="n">
        <v>6</v>
      </c>
      <c r="Y3194" s="0" t="n">
        <v>5</v>
      </c>
      <c r="Z3194" s="0" t="inlineStr">
        <is>
          <t>https://new.land.naver.com/complexes/100678?tab=detail&amp;rf=Y</t>
        </is>
      </c>
      <c r="AA3194" s="0" t="inlineStr">
        <is>
          <t>서울시 강동구 천호동 287-16</t>
        </is>
      </c>
      <c r="AB3194" s="0" t="inlineStr">
        <is>
          <t>서울시</t>
        </is>
      </c>
      <c r="AC3194" s="0" t="inlineStr">
        <is>
          <t>강동구</t>
        </is>
      </c>
      <c r="AD3194" s="0" t="inlineStr">
        <is>
          <t>천호동</t>
        </is>
      </c>
      <c r="AG3194" s="0" t="inlineStr">
        <is>
          <t>서울시 강동구 올림픽로92길 7-9</t>
        </is>
      </c>
      <c r="AH3194" s="0" t="n">
        <v>0</v>
      </c>
      <c r="AI3194" s="0" t="n">
        <v>255</v>
      </c>
      <c r="AJ3194" s="0" t="n">
        <v>55</v>
      </c>
      <c r="AK3194" s="0" t="n">
        <v>19</v>
      </c>
      <c r="AL3194" s="0" t="n">
        <v>1</v>
      </c>
    </row>
    <row r="3195">
      <c r="A3195" s="0" t="inlineStr">
        <is>
          <t>[천호동]</t>
        </is>
      </c>
      <c r="B3195" s="0" t="n">
        <v>100678</v>
      </c>
      <c r="C3195" s="0" t="n">
        <v>3</v>
      </c>
      <c r="D3195" s="0" t="inlineStr">
        <is>
          <t>시티빌</t>
        </is>
      </c>
      <c r="E3195" s="0" t="inlineStr">
        <is>
          <t>2006.07.</t>
        </is>
      </c>
      <c r="F3195" s="0" t="n">
        <v>19</v>
      </c>
      <c r="G3195" s="0" t="n">
        <v>27.9</v>
      </c>
      <c r="H3195" s="0" t="n">
        <v>92.23999999999999</v>
      </c>
      <c r="I3195" s="0" t="n">
        <v>24.18</v>
      </c>
      <c r="J3195" s="0" t="n">
        <v>79.95999999999999</v>
      </c>
      <c r="K3195" s="0" t="n">
        <v>1</v>
      </c>
      <c r="T3195" s="0" t="n">
        <v>3</v>
      </c>
      <c r="U3195" s="0" t="n">
        <v>2</v>
      </c>
      <c r="V3195" s="0" t="inlineStr">
        <is>
          <t>계단식</t>
        </is>
      </c>
      <c r="W3195" s="0" t="n">
        <v>92</v>
      </c>
      <c r="X3195" s="0" t="n">
        <v>6</v>
      </c>
      <c r="Y3195" s="0" t="n">
        <v>5</v>
      </c>
      <c r="Z3195" s="0" t="inlineStr">
        <is>
          <t>https://new.land.naver.com/complexes/100678?tab=detail&amp;rf=Y</t>
        </is>
      </c>
      <c r="AA3195" s="0" t="inlineStr">
        <is>
          <t>서울시 강동구 천호동 287-16</t>
        </is>
      </c>
      <c r="AB3195" s="0" t="inlineStr">
        <is>
          <t>서울시</t>
        </is>
      </c>
      <c r="AC3195" s="0" t="inlineStr">
        <is>
          <t>강동구</t>
        </is>
      </c>
      <c r="AD3195" s="0" t="inlineStr">
        <is>
          <t>천호동</t>
        </is>
      </c>
      <c r="AG3195" s="0" t="inlineStr">
        <is>
          <t>서울시 강동구 올림픽로92길 7-9</t>
        </is>
      </c>
      <c r="AH3195" s="0" t="n">
        <v>0</v>
      </c>
      <c r="AI3195" s="0" t="n">
        <v>255</v>
      </c>
      <c r="AJ3195" s="0" t="n">
        <v>55</v>
      </c>
      <c r="AK3195" s="0" t="n">
        <v>19</v>
      </c>
      <c r="AL3195" s="0" t="n">
        <v>1</v>
      </c>
    </row>
    <row r="3196">
      <c r="A3196" s="0" t="inlineStr">
        <is>
          <t>[천호동]</t>
        </is>
      </c>
      <c r="B3196" s="0" t="n">
        <v>100678</v>
      </c>
      <c r="C3196" s="0" t="n">
        <v>4</v>
      </c>
      <c r="D3196" s="0" t="inlineStr">
        <is>
          <t>시티빌</t>
        </is>
      </c>
      <c r="E3196" s="0" t="inlineStr">
        <is>
          <t>2006.07.</t>
        </is>
      </c>
      <c r="F3196" s="0" t="n">
        <v>19</v>
      </c>
      <c r="G3196" s="0" t="n">
        <v>28.32</v>
      </c>
      <c r="H3196" s="0" t="n">
        <v>93.63</v>
      </c>
      <c r="I3196" s="0" t="n">
        <v>24.55</v>
      </c>
      <c r="J3196" s="0" t="n">
        <v>81.16</v>
      </c>
      <c r="K3196" s="0" t="n">
        <v>2</v>
      </c>
      <c r="T3196" s="0" t="n">
        <v>3</v>
      </c>
      <c r="U3196" s="0" t="n">
        <v>2</v>
      </c>
      <c r="V3196" s="0" t="inlineStr">
        <is>
          <t>계단식</t>
        </is>
      </c>
      <c r="W3196" s="0" t="inlineStr">
        <is>
          <t>93A</t>
        </is>
      </c>
      <c r="X3196" s="0" t="n">
        <v>6</v>
      </c>
      <c r="Y3196" s="0" t="n">
        <v>5</v>
      </c>
      <c r="Z3196" s="0" t="inlineStr">
        <is>
          <t>https://new.land.naver.com/complexes/100678?tab=detail&amp;rf=Y</t>
        </is>
      </c>
      <c r="AA3196" s="0" t="inlineStr">
        <is>
          <t>서울시 강동구 천호동 287-16</t>
        </is>
      </c>
      <c r="AB3196" s="0" t="inlineStr">
        <is>
          <t>서울시</t>
        </is>
      </c>
      <c r="AC3196" s="0" t="inlineStr">
        <is>
          <t>강동구</t>
        </is>
      </c>
      <c r="AD3196" s="0" t="inlineStr">
        <is>
          <t>천호동</t>
        </is>
      </c>
      <c r="AG3196" s="0" t="inlineStr">
        <is>
          <t>서울시 강동구 올림픽로92길 7-9</t>
        </is>
      </c>
      <c r="AH3196" s="0" t="n">
        <v>0</v>
      </c>
      <c r="AI3196" s="0" t="n">
        <v>255</v>
      </c>
      <c r="AJ3196" s="0" t="n">
        <v>55</v>
      </c>
      <c r="AK3196" s="0" t="n">
        <v>19</v>
      </c>
      <c r="AL3196" s="0" t="n">
        <v>1</v>
      </c>
    </row>
    <row r="3197">
      <c r="A3197" s="0" t="inlineStr">
        <is>
          <t>[천호동]</t>
        </is>
      </c>
      <c r="B3197" s="0" t="n">
        <v>100678</v>
      </c>
      <c r="C3197" s="0" t="n">
        <v>5</v>
      </c>
      <c r="D3197" s="0" t="inlineStr">
        <is>
          <t>시티빌</t>
        </is>
      </c>
      <c r="E3197" s="0" t="inlineStr">
        <is>
          <t>2006.07.</t>
        </is>
      </c>
      <c r="F3197" s="0" t="n">
        <v>19</v>
      </c>
      <c r="G3197" s="0" t="n">
        <v>28.64</v>
      </c>
      <c r="H3197" s="0" t="n">
        <v>94.7</v>
      </c>
      <c r="I3197" s="0" t="n">
        <v>24.83</v>
      </c>
      <c r="J3197" s="0" t="n">
        <v>82.09</v>
      </c>
      <c r="K3197" s="0" t="n">
        <v>5</v>
      </c>
      <c r="T3197" s="0" t="n">
        <v>3</v>
      </c>
      <c r="U3197" s="0" t="n">
        <v>2</v>
      </c>
      <c r="V3197" s="0" t="inlineStr">
        <is>
          <t>계단식</t>
        </is>
      </c>
      <c r="W3197" s="0" t="inlineStr">
        <is>
          <t>94B</t>
        </is>
      </c>
      <c r="X3197" s="0" t="n">
        <v>6</v>
      </c>
      <c r="Y3197" s="0" t="n">
        <v>5</v>
      </c>
      <c r="Z3197" s="0" t="inlineStr">
        <is>
          <t>https://new.land.naver.com/complexes/100678?tab=detail&amp;rf=Y</t>
        </is>
      </c>
      <c r="AA3197" s="0" t="inlineStr">
        <is>
          <t>서울시 강동구 천호동 287-16</t>
        </is>
      </c>
      <c r="AB3197" s="0" t="inlineStr">
        <is>
          <t>서울시</t>
        </is>
      </c>
      <c r="AC3197" s="0" t="inlineStr">
        <is>
          <t>강동구</t>
        </is>
      </c>
      <c r="AD3197" s="0" t="inlineStr">
        <is>
          <t>천호동</t>
        </is>
      </c>
      <c r="AG3197" s="0" t="inlineStr">
        <is>
          <t>서울시 강동구 올림픽로92길 7-9</t>
        </is>
      </c>
      <c r="AH3197" s="0" t="n">
        <v>0</v>
      </c>
      <c r="AI3197" s="0" t="n">
        <v>255</v>
      </c>
      <c r="AJ3197" s="0" t="n">
        <v>55</v>
      </c>
      <c r="AK3197" s="0" t="n">
        <v>19</v>
      </c>
      <c r="AL3197" s="0" t="n">
        <v>1</v>
      </c>
    </row>
    <row r="3198">
      <c r="A3198" s="0" t="inlineStr">
        <is>
          <t>[천호동]</t>
        </is>
      </c>
      <c r="B3198" s="0" t="n">
        <v>100678</v>
      </c>
      <c r="C3198" s="0" t="n">
        <v>6</v>
      </c>
      <c r="D3198" s="0" t="inlineStr">
        <is>
          <t>시티빌</t>
        </is>
      </c>
      <c r="E3198" s="0" t="inlineStr">
        <is>
          <t>2006.07.</t>
        </is>
      </c>
      <c r="F3198" s="0" t="n">
        <v>19</v>
      </c>
      <c r="G3198" s="0" t="n">
        <v>28.86</v>
      </c>
      <c r="H3198" s="0" t="n">
        <v>95.42</v>
      </c>
      <c r="I3198" s="0" t="n">
        <v>25.01</v>
      </c>
      <c r="J3198" s="0" t="n">
        <v>82.70999999999999</v>
      </c>
      <c r="K3198" s="0" t="n">
        <v>1</v>
      </c>
      <c r="T3198" s="0" t="n">
        <v>3</v>
      </c>
      <c r="U3198" s="0" t="n">
        <v>2</v>
      </c>
      <c r="V3198" s="0" t="inlineStr">
        <is>
          <t>계단식</t>
        </is>
      </c>
      <c r="W3198" s="0" t="n">
        <v>95</v>
      </c>
      <c r="X3198" s="0" t="n">
        <v>6</v>
      </c>
      <c r="Y3198" s="0" t="n">
        <v>5</v>
      </c>
      <c r="Z3198" s="0" t="inlineStr">
        <is>
          <t>https://new.land.naver.com/complexes/100678?tab=detail&amp;rf=Y</t>
        </is>
      </c>
      <c r="AA3198" s="0" t="inlineStr">
        <is>
          <t>서울시 강동구 천호동 287-16</t>
        </is>
      </c>
      <c r="AB3198" s="0" t="inlineStr">
        <is>
          <t>서울시</t>
        </is>
      </c>
      <c r="AC3198" s="0" t="inlineStr">
        <is>
          <t>강동구</t>
        </is>
      </c>
      <c r="AD3198" s="0" t="inlineStr">
        <is>
          <t>천호동</t>
        </is>
      </c>
      <c r="AG3198" s="0" t="inlineStr">
        <is>
          <t>서울시 강동구 올림픽로92길 7-9</t>
        </is>
      </c>
      <c r="AH3198" s="0" t="n">
        <v>0</v>
      </c>
      <c r="AI3198" s="0" t="n">
        <v>255</v>
      </c>
      <c r="AJ3198" s="0" t="n">
        <v>55</v>
      </c>
      <c r="AK3198" s="0" t="n">
        <v>19</v>
      </c>
      <c r="AL3198" s="0" t="n">
        <v>1</v>
      </c>
    </row>
    <row r="3199">
      <c r="A3199" s="0" t="inlineStr">
        <is>
          <t>[천호동]</t>
        </is>
      </c>
      <c r="B3199" s="0" t="n">
        <v>100678</v>
      </c>
      <c r="C3199" s="0" t="n">
        <v>7</v>
      </c>
      <c r="D3199" s="0" t="inlineStr">
        <is>
          <t>시티빌</t>
        </is>
      </c>
      <c r="E3199" s="0" t="inlineStr">
        <is>
          <t>2006.07.</t>
        </is>
      </c>
      <c r="F3199" s="0" t="n">
        <v>19</v>
      </c>
      <c r="G3199" s="0" t="n">
        <v>29.06</v>
      </c>
      <c r="H3199" s="0" t="n">
        <v>96.09</v>
      </c>
      <c r="I3199" s="0" t="n">
        <v>25.19</v>
      </c>
      <c r="J3199" s="0" t="n">
        <v>83.29000000000001</v>
      </c>
      <c r="K3199" s="0" t="n">
        <v>6</v>
      </c>
      <c r="T3199" s="0" t="n">
        <v>3</v>
      </c>
      <c r="U3199" s="0" t="n">
        <v>2</v>
      </c>
      <c r="V3199" s="0" t="inlineStr">
        <is>
          <t>계단식</t>
        </is>
      </c>
      <c r="W3199" s="0" t="inlineStr">
        <is>
          <t>96A</t>
        </is>
      </c>
      <c r="X3199" s="0" t="n">
        <v>6</v>
      </c>
      <c r="Y3199" s="0" t="n">
        <v>5</v>
      </c>
      <c r="Z3199" s="0" t="inlineStr">
        <is>
          <t>https://new.land.naver.com/complexes/100678?tab=detail&amp;rf=Y</t>
        </is>
      </c>
      <c r="AA3199" s="0" t="inlineStr">
        <is>
          <t>서울시 강동구 천호동 287-16</t>
        </is>
      </c>
      <c r="AB3199" s="0" t="inlineStr">
        <is>
          <t>서울시</t>
        </is>
      </c>
      <c r="AC3199" s="0" t="inlineStr">
        <is>
          <t>강동구</t>
        </is>
      </c>
      <c r="AD3199" s="0" t="inlineStr">
        <is>
          <t>천호동</t>
        </is>
      </c>
      <c r="AG3199" s="0" t="inlineStr">
        <is>
          <t>서울시 강동구 올림픽로92길 7-9</t>
        </is>
      </c>
      <c r="AH3199" s="0" t="n">
        <v>0</v>
      </c>
      <c r="AI3199" s="0" t="n">
        <v>255</v>
      </c>
      <c r="AJ3199" s="0" t="n">
        <v>55</v>
      </c>
      <c r="AK3199" s="0" t="n">
        <v>19</v>
      </c>
      <c r="AL3199" s="0" t="n">
        <v>1</v>
      </c>
    </row>
    <row r="3200">
      <c r="A3200" s="0" t="inlineStr">
        <is>
          <t>[천호동]</t>
        </is>
      </c>
      <c r="B3200" s="0" t="n">
        <v>100678</v>
      </c>
      <c r="C3200" s="0" t="n">
        <v>8</v>
      </c>
      <c r="D3200" s="0" t="inlineStr">
        <is>
          <t>시티빌</t>
        </is>
      </c>
      <c r="E3200" s="0" t="inlineStr">
        <is>
          <t>2006.07.</t>
        </is>
      </c>
      <c r="F3200" s="0" t="n">
        <v>19</v>
      </c>
      <c r="G3200" s="0" t="n">
        <v>29.62</v>
      </c>
      <c r="H3200" s="0" t="n">
        <v>97.92</v>
      </c>
      <c r="I3200" s="0" t="n">
        <v>25.67</v>
      </c>
      <c r="J3200" s="0" t="n">
        <v>84.88</v>
      </c>
      <c r="K3200" s="0" t="n">
        <v>2</v>
      </c>
      <c r="T3200" s="0" t="n">
        <v>3</v>
      </c>
      <c r="U3200" s="0" t="n">
        <v>2</v>
      </c>
      <c r="V3200" s="0" t="inlineStr">
        <is>
          <t>계단식</t>
        </is>
      </c>
      <c r="W3200" s="0" t="inlineStr">
        <is>
          <t>97B</t>
        </is>
      </c>
      <c r="X3200" s="0" t="n">
        <v>6</v>
      </c>
      <c r="Y3200" s="0" t="n">
        <v>5</v>
      </c>
      <c r="Z3200" s="0" t="inlineStr">
        <is>
          <t>https://new.land.naver.com/complexes/100678?tab=detail&amp;rf=Y</t>
        </is>
      </c>
      <c r="AA3200" s="0" t="inlineStr">
        <is>
          <t>서울시 강동구 천호동 287-16</t>
        </is>
      </c>
      <c r="AB3200" s="0" t="inlineStr">
        <is>
          <t>서울시</t>
        </is>
      </c>
      <c r="AC3200" s="0" t="inlineStr">
        <is>
          <t>강동구</t>
        </is>
      </c>
      <c r="AD3200" s="0" t="inlineStr">
        <is>
          <t>천호동</t>
        </is>
      </c>
      <c r="AG3200" s="0" t="inlineStr">
        <is>
          <t>서울시 강동구 올림픽로92길 7-9</t>
        </is>
      </c>
      <c r="AH3200" s="0" t="n">
        <v>0</v>
      </c>
      <c r="AI3200" s="0" t="n">
        <v>255</v>
      </c>
      <c r="AJ3200" s="0" t="n">
        <v>55</v>
      </c>
      <c r="AK3200" s="0" t="n">
        <v>19</v>
      </c>
      <c r="AL3200" s="0" t="n">
        <v>1</v>
      </c>
    </row>
    <row r="3201">
      <c r="A3201" s="0" t="inlineStr">
        <is>
          <t>[천호동]</t>
        </is>
      </c>
      <c r="B3201" s="0" t="n">
        <v>119167</v>
      </c>
      <c r="C3201" s="0" t="n">
        <v>1</v>
      </c>
      <c r="D3201" s="0" t="inlineStr">
        <is>
          <t>다성이즈빌(55-20,도시형)</t>
        </is>
      </c>
      <c r="E3201" s="0" t="inlineStr">
        <is>
          <t>2013.03.</t>
        </is>
      </c>
      <c r="F3201" s="0" t="n">
        <v>20</v>
      </c>
      <c r="G3201" s="0" t="n">
        <v>6.65</v>
      </c>
      <c r="H3201" s="0" t="n">
        <v>21.99</v>
      </c>
      <c r="I3201" s="0" t="n">
        <v>5.16</v>
      </c>
      <c r="J3201" s="0" t="n">
        <v>17.09</v>
      </c>
      <c r="K3201" s="0" t="n">
        <v>5</v>
      </c>
      <c r="T3201" s="0" t="n">
        <v>1</v>
      </c>
      <c r="U3201" s="0" t="n">
        <v>1</v>
      </c>
      <c r="V3201" s="0" t="inlineStr">
        <is>
          <t>계단식</t>
        </is>
      </c>
      <c r="W3201" s="0" t="n">
        <v>21</v>
      </c>
      <c r="X3201" s="0" t="n">
        <v>6</v>
      </c>
      <c r="Y3201" s="0" t="n">
        <v>6</v>
      </c>
      <c r="Z3201" s="0" t="inlineStr">
        <is>
          <t>https://new.land.naver.com/complexes/119167?tab=detail&amp;rf=Y</t>
        </is>
      </c>
      <c r="AA3201" s="0" t="inlineStr">
        <is>
          <t>서울시 강동구 천호동 55-20</t>
        </is>
      </c>
      <c r="AB3201" s="0" t="inlineStr">
        <is>
          <t>서울시</t>
        </is>
      </c>
      <c r="AC3201" s="0" t="inlineStr">
        <is>
          <t>강동구</t>
        </is>
      </c>
      <c r="AD3201" s="0" t="inlineStr">
        <is>
          <t>천호동</t>
        </is>
      </c>
      <c r="AG3201" s="0" t="inlineStr">
        <is>
          <t>서울시 강동구 천중로35가길 42</t>
        </is>
      </c>
      <c r="AH3201" s="0" t="n">
        <v>0</v>
      </c>
      <c r="AI3201" s="0" t="n">
        <v>196</v>
      </c>
      <c r="AJ3201" s="0" t="n">
        <v>49</v>
      </c>
      <c r="AK3201" s="0" t="n">
        <v>10</v>
      </c>
      <c r="AL3201" s="0" t="n">
        <v>0.5</v>
      </c>
    </row>
    <row r="3202">
      <c r="A3202" s="0" t="inlineStr">
        <is>
          <t>[천호동]</t>
        </is>
      </c>
      <c r="B3202" s="0" t="n">
        <v>119167</v>
      </c>
      <c r="C3202" s="0" t="n">
        <v>2</v>
      </c>
      <c r="D3202" s="0" t="inlineStr">
        <is>
          <t>다성이즈빌(55-20,도시형)</t>
        </is>
      </c>
      <c r="E3202" s="0" t="inlineStr">
        <is>
          <t>2013.03.</t>
        </is>
      </c>
      <c r="F3202" s="0" t="n">
        <v>20</v>
      </c>
      <c r="G3202" s="0" t="n">
        <v>10.58</v>
      </c>
      <c r="H3202" s="0" t="n">
        <v>34.99</v>
      </c>
      <c r="I3202" s="0" t="n">
        <v>8.220000000000001</v>
      </c>
      <c r="J3202" s="0" t="n">
        <v>27.19</v>
      </c>
      <c r="K3202" s="0" t="n">
        <v>5</v>
      </c>
      <c r="T3202" s="0" t="n">
        <v>2</v>
      </c>
      <c r="U3202" s="0" t="n">
        <v>1</v>
      </c>
      <c r="V3202" s="0" t="inlineStr">
        <is>
          <t>계단식</t>
        </is>
      </c>
      <c r="W3202" s="0" t="inlineStr">
        <is>
          <t>34A</t>
        </is>
      </c>
      <c r="X3202" s="0" t="n">
        <v>6</v>
      </c>
      <c r="Y3202" s="0" t="n">
        <v>6</v>
      </c>
      <c r="Z3202" s="0" t="inlineStr">
        <is>
          <t>https://new.land.naver.com/complexes/119167?tab=detail&amp;rf=Y</t>
        </is>
      </c>
      <c r="AA3202" s="0" t="inlineStr">
        <is>
          <t>서울시 강동구 천호동 55-20</t>
        </is>
      </c>
      <c r="AB3202" s="0" t="inlineStr">
        <is>
          <t>서울시</t>
        </is>
      </c>
      <c r="AC3202" s="0" t="inlineStr">
        <is>
          <t>강동구</t>
        </is>
      </c>
      <c r="AD3202" s="0" t="inlineStr">
        <is>
          <t>천호동</t>
        </is>
      </c>
      <c r="AG3202" s="0" t="inlineStr">
        <is>
          <t>서울시 강동구 천중로35가길 42</t>
        </is>
      </c>
      <c r="AH3202" s="0" t="n">
        <v>0</v>
      </c>
      <c r="AI3202" s="0" t="n">
        <v>196</v>
      </c>
      <c r="AJ3202" s="0" t="n">
        <v>49</v>
      </c>
      <c r="AK3202" s="0" t="n">
        <v>10</v>
      </c>
      <c r="AL3202" s="0" t="n">
        <v>0.5</v>
      </c>
    </row>
    <row r="3203">
      <c r="A3203" s="0" t="inlineStr">
        <is>
          <t>[천호동]</t>
        </is>
      </c>
      <c r="B3203" s="0" t="n">
        <v>119167</v>
      </c>
      <c r="C3203" s="0" t="n">
        <v>3</v>
      </c>
      <c r="D3203" s="0" t="inlineStr">
        <is>
          <t>다성이즈빌(55-20,도시형)</t>
        </is>
      </c>
      <c r="E3203" s="0" t="inlineStr">
        <is>
          <t>2013.03.</t>
        </is>
      </c>
      <c r="F3203" s="0" t="n">
        <v>20</v>
      </c>
      <c r="G3203" s="0" t="n">
        <v>11.02</v>
      </c>
      <c r="H3203" s="0" t="n">
        <v>36.44</v>
      </c>
      <c r="I3203" s="0" t="n">
        <v>8.56</v>
      </c>
      <c r="J3203" s="0" t="n">
        <v>28.32</v>
      </c>
      <c r="K3203" s="0" t="n">
        <v>10</v>
      </c>
      <c r="T3203" s="0" t="n">
        <v>1</v>
      </c>
      <c r="U3203" s="0" t="n">
        <v>1</v>
      </c>
      <c r="V3203" s="0" t="inlineStr">
        <is>
          <t>계단식</t>
        </is>
      </c>
      <c r="W3203" s="0" t="inlineStr">
        <is>
          <t>36B</t>
        </is>
      </c>
      <c r="X3203" s="0" t="n">
        <v>6</v>
      </c>
      <c r="Y3203" s="0" t="n">
        <v>6</v>
      </c>
      <c r="Z3203" s="0" t="inlineStr">
        <is>
          <t>https://new.land.naver.com/complexes/119167?tab=detail&amp;rf=Y</t>
        </is>
      </c>
      <c r="AA3203" s="0" t="inlineStr">
        <is>
          <t>서울시 강동구 천호동 55-20</t>
        </is>
      </c>
      <c r="AB3203" s="0" t="inlineStr">
        <is>
          <t>서울시</t>
        </is>
      </c>
      <c r="AC3203" s="0" t="inlineStr">
        <is>
          <t>강동구</t>
        </is>
      </c>
      <c r="AD3203" s="0" t="inlineStr">
        <is>
          <t>천호동</t>
        </is>
      </c>
      <c r="AG3203" s="0" t="inlineStr">
        <is>
          <t>서울시 강동구 천중로35가길 42</t>
        </is>
      </c>
      <c r="AH3203" s="0" t="n">
        <v>0</v>
      </c>
      <c r="AI3203" s="0" t="n">
        <v>196</v>
      </c>
      <c r="AJ3203" s="0" t="n">
        <v>49</v>
      </c>
      <c r="AK3203" s="0" t="n">
        <v>10</v>
      </c>
      <c r="AL3203" s="0" t="n">
        <v>0.5</v>
      </c>
    </row>
    <row r="3204">
      <c r="A3204" s="0" t="inlineStr">
        <is>
          <t>[천호동]</t>
        </is>
      </c>
      <c r="B3204" s="0" t="n">
        <v>133402</v>
      </c>
      <c r="C3204" s="0" t="n">
        <v>1</v>
      </c>
      <c r="D3204" s="0" t="inlineStr">
        <is>
          <t>미사아름채</t>
        </is>
      </c>
      <c r="E3204" s="0" t="inlineStr">
        <is>
          <t>2020.02.</t>
        </is>
      </c>
      <c r="F3204" s="0" t="n">
        <v>1</v>
      </c>
      <c r="G3204" s="0" t="n">
        <v>13.55</v>
      </c>
      <c r="H3204" s="0" t="n">
        <v>44.82</v>
      </c>
      <c r="I3204" s="0" t="n">
        <v>7.99</v>
      </c>
      <c r="J3204" s="0" t="n">
        <v>26.42</v>
      </c>
      <c r="K3204" s="0" t="n">
        <v>1</v>
      </c>
      <c r="T3204" s="0" t="n">
        <v>2</v>
      </c>
      <c r="U3204" s="0" t="n">
        <v>1</v>
      </c>
      <c r="V3204" s="0" t="inlineStr">
        <is>
          <t>계단식</t>
        </is>
      </c>
      <c r="W3204" s="0" t="n">
        <v>44</v>
      </c>
      <c r="X3204" s="0" t="n">
        <v>16</v>
      </c>
      <c r="Y3204" s="0" t="n">
        <v>16</v>
      </c>
      <c r="Z3204" s="0" t="inlineStr">
        <is>
          <t>https://new.land.naver.com/complexes/133402?tab=detail&amp;rf=Y</t>
        </is>
      </c>
      <c r="AA3204" s="0" t="inlineStr">
        <is>
          <t>서울시 강동구 천호동 452-15</t>
        </is>
      </c>
      <c r="AB3204" s="0" t="inlineStr">
        <is>
          <t>서울시</t>
        </is>
      </c>
      <c r="AC3204" s="0" t="inlineStr">
        <is>
          <t>강동구</t>
        </is>
      </c>
      <c r="AD3204" s="0" t="inlineStr">
        <is>
          <t>천호동</t>
        </is>
      </c>
      <c r="AG3204" s="0" t="inlineStr">
        <is>
          <t>서울시 강동구 천호대로159길 22-24</t>
        </is>
      </c>
      <c r="AH3204" s="0" t="n">
        <v>0</v>
      </c>
      <c r="AI3204" s="0" t="n">
        <v>553</v>
      </c>
      <c r="AJ3204" s="0" t="n">
        <v>59</v>
      </c>
      <c r="AK3204" s="0" t="n">
        <v>0</v>
      </c>
      <c r="AL3204" s="0" t="n">
        <v>0</v>
      </c>
    </row>
    <row r="3205">
      <c r="A3205" s="0" t="inlineStr">
        <is>
          <t>[천호동]</t>
        </is>
      </c>
      <c r="B3205" s="0" t="n">
        <v>107190</v>
      </c>
      <c r="C3205" s="0" t="n">
        <v>1</v>
      </c>
      <c r="D3205" s="0" t="inlineStr">
        <is>
          <t>대명에버빌</t>
        </is>
      </c>
      <c r="E3205" s="0" t="inlineStr">
        <is>
          <t>2004.05.</t>
        </is>
      </c>
      <c r="F3205" s="0" t="n">
        <v>18</v>
      </c>
      <c r="G3205" s="0" t="n">
        <v>31.8</v>
      </c>
      <c r="H3205" s="0" t="n">
        <v>105.15</v>
      </c>
      <c r="I3205" s="0" t="n">
        <v>25.69</v>
      </c>
      <c r="J3205" s="0" t="n">
        <v>84.95</v>
      </c>
      <c r="K3205" s="0" t="n">
        <v>12</v>
      </c>
      <c r="T3205" s="0" t="n">
        <v>4</v>
      </c>
      <c r="U3205" s="0" t="n">
        <v>2</v>
      </c>
      <c r="V3205" s="0" t="inlineStr">
        <is>
          <t>복도식</t>
        </is>
      </c>
      <c r="W3205" s="0" t="n">
        <v>105</v>
      </c>
      <c r="X3205" s="0" t="n">
        <v>7</v>
      </c>
      <c r="Y3205" s="0" t="n">
        <v>7</v>
      </c>
      <c r="Z3205" s="0" t="inlineStr">
        <is>
          <t>https://new.land.naver.com/complexes/107190?tab=detail&amp;rf=Y</t>
        </is>
      </c>
      <c r="AA3205" s="0" t="inlineStr">
        <is>
          <t>서울시 강동구 천호동 54-4</t>
        </is>
      </c>
      <c r="AB3205" s="0" t="inlineStr">
        <is>
          <t>서울시</t>
        </is>
      </c>
      <c r="AC3205" s="0" t="inlineStr">
        <is>
          <t>강동구</t>
        </is>
      </c>
      <c r="AD3205" s="0" t="inlineStr">
        <is>
          <t>천호동</t>
        </is>
      </c>
      <c r="AG3205" s="0" t="inlineStr">
        <is>
          <t>서울시 강동구 천중로39길 19-17</t>
        </is>
      </c>
      <c r="AH3205" s="0" t="n">
        <v>0</v>
      </c>
      <c r="AI3205" s="0" t="n">
        <v>232</v>
      </c>
      <c r="AJ3205" s="0" t="n">
        <v>42</v>
      </c>
      <c r="AK3205" s="0" t="n">
        <v>24</v>
      </c>
      <c r="AL3205" s="0" t="n">
        <v>1.33</v>
      </c>
    </row>
    <row r="3206">
      <c r="A3206" s="0" t="inlineStr">
        <is>
          <t>[천호동]</t>
        </is>
      </c>
      <c r="B3206" s="0" t="n">
        <v>107190</v>
      </c>
      <c r="C3206" s="0" t="n">
        <v>2</v>
      </c>
      <c r="D3206" s="0" t="inlineStr">
        <is>
          <t>대명에버빌</t>
        </is>
      </c>
      <c r="E3206" s="0" t="inlineStr">
        <is>
          <t>2004.05.</t>
        </is>
      </c>
      <c r="F3206" s="0" t="n">
        <v>18</v>
      </c>
      <c r="G3206" s="0" t="n">
        <v>39.55</v>
      </c>
      <c r="H3206" s="0" t="n">
        <v>130.75</v>
      </c>
      <c r="I3206" s="0" t="n">
        <v>32.46</v>
      </c>
      <c r="J3206" s="0" t="n">
        <v>107.31</v>
      </c>
      <c r="K3206" s="0" t="n">
        <v>6</v>
      </c>
      <c r="T3206" s="0" t="n">
        <v>3</v>
      </c>
      <c r="U3206" s="0" t="n">
        <v>2</v>
      </c>
      <c r="V3206" s="0" t="inlineStr">
        <is>
          <t>계단식</t>
        </is>
      </c>
      <c r="W3206" s="0" t="n">
        <v>130</v>
      </c>
      <c r="X3206" s="0" t="n">
        <v>7</v>
      </c>
      <c r="Y3206" s="0" t="n">
        <v>7</v>
      </c>
      <c r="Z3206" s="0" t="inlineStr">
        <is>
          <t>https://new.land.naver.com/complexes/107190?tab=detail&amp;rf=Y</t>
        </is>
      </c>
      <c r="AA3206" s="0" t="inlineStr">
        <is>
          <t>서울시 강동구 천호동 54-4</t>
        </is>
      </c>
      <c r="AB3206" s="0" t="inlineStr">
        <is>
          <t>서울시</t>
        </is>
      </c>
      <c r="AC3206" s="0" t="inlineStr">
        <is>
          <t>강동구</t>
        </is>
      </c>
      <c r="AD3206" s="0" t="inlineStr">
        <is>
          <t>천호동</t>
        </is>
      </c>
      <c r="AG3206" s="0" t="inlineStr">
        <is>
          <t>서울시 강동구 천중로39길 19-17</t>
        </is>
      </c>
      <c r="AH3206" s="0" t="n">
        <v>0</v>
      </c>
      <c r="AI3206" s="0" t="n">
        <v>232</v>
      </c>
      <c r="AJ3206" s="0" t="n">
        <v>42</v>
      </c>
      <c r="AK3206" s="0" t="n">
        <v>24</v>
      </c>
      <c r="AL3206" s="0" t="n">
        <v>1.33</v>
      </c>
    </row>
    <row r="3207">
      <c r="A3207" s="0" t="inlineStr">
        <is>
          <t>[천호동]</t>
        </is>
      </c>
      <c r="B3207" s="0" t="n">
        <v>997</v>
      </c>
      <c r="C3207" s="0" t="n">
        <v>1</v>
      </c>
      <c r="D3207" s="0" t="inlineStr">
        <is>
          <t>천호삼성</t>
        </is>
      </c>
      <c r="E3207" s="0" t="inlineStr">
        <is>
          <t>1997.05.</t>
        </is>
      </c>
      <c r="F3207" s="0" t="n">
        <v>643</v>
      </c>
      <c r="G3207" s="0" t="n">
        <v>25.35</v>
      </c>
      <c r="H3207" s="0" t="n">
        <v>83.81</v>
      </c>
      <c r="I3207" s="0" t="n">
        <v>18.1</v>
      </c>
      <c r="J3207" s="0" t="n">
        <v>59.86</v>
      </c>
      <c r="K3207" s="0" t="n">
        <v>140</v>
      </c>
      <c r="T3207" s="0" t="n">
        <v>3</v>
      </c>
      <c r="U3207" s="0" t="n">
        <v>1</v>
      </c>
      <c r="V3207" s="0" t="inlineStr">
        <is>
          <t>복도식</t>
        </is>
      </c>
      <c r="W3207" s="0" t="n">
        <v>83</v>
      </c>
      <c r="X3207" s="0" t="n">
        <v>20</v>
      </c>
      <c r="Y3207" s="0" t="n">
        <v>19</v>
      </c>
      <c r="Z3207" s="0" t="inlineStr">
        <is>
          <t>https://new.land.naver.com/complexes/997?tab=detail&amp;rf=Y</t>
        </is>
      </c>
      <c r="AA3207" s="0" t="inlineStr">
        <is>
          <t>서울시 강동구 천호동 528</t>
        </is>
      </c>
      <c r="AB3207" s="0" t="inlineStr">
        <is>
          <t>서울시</t>
        </is>
      </c>
      <c r="AC3207" s="0" t="inlineStr">
        <is>
          <t>강동구</t>
        </is>
      </c>
      <c r="AD3207" s="0" t="inlineStr">
        <is>
          <t>천호동</t>
        </is>
      </c>
      <c r="AG3207" s="0" t="inlineStr">
        <is>
          <t>서울시 강동구 성안로25길 6</t>
        </is>
      </c>
      <c r="AH3207" s="0" t="n">
        <v>247</v>
      </c>
      <c r="AI3207" s="0" t="n">
        <v>335</v>
      </c>
      <c r="AJ3207" s="0" t="n">
        <v>19</v>
      </c>
      <c r="AK3207" s="0" t="n">
        <v>965</v>
      </c>
      <c r="AL3207" s="0" t="n">
        <v>1.5</v>
      </c>
    </row>
    <row r="3208">
      <c r="A3208" s="0" t="inlineStr">
        <is>
          <t>[천호동]</t>
        </is>
      </c>
      <c r="B3208" s="0" t="n">
        <v>997</v>
      </c>
      <c r="C3208" s="0" t="n">
        <v>2</v>
      </c>
      <c r="D3208" s="0" t="inlineStr">
        <is>
          <t>천호삼성</t>
        </is>
      </c>
      <c r="E3208" s="0" t="inlineStr">
        <is>
          <t>1997.05.</t>
        </is>
      </c>
      <c r="F3208" s="0" t="n">
        <v>643</v>
      </c>
      <c r="G3208" s="0" t="n">
        <v>33.15</v>
      </c>
      <c r="H3208" s="0" t="n">
        <v>109.59</v>
      </c>
      <c r="I3208" s="0" t="n">
        <v>25.7</v>
      </c>
      <c r="J3208" s="0" t="n">
        <v>84.97</v>
      </c>
      <c r="K3208" s="0" t="n">
        <v>138</v>
      </c>
      <c r="T3208" s="0" t="n">
        <v>3</v>
      </c>
      <c r="U3208" s="0" t="n">
        <v>2</v>
      </c>
      <c r="V3208" s="0" t="inlineStr">
        <is>
          <t>계단식</t>
        </is>
      </c>
      <c r="W3208" s="0" t="n">
        <v>109</v>
      </c>
      <c r="X3208" s="0" t="n">
        <v>20</v>
      </c>
      <c r="Y3208" s="0" t="n">
        <v>19</v>
      </c>
      <c r="Z3208" s="0" t="inlineStr">
        <is>
          <t>https://new.land.naver.com/complexes/997?tab=detail&amp;rf=Y</t>
        </is>
      </c>
      <c r="AA3208" s="0" t="inlineStr">
        <is>
          <t>서울시 강동구 천호동 528</t>
        </is>
      </c>
      <c r="AB3208" s="0" t="inlineStr">
        <is>
          <t>서울시</t>
        </is>
      </c>
      <c r="AC3208" s="0" t="inlineStr">
        <is>
          <t>강동구</t>
        </is>
      </c>
      <c r="AD3208" s="0" t="inlineStr">
        <is>
          <t>천호동</t>
        </is>
      </c>
      <c r="AG3208" s="0" t="inlineStr">
        <is>
          <t>서울시 강동구 성안로25길 6</t>
        </is>
      </c>
      <c r="AH3208" s="0" t="n">
        <v>247</v>
      </c>
      <c r="AI3208" s="0" t="n">
        <v>335</v>
      </c>
      <c r="AJ3208" s="0" t="n">
        <v>19</v>
      </c>
      <c r="AK3208" s="0" t="n">
        <v>965</v>
      </c>
      <c r="AL3208" s="0" t="n">
        <v>1.5</v>
      </c>
    </row>
    <row r="3209">
      <c r="A3209" s="0" t="inlineStr">
        <is>
          <t>[천호동]</t>
        </is>
      </c>
      <c r="B3209" s="0" t="n">
        <v>997</v>
      </c>
      <c r="C3209" s="0" t="n">
        <v>3</v>
      </c>
      <c r="D3209" s="0" t="inlineStr">
        <is>
          <t>천호삼성</t>
        </is>
      </c>
      <c r="E3209" s="0" t="inlineStr">
        <is>
          <t>1997.05.</t>
        </is>
      </c>
      <c r="F3209" s="0" t="n">
        <v>643</v>
      </c>
      <c r="G3209" s="0" t="n">
        <v>42.41</v>
      </c>
      <c r="H3209" s="0" t="n">
        <v>140.2</v>
      </c>
      <c r="I3209" s="0" t="n">
        <v>34.68</v>
      </c>
      <c r="J3209" s="0" t="n">
        <v>114.65</v>
      </c>
      <c r="K3209" s="0" t="n">
        <v>118</v>
      </c>
      <c r="T3209" s="0" t="n">
        <v>4</v>
      </c>
      <c r="U3209" s="0" t="n">
        <v>2</v>
      </c>
      <c r="V3209" s="0" t="inlineStr">
        <is>
          <t>계단식</t>
        </is>
      </c>
      <c r="W3209" s="0" t="n">
        <v>140</v>
      </c>
      <c r="X3209" s="0" t="n">
        <v>20</v>
      </c>
      <c r="Y3209" s="0" t="n">
        <v>19</v>
      </c>
      <c r="Z3209" s="0" t="inlineStr">
        <is>
          <t>https://new.land.naver.com/complexes/997?tab=detail&amp;rf=Y</t>
        </is>
      </c>
      <c r="AA3209" s="0" t="inlineStr">
        <is>
          <t>서울시 강동구 천호동 528</t>
        </is>
      </c>
      <c r="AB3209" s="0" t="inlineStr">
        <is>
          <t>서울시</t>
        </is>
      </c>
      <c r="AC3209" s="0" t="inlineStr">
        <is>
          <t>강동구</t>
        </is>
      </c>
      <c r="AD3209" s="0" t="inlineStr">
        <is>
          <t>천호동</t>
        </is>
      </c>
      <c r="AG3209" s="0" t="inlineStr">
        <is>
          <t>서울시 강동구 성안로25길 6</t>
        </is>
      </c>
      <c r="AH3209" s="0" t="n">
        <v>247</v>
      </c>
      <c r="AI3209" s="0" t="n">
        <v>335</v>
      </c>
      <c r="AJ3209" s="0" t="n">
        <v>19</v>
      </c>
      <c r="AK3209" s="0" t="n">
        <v>965</v>
      </c>
      <c r="AL3209" s="0" t="n">
        <v>1.5</v>
      </c>
    </row>
    <row r="3210">
      <c r="A3210" s="0" t="inlineStr">
        <is>
          <t>[천호동]</t>
        </is>
      </c>
      <c r="B3210" s="0" t="n">
        <v>121744</v>
      </c>
      <c r="C3210" s="0" t="n">
        <v>1</v>
      </c>
      <c r="D3210" s="0" t="inlineStr">
        <is>
          <t>플러스빌(도시형)</t>
        </is>
      </c>
      <c r="E3210" s="0" t="inlineStr">
        <is>
          <t>2011.04.</t>
        </is>
      </c>
      <c r="F3210" s="0" t="n">
        <v>25</v>
      </c>
      <c r="G3210" s="0" t="n">
        <v>7.22</v>
      </c>
      <c r="H3210" s="0" t="n">
        <v>23.88</v>
      </c>
      <c r="I3210" s="0" t="n">
        <v>5.48</v>
      </c>
      <c r="J3210" s="0" t="n">
        <v>18.13</v>
      </c>
      <c r="K3210" s="0" t="n">
        <v>8</v>
      </c>
      <c r="T3210" s="0" t="n">
        <v>1</v>
      </c>
      <c r="U3210" s="0" t="n">
        <v>1</v>
      </c>
      <c r="V3210" s="0" t="inlineStr">
        <is>
          <t>복도식</t>
        </is>
      </c>
      <c r="W3210" s="0" t="inlineStr">
        <is>
          <t>23A</t>
        </is>
      </c>
      <c r="X3210" s="0" t="n">
        <v>5</v>
      </c>
      <c r="Y3210" s="0" t="n">
        <v>3</v>
      </c>
      <c r="Z3210" s="0" t="inlineStr">
        <is>
          <t>https://new.land.naver.com/complexes/121744?tab=detail&amp;rf=Y</t>
        </is>
      </c>
      <c r="AA3210" s="0" t="inlineStr">
        <is>
          <t>서울시 강동구 천호동 32-7</t>
        </is>
      </c>
      <c r="AB3210" s="0" t="inlineStr">
        <is>
          <t>서울시</t>
        </is>
      </c>
      <c r="AC3210" s="0" t="inlineStr">
        <is>
          <t>강동구</t>
        </is>
      </c>
      <c r="AD3210" s="0" t="inlineStr">
        <is>
          <t>천호동</t>
        </is>
      </c>
      <c r="AG3210" s="0" t="inlineStr">
        <is>
          <t>서울시 강동구 구천면로68길 72-4</t>
        </is>
      </c>
      <c r="AH3210" s="0" t="n">
        <v>0</v>
      </c>
      <c r="AI3210" s="0" t="n">
        <v>211</v>
      </c>
      <c r="AJ3210" s="0" t="n">
        <v>59</v>
      </c>
      <c r="AK3210" s="0" t="n">
        <v>8</v>
      </c>
      <c r="AL3210" s="0" t="n">
        <v>0.32</v>
      </c>
    </row>
    <row r="3211">
      <c r="A3211" s="0" t="inlineStr">
        <is>
          <t>[천호동]</t>
        </is>
      </c>
      <c r="B3211" s="0" t="n">
        <v>121744</v>
      </c>
      <c r="C3211" s="0" t="n">
        <v>2</v>
      </c>
      <c r="D3211" s="0" t="inlineStr">
        <is>
          <t>플러스빌(도시형)</t>
        </is>
      </c>
      <c r="E3211" s="0" t="inlineStr">
        <is>
          <t>2011.04.</t>
        </is>
      </c>
      <c r="F3211" s="0" t="n">
        <v>25</v>
      </c>
      <c r="G3211" s="0" t="n">
        <v>7.31</v>
      </c>
      <c r="H3211" s="0" t="n">
        <v>24.19</v>
      </c>
      <c r="I3211" s="0" t="n">
        <v>5.49</v>
      </c>
      <c r="J3211" s="0" t="n">
        <v>18.15</v>
      </c>
      <c r="K3211" s="0" t="n">
        <v>2</v>
      </c>
      <c r="T3211" s="0" t="n">
        <v>1</v>
      </c>
      <c r="U3211" s="0" t="n">
        <v>1</v>
      </c>
      <c r="V3211" s="0" t="inlineStr">
        <is>
          <t>복도식</t>
        </is>
      </c>
      <c r="W3211" s="0" t="inlineStr">
        <is>
          <t>24B</t>
        </is>
      </c>
      <c r="X3211" s="0" t="n">
        <v>5</v>
      </c>
      <c r="Y3211" s="0" t="n">
        <v>3</v>
      </c>
      <c r="Z3211" s="0" t="inlineStr">
        <is>
          <t>https://new.land.naver.com/complexes/121744?tab=detail&amp;rf=Y</t>
        </is>
      </c>
      <c r="AA3211" s="0" t="inlineStr">
        <is>
          <t>서울시 강동구 천호동 32-7</t>
        </is>
      </c>
      <c r="AB3211" s="0" t="inlineStr">
        <is>
          <t>서울시</t>
        </is>
      </c>
      <c r="AC3211" s="0" t="inlineStr">
        <is>
          <t>강동구</t>
        </is>
      </c>
      <c r="AD3211" s="0" t="inlineStr">
        <is>
          <t>천호동</t>
        </is>
      </c>
      <c r="AG3211" s="0" t="inlineStr">
        <is>
          <t>서울시 강동구 구천면로68길 72-4</t>
        </is>
      </c>
      <c r="AH3211" s="0" t="n">
        <v>0</v>
      </c>
      <c r="AI3211" s="0" t="n">
        <v>211</v>
      </c>
      <c r="AJ3211" s="0" t="n">
        <v>59</v>
      </c>
      <c r="AK3211" s="0" t="n">
        <v>8</v>
      </c>
      <c r="AL3211" s="0" t="n">
        <v>0.32</v>
      </c>
    </row>
    <row r="3212">
      <c r="A3212" s="0" t="inlineStr">
        <is>
          <t>[천호동]</t>
        </is>
      </c>
      <c r="B3212" s="0" t="n">
        <v>121744</v>
      </c>
      <c r="C3212" s="0" t="n">
        <v>3</v>
      </c>
      <c r="D3212" s="0" t="inlineStr">
        <is>
          <t>플러스빌(도시형)</t>
        </is>
      </c>
      <c r="E3212" s="0" t="inlineStr">
        <is>
          <t>2011.04.</t>
        </is>
      </c>
      <c r="F3212" s="0" t="n">
        <v>25</v>
      </c>
      <c r="G3212" s="0" t="n">
        <v>7.76</v>
      </c>
      <c r="H3212" s="0" t="n">
        <v>25.67</v>
      </c>
      <c r="I3212" s="0" t="n">
        <v>5.87</v>
      </c>
      <c r="J3212" s="0" t="n">
        <v>19.41</v>
      </c>
      <c r="K3212" s="0" t="n">
        <v>2</v>
      </c>
      <c r="T3212" s="0" t="n">
        <v>1</v>
      </c>
      <c r="U3212" s="0" t="n">
        <v>1</v>
      </c>
      <c r="V3212" s="0" t="inlineStr">
        <is>
          <t>복도식</t>
        </is>
      </c>
      <c r="W3212" s="0" t="inlineStr">
        <is>
          <t>25A</t>
        </is>
      </c>
      <c r="X3212" s="0" t="n">
        <v>5</v>
      </c>
      <c r="Y3212" s="0" t="n">
        <v>3</v>
      </c>
      <c r="Z3212" s="0" t="inlineStr">
        <is>
          <t>https://new.land.naver.com/complexes/121744?tab=detail&amp;rf=Y</t>
        </is>
      </c>
      <c r="AA3212" s="0" t="inlineStr">
        <is>
          <t>서울시 강동구 천호동 32-7</t>
        </is>
      </c>
      <c r="AB3212" s="0" t="inlineStr">
        <is>
          <t>서울시</t>
        </is>
      </c>
      <c r="AC3212" s="0" t="inlineStr">
        <is>
          <t>강동구</t>
        </is>
      </c>
      <c r="AD3212" s="0" t="inlineStr">
        <is>
          <t>천호동</t>
        </is>
      </c>
      <c r="AG3212" s="0" t="inlineStr">
        <is>
          <t>서울시 강동구 구천면로68길 72-4</t>
        </is>
      </c>
      <c r="AH3212" s="0" t="n">
        <v>0</v>
      </c>
      <c r="AI3212" s="0" t="n">
        <v>211</v>
      </c>
      <c r="AJ3212" s="0" t="n">
        <v>59</v>
      </c>
      <c r="AK3212" s="0" t="n">
        <v>8</v>
      </c>
      <c r="AL3212" s="0" t="n">
        <v>0.32</v>
      </c>
    </row>
    <row r="3213">
      <c r="A3213" s="0" t="inlineStr">
        <is>
          <t>[천호동]</t>
        </is>
      </c>
      <c r="B3213" s="0" t="n">
        <v>121744</v>
      </c>
      <c r="C3213" s="0" t="n">
        <v>4</v>
      </c>
      <c r="D3213" s="0" t="inlineStr">
        <is>
          <t>플러스빌(도시형)</t>
        </is>
      </c>
      <c r="E3213" s="0" t="inlineStr">
        <is>
          <t>2011.04.</t>
        </is>
      </c>
      <c r="F3213" s="0" t="n">
        <v>25</v>
      </c>
      <c r="G3213" s="0" t="n">
        <v>7.84</v>
      </c>
      <c r="H3213" s="0" t="n">
        <v>25.93</v>
      </c>
      <c r="I3213" s="0" t="n">
        <v>4.8</v>
      </c>
      <c r="J3213" s="0" t="n">
        <v>15.87</v>
      </c>
      <c r="K3213" s="0" t="n">
        <v>2</v>
      </c>
      <c r="T3213" s="0" t="n">
        <v>1</v>
      </c>
      <c r="U3213" s="0" t="n">
        <v>1</v>
      </c>
      <c r="V3213" s="0" t="inlineStr">
        <is>
          <t>복도식</t>
        </is>
      </c>
      <c r="W3213" s="0" t="inlineStr">
        <is>
          <t>25B</t>
        </is>
      </c>
      <c r="X3213" s="0" t="n">
        <v>5</v>
      </c>
      <c r="Y3213" s="0" t="n">
        <v>3</v>
      </c>
      <c r="Z3213" s="0" t="inlineStr">
        <is>
          <t>https://new.land.naver.com/complexes/121744?tab=detail&amp;rf=Y</t>
        </is>
      </c>
      <c r="AA3213" s="0" t="inlineStr">
        <is>
          <t>서울시 강동구 천호동 32-7</t>
        </is>
      </c>
      <c r="AB3213" s="0" t="inlineStr">
        <is>
          <t>서울시</t>
        </is>
      </c>
      <c r="AC3213" s="0" t="inlineStr">
        <is>
          <t>강동구</t>
        </is>
      </c>
      <c r="AD3213" s="0" t="inlineStr">
        <is>
          <t>천호동</t>
        </is>
      </c>
      <c r="AG3213" s="0" t="inlineStr">
        <is>
          <t>서울시 강동구 구천면로68길 72-4</t>
        </is>
      </c>
      <c r="AH3213" s="0" t="n">
        <v>0</v>
      </c>
      <c r="AI3213" s="0" t="n">
        <v>211</v>
      </c>
      <c r="AJ3213" s="0" t="n">
        <v>59</v>
      </c>
      <c r="AK3213" s="0" t="n">
        <v>8</v>
      </c>
      <c r="AL3213" s="0" t="n">
        <v>0.32</v>
      </c>
    </row>
    <row r="3214">
      <c r="A3214" s="0" t="inlineStr">
        <is>
          <t>[천호동]</t>
        </is>
      </c>
      <c r="B3214" s="0" t="n">
        <v>121744</v>
      </c>
      <c r="C3214" s="0" t="n">
        <v>5</v>
      </c>
      <c r="D3214" s="0" t="inlineStr">
        <is>
          <t>플러스빌(도시형)</t>
        </is>
      </c>
      <c r="E3214" s="0" t="inlineStr">
        <is>
          <t>2011.04.</t>
        </is>
      </c>
      <c r="F3214" s="0" t="n">
        <v>25</v>
      </c>
      <c r="G3214" s="0" t="n">
        <v>7.62</v>
      </c>
      <c r="H3214" s="0" t="n">
        <v>25.22</v>
      </c>
      <c r="I3214" s="0" t="n">
        <v>5.75</v>
      </c>
      <c r="J3214" s="0" t="n">
        <v>19.03</v>
      </c>
      <c r="K3214" s="0" t="n">
        <v>2</v>
      </c>
      <c r="T3214" s="0" t="n">
        <v>1</v>
      </c>
      <c r="U3214" s="0" t="n">
        <v>1</v>
      </c>
      <c r="V3214" s="0" t="inlineStr">
        <is>
          <t>복도식</t>
        </is>
      </c>
      <c r="W3214" s="0" t="inlineStr">
        <is>
          <t>25C</t>
        </is>
      </c>
      <c r="X3214" s="0" t="n">
        <v>5</v>
      </c>
      <c r="Y3214" s="0" t="n">
        <v>3</v>
      </c>
      <c r="Z3214" s="0" t="inlineStr">
        <is>
          <t>https://new.land.naver.com/complexes/121744?tab=detail&amp;rf=Y</t>
        </is>
      </c>
      <c r="AA3214" s="0" t="inlineStr">
        <is>
          <t>서울시 강동구 천호동 32-7</t>
        </is>
      </c>
      <c r="AB3214" s="0" t="inlineStr">
        <is>
          <t>서울시</t>
        </is>
      </c>
      <c r="AC3214" s="0" t="inlineStr">
        <is>
          <t>강동구</t>
        </is>
      </c>
      <c r="AD3214" s="0" t="inlineStr">
        <is>
          <t>천호동</t>
        </is>
      </c>
      <c r="AG3214" s="0" t="inlineStr">
        <is>
          <t>서울시 강동구 구천면로68길 72-4</t>
        </is>
      </c>
      <c r="AH3214" s="0" t="n">
        <v>0</v>
      </c>
      <c r="AI3214" s="0" t="n">
        <v>211</v>
      </c>
      <c r="AJ3214" s="0" t="n">
        <v>59</v>
      </c>
      <c r="AK3214" s="0" t="n">
        <v>8</v>
      </c>
      <c r="AL3214" s="0" t="n">
        <v>0.32</v>
      </c>
    </row>
    <row r="3215">
      <c r="A3215" s="0" t="inlineStr">
        <is>
          <t>[천호동]</t>
        </is>
      </c>
      <c r="B3215" s="0" t="n">
        <v>121744</v>
      </c>
      <c r="C3215" s="0" t="n">
        <v>6</v>
      </c>
      <c r="D3215" s="0" t="inlineStr">
        <is>
          <t>플러스빌(도시형)</t>
        </is>
      </c>
      <c r="E3215" s="0" t="inlineStr">
        <is>
          <t>2011.04.</t>
        </is>
      </c>
      <c r="F3215" s="0" t="n">
        <v>25</v>
      </c>
      <c r="G3215" s="0" t="n">
        <v>7.61</v>
      </c>
      <c r="H3215" s="0" t="n">
        <v>25.18</v>
      </c>
      <c r="I3215" s="0" t="n">
        <v>4.57</v>
      </c>
      <c r="J3215" s="0" t="n">
        <v>15.14</v>
      </c>
      <c r="K3215" s="0" t="n">
        <v>1</v>
      </c>
      <c r="T3215" s="0" t="n">
        <v>1</v>
      </c>
      <c r="U3215" s="0" t="n">
        <v>1</v>
      </c>
      <c r="V3215" s="0" t="inlineStr">
        <is>
          <t>복도식</t>
        </is>
      </c>
      <c r="W3215" s="0" t="inlineStr">
        <is>
          <t>25A</t>
        </is>
      </c>
      <c r="X3215" s="0" t="n">
        <v>5</v>
      </c>
      <c r="Y3215" s="0" t="n">
        <v>3</v>
      </c>
      <c r="Z3215" s="0" t="inlineStr">
        <is>
          <t>https://new.land.naver.com/complexes/121744?tab=detail&amp;rf=Y</t>
        </is>
      </c>
      <c r="AA3215" s="0" t="inlineStr">
        <is>
          <t>서울시 강동구 천호동 32-7</t>
        </is>
      </c>
      <c r="AB3215" s="0" t="inlineStr">
        <is>
          <t>서울시</t>
        </is>
      </c>
      <c r="AC3215" s="0" t="inlineStr">
        <is>
          <t>강동구</t>
        </is>
      </c>
      <c r="AD3215" s="0" t="inlineStr">
        <is>
          <t>천호동</t>
        </is>
      </c>
      <c r="AG3215" s="0" t="inlineStr">
        <is>
          <t>서울시 강동구 구천면로68길 72-4</t>
        </is>
      </c>
      <c r="AH3215" s="0" t="n">
        <v>0</v>
      </c>
      <c r="AI3215" s="0" t="n">
        <v>211</v>
      </c>
      <c r="AJ3215" s="0" t="n">
        <v>59</v>
      </c>
      <c r="AK3215" s="0" t="n">
        <v>8</v>
      </c>
      <c r="AL3215" s="0" t="n">
        <v>0.32</v>
      </c>
    </row>
    <row r="3216">
      <c r="A3216" s="0" t="inlineStr">
        <is>
          <t>[천호동]</t>
        </is>
      </c>
      <c r="B3216" s="0" t="n">
        <v>121744</v>
      </c>
      <c r="C3216" s="0" t="n">
        <v>7</v>
      </c>
      <c r="D3216" s="0" t="inlineStr">
        <is>
          <t>플러스빌(도시형)</t>
        </is>
      </c>
      <c r="E3216" s="0" t="inlineStr">
        <is>
          <t>2011.04.</t>
        </is>
      </c>
      <c r="F3216" s="0" t="n">
        <v>25</v>
      </c>
      <c r="G3216" s="0" t="n">
        <v>8.32</v>
      </c>
      <c r="H3216" s="0" t="n">
        <v>27.52</v>
      </c>
      <c r="I3216" s="0" t="n">
        <v>6.23</v>
      </c>
      <c r="J3216" s="0" t="n">
        <v>20.6</v>
      </c>
      <c r="K3216" s="0" t="n">
        <v>1</v>
      </c>
      <c r="T3216" s="0" t="n">
        <v>1</v>
      </c>
      <c r="U3216" s="0" t="n">
        <v>1</v>
      </c>
      <c r="V3216" s="0" t="inlineStr">
        <is>
          <t>복도식</t>
        </is>
      </c>
      <c r="W3216" s="0" t="inlineStr">
        <is>
          <t>27D</t>
        </is>
      </c>
      <c r="X3216" s="0" t="n">
        <v>5</v>
      </c>
      <c r="Y3216" s="0" t="n">
        <v>3</v>
      </c>
      <c r="Z3216" s="0" t="inlineStr">
        <is>
          <t>https://new.land.naver.com/complexes/121744?tab=detail&amp;rf=Y</t>
        </is>
      </c>
      <c r="AA3216" s="0" t="inlineStr">
        <is>
          <t>서울시 강동구 천호동 32-7</t>
        </is>
      </c>
      <c r="AB3216" s="0" t="inlineStr">
        <is>
          <t>서울시</t>
        </is>
      </c>
      <c r="AC3216" s="0" t="inlineStr">
        <is>
          <t>강동구</t>
        </is>
      </c>
      <c r="AD3216" s="0" t="inlineStr">
        <is>
          <t>천호동</t>
        </is>
      </c>
      <c r="AG3216" s="0" t="inlineStr">
        <is>
          <t>서울시 강동구 구천면로68길 72-4</t>
        </is>
      </c>
      <c r="AH3216" s="0" t="n">
        <v>0</v>
      </c>
      <c r="AI3216" s="0" t="n">
        <v>211</v>
      </c>
      <c r="AJ3216" s="0" t="n">
        <v>59</v>
      </c>
      <c r="AK3216" s="0" t="n">
        <v>8</v>
      </c>
      <c r="AL3216" s="0" t="n">
        <v>0.32</v>
      </c>
    </row>
    <row r="3217">
      <c r="A3217" s="0" t="inlineStr">
        <is>
          <t>[천호동]</t>
        </is>
      </c>
      <c r="B3217" s="0" t="n">
        <v>121744</v>
      </c>
      <c r="C3217" s="0" t="n">
        <v>8</v>
      </c>
      <c r="D3217" s="0" t="inlineStr">
        <is>
          <t>플러스빌(도시형)</t>
        </is>
      </c>
      <c r="E3217" s="0" t="inlineStr">
        <is>
          <t>2011.04.</t>
        </is>
      </c>
      <c r="F3217" s="0" t="n">
        <v>25</v>
      </c>
      <c r="G3217" s="0" t="n">
        <v>8.58</v>
      </c>
      <c r="H3217" s="0" t="n">
        <v>28.39</v>
      </c>
      <c r="I3217" s="0" t="n">
        <v>5.87</v>
      </c>
      <c r="J3217" s="0" t="n">
        <v>19.41</v>
      </c>
      <c r="K3217" s="0" t="n">
        <v>3</v>
      </c>
      <c r="T3217" s="0" t="n">
        <v>1</v>
      </c>
      <c r="U3217" s="0" t="n">
        <v>1</v>
      </c>
      <c r="V3217" s="0" t="inlineStr">
        <is>
          <t>복도식</t>
        </is>
      </c>
      <c r="W3217" s="0" t="inlineStr">
        <is>
          <t>28B</t>
        </is>
      </c>
      <c r="X3217" s="0" t="n">
        <v>5</v>
      </c>
      <c r="Y3217" s="0" t="n">
        <v>3</v>
      </c>
      <c r="Z3217" s="0" t="inlineStr">
        <is>
          <t>https://new.land.naver.com/complexes/121744?tab=detail&amp;rf=Y</t>
        </is>
      </c>
      <c r="AA3217" s="0" t="inlineStr">
        <is>
          <t>서울시 강동구 천호동 32-7</t>
        </is>
      </c>
      <c r="AB3217" s="0" t="inlineStr">
        <is>
          <t>서울시</t>
        </is>
      </c>
      <c r="AC3217" s="0" t="inlineStr">
        <is>
          <t>강동구</t>
        </is>
      </c>
      <c r="AD3217" s="0" t="inlineStr">
        <is>
          <t>천호동</t>
        </is>
      </c>
      <c r="AG3217" s="0" t="inlineStr">
        <is>
          <t>서울시 강동구 구천면로68길 72-4</t>
        </is>
      </c>
      <c r="AH3217" s="0" t="n">
        <v>0</v>
      </c>
      <c r="AI3217" s="0" t="n">
        <v>211</v>
      </c>
      <c r="AJ3217" s="0" t="n">
        <v>59</v>
      </c>
      <c r="AK3217" s="0" t="n">
        <v>8</v>
      </c>
      <c r="AL3217" s="0" t="n">
        <v>0.32</v>
      </c>
    </row>
    <row r="3218">
      <c r="A3218" s="0" t="inlineStr">
        <is>
          <t>[천호동]</t>
        </is>
      </c>
      <c r="B3218" s="0" t="n">
        <v>121744</v>
      </c>
      <c r="C3218" s="0" t="n">
        <v>9</v>
      </c>
      <c r="D3218" s="0" t="inlineStr">
        <is>
          <t>플러스빌(도시형)</t>
        </is>
      </c>
      <c r="E3218" s="0" t="inlineStr">
        <is>
          <t>2011.04.</t>
        </is>
      </c>
      <c r="F3218" s="0" t="n">
        <v>25</v>
      </c>
      <c r="G3218" s="0" t="n">
        <v>10.23</v>
      </c>
      <c r="H3218" s="0" t="n">
        <v>33.83</v>
      </c>
      <c r="I3218" s="0" t="n">
        <v>6.27</v>
      </c>
      <c r="J3218" s="0" t="n">
        <v>20.73</v>
      </c>
      <c r="K3218" s="0" t="n">
        <v>1</v>
      </c>
      <c r="T3218" s="0" t="n">
        <v>1</v>
      </c>
      <c r="U3218" s="0" t="n">
        <v>1</v>
      </c>
      <c r="V3218" s="0" t="inlineStr">
        <is>
          <t>복도식</t>
        </is>
      </c>
      <c r="W3218" s="0" t="n">
        <v>33</v>
      </c>
      <c r="X3218" s="0" t="n">
        <v>5</v>
      </c>
      <c r="Y3218" s="0" t="n">
        <v>3</v>
      </c>
      <c r="Z3218" s="0" t="inlineStr">
        <is>
          <t>https://new.land.naver.com/complexes/121744?tab=detail&amp;rf=Y</t>
        </is>
      </c>
      <c r="AA3218" s="0" t="inlineStr">
        <is>
          <t>서울시 강동구 천호동 32-7</t>
        </is>
      </c>
      <c r="AB3218" s="0" t="inlineStr">
        <is>
          <t>서울시</t>
        </is>
      </c>
      <c r="AC3218" s="0" t="inlineStr">
        <is>
          <t>강동구</t>
        </is>
      </c>
      <c r="AD3218" s="0" t="inlineStr">
        <is>
          <t>천호동</t>
        </is>
      </c>
      <c r="AG3218" s="0" t="inlineStr">
        <is>
          <t>서울시 강동구 구천면로68길 72-4</t>
        </is>
      </c>
      <c r="AH3218" s="0" t="n">
        <v>0</v>
      </c>
      <c r="AI3218" s="0" t="n">
        <v>211</v>
      </c>
      <c r="AJ3218" s="0" t="n">
        <v>59</v>
      </c>
      <c r="AK3218" s="0" t="n">
        <v>8</v>
      </c>
      <c r="AL3218" s="0" t="n">
        <v>0.32</v>
      </c>
    </row>
    <row r="3219">
      <c r="A3219" s="0" t="inlineStr">
        <is>
          <t>[천호동]</t>
        </is>
      </c>
      <c r="B3219" s="0" t="n">
        <v>121744</v>
      </c>
      <c r="C3219" s="0" t="n">
        <v>10</v>
      </c>
      <c r="D3219" s="0" t="inlineStr">
        <is>
          <t>플러스빌(도시형)</t>
        </is>
      </c>
      <c r="E3219" s="0" t="inlineStr">
        <is>
          <t>2011.04.</t>
        </is>
      </c>
      <c r="F3219" s="0" t="n">
        <v>25</v>
      </c>
      <c r="G3219" s="0" t="n">
        <v>14.4</v>
      </c>
      <c r="H3219" s="0" t="n">
        <v>47.61</v>
      </c>
      <c r="I3219" s="0" t="n">
        <v>12.3</v>
      </c>
      <c r="J3219" s="0" t="n">
        <v>40.69</v>
      </c>
      <c r="K3219" s="0" t="n">
        <v>1</v>
      </c>
      <c r="T3219" s="0" t="n">
        <v>1</v>
      </c>
      <c r="U3219" s="0" t="n">
        <v>1</v>
      </c>
      <c r="V3219" s="0" t="inlineStr">
        <is>
          <t>복도식</t>
        </is>
      </c>
      <c r="W3219" s="0" t="n">
        <v>47</v>
      </c>
      <c r="X3219" s="0" t="n">
        <v>5</v>
      </c>
      <c r="Y3219" s="0" t="n">
        <v>3</v>
      </c>
      <c r="Z3219" s="0" t="inlineStr">
        <is>
          <t>https://new.land.naver.com/complexes/121744?tab=detail&amp;rf=Y</t>
        </is>
      </c>
      <c r="AA3219" s="0" t="inlineStr">
        <is>
          <t>서울시 강동구 천호동 32-7</t>
        </is>
      </c>
      <c r="AB3219" s="0" t="inlineStr">
        <is>
          <t>서울시</t>
        </is>
      </c>
      <c r="AC3219" s="0" t="inlineStr">
        <is>
          <t>강동구</t>
        </is>
      </c>
      <c r="AD3219" s="0" t="inlineStr">
        <is>
          <t>천호동</t>
        </is>
      </c>
      <c r="AG3219" s="0" t="inlineStr">
        <is>
          <t>서울시 강동구 구천면로68길 72-4</t>
        </is>
      </c>
      <c r="AH3219" s="0" t="n">
        <v>0</v>
      </c>
      <c r="AI3219" s="0" t="n">
        <v>211</v>
      </c>
      <c r="AJ3219" s="0" t="n">
        <v>59</v>
      </c>
      <c r="AK3219" s="0" t="n">
        <v>8</v>
      </c>
      <c r="AL3219" s="0" t="n">
        <v>0.32</v>
      </c>
    </row>
    <row r="3220">
      <c r="A3220" s="0" t="inlineStr">
        <is>
          <t>[천호동]</t>
        </is>
      </c>
      <c r="B3220" s="0" t="n">
        <v>121744</v>
      </c>
      <c r="C3220" s="0" t="n">
        <v>11</v>
      </c>
      <c r="D3220" s="0" t="inlineStr">
        <is>
          <t>플러스빌(도시형)</t>
        </is>
      </c>
      <c r="E3220" s="0" t="inlineStr">
        <is>
          <t>2011.04.</t>
        </is>
      </c>
      <c r="F3220" s="0" t="n">
        <v>25</v>
      </c>
      <c r="G3220" s="0" t="n">
        <v>15.69</v>
      </c>
      <c r="H3220" s="0" t="n">
        <v>51.88</v>
      </c>
      <c r="I3220" s="0" t="n">
        <v>12.49</v>
      </c>
      <c r="J3220" s="0" t="n">
        <v>41.29</v>
      </c>
      <c r="K3220" s="0" t="n">
        <v>1</v>
      </c>
      <c r="T3220" s="0" t="n">
        <v>1</v>
      </c>
      <c r="U3220" s="0" t="n">
        <v>1</v>
      </c>
      <c r="V3220" s="0" t="inlineStr">
        <is>
          <t>복도식</t>
        </is>
      </c>
      <c r="W3220" s="0" t="inlineStr">
        <is>
          <t>51B</t>
        </is>
      </c>
      <c r="X3220" s="0" t="n">
        <v>5</v>
      </c>
      <c r="Y3220" s="0" t="n">
        <v>3</v>
      </c>
      <c r="Z3220" s="0" t="inlineStr">
        <is>
          <t>https://new.land.naver.com/complexes/121744?tab=detail&amp;rf=Y</t>
        </is>
      </c>
      <c r="AA3220" s="0" t="inlineStr">
        <is>
          <t>서울시 강동구 천호동 32-7</t>
        </is>
      </c>
      <c r="AB3220" s="0" t="inlineStr">
        <is>
          <t>서울시</t>
        </is>
      </c>
      <c r="AC3220" s="0" t="inlineStr">
        <is>
          <t>강동구</t>
        </is>
      </c>
      <c r="AD3220" s="0" t="inlineStr">
        <is>
          <t>천호동</t>
        </is>
      </c>
      <c r="AG3220" s="0" t="inlineStr">
        <is>
          <t>서울시 강동구 구천면로68길 72-4</t>
        </is>
      </c>
      <c r="AH3220" s="0" t="n">
        <v>0</v>
      </c>
      <c r="AI3220" s="0" t="n">
        <v>211</v>
      </c>
      <c r="AJ3220" s="0" t="n">
        <v>59</v>
      </c>
      <c r="AK3220" s="0" t="n">
        <v>8</v>
      </c>
      <c r="AL3220" s="0" t="n">
        <v>0.32</v>
      </c>
    </row>
    <row r="3221">
      <c r="A3221" s="0" t="inlineStr">
        <is>
          <t>[천호동]</t>
        </is>
      </c>
      <c r="B3221" s="0" t="n">
        <v>121744</v>
      </c>
      <c r="C3221" s="0" t="n">
        <v>12</v>
      </c>
      <c r="D3221" s="0" t="inlineStr">
        <is>
          <t>플러스빌(도시형)</t>
        </is>
      </c>
      <c r="E3221" s="0" t="inlineStr">
        <is>
          <t>2011.04.</t>
        </is>
      </c>
      <c r="F3221" s="0" t="n">
        <v>25</v>
      </c>
      <c r="G3221" s="0" t="n">
        <v>15.82</v>
      </c>
      <c r="H3221" s="0" t="n">
        <v>52.31</v>
      </c>
      <c r="I3221" s="0" t="n">
        <v>8.73</v>
      </c>
      <c r="J3221" s="0" t="n">
        <v>28.89</v>
      </c>
      <c r="K3221" s="0" t="n">
        <v>1</v>
      </c>
      <c r="T3221" s="0" t="n">
        <v>1</v>
      </c>
      <c r="U3221" s="0" t="n">
        <v>1</v>
      </c>
      <c r="V3221" s="0" t="inlineStr">
        <is>
          <t>복도식</t>
        </is>
      </c>
      <c r="W3221" s="0" t="inlineStr">
        <is>
          <t>52A</t>
        </is>
      </c>
      <c r="X3221" s="0" t="n">
        <v>5</v>
      </c>
      <c r="Y3221" s="0" t="n">
        <v>3</v>
      </c>
      <c r="Z3221" s="0" t="inlineStr">
        <is>
          <t>https://new.land.naver.com/complexes/121744?tab=detail&amp;rf=Y</t>
        </is>
      </c>
      <c r="AA3221" s="0" t="inlineStr">
        <is>
          <t>서울시 강동구 천호동 32-7</t>
        </is>
      </c>
      <c r="AB3221" s="0" t="inlineStr">
        <is>
          <t>서울시</t>
        </is>
      </c>
      <c r="AC3221" s="0" t="inlineStr">
        <is>
          <t>강동구</t>
        </is>
      </c>
      <c r="AD3221" s="0" t="inlineStr">
        <is>
          <t>천호동</t>
        </is>
      </c>
      <c r="AG3221" s="0" t="inlineStr">
        <is>
          <t>서울시 강동구 구천면로68길 72-4</t>
        </is>
      </c>
      <c r="AH3221" s="0" t="n">
        <v>0</v>
      </c>
      <c r="AI3221" s="0" t="n">
        <v>211</v>
      </c>
      <c r="AJ3221" s="0" t="n">
        <v>59</v>
      </c>
      <c r="AK3221" s="0" t="n">
        <v>8</v>
      </c>
      <c r="AL3221" s="0" t="n">
        <v>0.32</v>
      </c>
    </row>
    <row r="3222">
      <c r="A3222" s="0" t="inlineStr">
        <is>
          <t>[천호동]</t>
        </is>
      </c>
      <c r="B3222" s="0" t="n">
        <v>13197</v>
      </c>
      <c r="C3222" s="0" t="n">
        <v>1</v>
      </c>
      <c r="D3222" s="0" t="inlineStr">
        <is>
          <t>그랜드</t>
        </is>
      </c>
      <c r="E3222" s="0" t="inlineStr">
        <is>
          <t>2003.05.</t>
        </is>
      </c>
      <c r="F3222" s="0" t="n">
        <v>18</v>
      </c>
      <c r="G3222" s="0" t="n">
        <v>18.58</v>
      </c>
      <c r="H3222" s="0" t="n">
        <v>61.45</v>
      </c>
      <c r="I3222" s="0" t="n">
        <v>15.94</v>
      </c>
      <c r="J3222" s="0" t="n">
        <v>52.7</v>
      </c>
      <c r="K3222" s="0" t="n">
        <v>1</v>
      </c>
      <c r="T3222" s="0" t="n">
        <v>3</v>
      </c>
      <c r="U3222" s="0" t="n">
        <v>2</v>
      </c>
      <c r="V3222" s="0" t="inlineStr">
        <is>
          <t>계단식</t>
        </is>
      </c>
      <c r="W3222" s="0" t="n">
        <v>61</v>
      </c>
      <c r="X3222" s="0" t="n">
        <v>7</v>
      </c>
      <c r="Y3222" s="0" t="n">
        <v>7</v>
      </c>
      <c r="Z3222" s="0" t="inlineStr">
        <is>
          <t>https://new.land.naver.com/complexes/13197?tab=detail&amp;rf=Y</t>
        </is>
      </c>
      <c r="AA3222" s="0" t="inlineStr">
        <is>
          <t>서울시 강동구 천호동 34-1</t>
        </is>
      </c>
      <c r="AB3222" s="0" t="inlineStr">
        <is>
          <t>서울시</t>
        </is>
      </c>
      <c r="AC3222" s="0" t="inlineStr">
        <is>
          <t>강동구</t>
        </is>
      </c>
      <c r="AD3222" s="0" t="inlineStr">
        <is>
          <t>천호동</t>
        </is>
      </c>
      <c r="AG3222" s="0" t="inlineStr">
        <is>
          <t>서울시 강동구 양재대로131길 27</t>
        </is>
      </c>
      <c r="AH3222" s="0" t="n">
        <v>0</v>
      </c>
      <c r="AI3222" s="0" t="n">
        <v>284</v>
      </c>
      <c r="AJ3222" s="0" t="n">
        <v>53</v>
      </c>
      <c r="AK3222" s="0" t="n">
        <v>19</v>
      </c>
      <c r="AL3222" s="0" t="n">
        <v>1.06</v>
      </c>
    </row>
    <row r="3223">
      <c r="A3223" s="0" t="inlineStr">
        <is>
          <t>[천호동]</t>
        </is>
      </c>
      <c r="B3223" s="0" t="n">
        <v>13197</v>
      </c>
      <c r="C3223" s="0" t="n">
        <v>2</v>
      </c>
      <c r="D3223" s="0" t="inlineStr">
        <is>
          <t>그랜드</t>
        </is>
      </c>
      <c r="E3223" s="0" t="inlineStr">
        <is>
          <t>2003.05.</t>
        </is>
      </c>
      <c r="F3223" s="0" t="n">
        <v>18</v>
      </c>
      <c r="G3223" s="0" t="n">
        <v>21.63</v>
      </c>
      <c r="H3223" s="0" t="n">
        <v>71.51000000000001</v>
      </c>
      <c r="I3223" s="0" t="n">
        <v>18.56</v>
      </c>
      <c r="J3223" s="0" t="n">
        <v>61.38</v>
      </c>
      <c r="K3223" s="0" t="n">
        <v>1</v>
      </c>
      <c r="T3223" s="0" t="n">
        <v>3</v>
      </c>
      <c r="U3223" s="0" t="n">
        <v>2</v>
      </c>
      <c r="V3223" s="0" t="inlineStr">
        <is>
          <t>계단식</t>
        </is>
      </c>
      <c r="W3223" s="0" t="n">
        <v>71</v>
      </c>
      <c r="X3223" s="0" t="n">
        <v>7</v>
      </c>
      <c r="Y3223" s="0" t="n">
        <v>7</v>
      </c>
      <c r="Z3223" s="0" t="inlineStr">
        <is>
          <t>https://new.land.naver.com/complexes/13197?tab=detail&amp;rf=Y</t>
        </is>
      </c>
      <c r="AA3223" s="0" t="inlineStr">
        <is>
          <t>서울시 강동구 천호동 34-1</t>
        </is>
      </c>
      <c r="AB3223" s="0" t="inlineStr">
        <is>
          <t>서울시</t>
        </is>
      </c>
      <c r="AC3223" s="0" t="inlineStr">
        <is>
          <t>강동구</t>
        </is>
      </c>
      <c r="AD3223" s="0" t="inlineStr">
        <is>
          <t>천호동</t>
        </is>
      </c>
      <c r="AG3223" s="0" t="inlineStr">
        <is>
          <t>서울시 강동구 양재대로131길 27</t>
        </is>
      </c>
      <c r="AH3223" s="0" t="n">
        <v>0</v>
      </c>
      <c r="AI3223" s="0" t="n">
        <v>284</v>
      </c>
      <c r="AJ3223" s="0" t="n">
        <v>53</v>
      </c>
      <c r="AK3223" s="0" t="n">
        <v>19</v>
      </c>
      <c r="AL3223" s="0" t="n">
        <v>1.06</v>
      </c>
    </row>
    <row r="3224">
      <c r="A3224" s="0" t="inlineStr">
        <is>
          <t>[천호동]</t>
        </is>
      </c>
      <c r="B3224" s="0" t="n">
        <v>13197</v>
      </c>
      <c r="C3224" s="0" t="n">
        <v>3</v>
      </c>
      <c r="D3224" s="0" t="inlineStr">
        <is>
          <t>그랜드</t>
        </is>
      </c>
      <c r="E3224" s="0" t="inlineStr">
        <is>
          <t>2003.05.</t>
        </is>
      </c>
      <c r="F3224" s="0" t="n">
        <v>18</v>
      </c>
      <c r="G3224" s="0" t="n">
        <v>25.57</v>
      </c>
      <c r="H3224" s="0" t="n">
        <v>84.53</v>
      </c>
      <c r="I3224" s="0" t="n">
        <v>21.94</v>
      </c>
      <c r="J3224" s="0" t="n">
        <v>72.55</v>
      </c>
      <c r="K3224" s="0" t="n">
        <v>1</v>
      </c>
      <c r="T3224" s="0" t="n">
        <v>3</v>
      </c>
      <c r="U3224" s="0" t="n">
        <v>2</v>
      </c>
      <c r="V3224" s="0" t="inlineStr">
        <is>
          <t>계단식</t>
        </is>
      </c>
      <c r="W3224" s="0" t="inlineStr">
        <is>
          <t>84A</t>
        </is>
      </c>
      <c r="X3224" s="0" t="n">
        <v>7</v>
      </c>
      <c r="Y3224" s="0" t="n">
        <v>7</v>
      </c>
      <c r="Z3224" s="0" t="inlineStr">
        <is>
          <t>https://new.land.naver.com/complexes/13197?tab=detail&amp;rf=Y</t>
        </is>
      </c>
      <c r="AA3224" s="0" t="inlineStr">
        <is>
          <t>서울시 강동구 천호동 34-1</t>
        </is>
      </c>
      <c r="AB3224" s="0" t="inlineStr">
        <is>
          <t>서울시</t>
        </is>
      </c>
      <c r="AC3224" s="0" t="inlineStr">
        <is>
          <t>강동구</t>
        </is>
      </c>
      <c r="AD3224" s="0" t="inlineStr">
        <is>
          <t>천호동</t>
        </is>
      </c>
      <c r="AG3224" s="0" t="inlineStr">
        <is>
          <t>서울시 강동구 양재대로131길 27</t>
        </is>
      </c>
      <c r="AH3224" s="0" t="n">
        <v>0</v>
      </c>
      <c r="AI3224" s="0" t="n">
        <v>284</v>
      </c>
      <c r="AJ3224" s="0" t="n">
        <v>53</v>
      </c>
      <c r="AK3224" s="0" t="n">
        <v>19</v>
      </c>
      <c r="AL3224" s="0" t="n">
        <v>1.06</v>
      </c>
    </row>
    <row r="3225">
      <c r="A3225" s="0" t="inlineStr">
        <is>
          <t>[천호동]</t>
        </is>
      </c>
      <c r="B3225" s="0" t="n">
        <v>13197</v>
      </c>
      <c r="C3225" s="0" t="n">
        <v>4</v>
      </c>
      <c r="D3225" s="0" t="inlineStr">
        <is>
          <t>그랜드</t>
        </is>
      </c>
      <c r="E3225" s="0" t="inlineStr">
        <is>
          <t>2003.05.</t>
        </is>
      </c>
      <c r="F3225" s="0" t="n">
        <v>18</v>
      </c>
      <c r="G3225" s="0" t="n">
        <v>25.96</v>
      </c>
      <c r="H3225" s="0" t="n">
        <v>85.84</v>
      </c>
      <c r="I3225" s="0" t="n">
        <v>22.28</v>
      </c>
      <c r="J3225" s="0" t="n">
        <v>73.68000000000001</v>
      </c>
      <c r="K3225" s="0" t="n">
        <v>1</v>
      </c>
      <c r="T3225" s="0" t="n">
        <v>3</v>
      </c>
      <c r="U3225" s="0" t="n">
        <v>2</v>
      </c>
      <c r="V3225" s="0" t="inlineStr">
        <is>
          <t>계단식</t>
        </is>
      </c>
      <c r="W3225" s="0" t="inlineStr">
        <is>
          <t>85B</t>
        </is>
      </c>
      <c r="X3225" s="0" t="n">
        <v>7</v>
      </c>
      <c r="Y3225" s="0" t="n">
        <v>7</v>
      </c>
      <c r="Z3225" s="0" t="inlineStr">
        <is>
          <t>https://new.land.naver.com/complexes/13197?tab=detail&amp;rf=Y</t>
        </is>
      </c>
      <c r="AA3225" s="0" t="inlineStr">
        <is>
          <t>서울시 강동구 천호동 34-1</t>
        </is>
      </c>
      <c r="AB3225" s="0" t="inlineStr">
        <is>
          <t>서울시</t>
        </is>
      </c>
      <c r="AC3225" s="0" t="inlineStr">
        <is>
          <t>강동구</t>
        </is>
      </c>
      <c r="AD3225" s="0" t="inlineStr">
        <is>
          <t>천호동</t>
        </is>
      </c>
      <c r="AG3225" s="0" t="inlineStr">
        <is>
          <t>서울시 강동구 양재대로131길 27</t>
        </is>
      </c>
      <c r="AH3225" s="0" t="n">
        <v>0</v>
      </c>
      <c r="AI3225" s="0" t="n">
        <v>284</v>
      </c>
      <c r="AJ3225" s="0" t="n">
        <v>53</v>
      </c>
      <c r="AK3225" s="0" t="n">
        <v>19</v>
      </c>
      <c r="AL3225" s="0" t="n">
        <v>1.06</v>
      </c>
    </row>
    <row r="3226">
      <c r="A3226" s="0" t="inlineStr">
        <is>
          <t>[천호동]</t>
        </is>
      </c>
      <c r="B3226" s="0" t="n">
        <v>13197</v>
      </c>
      <c r="C3226" s="0" t="n">
        <v>5</v>
      </c>
      <c r="D3226" s="0" t="inlineStr">
        <is>
          <t>그랜드</t>
        </is>
      </c>
      <c r="E3226" s="0" t="inlineStr">
        <is>
          <t>2003.05.</t>
        </is>
      </c>
      <c r="F3226" s="0" t="n">
        <v>18</v>
      </c>
      <c r="G3226" s="0" t="n">
        <v>27.32</v>
      </c>
      <c r="H3226" s="0" t="n">
        <v>90.31999999999999</v>
      </c>
      <c r="I3226" s="0" t="n">
        <v>23.43</v>
      </c>
      <c r="J3226" s="0" t="n">
        <v>77.45999999999999</v>
      </c>
      <c r="K3226" s="0" t="n">
        <v>1</v>
      </c>
      <c r="T3226" s="0" t="n">
        <v>3</v>
      </c>
      <c r="U3226" s="0" t="n">
        <v>2</v>
      </c>
      <c r="V3226" s="0" t="inlineStr">
        <is>
          <t>계단식</t>
        </is>
      </c>
      <c r="W3226" s="0" t="n">
        <v>90</v>
      </c>
      <c r="X3226" s="0" t="n">
        <v>7</v>
      </c>
      <c r="Y3226" s="0" t="n">
        <v>7</v>
      </c>
      <c r="Z3226" s="0" t="inlineStr">
        <is>
          <t>https://new.land.naver.com/complexes/13197?tab=detail&amp;rf=Y</t>
        </is>
      </c>
      <c r="AA3226" s="0" t="inlineStr">
        <is>
          <t>서울시 강동구 천호동 34-1</t>
        </is>
      </c>
      <c r="AB3226" s="0" t="inlineStr">
        <is>
          <t>서울시</t>
        </is>
      </c>
      <c r="AC3226" s="0" t="inlineStr">
        <is>
          <t>강동구</t>
        </is>
      </c>
      <c r="AD3226" s="0" t="inlineStr">
        <is>
          <t>천호동</t>
        </is>
      </c>
      <c r="AG3226" s="0" t="inlineStr">
        <is>
          <t>서울시 강동구 양재대로131길 27</t>
        </is>
      </c>
      <c r="AH3226" s="0" t="n">
        <v>0</v>
      </c>
      <c r="AI3226" s="0" t="n">
        <v>284</v>
      </c>
      <c r="AJ3226" s="0" t="n">
        <v>53</v>
      </c>
      <c r="AK3226" s="0" t="n">
        <v>19</v>
      </c>
      <c r="AL3226" s="0" t="n">
        <v>1.06</v>
      </c>
    </row>
    <row r="3227">
      <c r="A3227" s="0" t="inlineStr">
        <is>
          <t>[천호동]</t>
        </is>
      </c>
      <c r="B3227" s="0" t="n">
        <v>13197</v>
      </c>
      <c r="C3227" s="0" t="n">
        <v>6</v>
      </c>
      <c r="D3227" s="0" t="inlineStr">
        <is>
          <t>그랜드</t>
        </is>
      </c>
      <c r="E3227" s="0" t="inlineStr">
        <is>
          <t>2003.05.</t>
        </is>
      </c>
      <c r="F3227" s="0" t="n">
        <v>18</v>
      </c>
      <c r="G3227" s="0" t="n">
        <v>28.22</v>
      </c>
      <c r="H3227" s="0" t="n">
        <v>93.29000000000001</v>
      </c>
      <c r="I3227" s="0" t="n">
        <v>24.22</v>
      </c>
      <c r="J3227" s="0" t="n">
        <v>80.06999999999999</v>
      </c>
      <c r="K3227" s="0" t="n">
        <v>3</v>
      </c>
      <c r="T3227" s="0" t="n">
        <v>3</v>
      </c>
      <c r="U3227" s="0" t="n">
        <v>2</v>
      </c>
      <c r="V3227" s="0" t="inlineStr">
        <is>
          <t>복도식</t>
        </is>
      </c>
      <c r="W3227" s="0" t="n">
        <v>93</v>
      </c>
      <c r="X3227" s="0" t="n">
        <v>7</v>
      </c>
      <c r="Y3227" s="0" t="n">
        <v>7</v>
      </c>
      <c r="Z3227" s="0" t="inlineStr">
        <is>
          <t>https://new.land.naver.com/complexes/13197?tab=detail&amp;rf=Y</t>
        </is>
      </c>
      <c r="AA3227" s="0" t="inlineStr">
        <is>
          <t>서울시 강동구 천호동 34-1</t>
        </is>
      </c>
      <c r="AB3227" s="0" t="inlineStr">
        <is>
          <t>서울시</t>
        </is>
      </c>
      <c r="AC3227" s="0" t="inlineStr">
        <is>
          <t>강동구</t>
        </is>
      </c>
      <c r="AD3227" s="0" t="inlineStr">
        <is>
          <t>천호동</t>
        </is>
      </c>
      <c r="AG3227" s="0" t="inlineStr">
        <is>
          <t>서울시 강동구 양재대로131길 27</t>
        </is>
      </c>
      <c r="AH3227" s="0" t="n">
        <v>0</v>
      </c>
      <c r="AI3227" s="0" t="n">
        <v>284</v>
      </c>
      <c r="AJ3227" s="0" t="n">
        <v>53</v>
      </c>
      <c r="AK3227" s="0" t="n">
        <v>19</v>
      </c>
      <c r="AL3227" s="0" t="n">
        <v>1.06</v>
      </c>
    </row>
    <row r="3228">
      <c r="A3228" s="0" t="inlineStr">
        <is>
          <t>[천호동]</t>
        </is>
      </c>
      <c r="B3228" s="0" t="n">
        <v>13197</v>
      </c>
      <c r="C3228" s="0" t="n">
        <v>7</v>
      </c>
      <c r="D3228" s="0" t="inlineStr">
        <is>
          <t>그랜드</t>
        </is>
      </c>
      <c r="E3228" s="0" t="inlineStr">
        <is>
          <t>2003.05.</t>
        </is>
      </c>
      <c r="F3228" s="0" t="n">
        <v>18</v>
      </c>
      <c r="G3228" s="0" t="n">
        <v>29.64</v>
      </c>
      <c r="H3228" s="0" t="n">
        <v>97.98999999999999</v>
      </c>
      <c r="I3228" s="0" t="n">
        <v>25.46</v>
      </c>
      <c r="J3228" s="0" t="n">
        <v>84.18000000000001</v>
      </c>
      <c r="K3228" s="0" t="n">
        <v>1</v>
      </c>
      <c r="T3228" s="0" t="n">
        <v>3</v>
      </c>
      <c r="U3228" s="0" t="n">
        <v>2</v>
      </c>
      <c r="V3228" s="0" t="inlineStr">
        <is>
          <t>계단식</t>
        </is>
      </c>
      <c r="W3228" s="0" t="inlineStr">
        <is>
          <t>97A</t>
        </is>
      </c>
      <c r="X3228" s="0" t="n">
        <v>7</v>
      </c>
      <c r="Y3228" s="0" t="n">
        <v>7</v>
      </c>
      <c r="Z3228" s="0" t="inlineStr">
        <is>
          <t>https://new.land.naver.com/complexes/13197?tab=detail&amp;rf=Y</t>
        </is>
      </c>
      <c r="AA3228" s="0" t="inlineStr">
        <is>
          <t>서울시 강동구 천호동 34-1</t>
        </is>
      </c>
      <c r="AB3228" s="0" t="inlineStr">
        <is>
          <t>서울시</t>
        </is>
      </c>
      <c r="AC3228" s="0" t="inlineStr">
        <is>
          <t>강동구</t>
        </is>
      </c>
      <c r="AD3228" s="0" t="inlineStr">
        <is>
          <t>천호동</t>
        </is>
      </c>
      <c r="AG3228" s="0" t="inlineStr">
        <is>
          <t>서울시 강동구 양재대로131길 27</t>
        </is>
      </c>
      <c r="AH3228" s="0" t="n">
        <v>0</v>
      </c>
      <c r="AI3228" s="0" t="n">
        <v>284</v>
      </c>
      <c r="AJ3228" s="0" t="n">
        <v>53</v>
      </c>
      <c r="AK3228" s="0" t="n">
        <v>19</v>
      </c>
      <c r="AL3228" s="0" t="n">
        <v>1.06</v>
      </c>
    </row>
    <row r="3229">
      <c r="A3229" s="0" t="inlineStr">
        <is>
          <t>[천호동]</t>
        </is>
      </c>
      <c r="B3229" s="0" t="n">
        <v>13197</v>
      </c>
      <c r="C3229" s="0" t="n">
        <v>8</v>
      </c>
      <c r="D3229" s="0" t="inlineStr">
        <is>
          <t>그랜드</t>
        </is>
      </c>
      <c r="E3229" s="0" t="inlineStr">
        <is>
          <t>2003.05.</t>
        </is>
      </c>
      <c r="F3229" s="0" t="n">
        <v>18</v>
      </c>
      <c r="G3229" s="0" t="n">
        <v>29.78</v>
      </c>
      <c r="H3229" s="0" t="n">
        <v>98.45</v>
      </c>
      <c r="I3229" s="0" t="n">
        <v>25.55</v>
      </c>
      <c r="J3229" s="0" t="n">
        <v>84.48999999999999</v>
      </c>
      <c r="K3229" s="0" t="n">
        <v>5</v>
      </c>
      <c r="T3229" s="0" t="n">
        <v>3</v>
      </c>
      <c r="U3229" s="0" t="n">
        <v>2</v>
      </c>
      <c r="V3229" s="0" t="inlineStr">
        <is>
          <t>계단식</t>
        </is>
      </c>
      <c r="W3229" s="0" t="inlineStr">
        <is>
          <t>98C</t>
        </is>
      </c>
      <c r="X3229" s="0" t="n">
        <v>7</v>
      </c>
      <c r="Y3229" s="0" t="n">
        <v>7</v>
      </c>
      <c r="Z3229" s="0" t="inlineStr">
        <is>
          <t>https://new.land.naver.com/complexes/13197?tab=detail&amp;rf=Y</t>
        </is>
      </c>
      <c r="AA3229" s="0" t="inlineStr">
        <is>
          <t>서울시 강동구 천호동 34-1</t>
        </is>
      </c>
      <c r="AB3229" s="0" t="inlineStr">
        <is>
          <t>서울시</t>
        </is>
      </c>
      <c r="AC3229" s="0" t="inlineStr">
        <is>
          <t>강동구</t>
        </is>
      </c>
      <c r="AD3229" s="0" t="inlineStr">
        <is>
          <t>천호동</t>
        </is>
      </c>
      <c r="AG3229" s="0" t="inlineStr">
        <is>
          <t>서울시 강동구 양재대로131길 27</t>
        </is>
      </c>
      <c r="AH3229" s="0" t="n">
        <v>0</v>
      </c>
      <c r="AI3229" s="0" t="n">
        <v>284</v>
      </c>
      <c r="AJ3229" s="0" t="n">
        <v>53</v>
      </c>
      <c r="AK3229" s="0" t="n">
        <v>19</v>
      </c>
      <c r="AL3229" s="0" t="n">
        <v>1.06</v>
      </c>
    </row>
    <row r="3230">
      <c r="A3230" s="0" t="inlineStr">
        <is>
          <t>[천호동]</t>
        </is>
      </c>
      <c r="B3230" s="0" t="n">
        <v>13197</v>
      </c>
      <c r="C3230" s="0" t="n">
        <v>9</v>
      </c>
      <c r="D3230" s="0" t="inlineStr">
        <is>
          <t>그랜드</t>
        </is>
      </c>
      <c r="E3230" s="0" t="inlineStr">
        <is>
          <t>2003.05.</t>
        </is>
      </c>
      <c r="F3230" s="0" t="n">
        <v>18</v>
      </c>
      <c r="G3230" s="0" t="n">
        <v>29.72</v>
      </c>
      <c r="H3230" s="0" t="n">
        <v>98.27</v>
      </c>
      <c r="I3230" s="0" t="n">
        <v>25.51</v>
      </c>
      <c r="J3230" s="0" t="n">
        <v>84.34</v>
      </c>
      <c r="K3230" s="0" t="n">
        <v>4</v>
      </c>
      <c r="T3230" s="0" t="n">
        <v>3</v>
      </c>
      <c r="U3230" s="0" t="n">
        <v>2</v>
      </c>
      <c r="V3230" s="0" t="inlineStr">
        <is>
          <t>계단식</t>
        </is>
      </c>
      <c r="W3230" s="0" t="inlineStr">
        <is>
          <t>98B</t>
        </is>
      </c>
      <c r="X3230" s="0" t="n">
        <v>7</v>
      </c>
      <c r="Y3230" s="0" t="n">
        <v>7</v>
      </c>
      <c r="Z3230" s="0" t="inlineStr">
        <is>
          <t>https://new.land.naver.com/complexes/13197?tab=detail&amp;rf=Y</t>
        </is>
      </c>
      <c r="AA3230" s="0" t="inlineStr">
        <is>
          <t>서울시 강동구 천호동 34-1</t>
        </is>
      </c>
      <c r="AB3230" s="0" t="inlineStr">
        <is>
          <t>서울시</t>
        </is>
      </c>
      <c r="AC3230" s="0" t="inlineStr">
        <is>
          <t>강동구</t>
        </is>
      </c>
      <c r="AD3230" s="0" t="inlineStr">
        <is>
          <t>천호동</t>
        </is>
      </c>
      <c r="AG3230" s="0" t="inlineStr">
        <is>
          <t>서울시 강동구 양재대로131길 27</t>
        </is>
      </c>
      <c r="AH3230" s="0" t="n">
        <v>0</v>
      </c>
      <c r="AI3230" s="0" t="n">
        <v>284</v>
      </c>
      <c r="AJ3230" s="0" t="n">
        <v>53</v>
      </c>
      <c r="AK3230" s="0" t="n">
        <v>19</v>
      </c>
      <c r="AL3230" s="0" t="n">
        <v>1.06</v>
      </c>
    </row>
    <row r="3231">
      <c r="A3231" s="0" t="inlineStr">
        <is>
          <t>[천호동]</t>
        </is>
      </c>
      <c r="B3231" s="0" t="n">
        <v>102432</v>
      </c>
      <c r="C3231" s="0" t="n">
        <v>1</v>
      </c>
      <c r="D3231" s="0" t="inlineStr">
        <is>
          <t>형인허브빌</t>
        </is>
      </c>
      <c r="E3231" s="0" t="inlineStr">
        <is>
          <t>2008.08.</t>
        </is>
      </c>
      <c r="F3231" s="0" t="n">
        <v>42</v>
      </c>
      <c r="G3231" s="0" t="n">
        <v>27.6</v>
      </c>
      <c r="H3231" s="0" t="n">
        <v>91.27</v>
      </c>
      <c r="I3231" s="0" t="n">
        <v>22.69</v>
      </c>
      <c r="J3231" s="0" t="n">
        <v>75.04000000000001</v>
      </c>
      <c r="K3231" s="0" t="n">
        <v>6</v>
      </c>
      <c r="T3231" s="0" t="n">
        <v>3</v>
      </c>
      <c r="U3231" s="0" t="n">
        <v>2</v>
      </c>
      <c r="V3231" s="0" t="inlineStr">
        <is>
          <t>계단식</t>
        </is>
      </c>
      <c r="W3231" s="0" t="inlineStr">
        <is>
          <t>91A</t>
        </is>
      </c>
      <c r="X3231" s="0" t="n">
        <v>7</v>
      </c>
      <c r="Y3231" s="0" t="n">
        <v>7</v>
      </c>
      <c r="Z3231" s="0" t="inlineStr">
        <is>
          <t>https://new.land.naver.com/complexes/102432?tab=detail&amp;rf=Y</t>
        </is>
      </c>
      <c r="AA3231" s="0" t="inlineStr">
        <is>
          <t>서울시 강동구 천호동 27-41</t>
        </is>
      </c>
      <c r="AB3231" s="0" t="inlineStr">
        <is>
          <t>서울시</t>
        </is>
      </c>
      <c r="AC3231" s="0" t="inlineStr">
        <is>
          <t>강동구</t>
        </is>
      </c>
      <c r="AD3231" s="0" t="inlineStr">
        <is>
          <t>천호동</t>
        </is>
      </c>
      <c r="AG3231" s="0" t="inlineStr">
        <is>
          <t>서울시 강동구 상암로41길 61</t>
        </is>
      </c>
      <c r="AH3231" s="0" t="n">
        <v>0</v>
      </c>
      <c r="AI3231" s="0" t="n">
        <v>199</v>
      </c>
      <c r="AJ3231" s="0" t="n">
        <v>38</v>
      </c>
      <c r="AK3231" s="0" t="n">
        <v>43</v>
      </c>
      <c r="AL3231" s="0" t="n">
        <v>1.02</v>
      </c>
    </row>
    <row r="3232">
      <c r="A3232" s="0" t="inlineStr">
        <is>
          <t>[천호동]</t>
        </is>
      </c>
      <c r="B3232" s="0" t="n">
        <v>102432</v>
      </c>
      <c r="C3232" s="0" t="n">
        <v>2</v>
      </c>
      <c r="D3232" s="0" t="inlineStr">
        <is>
          <t>형인허브빌</t>
        </is>
      </c>
      <c r="E3232" s="0" t="inlineStr">
        <is>
          <t>2008.08.</t>
        </is>
      </c>
      <c r="F3232" s="0" t="n">
        <v>42</v>
      </c>
      <c r="G3232" s="0" t="n">
        <v>27.61</v>
      </c>
      <c r="H3232" s="0" t="n">
        <v>91.29000000000001</v>
      </c>
      <c r="I3232" s="0" t="n">
        <v>22.71</v>
      </c>
      <c r="J3232" s="0" t="n">
        <v>75.08</v>
      </c>
      <c r="K3232" s="0" t="n">
        <v>6</v>
      </c>
      <c r="T3232" s="0" t="n">
        <v>3</v>
      </c>
      <c r="U3232" s="0" t="n">
        <v>2</v>
      </c>
      <c r="V3232" s="0" t="inlineStr">
        <is>
          <t>계단식</t>
        </is>
      </c>
      <c r="W3232" s="0" t="inlineStr">
        <is>
          <t>91B</t>
        </is>
      </c>
      <c r="X3232" s="0" t="n">
        <v>7</v>
      </c>
      <c r="Y3232" s="0" t="n">
        <v>7</v>
      </c>
      <c r="Z3232" s="0" t="inlineStr">
        <is>
          <t>https://new.land.naver.com/complexes/102432?tab=detail&amp;rf=Y</t>
        </is>
      </c>
      <c r="AA3232" s="0" t="inlineStr">
        <is>
          <t>서울시 강동구 천호동 27-41</t>
        </is>
      </c>
      <c r="AB3232" s="0" t="inlineStr">
        <is>
          <t>서울시</t>
        </is>
      </c>
      <c r="AC3232" s="0" t="inlineStr">
        <is>
          <t>강동구</t>
        </is>
      </c>
      <c r="AD3232" s="0" t="inlineStr">
        <is>
          <t>천호동</t>
        </is>
      </c>
      <c r="AG3232" s="0" t="inlineStr">
        <is>
          <t>서울시 강동구 상암로41길 61</t>
        </is>
      </c>
      <c r="AH3232" s="0" t="n">
        <v>0</v>
      </c>
      <c r="AI3232" s="0" t="n">
        <v>199</v>
      </c>
      <c r="AJ3232" s="0" t="n">
        <v>38</v>
      </c>
      <c r="AK3232" s="0" t="n">
        <v>43</v>
      </c>
      <c r="AL3232" s="0" t="n">
        <v>1.02</v>
      </c>
    </row>
    <row r="3233">
      <c r="A3233" s="0" t="inlineStr">
        <is>
          <t>[천호동]</t>
        </is>
      </c>
      <c r="B3233" s="0" t="n">
        <v>102432</v>
      </c>
      <c r="C3233" s="0" t="n">
        <v>3</v>
      </c>
      <c r="D3233" s="0" t="inlineStr">
        <is>
          <t>형인허브빌</t>
        </is>
      </c>
      <c r="E3233" s="0" t="inlineStr">
        <is>
          <t>2008.08.</t>
        </is>
      </c>
      <c r="F3233" s="0" t="n">
        <v>42</v>
      </c>
      <c r="G3233" s="0" t="n">
        <v>27.65</v>
      </c>
      <c r="H3233" s="0" t="n">
        <v>91.41</v>
      </c>
      <c r="I3233" s="0" t="n">
        <v>22.74</v>
      </c>
      <c r="J3233" s="0" t="n">
        <v>75.19</v>
      </c>
      <c r="K3233" s="0" t="n">
        <v>6</v>
      </c>
      <c r="T3233" s="0" t="n">
        <v>3</v>
      </c>
      <c r="U3233" s="0" t="n">
        <v>2</v>
      </c>
      <c r="V3233" s="0" t="inlineStr">
        <is>
          <t>계단식</t>
        </is>
      </c>
      <c r="W3233" s="0" t="inlineStr">
        <is>
          <t>91C</t>
        </is>
      </c>
      <c r="X3233" s="0" t="n">
        <v>7</v>
      </c>
      <c r="Y3233" s="0" t="n">
        <v>7</v>
      </c>
      <c r="Z3233" s="0" t="inlineStr">
        <is>
          <t>https://new.land.naver.com/complexes/102432?tab=detail&amp;rf=Y</t>
        </is>
      </c>
      <c r="AA3233" s="0" t="inlineStr">
        <is>
          <t>서울시 강동구 천호동 27-41</t>
        </is>
      </c>
      <c r="AB3233" s="0" t="inlineStr">
        <is>
          <t>서울시</t>
        </is>
      </c>
      <c r="AC3233" s="0" t="inlineStr">
        <is>
          <t>강동구</t>
        </is>
      </c>
      <c r="AD3233" s="0" t="inlineStr">
        <is>
          <t>천호동</t>
        </is>
      </c>
      <c r="AG3233" s="0" t="inlineStr">
        <is>
          <t>서울시 강동구 상암로41길 61</t>
        </is>
      </c>
      <c r="AH3233" s="0" t="n">
        <v>0</v>
      </c>
      <c r="AI3233" s="0" t="n">
        <v>199</v>
      </c>
      <c r="AJ3233" s="0" t="n">
        <v>38</v>
      </c>
      <c r="AK3233" s="0" t="n">
        <v>43</v>
      </c>
      <c r="AL3233" s="0" t="n">
        <v>1.02</v>
      </c>
    </row>
    <row r="3234">
      <c r="A3234" s="0" t="inlineStr">
        <is>
          <t>[천호동]</t>
        </is>
      </c>
      <c r="B3234" s="0" t="n">
        <v>102432</v>
      </c>
      <c r="C3234" s="0" t="n">
        <v>4</v>
      </c>
      <c r="D3234" s="0" t="inlineStr">
        <is>
          <t>형인허브빌</t>
        </is>
      </c>
      <c r="E3234" s="0" t="inlineStr">
        <is>
          <t>2008.08.</t>
        </is>
      </c>
      <c r="F3234" s="0" t="n">
        <v>42</v>
      </c>
      <c r="G3234" s="0" t="n">
        <v>27.63</v>
      </c>
      <c r="H3234" s="0" t="n">
        <v>91.34</v>
      </c>
      <c r="I3234" s="0" t="n">
        <v>22.77</v>
      </c>
      <c r="J3234" s="0" t="n">
        <v>75.3</v>
      </c>
      <c r="K3234" s="0" t="n">
        <v>6</v>
      </c>
      <c r="T3234" s="0" t="n">
        <v>3</v>
      </c>
      <c r="U3234" s="0" t="n">
        <v>2</v>
      </c>
      <c r="V3234" s="0" t="inlineStr">
        <is>
          <t>계단식</t>
        </is>
      </c>
      <c r="W3234" s="0" t="inlineStr">
        <is>
          <t>91D</t>
        </is>
      </c>
      <c r="X3234" s="0" t="n">
        <v>7</v>
      </c>
      <c r="Y3234" s="0" t="n">
        <v>7</v>
      </c>
      <c r="Z3234" s="0" t="inlineStr">
        <is>
          <t>https://new.land.naver.com/complexes/102432?tab=detail&amp;rf=Y</t>
        </is>
      </c>
      <c r="AA3234" s="0" t="inlineStr">
        <is>
          <t>서울시 강동구 천호동 27-41</t>
        </is>
      </c>
      <c r="AB3234" s="0" t="inlineStr">
        <is>
          <t>서울시</t>
        </is>
      </c>
      <c r="AC3234" s="0" t="inlineStr">
        <is>
          <t>강동구</t>
        </is>
      </c>
      <c r="AD3234" s="0" t="inlineStr">
        <is>
          <t>천호동</t>
        </is>
      </c>
      <c r="AG3234" s="0" t="inlineStr">
        <is>
          <t>서울시 강동구 상암로41길 61</t>
        </is>
      </c>
      <c r="AH3234" s="0" t="n">
        <v>0</v>
      </c>
      <c r="AI3234" s="0" t="n">
        <v>199</v>
      </c>
      <c r="AJ3234" s="0" t="n">
        <v>38</v>
      </c>
      <c r="AK3234" s="0" t="n">
        <v>43</v>
      </c>
      <c r="AL3234" s="0" t="n">
        <v>1.02</v>
      </c>
    </row>
    <row r="3235">
      <c r="A3235" s="0" t="inlineStr">
        <is>
          <t>[천호동]</t>
        </is>
      </c>
      <c r="B3235" s="0" t="n">
        <v>102432</v>
      </c>
      <c r="C3235" s="0" t="n">
        <v>5</v>
      </c>
      <c r="D3235" s="0" t="inlineStr">
        <is>
          <t>형인허브빌</t>
        </is>
      </c>
      <c r="E3235" s="0" t="inlineStr">
        <is>
          <t>2008.08.</t>
        </is>
      </c>
      <c r="F3235" s="0" t="n">
        <v>42</v>
      </c>
      <c r="G3235" s="0" t="n">
        <v>27.71</v>
      </c>
      <c r="H3235" s="0" t="n">
        <v>91.62</v>
      </c>
      <c r="I3235" s="0" t="n">
        <v>22.8</v>
      </c>
      <c r="J3235" s="0" t="n">
        <v>75.40000000000001</v>
      </c>
      <c r="K3235" s="0" t="n">
        <v>6</v>
      </c>
      <c r="T3235" s="0" t="n">
        <v>3</v>
      </c>
      <c r="U3235" s="0" t="n">
        <v>2</v>
      </c>
      <c r="V3235" s="0" t="inlineStr">
        <is>
          <t>계단식</t>
        </is>
      </c>
      <c r="W3235" s="0" t="inlineStr">
        <is>
          <t>91E</t>
        </is>
      </c>
      <c r="X3235" s="0" t="n">
        <v>7</v>
      </c>
      <c r="Y3235" s="0" t="n">
        <v>7</v>
      </c>
      <c r="Z3235" s="0" t="inlineStr">
        <is>
          <t>https://new.land.naver.com/complexes/102432?tab=detail&amp;rf=Y</t>
        </is>
      </c>
      <c r="AA3235" s="0" t="inlineStr">
        <is>
          <t>서울시 강동구 천호동 27-41</t>
        </is>
      </c>
      <c r="AB3235" s="0" t="inlineStr">
        <is>
          <t>서울시</t>
        </is>
      </c>
      <c r="AC3235" s="0" t="inlineStr">
        <is>
          <t>강동구</t>
        </is>
      </c>
      <c r="AD3235" s="0" t="inlineStr">
        <is>
          <t>천호동</t>
        </is>
      </c>
      <c r="AG3235" s="0" t="inlineStr">
        <is>
          <t>서울시 강동구 상암로41길 61</t>
        </is>
      </c>
      <c r="AH3235" s="0" t="n">
        <v>0</v>
      </c>
      <c r="AI3235" s="0" t="n">
        <v>199</v>
      </c>
      <c r="AJ3235" s="0" t="n">
        <v>38</v>
      </c>
      <c r="AK3235" s="0" t="n">
        <v>43</v>
      </c>
      <c r="AL3235" s="0" t="n">
        <v>1.02</v>
      </c>
    </row>
    <row r="3236">
      <c r="A3236" s="0" t="inlineStr">
        <is>
          <t>[천호동]</t>
        </is>
      </c>
      <c r="B3236" s="0" t="n">
        <v>102432</v>
      </c>
      <c r="C3236" s="0" t="n">
        <v>6</v>
      </c>
      <c r="D3236" s="0" t="inlineStr">
        <is>
          <t>형인허브빌</t>
        </is>
      </c>
      <c r="E3236" s="0" t="inlineStr">
        <is>
          <t>2008.08.</t>
        </is>
      </c>
      <c r="F3236" s="0" t="n">
        <v>42</v>
      </c>
      <c r="G3236" s="0" t="n">
        <v>27.73</v>
      </c>
      <c r="H3236" s="0" t="n">
        <v>91.67</v>
      </c>
      <c r="I3236" s="0" t="n">
        <v>22.82</v>
      </c>
      <c r="J3236" s="0" t="n">
        <v>75.47</v>
      </c>
      <c r="K3236" s="0" t="n">
        <v>6</v>
      </c>
      <c r="T3236" s="0" t="n">
        <v>3</v>
      </c>
      <c r="U3236" s="0" t="n">
        <v>2</v>
      </c>
      <c r="V3236" s="0" t="inlineStr">
        <is>
          <t>계단식</t>
        </is>
      </c>
      <c r="W3236" s="0" t="inlineStr">
        <is>
          <t>91F</t>
        </is>
      </c>
      <c r="X3236" s="0" t="n">
        <v>7</v>
      </c>
      <c r="Y3236" s="0" t="n">
        <v>7</v>
      </c>
      <c r="Z3236" s="0" t="inlineStr">
        <is>
          <t>https://new.land.naver.com/complexes/102432?tab=detail&amp;rf=Y</t>
        </is>
      </c>
      <c r="AA3236" s="0" t="inlineStr">
        <is>
          <t>서울시 강동구 천호동 27-41</t>
        </is>
      </c>
      <c r="AB3236" s="0" t="inlineStr">
        <is>
          <t>서울시</t>
        </is>
      </c>
      <c r="AC3236" s="0" t="inlineStr">
        <is>
          <t>강동구</t>
        </is>
      </c>
      <c r="AD3236" s="0" t="inlineStr">
        <is>
          <t>천호동</t>
        </is>
      </c>
      <c r="AG3236" s="0" t="inlineStr">
        <is>
          <t>서울시 강동구 상암로41길 61</t>
        </is>
      </c>
      <c r="AH3236" s="0" t="n">
        <v>0</v>
      </c>
      <c r="AI3236" s="0" t="n">
        <v>199</v>
      </c>
      <c r="AJ3236" s="0" t="n">
        <v>38</v>
      </c>
      <c r="AK3236" s="0" t="n">
        <v>43</v>
      </c>
      <c r="AL3236" s="0" t="n">
        <v>1.02</v>
      </c>
    </row>
    <row r="3237">
      <c r="A3237" s="0" t="inlineStr">
        <is>
          <t>[천호동]</t>
        </is>
      </c>
      <c r="B3237" s="0" t="n">
        <v>102432</v>
      </c>
      <c r="C3237" s="0" t="n">
        <v>7</v>
      </c>
      <c r="D3237" s="0" t="inlineStr">
        <is>
          <t>형인허브빌</t>
        </is>
      </c>
      <c r="E3237" s="0" t="inlineStr">
        <is>
          <t>2008.08.</t>
        </is>
      </c>
      <c r="F3237" s="0" t="n">
        <v>42</v>
      </c>
      <c r="G3237" s="0" t="n">
        <v>27.69</v>
      </c>
      <c r="H3237" s="0" t="n">
        <v>91.54000000000001</v>
      </c>
      <c r="I3237" s="0" t="n">
        <v>22.93</v>
      </c>
      <c r="J3237" s="0" t="n">
        <v>75.81</v>
      </c>
      <c r="K3237" s="0" t="n">
        <v>6</v>
      </c>
      <c r="T3237" s="0" t="n">
        <v>3</v>
      </c>
      <c r="U3237" s="0" t="n">
        <v>2</v>
      </c>
      <c r="V3237" s="0" t="inlineStr">
        <is>
          <t>계단식</t>
        </is>
      </c>
      <c r="W3237" s="0" t="inlineStr">
        <is>
          <t>91G</t>
        </is>
      </c>
      <c r="X3237" s="0" t="n">
        <v>7</v>
      </c>
      <c r="Y3237" s="0" t="n">
        <v>7</v>
      </c>
      <c r="Z3237" s="0" t="inlineStr">
        <is>
          <t>https://new.land.naver.com/complexes/102432?tab=detail&amp;rf=Y</t>
        </is>
      </c>
      <c r="AA3237" s="0" t="inlineStr">
        <is>
          <t>서울시 강동구 천호동 27-41</t>
        </is>
      </c>
      <c r="AB3237" s="0" t="inlineStr">
        <is>
          <t>서울시</t>
        </is>
      </c>
      <c r="AC3237" s="0" t="inlineStr">
        <is>
          <t>강동구</t>
        </is>
      </c>
      <c r="AD3237" s="0" t="inlineStr">
        <is>
          <t>천호동</t>
        </is>
      </c>
      <c r="AG3237" s="0" t="inlineStr">
        <is>
          <t>서울시 강동구 상암로41길 61</t>
        </is>
      </c>
      <c r="AH3237" s="0" t="n">
        <v>0</v>
      </c>
      <c r="AI3237" s="0" t="n">
        <v>199</v>
      </c>
      <c r="AJ3237" s="0" t="n">
        <v>38</v>
      </c>
      <c r="AK3237" s="0" t="n">
        <v>43</v>
      </c>
      <c r="AL3237" s="0" t="n">
        <v>1.02</v>
      </c>
    </row>
    <row r="3238">
      <c r="A3238" s="0" t="inlineStr">
        <is>
          <t>[천호동]</t>
        </is>
      </c>
      <c r="B3238" s="0" t="n">
        <v>13580</v>
      </c>
      <c r="C3238" s="0" t="n">
        <v>1</v>
      </c>
      <c r="D3238" s="0" t="inlineStr">
        <is>
          <t>즈믄촌</t>
        </is>
      </c>
      <c r="E3238" s="0" t="inlineStr">
        <is>
          <t>2002.10.</t>
        </is>
      </c>
      <c r="F3238" s="0" t="n">
        <v>30</v>
      </c>
      <c r="G3238" s="0" t="n">
        <v>21.65</v>
      </c>
      <c r="H3238" s="0" t="n">
        <v>71.58</v>
      </c>
      <c r="I3238" s="0" t="n">
        <v>16.95</v>
      </c>
      <c r="J3238" s="0" t="n">
        <v>56.06</v>
      </c>
      <c r="K3238" s="0" t="n">
        <v>1</v>
      </c>
      <c r="T3238" s="0" t="n">
        <v>2</v>
      </c>
      <c r="U3238" s="0" t="n">
        <v>1</v>
      </c>
      <c r="V3238" s="0" t="inlineStr">
        <is>
          <t>계단식</t>
        </is>
      </c>
      <c r="W3238" s="0" t="n">
        <v>71</v>
      </c>
      <c r="X3238" s="0" t="n">
        <v>8</v>
      </c>
      <c r="Y3238" s="0" t="n">
        <v>8</v>
      </c>
      <c r="Z3238" s="0" t="inlineStr">
        <is>
          <t>https://new.land.naver.com/complexes/13580?tab=detail&amp;rf=Y</t>
        </is>
      </c>
      <c r="AA3238" s="0" t="inlineStr">
        <is>
          <t>서울시 강동구 천호동 334</t>
        </is>
      </c>
      <c r="AB3238" s="0" t="inlineStr">
        <is>
          <t>서울시</t>
        </is>
      </c>
      <c r="AC3238" s="0" t="inlineStr">
        <is>
          <t>강동구</t>
        </is>
      </c>
      <c r="AD3238" s="0" t="inlineStr">
        <is>
          <t>천호동</t>
        </is>
      </c>
      <c r="AG3238" s="0" t="inlineStr">
        <is>
          <t>서울시 강동구 올림픽로79길 7</t>
        </is>
      </c>
      <c r="AH3238" s="0" t="n">
        <v>0</v>
      </c>
      <c r="AI3238" s="0" t="n">
        <v>295</v>
      </c>
      <c r="AJ3238" s="0" t="n">
        <v>43</v>
      </c>
      <c r="AK3238" s="0" t="n">
        <v>32</v>
      </c>
      <c r="AL3238" s="0" t="n">
        <v>1.07</v>
      </c>
    </row>
    <row r="3239">
      <c r="A3239" s="0" t="inlineStr">
        <is>
          <t>[천호동]</t>
        </is>
      </c>
      <c r="B3239" s="0" t="n">
        <v>13580</v>
      </c>
      <c r="C3239" s="0" t="n">
        <v>2</v>
      </c>
      <c r="D3239" s="0" t="inlineStr">
        <is>
          <t>즈믄촌</t>
        </is>
      </c>
      <c r="E3239" s="0" t="inlineStr">
        <is>
          <t>2002.10.</t>
        </is>
      </c>
      <c r="F3239" s="0" t="n">
        <v>30</v>
      </c>
      <c r="G3239" s="0" t="n">
        <v>24.28</v>
      </c>
      <c r="H3239" s="0" t="n">
        <v>80.28</v>
      </c>
      <c r="I3239" s="0" t="n">
        <v>19.07</v>
      </c>
      <c r="J3239" s="0" t="n">
        <v>63.07</v>
      </c>
      <c r="K3239" s="0" t="n">
        <v>1</v>
      </c>
      <c r="T3239" s="0" t="n">
        <v>3</v>
      </c>
      <c r="U3239" s="0" t="n">
        <v>2</v>
      </c>
      <c r="V3239" s="0" t="inlineStr">
        <is>
          <t>계단식</t>
        </is>
      </c>
      <c r="W3239" s="0" t="n">
        <v>80</v>
      </c>
      <c r="X3239" s="0" t="n">
        <v>8</v>
      </c>
      <c r="Y3239" s="0" t="n">
        <v>8</v>
      </c>
      <c r="Z3239" s="0" t="inlineStr">
        <is>
          <t>https://new.land.naver.com/complexes/13580?tab=detail&amp;rf=Y</t>
        </is>
      </c>
      <c r="AA3239" s="0" t="inlineStr">
        <is>
          <t>서울시 강동구 천호동 334</t>
        </is>
      </c>
      <c r="AB3239" s="0" t="inlineStr">
        <is>
          <t>서울시</t>
        </is>
      </c>
      <c r="AC3239" s="0" t="inlineStr">
        <is>
          <t>강동구</t>
        </is>
      </c>
      <c r="AD3239" s="0" t="inlineStr">
        <is>
          <t>천호동</t>
        </is>
      </c>
      <c r="AG3239" s="0" t="inlineStr">
        <is>
          <t>서울시 강동구 올림픽로79길 7</t>
        </is>
      </c>
      <c r="AH3239" s="0" t="n">
        <v>0</v>
      </c>
      <c r="AI3239" s="0" t="n">
        <v>295</v>
      </c>
      <c r="AJ3239" s="0" t="n">
        <v>43</v>
      </c>
      <c r="AK3239" s="0" t="n">
        <v>32</v>
      </c>
      <c r="AL3239" s="0" t="n">
        <v>1.07</v>
      </c>
    </row>
    <row r="3240">
      <c r="A3240" s="0" t="inlineStr">
        <is>
          <t>[천호동]</t>
        </is>
      </c>
      <c r="B3240" s="0" t="n">
        <v>13580</v>
      </c>
      <c r="C3240" s="0" t="n">
        <v>3</v>
      </c>
      <c r="D3240" s="0" t="inlineStr">
        <is>
          <t>즈믄촌</t>
        </is>
      </c>
      <c r="E3240" s="0" t="inlineStr">
        <is>
          <t>2002.10.</t>
        </is>
      </c>
      <c r="F3240" s="0" t="n">
        <v>30</v>
      </c>
      <c r="G3240" s="0" t="n">
        <v>26.42</v>
      </c>
      <c r="H3240" s="0" t="n">
        <v>87.34</v>
      </c>
      <c r="I3240" s="0" t="n">
        <v>20.75</v>
      </c>
      <c r="J3240" s="0" t="n">
        <v>68.61</v>
      </c>
      <c r="K3240" s="0" t="n">
        <v>6</v>
      </c>
      <c r="T3240" s="0" t="n">
        <v>3</v>
      </c>
      <c r="U3240" s="0" t="n">
        <v>2</v>
      </c>
      <c r="V3240" s="0" t="inlineStr">
        <is>
          <t>계단식</t>
        </is>
      </c>
      <c r="W3240" s="0" t="n">
        <v>87</v>
      </c>
      <c r="X3240" s="0" t="n">
        <v>8</v>
      </c>
      <c r="Y3240" s="0" t="n">
        <v>8</v>
      </c>
      <c r="Z3240" s="0" t="inlineStr">
        <is>
          <t>https://new.land.naver.com/complexes/13580?tab=detail&amp;rf=Y</t>
        </is>
      </c>
      <c r="AA3240" s="0" t="inlineStr">
        <is>
          <t>서울시 강동구 천호동 334</t>
        </is>
      </c>
      <c r="AB3240" s="0" t="inlineStr">
        <is>
          <t>서울시</t>
        </is>
      </c>
      <c r="AC3240" s="0" t="inlineStr">
        <is>
          <t>강동구</t>
        </is>
      </c>
      <c r="AD3240" s="0" t="inlineStr">
        <is>
          <t>천호동</t>
        </is>
      </c>
      <c r="AG3240" s="0" t="inlineStr">
        <is>
          <t>서울시 강동구 올림픽로79길 7</t>
        </is>
      </c>
      <c r="AH3240" s="0" t="n">
        <v>0</v>
      </c>
      <c r="AI3240" s="0" t="n">
        <v>295</v>
      </c>
      <c r="AJ3240" s="0" t="n">
        <v>43</v>
      </c>
      <c r="AK3240" s="0" t="n">
        <v>32</v>
      </c>
      <c r="AL3240" s="0" t="n">
        <v>1.07</v>
      </c>
    </row>
    <row r="3241">
      <c r="A3241" s="0" t="inlineStr">
        <is>
          <t>[천호동]</t>
        </is>
      </c>
      <c r="B3241" s="0" t="n">
        <v>13580</v>
      </c>
      <c r="C3241" s="0" t="n">
        <v>4</v>
      </c>
      <c r="D3241" s="0" t="inlineStr">
        <is>
          <t>즈믄촌</t>
        </is>
      </c>
      <c r="E3241" s="0" t="inlineStr">
        <is>
          <t>2002.10.</t>
        </is>
      </c>
      <c r="F3241" s="0" t="n">
        <v>30</v>
      </c>
      <c r="G3241" s="0" t="n">
        <v>29.51</v>
      </c>
      <c r="H3241" s="0" t="n">
        <v>97.58</v>
      </c>
      <c r="I3241" s="0" t="n">
        <v>23.28</v>
      </c>
      <c r="J3241" s="0" t="n">
        <v>76.95999999999999</v>
      </c>
      <c r="K3241" s="0" t="n">
        <v>2</v>
      </c>
      <c r="T3241" s="0" t="n">
        <v>3</v>
      </c>
      <c r="U3241" s="0" t="n">
        <v>2</v>
      </c>
      <c r="V3241" s="0" t="inlineStr">
        <is>
          <t>계단식</t>
        </is>
      </c>
      <c r="W3241" s="0" t="n">
        <v>97</v>
      </c>
      <c r="X3241" s="0" t="n">
        <v>8</v>
      </c>
      <c r="Y3241" s="0" t="n">
        <v>8</v>
      </c>
      <c r="Z3241" s="0" t="inlineStr">
        <is>
          <t>https://new.land.naver.com/complexes/13580?tab=detail&amp;rf=Y</t>
        </is>
      </c>
      <c r="AA3241" s="0" t="inlineStr">
        <is>
          <t>서울시 강동구 천호동 334</t>
        </is>
      </c>
      <c r="AB3241" s="0" t="inlineStr">
        <is>
          <t>서울시</t>
        </is>
      </c>
      <c r="AC3241" s="0" t="inlineStr">
        <is>
          <t>강동구</t>
        </is>
      </c>
      <c r="AD3241" s="0" t="inlineStr">
        <is>
          <t>천호동</t>
        </is>
      </c>
      <c r="AG3241" s="0" t="inlineStr">
        <is>
          <t>서울시 강동구 올림픽로79길 7</t>
        </is>
      </c>
      <c r="AH3241" s="0" t="n">
        <v>0</v>
      </c>
      <c r="AI3241" s="0" t="n">
        <v>295</v>
      </c>
      <c r="AJ3241" s="0" t="n">
        <v>43</v>
      </c>
      <c r="AK3241" s="0" t="n">
        <v>32</v>
      </c>
      <c r="AL3241" s="0" t="n">
        <v>1.07</v>
      </c>
    </row>
    <row r="3242">
      <c r="A3242" s="0" t="inlineStr">
        <is>
          <t>[천호동]</t>
        </is>
      </c>
      <c r="B3242" s="0" t="n">
        <v>13580</v>
      </c>
      <c r="C3242" s="0" t="n">
        <v>5</v>
      </c>
      <c r="D3242" s="0" t="inlineStr">
        <is>
          <t>즈믄촌</t>
        </is>
      </c>
      <c r="E3242" s="0" t="inlineStr">
        <is>
          <t>2002.10.</t>
        </is>
      </c>
      <c r="F3242" s="0" t="n">
        <v>30</v>
      </c>
      <c r="G3242" s="0" t="n">
        <v>32.29</v>
      </c>
      <c r="H3242" s="0" t="n">
        <v>106.77</v>
      </c>
      <c r="I3242" s="0" t="n">
        <v>25.53</v>
      </c>
      <c r="J3242" s="0" t="n">
        <v>84.40000000000001</v>
      </c>
      <c r="K3242" s="0" t="n">
        <v>20</v>
      </c>
      <c r="T3242" s="0" t="n">
        <v>3</v>
      </c>
      <c r="U3242" s="0" t="n">
        <v>2</v>
      </c>
      <c r="V3242" s="0" t="inlineStr">
        <is>
          <t>계단식</t>
        </is>
      </c>
      <c r="W3242" s="0" t="n">
        <v>106</v>
      </c>
      <c r="X3242" s="0" t="n">
        <v>8</v>
      </c>
      <c r="Y3242" s="0" t="n">
        <v>8</v>
      </c>
      <c r="Z3242" s="0" t="inlineStr">
        <is>
          <t>https://new.land.naver.com/complexes/13580?tab=detail&amp;rf=Y</t>
        </is>
      </c>
      <c r="AA3242" s="0" t="inlineStr">
        <is>
          <t>서울시 강동구 천호동 334</t>
        </is>
      </c>
      <c r="AB3242" s="0" t="inlineStr">
        <is>
          <t>서울시</t>
        </is>
      </c>
      <c r="AC3242" s="0" t="inlineStr">
        <is>
          <t>강동구</t>
        </is>
      </c>
      <c r="AD3242" s="0" t="inlineStr">
        <is>
          <t>천호동</t>
        </is>
      </c>
      <c r="AG3242" s="0" t="inlineStr">
        <is>
          <t>서울시 강동구 올림픽로79길 7</t>
        </is>
      </c>
      <c r="AH3242" s="0" t="n">
        <v>0</v>
      </c>
      <c r="AI3242" s="0" t="n">
        <v>295</v>
      </c>
      <c r="AJ3242" s="0" t="n">
        <v>43</v>
      </c>
      <c r="AK3242" s="0" t="n">
        <v>32</v>
      </c>
      <c r="AL3242" s="0" t="n">
        <v>1.07</v>
      </c>
    </row>
    <row r="3243">
      <c r="A3243" s="0" t="inlineStr">
        <is>
          <t>[천호동]</t>
        </is>
      </c>
      <c r="B3243" s="0" t="n">
        <v>115583</v>
      </c>
      <c r="C3243" s="0" t="n">
        <v>1</v>
      </c>
      <c r="D3243" s="0" t="inlineStr">
        <is>
          <t>창대캐슬</t>
        </is>
      </c>
      <c r="E3243" s="0" t="inlineStr">
        <is>
          <t>2003.12.</t>
        </is>
      </c>
      <c r="F3243" s="0" t="n">
        <v>7</v>
      </c>
      <c r="G3243" s="0" t="n">
        <v>23.72</v>
      </c>
      <c r="H3243" s="0" t="n">
        <v>78.44</v>
      </c>
      <c r="I3243" s="0" t="n">
        <v>20.51</v>
      </c>
      <c r="J3243" s="0" t="n">
        <v>67.83</v>
      </c>
      <c r="K3243" s="0" t="n">
        <v>3</v>
      </c>
      <c r="T3243" s="0" t="n">
        <v>3</v>
      </c>
      <c r="U3243" s="0" t="n">
        <v>1</v>
      </c>
      <c r="V3243" s="0" t="inlineStr">
        <is>
          <t>계단식</t>
        </is>
      </c>
      <c r="W3243" s="0" t="inlineStr">
        <is>
          <t>78A</t>
        </is>
      </c>
      <c r="X3243" s="0" t="n">
        <v>6</v>
      </c>
      <c r="Y3243" s="0" t="n">
        <v>4</v>
      </c>
      <c r="Z3243" s="0" t="inlineStr">
        <is>
          <t>https://new.land.naver.com/complexes/115583?tab=detail&amp;rf=Y</t>
        </is>
      </c>
      <c r="AA3243" s="0" t="inlineStr">
        <is>
          <t>서울시 강동구 천호동 166-106</t>
        </is>
      </c>
      <c r="AB3243" s="0" t="inlineStr">
        <is>
          <t>서울시</t>
        </is>
      </c>
      <c r="AC3243" s="0" t="inlineStr">
        <is>
          <t>강동구</t>
        </is>
      </c>
      <c r="AD3243" s="0" t="inlineStr">
        <is>
          <t>천호동</t>
        </is>
      </c>
      <c r="AG3243" s="0" t="inlineStr">
        <is>
          <t>서울시 강동구 천호대로163길 33-6</t>
        </is>
      </c>
      <c r="AH3243" s="0" t="n">
        <v>0</v>
      </c>
      <c r="AI3243" s="0" t="n">
        <v>275</v>
      </c>
      <c r="AJ3243" s="0" t="n">
        <v>59</v>
      </c>
      <c r="AK3243" s="0" t="n">
        <v>8</v>
      </c>
      <c r="AL3243" s="0" t="n">
        <v>1.14</v>
      </c>
    </row>
    <row r="3244">
      <c r="A3244" s="0" t="inlineStr">
        <is>
          <t>[천호동]</t>
        </is>
      </c>
      <c r="B3244" s="0" t="n">
        <v>115583</v>
      </c>
      <c r="C3244" s="0" t="n">
        <v>2</v>
      </c>
      <c r="D3244" s="0" t="inlineStr">
        <is>
          <t>창대캐슬</t>
        </is>
      </c>
      <c r="E3244" s="0" t="inlineStr">
        <is>
          <t>2003.12.</t>
        </is>
      </c>
      <c r="F3244" s="0" t="n">
        <v>7</v>
      </c>
      <c r="G3244" s="0" t="n">
        <v>23.97</v>
      </c>
      <c r="H3244" s="0" t="n">
        <v>79.26000000000001</v>
      </c>
      <c r="I3244" s="0" t="n">
        <v>20.73</v>
      </c>
      <c r="J3244" s="0" t="n">
        <v>68.54000000000001</v>
      </c>
      <c r="K3244" s="0" t="n">
        <v>2</v>
      </c>
      <c r="T3244" s="0" t="n">
        <v>3</v>
      </c>
      <c r="U3244" s="0" t="n">
        <v>1</v>
      </c>
      <c r="V3244" s="0" t="inlineStr">
        <is>
          <t>계단식</t>
        </is>
      </c>
      <c r="W3244" s="0" t="inlineStr">
        <is>
          <t>79B</t>
        </is>
      </c>
      <c r="X3244" s="0" t="n">
        <v>6</v>
      </c>
      <c r="Y3244" s="0" t="n">
        <v>4</v>
      </c>
      <c r="Z3244" s="0" t="inlineStr">
        <is>
          <t>https://new.land.naver.com/complexes/115583?tab=detail&amp;rf=Y</t>
        </is>
      </c>
      <c r="AA3244" s="0" t="inlineStr">
        <is>
          <t>서울시 강동구 천호동 166-106</t>
        </is>
      </c>
      <c r="AB3244" s="0" t="inlineStr">
        <is>
          <t>서울시</t>
        </is>
      </c>
      <c r="AC3244" s="0" t="inlineStr">
        <is>
          <t>강동구</t>
        </is>
      </c>
      <c r="AD3244" s="0" t="inlineStr">
        <is>
          <t>천호동</t>
        </is>
      </c>
      <c r="AG3244" s="0" t="inlineStr">
        <is>
          <t>서울시 강동구 천호대로163길 33-6</t>
        </is>
      </c>
      <c r="AH3244" s="0" t="n">
        <v>0</v>
      </c>
      <c r="AI3244" s="0" t="n">
        <v>275</v>
      </c>
      <c r="AJ3244" s="0" t="n">
        <v>59</v>
      </c>
      <c r="AK3244" s="0" t="n">
        <v>8</v>
      </c>
      <c r="AL3244" s="0" t="n">
        <v>1.14</v>
      </c>
    </row>
    <row r="3245">
      <c r="A3245" s="0" t="inlineStr">
        <is>
          <t>[천호동]</t>
        </is>
      </c>
      <c r="B3245" s="0" t="n">
        <v>115583</v>
      </c>
      <c r="C3245" s="0" t="n">
        <v>3</v>
      </c>
      <c r="D3245" s="0" t="inlineStr">
        <is>
          <t>창대캐슬</t>
        </is>
      </c>
      <c r="E3245" s="0" t="inlineStr">
        <is>
          <t>2003.12.</t>
        </is>
      </c>
      <c r="F3245" s="0" t="n">
        <v>7</v>
      </c>
      <c r="G3245" s="0" t="n">
        <v>33</v>
      </c>
      <c r="H3245" s="0" t="n">
        <v>109.12</v>
      </c>
      <c r="I3245" s="0" t="n">
        <v>28.54</v>
      </c>
      <c r="J3245" s="0" t="n">
        <v>94.37</v>
      </c>
      <c r="K3245" s="0" t="n">
        <v>1</v>
      </c>
      <c r="T3245" s="0" t="n">
        <v>3</v>
      </c>
      <c r="U3245" s="0" t="n">
        <v>2</v>
      </c>
      <c r="V3245" s="0" t="inlineStr">
        <is>
          <t>계단식</t>
        </is>
      </c>
      <c r="W3245" s="0" t="n">
        <v>109</v>
      </c>
      <c r="X3245" s="0" t="n">
        <v>6</v>
      </c>
      <c r="Y3245" s="0" t="n">
        <v>4</v>
      </c>
      <c r="Z3245" s="0" t="inlineStr">
        <is>
          <t>https://new.land.naver.com/complexes/115583?tab=detail&amp;rf=Y</t>
        </is>
      </c>
      <c r="AA3245" s="0" t="inlineStr">
        <is>
          <t>서울시 강동구 천호동 166-106</t>
        </is>
      </c>
      <c r="AB3245" s="0" t="inlineStr">
        <is>
          <t>서울시</t>
        </is>
      </c>
      <c r="AC3245" s="0" t="inlineStr">
        <is>
          <t>강동구</t>
        </is>
      </c>
      <c r="AD3245" s="0" t="inlineStr">
        <is>
          <t>천호동</t>
        </is>
      </c>
      <c r="AG3245" s="0" t="inlineStr">
        <is>
          <t>서울시 강동구 천호대로163길 33-6</t>
        </is>
      </c>
      <c r="AH3245" s="0" t="n">
        <v>0</v>
      </c>
      <c r="AI3245" s="0" t="n">
        <v>275</v>
      </c>
      <c r="AJ3245" s="0" t="n">
        <v>59</v>
      </c>
      <c r="AK3245" s="0" t="n">
        <v>8</v>
      </c>
      <c r="AL3245" s="0" t="n">
        <v>1.14</v>
      </c>
    </row>
    <row r="3246">
      <c r="A3246" s="0" t="inlineStr">
        <is>
          <t>[천호동]</t>
        </is>
      </c>
      <c r="B3246" s="0" t="n">
        <v>115583</v>
      </c>
      <c r="C3246" s="0" t="n">
        <v>4</v>
      </c>
      <c r="D3246" s="0" t="inlineStr">
        <is>
          <t>창대캐슬</t>
        </is>
      </c>
      <c r="E3246" s="0" t="inlineStr">
        <is>
          <t>2003.12.</t>
        </is>
      </c>
      <c r="F3246" s="0" t="n">
        <v>7</v>
      </c>
      <c r="G3246" s="0" t="n">
        <v>42.52</v>
      </c>
      <c r="H3246" s="0" t="n">
        <v>140.57</v>
      </c>
      <c r="I3246" s="0" t="n">
        <v>36.77</v>
      </c>
      <c r="J3246" s="0" t="n">
        <v>121.57</v>
      </c>
      <c r="K3246" s="0" t="n">
        <v>1</v>
      </c>
      <c r="T3246" s="0" t="n">
        <v>4</v>
      </c>
      <c r="U3246" s="0" t="n">
        <v>2</v>
      </c>
      <c r="V3246" s="0" t="inlineStr">
        <is>
          <t>계단식</t>
        </is>
      </c>
      <c r="W3246" s="0" t="n">
        <v>140</v>
      </c>
      <c r="X3246" s="0" t="n">
        <v>6</v>
      </c>
      <c r="Y3246" s="0" t="n">
        <v>4</v>
      </c>
      <c r="Z3246" s="0" t="inlineStr">
        <is>
          <t>https://new.land.naver.com/complexes/115583?tab=detail&amp;rf=Y</t>
        </is>
      </c>
      <c r="AA3246" s="0" t="inlineStr">
        <is>
          <t>서울시 강동구 천호동 166-106</t>
        </is>
      </c>
      <c r="AB3246" s="0" t="inlineStr">
        <is>
          <t>서울시</t>
        </is>
      </c>
      <c r="AC3246" s="0" t="inlineStr">
        <is>
          <t>강동구</t>
        </is>
      </c>
      <c r="AD3246" s="0" t="inlineStr">
        <is>
          <t>천호동</t>
        </is>
      </c>
      <c r="AG3246" s="0" t="inlineStr">
        <is>
          <t>서울시 강동구 천호대로163길 33-6</t>
        </is>
      </c>
      <c r="AH3246" s="0" t="n">
        <v>0</v>
      </c>
      <c r="AI3246" s="0" t="n">
        <v>275</v>
      </c>
      <c r="AJ3246" s="0" t="n">
        <v>59</v>
      </c>
      <c r="AK3246" s="0" t="n">
        <v>8</v>
      </c>
      <c r="AL3246" s="0" t="n">
        <v>1.14</v>
      </c>
    </row>
    <row r="3247">
      <c r="A3247" s="0" t="inlineStr">
        <is>
          <t>[천호동]</t>
        </is>
      </c>
      <c r="B3247" s="0" t="n">
        <v>10927</v>
      </c>
      <c r="C3247" s="0" t="n">
        <v>1</v>
      </c>
      <c r="D3247" s="0" t="inlineStr">
        <is>
          <t>성인</t>
        </is>
      </c>
      <c r="E3247" s="0" t="inlineStr">
        <is>
          <t>2002.06.</t>
        </is>
      </c>
      <c r="F3247" s="0" t="n">
        <v>19</v>
      </c>
      <c r="G3247" s="0" t="n">
        <v>22.51</v>
      </c>
      <c r="H3247" s="0" t="n">
        <v>74.42</v>
      </c>
      <c r="I3247" s="0" t="n">
        <v>19.04</v>
      </c>
      <c r="J3247" s="0" t="n">
        <v>62.97</v>
      </c>
      <c r="K3247" s="0" t="n">
        <v>1</v>
      </c>
      <c r="T3247" s="0" t="n">
        <v>3</v>
      </c>
      <c r="U3247" s="0" t="n">
        <v>1</v>
      </c>
      <c r="V3247" s="0" t="inlineStr">
        <is>
          <t>계단식</t>
        </is>
      </c>
      <c r="W3247" s="0" t="n">
        <v>74</v>
      </c>
      <c r="X3247" s="0" t="n">
        <v>7</v>
      </c>
      <c r="Y3247" s="0" t="n">
        <v>7</v>
      </c>
      <c r="Z3247" s="0" t="inlineStr">
        <is>
          <t>https://new.land.naver.com/complexes/10927?tab=detail&amp;rf=Y</t>
        </is>
      </c>
      <c r="AA3247" s="0" t="inlineStr">
        <is>
          <t>서울시 강동구 천호동 32-2</t>
        </is>
      </c>
      <c r="AB3247" s="0" t="inlineStr">
        <is>
          <t>서울시</t>
        </is>
      </c>
      <c r="AC3247" s="0" t="inlineStr">
        <is>
          <t>강동구</t>
        </is>
      </c>
      <c r="AD3247" s="0" t="inlineStr">
        <is>
          <t>천호동</t>
        </is>
      </c>
      <c r="AG3247" s="0" t="inlineStr">
        <is>
          <t>서울시 강동구 양재대로133길 19</t>
        </is>
      </c>
      <c r="AH3247" s="0" t="n">
        <v>0</v>
      </c>
      <c r="AI3247" s="0" t="n">
        <v>293</v>
      </c>
      <c r="AJ3247" s="0" t="n">
        <v>48</v>
      </c>
      <c r="AK3247" s="0" t="n">
        <v>22</v>
      </c>
      <c r="AL3247" s="0" t="n">
        <v>1.16</v>
      </c>
    </row>
    <row r="3248">
      <c r="A3248" s="0" t="inlineStr">
        <is>
          <t>[천호동]</t>
        </is>
      </c>
      <c r="B3248" s="0" t="n">
        <v>10927</v>
      </c>
      <c r="C3248" s="0" t="n">
        <v>2</v>
      </c>
      <c r="D3248" s="0" t="inlineStr">
        <is>
          <t>성인</t>
        </is>
      </c>
      <c r="E3248" s="0" t="inlineStr">
        <is>
          <t>2002.06.</t>
        </is>
      </c>
      <c r="F3248" s="0" t="n">
        <v>19</v>
      </c>
      <c r="G3248" s="0" t="n">
        <v>27.66</v>
      </c>
      <c r="H3248" s="0" t="n">
        <v>91.44</v>
      </c>
      <c r="I3248" s="0" t="n">
        <v>23.4</v>
      </c>
      <c r="J3248" s="0" t="n">
        <v>77.37</v>
      </c>
      <c r="K3248" s="0" t="n">
        <v>1</v>
      </c>
      <c r="T3248" s="0" t="n">
        <v>3</v>
      </c>
      <c r="U3248" s="0" t="n">
        <v>2</v>
      </c>
      <c r="V3248" s="0" t="inlineStr">
        <is>
          <t>계단식</t>
        </is>
      </c>
      <c r="W3248" s="0" t="inlineStr">
        <is>
          <t>91A</t>
        </is>
      </c>
      <c r="X3248" s="0" t="n">
        <v>7</v>
      </c>
      <c r="Y3248" s="0" t="n">
        <v>7</v>
      </c>
      <c r="Z3248" s="0" t="inlineStr">
        <is>
          <t>https://new.land.naver.com/complexes/10927?tab=detail&amp;rf=Y</t>
        </is>
      </c>
      <c r="AA3248" s="0" t="inlineStr">
        <is>
          <t>서울시 강동구 천호동 32-2</t>
        </is>
      </c>
      <c r="AB3248" s="0" t="inlineStr">
        <is>
          <t>서울시</t>
        </is>
      </c>
      <c r="AC3248" s="0" t="inlineStr">
        <is>
          <t>강동구</t>
        </is>
      </c>
      <c r="AD3248" s="0" t="inlineStr">
        <is>
          <t>천호동</t>
        </is>
      </c>
      <c r="AG3248" s="0" t="inlineStr">
        <is>
          <t>서울시 강동구 양재대로133길 19</t>
        </is>
      </c>
      <c r="AH3248" s="0" t="n">
        <v>0</v>
      </c>
      <c r="AI3248" s="0" t="n">
        <v>293</v>
      </c>
      <c r="AJ3248" s="0" t="n">
        <v>48</v>
      </c>
      <c r="AK3248" s="0" t="n">
        <v>22</v>
      </c>
      <c r="AL3248" s="0" t="n">
        <v>1.16</v>
      </c>
    </row>
    <row r="3249">
      <c r="A3249" s="0" t="inlineStr">
        <is>
          <t>[천호동]</t>
        </is>
      </c>
      <c r="B3249" s="0" t="n">
        <v>10927</v>
      </c>
      <c r="C3249" s="0" t="n">
        <v>3</v>
      </c>
      <c r="D3249" s="0" t="inlineStr">
        <is>
          <t>성인</t>
        </is>
      </c>
      <c r="E3249" s="0" t="inlineStr">
        <is>
          <t>2002.06.</t>
        </is>
      </c>
      <c r="F3249" s="0" t="n">
        <v>19</v>
      </c>
      <c r="G3249" s="0" t="n">
        <v>27.89</v>
      </c>
      <c r="H3249" s="0" t="n">
        <v>92.20999999999999</v>
      </c>
      <c r="I3249" s="0" t="n">
        <v>23.6</v>
      </c>
      <c r="J3249" s="0" t="n">
        <v>78.02</v>
      </c>
      <c r="K3249" s="0" t="n">
        <v>1</v>
      </c>
      <c r="T3249" s="0" t="n">
        <v>3</v>
      </c>
      <c r="U3249" s="0" t="n">
        <v>2</v>
      </c>
      <c r="V3249" s="0" t="inlineStr">
        <is>
          <t>계단식</t>
        </is>
      </c>
      <c r="W3249" s="0" t="inlineStr">
        <is>
          <t>92B</t>
        </is>
      </c>
      <c r="X3249" s="0" t="n">
        <v>7</v>
      </c>
      <c r="Y3249" s="0" t="n">
        <v>7</v>
      </c>
      <c r="Z3249" s="0" t="inlineStr">
        <is>
          <t>https://new.land.naver.com/complexes/10927?tab=detail&amp;rf=Y</t>
        </is>
      </c>
      <c r="AA3249" s="0" t="inlineStr">
        <is>
          <t>서울시 강동구 천호동 32-2</t>
        </is>
      </c>
      <c r="AB3249" s="0" t="inlineStr">
        <is>
          <t>서울시</t>
        </is>
      </c>
      <c r="AC3249" s="0" t="inlineStr">
        <is>
          <t>강동구</t>
        </is>
      </c>
      <c r="AD3249" s="0" t="inlineStr">
        <is>
          <t>천호동</t>
        </is>
      </c>
      <c r="AG3249" s="0" t="inlineStr">
        <is>
          <t>서울시 강동구 양재대로133길 19</t>
        </is>
      </c>
      <c r="AH3249" s="0" t="n">
        <v>0</v>
      </c>
      <c r="AI3249" s="0" t="n">
        <v>293</v>
      </c>
      <c r="AJ3249" s="0" t="n">
        <v>48</v>
      </c>
      <c r="AK3249" s="0" t="n">
        <v>22</v>
      </c>
      <c r="AL3249" s="0" t="n">
        <v>1.16</v>
      </c>
    </row>
    <row r="3250">
      <c r="A3250" s="0" t="inlineStr">
        <is>
          <t>[천호동]</t>
        </is>
      </c>
      <c r="B3250" s="0" t="n">
        <v>10927</v>
      </c>
      <c r="C3250" s="0" t="n">
        <v>4</v>
      </c>
      <c r="D3250" s="0" t="inlineStr">
        <is>
          <t>성인</t>
        </is>
      </c>
      <c r="E3250" s="0" t="inlineStr">
        <is>
          <t>2002.06.</t>
        </is>
      </c>
      <c r="F3250" s="0" t="n">
        <v>19</v>
      </c>
      <c r="G3250" s="0" t="n">
        <v>28</v>
      </c>
      <c r="H3250" s="0" t="n">
        <v>92.59</v>
      </c>
      <c r="I3250" s="0" t="n">
        <v>23.69</v>
      </c>
      <c r="J3250" s="0" t="n">
        <v>78.34</v>
      </c>
      <c r="K3250" s="0" t="n">
        <v>1</v>
      </c>
      <c r="T3250" s="0" t="n">
        <v>3</v>
      </c>
      <c r="U3250" s="0" t="n">
        <v>2</v>
      </c>
      <c r="V3250" s="0" t="inlineStr">
        <is>
          <t>계단식</t>
        </is>
      </c>
      <c r="W3250" s="0" t="inlineStr">
        <is>
          <t>92C</t>
        </is>
      </c>
      <c r="X3250" s="0" t="n">
        <v>7</v>
      </c>
      <c r="Y3250" s="0" t="n">
        <v>7</v>
      </c>
      <c r="Z3250" s="0" t="inlineStr">
        <is>
          <t>https://new.land.naver.com/complexes/10927?tab=detail&amp;rf=Y</t>
        </is>
      </c>
      <c r="AA3250" s="0" t="inlineStr">
        <is>
          <t>서울시 강동구 천호동 32-2</t>
        </is>
      </c>
      <c r="AB3250" s="0" t="inlineStr">
        <is>
          <t>서울시</t>
        </is>
      </c>
      <c r="AC3250" s="0" t="inlineStr">
        <is>
          <t>강동구</t>
        </is>
      </c>
      <c r="AD3250" s="0" t="inlineStr">
        <is>
          <t>천호동</t>
        </is>
      </c>
      <c r="AG3250" s="0" t="inlineStr">
        <is>
          <t>서울시 강동구 양재대로133길 19</t>
        </is>
      </c>
      <c r="AH3250" s="0" t="n">
        <v>0</v>
      </c>
      <c r="AI3250" s="0" t="n">
        <v>293</v>
      </c>
      <c r="AJ3250" s="0" t="n">
        <v>48</v>
      </c>
      <c r="AK3250" s="0" t="n">
        <v>22</v>
      </c>
      <c r="AL3250" s="0" t="n">
        <v>1.16</v>
      </c>
    </row>
    <row r="3251">
      <c r="A3251" s="0" t="inlineStr">
        <is>
          <t>[천호동]</t>
        </is>
      </c>
      <c r="B3251" s="0" t="n">
        <v>10927</v>
      </c>
      <c r="C3251" s="0" t="n">
        <v>5</v>
      </c>
      <c r="D3251" s="0" t="inlineStr">
        <is>
          <t>성인</t>
        </is>
      </c>
      <c r="E3251" s="0" t="inlineStr">
        <is>
          <t>2002.06.</t>
        </is>
      </c>
      <c r="F3251" s="0" t="n">
        <v>19</v>
      </c>
      <c r="G3251" s="0" t="n">
        <v>28.17</v>
      </c>
      <c r="H3251" s="0" t="n">
        <v>93.14</v>
      </c>
      <c r="I3251" s="0" t="n">
        <v>23.83</v>
      </c>
      <c r="J3251" s="0" t="n">
        <v>78.8</v>
      </c>
      <c r="K3251" s="0" t="n">
        <v>5</v>
      </c>
      <c r="T3251" s="0" t="n">
        <v>3</v>
      </c>
      <c r="U3251" s="0" t="n">
        <v>2</v>
      </c>
      <c r="V3251" s="0" t="inlineStr">
        <is>
          <t>계단식</t>
        </is>
      </c>
      <c r="W3251" s="0" t="inlineStr">
        <is>
          <t>93D</t>
        </is>
      </c>
      <c r="X3251" s="0" t="n">
        <v>7</v>
      </c>
      <c r="Y3251" s="0" t="n">
        <v>7</v>
      </c>
      <c r="Z3251" s="0" t="inlineStr">
        <is>
          <t>https://new.land.naver.com/complexes/10927?tab=detail&amp;rf=Y</t>
        </is>
      </c>
      <c r="AA3251" s="0" t="inlineStr">
        <is>
          <t>서울시 강동구 천호동 32-2</t>
        </is>
      </c>
      <c r="AB3251" s="0" t="inlineStr">
        <is>
          <t>서울시</t>
        </is>
      </c>
      <c r="AC3251" s="0" t="inlineStr">
        <is>
          <t>강동구</t>
        </is>
      </c>
      <c r="AD3251" s="0" t="inlineStr">
        <is>
          <t>천호동</t>
        </is>
      </c>
      <c r="AG3251" s="0" t="inlineStr">
        <is>
          <t>서울시 강동구 양재대로133길 19</t>
        </is>
      </c>
      <c r="AH3251" s="0" t="n">
        <v>0</v>
      </c>
      <c r="AI3251" s="0" t="n">
        <v>293</v>
      </c>
      <c r="AJ3251" s="0" t="n">
        <v>48</v>
      </c>
      <c r="AK3251" s="0" t="n">
        <v>22</v>
      </c>
      <c r="AL3251" s="0" t="n">
        <v>1.16</v>
      </c>
    </row>
    <row r="3252">
      <c r="A3252" s="0" t="inlineStr">
        <is>
          <t>[천호동]</t>
        </is>
      </c>
      <c r="B3252" s="0" t="n">
        <v>10927</v>
      </c>
      <c r="C3252" s="0" t="n">
        <v>6</v>
      </c>
      <c r="D3252" s="0" t="inlineStr">
        <is>
          <t>성인</t>
        </is>
      </c>
      <c r="E3252" s="0" t="inlineStr">
        <is>
          <t>2002.06.</t>
        </is>
      </c>
      <c r="F3252" s="0" t="n">
        <v>19</v>
      </c>
      <c r="G3252" s="0" t="n">
        <v>28.33</v>
      </c>
      <c r="H3252" s="0" t="n">
        <v>93.68000000000001</v>
      </c>
      <c r="I3252" s="0" t="n">
        <v>24</v>
      </c>
      <c r="J3252" s="0" t="n">
        <v>79.34</v>
      </c>
      <c r="K3252" s="0" t="n">
        <v>1</v>
      </c>
      <c r="T3252" s="0" t="n">
        <v>3</v>
      </c>
      <c r="U3252" s="0" t="n">
        <v>2</v>
      </c>
      <c r="V3252" s="0" t="inlineStr">
        <is>
          <t>계단식</t>
        </is>
      </c>
      <c r="W3252" s="0" t="inlineStr">
        <is>
          <t>93E</t>
        </is>
      </c>
      <c r="X3252" s="0" t="n">
        <v>7</v>
      </c>
      <c r="Y3252" s="0" t="n">
        <v>7</v>
      </c>
      <c r="Z3252" s="0" t="inlineStr">
        <is>
          <t>https://new.land.naver.com/complexes/10927?tab=detail&amp;rf=Y</t>
        </is>
      </c>
      <c r="AA3252" s="0" t="inlineStr">
        <is>
          <t>서울시 강동구 천호동 32-2</t>
        </is>
      </c>
      <c r="AB3252" s="0" t="inlineStr">
        <is>
          <t>서울시</t>
        </is>
      </c>
      <c r="AC3252" s="0" t="inlineStr">
        <is>
          <t>강동구</t>
        </is>
      </c>
      <c r="AD3252" s="0" t="inlineStr">
        <is>
          <t>천호동</t>
        </is>
      </c>
      <c r="AG3252" s="0" t="inlineStr">
        <is>
          <t>서울시 강동구 양재대로133길 19</t>
        </is>
      </c>
      <c r="AH3252" s="0" t="n">
        <v>0</v>
      </c>
      <c r="AI3252" s="0" t="n">
        <v>293</v>
      </c>
      <c r="AJ3252" s="0" t="n">
        <v>48</v>
      </c>
      <c r="AK3252" s="0" t="n">
        <v>22</v>
      </c>
      <c r="AL3252" s="0" t="n">
        <v>1.16</v>
      </c>
    </row>
    <row r="3253">
      <c r="A3253" s="0" t="inlineStr">
        <is>
          <t>[천호동]</t>
        </is>
      </c>
      <c r="B3253" s="0" t="n">
        <v>10927</v>
      </c>
      <c r="C3253" s="0" t="n">
        <v>7</v>
      </c>
      <c r="D3253" s="0" t="inlineStr">
        <is>
          <t>성인</t>
        </is>
      </c>
      <c r="E3253" s="0" t="inlineStr">
        <is>
          <t>2002.06.</t>
        </is>
      </c>
      <c r="F3253" s="0" t="n">
        <v>19</v>
      </c>
      <c r="G3253" s="0" t="n">
        <v>28.48</v>
      </c>
      <c r="H3253" s="0" t="n">
        <v>94.15000000000001</v>
      </c>
      <c r="I3253" s="0" t="n">
        <v>24.09</v>
      </c>
      <c r="J3253" s="0" t="n">
        <v>79.66</v>
      </c>
      <c r="K3253" s="0" t="n">
        <v>5</v>
      </c>
      <c r="T3253" s="0" t="n">
        <v>3</v>
      </c>
      <c r="U3253" s="0" t="n">
        <v>2</v>
      </c>
      <c r="V3253" s="0" t="inlineStr">
        <is>
          <t>계단식</t>
        </is>
      </c>
      <c r="W3253" s="0" t="inlineStr">
        <is>
          <t>94F</t>
        </is>
      </c>
      <c r="X3253" s="0" t="n">
        <v>7</v>
      </c>
      <c r="Y3253" s="0" t="n">
        <v>7</v>
      </c>
      <c r="Z3253" s="0" t="inlineStr">
        <is>
          <t>https://new.land.naver.com/complexes/10927?tab=detail&amp;rf=Y</t>
        </is>
      </c>
      <c r="AA3253" s="0" t="inlineStr">
        <is>
          <t>서울시 강동구 천호동 32-2</t>
        </is>
      </c>
      <c r="AB3253" s="0" t="inlineStr">
        <is>
          <t>서울시</t>
        </is>
      </c>
      <c r="AC3253" s="0" t="inlineStr">
        <is>
          <t>강동구</t>
        </is>
      </c>
      <c r="AD3253" s="0" t="inlineStr">
        <is>
          <t>천호동</t>
        </is>
      </c>
      <c r="AG3253" s="0" t="inlineStr">
        <is>
          <t>서울시 강동구 양재대로133길 19</t>
        </is>
      </c>
      <c r="AH3253" s="0" t="n">
        <v>0</v>
      </c>
      <c r="AI3253" s="0" t="n">
        <v>293</v>
      </c>
      <c r="AJ3253" s="0" t="n">
        <v>48</v>
      </c>
      <c r="AK3253" s="0" t="n">
        <v>22</v>
      </c>
      <c r="AL3253" s="0" t="n">
        <v>1.16</v>
      </c>
    </row>
    <row r="3254">
      <c r="A3254" s="0" t="inlineStr">
        <is>
          <t>[천호동]</t>
        </is>
      </c>
      <c r="B3254" s="0" t="n">
        <v>10927</v>
      </c>
      <c r="C3254" s="0" t="n">
        <v>8</v>
      </c>
      <c r="D3254" s="0" t="inlineStr">
        <is>
          <t>성인</t>
        </is>
      </c>
      <c r="E3254" s="0" t="inlineStr">
        <is>
          <t>2002.06.</t>
        </is>
      </c>
      <c r="F3254" s="0" t="n">
        <v>19</v>
      </c>
      <c r="G3254" s="0" t="n">
        <v>28.64</v>
      </c>
      <c r="H3254" s="0" t="n">
        <v>94.69</v>
      </c>
      <c r="I3254" s="0" t="n">
        <v>24.23</v>
      </c>
      <c r="J3254" s="0" t="n">
        <v>80.12</v>
      </c>
      <c r="K3254" s="0" t="n">
        <v>4</v>
      </c>
      <c r="T3254" s="0" t="n">
        <v>3</v>
      </c>
      <c r="U3254" s="0" t="n">
        <v>2</v>
      </c>
      <c r="V3254" s="0" t="inlineStr">
        <is>
          <t>계단식</t>
        </is>
      </c>
      <c r="W3254" s="0" t="n">
        <v>94</v>
      </c>
      <c r="X3254" s="0" t="n">
        <v>7</v>
      </c>
      <c r="Y3254" s="0" t="n">
        <v>7</v>
      </c>
      <c r="Z3254" s="0" t="inlineStr">
        <is>
          <t>https://new.land.naver.com/complexes/10927?tab=detail&amp;rf=Y</t>
        </is>
      </c>
      <c r="AA3254" s="0" t="inlineStr">
        <is>
          <t>서울시 강동구 천호동 32-2</t>
        </is>
      </c>
      <c r="AB3254" s="0" t="inlineStr">
        <is>
          <t>서울시</t>
        </is>
      </c>
      <c r="AC3254" s="0" t="inlineStr">
        <is>
          <t>강동구</t>
        </is>
      </c>
      <c r="AD3254" s="0" t="inlineStr">
        <is>
          <t>천호동</t>
        </is>
      </c>
      <c r="AG3254" s="0" t="inlineStr">
        <is>
          <t>서울시 강동구 양재대로133길 19</t>
        </is>
      </c>
      <c r="AH3254" s="0" t="n">
        <v>0</v>
      </c>
      <c r="AI3254" s="0" t="n">
        <v>293</v>
      </c>
      <c r="AJ3254" s="0" t="n">
        <v>48</v>
      </c>
      <c r="AK3254" s="0" t="n">
        <v>22</v>
      </c>
      <c r="AL3254" s="0" t="n">
        <v>1.16</v>
      </c>
    </row>
    <row r="3255">
      <c r="A3255" s="0" t="inlineStr">
        <is>
          <t>[천호동]</t>
        </is>
      </c>
      <c r="B3255" s="0" t="n">
        <v>141846</v>
      </c>
      <c r="C3255" s="0" t="n">
        <v>1</v>
      </c>
      <c r="D3255" s="0" t="inlineStr">
        <is>
          <t>아스하임9차(도시형)</t>
        </is>
      </c>
      <c r="E3255" s="0" t="inlineStr">
        <is>
          <t>2021.06.</t>
        </is>
      </c>
      <c r="F3255" s="0" t="n">
        <v>149</v>
      </c>
      <c r="G3255" s="0" t="n">
        <v>4.8</v>
      </c>
      <c r="H3255" s="0" t="n">
        <v>15.87</v>
      </c>
      <c r="I3255" s="0" t="n">
        <v>3.42</v>
      </c>
      <c r="J3255" s="0" t="n">
        <v>11.33</v>
      </c>
      <c r="K3255" s="0" t="n">
        <v>26</v>
      </c>
      <c r="T3255" s="0" t="n">
        <v>1</v>
      </c>
      <c r="U3255" s="0" t="n">
        <v>1</v>
      </c>
      <c r="V3255" s="0" t="inlineStr">
        <is>
          <t>계단식</t>
        </is>
      </c>
      <c r="W3255" s="0" t="inlineStr">
        <is>
          <t>15B</t>
        </is>
      </c>
      <c r="X3255" s="0" t="n">
        <v>20</v>
      </c>
      <c r="Y3255" s="0" t="n">
        <v>19</v>
      </c>
      <c r="Z3255" s="0" t="inlineStr">
        <is>
          <t>https://new.land.naver.com/complexes/141846?tab=detail&amp;rf=Y</t>
        </is>
      </c>
      <c r="AA3255" s="0" t="inlineStr">
        <is>
          <t>서울시 강동구 천호동 432-7</t>
        </is>
      </c>
      <c r="AB3255" s="0" t="inlineStr">
        <is>
          <t>서울시</t>
        </is>
      </c>
      <c r="AC3255" s="0" t="inlineStr">
        <is>
          <t>강동구</t>
        </is>
      </c>
      <c r="AD3255" s="0" t="inlineStr">
        <is>
          <t>천호동</t>
        </is>
      </c>
      <c r="AG3255" s="0" t="inlineStr">
        <is>
          <t>서울시 강동구 올림픽로 663</t>
        </is>
      </c>
      <c r="AH3255" s="0" t="n">
        <v>0</v>
      </c>
      <c r="AI3255" s="0" t="n">
        <v>582</v>
      </c>
      <c r="AJ3255" s="0" t="n">
        <v>50</v>
      </c>
      <c r="AK3255" s="0" t="n">
        <v>72</v>
      </c>
      <c r="AL3255" s="0" t="n">
        <v>0.48</v>
      </c>
    </row>
    <row r="3256">
      <c r="A3256" s="0" t="inlineStr">
        <is>
          <t>[천호동]</t>
        </is>
      </c>
      <c r="B3256" s="0" t="n">
        <v>141846</v>
      </c>
      <c r="C3256" s="0" t="n">
        <v>2</v>
      </c>
      <c r="D3256" s="0" t="inlineStr">
        <is>
          <t>아스하임9차(도시형)</t>
        </is>
      </c>
      <c r="E3256" s="0" t="inlineStr">
        <is>
          <t>2021.06.</t>
        </is>
      </c>
      <c r="F3256" s="0" t="n">
        <v>149</v>
      </c>
      <c r="G3256" s="0" t="n">
        <v>5.46</v>
      </c>
      <c r="H3256" s="0" t="n">
        <v>18.07</v>
      </c>
      <c r="I3256" s="0" t="n">
        <v>3.89</v>
      </c>
      <c r="J3256" s="0" t="n">
        <v>12.88</v>
      </c>
      <c r="K3256" s="0" t="n">
        <v>118</v>
      </c>
      <c r="T3256" s="0" t="n">
        <v>1</v>
      </c>
      <c r="U3256" s="0" t="n">
        <v>1</v>
      </c>
      <c r="V3256" s="0" t="inlineStr">
        <is>
          <t>계단식</t>
        </is>
      </c>
      <c r="W3256" s="0" t="inlineStr">
        <is>
          <t>18A</t>
        </is>
      </c>
      <c r="X3256" s="0" t="n">
        <v>20</v>
      </c>
      <c r="Y3256" s="0" t="n">
        <v>19</v>
      </c>
      <c r="Z3256" s="0" t="inlineStr">
        <is>
          <t>https://new.land.naver.com/complexes/141846?tab=detail&amp;rf=Y</t>
        </is>
      </c>
      <c r="AA3256" s="0" t="inlineStr">
        <is>
          <t>서울시 강동구 천호동 432-7</t>
        </is>
      </c>
      <c r="AB3256" s="0" t="inlineStr">
        <is>
          <t>서울시</t>
        </is>
      </c>
      <c r="AC3256" s="0" t="inlineStr">
        <is>
          <t>강동구</t>
        </is>
      </c>
      <c r="AD3256" s="0" t="inlineStr">
        <is>
          <t>천호동</t>
        </is>
      </c>
      <c r="AG3256" s="0" t="inlineStr">
        <is>
          <t>서울시 강동구 올림픽로 663</t>
        </is>
      </c>
      <c r="AH3256" s="0" t="n">
        <v>0</v>
      </c>
      <c r="AI3256" s="0" t="n">
        <v>582</v>
      </c>
      <c r="AJ3256" s="0" t="n">
        <v>50</v>
      </c>
      <c r="AK3256" s="0" t="n">
        <v>72</v>
      </c>
      <c r="AL3256" s="0" t="n">
        <v>0.48</v>
      </c>
    </row>
    <row r="3257">
      <c r="A3257" s="0" t="inlineStr">
        <is>
          <t>[천호동]</t>
        </is>
      </c>
      <c r="B3257" s="0" t="n">
        <v>141846</v>
      </c>
      <c r="C3257" s="0" t="n">
        <v>3</v>
      </c>
      <c r="D3257" s="0" t="inlineStr">
        <is>
          <t>아스하임9차(도시형)</t>
        </is>
      </c>
      <c r="E3257" s="0" t="inlineStr">
        <is>
          <t>2021.06.</t>
        </is>
      </c>
      <c r="F3257" s="0" t="n">
        <v>149</v>
      </c>
      <c r="G3257" s="0" t="n">
        <v>7.74</v>
      </c>
      <c r="H3257" s="0" t="n">
        <v>25.6</v>
      </c>
      <c r="I3257" s="0" t="n">
        <v>5.58</v>
      </c>
      <c r="J3257" s="0" t="n">
        <v>18.47</v>
      </c>
      <c r="K3257" s="0" t="n">
        <v>1</v>
      </c>
      <c r="T3257" s="0" t="n">
        <v>1</v>
      </c>
      <c r="U3257" s="0" t="n">
        <v>1</v>
      </c>
      <c r="V3257" s="0" t="inlineStr">
        <is>
          <t>계단식</t>
        </is>
      </c>
      <c r="W3257" s="0" t="inlineStr">
        <is>
          <t>25E</t>
        </is>
      </c>
      <c r="X3257" s="0" t="n">
        <v>20</v>
      </c>
      <c r="Y3257" s="0" t="n">
        <v>19</v>
      </c>
      <c r="Z3257" s="0" t="inlineStr">
        <is>
          <t>https://new.land.naver.com/complexes/141846?tab=detail&amp;rf=Y</t>
        </is>
      </c>
      <c r="AA3257" s="0" t="inlineStr">
        <is>
          <t>서울시 강동구 천호동 432-7</t>
        </is>
      </c>
      <c r="AB3257" s="0" t="inlineStr">
        <is>
          <t>서울시</t>
        </is>
      </c>
      <c r="AC3257" s="0" t="inlineStr">
        <is>
          <t>강동구</t>
        </is>
      </c>
      <c r="AD3257" s="0" t="inlineStr">
        <is>
          <t>천호동</t>
        </is>
      </c>
      <c r="AG3257" s="0" t="inlineStr">
        <is>
          <t>서울시 강동구 올림픽로 663</t>
        </is>
      </c>
      <c r="AH3257" s="0" t="n">
        <v>0</v>
      </c>
      <c r="AI3257" s="0" t="n">
        <v>582</v>
      </c>
      <c r="AJ3257" s="0" t="n">
        <v>50</v>
      </c>
      <c r="AK3257" s="0" t="n">
        <v>72</v>
      </c>
      <c r="AL3257" s="0" t="n">
        <v>0.48</v>
      </c>
    </row>
    <row r="3258">
      <c r="A3258" s="0" t="inlineStr">
        <is>
          <t>[천호동]</t>
        </is>
      </c>
      <c r="B3258" s="0" t="n">
        <v>141846</v>
      </c>
      <c r="C3258" s="0" t="n">
        <v>4</v>
      </c>
      <c r="D3258" s="0" t="inlineStr">
        <is>
          <t>아스하임9차(도시형)</t>
        </is>
      </c>
      <c r="E3258" s="0" t="inlineStr">
        <is>
          <t>2021.06.</t>
        </is>
      </c>
      <c r="F3258" s="0" t="n">
        <v>149</v>
      </c>
      <c r="G3258" s="0" t="n">
        <v>8.4</v>
      </c>
      <c r="H3258" s="0" t="n">
        <v>27.8</v>
      </c>
      <c r="I3258" s="0" t="n">
        <v>6.05</v>
      </c>
      <c r="J3258" s="0" t="n">
        <v>20.03</v>
      </c>
      <c r="K3258" s="0" t="n">
        <v>2</v>
      </c>
      <c r="T3258" s="0" t="n">
        <v>1</v>
      </c>
      <c r="U3258" s="0" t="n">
        <v>1</v>
      </c>
      <c r="V3258" s="0" t="inlineStr">
        <is>
          <t>계단식</t>
        </is>
      </c>
      <c r="W3258" s="0" t="inlineStr">
        <is>
          <t>27C</t>
        </is>
      </c>
      <c r="X3258" s="0" t="n">
        <v>20</v>
      </c>
      <c r="Y3258" s="0" t="n">
        <v>19</v>
      </c>
      <c r="Z3258" s="0" t="inlineStr">
        <is>
          <t>https://new.land.naver.com/complexes/141846?tab=detail&amp;rf=Y</t>
        </is>
      </c>
      <c r="AA3258" s="0" t="inlineStr">
        <is>
          <t>서울시 강동구 천호동 432-7</t>
        </is>
      </c>
      <c r="AB3258" s="0" t="inlineStr">
        <is>
          <t>서울시</t>
        </is>
      </c>
      <c r="AC3258" s="0" t="inlineStr">
        <is>
          <t>강동구</t>
        </is>
      </c>
      <c r="AD3258" s="0" t="inlineStr">
        <is>
          <t>천호동</t>
        </is>
      </c>
      <c r="AG3258" s="0" t="inlineStr">
        <is>
          <t>서울시 강동구 올림픽로 663</t>
        </is>
      </c>
      <c r="AH3258" s="0" t="n">
        <v>0</v>
      </c>
      <c r="AI3258" s="0" t="n">
        <v>582</v>
      </c>
      <c r="AJ3258" s="0" t="n">
        <v>50</v>
      </c>
      <c r="AK3258" s="0" t="n">
        <v>72</v>
      </c>
      <c r="AL3258" s="0" t="n">
        <v>0.48</v>
      </c>
    </row>
    <row r="3259">
      <c r="A3259" s="0" t="inlineStr">
        <is>
          <t>[천호동]</t>
        </is>
      </c>
      <c r="B3259" s="0" t="n">
        <v>141846</v>
      </c>
      <c r="C3259" s="0" t="n">
        <v>5</v>
      </c>
      <c r="D3259" s="0" t="inlineStr">
        <is>
          <t>아스하임9차(도시형)</t>
        </is>
      </c>
      <c r="E3259" s="0" t="inlineStr">
        <is>
          <t>2021.06.</t>
        </is>
      </c>
      <c r="F3259" s="0" t="n">
        <v>149</v>
      </c>
      <c r="G3259" s="0" t="n">
        <v>11.39</v>
      </c>
      <c r="H3259" s="0" t="n">
        <v>37.67</v>
      </c>
      <c r="I3259" s="0" t="n">
        <v>9.23</v>
      </c>
      <c r="J3259" s="0" t="n">
        <v>30.52</v>
      </c>
      <c r="K3259" s="0" t="n">
        <v>2</v>
      </c>
      <c r="T3259" s="0" t="n">
        <v>1</v>
      </c>
      <c r="U3259" s="0" t="n">
        <v>1</v>
      </c>
      <c r="V3259" s="0" t="inlineStr">
        <is>
          <t>계단식</t>
        </is>
      </c>
      <c r="W3259" s="0" t="inlineStr">
        <is>
          <t>37D</t>
        </is>
      </c>
      <c r="X3259" s="0" t="n">
        <v>20</v>
      </c>
      <c r="Y3259" s="0" t="n">
        <v>19</v>
      </c>
      <c r="Z3259" s="0" t="inlineStr">
        <is>
          <t>https://new.land.naver.com/complexes/141846?tab=detail&amp;rf=Y</t>
        </is>
      </c>
      <c r="AA3259" s="0" t="inlineStr">
        <is>
          <t>서울시 강동구 천호동 432-7</t>
        </is>
      </c>
      <c r="AB3259" s="0" t="inlineStr">
        <is>
          <t>서울시</t>
        </is>
      </c>
      <c r="AC3259" s="0" t="inlineStr">
        <is>
          <t>강동구</t>
        </is>
      </c>
      <c r="AD3259" s="0" t="inlineStr">
        <is>
          <t>천호동</t>
        </is>
      </c>
      <c r="AG3259" s="0" t="inlineStr">
        <is>
          <t>서울시 강동구 올림픽로 663</t>
        </is>
      </c>
      <c r="AH3259" s="0" t="n">
        <v>0</v>
      </c>
      <c r="AI3259" s="0" t="n">
        <v>582</v>
      </c>
      <c r="AJ3259" s="0" t="n">
        <v>50</v>
      </c>
      <c r="AK3259" s="0" t="n">
        <v>72</v>
      </c>
      <c r="AL3259" s="0" t="n">
        <v>0.48</v>
      </c>
    </row>
    <row r="3260">
      <c r="A3260" s="0" t="inlineStr">
        <is>
          <t>[천호동]</t>
        </is>
      </c>
      <c r="B3260" s="0" t="n">
        <v>126055</v>
      </c>
      <c r="C3260" s="0" t="n">
        <v>1</v>
      </c>
      <c r="D3260" s="0" t="inlineStr">
        <is>
          <t>예건네스빌(도시형)</t>
        </is>
      </c>
      <c r="E3260" s="0" t="inlineStr">
        <is>
          <t>2018.08.</t>
        </is>
      </c>
      <c r="F3260" s="0" t="n">
        <v>20</v>
      </c>
      <c r="G3260" s="0" t="n">
        <v>5.59</v>
      </c>
      <c r="H3260" s="0" t="n">
        <v>18.49</v>
      </c>
      <c r="I3260" s="0" t="n">
        <v>4.52</v>
      </c>
      <c r="J3260" s="0" t="n">
        <v>14.97</v>
      </c>
      <c r="K3260" s="0" t="n">
        <v>5</v>
      </c>
      <c r="T3260" s="0" t="n">
        <v>1</v>
      </c>
      <c r="U3260" s="0" t="n">
        <v>1</v>
      </c>
      <c r="V3260" s="0" t="inlineStr">
        <is>
          <t>계단식</t>
        </is>
      </c>
      <c r="W3260" s="0" t="n">
        <v>18</v>
      </c>
      <c r="X3260" s="0" t="n">
        <v>10</v>
      </c>
      <c r="Y3260" s="0" t="n">
        <v>10</v>
      </c>
      <c r="Z3260" s="0" t="inlineStr">
        <is>
          <t>https://new.land.naver.com/complexes/126055?tab=detail&amp;rf=Y</t>
        </is>
      </c>
      <c r="AA3260" s="0" t="inlineStr">
        <is>
          <t>서울시 강동구 천호동 167-175</t>
        </is>
      </c>
      <c r="AB3260" s="0" t="inlineStr">
        <is>
          <t>서울시</t>
        </is>
      </c>
      <c r="AC3260" s="0" t="inlineStr">
        <is>
          <t>강동구</t>
        </is>
      </c>
      <c r="AD3260" s="0" t="inlineStr">
        <is>
          <t>천호동</t>
        </is>
      </c>
      <c r="AG3260" s="0" t="inlineStr">
        <is>
          <t>서울시 강동구 진황도로29길 23</t>
        </is>
      </c>
      <c r="AH3260" s="0" t="n">
        <v>0</v>
      </c>
      <c r="AI3260" s="0" t="n">
        <v>378</v>
      </c>
      <c r="AJ3260" s="0" t="n">
        <v>53</v>
      </c>
      <c r="AK3260" s="0" t="n">
        <v>12</v>
      </c>
      <c r="AL3260" s="0" t="n">
        <v>0.6</v>
      </c>
    </row>
    <row r="3261">
      <c r="A3261" s="0" t="inlineStr">
        <is>
          <t>[천호동]</t>
        </is>
      </c>
      <c r="B3261" s="0" t="n">
        <v>126055</v>
      </c>
      <c r="C3261" s="0" t="n">
        <v>2</v>
      </c>
      <c r="D3261" s="0" t="inlineStr">
        <is>
          <t>예건네스빌(도시형)</t>
        </is>
      </c>
      <c r="E3261" s="0" t="inlineStr">
        <is>
          <t>2018.08.</t>
        </is>
      </c>
      <c r="F3261" s="0" t="n">
        <v>20</v>
      </c>
      <c r="G3261" s="0" t="n">
        <v>10.19</v>
      </c>
      <c r="H3261" s="0" t="n">
        <v>33.7</v>
      </c>
      <c r="I3261" s="0" t="n">
        <v>8.25</v>
      </c>
      <c r="J3261" s="0" t="n">
        <v>27.28</v>
      </c>
      <c r="K3261" s="0" t="n">
        <v>5</v>
      </c>
      <c r="T3261" s="0" t="n">
        <v>1</v>
      </c>
      <c r="U3261" s="0" t="n">
        <v>1</v>
      </c>
      <c r="V3261" s="0" t="inlineStr">
        <is>
          <t>계단식</t>
        </is>
      </c>
      <c r="W3261" s="0" t="n">
        <v>33</v>
      </c>
      <c r="X3261" s="0" t="n">
        <v>10</v>
      </c>
      <c r="Y3261" s="0" t="n">
        <v>10</v>
      </c>
      <c r="Z3261" s="0" t="inlineStr">
        <is>
          <t>https://new.land.naver.com/complexes/126055?tab=detail&amp;rf=Y</t>
        </is>
      </c>
      <c r="AA3261" s="0" t="inlineStr">
        <is>
          <t>서울시 강동구 천호동 167-175</t>
        </is>
      </c>
      <c r="AB3261" s="0" t="inlineStr">
        <is>
          <t>서울시</t>
        </is>
      </c>
      <c r="AC3261" s="0" t="inlineStr">
        <is>
          <t>강동구</t>
        </is>
      </c>
      <c r="AD3261" s="0" t="inlineStr">
        <is>
          <t>천호동</t>
        </is>
      </c>
      <c r="AG3261" s="0" t="inlineStr">
        <is>
          <t>서울시 강동구 진황도로29길 23</t>
        </is>
      </c>
      <c r="AH3261" s="0" t="n">
        <v>0</v>
      </c>
      <c r="AI3261" s="0" t="n">
        <v>378</v>
      </c>
      <c r="AJ3261" s="0" t="n">
        <v>53</v>
      </c>
      <c r="AK3261" s="0" t="n">
        <v>12</v>
      </c>
      <c r="AL3261" s="0" t="n">
        <v>0.6</v>
      </c>
    </row>
    <row r="3262">
      <c r="A3262" s="0" t="inlineStr">
        <is>
          <t>[천호동]</t>
        </is>
      </c>
      <c r="B3262" s="0" t="n">
        <v>126055</v>
      </c>
      <c r="C3262" s="0" t="n">
        <v>3</v>
      </c>
      <c r="D3262" s="0" t="inlineStr">
        <is>
          <t>예건네스빌(도시형)</t>
        </is>
      </c>
      <c r="E3262" s="0" t="inlineStr">
        <is>
          <t>2018.08.</t>
        </is>
      </c>
      <c r="F3262" s="0" t="n">
        <v>20</v>
      </c>
      <c r="G3262" s="0" t="n">
        <v>10.92</v>
      </c>
      <c r="H3262" s="0" t="n">
        <v>36.11</v>
      </c>
      <c r="I3262" s="0" t="n">
        <v>8.84</v>
      </c>
      <c r="J3262" s="0" t="n">
        <v>29.23</v>
      </c>
      <c r="K3262" s="0" t="n">
        <v>5</v>
      </c>
      <c r="T3262" s="0" t="n">
        <v>1</v>
      </c>
      <c r="U3262" s="0" t="n">
        <v>1</v>
      </c>
      <c r="V3262" s="0" t="inlineStr">
        <is>
          <t>계단식</t>
        </is>
      </c>
      <c r="W3262" s="0" t="n">
        <v>36</v>
      </c>
      <c r="X3262" s="0" t="n">
        <v>10</v>
      </c>
      <c r="Y3262" s="0" t="n">
        <v>10</v>
      </c>
      <c r="Z3262" s="0" t="inlineStr">
        <is>
          <t>https://new.land.naver.com/complexes/126055?tab=detail&amp;rf=Y</t>
        </is>
      </c>
      <c r="AA3262" s="0" t="inlineStr">
        <is>
          <t>서울시 강동구 천호동 167-175</t>
        </is>
      </c>
      <c r="AB3262" s="0" t="inlineStr">
        <is>
          <t>서울시</t>
        </is>
      </c>
      <c r="AC3262" s="0" t="inlineStr">
        <is>
          <t>강동구</t>
        </is>
      </c>
      <c r="AD3262" s="0" t="inlineStr">
        <is>
          <t>천호동</t>
        </is>
      </c>
      <c r="AG3262" s="0" t="inlineStr">
        <is>
          <t>서울시 강동구 진황도로29길 23</t>
        </is>
      </c>
      <c r="AH3262" s="0" t="n">
        <v>0</v>
      </c>
      <c r="AI3262" s="0" t="n">
        <v>378</v>
      </c>
      <c r="AJ3262" s="0" t="n">
        <v>53</v>
      </c>
      <c r="AK3262" s="0" t="n">
        <v>12</v>
      </c>
      <c r="AL3262" s="0" t="n">
        <v>0.6</v>
      </c>
    </row>
    <row r="3263">
      <c r="A3263" s="0" t="inlineStr">
        <is>
          <t>[천호동]</t>
        </is>
      </c>
      <c r="B3263" s="0" t="n">
        <v>126055</v>
      </c>
      <c r="C3263" s="0" t="n">
        <v>4</v>
      </c>
      <c r="D3263" s="0" t="inlineStr">
        <is>
          <t>예건네스빌(도시형)</t>
        </is>
      </c>
      <c r="E3263" s="0" t="inlineStr">
        <is>
          <t>2018.08.</t>
        </is>
      </c>
      <c r="F3263" s="0" t="n">
        <v>20</v>
      </c>
      <c r="G3263" s="0" t="n">
        <v>12.18</v>
      </c>
      <c r="H3263" s="0" t="n">
        <v>40.29</v>
      </c>
      <c r="I3263" s="0" t="n">
        <v>9.859999999999999</v>
      </c>
      <c r="J3263" s="0" t="n">
        <v>32.61</v>
      </c>
      <c r="K3263" s="0" t="n">
        <v>5</v>
      </c>
      <c r="T3263" s="0" t="n">
        <v>1</v>
      </c>
      <c r="U3263" s="0" t="n">
        <v>1</v>
      </c>
      <c r="V3263" s="0" t="inlineStr">
        <is>
          <t>계단식</t>
        </is>
      </c>
      <c r="W3263" s="0" t="n">
        <v>40</v>
      </c>
      <c r="X3263" s="0" t="n">
        <v>10</v>
      </c>
      <c r="Y3263" s="0" t="n">
        <v>10</v>
      </c>
      <c r="Z3263" s="0" t="inlineStr">
        <is>
          <t>https://new.land.naver.com/complexes/126055?tab=detail&amp;rf=Y</t>
        </is>
      </c>
      <c r="AA3263" s="0" t="inlineStr">
        <is>
          <t>서울시 강동구 천호동 167-175</t>
        </is>
      </c>
      <c r="AB3263" s="0" t="inlineStr">
        <is>
          <t>서울시</t>
        </is>
      </c>
      <c r="AC3263" s="0" t="inlineStr">
        <is>
          <t>강동구</t>
        </is>
      </c>
      <c r="AD3263" s="0" t="inlineStr">
        <is>
          <t>천호동</t>
        </is>
      </c>
      <c r="AG3263" s="0" t="inlineStr">
        <is>
          <t>서울시 강동구 진황도로29길 23</t>
        </is>
      </c>
      <c r="AH3263" s="0" t="n">
        <v>0</v>
      </c>
      <c r="AI3263" s="0" t="n">
        <v>378</v>
      </c>
      <c r="AJ3263" s="0" t="n">
        <v>53</v>
      </c>
      <c r="AK3263" s="0" t="n">
        <v>12</v>
      </c>
      <c r="AL3263" s="0" t="n">
        <v>0.6</v>
      </c>
    </row>
    <row r="3264">
      <c r="A3264" s="0" t="inlineStr">
        <is>
          <t>[천호동]</t>
        </is>
      </c>
      <c r="B3264" s="0" t="n">
        <v>1261</v>
      </c>
      <c r="C3264" s="0" t="n">
        <v>1</v>
      </c>
      <c r="D3264" s="0" t="inlineStr">
        <is>
          <t>중앙하이츠</t>
        </is>
      </c>
      <c r="E3264" s="0" t="inlineStr">
        <is>
          <t>1998.12.</t>
        </is>
      </c>
      <c r="F3264" s="0" t="n">
        <v>226</v>
      </c>
      <c r="G3264" s="0" t="n">
        <v>26.3</v>
      </c>
      <c r="H3264" s="0" t="n">
        <v>86.95</v>
      </c>
      <c r="I3264" s="0" t="n">
        <v>18.1</v>
      </c>
      <c r="J3264" s="0" t="n">
        <v>59.85</v>
      </c>
      <c r="K3264" s="0" t="n">
        <v>117</v>
      </c>
      <c r="T3264" s="0" t="n">
        <v>3</v>
      </c>
      <c r="U3264" s="0" t="n">
        <v>1</v>
      </c>
      <c r="V3264" s="0" t="inlineStr">
        <is>
          <t>복도식</t>
        </is>
      </c>
      <c r="W3264" s="0" t="inlineStr">
        <is>
          <t>86A</t>
        </is>
      </c>
      <c r="X3264" s="0" t="n">
        <v>16</v>
      </c>
      <c r="Y3264" s="0" t="n">
        <v>8</v>
      </c>
      <c r="Z3264" s="0" t="inlineStr">
        <is>
          <t>https://new.land.naver.com/complexes/1261?tab=detail&amp;rf=Y</t>
        </is>
      </c>
      <c r="AA3264" s="0" t="inlineStr">
        <is>
          <t>서울시 강동구 천호동 305</t>
        </is>
      </c>
      <c r="AB3264" s="0" t="inlineStr">
        <is>
          <t>서울시</t>
        </is>
      </c>
      <c r="AC3264" s="0" t="inlineStr">
        <is>
          <t>강동구</t>
        </is>
      </c>
      <c r="AD3264" s="0" t="inlineStr">
        <is>
          <t>천호동</t>
        </is>
      </c>
      <c r="AG3264" s="0" t="inlineStr">
        <is>
          <t>서울시 강동구 구천면로41길 79</t>
        </is>
      </c>
      <c r="AH3264" s="0" t="n">
        <v>0</v>
      </c>
      <c r="AI3264" s="0" t="n">
        <v>369</v>
      </c>
      <c r="AJ3264" s="0" t="n">
        <v>36</v>
      </c>
      <c r="AK3264" s="0" t="n">
        <v>243</v>
      </c>
      <c r="AL3264" s="0" t="n">
        <v>1.08</v>
      </c>
    </row>
    <row r="3265">
      <c r="A3265" s="0" t="inlineStr">
        <is>
          <t>[천호동]</t>
        </is>
      </c>
      <c r="B3265" s="0" t="n">
        <v>1261</v>
      </c>
      <c r="C3265" s="0" t="n">
        <v>2</v>
      </c>
      <c r="D3265" s="0" t="inlineStr">
        <is>
          <t>중앙하이츠</t>
        </is>
      </c>
      <c r="E3265" s="0" t="inlineStr">
        <is>
          <t>1998.12.</t>
        </is>
      </c>
      <c r="F3265" s="0" t="n">
        <v>226</v>
      </c>
      <c r="G3265" s="0" t="n">
        <v>26.22</v>
      </c>
      <c r="H3265" s="0" t="n">
        <v>86.68000000000001</v>
      </c>
      <c r="I3265" s="0" t="n">
        <v>18.02</v>
      </c>
      <c r="J3265" s="0" t="n">
        <v>59.58</v>
      </c>
      <c r="K3265" s="0" t="n">
        <v>4</v>
      </c>
      <c r="T3265" s="0" t="n">
        <v>3</v>
      </c>
      <c r="U3265" s="0" t="n">
        <v>1</v>
      </c>
      <c r="V3265" s="0" t="inlineStr">
        <is>
          <t>복도식</t>
        </is>
      </c>
      <c r="W3265" s="0" t="inlineStr">
        <is>
          <t>86B</t>
        </is>
      </c>
      <c r="X3265" s="0" t="n">
        <v>16</v>
      </c>
      <c r="Y3265" s="0" t="n">
        <v>8</v>
      </c>
      <c r="Z3265" s="0" t="inlineStr">
        <is>
          <t>https://new.land.naver.com/complexes/1261?tab=detail&amp;rf=Y</t>
        </is>
      </c>
      <c r="AA3265" s="0" t="inlineStr">
        <is>
          <t>서울시 강동구 천호동 305</t>
        </is>
      </c>
      <c r="AB3265" s="0" t="inlineStr">
        <is>
          <t>서울시</t>
        </is>
      </c>
      <c r="AC3265" s="0" t="inlineStr">
        <is>
          <t>강동구</t>
        </is>
      </c>
      <c r="AD3265" s="0" t="inlineStr">
        <is>
          <t>천호동</t>
        </is>
      </c>
      <c r="AG3265" s="0" t="inlineStr">
        <is>
          <t>서울시 강동구 구천면로41길 79</t>
        </is>
      </c>
      <c r="AH3265" s="0" t="n">
        <v>0</v>
      </c>
      <c r="AI3265" s="0" t="n">
        <v>369</v>
      </c>
      <c r="AJ3265" s="0" t="n">
        <v>36</v>
      </c>
      <c r="AK3265" s="0" t="n">
        <v>243</v>
      </c>
      <c r="AL3265" s="0" t="n">
        <v>1.08</v>
      </c>
    </row>
    <row r="3266">
      <c r="A3266" s="0" t="inlineStr">
        <is>
          <t>[천호동]</t>
        </is>
      </c>
      <c r="B3266" s="0" t="n">
        <v>1261</v>
      </c>
      <c r="C3266" s="0" t="n">
        <v>3</v>
      </c>
      <c r="D3266" s="0" t="inlineStr">
        <is>
          <t>중앙하이츠</t>
        </is>
      </c>
      <c r="E3266" s="0" t="inlineStr">
        <is>
          <t>1998.12.</t>
        </is>
      </c>
      <c r="F3266" s="0" t="n">
        <v>226</v>
      </c>
      <c r="G3266" s="0" t="n">
        <v>33.62</v>
      </c>
      <c r="H3266" s="0" t="n">
        <v>111.15</v>
      </c>
      <c r="I3266" s="0" t="n">
        <v>25.7</v>
      </c>
      <c r="J3266" s="0" t="n">
        <v>84.98999999999999</v>
      </c>
      <c r="K3266" s="0" t="n">
        <v>82</v>
      </c>
      <c r="T3266" s="0" t="n">
        <v>3</v>
      </c>
      <c r="U3266" s="0" t="n">
        <v>2</v>
      </c>
      <c r="V3266" s="0" t="inlineStr">
        <is>
          <t>계단식</t>
        </is>
      </c>
      <c r="W3266" s="0" t="n">
        <v>111</v>
      </c>
      <c r="X3266" s="0" t="n">
        <v>16</v>
      </c>
      <c r="Y3266" s="0" t="n">
        <v>8</v>
      </c>
      <c r="Z3266" s="0" t="inlineStr">
        <is>
          <t>https://new.land.naver.com/complexes/1261?tab=detail&amp;rf=Y</t>
        </is>
      </c>
      <c r="AA3266" s="0" t="inlineStr">
        <is>
          <t>서울시 강동구 천호동 305</t>
        </is>
      </c>
      <c r="AB3266" s="0" t="inlineStr">
        <is>
          <t>서울시</t>
        </is>
      </c>
      <c r="AC3266" s="0" t="inlineStr">
        <is>
          <t>강동구</t>
        </is>
      </c>
      <c r="AD3266" s="0" t="inlineStr">
        <is>
          <t>천호동</t>
        </is>
      </c>
      <c r="AG3266" s="0" t="inlineStr">
        <is>
          <t>서울시 강동구 구천면로41길 79</t>
        </is>
      </c>
      <c r="AH3266" s="0" t="n">
        <v>0</v>
      </c>
      <c r="AI3266" s="0" t="n">
        <v>369</v>
      </c>
      <c r="AJ3266" s="0" t="n">
        <v>36</v>
      </c>
      <c r="AK3266" s="0" t="n">
        <v>243</v>
      </c>
      <c r="AL3266" s="0" t="n">
        <v>1.08</v>
      </c>
    </row>
    <row r="3267">
      <c r="A3267" s="0" t="inlineStr">
        <is>
          <t>[천호동]</t>
        </is>
      </c>
      <c r="B3267" s="0" t="n">
        <v>1261</v>
      </c>
      <c r="C3267" s="0" t="n">
        <v>4</v>
      </c>
      <c r="D3267" s="0" t="inlineStr">
        <is>
          <t>중앙하이츠</t>
        </is>
      </c>
      <c r="E3267" s="0" t="inlineStr">
        <is>
          <t>1998.12.</t>
        </is>
      </c>
      <c r="F3267" s="0" t="n">
        <v>226</v>
      </c>
      <c r="G3267" s="0" t="n">
        <v>43.38</v>
      </c>
      <c r="H3267" s="0" t="n">
        <v>143.41</v>
      </c>
      <c r="I3267" s="0" t="n">
        <v>34.69</v>
      </c>
      <c r="J3267" s="0" t="n">
        <v>114.68</v>
      </c>
      <c r="K3267" s="0" t="n">
        <v>27</v>
      </c>
      <c r="T3267" s="0" t="n">
        <v>4</v>
      </c>
      <c r="U3267" s="0" t="n">
        <v>2</v>
      </c>
      <c r="V3267" s="0" t="inlineStr">
        <is>
          <t>계단식</t>
        </is>
      </c>
      <c r="W3267" s="0" t="n">
        <v>143</v>
      </c>
      <c r="X3267" s="0" t="n">
        <v>16</v>
      </c>
      <c r="Y3267" s="0" t="n">
        <v>8</v>
      </c>
      <c r="Z3267" s="0" t="inlineStr">
        <is>
          <t>https://new.land.naver.com/complexes/1261?tab=detail&amp;rf=Y</t>
        </is>
      </c>
      <c r="AA3267" s="0" t="inlineStr">
        <is>
          <t>서울시 강동구 천호동 305</t>
        </is>
      </c>
      <c r="AB3267" s="0" t="inlineStr">
        <is>
          <t>서울시</t>
        </is>
      </c>
      <c r="AC3267" s="0" t="inlineStr">
        <is>
          <t>강동구</t>
        </is>
      </c>
      <c r="AD3267" s="0" t="inlineStr">
        <is>
          <t>천호동</t>
        </is>
      </c>
      <c r="AG3267" s="0" t="inlineStr">
        <is>
          <t>서울시 강동구 구천면로41길 79</t>
        </is>
      </c>
      <c r="AH3267" s="0" t="n">
        <v>0</v>
      </c>
      <c r="AI3267" s="0" t="n">
        <v>369</v>
      </c>
      <c r="AJ3267" s="0" t="n">
        <v>36</v>
      </c>
      <c r="AK3267" s="0" t="n">
        <v>243</v>
      </c>
      <c r="AL3267" s="0" t="n">
        <v>1.08</v>
      </c>
    </row>
    <row r="3268">
      <c r="A3268" s="0" t="inlineStr">
        <is>
          <t>[천호동]</t>
        </is>
      </c>
      <c r="B3268" s="0" t="n">
        <v>102245</v>
      </c>
      <c r="C3268" s="0" t="n">
        <v>1</v>
      </c>
      <c r="D3268" s="0" t="inlineStr">
        <is>
          <t>신주</t>
        </is>
      </c>
      <c r="E3268" s="0" t="inlineStr">
        <is>
          <t>2002.05.</t>
        </is>
      </c>
      <c r="F3268" s="0" t="n">
        <v>24</v>
      </c>
      <c r="G3268" s="0" t="n">
        <v>22.72</v>
      </c>
      <c r="H3268" s="0" t="n">
        <v>75.12</v>
      </c>
      <c r="I3268" s="0" t="n">
        <v>19.19</v>
      </c>
      <c r="J3268" s="0" t="n">
        <v>63.47</v>
      </c>
      <c r="K3268" s="0" t="n">
        <v>2</v>
      </c>
      <c r="T3268" s="0" t="n">
        <v>3</v>
      </c>
      <c r="U3268" s="0" t="n">
        <v>1</v>
      </c>
      <c r="V3268" s="0" t="inlineStr">
        <is>
          <t>계단식</t>
        </is>
      </c>
      <c r="W3268" s="0" t="inlineStr">
        <is>
          <t>75A</t>
        </is>
      </c>
      <c r="X3268" s="0" t="n">
        <v>7</v>
      </c>
      <c r="Y3268" s="0" t="n">
        <v>7</v>
      </c>
      <c r="Z3268" s="0" t="inlineStr">
        <is>
          <t>https://new.land.naver.com/complexes/102245?tab=detail&amp;rf=Y</t>
        </is>
      </c>
      <c r="AA3268" s="0" t="inlineStr">
        <is>
          <t>서울시 강동구 천호동 317-4</t>
        </is>
      </c>
      <c r="AB3268" s="0" t="inlineStr">
        <is>
          <t>서울시</t>
        </is>
      </c>
      <c r="AC3268" s="0" t="inlineStr">
        <is>
          <t>강동구</t>
        </is>
      </c>
      <c r="AD3268" s="0" t="inlineStr">
        <is>
          <t>천호동</t>
        </is>
      </c>
      <c r="AG3268" s="0" t="inlineStr">
        <is>
          <t>서울시 강동구 올림픽로91길 29</t>
        </is>
      </c>
      <c r="AH3268" s="0" t="n">
        <v>0</v>
      </c>
      <c r="AI3268" s="0" t="n">
        <v>0</v>
      </c>
      <c r="AJ3268" s="0" t="n">
        <v>0</v>
      </c>
      <c r="AK3268" s="0" t="n">
        <v>26</v>
      </c>
      <c r="AL3268" s="0" t="n">
        <v>1.08</v>
      </c>
    </row>
    <row r="3269">
      <c r="A3269" s="0" t="inlineStr">
        <is>
          <t>[천호동]</t>
        </is>
      </c>
      <c r="B3269" s="0" t="n">
        <v>102245</v>
      </c>
      <c r="C3269" s="0" t="n">
        <v>2</v>
      </c>
      <c r="D3269" s="0" t="inlineStr">
        <is>
          <t>신주</t>
        </is>
      </c>
      <c r="E3269" s="0" t="inlineStr">
        <is>
          <t>2002.05.</t>
        </is>
      </c>
      <c r="F3269" s="0" t="n">
        <v>24</v>
      </c>
      <c r="G3269" s="0" t="n">
        <v>22.76</v>
      </c>
      <c r="H3269" s="0" t="n">
        <v>75.25</v>
      </c>
      <c r="I3269" s="0" t="n">
        <v>19.26</v>
      </c>
      <c r="J3269" s="0" t="n">
        <v>63.7</v>
      </c>
      <c r="K3269" s="0" t="n">
        <v>2</v>
      </c>
      <c r="T3269" s="0" t="n">
        <v>3</v>
      </c>
      <c r="U3269" s="0" t="n">
        <v>1</v>
      </c>
      <c r="V3269" s="0" t="inlineStr">
        <is>
          <t>계단식</t>
        </is>
      </c>
      <c r="W3269" s="0" t="inlineStr">
        <is>
          <t>75B</t>
        </is>
      </c>
      <c r="X3269" s="0" t="n">
        <v>7</v>
      </c>
      <c r="Y3269" s="0" t="n">
        <v>7</v>
      </c>
      <c r="Z3269" s="0" t="inlineStr">
        <is>
          <t>https://new.land.naver.com/complexes/102245?tab=detail&amp;rf=Y</t>
        </is>
      </c>
      <c r="AA3269" s="0" t="inlineStr">
        <is>
          <t>서울시 강동구 천호동 317-4</t>
        </is>
      </c>
      <c r="AB3269" s="0" t="inlineStr">
        <is>
          <t>서울시</t>
        </is>
      </c>
      <c r="AC3269" s="0" t="inlineStr">
        <is>
          <t>강동구</t>
        </is>
      </c>
      <c r="AD3269" s="0" t="inlineStr">
        <is>
          <t>천호동</t>
        </is>
      </c>
      <c r="AG3269" s="0" t="inlineStr">
        <is>
          <t>서울시 강동구 올림픽로91길 29</t>
        </is>
      </c>
      <c r="AH3269" s="0" t="n">
        <v>0</v>
      </c>
      <c r="AI3269" s="0" t="n">
        <v>0</v>
      </c>
      <c r="AJ3269" s="0" t="n">
        <v>0</v>
      </c>
      <c r="AK3269" s="0" t="n">
        <v>26</v>
      </c>
      <c r="AL3269" s="0" t="n">
        <v>1.08</v>
      </c>
    </row>
    <row r="3270">
      <c r="A3270" s="0" t="inlineStr">
        <is>
          <t>[천호동]</t>
        </is>
      </c>
      <c r="B3270" s="0" t="n">
        <v>102245</v>
      </c>
      <c r="C3270" s="0" t="n">
        <v>3</v>
      </c>
      <c r="D3270" s="0" t="inlineStr">
        <is>
          <t>신주</t>
        </is>
      </c>
      <c r="E3270" s="0" t="inlineStr">
        <is>
          <t>2002.05.</t>
        </is>
      </c>
      <c r="F3270" s="0" t="n">
        <v>24</v>
      </c>
      <c r="G3270" s="0" t="n">
        <v>29.31</v>
      </c>
      <c r="H3270" s="0" t="n">
        <v>96.92</v>
      </c>
      <c r="I3270" s="0" t="n">
        <v>24.82</v>
      </c>
      <c r="J3270" s="0" t="n">
        <v>82.05</v>
      </c>
      <c r="K3270" s="0" t="n">
        <v>4</v>
      </c>
      <c r="T3270" s="0" t="n">
        <v>3</v>
      </c>
      <c r="U3270" s="0" t="n">
        <v>2</v>
      </c>
      <c r="V3270" s="0" t="inlineStr">
        <is>
          <t>계단식</t>
        </is>
      </c>
      <c r="W3270" s="0" t="n">
        <v>96</v>
      </c>
      <c r="X3270" s="0" t="n">
        <v>7</v>
      </c>
      <c r="Y3270" s="0" t="n">
        <v>7</v>
      </c>
      <c r="Z3270" s="0" t="inlineStr">
        <is>
          <t>https://new.land.naver.com/complexes/102245?tab=detail&amp;rf=Y</t>
        </is>
      </c>
      <c r="AA3270" s="0" t="inlineStr">
        <is>
          <t>서울시 강동구 천호동 317-4</t>
        </is>
      </c>
      <c r="AB3270" s="0" t="inlineStr">
        <is>
          <t>서울시</t>
        </is>
      </c>
      <c r="AC3270" s="0" t="inlineStr">
        <is>
          <t>강동구</t>
        </is>
      </c>
      <c r="AD3270" s="0" t="inlineStr">
        <is>
          <t>천호동</t>
        </is>
      </c>
      <c r="AG3270" s="0" t="inlineStr">
        <is>
          <t>서울시 강동구 올림픽로91길 29</t>
        </is>
      </c>
      <c r="AH3270" s="0" t="n">
        <v>0</v>
      </c>
      <c r="AI3270" s="0" t="n">
        <v>0</v>
      </c>
      <c r="AJ3270" s="0" t="n">
        <v>0</v>
      </c>
      <c r="AK3270" s="0" t="n">
        <v>26</v>
      </c>
      <c r="AL3270" s="0" t="n">
        <v>1.08</v>
      </c>
    </row>
    <row r="3271">
      <c r="A3271" s="0" t="inlineStr">
        <is>
          <t>[천호동]</t>
        </is>
      </c>
      <c r="B3271" s="0" t="n">
        <v>102245</v>
      </c>
      <c r="C3271" s="0" t="n">
        <v>4</v>
      </c>
      <c r="D3271" s="0" t="inlineStr">
        <is>
          <t>신주</t>
        </is>
      </c>
      <c r="E3271" s="0" t="inlineStr">
        <is>
          <t>2002.05.</t>
        </is>
      </c>
      <c r="F3271" s="0" t="n">
        <v>24</v>
      </c>
      <c r="G3271" s="0" t="n">
        <v>30.28</v>
      </c>
      <c r="H3271" s="0" t="n">
        <v>100.11</v>
      </c>
      <c r="I3271" s="0" t="n">
        <v>25.63</v>
      </c>
      <c r="J3271" s="0" t="n">
        <v>84.75</v>
      </c>
      <c r="K3271" s="0" t="n">
        <v>16</v>
      </c>
      <c r="T3271" s="0" t="n">
        <v>3</v>
      </c>
      <c r="U3271" s="0" t="n">
        <v>2</v>
      </c>
      <c r="V3271" s="0" t="inlineStr">
        <is>
          <t>계단식</t>
        </is>
      </c>
      <c r="W3271" s="0" t="n">
        <v>100</v>
      </c>
      <c r="X3271" s="0" t="n">
        <v>7</v>
      </c>
      <c r="Y3271" s="0" t="n">
        <v>7</v>
      </c>
      <c r="Z3271" s="0" t="inlineStr">
        <is>
          <t>https://new.land.naver.com/complexes/102245?tab=detail&amp;rf=Y</t>
        </is>
      </c>
      <c r="AA3271" s="0" t="inlineStr">
        <is>
          <t>서울시 강동구 천호동 317-4</t>
        </is>
      </c>
      <c r="AB3271" s="0" t="inlineStr">
        <is>
          <t>서울시</t>
        </is>
      </c>
      <c r="AC3271" s="0" t="inlineStr">
        <is>
          <t>강동구</t>
        </is>
      </c>
      <c r="AD3271" s="0" t="inlineStr">
        <is>
          <t>천호동</t>
        </is>
      </c>
      <c r="AG3271" s="0" t="inlineStr">
        <is>
          <t>서울시 강동구 올림픽로91길 29</t>
        </is>
      </c>
      <c r="AH3271" s="0" t="n">
        <v>0</v>
      </c>
      <c r="AI3271" s="0" t="n">
        <v>0</v>
      </c>
      <c r="AJ3271" s="0" t="n">
        <v>0</v>
      </c>
      <c r="AK3271" s="0" t="n">
        <v>26</v>
      </c>
      <c r="AL3271" s="0" t="n">
        <v>1.08</v>
      </c>
    </row>
    <row r="3272">
      <c r="A3272" s="0" t="inlineStr">
        <is>
          <t>[천호동]</t>
        </is>
      </c>
      <c r="B3272" s="0" t="n">
        <v>11364</v>
      </c>
      <c r="C3272" s="0" t="n">
        <v>1</v>
      </c>
      <c r="D3272" s="0" t="inlineStr">
        <is>
          <t>다성시티(358-4)</t>
        </is>
      </c>
      <c r="E3272" s="0" t="inlineStr">
        <is>
          <t>2003.04.</t>
        </is>
      </c>
      <c r="F3272" s="0" t="n">
        <v>49</v>
      </c>
      <c r="G3272" s="0" t="n">
        <v>29.07</v>
      </c>
      <c r="H3272" s="0" t="n">
        <v>96.12</v>
      </c>
      <c r="I3272" s="0" t="n">
        <v>23.78</v>
      </c>
      <c r="J3272" s="0" t="n">
        <v>78.62</v>
      </c>
      <c r="K3272" s="0" t="n">
        <v>2</v>
      </c>
      <c r="T3272" s="0" t="n">
        <v>3</v>
      </c>
      <c r="U3272" s="0" t="n">
        <v>2</v>
      </c>
      <c r="V3272" s="0" t="inlineStr">
        <is>
          <t>계단식</t>
        </is>
      </c>
      <c r="W3272" s="0" t="n">
        <v>96</v>
      </c>
      <c r="X3272" s="0" t="n">
        <v>11</v>
      </c>
      <c r="Y3272" s="0" t="n">
        <v>8</v>
      </c>
      <c r="Z3272" s="0" t="inlineStr">
        <is>
          <t>https://new.land.naver.com/complexes/11364?tab=detail&amp;rf=Y</t>
        </is>
      </c>
      <c r="AA3272" s="0" t="inlineStr">
        <is>
          <t>서울시 강동구 천호동 358-4</t>
        </is>
      </c>
      <c r="AB3272" s="0" t="inlineStr">
        <is>
          <t>서울시</t>
        </is>
      </c>
      <c r="AC3272" s="0" t="inlineStr">
        <is>
          <t>강동구</t>
        </is>
      </c>
      <c r="AD3272" s="0" t="inlineStr">
        <is>
          <t>천호동</t>
        </is>
      </c>
      <c r="AG3272" s="0" t="inlineStr">
        <is>
          <t>서울시 강동구 올림픽로78길 11-29</t>
        </is>
      </c>
      <c r="AH3272" s="0" t="n">
        <v>0</v>
      </c>
      <c r="AI3272" s="0" t="n">
        <v>249</v>
      </c>
      <c r="AJ3272" s="0" t="n">
        <v>28</v>
      </c>
      <c r="AK3272" s="0" t="n">
        <v>58</v>
      </c>
      <c r="AL3272" s="0" t="n">
        <v>1.18</v>
      </c>
    </row>
    <row r="3273">
      <c r="A3273" s="0" t="inlineStr">
        <is>
          <t>[천호동]</t>
        </is>
      </c>
      <c r="B3273" s="0" t="n">
        <v>11364</v>
      </c>
      <c r="C3273" s="0" t="n">
        <v>2</v>
      </c>
      <c r="D3273" s="0" t="inlineStr">
        <is>
          <t>다성시티(358-4)</t>
        </is>
      </c>
      <c r="E3273" s="0" t="inlineStr">
        <is>
          <t>2003.04.</t>
        </is>
      </c>
      <c r="F3273" s="0" t="n">
        <v>49</v>
      </c>
      <c r="G3273" s="0" t="n">
        <v>31.04</v>
      </c>
      <c r="H3273" s="0" t="n">
        <v>102.62</v>
      </c>
      <c r="I3273" s="0" t="n">
        <v>25.62</v>
      </c>
      <c r="J3273" s="0" t="n">
        <v>84.7</v>
      </c>
      <c r="K3273" s="0" t="n">
        <v>8</v>
      </c>
      <c r="T3273" s="0" t="n">
        <v>3</v>
      </c>
      <c r="U3273" s="0" t="n">
        <v>2</v>
      </c>
      <c r="V3273" s="0" t="inlineStr">
        <is>
          <t>계단식</t>
        </is>
      </c>
      <c r="W3273" s="0" t="inlineStr">
        <is>
          <t>102A</t>
        </is>
      </c>
      <c r="X3273" s="0" t="n">
        <v>11</v>
      </c>
      <c r="Y3273" s="0" t="n">
        <v>8</v>
      </c>
      <c r="Z3273" s="0" t="inlineStr">
        <is>
          <t>https://new.land.naver.com/complexes/11364?tab=detail&amp;rf=Y</t>
        </is>
      </c>
      <c r="AA3273" s="0" t="inlineStr">
        <is>
          <t>서울시 강동구 천호동 358-4</t>
        </is>
      </c>
      <c r="AB3273" s="0" t="inlineStr">
        <is>
          <t>서울시</t>
        </is>
      </c>
      <c r="AC3273" s="0" t="inlineStr">
        <is>
          <t>강동구</t>
        </is>
      </c>
      <c r="AD3273" s="0" t="inlineStr">
        <is>
          <t>천호동</t>
        </is>
      </c>
      <c r="AG3273" s="0" t="inlineStr">
        <is>
          <t>서울시 강동구 올림픽로78길 11-29</t>
        </is>
      </c>
      <c r="AH3273" s="0" t="n">
        <v>0</v>
      </c>
      <c r="AI3273" s="0" t="n">
        <v>249</v>
      </c>
      <c r="AJ3273" s="0" t="n">
        <v>28</v>
      </c>
      <c r="AK3273" s="0" t="n">
        <v>58</v>
      </c>
      <c r="AL3273" s="0" t="n">
        <v>1.18</v>
      </c>
    </row>
    <row r="3274">
      <c r="A3274" s="0" t="inlineStr">
        <is>
          <t>[천호동]</t>
        </is>
      </c>
      <c r="B3274" s="0" t="n">
        <v>11364</v>
      </c>
      <c r="C3274" s="0" t="n">
        <v>3</v>
      </c>
      <c r="D3274" s="0" t="inlineStr">
        <is>
          <t>다성시티(358-4)</t>
        </is>
      </c>
      <c r="E3274" s="0" t="inlineStr">
        <is>
          <t>2003.04.</t>
        </is>
      </c>
      <c r="F3274" s="0" t="n">
        <v>49</v>
      </c>
      <c r="G3274" s="0" t="n">
        <v>31.12</v>
      </c>
      <c r="H3274" s="0" t="n">
        <v>102.9</v>
      </c>
      <c r="I3274" s="0" t="n">
        <v>25.68</v>
      </c>
      <c r="J3274" s="0" t="n">
        <v>84.91</v>
      </c>
      <c r="K3274" s="0" t="n">
        <v>8</v>
      </c>
      <c r="T3274" s="0" t="n">
        <v>3</v>
      </c>
      <c r="U3274" s="0" t="n">
        <v>2</v>
      </c>
      <c r="V3274" s="0" t="inlineStr">
        <is>
          <t>계단식</t>
        </is>
      </c>
      <c r="W3274" s="0" t="inlineStr">
        <is>
          <t>102B</t>
        </is>
      </c>
      <c r="X3274" s="0" t="n">
        <v>11</v>
      </c>
      <c r="Y3274" s="0" t="n">
        <v>8</v>
      </c>
      <c r="Z3274" s="0" t="inlineStr">
        <is>
          <t>https://new.land.naver.com/complexes/11364?tab=detail&amp;rf=Y</t>
        </is>
      </c>
      <c r="AA3274" s="0" t="inlineStr">
        <is>
          <t>서울시 강동구 천호동 358-4</t>
        </is>
      </c>
      <c r="AB3274" s="0" t="inlineStr">
        <is>
          <t>서울시</t>
        </is>
      </c>
      <c r="AC3274" s="0" t="inlineStr">
        <is>
          <t>강동구</t>
        </is>
      </c>
      <c r="AD3274" s="0" t="inlineStr">
        <is>
          <t>천호동</t>
        </is>
      </c>
      <c r="AG3274" s="0" t="inlineStr">
        <is>
          <t>서울시 강동구 올림픽로78길 11-29</t>
        </is>
      </c>
      <c r="AH3274" s="0" t="n">
        <v>0</v>
      </c>
      <c r="AI3274" s="0" t="n">
        <v>249</v>
      </c>
      <c r="AJ3274" s="0" t="n">
        <v>28</v>
      </c>
      <c r="AK3274" s="0" t="n">
        <v>58</v>
      </c>
      <c r="AL3274" s="0" t="n">
        <v>1.18</v>
      </c>
    </row>
    <row r="3275">
      <c r="A3275" s="0" t="inlineStr">
        <is>
          <t>[천호동]</t>
        </is>
      </c>
      <c r="B3275" s="0" t="n">
        <v>11364</v>
      </c>
      <c r="C3275" s="0" t="n">
        <v>4</v>
      </c>
      <c r="D3275" s="0" t="inlineStr">
        <is>
          <t>다성시티(358-4)</t>
        </is>
      </c>
      <c r="E3275" s="0" t="inlineStr">
        <is>
          <t>2003.04.</t>
        </is>
      </c>
      <c r="F3275" s="0" t="n">
        <v>49</v>
      </c>
      <c r="G3275" s="0" t="n">
        <v>31.29</v>
      </c>
      <c r="H3275" s="0" t="n">
        <v>103.45</v>
      </c>
      <c r="I3275" s="0" t="n">
        <v>25.54</v>
      </c>
      <c r="J3275" s="0" t="n">
        <v>84.45999999999999</v>
      </c>
      <c r="K3275" s="0" t="n">
        <v>15</v>
      </c>
      <c r="T3275" s="0" t="n">
        <v>3</v>
      </c>
      <c r="U3275" s="0" t="n">
        <v>2</v>
      </c>
      <c r="V3275" s="0" t="inlineStr">
        <is>
          <t>계단식</t>
        </is>
      </c>
      <c r="W3275" s="0" t="inlineStr">
        <is>
          <t>103N</t>
        </is>
      </c>
      <c r="X3275" s="0" t="n">
        <v>11</v>
      </c>
      <c r="Y3275" s="0" t="n">
        <v>8</v>
      </c>
      <c r="Z3275" s="0" t="inlineStr">
        <is>
          <t>https://new.land.naver.com/complexes/11364?tab=detail&amp;rf=Y</t>
        </is>
      </c>
      <c r="AA3275" s="0" t="inlineStr">
        <is>
          <t>서울시 강동구 천호동 358-4</t>
        </is>
      </c>
      <c r="AB3275" s="0" t="inlineStr">
        <is>
          <t>서울시</t>
        </is>
      </c>
      <c r="AC3275" s="0" t="inlineStr">
        <is>
          <t>강동구</t>
        </is>
      </c>
      <c r="AD3275" s="0" t="inlineStr">
        <is>
          <t>천호동</t>
        </is>
      </c>
      <c r="AG3275" s="0" t="inlineStr">
        <is>
          <t>서울시 강동구 올림픽로78길 11-29</t>
        </is>
      </c>
      <c r="AH3275" s="0" t="n">
        <v>0</v>
      </c>
      <c r="AI3275" s="0" t="n">
        <v>249</v>
      </c>
      <c r="AJ3275" s="0" t="n">
        <v>28</v>
      </c>
      <c r="AK3275" s="0" t="n">
        <v>58</v>
      </c>
      <c r="AL3275" s="0" t="n">
        <v>1.18</v>
      </c>
    </row>
    <row r="3276">
      <c r="A3276" s="0" t="inlineStr">
        <is>
          <t>[천호동]</t>
        </is>
      </c>
      <c r="B3276" s="0" t="n">
        <v>11364</v>
      </c>
      <c r="C3276" s="0" t="n">
        <v>5</v>
      </c>
      <c r="D3276" s="0" t="inlineStr">
        <is>
          <t>다성시티(358-4)</t>
        </is>
      </c>
      <c r="E3276" s="0" t="inlineStr">
        <is>
          <t>2003.04.</t>
        </is>
      </c>
      <c r="F3276" s="0" t="n">
        <v>49</v>
      </c>
      <c r="G3276" s="0" t="n">
        <v>31.29</v>
      </c>
      <c r="H3276" s="0" t="n">
        <v>103.45</v>
      </c>
      <c r="I3276" s="0" t="n">
        <v>25.54</v>
      </c>
      <c r="J3276" s="0" t="n">
        <v>84.45999999999999</v>
      </c>
      <c r="K3276" s="0" t="n">
        <v>15</v>
      </c>
      <c r="T3276" s="0" t="n">
        <v>3</v>
      </c>
      <c r="U3276" s="0" t="n">
        <v>2</v>
      </c>
      <c r="V3276" s="0" t="inlineStr">
        <is>
          <t>계단식</t>
        </is>
      </c>
      <c r="W3276" s="0" t="inlineStr">
        <is>
          <t>103S</t>
        </is>
      </c>
      <c r="X3276" s="0" t="n">
        <v>11</v>
      </c>
      <c r="Y3276" s="0" t="n">
        <v>8</v>
      </c>
      <c r="Z3276" s="0" t="inlineStr">
        <is>
          <t>https://new.land.naver.com/complexes/11364?tab=detail&amp;rf=Y</t>
        </is>
      </c>
      <c r="AA3276" s="0" t="inlineStr">
        <is>
          <t>서울시 강동구 천호동 358-4</t>
        </is>
      </c>
      <c r="AB3276" s="0" t="inlineStr">
        <is>
          <t>서울시</t>
        </is>
      </c>
      <c r="AC3276" s="0" t="inlineStr">
        <is>
          <t>강동구</t>
        </is>
      </c>
      <c r="AD3276" s="0" t="inlineStr">
        <is>
          <t>천호동</t>
        </is>
      </c>
      <c r="AG3276" s="0" t="inlineStr">
        <is>
          <t>서울시 강동구 올림픽로78길 11-29</t>
        </is>
      </c>
      <c r="AH3276" s="0" t="n">
        <v>0</v>
      </c>
      <c r="AI3276" s="0" t="n">
        <v>249</v>
      </c>
      <c r="AJ3276" s="0" t="n">
        <v>28</v>
      </c>
      <c r="AK3276" s="0" t="n">
        <v>58</v>
      </c>
      <c r="AL3276" s="0" t="n">
        <v>1.18</v>
      </c>
    </row>
    <row r="3277">
      <c r="A3277" s="0" t="inlineStr">
        <is>
          <t>[천호동]</t>
        </is>
      </c>
      <c r="B3277" s="0" t="n">
        <v>11364</v>
      </c>
      <c r="C3277" s="0" t="n">
        <v>6</v>
      </c>
      <c r="D3277" s="0" t="inlineStr">
        <is>
          <t>다성시티(358-4)</t>
        </is>
      </c>
      <c r="E3277" s="0" t="inlineStr">
        <is>
          <t>2003.04.</t>
        </is>
      </c>
      <c r="F3277" s="0" t="n">
        <v>49</v>
      </c>
      <c r="G3277" s="0" t="n">
        <v>51</v>
      </c>
      <c r="H3277" s="0" t="n">
        <v>168.61</v>
      </c>
      <c r="I3277" s="0" t="n">
        <v>41.89</v>
      </c>
      <c r="J3277" s="0" t="n">
        <v>138.49</v>
      </c>
      <c r="K3277" s="0" t="n">
        <v>1</v>
      </c>
      <c r="T3277" s="0" t="n">
        <v>4</v>
      </c>
      <c r="U3277" s="0" t="n">
        <v>2</v>
      </c>
      <c r="V3277" s="0" t="inlineStr">
        <is>
          <t>계단식</t>
        </is>
      </c>
      <c r="W3277" s="0" t="n">
        <v>168</v>
      </c>
      <c r="X3277" s="0" t="n">
        <v>11</v>
      </c>
      <c r="Y3277" s="0" t="n">
        <v>8</v>
      </c>
      <c r="Z3277" s="0" t="inlineStr">
        <is>
          <t>https://new.land.naver.com/complexes/11364?tab=detail&amp;rf=Y</t>
        </is>
      </c>
      <c r="AA3277" s="0" t="inlineStr">
        <is>
          <t>서울시 강동구 천호동 358-4</t>
        </is>
      </c>
      <c r="AB3277" s="0" t="inlineStr">
        <is>
          <t>서울시</t>
        </is>
      </c>
      <c r="AC3277" s="0" t="inlineStr">
        <is>
          <t>강동구</t>
        </is>
      </c>
      <c r="AD3277" s="0" t="inlineStr">
        <is>
          <t>천호동</t>
        </is>
      </c>
      <c r="AG3277" s="0" t="inlineStr">
        <is>
          <t>서울시 강동구 올림픽로78길 11-29</t>
        </is>
      </c>
      <c r="AH3277" s="0" t="n">
        <v>0</v>
      </c>
      <c r="AI3277" s="0" t="n">
        <v>249</v>
      </c>
      <c r="AJ3277" s="0" t="n">
        <v>28</v>
      </c>
      <c r="AK3277" s="0" t="n">
        <v>58</v>
      </c>
      <c r="AL3277" s="0" t="n">
        <v>1.18</v>
      </c>
    </row>
    <row r="3278">
      <c r="A3278" s="0" t="inlineStr">
        <is>
          <t>[천호동]</t>
        </is>
      </c>
      <c r="B3278" s="0" t="n">
        <v>126784</v>
      </c>
      <c r="C3278" s="0" t="n">
        <v>1</v>
      </c>
      <c r="D3278" s="0" t="inlineStr">
        <is>
          <t>성우스타팰리스(169-12)</t>
        </is>
      </c>
      <c r="E3278" s="0" t="inlineStr">
        <is>
          <t>2019.05.</t>
        </is>
      </c>
      <c r="F3278" s="0" t="n">
        <v>20</v>
      </c>
      <c r="G3278" s="0" t="n">
        <v>8.640000000000001</v>
      </c>
      <c r="H3278" s="0" t="n">
        <v>28.58</v>
      </c>
      <c r="I3278" s="0" t="n">
        <v>6.24</v>
      </c>
      <c r="J3278" s="0" t="n">
        <v>20.65</v>
      </c>
      <c r="K3278" s="0" t="n">
        <v>4</v>
      </c>
      <c r="T3278" s="0" t="n">
        <v>1</v>
      </c>
      <c r="U3278" s="0" t="n">
        <v>1</v>
      </c>
      <c r="V3278" s="0" t="inlineStr">
        <is>
          <t>계단식</t>
        </is>
      </c>
      <c r="W3278" s="0" t="inlineStr">
        <is>
          <t>28A</t>
        </is>
      </c>
      <c r="X3278" s="0" t="n">
        <v>10</v>
      </c>
      <c r="Y3278" s="0" t="n">
        <v>10</v>
      </c>
      <c r="Z3278" s="0" t="inlineStr">
        <is>
          <t>https://new.land.naver.com/complexes/126784?tab=detail&amp;rf=Y</t>
        </is>
      </c>
      <c r="AA3278" s="0" t="inlineStr">
        <is>
          <t>서울시 강동구 천호동 169-12</t>
        </is>
      </c>
      <c r="AB3278" s="0" t="inlineStr">
        <is>
          <t>서울시</t>
        </is>
      </c>
      <c r="AC3278" s="0" t="inlineStr">
        <is>
          <t>강동구</t>
        </is>
      </c>
      <c r="AD3278" s="0" t="inlineStr">
        <is>
          <t>천호동</t>
        </is>
      </c>
      <c r="AG3278" s="0" t="inlineStr">
        <is>
          <t>서울시 강동구 성안로25길 21</t>
        </is>
      </c>
      <c r="AH3278" s="0" t="n">
        <v>0</v>
      </c>
      <c r="AI3278" s="0" t="n">
        <v>398</v>
      </c>
      <c r="AJ3278" s="0" t="n">
        <v>58</v>
      </c>
      <c r="AK3278" s="0" t="n">
        <v>12</v>
      </c>
      <c r="AL3278" s="0" t="n">
        <v>0.6</v>
      </c>
    </row>
    <row r="3279">
      <c r="A3279" s="0" t="inlineStr">
        <is>
          <t>[천호동]</t>
        </is>
      </c>
      <c r="B3279" s="0" t="n">
        <v>126784</v>
      </c>
      <c r="C3279" s="0" t="n">
        <v>2</v>
      </c>
      <c r="D3279" s="0" t="inlineStr">
        <is>
          <t>성우스타팰리스(169-12)</t>
        </is>
      </c>
      <c r="E3279" s="0" t="inlineStr">
        <is>
          <t>2019.05.</t>
        </is>
      </c>
      <c r="F3279" s="0" t="n">
        <v>20</v>
      </c>
      <c r="G3279" s="0" t="n">
        <v>9.119999999999999</v>
      </c>
      <c r="H3279" s="0" t="n">
        <v>30.18</v>
      </c>
      <c r="I3279" s="0" t="n">
        <v>6.58</v>
      </c>
      <c r="J3279" s="0" t="n">
        <v>21.78</v>
      </c>
      <c r="K3279" s="0" t="n">
        <v>4</v>
      </c>
      <c r="T3279" s="0" t="n">
        <v>1</v>
      </c>
      <c r="U3279" s="0" t="n">
        <v>1</v>
      </c>
      <c r="V3279" s="0" t="inlineStr">
        <is>
          <t>계단식</t>
        </is>
      </c>
      <c r="W3279" s="0" t="inlineStr">
        <is>
          <t>30B</t>
        </is>
      </c>
      <c r="X3279" s="0" t="n">
        <v>10</v>
      </c>
      <c r="Y3279" s="0" t="n">
        <v>10</v>
      </c>
      <c r="Z3279" s="0" t="inlineStr">
        <is>
          <t>https://new.land.naver.com/complexes/126784?tab=detail&amp;rf=Y</t>
        </is>
      </c>
      <c r="AA3279" s="0" t="inlineStr">
        <is>
          <t>서울시 강동구 천호동 169-12</t>
        </is>
      </c>
      <c r="AB3279" s="0" t="inlineStr">
        <is>
          <t>서울시</t>
        </is>
      </c>
      <c r="AC3279" s="0" t="inlineStr">
        <is>
          <t>강동구</t>
        </is>
      </c>
      <c r="AD3279" s="0" t="inlineStr">
        <is>
          <t>천호동</t>
        </is>
      </c>
      <c r="AG3279" s="0" t="inlineStr">
        <is>
          <t>서울시 강동구 성안로25길 21</t>
        </is>
      </c>
      <c r="AH3279" s="0" t="n">
        <v>0</v>
      </c>
      <c r="AI3279" s="0" t="n">
        <v>398</v>
      </c>
      <c r="AJ3279" s="0" t="n">
        <v>58</v>
      </c>
      <c r="AK3279" s="0" t="n">
        <v>12</v>
      </c>
      <c r="AL3279" s="0" t="n">
        <v>0.6</v>
      </c>
    </row>
    <row r="3280">
      <c r="A3280" s="0" t="inlineStr">
        <is>
          <t>[천호동]</t>
        </is>
      </c>
      <c r="B3280" s="0" t="n">
        <v>126784</v>
      </c>
      <c r="C3280" s="0" t="n">
        <v>3</v>
      </c>
      <c r="D3280" s="0" t="inlineStr">
        <is>
          <t>성우스타팰리스(169-12)</t>
        </is>
      </c>
      <c r="E3280" s="0" t="inlineStr">
        <is>
          <t>2019.05.</t>
        </is>
      </c>
      <c r="F3280" s="0" t="n">
        <v>20</v>
      </c>
      <c r="G3280" s="0" t="n">
        <v>11.13</v>
      </c>
      <c r="H3280" s="0" t="n">
        <v>36.82</v>
      </c>
      <c r="I3280" s="0" t="n">
        <v>8.039999999999999</v>
      </c>
      <c r="J3280" s="0" t="n">
        <v>26.6</v>
      </c>
      <c r="K3280" s="0" t="n">
        <v>4</v>
      </c>
      <c r="T3280" s="0" t="n">
        <v>1</v>
      </c>
      <c r="U3280" s="0" t="n">
        <v>1</v>
      </c>
      <c r="V3280" s="0" t="inlineStr">
        <is>
          <t>계단식</t>
        </is>
      </c>
      <c r="W3280" s="0" t="n">
        <v>36</v>
      </c>
      <c r="X3280" s="0" t="n">
        <v>10</v>
      </c>
      <c r="Y3280" s="0" t="n">
        <v>10</v>
      </c>
      <c r="Z3280" s="0" t="inlineStr">
        <is>
          <t>https://new.land.naver.com/complexes/126784?tab=detail&amp;rf=Y</t>
        </is>
      </c>
      <c r="AA3280" s="0" t="inlineStr">
        <is>
          <t>서울시 강동구 천호동 169-12</t>
        </is>
      </c>
      <c r="AB3280" s="0" t="inlineStr">
        <is>
          <t>서울시</t>
        </is>
      </c>
      <c r="AC3280" s="0" t="inlineStr">
        <is>
          <t>강동구</t>
        </is>
      </c>
      <c r="AD3280" s="0" t="inlineStr">
        <is>
          <t>천호동</t>
        </is>
      </c>
      <c r="AG3280" s="0" t="inlineStr">
        <is>
          <t>서울시 강동구 성안로25길 21</t>
        </is>
      </c>
      <c r="AH3280" s="0" t="n">
        <v>0</v>
      </c>
      <c r="AI3280" s="0" t="n">
        <v>398</v>
      </c>
      <c r="AJ3280" s="0" t="n">
        <v>58</v>
      </c>
      <c r="AK3280" s="0" t="n">
        <v>12</v>
      </c>
      <c r="AL3280" s="0" t="n">
        <v>0.6</v>
      </c>
    </row>
    <row r="3281">
      <c r="A3281" s="0" t="inlineStr">
        <is>
          <t>[천호동]</t>
        </is>
      </c>
      <c r="B3281" s="0" t="n">
        <v>126784</v>
      </c>
      <c r="C3281" s="0" t="n">
        <v>4</v>
      </c>
      <c r="D3281" s="0" t="inlineStr">
        <is>
          <t>성우스타팰리스(169-12)</t>
        </is>
      </c>
      <c r="E3281" s="0" t="inlineStr">
        <is>
          <t>2019.05.</t>
        </is>
      </c>
      <c r="F3281" s="0" t="n">
        <v>20</v>
      </c>
      <c r="G3281" s="0" t="n">
        <v>12.51</v>
      </c>
      <c r="H3281" s="0" t="n">
        <v>41.36</v>
      </c>
      <c r="I3281" s="0" t="n">
        <v>9.039999999999999</v>
      </c>
      <c r="J3281" s="0" t="n">
        <v>29.91</v>
      </c>
      <c r="K3281" s="0" t="n">
        <v>4</v>
      </c>
      <c r="T3281" s="0" t="n">
        <v>1</v>
      </c>
      <c r="U3281" s="0" t="n">
        <v>1</v>
      </c>
      <c r="V3281" s="0" t="inlineStr">
        <is>
          <t>계단식</t>
        </is>
      </c>
      <c r="W3281" s="0" t="inlineStr">
        <is>
          <t>41A</t>
        </is>
      </c>
      <c r="X3281" s="0" t="n">
        <v>10</v>
      </c>
      <c r="Y3281" s="0" t="n">
        <v>10</v>
      </c>
      <c r="Z3281" s="0" t="inlineStr">
        <is>
          <t>https://new.land.naver.com/complexes/126784?tab=detail&amp;rf=Y</t>
        </is>
      </c>
      <c r="AA3281" s="0" t="inlineStr">
        <is>
          <t>서울시 강동구 천호동 169-12</t>
        </is>
      </c>
      <c r="AB3281" s="0" t="inlineStr">
        <is>
          <t>서울시</t>
        </is>
      </c>
      <c r="AC3281" s="0" t="inlineStr">
        <is>
          <t>강동구</t>
        </is>
      </c>
      <c r="AD3281" s="0" t="inlineStr">
        <is>
          <t>천호동</t>
        </is>
      </c>
      <c r="AG3281" s="0" t="inlineStr">
        <is>
          <t>서울시 강동구 성안로25길 21</t>
        </is>
      </c>
      <c r="AH3281" s="0" t="n">
        <v>0</v>
      </c>
      <c r="AI3281" s="0" t="n">
        <v>398</v>
      </c>
      <c r="AJ3281" s="0" t="n">
        <v>58</v>
      </c>
      <c r="AK3281" s="0" t="n">
        <v>12</v>
      </c>
      <c r="AL3281" s="0" t="n">
        <v>0.6</v>
      </c>
    </row>
    <row r="3282">
      <c r="A3282" s="0" t="inlineStr">
        <is>
          <t>[천호동]</t>
        </is>
      </c>
      <c r="B3282" s="0" t="n">
        <v>126784</v>
      </c>
      <c r="C3282" s="0" t="n">
        <v>5</v>
      </c>
      <c r="D3282" s="0" t="inlineStr">
        <is>
          <t>성우스타팰리스(169-12)</t>
        </is>
      </c>
      <c r="E3282" s="0" t="inlineStr">
        <is>
          <t>2019.05.</t>
        </is>
      </c>
      <c r="F3282" s="0" t="n">
        <v>20</v>
      </c>
      <c r="G3282" s="0" t="n">
        <v>12.52</v>
      </c>
      <c r="H3282" s="0" t="n">
        <v>41.42</v>
      </c>
      <c r="I3282" s="0" t="n">
        <v>9.050000000000001</v>
      </c>
      <c r="J3282" s="0" t="n">
        <v>29.95</v>
      </c>
      <c r="K3282" s="0" t="n">
        <v>4</v>
      </c>
      <c r="T3282" s="0" t="n">
        <v>1</v>
      </c>
      <c r="U3282" s="0" t="n">
        <v>1</v>
      </c>
      <c r="V3282" s="0" t="inlineStr">
        <is>
          <t>계단식</t>
        </is>
      </c>
      <c r="W3282" s="0" t="inlineStr">
        <is>
          <t>41B</t>
        </is>
      </c>
      <c r="X3282" s="0" t="n">
        <v>10</v>
      </c>
      <c r="Y3282" s="0" t="n">
        <v>10</v>
      </c>
      <c r="Z3282" s="0" t="inlineStr">
        <is>
          <t>https://new.land.naver.com/complexes/126784?tab=detail&amp;rf=Y</t>
        </is>
      </c>
      <c r="AA3282" s="0" t="inlineStr">
        <is>
          <t>서울시 강동구 천호동 169-12</t>
        </is>
      </c>
      <c r="AB3282" s="0" t="inlineStr">
        <is>
          <t>서울시</t>
        </is>
      </c>
      <c r="AC3282" s="0" t="inlineStr">
        <is>
          <t>강동구</t>
        </is>
      </c>
      <c r="AD3282" s="0" t="inlineStr">
        <is>
          <t>천호동</t>
        </is>
      </c>
      <c r="AG3282" s="0" t="inlineStr">
        <is>
          <t>서울시 강동구 성안로25길 21</t>
        </is>
      </c>
      <c r="AH3282" s="0" t="n">
        <v>0</v>
      </c>
      <c r="AI3282" s="0" t="n">
        <v>398</v>
      </c>
      <c r="AJ3282" s="0" t="n">
        <v>58</v>
      </c>
      <c r="AK3282" s="0" t="n">
        <v>12</v>
      </c>
      <c r="AL3282" s="0" t="n">
        <v>0.6</v>
      </c>
    </row>
    <row r="3283">
      <c r="A3283" s="0" t="inlineStr">
        <is>
          <t>[천호동]</t>
        </is>
      </c>
      <c r="B3283" s="0" t="n">
        <v>117741</v>
      </c>
      <c r="C3283" s="0" t="n">
        <v>1</v>
      </c>
      <c r="D3283" s="0" t="inlineStr">
        <is>
          <t>동인씨엘로(도시형)</t>
        </is>
      </c>
      <c r="E3283" s="0" t="inlineStr">
        <is>
          <t>2017.07.</t>
        </is>
      </c>
      <c r="F3283" s="0" t="n">
        <v>20</v>
      </c>
      <c r="G3283" s="0" t="n">
        <v>7.24</v>
      </c>
      <c r="H3283" s="0" t="n">
        <v>23.94</v>
      </c>
      <c r="I3283" s="0" t="n">
        <v>5.51</v>
      </c>
      <c r="J3283" s="0" t="n">
        <v>18.23</v>
      </c>
      <c r="K3283" s="0" t="n">
        <v>1</v>
      </c>
      <c r="T3283" s="0" t="n">
        <v>1</v>
      </c>
      <c r="U3283" s="0" t="n">
        <v>1</v>
      </c>
      <c r="V3283" s="0" t="inlineStr">
        <is>
          <t>계단식</t>
        </is>
      </c>
      <c r="W3283" s="0" t="n">
        <v>23</v>
      </c>
      <c r="X3283" s="0" t="n">
        <v>6</v>
      </c>
      <c r="Y3283" s="0" t="n">
        <v>6</v>
      </c>
      <c r="Z3283" s="0" t="inlineStr">
        <is>
          <t>https://new.land.naver.com/complexes/117741?tab=detail&amp;rf=Y</t>
        </is>
      </c>
      <c r="AA3283" s="0" t="inlineStr">
        <is>
          <t>서울시 강동구 천호동 315-30</t>
        </is>
      </c>
      <c r="AB3283" s="0" t="inlineStr">
        <is>
          <t>서울시</t>
        </is>
      </c>
      <c r="AC3283" s="0" t="inlineStr">
        <is>
          <t>강동구</t>
        </is>
      </c>
      <c r="AD3283" s="0" t="inlineStr">
        <is>
          <t>천호동</t>
        </is>
      </c>
      <c r="AG3283" s="0" t="inlineStr">
        <is>
          <t>서울시 강동구 천중로9길 41</t>
        </is>
      </c>
      <c r="AH3283" s="0" t="n">
        <v>0</v>
      </c>
      <c r="AI3283" s="0" t="n">
        <v>207</v>
      </c>
      <c r="AJ3283" s="0" t="n">
        <v>49</v>
      </c>
      <c r="AK3283" s="0" t="n">
        <v>9</v>
      </c>
      <c r="AL3283" s="0" t="n">
        <v>0.45</v>
      </c>
    </row>
    <row r="3284">
      <c r="A3284" s="0" t="inlineStr">
        <is>
          <t>[천호동]</t>
        </is>
      </c>
      <c r="B3284" s="0" t="n">
        <v>117741</v>
      </c>
      <c r="C3284" s="0" t="n">
        <v>2</v>
      </c>
      <c r="D3284" s="0" t="inlineStr">
        <is>
          <t>동인씨엘로(도시형)</t>
        </is>
      </c>
      <c r="E3284" s="0" t="inlineStr">
        <is>
          <t>2017.07.</t>
        </is>
      </c>
      <c r="F3284" s="0" t="n">
        <v>20</v>
      </c>
      <c r="G3284" s="0" t="n">
        <v>8.31</v>
      </c>
      <c r="H3284" s="0" t="n">
        <v>27.48</v>
      </c>
      <c r="I3284" s="0" t="n">
        <v>6.32</v>
      </c>
      <c r="J3284" s="0" t="n">
        <v>20.92</v>
      </c>
      <c r="K3284" s="0" t="n">
        <v>1</v>
      </c>
      <c r="T3284" s="0" t="n">
        <v>1</v>
      </c>
      <c r="U3284" s="0" t="n">
        <v>1</v>
      </c>
      <c r="V3284" s="0" t="inlineStr">
        <is>
          <t>계단식</t>
        </is>
      </c>
      <c r="W3284" s="0" t="n">
        <v>27</v>
      </c>
      <c r="X3284" s="0" t="n">
        <v>6</v>
      </c>
      <c r="Y3284" s="0" t="n">
        <v>6</v>
      </c>
      <c r="Z3284" s="0" t="inlineStr">
        <is>
          <t>https://new.land.naver.com/complexes/117741?tab=detail&amp;rf=Y</t>
        </is>
      </c>
      <c r="AA3284" s="0" t="inlineStr">
        <is>
          <t>서울시 강동구 천호동 315-30</t>
        </is>
      </c>
      <c r="AB3284" s="0" t="inlineStr">
        <is>
          <t>서울시</t>
        </is>
      </c>
      <c r="AC3284" s="0" t="inlineStr">
        <is>
          <t>강동구</t>
        </is>
      </c>
      <c r="AD3284" s="0" t="inlineStr">
        <is>
          <t>천호동</t>
        </is>
      </c>
      <c r="AG3284" s="0" t="inlineStr">
        <is>
          <t>서울시 강동구 천중로9길 41</t>
        </is>
      </c>
      <c r="AH3284" s="0" t="n">
        <v>0</v>
      </c>
      <c r="AI3284" s="0" t="n">
        <v>207</v>
      </c>
      <c r="AJ3284" s="0" t="n">
        <v>49</v>
      </c>
      <c r="AK3284" s="0" t="n">
        <v>9</v>
      </c>
      <c r="AL3284" s="0" t="n">
        <v>0.45</v>
      </c>
    </row>
    <row r="3285">
      <c r="A3285" s="0" t="inlineStr">
        <is>
          <t>[천호동]</t>
        </is>
      </c>
      <c r="B3285" s="0" t="n">
        <v>117741</v>
      </c>
      <c r="C3285" s="0" t="n">
        <v>3</v>
      </c>
      <c r="D3285" s="0" t="inlineStr">
        <is>
          <t>동인씨엘로(도시형)</t>
        </is>
      </c>
      <c r="E3285" s="0" t="inlineStr">
        <is>
          <t>2017.07.</t>
        </is>
      </c>
      <c r="F3285" s="0" t="n">
        <v>20</v>
      </c>
      <c r="G3285" s="0" t="n">
        <v>9.869999999999999</v>
      </c>
      <c r="H3285" s="0" t="n">
        <v>32.64</v>
      </c>
      <c r="I3285" s="0" t="n">
        <v>7.51</v>
      </c>
      <c r="J3285" s="0" t="n">
        <v>24.84</v>
      </c>
      <c r="K3285" s="0" t="n">
        <v>8</v>
      </c>
      <c r="T3285" s="0" t="n">
        <v>1</v>
      </c>
      <c r="U3285" s="0" t="n">
        <v>1</v>
      </c>
      <c r="V3285" s="0" t="inlineStr">
        <is>
          <t>계단식</t>
        </is>
      </c>
      <c r="W3285" s="0" t="inlineStr">
        <is>
          <t>32A</t>
        </is>
      </c>
      <c r="X3285" s="0" t="n">
        <v>6</v>
      </c>
      <c r="Y3285" s="0" t="n">
        <v>6</v>
      </c>
      <c r="Z3285" s="0" t="inlineStr">
        <is>
          <t>https://new.land.naver.com/complexes/117741?tab=detail&amp;rf=Y</t>
        </is>
      </c>
      <c r="AA3285" s="0" t="inlineStr">
        <is>
          <t>서울시 강동구 천호동 315-30</t>
        </is>
      </c>
      <c r="AB3285" s="0" t="inlineStr">
        <is>
          <t>서울시</t>
        </is>
      </c>
      <c r="AC3285" s="0" t="inlineStr">
        <is>
          <t>강동구</t>
        </is>
      </c>
      <c r="AD3285" s="0" t="inlineStr">
        <is>
          <t>천호동</t>
        </is>
      </c>
      <c r="AG3285" s="0" t="inlineStr">
        <is>
          <t>서울시 강동구 천중로9길 41</t>
        </is>
      </c>
      <c r="AH3285" s="0" t="n">
        <v>0</v>
      </c>
      <c r="AI3285" s="0" t="n">
        <v>207</v>
      </c>
      <c r="AJ3285" s="0" t="n">
        <v>49</v>
      </c>
      <c r="AK3285" s="0" t="n">
        <v>9</v>
      </c>
      <c r="AL3285" s="0" t="n">
        <v>0.45</v>
      </c>
    </row>
    <row r="3286">
      <c r="A3286" s="0" t="inlineStr">
        <is>
          <t>[천호동]</t>
        </is>
      </c>
      <c r="B3286" s="0" t="n">
        <v>117741</v>
      </c>
      <c r="C3286" s="0" t="n">
        <v>4</v>
      </c>
      <c r="D3286" s="0" t="inlineStr">
        <is>
          <t>동인씨엘로(도시형)</t>
        </is>
      </c>
      <c r="E3286" s="0" t="inlineStr">
        <is>
          <t>2017.07.</t>
        </is>
      </c>
      <c r="F3286" s="0" t="n">
        <v>20</v>
      </c>
      <c r="G3286" s="0" t="n">
        <v>10.42</v>
      </c>
      <c r="H3286" s="0" t="n">
        <v>34.46</v>
      </c>
      <c r="I3286" s="0" t="n">
        <v>7.93</v>
      </c>
      <c r="J3286" s="0" t="n">
        <v>26.24</v>
      </c>
      <c r="K3286" s="0" t="n">
        <v>8</v>
      </c>
      <c r="T3286" s="0" t="n">
        <v>1</v>
      </c>
      <c r="U3286" s="0" t="n">
        <v>1</v>
      </c>
      <c r="V3286" s="0" t="inlineStr">
        <is>
          <t>계단식</t>
        </is>
      </c>
      <c r="W3286" s="0" t="inlineStr">
        <is>
          <t>34B</t>
        </is>
      </c>
      <c r="X3286" s="0" t="n">
        <v>6</v>
      </c>
      <c r="Y3286" s="0" t="n">
        <v>6</v>
      </c>
      <c r="Z3286" s="0" t="inlineStr">
        <is>
          <t>https://new.land.naver.com/complexes/117741?tab=detail&amp;rf=Y</t>
        </is>
      </c>
      <c r="AA3286" s="0" t="inlineStr">
        <is>
          <t>서울시 강동구 천호동 315-30</t>
        </is>
      </c>
      <c r="AB3286" s="0" t="inlineStr">
        <is>
          <t>서울시</t>
        </is>
      </c>
      <c r="AC3286" s="0" t="inlineStr">
        <is>
          <t>강동구</t>
        </is>
      </c>
      <c r="AD3286" s="0" t="inlineStr">
        <is>
          <t>천호동</t>
        </is>
      </c>
      <c r="AG3286" s="0" t="inlineStr">
        <is>
          <t>서울시 강동구 천중로9길 41</t>
        </is>
      </c>
      <c r="AH3286" s="0" t="n">
        <v>0</v>
      </c>
      <c r="AI3286" s="0" t="n">
        <v>207</v>
      </c>
      <c r="AJ3286" s="0" t="n">
        <v>49</v>
      </c>
      <c r="AK3286" s="0" t="n">
        <v>9</v>
      </c>
      <c r="AL3286" s="0" t="n">
        <v>0.45</v>
      </c>
    </row>
    <row r="3287">
      <c r="A3287" s="0" t="inlineStr">
        <is>
          <t>[천호동]</t>
        </is>
      </c>
      <c r="B3287" s="0" t="n">
        <v>117741</v>
      </c>
      <c r="C3287" s="0" t="n">
        <v>5</v>
      </c>
      <c r="D3287" s="0" t="inlineStr">
        <is>
          <t>동인씨엘로(도시형)</t>
        </is>
      </c>
      <c r="E3287" s="0" t="inlineStr">
        <is>
          <t>2017.07.</t>
        </is>
      </c>
      <c r="F3287" s="0" t="n">
        <v>20</v>
      </c>
      <c r="G3287" s="0" t="n">
        <v>10.62</v>
      </c>
      <c r="H3287" s="0" t="n">
        <v>35.12</v>
      </c>
      <c r="I3287" s="0" t="n">
        <v>8.08</v>
      </c>
      <c r="J3287" s="0" t="n">
        <v>26.74</v>
      </c>
      <c r="K3287" s="0" t="n">
        <v>1</v>
      </c>
      <c r="T3287" s="0" t="n">
        <v>1</v>
      </c>
      <c r="U3287" s="0" t="n">
        <v>1</v>
      </c>
      <c r="V3287" s="0" t="inlineStr">
        <is>
          <t>계단식</t>
        </is>
      </c>
      <c r="W3287" s="0" t="inlineStr">
        <is>
          <t>35A</t>
        </is>
      </c>
      <c r="X3287" s="0" t="n">
        <v>6</v>
      </c>
      <c r="Y3287" s="0" t="n">
        <v>6</v>
      </c>
      <c r="Z3287" s="0" t="inlineStr">
        <is>
          <t>https://new.land.naver.com/complexes/117741?tab=detail&amp;rf=Y</t>
        </is>
      </c>
      <c r="AA3287" s="0" t="inlineStr">
        <is>
          <t>서울시 강동구 천호동 315-30</t>
        </is>
      </c>
      <c r="AB3287" s="0" t="inlineStr">
        <is>
          <t>서울시</t>
        </is>
      </c>
      <c r="AC3287" s="0" t="inlineStr">
        <is>
          <t>강동구</t>
        </is>
      </c>
      <c r="AD3287" s="0" t="inlineStr">
        <is>
          <t>천호동</t>
        </is>
      </c>
      <c r="AG3287" s="0" t="inlineStr">
        <is>
          <t>서울시 강동구 천중로9길 41</t>
        </is>
      </c>
      <c r="AH3287" s="0" t="n">
        <v>0</v>
      </c>
      <c r="AI3287" s="0" t="n">
        <v>207</v>
      </c>
      <c r="AJ3287" s="0" t="n">
        <v>49</v>
      </c>
      <c r="AK3287" s="0" t="n">
        <v>9</v>
      </c>
      <c r="AL3287" s="0" t="n">
        <v>0.45</v>
      </c>
    </row>
    <row r="3288">
      <c r="A3288" s="0" t="inlineStr">
        <is>
          <t>[천호동]</t>
        </is>
      </c>
      <c r="B3288" s="0" t="n">
        <v>117741</v>
      </c>
      <c r="C3288" s="0" t="n">
        <v>6</v>
      </c>
      <c r="D3288" s="0" t="inlineStr">
        <is>
          <t>동인씨엘로(도시형)</t>
        </is>
      </c>
      <c r="E3288" s="0" t="inlineStr">
        <is>
          <t>2017.07.</t>
        </is>
      </c>
      <c r="F3288" s="0" t="n">
        <v>20</v>
      </c>
      <c r="G3288" s="0" t="n">
        <v>10.95</v>
      </c>
      <c r="H3288" s="0" t="n">
        <v>36.2</v>
      </c>
      <c r="I3288" s="0" t="n">
        <v>8.33</v>
      </c>
      <c r="J3288" s="0" t="n">
        <v>27.56</v>
      </c>
      <c r="K3288" s="0" t="n">
        <v>1</v>
      </c>
      <c r="T3288" s="0" t="n">
        <v>1</v>
      </c>
      <c r="U3288" s="0" t="n">
        <v>1</v>
      </c>
      <c r="V3288" s="0" t="inlineStr">
        <is>
          <t>계단식</t>
        </is>
      </c>
      <c r="W3288" s="0" t="inlineStr">
        <is>
          <t>36B</t>
        </is>
      </c>
      <c r="X3288" s="0" t="n">
        <v>6</v>
      </c>
      <c r="Y3288" s="0" t="n">
        <v>6</v>
      </c>
      <c r="Z3288" s="0" t="inlineStr">
        <is>
          <t>https://new.land.naver.com/complexes/117741?tab=detail&amp;rf=Y</t>
        </is>
      </c>
      <c r="AA3288" s="0" t="inlineStr">
        <is>
          <t>서울시 강동구 천호동 315-30</t>
        </is>
      </c>
      <c r="AB3288" s="0" t="inlineStr">
        <is>
          <t>서울시</t>
        </is>
      </c>
      <c r="AC3288" s="0" t="inlineStr">
        <is>
          <t>강동구</t>
        </is>
      </c>
      <c r="AD3288" s="0" t="inlineStr">
        <is>
          <t>천호동</t>
        </is>
      </c>
      <c r="AG3288" s="0" t="inlineStr">
        <is>
          <t>서울시 강동구 천중로9길 41</t>
        </is>
      </c>
      <c r="AH3288" s="0" t="n">
        <v>0</v>
      </c>
      <c r="AI3288" s="0" t="n">
        <v>207</v>
      </c>
      <c r="AJ3288" s="0" t="n">
        <v>49</v>
      </c>
      <c r="AK3288" s="0" t="n">
        <v>9</v>
      </c>
      <c r="AL3288" s="0" t="n">
        <v>0.45</v>
      </c>
    </row>
    <row r="3289">
      <c r="A3289" s="0" t="inlineStr">
        <is>
          <t>[천호동]</t>
        </is>
      </c>
      <c r="B3289" s="0" t="n">
        <v>101386</v>
      </c>
      <c r="C3289" s="0" t="n">
        <v>1</v>
      </c>
      <c r="D3289" s="0" t="inlineStr">
        <is>
          <t>아크로파크</t>
        </is>
      </c>
      <c r="E3289" s="0" t="inlineStr">
        <is>
          <t>2004.12.</t>
        </is>
      </c>
      <c r="F3289" s="0" t="n">
        <v>18</v>
      </c>
      <c r="G3289" s="0" t="n">
        <v>24.14</v>
      </c>
      <c r="H3289" s="0" t="n">
        <v>79.81</v>
      </c>
      <c r="I3289" s="0" t="n">
        <v>21.61</v>
      </c>
      <c r="J3289" s="0" t="n">
        <v>71.45999999999999</v>
      </c>
      <c r="K3289" s="0" t="n">
        <v>1</v>
      </c>
      <c r="T3289" s="0" t="n">
        <v>3</v>
      </c>
      <c r="U3289" s="0" t="n">
        <v>2</v>
      </c>
      <c r="V3289" s="0" t="inlineStr">
        <is>
          <t>복도식</t>
        </is>
      </c>
      <c r="W3289" s="0" t="n">
        <v>79</v>
      </c>
      <c r="X3289" s="0" t="n">
        <v>6</v>
      </c>
      <c r="Y3289" s="0" t="n">
        <v>6</v>
      </c>
      <c r="Z3289" s="0" t="inlineStr">
        <is>
          <t>https://new.land.naver.com/complexes/101386?tab=detail&amp;rf=Y</t>
        </is>
      </c>
      <c r="AA3289" s="0" t="inlineStr">
        <is>
          <t>서울시 강동구 천호동 40-9</t>
        </is>
      </c>
      <c r="AB3289" s="0" t="inlineStr">
        <is>
          <t>서울시</t>
        </is>
      </c>
      <c r="AC3289" s="0" t="inlineStr">
        <is>
          <t>강동구</t>
        </is>
      </c>
      <c r="AD3289" s="0" t="inlineStr">
        <is>
          <t>천호동</t>
        </is>
      </c>
      <c r="AG3289" s="0" t="inlineStr">
        <is>
          <t>서울시 강동구 양재대로127길 53</t>
        </is>
      </c>
      <c r="AH3289" s="0" t="n">
        <v>0</v>
      </c>
      <c r="AI3289" s="0" t="n">
        <v>237</v>
      </c>
      <c r="AJ3289" s="0" t="n">
        <v>43</v>
      </c>
      <c r="AK3289" s="0" t="n">
        <v>27</v>
      </c>
      <c r="AL3289" s="0" t="n">
        <v>1.5</v>
      </c>
    </row>
    <row r="3290">
      <c r="A3290" s="0" t="inlineStr">
        <is>
          <t>[천호동]</t>
        </is>
      </c>
      <c r="B3290" s="0" t="n">
        <v>101386</v>
      </c>
      <c r="C3290" s="0" t="n">
        <v>2</v>
      </c>
      <c r="D3290" s="0" t="inlineStr">
        <is>
          <t>아크로파크</t>
        </is>
      </c>
      <c r="E3290" s="0" t="inlineStr">
        <is>
          <t>2004.12.</t>
        </is>
      </c>
      <c r="F3290" s="0" t="n">
        <v>18</v>
      </c>
      <c r="G3290" s="0" t="n">
        <v>33.61</v>
      </c>
      <c r="H3290" s="0" t="n">
        <v>111.14</v>
      </c>
      <c r="I3290" s="0" t="n">
        <v>30.1</v>
      </c>
      <c r="J3290" s="0" t="n">
        <v>99.52</v>
      </c>
      <c r="K3290" s="0" t="n">
        <v>1</v>
      </c>
      <c r="T3290" s="0" t="n">
        <v>3</v>
      </c>
      <c r="U3290" s="0" t="n">
        <v>2</v>
      </c>
      <c r="V3290" s="0" t="inlineStr">
        <is>
          <t>계단식</t>
        </is>
      </c>
      <c r="W3290" s="0" t="n">
        <v>111</v>
      </c>
      <c r="X3290" s="0" t="n">
        <v>6</v>
      </c>
      <c r="Y3290" s="0" t="n">
        <v>6</v>
      </c>
      <c r="Z3290" s="0" t="inlineStr">
        <is>
          <t>https://new.land.naver.com/complexes/101386?tab=detail&amp;rf=Y</t>
        </is>
      </c>
      <c r="AA3290" s="0" t="inlineStr">
        <is>
          <t>서울시 강동구 천호동 40-9</t>
        </is>
      </c>
      <c r="AB3290" s="0" t="inlineStr">
        <is>
          <t>서울시</t>
        </is>
      </c>
      <c r="AC3290" s="0" t="inlineStr">
        <is>
          <t>강동구</t>
        </is>
      </c>
      <c r="AD3290" s="0" t="inlineStr">
        <is>
          <t>천호동</t>
        </is>
      </c>
      <c r="AG3290" s="0" t="inlineStr">
        <is>
          <t>서울시 강동구 양재대로127길 53</t>
        </is>
      </c>
      <c r="AH3290" s="0" t="n">
        <v>0</v>
      </c>
      <c r="AI3290" s="0" t="n">
        <v>237</v>
      </c>
      <c r="AJ3290" s="0" t="n">
        <v>43</v>
      </c>
      <c r="AK3290" s="0" t="n">
        <v>27</v>
      </c>
      <c r="AL3290" s="0" t="n">
        <v>1.5</v>
      </c>
    </row>
    <row r="3291">
      <c r="A3291" s="0" t="inlineStr">
        <is>
          <t>[천호동]</t>
        </is>
      </c>
      <c r="B3291" s="0" t="n">
        <v>101386</v>
      </c>
      <c r="C3291" s="0" t="n">
        <v>3</v>
      </c>
      <c r="D3291" s="0" t="inlineStr">
        <is>
          <t>아크로파크</t>
        </is>
      </c>
      <c r="E3291" s="0" t="inlineStr">
        <is>
          <t>2004.12.</t>
        </is>
      </c>
      <c r="F3291" s="0" t="n">
        <v>18</v>
      </c>
      <c r="G3291" s="0" t="n">
        <v>35.78</v>
      </c>
      <c r="H3291" s="0" t="n">
        <v>118.29</v>
      </c>
      <c r="I3291" s="0" t="n">
        <v>30.1</v>
      </c>
      <c r="J3291" s="0" t="n">
        <v>99.51000000000001</v>
      </c>
      <c r="K3291" s="0" t="n">
        <v>1</v>
      </c>
      <c r="T3291" s="0" t="n">
        <v>3</v>
      </c>
      <c r="U3291" s="0" t="n">
        <v>2</v>
      </c>
      <c r="V3291" s="0" t="inlineStr">
        <is>
          <t>계단식</t>
        </is>
      </c>
      <c r="W3291" s="0" t="n">
        <v>118</v>
      </c>
      <c r="X3291" s="0" t="n">
        <v>6</v>
      </c>
      <c r="Y3291" s="0" t="n">
        <v>6</v>
      </c>
      <c r="Z3291" s="0" t="inlineStr">
        <is>
          <t>https://new.land.naver.com/complexes/101386?tab=detail&amp;rf=Y</t>
        </is>
      </c>
      <c r="AA3291" s="0" t="inlineStr">
        <is>
          <t>서울시 강동구 천호동 40-9</t>
        </is>
      </c>
      <c r="AB3291" s="0" t="inlineStr">
        <is>
          <t>서울시</t>
        </is>
      </c>
      <c r="AC3291" s="0" t="inlineStr">
        <is>
          <t>강동구</t>
        </is>
      </c>
      <c r="AD3291" s="0" t="inlineStr">
        <is>
          <t>천호동</t>
        </is>
      </c>
      <c r="AG3291" s="0" t="inlineStr">
        <is>
          <t>서울시 강동구 양재대로127길 53</t>
        </is>
      </c>
      <c r="AH3291" s="0" t="n">
        <v>0</v>
      </c>
      <c r="AI3291" s="0" t="n">
        <v>237</v>
      </c>
      <c r="AJ3291" s="0" t="n">
        <v>43</v>
      </c>
      <c r="AK3291" s="0" t="n">
        <v>27</v>
      </c>
      <c r="AL3291" s="0" t="n">
        <v>1.5</v>
      </c>
    </row>
    <row r="3292">
      <c r="A3292" s="0" t="inlineStr">
        <is>
          <t>[천호동]</t>
        </is>
      </c>
      <c r="B3292" s="0" t="n">
        <v>101386</v>
      </c>
      <c r="C3292" s="0" t="n">
        <v>4</v>
      </c>
      <c r="D3292" s="0" t="inlineStr">
        <is>
          <t>아크로파크</t>
        </is>
      </c>
      <c r="E3292" s="0" t="inlineStr">
        <is>
          <t>2004.12.</t>
        </is>
      </c>
      <c r="F3292" s="0" t="n">
        <v>18</v>
      </c>
      <c r="G3292" s="0" t="n">
        <v>37.11</v>
      </c>
      <c r="H3292" s="0" t="n">
        <v>122.71</v>
      </c>
      <c r="I3292" s="0" t="n">
        <v>33.25</v>
      </c>
      <c r="J3292" s="0" t="n">
        <v>109.92</v>
      </c>
      <c r="K3292" s="0" t="n">
        <v>1</v>
      </c>
      <c r="T3292" s="0" t="n">
        <v>3</v>
      </c>
      <c r="U3292" s="0" t="n">
        <v>2</v>
      </c>
      <c r="V3292" s="0" t="inlineStr">
        <is>
          <t>계단식</t>
        </is>
      </c>
      <c r="W3292" s="0" t="n">
        <v>122</v>
      </c>
      <c r="X3292" s="0" t="n">
        <v>6</v>
      </c>
      <c r="Y3292" s="0" t="n">
        <v>6</v>
      </c>
      <c r="Z3292" s="0" t="inlineStr">
        <is>
          <t>https://new.land.naver.com/complexes/101386?tab=detail&amp;rf=Y</t>
        </is>
      </c>
      <c r="AA3292" s="0" t="inlineStr">
        <is>
          <t>서울시 강동구 천호동 40-9</t>
        </is>
      </c>
      <c r="AB3292" s="0" t="inlineStr">
        <is>
          <t>서울시</t>
        </is>
      </c>
      <c r="AC3292" s="0" t="inlineStr">
        <is>
          <t>강동구</t>
        </is>
      </c>
      <c r="AD3292" s="0" t="inlineStr">
        <is>
          <t>천호동</t>
        </is>
      </c>
      <c r="AG3292" s="0" t="inlineStr">
        <is>
          <t>서울시 강동구 양재대로127길 53</t>
        </is>
      </c>
      <c r="AH3292" s="0" t="n">
        <v>0</v>
      </c>
      <c r="AI3292" s="0" t="n">
        <v>237</v>
      </c>
      <c r="AJ3292" s="0" t="n">
        <v>43</v>
      </c>
      <c r="AK3292" s="0" t="n">
        <v>27</v>
      </c>
      <c r="AL3292" s="0" t="n">
        <v>1.5</v>
      </c>
    </row>
    <row r="3293">
      <c r="A3293" s="0" t="inlineStr">
        <is>
          <t>[천호동]</t>
        </is>
      </c>
      <c r="B3293" s="0" t="n">
        <v>101386</v>
      </c>
      <c r="C3293" s="0" t="n">
        <v>5</v>
      </c>
      <c r="D3293" s="0" t="inlineStr">
        <is>
          <t>아크로파크</t>
        </is>
      </c>
      <c r="E3293" s="0" t="inlineStr">
        <is>
          <t>2004.12.</t>
        </is>
      </c>
      <c r="F3293" s="0" t="n">
        <v>18</v>
      </c>
      <c r="G3293" s="0" t="n">
        <v>38.83</v>
      </c>
      <c r="H3293" s="0" t="n">
        <v>128.39</v>
      </c>
      <c r="I3293" s="0" t="n">
        <v>34.77</v>
      </c>
      <c r="J3293" s="0" t="n">
        <v>114.96</v>
      </c>
      <c r="K3293" s="0" t="n">
        <v>9</v>
      </c>
      <c r="T3293" s="0" t="n">
        <v>3</v>
      </c>
      <c r="U3293" s="0" t="n">
        <v>2</v>
      </c>
      <c r="V3293" s="0" t="inlineStr">
        <is>
          <t>계단식</t>
        </is>
      </c>
      <c r="W3293" s="0" t="n">
        <v>128</v>
      </c>
      <c r="X3293" s="0" t="n">
        <v>6</v>
      </c>
      <c r="Y3293" s="0" t="n">
        <v>6</v>
      </c>
      <c r="Z3293" s="0" t="inlineStr">
        <is>
          <t>https://new.land.naver.com/complexes/101386?tab=detail&amp;rf=Y</t>
        </is>
      </c>
      <c r="AA3293" s="0" t="inlineStr">
        <is>
          <t>서울시 강동구 천호동 40-9</t>
        </is>
      </c>
      <c r="AB3293" s="0" t="inlineStr">
        <is>
          <t>서울시</t>
        </is>
      </c>
      <c r="AC3293" s="0" t="inlineStr">
        <is>
          <t>강동구</t>
        </is>
      </c>
      <c r="AD3293" s="0" t="inlineStr">
        <is>
          <t>천호동</t>
        </is>
      </c>
      <c r="AG3293" s="0" t="inlineStr">
        <is>
          <t>서울시 강동구 양재대로127길 53</t>
        </is>
      </c>
      <c r="AH3293" s="0" t="n">
        <v>0</v>
      </c>
      <c r="AI3293" s="0" t="n">
        <v>237</v>
      </c>
      <c r="AJ3293" s="0" t="n">
        <v>43</v>
      </c>
      <c r="AK3293" s="0" t="n">
        <v>27</v>
      </c>
      <c r="AL3293" s="0" t="n">
        <v>1.5</v>
      </c>
    </row>
    <row r="3294">
      <c r="A3294" s="0" t="inlineStr">
        <is>
          <t>[천호동]</t>
        </is>
      </c>
      <c r="B3294" s="0" t="n">
        <v>101386</v>
      </c>
      <c r="C3294" s="0" t="n">
        <v>6</v>
      </c>
      <c r="D3294" s="0" t="inlineStr">
        <is>
          <t>아크로파크</t>
        </is>
      </c>
      <c r="E3294" s="0" t="inlineStr">
        <is>
          <t>2004.12.</t>
        </is>
      </c>
      <c r="F3294" s="0" t="n">
        <v>18</v>
      </c>
      <c r="G3294" s="0" t="n">
        <v>41.14</v>
      </c>
      <c r="H3294" s="0" t="n">
        <v>136.02</v>
      </c>
      <c r="I3294" s="0" t="n">
        <v>34.62</v>
      </c>
      <c r="J3294" s="0" t="n">
        <v>114.45</v>
      </c>
      <c r="K3294" s="0" t="n">
        <v>5</v>
      </c>
      <c r="T3294" s="0" t="n">
        <v>4</v>
      </c>
      <c r="U3294" s="0" t="n">
        <v>2</v>
      </c>
      <c r="V3294" s="0" t="inlineStr">
        <is>
          <t>계단식</t>
        </is>
      </c>
      <c r="W3294" s="0" t="n">
        <v>136</v>
      </c>
      <c r="X3294" s="0" t="n">
        <v>6</v>
      </c>
      <c r="Y3294" s="0" t="n">
        <v>6</v>
      </c>
      <c r="Z3294" s="0" t="inlineStr">
        <is>
          <t>https://new.land.naver.com/complexes/101386?tab=detail&amp;rf=Y</t>
        </is>
      </c>
      <c r="AA3294" s="0" t="inlineStr">
        <is>
          <t>서울시 강동구 천호동 40-9</t>
        </is>
      </c>
      <c r="AB3294" s="0" t="inlineStr">
        <is>
          <t>서울시</t>
        </is>
      </c>
      <c r="AC3294" s="0" t="inlineStr">
        <is>
          <t>강동구</t>
        </is>
      </c>
      <c r="AD3294" s="0" t="inlineStr">
        <is>
          <t>천호동</t>
        </is>
      </c>
      <c r="AG3294" s="0" t="inlineStr">
        <is>
          <t>서울시 강동구 양재대로127길 53</t>
        </is>
      </c>
      <c r="AH3294" s="0" t="n">
        <v>0</v>
      </c>
      <c r="AI3294" s="0" t="n">
        <v>237</v>
      </c>
      <c r="AJ3294" s="0" t="n">
        <v>43</v>
      </c>
      <c r="AK3294" s="0" t="n">
        <v>27</v>
      </c>
      <c r="AL3294" s="0" t="n">
        <v>1.5</v>
      </c>
    </row>
    <row r="3295">
      <c r="A3295" s="0" t="inlineStr">
        <is>
          <t>[천호동]</t>
        </is>
      </c>
      <c r="B3295" s="0" t="n">
        <v>27530</v>
      </c>
      <c r="C3295" s="0" t="n">
        <v>1</v>
      </c>
      <c r="D3295" s="0" t="inlineStr">
        <is>
          <t>엘크루</t>
        </is>
      </c>
      <c r="E3295" s="0" t="inlineStr">
        <is>
          <t>2008.12.</t>
        </is>
      </c>
      <c r="F3295" s="0" t="n">
        <v>47</v>
      </c>
      <c r="G3295" s="0" t="n">
        <v>51.88</v>
      </c>
      <c r="H3295" s="0" t="n">
        <v>171.53</v>
      </c>
      <c r="I3295" s="0" t="n">
        <v>42.84</v>
      </c>
      <c r="J3295" s="0" t="n">
        <v>141.65</v>
      </c>
      <c r="K3295" s="0" t="n">
        <v>21</v>
      </c>
      <c r="T3295" s="0" t="n">
        <v>4</v>
      </c>
      <c r="U3295" s="0" t="n">
        <v>2</v>
      </c>
      <c r="V3295" s="0" t="inlineStr">
        <is>
          <t>복도식</t>
        </is>
      </c>
      <c r="W3295" s="0" t="inlineStr">
        <is>
          <t>171A</t>
        </is>
      </c>
      <c r="X3295" s="0" t="n">
        <v>19</v>
      </c>
      <c r="Y3295" s="0" t="n">
        <v>17</v>
      </c>
      <c r="Z3295" s="0" t="inlineStr">
        <is>
          <t>https://new.land.naver.com/complexes/27530?tab=detail&amp;rf=Y</t>
        </is>
      </c>
      <c r="AA3295" s="0" t="inlineStr">
        <is>
          <t>서울시 강동구 천호동 427-3</t>
        </is>
      </c>
      <c r="AB3295" s="0" t="inlineStr">
        <is>
          <t>서울시</t>
        </is>
      </c>
      <c r="AC3295" s="0" t="inlineStr">
        <is>
          <t>강동구</t>
        </is>
      </c>
      <c r="AD3295" s="0" t="inlineStr">
        <is>
          <t>천호동</t>
        </is>
      </c>
      <c r="AG3295" s="0" t="inlineStr">
        <is>
          <t>서울시 강동구 올림픽로 660</t>
        </is>
      </c>
      <c r="AH3295" s="0" t="n">
        <v>0</v>
      </c>
      <c r="AI3295" s="0" t="n">
        <v>699</v>
      </c>
      <c r="AJ3295" s="0" t="n">
        <v>59</v>
      </c>
      <c r="AK3295" s="0" t="n">
        <v>165</v>
      </c>
      <c r="AL3295" s="0" t="n">
        <v>3.51</v>
      </c>
    </row>
    <row r="3296">
      <c r="A3296" s="0" t="inlineStr">
        <is>
          <t>[천호동]</t>
        </is>
      </c>
      <c r="B3296" s="0" t="n">
        <v>27530</v>
      </c>
      <c r="C3296" s="0" t="n">
        <v>2</v>
      </c>
      <c r="D3296" s="0" t="inlineStr">
        <is>
          <t>엘크루</t>
        </is>
      </c>
      <c r="E3296" s="0" t="inlineStr">
        <is>
          <t>2008.12.</t>
        </is>
      </c>
      <c r="F3296" s="0" t="n">
        <v>47</v>
      </c>
      <c r="G3296" s="0" t="n">
        <v>52.93</v>
      </c>
      <c r="H3296" s="0" t="n">
        <v>174.99</v>
      </c>
      <c r="I3296" s="0" t="n">
        <v>43.71</v>
      </c>
      <c r="J3296" s="0" t="n">
        <v>144.5</v>
      </c>
      <c r="K3296" s="0" t="n">
        <v>24</v>
      </c>
      <c r="T3296" s="0" t="n">
        <v>4</v>
      </c>
      <c r="U3296" s="0" t="n">
        <v>2</v>
      </c>
      <c r="V3296" s="0" t="inlineStr">
        <is>
          <t>복도식</t>
        </is>
      </c>
      <c r="W3296" s="0" t="inlineStr">
        <is>
          <t>174B</t>
        </is>
      </c>
      <c r="X3296" s="0" t="n">
        <v>19</v>
      </c>
      <c r="Y3296" s="0" t="n">
        <v>17</v>
      </c>
      <c r="Z3296" s="0" t="inlineStr">
        <is>
          <t>https://new.land.naver.com/complexes/27530?tab=detail&amp;rf=Y</t>
        </is>
      </c>
      <c r="AA3296" s="0" t="inlineStr">
        <is>
          <t>서울시 강동구 천호동 427-3</t>
        </is>
      </c>
      <c r="AB3296" s="0" t="inlineStr">
        <is>
          <t>서울시</t>
        </is>
      </c>
      <c r="AC3296" s="0" t="inlineStr">
        <is>
          <t>강동구</t>
        </is>
      </c>
      <c r="AD3296" s="0" t="inlineStr">
        <is>
          <t>천호동</t>
        </is>
      </c>
      <c r="AG3296" s="0" t="inlineStr">
        <is>
          <t>서울시 강동구 올림픽로 660</t>
        </is>
      </c>
      <c r="AH3296" s="0" t="n">
        <v>0</v>
      </c>
      <c r="AI3296" s="0" t="n">
        <v>699</v>
      </c>
      <c r="AJ3296" s="0" t="n">
        <v>59</v>
      </c>
      <c r="AK3296" s="0" t="n">
        <v>165</v>
      </c>
      <c r="AL3296" s="0" t="n">
        <v>3.51</v>
      </c>
    </row>
    <row r="3297">
      <c r="A3297" s="0" t="inlineStr">
        <is>
          <t>[천호동]</t>
        </is>
      </c>
      <c r="B3297" s="0" t="n">
        <v>27530</v>
      </c>
      <c r="C3297" s="0" t="n">
        <v>3</v>
      </c>
      <c r="D3297" s="0" t="inlineStr">
        <is>
          <t>엘크루</t>
        </is>
      </c>
      <c r="E3297" s="0" t="inlineStr">
        <is>
          <t>2008.12.</t>
        </is>
      </c>
      <c r="F3297" s="0" t="n">
        <v>47</v>
      </c>
      <c r="G3297" s="0" t="n">
        <v>80.63</v>
      </c>
      <c r="H3297" s="0" t="n">
        <v>266.55</v>
      </c>
      <c r="I3297" s="0" t="n">
        <v>66.52</v>
      </c>
      <c r="J3297" s="0" t="n">
        <v>219.92</v>
      </c>
      <c r="K3297" s="0" t="n">
        <v>2</v>
      </c>
      <c r="T3297" s="0" t="n">
        <v>5</v>
      </c>
      <c r="U3297" s="0" t="n">
        <v>3</v>
      </c>
      <c r="V3297" s="0" t="inlineStr">
        <is>
          <t>복도식</t>
        </is>
      </c>
      <c r="W3297" s="0" t="inlineStr">
        <is>
          <t>266C</t>
        </is>
      </c>
      <c r="X3297" s="0" t="n">
        <v>19</v>
      </c>
      <c r="Y3297" s="0" t="n">
        <v>17</v>
      </c>
      <c r="Z3297" s="0" t="inlineStr">
        <is>
          <t>https://new.land.naver.com/complexes/27530?tab=detail&amp;rf=Y</t>
        </is>
      </c>
      <c r="AA3297" s="0" t="inlineStr">
        <is>
          <t>서울시 강동구 천호동 427-3</t>
        </is>
      </c>
      <c r="AB3297" s="0" t="inlineStr">
        <is>
          <t>서울시</t>
        </is>
      </c>
      <c r="AC3297" s="0" t="inlineStr">
        <is>
          <t>강동구</t>
        </is>
      </c>
      <c r="AD3297" s="0" t="inlineStr">
        <is>
          <t>천호동</t>
        </is>
      </c>
      <c r="AG3297" s="0" t="inlineStr">
        <is>
          <t>서울시 강동구 올림픽로 660</t>
        </is>
      </c>
      <c r="AH3297" s="0" t="n">
        <v>0</v>
      </c>
      <c r="AI3297" s="0" t="n">
        <v>699</v>
      </c>
      <c r="AJ3297" s="0" t="n">
        <v>59</v>
      </c>
      <c r="AK3297" s="0" t="n">
        <v>165</v>
      </c>
      <c r="AL3297" s="0" t="n">
        <v>3.51</v>
      </c>
    </row>
    <row r="3298">
      <c r="A3298" s="0" t="inlineStr">
        <is>
          <t>[천호동]</t>
        </is>
      </c>
      <c r="B3298" s="0" t="n">
        <v>118523</v>
      </c>
      <c r="C3298" s="0" t="n">
        <v>1</v>
      </c>
      <c r="D3298" s="0" t="inlineStr">
        <is>
          <t>그린파크빌(도시형)</t>
        </is>
      </c>
      <c r="E3298" s="0" t="inlineStr">
        <is>
          <t>2015.03.</t>
        </is>
      </c>
      <c r="F3298" s="0" t="n">
        <v>14</v>
      </c>
      <c r="G3298" s="0" t="n">
        <v>9.51</v>
      </c>
      <c r="H3298" s="0" t="n">
        <v>31.44</v>
      </c>
      <c r="I3298" s="0" t="n">
        <v>7.82</v>
      </c>
      <c r="J3298" s="0" t="n">
        <v>25.86</v>
      </c>
      <c r="K3298" s="0" t="n">
        <v>4</v>
      </c>
      <c r="T3298" s="0" t="n">
        <v>1</v>
      </c>
      <c r="U3298" s="0" t="n">
        <v>1</v>
      </c>
      <c r="V3298" s="0" t="inlineStr">
        <is>
          <t>계단식</t>
        </is>
      </c>
      <c r="W3298" s="0" t="n">
        <v>31</v>
      </c>
      <c r="X3298" s="0" t="n">
        <v>6</v>
      </c>
      <c r="Y3298" s="0" t="n">
        <v>5</v>
      </c>
      <c r="Z3298" s="0" t="inlineStr">
        <is>
          <t>https://new.land.naver.com/complexes/118523?tab=detail&amp;rf=Y</t>
        </is>
      </c>
      <c r="AA3298" s="0" t="inlineStr">
        <is>
          <t>서울시 강동구 천호동 221-38</t>
        </is>
      </c>
      <c r="AB3298" s="0" t="inlineStr">
        <is>
          <t>서울시</t>
        </is>
      </c>
      <c r="AC3298" s="0" t="inlineStr">
        <is>
          <t>강동구</t>
        </is>
      </c>
      <c r="AD3298" s="0" t="inlineStr">
        <is>
          <t>천호동</t>
        </is>
      </c>
      <c r="AG3298" s="0" t="inlineStr">
        <is>
          <t>서울시 강동구 구천면로42길 34</t>
        </is>
      </c>
      <c r="AH3298" s="0" t="n">
        <v>0</v>
      </c>
      <c r="AI3298" s="0" t="n">
        <v>179</v>
      </c>
      <c r="AJ3298" s="0" t="n">
        <v>52</v>
      </c>
      <c r="AK3298" s="0" t="n">
        <v>10</v>
      </c>
      <c r="AL3298" s="0" t="n">
        <v>0.71</v>
      </c>
    </row>
    <row r="3299">
      <c r="A3299" s="0" t="inlineStr">
        <is>
          <t>[천호동]</t>
        </is>
      </c>
      <c r="B3299" s="0" t="n">
        <v>118523</v>
      </c>
      <c r="C3299" s="0" t="n">
        <v>2</v>
      </c>
      <c r="D3299" s="0" t="inlineStr">
        <is>
          <t>그린파크빌(도시형)</t>
        </is>
      </c>
      <c r="E3299" s="0" t="inlineStr">
        <is>
          <t>2015.03.</t>
        </is>
      </c>
      <c r="F3299" s="0" t="n">
        <v>14</v>
      </c>
      <c r="G3299" s="0" t="n">
        <v>14.14</v>
      </c>
      <c r="H3299" s="0" t="n">
        <v>46.77</v>
      </c>
      <c r="I3299" s="0" t="n">
        <v>11.63</v>
      </c>
      <c r="J3299" s="0" t="n">
        <v>38.47</v>
      </c>
      <c r="K3299" s="0" t="n">
        <v>1</v>
      </c>
      <c r="T3299" s="0" t="n">
        <v>1</v>
      </c>
      <c r="U3299" s="0" t="n">
        <v>1</v>
      </c>
      <c r="V3299" s="0" t="inlineStr">
        <is>
          <t>계단식</t>
        </is>
      </c>
      <c r="W3299" s="0" t="n">
        <v>46</v>
      </c>
      <c r="X3299" s="0" t="n">
        <v>6</v>
      </c>
      <c r="Y3299" s="0" t="n">
        <v>5</v>
      </c>
      <c r="Z3299" s="0" t="inlineStr">
        <is>
          <t>https://new.land.naver.com/complexes/118523?tab=detail&amp;rf=Y</t>
        </is>
      </c>
      <c r="AA3299" s="0" t="inlineStr">
        <is>
          <t>서울시 강동구 천호동 221-38</t>
        </is>
      </c>
      <c r="AB3299" s="0" t="inlineStr">
        <is>
          <t>서울시</t>
        </is>
      </c>
      <c r="AC3299" s="0" t="inlineStr">
        <is>
          <t>강동구</t>
        </is>
      </c>
      <c r="AD3299" s="0" t="inlineStr">
        <is>
          <t>천호동</t>
        </is>
      </c>
      <c r="AG3299" s="0" t="inlineStr">
        <is>
          <t>서울시 강동구 구천면로42길 34</t>
        </is>
      </c>
      <c r="AH3299" s="0" t="n">
        <v>0</v>
      </c>
      <c r="AI3299" s="0" t="n">
        <v>179</v>
      </c>
      <c r="AJ3299" s="0" t="n">
        <v>52</v>
      </c>
      <c r="AK3299" s="0" t="n">
        <v>10</v>
      </c>
      <c r="AL3299" s="0" t="n">
        <v>0.71</v>
      </c>
    </row>
    <row r="3300">
      <c r="A3300" s="0" t="inlineStr">
        <is>
          <t>[천호동]</t>
        </is>
      </c>
      <c r="B3300" s="0" t="n">
        <v>118523</v>
      </c>
      <c r="C3300" s="0" t="n">
        <v>3</v>
      </c>
      <c r="D3300" s="0" t="inlineStr">
        <is>
          <t>그린파크빌(도시형)</t>
        </is>
      </c>
      <c r="E3300" s="0" t="inlineStr">
        <is>
          <t>2015.03.</t>
        </is>
      </c>
      <c r="F3300" s="0" t="n">
        <v>14</v>
      </c>
      <c r="G3300" s="0" t="n">
        <v>15.01</v>
      </c>
      <c r="H3300" s="0" t="n">
        <v>49.62</v>
      </c>
      <c r="I3300" s="0" t="n">
        <v>12.34</v>
      </c>
      <c r="J3300" s="0" t="n">
        <v>40.82</v>
      </c>
      <c r="K3300" s="0" t="n">
        <v>4</v>
      </c>
      <c r="T3300" s="0" t="n">
        <v>2</v>
      </c>
      <c r="U3300" s="0" t="n">
        <v>1</v>
      </c>
      <c r="V3300" s="0" t="inlineStr">
        <is>
          <t>계단식</t>
        </is>
      </c>
      <c r="W3300" s="0" t="n">
        <v>49</v>
      </c>
      <c r="X3300" s="0" t="n">
        <v>6</v>
      </c>
      <c r="Y3300" s="0" t="n">
        <v>5</v>
      </c>
      <c r="Z3300" s="0" t="inlineStr">
        <is>
          <t>https://new.land.naver.com/complexes/118523?tab=detail&amp;rf=Y</t>
        </is>
      </c>
      <c r="AA3300" s="0" t="inlineStr">
        <is>
          <t>서울시 강동구 천호동 221-38</t>
        </is>
      </c>
      <c r="AB3300" s="0" t="inlineStr">
        <is>
          <t>서울시</t>
        </is>
      </c>
      <c r="AC3300" s="0" t="inlineStr">
        <is>
          <t>강동구</t>
        </is>
      </c>
      <c r="AD3300" s="0" t="inlineStr">
        <is>
          <t>천호동</t>
        </is>
      </c>
      <c r="AG3300" s="0" t="inlineStr">
        <is>
          <t>서울시 강동구 구천면로42길 34</t>
        </is>
      </c>
      <c r="AH3300" s="0" t="n">
        <v>0</v>
      </c>
      <c r="AI3300" s="0" t="n">
        <v>179</v>
      </c>
      <c r="AJ3300" s="0" t="n">
        <v>52</v>
      </c>
      <c r="AK3300" s="0" t="n">
        <v>10</v>
      </c>
      <c r="AL3300" s="0" t="n">
        <v>0.71</v>
      </c>
    </row>
    <row r="3301">
      <c r="A3301" s="0" t="inlineStr">
        <is>
          <t>[천호동]</t>
        </is>
      </c>
      <c r="B3301" s="0" t="n">
        <v>118523</v>
      </c>
      <c r="C3301" s="0" t="n">
        <v>4</v>
      </c>
      <c r="D3301" s="0" t="inlineStr">
        <is>
          <t>그린파크빌(도시형)</t>
        </is>
      </c>
      <c r="E3301" s="0" t="inlineStr">
        <is>
          <t>2015.03.</t>
        </is>
      </c>
      <c r="F3301" s="0" t="n">
        <v>14</v>
      </c>
      <c r="G3301" s="0" t="n">
        <v>16.29</v>
      </c>
      <c r="H3301" s="0" t="n">
        <v>53.88</v>
      </c>
      <c r="I3301" s="0" t="n">
        <v>13.4</v>
      </c>
      <c r="J3301" s="0" t="n">
        <v>44.32</v>
      </c>
      <c r="K3301" s="0" t="n">
        <v>1</v>
      </c>
      <c r="T3301" s="0" t="n">
        <v>2</v>
      </c>
      <c r="U3301" s="0" t="n">
        <v>1</v>
      </c>
      <c r="V3301" s="0" t="inlineStr">
        <is>
          <t>계단식</t>
        </is>
      </c>
      <c r="W3301" s="0" t="n">
        <v>53</v>
      </c>
      <c r="X3301" s="0" t="n">
        <v>6</v>
      </c>
      <c r="Y3301" s="0" t="n">
        <v>5</v>
      </c>
      <c r="Z3301" s="0" t="inlineStr">
        <is>
          <t>https://new.land.naver.com/complexes/118523?tab=detail&amp;rf=Y</t>
        </is>
      </c>
      <c r="AA3301" s="0" t="inlineStr">
        <is>
          <t>서울시 강동구 천호동 221-38</t>
        </is>
      </c>
      <c r="AB3301" s="0" t="inlineStr">
        <is>
          <t>서울시</t>
        </is>
      </c>
      <c r="AC3301" s="0" t="inlineStr">
        <is>
          <t>강동구</t>
        </is>
      </c>
      <c r="AD3301" s="0" t="inlineStr">
        <is>
          <t>천호동</t>
        </is>
      </c>
      <c r="AG3301" s="0" t="inlineStr">
        <is>
          <t>서울시 강동구 구천면로42길 34</t>
        </is>
      </c>
      <c r="AH3301" s="0" t="n">
        <v>0</v>
      </c>
      <c r="AI3301" s="0" t="n">
        <v>179</v>
      </c>
      <c r="AJ3301" s="0" t="n">
        <v>52</v>
      </c>
      <c r="AK3301" s="0" t="n">
        <v>10</v>
      </c>
      <c r="AL3301" s="0" t="n">
        <v>0.71</v>
      </c>
    </row>
    <row r="3302">
      <c r="A3302" s="0" t="inlineStr">
        <is>
          <t>[천호동]</t>
        </is>
      </c>
      <c r="B3302" s="0" t="n">
        <v>118523</v>
      </c>
      <c r="C3302" s="0" t="n">
        <v>5</v>
      </c>
      <c r="D3302" s="0" t="inlineStr">
        <is>
          <t>그린파크빌(도시형)</t>
        </is>
      </c>
      <c r="E3302" s="0" t="inlineStr">
        <is>
          <t>2015.03.</t>
        </is>
      </c>
      <c r="F3302" s="0" t="n">
        <v>14</v>
      </c>
      <c r="G3302" s="0" t="n">
        <v>17.69</v>
      </c>
      <c r="H3302" s="0" t="n">
        <v>58.51</v>
      </c>
      <c r="I3302" s="0" t="n">
        <v>14.55</v>
      </c>
      <c r="J3302" s="0" t="n">
        <v>48.13</v>
      </c>
      <c r="K3302" s="0" t="n">
        <v>4</v>
      </c>
      <c r="T3302" s="0" t="n">
        <v>2</v>
      </c>
      <c r="U3302" s="0" t="n">
        <v>1</v>
      </c>
      <c r="V3302" s="0" t="inlineStr">
        <is>
          <t>계단식</t>
        </is>
      </c>
      <c r="W3302" s="0" t="n">
        <v>58</v>
      </c>
      <c r="X3302" s="0" t="n">
        <v>6</v>
      </c>
      <c r="Y3302" s="0" t="n">
        <v>5</v>
      </c>
      <c r="Z3302" s="0" t="inlineStr">
        <is>
          <t>https://new.land.naver.com/complexes/118523?tab=detail&amp;rf=Y</t>
        </is>
      </c>
      <c r="AA3302" s="0" t="inlineStr">
        <is>
          <t>서울시 강동구 천호동 221-38</t>
        </is>
      </c>
      <c r="AB3302" s="0" t="inlineStr">
        <is>
          <t>서울시</t>
        </is>
      </c>
      <c r="AC3302" s="0" t="inlineStr">
        <is>
          <t>강동구</t>
        </is>
      </c>
      <c r="AD3302" s="0" t="inlineStr">
        <is>
          <t>천호동</t>
        </is>
      </c>
      <c r="AG3302" s="0" t="inlineStr">
        <is>
          <t>서울시 강동구 구천면로42길 34</t>
        </is>
      </c>
      <c r="AH3302" s="0" t="n">
        <v>0</v>
      </c>
      <c r="AI3302" s="0" t="n">
        <v>179</v>
      </c>
      <c r="AJ3302" s="0" t="n">
        <v>52</v>
      </c>
      <c r="AK3302" s="0" t="n">
        <v>10</v>
      </c>
      <c r="AL3302" s="0" t="n">
        <v>0.71</v>
      </c>
    </row>
    <row r="3303">
      <c r="A3303" s="0" t="inlineStr">
        <is>
          <t>[천호동]</t>
        </is>
      </c>
      <c r="B3303" s="0" t="n">
        <v>18094</v>
      </c>
      <c r="C3303" s="0" t="n">
        <v>1</v>
      </c>
      <c r="D3303" s="0" t="inlineStr">
        <is>
          <t>다성씨티(53-9)</t>
        </is>
      </c>
      <c r="E3303" s="0" t="inlineStr">
        <is>
          <t>2002.08.</t>
        </is>
      </c>
      <c r="F3303" s="0" t="n">
        <v>31</v>
      </c>
      <c r="G3303" s="0" t="n">
        <v>29.59</v>
      </c>
      <c r="H3303" s="0" t="n">
        <v>97.84999999999999</v>
      </c>
      <c r="I3303" s="0" t="n">
        <v>24.11</v>
      </c>
      <c r="J3303" s="0" t="n">
        <v>79.72</v>
      </c>
      <c r="K3303" s="0" t="n">
        <v>19</v>
      </c>
      <c r="T3303" s="0" t="n">
        <v>3</v>
      </c>
      <c r="U3303" s="0" t="n">
        <v>2</v>
      </c>
      <c r="V3303" s="0" t="inlineStr">
        <is>
          <t>계단식</t>
        </is>
      </c>
      <c r="W3303" s="0" t="inlineStr">
        <is>
          <t>97A</t>
        </is>
      </c>
      <c r="X3303" s="0" t="n">
        <v>10</v>
      </c>
      <c r="Y3303" s="0" t="n">
        <v>6</v>
      </c>
      <c r="Z3303" s="0" t="inlineStr">
        <is>
          <t>https://new.land.naver.com/complexes/18094?tab=detail&amp;rf=Y</t>
        </is>
      </c>
      <c r="AA3303" s="0" t="inlineStr">
        <is>
          <t>서울시 강동구 천호동 53-9</t>
        </is>
      </c>
      <c r="AB3303" s="0" t="inlineStr">
        <is>
          <t>서울시</t>
        </is>
      </c>
      <c r="AC3303" s="0" t="inlineStr">
        <is>
          <t>강동구</t>
        </is>
      </c>
      <c r="AD3303" s="0" t="inlineStr">
        <is>
          <t>천호동</t>
        </is>
      </c>
      <c r="AG3303" s="0" t="inlineStr">
        <is>
          <t>서울시 강동구 천중로39길 33</t>
        </is>
      </c>
      <c r="AH3303" s="0" t="n">
        <v>0</v>
      </c>
      <c r="AI3303" s="0" t="n">
        <v>247</v>
      </c>
      <c r="AJ3303" s="0" t="n">
        <v>35</v>
      </c>
      <c r="AK3303" s="0" t="n">
        <v>34</v>
      </c>
      <c r="AL3303" s="0" t="n">
        <v>1.1</v>
      </c>
    </row>
    <row r="3304">
      <c r="A3304" s="0" t="inlineStr">
        <is>
          <t>[천호동]</t>
        </is>
      </c>
      <c r="B3304" s="0" t="n">
        <v>18094</v>
      </c>
      <c r="C3304" s="0" t="n">
        <v>2</v>
      </c>
      <c r="D3304" s="0" t="inlineStr">
        <is>
          <t>다성씨티(53-9)</t>
        </is>
      </c>
      <c r="E3304" s="0" t="inlineStr">
        <is>
          <t>2002.08.</t>
        </is>
      </c>
      <c r="F3304" s="0" t="n">
        <v>31</v>
      </c>
      <c r="G3304" s="0" t="n">
        <v>30.31</v>
      </c>
      <c r="H3304" s="0" t="n">
        <v>100.22</v>
      </c>
      <c r="I3304" s="0" t="n">
        <v>24.74</v>
      </c>
      <c r="J3304" s="0" t="n">
        <v>81.81</v>
      </c>
      <c r="K3304" s="0" t="n">
        <v>6</v>
      </c>
      <c r="T3304" s="0" t="n">
        <v>3</v>
      </c>
      <c r="U3304" s="0" t="n">
        <v>2</v>
      </c>
      <c r="V3304" s="0" t="inlineStr">
        <is>
          <t>계단식</t>
        </is>
      </c>
      <c r="W3304" s="0" t="inlineStr">
        <is>
          <t>100B</t>
        </is>
      </c>
      <c r="X3304" s="0" t="n">
        <v>10</v>
      </c>
      <c r="Y3304" s="0" t="n">
        <v>6</v>
      </c>
      <c r="Z3304" s="0" t="inlineStr">
        <is>
          <t>https://new.land.naver.com/complexes/18094?tab=detail&amp;rf=Y</t>
        </is>
      </c>
      <c r="AA3304" s="0" t="inlineStr">
        <is>
          <t>서울시 강동구 천호동 53-9</t>
        </is>
      </c>
      <c r="AB3304" s="0" t="inlineStr">
        <is>
          <t>서울시</t>
        </is>
      </c>
      <c r="AC3304" s="0" t="inlineStr">
        <is>
          <t>강동구</t>
        </is>
      </c>
      <c r="AD3304" s="0" t="inlineStr">
        <is>
          <t>천호동</t>
        </is>
      </c>
      <c r="AG3304" s="0" t="inlineStr">
        <is>
          <t>서울시 강동구 천중로39길 33</t>
        </is>
      </c>
      <c r="AH3304" s="0" t="n">
        <v>0</v>
      </c>
      <c r="AI3304" s="0" t="n">
        <v>247</v>
      </c>
      <c r="AJ3304" s="0" t="n">
        <v>35</v>
      </c>
      <c r="AK3304" s="0" t="n">
        <v>34</v>
      </c>
      <c r="AL3304" s="0" t="n">
        <v>1.1</v>
      </c>
    </row>
    <row r="3305">
      <c r="A3305" s="0" t="inlineStr">
        <is>
          <t>[천호동]</t>
        </is>
      </c>
      <c r="B3305" s="0" t="n">
        <v>18094</v>
      </c>
      <c r="C3305" s="0" t="n">
        <v>3</v>
      </c>
      <c r="D3305" s="0" t="inlineStr">
        <is>
          <t>다성씨티(53-9)</t>
        </is>
      </c>
      <c r="E3305" s="0" t="inlineStr">
        <is>
          <t>2002.08.</t>
        </is>
      </c>
      <c r="F3305" s="0" t="n">
        <v>31</v>
      </c>
      <c r="G3305" s="0" t="n">
        <v>31.16</v>
      </c>
      <c r="H3305" s="0" t="n">
        <v>103.01</v>
      </c>
      <c r="I3305" s="0" t="n">
        <v>25.46</v>
      </c>
      <c r="J3305" s="0" t="n">
        <v>84.19</v>
      </c>
      <c r="K3305" s="0" t="n">
        <v>6</v>
      </c>
      <c r="T3305" s="0" t="n">
        <v>3</v>
      </c>
      <c r="U3305" s="0" t="n">
        <v>2</v>
      </c>
      <c r="V3305" s="0" t="inlineStr">
        <is>
          <t>계단식</t>
        </is>
      </c>
      <c r="W3305" s="0" t="n">
        <v>103</v>
      </c>
      <c r="X3305" s="0" t="n">
        <v>10</v>
      </c>
      <c r="Y3305" s="0" t="n">
        <v>6</v>
      </c>
      <c r="Z3305" s="0" t="inlineStr">
        <is>
          <t>https://new.land.naver.com/complexes/18094?tab=detail&amp;rf=Y</t>
        </is>
      </c>
      <c r="AA3305" s="0" t="inlineStr">
        <is>
          <t>서울시 강동구 천호동 53-9</t>
        </is>
      </c>
      <c r="AB3305" s="0" t="inlineStr">
        <is>
          <t>서울시</t>
        </is>
      </c>
      <c r="AC3305" s="0" t="inlineStr">
        <is>
          <t>강동구</t>
        </is>
      </c>
      <c r="AD3305" s="0" t="inlineStr">
        <is>
          <t>천호동</t>
        </is>
      </c>
      <c r="AG3305" s="0" t="inlineStr">
        <is>
          <t>서울시 강동구 천중로39길 33</t>
        </is>
      </c>
      <c r="AH3305" s="0" t="n">
        <v>0</v>
      </c>
      <c r="AI3305" s="0" t="n">
        <v>247</v>
      </c>
      <c r="AJ3305" s="0" t="n">
        <v>35</v>
      </c>
      <c r="AK3305" s="0" t="n">
        <v>34</v>
      </c>
      <c r="AL3305" s="0" t="n">
        <v>1.1</v>
      </c>
    </row>
    <row r="3306">
      <c r="A3306" s="0" t="inlineStr">
        <is>
          <t>[천호동]</t>
        </is>
      </c>
      <c r="B3306" s="0" t="n">
        <v>123019</v>
      </c>
      <c r="C3306" s="0" t="n">
        <v>1</v>
      </c>
      <c r="D3306" s="0" t="inlineStr">
        <is>
          <t>다성이즈빌(167-102,도시형)</t>
        </is>
      </c>
      <c r="E3306" s="0" t="inlineStr">
        <is>
          <t>2017.09.</t>
        </is>
      </c>
      <c r="F3306" s="0" t="n">
        <v>20</v>
      </c>
      <c r="G3306" s="0" t="n">
        <v>5.69</v>
      </c>
      <c r="H3306" s="0" t="n">
        <v>18.82</v>
      </c>
      <c r="I3306" s="0" t="n">
        <v>4.16</v>
      </c>
      <c r="J3306" s="0" t="n">
        <v>13.76</v>
      </c>
      <c r="K3306" s="0" t="n">
        <v>5</v>
      </c>
      <c r="T3306" s="0" t="n">
        <v>1</v>
      </c>
      <c r="U3306" s="0" t="n">
        <v>1</v>
      </c>
      <c r="V3306" s="0" t="inlineStr">
        <is>
          <t>계단식</t>
        </is>
      </c>
      <c r="W3306" s="0" t="inlineStr">
        <is>
          <t>18A</t>
        </is>
      </c>
      <c r="X3306" s="0" t="n">
        <v>12</v>
      </c>
      <c r="Y3306" s="0" t="n">
        <v>12</v>
      </c>
      <c r="Z3306" s="0" t="inlineStr">
        <is>
          <t>https://new.land.naver.com/complexes/123019?tab=detail&amp;rf=Y</t>
        </is>
      </c>
      <c r="AA3306" s="0" t="inlineStr">
        <is>
          <t>서울시 강동구 천호동 167-102</t>
        </is>
      </c>
      <c r="AB3306" s="0" t="inlineStr">
        <is>
          <t>서울시</t>
        </is>
      </c>
      <c r="AC3306" s="0" t="inlineStr">
        <is>
          <t>강동구</t>
        </is>
      </c>
      <c r="AD3306" s="0" t="inlineStr">
        <is>
          <t>천호동</t>
        </is>
      </c>
      <c r="AG3306" s="0" t="inlineStr">
        <is>
          <t>서울시 강동구 성안로25길 64</t>
        </is>
      </c>
      <c r="AH3306" s="0" t="n">
        <v>0</v>
      </c>
      <c r="AI3306" s="0" t="n">
        <v>399</v>
      </c>
      <c r="AJ3306" s="0" t="n">
        <v>58</v>
      </c>
      <c r="AK3306" s="0" t="n">
        <v>10</v>
      </c>
      <c r="AL3306" s="0" t="n">
        <v>0.5</v>
      </c>
    </row>
    <row r="3307">
      <c r="A3307" s="0" t="inlineStr">
        <is>
          <t>[천호동]</t>
        </is>
      </c>
      <c r="B3307" s="0" t="n">
        <v>123019</v>
      </c>
      <c r="C3307" s="0" t="n">
        <v>2</v>
      </c>
      <c r="D3307" s="0" t="inlineStr">
        <is>
          <t>다성이즈빌(167-102,도시형)</t>
        </is>
      </c>
      <c r="E3307" s="0" t="inlineStr">
        <is>
          <t>2017.09.</t>
        </is>
      </c>
      <c r="F3307" s="0" t="n">
        <v>20</v>
      </c>
      <c r="G3307" s="0" t="n">
        <v>6.15</v>
      </c>
      <c r="H3307" s="0" t="n">
        <v>20.35</v>
      </c>
      <c r="I3307" s="0" t="n">
        <v>4.5</v>
      </c>
      <c r="J3307" s="0" t="n">
        <v>14.88</v>
      </c>
      <c r="K3307" s="0" t="n">
        <v>5</v>
      </c>
      <c r="T3307" s="0" t="n">
        <v>1</v>
      </c>
      <c r="U3307" s="0" t="n">
        <v>1</v>
      </c>
      <c r="V3307" s="0" t="inlineStr">
        <is>
          <t>계단식</t>
        </is>
      </c>
      <c r="W3307" s="0" t="inlineStr">
        <is>
          <t>20B</t>
        </is>
      </c>
      <c r="X3307" s="0" t="n">
        <v>12</v>
      </c>
      <c r="Y3307" s="0" t="n">
        <v>12</v>
      </c>
      <c r="Z3307" s="0" t="inlineStr">
        <is>
          <t>https://new.land.naver.com/complexes/123019?tab=detail&amp;rf=Y</t>
        </is>
      </c>
      <c r="AA3307" s="0" t="inlineStr">
        <is>
          <t>서울시 강동구 천호동 167-102</t>
        </is>
      </c>
      <c r="AB3307" s="0" t="inlineStr">
        <is>
          <t>서울시</t>
        </is>
      </c>
      <c r="AC3307" s="0" t="inlineStr">
        <is>
          <t>강동구</t>
        </is>
      </c>
      <c r="AD3307" s="0" t="inlineStr">
        <is>
          <t>천호동</t>
        </is>
      </c>
      <c r="AG3307" s="0" t="inlineStr">
        <is>
          <t>서울시 강동구 성안로25길 64</t>
        </is>
      </c>
      <c r="AH3307" s="0" t="n">
        <v>0</v>
      </c>
      <c r="AI3307" s="0" t="n">
        <v>399</v>
      </c>
      <c r="AJ3307" s="0" t="n">
        <v>58</v>
      </c>
      <c r="AK3307" s="0" t="n">
        <v>10</v>
      </c>
      <c r="AL3307" s="0" t="n">
        <v>0.5</v>
      </c>
    </row>
    <row r="3308">
      <c r="A3308" s="0" t="inlineStr">
        <is>
          <t>[천호동]</t>
        </is>
      </c>
      <c r="B3308" s="0" t="n">
        <v>123019</v>
      </c>
      <c r="C3308" s="0" t="n">
        <v>3</v>
      </c>
      <c r="D3308" s="0" t="inlineStr">
        <is>
          <t>다성이즈빌(167-102,도시형)</t>
        </is>
      </c>
      <c r="E3308" s="0" t="inlineStr">
        <is>
          <t>2017.09.</t>
        </is>
      </c>
      <c r="F3308" s="0" t="n">
        <v>20</v>
      </c>
      <c r="G3308" s="0" t="n">
        <v>6.47</v>
      </c>
      <c r="H3308" s="0" t="n">
        <v>21.4</v>
      </c>
      <c r="I3308" s="0" t="n">
        <v>4.73</v>
      </c>
      <c r="J3308" s="0" t="n">
        <v>15.65</v>
      </c>
      <c r="K3308" s="0" t="n">
        <v>5</v>
      </c>
      <c r="T3308" s="0" t="n">
        <v>1</v>
      </c>
      <c r="U3308" s="0" t="n">
        <v>1</v>
      </c>
      <c r="V3308" s="0" t="inlineStr">
        <is>
          <t>계단식</t>
        </is>
      </c>
      <c r="W3308" s="0" t="inlineStr">
        <is>
          <t>21C</t>
        </is>
      </c>
      <c r="X3308" s="0" t="n">
        <v>12</v>
      </c>
      <c r="Y3308" s="0" t="n">
        <v>12</v>
      </c>
      <c r="Z3308" s="0" t="inlineStr">
        <is>
          <t>https://new.land.naver.com/complexes/123019?tab=detail&amp;rf=Y</t>
        </is>
      </c>
      <c r="AA3308" s="0" t="inlineStr">
        <is>
          <t>서울시 강동구 천호동 167-102</t>
        </is>
      </c>
      <c r="AB3308" s="0" t="inlineStr">
        <is>
          <t>서울시</t>
        </is>
      </c>
      <c r="AC3308" s="0" t="inlineStr">
        <is>
          <t>강동구</t>
        </is>
      </c>
      <c r="AD3308" s="0" t="inlineStr">
        <is>
          <t>천호동</t>
        </is>
      </c>
      <c r="AG3308" s="0" t="inlineStr">
        <is>
          <t>서울시 강동구 성안로25길 64</t>
        </is>
      </c>
      <c r="AH3308" s="0" t="n">
        <v>0</v>
      </c>
      <c r="AI3308" s="0" t="n">
        <v>399</v>
      </c>
      <c r="AJ3308" s="0" t="n">
        <v>58</v>
      </c>
      <c r="AK3308" s="0" t="n">
        <v>10</v>
      </c>
      <c r="AL3308" s="0" t="n">
        <v>0.5</v>
      </c>
    </row>
    <row r="3309">
      <c r="A3309" s="0" t="inlineStr">
        <is>
          <t>[천호동]</t>
        </is>
      </c>
      <c r="B3309" s="0" t="n">
        <v>123019</v>
      </c>
      <c r="C3309" s="0" t="n">
        <v>4</v>
      </c>
      <c r="D3309" s="0" t="inlineStr">
        <is>
          <t>다성이즈빌(167-102,도시형)</t>
        </is>
      </c>
      <c r="E3309" s="0" t="inlineStr">
        <is>
          <t>2017.09.</t>
        </is>
      </c>
      <c r="F3309" s="0" t="n">
        <v>20</v>
      </c>
      <c r="G3309" s="0" t="n">
        <v>8.49</v>
      </c>
      <c r="H3309" s="0" t="n">
        <v>28.08</v>
      </c>
      <c r="I3309" s="0" t="n">
        <v>6.21</v>
      </c>
      <c r="J3309" s="0" t="n">
        <v>20.53</v>
      </c>
      <c r="K3309" s="0" t="n">
        <v>5</v>
      </c>
      <c r="T3309" s="0" t="n">
        <v>1</v>
      </c>
      <c r="U3309" s="0" t="n">
        <v>1</v>
      </c>
      <c r="V3309" s="0" t="inlineStr">
        <is>
          <t>계단식</t>
        </is>
      </c>
      <c r="W3309" s="0" t="inlineStr">
        <is>
          <t>28D</t>
        </is>
      </c>
      <c r="X3309" s="0" t="n">
        <v>12</v>
      </c>
      <c r="Y3309" s="0" t="n">
        <v>12</v>
      </c>
      <c r="Z3309" s="0" t="inlineStr">
        <is>
          <t>https://new.land.naver.com/complexes/123019?tab=detail&amp;rf=Y</t>
        </is>
      </c>
      <c r="AA3309" s="0" t="inlineStr">
        <is>
          <t>서울시 강동구 천호동 167-102</t>
        </is>
      </c>
      <c r="AB3309" s="0" t="inlineStr">
        <is>
          <t>서울시</t>
        </is>
      </c>
      <c r="AC3309" s="0" t="inlineStr">
        <is>
          <t>강동구</t>
        </is>
      </c>
      <c r="AD3309" s="0" t="inlineStr">
        <is>
          <t>천호동</t>
        </is>
      </c>
      <c r="AG3309" s="0" t="inlineStr">
        <is>
          <t>서울시 강동구 성안로25길 64</t>
        </is>
      </c>
      <c r="AH3309" s="0" t="n">
        <v>0</v>
      </c>
      <c r="AI3309" s="0" t="n">
        <v>399</v>
      </c>
      <c r="AJ3309" s="0" t="n">
        <v>58</v>
      </c>
      <c r="AK3309" s="0" t="n">
        <v>10</v>
      </c>
      <c r="AL3309" s="0" t="n">
        <v>0.5</v>
      </c>
    </row>
    <row r="3310">
      <c r="A3310" s="0" t="inlineStr">
        <is>
          <t>[천호동]</t>
        </is>
      </c>
      <c r="B3310" s="0" t="n">
        <v>998</v>
      </c>
      <c r="C3310" s="0" t="n">
        <v>1</v>
      </c>
      <c r="D3310" s="0" t="inlineStr">
        <is>
          <t>동아코아</t>
        </is>
      </c>
      <c r="E3310" s="0" t="inlineStr">
        <is>
          <t>1997.12.</t>
        </is>
      </c>
      <c r="F3310" s="0" t="n">
        <v>191</v>
      </c>
      <c r="G3310" s="0" t="n">
        <v>15.32</v>
      </c>
      <c r="H3310" s="0" t="n">
        <v>50.66</v>
      </c>
      <c r="I3310" s="0" t="n">
        <v>9.960000000000001</v>
      </c>
      <c r="J3310" s="0" t="n">
        <v>32.94</v>
      </c>
      <c r="K3310" s="0" t="n">
        <v>2</v>
      </c>
      <c r="T3310" s="0" t="n">
        <v>2</v>
      </c>
      <c r="U3310" s="0" t="n">
        <v>1</v>
      </c>
      <c r="V3310" s="0" t="inlineStr">
        <is>
          <t>복도식</t>
        </is>
      </c>
      <c r="W3310" s="0" t="n">
        <v>50</v>
      </c>
      <c r="X3310" s="0" t="n">
        <v>20</v>
      </c>
      <c r="Y3310" s="0" t="n">
        <v>20</v>
      </c>
      <c r="Z3310" s="0" t="inlineStr">
        <is>
          <t>https://new.land.naver.com/complexes/998?tab=detail&amp;rf=Y</t>
        </is>
      </c>
      <c r="AA3310" s="0" t="inlineStr">
        <is>
          <t>서울시 강동구 천호동 563</t>
        </is>
      </c>
      <c r="AB3310" s="0" t="inlineStr">
        <is>
          <t>서울시</t>
        </is>
      </c>
      <c r="AC3310" s="0" t="inlineStr">
        <is>
          <t>강동구</t>
        </is>
      </c>
      <c r="AD3310" s="0" t="inlineStr">
        <is>
          <t>천호동</t>
        </is>
      </c>
      <c r="AG3310" s="0" t="inlineStr">
        <is>
          <t>서울시 강동구 구천면로 189</t>
        </is>
      </c>
      <c r="AH3310" s="0" t="n">
        <v>64</v>
      </c>
      <c r="AI3310" s="0" t="n">
        <v>560</v>
      </c>
      <c r="AJ3310" s="0" t="n">
        <v>52</v>
      </c>
      <c r="AK3310" s="0" t="n">
        <v>418</v>
      </c>
      <c r="AL3310" s="0" t="n">
        <v>2.19</v>
      </c>
    </row>
    <row r="3311">
      <c r="A3311" s="0" t="inlineStr">
        <is>
          <t>[천호동]</t>
        </is>
      </c>
      <c r="B3311" s="0" t="n">
        <v>998</v>
      </c>
      <c r="C3311" s="0" t="n">
        <v>2</v>
      </c>
      <c r="D3311" s="0" t="inlineStr">
        <is>
          <t>동아코아</t>
        </is>
      </c>
      <c r="E3311" s="0" t="inlineStr">
        <is>
          <t>1997.12.</t>
        </is>
      </c>
      <c r="F3311" s="0" t="n">
        <v>191</v>
      </c>
      <c r="G3311" s="0" t="n">
        <v>16.87</v>
      </c>
      <c r="H3311" s="0" t="n">
        <v>55.77</v>
      </c>
      <c r="I3311" s="0" t="n">
        <v>10.97</v>
      </c>
      <c r="J3311" s="0" t="n">
        <v>36.27</v>
      </c>
      <c r="K3311" s="0" t="n">
        <v>2</v>
      </c>
      <c r="T3311" s="0" t="n">
        <v>2</v>
      </c>
      <c r="U3311" s="0" t="n">
        <v>1</v>
      </c>
      <c r="V3311" s="0" t="inlineStr">
        <is>
          <t>복도식</t>
        </is>
      </c>
      <c r="W3311" s="0" t="n">
        <v>55</v>
      </c>
      <c r="X3311" s="0" t="n">
        <v>20</v>
      </c>
      <c r="Y3311" s="0" t="n">
        <v>20</v>
      </c>
      <c r="Z3311" s="0" t="inlineStr">
        <is>
          <t>https://new.land.naver.com/complexes/998?tab=detail&amp;rf=Y</t>
        </is>
      </c>
      <c r="AA3311" s="0" t="inlineStr">
        <is>
          <t>서울시 강동구 천호동 563</t>
        </is>
      </c>
      <c r="AB3311" s="0" t="inlineStr">
        <is>
          <t>서울시</t>
        </is>
      </c>
      <c r="AC3311" s="0" t="inlineStr">
        <is>
          <t>강동구</t>
        </is>
      </c>
      <c r="AD3311" s="0" t="inlineStr">
        <is>
          <t>천호동</t>
        </is>
      </c>
      <c r="AG3311" s="0" t="inlineStr">
        <is>
          <t>서울시 강동구 구천면로 189</t>
        </is>
      </c>
      <c r="AH3311" s="0" t="n">
        <v>64</v>
      </c>
      <c r="AI3311" s="0" t="n">
        <v>560</v>
      </c>
      <c r="AJ3311" s="0" t="n">
        <v>52</v>
      </c>
      <c r="AK3311" s="0" t="n">
        <v>418</v>
      </c>
      <c r="AL3311" s="0" t="n">
        <v>2.19</v>
      </c>
    </row>
    <row r="3312">
      <c r="A3312" s="0" t="inlineStr">
        <is>
          <t>[천호동]</t>
        </is>
      </c>
      <c r="B3312" s="0" t="n">
        <v>998</v>
      </c>
      <c r="C3312" s="0" t="n">
        <v>3</v>
      </c>
      <c r="D3312" s="0" t="inlineStr">
        <is>
          <t>동아코아</t>
        </is>
      </c>
      <c r="E3312" s="0" t="inlineStr">
        <is>
          <t>1997.12.</t>
        </is>
      </c>
      <c r="F3312" s="0" t="n">
        <v>191</v>
      </c>
      <c r="G3312" s="0" t="n">
        <v>21.3</v>
      </c>
      <c r="H3312" s="0" t="n">
        <v>70.43000000000001</v>
      </c>
      <c r="I3312" s="0" t="n">
        <v>13.85</v>
      </c>
      <c r="J3312" s="0" t="n">
        <v>45.81</v>
      </c>
      <c r="K3312" s="0" t="n">
        <v>2</v>
      </c>
      <c r="T3312" s="0" t="n">
        <v>3</v>
      </c>
      <c r="U3312" s="0" t="n">
        <v>1</v>
      </c>
      <c r="V3312" s="0" t="inlineStr">
        <is>
          <t>복도식</t>
        </is>
      </c>
      <c r="W3312" s="0" t="n">
        <v>70</v>
      </c>
      <c r="X3312" s="0" t="n">
        <v>20</v>
      </c>
      <c r="Y3312" s="0" t="n">
        <v>20</v>
      </c>
      <c r="Z3312" s="0" t="inlineStr">
        <is>
          <t>https://new.land.naver.com/complexes/998?tab=detail&amp;rf=Y</t>
        </is>
      </c>
      <c r="AA3312" s="0" t="inlineStr">
        <is>
          <t>서울시 강동구 천호동 563</t>
        </is>
      </c>
      <c r="AB3312" s="0" t="inlineStr">
        <is>
          <t>서울시</t>
        </is>
      </c>
      <c r="AC3312" s="0" t="inlineStr">
        <is>
          <t>강동구</t>
        </is>
      </c>
      <c r="AD3312" s="0" t="inlineStr">
        <is>
          <t>천호동</t>
        </is>
      </c>
      <c r="AG3312" s="0" t="inlineStr">
        <is>
          <t>서울시 강동구 구천면로 189</t>
        </is>
      </c>
      <c r="AH3312" s="0" t="n">
        <v>64</v>
      </c>
      <c r="AI3312" s="0" t="n">
        <v>560</v>
      </c>
      <c r="AJ3312" s="0" t="n">
        <v>52</v>
      </c>
      <c r="AK3312" s="0" t="n">
        <v>418</v>
      </c>
      <c r="AL3312" s="0" t="n">
        <v>2.19</v>
      </c>
    </row>
    <row r="3313">
      <c r="A3313" s="0" t="inlineStr">
        <is>
          <t>[천호동]</t>
        </is>
      </c>
      <c r="B3313" s="0" t="n">
        <v>998</v>
      </c>
      <c r="C3313" s="0" t="n">
        <v>4</v>
      </c>
      <c r="D3313" s="0" t="inlineStr">
        <is>
          <t>동아코아</t>
        </is>
      </c>
      <c r="E3313" s="0" t="inlineStr">
        <is>
          <t>1997.12.</t>
        </is>
      </c>
      <c r="F3313" s="0" t="n">
        <v>191</v>
      </c>
      <c r="G3313" s="0" t="n">
        <v>22.85</v>
      </c>
      <c r="H3313" s="0" t="n">
        <v>75.55</v>
      </c>
      <c r="I3313" s="0" t="n">
        <v>14.86</v>
      </c>
      <c r="J3313" s="0" t="n">
        <v>49.14</v>
      </c>
      <c r="K3313" s="0" t="n">
        <v>3</v>
      </c>
      <c r="T3313" s="0" t="n">
        <v>3</v>
      </c>
      <c r="U3313" s="0" t="n">
        <v>1</v>
      </c>
      <c r="V3313" s="0" t="inlineStr">
        <is>
          <t>복도식</t>
        </is>
      </c>
      <c r="W3313" s="0" t="n">
        <v>75</v>
      </c>
      <c r="X3313" s="0" t="n">
        <v>20</v>
      </c>
      <c r="Y3313" s="0" t="n">
        <v>20</v>
      </c>
      <c r="Z3313" s="0" t="inlineStr">
        <is>
          <t>https://new.land.naver.com/complexes/998?tab=detail&amp;rf=Y</t>
        </is>
      </c>
      <c r="AA3313" s="0" t="inlineStr">
        <is>
          <t>서울시 강동구 천호동 563</t>
        </is>
      </c>
      <c r="AB3313" s="0" t="inlineStr">
        <is>
          <t>서울시</t>
        </is>
      </c>
      <c r="AC3313" s="0" t="inlineStr">
        <is>
          <t>강동구</t>
        </is>
      </c>
      <c r="AD3313" s="0" t="inlineStr">
        <is>
          <t>천호동</t>
        </is>
      </c>
      <c r="AG3313" s="0" t="inlineStr">
        <is>
          <t>서울시 강동구 구천면로 189</t>
        </is>
      </c>
      <c r="AH3313" s="0" t="n">
        <v>64</v>
      </c>
      <c r="AI3313" s="0" t="n">
        <v>560</v>
      </c>
      <c r="AJ3313" s="0" t="n">
        <v>52</v>
      </c>
      <c r="AK3313" s="0" t="n">
        <v>418</v>
      </c>
      <c r="AL3313" s="0" t="n">
        <v>2.19</v>
      </c>
    </row>
    <row r="3314">
      <c r="A3314" s="0" t="inlineStr">
        <is>
          <t>[천호동]</t>
        </is>
      </c>
      <c r="B3314" s="0" t="n">
        <v>998</v>
      </c>
      <c r="C3314" s="0" t="n">
        <v>5</v>
      </c>
      <c r="D3314" s="0" t="inlineStr">
        <is>
          <t>동아코아</t>
        </is>
      </c>
      <c r="E3314" s="0" t="inlineStr">
        <is>
          <t>1997.12.</t>
        </is>
      </c>
      <c r="F3314" s="0" t="n">
        <v>191</v>
      </c>
      <c r="G3314" s="0" t="n">
        <v>25.03</v>
      </c>
      <c r="H3314" s="0" t="n">
        <v>82.75</v>
      </c>
      <c r="I3314" s="0" t="n">
        <v>16.28</v>
      </c>
      <c r="J3314" s="0" t="n">
        <v>53.82</v>
      </c>
      <c r="K3314" s="0" t="n">
        <v>3</v>
      </c>
      <c r="T3314" s="0" t="n">
        <v>3</v>
      </c>
      <c r="U3314" s="0" t="n">
        <v>2</v>
      </c>
      <c r="V3314" s="0" t="inlineStr">
        <is>
          <t>계단식</t>
        </is>
      </c>
      <c r="W3314" s="0" t="n">
        <v>82</v>
      </c>
      <c r="X3314" s="0" t="n">
        <v>20</v>
      </c>
      <c r="Y3314" s="0" t="n">
        <v>20</v>
      </c>
      <c r="Z3314" s="0" t="inlineStr">
        <is>
          <t>https://new.land.naver.com/complexes/998?tab=detail&amp;rf=Y</t>
        </is>
      </c>
      <c r="AA3314" s="0" t="inlineStr">
        <is>
          <t>서울시 강동구 천호동 563</t>
        </is>
      </c>
      <c r="AB3314" s="0" t="inlineStr">
        <is>
          <t>서울시</t>
        </is>
      </c>
      <c r="AC3314" s="0" t="inlineStr">
        <is>
          <t>강동구</t>
        </is>
      </c>
      <c r="AD3314" s="0" t="inlineStr">
        <is>
          <t>천호동</t>
        </is>
      </c>
      <c r="AG3314" s="0" t="inlineStr">
        <is>
          <t>서울시 강동구 구천면로 189</t>
        </is>
      </c>
      <c r="AH3314" s="0" t="n">
        <v>64</v>
      </c>
      <c r="AI3314" s="0" t="n">
        <v>560</v>
      </c>
      <c r="AJ3314" s="0" t="n">
        <v>52</v>
      </c>
      <c r="AK3314" s="0" t="n">
        <v>418</v>
      </c>
      <c r="AL3314" s="0" t="n">
        <v>2.19</v>
      </c>
    </row>
    <row r="3315">
      <c r="A3315" s="0" t="inlineStr">
        <is>
          <t>[천호동]</t>
        </is>
      </c>
      <c r="B3315" s="0" t="n">
        <v>998</v>
      </c>
      <c r="C3315" s="0" t="n">
        <v>6</v>
      </c>
      <c r="D3315" s="0" t="inlineStr">
        <is>
          <t>동아코아</t>
        </is>
      </c>
      <c r="E3315" s="0" t="inlineStr">
        <is>
          <t>1997.12.</t>
        </is>
      </c>
      <c r="F3315" s="0" t="n">
        <v>191</v>
      </c>
      <c r="G3315" s="0" t="n">
        <v>26.66</v>
      </c>
      <c r="H3315" s="0" t="n">
        <v>88.15000000000001</v>
      </c>
      <c r="I3315" s="0" t="n">
        <v>17.34</v>
      </c>
      <c r="J3315" s="0" t="n">
        <v>57.33</v>
      </c>
      <c r="K3315" s="0" t="n">
        <v>44</v>
      </c>
      <c r="T3315" s="0" t="n">
        <v>3</v>
      </c>
      <c r="U3315" s="0" t="n">
        <v>1</v>
      </c>
      <c r="V3315" s="0" t="inlineStr">
        <is>
          <t>복도식</t>
        </is>
      </c>
      <c r="W3315" s="0" t="n">
        <v>88</v>
      </c>
      <c r="X3315" s="0" t="n">
        <v>20</v>
      </c>
      <c r="Y3315" s="0" t="n">
        <v>20</v>
      </c>
      <c r="Z3315" s="0" t="inlineStr">
        <is>
          <t>https://new.land.naver.com/complexes/998?tab=detail&amp;rf=Y</t>
        </is>
      </c>
      <c r="AA3315" s="0" t="inlineStr">
        <is>
          <t>서울시 강동구 천호동 563</t>
        </is>
      </c>
      <c r="AB3315" s="0" t="inlineStr">
        <is>
          <t>서울시</t>
        </is>
      </c>
      <c r="AC3315" s="0" t="inlineStr">
        <is>
          <t>강동구</t>
        </is>
      </c>
      <c r="AD3315" s="0" t="inlineStr">
        <is>
          <t>천호동</t>
        </is>
      </c>
      <c r="AG3315" s="0" t="inlineStr">
        <is>
          <t>서울시 강동구 구천면로 189</t>
        </is>
      </c>
      <c r="AH3315" s="0" t="n">
        <v>64</v>
      </c>
      <c r="AI3315" s="0" t="n">
        <v>560</v>
      </c>
      <c r="AJ3315" s="0" t="n">
        <v>52</v>
      </c>
      <c r="AK3315" s="0" t="n">
        <v>418</v>
      </c>
      <c r="AL3315" s="0" t="n">
        <v>2.19</v>
      </c>
    </row>
    <row r="3316">
      <c r="A3316" s="0" t="inlineStr">
        <is>
          <t>[천호동]</t>
        </is>
      </c>
      <c r="B3316" s="0" t="n">
        <v>998</v>
      </c>
      <c r="C3316" s="0" t="n">
        <v>7</v>
      </c>
      <c r="D3316" s="0" t="inlineStr">
        <is>
          <t>동아코아</t>
        </is>
      </c>
      <c r="E3316" s="0" t="inlineStr">
        <is>
          <t>1997.12.</t>
        </is>
      </c>
      <c r="F3316" s="0" t="n">
        <v>191</v>
      </c>
      <c r="G3316" s="0" t="n">
        <v>30.39</v>
      </c>
      <c r="H3316" s="0" t="n">
        <v>100.47</v>
      </c>
      <c r="I3316" s="0" t="n">
        <v>19.76</v>
      </c>
      <c r="J3316" s="0" t="n">
        <v>65.34</v>
      </c>
      <c r="K3316" s="0" t="n">
        <v>2</v>
      </c>
      <c r="T3316" s="0" t="n">
        <v>2</v>
      </c>
      <c r="U3316" s="0" t="n">
        <v>1</v>
      </c>
      <c r="V3316" s="0" t="inlineStr">
        <is>
          <t>복도식</t>
        </is>
      </c>
      <c r="W3316" s="0" t="n">
        <v>100</v>
      </c>
      <c r="X3316" s="0" t="n">
        <v>20</v>
      </c>
      <c r="Y3316" s="0" t="n">
        <v>20</v>
      </c>
      <c r="Z3316" s="0" t="inlineStr">
        <is>
          <t>https://new.land.naver.com/complexes/998?tab=detail&amp;rf=Y</t>
        </is>
      </c>
      <c r="AA3316" s="0" t="inlineStr">
        <is>
          <t>서울시 강동구 천호동 563</t>
        </is>
      </c>
      <c r="AB3316" s="0" t="inlineStr">
        <is>
          <t>서울시</t>
        </is>
      </c>
      <c r="AC3316" s="0" t="inlineStr">
        <is>
          <t>강동구</t>
        </is>
      </c>
      <c r="AD3316" s="0" t="inlineStr">
        <is>
          <t>천호동</t>
        </is>
      </c>
      <c r="AG3316" s="0" t="inlineStr">
        <is>
          <t>서울시 강동구 구천면로 189</t>
        </is>
      </c>
      <c r="AH3316" s="0" t="n">
        <v>64</v>
      </c>
      <c r="AI3316" s="0" t="n">
        <v>560</v>
      </c>
      <c r="AJ3316" s="0" t="n">
        <v>52</v>
      </c>
      <c r="AK3316" s="0" t="n">
        <v>418</v>
      </c>
      <c r="AL3316" s="0" t="n">
        <v>2.19</v>
      </c>
    </row>
    <row r="3317">
      <c r="A3317" s="0" t="inlineStr">
        <is>
          <t>[천호동]</t>
        </is>
      </c>
      <c r="B3317" s="0" t="n">
        <v>998</v>
      </c>
      <c r="C3317" s="0" t="n">
        <v>8</v>
      </c>
      <c r="D3317" s="0" t="inlineStr">
        <is>
          <t>동아코아</t>
        </is>
      </c>
      <c r="E3317" s="0" t="inlineStr">
        <is>
          <t>1997.12.</t>
        </is>
      </c>
      <c r="F3317" s="0" t="n">
        <v>191</v>
      </c>
      <c r="G3317" s="0" t="n">
        <v>31.56</v>
      </c>
      <c r="H3317" s="0" t="n">
        <v>104.34</v>
      </c>
      <c r="I3317" s="0" t="n">
        <v>20.52</v>
      </c>
      <c r="J3317" s="0" t="n">
        <v>67.86</v>
      </c>
      <c r="K3317" s="0" t="n">
        <v>2</v>
      </c>
      <c r="T3317" s="0" t="n">
        <v>3</v>
      </c>
      <c r="U3317" s="0" t="n">
        <v>1</v>
      </c>
      <c r="V3317" s="0" t="inlineStr">
        <is>
          <t>복도식</t>
        </is>
      </c>
      <c r="W3317" s="0" t="n">
        <v>104</v>
      </c>
      <c r="X3317" s="0" t="n">
        <v>20</v>
      </c>
      <c r="Y3317" s="0" t="n">
        <v>20</v>
      </c>
      <c r="Z3317" s="0" t="inlineStr">
        <is>
          <t>https://new.land.naver.com/complexes/998?tab=detail&amp;rf=Y</t>
        </is>
      </c>
      <c r="AA3317" s="0" t="inlineStr">
        <is>
          <t>서울시 강동구 천호동 563</t>
        </is>
      </c>
      <c r="AB3317" s="0" t="inlineStr">
        <is>
          <t>서울시</t>
        </is>
      </c>
      <c r="AC3317" s="0" t="inlineStr">
        <is>
          <t>강동구</t>
        </is>
      </c>
      <c r="AD3317" s="0" t="inlineStr">
        <is>
          <t>천호동</t>
        </is>
      </c>
      <c r="AG3317" s="0" t="inlineStr">
        <is>
          <t>서울시 강동구 구천면로 189</t>
        </is>
      </c>
      <c r="AH3317" s="0" t="n">
        <v>64</v>
      </c>
      <c r="AI3317" s="0" t="n">
        <v>560</v>
      </c>
      <c r="AJ3317" s="0" t="n">
        <v>52</v>
      </c>
      <c r="AK3317" s="0" t="n">
        <v>418</v>
      </c>
      <c r="AL3317" s="0" t="n">
        <v>2.19</v>
      </c>
    </row>
    <row r="3318">
      <c r="A3318" s="0" t="inlineStr">
        <is>
          <t>[천호동]</t>
        </is>
      </c>
      <c r="B3318" s="0" t="n">
        <v>998</v>
      </c>
      <c r="C3318" s="0" t="n">
        <v>9</v>
      </c>
      <c r="D3318" s="0" t="inlineStr">
        <is>
          <t>동아코아</t>
        </is>
      </c>
      <c r="E3318" s="0" t="inlineStr">
        <is>
          <t>1997.12.</t>
        </is>
      </c>
      <c r="F3318" s="0" t="n">
        <v>191</v>
      </c>
      <c r="G3318" s="0" t="n">
        <v>33.19</v>
      </c>
      <c r="H3318" s="0" t="n">
        <v>109.74</v>
      </c>
      <c r="I3318" s="0" t="n">
        <v>21.58</v>
      </c>
      <c r="J3318" s="0" t="n">
        <v>71.37</v>
      </c>
      <c r="K3318" s="0" t="n">
        <v>2</v>
      </c>
      <c r="T3318" s="0" t="n">
        <v>3</v>
      </c>
      <c r="U3318" s="0" t="n">
        <v>1</v>
      </c>
      <c r="V3318" s="0" t="inlineStr">
        <is>
          <t>복도식</t>
        </is>
      </c>
      <c r="W3318" s="0" t="n">
        <v>109</v>
      </c>
      <c r="X3318" s="0" t="n">
        <v>20</v>
      </c>
      <c r="Y3318" s="0" t="n">
        <v>20</v>
      </c>
      <c r="Z3318" s="0" t="inlineStr">
        <is>
          <t>https://new.land.naver.com/complexes/998?tab=detail&amp;rf=Y</t>
        </is>
      </c>
      <c r="AA3318" s="0" t="inlineStr">
        <is>
          <t>서울시 강동구 천호동 563</t>
        </is>
      </c>
      <c r="AB3318" s="0" t="inlineStr">
        <is>
          <t>서울시</t>
        </is>
      </c>
      <c r="AC3318" s="0" t="inlineStr">
        <is>
          <t>강동구</t>
        </is>
      </c>
      <c r="AD3318" s="0" t="inlineStr">
        <is>
          <t>천호동</t>
        </is>
      </c>
      <c r="AG3318" s="0" t="inlineStr">
        <is>
          <t>서울시 강동구 구천면로 189</t>
        </is>
      </c>
      <c r="AH3318" s="0" t="n">
        <v>64</v>
      </c>
      <c r="AI3318" s="0" t="n">
        <v>560</v>
      </c>
      <c r="AJ3318" s="0" t="n">
        <v>52</v>
      </c>
      <c r="AK3318" s="0" t="n">
        <v>418</v>
      </c>
      <c r="AL3318" s="0" t="n">
        <v>2.19</v>
      </c>
    </row>
    <row r="3319">
      <c r="A3319" s="0" t="inlineStr">
        <is>
          <t>[천호동]</t>
        </is>
      </c>
      <c r="B3319" s="0" t="n">
        <v>998</v>
      </c>
      <c r="C3319" s="0" t="n">
        <v>10</v>
      </c>
      <c r="D3319" s="0" t="inlineStr">
        <is>
          <t>동아코아</t>
        </is>
      </c>
      <c r="E3319" s="0" t="inlineStr">
        <is>
          <t>1997.12.</t>
        </is>
      </c>
      <c r="F3319" s="0" t="n">
        <v>191</v>
      </c>
      <c r="G3319" s="0" t="n">
        <v>33.73</v>
      </c>
      <c r="H3319" s="0" t="n">
        <v>111.53</v>
      </c>
      <c r="I3319" s="0" t="n">
        <v>21.94</v>
      </c>
      <c r="J3319" s="0" t="n">
        <v>72.54000000000001</v>
      </c>
      <c r="K3319" s="0" t="n">
        <v>1</v>
      </c>
      <c r="T3319" s="0" t="n">
        <v>3</v>
      </c>
      <c r="U3319" s="0" t="n">
        <v>2</v>
      </c>
      <c r="V3319" s="0" t="inlineStr">
        <is>
          <t>복도식</t>
        </is>
      </c>
      <c r="W3319" s="0" t="n">
        <v>111</v>
      </c>
      <c r="X3319" s="0" t="n">
        <v>20</v>
      </c>
      <c r="Y3319" s="0" t="n">
        <v>20</v>
      </c>
      <c r="Z3319" s="0" t="inlineStr">
        <is>
          <t>https://new.land.naver.com/complexes/998?tab=detail&amp;rf=Y</t>
        </is>
      </c>
      <c r="AA3319" s="0" t="inlineStr">
        <is>
          <t>서울시 강동구 천호동 563</t>
        </is>
      </c>
      <c r="AB3319" s="0" t="inlineStr">
        <is>
          <t>서울시</t>
        </is>
      </c>
      <c r="AC3319" s="0" t="inlineStr">
        <is>
          <t>강동구</t>
        </is>
      </c>
      <c r="AD3319" s="0" t="inlineStr">
        <is>
          <t>천호동</t>
        </is>
      </c>
      <c r="AG3319" s="0" t="inlineStr">
        <is>
          <t>서울시 강동구 구천면로 189</t>
        </is>
      </c>
      <c r="AH3319" s="0" t="n">
        <v>64</v>
      </c>
      <c r="AI3319" s="0" t="n">
        <v>560</v>
      </c>
      <c r="AJ3319" s="0" t="n">
        <v>52</v>
      </c>
      <c r="AK3319" s="0" t="n">
        <v>418</v>
      </c>
      <c r="AL3319" s="0" t="n">
        <v>2.19</v>
      </c>
    </row>
    <row r="3320">
      <c r="A3320" s="0" t="inlineStr">
        <is>
          <t>[천호동]</t>
        </is>
      </c>
      <c r="B3320" s="0" t="n">
        <v>998</v>
      </c>
      <c r="C3320" s="0" t="n">
        <v>11</v>
      </c>
      <c r="D3320" s="0" t="inlineStr">
        <is>
          <t>동아코아</t>
        </is>
      </c>
      <c r="E3320" s="0" t="inlineStr">
        <is>
          <t>1997.12.</t>
        </is>
      </c>
      <c r="F3320" s="0" t="n">
        <v>191</v>
      </c>
      <c r="G3320" s="0" t="n">
        <v>36.71</v>
      </c>
      <c r="H3320" s="0" t="n">
        <v>121.36</v>
      </c>
      <c r="I3320" s="0" t="n">
        <v>23.87</v>
      </c>
      <c r="J3320" s="0" t="n">
        <v>78.93000000000001</v>
      </c>
      <c r="K3320" s="0" t="n">
        <v>14</v>
      </c>
      <c r="T3320" s="0" t="n">
        <v>3</v>
      </c>
      <c r="U3320" s="0" t="n">
        <v>1</v>
      </c>
      <c r="V3320" s="0" t="inlineStr">
        <is>
          <t>복도식</t>
        </is>
      </c>
      <c r="W3320" s="0" t="n">
        <v>121</v>
      </c>
      <c r="X3320" s="0" t="n">
        <v>20</v>
      </c>
      <c r="Y3320" s="0" t="n">
        <v>20</v>
      </c>
      <c r="Z3320" s="0" t="inlineStr">
        <is>
          <t>https://new.land.naver.com/complexes/998?tab=detail&amp;rf=Y</t>
        </is>
      </c>
      <c r="AA3320" s="0" t="inlineStr">
        <is>
          <t>서울시 강동구 천호동 563</t>
        </is>
      </c>
      <c r="AB3320" s="0" t="inlineStr">
        <is>
          <t>서울시</t>
        </is>
      </c>
      <c r="AC3320" s="0" t="inlineStr">
        <is>
          <t>강동구</t>
        </is>
      </c>
      <c r="AD3320" s="0" t="inlineStr">
        <is>
          <t>천호동</t>
        </is>
      </c>
      <c r="AG3320" s="0" t="inlineStr">
        <is>
          <t>서울시 강동구 구천면로 189</t>
        </is>
      </c>
      <c r="AH3320" s="0" t="n">
        <v>64</v>
      </c>
      <c r="AI3320" s="0" t="n">
        <v>560</v>
      </c>
      <c r="AJ3320" s="0" t="n">
        <v>52</v>
      </c>
      <c r="AK3320" s="0" t="n">
        <v>418</v>
      </c>
      <c r="AL3320" s="0" t="n">
        <v>2.19</v>
      </c>
    </row>
    <row r="3321">
      <c r="A3321" s="0" t="inlineStr">
        <is>
          <t>[천호동]</t>
        </is>
      </c>
      <c r="B3321" s="0" t="n">
        <v>998</v>
      </c>
      <c r="C3321" s="0" t="n">
        <v>12</v>
      </c>
      <c r="D3321" s="0" t="inlineStr">
        <is>
          <t>동아코아</t>
        </is>
      </c>
      <c r="E3321" s="0" t="inlineStr">
        <is>
          <t>1997.12.</t>
        </is>
      </c>
      <c r="F3321" s="0" t="n">
        <v>191</v>
      </c>
      <c r="G3321" s="0" t="n">
        <v>39.17</v>
      </c>
      <c r="H3321" s="0" t="n">
        <v>129.52</v>
      </c>
      <c r="I3321" s="0" t="n">
        <v>25.48</v>
      </c>
      <c r="J3321" s="0" t="n">
        <v>84.23999999999999</v>
      </c>
      <c r="K3321" s="0" t="n">
        <v>14</v>
      </c>
      <c r="T3321" s="0" t="n">
        <v>3</v>
      </c>
      <c r="U3321" s="0" t="n">
        <v>2</v>
      </c>
      <c r="V3321" s="0" t="inlineStr">
        <is>
          <t>복도식</t>
        </is>
      </c>
      <c r="W3321" s="0" t="n">
        <v>129</v>
      </c>
      <c r="X3321" s="0" t="n">
        <v>20</v>
      </c>
      <c r="Y3321" s="0" t="n">
        <v>20</v>
      </c>
      <c r="Z3321" s="0" t="inlineStr">
        <is>
          <t>https://new.land.naver.com/complexes/998?tab=detail&amp;rf=Y</t>
        </is>
      </c>
      <c r="AA3321" s="0" t="inlineStr">
        <is>
          <t>서울시 강동구 천호동 563</t>
        </is>
      </c>
      <c r="AB3321" s="0" t="inlineStr">
        <is>
          <t>서울시</t>
        </is>
      </c>
      <c r="AC3321" s="0" t="inlineStr">
        <is>
          <t>강동구</t>
        </is>
      </c>
      <c r="AD3321" s="0" t="inlineStr">
        <is>
          <t>천호동</t>
        </is>
      </c>
      <c r="AG3321" s="0" t="inlineStr">
        <is>
          <t>서울시 강동구 구천면로 189</t>
        </is>
      </c>
      <c r="AH3321" s="0" t="n">
        <v>64</v>
      </c>
      <c r="AI3321" s="0" t="n">
        <v>560</v>
      </c>
      <c r="AJ3321" s="0" t="n">
        <v>52</v>
      </c>
      <c r="AK3321" s="0" t="n">
        <v>418</v>
      </c>
      <c r="AL3321" s="0" t="n">
        <v>2.19</v>
      </c>
    </row>
    <row r="3322">
      <c r="A3322" s="0" t="inlineStr">
        <is>
          <t>[천호동]</t>
        </is>
      </c>
      <c r="B3322" s="0" t="n">
        <v>998</v>
      </c>
      <c r="C3322" s="0" t="n">
        <v>13</v>
      </c>
      <c r="D3322" s="0" t="inlineStr">
        <is>
          <t>동아코아</t>
        </is>
      </c>
      <c r="E3322" s="0" t="inlineStr">
        <is>
          <t>1997.12.</t>
        </is>
      </c>
      <c r="F3322" s="0" t="n">
        <v>191</v>
      </c>
      <c r="G3322" s="0" t="n">
        <v>41.81</v>
      </c>
      <c r="H3322" s="0" t="n">
        <v>138.24</v>
      </c>
      <c r="I3322" s="0" t="n">
        <v>27.19</v>
      </c>
      <c r="J3322" s="0" t="n">
        <v>89.91</v>
      </c>
      <c r="K3322" s="0" t="n">
        <v>2</v>
      </c>
      <c r="T3322" s="0" t="n">
        <v>4</v>
      </c>
      <c r="U3322" s="0" t="n">
        <v>2</v>
      </c>
      <c r="V3322" s="0" t="inlineStr">
        <is>
          <t>복도식</t>
        </is>
      </c>
      <c r="W3322" s="0" t="n">
        <v>138</v>
      </c>
      <c r="X3322" s="0" t="n">
        <v>20</v>
      </c>
      <c r="Y3322" s="0" t="n">
        <v>20</v>
      </c>
      <c r="Z3322" s="0" t="inlineStr">
        <is>
          <t>https://new.land.naver.com/complexes/998?tab=detail&amp;rf=Y</t>
        </is>
      </c>
      <c r="AA3322" s="0" t="inlineStr">
        <is>
          <t>서울시 강동구 천호동 563</t>
        </is>
      </c>
      <c r="AB3322" s="0" t="inlineStr">
        <is>
          <t>서울시</t>
        </is>
      </c>
      <c r="AC3322" s="0" t="inlineStr">
        <is>
          <t>강동구</t>
        </is>
      </c>
      <c r="AD3322" s="0" t="inlineStr">
        <is>
          <t>천호동</t>
        </is>
      </c>
      <c r="AG3322" s="0" t="inlineStr">
        <is>
          <t>서울시 강동구 구천면로 189</t>
        </is>
      </c>
      <c r="AH3322" s="0" t="n">
        <v>64</v>
      </c>
      <c r="AI3322" s="0" t="n">
        <v>560</v>
      </c>
      <c r="AJ3322" s="0" t="n">
        <v>52</v>
      </c>
      <c r="AK3322" s="0" t="n">
        <v>418</v>
      </c>
      <c r="AL3322" s="0" t="n">
        <v>2.19</v>
      </c>
    </row>
    <row r="3323">
      <c r="A3323" s="0" t="inlineStr">
        <is>
          <t>[천호동]</t>
        </is>
      </c>
      <c r="B3323" s="0" t="n">
        <v>998</v>
      </c>
      <c r="C3323" s="0" t="n">
        <v>14</v>
      </c>
      <c r="D3323" s="0" t="inlineStr">
        <is>
          <t>동아코아</t>
        </is>
      </c>
      <c r="E3323" s="0" t="inlineStr">
        <is>
          <t>1997.12.</t>
        </is>
      </c>
      <c r="F3323" s="0" t="n">
        <v>191</v>
      </c>
      <c r="G3323" s="0" t="n">
        <v>44.62</v>
      </c>
      <c r="H3323" s="0" t="n">
        <v>147.51</v>
      </c>
      <c r="I3323" s="0" t="n">
        <v>29.02</v>
      </c>
      <c r="J3323" s="0" t="n">
        <v>95.94</v>
      </c>
      <c r="K3323" s="0" t="n">
        <v>1</v>
      </c>
      <c r="T3323" s="0" t="n">
        <v>4</v>
      </c>
      <c r="U3323" s="0" t="n">
        <v>2</v>
      </c>
      <c r="V3323" s="0" t="inlineStr">
        <is>
          <t>복도식</t>
        </is>
      </c>
      <c r="W3323" s="0" t="n">
        <v>147</v>
      </c>
      <c r="X3323" s="0" t="n">
        <v>20</v>
      </c>
      <c r="Y3323" s="0" t="n">
        <v>20</v>
      </c>
      <c r="Z3323" s="0" t="inlineStr">
        <is>
          <t>https://new.land.naver.com/complexes/998?tab=detail&amp;rf=Y</t>
        </is>
      </c>
      <c r="AA3323" s="0" t="inlineStr">
        <is>
          <t>서울시 강동구 천호동 563</t>
        </is>
      </c>
      <c r="AB3323" s="0" t="inlineStr">
        <is>
          <t>서울시</t>
        </is>
      </c>
      <c r="AC3323" s="0" t="inlineStr">
        <is>
          <t>강동구</t>
        </is>
      </c>
      <c r="AD3323" s="0" t="inlineStr">
        <is>
          <t>천호동</t>
        </is>
      </c>
      <c r="AG3323" s="0" t="inlineStr">
        <is>
          <t>서울시 강동구 구천면로 189</t>
        </is>
      </c>
      <c r="AH3323" s="0" t="n">
        <v>64</v>
      </c>
      <c r="AI3323" s="0" t="n">
        <v>560</v>
      </c>
      <c r="AJ3323" s="0" t="n">
        <v>52</v>
      </c>
      <c r="AK3323" s="0" t="n">
        <v>418</v>
      </c>
      <c r="AL3323" s="0" t="n">
        <v>2.19</v>
      </c>
    </row>
    <row r="3324">
      <c r="A3324" s="0" t="inlineStr">
        <is>
          <t>[천호동]</t>
        </is>
      </c>
      <c r="B3324" s="0" t="n">
        <v>998</v>
      </c>
      <c r="C3324" s="0" t="n">
        <v>15</v>
      </c>
      <c r="D3324" s="0" t="inlineStr">
        <is>
          <t>동아코아</t>
        </is>
      </c>
      <c r="E3324" s="0" t="inlineStr">
        <is>
          <t>1997.12.</t>
        </is>
      </c>
      <c r="F3324" s="0" t="n">
        <v>191</v>
      </c>
      <c r="G3324" s="0" t="n">
        <v>49.77</v>
      </c>
      <c r="H3324" s="0" t="n">
        <v>164.54</v>
      </c>
      <c r="I3324" s="0" t="n">
        <v>32.37</v>
      </c>
      <c r="J3324" s="0" t="n">
        <v>107.01</v>
      </c>
      <c r="K3324" s="0" t="n">
        <v>14</v>
      </c>
      <c r="T3324" s="0" t="n">
        <v>4</v>
      </c>
      <c r="U3324" s="0" t="n">
        <v>2</v>
      </c>
      <c r="V3324" s="0" t="inlineStr">
        <is>
          <t>복도식</t>
        </is>
      </c>
      <c r="W3324" s="0" t="n">
        <v>164</v>
      </c>
      <c r="X3324" s="0" t="n">
        <v>20</v>
      </c>
      <c r="Y3324" s="0" t="n">
        <v>20</v>
      </c>
      <c r="Z3324" s="0" t="inlineStr">
        <is>
          <t>https://new.land.naver.com/complexes/998?tab=detail&amp;rf=Y</t>
        </is>
      </c>
      <c r="AA3324" s="0" t="inlineStr">
        <is>
          <t>서울시 강동구 천호동 563</t>
        </is>
      </c>
      <c r="AB3324" s="0" t="inlineStr">
        <is>
          <t>서울시</t>
        </is>
      </c>
      <c r="AC3324" s="0" t="inlineStr">
        <is>
          <t>강동구</t>
        </is>
      </c>
      <c r="AD3324" s="0" t="inlineStr">
        <is>
          <t>천호동</t>
        </is>
      </c>
      <c r="AG3324" s="0" t="inlineStr">
        <is>
          <t>서울시 강동구 구천면로 189</t>
        </is>
      </c>
      <c r="AH3324" s="0" t="n">
        <v>64</v>
      </c>
      <c r="AI3324" s="0" t="n">
        <v>560</v>
      </c>
      <c r="AJ3324" s="0" t="n">
        <v>52</v>
      </c>
      <c r="AK3324" s="0" t="n">
        <v>418</v>
      </c>
      <c r="AL3324" s="0" t="n">
        <v>2.19</v>
      </c>
    </row>
    <row r="3325">
      <c r="A3325" s="0" t="inlineStr">
        <is>
          <t>[천호동]</t>
        </is>
      </c>
      <c r="B3325" s="0" t="n">
        <v>998</v>
      </c>
      <c r="C3325" s="0" t="n">
        <v>16</v>
      </c>
      <c r="D3325" s="0" t="inlineStr">
        <is>
          <t>동아코아</t>
        </is>
      </c>
      <c r="E3325" s="0" t="inlineStr">
        <is>
          <t>1997.12.</t>
        </is>
      </c>
      <c r="F3325" s="0" t="n">
        <v>191</v>
      </c>
      <c r="G3325" s="0" t="n">
        <v>51.15</v>
      </c>
      <c r="H3325" s="0" t="n">
        <v>169.1</v>
      </c>
      <c r="I3325" s="0" t="n">
        <v>33.26</v>
      </c>
      <c r="J3325" s="0" t="n">
        <v>109.98</v>
      </c>
      <c r="K3325" s="0" t="n">
        <v>1</v>
      </c>
      <c r="T3325" s="0" t="n">
        <v>4</v>
      </c>
      <c r="U3325" s="0" t="n">
        <v>2</v>
      </c>
      <c r="V3325" s="0" t="inlineStr">
        <is>
          <t>복도식</t>
        </is>
      </c>
      <c r="W3325" s="0" t="n">
        <v>169</v>
      </c>
      <c r="X3325" s="0" t="n">
        <v>20</v>
      </c>
      <c r="Y3325" s="0" t="n">
        <v>20</v>
      </c>
      <c r="Z3325" s="0" t="inlineStr">
        <is>
          <t>https://new.land.naver.com/complexes/998?tab=detail&amp;rf=Y</t>
        </is>
      </c>
      <c r="AA3325" s="0" t="inlineStr">
        <is>
          <t>서울시 강동구 천호동 563</t>
        </is>
      </c>
      <c r="AB3325" s="0" t="inlineStr">
        <is>
          <t>서울시</t>
        </is>
      </c>
      <c r="AC3325" s="0" t="inlineStr">
        <is>
          <t>강동구</t>
        </is>
      </c>
      <c r="AD3325" s="0" t="inlineStr">
        <is>
          <t>천호동</t>
        </is>
      </c>
      <c r="AG3325" s="0" t="inlineStr">
        <is>
          <t>서울시 강동구 구천면로 189</t>
        </is>
      </c>
      <c r="AH3325" s="0" t="n">
        <v>64</v>
      </c>
      <c r="AI3325" s="0" t="n">
        <v>560</v>
      </c>
      <c r="AJ3325" s="0" t="n">
        <v>52</v>
      </c>
      <c r="AK3325" s="0" t="n">
        <v>418</v>
      </c>
      <c r="AL3325" s="0" t="n">
        <v>2.19</v>
      </c>
    </row>
    <row r="3326">
      <c r="A3326" s="0" t="inlineStr">
        <is>
          <t>[천호동]</t>
        </is>
      </c>
      <c r="B3326" s="0" t="n">
        <v>998</v>
      </c>
      <c r="C3326" s="0" t="n">
        <v>17</v>
      </c>
      <c r="D3326" s="0" t="inlineStr">
        <is>
          <t>동아코아</t>
        </is>
      </c>
      <c r="E3326" s="0" t="inlineStr">
        <is>
          <t>1997.12.</t>
        </is>
      </c>
      <c r="F3326" s="0" t="n">
        <v>191</v>
      </c>
      <c r="G3326" s="0" t="n">
        <v>52.78</v>
      </c>
      <c r="H3326" s="0" t="n">
        <v>174.5</v>
      </c>
      <c r="I3326" s="0" t="n">
        <v>34.33</v>
      </c>
      <c r="J3326" s="0" t="n">
        <v>113.49</v>
      </c>
      <c r="K3326" s="0" t="n">
        <v>18</v>
      </c>
      <c r="T3326" s="0" t="n">
        <v>4</v>
      </c>
      <c r="U3326" s="0" t="n">
        <v>2</v>
      </c>
      <c r="V3326" s="0" t="inlineStr">
        <is>
          <t>복도식</t>
        </is>
      </c>
      <c r="W3326" s="0" t="n">
        <v>174</v>
      </c>
      <c r="X3326" s="0" t="n">
        <v>20</v>
      </c>
      <c r="Y3326" s="0" t="n">
        <v>20</v>
      </c>
      <c r="Z3326" s="0" t="inlineStr">
        <is>
          <t>https://new.land.naver.com/complexes/998?tab=detail&amp;rf=Y</t>
        </is>
      </c>
      <c r="AA3326" s="0" t="inlineStr">
        <is>
          <t>서울시 강동구 천호동 563</t>
        </is>
      </c>
      <c r="AB3326" s="0" t="inlineStr">
        <is>
          <t>서울시</t>
        </is>
      </c>
      <c r="AC3326" s="0" t="inlineStr">
        <is>
          <t>강동구</t>
        </is>
      </c>
      <c r="AD3326" s="0" t="inlineStr">
        <is>
          <t>천호동</t>
        </is>
      </c>
      <c r="AG3326" s="0" t="inlineStr">
        <is>
          <t>서울시 강동구 구천면로 189</t>
        </is>
      </c>
      <c r="AH3326" s="0" t="n">
        <v>64</v>
      </c>
      <c r="AI3326" s="0" t="n">
        <v>560</v>
      </c>
      <c r="AJ3326" s="0" t="n">
        <v>52</v>
      </c>
      <c r="AK3326" s="0" t="n">
        <v>418</v>
      </c>
      <c r="AL3326" s="0" t="n">
        <v>2.19</v>
      </c>
    </row>
    <row r="3327">
      <c r="A3327" s="0" t="inlineStr">
        <is>
          <t>[천호동]</t>
        </is>
      </c>
      <c r="B3327" s="0" t="n">
        <v>141005</v>
      </c>
      <c r="C3327" s="0" t="n">
        <v>1</v>
      </c>
      <c r="D3327" s="0" t="inlineStr">
        <is>
          <t>강동밀레니얼중흥S-클래스(주)</t>
        </is>
      </c>
      <c r="E3327" s="0" t="inlineStr">
        <is>
          <t>2024.09.</t>
        </is>
      </c>
      <c r="F3327" s="0" t="n">
        <v>999</v>
      </c>
      <c r="G3327" s="0" t="n">
        <v>12.71</v>
      </c>
      <c r="H3327" s="0" t="n">
        <v>42.03</v>
      </c>
      <c r="I3327" s="0" t="n">
        <v>7.85</v>
      </c>
      <c r="J3327" s="0" t="n">
        <v>25.98</v>
      </c>
      <c r="K3327" s="0" t="n">
        <v>1</v>
      </c>
      <c r="T3327" s="0" t="n">
        <v>1</v>
      </c>
      <c r="U3327" s="0" t="n">
        <v>1</v>
      </c>
      <c r="V3327" s="0" t="inlineStr">
        <is>
          <t>계단식</t>
        </is>
      </c>
      <c r="W3327" s="0" t="n">
        <v>42</v>
      </c>
      <c r="X3327" s="0" t="n">
        <v>40</v>
      </c>
      <c r="Y3327" s="0" t="n">
        <v>36</v>
      </c>
      <c r="Z3327" s="0" t="inlineStr">
        <is>
          <t>https://new.land.naver.com/complexes/141005?tab=detail&amp;rf=Y</t>
        </is>
      </c>
      <c r="AA3327" s="0" t="inlineStr">
        <is>
          <t>서울시 강동구 천호동 423-200번지 일원</t>
        </is>
      </c>
      <c r="AB3327" s="0" t="inlineStr">
        <is>
          <t>서울시</t>
        </is>
      </c>
      <c r="AC3327" s="0" t="inlineStr">
        <is>
          <t>강동구</t>
        </is>
      </c>
      <c r="AD3327" s="0" t="inlineStr">
        <is>
          <t>천호동</t>
        </is>
      </c>
      <c r="AG3327" s="0" t="inlineStr">
        <is>
          <t>서울시 강동구</t>
        </is>
      </c>
      <c r="AH3327" s="0" t="n">
        <v>117</v>
      </c>
      <c r="AI3327" s="0" t="n">
        <v>516</v>
      </c>
      <c r="AJ3327" s="0" t="n">
        <v>46</v>
      </c>
      <c r="AK3327" s="0" t="n">
        <v>1202</v>
      </c>
      <c r="AL3327" s="0" t="n">
        <v>1.2</v>
      </c>
    </row>
    <row r="3328">
      <c r="A3328" s="0" t="inlineStr">
        <is>
          <t>[천호동]</t>
        </is>
      </c>
      <c r="B3328" s="0" t="n">
        <v>141005</v>
      </c>
      <c r="C3328" s="0" t="n">
        <v>2</v>
      </c>
      <c r="D3328" s="0" t="inlineStr">
        <is>
          <t>강동밀레니얼중흥S-클래스(주)</t>
        </is>
      </c>
      <c r="E3328" s="0" t="inlineStr">
        <is>
          <t>2024.09.</t>
        </is>
      </c>
      <c r="F3328" s="0" t="n">
        <v>999</v>
      </c>
      <c r="G3328" s="0" t="n">
        <v>23.25</v>
      </c>
      <c r="H3328" s="0" t="n">
        <v>76.86</v>
      </c>
      <c r="I3328" s="0" t="n">
        <v>14.47</v>
      </c>
      <c r="J3328" s="0" t="n">
        <v>47.84</v>
      </c>
      <c r="K3328" s="0" t="n">
        <v>84</v>
      </c>
      <c r="T3328" s="0" t="n">
        <v>2</v>
      </c>
      <c r="U3328" s="0" t="n">
        <v>1</v>
      </c>
      <c r="V3328" s="0" t="inlineStr">
        <is>
          <t>계단식</t>
        </is>
      </c>
      <c r="W3328" s="0" t="inlineStr">
        <is>
          <t>76A</t>
        </is>
      </c>
      <c r="X3328" s="0" t="n">
        <v>40</v>
      </c>
      <c r="Y3328" s="0" t="n">
        <v>36</v>
      </c>
      <c r="Z3328" s="0" t="inlineStr">
        <is>
          <t>https://new.land.naver.com/complexes/141005?tab=detail&amp;rf=Y</t>
        </is>
      </c>
      <c r="AA3328" s="0" t="inlineStr">
        <is>
          <t>서울시 강동구 천호동 423-200번지 일원</t>
        </is>
      </c>
      <c r="AB3328" s="0" t="inlineStr">
        <is>
          <t>서울시</t>
        </is>
      </c>
      <c r="AC3328" s="0" t="inlineStr">
        <is>
          <t>강동구</t>
        </is>
      </c>
      <c r="AD3328" s="0" t="inlineStr">
        <is>
          <t>천호동</t>
        </is>
      </c>
      <c r="AG3328" s="0" t="inlineStr">
        <is>
          <t>서울시 강동구</t>
        </is>
      </c>
      <c r="AH3328" s="0" t="n">
        <v>117</v>
      </c>
      <c r="AI3328" s="0" t="n">
        <v>516</v>
      </c>
      <c r="AJ3328" s="0" t="n">
        <v>46</v>
      </c>
      <c r="AK3328" s="0" t="n">
        <v>1202</v>
      </c>
      <c r="AL3328" s="0" t="n">
        <v>1.2</v>
      </c>
    </row>
    <row r="3329">
      <c r="A3329" s="0" t="inlineStr">
        <is>
          <t>[천호동]</t>
        </is>
      </c>
      <c r="B3329" s="0" t="n">
        <v>141005</v>
      </c>
      <c r="C3329" s="0" t="n">
        <v>3</v>
      </c>
      <c r="D3329" s="0" t="inlineStr">
        <is>
          <t>강동밀레니얼중흥S-클래스(주)</t>
        </is>
      </c>
      <c r="E3329" s="0" t="inlineStr">
        <is>
          <t>2024.09.</t>
        </is>
      </c>
      <c r="F3329" s="0" t="n">
        <v>999</v>
      </c>
      <c r="G3329" s="0" t="n">
        <v>23.18</v>
      </c>
      <c r="H3329" s="0" t="n">
        <v>76.66</v>
      </c>
      <c r="I3329" s="0" t="n">
        <v>14.35</v>
      </c>
      <c r="J3329" s="0" t="n">
        <v>47.44</v>
      </c>
      <c r="K3329" s="0" t="n">
        <v>51</v>
      </c>
      <c r="T3329" s="0" t="n">
        <v>2</v>
      </c>
      <c r="U3329" s="0" t="n">
        <v>1</v>
      </c>
      <c r="V3329" s="0" t="inlineStr">
        <is>
          <t>계단식</t>
        </is>
      </c>
      <c r="W3329" s="0" t="inlineStr">
        <is>
          <t>76B</t>
        </is>
      </c>
      <c r="X3329" s="0" t="n">
        <v>40</v>
      </c>
      <c r="Y3329" s="0" t="n">
        <v>36</v>
      </c>
      <c r="Z3329" s="0" t="inlineStr">
        <is>
          <t>https://new.land.naver.com/complexes/141005?tab=detail&amp;rf=Y</t>
        </is>
      </c>
      <c r="AA3329" s="0" t="inlineStr">
        <is>
          <t>서울시 강동구 천호동 423-200번지 일원</t>
        </is>
      </c>
      <c r="AB3329" s="0" t="inlineStr">
        <is>
          <t>서울시</t>
        </is>
      </c>
      <c r="AC3329" s="0" t="inlineStr">
        <is>
          <t>강동구</t>
        </is>
      </c>
      <c r="AD3329" s="0" t="inlineStr">
        <is>
          <t>천호동</t>
        </is>
      </c>
      <c r="AG3329" s="0" t="inlineStr">
        <is>
          <t>서울시 강동구</t>
        </is>
      </c>
      <c r="AH3329" s="0" t="n">
        <v>117</v>
      </c>
      <c r="AI3329" s="0" t="n">
        <v>516</v>
      </c>
      <c r="AJ3329" s="0" t="n">
        <v>46</v>
      </c>
      <c r="AK3329" s="0" t="n">
        <v>1202</v>
      </c>
      <c r="AL3329" s="0" t="n">
        <v>1.2</v>
      </c>
    </row>
    <row r="3330">
      <c r="A3330" s="0" t="inlineStr">
        <is>
          <t>[천호동]</t>
        </is>
      </c>
      <c r="B3330" s="0" t="n">
        <v>141005</v>
      </c>
      <c r="C3330" s="0" t="n">
        <v>4</v>
      </c>
      <c r="D3330" s="0" t="inlineStr">
        <is>
          <t>강동밀레니얼중흥S-클래스(주)</t>
        </is>
      </c>
      <c r="E3330" s="0" t="inlineStr">
        <is>
          <t>2024.09.</t>
        </is>
      </c>
      <c r="F3330" s="0" t="n">
        <v>999</v>
      </c>
      <c r="G3330" s="0" t="n">
        <v>24.6</v>
      </c>
      <c r="H3330" s="0" t="n">
        <v>81.34999999999999</v>
      </c>
      <c r="I3330" s="0" t="n">
        <v>15.27</v>
      </c>
      <c r="J3330" s="0" t="n">
        <v>50.48</v>
      </c>
      <c r="K3330" s="0" t="n">
        <v>15</v>
      </c>
      <c r="T3330" s="0" t="n">
        <v>2</v>
      </c>
      <c r="U3330" s="0" t="n">
        <v>1</v>
      </c>
      <c r="V3330" s="0" t="inlineStr">
        <is>
          <t>계단식</t>
        </is>
      </c>
      <c r="W3330" s="0" t="inlineStr">
        <is>
          <t>81A</t>
        </is>
      </c>
      <c r="X3330" s="0" t="n">
        <v>40</v>
      </c>
      <c r="Y3330" s="0" t="n">
        <v>36</v>
      </c>
      <c r="Z3330" s="0" t="inlineStr">
        <is>
          <t>https://new.land.naver.com/complexes/141005?tab=detail&amp;rf=Y</t>
        </is>
      </c>
      <c r="AA3330" s="0" t="inlineStr">
        <is>
          <t>서울시 강동구 천호동 423-200번지 일원</t>
        </is>
      </c>
      <c r="AB3330" s="0" t="inlineStr">
        <is>
          <t>서울시</t>
        </is>
      </c>
      <c r="AC3330" s="0" t="inlineStr">
        <is>
          <t>강동구</t>
        </is>
      </c>
      <c r="AD3330" s="0" t="inlineStr">
        <is>
          <t>천호동</t>
        </is>
      </c>
      <c r="AG3330" s="0" t="inlineStr">
        <is>
          <t>서울시 강동구</t>
        </is>
      </c>
      <c r="AH3330" s="0" t="n">
        <v>117</v>
      </c>
      <c r="AI3330" s="0" t="n">
        <v>516</v>
      </c>
      <c r="AJ3330" s="0" t="n">
        <v>46</v>
      </c>
      <c r="AK3330" s="0" t="n">
        <v>1202</v>
      </c>
      <c r="AL3330" s="0" t="n">
        <v>1.2</v>
      </c>
    </row>
    <row r="3331">
      <c r="A3331" s="0" t="inlineStr">
        <is>
          <t>[천호동]</t>
        </is>
      </c>
      <c r="B3331" s="0" t="n">
        <v>141005</v>
      </c>
      <c r="C3331" s="0" t="n">
        <v>5</v>
      </c>
      <c r="D3331" s="0" t="inlineStr">
        <is>
          <t>강동밀레니얼중흥S-클래스(주)</t>
        </is>
      </c>
      <c r="E3331" s="0" t="inlineStr">
        <is>
          <t>2024.09.</t>
        </is>
      </c>
      <c r="F3331" s="0" t="n">
        <v>999</v>
      </c>
      <c r="G3331" s="0" t="n">
        <v>24.83</v>
      </c>
      <c r="H3331" s="0" t="n">
        <v>82.09999999999999</v>
      </c>
      <c r="I3331" s="0" t="n">
        <v>18.14</v>
      </c>
      <c r="J3331" s="0" t="n">
        <v>59.97</v>
      </c>
      <c r="K3331" s="0" t="n">
        <v>89</v>
      </c>
      <c r="T3331" s="0" t="n">
        <v>3</v>
      </c>
      <c r="U3331" s="0" t="n">
        <v>2</v>
      </c>
      <c r="V3331" s="0" t="inlineStr">
        <is>
          <t>계단식</t>
        </is>
      </c>
      <c r="W3331" s="0" t="inlineStr">
        <is>
          <t>82B</t>
        </is>
      </c>
      <c r="X3331" s="0" t="n">
        <v>40</v>
      </c>
      <c r="Y3331" s="0" t="n">
        <v>36</v>
      </c>
      <c r="Z3331" s="0" t="inlineStr">
        <is>
          <t>https://new.land.naver.com/complexes/141005?tab=detail&amp;rf=Y</t>
        </is>
      </c>
      <c r="AA3331" s="0" t="inlineStr">
        <is>
          <t>서울시 강동구 천호동 423-200번지 일원</t>
        </is>
      </c>
      <c r="AB3331" s="0" t="inlineStr">
        <is>
          <t>서울시</t>
        </is>
      </c>
      <c r="AC3331" s="0" t="inlineStr">
        <is>
          <t>강동구</t>
        </is>
      </c>
      <c r="AD3331" s="0" t="inlineStr">
        <is>
          <t>천호동</t>
        </is>
      </c>
      <c r="AG3331" s="0" t="inlineStr">
        <is>
          <t>서울시 강동구</t>
        </is>
      </c>
      <c r="AH3331" s="0" t="n">
        <v>117</v>
      </c>
      <c r="AI3331" s="0" t="n">
        <v>516</v>
      </c>
      <c r="AJ3331" s="0" t="n">
        <v>46</v>
      </c>
      <c r="AK3331" s="0" t="n">
        <v>1202</v>
      </c>
      <c r="AL3331" s="0" t="n">
        <v>1.2</v>
      </c>
    </row>
    <row r="3332">
      <c r="A3332" s="0" t="inlineStr">
        <is>
          <t>[천호동]</t>
        </is>
      </c>
      <c r="B3332" s="0" t="n">
        <v>141005</v>
      </c>
      <c r="C3332" s="0" t="n">
        <v>6</v>
      </c>
      <c r="D3332" s="0" t="inlineStr">
        <is>
          <t>강동밀레니얼중흥S-클래스(주)</t>
        </is>
      </c>
      <c r="E3332" s="0" t="inlineStr">
        <is>
          <t>2024.09.</t>
        </is>
      </c>
      <c r="F3332" s="0" t="n">
        <v>999</v>
      </c>
      <c r="G3332" s="0" t="n">
        <v>34.4</v>
      </c>
      <c r="H3332" s="0" t="n">
        <v>113.74</v>
      </c>
      <c r="I3332" s="0" t="n">
        <v>25.46</v>
      </c>
      <c r="J3332" s="0" t="n">
        <v>84.19</v>
      </c>
      <c r="K3332" s="0" t="n">
        <v>132</v>
      </c>
      <c r="T3332" s="0" t="n">
        <v>3</v>
      </c>
      <c r="U3332" s="0" t="n">
        <v>2</v>
      </c>
      <c r="V3332" s="0" t="inlineStr">
        <is>
          <t>계단식</t>
        </is>
      </c>
      <c r="W3332" s="0" t="inlineStr">
        <is>
          <t>113A2</t>
        </is>
      </c>
      <c r="X3332" s="0" t="n">
        <v>40</v>
      </c>
      <c r="Y3332" s="0" t="n">
        <v>36</v>
      </c>
      <c r="Z3332" s="0" t="inlineStr">
        <is>
          <t>https://new.land.naver.com/complexes/141005?tab=detail&amp;rf=Y</t>
        </is>
      </c>
      <c r="AA3332" s="0" t="inlineStr">
        <is>
          <t>서울시 강동구 천호동 423-200번지 일원</t>
        </is>
      </c>
      <c r="AB3332" s="0" t="inlineStr">
        <is>
          <t>서울시</t>
        </is>
      </c>
      <c r="AC3332" s="0" t="inlineStr">
        <is>
          <t>강동구</t>
        </is>
      </c>
      <c r="AD3332" s="0" t="inlineStr">
        <is>
          <t>천호동</t>
        </is>
      </c>
      <c r="AG3332" s="0" t="inlineStr">
        <is>
          <t>서울시 강동구</t>
        </is>
      </c>
      <c r="AH3332" s="0" t="n">
        <v>117</v>
      </c>
      <c r="AI3332" s="0" t="n">
        <v>516</v>
      </c>
      <c r="AJ3332" s="0" t="n">
        <v>46</v>
      </c>
      <c r="AK3332" s="0" t="n">
        <v>1202</v>
      </c>
      <c r="AL3332" s="0" t="n">
        <v>1.2</v>
      </c>
    </row>
    <row r="3333">
      <c r="A3333" s="0" t="inlineStr">
        <is>
          <t>[천호동]</t>
        </is>
      </c>
      <c r="B3333" s="0" t="n">
        <v>141005</v>
      </c>
      <c r="C3333" s="0" t="n">
        <v>7</v>
      </c>
      <c r="D3333" s="0" t="inlineStr">
        <is>
          <t>강동밀레니얼중흥S-클래스(주)</t>
        </is>
      </c>
      <c r="E3333" s="0" t="inlineStr">
        <is>
          <t>2024.09.</t>
        </is>
      </c>
      <c r="F3333" s="0" t="n">
        <v>999</v>
      </c>
      <c r="G3333" s="0" t="n">
        <v>34.4</v>
      </c>
      <c r="H3333" s="0" t="n">
        <v>113.74</v>
      </c>
      <c r="I3333" s="0" t="n">
        <v>25.46</v>
      </c>
      <c r="J3333" s="0" t="n">
        <v>84.19</v>
      </c>
      <c r="K3333" s="0" t="n">
        <v>49</v>
      </c>
      <c r="T3333" s="0" t="n">
        <v>3</v>
      </c>
      <c r="U3333" s="0" t="n">
        <v>2</v>
      </c>
      <c r="V3333" s="0" t="inlineStr">
        <is>
          <t>계단식</t>
        </is>
      </c>
      <c r="W3333" s="0" t="inlineStr">
        <is>
          <t>113A1</t>
        </is>
      </c>
      <c r="X3333" s="0" t="n">
        <v>40</v>
      </c>
      <c r="Y3333" s="0" t="n">
        <v>36</v>
      </c>
      <c r="Z3333" s="0" t="inlineStr">
        <is>
          <t>https://new.land.naver.com/complexes/141005?tab=detail&amp;rf=Y</t>
        </is>
      </c>
      <c r="AA3333" s="0" t="inlineStr">
        <is>
          <t>서울시 강동구 천호동 423-200번지 일원</t>
        </is>
      </c>
      <c r="AB3333" s="0" t="inlineStr">
        <is>
          <t>서울시</t>
        </is>
      </c>
      <c r="AC3333" s="0" t="inlineStr">
        <is>
          <t>강동구</t>
        </is>
      </c>
      <c r="AD3333" s="0" t="inlineStr">
        <is>
          <t>천호동</t>
        </is>
      </c>
      <c r="AG3333" s="0" t="inlineStr">
        <is>
          <t>서울시 강동구</t>
        </is>
      </c>
      <c r="AH3333" s="0" t="n">
        <v>117</v>
      </c>
      <c r="AI3333" s="0" t="n">
        <v>516</v>
      </c>
      <c r="AJ3333" s="0" t="n">
        <v>46</v>
      </c>
      <c r="AK3333" s="0" t="n">
        <v>1202</v>
      </c>
      <c r="AL3333" s="0" t="n">
        <v>1.2</v>
      </c>
    </row>
    <row r="3334">
      <c r="A3334" s="0" t="inlineStr">
        <is>
          <t>[천호동]</t>
        </is>
      </c>
      <c r="B3334" s="0" t="n">
        <v>141005</v>
      </c>
      <c r="C3334" s="0" t="n">
        <v>8</v>
      </c>
      <c r="D3334" s="0" t="inlineStr">
        <is>
          <t>강동밀레니얼중흥S-클래스(주)</t>
        </is>
      </c>
      <c r="E3334" s="0" t="inlineStr">
        <is>
          <t>2024.09.</t>
        </is>
      </c>
      <c r="F3334" s="0" t="n">
        <v>999</v>
      </c>
      <c r="G3334" s="0" t="n">
        <v>34.83</v>
      </c>
      <c r="H3334" s="0" t="n">
        <v>115.16</v>
      </c>
      <c r="I3334" s="0" t="n">
        <v>25.49</v>
      </c>
      <c r="J3334" s="0" t="n">
        <v>84.27</v>
      </c>
      <c r="K3334" s="0" t="n">
        <v>79</v>
      </c>
      <c r="T3334" s="0" t="n">
        <v>3</v>
      </c>
      <c r="U3334" s="0" t="n">
        <v>2</v>
      </c>
      <c r="V3334" s="0" t="inlineStr">
        <is>
          <t>계단식</t>
        </is>
      </c>
      <c r="W3334" s="0" t="inlineStr">
        <is>
          <t>115B</t>
        </is>
      </c>
      <c r="X3334" s="0" t="n">
        <v>40</v>
      </c>
      <c r="Y3334" s="0" t="n">
        <v>36</v>
      </c>
      <c r="Z3334" s="0" t="inlineStr">
        <is>
          <t>https://new.land.naver.com/complexes/141005?tab=detail&amp;rf=Y</t>
        </is>
      </c>
      <c r="AA3334" s="0" t="inlineStr">
        <is>
          <t>서울시 강동구 천호동 423-200번지 일원</t>
        </is>
      </c>
      <c r="AB3334" s="0" t="inlineStr">
        <is>
          <t>서울시</t>
        </is>
      </c>
      <c r="AC3334" s="0" t="inlineStr">
        <is>
          <t>강동구</t>
        </is>
      </c>
      <c r="AD3334" s="0" t="inlineStr">
        <is>
          <t>천호동</t>
        </is>
      </c>
      <c r="AG3334" s="0" t="inlineStr">
        <is>
          <t>서울시 강동구</t>
        </is>
      </c>
      <c r="AH3334" s="0" t="n">
        <v>117</v>
      </c>
      <c r="AI3334" s="0" t="n">
        <v>516</v>
      </c>
      <c r="AJ3334" s="0" t="n">
        <v>46</v>
      </c>
      <c r="AK3334" s="0" t="n">
        <v>1202</v>
      </c>
      <c r="AL3334" s="0" t="n">
        <v>1.2</v>
      </c>
    </row>
    <row r="3335">
      <c r="A3335" s="0" t="inlineStr">
        <is>
          <t>[천호동]</t>
        </is>
      </c>
      <c r="B3335" s="0" t="n">
        <v>141005</v>
      </c>
      <c r="C3335" s="0" t="n">
        <v>9</v>
      </c>
      <c r="D3335" s="0" t="inlineStr">
        <is>
          <t>강동밀레니얼중흥S-클래스(주)</t>
        </is>
      </c>
      <c r="E3335" s="0" t="inlineStr">
        <is>
          <t>2024.09.</t>
        </is>
      </c>
      <c r="F3335" s="0" t="n">
        <v>999</v>
      </c>
      <c r="G3335" s="0" t="n">
        <v>40.75</v>
      </c>
      <c r="H3335" s="0" t="n">
        <v>134.73</v>
      </c>
      <c r="I3335" s="0" t="n">
        <v>29.79</v>
      </c>
      <c r="J3335" s="0" t="n">
        <v>98.48999999999999</v>
      </c>
      <c r="K3335" s="0" t="n">
        <v>36</v>
      </c>
      <c r="T3335" s="0" t="n">
        <v>3</v>
      </c>
      <c r="U3335" s="0" t="n">
        <v>2</v>
      </c>
      <c r="V3335" s="0" t="inlineStr">
        <is>
          <t>계단식</t>
        </is>
      </c>
      <c r="W3335" s="0" t="n">
        <v>134</v>
      </c>
      <c r="X3335" s="0" t="n">
        <v>40</v>
      </c>
      <c r="Y3335" s="0" t="n">
        <v>36</v>
      </c>
      <c r="Z3335" s="0" t="inlineStr">
        <is>
          <t>https://new.land.naver.com/complexes/141005?tab=detail&amp;rf=Y</t>
        </is>
      </c>
      <c r="AA3335" s="0" t="inlineStr">
        <is>
          <t>서울시 강동구 천호동 423-200번지 일원</t>
        </is>
      </c>
      <c r="AB3335" s="0" t="inlineStr">
        <is>
          <t>서울시</t>
        </is>
      </c>
      <c r="AC3335" s="0" t="inlineStr">
        <is>
          <t>강동구</t>
        </is>
      </c>
      <c r="AD3335" s="0" t="inlineStr">
        <is>
          <t>천호동</t>
        </is>
      </c>
      <c r="AG3335" s="0" t="inlineStr">
        <is>
          <t>서울시 강동구</t>
        </is>
      </c>
      <c r="AH3335" s="0" t="n">
        <v>117</v>
      </c>
      <c r="AI3335" s="0" t="n">
        <v>516</v>
      </c>
      <c r="AJ3335" s="0" t="n">
        <v>46</v>
      </c>
      <c r="AK3335" s="0" t="n">
        <v>1202</v>
      </c>
      <c r="AL3335" s="0" t="n">
        <v>1.2</v>
      </c>
    </row>
    <row r="3336">
      <c r="A3336" s="0" t="inlineStr">
        <is>
          <t>[천호동]</t>
        </is>
      </c>
      <c r="B3336" s="0" t="n">
        <v>141005</v>
      </c>
      <c r="C3336" s="0" t="n">
        <v>10</v>
      </c>
      <c r="D3336" s="0" t="inlineStr">
        <is>
          <t>강동밀레니얼중흥S-클래스(주)</t>
        </is>
      </c>
      <c r="E3336" s="0" t="inlineStr">
        <is>
          <t>2024.09.</t>
        </is>
      </c>
      <c r="F3336" s="0" t="n">
        <v>999</v>
      </c>
      <c r="G3336" s="0" t="n">
        <v>41.95</v>
      </c>
      <c r="H3336" s="0" t="n">
        <v>138.7</v>
      </c>
      <c r="I3336" s="0" t="n">
        <v>31.13</v>
      </c>
      <c r="J3336" s="0" t="n">
        <v>102.94</v>
      </c>
      <c r="K3336" s="0" t="n">
        <v>63</v>
      </c>
      <c r="T3336" s="0" t="n">
        <v>4</v>
      </c>
      <c r="U3336" s="0" t="n">
        <v>2</v>
      </c>
      <c r="V3336" s="0" t="inlineStr">
        <is>
          <t>계단식</t>
        </is>
      </c>
      <c r="W3336" s="0" t="n">
        <v>138</v>
      </c>
      <c r="X3336" s="0" t="n">
        <v>40</v>
      </c>
      <c r="Y3336" s="0" t="n">
        <v>36</v>
      </c>
      <c r="Z3336" s="0" t="inlineStr">
        <is>
          <t>https://new.land.naver.com/complexes/141005?tab=detail&amp;rf=Y</t>
        </is>
      </c>
      <c r="AA3336" s="0" t="inlineStr">
        <is>
          <t>서울시 강동구 천호동 423-200번지 일원</t>
        </is>
      </c>
      <c r="AB3336" s="0" t="inlineStr">
        <is>
          <t>서울시</t>
        </is>
      </c>
      <c r="AC3336" s="0" t="inlineStr">
        <is>
          <t>강동구</t>
        </is>
      </c>
      <c r="AD3336" s="0" t="inlineStr">
        <is>
          <t>천호동</t>
        </is>
      </c>
      <c r="AG3336" s="0" t="inlineStr">
        <is>
          <t>서울시 강동구</t>
        </is>
      </c>
      <c r="AH3336" s="0" t="n">
        <v>117</v>
      </c>
      <c r="AI3336" s="0" t="n">
        <v>516</v>
      </c>
      <c r="AJ3336" s="0" t="n">
        <v>46</v>
      </c>
      <c r="AK3336" s="0" t="n">
        <v>1202</v>
      </c>
      <c r="AL3336" s="0" t="n">
        <v>1.2</v>
      </c>
    </row>
    <row r="3337">
      <c r="A3337" s="0" t="inlineStr">
        <is>
          <t>[천호동]</t>
        </is>
      </c>
      <c r="B3337" s="0" t="n">
        <v>141005</v>
      </c>
      <c r="C3337" s="0" t="n">
        <v>11</v>
      </c>
      <c r="D3337" s="0" t="inlineStr">
        <is>
          <t>강동밀레니얼중흥S-클래스(주)</t>
        </is>
      </c>
      <c r="E3337" s="0" t="inlineStr">
        <is>
          <t>2024.09.</t>
        </is>
      </c>
      <c r="F3337" s="0" t="n">
        <v>999</v>
      </c>
      <c r="G3337" s="0" t="n">
        <v>46.45</v>
      </c>
      <c r="H3337" s="0" t="n">
        <v>153.57</v>
      </c>
      <c r="I3337" s="0" t="n">
        <v>34.73</v>
      </c>
      <c r="J3337" s="0" t="n">
        <v>114.81</v>
      </c>
      <c r="K3337" s="0" t="n">
        <v>26</v>
      </c>
      <c r="T3337" s="0" t="n">
        <v>3</v>
      </c>
      <c r="U3337" s="0" t="n">
        <v>3</v>
      </c>
      <c r="V3337" s="0" t="inlineStr">
        <is>
          <t>계단식</t>
        </is>
      </c>
      <c r="W3337" s="0" t="n">
        <v>153</v>
      </c>
      <c r="X3337" s="0" t="n">
        <v>40</v>
      </c>
      <c r="Y3337" s="0" t="n">
        <v>36</v>
      </c>
      <c r="Z3337" s="0" t="inlineStr">
        <is>
          <t>https://new.land.naver.com/complexes/141005?tab=detail&amp;rf=Y</t>
        </is>
      </c>
      <c r="AA3337" s="0" t="inlineStr">
        <is>
          <t>서울시 강동구 천호동 423-200번지 일원</t>
        </is>
      </c>
      <c r="AB3337" s="0" t="inlineStr">
        <is>
          <t>서울시</t>
        </is>
      </c>
      <c r="AC3337" s="0" t="inlineStr">
        <is>
          <t>강동구</t>
        </is>
      </c>
      <c r="AD3337" s="0" t="inlineStr">
        <is>
          <t>천호동</t>
        </is>
      </c>
      <c r="AG3337" s="0" t="inlineStr">
        <is>
          <t>서울시 강동구</t>
        </is>
      </c>
      <c r="AH3337" s="0" t="n">
        <v>117</v>
      </c>
      <c r="AI3337" s="0" t="n">
        <v>516</v>
      </c>
      <c r="AJ3337" s="0" t="n">
        <v>46</v>
      </c>
      <c r="AK3337" s="0" t="n">
        <v>1202</v>
      </c>
      <c r="AL3337" s="0" t="n">
        <v>1.2</v>
      </c>
    </row>
    <row r="3338">
      <c r="A3338" s="0" t="inlineStr">
        <is>
          <t>[천호동]</t>
        </is>
      </c>
      <c r="B3338" s="0" t="n">
        <v>141005</v>
      </c>
      <c r="C3338" s="0" t="n">
        <v>12</v>
      </c>
      <c r="D3338" s="0" t="inlineStr">
        <is>
          <t>강동밀레니얼중흥S-클래스(주)</t>
        </is>
      </c>
      <c r="E3338" s="0" t="inlineStr">
        <is>
          <t>2024.09.</t>
        </is>
      </c>
      <c r="F3338" s="0" t="n">
        <v>999</v>
      </c>
      <c r="G3338" s="0" t="n">
        <v>56.18</v>
      </c>
      <c r="H3338" s="0" t="n">
        <v>185.74</v>
      </c>
      <c r="I3338" s="0" t="n">
        <v>41.39</v>
      </c>
      <c r="J3338" s="0" t="n">
        <v>136.85</v>
      </c>
      <c r="K3338" s="0" t="n">
        <v>1</v>
      </c>
      <c r="T3338" s="0" t="n">
        <v>3</v>
      </c>
      <c r="U3338" s="0" t="n">
        <v>3</v>
      </c>
      <c r="V3338" s="0" t="inlineStr">
        <is>
          <t>계단식</t>
        </is>
      </c>
      <c r="W3338" s="0" t="inlineStr">
        <is>
          <t>185P</t>
        </is>
      </c>
      <c r="X3338" s="0" t="n">
        <v>40</v>
      </c>
      <c r="Y3338" s="0" t="n">
        <v>36</v>
      </c>
      <c r="Z3338" s="0" t="inlineStr">
        <is>
          <t>https://new.land.naver.com/complexes/141005?tab=detail&amp;rf=Y</t>
        </is>
      </c>
      <c r="AA3338" s="0" t="inlineStr">
        <is>
          <t>서울시 강동구 천호동 423-200번지 일원</t>
        </is>
      </c>
      <c r="AB3338" s="0" t="inlineStr">
        <is>
          <t>서울시</t>
        </is>
      </c>
      <c r="AC3338" s="0" t="inlineStr">
        <is>
          <t>강동구</t>
        </is>
      </c>
      <c r="AD3338" s="0" t="inlineStr">
        <is>
          <t>천호동</t>
        </is>
      </c>
      <c r="AG3338" s="0" t="inlineStr">
        <is>
          <t>서울시 강동구</t>
        </is>
      </c>
      <c r="AH3338" s="0" t="n">
        <v>117</v>
      </c>
      <c r="AI3338" s="0" t="n">
        <v>516</v>
      </c>
      <c r="AJ3338" s="0" t="n">
        <v>46</v>
      </c>
      <c r="AK3338" s="0" t="n">
        <v>1202</v>
      </c>
      <c r="AL3338" s="0" t="n">
        <v>1.2</v>
      </c>
    </row>
    <row r="3339">
      <c r="A3339" s="0" t="inlineStr">
        <is>
          <t>[천호동]</t>
        </is>
      </c>
      <c r="B3339" s="0" t="n">
        <v>125261</v>
      </c>
      <c r="C3339" s="0" t="n">
        <v>1</v>
      </c>
      <c r="D3339" s="0" t="inlineStr">
        <is>
          <t>천호미세움(도시형)</t>
        </is>
      </c>
      <c r="E3339" s="0" t="inlineStr">
        <is>
          <t>2015.12.</t>
        </is>
      </c>
      <c r="F3339" s="0" t="n">
        <v>13</v>
      </c>
      <c r="G3339" s="0" t="n">
        <v>6.79</v>
      </c>
      <c r="H3339" s="0" t="n">
        <v>22.45</v>
      </c>
      <c r="I3339" s="0" t="n">
        <v>5.47</v>
      </c>
      <c r="J3339" s="0" t="n">
        <v>18.11</v>
      </c>
      <c r="K3339" s="0" t="n">
        <v>1</v>
      </c>
      <c r="T3339" s="0" t="n">
        <v>1</v>
      </c>
      <c r="U3339" s="0" t="n">
        <v>1</v>
      </c>
      <c r="V3339" s="0" t="inlineStr">
        <is>
          <t>계단식</t>
        </is>
      </c>
      <c r="W3339" s="0" t="inlineStr">
        <is>
          <t>22A</t>
        </is>
      </c>
      <c r="X3339" s="0" t="n">
        <v>6</v>
      </c>
      <c r="Y3339" s="0" t="n">
        <v>4</v>
      </c>
      <c r="Z3339" s="0" t="inlineStr">
        <is>
          <t>https://new.land.naver.com/complexes/125261?tab=detail&amp;rf=Y</t>
        </is>
      </c>
      <c r="AA3339" s="0" t="inlineStr">
        <is>
          <t>서울시 강동구 천호동 18-7</t>
        </is>
      </c>
      <c r="AB3339" s="0" t="inlineStr">
        <is>
          <t>서울시</t>
        </is>
      </c>
      <c r="AC3339" s="0" t="inlineStr">
        <is>
          <t>강동구</t>
        </is>
      </c>
      <c r="AD3339" s="0" t="inlineStr">
        <is>
          <t>천호동</t>
        </is>
      </c>
      <c r="AG3339" s="0" t="inlineStr">
        <is>
          <t>서울시 강동구 구천면로62길 46</t>
        </is>
      </c>
      <c r="AH3339" s="0" t="n">
        <v>0</v>
      </c>
      <c r="AI3339" s="0" t="n">
        <v>189</v>
      </c>
      <c r="AJ3339" s="0" t="n">
        <v>59</v>
      </c>
      <c r="AK3339" s="0" t="n">
        <v>9</v>
      </c>
      <c r="AL3339" s="0" t="n">
        <v>0.6899999999999999</v>
      </c>
    </row>
    <row r="3340">
      <c r="A3340" s="0" t="inlineStr">
        <is>
          <t>[천호동]</t>
        </is>
      </c>
      <c r="B3340" s="0" t="n">
        <v>125261</v>
      </c>
      <c r="C3340" s="0" t="n">
        <v>2</v>
      </c>
      <c r="D3340" s="0" t="inlineStr">
        <is>
          <t>천호미세움(도시형)</t>
        </is>
      </c>
      <c r="E3340" s="0" t="inlineStr">
        <is>
          <t>2015.12.</t>
        </is>
      </c>
      <c r="F3340" s="0" t="n">
        <v>13</v>
      </c>
      <c r="G3340" s="0" t="n">
        <v>6.96</v>
      </c>
      <c r="H3340" s="0" t="n">
        <v>23.01</v>
      </c>
      <c r="I3340" s="0" t="n">
        <v>5.61</v>
      </c>
      <c r="J3340" s="0" t="n">
        <v>18.56</v>
      </c>
      <c r="K3340" s="0" t="n">
        <v>1</v>
      </c>
      <c r="T3340" s="0" t="n">
        <v>1</v>
      </c>
      <c r="U3340" s="0" t="n">
        <v>1</v>
      </c>
      <c r="V3340" s="0" t="inlineStr">
        <is>
          <t>계단식</t>
        </is>
      </c>
      <c r="W3340" s="0" t="inlineStr">
        <is>
          <t>23B</t>
        </is>
      </c>
      <c r="X3340" s="0" t="n">
        <v>6</v>
      </c>
      <c r="Y3340" s="0" t="n">
        <v>4</v>
      </c>
      <c r="Z3340" s="0" t="inlineStr">
        <is>
          <t>https://new.land.naver.com/complexes/125261?tab=detail&amp;rf=Y</t>
        </is>
      </c>
      <c r="AA3340" s="0" t="inlineStr">
        <is>
          <t>서울시 강동구 천호동 18-7</t>
        </is>
      </c>
      <c r="AB3340" s="0" t="inlineStr">
        <is>
          <t>서울시</t>
        </is>
      </c>
      <c r="AC3340" s="0" t="inlineStr">
        <is>
          <t>강동구</t>
        </is>
      </c>
      <c r="AD3340" s="0" t="inlineStr">
        <is>
          <t>천호동</t>
        </is>
      </c>
      <c r="AG3340" s="0" t="inlineStr">
        <is>
          <t>서울시 강동구 구천면로62길 46</t>
        </is>
      </c>
      <c r="AH3340" s="0" t="n">
        <v>0</v>
      </c>
      <c r="AI3340" s="0" t="n">
        <v>189</v>
      </c>
      <c r="AJ3340" s="0" t="n">
        <v>59</v>
      </c>
      <c r="AK3340" s="0" t="n">
        <v>9</v>
      </c>
      <c r="AL3340" s="0" t="n">
        <v>0.6899999999999999</v>
      </c>
    </row>
    <row r="3341">
      <c r="A3341" s="0" t="inlineStr">
        <is>
          <t>[천호동]</t>
        </is>
      </c>
      <c r="B3341" s="0" t="n">
        <v>125261</v>
      </c>
      <c r="C3341" s="0" t="n">
        <v>3</v>
      </c>
      <c r="D3341" s="0" t="inlineStr">
        <is>
          <t>천호미세움(도시형)</t>
        </is>
      </c>
      <c r="E3341" s="0" t="inlineStr">
        <is>
          <t>2015.12.</t>
        </is>
      </c>
      <c r="F3341" s="0" t="n">
        <v>13</v>
      </c>
      <c r="G3341" s="0" t="n">
        <v>7.06</v>
      </c>
      <c r="H3341" s="0" t="n">
        <v>23.37</v>
      </c>
      <c r="I3341" s="0" t="n">
        <v>5.7</v>
      </c>
      <c r="J3341" s="0" t="n">
        <v>18.86</v>
      </c>
      <c r="K3341" s="0" t="n">
        <v>1</v>
      </c>
      <c r="T3341" s="0" t="n">
        <v>1</v>
      </c>
      <c r="U3341" s="0" t="n">
        <v>1</v>
      </c>
      <c r="V3341" s="0" t="inlineStr">
        <is>
          <t>계단식</t>
        </is>
      </c>
      <c r="W3341" s="0" t="inlineStr">
        <is>
          <t>23C</t>
        </is>
      </c>
      <c r="X3341" s="0" t="n">
        <v>6</v>
      </c>
      <c r="Y3341" s="0" t="n">
        <v>4</v>
      </c>
      <c r="Z3341" s="0" t="inlineStr">
        <is>
          <t>https://new.land.naver.com/complexes/125261?tab=detail&amp;rf=Y</t>
        </is>
      </c>
      <c r="AA3341" s="0" t="inlineStr">
        <is>
          <t>서울시 강동구 천호동 18-7</t>
        </is>
      </c>
      <c r="AB3341" s="0" t="inlineStr">
        <is>
          <t>서울시</t>
        </is>
      </c>
      <c r="AC3341" s="0" t="inlineStr">
        <is>
          <t>강동구</t>
        </is>
      </c>
      <c r="AD3341" s="0" t="inlineStr">
        <is>
          <t>천호동</t>
        </is>
      </c>
      <c r="AG3341" s="0" t="inlineStr">
        <is>
          <t>서울시 강동구 구천면로62길 46</t>
        </is>
      </c>
      <c r="AH3341" s="0" t="n">
        <v>0</v>
      </c>
      <c r="AI3341" s="0" t="n">
        <v>189</v>
      </c>
      <c r="AJ3341" s="0" t="n">
        <v>59</v>
      </c>
      <c r="AK3341" s="0" t="n">
        <v>9</v>
      </c>
      <c r="AL3341" s="0" t="n">
        <v>0.6899999999999999</v>
      </c>
    </row>
    <row r="3342">
      <c r="A3342" s="0" t="inlineStr">
        <is>
          <t>[천호동]</t>
        </is>
      </c>
      <c r="B3342" s="0" t="n">
        <v>125261</v>
      </c>
      <c r="C3342" s="0" t="n">
        <v>4</v>
      </c>
      <c r="D3342" s="0" t="inlineStr">
        <is>
          <t>천호미세움(도시형)</t>
        </is>
      </c>
      <c r="E3342" s="0" t="inlineStr">
        <is>
          <t>2015.12.</t>
        </is>
      </c>
      <c r="F3342" s="0" t="n">
        <v>13</v>
      </c>
      <c r="G3342" s="0" t="n">
        <v>11.23</v>
      </c>
      <c r="H3342" s="0" t="n">
        <v>37.14</v>
      </c>
      <c r="I3342" s="0" t="n">
        <v>9.06</v>
      </c>
      <c r="J3342" s="0" t="n">
        <v>29.97</v>
      </c>
      <c r="K3342" s="0" t="n">
        <v>2</v>
      </c>
      <c r="T3342" s="0" t="n">
        <v>1</v>
      </c>
      <c r="U3342" s="0" t="n">
        <v>1</v>
      </c>
      <c r="V3342" s="0" t="inlineStr">
        <is>
          <t>계단식</t>
        </is>
      </c>
      <c r="W3342" s="0" t="n">
        <v>37</v>
      </c>
      <c r="X3342" s="0" t="n">
        <v>6</v>
      </c>
      <c r="Y3342" s="0" t="n">
        <v>4</v>
      </c>
      <c r="Z3342" s="0" t="inlineStr">
        <is>
          <t>https://new.land.naver.com/complexes/125261?tab=detail&amp;rf=Y</t>
        </is>
      </c>
      <c r="AA3342" s="0" t="inlineStr">
        <is>
          <t>서울시 강동구 천호동 18-7</t>
        </is>
      </c>
      <c r="AB3342" s="0" t="inlineStr">
        <is>
          <t>서울시</t>
        </is>
      </c>
      <c r="AC3342" s="0" t="inlineStr">
        <is>
          <t>강동구</t>
        </is>
      </c>
      <c r="AD3342" s="0" t="inlineStr">
        <is>
          <t>천호동</t>
        </is>
      </c>
      <c r="AG3342" s="0" t="inlineStr">
        <is>
          <t>서울시 강동구 구천면로62길 46</t>
        </is>
      </c>
      <c r="AH3342" s="0" t="n">
        <v>0</v>
      </c>
      <c r="AI3342" s="0" t="n">
        <v>189</v>
      </c>
      <c r="AJ3342" s="0" t="n">
        <v>59</v>
      </c>
      <c r="AK3342" s="0" t="n">
        <v>9</v>
      </c>
      <c r="AL3342" s="0" t="n">
        <v>0.6899999999999999</v>
      </c>
    </row>
    <row r="3343">
      <c r="A3343" s="0" t="inlineStr">
        <is>
          <t>[천호동]</t>
        </is>
      </c>
      <c r="B3343" s="0" t="n">
        <v>125261</v>
      </c>
      <c r="C3343" s="0" t="n">
        <v>5</v>
      </c>
      <c r="D3343" s="0" t="inlineStr">
        <is>
          <t>천호미세움(도시형)</t>
        </is>
      </c>
      <c r="E3343" s="0" t="inlineStr">
        <is>
          <t>2015.12.</t>
        </is>
      </c>
      <c r="F3343" s="0" t="n">
        <v>13</v>
      </c>
      <c r="G3343" s="0" t="n">
        <v>13.64</v>
      </c>
      <c r="H3343" s="0" t="n">
        <v>45.11</v>
      </c>
      <c r="I3343" s="0" t="n">
        <v>11.01</v>
      </c>
      <c r="J3343" s="0" t="n">
        <v>36.4</v>
      </c>
      <c r="K3343" s="0" t="n">
        <v>1</v>
      </c>
      <c r="T3343" s="0" t="n">
        <v>1</v>
      </c>
      <c r="U3343" s="0" t="n">
        <v>1</v>
      </c>
      <c r="V3343" s="0" t="inlineStr">
        <is>
          <t>계단식</t>
        </is>
      </c>
      <c r="W3343" s="0" t="inlineStr">
        <is>
          <t>45A</t>
        </is>
      </c>
      <c r="X3343" s="0" t="n">
        <v>6</v>
      </c>
      <c r="Y3343" s="0" t="n">
        <v>4</v>
      </c>
      <c r="Z3343" s="0" t="inlineStr">
        <is>
          <t>https://new.land.naver.com/complexes/125261?tab=detail&amp;rf=Y</t>
        </is>
      </c>
      <c r="AA3343" s="0" t="inlineStr">
        <is>
          <t>서울시 강동구 천호동 18-7</t>
        </is>
      </c>
      <c r="AB3343" s="0" t="inlineStr">
        <is>
          <t>서울시</t>
        </is>
      </c>
      <c r="AC3343" s="0" t="inlineStr">
        <is>
          <t>강동구</t>
        </is>
      </c>
      <c r="AD3343" s="0" t="inlineStr">
        <is>
          <t>천호동</t>
        </is>
      </c>
      <c r="AG3343" s="0" t="inlineStr">
        <is>
          <t>서울시 강동구 구천면로62길 46</t>
        </is>
      </c>
      <c r="AH3343" s="0" t="n">
        <v>0</v>
      </c>
      <c r="AI3343" s="0" t="n">
        <v>189</v>
      </c>
      <c r="AJ3343" s="0" t="n">
        <v>59</v>
      </c>
      <c r="AK3343" s="0" t="n">
        <v>9</v>
      </c>
      <c r="AL3343" s="0" t="n">
        <v>0.6899999999999999</v>
      </c>
    </row>
    <row r="3344">
      <c r="A3344" s="0" t="inlineStr">
        <is>
          <t>[천호동]</t>
        </is>
      </c>
      <c r="B3344" s="0" t="n">
        <v>125261</v>
      </c>
      <c r="C3344" s="0" t="n">
        <v>6</v>
      </c>
      <c r="D3344" s="0" t="inlineStr">
        <is>
          <t>천호미세움(도시형)</t>
        </is>
      </c>
      <c r="E3344" s="0" t="inlineStr">
        <is>
          <t>2015.12.</t>
        </is>
      </c>
      <c r="F3344" s="0" t="n">
        <v>13</v>
      </c>
      <c r="G3344" s="0" t="n">
        <v>14.42</v>
      </c>
      <c r="H3344" s="0" t="n">
        <v>47.68</v>
      </c>
      <c r="I3344" s="0" t="n">
        <v>11.64</v>
      </c>
      <c r="J3344" s="0" t="n">
        <v>38.48</v>
      </c>
      <c r="K3344" s="0" t="n">
        <v>2</v>
      </c>
      <c r="T3344" s="0" t="n">
        <v>1</v>
      </c>
      <c r="U3344" s="0" t="n">
        <v>1</v>
      </c>
      <c r="V3344" s="0" t="inlineStr">
        <is>
          <t>계단식</t>
        </is>
      </c>
      <c r="W3344" s="0" t="inlineStr">
        <is>
          <t>47B</t>
        </is>
      </c>
      <c r="X3344" s="0" t="n">
        <v>6</v>
      </c>
      <c r="Y3344" s="0" t="n">
        <v>4</v>
      </c>
      <c r="Z3344" s="0" t="inlineStr">
        <is>
          <t>https://new.land.naver.com/complexes/125261?tab=detail&amp;rf=Y</t>
        </is>
      </c>
      <c r="AA3344" s="0" t="inlineStr">
        <is>
          <t>서울시 강동구 천호동 18-7</t>
        </is>
      </c>
      <c r="AB3344" s="0" t="inlineStr">
        <is>
          <t>서울시</t>
        </is>
      </c>
      <c r="AC3344" s="0" t="inlineStr">
        <is>
          <t>강동구</t>
        </is>
      </c>
      <c r="AD3344" s="0" t="inlineStr">
        <is>
          <t>천호동</t>
        </is>
      </c>
      <c r="AG3344" s="0" t="inlineStr">
        <is>
          <t>서울시 강동구 구천면로62길 46</t>
        </is>
      </c>
      <c r="AH3344" s="0" t="n">
        <v>0</v>
      </c>
      <c r="AI3344" s="0" t="n">
        <v>189</v>
      </c>
      <c r="AJ3344" s="0" t="n">
        <v>59</v>
      </c>
      <c r="AK3344" s="0" t="n">
        <v>9</v>
      </c>
      <c r="AL3344" s="0" t="n">
        <v>0.6899999999999999</v>
      </c>
    </row>
    <row r="3345">
      <c r="A3345" s="0" t="inlineStr">
        <is>
          <t>[천호동]</t>
        </is>
      </c>
      <c r="B3345" s="0" t="n">
        <v>125261</v>
      </c>
      <c r="C3345" s="0" t="n">
        <v>7</v>
      </c>
      <c r="D3345" s="0" t="inlineStr">
        <is>
          <t>천호미세움(도시형)</t>
        </is>
      </c>
      <c r="E3345" s="0" t="inlineStr">
        <is>
          <t>2015.12.</t>
        </is>
      </c>
      <c r="F3345" s="0" t="n">
        <v>13</v>
      </c>
      <c r="G3345" s="0" t="n">
        <v>19.51</v>
      </c>
      <c r="H3345" s="0" t="n">
        <v>64.5</v>
      </c>
      <c r="I3345" s="0" t="n">
        <v>15.74</v>
      </c>
      <c r="J3345" s="0" t="n">
        <v>52.04</v>
      </c>
      <c r="K3345" s="0" t="n">
        <v>1</v>
      </c>
      <c r="T3345" s="0" t="n">
        <v>1</v>
      </c>
      <c r="U3345" s="0" t="n">
        <v>1</v>
      </c>
      <c r="V3345" s="0" t="inlineStr">
        <is>
          <t>계단식</t>
        </is>
      </c>
      <c r="W3345" s="0" t="n">
        <v>64</v>
      </c>
      <c r="X3345" s="0" t="n">
        <v>6</v>
      </c>
      <c r="Y3345" s="0" t="n">
        <v>4</v>
      </c>
      <c r="Z3345" s="0" t="inlineStr">
        <is>
          <t>https://new.land.naver.com/complexes/125261?tab=detail&amp;rf=Y</t>
        </is>
      </c>
      <c r="AA3345" s="0" t="inlineStr">
        <is>
          <t>서울시 강동구 천호동 18-7</t>
        </is>
      </c>
      <c r="AB3345" s="0" t="inlineStr">
        <is>
          <t>서울시</t>
        </is>
      </c>
      <c r="AC3345" s="0" t="inlineStr">
        <is>
          <t>강동구</t>
        </is>
      </c>
      <c r="AD3345" s="0" t="inlineStr">
        <is>
          <t>천호동</t>
        </is>
      </c>
      <c r="AG3345" s="0" t="inlineStr">
        <is>
          <t>서울시 강동구 구천면로62길 46</t>
        </is>
      </c>
      <c r="AH3345" s="0" t="n">
        <v>0</v>
      </c>
      <c r="AI3345" s="0" t="n">
        <v>189</v>
      </c>
      <c r="AJ3345" s="0" t="n">
        <v>59</v>
      </c>
      <c r="AK3345" s="0" t="n">
        <v>9</v>
      </c>
      <c r="AL3345" s="0" t="n">
        <v>0.6899999999999999</v>
      </c>
    </row>
    <row r="3346">
      <c r="A3346" s="0" t="inlineStr">
        <is>
          <t>[천호동]</t>
        </is>
      </c>
      <c r="B3346" s="0" t="n">
        <v>125261</v>
      </c>
      <c r="C3346" s="0" t="n">
        <v>8</v>
      </c>
      <c r="D3346" s="0" t="inlineStr">
        <is>
          <t>천호미세움(도시형)</t>
        </is>
      </c>
      <c r="E3346" s="0" t="inlineStr">
        <is>
          <t>2015.12.</t>
        </is>
      </c>
      <c r="F3346" s="0" t="n">
        <v>13</v>
      </c>
      <c r="G3346" s="0" t="n">
        <v>21.09</v>
      </c>
      <c r="H3346" s="0" t="n">
        <v>69.75</v>
      </c>
      <c r="I3346" s="0" t="n">
        <v>17.02</v>
      </c>
      <c r="J3346" s="0" t="n">
        <v>56.29</v>
      </c>
      <c r="K3346" s="0" t="n">
        <v>1</v>
      </c>
      <c r="T3346" s="0" t="n">
        <v>1</v>
      </c>
      <c r="U3346" s="0" t="n">
        <v>1</v>
      </c>
      <c r="V3346" s="0" t="inlineStr">
        <is>
          <t>계단식</t>
        </is>
      </c>
      <c r="W3346" s="0" t="inlineStr">
        <is>
          <t>69A</t>
        </is>
      </c>
      <c r="X3346" s="0" t="n">
        <v>6</v>
      </c>
      <c r="Y3346" s="0" t="n">
        <v>4</v>
      </c>
      <c r="Z3346" s="0" t="inlineStr">
        <is>
          <t>https://new.land.naver.com/complexes/125261?tab=detail&amp;rf=Y</t>
        </is>
      </c>
      <c r="AA3346" s="0" t="inlineStr">
        <is>
          <t>서울시 강동구 천호동 18-7</t>
        </is>
      </c>
      <c r="AB3346" s="0" t="inlineStr">
        <is>
          <t>서울시</t>
        </is>
      </c>
      <c r="AC3346" s="0" t="inlineStr">
        <is>
          <t>강동구</t>
        </is>
      </c>
      <c r="AD3346" s="0" t="inlineStr">
        <is>
          <t>천호동</t>
        </is>
      </c>
      <c r="AG3346" s="0" t="inlineStr">
        <is>
          <t>서울시 강동구 구천면로62길 46</t>
        </is>
      </c>
      <c r="AH3346" s="0" t="n">
        <v>0</v>
      </c>
      <c r="AI3346" s="0" t="n">
        <v>189</v>
      </c>
      <c r="AJ3346" s="0" t="n">
        <v>59</v>
      </c>
      <c r="AK3346" s="0" t="n">
        <v>9</v>
      </c>
      <c r="AL3346" s="0" t="n">
        <v>0.6899999999999999</v>
      </c>
    </row>
    <row r="3347">
      <c r="A3347" s="0" t="inlineStr">
        <is>
          <t>[천호동]</t>
        </is>
      </c>
      <c r="B3347" s="0" t="n">
        <v>125261</v>
      </c>
      <c r="C3347" s="0" t="n">
        <v>9</v>
      </c>
      <c r="D3347" s="0" t="inlineStr">
        <is>
          <t>천호미세움(도시형)</t>
        </is>
      </c>
      <c r="E3347" s="0" t="inlineStr">
        <is>
          <t>2015.12.</t>
        </is>
      </c>
      <c r="F3347" s="0" t="n">
        <v>13</v>
      </c>
      <c r="G3347" s="0" t="n">
        <v>21.23</v>
      </c>
      <c r="H3347" s="0" t="n">
        <v>70.2</v>
      </c>
      <c r="I3347" s="0" t="n">
        <v>17.13</v>
      </c>
      <c r="J3347" s="0" t="n">
        <v>56.64</v>
      </c>
      <c r="K3347" s="0" t="n">
        <v>1</v>
      </c>
      <c r="T3347" s="0" t="n">
        <v>1</v>
      </c>
      <c r="U3347" s="0" t="n">
        <v>1</v>
      </c>
      <c r="V3347" s="0" t="inlineStr">
        <is>
          <t>계단식</t>
        </is>
      </c>
      <c r="W3347" s="0" t="inlineStr">
        <is>
          <t>70B</t>
        </is>
      </c>
      <c r="X3347" s="0" t="n">
        <v>6</v>
      </c>
      <c r="Y3347" s="0" t="n">
        <v>4</v>
      </c>
      <c r="Z3347" s="0" t="inlineStr">
        <is>
          <t>https://new.land.naver.com/complexes/125261?tab=detail&amp;rf=Y</t>
        </is>
      </c>
      <c r="AA3347" s="0" t="inlineStr">
        <is>
          <t>서울시 강동구 천호동 18-7</t>
        </is>
      </c>
      <c r="AB3347" s="0" t="inlineStr">
        <is>
          <t>서울시</t>
        </is>
      </c>
      <c r="AC3347" s="0" t="inlineStr">
        <is>
          <t>강동구</t>
        </is>
      </c>
      <c r="AD3347" s="0" t="inlineStr">
        <is>
          <t>천호동</t>
        </is>
      </c>
      <c r="AG3347" s="0" t="inlineStr">
        <is>
          <t>서울시 강동구 구천면로62길 46</t>
        </is>
      </c>
      <c r="AH3347" s="0" t="n">
        <v>0</v>
      </c>
      <c r="AI3347" s="0" t="n">
        <v>189</v>
      </c>
      <c r="AJ3347" s="0" t="n">
        <v>59</v>
      </c>
      <c r="AK3347" s="0" t="n">
        <v>9</v>
      </c>
      <c r="AL3347" s="0" t="n">
        <v>0.6899999999999999</v>
      </c>
    </row>
    <row r="3348">
      <c r="A3348" s="0" t="inlineStr">
        <is>
          <t>[천호동]</t>
        </is>
      </c>
      <c r="B3348" s="0" t="n">
        <v>125261</v>
      </c>
      <c r="C3348" s="0" t="n">
        <v>10</v>
      </c>
      <c r="D3348" s="0" t="inlineStr">
        <is>
          <t>천호미세움(도시형)</t>
        </is>
      </c>
      <c r="E3348" s="0" t="inlineStr">
        <is>
          <t>2015.12.</t>
        </is>
      </c>
      <c r="F3348" s="0" t="n">
        <v>13</v>
      </c>
      <c r="G3348" s="0" t="n">
        <v>22.09</v>
      </c>
      <c r="H3348" s="0" t="n">
        <v>73.04000000000001</v>
      </c>
      <c r="I3348" s="0" t="n">
        <v>17.82</v>
      </c>
      <c r="J3348" s="0" t="n">
        <v>58.94</v>
      </c>
      <c r="K3348" s="0" t="n">
        <v>2</v>
      </c>
      <c r="T3348" s="0" t="n">
        <v>1</v>
      </c>
      <c r="U3348" s="0" t="n">
        <v>1</v>
      </c>
      <c r="V3348" s="0" t="inlineStr">
        <is>
          <t>계단식</t>
        </is>
      </c>
      <c r="W3348" s="0" t="n">
        <v>73</v>
      </c>
      <c r="X3348" s="0" t="n">
        <v>6</v>
      </c>
      <c r="Y3348" s="0" t="n">
        <v>4</v>
      </c>
      <c r="Z3348" s="0" t="inlineStr">
        <is>
          <t>https://new.land.naver.com/complexes/125261?tab=detail&amp;rf=Y</t>
        </is>
      </c>
      <c r="AA3348" s="0" t="inlineStr">
        <is>
          <t>서울시 강동구 천호동 18-7</t>
        </is>
      </c>
      <c r="AB3348" s="0" t="inlineStr">
        <is>
          <t>서울시</t>
        </is>
      </c>
      <c r="AC3348" s="0" t="inlineStr">
        <is>
          <t>강동구</t>
        </is>
      </c>
      <c r="AD3348" s="0" t="inlineStr">
        <is>
          <t>천호동</t>
        </is>
      </c>
      <c r="AG3348" s="0" t="inlineStr">
        <is>
          <t>서울시 강동구 구천면로62길 46</t>
        </is>
      </c>
      <c r="AH3348" s="0" t="n">
        <v>0</v>
      </c>
      <c r="AI3348" s="0" t="n">
        <v>189</v>
      </c>
      <c r="AJ3348" s="0" t="n">
        <v>59</v>
      </c>
      <c r="AK3348" s="0" t="n">
        <v>9</v>
      </c>
      <c r="AL3348" s="0" t="n">
        <v>0.6899999999999999</v>
      </c>
    </row>
    <row r="3349">
      <c r="A3349" s="0" t="inlineStr">
        <is>
          <t>[천호동]</t>
        </is>
      </c>
      <c r="B3349" s="0" t="n">
        <v>120164</v>
      </c>
      <c r="C3349" s="0" t="n">
        <v>1</v>
      </c>
      <c r="D3349" s="0" t="inlineStr">
        <is>
          <t>다성이즈빌(167-17)</t>
        </is>
      </c>
      <c r="E3349" s="0" t="inlineStr">
        <is>
          <t>2018.03.</t>
        </is>
      </c>
      <c r="F3349" s="0" t="n">
        <v>20</v>
      </c>
      <c r="G3349" s="0" t="n">
        <v>7.33</v>
      </c>
      <c r="H3349" s="0" t="n">
        <v>24.26</v>
      </c>
      <c r="I3349" s="0" t="n">
        <v>5.77</v>
      </c>
      <c r="J3349" s="0" t="n">
        <v>19.09</v>
      </c>
      <c r="K3349" s="0" t="n">
        <v>5</v>
      </c>
      <c r="T3349" s="0" t="n">
        <v>1</v>
      </c>
      <c r="U3349" s="0" t="n">
        <v>1</v>
      </c>
      <c r="V3349" s="0" t="inlineStr">
        <is>
          <t>계단식</t>
        </is>
      </c>
      <c r="W3349" s="0" t="n">
        <v>24</v>
      </c>
      <c r="X3349" s="0" t="n">
        <v>13</v>
      </c>
      <c r="Y3349" s="0" t="n">
        <v>13</v>
      </c>
      <c r="Z3349" s="0" t="inlineStr">
        <is>
          <t>https://new.land.naver.com/complexes/120164?tab=detail&amp;rf=Y</t>
        </is>
      </c>
      <c r="AA3349" s="0" t="inlineStr">
        <is>
          <t>서울시 강동구 천호동 167-17</t>
        </is>
      </c>
      <c r="AB3349" s="0" t="inlineStr">
        <is>
          <t>서울시</t>
        </is>
      </c>
      <c r="AC3349" s="0" t="inlineStr">
        <is>
          <t>강동구</t>
        </is>
      </c>
      <c r="AD3349" s="0" t="inlineStr">
        <is>
          <t>천호동</t>
        </is>
      </c>
      <c r="AG3349" s="0" t="inlineStr">
        <is>
          <t>서울시 강동구 진황도로29길 44</t>
        </is>
      </c>
      <c r="AH3349" s="0" t="n">
        <v>0</v>
      </c>
      <c r="AI3349" s="0" t="n">
        <v>399</v>
      </c>
      <c r="AJ3349" s="0" t="n">
        <v>54</v>
      </c>
      <c r="AK3349" s="0" t="n">
        <v>0</v>
      </c>
      <c r="AL3349" s="0" t="n">
        <v>0</v>
      </c>
    </row>
    <row r="3350">
      <c r="A3350" s="0" t="inlineStr">
        <is>
          <t>[천호동]</t>
        </is>
      </c>
      <c r="B3350" s="0" t="n">
        <v>120164</v>
      </c>
      <c r="C3350" s="0" t="n">
        <v>2</v>
      </c>
      <c r="D3350" s="0" t="inlineStr">
        <is>
          <t>다성이즈빌(167-17)</t>
        </is>
      </c>
      <c r="E3350" s="0" t="inlineStr">
        <is>
          <t>2018.03.</t>
        </is>
      </c>
      <c r="F3350" s="0" t="n">
        <v>20</v>
      </c>
      <c r="G3350" s="0" t="n">
        <v>8.17</v>
      </c>
      <c r="H3350" s="0" t="n">
        <v>27.04</v>
      </c>
      <c r="I3350" s="0" t="n">
        <v>6.43</v>
      </c>
      <c r="J3350" s="0" t="n">
        <v>21.27</v>
      </c>
      <c r="K3350" s="0" t="n">
        <v>5</v>
      </c>
      <c r="T3350" s="0" t="n">
        <v>1</v>
      </c>
      <c r="U3350" s="0" t="n">
        <v>1</v>
      </c>
      <c r="V3350" s="0" t="inlineStr">
        <is>
          <t>계단식</t>
        </is>
      </c>
      <c r="W3350" s="0" t="n">
        <v>27</v>
      </c>
      <c r="X3350" s="0" t="n">
        <v>13</v>
      </c>
      <c r="Y3350" s="0" t="n">
        <v>13</v>
      </c>
      <c r="Z3350" s="0" t="inlineStr">
        <is>
          <t>https://new.land.naver.com/complexes/120164?tab=detail&amp;rf=Y</t>
        </is>
      </c>
      <c r="AA3350" s="0" t="inlineStr">
        <is>
          <t>서울시 강동구 천호동 167-17</t>
        </is>
      </c>
      <c r="AB3350" s="0" t="inlineStr">
        <is>
          <t>서울시</t>
        </is>
      </c>
      <c r="AC3350" s="0" t="inlineStr">
        <is>
          <t>강동구</t>
        </is>
      </c>
      <c r="AD3350" s="0" t="inlineStr">
        <is>
          <t>천호동</t>
        </is>
      </c>
      <c r="AG3350" s="0" t="inlineStr">
        <is>
          <t>서울시 강동구 진황도로29길 44</t>
        </is>
      </c>
      <c r="AH3350" s="0" t="n">
        <v>0</v>
      </c>
      <c r="AI3350" s="0" t="n">
        <v>399</v>
      </c>
      <c r="AJ3350" s="0" t="n">
        <v>54</v>
      </c>
      <c r="AK3350" s="0" t="n">
        <v>0</v>
      </c>
      <c r="AL3350" s="0" t="n">
        <v>0</v>
      </c>
    </row>
    <row r="3351">
      <c r="A3351" s="0" t="inlineStr">
        <is>
          <t>[천호동]</t>
        </is>
      </c>
      <c r="B3351" s="0" t="n">
        <v>120164</v>
      </c>
      <c r="C3351" s="0" t="n">
        <v>3</v>
      </c>
      <c r="D3351" s="0" t="inlineStr">
        <is>
          <t>다성이즈빌(167-17)</t>
        </is>
      </c>
      <c r="E3351" s="0" t="inlineStr">
        <is>
          <t>2018.03.</t>
        </is>
      </c>
      <c r="F3351" s="0" t="n">
        <v>20</v>
      </c>
      <c r="G3351" s="0" t="n">
        <v>8.699999999999999</v>
      </c>
      <c r="H3351" s="0" t="n">
        <v>28.78</v>
      </c>
      <c r="I3351" s="0" t="n">
        <v>6.85</v>
      </c>
      <c r="J3351" s="0" t="n">
        <v>22.65</v>
      </c>
      <c r="K3351" s="0" t="n">
        <v>5</v>
      </c>
      <c r="T3351" s="0" t="n">
        <v>2</v>
      </c>
      <c r="U3351" s="0" t="n">
        <v>1</v>
      </c>
      <c r="V3351" s="0" t="inlineStr">
        <is>
          <t>계단식</t>
        </is>
      </c>
      <c r="W3351" s="0" t="n">
        <v>28</v>
      </c>
      <c r="X3351" s="0" t="n">
        <v>13</v>
      </c>
      <c r="Y3351" s="0" t="n">
        <v>13</v>
      </c>
      <c r="Z3351" s="0" t="inlineStr">
        <is>
          <t>https://new.land.naver.com/complexes/120164?tab=detail&amp;rf=Y</t>
        </is>
      </c>
      <c r="AA3351" s="0" t="inlineStr">
        <is>
          <t>서울시 강동구 천호동 167-17</t>
        </is>
      </c>
      <c r="AB3351" s="0" t="inlineStr">
        <is>
          <t>서울시</t>
        </is>
      </c>
      <c r="AC3351" s="0" t="inlineStr">
        <is>
          <t>강동구</t>
        </is>
      </c>
      <c r="AD3351" s="0" t="inlineStr">
        <is>
          <t>천호동</t>
        </is>
      </c>
      <c r="AG3351" s="0" t="inlineStr">
        <is>
          <t>서울시 강동구 진황도로29길 44</t>
        </is>
      </c>
      <c r="AH3351" s="0" t="n">
        <v>0</v>
      </c>
      <c r="AI3351" s="0" t="n">
        <v>399</v>
      </c>
      <c r="AJ3351" s="0" t="n">
        <v>54</v>
      </c>
      <c r="AK3351" s="0" t="n">
        <v>0</v>
      </c>
      <c r="AL3351" s="0" t="n">
        <v>0</v>
      </c>
    </row>
    <row r="3352">
      <c r="A3352" s="0" t="inlineStr">
        <is>
          <t>[천호동]</t>
        </is>
      </c>
      <c r="B3352" s="0" t="n">
        <v>120164</v>
      </c>
      <c r="C3352" s="0" t="n">
        <v>4</v>
      </c>
      <c r="D3352" s="0" t="inlineStr">
        <is>
          <t>다성이즈빌(167-17)</t>
        </is>
      </c>
      <c r="E3352" s="0" t="inlineStr">
        <is>
          <t>2018.03.</t>
        </is>
      </c>
      <c r="F3352" s="0" t="n">
        <v>20</v>
      </c>
      <c r="G3352" s="0" t="n">
        <v>10.01</v>
      </c>
      <c r="H3352" s="0" t="n">
        <v>33.11</v>
      </c>
      <c r="I3352" s="0" t="n">
        <v>7.88</v>
      </c>
      <c r="J3352" s="0" t="n">
        <v>26.05</v>
      </c>
      <c r="K3352" s="0" t="n">
        <v>5</v>
      </c>
      <c r="T3352" s="0" t="n">
        <v>2</v>
      </c>
      <c r="U3352" s="0" t="n">
        <v>1</v>
      </c>
      <c r="V3352" s="0" t="inlineStr">
        <is>
          <t>계단식</t>
        </is>
      </c>
      <c r="W3352" s="0" t="n">
        <v>33</v>
      </c>
      <c r="X3352" s="0" t="n">
        <v>13</v>
      </c>
      <c r="Y3352" s="0" t="n">
        <v>13</v>
      </c>
      <c r="Z3352" s="0" t="inlineStr">
        <is>
          <t>https://new.land.naver.com/complexes/120164?tab=detail&amp;rf=Y</t>
        </is>
      </c>
      <c r="AA3352" s="0" t="inlineStr">
        <is>
          <t>서울시 강동구 천호동 167-17</t>
        </is>
      </c>
      <c r="AB3352" s="0" t="inlineStr">
        <is>
          <t>서울시</t>
        </is>
      </c>
      <c r="AC3352" s="0" t="inlineStr">
        <is>
          <t>강동구</t>
        </is>
      </c>
      <c r="AD3352" s="0" t="inlineStr">
        <is>
          <t>천호동</t>
        </is>
      </c>
      <c r="AG3352" s="0" t="inlineStr">
        <is>
          <t>서울시 강동구 진황도로29길 44</t>
        </is>
      </c>
      <c r="AH3352" s="0" t="n">
        <v>0</v>
      </c>
      <c r="AI3352" s="0" t="n">
        <v>399</v>
      </c>
      <c r="AJ3352" s="0" t="n">
        <v>54</v>
      </c>
      <c r="AK3352" s="0" t="n">
        <v>0</v>
      </c>
      <c r="AL3352" s="0" t="n">
        <v>0</v>
      </c>
    </row>
    <row r="3353">
      <c r="A3353" s="0" t="inlineStr">
        <is>
          <t>[천호동]</t>
        </is>
      </c>
      <c r="B3353" s="0" t="n">
        <v>11933</v>
      </c>
      <c r="C3353" s="0" t="n">
        <v>1</v>
      </c>
      <c r="D3353" s="0" t="inlineStr">
        <is>
          <t>천호네스빌</t>
        </is>
      </c>
      <c r="E3353" s="0" t="inlineStr">
        <is>
          <t>2003.03.</t>
        </is>
      </c>
      <c r="F3353" s="0" t="n">
        <v>42</v>
      </c>
      <c r="G3353" s="0" t="n">
        <v>8.640000000000001</v>
      </c>
      <c r="H3353" s="0" t="n">
        <v>28.57</v>
      </c>
      <c r="I3353" s="0" t="n">
        <v>6.69</v>
      </c>
      <c r="J3353" s="0" t="n">
        <v>22.14</v>
      </c>
      <c r="K3353" s="0" t="n">
        <v>1</v>
      </c>
      <c r="T3353" s="0" t="n">
        <v>2</v>
      </c>
      <c r="U3353" s="0" t="n">
        <v>1</v>
      </c>
      <c r="V3353" s="0" t="inlineStr">
        <is>
          <t>복도식</t>
        </is>
      </c>
      <c r="W3353" s="0" t="n">
        <v>28</v>
      </c>
      <c r="X3353" s="0" t="n">
        <v>7</v>
      </c>
      <c r="Y3353" s="0" t="n">
        <v>7</v>
      </c>
      <c r="Z3353" s="0" t="inlineStr">
        <is>
          <t>https://new.land.naver.com/complexes/11933?tab=detail&amp;rf=Y</t>
        </is>
      </c>
      <c r="AA3353" s="0" t="inlineStr">
        <is>
          <t>서울시 강동구 천호동 170-2</t>
        </is>
      </c>
      <c r="AB3353" s="0" t="inlineStr">
        <is>
          <t>서울시</t>
        </is>
      </c>
      <c r="AC3353" s="0" t="inlineStr">
        <is>
          <t>강동구</t>
        </is>
      </c>
      <c r="AD3353" s="0" t="inlineStr">
        <is>
          <t>천호동</t>
        </is>
      </c>
      <c r="AG3353" s="0" t="inlineStr">
        <is>
          <t>서울시 강동구 성안로25길 40</t>
        </is>
      </c>
      <c r="AH3353" s="0" t="n">
        <v>0</v>
      </c>
      <c r="AI3353" s="0" t="n">
        <v>345</v>
      </c>
      <c r="AJ3353" s="0" t="n">
        <v>55</v>
      </c>
      <c r="AK3353" s="0" t="n">
        <v>0</v>
      </c>
      <c r="AL3353" s="0" t="n">
        <v>0</v>
      </c>
    </row>
    <row r="3354">
      <c r="A3354" s="0" t="inlineStr">
        <is>
          <t>[천호동]</t>
        </is>
      </c>
      <c r="B3354" s="0" t="n">
        <v>11933</v>
      </c>
      <c r="C3354" s="0" t="n">
        <v>2</v>
      </c>
      <c r="D3354" s="0" t="inlineStr">
        <is>
          <t>천호네스빌</t>
        </is>
      </c>
      <c r="E3354" s="0" t="inlineStr">
        <is>
          <t>2003.03.</t>
        </is>
      </c>
      <c r="F3354" s="0" t="n">
        <v>42</v>
      </c>
      <c r="G3354" s="0" t="n">
        <v>10.65</v>
      </c>
      <c r="H3354" s="0" t="n">
        <v>35.23</v>
      </c>
      <c r="I3354" s="0" t="n">
        <v>8.25</v>
      </c>
      <c r="J3354" s="0" t="n">
        <v>27.3</v>
      </c>
      <c r="K3354" s="0" t="n">
        <v>3</v>
      </c>
      <c r="T3354" s="0" t="n">
        <v>1</v>
      </c>
      <c r="U3354" s="0" t="n">
        <v>1</v>
      </c>
      <c r="V3354" s="0" t="inlineStr">
        <is>
          <t>복도식</t>
        </is>
      </c>
      <c r="W3354" s="0" t="inlineStr">
        <is>
          <t>35A</t>
        </is>
      </c>
      <c r="X3354" s="0" t="n">
        <v>7</v>
      </c>
      <c r="Y3354" s="0" t="n">
        <v>7</v>
      </c>
      <c r="Z3354" s="0" t="inlineStr">
        <is>
          <t>https://new.land.naver.com/complexes/11933?tab=detail&amp;rf=Y</t>
        </is>
      </c>
      <c r="AA3354" s="0" t="inlineStr">
        <is>
          <t>서울시 강동구 천호동 170-2</t>
        </is>
      </c>
      <c r="AB3354" s="0" t="inlineStr">
        <is>
          <t>서울시</t>
        </is>
      </c>
      <c r="AC3354" s="0" t="inlineStr">
        <is>
          <t>강동구</t>
        </is>
      </c>
      <c r="AD3354" s="0" t="inlineStr">
        <is>
          <t>천호동</t>
        </is>
      </c>
      <c r="AG3354" s="0" t="inlineStr">
        <is>
          <t>서울시 강동구 성안로25길 40</t>
        </is>
      </c>
      <c r="AH3354" s="0" t="n">
        <v>0</v>
      </c>
      <c r="AI3354" s="0" t="n">
        <v>345</v>
      </c>
      <c r="AJ3354" s="0" t="n">
        <v>55</v>
      </c>
      <c r="AK3354" s="0" t="n">
        <v>0</v>
      </c>
      <c r="AL3354" s="0" t="n">
        <v>0</v>
      </c>
    </row>
    <row r="3355">
      <c r="A3355" s="0" t="inlineStr">
        <is>
          <t>[천호동]</t>
        </is>
      </c>
      <c r="B3355" s="0" t="n">
        <v>11933</v>
      </c>
      <c r="C3355" s="0" t="n">
        <v>3</v>
      </c>
      <c r="D3355" s="0" t="inlineStr">
        <is>
          <t>천호네스빌</t>
        </is>
      </c>
      <c r="E3355" s="0" t="inlineStr">
        <is>
          <t>2003.03.</t>
        </is>
      </c>
      <c r="F3355" s="0" t="n">
        <v>42</v>
      </c>
      <c r="G3355" s="0" t="n">
        <v>11.2</v>
      </c>
      <c r="H3355" s="0" t="n">
        <v>37.04</v>
      </c>
      <c r="I3355" s="0" t="n">
        <v>8.68</v>
      </c>
      <c r="J3355" s="0" t="n">
        <v>28.7</v>
      </c>
      <c r="K3355" s="0" t="n">
        <v>1</v>
      </c>
      <c r="T3355" s="0" t="n">
        <v>2</v>
      </c>
      <c r="U3355" s="0" t="n">
        <v>1</v>
      </c>
      <c r="V3355" s="0" t="inlineStr">
        <is>
          <t>복도식</t>
        </is>
      </c>
      <c r="W3355" s="0" t="inlineStr">
        <is>
          <t>37B</t>
        </is>
      </c>
      <c r="X3355" s="0" t="n">
        <v>7</v>
      </c>
      <c r="Y3355" s="0" t="n">
        <v>7</v>
      </c>
      <c r="Z3355" s="0" t="inlineStr">
        <is>
          <t>https://new.land.naver.com/complexes/11933?tab=detail&amp;rf=Y</t>
        </is>
      </c>
      <c r="AA3355" s="0" t="inlineStr">
        <is>
          <t>서울시 강동구 천호동 170-2</t>
        </is>
      </c>
      <c r="AB3355" s="0" t="inlineStr">
        <is>
          <t>서울시</t>
        </is>
      </c>
      <c r="AC3355" s="0" t="inlineStr">
        <is>
          <t>강동구</t>
        </is>
      </c>
      <c r="AD3355" s="0" t="inlineStr">
        <is>
          <t>천호동</t>
        </is>
      </c>
      <c r="AG3355" s="0" t="inlineStr">
        <is>
          <t>서울시 강동구 성안로25길 40</t>
        </is>
      </c>
      <c r="AH3355" s="0" t="n">
        <v>0</v>
      </c>
      <c r="AI3355" s="0" t="n">
        <v>345</v>
      </c>
      <c r="AJ3355" s="0" t="n">
        <v>55</v>
      </c>
      <c r="AK3355" s="0" t="n">
        <v>0</v>
      </c>
      <c r="AL3355" s="0" t="n">
        <v>0</v>
      </c>
    </row>
    <row r="3356">
      <c r="A3356" s="0" t="inlineStr">
        <is>
          <t>[천호동]</t>
        </is>
      </c>
      <c r="B3356" s="0" t="n">
        <v>11933</v>
      </c>
      <c r="C3356" s="0" t="n">
        <v>4</v>
      </c>
      <c r="D3356" s="0" t="inlineStr">
        <is>
          <t>천호네스빌</t>
        </is>
      </c>
      <c r="E3356" s="0" t="inlineStr">
        <is>
          <t>2003.03.</t>
        </is>
      </c>
      <c r="F3356" s="0" t="n">
        <v>42</v>
      </c>
      <c r="G3356" s="0" t="n">
        <v>11.95</v>
      </c>
      <c r="H3356" s="0" t="n">
        <v>39.52</v>
      </c>
      <c r="I3356" s="0" t="n">
        <v>9.26</v>
      </c>
      <c r="J3356" s="0" t="n">
        <v>30.62</v>
      </c>
      <c r="K3356" s="0" t="n">
        <v>1</v>
      </c>
      <c r="T3356" s="0" t="n">
        <v>1</v>
      </c>
      <c r="U3356" s="0" t="n">
        <v>1</v>
      </c>
      <c r="V3356" s="0" t="inlineStr">
        <is>
          <t>복도식</t>
        </is>
      </c>
      <c r="W3356" s="0" t="inlineStr">
        <is>
          <t>39A</t>
        </is>
      </c>
      <c r="X3356" s="0" t="n">
        <v>7</v>
      </c>
      <c r="Y3356" s="0" t="n">
        <v>7</v>
      </c>
      <c r="Z3356" s="0" t="inlineStr">
        <is>
          <t>https://new.land.naver.com/complexes/11933?tab=detail&amp;rf=Y</t>
        </is>
      </c>
      <c r="AA3356" s="0" t="inlineStr">
        <is>
          <t>서울시 강동구 천호동 170-2</t>
        </is>
      </c>
      <c r="AB3356" s="0" t="inlineStr">
        <is>
          <t>서울시</t>
        </is>
      </c>
      <c r="AC3356" s="0" t="inlineStr">
        <is>
          <t>강동구</t>
        </is>
      </c>
      <c r="AD3356" s="0" t="inlineStr">
        <is>
          <t>천호동</t>
        </is>
      </c>
      <c r="AG3356" s="0" t="inlineStr">
        <is>
          <t>서울시 강동구 성안로25길 40</t>
        </is>
      </c>
      <c r="AH3356" s="0" t="n">
        <v>0</v>
      </c>
      <c r="AI3356" s="0" t="n">
        <v>345</v>
      </c>
      <c r="AJ3356" s="0" t="n">
        <v>55</v>
      </c>
      <c r="AK3356" s="0" t="n">
        <v>0</v>
      </c>
      <c r="AL3356" s="0" t="n">
        <v>0</v>
      </c>
    </row>
    <row r="3357">
      <c r="A3357" s="0" t="inlineStr">
        <is>
          <t>[천호동]</t>
        </is>
      </c>
      <c r="B3357" s="0" t="n">
        <v>11933</v>
      </c>
      <c r="C3357" s="0" t="n">
        <v>5</v>
      </c>
      <c r="D3357" s="0" t="inlineStr">
        <is>
          <t>천호네스빌</t>
        </is>
      </c>
      <c r="E3357" s="0" t="inlineStr">
        <is>
          <t>2003.03.</t>
        </is>
      </c>
      <c r="F3357" s="0" t="n">
        <v>42</v>
      </c>
      <c r="G3357" s="0" t="n">
        <v>12.22</v>
      </c>
      <c r="H3357" s="0" t="n">
        <v>40.42</v>
      </c>
      <c r="I3357" s="0" t="n">
        <v>9.470000000000001</v>
      </c>
      <c r="J3357" s="0" t="n">
        <v>31.32</v>
      </c>
      <c r="K3357" s="0" t="n">
        <v>5</v>
      </c>
      <c r="T3357" s="0" t="n">
        <v>2</v>
      </c>
      <c r="U3357" s="0" t="n">
        <v>1</v>
      </c>
      <c r="V3357" s="0" t="inlineStr">
        <is>
          <t>복도식</t>
        </is>
      </c>
      <c r="W3357" s="0" t="inlineStr">
        <is>
          <t>40B</t>
        </is>
      </c>
      <c r="X3357" s="0" t="n">
        <v>7</v>
      </c>
      <c r="Y3357" s="0" t="n">
        <v>7</v>
      </c>
      <c r="Z3357" s="0" t="inlineStr">
        <is>
          <t>https://new.land.naver.com/complexes/11933?tab=detail&amp;rf=Y</t>
        </is>
      </c>
      <c r="AA3357" s="0" t="inlineStr">
        <is>
          <t>서울시 강동구 천호동 170-2</t>
        </is>
      </c>
      <c r="AB3357" s="0" t="inlineStr">
        <is>
          <t>서울시</t>
        </is>
      </c>
      <c r="AC3357" s="0" t="inlineStr">
        <is>
          <t>강동구</t>
        </is>
      </c>
      <c r="AD3357" s="0" t="inlineStr">
        <is>
          <t>천호동</t>
        </is>
      </c>
      <c r="AG3357" s="0" t="inlineStr">
        <is>
          <t>서울시 강동구 성안로25길 40</t>
        </is>
      </c>
      <c r="AH3357" s="0" t="n">
        <v>0</v>
      </c>
      <c r="AI3357" s="0" t="n">
        <v>345</v>
      </c>
      <c r="AJ3357" s="0" t="n">
        <v>55</v>
      </c>
      <c r="AK3357" s="0" t="n">
        <v>0</v>
      </c>
      <c r="AL3357" s="0" t="n">
        <v>0</v>
      </c>
    </row>
    <row r="3358">
      <c r="A3358" s="0" t="inlineStr">
        <is>
          <t>[천호동]</t>
        </is>
      </c>
      <c r="B3358" s="0" t="n">
        <v>11933</v>
      </c>
      <c r="C3358" s="0" t="n">
        <v>6</v>
      </c>
      <c r="D3358" s="0" t="inlineStr">
        <is>
          <t>천호네스빌</t>
        </is>
      </c>
      <c r="E3358" s="0" t="inlineStr">
        <is>
          <t>2003.03.</t>
        </is>
      </c>
      <c r="F3358" s="0" t="n">
        <v>42</v>
      </c>
      <c r="G3358" s="0" t="n">
        <v>13.24</v>
      </c>
      <c r="H3358" s="0" t="n">
        <v>43.79</v>
      </c>
      <c r="I3358" s="0" t="n">
        <v>10.26</v>
      </c>
      <c r="J3358" s="0" t="n">
        <v>33.93</v>
      </c>
      <c r="K3358" s="0" t="n">
        <v>15</v>
      </c>
      <c r="T3358" s="0" t="n">
        <v>2</v>
      </c>
      <c r="U3358" s="0" t="n">
        <v>1</v>
      </c>
      <c r="V3358" s="0" t="inlineStr">
        <is>
          <t>복도식</t>
        </is>
      </c>
      <c r="W3358" s="0" t="n">
        <v>43</v>
      </c>
      <c r="X3358" s="0" t="n">
        <v>7</v>
      </c>
      <c r="Y3358" s="0" t="n">
        <v>7</v>
      </c>
      <c r="Z3358" s="0" t="inlineStr">
        <is>
          <t>https://new.land.naver.com/complexes/11933?tab=detail&amp;rf=Y</t>
        </is>
      </c>
      <c r="AA3358" s="0" t="inlineStr">
        <is>
          <t>서울시 강동구 천호동 170-2</t>
        </is>
      </c>
      <c r="AB3358" s="0" t="inlineStr">
        <is>
          <t>서울시</t>
        </is>
      </c>
      <c r="AC3358" s="0" t="inlineStr">
        <is>
          <t>강동구</t>
        </is>
      </c>
      <c r="AD3358" s="0" t="inlineStr">
        <is>
          <t>천호동</t>
        </is>
      </c>
      <c r="AG3358" s="0" t="inlineStr">
        <is>
          <t>서울시 강동구 성안로25길 40</t>
        </is>
      </c>
      <c r="AH3358" s="0" t="n">
        <v>0</v>
      </c>
      <c r="AI3358" s="0" t="n">
        <v>345</v>
      </c>
      <c r="AJ3358" s="0" t="n">
        <v>55</v>
      </c>
      <c r="AK3358" s="0" t="n">
        <v>0</v>
      </c>
      <c r="AL3358" s="0" t="n">
        <v>0</v>
      </c>
    </row>
    <row r="3359">
      <c r="A3359" s="0" t="inlineStr">
        <is>
          <t>[천호동]</t>
        </is>
      </c>
      <c r="B3359" s="0" t="n">
        <v>11933</v>
      </c>
      <c r="C3359" s="0" t="n">
        <v>7</v>
      </c>
      <c r="D3359" s="0" t="inlineStr">
        <is>
          <t>천호네스빌</t>
        </is>
      </c>
      <c r="E3359" s="0" t="inlineStr">
        <is>
          <t>2003.03.</t>
        </is>
      </c>
      <c r="F3359" s="0" t="n">
        <v>42</v>
      </c>
      <c r="G3359" s="0" t="n">
        <v>15.28</v>
      </c>
      <c r="H3359" s="0" t="n">
        <v>50.53</v>
      </c>
      <c r="I3359" s="0" t="n">
        <v>11.84</v>
      </c>
      <c r="J3359" s="0" t="n">
        <v>39.15</v>
      </c>
      <c r="K3359" s="0" t="n">
        <v>5</v>
      </c>
      <c r="T3359" s="0" t="n">
        <v>1</v>
      </c>
      <c r="U3359" s="0" t="n">
        <v>1</v>
      </c>
      <c r="V3359" s="0" t="inlineStr">
        <is>
          <t>복도식</t>
        </is>
      </c>
      <c r="W3359" s="0" t="n">
        <v>50</v>
      </c>
      <c r="X3359" s="0" t="n">
        <v>7</v>
      </c>
      <c r="Y3359" s="0" t="n">
        <v>7</v>
      </c>
      <c r="Z3359" s="0" t="inlineStr">
        <is>
          <t>https://new.land.naver.com/complexes/11933?tab=detail&amp;rf=Y</t>
        </is>
      </c>
      <c r="AA3359" s="0" t="inlineStr">
        <is>
          <t>서울시 강동구 천호동 170-2</t>
        </is>
      </c>
      <c r="AB3359" s="0" t="inlineStr">
        <is>
          <t>서울시</t>
        </is>
      </c>
      <c r="AC3359" s="0" t="inlineStr">
        <is>
          <t>강동구</t>
        </is>
      </c>
      <c r="AD3359" s="0" t="inlineStr">
        <is>
          <t>천호동</t>
        </is>
      </c>
      <c r="AG3359" s="0" t="inlineStr">
        <is>
          <t>서울시 강동구 성안로25길 40</t>
        </is>
      </c>
      <c r="AH3359" s="0" t="n">
        <v>0</v>
      </c>
      <c r="AI3359" s="0" t="n">
        <v>345</v>
      </c>
      <c r="AJ3359" s="0" t="n">
        <v>55</v>
      </c>
      <c r="AK3359" s="0" t="n">
        <v>0</v>
      </c>
      <c r="AL3359" s="0" t="n">
        <v>0</v>
      </c>
    </row>
    <row r="3360">
      <c r="A3360" s="0" t="inlineStr">
        <is>
          <t>[천호동]</t>
        </is>
      </c>
      <c r="B3360" s="0" t="n">
        <v>11933</v>
      </c>
      <c r="C3360" s="0" t="n">
        <v>8</v>
      </c>
      <c r="D3360" s="0" t="inlineStr">
        <is>
          <t>천호네스빌</t>
        </is>
      </c>
      <c r="E3360" s="0" t="inlineStr">
        <is>
          <t>2003.03.</t>
        </is>
      </c>
      <c r="F3360" s="0" t="n">
        <v>42</v>
      </c>
      <c r="G3360" s="0" t="n">
        <v>17.96</v>
      </c>
      <c r="H3360" s="0" t="n">
        <v>59.39</v>
      </c>
      <c r="I3360" s="0" t="n">
        <v>13.91</v>
      </c>
      <c r="J3360" s="0" t="n">
        <v>46.01</v>
      </c>
      <c r="K3360" s="0" t="n">
        <v>6</v>
      </c>
      <c r="T3360" s="0" t="n">
        <v>2</v>
      </c>
      <c r="U3360" s="0" t="n">
        <v>1</v>
      </c>
      <c r="V3360" s="0" t="inlineStr">
        <is>
          <t>복도식</t>
        </is>
      </c>
      <c r="W3360" s="0" t="n">
        <v>59</v>
      </c>
      <c r="X3360" s="0" t="n">
        <v>7</v>
      </c>
      <c r="Y3360" s="0" t="n">
        <v>7</v>
      </c>
      <c r="Z3360" s="0" t="inlineStr">
        <is>
          <t>https://new.land.naver.com/complexes/11933?tab=detail&amp;rf=Y</t>
        </is>
      </c>
      <c r="AA3360" s="0" t="inlineStr">
        <is>
          <t>서울시 강동구 천호동 170-2</t>
        </is>
      </c>
      <c r="AB3360" s="0" t="inlineStr">
        <is>
          <t>서울시</t>
        </is>
      </c>
      <c r="AC3360" s="0" t="inlineStr">
        <is>
          <t>강동구</t>
        </is>
      </c>
      <c r="AD3360" s="0" t="inlineStr">
        <is>
          <t>천호동</t>
        </is>
      </c>
      <c r="AG3360" s="0" t="inlineStr">
        <is>
          <t>서울시 강동구 성안로25길 40</t>
        </is>
      </c>
      <c r="AH3360" s="0" t="n">
        <v>0</v>
      </c>
      <c r="AI3360" s="0" t="n">
        <v>345</v>
      </c>
      <c r="AJ3360" s="0" t="n">
        <v>55</v>
      </c>
      <c r="AK3360" s="0" t="n">
        <v>0</v>
      </c>
      <c r="AL3360" s="0" t="n">
        <v>0</v>
      </c>
    </row>
    <row r="3361">
      <c r="A3361" s="0" t="inlineStr">
        <is>
          <t>[천호동]</t>
        </is>
      </c>
      <c r="B3361" s="0" t="n">
        <v>11933</v>
      </c>
      <c r="C3361" s="0" t="n">
        <v>9</v>
      </c>
      <c r="D3361" s="0" t="inlineStr">
        <is>
          <t>천호네스빌</t>
        </is>
      </c>
      <c r="E3361" s="0" t="inlineStr">
        <is>
          <t>2003.03.</t>
        </is>
      </c>
      <c r="F3361" s="0" t="n">
        <v>42</v>
      </c>
      <c r="G3361" s="0" t="n">
        <v>19.7</v>
      </c>
      <c r="H3361" s="0" t="n">
        <v>65.13</v>
      </c>
      <c r="I3361" s="0" t="n">
        <v>15.26</v>
      </c>
      <c r="J3361" s="0" t="n">
        <v>50.46</v>
      </c>
      <c r="K3361" s="0" t="n">
        <v>5</v>
      </c>
      <c r="T3361" s="0" t="n">
        <v>2</v>
      </c>
      <c r="U3361" s="0" t="n">
        <v>1</v>
      </c>
      <c r="V3361" s="0" t="inlineStr">
        <is>
          <t>복도식</t>
        </is>
      </c>
      <c r="W3361" s="0" t="n">
        <v>65</v>
      </c>
      <c r="X3361" s="0" t="n">
        <v>7</v>
      </c>
      <c r="Y3361" s="0" t="n">
        <v>7</v>
      </c>
      <c r="Z3361" s="0" t="inlineStr">
        <is>
          <t>https://new.land.naver.com/complexes/11933?tab=detail&amp;rf=Y</t>
        </is>
      </c>
      <c r="AA3361" s="0" t="inlineStr">
        <is>
          <t>서울시 강동구 천호동 170-2</t>
        </is>
      </c>
      <c r="AB3361" s="0" t="inlineStr">
        <is>
          <t>서울시</t>
        </is>
      </c>
      <c r="AC3361" s="0" t="inlineStr">
        <is>
          <t>강동구</t>
        </is>
      </c>
      <c r="AD3361" s="0" t="inlineStr">
        <is>
          <t>천호동</t>
        </is>
      </c>
      <c r="AG3361" s="0" t="inlineStr">
        <is>
          <t>서울시 강동구 성안로25길 40</t>
        </is>
      </c>
      <c r="AH3361" s="0" t="n">
        <v>0</v>
      </c>
      <c r="AI3361" s="0" t="n">
        <v>345</v>
      </c>
      <c r="AJ3361" s="0" t="n">
        <v>55</v>
      </c>
      <c r="AK3361" s="0" t="n">
        <v>0</v>
      </c>
      <c r="AL3361" s="0" t="n">
        <v>0</v>
      </c>
    </row>
    <row r="3362">
      <c r="A3362" s="0" t="inlineStr">
        <is>
          <t>[천호동]</t>
        </is>
      </c>
      <c r="B3362" s="0" t="n">
        <v>13158</v>
      </c>
      <c r="C3362" s="0" t="n">
        <v>1</v>
      </c>
      <c r="D3362" s="0" t="inlineStr">
        <is>
          <t>리버하임</t>
        </is>
      </c>
      <c r="E3362" s="0" t="inlineStr">
        <is>
          <t>2003.08.</t>
        </is>
      </c>
      <c r="F3362" s="0" t="n">
        <v>18</v>
      </c>
      <c r="G3362" s="0" t="n">
        <v>27.61</v>
      </c>
      <c r="H3362" s="0" t="n">
        <v>91.3</v>
      </c>
      <c r="I3362" s="0" t="n">
        <v>22.74</v>
      </c>
      <c r="J3362" s="0" t="n">
        <v>75.19</v>
      </c>
      <c r="K3362" s="0" t="n">
        <v>1</v>
      </c>
      <c r="T3362" s="0" t="n">
        <v>3</v>
      </c>
      <c r="U3362" s="0" t="n">
        <v>2</v>
      </c>
      <c r="V3362" s="0" t="inlineStr">
        <is>
          <t>계단식</t>
        </is>
      </c>
      <c r="W3362" s="0" t="n">
        <v>91</v>
      </c>
      <c r="X3362" s="0" t="n">
        <v>7</v>
      </c>
      <c r="Y3362" s="0" t="n">
        <v>7</v>
      </c>
      <c r="Z3362" s="0" t="inlineStr">
        <is>
          <t>https://new.land.naver.com/complexes/13158?tab=detail&amp;rf=Y</t>
        </is>
      </c>
      <c r="AA3362" s="0" t="inlineStr">
        <is>
          <t>서울시 강동구 천호동 462-35</t>
        </is>
      </c>
      <c r="AB3362" s="0" t="inlineStr">
        <is>
          <t>서울시</t>
        </is>
      </c>
      <c r="AC3362" s="0" t="inlineStr">
        <is>
          <t>강동구</t>
        </is>
      </c>
      <c r="AD3362" s="0" t="inlineStr">
        <is>
          <t>천호동</t>
        </is>
      </c>
      <c r="AG3362" s="0" t="inlineStr">
        <is>
          <t>서울시 강동구 선사로 20</t>
        </is>
      </c>
      <c r="AH3362" s="0" t="n">
        <v>0</v>
      </c>
      <c r="AI3362" s="0" t="n">
        <v>237</v>
      </c>
      <c r="AJ3362" s="0" t="n">
        <v>43</v>
      </c>
      <c r="AK3362" s="0" t="n">
        <v>21</v>
      </c>
      <c r="AL3362" s="0" t="n">
        <v>1.17</v>
      </c>
    </row>
    <row r="3363">
      <c r="A3363" s="0" t="inlineStr">
        <is>
          <t>[천호동]</t>
        </is>
      </c>
      <c r="B3363" s="0" t="n">
        <v>13158</v>
      </c>
      <c r="C3363" s="0" t="n">
        <v>2</v>
      </c>
      <c r="D3363" s="0" t="inlineStr">
        <is>
          <t>리버하임</t>
        </is>
      </c>
      <c r="E3363" s="0" t="inlineStr">
        <is>
          <t>2003.08.</t>
        </is>
      </c>
      <c r="F3363" s="0" t="n">
        <v>18</v>
      </c>
      <c r="G3363" s="0" t="n">
        <v>30.07</v>
      </c>
      <c r="H3363" s="0" t="n">
        <v>99.43000000000001</v>
      </c>
      <c r="I3363" s="0" t="n">
        <v>24.76</v>
      </c>
      <c r="J3363" s="0" t="n">
        <v>81.88</v>
      </c>
      <c r="K3363" s="0" t="n">
        <v>1</v>
      </c>
      <c r="T3363" s="0" t="n">
        <v>3</v>
      </c>
      <c r="U3363" s="0" t="n">
        <v>2</v>
      </c>
      <c r="V3363" s="0" t="inlineStr">
        <is>
          <t>계단식</t>
        </is>
      </c>
      <c r="W3363" s="0" t="n">
        <v>99</v>
      </c>
      <c r="X3363" s="0" t="n">
        <v>7</v>
      </c>
      <c r="Y3363" s="0" t="n">
        <v>7</v>
      </c>
      <c r="Z3363" s="0" t="inlineStr">
        <is>
          <t>https://new.land.naver.com/complexes/13158?tab=detail&amp;rf=Y</t>
        </is>
      </c>
      <c r="AA3363" s="0" t="inlineStr">
        <is>
          <t>서울시 강동구 천호동 462-35</t>
        </is>
      </c>
      <c r="AB3363" s="0" t="inlineStr">
        <is>
          <t>서울시</t>
        </is>
      </c>
      <c r="AC3363" s="0" t="inlineStr">
        <is>
          <t>강동구</t>
        </is>
      </c>
      <c r="AD3363" s="0" t="inlineStr">
        <is>
          <t>천호동</t>
        </is>
      </c>
      <c r="AG3363" s="0" t="inlineStr">
        <is>
          <t>서울시 강동구 선사로 20</t>
        </is>
      </c>
      <c r="AH3363" s="0" t="n">
        <v>0</v>
      </c>
      <c r="AI3363" s="0" t="n">
        <v>237</v>
      </c>
      <c r="AJ3363" s="0" t="n">
        <v>43</v>
      </c>
      <c r="AK3363" s="0" t="n">
        <v>21</v>
      </c>
      <c r="AL3363" s="0" t="n">
        <v>1.17</v>
      </c>
    </row>
    <row r="3364">
      <c r="A3364" s="0" t="inlineStr">
        <is>
          <t>[천호동]</t>
        </is>
      </c>
      <c r="B3364" s="0" t="n">
        <v>13158</v>
      </c>
      <c r="C3364" s="0" t="n">
        <v>3</v>
      </c>
      <c r="D3364" s="0" t="inlineStr">
        <is>
          <t>리버하임</t>
        </is>
      </c>
      <c r="E3364" s="0" t="inlineStr">
        <is>
          <t>2003.08.</t>
        </is>
      </c>
      <c r="F3364" s="0" t="n">
        <v>18</v>
      </c>
      <c r="G3364" s="0" t="n">
        <v>30.52</v>
      </c>
      <c r="H3364" s="0" t="n">
        <v>100.92</v>
      </c>
      <c r="I3364" s="0" t="n">
        <v>25.14</v>
      </c>
      <c r="J3364" s="0" t="n">
        <v>83.11</v>
      </c>
      <c r="K3364" s="0" t="n">
        <v>5</v>
      </c>
      <c r="T3364" s="0" t="n">
        <v>3</v>
      </c>
      <c r="U3364" s="0" t="n">
        <v>2</v>
      </c>
      <c r="V3364" s="0" t="inlineStr">
        <is>
          <t>계단식</t>
        </is>
      </c>
      <c r="W3364" s="0" t="n">
        <v>100</v>
      </c>
      <c r="X3364" s="0" t="n">
        <v>7</v>
      </c>
      <c r="Y3364" s="0" t="n">
        <v>7</v>
      </c>
      <c r="Z3364" s="0" t="inlineStr">
        <is>
          <t>https://new.land.naver.com/complexes/13158?tab=detail&amp;rf=Y</t>
        </is>
      </c>
      <c r="AA3364" s="0" t="inlineStr">
        <is>
          <t>서울시 강동구 천호동 462-35</t>
        </is>
      </c>
      <c r="AB3364" s="0" t="inlineStr">
        <is>
          <t>서울시</t>
        </is>
      </c>
      <c r="AC3364" s="0" t="inlineStr">
        <is>
          <t>강동구</t>
        </is>
      </c>
      <c r="AD3364" s="0" t="inlineStr">
        <is>
          <t>천호동</t>
        </is>
      </c>
      <c r="AG3364" s="0" t="inlineStr">
        <is>
          <t>서울시 강동구 선사로 20</t>
        </is>
      </c>
      <c r="AH3364" s="0" t="n">
        <v>0</v>
      </c>
      <c r="AI3364" s="0" t="n">
        <v>237</v>
      </c>
      <c r="AJ3364" s="0" t="n">
        <v>43</v>
      </c>
      <c r="AK3364" s="0" t="n">
        <v>21</v>
      </c>
      <c r="AL3364" s="0" t="n">
        <v>1.17</v>
      </c>
    </row>
    <row r="3365">
      <c r="A3365" s="0" t="inlineStr">
        <is>
          <t>[천호동]</t>
        </is>
      </c>
      <c r="B3365" s="0" t="n">
        <v>13158</v>
      </c>
      <c r="C3365" s="0" t="n">
        <v>4</v>
      </c>
      <c r="D3365" s="0" t="inlineStr">
        <is>
          <t>리버하임</t>
        </is>
      </c>
      <c r="E3365" s="0" t="inlineStr">
        <is>
          <t>2003.08.</t>
        </is>
      </c>
      <c r="F3365" s="0" t="n">
        <v>18</v>
      </c>
      <c r="G3365" s="0" t="n">
        <v>30.61</v>
      </c>
      <c r="H3365" s="0" t="n">
        <v>101.22</v>
      </c>
      <c r="I3365" s="0" t="n">
        <v>25.21</v>
      </c>
      <c r="J3365" s="0" t="n">
        <v>83.36</v>
      </c>
      <c r="K3365" s="0" t="n">
        <v>1</v>
      </c>
      <c r="T3365" s="0" t="n">
        <v>3</v>
      </c>
      <c r="U3365" s="0" t="n">
        <v>2</v>
      </c>
      <c r="V3365" s="0" t="inlineStr">
        <is>
          <t>계단식</t>
        </is>
      </c>
      <c r="W3365" s="0" t="inlineStr">
        <is>
          <t>101B</t>
        </is>
      </c>
      <c r="X3365" s="0" t="n">
        <v>7</v>
      </c>
      <c r="Y3365" s="0" t="n">
        <v>7</v>
      </c>
      <c r="Z3365" s="0" t="inlineStr">
        <is>
          <t>https://new.land.naver.com/complexes/13158?tab=detail&amp;rf=Y</t>
        </is>
      </c>
      <c r="AA3365" s="0" t="inlineStr">
        <is>
          <t>서울시 강동구 천호동 462-35</t>
        </is>
      </c>
      <c r="AB3365" s="0" t="inlineStr">
        <is>
          <t>서울시</t>
        </is>
      </c>
      <c r="AC3365" s="0" t="inlineStr">
        <is>
          <t>강동구</t>
        </is>
      </c>
      <c r="AD3365" s="0" t="inlineStr">
        <is>
          <t>천호동</t>
        </is>
      </c>
      <c r="AG3365" s="0" t="inlineStr">
        <is>
          <t>서울시 강동구 선사로 20</t>
        </is>
      </c>
      <c r="AH3365" s="0" t="n">
        <v>0</v>
      </c>
      <c r="AI3365" s="0" t="n">
        <v>237</v>
      </c>
      <c r="AJ3365" s="0" t="n">
        <v>43</v>
      </c>
      <c r="AK3365" s="0" t="n">
        <v>21</v>
      </c>
      <c r="AL3365" s="0" t="n">
        <v>1.17</v>
      </c>
    </row>
    <row r="3366">
      <c r="A3366" s="0" t="inlineStr">
        <is>
          <t>[천호동]</t>
        </is>
      </c>
      <c r="B3366" s="0" t="n">
        <v>13158</v>
      </c>
      <c r="C3366" s="0" t="n">
        <v>5</v>
      </c>
      <c r="D3366" s="0" t="inlineStr">
        <is>
          <t>리버하임</t>
        </is>
      </c>
      <c r="E3366" s="0" t="inlineStr">
        <is>
          <t>2003.08.</t>
        </is>
      </c>
      <c r="F3366" s="0" t="n">
        <v>18</v>
      </c>
      <c r="G3366" s="0" t="n">
        <v>31.11</v>
      </c>
      <c r="H3366" s="0" t="n">
        <v>102.87</v>
      </c>
      <c r="I3366" s="0" t="n">
        <v>25.62</v>
      </c>
      <c r="J3366" s="0" t="n">
        <v>84.70999999999999</v>
      </c>
      <c r="K3366" s="0" t="n">
        <v>5</v>
      </c>
      <c r="T3366" s="0" t="n">
        <v>3</v>
      </c>
      <c r="U3366" s="0" t="n">
        <v>2</v>
      </c>
      <c r="V3366" s="0" t="inlineStr">
        <is>
          <t>계단식</t>
        </is>
      </c>
      <c r="W3366" s="0" t="inlineStr">
        <is>
          <t>102C</t>
        </is>
      </c>
      <c r="X3366" s="0" t="n">
        <v>7</v>
      </c>
      <c r="Y3366" s="0" t="n">
        <v>7</v>
      </c>
      <c r="Z3366" s="0" t="inlineStr">
        <is>
          <t>https://new.land.naver.com/complexes/13158?tab=detail&amp;rf=Y</t>
        </is>
      </c>
      <c r="AA3366" s="0" t="inlineStr">
        <is>
          <t>서울시 강동구 천호동 462-35</t>
        </is>
      </c>
      <c r="AB3366" s="0" t="inlineStr">
        <is>
          <t>서울시</t>
        </is>
      </c>
      <c r="AC3366" s="0" t="inlineStr">
        <is>
          <t>강동구</t>
        </is>
      </c>
      <c r="AD3366" s="0" t="inlineStr">
        <is>
          <t>천호동</t>
        </is>
      </c>
      <c r="AG3366" s="0" t="inlineStr">
        <is>
          <t>서울시 강동구 선사로 20</t>
        </is>
      </c>
      <c r="AH3366" s="0" t="n">
        <v>0</v>
      </c>
      <c r="AI3366" s="0" t="n">
        <v>237</v>
      </c>
      <c r="AJ3366" s="0" t="n">
        <v>43</v>
      </c>
      <c r="AK3366" s="0" t="n">
        <v>21</v>
      </c>
      <c r="AL3366" s="0" t="n">
        <v>1.17</v>
      </c>
    </row>
    <row r="3367">
      <c r="A3367" s="0" t="inlineStr">
        <is>
          <t>[천호동]</t>
        </is>
      </c>
      <c r="B3367" s="0" t="n">
        <v>13158</v>
      </c>
      <c r="C3367" s="0" t="n">
        <v>6</v>
      </c>
      <c r="D3367" s="0" t="inlineStr">
        <is>
          <t>리버하임</t>
        </is>
      </c>
      <c r="E3367" s="0" t="inlineStr">
        <is>
          <t>2003.08.</t>
        </is>
      </c>
      <c r="F3367" s="0" t="n">
        <v>18</v>
      </c>
      <c r="G3367" s="0" t="n">
        <v>31.21</v>
      </c>
      <c r="H3367" s="0" t="n">
        <v>103.18</v>
      </c>
      <c r="I3367" s="0" t="n">
        <v>25.7</v>
      </c>
      <c r="J3367" s="0" t="n">
        <v>84.97</v>
      </c>
      <c r="K3367" s="0" t="n">
        <v>5</v>
      </c>
      <c r="T3367" s="0" t="n">
        <v>3</v>
      </c>
      <c r="U3367" s="0" t="n">
        <v>2</v>
      </c>
      <c r="V3367" s="0" t="inlineStr">
        <is>
          <t>계단식</t>
        </is>
      </c>
      <c r="W3367" s="0" t="n">
        <v>103</v>
      </c>
      <c r="X3367" s="0" t="n">
        <v>7</v>
      </c>
      <c r="Y3367" s="0" t="n">
        <v>7</v>
      </c>
      <c r="Z3367" s="0" t="inlineStr">
        <is>
          <t>https://new.land.naver.com/complexes/13158?tab=detail&amp;rf=Y</t>
        </is>
      </c>
      <c r="AA3367" s="0" t="inlineStr">
        <is>
          <t>서울시 강동구 천호동 462-35</t>
        </is>
      </c>
      <c r="AB3367" s="0" t="inlineStr">
        <is>
          <t>서울시</t>
        </is>
      </c>
      <c r="AC3367" s="0" t="inlineStr">
        <is>
          <t>강동구</t>
        </is>
      </c>
      <c r="AD3367" s="0" t="inlineStr">
        <is>
          <t>천호동</t>
        </is>
      </c>
      <c r="AG3367" s="0" t="inlineStr">
        <is>
          <t>서울시 강동구 선사로 20</t>
        </is>
      </c>
      <c r="AH3367" s="0" t="n">
        <v>0</v>
      </c>
      <c r="AI3367" s="0" t="n">
        <v>237</v>
      </c>
      <c r="AJ3367" s="0" t="n">
        <v>43</v>
      </c>
      <c r="AK3367" s="0" t="n">
        <v>21</v>
      </c>
      <c r="AL3367" s="0" t="n">
        <v>1.17</v>
      </c>
    </row>
    <row r="3368">
      <c r="A3368" s="0" t="inlineStr">
        <is>
          <t>[천호동]</t>
        </is>
      </c>
      <c r="B3368" s="0" t="n">
        <v>26478</v>
      </c>
      <c r="C3368" s="0" t="n">
        <v>1</v>
      </c>
      <c r="D3368" s="0" t="inlineStr">
        <is>
          <t>늘푸른</t>
        </is>
      </c>
      <c r="E3368" s="0" t="inlineStr">
        <is>
          <t>2006.10.</t>
        </is>
      </c>
      <c r="F3368" s="0" t="n">
        <v>19</v>
      </c>
      <c r="G3368" s="0" t="n">
        <v>19.53</v>
      </c>
      <c r="H3368" s="0" t="n">
        <v>64.58</v>
      </c>
      <c r="I3368" s="0" t="n">
        <v>17.26</v>
      </c>
      <c r="J3368" s="0" t="n">
        <v>57.08</v>
      </c>
      <c r="K3368" s="0" t="n">
        <v>8</v>
      </c>
      <c r="T3368" s="0" t="n">
        <v>3</v>
      </c>
      <c r="U3368" s="0" t="n">
        <v>1</v>
      </c>
      <c r="V3368" s="0" t="inlineStr">
        <is>
          <t>계단식</t>
        </is>
      </c>
      <c r="W3368" s="0" t="n">
        <v>64</v>
      </c>
      <c r="X3368" s="0" t="n">
        <v>7</v>
      </c>
      <c r="Y3368" s="0" t="n">
        <v>5</v>
      </c>
      <c r="Z3368" s="0" t="inlineStr">
        <is>
          <t>https://new.land.naver.com/complexes/26478?tab=detail&amp;rf=Y</t>
        </is>
      </c>
      <c r="AA3368" s="0" t="inlineStr">
        <is>
          <t>서울시 강동구 천호동 52-16</t>
        </is>
      </c>
      <c r="AB3368" s="0" t="inlineStr">
        <is>
          <t>서울시</t>
        </is>
      </c>
      <c r="AC3368" s="0" t="inlineStr">
        <is>
          <t>강동구</t>
        </is>
      </c>
      <c r="AD3368" s="0" t="inlineStr">
        <is>
          <t>천호동</t>
        </is>
      </c>
      <c r="AG3368" s="0" t="inlineStr">
        <is>
          <t>서울시 강동구 천중로43길 25</t>
        </is>
      </c>
      <c r="AH3368" s="0" t="n">
        <v>0</v>
      </c>
      <c r="AI3368" s="0" t="n">
        <v>248</v>
      </c>
      <c r="AJ3368" s="0" t="n">
        <v>48</v>
      </c>
      <c r="AK3368" s="0" t="n">
        <v>19</v>
      </c>
      <c r="AL3368" s="0" t="n">
        <v>1</v>
      </c>
    </row>
    <row r="3369">
      <c r="A3369" s="0" t="inlineStr">
        <is>
          <t>[천호동]</t>
        </is>
      </c>
      <c r="B3369" s="0" t="n">
        <v>26478</v>
      </c>
      <c r="C3369" s="0" t="n">
        <v>2</v>
      </c>
      <c r="D3369" s="0" t="inlineStr">
        <is>
          <t>늘푸른</t>
        </is>
      </c>
      <c r="E3369" s="0" t="inlineStr">
        <is>
          <t>2006.10.</t>
        </is>
      </c>
      <c r="F3369" s="0" t="n">
        <v>19</v>
      </c>
      <c r="G3369" s="0" t="n">
        <v>25.46</v>
      </c>
      <c r="H3369" s="0" t="n">
        <v>84.18000000000001</v>
      </c>
      <c r="I3369" s="0" t="n">
        <v>22.5</v>
      </c>
      <c r="J3369" s="0" t="n">
        <v>74.41</v>
      </c>
      <c r="K3369" s="0" t="n">
        <v>8</v>
      </c>
      <c r="T3369" s="0" t="n">
        <v>3</v>
      </c>
      <c r="U3369" s="0" t="n">
        <v>2</v>
      </c>
      <c r="V3369" s="0" t="inlineStr">
        <is>
          <t>계단식</t>
        </is>
      </c>
      <c r="W3369" s="0" t="n">
        <v>84</v>
      </c>
      <c r="X3369" s="0" t="n">
        <v>7</v>
      </c>
      <c r="Y3369" s="0" t="n">
        <v>5</v>
      </c>
      <c r="Z3369" s="0" t="inlineStr">
        <is>
          <t>https://new.land.naver.com/complexes/26478?tab=detail&amp;rf=Y</t>
        </is>
      </c>
      <c r="AA3369" s="0" t="inlineStr">
        <is>
          <t>서울시 강동구 천호동 52-16</t>
        </is>
      </c>
      <c r="AB3369" s="0" t="inlineStr">
        <is>
          <t>서울시</t>
        </is>
      </c>
      <c r="AC3369" s="0" t="inlineStr">
        <is>
          <t>강동구</t>
        </is>
      </c>
      <c r="AD3369" s="0" t="inlineStr">
        <is>
          <t>천호동</t>
        </is>
      </c>
      <c r="AG3369" s="0" t="inlineStr">
        <is>
          <t>서울시 강동구 천중로43길 25</t>
        </is>
      </c>
      <c r="AH3369" s="0" t="n">
        <v>0</v>
      </c>
      <c r="AI3369" s="0" t="n">
        <v>248</v>
      </c>
      <c r="AJ3369" s="0" t="n">
        <v>48</v>
      </c>
      <c r="AK3369" s="0" t="n">
        <v>19</v>
      </c>
      <c r="AL3369" s="0" t="n">
        <v>1</v>
      </c>
    </row>
    <row r="3370">
      <c r="A3370" s="0" t="inlineStr">
        <is>
          <t>[천호동]</t>
        </is>
      </c>
      <c r="B3370" s="0" t="n">
        <v>26478</v>
      </c>
      <c r="C3370" s="0" t="n">
        <v>3</v>
      </c>
      <c r="D3370" s="0" t="inlineStr">
        <is>
          <t>늘푸른</t>
        </is>
      </c>
      <c r="E3370" s="0" t="inlineStr">
        <is>
          <t>2006.10.</t>
        </is>
      </c>
      <c r="F3370" s="0" t="n">
        <v>19</v>
      </c>
      <c r="G3370" s="0" t="n">
        <v>32.67</v>
      </c>
      <c r="H3370" s="0" t="n">
        <v>108.03</v>
      </c>
      <c r="I3370" s="0" t="n">
        <v>28.88</v>
      </c>
      <c r="J3370" s="0" t="n">
        <v>95.48999999999999</v>
      </c>
      <c r="K3370" s="0" t="n">
        <v>1</v>
      </c>
      <c r="T3370" s="0" t="n">
        <v>3</v>
      </c>
      <c r="U3370" s="0" t="n">
        <v>2</v>
      </c>
      <c r="V3370" s="0" t="inlineStr">
        <is>
          <t>계단식</t>
        </is>
      </c>
      <c r="W3370" s="0" t="n">
        <v>108</v>
      </c>
      <c r="X3370" s="0" t="n">
        <v>7</v>
      </c>
      <c r="Y3370" s="0" t="n">
        <v>5</v>
      </c>
      <c r="Z3370" s="0" t="inlineStr">
        <is>
          <t>https://new.land.naver.com/complexes/26478?tab=detail&amp;rf=Y</t>
        </is>
      </c>
      <c r="AA3370" s="0" t="inlineStr">
        <is>
          <t>서울시 강동구 천호동 52-16</t>
        </is>
      </c>
      <c r="AB3370" s="0" t="inlineStr">
        <is>
          <t>서울시</t>
        </is>
      </c>
      <c r="AC3370" s="0" t="inlineStr">
        <is>
          <t>강동구</t>
        </is>
      </c>
      <c r="AD3370" s="0" t="inlineStr">
        <is>
          <t>천호동</t>
        </is>
      </c>
      <c r="AG3370" s="0" t="inlineStr">
        <is>
          <t>서울시 강동구 천중로43길 25</t>
        </is>
      </c>
      <c r="AH3370" s="0" t="n">
        <v>0</v>
      </c>
      <c r="AI3370" s="0" t="n">
        <v>248</v>
      </c>
      <c r="AJ3370" s="0" t="n">
        <v>48</v>
      </c>
      <c r="AK3370" s="0" t="n">
        <v>19</v>
      </c>
      <c r="AL3370" s="0" t="n">
        <v>1</v>
      </c>
    </row>
    <row r="3371">
      <c r="A3371" s="0" t="inlineStr">
        <is>
          <t>[천호동]</t>
        </is>
      </c>
      <c r="B3371" s="0" t="n">
        <v>26478</v>
      </c>
      <c r="C3371" s="0" t="n">
        <v>4</v>
      </c>
      <c r="D3371" s="0" t="inlineStr">
        <is>
          <t>늘푸른</t>
        </is>
      </c>
      <c r="E3371" s="0" t="inlineStr">
        <is>
          <t>2006.10.</t>
        </is>
      </c>
      <c r="F3371" s="0" t="n">
        <v>19</v>
      </c>
      <c r="G3371" s="0" t="n">
        <v>34.78</v>
      </c>
      <c r="H3371" s="0" t="n">
        <v>114.98</v>
      </c>
      <c r="I3371" s="0" t="n">
        <v>30.74</v>
      </c>
      <c r="J3371" s="0" t="n">
        <v>101.64</v>
      </c>
      <c r="K3371" s="0" t="n">
        <v>1</v>
      </c>
      <c r="T3371" s="0" t="n">
        <v>3</v>
      </c>
      <c r="U3371" s="0" t="n">
        <v>2</v>
      </c>
      <c r="V3371" s="0" t="inlineStr">
        <is>
          <t>계단식</t>
        </is>
      </c>
      <c r="W3371" s="0" t="n">
        <v>114</v>
      </c>
      <c r="X3371" s="0" t="n">
        <v>7</v>
      </c>
      <c r="Y3371" s="0" t="n">
        <v>5</v>
      </c>
      <c r="Z3371" s="0" t="inlineStr">
        <is>
          <t>https://new.land.naver.com/complexes/26478?tab=detail&amp;rf=Y</t>
        </is>
      </c>
      <c r="AA3371" s="0" t="inlineStr">
        <is>
          <t>서울시 강동구 천호동 52-16</t>
        </is>
      </c>
      <c r="AB3371" s="0" t="inlineStr">
        <is>
          <t>서울시</t>
        </is>
      </c>
      <c r="AC3371" s="0" t="inlineStr">
        <is>
          <t>강동구</t>
        </is>
      </c>
      <c r="AD3371" s="0" t="inlineStr">
        <is>
          <t>천호동</t>
        </is>
      </c>
      <c r="AG3371" s="0" t="inlineStr">
        <is>
          <t>서울시 강동구 천중로43길 25</t>
        </is>
      </c>
      <c r="AH3371" s="0" t="n">
        <v>0</v>
      </c>
      <c r="AI3371" s="0" t="n">
        <v>248</v>
      </c>
      <c r="AJ3371" s="0" t="n">
        <v>48</v>
      </c>
      <c r="AK3371" s="0" t="n">
        <v>19</v>
      </c>
      <c r="AL3371" s="0" t="n">
        <v>1</v>
      </c>
    </row>
    <row r="3372">
      <c r="A3372" s="0" t="inlineStr">
        <is>
          <t>[천호동]</t>
        </is>
      </c>
      <c r="B3372" s="0" t="n">
        <v>26478</v>
      </c>
      <c r="C3372" s="0" t="n">
        <v>5</v>
      </c>
      <c r="D3372" s="0" t="inlineStr">
        <is>
          <t>늘푸른</t>
        </is>
      </c>
      <c r="E3372" s="0" t="inlineStr">
        <is>
          <t>2006.10.</t>
        </is>
      </c>
      <c r="F3372" s="0" t="n">
        <v>19</v>
      </c>
      <c r="G3372" s="0" t="n">
        <v>42.86</v>
      </c>
      <c r="H3372" s="0" t="n">
        <v>141.69</v>
      </c>
      <c r="I3372" s="0" t="n">
        <v>37.88</v>
      </c>
      <c r="J3372" s="0" t="n">
        <v>125.25</v>
      </c>
      <c r="K3372" s="0" t="n">
        <v>1</v>
      </c>
      <c r="T3372" s="0" t="n">
        <v>3</v>
      </c>
      <c r="U3372" s="0" t="n">
        <v>2</v>
      </c>
      <c r="V3372" s="0" t="inlineStr">
        <is>
          <t>계단식</t>
        </is>
      </c>
      <c r="W3372" s="0" t="n">
        <v>141</v>
      </c>
      <c r="X3372" s="0" t="n">
        <v>7</v>
      </c>
      <c r="Y3372" s="0" t="n">
        <v>5</v>
      </c>
      <c r="Z3372" s="0" t="inlineStr">
        <is>
          <t>https://new.land.naver.com/complexes/26478?tab=detail&amp;rf=Y</t>
        </is>
      </c>
      <c r="AA3372" s="0" t="inlineStr">
        <is>
          <t>서울시 강동구 천호동 52-16</t>
        </is>
      </c>
      <c r="AB3372" s="0" t="inlineStr">
        <is>
          <t>서울시</t>
        </is>
      </c>
      <c r="AC3372" s="0" t="inlineStr">
        <is>
          <t>강동구</t>
        </is>
      </c>
      <c r="AD3372" s="0" t="inlineStr">
        <is>
          <t>천호동</t>
        </is>
      </c>
      <c r="AG3372" s="0" t="inlineStr">
        <is>
          <t>서울시 강동구 천중로43길 25</t>
        </is>
      </c>
      <c r="AH3372" s="0" t="n">
        <v>0</v>
      </c>
      <c r="AI3372" s="0" t="n">
        <v>248</v>
      </c>
      <c r="AJ3372" s="0" t="n">
        <v>48</v>
      </c>
      <c r="AK3372" s="0" t="n">
        <v>19</v>
      </c>
      <c r="AL3372" s="0" t="n">
        <v>1</v>
      </c>
    </row>
    <row r="3373">
      <c r="A3373" s="0" t="inlineStr">
        <is>
          <t>[천호동]</t>
        </is>
      </c>
      <c r="B3373" s="0" t="n">
        <v>107537</v>
      </c>
      <c r="C3373" s="0" t="n">
        <v>1</v>
      </c>
      <c r="D3373" s="0" t="inlineStr">
        <is>
          <t>래미안강동팰리스</t>
        </is>
      </c>
      <c r="E3373" s="0" t="inlineStr">
        <is>
          <t>2017.07.</t>
        </is>
      </c>
      <c r="F3373" s="0" t="n">
        <v>999</v>
      </c>
      <c r="G3373" s="0" t="n">
        <v>25.8</v>
      </c>
      <c r="H3373" s="0" t="n">
        <v>85.3</v>
      </c>
      <c r="I3373" s="0" t="n">
        <v>18.14</v>
      </c>
      <c r="J3373" s="0" t="n">
        <v>59.98</v>
      </c>
      <c r="K3373" s="0" t="n">
        <v>231</v>
      </c>
      <c r="T3373" s="0" t="n">
        <v>3</v>
      </c>
      <c r="U3373" s="0" t="n">
        <v>2</v>
      </c>
      <c r="V3373" s="0" t="inlineStr">
        <is>
          <t>계단식</t>
        </is>
      </c>
      <c r="W3373" s="0" t="n">
        <v>85</v>
      </c>
      <c r="X3373" s="0" t="n">
        <v>45</v>
      </c>
      <c r="Y3373" s="0" t="n">
        <v>43</v>
      </c>
      <c r="Z3373" s="0" t="inlineStr">
        <is>
          <t>https://new.land.naver.com/complexes/107537?tab=detail&amp;rf=Y</t>
        </is>
      </c>
      <c r="AA3373" s="0" t="inlineStr">
        <is>
          <t>서울시 강동구 천호동 571</t>
        </is>
      </c>
      <c r="AB3373" s="0" t="inlineStr">
        <is>
          <t>서울시</t>
        </is>
      </c>
      <c r="AC3373" s="0" t="inlineStr">
        <is>
          <t>강동구</t>
        </is>
      </c>
      <c r="AD3373" s="0" t="inlineStr">
        <is>
          <t>천호동</t>
        </is>
      </c>
      <c r="AG3373" s="0" t="inlineStr">
        <is>
          <t>서울시 강동구 천호대로 1077</t>
        </is>
      </c>
      <c r="AH3373" s="0" t="n">
        <v>0</v>
      </c>
      <c r="AI3373" s="0" t="n">
        <v>830</v>
      </c>
      <c r="AJ3373" s="0" t="n">
        <v>55</v>
      </c>
      <c r="AK3373" s="0" t="n">
        <v>1588</v>
      </c>
      <c r="AL3373" s="0" t="n">
        <v>1.59</v>
      </c>
    </row>
    <row r="3374">
      <c r="A3374" s="0" t="inlineStr">
        <is>
          <t>[천호동]</t>
        </is>
      </c>
      <c r="B3374" s="0" t="n">
        <v>107537</v>
      </c>
      <c r="C3374" s="0" t="n">
        <v>2</v>
      </c>
      <c r="D3374" s="0" t="inlineStr">
        <is>
          <t>래미안강동팰리스</t>
        </is>
      </c>
      <c r="E3374" s="0" t="inlineStr">
        <is>
          <t>2017.07.</t>
        </is>
      </c>
      <c r="F3374" s="0" t="n">
        <v>999</v>
      </c>
      <c r="G3374" s="0" t="n">
        <v>36.72</v>
      </c>
      <c r="H3374" s="0" t="n">
        <v>121.39</v>
      </c>
      <c r="I3374" s="0" t="n">
        <v>25.7</v>
      </c>
      <c r="J3374" s="0" t="n">
        <v>84.97</v>
      </c>
      <c r="K3374" s="0" t="n">
        <v>756</v>
      </c>
      <c r="T3374" s="0" t="n">
        <v>3</v>
      </c>
      <c r="U3374" s="0" t="n">
        <v>2</v>
      </c>
      <c r="V3374" s="0" t="inlineStr">
        <is>
          <t>계단식</t>
        </is>
      </c>
      <c r="W3374" s="0" t="n">
        <v>121</v>
      </c>
      <c r="X3374" s="0" t="n">
        <v>45</v>
      </c>
      <c r="Y3374" s="0" t="n">
        <v>43</v>
      </c>
      <c r="Z3374" s="0" t="inlineStr">
        <is>
          <t>https://new.land.naver.com/complexes/107537?tab=detail&amp;rf=Y</t>
        </is>
      </c>
      <c r="AA3374" s="0" t="inlineStr">
        <is>
          <t>서울시 강동구 천호동 571</t>
        </is>
      </c>
      <c r="AB3374" s="0" t="inlineStr">
        <is>
          <t>서울시</t>
        </is>
      </c>
      <c r="AC3374" s="0" t="inlineStr">
        <is>
          <t>강동구</t>
        </is>
      </c>
      <c r="AD3374" s="0" t="inlineStr">
        <is>
          <t>천호동</t>
        </is>
      </c>
      <c r="AG3374" s="0" t="inlineStr">
        <is>
          <t>서울시 강동구 천호대로 1077</t>
        </is>
      </c>
      <c r="AH3374" s="0" t="n">
        <v>0</v>
      </c>
      <c r="AI3374" s="0" t="n">
        <v>830</v>
      </c>
      <c r="AJ3374" s="0" t="n">
        <v>55</v>
      </c>
      <c r="AK3374" s="0" t="n">
        <v>1588</v>
      </c>
      <c r="AL3374" s="0" t="n">
        <v>1.59</v>
      </c>
    </row>
    <row r="3375">
      <c r="A3375" s="0" t="inlineStr">
        <is>
          <t>[천호동]</t>
        </is>
      </c>
      <c r="B3375" s="0" t="n">
        <v>107537</v>
      </c>
      <c r="C3375" s="0" t="n">
        <v>3</v>
      </c>
      <c r="D3375" s="0" t="inlineStr">
        <is>
          <t>래미안강동팰리스</t>
        </is>
      </c>
      <c r="E3375" s="0" t="inlineStr">
        <is>
          <t>2017.07.</t>
        </is>
      </c>
      <c r="F3375" s="0" t="n">
        <v>999</v>
      </c>
      <c r="G3375" s="0" t="n">
        <v>65.22</v>
      </c>
      <c r="H3375" s="0" t="n">
        <v>215.63</v>
      </c>
      <c r="I3375" s="0" t="n">
        <v>45.93</v>
      </c>
      <c r="J3375" s="0" t="n">
        <v>151.84</v>
      </c>
      <c r="K3375" s="0" t="n">
        <v>6</v>
      </c>
      <c r="T3375" s="0" t="n">
        <v>4</v>
      </c>
      <c r="U3375" s="0" t="n">
        <v>2</v>
      </c>
      <c r="V3375" s="0" t="inlineStr">
        <is>
          <t>계단식</t>
        </is>
      </c>
      <c r="W3375" s="0" t="n">
        <v>215</v>
      </c>
      <c r="X3375" s="0" t="n">
        <v>45</v>
      </c>
      <c r="Y3375" s="0" t="n">
        <v>43</v>
      </c>
      <c r="Z3375" s="0" t="inlineStr">
        <is>
          <t>https://new.land.naver.com/complexes/107537?tab=detail&amp;rf=Y</t>
        </is>
      </c>
      <c r="AA3375" s="0" t="inlineStr">
        <is>
          <t>서울시 강동구 천호동 571</t>
        </is>
      </c>
      <c r="AB3375" s="0" t="inlineStr">
        <is>
          <t>서울시</t>
        </is>
      </c>
      <c r="AC3375" s="0" t="inlineStr">
        <is>
          <t>강동구</t>
        </is>
      </c>
      <c r="AD3375" s="0" t="inlineStr">
        <is>
          <t>천호동</t>
        </is>
      </c>
      <c r="AG3375" s="0" t="inlineStr">
        <is>
          <t>서울시 강동구 천호대로 1077</t>
        </is>
      </c>
      <c r="AH3375" s="0" t="n">
        <v>0</v>
      </c>
      <c r="AI3375" s="0" t="n">
        <v>830</v>
      </c>
      <c r="AJ3375" s="0" t="n">
        <v>55</v>
      </c>
      <c r="AK3375" s="0" t="n">
        <v>1588</v>
      </c>
      <c r="AL3375" s="0" t="n">
        <v>1.59</v>
      </c>
    </row>
    <row r="3376">
      <c r="A3376" s="0" t="inlineStr">
        <is>
          <t>[천호동]</t>
        </is>
      </c>
      <c r="B3376" s="0" t="n">
        <v>107537</v>
      </c>
      <c r="C3376" s="0" t="n">
        <v>4</v>
      </c>
      <c r="D3376" s="0" t="inlineStr">
        <is>
          <t>래미안강동팰리스</t>
        </is>
      </c>
      <c r="E3376" s="0" t="inlineStr">
        <is>
          <t>2017.07.</t>
        </is>
      </c>
      <c r="F3376" s="0" t="n">
        <v>999</v>
      </c>
      <c r="G3376" s="0" t="n">
        <v>66.62</v>
      </c>
      <c r="H3376" s="0" t="n">
        <v>220.25</v>
      </c>
      <c r="I3376" s="0" t="n">
        <v>47.02</v>
      </c>
      <c r="J3376" s="0" t="n">
        <v>155.47</v>
      </c>
      <c r="K3376" s="0" t="n">
        <v>6</v>
      </c>
      <c r="T3376" s="0" t="n">
        <v>4</v>
      </c>
      <c r="U3376" s="0" t="n">
        <v>2</v>
      </c>
      <c r="V3376" s="0" t="inlineStr">
        <is>
          <t>계단식</t>
        </is>
      </c>
      <c r="W3376" s="0" t="n">
        <v>220</v>
      </c>
      <c r="X3376" s="0" t="n">
        <v>45</v>
      </c>
      <c r="Y3376" s="0" t="n">
        <v>43</v>
      </c>
      <c r="Z3376" s="0" t="inlineStr">
        <is>
          <t>https://new.land.naver.com/complexes/107537?tab=detail&amp;rf=Y</t>
        </is>
      </c>
      <c r="AA3376" s="0" t="inlineStr">
        <is>
          <t>서울시 강동구 천호동 571</t>
        </is>
      </c>
      <c r="AB3376" s="0" t="inlineStr">
        <is>
          <t>서울시</t>
        </is>
      </c>
      <c r="AC3376" s="0" t="inlineStr">
        <is>
          <t>강동구</t>
        </is>
      </c>
      <c r="AD3376" s="0" t="inlineStr">
        <is>
          <t>천호동</t>
        </is>
      </c>
      <c r="AG3376" s="0" t="inlineStr">
        <is>
          <t>서울시 강동구 천호대로 1077</t>
        </is>
      </c>
      <c r="AH3376" s="0" t="n">
        <v>0</v>
      </c>
      <c r="AI3376" s="0" t="n">
        <v>830</v>
      </c>
      <c r="AJ3376" s="0" t="n">
        <v>55</v>
      </c>
      <c r="AK3376" s="0" t="n">
        <v>1588</v>
      </c>
      <c r="AL3376" s="0" t="n">
        <v>1.59</v>
      </c>
    </row>
    <row r="3377">
      <c r="A3377" s="0" t="inlineStr">
        <is>
          <t>[천호동]</t>
        </is>
      </c>
      <c r="B3377" s="0" t="n">
        <v>26140</v>
      </c>
      <c r="C3377" s="0" t="n">
        <v>1</v>
      </c>
      <c r="D3377" s="0" t="inlineStr">
        <is>
          <t>강변그대가갤럭시</t>
        </is>
      </c>
      <c r="E3377" s="0" t="inlineStr">
        <is>
          <t>2009.04.</t>
        </is>
      </c>
      <c r="F3377" s="0" t="n">
        <v>134</v>
      </c>
      <c r="G3377" s="0" t="n">
        <v>33.49</v>
      </c>
      <c r="H3377" s="0" t="n">
        <v>110.72</v>
      </c>
      <c r="I3377" s="0" t="n">
        <v>25.7</v>
      </c>
      <c r="J3377" s="0" t="n">
        <v>84.95999999999999</v>
      </c>
      <c r="K3377" s="0" t="n">
        <v>56</v>
      </c>
      <c r="T3377" s="0" t="n">
        <v>3</v>
      </c>
      <c r="U3377" s="0" t="n">
        <v>2</v>
      </c>
      <c r="V3377" s="0" t="inlineStr">
        <is>
          <t>계단식</t>
        </is>
      </c>
      <c r="W3377" s="0" t="n">
        <v>110</v>
      </c>
      <c r="X3377" s="0" t="n">
        <v>15</v>
      </c>
      <c r="Y3377" s="0" t="n">
        <v>13</v>
      </c>
      <c r="Z3377" s="0" t="inlineStr">
        <is>
          <t>https://new.land.naver.com/complexes/26140?tab=detail&amp;rf=Y</t>
        </is>
      </c>
      <c r="AA3377" s="0" t="inlineStr">
        <is>
          <t>서울시 강동구 천호동 570</t>
        </is>
      </c>
      <c r="AB3377" s="0" t="inlineStr">
        <is>
          <t>서울시</t>
        </is>
      </c>
      <c r="AC3377" s="0" t="inlineStr">
        <is>
          <t>강동구</t>
        </is>
      </c>
      <c r="AD3377" s="0" t="inlineStr">
        <is>
          <t>천호동</t>
        </is>
      </c>
      <c r="AG3377" s="0" t="inlineStr">
        <is>
          <t>서울시 강동구 올림픽로89길 55</t>
        </is>
      </c>
      <c r="AH3377" s="0" t="n">
        <v>0</v>
      </c>
      <c r="AI3377" s="0" t="n">
        <v>221</v>
      </c>
      <c r="AJ3377" s="0" t="n">
        <v>20</v>
      </c>
      <c r="AK3377" s="0" t="n">
        <v>175</v>
      </c>
      <c r="AL3377" s="0" t="n">
        <v>1.31</v>
      </c>
    </row>
    <row r="3378">
      <c r="A3378" s="0" t="inlineStr">
        <is>
          <t>[천호동]</t>
        </is>
      </c>
      <c r="B3378" s="0" t="n">
        <v>26140</v>
      </c>
      <c r="C3378" s="0" t="n">
        <v>2</v>
      </c>
      <c r="D3378" s="0" t="inlineStr">
        <is>
          <t>강변그대가갤럭시</t>
        </is>
      </c>
      <c r="E3378" s="0" t="inlineStr">
        <is>
          <t>2009.04.</t>
        </is>
      </c>
      <c r="F3378" s="0" t="n">
        <v>134</v>
      </c>
      <c r="G3378" s="0" t="n">
        <v>34</v>
      </c>
      <c r="H3378" s="0" t="n">
        <v>112.42</v>
      </c>
      <c r="I3378" s="0" t="n">
        <v>25.7</v>
      </c>
      <c r="J3378" s="0" t="n">
        <v>84.98999999999999</v>
      </c>
      <c r="K3378" s="0" t="n">
        <v>56</v>
      </c>
      <c r="T3378" s="0" t="n">
        <v>3</v>
      </c>
      <c r="U3378" s="0" t="n">
        <v>2</v>
      </c>
      <c r="V3378" s="0" t="inlineStr">
        <is>
          <t>계단식</t>
        </is>
      </c>
      <c r="W3378" s="0" t="n">
        <v>112</v>
      </c>
      <c r="X3378" s="0" t="n">
        <v>15</v>
      </c>
      <c r="Y3378" s="0" t="n">
        <v>13</v>
      </c>
      <c r="Z3378" s="0" t="inlineStr">
        <is>
          <t>https://new.land.naver.com/complexes/26140?tab=detail&amp;rf=Y</t>
        </is>
      </c>
      <c r="AA3378" s="0" t="inlineStr">
        <is>
          <t>서울시 강동구 천호동 570</t>
        </is>
      </c>
      <c r="AB3378" s="0" t="inlineStr">
        <is>
          <t>서울시</t>
        </is>
      </c>
      <c r="AC3378" s="0" t="inlineStr">
        <is>
          <t>강동구</t>
        </is>
      </c>
      <c r="AD3378" s="0" t="inlineStr">
        <is>
          <t>천호동</t>
        </is>
      </c>
      <c r="AG3378" s="0" t="inlineStr">
        <is>
          <t>서울시 강동구 올림픽로89길 55</t>
        </is>
      </c>
      <c r="AH3378" s="0" t="n">
        <v>0</v>
      </c>
      <c r="AI3378" s="0" t="n">
        <v>221</v>
      </c>
      <c r="AJ3378" s="0" t="n">
        <v>20</v>
      </c>
      <c r="AK3378" s="0" t="n">
        <v>175</v>
      </c>
      <c r="AL3378" s="0" t="n">
        <v>1.31</v>
      </c>
    </row>
    <row r="3379">
      <c r="A3379" s="0" t="inlineStr">
        <is>
          <t>[천호동]</t>
        </is>
      </c>
      <c r="B3379" s="0" t="n">
        <v>26140</v>
      </c>
      <c r="C3379" s="0" t="n">
        <v>3</v>
      </c>
      <c r="D3379" s="0" t="inlineStr">
        <is>
          <t>강변그대가갤럭시</t>
        </is>
      </c>
      <c r="E3379" s="0" t="inlineStr">
        <is>
          <t>2009.04.</t>
        </is>
      </c>
      <c r="F3379" s="0" t="n">
        <v>134</v>
      </c>
      <c r="G3379" s="0" t="n">
        <v>46.89</v>
      </c>
      <c r="H3379" s="0" t="n">
        <v>155.03</v>
      </c>
      <c r="I3379" s="0" t="n">
        <v>39.19</v>
      </c>
      <c r="J3379" s="0" t="n">
        <v>129.57</v>
      </c>
      <c r="K3379" s="0" t="n">
        <v>22</v>
      </c>
      <c r="T3379" s="0" t="n">
        <v>4</v>
      </c>
      <c r="U3379" s="0" t="n">
        <v>2</v>
      </c>
      <c r="V3379" s="0" t="inlineStr">
        <is>
          <t>계단식</t>
        </is>
      </c>
      <c r="W3379" s="0" t="n">
        <v>155</v>
      </c>
      <c r="X3379" s="0" t="n">
        <v>15</v>
      </c>
      <c r="Y3379" s="0" t="n">
        <v>13</v>
      </c>
      <c r="Z3379" s="0" t="inlineStr">
        <is>
          <t>https://new.land.naver.com/complexes/26140?tab=detail&amp;rf=Y</t>
        </is>
      </c>
      <c r="AA3379" s="0" t="inlineStr">
        <is>
          <t>서울시 강동구 천호동 570</t>
        </is>
      </c>
      <c r="AB3379" s="0" t="inlineStr">
        <is>
          <t>서울시</t>
        </is>
      </c>
      <c r="AC3379" s="0" t="inlineStr">
        <is>
          <t>강동구</t>
        </is>
      </c>
      <c r="AD3379" s="0" t="inlineStr">
        <is>
          <t>천호동</t>
        </is>
      </c>
      <c r="AG3379" s="0" t="inlineStr">
        <is>
          <t>서울시 강동구 올림픽로89길 55</t>
        </is>
      </c>
      <c r="AH3379" s="0" t="n">
        <v>0</v>
      </c>
      <c r="AI3379" s="0" t="n">
        <v>221</v>
      </c>
      <c r="AJ3379" s="0" t="n">
        <v>20</v>
      </c>
      <c r="AK3379" s="0" t="n">
        <v>175</v>
      </c>
      <c r="AL3379" s="0" t="n">
        <v>1.31</v>
      </c>
    </row>
    <row r="3380">
      <c r="A3380" s="0" t="inlineStr">
        <is>
          <t>[천호동]</t>
        </is>
      </c>
      <c r="B3380" s="0" t="n">
        <v>899</v>
      </c>
      <c r="C3380" s="0" t="n">
        <v>1</v>
      </c>
      <c r="D3380" s="0" t="inlineStr">
        <is>
          <t>천호우성</t>
        </is>
      </c>
      <c r="E3380" s="0" t="inlineStr">
        <is>
          <t>1985.02.</t>
        </is>
      </c>
      <c r="F3380" s="0" t="n">
        <v>479</v>
      </c>
      <c r="G3380" s="0" t="n">
        <v>21.76</v>
      </c>
      <c r="H3380" s="0" t="n">
        <v>71.95999999999999</v>
      </c>
      <c r="I3380" s="0" t="n">
        <v>15.56</v>
      </c>
      <c r="J3380" s="0" t="n">
        <v>51.44</v>
      </c>
      <c r="K3380" s="0" t="n">
        <v>100</v>
      </c>
      <c r="T3380" s="0" t="n">
        <v>2</v>
      </c>
      <c r="U3380" s="0" t="n">
        <v>1</v>
      </c>
      <c r="V3380" s="0" t="inlineStr">
        <is>
          <t>복도식</t>
        </is>
      </c>
      <c r="W3380" s="0" t="n">
        <v>71</v>
      </c>
      <c r="X3380" s="0" t="n">
        <v>13</v>
      </c>
      <c r="Y3380" s="0" t="n">
        <v>10</v>
      </c>
      <c r="Z3380" s="0" t="inlineStr">
        <is>
          <t>https://new.land.naver.com/complexes/899?tab=detail&amp;rf=Y</t>
        </is>
      </c>
      <c r="AA3380" s="0" t="inlineStr">
        <is>
          <t>서울시 강동구 천호동 19-1</t>
        </is>
      </c>
      <c r="AB3380" s="0" t="inlineStr">
        <is>
          <t>서울시</t>
        </is>
      </c>
      <c r="AC3380" s="0" t="inlineStr">
        <is>
          <t>강동구</t>
        </is>
      </c>
      <c r="AD3380" s="0" t="inlineStr">
        <is>
          <t>천호동</t>
        </is>
      </c>
      <c r="AG3380" s="0" t="inlineStr">
        <is>
          <t>서울시 강동구 구천면로 366</t>
        </is>
      </c>
      <c r="AH3380" s="0" t="n">
        <v>0</v>
      </c>
      <c r="AI3380" s="0" t="n">
        <v>158</v>
      </c>
      <c r="AJ3380" s="0" t="n">
        <v>0</v>
      </c>
      <c r="AK3380" s="0" t="n">
        <v>400</v>
      </c>
      <c r="AL3380" s="0" t="n">
        <v>0.84</v>
      </c>
    </row>
    <row r="3381">
      <c r="A3381" s="0" t="inlineStr">
        <is>
          <t>[천호동]</t>
        </is>
      </c>
      <c r="B3381" s="0" t="n">
        <v>899</v>
      </c>
      <c r="C3381" s="0" t="n">
        <v>2</v>
      </c>
      <c r="D3381" s="0" t="inlineStr">
        <is>
          <t>천호우성</t>
        </is>
      </c>
      <c r="E3381" s="0" t="inlineStr">
        <is>
          <t>1985.02.</t>
        </is>
      </c>
      <c r="F3381" s="0" t="n">
        <v>479</v>
      </c>
      <c r="G3381" s="0" t="n">
        <v>26.77</v>
      </c>
      <c r="H3381" s="0" t="n">
        <v>88.51000000000001</v>
      </c>
      <c r="I3381" s="0" t="n">
        <v>19.52</v>
      </c>
      <c r="J3381" s="0" t="n">
        <v>64.53</v>
      </c>
      <c r="K3381" s="0" t="n">
        <v>171</v>
      </c>
      <c r="T3381" s="0" t="n">
        <v>2</v>
      </c>
      <c r="U3381" s="0" t="n">
        <v>1</v>
      </c>
      <c r="V3381" s="0" t="inlineStr">
        <is>
          <t>복도식</t>
        </is>
      </c>
      <c r="W3381" s="0" t="n">
        <v>88</v>
      </c>
      <c r="X3381" s="0" t="n">
        <v>13</v>
      </c>
      <c r="Y3381" s="0" t="n">
        <v>10</v>
      </c>
      <c r="Z3381" s="0" t="inlineStr">
        <is>
          <t>https://new.land.naver.com/complexes/899?tab=detail&amp;rf=Y</t>
        </is>
      </c>
      <c r="AA3381" s="0" t="inlineStr">
        <is>
          <t>서울시 강동구 천호동 19-1</t>
        </is>
      </c>
      <c r="AB3381" s="0" t="inlineStr">
        <is>
          <t>서울시</t>
        </is>
      </c>
      <c r="AC3381" s="0" t="inlineStr">
        <is>
          <t>강동구</t>
        </is>
      </c>
      <c r="AD3381" s="0" t="inlineStr">
        <is>
          <t>천호동</t>
        </is>
      </c>
      <c r="AG3381" s="0" t="inlineStr">
        <is>
          <t>서울시 강동구 구천면로 366</t>
        </is>
      </c>
      <c r="AH3381" s="0" t="n">
        <v>0</v>
      </c>
      <c r="AI3381" s="0" t="n">
        <v>158</v>
      </c>
      <c r="AJ3381" s="0" t="n">
        <v>0</v>
      </c>
      <c r="AK3381" s="0" t="n">
        <v>400</v>
      </c>
      <c r="AL3381" s="0" t="n">
        <v>0.84</v>
      </c>
    </row>
    <row r="3382">
      <c r="A3382" s="0" t="inlineStr">
        <is>
          <t>[천호동]</t>
        </is>
      </c>
      <c r="B3382" s="0" t="n">
        <v>899</v>
      </c>
      <c r="C3382" s="0" t="n">
        <v>3</v>
      </c>
      <c r="D3382" s="0" t="inlineStr">
        <is>
          <t>천호우성</t>
        </is>
      </c>
      <c r="E3382" s="0" t="inlineStr">
        <is>
          <t>1985.02.</t>
        </is>
      </c>
      <c r="F3382" s="0" t="n">
        <v>479</v>
      </c>
      <c r="G3382" s="0" t="n">
        <v>31.14</v>
      </c>
      <c r="H3382" s="0" t="n">
        <v>102.97</v>
      </c>
      <c r="I3382" s="0" t="n">
        <v>25.69</v>
      </c>
      <c r="J3382" s="0" t="n">
        <v>84.93000000000001</v>
      </c>
      <c r="K3382" s="0" t="n">
        <v>208</v>
      </c>
      <c r="T3382" s="0" t="n">
        <v>3</v>
      </c>
      <c r="U3382" s="0" t="n">
        <v>1</v>
      </c>
      <c r="V3382" s="0" t="inlineStr">
        <is>
          <t>계단식</t>
        </is>
      </c>
      <c r="W3382" s="0" t="n">
        <v>102</v>
      </c>
      <c r="X3382" s="0" t="n">
        <v>13</v>
      </c>
      <c r="Y3382" s="0" t="n">
        <v>10</v>
      </c>
      <c r="Z3382" s="0" t="inlineStr">
        <is>
          <t>https://new.land.naver.com/complexes/899?tab=detail&amp;rf=Y</t>
        </is>
      </c>
      <c r="AA3382" s="0" t="inlineStr">
        <is>
          <t>서울시 강동구 천호동 19-1</t>
        </is>
      </c>
      <c r="AB3382" s="0" t="inlineStr">
        <is>
          <t>서울시</t>
        </is>
      </c>
      <c r="AC3382" s="0" t="inlineStr">
        <is>
          <t>강동구</t>
        </is>
      </c>
      <c r="AD3382" s="0" t="inlineStr">
        <is>
          <t>천호동</t>
        </is>
      </c>
      <c r="AG3382" s="0" t="inlineStr">
        <is>
          <t>서울시 강동구 구천면로 366</t>
        </is>
      </c>
      <c r="AH3382" s="0" t="n">
        <v>0</v>
      </c>
      <c r="AI3382" s="0" t="n">
        <v>158</v>
      </c>
      <c r="AJ3382" s="0" t="n">
        <v>0</v>
      </c>
      <c r="AK3382" s="0" t="n">
        <v>400</v>
      </c>
      <c r="AL3382" s="0" t="n">
        <v>0.84</v>
      </c>
    </row>
    <row r="3383">
      <c r="A3383" s="0" t="inlineStr">
        <is>
          <t>[천호동]</t>
        </is>
      </c>
      <c r="B3383" s="0" t="n">
        <v>113831</v>
      </c>
      <c r="C3383" s="0" t="n">
        <v>1</v>
      </c>
      <c r="D3383" s="0" t="inlineStr">
        <is>
          <t>더존예가(167-120,도시형)</t>
        </is>
      </c>
      <c r="E3383" s="0" t="inlineStr">
        <is>
          <t>2016.09.</t>
        </is>
      </c>
      <c r="F3383" s="0" t="n">
        <v>20</v>
      </c>
      <c r="G3383" s="0" t="n">
        <v>9.73</v>
      </c>
      <c r="H3383" s="0" t="n">
        <v>32.18</v>
      </c>
      <c r="I3383" s="0" t="n">
        <v>8.43</v>
      </c>
      <c r="J3383" s="0" t="n">
        <v>27.89</v>
      </c>
      <c r="K3383" s="0" t="n">
        <v>10</v>
      </c>
      <c r="T3383" s="0" t="n">
        <v>1</v>
      </c>
      <c r="U3383" s="0" t="n">
        <v>1</v>
      </c>
      <c r="V3383" s="0" t="inlineStr">
        <is>
          <t>계단식</t>
        </is>
      </c>
      <c r="W3383" s="0" t="inlineStr">
        <is>
          <t>32B</t>
        </is>
      </c>
      <c r="X3383" s="0" t="n">
        <v>10</v>
      </c>
      <c r="Y3383" s="0" t="n">
        <v>10</v>
      </c>
      <c r="Z3383" s="0" t="inlineStr">
        <is>
          <t>https://new.land.naver.com/complexes/113831?tab=detail&amp;rf=Y</t>
        </is>
      </c>
      <c r="AA3383" s="0" t="inlineStr">
        <is>
          <t>서울시 강동구 천호동 167-120</t>
        </is>
      </c>
      <c r="AB3383" s="0" t="inlineStr">
        <is>
          <t>서울시</t>
        </is>
      </c>
      <c r="AC3383" s="0" t="inlineStr">
        <is>
          <t>강동구</t>
        </is>
      </c>
      <c r="AD3383" s="0" t="inlineStr">
        <is>
          <t>천호동</t>
        </is>
      </c>
      <c r="AG3383" s="0" t="inlineStr">
        <is>
          <t>서울시 강동구 성안로27길 63-20</t>
        </is>
      </c>
      <c r="AH3383" s="0" t="n">
        <v>0</v>
      </c>
      <c r="AI3383" s="0" t="n">
        <v>397</v>
      </c>
      <c r="AJ3383" s="0" t="n">
        <v>52</v>
      </c>
      <c r="AK3383" s="0" t="n">
        <v>14</v>
      </c>
      <c r="AL3383" s="0" t="n">
        <v>0.7</v>
      </c>
    </row>
    <row r="3384">
      <c r="A3384" s="0" t="inlineStr">
        <is>
          <t>[천호동]</t>
        </is>
      </c>
      <c r="B3384" s="0" t="n">
        <v>113831</v>
      </c>
      <c r="C3384" s="0" t="n">
        <v>2</v>
      </c>
      <c r="D3384" s="0" t="inlineStr">
        <is>
          <t>더존예가(167-120,도시형)</t>
        </is>
      </c>
      <c r="E3384" s="0" t="inlineStr">
        <is>
          <t>2016.09.</t>
        </is>
      </c>
      <c r="F3384" s="0" t="n">
        <v>20</v>
      </c>
      <c r="G3384" s="0" t="n">
        <v>9.68</v>
      </c>
      <c r="H3384" s="0" t="n">
        <v>32.02</v>
      </c>
      <c r="I3384" s="0" t="n">
        <v>8.390000000000001</v>
      </c>
      <c r="J3384" s="0" t="n">
        <v>27.75</v>
      </c>
      <c r="K3384" s="0" t="n">
        <v>5</v>
      </c>
      <c r="T3384" s="0" t="n">
        <v>1</v>
      </c>
      <c r="U3384" s="0" t="n">
        <v>1</v>
      </c>
      <c r="V3384" s="0" t="inlineStr">
        <is>
          <t>계단식</t>
        </is>
      </c>
      <c r="W3384" s="0" t="inlineStr">
        <is>
          <t>32A</t>
        </is>
      </c>
      <c r="X3384" s="0" t="n">
        <v>10</v>
      </c>
      <c r="Y3384" s="0" t="n">
        <v>10</v>
      </c>
      <c r="Z3384" s="0" t="inlineStr">
        <is>
          <t>https://new.land.naver.com/complexes/113831?tab=detail&amp;rf=Y</t>
        </is>
      </c>
      <c r="AA3384" s="0" t="inlineStr">
        <is>
          <t>서울시 강동구 천호동 167-120</t>
        </is>
      </c>
      <c r="AB3384" s="0" t="inlineStr">
        <is>
          <t>서울시</t>
        </is>
      </c>
      <c r="AC3384" s="0" t="inlineStr">
        <is>
          <t>강동구</t>
        </is>
      </c>
      <c r="AD3384" s="0" t="inlineStr">
        <is>
          <t>천호동</t>
        </is>
      </c>
      <c r="AG3384" s="0" t="inlineStr">
        <is>
          <t>서울시 강동구 성안로27길 63-20</t>
        </is>
      </c>
      <c r="AH3384" s="0" t="n">
        <v>0</v>
      </c>
      <c r="AI3384" s="0" t="n">
        <v>397</v>
      </c>
      <c r="AJ3384" s="0" t="n">
        <v>52</v>
      </c>
      <c r="AK3384" s="0" t="n">
        <v>14</v>
      </c>
      <c r="AL3384" s="0" t="n">
        <v>0.7</v>
      </c>
    </row>
    <row r="3385">
      <c r="A3385" s="0" t="inlineStr">
        <is>
          <t>[천호동]</t>
        </is>
      </c>
      <c r="B3385" s="0" t="n">
        <v>113831</v>
      </c>
      <c r="C3385" s="0" t="n">
        <v>3</v>
      </c>
      <c r="D3385" s="0" t="inlineStr">
        <is>
          <t>더존예가(167-120,도시형)</t>
        </is>
      </c>
      <c r="E3385" s="0" t="inlineStr">
        <is>
          <t>2016.09.</t>
        </is>
      </c>
      <c r="F3385" s="0" t="n">
        <v>20</v>
      </c>
      <c r="G3385" s="0" t="n">
        <v>9.949999999999999</v>
      </c>
      <c r="H3385" s="0" t="n">
        <v>32.91</v>
      </c>
      <c r="I3385" s="0" t="n">
        <v>8.619999999999999</v>
      </c>
      <c r="J3385" s="0" t="n">
        <v>28.52</v>
      </c>
      <c r="K3385" s="0" t="n">
        <v>5</v>
      </c>
      <c r="T3385" s="0" t="n">
        <v>1</v>
      </c>
      <c r="U3385" s="0" t="n">
        <v>1</v>
      </c>
      <c r="V3385" s="0" t="inlineStr">
        <is>
          <t>계단식</t>
        </is>
      </c>
      <c r="W3385" s="0" t="inlineStr">
        <is>
          <t>32C</t>
        </is>
      </c>
      <c r="X3385" s="0" t="n">
        <v>10</v>
      </c>
      <c r="Y3385" s="0" t="n">
        <v>10</v>
      </c>
      <c r="Z3385" s="0" t="inlineStr">
        <is>
          <t>https://new.land.naver.com/complexes/113831?tab=detail&amp;rf=Y</t>
        </is>
      </c>
      <c r="AA3385" s="0" t="inlineStr">
        <is>
          <t>서울시 강동구 천호동 167-120</t>
        </is>
      </c>
      <c r="AB3385" s="0" t="inlineStr">
        <is>
          <t>서울시</t>
        </is>
      </c>
      <c r="AC3385" s="0" t="inlineStr">
        <is>
          <t>강동구</t>
        </is>
      </c>
      <c r="AD3385" s="0" t="inlineStr">
        <is>
          <t>천호동</t>
        </is>
      </c>
      <c r="AG3385" s="0" t="inlineStr">
        <is>
          <t>서울시 강동구 성안로27길 63-20</t>
        </is>
      </c>
      <c r="AH3385" s="0" t="n">
        <v>0</v>
      </c>
      <c r="AI3385" s="0" t="n">
        <v>397</v>
      </c>
      <c r="AJ3385" s="0" t="n">
        <v>52</v>
      </c>
      <c r="AK3385" s="0" t="n">
        <v>14</v>
      </c>
      <c r="AL3385" s="0" t="n">
        <v>0.7</v>
      </c>
    </row>
    <row r="3386">
      <c r="A3386" s="0" t="inlineStr">
        <is>
          <t>[천호동]</t>
        </is>
      </c>
      <c r="B3386" s="0" t="n">
        <v>121814</v>
      </c>
      <c r="C3386" s="0" t="n">
        <v>1</v>
      </c>
      <c r="D3386" s="0" t="inlineStr">
        <is>
          <t>프라임(도시형)</t>
        </is>
      </c>
      <c r="E3386" s="0" t="inlineStr">
        <is>
          <t>2016.11.</t>
        </is>
      </c>
      <c r="F3386" s="0" t="n">
        <v>26</v>
      </c>
      <c r="G3386" s="0" t="n">
        <v>7.19</v>
      </c>
      <c r="H3386" s="0" t="n">
        <v>23.78</v>
      </c>
      <c r="I3386" s="0" t="n">
        <v>4.77</v>
      </c>
      <c r="J3386" s="0" t="n">
        <v>15.77</v>
      </c>
      <c r="K3386" s="0" t="n">
        <v>22</v>
      </c>
      <c r="T3386" s="0" t="n">
        <v>1</v>
      </c>
      <c r="U3386" s="0" t="n">
        <v>1</v>
      </c>
      <c r="V3386" s="0" t="inlineStr">
        <is>
          <t>복도식</t>
        </is>
      </c>
      <c r="W3386" s="0" t="inlineStr">
        <is>
          <t>23A</t>
        </is>
      </c>
      <c r="X3386" s="0" t="n">
        <v>6</v>
      </c>
      <c r="Y3386" s="0" t="n">
        <v>6</v>
      </c>
      <c r="Z3386" s="0" t="inlineStr">
        <is>
          <t>https://new.land.naver.com/complexes/121814?tab=detail&amp;rf=Y</t>
        </is>
      </c>
      <c r="AA3386" s="0" t="inlineStr">
        <is>
          <t>서울시 강동구 천호동 50-13</t>
        </is>
      </c>
      <c r="AB3386" s="0" t="inlineStr">
        <is>
          <t>서울시</t>
        </is>
      </c>
      <c r="AC3386" s="0" t="inlineStr">
        <is>
          <t>강동구</t>
        </is>
      </c>
      <c r="AD3386" s="0" t="inlineStr">
        <is>
          <t>천호동</t>
        </is>
      </c>
      <c r="AG3386" s="0" t="inlineStr">
        <is>
          <t>서울시 강동구 양재대로 1539</t>
        </is>
      </c>
      <c r="AH3386" s="0" t="n">
        <v>26</v>
      </c>
      <c r="AI3386" s="0" t="n">
        <v>246</v>
      </c>
      <c r="AJ3386" s="0" t="n">
        <v>45</v>
      </c>
      <c r="AK3386" s="0" t="n">
        <v>13</v>
      </c>
      <c r="AL3386" s="0" t="n">
        <v>0.5</v>
      </c>
    </row>
    <row r="3387">
      <c r="A3387" s="0" t="inlineStr">
        <is>
          <t>[천호동]</t>
        </is>
      </c>
      <c r="B3387" s="0" t="n">
        <v>121814</v>
      </c>
      <c r="C3387" s="0" t="n">
        <v>2</v>
      </c>
      <c r="D3387" s="0" t="inlineStr">
        <is>
          <t>프라임(도시형)</t>
        </is>
      </c>
      <c r="E3387" s="0" t="inlineStr">
        <is>
          <t>2016.11.</t>
        </is>
      </c>
      <c r="F3387" s="0" t="n">
        <v>26</v>
      </c>
      <c r="G3387" s="0" t="n">
        <v>7.4</v>
      </c>
      <c r="H3387" s="0" t="n">
        <v>24.48</v>
      </c>
      <c r="I3387" s="0" t="n">
        <v>4.91</v>
      </c>
      <c r="J3387" s="0" t="n">
        <v>16.24</v>
      </c>
      <c r="K3387" s="0" t="n">
        <v>2</v>
      </c>
      <c r="T3387" s="0" t="n">
        <v>1</v>
      </c>
      <c r="U3387" s="0" t="n">
        <v>1</v>
      </c>
      <c r="V3387" s="0" t="inlineStr">
        <is>
          <t>복도식</t>
        </is>
      </c>
      <c r="W3387" s="0" t="inlineStr">
        <is>
          <t>24B</t>
        </is>
      </c>
      <c r="X3387" s="0" t="n">
        <v>6</v>
      </c>
      <c r="Y3387" s="0" t="n">
        <v>6</v>
      </c>
      <c r="Z3387" s="0" t="inlineStr">
        <is>
          <t>https://new.land.naver.com/complexes/121814?tab=detail&amp;rf=Y</t>
        </is>
      </c>
      <c r="AA3387" s="0" t="inlineStr">
        <is>
          <t>서울시 강동구 천호동 50-13</t>
        </is>
      </c>
      <c r="AB3387" s="0" t="inlineStr">
        <is>
          <t>서울시</t>
        </is>
      </c>
      <c r="AC3387" s="0" t="inlineStr">
        <is>
          <t>강동구</t>
        </is>
      </c>
      <c r="AD3387" s="0" t="inlineStr">
        <is>
          <t>천호동</t>
        </is>
      </c>
      <c r="AG3387" s="0" t="inlineStr">
        <is>
          <t>서울시 강동구 양재대로 1539</t>
        </is>
      </c>
      <c r="AH3387" s="0" t="n">
        <v>26</v>
      </c>
      <c r="AI3387" s="0" t="n">
        <v>246</v>
      </c>
      <c r="AJ3387" s="0" t="n">
        <v>45</v>
      </c>
      <c r="AK3387" s="0" t="n">
        <v>13</v>
      </c>
      <c r="AL3387" s="0" t="n">
        <v>0.5</v>
      </c>
    </row>
    <row r="3388">
      <c r="A3388" s="0" t="inlineStr">
        <is>
          <t>[천호동]</t>
        </is>
      </c>
      <c r="B3388" s="0" t="n">
        <v>121814</v>
      </c>
      <c r="C3388" s="0" t="n">
        <v>3</v>
      </c>
      <c r="D3388" s="0" t="inlineStr">
        <is>
          <t>프라임(도시형)</t>
        </is>
      </c>
      <c r="E3388" s="0" t="inlineStr">
        <is>
          <t>2016.11.</t>
        </is>
      </c>
      <c r="F3388" s="0" t="n">
        <v>26</v>
      </c>
      <c r="G3388" s="0" t="n">
        <v>11.9</v>
      </c>
      <c r="H3388" s="0" t="n">
        <v>39.37</v>
      </c>
      <c r="I3388" s="0" t="n">
        <v>7.89</v>
      </c>
      <c r="J3388" s="0" t="n">
        <v>26.11</v>
      </c>
      <c r="K3388" s="0" t="n">
        <v>2</v>
      </c>
      <c r="T3388" s="0" t="n">
        <v>1</v>
      </c>
      <c r="U3388" s="0" t="n">
        <v>1</v>
      </c>
      <c r="V3388" s="0" t="inlineStr">
        <is>
          <t>복도식</t>
        </is>
      </c>
      <c r="W3388" s="0" t="n">
        <v>39</v>
      </c>
      <c r="X3388" s="0" t="n">
        <v>6</v>
      </c>
      <c r="Y3388" s="0" t="n">
        <v>6</v>
      </c>
      <c r="Z3388" s="0" t="inlineStr">
        <is>
          <t>https://new.land.naver.com/complexes/121814?tab=detail&amp;rf=Y</t>
        </is>
      </c>
      <c r="AA3388" s="0" t="inlineStr">
        <is>
          <t>서울시 강동구 천호동 50-13</t>
        </is>
      </c>
      <c r="AB3388" s="0" t="inlineStr">
        <is>
          <t>서울시</t>
        </is>
      </c>
      <c r="AC3388" s="0" t="inlineStr">
        <is>
          <t>강동구</t>
        </is>
      </c>
      <c r="AD3388" s="0" t="inlineStr">
        <is>
          <t>천호동</t>
        </is>
      </c>
      <c r="AG3388" s="0" t="inlineStr">
        <is>
          <t>서울시 강동구 양재대로 1539</t>
        </is>
      </c>
      <c r="AH3388" s="0" t="n">
        <v>26</v>
      </c>
      <c r="AI3388" s="0" t="n">
        <v>246</v>
      </c>
      <c r="AJ3388" s="0" t="n">
        <v>45</v>
      </c>
      <c r="AK3388" s="0" t="n">
        <v>13</v>
      </c>
      <c r="AL3388" s="0" t="n">
        <v>0.5</v>
      </c>
    </row>
    <row r="3389">
      <c r="A3389" s="0" t="inlineStr">
        <is>
          <t>[천호동]</t>
        </is>
      </c>
      <c r="B3389" s="0" t="n">
        <v>139304</v>
      </c>
      <c r="C3389" s="0" t="n">
        <v>1</v>
      </c>
      <c r="D3389" s="0" t="inlineStr">
        <is>
          <t>성우스타팰리스(363-14,도시형)</t>
        </is>
      </c>
      <c r="E3389" s="0" t="inlineStr">
        <is>
          <t>2017.01.</t>
        </is>
      </c>
      <c r="F3389" s="0" t="n">
        <v>15</v>
      </c>
      <c r="G3389" s="0" t="n">
        <v>6.38</v>
      </c>
      <c r="H3389" s="0" t="n">
        <v>21.12</v>
      </c>
      <c r="I3389" s="0" t="n">
        <v>5.59</v>
      </c>
      <c r="J3389" s="0" t="n">
        <v>18.48</v>
      </c>
      <c r="K3389" s="0" t="n">
        <v>1</v>
      </c>
      <c r="T3389" s="0" t="n">
        <v>1</v>
      </c>
      <c r="U3389" s="0" t="n">
        <v>1</v>
      </c>
      <c r="V3389" s="0" t="inlineStr">
        <is>
          <t>계단식</t>
        </is>
      </c>
      <c r="W3389" s="0" t="n">
        <v>21</v>
      </c>
      <c r="X3389" s="0" t="n">
        <v>6</v>
      </c>
      <c r="Y3389" s="0" t="n">
        <v>6</v>
      </c>
      <c r="Z3389" s="0" t="inlineStr">
        <is>
          <t>https://new.land.naver.com/complexes/139304?tab=detail&amp;rf=Y</t>
        </is>
      </c>
      <c r="AA3389" s="0" t="inlineStr">
        <is>
          <t>서울시 강동구 천호동 363-14</t>
        </is>
      </c>
      <c r="AB3389" s="0" t="inlineStr">
        <is>
          <t>서울시</t>
        </is>
      </c>
      <c r="AC3389" s="0" t="inlineStr">
        <is>
          <t>강동구</t>
        </is>
      </c>
      <c r="AD3389" s="0" t="inlineStr">
        <is>
          <t>천호동</t>
        </is>
      </c>
      <c r="AG3389" s="0" t="inlineStr">
        <is>
          <t>서울시 강동구 천중로 64-9</t>
        </is>
      </c>
      <c r="AH3389" s="0" t="n">
        <v>0</v>
      </c>
      <c r="AI3389" s="0" t="n">
        <v>184</v>
      </c>
      <c r="AJ3389" s="0" t="n">
        <v>59</v>
      </c>
      <c r="AK3389" s="0" t="n">
        <v>12</v>
      </c>
      <c r="AL3389" s="0" t="n">
        <v>0.8</v>
      </c>
    </row>
    <row r="3390">
      <c r="A3390" s="0" t="inlineStr">
        <is>
          <t>[천호동]</t>
        </is>
      </c>
      <c r="B3390" s="0" t="n">
        <v>139304</v>
      </c>
      <c r="C3390" s="0" t="n">
        <v>2</v>
      </c>
      <c r="D3390" s="0" t="inlineStr">
        <is>
          <t>성우스타팰리스(363-14,도시형)</t>
        </is>
      </c>
      <c r="E3390" s="0" t="inlineStr">
        <is>
          <t>2017.01.</t>
        </is>
      </c>
      <c r="F3390" s="0" t="n">
        <v>15</v>
      </c>
      <c r="G3390" s="0" t="n">
        <v>6.64</v>
      </c>
      <c r="H3390" s="0" t="n">
        <v>21.97</v>
      </c>
      <c r="I3390" s="0" t="n">
        <v>5.81</v>
      </c>
      <c r="J3390" s="0" t="n">
        <v>19.23</v>
      </c>
      <c r="K3390" s="0" t="n">
        <v>1</v>
      </c>
      <c r="T3390" s="0" t="n">
        <v>1</v>
      </c>
      <c r="U3390" s="0" t="n">
        <v>1</v>
      </c>
      <c r="V3390" s="0" t="inlineStr">
        <is>
          <t>계단식</t>
        </is>
      </c>
      <c r="W3390" s="0" t="n">
        <v>21</v>
      </c>
      <c r="X3390" s="0" t="n">
        <v>6</v>
      </c>
      <c r="Y3390" s="0" t="n">
        <v>6</v>
      </c>
      <c r="Z3390" s="0" t="inlineStr">
        <is>
          <t>https://new.land.naver.com/complexes/139304?tab=detail&amp;rf=Y</t>
        </is>
      </c>
      <c r="AA3390" s="0" t="inlineStr">
        <is>
          <t>서울시 강동구 천호동 363-14</t>
        </is>
      </c>
      <c r="AB3390" s="0" t="inlineStr">
        <is>
          <t>서울시</t>
        </is>
      </c>
      <c r="AC3390" s="0" t="inlineStr">
        <is>
          <t>강동구</t>
        </is>
      </c>
      <c r="AD3390" s="0" t="inlineStr">
        <is>
          <t>천호동</t>
        </is>
      </c>
      <c r="AG3390" s="0" t="inlineStr">
        <is>
          <t>서울시 강동구 천중로 64-9</t>
        </is>
      </c>
      <c r="AH3390" s="0" t="n">
        <v>0</v>
      </c>
      <c r="AI3390" s="0" t="n">
        <v>184</v>
      </c>
      <c r="AJ3390" s="0" t="n">
        <v>59</v>
      </c>
      <c r="AK3390" s="0" t="n">
        <v>12</v>
      </c>
      <c r="AL3390" s="0" t="n">
        <v>0.8</v>
      </c>
    </row>
    <row r="3391">
      <c r="A3391" s="0" t="inlineStr">
        <is>
          <t>[천호동]</t>
        </is>
      </c>
      <c r="B3391" s="0" t="n">
        <v>139304</v>
      </c>
      <c r="C3391" s="0" t="n">
        <v>3</v>
      </c>
      <c r="D3391" s="0" t="inlineStr">
        <is>
          <t>성우스타팰리스(363-14,도시형)</t>
        </is>
      </c>
      <c r="E3391" s="0" t="inlineStr">
        <is>
          <t>2017.01.</t>
        </is>
      </c>
      <c r="F3391" s="0" t="n">
        <v>15</v>
      </c>
      <c r="G3391" s="0" t="n">
        <v>10.17</v>
      </c>
      <c r="H3391" s="0" t="n">
        <v>33.63</v>
      </c>
      <c r="I3391" s="0" t="n">
        <v>8.9</v>
      </c>
      <c r="J3391" s="0" t="n">
        <v>29.43</v>
      </c>
      <c r="K3391" s="0" t="n">
        <v>1</v>
      </c>
      <c r="T3391" s="0" t="n">
        <v>1</v>
      </c>
      <c r="U3391" s="0" t="n">
        <v>1</v>
      </c>
      <c r="V3391" s="0" t="inlineStr">
        <is>
          <t>계단식</t>
        </is>
      </c>
      <c r="W3391" s="0" t="n">
        <v>33</v>
      </c>
      <c r="X3391" s="0" t="n">
        <v>6</v>
      </c>
      <c r="Y3391" s="0" t="n">
        <v>6</v>
      </c>
      <c r="Z3391" s="0" t="inlineStr">
        <is>
          <t>https://new.land.naver.com/complexes/139304?tab=detail&amp;rf=Y</t>
        </is>
      </c>
      <c r="AA3391" s="0" t="inlineStr">
        <is>
          <t>서울시 강동구 천호동 363-14</t>
        </is>
      </c>
      <c r="AB3391" s="0" t="inlineStr">
        <is>
          <t>서울시</t>
        </is>
      </c>
      <c r="AC3391" s="0" t="inlineStr">
        <is>
          <t>강동구</t>
        </is>
      </c>
      <c r="AD3391" s="0" t="inlineStr">
        <is>
          <t>천호동</t>
        </is>
      </c>
      <c r="AG3391" s="0" t="inlineStr">
        <is>
          <t>서울시 강동구 천중로 64-9</t>
        </is>
      </c>
      <c r="AH3391" s="0" t="n">
        <v>0</v>
      </c>
      <c r="AI3391" s="0" t="n">
        <v>184</v>
      </c>
      <c r="AJ3391" s="0" t="n">
        <v>59</v>
      </c>
      <c r="AK3391" s="0" t="n">
        <v>12</v>
      </c>
      <c r="AL3391" s="0" t="n">
        <v>0.8</v>
      </c>
    </row>
    <row r="3392">
      <c r="A3392" s="0" t="inlineStr">
        <is>
          <t>[천호동]</t>
        </is>
      </c>
      <c r="B3392" s="0" t="n">
        <v>139304</v>
      </c>
      <c r="C3392" s="0" t="n">
        <v>4</v>
      </c>
      <c r="D3392" s="0" t="inlineStr">
        <is>
          <t>성우스타팰리스(363-14,도시형)</t>
        </is>
      </c>
      <c r="E3392" s="0" t="inlineStr">
        <is>
          <t>2017.01.</t>
        </is>
      </c>
      <c r="F3392" s="0" t="n">
        <v>15</v>
      </c>
      <c r="G3392" s="0" t="n">
        <v>13.53</v>
      </c>
      <c r="H3392" s="0" t="n">
        <v>44.75</v>
      </c>
      <c r="I3392" s="0" t="n">
        <v>11.84</v>
      </c>
      <c r="J3392" s="0" t="n">
        <v>39.16</v>
      </c>
      <c r="K3392" s="0" t="n">
        <v>4</v>
      </c>
      <c r="T3392" s="0" t="n">
        <v>1</v>
      </c>
      <c r="U3392" s="0" t="n">
        <v>1</v>
      </c>
      <c r="V3392" s="0" t="inlineStr">
        <is>
          <t>계단식</t>
        </is>
      </c>
      <c r="W3392" s="0" t="inlineStr">
        <is>
          <t>44A</t>
        </is>
      </c>
      <c r="X3392" s="0" t="n">
        <v>6</v>
      </c>
      <c r="Y3392" s="0" t="n">
        <v>6</v>
      </c>
      <c r="Z3392" s="0" t="inlineStr">
        <is>
          <t>https://new.land.naver.com/complexes/139304?tab=detail&amp;rf=Y</t>
        </is>
      </c>
      <c r="AA3392" s="0" t="inlineStr">
        <is>
          <t>서울시 강동구 천호동 363-14</t>
        </is>
      </c>
      <c r="AB3392" s="0" t="inlineStr">
        <is>
          <t>서울시</t>
        </is>
      </c>
      <c r="AC3392" s="0" t="inlineStr">
        <is>
          <t>강동구</t>
        </is>
      </c>
      <c r="AD3392" s="0" t="inlineStr">
        <is>
          <t>천호동</t>
        </is>
      </c>
      <c r="AG3392" s="0" t="inlineStr">
        <is>
          <t>서울시 강동구 천중로 64-9</t>
        </is>
      </c>
      <c r="AH3392" s="0" t="n">
        <v>0</v>
      </c>
      <c r="AI3392" s="0" t="n">
        <v>184</v>
      </c>
      <c r="AJ3392" s="0" t="n">
        <v>59</v>
      </c>
      <c r="AK3392" s="0" t="n">
        <v>12</v>
      </c>
      <c r="AL3392" s="0" t="n">
        <v>0.8</v>
      </c>
    </row>
    <row r="3393">
      <c r="A3393" s="0" t="inlineStr">
        <is>
          <t>[천호동]</t>
        </is>
      </c>
      <c r="B3393" s="0" t="n">
        <v>139304</v>
      </c>
      <c r="C3393" s="0" t="n">
        <v>5</v>
      </c>
      <c r="D3393" s="0" t="inlineStr">
        <is>
          <t>성우스타팰리스(363-14,도시형)</t>
        </is>
      </c>
      <c r="E3393" s="0" t="inlineStr">
        <is>
          <t>2017.01.</t>
        </is>
      </c>
      <c r="F3393" s="0" t="n">
        <v>15</v>
      </c>
      <c r="G3393" s="0" t="n">
        <v>14.09</v>
      </c>
      <c r="H3393" s="0" t="n">
        <v>46.6</v>
      </c>
      <c r="I3393" s="0" t="n">
        <v>12.33</v>
      </c>
      <c r="J3393" s="0" t="n">
        <v>40.78</v>
      </c>
      <c r="K3393" s="0" t="n">
        <v>2</v>
      </c>
      <c r="T3393" s="0" t="n">
        <v>1</v>
      </c>
      <c r="U3393" s="0" t="n">
        <v>1</v>
      </c>
      <c r="V3393" s="0" t="inlineStr">
        <is>
          <t>계단식</t>
        </is>
      </c>
      <c r="W3393" s="0" t="inlineStr">
        <is>
          <t>46B</t>
        </is>
      </c>
      <c r="X3393" s="0" t="n">
        <v>6</v>
      </c>
      <c r="Y3393" s="0" t="n">
        <v>6</v>
      </c>
      <c r="Z3393" s="0" t="inlineStr">
        <is>
          <t>https://new.land.naver.com/complexes/139304?tab=detail&amp;rf=Y</t>
        </is>
      </c>
      <c r="AA3393" s="0" t="inlineStr">
        <is>
          <t>서울시 강동구 천호동 363-14</t>
        </is>
      </c>
      <c r="AB3393" s="0" t="inlineStr">
        <is>
          <t>서울시</t>
        </is>
      </c>
      <c r="AC3393" s="0" t="inlineStr">
        <is>
          <t>강동구</t>
        </is>
      </c>
      <c r="AD3393" s="0" t="inlineStr">
        <is>
          <t>천호동</t>
        </is>
      </c>
      <c r="AG3393" s="0" t="inlineStr">
        <is>
          <t>서울시 강동구 천중로 64-9</t>
        </is>
      </c>
      <c r="AH3393" s="0" t="n">
        <v>0</v>
      </c>
      <c r="AI3393" s="0" t="n">
        <v>184</v>
      </c>
      <c r="AJ3393" s="0" t="n">
        <v>59</v>
      </c>
      <c r="AK3393" s="0" t="n">
        <v>12</v>
      </c>
      <c r="AL3393" s="0" t="n">
        <v>0.8</v>
      </c>
    </row>
    <row r="3394">
      <c r="A3394" s="0" t="inlineStr">
        <is>
          <t>[천호동]</t>
        </is>
      </c>
      <c r="B3394" s="0" t="n">
        <v>139304</v>
      </c>
      <c r="C3394" s="0" t="n">
        <v>6</v>
      </c>
      <c r="D3394" s="0" t="inlineStr">
        <is>
          <t>성우스타팰리스(363-14,도시형)</t>
        </is>
      </c>
      <c r="E3394" s="0" t="inlineStr">
        <is>
          <t>2017.01.</t>
        </is>
      </c>
      <c r="F3394" s="0" t="n">
        <v>15</v>
      </c>
      <c r="G3394" s="0" t="n">
        <v>14.3</v>
      </c>
      <c r="H3394" s="0" t="n">
        <v>47.3</v>
      </c>
      <c r="I3394" s="0" t="n">
        <v>12.52</v>
      </c>
      <c r="J3394" s="0" t="n">
        <v>41.4</v>
      </c>
      <c r="K3394" s="0" t="n">
        <v>1</v>
      </c>
      <c r="T3394" s="0" t="n">
        <v>1</v>
      </c>
      <c r="U3394" s="0" t="n">
        <v>1</v>
      </c>
      <c r="V3394" s="0" t="inlineStr">
        <is>
          <t>계단식</t>
        </is>
      </c>
      <c r="W3394" s="0" t="inlineStr">
        <is>
          <t>47C</t>
        </is>
      </c>
      <c r="X3394" s="0" t="n">
        <v>6</v>
      </c>
      <c r="Y3394" s="0" t="n">
        <v>6</v>
      </c>
      <c r="Z3394" s="0" t="inlineStr">
        <is>
          <t>https://new.land.naver.com/complexes/139304?tab=detail&amp;rf=Y</t>
        </is>
      </c>
      <c r="AA3394" s="0" t="inlineStr">
        <is>
          <t>서울시 강동구 천호동 363-14</t>
        </is>
      </c>
      <c r="AB3394" s="0" t="inlineStr">
        <is>
          <t>서울시</t>
        </is>
      </c>
      <c r="AC3394" s="0" t="inlineStr">
        <is>
          <t>강동구</t>
        </is>
      </c>
      <c r="AD3394" s="0" t="inlineStr">
        <is>
          <t>천호동</t>
        </is>
      </c>
      <c r="AG3394" s="0" t="inlineStr">
        <is>
          <t>서울시 강동구 천중로 64-9</t>
        </is>
      </c>
      <c r="AH3394" s="0" t="n">
        <v>0</v>
      </c>
      <c r="AI3394" s="0" t="n">
        <v>184</v>
      </c>
      <c r="AJ3394" s="0" t="n">
        <v>59</v>
      </c>
      <c r="AK3394" s="0" t="n">
        <v>12</v>
      </c>
      <c r="AL3394" s="0" t="n">
        <v>0.8</v>
      </c>
    </row>
    <row r="3395">
      <c r="A3395" s="0" t="inlineStr">
        <is>
          <t>[천호동]</t>
        </is>
      </c>
      <c r="B3395" s="0" t="n">
        <v>139304</v>
      </c>
      <c r="C3395" s="0" t="n">
        <v>7</v>
      </c>
      <c r="D3395" s="0" t="inlineStr">
        <is>
          <t>성우스타팰리스(363-14,도시형)</t>
        </is>
      </c>
      <c r="E3395" s="0" t="inlineStr">
        <is>
          <t>2017.01.</t>
        </is>
      </c>
      <c r="F3395" s="0" t="n">
        <v>15</v>
      </c>
      <c r="G3395" s="0" t="n">
        <v>15.2</v>
      </c>
      <c r="H3395" s="0" t="n">
        <v>50.25</v>
      </c>
      <c r="I3395" s="0" t="n">
        <v>13.3</v>
      </c>
      <c r="J3395" s="0" t="n">
        <v>43.98</v>
      </c>
      <c r="K3395" s="0" t="n">
        <v>1</v>
      </c>
      <c r="T3395" s="0" t="n">
        <v>1</v>
      </c>
      <c r="U3395" s="0" t="n">
        <v>1</v>
      </c>
      <c r="V3395" s="0" t="inlineStr">
        <is>
          <t>계단식</t>
        </is>
      </c>
      <c r="W3395" s="0" t="inlineStr">
        <is>
          <t>50A</t>
        </is>
      </c>
      <c r="X3395" s="0" t="n">
        <v>6</v>
      </c>
      <c r="Y3395" s="0" t="n">
        <v>6</v>
      </c>
      <c r="Z3395" s="0" t="inlineStr">
        <is>
          <t>https://new.land.naver.com/complexes/139304?tab=detail&amp;rf=Y</t>
        </is>
      </c>
      <c r="AA3395" s="0" t="inlineStr">
        <is>
          <t>서울시 강동구 천호동 363-14</t>
        </is>
      </c>
      <c r="AB3395" s="0" t="inlineStr">
        <is>
          <t>서울시</t>
        </is>
      </c>
      <c r="AC3395" s="0" t="inlineStr">
        <is>
          <t>강동구</t>
        </is>
      </c>
      <c r="AD3395" s="0" t="inlineStr">
        <is>
          <t>천호동</t>
        </is>
      </c>
      <c r="AG3395" s="0" t="inlineStr">
        <is>
          <t>서울시 강동구 천중로 64-9</t>
        </is>
      </c>
      <c r="AH3395" s="0" t="n">
        <v>0</v>
      </c>
      <c r="AI3395" s="0" t="n">
        <v>184</v>
      </c>
      <c r="AJ3395" s="0" t="n">
        <v>59</v>
      </c>
      <c r="AK3395" s="0" t="n">
        <v>12</v>
      </c>
      <c r="AL3395" s="0" t="n">
        <v>0.8</v>
      </c>
    </row>
    <row r="3396">
      <c r="A3396" s="0" t="inlineStr">
        <is>
          <t>[천호동]</t>
        </is>
      </c>
      <c r="B3396" s="0" t="n">
        <v>139304</v>
      </c>
      <c r="C3396" s="0" t="n">
        <v>8</v>
      </c>
      <c r="D3396" s="0" t="inlineStr">
        <is>
          <t>성우스타팰리스(363-14,도시형)</t>
        </is>
      </c>
      <c r="E3396" s="0" t="inlineStr">
        <is>
          <t>2017.01.</t>
        </is>
      </c>
      <c r="F3396" s="0" t="n">
        <v>15</v>
      </c>
      <c r="G3396" s="0" t="n">
        <v>15.41</v>
      </c>
      <c r="H3396" s="0" t="n">
        <v>50.95</v>
      </c>
      <c r="I3396" s="0" t="n">
        <v>13.48</v>
      </c>
      <c r="J3396" s="0" t="n">
        <v>44.59</v>
      </c>
      <c r="K3396" s="0" t="n">
        <v>1</v>
      </c>
      <c r="T3396" s="0" t="n">
        <v>1</v>
      </c>
      <c r="U3396" s="0" t="n">
        <v>1</v>
      </c>
      <c r="V3396" s="0" t="inlineStr">
        <is>
          <t>계단식</t>
        </is>
      </c>
      <c r="W3396" s="0" t="inlineStr">
        <is>
          <t>50B</t>
        </is>
      </c>
      <c r="X3396" s="0" t="n">
        <v>6</v>
      </c>
      <c r="Y3396" s="0" t="n">
        <v>6</v>
      </c>
      <c r="Z3396" s="0" t="inlineStr">
        <is>
          <t>https://new.land.naver.com/complexes/139304?tab=detail&amp;rf=Y</t>
        </is>
      </c>
      <c r="AA3396" s="0" t="inlineStr">
        <is>
          <t>서울시 강동구 천호동 363-14</t>
        </is>
      </c>
      <c r="AB3396" s="0" t="inlineStr">
        <is>
          <t>서울시</t>
        </is>
      </c>
      <c r="AC3396" s="0" t="inlineStr">
        <is>
          <t>강동구</t>
        </is>
      </c>
      <c r="AD3396" s="0" t="inlineStr">
        <is>
          <t>천호동</t>
        </is>
      </c>
      <c r="AG3396" s="0" t="inlineStr">
        <is>
          <t>서울시 강동구 천중로 64-9</t>
        </is>
      </c>
      <c r="AH3396" s="0" t="n">
        <v>0</v>
      </c>
      <c r="AI3396" s="0" t="n">
        <v>184</v>
      </c>
      <c r="AJ3396" s="0" t="n">
        <v>59</v>
      </c>
      <c r="AK3396" s="0" t="n">
        <v>12</v>
      </c>
      <c r="AL3396" s="0" t="n">
        <v>0.8</v>
      </c>
    </row>
    <row r="3397">
      <c r="A3397" s="0" t="inlineStr">
        <is>
          <t>[천호동]</t>
        </is>
      </c>
      <c r="B3397" s="0" t="n">
        <v>139304</v>
      </c>
      <c r="C3397" s="0" t="n">
        <v>9</v>
      </c>
      <c r="D3397" s="0" t="inlineStr">
        <is>
          <t>성우스타팰리스(363-14,도시형)</t>
        </is>
      </c>
      <c r="E3397" s="0" t="inlineStr">
        <is>
          <t>2017.01.</t>
        </is>
      </c>
      <c r="F3397" s="0" t="n">
        <v>15</v>
      </c>
      <c r="G3397" s="0" t="n">
        <v>16.31</v>
      </c>
      <c r="H3397" s="0" t="n">
        <v>53.95</v>
      </c>
      <c r="I3397" s="0" t="n">
        <v>14.28</v>
      </c>
      <c r="J3397" s="0" t="n">
        <v>47.22</v>
      </c>
      <c r="K3397" s="0" t="n">
        <v>3</v>
      </c>
      <c r="T3397" s="0" t="n">
        <v>1</v>
      </c>
      <c r="U3397" s="0" t="n">
        <v>1</v>
      </c>
      <c r="V3397" s="0" t="inlineStr">
        <is>
          <t>계단식</t>
        </is>
      </c>
      <c r="W3397" s="0" t="n">
        <v>53</v>
      </c>
      <c r="X3397" s="0" t="n">
        <v>6</v>
      </c>
      <c r="Y3397" s="0" t="n">
        <v>6</v>
      </c>
      <c r="Z3397" s="0" t="inlineStr">
        <is>
          <t>https://new.land.naver.com/complexes/139304?tab=detail&amp;rf=Y</t>
        </is>
      </c>
      <c r="AA3397" s="0" t="inlineStr">
        <is>
          <t>서울시 강동구 천호동 363-14</t>
        </is>
      </c>
      <c r="AB3397" s="0" t="inlineStr">
        <is>
          <t>서울시</t>
        </is>
      </c>
      <c r="AC3397" s="0" t="inlineStr">
        <is>
          <t>강동구</t>
        </is>
      </c>
      <c r="AD3397" s="0" t="inlineStr">
        <is>
          <t>천호동</t>
        </is>
      </c>
      <c r="AG3397" s="0" t="inlineStr">
        <is>
          <t>서울시 강동구 천중로 64-9</t>
        </is>
      </c>
      <c r="AH3397" s="0" t="n">
        <v>0</v>
      </c>
      <c r="AI3397" s="0" t="n">
        <v>184</v>
      </c>
      <c r="AJ3397" s="0" t="n">
        <v>59</v>
      </c>
      <c r="AK3397" s="0" t="n">
        <v>12</v>
      </c>
      <c r="AL3397" s="0" t="n">
        <v>0.8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9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2" sqref="A92:XFD92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강일동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강동리버스트4단지</t>
        </is>
      </c>
      <c r="B6" s="16" t="inlineStr">
        <is>
          <t>'20.08.</t>
        </is>
      </c>
      <c r="C6" s="164" t="n">
        <v>1239</v>
      </c>
      <c r="D6" s="161" t="n">
        <v>73.5</v>
      </c>
      <c r="E6" s="163" t="n">
        <v>22</v>
      </c>
      <c r="F6" s="161" t="n">
        <v>49.8</v>
      </c>
      <c r="G6" s="27" t="n">
        <v>15</v>
      </c>
      <c r="H6" s="164" t="n">
        <v>345</v>
      </c>
      <c r="I6" s="165" t="n"/>
      <c r="J6" s="165" t="n"/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2</v>
      </c>
      <c r="R6" s="113" t="n">
        <v>1</v>
      </c>
      <c r="S6" s="113" t="inlineStr">
        <is>
          <t>계</t>
        </is>
      </c>
      <c r="T6" s="8" t="inlineStr">
        <is>
          <t>73A</t>
        </is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강동리버스트4단지</t>
        </is>
      </c>
      <c r="B7" s="16" t="inlineStr">
        <is>
          <t>'20.08.</t>
        </is>
      </c>
      <c r="C7" s="164" t="n">
        <v>1239</v>
      </c>
      <c r="D7" s="161" t="n">
        <v>87.90000000000001</v>
      </c>
      <c r="E7" s="163" t="n">
        <v>27</v>
      </c>
      <c r="F7" s="161" t="n">
        <v>60</v>
      </c>
      <c r="G7" s="27" t="n">
        <v>18</v>
      </c>
      <c r="H7" s="164" t="n">
        <v>297</v>
      </c>
      <c r="I7" s="165" t="n"/>
      <c r="J7" s="165" t="n"/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87A</t>
        </is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n"/>
      <c r="B8" s="113" t="n"/>
      <c r="C8" s="10" t="n"/>
      <c r="D8" s="13" t="n"/>
      <c r="E8" s="20" t="n"/>
      <c r="F8" s="161" t="n"/>
      <c r="G8" s="13" t="n"/>
      <c r="H8" s="13" t="n"/>
      <c r="I8" s="13" t="n"/>
      <c r="J8" s="13" t="n"/>
      <c r="K8" s="13" t="n"/>
      <c r="L8" s="13" t="n"/>
      <c r="M8" s="13" t="n"/>
      <c r="N8" s="13" t="n"/>
      <c r="O8" s="162" t="n"/>
      <c r="P8" s="162" t="n"/>
      <c r="Q8" s="163" t="n"/>
      <c r="R8" s="163" t="n"/>
      <c r="S8" s="13" t="n"/>
      <c r="T8" s="70" t="n"/>
      <c r="U8" s="13" t="n"/>
      <c r="W8" s="107">
        <f>$A$4&amp;" "&amp;A9&amp;"("&amp;B9&amp;","&amp;C9&amp;"^)"</f>
        <v/>
      </c>
      <c r="X8" s="108" t="n"/>
      <c r="Y8" s="108" t="n"/>
      <c r="Z8" s="108" t="n"/>
      <c r="AA8" s="108" t="n"/>
      <c r="AB8" s="108" t="n"/>
      <c r="AC8" s="108" t="n"/>
      <c r="AD8" s="108" t="n"/>
      <c r="AE8" s="108" t="n"/>
      <c r="AF8" s="109" t="n"/>
      <c r="AH8" s="36">
        <f>IF(A8="","",A8)</f>
        <v/>
      </c>
      <c r="AI8" s="160">
        <f>IF(E8="","",E8)</f>
        <v/>
      </c>
      <c r="AJ8" s="113" t="n"/>
      <c r="AK8" s="113" t="n"/>
      <c r="AL8" s="113" t="n"/>
      <c r="AM8" s="113" t="n"/>
      <c r="AN8" s="113" t="n"/>
      <c r="AO8" s="113" t="n"/>
      <c r="AP8" s="113" t="n"/>
      <c r="AQ8" s="113" t="n"/>
      <c r="AR8" s="113" t="n"/>
      <c r="AS8" s="113" t="n"/>
      <c r="AT8" s="113" t="n"/>
      <c r="AU8" s="113" t="n"/>
      <c r="AV8" s="113" t="n"/>
    </row>
    <row r="9">
      <c r="A9" s="13" t="inlineStr">
        <is>
          <t>강일리버파크5단지</t>
        </is>
      </c>
      <c r="B9" s="16" t="inlineStr">
        <is>
          <t>'09.07.</t>
        </is>
      </c>
      <c r="C9" s="164" t="n">
        <v>722</v>
      </c>
      <c r="D9" s="161" t="n">
        <v>82.09999999999999</v>
      </c>
      <c r="E9" s="163" t="n">
        <v>25</v>
      </c>
      <c r="F9" s="161" t="n">
        <v>59.9</v>
      </c>
      <c r="G9" s="27" t="n">
        <v>18</v>
      </c>
      <c r="H9" s="164" t="n">
        <v>82</v>
      </c>
      <c r="I9" s="165" t="n">
        <v>107000</v>
      </c>
      <c r="J9" s="165" t="inlineStr">
        <is>
          <t>11</t>
        </is>
      </c>
      <c r="K9" s="165" t="n"/>
      <c r="L9" s="165" t="n"/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82A</t>
        </is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강일리버파크5단지</t>
        </is>
      </c>
      <c r="B10" s="16" t="inlineStr">
        <is>
          <t>'09.07.</t>
        </is>
      </c>
      <c r="C10" s="164" t="n">
        <v>722</v>
      </c>
      <c r="D10" s="161" t="n">
        <v>110</v>
      </c>
      <c r="E10" s="163" t="n">
        <v>33</v>
      </c>
      <c r="F10" s="161" t="n">
        <v>84.8</v>
      </c>
      <c r="G10" s="27" t="n">
        <v>26</v>
      </c>
      <c r="H10" s="164" t="n">
        <v>152</v>
      </c>
      <c r="I10" s="165" t="n">
        <v>115000</v>
      </c>
      <c r="J10" s="165" t="inlineStr">
        <is>
          <t>중</t>
        </is>
      </c>
      <c r="K10" s="165" t="n">
        <v>65000</v>
      </c>
      <c r="L10" s="165" t="inlineStr">
        <is>
          <t>7</t>
        </is>
      </c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109A</t>
        </is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강일리버파크5단지</t>
        </is>
      </c>
      <c r="B11" s="16" t="inlineStr">
        <is>
          <t>'09.07.</t>
        </is>
      </c>
      <c r="C11" s="164" t="n">
        <v>722</v>
      </c>
      <c r="D11" s="161" t="n">
        <v>110.9</v>
      </c>
      <c r="E11" s="163" t="n">
        <v>34</v>
      </c>
      <c r="F11" s="161" t="n">
        <v>84.5</v>
      </c>
      <c r="G11" s="27" t="n">
        <v>26</v>
      </c>
      <c r="H11" s="164" t="n">
        <v>28</v>
      </c>
      <c r="I11" s="165" t="n">
        <v>115000</v>
      </c>
      <c r="J11" s="165" t="inlineStr">
        <is>
          <t>고</t>
        </is>
      </c>
      <c r="K11" s="165" t="n">
        <v>65000</v>
      </c>
      <c r="L11" s="165" t="inlineStr">
        <is>
          <t>6</t>
        </is>
      </c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inlineStr">
        <is>
          <t>110B</t>
        </is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강일리버파크5단지</t>
        </is>
      </c>
      <c r="B12" s="16" t="inlineStr">
        <is>
          <t>'09.07.</t>
        </is>
      </c>
      <c r="C12" s="164" t="n">
        <v>722</v>
      </c>
      <c r="D12" s="161" t="n">
        <v>110.6</v>
      </c>
      <c r="E12" s="163" t="n">
        <v>33</v>
      </c>
      <c r="F12" s="161" t="n">
        <v>84.7</v>
      </c>
      <c r="G12" s="27" t="n">
        <v>26</v>
      </c>
      <c r="H12" s="164" t="n">
        <v>28</v>
      </c>
      <c r="I12" s="165" t="n">
        <v>125000</v>
      </c>
      <c r="J12" s="165" t="inlineStr">
        <is>
          <t>5</t>
        </is>
      </c>
      <c r="K12" s="165" t="n"/>
      <c r="L12" s="165" t="n"/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inlineStr">
        <is>
          <t>110C</t>
        </is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n"/>
      <c r="B13" s="113" t="n"/>
      <c r="C13" s="10" t="n"/>
      <c r="D13" s="13" t="n"/>
      <c r="E13" s="20" t="n"/>
      <c r="F13" s="161" t="n"/>
      <c r="G13" s="13" t="n"/>
      <c r="H13" s="13" t="n"/>
      <c r="I13" s="13" t="n"/>
      <c r="J13" s="13" t="n"/>
      <c r="K13" s="13" t="n"/>
      <c r="L13" s="13" t="n"/>
      <c r="M13" s="13" t="n"/>
      <c r="N13" s="13" t="n"/>
      <c r="O13" s="162" t="n"/>
      <c r="P13" s="162" t="n"/>
      <c r="Q13" s="163" t="n"/>
      <c r="R13" s="163" t="n"/>
      <c r="S13" s="13" t="n"/>
      <c r="T13" s="70" t="n"/>
      <c r="U13" s="13" t="n"/>
      <c r="W13" s="107">
        <f>$A$4&amp;" "&amp;A14&amp;"("&amp;B14&amp;","&amp;C14&amp;"^)"</f>
        <v/>
      </c>
      <c r="X13" s="108" t="n"/>
      <c r="Y13" s="108" t="n"/>
      <c r="Z13" s="108" t="n"/>
      <c r="AA13" s="108" t="n"/>
      <c r="AB13" s="108" t="n"/>
      <c r="AC13" s="108" t="n"/>
      <c r="AD13" s="108" t="n"/>
      <c r="AE13" s="108" t="n"/>
      <c r="AF13" s="109" t="n"/>
      <c r="AH13" s="36">
        <f>IF(A13="","",A13)</f>
        <v/>
      </c>
      <c r="AI13" s="160">
        <f>IF(E13="","",E13)</f>
        <v/>
      </c>
      <c r="AJ13" s="113" t="n"/>
      <c r="AK13" s="113" t="n"/>
      <c r="AL13" s="113" t="n"/>
      <c r="AM13" s="113" t="n"/>
      <c r="AN13" s="113" t="n"/>
      <c r="AO13" s="113" t="n"/>
      <c r="AP13" s="113" t="n"/>
      <c r="AQ13" s="113" t="n"/>
      <c r="AR13" s="113" t="n"/>
      <c r="AS13" s="113" t="n"/>
      <c r="AT13" s="113" t="n"/>
      <c r="AU13" s="113" t="n"/>
      <c r="AV13" s="113" t="n"/>
    </row>
    <row r="14">
      <c r="A14" s="13" t="inlineStr">
        <is>
          <t>강일리버파크6단지</t>
        </is>
      </c>
      <c r="B14" s="16" t="inlineStr">
        <is>
          <t>'09.03.</t>
        </is>
      </c>
      <c r="C14" s="164" t="n">
        <v>553</v>
      </c>
      <c r="D14" s="161" t="n">
        <v>109.9</v>
      </c>
      <c r="E14" s="163" t="n">
        <v>33</v>
      </c>
      <c r="F14" s="161" t="n">
        <v>84.8</v>
      </c>
      <c r="G14" s="27" t="n">
        <v>26</v>
      </c>
      <c r="H14" s="164" t="n">
        <v>20</v>
      </c>
      <c r="I14" s="165" t="n">
        <v>115000</v>
      </c>
      <c r="J14" s="165" t="inlineStr">
        <is>
          <t>고</t>
        </is>
      </c>
      <c r="K14" s="165" t="n">
        <v>67000</v>
      </c>
      <c r="L14" s="165" t="inlineStr">
        <is>
          <t>7</t>
        </is>
      </c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inlineStr">
        <is>
          <t>109A</t>
        </is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강일리버파크6단지</t>
        </is>
      </c>
      <c r="B15" s="16" t="inlineStr">
        <is>
          <t>'09.03.</t>
        </is>
      </c>
      <c r="C15" s="164" t="n">
        <v>553</v>
      </c>
      <c r="D15" s="161" t="n">
        <v>110.8</v>
      </c>
      <c r="E15" s="163" t="n">
        <v>34</v>
      </c>
      <c r="F15" s="161" t="n">
        <v>84.5</v>
      </c>
      <c r="G15" s="27" t="n">
        <v>26</v>
      </c>
      <c r="H15" s="164" t="n">
        <v>112</v>
      </c>
      <c r="I15" s="165" t="n">
        <v>112000</v>
      </c>
      <c r="J15" s="165" t="inlineStr">
        <is>
          <t>13</t>
        </is>
      </c>
      <c r="K15" s="165" t="n">
        <v>63000</v>
      </c>
      <c r="L15" s="165" t="inlineStr">
        <is>
          <t>13</t>
        </is>
      </c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inlineStr">
        <is>
          <t>110B</t>
        </is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강일리버파크6단지</t>
        </is>
      </c>
      <c r="B16" s="16" t="inlineStr">
        <is>
          <t>'09.03.</t>
        </is>
      </c>
      <c r="C16" s="164" t="n">
        <v>553</v>
      </c>
      <c r="D16" s="161" t="n">
        <v>110.5</v>
      </c>
      <c r="E16" s="163" t="n">
        <v>33</v>
      </c>
      <c r="F16" s="161" t="n">
        <v>84.7</v>
      </c>
      <c r="G16" s="27" t="n">
        <v>26</v>
      </c>
      <c r="H16" s="164" t="n">
        <v>98</v>
      </c>
      <c r="I16" s="165" t="n">
        <v>120000</v>
      </c>
      <c r="J16" s="165" t="inlineStr">
        <is>
          <t>6</t>
        </is>
      </c>
      <c r="K16" s="165" t="n">
        <v>63000</v>
      </c>
      <c r="L16" s="165" t="inlineStr">
        <is>
          <t>고</t>
        </is>
      </c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inlineStr">
        <is>
          <t>110C</t>
        </is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n"/>
      <c r="B17" s="113" t="n"/>
      <c r="C17" s="10" t="n"/>
      <c r="D17" s="13" t="n"/>
      <c r="E17" s="20" t="n"/>
      <c r="F17" s="161" t="n"/>
      <c r="G17" s="13" t="n"/>
      <c r="H17" s="13" t="n"/>
      <c r="I17" s="13" t="n"/>
      <c r="J17" s="13" t="n"/>
      <c r="K17" s="13" t="n"/>
      <c r="L17" s="13" t="n"/>
      <c r="M17" s="13" t="n"/>
      <c r="N17" s="13" t="n"/>
      <c r="O17" s="162" t="n"/>
      <c r="P17" s="162" t="n"/>
      <c r="Q17" s="163" t="n"/>
      <c r="R17" s="163" t="n"/>
      <c r="S17" s="13" t="n"/>
      <c r="T17" s="70" t="n"/>
      <c r="U17" s="13" t="n"/>
      <c r="W17" s="107">
        <f>$A$4&amp;" "&amp;A18&amp;"("&amp;B18&amp;","&amp;C18&amp;"^)"</f>
        <v/>
      </c>
      <c r="X17" s="108" t="n"/>
      <c r="Y17" s="108" t="n"/>
      <c r="Z17" s="108" t="n"/>
      <c r="AA17" s="108" t="n"/>
      <c r="AB17" s="108" t="n"/>
      <c r="AC17" s="108" t="n"/>
      <c r="AD17" s="108" t="n"/>
      <c r="AE17" s="108" t="n"/>
      <c r="AF17" s="109" t="n"/>
      <c r="AH17" s="36">
        <f>IF(A17="","",A17)</f>
        <v/>
      </c>
      <c r="AI17" s="160">
        <f>IF(E17="","",E17)</f>
        <v/>
      </c>
      <c r="AJ17" s="113" t="n"/>
      <c r="AK17" s="113" t="n"/>
      <c r="AL17" s="113" t="n"/>
      <c r="AM17" s="113" t="n"/>
      <c r="AN17" s="113" t="n"/>
      <c r="AO17" s="113" t="n"/>
      <c r="AP17" s="113" t="n"/>
      <c r="AQ17" s="113" t="n"/>
      <c r="AR17" s="113" t="n"/>
      <c r="AS17" s="113" t="n"/>
      <c r="AT17" s="113" t="n"/>
      <c r="AU17" s="113" t="n"/>
      <c r="AV17" s="113" t="n"/>
    </row>
    <row r="18">
      <c r="A18" s="13" t="inlineStr">
        <is>
          <t>강일리버파크10단지</t>
        </is>
      </c>
      <c r="B18" s="16" t="inlineStr">
        <is>
          <t>'09.04.</t>
        </is>
      </c>
      <c r="C18" s="164" t="n">
        <v>694</v>
      </c>
      <c r="D18" s="161" t="n">
        <v>109.5</v>
      </c>
      <c r="E18" s="163" t="n">
        <v>33</v>
      </c>
      <c r="F18" s="161" t="n">
        <v>84.8</v>
      </c>
      <c r="G18" s="27" t="n">
        <v>26</v>
      </c>
      <c r="H18" s="164" t="n">
        <v>24</v>
      </c>
      <c r="I18" s="165" t="n"/>
      <c r="J18" s="165" t="n"/>
      <c r="K18" s="165" t="n"/>
      <c r="L18" s="165" t="n"/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inlineStr">
        <is>
          <t>109A</t>
        </is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강일리버파크10단지</t>
        </is>
      </c>
      <c r="B19" s="16" t="inlineStr">
        <is>
          <t>'09.04.</t>
        </is>
      </c>
      <c r="C19" s="164" t="n">
        <v>694</v>
      </c>
      <c r="D19" s="161" t="n">
        <v>110.1</v>
      </c>
      <c r="E19" s="163" t="n">
        <v>33</v>
      </c>
      <c r="F19" s="161" t="n">
        <v>84.7</v>
      </c>
      <c r="G19" s="27" t="n">
        <v>26</v>
      </c>
      <c r="H19" s="164" t="n">
        <v>78</v>
      </c>
      <c r="I19" s="165" t="n">
        <v>115000</v>
      </c>
      <c r="J19" s="165" t="inlineStr">
        <is>
          <t>11</t>
        </is>
      </c>
      <c r="K19" s="165" t="n">
        <v>65000</v>
      </c>
      <c r="L19" s="165" t="inlineStr">
        <is>
          <t>중</t>
        </is>
      </c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3</v>
      </c>
      <c r="R19" s="113" t="n">
        <v>2</v>
      </c>
      <c r="S19" s="113" t="inlineStr">
        <is>
          <t>계</t>
        </is>
      </c>
      <c r="T19" s="8" t="inlineStr">
        <is>
          <t>110C</t>
        </is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강일리버파크10단지</t>
        </is>
      </c>
      <c r="B20" s="16" t="inlineStr">
        <is>
          <t>'09.04.</t>
        </is>
      </c>
      <c r="C20" s="164" t="n">
        <v>694</v>
      </c>
      <c r="D20" s="161" t="n">
        <v>110.4</v>
      </c>
      <c r="E20" s="163" t="n">
        <v>33</v>
      </c>
      <c r="F20" s="161" t="n">
        <v>84.5</v>
      </c>
      <c r="G20" s="27" t="n">
        <v>26</v>
      </c>
      <c r="H20" s="164" t="n">
        <v>72</v>
      </c>
      <c r="I20" s="165" t="n">
        <v>110000</v>
      </c>
      <c r="J20" s="165" t="inlineStr">
        <is>
          <t>9</t>
        </is>
      </c>
      <c r="K20" s="165" t="n"/>
      <c r="L20" s="165" t="n"/>
      <c r="M20" s="166">
        <f>I20-K20</f>
        <v/>
      </c>
      <c r="N20" s="7">
        <f>IF(ISERROR(K20/I20),"",K20/I20)</f>
        <v/>
      </c>
      <c r="O20" s="162">
        <f>I20/E20</f>
        <v/>
      </c>
      <c r="P20" s="162">
        <f>K20/E20</f>
        <v/>
      </c>
      <c r="Q20" s="113" t="n">
        <v>3</v>
      </c>
      <c r="R20" s="113" t="n">
        <v>2</v>
      </c>
      <c r="S20" s="113" t="inlineStr">
        <is>
          <t>계</t>
        </is>
      </c>
      <c r="T20" s="8" t="inlineStr">
        <is>
          <t>110B</t>
        </is>
      </c>
      <c r="U20" s="13" t="n"/>
      <c r="W20" s="161">
        <f>D20</f>
        <v/>
      </c>
      <c r="X20" s="163">
        <f>E20</f>
        <v/>
      </c>
      <c r="Y20" s="159">
        <f>H20</f>
        <v/>
      </c>
      <c r="Z20" s="166">
        <f>I20</f>
        <v/>
      </c>
      <c r="AA20" s="166">
        <f>K20</f>
        <v/>
      </c>
      <c r="AB20" s="166">
        <f>M20</f>
        <v/>
      </c>
      <c r="AC20" s="7">
        <f>N20</f>
        <v/>
      </c>
      <c r="AD20" s="162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3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강일리버파크10단지</t>
        </is>
      </c>
      <c r="B21" s="16" t="inlineStr">
        <is>
          <t>'09.04.</t>
        </is>
      </c>
      <c r="C21" s="164" t="n">
        <v>694</v>
      </c>
      <c r="D21" s="161" t="n">
        <v>142.1</v>
      </c>
      <c r="E21" s="163" t="n">
        <v>43</v>
      </c>
      <c r="F21" s="161" t="n">
        <v>114.8</v>
      </c>
      <c r="G21" s="27" t="n">
        <v>35</v>
      </c>
      <c r="H21" s="164" t="n">
        <v>50</v>
      </c>
      <c r="I21" s="165" t="n">
        <v>145000</v>
      </c>
      <c r="J21" s="165" t="inlineStr">
        <is>
          <t>14</t>
        </is>
      </c>
      <c r="K21" s="165" t="n"/>
      <c r="L21" s="165" t="n"/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4</v>
      </c>
      <c r="R21" s="113" t="n">
        <v>2</v>
      </c>
      <c r="S21" s="113" t="inlineStr">
        <is>
          <t>계</t>
        </is>
      </c>
      <c r="T21" s="8" t="n">
        <v>142</v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n"/>
      <c r="B22" s="113" t="n"/>
      <c r="C22" s="10" t="n"/>
      <c r="D22" s="13" t="n"/>
      <c r="E22" s="20" t="n"/>
      <c r="F22" s="161" t="n"/>
      <c r="G22" s="13" t="n"/>
      <c r="H22" s="13" t="n"/>
      <c r="I22" s="13" t="n"/>
      <c r="J22" s="13" t="n"/>
      <c r="K22" s="13" t="n"/>
      <c r="L22" s="13" t="n"/>
      <c r="M22" s="13" t="n"/>
      <c r="N22" s="13" t="n"/>
      <c r="O22" s="162" t="n"/>
      <c r="P22" s="162" t="n"/>
      <c r="Q22" s="163" t="n"/>
      <c r="R22" s="163" t="n"/>
      <c r="S22" s="13" t="n"/>
      <c r="T22" s="70" t="n"/>
      <c r="U22" s="13" t="n"/>
      <c r="W22" s="107">
        <f>$A$4&amp;" "&amp;A23&amp;"("&amp;B23&amp;","&amp;C23&amp;"^)"</f>
        <v/>
      </c>
      <c r="X22" s="108" t="n"/>
      <c r="Y22" s="108" t="n"/>
      <c r="Z22" s="108" t="n"/>
      <c r="AA22" s="108" t="n"/>
      <c r="AB22" s="108" t="n"/>
      <c r="AC22" s="108" t="n"/>
      <c r="AD22" s="108" t="n"/>
      <c r="AE22" s="108" t="n"/>
      <c r="AF22" s="109" t="n"/>
      <c r="AH22" s="36">
        <f>IF(A22="","",A22)</f>
        <v/>
      </c>
      <c r="AI22" s="160">
        <f>IF(E22="","",E22)</f>
        <v/>
      </c>
      <c r="AJ22" s="113" t="n"/>
      <c r="AK22" s="113" t="n"/>
      <c r="AL22" s="113" t="n"/>
      <c r="AM22" s="113" t="n"/>
      <c r="AN22" s="113" t="n"/>
      <c r="AO22" s="113" t="n"/>
      <c r="AP22" s="113" t="n"/>
      <c r="AQ22" s="113" t="n"/>
      <c r="AR22" s="113" t="n"/>
      <c r="AS22" s="113" t="n"/>
      <c r="AT22" s="113" t="n"/>
      <c r="AU22" s="113" t="n"/>
      <c r="AV22" s="113" t="n"/>
    </row>
    <row r="23">
      <c r="A23" s="13" t="inlineStr">
        <is>
          <t>강일리버파크1단지</t>
        </is>
      </c>
      <c r="B23" s="16" t="inlineStr">
        <is>
          <t>'09.03.</t>
        </is>
      </c>
      <c r="C23" s="164" t="n">
        <v>282</v>
      </c>
      <c r="D23" s="161" t="n">
        <v>82.59999999999999</v>
      </c>
      <c r="E23" s="163" t="n">
        <v>25</v>
      </c>
      <c r="F23" s="161" t="n">
        <v>59.9</v>
      </c>
      <c r="G23" s="27" t="n">
        <v>18</v>
      </c>
      <c r="H23" s="164" t="n">
        <v>20</v>
      </c>
      <c r="I23" s="165" t="n"/>
      <c r="J23" s="165" t="n"/>
      <c r="K23" s="165" t="n"/>
      <c r="L23" s="165" t="n"/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3</v>
      </c>
      <c r="R23" s="113" t="n">
        <v>2</v>
      </c>
      <c r="S23" s="113" t="inlineStr">
        <is>
          <t>계</t>
        </is>
      </c>
      <c r="T23" s="8" t="inlineStr">
        <is>
          <t>82A</t>
        </is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강일리버파크1단지</t>
        </is>
      </c>
      <c r="B24" s="16" t="inlineStr">
        <is>
          <t>'09.03.</t>
        </is>
      </c>
      <c r="C24" s="164" t="n">
        <v>282</v>
      </c>
      <c r="D24" s="161" t="n">
        <v>110.2</v>
      </c>
      <c r="E24" s="163" t="n">
        <v>33</v>
      </c>
      <c r="F24" s="161" t="n">
        <v>84.7</v>
      </c>
      <c r="G24" s="27" t="n">
        <v>26</v>
      </c>
      <c r="H24" s="164" t="n">
        <v>70</v>
      </c>
      <c r="I24" s="165" t="n"/>
      <c r="J24" s="165" t="n"/>
      <c r="K24" s="165" t="n"/>
      <c r="L24" s="165" t="n"/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inlineStr">
        <is>
          <t>110C</t>
        </is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강일리버파크1단지</t>
        </is>
      </c>
      <c r="B25" s="16" t="inlineStr">
        <is>
          <t>'09.03.</t>
        </is>
      </c>
      <c r="C25" s="164" t="n">
        <v>282</v>
      </c>
      <c r="D25" s="161" t="n">
        <v>110.5</v>
      </c>
      <c r="E25" s="163" t="n">
        <v>33</v>
      </c>
      <c r="F25" s="161" t="n">
        <v>84.5</v>
      </c>
      <c r="G25" s="27" t="n">
        <v>26</v>
      </c>
      <c r="H25" s="164" t="n">
        <v>64</v>
      </c>
      <c r="I25" s="165" t="n"/>
      <c r="J25" s="165" t="n"/>
      <c r="K25" s="165" t="n"/>
      <c r="L25" s="165" t="n"/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3</v>
      </c>
      <c r="R25" s="113" t="n">
        <v>2</v>
      </c>
      <c r="S25" s="113" t="inlineStr">
        <is>
          <t>계</t>
        </is>
      </c>
      <c r="T25" s="8" t="inlineStr">
        <is>
          <t>110B</t>
        </is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강일리버파크1단지</t>
        </is>
      </c>
      <c r="B26" s="16" t="inlineStr">
        <is>
          <t>'09.03.</t>
        </is>
      </c>
      <c r="C26" s="164" t="n">
        <v>282</v>
      </c>
      <c r="D26" s="161" t="n">
        <v>111.6</v>
      </c>
      <c r="E26" s="163" t="n">
        <v>34</v>
      </c>
      <c r="F26" s="161" t="n">
        <v>84.8</v>
      </c>
      <c r="G26" s="27" t="n">
        <v>26</v>
      </c>
      <c r="H26" s="164" t="n">
        <v>22</v>
      </c>
      <c r="I26" s="165" t="n"/>
      <c r="J26" s="165" t="n"/>
      <c r="K26" s="165" t="n"/>
      <c r="L26" s="165" t="n"/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3</v>
      </c>
      <c r="R26" s="113" t="n">
        <v>2</v>
      </c>
      <c r="S26" s="113" t="inlineStr">
        <is>
          <t>계</t>
        </is>
      </c>
      <c r="T26" s="8" t="inlineStr">
        <is>
          <t>111A</t>
        </is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n"/>
      <c r="B27" s="113" t="n"/>
      <c r="C27" s="10" t="n"/>
      <c r="D27" s="13" t="n"/>
      <c r="E27" s="20" t="n"/>
      <c r="F27" s="161" t="n"/>
      <c r="G27" s="13" t="n"/>
      <c r="H27" s="13" t="n"/>
      <c r="I27" s="13" t="n"/>
      <c r="J27" s="13" t="n"/>
      <c r="K27" s="13" t="n"/>
      <c r="L27" s="13" t="n"/>
      <c r="M27" s="13" t="n"/>
      <c r="N27" s="13" t="n"/>
      <c r="O27" s="162" t="n"/>
      <c r="P27" s="162" t="n"/>
      <c r="Q27" s="163" t="n"/>
      <c r="R27" s="163" t="n"/>
      <c r="S27" s="13" t="n"/>
      <c r="T27" s="70" t="n"/>
      <c r="U27" s="13" t="n"/>
      <c r="W27" s="107">
        <f>$A$4&amp;" "&amp;A28&amp;"("&amp;B28&amp;","&amp;C28&amp;"^)"</f>
        <v/>
      </c>
      <c r="X27" s="108" t="n"/>
      <c r="Y27" s="108" t="n"/>
      <c r="Z27" s="108" t="n"/>
      <c r="AA27" s="108" t="n"/>
      <c r="AB27" s="108" t="n"/>
      <c r="AC27" s="108" t="n"/>
      <c r="AD27" s="108" t="n"/>
      <c r="AE27" s="108" t="n"/>
      <c r="AF27" s="109" t="n"/>
      <c r="AH27" s="36">
        <f>IF(A27="","",A27)</f>
        <v/>
      </c>
      <c r="AI27" s="160">
        <f>IF(E27="","",E27)</f>
        <v/>
      </c>
      <c r="AJ27" s="113" t="n"/>
      <c r="AK27" s="113" t="n"/>
      <c r="AL27" s="113" t="n"/>
      <c r="AM27" s="113" t="n"/>
      <c r="AN27" s="113" t="n"/>
      <c r="AO27" s="113" t="n"/>
      <c r="AP27" s="113" t="n"/>
      <c r="AQ27" s="113" t="n"/>
      <c r="AR27" s="113" t="n"/>
      <c r="AS27" s="113" t="n"/>
      <c r="AT27" s="113" t="n"/>
      <c r="AU27" s="113" t="n"/>
      <c r="AV27" s="113" t="n"/>
    </row>
    <row r="28">
      <c r="A28" s="13" t="inlineStr">
        <is>
          <t>강동리버스트8단지</t>
        </is>
      </c>
      <c r="B28" s="16" t="inlineStr">
        <is>
          <t>'21.02.</t>
        </is>
      </c>
      <c r="C28" s="164" t="n">
        <v>946</v>
      </c>
      <c r="D28" s="161" t="n">
        <v>72.09999999999999</v>
      </c>
      <c r="E28" s="163" t="n">
        <v>22</v>
      </c>
      <c r="F28" s="161" t="n">
        <v>49.7</v>
      </c>
      <c r="G28" s="27" t="n">
        <v>15</v>
      </c>
      <c r="H28" s="164" t="n">
        <v>242</v>
      </c>
      <c r="I28" s="165" t="n"/>
      <c r="J28" s="165" t="n"/>
      <c r="K28" s="165" t="n"/>
      <c r="L28" s="165" t="n"/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2</v>
      </c>
      <c r="R28" s="113" t="n">
        <v>1</v>
      </c>
      <c r="S28" s="113" t="inlineStr">
        <is>
          <t>계</t>
        </is>
      </c>
      <c r="T28" s="8" t="n">
        <v>72</v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강동리버스트8단지</t>
        </is>
      </c>
      <c r="B29" s="16" t="inlineStr">
        <is>
          <t>'21.02.</t>
        </is>
      </c>
      <c r="C29" s="164" t="n">
        <v>946</v>
      </c>
      <c r="D29" s="161" t="n">
        <v>86.90000000000001</v>
      </c>
      <c r="E29" s="163" t="n">
        <v>26</v>
      </c>
      <c r="F29" s="161" t="n">
        <v>60</v>
      </c>
      <c r="G29" s="27" t="n">
        <v>18</v>
      </c>
      <c r="H29" s="164" t="n">
        <v>284</v>
      </c>
      <c r="I29" s="165" t="n"/>
      <c r="J29" s="165" t="n"/>
      <c r="K29" s="165" t="n"/>
      <c r="L29" s="165" t="n"/>
      <c r="M29" s="166">
        <f>I29-K29</f>
        <v/>
      </c>
      <c r="N29" s="7">
        <f>IF(ISERROR(K29/I29),"",K29/I29)</f>
        <v/>
      </c>
      <c r="O29" s="162">
        <f>I29/E29</f>
        <v/>
      </c>
      <c r="P29" s="162">
        <f>K29/E29</f>
        <v/>
      </c>
      <c r="Q29" s="113" t="n">
        <v>3</v>
      </c>
      <c r="R29" s="113" t="n">
        <v>2</v>
      </c>
      <c r="S29" s="113" t="inlineStr">
        <is>
          <t>계</t>
        </is>
      </c>
      <c r="T29" s="8" t="n">
        <v>86</v>
      </c>
      <c r="U29" s="13" t="n"/>
      <c r="W29" s="161">
        <f>D29</f>
        <v/>
      </c>
      <c r="X29" s="163">
        <f>E29</f>
        <v/>
      </c>
      <c r="Y29" s="159">
        <f>H29</f>
        <v/>
      </c>
      <c r="Z29" s="166">
        <f>I29</f>
        <v/>
      </c>
      <c r="AA29" s="166">
        <f>K29</f>
        <v/>
      </c>
      <c r="AB29" s="166">
        <f>M29</f>
        <v/>
      </c>
      <c r="AC29" s="7">
        <f>N29</f>
        <v/>
      </c>
      <c r="AD29" s="162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3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n"/>
      <c r="B30" s="113" t="n"/>
      <c r="C30" s="10" t="n"/>
      <c r="D30" s="13" t="n"/>
      <c r="E30" s="20" t="n"/>
      <c r="F30" s="161" t="n"/>
      <c r="G30" s="13" t="n"/>
      <c r="H30" s="13" t="n"/>
      <c r="I30" s="13" t="n"/>
      <c r="J30" s="13" t="n"/>
      <c r="K30" s="13" t="n"/>
      <c r="L30" s="13" t="n"/>
      <c r="M30" s="13" t="n"/>
      <c r="N30" s="13" t="n"/>
      <c r="O30" s="162" t="n"/>
      <c r="P30" s="162" t="n"/>
      <c r="Q30" s="163" t="n"/>
      <c r="R30" s="163" t="n"/>
      <c r="S30" s="13" t="n"/>
      <c r="T30" s="70" t="n"/>
      <c r="U30" s="13" t="n"/>
      <c r="W30" s="107">
        <f>$A$4&amp;" "&amp;A31&amp;"("&amp;B31&amp;","&amp;C31&amp;"^)"</f>
        <v/>
      </c>
      <c r="X30" s="108" t="n"/>
      <c r="Y30" s="108" t="n"/>
      <c r="Z30" s="108" t="n"/>
      <c r="AA30" s="108" t="n"/>
      <c r="AB30" s="108" t="n"/>
      <c r="AC30" s="108" t="n"/>
      <c r="AD30" s="108" t="n"/>
      <c r="AE30" s="108" t="n"/>
      <c r="AF30" s="109" t="n"/>
      <c r="AH30" s="36">
        <f>IF(A30="","",A30)</f>
        <v/>
      </c>
      <c r="AI30" s="160">
        <f>IF(E30="","",E30)</f>
        <v/>
      </c>
      <c r="AJ30" s="113" t="n"/>
      <c r="AK30" s="113" t="n"/>
      <c r="AL30" s="113" t="n"/>
      <c r="AM30" s="113" t="n"/>
      <c r="AN30" s="113" t="n"/>
      <c r="AO30" s="113" t="n"/>
      <c r="AP30" s="113" t="n"/>
      <c r="AQ30" s="113" t="n"/>
      <c r="AR30" s="113" t="n"/>
      <c r="AS30" s="113" t="n"/>
      <c r="AT30" s="113" t="n"/>
      <c r="AU30" s="113" t="n"/>
      <c r="AV30" s="113" t="n"/>
    </row>
    <row r="31">
      <c r="A31" s="13" t="inlineStr">
        <is>
          <t>강일리버파크3단지</t>
        </is>
      </c>
      <c r="B31" s="16" t="inlineStr">
        <is>
          <t>'09.03.</t>
        </is>
      </c>
      <c r="C31" s="164" t="n">
        <v>987</v>
      </c>
      <c r="D31" s="161" t="n">
        <v>82</v>
      </c>
      <c r="E31" s="163" t="n">
        <v>25</v>
      </c>
      <c r="F31" s="161" t="n">
        <v>59.9</v>
      </c>
      <c r="G31" s="27" t="n">
        <v>18</v>
      </c>
      <c r="H31" s="164" t="n">
        <v>78</v>
      </c>
      <c r="I31" s="165" t="n"/>
      <c r="J31" s="165" t="n"/>
      <c r="K31" s="165" t="n">
        <v>55000</v>
      </c>
      <c r="L31" s="165" t="inlineStr">
        <is>
          <t>14</t>
        </is>
      </c>
      <c r="M31" s="166">
        <f>I31-K31</f>
        <v/>
      </c>
      <c r="N31" s="7">
        <f>IF(ISERROR(K31/I31),"",K31/I31)</f>
        <v/>
      </c>
      <c r="O31" s="162">
        <f>I31/E31</f>
        <v/>
      </c>
      <c r="P31" s="162">
        <f>K31/E31</f>
        <v/>
      </c>
      <c r="Q31" s="113" t="n">
        <v>3</v>
      </c>
      <c r="R31" s="113" t="n">
        <v>2</v>
      </c>
      <c r="S31" s="113" t="inlineStr">
        <is>
          <t>계</t>
        </is>
      </c>
      <c r="T31" s="8" t="inlineStr">
        <is>
          <t>82A</t>
        </is>
      </c>
      <c r="U31" s="13" t="n"/>
      <c r="W31" s="161">
        <f>D31</f>
        <v/>
      </c>
      <c r="X31" s="163">
        <f>E31</f>
        <v/>
      </c>
      <c r="Y31" s="159">
        <f>H31</f>
        <v/>
      </c>
      <c r="Z31" s="166">
        <f>I31</f>
        <v/>
      </c>
      <c r="AA31" s="166">
        <f>K31</f>
        <v/>
      </c>
      <c r="AB31" s="166">
        <f>M31</f>
        <v/>
      </c>
      <c r="AC31" s="7">
        <f>N31</f>
        <v/>
      </c>
      <c r="AD31" s="162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3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강일리버파크3단지</t>
        </is>
      </c>
      <c r="B32" s="16" t="inlineStr">
        <is>
          <t>'09.03.</t>
        </is>
      </c>
      <c r="C32" s="164" t="n">
        <v>987</v>
      </c>
      <c r="D32" s="161" t="n">
        <v>82.09999999999999</v>
      </c>
      <c r="E32" s="163" t="n">
        <v>25</v>
      </c>
      <c r="F32" s="161" t="n">
        <v>59.9</v>
      </c>
      <c r="G32" s="27" t="n">
        <v>18</v>
      </c>
      <c r="H32" s="164" t="n">
        <v>24</v>
      </c>
      <c r="I32" s="165" t="n"/>
      <c r="J32" s="165" t="n"/>
      <c r="K32" s="165" t="n"/>
      <c r="L32" s="165" t="n"/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3</v>
      </c>
      <c r="R32" s="113" t="n">
        <v>2</v>
      </c>
      <c r="S32" s="113" t="inlineStr">
        <is>
          <t>계</t>
        </is>
      </c>
      <c r="T32" s="8" t="inlineStr">
        <is>
          <t>82C2</t>
        </is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강일리버파크3단지</t>
        </is>
      </c>
      <c r="B33" s="16" t="inlineStr">
        <is>
          <t>'09.03.</t>
        </is>
      </c>
      <c r="C33" s="164" t="n">
        <v>987</v>
      </c>
      <c r="D33" s="161" t="n">
        <v>82.8</v>
      </c>
      <c r="E33" s="163" t="n">
        <v>25</v>
      </c>
      <c r="F33" s="161" t="n">
        <v>59.7</v>
      </c>
      <c r="G33" s="27" t="n">
        <v>18</v>
      </c>
      <c r="H33" s="164" t="n">
        <v>12</v>
      </c>
      <c r="I33" s="165" t="n"/>
      <c r="J33" s="165" t="n"/>
      <c r="K33" s="165" t="n"/>
      <c r="L33" s="165" t="n"/>
      <c r="M33" s="166">
        <f>I33-K33</f>
        <v/>
      </c>
      <c r="N33" s="7">
        <f>IF(ISERROR(K33/I33),"",K33/I33)</f>
        <v/>
      </c>
      <c r="O33" s="162">
        <f>I33/E33</f>
        <v/>
      </c>
      <c r="P33" s="162">
        <f>K33/E33</f>
        <v/>
      </c>
      <c r="Q33" s="113" t="n">
        <v>3</v>
      </c>
      <c r="R33" s="113" t="n">
        <v>2</v>
      </c>
      <c r="S33" s="113" t="inlineStr">
        <is>
          <t>계</t>
        </is>
      </c>
      <c r="T33" s="8" t="inlineStr">
        <is>
          <t>82D2</t>
        </is>
      </c>
      <c r="U33" s="13" t="n"/>
      <c r="W33" s="161">
        <f>D33</f>
        <v/>
      </c>
      <c r="X33" s="163">
        <f>E33</f>
        <v/>
      </c>
      <c r="Y33" s="159">
        <f>H33</f>
        <v/>
      </c>
      <c r="Z33" s="166">
        <f>I33</f>
        <v/>
      </c>
      <c r="AA33" s="166">
        <f>K33</f>
        <v/>
      </c>
      <c r="AB33" s="166">
        <f>M33</f>
        <v/>
      </c>
      <c r="AC33" s="7">
        <f>N33</f>
        <v/>
      </c>
      <c r="AD33" s="162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3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강일리버파크3단지</t>
        </is>
      </c>
      <c r="B34" s="16" t="inlineStr">
        <is>
          <t>'09.03.</t>
        </is>
      </c>
      <c r="C34" s="164" t="n">
        <v>987</v>
      </c>
      <c r="D34" s="161" t="n">
        <v>83</v>
      </c>
      <c r="E34" s="163" t="n">
        <v>25</v>
      </c>
      <c r="F34" s="161" t="n">
        <v>59.8</v>
      </c>
      <c r="G34" s="27" t="n">
        <v>18</v>
      </c>
      <c r="H34" s="164" t="n">
        <v>24</v>
      </c>
      <c r="I34" s="165" t="n">
        <v>105000</v>
      </c>
      <c r="J34" s="165" t="inlineStr">
        <is>
          <t>5</t>
        </is>
      </c>
      <c r="K34" s="165" t="n"/>
      <c r="L34" s="165" t="n"/>
      <c r="M34" s="166">
        <f>I34-K34</f>
        <v/>
      </c>
      <c r="N34" s="7">
        <f>IF(ISERROR(K34/I34),"",K34/I34)</f>
        <v/>
      </c>
      <c r="O34" s="162">
        <f>I34/E34</f>
        <v/>
      </c>
      <c r="P34" s="162">
        <f>K34/E34</f>
        <v/>
      </c>
      <c r="Q34" s="113" t="n">
        <v>3</v>
      </c>
      <c r="R34" s="113" t="n">
        <v>2</v>
      </c>
      <c r="S34" s="113" t="inlineStr">
        <is>
          <t>계</t>
        </is>
      </c>
      <c r="T34" s="8" t="inlineStr">
        <is>
          <t>83B2</t>
        </is>
      </c>
      <c r="U34" s="13" t="n"/>
      <c r="W34" s="161">
        <f>D34</f>
        <v/>
      </c>
      <c r="X34" s="163">
        <f>E34</f>
        <v/>
      </c>
      <c r="Y34" s="159">
        <f>H34</f>
        <v/>
      </c>
      <c r="Z34" s="166">
        <f>I34</f>
        <v/>
      </c>
      <c r="AA34" s="166">
        <f>K34</f>
        <v/>
      </c>
      <c r="AB34" s="166">
        <f>M34</f>
        <v/>
      </c>
      <c r="AC34" s="7">
        <f>N34</f>
        <v/>
      </c>
      <c r="AD34" s="162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3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강일리버파크3단지</t>
        </is>
      </c>
      <c r="B35" s="16" t="inlineStr">
        <is>
          <t>'09.03.</t>
        </is>
      </c>
      <c r="C35" s="164" t="n">
        <v>987</v>
      </c>
      <c r="D35" s="161" t="n">
        <v>109.7</v>
      </c>
      <c r="E35" s="163" t="n">
        <v>33</v>
      </c>
      <c r="F35" s="161" t="n">
        <v>84.8</v>
      </c>
      <c r="G35" s="27" t="n">
        <v>26</v>
      </c>
      <c r="H35" s="164" t="n">
        <v>44</v>
      </c>
      <c r="I35" s="165" t="n"/>
      <c r="J35" s="165" t="n"/>
      <c r="K35" s="165" t="n"/>
      <c r="L35" s="165" t="n"/>
      <c r="M35" s="166">
        <f>I35-K35</f>
        <v/>
      </c>
      <c r="N35" s="7">
        <f>IF(ISERROR(K35/I35),"",K35/I35)</f>
        <v/>
      </c>
      <c r="O35" s="162">
        <f>I35/E35</f>
        <v/>
      </c>
      <c r="P35" s="162">
        <f>K35/E35</f>
        <v/>
      </c>
      <c r="Q35" s="113" t="n">
        <v>3</v>
      </c>
      <c r="R35" s="113" t="n">
        <v>2</v>
      </c>
      <c r="S35" s="113" t="inlineStr">
        <is>
          <t>계</t>
        </is>
      </c>
      <c r="T35" s="8" t="inlineStr">
        <is>
          <t>109A</t>
        </is>
      </c>
      <c r="U35" s="13" t="n"/>
      <c r="W35" s="161">
        <f>D35</f>
        <v/>
      </c>
      <c r="X35" s="163">
        <f>E35</f>
        <v/>
      </c>
      <c r="Y35" s="159">
        <f>H35</f>
        <v/>
      </c>
      <c r="Z35" s="166">
        <f>I35</f>
        <v/>
      </c>
      <c r="AA35" s="166">
        <f>K35</f>
        <v/>
      </c>
      <c r="AB35" s="166">
        <f>M35</f>
        <v/>
      </c>
      <c r="AC35" s="7">
        <f>N35</f>
        <v/>
      </c>
      <c r="AD35" s="162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3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inlineStr">
        <is>
          <t>강일리버파크3단지</t>
        </is>
      </c>
      <c r="B36" s="16" t="inlineStr">
        <is>
          <t>'09.03.</t>
        </is>
      </c>
      <c r="C36" s="164" t="n">
        <v>987</v>
      </c>
      <c r="D36" s="161" t="n">
        <v>110.6</v>
      </c>
      <c r="E36" s="163" t="n">
        <v>33</v>
      </c>
      <c r="F36" s="161" t="n">
        <v>84.5</v>
      </c>
      <c r="G36" s="27" t="n">
        <v>26</v>
      </c>
      <c r="H36" s="164" t="n">
        <v>96</v>
      </c>
      <c r="I36" s="165" t="n">
        <v>118000</v>
      </c>
      <c r="J36" s="165" t="inlineStr">
        <is>
          <t>11</t>
        </is>
      </c>
      <c r="K36" s="165" t="n"/>
      <c r="L36" s="165" t="n"/>
      <c r="M36" s="166">
        <f>I36-K36</f>
        <v/>
      </c>
      <c r="N36" s="7">
        <f>IF(ISERROR(K36/I36),"",K36/I36)</f>
        <v/>
      </c>
      <c r="O36" s="162">
        <f>I36/E36</f>
        <v/>
      </c>
      <c r="P36" s="162">
        <f>K36/E36</f>
        <v/>
      </c>
      <c r="Q36" s="113" t="n">
        <v>3</v>
      </c>
      <c r="R36" s="113" t="n">
        <v>2</v>
      </c>
      <c r="S36" s="113" t="inlineStr">
        <is>
          <t>계</t>
        </is>
      </c>
      <c r="T36" s="8" t="inlineStr">
        <is>
          <t>110B</t>
        </is>
      </c>
      <c r="U36" s="13" t="n"/>
      <c r="W36" s="161">
        <f>D36</f>
        <v/>
      </c>
      <c r="X36" s="163">
        <f>E36</f>
        <v/>
      </c>
      <c r="Y36" s="159">
        <f>H36</f>
        <v/>
      </c>
      <c r="Z36" s="166">
        <f>I36</f>
        <v/>
      </c>
      <c r="AA36" s="166">
        <f>K36</f>
        <v/>
      </c>
      <c r="AB36" s="166">
        <f>M36</f>
        <v/>
      </c>
      <c r="AC36" s="7">
        <f>N36</f>
        <v/>
      </c>
      <c r="AD36" s="162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3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inlineStr">
        <is>
          <t>강일리버파크3단지</t>
        </is>
      </c>
      <c r="B37" s="16" t="inlineStr">
        <is>
          <t>'09.03.</t>
        </is>
      </c>
      <c r="C37" s="164" t="n">
        <v>987</v>
      </c>
      <c r="D37" s="161" t="n">
        <v>110.3</v>
      </c>
      <c r="E37" s="163" t="n">
        <v>33</v>
      </c>
      <c r="F37" s="161" t="n">
        <v>84.7</v>
      </c>
      <c r="G37" s="27" t="n">
        <v>26</v>
      </c>
      <c r="H37" s="164" t="n">
        <v>94</v>
      </c>
      <c r="I37" s="165" t="n">
        <v>113000</v>
      </c>
      <c r="J37" s="165" t="inlineStr">
        <is>
          <t>5</t>
        </is>
      </c>
      <c r="K37" s="165" t="n"/>
      <c r="L37" s="165" t="n"/>
      <c r="M37" s="166">
        <f>I37-K37</f>
        <v/>
      </c>
      <c r="N37" s="7">
        <f>IF(ISERROR(K37/I37),"",K37/I37)</f>
        <v/>
      </c>
      <c r="O37" s="162">
        <f>I37/E37</f>
        <v/>
      </c>
      <c r="P37" s="162">
        <f>K37/E37</f>
        <v/>
      </c>
      <c r="Q37" s="113" t="n">
        <v>3</v>
      </c>
      <c r="R37" s="113" t="n">
        <v>2</v>
      </c>
      <c r="S37" s="113" t="inlineStr">
        <is>
          <t>계</t>
        </is>
      </c>
      <c r="T37" s="8" t="inlineStr">
        <is>
          <t>110C</t>
        </is>
      </c>
      <c r="U37" s="13" t="n"/>
      <c r="W37" s="161">
        <f>D37</f>
        <v/>
      </c>
      <c r="X37" s="163">
        <f>E37</f>
        <v/>
      </c>
      <c r="Y37" s="159">
        <f>H37</f>
        <v/>
      </c>
      <c r="Z37" s="166">
        <f>I37</f>
        <v/>
      </c>
      <c r="AA37" s="166">
        <f>K37</f>
        <v/>
      </c>
      <c r="AB37" s="166">
        <f>M37</f>
        <v/>
      </c>
      <c r="AC37" s="7">
        <f>N37</f>
        <v/>
      </c>
      <c r="AD37" s="162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3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n"/>
      <c r="B38" s="113" t="n"/>
      <c r="C38" s="10" t="n"/>
      <c r="D38" s="13" t="n"/>
      <c r="E38" s="20" t="n"/>
      <c r="F38" s="161" t="n"/>
      <c r="G38" s="13" t="n"/>
      <c r="H38" s="13" t="n"/>
      <c r="I38" s="13" t="n"/>
      <c r="J38" s="13" t="n"/>
      <c r="K38" s="13" t="n"/>
      <c r="L38" s="13" t="n"/>
      <c r="M38" s="13" t="n"/>
      <c r="N38" s="13" t="n"/>
      <c r="O38" s="162" t="n"/>
      <c r="P38" s="162" t="n"/>
      <c r="Q38" s="163" t="n"/>
      <c r="R38" s="163" t="n"/>
      <c r="S38" s="13" t="n"/>
      <c r="T38" s="70" t="n"/>
      <c r="U38" s="13" t="n"/>
      <c r="W38" s="107">
        <f>$A$4&amp;" "&amp;A39&amp;"("&amp;B39&amp;","&amp;C39&amp;"^)"</f>
        <v/>
      </c>
      <c r="X38" s="108" t="n"/>
      <c r="Y38" s="108" t="n"/>
      <c r="Z38" s="108" t="n"/>
      <c r="AA38" s="108" t="n"/>
      <c r="AB38" s="108" t="n"/>
      <c r="AC38" s="108" t="n"/>
      <c r="AD38" s="108" t="n"/>
      <c r="AE38" s="108" t="n"/>
      <c r="AF38" s="109" t="n"/>
      <c r="AH38" s="36">
        <f>IF(A38="","",A38)</f>
        <v/>
      </c>
      <c r="AI38" s="160">
        <f>IF(E38="","",E38)</f>
        <v/>
      </c>
      <c r="AJ38" s="113" t="n"/>
      <c r="AK38" s="113" t="n"/>
      <c r="AL38" s="113" t="n"/>
      <c r="AM38" s="113" t="n"/>
      <c r="AN38" s="113" t="n"/>
      <c r="AO38" s="113" t="n"/>
      <c r="AP38" s="113" t="n"/>
      <c r="AQ38" s="113" t="n"/>
      <c r="AR38" s="113" t="n"/>
      <c r="AS38" s="113" t="n"/>
      <c r="AT38" s="113" t="n"/>
      <c r="AU38" s="113" t="n"/>
      <c r="AV38" s="113" t="n"/>
    </row>
    <row r="39">
      <c r="A39" s="13" t="inlineStr">
        <is>
          <t>강일리버파크7단지</t>
        </is>
      </c>
      <c r="B39" s="16" t="inlineStr">
        <is>
          <t>'09.06.</t>
        </is>
      </c>
      <c r="C39" s="164" t="n">
        <v>731</v>
      </c>
      <c r="D39" s="161" t="n">
        <v>82.09999999999999</v>
      </c>
      <c r="E39" s="163" t="n">
        <v>25</v>
      </c>
      <c r="F39" s="161" t="n">
        <v>59.9</v>
      </c>
      <c r="G39" s="27" t="n">
        <v>18</v>
      </c>
      <c r="H39" s="164" t="n">
        <v>24</v>
      </c>
      <c r="I39" s="165" t="n">
        <v>107000</v>
      </c>
      <c r="J39" s="165" t="inlineStr">
        <is>
          <t>7</t>
        </is>
      </c>
      <c r="K39" s="165" t="n">
        <v>55000</v>
      </c>
      <c r="L39" s="165" t="inlineStr">
        <is>
          <t>중</t>
        </is>
      </c>
      <c r="M39" s="166">
        <f>I39-K39</f>
        <v/>
      </c>
      <c r="N39" s="7">
        <f>IF(ISERROR(K39/I39),"",K39/I39)</f>
        <v/>
      </c>
      <c r="O39" s="162">
        <f>I39/E39</f>
        <v/>
      </c>
      <c r="P39" s="162">
        <f>K39/E39</f>
        <v/>
      </c>
      <c r="Q39" s="113" t="n">
        <v>3</v>
      </c>
      <c r="R39" s="113" t="n">
        <v>2</v>
      </c>
      <c r="S39" s="113" t="inlineStr">
        <is>
          <t>계</t>
        </is>
      </c>
      <c r="T39" s="8" t="inlineStr">
        <is>
          <t>82C</t>
        </is>
      </c>
      <c r="U39" s="13" t="n"/>
      <c r="W39" s="161">
        <f>D39</f>
        <v/>
      </c>
      <c r="X39" s="163">
        <f>E39</f>
        <v/>
      </c>
      <c r="Y39" s="159">
        <f>H39</f>
        <v/>
      </c>
      <c r="Z39" s="166">
        <f>I39</f>
        <v/>
      </c>
      <c r="AA39" s="166">
        <f>K39</f>
        <v/>
      </c>
      <c r="AB39" s="166">
        <f>M39</f>
        <v/>
      </c>
      <c r="AC39" s="7">
        <f>N39</f>
        <v/>
      </c>
      <c r="AD39" s="162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3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inlineStr">
        <is>
          <t>강일리버파크7단지</t>
        </is>
      </c>
      <c r="B40" s="16" t="inlineStr">
        <is>
          <t>'09.06.</t>
        </is>
      </c>
      <c r="C40" s="164" t="n">
        <v>731</v>
      </c>
      <c r="D40" s="161" t="n">
        <v>82.8</v>
      </c>
      <c r="E40" s="163" t="n">
        <v>25</v>
      </c>
      <c r="F40" s="161" t="n">
        <v>59.7</v>
      </c>
      <c r="G40" s="27" t="n">
        <v>18</v>
      </c>
      <c r="H40" s="164" t="n">
        <v>12</v>
      </c>
      <c r="I40" s="165" t="n">
        <v>105000</v>
      </c>
      <c r="J40" s="165" t="inlineStr">
        <is>
          <t>13</t>
        </is>
      </c>
      <c r="K40" s="165" t="n"/>
      <c r="L40" s="165" t="n"/>
      <c r="M40" s="166">
        <f>I40-K40</f>
        <v/>
      </c>
      <c r="N40" s="7">
        <f>IF(ISERROR(K40/I40),"",K40/I40)</f>
        <v/>
      </c>
      <c r="O40" s="162">
        <f>I40/E40</f>
        <v/>
      </c>
      <c r="P40" s="162">
        <f>K40/E40</f>
        <v/>
      </c>
      <c r="Q40" s="113" t="n">
        <v>3</v>
      </c>
      <c r="R40" s="113" t="n">
        <v>2</v>
      </c>
      <c r="S40" s="113" t="inlineStr">
        <is>
          <t>계</t>
        </is>
      </c>
      <c r="T40" s="8" t="inlineStr">
        <is>
          <t>82D</t>
        </is>
      </c>
      <c r="U40" s="13" t="n"/>
      <c r="W40" s="161">
        <f>D40</f>
        <v/>
      </c>
      <c r="X40" s="163">
        <f>E40</f>
        <v/>
      </c>
      <c r="Y40" s="159">
        <f>H40</f>
        <v/>
      </c>
      <c r="Z40" s="166">
        <f>I40</f>
        <v/>
      </c>
      <c r="AA40" s="166">
        <f>K40</f>
        <v/>
      </c>
      <c r="AB40" s="166">
        <f>M40</f>
        <v/>
      </c>
      <c r="AC40" s="7">
        <f>N40</f>
        <v/>
      </c>
      <c r="AD40" s="162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3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inlineStr">
        <is>
          <t>강일리버파크7단지</t>
        </is>
      </c>
      <c r="B41" s="16" t="inlineStr">
        <is>
          <t>'09.06.</t>
        </is>
      </c>
      <c r="C41" s="164" t="n">
        <v>731</v>
      </c>
      <c r="D41" s="161" t="n">
        <v>83</v>
      </c>
      <c r="E41" s="163" t="n">
        <v>25</v>
      </c>
      <c r="F41" s="161" t="n">
        <v>59.8</v>
      </c>
      <c r="G41" s="27" t="n">
        <v>18</v>
      </c>
      <c r="H41" s="164" t="n">
        <v>24</v>
      </c>
      <c r="I41" s="165" t="n"/>
      <c r="J41" s="165" t="n"/>
      <c r="K41" s="165" t="n"/>
      <c r="L41" s="165" t="n"/>
      <c r="M41" s="166">
        <f>I41-K41</f>
        <v/>
      </c>
      <c r="N41" s="7">
        <f>IF(ISERROR(K41/I41),"",K41/I41)</f>
        <v/>
      </c>
      <c r="O41" s="162">
        <f>I41/E41</f>
        <v/>
      </c>
      <c r="P41" s="162">
        <f>K41/E41</f>
        <v/>
      </c>
      <c r="Q41" s="113" t="n">
        <v>3</v>
      </c>
      <c r="R41" s="113" t="n">
        <v>2</v>
      </c>
      <c r="S41" s="113" t="inlineStr">
        <is>
          <t>계</t>
        </is>
      </c>
      <c r="T41" s="8" t="inlineStr">
        <is>
          <t>83B</t>
        </is>
      </c>
      <c r="U41" s="13" t="n"/>
      <c r="W41" s="161">
        <f>D41</f>
        <v/>
      </c>
      <c r="X41" s="163">
        <f>E41</f>
        <v/>
      </c>
      <c r="Y41" s="159">
        <f>H41</f>
        <v/>
      </c>
      <c r="Z41" s="166">
        <f>I41</f>
        <v/>
      </c>
      <c r="AA41" s="166">
        <f>K41</f>
        <v/>
      </c>
      <c r="AB41" s="166">
        <f>M41</f>
        <v/>
      </c>
      <c r="AC41" s="7">
        <f>N41</f>
        <v/>
      </c>
      <c r="AD41" s="162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3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inlineStr">
        <is>
          <t>강일리버파크7단지</t>
        </is>
      </c>
      <c r="B42" s="16" t="inlineStr">
        <is>
          <t>'09.06.</t>
        </is>
      </c>
      <c r="C42" s="164" t="n">
        <v>731</v>
      </c>
      <c r="D42" s="161" t="n">
        <v>109.9</v>
      </c>
      <c r="E42" s="163" t="n">
        <v>33</v>
      </c>
      <c r="F42" s="161" t="n">
        <v>84.8</v>
      </c>
      <c r="G42" s="27" t="n">
        <v>26</v>
      </c>
      <c r="H42" s="164" t="n">
        <v>52</v>
      </c>
      <c r="I42" s="165" t="n"/>
      <c r="J42" s="165" t="n"/>
      <c r="K42" s="165" t="n"/>
      <c r="L42" s="165" t="n"/>
      <c r="M42" s="166">
        <f>I42-K42</f>
        <v/>
      </c>
      <c r="N42" s="7">
        <f>IF(ISERROR(K42/I42),"",K42/I42)</f>
        <v/>
      </c>
      <c r="O42" s="162">
        <f>I42/E42</f>
        <v/>
      </c>
      <c r="P42" s="162">
        <f>K42/E42</f>
        <v/>
      </c>
      <c r="Q42" s="113" t="n">
        <v>3</v>
      </c>
      <c r="R42" s="113" t="n">
        <v>2</v>
      </c>
      <c r="S42" s="113" t="inlineStr">
        <is>
          <t>계</t>
        </is>
      </c>
      <c r="T42" s="8" t="inlineStr">
        <is>
          <t>109A</t>
        </is>
      </c>
      <c r="U42" s="13" t="n"/>
      <c r="W42" s="161">
        <f>D42</f>
        <v/>
      </c>
      <c r="X42" s="163">
        <f>E42</f>
        <v/>
      </c>
      <c r="Y42" s="159">
        <f>H42</f>
        <v/>
      </c>
      <c r="Z42" s="166">
        <f>I42</f>
        <v/>
      </c>
      <c r="AA42" s="166">
        <f>K42</f>
        <v/>
      </c>
      <c r="AB42" s="166">
        <f>M42</f>
        <v/>
      </c>
      <c r="AC42" s="7">
        <f>N42</f>
        <v/>
      </c>
      <c r="AD42" s="162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3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inlineStr">
        <is>
          <t>강일리버파크7단지</t>
        </is>
      </c>
      <c r="B43" s="16" t="inlineStr">
        <is>
          <t>'09.06.</t>
        </is>
      </c>
      <c r="C43" s="164" t="n">
        <v>731</v>
      </c>
      <c r="D43" s="161" t="n">
        <v>110.8</v>
      </c>
      <c r="E43" s="163" t="n">
        <v>34</v>
      </c>
      <c r="F43" s="161" t="n">
        <v>84.5</v>
      </c>
      <c r="G43" s="27" t="n">
        <v>26</v>
      </c>
      <c r="H43" s="164" t="n">
        <v>82</v>
      </c>
      <c r="I43" s="165" t="n">
        <v>109000</v>
      </c>
      <c r="J43" s="165" t="inlineStr">
        <is>
          <t>13</t>
        </is>
      </c>
      <c r="K43" s="165" t="n">
        <v>60000</v>
      </c>
      <c r="L43" s="165" t="inlineStr">
        <is>
          <t>7</t>
        </is>
      </c>
      <c r="M43" s="166">
        <f>I43-K43</f>
        <v/>
      </c>
      <c r="N43" s="7">
        <f>IF(ISERROR(K43/I43),"",K43/I43)</f>
        <v/>
      </c>
      <c r="O43" s="162">
        <f>I43/E43</f>
        <v/>
      </c>
      <c r="P43" s="162">
        <f>K43/E43</f>
        <v/>
      </c>
      <c r="Q43" s="113" t="n">
        <v>3</v>
      </c>
      <c r="R43" s="113" t="n">
        <v>2</v>
      </c>
      <c r="S43" s="113" t="inlineStr">
        <is>
          <t>계</t>
        </is>
      </c>
      <c r="T43" s="8" t="inlineStr">
        <is>
          <t>110B</t>
        </is>
      </c>
      <c r="U43" s="13" t="n"/>
      <c r="W43" s="161">
        <f>D43</f>
        <v/>
      </c>
      <c r="X43" s="163">
        <f>E43</f>
        <v/>
      </c>
      <c r="Y43" s="159">
        <f>H43</f>
        <v/>
      </c>
      <c r="Z43" s="166">
        <f>I43</f>
        <v/>
      </c>
      <c r="AA43" s="166">
        <f>K43</f>
        <v/>
      </c>
      <c r="AB43" s="166">
        <f>M43</f>
        <v/>
      </c>
      <c r="AC43" s="7">
        <f>N43</f>
        <v/>
      </c>
      <c r="AD43" s="162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3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inlineStr">
        <is>
          <t>강일리버파크7단지</t>
        </is>
      </c>
      <c r="B44" s="16" t="inlineStr">
        <is>
          <t>'09.06.</t>
        </is>
      </c>
      <c r="C44" s="164" t="n">
        <v>731</v>
      </c>
      <c r="D44" s="161" t="n">
        <v>110.5</v>
      </c>
      <c r="E44" s="163" t="n">
        <v>33</v>
      </c>
      <c r="F44" s="161" t="n">
        <v>84.7</v>
      </c>
      <c r="G44" s="27" t="n">
        <v>26</v>
      </c>
      <c r="H44" s="164" t="n">
        <v>82</v>
      </c>
      <c r="I44" s="165" t="n">
        <v>115000</v>
      </c>
      <c r="J44" s="165" t="inlineStr">
        <is>
          <t>8</t>
        </is>
      </c>
      <c r="K44" s="165" t="n">
        <v>65000</v>
      </c>
      <c r="L44" s="165" t="inlineStr">
        <is>
          <t>고</t>
        </is>
      </c>
      <c r="M44" s="166">
        <f>I44-K44</f>
        <v/>
      </c>
      <c r="N44" s="7">
        <f>IF(ISERROR(K44/I44),"",K44/I44)</f>
        <v/>
      </c>
      <c r="O44" s="162">
        <f>I44/E44</f>
        <v/>
      </c>
      <c r="P44" s="162">
        <f>K44/E44</f>
        <v/>
      </c>
      <c r="Q44" s="113" t="n">
        <v>3</v>
      </c>
      <c r="R44" s="113" t="n">
        <v>2</v>
      </c>
      <c r="S44" s="113" t="inlineStr">
        <is>
          <t>계</t>
        </is>
      </c>
      <c r="T44" s="8" t="inlineStr">
        <is>
          <t>110C</t>
        </is>
      </c>
      <c r="U44" s="13" t="n"/>
      <c r="W44" s="161">
        <f>D44</f>
        <v/>
      </c>
      <c r="X44" s="163">
        <f>E44</f>
        <v/>
      </c>
      <c r="Y44" s="159">
        <f>H44</f>
        <v/>
      </c>
      <c r="Z44" s="166">
        <f>I44</f>
        <v/>
      </c>
      <c r="AA44" s="166">
        <f>K44</f>
        <v/>
      </c>
      <c r="AB44" s="166">
        <f>M44</f>
        <v/>
      </c>
      <c r="AC44" s="7">
        <f>N44</f>
        <v/>
      </c>
      <c r="AD44" s="162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3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n"/>
      <c r="B45" s="113" t="n"/>
      <c r="C45" s="10" t="n"/>
      <c r="D45" s="13" t="n"/>
      <c r="E45" s="20" t="n"/>
      <c r="F45" s="161" t="n"/>
      <c r="G45" s="13" t="n"/>
      <c r="H45" s="13" t="n"/>
      <c r="I45" s="13" t="n"/>
      <c r="J45" s="13" t="n"/>
      <c r="K45" s="13" t="n"/>
      <c r="L45" s="13" t="n"/>
      <c r="M45" s="13" t="n"/>
      <c r="N45" s="13" t="n"/>
      <c r="O45" s="162" t="n"/>
      <c r="P45" s="162" t="n"/>
      <c r="Q45" s="163" t="n"/>
      <c r="R45" s="163" t="n"/>
      <c r="S45" s="13" t="n"/>
      <c r="T45" s="70" t="n"/>
      <c r="U45" s="13" t="n"/>
      <c r="W45" s="107">
        <f>$A$4&amp;" "&amp;A46&amp;"("&amp;B46&amp;","&amp;C46&amp;"^)"</f>
        <v/>
      </c>
      <c r="X45" s="108" t="n"/>
      <c r="Y45" s="108" t="n"/>
      <c r="Z45" s="108" t="n"/>
      <c r="AA45" s="108" t="n"/>
      <c r="AB45" s="108" t="n"/>
      <c r="AC45" s="108" t="n"/>
      <c r="AD45" s="108" t="n"/>
      <c r="AE45" s="108" t="n"/>
      <c r="AF45" s="109" t="n"/>
      <c r="AH45" s="36">
        <f>IF(A45="","",A45)</f>
        <v/>
      </c>
      <c r="AI45" s="160">
        <f>IF(E45="","",E45)</f>
        <v/>
      </c>
      <c r="AJ45" s="113" t="n"/>
      <c r="AK45" s="113" t="n"/>
      <c r="AL45" s="113" t="n"/>
      <c r="AM45" s="113" t="n"/>
      <c r="AN45" s="113" t="n"/>
      <c r="AO45" s="113" t="n"/>
      <c r="AP45" s="113" t="n"/>
      <c r="AQ45" s="113" t="n"/>
      <c r="AR45" s="113" t="n"/>
      <c r="AS45" s="113" t="n"/>
      <c r="AT45" s="113" t="n"/>
      <c r="AU45" s="113" t="n"/>
      <c r="AV45" s="113" t="n"/>
    </row>
    <row r="46">
      <c r="A46" s="13" t="inlineStr">
        <is>
          <t>강일리버파크8단지</t>
        </is>
      </c>
      <c r="B46" s="16" t="inlineStr">
        <is>
          <t>'09.03.</t>
        </is>
      </c>
      <c r="C46" s="164" t="n">
        <v>410</v>
      </c>
      <c r="D46" s="161" t="n">
        <v>110.8</v>
      </c>
      <c r="E46" s="163" t="n">
        <v>34</v>
      </c>
      <c r="F46" s="161" t="n">
        <v>84.8</v>
      </c>
      <c r="G46" s="27" t="n">
        <v>26</v>
      </c>
      <c r="H46" s="164" t="n">
        <v>116</v>
      </c>
      <c r="I46" s="165" t="n">
        <v>107500</v>
      </c>
      <c r="J46" s="165" t="inlineStr">
        <is>
          <t>5</t>
        </is>
      </c>
      <c r="K46" s="165" t="n">
        <v>65000</v>
      </c>
      <c r="L46" s="165" t="inlineStr">
        <is>
          <t>10</t>
        </is>
      </c>
      <c r="M46" s="166">
        <f>I46-K46</f>
        <v/>
      </c>
      <c r="N46" s="7">
        <f>IF(ISERROR(K46/I46),"",K46/I46)</f>
        <v/>
      </c>
      <c r="O46" s="162">
        <f>I46/E46</f>
        <v/>
      </c>
      <c r="P46" s="162">
        <f>K46/E46</f>
        <v/>
      </c>
      <c r="Q46" s="113" t="n">
        <v>3</v>
      </c>
      <c r="R46" s="113" t="n">
        <v>2</v>
      </c>
      <c r="S46" s="113" t="inlineStr">
        <is>
          <t>계</t>
        </is>
      </c>
      <c r="T46" s="8" t="inlineStr">
        <is>
          <t>110A</t>
        </is>
      </c>
      <c r="U46" s="13" t="n"/>
      <c r="W46" s="161">
        <f>D46</f>
        <v/>
      </c>
      <c r="X46" s="163">
        <f>E46</f>
        <v/>
      </c>
      <c r="Y46" s="159">
        <f>H46</f>
        <v/>
      </c>
      <c r="Z46" s="166">
        <f>I46</f>
        <v/>
      </c>
      <c r="AA46" s="166">
        <f>K46</f>
        <v/>
      </c>
      <c r="AB46" s="166">
        <f>M46</f>
        <v/>
      </c>
      <c r="AC46" s="7">
        <f>N46</f>
        <v/>
      </c>
      <c r="AD46" s="162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3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inlineStr">
        <is>
          <t>강일리버파크8단지</t>
        </is>
      </c>
      <c r="B47" s="16" t="inlineStr">
        <is>
          <t>'09.03.</t>
        </is>
      </c>
      <c r="C47" s="164" t="n">
        <v>410</v>
      </c>
      <c r="D47" s="161" t="n">
        <v>111.7</v>
      </c>
      <c r="E47" s="163" t="n">
        <v>34</v>
      </c>
      <c r="F47" s="161" t="n">
        <v>84.5</v>
      </c>
      <c r="G47" s="27" t="n">
        <v>26</v>
      </c>
      <c r="H47" s="164" t="n">
        <v>46</v>
      </c>
      <c r="I47" s="165" t="n">
        <v>110000</v>
      </c>
      <c r="J47" s="165" t="inlineStr">
        <is>
          <t>고</t>
        </is>
      </c>
      <c r="K47" s="165" t="n"/>
      <c r="L47" s="165" t="n"/>
      <c r="M47" s="166">
        <f>I47-K47</f>
        <v/>
      </c>
      <c r="N47" s="7">
        <f>IF(ISERROR(K47/I47),"",K47/I47)</f>
        <v/>
      </c>
      <c r="O47" s="162">
        <f>I47/E47</f>
        <v/>
      </c>
      <c r="P47" s="162">
        <f>K47/E47</f>
        <v/>
      </c>
      <c r="Q47" s="113" t="n">
        <v>3</v>
      </c>
      <c r="R47" s="113" t="n">
        <v>2</v>
      </c>
      <c r="S47" s="113" t="inlineStr">
        <is>
          <t>계</t>
        </is>
      </c>
      <c r="T47" s="8" t="inlineStr">
        <is>
          <t>111B</t>
        </is>
      </c>
      <c r="U47" s="13" t="n"/>
      <c r="W47" s="161">
        <f>D47</f>
        <v/>
      </c>
      <c r="X47" s="163">
        <f>E47</f>
        <v/>
      </c>
      <c r="Y47" s="159">
        <f>H47</f>
        <v/>
      </c>
      <c r="Z47" s="166">
        <f>I47</f>
        <v/>
      </c>
      <c r="AA47" s="166">
        <f>K47</f>
        <v/>
      </c>
      <c r="AB47" s="166">
        <f>M47</f>
        <v/>
      </c>
      <c r="AC47" s="7">
        <f>N47</f>
        <v/>
      </c>
      <c r="AD47" s="162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3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inlineStr">
        <is>
          <t>강일리버파크8단지</t>
        </is>
      </c>
      <c r="B48" s="16" t="inlineStr">
        <is>
          <t>'09.03.</t>
        </is>
      </c>
      <c r="C48" s="164" t="n">
        <v>410</v>
      </c>
      <c r="D48" s="161" t="n">
        <v>111.4</v>
      </c>
      <c r="E48" s="163" t="n">
        <v>34</v>
      </c>
      <c r="F48" s="161" t="n">
        <v>84.7</v>
      </c>
      <c r="G48" s="27" t="n">
        <v>26</v>
      </c>
      <c r="H48" s="164" t="n">
        <v>42</v>
      </c>
      <c r="I48" s="165" t="n">
        <v>120000</v>
      </c>
      <c r="J48" s="165" t="inlineStr">
        <is>
          <t>고</t>
        </is>
      </c>
      <c r="K48" s="165" t="n"/>
      <c r="L48" s="165" t="n"/>
      <c r="M48" s="166">
        <f>I48-K48</f>
        <v/>
      </c>
      <c r="N48" s="7">
        <f>IF(ISERROR(K48/I48),"",K48/I48)</f>
        <v/>
      </c>
      <c r="O48" s="162">
        <f>I48/E48</f>
        <v/>
      </c>
      <c r="P48" s="162">
        <f>K48/E48</f>
        <v/>
      </c>
      <c r="Q48" s="113" t="n">
        <v>3</v>
      </c>
      <c r="R48" s="113" t="n">
        <v>2</v>
      </c>
      <c r="S48" s="113" t="inlineStr">
        <is>
          <t>계</t>
        </is>
      </c>
      <c r="T48" s="8" t="inlineStr">
        <is>
          <t>111C</t>
        </is>
      </c>
      <c r="U48" s="13" t="n"/>
      <c r="W48" s="161">
        <f>D48</f>
        <v/>
      </c>
      <c r="X48" s="163">
        <f>E48</f>
        <v/>
      </c>
      <c r="Y48" s="159">
        <f>H48</f>
        <v/>
      </c>
      <c r="Z48" s="166">
        <f>I48</f>
        <v/>
      </c>
      <c r="AA48" s="166">
        <f>K48</f>
        <v/>
      </c>
      <c r="AB48" s="166">
        <f>M48</f>
        <v/>
      </c>
      <c r="AC48" s="7">
        <f>N48</f>
        <v/>
      </c>
      <c r="AD48" s="162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3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  <row r="49">
      <c r="A49" s="13" t="n"/>
      <c r="B49" s="113" t="n"/>
      <c r="C49" s="10" t="n"/>
      <c r="D49" s="13" t="n"/>
      <c r="E49" s="20" t="n"/>
      <c r="F49" s="161" t="n"/>
      <c r="G49" s="13" t="n"/>
      <c r="H49" s="13" t="n"/>
      <c r="I49" s="13" t="n"/>
      <c r="J49" s="13" t="n"/>
      <c r="K49" s="13" t="n"/>
      <c r="L49" s="13" t="n"/>
      <c r="M49" s="13" t="n"/>
      <c r="N49" s="13" t="n"/>
      <c r="O49" s="162" t="n"/>
      <c r="P49" s="162" t="n"/>
      <c r="Q49" s="163" t="n"/>
      <c r="R49" s="163" t="n"/>
      <c r="S49" s="13" t="n"/>
      <c r="T49" s="70" t="n"/>
      <c r="U49" s="13" t="n"/>
      <c r="W49" s="107">
        <f>$A$4&amp;" "&amp;A50&amp;"("&amp;B50&amp;","&amp;C50&amp;"^)"</f>
        <v/>
      </c>
      <c r="X49" s="108" t="n"/>
      <c r="Y49" s="108" t="n"/>
      <c r="Z49" s="108" t="n"/>
      <c r="AA49" s="108" t="n"/>
      <c r="AB49" s="108" t="n"/>
      <c r="AC49" s="108" t="n"/>
      <c r="AD49" s="108" t="n"/>
      <c r="AE49" s="108" t="n"/>
      <c r="AF49" s="109" t="n"/>
      <c r="AH49" s="36">
        <f>IF(A49="","",A49)</f>
        <v/>
      </c>
      <c r="AI49" s="160">
        <f>IF(E49="","",E49)</f>
        <v/>
      </c>
      <c r="AJ49" s="113" t="n"/>
      <c r="AK49" s="113" t="n"/>
      <c r="AL49" s="113" t="n"/>
      <c r="AM49" s="113" t="n"/>
      <c r="AN49" s="113" t="n"/>
      <c r="AO49" s="113" t="n"/>
      <c r="AP49" s="113" t="n"/>
      <c r="AQ49" s="113" t="n"/>
      <c r="AR49" s="113" t="n"/>
      <c r="AS49" s="113" t="n"/>
      <c r="AT49" s="113" t="n"/>
      <c r="AU49" s="113" t="n"/>
      <c r="AV49" s="113" t="n"/>
    </row>
    <row r="50">
      <c r="A50" s="13" t="inlineStr">
        <is>
          <t>고덕리엔파크2단지</t>
        </is>
      </c>
      <c r="B50" s="16" t="inlineStr">
        <is>
          <t>'11.01.</t>
        </is>
      </c>
      <c r="C50" s="164" t="n">
        <v>636</v>
      </c>
      <c r="D50" s="161" t="n">
        <v>78.8</v>
      </c>
      <c r="E50" s="163" t="n">
        <v>24</v>
      </c>
      <c r="F50" s="161" t="n">
        <v>59.8</v>
      </c>
      <c r="G50" s="27" t="n">
        <v>18</v>
      </c>
      <c r="H50" s="164" t="n">
        <v>24</v>
      </c>
      <c r="I50" s="165" t="n">
        <v>96000</v>
      </c>
      <c r="J50" s="165" t="inlineStr">
        <is>
          <t>고</t>
        </is>
      </c>
      <c r="K50" s="165" t="n"/>
      <c r="L50" s="165" t="n"/>
      <c r="M50" s="166">
        <f>I50-K50</f>
        <v/>
      </c>
      <c r="N50" s="7">
        <f>IF(ISERROR(K50/I50),"",K50/I50)</f>
        <v/>
      </c>
      <c r="O50" s="162">
        <f>I50/E50</f>
        <v/>
      </c>
      <c r="P50" s="162">
        <f>K50/E50</f>
        <v/>
      </c>
      <c r="Q50" s="113" t="n">
        <v>3</v>
      </c>
      <c r="R50" s="113" t="n">
        <v>2</v>
      </c>
      <c r="S50" s="113" t="inlineStr">
        <is>
          <t>계</t>
        </is>
      </c>
      <c r="T50" s="8" t="inlineStr">
        <is>
          <t>78A</t>
        </is>
      </c>
      <c r="U50" s="13" t="n"/>
      <c r="W50" s="161">
        <f>D50</f>
        <v/>
      </c>
      <c r="X50" s="163">
        <f>E50</f>
        <v/>
      </c>
      <c r="Y50" s="159">
        <f>H50</f>
        <v/>
      </c>
      <c r="Z50" s="166">
        <f>I50</f>
        <v/>
      </c>
      <c r="AA50" s="166">
        <f>K50</f>
        <v/>
      </c>
      <c r="AB50" s="166">
        <f>M50</f>
        <v/>
      </c>
      <c r="AC50" s="7">
        <f>N50</f>
        <v/>
      </c>
      <c r="AD50" s="162">
        <f>O50</f>
        <v/>
      </c>
      <c r="AE50" s="113">
        <f>S50</f>
        <v/>
      </c>
      <c r="AF50" s="113">
        <f>Q50&amp;"/"&amp;R50</f>
        <v/>
      </c>
      <c r="AH50" s="36">
        <f>IF(A50="","",A50)</f>
        <v/>
      </c>
      <c r="AI50" s="163">
        <f>IF(E50="","",E50)</f>
        <v/>
      </c>
      <c r="AJ50" s="113">
        <f>IF(AI50="","",$AJ$2)</f>
        <v/>
      </c>
      <c r="AK50" s="113" t="inlineStr">
        <is>
          <t>A</t>
        </is>
      </c>
      <c r="AL50" s="113" t="inlineStr">
        <is>
          <t>A+</t>
        </is>
      </c>
      <c r="AM50" s="113" t="inlineStr">
        <is>
          <t>B+</t>
        </is>
      </c>
      <c r="AN50" s="113">
        <f>IF(AI50="","",$AN$2)</f>
        <v/>
      </c>
      <c r="AO50" s="113">
        <f>IF(N50="","",IF(N50&gt;=$AO$1/100,"O","X"))</f>
        <v/>
      </c>
      <c r="AP50" s="113">
        <f>IF(I50="","",IF(I50&lt;=$AP$1,"O","X"))</f>
        <v/>
      </c>
      <c r="AQ50" s="113">
        <f>IF(O50="","",IF(O50&lt;=$AQ$1,"O","X"))</f>
        <v/>
      </c>
      <c r="AR50" s="113">
        <f>IF(M50="","",IF(M50&lt;=$AR$1,"O","X"))</f>
        <v/>
      </c>
      <c r="AS50" s="113" t="inlineStr">
        <is>
          <t>X</t>
        </is>
      </c>
      <c r="AT50" s="113">
        <f>IF(OR(F50="",AI50=""),"",IF(AND((F50&lt;=85),(AI50&gt;=15)),"O","X"))</f>
        <v/>
      </c>
      <c r="AU50" s="113">
        <f>IF(C50="","",IF(C50&gt;=$AU$1,"O","X"))</f>
        <v/>
      </c>
      <c r="AV50" s="113">
        <f>IF(AO50="","",IF(AND(AO50="O",AP50="O",AR50="O",AT50="O",AU50="O"),"후보","X"))</f>
        <v/>
      </c>
    </row>
    <row r="51">
      <c r="A51" s="13" t="inlineStr">
        <is>
          <t>고덕리엔파크2단지</t>
        </is>
      </c>
      <c r="B51" s="16" t="inlineStr">
        <is>
          <t>'11.01.</t>
        </is>
      </c>
      <c r="C51" s="164" t="n">
        <v>636</v>
      </c>
      <c r="D51" s="161" t="n">
        <v>78.8</v>
      </c>
      <c r="E51" s="163" t="n">
        <v>24</v>
      </c>
      <c r="F51" s="161" t="n">
        <v>59.7</v>
      </c>
      <c r="G51" s="27" t="n">
        <v>18</v>
      </c>
      <c r="H51" s="164" t="n">
        <v>24</v>
      </c>
      <c r="I51" s="165" t="n"/>
      <c r="J51" s="165" t="n"/>
      <c r="K51" s="165" t="n"/>
      <c r="L51" s="165" t="n"/>
      <c r="M51" s="166">
        <f>I51-K51</f>
        <v/>
      </c>
      <c r="N51" s="7">
        <f>IF(ISERROR(K51/I51),"",K51/I51)</f>
        <v/>
      </c>
      <c r="O51" s="162">
        <f>I51/E51</f>
        <v/>
      </c>
      <c r="P51" s="162">
        <f>K51/E51</f>
        <v/>
      </c>
      <c r="Q51" s="113" t="n">
        <v>3</v>
      </c>
      <c r="R51" s="113" t="n">
        <v>2</v>
      </c>
      <c r="S51" s="113" t="inlineStr">
        <is>
          <t>계</t>
        </is>
      </c>
      <c r="T51" s="8" t="inlineStr">
        <is>
          <t>78B</t>
        </is>
      </c>
      <c r="U51" s="13" t="n"/>
      <c r="W51" s="161">
        <f>D51</f>
        <v/>
      </c>
      <c r="X51" s="163">
        <f>E51</f>
        <v/>
      </c>
      <c r="Y51" s="159">
        <f>H51</f>
        <v/>
      </c>
      <c r="Z51" s="166">
        <f>I51</f>
        <v/>
      </c>
      <c r="AA51" s="166">
        <f>K51</f>
        <v/>
      </c>
      <c r="AB51" s="166">
        <f>M51</f>
        <v/>
      </c>
      <c r="AC51" s="7">
        <f>N51</f>
        <v/>
      </c>
      <c r="AD51" s="162">
        <f>O51</f>
        <v/>
      </c>
      <c r="AE51" s="113">
        <f>S51</f>
        <v/>
      </c>
      <c r="AF51" s="113">
        <f>Q51&amp;"/"&amp;R51</f>
        <v/>
      </c>
      <c r="AH51" s="36">
        <f>IF(A51="","",A51)</f>
        <v/>
      </c>
      <c r="AI51" s="163">
        <f>IF(E51="","",E51)</f>
        <v/>
      </c>
      <c r="AJ51" s="113">
        <f>IF(AI51="","",$AJ$2)</f>
        <v/>
      </c>
      <c r="AK51" s="113" t="inlineStr">
        <is>
          <t>A</t>
        </is>
      </c>
      <c r="AL51" s="113" t="inlineStr">
        <is>
          <t>A+</t>
        </is>
      </c>
      <c r="AM51" s="113" t="inlineStr">
        <is>
          <t>B+</t>
        </is>
      </c>
      <c r="AN51" s="113">
        <f>IF(AI51="","",$AN$2)</f>
        <v/>
      </c>
      <c r="AO51" s="113">
        <f>IF(N51="","",IF(N51&gt;=$AO$1/100,"O","X"))</f>
        <v/>
      </c>
      <c r="AP51" s="113">
        <f>IF(I51="","",IF(I51&lt;=$AP$1,"O","X"))</f>
        <v/>
      </c>
      <c r="AQ51" s="113">
        <f>IF(O51="","",IF(O51&lt;=$AQ$1,"O","X"))</f>
        <v/>
      </c>
      <c r="AR51" s="113">
        <f>IF(M51="","",IF(M51&lt;=$AR$1,"O","X"))</f>
        <v/>
      </c>
      <c r="AS51" s="113" t="inlineStr">
        <is>
          <t>X</t>
        </is>
      </c>
      <c r="AT51" s="113">
        <f>IF(OR(F51="",AI51=""),"",IF(AND((F51&lt;=85),(AI51&gt;=15)),"O","X"))</f>
        <v/>
      </c>
      <c r="AU51" s="113">
        <f>IF(C51="","",IF(C51&gt;=$AU$1,"O","X"))</f>
        <v/>
      </c>
      <c r="AV51" s="113">
        <f>IF(AO51="","",IF(AND(AO51="O",AP51="O",AR51="O",AT51="O",AU51="O"),"후보","X"))</f>
        <v/>
      </c>
    </row>
    <row r="52">
      <c r="A52" s="13" t="inlineStr">
        <is>
          <t>고덕리엔파크2단지</t>
        </is>
      </c>
      <c r="B52" s="16" t="inlineStr">
        <is>
          <t>'11.01.</t>
        </is>
      </c>
      <c r="C52" s="164" t="n">
        <v>636</v>
      </c>
      <c r="D52" s="161" t="n">
        <v>110.8</v>
      </c>
      <c r="E52" s="163" t="n">
        <v>34</v>
      </c>
      <c r="F52" s="161" t="n">
        <v>85</v>
      </c>
      <c r="G52" s="27" t="n">
        <v>26</v>
      </c>
      <c r="H52" s="164" t="n">
        <v>30</v>
      </c>
      <c r="I52" s="165" t="n"/>
      <c r="J52" s="165" t="n"/>
      <c r="K52" s="165" t="n">
        <v>70000</v>
      </c>
      <c r="L52" s="165" t="inlineStr">
        <is>
          <t>고</t>
        </is>
      </c>
      <c r="M52" s="166">
        <f>I52-K52</f>
        <v/>
      </c>
      <c r="N52" s="7">
        <f>IF(ISERROR(K52/I52),"",K52/I52)</f>
        <v/>
      </c>
      <c r="O52" s="162">
        <f>I52/E52</f>
        <v/>
      </c>
      <c r="P52" s="162">
        <f>K52/E52</f>
        <v/>
      </c>
      <c r="Q52" s="113" t="n">
        <v>3</v>
      </c>
      <c r="R52" s="113" t="n">
        <v>2</v>
      </c>
      <c r="S52" s="113" t="inlineStr">
        <is>
          <t>계</t>
        </is>
      </c>
      <c r="T52" s="8" t="inlineStr">
        <is>
          <t>110D</t>
        </is>
      </c>
      <c r="U52" s="13" t="n"/>
      <c r="W52" s="161">
        <f>D52</f>
        <v/>
      </c>
      <c r="X52" s="163">
        <f>E52</f>
        <v/>
      </c>
      <c r="Y52" s="159">
        <f>H52</f>
        <v/>
      </c>
      <c r="Z52" s="166">
        <f>I52</f>
        <v/>
      </c>
      <c r="AA52" s="166">
        <f>K52</f>
        <v/>
      </c>
      <c r="AB52" s="166">
        <f>M52</f>
        <v/>
      </c>
      <c r="AC52" s="7">
        <f>N52</f>
        <v/>
      </c>
      <c r="AD52" s="162">
        <f>O52</f>
        <v/>
      </c>
      <c r="AE52" s="113">
        <f>S52</f>
        <v/>
      </c>
      <c r="AF52" s="113">
        <f>Q52&amp;"/"&amp;R52</f>
        <v/>
      </c>
      <c r="AH52" s="36">
        <f>IF(A52="","",A52)</f>
        <v/>
      </c>
      <c r="AI52" s="163">
        <f>IF(E52="","",E52)</f>
        <v/>
      </c>
      <c r="AJ52" s="113">
        <f>IF(AI52="","",$AJ$2)</f>
        <v/>
      </c>
      <c r="AK52" s="113" t="inlineStr">
        <is>
          <t>A</t>
        </is>
      </c>
      <c r="AL52" s="113" t="inlineStr">
        <is>
          <t>A+</t>
        </is>
      </c>
      <c r="AM52" s="113" t="inlineStr">
        <is>
          <t>B+</t>
        </is>
      </c>
      <c r="AN52" s="113">
        <f>IF(AI52="","",$AN$2)</f>
        <v/>
      </c>
      <c r="AO52" s="113">
        <f>IF(N52="","",IF(N52&gt;=$AO$1/100,"O","X"))</f>
        <v/>
      </c>
      <c r="AP52" s="113">
        <f>IF(I52="","",IF(I52&lt;=$AP$1,"O","X"))</f>
        <v/>
      </c>
      <c r="AQ52" s="113">
        <f>IF(O52="","",IF(O52&lt;=$AQ$1,"O","X"))</f>
        <v/>
      </c>
      <c r="AR52" s="113">
        <f>IF(M52="","",IF(M52&lt;=$AR$1,"O","X"))</f>
        <v/>
      </c>
      <c r="AS52" s="113" t="inlineStr">
        <is>
          <t>X</t>
        </is>
      </c>
      <c r="AT52" s="113">
        <f>IF(OR(F52="",AI52=""),"",IF(AND((F52&lt;=85),(AI52&gt;=15)),"O","X"))</f>
        <v/>
      </c>
      <c r="AU52" s="113">
        <f>IF(C52="","",IF(C52&gt;=$AU$1,"O","X"))</f>
        <v/>
      </c>
      <c r="AV52" s="113">
        <f>IF(AO52="","",IF(AND(AO52="O",AP52="O",AR52="O",AT52="O",AU52="O"),"후보","X"))</f>
        <v/>
      </c>
    </row>
    <row r="53">
      <c r="A53" s="13" t="inlineStr">
        <is>
          <t>고덕리엔파크2단지</t>
        </is>
      </c>
      <c r="B53" s="16" t="inlineStr">
        <is>
          <t>'11.01.</t>
        </is>
      </c>
      <c r="C53" s="164" t="n">
        <v>636</v>
      </c>
      <c r="D53" s="161" t="n">
        <v>111.1</v>
      </c>
      <c r="E53" s="163" t="n">
        <v>34</v>
      </c>
      <c r="F53" s="161" t="n">
        <v>84.90000000000001</v>
      </c>
      <c r="G53" s="27" t="n">
        <v>26</v>
      </c>
      <c r="H53" s="164" t="n">
        <v>38</v>
      </c>
      <c r="I53" s="165" t="n"/>
      <c r="J53" s="165" t="n"/>
      <c r="K53" s="165" t="n"/>
      <c r="L53" s="165" t="n"/>
      <c r="M53" s="166">
        <f>I53-K53</f>
        <v/>
      </c>
      <c r="N53" s="7">
        <f>IF(ISERROR(K53/I53),"",K53/I53)</f>
        <v/>
      </c>
      <c r="O53" s="162">
        <f>I53/E53</f>
        <v/>
      </c>
      <c r="P53" s="162">
        <f>K53/E53</f>
        <v/>
      </c>
      <c r="Q53" s="113" t="n">
        <v>3</v>
      </c>
      <c r="R53" s="113" t="n">
        <v>2</v>
      </c>
      <c r="S53" s="113" t="inlineStr">
        <is>
          <t>계</t>
        </is>
      </c>
      <c r="T53" s="8" t="inlineStr">
        <is>
          <t>111B</t>
        </is>
      </c>
      <c r="U53" s="13" t="n"/>
      <c r="W53" s="161">
        <f>D53</f>
        <v/>
      </c>
      <c r="X53" s="163">
        <f>E53</f>
        <v/>
      </c>
      <c r="Y53" s="159">
        <f>H53</f>
        <v/>
      </c>
      <c r="Z53" s="166">
        <f>I53</f>
        <v/>
      </c>
      <c r="AA53" s="166">
        <f>K53</f>
        <v/>
      </c>
      <c r="AB53" s="166">
        <f>M53</f>
        <v/>
      </c>
      <c r="AC53" s="7">
        <f>N53</f>
        <v/>
      </c>
      <c r="AD53" s="162">
        <f>O53</f>
        <v/>
      </c>
      <c r="AE53" s="113">
        <f>S53</f>
        <v/>
      </c>
      <c r="AF53" s="113">
        <f>Q53&amp;"/"&amp;R53</f>
        <v/>
      </c>
      <c r="AH53" s="36">
        <f>IF(A53="","",A53)</f>
        <v/>
      </c>
      <c r="AI53" s="163">
        <f>IF(E53="","",E53)</f>
        <v/>
      </c>
      <c r="AJ53" s="113">
        <f>IF(AI53="","",$AJ$2)</f>
        <v/>
      </c>
      <c r="AK53" s="113" t="inlineStr">
        <is>
          <t>A</t>
        </is>
      </c>
      <c r="AL53" s="113" t="inlineStr">
        <is>
          <t>A+</t>
        </is>
      </c>
      <c r="AM53" s="113" t="inlineStr">
        <is>
          <t>B+</t>
        </is>
      </c>
      <c r="AN53" s="113">
        <f>IF(AI53="","",$AN$2)</f>
        <v/>
      </c>
      <c r="AO53" s="113">
        <f>IF(N53="","",IF(N53&gt;=$AO$1/100,"O","X"))</f>
        <v/>
      </c>
      <c r="AP53" s="113">
        <f>IF(I53="","",IF(I53&lt;=$AP$1,"O","X"))</f>
        <v/>
      </c>
      <c r="AQ53" s="113">
        <f>IF(O53="","",IF(O53&lt;=$AQ$1,"O","X"))</f>
        <v/>
      </c>
      <c r="AR53" s="113">
        <f>IF(M53="","",IF(M53&lt;=$AR$1,"O","X"))</f>
        <v/>
      </c>
      <c r="AS53" s="113" t="inlineStr">
        <is>
          <t>X</t>
        </is>
      </c>
      <c r="AT53" s="113">
        <f>IF(OR(F53="",AI53=""),"",IF(AND((F53&lt;=85),(AI53&gt;=15)),"O","X"))</f>
        <v/>
      </c>
      <c r="AU53" s="113">
        <f>IF(C53="","",IF(C53&gt;=$AU$1,"O","X"))</f>
        <v/>
      </c>
      <c r="AV53" s="113">
        <f>IF(AO53="","",IF(AND(AO53="O",AP53="O",AR53="O",AT53="O",AU53="O"),"후보","X"))</f>
        <v/>
      </c>
    </row>
    <row r="54">
      <c r="A54" s="13" t="inlineStr">
        <is>
          <t>고덕리엔파크2단지</t>
        </is>
      </c>
      <c r="B54" s="16" t="inlineStr">
        <is>
          <t>'11.01.</t>
        </is>
      </c>
      <c r="C54" s="164" t="n">
        <v>636</v>
      </c>
      <c r="D54" s="161" t="n">
        <v>111.8</v>
      </c>
      <c r="E54" s="163" t="n">
        <v>34</v>
      </c>
      <c r="F54" s="161" t="n">
        <v>84.8</v>
      </c>
      <c r="G54" s="27" t="n">
        <v>26</v>
      </c>
      <c r="H54" s="164" t="n">
        <v>30</v>
      </c>
      <c r="I54" s="165" t="n"/>
      <c r="J54" s="165" t="n"/>
      <c r="K54" s="165" t="n"/>
      <c r="L54" s="165" t="n"/>
      <c r="M54" s="166">
        <f>I54-K54</f>
        <v/>
      </c>
      <c r="N54" s="7">
        <f>IF(ISERROR(K54/I54),"",K54/I54)</f>
        <v/>
      </c>
      <c r="O54" s="162">
        <f>I54/E54</f>
        <v/>
      </c>
      <c r="P54" s="162">
        <f>K54/E54</f>
        <v/>
      </c>
      <c r="Q54" s="113" t="n">
        <v>3</v>
      </c>
      <c r="R54" s="113" t="n">
        <v>2</v>
      </c>
      <c r="S54" s="113" t="inlineStr">
        <is>
          <t>계</t>
        </is>
      </c>
      <c r="T54" s="8" t="inlineStr">
        <is>
          <t>111C</t>
        </is>
      </c>
      <c r="U54" s="13" t="n"/>
      <c r="W54" s="161">
        <f>D54</f>
        <v/>
      </c>
      <c r="X54" s="163">
        <f>E54</f>
        <v/>
      </c>
      <c r="Y54" s="159">
        <f>H54</f>
        <v/>
      </c>
      <c r="Z54" s="166">
        <f>I54</f>
        <v/>
      </c>
      <c r="AA54" s="166">
        <f>K54</f>
        <v/>
      </c>
      <c r="AB54" s="166">
        <f>M54</f>
        <v/>
      </c>
      <c r="AC54" s="7">
        <f>N54</f>
        <v/>
      </c>
      <c r="AD54" s="162">
        <f>O54</f>
        <v/>
      </c>
      <c r="AE54" s="113">
        <f>S54</f>
        <v/>
      </c>
      <c r="AF54" s="113">
        <f>Q54&amp;"/"&amp;R54</f>
        <v/>
      </c>
      <c r="AH54" s="36">
        <f>IF(A54="","",A54)</f>
        <v/>
      </c>
      <c r="AI54" s="163">
        <f>IF(E54="","",E54)</f>
        <v/>
      </c>
      <c r="AJ54" s="113">
        <f>IF(AI54="","",$AJ$2)</f>
        <v/>
      </c>
      <c r="AK54" s="113" t="inlineStr">
        <is>
          <t>A</t>
        </is>
      </c>
      <c r="AL54" s="113" t="inlineStr">
        <is>
          <t>A+</t>
        </is>
      </c>
      <c r="AM54" s="113" t="inlineStr">
        <is>
          <t>B+</t>
        </is>
      </c>
      <c r="AN54" s="113">
        <f>IF(AI54="","",$AN$2)</f>
        <v/>
      </c>
      <c r="AO54" s="113">
        <f>IF(N54="","",IF(N54&gt;=$AO$1/100,"O","X"))</f>
        <v/>
      </c>
      <c r="AP54" s="113">
        <f>IF(I54="","",IF(I54&lt;=$AP$1,"O","X"))</f>
        <v/>
      </c>
      <c r="AQ54" s="113">
        <f>IF(O54="","",IF(O54&lt;=$AQ$1,"O","X"))</f>
        <v/>
      </c>
      <c r="AR54" s="113">
        <f>IF(M54="","",IF(M54&lt;=$AR$1,"O","X"))</f>
        <v/>
      </c>
      <c r="AS54" s="113" t="inlineStr">
        <is>
          <t>X</t>
        </is>
      </c>
      <c r="AT54" s="113">
        <f>IF(OR(F54="",AI54=""),"",IF(AND((F54&lt;=85),(AI54&gt;=15)),"O","X"))</f>
        <v/>
      </c>
      <c r="AU54" s="113">
        <f>IF(C54="","",IF(C54&gt;=$AU$1,"O","X"))</f>
        <v/>
      </c>
      <c r="AV54" s="113">
        <f>IF(AO54="","",IF(AND(AO54="O",AP54="O",AR54="O",AT54="O",AU54="O"),"후보","X"))</f>
        <v/>
      </c>
    </row>
    <row r="55">
      <c r="A55" s="13" t="inlineStr">
        <is>
          <t>고덕리엔파크2단지</t>
        </is>
      </c>
      <c r="B55" s="16" t="inlineStr">
        <is>
          <t>'11.01.</t>
        </is>
      </c>
      <c r="C55" s="164" t="n">
        <v>636</v>
      </c>
      <c r="D55" s="161" t="n">
        <v>149.3</v>
      </c>
      <c r="E55" s="163" t="n">
        <v>45</v>
      </c>
      <c r="F55" s="161" t="n">
        <v>115</v>
      </c>
      <c r="G55" s="27" t="n">
        <v>35</v>
      </c>
      <c r="H55" s="164" t="n">
        <v>31</v>
      </c>
      <c r="I55" s="165" t="n">
        <v>175000</v>
      </c>
      <c r="J55" s="165" t="inlineStr">
        <is>
          <t>고</t>
        </is>
      </c>
      <c r="K55" s="165" t="n"/>
      <c r="L55" s="165" t="n"/>
      <c r="M55" s="166">
        <f>I55-K55</f>
        <v/>
      </c>
      <c r="N55" s="7">
        <f>IF(ISERROR(K55/I55),"",K55/I55)</f>
        <v/>
      </c>
      <c r="O55" s="162">
        <f>I55/E55</f>
        <v/>
      </c>
      <c r="P55" s="162">
        <f>K55/E55</f>
        <v/>
      </c>
      <c r="Q55" s="113" t="n">
        <v>4</v>
      </c>
      <c r="R55" s="113" t="n">
        <v>2</v>
      </c>
      <c r="S55" s="113" t="inlineStr">
        <is>
          <t>계</t>
        </is>
      </c>
      <c r="T55" s="8" t="inlineStr">
        <is>
          <t>149C</t>
        </is>
      </c>
      <c r="U55" s="13" t="n"/>
      <c r="W55" s="161">
        <f>D55</f>
        <v/>
      </c>
      <c r="X55" s="163">
        <f>E55</f>
        <v/>
      </c>
      <c r="Y55" s="159">
        <f>H55</f>
        <v/>
      </c>
      <c r="Z55" s="166">
        <f>I55</f>
        <v/>
      </c>
      <c r="AA55" s="166">
        <f>K55</f>
        <v/>
      </c>
      <c r="AB55" s="166">
        <f>M55</f>
        <v/>
      </c>
      <c r="AC55" s="7">
        <f>N55</f>
        <v/>
      </c>
      <c r="AD55" s="162">
        <f>O55</f>
        <v/>
      </c>
      <c r="AE55" s="113">
        <f>S55</f>
        <v/>
      </c>
      <c r="AF55" s="113">
        <f>Q55&amp;"/"&amp;R55</f>
        <v/>
      </c>
      <c r="AH55" s="36">
        <f>IF(A55="","",A55)</f>
        <v/>
      </c>
      <c r="AI55" s="163">
        <f>IF(E55="","",E55)</f>
        <v/>
      </c>
      <c r="AJ55" s="113">
        <f>IF(AI55="","",$AJ$2)</f>
        <v/>
      </c>
      <c r="AK55" s="113" t="inlineStr">
        <is>
          <t>A</t>
        </is>
      </c>
      <c r="AL55" s="113" t="inlineStr">
        <is>
          <t>A+</t>
        </is>
      </c>
      <c r="AM55" s="113" t="inlineStr">
        <is>
          <t>B+</t>
        </is>
      </c>
      <c r="AN55" s="113">
        <f>IF(AI55="","",$AN$2)</f>
        <v/>
      </c>
      <c r="AO55" s="113">
        <f>IF(N55="","",IF(N55&gt;=$AO$1/100,"O","X"))</f>
        <v/>
      </c>
      <c r="AP55" s="113">
        <f>IF(I55="","",IF(I55&lt;=$AP$1,"O","X"))</f>
        <v/>
      </c>
      <c r="AQ55" s="113">
        <f>IF(O55="","",IF(O55&lt;=$AQ$1,"O","X"))</f>
        <v/>
      </c>
      <c r="AR55" s="113">
        <f>IF(M55="","",IF(M55&lt;=$AR$1,"O","X"))</f>
        <v/>
      </c>
      <c r="AS55" s="113" t="inlineStr">
        <is>
          <t>X</t>
        </is>
      </c>
      <c r="AT55" s="113">
        <f>IF(OR(F55="",AI55=""),"",IF(AND((F55&lt;=85),(AI55&gt;=15)),"O","X"))</f>
        <v/>
      </c>
      <c r="AU55" s="113">
        <f>IF(C55="","",IF(C55&gt;=$AU$1,"O","X"))</f>
        <v/>
      </c>
      <c r="AV55" s="113">
        <f>IF(AO55="","",IF(AND(AO55="O",AP55="O",AR55="O",AT55="O",AU55="O"),"후보","X"))</f>
        <v/>
      </c>
    </row>
    <row r="56">
      <c r="A56" s="13" t="inlineStr">
        <is>
          <t>고덕리엔파크2단지</t>
        </is>
      </c>
      <c r="B56" s="16" t="inlineStr">
        <is>
          <t>'11.01.</t>
        </is>
      </c>
      <c r="C56" s="164" t="n">
        <v>636</v>
      </c>
      <c r="D56" s="161" t="n">
        <v>149.9</v>
      </c>
      <c r="E56" s="163" t="n">
        <v>45</v>
      </c>
      <c r="F56" s="161" t="n">
        <v>115</v>
      </c>
      <c r="G56" s="27" t="n">
        <v>35</v>
      </c>
      <c r="H56" s="164" t="n">
        <v>16</v>
      </c>
      <c r="I56" s="165" t="n"/>
      <c r="J56" s="165" t="n"/>
      <c r="K56" s="165" t="n"/>
      <c r="L56" s="165" t="n"/>
      <c r="M56" s="166">
        <f>I56-K56</f>
        <v/>
      </c>
      <c r="N56" s="7">
        <f>IF(ISERROR(K56/I56),"",K56/I56)</f>
        <v/>
      </c>
      <c r="O56" s="162">
        <f>I56/E56</f>
        <v/>
      </c>
      <c r="P56" s="162">
        <f>K56/E56</f>
        <v/>
      </c>
      <c r="Q56" s="113" t="n">
        <v>4</v>
      </c>
      <c r="R56" s="113" t="n">
        <v>2</v>
      </c>
      <c r="S56" s="113" t="inlineStr">
        <is>
          <t>계</t>
        </is>
      </c>
      <c r="T56" s="8" t="inlineStr">
        <is>
          <t>149D</t>
        </is>
      </c>
      <c r="U56" s="13" t="n"/>
      <c r="W56" s="161">
        <f>D56</f>
        <v/>
      </c>
      <c r="X56" s="163">
        <f>E56</f>
        <v/>
      </c>
      <c r="Y56" s="159">
        <f>H56</f>
        <v/>
      </c>
      <c r="Z56" s="166">
        <f>I56</f>
        <v/>
      </c>
      <c r="AA56" s="166">
        <f>K56</f>
        <v/>
      </c>
      <c r="AB56" s="166">
        <f>M56</f>
        <v/>
      </c>
      <c r="AC56" s="7">
        <f>N56</f>
        <v/>
      </c>
      <c r="AD56" s="162">
        <f>O56</f>
        <v/>
      </c>
      <c r="AE56" s="113">
        <f>S56</f>
        <v/>
      </c>
      <c r="AF56" s="113">
        <f>Q56&amp;"/"&amp;R56</f>
        <v/>
      </c>
      <c r="AH56" s="36">
        <f>IF(A56="","",A56)</f>
        <v/>
      </c>
      <c r="AI56" s="163">
        <f>IF(E56="","",E56)</f>
        <v/>
      </c>
      <c r="AJ56" s="113">
        <f>IF(AI56="","",$AJ$2)</f>
        <v/>
      </c>
      <c r="AK56" s="113" t="inlineStr">
        <is>
          <t>A</t>
        </is>
      </c>
      <c r="AL56" s="113" t="inlineStr">
        <is>
          <t>A+</t>
        </is>
      </c>
      <c r="AM56" s="113" t="inlineStr">
        <is>
          <t>B+</t>
        </is>
      </c>
      <c r="AN56" s="113">
        <f>IF(AI56="","",$AN$2)</f>
        <v/>
      </c>
      <c r="AO56" s="113">
        <f>IF(N56="","",IF(N56&gt;=$AO$1/100,"O","X"))</f>
        <v/>
      </c>
      <c r="AP56" s="113">
        <f>IF(I56="","",IF(I56&lt;=$AP$1,"O","X"))</f>
        <v/>
      </c>
      <c r="AQ56" s="113">
        <f>IF(O56="","",IF(O56&lt;=$AQ$1,"O","X"))</f>
        <v/>
      </c>
      <c r="AR56" s="113">
        <f>IF(M56="","",IF(M56&lt;=$AR$1,"O","X"))</f>
        <v/>
      </c>
      <c r="AS56" s="113" t="inlineStr">
        <is>
          <t>X</t>
        </is>
      </c>
      <c r="AT56" s="113">
        <f>IF(OR(F56="",AI56=""),"",IF(AND((F56&lt;=85),(AI56&gt;=15)),"O","X"))</f>
        <v/>
      </c>
      <c r="AU56" s="113">
        <f>IF(C56="","",IF(C56&gt;=$AU$1,"O","X"))</f>
        <v/>
      </c>
      <c r="AV56" s="113">
        <f>IF(AO56="","",IF(AND(AO56="O",AP56="O",AR56="O",AT56="O",AU56="O"),"후보","X"))</f>
        <v/>
      </c>
    </row>
    <row r="57">
      <c r="A57" s="13" t="n"/>
      <c r="B57" s="113" t="n"/>
      <c r="C57" s="10" t="n"/>
      <c r="D57" s="13" t="n"/>
      <c r="E57" s="20" t="n"/>
      <c r="F57" s="161" t="n"/>
      <c r="G57" s="13" t="n"/>
      <c r="H57" s="13" t="n"/>
      <c r="I57" s="13" t="n"/>
      <c r="J57" s="13" t="n"/>
      <c r="K57" s="13" t="n"/>
      <c r="L57" s="13" t="n"/>
      <c r="M57" s="13" t="n"/>
      <c r="N57" s="13" t="n"/>
      <c r="O57" s="162" t="n"/>
      <c r="P57" s="162" t="n"/>
      <c r="Q57" s="163" t="n"/>
      <c r="R57" s="163" t="n"/>
      <c r="S57" s="13" t="n"/>
      <c r="T57" s="70" t="n"/>
      <c r="U57" s="13" t="n"/>
      <c r="W57" s="107">
        <f>$A$4&amp;" "&amp;A58&amp;"("&amp;B58&amp;","&amp;C58&amp;"^)"</f>
        <v/>
      </c>
      <c r="X57" s="108" t="n"/>
      <c r="Y57" s="108" t="n"/>
      <c r="Z57" s="108" t="n"/>
      <c r="AA57" s="108" t="n"/>
      <c r="AB57" s="108" t="n"/>
      <c r="AC57" s="108" t="n"/>
      <c r="AD57" s="108" t="n"/>
      <c r="AE57" s="108" t="n"/>
      <c r="AF57" s="109" t="n"/>
      <c r="AH57" s="36">
        <f>IF(A57="","",A57)</f>
        <v/>
      </c>
      <c r="AI57" s="160">
        <f>IF(E57="","",E57)</f>
        <v/>
      </c>
      <c r="AJ57" s="113" t="n"/>
      <c r="AK57" s="113" t="n"/>
      <c r="AL57" s="113" t="n"/>
      <c r="AM57" s="113" t="n"/>
      <c r="AN57" s="113" t="n"/>
      <c r="AO57" s="113" t="n"/>
      <c r="AP57" s="113" t="n"/>
      <c r="AQ57" s="113" t="n"/>
      <c r="AR57" s="113" t="n"/>
      <c r="AS57" s="113" t="n"/>
      <c r="AT57" s="113" t="n"/>
      <c r="AU57" s="113" t="n"/>
      <c r="AV57" s="113" t="n"/>
    </row>
    <row r="58">
      <c r="A58" s="13" t="inlineStr">
        <is>
          <t>강일리버파크4단지</t>
        </is>
      </c>
      <c r="B58" s="16" t="inlineStr">
        <is>
          <t>'09.03.</t>
        </is>
      </c>
      <c r="C58" s="164" t="n">
        <v>748</v>
      </c>
      <c r="D58" s="161" t="n">
        <v>109.9</v>
      </c>
      <c r="E58" s="163" t="n">
        <v>33</v>
      </c>
      <c r="F58" s="161" t="n">
        <v>84.8</v>
      </c>
      <c r="G58" s="27" t="n">
        <v>26</v>
      </c>
      <c r="H58" s="164" t="n">
        <v>122</v>
      </c>
      <c r="I58" s="165" t="n">
        <v>113000</v>
      </c>
      <c r="J58" s="165" t="inlineStr">
        <is>
          <t>고</t>
        </is>
      </c>
      <c r="K58" s="165" t="n">
        <v>75000</v>
      </c>
      <c r="L58" s="165" t="inlineStr">
        <is>
          <t>고</t>
        </is>
      </c>
      <c r="M58" s="166">
        <f>I58-K58</f>
        <v/>
      </c>
      <c r="N58" s="7">
        <f>IF(ISERROR(K58/I58),"",K58/I58)</f>
        <v/>
      </c>
      <c r="O58" s="162">
        <f>I58/E58</f>
        <v/>
      </c>
      <c r="P58" s="162">
        <f>K58/E58</f>
        <v/>
      </c>
      <c r="Q58" s="113" t="n">
        <v>3</v>
      </c>
      <c r="R58" s="113" t="n">
        <v>2</v>
      </c>
      <c r="S58" s="113" t="inlineStr">
        <is>
          <t>계</t>
        </is>
      </c>
      <c r="T58" s="8" t="inlineStr">
        <is>
          <t>109A</t>
        </is>
      </c>
      <c r="U58" s="13" t="n"/>
      <c r="W58" s="161">
        <f>D58</f>
        <v/>
      </c>
      <c r="X58" s="163">
        <f>E58</f>
        <v/>
      </c>
      <c r="Y58" s="159">
        <f>H58</f>
        <v/>
      </c>
      <c r="Z58" s="166">
        <f>I58</f>
        <v/>
      </c>
      <c r="AA58" s="166">
        <f>K58</f>
        <v/>
      </c>
      <c r="AB58" s="166">
        <f>M58</f>
        <v/>
      </c>
      <c r="AC58" s="7">
        <f>N58</f>
        <v/>
      </c>
      <c r="AD58" s="162">
        <f>O58</f>
        <v/>
      </c>
      <c r="AE58" s="113">
        <f>S58</f>
        <v/>
      </c>
      <c r="AF58" s="113">
        <f>Q58&amp;"/"&amp;R58</f>
        <v/>
      </c>
      <c r="AH58" s="36">
        <f>IF(A58="","",A58)</f>
        <v/>
      </c>
      <c r="AI58" s="163">
        <f>IF(E58="","",E58)</f>
        <v/>
      </c>
      <c r="AJ58" s="113">
        <f>IF(AI58="","",$AJ$2)</f>
        <v/>
      </c>
      <c r="AK58" s="113" t="inlineStr">
        <is>
          <t>A</t>
        </is>
      </c>
      <c r="AL58" s="113" t="inlineStr">
        <is>
          <t>A+</t>
        </is>
      </c>
      <c r="AM58" s="113" t="inlineStr">
        <is>
          <t>B+</t>
        </is>
      </c>
      <c r="AN58" s="113">
        <f>IF(AI58="","",$AN$2)</f>
        <v/>
      </c>
      <c r="AO58" s="113">
        <f>IF(N58="","",IF(N58&gt;=$AO$1/100,"O","X"))</f>
        <v/>
      </c>
      <c r="AP58" s="113">
        <f>IF(I58="","",IF(I58&lt;=$AP$1,"O","X"))</f>
        <v/>
      </c>
      <c r="AQ58" s="113">
        <f>IF(O58="","",IF(O58&lt;=$AQ$1,"O","X"))</f>
        <v/>
      </c>
      <c r="AR58" s="113">
        <f>IF(M58="","",IF(M58&lt;=$AR$1,"O","X"))</f>
        <v/>
      </c>
      <c r="AS58" s="113" t="inlineStr">
        <is>
          <t>X</t>
        </is>
      </c>
      <c r="AT58" s="113">
        <f>IF(OR(F58="",AI58=""),"",IF(AND((F58&lt;=85),(AI58&gt;=15)),"O","X"))</f>
        <v/>
      </c>
      <c r="AU58" s="113">
        <f>IF(C58="","",IF(C58&gt;=$AU$1,"O","X"))</f>
        <v/>
      </c>
      <c r="AV58" s="113">
        <f>IF(AO58="","",IF(AND(AO58="O",AP58="O",AR58="O",AT58="O",AU58="O"),"후보","X"))</f>
        <v/>
      </c>
    </row>
    <row r="59">
      <c r="A59" s="13" t="inlineStr">
        <is>
          <t>강일리버파크4단지</t>
        </is>
      </c>
      <c r="B59" s="16" t="inlineStr">
        <is>
          <t>'09.03.</t>
        </is>
      </c>
      <c r="C59" s="164" t="n">
        <v>748</v>
      </c>
      <c r="D59" s="161" t="n">
        <v>110.5</v>
      </c>
      <c r="E59" s="163" t="n">
        <v>33</v>
      </c>
      <c r="F59" s="161" t="n">
        <v>84.7</v>
      </c>
      <c r="G59" s="27" t="n">
        <v>26</v>
      </c>
      <c r="H59" s="164" t="n">
        <v>80</v>
      </c>
      <c r="I59" s="165" t="n">
        <v>110000</v>
      </c>
      <c r="J59" s="165" t="inlineStr">
        <is>
          <t>15</t>
        </is>
      </c>
      <c r="K59" s="165" t="n"/>
      <c r="L59" s="165" t="n"/>
      <c r="M59" s="166">
        <f>I59-K59</f>
        <v/>
      </c>
      <c r="N59" s="7">
        <f>IF(ISERROR(K59/I59),"",K59/I59)</f>
        <v/>
      </c>
      <c r="O59" s="162">
        <f>I59/E59</f>
        <v/>
      </c>
      <c r="P59" s="162">
        <f>K59/E59</f>
        <v/>
      </c>
      <c r="Q59" s="113" t="n">
        <v>3</v>
      </c>
      <c r="R59" s="113" t="n">
        <v>2</v>
      </c>
      <c r="S59" s="113" t="inlineStr">
        <is>
          <t>계</t>
        </is>
      </c>
      <c r="T59" s="8" t="inlineStr">
        <is>
          <t>110C</t>
        </is>
      </c>
      <c r="U59" s="13" t="n"/>
      <c r="W59" s="161">
        <f>D59</f>
        <v/>
      </c>
      <c r="X59" s="163">
        <f>E59</f>
        <v/>
      </c>
      <c r="Y59" s="159">
        <f>H59</f>
        <v/>
      </c>
      <c r="Z59" s="166">
        <f>I59</f>
        <v/>
      </c>
      <c r="AA59" s="166">
        <f>K59</f>
        <v/>
      </c>
      <c r="AB59" s="166">
        <f>M59</f>
        <v/>
      </c>
      <c r="AC59" s="7">
        <f>N59</f>
        <v/>
      </c>
      <c r="AD59" s="162">
        <f>O59</f>
        <v/>
      </c>
      <c r="AE59" s="113">
        <f>S59</f>
        <v/>
      </c>
      <c r="AF59" s="113">
        <f>Q59&amp;"/"&amp;R59</f>
        <v/>
      </c>
      <c r="AH59" s="36">
        <f>IF(A59="","",A59)</f>
        <v/>
      </c>
      <c r="AI59" s="163">
        <f>IF(E59="","",E59)</f>
        <v/>
      </c>
      <c r="AJ59" s="113">
        <f>IF(AI59="","",$AJ$2)</f>
        <v/>
      </c>
      <c r="AK59" s="113" t="inlineStr">
        <is>
          <t>A</t>
        </is>
      </c>
      <c r="AL59" s="113" t="inlineStr">
        <is>
          <t>A+</t>
        </is>
      </c>
      <c r="AM59" s="113" t="inlineStr">
        <is>
          <t>B+</t>
        </is>
      </c>
      <c r="AN59" s="113">
        <f>IF(AI59="","",$AN$2)</f>
        <v/>
      </c>
      <c r="AO59" s="113">
        <f>IF(N59="","",IF(N59&gt;=$AO$1/100,"O","X"))</f>
        <v/>
      </c>
      <c r="AP59" s="113">
        <f>IF(I59="","",IF(I59&lt;=$AP$1,"O","X"))</f>
        <v/>
      </c>
      <c r="AQ59" s="113">
        <f>IF(O59="","",IF(O59&lt;=$AQ$1,"O","X"))</f>
        <v/>
      </c>
      <c r="AR59" s="113">
        <f>IF(M59="","",IF(M59&lt;=$AR$1,"O","X"))</f>
        <v/>
      </c>
      <c r="AS59" s="113" t="inlineStr">
        <is>
          <t>X</t>
        </is>
      </c>
      <c r="AT59" s="113">
        <f>IF(OR(F59="",AI59=""),"",IF(AND((F59&lt;=85),(AI59&gt;=15)),"O","X"))</f>
        <v/>
      </c>
      <c r="AU59" s="113">
        <f>IF(C59="","",IF(C59&gt;=$AU$1,"O","X"))</f>
        <v/>
      </c>
      <c r="AV59" s="113">
        <f>IF(AO59="","",IF(AND(AO59="O",AP59="O",AR59="O",AT59="O",AU59="O"),"후보","X"))</f>
        <v/>
      </c>
    </row>
    <row r="60">
      <c r="A60" s="13" t="inlineStr">
        <is>
          <t>강일리버파크4단지</t>
        </is>
      </c>
      <c r="B60" s="16" t="inlineStr">
        <is>
          <t>'09.03.</t>
        </is>
      </c>
      <c r="C60" s="164" t="n">
        <v>748</v>
      </c>
      <c r="D60" s="161" t="n">
        <v>110.8</v>
      </c>
      <c r="E60" s="163" t="n">
        <v>34</v>
      </c>
      <c r="F60" s="161" t="n">
        <v>84.5</v>
      </c>
      <c r="G60" s="27" t="n">
        <v>26</v>
      </c>
      <c r="H60" s="164" t="n">
        <v>76</v>
      </c>
      <c r="I60" s="165" t="n">
        <v>125000</v>
      </c>
      <c r="J60" s="165" t="inlineStr">
        <is>
          <t>고</t>
        </is>
      </c>
      <c r="K60" s="165" t="n">
        <v>58000</v>
      </c>
      <c r="L60" s="165" t="inlineStr">
        <is>
          <t>5</t>
        </is>
      </c>
      <c r="M60" s="166">
        <f>I60-K60</f>
        <v/>
      </c>
      <c r="N60" s="7">
        <f>IF(ISERROR(K60/I60),"",K60/I60)</f>
        <v/>
      </c>
      <c r="O60" s="162">
        <f>I60/E60</f>
        <v/>
      </c>
      <c r="P60" s="162">
        <f>K60/E60</f>
        <v/>
      </c>
      <c r="Q60" s="113" t="n">
        <v>3</v>
      </c>
      <c r="R60" s="113" t="n">
        <v>2</v>
      </c>
      <c r="S60" s="113" t="inlineStr">
        <is>
          <t>계</t>
        </is>
      </c>
      <c r="T60" s="8" t="inlineStr">
        <is>
          <t>110B</t>
        </is>
      </c>
      <c r="U60" s="13" t="n"/>
      <c r="W60" s="161">
        <f>D60</f>
        <v/>
      </c>
      <c r="X60" s="163">
        <f>E60</f>
        <v/>
      </c>
      <c r="Y60" s="159">
        <f>H60</f>
        <v/>
      </c>
      <c r="Z60" s="166">
        <f>I60</f>
        <v/>
      </c>
      <c r="AA60" s="166">
        <f>K60</f>
        <v/>
      </c>
      <c r="AB60" s="166">
        <f>M60</f>
        <v/>
      </c>
      <c r="AC60" s="7">
        <f>N60</f>
        <v/>
      </c>
      <c r="AD60" s="162">
        <f>O60</f>
        <v/>
      </c>
      <c r="AE60" s="113">
        <f>S60</f>
        <v/>
      </c>
      <c r="AF60" s="113">
        <f>Q60&amp;"/"&amp;R60</f>
        <v/>
      </c>
      <c r="AH60" s="36">
        <f>IF(A60="","",A60)</f>
        <v/>
      </c>
      <c r="AI60" s="163">
        <f>IF(E60="","",E60)</f>
        <v/>
      </c>
      <c r="AJ60" s="113">
        <f>IF(AI60="","",$AJ$2)</f>
        <v/>
      </c>
      <c r="AK60" s="113" t="inlineStr">
        <is>
          <t>A</t>
        </is>
      </c>
      <c r="AL60" s="113" t="inlineStr">
        <is>
          <t>A+</t>
        </is>
      </c>
      <c r="AM60" s="113" t="inlineStr">
        <is>
          <t>B+</t>
        </is>
      </c>
      <c r="AN60" s="113">
        <f>IF(AI60="","",$AN$2)</f>
        <v/>
      </c>
      <c r="AO60" s="113">
        <f>IF(N60="","",IF(N60&gt;=$AO$1/100,"O","X"))</f>
        <v/>
      </c>
      <c r="AP60" s="113">
        <f>IF(I60="","",IF(I60&lt;=$AP$1,"O","X"))</f>
        <v/>
      </c>
      <c r="AQ60" s="113">
        <f>IF(O60="","",IF(O60&lt;=$AQ$1,"O","X"))</f>
        <v/>
      </c>
      <c r="AR60" s="113">
        <f>IF(M60="","",IF(M60&lt;=$AR$1,"O","X"))</f>
        <v/>
      </c>
      <c r="AS60" s="113" t="inlineStr">
        <is>
          <t>X</t>
        </is>
      </c>
      <c r="AT60" s="113">
        <f>IF(OR(F60="",AI60=""),"",IF(AND((F60&lt;=85),(AI60&gt;=15)),"O","X"))</f>
        <v/>
      </c>
      <c r="AU60" s="113">
        <f>IF(C60="","",IF(C60&gt;=$AU$1,"O","X"))</f>
        <v/>
      </c>
      <c r="AV60" s="113">
        <f>IF(AO60="","",IF(AND(AO60="O",AP60="O",AR60="O",AT60="O",AU60="O"),"후보","X"))</f>
        <v/>
      </c>
    </row>
    <row r="61">
      <c r="A61" s="13" t="n"/>
      <c r="B61" s="113" t="n"/>
      <c r="C61" s="10" t="n"/>
      <c r="D61" s="13" t="n"/>
      <c r="E61" s="20" t="n"/>
      <c r="F61" s="161" t="n"/>
      <c r="G61" s="13" t="n"/>
      <c r="H61" s="13" t="n"/>
      <c r="I61" s="13" t="n"/>
      <c r="J61" s="13" t="n"/>
      <c r="K61" s="13" t="n"/>
      <c r="L61" s="13" t="n"/>
      <c r="M61" s="13" t="n"/>
      <c r="N61" s="13" t="n"/>
      <c r="O61" s="162" t="n"/>
      <c r="P61" s="162" t="n"/>
      <c r="Q61" s="163" t="n"/>
      <c r="R61" s="163" t="n"/>
      <c r="S61" s="13" t="n"/>
      <c r="T61" s="70" t="n"/>
      <c r="U61" s="13" t="n"/>
      <c r="W61" s="107">
        <f>$A$4&amp;" "&amp;A62&amp;"("&amp;B62&amp;","&amp;C62&amp;"^)"</f>
        <v/>
      </c>
      <c r="X61" s="108" t="n"/>
      <c r="Y61" s="108" t="n"/>
      <c r="Z61" s="108" t="n"/>
      <c r="AA61" s="108" t="n"/>
      <c r="AB61" s="108" t="n"/>
      <c r="AC61" s="108" t="n"/>
      <c r="AD61" s="108" t="n"/>
      <c r="AE61" s="108" t="n"/>
      <c r="AF61" s="109" t="n"/>
      <c r="AH61" s="36">
        <f>IF(A61="","",A61)</f>
        <v/>
      </c>
      <c r="AI61" s="160">
        <f>IF(E61="","",E61)</f>
        <v/>
      </c>
      <c r="AJ61" s="113" t="n"/>
      <c r="AK61" s="113" t="n"/>
      <c r="AL61" s="113" t="n"/>
      <c r="AM61" s="113" t="n"/>
      <c r="AN61" s="113" t="n"/>
      <c r="AO61" s="113" t="n"/>
      <c r="AP61" s="113" t="n"/>
      <c r="AQ61" s="113" t="n"/>
      <c r="AR61" s="113" t="n"/>
      <c r="AS61" s="113" t="n"/>
      <c r="AT61" s="113" t="n"/>
      <c r="AU61" s="113" t="n"/>
      <c r="AV61" s="113" t="n"/>
    </row>
    <row r="62">
      <c r="A62" s="13" t="inlineStr">
        <is>
          <t>힐스테이트리슈빌강일</t>
        </is>
      </c>
      <c r="B62" s="16" t="inlineStr">
        <is>
          <t>'23.09.</t>
        </is>
      </c>
      <c r="C62" s="164" t="n">
        <v>809</v>
      </c>
      <c r="D62" s="161" t="n">
        <v>109.2</v>
      </c>
      <c r="E62" s="163" t="n">
        <v>33</v>
      </c>
      <c r="F62" s="161" t="n">
        <v>84.7</v>
      </c>
      <c r="G62" s="27" t="n">
        <v>26</v>
      </c>
      <c r="H62" s="164" t="n">
        <v>81</v>
      </c>
      <c r="I62" s="165" t="n"/>
      <c r="J62" s="165" t="n"/>
      <c r="K62" s="165" t="n"/>
      <c r="L62" s="165" t="n"/>
      <c r="M62" s="166">
        <f>I62-K62</f>
        <v/>
      </c>
      <c r="N62" s="7">
        <f>IF(ISERROR(K62/I62),"",K62/I62)</f>
        <v/>
      </c>
      <c r="O62" s="162">
        <f>I62/E62</f>
        <v/>
      </c>
      <c r="P62" s="162">
        <f>K62/E62</f>
        <v/>
      </c>
      <c r="Q62" s="113" t="n">
        <v>3</v>
      </c>
      <c r="R62" s="113" t="n">
        <v>2</v>
      </c>
      <c r="S62" s="113" t="inlineStr">
        <is>
          <t>계</t>
        </is>
      </c>
      <c r="T62" s="8" t="inlineStr">
        <is>
          <t>109TA</t>
        </is>
      </c>
      <c r="U62" s="13" t="n"/>
      <c r="W62" s="161">
        <f>D62</f>
        <v/>
      </c>
      <c r="X62" s="163">
        <f>E62</f>
        <v/>
      </c>
      <c r="Y62" s="159">
        <f>H62</f>
        <v/>
      </c>
      <c r="Z62" s="166">
        <f>I62</f>
        <v/>
      </c>
      <c r="AA62" s="166">
        <f>K62</f>
        <v/>
      </c>
      <c r="AB62" s="166">
        <f>M62</f>
        <v/>
      </c>
      <c r="AC62" s="7">
        <f>N62</f>
        <v/>
      </c>
      <c r="AD62" s="162">
        <f>O62</f>
        <v/>
      </c>
      <c r="AE62" s="113">
        <f>S62</f>
        <v/>
      </c>
      <c r="AF62" s="113">
        <f>Q62&amp;"/"&amp;R62</f>
        <v/>
      </c>
      <c r="AH62" s="36">
        <f>IF(A62="","",A62)</f>
        <v/>
      </c>
      <c r="AI62" s="163">
        <f>IF(E62="","",E62)</f>
        <v/>
      </c>
      <c r="AJ62" s="113">
        <f>IF(AI62="","",$AJ$2)</f>
        <v/>
      </c>
      <c r="AK62" s="113" t="inlineStr">
        <is>
          <t>A</t>
        </is>
      </c>
      <c r="AL62" s="113" t="inlineStr">
        <is>
          <t>A+</t>
        </is>
      </c>
      <c r="AM62" s="113" t="inlineStr">
        <is>
          <t>B+</t>
        </is>
      </c>
      <c r="AN62" s="113">
        <f>IF(AI62="","",$AN$2)</f>
        <v/>
      </c>
      <c r="AO62" s="113">
        <f>IF(N62="","",IF(N62&gt;=$AO$1/100,"O","X"))</f>
        <v/>
      </c>
      <c r="AP62" s="113">
        <f>IF(I62="","",IF(I62&lt;=$AP$1,"O","X"))</f>
        <v/>
      </c>
      <c r="AQ62" s="113">
        <f>IF(O62="","",IF(O62&lt;=$AQ$1,"O","X"))</f>
        <v/>
      </c>
      <c r="AR62" s="113">
        <f>IF(M62="","",IF(M62&lt;=$AR$1,"O","X"))</f>
        <v/>
      </c>
      <c r="AS62" s="113" t="inlineStr">
        <is>
          <t>X</t>
        </is>
      </c>
      <c r="AT62" s="113">
        <f>IF(OR(F62="",AI62=""),"",IF(AND((F62&lt;=85),(AI62&gt;=15)),"O","X"))</f>
        <v/>
      </c>
      <c r="AU62" s="113">
        <f>IF(C62="","",IF(C62&gt;=$AU$1,"O","X"))</f>
        <v/>
      </c>
      <c r="AV62" s="113">
        <f>IF(AO62="","",IF(AND(AO62="O",AP62="O",AR62="O",AT62="O",AU62="O"),"후보","X"))</f>
        <v/>
      </c>
    </row>
    <row r="63">
      <c r="A63" s="13" t="inlineStr">
        <is>
          <t>힐스테이트리슈빌강일</t>
        </is>
      </c>
      <c r="B63" s="16" t="inlineStr">
        <is>
          <t>'23.09.</t>
        </is>
      </c>
      <c r="C63" s="164" t="n">
        <v>809</v>
      </c>
      <c r="D63" s="161" t="n">
        <v>109.7</v>
      </c>
      <c r="E63" s="163" t="n">
        <v>33</v>
      </c>
      <c r="F63" s="161" t="n">
        <v>85</v>
      </c>
      <c r="G63" s="27" t="n">
        <v>26</v>
      </c>
      <c r="H63" s="164" t="n">
        <v>16</v>
      </c>
      <c r="I63" s="165" t="n"/>
      <c r="J63" s="165" t="n"/>
      <c r="K63" s="165" t="n"/>
      <c r="L63" s="165" t="n"/>
      <c r="M63" s="166">
        <f>I63-K63</f>
        <v/>
      </c>
      <c r="N63" s="7">
        <f>IF(ISERROR(K63/I63),"",K63/I63)</f>
        <v/>
      </c>
      <c r="O63" s="162">
        <f>I63/E63</f>
        <v/>
      </c>
      <c r="P63" s="162">
        <f>K63/E63</f>
        <v/>
      </c>
      <c r="Q63" s="113" t="n">
        <v>3</v>
      </c>
      <c r="R63" s="113" t="n">
        <v>2</v>
      </c>
      <c r="S63" s="113" t="inlineStr">
        <is>
          <t>계</t>
        </is>
      </c>
      <c r="T63" s="8" t="inlineStr">
        <is>
          <t>109LD</t>
        </is>
      </c>
      <c r="U63" s="13" t="n"/>
      <c r="W63" s="161">
        <f>D63</f>
        <v/>
      </c>
      <c r="X63" s="163">
        <f>E63</f>
        <v/>
      </c>
      <c r="Y63" s="159">
        <f>H63</f>
        <v/>
      </c>
      <c r="Z63" s="166">
        <f>I63</f>
        <v/>
      </c>
      <c r="AA63" s="166">
        <f>K63</f>
        <v/>
      </c>
      <c r="AB63" s="166">
        <f>M63</f>
        <v/>
      </c>
      <c r="AC63" s="7">
        <f>N63</f>
        <v/>
      </c>
      <c r="AD63" s="162">
        <f>O63</f>
        <v/>
      </c>
      <c r="AE63" s="113">
        <f>S63</f>
        <v/>
      </c>
      <c r="AF63" s="113">
        <f>Q63&amp;"/"&amp;R63</f>
        <v/>
      </c>
      <c r="AH63" s="36">
        <f>IF(A63="","",A63)</f>
        <v/>
      </c>
      <c r="AI63" s="163">
        <f>IF(E63="","",E63)</f>
        <v/>
      </c>
      <c r="AJ63" s="113">
        <f>IF(AI63="","",$AJ$2)</f>
        <v/>
      </c>
      <c r="AK63" s="113" t="inlineStr">
        <is>
          <t>A</t>
        </is>
      </c>
      <c r="AL63" s="113" t="inlineStr">
        <is>
          <t>A+</t>
        </is>
      </c>
      <c r="AM63" s="113" t="inlineStr">
        <is>
          <t>B+</t>
        </is>
      </c>
      <c r="AN63" s="113">
        <f>IF(AI63="","",$AN$2)</f>
        <v/>
      </c>
      <c r="AO63" s="113">
        <f>IF(N63="","",IF(N63&gt;=$AO$1/100,"O","X"))</f>
        <v/>
      </c>
      <c r="AP63" s="113">
        <f>IF(I63="","",IF(I63&lt;=$AP$1,"O","X"))</f>
        <v/>
      </c>
      <c r="AQ63" s="113">
        <f>IF(O63="","",IF(O63&lt;=$AQ$1,"O","X"))</f>
        <v/>
      </c>
      <c r="AR63" s="113">
        <f>IF(M63="","",IF(M63&lt;=$AR$1,"O","X"))</f>
        <v/>
      </c>
      <c r="AS63" s="113" t="inlineStr">
        <is>
          <t>X</t>
        </is>
      </c>
      <c r="AT63" s="113">
        <f>IF(OR(F63="",AI63=""),"",IF(AND((F63&lt;=85),(AI63&gt;=15)),"O","X"))</f>
        <v/>
      </c>
      <c r="AU63" s="113">
        <f>IF(C63="","",IF(C63&gt;=$AU$1,"O","X"))</f>
        <v/>
      </c>
      <c r="AV63" s="113">
        <f>IF(AO63="","",IF(AND(AO63="O",AP63="O",AR63="O",AT63="O",AU63="O"),"후보","X"))</f>
        <v/>
      </c>
    </row>
    <row r="64">
      <c r="A64" s="13" t="inlineStr">
        <is>
          <t>힐스테이트리슈빌강일</t>
        </is>
      </c>
      <c r="B64" s="16" t="inlineStr">
        <is>
          <t>'23.09.</t>
        </is>
      </c>
      <c r="C64" s="164" t="n">
        <v>809</v>
      </c>
      <c r="D64" s="161" t="n">
        <v>110.2</v>
      </c>
      <c r="E64" s="163" t="n">
        <v>33</v>
      </c>
      <c r="F64" s="161" t="n">
        <v>84.90000000000001</v>
      </c>
      <c r="G64" s="27" t="n">
        <v>26</v>
      </c>
      <c r="H64" s="164" t="n">
        <v>176</v>
      </c>
      <c r="I64" s="165" t="n"/>
      <c r="J64" s="165" t="n"/>
      <c r="K64" s="165" t="n"/>
      <c r="L64" s="165" t="n"/>
      <c r="M64" s="166">
        <f>I64-K64</f>
        <v/>
      </c>
      <c r="N64" s="7">
        <f>IF(ISERROR(K64/I64),"",K64/I64)</f>
        <v/>
      </c>
      <c r="O64" s="162">
        <f>I64/E64</f>
        <v/>
      </c>
      <c r="P64" s="162">
        <f>K64/E64</f>
        <v/>
      </c>
      <c r="Q64" s="113" t="n">
        <v>3</v>
      </c>
      <c r="R64" s="113" t="n">
        <v>2</v>
      </c>
      <c r="S64" s="113" t="inlineStr">
        <is>
          <t>계</t>
        </is>
      </c>
      <c r="T64" s="8" t="inlineStr">
        <is>
          <t>110TB</t>
        </is>
      </c>
      <c r="U64" s="13" t="n"/>
      <c r="W64" s="161">
        <f>D64</f>
        <v/>
      </c>
      <c r="X64" s="163">
        <f>E64</f>
        <v/>
      </c>
      <c r="Y64" s="159">
        <f>H64</f>
        <v/>
      </c>
      <c r="Z64" s="166">
        <f>I64</f>
        <v/>
      </c>
      <c r="AA64" s="166">
        <f>K64</f>
        <v/>
      </c>
      <c r="AB64" s="166">
        <f>M64</f>
        <v/>
      </c>
      <c r="AC64" s="7">
        <f>N64</f>
        <v/>
      </c>
      <c r="AD64" s="162">
        <f>O64</f>
        <v/>
      </c>
      <c r="AE64" s="113">
        <f>S64</f>
        <v/>
      </c>
      <c r="AF64" s="113">
        <f>Q64&amp;"/"&amp;R64</f>
        <v/>
      </c>
      <c r="AH64" s="36">
        <f>IF(A64="","",A64)</f>
        <v/>
      </c>
      <c r="AI64" s="163">
        <f>IF(E64="","",E64)</f>
        <v/>
      </c>
      <c r="AJ64" s="113">
        <f>IF(AI64="","",$AJ$2)</f>
        <v/>
      </c>
      <c r="AK64" s="113" t="inlineStr">
        <is>
          <t>A</t>
        </is>
      </c>
      <c r="AL64" s="113" t="inlineStr">
        <is>
          <t>A+</t>
        </is>
      </c>
      <c r="AM64" s="113" t="inlineStr">
        <is>
          <t>B+</t>
        </is>
      </c>
      <c r="AN64" s="113">
        <f>IF(AI64="","",$AN$2)</f>
        <v/>
      </c>
      <c r="AO64" s="113">
        <f>IF(N64="","",IF(N64&gt;=$AO$1/100,"O","X"))</f>
        <v/>
      </c>
      <c r="AP64" s="113">
        <f>IF(I64="","",IF(I64&lt;=$AP$1,"O","X"))</f>
        <v/>
      </c>
      <c r="AQ64" s="113">
        <f>IF(O64="","",IF(O64&lt;=$AQ$1,"O","X"))</f>
        <v/>
      </c>
      <c r="AR64" s="113">
        <f>IF(M64="","",IF(M64&lt;=$AR$1,"O","X"))</f>
        <v/>
      </c>
      <c r="AS64" s="113" t="inlineStr">
        <is>
          <t>X</t>
        </is>
      </c>
      <c r="AT64" s="113">
        <f>IF(OR(F64="",AI64=""),"",IF(AND((F64&lt;=85),(AI64&gt;=15)),"O","X"))</f>
        <v/>
      </c>
      <c r="AU64" s="113">
        <f>IF(C64="","",IF(C64&gt;=$AU$1,"O","X"))</f>
        <v/>
      </c>
      <c r="AV64" s="113">
        <f>IF(AO64="","",IF(AND(AO64="O",AP64="O",AR64="O",AT64="O",AU64="O"),"후보","X"))</f>
        <v/>
      </c>
    </row>
    <row r="65">
      <c r="A65" s="13" t="inlineStr">
        <is>
          <t>힐스테이트리슈빌강일</t>
        </is>
      </c>
      <c r="B65" s="16" t="inlineStr">
        <is>
          <t>'23.09.</t>
        </is>
      </c>
      <c r="C65" s="164" t="n">
        <v>809</v>
      </c>
      <c r="D65" s="161" t="n">
        <v>110.8</v>
      </c>
      <c r="E65" s="163" t="n">
        <v>34</v>
      </c>
      <c r="F65" s="161" t="n">
        <v>84.90000000000001</v>
      </c>
      <c r="G65" s="27" t="n">
        <v>26</v>
      </c>
      <c r="H65" s="164" t="n">
        <v>88</v>
      </c>
      <c r="I65" s="165" t="n"/>
      <c r="J65" s="165" t="n"/>
      <c r="K65" s="165" t="n"/>
      <c r="L65" s="165" t="n"/>
      <c r="M65" s="166">
        <f>I65-K65</f>
        <v/>
      </c>
      <c r="N65" s="7">
        <f>IF(ISERROR(K65/I65),"",K65/I65)</f>
        <v/>
      </c>
      <c r="O65" s="162">
        <f>I65/E65</f>
        <v/>
      </c>
      <c r="P65" s="162">
        <f>K65/E65</f>
        <v/>
      </c>
      <c r="Q65" s="113" t="n">
        <v>3</v>
      </c>
      <c r="R65" s="113" t="n">
        <v>2</v>
      </c>
      <c r="S65" s="113" t="inlineStr">
        <is>
          <t>계</t>
        </is>
      </c>
      <c r="T65" s="8" t="inlineStr">
        <is>
          <t>110LAC</t>
        </is>
      </c>
      <c r="U65" s="13" t="n"/>
      <c r="W65" s="161">
        <f>D65</f>
        <v/>
      </c>
      <c r="X65" s="163">
        <f>E65</f>
        <v/>
      </c>
      <c r="Y65" s="159">
        <f>H65</f>
        <v/>
      </c>
      <c r="Z65" s="166">
        <f>I65</f>
        <v/>
      </c>
      <c r="AA65" s="166">
        <f>K65</f>
        <v/>
      </c>
      <c r="AB65" s="166">
        <f>M65</f>
        <v/>
      </c>
      <c r="AC65" s="7">
        <f>N65</f>
        <v/>
      </c>
      <c r="AD65" s="162">
        <f>O65</f>
        <v/>
      </c>
      <c r="AE65" s="113">
        <f>S65</f>
        <v/>
      </c>
      <c r="AF65" s="113">
        <f>Q65&amp;"/"&amp;R65</f>
        <v/>
      </c>
      <c r="AH65" s="36">
        <f>IF(A65="","",A65)</f>
        <v/>
      </c>
      <c r="AI65" s="163">
        <f>IF(E65="","",E65)</f>
        <v/>
      </c>
      <c r="AJ65" s="113">
        <f>IF(AI65="","",$AJ$2)</f>
        <v/>
      </c>
      <c r="AK65" s="113" t="inlineStr">
        <is>
          <t>A</t>
        </is>
      </c>
      <c r="AL65" s="113" t="inlineStr">
        <is>
          <t>A+</t>
        </is>
      </c>
      <c r="AM65" s="113" t="inlineStr">
        <is>
          <t>B+</t>
        </is>
      </c>
      <c r="AN65" s="113">
        <f>IF(AI65="","",$AN$2)</f>
        <v/>
      </c>
      <c r="AO65" s="113">
        <f>IF(N65="","",IF(N65&gt;=$AO$1/100,"O","X"))</f>
        <v/>
      </c>
      <c r="AP65" s="113">
        <f>IF(I65="","",IF(I65&lt;=$AP$1,"O","X"))</f>
        <v/>
      </c>
      <c r="AQ65" s="113">
        <f>IF(O65="","",IF(O65&lt;=$AQ$1,"O","X"))</f>
        <v/>
      </c>
      <c r="AR65" s="113">
        <f>IF(M65="","",IF(M65&lt;=$AR$1,"O","X"))</f>
        <v/>
      </c>
      <c r="AS65" s="113" t="inlineStr">
        <is>
          <t>X</t>
        </is>
      </c>
      <c r="AT65" s="113">
        <f>IF(OR(F65="",AI65=""),"",IF(AND((F65&lt;=85),(AI65&gt;=15)),"O","X"))</f>
        <v/>
      </c>
      <c r="AU65" s="113">
        <f>IF(C65="","",IF(C65&gt;=$AU$1,"O","X"))</f>
        <v/>
      </c>
      <c r="AV65" s="113">
        <f>IF(AO65="","",IF(AND(AO65="O",AP65="O",AR65="O",AT65="O",AU65="O"),"후보","X"))</f>
        <v/>
      </c>
    </row>
    <row r="66">
      <c r="A66" s="13" t="inlineStr">
        <is>
          <t>힐스테이트리슈빌강일</t>
        </is>
      </c>
      <c r="B66" s="16" t="inlineStr">
        <is>
          <t>'23.09.</t>
        </is>
      </c>
      <c r="C66" s="164" t="n">
        <v>809</v>
      </c>
      <c r="D66" s="161" t="n">
        <v>110.9</v>
      </c>
      <c r="E66" s="163" t="n">
        <v>34</v>
      </c>
      <c r="F66" s="161" t="n">
        <v>84.59999999999999</v>
      </c>
      <c r="G66" s="27" t="n">
        <v>26</v>
      </c>
      <c r="H66" s="164" t="n">
        <v>58</v>
      </c>
      <c r="I66" s="165" t="n"/>
      <c r="J66" s="165" t="n"/>
      <c r="K66" s="165" t="n"/>
      <c r="L66" s="165" t="n"/>
      <c r="M66" s="166">
        <f>I66-K66</f>
        <v/>
      </c>
      <c r="N66" s="7">
        <f>IF(ISERROR(K66/I66),"",K66/I66)</f>
        <v/>
      </c>
      <c r="O66" s="162">
        <f>I66/E66</f>
        <v/>
      </c>
      <c r="P66" s="162">
        <f>K66/E66</f>
        <v/>
      </c>
      <c r="Q66" s="113" t="n">
        <v>3</v>
      </c>
      <c r="R66" s="113" t="n">
        <v>2</v>
      </c>
      <c r="S66" s="113" t="inlineStr">
        <is>
          <t>계</t>
        </is>
      </c>
      <c r="T66" s="8" t="inlineStr">
        <is>
          <t>110LB</t>
        </is>
      </c>
      <c r="U66" s="13" t="n"/>
      <c r="W66" s="161">
        <f>D66</f>
        <v/>
      </c>
      <c r="X66" s="163">
        <f>E66</f>
        <v/>
      </c>
      <c r="Y66" s="159">
        <f>H66</f>
        <v/>
      </c>
      <c r="Z66" s="166">
        <f>I66</f>
        <v/>
      </c>
      <c r="AA66" s="166">
        <f>K66</f>
        <v/>
      </c>
      <c r="AB66" s="166">
        <f>M66</f>
        <v/>
      </c>
      <c r="AC66" s="7">
        <f>N66</f>
        <v/>
      </c>
      <c r="AD66" s="162">
        <f>O66</f>
        <v/>
      </c>
      <c r="AE66" s="113">
        <f>S66</f>
        <v/>
      </c>
      <c r="AF66" s="113">
        <f>Q66&amp;"/"&amp;R66</f>
        <v/>
      </c>
      <c r="AH66" s="36">
        <f>IF(A66="","",A66)</f>
        <v/>
      </c>
      <c r="AI66" s="163">
        <f>IF(E66="","",E66)</f>
        <v/>
      </c>
      <c r="AJ66" s="113">
        <f>IF(AI66="","",$AJ$2)</f>
        <v/>
      </c>
      <c r="AK66" s="113" t="inlineStr">
        <is>
          <t>A</t>
        </is>
      </c>
      <c r="AL66" s="113" t="inlineStr">
        <is>
          <t>A+</t>
        </is>
      </c>
      <c r="AM66" s="113" t="inlineStr">
        <is>
          <t>B+</t>
        </is>
      </c>
      <c r="AN66" s="113">
        <f>IF(AI66="","",$AN$2)</f>
        <v/>
      </c>
      <c r="AO66" s="113">
        <f>IF(N66="","",IF(N66&gt;=$AO$1/100,"O","X"))</f>
        <v/>
      </c>
      <c r="AP66" s="113">
        <f>IF(I66="","",IF(I66&lt;=$AP$1,"O","X"))</f>
        <v/>
      </c>
      <c r="AQ66" s="113">
        <f>IF(O66="","",IF(O66&lt;=$AQ$1,"O","X"))</f>
        <v/>
      </c>
      <c r="AR66" s="113">
        <f>IF(M66="","",IF(M66&lt;=$AR$1,"O","X"))</f>
        <v/>
      </c>
      <c r="AS66" s="113" t="inlineStr">
        <is>
          <t>X</t>
        </is>
      </c>
      <c r="AT66" s="113">
        <f>IF(OR(F66="",AI66=""),"",IF(AND((F66&lt;=85),(AI66&gt;=15)),"O","X"))</f>
        <v/>
      </c>
      <c r="AU66" s="113">
        <f>IF(C66="","",IF(C66&gt;=$AU$1,"O","X"))</f>
        <v/>
      </c>
      <c r="AV66" s="113">
        <f>IF(AO66="","",IF(AND(AO66="O",AP66="O",AR66="O",AT66="O",AU66="O"),"후보","X"))</f>
        <v/>
      </c>
    </row>
    <row r="67">
      <c r="A67" s="13" t="inlineStr">
        <is>
          <t>힐스테이트리슈빌강일</t>
        </is>
      </c>
      <c r="B67" s="16" t="inlineStr">
        <is>
          <t>'23.09.</t>
        </is>
      </c>
      <c r="C67" s="164" t="n">
        <v>809</v>
      </c>
      <c r="D67" s="161" t="n">
        <v>110.8</v>
      </c>
      <c r="E67" s="163" t="n">
        <v>34</v>
      </c>
      <c r="F67" s="161" t="n">
        <v>84.90000000000001</v>
      </c>
      <c r="G67" s="27" t="n">
        <v>26</v>
      </c>
      <c r="H67" s="164" t="n">
        <v>54</v>
      </c>
      <c r="I67" s="165" t="n"/>
      <c r="J67" s="165" t="n"/>
      <c r="K67" s="165" t="n"/>
      <c r="L67" s="165" t="n"/>
      <c r="M67" s="166">
        <f>I67-K67</f>
        <v/>
      </c>
      <c r="N67" s="7">
        <f>IF(ISERROR(K67/I67),"",K67/I67)</f>
        <v/>
      </c>
      <c r="O67" s="162">
        <f>I67/E67</f>
        <v/>
      </c>
      <c r="P67" s="162">
        <f>K67/E67</f>
        <v/>
      </c>
      <c r="Q67" s="113" t="n">
        <v>3</v>
      </c>
      <c r="R67" s="113" t="n">
        <v>2</v>
      </c>
      <c r="S67" s="113" t="inlineStr">
        <is>
          <t>계</t>
        </is>
      </c>
      <c r="T67" s="8" t="inlineStr">
        <is>
          <t>110LA</t>
        </is>
      </c>
      <c r="U67" s="13" t="n"/>
      <c r="W67" s="161">
        <f>D67</f>
        <v/>
      </c>
      <c r="X67" s="163">
        <f>E67</f>
        <v/>
      </c>
      <c r="Y67" s="159">
        <f>H67</f>
        <v/>
      </c>
      <c r="Z67" s="166">
        <f>I67</f>
        <v/>
      </c>
      <c r="AA67" s="166">
        <f>K67</f>
        <v/>
      </c>
      <c r="AB67" s="166">
        <f>M67</f>
        <v/>
      </c>
      <c r="AC67" s="7">
        <f>N67</f>
        <v/>
      </c>
      <c r="AD67" s="162">
        <f>O67</f>
        <v/>
      </c>
      <c r="AE67" s="113">
        <f>S67</f>
        <v/>
      </c>
      <c r="AF67" s="113">
        <f>Q67&amp;"/"&amp;R67</f>
        <v/>
      </c>
      <c r="AH67" s="36">
        <f>IF(A67="","",A67)</f>
        <v/>
      </c>
      <c r="AI67" s="163">
        <f>IF(E67="","",E67)</f>
        <v/>
      </c>
      <c r="AJ67" s="113">
        <f>IF(AI67="","",$AJ$2)</f>
        <v/>
      </c>
      <c r="AK67" s="113" t="inlineStr">
        <is>
          <t>A</t>
        </is>
      </c>
      <c r="AL67" s="113" t="inlineStr">
        <is>
          <t>A+</t>
        </is>
      </c>
      <c r="AM67" s="113" t="inlineStr">
        <is>
          <t>B+</t>
        </is>
      </c>
      <c r="AN67" s="113">
        <f>IF(AI67="","",$AN$2)</f>
        <v/>
      </c>
      <c r="AO67" s="113">
        <f>IF(N67="","",IF(N67&gt;=$AO$1/100,"O","X"))</f>
        <v/>
      </c>
      <c r="AP67" s="113">
        <f>IF(I67="","",IF(I67&lt;=$AP$1,"O","X"))</f>
        <v/>
      </c>
      <c r="AQ67" s="113">
        <f>IF(O67="","",IF(O67&lt;=$AQ$1,"O","X"))</f>
        <v/>
      </c>
      <c r="AR67" s="113">
        <f>IF(M67="","",IF(M67&lt;=$AR$1,"O","X"))</f>
        <v/>
      </c>
      <c r="AS67" s="113" t="inlineStr">
        <is>
          <t>X</t>
        </is>
      </c>
      <c r="AT67" s="113">
        <f>IF(OR(F67="",AI67=""),"",IF(AND((F67&lt;=85),(AI67&gt;=15)),"O","X"))</f>
        <v/>
      </c>
      <c r="AU67" s="113">
        <f>IF(C67="","",IF(C67&gt;=$AU$1,"O","X"))</f>
        <v/>
      </c>
      <c r="AV67" s="113">
        <f>IF(AO67="","",IF(AND(AO67="O",AP67="O",AR67="O",AT67="O",AU67="O"),"후보","X"))</f>
        <v/>
      </c>
    </row>
    <row r="68">
      <c r="A68" s="13" t="inlineStr">
        <is>
          <t>힐스테이트리슈빌강일</t>
        </is>
      </c>
      <c r="B68" s="16" t="inlineStr">
        <is>
          <t>'23.09.</t>
        </is>
      </c>
      <c r="C68" s="164" t="n">
        <v>809</v>
      </c>
      <c r="D68" s="161" t="n">
        <v>111.5</v>
      </c>
      <c r="E68" s="163" t="n">
        <v>34</v>
      </c>
      <c r="F68" s="161" t="n">
        <v>84.7</v>
      </c>
      <c r="G68" s="27" t="n">
        <v>26</v>
      </c>
      <c r="H68" s="164" t="n">
        <v>19</v>
      </c>
      <c r="I68" s="165" t="n"/>
      <c r="J68" s="165" t="n"/>
      <c r="K68" s="165" t="n"/>
      <c r="L68" s="165" t="n"/>
      <c r="M68" s="166">
        <f>I68-K68</f>
        <v/>
      </c>
      <c r="N68" s="7">
        <f>IF(ISERROR(K68/I68),"",K68/I68)</f>
        <v/>
      </c>
      <c r="O68" s="162">
        <f>I68/E68</f>
        <v/>
      </c>
      <c r="P68" s="162">
        <f>K68/E68</f>
        <v/>
      </c>
      <c r="Q68" s="113" t="n">
        <v>3</v>
      </c>
      <c r="R68" s="113" t="n">
        <v>2</v>
      </c>
      <c r="S68" s="113" t="inlineStr">
        <is>
          <t>계</t>
        </is>
      </c>
      <c r="T68" s="8" t="inlineStr">
        <is>
          <t>111LDB</t>
        </is>
      </c>
      <c r="U68" s="13" t="n"/>
      <c r="W68" s="161">
        <f>D68</f>
        <v/>
      </c>
      <c r="X68" s="163">
        <f>E68</f>
        <v/>
      </c>
      <c r="Y68" s="159">
        <f>H68</f>
        <v/>
      </c>
      <c r="Z68" s="166">
        <f>I68</f>
        <v/>
      </c>
      <c r="AA68" s="166">
        <f>K68</f>
        <v/>
      </c>
      <c r="AB68" s="166">
        <f>M68</f>
        <v/>
      </c>
      <c r="AC68" s="7">
        <f>N68</f>
        <v/>
      </c>
      <c r="AD68" s="162">
        <f>O68</f>
        <v/>
      </c>
      <c r="AE68" s="113">
        <f>S68</f>
        <v/>
      </c>
      <c r="AF68" s="113">
        <f>Q68&amp;"/"&amp;R68</f>
        <v/>
      </c>
      <c r="AH68" s="36">
        <f>IF(A68="","",A68)</f>
        <v/>
      </c>
      <c r="AI68" s="163">
        <f>IF(E68="","",E68)</f>
        <v/>
      </c>
      <c r="AJ68" s="113">
        <f>IF(AI68="","",$AJ$2)</f>
        <v/>
      </c>
      <c r="AK68" s="113" t="inlineStr">
        <is>
          <t>A</t>
        </is>
      </c>
      <c r="AL68" s="113" t="inlineStr">
        <is>
          <t>A+</t>
        </is>
      </c>
      <c r="AM68" s="113" t="inlineStr">
        <is>
          <t>B+</t>
        </is>
      </c>
      <c r="AN68" s="113">
        <f>IF(AI68="","",$AN$2)</f>
        <v/>
      </c>
      <c r="AO68" s="113">
        <f>IF(N68="","",IF(N68&gt;=$AO$1/100,"O","X"))</f>
        <v/>
      </c>
      <c r="AP68" s="113">
        <f>IF(I68="","",IF(I68&lt;=$AP$1,"O","X"))</f>
        <v/>
      </c>
      <c r="AQ68" s="113">
        <f>IF(O68="","",IF(O68&lt;=$AQ$1,"O","X"))</f>
        <v/>
      </c>
      <c r="AR68" s="113">
        <f>IF(M68="","",IF(M68&lt;=$AR$1,"O","X"))</f>
        <v/>
      </c>
      <c r="AS68" s="113" t="inlineStr">
        <is>
          <t>X</t>
        </is>
      </c>
      <c r="AT68" s="113">
        <f>IF(OR(F68="",AI68=""),"",IF(AND((F68&lt;=85),(AI68&gt;=15)),"O","X"))</f>
        <v/>
      </c>
      <c r="AU68" s="113">
        <f>IF(C68="","",IF(C68&gt;=$AU$1,"O","X"))</f>
        <v/>
      </c>
      <c r="AV68" s="113">
        <f>IF(AO68="","",IF(AND(AO68="O",AP68="O",AR68="O",AT68="O",AU68="O"),"후보","X"))</f>
        <v/>
      </c>
    </row>
    <row r="69">
      <c r="A69" s="13" t="inlineStr">
        <is>
          <t>힐스테이트리슈빌강일</t>
        </is>
      </c>
      <c r="B69" s="16" t="inlineStr">
        <is>
          <t>'23.09.</t>
        </is>
      </c>
      <c r="C69" s="164" t="n">
        <v>809</v>
      </c>
      <c r="D69" s="161" t="n">
        <v>111.7</v>
      </c>
      <c r="E69" s="163" t="n">
        <v>34</v>
      </c>
      <c r="F69" s="161" t="n">
        <v>84.90000000000001</v>
      </c>
      <c r="G69" s="27" t="n">
        <v>26</v>
      </c>
      <c r="H69" s="164" t="n">
        <v>19</v>
      </c>
      <c r="I69" s="165" t="n"/>
      <c r="J69" s="165" t="n"/>
      <c r="K69" s="165" t="n"/>
      <c r="L69" s="165" t="n"/>
      <c r="M69" s="166">
        <f>I69-K69</f>
        <v/>
      </c>
      <c r="N69" s="7">
        <f>IF(ISERROR(K69/I69),"",K69/I69)</f>
        <v/>
      </c>
      <c r="O69" s="162">
        <f>I69/E69</f>
        <v/>
      </c>
      <c r="P69" s="162">
        <f>K69/E69</f>
        <v/>
      </c>
      <c r="Q69" s="113" t="n">
        <v>3</v>
      </c>
      <c r="R69" s="113" t="n">
        <v>2</v>
      </c>
      <c r="S69" s="113" t="inlineStr">
        <is>
          <t>계</t>
        </is>
      </c>
      <c r="T69" s="8" t="inlineStr">
        <is>
          <t>111LDC</t>
        </is>
      </c>
      <c r="U69" s="13" t="n"/>
      <c r="W69" s="161">
        <f>D69</f>
        <v/>
      </c>
      <c r="X69" s="163">
        <f>E69</f>
        <v/>
      </c>
      <c r="Y69" s="159">
        <f>H69</f>
        <v/>
      </c>
      <c r="Z69" s="166">
        <f>I69</f>
        <v/>
      </c>
      <c r="AA69" s="166">
        <f>K69</f>
        <v/>
      </c>
      <c r="AB69" s="166">
        <f>M69</f>
        <v/>
      </c>
      <c r="AC69" s="7">
        <f>N69</f>
        <v/>
      </c>
      <c r="AD69" s="162">
        <f>O69</f>
        <v/>
      </c>
      <c r="AE69" s="113">
        <f>S69</f>
        <v/>
      </c>
      <c r="AF69" s="113">
        <f>Q69&amp;"/"&amp;R69</f>
        <v/>
      </c>
      <c r="AH69" s="36">
        <f>IF(A69="","",A69)</f>
        <v/>
      </c>
      <c r="AI69" s="163">
        <f>IF(E69="","",E69)</f>
        <v/>
      </c>
      <c r="AJ69" s="113">
        <f>IF(AI69="","",$AJ$2)</f>
        <v/>
      </c>
      <c r="AK69" s="113" t="inlineStr">
        <is>
          <t>A</t>
        </is>
      </c>
      <c r="AL69" s="113" t="inlineStr">
        <is>
          <t>A+</t>
        </is>
      </c>
      <c r="AM69" s="113" t="inlineStr">
        <is>
          <t>B+</t>
        </is>
      </c>
      <c r="AN69" s="113">
        <f>IF(AI69="","",$AN$2)</f>
        <v/>
      </c>
      <c r="AO69" s="113">
        <f>IF(N69="","",IF(N69&gt;=$AO$1/100,"O","X"))</f>
        <v/>
      </c>
      <c r="AP69" s="113">
        <f>IF(I69="","",IF(I69&lt;=$AP$1,"O","X"))</f>
        <v/>
      </c>
      <c r="AQ69" s="113">
        <f>IF(O69="","",IF(O69&lt;=$AQ$1,"O","X"))</f>
        <v/>
      </c>
      <c r="AR69" s="113">
        <f>IF(M69="","",IF(M69&lt;=$AR$1,"O","X"))</f>
        <v/>
      </c>
      <c r="AS69" s="113" t="inlineStr">
        <is>
          <t>X</t>
        </is>
      </c>
      <c r="AT69" s="113">
        <f>IF(OR(F69="",AI69=""),"",IF(AND((F69&lt;=85),(AI69&gt;=15)),"O","X"))</f>
        <v/>
      </c>
      <c r="AU69" s="113">
        <f>IF(C69="","",IF(C69&gt;=$AU$1,"O","X"))</f>
        <v/>
      </c>
      <c r="AV69" s="113">
        <f>IF(AO69="","",IF(AND(AO69="O",AP69="O",AR69="O",AT69="O",AU69="O"),"후보","X"))</f>
        <v/>
      </c>
    </row>
    <row r="70">
      <c r="A70" s="13" t="inlineStr">
        <is>
          <t>힐스테이트리슈빌강일</t>
        </is>
      </c>
      <c r="B70" s="16" t="inlineStr">
        <is>
          <t>'23.09.</t>
        </is>
      </c>
      <c r="C70" s="164" t="n">
        <v>809</v>
      </c>
      <c r="D70" s="161" t="n">
        <v>112</v>
      </c>
      <c r="E70" s="163" t="n">
        <v>34</v>
      </c>
      <c r="F70" s="161" t="n">
        <v>84.90000000000001</v>
      </c>
      <c r="G70" s="27" t="n">
        <v>26</v>
      </c>
      <c r="H70" s="164" t="n">
        <v>20</v>
      </c>
      <c r="I70" s="165" t="n"/>
      <c r="J70" s="165" t="n"/>
      <c r="K70" s="165" t="n"/>
      <c r="L70" s="165" t="n"/>
      <c r="M70" s="166">
        <f>I70-K70</f>
        <v/>
      </c>
      <c r="N70" s="7">
        <f>IF(ISERROR(K70/I70),"",K70/I70)</f>
        <v/>
      </c>
      <c r="O70" s="162">
        <f>I70/E70</f>
        <v/>
      </c>
      <c r="P70" s="162">
        <f>K70/E70</f>
        <v/>
      </c>
      <c r="Q70" s="113" t="n">
        <v>3</v>
      </c>
      <c r="R70" s="113" t="n">
        <v>2</v>
      </c>
      <c r="S70" s="113" t="inlineStr">
        <is>
          <t>계</t>
        </is>
      </c>
      <c r="T70" s="8" t="inlineStr">
        <is>
          <t>112LC</t>
        </is>
      </c>
      <c r="U70" s="13" t="n"/>
      <c r="W70" s="161">
        <f>D70</f>
        <v/>
      </c>
      <c r="X70" s="163">
        <f>E70</f>
        <v/>
      </c>
      <c r="Y70" s="159">
        <f>H70</f>
        <v/>
      </c>
      <c r="Z70" s="166">
        <f>I70</f>
        <v/>
      </c>
      <c r="AA70" s="166">
        <f>K70</f>
        <v/>
      </c>
      <c r="AB70" s="166">
        <f>M70</f>
        <v/>
      </c>
      <c r="AC70" s="7">
        <f>N70</f>
        <v/>
      </c>
      <c r="AD70" s="162">
        <f>O70</f>
        <v/>
      </c>
      <c r="AE70" s="113">
        <f>S70</f>
        <v/>
      </c>
      <c r="AF70" s="113">
        <f>Q70&amp;"/"&amp;R70</f>
        <v/>
      </c>
      <c r="AH70" s="36">
        <f>IF(A70="","",A70)</f>
        <v/>
      </c>
      <c r="AI70" s="163">
        <f>IF(E70="","",E70)</f>
        <v/>
      </c>
      <c r="AJ70" s="113">
        <f>IF(AI70="","",$AJ$2)</f>
        <v/>
      </c>
      <c r="AK70" s="113" t="inlineStr">
        <is>
          <t>A</t>
        </is>
      </c>
      <c r="AL70" s="113" t="inlineStr">
        <is>
          <t>A+</t>
        </is>
      </c>
      <c r="AM70" s="113" t="inlineStr">
        <is>
          <t>B+</t>
        </is>
      </c>
      <c r="AN70" s="113">
        <f>IF(AI70="","",$AN$2)</f>
        <v/>
      </c>
      <c r="AO70" s="113">
        <f>IF(N70="","",IF(N70&gt;=$AO$1/100,"O","X"))</f>
        <v/>
      </c>
      <c r="AP70" s="113">
        <f>IF(I70="","",IF(I70&lt;=$AP$1,"O","X"))</f>
        <v/>
      </c>
      <c r="AQ70" s="113">
        <f>IF(O70="","",IF(O70&lt;=$AQ$1,"O","X"))</f>
        <v/>
      </c>
      <c r="AR70" s="113">
        <f>IF(M70="","",IF(M70&lt;=$AR$1,"O","X"))</f>
        <v/>
      </c>
      <c r="AS70" s="113" t="inlineStr">
        <is>
          <t>X</t>
        </is>
      </c>
      <c r="AT70" s="113">
        <f>IF(OR(F70="",AI70=""),"",IF(AND((F70&lt;=85),(AI70&gt;=15)),"O","X"))</f>
        <v/>
      </c>
      <c r="AU70" s="113">
        <f>IF(C70="","",IF(C70&gt;=$AU$1,"O","X"))</f>
        <v/>
      </c>
      <c r="AV70" s="113">
        <f>IF(AO70="","",IF(AND(AO70="O",AP70="O",AR70="O",AT70="O",AU70="O"),"후보","X"))</f>
        <v/>
      </c>
    </row>
    <row r="71">
      <c r="A71" s="13" t="inlineStr">
        <is>
          <t>힐스테이트리슈빌강일</t>
        </is>
      </c>
      <c r="B71" s="16" t="inlineStr">
        <is>
          <t>'23.09.</t>
        </is>
      </c>
      <c r="C71" s="164" t="n">
        <v>809</v>
      </c>
      <c r="D71" s="161" t="n">
        <v>112.1</v>
      </c>
      <c r="E71" s="163" t="n">
        <v>34</v>
      </c>
      <c r="F71" s="161" t="n">
        <v>84.7</v>
      </c>
      <c r="G71" s="27" t="n">
        <v>26</v>
      </c>
      <c r="H71" s="164" t="n">
        <v>15</v>
      </c>
      <c r="I71" s="165" t="n"/>
      <c r="J71" s="165" t="n"/>
      <c r="K71" s="165" t="n"/>
      <c r="L71" s="165" t="n"/>
      <c r="M71" s="166">
        <f>I71-K71</f>
        <v/>
      </c>
      <c r="N71" s="7">
        <f>IF(ISERROR(K71/I71),"",K71/I71)</f>
        <v/>
      </c>
      <c r="O71" s="162">
        <f>I71/E71</f>
        <v/>
      </c>
      <c r="P71" s="162">
        <f>K71/E71</f>
        <v/>
      </c>
      <c r="Q71" s="113" t="n">
        <v>3</v>
      </c>
      <c r="R71" s="113" t="n">
        <v>2</v>
      </c>
      <c r="S71" s="113" t="inlineStr">
        <is>
          <t>계</t>
        </is>
      </c>
      <c r="T71" s="8" t="inlineStr">
        <is>
          <t>112LDA</t>
        </is>
      </c>
      <c r="U71" s="13" t="n"/>
      <c r="W71" s="161">
        <f>D71</f>
        <v/>
      </c>
      <c r="X71" s="163">
        <f>E71</f>
        <v/>
      </c>
      <c r="Y71" s="159">
        <f>H71</f>
        <v/>
      </c>
      <c r="Z71" s="166">
        <f>I71</f>
        <v/>
      </c>
      <c r="AA71" s="166">
        <f>K71</f>
        <v/>
      </c>
      <c r="AB71" s="166">
        <f>M71</f>
        <v/>
      </c>
      <c r="AC71" s="7">
        <f>N71</f>
        <v/>
      </c>
      <c r="AD71" s="162">
        <f>O71</f>
        <v/>
      </c>
      <c r="AE71" s="113">
        <f>S71</f>
        <v/>
      </c>
      <c r="AF71" s="113">
        <f>Q71&amp;"/"&amp;R71</f>
        <v/>
      </c>
      <c r="AH71" s="36">
        <f>IF(A71="","",A71)</f>
        <v/>
      </c>
      <c r="AI71" s="163">
        <f>IF(E71="","",E71)</f>
        <v/>
      </c>
      <c r="AJ71" s="113">
        <f>IF(AI71="","",$AJ$2)</f>
        <v/>
      </c>
      <c r="AK71" s="113" t="inlineStr">
        <is>
          <t>A</t>
        </is>
      </c>
      <c r="AL71" s="113" t="inlineStr">
        <is>
          <t>A+</t>
        </is>
      </c>
      <c r="AM71" s="113" t="inlineStr">
        <is>
          <t>B+</t>
        </is>
      </c>
      <c r="AN71" s="113">
        <f>IF(AI71="","",$AN$2)</f>
        <v/>
      </c>
      <c r="AO71" s="113">
        <f>IF(N71="","",IF(N71&gt;=$AO$1/100,"O","X"))</f>
        <v/>
      </c>
      <c r="AP71" s="113">
        <f>IF(I71="","",IF(I71&lt;=$AP$1,"O","X"))</f>
        <v/>
      </c>
      <c r="AQ71" s="113">
        <f>IF(O71="","",IF(O71&lt;=$AQ$1,"O","X"))</f>
        <v/>
      </c>
      <c r="AR71" s="113">
        <f>IF(M71="","",IF(M71&lt;=$AR$1,"O","X"))</f>
        <v/>
      </c>
      <c r="AS71" s="113" t="inlineStr">
        <is>
          <t>X</t>
        </is>
      </c>
      <c r="AT71" s="113">
        <f>IF(OR(F71="",AI71=""),"",IF(AND((F71&lt;=85),(AI71&gt;=15)),"O","X"))</f>
        <v/>
      </c>
      <c r="AU71" s="113">
        <f>IF(C71="","",IF(C71&gt;=$AU$1,"O","X"))</f>
        <v/>
      </c>
      <c r="AV71" s="113">
        <f>IF(AO71="","",IF(AND(AO71="O",AP71="O",AR71="O",AT71="O",AU71="O"),"후보","X"))</f>
        <v/>
      </c>
    </row>
    <row r="72">
      <c r="A72" s="13" t="inlineStr">
        <is>
          <t>힐스테이트리슈빌강일</t>
        </is>
      </c>
      <c r="B72" s="16" t="inlineStr">
        <is>
          <t>'23.09.</t>
        </is>
      </c>
      <c r="C72" s="164" t="n">
        <v>809</v>
      </c>
      <c r="D72" s="161" t="n">
        <v>113.7</v>
      </c>
      <c r="E72" s="163" t="n">
        <v>34</v>
      </c>
      <c r="F72" s="161" t="n">
        <v>85</v>
      </c>
      <c r="G72" s="27" t="n">
        <v>26</v>
      </c>
      <c r="H72" s="164" t="n">
        <v>16</v>
      </c>
      <c r="I72" s="165" t="n"/>
      <c r="J72" s="165" t="n"/>
      <c r="K72" s="165" t="n"/>
      <c r="L72" s="165" t="n"/>
      <c r="M72" s="166">
        <f>I72-K72</f>
        <v/>
      </c>
      <c r="N72" s="7">
        <f>IF(ISERROR(K72/I72),"",K72/I72)</f>
        <v/>
      </c>
      <c r="O72" s="162">
        <f>I72/E72</f>
        <v/>
      </c>
      <c r="P72" s="162">
        <f>K72/E72</f>
        <v/>
      </c>
      <c r="Q72" s="113" t="n">
        <v>3</v>
      </c>
      <c r="R72" s="113" t="n">
        <v>2</v>
      </c>
      <c r="S72" s="113" t="inlineStr">
        <is>
          <t>계</t>
        </is>
      </c>
      <c r="T72" s="8" t="inlineStr">
        <is>
          <t>113TC</t>
        </is>
      </c>
      <c r="U72" s="13" t="n"/>
      <c r="W72" s="161">
        <f>D72</f>
        <v/>
      </c>
      <c r="X72" s="163">
        <f>E72</f>
        <v/>
      </c>
      <c r="Y72" s="159">
        <f>H72</f>
        <v/>
      </c>
      <c r="Z72" s="166">
        <f>I72</f>
        <v/>
      </c>
      <c r="AA72" s="166">
        <f>K72</f>
        <v/>
      </c>
      <c r="AB72" s="166">
        <f>M72</f>
        <v/>
      </c>
      <c r="AC72" s="7">
        <f>N72</f>
        <v/>
      </c>
      <c r="AD72" s="162">
        <f>O72</f>
        <v/>
      </c>
      <c r="AE72" s="113">
        <f>S72</f>
        <v/>
      </c>
      <c r="AF72" s="113">
        <f>Q72&amp;"/"&amp;R72</f>
        <v/>
      </c>
      <c r="AH72" s="36">
        <f>IF(A72="","",A72)</f>
        <v/>
      </c>
      <c r="AI72" s="163">
        <f>IF(E72="","",E72)</f>
        <v/>
      </c>
      <c r="AJ72" s="113">
        <f>IF(AI72="","",$AJ$2)</f>
        <v/>
      </c>
      <c r="AK72" s="113" t="inlineStr">
        <is>
          <t>A</t>
        </is>
      </c>
      <c r="AL72" s="113" t="inlineStr">
        <is>
          <t>A+</t>
        </is>
      </c>
      <c r="AM72" s="113" t="inlineStr">
        <is>
          <t>B+</t>
        </is>
      </c>
      <c r="AN72" s="113">
        <f>IF(AI72="","",$AN$2)</f>
        <v/>
      </c>
      <c r="AO72" s="113">
        <f>IF(N72="","",IF(N72&gt;=$AO$1/100,"O","X"))</f>
        <v/>
      </c>
      <c r="AP72" s="113">
        <f>IF(I72="","",IF(I72&lt;=$AP$1,"O","X"))</f>
        <v/>
      </c>
      <c r="AQ72" s="113">
        <f>IF(O72="","",IF(O72&lt;=$AQ$1,"O","X"))</f>
        <v/>
      </c>
      <c r="AR72" s="113">
        <f>IF(M72="","",IF(M72&lt;=$AR$1,"O","X"))</f>
        <v/>
      </c>
      <c r="AS72" s="113" t="inlineStr">
        <is>
          <t>X</t>
        </is>
      </c>
      <c r="AT72" s="113">
        <f>IF(OR(F72="",AI72=""),"",IF(AND((F72&lt;=85),(AI72&gt;=15)),"O","X"))</f>
        <v/>
      </c>
      <c r="AU72" s="113">
        <f>IF(C72="","",IF(C72&gt;=$AU$1,"O","X"))</f>
        <v/>
      </c>
      <c r="AV72" s="113">
        <f>IF(AO72="","",IF(AND(AO72="O",AP72="O",AR72="O",AT72="O",AU72="O"),"후보","X"))</f>
        <v/>
      </c>
    </row>
    <row r="73">
      <c r="A73" s="13" t="inlineStr">
        <is>
          <t>힐스테이트리슈빌강일</t>
        </is>
      </c>
      <c r="B73" s="16" t="inlineStr">
        <is>
          <t>'23.09.</t>
        </is>
      </c>
      <c r="C73" s="164" t="n">
        <v>809</v>
      </c>
      <c r="D73" s="161" t="n">
        <v>131.8</v>
      </c>
      <c r="E73" s="163" t="n">
        <v>40</v>
      </c>
      <c r="F73" s="161" t="n">
        <v>101.4</v>
      </c>
      <c r="G73" s="27" t="n">
        <v>31</v>
      </c>
      <c r="H73" s="164" t="n">
        <v>82</v>
      </c>
      <c r="I73" s="165" t="n"/>
      <c r="J73" s="165" t="n"/>
      <c r="K73" s="165" t="n"/>
      <c r="L73" s="165" t="n"/>
      <c r="M73" s="166">
        <f>I73-K73</f>
        <v/>
      </c>
      <c r="N73" s="7">
        <f>IF(ISERROR(K73/I73),"",K73/I73)</f>
        <v/>
      </c>
      <c r="O73" s="162">
        <f>I73/E73</f>
        <v/>
      </c>
      <c r="P73" s="162">
        <f>K73/E73</f>
        <v/>
      </c>
      <c r="Q73" s="113" t="n">
        <v>3</v>
      </c>
      <c r="R73" s="113" t="n">
        <v>2</v>
      </c>
      <c r="S73" s="113" t="inlineStr">
        <is>
          <t>계</t>
        </is>
      </c>
      <c r="T73" s="8" t="inlineStr">
        <is>
          <t>131TA</t>
        </is>
      </c>
      <c r="U73" s="13" t="n"/>
      <c r="W73" s="161">
        <f>D73</f>
        <v/>
      </c>
      <c r="X73" s="163">
        <f>E73</f>
        <v/>
      </c>
      <c r="Y73" s="159">
        <f>H73</f>
        <v/>
      </c>
      <c r="Z73" s="166">
        <f>I73</f>
        <v/>
      </c>
      <c r="AA73" s="166">
        <f>K73</f>
        <v/>
      </c>
      <c r="AB73" s="166">
        <f>M73</f>
        <v/>
      </c>
      <c r="AC73" s="7">
        <f>N73</f>
        <v/>
      </c>
      <c r="AD73" s="162">
        <f>O73</f>
        <v/>
      </c>
      <c r="AE73" s="113">
        <f>S73</f>
        <v/>
      </c>
      <c r="AF73" s="113">
        <f>Q73&amp;"/"&amp;R73</f>
        <v/>
      </c>
      <c r="AH73" s="36">
        <f>IF(A73="","",A73)</f>
        <v/>
      </c>
      <c r="AI73" s="163">
        <f>IF(E73="","",E73)</f>
        <v/>
      </c>
      <c r="AJ73" s="113">
        <f>IF(AI73="","",$AJ$2)</f>
        <v/>
      </c>
      <c r="AK73" s="113" t="inlineStr">
        <is>
          <t>A</t>
        </is>
      </c>
      <c r="AL73" s="113" t="inlineStr">
        <is>
          <t>A+</t>
        </is>
      </c>
      <c r="AM73" s="113" t="inlineStr">
        <is>
          <t>B+</t>
        </is>
      </c>
      <c r="AN73" s="113">
        <f>IF(AI73="","",$AN$2)</f>
        <v/>
      </c>
      <c r="AO73" s="113">
        <f>IF(N73="","",IF(N73&gt;=$AO$1/100,"O","X"))</f>
        <v/>
      </c>
      <c r="AP73" s="113">
        <f>IF(I73="","",IF(I73&lt;=$AP$1,"O","X"))</f>
        <v/>
      </c>
      <c r="AQ73" s="113">
        <f>IF(O73="","",IF(O73&lt;=$AQ$1,"O","X"))</f>
        <v/>
      </c>
      <c r="AR73" s="113">
        <f>IF(M73="","",IF(M73&lt;=$AR$1,"O","X"))</f>
        <v/>
      </c>
      <c r="AS73" s="113" t="inlineStr">
        <is>
          <t>X</t>
        </is>
      </c>
      <c r="AT73" s="113">
        <f>IF(OR(F73="",AI73=""),"",IF(AND((F73&lt;=85),(AI73&gt;=15)),"O","X"))</f>
        <v/>
      </c>
      <c r="AU73" s="113">
        <f>IF(C73="","",IF(C73&gt;=$AU$1,"O","X"))</f>
        <v/>
      </c>
      <c r="AV73" s="113">
        <f>IF(AO73="","",IF(AND(AO73="O",AP73="O",AR73="O",AT73="O",AU73="O"),"후보","X"))</f>
        <v/>
      </c>
    </row>
    <row r="74">
      <c r="A74" s="13" t="inlineStr">
        <is>
          <t>힐스테이트리슈빌강일</t>
        </is>
      </c>
      <c r="B74" s="16" t="inlineStr">
        <is>
          <t>'23.09.</t>
        </is>
      </c>
      <c r="C74" s="164" t="n">
        <v>809</v>
      </c>
      <c r="D74" s="161" t="n">
        <v>131.4</v>
      </c>
      <c r="E74" s="163" t="n">
        <v>40</v>
      </c>
      <c r="F74" s="161" t="n">
        <v>101.7</v>
      </c>
      <c r="G74" s="27" t="n">
        <v>31</v>
      </c>
      <c r="H74" s="164" t="n">
        <v>51</v>
      </c>
      <c r="I74" s="165" t="n"/>
      <c r="J74" s="165" t="n"/>
      <c r="K74" s="165" t="n"/>
      <c r="L74" s="165" t="n"/>
      <c r="M74" s="166">
        <f>I74-K74</f>
        <v/>
      </c>
      <c r="N74" s="7">
        <f>IF(ISERROR(K74/I74),"",K74/I74)</f>
        <v/>
      </c>
      <c r="O74" s="162">
        <f>I74/E74</f>
        <v/>
      </c>
      <c r="P74" s="162">
        <f>K74/E74</f>
        <v/>
      </c>
      <c r="Q74" s="113" t="n">
        <v>3</v>
      </c>
      <c r="R74" s="113" t="n">
        <v>2</v>
      </c>
      <c r="S74" s="113" t="inlineStr">
        <is>
          <t>계</t>
        </is>
      </c>
      <c r="T74" s="8" t="inlineStr">
        <is>
          <t>131LA</t>
        </is>
      </c>
      <c r="U74" s="13" t="n"/>
      <c r="W74" s="161">
        <f>D74</f>
        <v/>
      </c>
      <c r="X74" s="163">
        <f>E74</f>
        <v/>
      </c>
      <c r="Y74" s="159">
        <f>H74</f>
        <v/>
      </c>
      <c r="Z74" s="166">
        <f>I74</f>
        <v/>
      </c>
      <c r="AA74" s="166">
        <f>K74</f>
        <v/>
      </c>
      <c r="AB74" s="166">
        <f>M74</f>
        <v/>
      </c>
      <c r="AC74" s="7">
        <f>N74</f>
        <v/>
      </c>
      <c r="AD74" s="162">
        <f>O74</f>
        <v/>
      </c>
      <c r="AE74" s="113">
        <f>S74</f>
        <v/>
      </c>
      <c r="AF74" s="113">
        <f>Q74&amp;"/"&amp;R74</f>
        <v/>
      </c>
      <c r="AH74" s="36">
        <f>IF(A74="","",A74)</f>
        <v/>
      </c>
      <c r="AI74" s="163">
        <f>IF(E74="","",E74)</f>
        <v/>
      </c>
      <c r="AJ74" s="113">
        <f>IF(AI74="","",$AJ$2)</f>
        <v/>
      </c>
      <c r="AK74" s="113" t="inlineStr">
        <is>
          <t>A</t>
        </is>
      </c>
      <c r="AL74" s="113" t="inlineStr">
        <is>
          <t>A+</t>
        </is>
      </c>
      <c r="AM74" s="113" t="inlineStr">
        <is>
          <t>B+</t>
        </is>
      </c>
      <c r="AN74" s="113">
        <f>IF(AI74="","",$AN$2)</f>
        <v/>
      </c>
      <c r="AO74" s="113">
        <f>IF(N74="","",IF(N74&gt;=$AO$1/100,"O","X"))</f>
        <v/>
      </c>
      <c r="AP74" s="113">
        <f>IF(I74="","",IF(I74&lt;=$AP$1,"O","X"))</f>
        <v/>
      </c>
      <c r="AQ74" s="113">
        <f>IF(O74="","",IF(O74&lt;=$AQ$1,"O","X"))</f>
        <v/>
      </c>
      <c r="AR74" s="113">
        <f>IF(M74="","",IF(M74&lt;=$AR$1,"O","X"))</f>
        <v/>
      </c>
      <c r="AS74" s="113" t="inlineStr">
        <is>
          <t>X</t>
        </is>
      </c>
      <c r="AT74" s="113">
        <f>IF(OR(F74="",AI74=""),"",IF(AND((F74&lt;=85),(AI74&gt;=15)),"O","X"))</f>
        <v/>
      </c>
      <c r="AU74" s="113">
        <f>IF(C74="","",IF(C74&gt;=$AU$1,"O","X"))</f>
        <v/>
      </c>
      <c r="AV74" s="113">
        <f>IF(AO74="","",IF(AND(AO74="O",AP74="O",AR74="O",AT74="O",AU74="O"),"후보","X"))</f>
        <v/>
      </c>
    </row>
    <row r="75">
      <c r="A75" s="13" t="inlineStr">
        <is>
          <t>힐스테이트리슈빌강일</t>
        </is>
      </c>
      <c r="B75" s="16" t="inlineStr">
        <is>
          <t>'23.09.</t>
        </is>
      </c>
      <c r="C75" s="164" t="n">
        <v>809</v>
      </c>
      <c r="D75" s="161" t="n">
        <v>131.4</v>
      </c>
      <c r="E75" s="163" t="n">
        <v>40</v>
      </c>
      <c r="F75" s="161" t="n">
        <v>101.7</v>
      </c>
      <c r="G75" s="27" t="n">
        <v>31</v>
      </c>
      <c r="H75" s="164" t="n">
        <v>42</v>
      </c>
      <c r="I75" s="165" t="n"/>
      <c r="J75" s="165" t="n"/>
      <c r="K75" s="165" t="n"/>
      <c r="L75" s="165" t="n"/>
      <c r="M75" s="166">
        <f>I75-K75</f>
        <v/>
      </c>
      <c r="N75" s="7">
        <f>IF(ISERROR(K75/I75),"",K75/I75)</f>
        <v/>
      </c>
      <c r="O75" s="162">
        <f>I75/E75</f>
        <v/>
      </c>
      <c r="P75" s="162">
        <f>K75/E75</f>
        <v/>
      </c>
      <c r="Q75" s="113" t="n">
        <v>3</v>
      </c>
      <c r="R75" s="113" t="n">
        <v>2</v>
      </c>
      <c r="S75" s="113" t="inlineStr">
        <is>
          <t>계</t>
        </is>
      </c>
      <c r="T75" s="8" t="inlineStr">
        <is>
          <t>131LB</t>
        </is>
      </c>
      <c r="U75" s="13" t="n"/>
      <c r="W75" s="161">
        <f>D75</f>
        <v/>
      </c>
      <c r="X75" s="163">
        <f>E75</f>
        <v/>
      </c>
      <c r="Y75" s="159">
        <f>H75</f>
        <v/>
      </c>
      <c r="Z75" s="166">
        <f>I75</f>
        <v/>
      </c>
      <c r="AA75" s="166">
        <f>K75</f>
        <v/>
      </c>
      <c r="AB75" s="166">
        <f>M75</f>
        <v/>
      </c>
      <c r="AC75" s="7">
        <f>N75</f>
        <v/>
      </c>
      <c r="AD75" s="162">
        <f>O75</f>
        <v/>
      </c>
      <c r="AE75" s="113">
        <f>S75</f>
        <v/>
      </c>
      <c r="AF75" s="113">
        <f>Q75&amp;"/"&amp;R75</f>
        <v/>
      </c>
      <c r="AH75" s="36">
        <f>IF(A75="","",A75)</f>
        <v/>
      </c>
      <c r="AI75" s="163">
        <f>IF(E75="","",E75)</f>
        <v/>
      </c>
      <c r="AJ75" s="113">
        <f>IF(AI75="","",$AJ$2)</f>
        <v/>
      </c>
      <c r="AK75" s="113" t="inlineStr">
        <is>
          <t>A</t>
        </is>
      </c>
      <c r="AL75" s="113" t="inlineStr">
        <is>
          <t>A+</t>
        </is>
      </c>
      <c r="AM75" s="113" t="inlineStr">
        <is>
          <t>B+</t>
        </is>
      </c>
      <c r="AN75" s="113">
        <f>IF(AI75="","",$AN$2)</f>
        <v/>
      </c>
      <c r="AO75" s="113">
        <f>IF(N75="","",IF(N75&gt;=$AO$1/100,"O","X"))</f>
        <v/>
      </c>
      <c r="AP75" s="113">
        <f>IF(I75="","",IF(I75&lt;=$AP$1,"O","X"))</f>
        <v/>
      </c>
      <c r="AQ75" s="113">
        <f>IF(O75="","",IF(O75&lt;=$AQ$1,"O","X"))</f>
        <v/>
      </c>
      <c r="AR75" s="113">
        <f>IF(M75="","",IF(M75&lt;=$AR$1,"O","X"))</f>
        <v/>
      </c>
      <c r="AS75" s="113" t="inlineStr">
        <is>
          <t>X</t>
        </is>
      </c>
      <c r="AT75" s="113">
        <f>IF(OR(F75="",AI75=""),"",IF(AND((F75&lt;=85),(AI75&gt;=15)),"O","X"))</f>
        <v/>
      </c>
      <c r="AU75" s="113">
        <f>IF(C75="","",IF(C75&gt;=$AU$1,"O","X"))</f>
        <v/>
      </c>
      <c r="AV75" s="113">
        <f>IF(AO75="","",IF(AND(AO75="O",AP75="O",AR75="O",AT75="O",AU75="O"),"후보","X"))</f>
        <v/>
      </c>
    </row>
    <row r="76">
      <c r="A76" s="13" t="inlineStr">
        <is>
          <t>힐스테이트리슈빌강일</t>
        </is>
      </c>
      <c r="B76" s="16" t="inlineStr">
        <is>
          <t>'23.09.</t>
        </is>
      </c>
      <c r="C76" s="164" t="n">
        <v>809</v>
      </c>
      <c r="D76" s="161" t="n">
        <v>132.3</v>
      </c>
      <c r="E76" s="163" t="n">
        <v>40</v>
      </c>
      <c r="F76" s="161" t="n">
        <v>101.8</v>
      </c>
      <c r="G76" s="27" t="n">
        <v>31</v>
      </c>
      <c r="H76" s="164" t="n">
        <v>72</v>
      </c>
      <c r="I76" s="165" t="n"/>
      <c r="J76" s="165" t="n"/>
      <c r="K76" s="165" t="n"/>
      <c r="L76" s="165" t="n"/>
      <c r="M76" s="166">
        <f>I76-K76</f>
        <v/>
      </c>
      <c r="N76" s="7">
        <f>IF(ISERROR(K76/I76),"",K76/I76)</f>
        <v/>
      </c>
      <c r="O76" s="162">
        <f>I76/E76</f>
        <v/>
      </c>
      <c r="P76" s="162">
        <f>K76/E76</f>
        <v/>
      </c>
      <c r="Q76" s="113" t="n">
        <v>3</v>
      </c>
      <c r="R76" s="113" t="n">
        <v>2</v>
      </c>
      <c r="S76" s="113" t="inlineStr">
        <is>
          <t>계</t>
        </is>
      </c>
      <c r="T76" s="8" t="inlineStr">
        <is>
          <t>132TB</t>
        </is>
      </c>
      <c r="U76" s="13" t="n"/>
      <c r="W76" s="161">
        <f>D76</f>
        <v/>
      </c>
      <c r="X76" s="163">
        <f>E76</f>
        <v/>
      </c>
      <c r="Y76" s="159">
        <f>H76</f>
        <v/>
      </c>
      <c r="Z76" s="166">
        <f>I76</f>
        <v/>
      </c>
      <c r="AA76" s="166">
        <f>K76</f>
        <v/>
      </c>
      <c r="AB76" s="166">
        <f>M76</f>
        <v/>
      </c>
      <c r="AC76" s="7">
        <f>N76</f>
        <v/>
      </c>
      <c r="AD76" s="162">
        <f>O76</f>
        <v/>
      </c>
      <c r="AE76" s="113">
        <f>S76</f>
        <v/>
      </c>
      <c r="AF76" s="113">
        <f>Q76&amp;"/"&amp;R76</f>
        <v/>
      </c>
      <c r="AH76" s="36">
        <f>IF(A76="","",A76)</f>
        <v/>
      </c>
      <c r="AI76" s="163">
        <f>IF(E76="","",E76)</f>
        <v/>
      </c>
      <c r="AJ76" s="113">
        <f>IF(AI76="","",$AJ$2)</f>
        <v/>
      </c>
      <c r="AK76" s="113" t="inlineStr">
        <is>
          <t>A</t>
        </is>
      </c>
      <c r="AL76" s="113" t="inlineStr">
        <is>
          <t>A+</t>
        </is>
      </c>
      <c r="AM76" s="113" t="inlineStr">
        <is>
          <t>B+</t>
        </is>
      </c>
      <c r="AN76" s="113">
        <f>IF(AI76="","",$AN$2)</f>
        <v/>
      </c>
      <c r="AO76" s="113">
        <f>IF(N76="","",IF(N76&gt;=$AO$1/100,"O","X"))</f>
        <v/>
      </c>
      <c r="AP76" s="113">
        <f>IF(I76="","",IF(I76&lt;=$AP$1,"O","X"))</f>
        <v/>
      </c>
      <c r="AQ76" s="113">
        <f>IF(O76="","",IF(O76&lt;=$AQ$1,"O","X"))</f>
        <v/>
      </c>
      <c r="AR76" s="113">
        <f>IF(M76="","",IF(M76&lt;=$AR$1,"O","X"))</f>
        <v/>
      </c>
      <c r="AS76" s="113" t="inlineStr">
        <is>
          <t>X</t>
        </is>
      </c>
      <c r="AT76" s="113">
        <f>IF(OR(F76="",AI76=""),"",IF(AND((F76&lt;=85),(AI76&gt;=15)),"O","X"))</f>
        <v/>
      </c>
      <c r="AU76" s="113">
        <f>IF(C76="","",IF(C76&gt;=$AU$1,"O","X"))</f>
        <v/>
      </c>
      <c r="AV76" s="113">
        <f>IF(AO76="","",IF(AND(AO76="O",AP76="O",AR76="O",AT76="O",AU76="O"),"후보","X"))</f>
        <v/>
      </c>
    </row>
    <row r="77">
      <c r="A77" s="13" t="n"/>
      <c r="B77" s="113" t="n"/>
      <c r="C77" s="10" t="n"/>
      <c r="D77" s="13" t="n"/>
      <c r="E77" s="20" t="n"/>
      <c r="F77" s="161" t="n"/>
      <c r="G77" s="13" t="n"/>
      <c r="H77" s="13" t="n"/>
      <c r="I77" s="13" t="n"/>
      <c r="J77" s="13" t="n"/>
      <c r="K77" s="13" t="n"/>
      <c r="L77" s="13" t="n"/>
      <c r="M77" s="13" t="n"/>
      <c r="N77" s="13" t="n"/>
      <c r="O77" s="162" t="n"/>
      <c r="P77" s="162" t="n"/>
      <c r="Q77" s="163" t="n"/>
      <c r="R77" s="163" t="n"/>
      <c r="S77" s="13" t="n"/>
      <c r="T77" s="70" t="n"/>
      <c r="U77" s="13" t="n"/>
      <c r="W77" s="107">
        <f>$A$4&amp;" "&amp;A78&amp;"("&amp;B78&amp;","&amp;C78&amp;"^)"</f>
        <v/>
      </c>
      <c r="X77" s="108" t="n"/>
      <c r="Y77" s="108" t="n"/>
      <c r="Z77" s="108" t="n"/>
      <c r="AA77" s="108" t="n"/>
      <c r="AB77" s="108" t="n"/>
      <c r="AC77" s="108" t="n"/>
      <c r="AD77" s="108" t="n"/>
      <c r="AE77" s="108" t="n"/>
      <c r="AF77" s="109" t="n"/>
      <c r="AH77" s="36">
        <f>IF(A77="","",A77)</f>
        <v/>
      </c>
      <c r="AI77" s="160">
        <f>IF(E77="","",E77)</f>
        <v/>
      </c>
      <c r="AJ77" s="113" t="n"/>
      <c r="AK77" s="113" t="n"/>
      <c r="AL77" s="113" t="n"/>
      <c r="AM77" s="113" t="n"/>
      <c r="AN77" s="113" t="n"/>
      <c r="AO77" s="113" t="n"/>
      <c r="AP77" s="113" t="n"/>
      <c r="AQ77" s="113" t="n"/>
      <c r="AR77" s="113" t="n"/>
      <c r="AS77" s="113" t="n"/>
      <c r="AT77" s="113" t="n"/>
      <c r="AU77" s="113" t="n"/>
      <c r="AV77" s="113" t="n"/>
    </row>
    <row r="78">
      <c r="A78" s="13" t="inlineStr">
        <is>
          <t>강일리버파크9단지</t>
        </is>
      </c>
      <c r="B78" s="16" t="inlineStr">
        <is>
          <t>'09.04.</t>
        </is>
      </c>
      <c r="C78" s="164" t="n">
        <v>841</v>
      </c>
      <c r="D78" s="161" t="n">
        <v>110.8</v>
      </c>
      <c r="E78" s="163" t="n">
        <v>34</v>
      </c>
      <c r="F78" s="161" t="n">
        <v>84.7</v>
      </c>
      <c r="G78" s="27" t="n">
        <v>26</v>
      </c>
      <c r="H78" s="164" t="n">
        <v>52</v>
      </c>
      <c r="I78" s="165" t="n"/>
      <c r="J78" s="165" t="n"/>
      <c r="K78" s="165" t="n"/>
      <c r="L78" s="165" t="n"/>
      <c r="M78" s="166">
        <f>I78-K78</f>
        <v/>
      </c>
      <c r="N78" s="7">
        <f>IF(ISERROR(K78/I78),"",K78/I78)</f>
        <v/>
      </c>
      <c r="O78" s="162">
        <f>I78/E78</f>
        <v/>
      </c>
      <c r="P78" s="162">
        <f>K78/E78</f>
        <v/>
      </c>
      <c r="Q78" s="113" t="n">
        <v>3</v>
      </c>
      <c r="R78" s="113" t="n">
        <v>2</v>
      </c>
      <c r="S78" s="113" t="inlineStr">
        <is>
          <t>계</t>
        </is>
      </c>
      <c r="T78" s="8" t="inlineStr">
        <is>
          <t>110C</t>
        </is>
      </c>
      <c r="U78" s="13" t="n"/>
      <c r="W78" s="161">
        <f>D78</f>
        <v/>
      </c>
      <c r="X78" s="163">
        <f>E78</f>
        <v/>
      </c>
      <c r="Y78" s="159">
        <f>H78</f>
        <v/>
      </c>
      <c r="Z78" s="166">
        <f>I78</f>
        <v/>
      </c>
      <c r="AA78" s="166">
        <f>K78</f>
        <v/>
      </c>
      <c r="AB78" s="166">
        <f>M78</f>
        <v/>
      </c>
      <c r="AC78" s="7">
        <f>N78</f>
        <v/>
      </c>
      <c r="AD78" s="162">
        <f>O78</f>
        <v/>
      </c>
      <c r="AE78" s="113">
        <f>S78</f>
        <v/>
      </c>
      <c r="AF78" s="113">
        <f>Q78&amp;"/"&amp;R78</f>
        <v/>
      </c>
      <c r="AH78" s="36">
        <f>IF(A78="","",A78)</f>
        <v/>
      </c>
      <c r="AI78" s="163">
        <f>IF(E78="","",E78)</f>
        <v/>
      </c>
      <c r="AJ78" s="113">
        <f>IF(AI78="","",$AJ$2)</f>
        <v/>
      </c>
      <c r="AK78" s="113" t="inlineStr">
        <is>
          <t>A</t>
        </is>
      </c>
      <c r="AL78" s="113" t="inlineStr">
        <is>
          <t>A+</t>
        </is>
      </c>
      <c r="AM78" s="113" t="inlineStr">
        <is>
          <t>B+</t>
        </is>
      </c>
      <c r="AN78" s="113">
        <f>IF(AI78="","",$AN$2)</f>
        <v/>
      </c>
      <c r="AO78" s="113">
        <f>IF(N78="","",IF(N78&gt;=$AO$1/100,"O","X"))</f>
        <v/>
      </c>
      <c r="AP78" s="113">
        <f>IF(I78="","",IF(I78&lt;=$AP$1,"O","X"))</f>
        <v/>
      </c>
      <c r="AQ78" s="113">
        <f>IF(O78="","",IF(O78&lt;=$AQ$1,"O","X"))</f>
        <v/>
      </c>
      <c r="AR78" s="113">
        <f>IF(M78="","",IF(M78&lt;=$AR$1,"O","X"))</f>
        <v/>
      </c>
      <c r="AS78" s="113" t="inlineStr">
        <is>
          <t>X</t>
        </is>
      </c>
      <c r="AT78" s="113">
        <f>IF(OR(F78="",AI78=""),"",IF(AND((F78&lt;=85),(AI78&gt;=15)),"O","X"))</f>
        <v/>
      </c>
      <c r="AU78" s="113">
        <f>IF(C78="","",IF(C78&gt;=$AU$1,"O","X"))</f>
        <v/>
      </c>
      <c r="AV78" s="113">
        <f>IF(AO78="","",IF(AND(AO78="O",AP78="O",AR78="O",AT78="O",AU78="O"),"후보","X"))</f>
        <v/>
      </c>
    </row>
    <row r="79">
      <c r="A79" s="13" t="inlineStr">
        <is>
          <t>강일리버파크9단지</t>
        </is>
      </c>
      <c r="B79" s="16" t="inlineStr">
        <is>
          <t>'09.04.</t>
        </is>
      </c>
      <c r="C79" s="164" t="n">
        <v>841</v>
      </c>
      <c r="D79" s="161" t="n">
        <v>111.1</v>
      </c>
      <c r="E79" s="163" t="n">
        <v>34</v>
      </c>
      <c r="F79" s="161" t="n">
        <v>84.5</v>
      </c>
      <c r="G79" s="27" t="n">
        <v>26</v>
      </c>
      <c r="H79" s="164" t="n">
        <v>52</v>
      </c>
      <c r="I79" s="165" t="n">
        <v>130000</v>
      </c>
      <c r="J79" s="165" t="inlineStr">
        <is>
          <t>8</t>
        </is>
      </c>
      <c r="K79" s="165" t="n"/>
      <c r="L79" s="165" t="n"/>
      <c r="M79" s="166">
        <f>I79-K79</f>
        <v/>
      </c>
      <c r="N79" s="7">
        <f>IF(ISERROR(K79/I79),"",K79/I79)</f>
        <v/>
      </c>
      <c r="O79" s="162">
        <f>I79/E79</f>
        <v/>
      </c>
      <c r="P79" s="162">
        <f>K79/E79</f>
        <v/>
      </c>
      <c r="Q79" s="113" t="n">
        <v>3</v>
      </c>
      <c r="R79" s="113" t="n">
        <v>2</v>
      </c>
      <c r="S79" s="113" t="inlineStr">
        <is>
          <t>계</t>
        </is>
      </c>
      <c r="T79" s="8" t="inlineStr">
        <is>
          <t>111B</t>
        </is>
      </c>
      <c r="U79" s="13" t="n"/>
      <c r="W79" s="161">
        <f>D79</f>
        <v/>
      </c>
      <c r="X79" s="163">
        <f>E79</f>
        <v/>
      </c>
      <c r="Y79" s="159">
        <f>H79</f>
        <v/>
      </c>
      <c r="Z79" s="166">
        <f>I79</f>
        <v/>
      </c>
      <c r="AA79" s="166">
        <f>K79</f>
        <v/>
      </c>
      <c r="AB79" s="166">
        <f>M79</f>
        <v/>
      </c>
      <c r="AC79" s="7">
        <f>N79</f>
        <v/>
      </c>
      <c r="AD79" s="162">
        <f>O79</f>
        <v/>
      </c>
      <c r="AE79" s="113">
        <f>S79</f>
        <v/>
      </c>
      <c r="AF79" s="113">
        <f>Q79&amp;"/"&amp;R79</f>
        <v/>
      </c>
      <c r="AH79" s="36">
        <f>IF(A79="","",A79)</f>
        <v/>
      </c>
      <c r="AI79" s="163">
        <f>IF(E79="","",E79)</f>
        <v/>
      </c>
      <c r="AJ79" s="113">
        <f>IF(AI79="","",$AJ$2)</f>
        <v/>
      </c>
      <c r="AK79" s="113" t="inlineStr">
        <is>
          <t>A</t>
        </is>
      </c>
      <c r="AL79" s="113" t="inlineStr">
        <is>
          <t>A+</t>
        </is>
      </c>
      <c r="AM79" s="113" t="inlineStr">
        <is>
          <t>B+</t>
        </is>
      </c>
      <c r="AN79" s="113">
        <f>IF(AI79="","",$AN$2)</f>
        <v/>
      </c>
      <c r="AO79" s="113">
        <f>IF(N79="","",IF(N79&gt;=$AO$1/100,"O","X"))</f>
        <v/>
      </c>
      <c r="AP79" s="113">
        <f>IF(I79="","",IF(I79&lt;=$AP$1,"O","X"))</f>
        <v/>
      </c>
      <c r="AQ79" s="113">
        <f>IF(O79="","",IF(O79&lt;=$AQ$1,"O","X"))</f>
        <v/>
      </c>
      <c r="AR79" s="113">
        <f>IF(M79="","",IF(M79&lt;=$AR$1,"O","X"))</f>
        <v/>
      </c>
      <c r="AS79" s="113" t="inlineStr">
        <is>
          <t>X</t>
        </is>
      </c>
      <c r="AT79" s="113">
        <f>IF(OR(F79="",AI79=""),"",IF(AND((F79&lt;=85),(AI79&gt;=15)),"O","X"))</f>
        <v/>
      </c>
      <c r="AU79" s="113">
        <f>IF(C79="","",IF(C79&gt;=$AU$1,"O","X"))</f>
        <v/>
      </c>
      <c r="AV79" s="113">
        <f>IF(AO79="","",IF(AND(AO79="O",AP79="O",AR79="O",AT79="O",AU79="O"),"후보","X"))</f>
        <v/>
      </c>
    </row>
    <row r="80">
      <c r="A80" s="13" t="n"/>
      <c r="B80" s="113" t="n"/>
      <c r="C80" s="10" t="n"/>
      <c r="D80" s="13" t="n"/>
      <c r="E80" s="20" t="n"/>
      <c r="F80" s="161" t="n"/>
      <c r="G80" s="13" t="n"/>
      <c r="H80" s="13" t="n"/>
      <c r="I80" s="13" t="n"/>
      <c r="J80" s="13" t="n"/>
      <c r="K80" s="13" t="n"/>
      <c r="L80" s="13" t="n"/>
      <c r="M80" s="13" t="n"/>
      <c r="N80" s="13" t="n"/>
      <c r="O80" s="162" t="n"/>
      <c r="P80" s="162" t="n"/>
      <c r="Q80" s="163" t="n"/>
      <c r="R80" s="163" t="n"/>
      <c r="S80" s="13" t="n"/>
      <c r="T80" s="70" t="n"/>
      <c r="U80" s="13" t="n"/>
      <c r="W80" s="107">
        <f>$A$4&amp;" "&amp;A81&amp;"("&amp;B81&amp;","&amp;C81&amp;"^)"</f>
        <v/>
      </c>
      <c r="X80" s="108" t="n"/>
      <c r="Y80" s="108" t="n"/>
      <c r="Z80" s="108" t="n"/>
      <c r="AA80" s="108" t="n"/>
      <c r="AB80" s="108" t="n"/>
      <c r="AC80" s="108" t="n"/>
      <c r="AD80" s="108" t="n"/>
      <c r="AE80" s="108" t="n"/>
      <c r="AF80" s="109" t="n"/>
      <c r="AH80" s="36">
        <f>IF(A80="","",A80)</f>
        <v/>
      </c>
      <c r="AI80" s="160">
        <f>IF(E80="","",E80)</f>
        <v/>
      </c>
      <c r="AJ80" s="113" t="n"/>
      <c r="AK80" s="113" t="n"/>
      <c r="AL80" s="113" t="n"/>
      <c r="AM80" s="113" t="n"/>
      <c r="AN80" s="113" t="n"/>
      <c r="AO80" s="113" t="n"/>
      <c r="AP80" s="113" t="n"/>
      <c r="AQ80" s="113" t="n"/>
      <c r="AR80" s="113" t="n"/>
      <c r="AS80" s="113" t="n"/>
      <c r="AT80" s="113" t="n"/>
      <c r="AU80" s="113" t="n"/>
      <c r="AV80" s="113" t="n"/>
    </row>
    <row r="81">
      <c r="A81" s="13" t="inlineStr">
        <is>
          <t>고덕리엔파크1단지</t>
        </is>
      </c>
      <c r="B81" s="16" t="inlineStr">
        <is>
          <t>'11.01.</t>
        </is>
      </c>
      <c r="C81" s="164" t="n">
        <v>605</v>
      </c>
      <c r="D81" s="161" t="n">
        <v>80.2</v>
      </c>
      <c r="E81" s="163" t="n">
        <v>24</v>
      </c>
      <c r="F81" s="161" t="n">
        <v>59.8</v>
      </c>
      <c r="G81" s="27" t="n">
        <v>18</v>
      </c>
      <c r="H81" s="164" t="n">
        <v>9</v>
      </c>
      <c r="I81" s="165" t="n"/>
      <c r="J81" s="165" t="n"/>
      <c r="K81" s="165" t="n"/>
      <c r="L81" s="165" t="n"/>
      <c r="M81" s="166">
        <f>I81-K81</f>
        <v/>
      </c>
      <c r="N81" s="7">
        <f>IF(ISERROR(K81/I81),"",K81/I81)</f>
        <v/>
      </c>
      <c r="O81" s="162">
        <f>I81/E81</f>
        <v/>
      </c>
      <c r="P81" s="162">
        <f>K81/E81</f>
        <v/>
      </c>
      <c r="Q81" s="113" t="n">
        <v>3</v>
      </c>
      <c r="R81" s="113" t="n">
        <v>2</v>
      </c>
      <c r="S81" s="113" t="inlineStr">
        <is>
          <t>계</t>
        </is>
      </c>
      <c r="T81" s="8" t="inlineStr">
        <is>
          <t>80A2</t>
        </is>
      </c>
      <c r="U81" s="13" t="n"/>
      <c r="W81" s="161">
        <f>D81</f>
        <v/>
      </c>
      <c r="X81" s="163">
        <f>E81</f>
        <v/>
      </c>
      <c r="Y81" s="159">
        <f>H81</f>
        <v/>
      </c>
      <c r="Z81" s="166">
        <f>I81</f>
        <v/>
      </c>
      <c r="AA81" s="166">
        <f>K81</f>
        <v/>
      </c>
      <c r="AB81" s="166">
        <f>M81</f>
        <v/>
      </c>
      <c r="AC81" s="7">
        <f>N81</f>
        <v/>
      </c>
      <c r="AD81" s="162">
        <f>O81</f>
        <v/>
      </c>
      <c r="AE81" s="113">
        <f>S81</f>
        <v/>
      </c>
      <c r="AF81" s="113">
        <f>Q81&amp;"/"&amp;R81</f>
        <v/>
      </c>
      <c r="AH81" s="36">
        <f>IF(A81="","",A81)</f>
        <v/>
      </c>
      <c r="AI81" s="163">
        <f>IF(E81="","",E81)</f>
        <v/>
      </c>
      <c r="AJ81" s="113">
        <f>IF(AI81="","",$AJ$2)</f>
        <v/>
      </c>
      <c r="AK81" s="113" t="inlineStr">
        <is>
          <t>A</t>
        </is>
      </c>
      <c r="AL81" s="113" t="inlineStr">
        <is>
          <t>A+</t>
        </is>
      </c>
      <c r="AM81" s="113" t="inlineStr">
        <is>
          <t>B+</t>
        </is>
      </c>
      <c r="AN81" s="113">
        <f>IF(AI81="","",$AN$2)</f>
        <v/>
      </c>
      <c r="AO81" s="113">
        <f>IF(N81="","",IF(N81&gt;=$AO$1/100,"O","X"))</f>
        <v/>
      </c>
      <c r="AP81" s="113">
        <f>IF(I81="","",IF(I81&lt;=$AP$1,"O","X"))</f>
        <v/>
      </c>
      <c r="AQ81" s="113">
        <f>IF(O81="","",IF(O81&lt;=$AQ$1,"O","X"))</f>
        <v/>
      </c>
      <c r="AR81" s="113">
        <f>IF(M81="","",IF(M81&lt;=$AR$1,"O","X"))</f>
        <v/>
      </c>
      <c r="AS81" s="113" t="inlineStr">
        <is>
          <t>X</t>
        </is>
      </c>
      <c r="AT81" s="113">
        <f>IF(OR(F81="",AI81=""),"",IF(AND((F81&lt;=85),(AI81&gt;=15)),"O","X"))</f>
        <v/>
      </c>
      <c r="AU81" s="113">
        <f>IF(C81="","",IF(C81&gt;=$AU$1,"O","X"))</f>
        <v/>
      </c>
      <c r="AV81" s="113">
        <f>IF(AO81="","",IF(AND(AO81="O",AP81="O",AR81="O",AT81="O",AU81="O"),"후보","X"))</f>
        <v/>
      </c>
    </row>
    <row r="82">
      <c r="A82" s="13" t="inlineStr">
        <is>
          <t>고덕리엔파크1단지</t>
        </is>
      </c>
      <c r="B82" s="16" t="inlineStr">
        <is>
          <t>'11.01.</t>
        </is>
      </c>
      <c r="C82" s="164" t="n">
        <v>605</v>
      </c>
      <c r="D82" s="161" t="n">
        <v>80.2</v>
      </c>
      <c r="E82" s="163" t="n">
        <v>24</v>
      </c>
      <c r="F82" s="161" t="n">
        <v>59.8</v>
      </c>
      <c r="G82" s="27" t="n">
        <v>18</v>
      </c>
      <c r="H82" s="164" t="n">
        <v>2</v>
      </c>
      <c r="I82" s="165" t="n"/>
      <c r="J82" s="165" t="n"/>
      <c r="K82" s="165" t="n"/>
      <c r="L82" s="165" t="n"/>
      <c r="M82" s="166">
        <f>I82-K82</f>
        <v/>
      </c>
      <c r="N82" s="7">
        <f>IF(ISERROR(K82/I82),"",K82/I82)</f>
        <v/>
      </c>
      <c r="O82" s="162">
        <f>I82/E82</f>
        <v/>
      </c>
      <c r="P82" s="162">
        <f>K82/E82</f>
        <v/>
      </c>
      <c r="Q82" s="113" t="n">
        <v>3</v>
      </c>
      <c r="R82" s="113" t="n">
        <v>2</v>
      </c>
      <c r="S82" s="113" t="inlineStr">
        <is>
          <t>계</t>
        </is>
      </c>
      <c r="T82" s="8" t="inlineStr">
        <is>
          <t>80A</t>
        </is>
      </c>
      <c r="U82" s="13" t="n"/>
      <c r="W82" s="161">
        <f>D82</f>
        <v/>
      </c>
      <c r="X82" s="163">
        <f>E82</f>
        <v/>
      </c>
      <c r="Y82" s="159">
        <f>H82</f>
        <v/>
      </c>
      <c r="Z82" s="166">
        <f>I82</f>
        <v/>
      </c>
      <c r="AA82" s="166">
        <f>K82</f>
        <v/>
      </c>
      <c r="AB82" s="166">
        <f>M82</f>
        <v/>
      </c>
      <c r="AC82" s="7">
        <f>N82</f>
        <v/>
      </c>
      <c r="AD82" s="162">
        <f>O82</f>
        <v/>
      </c>
      <c r="AE82" s="113">
        <f>S82</f>
        <v/>
      </c>
      <c r="AF82" s="113">
        <f>Q82&amp;"/"&amp;R82</f>
        <v/>
      </c>
      <c r="AH82" s="36">
        <f>IF(A82="","",A82)</f>
        <v/>
      </c>
      <c r="AI82" s="163">
        <f>IF(E82="","",E82)</f>
        <v/>
      </c>
      <c r="AJ82" s="113">
        <f>IF(AI82="","",$AJ$2)</f>
        <v/>
      </c>
      <c r="AK82" s="113" t="inlineStr">
        <is>
          <t>A</t>
        </is>
      </c>
      <c r="AL82" s="113" t="inlineStr">
        <is>
          <t>A+</t>
        </is>
      </c>
      <c r="AM82" s="113" t="inlineStr">
        <is>
          <t>B+</t>
        </is>
      </c>
      <c r="AN82" s="113">
        <f>IF(AI82="","",$AN$2)</f>
        <v/>
      </c>
      <c r="AO82" s="113">
        <f>IF(N82="","",IF(N82&gt;=$AO$1/100,"O","X"))</f>
        <v/>
      </c>
      <c r="AP82" s="113">
        <f>IF(I82="","",IF(I82&lt;=$AP$1,"O","X"))</f>
        <v/>
      </c>
      <c r="AQ82" s="113">
        <f>IF(O82="","",IF(O82&lt;=$AQ$1,"O","X"))</f>
        <v/>
      </c>
      <c r="AR82" s="113">
        <f>IF(M82="","",IF(M82&lt;=$AR$1,"O","X"))</f>
        <v/>
      </c>
      <c r="AS82" s="113" t="inlineStr">
        <is>
          <t>X</t>
        </is>
      </c>
      <c r="AT82" s="113">
        <f>IF(OR(F82="",AI82=""),"",IF(AND((F82&lt;=85),(AI82&gt;=15)),"O","X"))</f>
        <v/>
      </c>
      <c r="AU82" s="113">
        <f>IF(C82="","",IF(C82&gt;=$AU$1,"O","X"))</f>
        <v/>
      </c>
      <c r="AV82" s="113">
        <f>IF(AO82="","",IF(AND(AO82="O",AP82="O",AR82="O",AT82="O",AU82="O"),"후보","X"))</f>
        <v/>
      </c>
    </row>
    <row r="83">
      <c r="A83" s="13" t="inlineStr">
        <is>
          <t>고덕리엔파크1단지</t>
        </is>
      </c>
      <c r="B83" s="16" t="inlineStr">
        <is>
          <t>'11.01.</t>
        </is>
      </c>
      <c r="C83" s="164" t="n">
        <v>605</v>
      </c>
      <c r="D83" s="161" t="n">
        <v>80.2</v>
      </c>
      <c r="E83" s="163" t="n">
        <v>24</v>
      </c>
      <c r="F83" s="161" t="n">
        <v>59.7</v>
      </c>
      <c r="G83" s="27" t="n">
        <v>18</v>
      </c>
      <c r="H83" s="164" t="n">
        <v>2</v>
      </c>
      <c r="I83" s="165" t="n"/>
      <c r="J83" s="165" t="n"/>
      <c r="K83" s="165" t="n"/>
      <c r="L83" s="165" t="n"/>
      <c r="M83" s="166">
        <f>I83-K83</f>
        <v/>
      </c>
      <c r="N83" s="7">
        <f>IF(ISERROR(K83/I83),"",K83/I83)</f>
        <v/>
      </c>
      <c r="O83" s="162">
        <f>I83/E83</f>
        <v/>
      </c>
      <c r="P83" s="162">
        <f>K83/E83</f>
        <v/>
      </c>
      <c r="Q83" s="113" t="n">
        <v>3</v>
      </c>
      <c r="R83" s="113" t="n">
        <v>2</v>
      </c>
      <c r="S83" s="113" t="inlineStr">
        <is>
          <t>계</t>
        </is>
      </c>
      <c r="T83" s="8" t="inlineStr">
        <is>
          <t>80B</t>
        </is>
      </c>
      <c r="U83" s="13" t="n"/>
      <c r="W83" s="161">
        <f>D83</f>
        <v/>
      </c>
      <c r="X83" s="163">
        <f>E83</f>
        <v/>
      </c>
      <c r="Y83" s="159">
        <f>H83</f>
        <v/>
      </c>
      <c r="Z83" s="166">
        <f>I83</f>
        <v/>
      </c>
      <c r="AA83" s="166">
        <f>K83</f>
        <v/>
      </c>
      <c r="AB83" s="166">
        <f>M83</f>
        <v/>
      </c>
      <c r="AC83" s="7">
        <f>N83</f>
        <v/>
      </c>
      <c r="AD83" s="162">
        <f>O83</f>
        <v/>
      </c>
      <c r="AE83" s="113">
        <f>S83</f>
        <v/>
      </c>
      <c r="AF83" s="113">
        <f>Q83&amp;"/"&amp;R83</f>
        <v/>
      </c>
      <c r="AH83" s="36">
        <f>IF(A83="","",A83)</f>
        <v/>
      </c>
      <c r="AI83" s="163">
        <f>IF(E83="","",E83)</f>
        <v/>
      </c>
      <c r="AJ83" s="113">
        <f>IF(AI83="","",$AJ$2)</f>
        <v/>
      </c>
      <c r="AK83" s="113" t="inlineStr">
        <is>
          <t>A</t>
        </is>
      </c>
      <c r="AL83" s="113" t="inlineStr">
        <is>
          <t>A+</t>
        </is>
      </c>
      <c r="AM83" s="113" t="inlineStr">
        <is>
          <t>B+</t>
        </is>
      </c>
      <c r="AN83" s="113">
        <f>IF(AI83="","",$AN$2)</f>
        <v/>
      </c>
      <c r="AO83" s="113">
        <f>IF(N83="","",IF(N83&gt;=$AO$1/100,"O","X"))</f>
        <v/>
      </c>
      <c r="AP83" s="113">
        <f>IF(I83="","",IF(I83&lt;=$AP$1,"O","X"))</f>
        <v/>
      </c>
      <c r="AQ83" s="113">
        <f>IF(O83="","",IF(O83&lt;=$AQ$1,"O","X"))</f>
        <v/>
      </c>
      <c r="AR83" s="113">
        <f>IF(M83="","",IF(M83&lt;=$AR$1,"O","X"))</f>
        <v/>
      </c>
      <c r="AS83" s="113" t="inlineStr">
        <is>
          <t>X</t>
        </is>
      </c>
      <c r="AT83" s="113">
        <f>IF(OR(F83="",AI83=""),"",IF(AND((F83&lt;=85),(AI83&gt;=15)),"O","X"))</f>
        <v/>
      </c>
      <c r="AU83" s="113">
        <f>IF(C83="","",IF(C83&gt;=$AU$1,"O","X"))</f>
        <v/>
      </c>
      <c r="AV83" s="113">
        <f>IF(AO83="","",IF(AND(AO83="O",AP83="O",AR83="O",AT83="O",AU83="O"),"후보","X"))</f>
        <v/>
      </c>
    </row>
    <row r="84">
      <c r="A84" s="13" t="inlineStr">
        <is>
          <t>고덕리엔파크1단지</t>
        </is>
      </c>
      <c r="B84" s="16" t="inlineStr">
        <is>
          <t>'11.01.</t>
        </is>
      </c>
      <c r="C84" s="164" t="n">
        <v>605</v>
      </c>
      <c r="D84" s="161" t="n">
        <v>112.8</v>
      </c>
      <c r="E84" s="163" t="n">
        <v>34</v>
      </c>
      <c r="F84" s="161" t="n">
        <v>85</v>
      </c>
      <c r="G84" s="27" t="n">
        <v>26</v>
      </c>
      <c r="H84" s="164" t="n">
        <v>30</v>
      </c>
      <c r="I84" s="165" t="n">
        <v>125000</v>
      </c>
      <c r="J84" s="165" t="inlineStr">
        <is>
          <t>고</t>
        </is>
      </c>
      <c r="K84" s="165" t="n"/>
      <c r="L84" s="165" t="n"/>
      <c r="M84" s="166">
        <f>I84-K84</f>
        <v/>
      </c>
      <c r="N84" s="7">
        <f>IF(ISERROR(K84/I84),"",K84/I84)</f>
        <v/>
      </c>
      <c r="O84" s="162">
        <f>I84/E84</f>
        <v/>
      </c>
      <c r="P84" s="162">
        <f>K84/E84</f>
        <v/>
      </c>
      <c r="Q84" s="113" t="n">
        <v>3</v>
      </c>
      <c r="R84" s="113" t="n">
        <v>2</v>
      </c>
      <c r="S84" s="113" t="inlineStr">
        <is>
          <t>계</t>
        </is>
      </c>
      <c r="T84" s="8" t="inlineStr">
        <is>
          <t>112D</t>
        </is>
      </c>
      <c r="U84" s="13" t="n"/>
      <c r="W84" s="161">
        <f>D84</f>
        <v/>
      </c>
      <c r="X84" s="163">
        <f>E84</f>
        <v/>
      </c>
      <c r="Y84" s="159">
        <f>H84</f>
        <v/>
      </c>
      <c r="Z84" s="166">
        <f>I84</f>
        <v/>
      </c>
      <c r="AA84" s="166">
        <f>K84</f>
        <v/>
      </c>
      <c r="AB84" s="166">
        <f>M84</f>
        <v/>
      </c>
      <c r="AC84" s="7">
        <f>N84</f>
        <v/>
      </c>
      <c r="AD84" s="162">
        <f>O84</f>
        <v/>
      </c>
      <c r="AE84" s="113">
        <f>S84</f>
        <v/>
      </c>
      <c r="AF84" s="113">
        <f>Q84&amp;"/"&amp;R84</f>
        <v/>
      </c>
      <c r="AH84" s="36">
        <f>IF(A84="","",A84)</f>
        <v/>
      </c>
      <c r="AI84" s="163">
        <f>IF(E84="","",E84)</f>
        <v/>
      </c>
      <c r="AJ84" s="113">
        <f>IF(AI84="","",$AJ$2)</f>
        <v/>
      </c>
      <c r="AK84" s="113" t="inlineStr">
        <is>
          <t>A</t>
        </is>
      </c>
      <c r="AL84" s="113" t="inlineStr">
        <is>
          <t>A+</t>
        </is>
      </c>
      <c r="AM84" s="113" t="inlineStr">
        <is>
          <t>B+</t>
        </is>
      </c>
      <c r="AN84" s="113">
        <f>IF(AI84="","",$AN$2)</f>
        <v/>
      </c>
      <c r="AO84" s="113">
        <f>IF(N84="","",IF(N84&gt;=$AO$1/100,"O","X"))</f>
        <v/>
      </c>
      <c r="AP84" s="113">
        <f>IF(I84="","",IF(I84&lt;=$AP$1,"O","X"))</f>
        <v/>
      </c>
      <c r="AQ84" s="113">
        <f>IF(O84="","",IF(O84&lt;=$AQ$1,"O","X"))</f>
        <v/>
      </c>
      <c r="AR84" s="113">
        <f>IF(M84="","",IF(M84&lt;=$AR$1,"O","X"))</f>
        <v/>
      </c>
      <c r="AS84" s="113" t="inlineStr">
        <is>
          <t>X</t>
        </is>
      </c>
      <c r="AT84" s="113">
        <f>IF(OR(F84="",AI84=""),"",IF(AND((F84&lt;=85),(AI84&gt;=15)),"O","X"))</f>
        <v/>
      </c>
      <c r="AU84" s="113">
        <f>IF(C84="","",IF(C84&gt;=$AU$1,"O","X"))</f>
        <v/>
      </c>
      <c r="AV84" s="113">
        <f>IF(AO84="","",IF(AND(AO84="O",AP84="O",AR84="O",AT84="O",AU84="O"),"후보","X"))</f>
        <v/>
      </c>
    </row>
    <row r="85">
      <c r="A85" s="13" t="inlineStr">
        <is>
          <t>고덕리엔파크1단지</t>
        </is>
      </c>
      <c r="B85" s="16" t="inlineStr">
        <is>
          <t>'11.01.</t>
        </is>
      </c>
      <c r="C85" s="164" t="n">
        <v>605</v>
      </c>
      <c r="D85" s="161" t="n">
        <v>113.1</v>
      </c>
      <c r="E85" s="163" t="n">
        <v>34</v>
      </c>
      <c r="F85" s="161" t="n">
        <v>84.90000000000001</v>
      </c>
      <c r="G85" s="27" t="n">
        <v>26</v>
      </c>
      <c r="H85" s="164" t="n">
        <v>30</v>
      </c>
      <c r="I85" s="165" t="n"/>
      <c r="J85" s="165" t="n"/>
      <c r="K85" s="165" t="n"/>
      <c r="L85" s="165" t="n"/>
      <c r="M85" s="166">
        <f>I85-K85</f>
        <v/>
      </c>
      <c r="N85" s="7">
        <f>IF(ISERROR(K85/I85),"",K85/I85)</f>
        <v/>
      </c>
      <c r="O85" s="162">
        <f>I85/E85</f>
        <v/>
      </c>
      <c r="P85" s="162">
        <f>K85/E85</f>
        <v/>
      </c>
      <c r="Q85" s="113" t="n">
        <v>3</v>
      </c>
      <c r="R85" s="113" t="n">
        <v>2</v>
      </c>
      <c r="S85" s="113" t="inlineStr">
        <is>
          <t>계</t>
        </is>
      </c>
      <c r="T85" s="8" t="inlineStr">
        <is>
          <t>113B</t>
        </is>
      </c>
      <c r="U85" s="13" t="n"/>
      <c r="W85" s="161">
        <f>D85</f>
        <v/>
      </c>
      <c r="X85" s="163">
        <f>E85</f>
        <v/>
      </c>
      <c r="Y85" s="159">
        <f>H85</f>
        <v/>
      </c>
      <c r="Z85" s="166">
        <f>I85</f>
        <v/>
      </c>
      <c r="AA85" s="166">
        <f>K85</f>
        <v/>
      </c>
      <c r="AB85" s="166">
        <f>M85</f>
        <v/>
      </c>
      <c r="AC85" s="7">
        <f>N85</f>
        <v/>
      </c>
      <c r="AD85" s="162">
        <f>O85</f>
        <v/>
      </c>
      <c r="AE85" s="113">
        <f>S85</f>
        <v/>
      </c>
      <c r="AF85" s="113">
        <f>Q85&amp;"/"&amp;R85</f>
        <v/>
      </c>
      <c r="AH85" s="36">
        <f>IF(A85="","",A85)</f>
        <v/>
      </c>
      <c r="AI85" s="163">
        <f>IF(E85="","",E85)</f>
        <v/>
      </c>
      <c r="AJ85" s="113">
        <f>IF(AI85="","",$AJ$2)</f>
        <v/>
      </c>
      <c r="AK85" s="113" t="inlineStr">
        <is>
          <t>A</t>
        </is>
      </c>
      <c r="AL85" s="113" t="inlineStr">
        <is>
          <t>A+</t>
        </is>
      </c>
      <c r="AM85" s="113" t="inlineStr">
        <is>
          <t>B+</t>
        </is>
      </c>
      <c r="AN85" s="113">
        <f>IF(AI85="","",$AN$2)</f>
        <v/>
      </c>
      <c r="AO85" s="113">
        <f>IF(N85="","",IF(N85&gt;=$AO$1/100,"O","X"))</f>
        <v/>
      </c>
      <c r="AP85" s="113">
        <f>IF(I85="","",IF(I85&lt;=$AP$1,"O","X"))</f>
        <v/>
      </c>
      <c r="AQ85" s="113">
        <f>IF(O85="","",IF(O85&lt;=$AQ$1,"O","X"))</f>
        <v/>
      </c>
      <c r="AR85" s="113">
        <f>IF(M85="","",IF(M85&lt;=$AR$1,"O","X"))</f>
        <v/>
      </c>
      <c r="AS85" s="113" t="inlineStr">
        <is>
          <t>X</t>
        </is>
      </c>
      <c r="AT85" s="113">
        <f>IF(OR(F85="",AI85=""),"",IF(AND((F85&lt;=85),(AI85&gt;=15)),"O","X"))</f>
        <v/>
      </c>
      <c r="AU85" s="113">
        <f>IF(C85="","",IF(C85&gt;=$AU$1,"O","X"))</f>
        <v/>
      </c>
      <c r="AV85" s="113">
        <f>IF(AO85="","",IF(AND(AO85="O",AP85="O",AR85="O",AT85="O",AU85="O"),"후보","X"))</f>
        <v/>
      </c>
    </row>
    <row r="86">
      <c r="A86" s="13" t="inlineStr">
        <is>
          <t>고덕리엔파크1단지</t>
        </is>
      </c>
      <c r="B86" s="16" t="inlineStr">
        <is>
          <t>'11.01.</t>
        </is>
      </c>
      <c r="C86" s="164" t="n">
        <v>605</v>
      </c>
      <c r="D86" s="161" t="n">
        <v>113.8</v>
      </c>
      <c r="E86" s="163" t="n">
        <v>34</v>
      </c>
      <c r="F86" s="161" t="n">
        <v>84.8</v>
      </c>
      <c r="G86" s="27" t="n">
        <v>26</v>
      </c>
      <c r="H86" s="164" t="n">
        <v>30</v>
      </c>
      <c r="I86" s="165" t="n">
        <v>140000</v>
      </c>
      <c r="J86" s="165" t="inlineStr">
        <is>
          <t>11</t>
        </is>
      </c>
      <c r="K86" s="165" t="n">
        <v>65000</v>
      </c>
      <c r="L86" s="165" t="inlineStr">
        <is>
          <t>15</t>
        </is>
      </c>
      <c r="M86" s="166">
        <f>I86-K86</f>
        <v/>
      </c>
      <c r="N86" s="7">
        <f>IF(ISERROR(K86/I86),"",K86/I86)</f>
        <v/>
      </c>
      <c r="O86" s="162">
        <f>I86/E86</f>
        <v/>
      </c>
      <c r="P86" s="162">
        <f>K86/E86</f>
        <v/>
      </c>
      <c r="Q86" s="113" t="n">
        <v>3</v>
      </c>
      <c r="R86" s="113" t="n">
        <v>2</v>
      </c>
      <c r="S86" s="113" t="inlineStr">
        <is>
          <t>계</t>
        </is>
      </c>
      <c r="T86" s="8" t="inlineStr">
        <is>
          <t>113C</t>
        </is>
      </c>
      <c r="U86" s="13" t="n"/>
      <c r="W86" s="161">
        <f>D86</f>
        <v/>
      </c>
      <c r="X86" s="163">
        <f>E86</f>
        <v/>
      </c>
      <c r="Y86" s="159">
        <f>H86</f>
        <v/>
      </c>
      <c r="Z86" s="166">
        <f>I86</f>
        <v/>
      </c>
      <c r="AA86" s="166">
        <f>K86</f>
        <v/>
      </c>
      <c r="AB86" s="166">
        <f>M86</f>
        <v/>
      </c>
      <c r="AC86" s="7">
        <f>N86</f>
        <v/>
      </c>
      <c r="AD86" s="162">
        <f>O86</f>
        <v/>
      </c>
      <c r="AE86" s="113">
        <f>S86</f>
        <v/>
      </c>
      <c r="AF86" s="113">
        <f>Q86&amp;"/"&amp;R86</f>
        <v/>
      </c>
      <c r="AH86" s="36">
        <f>IF(A86="","",A86)</f>
        <v/>
      </c>
      <c r="AI86" s="163">
        <f>IF(E86="","",E86)</f>
        <v/>
      </c>
      <c r="AJ86" s="113">
        <f>IF(AI86="","",$AJ$2)</f>
        <v/>
      </c>
      <c r="AK86" s="113" t="inlineStr">
        <is>
          <t>A</t>
        </is>
      </c>
      <c r="AL86" s="113" t="inlineStr">
        <is>
          <t>A+</t>
        </is>
      </c>
      <c r="AM86" s="113" t="inlineStr">
        <is>
          <t>B+</t>
        </is>
      </c>
      <c r="AN86" s="113">
        <f>IF(AI86="","",$AN$2)</f>
        <v/>
      </c>
      <c r="AO86" s="113">
        <f>IF(N86="","",IF(N86&gt;=$AO$1/100,"O","X"))</f>
        <v/>
      </c>
      <c r="AP86" s="113">
        <f>IF(I86="","",IF(I86&lt;=$AP$1,"O","X"))</f>
        <v/>
      </c>
      <c r="AQ86" s="113">
        <f>IF(O86="","",IF(O86&lt;=$AQ$1,"O","X"))</f>
        <v/>
      </c>
      <c r="AR86" s="113">
        <f>IF(M86="","",IF(M86&lt;=$AR$1,"O","X"))</f>
        <v/>
      </c>
      <c r="AS86" s="113" t="inlineStr">
        <is>
          <t>X</t>
        </is>
      </c>
      <c r="AT86" s="113">
        <f>IF(OR(F86="",AI86=""),"",IF(AND((F86&lt;=85),(AI86&gt;=15)),"O","X"))</f>
        <v/>
      </c>
      <c r="AU86" s="113">
        <f>IF(C86="","",IF(C86&gt;=$AU$1,"O","X"))</f>
        <v/>
      </c>
      <c r="AV86" s="113">
        <f>IF(AO86="","",IF(AND(AO86="O",AP86="O",AR86="O",AT86="O",AU86="O"),"후보","X"))</f>
        <v/>
      </c>
    </row>
    <row r="87">
      <c r="A87" s="13" t="inlineStr">
        <is>
          <t>고덕리엔파크1단지</t>
        </is>
      </c>
      <c r="B87" s="16" t="inlineStr">
        <is>
          <t>'11.01.</t>
        </is>
      </c>
      <c r="C87" s="164" t="n">
        <v>605</v>
      </c>
      <c r="D87" s="161" t="n">
        <v>152</v>
      </c>
      <c r="E87" s="163" t="n">
        <v>46</v>
      </c>
      <c r="F87" s="161" t="n">
        <v>115</v>
      </c>
      <c r="G87" s="27" t="n">
        <v>35</v>
      </c>
      <c r="H87" s="164" t="n">
        <v>28</v>
      </c>
      <c r="I87" s="165" t="n">
        <v>170000</v>
      </c>
      <c r="J87" s="165" t="inlineStr">
        <is>
          <t>12</t>
        </is>
      </c>
      <c r="K87" s="165" t="n"/>
      <c r="L87" s="165" t="n"/>
      <c r="M87" s="166">
        <f>I87-K87</f>
        <v/>
      </c>
      <c r="N87" s="7">
        <f>IF(ISERROR(K87/I87),"",K87/I87)</f>
        <v/>
      </c>
      <c r="O87" s="162">
        <f>I87/E87</f>
        <v/>
      </c>
      <c r="P87" s="162">
        <f>K87/E87</f>
        <v/>
      </c>
      <c r="Q87" s="113" t="n">
        <v>4</v>
      </c>
      <c r="R87" s="113" t="n">
        <v>2</v>
      </c>
      <c r="S87" s="113" t="inlineStr">
        <is>
          <t>계</t>
        </is>
      </c>
      <c r="T87" s="8" t="inlineStr">
        <is>
          <t>152C</t>
        </is>
      </c>
      <c r="U87" s="13" t="n"/>
      <c r="W87" s="161">
        <f>D87</f>
        <v/>
      </c>
      <c r="X87" s="163">
        <f>E87</f>
        <v/>
      </c>
      <c r="Y87" s="159">
        <f>H87</f>
        <v/>
      </c>
      <c r="Z87" s="166">
        <f>I87</f>
        <v/>
      </c>
      <c r="AA87" s="166">
        <f>K87</f>
        <v/>
      </c>
      <c r="AB87" s="166">
        <f>M87</f>
        <v/>
      </c>
      <c r="AC87" s="7">
        <f>N87</f>
        <v/>
      </c>
      <c r="AD87" s="162">
        <f>O87</f>
        <v/>
      </c>
      <c r="AE87" s="113">
        <f>S87</f>
        <v/>
      </c>
      <c r="AF87" s="113">
        <f>Q87&amp;"/"&amp;R87</f>
        <v/>
      </c>
      <c r="AH87" s="36">
        <f>IF(A87="","",A87)</f>
        <v/>
      </c>
      <c r="AI87" s="163">
        <f>IF(E87="","",E87)</f>
        <v/>
      </c>
      <c r="AJ87" s="113">
        <f>IF(AI87="","",$AJ$2)</f>
        <v/>
      </c>
      <c r="AK87" s="113" t="inlineStr">
        <is>
          <t>A</t>
        </is>
      </c>
      <c r="AL87" s="113" t="inlineStr">
        <is>
          <t>A+</t>
        </is>
      </c>
      <c r="AM87" s="113" t="inlineStr">
        <is>
          <t>B+</t>
        </is>
      </c>
      <c r="AN87" s="113">
        <f>IF(AI87="","",$AN$2)</f>
        <v/>
      </c>
      <c r="AO87" s="113">
        <f>IF(N87="","",IF(N87&gt;=$AO$1/100,"O","X"))</f>
        <v/>
      </c>
      <c r="AP87" s="113">
        <f>IF(I87="","",IF(I87&lt;=$AP$1,"O","X"))</f>
        <v/>
      </c>
      <c r="AQ87" s="113">
        <f>IF(O87="","",IF(O87&lt;=$AQ$1,"O","X"))</f>
        <v/>
      </c>
      <c r="AR87" s="113">
        <f>IF(M87="","",IF(M87&lt;=$AR$1,"O","X"))</f>
        <v/>
      </c>
      <c r="AS87" s="113" t="inlineStr">
        <is>
          <t>X</t>
        </is>
      </c>
      <c r="AT87" s="113">
        <f>IF(OR(F87="",AI87=""),"",IF(AND((F87&lt;=85),(AI87&gt;=15)),"O","X"))</f>
        <v/>
      </c>
      <c r="AU87" s="113">
        <f>IF(C87="","",IF(C87&gt;=$AU$1,"O","X"))</f>
        <v/>
      </c>
      <c r="AV87" s="113">
        <f>IF(AO87="","",IF(AND(AO87="O",AP87="O",AR87="O",AT87="O",AU87="O"),"후보","X"))</f>
        <v/>
      </c>
    </row>
    <row r="88">
      <c r="A88" s="13" t="inlineStr">
        <is>
          <t>고덕리엔파크1단지</t>
        </is>
      </c>
      <c r="B88" s="16" t="inlineStr">
        <is>
          <t>'11.01.</t>
        </is>
      </c>
      <c r="C88" s="164" t="n">
        <v>605</v>
      </c>
      <c r="D88" s="161" t="n">
        <v>152.6</v>
      </c>
      <c r="E88" s="163" t="n">
        <v>46</v>
      </c>
      <c r="F88" s="161" t="n">
        <v>115</v>
      </c>
      <c r="G88" s="27" t="n">
        <v>35</v>
      </c>
      <c r="H88" s="164" t="n">
        <v>15</v>
      </c>
      <c r="I88" s="165" t="n">
        <v>170000</v>
      </c>
      <c r="J88" s="165" t="inlineStr">
        <is>
          <t>14</t>
        </is>
      </c>
      <c r="K88" s="165" t="n">
        <v>80000</v>
      </c>
      <c r="L88" s="165" t="inlineStr">
        <is>
          <t>14</t>
        </is>
      </c>
      <c r="M88" s="166">
        <f>I88-K88</f>
        <v/>
      </c>
      <c r="N88" s="7">
        <f>IF(ISERROR(K88/I88),"",K88/I88)</f>
        <v/>
      </c>
      <c r="O88" s="162">
        <f>I88/E88</f>
        <v/>
      </c>
      <c r="P88" s="162">
        <f>K88/E88</f>
        <v/>
      </c>
      <c r="Q88" s="113" t="n">
        <v>4</v>
      </c>
      <c r="R88" s="113" t="n">
        <v>2</v>
      </c>
      <c r="S88" s="113" t="inlineStr">
        <is>
          <t>계</t>
        </is>
      </c>
      <c r="T88" s="8" t="inlineStr">
        <is>
          <t>152D</t>
        </is>
      </c>
      <c r="U88" s="13" t="n"/>
      <c r="W88" s="161">
        <f>D88</f>
        <v/>
      </c>
      <c r="X88" s="163">
        <f>E88</f>
        <v/>
      </c>
      <c r="Y88" s="159">
        <f>H88</f>
        <v/>
      </c>
      <c r="Z88" s="166">
        <f>I88</f>
        <v/>
      </c>
      <c r="AA88" s="166">
        <f>K88</f>
        <v/>
      </c>
      <c r="AB88" s="166">
        <f>M88</f>
        <v/>
      </c>
      <c r="AC88" s="7">
        <f>N88</f>
        <v/>
      </c>
      <c r="AD88" s="162">
        <f>O88</f>
        <v/>
      </c>
      <c r="AE88" s="113">
        <f>S88</f>
        <v/>
      </c>
      <c r="AF88" s="113">
        <f>Q88&amp;"/"&amp;R88</f>
        <v/>
      </c>
      <c r="AH88" s="36">
        <f>IF(A88="","",A88)</f>
        <v/>
      </c>
      <c r="AI88" s="163">
        <f>IF(E88="","",E88)</f>
        <v/>
      </c>
      <c r="AJ88" s="113">
        <f>IF(AI88="","",$AJ$2)</f>
        <v/>
      </c>
      <c r="AK88" s="113" t="inlineStr">
        <is>
          <t>A</t>
        </is>
      </c>
      <c r="AL88" s="113" t="inlineStr">
        <is>
          <t>A+</t>
        </is>
      </c>
      <c r="AM88" s="113" t="inlineStr">
        <is>
          <t>B+</t>
        </is>
      </c>
      <c r="AN88" s="113">
        <f>IF(AI88="","",$AN$2)</f>
        <v/>
      </c>
      <c r="AO88" s="113">
        <f>IF(N88="","",IF(N88&gt;=$AO$1/100,"O","X"))</f>
        <v/>
      </c>
      <c r="AP88" s="113">
        <f>IF(I88="","",IF(I88&lt;=$AP$1,"O","X"))</f>
        <v/>
      </c>
      <c r="AQ88" s="113">
        <f>IF(O88="","",IF(O88&lt;=$AQ$1,"O","X"))</f>
        <v/>
      </c>
      <c r="AR88" s="113">
        <f>IF(M88="","",IF(M88&lt;=$AR$1,"O","X"))</f>
        <v/>
      </c>
      <c r="AS88" s="113" t="inlineStr">
        <is>
          <t>X</t>
        </is>
      </c>
      <c r="AT88" s="113">
        <f>IF(OR(F88="",AI88=""),"",IF(AND((F88&lt;=85),(AI88&gt;=15)),"O","X"))</f>
        <v/>
      </c>
      <c r="AU88" s="113">
        <f>IF(C88="","",IF(C88&gt;=$AU$1,"O","X"))</f>
        <v/>
      </c>
      <c r="AV88" s="113">
        <f>IF(AO88="","",IF(AND(AO88="O",AP88="O",AR88="O",AT88="O",AU88="O"),"후보","X"))</f>
        <v/>
      </c>
    </row>
    <row r="89">
      <c r="A89" s="13" t="n"/>
      <c r="B89" s="113" t="n"/>
      <c r="C89" s="10" t="n"/>
      <c r="D89" s="13" t="n"/>
      <c r="E89" s="20" t="n"/>
      <c r="F89" s="161" t="n"/>
      <c r="G89" s="13" t="n"/>
      <c r="H89" s="13" t="n"/>
      <c r="I89" s="13" t="n"/>
      <c r="J89" s="13" t="n"/>
      <c r="K89" s="13" t="n"/>
      <c r="L89" s="13" t="n"/>
      <c r="M89" s="13" t="n"/>
      <c r="N89" s="13" t="n"/>
      <c r="O89" s="162" t="n"/>
      <c r="P89" s="162" t="n"/>
      <c r="Q89" s="163" t="n"/>
      <c r="R89" s="163" t="n"/>
      <c r="S89" s="13" t="n"/>
      <c r="T89" s="70" t="n"/>
      <c r="U89" s="13" t="n"/>
      <c r="W89" s="107">
        <f>$A$4&amp;" "&amp;A90&amp;"("&amp;B90&amp;","&amp;C90&amp;"^)"</f>
        <v/>
      </c>
      <c r="X89" s="108" t="n"/>
      <c r="Y89" s="108" t="n"/>
      <c r="Z89" s="108" t="n"/>
      <c r="AA89" s="108" t="n"/>
      <c r="AB89" s="108" t="n"/>
      <c r="AC89" s="108" t="n"/>
      <c r="AD89" s="108" t="n"/>
      <c r="AE89" s="108" t="n"/>
      <c r="AF89" s="109" t="n"/>
      <c r="AH89" s="36">
        <f>IF(A89="","",A89)</f>
        <v/>
      </c>
      <c r="AI89" s="160">
        <f>IF(E89="","",E89)</f>
        <v/>
      </c>
      <c r="AJ89" s="113" t="n"/>
      <c r="AK89" s="113" t="n"/>
      <c r="AL89" s="113" t="n"/>
      <c r="AM89" s="113" t="n"/>
      <c r="AN89" s="113" t="n"/>
      <c r="AO89" s="113" t="n"/>
      <c r="AP89" s="113" t="n"/>
      <c r="AQ89" s="113" t="n"/>
      <c r="AR89" s="113" t="n"/>
      <c r="AS89" s="113" t="n"/>
      <c r="AT89" s="113" t="n"/>
      <c r="AU89" s="113" t="n"/>
      <c r="AV89" s="113" t="n"/>
    </row>
    <row r="90">
      <c r="A90" s="13" t="inlineStr">
        <is>
          <t>강일리버파크2단지</t>
        </is>
      </c>
      <c r="B90" s="16" t="inlineStr">
        <is>
          <t>'09.03.</t>
        </is>
      </c>
      <c r="C90" s="164" t="n">
        <v>442</v>
      </c>
      <c r="D90" s="161" t="n">
        <v>110.7</v>
      </c>
      <c r="E90" s="163" t="n">
        <v>33</v>
      </c>
      <c r="F90" s="161" t="n">
        <v>84.7</v>
      </c>
      <c r="G90" s="27" t="n">
        <v>26</v>
      </c>
      <c r="H90" s="164" t="n">
        <v>66</v>
      </c>
      <c r="I90" s="165" t="n">
        <v>110000</v>
      </c>
      <c r="J90" s="165" t="inlineStr">
        <is>
          <t>7</t>
        </is>
      </c>
      <c r="K90" s="165" t="n"/>
      <c r="L90" s="165" t="n"/>
      <c r="M90" s="166">
        <f>I90-K90</f>
        <v/>
      </c>
      <c r="N90" s="7">
        <f>IF(ISERROR(K90/I90),"",K90/I90)</f>
        <v/>
      </c>
      <c r="O90" s="162">
        <f>I90/E90</f>
        <v/>
      </c>
      <c r="P90" s="162">
        <f>K90/E90</f>
        <v/>
      </c>
      <c r="Q90" s="113" t="n">
        <v>3</v>
      </c>
      <c r="R90" s="113" t="n">
        <v>2</v>
      </c>
      <c r="S90" s="113" t="inlineStr">
        <is>
          <t>계</t>
        </is>
      </c>
      <c r="T90" s="8" t="inlineStr">
        <is>
          <t>110C</t>
        </is>
      </c>
      <c r="U90" s="13" t="n"/>
      <c r="W90" s="161">
        <f>D90</f>
        <v/>
      </c>
      <c r="X90" s="163">
        <f>E90</f>
        <v/>
      </c>
      <c r="Y90" s="159">
        <f>H90</f>
        <v/>
      </c>
      <c r="Z90" s="166">
        <f>I90</f>
        <v/>
      </c>
      <c r="AA90" s="166">
        <f>K90</f>
        <v/>
      </c>
      <c r="AB90" s="166">
        <f>M90</f>
        <v/>
      </c>
      <c r="AC90" s="7">
        <f>N90</f>
        <v/>
      </c>
      <c r="AD90" s="162">
        <f>O90</f>
        <v/>
      </c>
      <c r="AE90" s="113">
        <f>S90</f>
        <v/>
      </c>
      <c r="AF90" s="113">
        <f>Q90&amp;"/"&amp;R90</f>
        <v/>
      </c>
      <c r="AH90" s="36">
        <f>IF(A90="","",A90)</f>
        <v/>
      </c>
      <c r="AI90" s="163">
        <f>IF(E90="","",E90)</f>
        <v/>
      </c>
      <c r="AJ90" s="113">
        <f>IF(AI90="","",$AJ$2)</f>
        <v/>
      </c>
      <c r="AK90" s="113" t="inlineStr">
        <is>
          <t>A</t>
        </is>
      </c>
      <c r="AL90" s="113" t="inlineStr">
        <is>
          <t>A+</t>
        </is>
      </c>
      <c r="AM90" s="113" t="inlineStr">
        <is>
          <t>B+</t>
        </is>
      </c>
      <c r="AN90" s="113">
        <f>IF(AI90="","",$AN$2)</f>
        <v/>
      </c>
      <c r="AO90" s="113">
        <f>IF(N90="","",IF(N90&gt;=$AO$1/100,"O","X"))</f>
        <v/>
      </c>
      <c r="AP90" s="113">
        <f>IF(I90="","",IF(I90&lt;=$AP$1,"O","X"))</f>
        <v/>
      </c>
      <c r="AQ90" s="113">
        <f>IF(O90="","",IF(O90&lt;=$AQ$1,"O","X"))</f>
        <v/>
      </c>
      <c r="AR90" s="113">
        <f>IF(M90="","",IF(M90&lt;=$AR$1,"O","X"))</f>
        <v/>
      </c>
      <c r="AS90" s="113" t="inlineStr">
        <is>
          <t>X</t>
        </is>
      </c>
      <c r="AT90" s="113">
        <f>IF(OR(F90="",AI90=""),"",IF(AND((F90&lt;=85),(AI90&gt;=15)),"O","X"))</f>
        <v/>
      </c>
      <c r="AU90" s="113">
        <f>IF(C90="","",IF(C90&gt;=$AU$1,"O","X"))</f>
        <v/>
      </c>
      <c r="AV90" s="113">
        <f>IF(AO90="","",IF(AND(AO90="O",AP90="O",AR90="O",AT90="O",AU90="O"),"후보","X"))</f>
        <v/>
      </c>
    </row>
    <row r="91">
      <c r="A91" s="13" t="inlineStr">
        <is>
          <t>강일리버파크2단지</t>
        </is>
      </c>
      <c r="B91" s="16" t="inlineStr">
        <is>
          <t>'09.03.</t>
        </is>
      </c>
      <c r="C91" s="164" t="n">
        <v>442</v>
      </c>
      <c r="D91" s="161" t="n">
        <v>110</v>
      </c>
      <c r="E91" s="163" t="n">
        <v>33</v>
      </c>
      <c r="F91" s="161" t="n">
        <v>84.8</v>
      </c>
      <c r="G91" s="27" t="n">
        <v>26</v>
      </c>
      <c r="H91" s="164" t="n">
        <v>44</v>
      </c>
      <c r="I91" s="165" t="n">
        <v>110000</v>
      </c>
      <c r="J91" s="165" t="inlineStr">
        <is>
          <t>중</t>
        </is>
      </c>
      <c r="K91" s="165" t="n">
        <v>55000</v>
      </c>
      <c r="L91" s="165" t="inlineStr">
        <is>
          <t>고</t>
        </is>
      </c>
      <c r="M91" s="166">
        <f>I91-K91</f>
        <v/>
      </c>
      <c r="N91" s="7">
        <f>IF(ISERROR(K91/I91),"",K91/I91)</f>
        <v/>
      </c>
      <c r="O91" s="162">
        <f>I91/E91</f>
        <v/>
      </c>
      <c r="P91" s="162">
        <f>K91/E91</f>
        <v/>
      </c>
      <c r="Q91" s="113" t="n">
        <v>3</v>
      </c>
      <c r="R91" s="113" t="n">
        <v>2</v>
      </c>
      <c r="S91" s="113" t="inlineStr">
        <is>
          <t>계</t>
        </is>
      </c>
      <c r="T91" s="8" t="inlineStr">
        <is>
          <t>110A</t>
        </is>
      </c>
      <c r="U91" s="13" t="n"/>
      <c r="W91" s="161">
        <f>D91</f>
        <v/>
      </c>
      <c r="X91" s="163">
        <f>E91</f>
        <v/>
      </c>
      <c r="Y91" s="159">
        <f>H91</f>
        <v/>
      </c>
      <c r="Z91" s="166">
        <f>I91</f>
        <v/>
      </c>
      <c r="AA91" s="166">
        <f>K91</f>
        <v/>
      </c>
      <c r="AB91" s="166">
        <f>M91</f>
        <v/>
      </c>
      <c r="AC91" s="7">
        <f>N91</f>
        <v/>
      </c>
      <c r="AD91" s="162">
        <f>O91</f>
        <v/>
      </c>
      <c r="AE91" s="113">
        <f>S91</f>
        <v/>
      </c>
      <c r="AF91" s="113">
        <f>Q91&amp;"/"&amp;R91</f>
        <v/>
      </c>
      <c r="AH91" s="36">
        <f>IF(A91="","",A91)</f>
        <v/>
      </c>
      <c r="AI91" s="163">
        <f>IF(E91="","",E91)</f>
        <v/>
      </c>
      <c r="AJ91" s="113">
        <f>IF(AI91="","",$AJ$2)</f>
        <v/>
      </c>
      <c r="AK91" s="113" t="inlineStr">
        <is>
          <t>A</t>
        </is>
      </c>
      <c r="AL91" s="113" t="inlineStr">
        <is>
          <t>A+</t>
        </is>
      </c>
      <c r="AM91" s="113" t="inlineStr">
        <is>
          <t>B+</t>
        </is>
      </c>
      <c r="AN91" s="113">
        <f>IF(AI91="","",$AN$2)</f>
        <v/>
      </c>
      <c r="AO91" s="113">
        <f>IF(N91="","",IF(N91&gt;=$AO$1/100,"O","X"))</f>
        <v/>
      </c>
      <c r="AP91" s="113">
        <f>IF(I91="","",IF(I91&lt;=$AP$1,"O","X"))</f>
        <v/>
      </c>
      <c r="AQ91" s="113">
        <f>IF(O91="","",IF(O91&lt;=$AQ$1,"O","X"))</f>
        <v/>
      </c>
      <c r="AR91" s="113">
        <f>IF(M91="","",IF(M91&lt;=$AR$1,"O","X"))</f>
        <v/>
      </c>
      <c r="AS91" s="113" t="inlineStr">
        <is>
          <t>X</t>
        </is>
      </c>
      <c r="AT91" s="113">
        <f>IF(OR(F91="",AI91=""),"",IF(AND((F91&lt;=85),(AI91&gt;=15)),"O","X"))</f>
        <v/>
      </c>
      <c r="AU91" s="113">
        <f>IF(C91="","",IF(C91&gt;=$AU$1,"O","X"))</f>
        <v/>
      </c>
      <c r="AV91" s="113">
        <f>IF(AO91="","",IF(AND(AO91="O",AP91="O",AR91="O",AT91="O",AU91="O"),"후보","X"))</f>
        <v/>
      </c>
    </row>
    <row r="92">
      <c r="A92" s="13" t="inlineStr">
        <is>
          <t>강일리버파크2단지</t>
        </is>
      </c>
      <c r="B92" s="16" t="inlineStr">
        <is>
          <t>'09.03.</t>
        </is>
      </c>
      <c r="C92" s="164" t="n">
        <v>442</v>
      </c>
      <c r="D92" s="161" t="n">
        <v>111.1</v>
      </c>
      <c r="E92" s="163" t="n">
        <v>34</v>
      </c>
      <c r="F92" s="161" t="n">
        <v>84.5</v>
      </c>
      <c r="G92" s="27" t="n">
        <v>26</v>
      </c>
      <c r="H92" s="164" t="n">
        <v>64</v>
      </c>
      <c r="I92" s="165" t="n"/>
      <c r="J92" s="165" t="n"/>
      <c r="K92" s="165" t="n"/>
      <c r="L92" s="165" t="n"/>
      <c r="M92" s="166">
        <f>I92-K92</f>
        <v/>
      </c>
      <c r="N92" s="7">
        <f>IF(ISERROR(K92/I92),"",K92/I92)</f>
        <v/>
      </c>
      <c r="O92" s="162">
        <f>I92/E92</f>
        <v/>
      </c>
      <c r="P92" s="162">
        <f>K92/E92</f>
        <v/>
      </c>
      <c r="Q92" s="113" t="n">
        <v>3</v>
      </c>
      <c r="R92" s="113" t="n">
        <v>2</v>
      </c>
      <c r="S92" s="113" t="inlineStr">
        <is>
          <t>계</t>
        </is>
      </c>
      <c r="T92" s="8" t="inlineStr">
        <is>
          <t>111B</t>
        </is>
      </c>
      <c r="U92" s="13" t="n"/>
      <c r="W92" s="161">
        <f>D92</f>
        <v/>
      </c>
      <c r="X92" s="163">
        <f>E92</f>
        <v/>
      </c>
      <c r="Y92" s="159">
        <f>H92</f>
        <v/>
      </c>
      <c r="Z92" s="166">
        <f>I92</f>
        <v/>
      </c>
      <c r="AA92" s="166">
        <f>K92</f>
        <v/>
      </c>
      <c r="AB92" s="166">
        <f>M92</f>
        <v/>
      </c>
      <c r="AC92" s="7">
        <f>N92</f>
        <v/>
      </c>
      <c r="AD92" s="162">
        <f>O92</f>
        <v/>
      </c>
      <c r="AE92" s="113">
        <f>S92</f>
        <v/>
      </c>
      <c r="AF92" s="113">
        <f>Q92&amp;"/"&amp;R92</f>
        <v/>
      </c>
      <c r="AH92" s="36">
        <f>IF(A92="","",A92)</f>
        <v/>
      </c>
      <c r="AI92" s="163">
        <f>IF(E92="","",E92)</f>
        <v/>
      </c>
      <c r="AJ92" s="113">
        <f>IF(AI92="","",$AJ$2)</f>
        <v/>
      </c>
      <c r="AK92" s="113" t="inlineStr">
        <is>
          <t>A</t>
        </is>
      </c>
      <c r="AL92" s="113" t="inlineStr">
        <is>
          <t>A+</t>
        </is>
      </c>
      <c r="AM92" s="113" t="inlineStr">
        <is>
          <t>B+</t>
        </is>
      </c>
      <c r="AN92" s="113">
        <f>IF(AI92="","",$AN$2)</f>
        <v/>
      </c>
      <c r="AO92" s="113">
        <f>IF(N92="","",IF(N92&gt;=$AO$1/100,"O","X"))</f>
        <v/>
      </c>
      <c r="AP92" s="113">
        <f>IF(I92="","",IF(I92&lt;=$AP$1,"O","X"))</f>
        <v/>
      </c>
      <c r="AQ92" s="113">
        <f>IF(O92="","",IF(O92&lt;=$AQ$1,"O","X"))</f>
        <v/>
      </c>
      <c r="AR92" s="113">
        <f>IF(M92="","",IF(M92&lt;=$AR$1,"O","X"))</f>
        <v/>
      </c>
      <c r="AS92" s="113" t="inlineStr">
        <is>
          <t>X</t>
        </is>
      </c>
      <c r="AT92" s="113">
        <f>IF(OR(F92="",AI92=""),"",IF(AND((F92&lt;=85),(AI92&gt;=15)),"O","X"))</f>
        <v/>
      </c>
      <c r="AU92" s="113">
        <f>IF(C92="","",IF(C92&gt;=$AU$1,"O","X"))</f>
        <v/>
      </c>
      <c r="AV92" s="113">
        <f>IF(AO92="","",IF(AND(AO92="O",AP92="O",AR92="O",AT92="O",AU92="O"),"후보","X"))</f>
        <v/>
      </c>
    </row>
  </sheetData>
  <mergeCells count="1">
    <mergeCell ref="AJ1:AN1"/>
  </mergeCells>
  <conditionalFormatting sqref="AV4:AV6">
    <cfRule type="expression" priority="1458" dxfId="17">
      <formula>AV4="X"</formula>
    </cfRule>
    <cfRule type="expression" priority="1459" dxfId="16">
      <formula>AV4="후보"</formula>
    </cfRule>
  </conditionalFormatting>
  <conditionalFormatting sqref="AC1:AC2 AC4:AC6 N4:N5">
    <cfRule type="cellIs" priority="1455" operator="greaterThan" dxfId="13">
      <formula>0.9</formula>
    </cfRule>
    <cfRule type="cellIs" priority="1456" operator="greaterThan" dxfId="12">
      <formula>0.85</formula>
    </cfRule>
  </conditionalFormatting>
  <conditionalFormatting sqref="N1:N2">
    <cfRule type="cellIs" priority="1453" operator="greaterThan" dxfId="13">
      <formula>0.9</formula>
    </cfRule>
    <cfRule type="cellIs" priority="1454" operator="greaterThan" dxfId="12">
      <formula>0.85</formula>
    </cfRule>
  </conditionalFormatting>
  <conditionalFormatting sqref="N6">
    <cfRule type="cellIs" priority="1451" operator="greaterThan" dxfId="13">
      <formula>0.9</formula>
    </cfRule>
    <cfRule type="cellIs" priority="1452" operator="greaterThan" dxfId="12">
      <formula>0.85</formula>
    </cfRule>
  </conditionalFormatting>
  <conditionalFormatting sqref="E6">
    <cfRule type="expression" priority="1447" dxfId="3">
      <formula>AND(IF(OR($Q6=1,$Q6=2),1,0),IF($X6&lt;=20,1,0))</formula>
    </cfRule>
    <cfRule type="expression" priority="1448" dxfId="2">
      <formula>AND(IF($Q6=2,1,0),IF($X6&lt;30,1,0))</formula>
    </cfRule>
    <cfRule type="expression" priority="1449" dxfId="1">
      <formula>AND(IF($Q6=3,1,0),IF($X6&lt;30,1,0))</formula>
    </cfRule>
    <cfRule type="expression" priority="1450" dxfId="0">
      <formula>AND(IF($Q6=3,1,IF($Q6=4,1,0)),IF($F6&lt;=85,1,0))</formula>
    </cfRule>
  </conditionalFormatting>
  <conditionalFormatting sqref="X6">
    <cfRule type="expression" priority="1443" dxfId="3">
      <formula>AND(IF(OR($Q6=1,$Q6=2),1,0),IF($X6&lt;=20,1,0))</formula>
    </cfRule>
    <cfRule type="expression" priority="1444" dxfId="2">
      <formula>AND(IF($Q6=2,1,0),IF($X6&lt;30,1,0))</formula>
    </cfRule>
    <cfRule type="expression" priority="1445" dxfId="1">
      <formula>AND(IF($Q6=3,1,0),IF($X6&lt;30,1,0))</formula>
    </cfRule>
    <cfRule type="expression" priority="1446" dxfId="0">
      <formula>AND(IF($Q6=3,1,IF($Q6=4,1,0)),IF($F6&lt;=85,1,0))</formula>
    </cfRule>
  </conditionalFormatting>
  <conditionalFormatting sqref="AI6">
    <cfRule type="expression" priority="1439" dxfId="3">
      <formula>AND(IF(OR($Q6=1,$Q6=2),1,0),IF($X6&lt;=20,1,0))</formula>
    </cfRule>
    <cfRule type="expression" priority="1440" dxfId="2">
      <formula>AND(IF($Q6=2,1,0),IF($X6&lt;30,1,0))</formula>
    </cfRule>
    <cfRule type="expression" priority="1441" dxfId="1">
      <formula>AND(IF($Q6=3,1,0),IF($X6&lt;30,1,0))</formula>
    </cfRule>
    <cfRule type="expression" priority="1442" dxfId="0">
      <formula>AND(IF($Q6=3,1,IF($Q6=4,1,0)),IF($F6&lt;=85,1,0))</formula>
    </cfRule>
  </conditionalFormatting>
  <conditionalFormatting sqref="AV7">
    <cfRule type="expression" priority="1437" dxfId="17">
      <formula>AV7="X"</formula>
    </cfRule>
    <cfRule type="expression" priority="1438" dxfId="16">
      <formula>AV7="후보"</formula>
    </cfRule>
  </conditionalFormatting>
  <conditionalFormatting sqref="AC7">
    <cfRule type="cellIs" priority="1434" operator="greaterThan" dxfId="13">
      <formula>0.9</formula>
    </cfRule>
    <cfRule type="cellIs" priority="1435" operator="greaterThan" dxfId="12">
      <formula>0.85</formula>
    </cfRule>
  </conditionalFormatting>
  <conditionalFormatting sqref="N7">
    <cfRule type="cellIs" priority="1432" operator="greaterThan" dxfId="13">
      <formula>0.9</formula>
    </cfRule>
    <cfRule type="cellIs" priority="1433" operator="greaterThan" dxfId="12">
      <formula>0.85</formula>
    </cfRule>
  </conditionalFormatting>
  <conditionalFormatting sqref="E7">
    <cfRule type="expression" priority="1428" dxfId="3">
      <formula>AND(IF(OR($Q7=1,$Q7=2),1,0),IF($X7&lt;=20,1,0))</formula>
    </cfRule>
    <cfRule type="expression" priority="1429" dxfId="2">
      <formula>AND(IF($Q7=2,1,0),IF($X7&lt;30,1,0))</formula>
    </cfRule>
    <cfRule type="expression" priority="1430" dxfId="1">
      <formula>AND(IF($Q7=3,1,0),IF($X7&lt;30,1,0))</formula>
    </cfRule>
    <cfRule type="expression" priority="1431" dxfId="0">
      <formula>AND(IF($Q7=3,1,IF($Q7=4,1,0)),IF($F7&lt;=85,1,0))</formula>
    </cfRule>
  </conditionalFormatting>
  <conditionalFormatting sqref="X7">
    <cfRule type="expression" priority="1424" dxfId="3">
      <formula>AND(IF(OR($Q7=1,$Q7=2),1,0),IF($X7&lt;=20,1,0))</formula>
    </cfRule>
    <cfRule type="expression" priority="1425" dxfId="2">
      <formula>AND(IF($Q7=2,1,0),IF($X7&lt;30,1,0))</formula>
    </cfRule>
    <cfRule type="expression" priority="1426" dxfId="1">
      <formula>AND(IF($Q7=3,1,0),IF($X7&lt;30,1,0))</formula>
    </cfRule>
    <cfRule type="expression" priority="1427" dxfId="0">
      <formula>AND(IF($Q7=3,1,IF($Q7=4,1,0)),IF($F7&lt;=85,1,0))</formula>
    </cfRule>
  </conditionalFormatting>
  <conditionalFormatting sqref="AI7">
    <cfRule type="expression" priority="1420" dxfId="3">
      <formula>AND(IF(OR($Q7=1,$Q7=2),1,0),IF($X7&lt;=20,1,0))</formula>
    </cfRule>
    <cfRule type="expression" priority="1421" dxfId="2">
      <formula>AND(IF($Q7=2,1,0),IF($X7&lt;30,1,0))</formula>
    </cfRule>
    <cfRule type="expression" priority="1422" dxfId="1">
      <formula>AND(IF($Q7=3,1,0),IF($X7&lt;30,1,0))</formula>
    </cfRule>
    <cfRule type="expression" priority="1423" dxfId="0">
      <formula>AND(IF($Q7=3,1,IF($Q7=4,1,0)),IF($F7&lt;=85,1,0))</formula>
    </cfRule>
  </conditionalFormatting>
  <conditionalFormatting sqref="AV8">
    <cfRule type="expression" priority="1418" dxfId="17">
      <formula>AV8="X"</formula>
    </cfRule>
    <cfRule type="expression" priority="1419" dxfId="16">
      <formula>AV8="후보"</formula>
    </cfRule>
  </conditionalFormatting>
  <conditionalFormatting sqref="AC8 N8">
    <cfRule type="cellIs" priority="1415" operator="greaterThan" dxfId="13">
      <formula>0.9</formula>
    </cfRule>
    <cfRule type="cellIs" priority="1416" operator="greaterThan" dxfId="12">
      <formula>0.85</formula>
    </cfRule>
  </conditionalFormatting>
  <conditionalFormatting sqref="AV9">
    <cfRule type="expression" priority="1413" dxfId="17">
      <formula>AV9="X"</formula>
    </cfRule>
    <cfRule type="expression" priority="1414" dxfId="16">
      <formula>AV9="후보"</formula>
    </cfRule>
  </conditionalFormatting>
  <conditionalFormatting sqref="AC9">
    <cfRule type="cellIs" priority="1410" operator="greaterThan" dxfId="13">
      <formula>0.9</formula>
    </cfRule>
    <cfRule type="cellIs" priority="1411" operator="greaterThan" dxfId="12">
      <formula>0.85</formula>
    </cfRule>
  </conditionalFormatting>
  <conditionalFormatting sqref="N9">
    <cfRule type="cellIs" priority="1408" operator="greaterThan" dxfId="13">
      <formula>0.9</formula>
    </cfRule>
    <cfRule type="cellIs" priority="1409" operator="greaterThan" dxfId="12">
      <formula>0.85</formula>
    </cfRule>
  </conditionalFormatting>
  <conditionalFormatting sqref="E9">
    <cfRule type="expression" priority="1404" dxfId="3">
      <formula>AND(IF(OR($Q9=1,$Q9=2),1,0),IF($X9&lt;=20,1,0))</formula>
    </cfRule>
    <cfRule type="expression" priority="1405" dxfId="2">
      <formula>AND(IF($Q9=2,1,0),IF($X9&lt;30,1,0))</formula>
    </cfRule>
    <cfRule type="expression" priority="1406" dxfId="1">
      <formula>AND(IF($Q9=3,1,0),IF($X9&lt;30,1,0))</formula>
    </cfRule>
    <cfRule type="expression" priority="1407" dxfId="0">
      <formula>AND(IF($Q9=3,1,IF($Q9=4,1,0)),IF($F9&lt;=85,1,0))</formula>
    </cfRule>
  </conditionalFormatting>
  <conditionalFormatting sqref="X9">
    <cfRule type="expression" priority="1400" dxfId="3">
      <formula>AND(IF(OR($Q9=1,$Q9=2),1,0),IF($X9&lt;=20,1,0))</formula>
    </cfRule>
    <cfRule type="expression" priority="1401" dxfId="2">
      <formula>AND(IF($Q9=2,1,0),IF($X9&lt;30,1,0))</formula>
    </cfRule>
    <cfRule type="expression" priority="1402" dxfId="1">
      <formula>AND(IF($Q9=3,1,0),IF($X9&lt;30,1,0))</formula>
    </cfRule>
    <cfRule type="expression" priority="1403" dxfId="0">
      <formula>AND(IF($Q9=3,1,IF($Q9=4,1,0)),IF($F9&lt;=85,1,0))</formula>
    </cfRule>
  </conditionalFormatting>
  <conditionalFormatting sqref="AI9">
    <cfRule type="expression" priority="1396" dxfId="3">
      <formula>AND(IF(OR($Q9=1,$Q9=2),1,0),IF($X9&lt;=20,1,0))</formula>
    </cfRule>
    <cfRule type="expression" priority="1397" dxfId="2">
      <formula>AND(IF($Q9=2,1,0),IF($X9&lt;30,1,0))</formula>
    </cfRule>
    <cfRule type="expression" priority="1398" dxfId="1">
      <formula>AND(IF($Q9=3,1,0),IF($X9&lt;30,1,0))</formula>
    </cfRule>
    <cfRule type="expression" priority="1399" dxfId="0">
      <formula>AND(IF($Q9=3,1,IF($Q9=4,1,0)),IF($F9&lt;=85,1,0))</formula>
    </cfRule>
  </conditionalFormatting>
  <conditionalFormatting sqref="AV10">
    <cfRule type="expression" priority="1394" dxfId="17">
      <formula>AV10="X"</formula>
    </cfRule>
    <cfRule type="expression" priority="1395" dxfId="16">
      <formula>AV10="후보"</formula>
    </cfRule>
  </conditionalFormatting>
  <conditionalFormatting sqref="AC10">
    <cfRule type="cellIs" priority="1391" operator="greaterThan" dxfId="13">
      <formula>0.9</formula>
    </cfRule>
    <cfRule type="cellIs" priority="1392" operator="greaterThan" dxfId="12">
      <formula>0.85</formula>
    </cfRule>
  </conditionalFormatting>
  <conditionalFormatting sqref="N10">
    <cfRule type="cellIs" priority="1389" operator="greaterThan" dxfId="13">
      <formula>0.9</formula>
    </cfRule>
    <cfRule type="cellIs" priority="1390" operator="greaterThan" dxfId="12">
      <formula>0.85</formula>
    </cfRule>
  </conditionalFormatting>
  <conditionalFormatting sqref="E10">
    <cfRule type="expression" priority="1385" dxfId="3">
      <formula>AND(IF(OR($Q10=1,$Q10=2),1,0),IF($X10&lt;=20,1,0))</formula>
    </cfRule>
    <cfRule type="expression" priority="1386" dxfId="2">
      <formula>AND(IF($Q10=2,1,0),IF($X10&lt;30,1,0))</formula>
    </cfRule>
    <cfRule type="expression" priority="1387" dxfId="1">
      <formula>AND(IF($Q10=3,1,0),IF($X10&lt;30,1,0))</formula>
    </cfRule>
    <cfRule type="expression" priority="1388" dxfId="0">
      <formula>AND(IF($Q10=3,1,IF($Q10=4,1,0)),IF($F10&lt;=85,1,0))</formula>
    </cfRule>
  </conditionalFormatting>
  <conditionalFormatting sqref="X10">
    <cfRule type="expression" priority="1381" dxfId="3">
      <formula>AND(IF(OR($Q10=1,$Q10=2),1,0),IF($X10&lt;=20,1,0))</formula>
    </cfRule>
    <cfRule type="expression" priority="1382" dxfId="2">
      <formula>AND(IF($Q10=2,1,0),IF($X10&lt;30,1,0))</formula>
    </cfRule>
    <cfRule type="expression" priority="1383" dxfId="1">
      <formula>AND(IF($Q10=3,1,0),IF($X10&lt;30,1,0))</formula>
    </cfRule>
    <cfRule type="expression" priority="1384" dxfId="0">
      <formula>AND(IF($Q10=3,1,IF($Q10=4,1,0)),IF($F10&lt;=85,1,0))</formula>
    </cfRule>
  </conditionalFormatting>
  <conditionalFormatting sqref="AI10">
    <cfRule type="expression" priority="1377" dxfId="3">
      <formula>AND(IF(OR($Q10=1,$Q10=2),1,0),IF($X10&lt;=20,1,0))</formula>
    </cfRule>
    <cfRule type="expression" priority="1378" dxfId="2">
      <formula>AND(IF($Q10=2,1,0),IF($X10&lt;30,1,0))</formula>
    </cfRule>
    <cfRule type="expression" priority="1379" dxfId="1">
      <formula>AND(IF($Q10=3,1,0),IF($X10&lt;30,1,0))</formula>
    </cfRule>
    <cfRule type="expression" priority="1380" dxfId="0">
      <formula>AND(IF($Q10=3,1,IF($Q10=4,1,0)),IF($F10&lt;=85,1,0))</formula>
    </cfRule>
  </conditionalFormatting>
  <conditionalFormatting sqref="AV11">
    <cfRule type="expression" priority="1375" dxfId="17">
      <formula>AV11="X"</formula>
    </cfRule>
    <cfRule type="expression" priority="1376" dxfId="16">
      <formula>AV11="후보"</formula>
    </cfRule>
  </conditionalFormatting>
  <conditionalFormatting sqref="AC11">
    <cfRule type="cellIs" priority="1372" operator="greaterThan" dxfId="13">
      <formula>0.9</formula>
    </cfRule>
    <cfRule type="cellIs" priority="1373" operator="greaterThan" dxfId="12">
      <formula>0.85</formula>
    </cfRule>
  </conditionalFormatting>
  <conditionalFormatting sqref="N11">
    <cfRule type="cellIs" priority="1370" operator="greaterThan" dxfId="13">
      <formula>0.9</formula>
    </cfRule>
    <cfRule type="cellIs" priority="1371" operator="greaterThan" dxfId="12">
      <formula>0.85</formula>
    </cfRule>
  </conditionalFormatting>
  <conditionalFormatting sqref="E11">
    <cfRule type="expression" priority="1366" dxfId="3">
      <formula>AND(IF(OR($Q11=1,$Q11=2),1,0),IF($X11&lt;=20,1,0))</formula>
    </cfRule>
    <cfRule type="expression" priority="1367" dxfId="2">
      <formula>AND(IF($Q11=2,1,0),IF($X11&lt;30,1,0))</formula>
    </cfRule>
    <cfRule type="expression" priority="1368" dxfId="1">
      <formula>AND(IF($Q11=3,1,0),IF($X11&lt;30,1,0))</formula>
    </cfRule>
    <cfRule type="expression" priority="1369" dxfId="0">
      <formula>AND(IF($Q11=3,1,IF($Q11=4,1,0)),IF($F11&lt;=85,1,0))</formula>
    </cfRule>
  </conditionalFormatting>
  <conditionalFormatting sqref="X11">
    <cfRule type="expression" priority="1362" dxfId="3">
      <formula>AND(IF(OR($Q11=1,$Q11=2),1,0),IF($X11&lt;=20,1,0))</formula>
    </cfRule>
    <cfRule type="expression" priority="1363" dxfId="2">
      <formula>AND(IF($Q11=2,1,0),IF($X11&lt;30,1,0))</formula>
    </cfRule>
    <cfRule type="expression" priority="1364" dxfId="1">
      <formula>AND(IF($Q11=3,1,0),IF($X11&lt;30,1,0))</formula>
    </cfRule>
    <cfRule type="expression" priority="1365" dxfId="0">
      <formula>AND(IF($Q11=3,1,IF($Q11=4,1,0)),IF($F11&lt;=85,1,0))</formula>
    </cfRule>
  </conditionalFormatting>
  <conditionalFormatting sqref="AI11">
    <cfRule type="expression" priority="1358" dxfId="3">
      <formula>AND(IF(OR($Q11=1,$Q11=2),1,0),IF($X11&lt;=20,1,0))</formula>
    </cfRule>
    <cfRule type="expression" priority="1359" dxfId="2">
      <formula>AND(IF($Q11=2,1,0),IF($X11&lt;30,1,0))</formula>
    </cfRule>
    <cfRule type="expression" priority="1360" dxfId="1">
      <formula>AND(IF($Q11=3,1,0),IF($X11&lt;30,1,0))</formula>
    </cfRule>
    <cfRule type="expression" priority="1361" dxfId="0">
      <formula>AND(IF($Q11=3,1,IF($Q11=4,1,0)),IF($F11&lt;=85,1,0))</formula>
    </cfRule>
  </conditionalFormatting>
  <conditionalFormatting sqref="AV12">
    <cfRule type="expression" priority="1356" dxfId="17">
      <formula>AV12="X"</formula>
    </cfRule>
    <cfRule type="expression" priority="1357" dxfId="16">
      <formula>AV12="후보"</formula>
    </cfRule>
  </conditionalFormatting>
  <conditionalFormatting sqref="AC12">
    <cfRule type="cellIs" priority="1353" operator="greaterThan" dxfId="13">
      <formula>0.9</formula>
    </cfRule>
    <cfRule type="cellIs" priority="1354" operator="greaterThan" dxfId="12">
      <formula>0.85</formula>
    </cfRule>
  </conditionalFormatting>
  <conditionalFormatting sqref="N12">
    <cfRule type="cellIs" priority="1351" operator="greaterThan" dxfId="13">
      <formula>0.9</formula>
    </cfRule>
    <cfRule type="cellIs" priority="1352" operator="greaterThan" dxfId="12">
      <formula>0.85</formula>
    </cfRule>
  </conditionalFormatting>
  <conditionalFormatting sqref="E12">
    <cfRule type="expression" priority="1347" dxfId="3">
      <formula>AND(IF(OR($Q12=1,$Q12=2),1,0),IF($X12&lt;=20,1,0))</formula>
    </cfRule>
    <cfRule type="expression" priority="1348" dxfId="2">
      <formula>AND(IF($Q12=2,1,0),IF($X12&lt;30,1,0))</formula>
    </cfRule>
    <cfRule type="expression" priority="1349" dxfId="1">
      <formula>AND(IF($Q12=3,1,0),IF($X12&lt;30,1,0))</formula>
    </cfRule>
    <cfRule type="expression" priority="1350" dxfId="0">
      <formula>AND(IF($Q12=3,1,IF($Q12=4,1,0)),IF($F12&lt;=85,1,0))</formula>
    </cfRule>
  </conditionalFormatting>
  <conditionalFormatting sqref="X12">
    <cfRule type="expression" priority="1343" dxfId="3">
      <formula>AND(IF(OR($Q12=1,$Q12=2),1,0),IF($X12&lt;=20,1,0))</formula>
    </cfRule>
    <cfRule type="expression" priority="1344" dxfId="2">
      <formula>AND(IF($Q12=2,1,0),IF($X12&lt;30,1,0))</formula>
    </cfRule>
    <cfRule type="expression" priority="1345" dxfId="1">
      <formula>AND(IF($Q12=3,1,0),IF($X12&lt;30,1,0))</formula>
    </cfRule>
    <cfRule type="expression" priority="1346" dxfId="0">
      <formula>AND(IF($Q12=3,1,IF($Q12=4,1,0)),IF($F12&lt;=85,1,0))</formula>
    </cfRule>
  </conditionalFormatting>
  <conditionalFormatting sqref="AI12">
    <cfRule type="expression" priority="1339" dxfId="3">
      <formula>AND(IF(OR($Q12=1,$Q12=2),1,0),IF($X12&lt;=20,1,0))</formula>
    </cfRule>
    <cfRule type="expression" priority="1340" dxfId="2">
      <formula>AND(IF($Q12=2,1,0),IF($X12&lt;30,1,0))</formula>
    </cfRule>
    <cfRule type="expression" priority="1341" dxfId="1">
      <formula>AND(IF($Q12=3,1,0),IF($X12&lt;30,1,0))</formula>
    </cfRule>
    <cfRule type="expression" priority="1342" dxfId="0">
      <formula>AND(IF($Q12=3,1,IF($Q12=4,1,0)),IF($F12&lt;=85,1,0))</formula>
    </cfRule>
  </conditionalFormatting>
  <conditionalFormatting sqref="AV13">
    <cfRule type="expression" priority="1337" dxfId="17">
      <formula>AV13="X"</formula>
    </cfRule>
    <cfRule type="expression" priority="1338" dxfId="16">
      <formula>AV13="후보"</formula>
    </cfRule>
  </conditionalFormatting>
  <conditionalFormatting sqref="AC13 N13">
    <cfRule type="cellIs" priority="1334" operator="greaterThan" dxfId="13">
      <formula>0.9</formula>
    </cfRule>
    <cfRule type="cellIs" priority="1335" operator="greaterThan" dxfId="12">
      <formula>0.85</formula>
    </cfRule>
  </conditionalFormatting>
  <conditionalFormatting sqref="AV14">
    <cfRule type="expression" priority="1332" dxfId="17">
      <formula>AV14="X"</formula>
    </cfRule>
    <cfRule type="expression" priority="1333" dxfId="16">
      <formula>AV14="후보"</formula>
    </cfRule>
  </conditionalFormatting>
  <conditionalFormatting sqref="AC14">
    <cfRule type="cellIs" priority="1329" operator="greaterThan" dxfId="13">
      <formula>0.9</formula>
    </cfRule>
    <cfRule type="cellIs" priority="1330" operator="greaterThan" dxfId="12">
      <formula>0.85</formula>
    </cfRule>
  </conditionalFormatting>
  <conditionalFormatting sqref="N14">
    <cfRule type="cellIs" priority="1327" operator="greaterThan" dxfId="13">
      <formula>0.9</formula>
    </cfRule>
    <cfRule type="cellIs" priority="1328" operator="greaterThan" dxfId="12">
      <formula>0.85</formula>
    </cfRule>
  </conditionalFormatting>
  <conditionalFormatting sqref="E14">
    <cfRule type="expression" priority="1323" dxfId="3">
      <formula>AND(IF(OR($Q14=1,$Q14=2),1,0),IF($X14&lt;=20,1,0))</formula>
    </cfRule>
    <cfRule type="expression" priority="1324" dxfId="2">
      <formula>AND(IF($Q14=2,1,0),IF($X14&lt;30,1,0))</formula>
    </cfRule>
    <cfRule type="expression" priority="1325" dxfId="1">
      <formula>AND(IF($Q14=3,1,0),IF($X14&lt;30,1,0))</formula>
    </cfRule>
    <cfRule type="expression" priority="1326" dxfId="0">
      <formula>AND(IF($Q14=3,1,IF($Q14=4,1,0)),IF($F14&lt;=85,1,0))</formula>
    </cfRule>
  </conditionalFormatting>
  <conditionalFormatting sqref="X14">
    <cfRule type="expression" priority="1319" dxfId="3">
      <formula>AND(IF(OR($Q14=1,$Q14=2),1,0),IF($X14&lt;=20,1,0))</formula>
    </cfRule>
    <cfRule type="expression" priority="1320" dxfId="2">
      <formula>AND(IF($Q14=2,1,0),IF($X14&lt;30,1,0))</formula>
    </cfRule>
    <cfRule type="expression" priority="1321" dxfId="1">
      <formula>AND(IF($Q14=3,1,0),IF($X14&lt;30,1,0))</formula>
    </cfRule>
    <cfRule type="expression" priority="1322" dxfId="0">
      <formula>AND(IF($Q14=3,1,IF($Q14=4,1,0)),IF($F14&lt;=85,1,0))</formula>
    </cfRule>
  </conditionalFormatting>
  <conditionalFormatting sqref="AI14">
    <cfRule type="expression" priority="1315" dxfId="3">
      <formula>AND(IF(OR($Q14=1,$Q14=2),1,0),IF($X14&lt;=20,1,0))</formula>
    </cfRule>
    <cfRule type="expression" priority="1316" dxfId="2">
      <formula>AND(IF($Q14=2,1,0),IF($X14&lt;30,1,0))</formula>
    </cfRule>
    <cfRule type="expression" priority="1317" dxfId="1">
      <formula>AND(IF($Q14=3,1,0),IF($X14&lt;30,1,0))</formula>
    </cfRule>
    <cfRule type="expression" priority="1318" dxfId="0">
      <formula>AND(IF($Q14=3,1,IF($Q14=4,1,0)),IF($F14&lt;=85,1,0))</formula>
    </cfRule>
  </conditionalFormatting>
  <conditionalFormatting sqref="AV15">
    <cfRule type="expression" priority="1313" dxfId="17">
      <formula>AV15="X"</formula>
    </cfRule>
    <cfRule type="expression" priority="1314" dxfId="16">
      <formula>AV15="후보"</formula>
    </cfRule>
  </conditionalFormatting>
  <conditionalFormatting sqref="AC15">
    <cfRule type="cellIs" priority="1310" operator="greaterThan" dxfId="13">
      <formula>0.9</formula>
    </cfRule>
    <cfRule type="cellIs" priority="1311" operator="greaterThan" dxfId="12">
      <formula>0.85</formula>
    </cfRule>
  </conditionalFormatting>
  <conditionalFormatting sqref="N15">
    <cfRule type="cellIs" priority="1308" operator="greaterThan" dxfId="13">
      <formula>0.9</formula>
    </cfRule>
    <cfRule type="cellIs" priority="1309" operator="greaterThan" dxfId="12">
      <formula>0.85</formula>
    </cfRule>
  </conditionalFormatting>
  <conditionalFormatting sqref="E15">
    <cfRule type="expression" priority="1304" dxfId="3">
      <formula>AND(IF(OR($Q15=1,$Q15=2),1,0),IF($X15&lt;=20,1,0))</formula>
    </cfRule>
    <cfRule type="expression" priority="1305" dxfId="2">
      <formula>AND(IF($Q15=2,1,0),IF($X15&lt;30,1,0))</formula>
    </cfRule>
    <cfRule type="expression" priority="1306" dxfId="1">
      <formula>AND(IF($Q15=3,1,0),IF($X15&lt;30,1,0))</formula>
    </cfRule>
    <cfRule type="expression" priority="1307" dxfId="0">
      <formula>AND(IF($Q15=3,1,IF($Q15=4,1,0)),IF($F15&lt;=85,1,0))</formula>
    </cfRule>
  </conditionalFormatting>
  <conditionalFormatting sqref="X15">
    <cfRule type="expression" priority="1300" dxfId="3">
      <formula>AND(IF(OR($Q15=1,$Q15=2),1,0),IF($X15&lt;=20,1,0))</formula>
    </cfRule>
    <cfRule type="expression" priority="1301" dxfId="2">
      <formula>AND(IF($Q15=2,1,0),IF($X15&lt;30,1,0))</formula>
    </cfRule>
    <cfRule type="expression" priority="1302" dxfId="1">
      <formula>AND(IF($Q15=3,1,0),IF($X15&lt;30,1,0))</formula>
    </cfRule>
    <cfRule type="expression" priority="1303" dxfId="0">
      <formula>AND(IF($Q15=3,1,IF($Q15=4,1,0)),IF($F15&lt;=85,1,0))</formula>
    </cfRule>
  </conditionalFormatting>
  <conditionalFormatting sqref="AI15">
    <cfRule type="expression" priority="1296" dxfId="3">
      <formula>AND(IF(OR($Q15=1,$Q15=2),1,0),IF($X15&lt;=20,1,0))</formula>
    </cfRule>
    <cfRule type="expression" priority="1297" dxfId="2">
      <formula>AND(IF($Q15=2,1,0),IF($X15&lt;30,1,0))</formula>
    </cfRule>
    <cfRule type="expression" priority="1298" dxfId="1">
      <formula>AND(IF($Q15=3,1,0),IF($X15&lt;30,1,0))</formula>
    </cfRule>
    <cfRule type="expression" priority="1299" dxfId="0">
      <formula>AND(IF($Q15=3,1,IF($Q15=4,1,0)),IF($F15&lt;=85,1,0))</formula>
    </cfRule>
  </conditionalFormatting>
  <conditionalFormatting sqref="AV16">
    <cfRule type="expression" priority="1294" dxfId="17">
      <formula>AV16="X"</formula>
    </cfRule>
    <cfRule type="expression" priority="1295" dxfId="16">
      <formula>AV16="후보"</formula>
    </cfRule>
  </conditionalFormatting>
  <conditionalFormatting sqref="AC16">
    <cfRule type="cellIs" priority="1291" operator="greaterThan" dxfId="13">
      <formula>0.9</formula>
    </cfRule>
    <cfRule type="cellIs" priority="1292" operator="greaterThan" dxfId="12">
      <formula>0.85</formula>
    </cfRule>
  </conditionalFormatting>
  <conditionalFormatting sqref="N16">
    <cfRule type="cellIs" priority="1289" operator="greaterThan" dxfId="13">
      <formula>0.9</formula>
    </cfRule>
    <cfRule type="cellIs" priority="1290" operator="greaterThan" dxfId="12">
      <formula>0.85</formula>
    </cfRule>
  </conditionalFormatting>
  <conditionalFormatting sqref="E16">
    <cfRule type="expression" priority="1285" dxfId="3">
      <formula>AND(IF(OR($Q16=1,$Q16=2),1,0),IF($X16&lt;=20,1,0))</formula>
    </cfRule>
    <cfRule type="expression" priority="1286" dxfId="2">
      <formula>AND(IF($Q16=2,1,0),IF($X16&lt;30,1,0))</formula>
    </cfRule>
    <cfRule type="expression" priority="1287" dxfId="1">
      <formula>AND(IF($Q16=3,1,0),IF($X16&lt;30,1,0))</formula>
    </cfRule>
    <cfRule type="expression" priority="1288" dxfId="0">
      <formula>AND(IF($Q16=3,1,IF($Q16=4,1,0)),IF($F16&lt;=85,1,0))</formula>
    </cfRule>
  </conditionalFormatting>
  <conditionalFormatting sqref="X16">
    <cfRule type="expression" priority="1281" dxfId="3">
      <formula>AND(IF(OR($Q16=1,$Q16=2),1,0),IF($X16&lt;=20,1,0))</formula>
    </cfRule>
    <cfRule type="expression" priority="1282" dxfId="2">
      <formula>AND(IF($Q16=2,1,0),IF($X16&lt;30,1,0))</formula>
    </cfRule>
    <cfRule type="expression" priority="1283" dxfId="1">
      <formula>AND(IF($Q16=3,1,0),IF($X16&lt;30,1,0))</formula>
    </cfRule>
    <cfRule type="expression" priority="1284" dxfId="0">
      <formula>AND(IF($Q16=3,1,IF($Q16=4,1,0)),IF($F16&lt;=85,1,0))</formula>
    </cfRule>
  </conditionalFormatting>
  <conditionalFormatting sqref="AI16">
    <cfRule type="expression" priority="1277" dxfId="3">
      <formula>AND(IF(OR($Q16=1,$Q16=2),1,0),IF($X16&lt;=20,1,0))</formula>
    </cfRule>
    <cfRule type="expression" priority="1278" dxfId="2">
      <formula>AND(IF($Q16=2,1,0),IF($X16&lt;30,1,0))</formula>
    </cfRule>
    <cfRule type="expression" priority="1279" dxfId="1">
      <formula>AND(IF($Q16=3,1,0),IF($X16&lt;30,1,0))</formula>
    </cfRule>
    <cfRule type="expression" priority="1280" dxfId="0">
      <formula>AND(IF($Q16=3,1,IF($Q16=4,1,0)),IF($F16&lt;=85,1,0))</formula>
    </cfRule>
  </conditionalFormatting>
  <conditionalFormatting sqref="AV17">
    <cfRule type="expression" priority="1275" dxfId="17">
      <formula>AV17="X"</formula>
    </cfRule>
    <cfRule type="expression" priority="1276" dxfId="16">
      <formula>AV17="후보"</formula>
    </cfRule>
  </conditionalFormatting>
  <conditionalFormatting sqref="AC17 N17">
    <cfRule type="cellIs" priority="1272" operator="greaterThan" dxfId="13">
      <formula>0.9</formula>
    </cfRule>
    <cfRule type="cellIs" priority="1273" operator="greaterThan" dxfId="12">
      <formula>0.85</formula>
    </cfRule>
  </conditionalFormatting>
  <conditionalFormatting sqref="AV18">
    <cfRule type="expression" priority="1270" dxfId="17">
      <formula>AV18="X"</formula>
    </cfRule>
    <cfRule type="expression" priority="1271" dxfId="16">
      <formula>AV18="후보"</formula>
    </cfRule>
  </conditionalFormatting>
  <conditionalFormatting sqref="AC18">
    <cfRule type="cellIs" priority="1267" operator="greaterThan" dxfId="13">
      <formula>0.9</formula>
    </cfRule>
    <cfRule type="cellIs" priority="1268" operator="greaterThan" dxfId="12">
      <formula>0.85</formula>
    </cfRule>
  </conditionalFormatting>
  <conditionalFormatting sqref="N18">
    <cfRule type="cellIs" priority="1265" operator="greaterThan" dxfId="13">
      <formula>0.9</formula>
    </cfRule>
    <cfRule type="cellIs" priority="1266" operator="greaterThan" dxfId="12">
      <formula>0.85</formula>
    </cfRule>
  </conditionalFormatting>
  <conditionalFormatting sqref="E18">
    <cfRule type="expression" priority="1261" dxfId="3">
      <formula>AND(IF(OR($Q18=1,$Q18=2),1,0),IF($X18&lt;=20,1,0))</formula>
    </cfRule>
    <cfRule type="expression" priority="1262" dxfId="2">
      <formula>AND(IF($Q18=2,1,0),IF($X18&lt;30,1,0))</formula>
    </cfRule>
    <cfRule type="expression" priority="1263" dxfId="1">
      <formula>AND(IF($Q18=3,1,0),IF($X18&lt;30,1,0))</formula>
    </cfRule>
    <cfRule type="expression" priority="1264" dxfId="0">
      <formula>AND(IF($Q18=3,1,IF($Q18=4,1,0)),IF($F18&lt;=85,1,0))</formula>
    </cfRule>
  </conditionalFormatting>
  <conditionalFormatting sqref="X18">
    <cfRule type="expression" priority="1257" dxfId="3">
      <formula>AND(IF(OR($Q18=1,$Q18=2),1,0),IF($X18&lt;=20,1,0))</formula>
    </cfRule>
    <cfRule type="expression" priority="1258" dxfId="2">
      <formula>AND(IF($Q18=2,1,0),IF($X18&lt;30,1,0))</formula>
    </cfRule>
    <cfRule type="expression" priority="1259" dxfId="1">
      <formula>AND(IF($Q18=3,1,0),IF($X18&lt;30,1,0))</formula>
    </cfRule>
    <cfRule type="expression" priority="1260" dxfId="0">
      <formula>AND(IF($Q18=3,1,IF($Q18=4,1,0)),IF($F18&lt;=85,1,0))</formula>
    </cfRule>
  </conditionalFormatting>
  <conditionalFormatting sqref="AI18">
    <cfRule type="expression" priority="1253" dxfId="3">
      <formula>AND(IF(OR($Q18=1,$Q18=2),1,0),IF($X18&lt;=20,1,0))</formula>
    </cfRule>
    <cfRule type="expression" priority="1254" dxfId="2">
      <formula>AND(IF($Q18=2,1,0),IF($X18&lt;30,1,0))</formula>
    </cfRule>
    <cfRule type="expression" priority="1255" dxfId="1">
      <formula>AND(IF($Q18=3,1,0),IF($X18&lt;30,1,0))</formula>
    </cfRule>
    <cfRule type="expression" priority="1256" dxfId="0">
      <formula>AND(IF($Q18=3,1,IF($Q18=4,1,0)),IF($F18&lt;=85,1,0))</formula>
    </cfRule>
  </conditionalFormatting>
  <conditionalFormatting sqref="AV19">
    <cfRule type="expression" priority="1251" dxfId="17">
      <formula>AV19="X"</formula>
    </cfRule>
    <cfRule type="expression" priority="1252" dxfId="16">
      <formula>AV19="후보"</formula>
    </cfRule>
  </conditionalFormatting>
  <conditionalFormatting sqref="AC19">
    <cfRule type="cellIs" priority="1248" operator="greaterThan" dxfId="13">
      <formula>0.9</formula>
    </cfRule>
    <cfRule type="cellIs" priority="1249" operator="greaterThan" dxfId="12">
      <formula>0.85</formula>
    </cfRule>
  </conditionalFormatting>
  <conditionalFormatting sqref="N19">
    <cfRule type="cellIs" priority="1246" operator="greaterThan" dxfId="13">
      <formula>0.9</formula>
    </cfRule>
    <cfRule type="cellIs" priority="1247" operator="greaterThan" dxfId="12">
      <formula>0.85</formula>
    </cfRule>
  </conditionalFormatting>
  <conditionalFormatting sqref="E19">
    <cfRule type="expression" priority="1242" dxfId="3">
      <formula>AND(IF(OR($Q19=1,$Q19=2),1,0),IF($X19&lt;=20,1,0))</formula>
    </cfRule>
    <cfRule type="expression" priority="1243" dxfId="2">
      <formula>AND(IF($Q19=2,1,0),IF($X19&lt;30,1,0))</formula>
    </cfRule>
    <cfRule type="expression" priority="1244" dxfId="1">
      <formula>AND(IF($Q19=3,1,0),IF($X19&lt;30,1,0))</formula>
    </cfRule>
    <cfRule type="expression" priority="1245" dxfId="0">
      <formula>AND(IF($Q19=3,1,IF($Q19=4,1,0)),IF($F19&lt;=85,1,0))</formula>
    </cfRule>
  </conditionalFormatting>
  <conditionalFormatting sqref="X19">
    <cfRule type="expression" priority="1238" dxfId="3">
      <formula>AND(IF(OR($Q19=1,$Q19=2),1,0),IF($X19&lt;=20,1,0))</formula>
    </cfRule>
    <cfRule type="expression" priority="1239" dxfId="2">
      <formula>AND(IF($Q19=2,1,0),IF($X19&lt;30,1,0))</formula>
    </cfRule>
    <cfRule type="expression" priority="1240" dxfId="1">
      <formula>AND(IF($Q19=3,1,0),IF($X19&lt;30,1,0))</formula>
    </cfRule>
    <cfRule type="expression" priority="1241" dxfId="0">
      <formula>AND(IF($Q19=3,1,IF($Q19=4,1,0)),IF($F19&lt;=85,1,0))</formula>
    </cfRule>
  </conditionalFormatting>
  <conditionalFormatting sqref="AI19">
    <cfRule type="expression" priority="1234" dxfId="3">
      <formula>AND(IF(OR($Q19=1,$Q19=2),1,0),IF($X19&lt;=20,1,0))</formula>
    </cfRule>
    <cfRule type="expression" priority="1235" dxfId="2">
      <formula>AND(IF($Q19=2,1,0),IF($X19&lt;30,1,0))</formula>
    </cfRule>
    <cfRule type="expression" priority="1236" dxfId="1">
      <formula>AND(IF($Q19=3,1,0),IF($X19&lt;30,1,0))</formula>
    </cfRule>
    <cfRule type="expression" priority="1237" dxfId="0">
      <formula>AND(IF($Q19=3,1,IF($Q19=4,1,0)),IF($F19&lt;=85,1,0))</formula>
    </cfRule>
  </conditionalFormatting>
  <conditionalFormatting sqref="AV20">
    <cfRule type="expression" priority="1232" dxfId="17">
      <formula>AV20="X"</formula>
    </cfRule>
    <cfRule type="expression" priority="1233" dxfId="16">
      <formula>AV20="후보"</formula>
    </cfRule>
  </conditionalFormatting>
  <conditionalFormatting sqref="AC20">
    <cfRule type="cellIs" priority="1229" operator="greaterThan" dxfId="13">
      <formula>0.9</formula>
    </cfRule>
    <cfRule type="cellIs" priority="1230" operator="greaterThan" dxfId="12">
      <formula>0.85</formula>
    </cfRule>
  </conditionalFormatting>
  <conditionalFormatting sqref="N20">
    <cfRule type="cellIs" priority="1227" operator="greaterThan" dxfId="13">
      <formula>0.9</formula>
    </cfRule>
    <cfRule type="cellIs" priority="1228" operator="greaterThan" dxfId="12">
      <formula>0.85</formula>
    </cfRule>
  </conditionalFormatting>
  <conditionalFormatting sqref="E20">
    <cfRule type="expression" priority="1223" dxfId="3">
      <formula>AND(IF(OR($Q20=1,$Q20=2),1,0),IF($X20&lt;=20,1,0))</formula>
    </cfRule>
    <cfRule type="expression" priority="1224" dxfId="2">
      <formula>AND(IF($Q20=2,1,0),IF($X20&lt;30,1,0))</formula>
    </cfRule>
    <cfRule type="expression" priority="1225" dxfId="1">
      <formula>AND(IF($Q20=3,1,0),IF($X20&lt;30,1,0))</formula>
    </cfRule>
    <cfRule type="expression" priority="1226" dxfId="0">
      <formula>AND(IF($Q20=3,1,IF($Q20=4,1,0)),IF($F20&lt;=85,1,0))</formula>
    </cfRule>
  </conditionalFormatting>
  <conditionalFormatting sqref="X20">
    <cfRule type="expression" priority="1219" dxfId="3">
      <formula>AND(IF(OR($Q20=1,$Q20=2),1,0),IF($X20&lt;=20,1,0))</formula>
    </cfRule>
    <cfRule type="expression" priority="1220" dxfId="2">
      <formula>AND(IF($Q20=2,1,0),IF($X20&lt;30,1,0))</formula>
    </cfRule>
    <cfRule type="expression" priority="1221" dxfId="1">
      <formula>AND(IF($Q20=3,1,0),IF($X20&lt;30,1,0))</formula>
    </cfRule>
    <cfRule type="expression" priority="1222" dxfId="0">
      <formula>AND(IF($Q20=3,1,IF($Q20=4,1,0)),IF($F20&lt;=85,1,0))</formula>
    </cfRule>
  </conditionalFormatting>
  <conditionalFormatting sqref="AI20">
    <cfRule type="expression" priority="1215" dxfId="3">
      <formula>AND(IF(OR($Q20=1,$Q20=2),1,0),IF($X20&lt;=20,1,0))</formula>
    </cfRule>
    <cfRule type="expression" priority="1216" dxfId="2">
      <formula>AND(IF($Q20=2,1,0),IF($X20&lt;30,1,0))</formula>
    </cfRule>
    <cfRule type="expression" priority="1217" dxfId="1">
      <formula>AND(IF($Q20=3,1,0),IF($X20&lt;30,1,0))</formula>
    </cfRule>
    <cfRule type="expression" priority="1218" dxfId="0">
      <formula>AND(IF($Q20=3,1,IF($Q20=4,1,0)),IF($F20&lt;=85,1,0))</formula>
    </cfRule>
  </conditionalFormatting>
  <conditionalFormatting sqref="AV21">
    <cfRule type="expression" priority="1213" dxfId="17">
      <formula>AV21="X"</formula>
    </cfRule>
    <cfRule type="expression" priority="1214" dxfId="16">
      <formula>AV21="후보"</formula>
    </cfRule>
  </conditionalFormatting>
  <conditionalFormatting sqref="AC21">
    <cfRule type="cellIs" priority="1210" operator="greaterThan" dxfId="13">
      <formula>0.9</formula>
    </cfRule>
    <cfRule type="cellIs" priority="1211" operator="greaterThan" dxfId="12">
      <formula>0.85</formula>
    </cfRule>
  </conditionalFormatting>
  <conditionalFormatting sqref="N21">
    <cfRule type="cellIs" priority="1208" operator="greaterThan" dxfId="13">
      <formula>0.9</formula>
    </cfRule>
    <cfRule type="cellIs" priority="1209" operator="greaterThan" dxfId="12">
      <formula>0.85</formula>
    </cfRule>
  </conditionalFormatting>
  <conditionalFormatting sqref="E21">
    <cfRule type="expression" priority="1204" dxfId="3">
      <formula>AND(IF(OR($Q21=1,$Q21=2),1,0),IF($X21&lt;=20,1,0))</formula>
    </cfRule>
    <cfRule type="expression" priority="1205" dxfId="2">
      <formula>AND(IF($Q21=2,1,0),IF($X21&lt;30,1,0))</formula>
    </cfRule>
    <cfRule type="expression" priority="1206" dxfId="1">
      <formula>AND(IF($Q21=3,1,0),IF($X21&lt;30,1,0))</formula>
    </cfRule>
    <cfRule type="expression" priority="1207" dxfId="0">
      <formula>AND(IF($Q21=3,1,IF($Q21=4,1,0)),IF($F21&lt;=85,1,0))</formula>
    </cfRule>
  </conditionalFormatting>
  <conditionalFormatting sqref="X21">
    <cfRule type="expression" priority="1200" dxfId="3">
      <formula>AND(IF(OR($Q21=1,$Q21=2),1,0),IF($X21&lt;=20,1,0))</formula>
    </cfRule>
    <cfRule type="expression" priority="1201" dxfId="2">
      <formula>AND(IF($Q21=2,1,0),IF($X21&lt;30,1,0))</formula>
    </cfRule>
    <cfRule type="expression" priority="1202" dxfId="1">
      <formula>AND(IF($Q21=3,1,0),IF($X21&lt;30,1,0))</formula>
    </cfRule>
    <cfRule type="expression" priority="1203" dxfId="0">
      <formula>AND(IF($Q21=3,1,IF($Q21=4,1,0)),IF($F21&lt;=85,1,0))</formula>
    </cfRule>
  </conditionalFormatting>
  <conditionalFormatting sqref="AI21">
    <cfRule type="expression" priority="1196" dxfId="3">
      <formula>AND(IF(OR($Q21=1,$Q21=2),1,0),IF($X21&lt;=20,1,0))</formula>
    </cfRule>
    <cfRule type="expression" priority="1197" dxfId="2">
      <formula>AND(IF($Q21=2,1,0),IF($X21&lt;30,1,0))</formula>
    </cfRule>
    <cfRule type="expression" priority="1198" dxfId="1">
      <formula>AND(IF($Q21=3,1,0),IF($X21&lt;30,1,0))</formula>
    </cfRule>
    <cfRule type="expression" priority="1199" dxfId="0">
      <formula>AND(IF($Q21=3,1,IF($Q21=4,1,0)),IF($F21&lt;=85,1,0))</formula>
    </cfRule>
  </conditionalFormatting>
  <conditionalFormatting sqref="AV22">
    <cfRule type="expression" priority="1194" dxfId="17">
      <formula>AV22="X"</formula>
    </cfRule>
    <cfRule type="expression" priority="1195" dxfId="16">
      <formula>AV22="후보"</formula>
    </cfRule>
  </conditionalFormatting>
  <conditionalFormatting sqref="AC22 N22">
    <cfRule type="cellIs" priority="1191" operator="greaterThan" dxfId="13">
      <formula>0.9</formula>
    </cfRule>
    <cfRule type="cellIs" priority="1192" operator="greaterThan" dxfId="12">
      <formula>0.85</formula>
    </cfRule>
  </conditionalFormatting>
  <conditionalFormatting sqref="AV23">
    <cfRule type="expression" priority="1189" dxfId="17">
      <formula>AV23="X"</formula>
    </cfRule>
    <cfRule type="expression" priority="1190" dxfId="16">
      <formula>AV23="후보"</formula>
    </cfRule>
  </conditionalFormatting>
  <conditionalFormatting sqref="AC23">
    <cfRule type="cellIs" priority="1186" operator="greaterThan" dxfId="13">
      <formula>0.9</formula>
    </cfRule>
    <cfRule type="cellIs" priority="1187" operator="greaterThan" dxfId="12">
      <formula>0.85</formula>
    </cfRule>
  </conditionalFormatting>
  <conditionalFormatting sqref="N23">
    <cfRule type="cellIs" priority="1184" operator="greaterThan" dxfId="13">
      <formula>0.9</formula>
    </cfRule>
    <cfRule type="cellIs" priority="1185" operator="greaterThan" dxfId="12">
      <formula>0.85</formula>
    </cfRule>
  </conditionalFormatting>
  <conditionalFormatting sqref="E23">
    <cfRule type="expression" priority="1180" dxfId="3">
      <formula>AND(IF(OR($Q23=1,$Q23=2),1,0),IF($X23&lt;=20,1,0))</formula>
    </cfRule>
    <cfRule type="expression" priority="1181" dxfId="2">
      <formula>AND(IF($Q23=2,1,0),IF($X23&lt;30,1,0))</formula>
    </cfRule>
    <cfRule type="expression" priority="1182" dxfId="1">
      <formula>AND(IF($Q23=3,1,0),IF($X23&lt;30,1,0))</formula>
    </cfRule>
    <cfRule type="expression" priority="1183" dxfId="0">
      <formula>AND(IF($Q23=3,1,IF($Q23=4,1,0)),IF($F23&lt;=85,1,0))</formula>
    </cfRule>
  </conditionalFormatting>
  <conditionalFormatting sqref="X23">
    <cfRule type="expression" priority="1176" dxfId="3">
      <formula>AND(IF(OR($Q23=1,$Q23=2),1,0),IF($X23&lt;=20,1,0))</formula>
    </cfRule>
    <cfRule type="expression" priority="1177" dxfId="2">
      <formula>AND(IF($Q23=2,1,0),IF($X23&lt;30,1,0))</formula>
    </cfRule>
    <cfRule type="expression" priority="1178" dxfId="1">
      <formula>AND(IF($Q23=3,1,0),IF($X23&lt;30,1,0))</formula>
    </cfRule>
    <cfRule type="expression" priority="1179" dxfId="0">
      <formula>AND(IF($Q23=3,1,IF($Q23=4,1,0)),IF($F23&lt;=85,1,0))</formula>
    </cfRule>
  </conditionalFormatting>
  <conditionalFormatting sqref="AI23">
    <cfRule type="expression" priority="1172" dxfId="3">
      <formula>AND(IF(OR($Q23=1,$Q23=2),1,0),IF($X23&lt;=20,1,0))</formula>
    </cfRule>
    <cfRule type="expression" priority="1173" dxfId="2">
      <formula>AND(IF($Q23=2,1,0),IF($X23&lt;30,1,0))</formula>
    </cfRule>
    <cfRule type="expression" priority="1174" dxfId="1">
      <formula>AND(IF($Q23=3,1,0),IF($X23&lt;30,1,0))</formula>
    </cfRule>
    <cfRule type="expression" priority="1175" dxfId="0">
      <formula>AND(IF($Q23=3,1,IF($Q23=4,1,0)),IF($F23&lt;=85,1,0))</formula>
    </cfRule>
  </conditionalFormatting>
  <conditionalFormatting sqref="AV24">
    <cfRule type="expression" priority="1170" dxfId="17">
      <formula>AV24="X"</formula>
    </cfRule>
    <cfRule type="expression" priority="1171" dxfId="16">
      <formula>AV24="후보"</formula>
    </cfRule>
  </conditionalFormatting>
  <conditionalFormatting sqref="AC24">
    <cfRule type="cellIs" priority="1167" operator="greaterThan" dxfId="13">
      <formula>0.9</formula>
    </cfRule>
    <cfRule type="cellIs" priority="1168" operator="greaterThan" dxfId="12">
      <formula>0.85</formula>
    </cfRule>
  </conditionalFormatting>
  <conditionalFormatting sqref="N24">
    <cfRule type="cellIs" priority="1165" operator="greaterThan" dxfId="13">
      <formula>0.9</formula>
    </cfRule>
    <cfRule type="cellIs" priority="1166" operator="greaterThan" dxfId="12">
      <formula>0.85</formula>
    </cfRule>
  </conditionalFormatting>
  <conditionalFormatting sqref="E24">
    <cfRule type="expression" priority="1161" dxfId="3">
      <formula>AND(IF(OR($Q24=1,$Q24=2),1,0),IF($X24&lt;=20,1,0))</formula>
    </cfRule>
    <cfRule type="expression" priority="1162" dxfId="2">
      <formula>AND(IF($Q24=2,1,0),IF($X24&lt;30,1,0))</formula>
    </cfRule>
    <cfRule type="expression" priority="1163" dxfId="1">
      <formula>AND(IF($Q24=3,1,0),IF($X24&lt;30,1,0))</formula>
    </cfRule>
    <cfRule type="expression" priority="1164" dxfId="0">
      <formula>AND(IF($Q24=3,1,IF($Q24=4,1,0)),IF($F24&lt;=85,1,0))</formula>
    </cfRule>
  </conditionalFormatting>
  <conditionalFormatting sqref="X24">
    <cfRule type="expression" priority="1157" dxfId="3">
      <formula>AND(IF(OR($Q24=1,$Q24=2),1,0),IF($X24&lt;=20,1,0))</formula>
    </cfRule>
    <cfRule type="expression" priority="1158" dxfId="2">
      <formula>AND(IF($Q24=2,1,0),IF($X24&lt;30,1,0))</formula>
    </cfRule>
    <cfRule type="expression" priority="1159" dxfId="1">
      <formula>AND(IF($Q24=3,1,0),IF($X24&lt;30,1,0))</formula>
    </cfRule>
    <cfRule type="expression" priority="1160" dxfId="0">
      <formula>AND(IF($Q24=3,1,IF($Q24=4,1,0)),IF($F24&lt;=85,1,0))</formula>
    </cfRule>
  </conditionalFormatting>
  <conditionalFormatting sqref="AI24">
    <cfRule type="expression" priority="1153" dxfId="3">
      <formula>AND(IF(OR($Q24=1,$Q24=2),1,0),IF($X24&lt;=20,1,0))</formula>
    </cfRule>
    <cfRule type="expression" priority="1154" dxfId="2">
      <formula>AND(IF($Q24=2,1,0),IF($X24&lt;30,1,0))</formula>
    </cfRule>
    <cfRule type="expression" priority="1155" dxfId="1">
      <formula>AND(IF($Q24=3,1,0),IF($X24&lt;30,1,0))</formula>
    </cfRule>
    <cfRule type="expression" priority="1156" dxfId="0">
      <formula>AND(IF($Q24=3,1,IF($Q24=4,1,0)),IF($F24&lt;=85,1,0))</formula>
    </cfRule>
  </conditionalFormatting>
  <conditionalFormatting sqref="AV25">
    <cfRule type="expression" priority="1151" dxfId="17">
      <formula>AV25="X"</formula>
    </cfRule>
    <cfRule type="expression" priority="1152" dxfId="16">
      <formula>AV25="후보"</formula>
    </cfRule>
  </conditionalFormatting>
  <conditionalFormatting sqref="AC25">
    <cfRule type="cellIs" priority="1148" operator="greaterThan" dxfId="13">
      <formula>0.9</formula>
    </cfRule>
    <cfRule type="cellIs" priority="1149" operator="greaterThan" dxfId="12">
      <formula>0.85</formula>
    </cfRule>
  </conditionalFormatting>
  <conditionalFormatting sqref="N25">
    <cfRule type="cellIs" priority="1146" operator="greaterThan" dxfId="13">
      <formula>0.9</formula>
    </cfRule>
    <cfRule type="cellIs" priority="1147" operator="greaterThan" dxfId="12">
      <formula>0.85</formula>
    </cfRule>
  </conditionalFormatting>
  <conditionalFormatting sqref="E25">
    <cfRule type="expression" priority="1142" dxfId="3">
      <formula>AND(IF(OR($Q25=1,$Q25=2),1,0),IF($X25&lt;=20,1,0))</formula>
    </cfRule>
    <cfRule type="expression" priority="1143" dxfId="2">
      <formula>AND(IF($Q25=2,1,0),IF($X25&lt;30,1,0))</formula>
    </cfRule>
    <cfRule type="expression" priority="1144" dxfId="1">
      <formula>AND(IF($Q25=3,1,0),IF($X25&lt;30,1,0))</formula>
    </cfRule>
    <cfRule type="expression" priority="1145" dxfId="0">
      <formula>AND(IF($Q25=3,1,IF($Q25=4,1,0)),IF($F25&lt;=85,1,0))</formula>
    </cfRule>
  </conditionalFormatting>
  <conditionalFormatting sqref="X25">
    <cfRule type="expression" priority="1138" dxfId="3">
      <formula>AND(IF(OR($Q25=1,$Q25=2),1,0),IF($X25&lt;=20,1,0))</formula>
    </cfRule>
    <cfRule type="expression" priority="1139" dxfId="2">
      <formula>AND(IF($Q25=2,1,0),IF($X25&lt;30,1,0))</formula>
    </cfRule>
    <cfRule type="expression" priority="1140" dxfId="1">
      <formula>AND(IF($Q25=3,1,0),IF($X25&lt;30,1,0))</formula>
    </cfRule>
    <cfRule type="expression" priority="1141" dxfId="0">
      <formula>AND(IF($Q25=3,1,IF($Q25=4,1,0)),IF($F25&lt;=85,1,0))</formula>
    </cfRule>
  </conditionalFormatting>
  <conditionalFormatting sqref="AI25">
    <cfRule type="expression" priority="1134" dxfId="3">
      <formula>AND(IF(OR($Q25=1,$Q25=2),1,0),IF($X25&lt;=20,1,0))</formula>
    </cfRule>
    <cfRule type="expression" priority="1135" dxfId="2">
      <formula>AND(IF($Q25=2,1,0),IF($X25&lt;30,1,0))</formula>
    </cfRule>
    <cfRule type="expression" priority="1136" dxfId="1">
      <formula>AND(IF($Q25=3,1,0),IF($X25&lt;30,1,0))</formula>
    </cfRule>
    <cfRule type="expression" priority="1137" dxfId="0">
      <formula>AND(IF($Q25=3,1,IF($Q25=4,1,0)),IF($F25&lt;=85,1,0))</formula>
    </cfRule>
  </conditionalFormatting>
  <conditionalFormatting sqref="AV26">
    <cfRule type="expression" priority="1132" dxfId="17">
      <formula>AV26="X"</formula>
    </cfRule>
    <cfRule type="expression" priority="1133" dxfId="16">
      <formula>AV26="후보"</formula>
    </cfRule>
  </conditionalFormatting>
  <conditionalFormatting sqref="AC26">
    <cfRule type="cellIs" priority="1129" operator="greaterThan" dxfId="13">
      <formula>0.9</formula>
    </cfRule>
    <cfRule type="cellIs" priority="1130" operator="greaterThan" dxfId="12">
      <formula>0.85</formula>
    </cfRule>
  </conditionalFormatting>
  <conditionalFormatting sqref="N26">
    <cfRule type="cellIs" priority="1127" operator="greaterThan" dxfId="13">
      <formula>0.9</formula>
    </cfRule>
    <cfRule type="cellIs" priority="1128" operator="greaterThan" dxfId="12">
      <formula>0.85</formula>
    </cfRule>
  </conditionalFormatting>
  <conditionalFormatting sqref="E26">
    <cfRule type="expression" priority="1123" dxfId="3">
      <formula>AND(IF(OR($Q26=1,$Q26=2),1,0),IF($X26&lt;=20,1,0))</formula>
    </cfRule>
    <cfRule type="expression" priority="1124" dxfId="2">
      <formula>AND(IF($Q26=2,1,0),IF($X26&lt;30,1,0))</formula>
    </cfRule>
    <cfRule type="expression" priority="1125" dxfId="1">
      <formula>AND(IF($Q26=3,1,0),IF($X26&lt;30,1,0))</formula>
    </cfRule>
    <cfRule type="expression" priority="1126" dxfId="0">
      <formula>AND(IF($Q26=3,1,IF($Q26=4,1,0)),IF($F26&lt;=85,1,0))</formula>
    </cfRule>
  </conditionalFormatting>
  <conditionalFormatting sqref="X26">
    <cfRule type="expression" priority="1119" dxfId="3">
      <formula>AND(IF(OR($Q26=1,$Q26=2),1,0),IF($X26&lt;=20,1,0))</formula>
    </cfRule>
    <cfRule type="expression" priority="1120" dxfId="2">
      <formula>AND(IF($Q26=2,1,0),IF($X26&lt;30,1,0))</formula>
    </cfRule>
    <cfRule type="expression" priority="1121" dxfId="1">
      <formula>AND(IF($Q26=3,1,0),IF($X26&lt;30,1,0))</formula>
    </cfRule>
    <cfRule type="expression" priority="1122" dxfId="0">
      <formula>AND(IF($Q26=3,1,IF($Q26=4,1,0)),IF($F26&lt;=85,1,0))</formula>
    </cfRule>
  </conditionalFormatting>
  <conditionalFormatting sqref="AI26">
    <cfRule type="expression" priority="1115" dxfId="3">
      <formula>AND(IF(OR($Q26=1,$Q26=2),1,0),IF($X26&lt;=20,1,0))</formula>
    </cfRule>
    <cfRule type="expression" priority="1116" dxfId="2">
      <formula>AND(IF($Q26=2,1,0),IF($X26&lt;30,1,0))</formula>
    </cfRule>
    <cfRule type="expression" priority="1117" dxfId="1">
      <formula>AND(IF($Q26=3,1,0),IF($X26&lt;30,1,0))</formula>
    </cfRule>
    <cfRule type="expression" priority="1118" dxfId="0">
      <formula>AND(IF($Q26=3,1,IF($Q26=4,1,0)),IF($F26&lt;=85,1,0))</formula>
    </cfRule>
  </conditionalFormatting>
  <conditionalFormatting sqref="AV27">
    <cfRule type="expression" priority="1113" dxfId="17">
      <formula>AV27="X"</formula>
    </cfRule>
    <cfRule type="expression" priority="1114" dxfId="16">
      <formula>AV27="후보"</formula>
    </cfRule>
  </conditionalFormatting>
  <conditionalFormatting sqref="AC27 N27">
    <cfRule type="cellIs" priority="1110" operator="greaterThan" dxfId="13">
      <formula>0.9</formula>
    </cfRule>
    <cfRule type="cellIs" priority="1111" operator="greaterThan" dxfId="12">
      <formula>0.85</formula>
    </cfRule>
  </conditionalFormatting>
  <conditionalFormatting sqref="AV28">
    <cfRule type="expression" priority="1108" dxfId="17">
      <formula>AV28="X"</formula>
    </cfRule>
    <cfRule type="expression" priority="1109" dxfId="16">
      <formula>AV28="후보"</formula>
    </cfRule>
  </conditionalFormatting>
  <conditionalFormatting sqref="AC28">
    <cfRule type="cellIs" priority="1105" operator="greaterThan" dxfId="13">
      <formula>0.9</formula>
    </cfRule>
    <cfRule type="cellIs" priority="1106" operator="greaterThan" dxfId="12">
      <formula>0.85</formula>
    </cfRule>
  </conditionalFormatting>
  <conditionalFormatting sqref="N28">
    <cfRule type="cellIs" priority="1103" operator="greaterThan" dxfId="13">
      <formula>0.9</formula>
    </cfRule>
    <cfRule type="cellIs" priority="1104" operator="greaterThan" dxfId="12">
      <formula>0.85</formula>
    </cfRule>
  </conditionalFormatting>
  <conditionalFormatting sqref="E28">
    <cfRule type="expression" priority="1099" dxfId="3">
      <formula>AND(IF(OR($Q28=1,$Q28=2),1,0),IF($X28&lt;=20,1,0))</formula>
    </cfRule>
    <cfRule type="expression" priority="1100" dxfId="2">
      <formula>AND(IF($Q28=2,1,0),IF($X28&lt;30,1,0))</formula>
    </cfRule>
    <cfRule type="expression" priority="1101" dxfId="1">
      <formula>AND(IF($Q28=3,1,0),IF($X28&lt;30,1,0))</formula>
    </cfRule>
    <cfRule type="expression" priority="1102" dxfId="0">
      <formula>AND(IF($Q28=3,1,IF($Q28=4,1,0)),IF($F28&lt;=85,1,0))</formula>
    </cfRule>
  </conditionalFormatting>
  <conditionalFormatting sqref="X28">
    <cfRule type="expression" priority="1095" dxfId="3">
      <formula>AND(IF(OR($Q28=1,$Q28=2),1,0),IF($X28&lt;=20,1,0))</formula>
    </cfRule>
    <cfRule type="expression" priority="1096" dxfId="2">
      <formula>AND(IF($Q28=2,1,0),IF($X28&lt;30,1,0))</formula>
    </cfRule>
    <cfRule type="expression" priority="1097" dxfId="1">
      <formula>AND(IF($Q28=3,1,0),IF($X28&lt;30,1,0))</formula>
    </cfRule>
    <cfRule type="expression" priority="1098" dxfId="0">
      <formula>AND(IF($Q28=3,1,IF($Q28=4,1,0)),IF($F28&lt;=85,1,0))</formula>
    </cfRule>
  </conditionalFormatting>
  <conditionalFormatting sqref="AI28">
    <cfRule type="expression" priority="1091" dxfId="3">
      <formula>AND(IF(OR($Q28=1,$Q28=2),1,0),IF($X28&lt;=20,1,0))</formula>
    </cfRule>
    <cfRule type="expression" priority="1092" dxfId="2">
      <formula>AND(IF($Q28=2,1,0),IF($X28&lt;30,1,0))</formula>
    </cfRule>
    <cfRule type="expression" priority="1093" dxfId="1">
      <formula>AND(IF($Q28=3,1,0),IF($X28&lt;30,1,0))</formula>
    </cfRule>
    <cfRule type="expression" priority="1094" dxfId="0">
      <formula>AND(IF($Q28=3,1,IF($Q28=4,1,0)),IF($F28&lt;=85,1,0))</formula>
    </cfRule>
  </conditionalFormatting>
  <conditionalFormatting sqref="AV29">
    <cfRule type="expression" priority="1089" dxfId="17">
      <formula>AV29="X"</formula>
    </cfRule>
    <cfRule type="expression" priority="1090" dxfId="16">
      <formula>AV29="후보"</formula>
    </cfRule>
  </conditionalFormatting>
  <conditionalFormatting sqref="AC29">
    <cfRule type="cellIs" priority="1086" operator="greaterThan" dxfId="13">
      <formula>0.9</formula>
    </cfRule>
    <cfRule type="cellIs" priority="1087" operator="greaterThan" dxfId="12">
      <formula>0.85</formula>
    </cfRule>
  </conditionalFormatting>
  <conditionalFormatting sqref="N29">
    <cfRule type="cellIs" priority="1084" operator="greaterThan" dxfId="13">
      <formula>0.9</formula>
    </cfRule>
    <cfRule type="cellIs" priority="1085" operator="greaterThan" dxfId="12">
      <formula>0.85</formula>
    </cfRule>
  </conditionalFormatting>
  <conditionalFormatting sqref="E29">
    <cfRule type="expression" priority="1080" dxfId="3">
      <formula>AND(IF(OR($Q29=1,$Q29=2),1,0),IF($X29&lt;=20,1,0))</formula>
    </cfRule>
    <cfRule type="expression" priority="1081" dxfId="2">
      <formula>AND(IF($Q29=2,1,0),IF($X29&lt;30,1,0))</formula>
    </cfRule>
    <cfRule type="expression" priority="1082" dxfId="1">
      <formula>AND(IF($Q29=3,1,0),IF($X29&lt;30,1,0))</formula>
    </cfRule>
    <cfRule type="expression" priority="1083" dxfId="0">
      <formula>AND(IF($Q29=3,1,IF($Q29=4,1,0)),IF($F29&lt;=85,1,0))</formula>
    </cfRule>
  </conditionalFormatting>
  <conditionalFormatting sqref="X29">
    <cfRule type="expression" priority="1076" dxfId="3">
      <formula>AND(IF(OR($Q29=1,$Q29=2),1,0),IF($X29&lt;=20,1,0))</formula>
    </cfRule>
    <cfRule type="expression" priority="1077" dxfId="2">
      <formula>AND(IF($Q29=2,1,0),IF($X29&lt;30,1,0))</formula>
    </cfRule>
    <cfRule type="expression" priority="1078" dxfId="1">
      <formula>AND(IF($Q29=3,1,0),IF($X29&lt;30,1,0))</formula>
    </cfRule>
    <cfRule type="expression" priority="1079" dxfId="0">
      <formula>AND(IF($Q29=3,1,IF($Q29=4,1,0)),IF($F29&lt;=85,1,0))</formula>
    </cfRule>
  </conditionalFormatting>
  <conditionalFormatting sqref="AI29">
    <cfRule type="expression" priority="1072" dxfId="3">
      <formula>AND(IF(OR($Q29=1,$Q29=2),1,0),IF($X29&lt;=20,1,0))</formula>
    </cfRule>
    <cfRule type="expression" priority="1073" dxfId="2">
      <formula>AND(IF($Q29=2,1,0),IF($X29&lt;30,1,0))</formula>
    </cfRule>
    <cfRule type="expression" priority="1074" dxfId="1">
      <formula>AND(IF($Q29=3,1,0),IF($X29&lt;30,1,0))</formula>
    </cfRule>
    <cfRule type="expression" priority="1075" dxfId="0">
      <formula>AND(IF($Q29=3,1,IF($Q29=4,1,0)),IF($F29&lt;=85,1,0))</formula>
    </cfRule>
  </conditionalFormatting>
  <conditionalFormatting sqref="AV30">
    <cfRule type="expression" priority="1070" dxfId="17">
      <formula>AV30="X"</formula>
    </cfRule>
    <cfRule type="expression" priority="1071" dxfId="16">
      <formula>AV30="후보"</formula>
    </cfRule>
  </conditionalFormatting>
  <conditionalFormatting sqref="AC30 N30">
    <cfRule type="cellIs" priority="1067" operator="greaterThan" dxfId="13">
      <formula>0.9</formula>
    </cfRule>
    <cfRule type="cellIs" priority="1068" operator="greaterThan" dxfId="12">
      <formula>0.85</formula>
    </cfRule>
  </conditionalFormatting>
  <conditionalFormatting sqref="AV31">
    <cfRule type="expression" priority="1065" dxfId="17">
      <formula>AV31="X"</formula>
    </cfRule>
    <cfRule type="expression" priority="1066" dxfId="16">
      <formula>AV31="후보"</formula>
    </cfRule>
  </conditionalFormatting>
  <conditionalFormatting sqref="AC31">
    <cfRule type="cellIs" priority="1062" operator="greaterThan" dxfId="13">
      <formula>0.9</formula>
    </cfRule>
    <cfRule type="cellIs" priority="1063" operator="greaterThan" dxfId="12">
      <formula>0.85</formula>
    </cfRule>
  </conditionalFormatting>
  <conditionalFormatting sqref="N31">
    <cfRule type="cellIs" priority="1060" operator="greaterThan" dxfId="13">
      <formula>0.9</formula>
    </cfRule>
    <cfRule type="cellIs" priority="1061" operator="greaterThan" dxfId="12">
      <formula>0.85</formula>
    </cfRule>
  </conditionalFormatting>
  <conditionalFormatting sqref="E31">
    <cfRule type="expression" priority="1056" dxfId="3">
      <formula>AND(IF(OR($Q31=1,$Q31=2),1,0),IF($X31&lt;=20,1,0))</formula>
    </cfRule>
    <cfRule type="expression" priority="1057" dxfId="2">
      <formula>AND(IF($Q31=2,1,0),IF($X31&lt;30,1,0))</formula>
    </cfRule>
    <cfRule type="expression" priority="1058" dxfId="1">
      <formula>AND(IF($Q31=3,1,0),IF($X31&lt;30,1,0))</formula>
    </cfRule>
    <cfRule type="expression" priority="1059" dxfId="0">
      <formula>AND(IF($Q31=3,1,IF($Q31=4,1,0)),IF($F31&lt;=85,1,0))</formula>
    </cfRule>
  </conditionalFormatting>
  <conditionalFormatting sqref="X31">
    <cfRule type="expression" priority="1052" dxfId="3">
      <formula>AND(IF(OR($Q31=1,$Q31=2),1,0),IF($X31&lt;=20,1,0))</formula>
    </cfRule>
    <cfRule type="expression" priority="1053" dxfId="2">
      <formula>AND(IF($Q31=2,1,0),IF($X31&lt;30,1,0))</formula>
    </cfRule>
    <cfRule type="expression" priority="1054" dxfId="1">
      <formula>AND(IF($Q31=3,1,0),IF($X31&lt;30,1,0))</formula>
    </cfRule>
    <cfRule type="expression" priority="1055" dxfId="0">
      <formula>AND(IF($Q31=3,1,IF($Q31=4,1,0)),IF($F31&lt;=85,1,0))</formula>
    </cfRule>
  </conditionalFormatting>
  <conditionalFormatting sqref="AI31">
    <cfRule type="expression" priority="1048" dxfId="3">
      <formula>AND(IF(OR($Q31=1,$Q31=2),1,0),IF($X31&lt;=20,1,0))</formula>
    </cfRule>
    <cfRule type="expression" priority="1049" dxfId="2">
      <formula>AND(IF($Q31=2,1,0),IF($X31&lt;30,1,0))</formula>
    </cfRule>
    <cfRule type="expression" priority="1050" dxfId="1">
      <formula>AND(IF($Q31=3,1,0),IF($X31&lt;30,1,0))</formula>
    </cfRule>
    <cfRule type="expression" priority="1051" dxfId="0">
      <formula>AND(IF($Q31=3,1,IF($Q31=4,1,0)),IF($F31&lt;=85,1,0))</formula>
    </cfRule>
  </conditionalFormatting>
  <conditionalFormatting sqref="AV32">
    <cfRule type="expression" priority="1046" dxfId="17">
      <formula>AV32="X"</formula>
    </cfRule>
    <cfRule type="expression" priority="1047" dxfId="16">
      <formula>AV32="후보"</formula>
    </cfRule>
  </conditionalFormatting>
  <conditionalFormatting sqref="AC32">
    <cfRule type="cellIs" priority="1043" operator="greaterThan" dxfId="13">
      <formula>0.9</formula>
    </cfRule>
    <cfRule type="cellIs" priority="1044" operator="greaterThan" dxfId="12">
      <formula>0.85</formula>
    </cfRule>
  </conditionalFormatting>
  <conditionalFormatting sqref="N32">
    <cfRule type="cellIs" priority="1041" operator="greaterThan" dxfId="13">
      <formula>0.9</formula>
    </cfRule>
    <cfRule type="cellIs" priority="1042" operator="greaterThan" dxfId="12">
      <formula>0.85</formula>
    </cfRule>
  </conditionalFormatting>
  <conditionalFormatting sqref="E32">
    <cfRule type="expression" priority="1037" dxfId="3">
      <formula>AND(IF(OR($Q32=1,$Q32=2),1,0),IF($X32&lt;=20,1,0))</formula>
    </cfRule>
    <cfRule type="expression" priority="1038" dxfId="2">
      <formula>AND(IF($Q32=2,1,0),IF($X32&lt;30,1,0))</formula>
    </cfRule>
    <cfRule type="expression" priority="1039" dxfId="1">
      <formula>AND(IF($Q32=3,1,0),IF($X32&lt;30,1,0))</formula>
    </cfRule>
    <cfRule type="expression" priority="1040" dxfId="0">
      <formula>AND(IF($Q32=3,1,IF($Q32=4,1,0)),IF($F32&lt;=85,1,0))</formula>
    </cfRule>
  </conditionalFormatting>
  <conditionalFormatting sqref="X32">
    <cfRule type="expression" priority="1033" dxfId="3">
      <formula>AND(IF(OR($Q32=1,$Q32=2),1,0),IF($X32&lt;=20,1,0))</formula>
    </cfRule>
    <cfRule type="expression" priority="1034" dxfId="2">
      <formula>AND(IF($Q32=2,1,0),IF($X32&lt;30,1,0))</formula>
    </cfRule>
    <cfRule type="expression" priority="1035" dxfId="1">
      <formula>AND(IF($Q32=3,1,0),IF($X32&lt;30,1,0))</formula>
    </cfRule>
    <cfRule type="expression" priority="1036" dxfId="0">
      <formula>AND(IF($Q32=3,1,IF($Q32=4,1,0)),IF($F32&lt;=85,1,0))</formula>
    </cfRule>
  </conditionalFormatting>
  <conditionalFormatting sqref="AI32">
    <cfRule type="expression" priority="1029" dxfId="3">
      <formula>AND(IF(OR($Q32=1,$Q32=2),1,0),IF($X32&lt;=20,1,0))</formula>
    </cfRule>
    <cfRule type="expression" priority="1030" dxfId="2">
      <formula>AND(IF($Q32=2,1,0),IF($X32&lt;30,1,0))</formula>
    </cfRule>
    <cfRule type="expression" priority="1031" dxfId="1">
      <formula>AND(IF($Q32=3,1,0),IF($X32&lt;30,1,0))</formula>
    </cfRule>
    <cfRule type="expression" priority="1032" dxfId="0">
      <formula>AND(IF($Q32=3,1,IF($Q32=4,1,0)),IF($F32&lt;=85,1,0))</formula>
    </cfRule>
  </conditionalFormatting>
  <conditionalFormatting sqref="AV33">
    <cfRule type="expression" priority="1027" dxfId="17">
      <formula>AV33="X"</formula>
    </cfRule>
    <cfRule type="expression" priority="1028" dxfId="16">
      <formula>AV33="후보"</formula>
    </cfRule>
  </conditionalFormatting>
  <conditionalFormatting sqref="AC33">
    <cfRule type="cellIs" priority="1024" operator="greaterThan" dxfId="13">
      <formula>0.9</formula>
    </cfRule>
    <cfRule type="cellIs" priority="1025" operator="greaterThan" dxfId="12">
      <formula>0.85</formula>
    </cfRule>
  </conditionalFormatting>
  <conditionalFormatting sqref="N33">
    <cfRule type="cellIs" priority="1022" operator="greaterThan" dxfId="13">
      <formula>0.9</formula>
    </cfRule>
    <cfRule type="cellIs" priority="1023" operator="greaterThan" dxfId="12">
      <formula>0.85</formula>
    </cfRule>
  </conditionalFormatting>
  <conditionalFormatting sqref="E33">
    <cfRule type="expression" priority="1018" dxfId="3">
      <formula>AND(IF(OR($Q33=1,$Q33=2),1,0),IF($X33&lt;=20,1,0))</formula>
    </cfRule>
    <cfRule type="expression" priority="1019" dxfId="2">
      <formula>AND(IF($Q33=2,1,0),IF($X33&lt;30,1,0))</formula>
    </cfRule>
    <cfRule type="expression" priority="1020" dxfId="1">
      <formula>AND(IF($Q33=3,1,0),IF($X33&lt;30,1,0))</formula>
    </cfRule>
    <cfRule type="expression" priority="1021" dxfId="0">
      <formula>AND(IF($Q33=3,1,IF($Q33=4,1,0)),IF($F33&lt;=85,1,0))</formula>
    </cfRule>
  </conditionalFormatting>
  <conditionalFormatting sqref="X33">
    <cfRule type="expression" priority="1014" dxfId="3">
      <formula>AND(IF(OR($Q33=1,$Q33=2),1,0),IF($X33&lt;=20,1,0))</formula>
    </cfRule>
    <cfRule type="expression" priority="1015" dxfId="2">
      <formula>AND(IF($Q33=2,1,0),IF($X33&lt;30,1,0))</formula>
    </cfRule>
    <cfRule type="expression" priority="1016" dxfId="1">
      <formula>AND(IF($Q33=3,1,0),IF($X33&lt;30,1,0))</formula>
    </cfRule>
    <cfRule type="expression" priority="1017" dxfId="0">
      <formula>AND(IF($Q33=3,1,IF($Q33=4,1,0)),IF($F33&lt;=85,1,0))</formula>
    </cfRule>
  </conditionalFormatting>
  <conditionalFormatting sqref="AI33">
    <cfRule type="expression" priority="1010" dxfId="3">
      <formula>AND(IF(OR($Q33=1,$Q33=2),1,0),IF($X33&lt;=20,1,0))</formula>
    </cfRule>
    <cfRule type="expression" priority="1011" dxfId="2">
      <formula>AND(IF($Q33=2,1,0),IF($X33&lt;30,1,0))</formula>
    </cfRule>
    <cfRule type="expression" priority="1012" dxfId="1">
      <formula>AND(IF($Q33=3,1,0),IF($X33&lt;30,1,0))</formula>
    </cfRule>
    <cfRule type="expression" priority="1013" dxfId="0">
      <formula>AND(IF($Q33=3,1,IF($Q33=4,1,0)),IF($F33&lt;=85,1,0))</formula>
    </cfRule>
  </conditionalFormatting>
  <conditionalFormatting sqref="AV34">
    <cfRule type="expression" priority="1008" dxfId="17">
      <formula>AV34="X"</formula>
    </cfRule>
    <cfRule type="expression" priority="1009" dxfId="16">
      <formula>AV34="후보"</formula>
    </cfRule>
  </conditionalFormatting>
  <conditionalFormatting sqref="AC34">
    <cfRule type="cellIs" priority="1005" operator="greaterThan" dxfId="13">
      <formula>0.9</formula>
    </cfRule>
    <cfRule type="cellIs" priority="1006" operator="greaterThan" dxfId="12">
      <formula>0.85</formula>
    </cfRule>
  </conditionalFormatting>
  <conditionalFormatting sqref="N34">
    <cfRule type="cellIs" priority="1003" operator="greaterThan" dxfId="13">
      <formula>0.9</formula>
    </cfRule>
    <cfRule type="cellIs" priority="1004" operator="greaterThan" dxfId="12">
      <formula>0.85</formula>
    </cfRule>
  </conditionalFormatting>
  <conditionalFormatting sqref="E34">
    <cfRule type="expression" priority="999" dxfId="3">
      <formula>AND(IF(OR($Q34=1,$Q34=2),1,0),IF($X34&lt;=20,1,0))</formula>
    </cfRule>
    <cfRule type="expression" priority="1000" dxfId="2">
      <formula>AND(IF($Q34=2,1,0),IF($X34&lt;30,1,0))</formula>
    </cfRule>
    <cfRule type="expression" priority="1001" dxfId="1">
      <formula>AND(IF($Q34=3,1,0),IF($X34&lt;30,1,0))</formula>
    </cfRule>
    <cfRule type="expression" priority="1002" dxfId="0">
      <formula>AND(IF($Q34=3,1,IF($Q34=4,1,0)),IF($F34&lt;=85,1,0))</formula>
    </cfRule>
  </conditionalFormatting>
  <conditionalFormatting sqref="X34">
    <cfRule type="expression" priority="995" dxfId="3">
      <formula>AND(IF(OR($Q34=1,$Q34=2),1,0),IF($X34&lt;=20,1,0))</formula>
    </cfRule>
    <cfRule type="expression" priority="996" dxfId="2">
      <formula>AND(IF($Q34=2,1,0),IF($X34&lt;30,1,0))</formula>
    </cfRule>
    <cfRule type="expression" priority="997" dxfId="1">
      <formula>AND(IF($Q34=3,1,0),IF($X34&lt;30,1,0))</formula>
    </cfRule>
    <cfRule type="expression" priority="998" dxfId="0">
      <formula>AND(IF($Q34=3,1,IF($Q34=4,1,0)),IF($F34&lt;=85,1,0))</formula>
    </cfRule>
  </conditionalFormatting>
  <conditionalFormatting sqref="AI34">
    <cfRule type="expression" priority="991" dxfId="3">
      <formula>AND(IF(OR($Q34=1,$Q34=2),1,0),IF($X34&lt;=20,1,0))</formula>
    </cfRule>
    <cfRule type="expression" priority="992" dxfId="2">
      <formula>AND(IF($Q34=2,1,0),IF($X34&lt;30,1,0))</formula>
    </cfRule>
    <cfRule type="expression" priority="993" dxfId="1">
      <formula>AND(IF($Q34=3,1,0),IF($X34&lt;30,1,0))</formula>
    </cfRule>
    <cfRule type="expression" priority="994" dxfId="0">
      <formula>AND(IF($Q34=3,1,IF($Q34=4,1,0)),IF($F34&lt;=85,1,0))</formula>
    </cfRule>
  </conditionalFormatting>
  <conditionalFormatting sqref="AV35">
    <cfRule type="expression" priority="989" dxfId="17">
      <formula>AV35="X"</formula>
    </cfRule>
    <cfRule type="expression" priority="990" dxfId="16">
      <formula>AV35="후보"</formula>
    </cfRule>
  </conditionalFormatting>
  <conditionalFormatting sqref="AC35">
    <cfRule type="cellIs" priority="986" operator="greaterThan" dxfId="13">
      <formula>0.9</formula>
    </cfRule>
    <cfRule type="cellIs" priority="987" operator="greaterThan" dxfId="12">
      <formula>0.85</formula>
    </cfRule>
  </conditionalFormatting>
  <conditionalFormatting sqref="N35">
    <cfRule type="cellIs" priority="984" operator="greaterThan" dxfId="13">
      <formula>0.9</formula>
    </cfRule>
    <cfRule type="cellIs" priority="985" operator="greaterThan" dxfId="12">
      <formula>0.85</formula>
    </cfRule>
  </conditionalFormatting>
  <conditionalFormatting sqref="E35">
    <cfRule type="expression" priority="980" dxfId="3">
      <formula>AND(IF(OR($Q35=1,$Q35=2),1,0),IF($X35&lt;=20,1,0))</formula>
    </cfRule>
    <cfRule type="expression" priority="981" dxfId="2">
      <formula>AND(IF($Q35=2,1,0),IF($X35&lt;30,1,0))</formula>
    </cfRule>
    <cfRule type="expression" priority="982" dxfId="1">
      <formula>AND(IF($Q35=3,1,0),IF($X35&lt;30,1,0))</formula>
    </cfRule>
    <cfRule type="expression" priority="983" dxfId="0">
      <formula>AND(IF($Q35=3,1,IF($Q35=4,1,0)),IF($F35&lt;=85,1,0))</formula>
    </cfRule>
  </conditionalFormatting>
  <conditionalFormatting sqref="X35">
    <cfRule type="expression" priority="976" dxfId="3">
      <formula>AND(IF(OR($Q35=1,$Q35=2),1,0),IF($X35&lt;=20,1,0))</formula>
    </cfRule>
    <cfRule type="expression" priority="977" dxfId="2">
      <formula>AND(IF($Q35=2,1,0),IF($X35&lt;30,1,0))</formula>
    </cfRule>
    <cfRule type="expression" priority="978" dxfId="1">
      <formula>AND(IF($Q35=3,1,0),IF($X35&lt;30,1,0))</formula>
    </cfRule>
    <cfRule type="expression" priority="979" dxfId="0">
      <formula>AND(IF($Q35=3,1,IF($Q35=4,1,0)),IF($F35&lt;=85,1,0))</formula>
    </cfRule>
  </conditionalFormatting>
  <conditionalFormatting sqref="AI35">
    <cfRule type="expression" priority="972" dxfId="3">
      <formula>AND(IF(OR($Q35=1,$Q35=2),1,0),IF($X35&lt;=20,1,0))</formula>
    </cfRule>
    <cfRule type="expression" priority="973" dxfId="2">
      <formula>AND(IF($Q35=2,1,0),IF($X35&lt;30,1,0))</formula>
    </cfRule>
    <cfRule type="expression" priority="974" dxfId="1">
      <formula>AND(IF($Q35=3,1,0),IF($X35&lt;30,1,0))</formula>
    </cfRule>
    <cfRule type="expression" priority="975" dxfId="0">
      <formula>AND(IF($Q35=3,1,IF($Q35=4,1,0)),IF($F35&lt;=85,1,0))</formula>
    </cfRule>
  </conditionalFormatting>
  <conditionalFormatting sqref="AV36">
    <cfRule type="expression" priority="970" dxfId="17">
      <formula>AV36="X"</formula>
    </cfRule>
    <cfRule type="expression" priority="971" dxfId="16">
      <formula>AV36="후보"</formula>
    </cfRule>
  </conditionalFormatting>
  <conditionalFormatting sqref="AC36">
    <cfRule type="cellIs" priority="967" operator="greaterThan" dxfId="13">
      <formula>0.9</formula>
    </cfRule>
    <cfRule type="cellIs" priority="968" operator="greaterThan" dxfId="12">
      <formula>0.85</formula>
    </cfRule>
  </conditionalFormatting>
  <conditionalFormatting sqref="N36">
    <cfRule type="cellIs" priority="965" operator="greaterThan" dxfId="13">
      <formula>0.9</formula>
    </cfRule>
    <cfRule type="cellIs" priority="966" operator="greaterThan" dxfId="12">
      <formula>0.85</formula>
    </cfRule>
  </conditionalFormatting>
  <conditionalFormatting sqref="E36">
    <cfRule type="expression" priority="961" dxfId="3">
      <formula>AND(IF(OR($Q36=1,$Q36=2),1,0),IF($X36&lt;=20,1,0))</formula>
    </cfRule>
    <cfRule type="expression" priority="962" dxfId="2">
      <formula>AND(IF($Q36=2,1,0),IF($X36&lt;30,1,0))</formula>
    </cfRule>
    <cfRule type="expression" priority="963" dxfId="1">
      <formula>AND(IF($Q36=3,1,0),IF($X36&lt;30,1,0))</formula>
    </cfRule>
    <cfRule type="expression" priority="964" dxfId="0">
      <formula>AND(IF($Q36=3,1,IF($Q36=4,1,0)),IF($F36&lt;=85,1,0))</formula>
    </cfRule>
  </conditionalFormatting>
  <conditionalFormatting sqref="X36">
    <cfRule type="expression" priority="957" dxfId="3">
      <formula>AND(IF(OR($Q36=1,$Q36=2),1,0),IF($X36&lt;=20,1,0))</formula>
    </cfRule>
    <cfRule type="expression" priority="958" dxfId="2">
      <formula>AND(IF($Q36=2,1,0),IF($X36&lt;30,1,0))</formula>
    </cfRule>
    <cfRule type="expression" priority="959" dxfId="1">
      <formula>AND(IF($Q36=3,1,0),IF($X36&lt;30,1,0))</formula>
    </cfRule>
    <cfRule type="expression" priority="960" dxfId="0">
      <formula>AND(IF($Q36=3,1,IF($Q36=4,1,0)),IF($F36&lt;=85,1,0))</formula>
    </cfRule>
  </conditionalFormatting>
  <conditionalFormatting sqref="AI36">
    <cfRule type="expression" priority="953" dxfId="3">
      <formula>AND(IF(OR($Q36=1,$Q36=2),1,0),IF($X36&lt;=20,1,0))</formula>
    </cfRule>
    <cfRule type="expression" priority="954" dxfId="2">
      <formula>AND(IF($Q36=2,1,0),IF($X36&lt;30,1,0))</formula>
    </cfRule>
    <cfRule type="expression" priority="955" dxfId="1">
      <formula>AND(IF($Q36=3,1,0),IF($X36&lt;30,1,0))</formula>
    </cfRule>
    <cfRule type="expression" priority="956" dxfId="0">
      <formula>AND(IF($Q36=3,1,IF($Q36=4,1,0)),IF($F36&lt;=85,1,0))</formula>
    </cfRule>
  </conditionalFormatting>
  <conditionalFormatting sqref="AV37">
    <cfRule type="expression" priority="951" dxfId="17">
      <formula>AV37="X"</formula>
    </cfRule>
    <cfRule type="expression" priority="952" dxfId="16">
      <formula>AV37="후보"</formula>
    </cfRule>
  </conditionalFormatting>
  <conditionalFormatting sqref="AC37">
    <cfRule type="cellIs" priority="948" operator="greaterThan" dxfId="13">
      <formula>0.9</formula>
    </cfRule>
    <cfRule type="cellIs" priority="949" operator="greaterThan" dxfId="12">
      <formula>0.85</formula>
    </cfRule>
  </conditionalFormatting>
  <conditionalFormatting sqref="N37">
    <cfRule type="cellIs" priority="946" operator="greaterThan" dxfId="13">
      <formula>0.9</formula>
    </cfRule>
    <cfRule type="cellIs" priority="947" operator="greaterThan" dxfId="12">
      <formula>0.85</formula>
    </cfRule>
  </conditionalFormatting>
  <conditionalFormatting sqref="E37">
    <cfRule type="expression" priority="942" dxfId="3">
      <formula>AND(IF(OR($Q37=1,$Q37=2),1,0),IF($X37&lt;=20,1,0))</formula>
    </cfRule>
    <cfRule type="expression" priority="943" dxfId="2">
      <formula>AND(IF($Q37=2,1,0),IF($X37&lt;30,1,0))</formula>
    </cfRule>
    <cfRule type="expression" priority="944" dxfId="1">
      <formula>AND(IF($Q37=3,1,0),IF($X37&lt;30,1,0))</formula>
    </cfRule>
    <cfRule type="expression" priority="945" dxfId="0">
      <formula>AND(IF($Q37=3,1,IF($Q37=4,1,0)),IF($F37&lt;=85,1,0))</formula>
    </cfRule>
  </conditionalFormatting>
  <conditionalFormatting sqref="X37">
    <cfRule type="expression" priority="938" dxfId="3">
      <formula>AND(IF(OR($Q37=1,$Q37=2),1,0),IF($X37&lt;=20,1,0))</formula>
    </cfRule>
    <cfRule type="expression" priority="939" dxfId="2">
      <formula>AND(IF($Q37=2,1,0),IF($X37&lt;30,1,0))</formula>
    </cfRule>
    <cfRule type="expression" priority="940" dxfId="1">
      <formula>AND(IF($Q37=3,1,0),IF($X37&lt;30,1,0))</formula>
    </cfRule>
    <cfRule type="expression" priority="941" dxfId="0">
      <formula>AND(IF($Q37=3,1,IF($Q37=4,1,0)),IF($F37&lt;=85,1,0))</formula>
    </cfRule>
  </conditionalFormatting>
  <conditionalFormatting sqref="AI37">
    <cfRule type="expression" priority="934" dxfId="3">
      <formula>AND(IF(OR($Q37=1,$Q37=2),1,0),IF($X37&lt;=20,1,0))</formula>
    </cfRule>
    <cfRule type="expression" priority="935" dxfId="2">
      <formula>AND(IF($Q37=2,1,0),IF($X37&lt;30,1,0))</formula>
    </cfRule>
    <cfRule type="expression" priority="936" dxfId="1">
      <formula>AND(IF($Q37=3,1,0),IF($X37&lt;30,1,0))</formula>
    </cfRule>
    <cfRule type="expression" priority="937" dxfId="0">
      <formula>AND(IF($Q37=3,1,IF($Q37=4,1,0)),IF($F37&lt;=85,1,0))</formula>
    </cfRule>
  </conditionalFormatting>
  <conditionalFormatting sqref="AV38">
    <cfRule type="expression" priority="932" dxfId="17">
      <formula>AV38="X"</formula>
    </cfRule>
    <cfRule type="expression" priority="933" dxfId="16">
      <formula>AV38="후보"</formula>
    </cfRule>
  </conditionalFormatting>
  <conditionalFormatting sqref="AC38 N38">
    <cfRule type="cellIs" priority="929" operator="greaterThan" dxfId="13">
      <formula>0.9</formula>
    </cfRule>
    <cfRule type="cellIs" priority="930" operator="greaterThan" dxfId="12">
      <formula>0.85</formula>
    </cfRule>
  </conditionalFormatting>
  <conditionalFormatting sqref="AV39">
    <cfRule type="expression" priority="927" dxfId="17">
      <formula>AV39="X"</formula>
    </cfRule>
    <cfRule type="expression" priority="928" dxfId="16">
      <formula>AV39="후보"</formula>
    </cfRule>
  </conditionalFormatting>
  <conditionalFormatting sqref="AC39">
    <cfRule type="cellIs" priority="924" operator="greaterThan" dxfId="13">
      <formula>0.9</formula>
    </cfRule>
    <cfRule type="cellIs" priority="925" operator="greaterThan" dxfId="12">
      <formula>0.85</formula>
    </cfRule>
  </conditionalFormatting>
  <conditionalFormatting sqref="N39">
    <cfRule type="cellIs" priority="922" operator="greaterThan" dxfId="13">
      <formula>0.9</formula>
    </cfRule>
    <cfRule type="cellIs" priority="923" operator="greaterThan" dxfId="12">
      <formula>0.85</formula>
    </cfRule>
  </conditionalFormatting>
  <conditionalFormatting sqref="E39">
    <cfRule type="expression" priority="918" dxfId="3">
      <formula>AND(IF(OR($Q39=1,$Q39=2),1,0),IF($X39&lt;=20,1,0))</formula>
    </cfRule>
    <cfRule type="expression" priority="919" dxfId="2">
      <formula>AND(IF($Q39=2,1,0),IF($X39&lt;30,1,0))</formula>
    </cfRule>
    <cfRule type="expression" priority="920" dxfId="1">
      <formula>AND(IF($Q39=3,1,0),IF($X39&lt;30,1,0))</formula>
    </cfRule>
    <cfRule type="expression" priority="921" dxfId="0">
      <formula>AND(IF($Q39=3,1,IF($Q39=4,1,0)),IF($F39&lt;=85,1,0))</formula>
    </cfRule>
  </conditionalFormatting>
  <conditionalFormatting sqref="X39">
    <cfRule type="expression" priority="914" dxfId="3">
      <formula>AND(IF(OR($Q39=1,$Q39=2),1,0),IF($X39&lt;=20,1,0))</formula>
    </cfRule>
    <cfRule type="expression" priority="915" dxfId="2">
      <formula>AND(IF($Q39=2,1,0),IF($X39&lt;30,1,0))</formula>
    </cfRule>
    <cfRule type="expression" priority="916" dxfId="1">
      <formula>AND(IF($Q39=3,1,0),IF($X39&lt;30,1,0))</formula>
    </cfRule>
    <cfRule type="expression" priority="917" dxfId="0">
      <formula>AND(IF($Q39=3,1,IF($Q39=4,1,0)),IF($F39&lt;=85,1,0))</formula>
    </cfRule>
  </conditionalFormatting>
  <conditionalFormatting sqref="AI39">
    <cfRule type="expression" priority="910" dxfId="3">
      <formula>AND(IF(OR($Q39=1,$Q39=2),1,0),IF($X39&lt;=20,1,0))</formula>
    </cfRule>
    <cfRule type="expression" priority="911" dxfId="2">
      <formula>AND(IF($Q39=2,1,0),IF($X39&lt;30,1,0))</formula>
    </cfRule>
    <cfRule type="expression" priority="912" dxfId="1">
      <formula>AND(IF($Q39=3,1,0),IF($X39&lt;30,1,0))</formula>
    </cfRule>
    <cfRule type="expression" priority="913" dxfId="0">
      <formula>AND(IF($Q39=3,1,IF($Q39=4,1,0)),IF($F39&lt;=85,1,0))</formula>
    </cfRule>
  </conditionalFormatting>
  <conditionalFormatting sqref="AV40">
    <cfRule type="expression" priority="908" dxfId="17">
      <formula>AV40="X"</formula>
    </cfRule>
    <cfRule type="expression" priority="909" dxfId="16">
      <formula>AV40="후보"</formula>
    </cfRule>
  </conditionalFormatting>
  <conditionalFormatting sqref="AC40">
    <cfRule type="cellIs" priority="905" operator="greaterThan" dxfId="13">
      <formula>0.9</formula>
    </cfRule>
    <cfRule type="cellIs" priority="906" operator="greaterThan" dxfId="12">
      <formula>0.85</formula>
    </cfRule>
  </conditionalFormatting>
  <conditionalFormatting sqref="N40">
    <cfRule type="cellIs" priority="903" operator="greaterThan" dxfId="13">
      <formula>0.9</formula>
    </cfRule>
    <cfRule type="cellIs" priority="904" operator="greaterThan" dxfId="12">
      <formula>0.85</formula>
    </cfRule>
  </conditionalFormatting>
  <conditionalFormatting sqref="E40">
    <cfRule type="expression" priority="899" dxfId="3">
      <formula>AND(IF(OR($Q40=1,$Q40=2),1,0),IF($X40&lt;=20,1,0))</formula>
    </cfRule>
    <cfRule type="expression" priority="900" dxfId="2">
      <formula>AND(IF($Q40=2,1,0),IF($X40&lt;30,1,0))</formula>
    </cfRule>
    <cfRule type="expression" priority="901" dxfId="1">
      <formula>AND(IF($Q40=3,1,0),IF($X40&lt;30,1,0))</formula>
    </cfRule>
    <cfRule type="expression" priority="902" dxfId="0">
      <formula>AND(IF($Q40=3,1,IF($Q40=4,1,0)),IF($F40&lt;=85,1,0))</formula>
    </cfRule>
  </conditionalFormatting>
  <conditionalFormatting sqref="X40">
    <cfRule type="expression" priority="895" dxfId="3">
      <formula>AND(IF(OR($Q40=1,$Q40=2),1,0),IF($X40&lt;=20,1,0))</formula>
    </cfRule>
    <cfRule type="expression" priority="896" dxfId="2">
      <formula>AND(IF($Q40=2,1,0),IF($X40&lt;30,1,0))</formula>
    </cfRule>
    <cfRule type="expression" priority="897" dxfId="1">
      <formula>AND(IF($Q40=3,1,0),IF($X40&lt;30,1,0))</formula>
    </cfRule>
    <cfRule type="expression" priority="898" dxfId="0">
      <formula>AND(IF($Q40=3,1,IF($Q40=4,1,0)),IF($F40&lt;=85,1,0))</formula>
    </cfRule>
  </conditionalFormatting>
  <conditionalFormatting sqref="AI40">
    <cfRule type="expression" priority="891" dxfId="3">
      <formula>AND(IF(OR($Q40=1,$Q40=2),1,0),IF($X40&lt;=20,1,0))</formula>
    </cfRule>
    <cfRule type="expression" priority="892" dxfId="2">
      <formula>AND(IF($Q40=2,1,0),IF($X40&lt;30,1,0))</formula>
    </cfRule>
    <cfRule type="expression" priority="893" dxfId="1">
      <formula>AND(IF($Q40=3,1,0),IF($X40&lt;30,1,0))</formula>
    </cfRule>
    <cfRule type="expression" priority="894" dxfId="0">
      <formula>AND(IF($Q40=3,1,IF($Q40=4,1,0)),IF($F40&lt;=85,1,0))</formula>
    </cfRule>
  </conditionalFormatting>
  <conditionalFormatting sqref="AV41">
    <cfRule type="expression" priority="889" dxfId="17">
      <formula>AV41="X"</formula>
    </cfRule>
    <cfRule type="expression" priority="890" dxfId="16">
      <formula>AV41="후보"</formula>
    </cfRule>
  </conditionalFormatting>
  <conditionalFormatting sqref="AC41">
    <cfRule type="cellIs" priority="886" operator="greaterThan" dxfId="13">
      <formula>0.9</formula>
    </cfRule>
    <cfRule type="cellIs" priority="887" operator="greaterThan" dxfId="12">
      <formula>0.85</formula>
    </cfRule>
  </conditionalFormatting>
  <conditionalFormatting sqref="N41">
    <cfRule type="cellIs" priority="884" operator="greaterThan" dxfId="13">
      <formula>0.9</formula>
    </cfRule>
    <cfRule type="cellIs" priority="885" operator="greaterThan" dxfId="12">
      <formula>0.85</formula>
    </cfRule>
  </conditionalFormatting>
  <conditionalFormatting sqref="E41">
    <cfRule type="expression" priority="880" dxfId="3">
      <formula>AND(IF(OR($Q41=1,$Q41=2),1,0),IF($X41&lt;=20,1,0))</formula>
    </cfRule>
    <cfRule type="expression" priority="881" dxfId="2">
      <formula>AND(IF($Q41=2,1,0),IF($X41&lt;30,1,0))</formula>
    </cfRule>
    <cfRule type="expression" priority="882" dxfId="1">
      <formula>AND(IF($Q41=3,1,0),IF($X41&lt;30,1,0))</formula>
    </cfRule>
    <cfRule type="expression" priority="883" dxfId="0">
      <formula>AND(IF($Q41=3,1,IF($Q41=4,1,0)),IF($F41&lt;=85,1,0))</formula>
    </cfRule>
  </conditionalFormatting>
  <conditionalFormatting sqref="X41">
    <cfRule type="expression" priority="876" dxfId="3">
      <formula>AND(IF(OR($Q41=1,$Q41=2),1,0),IF($X41&lt;=20,1,0))</formula>
    </cfRule>
    <cfRule type="expression" priority="877" dxfId="2">
      <formula>AND(IF($Q41=2,1,0),IF($X41&lt;30,1,0))</formula>
    </cfRule>
    <cfRule type="expression" priority="878" dxfId="1">
      <formula>AND(IF($Q41=3,1,0),IF($X41&lt;30,1,0))</formula>
    </cfRule>
    <cfRule type="expression" priority="879" dxfId="0">
      <formula>AND(IF($Q41=3,1,IF($Q41=4,1,0)),IF($F41&lt;=85,1,0))</formula>
    </cfRule>
  </conditionalFormatting>
  <conditionalFormatting sqref="AI41">
    <cfRule type="expression" priority="872" dxfId="3">
      <formula>AND(IF(OR($Q41=1,$Q41=2),1,0),IF($X41&lt;=20,1,0))</formula>
    </cfRule>
    <cfRule type="expression" priority="873" dxfId="2">
      <formula>AND(IF($Q41=2,1,0),IF($X41&lt;30,1,0))</formula>
    </cfRule>
    <cfRule type="expression" priority="874" dxfId="1">
      <formula>AND(IF($Q41=3,1,0),IF($X41&lt;30,1,0))</formula>
    </cfRule>
    <cfRule type="expression" priority="875" dxfId="0">
      <formula>AND(IF($Q41=3,1,IF($Q41=4,1,0)),IF($F41&lt;=85,1,0))</formula>
    </cfRule>
  </conditionalFormatting>
  <conditionalFormatting sqref="AV42">
    <cfRule type="expression" priority="870" dxfId="17">
      <formula>AV42="X"</formula>
    </cfRule>
    <cfRule type="expression" priority="871" dxfId="16">
      <formula>AV42="후보"</formula>
    </cfRule>
  </conditionalFormatting>
  <conditionalFormatting sqref="AC42">
    <cfRule type="cellIs" priority="867" operator="greaterThan" dxfId="13">
      <formula>0.9</formula>
    </cfRule>
    <cfRule type="cellIs" priority="868" operator="greaterThan" dxfId="12">
      <formula>0.85</formula>
    </cfRule>
  </conditionalFormatting>
  <conditionalFormatting sqref="N42">
    <cfRule type="cellIs" priority="865" operator="greaterThan" dxfId="13">
      <formula>0.9</formula>
    </cfRule>
    <cfRule type="cellIs" priority="866" operator="greaterThan" dxfId="12">
      <formula>0.85</formula>
    </cfRule>
  </conditionalFormatting>
  <conditionalFormatting sqref="E42">
    <cfRule type="expression" priority="861" dxfId="3">
      <formula>AND(IF(OR($Q42=1,$Q42=2),1,0),IF($X42&lt;=20,1,0))</formula>
    </cfRule>
    <cfRule type="expression" priority="862" dxfId="2">
      <formula>AND(IF($Q42=2,1,0),IF($X42&lt;30,1,0))</formula>
    </cfRule>
    <cfRule type="expression" priority="863" dxfId="1">
      <formula>AND(IF($Q42=3,1,0),IF($X42&lt;30,1,0))</formula>
    </cfRule>
    <cfRule type="expression" priority="864" dxfId="0">
      <formula>AND(IF($Q42=3,1,IF($Q42=4,1,0)),IF($F42&lt;=85,1,0))</formula>
    </cfRule>
  </conditionalFormatting>
  <conditionalFormatting sqref="X42">
    <cfRule type="expression" priority="857" dxfId="3">
      <formula>AND(IF(OR($Q42=1,$Q42=2),1,0),IF($X42&lt;=20,1,0))</formula>
    </cfRule>
    <cfRule type="expression" priority="858" dxfId="2">
      <formula>AND(IF($Q42=2,1,0),IF($X42&lt;30,1,0))</formula>
    </cfRule>
    <cfRule type="expression" priority="859" dxfId="1">
      <formula>AND(IF($Q42=3,1,0),IF($X42&lt;30,1,0))</formula>
    </cfRule>
    <cfRule type="expression" priority="860" dxfId="0">
      <formula>AND(IF($Q42=3,1,IF($Q42=4,1,0)),IF($F42&lt;=85,1,0))</formula>
    </cfRule>
  </conditionalFormatting>
  <conditionalFormatting sqref="AI42">
    <cfRule type="expression" priority="853" dxfId="3">
      <formula>AND(IF(OR($Q42=1,$Q42=2),1,0),IF($X42&lt;=20,1,0))</formula>
    </cfRule>
    <cfRule type="expression" priority="854" dxfId="2">
      <formula>AND(IF($Q42=2,1,0),IF($X42&lt;30,1,0))</formula>
    </cfRule>
    <cfRule type="expression" priority="855" dxfId="1">
      <formula>AND(IF($Q42=3,1,0),IF($X42&lt;30,1,0))</formula>
    </cfRule>
    <cfRule type="expression" priority="856" dxfId="0">
      <formula>AND(IF($Q42=3,1,IF($Q42=4,1,0)),IF($F42&lt;=85,1,0))</formula>
    </cfRule>
  </conditionalFormatting>
  <conditionalFormatting sqref="AV43">
    <cfRule type="expression" priority="851" dxfId="17">
      <formula>AV43="X"</formula>
    </cfRule>
    <cfRule type="expression" priority="852" dxfId="16">
      <formula>AV43="후보"</formula>
    </cfRule>
  </conditionalFormatting>
  <conditionalFormatting sqref="AC43">
    <cfRule type="cellIs" priority="848" operator="greaterThan" dxfId="13">
      <formula>0.9</formula>
    </cfRule>
    <cfRule type="cellIs" priority="849" operator="greaterThan" dxfId="12">
      <formula>0.85</formula>
    </cfRule>
  </conditionalFormatting>
  <conditionalFormatting sqref="N43">
    <cfRule type="cellIs" priority="846" operator="greaterThan" dxfId="13">
      <formula>0.9</formula>
    </cfRule>
    <cfRule type="cellIs" priority="847" operator="greaterThan" dxfId="12">
      <formula>0.85</formula>
    </cfRule>
  </conditionalFormatting>
  <conditionalFormatting sqref="E43">
    <cfRule type="expression" priority="842" dxfId="3">
      <formula>AND(IF(OR($Q43=1,$Q43=2),1,0),IF($X43&lt;=20,1,0))</formula>
    </cfRule>
    <cfRule type="expression" priority="843" dxfId="2">
      <formula>AND(IF($Q43=2,1,0),IF($X43&lt;30,1,0))</formula>
    </cfRule>
    <cfRule type="expression" priority="844" dxfId="1">
      <formula>AND(IF($Q43=3,1,0),IF($X43&lt;30,1,0))</formula>
    </cfRule>
    <cfRule type="expression" priority="845" dxfId="0">
      <formula>AND(IF($Q43=3,1,IF($Q43=4,1,0)),IF($F43&lt;=85,1,0))</formula>
    </cfRule>
  </conditionalFormatting>
  <conditionalFormatting sqref="X43">
    <cfRule type="expression" priority="838" dxfId="3">
      <formula>AND(IF(OR($Q43=1,$Q43=2),1,0),IF($X43&lt;=20,1,0))</formula>
    </cfRule>
    <cfRule type="expression" priority="839" dxfId="2">
      <formula>AND(IF($Q43=2,1,0),IF($X43&lt;30,1,0))</formula>
    </cfRule>
    <cfRule type="expression" priority="840" dxfId="1">
      <formula>AND(IF($Q43=3,1,0),IF($X43&lt;30,1,0))</formula>
    </cfRule>
    <cfRule type="expression" priority="841" dxfId="0">
      <formula>AND(IF($Q43=3,1,IF($Q43=4,1,0)),IF($F43&lt;=85,1,0))</formula>
    </cfRule>
  </conditionalFormatting>
  <conditionalFormatting sqref="AI43">
    <cfRule type="expression" priority="834" dxfId="3">
      <formula>AND(IF(OR($Q43=1,$Q43=2),1,0),IF($X43&lt;=20,1,0))</formula>
    </cfRule>
    <cfRule type="expression" priority="835" dxfId="2">
      <formula>AND(IF($Q43=2,1,0),IF($X43&lt;30,1,0))</formula>
    </cfRule>
    <cfRule type="expression" priority="836" dxfId="1">
      <formula>AND(IF($Q43=3,1,0),IF($X43&lt;30,1,0))</formula>
    </cfRule>
    <cfRule type="expression" priority="837" dxfId="0">
      <formula>AND(IF($Q43=3,1,IF($Q43=4,1,0)),IF($F43&lt;=85,1,0))</formula>
    </cfRule>
  </conditionalFormatting>
  <conditionalFormatting sqref="AV44">
    <cfRule type="expression" priority="832" dxfId="17">
      <formula>AV44="X"</formula>
    </cfRule>
    <cfRule type="expression" priority="833" dxfId="16">
      <formula>AV44="후보"</formula>
    </cfRule>
  </conditionalFormatting>
  <conditionalFormatting sqref="AC44">
    <cfRule type="cellIs" priority="829" operator="greaterThan" dxfId="13">
      <formula>0.9</formula>
    </cfRule>
    <cfRule type="cellIs" priority="830" operator="greaterThan" dxfId="12">
      <formula>0.85</formula>
    </cfRule>
  </conditionalFormatting>
  <conditionalFormatting sqref="N44">
    <cfRule type="cellIs" priority="827" operator="greaterThan" dxfId="13">
      <formula>0.9</formula>
    </cfRule>
    <cfRule type="cellIs" priority="828" operator="greaterThan" dxfId="12">
      <formula>0.85</formula>
    </cfRule>
  </conditionalFormatting>
  <conditionalFormatting sqref="E44">
    <cfRule type="expression" priority="823" dxfId="3">
      <formula>AND(IF(OR($Q44=1,$Q44=2),1,0),IF($X44&lt;=20,1,0))</formula>
    </cfRule>
    <cfRule type="expression" priority="824" dxfId="2">
      <formula>AND(IF($Q44=2,1,0),IF($X44&lt;30,1,0))</formula>
    </cfRule>
    <cfRule type="expression" priority="825" dxfId="1">
      <formula>AND(IF($Q44=3,1,0),IF($X44&lt;30,1,0))</formula>
    </cfRule>
    <cfRule type="expression" priority="826" dxfId="0">
      <formula>AND(IF($Q44=3,1,IF($Q44=4,1,0)),IF($F44&lt;=85,1,0))</formula>
    </cfRule>
  </conditionalFormatting>
  <conditionalFormatting sqref="X44">
    <cfRule type="expression" priority="819" dxfId="3">
      <formula>AND(IF(OR($Q44=1,$Q44=2),1,0),IF($X44&lt;=20,1,0))</formula>
    </cfRule>
    <cfRule type="expression" priority="820" dxfId="2">
      <formula>AND(IF($Q44=2,1,0),IF($X44&lt;30,1,0))</formula>
    </cfRule>
    <cfRule type="expression" priority="821" dxfId="1">
      <formula>AND(IF($Q44=3,1,0),IF($X44&lt;30,1,0))</formula>
    </cfRule>
    <cfRule type="expression" priority="822" dxfId="0">
      <formula>AND(IF($Q44=3,1,IF($Q44=4,1,0)),IF($F44&lt;=85,1,0))</formula>
    </cfRule>
  </conditionalFormatting>
  <conditionalFormatting sqref="AI44">
    <cfRule type="expression" priority="815" dxfId="3">
      <formula>AND(IF(OR($Q44=1,$Q44=2),1,0),IF($X44&lt;=20,1,0))</formula>
    </cfRule>
    <cfRule type="expression" priority="816" dxfId="2">
      <formula>AND(IF($Q44=2,1,0),IF($X44&lt;30,1,0))</formula>
    </cfRule>
    <cfRule type="expression" priority="817" dxfId="1">
      <formula>AND(IF($Q44=3,1,0),IF($X44&lt;30,1,0))</formula>
    </cfRule>
    <cfRule type="expression" priority="818" dxfId="0">
      <formula>AND(IF($Q44=3,1,IF($Q44=4,1,0)),IF($F44&lt;=85,1,0))</formula>
    </cfRule>
  </conditionalFormatting>
  <conditionalFormatting sqref="AV45">
    <cfRule type="expression" priority="813" dxfId="17">
      <formula>AV45="X"</formula>
    </cfRule>
    <cfRule type="expression" priority="814" dxfId="16">
      <formula>AV45="후보"</formula>
    </cfRule>
  </conditionalFormatting>
  <conditionalFormatting sqref="AC45 N45">
    <cfRule type="cellIs" priority="810" operator="greaterThan" dxfId="13">
      <formula>0.9</formula>
    </cfRule>
    <cfRule type="cellIs" priority="811" operator="greaterThan" dxfId="12">
      <formula>0.85</formula>
    </cfRule>
  </conditionalFormatting>
  <conditionalFormatting sqref="AV46">
    <cfRule type="expression" priority="808" dxfId="17">
      <formula>AV46="X"</formula>
    </cfRule>
    <cfRule type="expression" priority="809" dxfId="16">
      <formula>AV46="후보"</formula>
    </cfRule>
  </conditionalFormatting>
  <conditionalFormatting sqref="AC46">
    <cfRule type="cellIs" priority="805" operator="greaterThan" dxfId="13">
      <formula>0.9</formula>
    </cfRule>
    <cfRule type="cellIs" priority="806" operator="greaterThan" dxfId="12">
      <formula>0.85</formula>
    </cfRule>
  </conditionalFormatting>
  <conditionalFormatting sqref="N46">
    <cfRule type="cellIs" priority="803" operator="greaterThan" dxfId="13">
      <formula>0.9</formula>
    </cfRule>
    <cfRule type="cellIs" priority="804" operator="greaterThan" dxfId="12">
      <formula>0.85</formula>
    </cfRule>
  </conditionalFormatting>
  <conditionalFormatting sqref="E46">
    <cfRule type="expression" priority="799" dxfId="3">
      <formula>AND(IF(OR($Q46=1,$Q46=2),1,0),IF($X46&lt;=20,1,0))</formula>
    </cfRule>
    <cfRule type="expression" priority="800" dxfId="2">
      <formula>AND(IF($Q46=2,1,0),IF($X46&lt;30,1,0))</formula>
    </cfRule>
    <cfRule type="expression" priority="801" dxfId="1">
      <formula>AND(IF($Q46=3,1,0),IF($X46&lt;30,1,0))</formula>
    </cfRule>
    <cfRule type="expression" priority="802" dxfId="0">
      <formula>AND(IF($Q46=3,1,IF($Q46=4,1,0)),IF($F46&lt;=85,1,0))</formula>
    </cfRule>
  </conditionalFormatting>
  <conditionalFormatting sqref="X46">
    <cfRule type="expression" priority="795" dxfId="3">
      <formula>AND(IF(OR($Q46=1,$Q46=2),1,0),IF($X46&lt;=20,1,0))</formula>
    </cfRule>
    <cfRule type="expression" priority="796" dxfId="2">
      <formula>AND(IF($Q46=2,1,0),IF($X46&lt;30,1,0))</formula>
    </cfRule>
    <cfRule type="expression" priority="797" dxfId="1">
      <formula>AND(IF($Q46=3,1,0),IF($X46&lt;30,1,0))</formula>
    </cfRule>
    <cfRule type="expression" priority="798" dxfId="0">
      <formula>AND(IF($Q46=3,1,IF($Q46=4,1,0)),IF($F46&lt;=85,1,0))</formula>
    </cfRule>
  </conditionalFormatting>
  <conditionalFormatting sqref="AI46">
    <cfRule type="expression" priority="791" dxfId="3">
      <formula>AND(IF(OR($Q46=1,$Q46=2),1,0),IF($X46&lt;=20,1,0))</formula>
    </cfRule>
    <cfRule type="expression" priority="792" dxfId="2">
      <formula>AND(IF($Q46=2,1,0),IF($X46&lt;30,1,0))</formula>
    </cfRule>
    <cfRule type="expression" priority="793" dxfId="1">
      <formula>AND(IF($Q46=3,1,0),IF($X46&lt;30,1,0))</formula>
    </cfRule>
    <cfRule type="expression" priority="794" dxfId="0">
      <formula>AND(IF($Q46=3,1,IF($Q46=4,1,0)),IF($F46&lt;=85,1,0))</formula>
    </cfRule>
  </conditionalFormatting>
  <conditionalFormatting sqref="AV47">
    <cfRule type="expression" priority="789" dxfId="17">
      <formula>AV47="X"</formula>
    </cfRule>
    <cfRule type="expression" priority="790" dxfId="16">
      <formula>AV47="후보"</formula>
    </cfRule>
  </conditionalFormatting>
  <conditionalFormatting sqref="AC47">
    <cfRule type="cellIs" priority="786" operator="greaterThan" dxfId="13">
      <formula>0.9</formula>
    </cfRule>
    <cfRule type="cellIs" priority="787" operator="greaterThan" dxfId="12">
      <formula>0.85</formula>
    </cfRule>
  </conditionalFormatting>
  <conditionalFormatting sqref="N47">
    <cfRule type="cellIs" priority="784" operator="greaterThan" dxfId="13">
      <formula>0.9</formula>
    </cfRule>
    <cfRule type="cellIs" priority="785" operator="greaterThan" dxfId="12">
      <formula>0.85</formula>
    </cfRule>
  </conditionalFormatting>
  <conditionalFormatting sqref="E47">
    <cfRule type="expression" priority="780" dxfId="3">
      <formula>AND(IF(OR($Q47=1,$Q47=2),1,0),IF($X47&lt;=20,1,0))</formula>
    </cfRule>
    <cfRule type="expression" priority="781" dxfId="2">
      <formula>AND(IF($Q47=2,1,0),IF($X47&lt;30,1,0))</formula>
    </cfRule>
    <cfRule type="expression" priority="782" dxfId="1">
      <formula>AND(IF($Q47=3,1,0),IF($X47&lt;30,1,0))</formula>
    </cfRule>
    <cfRule type="expression" priority="783" dxfId="0">
      <formula>AND(IF($Q47=3,1,IF($Q47=4,1,0)),IF($F47&lt;=85,1,0))</formula>
    </cfRule>
  </conditionalFormatting>
  <conditionalFormatting sqref="X47">
    <cfRule type="expression" priority="776" dxfId="3">
      <formula>AND(IF(OR($Q47=1,$Q47=2),1,0),IF($X47&lt;=20,1,0))</formula>
    </cfRule>
    <cfRule type="expression" priority="777" dxfId="2">
      <formula>AND(IF($Q47=2,1,0),IF($X47&lt;30,1,0))</formula>
    </cfRule>
    <cfRule type="expression" priority="778" dxfId="1">
      <formula>AND(IF($Q47=3,1,0),IF($X47&lt;30,1,0))</formula>
    </cfRule>
    <cfRule type="expression" priority="779" dxfId="0">
      <formula>AND(IF($Q47=3,1,IF($Q47=4,1,0)),IF($F47&lt;=85,1,0))</formula>
    </cfRule>
  </conditionalFormatting>
  <conditionalFormatting sqref="AI47">
    <cfRule type="expression" priority="772" dxfId="3">
      <formula>AND(IF(OR($Q47=1,$Q47=2),1,0),IF($X47&lt;=20,1,0))</formula>
    </cfRule>
    <cfRule type="expression" priority="773" dxfId="2">
      <formula>AND(IF($Q47=2,1,0),IF($X47&lt;30,1,0))</formula>
    </cfRule>
    <cfRule type="expression" priority="774" dxfId="1">
      <formula>AND(IF($Q47=3,1,0),IF($X47&lt;30,1,0))</formula>
    </cfRule>
    <cfRule type="expression" priority="775" dxfId="0">
      <formula>AND(IF($Q47=3,1,IF($Q47=4,1,0)),IF($F47&lt;=85,1,0))</formula>
    </cfRule>
  </conditionalFormatting>
  <conditionalFormatting sqref="AV48">
    <cfRule type="expression" priority="770" dxfId="17">
      <formula>AV48="X"</formula>
    </cfRule>
    <cfRule type="expression" priority="771" dxfId="16">
      <formula>AV48="후보"</formula>
    </cfRule>
  </conditionalFormatting>
  <conditionalFormatting sqref="AC48">
    <cfRule type="cellIs" priority="767" operator="greaterThan" dxfId="13">
      <formula>0.9</formula>
    </cfRule>
    <cfRule type="cellIs" priority="768" operator="greaterThan" dxfId="12">
      <formula>0.85</formula>
    </cfRule>
  </conditionalFormatting>
  <conditionalFormatting sqref="N48">
    <cfRule type="cellIs" priority="765" operator="greaterThan" dxfId="13">
      <formula>0.9</formula>
    </cfRule>
    <cfRule type="cellIs" priority="766" operator="greaterThan" dxfId="12">
      <formula>0.85</formula>
    </cfRule>
  </conditionalFormatting>
  <conditionalFormatting sqref="E48">
    <cfRule type="expression" priority="761" dxfId="3">
      <formula>AND(IF(OR($Q48=1,$Q48=2),1,0),IF($X48&lt;=20,1,0))</formula>
    </cfRule>
    <cfRule type="expression" priority="762" dxfId="2">
      <formula>AND(IF($Q48=2,1,0),IF($X48&lt;30,1,0))</formula>
    </cfRule>
    <cfRule type="expression" priority="763" dxfId="1">
      <formula>AND(IF($Q48=3,1,0),IF($X48&lt;30,1,0))</formula>
    </cfRule>
    <cfRule type="expression" priority="764" dxfId="0">
      <formula>AND(IF($Q48=3,1,IF($Q48=4,1,0)),IF($F48&lt;=85,1,0))</formula>
    </cfRule>
  </conditionalFormatting>
  <conditionalFormatting sqref="X48">
    <cfRule type="expression" priority="757" dxfId="3">
      <formula>AND(IF(OR($Q48=1,$Q48=2),1,0),IF($X48&lt;=20,1,0))</formula>
    </cfRule>
    <cfRule type="expression" priority="758" dxfId="2">
      <formula>AND(IF($Q48=2,1,0),IF($X48&lt;30,1,0))</formula>
    </cfRule>
    <cfRule type="expression" priority="759" dxfId="1">
      <formula>AND(IF($Q48=3,1,0),IF($X48&lt;30,1,0))</formula>
    </cfRule>
    <cfRule type="expression" priority="760" dxfId="0">
      <formula>AND(IF($Q48=3,1,IF($Q48=4,1,0)),IF($F48&lt;=85,1,0))</formula>
    </cfRule>
  </conditionalFormatting>
  <conditionalFormatting sqref="AI48">
    <cfRule type="expression" priority="753" dxfId="3">
      <formula>AND(IF(OR($Q48=1,$Q48=2),1,0),IF($X48&lt;=20,1,0))</formula>
    </cfRule>
    <cfRule type="expression" priority="754" dxfId="2">
      <formula>AND(IF($Q48=2,1,0),IF($X48&lt;30,1,0))</formula>
    </cfRule>
    <cfRule type="expression" priority="755" dxfId="1">
      <formula>AND(IF($Q48=3,1,0),IF($X48&lt;30,1,0))</formula>
    </cfRule>
    <cfRule type="expression" priority="756" dxfId="0">
      <formula>AND(IF($Q48=3,1,IF($Q48=4,1,0)),IF($F48&lt;=85,1,0))</formula>
    </cfRule>
  </conditionalFormatting>
  <conditionalFormatting sqref="AV49">
    <cfRule type="expression" priority="751" dxfId="17">
      <formula>AV49="X"</formula>
    </cfRule>
    <cfRule type="expression" priority="752" dxfId="16">
      <formula>AV49="후보"</formula>
    </cfRule>
  </conditionalFormatting>
  <conditionalFormatting sqref="AC49 N49">
    <cfRule type="cellIs" priority="748" operator="greaterThan" dxfId="13">
      <formula>0.9</formula>
    </cfRule>
    <cfRule type="cellIs" priority="749" operator="greaterThan" dxfId="12">
      <formula>0.85</formula>
    </cfRule>
  </conditionalFormatting>
  <conditionalFormatting sqref="AV50">
    <cfRule type="expression" priority="746" dxfId="17">
      <formula>AV50="X"</formula>
    </cfRule>
    <cfRule type="expression" priority="747" dxfId="16">
      <formula>AV50="후보"</formula>
    </cfRule>
  </conditionalFormatting>
  <conditionalFormatting sqref="AC50">
    <cfRule type="cellIs" priority="743" operator="greaterThan" dxfId="13">
      <formula>0.9</formula>
    </cfRule>
    <cfRule type="cellIs" priority="744" operator="greaterThan" dxfId="12">
      <formula>0.85</formula>
    </cfRule>
  </conditionalFormatting>
  <conditionalFormatting sqref="N50">
    <cfRule type="cellIs" priority="741" operator="greaterThan" dxfId="13">
      <formula>0.9</formula>
    </cfRule>
    <cfRule type="cellIs" priority="742" operator="greaterThan" dxfId="12">
      <formula>0.85</formula>
    </cfRule>
  </conditionalFormatting>
  <conditionalFormatting sqref="E50">
    <cfRule type="expression" priority="737" dxfId="3">
      <formula>AND(IF(OR($Q50=1,$Q50=2),1,0),IF($X50&lt;=20,1,0))</formula>
    </cfRule>
    <cfRule type="expression" priority="738" dxfId="2">
      <formula>AND(IF($Q50=2,1,0),IF($X50&lt;30,1,0))</formula>
    </cfRule>
    <cfRule type="expression" priority="739" dxfId="1">
      <formula>AND(IF($Q50=3,1,0),IF($X50&lt;30,1,0))</formula>
    </cfRule>
    <cfRule type="expression" priority="740" dxfId="0">
      <formula>AND(IF($Q50=3,1,IF($Q50=4,1,0)),IF($F50&lt;=85,1,0))</formula>
    </cfRule>
  </conditionalFormatting>
  <conditionalFormatting sqref="X50">
    <cfRule type="expression" priority="733" dxfId="3">
      <formula>AND(IF(OR($Q50=1,$Q50=2),1,0),IF($X50&lt;=20,1,0))</formula>
    </cfRule>
    <cfRule type="expression" priority="734" dxfId="2">
      <formula>AND(IF($Q50=2,1,0),IF($X50&lt;30,1,0))</formula>
    </cfRule>
    <cfRule type="expression" priority="735" dxfId="1">
      <formula>AND(IF($Q50=3,1,0),IF($X50&lt;30,1,0))</formula>
    </cfRule>
    <cfRule type="expression" priority="736" dxfId="0">
      <formula>AND(IF($Q50=3,1,IF($Q50=4,1,0)),IF($F50&lt;=85,1,0))</formula>
    </cfRule>
  </conditionalFormatting>
  <conditionalFormatting sqref="AI50">
    <cfRule type="expression" priority="729" dxfId="3">
      <formula>AND(IF(OR($Q50=1,$Q50=2),1,0),IF($X50&lt;=20,1,0))</formula>
    </cfRule>
    <cfRule type="expression" priority="730" dxfId="2">
      <formula>AND(IF($Q50=2,1,0),IF($X50&lt;30,1,0))</formula>
    </cfRule>
    <cfRule type="expression" priority="731" dxfId="1">
      <formula>AND(IF($Q50=3,1,0),IF($X50&lt;30,1,0))</formula>
    </cfRule>
    <cfRule type="expression" priority="732" dxfId="0">
      <formula>AND(IF($Q50=3,1,IF($Q50=4,1,0)),IF($F50&lt;=85,1,0))</formula>
    </cfRule>
  </conditionalFormatting>
  <conditionalFormatting sqref="AV51">
    <cfRule type="expression" priority="727" dxfId="17">
      <formula>AV51="X"</formula>
    </cfRule>
    <cfRule type="expression" priority="728" dxfId="16">
      <formula>AV51="후보"</formula>
    </cfRule>
  </conditionalFormatting>
  <conditionalFormatting sqref="AC51">
    <cfRule type="cellIs" priority="724" operator="greaterThan" dxfId="13">
      <formula>0.9</formula>
    </cfRule>
    <cfRule type="cellIs" priority="725" operator="greaterThan" dxfId="12">
      <formula>0.85</formula>
    </cfRule>
  </conditionalFormatting>
  <conditionalFormatting sqref="N51">
    <cfRule type="cellIs" priority="722" operator="greaterThan" dxfId="13">
      <formula>0.9</formula>
    </cfRule>
    <cfRule type="cellIs" priority="723" operator="greaterThan" dxfId="12">
      <formula>0.85</formula>
    </cfRule>
  </conditionalFormatting>
  <conditionalFormatting sqref="E51">
    <cfRule type="expression" priority="718" dxfId="3">
      <formula>AND(IF(OR($Q51=1,$Q51=2),1,0),IF($X51&lt;=20,1,0))</formula>
    </cfRule>
    <cfRule type="expression" priority="719" dxfId="2">
      <formula>AND(IF($Q51=2,1,0),IF($X51&lt;30,1,0))</formula>
    </cfRule>
    <cfRule type="expression" priority="720" dxfId="1">
      <formula>AND(IF($Q51=3,1,0),IF($X51&lt;30,1,0))</formula>
    </cfRule>
    <cfRule type="expression" priority="721" dxfId="0">
      <formula>AND(IF($Q51=3,1,IF($Q51=4,1,0)),IF($F51&lt;=85,1,0))</formula>
    </cfRule>
  </conditionalFormatting>
  <conditionalFormatting sqref="X51">
    <cfRule type="expression" priority="714" dxfId="3">
      <formula>AND(IF(OR($Q51=1,$Q51=2),1,0),IF($X51&lt;=20,1,0))</formula>
    </cfRule>
    <cfRule type="expression" priority="715" dxfId="2">
      <formula>AND(IF($Q51=2,1,0),IF($X51&lt;30,1,0))</formula>
    </cfRule>
    <cfRule type="expression" priority="716" dxfId="1">
      <formula>AND(IF($Q51=3,1,0),IF($X51&lt;30,1,0))</formula>
    </cfRule>
    <cfRule type="expression" priority="717" dxfId="0">
      <formula>AND(IF($Q51=3,1,IF($Q51=4,1,0)),IF($F51&lt;=85,1,0))</formula>
    </cfRule>
  </conditionalFormatting>
  <conditionalFormatting sqref="AI51">
    <cfRule type="expression" priority="710" dxfId="3">
      <formula>AND(IF(OR($Q51=1,$Q51=2),1,0),IF($X51&lt;=20,1,0))</formula>
    </cfRule>
    <cfRule type="expression" priority="711" dxfId="2">
      <formula>AND(IF($Q51=2,1,0),IF($X51&lt;30,1,0))</formula>
    </cfRule>
    <cfRule type="expression" priority="712" dxfId="1">
      <formula>AND(IF($Q51=3,1,0),IF($X51&lt;30,1,0))</formula>
    </cfRule>
    <cfRule type="expression" priority="713" dxfId="0">
      <formula>AND(IF($Q51=3,1,IF($Q51=4,1,0)),IF($F51&lt;=85,1,0))</formula>
    </cfRule>
  </conditionalFormatting>
  <conditionalFormatting sqref="AV52">
    <cfRule type="expression" priority="708" dxfId="17">
      <formula>AV52="X"</formula>
    </cfRule>
    <cfRule type="expression" priority="709" dxfId="16">
      <formula>AV52="후보"</formula>
    </cfRule>
  </conditionalFormatting>
  <conditionalFormatting sqref="AC52">
    <cfRule type="cellIs" priority="705" operator="greaterThan" dxfId="13">
      <formula>0.9</formula>
    </cfRule>
    <cfRule type="cellIs" priority="706" operator="greaterThan" dxfId="12">
      <formula>0.85</formula>
    </cfRule>
  </conditionalFormatting>
  <conditionalFormatting sqref="N52">
    <cfRule type="cellIs" priority="703" operator="greaterThan" dxfId="13">
      <formula>0.9</formula>
    </cfRule>
    <cfRule type="cellIs" priority="704" operator="greaterThan" dxfId="12">
      <formula>0.85</formula>
    </cfRule>
  </conditionalFormatting>
  <conditionalFormatting sqref="E52">
    <cfRule type="expression" priority="699" dxfId="3">
      <formula>AND(IF(OR($Q52=1,$Q52=2),1,0),IF($X52&lt;=20,1,0))</formula>
    </cfRule>
    <cfRule type="expression" priority="700" dxfId="2">
      <formula>AND(IF($Q52=2,1,0),IF($X52&lt;30,1,0))</formula>
    </cfRule>
    <cfRule type="expression" priority="701" dxfId="1">
      <formula>AND(IF($Q52=3,1,0),IF($X52&lt;30,1,0))</formula>
    </cfRule>
    <cfRule type="expression" priority="702" dxfId="0">
      <formula>AND(IF($Q52=3,1,IF($Q52=4,1,0)),IF($F52&lt;=85,1,0))</formula>
    </cfRule>
  </conditionalFormatting>
  <conditionalFormatting sqref="X52">
    <cfRule type="expression" priority="695" dxfId="3">
      <formula>AND(IF(OR($Q52=1,$Q52=2),1,0),IF($X52&lt;=20,1,0))</formula>
    </cfRule>
    <cfRule type="expression" priority="696" dxfId="2">
      <formula>AND(IF($Q52=2,1,0),IF($X52&lt;30,1,0))</formula>
    </cfRule>
    <cfRule type="expression" priority="697" dxfId="1">
      <formula>AND(IF($Q52=3,1,0),IF($X52&lt;30,1,0))</formula>
    </cfRule>
    <cfRule type="expression" priority="698" dxfId="0">
      <formula>AND(IF($Q52=3,1,IF($Q52=4,1,0)),IF($F52&lt;=85,1,0))</formula>
    </cfRule>
  </conditionalFormatting>
  <conditionalFormatting sqref="AI52">
    <cfRule type="expression" priority="691" dxfId="3">
      <formula>AND(IF(OR($Q52=1,$Q52=2),1,0),IF($X52&lt;=20,1,0))</formula>
    </cfRule>
    <cfRule type="expression" priority="692" dxfId="2">
      <formula>AND(IF($Q52=2,1,0),IF($X52&lt;30,1,0))</formula>
    </cfRule>
    <cfRule type="expression" priority="693" dxfId="1">
      <formula>AND(IF($Q52=3,1,0),IF($X52&lt;30,1,0))</formula>
    </cfRule>
    <cfRule type="expression" priority="694" dxfId="0">
      <formula>AND(IF($Q52=3,1,IF($Q52=4,1,0)),IF($F52&lt;=85,1,0))</formula>
    </cfRule>
  </conditionalFormatting>
  <conditionalFormatting sqref="AV53">
    <cfRule type="expression" priority="689" dxfId="17">
      <formula>AV53="X"</formula>
    </cfRule>
    <cfRule type="expression" priority="690" dxfId="16">
      <formula>AV53="후보"</formula>
    </cfRule>
  </conditionalFormatting>
  <conditionalFormatting sqref="AC53">
    <cfRule type="cellIs" priority="686" operator="greaterThan" dxfId="13">
      <formula>0.9</formula>
    </cfRule>
    <cfRule type="cellIs" priority="687" operator="greaterThan" dxfId="12">
      <formula>0.85</formula>
    </cfRule>
  </conditionalFormatting>
  <conditionalFormatting sqref="N53">
    <cfRule type="cellIs" priority="684" operator="greaterThan" dxfId="13">
      <formula>0.9</formula>
    </cfRule>
    <cfRule type="cellIs" priority="685" operator="greaterThan" dxfId="12">
      <formula>0.85</formula>
    </cfRule>
  </conditionalFormatting>
  <conditionalFormatting sqref="E53">
    <cfRule type="expression" priority="680" dxfId="3">
      <formula>AND(IF(OR($Q53=1,$Q53=2),1,0),IF($X53&lt;=20,1,0))</formula>
    </cfRule>
    <cfRule type="expression" priority="681" dxfId="2">
      <formula>AND(IF($Q53=2,1,0),IF($X53&lt;30,1,0))</formula>
    </cfRule>
    <cfRule type="expression" priority="682" dxfId="1">
      <formula>AND(IF($Q53=3,1,0),IF($X53&lt;30,1,0))</formula>
    </cfRule>
    <cfRule type="expression" priority="683" dxfId="0">
      <formula>AND(IF($Q53=3,1,IF($Q53=4,1,0)),IF($F53&lt;=85,1,0))</formula>
    </cfRule>
  </conditionalFormatting>
  <conditionalFormatting sqref="X53">
    <cfRule type="expression" priority="676" dxfId="3">
      <formula>AND(IF(OR($Q53=1,$Q53=2),1,0),IF($X53&lt;=20,1,0))</formula>
    </cfRule>
    <cfRule type="expression" priority="677" dxfId="2">
      <formula>AND(IF($Q53=2,1,0),IF($X53&lt;30,1,0))</formula>
    </cfRule>
    <cfRule type="expression" priority="678" dxfId="1">
      <formula>AND(IF($Q53=3,1,0),IF($X53&lt;30,1,0))</formula>
    </cfRule>
    <cfRule type="expression" priority="679" dxfId="0">
      <formula>AND(IF($Q53=3,1,IF($Q53=4,1,0)),IF($F53&lt;=85,1,0))</formula>
    </cfRule>
  </conditionalFormatting>
  <conditionalFormatting sqref="AI53">
    <cfRule type="expression" priority="672" dxfId="3">
      <formula>AND(IF(OR($Q53=1,$Q53=2),1,0),IF($X53&lt;=20,1,0))</formula>
    </cfRule>
    <cfRule type="expression" priority="673" dxfId="2">
      <formula>AND(IF($Q53=2,1,0),IF($X53&lt;30,1,0))</formula>
    </cfRule>
    <cfRule type="expression" priority="674" dxfId="1">
      <formula>AND(IF($Q53=3,1,0),IF($X53&lt;30,1,0))</formula>
    </cfRule>
    <cfRule type="expression" priority="675" dxfId="0">
      <formula>AND(IF($Q53=3,1,IF($Q53=4,1,0)),IF($F53&lt;=85,1,0))</formula>
    </cfRule>
  </conditionalFormatting>
  <conditionalFormatting sqref="AV54">
    <cfRule type="expression" priority="670" dxfId="17">
      <formula>AV54="X"</formula>
    </cfRule>
    <cfRule type="expression" priority="671" dxfId="16">
      <formula>AV54="후보"</formula>
    </cfRule>
  </conditionalFormatting>
  <conditionalFormatting sqref="AC54">
    <cfRule type="cellIs" priority="667" operator="greaterThan" dxfId="13">
      <formula>0.9</formula>
    </cfRule>
    <cfRule type="cellIs" priority="668" operator="greaterThan" dxfId="12">
      <formula>0.85</formula>
    </cfRule>
  </conditionalFormatting>
  <conditionalFormatting sqref="N54">
    <cfRule type="cellIs" priority="665" operator="greaterThan" dxfId="13">
      <formula>0.9</formula>
    </cfRule>
    <cfRule type="cellIs" priority="666" operator="greaterThan" dxfId="12">
      <formula>0.85</formula>
    </cfRule>
  </conditionalFormatting>
  <conditionalFormatting sqref="E54">
    <cfRule type="expression" priority="661" dxfId="3">
      <formula>AND(IF(OR($Q54=1,$Q54=2),1,0),IF($X54&lt;=20,1,0))</formula>
    </cfRule>
    <cfRule type="expression" priority="662" dxfId="2">
      <formula>AND(IF($Q54=2,1,0),IF($X54&lt;30,1,0))</formula>
    </cfRule>
    <cfRule type="expression" priority="663" dxfId="1">
      <formula>AND(IF($Q54=3,1,0),IF($X54&lt;30,1,0))</formula>
    </cfRule>
    <cfRule type="expression" priority="664" dxfId="0">
      <formula>AND(IF($Q54=3,1,IF($Q54=4,1,0)),IF($F54&lt;=85,1,0))</formula>
    </cfRule>
  </conditionalFormatting>
  <conditionalFormatting sqref="X54">
    <cfRule type="expression" priority="657" dxfId="3">
      <formula>AND(IF(OR($Q54=1,$Q54=2),1,0),IF($X54&lt;=20,1,0))</formula>
    </cfRule>
    <cfRule type="expression" priority="658" dxfId="2">
      <formula>AND(IF($Q54=2,1,0),IF($X54&lt;30,1,0))</formula>
    </cfRule>
    <cfRule type="expression" priority="659" dxfId="1">
      <formula>AND(IF($Q54=3,1,0),IF($X54&lt;30,1,0))</formula>
    </cfRule>
    <cfRule type="expression" priority="660" dxfId="0">
      <formula>AND(IF($Q54=3,1,IF($Q54=4,1,0)),IF($F54&lt;=85,1,0))</formula>
    </cfRule>
  </conditionalFormatting>
  <conditionalFormatting sqref="AI54">
    <cfRule type="expression" priority="653" dxfId="3">
      <formula>AND(IF(OR($Q54=1,$Q54=2),1,0),IF($X54&lt;=20,1,0))</formula>
    </cfRule>
    <cfRule type="expression" priority="654" dxfId="2">
      <formula>AND(IF($Q54=2,1,0),IF($X54&lt;30,1,0))</formula>
    </cfRule>
    <cfRule type="expression" priority="655" dxfId="1">
      <formula>AND(IF($Q54=3,1,0),IF($X54&lt;30,1,0))</formula>
    </cfRule>
    <cfRule type="expression" priority="656" dxfId="0">
      <formula>AND(IF($Q54=3,1,IF($Q54=4,1,0)),IF($F54&lt;=85,1,0))</formula>
    </cfRule>
  </conditionalFormatting>
  <conditionalFormatting sqref="AV55">
    <cfRule type="expression" priority="651" dxfId="17">
      <formula>AV55="X"</formula>
    </cfRule>
    <cfRule type="expression" priority="652" dxfId="16">
      <formula>AV55="후보"</formula>
    </cfRule>
  </conditionalFormatting>
  <conditionalFormatting sqref="AC55">
    <cfRule type="cellIs" priority="648" operator="greaterThan" dxfId="13">
      <formula>0.9</formula>
    </cfRule>
    <cfRule type="cellIs" priority="649" operator="greaterThan" dxfId="12">
      <formula>0.85</formula>
    </cfRule>
  </conditionalFormatting>
  <conditionalFormatting sqref="N55">
    <cfRule type="cellIs" priority="646" operator="greaterThan" dxfId="13">
      <formula>0.9</formula>
    </cfRule>
    <cfRule type="cellIs" priority="647" operator="greaterThan" dxfId="12">
      <formula>0.85</formula>
    </cfRule>
  </conditionalFormatting>
  <conditionalFormatting sqref="E55">
    <cfRule type="expression" priority="642" dxfId="3">
      <formula>AND(IF(OR($Q55=1,$Q55=2),1,0),IF($X55&lt;=20,1,0))</formula>
    </cfRule>
    <cfRule type="expression" priority="643" dxfId="2">
      <formula>AND(IF($Q55=2,1,0),IF($X55&lt;30,1,0))</formula>
    </cfRule>
    <cfRule type="expression" priority="644" dxfId="1">
      <formula>AND(IF($Q55=3,1,0),IF($X55&lt;30,1,0))</formula>
    </cfRule>
    <cfRule type="expression" priority="645" dxfId="0">
      <formula>AND(IF($Q55=3,1,IF($Q55=4,1,0)),IF($F55&lt;=85,1,0))</formula>
    </cfRule>
  </conditionalFormatting>
  <conditionalFormatting sqref="X55">
    <cfRule type="expression" priority="638" dxfId="3">
      <formula>AND(IF(OR($Q55=1,$Q55=2),1,0),IF($X55&lt;=20,1,0))</formula>
    </cfRule>
    <cfRule type="expression" priority="639" dxfId="2">
      <formula>AND(IF($Q55=2,1,0),IF($X55&lt;30,1,0))</formula>
    </cfRule>
    <cfRule type="expression" priority="640" dxfId="1">
      <formula>AND(IF($Q55=3,1,0),IF($X55&lt;30,1,0))</formula>
    </cfRule>
    <cfRule type="expression" priority="641" dxfId="0">
      <formula>AND(IF($Q55=3,1,IF($Q55=4,1,0)),IF($F55&lt;=85,1,0))</formula>
    </cfRule>
  </conditionalFormatting>
  <conditionalFormatting sqref="AI55">
    <cfRule type="expression" priority="634" dxfId="3">
      <formula>AND(IF(OR($Q55=1,$Q55=2),1,0),IF($X55&lt;=20,1,0))</formula>
    </cfRule>
    <cfRule type="expression" priority="635" dxfId="2">
      <formula>AND(IF($Q55=2,1,0),IF($X55&lt;30,1,0))</formula>
    </cfRule>
    <cfRule type="expression" priority="636" dxfId="1">
      <formula>AND(IF($Q55=3,1,0),IF($X55&lt;30,1,0))</formula>
    </cfRule>
    <cfRule type="expression" priority="637" dxfId="0">
      <formula>AND(IF($Q55=3,1,IF($Q55=4,1,0)),IF($F55&lt;=85,1,0))</formula>
    </cfRule>
  </conditionalFormatting>
  <conditionalFormatting sqref="AV56">
    <cfRule type="expression" priority="632" dxfId="17">
      <formula>AV56="X"</formula>
    </cfRule>
    <cfRule type="expression" priority="633" dxfId="16">
      <formula>AV56="후보"</formula>
    </cfRule>
  </conditionalFormatting>
  <conditionalFormatting sqref="AC56">
    <cfRule type="cellIs" priority="629" operator="greaterThan" dxfId="13">
      <formula>0.9</formula>
    </cfRule>
    <cfRule type="cellIs" priority="630" operator="greaterThan" dxfId="12">
      <formula>0.85</formula>
    </cfRule>
  </conditionalFormatting>
  <conditionalFormatting sqref="N56">
    <cfRule type="cellIs" priority="627" operator="greaterThan" dxfId="13">
      <formula>0.9</formula>
    </cfRule>
    <cfRule type="cellIs" priority="628" operator="greaterThan" dxfId="12">
      <formula>0.85</formula>
    </cfRule>
  </conditionalFormatting>
  <conditionalFormatting sqref="E56">
    <cfRule type="expression" priority="623" dxfId="3">
      <formula>AND(IF(OR($Q56=1,$Q56=2),1,0),IF($X56&lt;=20,1,0))</formula>
    </cfRule>
    <cfRule type="expression" priority="624" dxfId="2">
      <formula>AND(IF($Q56=2,1,0),IF($X56&lt;30,1,0))</formula>
    </cfRule>
    <cfRule type="expression" priority="625" dxfId="1">
      <formula>AND(IF($Q56=3,1,0),IF($X56&lt;30,1,0))</formula>
    </cfRule>
    <cfRule type="expression" priority="626" dxfId="0">
      <formula>AND(IF($Q56=3,1,IF($Q56=4,1,0)),IF($F56&lt;=85,1,0))</formula>
    </cfRule>
  </conditionalFormatting>
  <conditionalFormatting sqref="X56">
    <cfRule type="expression" priority="619" dxfId="3">
      <formula>AND(IF(OR($Q56=1,$Q56=2),1,0),IF($X56&lt;=20,1,0))</formula>
    </cfRule>
    <cfRule type="expression" priority="620" dxfId="2">
      <formula>AND(IF($Q56=2,1,0),IF($X56&lt;30,1,0))</formula>
    </cfRule>
    <cfRule type="expression" priority="621" dxfId="1">
      <formula>AND(IF($Q56=3,1,0),IF($X56&lt;30,1,0))</formula>
    </cfRule>
    <cfRule type="expression" priority="622" dxfId="0">
      <formula>AND(IF($Q56=3,1,IF($Q56=4,1,0)),IF($F56&lt;=85,1,0))</formula>
    </cfRule>
  </conditionalFormatting>
  <conditionalFormatting sqref="AI56">
    <cfRule type="expression" priority="615" dxfId="3">
      <formula>AND(IF(OR($Q56=1,$Q56=2),1,0),IF($X56&lt;=20,1,0))</formula>
    </cfRule>
    <cfRule type="expression" priority="616" dxfId="2">
      <formula>AND(IF($Q56=2,1,0),IF($X56&lt;30,1,0))</formula>
    </cfRule>
    <cfRule type="expression" priority="617" dxfId="1">
      <formula>AND(IF($Q56=3,1,0),IF($X56&lt;30,1,0))</formula>
    </cfRule>
    <cfRule type="expression" priority="618" dxfId="0">
      <formula>AND(IF($Q56=3,1,IF($Q56=4,1,0)),IF($F56&lt;=85,1,0))</formula>
    </cfRule>
  </conditionalFormatting>
  <conditionalFormatting sqref="AV57">
    <cfRule type="expression" priority="613" dxfId="17">
      <formula>AV57="X"</formula>
    </cfRule>
    <cfRule type="expression" priority="614" dxfId="16">
      <formula>AV57="후보"</formula>
    </cfRule>
  </conditionalFormatting>
  <conditionalFormatting sqref="AC57 N57">
    <cfRule type="cellIs" priority="610" operator="greaterThan" dxfId="13">
      <formula>0.9</formula>
    </cfRule>
    <cfRule type="cellIs" priority="611" operator="greaterThan" dxfId="12">
      <formula>0.85</formula>
    </cfRule>
  </conditionalFormatting>
  <conditionalFormatting sqref="AV58">
    <cfRule type="expression" priority="608" dxfId="17">
      <formula>AV58="X"</formula>
    </cfRule>
    <cfRule type="expression" priority="609" dxfId="16">
      <formula>AV58="후보"</formula>
    </cfRule>
  </conditionalFormatting>
  <conditionalFormatting sqref="AC58">
    <cfRule type="cellIs" priority="605" operator="greaterThan" dxfId="13">
      <formula>0.9</formula>
    </cfRule>
    <cfRule type="cellIs" priority="606" operator="greaterThan" dxfId="12">
      <formula>0.85</formula>
    </cfRule>
  </conditionalFormatting>
  <conditionalFormatting sqref="N58">
    <cfRule type="cellIs" priority="603" operator="greaterThan" dxfId="13">
      <formula>0.9</formula>
    </cfRule>
    <cfRule type="cellIs" priority="604" operator="greaterThan" dxfId="12">
      <formula>0.85</formula>
    </cfRule>
  </conditionalFormatting>
  <conditionalFormatting sqref="E58">
    <cfRule type="expression" priority="599" dxfId="3">
      <formula>AND(IF(OR($Q58=1,$Q58=2),1,0),IF($X58&lt;=20,1,0))</formula>
    </cfRule>
    <cfRule type="expression" priority="600" dxfId="2">
      <formula>AND(IF($Q58=2,1,0),IF($X58&lt;30,1,0))</formula>
    </cfRule>
    <cfRule type="expression" priority="601" dxfId="1">
      <formula>AND(IF($Q58=3,1,0),IF($X58&lt;30,1,0))</formula>
    </cfRule>
    <cfRule type="expression" priority="602" dxfId="0">
      <formula>AND(IF($Q58=3,1,IF($Q58=4,1,0)),IF($F58&lt;=85,1,0))</formula>
    </cfRule>
  </conditionalFormatting>
  <conditionalFormatting sqref="X58">
    <cfRule type="expression" priority="595" dxfId="3">
      <formula>AND(IF(OR($Q58=1,$Q58=2),1,0),IF($X58&lt;=20,1,0))</formula>
    </cfRule>
    <cfRule type="expression" priority="596" dxfId="2">
      <formula>AND(IF($Q58=2,1,0),IF($X58&lt;30,1,0))</formula>
    </cfRule>
    <cfRule type="expression" priority="597" dxfId="1">
      <formula>AND(IF($Q58=3,1,0),IF($X58&lt;30,1,0))</formula>
    </cfRule>
    <cfRule type="expression" priority="598" dxfId="0">
      <formula>AND(IF($Q58=3,1,IF($Q58=4,1,0)),IF($F58&lt;=85,1,0))</formula>
    </cfRule>
  </conditionalFormatting>
  <conditionalFormatting sqref="AI58">
    <cfRule type="expression" priority="591" dxfId="3">
      <formula>AND(IF(OR($Q58=1,$Q58=2),1,0),IF($X58&lt;=20,1,0))</formula>
    </cfRule>
    <cfRule type="expression" priority="592" dxfId="2">
      <formula>AND(IF($Q58=2,1,0),IF($X58&lt;30,1,0))</formula>
    </cfRule>
    <cfRule type="expression" priority="593" dxfId="1">
      <formula>AND(IF($Q58=3,1,0),IF($X58&lt;30,1,0))</formula>
    </cfRule>
    <cfRule type="expression" priority="594" dxfId="0">
      <formula>AND(IF($Q58=3,1,IF($Q58=4,1,0)),IF($F58&lt;=85,1,0))</formula>
    </cfRule>
  </conditionalFormatting>
  <conditionalFormatting sqref="AV59">
    <cfRule type="expression" priority="589" dxfId="17">
      <formula>AV59="X"</formula>
    </cfRule>
    <cfRule type="expression" priority="590" dxfId="16">
      <formula>AV59="후보"</formula>
    </cfRule>
  </conditionalFormatting>
  <conditionalFormatting sqref="AC59">
    <cfRule type="cellIs" priority="586" operator="greaterThan" dxfId="13">
      <formula>0.9</formula>
    </cfRule>
    <cfRule type="cellIs" priority="587" operator="greaterThan" dxfId="12">
      <formula>0.85</formula>
    </cfRule>
  </conditionalFormatting>
  <conditionalFormatting sqref="N59">
    <cfRule type="cellIs" priority="584" operator="greaterThan" dxfId="13">
      <formula>0.9</formula>
    </cfRule>
    <cfRule type="cellIs" priority="585" operator="greaterThan" dxfId="12">
      <formula>0.85</formula>
    </cfRule>
  </conditionalFormatting>
  <conditionalFormatting sqref="E59">
    <cfRule type="expression" priority="580" dxfId="3">
      <formula>AND(IF(OR($Q59=1,$Q59=2),1,0),IF($X59&lt;=20,1,0))</formula>
    </cfRule>
    <cfRule type="expression" priority="581" dxfId="2">
      <formula>AND(IF($Q59=2,1,0),IF($X59&lt;30,1,0))</formula>
    </cfRule>
    <cfRule type="expression" priority="582" dxfId="1">
      <formula>AND(IF($Q59=3,1,0),IF($X59&lt;30,1,0))</formula>
    </cfRule>
    <cfRule type="expression" priority="583" dxfId="0">
      <formula>AND(IF($Q59=3,1,IF($Q59=4,1,0)),IF($F59&lt;=85,1,0))</formula>
    </cfRule>
  </conditionalFormatting>
  <conditionalFormatting sqref="X59">
    <cfRule type="expression" priority="576" dxfId="3">
      <formula>AND(IF(OR($Q59=1,$Q59=2),1,0),IF($X59&lt;=20,1,0))</formula>
    </cfRule>
    <cfRule type="expression" priority="577" dxfId="2">
      <formula>AND(IF($Q59=2,1,0),IF($X59&lt;30,1,0))</formula>
    </cfRule>
    <cfRule type="expression" priority="578" dxfId="1">
      <formula>AND(IF($Q59=3,1,0),IF($X59&lt;30,1,0))</formula>
    </cfRule>
    <cfRule type="expression" priority="579" dxfId="0">
      <formula>AND(IF($Q59=3,1,IF($Q59=4,1,0)),IF($F59&lt;=85,1,0))</formula>
    </cfRule>
  </conditionalFormatting>
  <conditionalFormatting sqref="AI59">
    <cfRule type="expression" priority="572" dxfId="3">
      <formula>AND(IF(OR($Q59=1,$Q59=2),1,0),IF($X59&lt;=20,1,0))</formula>
    </cfRule>
    <cfRule type="expression" priority="573" dxfId="2">
      <formula>AND(IF($Q59=2,1,0),IF($X59&lt;30,1,0))</formula>
    </cfRule>
    <cfRule type="expression" priority="574" dxfId="1">
      <formula>AND(IF($Q59=3,1,0),IF($X59&lt;30,1,0))</formula>
    </cfRule>
    <cfRule type="expression" priority="575" dxfId="0">
      <formula>AND(IF($Q59=3,1,IF($Q59=4,1,0)),IF($F59&lt;=85,1,0))</formula>
    </cfRule>
  </conditionalFormatting>
  <conditionalFormatting sqref="AV60">
    <cfRule type="expression" priority="570" dxfId="17">
      <formula>AV60="X"</formula>
    </cfRule>
    <cfRule type="expression" priority="571" dxfId="16">
      <formula>AV60="후보"</formula>
    </cfRule>
  </conditionalFormatting>
  <conditionalFormatting sqref="AC60">
    <cfRule type="cellIs" priority="567" operator="greaterThan" dxfId="13">
      <formula>0.9</formula>
    </cfRule>
    <cfRule type="cellIs" priority="568" operator="greaterThan" dxfId="12">
      <formula>0.85</formula>
    </cfRule>
  </conditionalFormatting>
  <conditionalFormatting sqref="N60">
    <cfRule type="cellIs" priority="565" operator="greaterThan" dxfId="13">
      <formula>0.9</formula>
    </cfRule>
    <cfRule type="cellIs" priority="566" operator="greaterThan" dxfId="12">
      <formula>0.85</formula>
    </cfRule>
  </conditionalFormatting>
  <conditionalFormatting sqref="E60">
    <cfRule type="expression" priority="561" dxfId="3">
      <formula>AND(IF(OR($Q60=1,$Q60=2),1,0),IF($X60&lt;=20,1,0))</formula>
    </cfRule>
    <cfRule type="expression" priority="562" dxfId="2">
      <formula>AND(IF($Q60=2,1,0),IF($X60&lt;30,1,0))</formula>
    </cfRule>
    <cfRule type="expression" priority="563" dxfId="1">
      <formula>AND(IF($Q60=3,1,0),IF($X60&lt;30,1,0))</formula>
    </cfRule>
    <cfRule type="expression" priority="564" dxfId="0">
      <formula>AND(IF($Q60=3,1,IF($Q60=4,1,0)),IF($F60&lt;=85,1,0))</formula>
    </cfRule>
  </conditionalFormatting>
  <conditionalFormatting sqref="X60">
    <cfRule type="expression" priority="557" dxfId="3">
      <formula>AND(IF(OR($Q60=1,$Q60=2),1,0),IF($X60&lt;=20,1,0))</formula>
    </cfRule>
    <cfRule type="expression" priority="558" dxfId="2">
      <formula>AND(IF($Q60=2,1,0),IF($X60&lt;30,1,0))</formula>
    </cfRule>
    <cfRule type="expression" priority="559" dxfId="1">
      <formula>AND(IF($Q60=3,1,0),IF($X60&lt;30,1,0))</formula>
    </cfRule>
    <cfRule type="expression" priority="560" dxfId="0">
      <formula>AND(IF($Q60=3,1,IF($Q60=4,1,0)),IF($F60&lt;=85,1,0))</formula>
    </cfRule>
  </conditionalFormatting>
  <conditionalFormatting sqref="AI60">
    <cfRule type="expression" priority="553" dxfId="3">
      <formula>AND(IF(OR($Q60=1,$Q60=2),1,0),IF($X60&lt;=20,1,0))</formula>
    </cfRule>
    <cfRule type="expression" priority="554" dxfId="2">
      <formula>AND(IF($Q60=2,1,0),IF($X60&lt;30,1,0))</formula>
    </cfRule>
    <cfRule type="expression" priority="555" dxfId="1">
      <formula>AND(IF($Q60=3,1,0),IF($X60&lt;30,1,0))</formula>
    </cfRule>
    <cfRule type="expression" priority="556" dxfId="0">
      <formula>AND(IF($Q60=3,1,IF($Q60=4,1,0)),IF($F60&lt;=85,1,0))</formula>
    </cfRule>
  </conditionalFormatting>
  <conditionalFormatting sqref="AV61">
    <cfRule type="expression" priority="551" dxfId="17">
      <formula>AV61="X"</formula>
    </cfRule>
    <cfRule type="expression" priority="552" dxfId="16">
      <formula>AV61="후보"</formula>
    </cfRule>
  </conditionalFormatting>
  <conditionalFormatting sqref="AC61 N61">
    <cfRule type="cellIs" priority="548" operator="greaterThan" dxfId="13">
      <formula>0.9</formula>
    </cfRule>
    <cfRule type="cellIs" priority="549" operator="greaterThan" dxfId="12">
      <formula>0.85</formula>
    </cfRule>
  </conditionalFormatting>
  <conditionalFormatting sqref="AV62">
    <cfRule type="expression" priority="546" dxfId="17">
      <formula>AV62="X"</formula>
    </cfRule>
    <cfRule type="expression" priority="547" dxfId="16">
      <formula>AV62="후보"</formula>
    </cfRule>
  </conditionalFormatting>
  <conditionalFormatting sqref="AC62">
    <cfRule type="cellIs" priority="543" operator="greaterThan" dxfId="13">
      <formula>0.9</formula>
    </cfRule>
    <cfRule type="cellIs" priority="544" operator="greaterThan" dxfId="12">
      <formula>0.85</formula>
    </cfRule>
  </conditionalFormatting>
  <conditionalFormatting sqref="N62">
    <cfRule type="cellIs" priority="541" operator="greaterThan" dxfId="13">
      <formula>0.9</formula>
    </cfRule>
    <cfRule type="cellIs" priority="542" operator="greaterThan" dxfId="12">
      <formula>0.85</formula>
    </cfRule>
  </conditionalFormatting>
  <conditionalFormatting sqref="E62">
    <cfRule type="expression" priority="537" dxfId="3">
      <formula>AND(IF(OR($Q62=1,$Q62=2),1,0),IF($X62&lt;=20,1,0))</formula>
    </cfRule>
    <cfRule type="expression" priority="538" dxfId="2">
      <formula>AND(IF($Q62=2,1,0),IF($X62&lt;30,1,0))</formula>
    </cfRule>
    <cfRule type="expression" priority="539" dxfId="1">
      <formula>AND(IF($Q62=3,1,0),IF($X62&lt;30,1,0))</formula>
    </cfRule>
    <cfRule type="expression" priority="540" dxfId="0">
      <formula>AND(IF($Q62=3,1,IF($Q62=4,1,0)),IF($F62&lt;=85,1,0))</formula>
    </cfRule>
  </conditionalFormatting>
  <conditionalFormatting sqref="X62">
    <cfRule type="expression" priority="533" dxfId="3">
      <formula>AND(IF(OR($Q62=1,$Q62=2),1,0),IF($X62&lt;=20,1,0))</formula>
    </cfRule>
    <cfRule type="expression" priority="534" dxfId="2">
      <formula>AND(IF($Q62=2,1,0),IF($X62&lt;30,1,0))</formula>
    </cfRule>
    <cfRule type="expression" priority="535" dxfId="1">
      <formula>AND(IF($Q62=3,1,0),IF($X62&lt;30,1,0))</formula>
    </cfRule>
    <cfRule type="expression" priority="536" dxfId="0">
      <formula>AND(IF($Q62=3,1,IF($Q62=4,1,0)),IF($F62&lt;=85,1,0))</formula>
    </cfRule>
  </conditionalFormatting>
  <conditionalFormatting sqref="AI62">
    <cfRule type="expression" priority="529" dxfId="3">
      <formula>AND(IF(OR($Q62=1,$Q62=2),1,0),IF($X62&lt;=20,1,0))</formula>
    </cfRule>
    <cfRule type="expression" priority="530" dxfId="2">
      <formula>AND(IF($Q62=2,1,0),IF($X62&lt;30,1,0))</formula>
    </cfRule>
    <cfRule type="expression" priority="531" dxfId="1">
      <formula>AND(IF($Q62=3,1,0),IF($X62&lt;30,1,0))</formula>
    </cfRule>
    <cfRule type="expression" priority="532" dxfId="0">
      <formula>AND(IF($Q62=3,1,IF($Q62=4,1,0)),IF($F62&lt;=85,1,0))</formula>
    </cfRule>
  </conditionalFormatting>
  <conditionalFormatting sqref="AV63">
    <cfRule type="expression" priority="527" dxfId="17">
      <formula>AV63="X"</formula>
    </cfRule>
    <cfRule type="expression" priority="528" dxfId="16">
      <formula>AV63="후보"</formula>
    </cfRule>
  </conditionalFormatting>
  <conditionalFormatting sqref="AC63">
    <cfRule type="cellIs" priority="524" operator="greaterThan" dxfId="13">
      <formula>0.9</formula>
    </cfRule>
    <cfRule type="cellIs" priority="525" operator="greaterThan" dxfId="12">
      <formula>0.85</formula>
    </cfRule>
  </conditionalFormatting>
  <conditionalFormatting sqref="N63">
    <cfRule type="cellIs" priority="522" operator="greaterThan" dxfId="13">
      <formula>0.9</formula>
    </cfRule>
    <cfRule type="cellIs" priority="523" operator="greaterThan" dxfId="12">
      <formula>0.85</formula>
    </cfRule>
  </conditionalFormatting>
  <conditionalFormatting sqref="E63">
    <cfRule type="expression" priority="518" dxfId="3">
      <formula>AND(IF(OR($Q63=1,$Q63=2),1,0),IF($X63&lt;=20,1,0))</formula>
    </cfRule>
    <cfRule type="expression" priority="519" dxfId="2">
      <formula>AND(IF($Q63=2,1,0),IF($X63&lt;30,1,0))</formula>
    </cfRule>
    <cfRule type="expression" priority="520" dxfId="1">
      <formula>AND(IF($Q63=3,1,0),IF($X63&lt;30,1,0))</formula>
    </cfRule>
    <cfRule type="expression" priority="521" dxfId="0">
      <formula>AND(IF($Q63=3,1,IF($Q63=4,1,0)),IF($F63&lt;=85,1,0))</formula>
    </cfRule>
  </conditionalFormatting>
  <conditionalFormatting sqref="X63">
    <cfRule type="expression" priority="514" dxfId="3">
      <formula>AND(IF(OR($Q63=1,$Q63=2),1,0),IF($X63&lt;=20,1,0))</formula>
    </cfRule>
    <cfRule type="expression" priority="515" dxfId="2">
      <formula>AND(IF($Q63=2,1,0),IF($X63&lt;30,1,0))</formula>
    </cfRule>
    <cfRule type="expression" priority="516" dxfId="1">
      <formula>AND(IF($Q63=3,1,0),IF($X63&lt;30,1,0))</formula>
    </cfRule>
    <cfRule type="expression" priority="517" dxfId="0">
      <formula>AND(IF($Q63=3,1,IF($Q63=4,1,0)),IF($F63&lt;=85,1,0))</formula>
    </cfRule>
  </conditionalFormatting>
  <conditionalFormatting sqref="AI63">
    <cfRule type="expression" priority="510" dxfId="3">
      <formula>AND(IF(OR($Q63=1,$Q63=2),1,0),IF($X63&lt;=20,1,0))</formula>
    </cfRule>
    <cfRule type="expression" priority="511" dxfId="2">
      <formula>AND(IF($Q63=2,1,0),IF($X63&lt;30,1,0))</formula>
    </cfRule>
    <cfRule type="expression" priority="512" dxfId="1">
      <formula>AND(IF($Q63=3,1,0),IF($X63&lt;30,1,0))</formula>
    </cfRule>
    <cfRule type="expression" priority="513" dxfId="0">
      <formula>AND(IF($Q63=3,1,IF($Q63=4,1,0)),IF($F63&lt;=85,1,0))</formula>
    </cfRule>
  </conditionalFormatting>
  <conditionalFormatting sqref="AV64">
    <cfRule type="expression" priority="508" dxfId="17">
      <formula>AV64="X"</formula>
    </cfRule>
    <cfRule type="expression" priority="509" dxfId="16">
      <formula>AV64="후보"</formula>
    </cfRule>
  </conditionalFormatting>
  <conditionalFormatting sqref="AC64">
    <cfRule type="cellIs" priority="505" operator="greaterThan" dxfId="13">
      <formula>0.9</formula>
    </cfRule>
    <cfRule type="cellIs" priority="506" operator="greaterThan" dxfId="12">
      <formula>0.85</formula>
    </cfRule>
  </conditionalFormatting>
  <conditionalFormatting sqref="N64">
    <cfRule type="cellIs" priority="503" operator="greaterThan" dxfId="13">
      <formula>0.9</formula>
    </cfRule>
    <cfRule type="cellIs" priority="504" operator="greaterThan" dxfId="12">
      <formula>0.85</formula>
    </cfRule>
  </conditionalFormatting>
  <conditionalFormatting sqref="E64">
    <cfRule type="expression" priority="499" dxfId="3">
      <formula>AND(IF(OR($Q64=1,$Q64=2),1,0),IF($X64&lt;=20,1,0))</formula>
    </cfRule>
    <cfRule type="expression" priority="500" dxfId="2">
      <formula>AND(IF($Q64=2,1,0),IF($X64&lt;30,1,0))</formula>
    </cfRule>
    <cfRule type="expression" priority="501" dxfId="1">
      <formula>AND(IF($Q64=3,1,0),IF($X64&lt;30,1,0))</formula>
    </cfRule>
    <cfRule type="expression" priority="502" dxfId="0">
      <formula>AND(IF($Q64=3,1,IF($Q64=4,1,0)),IF($F64&lt;=85,1,0))</formula>
    </cfRule>
  </conditionalFormatting>
  <conditionalFormatting sqref="X64">
    <cfRule type="expression" priority="495" dxfId="3">
      <formula>AND(IF(OR($Q64=1,$Q64=2),1,0),IF($X64&lt;=20,1,0))</formula>
    </cfRule>
    <cfRule type="expression" priority="496" dxfId="2">
      <formula>AND(IF($Q64=2,1,0),IF($X64&lt;30,1,0))</formula>
    </cfRule>
    <cfRule type="expression" priority="497" dxfId="1">
      <formula>AND(IF($Q64=3,1,0),IF($X64&lt;30,1,0))</formula>
    </cfRule>
    <cfRule type="expression" priority="498" dxfId="0">
      <formula>AND(IF($Q64=3,1,IF($Q64=4,1,0)),IF($F64&lt;=85,1,0))</formula>
    </cfRule>
  </conditionalFormatting>
  <conditionalFormatting sqref="AI64">
    <cfRule type="expression" priority="491" dxfId="3">
      <formula>AND(IF(OR($Q64=1,$Q64=2),1,0),IF($X64&lt;=20,1,0))</formula>
    </cfRule>
    <cfRule type="expression" priority="492" dxfId="2">
      <formula>AND(IF($Q64=2,1,0),IF($X64&lt;30,1,0))</formula>
    </cfRule>
    <cfRule type="expression" priority="493" dxfId="1">
      <formula>AND(IF($Q64=3,1,0),IF($X64&lt;30,1,0))</formula>
    </cfRule>
    <cfRule type="expression" priority="494" dxfId="0">
      <formula>AND(IF($Q64=3,1,IF($Q64=4,1,0)),IF($F64&lt;=85,1,0))</formula>
    </cfRule>
  </conditionalFormatting>
  <conditionalFormatting sqref="AV65">
    <cfRule type="expression" priority="489" dxfId="17">
      <formula>AV65="X"</formula>
    </cfRule>
    <cfRule type="expression" priority="490" dxfId="16">
      <formula>AV65="후보"</formula>
    </cfRule>
  </conditionalFormatting>
  <conditionalFormatting sqref="AC65">
    <cfRule type="cellIs" priority="486" operator="greaterThan" dxfId="13">
      <formula>0.9</formula>
    </cfRule>
    <cfRule type="cellIs" priority="487" operator="greaterThan" dxfId="12">
      <formula>0.85</formula>
    </cfRule>
  </conditionalFormatting>
  <conditionalFormatting sqref="N65">
    <cfRule type="cellIs" priority="484" operator="greaterThan" dxfId="13">
      <formula>0.9</formula>
    </cfRule>
    <cfRule type="cellIs" priority="485" operator="greaterThan" dxfId="12">
      <formula>0.85</formula>
    </cfRule>
  </conditionalFormatting>
  <conditionalFormatting sqref="E65">
    <cfRule type="expression" priority="480" dxfId="3">
      <formula>AND(IF(OR($Q65=1,$Q65=2),1,0),IF($X65&lt;=20,1,0))</formula>
    </cfRule>
    <cfRule type="expression" priority="481" dxfId="2">
      <formula>AND(IF($Q65=2,1,0),IF($X65&lt;30,1,0))</formula>
    </cfRule>
    <cfRule type="expression" priority="482" dxfId="1">
      <formula>AND(IF($Q65=3,1,0),IF($X65&lt;30,1,0))</formula>
    </cfRule>
    <cfRule type="expression" priority="483" dxfId="0">
      <formula>AND(IF($Q65=3,1,IF($Q65=4,1,0)),IF($F65&lt;=85,1,0))</formula>
    </cfRule>
  </conditionalFormatting>
  <conditionalFormatting sqref="X65">
    <cfRule type="expression" priority="476" dxfId="3">
      <formula>AND(IF(OR($Q65=1,$Q65=2),1,0),IF($X65&lt;=20,1,0))</formula>
    </cfRule>
    <cfRule type="expression" priority="477" dxfId="2">
      <formula>AND(IF($Q65=2,1,0),IF($X65&lt;30,1,0))</formula>
    </cfRule>
    <cfRule type="expression" priority="478" dxfId="1">
      <formula>AND(IF($Q65=3,1,0),IF($X65&lt;30,1,0))</formula>
    </cfRule>
    <cfRule type="expression" priority="479" dxfId="0">
      <formula>AND(IF($Q65=3,1,IF($Q65=4,1,0)),IF($F65&lt;=85,1,0))</formula>
    </cfRule>
  </conditionalFormatting>
  <conditionalFormatting sqref="AI65">
    <cfRule type="expression" priority="472" dxfId="3">
      <formula>AND(IF(OR($Q65=1,$Q65=2),1,0),IF($X65&lt;=20,1,0))</formula>
    </cfRule>
    <cfRule type="expression" priority="473" dxfId="2">
      <formula>AND(IF($Q65=2,1,0),IF($X65&lt;30,1,0))</formula>
    </cfRule>
    <cfRule type="expression" priority="474" dxfId="1">
      <formula>AND(IF($Q65=3,1,0),IF($X65&lt;30,1,0))</formula>
    </cfRule>
    <cfRule type="expression" priority="475" dxfId="0">
      <formula>AND(IF($Q65=3,1,IF($Q65=4,1,0)),IF($F65&lt;=85,1,0))</formula>
    </cfRule>
  </conditionalFormatting>
  <conditionalFormatting sqref="AV66">
    <cfRule type="expression" priority="470" dxfId="17">
      <formula>AV66="X"</formula>
    </cfRule>
    <cfRule type="expression" priority="471" dxfId="16">
      <formula>AV66="후보"</formula>
    </cfRule>
  </conditionalFormatting>
  <conditionalFormatting sqref="AC66">
    <cfRule type="cellIs" priority="467" operator="greaterThan" dxfId="13">
      <formula>0.9</formula>
    </cfRule>
    <cfRule type="cellIs" priority="468" operator="greaterThan" dxfId="12">
      <formula>0.85</formula>
    </cfRule>
  </conditionalFormatting>
  <conditionalFormatting sqref="N66">
    <cfRule type="cellIs" priority="465" operator="greaterThan" dxfId="13">
      <formula>0.9</formula>
    </cfRule>
    <cfRule type="cellIs" priority="466" operator="greaterThan" dxfId="12">
      <formula>0.85</formula>
    </cfRule>
  </conditionalFormatting>
  <conditionalFormatting sqref="E66">
    <cfRule type="expression" priority="461" dxfId="3">
      <formula>AND(IF(OR($Q66=1,$Q66=2),1,0),IF($X66&lt;=20,1,0))</formula>
    </cfRule>
    <cfRule type="expression" priority="462" dxfId="2">
      <formula>AND(IF($Q66=2,1,0),IF($X66&lt;30,1,0))</formula>
    </cfRule>
    <cfRule type="expression" priority="463" dxfId="1">
      <formula>AND(IF($Q66=3,1,0),IF($X66&lt;30,1,0))</formula>
    </cfRule>
    <cfRule type="expression" priority="464" dxfId="0">
      <formula>AND(IF($Q66=3,1,IF($Q66=4,1,0)),IF($F66&lt;=85,1,0))</formula>
    </cfRule>
  </conditionalFormatting>
  <conditionalFormatting sqref="X66">
    <cfRule type="expression" priority="457" dxfId="3">
      <formula>AND(IF(OR($Q66=1,$Q66=2),1,0),IF($X66&lt;=20,1,0))</formula>
    </cfRule>
    <cfRule type="expression" priority="458" dxfId="2">
      <formula>AND(IF($Q66=2,1,0),IF($X66&lt;30,1,0))</formula>
    </cfRule>
    <cfRule type="expression" priority="459" dxfId="1">
      <formula>AND(IF($Q66=3,1,0),IF($X66&lt;30,1,0))</formula>
    </cfRule>
    <cfRule type="expression" priority="460" dxfId="0">
      <formula>AND(IF($Q66=3,1,IF($Q66=4,1,0)),IF($F66&lt;=85,1,0))</formula>
    </cfRule>
  </conditionalFormatting>
  <conditionalFormatting sqref="AI66">
    <cfRule type="expression" priority="453" dxfId="3">
      <formula>AND(IF(OR($Q66=1,$Q66=2),1,0),IF($X66&lt;=20,1,0))</formula>
    </cfRule>
    <cfRule type="expression" priority="454" dxfId="2">
      <formula>AND(IF($Q66=2,1,0),IF($X66&lt;30,1,0))</formula>
    </cfRule>
    <cfRule type="expression" priority="455" dxfId="1">
      <formula>AND(IF($Q66=3,1,0),IF($X66&lt;30,1,0))</formula>
    </cfRule>
    <cfRule type="expression" priority="456" dxfId="0">
      <formula>AND(IF($Q66=3,1,IF($Q66=4,1,0)),IF($F66&lt;=85,1,0))</formula>
    </cfRule>
  </conditionalFormatting>
  <conditionalFormatting sqref="AV67">
    <cfRule type="expression" priority="451" dxfId="17">
      <formula>AV67="X"</formula>
    </cfRule>
    <cfRule type="expression" priority="452" dxfId="16">
      <formula>AV67="후보"</formula>
    </cfRule>
  </conditionalFormatting>
  <conditionalFormatting sqref="AC67">
    <cfRule type="cellIs" priority="448" operator="greaterThan" dxfId="13">
      <formula>0.9</formula>
    </cfRule>
    <cfRule type="cellIs" priority="449" operator="greaterThan" dxfId="12">
      <formula>0.85</formula>
    </cfRule>
  </conditionalFormatting>
  <conditionalFormatting sqref="N67">
    <cfRule type="cellIs" priority="446" operator="greaterThan" dxfId="13">
      <formula>0.9</formula>
    </cfRule>
    <cfRule type="cellIs" priority="447" operator="greaterThan" dxfId="12">
      <formula>0.85</formula>
    </cfRule>
  </conditionalFormatting>
  <conditionalFormatting sqref="E67">
    <cfRule type="expression" priority="442" dxfId="3">
      <formula>AND(IF(OR($Q67=1,$Q67=2),1,0),IF($X67&lt;=20,1,0))</formula>
    </cfRule>
    <cfRule type="expression" priority="443" dxfId="2">
      <formula>AND(IF($Q67=2,1,0),IF($X67&lt;30,1,0))</formula>
    </cfRule>
    <cfRule type="expression" priority="444" dxfId="1">
      <formula>AND(IF($Q67=3,1,0),IF($X67&lt;30,1,0))</formula>
    </cfRule>
    <cfRule type="expression" priority="445" dxfId="0">
      <formula>AND(IF($Q67=3,1,IF($Q67=4,1,0)),IF($F67&lt;=85,1,0))</formula>
    </cfRule>
  </conditionalFormatting>
  <conditionalFormatting sqref="X67">
    <cfRule type="expression" priority="438" dxfId="3">
      <formula>AND(IF(OR($Q67=1,$Q67=2),1,0),IF($X67&lt;=20,1,0))</formula>
    </cfRule>
    <cfRule type="expression" priority="439" dxfId="2">
      <formula>AND(IF($Q67=2,1,0),IF($X67&lt;30,1,0))</formula>
    </cfRule>
    <cfRule type="expression" priority="440" dxfId="1">
      <formula>AND(IF($Q67=3,1,0),IF($X67&lt;30,1,0))</formula>
    </cfRule>
    <cfRule type="expression" priority="441" dxfId="0">
      <formula>AND(IF($Q67=3,1,IF($Q67=4,1,0)),IF($F67&lt;=85,1,0))</formula>
    </cfRule>
  </conditionalFormatting>
  <conditionalFormatting sqref="AI67">
    <cfRule type="expression" priority="434" dxfId="3">
      <formula>AND(IF(OR($Q67=1,$Q67=2),1,0),IF($X67&lt;=20,1,0))</formula>
    </cfRule>
    <cfRule type="expression" priority="435" dxfId="2">
      <formula>AND(IF($Q67=2,1,0),IF($X67&lt;30,1,0))</formula>
    </cfRule>
    <cfRule type="expression" priority="436" dxfId="1">
      <formula>AND(IF($Q67=3,1,0),IF($X67&lt;30,1,0))</formula>
    </cfRule>
    <cfRule type="expression" priority="437" dxfId="0">
      <formula>AND(IF($Q67=3,1,IF($Q67=4,1,0)),IF($F67&lt;=85,1,0))</formula>
    </cfRule>
  </conditionalFormatting>
  <conditionalFormatting sqref="AV68">
    <cfRule type="expression" priority="432" dxfId="17">
      <formula>AV68="X"</formula>
    </cfRule>
    <cfRule type="expression" priority="433" dxfId="16">
      <formula>AV68="후보"</formula>
    </cfRule>
  </conditionalFormatting>
  <conditionalFormatting sqref="AC68">
    <cfRule type="cellIs" priority="429" operator="greaterThan" dxfId="13">
      <formula>0.9</formula>
    </cfRule>
    <cfRule type="cellIs" priority="430" operator="greaterThan" dxfId="12">
      <formula>0.85</formula>
    </cfRule>
  </conditionalFormatting>
  <conditionalFormatting sqref="N68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E68">
    <cfRule type="expression" priority="423" dxfId="3">
      <formula>AND(IF(OR($Q68=1,$Q68=2),1,0),IF($X68&lt;=20,1,0))</formula>
    </cfRule>
    <cfRule type="expression" priority="424" dxfId="2">
      <formula>AND(IF($Q68=2,1,0),IF($X68&lt;30,1,0))</formula>
    </cfRule>
    <cfRule type="expression" priority="425" dxfId="1">
      <formula>AND(IF($Q68=3,1,0),IF($X68&lt;30,1,0))</formula>
    </cfRule>
    <cfRule type="expression" priority="426" dxfId="0">
      <formula>AND(IF($Q68=3,1,IF($Q68=4,1,0)),IF($F68&lt;=85,1,0))</formula>
    </cfRule>
  </conditionalFormatting>
  <conditionalFormatting sqref="X68">
    <cfRule type="expression" priority="419" dxfId="3">
      <formula>AND(IF(OR($Q68=1,$Q68=2),1,0),IF($X68&lt;=20,1,0))</formula>
    </cfRule>
    <cfRule type="expression" priority="420" dxfId="2">
      <formula>AND(IF($Q68=2,1,0),IF($X68&lt;30,1,0))</formula>
    </cfRule>
    <cfRule type="expression" priority="421" dxfId="1">
      <formula>AND(IF($Q68=3,1,0),IF($X68&lt;30,1,0))</formula>
    </cfRule>
    <cfRule type="expression" priority="422" dxfId="0">
      <formula>AND(IF($Q68=3,1,IF($Q68=4,1,0)),IF($F68&lt;=85,1,0))</formula>
    </cfRule>
  </conditionalFormatting>
  <conditionalFormatting sqref="AI68">
    <cfRule type="expression" priority="415" dxfId="3">
      <formula>AND(IF(OR($Q68=1,$Q68=2),1,0),IF($X68&lt;=20,1,0))</formula>
    </cfRule>
    <cfRule type="expression" priority="416" dxfId="2">
      <formula>AND(IF($Q68=2,1,0),IF($X68&lt;30,1,0))</formula>
    </cfRule>
    <cfRule type="expression" priority="417" dxfId="1">
      <formula>AND(IF($Q68=3,1,0),IF($X68&lt;30,1,0))</formula>
    </cfRule>
    <cfRule type="expression" priority="418" dxfId="0">
      <formula>AND(IF($Q68=3,1,IF($Q68=4,1,0)),IF($F68&lt;=85,1,0))</formula>
    </cfRule>
  </conditionalFormatting>
  <conditionalFormatting sqref="AV69">
    <cfRule type="expression" priority="413" dxfId="17">
      <formula>AV69="X"</formula>
    </cfRule>
    <cfRule type="expression" priority="414" dxfId="16">
      <formula>AV69="후보"</formula>
    </cfRule>
  </conditionalFormatting>
  <conditionalFormatting sqref="AC69">
    <cfRule type="cellIs" priority="410" operator="greaterThan" dxfId="13">
      <formula>0.9</formula>
    </cfRule>
    <cfRule type="cellIs" priority="411" operator="greaterThan" dxfId="12">
      <formula>0.85</formula>
    </cfRule>
  </conditionalFormatting>
  <conditionalFormatting sqref="N69">
    <cfRule type="cellIs" priority="408" operator="greaterThan" dxfId="13">
      <formula>0.9</formula>
    </cfRule>
    <cfRule type="cellIs" priority="409" operator="greaterThan" dxfId="12">
      <formula>0.85</formula>
    </cfRule>
  </conditionalFormatting>
  <conditionalFormatting sqref="E69">
    <cfRule type="expression" priority="404" dxfId="3">
      <formula>AND(IF(OR($Q69=1,$Q69=2),1,0),IF($X69&lt;=20,1,0))</formula>
    </cfRule>
    <cfRule type="expression" priority="405" dxfId="2">
      <formula>AND(IF($Q69=2,1,0),IF($X69&lt;30,1,0))</formula>
    </cfRule>
    <cfRule type="expression" priority="406" dxfId="1">
      <formula>AND(IF($Q69=3,1,0),IF($X69&lt;30,1,0))</formula>
    </cfRule>
    <cfRule type="expression" priority="407" dxfId="0">
      <formula>AND(IF($Q69=3,1,IF($Q69=4,1,0)),IF($F69&lt;=85,1,0))</formula>
    </cfRule>
  </conditionalFormatting>
  <conditionalFormatting sqref="X69">
    <cfRule type="expression" priority="400" dxfId="3">
      <formula>AND(IF(OR($Q69=1,$Q69=2),1,0),IF($X69&lt;=20,1,0))</formula>
    </cfRule>
    <cfRule type="expression" priority="401" dxfId="2">
      <formula>AND(IF($Q69=2,1,0),IF($X69&lt;30,1,0))</formula>
    </cfRule>
    <cfRule type="expression" priority="402" dxfId="1">
      <formula>AND(IF($Q69=3,1,0),IF($X69&lt;30,1,0))</formula>
    </cfRule>
    <cfRule type="expression" priority="403" dxfId="0">
      <formula>AND(IF($Q69=3,1,IF($Q69=4,1,0)),IF($F69&lt;=85,1,0))</formula>
    </cfRule>
  </conditionalFormatting>
  <conditionalFormatting sqref="AI69">
    <cfRule type="expression" priority="396" dxfId="3">
      <formula>AND(IF(OR($Q69=1,$Q69=2),1,0),IF($X69&lt;=20,1,0))</formula>
    </cfRule>
    <cfRule type="expression" priority="397" dxfId="2">
      <formula>AND(IF($Q69=2,1,0),IF($X69&lt;30,1,0))</formula>
    </cfRule>
    <cfRule type="expression" priority="398" dxfId="1">
      <formula>AND(IF($Q69=3,1,0),IF($X69&lt;30,1,0))</formula>
    </cfRule>
    <cfRule type="expression" priority="399" dxfId="0">
      <formula>AND(IF($Q69=3,1,IF($Q69=4,1,0)),IF($F69&lt;=85,1,0))</formula>
    </cfRule>
  </conditionalFormatting>
  <conditionalFormatting sqref="AV70">
    <cfRule type="expression" priority="394" dxfId="17">
      <formula>AV70="X"</formula>
    </cfRule>
    <cfRule type="expression" priority="395" dxfId="16">
      <formula>AV70="후보"</formula>
    </cfRule>
  </conditionalFormatting>
  <conditionalFormatting sqref="AC70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N70">
    <cfRule type="cellIs" priority="389" operator="greaterThan" dxfId="13">
      <formula>0.9</formula>
    </cfRule>
    <cfRule type="cellIs" priority="390" operator="greaterThan" dxfId="12">
      <formula>0.85</formula>
    </cfRule>
  </conditionalFormatting>
  <conditionalFormatting sqref="E70">
    <cfRule type="expression" priority="385" dxfId="3">
      <formula>AND(IF(OR($Q70=1,$Q70=2),1,0),IF($X70&lt;=20,1,0))</formula>
    </cfRule>
    <cfRule type="expression" priority="386" dxfId="2">
      <formula>AND(IF($Q70=2,1,0),IF($X70&lt;30,1,0))</formula>
    </cfRule>
    <cfRule type="expression" priority="387" dxfId="1">
      <formula>AND(IF($Q70=3,1,0),IF($X70&lt;30,1,0))</formula>
    </cfRule>
    <cfRule type="expression" priority="388" dxfId="0">
      <formula>AND(IF($Q70=3,1,IF($Q70=4,1,0)),IF($F70&lt;=85,1,0))</formula>
    </cfRule>
  </conditionalFormatting>
  <conditionalFormatting sqref="X70">
    <cfRule type="expression" priority="381" dxfId="3">
      <formula>AND(IF(OR($Q70=1,$Q70=2),1,0),IF($X70&lt;=20,1,0))</formula>
    </cfRule>
    <cfRule type="expression" priority="382" dxfId="2">
      <formula>AND(IF($Q70=2,1,0),IF($X70&lt;30,1,0))</formula>
    </cfRule>
    <cfRule type="expression" priority="383" dxfId="1">
      <formula>AND(IF($Q70=3,1,0),IF($X70&lt;30,1,0))</formula>
    </cfRule>
    <cfRule type="expression" priority="384" dxfId="0">
      <formula>AND(IF($Q70=3,1,IF($Q70=4,1,0)),IF($F70&lt;=85,1,0))</formula>
    </cfRule>
  </conditionalFormatting>
  <conditionalFormatting sqref="AI70">
    <cfRule type="expression" priority="377" dxfId="3">
      <formula>AND(IF(OR($Q70=1,$Q70=2),1,0),IF($X70&lt;=20,1,0))</formula>
    </cfRule>
    <cfRule type="expression" priority="378" dxfId="2">
      <formula>AND(IF($Q70=2,1,0),IF($X70&lt;30,1,0))</formula>
    </cfRule>
    <cfRule type="expression" priority="379" dxfId="1">
      <formula>AND(IF($Q70=3,1,0),IF($X70&lt;30,1,0))</formula>
    </cfRule>
    <cfRule type="expression" priority="380" dxfId="0">
      <formula>AND(IF($Q70=3,1,IF($Q70=4,1,0)),IF($F70&lt;=85,1,0))</formula>
    </cfRule>
  </conditionalFormatting>
  <conditionalFormatting sqref="AV71">
    <cfRule type="expression" priority="375" dxfId="17">
      <formula>AV71="X"</formula>
    </cfRule>
    <cfRule type="expression" priority="376" dxfId="16">
      <formula>AV71="후보"</formula>
    </cfRule>
  </conditionalFormatting>
  <conditionalFormatting sqref="AC71">
    <cfRule type="cellIs" priority="372" operator="greaterThan" dxfId="13">
      <formula>0.9</formula>
    </cfRule>
    <cfRule type="cellIs" priority="373" operator="greaterThan" dxfId="12">
      <formula>0.85</formula>
    </cfRule>
  </conditionalFormatting>
  <conditionalFormatting sqref="N71">
    <cfRule type="cellIs" priority="370" operator="greaterThan" dxfId="13">
      <formula>0.9</formula>
    </cfRule>
    <cfRule type="cellIs" priority="371" operator="greaterThan" dxfId="12">
      <formula>0.85</formula>
    </cfRule>
  </conditionalFormatting>
  <conditionalFormatting sqref="E71">
    <cfRule type="expression" priority="366" dxfId="3">
      <formula>AND(IF(OR($Q71=1,$Q71=2),1,0),IF($X71&lt;=20,1,0))</formula>
    </cfRule>
    <cfRule type="expression" priority="367" dxfId="2">
      <formula>AND(IF($Q71=2,1,0),IF($X71&lt;30,1,0))</formula>
    </cfRule>
    <cfRule type="expression" priority="368" dxfId="1">
      <formula>AND(IF($Q71=3,1,0),IF($X71&lt;30,1,0))</formula>
    </cfRule>
    <cfRule type="expression" priority="369" dxfId="0">
      <formula>AND(IF($Q71=3,1,IF($Q71=4,1,0)),IF($F71&lt;=85,1,0))</formula>
    </cfRule>
  </conditionalFormatting>
  <conditionalFormatting sqref="X71">
    <cfRule type="expression" priority="362" dxfId="3">
      <formula>AND(IF(OR($Q71=1,$Q71=2),1,0),IF($X71&lt;=20,1,0))</formula>
    </cfRule>
    <cfRule type="expression" priority="363" dxfId="2">
      <formula>AND(IF($Q71=2,1,0),IF($X71&lt;30,1,0))</formula>
    </cfRule>
    <cfRule type="expression" priority="364" dxfId="1">
      <formula>AND(IF($Q71=3,1,0),IF($X71&lt;30,1,0))</formula>
    </cfRule>
    <cfRule type="expression" priority="365" dxfId="0">
      <formula>AND(IF($Q71=3,1,IF($Q71=4,1,0)),IF($F71&lt;=85,1,0))</formula>
    </cfRule>
  </conditionalFormatting>
  <conditionalFormatting sqref="AI71">
    <cfRule type="expression" priority="358" dxfId="3">
      <formula>AND(IF(OR($Q71=1,$Q71=2),1,0),IF($X71&lt;=20,1,0))</formula>
    </cfRule>
    <cfRule type="expression" priority="359" dxfId="2">
      <formula>AND(IF($Q71=2,1,0),IF($X71&lt;30,1,0))</formula>
    </cfRule>
    <cfRule type="expression" priority="360" dxfId="1">
      <formula>AND(IF($Q71=3,1,0),IF($X71&lt;30,1,0))</formula>
    </cfRule>
    <cfRule type="expression" priority="361" dxfId="0">
      <formula>AND(IF($Q71=3,1,IF($Q71=4,1,0)),IF($F71&lt;=85,1,0))</formula>
    </cfRule>
  </conditionalFormatting>
  <conditionalFormatting sqref="AV72">
    <cfRule type="expression" priority="356" dxfId="17">
      <formula>AV72="X"</formula>
    </cfRule>
    <cfRule type="expression" priority="357" dxfId="16">
      <formula>AV72="후보"</formula>
    </cfRule>
  </conditionalFormatting>
  <conditionalFormatting sqref="AC72">
    <cfRule type="cellIs" priority="353" operator="greaterThan" dxfId="13">
      <formula>0.9</formula>
    </cfRule>
    <cfRule type="cellIs" priority="354" operator="greaterThan" dxfId="12">
      <formula>0.85</formula>
    </cfRule>
  </conditionalFormatting>
  <conditionalFormatting sqref="N72">
    <cfRule type="cellIs" priority="351" operator="greaterThan" dxfId="13">
      <formula>0.9</formula>
    </cfRule>
    <cfRule type="cellIs" priority="352" operator="greaterThan" dxfId="12">
      <formula>0.85</formula>
    </cfRule>
  </conditionalFormatting>
  <conditionalFormatting sqref="E72">
    <cfRule type="expression" priority="347" dxfId="3">
      <formula>AND(IF(OR($Q72=1,$Q72=2),1,0),IF($X72&lt;=20,1,0))</formula>
    </cfRule>
    <cfRule type="expression" priority="348" dxfId="2">
      <formula>AND(IF($Q72=2,1,0),IF($X72&lt;30,1,0))</formula>
    </cfRule>
    <cfRule type="expression" priority="349" dxfId="1">
      <formula>AND(IF($Q72=3,1,0),IF($X72&lt;30,1,0))</formula>
    </cfRule>
    <cfRule type="expression" priority="350" dxfId="0">
      <formula>AND(IF($Q72=3,1,IF($Q72=4,1,0)),IF($F72&lt;=85,1,0))</formula>
    </cfRule>
  </conditionalFormatting>
  <conditionalFormatting sqref="X72">
    <cfRule type="expression" priority="343" dxfId="3">
      <formula>AND(IF(OR($Q72=1,$Q72=2),1,0),IF($X72&lt;=20,1,0))</formula>
    </cfRule>
    <cfRule type="expression" priority="344" dxfId="2">
      <formula>AND(IF($Q72=2,1,0),IF($X72&lt;30,1,0))</formula>
    </cfRule>
    <cfRule type="expression" priority="345" dxfId="1">
      <formula>AND(IF($Q72=3,1,0),IF($X72&lt;30,1,0))</formula>
    </cfRule>
    <cfRule type="expression" priority="346" dxfId="0">
      <formula>AND(IF($Q72=3,1,IF($Q72=4,1,0)),IF($F72&lt;=85,1,0))</formula>
    </cfRule>
  </conditionalFormatting>
  <conditionalFormatting sqref="AI72">
    <cfRule type="expression" priority="339" dxfId="3">
      <formula>AND(IF(OR($Q72=1,$Q72=2),1,0),IF($X72&lt;=20,1,0))</formula>
    </cfRule>
    <cfRule type="expression" priority="340" dxfId="2">
      <formula>AND(IF($Q72=2,1,0),IF($X72&lt;30,1,0))</formula>
    </cfRule>
    <cfRule type="expression" priority="341" dxfId="1">
      <formula>AND(IF($Q72=3,1,0),IF($X72&lt;30,1,0))</formula>
    </cfRule>
    <cfRule type="expression" priority="342" dxfId="0">
      <formula>AND(IF($Q72=3,1,IF($Q72=4,1,0)),IF($F72&lt;=85,1,0))</formula>
    </cfRule>
  </conditionalFormatting>
  <conditionalFormatting sqref="AV73">
    <cfRule type="expression" priority="337" dxfId="17">
      <formula>AV73="X"</formula>
    </cfRule>
    <cfRule type="expression" priority="338" dxfId="16">
      <formula>AV73="후보"</formula>
    </cfRule>
  </conditionalFormatting>
  <conditionalFormatting sqref="AC73">
    <cfRule type="cellIs" priority="334" operator="greaterThan" dxfId="13">
      <formula>0.9</formula>
    </cfRule>
    <cfRule type="cellIs" priority="335" operator="greaterThan" dxfId="12">
      <formula>0.85</formula>
    </cfRule>
  </conditionalFormatting>
  <conditionalFormatting sqref="N73">
    <cfRule type="cellIs" priority="332" operator="greaterThan" dxfId="13">
      <formula>0.9</formula>
    </cfRule>
    <cfRule type="cellIs" priority="333" operator="greaterThan" dxfId="12">
      <formula>0.85</formula>
    </cfRule>
  </conditionalFormatting>
  <conditionalFormatting sqref="E73">
    <cfRule type="expression" priority="328" dxfId="3">
      <formula>AND(IF(OR($Q73=1,$Q73=2),1,0),IF($X73&lt;=20,1,0))</formula>
    </cfRule>
    <cfRule type="expression" priority="329" dxfId="2">
      <formula>AND(IF($Q73=2,1,0),IF($X73&lt;30,1,0))</formula>
    </cfRule>
    <cfRule type="expression" priority="330" dxfId="1">
      <formula>AND(IF($Q73=3,1,0),IF($X73&lt;30,1,0))</formula>
    </cfRule>
    <cfRule type="expression" priority="331" dxfId="0">
      <formula>AND(IF($Q73=3,1,IF($Q73=4,1,0)),IF($F73&lt;=85,1,0))</formula>
    </cfRule>
  </conditionalFormatting>
  <conditionalFormatting sqref="X73">
    <cfRule type="expression" priority="324" dxfId="3">
      <formula>AND(IF(OR($Q73=1,$Q73=2),1,0),IF($X73&lt;=20,1,0))</formula>
    </cfRule>
    <cfRule type="expression" priority="325" dxfId="2">
      <formula>AND(IF($Q73=2,1,0),IF($X73&lt;30,1,0))</formula>
    </cfRule>
    <cfRule type="expression" priority="326" dxfId="1">
      <formula>AND(IF($Q73=3,1,0),IF($X73&lt;30,1,0))</formula>
    </cfRule>
    <cfRule type="expression" priority="327" dxfId="0">
      <formula>AND(IF($Q73=3,1,IF($Q73=4,1,0)),IF($F73&lt;=85,1,0))</formula>
    </cfRule>
  </conditionalFormatting>
  <conditionalFormatting sqref="AI73">
    <cfRule type="expression" priority="320" dxfId="3">
      <formula>AND(IF(OR($Q73=1,$Q73=2),1,0),IF($X73&lt;=20,1,0))</formula>
    </cfRule>
    <cfRule type="expression" priority="321" dxfId="2">
      <formula>AND(IF($Q73=2,1,0),IF($X73&lt;30,1,0))</formula>
    </cfRule>
    <cfRule type="expression" priority="322" dxfId="1">
      <formula>AND(IF($Q73=3,1,0),IF($X73&lt;30,1,0))</formula>
    </cfRule>
    <cfRule type="expression" priority="323" dxfId="0">
      <formula>AND(IF($Q73=3,1,IF($Q73=4,1,0)),IF($F73&lt;=85,1,0))</formula>
    </cfRule>
  </conditionalFormatting>
  <conditionalFormatting sqref="AV74">
    <cfRule type="expression" priority="318" dxfId="17">
      <formula>AV74="X"</formula>
    </cfRule>
    <cfRule type="expression" priority="319" dxfId="16">
      <formula>AV74="후보"</formula>
    </cfRule>
  </conditionalFormatting>
  <conditionalFormatting sqref="AC74">
    <cfRule type="cellIs" priority="315" operator="greaterThan" dxfId="13">
      <formula>0.9</formula>
    </cfRule>
    <cfRule type="cellIs" priority="316" operator="greaterThan" dxfId="12">
      <formula>0.85</formula>
    </cfRule>
  </conditionalFormatting>
  <conditionalFormatting sqref="N74">
    <cfRule type="cellIs" priority="313" operator="greaterThan" dxfId="13">
      <formula>0.9</formula>
    </cfRule>
    <cfRule type="cellIs" priority="314" operator="greaterThan" dxfId="12">
      <formula>0.85</formula>
    </cfRule>
  </conditionalFormatting>
  <conditionalFormatting sqref="E74">
    <cfRule type="expression" priority="309" dxfId="3">
      <formula>AND(IF(OR($Q74=1,$Q74=2),1,0),IF($X74&lt;=20,1,0))</formula>
    </cfRule>
    <cfRule type="expression" priority="310" dxfId="2">
      <formula>AND(IF($Q74=2,1,0),IF($X74&lt;30,1,0))</formula>
    </cfRule>
    <cfRule type="expression" priority="311" dxfId="1">
      <formula>AND(IF($Q74=3,1,0),IF($X74&lt;30,1,0))</formula>
    </cfRule>
    <cfRule type="expression" priority="312" dxfId="0">
      <formula>AND(IF($Q74=3,1,IF($Q74=4,1,0)),IF($F74&lt;=85,1,0))</formula>
    </cfRule>
  </conditionalFormatting>
  <conditionalFormatting sqref="X74">
    <cfRule type="expression" priority="305" dxfId="3">
      <formula>AND(IF(OR($Q74=1,$Q74=2),1,0),IF($X74&lt;=20,1,0))</formula>
    </cfRule>
    <cfRule type="expression" priority="306" dxfId="2">
      <formula>AND(IF($Q74=2,1,0),IF($X74&lt;30,1,0))</formula>
    </cfRule>
    <cfRule type="expression" priority="307" dxfId="1">
      <formula>AND(IF($Q74=3,1,0),IF($X74&lt;30,1,0))</formula>
    </cfRule>
    <cfRule type="expression" priority="308" dxfId="0">
      <formula>AND(IF($Q74=3,1,IF($Q74=4,1,0)),IF($F74&lt;=85,1,0))</formula>
    </cfRule>
  </conditionalFormatting>
  <conditionalFormatting sqref="AI74">
    <cfRule type="expression" priority="301" dxfId="3">
      <formula>AND(IF(OR($Q74=1,$Q74=2),1,0),IF($X74&lt;=20,1,0))</formula>
    </cfRule>
    <cfRule type="expression" priority="302" dxfId="2">
      <formula>AND(IF($Q74=2,1,0),IF($X74&lt;30,1,0))</formula>
    </cfRule>
    <cfRule type="expression" priority="303" dxfId="1">
      <formula>AND(IF($Q74=3,1,0),IF($X74&lt;30,1,0))</formula>
    </cfRule>
    <cfRule type="expression" priority="304" dxfId="0">
      <formula>AND(IF($Q74=3,1,IF($Q74=4,1,0)),IF($F74&lt;=85,1,0))</formula>
    </cfRule>
  </conditionalFormatting>
  <conditionalFormatting sqref="AV75">
    <cfRule type="expression" priority="299" dxfId="17">
      <formula>AV75="X"</formula>
    </cfRule>
    <cfRule type="expression" priority="300" dxfId="16">
      <formula>AV75="후보"</formula>
    </cfRule>
  </conditionalFormatting>
  <conditionalFormatting sqref="AC75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N75">
    <cfRule type="cellIs" priority="294" operator="greaterThan" dxfId="13">
      <formula>0.9</formula>
    </cfRule>
    <cfRule type="cellIs" priority="295" operator="greaterThan" dxfId="12">
      <formula>0.85</formula>
    </cfRule>
  </conditionalFormatting>
  <conditionalFormatting sqref="E75">
    <cfRule type="expression" priority="290" dxfId="3">
      <formula>AND(IF(OR($Q75=1,$Q75=2),1,0),IF($X75&lt;=20,1,0))</formula>
    </cfRule>
    <cfRule type="expression" priority="291" dxfId="2">
      <formula>AND(IF($Q75=2,1,0),IF($X75&lt;30,1,0))</formula>
    </cfRule>
    <cfRule type="expression" priority="292" dxfId="1">
      <formula>AND(IF($Q75=3,1,0),IF($X75&lt;30,1,0))</formula>
    </cfRule>
    <cfRule type="expression" priority="293" dxfId="0">
      <formula>AND(IF($Q75=3,1,IF($Q75=4,1,0)),IF($F75&lt;=85,1,0))</formula>
    </cfRule>
  </conditionalFormatting>
  <conditionalFormatting sqref="X75">
    <cfRule type="expression" priority="286" dxfId="3">
      <formula>AND(IF(OR($Q75=1,$Q75=2),1,0),IF($X75&lt;=20,1,0))</formula>
    </cfRule>
    <cfRule type="expression" priority="287" dxfId="2">
      <formula>AND(IF($Q75=2,1,0),IF($X75&lt;30,1,0))</formula>
    </cfRule>
    <cfRule type="expression" priority="288" dxfId="1">
      <formula>AND(IF($Q75=3,1,0),IF($X75&lt;30,1,0))</formula>
    </cfRule>
    <cfRule type="expression" priority="289" dxfId="0">
      <formula>AND(IF($Q75=3,1,IF($Q75=4,1,0)),IF($F75&lt;=85,1,0))</formula>
    </cfRule>
  </conditionalFormatting>
  <conditionalFormatting sqref="AI75">
    <cfRule type="expression" priority="282" dxfId="3">
      <formula>AND(IF(OR($Q75=1,$Q75=2),1,0),IF($X75&lt;=20,1,0))</formula>
    </cfRule>
    <cfRule type="expression" priority="283" dxfId="2">
      <formula>AND(IF($Q75=2,1,0),IF($X75&lt;30,1,0))</formula>
    </cfRule>
    <cfRule type="expression" priority="284" dxfId="1">
      <formula>AND(IF($Q75=3,1,0),IF($X75&lt;30,1,0))</formula>
    </cfRule>
    <cfRule type="expression" priority="285" dxfId="0">
      <formula>AND(IF($Q75=3,1,IF($Q75=4,1,0)),IF($F75&lt;=85,1,0))</formula>
    </cfRule>
  </conditionalFormatting>
  <conditionalFormatting sqref="AV76">
    <cfRule type="expression" priority="280" dxfId="17">
      <formula>AV76="X"</formula>
    </cfRule>
    <cfRule type="expression" priority="281" dxfId="16">
      <formula>AV76="후보"</formula>
    </cfRule>
  </conditionalFormatting>
  <conditionalFormatting sqref="AC76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N76">
    <cfRule type="cellIs" priority="275" operator="greaterThan" dxfId="13">
      <formula>0.9</formula>
    </cfRule>
    <cfRule type="cellIs" priority="276" operator="greaterThan" dxfId="12">
      <formula>0.85</formula>
    </cfRule>
  </conditionalFormatting>
  <conditionalFormatting sqref="E76">
    <cfRule type="expression" priority="271" dxfId="3">
      <formula>AND(IF(OR($Q76=1,$Q76=2),1,0),IF($X76&lt;=20,1,0))</formula>
    </cfRule>
    <cfRule type="expression" priority="272" dxfId="2">
      <formula>AND(IF($Q76=2,1,0),IF($X76&lt;30,1,0))</formula>
    </cfRule>
    <cfRule type="expression" priority="273" dxfId="1">
      <formula>AND(IF($Q76=3,1,0),IF($X76&lt;30,1,0))</formula>
    </cfRule>
    <cfRule type="expression" priority="274" dxfId="0">
      <formula>AND(IF($Q76=3,1,IF($Q76=4,1,0)),IF($F76&lt;=85,1,0))</formula>
    </cfRule>
  </conditionalFormatting>
  <conditionalFormatting sqref="X76">
    <cfRule type="expression" priority="267" dxfId="3">
      <formula>AND(IF(OR($Q76=1,$Q76=2),1,0),IF($X76&lt;=20,1,0))</formula>
    </cfRule>
    <cfRule type="expression" priority="268" dxfId="2">
      <formula>AND(IF($Q76=2,1,0),IF($X76&lt;30,1,0))</formula>
    </cfRule>
    <cfRule type="expression" priority="269" dxfId="1">
      <formula>AND(IF($Q76=3,1,0),IF($X76&lt;30,1,0))</formula>
    </cfRule>
    <cfRule type="expression" priority="270" dxfId="0">
      <formula>AND(IF($Q76=3,1,IF($Q76=4,1,0)),IF($F76&lt;=85,1,0))</formula>
    </cfRule>
  </conditionalFormatting>
  <conditionalFormatting sqref="AI76">
    <cfRule type="expression" priority="263" dxfId="3">
      <formula>AND(IF(OR($Q76=1,$Q76=2),1,0),IF($X76&lt;=20,1,0))</formula>
    </cfRule>
    <cfRule type="expression" priority="264" dxfId="2">
      <formula>AND(IF($Q76=2,1,0),IF($X76&lt;30,1,0))</formula>
    </cfRule>
    <cfRule type="expression" priority="265" dxfId="1">
      <formula>AND(IF($Q76=3,1,0),IF($X76&lt;30,1,0))</formula>
    </cfRule>
    <cfRule type="expression" priority="266" dxfId="0">
      <formula>AND(IF($Q76=3,1,IF($Q76=4,1,0)),IF($F76&lt;=85,1,0))</formula>
    </cfRule>
  </conditionalFormatting>
  <conditionalFormatting sqref="AV77">
    <cfRule type="expression" priority="261" dxfId="17">
      <formula>AV77="X"</formula>
    </cfRule>
    <cfRule type="expression" priority="262" dxfId="16">
      <formula>AV77="후보"</formula>
    </cfRule>
  </conditionalFormatting>
  <conditionalFormatting sqref="AC77 N77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AV78">
    <cfRule type="expression" priority="256" dxfId="17">
      <formula>AV78="X"</formula>
    </cfRule>
    <cfRule type="expression" priority="257" dxfId="16">
      <formula>AV78="후보"</formula>
    </cfRule>
  </conditionalFormatting>
  <conditionalFormatting sqref="AC78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78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78">
    <cfRule type="expression" priority="247" dxfId="3">
      <formula>AND(IF(OR($Q78=1,$Q78=2),1,0),IF($X78&lt;=20,1,0))</formula>
    </cfRule>
    <cfRule type="expression" priority="248" dxfId="2">
      <formula>AND(IF($Q78=2,1,0),IF($X78&lt;30,1,0))</formula>
    </cfRule>
    <cfRule type="expression" priority="249" dxfId="1">
      <formula>AND(IF($Q78=3,1,0),IF($X78&lt;30,1,0))</formula>
    </cfRule>
    <cfRule type="expression" priority="250" dxfId="0">
      <formula>AND(IF($Q78=3,1,IF($Q78=4,1,0)),IF($F78&lt;=85,1,0))</formula>
    </cfRule>
  </conditionalFormatting>
  <conditionalFormatting sqref="X78">
    <cfRule type="expression" priority="243" dxfId="3">
      <formula>AND(IF(OR($Q78=1,$Q78=2),1,0),IF($X78&lt;=20,1,0))</formula>
    </cfRule>
    <cfRule type="expression" priority="244" dxfId="2">
      <formula>AND(IF($Q78=2,1,0),IF($X78&lt;30,1,0))</formula>
    </cfRule>
    <cfRule type="expression" priority="245" dxfId="1">
      <formula>AND(IF($Q78=3,1,0),IF($X78&lt;30,1,0))</formula>
    </cfRule>
    <cfRule type="expression" priority="246" dxfId="0">
      <formula>AND(IF($Q78=3,1,IF($Q78=4,1,0)),IF($F78&lt;=85,1,0))</formula>
    </cfRule>
  </conditionalFormatting>
  <conditionalFormatting sqref="AI78">
    <cfRule type="expression" priority="239" dxfId="3">
      <formula>AND(IF(OR($Q78=1,$Q78=2),1,0),IF($X78&lt;=20,1,0))</formula>
    </cfRule>
    <cfRule type="expression" priority="240" dxfId="2">
      <formula>AND(IF($Q78=2,1,0),IF($X78&lt;30,1,0))</formula>
    </cfRule>
    <cfRule type="expression" priority="241" dxfId="1">
      <formula>AND(IF($Q78=3,1,0),IF($X78&lt;30,1,0))</formula>
    </cfRule>
    <cfRule type="expression" priority="242" dxfId="0">
      <formula>AND(IF($Q78=3,1,IF($Q78=4,1,0)),IF($F78&lt;=85,1,0))</formula>
    </cfRule>
  </conditionalFormatting>
  <conditionalFormatting sqref="AV79">
    <cfRule type="expression" priority="237" dxfId="17">
      <formula>AV79="X"</formula>
    </cfRule>
    <cfRule type="expression" priority="238" dxfId="16">
      <formula>AV79="후보"</formula>
    </cfRule>
  </conditionalFormatting>
  <conditionalFormatting sqref="AC79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79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79">
    <cfRule type="expression" priority="228" dxfId="3">
      <formula>AND(IF(OR($Q79=1,$Q79=2),1,0),IF($X79&lt;=20,1,0))</formula>
    </cfRule>
    <cfRule type="expression" priority="229" dxfId="2">
      <formula>AND(IF($Q79=2,1,0),IF($X79&lt;30,1,0))</formula>
    </cfRule>
    <cfRule type="expression" priority="230" dxfId="1">
      <formula>AND(IF($Q79=3,1,0),IF($X79&lt;30,1,0))</formula>
    </cfRule>
    <cfRule type="expression" priority="231" dxfId="0">
      <formula>AND(IF($Q79=3,1,IF($Q79=4,1,0)),IF($F79&lt;=85,1,0))</formula>
    </cfRule>
  </conditionalFormatting>
  <conditionalFormatting sqref="X79">
    <cfRule type="expression" priority="224" dxfId="3">
      <formula>AND(IF(OR($Q79=1,$Q79=2),1,0),IF($X79&lt;=20,1,0))</formula>
    </cfRule>
    <cfRule type="expression" priority="225" dxfId="2">
      <formula>AND(IF($Q79=2,1,0),IF($X79&lt;30,1,0))</formula>
    </cfRule>
    <cfRule type="expression" priority="226" dxfId="1">
      <formula>AND(IF($Q79=3,1,0),IF($X79&lt;30,1,0))</formula>
    </cfRule>
    <cfRule type="expression" priority="227" dxfId="0">
      <formula>AND(IF($Q79=3,1,IF($Q79=4,1,0)),IF($F79&lt;=85,1,0))</formula>
    </cfRule>
  </conditionalFormatting>
  <conditionalFormatting sqref="AI79">
    <cfRule type="expression" priority="220" dxfId="3">
      <formula>AND(IF(OR($Q79=1,$Q79=2),1,0),IF($X79&lt;=20,1,0))</formula>
    </cfRule>
    <cfRule type="expression" priority="221" dxfId="2">
      <formula>AND(IF($Q79=2,1,0),IF($X79&lt;30,1,0))</formula>
    </cfRule>
    <cfRule type="expression" priority="222" dxfId="1">
      <formula>AND(IF($Q79=3,1,0),IF($X79&lt;30,1,0))</formula>
    </cfRule>
    <cfRule type="expression" priority="223" dxfId="0">
      <formula>AND(IF($Q79=3,1,IF($Q79=4,1,0)),IF($F79&lt;=85,1,0))</formula>
    </cfRule>
  </conditionalFormatting>
  <conditionalFormatting sqref="AV80">
    <cfRule type="expression" priority="218" dxfId="17">
      <formula>AV80="X"</formula>
    </cfRule>
    <cfRule type="expression" priority="219" dxfId="16">
      <formula>AV80="후보"</formula>
    </cfRule>
  </conditionalFormatting>
  <conditionalFormatting sqref="AC80 N80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AV81">
    <cfRule type="expression" priority="213" dxfId="17">
      <formula>AV81="X"</formula>
    </cfRule>
    <cfRule type="expression" priority="214" dxfId="16">
      <formula>AV81="후보"</formula>
    </cfRule>
  </conditionalFormatting>
  <conditionalFormatting sqref="AC81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81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81">
    <cfRule type="expression" priority="204" dxfId="3">
      <formula>AND(IF(OR($Q81=1,$Q81=2),1,0),IF($X81&lt;=20,1,0))</formula>
    </cfRule>
    <cfRule type="expression" priority="205" dxfId="2">
      <formula>AND(IF($Q81=2,1,0),IF($X81&lt;30,1,0))</formula>
    </cfRule>
    <cfRule type="expression" priority="206" dxfId="1">
      <formula>AND(IF($Q81=3,1,0),IF($X81&lt;30,1,0))</formula>
    </cfRule>
    <cfRule type="expression" priority="207" dxfId="0">
      <formula>AND(IF($Q81=3,1,IF($Q81=4,1,0)),IF($F81&lt;=85,1,0))</formula>
    </cfRule>
  </conditionalFormatting>
  <conditionalFormatting sqref="X81">
    <cfRule type="expression" priority="200" dxfId="3">
      <formula>AND(IF(OR($Q81=1,$Q81=2),1,0),IF($X81&lt;=20,1,0))</formula>
    </cfRule>
    <cfRule type="expression" priority="201" dxfId="2">
      <formula>AND(IF($Q81=2,1,0),IF($X81&lt;30,1,0))</formula>
    </cfRule>
    <cfRule type="expression" priority="202" dxfId="1">
      <formula>AND(IF($Q81=3,1,0),IF($X81&lt;30,1,0))</formula>
    </cfRule>
    <cfRule type="expression" priority="203" dxfId="0">
      <formula>AND(IF($Q81=3,1,IF($Q81=4,1,0)),IF($F81&lt;=85,1,0))</formula>
    </cfRule>
  </conditionalFormatting>
  <conditionalFormatting sqref="AI81">
    <cfRule type="expression" priority="196" dxfId="3">
      <formula>AND(IF(OR($Q81=1,$Q81=2),1,0),IF($X81&lt;=20,1,0))</formula>
    </cfRule>
    <cfRule type="expression" priority="197" dxfId="2">
      <formula>AND(IF($Q81=2,1,0),IF($X81&lt;30,1,0))</formula>
    </cfRule>
    <cfRule type="expression" priority="198" dxfId="1">
      <formula>AND(IF($Q81=3,1,0),IF($X81&lt;30,1,0))</formula>
    </cfRule>
    <cfRule type="expression" priority="199" dxfId="0">
      <formula>AND(IF($Q81=3,1,IF($Q81=4,1,0)),IF($F81&lt;=85,1,0))</formula>
    </cfRule>
  </conditionalFormatting>
  <conditionalFormatting sqref="AV82">
    <cfRule type="expression" priority="194" dxfId="17">
      <formula>AV82="X"</formula>
    </cfRule>
    <cfRule type="expression" priority="195" dxfId="16">
      <formula>AV82="후보"</formula>
    </cfRule>
  </conditionalFormatting>
  <conditionalFormatting sqref="AC82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82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82">
    <cfRule type="expression" priority="185" dxfId="3">
      <formula>AND(IF(OR($Q82=1,$Q82=2),1,0),IF($X82&lt;=20,1,0))</formula>
    </cfRule>
    <cfRule type="expression" priority="186" dxfId="2">
      <formula>AND(IF($Q82=2,1,0),IF($X82&lt;30,1,0))</formula>
    </cfRule>
    <cfRule type="expression" priority="187" dxfId="1">
      <formula>AND(IF($Q82=3,1,0),IF($X82&lt;30,1,0))</formula>
    </cfRule>
    <cfRule type="expression" priority="188" dxfId="0">
      <formula>AND(IF($Q82=3,1,IF($Q82=4,1,0)),IF($F82&lt;=85,1,0))</formula>
    </cfRule>
  </conditionalFormatting>
  <conditionalFormatting sqref="X82">
    <cfRule type="expression" priority="181" dxfId="3">
      <formula>AND(IF(OR($Q82=1,$Q82=2),1,0),IF($X82&lt;=20,1,0))</formula>
    </cfRule>
    <cfRule type="expression" priority="182" dxfId="2">
      <formula>AND(IF($Q82=2,1,0),IF($X82&lt;30,1,0))</formula>
    </cfRule>
    <cfRule type="expression" priority="183" dxfId="1">
      <formula>AND(IF($Q82=3,1,0),IF($X82&lt;30,1,0))</formula>
    </cfRule>
    <cfRule type="expression" priority="184" dxfId="0">
      <formula>AND(IF($Q82=3,1,IF($Q82=4,1,0)),IF($F82&lt;=85,1,0))</formula>
    </cfRule>
  </conditionalFormatting>
  <conditionalFormatting sqref="AI82">
    <cfRule type="expression" priority="177" dxfId="3">
      <formula>AND(IF(OR($Q82=1,$Q82=2),1,0),IF($X82&lt;=20,1,0))</formula>
    </cfRule>
    <cfRule type="expression" priority="178" dxfId="2">
      <formula>AND(IF($Q82=2,1,0),IF($X82&lt;30,1,0))</formula>
    </cfRule>
    <cfRule type="expression" priority="179" dxfId="1">
      <formula>AND(IF($Q82=3,1,0),IF($X82&lt;30,1,0))</formula>
    </cfRule>
    <cfRule type="expression" priority="180" dxfId="0">
      <formula>AND(IF($Q82=3,1,IF($Q82=4,1,0)),IF($F82&lt;=85,1,0))</formula>
    </cfRule>
  </conditionalFormatting>
  <conditionalFormatting sqref="AV83">
    <cfRule type="expression" priority="175" dxfId="17">
      <formula>AV83="X"</formula>
    </cfRule>
    <cfRule type="expression" priority="176" dxfId="16">
      <formula>AV83="후보"</formula>
    </cfRule>
  </conditionalFormatting>
  <conditionalFormatting sqref="AC83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83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83">
    <cfRule type="expression" priority="166" dxfId="3">
      <formula>AND(IF(OR($Q83=1,$Q83=2),1,0),IF($X83&lt;=20,1,0))</formula>
    </cfRule>
    <cfRule type="expression" priority="167" dxfId="2">
      <formula>AND(IF($Q83=2,1,0),IF($X83&lt;30,1,0))</formula>
    </cfRule>
    <cfRule type="expression" priority="168" dxfId="1">
      <formula>AND(IF($Q83=3,1,0),IF($X83&lt;30,1,0))</formula>
    </cfRule>
    <cfRule type="expression" priority="169" dxfId="0">
      <formula>AND(IF($Q83=3,1,IF($Q83=4,1,0)),IF($F83&lt;=85,1,0))</formula>
    </cfRule>
  </conditionalFormatting>
  <conditionalFormatting sqref="X83">
    <cfRule type="expression" priority="162" dxfId="3">
      <formula>AND(IF(OR($Q83=1,$Q83=2),1,0),IF($X83&lt;=20,1,0))</formula>
    </cfRule>
    <cfRule type="expression" priority="163" dxfId="2">
      <formula>AND(IF($Q83=2,1,0),IF($X83&lt;30,1,0))</formula>
    </cfRule>
    <cfRule type="expression" priority="164" dxfId="1">
      <formula>AND(IF($Q83=3,1,0),IF($X83&lt;30,1,0))</formula>
    </cfRule>
    <cfRule type="expression" priority="165" dxfId="0">
      <formula>AND(IF($Q83=3,1,IF($Q83=4,1,0)),IF($F83&lt;=85,1,0))</formula>
    </cfRule>
  </conditionalFormatting>
  <conditionalFormatting sqref="AI83">
    <cfRule type="expression" priority="158" dxfId="3">
      <formula>AND(IF(OR($Q83=1,$Q83=2),1,0),IF($X83&lt;=20,1,0))</formula>
    </cfRule>
    <cfRule type="expression" priority="159" dxfId="2">
      <formula>AND(IF($Q83=2,1,0),IF($X83&lt;30,1,0))</formula>
    </cfRule>
    <cfRule type="expression" priority="160" dxfId="1">
      <formula>AND(IF($Q83=3,1,0),IF($X83&lt;30,1,0))</formula>
    </cfRule>
    <cfRule type="expression" priority="161" dxfId="0">
      <formula>AND(IF($Q83=3,1,IF($Q83=4,1,0)),IF($F83&lt;=85,1,0))</formula>
    </cfRule>
  </conditionalFormatting>
  <conditionalFormatting sqref="AV84">
    <cfRule type="expression" priority="156" dxfId="17">
      <formula>AV84="X"</formula>
    </cfRule>
    <cfRule type="expression" priority="157" dxfId="16">
      <formula>AV84="후보"</formula>
    </cfRule>
  </conditionalFormatting>
  <conditionalFormatting sqref="AC84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84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84">
    <cfRule type="expression" priority="147" dxfId="3">
      <formula>AND(IF(OR($Q84=1,$Q84=2),1,0),IF($X84&lt;=20,1,0))</formula>
    </cfRule>
    <cfRule type="expression" priority="148" dxfId="2">
      <formula>AND(IF($Q84=2,1,0),IF($X84&lt;30,1,0))</formula>
    </cfRule>
    <cfRule type="expression" priority="149" dxfId="1">
      <formula>AND(IF($Q84=3,1,0),IF($X84&lt;30,1,0))</formula>
    </cfRule>
    <cfRule type="expression" priority="150" dxfId="0">
      <formula>AND(IF($Q84=3,1,IF($Q84=4,1,0)),IF($F84&lt;=85,1,0))</formula>
    </cfRule>
  </conditionalFormatting>
  <conditionalFormatting sqref="X84">
    <cfRule type="expression" priority="143" dxfId="3">
      <formula>AND(IF(OR($Q84=1,$Q84=2),1,0),IF($X84&lt;=20,1,0))</formula>
    </cfRule>
    <cfRule type="expression" priority="144" dxfId="2">
      <formula>AND(IF($Q84=2,1,0),IF($X84&lt;30,1,0))</formula>
    </cfRule>
    <cfRule type="expression" priority="145" dxfId="1">
      <formula>AND(IF($Q84=3,1,0),IF($X84&lt;30,1,0))</formula>
    </cfRule>
    <cfRule type="expression" priority="146" dxfId="0">
      <formula>AND(IF($Q84=3,1,IF($Q84=4,1,0)),IF($F84&lt;=85,1,0))</formula>
    </cfRule>
  </conditionalFormatting>
  <conditionalFormatting sqref="AI84">
    <cfRule type="expression" priority="139" dxfId="3">
      <formula>AND(IF(OR($Q84=1,$Q84=2),1,0),IF($X84&lt;=20,1,0))</formula>
    </cfRule>
    <cfRule type="expression" priority="140" dxfId="2">
      <formula>AND(IF($Q84=2,1,0),IF($X84&lt;30,1,0))</formula>
    </cfRule>
    <cfRule type="expression" priority="141" dxfId="1">
      <formula>AND(IF($Q84=3,1,0),IF($X84&lt;30,1,0))</formula>
    </cfRule>
    <cfRule type="expression" priority="142" dxfId="0">
      <formula>AND(IF($Q84=3,1,IF($Q84=4,1,0)),IF($F84&lt;=85,1,0))</formula>
    </cfRule>
  </conditionalFormatting>
  <conditionalFormatting sqref="AV85">
    <cfRule type="expression" priority="137" dxfId="17">
      <formula>AV85="X"</formula>
    </cfRule>
    <cfRule type="expression" priority="138" dxfId="16">
      <formula>AV85="후보"</formula>
    </cfRule>
  </conditionalFormatting>
  <conditionalFormatting sqref="AC85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85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85">
    <cfRule type="expression" priority="128" dxfId="3">
      <formula>AND(IF(OR($Q85=1,$Q85=2),1,0),IF($X85&lt;=20,1,0))</formula>
    </cfRule>
    <cfRule type="expression" priority="129" dxfId="2">
      <formula>AND(IF($Q85=2,1,0),IF($X85&lt;30,1,0))</formula>
    </cfRule>
    <cfRule type="expression" priority="130" dxfId="1">
      <formula>AND(IF($Q85=3,1,0),IF($X85&lt;30,1,0))</formula>
    </cfRule>
    <cfRule type="expression" priority="131" dxfId="0">
      <formula>AND(IF($Q85=3,1,IF($Q85=4,1,0)),IF($F85&lt;=85,1,0))</formula>
    </cfRule>
  </conditionalFormatting>
  <conditionalFormatting sqref="X85">
    <cfRule type="expression" priority="124" dxfId="3">
      <formula>AND(IF(OR($Q85=1,$Q85=2),1,0),IF($X85&lt;=20,1,0))</formula>
    </cfRule>
    <cfRule type="expression" priority="125" dxfId="2">
      <formula>AND(IF($Q85=2,1,0),IF($X85&lt;30,1,0))</formula>
    </cfRule>
    <cfRule type="expression" priority="126" dxfId="1">
      <formula>AND(IF($Q85=3,1,0),IF($X85&lt;30,1,0))</formula>
    </cfRule>
    <cfRule type="expression" priority="127" dxfId="0">
      <formula>AND(IF($Q85=3,1,IF($Q85=4,1,0)),IF($F85&lt;=85,1,0))</formula>
    </cfRule>
  </conditionalFormatting>
  <conditionalFormatting sqref="AI85">
    <cfRule type="expression" priority="120" dxfId="3">
      <formula>AND(IF(OR($Q85=1,$Q85=2),1,0),IF($X85&lt;=20,1,0))</formula>
    </cfRule>
    <cfRule type="expression" priority="121" dxfId="2">
      <formula>AND(IF($Q85=2,1,0),IF($X85&lt;30,1,0))</formula>
    </cfRule>
    <cfRule type="expression" priority="122" dxfId="1">
      <formula>AND(IF($Q85=3,1,0),IF($X85&lt;30,1,0))</formula>
    </cfRule>
    <cfRule type="expression" priority="123" dxfId="0">
      <formula>AND(IF($Q85=3,1,IF($Q85=4,1,0)),IF($F85&lt;=85,1,0))</formula>
    </cfRule>
  </conditionalFormatting>
  <conditionalFormatting sqref="AV86">
    <cfRule type="expression" priority="118" dxfId="17">
      <formula>AV86="X"</formula>
    </cfRule>
    <cfRule type="expression" priority="119" dxfId="16">
      <formula>AV86="후보"</formula>
    </cfRule>
  </conditionalFormatting>
  <conditionalFormatting sqref="AC86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86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86">
    <cfRule type="expression" priority="109" dxfId="3">
      <formula>AND(IF(OR($Q86=1,$Q86=2),1,0),IF($X86&lt;=20,1,0))</formula>
    </cfRule>
    <cfRule type="expression" priority="110" dxfId="2">
      <formula>AND(IF($Q86=2,1,0),IF($X86&lt;30,1,0))</formula>
    </cfRule>
    <cfRule type="expression" priority="111" dxfId="1">
      <formula>AND(IF($Q86=3,1,0),IF($X86&lt;30,1,0))</formula>
    </cfRule>
    <cfRule type="expression" priority="112" dxfId="0">
      <formula>AND(IF($Q86=3,1,IF($Q86=4,1,0)),IF($F86&lt;=85,1,0))</formula>
    </cfRule>
  </conditionalFormatting>
  <conditionalFormatting sqref="X86">
    <cfRule type="expression" priority="105" dxfId="3">
      <formula>AND(IF(OR($Q86=1,$Q86=2),1,0),IF($X86&lt;=20,1,0))</formula>
    </cfRule>
    <cfRule type="expression" priority="106" dxfId="2">
      <formula>AND(IF($Q86=2,1,0),IF($X86&lt;30,1,0))</formula>
    </cfRule>
    <cfRule type="expression" priority="107" dxfId="1">
      <formula>AND(IF($Q86=3,1,0),IF($X86&lt;30,1,0))</formula>
    </cfRule>
    <cfRule type="expression" priority="108" dxfId="0">
      <formula>AND(IF($Q86=3,1,IF($Q86=4,1,0)),IF($F86&lt;=85,1,0))</formula>
    </cfRule>
  </conditionalFormatting>
  <conditionalFormatting sqref="AI86">
    <cfRule type="expression" priority="101" dxfId="3">
      <formula>AND(IF(OR($Q86=1,$Q86=2),1,0),IF($X86&lt;=20,1,0))</formula>
    </cfRule>
    <cfRule type="expression" priority="102" dxfId="2">
      <formula>AND(IF($Q86=2,1,0),IF($X86&lt;30,1,0))</formula>
    </cfRule>
    <cfRule type="expression" priority="103" dxfId="1">
      <formula>AND(IF($Q86=3,1,0),IF($X86&lt;30,1,0))</formula>
    </cfRule>
    <cfRule type="expression" priority="104" dxfId="0">
      <formula>AND(IF($Q86=3,1,IF($Q86=4,1,0)),IF($F86&lt;=85,1,0))</formula>
    </cfRule>
  </conditionalFormatting>
  <conditionalFormatting sqref="AV87">
    <cfRule type="expression" priority="99" dxfId="17">
      <formula>AV87="X"</formula>
    </cfRule>
    <cfRule type="expression" priority="100" dxfId="16">
      <formula>AV87="후보"</formula>
    </cfRule>
  </conditionalFormatting>
  <conditionalFormatting sqref="AC87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87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87">
    <cfRule type="expression" priority="90" dxfId="3">
      <formula>AND(IF(OR($Q87=1,$Q87=2),1,0),IF($X87&lt;=20,1,0))</formula>
    </cfRule>
    <cfRule type="expression" priority="91" dxfId="2">
      <formula>AND(IF($Q87=2,1,0),IF($X87&lt;30,1,0))</formula>
    </cfRule>
    <cfRule type="expression" priority="92" dxfId="1">
      <formula>AND(IF($Q87=3,1,0),IF($X87&lt;30,1,0))</formula>
    </cfRule>
    <cfRule type="expression" priority="93" dxfId="0">
      <formula>AND(IF($Q87=3,1,IF($Q87=4,1,0)),IF($F87&lt;=85,1,0))</formula>
    </cfRule>
  </conditionalFormatting>
  <conditionalFormatting sqref="X87">
    <cfRule type="expression" priority="86" dxfId="3">
      <formula>AND(IF(OR($Q87=1,$Q87=2),1,0),IF($X87&lt;=20,1,0))</formula>
    </cfRule>
    <cfRule type="expression" priority="87" dxfId="2">
      <formula>AND(IF($Q87=2,1,0),IF($X87&lt;30,1,0))</formula>
    </cfRule>
    <cfRule type="expression" priority="88" dxfId="1">
      <formula>AND(IF($Q87=3,1,0),IF($X87&lt;30,1,0))</formula>
    </cfRule>
    <cfRule type="expression" priority="89" dxfId="0">
      <formula>AND(IF($Q87=3,1,IF($Q87=4,1,0)),IF($F87&lt;=85,1,0))</formula>
    </cfRule>
  </conditionalFormatting>
  <conditionalFormatting sqref="AI87">
    <cfRule type="expression" priority="82" dxfId="3">
      <formula>AND(IF(OR($Q87=1,$Q87=2),1,0),IF($X87&lt;=20,1,0))</formula>
    </cfRule>
    <cfRule type="expression" priority="83" dxfId="2">
      <formula>AND(IF($Q87=2,1,0),IF($X87&lt;30,1,0))</formula>
    </cfRule>
    <cfRule type="expression" priority="84" dxfId="1">
      <formula>AND(IF($Q87=3,1,0),IF($X87&lt;30,1,0))</formula>
    </cfRule>
    <cfRule type="expression" priority="85" dxfId="0">
      <formula>AND(IF($Q87=3,1,IF($Q87=4,1,0)),IF($F87&lt;=85,1,0))</formula>
    </cfRule>
  </conditionalFormatting>
  <conditionalFormatting sqref="AV88">
    <cfRule type="expression" priority="80" dxfId="17">
      <formula>AV88="X"</formula>
    </cfRule>
    <cfRule type="expression" priority="81" dxfId="16">
      <formula>AV88="후보"</formula>
    </cfRule>
  </conditionalFormatting>
  <conditionalFormatting sqref="AC88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88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88">
    <cfRule type="expression" priority="71" dxfId="3">
      <formula>AND(IF(OR($Q88=1,$Q88=2),1,0),IF($X88&lt;=20,1,0))</formula>
    </cfRule>
    <cfRule type="expression" priority="72" dxfId="2">
      <formula>AND(IF($Q88=2,1,0),IF($X88&lt;30,1,0))</formula>
    </cfRule>
    <cfRule type="expression" priority="73" dxfId="1">
      <formula>AND(IF($Q88=3,1,0),IF($X88&lt;30,1,0))</formula>
    </cfRule>
    <cfRule type="expression" priority="74" dxfId="0">
      <formula>AND(IF($Q88=3,1,IF($Q88=4,1,0)),IF($F88&lt;=85,1,0))</formula>
    </cfRule>
  </conditionalFormatting>
  <conditionalFormatting sqref="X88">
    <cfRule type="expression" priority="67" dxfId="3">
      <formula>AND(IF(OR($Q88=1,$Q88=2),1,0),IF($X88&lt;=20,1,0))</formula>
    </cfRule>
    <cfRule type="expression" priority="68" dxfId="2">
      <formula>AND(IF($Q88=2,1,0),IF($X88&lt;30,1,0))</formula>
    </cfRule>
    <cfRule type="expression" priority="69" dxfId="1">
      <formula>AND(IF($Q88=3,1,0),IF($X88&lt;30,1,0))</formula>
    </cfRule>
    <cfRule type="expression" priority="70" dxfId="0">
      <formula>AND(IF($Q88=3,1,IF($Q88=4,1,0)),IF($F88&lt;=85,1,0))</formula>
    </cfRule>
  </conditionalFormatting>
  <conditionalFormatting sqref="AI88">
    <cfRule type="expression" priority="63" dxfId="3">
      <formula>AND(IF(OR($Q88=1,$Q88=2),1,0),IF($X88&lt;=20,1,0))</formula>
    </cfRule>
    <cfRule type="expression" priority="64" dxfId="2">
      <formula>AND(IF($Q88=2,1,0),IF($X88&lt;30,1,0))</formula>
    </cfRule>
    <cfRule type="expression" priority="65" dxfId="1">
      <formula>AND(IF($Q88=3,1,0),IF($X88&lt;30,1,0))</formula>
    </cfRule>
    <cfRule type="expression" priority="66" dxfId="0">
      <formula>AND(IF($Q88=3,1,IF($Q88=4,1,0)),IF($F88&lt;=85,1,0))</formula>
    </cfRule>
  </conditionalFormatting>
  <conditionalFormatting sqref="AV89">
    <cfRule type="expression" priority="61" dxfId="17">
      <formula>AV89="X"</formula>
    </cfRule>
    <cfRule type="expression" priority="62" dxfId="16">
      <formula>AV89="후보"</formula>
    </cfRule>
  </conditionalFormatting>
  <conditionalFormatting sqref="AC89 N89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90">
    <cfRule type="expression" priority="56" dxfId="17">
      <formula>AV90="X"</formula>
    </cfRule>
    <cfRule type="expression" priority="57" dxfId="16">
      <formula>AV90="후보"</formula>
    </cfRule>
  </conditionalFormatting>
  <conditionalFormatting sqref="AC90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90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90">
    <cfRule type="expression" priority="47" dxfId="3">
      <formula>AND(IF(OR($Q90=1,$Q90=2),1,0),IF($X90&lt;=20,1,0))</formula>
    </cfRule>
    <cfRule type="expression" priority="48" dxfId="2">
      <formula>AND(IF($Q90=2,1,0),IF($X90&lt;30,1,0))</formula>
    </cfRule>
    <cfRule type="expression" priority="49" dxfId="1">
      <formula>AND(IF($Q90=3,1,0),IF($X90&lt;30,1,0))</formula>
    </cfRule>
    <cfRule type="expression" priority="50" dxfId="0">
      <formula>AND(IF($Q90=3,1,IF($Q90=4,1,0)),IF($F90&lt;=85,1,0))</formula>
    </cfRule>
  </conditionalFormatting>
  <conditionalFormatting sqref="X90">
    <cfRule type="expression" priority="43" dxfId="3">
      <formula>AND(IF(OR($Q90=1,$Q90=2),1,0),IF($X90&lt;=20,1,0))</formula>
    </cfRule>
    <cfRule type="expression" priority="44" dxfId="2">
      <formula>AND(IF($Q90=2,1,0),IF($X90&lt;30,1,0))</formula>
    </cfRule>
    <cfRule type="expression" priority="45" dxfId="1">
      <formula>AND(IF($Q90=3,1,0),IF($X90&lt;30,1,0))</formula>
    </cfRule>
    <cfRule type="expression" priority="46" dxfId="0">
      <formula>AND(IF($Q90=3,1,IF($Q90=4,1,0)),IF($F90&lt;=85,1,0))</formula>
    </cfRule>
  </conditionalFormatting>
  <conditionalFormatting sqref="AI90">
    <cfRule type="expression" priority="39" dxfId="3">
      <formula>AND(IF(OR($Q90=1,$Q90=2),1,0),IF($X90&lt;=20,1,0))</formula>
    </cfRule>
    <cfRule type="expression" priority="40" dxfId="2">
      <formula>AND(IF($Q90=2,1,0),IF($X90&lt;30,1,0))</formula>
    </cfRule>
    <cfRule type="expression" priority="41" dxfId="1">
      <formula>AND(IF($Q90=3,1,0),IF($X90&lt;30,1,0))</formula>
    </cfRule>
    <cfRule type="expression" priority="42" dxfId="0">
      <formula>AND(IF($Q90=3,1,IF($Q90=4,1,0)),IF($F90&lt;=85,1,0))</formula>
    </cfRule>
  </conditionalFormatting>
  <conditionalFormatting sqref="AV91">
    <cfRule type="expression" priority="37" dxfId="17">
      <formula>AV91="X"</formula>
    </cfRule>
    <cfRule type="expression" priority="38" dxfId="16">
      <formula>AV91="후보"</formula>
    </cfRule>
  </conditionalFormatting>
  <conditionalFormatting sqref="AC91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91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91">
    <cfRule type="expression" priority="28" dxfId="3">
      <formula>AND(IF(OR($Q91=1,$Q91=2),1,0),IF($X91&lt;=20,1,0))</formula>
    </cfRule>
    <cfRule type="expression" priority="29" dxfId="2">
      <formula>AND(IF($Q91=2,1,0),IF($X91&lt;30,1,0))</formula>
    </cfRule>
    <cfRule type="expression" priority="30" dxfId="1">
      <formula>AND(IF($Q91=3,1,0),IF($X91&lt;30,1,0))</formula>
    </cfRule>
    <cfRule type="expression" priority="31" dxfId="0">
      <formula>AND(IF($Q91=3,1,IF($Q91=4,1,0)),IF($F91&lt;=85,1,0))</formula>
    </cfRule>
  </conditionalFormatting>
  <conditionalFormatting sqref="X91">
    <cfRule type="expression" priority="24" dxfId="3">
      <formula>AND(IF(OR($Q91=1,$Q91=2),1,0),IF($X91&lt;=20,1,0))</formula>
    </cfRule>
    <cfRule type="expression" priority="25" dxfId="2">
      <formula>AND(IF($Q91=2,1,0),IF($X91&lt;30,1,0))</formula>
    </cfRule>
    <cfRule type="expression" priority="26" dxfId="1">
      <formula>AND(IF($Q91=3,1,0),IF($X91&lt;30,1,0))</formula>
    </cfRule>
    <cfRule type="expression" priority="27" dxfId="0">
      <formula>AND(IF($Q91=3,1,IF($Q91=4,1,0)),IF($F91&lt;=85,1,0))</formula>
    </cfRule>
  </conditionalFormatting>
  <conditionalFormatting sqref="AI91">
    <cfRule type="expression" priority="20" dxfId="3">
      <formula>AND(IF(OR($Q91=1,$Q91=2),1,0),IF($X91&lt;=20,1,0))</formula>
    </cfRule>
    <cfRule type="expression" priority="21" dxfId="2">
      <formula>AND(IF($Q91=2,1,0),IF($X91&lt;30,1,0))</formula>
    </cfRule>
    <cfRule type="expression" priority="22" dxfId="1">
      <formula>AND(IF($Q91=3,1,0),IF($X91&lt;30,1,0))</formula>
    </cfRule>
    <cfRule type="expression" priority="23" dxfId="0">
      <formula>AND(IF($Q91=3,1,IF($Q91=4,1,0)),IF($F91&lt;=85,1,0))</formula>
    </cfRule>
  </conditionalFormatting>
  <conditionalFormatting sqref="AV92">
    <cfRule type="expression" priority="18" dxfId="17">
      <formula>AV92="X"</formula>
    </cfRule>
    <cfRule type="expression" priority="19" dxfId="16">
      <formula>AV92="후보"</formula>
    </cfRule>
  </conditionalFormatting>
  <conditionalFormatting sqref="AC92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92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92">
    <cfRule type="expression" priority="9" dxfId="3">
      <formula>AND(IF(OR($Q92=1,$Q92=2),1,0),IF($X92&lt;=20,1,0))</formula>
    </cfRule>
    <cfRule type="expression" priority="10" dxfId="2">
      <formula>AND(IF($Q92=2,1,0),IF($X92&lt;30,1,0))</formula>
    </cfRule>
    <cfRule type="expression" priority="11" dxfId="1">
      <formula>AND(IF($Q92=3,1,0),IF($X92&lt;30,1,0))</formula>
    </cfRule>
    <cfRule type="expression" priority="12" dxfId="0">
      <formula>AND(IF($Q92=3,1,IF($Q92=4,1,0)),IF($F92&lt;=85,1,0))</formula>
    </cfRule>
  </conditionalFormatting>
  <conditionalFormatting sqref="X92">
    <cfRule type="expression" priority="5" dxfId="3">
      <formula>AND(IF(OR($Q92=1,$Q92=2),1,0),IF($X92&lt;=20,1,0))</formula>
    </cfRule>
    <cfRule type="expression" priority="6" dxfId="2">
      <formula>AND(IF($Q92=2,1,0),IF($X92&lt;30,1,0))</formula>
    </cfRule>
    <cfRule type="expression" priority="7" dxfId="1">
      <formula>AND(IF($Q92=3,1,0),IF($X92&lt;30,1,0))</formula>
    </cfRule>
    <cfRule type="expression" priority="8" dxfId="0">
      <formula>AND(IF($Q92=3,1,IF($Q92=4,1,0)),IF($F92&lt;=85,1,0))</formula>
    </cfRule>
  </conditionalFormatting>
  <conditionalFormatting sqref="AI92">
    <cfRule type="expression" priority="1" dxfId="3">
      <formula>AND(IF(OR($Q92=1,$Q92=2),1,0),IF($X92&lt;=20,1,0))</formula>
    </cfRule>
    <cfRule type="expression" priority="2" dxfId="2">
      <formula>AND(IF($Q92=2,1,0),IF($X92&lt;30,1,0))</formula>
    </cfRule>
    <cfRule type="expression" priority="3" dxfId="1">
      <formula>AND(IF($Q92=3,1,0),IF($X92&lt;30,1,0))</formula>
    </cfRule>
    <cfRule type="expression" priority="4" dxfId="0">
      <formula>AND(IF($Q92=3,1,IF($Q92=4,1,0)),IF($F92&lt;=85,1,0))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10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05" sqref="A105:XFD105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고덕동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고덕강일제일풍경채</t>
        </is>
      </c>
      <c r="B6" s="16" t="inlineStr">
        <is>
          <t>'24.01.</t>
        </is>
      </c>
      <c r="C6" s="164" t="n">
        <v>780</v>
      </c>
      <c r="D6" s="161" t="n">
        <v>115.9</v>
      </c>
      <c r="E6" s="163" t="n">
        <v>35</v>
      </c>
      <c r="F6" s="161" t="n">
        <v>84</v>
      </c>
      <c r="G6" s="27" t="n">
        <v>25</v>
      </c>
      <c r="H6" s="164" t="n">
        <v>100</v>
      </c>
      <c r="I6" s="165" t="n"/>
      <c r="J6" s="165" t="n"/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inlineStr">
        <is>
          <t>115B</t>
        </is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고덕강일제일풍경채</t>
        </is>
      </c>
      <c r="B7" s="16" t="inlineStr">
        <is>
          <t>'24.01.</t>
        </is>
      </c>
      <c r="C7" s="164" t="n">
        <v>780</v>
      </c>
      <c r="D7" s="161" t="n">
        <v>116.4</v>
      </c>
      <c r="E7" s="163" t="n">
        <v>35</v>
      </c>
      <c r="F7" s="161" t="n">
        <v>84.2</v>
      </c>
      <c r="G7" s="27" t="n">
        <v>25</v>
      </c>
      <c r="H7" s="164" t="n">
        <v>219</v>
      </c>
      <c r="I7" s="165" t="n"/>
      <c r="J7" s="165" t="n"/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4</v>
      </c>
      <c r="R7" s="113" t="n">
        <v>2</v>
      </c>
      <c r="S7" s="113" t="inlineStr">
        <is>
          <t>계</t>
        </is>
      </c>
      <c r="T7" s="8" t="inlineStr">
        <is>
          <t>116A</t>
        </is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고덕강일제일풍경채</t>
        </is>
      </c>
      <c r="B8" s="16" t="inlineStr">
        <is>
          <t>'24.01.</t>
        </is>
      </c>
      <c r="C8" s="164" t="n">
        <v>780</v>
      </c>
      <c r="D8" s="161" t="n">
        <v>116.5</v>
      </c>
      <c r="E8" s="163" t="n">
        <v>35</v>
      </c>
      <c r="F8" s="161" t="n">
        <v>84</v>
      </c>
      <c r="G8" s="27" t="n">
        <v>25</v>
      </c>
      <c r="H8" s="164" t="n">
        <v>8</v>
      </c>
      <c r="I8" s="165" t="n"/>
      <c r="J8" s="165" t="n"/>
      <c r="K8" s="165" t="n"/>
      <c r="L8" s="165" t="n"/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116HA</t>
        </is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고덕강일제일풍경채</t>
        </is>
      </c>
      <c r="B9" s="16" t="inlineStr">
        <is>
          <t>'24.01.</t>
        </is>
      </c>
      <c r="C9" s="164" t="n">
        <v>780</v>
      </c>
      <c r="D9" s="161" t="n">
        <v>117.7</v>
      </c>
      <c r="E9" s="163" t="n">
        <v>36</v>
      </c>
      <c r="F9" s="161" t="n">
        <v>84.09999999999999</v>
      </c>
      <c r="G9" s="27" t="n">
        <v>25</v>
      </c>
      <c r="H9" s="164" t="n">
        <v>58</v>
      </c>
      <c r="I9" s="165" t="n"/>
      <c r="J9" s="165" t="n"/>
      <c r="K9" s="165" t="n"/>
      <c r="L9" s="165" t="n"/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117D</t>
        </is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고덕강일제일풍경채</t>
        </is>
      </c>
      <c r="B10" s="16" t="inlineStr">
        <is>
          <t>'24.01.</t>
        </is>
      </c>
      <c r="C10" s="164" t="n">
        <v>780</v>
      </c>
      <c r="D10" s="161" t="n">
        <v>117.7</v>
      </c>
      <c r="E10" s="163" t="n">
        <v>36</v>
      </c>
      <c r="F10" s="161" t="n">
        <v>84.09999999999999</v>
      </c>
      <c r="G10" s="27" t="n">
        <v>25</v>
      </c>
      <c r="H10" s="164" t="n">
        <v>56</v>
      </c>
      <c r="I10" s="165" t="n"/>
      <c r="J10" s="165" t="n"/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117C</t>
        </is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고덕강일제일풍경채</t>
        </is>
      </c>
      <c r="B11" s="16" t="inlineStr">
        <is>
          <t>'24.01.</t>
        </is>
      </c>
      <c r="C11" s="164" t="n">
        <v>780</v>
      </c>
      <c r="D11" s="161" t="n">
        <v>117.4</v>
      </c>
      <c r="E11" s="163" t="n">
        <v>36</v>
      </c>
      <c r="F11" s="161" t="n">
        <v>84.59999999999999</v>
      </c>
      <c r="G11" s="27" t="n">
        <v>26</v>
      </c>
      <c r="H11" s="164" t="n">
        <v>12</v>
      </c>
      <c r="I11" s="165" t="n"/>
      <c r="J11" s="165" t="n"/>
      <c r="K11" s="165" t="n"/>
      <c r="L11" s="165" t="n"/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inlineStr">
        <is>
          <t>117HB</t>
        </is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고덕강일제일풍경채</t>
        </is>
      </c>
      <c r="B12" s="16" t="inlineStr">
        <is>
          <t>'24.01.</t>
        </is>
      </c>
      <c r="C12" s="164" t="n">
        <v>780</v>
      </c>
      <c r="D12" s="161" t="n">
        <v>117.5</v>
      </c>
      <c r="E12" s="163" t="n">
        <v>36</v>
      </c>
      <c r="F12" s="161" t="n">
        <v>84.2</v>
      </c>
      <c r="G12" s="27" t="n">
        <v>25</v>
      </c>
      <c r="H12" s="164" t="n">
        <v>10</v>
      </c>
      <c r="I12" s="165" t="n"/>
      <c r="J12" s="165" t="n"/>
      <c r="K12" s="165" t="n"/>
      <c r="L12" s="165" t="n"/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inlineStr">
        <is>
          <t>117MB</t>
        </is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고덕강일제일풍경채</t>
        </is>
      </c>
      <c r="B13" s="16" t="inlineStr">
        <is>
          <t>'24.01.</t>
        </is>
      </c>
      <c r="C13" s="164" t="n">
        <v>780</v>
      </c>
      <c r="D13" s="161" t="n">
        <v>117.9</v>
      </c>
      <c r="E13" s="163" t="n">
        <v>36</v>
      </c>
      <c r="F13" s="161" t="n">
        <v>84.90000000000001</v>
      </c>
      <c r="G13" s="27" t="n">
        <v>26</v>
      </c>
      <c r="H13" s="164" t="n">
        <v>2</v>
      </c>
      <c r="I13" s="165" t="n"/>
      <c r="J13" s="165" t="n"/>
      <c r="K13" s="165" t="n"/>
      <c r="L13" s="165" t="n"/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inlineStr">
        <is>
          <t>117SE</t>
        </is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고덕강일제일풍경채</t>
        </is>
      </c>
      <c r="B14" s="16" t="inlineStr">
        <is>
          <t>'24.01.</t>
        </is>
      </c>
      <c r="C14" s="164" t="n">
        <v>780</v>
      </c>
      <c r="D14" s="161" t="n">
        <v>117.9</v>
      </c>
      <c r="E14" s="163" t="n">
        <v>36</v>
      </c>
      <c r="F14" s="161" t="n">
        <v>84.5</v>
      </c>
      <c r="G14" s="27" t="n">
        <v>26</v>
      </c>
      <c r="H14" s="164" t="n">
        <v>1</v>
      </c>
      <c r="I14" s="165" t="n"/>
      <c r="J14" s="165" t="n"/>
      <c r="K14" s="165" t="n"/>
      <c r="L14" s="165" t="n"/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2</v>
      </c>
      <c r="R14" s="113" t="n">
        <v>2</v>
      </c>
      <c r="S14" s="113" t="inlineStr">
        <is>
          <t>계</t>
        </is>
      </c>
      <c r="T14" s="8" t="inlineStr">
        <is>
          <t>117ME</t>
        </is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고덕강일제일풍경채</t>
        </is>
      </c>
      <c r="B15" s="16" t="inlineStr">
        <is>
          <t>'24.01.</t>
        </is>
      </c>
      <c r="C15" s="164" t="n">
        <v>780</v>
      </c>
      <c r="D15" s="161" t="n">
        <v>118.2</v>
      </c>
      <c r="E15" s="163" t="n">
        <v>36</v>
      </c>
      <c r="F15" s="161" t="n">
        <v>84.7</v>
      </c>
      <c r="G15" s="27" t="n">
        <v>26</v>
      </c>
      <c r="H15" s="164" t="n">
        <v>22</v>
      </c>
      <c r="I15" s="165" t="n"/>
      <c r="J15" s="165" t="n"/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inlineStr">
        <is>
          <t>118MA</t>
        </is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고덕강일제일풍경채</t>
        </is>
      </c>
      <c r="B16" s="16" t="inlineStr">
        <is>
          <t>'24.01.</t>
        </is>
      </c>
      <c r="C16" s="164" t="n">
        <v>780</v>
      </c>
      <c r="D16" s="161" t="n">
        <v>118.3</v>
      </c>
      <c r="E16" s="163" t="n">
        <v>36</v>
      </c>
      <c r="F16" s="161" t="n">
        <v>84.3</v>
      </c>
      <c r="G16" s="27" t="n">
        <v>25</v>
      </c>
      <c r="H16" s="164" t="n">
        <v>20</v>
      </c>
      <c r="I16" s="165" t="n"/>
      <c r="J16" s="165" t="n"/>
      <c r="K16" s="165" t="n"/>
      <c r="L16" s="165" t="n"/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inlineStr">
        <is>
          <t>118SB</t>
        </is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고덕강일제일풍경채</t>
        </is>
      </c>
      <c r="B17" s="16" t="inlineStr">
        <is>
          <t>'24.01.</t>
        </is>
      </c>
      <c r="C17" s="164" t="n">
        <v>780</v>
      </c>
      <c r="D17" s="161" t="n">
        <v>118.3</v>
      </c>
      <c r="E17" s="163" t="n">
        <v>36</v>
      </c>
      <c r="F17" s="161" t="n">
        <v>84.3</v>
      </c>
      <c r="G17" s="27" t="n">
        <v>25</v>
      </c>
      <c r="H17" s="164" t="n">
        <v>7</v>
      </c>
      <c r="I17" s="165" t="n"/>
      <c r="J17" s="165" t="n"/>
      <c r="K17" s="165" t="n"/>
      <c r="L17" s="165" t="n"/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inlineStr">
        <is>
          <t>118HC</t>
        </is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고덕강일제일풍경채</t>
        </is>
      </c>
      <c r="B18" s="16" t="inlineStr">
        <is>
          <t>'24.01.</t>
        </is>
      </c>
      <c r="C18" s="164" t="n">
        <v>780</v>
      </c>
      <c r="D18" s="161" t="n">
        <v>118.9</v>
      </c>
      <c r="E18" s="163" t="n">
        <v>36</v>
      </c>
      <c r="F18" s="161" t="n">
        <v>84.90000000000001</v>
      </c>
      <c r="G18" s="27" t="n">
        <v>26</v>
      </c>
      <c r="H18" s="164" t="n">
        <v>5</v>
      </c>
      <c r="I18" s="165" t="n"/>
      <c r="J18" s="165" t="n"/>
      <c r="K18" s="165" t="n"/>
      <c r="L18" s="165" t="n"/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inlineStr">
        <is>
          <t>118SD</t>
        </is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고덕강일제일풍경채</t>
        </is>
      </c>
      <c r="B19" s="16" t="inlineStr">
        <is>
          <t>'24.01.</t>
        </is>
      </c>
      <c r="C19" s="164" t="n">
        <v>780</v>
      </c>
      <c r="D19" s="161" t="n">
        <v>118.7</v>
      </c>
      <c r="E19" s="163" t="n">
        <v>36</v>
      </c>
      <c r="F19" s="161" t="n">
        <v>84.7</v>
      </c>
      <c r="G19" s="27" t="n">
        <v>26</v>
      </c>
      <c r="H19" s="164" t="n">
        <v>3</v>
      </c>
      <c r="I19" s="165" t="n"/>
      <c r="J19" s="165" t="n"/>
      <c r="K19" s="165" t="n"/>
      <c r="L19" s="165" t="n"/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3</v>
      </c>
      <c r="R19" s="113" t="n">
        <v>2</v>
      </c>
      <c r="S19" s="113" t="inlineStr">
        <is>
          <t>계</t>
        </is>
      </c>
      <c r="T19" s="8" t="inlineStr">
        <is>
          <t>118MC</t>
        </is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고덕강일제일풍경채</t>
        </is>
      </c>
      <c r="B20" s="16" t="inlineStr">
        <is>
          <t>'24.01.</t>
        </is>
      </c>
      <c r="C20" s="164" t="n">
        <v>780</v>
      </c>
      <c r="D20" s="161" t="n">
        <v>118.9</v>
      </c>
      <c r="E20" s="163" t="n">
        <v>36</v>
      </c>
      <c r="F20" s="161" t="n">
        <v>84.90000000000001</v>
      </c>
      <c r="G20" s="27" t="n">
        <v>26</v>
      </c>
      <c r="H20" s="164" t="n">
        <v>3</v>
      </c>
      <c r="I20" s="165" t="n"/>
      <c r="J20" s="165" t="n"/>
      <c r="K20" s="165" t="n"/>
      <c r="L20" s="165" t="n"/>
      <c r="M20" s="166">
        <f>I20-K20</f>
        <v/>
      </c>
      <c r="N20" s="7">
        <f>IF(ISERROR(K20/I20),"",K20/I20)</f>
        <v/>
      </c>
      <c r="O20" s="162">
        <f>I20/E20</f>
        <v/>
      </c>
      <c r="P20" s="162">
        <f>K20/E20</f>
        <v/>
      </c>
      <c r="Q20" s="113" t="n">
        <v>3</v>
      </c>
      <c r="R20" s="113" t="n">
        <v>2</v>
      </c>
      <c r="S20" s="113" t="inlineStr">
        <is>
          <t>계</t>
        </is>
      </c>
      <c r="T20" s="8" t="inlineStr">
        <is>
          <t>118SG</t>
        </is>
      </c>
      <c r="U20" s="13" t="n"/>
      <c r="W20" s="161">
        <f>D20</f>
        <v/>
      </c>
      <c r="X20" s="163">
        <f>E20</f>
        <v/>
      </c>
      <c r="Y20" s="159">
        <f>H20</f>
        <v/>
      </c>
      <c r="Z20" s="166">
        <f>I20</f>
        <v/>
      </c>
      <c r="AA20" s="166">
        <f>K20</f>
        <v/>
      </c>
      <c r="AB20" s="166">
        <f>M20</f>
        <v/>
      </c>
      <c r="AC20" s="7">
        <f>N20</f>
        <v/>
      </c>
      <c r="AD20" s="162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3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고덕강일제일풍경채</t>
        </is>
      </c>
      <c r="B21" s="16" t="inlineStr">
        <is>
          <t>'24.01.</t>
        </is>
      </c>
      <c r="C21" s="164" t="n">
        <v>780</v>
      </c>
      <c r="D21" s="161" t="n">
        <v>118.5</v>
      </c>
      <c r="E21" s="163" t="n">
        <v>36</v>
      </c>
      <c r="F21" s="161" t="n">
        <v>84.3</v>
      </c>
      <c r="G21" s="27" t="n">
        <v>26</v>
      </c>
      <c r="H21" s="164" t="n">
        <v>2</v>
      </c>
      <c r="I21" s="165" t="n"/>
      <c r="J21" s="165" t="n"/>
      <c r="K21" s="165" t="n"/>
      <c r="L21" s="165" t="n"/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inlineStr">
        <is>
          <t>118MD</t>
        </is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고덕강일제일풍경채</t>
        </is>
      </c>
      <c r="B22" s="16" t="inlineStr">
        <is>
          <t>'24.01.</t>
        </is>
      </c>
      <c r="C22" s="164" t="n">
        <v>780</v>
      </c>
      <c r="D22" s="161" t="n">
        <v>118.9</v>
      </c>
      <c r="E22" s="163" t="n">
        <v>36</v>
      </c>
      <c r="F22" s="161" t="n">
        <v>84.09999999999999</v>
      </c>
      <c r="G22" s="27" t="n">
        <v>25</v>
      </c>
      <c r="H22" s="164" t="n">
        <v>2</v>
      </c>
      <c r="I22" s="165" t="n"/>
      <c r="J22" s="165" t="n"/>
      <c r="K22" s="165" t="n"/>
      <c r="L22" s="165" t="n"/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inlineStr">
        <is>
          <t>118SI</t>
        </is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고덕강일제일풍경채</t>
        </is>
      </c>
      <c r="B23" s="16" t="inlineStr">
        <is>
          <t>'24.01.</t>
        </is>
      </c>
      <c r="C23" s="164" t="n">
        <v>780</v>
      </c>
      <c r="D23" s="161" t="n">
        <v>119.3</v>
      </c>
      <c r="E23" s="163" t="n">
        <v>36</v>
      </c>
      <c r="F23" s="161" t="n">
        <v>84.2</v>
      </c>
      <c r="G23" s="27" t="n">
        <v>25</v>
      </c>
      <c r="H23" s="164" t="n">
        <v>22</v>
      </c>
      <c r="I23" s="165" t="n"/>
      <c r="J23" s="165" t="n"/>
      <c r="K23" s="165" t="n"/>
      <c r="L23" s="165" t="n"/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3</v>
      </c>
      <c r="R23" s="113" t="n">
        <v>2</v>
      </c>
      <c r="S23" s="113" t="inlineStr">
        <is>
          <t>계</t>
        </is>
      </c>
      <c r="T23" s="8" t="inlineStr">
        <is>
          <t>119SA</t>
        </is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고덕강일제일풍경채</t>
        </is>
      </c>
      <c r="B24" s="16" t="inlineStr">
        <is>
          <t>'24.01.</t>
        </is>
      </c>
      <c r="C24" s="164" t="n">
        <v>780</v>
      </c>
      <c r="D24" s="161" t="n">
        <v>119.1</v>
      </c>
      <c r="E24" s="163" t="n">
        <v>36</v>
      </c>
      <c r="F24" s="161" t="n">
        <v>84.90000000000001</v>
      </c>
      <c r="G24" s="27" t="n">
        <v>26</v>
      </c>
      <c r="H24" s="164" t="n">
        <v>3</v>
      </c>
      <c r="I24" s="165" t="n"/>
      <c r="J24" s="165" t="n"/>
      <c r="K24" s="165" t="n"/>
      <c r="L24" s="165" t="n"/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inlineStr">
        <is>
          <t>119SF</t>
        </is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고덕강일제일풍경채</t>
        </is>
      </c>
      <c r="B25" s="16" t="inlineStr">
        <is>
          <t>'24.01.</t>
        </is>
      </c>
      <c r="C25" s="164" t="n">
        <v>780</v>
      </c>
      <c r="D25" s="161" t="n">
        <v>119.8</v>
      </c>
      <c r="E25" s="163" t="n">
        <v>36</v>
      </c>
      <c r="F25" s="161" t="n">
        <v>84.5</v>
      </c>
      <c r="G25" s="27" t="n">
        <v>26</v>
      </c>
      <c r="H25" s="164" t="n">
        <v>2</v>
      </c>
      <c r="I25" s="165" t="n"/>
      <c r="J25" s="165" t="n"/>
      <c r="K25" s="165" t="n"/>
      <c r="L25" s="165" t="n"/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2</v>
      </c>
      <c r="R25" s="113" t="n">
        <v>2</v>
      </c>
      <c r="S25" s="113" t="inlineStr">
        <is>
          <t>계</t>
        </is>
      </c>
      <c r="T25" s="8" t="inlineStr">
        <is>
          <t>119SC</t>
        </is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고덕강일제일풍경채</t>
        </is>
      </c>
      <c r="B26" s="16" t="inlineStr">
        <is>
          <t>'24.01.</t>
        </is>
      </c>
      <c r="C26" s="164" t="n">
        <v>780</v>
      </c>
      <c r="D26" s="161" t="n">
        <v>119.6</v>
      </c>
      <c r="E26" s="163" t="n">
        <v>36</v>
      </c>
      <c r="F26" s="161" t="n">
        <v>85</v>
      </c>
      <c r="G26" s="27" t="n">
        <v>26</v>
      </c>
      <c r="H26" s="164" t="n">
        <v>2</v>
      </c>
      <c r="I26" s="165" t="n"/>
      <c r="J26" s="165" t="n"/>
      <c r="K26" s="165" t="n"/>
      <c r="L26" s="165" t="n"/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3</v>
      </c>
      <c r="R26" s="113" t="n">
        <v>2</v>
      </c>
      <c r="S26" s="113" t="inlineStr">
        <is>
          <t>계</t>
        </is>
      </c>
      <c r="T26" s="8" t="inlineStr">
        <is>
          <t>119SH</t>
        </is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고덕강일제일풍경채</t>
        </is>
      </c>
      <c r="B27" s="16" t="inlineStr">
        <is>
          <t>'24.01.</t>
        </is>
      </c>
      <c r="C27" s="164" t="n">
        <v>780</v>
      </c>
      <c r="D27" s="161" t="n">
        <v>119.6</v>
      </c>
      <c r="E27" s="163" t="n">
        <v>36</v>
      </c>
      <c r="F27" s="161" t="n">
        <v>84.09999999999999</v>
      </c>
      <c r="G27" s="27" t="n">
        <v>25</v>
      </c>
      <c r="H27" s="164" t="n">
        <v>1</v>
      </c>
      <c r="I27" s="165" t="n"/>
      <c r="J27" s="165" t="n"/>
      <c r="K27" s="165" t="n"/>
      <c r="L27" s="165" t="n"/>
      <c r="M27" s="166">
        <f>I27-K27</f>
        <v/>
      </c>
      <c r="N27" s="7">
        <f>IF(ISERROR(K27/I27),"",K27/I27)</f>
        <v/>
      </c>
      <c r="O27" s="162">
        <f>I27/E27</f>
        <v/>
      </c>
      <c r="P27" s="162">
        <f>K27/E27</f>
        <v/>
      </c>
      <c r="Q27" s="113" t="n">
        <v>3</v>
      </c>
      <c r="R27" s="113" t="n">
        <v>2</v>
      </c>
      <c r="S27" s="113" t="inlineStr">
        <is>
          <t>계</t>
        </is>
      </c>
      <c r="T27" s="8" t="inlineStr">
        <is>
          <t>119SJ</t>
        </is>
      </c>
      <c r="U27" s="13" t="n"/>
      <c r="W27" s="161">
        <f>D27</f>
        <v/>
      </c>
      <c r="X27" s="163">
        <f>E27</f>
        <v/>
      </c>
      <c r="Y27" s="159">
        <f>H27</f>
        <v/>
      </c>
      <c r="Z27" s="166">
        <f>I27</f>
        <v/>
      </c>
      <c r="AA27" s="166">
        <f>K27</f>
        <v/>
      </c>
      <c r="AB27" s="166">
        <f>M27</f>
        <v/>
      </c>
      <c r="AC27" s="7">
        <f>N27</f>
        <v/>
      </c>
      <c r="AD27" s="162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3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고덕강일제일풍경채</t>
        </is>
      </c>
      <c r="B28" s="16" t="inlineStr">
        <is>
          <t>'24.01.</t>
        </is>
      </c>
      <c r="C28" s="164" t="n">
        <v>780</v>
      </c>
      <c r="D28" s="161" t="n">
        <v>119.5</v>
      </c>
      <c r="E28" s="163" t="n">
        <v>36</v>
      </c>
      <c r="F28" s="161" t="n">
        <v>84.09999999999999</v>
      </c>
      <c r="G28" s="27" t="n">
        <v>25</v>
      </c>
      <c r="H28" s="164" t="n">
        <v>1</v>
      </c>
      <c r="I28" s="165" t="n"/>
      <c r="J28" s="165" t="n"/>
      <c r="K28" s="165" t="n"/>
      <c r="L28" s="165" t="n"/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3</v>
      </c>
      <c r="R28" s="113" t="n">
        <v>2</v>
      </c>
      <c r="S28" s="113" t="inlineStr">
        <is>
          <t>계</t>
        </is>
      </c>
      <c r="T28" s="8" t="inlineStr">
        <is>
          <t>119SK</t>
        </is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고덕강일제일풍경채</t>
        </is>
      </c>
      <c r="B29" s="16" t="inlineStr">
        <is>
          <t>'24.01.</t>
        </is>
      </c>
      <c r="C29" s="164" t="n">
        <v>780</v>
      </c>
      <c r="D29" s="161" t="n">
        <v>138.9</v>
      </c>
      <c r="E29" s="163" t="n">
        <v>42</v>
      </c>
      <c r="F29" s="161" t="n">
        <v>101</v>
      </c>
      <c r="G29" s="27" t="n">
        <v>31</v>
      </c>
      <c r="H29" s="164" t="n">
        <v>82</v>
      </c>
      <c r="I29" s="165" t="n"/>
      <c r="J29" s="165" t="n"/>
      <c r="K29" s="165" t="n"/>
      <c r="L29" s="165" t="n"/>
      <c r="M29" s="166">
        <f>I29-K29</f>
        <v/>
      </c>
      <c r="N29" s="7">
        <f>IF(ISERROR(K29/I29),"",K29/I29)</f>
        <v/>
      </c>
      <c r="O29" s="162">
        <f>I29/E29</f>
        <v/>
      </c>
      <c r="P29" s="162">
        <f>K29/E29</f>
        <v/>
      </c>
      <c r="Q29" s="113" t="n">
        <v>4</v>
      </c>
      <c r="R29" s="113" t="n">
        <v>2</v>
      </c>
      <c r="S29" s="113" t="inlineStr">
        <is>
          <t>계</t>
        </is>
      </c>
      <c r="T29" s="8" t="inlineStr">
        <is>
          <t>138A</t>
        </is>
      </c>
      <c r="U29" s="13" t="n"/>
      <c r="W29" s="161">
        <f>D29</f>
        <v/>
      </c>
      <c r="X29" s="163">
        <f>E29</f>
        <v/>
      </c>
      <c r="Y29" s="159">
        <f>H29</f>
        <v/>
      </c>
      <c r="Z29" s="166">
        <f>I29</f>
        <v/>
      </c>
      <c r="AA29" s="166">
        <f>K29</f>
        <v/>
      </c>
      <c r="AB29" s="166">
        <f>M29</f>
        <v/>
      </c>
      <c r="AC29" s="7">
        <f>N29</f>
        <v/>
      </c>
      <c r="AD29" s="162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3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고덕강일제일풍경채</t>
        </is>
      </c>
      <c r="B30" s="16" t="inlineStr">
        <is>
          <t>'24.01.</t>
        </is>
      </c>
      <c r="C30" s="164" t="n">
        <v>780</v>
      </c>
      <c r="D30" s="161" t="n">
        <v>139.5</v>
      </c>
      <c r="E30" s="163" t="n">
        <v>42</v>
      </c>
      <c r="F30" s="161" t="n">
        <v>101.1</v>
      </c>
      <c r="G30" s="27" t="n">
        <v>31</v>
      </c>
      <c r="H30" s="164" t="n">
        <v>37</v>
      </c>
      <c r="I30" s="165" t="n"/>
      <c r="J30" s="165" t="n"/>
      <c r="K30" s="165" t="n"/>
      <c r="L30" s="165" t="n"/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3</v>
      </c>
      <c r="R30" s="113" t="n">
        <v>2</v>
      </c>
      <c r="S30" s="113" t="inlineStr">
        <is>
          <t>계</t>
        </is>
      </c>
      <c r="T30" s="8" t="inlineStr">
        <is>
          <t>139B</t>
        </is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고덕강일제일풍경채</t>
        </is>
      </c>
      <c r="B31" s="16" t="inlineStr">
        <is>
          <t>'24.01.</t>
        </is>
      </c>
      <c r="C31" s="164" t="n">
        <v>780</v>
      </c>
      <c r="D31" s="161" t="n">
        <v>141.2</v>
      </c>
      <c r="E31" s="163" t="n">
        <v>43</v>
      </c>
      <c r="F31" s="161" t="n">
        <v>101.3</v>
      </c>
      <c r="G31" s="27" t="n">
        <v>31</v>
      </c>
      <c r="H31" s="164" t="n">
        <v>24</v>
      </c>
      <c r="I31" s="165" t="n"/>
      <c r="J31" s="165" t="n"/>
      <c r="K31" s="165" t="n"/>
      <c r="L31" s="165" t="n"/>
      <c r="M31" s="166">
        <f>I31-K31</f>
        <v/>
      </c>
      <c r="N31" s="7">
        <f>IF(ISERROR(K31/I31),"",K31/I31)</f>
        <v/>
      </c>
      <c r="O31" s="162">
        <f>I31/E31</f>
        <v/>
      </c>
      <c r="P31" s="162">
        <f>K31/E31</f>
        <v/>
      </c>
      <c r="Q31" s="113" t="n">
        <v>3</v>
      </c>
      <c r="R31" s="113" t="n">
        <v>2</v>
      </c>
      <c r="S31" s="113" t="inlineStr">
        <is>
          <t>계</t>
        </is>
      </c>
      <c r="T31" s="8" t="inlineStr">
        <is>
          <t>141D</t>
        </is>
      </c>
      <c r="U31" s="13" t="n"/>
      <c r="W31" s="161">
        <f>D31</f>
        <v/>
      </c>
      <c r="X31" s="163">
        <f>E31</f>
        <v/>
      </c>
      <c r="Y31" s="159">
        <f>H31</f>
        <v/>
      </c>
      <c r="Z31" s="166">
        <f>I31</f>
        <v/>
      </c>
      <c r="AA31" s="166">
        <f>K31</f>
        <v/>
      </c>
      <c r="AB31" s="166">
        <f>M31</f>
        <v/>
      </c>
      <c r="AC31" s="7">
        <f>N31</f>
        <v/>
      </c>
      <c r="AD31" s="162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3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고덕강일제일풍경채</t>
        </is>
      </c>
      <c r="B32" s="16" t="inlineStr">
        <is>
          <t>'24.01.</t>
        </is>
      </c>
      <c r="C32" s="164" t="n">
        <v>780</v>
      </c>
      <c r="D32" s="161" t="n">
        <v>142.2</v>
      </c>
      <c r="E32" s="163" t="n">
        <v>43</v>
      </c>
      <c r="F32" s="161" t="n">
        <v>101.3</v>
      </c>
      <c r="G32" s="27" t="n">
        <v>31</v>
      </c>
      <c r="H32" s="164" t="n">
        <v>76</v>
      </c>
      <c r="I32" s="165" t="n"/>
      <c r="J32" s="165" t="n"/>
      <c r="K32" s="165" t="n"/>
      <c r="L32" s="165" t="n"/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3</v>
      </c>
      <c r="R32" s="113" t="n">
        <v>2</v>
      </c>
      <c r="S32" s="113" t="inlineStr">
        <is>
          <t>계</t>
        </is>
      </c>
      <c r="T32" s="8" t="inlineStr">
        <is>
          <t>142C</t>
        </is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n"/>
      <c r="B33" s="113" t="n"/>
      <c r="C33" s="10" t="n"/>
      <c r="D33" s="13" t="n"/>
      <c r="E33" s="20" t="n"/>
      <c r="F33" s="161" t="n"/>
      <c r="G33" s="13" t="n"/>
      <c r="H33" s="13" t="n"/>
      <c r="I33" s="13" t="n"/>
      <c r="J33" s="13" t="n"/>
      <c r="K33" s="13" t="n"/>
      <c r="L33" s="13" t="n"/>
      <c r="M33" s="13" t="n"/>
      <c r="N33" s="13" t="n"/>
      <c r="O33" s="162" t="n"/>
      <c r="P33" s="162" t="n"/>
      <c r="Q33" s="163" t="n"/>
      <c r="R33" s="163" t="n"/>
      <c r="S33" s="13" t="n"/>
      <c r="T33" s="70" t="n"/>
      <c r="U33" s="13" t="n"/>
      <c r="W33" s="107">
        <f>$A$4&amp;" "&amp;A34&amp;"("&amp;B34&amp;","&amp;C34&amp;"^)"</f>
        <v/>
      </c>
      <c r="X33" s="108" t="n"/>
      <c r="Y33" s="108" t="n"/>
      <c r="Z33" s="108" t="n"/>
      <c r="AA33" s="108" t="n"/>
      <c r="AB33" s="108" t="n"/>
      <c r="AC33" s="108" t="n"/>
      <c r="AD33" s="108" t="n"/>
      <c r="AE33" s="108" t="n"/>
      <c r="AF33" s="109" t="n"/>
      <c r="AH33" s="36">
        <f>IF(A33="","",A33)</f>
        <v/>
      </c>
      <c r="AI33" s="160">
        <f>IF(E33="","",E33)</f>
        <v/>
      </c>
      <c r="AJ33" s="113" t="n"/>
      <c r="AK33" s="113" t="n"/>
      <c r="AL33" s="113" t="n"/>
      <c r="AM33" s="113" t="n"/>
      <c r="AN33" s="113" t="n"/>
      <c r="AO33" s="113" t="n"/>
      <c r="AP33" s="113" t="n"/>
      <c r="AQ33" s="113" t="n"/>
      <c r="AR33" s="113" t="n"/>
      <c r="AS33" s="113" t="n"/>
      <c r="AT33" s="113" t="n"/>
      <c r="AU33" s="113" t="n"/>
      <c r="AV33" s="113" t="n"/>
    </row>
    <row r="34">
      <c r="A34" s="13" t="inlineStr">
        <is>
          <t>고덕센트럴푸르지오</t>
        </is>
      </c>
      <c r="B34" s="16" t="inlineStr">
        <is>
          <t>'20.08.</t>
        </is>
      </c>
      <c r="C34" s="164" t="n">
        <v>656</v>
      </c>
      <c r="D34" s="161" t="n">
        <v>61.7</v>
      </c>
      <c r="E34" s="163" t="n">
        <v>19</v>
      </c>
      <c r="F34" s="161" t="n">
        <v>40.1</v>
      </c>
      <c r="G34" s="27" t="n">
        <v>12</v>
      </c>
      <c r="H34" s="164" t="n">
        <v>8</v>
      </c>
      <c r="I34" s="165" t="n"/>
      <c r="J34" s="165" t="n"/>
      <c r="K34" s="165" t="n"/>
      <c r="L34" s="165" t="n"/>
      <c r="M34" s="166">
        <f>I34-K34</f>
        <v/>
      </c>
      <c r="N34" s="7">
        <f>IF(ISERROR(K34/I34),"",K34/I34)</f>
        <v/>
      </c>
      <c r="O34" s="162">
        <f>I34/E34</f>
        <v/>
      </c>
      <c r="P34" s="162">
        <f>K34/E34</f>
        <v/>
      </c>
      <c r="Q34" s="113" t="n">
        <v>1</v>
      </c>
      <c r="R34" s="113" t="n">
        <v>1</v>
      </c>
      <c r="S34" s="113" t="inlineStr">
        <is>
          <t>계</t>
        </is>
      </c>
      <c r="T34" s="8" t="inlineStr">
        <is>
          <t>61A</t>
        </is>
      </c>
      <c r="U34" s="13" t="n"/>
      <c r="W34" s="161">
        <f>D34</f>
        <v/>
      </c>
      <c r="X34" s="163">
        <f>E34</f>
        <v/>
      </c>
      <c r="Y34" s="159">
        <f>H34</f>
        <v/>
      </c>
      <c r="Z34" s="166">
        <f>I34</f>
        <v/>
      </c>
      <c r="AA34" s="166">
        <f>K34</f>
        <v/>
      </c>
      <c r="AB34" s="166">
        <f>M34</f>
        <v/>
      </c>
      <c r="AC34" s="7">
        <f>N34</f>
        <v/>
      </c>
      <c r="AD34" s="162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3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고덕센트럴푸르지오</t>
        </is>
      </c>
      <c r="B35" s="16" t="inlineStr">
        <is>
          <t>'20.08.</t>
        </is>
      </c>
      <c r="C35" s="164" t="n">
        <v>656</v>
      </c>
      <c r="D35" s="161" t="n">
        <v>62.8</v>
      </c>
      <c r="E35" s="163" t="n">
        <v>19</v>
      </c>
      <c r="F35" s="161" t="n">
        <v>40.9</v>
      </c>
      <c r="G35" s="27" t="n">
        <v>12</v>
      </c>
      <c r="H35" s="164" t="n">
        <v>26</v>
      </c>
      <c r="I35" s="165" t="n"/>
      <c r="J35" s="165" t="n"/>
      <c r="K35" s="165" t="n"/>
      <c r="L35" s="165" t="n"/>
      <c r="M35" s="166">
        <f>I35-K35</f>
        <v/>
      </c>
      <c r="N35" s="7">
        <f>IF(ISERROR(K35/I35),"",K35/I35)</f>
        <v/>
      </c>
      <c r="O35" s="162">
        <f>I35/E35</f>
        <v/>
      </c>
      <c r="P35" s="162">
        <f>K35/E35</f>
        <v/>
      </c>
      <c r="Q35" s="113" t="n">
        <v>1</v>
      </c>
      <c r="R35" s="113" t="n">
        <v>1</v>
      </c>
      <c r="S35" s="113" t="inlineStr">
        <is>
          <t>계</t>
        </is>
      </c>
      <c r="T35" s="8" t="inlineStr">
        <is>
          <t>62B</t>
        </is>
      </c>
      <c r="U35" s="13" t="n"/>
      <c r="W35" s="161">
        <f>D35</f>
        <v/>
      </c>
      <c r="X35" s="163">
        <f>E35</f>
        <v/>
      </c>
      <c r="Y35" s="159">
        <f>H35</f>
        <v/>
      </c>
      <c r="Z35" s="166">
        <f>I35</f>
        <v/>
      </c>
      <c r="AA35" s="166">
        <f>K35</f>
        <v/>
      </c>
      <c r="AB35" s="166">
        <f>M35</f>
        <v/>
      </c>
      <c r="AC35" s="7">
        <f>N35</f>
        <v/>
      </c>
      <c r="AD35" s="162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3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inlineStr">
        <is>
          <t>고덕센트럴푸르지오</t>
        </is>
      </c>
      <c r="B36" s="16" t="inlineStr">
        <is>
          <t>'20.08.</t>
        </is>
      </c>
      <c r="C36" s="164" t="n">
        <v>656</v>
      </c>
      <c r="D36" s="161" t="n">
        <v>82.2</v>
      </c>
      <c r="E36" s="163" t="n">
        <v>25</v>
      </c>
      <c r="F36" s="161" t="n">
        <v>59.1</v>
      </c>
      <c r="G36" s="27" t="n">
        <v>18</v>
      </c>
      <c r="H36" s="164" t="n">
        <v>280</v>
      </c>
      <c r="I36" s="165" t="n"/>
      <c r="J36" s="165" t="n"/>
      <c r="K36" s="165" t="n"/>
      <c r="L36" s="165" t="n"/>
      <c r="M36" s="166">
        <f>I36-K36</f>
        <v/>
      </c>
      <c r="N36" s="7">
        <f>IF(ISERROR(K36/I36),"",K36/I36)</f>
        <v/>
      </c>
      <c r="O36" s="162">
        <f>I36/E36</f>
        <v/>
      </c>
      <c r="P36" s="162">
        <f>K36/E36</f>
        <v/>
      </c>
      <c r="Q36" s="113" t="n">
        <v>3</v>
      </c>
      <c r="R36" s="113" t="n">
        <v>2</v>
      </c>
      <c r="S36" s="113" t="inlineStr">
        <is>
          <t>계</t>
        </is>
      </c>
      <c r="T36" s="8" t="inlineStr">
        <is>
          <t>82A</t>
        </is>
      </c>
      <c r="U36" s="13" t="n"/>
      <c r="W36" s="161">
        <f>D36</f>
        <v/>
      </c>
      <c r="X36" s="163">
        <f>E36</f>
        <v/>
      </c>
      <c r="Y36" s="159">
        <f>H36</f>
        <v/>
      </c>
      <c r="Z36" s="166">
        <f>I36</f>
        <v/>
      </c>
      <c r="AA36" s="166">
        <f>K36</f>
        <v/>
      </c>
      <c r="AB36" s="166">
        <f>M36</f>
        <v/>
      </c>
      <c r="AC36" s="7">
        <f>N36</f>
        <v/>
      </c>
      <c r="AD36" s="162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3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inlineStr">
        <is>
          <t>고덕센트럴푸르지오</t>
        </is>
      </c>
      <c r="B37" s="16" t="inlineStr">
        <is>
          <t>'20.08.</t>
        </is>
      </c>
      <c r="C37" s="164" t="n">
        <v>656</v>
      </c>
      <c r="D37" s="161" t="n">
        <v>82.5</v>
      </c>
      <c r="E37" s="163" t="n">
        <v>25</v>
      </c>
      <c r="F37" s="161" t="n">
        <v>59.1</v>
      </c>
      <c r="G37" s="27" t="n">
        <v>18</v>
      </c>
      <c r="H37" s="164" t="n">
        <v>115</v>
      </c>
      <c r="I37" s="165" t="n"/>
      <c r="J37" s="165" t="n"/>
      <c r="K37" s="165" t="n"/>
      <c r="L37" s="165" t="n"/>
      <c r="M37" s="166">
        <f>I37-K37</f>
        <v/>
      </c>
      <c r="N37" s="7">
        <f>IF(ISERROR(K37/I37),"",K37/I37)</f>
        <v/>
      </c>
      <c r="O37" s="162">
        <f>I37/E37</f>
        <v/>
      </c>
      <c r="P37" s="162">
        <f>K37/E37</f>
        <v/>
      </c>
      <c r="Q37" s="113" t="n">
        <v>3</v>
      </c>
      <c r="R37" s="113" t="n">
        <v>2</v>
      </c>
      <c r="S37" s="113" t="inlineStr">
        <is>
          <t>계</t>
        </is>
      </c>
      <c r="T37" s="8" t="inlineStr">
        <is>
          <t>82D</t>
        </is>
      </c>
      <c r="U37" s="13" t="n"/>
      <c r="W37" s="161">
        <f>D37</f>
        <v/>
      </c>
      <c r="X37" s="163">
        <f>E37</f>
        <v/>
      </c>
      <c r="Y37" s="159">
        <f>H37</f>
        <v/>
      </c>
      <c r="Z37" s="166">
        <f>I37</f>
        <v/>
      </c>
      <c r="AA37" s="166">
        <f>K37</f>
        <v/>
      </c>
      <c r="AB37" s="166">
        <f>M37</f>
        <v/>
      </c>
      <c r="AC37" s="7">
        <f>N37</f>
        <v/>
      </c>
      <c r="AD37" s="162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3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inlineStr">
        <is>
          <t>고덕센트럴푸르지오</t>
        </is>
      </c>
      <c r="B38" s="16" t="inlineStr">
        <is>
          <t>'20.08.</t>
        </is>
      </c>
      <c r="C38" s="164" t="n">
        <v>656</v>
      </c>
      <c r="D38" s="161" t="n">
        <v>82.5</v>
      </c>
      <c r="E38" s="163" t="n">
        <v>25</v>
      </c>
      <c r="F38" s="161" t="n">
        <v>59.1</v>
      </c>
      <c r="G38" s="27" t="n">
        <v>18</v>
      </c>
      <c r="H38" s="164" t="n">
        <v>89</v>
      </c>
      <c r="I38" s="165" t="n"/>
      <c r="J38" s="165" t="n"/>
      <c r="K38" s="165" t="n"/>
      <c r="L38" s="165" t="n"/>
      <c r="M38" s="166">
        <f>I38-K38</f>
        <v/>
      </c>
      <c r="N38" s="7">
        <f>IF(ISERROR(K38/I38),"",K38/I38)</f>
        <v/>
      </c>
      <c r="O38" s="162">
        <f>I38/E38</f>
        <v/>
      </c>
      <c r="P38" s="162">
        <f>K38/E38</f>
        <v/>
      </c>
      <c r="Q38" s="113" t="n">
        <v>3</v>
      </c>
      <c r="R38" s="113" t="n">
        <v>2</v>
      </c>
      <c r="S38" s="113" t="inlineStr">
        <is>
          <t>계</t>
        </is>
      </c>
      <c r="T38" s="8" t="inlineStr">
        <is>
          <t>82C</t>
        </is>
      </c>
      <c r="U38" s="13" t="n"/>
      <c r="W38" s="161">
        <f>D38</f>
        <v/>
      </c>
      <c r="X38" s="163">
        <f>E38</f>
        <v/>
      </c>
      <c r="Y38" s="159">
        <f>H38</f>
        <v/>
      </c>
      <c r="Z38" s="166">
        <f>I38</f>
        <v/>
      </c>
      <c r="AA38" s="166">
        <f>K38</f>
        <v/>
      </c>
      <c r="AB38" s="166">
        <f>M38</f>
        <v/>
      </c>
      <c r="AC38" s="7">
        <f>N38</f>
        <v/>
      </c>
      <c r="AD38" s="162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3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고덕센트럴푸르지오</t>
        </is>
      </c>
      <c r="B39" s="16" t="inlineStr">
        <is>
          <t>'20.08.</t>
        </is>
      </c>
      <c r="C39" s="164" t="n">
        <v>656</v>
      </c>
      <c r="D39" s="161" t="n">
        <v>82.40000000000001</v>
      </c>
      <c r="E39" s="163" t="n">
        <v>25</v>
      </c>
      <c r="F39" s="161" t="n">
        <v>59.2</v>
      </c>
      <c r="G39" s="27" t="n">
        <v>18</v>
      </c>
      <c r="H39" s="164" t="n">
        <v>17</v>
      </c>
      <c r="I39" s="165" t="n"/>
      <c r="J39" s="165" t="n"/>
      <c r="K39" s="165" t="n"/>
      <c r="L39" s="165" t="n"/>
      <c r="M39" s="166">
        <f>I39-K39</f>
        <v/>
      </c>
      <c r="N39" s="7">
        <f>IF(ISERROR(K39/I39),"",K39/I39)</f>
        <v/>
      </c>
      <c r="O39" s="162">
        <f>I39/E39</f>
        <v/>
      </c>
      <c r="P39" s="162">
        <f>K39/E39</f>
        <v/>
      </c>
      <c r="Q39" s="113" t="n">
        <v>3</v>
      </c>
      <c r="R39" s="113" t="n">
        <v>2</v>
      </c>
      <c r="S39" s="113" t="inlineStr">
        <is>
          <t>계</t>
        </is>
      </c>
      <c r="T39" s="8" t="inlineStr">
        <is>
          <t>82B</t>
        </is>
      </c>
      <c r="U39" s="13" t="n"/>
      <c r="W39" s="161">
        <f>D39</f>
        <v/>
      </c>
      <c r="X39" s="163">
        <f>E39</f>
        <v/>
      </c>
      <c r="Y39" s="159">
        <f>H39</f>
        <v/>
      </c>
      <c r="Z39" s="166">
        <f>I39</f>
        <v/>
      </c>
      <c r="AA39" s="166">
        <f>K39</f>
        <v/>
      </c>
      <c r="AB39" s="166">
        <f>M39</f>
        <v/>
      </c>
      <c r="AC39" s="7">
        <f>N39</f>
        <v/>
      </c>
      <c r="AD39" s="162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3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inlineStr">
        <is>
          <t>고덕센트럴푸르지오</t>
        </is>
      </c>
      <c r="B40" s="16" t="inlineStr">
        <is>
          <t>'20.08.</t>
        </is>
      </c>
      <c r="C40" s="164" t="n">
        <v>656</v>
      </c>
      <c r="D40" s="161" t="n">
        <v>119.2</v>
      </c>
      <c r="E40" s="163" t="n">
        <v>36</v>
      </c>
      <c r="F40" s="161" t="n">
        <v>85</v>
      </c>
      <c r="G40" s="27" t="n">
        <v>26</v>
      </c>
      <c r="H40" s="164" t="n">
        <v>4</v>
      </c>
      <c r="I40" s="165" t="n"/>
      <c r="J40" s="165" t="n"/>
      <c r="K40" s="165" t="n"/>
      <c r="L40" s="165" t="n"/>
      <c r="M40" s="166">
        <f>I40-K40</f>
        <v/>
      </c>
      <c r="N40" s="7">
        <f>IF(ISERROR(K40/I40),"",K40/I40)</f>
        <v/>
      </c>
      <c r="O40" s="162">
        <f>I40/E40</f>
        <v/>
      </c>
      <c r="P40" s="162">
        <f>K40/E40</f>
        <v/>
      </c>
      <c r="Q40" s="113" t="n">
        <v>3</v>
      </c>
      <c r="R40" s="113" t="n">
        <v>2</v>
      </c>
      <c r="S40" s="113" t="inlineStr">
        <is>
          <t>계</t>
        </is>
      </c>
      <c r="T40" s="8" t="inlineStr">
        <is>
          <t>119A</t>
        </is>
      </c>
      <c r="U40" s="13" t="n"/>
      <c r="W40" s="161">
        <f>D40</f>
        <v/>
      </c>
      <c r="X40" s="163">
        <f>E40</f>
        <v/>
      </c>
      <c r="Y40" s="159">
        <f>H40</f>
        <v/>
      </c>
      <c r="Z40" s="166">
        <f>I40</f>
        <v/>
      </c>
      <c r="AA40" s="166">
        <f>K40</f>
        <v/>
      </c>
      <c r="AB40" s="166">
        <f>M40</f>
        <v/>
      </c>
      <c r="AC40" s="7">
        <f>N40</f>
        <v/>
      </c>
      <c r="AD40" s="162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3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inlineStr">
        <is>
          <t>고덕센트럴푸르지오</t>
        </is>
      </c>
      <c r="B41" s="16" t="inlineStr">
        <is>
          <t>'20.08.</t>
        </is>
      </c>
      <c r="C41" s="164" t="n">
        <v>656</v>
      </c>
      <c r="D41" s="161" t="n">
        <v>119</v>
      </c>
      <c r="E41" s="163" t="n">
        <v>36</v>
      </c>
      <c r="F41" s="161" t="n">
        <v>85</v>
      </c>
      <c r="G41" s="27" t="n">
        <v>26</v>
      </c>
      <c r="H41" s="164" t="n">
        <v>1</v>
      </c>
      <c r="I41" s="165" t="n"/>
      <c r="J41" s="165" t="n"/>
      <c r="K41" s="165" t="n"/>
      <c r="L41" s="165" t="n"/>
      <c r="M41" s="166">
        <f>I41-K41</f>
        <v/>
      </c>
      <c r="N41" s="7">
        <f>IF(ISERROR(K41/I41),"",K41/I41)</f>
        <v/>
      </c>
      <c r="O41" s="162">
        <f>I41/E41</f>
        <v/>
      </c>
      <c r="P41" s="162">
        <f>K41/E41</f>
        <v/>
      </c>
      <c r="Q41" s="113" t="n">
        <v>3</v>
      </c>
      <c r="R41" s="113" t="n">
        <v>2</v>
      </c>
      <c r="S41" s="113" t="inlineStr">
        <is>
          <t>계</t>
        </is>
      </c>
      <c r="T41" s="8" t="inlineStr">
        <is>
          <t>119B</t>
        </is>
      </c>
      <c r="U41" s="13" t="n"/>
      <c r="W41" s="161">
        <f>D41</f>
        <v/>
      </c>
      <c r="X41" s="163">
        <f>E41</f>
        <v/>
      </c>
      <c r="Y41" s="159">
        <f>H41</f>
        <v/>
      </c>
      <c r="Z41" s="166">
        <f>I41</f>
        <v/>
      </c>
      <c r="AA41" s="166">
        <f>K41</f>
        <v/>
      </c>
      <c r="AB41" s="166">
        <f>M41</f>
        <v/>
      </c>
      <c r="AC41" s="7">
        <f>N41</f>
        <v/>
      </c>
      <c r="AD41" s="162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3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n"/>
      <c r="B42" s="113" t="n"/>
      <c r="C42" s="10" t="n"/>
      <c r="D42" s="13" t="n"/>
      <c r="E42" s="20" t="n"/>
      <c r="F42" s="161" t="n"/>
      <c r="G42" s="13" t="n"/>
      <c r="H42" s="13" t="n"/>
      <c r="I42" s="13" t="n"/>
      <c r="J42" s="13" t="n"/>
      <c r="K42" s="13" t="n"/>
      <c r="L42" s="13" t="n"/>
      <c r="M42" s="13" t="n"/>
      <c r="N42" s="13" t="n"/>
      <c r="O42" s="162" t="n"/>
      <c r="P42" s="162" t="n"/>
      <c r="Q42" s="163" t="n"/>
      <c r="R42" s="163" t="n"/>
      <c r="S42" s="13" t="n"/>
      <c r="T42" s="70" t="n"/>
      <c r="U42" s="13" t="n"/>
      <c r="W42" s="107">
        <f>$A$4&amp;" "&amp;A43&amp;"("&amp;B43&amp;","&amp;C43&amp;"^)"</f>
        <v/>
      </c>
      <c r="X42" s="108" t="n"/>
      <c r="Y42" s="108" t="n"/>
      <c r="Z42" s="108" t="n"/>
      <c r="AA42" s="108" t="n"/>
      <c r="AB42" s="108" t="n"/>
      <c r="AC42" s="108" t="n"/>
      <c r="AD42" s="108" t="n"/>
      <c r="AE42" s="108" t="n"/>
      <c r="AF42" s="109" t="n"/>
      <c r="AH42" s="36">
        <f>IF(A42="","",A42)</f>
        <v/>
      </c>
      <c r="AI42" s="160">
        <f>IF(E42="","",E42)</f>
        <v/>
      </c>
      <c r="AJ42" s="113" t="n"/>
      <c r="AK42" s="113" t="n"/>
      <c r="AL42" s="113" t="n"/>
      <c r="AM42" s="113" t="n"/>
      <c r="AN42" s="113" t="n"/>
      <c r="AO42" s="113" t="n"/>
      <c r="AP42" s="113" t="n"/>
      <c r="AQ42" s="113" t="n"/>
      <c r="AR42" s="113" t="n"/>
      <c r="AS42" s="113" t="n"/>
      <c r="AT42" s="113" t="n"/>
      <c r="AU42" s="113" t="n"/>
      <c r="AV42" s="113" t="n"/>
    </row>
    <row r="43">
      <c r="A43" s="13" t="inlineStr">
        <is>
          <t>아남</t>
        </is>
      </c>
      <c r="B43" s="16" t="inlineStr">
        <is>
          <t>'96.03.</t>
        </is>
      </c>
      <c r="C43" s="164" t="n">
        <v>807</v>
      </c>
      <c r="D43" s="161" t="n">
        <v>61</v>
      </c>
      <c r="E43" s="163" t="n">
        <v>18</v>
      </c>
      <c r="F43" s="161" t="n">
        <v>50.2</v>
      </c>
      <c r="G43" s="27" t="n">
        <v>15</v>
      </c>
      <c r="H43" s="164" t="n">
        <v>82</v>
      </c>
      <c r="I43" s="165" t="n">
        <v>92000</v>
      </c>
      <c r="J43" s="165" t="inlineStr">
        <is>
          <t>14</t>
        </is>
      </c>
      <c r="K43" s="165" t="n"/>
      <c r="L43" s="165" t="n"/>
      <c r="M43" s="166">
        <f>I43-K43</f>
        <v/>
      </c>
      <c r="N43" s="7">
        <f>IF(ISERROR(K43/I43),"",K43/I43)</f>
        <v/>
      </c>
      <c r="O43" s="162">
        <f>I43/E43</f>
        <v/>
      </c>
      <c r="P43" s="162">
        <f>K43/E43</f>
        <v/>
      </c>
      <c r="Q43" s="113" t="n">
        <v>2</v>
      </c>
      <c r="R43" s="113" t="n">
        <v>1</v>
      </c>
      <c r="S43" s="113" t="inlineStr">
        <is>
          <t>복</t>
        </is>
      </c>
      <c r="T43" s="8" t="n">
        <v>60</v>
      </c>
      <c r="U43" s="13" t="n"/>
      <c r="W43" s="161">
        <f>D43</f>
        <v/>
      </c>
      <c r="X43" s="163">
        <f>E43</f>
        <v/>
      </c>
      <c r="Y43" s="159">
        <f>H43</f>
        <v/>
      </c>
      <c r="Z43" s="166">
        <f>I43</f>
        <v/>
      </c>
      <c r="AA43" s="166">
        <f>K43</f>
        <v/>
      </c>
      <c r="AB43" s="166">
        <f>M43</f>
        <v/>
      </c>
      <c r="AC43" s="7">
        <f>N43</f>
        <v/>
      </c>
      <c r="AD43" s="162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3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inlineStr">
        <is>
          <t>아남</t>
        </is>
      </c>
      <c r="B44" s="16" t="inlineStr">
        <is>
          <t>'96.03.</t>
        </is>
      </c>
      <c r="C44" s="164" t="n">
        <v>807</v>
      </c>
      <c r="D44" s="161" t="n">
        <v>86.5</v>
      </c>
      <c r="E44" s="163" t="n">
        <v>26</v>
      </c>
      <c r="F44" s="161" t="n">
        <v>71.2</v>
      </c>
      <c r="G44" s="27" t="n">
        <v>22</v>
      </c>
      <c r="H44" s="164" t="n">
        <v>63</v>
      </c>
      <c r="I44" s="165" t="n">
        <v>118000</v>
      </c>
      <c r="J44" s="165" t="inlineStr">
        <is>
          <t>12</t>
        </is>
      </c>
      <c r="K44" s="165" t="n"/>
      <c r="L44" s="165" t="n"/>
      <c r="M44" s="166">
        <f>I44-K44</f>
        <v/>
      </c>
      <c r="N44" s="7">
        <f>IF(ISERROR(K44/I44),"",K44/I44)</f>
        <v/>
      </c>
      <c r="O44" s="162">
        <f>I44/E44</f>
        <v/>
      </c>
      <c r="P44" s="162">
        <f>K44/E44</f>
        <v/>
      </c>
      <c r="Q44" s="113" t="n">
        <v>3</v>
      </c>
      <c r="R44" s="113" t="n">
        <v>1</v>
      </c>
      <c r="S44" s="113" t="inlineStr">
        <is>
          <t>복</t>
        </is>
      </c>
      <c r="T44" s="8" t="n">
        <v>86</v>
      </c>
      <c r="U44" s="13" t="n"/>
      <c r="W44" s="161">
        <f>D44</f>
        <v/>
      </c>
      <c r="X44" s="163">
        <f>E44</f>
        <v/>
      </c>
      <c r="Y44" s="159">
        <f>H44</f>
        <v/>
      </c>
      <c r="Z44" s="166">
        <f>I44</f>
        <v/>
      </c>
      <c r="AA44" s="166">
        <f>K44</f>
        <v/>
      </c>
      <c r="AB44" s="166">
        <f>M44</f>
        <v/>
      </c>
      <c r="AC44" s="7">
        <f>N44</f>
        <v/>
      </c>
      <c r="AD44" s="162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3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inlineStr">
        <is>
          <t>아남</t>
        </is>
      </c>
      <c r="B45" s="16" t="inlineStr">
        <is>
          <t>'96.03.</t>
        </is>
      </c>
      <c r="C45" s="164" t="n">
        <v>807</v>
      </c>
      <c r="D45" s="161" t="n">
        <v>95.09999999999999</v>
      </c>
      <c r="E45" s="163" t="n">
        <v>29</v>
      </c>
      <c r="F45" s="161" t="n">
        <v>78.3</v>
      </c>
      <c r="G45" s="27" t="n">
        <v>24</v>
      </c>
      <c r="H45" s="164" t="n">
        <v>106</v>
      </c>
      <c r="I45" s="165" t="n">
        <v>138000</v>
      </c>
      <c r="J45" s="165" t="inlineStr">
        <is>
          <t>5</t>
        </is>
      </c>
      <c r="K45" s="165" t="n"/>
      <c r="L45" s="165" t="n"/>
      <c r="M45" s="166">
        <f>I45-K45</f>
        <v/>
      </c>
      <c r="N45" s="7">
        <f>IF(ISERROR(K45/I45),"",K45/I45)</f>
        <v/>
      </c>
      <c r="O45" s="162">
        <f>I45/E45</f>
        <v/>
      </c>
      <c r="P45" s="162">
        <f>K45/E45</f>
        <v/>
      </c>
      <c r="Q45" s="113" t="n">
        <v>3</v>
      </c>
      <c r="R45" s="113" t="n">
        <v>1</v>
      </c>
      <c r="S45" s="113" t="inlineStr">
        <is>
          <t>계</t>
        </is>
      </c>
      <c r="T45" s="8" t="n">
        <v>95</v>
      </c>
      <c r="U45" s="13" t="n"/>
      <c r="W45" s="161">
        <f>D45</f>
        <v/>
      </c>
      <c r="X45" s="163">
        <f>E45</f>
        <v/>
      </c>
      <c r="Y45" s="159">
        <f>H45</f>
        <v/>
      </c>
      <c r="Z45" s="166">
        <f>I45</f>
        <v/>
      </c>
      <c r="AA45" s="166">
        <f>K45</f>
        <v/>
      </c>
      <c r="AB45" s="166">
        <f>M45</f>
        <v/>
      </c>
      <c r="AC45" s="7">
        <f>N45</f>
        <v/>
      </c>
      <c r="AD45" s="162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3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inlineStr">
        <is>
          <t>아남</t>
        </is>
      </c>
      <c r="B46" s="16" t="inlineStr">
        <is>
          <t>'96.03.</t>
        </is>
      </c>
      <c r="C46" s="164" t="n">
        <v>807</v>
      </c>
      <c r="D46" s="161" t="n">
        <v>103.1</v>
      </c>
      <c r="E46" s="163" t="n">
        <v>31</v>
      </c>
      <c r="F46" s="161" t="n">
        <v>84.90000000000001</v>
      </c>
      <c r="G46" s="27" t="n">
        <v>26</v>
      </c>
      <c r="H46" s="164" t="n">
        <v>556</v>
      </c>
      <c r="I46" s="165" t="n">
        <v>140000</v>
      </c>
      <c r="J46" s="165" t="inlineStr">
        <is>
          <t>고</t>
        </is>
      </c>
      <c r="K46" s="165" t="n">
        <v>60000</v>
      </c>
      <c r="L46" s="165" t="inlineStr">
        <is>
          <t>18</t>
        </is>
      </c>
      <c r="M46" s="166">
        <f>I46-K46</f>
        <v/>
      </c>
      <c r="N46" s="7">
        <f>IF(ISERROR(K46/I46),"",K46/I46)</f>
        <v/>
      </c>
      <c r="O46" s="162">
        <f>I46/E46</f>
        <v/>
      </c>
      <c r="P46" s="162">
        <f>K46/E46</f>
        <v/>
      </c>
      <c r="Q46" s="113" t="n">
        <v>3</v>
      </c>
      <c r="R46" s="113" t="n">
        <v>2</v>
      </c>
      <c r="S46" s="113" t="inlineStr">
        <is>
          <t>계</t>
        </is>
      </c>
      <c r="T46" s="8" t="n">
        <v>103</v>
      </c>
      <c r="U46" s="13" t="n"/>
      <c r="W46" s="161">
        <f>D46</f>
        <v/>
      </c>
      <c r="X46" s="163">
        <f>E46</f>
        <v/>
      </c>
      <c r="Y46" s="159">
        <f>H46</f>
        <v/>
      </c>
      <c r="Z46" s="166">
        <f>I46</f>
        <v/>
      </c>
      <c r="AA46" s="166">
        <f>K46</f>
        <v/>
      </c>
      <c r="AB46" s="166">
        <f>M46</f>
        <v/>
      </c>
      <c r="AC46" s="7">
        <f>N46</f>
        <v/>
      </c>
      <c r="AD46" s="162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3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n"/>
      <c r="B47" s="113" t="n"/>
      <c r="C47" s="10" t="n"/>
      <c r="D47" s="13" t="n"/>
      <c r="E47" s="20" t="n"/>
      <c r="F47" s="161" t="n"/>
      <c r="G47" s="13" t="n"/>
      <c r="H47" s="13" t="n"/>
      <c r="I47" s="13" t="n"/>
      <c r="J47" s="13" t="n"/>
      <c r="K47" s="13" t="n"/>
      <c r="L47" s="13" t="n"/>
      <c r="M47" s="13" t="n"/>
      <c r="N47" s="13" t="n"/>
      <c r="O47" s="162" t="n"/>
      <c r="P47" s="162" t="n"/>
      <c r="Q47" s="163" t="n"/>
      <c r="R47" s="163" t="n"/>
      <c r="S47" s="13" t="n"/>
      <c r="T47" s="70" t="n"/>
      <c r="U47" s="13" t="n"/>
      <c r="W47" s="107">
        <f>$A$4&amp;" "&amp;A48&amp;"("&amp;B48&amp;","&amp;C48&amp;"^)"</f>
        <v/>
      </c>
      <c r="X47" s="108" t="n"/>
      <c r="Y47" s="108" t="n"/>
      <c r="Z47" s="108" t="n"/>
      <c r="AA47" s="108" t="n"/>
      <c r="AB47" s="108" t="n"/>
      <c r="AC47" s="108" t="n"/>
      <c r="AD47" s="108" t="n"/>
      <c r="AE47" s="108" t="n"/>
      <c r="AF47" s="109" t="n"/>
      <c r="AH47" s="36">
        <f>IF(A47="","",A47)</f>
        <v/>
      </c>
      <c r="AI47" s="160">
        <f>IF(E47="","",E47)</f>
        <v/>
      </c>
      <c r="AJ47" s="113" t="n"/>
      <c r="AK47" s="113" t="n"/>
      <c r="AL47" s="113" t="n"/>
      <c r="AM47" s="113" t="n"/>
      <c r="AN47" s="113" t="n"/>
      <c r="AO47" s="113" t="n"/>
      <c r="AP47" s="113" t="n"/>
      <c r="AQ47" s="113" t="n"/>
      <c r="AR47" s="113" t="n"/>
      <c r="AS47" s="113" t="n"/>
      <c r="AT47" s="113" t="n"/>
      <c r="AU47" s="113" t="n"/>
      <c r="AV47" s="113" t="n"/>
    </row>
    <row r="48">
      <c r="A48" s="13" t="inlineStr">
        <is>
          <t>고덕래미안힐스테이트</t>
        </is>
      </c>
      <c r="B48" s="16" t="inlineStr">
        <is>
          <t>'16.12.</t>
        </is>
      </c>
      <c r="C48" s="164" t="n">
        <v>3658</v>
      </c>
      <c r="D48" s="161" t="n">
        <v>82.59999999999999</v>
      </c>
      <c r="E48" s="163" t="n">
        <v>25</v>
      </c>
      <c r="F48" s="161" t="n">
        <v>59.4</v>
      </c>
      <c r="G48" s="27" t="n">
        <v>18</v>
      </c>
      <c r="H48" s="164" t="n">
        <v>480</v>
      </c>
      <c r="I48" s="165" t="n"/>
      <c r="J48" s="165" t="n"/>
      <c r="K48" s="165" t="n"/>
      <c r="L48" s="165" t="n"/>
      <c r="M48" s="166">
        <f>I48-K48</f>
        <v/>
      </c>
      <c r="N48" s="7">
        <f>IF(ISERROR(K48/I48),"",K48/I48)</f>
        <v/>
      </c>
      <c r="O48" s="162">
        <f>I48/E48</f>
        <v/>
      </c>
      <c r="P48" s="162">
        <f>K48/E48</f>
        <v/>
      </c>
      <c r="Q48" s="113" t="n">
        <v>3</v>
      </c>
      <c r="R48" s="113" t="n">
        <v>2</v>
      </c>
      <c r="S48" s="113" t="inlineStr">
        <is>
          <t>계</t>
        </is>
      </c>
      <c r="T48" s="8" t="inlineStr">
        <is>
          <t>82P</t>
        </is>
      </c>
      <c r="U48" s="13" t="n"/>
      <c r="W48" s="161">
        <f>D48</f>
        <v/>
      </c>
      <c r="X48" s="163">
        <f>E48</f>
        <v/>
      </c>
      <c r="Y48" s="159">
        <f>H48</f>
        <v/>
      </c>
      <c r="Z48" s="166">
        <f>I48</f>
        <v/>
      </c>
      <c r="AA48" s="166">
        <f>K48</f>
        <v/>
      </c>
      <c r="AB48" s="166">
        <f>M48</f>
        <v/>
      </c>
      <c r="AC48" s="7">
        <f>N48</f>
        <v/>
      </c>
      <c r="AD48" s="162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3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  <row r="49">
      <c r="A49" s="13" t="inlineStr">
        <is>
          <t>고덕래미안힐스테이트</t>
        </is>
      </c>
      <c r="B49" s="16" t="inlineStr">
        <is>
          <t>'16.12.</t>
        </is>
      </c>
      <c r="C49" s="164" t="n">
        <v>3658</v>
      </c>
      <c r="D49" s="161" t="n">
        <v>82.59999999999999</v>
      </c>
      <c r="E49" s="163" t="n">
        <v>25</v>
      </c>
      <c r="F49" s="161" t="n">
        <v>60</v>
      </c>
      <c r="G49" s="27" t="n">
        <v>18</v>
      </c>
      <c r="H49" s="164" t="n">
        <v>182</v>
      </c>
      <c r="I49" s="165" t="n"/>
      <c r="J49" s="165" t="n"/>
      <c r="K49" s="165" t="n"/>
      <c r="L49" s="165" t="n"/>
      <c r="M49" s="166">
        <f>I49-K49</f>
        <v/>
      </c>
      <c r="N49" s="7">
        <f>IF(ISERROR(K49/I49),"",K49/I49)</f>
        <v/>
      </c>
      <c r="O49" s="162">
        <f>I49/E49</f>
        <v/>
      </c>
      <c r="P49" s="162">
        <f>K49/E49</f>
        <v/>
      </c>
      <c r="Q49" s="113" t="n">
        <v>3</v>
      </c>
      <c r="R49" s="113" t="n">
        <v>2</v>
      </c>
      <c r="S49" s="113" t="inlineStr">
        <is>
          <t>계</t>
        </is>
      </c>
      <c r="T49" s="8" t="inlineStr">
        <is>
          <t>82TWB</t>
        </is>
      </c>
      <c r="U49" s="13" t="n"/>
      <c r="W49" s="161">
        <f>D49</f>
        <v/>
      </c>
      <c r="X49" s="163">
        <f>E49</f>
        <v/>
      </c>
      <c r="Y49" s="159">
        <f>H49</f>
        <v/>
      </c>
      <c r="Z49" s="166">
        <f>I49</f>
        <v/>
      </c>
      <c r="AA49" s="166">
        <f>K49</f>
        <v/>
      </c>
      <c r="AB49" s="166">
        <f>M49</f>
        <v/>
      </c>
      <c r="AC49" s="7">
        <f>N49</f>
        <v/>
      </c>
      <c r="AD49" s="162">
        <f>O49</f>
        <v/>
      </c>
      <c r="AE49" s="113">
        <f>S49</f>
        <v/>
      </c>
      <c r="AF49" s="113">
        <f>Q49&amp;"/"&amp;R49</f>
        <v/>
      </c>
      <c r="AH49" s="36">
        <f>IF(A49="","",A49)</f>
        <v/>
      </c>
      <c r="AI49" s="163">
        <f>IF(E49="","",E49)</f>
        <v/>
      </c>
      <c r="AJ49" s="113">
        <f>IF(AI49="","",$AJ$2)</f>
        <v/>
      </c>
      <c r="AK49" s="113" t="inlineStr">
        <is>
          <t>A</t>
        </is>
      </c>
      <c r="AL49" s="113" t="inlineStr">
        <is>
          <t>A+</t>
        </is>
      </c>
      <c r="AM49" s="113" t="inlineStr">
        <is>
          <t>B+</t>
        </is>
      </c>
      <c r="AN49" s="113">
        <f>IF(AI49="","",$AN$2)</f>
        <v/>
      </c>
      <c r="AO49" s="113">
        <f>IF(N49="","",IF(N49&gt;=$AO$1/100,"O","X"))</f>
        <v/>
      </c>
      <c r="AP49" s="113">
        <f>IF(I49="","",IF(I49&lt;=$AP$1,"O","X"))</f>
        <v/>
      </c>
      <c r="AQ49" s="113">
        <f>IF(O49="","",IF(O49&lt;=$AQ$1,"O","X"))</f>
        <v/>
      </c>
      <c r="AR49" s="113">
        <f>IF(M49="","",IF(M49&lt;=$AR$1,"O","X"))</f>
        <v/>
      </c>
      <c r="AS49" s="113" t="inlineStr">
        <is>
          <t>X</t>
        </is>
      </c>
      <c r="AT49" s="113">
        <f>IF(OR(F49="",AI49=""),"",IF(AND((F49&lt;=85),(AI49&gt;=15)),"O","X"))</f>
        <v/>
      </c>
      <c r="AU49" s="113">
        <f>IF(C49="","",IF(C49&gt;=$AU$1,"O","X"))</f>
        <v/>
      </c>
      <c r="AV49" s="113">
        <f>IF(AO49="","",IF(AND(AO49="O",AP49="O",AR49="O",AT49="O",AU49="O"),"후보","X"))</f>
        <v/>
      </c>
    </row>
    <row r="50">
      <c r="A50" s="13" t="inlineStr">
        <is>
          <t>고덕래미안힐스테이트</t>
        </is>
      </c>
      <c r="B50" s="16" t="inlineStr">
        <is>
          <t>'16.12.</t>
        </is>
      </c>
      <c r="C50" s="164" t="n">
        <v>3658</v>
      </c>
      <c r="D50" s="161" t="n">
        <v>82.59999999999999</v>
      </c>
      <c r="E50" s="163" t="n">
        <v>25</v>
      </c>
      <c r="F50" s="161" t="n">
        <v>59.2</v>
      </c>
      <c r="G50" s="27" t="n">
        <v>18</v>
      </c>
      <c r="H50" s="164" t="n">
        <v>177</v>
      </c>
      <c r="I50" s="165" t="n">
        <v>148000</v>
      </c>
      <c r="J50" s="165" t="inlineStr">
        <is>
          <t>고</t>
        </is>
      </c>
      <c r="K50" s="165" t="n"/>
      <c r="L50" s="165" t="n"/>
      <c r="M50" s="166">
        <f>I50-K50</f>
        <v/>
      </c>
      <c r="N50" s="7">
        <f>IF(ISERROR(K50/I50),"",K50/I50)</f>
        <v/>
      </c>
      <c r="O50" s="162">
        <f>I50/E50</f>
        <v/>
      </c>
      <c r="P50" s="162">
        <f>K50/E50</f>
        <v/>
      </c>
      <c r="Q50" s="113" t="n">
        <v>3</v>
      </c>
      <c r="R50" s="113" t="n">
        <v>2</v>
      </c>
      <c r="S50" s="113" t="inlineStr">
        <is>
          <t>계</t>
        </is>
      </c>
      <c r="T50" s="8" t="inlineStr">
        <is>
          <t>82TWA</t>
        </is>
      </c>
      <c r="U50" s="13" t="n"/>
      <c r="W50" s="161">
        <f>D50</f>
        <v/>
      </c>
      <c r="X50" s="163">
        <f>E50</f>
        <v/>
      </c>
      <c r="Y50" s="159">
        <f>H50</f>
        <v/>
      </c>
      <c r="Z50" s="166">
        <f>I50</f>
        <v/>
      </c>
      <c r="AA50" s="166">
        <f>K50</f>
        <v/>
      </c>
      <c r="AB50" s="166">
        <f>M50</f>
        <v/>
      </c>
      <c r="AC50" s="7">
        <f>N50</f>
        <v/>
      </c>
      <c r="AD50" s="162">
        <f>O50</f>
        <v/>
      </c>
      <c r="AE50" s="113">
        <f>S50</f>
        <v/>
      </c>
      <c r="AF50" s="113">
        <f>Q50&amp;"/"&amp;R50</f>
        <v/>
      </c>
      <c r="AH50" s="36">
        <f>IF(A50="","",A50)</f>
        <v/>
      </c>
      <c r="AI50" s="163">
        <f>IF(E50="","",E50)</f>
        <v/>
      </c>
      <c r="AJ50" s="113">
        <f>IF(AI50="","",$AJ$2)</f>
        <v/>
      </c>
      <c r="AK50" s="113" t="inlineStr">
        <is>
          <t>A</t>
        </is>
      </c>
      <c r="AL50" s="113" t="inlineStr">
        <is>
          <t>A+</t>
        </is>
      </c>
      <c r="AM50" s="113" t="inlineStr">
        <is>
          <t>B+</t>
        </is>
      </c>
      <c r="AN50" s="113">
        <f>IF(AI50="","",$AN$2)</f>
        <v/>
      </c>
      <c r="AO50" s="113">
        <f>IF(N50="","",IF(N50&gt;=$AO$1/100,"O","X"))</f>
        <v/>
      </c>
      <c r="AP50" s="113">
        <f>IF(I50="","",IF(I50&lt;=$AP$1,"O","X"))</f>
        <v/>
      </c>
      <c r="AQ50" s="113">
        <f>IF(O50="","",IF(O50&lt;=$AQ$1,"O","X"))</f>
        <v/>
      </c>
      <c r="AR50" s="113">
        <f>IF(M50="","",IF(M50&lt;=$AR$1,"O","X"))</f>
        <v/>
      </c>
      <c r="AS50" s="113" t="inlineStr">
        <is>
          <t>X</t>
        </is>
      </c>
      <c r="AT50" s="113">
        <f>IF(OR(F50="",AI50=""),"",IF(AND((F50&lt;=85),(AI50&gt;=15)),"O","X"))</f>
        <v/>
      </c>
      <c r="AU50" s="113">
        <f>IF(C50="","",IF(C50&gt;=$AU$1,"O","X"))</f>
        <v/>
      </c>
      <c r="AV50" s="113">
        <f>IF(AO50="","",IF(AND(AO50="O",AP50="O",AR50="O",AT50="O",AU50="O"),"후보","X"))</f>
        <v/>
      </c>
    </row>
    <row r="51">
      <c r="A51" s="13" t="inlineStr">
        <is>
          <t>고덕래미안힐스테이트</t>
        </is>
      </c>
      <c r="B51" s="16" t="inlineStr">
        <is>
          <t>'16.12.</t>
        </is>
      </c>
      <c r="C51" s="164" t="n">
        <v>3658</v>
      </c>
      <c r="D51" s="161" t="n">
        <v>94.2</v>
      </c>
      <c r="E51" s="163" t="n">
        <v>28</v>
      </c>
      <c r="F51" s="161" t="n">
        <v>59.9</v>
      </c>
      <c r="G51" s="27" t="n">
        <v>18</v>
      </c>
      <c r="H51" s="164" t="n">
        <v>24</v>
      </c>
      <c r="I51" s="165" t="n">
        <v>150000</v>
      </c>
      <c r="J51" s="165" t="inlineStr">
        <is>
          <t>고</t>
        </is>
      </c>
      <c r="K51" s="165" t="n"/>
      <c r="L51" s="165" t="n"/>
      <c r="M51" s="166">
        <f>I51-K51</f>
        <v/>
      </c>
      <c r="N51" s="7">
        <f>IF(ISERROR(K51/I51),"",K51/I51)</f>
        <v/>
      </c>
      <c r="O51" s="162">
        <f>I51/E51</f>
        <v/>
      </c>
      <c r="P51" s="162">
        <f>K51/E51</f>
        <v/>
      </c>
      <c r="Q51" s="113" t="n">
        <v>3</v>
      </c>
      <c r="R51" s="113" t="n">
        <v>2</v>
      </c>
      <c r="S51" s="113" t="inlineStr">
        <is>
          <t>계</t>
        </is>
      </c>
      <c r="T51" s="8" t="inlineStr">
        <is>
          <t>94TR</t>
        </is>
      </c>
      <c r="U51" s="13" t="n"/>
      <c r="W51" s="161">
        <f>D51</f>
        <v/>
      </c>
      <c r="X51" s="163">
        <f>E51</f>
        <v/>
      </c>
      <c r="Y51" s="159">
        <f>H51</f>
        <v/>
      </c>
      <c r="Z51" s="166">
        <f>I51</f>
        <v/>
      </c>
      <c r="AA51" s="166">
        <f>K51</f>
        <v/>
      </c>
      <c r="AB51" s="166">
        <f>M51</f>
        <v/>
      </c>
      <c r="AC51" s="7">
        <f>N51</f>
        <v/>
      </c>
      <c r="AD51" s="162">
        <f>O51</f>
        <v/>
      </c>
      <c r="AE51" s="113">
        <f>S51</f>
        <v/>
      </c>
      <c r="AF51" s="113">
        <f>Q51&amp;"/"&amp;R51</f>
        <v/>
      </c>
      <c r="AH51" s="36">
        <f>IF(A51="","",A51)</f>
        <v/>
      </c>
      <c r="AI51" s="163">
        <f>IF(E51="","",E51)</f>
        <v/>
      </c>
      <c r="AJ51" s="113">
        <f>IF(AI51="","",$AJ$2)</f>
        <v/>
      </c>
      <c r="AK51" s="113" t="inlineStr">
        <is>
          <t>A</t>
        </is>
      </c>
      <c r="AL51" s="113" t="inlineStr">
        <is>
          <t>A+</t>
        </is>
      </c>
      <c r="AM51" s="113" t="inlineStr">
        <is>
          <t>B+</t>
        </is>
      </c>
      <c r="AN51" s="113">
        <f>IF(AI51="","",$AN$2)</f>
        <v/>
      </c>
      <c r="AO51" s="113">
        <f>IF(N51="","",IF(N51&gt;=$AO$1/100,"O","X"))</f>
        <v/>
      </c>
      <c r="AP51" s="113">
        <f>IF(I51="","",IF(I51&lt;=$AP$1,"O","X"))</f>
        <v/>
      </c>
      <c r="AQ51" s="113">
        <f>IF(O51="","",IF(O51&lt;=$AQ$1,"O","X"))</f>
        <v/>
      </c>
      <c r="AR51" s="113">
        <f>IF(M51="","",IF(M51&lt;=$AR$1,"O","X"))</f>
        <v/>
      </c>
      <c r="AS51" s="113" t="inlineStr">
        <is>
          <t>X</t>
        </is>
      </c>
      <c r="AT51" s="113">
        <f>IF(OR(F51="",AI51=""),"",IF(AND((F51&lt;=85),(AI51&gt;=15)),"O","X"))</f>
        <v/>
      </c>
      <c r="AU51" s="113">
        <f>IF(C51="","",IF(C51&gt;=$AU$1,"O","X"))</f>
        <v/>
      </c>
      <c r="AV51" s="113">
        <f>IF(AO51="","",IF(AND(AO51="O",AP51="O",AR51="O",AT51="O",AU51="O"),"후보","X"))</f>
        <v/>
      </c>
    </row>
    <row r="52">
      <c r="A52" s="13" t="inlineStr">
        <is>
          <t>고덕래미안힐스테이트</t>
        </is>
      </c>
      <c r="B52" s="16" t="inlineStr">
        <is>
          <t>'16.12.</t>
        </is>
      </c>
      <c r="C52" s="164" t="n">
        <v>3658</v>
      </c>
      <c r="D52" s="161" t="n">
        <v>99</v>
      </c>
      <c r="E52" s="163" t="n">
        <v>30</v>
      </c>
      <c r="F52" s="161" t="n">
        <v>72</v>
      </c>
      <c r="G52" s="27" t="n">
        <v>22</v>
      </c>
      <c r="H52" s="164" t="n">
        <v>96</v>
      </c>
      <c r="I52" s="165" t="n"/>
      <c r="J52" s="165" t="n"/>
      <c r="K52" s="165" t="n"/>
      <c r="L52" s="165" t="n"/>
      <c r="M52" s="166">
        <f>I52-K52</f>
        <v/>
      </c>
      <c r="N52" s="7">
        <f>IF(ISERROR(K52/I52),"",K52/I52)</f>
        <v/>
      </c>
      <c r="O52" s="162">
        <f>I52/E52</f>
        <v/>
      </c>
      <c r="P52" s="162">
        <f>K52/E52</f>
        <v/>
      </c>
      <c r="Q52" s="113" t="n">
        <v>3</v>
      </c>
      <c r="R52" s="113" t="n">
        <v>2</v>
      </c>
      <c r="S52" s="113" t="inlineStr">
        <is>
          <t>계</t>
        </is>
      </c>
      <c r="T52" s="8" t="inlineStr">
        <is>
          <t>99P</t>
        </is>
      </c>
      <c r="U52" s="13" t="n"/>
      <c r="W52" s="161">
        <f>D52</f>
        <v/>
      </c>
      <c r="X52" s="163">
        <f>E52</f>
        <v/>
      </c>
      <c r="Y52" s="159">
        <f>H52</f>
        <v/>
      </c>
      <c r="Z52" s="166">
        <f>I52</f>
        <v/>
      </c>
      <c r="AA52" s="166">
        <f>K52</f>
        <v/>
      </c>
      <c r="AB52" s="166">
        <f>M52</f>
        <v/>
      </c>
      <c r="AC52" s="7">
        <f>N52</f>
        <v/>
      </c>
      <c r="AD52" s="162">
        <f>O52</f>
        <v/>
      </c>
      <c r="AE52" s="113">
        <f>S52</f>
        <v/>
      </c>
      <c r="AF52" s="113">
        <f>Q52&amp;"/"&amp;R52</f>
        <v/>
      </c>
      <c r="AH52" s="36">
        <f>IF(A52="","",A52)</f>
        <v/>
      </c>
      <c r="AI52" s="163">
        <f>IF(E52="","",E52)</f>
        <v/>
      </c>
      <c r="AJ52" s="113">
        <f>IF(AI52="","",$AJ$2)</f>
        <v/>
      </c>
      <c r="AK52" s="113" t="inlineStr">
        <is>
          <t>A</t>
        </is>
      </c>
      <c r="AL52" s="113" t="inlineStr">
        <is>
          <t>A+</t>
        </is>
      </c>
      <c r="AM52" s="113" t="inlineStr">
        <is>
          <t>B+</t>
        </is>
      </c>
      <c r="AN52" s="113">
        <f>IF(AI52="","",$AN$2)</f>
        <v/>
      </c>
      <c r="AO52" s="113">
        <f>IF(N52="","",IF(N52&gt;=$AO$1/100,"O","X"))</f>
        <v/>
      </c>
      <c r="AP52" s="113">
        <f>IF(I52="","",IF(I52&lt;=$AP$1,"O","X"))</f>
        <v/>
      </c>
      <c r="AQ52" s="113">
        <f>IF(O52="","",IF(O52&lt;=$AQ$1,"O","X"))</f>
        <v/>
      </c>
      <c r="AR52" s="113">
        <f>IF(M52="","",IF(M52&lt;=$AR$1,"O","X"))</f>
        <v/>
      </c>
      <c r="AS52" s="113" t="inlineStr">
        <is>
          <t>X</t>
        </is>
      </c>
      <c r="AT52" s="113">
        <f>IF(OR(F52="",AI52=""),"",IF(AND((F52&lt;=85),(AI52&gt;=15)),"O","X"))</f>
        <v/>
      </c>
      <c r="AU52" s="113">
        <f>IF(C52="","",IF(C52&gt;=$AU$1,"O","X"))</f>
        <v/>
      </c>
      <c r="AV52" s="113">
        <f>IF(AO52="","",IF(AND(AO52="O",AP52="O",AR52="O",AT52="O",AU52="O"),"후보","X"))</f>
        <v/>
      </c>
    </row>
    <row r="53">
      <c r="A53" s="13" t="inlineStr">
        <is>
          <t>고덕래미안힐스테이트</t>
        </is>
      </c>
      <c r="B53" s="16" t="inlineStr">
        <is>
          <t>'16.12.</t>
        </is>
      </c>
      <c r="C53" s="164" t="n">
        <v>3658</v>
      </c>
      <c r="D53" s="161" t="n">
        <v>115.5</v>
      </c>
      <c r="E53" s="163" t="n">
        <v>35</v>
      </c>
      <c r="F53" s="161" t="n">
        <v>84.90000000000001</v>
      </c>
      <c r="G53" s="27" t="n">
        <v>26</v>
      </c>
      <c r="H53" s="164" t="n">
        <v>490</v>
      </c>
      <c r="I53" s="165" t="n">
        <v>168000</v>
      </c>
      <c r="J53" s="165" t="inlineStr">
        <is>
          <t>중</t>
        </is>
      </c>
      <c r="K53" s="165" t="n">
        <v>85000</v>
      </c>
      <c r="L53" s="165" t="inlineStr">
        <is>
          <t>중</t>
        </is>
      </c>
      <c r="M53" s="166">
        <f>I53-K53</f>
        <v/>
      </c>
      <c r="N53" s="7">
        <f>IF(ISERROR(K53/I53),"",K53/I53)</f>
        <v/>
      </c>
      <c r="O53" s="162">
        <f>I53/E53</f>
        <v/>
      </c>
      <c r="P53" s="162">
        <f>K53/E53</f>
        <v/>
      </c>
      <c r="Q53" s="113" t="n">
        <v>3</v>
      </c>
      <c r="R53" s="113" t="n">
        <v>2</v>
      </c>
      <c r="S53" s="113" t="inlineStr">
        <is>
          <t>계</t>
        </is>
      </c>
      <c r="T53" s="8" t="inlineStr">
        <is>
          <t>115D</t>
        </is>
      </c>
      <c r="U53" s="13" t="n"/>
      <c r="W53" s="161">
        <f>D53</f>
        <v/>
      </c>
      <c r="X53" s="163">
        <f>E53</f>
        <v/>
      </c>
      <c r="Y53" s="159">
        <f>H53</f>
        <v/>
      </c>
      <c r="Z53" s="166">
        <f>I53</f>
        <v/>
      </c>
      <c r="AA53" s="166">
        <f>K53</f>
        <v/>
      </c>
      <c r="AB53" s="166">
        <f>M53</f>
        <v/>
      </c>
      <c r="AC53" s="7">
        <f>N53</f>
        <v/>
      </c>
      <c r="AD53" s="162">
        <f>O53</f>
        <v/>
      </c>
      <c r="AE53" s="113">
        <f>S53</f>
        <v/>
      </c>
      <c r="AF53" s="113">
        <f>Q53&amp;"/"&amp;R53</f>
        <v/>
      </c>
      <c r="AH53" s="36">
        <f>IF(A53="","",A53)</f>
        <v/>
      </c>
      <c r="AI53" s="163">
        <f>IF(E53="","",E53)</f>
        <v/>
      </c>
      <c r="AJ53" s="113">
        <f>IF(AI53="","",$AJ$2)</f>
        <v/>
      </c>
      <c r="AK53" s="113" t="inlineStr">
        <is>
          <t>A</t>
        </is>
      </c>
      <c r="AL53" s="113" t="inlineStr">
        <is>
          <t>A+</t>
        </is>
      </c>
      <c r="AM53" s="113" t="inlineStr">
        <is>
          <t>B+</t>
        </is>
      </c>
      <c r="AN53" s="113">
        <f>IF(AI53="","",$AN$2)</f>
        <v/>
      </c>
      <c r="AO53" s="113">
        <f>IF(N53="","",IF(N53&gt;=$AO$1/100,"O","X"))</f>
        <v/>
      </c>
      <c r="AP53" s="113">
        <f>IF(I53="","",IF(I53&lt;=$AP$1,"O","X"))</f>
        <v/>
      </c>
      <c r="AQ53" s="113">
        <f>IF(O53="","",IF(O53&lt;=$AQ$1,"O","X"))</f>
        <v/>
      </c>
      <c r="AR53" s="113">
        <f>IF(M53="","",IF(M53&lt;=$AR$1,"O","X"))</f>
        <v/>
      </c>
      <c r="AS53" s="113" t="inlineStr">
        <is>
          <t>X</t>
        </is>
      </c>
      <c r="AT53" s="113">
        <f>IF(OR(F53="",AI53=""),"",IF(AND((F53&lt;=85),(AI53&gt;=15)),"O","X"))</f>
        <v/>
      </c>
      <c r="AU53" s="113">
        <f>IF(C53="","",IF(C53&gt;=$AU$1,"O","X"))</f>
        <v/>
      </c>
      <c r="AV53" s="113">
        <f>IF(AO53="","",IF(AND(AO53="O",AP53="O",AR53="O",AT53="O",AU53="O"),"후보","X"))</f>
        <v/>
      </c>
    </row>
    <row r="54">
      <c r="A54" s="13" t="inlineStr">
        <is>
          <t>고덕래미안힐스테이트</t>
        </is>
      </c>
      <c r="B54" s="16" t="inlineStr">
        <is>
          <t>'16.12.</t>
        </is>
      </c>
      <c r="C54" s="164" t="n">
        <v>3658</v>
      </c>
      <c r="D54" s="161" t="n">
        <v>115.5</v>
      </c>
      <c r="E54" s="163" t="n">
        <v>35</v>
      </c>
      <c r="F54" s="161" t="n">
        <v>84.90000000000001</v>
      </c>
      <c r="G54" s="27" t="n">
        <v>26</v>
      </c>
      <c r="H54" s="164" t="n">
        <v>468</v>
      </c>
      <c r="I54" s="165" t="n">
        <v>168000</v>
      </c>
      <c r="J54" s="165" t="inlineStr">
        <is>
          <t>중</t>
        </is>
      </c>
      <c r="K54" s="165" t="n">
        <v>85000</v>
      </c>
      <c r="L54" s="165" t="inlineStr">
        <is>
          <t>중</t>
        </is>
      </c>
      <c r="M54" s="166">
        <f>I54-K54</f>
        <v/>
      </c>
      <c r="N54" s="7">
        <f>IF(ISERROR(K54/I54),"",K54/I54)</f>
        <v/>
      </c>
      <c r="O54" s="162">
        <f>I54/E54</f>
        <v/>
      </c>
      <c r="P54" s="162">
        <f>K54/E54</f>
        <v/>
      </c>
      <c r="Q54" s="113" t="n">
        <v>3</v>
      </c>
      <c r="R54" s="113" t="n">
        <v>2</v>
      </c>
      <c r="S54" s="113" t="inlineStr">
        <is>
          <t>계</t>
        </is>
      </c>
      <c r="T54" s="8" t="inlineStr">
        <is>
          <t>115P</t>
        </is>
      </c>
      <c r="U54" s="13" t="n"/>
      <c r="W54" s="161">
        <f>D54</f>
        <v/>
      </c>
      <c r="X54" s="163">
        <f>E54</f>
        <v/>
      </c>
      <c r="Y54" s="159">
        <f>H54</f>
        <v/>
      </c>
      <c r="Z54" s="166">
        <f>I54</f>
        <v/>
      </c>
      <c r="AA54" s="166">
        <f>K54</f>
        <v/>
      </c>
      <c r="AB54" s="166">
        <f>M54</f>
        <v/>
      </c>
      <c r="AC54" s="7">
        <f>N54</f>
        <v/>
      </c>
      <c r="AD54" s="162">
        <f>O54</f>
        <v/>
      </c>
      <c r="AE54" s="113">
        <f>S54</f>
        <v/>
      </c>
      <c r="AF54" s="113">
        <f>Q54&amp;"/"&amp;R54</f>
        <v/>
      </c>
      <c r="AH54" s="36">
        <f>IF(A54="","",A54)</f>
        <v/>
      </c>
      <c r="AI54" s="163">
        <f>IF(E54="","",E54)</f>
        <v/>
      </c>
      <c r="AJ54" s="113">
        <f>IF(AI54="","",$AJ$2)</f>
        <v/>
      </c>
      <c r="AK54" s="113" t="inlineStr">
        <is>
          <t>A</t>
        </is>
      </c>
      <c r="AL54" s="113" t="inlineStr">
        <is>
          <t>A+</t>
        </is>
      </c>
      <c r="AM54" s="113" t="inlineStr">
        <is>
          <t>B+</t>
        </is>
      </c>
      <c r="AN54" s="113">
        <f>IF(AI54="","",$AN$2)</f>
        <v/>
      </c>
      <c r="AO54" s="113">
        <f>IF(N54="","",IF(N54&gt;=$AO$1/100,"O","X"))</f>
        <v/>
      </c>
      <c r="AP54" s="113">
        <f>IF(I54="","",IF(I54&lt;=$AP$1,"O","X"))</f>
        <v/>
      </c>
      <c r="AQ54" s="113">
        <f>IF(O54="","",IF(O54&lt;=$AQ$1,"O","X"))</f>
        <v/>
      </c>
      <c r="AR54" s="113">
        <f>IF(M54="","",IF(M54&lt;=$AR$1,"O","X"))</f>
        <v/>
      </c>
      <c r="AS54" s="113" t="inlineStr">
        <is>
          <t>X</t>
        </is>
      </c>
      <c r="AT54" s="113">
        <f>IF(OR(F54="",AI54=""),"",IF(AND((F54&lt;=85),(AI54&gt;=15)),"O","X"))</f>
        <v/>
      </c>
      <c r="AU54" s="113">
        <f>IF(C54="","",IF(C54&gt;=$AU$1,"O","X"))</f>
        <v/>
      </c>
      <c r="AV54" s="113">
        <f>IF(AO54="","",IF(AND(AO54="O",AP54="O",AR54="O",AT54="O",AU54="O"),"후보","X"))</f>
        <v/>
      </c>
    </row>
    <row r="55">
      <c r="A55" s="13" t="inlineStr">
        <is>
          <t>고덕래미안힐스테이트</t>
        </is>
      </c>
      <c r="B55" s="16" t="inlineStr">
        <is>
          <t>'16.12.</t>
        </is>
      </c>
      <c r="C55" s="164" t="n">
        <v>3658</v>
      </c>
      <c r="D55" s="161" t="n">
        <v>115.4</v>
      </c>
      <c r="E55" s="163" t="n">
        <v>35</v>
      </c>
      <c r="F55" s="161" t="n">
        <v>84.8</v>
      </c>
      <c r="G55" s="27" t="n">
        <v>26</v>
      </c>
      <c r="H55" s="164" t="n">
        <v>386</v>
      </c>
      <c r="I55" s="165" t="n">
        <v>158000</v>
      </c>
      <c r="J55" s="165" t="inlineStr">
        <is>
          <t>7</t>
        </is>
      </c>
      <c r="K55" s="165" t="n"/>
      <c r="L55" s="165" t="n"/>
      <c r="M55" s="166">
        <f>I55-K55</f>
        <v/>
      </c>
      <c r="N55" s="7">
        <f>IF(ISERROR(K55/I55),"",K55/I55)</f>
        <v/>
      </c>
      <c r="O55" s="162">
        <f>I55/E55</f>
        <v/>
      </c>
      <c r="P55" s="162">
        <f>K55/E55</f>
        <v/>
      </c>
      <c r="Q55" s="113" t="n">
        <v>3</v>
      </c>
      <c r="R55" s="113" t="n">
        <v>2</v>
      </c>
      <c r="S55" s="113" t="inlineStr">
        <is>
          <t>계</t>
        </is>
      </c>
      <c r="T55" s="8" t="inlineStr">
        <is>
          <t>115A</t>
        </is>
      </c>
      <c r="U55" s="13" t="n"/>
      <c r="W55" s="161">
        <f>D55</f>
        <v/>
      </c>
      <c r="X55" s="163">
        <f>E55</f>
        <v/>
      </c>
      <c r="Y55" s="159">
        <f>H55</f>
        <v/>
      </c>
      <c r="Z55" s="166">
        <f>I55</f>
        <v/>
      </c>
      <c r="AA55" s="166">
        <f>K55</f>
        <v/>
      </c>
      <c r="AB55" s="166">
        <f>M55</f>
        <v/>
      </c>
      <c r="AC55" s="7">
        <f>N55</f>
        <v/>
      </c>
      <c r="AD55" s="162">
        <f>O55</f>
        <v/>
      </c>
      <c r="AE55" s="113">
        <f>S55</f>
        <v/>
      </c>
      <c r="AF55" s="113">
        <f>Q55&amp;"/"&amp;R55</f>
        <v/>
      </c>
      <c r="AH55" s="36">
        <f>IF(A55="","",A55)</f>
        <v/>
      </c>
      <c r="AI55" s="163">
        <f>IF(E55="","",E55)</f>
        <v/>
      </c>
      <c r="AJ55" s="113">
        <f>IF(AI55="","",$AJ$2)</f>
        <v/>
      </c>
      <c r="AK55" s="113" t="inlineStr">
        <is>
          <t>A</t>
        </is>
      </c>
      <c r="AL55" s="113" t="inlineStr">
        <is>
          <t>A+</t>
        </is>
      </c>
      <c r="AM55" s="113" t="inlineStr">
        <is>
          <t>B+</t>
        </is>
      </c>
      <c r="AN55" s="113">
        <f>IF(AI55="","",$AN$2)</f>
        <v/>
      </c>
      <c r="AO55" s="113">
        <f>IF(N55="","",IF(N55&gt;=$AO$1/100,"O","X"))</f>
        <v/>
      </c>
      <c r="AP55" s="113">
        <f>IF(I55="","",IF(I55&lt;=$AP$1,"O","X"))</f>
        <v/>
      </c>
      <c r="AQ55" s="113">
        <f>IF(O55="","",IF(O55&lt;=$AQ$1,"O","X"))</f>
        <v/>
      </c>
      <c r="AR55" s="113">
        <f>IF(M55="","",IF(M55&lt;=$AR$1,"O","X"))</f>
        <v/>
      </c>
      <c r="AS55" s="113" t="inlineStr">
        <is>
          <t>X</t>
        </is>
      </c>
      <c r="AT55" s="113">
        <f>IF(OR(F55="",AI55=""),"",IF(AND((F55&lt;=85),(AI55&gt;=15)),"O","X"))</f>
        <v/>
      </c>
      <c r="AU55" s="113">
        <f>IF(C55="","",IF(C55&gt;=$AU$1,"O","X"))</f>
        <v/>
      </c>
      <c r="AV55" s="113">
        <f>IF(AO55="","",IF(AND(AO55="O",AP55="O",AR55="O",AT55="O",AU55="O"),"후보","X"))</f>
        <v/>
      </c>
    </row>
    <row r="56">
      <c r="A56" s="13" t="inlineStr">
        <is>
          <t>고덕래미안힐스테이트</t>
        </is>
      </c>
      <c r="B56" s="16" t="inlineStr">
        <is>
          <t>'16.12.</t>
        </is>
      </c>
      <c r="C56" s="164" t="n">
        <v>3658</v>
      </c>
      <c r="D56" s="161" t="n">
        <v>115.6</v>
      </c>
      <c r="E56" s="163" t="n">
        <v>35</v>
      </c>
      <c r="F56" s="161" t="n">
        <v>84.90000000000001</v>
      </c>
      <c r="G56" s="27" t="n">
        <v>26</v>
      </c>
      <c r="H56" s="164" t="n">
        <v>386</v>
      </c>
      <c r="I56" s="165" t="n">
        <v>170000</v>
      </c>
      <c r="J56" s="165" t="inlineStr">
        <is>
          <t>10</t>
        </is>
      </c>
      <c r="K56" s="165" t="n">
        <v>90000</v>
      </c>
      <c r="L56" s="165" t="inlineStr">
        <is>
          <t>중</t>
        </is>
      </c>
      <c r="M56" s="166">
        <f>I56-K56</f>
        <v/>
      </c>
      <c r="N56" s="7">
        <f>IF(ISERROR(K56/I56),"",K56/I56)</f>
        <v/>
      </c>
      <c r="O56" s="162">
        <f>I56/E56</f>
        <v/>
      </c>
      <c r="P56" s="162">
        <f>K56/E56</f>
        <v/>
      </c>
      <c r="Q56" s="113" t="n">
        <v>3</v>
      </c>
      <c r="R56" s="113" t="n">
        <v>2</v>
      </c>
      <c r="S56" s="113" t="inlineStr">
        <is>
          <t>계</t>
        </is>
      </c>
      <c r="T56" s="8" t="inlineStr">
        <is>
          <t>115B</t>
        </is>
      </c>
      <c r="U56" s="13" t="n"/>
      <c r="W56" s="161">
        <f>D56</f>
        <v/>
      </c>
      <c r="X56" s="163">
        <f>E56</f>
        <v/>
      </c>
      <c r="Y56" s="159">
        <f>H56</f>
        <v/>
      </c>
      <c r="Z56" s="166">
        <f>I56</f>
        <v/>
      </c>
      <c r="AA56" s="166">
        <f>K56</f>
        <v/>
      </c>
      <c r="AB56" s="166">
        <f>M56</f>
        <v/>
      </c>
      <c r="AC56" s="7">
        <f>N56</f>
        <v/>
      </c>
      <c r="AD56" s="162">
        <f>O56</f>
        <v/>
      </c>
      <c r="AE56" s="113">
        <f>S56</f>
        <v/>
      </c>
      <c r="AF56" s="113">
        <f>Q56&amp;"/"&amp;R56</f>
        <v/>
      </c>
      <c r="AH56" s="36">
        <f>IF(A56="","",A56)</f>
        <v/>
      </c>
      <c r="AI56" s="163">
        <f>IF(E56="","",E56)</f>
        <v/>
      </c>
      <c r="AJ56" s="113">
        <f>IF(AI56="","",$AJ$2)</f>
        <v/>
      </c>
      <c r="AK56" s="113" t="inlineStr">
        <is>
          <t>A</t>
        </is>
      </c>
      <c r="AL56" s="113" t="inlineStr">
        <is>
          <t>A+</t>
        </is>
      </c>
      <c r="AM56" s="113" t="inlineStr">
        <is>
          <t>B+</t>
        </is>
      </c>
      <c r="AN56" s="113">
        <f>IF(AI56="","",$AN$2)</f>
        <v/>
      </c>
      <c r="AO56" s="113">
        <f>IF(N56="","",IF(N56&gt;=$AO$1/100,"O","X"))</f>
        <v/>
      </c>
      <c r="AP56" s="113">
        <f>IF(I56="","",IF(I56&lt;=$AP$1,"O","X"))</f>
        <v/>
      </c>
      <c r="AQ56" s="113">
        <f>IF(O56="","",IF(O56&lt;=$AQ$1,"O","X"))</f>
        <v/>
      </c>
      <c r="AR56" s="113">
        <f>IF(M56="","",IF(M56&lt;=$AR$1,"O","X"))</f>
        <v/>
      </c>
      <c r="AS56" s="113" t="inlineStr">
        <is>
          <t>X</t>
        </is>
      </c>
      <c r="AT56" s="113">
        <f>IF(OR(F56="",AI56=""),"",IF(AND((F56&lt;=85),(AI56&gt;=15)),"O","X"))</f>
        <v/>
      </c>
      <c r="AU56" s="113">
        <f>IF(C56="","",IF(C56&gt;=$AU$1,"O","X"))</f>
        <v/>
      </c>
      <c r="AV56" s="113">
        <f>IF(AO56="","",IF(AND(AO56="O",AP56="O",AR56="O",AT56="O",AU56="O"),"후보","X"))</f>
        <v/>
      </c>
    </row>
    <row r="57">
      <c r="A57" s="13" t="inlineStr">
        <is>
          <t>고덕래미안힐스테이트</t>
        </is>
      </c>
      <c r="B57" s="16" t="inlineStr">
        <is>
          <t>'16.12.</t>
        </is>
      </c>
      <c r="C57" s="164" t="n">
        <v>3658</v>
      </c>
      <c r="D57" s="161" t="n">
        <v>115.1</v>
      </c>
      <c r="E57" s="163" t="n">
        <v>35</v>
      </c>
      <c r="F57" s="161" t="n">
        <v>84.90000000000001</v>
      </c>
      <c r="G57" s="27" t="n">
        <v>26</v>
      </c>
      <c r="H57" s="164" t="n">
        <v>144</v>
      </c>
      <c r="I57" s="165" t="n"/>
      <c r="J57" s="165" t="n"/>
      <c r="K57" s="165" t="n"/>
      <c r="L57" s="165" t="n"/>
      <c r="M57" s="166">
        <f>I57-K57</f>
        <v/>
      </c>
      <c r="N57" s="7">
        <f>IF(ISERROR(K57/I57),"",K57/I57)</f>
        <v/>
      </c>
      <c r="O57" s="162">
        <f>I57/E57</f>
        <v/>
      </c>
      <c r="P57" s="162">
        <f>K57/E57</f>
        <v/>
      </c>
      <c r="Q57" s="113" t="n">
        <v>3</v>
      </c>
      <c r="R57" s="113" t="n">
        <v>2</v>
      </c>
      <c r="S57" s="113" t="inlineStr">
        <is>
          <t>계</t>
        </is>
      </c>
      <c r="T57" s="8" t="inlineStr">
        <is>
          <t>115P1</t>
        </is>
      </c>
      <c r="U57" s="13" t="n"/>
      <c r="W57" s="161">
        <f>D57</f>
        <v/>
      </c>
      <c r="X57" s="163">
        <f>E57</f>
        <v/>
      </c>
      <c r="Y57" s="159">
        <f>H57</f>
        <v/>
      </c>
      <c r="Z57" s="166">
        <f>I57</f>
        <v/>
      </c>
      <c r="AA57" s="166">
        <f>K57</f>
        <v/>
      </c>
      <c r="AB57" s="166">
        <f>M57</f>
        <v/>
      </c>
      <c r="AC57" s="7">
        <f>N57</f>
        <v/>
      </c>
      <c r="AD57" s="162">
        <f>O57</f>
        <v/>
      </c>
      <c r="AE57" s="113">
        <f>S57</f>
        <v/>
      </c>
      <c r="AF57" s="113">
        <f>Q57&amp;"/"&amp;R57</f>
        <v/>
      </c>
      <c r="AH57" s="36">
        <f>IF(A57="","",A57)</f>
        <v/>
      </c>
      <c r="AI57" s="163">
        <f>IF(E57="","",E57)</f>
        <v/>
      </c>
      <c r="AJ57" s="113">
        <f>IF(AI57="","",$AJ$2)</f>
        <v/>
      </c>
      <c r="AK57" s="113" t="inlineStr">
        <is>
          <t>A</t>
        </is>
      </c>
      <c r="AL57" s="113" t="inlineStr">
        <is>
          <t>A+</t>
        </is>
      </c>
      <c r="AM57" s="113" t="inlineStr">
        <is>
          <t>B+</t>
        </is>
      </c>
      <c r="AN57" s="113">
        <f>IF(AI57="","",$AN$2)</f>
        <v/>
      </c>
      <c r="AO57" s="113">
        <f>IF(N57="","",IF(N57&gt;=$AO$1/100,"O","X"))</f>
        <v/>
      </c>
      <c r="AP57" s="113">
        <f>IF(I57="","",IF(I57&lt;=$AP$1,"O","X"))</f>
        <v/>
      </c>
      <c r="AQ57" s="113">
        <f>IF(O57="","",IF(O57&lt;=$AQ$1,"O","X"))</f>
        <v/>
      </c>
      <c r="AR57" s="113">
        <f>IF(M57="","",IF(M57&lt;=$AR$1,"O","X"))</f>
        <v/>
      </c>
      <c r="AS57" s="113" t="inlineStr">
        <is>
          <t>X</t>
        </is>
      </c>
      <c r="AT57" s="113">
        <f>IF(OR(F57="",AI57=""),"",IF(AND((F57&lt;=85),(AI57&gt;=15)),"O","X"))</f>
        <v/>
      </c>
      <c r="AU57" s="113">
        <f>IF(C57="","",IF(C57&gt;=$AU$1,"O","X"))</f>
        <v/>
      </c>
      <c r="AV57" s="113">
        <f>IF(AO57="","",IF(AND(AO57="O",AP57="O",AR57="O",AT57="O",AU57="O"),"후보","X"))</f>
        <v/>
      </c>
    </row>
    <row r="58">
      <c r="A58" s="13" t="inlineStr">
        <is>
          <t>고덕래미안힐스테이트</t>
        </is>
      </c>
      <c r="B58" s="16" t="inlineStr">
        <is>
          <t>'16.12.</t>
        </is>
      </c>
      <c r="C58" s="164" t="n">
        <v>3658</v>
      </c>
      <c r="D58" s="161" t="n">
        <v>115.6</v>
      </c>
      <c r="E58" s="163" t="n">
        <v>35</v>
      </c>
      <c r="F58" s="161" t="n">
        <v>84.7</v>
      </c>
      <c r="G58" s="27" t="n">
        <v>26</v>
      </c>
      <c r="H58" s="164" t="n">
        <v>129</v>
      </c>
      <c r="I58" s="165" t="n">
        <v>180000</v>
      </c>
      <c r="J58" s="165" t="inlineStr">
        <is>
          <t>고</t>
        </is>
      </c>
      <c r="K58" s="165" t="n"/>
      <c r="L58" s="165" t="n"/>
      <c r="M58" s="166">
        <f>I58-K58</f>
        <v/>
      </c>
      <c r="N58" s="7">
        <f>IF(ISERROR(K58/I58),"",K58/I58)</f>
        <v/>
      </c>
      <c r="O58" s="162">
        <f>I58/E58</f>
        <v/>
      </c>
      <c r="P58" s="162">
        <f>K58/E58</f>
        <v/>
      </c>
      <c r="Q58" s="113" t="n">
        <v>3</v>
      </c>
      <c r="R58" s="113" t="n">
        <v>2</v>
      </c>
      <c r="S58" s="113" t="inlineStr">
        <is>
          <t>계</t>
        </is>
      </c>
      <c r="T58" s="8" t="inlineStr">
        <is>
          <t>115C</t>
        </is>
      </c>
      <c r="U58" s="13" t="n"/>
      <c r="W58" s="161">
        <f>D58</f>
        <v/>
      </c>
      <c r="X58" s="163">
        <f>E58</f>
        <v/>
      </c>
      <c r="Y58" s="159">
        <f>H58</f>
        <v/>
      </c>
      <c r="Z58" s="166">
        <f>I58</f>
        <v/>
      </c>
      <c r="AA58" s="166">
        <f>K58</f>
        <v/>
      </c>
      <c r="AB58" s="166">
        <f>M58</f>
        <v/>
      </c>
      <c r="AC58" s="7">
        <f>N58</f>
        <v/>
      </c>
      <c r="AD58" s="162">
        <f>O58</f>
        <v/>
      </c>
      <c r="AE58" s="113">
        <f>S58</f>
        <v/>
      </c>
      <c r="AF58" s="113">
        <f>Q58&amp;"/"&amp;R58</f>
        <v/>
      </c>
      <c r="AH58" s="36">
        <f>IF(A58="","",A58)</f>
        <v/>
      </c>
      <c r="AI58" s="163">
        <f>IF(E58="","",E58)</f>
        <v/>
      </c>
      <c r="AJ58" s="113">
        <f>IF(AI58="","",$AJ$2)</f>
        <v/>
      </c>
      <c r="AK58" s="113" t="inlineStr">
        <is>
          <t>A</t>
        </is>
      </c>
      <c r="AL58" s="113" t="inlineStr">
        <is>
          <t>A+</t>
        </is>
      </c>
      <c r="AM58" s="113" t="inlineStr">
        <is>
          <t>B+</t>
        </is>
      </c>
      <c r="AN58" s="113">
        <f>IF(AI58="","",$AN$2)</f>
        <v/>
      </c>
      <c r="AO58" s="113">
        <f>IF(N58="","",IF(N58&gt;=$AO$1/100,"O","X"))</f>
        <v/>
      </c>
      <c r="AP58" s="113">
        <f>IF(I58="","",IF(I58&lt;=$AP$1,"O","X"))</f>
        <v/>
      </c>
      <c r="AQ58" s="113">
        <f>IF(O58="","",IF(O58&lt;=$AQ$1,"O","X"))</f>
        <v/>
      </c>
      <c r="AR58" s="113">
        <f>IF(M58="","",IF(M58&lt;=$AR$1,"O","X"))</f>
        <v/>
      </c>
      <c r="AS58" s="113" t="inlineStr">
        <is>
          <t>X</t>
        </is>
      </c>
      <c r="AT58" s="113">
        <f>IF(OR(F58="",AI58=""),"",IF(AND((F58&lt;=85),(AI58&gt;=15)),"O","X"))</f>
        <v/>
      </c>
      <c r="AU58" s="113">
        <f>IF(C58="","",IF(C58&gt;=$AU$1,"O","X"))</f>
        <v/>
      </c>
      <c r="AV58" s="113">
        <f>IF(AO58="","",IF(AND(AO58="O",AP58="O",AR58="O",AT58="O",AU58="O"),"후보","X"))</f>
        <v/>
      </c>
    </row>
    <row r="59">
      <c r="A59" s="13" t="inlineStr">
        <is>
          <t>고덕래미안힐스테이트</t>
        </is>
      </c>
      <c r="B59" s="16" t="inlineStr">
        <is>
          <t>'16.12.</t>
        </is>
      </c>
      <c r="C59" s="164" t="n">
        <v>3658</v>
      </c>
      <c r="D59" s="161" t="n">
        <v>132.1</v>
      </c>
      <c r="E59" s="163" t="n">
        <v>40</v>
      </c>
      <c r="F59" s="161" t="n">
        <v>97.3</v>
      </c>
      <c r="G59" s="27" t="n">
        <v>29</v>
      </c>
      <c r="H59" s="164" t="n">
        <v>262</v>
      </c>
      <c r="I59" s="165" t="n">
        <v>200000</v>
      </c>
      <c r="J59" s="165" t="inlineStr">
        <is>
          <t>고</t>
        </is>
      </c>
      <c r="K59" s="165" t="n">
        <v>109000</v>
      </c>
      <c r="L59" s="165" t="inlineStr">
        <is>
          <t>중</t>
        </is>
      </c>
      <c r="M59" s="166">
        <f>I59-K59</f>
        <v/>
      </c>
      <c r="N59" s="7">
        <f>IF(ISERROR(K59/I59),"",K59/I59)</f>
        <v/>
      </c>
      <c r="O59" s="162">
        <f>I59/E59</f>
        <v/>
      </c>
      <c r="P59" s="162">
        <f>K59/E59</f>
        <v/>
      </c>
      <c r="Q59" s="113" t="n">
        <v>4</v>
      </c>
      <c r="R59" s="113" t="n">
        <v>2</v>
      </c>
      <c r="S59" s="113" t="inlineStr">
        <is>
          <t>계</t>
        </is>
      </c>
      <c r="T59" s="8" t="inlineStr">
        <is>
          <t>132A</t>
        </is>
      </c>
      <c r="U59" s="13" t="n"/>
      <c r="W59" s="161">
        <f>D59</f>
        <v/>
      </c>
      <c r="X59" s="163">
        <f>E59</f>
        <v/>
      </c>
      <c r="Y59" s="159">
        <f>H59</f>
        <v/>
      </c>
      <c r="Z59" s="166">
        <f>I59</f>
        <v/>
      </c>
      <c r="AA59" s="166">
        <f>K59</f>
        <v/>
      </c>
      <c r="AB59" s="166">
        <f>M59</f>
        <v/>
      </c>
      <c r="AC59" s="7">
        <f>N59</f>
        <v/>
      </c>
      <c r="AD59" s="162">
        <f>O59</f>
        <v/>
      </c>
      <c r="AE59" s="113">
        <f>S59</f>
        <v/>
      </c>
      <c r="AF59" s="113">
        <f>Q59&amp;"/"&amp;R59</f>
        <v/>
      </c>
      <c r="AH59" s="36">
        <f>IF(A59="","",A59)</f>
        <v/>
      </c>
      <c r="AI59" s="163">
        <f>IF(E59="","",E59)</f>
        <v/>
      </c>
      <c r="AJ59" s="113">
        <f>IF(AI59="","",$AJ$2)</f>
        <v/>
      </c>
      <c r="AK59" s="113" t="inlineStr">
        <is>
          <t>A</t>
        </is>
      </c>
      <c r="AL59" s="113" t="inlineStr">
        <is>
          <t>A+</t>
        </is>
      </c>
      <c r="AM59" s="113" t="inlineStr">
        <is>
          <t>B+</t>
        </is>
      </c>
      <c r="AN59" s="113">
        <f>IF(AI59="","",$AN$2)</f>
        <v/>
      </c>
      <c r="AO59" s="113">
        <f>IF(N59="","",IF(N59&gt;=$AO$1/100,"O","X"))</f>
        <v/>
      </c>
      <c r="AP59" s="113">
        <f>IF(I59="","",IF(I59&lt;=$AP$1,"O","X"))</f>
        <v/>
      </c>
      <c r="AQ59" s="113">
        <f>IF(O59="","",IF(O59&lt;=$AQ$1,"O","X"))</f>
        <v/>
      </c>
      <c r="AR59" s="113">
        <f>IF(M59="","",IF(M59&lt;=$AR$1,"O","X"))</f>
        <v/>
      </c>
      <c r="AS59" s="113" t="inlineStr">
        <is>
          <t>X</t>
        </is>
      </c>
      <c r="AT59" s="113">
        <f>IF(OR(F59="",AI59=""),"",IF(AND((F59&lt;=85),(AI59&gt;=15)),"O","X"))</f>
        <v/>
      </c>
      <c r="AU59" s="113">
        <f>IF(C59="","",IF(C59&gt;=$AU$1,"O","X"))</f>
        <v/>
      </c>
      <c r="AV59" s="113">
        <f>IF(AO59="","",IF(AND(AO59="O",AP59="O",AR59="O",AT59="O",AU59="O"),"후보","X"))</f>
        <v/>
      </c>
    </row>
    <row r="60">
      <c r="A60" s="13" t="inlineStr">
        <is>
          <t>고덕래미안힐스테이트</t>
        </is>
      </c>
      <c r="B60" s="16" t="inlineStr">
        <is>
          <t>'16.12.</t>
        </is>
      </c>
      <c r="C60" s="164" t="n">
        <v>3658</v>
      </c>
      <c r="D60" s="161" t="n">
        <v>132.1</v>
      </c>
      <c r="E60" s="163" t="n">
        <v>40</v>
      </c>
      <c r="F60" s="161" t="n">
        <v>97.3</v>
      </c>
      <c r="G60" s="27" t="n">
        <v>29</v>
      </c>
      <c r="H60" s="164" t="n">
        <v>55</v>
      </c>
      <c r="I60" s="165" t="n">
        <v>200000</v>
      </c>
      <c r="J60" s="165" t="inlineStr">
        <is>
          <t>고</t>
        </is>
      </c>
      <c r="K60" s="165" t="n">
        <v>109000</v>
      </c>
      <c r="L60" s="165" t="inlineStr">
        <is>
          <t>중</t>
        </is>
      </c>
      <c r="M60" s="166">
        <f>I60-K60</f>
        <v/>
      </c>
      <c r="N60" s="7">
        <f>IF(ISERROR(K60/I60),"",K60/I60)</f>
        <v/>
      </c>
      <c r="O60" s="162">
        <f>I60/E60</f>
        <v/>
      </c>
      <c r="P60" s="162">
        <f>K60/E60</f>
        <v/>
      </c>
      <c r="Q60" s="113" t="n">
        <v>4</v>
      </c>
      <c r="R60" s="113" t="n">
        <v>2</v>
      </c>
      <c r="S60" s="113" t="inlineStr">
        <is>
          <t>계</t>
        </is>
      </c>
      <c r="T60" s="8" t="inlineStr">
        <is>
          <t>132B</t>
        </is>
      </c>
      <c r="U60" s="13" t="n"/>
      <c r="W60" s="161">
        <f>D60</f>
        <v/>
      </c>
      <c r="X60" s="163">
        <f>E60</f>
        <v/>
      </c>
      <c r="Y60" s="159">
        <f>H60</f>
        <v/>
      </c>
      <c r="Z60" s="166">
        <f>I60</f>
        <v/>
      </c>
      <c r="AA60" s="166">
        <f>K60</f>
        <v/>
      </c>
      <c r="AB60" s="166">
        <f>M60</f>
        <v/>
      </c>
      <c r="AC60" s="7">
        <f>N60</f>
        <v/>
      </c>
      <c r="AD60" s="162">
        <f>O60</f>
        <v/>
      </c>
      <c r="AE60" s="113">
        <f>S60</f>
        <v/>
      </c>
      <c r="AF60" s="113">
        <f>Q60&amp;"/"&amp;R60</f>
        <v/>
      </c>
      <c r="AH60" s="36">
        <f>IF(A60="","",A60)</f>
        <v/>
      </c>
      <c r="AI60" s="163">
        <f>IF(E60="","",E60)</f>
        <v/>
      </c>
      <c r="AJ60" s="113">
        <f>IF(AI60="","",$AJ$2)</f>
        <v/>
      </c>
      <c r="AK60" s="113" t="inlineStr">
        <is>
          <t>A</t>
        </is>
      </c>
      <c r="AL60" s="113" t="inlineStr">
        <is>
          <t>A+</t>
        </is>
      </c>
      <c r="AM60" s="113" t="inlineStr">
        <is>
          <t>B+</t>
        </is>
      </c>
      <c r="AN60" s="113">
        <f>IF(AI60="","",$AN$2)</f>
        <v/>
      </c>
      <c r="AO60" s="113">
        <f>IF(N60="","",IF(N60&gt;=$AO$1/100,"O","X"))</f>
        <v/>
      </c>
      <c r="AP60" s="113">
        <f>IF(I60="","",IF(I60&lt;=$AP$1,"O","X"))</f>
        <v/>
      </c>
      <c r="AQ60" s="113">
        <f>IF(O60="","",IF(O60&lt;=$AQ$1,"O","X"))</f>
        <v/>
      </c>
      <c r="AR60" s="113">
        <f>IF(M60="","",IF(M60&lt;=$AR$1,"O","X"))</f>
        <v/>
      </c>
      <c r="AS60" s="113" t="inlineStr">
        <is>
          <t>X</t>
        </is>
      </c>
      <c r="AT60" s="113">
        <f>IF(OR(F60="",AI60=""),"",IF(AND((F60&lt;=85),(AI60&gt;=15)),"O","X"))</f>
        <v/>
      </c>
      <c r="AU60" s="113">
        <f>IF(C60="","",IF(C60&gt;=$AU$1,"O","X"))</f>
        <v/>
      </c>
      <c r="AV60" s="113">
        <f>IF(AO60="","",IF(AND(AO60="O",AP60="O",AR60="O",AT60="O",AU60="O"),"후보","X"))</f>
        <v/>
      </c>
    </row>
    <row r="61">
      <c r="A61" s="13" t="inlineStr">
        <is>
          <t>고덕래미안힐스테이트</t>
        </is>
      </c>
      <c r="B61" s="16" t="inlineStr">
        <is>
          <t>'16.12.</t>
        </is>
      </c>
      <c r="C61" s="164" t="n">
        <v>3658</v>
      </c>
      <c r="D61" s="161" t="n">
        <v>132.2</v>
      </c>
      <c r="E61" s="163" t="n">
        <v>40</v>
      </c>
      <c r="F61" s="161" t="n">
        <v>97</v>
      </c>
      <c r="G61" s="27" t="n">
        <v>29</v>
      </c>
      <c r="H61" s="164" t="n">
        <v>55</v>
      </c>
      <c r="I61" s="165" t="n">
        <v>192000</v>
      </c>
      <c r="J61" s="165" t="inlineStr">
        <is>
          <t>18</t>
        </is>
      </c>
      <c r="K61" s="165" t="n"/>
      <c r="L61" s="165" t="n"/>
      <c r="M61" s="166">
        <f>I61-K61</f>
        <v/>
      </c>
      <c r="N61" s="7">
        <f>IF(ISERROR(K61/I61),"",K61/I61)</f>
        <v/>
      </c>
      <c r="O61" s="162">
        <f>I61/E61</f>
        <v/>
      </c>
      <c r="P61" s="162">
        <f>K61/E61</f>
        <v/>
      </c>
      <c r="Q61" s="113" t="n">
        <v>3</v>
      </c>
      <c r="R61" s="113" t="n">
        <v>2</v>
      </c>
      <c r="S61" s="113" t="inlineStr">
        <is>
          <t>계</t>
        </is>
      </c>
      <c r="T61" s="8" t="inlineStr">
        <is>
          <t>132C</t>
        </is>
      </c>
      <c r="U61" s="13" t="n"/>
      <c r="W61" s="161">
        <f>D61</f>
        <v/>
      </c>
      <c r="X61" s="163">
        <f>E61</f>
        <v/>
      </c>
      <c r="Y61" s="159">
        <f>H61</f>
        <v/>
      </c>
      <c r="Z61" s="166">
        <f>I61</f>
        <v/>
      </c>
      <c r="AA61" s="166">
        <f>K61</f>
        <v/>
      </c>
      <c r="AB61" s="166">
        <f>M61</f>
        <v/>
      </c>
      <c r="AC61" s="7">
        <f>N61</f>
        <v/>
      </c>
      <c r="AD61" s="162">
        <f>O61</f>
        <v/>
      </c>
      <c r="AE61" s="113">
        <f>S61</f>
        <v/>
      </c>
      <c r="AF61" s="113">
        <f>Q61&amp;"/"&amp;R61</f>
        <v/>
      </c>
      <c r="AH61" s="36">
        <f>IF(A61="","",A61)</f>
        <v/>
      </c>
      <c r="AI61" s="163">
        <f>IF(E61="","",E61)</f>
        <v/>
      </c>
      <c r="AJ61" s="113">
        <f>IF(AI61="","",$AJ$2)</f>
        <v/>
      </c>
      <c r="AK61" s="113" t="inlineStr">
        <is>
          <t>A</t>
        </is>
      </c>
      <c r="AL61" s="113" t="inlineStr">
        <is>
          <t>A+</t>
        </is>
      </c>
      <c r="AM61" s="113" t="inlineStr">
        <is>
          <t>B+</t>
        </is>
      </c>
      <c r="AN61" s="113">
        <f>IF(AI61="","",$AN$2)</f>
        <v/>
      </c>
      <c r="AO61" s="113">
        <f>IF(N61="","",IF(N61&gt;=$AO$1/100,"O","X"))</f>
        <v/>
      </c>
      <c r="AP61" s="113">
        <f>IF(I61="","",IF(I61&lt;=$AP$1,"O","X"))</f>
        <v/>
      </c>
      <c r="AQ61" s="113">
        <f>IF(O61="","",IF(O61&lt;=$AQ$1,"O","X"))</f>
        <v/>
      </c>
      <c r="AR61" s="113">
        <f>IF(M61="","",IF(M61&lt;=$AR$1,"O","X"))</f>
        <v/>
      </c>
      <c r="AS61" s="113" t="inlineStr">
        <is>
          <t>X</t>
        </is>
      </c>
      <c r="AT61" s="113">
        <f>IF(OR(F61="",AI61=""),"",IF(AND((F61&lt;=85),(AI61&gt;=15)),"O","X"))</f>
        <v/>
      </c>
      <c r="AU61" s="113">
        <f>IF(C61="","",IF(C61&gt;=$AU$1,"O","X"))</f>
        <v/>
      </c>
      <c r="AV61" s="113">
        <f>IF(AO61="","",IF(AND(AO61="O",AP61="O",AR61="O",AT61="O",AU61="O"),"후보","X"))</f>
        <v/>
      </c>
    </row>
    <row r="62">
      <c r="A62" s="13" t="inlineStr">
        <is>
          <t>고덕래미안힐스테이트</t>
        </is>
      </c>
      <c r="B62" s="16" t="inlineStr">
        <is>
          <t>'16.12.</t>
        </is>
      </c>
      <c r="C62" s="164" t="n">
        <v>3658</v>
      </c>
      <c r="D62" s="161" t="n">
        <v>138.5</v>
      </c>
      <c r="E62" s="163" t="n">
        <v>42</v>
      </c>
      <c r="F62" s="161" t="n">
        <v>101.1</v>
      </c>
      <c r="G62" s="27" t="n">
        <v>31</v>
      </c>
      <c r="H62" s="164" t="n">
        <v>4</v>
      </c>
      <c r="I62" s="165" t="n"/>
      <c r="J62" s="165" t="n"/>
      <c r="K62" s="165" t="n"/>
      <c r="L62" s="165" t="n"/>
      <c r="M62" s="166">
        <f>I62-K62</f>
        <v/>
      </c>
      <c r="N62" s="7">
        <f>IF(ISERROR(K62/I62),"",K62/I62)</f>
        <v/>
      </c>
      <c r="O62" s="162">
        <f>I62/E62</f>
        <v/>
      </c>
      <c r="P62" s="162">
        <f>K62/E62</f>
        <v/>
      </c>
      <c r="Q62" s="113" t="n">
        <v>4</v>
      </c>
      <c r="R62" s="113" t="n">
        <v>2</v>
      </c>
      <c r="S62" s="113" t="inlineStr">
        <is>
          <t>계</t>
        </is>
      </c>
      <c r="T62" s="8" t="inlineStr">
        <is>
          <t>138PH</t>
        </is>
      </c>
      <c r="U62" s="13" t="n"/>
      <c r="W62" s="161">
        <f>D62</f>
        <v/>
      </c>
      <c r="X62" s="163">
        <f>E62</f>
        <v/>
      </c>
      <c r="Y62" s="159">
        <f>H62</f>
        <v/>
      </c>
      <c r="Z62" s="166">
        <f>I62</f>
        <v/>
      </c>
      <c r="AA62" s="166">
        <f>K62</f>
        <v/>
      </c>
      <c r="AB62" s="166">
        <f>M62</f>
        <v/>
      </c>
      <c r="AC62" s="7">
        <f>N62</f>
        <v/>
      </c>
      <c r="AD62" s="162">
        <f>O62</f>
        <v/>
      </c>
      <c r="AE62" s="113">
        <f>S62</f>
        <v/>
      </c>
      <c r="AF62" s="113">
        <f>Q62&amp;"/"&amp;R62</f>
        <v/>
      </c>
      <c r="AH62" s="36">
        <f>IF(A62="","",A62)</f>
        <v/>
      </c>
      <c r="AI62" s="163">
        <f>IF(E62="","",E62)</f>
        <v/>
      </c>
      <c r="AJ62" s="113">
        <f>IF(AI62="","",$AJ$2)</f>
        <v/>
      </c>
      <c r="AK62" s="113" t="inlineStr">
        <is>
          <t>A</t>
        </is>
      </c>
      <c r="AL62" s="113" t="inlineStr">
        <is>
          <t>A+</t>
        </is>
      </c>
      <c r="AM62" s="113" t="inlineStr">
        <is>
          <t>B+</t>
        </is>
      </c>
      <c r="AN62" s="113">
        <f>IF(AI62="","",$AN$2)</f>
        <v/>
      </c>
      <c r="AO62" s="113">
        <f>IF(N62="","",IF(N62&gt;=$AO$1/100,"O","X"))</f>
        <v/>
      </c>
      <c r="AP62" s="113">
        <f>IF(I62="","",IF(I62&lt;=$AP$1,"O","X"))</f>
        <v/>
      </c>
      <c r="AQ62" s="113">
        <f>IF(O62="","",IF(O62&lt;=$AQ$1,"O","X"))</f>
        <v/>
      </c>
      <c r="AR62" s="113">
        <f>IF(M62="","",IF(M62&lt;=$AR$1,"O","X"))</f>
        <v/>
      </c>
      <c r="AS62" s="113" t="inlineStr">
        <is>
          <t>X</t>
        </is>
      </c>
      <c r="AT62" s="113">
        <f>IF(OR(F62="",AI62=""),"",IF(AND((F62&lt;=85),(AI62&gt;=15)),"O","X"))</f>
        <v/>
      </c>
      <c r="AU62" s="113">
        <f>IF(C62="","",IF(C62&gt;=$AU$1,"O","X"))</f>
        <v/>
      </c>
      <c r="AV62" s="113">
        <f>IF(AO62="","",IF(AND(AO62="O",AP62="O",AR62="O",AT62="O",AU62="O"),"후보","X"))</f>
        <v/>
      </c>
    </row>
    <row r="63">
      <c r="A63" s="13" t="inlineStr">
        <is>
          <t>고덕래미안힐스테이트</t>
        </is>
      </c>
      <c r="B63" s="16" t="inlineStr">
        <is>
          <t>'16.12.</t>
        </is>
      </c>
      <c r="C63" s="164" t="n">
        <v>3658</v>
      </c>
      <c r="D63" s="161" t="n">
        <v>140.5</v>
      </c>
      <c r="E63" s="163" t="n">
        <v>42</v>
      </c>
      <c r="F63" s="161" t="n">
        <v>84.90000000000001</v>
      </c>
      <c r="G63" s="27" t="n">
        <v>26</v>
      </c>
      <c r="H63" s="164" t="n">
        <v>6</v>
      </c>
      <c r="I63" s="165" t="n"/>
      <c r="J63" s="165" t="n"/>
      <c r="K63" s="165" t="n"/>
      <c r="L63" s="165" t="n"/>
      <c r="M63" s="166">
        <f>I63-K63</f>
        <v/>
      </c>
      <c r="N63" s="7">
        <f>IF(ISERROR(K63/I63),"",K63/I63)</f>
        <v/>
      </c>
      <c r="O63" s="162">
        <f>I63/E63</f>
        <v/>
      </c>
      <c r="P63" s="162">
        <f>K63/E63</f>
        <v/>
      </c>
      <c r="Q63" s="113" t="n">
        <v>3</v>
      </c>
      <c r="R63" s="113" t="n">
        <v>2</v>
      </c>
      <c r="S63" s="113" t="inlineStr">
        <is>
          <t>계</t>
        </is>
      </c>
      <c r="T63" s="8" t="inlineStr">
        <is>
          <t>140TR</t>
        </is>
      </c>
      <c r="U63" s="13" t="n"/>
      <c r="W63" s="161">
        <f>D63</f>
        <v/>
      </c>
      <c r="X63" s="163">
        <f>E63</f>
        <v/>
      </c>
      <c r="Y63" s="159">
        <f>H63</f>
        <v/>
      </c>
      <c r="Z63" s="166">
        <f>I63</f>
        <v/>
      </c>
      <c r="AA63" s="166">
        <f>K63</f>
        <v/>
      </c>
      <c r="AB63" s="166">
        <f>M63</f>
        <v/>
      </c>
      <c r="AC63" s="7">
        <f>N63</f>
        <v/>
      </c>
      <c r="AD63" s="162">
        <f>O63</f>
        <v/>
      </c>
      <c r="AE63" s="113">
        <f>S63</f>
        <v/>
      </c>
      <c r="AF63" s="113">
        <f>Q63&amp;"/"&amp;R63</f>
        <v/>
      </c>
      <c r="AH63" s="36">
        <f>IF(A63="","",A63)</f>
        <v/>
      </c>
      <c r="AI63" s="163">
        <f>IF(E63="","",E63)</f>
        <v/>
      </c>
      <c r="AJ63" s="113">
        <f>IF(AI63="","",$AJ$2)</f>
        <v/>
      </c>
      <c r="AK63" s="113" t="inlineStr">
        <is>
          <t>A</t>
        </is>
      </c>
      <c r="AL63" s="113" t="inlineStr">
        <is>
          <t>A+</t>
        </is>
      </c>
      <c r="AM63" s="113" t="inlineStr">
        <is>
          <t>B+</t>
        </is>
      </c>
      <c r="AN63" s="113">
        <f>IF(AI63="","",$AN$2)</f>
        <v/>
      </c>
      <c r="AO63" s="113">
        <f>IF(N63="","",IF(N63&gt;=$AO$1/100,"O","X"))</f>
        <v/>
      </c>
      <c r="AP63" s="113">
        <f>IF(I63="","",IF(I63&lt;=$AP$1,"O","X"))</f>
        <v/>
      </c>
      <c r="AQ63" s="113">
        <f>IF(O63="","",IF(O63&lt;=$AQ$1,"O","X"))</f>
        <v/>
      </c>
      <c r="AR63" s="113">
        <f>IF(M63="","",IF(M63&lt;=$AR$1,"O","X"))</f>
        <v/>
      </c>
      <c r="AS63" s="113" t="inlineStr">
        <is>
          <t>X</t>
        </is>
      </c>
      <c r="AT63" s="113">
        <f>IF(OR(F63="",AI63=""),"",IF(AND((F63&lt;=85),(AI63&gt;=15)),"O","X"))</f>
        <v/>
      </c>
      <c r="AU63" s="113">
        <f>IF(C63="","",IF(C63&gt;=$AU$1,"O","X"))</f>
        <v/>
      </c>
      <c r="AV63" s="113">
        <f>IF(AO63="","",IF(AND(AO63="O",AP63="O",AR63="O",AT63="O",AU63="O"),"후보","X"))</f>
        <v/>
      </c>
    </row>
    <row r="64">
      <c r="A64" s="13" t="inlineStr">
        <is>
          <t>고덕래미안힐스테이트</t>
        </is>
      </c>
      <c r="B64" s="16" t="inlineStr">
        <is>
          <t>'16.12.</t>
        </is>
      </c>
      <c r="C64" s="164" t="n">
        <v>3658</v>
      </c>
      <c r="D64" s="161" t="n">
        <v>148.6</v>
      </c>
      <c r="E64" s="163" t="n">
        <v>45</v>
      </c>
      <c r="F64" s="161" t="n">
        <v>109.8</v>
      </c>
      <c r="G64" s="27" t="n">
        <v>33</v>
      </c>
      <c r="H64" s="164" t="n">
        <v>64</v>
      </c>
      <c r="I64" s="165" t="n"/>
      <c r="J64" s="165" t="n"/>
      <c r="K64" s="165" t="n"/>
      <c r="L64" s="165" t="n"/>
      <c r="M64" s="166">
        <f>I64-K64</f>
        <v/>
      </c>
      <c r="N64" s="7">
        <f>IF(ISERROR(K64/I64),"",K64/I64)</f>
        <v/>
      </c>
      <c r="O64" s="162">
        <f>I64/E64</f>
        <v/>
      </c>
      <c r="P64" s="162">
        <f>K64/E64</f>
        <v/>
      </c>
      <c r="Q64" s="113" t="n">
        <v>4</v>
      </c>
      <c r="R64" s="113" t="n">
        <v>2</v>
      </c>
      <c r="S64" s="113" t="inlineStr">
        <is>
          <t>계</t>
        </is>
      </c>
      <c r="T64" s="8" t="n">
        <v>148</v>
      </c>
      <c r="U64" s="13" t="n"/>
      <c r="W64" s="161">
        <f>D64</f>
        <v/>
      </c>
      <c r="X64" s="163">
        <f>E64</f>
        <v/>
      </c>
      <c r="Y64" s="159">
        <f>H64</f>
        <v/>
      </c>
      <c r="Z64" s="166">
        <f>I64</f>
        <v/>
      </c>
      <c r="AA64" s="166">
        <f>K64</f>
        <v/>
      </c>
      <c r="AB64" s="166">
        <f>M64</f>
        <v/>
      </c>
      <c r="AC64" s="7">
        <f>N64</f>
        <v/>
      </c>
      <c r="AD64" s="162">
        <f>O64</f>
        <v/>
      </c>
      <c r="AE64" s="113">
        <f>S64</f>
        <v/>
      </c>
      <c r="AF64" s="113">
        <f>Q64&amp;"/"&amp;R64</f>
        <v/>
      </c>
      <c r="AH64" s="36">
        <f>IF(A64="","",A64)</f>
        <v/>
      </c>
      <c r="AI64" s="163">
        <f>IF(E64="","",E64)</f>
        <v/>
      </c>
      <c r="AJ64" s="113">
        <f>IF(AI64="","",$AJ$2)</f>
        <v/>
      </c>
      <c r="AK64" s="113" t="inlineStr">
        <is>
          <t>A</t>
        </is>
      </c>
      <c r="AL64" s="113" t="inlineStr">
        <is>
          <t>A+</t>
        </is>
      </c>
      <c r="AM64" s="113" t="inlineStr">
        <is>
          <t>B+</t>
        </is>
      </c>
      <c r="AN64" s="113">
        <f>IF(AI64="","",$AN$2)</f>
        <v/>
      </c>
      <c r="AO64" s="113">
        <f>IF(N64="","",IF(N64&gt;=$AO$1/100,"O","X"))</f>
        <v/>
      </c>
      <c r="AP64" s="113">
        <f>IF(I64="","",IF(I64&lt;=$AP$1,"O","X"))</f>
        <v/>
      </c>
      <c r="AQ64" s="113">
        <f>IF(O64="","",IF(O64&lt;=$AQ$1,"O","X"))</f>
        <v/>
      </c>
      <c r="AR64" s="113">
        <f>IF(M64="","",IF(M64&lt;=$AR$1,"O","X"))</f>
        <v/>
      </c>
      <c r="AS64" s="113" t="inlineStr">
        <is>
          <t>X</t>
        </is>
      </c>
      <c r="AT64" s="113">
        <f>IF(OR(F64="",AI64=""),"",IF(AND((F64&lt;=85),(AI64&gt;=15)),"O","X"))</f>
        <v/>
      </c>
      <c r="AU64" s="113">
        <f>IF(C64="","",IF(C64&gt;=$AU$1,"O","X"))</f>
        <v/>
      </c>
      <c r="AV64" s="113">
        <f>IF(AO64="","",IF(AND(AO64="O",AP64="O",AR64="O",AT64="O",AU64="O"),"후보","X"))</f>
        <v/>
      </c>
    </row>
    <row r="65">
      <c r="A65" s="13" t="inlineStr">
        <is>
          <t>고덕래미안힐스테이트</t>
        </is>
      </c>
      <c r="B65" s="16" t="inlineStr">
        <is>
          <t>'16.12.</t>
        </is>
      </c>
      <c r="C65" s="164" t="n">
        <v>3658</v>
      </c>
      <c r="D65" s="161" t="n">
        <v>162</v>
      </c>
      <c r="E65" s="163" t="n">
        <v>49</v>
      </c>
      <c r="F65" s="161" t="n">
        <v>120</v>
      </c>
      <c r="G65" s="27" t="n">
        <v>36</v>
      </c>
      <c r="H65" s="164" t="n">
        <v>32</v>
      </c>
      <c r="I65" s="165" t="n"/>
      <c r="J65" s="165" t="n"/>
      <c r="K65" s="165" t="n"/>
      <c r="L65" s="165" t="n"/>
      <c r="M65" s="166">
        <f>I65-K65</f>
        <v/>
      </c>
      <c r="N65" s="7">
        <f>IF(ISERROR(K65/I65),"",K65/I65)</f>
        <v/>
      </c>
      <c r="O65" s="162">
        <f>I65/E65</f>
        <v/>
      </c>
      <c r="P65" s="162">
        <f>K65/E65</f>
        <v/>
      </c>
      <c r="Q65" s="113" t="n">
        <v>4</v>
      </c>
      <c r="R65" s="113" t="n">
        <v>2</v>
      </c>
      <c r="S65" s="113" t="inlineStr">
        <is>
          <t>계</t>
        </is>
      </c>
      <c r="T65" s="8" t="n">
        <v>161</v>
      </c>
      <c r="U65" s="13" t="n"/>
      <c r="W65" s="161">
        <f>D65</f>
        <v/>
      </c>
      <c r="X65" s="163">
        <f>E65</f>
        <v/>
      </c>
      <c r="Y65" s="159">
        <f>H65</f>
        <v/>
      </c>
      <c r="Z65" s="166">
        <f>I65</f>
        <v/>
      </c>
      <c r="AA65" s="166">
        <f>K65</f>
        <v/>
      </c>
      <c r="AB65" s="166">
        <f>M65</f>
        <v/>
      </c>
      <c r="AC65" s="7">
        <f>N65</f>
        <v/>
      </c>
      <c r="AD65" s="162">
        <f>O65</f>
        <v/>
      </c>
      <c r="AE65" s="113">
        <f>S65</f>
        <v/>
      </c>
      <c r="AF65" s="113">
        <f>Q65&amp;"/"&amp;R65</f>
        <v/>
      </c>
      <c r="AH65" s="36">
        <f>IF(A65="","",A65)</f>
        <v/>
      </c>
      <c r="AI65" s="163">
        <f>IF(E65="","",E65)</f>
        <v/>
      </c>
      <c r="AJ65" s="113">
        <f>IF(AI65="","",$AJ$2)</f>
        <v/>
      </c>
      <c r="AK65" s="113" t="inlineStr">
        <is>
          <t>A</t>
        </is>
      </c>
      <c r="AL65" s="113" t="inlineStr">
        <is>
          <t>A+</t>
        </is>
      </c>
      <c r="AM65" s="113" t="inlineStr">
        <is>
          <t>B+</t>
        </is>
      </c>
      <c r="AN65" s="113">
        <f>IF(AI65="","",$AN$2)</f>
        <v/>
      </c>
      <c r="AO65" s="113">
        <f>IF(N65="","",IF(N65&gt;=$AO$1/100,"O","X"))</f>
        <v/>
      </c>
      <c r="AP65" s="113">
        <f>IF(I65="","",IF(I65&lt;=$AP$1,"O","X"))</f>
        <v/>
      </c>
      <c r="AQ65" s="113">
        <f>IF(O65="","",IF(O65&lt;=$AQ$1,"O","X"))</f>
        <v/>
      </c>
      <c r="AR65" s="113">
        <f>IF(M65="","",IF(M65&lt;=$AR$1,"O","X"))</f>
        <v/>
      </c>
      <c r="AS65" s="113" t="inlineStr">
        <is>
          <t>X</t>
        </is>
      </c>
      <c r="AT65" s="113">
        <f>IF(OR(F65="",AI65=""),"",IF(AND((F65&lt;=85),(AI65&gt;=15)),"O","X"))</f>
        <v/>
      </c>
      <c r="AU65" s="113">
        <f>IF(C65="","",IF(C65&gt;=$AU$1,"O","X"))</f>
        <v/>
      </c>
      <c r="AV65" s="113">
        <f>IF(AO65="","",IF(AND(AO65="O",AP65="O",AR65="O",AT65="O",AU65="O"),"후보","X"))</f>
        <v/>
      </c>
    </row>
    <row r="66">
      <c r="A66" s="13" t="inlineStr">
        <is>
          <t>고덕래미안힐스테이트</t>
        </is>
      </c>
      <c r="B66" s="16" t="inlineStr">
        <is>
          <t>'16.12.</t>
        </is>
      </c>
      <c r="C66" s="164" t="n">
        <v>3658</v>
      </c>
      <c r="D66" s="161" t="n">
        <v>194.1</v>
      </c>
      <c r="E66" s="163" t="n">
        <v>59</v>
      </c>
      <c r="F66" s="161" t="n">
        <v>141.6</v>
      </c>
      <c r="G66" s="27" t="n">
        <v>43</v>
      </c>
      <c r="H66" s="164" t="n">
        <v>4</v>
      </c>
      <c r="I66" s="165" t="n">
        <v>320000</v>
      </c>
      <c r="J66" s="165" t="inlineStr">
        <is>
          <t>15</t>
        </is>
      </c>
      <c r="K66" s="165" t="n"/>
      <c r="L66" s="165" t="n"/>
      <c r="M66" s="166">
        <f>I66-K66</f>
        <v/>
      </c>
      <c r="N66" s="7">
        <f>IF(ISERROR(K66/I66),"",K66/I66)</f>
        <v/>
      </c>
      <c r="O66" s="162">
        <f>I66/E66</f>
        <v/>
      </c>
      <c r="P66" s="162">
        <f>K66/E66</f>
        <v/>
      </c>
      <c r="Q66" s="113" t="n">
        <v>3</v>
      </c>
      <c r="R66" s="113" t="n">
        <v>2</v>
      </c>
      <c r="S66" s="113" t="inlineStr">
        <is>
          <t>계</t>
        </is>
      </c>
      <c r="T66" s="8" t="n">
        <v>194</v>
      </c>
      <c r="U66" s="13" t="n"/>
      <c r="W66" s="161">
        <f>D66</f>
        <v/>
      </c>
      <c r="X66" s="163">
        <f>E66</f>
        <v/>
      </c>
      <c r="Y66" s="159">
        <f>H66</f>
        <v/>
      </c>
      <c r="Z66" s="166">
        <f>I66</f>
        <v/>
      </c>
      <c r="AA66" s="166">
        <f>K66</f>
        <v/>
      </c>
      <c r="AB66" s="166">
        <f>M66</f>
        <v/>
      </c>
      <c r="AC66" s="7">
        <f>N66</f>
        <v/>
      </c>
      <c r="AD66" s="162">
        <f>O66</f>
        <v/>
      </c>
      <c r="AE66" s="113">
        <f>S66</f>
        <v/>
      </c>
      <c r="AF66" s="113">
        <f>Q66&amp;"/"&amp;R66</f>
        <v/>
      </c>
      <c r="AH66" s="36">
        <f>IF(A66="","",A66)</f>
        <v/>
      </c>
      <c r="AI66" s="163">
        <f>IF(E66="","",E66)</f>
        <v/>
      </c>
      <c r="AJ66" s="113">
        <f>IF(AI66="","",$AJ$2)</f>
        <v/>
      </c>
      <c r="AK66" s="113" t="inlineStr">
        <is>
          <t>A</t>
        </is>
      </c>
      <c r="AL66" s="113" t="inlineStr">
        <is>
          <t>A+</t>
        </is>
      </c>
      <c r="AM66" s="113" t="inlineStr">
        <is>
          <t>B+</t>
        </is>
      </c>
      <c r="AN66" s="113">
        <f>IF(AI66="","",$AN$2)</f>
        <v/>
      </c>
      <c r="AO66" s="113">
        <f>IF(N66="","",IF(N66&gt;=$AO$1/100,"O","X"))</f>
        <v/>
      </c>
      <c r="AP66" s="113">
        <f>IF(I66="","",IF(I66&lt;=$AP$1,"O","X"))</f>
        <v/>
      </c>
      <c r="AQ66" s="113">
        <f>IF(O66="","",IF(O66&lt;=$AQ$1,"O","X"))</f>
        <v/>
      </c>
      <c r="AR66" s="113">
        <f>IF(M66="","",IF(M66&lt;=$AR$1,"O","X"))</f>
        <v/>
      </c>
      <c r="AS66" s="113" t="inlineStr">
        <is>
          <t>X</t>
        </is>
      </c>
      <c r="AT66" s="113">
        <f>IF(OR(F66="",AI66=""),"",IF(AND((F66&lt;=85),(AI66&gt;=15)),"O","X"))</f>
        <v/>
      </c>
      <c r="AU66" s="113">
        <f>IF(C66="","",IF(C66&gt;=$AU$1,"O","X"))</f>
        <v/>
      </c>
      <c r="AV66" s="113">
        <f>IF(AO66="","",IF(AND(AO66="O",AP66="O",AR66="O",AT66="O",AU66="O"),"후보","X"))</f>
        <v/>
      </c>
    </row>
    <row r="67">
      <c r="A67" s="13" t="inlineStr">
        <is>
          <t>고덕래미안힐스테이트</t>
        </is>
      </c>
      <c r="B67" s="16" t="inlineStr">
        <is>
          <t>'16.12.</t>
        </is>
      </c>
      <c r="C67" s="164" t="n">
        <v>3658</v>
      </c>
      <c r="D67" s="161" t="n">
        <v>221.7</v>
      </c>
      <c r="E67" s="163" t="n">
        <v>67</v>
      </c>
      <c r="F67" s="161" t="n">
        <v>161.7</v>
      </c>
      <c r="G67" s="27" t="n">
        <v>49</v>
      </c>
      <c r="H67" s="164" t="n">
        <v>1</v>
      </c>
      <c r="I67" s="165" t="n"/>
      <c r="J67" s="165" t="n"/>
      <c r="K67" s="165" t="n"/>
      <c r="L67" s="165" t="n"/>
      <c r="M67" s="166">
        <f>I67-K67</f>
        <v/>
      </c>
      <c r="N67" s="7">
        <f>IF(ISERROR(K67/I67),"",K67/I67)</f>
        <v/>
      </c>
      <c r="O67" s="162">
        <f>I67/E67</f>
        <v/>
      </c>
      <c r="P67" s="162">
        <f>K67/E67</f>
        <v/>
      </c>
      <c r="Q67" s="113" t="n">
        <v>4</v>
      </c>
      <c r="R67" s="113" t="n">
        <v>2</v>
      </c>
      <c r="S67" s="113" t="inlineStr">
        <is>
          <t>계</t>
        </is>
      </c>
      <c r="T67" s="8" t="inlineStr">
        <is>
          <t>221B</t>
        </is>
      </c>
      <c r="U67" s="13" t="n"/>
      <c r="W67" s="161">
        <f>D67</f>
        <v/>
      </c>
      <c r="X67" s="163">
        <f>E67</f>
        <v/>
      </c>
      <c r="Y67" s="159">
        <f>H67</f>
        <v/>
      </c>
      <c r="Z67" s="166">
        <f>I67</f>
        <v/>
      </c>
      <c r="AA67" s="166">
        <f>K67</f>
        <v/>
      </c>
      <c r="AB67" s="166">
        <f>M67</f>
        <v/>
      </c>
      <c r="AC67" s="7">
        <f>N67</f>
        <v/>
      </c>
      <c r="AD67" s="162">
        <f>O67</f>
        <v/>
      </c>
      <c r="AE67" s="113">
        <f>S67</f>
        <v/>
      </c>
      <c r="AF67" s="113">
        <f>Q67&amp;"/"&amp;R67</f>
        <v/>
      </c>
      <c r="AH67" s="36">
        <f>IF(A67="","",A67)</f>
        <v/>
      </c>
      <c r="AI67" s="163">
        <f>IF(E67="","",E67)</f>
        <v/>
      </c>
      <c r="AJ67" s="113">
        <f>IF(AI67="","",$AJ$2)</f>
        <v/>
      </c>
      <c r="AK67" s="113" t="inlineStr">
        <is>
          <t>A</t>
        </is>
      </c>
      <c r="AL67" s="113" t="inlineStr">
        <is>
          <t>A+</t>
        </is>
      </c>
      <c r="AM67" s="113" t="inlineStr">
        <is>
          <t>B+</t>
        </is>
      </c>
      <c r="AN67" s="113">
        <f>IF(AI67="","",$AN$2)</f>
        <v/>
      </c>
      <c r="AO67" s="113">
        <f>IF(N67="","",IF(N67&gt;=$AO$1/100,"O","X"))</f>
        <v/>
      </c>
      <c r="AP67" s="113">
        <f>IF(I67="","",IF(I67&lt;=$AP$1,"O","X"))</f>
        <v/>
      </c>
      <c r="AQ67" s="113">
        <f>IF(O67="","",IF(O67&lt;=$AQ$1,"O","X"))</f>
        <v/>
      </c>
      <c r="AR67" s="113">
        <f>IF(M67="","",IF(M67&lt;=$AR$1,"O","X"))</f>
        <v/>
      </c>
      <c r="AS67" s="113" t="inlineStr">
        <is>
          <t>X</t>
        </is>
      </c>
      <c r="AT67" s="113">
        <f>IF(OR(F67="",AI67=""),"",IF(AND((F67&lt;=85),(AI67&gt;=15)),"O","X"))</f>
        <v/>
      </c>
      <c r="AU67" s="113">
        <f>IF(C67="","",IF(C67&gt;=$AU$1,"O","X"))</f>
        <v/>
      </c>
      <c r="AV67" s="113">
        <f>IF(AO67="","",IF(AND(AO67="O",AP67="O",AR67="O",AT67="O",AU67="O"),"후보","X"))</f>
        <v/>
      </c>
    </row>
    <row r="68">
      <c r="A68" s="13" t="inlineStr">
        <is>
          <t>고덕래미안힐스테이트</t>
        </is>
      </c>
      <c r="B68" s="16" t="inlineStr">
        <is>
          <t>'16.12.</t>
        </is>
      </c>
      <c r="C68" s="164" t="n">
        <v>3658</v>
      </c>
      <c r="D68" s="161" t="n">
        <v>223.2</v>
      </c>
      <c r="E68" s="163" t="n">
        <v>68</v>
      </c>
      <c r="F68" s="161" t="n">
        <v>161.9</v>
      </c>
      <c r="G68" s="27" t="n">
        <v>49</v>
      </c>
      <c r="H68" s="164" t="n">
        <v>1</v>
      </c>
      <c r="I68" s="165" t="n"/>
      <c r="J68" s="165" t="n"/>
      <c r="K68" s="165" t="n"/>
      <c r="L68" s="165" t="n"/>
      <c r="M68" s="166">
        <f>I68-K68</f>
        <v/>
      </c>
      <c r="N68" s="7">
        <f>IF(ISERROR(K68/I68),"",K68/I68)</f>
        <v/>
      </c>
      <c r="O68" s="162">
        <f>I68/E68</f>
        <v/>
      </c>
      <c r="P68" s="162">
        <f>K68/E68</f>
        <v/>
      </c>
      <c r="Q68" s="113" t="n">
        <v>4</v>
      </c>
      <c r="R68" s="113" t="n">
        <v>2</v>
      </c>
      <c r="S68" s="113" t="inlineStr">
        <is>
          <t>계</t>
        </is>
      </c>
      <c r="T68" s="8" t="inlineStr">
        <is>
          <t>223A</t>
        </is>
      </c>
      <c r="U68" s="13" t="n"/>
      <c r="W68" s="161">
        <f>D68</f>
        <v/>
      </c>
      <c r="X68" s="163">
        <f>E68</f>
        <v/>
      </c>
      <c r="Y68" s="159">
        <f>H68</f>
        <v/>
      </c>
      <c r="Z68" s="166">
        <f>I68</f>
        <v/>
      </c>
      <c r="AA68" s="166">
        <f>K68</f>
        <v/>
      </c>
      <c r="AB68" s="166">
        <f>M68</f>
        <v/>
      </c>
      <c r="AC68" s="7">
        <f>N68</f>
        <v/>
      </c>
      <c r="AD68" s="162">
        <f>O68</f>
        <v/>
      </c>
      <c r="AE68" s="113">
        <f>S68</f>
        <v/>
      </c>
      <c r="AF68" s="113">
        <f>Q68&amp;"/"&amp;R68</f>
        <v/>
      </c>
      <c r="AH68" s="36">
        <f>IF(A68="","",A68)</f>
        <v/>
      </c>
      <c r="AI68" s="163">
        <f>IF(E68="","",E68)</f>
        <v/>
      </c>
      <c r="AJ68" s="113">
        <f>IF(AI68="","",$AJ$2)</f>
        <v/>
      </c>
      <c r="AK68" s="113" t="inlineStr">
        <is>
          <t>A</t>
        </is>
      </c>
      <c r="AL68" s="113" t="inlineStr">
        <is>
          <t>A+</t>
        </is>
      </c>
      <c r="AM68" s="113" t="inlineStr">
        <is>
          <t>B+</t>
        </is>
      </c>
      <c r="AN68" s="113">
        <f>IF(AI68="","",$AN$2)</f>
        <v/>
      </c>
      <c r="AO68" s="113">
        <f>IF(N68="","",IF(N68&gt;=$AO$1/100,"O","X"))</f>
        <v/>
      </c>
      <c r="AP68" s="113">
        <f>IF(I68="","",IF(I68&lt;=$AP$1,"O","X"))</f>
        <v/>
      </c>
      <c r="AQ68" s="113">
        <f>IF(O68="","",IF(O68&lt;=$AQ$1,"O","X"))</f>
        <v/>
      </c>
      <c r="AR68" s="113">
        <f>IF(M68="","",IF(M68&lt;=$AR$1,"O","X"))</f>
        <v/>
      </c>
      <c r="AS68" s="113" t="inlineStr">
        <is>
          <t>X</t>
        </is>
      </c>
      <c r="AT68" s="113">
        <f>IF(OR(F68="",AI68=""),"",IF(AND((F68&lt;=85),(AI68&gt;=15)),"O","X"))</f>
        <v/>
      </c>
      <c r="AU68" s="113">
        <f>IF(C68="","",IF(C68&gt;=$AU$1,"O","X"))</f>
        <v/>
      </c>
      <c r="AV68" s="113">
        <f>IF(AO68="","",IF(AND(AO68="O",AP68="O",AR68="O",AT68="O",AU68="O"),"후보","X"))</f>
        <v/>
      </c>
    </row>
    <row r="69">
      <c r="A69" s="13" t="inlineStr">
        <is>
          <t>고덕래미안힐스테이트</t>
        </is>
      </c>
      <c r="B69" s="16" t="inlineStr">
        <is>
          <t>'16.12.</t>
        </is>
      </c>
      <c r="C69" s="164" t="n">
        <v>3658</v>
      </c>
      <c r="D69" s="161" t="n">
        <v>263.3</v>
      </c>
      <c r="E69" s="163" t="n">
        <v>80</v>
      </c>
      <c r="F69" s="161" t="n">
        <v>192.6</v>
      </c>
      <c r="G69" s="27" t="n">
        <v>58</v>
      </c>
      <c r="H69" s="164" t="n">
        <v>1</v>
      </c>
      <c r="I69" s="165" t="n"/>
      <c r="J69" s="165" t="n"/>
      <c r="K69" s="165" t="n"/>
      <c r="L69" s="165" t="n"/>
      <c r="M69" s="166">
        <f>I69-K69</f>
        <v/>
      </c>
      <c r="N69" s="7">
        <f>IF(ISERROR(K69/I69),"",K69/I69)</f>
        <v/>
      </c>
      <c r="O69" s="162">
        <f>I69/E69</f>
        <v/>
      </c>
      <c r="P69" s="162">
        <f>K69/E69</f>
        <v/>
      </c>
      <c r="Q69" s="113" t="n">
        <v>4</v>
      </c>
      <c r="R69" s="113" t="n">
        <v>2</v>
      </c>
      <c r="S69" s="113" t="inlineStr">
        <is>
          <t>계</t>
        </is>
      </c>
      <c r="T69" s="8" t="n">
        <v>263</v>
      </c>
      <c r="U69" s="13" t="n"/>
      <c r="W69" s="161">
        <f>D69</f>
        <v/>
      </c>
      <c r="X69" s="163">
        <f>E69</f>
        <v/>
      </c>
      <c r="Y69" s="159">
        <f>H69</f>
        <v/>
      </c>
      <c r="Z69" s="166">
        <f>I69</f>
        <v/>
      </c>
      <c r="AA69" s="166">
        <f>K69</f>
        <v/>
      </c>
      <c r="AB69" s="166">
        <f>M69</f>
        <v/>
      </c>
      <c r="AC69" s="7">
        <f>N69</f>
        <v/>
      </c>
      <c r="AD69" s="162">
        <f>O69</f>
        <v/>
      </c>
      <c r="AE69" s="113">
        <f>S69</f>
        <v/>
      </c>
      <c r="AF69" s="113">
        <f>Q69&amp;"/"&amp;R69</f>
        <v/>
      </c>
      <c r="AH69" s="36">
        <f>IF(A69="","",A69)</f>
        <v/>
      </c>
      <c r="AI69" s="163">
        <f>IF(E69="","",E69)</f>
        <v/>
      </c>
      <c r="AJ69" s="113">
        <f>IF(AI69="","",$AJ$2)</f>
        <v/>
      </c>
      <c r="AK69" s="113" t="inlineStr">
        <is>
          <t>A</t>
        </is>
      </c>
      <c r="AL69" s="113" t="inlineStr">
        <is>
          <t>A+</t>
        </is>
      </c>
      <c r="AM69" s="113" t="inlineStr">
        <is>
          <t>B+</t>
        </is>
      </c>
      <c r="AN69" s="113">
        <f>IF(AI69="","",$AN$2)</f>
        <v/>
      </c>
      <c r="AO69" s="113">
        <f>IF(N69="","",IF(N69&gt;=$AO$1/100,"O","X"))</f>
        <v/>
      </c>
      <c r="AP69" s="113">
        <f>IF(I69="","",IF(I69&lt;=$AP$1,"O","X"))</f>
        <v/>
      </c>
      <c r="AQ69" s="113">
        <f>IF(O69="","",IF(O69&lt;=$AQ$1,"O","X"))</f>
        <v/>
      </c>
      <c r="AR69" s="113">
        <f>IF(M69="","",IF(M69&lt;=$AR$1,"O","X"))</f>
        <v/>
      </c>
      <c r="AS69" s="113" t="inlineStr">
        <is>
          <t>X</t>
        </is>
      </c>
      <c r="AT69" s="113">
        <f>IF(OR(F69="",AI69=""),"",IF(AND((F69&lt;=85),(AI69&gt;=15)),"O","X"))</f>
        <v/>
      </c>
      <c r="AU69" s="113">
        <f>IF(C69="","",IF(C69&gt;=$AU$1,"O","X"))</f>
        <v/>
      </c>
      <c r="AV69" s="113">
        <f>IF(AO69="","",IF(AND(AO69="O",AP69="O",AR69="O",AT69="O",AU69="O"),"후보","X"))</f>
        <v/>
      </c>
    </row>
    <row r="70">
      <c r="A70" s="13" t="n"/>
      <c r="B70" s="113" t="n"/>
      <c r="C70" s="10" t="n"/>
      <c r="D70" s="13" t="n"/>
      <c r="E70" s="20" t="n"/>
      <c r="F70" s="161" t="n"/>
      <c r="G70" s="13" t="n"/>
      <c r="H70" s="13" t="n"/>
      <c r="I70" s="13" t="n"/>
      <c r="J70" s="13" t="n"/>
      <c r="K70" s="13" t="n"/>
      <c r="L70" s="13" t="n"/>
      <c r="M70" s="13" t="n"/>
      <c r="N70" s="13" t="n"/>
      <c r="O70" s="162" t="n"/>
      <c r="P70" s="162" t="n"/>
      <c r="Q70" s="163" t="n"/>
      <c r="R70" s="163" t="n"/>
      <c r="S70" s="13" t="n"/>
      <c r="T70" s="70" t="n"/>
      <c r="U70" s="13" t="n"/>
      <c r="W70" s="107">
        <f>$A$4&amp;" "&amp;A71&amp;"("&amp;B71&amp;","&amp;C71&amp;"^)"</f>
        <v/>
      </c>
      <c r="X70" s="108" t="n"/>
      <c r="Y70" s="108" t="n"/>
      <c r="Z70" s="108" t="n"/>
      <c r="AA70" s="108" t="n"/>
      <c r="AB70" s="108" t="n"/>
      <c r="AC70" s="108" t="n"/>
      <c r="AD70" s="108" t="n"/>
      <c r="AE70" s="108" t="n"/>
      <c r="AF70" s="109" t="n"/>
      <c r="AH70" s="36">
        <f>IF(A70="","",A70)</f>
        <v/>
      </c>
      <c r="AI70" s="160">
        <f>IF(E70="","",E70)</f>
        <v/>
      </c>
      <c r="AJ70" s="113" t="n"/>
      <c r="AK70" s="113" t="n"/>
      <c r="AL70" s="113" t="n"/>
      <c r="AM70" s="113" t="n"/>
      <c r="AN70" s="113" t="n"/>
      <c r="AO70" s="113" t="n"/>
      <c r="AP70" s="113" t="n"/>
      <c r="AQ70" s="113" t="n"/>
      <c r="AR70" s="113" t="n"/>
      <c r="AS70" s="113" t="n"/>
      <c r="AT70" s="113" t="n"/>
      <c r="AU70" s="113" t="n"/>
      <c r="AV70" s="113" t="n"/>
    </row>
    <row r="71">
      <c r="A71" s="13" t="inlineStr">
        <is>
          <t>고덕아이파크</t>
        </is>
      </c>
      <c r="B71" s="16" t="inlineStr">
        <is>
          <t>'11.12.</t>
        </is>
      </c>
      <c r="C71" s="164" t="n">
        <v>1142</v>
      </c>
      <c r="D71" s="161" t="n">
        <v>85.09999999999999</v>
      </c>
      <c r="E71" s="163" t="n">
        <v>26</v>
      </c>
      <c r="F71" s="161" t="n">
        <v>60</v>
      </c>
      <c r="G71" s="27" t="n">
        <v>18</v>
      </c>
      <c r="H71" s="164" t="n">
        <v>136</v>
      </c>
      <c r="I71" s="165" t="n">
        <v>133000</v>
      </c>
      <c r="J71" s="165" t="inlineStr">
        <is>
          <t>고</t>
        </is>
      </c>
      <c r="K71" s="165" t="n">
        <v>70000</v>
      </c>
      <c r="L71" s="165" t="inlineStr">
        <is>
          <t>고</t>
        </is>
      </c>
      <c r="M71" s="166">
        <f>I71-K71</f>
        <v/>
      </c>
      <c r="N71" s="7">
        <f>IF(ISERROR(K71/I71),"",K71/I71)</f>
        <v/>
      </c>
      <c r="O71" s="162">
        <f>I71/E71</f>
        <v/>
      </c>
      <c r="P71" s="162">
        <f>K71/E71</f>
        <v/>
      </c>
      <c r="Q71" s="113" t="n">
        <v>3</v>
      </c>
      <c r="R71" s="113" t="n">
        <v>2</v>
      </c>
      <c r="S71" s="113" t="inlineStr">
        <is>
          <t>계</t>
        </is>
      </c>
      <c r="T71" s="8" t="n">
        <v>85</v>
      </c>
      <c r="U71" s="13" t="n"/>
      <c r="W71" s="161">
        <f>D71</f>
        <v/>
      </c>
      <c r="X71" s="163">
        <f>E71</f>
        <v/>
      </c>
      <c r="Y71" s="159">
        <f>H71</f>
        <v/>
      </c>
      <c r="Z71" s="166">
        <f>I71</f>
        <v/>
      </c>
      <c r="AA71" s="166">
        <f>K71</f>
        <v/>
      </c>
      <c r="AB71" s="166">
        <f>M71</f>
        <v/>
      </c>
      <c r="AC71" s="7">
        <f>N71</f>
        <v/>
      </c>
      <c r="AD71" s="162">
        <f>O71</f>
        <v/>
      </c>
      <c r="AE71" s="113">
        <f>S71</f>
        <v/>
      </c>
      <c r="AF71" s="113">
        <f>Q71&amp;"/"&amp;R71</f>
        <v/>
      </c>
      <c r="AH71" s="36">
        <f>IF(A71="","",A71)</f>
        <v/>
      </c>
      <c r="AI71" s="163">
        <f>IF(E71="","",E71)</f>
        <v/>
      </c>
      <c r="AJ71" s="113">
        <f>IF(AI71="","",$AJ$2)</f>
        <v/>
      </c>
      <c r="AK71" s="113" t="inlineStr">
        <is>
          <t>A</t>
        </is>
      </c>
      <c r="AL71" s="113" t="inlineStr">
        <is>
          <t>A+</t>
        </is>
      </c>
      <c r="AM71" s="113" t="inlineStr">
        <is>
          <t>B+</t>
        </is>
      </c>
      <c r="AN71" s="113">
        <f>IF(AI71="","",$AN$2)</f>
        <v/>
      </c>
      <c r="AO71" s="113">
        <f>IF(N71="","",IF(N71&gt;=$AO$1/100,"O","X"))</f>
        <v/>
      </c>
      <c r="AP71" s="113">
        <f>IF(I71="","",IF(I71&lt;=$AP$1,"O","X"))</f>
        <v/>
      </c>
      <c r="AQ71" s="113">
        <f>IF(O71="","",IF(O71&lt;=$AQ$1,"O","X"))</f>
        <v/>
      </c>
      <c r="AR71" s="113">
        <f>IF(M71="","",IF(M71&lt;=$AR$1,"O","X"))</f>
        <v/>
      </c>
      <c r="AS71" s="113" t="inlineStr">
        <is>
          <t>X</t>
        </is>
      </c>
      <c r="AT71" s="113">
        <f>IF(OR(F71="",AI71=""),"",IF(AND((F71&lt;=85),(AI71&gt;=15)),"O","X"))</f>
        <v/>
      </c>
      <c r="AU71" s="113">
        <f>IF(C71="","",IF(C71&gt;=$AU$1,"O","X"))</f>
        <v/>
      </c>
      <c r="AV71" s="113">
        <f>IF(AO71="","",IF(AND(AO71="O",AP71="O",AR71="O",AT71="O",AU71="O"),"후보","X"))</f>
        <v/>
      </c>
    </row>
    <row r="72">
      <c r="A72" s="13" t="inlineStr">
        <is>
          <t>고덕아이파크</t>
        </is>
      </c>
      <c r="B72" s="16" t="inlineStr">
        <is>
          <t>'11.12.</t>
        </is>
      </c>
      <c r="C72" s="164" t="n">
        <v>1142</v>
      </c>
      <c r="D72" s="161" t="n">
        <v>113.2</v>
      </c>
      <c r="E72" s="163" t="n">
        <v>34</v>
      </c>
      <c r="F72" s="161" t="n">
        <v>85</v>
      </c>
      <c r="G72" s="27" t="n">
        <v>26</v>
      </c>
      <c r="H72" s="164" t="n">
        <v>186</v>
      </c>
      <c r="I72" s="165" t="n">
        <v>167000</v>
      </c>
      <c r="J72" s="165" t="inlineStr">
        <is>
          <t>7</t>
        </is>
      </c>
      <c r="K72" s="165" t="n">
        <v>80000</v>
      </c>
      <c r="L72" s="165" t="inlineStr">
        <is>
          <t>중</t>
        </is>
      </c>
      <c r="M72" s="166">
        <f>I72-K72</f>
        <v/>
      </c>
      <c r="N72" s="7">
        <f>IF(ISERROR(K72/I72),"",K72/I72)</f>
        <v/>
      </c>
      <c r="O72" s="162">
        <f>I72/E72</f>
        <v/>
      </c>
      <c r="P72" s="162">
        <f>K72/E72</f>
        <v/>
      </c>
      <c r="Q72" s="113" t="n">
        <v>3</v>
      </c>
      <c r="R72" s="113" t="n">
        <v>2</v>
      </c>
      <c r="S72" s="113" t="inlineStr">
        <is>
          <t>계</t>
        </is>
      </c>
      <c r="T72" s="8" t="inlineStr">
        <is>
          <t>113A</t>
        </is>
      </c>
      <c r="U72" s="13" t="n"/>
      <c r="W72" s="161">
        <f>D72</f>
        <v/>
      </c>
      <c r="X72" s="163">
        <f>E72</f>
        <v/>
      </c>
      <c r="Y72" s="159">
        <f>H72</f>
        <v/>
      </c>
      <c r="Z72" s="166">
        <f>I72</f>
        <v/>
      </c>
      <c r="AA72" s="166">
        <f>K72</f>
        <v/>
      </c>
      <c r="AB72" s="166">
        <f>M72</f>
        <v/>
      </c>
      <c r="AC72" s="7">
        <f>N72</f>
        <v/>
      </c>
      <c r="AD72" s="162">
        <f>O72</f>
        <v/>
      </c>
      <c r="AE72" s="113">
        <f>S72</f>
        <v/>
      </c>
      <c r="AF72" s="113">
        <f>Q72&amp;"/"&amp;R72</f>
        <v/>
      </c>
      <c r="AH72" s="36">
        <f>IF(A72="","",A72)</f>
        <v/>
      </c>
      <c r="AI72" s="163">
        <f>IF(E72="","",E72)</f>
        <v/>
      </c>
      <c r="AJ72" s="113">
        <f>IF(AI72="","",$AJ$2)</f>
        <v/>
      </c>
      <c r="AK72" s="113" t="inlineStr">
        <is>
          <t>A</t>
        </is>
      </c>
      <c r="AL72" s="113" t="inlineStr">
        <is>
          <t>A+</t>
        </is>
      </c>
      <c r="AM72" s="113" t="inlineStr">
        <is>
          <t>B+</t>
        </is>
      </c>
      <c r="AN72" s="113">
        <f>IF(AI72="","",$AN$2)</f>
        <v/>
      </c>
      <c r="AO72" s="113">
        <f>IF(N72="","",IF(N72&gt;=$AO$1/100,"O","X"))</f>
        <v/>
      </c>
      <c r="AP72" s="113">
        <f>IF(I72="","",IF(I72&lt;=$AP$1,"O","X"))</f>
        <v/>
      </c>
      <c r="AQ72" s="113">
        <f>IF(O72="","",IF(O72&lt;=$AQ$1,"O","X"))</f>
        <v/>
      </c>
      <c r="AR72" s="113">
        <f>IF(M72="","",IF(M72&lt;=$AR$1,"O","X"))</f>
        <v/>
      </c>
      <c r="AS72" s="113" t="inlineStr">
        <is>
          <t>X</t>
        </is>
      </c>
      <c r="AT72" s="113">
        <f>IF(OR(F72="",AI72=""),"",IF(AND((F72&lt;=85),(AI72&gt;=15)),"O","X"))</f>
        <v/>
      </c>
      <c r="AU72" s="113">
        <f>IF(C72="","",IF(C72&gt;=$AU$1,"O","X"))</f>
        <v/>
      </c>
      <c r="AV72" s="113">
        <f>IF(AO72="","",IF(AND(AO72="O",AP72="O",AR72="O",AT72="O",AU72="O"),"후보","X"))</f>
        <v/>
      </c>
    </row>
    <row r="73">
      <c r="A73" s="13" t="inlineStr">
        <is>
          <t>고덕아이파크</t>
        </is>
      </c>
      <c r="B73" s="16" t="inlineStr">
        <is>
          <t>'11.12.</t>
        </is>
      </c>
      <c r="C73" s="164" t="n">
        <v>1142</v>
      </c>
      <c r="D73" s="161" t="n">
        <v>114.1</v>
      </c>
      <c r="E73" s="163" t="n">
        <v>35</v>
      </c>
      <c r="F73" s="161" t="n">
        <v>85</v>
      </c>
      <c r="G73" s="27" t="n">
        <v>26</v>
      </c>
      <c r="H73" s="164" t="n">
        <v>186</v>
      </c>
      <c r="I73" s="165" t="n"/>
      <c r="J73" s="165" t="n"/>
      <c r="K73" s="165" t="n"/>
      <c r="L73" s="165" t="n"/>
      <c r="M73" s="166">
        <f>I73-K73</f>
        <v/>
      </c>
      <c r="N73" s="7">
        <f>IF(ISERROR(K73/I73),"",K73/I73)</f>
        <v/>
      </c>
      <c r="O73" s="162">
        <f>I73/E73</f>
        <v/>
      </c>
      <c r="P73" s="162">
        <f>K73/E73</f>
        <v/>
      </c>
      <c r="Q73" s="113" t="n">
        <v>3</v>
      </c>
      <c r="R73" s="113" t="n">
        <v>2</v>
      </c>
      <c r="S73" s="113" t="inlineStr">
        <is>
          <t>계</t>
        </is>
      </c>
      <c r="T73" s="8" t="inlineStr">
        <is>
          <t>114B</t>
        </is>
      </c>
      <c r="U73" s="13" t="n"/>
      <c r="W73" s="161">
        <f>D73</f>
        <v/>
      </c>
      <c r="X73" s="163">
        <f>E73</f>
        <v/>
      </c>
      <c r="Y73" s="159">
        <f>H73</f>
        <v/>
      </c>
      <c r="Z73" s="166">
        <f>I73</f>
        <v/>
      </c>
      <c r="AA73" s="166">
        <f>K73</f>
        <v/>
      </c>
      <c r="AB73" s="166">
        <f>M73</f>
        <v/>
      </c>
      <c r="AC73" s="7">
        <f>N73</f>
        <v/>
      </c>
      <c r="AD73" s="162">
        <f>O73</f>
        <v/>
      </c>
      <c r="AE73" s="113">
        <f>S73</f>
        <v/>
      </c>
      <c r="AF73" s="113">
        <f>Q73&amp;"/"&amp;R73</f>
        <v/>
      </c>
      <c r="AH73" s="36">
        <f>IF(A73="","",A73)</f>
        <v/>
      </c>
      <c r="AI73" s="163">
        <f>IF(E73="","",E73)</f>
        <v/>
      </c>
      <c r="AJ73" s="113">
        <f>IF(AI73="","",$AJ$2)</f>
        <v/>
      </c>
      <c r="AK73" s="113" t="inlineStr">
        <is>
          <t>A</t>
        </is>
      </c>
      <c r="AL73" s="113" t="inlineStr">
        <is>
          <t>A+</t>
        </is>
      </c>
      <c r="AM73" s="113" t="inlineStr">
        <is>
          <t>B+</t>
        </is>
      </c>
      <c r="AN73" s="113">
        <f>IF(AI73="","",$AN$2)</f>
        <v/>
      </c>
      <c r="AO73" s="113">
        <f>IF(N73="","",IF(N73&gt;=$AO$1/100,"O","X"))</f>
        <v/>
      </c>
      <c r="AP73" s="113">
        <f>IF(I73="","",IF(I73&lt;=$AP$1,"O","X"))</f>
        <v/>
      </c>
      <c r="AQ73" s="113">
        <f>IF(O73="","",IF(O73&lt;=$AQ$1,"O","X"))</f>
        <v/>
      </c>
      <c r="AR73" s="113">
        <f>IF(M73="","",IF(M73&lt;=$AR$1,"O","X"))</f>
        <v/>
      </c>
      <c r="AS73" s="113" t="inlineStr">
        <is>
          <t>X</t>
        </is>
      </c>
      <c r="AT73" s="113">
        <f>IF(OR(F73="",AI73=""),"",IF(AND((F73&lt;=85),(AI73&gt;=15)),"O","X"))</f>
        <v/>
      </c>
      <c r="AU73" s="113">
        <f>IF(C73="","",IF(C73&gt;=$AU$1,"O","X"))</f>
        <v/>
      </c>
      <c r="AV73" s="113">
        <f>IF(AO73="","",IF(AND(AO73="O",AP73="O",AR73="O",AT73="O",AU73="O"),"후보","X"))</f>
        <v/>
      </c>
    </row>
    <row r="74">
      <c r="A74" s="13" t="inlineStr">
        <is>
          <t>고덕아이파크</t>
        </is>
      </c>
      <c r="B74" s="16" t="inlineStr">
        <is>
          <t>'11.12.</t>
        </is>
      </c>
      <c r="C74" s="164" t="n">
        <v>1142</v>
      </c>
      <c r="D74" s="161" t="n">
        <v>114.2</v>
      </c>
      <c r="E74" s="163" t="n">
        <v>35</v>
      </c>
      <c r="F74" s="161" t="n">
        <v>85</v>
      </c>
      <c r="G74" s="27" t="n">
        <v>26</v>
      </c>
      <c r="H74" s="164" t="n">
        <v>102</v>
      </c>
      <c r="I74" s="165" t="n"/>
      <c r="J74" s="165" t="n"/>
      <c r="K74" s="165" t="n">
        <v>75000</v>
      </c>
      <c r="L74" s="165" t="inlineStr">
        <is>
          <t>중</t>
        </is>
      </c>
      <c r="M74" s="166">
        <f>I74-K74</f>
        <v/>
      </c>
      <c r="N74" s="7">
        <f>IF(ISERROR(K74/I74),"",K74/I74)</f>
        <v/>
      </c>
      <c r="O74" s="162">
        <f>I74/E74</f>
        <v/>
      </c>
      <c r="P74" s="162">
        <f>K74/E74</f>
        <v/>
      </c>
      <c r="Q74" s="113" t="n">
        <v>3</v>
      </c>
      <c r="R74" s="113" t="n">
        <v>2</v>
      </c>
      <c r="S74" s="113" t="inlineStr">
        <is>
          <t>계</t>
        </is>
      </c>
      <c r="T74" s="8" t="n">
        <v>114</v>
      </c>
      <c r="U74" s="13" t="n"/>
      <c r="W74" s="161">
        <f>D74</f>
        <v/>
      </c>
      <c r="X74" s="163">
        <f>E74</f>
        <v/>
      </c>
      <c r="Y74" s="159">
        <f>H74</f>
        <v/>
      </c>
      <c r="Z74" s="166">
        <f>I74</f>
        <v/>
      </c>
      <c r="AA74" s="166">
        <f>K74</f>
        <v/>
      </c>
      <c r="AB74" s="166">
        <f>M74</f>
        <v/>
      </c>
      <c r="AC74" s="7">
        <f>N74</f>
        <v/>
      </c>
      <c r="AD74" s="162">
        <f>O74</f>
        <v/>
      </c>
      <c r="AE74" s="113">
        <f>S74</f>
        <v/>
      </c>
      <c r="AF74" s="113">
        <f>Q74&amp;"/"&amp;R74</f>
        <v/>
      </c>
      <c r="AH74" s="36">
        <f>IF(A74="","",A74)</f>
        <v/>
      </c>
      <c r="AI74" s="163">
        <f>IF(E74="","",E74)</f>
        <v/>
      </c>
      <c r="AJ74" s="113">
        <f>IF(AI74="","",$AJ$2)</f>
        <v/>
      </c>
      <c r="AK74" s="113" t="inlineStr">
        <is>
          <t>A</t>
        </is>
      </c>
      <c r="AL74" s="113" t="inlineStr">
        <is>
          <t>A+</t>
        </is>
      </c>
      <c r="AM74" s="113" t="inlineStr">
        <is>
          <t>B+</t>
        </is>
      </c>
      <c r="AN74" s="113">
        <f>IF(AI74="","",$AN$2)</f>
        <v/>
      </c>
      <c r="AO74" s="113">
        <f>IF(N74="","",IF(N74&gt;=$AO$1/100,"O","X"))</f>
        <v/>
      </c>
      <c r="AP74" s="113">
        <f>IF(I74="","",IF(I74&lt;=$AP$1,"O","X"))</f>
        <v/>
      </c>
      <c r="AQ74" s="113">
        <f>IF(O74="","",IF(O74&lt;=$AQ$1,"O","X"))</f>
        <v/>
      </c>
      <c r="AR74" s="113">
        <f>IF(M74="","",IF(M74&lt;=$AR$1,"O","X"))</f>
        <v/>
      </c>
      <c r="AS74" s="113" t="inlineStr">
        <is>
          <t>X</t>
        </is>
      </c>
      <c r="AT74" s="113">
        <f>IF(OR(F74="",AI74=""),"",IF(AND((F74&lt;=85),(AI74&gt;=15)),"O","X"))</f>
        <v/>
      </c>
      <c r="AU74" s="113">
        <f>IF(C74="","",IF(C74&gt;=$AU$1,"O","X"))</f>
        <v/>
      </c>
      <c r="AV74" s="113">
        <f>IF(AO74="","",IF(AND(AO74="O",AP74="O",AR74="O",AT74="O",AU74="O"),"후보","X"))</f>
        <v/>
      </c>
    </row>
    <row r="75">
      <c r="A75" s="13" t="inlineStr">
        <is>
          <t>고덕아이파크</t>
        </is>
      </c>
      <c r="B75" s="16" t="inlineStr">
        <is>
          <t>'11.12.</t>
        </is>
      </c>
      <c r="C75" s="164" t="n">
        <v>1142</v>
      </c>
      <c r="D75" s="161" t="n">
        <v>147.9</v>
      </c>
      <c r="E75" s="163" t="n">
        <v>45</v>
      </c>
      <c r="F75" s="161" t="n">
        <v>115</v>
      </c>
      <c r="G75" s="27" t="n">
        <v>35</v>
      </c>
      <c r="H75" s="164" t="n">
        <v>170</v>
      </c>
      <c r="I75" s="165" t="n">
        <v>205000</v>
      </c>
      <c r="J75" s="165" t="inlineStr">
        <is>
          <t>15</t>
        </is>
      </c>
      <c r="K75" s="165" t="n"/>
      <c r="L75" s="165" t="n"/>
      <c r="M75" s="166">
        <f>I75-K75</f>
        <v/>
      </c>
      <c r="N75" s="7">
        <f>IF(ISERROR(K75/I75),"",K75/I75)</f>
        <v/>
      </c>
      <c r="O75" s="162">
        <f>I75/E75</f>
        <v/>
      </c>
      <c r="P75" s="162">
        <f>K75/E75</f>
        <v/>
      </c>
      <c r="Q75" s="113" t="n">
        <v>4</v>
      </c>
      <c r="R75" s="113" t="n">
        <v>2</v>
      </c>
      <c r="S75" s="113" t="inlineStr">
        <is>
          <t>계</t>
        </is>
      </c>
      <c r="T75" s="8" t="n">
        <v>147</v>
      </c>
      <c r="U75" s="13" t="n"/>
      <c r="W75" s="161">
        <f>D75</f>
        <v/>
      </c>
      <c r="X75" s="163">
        <f>E75</f>
        <v/>
      </c>
      <c r="Y75" s="159">
        <f>H75</f>
        <v/>
      </c>
      <c r="Z75" s="166">
        <f>I75</f>
        <v/>
      </c>
      <c r="AA75" s="166">
        <f>K75</f>
        <v/>
      </c>
      <c r="AB75" s="166">
        <f>M75</f>
        <v/>
      </c>
      <c r="AC75" s="7">
        <f>N75</f>
        <v/>
      </c>
      <c r="AD75" s="162">
        <f>O75</f>
        <v/>
      </c>
      <c r="AE75" s="113">
        <f>S75</f>
        <v/>
      </c>
      <c r="AF75" s="113">
        <f>Q75&amp;"/"&amp;R75</f>
        <v/>
      </c>
      <c r="AH75" s="36">
        <f>IF(A75="","",A75)</f>
        <v/>
      </c>
      <c r="AI75" s="163">
        <f>IF(E75="","",E75)</f>
        <v/>
      </c>
      <c r="AJ75" s="113">
        <f>IF(AI75="","",$AJ$2)</f>
        <v/>
      </c>
      <c r="AK75" s="113" t="inlineStr">
        <is>
          <t>A</t>
        </is>
      </c>
      <c r="AL75" s="113" t="inlineStr">
        <is>
          <t>A+</t>
        </is>
      </c>
      <c r="AM75" s="113" t="inlineStr">
        <is>
          <t>B+</t>
        </is>
      </c>
      <c r="AN75" s="113">
        <f>IF(AI75="","",$AN$2)</f>
        <v/>
      </c>
      <c r="AO75" s="113">
        <f>IF(N75="","",IF(N75&gt;=$AO$1/100,"O","X"))</f>
        <v/>
      </c>
      <c r="AP75" s="113">
        <f>IF(I75="","",IF(I75&lt;=$AP$1,"O","X"))</f>
        <v/>
      </c>
      <c r="AQ75" s="113">
        <f>IF(O75="","",IF(O75&lt;=$AQ$1,"O","X"))</f>
        <v/>
      </c>
      <c r="AR75" s="113">
        <f>IF(M75="","",IF(M75&lt;=$AR$1,"O","X"))</f>
        <v/>
      </c>
      <c r="AS75" s="113" t="inlineStr">
        <is>
          <t>X</t>
        </is>
      </c>
      <c r="AT75" s="113">
        <f>IF(OR(F75="",AI75=""),"",IF(AND((F75&lt;=85),(AI75&gt;=15)),"O","X"))</f>
        <v/>
      </c>
      <c r="AU75" s="113">
        <f>IF(C75="","",IF(C75&gt;=$AU$1,"O","X"))</f>
        <v/>
      </c>
      <c r="AV75" s="113">
        <f>IF(AO75="","",IF(AND(AO75="O",AP75="O",AR75="O",AT75="O",AU75="O"),"후보","X"))</f>
        <v/>
      </c>
    </row>
    <row r="76">
      <c r="A76" s="13" t="inlineStr">
        <is>
          <t>고덕아이파크</t>
        </is>
      </c>
      <c r="B76" s="16" t="inlineStr">
        <is>
          <t>'11.12.</t>
        </is>
      </c>
      <c r="C76" s="164" t="n">
        <v>1142</v>
      </c>
      <c r="D76" s="161" t="n">
        <v>147.5</v>
      </c>
      <c r="E76" s="163" t="n">
        <v>45</v>
      </c>
      <c r="F76" s="161" t="n">
        <v>115.5</v>
      </c>
      <c r="G76" s="27" t="n">
        <v>35</v>
      </c>
      <c r="H76" s="164" t="n">
        <v>39</v>
      </c>
      <c r="I76" s="165" t="n">
        <v>210000</v>
      </c>
      <c r="J76" s="165" t="inlineStr">
        <is>
          <t>고</t>
        </is>
      </c>
      <c r="K76" s="165" t="n"/>
      <c r="L76" s="165" t="n"/>
      <c r="M76" s="166">
        <f>I76-K76</f>
        <v/>
      </c>
      <c r="N76" s="7">
        <f>IF(ISERROR(K76/I76),"",K76/I76)</f>
        <v/>
      </c>
      <c r="O76" s="162">
        <f>I76/E76</f>
        <v/>
      </c>
      <c r="P76" s="162">
        <f>K76/E76</f>
        <v/>
      </c>
      <c r="Q76" s="113" t="n">
        <v>4</v>
      </c>
      <c r="R76" s="113" t="n">
        <v>2</v>
      </c>
      <c r="S76" s="113" t="inlineStr">
        <is>
          <t>계</t>
        </is>
      </c>
      <c r="T76" s="8" t="inlineStr">
        <is>
          <t>147A</t>
        </is>
      </c>
      <c r="U76" s="13" t="n"/>
      <c r="W76" s="161">
        <f>D76</f>
        <v/>
      </c>
      <c r="X76" s="163">
        <f>E76</f>
        <v/>
      </c>
      <c r="Y76" s="159">
        <f>H76</f>
        <v/>
      </c>
      <c r="Z76" s="166">
        <f>I76</f>
        <v/>
      </c>
      <c r="AA76" s="166">
        <f>K76</f>
        <v/>
      </c>
      <c r="AB76" s="166">
        <f>M76</f>
        <v/>
      </c>
      <c r="AC76" s="7">
        <f>N76</f>
        <v/>
      </c>
      <c r="AD76" s="162">
        <f>O76</f>
        <v/>
      </c>
      <c r="AE76" s="113">
        <f>S76</f>
        <v/>
      </c>
      <c r="AF76" s="113">
        <f>Q76&amp;"/"&amp;R76</f>
        <v/>
      </c>
      <c r="AH76" s="36">
        <f>IF(A76="","",A76)</f>
        <v/>
      </c>
      <c r="AI76" s="163">
        <f>IF(E76="","",E76)</f>
        <v/>
      </c>
      <c r="AJ76" s="113">
        <f>IF(AI76="","",$AJ$2)</f>
        <v/>
      </c>
      <c r="AK76" s="113" t="inlineStr">
        <is>
          <t>A</t>
        </is>
      </c>
      <c r="AL76" s="113" t="inlineStr">
        <is>
          <t>A+</t>
        </is>
      </c>
      <c r="AM76" s="113" t="inlineStr">
        <is>
          <t>B+</t>
        </is>
      </c>
      <c r="AN76" s="113">
        <f>IF(AI76="","",$AN$2)</f>
        <v/>
      </c>
      <c r="AO76" s="113">
        <f>IF(N76="","",IF(N76&gt;=$AO$1/100,"O","X"))</f>
        <v/>
      </c>
      <c r="AP76" s="113">
        <f>IF(I76="","",IF(I76&lt;=$AP$1,"O","X"))</f>
        <v/>
      </c>
      <c r="AQ76" s="113">
        <f>IF(O76="","",IF(O76&lt;=$AQ$1,"O","X"))</f>
        <v/>
      </c>
      <c r="AR76" s="113">
        <f>IF(M76="","",IF(M76&lt;=$AR$1,"O","X"))</f>
        <v/>
      </c>
      <c r="AS76" s="113" t="inlineStr">
        <is>
          <t>X</t>
        </is>
      </c>
      <c r="AT76" s="113">
        <f>IF(OR(F76="",AI76=""),"",IF(AND((F76&lt;=85),(AI76&gt;=15)),"O","X"))</f>
        <v/>
      </c>
      <c r="AU76" s="113">
        <f>IF(C76="","",IF(C76&gt;=$AU$1,"O","X"))</f>
        <v/>
      </c>
      <c r="AV76" s="113">
        <f>IF(AO76="","",IF(AND(AO76="O",AP76="O",AR76="O",AT76="O",AU76="O"),"후보","X"))</f>
        <v/>
      </c>
    </row>
    <row r="77">
      <c r="A77" s="13" t="inlineStr">
        <is>
          <t>고덕아이파크</t>
        </is>
      </c>
      <c r="B77" s="16" t="inlineStr">
        <is>
          <t>'11.12.</t>
        </is>
      </c>
      <c r="C77" s="164" t="n">
        <v>1142</v>
      </c>
      <c r="D77" s="161" t="n">
        <v>179.5</v>
      </c>
      <c r="E77" s="163" t="n">
        <v>54</v>
      </c>
      <c r="F77" s="161" t="n">
        <v>145.2</v>
      </c>
      <c r="G77" s="27" t="n">
        <v>44</v>
      </c>
      <c r="H77" s="164" t="n">
        <v>78</v>
      </c>
      <c r="I77" s="165" t="n">
        <v>240000</v>
      </c>
      <c r="J77" s="165" t="inlineStr">
        <is>
          <t>17</t>
        </is>
      </c>
      <c r="K77" s="165" t="n"/>
      <c r="L77" s="165" t="n"/>
      <c r="M77" s="166">
        <f>I77-K77</f>
        <v/>
      </c>
      <c r="N77" s="7">
        <f>IF(ISERROR(K77/I77),"",K77/I77)</f>
        <v/>
      </c>
      <c r="O77" s="162">
        <f>I77/E77</f>
        <v/>
      </c>
      <c r="P77" s="162">
        <f>K77/E77</f>
        <v/>
      </c>
      <c r="Q77" s="113" t="n">
        <v>4</v>
      </c>
      <c r="R77" s="113" t="n">
        <v>2</v>
      </c>
      <c r="S77" s="113" t="inlineStr">
        <is>
          <t>계</t>
        </is>
      </c>
      <c r="T77" s="8" t="inlineStr">
        <is>
          <t>179A</t>
        </is>
      </c>
      <c r="U77" s="13" t="n"/>
      <c r="W77" s="161">
        <f>D77</f>
        <v/>
      </c>
      <c r="X77" s="163">
        <f>E77</f>
        <v/>
      </c>
      <c r="Y77" s="159">
        <f>H77</f>
        <v/>
      </c>
      <c r="Z77" s="166">
        <f>I77</f>
        <v/>
      </c>
      <c r="AA77" s="166">
        <f>K77</f>
        <v/>
      </c>
      <c r="AB77" s="166">
        <f>M77</f>
        <v/>
      </c>
      <c r="AC77" s="7">
        <f>N77</f>
        <v/>
      </c>
      <c r="AD77" s="162">
        <f>O77</f>
        <v/>
      </c>
      <c r="AE77" s="113">
        <f>S77</f>
        <v/>
      </c>
      <c r="AF77" s="113">
        <f>Q77&amp;"/"&amp;R77</f>
        <v/>
      </c>
      <c r="AH77" s="36">
        <f>IF(A77="","",A77)</f>
        <v/>
      </c>
      <c r="AI77" s="163">
        <f>IF(E77="","",E77)</f>
        <v/>
      </c>
      <c r="AJ77" s="113">
        <f>IF(AI77="","",$AJ$2)</f>
        <v/>
      </c>
      <c r="AK77" s="113" t="inlineStr">
        <is>
          <t>A</t>
        </is>
      </c>
      <c r="AL77" s="113" t="inlineStr">
        <is>
          <t>A+</t>
        </is>
      </c>
      <c r="AM77" s="113" t="inlineStr">
        <is>
          <t>B+</t>
        </is>
      </c>
      <c r="AN77" s="113">
        <f>IF(AI77="","",$AN$2)</f>
        <v/>
      </c>
      <c r="AO77" s="113">
        <f>IF(N77="","",IF(N77&gt;=$AO$1/100,"O","X"))</f>
        <v/>
      </c>
      <c r="AP77" s="113">
        <f>IF(I77="","",IF(I77&lt;=$AP$1,"O","X"))</f>
        <v/>
      </c>
      <c r="AQ77" s="113">
        <f>IF(O77="","",IF(O77&lt;=$AQ$1,"O","X"))</f>
        <v/>
      </c>
      <c r="AR77" s="113">
        <f>IF(M77="","",IF(M77&lt;=$AR$1,"O","X"))</f>
        <v/>
      </c>
      <c r="AS77" s="113" t="inlineStr">
        <is>
          <t>X</t>
        </is>
      </c>
      <c r="AT77" s="113">
        <f>IF(OR(F77="",AI77=""),"",IF(AND((F77&lt;=85),(AI77&gt;=15)),"O","X"))</f>
        <v/>
      </c>
      <c r="AU77" s="113">
        <f>IF(C77="","",IF(C77&gt;=$AU$1,"O","X"))</f>
        <v/>
      </c>
      <c r="AV77" s="113">
        <f>IF(AO77="","",IF(AND(AO77="O",AP77="O",AR77="O",AT77="O",AU77="O"),"후보","X"))</f>
        <v/>
      </c>
    </row>
    <row r="78">
      <c r="A78" s="13" t="inlineStr">
        <is>
          <t>고덕아이파크</t>
        </is>
      </c>
      <c r="B78" s="16" t="inlineStr">
        <is>
          <t>'11.12.</t>
        </is>
      </c>
      <c r="C78" s="164" t="n">
        <v>1142</v>
      </c>
      <c r="D78" s="161" t="n">
        <v>181.7</v>
      </c>
      <c r="E78" s="163" t="n">
        <v>55</v>
      </c>
      <c r="F78" s="161" t="n">
        <v>145</v>
      </c>
      <c r="G78" s="27" t="n">
        <v>44</v>
      </c>
      <c r="H78" s="164" t="n">
        <v>39</v>
      </c>
      <c r="I78" s="165" t="n"/>
      <c r="J78" s="165" t="n"/>
      <c r="K78" s="165" t="n">
        <v>130000</v>
      </c>
      <c r="L78" s="165" t="inlineStr">
        <is>
          <t>고</t>
        </is>
      </c>
      <c r="M78" s="166">
        <f>I78-K78</f>
        <v/>
      </c>
      <c r="N78" s="7">
        <f>IF(ISERROR(K78/I78),"",K78/I78)</f>
        <v/>
      </c>
      <c r="O78" s="162">
        <f>I78/E78</f>
        <v/>
      </c>
      <c r="P78" s="162">
        <f>K78/E78</f>
        <v/>
      </c>
      <c r="Q78" s="113" t="n">
        <v>4</v>
      </c>
      <c r="R78" s="113" t="n">
        <v>2</v>
      </c>
      <c r="S78" s="113" t="inlineStr">
        <is>
          <t>계</t>
        </is>
      </c>
      <c r="T78" s="8" t="inlineStr">
        <is>
          <t>181B</t>
        </is>
      </c>
      <c r="U78" s="13" t="n"/>
      <c r="W78" s="161">
        <f>D78</f>
        <v/>
      </c>
      <c r="X78" s="163">
        <f>E78</f>
        <v/>
      </c>
      <c r="Y78" s="159">
        <f>H78</f>
        <v/>
      </c>
      <c r="Z78" s="166">
        <f>I78</f>
        <v/>
      </c>
      <c r="AA78" s="166">
        <f>K78</f>
        <v/>
      </c>
      <c r="AB78" s="166">
        <f>M78</f>
        <v/>
      </c>
      <c r="AC78" s="7">
        <f>N78</f>
        <v/>
      </c>
      <c r="AD78" s="162">
        <f>O78</f>
        <v/>
      </c>
      <c r="AE78" s="113">
        <f>S78</f>
        <v/>
      </c>
      <c r="AF78" s="113">
        <f>Q78&amp;"/"&amp;R78</f>
        <v/>
      </c>
      <c r="AH78" s="36">
        <f>IF(A78="","",A78)</f>
        <v/>
      </c>
      <c r="AI78" s="163">
        <f>IF(E78="","",E78)</f>
        <v/>
      </c>
      <c r="AJ78" s="113">
        <f>IF(AI78="","",$AJ$2)</f>
        <v/>
      </c>
      <c r="AK78" s="113" t="inlineStr">
        <is>
          <t>A</t>
        </is>
      </c>
      <c r="AL78" s="113" t="inlineStr">
        <is>
          <t>A+</t>
        </is>
      </c>
      <c r="AM78" s="113" t="inlineStr">
        <is>
          <t>B+</t>
        </is>
      </c>
      <c r="AN78" s="113">
        <f>IF(AI78="","",$AN$2)</f>
        <v/>
      </c>
      <c r="AO78" s="113">
        <f>IF(N78="","",IF(N78&gt;=$AO$1/100,"O","X"))</f>
        <v/>
      </c>
      <c r="AP78" s="113">
        <f>IF(I78="","",IF(I78&lt;=$AP$1,"O","X"))</f>
        <v/>
      </c>
      <c r="AQ78" s="113">
        <f>IF(O78="","",IF(O78&lt;=$AQ$1,"O","X"))</f>
        <v/>
      </c>
      <c r="AR78" s="113">
        <f>IF(M78="","",IF(M78&lt;=$AR$1,"O","X"))</f>
        <v/>
      </c>
      <c r="AS78" s="113" t="inlineStr">
        <is>
          <t>X</t>
        </is>
      </c>
      <c r="AT78" s="113">
        <f>IF(OR(F78="",AI78=""),"",IF(AND((F78&lt;=85),(AI78&gt;=15)),"O","X"))</f>
        <v/>
      </c>
      <c r="AU78" s="113">
        <f>IF(C78="","",IF(C78&gt;=$AU$1,"O","X"))</f>
        <v/>
      </c>
      <c r="AV78" s="113">
        <f>IF(AO78="","",IF(AND(AO78="O",AP78="O",AR78="O",AT78="O",AU78="O"),"후보","X"))</f>
        <v/>
      </c>
    </row>
    <row r="79">
      <c r="A79" s="13" t="inlineStr">
        <is>
          <t>고덕아이파크</t>
        </is>
      </c>
      <c r="B79" s="16" t="inlineStr">
        <is>
          <t>'11.12.</t>
        </is>
      </c>
      <c r="C79" s="164" t="n">
        <v>1142</v>
      </c>
      <c r="D79" s="161" t="n">
        <v>215.9</v>
      </c>
      <c r="E79" s="163" t="n">
        <v>65</v>
      </c>
      <c r="F79" s="161" t="n">
        <v>178</v>
      </c>
      <c r="G79" s="27" t="n">
        <v>54</v>
      </c>
      <c r="H79" s="164" t="n">
        <v>78</v>
      </c>
      <c r="I79" s="165" t="n">
        <v>250000</v>
      </c>
      <c r="J79" s="165" t="inlineStr">
        <is>
          <t>고</t>
        </is>
      </c>
      <c r="K79" s="165" t="n"/>
      <c r="L79" s="165" t="n"/>
      <c r="M79" s="166">
        <f>I79-K79</f>
        <v/>
      </c>
      <c r="N79" s="7">
        <f>IF(ISERROR(K79/I79),"",K79/I79)</f>
        <v/>
      </c>
      <c r="O79" s="162">
        <f>I79/E79</f>
        <v/>
      </c>
      <c r="P79" s="162">
        <f>K79/E79</f>
        <v/>
      </c>
      <c r="Q79" s="113" t="n">
        <v>4</v>
      </c>
      <c r="R79" s="113" t="n">
        <v>3</v>
      </c>
      <c r="S79" s="113" t="inlineStr">
        <is>
          <t>계</t>
        </is>
      </c>
      <c r="T79" s="8" t="n">
        <v>215</v>
      </c>
      <c r="U79" s="13" t="n"/>
      <c r="W79" s="161">
        <f>D79</f>
        <v/>
      </c>
      <c r="X79" s="163">
        <f>E79</f>
        <v/>
      </c>
      <c r="Y79" s="159">
        <f>H79</f>
        <v/>
      </c>
      <c r="Z79" s="166">
        <f>I79</f>
        <v/>
      </c>
      <c r="AA79" s="166">
        <f>K79</f>
        <v/>
      </c>
      <c r="AB79" s="166">
        <f>M79</f>
        <v/>
      </c>
      <c r="AC79" s="7">
        <f>N79</f>
        <v/>
      </c>
      <c r="AD79" s="162">
        <f>O79</f>
        <v/>
      </c>
      <c r="AE79" s="113">
        <f>S79</f>
        <v/>
      </c>
      <c r="AF79" s="113">
        <f>Q79&amp;"/"&amp;R79</f>
        <v/>
      </c>
      <c r="AH79" s="36">
        <f>IF(A79="","",A79)</f>
        <v/>
      </c>
      <c r="AI79" s="163">
        <f>IF(E79="","",E79)</f>
        <v/>
      </c>
      <c r="AJ79" s="113">
        <f>IF(AI79="","",$AJ$2)</f>
        <v/>
      </c>
      <c r="AK79" s="113" t="inlineStr">
        <is>
          <t>A</t>
        </is>
      </c>
      <c r="AL79" s="113" t="inlineStr">
        <is>
          <t>A+</t>
        </is>
      </c>
      <c r="AM79" s="113" t="inlineStr">
        <is>
          <t>B+</t>
        </is>
      </c>
      <c r="AN79" s="113">
        <f>IF(AI79="","",$AN$2)</f>
        <v/>
      </c>
      <c r="AO79" s="113">
        <f>IF(N79="","",IF(N79&gt;=$AO$1/100,"O","X"))</f>
        <v/>
      </c>
      <c r="AP79" s="113">
        <f>IF(I79="","",IF(I79&lt;=$AP$1,"O","X"))</f>
        <v/>
      </c>
      <c r="AQ79" s="113">
        <f>IF(O79="","",IF(O79&lt;=$AQ$1,"O","X"))</f>
        <v/>
      </c>
      <c r="AR79" s="113">
        <f>IF(M79="","",IF(M79&lt;=$AR$1,"O","X"))</f>
        <v/>
      </c>
      <c r="AS79" s="113" t="inlineStr">
        <is>
          <t>X</t>
        </is>
      </c>
      <c r="AT79" s="113">
        <f>IF(OR(F79="",AI79=""),"",IF(AND((F79&lt;=85),(AI79&gt;=15)),"O","X"))</f>
        <v/>
      </c>
      <c r="AU79" s="113">
        <f>IF(C79="","",IF(C79&gt;=$AU$1,"O","X"))</f>
        <v/>
      </c>
      <c r="AV79" s="113">
        <f>IF(AO79="","",IF(AND(AO79="O",AP79="O",AR79="O",AT79="O",AU79="O"),"후보","X"))</f>
        <v/>
      </c>
    </row>
    <row r="80">
      <c r="A80" s="13" t="n"/>
      <c r="B80" s="113" t="n"/>
      <c r="C80" s="10" t="n"/>
      <c r="D80" s="13" t="n"/>
      <c r="E80" s="20" t="n"/>
      <c r="F80" s="161" t="n"/>
      <c r="G80" s="13" t="n"/>
      <c r="H80" s="13" t="n"/>
      <c r="I80" s="13" t="n"/>
      <c r="J80" s="13" t="n"/>
      <c r="K80" s="13" t="n"/>
      <c r="L80" s="13" t="n"/>
      <c r="M80" s="13" t="n"/>
      <c r="N80" s="13" t="n"/>
      <c r="O80" s="162" t="n"/>
      <c r="P80" s="162" t="n"/>
      <c r="Q80" s="163" t="n"/>
      <c r="R80" s="163" t="n"/>
      <c r="S80" s="13" t="n"/>
      <c r="T80" s="70" t="n"/>
      <c r="U80" s="13" t="n"/>
      <c r="W80" s="107">
        <f>$A$4&amp;" "&amp;A81&amp;"("&amp;B81&amp;","&amp;C81&amp;"^)"</f>
        <v/>
      </c>
      <c r="X80" s="108" t="n"/>
      <c r="Y80" s="108" t="n"/>
      <c r="Z80" s="108" t="n"/>
      <c r="AA80" s="108" t="n"/>
      <c r="AB80" s="108" t="n"/>
      <c r="AC80" s="108" t="n"/>
      <c r="AD80" s="108" t="n"/>
      <c r="AE80" s="108" t="n"/>
      <c r="AF80" s="109" t="n"/>
      <c r="AH80" s="36">
        <f>IF(A80="","",A80)</f>
        <v/>
      </c>
      <c r="AI80" s="160">
        <f>IF(E80="","",E80)</f>
        <v/>
      </c>
      <c r="AJ80" s="113" t="n"/>
      <c r="AK80" s="113" t="n"/>
      <c r="AL80" s="113" t="n"/>
      <c r="AM80" s="113" t="n"/>
      <c r="AN80" s="113" t="n"/>
      <c r="AO80" s="113" t="n"/>
      <c r="AP80" s="113" t="n"/>
      <c r="AQ80" s="113" t="n"/>
      <c r="AR80" s="113" t="n"/>
      <c r="AS80" s="113" t="n"/>
      <c r="AT80" s="113" t="n"/>
      <c r="AU80" s="113" t="n"/>
      <c r="AV80" s="113" t="n"/>
    </row>
    <row r="81">
      <c r="A81" s="13" t="inlineStr">
        <is>
          <t>고덕그라시움</t>
        </is>
      </c>
      <c r="B81" s="16" t="inlineStr">
        <is>
          <t>'19.09.</t>
        </is>
      </c>
      <c r="C81" s="164" t="n">
        <v>4932</v>
      </c>
      <c r="D81" s="161" t="n">
        <v>82.59999999999999</v>
      </c>
      <c r="E81" s="163" t="n">
        <v>25</v>
      </c>
      <c r="F81" s="161" t="n">
        <v>59.8</v>
      </c>
      <c r="G81" s="27" t="n">
        <v>18</v>
      </c>
      <c r="H81" s="164" t="n">
        <v>1331</v>
      </c>
      <c r="I81" s="165" t="n"/>
      <c r="J81" s="165" t="n"/>
      <c r="K81" s="165" t="n"/>
      <c r="L81" s="165" t="n"/>
      <c r="M81" s="166">
        <f>I81-K81</f>
        <v/>
      </c>
      <c r="N81" s="7">
        <f>IF(ISERROR(K81/I81),"",K81/I81)</f>
        <v/>
      </c>
      <c r="O81" s="162">
        <f>I81/E81</f>
        <v/>
      </c>
      <c r="P81" s="162">
        <f>K81/E81</f>
        <v/>
      </c>
      <c r="Q81" s="113" t="n">
        <v>3</v>
      </c>
      <c r="R81" s="113" t="n">
        <v>2</v>
      </c>
      <c r="S81" s="113" t="inlineStr">
        <is>
          <t>계</t>
        </is>
      </c>
      <c r="T81" s="8" t="inlineStr">
        <is>
          <t>82A</t>
        </is>
      </c>
      <c r="U81" s="13" t="n"/>
      <c r="W81" s="161">
        <f>D81</f>
        <v/>
      </c>
      <c r="X81" s="163">
        <f>E81</f>
        <v/>
      </c>
      <c r="Y81" s="159">
        <f>H81</f>
        <v/>
      </c>
      <c r="Z81" s="166">
        <f>I81</f>
        <v/>
      </c>
      <c r="AA81" s="166">
        <f>K81</f>
        <v/>
      </c>
      <c r="AB81" s="166">
        <f>M81</f>
        <v/>
      </c>
      <c r="AC81" s="7">
        <f>N81</f>
        <v/>
      </c>
      <c r="AD81" s="162">
        <f>O81</f>
        <v/>
      </c>
      <c r="AE81" s="113">
        <f>S81</f>
        <v/>
      </c>
      <c r="AF81" s="113">
        <f>Q81&amp;"/"&amp;R81</f>
        <v/>
      </c>
      <c r="AH81" s="36">
        <f>IF(A81="","",A81)</f>
        <v/>
      </c>
      <c r="AI81" s="163">
        <f>IF(E81="","",E81)</f>
        <v/>
      </c>
      <c r="AJ81" s="113">
        <f>IF(AI81="","",$AJ$2)</f>
        <v/>
      </c>
      <c r="AK81" s="113" t="inlineStr">
        <is>
          <t>A</t>
        </is>
      </c>
      <c r="AL81" s="113" t="inlineStr">
        <is>
          <t>A+</t>
        </is>
      </c>
      <c r="AM81" s="113" t="inlineStr">
        <is>
          <t>B+</t>
        </is>
      </c>
      <c r="AN81" s="113">
        <f>IF(AI81="","",$AN$2)</f>
        <v/>
      </c>
      <c r="AO81" s="113">
        <f>IF(N81="","",IF(N81&gt;=$AO$1/100,"O","X"))</f>
        <v/>
      </c>
      <c r="AP81" s="113">
        <f>IF(I81="","",IF(I81&lt;=$AP$1,"O","X"))</f>
        <v/>
      </c>
      <c r="AQ81" s="113">
        <f>IF(O81="","",IF(O81&lt;=$AQ$1,"O","X"))</f>
        <v/>
      </c>
      <c r="AR81" s="113">
        <f>IF(M81="","",IF(M81&lt;=$AR$1,"O","X"))</f>
        <v/>
      </c>
      <c r="AS81" s="113" t="inlineStr">
        <is>
          <t>X</t>
        </is>
      </c>
      <c r="AT81" s="113">
        <f>IF(OR(F81="",AI81=""),"",IF(AND((F81&lt;=85),(AI81&gt;=15)),"O","X"))</f>
        <v/>
      </c>
      <c r="AU81" s="113">
        <f>IF(C81="","",IF(C81&gt;=$AU$1,"O","X"))</f>
        <v/>
      </c>
      <c r="AV81" s="113">
        <f>IF(AO81="","",IF(AND(AO81="O",AP81="O",AR81="O",AT81="O",AU81="O"),"후보","X"))</f>
        <v/>
      </c>
    </row>
    <row r="82">
      <c r="A82" s="13" t="inlineStr">
        <is>
          <t>고덕그라시움</t>
        </is>
      </c>
      <c r="B82" s="16" t="inlineStr">
        <is>
          <t>'19.09.</t>
        </is>
      </c>
      <c r="C82" s="164" t="n">
        <v>4932</v>
      </c>
      <c r="D82" s="161" t="n">
        <v>82.40000000000001</v>
      </c>
      <c r="E82" s="163" t="n">
        <v>25</v>
      </c>
      <c r="F82" s="161" t="n">
        <v>59</v>
      </c>
      <c r="G82" s="27" t="n">
        <v>18</v>
      </c>
      <c r="H82" s="164" t="n">
        <v>275</v>
      </c>
      <c r="I82" s="165" t="n">
        <v>140000</v>
      </c>
      <c r="J82" s="165" t="inlineStr">
        <is>
          <t>8</t>
        </is>
      </c>
      <c r="K82" s="165" t="n">
        <v>68000</v>
      </c>
      <c r="L82" s="165" t="inlineStr">
        <is>
          <t>중</t>
        </is>
      </c>
      <c r="M82" s="166">
        <f>I82-K82</f>
        <v/>
      </c>
      <c r="N82" s="7">
        <f>IF(ISERROR(K82/I82),"",K82/I82)</f>
        <v/>
      </c>
      <c r="O82" s="162">
        <f>I82/E82</f>
        <v/>
      </c>
      <c r="P82" s="162">
        <f>K82/E82</f>
        <v/>
      </c>
      <c r="Q82" s="113" t="n">
        <v>3</v>
      </c>
      <c r="R82" s="113" t="n">
        <v>2</v>
      </c>
      <c r="S82" s="113" t="inlineStr">
        <is>
          <t>계</t>
        </is>
      </c>
      <c r="T82" s="8" t="inlineStr">
        <is>
          <t>82C</t>
        </is>
      </c>
      <c r="U82" s="13" t="n"/>
      <c r="W82" s="161">
        <f>D82</f>
        <v/>
      </c>
      <c r="X82" s="163">
        <f>E82</f>
        <v/>
      </c>
      <c r="Y82" s="159">
        <f>H82</f>
        <v/>
      </c>
      <c r="Z82" s="166">
        <f>I82</f>
        <v/>
      </c>
      <c r="AA82" s="166">
        <f>K82</f>
        <v/>
      </c>
      <c r="AB82" s="166">
        <f>M82</f>
        <v/>
      </c>
      <c r="AC82" s="7">
        <f>N82</f>
        <v/>
      </c>
      <c r="AD82" s="162">
        <f>O82</f>
        <v/>
      </c>
      <c r="AE82" s="113">
        <f>S82</f>
        <v/>
      </c>
      <c r="AF82" s="113">
        <f>Q82&amp;"/"&amp;R82</f>
        <v/>
      </c>
      <c r="AH82" s="36">
        <f>IF(A82="","",A82)</f>
        <v/>
      </c>
      <c r="AI82" s="163">
        <f>IF(E82="","",E82)</f>
        <v/>
      </c>
      <c r="AJ82" s="113">
        <f>IF(AI82="","",$AJ$2)</f>
        <v/>
      </c>
      <c r="AK82" s="113" t="inlineStr">
        <is>
          <t>A</t>
        </is>
      </c>
      <c r="AL82" s="113" t="inlineStr">
        <is>
          <t>A+</t>
        </is>
      </c>
      <c r="AM82" s="113" t="inlineStr">
        <is>
          <t>B+</t>
        </is>
      </c>
      <c r="AN82" s="113">
        <f>IF(AI82="","",$AN$2)</f>
        <v/>
      </c>
      <c r="AO82" s="113">
        <f>IF(N82="","",IF(N82&gt;=$AO$1/100,"O","X"))</f>
        <v/>
      </c>
      <c r="AP82" s="113">
        <f>IF(I82="","",IF(I82&lt;=$AP$1,"O","X"))</f>
        <v/>
      </c>
      <c r="AQ82" s="113">
        <f>IF(O82="","",IF(O82&lt;=$AQ$1,"O","X"))</f>
        <v/>
      </c>
      <c r="AR82" s="113">
        <f>IF(M82="","",IF(M82&lt;=$AR$1,"O","X"))</f>
        <v/>
      </c>
      <c r="AS82" s="113" t="inlineStr">
        <is>
          <t>X</t>
        </is>
      </c>
      <c r="AT82" s="113">
        <f>IF(OR(F82="",AI82=""),"",IF(AND((F82&lt;=85),(AI82&gt;=15)),"O","X"))</f>
        <v/>
      </c>
      <c r="AU82" s="113">
        <f>IF(C82="","",IF(C82&gt;=$AU$1,"O","X"))</f>
        <v/>
      </c>
      <c r="AV82" s="113">
        <f>IF(AO82="","",IF(AND(AO82="O",AP82="O",AR82="O",AT82="O",AU82="O"),"후보","X"))</f>
        <v/>
      </c>
    </row>
    <row r="83">
      <c r="A83" s="13" t="inlineStr">
        <is>
          <t>고덕그라시움</t>
        </is>
      </c>
      <c r="B83" s="16" t="inlineStr">
        <is>
          <t>'19.09.</t>
        </is>
      </c>
      <c r="C83" s="164" t="n">
        <v>4932</v>
      </c>
      <c r="D83" s="161" t="n">
        <v>82.40000000000001</v>
      </c>
      <c r="E83" s="163" t="n">
        <v>25</v>
      </c>
      <c r="F83" s="161" t="n">
        <v>59.1</v>
      </c>
      <c r="G83" s="27" t="n">
        <v>18</v>
      </c>
      <c r="H83" s="164" t="n">
        <v>162</v>
      </c>
      <c r="I83" s="165" t="n"/>
      <c r="J83" s="165" t="n"/>
      <c r="K83" s="165" t="n"/>
      <c r="L83" s="165" t="n"/>
      <c r="M83" s="166">
        <f>I83-K83</f>
        <v/>
      </c>
      <c r="N83" s="7">
        <f>IF(ISERROR(K83/I83),"",K83/I83)</f>
        <v/>
      </c>
      <c r="O83" s="162">
        <f>I83/E83</f>
        <v/>
      </c>
      <c r="P83" s="162">
        <f>K83/E83</f>
        <v/>
      </c>
      <c r="Q83" s="113" t="n">
        <v>3</v>
      </c>
      <c r="R83" s="113" t="n">
        <v>2</v>
      </c>
      <c r="S83" s="113" t="inlineStr">
        <is>
          <t>계</t>
        </is>
      </c>
      <c r="T83" s="8" t="inlineStr">
        <is>
          <t>82D</t>
        </is>
      </c>
      <c r="U83" s="13" t="n"/>
      <c r="W83" s="161">
        <f>D83</f>
        <v/>
      </c>
      <c r="X83" s="163">
        <f>E83</f>
        <v/>
      </c>
      <c r="Y83" s="159">
        <f>H83</f>
        <v/>
      </c>
      <c r="Z83" s="166">
        <f>I83</f>
        <v/>
      </c>
      <c r="AA83" s="166">
        <f>K83</f>
        <v/>
      </c>
      <c r="AB83" s="166">
        <f>M83</f>
        <v/>
      </c>
      <c r="AC83" s="7">
        <f>N83</f>
        <v/>
      </c>
      <c r="AD83" s="162">
        <f>O83</f>
        <v/>
      </c>
      <c r="AE83" s="113">
        <f>S83</f>
        <v/>
      </c>
      <c r="AF83" s="113">
        <f>Q83&amp;"/"&amp;R83</f>
        <v/>
      </c>
      <c r="AH83" s="36">
        <f>IF(A83="","",A83)</f>
        <v/>
      </c>
      <c r="AI83" s="163">
        <f>IF(E83="","",E83)</f>
        <v/>
      </c>
      <c r="AJ83" s="113">
        <f>IF(AI83="","",$AJ$2)</f>
        <v/>
      </c>
      <c r="AK83" s="113" t="inlineStr">
        <is>
          <t>A</t>
        </is>
      </c>
      <c r="AL83" s="113" t="inlineStr">
        <is>
          <t>A+</t>
        </is>
      </c>
      <c r="AM83" s="113" t="inlineStr">
        <is>
          <t>B+</t>
        </is>
      </c>
      <c r="AN83" s="113">
        <f>IF(AI83="","",$AN$2)</f>
        <v/>
      </c>
      <c r="AO83" s="113">
        <f>IF(N83="","",IF(N83&gt;=$AO$1/100,"O","X"))</f>
        <v/>
      </c>
      <c r="AP83" s="113">
        <f>IF(I83="","",IF(I83&lt;=$AP$1,"O","X"))</f>
        <v/>
      </c>
      <c r="AQ83" s="113">
        <f>IF(O83="","",IF(O83&lt;=$AQ$1,"O","X"))</f>
        <v/>
      </c>
      <c r="AR83" s="113">
        <f>IF(M83="","",IF(M83&lt;=$AR$1,"O","X"))</f>
        <v/>
      </c>
      <c r="AS83" s="113" t="inlineStr">
        <is>
          <t>X</t>
        </is>
      </c>
      <c r="AT83" s="113">
        <f>IF(OR(F83="",AI83=""),"",IF(AND((F83&lt;=85),(AI83&gt;=15)),"O","X"))</f>
        <v/>
      </c>
      <c r="AU83" s="113">
        <f>IF(C83="","",IF(C83&gt;=$AU$1,"O","X"))</f>
        <v/>
      </c>
      <c r="AV83" s="113">
        <f>IF(AO83="","",IF(AND(AO83="O",AP83="O",AR83="O",AT83="O",AU83="O"),"후보","X"))</f>
        <v/>
      </c>
    </row>
    <row r="84">
      <c r="A84" s="13" t="inlineStr">
        <is>
          <t>고덕그라시움</t>
        </is>
      </c>
      <c r="B84" s="16" t="inlineStr">
        <is>
          <t>'19.09.</t>
        </is>
      </c>
      <c r="C84" s="164" t="n">
        <v>4932</v>
      </c>
      <c r="D84" s="161" t="n">
        <v>82.59999999999999</v>
      </c>
      <c r="E84" s="163" t="n">
        <v>25</v>
      </c>
      <c r="F84" s="161" t="n">
        <v>59.5</v>
      </c>
      <c r="G84" s="27" t="n">
        <v>18</v>
      </c>
      <c r="H84" s="164" t="n">
        <v>56</v>
      </c>
      <c r="I84" s="165" t="n"/>
      <c r="J84" s="165" t="n"/>
      <c r="K84" s="165" t="n"/>
      <c r="L84" s="165" t="n"/>
      <c r="M84" s="166">
        <f>I84-K84</f>
        <v/>
      </c>
      <c r="N84" s="7">
        <f>IF(ISERROR(K84/I84),"",K84/I84)</f>
        <v/>
      </c>
      <c r="O84" s="162">
        <f>I84/E84</f>
        <v/>
      </c>
      <c r="P84" s="162">
        <f>K84/E84</f>
        <v/>
      </c>
      <c r="Q84" s="113" t="n">
        <v>3</v>
      </c>
      <c r="R84" s="113" t="n">
        <v>2</v>
      </c>
      <c r="S84" s="113" t="inlineStr">
        <is>
          <t>계</t>
        </is>
      </c>
      <c r="T84" s="8" t="inlineStr">
        <is>
          <t>82B</t>
        </is>
      </c>
      <c r="U84" s="13" t="n"/>
      <c r="W84" s="161">
        <f>D84</f>
        <v/>
      </c>
      <c r="X84" s="163">
        <f>E84</f>
        <v/>
      </c>
      <c r="Y84" s="159">
        <f>H84</f>
        <v/>
      </c>
      <c r="Z84" s="166">
        <f>I84</f>
        <v/>
      </c>
      <c r="AA84" s="166">
        <f>K84</f>
        <v/>
      </c>
      <c r="AB84" s="166">
        <f>M84</f>
        <v/>
      </c>
      <c r="AC84" s="7">
        <f>N84</f>
        <v/>
      </c>
      <c r="AD84" s="162">
        <f>O84</f>
        <v/>
      </c>
      <c r="AE84" s="113">
        <f>S84</f>
        <v/>
      </c>
      <c r="AF84" s="113">
        <f>Q84&amp;"/"&amp;R84</f>
        <v/>
      </c>
      <c r="AH84" s="36">
        <f>IF(A84="","",A84)</f>
        <v/>
      </c>
      <c r="AI84" s="163">
        <f>IF(E84="","",E84)</f>
        <v/>
      </c>
      <c r="AJ84" s="113">
        <f>IF(AI84="","",$AJ$2)</f>
        <v/>
      </c>
      <c r="AK84" s="113" t="inlineStr">
        <is>
          <t>A</t>
        </is>
      </c>
      <c r="AL84" s="113" t="inlineStr">
        <is>
          <t>A+</t>
        </is>
      </c>
      <c r="AM84" s="113" t="inlineStr">
        <is>
          <t>B+</t>
        </is>
      </c>
      <c r="AN84" s="113">
        <f>IF(AI84="","",$AN$2)</f>
        <v/>
      </c>
      <c r="AO84" s="113">
        <f>IF(N84="","",IF(N84&gt;=$AO$1/100,"O","X"))</f>
        <v/>
      </c>
      <c r="AP84" s="113">
        <f>IF(I84="","",IF(I84&lt;=$AP$1,"O","X"))</f>
        <v/>
      </c>
      <c r="AQ84" s="113">
        <f>IF(O84="","",IF(O84&lt;=$AQ$1,"O","X"))</f>
        <v/>
      </c>
      <c r="AR84" s="113">
        <f>IF(M84="","",IF(M84&lt;=$AR$1,"O","X"))</f>
        <v/>
      </c>
      <c r="AS84" s="113" t="inlineStr">
        <is>
          <t>X</t>
        </is>
      </c>
      <c r="AT84" s="113">
        <f>IF(OR(F84="",AI84=""),"",IF(AND((F84&lt;=85),(AI84&gt;=15)),"O","X"))</f>
        <v/>
      </c>
      <c r="AU84" s="113">
        <f>IF(C84="","",IF(C84&gt;=$AU$1,"O","X"))</f>
        <v/>
      </c>
      <c r="AV84" s="113">
        <f>IF(AO84="","",IF(AND(AO84="O",AP84="O",AR84="O",AT84="O",AU84="O"),"후보","X"))</f>
        <v/>
      </c>
    </row>
    <row r="85">
      <c r="A85" s="13" t="inlineStr">
        <is>
          <t>고덕그라시움</t>
        </is>
      </c>
      <c r="B85" s="16" t="inlineStr">
        <is>
          <t>'19.09.</t>
        </is>
      </c>
      <c r="C85" s="164" t="n">
        <v>4932</v>
      </c>
      <c r="D85" s="161" t="n">
        <v>101</v>
      </c>
      <c r="E85" s="163" t="n">
        <v>31</v>
      </c>
      <c r="F85" s="161" t="n">
        <v>73.90000000000001</v>
      </c>
      <c r="G85" s="27" t="n">
        <v>22</v>
      </c>
      <c r="H85" s="164" t="n">
        <v>513</v>
      </c>
      <c r="I85" s="165" t="n">
        <v>160000</v>
      </c>
      <c r="J85" s="165" t="inlineStr">
        <is>
          <t>고</t>
        </is>
      </c>
      <c r="K85" s="165" t="n">
        <v>75000</v>
      </c>
      <c r="L85" s="165" t="inlineStr">
        <is>
          <t>중</t>
        </is>
      </c>
      <c r="M85" s="166">
        <f>I85-K85</f>
        <v/>
      </c>
      <c r="N85" s="7">
        <f>IF(ISERROR(K85/I85),"",K85/I85)</f>
        <v/>
      </c>
      <c r="O85" s="162">
        <f>I85/E85</f>
        <v/>
      </c>
      <c r="P85" s="162">
        <f>K85/E85</f>
        <v/>
      </c>
      <c r="Q85" s="113" t="n">
        <v>3</v>
      </c>
      <c r="R85" s="113" t="n">
        <v>2</v>
      </c>
      <c r="S85" s="113" t="inlineStr">
        <is>
          <t>계</t>
        </is>
      </c>
      <c r="T85" s="8" t="inlineStr">
        <is>
          <t>100A</t>
        </is>
      </c>
      <c r="U85" s="13" t="n"/>
      <c r="W85" s="161">
        <f>D85</f>
        <v/>
      </c>
      <c r="X85" s="163">
        <f>E85</f>
        <v/>
      </c>
      <c r="Y85" s="159">
        <f>H85</f>
        <v/>
      </c>
      <c r="Z85" s="166">
        <f>I85</f>
        <v/>
      </c>
      <c r="AA85" s="166">
        <f>K85</f>
        <v/>
      </c>
      <c r="AB85" s="166">
        <f>M85</f>
        <v/>
      </c>
      <c r="AC85" s="7">
        <f>N85</f>
        <v/>
      </c>
      <c r="AD85" s="162">
        <f>O85</f>
        <v/>
      </c>
      <c r="AE85" s="113">
        <f>S85</f>
        <v/>
      </c>
      <c r="AF85" s="113">
        <f>Q85&amp;"/"&amp;R85</f>
        <v/>
      </c>
      <c r="AH85" s="36">
        <f>IF(A85="","",A85)</f>
        <v/>
      </c>
      <c r="AI85" s="163">
        <f>IF(E85="","",E85)</f>
        <v/>
      </c>
      <c r="AJ85" s="113">
        <f>IF(AI85="","",$AJ$2)</f>
        <v/>
      </c>
      <c r="AK85" s="113" t="inlineStr">
        <is>
          <t>A</t>
        </is>
      </c>
      <c r="AL85" s="113" t="inlineStr">
        <is>
          <t>A+</t>
        </is>
      </c>
      <c r="AM85" s="113" t="inlineStr">
        <is>
          <t>B+</t>
        </is>
      </c>
      <c r="AN85" s="113">
        <f>IF(AI85="","",$AN$2)</f>
        <v/>
      </c>
      <c r="AO85" s="113">
        <f>IF(N85="","",IF(N85&gt;=$AO$1/100,"O","X"))</f>
        <v/>
      </c>
      <c r="AP85" s="113">
        <f>IF(I85="","",IF(I85&lt;=$AP$1,"O","X"))</f>
        <v/>
      </c>
      <c r="AQ85" s="113">
        <f>IF(O85="","",IF(O85&lt;=$AQ$1,"O","X"))</f>
        <v/>
      </c>
      <c r="AR85" s="113">
        <f>IF(M85="","",IF(M85&lt;=$AR$1,"O","X"))</f>
        <v/>
      </c>
      <c r="AS85" s="113" t="inlineStr">
        <is>
          <t>X</t>
        </is>
      </c>
      <c r="AT85" s="113">
        <f>IF(OR(F85="",AI85=""),"",IF(AND((F85&lt;=85),(AI85&gt;=15)),"O","X"))</f>
        <v/>
      </c>
      <c r="AU85" s="113">
        <f>IF(C85="","",IF(C85&gt;=$AU$1,"O","X"))</f>
        <v/>
      </c>
      <c r="AV85" s="113">
        <f>IF(AO85="","",IF(AND(AO85="O",AP85="O",AR85="O",AT85="O",AU85="O"),"후보","X"))</f>
        <v/>
      </c>
    </row>
    <row r="86">
      <c r="A86" s="13" t="inlineStr">
        <is>
          <t>고덕그라시움</t>
        </is>
      </c>
      <c r="B86" s="16" t="inlineStr">
        <is>
          <t>'19.09.</t>
        </is>
      </c>
      <c r="C86" s="164" t="n">
        <v>4932</v>
      </c>
      <c r="D86" s="161" t="n">
        <v>101.8</v>
      </c>
      <c r="E86" s="163" t="n">
        <v>31</v>
      </c>
      <c r="F86" s="161" t="n">
        <v>73.59999999999999</v>
      </c>
      <c r="G86" s="27" t="n">
        <v>22</v>
      </c>
      <c r="H86" s="164" t="n">
        <v>249</v>
      </c>
      <c r="I86" s="165" t="n">
        <v>169000</v>
      </c>
      <c r="J86" s="165" t="inlineStr">
        <is>
          <t>중</t>
        </is>
      </c>
      <c r="K86" s="165" t="n">
        <v>80000</v>
      </c>
      <c r="L86" s="165" t="inlineStr">
        <is>
          <t>16</t>
        </is>
      </c>
      <c r="M86" s="166">
        <f>I86-K86</f>
        <v/>
      </c>
      <c r="N86" s="7">
        <f>IF(ISERROR(K86/I86),"",K86/I86)</f>
        <v/>
      </c>
      <c r="O86" s="162">
        <f>I86/E86</f>
        <v/>
      </c>
      <c r="P86" s="162">
        <f>K86/E86</f>
        <v/>
      </c>
      <c r="Q86" s="113" t="n">
        <v>3</v>
      </c>
      <c r="R86" s="113" t="n">
        <v>2</v>
      </c>
      <c r="S86" s="113" t="inlineStr">
        <is>
          <t>계</t>
        </is>
      </c>
      <c r="T86" s="8" t="inlineStr">
        <is>
          <t>101B</t>
        </is>
      </c>
      <c r="U86" s="13" t="n"/>
      <c r="W86" s="161">
        <f>D86</f>
        <v/>
      </c>
      <c r="X86" s="163">
        <f>E86</f>
        <v/>
      </c>
      <c r="Y86" s="159">
        <f>H86</f>
        <v/>
      </c>
      <c r="Z86" s="166">
        <f>I86</f>
        <v/>
      </c>
      <c r="AA86" s="166">
        <f>K86</f>
        <v/>
      </c>
      <c r="AB86" s="166">
        <f>M86</f>
        <v/>
      </c>
      <c r="AC86" s="7">
        <f>N86</f>
        <v/>
      </c>
      <c r="AD86" s="162">
        <f>O86</f>
        <v/>
      </c>
      <c r="AE86" s="113">
        <f>S86</f>
        <v/>
      </c>
      <c r="AF86" s="113">
        <f>Q86&amp;"/"&amp;R86</f>
        <v/>
      </c>
      <c r="AH86" s="36">
        <f>IF(A86="","",A86)</f>
        <v/>
      </c>
      <c r="AI86" s="163">
        <f>IF(E86="","",E86)</f>
        <v/>
      </c>
      <c r="AJ86" s="113">
        <f>IF(AI86="","",$AJ$2)</f>
        <v/>
      </c>
      <c r="AK86" s="113" t="inlineStr">
        <is>
          <t>A</t>
        </is>
      </c>
      <c r="AL86" s="113" t="inlineStr">
        <is>
          <t>A+</t>
        </is>
      </c>
      <c r="AM86" s="113" t="inlineStr">
        <is>
          <t>B+</t>
        </is>
      </c>
      <c r="AN86" s="113">
        <f>IF(AI86="","",$AN$2)</f>
        <v/>
      </c>
      <c r="AO86" s="113">
        <f>IF(N86="","",IF(N86&gt;=$AO$1/100,"O","X"))</f>
        <v/>
      </c>
      <c r="AP86" s="113">
        <f>IF(I86="","",IF(I86&lt;=$AP$1,"O","X"))</f>
        <v/>
      </c>
      <c r="AQ86" s="113">
        <f>IF(O86="","",IF(O86&lt;=$AQ$1,"O","X"))</f>
        <v/>
      </c>
      <c r="AR86" s="113">
        <f>IF(M86="","",IF(M86&lt;=$AR$1,"O","X"))</f>
        <v/>
      </c>
      <c r="AS86" s="113" t="inlineStr">
        <is>
          <t>X</t>
        </is>
      </c>
      <c r="AT86" s="113">
        <f>IF(OR(F86="",AI86=""),"",IF(AND((F86&lt;=85),(AI86&gt;=15)),"O","X"))</f>
        <v/>
      </c>
      <c r="AU86" s="113">
        <f>IF(C86="","",IF(C86&gt;=$AU$1,"O","X"))</f>
        <v/>
      </c>
      <c r="AV86" s="113">
        <f>IF(AO86="","",IF(AND(AO86="O",AP86="O",AR86="O",AT86="O",AU86="O"),"후보","X"))</f>
        <v/>
      </c>
    </row>
    <row r="87">
      <c r="A87" s="13" t="inlineStr">
        <is>
          <t>고덕그라시움</t>
        </is>
      </c>
      <c r="B87" s="16" t="inlineStr">
        <is>
          <t>'19.09.</t>
        </is>
      </c>
      <c r="C87" s="164" t="n">
        <v>4932</v>
      </c>
      <c r="D87" s="161" t="n">
        <v>114.7</v>
      </c>
      <c r="E87" s="163" t="n">
        <v>35</v>
      </c>
      <c r="F87" s="161" t="n">
        <v>84.2</v>
      </c>
      <c r="G87" s="27" t="n">
        <v>25</v>
      </c>
      <c r="H87" s="164" t="n">
        <v>955</v>
      </c>
      <c r="I87" s="165" t="n">
        <v>185000</v>
      </c>
      <c r="J87" s="165" t="inlineStr">
        <is>
          <t>10</t>
        </is>
      </c>
      <c r="K87" s="165" t="n">
        <v>90000</v>
      </c>
      <c r="L87" s="165" t="inlineStr">
        <is>
          <t>6</t>
        </is>
      </c>
      <c r="M87" s="166">
        <f>I87-K87</f>
        <v/>
      </c>
      <c r="N87" s="7">
        <f>IF(ISERROR(K87/I87),"",K87/I87)</f>
        <v/>
      </c>
      <c r="O87" s="162">
        <f>I87/E87</f>
        <v/>
      </c>
      <c r="P87" s="162">
        <f>K87/E87</f>
        <v/>
      </c>
      <c r="Q87" s="113" t="n">
        <v>3</v>
      </c>
      <c r="R87" s="113" t="n">
        <v>2</v>
      </c>
      <c r="S87" s="113" t="inlineStr">
        <is>
          <t>계</t>
        </is>
      </c>
      <c r="T87" s="8" t="inlineStr">
        <is>
          <t>114A</t>
        </is>
      </c>
      <c r="U87" s="13" t="n"/>
      <c r="W87" s="161">
        <f>D87</f>
        <v/>
      </c>
      <c r="X87" s="163">
        <f>E87</f>
        <v/>
      </c>
      <c r="Y87" s="159">
        <f>H87</f>
        <v/>
      </c>
      <c r="Z87" s="166">
        <f>I87</f>
        <v/>
      </c>
      <c r="AA87" s="166">
        <f>K87</f>
        <v/>
      </c>
      <c r="AB87" s="166">
        <f>M87</f>
        <v/>
      </c>
      <c r="AC87" s="7">
        <f>N87</f>
        <v/>
      </c>
      <c r="AD87" s="162">
        <f>O87</f>
        <v/>
      </c>
      <c r="AE87" s="113">
        <f>S87</f>
        <v/>
      </c>
      <c r="AF87" s="113">
        <f>Q87&amp;"/"&amp;R87</f>
        <v/>
      </c>
      <c r="AH87" s="36">
        <f>IF(A87="","",A87)</f>
        <v/>
      </c>
      <c r="AI87" s="163">
        <f>IF(E87="","",E87)</f>
        <v/>
      </c>
      <c r="AJ87" s="113">
        <f>IF(AI87="","",$AJ$2)</f>
        <v/>
      </c>
      <c r="AK87" s="113" t="inlineStr">
        <is>
          <t>A</t>
        </is>
      </c>
      <c r="AL87" s="113" t="inlineStr">
        <is>
          <t>A+</t>
        </is>
      </c>
      <c r="AM87" s="113" t="inlineStr">
        <is>
          <t>B+</t>
        </is>
      </c>
      <c r="AN87" s="113">
        <f>IF(AI87="","",$AN$2)</f>
        <v/>
      </c>
      <c r="AO87" s="113">
        <f>IF(N87="","",IF(N87&gt;=$AO$1/100,"O","X"))</f>
        <v/>
      </c>
      <c r="AP87" s="113">
        <f>IF(I87="","",IF(I87&lt;=$AP$1,"O","X"))</f>
        <v/>
      </c>
      <c r="AQ87" s="113">
        <f>IF(O87="","",IF(O87&lt;=$AQ$1,"O","X"))</f>
        <v/>
      </c>
      <c r="AR87" s="113">
        <f>IF(M87="","",IF(M87&lt;=$AR$1,"O","X"))</f>
        <v/>
      </c>
      <c r="AS87" s="113" t="inlineStr">
        <is>
          <t>X</t>
        </is>
      </c>
      <c r="AT87" s="113">
        <f>IF(OR(F87="",AI87=""),"",IF(AND((F87&lt;=85),(AI87&gt;=15)),"O","X"))</f>
        <v/>
      </c>
      <c r="AU87" s="113">
        <f>IF(C87="","",IF(C87&gt;=$AU$1,"O","X"))</f>
        <v/>
      </c>
      <c r="AV87" s="113">
        <f>IF(AO87="","",IF(AND(AO87="O",AP87="O",AR87="O",AT87="O",AU87="O"),"후보","X"))</f>
        <v/>
      </c>
    </row>
    <row r="88">
      <c r="A88" s="13" t="inlineStr">
        <is>
          <t>고덕그라시움</t>
        </is>
      </c>
      <c r="B88" s="16" t="inlineStr">
        <is>
          <t>'19.09.</t>
        </is>
      </c>
      <c r="C88" s="164" t="n">
        <v>4932</v>
      </c>
      <c r="D88" s="161" t="n">
        <v>115.6</v>
      </c>
      <c r="E88" s="163" t="n">
        <v>35</v>
      </c>
      <c r="F88" s="161" t="n">
        <v>84.2</v>
      </c>
      <c r="G88" s="27" t="n">
        <v>25</v>
      </c>
      <c r="H88" s="164" t="n">
        <v>451</v>
      </c>
      <c r="I88" s="165" t="n">
        <v>170000</v>
      </c>
      <c r="J88" s="165" t="inlineStr">
        <is>
          <t>중</t>
        </is>
      </c>
      <c r="K88" s="165" t="n">
        <v>95000</v>
      </c>
      <c r="L88" s="165" t="inlineStr">
        <is>
          <t>중</t>
        </is>
      </c>
      <c r="M88" s="166">
        <f>I88-K88</f>
        <v/>
      </c>
      <c r="N88" s="7">
        <f>IF(ISERROR(K88/I88),"",K88/I88)</f>
        <v/>
      </c>
      <c r="O88" s="162">
        <f>I88/E88</f>
        <v/>
      </c>
      <c r="P88" s="162">
        <f>K88/E88</f>
        <v/>
      </c>
      <c r="Q88" s="113" t="n">
        <v>3</v>
      </c>
      <c r="R88" s="113" t="n">
        <v>2</v>
      </c>
      <c r="S88" s="113" t="inlineStr">
        <is>
          <t>계</t>
        </is>
      </c>
      <c r="T88" s="8" t="inlineStr">
        <is>
          <t>115D</t>
        </is>
      </c>
      <c r="U88" s="13" t="n"/>
      <c r="W88" s="161">
        <f>D88</f>
        <v/>
      </c>
      <c r="X88" s="163">
        <f>E88</f>
        <v/>
      </c>
      <c r="Y88" s="159">
        <f>H88</f>
        <v/>
      </c>
      <c r="Z88" s="166">
        <f>I88</f>
        <v/>
      </c>
      <c r="AA88" s="166">
        <f>K88</f>
        <v/>
      </c>
      <c r="AB88" s="166">
        <f>M88</f>
        <v/>
      </c>
      <c r="AC88" s="7">
        <f>N88</f>
        <v/>
      </c>
      <c r="AD88" s="162">
        <f>O88</f>
        <v/>
      </c>
      <c r="AE88" s="113">
        <f>S88</f>
        <v/>
      </c>
      <c r="AF88" s="113">
        <f>Q88&amp;"/"&amp;R88</f>
        <v/>
      </c>
      <c r="AH88" s="36">
        <f>IF(A88="","",A88)</f>
        <v/>
      </c>
      <c r="AI88" s="163">
        <f>IF(E88="","",E88)</f>
        <v/>
      </c>
      <c r="AJ88" s="113">
        <f>IF(AI88="","",$AJ$2)</f>
        <v/>
      </c>
      <c r="AK88" s="113" t="inlineStr">
        <is>
          <t>A</t>
        </is>
      </c>
      <c r="AL88" s="113" t="inlineStr">
        <is>
          <t>A+</t>
        </is>
      </c>
      <c r="AM88" s="113" t="inlineStr">
        <is>
          <t>B+</t>
        </is>
      </c>
      <c r="AN88" s="113">
        <f>IF(AI88="","",$AN$2)</f>
        <v/>
      </c>
      <c r="AO88" s="113">
        <f>IF(N88="","",IF(N88&gt;=$AO$1/100,"O","X"))</f>
        <v/>
      </c>
      <c r="AP88" s="113">
        <f>IF(I88="","",IF(I88&lt;=$AP$1,"O","X"))</f>
        <v/>
      </c>
      <c r="AQ88" s="113">
        <f>IF(O88="","",IF(O88&lt;=$AQ$1,"O","X"))</f>
        <v/>
      </c>
      <c r="AR88" s="113">
        <f>IF(M88="","",IF(M88&lt;=$AR$1,"O","X"))</f>
        <v/>
      </c>
      <c r="AS88" s="113" t="inlineStr">
        <is>
          <t>X</t>
        </is>
      </c>
      <c r="AT88" s="113">
        <f>IF(OR(F88="",AI88=""),"",IF(AND((F88&lt;=85),(AI88&gt;=15)),"O","X"))</f>
        <v/>
      </c>
      <c r="AU88" s="113">
        <f>IF(C88="","",IF(C88&gt;=$AU$1,"O","X"))</f>
        <v/>
      </c>
      <c r="AV88" s="113">
        <f>IF(AO88="","",IF(AND(AO88="O",AP88="O",AR88="O",AT88="O",AU88="O"),"후보","X"))</f>
        <v/>
      </c>
    </row>
    <row r="89">
      <c r="A89" s="13" t="inlineStr">
        <is>
          <t>고덕그라시움</t>
        </is>
      </c>
      <c r="B89" s="16" t="inlineStr">
        <is>
          <t>'19.09.</t>
        </is>
      </c>
      <c r="C89" s="164" t="n">
        <v>4932</v>
      </c>
      <c r="D89" s="161" t="n">
        <v>115.7</v>
      </c>
      <c r="E89" s="163" t="n">
        <v>35</v>
      </c>
      <c r="F89" s="161" t="n">
        <v>84</v>
      </c>
      <c r="G89" s="27" t="n">
        <v>25</v>
      </c>
      <c r="H89" s="164" t="n">
        <v>381</v>
      </c>
      <c r="I89" s="165" t="n">
        <v>190000</v>
      </c>
      <c r="J89" s="165" t="inlineStr">
        <is>
          <t>중</t>
        </is>
      </c>
      <c r="K89" s="165" t="n">
        <v>85000</v>
      </c>
      <c r="L89" s="165" t="inlineStr">
        <is>
          <t>중</t>
        </is>
      </c>
      <c r="M89" s="166">
        <f>I89-K89</f>
        <v/>
      </c>
      <c r="N89" s="7">
        <f>IF(ISERROR(K89/I89),"",K89/I89)</f>
        <v/>
      </c>
      <c r="O89" s="162">
        <f>I89/E89</f>
        <v/>
      </c>
      <c r="P89" s="162">
        <f>K89/E89</f>
        <v/>
      </c>
      <c r="Q89" s="113" t="n">
        <v>3</v>
      </c>
      <c r="R89" s="113" t="n">
        <v>2</v>
      </c>
      <c r="S89" s="113" t="inlineStr">
        <is>
          <t>계</t>
        </is>
      </c>
      <c r="T89" s="8" t="inlineStr">
        <is>
          <t>115C</t>
        </is>
      </c>
      <c r="U89" s="13" t="n"/>
      <c r="W89" s="161">
        <f>D89</f>
        <v/>
      </c>
      <c r="X89" s="163">
        <f>E89</f>
        <v/>
      </c>
      <c r="Y89" s="159">
        <f>H89</f>
        <v/>
      </c>
      <c r="Z89" s="166">
        <f>I89</f>
        <v/>
      </c>
      <c r="AA89" s="166">
        <f>K89</f>
        <v/>
      </c>
      <c r="AB89" s="166">
        <f>M89</f>
        <v/>
      </c>
      <c r="AC89" s="7">
        <f>N89</f>
        <v/>
      </c>
      <c r="AD89" s="162">
        <f>O89</f>
        <v/>
      </c>
      <c r="AE89" s="113">
        <f>S89</f>
        <v/>
      </c>
      <c r="AF89" s="113">
        <f>Q89&amp;"/"&amp;R89</f>
        <v/>
      </c>
      <c r="AH89" s="36">
        <f>IF(A89="","",A89)</f>
        <v/>
      </c>
      <c r="AI89" s="163">
        <f>IF(E89="","",E89)</f>
        <v/>
      </c>
      <c r="AJ89" s="113">
        <f>IF(AI89="","",$AJ$2)</f>
        <v/>
      </c>
      <c r="AK89" s="113" t="inlineStr">
        <is>
          <t>A</t>
        </is>
      </c>
      <c r="AL89" s="113" t="inlineStr">
        <is>
          <t>A+</t>
        </is>
      </c>
      <c r="AM89" s="113" t="inlineStr">
        <is>
          <t>B+</t>
        </is>
      </c>
      <c r="AN89" s="113">
        <f>IF(AI89="","",$AN$2)</f>
        <v/>
      </c>
      <c r="AO89" s="113">
        <f>IF(N89="","",IF(N89&gt;=$AO$1/100,"O","X"))</f>
        <v/>
      </c>
      <c r="AP89" s="113">
        <f>IF(I89="","",IF(I89&lt;=$AP$1,"O","X"))</f>
        <v/>
      </c>
      <c r="AQ89" s="113">
        <f>IF(O89="","",IF(O89&lt;=$AQ$1,"O","X"))</f>
        <v/>
      </c>
      <c r="AR89" s="113">
        <f>IF(M89="","",IF(M89&lt;=$AR$1,"O","X"))</f>
        <v/>
      </c>
      <c r="AS89" s="113" t="inlineStr">
        <is>
          <t>X</t>
        </is>
      </c>
      <c r="AT89" s="113">
        <f>IF(OR(F89="",AI89=""),"",IF(AND((F89&lt;=85),(AI89&gt;=15)),"O","X"))</f>
        <v/>
      </c>
      <c r="AU89" s="113">
        <f>IF(C89="","",IF(C89&gt;=$AU$1,"O","X"))</f>
        <v/>
      </c>
      <c r="AV89" s="113">
        <f>IF(AO89="","",IF(AND(AO89="O",AP89="O",AR89="O",AT89="O",AU89="O"),"후보","X"))</f>
        <v/>
      </c>
    </row>
    <row r="90">
      <c r="A90" s="13" t="inlineStr">
        <is>
          <t>고덕그라시움</t>
        </is>
      </c>
      <c r="B90" s="16" t="inlineStr">
        <is>
          <t>'19.09.</t>
        </is>
      </c>
      <c r="C90" s="164" t="n">
        <v>4932</v>
      </c>
      <c r="D90" s="161" t="n">
        <v>115.2</v>
      </c>
      <c r="E90" s="163" t="n">
        <v>35</v>
      </c>
      <c r="F90" s="161" t="n">
        <v>84.3</v>
      </c>
      <c r="G90" s="27" t="n">
        <v>26</v>
      </c>
      <c r="H90" s="164" t="n">
        <v>49</v>
      </c>
      <c r="I90" s="165" t="n"/>
      <c r="J90" s="165" t="n"/>
      <c r="K90" s="165" t="n"/>
      <c r="L90" s="165" t="n"/>
      <c r="M90" s="166">
        <f>I90-K90</f>
        <v/>
      </c>
      <c r="N90" s="7">
        <f>IF(ISERROR(K90/I90),"",K90/I90)</f>
        <v/>
      </c>
      <c r="O90" s="162">
        <f>I90/E90</f>
        <v/>
      </c>
      <c r="P90" s="162">
        <f>K90/E90</f>
        <v/>
      </c>
      <c r="Q90" s="113" t="n">
        <v>3</v>
      </c>
      <c r="R90" s="113" t="n">
        <v>2</v>
      </c>
      <c r="S90" s="113" t="inlineStr">
        <is>
          <t>계</t>
        </is>
      </c>
      <c r="T90" s="8" t="inlineStr">
        <is>
          <t>115B</t>
        </is>
      </c>
      <c r="U90" s="13" t="n"/>
      <c r="W90" s="161">
        <f>D90</f>
        <v/>
      </c>
      <c r="X90" s="163">
        <f>E90</f>
        <v/>
      </c>
      <c r="Y90" s="159">
        <f>H90</f>
        <v/>
      </c>
      <c r="Z90" s="166">
        <f>I90</f>
        <v/>
      </c>
      <c r="AA90" s="166">
        <f>K90</f>
        <v/>
      </c>
      <c r="AB90" s="166">
        <f>M90</f>
        <v/>
      </c>
      <c r="AC90" s="7">
        <f>N90</f>
        <v/>
      </c>
      <c r="AD90" s="162">
        <f>O90</f>
        <v/>
      </c>
      <c r="AE90" s="113">
        <f>S90</f>
        <v/>
      </c>
      <c r="AF90" s="113">
        <f>Q90&amp;"/"&amp;R90</f>
        <v/>
      </c>
      <c r="AH90" s="36">
        <f>IF(A90="","",A90)</f>
        <v/>
      </c>
      <c r="AI90" s="163">
        <f>IF(E90="","",E90)</f>
        <v/>
      </c>
      <c r="AJ90" s="113">
        <f>IF(AI90="","",$AJ$2)</f>
        <v/>
      </c>
      <c r="AK90" s="113" t="inlineStr">
        <is>
          <t>A</t>
        </is>
      </c>
      <c r="AL90" s="113" t="inlineStr">
        <is>
          <t>A+</t>
        </is>
      </c>
      <c r="AM90" s="113" t="inlineStr">
        <is>
          <t>B+</t>
        </is>
      </c>
      <c r="AN90" s="113">
        <f>IF(AI90="","",$AN$2)</f>
        <v/>
      </c>
      <c r="AO90" s="113">
        <f>IF(N90="","",IF(N90&gt;=$AO$1/100,"O","X"))</f>
        <v/>
      </c>
      <c r="AP90" s="113">
        <f>IF(I90="","",IF(I90&lt;=$AP$1,"O","X"))</f>
        <v/>
      </c>
      <c r="AQ90" s="113">
        <f>IF(O90="","",IF(O90&lt;=$AQ$1,"O","X"))</f>
        <v/>
      </c>
      <c r="AR90" s="113">
        <f>IF(M90="","",IF(M90&lt;=$AR$1,"O","X"))</f>
        <v/>
      </c>
      <c r="AS90" s="113" t="inlineStr">
        <is>
          <t>X</t>
        </is>
      </c>
      <c r="AT90" s="113">
        <f>IF(OR(F90="",AI90=""),"",IF(AND((F90&lt;=85),(AI90&gt;=15)),"O","X"))</f>
        <v/>
      </c>
      <c r="AU90" s="113">
        <f>IF(C90="","",IF(C90&gt;=$AU$1,"O","X"))</f>
        <v/>
      </c>
      <c r="AV90" s="113">
        <f>IF(AO90="","",IF(AND(AO90="O",AP90="O",AR90="O",AT90="O",AU90="O"),"후보","X"))</f>
        <v/>
      </c>
    </row>
    <row r="91">
      <c r="A91" s="13" t="inlineStr">
        <is>
          <t>고덕그라시움</t>
        </is>
      </c>
      <c r="B91" s="16" t="inlineStr">
        <is>
          <t>'19.09.</t>
        </is>
      </c>
      <c r="C91" s="164" t="n">
        <v>4932</v>
      </c>
      <c r="D91" s="161" t="n">
        <v>132.7</v>
      </c>
      <c r="E91" s="163" t="n">
        <v>40</v>
      </c>
      <c r="F91" s="161" t="n">
        <v>97.8</v>
      </c>
      <c r="G91" s="27" t="n">
        <v>30</v>
      </c>
      <c r="H91" s="164" t="n">
        <v>112</v>
      </c>
      <c r="I91" s="165" t="n">
        <v>240000</v>
      </c>
      <c r="J91" s="165" t="inlineStr">
        <is>
          <t>중</t>
        </is>
      </c>
      <c r="K91" s="165" t="n">
        <v>120000</v>
      </c>
      <c r="L91" s="165" t="inlineStr">
        <is>
          <t>17</t>
        </is>
      </c>
      <c r="M91" s="166">
        <f>I91-K91</f>
        <v/>
      </c>
      <c r="N91" s="7">
        <f>IF(ISERROR(K91/I91),"",K91/I91)</f>
        <v/>
      </c>
      <c r="O91" s="162">
        <f>I91/E91</f>
        <v/>
      </c>
      <c r="P91" s="162">
        <f>K91/E91</f>
        <v/>
      </c>
      <c r="Q91" s="113" t="n">
        <v>4</v>
      </c>
      <c r="R91" s="113" t="n">
        <v>2</v>
      </c>
      <c r="S91" s="113" t="inlineStr">
        <is>
          <t>계</t>
        </is>
      </c>
      <c r="T91" s="8" t="inlineStr">
        <is>
          <t>132B</t>
        </is>
      </c>
      <c r="U91" s="13" t="n"/>
      <c r="W91" s="161">
        <f>D91</f>
        <v/>
      </c>
      <c r="X91" s="163">
        <f>E91</f>
        <v/>
      </c>
      <c r="Y91" s="159">
        <f>H91</f>
        <v/>
      </c>
      <c r="Z91" s="166">
        <f>I91</f>
        <v/>
      </c>
      <c r="AA91" s="166">
        <f>K91</f>
        <v/>
      </c>
      <c r="AB91" s="166">
        <f>M91</f>
        <v/>
      </c>
      <c r="AC91" s="7">
        <f>N91</f>
        <v/>
      </c>
      <c r="AD91" s="162">
        <f>O91</f>
        <v/>
      </c>
      <c r="AE91" s="113">
        <f>S91</f>
        <v/>
      </c>
      <c r="AF91" s="113">
        <f>Q91&amp;"/"&amp;R91</f>
        <v/>
      </c>
      <c r="AH91" s="36">
        <f>IF(A91="","",A91)</f>
        <v/>
      </c>
      <c r="AI91" s="163">
        <f>IF(E91="","",E91)</f>
        <v/>
      </c>
      <c r="AJ91" s="113">
        <f>IF(AI91="","",$AJ$2)</f>
        <v/>
      </c>
      <c r="AK91" s="113" t="inlineStr">
        <is>
          <t>A</t>
        </is>
      </c>
      <c r="AL91" s="113" t="inlineStr">
        <is>
          <t>A+</t>
        </is>
      </c>
      <c r="AM91" s="113" t="inlineStr">
        <is>
          <t>B+</t>
        </is>
      </c>
      <c r="AN91" s="113">
        <f>IF(AI91="","",$AN$2)</f>
        <v/>
      </c>
      <c r="AO91" s="113">
        <f>IF(N91="","",IF(N91&gt;=$AO$1/100,"O","X"))</f>
        <v/>
      </c>
      <c r="AP91" s="113">
        <f>IF(I91="","",IF(I91&lt;=$AP$1,"O","X"))</f>
        <v/>
      </c>
      <c r="AQ91" s="113">
        <f>IF(O91="","",IF(O91&lt;=$AQ$1,"O","X"))</f>
        <v/>
      </c>
      <c r="AR91" s="113">
        <f>IF(M91="","",IF(M91&lt;=$AR$1,"O","X"))</f>
        <v/>
      </c>
      <c r="AS91" s="113" t="inlineStr">
        <is>
          <t>X</t>
        </is>
      </c>
      <c r="AT91" s="113">
        <f>IF(OR(F91="",AI91=""),"",IF(AND((F91&lt;=85),(AI91&gt;=15)),"O","X"))</f>
        <v/>
      </c>
      <c r="AU91" s="113">
        <f>IF(C91="","",IF(C91&gt;=$AU$1,"O","X"))</f>
        <v/>
      </c>
      <c r="AV91" s="113">
        <f>IF(AO91="","",IF(AND(AO91="O",AP91="O",AR91="O",AT91="O",AU91="O"),"후보","X"))</f>
        <v/>
      </c>
    </row>
    <row r="92">
      <c r="A92" s="13" t="inlineStr">
        <is>
          <t>고덕그라시움</t>
        </is>
      </c>
      <c r="B92" s="16" t="inlineStr">
        <is>
          <t>'19.09.</t>
        </is>
      </c>
      <c r="C92" s="164" t="n">
        <v>4932</v>
      </c>
      <c r="D92" s="161" t="n">
        <v>133.4</v>
      </c>
      <c r="E92" s="163" t="n">
        <v>40</v>
      </c>
      <c r="F92" s="161" t="n">
        <v>97.8</v>
      </c>
      <c r="G92" s="27" t="n">
        <v>30</v>
      </c>
      <c r="H92" s="164" t="n">
        <v>112</v>
      </c>
      <c r="I92" s="165" t="n"/>
      <c r="J92" s="165" t="n"/>
      <c r="K92" s="165" t="n"/>
      <c r="L92" s="165" t="n"/>
      <c r="M92" s="166">
        <f>I92-K92</f>
        <v/>
      </c>
      <c r="N92" s="7">
        <f>IF(ISERROR(K92/I92),"",K92/I92)</f>
        <v/>
      </c>
      <c r="O92" s="162">
        <f>I92/E92</f>
        <v/>
      </c>
      <c r="P92" s="162">
        <f>K92/E92</f>
        <v/>
      </c>
      <c r="Q92" s="113" t="n">
        <v>3</v>
      </c>
      <c r="R92" s="113" t="n">
        <v>2</v>
      </c>
      <c r="S92" s="113" t="inlineStr">
        <is>
          <t>계</t>
        </is>
      </c>
      <c r="T92" s="8" t="inlineStr">
        <is>
          <t>133A</t>
        </is>
      </c>
      <c r="U92" s="13" t="n"/>
      <c r="W92" s="161">
        <f>D92</f>
        <v/>
      </c>
      <c r="X92" s="163">
        <f>E92</f>
        <v/>
      </c>
      <c r="Y92" s="159">
        <f>H92</f>
        <v/>
      </c>
      <c r="Z92" s="166">
        <f>I92</f>
        <v/>
      </c>
      <c r="AA92" s="166">
        <f>K92</f>
        <v/>
      </c>
      <c r="AB92" s="166">
        <f>M92</f>
        <v/>
      </c>
      <c r="AC92" s="7">
        <f>N92</f>
        <v/>
      </c>
      <c r="AD92" s="162">
        <f>O92</f>
        <v/>
      </c>
      <c r="AE92" s="113">
        <f>S92</f>
        <v/>
      </c>
      <c r="AF92" s="113">
        <f>Q92&amp;"/"&amp;R92</f>
        <v/>
      </c>
      <c r="AH92" s="36">
        <f>IF(A92="","",A92)</f>
        <v/>
      </c>
      <c r="AI92" s="163">
        <f>IF(E92="","",E92)</f>
        <v/>
      </c>
      <c r="AJ92" s="113">
        <f>IF(AI92="","",$AJ$2)</f>
        <v/>
      </c>
      <c r="AK92" s="113" t="inlineStr">
        <is>
          <t>A</t>
        </is>
      </c>
      <c r="AL92" s="113" t="inlineStr">
        <is>
          <t>A+</t>
        </is>
      </c>
      <c r="AM92" s="113" t="inlineStr">
        <is>
          <t>B+</t>
        </is>
      </c>
      <c r="AN92" s="113">
        <f>IF(AI92="","",$AN$2)</f>
        <v/>
      </c>
      <c r="AO92" s="113">
        <f>IF(N92="","",IF(N92&gt;=$AO$1/100,"O","X"))</f>
        <v/>
      </c>
      <c r="AP92" s="113">
        <f>IF(I92="","",IF(I92&lt;=$AP$1,"O","X"))</f>
        <v/>
      </c>
      <c r="AQ92" s="113">
        <f>IF(O92="","",IF(O92&lt;=$AQ$1,"O","X"))</f>
        <v/>
      </c>
      <c r="AR92" s="113">
        <f>IF(M92="","",IF(M92&lt;=$AR$1,"O","X"))</f>
        <v/>
      </c>
      <c r="AS92" s="113" t="inlineStr">
        <is>
          <t>X</t>
        </is>
      </c>
      <c r="AT92" s="113">
        <f>IF(OR(F92="",AI92=""),"",IF(AND((F92&lt;=85),(AI92&gt;=15)),"O","X"))</f>
        <v/>
      </c>
      <c r="AU92" s="113">
        <f>IF(C92="","",IF(C92&gt;=$AU$1,"O","X"))</f>
        <v/>
      </c>
      <c r="AV92" s="113">
        <f>IF(AO92="","",IF(AND(AO92="O",AP92="O",AR92="O",AT92="O",AU92="O"),"후보","X"))</f>
        <v/>
      </c>
    </row>
    <row r="93">
      <c r="A93" s="13" t="inlineStr">
        <is>
          <t>고덕그라시움</t>
        </is>
      </c>
      <c r="B93" s="16" t="inlineStr">
        <is>
          <t>'19.09.</t>
        </is>
      </c>
      <c r="C93" s="164" t="n">
        <v>4932</v>
      </c>
      <c r="D93" s="161" t="n">
        <v>153.9</v>
      </c>
      <c r="E93" s="163" t="n">
        <v>47</v>
      </c>
      <c r="F93" s="161" t="n">
        <v>113.2</v>
      </c>
      <c r="G93" s="27" t="n">
        <v>34</v>
      </c>
      <c r="H93" s="164" t="n">
        <v>33</v>
      </c>
      <c r="I93" s="165" t="n">
        <v>250000</v>
      </c>
      <c r="J93" s="165" t="inlineStr">
        <is>
          <t>중</t>
        </is>
      </c>
      <c r="K93" s="165" t="n"/>
      <c r="L93" s="165" t="n"/>
      <c r="M93" s="166">
        <f>I93-K93</f>
        <v/>
      </c>
      <c r="N93" s="7">
        <f>IF(ISERROR(K93/I93),"",K93/I93)</f>
        <v/>
      </c>
      <c r="O93" s="162">
        <f>I93/E93</f>
        <v/>
      </c>
      <c r="P93" s="162">
        <f>K93/E93</f>
        <v/>
      </c>
      <c r="Q93" s="113" t="n">
        <v>4</v>
      </c>
      <c r="R93" s="113" t="n">
        <v>2</v>
      </c>
      <c r="S93" s="113" t="inlineStr">
        <is>
          <t>계</t>
        </is>
      </c>
      <c r="T93" s="8" t="inlineStr">
        <is>
          <t>153A</t>
        </is>
      </c>
      <c r="U93" s="13" t="n"/>
      <c r="W93" s="161">
        <f>D93</f>
        <v/>
      </c>
      <c r="X93" s="163">
        <f>E93</f>
        <v/>
      </c>
      <c r="Y93" s="159">
        <f>H93</f>
        <v/>
      </c>
      <c r="Z93" s="166">
        <f>I93</f>
        <v/>
      </c>
      <c r="AA93" s="166">
        <f>K93</f>
        <v/>
      </c>
      <c r="AB93" s="166">
        <f>M93</f>
        <v/>
      </c>
      <c r="AC93" s="7">
        <f>N93</f>
        <v/>
      </c>
      <c r="AD93" s="162">
        <f>O93</f>
        <v/>
      </c>
      <c r="AE93" s="113">
        <f>S93</f>
        <v/>
      </c>
      <c r="AF93" s="113">
        <f>Q93&amp;"/"&amp;R93</f>
        <v/>
      </c>
      <c r="AH93" s="36">
        <f>IF(A93="","",A93)</f>
        <v/>
      </c>
      <c r="AI93" s="163">
        <f>IF(E93="","",E93)</f>
        <v/>
      </c>
      <c r="AJ93" s="113">
        <f>IF(AI93="","",$AJ$2)</f>
        <v/>
      </c>
      <c r="AK93" s="113" t="inlineStr">
        <is>
          <t>A</t>
        </is>
      </c>
      <c r="AL93" s="113" t="inlineStr">
        <is>
          <t>A+</t>
        </is>
      </c>
      <c r="AM93" s="113" t="inlineStr">
        <is>
          <t>B+</t>
        </is>
      </c>
      <c r="AN93" s="113">
        <f>IF(AI93="","",$AN$2)</f>
        <v/>
      </c>
      <c r="AO93" s="113">
        <f>IF(N93="","",IF(N93&gt;=$AO$1/100,"O","X"))</f>
        <v/>
      </c>
      <c r="AP93" s="113">
        <f>IF(I93="","",IF(I93&lt;=$AP$1,"O","X"))</f>
        <v/>
      </c>
      <c r="AQ93" s="113">
        <f>IF(O93="","",IF(O93&lt;=$AQ$1,"O","X"))</f>
        <v/>
      </c>
      <c r="AR93" s="113">
        <f>IF(M93="","",IF(M93&lt;=$AR$1,"O","X"))</f>
        <v/>
      </c>
      <c r="AS93" s="113" t="inlineStr">
        <is>
          <t>X</t>
        </is>
      </c>
      <c r="AT93" s="113">
        <f>IF(OR(F93="",AI93=""),"",IF(AND((F93&lt;=85),(AI93&gt;=15)),"O","X"))</f>
        <v/>
      </c>
      <c r="AU93" s="113">
        <f>IF(C93="","",IF(C93&gt;=$AU$1,"O","X"))</f>
        <v/>
      </c>
      <c r="AV93" s="113">
        <f>IF(AO93="","",IF(AND(AO93="O",AP93="O",AR93="O",AT93="O",AU93="O"),"후보","X"))</f>
        <v/>
      </c>
    </row>
    <row r="94">
      <c r="A94" s="13" t="inlineStr">
        <is>
          <t>고덕그라시움</t>
        </is>
      </c>
      <c r="B94" s="16" t="inlineStr">
        <is>
          <t>'19.09.</t>
        </is>
      </c>
      <c r="C94" s="164" t="n">
        <v>4932</v>
      </c>
      <c r="D94" s="161" t="n">
        <v>154.3</v>
      </c>
      <c r="E94" s="163" t="n">
        <v>47</v>
      </c>
      <c r="F94" s="161" t="n">
        <v>113.4</v>
      </c>
      <c r="G94" s="27" t="n">
        <v>34</v>
      </c>
      <c r="H94" s="164" t="n">
        <v>33</v>
      </c>
      <c r="I94" s="165" t="n"/>
      <c r="J94" s="165" t="n"/>
      <c r="K94" s="165" t="n"/>
      <c r="L94" s="165" t="n"/>
      <c r="M94" s="166">
        <f>I94-K94</f>
        <v/>
      </c>
      <c r="N94" s="7">
        <f>IF(ISERROR(K94/I94),"",K94/I94)</f>
        <v/>
      </c>
      <c r="O94" s="162">
        <f>I94/E94</f>
        <v/>
      </c>
      <c r="P94" s="162">
        <f>K94/E94</f>
        <v/>
      </c>
      <c r="Q94" s="113" t="n">
        <v>4</v>
      </c>
      <c r="R94" s="113" t="n">
        <v>3</v>
      </c>
      <c r="S94" s="113" t="inlineStr">
        <is>
          <t>계</t>
        </is>
      </c>
      <c r="T94" s="8" t="inlineStr">
        <is>
          <t>154C</t>
        </is>
      </c>
      <c r="U94" s="13" t="n"/>
      <c r="W94" s="161">
        <f>D94</f>
        <v/>
      </c>
      <c r="X94" s="163">
        <f>E94</f>
        <v/>
      </c>
      <c r="Y94" s="159">
        <f>H94</f>
        <v/>
      </c>
      <c r="Z94" s="166">
        <f>I94</f>
        <v/>
      </c>
      <c r="AA94" s="166">
        <f>K94</f>
        <v/>
      </c>
      <c r="AB94" s="166">
        <f>M94</f>
        <v/>
      </c>
      <c r="AC94" s="7">
        <f>N94</f>
        <v/>
      </c>
      <c r="AD94" s="162">
        <f>O94</f>
        <v/>
      </c>
      <c r="AE94" s="113">
        <f>S94</f>
        <v/>
      </c>
      <c r="AF94" s="113">
        <f>Q94&amp;"/"&amp;R94</f>
        <v/>
      </c>
      <c r="AH94" s="36">
        <f>IF(A94="","",A94)</f>
        <v/>
      </c>
      <c r="AI94" s="163">
        <f>IF(E94="","",E94)</f>
        <v/>
      </c>
      <c r="AJ94" s="113">
        <f>IF(AI94="","",$AJ$2)</f>
        <v/>
      </c>
      <c r="AK94" s="113" t="inlineStr">
        <is>
          <t>A</t>
        </is>
      </c>
      <c r="AL94" s="113" t="inlineStr">
        <is>
          <t>A+</t>
        </is>
      </c>
      <c r="AM94" s="113" t="inlineStr">
        <is>
          <t>B+</t>
        </is>
      </c>
      <c r="AN94" s="113">
        <f>IF(AI94="","",$AN$2)</f>
        <v/>
      </c>
      <c r="AO94" s="113">
        <f>IF(N94="","",IF(N94&gt;=$AO$1/100,"O","X"))</f>
        <v/>
      </c>
      <c r="AP94" s="113">
        <f>IF(I94="","",IF(I94&lt;=$AP$1,"O","X"))</f>
        <v/>
      </c>
      <c r="AQ94" s="113">
        <f>IF(O94="","",IF(O94&lt;=$AQ$1,"O","X"))</f>
        <v/>
      </c>
      <c r="AR94" s="113">
        <f>IF(M94="","",IF(M94&lt;=$AR$1,"O","X"))</f>
        <v/>
      </c>
      <c r="AS94" s="113" t="inlineStr">
        <is>
          <t>X</t>
        </is>
      </c>
      <c r="AT94" s="113">
        <f>IF(OR(F94="",AI94=""),"",IF(AND((F94&lt;=85),(AI94&gt;=15)),"O","X"))</f>
        <v/>
      </c>
      <c r="AU94" s="113">
        <f>IF(C94="","",IF(C94&gt;=$AU$1,"O","X"))</f>
        <v/>
      </c>
      <c r="AV94" s="113">
        <f>IF(AO94="","",IF(AND(AO94="O",AP94="O",AR94="O",AT94="O",AU94="O"),"후보","X"))</f>
        <v/>
      </c>
    </row>
    <row r="95">
      <c r="A95" s="13" t="inlineStr">
        <is>
          <t>고덕그라시움</t>
        </is>
      </c>
      <c r="B95" s="16" t="inlineStr">
        <is>
          <t>'19.09.</t>
        </is>
      </c>
      <c r="C95" s="164" t="n">
        <v>4932</v>
      </c>
      <c r="D95" s="161" t="n">
        <v>155.3</v>
      </c>
      <c r="E95" s="163" t="n">
        <v>47</v>
      </c>
      <c r="F95" s="161" t="n">
        <v>113.2</v>
      </c>
      <c r="G95" s="27" t="n">
        <v>34</v>
      </c>
      <c r="H95" s="164" t="n">
        <v>33</v>
      </c>
      <c r="I95" s="165" t="n"/>
      <c r="J95" s="165" t="n"/>
      <c r="K95" s="165" t="n"/>
      <c r="L95" s="165" t="n"/>
      <c r="M95" s="166">
        <f>I95-K95</f>
        <v/>
      </c>
      <c r="N95" s="7">
        <f>IF(ISERROR(K95/I95),"",K95/I95)</f>
        <v/>
      </c>
      <c r="O95" s="162">
        <f>I95/E95</f>
        <v/>
      </c>
      <c r="P95" s="162">
        <f>K95/E95</f>
        <v/>
      </c>
      <c r="Q95" s="113" t="n">
        <v>4</v>
      </c>
      <c r="R95" s="113" t="n">
        <v>2</v>
      </c>
      <c r="S95" s="113" t="inlineStr">
        <is>
          <t>계</t>
        </is>
      </c>
      <c r="T95" s="8" t="inlineStr">
        <is>
          <t>155B</t>
        </is>
      </c>
      <c r="U95" s="13" t="n"/>
      <c r="W95" s="161">
        <f>D95</f>
        <v/>
      </c>
      <c r="X95" s="163">
        <f>E95</f>
        <v/>
      </c>
      <c r="Y95" s="159">
        <f>H95</f>
        <v/>
      </c>
      <c r="Z95" s="166">
        <f>I95</f>
        <v/>
      </c>
      <c r="AA95" s="166">
        <f>K95</f>
        <v/>
      </c>
      <c r="AB95" s="166">
        <f>M95</f>
        <v/>
      </c>
      <c r="AC95" s="7">
        <f>N95</f>
        <v/>
      </c>
      <c r="AD95" s="162">
        <f>O95</f>
        <v/>
      </c>
      <c r="AE95" s="113">
        <f>S95</f>
        <v/>
      </c>
      <c r="AF95" s="113">
        <f>Q95&amp;"/"&amp;R95</f>
        <v/>
      </c>
      <c r="AH95" s="36">
        <f>IF(A95="","",A95)</f>
        <v/>
      </c>
      <c r="AI95" s="163">
        <f>IF(E95="","",E95)</f>
        <v/>
      </c>
      <c r="AJ95" s="113">
        <f>IF(AI95="","",$AJ$2)</f>
        <v/>
      </c>
      <c r="AK95" s="113" t="inlineStr">
        <is>
          <t>A</t>
        </is>
      </c>
      <c r="AL95" s="113" t="inlineStr">
        <is>
          <t>A+</t>
        </is>
      </c>
      <c r="AM95" s="113" t="inlineStr">
        <is>
          <t>B+</t>
        </is>
      </c>
      <c r="AN95" s="113">
        <f>IF(AI95="","",$AN$2)</f>
        <v/>
      </c>
      <c r="AO95" s="113">
        <f>IF(N95="","",IF(N95&gt;=$AO$1/100,"O","X"))</f>
        <v/>
      </c>
      <c r="AP95" s="113">
        <f>IF(I95="","",IF(I95&lt;=$AP$1,"O","X"))</f>
        <v/>
      </c>
      <c r="AQ95" s="113">
        <f>IF(O95="","",IF(O95&lt;=$AQ$1,"O","X"))</f>
        <v/>
      </c>
      <c r="AR95" s="113">
        <f>IF(M95="","",IF(M95&lt;=$AR$1,"O","X"))</f>
        <v/>
      </c>
      <c r="AS95" s="113" t="inlineStr">
        <is>
          <t>X</t>
        </is>
      </c>
      <c r="AT95" s="113">
        <f>IF(OR(F95="",AI95=""),"",IF(AND((F95&lt;=85),(AI95&gt;=15)),"O","X"))</f>
        <v/>
      </c>
      <c r="AU95" s="113">
        <f>IF(C95="","",IF(C95&gt;=$AU$1,"O","X"))</f>
        <v/>
      </c>
      <c r="AV95" s="113">
        <f>IF(AO95="","",IF(AND(AO95="O",AP95="O",AR95="O",AT95="O",AU95="O"),"후보","X"))</f>
        <v/>
      </c>
    </row>
    <row r="96">
      <c r="A96" s="13" t="inlineStr">
        <is>
          <t>고덕그라시움</t>
        </is>
      </c>
      <c r="B96" s="16" t="inlineStr">
        <is>
          <t>'19.09.</t>
        </is>
      </c>
      <c r="C96" s="164" t="n">
        <v>4932</v>
      </c>
      <c r="D96" s="161" t="n">
        <v>173</v>
      </c>
      <c r="E96" s="163" t="n">
        <v>52</v>
      </c>
      <c r="F96" s="161" t="n">
        <v>127.8</v>
      </c>
      <c r="G96" s="27" t="n">
        <v>39</v>
      </c>
      <c r="H96" s="164" t="n">
        <v>33</v>
      </c>
      <c r="I96" s="165" t="n">
        <v>300000</v>
      </c>
      <c r="J96" s="165" t="inlineStr">
        <is>
          <t>중</t>
        </is>
      </c>
      <c r="K96" s="165" t="n"/>
      <c r="L96" s="165" t="n"/>
      <c r="M96" s="166">
        <f>I96-K96</f>
        <v/>
      </c>
      <c r="N96" s="7">
        <f>IF(ISERROR(K96/I96),"",K96/I96)</f>
        <v/>
      </c>
      <c r="O96" s="162">
        <f>I96/E96</f>
        <v/>
      </c>
      <c r="P96" s="162">
        <f>K96/E96</f>
        <v/>
      </c>
      <c r="Q96" s="113" t="n">
        <v>4</v>
      </c>
      <c r="R96" s="113" t="n">
        <v>2</v>
      </c>
      <c r="S96" s="113" t="inlineStr">
        <is>
          <t>계</t>
        </is>
      </c>
      <c r="T96" s="8" t="n">
        <v>172</v>
      </c>
      <c r="U96" s="13" t="n"/>
      <c r="W96" s="161">
        <f>D96</f>
        <v/>
      </c>
      <c r="X96" s="163">
        <f>E96</f>
        <v/>
      </c>
      <c r="Y96" s="159">
        <f>H96</f>
        <v/>
      </c>
      <c r="Z96" s="166">
        <f>I96</f>
        <v/>
      </c>
      <c r="AA96" s="166">
        <f>K96</f>
        <v/>
      </c>
      <c r="AB96" s="166">
        <f>M96</f>
        <v/>
      </c>
      <c r="AC96" s="7">
        <f>N96</f>
        <v/>
      </c>
      <c r="AD96" s="162">
        <f>O96</f>
        <v/>
      </c>
      <c r="AE96" s="113">
        <f>S96</f>
        <v/>
      </c>
      <c r="AF96" s="113">
        <f>Q96&amp;"/"&amp;R96</f>
        <v/>
      </c>
      <c r="AH96" s="36">
        <f>IF(A96="","",A96)</f>
        <v/>
      </c>
      <c r="AI96" s="163">
        <f>IF(E96="","",E96)</f>
        <v/>
      </c>
      <c r="AJ96" s="113">
        <f>IF(AI96="","",$AJ$2)</f>
        <v/>
      </c>
      <c r="AK96" s="113" t="inlineStr">
        <is>
          <t>A</t>
        </is>
      </c>
      <c r="AL96" s="113" t="inlineStr">
        <is>
          <t>A+</t>
        </is>
      </c>
      <c r="AM96" s="113" t="inlineStr">
        <is>
          <t>B+</t>
        </is>
      </c>
      <c r="AN96" s="113">
        <f>IF(AI96="","",$AN$2)</f>
        <v/>
      </c>
      <c r="AO96" s="113">
        <f>IF(N96="","",IF(N96&gt;=$AO$1/100,"O","X"))</f>
        <v/>
      </c>
      <c r="AP96" s="113">
        <f>IF(I96="","",IF(I96&lt;=$AP$1,"O","X"))</f>
        <v/>
      </c>
      <c r="AQ96" s="113">
        <f>IF(O96="","",IF(O96&lt;=$AQ$1,"O","X"))</f>
        <v/>
      </c>
      <c r="AR96" s="113">
        <f>IF(M96="","",IF(M96&lt;=$AR$1,"O","X"))</f>
        <v/>
      </c>
      <c r="AS96" s="113" t="inlineStr">
        <is>
          <t>X</t>
        </is>
      </c>
      <c r="AT96" s="113">
        <f>IF(OR(F96="",AI96=""),"",IF(AND((F96&lt;=85),(AI96&gt;=15)),"O","X"))</f>
        <v/>
      </c>
      <c r="AU96" s="113">
        <f>IF(C96="","",IF(C96&gt;=$AU$1,"O","X"))</f>
        <v/>
      </c>
      <c r="AV96" s="113">
        <f>IF(AO96="","",IF(AND(AO96="O",AP96="O",AR96="O",AT96="O",AU96="O"),"후보","X"))</f>
        <v/>
      </c>
    </row>
    <row r="97">
      <c r="A97" s="13" t="inlineStr">
        <is>
          <t>고덕그라시움</t>
        </is>
      </c>
      <c r="B97" s="16" t="inlineStr">
        <is>
          <t>'19.09.</t>
        </is>
      </c>
      <c r="C97" s="164" t="n">
        <v>4932</v>
      </c>
      <c r="D97" s="161" t="n">
        <v>184.6</v>
      </c>
      <c r="E97" s="163" t="n">
        <v>56</v>
      </c>
      <c r="F97" s="161" t="n">
        <v>133.2</v>
      </c>
      <c r="G97" s="27" t="n">
        <v>40</v>
      </c>
      <c r="H97" s="164" t="n">
        <v>6</v>
      </c>
      <c r="I97" s="165" t="n">
        <v>300000</v>
      </c>
      <c r="J97" s="165" t="inlineStr">
        <is>
          <t>30</t>
        </is>
      </c>
      <c r="K97" s="165" t="n"/>
      <c r="L97" s="165" t="n"/>
      <c r="M97" s="166">
        <f>I97-K97</f>
        <v/>
      </c>
      <c r="N97" s="7">
        <f>IF(ISERROR(K97/I97),"",K97/I97)</f>
        <v/>
      </c>
      <c r="O97" s="162">
        <f>I97/E97</f>
        <v/>
      </c>
      <c r="P97" s="162">
        <f>K97/E97</f>
        <v/>
      </c>
      <c r="Q97" s="113" t="n">
        <v>3</v>
      </c>
      <c r="R97" s="113" t="n">
        <v>2</v>
      </c>
      <c r="S97" s="113" t="inlineStr">
        <is>
          <t>계</t>
        </is>
      </c>
      <c r="T97" s="8" t="inlineStr">
        <is>
          <t>184A</t>
        </is>
      </c>
      <c r="U97" s="13" t="n"/>
      <c r="W97" s="161">
        <f>D97</f>
        <v/>
      </c>
      <c r="X97" s="163">
        <f>E97</f>
        <v/>
      </c>
      <c r="Y97" s="159">
        <f>H97</f>
        <v/>
      </c>
      <c r="Z97" s="166">
        <f>I97</f>
        <v/>
      </c>
      <c r="AA97" s="166">
        <f>K97</f>
        <v/>
      </c>
      <c r="AB97" s="166">
        <f>M97</f>
        <v/>
      </c>
      <c r="AC97" s="7">
        <f>N97</f>
        <v/>
      </c>
      <c r="AD97" s="162">
        <f>O97</f>
        <v/>
      </c>
      <c r="AE97" s="113">
        <f>S97</f>
        <v/>
      </c>
      <c r="AF97" s="113">
        <f>Q97&amp;"/"&amp;R97</f>
        <v/>
      </c>
      <c r="AH97" s="36">
        <f>IF(A97="","",A97)</f>
        <v/>
      </c>
      <c r="AI97" s="163">
        <f>IF(E97="","",E97)</f>
        <v/>
      </c>
      <c r="AJ97" s="113">
        <f>IF(AI97="","",$AJ$2)</f>
        <v/>
      </c>
      <c r="AK97" s="113" t="inlineStr">
        <is>
          <t>A</t>
        </is>
      </c>
      <c r="AL97" s="113" t="inlineStr">
        <is>
          <t>A+</t>
        </is>
      </c>
      <c r="AM97" s="113" t="inlineStr">
        <is>
          <t>B+</t>
        </is>
      </c>
      <c r="AN97" s="113">
        <f>IF(AI97="","",$AN$2)</f>
        <v/>
      </c>
      <c r="AO97" s="113">
        <f>IF(N97="","",IF(N97&gt;=$AO$1/100,"O","X"))</f>
        <v/>
      </c>
      <c r="AP97" s="113">
        <f>IF(I97="","",IF(I97&lt;=$AP$1,"O","X"))</f>
        <v/>
      </c>
      <c r="AQ97" s="113">
        <f>IF(O97="","",IF(O97&lt;=$AQ$1,"O","X"))</f>
        <v/>
      </c>
      <c r="AR97" s="113">
        <f>IF(M97="","",IF(M97&lt;=$AR$1,"O","X"))</f>
        <v/>
      </c>
      <c r="AS97" s="113" t="inlineStr">
        <is>
          <t>X</t>
        </is>
      </c>
      <c r="AT97" s="113">
        <f>IF(OR(F97="",AI97=""),"",IF(AND((F97&lt;=85),(AI97&gt;=15)),"O","X"))</f>
        <v/>
      </c>
      <c r="AU97" s="113">
        <f>IF(C97="","",IF(C97&gt;=$AU$1,"O","X"))</f>
        <v/>
      </c>
      <c r="AV97" s="113">
        <f>IF(AO97="","",IF(AND(AO97="O",AP97="O",AR97="O",AT97="O",AU97="O"),"후보","X"))</f>
        <v/>
      </c>
    </row>
    <row r="98">
      <c r="A98" s="13" t="inlineStr">
        <is>
          <t>고덕그라시움</t>
        </is>
      </c>
      <c r="B98" s="16" t="inlineStr">
        <is>
          <t>'19.09.</t>
        </is>
      </c>
      <c r="C98" s="164" t="n">
        <v>4932</v>
      </c>
      <c r="D98" s="161" t="n">
        <v>184.9</v>
      </c>
      <c r="E98" s="163" t="n">
        <v>56</v>
      </c>
      <c r="F98" s="161" t="n">
        <v>133</v>
      </c>
      <c r="G98" s="27" t="n">
        <v>40</v>
      </c>
      <c r="H98" s="164" t="n">
        <v>3</v>
      </c>
      <c r="I98" s="165" t="n"/>
      <c r="J98" s="165" t="n"/>
      <c r="K98" s="165" t="n"/>
      <c r="L98" s="165" t="n"/>
      <c r="M98" s="166">
        <f>I98-K98</f>
        <v/>
      </c>
      <c r="N98" s="7">
        <f>IF(ISERROR(K98/I98),"",K98/I98)</f>
        <v/>
      </c>
      <c r="O98" s="162">
        <f>I98/E98</f>
        <v/>
      </c>
      <c r="P98" s="162">
        <f>K98/E98</f>
        <v/>
      </c>
      <c r="Q98" s="113" t="n">
        <v>4</v>
      </c>
      <c r="R98" s="113" t="n">
        <v>2</v>
      </c>
      <c r="S98" s="113" t="inlineStr">
        <is>
          <t>계</t>
        </is>
      </c>
      <c r="T98" s="8" t="inlineStr">
        <is>
          <t>184B</t>
        </is>
      </c>
      <c r="U98" s="13" t="n"/>
      <c r="W98" s="161">
        <f>D98</f>
        <v/>
      </c>
      <c r="X98" s="163">
        <f>E98</f>
        <v/>
      </c>
      <c r="Y98" s="159">
        <f>H98</f>
        <v/>
      </c>
      <c r="Z98" s="166">
        <f>I98</f>
        <v/>
      </c>
      <c r="AA98" s="166">
        <f>K98</f>
        <v/>
      </c>
      <c r="AB98" s="166">
        <f>M98</f>
        <v/>
      </c>
      <c r="AC98" s="7">
        <f>N98</f>
        <v/>
      </c>
      <c r="AD98" s="162">
        <f>O98</f>
        <v/>
      </c>
      <c r="AE98" s="113">
        <f>S98</f>
        <v/>
      </c>
      <c r="AF98" s="113">
        <f>Q98&amp;"/"&amp;R98</f>
        <v/>
      </c>
      <c r="AH98" s="36">
        <f>IF(A98="","",A98)</f>
        <v/>
      </c>
      <c r="AI98" s="163">
        <f>IF(E98="","",E98)</f>
        <v/>
      </c>
      <c r="AJ98" s="113">
        <f>IF(AI98="","",$AJ$2)</f>
        <v/>
      </c>
      <c r="AK98" s="113" t="inlineStr">
        <is>
          <t>A</t>
        </is>
      </c>
      <c r="AL98" s="113" t="inlineStr">
        <is>
          <t>A+</t>
        </is>
      </c>
      <c r="AM98" s="113" t="inlineStr">
        <is>
          <t>B+</t>
        </is>
      </c>
      <c r="AN98" s="113">
        <f>IF(AI98="","",$AN$2)</f>
        <v/>
      </c>
      <c r="AO98" s="113">
        <f>IF(N98="","",IF(N98&gt;=$AO$1/100,"O","X"))</f>
        <v/>
      </c>
      <c r="AP98" s="113">
        <f>IF(I98="","",IF(I98&lt;=$AP$1,"O","X"))</f>
        <v/>
      </c>
      <c r="AQ98" s="113">
        <f>IF(O98="","",IF(O98&lt;=$AQ$1,"O","X"))</f>
        <v/>
      </c>
      <c r="AR98" s="113">
        <f>IF(M98="","",IF(M98&lt;=$AR$1,"O","X"))</f>
        <v/>
      </c>
      <c r="AS98" s="113" t="inlineStr">
        <is>
          <t>X</t>
        </is>
      </c>
      <c r="AT98" s="113">
        <f>IF(OR(F98="",AI98=""),"",IF(AND((F98&lt;=85),(AI98&gt;=15)),"O","X"))</f>
        <v/>
      </c>
      <c r="AU98" s="113">
        <f>IF(C98="","",IF(C98&gt;=$AU$1,"O","X"))</f>
        <v/>
      </c>
      <c r="AV98" s="113">
        <f>IF(AO98="","",IF(AND(AO98="O",AP98="O",AR98="O",AT98="O",AU98="O"),"후보","X"))</f>
        <v/>
      </c>
    </row>
    <row r="99">
      <c r="A99" s="13" t="inlineStr">
        <is>
          <t>고덕그라시움</t>
        </is>
      </c>
      <c r="B99" s="16" t="inlineStr">
        <is>
          <t>'19.09.</t>
        </is>
      </c>
      <c r="C99" s="164" t="n">
        <v>4932</v>
      </c>
      <c r="D99" s="161" t="n">
        <v>201</v>
      </c>
      <c r="E99" s="163" t="n">
        <v>61</v>
      </c>
      <c r="F99" s="161" t="n">
        <v>143.3</v>
      </c>
      <c r="G99" s="27" t="n">
        <v>43</v>
      </c>
      <c r="H99" s="164" t="n">
        <v>1</v>
      </c>
      <c r="I99" s="165" t="n"/>
      <c r="J99" s="165" t="n"/>
      <c r="K99" s="165" t="n"/>
      <c r="L99" s="165" t="n"/>
      <c r="M99" s="166">
        <f>I99-K99</f>
        <v/>
      </c>
      <c r="N99" s="7">
        <f>IF(ISERROR(K99/I99),"",K99/I99)</f>
        <v/>
      </c>
      <c r="O99" s="162">
        <f>I99/E99</f>
        <v/>
      </c>
      <c r="P99" s="162">
        <f>K99/E99</f>
        <v/>
      </c>
      <c r="Q99" s="113" t="n">
        <v>4</v>
      </c>
      <c r="R99" s="113" t="n">
        <v>3</v>
      </c>
      <c r="S99" s="113" t="inlineStr">
        <is>
          <t>계</t>
        </is>
      </c>
      <c r="T99" s="8" t="n">
        <v>200</v>
      </c>
      <c r="U99" s="13" t="n"/>
      <c r="W99" s="161">
        <f>D99</f>
        <v/>
      </c>
      <c r="X99" s="163">
        <f>E99</f>
        <v/>
      </c>
      <c r="Y99" s="159">
        <f>H99</f>
        <v/>
      </c>
      <c r="Z99" s="166">
        <f>I99</f>
        <v/>
      </c>
      <c r="AA99" s="166">
        <f>K99</f>
        <v/>
      </c>
      <c r="AB99" s="166">
        <f>M99</f>
        <v/>
      </c>
      <c r="AC99" s="7">
        <f>N99</f>
        <v/>
      </c>
      <c r="AD99" s="162">
        <f>O99</f>
        <v/>
      </c>
      <c r="AE99" s="113">
        <f>S99</f>
        <v/>
      </c>
      <c r="AF99" s="113">
        <f>Q99&amp;"/"&amp;R99</f>
        <v/>
      </c>
      <c r="AH99" s="36">
        <f>IF(A99="","",A99)</f>
        <v/>
      </c>
      <c r="AI99" s="163">
        <f>IF(E99="","",E99)</f>
        <v/>
      </c>
      <c r="AJ99" s="113">
        <f>IF(AI99="","",$AJ$2)</f>
        <v/>
      </c>
      <c r="AK99" s="113" t="inlineStr">
        <is>
          <t>A</t>
        </is>
      </c>
      <c r="AL99" s="113" t="inlineStr">
        <is>
          <t>A+</t>
        </is>
      </c>
      <c r="AM99" s="113" t="inlineStr">
        <is>
          <t>B+</t>
        </is>
      </c>
      <c r="AN99" s="113">
        <f>IF(AI99="","",$AN$2)</f>
        <v/>
      </c>
      <c r="AO99" s="113">
        <f>IF(N99="","",IF(N99&gt;=$AO$1/100,"O","X"))</f>
        <v/>
      </c>
      <c r="AP99" s="113">
        <f>IF(I99="","",IF(I99&lt;=$AP$1,"O","X"))</f>
        <v/>
      </c>
      <c r="AQ99" s="113">
        <f>IF(O99="","",IF(O99&lt;=$AQ$1,"O","X"))</f>
        <v/>
      </c>
      <c r="AR99" s="113">
        <f>IF(M99="","",IF(M99&lt;=$AR$1,"O","X"))</f>
        <v/>
      </c>
      <c r="AS99" s="113" t="inlineStr">
        <is>
          <t>X</t>
        </is>
      </c>
      <c r="AT99" s="113">
        <f>IF(OR(F99="",AI99=""),"",IF(AND((F99&lt;=85),(AI99&gt;=15)),"O","X"))</f>
        <v/>
      </c>
      <c r="AU99" s="113">
        <f>IF(C99="","",IF(C99&gt;=$AU$1,"O","X"))</f>
        <v/>
      </c>
      <c r="AV99" s="113">
        <f>IF(AO99="","",IF(AND(AO99="O",AP99="O",AR99="O",AT99="O",AU99="O"),"후보","X"))</f>
        <v/>
      </c>
    </row>
    <row r="100">
      <c r="A100" s="13" t="inlineStr">
        <is>
          <t>고덕그라시움</t>
        </is>
      </c>
      <c r="B100" s="16" t="inlineStr">
        <is>
          <t>'19.09.</t>
        </is>
      </c>
      <c r="C100" s="164" t="n">
        <v>4932</v>
      </c>
      <c r="D100" s="161" t="n">
        <v>243</v>
      </c>
      <c r="E100" s="163" t="n">
        <v>74</v>
      </c>
      <c r="F100" s="161" t="n">
        <v>175.9</v>
      </c>
      <c r="G100" s="27" t="n">
        <v>53</v>
      </c>
      <c r="H100" s="164" t="n">
        <v>1</v>
      </c>
      <c r="I100" s="165" t="n"/>
      <c r="J100" s="165" t="n"/>
      <c r="K100" s="165" t="n"/>
      <c r="L100" s="165" t="n"/>
      <c r="M100" s="166">
        <f>I100-K100</f>
        <v/>
      </c>
      <c r="N100" s="7">
        <f>IF(ISERROR(K100/I100),"",K100/I100)</f>
        <v/>
      </c>
      <c r="O100" s="162">
        <f>I100/E100</f>
        <v/>
      </c>
      <c r="P100" s="162">
        <f>K100/E100</f>
        <v/>
      </c>
      <c r="Q100" s="113" t="n">
        <v>4</v>
      </c>
      <c r="R100" s="113" t="n">
        <v>3</v>
      </c>
      <c r="S100" s="113" t="inlineStr">
        <is>
          <t>계</t>
        </is>
      </c>
      <c r="T100" s="8" t="inlineStr">
        <is>
          <t>242B</t>
        </is>
      </c>
      <c r="U100" s="13" t="n"/>
      <c r="W100" s="161">
        <f>D100</f>
        <v/>
      </c>
      <c r="X100" s="163">
        <f>E100</f>
        <v/>
      </c>
      <c r="Y100" s="159">
        <f>H100</f>
        <v/>
      </c>
      <c r="Z100" s="166">
        <f>I100</f>
        <v/>
      </c>
      <c r="AA100" s="166">
        <f>K100</f>
        <v/>
      </c>
      <c r="AB100" s="166">
        <f>M100</f>
        <v/>
      </c>
      <c r="AC100" s="7">
        <f>N100</f>
        <v/>
      </c>
      <c r="AD100" s="162">
        <f>O100</f>
        <v/>
      </c>
      <c r="AE100" s="113">
        <f>S100</f>
        <v/>
      </c>
      <c r="AF100" s="113">
        <f>Q100&amp;"/"&amp;R100</f>
        <v/>
      </c>
      <c r="AH100" s="36">
        <f>IF(A100="","",A100)</f>
        <v/>
      </c>
      <c r="AI100" s="163">
        <f>IF(E100="","",E100)</f>
        <v/>
      </c>
      <c r="AJ100" s="113">
        <f>IF(AI100="","",$AJ$2)</f>
        <v/>
      </c>
      <c r="AK100" s="113" t="inlineStr">
        <is>
          <t>A</t>
        </is>
      </c>
      <c r="AL100" s="113" t="inlineStr">
        <is>
          <t>A+</t>
        </is>
      </c>
      <c r="AM100" s="113" t="inlineStr">
        <is>
          <t>B+</t>
        </is>
      </c>
      <c r="AN100" s="113">
        <f>IF(AI100="","",$AN$2)</f>
        <v/>
      </c>
      <c r="AO100" s="113">
        <f>IF(N100="","",IF(N100&gt;=$AO$1/100,"O","X"))</f>
        <v/>
      </c>
      <c r="AP100" s="113">
        <f>IF(I100="","",IF(I100&lt;=$AP$1,"O","X"))</f>
        <v/>
      </c>
      <c r="AQ100" s="113">
        <f>IF(O100="","",IF(O100&lt;=$AQ$1,"O","X"))</f>
        <v/>
      </c>
      <c r="AR100" s="113">
        <f>IF(M100="","",IF(M100&lt;=$AR$1,"O","X"))</f>
        <v/>
      </c>
      <c r="AS100" s="113" t="inlineStr">
        <is>
          <t>X</t>
        </is>
      </c>
      <c r="AT100" s="113">
        <f>IF(OR(F100="",AI100=""),"",IF(AND((F100&lt;=85),(AI100&gt;=15)),"O","X"))</f>
        <v/>
      </c>
      <c r="AU100" s="113">
        <f>IF(C100="","",IF(C100&gt;=$AU$1,"O","X"))</f>
        <v/>
      </c>
      <c r="AV100" s="113">
        <f>IF(AO100="","",IF(AND(AO100="O",AP100="O",AR100="O",AT100="O",AU100="O"),"후보","X"))</f>
        <v/>
      </c>
    </row>
    <row r="101">
      <c r="A101" s="13" t="inlineStr">
        <is>
          <t>고덕그라시움</t>
        </is>
      </c>
      <c r="B101" s="16" t="inlineStr">
        <is>
          <t>'19.09.</t>
        </is>
      </c>
      <c r="C101" s="164" t="n">
        <v>4932</v>
      </c>
      <c r="D101" s="161" t="n">
        <v>243.6</v>
      </c>
      <c r="E101" s="163" t="n">
        <v>74</v>
      </c>
      <c r="F101" s="161" t="n">
        <v>175.3</v>
      </c>
      <c r="G101" s="27" t="n">
        <v>53</v>
      </c>
      <c r="H101" s="164" t="n">
        <v>2</v>
      </c>
      <c r="I101" s="165" t="n"/>
      <c r="J101" s="165" t="n"/>
      <c r="K101" s="165" t="n"/>
      <c r="L101" s="165" t="n"/>
      <c r="M101" s="166">
        <f>I101-K101</f>
        <v/>
      </c>
      <c r="N101" s="7">
        <f>IF(ISERROR(K101/I101),"",K101/I101)</f>
        <v/>
      </c>
      <c r="O101" s="162">
        <f>I101/E101</f>
        <v/>
      </c>
      <c r="P101" s="162">
        <f>K101/E101</f>
        <v/>
      </c>
      <c r="Q101" s="113" t="n">
        <v>4</v>
      </c>
      <c r="R101" s="113" t="n">
        <v>3</v>
      </c>
      <c r="S101" s="113" t="inlineStr">
        <is>
          <t>계</t>
        </is>
      </c>
      <c r="T101" s="8" t="inlineStr">
        <is>
          <t>243C</t>
        </is>
      </c>
      <c r="U101" s="13" t="n"/>
      <c r="W101" s="161">
        <f>D101</f>
        <v/>
      </c>
      <c r="X101" s="163">
        <f>E101</f>
        <v/>
      </c>
      <c r="Y101" s="159">
        <f>H101</f>
        <v/>
      </c>
      <c r="Z101" s="166">
        <f>I101</f>
        <v/>
      </c>
      <c r="AA101" s="166">
        <f>K101</f>
        <v/>
      </c>
      <c r="AB101" s="166">
        <f>M101</f>
        <v/>
      </c>
      <c r="AC101" s="7">
        <f>N101</f>
        <v/>
      </c>
      <c r="AD101" s="162">
        <f>O101</f>
        <v/>
      </c>
      <c r="AE101" s="113">
        <f>S101</f>
        <v/>
      </c>
      <c r="AF101" s="113">
        <f>Q101&amp;"/"&amp;R101</f>
        <v/>
      </c>
      <c r="AH101" s="36">
        <f>IF(A101="","",A101)</f>
        <v/>
      </c>
      <c r="AI101" s="163">
        <f>IF(E101="","",E101)</f>
        <v/>
      </c>
      <c r="AJ101" s="113">
        <f>IF(AI101="","",$AJ$2)</f>
        <v/>
      </c>
      <c r="AK101" s="113" t="inlineStr">
        <is>
          <t>A</t>
        </is>
      </c>
      <c r="AL101" s="113" t="inlineStr">
        <is>
          <t>A+</t>
        </is>
      </c>
      <c r="AM101" s="113" t="inlineStr">
        <is>
          <t>B+</t>
        </is>
      </c>
      <c r="AN101" s="113">
        <f>IF(AI101="","",$AN$2)</f>
        <v/>
      </c>
      <c r="AO101" s="113">
        <f>IF(N101="","",IF(N101&gt;=$AO$1/100,"O","X"))</f>
        <v/>
      </c>
      <c r="AP101" s="113">
        <f>IF(I101="","",IF(I101&lt;=$AP$1,"O","X"))</f>
        <v/>
      </c>
      <c r="AQ101" s="113">
        <f>IF(O101="","",IF(O101&lt;=$AQ$1,"O","X"))</f>
        <v/>
      </c>
      <c r="AR101" s="113">
        <f>IF(M101="","",IF(M101&lt;=$AR$1,"O","X"))</f>
        <v/>
      </c>
      <c r="AS101" s="113" t="inlineStr">
        <is>
          <t>X</t>
        </is>
      </c>
      <c r="AT101" s="113">
        <f>IF(OR(F101="",AI101=""),"",IF(AND((F101&lt;=85),(AI101&gt;=15)),"O","X"))</f>
        <v/>
      </c>
      <c r="AU101" s="113">
        <f>IF(C101="","",IF(C101&gt;=$AU$1,"O","X"))</f>
        <v/>
      </c>
      <c r="AV101" s="113">
        <f>IF(AO101="","",IF(AND(AO101="O",AP101="O",AR101="O",AT101="O",AU101="O"),"후보","X"))</f>
        <v/>
      </c>
    </row>
    <row r="102">
      <c r="A102" s="13" t="inlineStr">
        <is>
          <t>고덕그라시움</t>
        </is>
      </c>
      <c r="B102" s="16" t="inlineStr">
        <is>
          <t>'19.09.</t>
        </is>
      </c>
      <c r="C102" s="164" t="n">
        <v>4932</v>
      </c>
      <c r="D102" s="161" t="n">
        <v>243.5</v>
      </c>
      <c r="E102" s="163" t="n">
        <v>74</v>
      </c>
      <c r="F102" s="161" t="n">
        <v>175.1</v>
      </c>
      <c r="G102" s="27" t="n">
        <v>53</v>
      </c>
      <c r="H102" s="164" t="n">
        <v>1</v>
      </c>
      <c r="I102" s="165" t="n"/>
      <c r="J102" s="165" t="n"/>
      <c r="K102" s="165" t="n"/>
      <c r="L102" s="165" t="n"/>
      <c r="M102" s="166">
        <f>I102-K102</f>
        <v/>
      </c>
      <c r="N102" s="7">
        <f>IF(ISERROR(K102/I102),"",K102/I102)</f>
        <v/>
      </c>
      <c r="O102" s="162">
        <f>I102/E102</f>
        <v/>
      </c>
      <c r="P102" s="162">
        <f>K102/E102</f>
        <v/>
      </c>
      <c r="Q102" s="113" t="n">
        <v>4</v>
      </c>
      <c r="R102" s="113" t="n">
        <v>3</v>
      </c>
      <c r="S102" s="113" t="inlineStr">
        <is>
          <t>계</t>
        </is>
      </c>
      <c r="T102" s="8" t="inlineStr">
        <is>
          <t>243A</t>
        </is>
      </c>
      <c r="U102" s="13" t="n"/>
      <c r="W102" s="161">
        <f>D102</f>
        <v/>
      </c>
      <c r="X102" s="163">
        <f>E102</f>
        <v/>
      </c>
      <c r="Y102" s="159">
        <f>H102</f>
        <v/>
      </c>
      <c r="Z102" s="166">
        <f>I102</f>
        <v/>
      </c>
      <c r="AA102" s="166">
        <f>K102</f>
        <v/>
      </c>
      <c r="AB102" s="166">
        <f>M102</f>
        <v/>
      </c>
      <c r="AC102" s="7">
        <f>N102</f>
        <v/>
      </c>
      <c r="AD102" s="162">
        <f>O102</f>
        <v/>
      </c>
      <c r="AE102" s="113">
        <f>S102</f>
        <v/>
      </c>
      <c r="AF102" s="113">
        <f>Q102&amp;"/"&amp;R102</f>
        <v/>
      </c>
      <c r="AH102" s="36">
        <f>IF(A102="","",A102)</f>
        <v/>
      </c>
      <c r="AI102" s="163">
        <f>IF(E102="","",E102)</f>
        <v/>
      </c>
      <c r="AJ102" s="113">
        <f>IF(AI102="","",$AJ$2)</f>
        <v/>
      </c>
      <c r="AK102" s="113" t="inlineStr">
        <is>
          <t>A</t>
        </is>
      </c>
      <c r="AL102" s="113" t="inlineStr">
        <is>
          <t>A+</t>
        </is>
      </c>
      <c r="AM102" s="113" t="inlineStr">
        <is>
          <t>B+</t>
        </is>
      </c>
      <c r="AN102" s="113">
        <f>IF(AI102="","",$AN$2)</f>
        <v/>
      </c>
      <c r="AO102" s="113">
        <f>IF(N102="","",IF(N102&gt;=$AO$1/100,"O","X"))</f>
        <v/>
      </c>
      <c r="AP102" s="113">
        <f>IF(I102="","",IF(I102&lt;=$AP$1,"O","X"))</f>
        <v/>
      </c>
      <c r="AQ102" s="113">
        <f>IF(O102="","",IF(O102&lt;=$AQ$1,"O","X"))</f>
        <v/>
      </c>
      <c r="AR102" s="113">
        <f>IF(M102="","",IF(M102&lt;=$AR$1,"O","X"))</f>
        <v/>
      </c>
      <c r="AS102" s="113" t="inlineStr">
        <is>
          <t>X</t>
        </is>
      </c>
      <c r="AT102" s="113">
        <f>IF(OR(F102="",AI102=""),"",IF(AND((F102&lt;=85),(AI102&gt;=15)),"O","X"))</f>
        <v/>
      </c>
      <c r="AU102" s="113">
        <f>IF(C102="","",IF(C102&gt;=$AU$1,"O","X"))</f>
        <v/>
      </c>
      <c r="AV102" s="113">
        <f>IF(AO102="","",IF(AND(AO102="O",AP102="O",AR102="O",AT102="O",AU102="O"),"후보","X"))</f>
        <v/>
      </c>
    </row>
    <row r="103">
      <c r="A103" s="13" t="n"/>
      <c r="B103" s="113" t="n"/>
      <c r="C103" s="10" t="n"/>
      <c r="D103" s="13" t="n"/>
      <c r="E103" s="20" t="n"/>
      <c r="F103" s="161" t="n"/>
      <c r="G103" s="13" t="n"/>
      <c r="H103" s="13" t="n"/>
      <c r="I103" s="13" t="n"/>
      <c r="J103" s="13" t="n"/>
      <c r="K103" s="13" t="n"/>
      <c r="L103" s="13" t="n"/>
      <c r="M103" s="13" t="n"/>
      <c r="N103" s="13" t="n"/>
      <c r="O103" s="162" t="n"/>
      <c r="P103" s="162" t="n"/>
      <c r="Q103" s="163" t="n"/>
      <c r="R103" s="163" t="n"/>
      <c r="S103" s="13" t="n"/>
      <c r="T103" s="70" t="n"/>
      <c r="U103" s="13" t="n"/>
      <c r="W103" s="107">
        <f>$A$4&amp;" "&amp;A104&amp;"("&amp;B104&amp;","&amp;C104&amp;"^)"</f>
        <v/>
      </c>
      <c r="X103" s="108" t="n"/>
      <c r="Y103" s="108" t="n"/>
      <c r="Z103" s="108" t="n"/>
      <c r="AA103" s="108" t="n"/>
      <c r="AB103" s="108" t="n"/>
      <c r="AC103" s="108" t="n"/>
      <c r="AD103" s="108" t="n"/>
      <c r="AE103" s="108" t="n"/>
      <c r="AF103" s="109" t="n"/>
      <c r="AH103" s="36">
        <f>IF(A103="","",A103)</f>
        <v/>
      </c>
      <c r="AI103" s="160">
        <f>IF(E103="","",E103)</f>
        <v/>
      </c>
      <c r="AJ103" s="113" t="n"/>
      <c r="AK103" s="113" t="n"/>
      <c r="AL103" s="113" t="n"/>
      <c r="AM103" s="113" t="n"/>
      <c r="AN103" s="113" t="n"/>
      <c r="AO103" s="113" t="n"/>
      <c r="AP103" s="113" t="n"/>
      <c r="AQ103" s="113" t="n"/>
      <c r="AR103" s="113" t="n"/>
      <c r="AS103" s="113" t="n"/>
      <c r="AT103" s="113" t="n"/>
      <c r="AU103" s="113" t="n"/>
      <c r="AV103" s="113" t="n"/>
    </row>
    <row r="104">
      <c r="A104" s="13" t="inlineStr">
        <is>
          <t>배재현대</t>
        </is>
      </c>
      <c r="B104" s="16" t="inlineStr">
        <is>
          <t>'95.11.</t>
        </is>
      </c>
      <c r="C104" s="164" t="n">
        <v>448</v>
      </c>
      <c r="D104" s="161" t="n">
        <v>95.90000000000001</v>
      </c>
      <c r="E104" s="163" t="n">
        <v>29</v>
      </c>
      <c r="F104" s="161" t="n">
        <v>59.9</v>
      </c>
      <c r="G104" s="27" t="n">
        <v>18</v>
      </c>
      <c r="H104" s="164" t="n">
        <v>230</v>
      </c>
      <c r="I104" s="165" t="n">
        <v>105000</v>
      </c>
      <c r="J104" s="165" t="inlineStr">
        <is>
          <t>19</t>
        </is>
      </c>
      <c r="K104" s="165" t="n">
        <v>55000</v>
      </c>
      <c r="L104" s="165" t="inlineStr">
        <is>
          <t>중</t>
        </is>
      </c>
      <c r="M104" s="166">
        <f>I104-K104</f>
        <v/>
      </c>
      <c r="N104" s="7">
        <f>IF(ISERROR(K104/I104),"",K104/I104)</f>
        <v/>
      </c>
      <c r="O104" s="162">
        <f>I104/E104</f>
        <v/>
      </c>
      <c r="P104" s="162">
        <f>K104/E104</f>
        <v/>
      </c>
      <c r="Q104" s="113" t="n">
        <v>3</v>
      </c>
      <c r="R104" s="113" t="n">
        <v>1</v>
      </c>
      <c r="S104" s="113" t="inlineStr">
        <is>
          <t>복</t>
        </is>
      </c>
      <c r="T104" s="8" t="n">
        <v>95</v>
      </c>
      <c r="U104" s="13" t="n"/>
      <c r="W104" s="161">
        <f>D104</f>
        <v/>
      </c>
      <c r="X104" s="163">
        <f>E104</f>
        <v/>
      </c>
      <c r="Y104" s="159">
        <f>H104</f>
        <v/>
      </c>
      <c r="Z104" s="166">
        <f>I104</f>
        <v/>
      </c>
      <c r="AA104" s="166">
        <f>K104</f>
        <v/>
      </c>
      <c r="AB104" s="166">
        <f>M104</f>
        <v/>
      </c>
      <c r="AC104" s="7">
        <f>N104</f>
        <v/>
      </c>
      <c r="AD104" s="162">
        <f>O104</f>
        <v/>
      </c>
      <c r="AE104" s="113">
        <f>S104</f>
        <v/>
      </c>
      <c r="AF104" s="113">
        <f>Q104&amp;"/"&amp;R104</f>
        <v/>
      </c>
      <c r="AH104" s="36">
        <f>IF(A104="","",A104)</f>
        <v/>
      </c>
      <c r="AI104" s="163">
        <f>IF(E104="","",E104)</f>
        <v/>
      </c>
      <c r="AJ104" s="113">
        <f>IF(AI104="","",$AJ$2)</f>
        <v/>
      </c>
      <c r="AK104" s="113" t="inlineStr">
        <is>
          <t>A</t>
        </is>
      </c>
      <c r="AL104" s="113" t="inlineStr">
        <is>
          <t>A+</t>
        </is>
      </c>
      <c r="AM104" s="113" t="inlineStr">
        <is>
          <t>B+</t>
        </is>
      </c>
      <c r="AN104" s="113">
        <f>IF(AI104="","",$AN$2)</f>
        <v/>
      </c>
      <c r="AO104" s="113">
        <f>IF(N104="","",IF(N104&gt;=$AO$1/100,"O","X"))</f>
        <v/>
      </c>
      <c r="AP104" s="113">
        <f>IF(I104="","",IF(I104&lt;=$AP$1,"O","X"))</f>
        <v/>
      </c>
      <c r="AQ104" s="113">
        <f>IF(O104="","",IF(O104&lt;=$AQ$1,"O","X"))</f>
        <v/>
      </c>
      <c r="AR104" s="113">
        <f>IF(M104="","",IF(M104&lt;=$AR$1,"O","X"))</f>
        <v/>
      </c>
      <c r="AS104" s="113" t="inlineStr">
        <is>
          <t>X</t>
        </is>
      </c>
      <c r="AT104" s="113">
        <f>IF(OR(F104="",AI104=""),"",IF(AND((F104&lt;=85),(AI104&gt;=15)),"O","X"))</f>
        <v/>
      </c>
      <c r="AU104" s="113">
        <f>IF(C104="","",IF(C104&gt;=$AU$1,"O","X"))</f>
        <v/>
      </c>
      <c r="AV104" s="113">
        <f>IF(AO104="","",IF(AND(AO104="O",AP104="O",AR104="O",AT104="O",AU104="O"),"후보","X"))</f>
        <v/>
      </c>
    </row>
    <row r="105">
      <c r="A105" s="13" t="inlineStr">
        <is>
          <t>배재현대</t>
        </is>
      </c>
      <c r="B105" s="16" t="inlineStr">
        <is>
          <t>'95.11.</t>
        </is>
      </c>
      <c r="C105" s="164" t="n">
        <v>448</v>
      </c>
      <c r="D105" s="161" t="n">
        <v>119</v>
      </c>
      <c r="E105" s="163" t="n">
        <v>36</v>
      </c>
      <c r="F105" s="161" t="n">
        <v>84.90000000000001</v>
      </c>
      <c r="G105" s="27" t="n">
        <v>26</v>
      </c>
      <c r="H105" s="164" t="n">
        <v>218</v>
      </c>
      <c r="I105" s="165" t="n">
        <v>140000</v>
      </c>
      <c r="J105" s="165" t="inlineStr">
        <is>
          <t>중</t>
        </is>
      </c>
      <c r="K105" s="165" t="n">
        <v>68000</v>
      </c>
      <c r="L105" s="165" t="inlineStr">
        <is>
          <t>중</t>
        </is>
      </c>
      <c r="M105" s="166">
        <f>I105-K105</f>
        <v/>
      </c>
      <c r="N105" s="7">
        <f>IF(ISERROR(K105/I105),"",K105/I105)</f>
        <v/>
      </c>
      <c r="O105" s="162">
        <f>I105/E105</f>
        <v/>
      </c>
      <c r="P105" s="162">
        <f>K105/E105</f>
        <v/>
      </c>
      <c r="Q105" s="113" t="n">
        <v>3</v>
      </c>
      <c r="R105" s="113" t="n">
        <v>2</v>
      </c>
      <c r="S105" s="113" t="inlineStr">
        <is>
          <t>계</t>
        </is>
      </c>
      <c r="T105" s="8" t="n">
        <v>119</v>
      </c>
      <c r="U105" s="13" t="n"/>
      <c r="W105" s="161">
        <f>D105</f>
        <v/>
      </c>
      <c r="X105" s="163">
        <f>E105</f>
        <v/>
      </c>
      <c r="Y105" s="159">
        <f>H105</f>
        <v/>
      </c>
      <c r="Z105" s="166">
        <f>I105</f>
        <v/>
      </c>
      <c r="AA105" s="166">
        <f>K105</f>
        <v/>
      </c>
      <c r="AB105" s="166">
        <f>M105</f>
        <v/>
      </c>
      <c r="AC105" s="7">
        <f>N105</f>
        <v/>
      </c>
      <c r="AD105" s="162">
        <f>O105</f>
        <v/>
      </c>
      <c r="AE105" s="113">
        <f>S105</f>
        <v/>
      </c>
      <c r="AF105" s="113">
        <f>Q105&amp;"/"&amp;R105</f>
        <v/>
      </c>
      <c r="AH105" s="36">
        <f>IF(A105="","",A105)</f>
        <v/>
      </c>
      <c r="AI105" s="163">
        <f>IF(E105="","",E105)</f>
        <v/>
      </c>
      <c r="AJ105" s="113">
        <f>IF(AI105="","",$AJ$2)</f>
        <v/>
      </c>
      <c r="AK105" s="113" t="inlineStr">
        <is>
          <t>A</t>
        </is>
      </c>
      <c r="AL105" s="113" t="inlineStr">
        <is>
          <t>A+</t>
        </is>
      </c>
      <c r="AM105" s="113" t="inlineStr">
        <is>
          <t>B+</t>
        </is>
      </c>
      <c r="AN105" s="113">
        <f>IF(AI105="","",$AN$2)</f>
        <v/>
      </c>
      <c r="AO105" s="113">
        <f>IF(N105="","",IF(N105&gt;=$AO$1/100,"O","X"))</f>
        <v/>
      </c>
      <c r="AP105" s="113">
        <f>IF(I105="","",IF(I105&lt;=$AP$1,"O","X"))</f>
        <v/>
      </c>
      <c r="AQ105" s="113">
        <f>IF(O105="","",IF(O105&lt;=$AQ$1,"O","X"))</f>
        <v/>
      </c>
      <c r="AR105" s="113">
        <f>IF(M105="","",IF(M105&lt;=$AR$1,"O","X"))</f>
        <v/>
      </c>
      <c r="AS105" s="113" t="inlineStr">
        <is>
          <t>X</t>
        </is>
      </c>
      <c r="AT105" s="113">
        <f>IF(OR(F105="",AI105=""),"",IF(AND((F105&lt;=85),(AI105&gt;=15)),"O","X"))</f>
        <v/>
      </c>
      <c r="AU105" s="113">
        <f>IF(C105="","",IF(C105&gt;=$AU$1,"O","X"))</f>
        <v/>
      </c>
      <c r="AV105" s="113">
        <f>IF(AO105="","",IF(AND(AO105="O",AP105="O",AR105="O",AT105="O",AU105="O"),"후보","X"))</f>
        <v/>
      </c>
    </row>
  </sheetData>
  <mergeCells count="1">
    <mergeCell ref="AJ1:AN1"/>
  </mergeCells>
  <conditionalFormatting sqref="AV4:AV6">
    <cfRule type="expression" priority="1817" dxfId="17">
      <formula>AV4="X"</formula>
    </cfRule>
    <cfRule type="expression" priority="1818" dxfId="16">
      <formula>AV4="후보"</formula>
    </cfRule>
  </conditionalFormatting>
  <conditionalFormatting sqref="AC1:AC2 AC4:AC6 N4:N5">
    <cfRule type="cellIs" priority="1814" operator="greaterThan" dxfId="13">
      <formula>0.9</formula>
    </cfRule>
    <cfRule type="cellIs" priority="1815" operator="greaterThan" dxfId="12">
      <formula>0.85</formula>
    </cfRule>
  </conditionalFormatting>
  <conditionalFormatting sqref="N1:N2">
    <cfRule type="cellIs" priority="1812" operator="greaterThan" dxfId="13">
      <formula>0.9</formula>
    </cfRule>
    <cfRule type="cellIs" priority="1813" operator="greaterThan" dxfId="12">
      <formula>0.85</formula>
    </cfRule>
  </conditionalFormatting>
  <conditionalFormatting sqref="N6">
    <cfRule type="cellIs" priority="1810" operator="greaterThan" dxfId="13">
      <formula>0.9</formula>
    </cfRule>
    <cfRule type="cellIs" priority="1811" operator="greaterThan" dxfId="12">
      <formula>0.85</formula>
    </cfRule>
  </conditionalFormatting>
  <conditionalFormatting sqref="E6">
    <cfRule type="expression" priority="1806" dxfId="3">
      <formula>AND(IF(OR($Q6=1,$Q6=2),1,0),IF($X6&lt;=20,1,0))</formula>
    </cfRule>
    <cfRule type="expression" priority="1807" dxfId="2">
      <formula>AND(IF($Q6=2,1,0),IF($X6&lt;30,1,0))</formula>
    </cfRule>
    <cfRule type="expression" priority="1808" dxfId="1">
      <formula>AND(IF($Q6=3,1,0),IF($X6&lt;30,1,0))</formula>
    </cfRule>
    <cfRule type="expression" priority="1809" dxfId="0">
      <formula>AND(IF($Q6=3,1,IF($Q6=4,1,0)),IF($F6&lt;=85,1,0))</formula>
    </cfRule>
  </conditionalFormatting>
  <conditionalFormatting sqref="X6">
    <cfRule type="expression" priority="1802" dxfId="3">
      <formula>AND(IF(OR($Q6=1,$Q6=2),1,0),IF($X6&lt;=20,1,0))</formula>
    </cfRule>
    <cfRule type="expression" priority="1803" dxfId="2">
      <formula>AND(IF($Q6=2,1,0),IF($X6&lt;30,1,0))</formula>
    </cfRule>
    <cfRule type="expression" priority="1804" dxfId="1">
      <formula>AND(IF($Q6=3,1,0),IF($X6&lt;30,1,0))</formula>
    </cfRule>
    <cfRule type="expression" priority="1805" dxfId="0">
      <formula>AND(IF($Q6=3,1,IF($Q6=4,1,0)),IF($F6&lt;=85,1,0))</formula>
    </cfRule>
  </conditionalFormatting>
  <conditionalFormatting sqref="AI6">
    <cfRule type="expression" priority="1798" dxfId="3">
      <formula>AND(IF(OR($Q6=1,$Q6=2),1,0),IF($X6&lt;=20,1,0))</formula>
    </cfRule>
    <cfRule type="expression" priority="1799" dxfId="2">
      <formula>AND(IF($Q6=2,1,0),IF($X6&lt;30,1,0))</formula>
    </cfRule>
    <cfRule type="expression" priority="1800" dxfId="1">
      <formula>AND(IF($Q6=3,1,0),IF($X6&lt;30,1,0))</formula>
    </cfRule>
    <cfRule type="expression" priority="1801" dxfId="0">
      <formula>AND(IF($Q6=3,1,IF($Q6=4,1,0)),IF($F6&lt;=85,1,0))</formula>
    </cfRule>
  </conditionalFormatting>
  <conditionalFormatting sqref="AV7">
    <cfRule type="expression" priority="1796" dxfId="17">
      <formula>AV7="X"</formula>
    </cfRule>
    <cfRule type="expression" priority="1797" dxfId="16">
      <formula>AV7="후보"</formula>
    </cfRule>
  </conditionalFormatting>
  <conditionalFormatting sqref="AC7">
    <cfRule type="cellIs" priority="1793" operator="greaterThan" dxfId="13">
      <formula>0.9</formula>
    </cfRule>
    <cfRule type="cellIs" priority="1794" operator="greaterThan" dxfId="12">
      <formula>0.85</formula>
    </cfRule>
  </conditionalFormatting>
  <conditionalFormatting sqref="N7">
    <cfRule type="cellIs" priority="1791" operator="greaterThan" dxfId="13">
      <formula>0.9</formula>
    </cfRule>
    <cfRule type="cellIs" priority="1792" operator="greaterThan" dxfId="12">
      <formula>0.85</formula>
    </cfRule>
  </conditionalFormatting>
  <conditionalFormatting sqref="E7">
    <cfRule type="expression" priority="1787" dxfId="3">
      <formula>AND(IF(OR($Q7=1,$Q7=2),1,0),IF($X7&lt;=20,1,0))</formula>
    </cfRule>
    <cfRule type="expression" priority="1788" dxfId="2">
      <formula>AND(IF($Q7=2,1,0),IF($X7&lt;30,1,0))</formula>
    </cfRule>
    <cfRule type="expression" priority="1789" dxfId="1">
      <formula>AND(IF($Q7=3,1,0),IF($X7&lt;30,1,0))</formula>
    </cfRule>
    <cfRule type="expression" priority="1790" dxfId="0">
      <formula>AND(IF($Q7=3,1,IF($Q7=4,1,0)),IF($F7&lt;=85,1,0))</formula>
    </cfRule>
  </conditionalFormatting>
  <conditionalFormatting sqref="X7">
    <cfRule type="expression" priority="1783" dxfId="3">
      <formula>AND(IF(OR($Q7=1,$Q7=2),1,0),IF($X7&lt;=20,1,0))</formula>
    </cfRule>
    <cfRule type="expression" priority="1784" dxfId="2">
      <formula>AND(IF($Q7=2,1,0),IF($X7&lt;30,1,0))</formula>
    </cfRule>
    <cfRule type="expression" priority="1785" dxfId="1">
      <formula>AND(IF($Q7=3,1,0),IF($X7&lt;30,1,0))</formula>
    </cfRule>
    <cfRule type="expression" priority="1786" dxfId="0">
      <formula>AND(IF($Q7=3,1,IF($Q7=4,1,0)),IF($F7&lt;=85,1,0))</formula>
    </cfRule>
  </conditionalFormatting>
  <conditionalFormatting sqref="AI7">
    <cfRule type="expression" priority="1779" dxfId="3">
      <formula>AND(IF(OR($Q7=1,$Q7=2),1,0),IF($X7&lt;=20,1,0))</formula>
    </cfRule>
    <cfRule type="expression" priority="1780" dxfId="2">
      <formula>AND(IF($Q7=2,1,0),IF($X7&lt;30,1,0))</formula>
    </cfRule>
    <cfRule type="expression" priority="1781" dxfId="1">
      <formula>AND(IF($Q7=3,1,0),IF($X7&lt;30,1,0))</formula>
    </cfRule>
    <cfRule type="expression" priority="1782" dxfId="0">
      <formula>AND(IF($Q7=3,1,IF($Q7=4,1,0)),IF($F7&lt;=85,1,0))</formula>
    </cfRule>
  </conditionalFormatting>
  <conditionalFormatting sqref="AV8">
    <cfRule type="expression" priority="1777" dxfId="17">
      <formula>AV8="X"</formula>
    </cfRule>
    <cfRule type="expression" priority="1778" dxfId="16">
      <formula>AV8="후보"</formula>
    </cfRule>
  </conditionalFormatting>
  <conditionalFormatting sqref="AC8">
    <cfRule type="cellIs" priority="1774" operator="greaterThan" dxfId="13">
      <formula>0.9</formula>
    </cfRule>
    <cfRule type="cellIs" priority="1775" operator="greaterThan" dxfId="12">
      <formula>0.85</formula>
    </cfRule>
  </conditionalFormatting>
  <conditionalFormatting sqref="N8">
    <cfRule type="cellIs" priority="1772" operator="greaterThan" dxfId="13">
      <formula>0.9</formula>
    </cfRule>
    <cfRule type="cellIs" priority="1773" operator="greaterThan" dxfId="12">
      <formula>0.85</formula>
    </cfRule>
  </conditionalFormatting>
  <conditionalFormatting sqref="E8">
    <cfRule type="expression" priority="1768" dxfId="3">
      <formula>AND(IF(OR($Q8=1,$Q8=2),1,0),IF($X8&lt;=20,1,0))</formula>
    </cfRule>
    <cfRule type="expression" priority="1769" dxfId="2">
      <formula>AND(IF($Q8=2,1,0),IF($X8&lt;30,1,0))</formula>
    </cfRule>
    <cfRule type="expression" priority="1770" dxfId="1">
      <formula>AND(IF($Q8=3,1,0),IF($X8&lt;30,1,0))</formula>
    </cfRule>
    <cfRule type="expression" priority="1771" dxfId="0">
      <formula>AND(IF($Q8=3,1,IF($Q8=4,1,0)),IF($F8&lt;=85,1,0))</formula>
    </cfRule>
  </conditionalFormatting>
  <conditionalFormatting sqref="X8">
    <cfRule type="expression" priority="1764" dxfId="3">
      <formula>AND(IF(OR($Q8=1,$Q8=2),1,0),IF($X8&lt;=20,1,0))</formula>
    </cfRule>
    <cfRule type="expression" priority="1765" dxfId="2">
      <formula>AND(IF($Q8=2,1,0),IF($X8&lt;30,1,0))</formula>
    </cfRule>
    <cfRule type="expression" priority="1766" dxfId="1">
      <formula>AND(IF($Q8=3,1,0),IF($X8&lt;30,1,0))</formula>
    </cfRule>
    <cfRule type="expression" priority="1767" dxfId="0">
      <formula>AND(IF($Q8=3,1,IF($Q8=4,1,0)),IF($F8&lt;=85,1,0))</formula>
    </cfRule>
  </conditionalFormatting>
  <conditionalFormatting sqref="AI8">
    <cfRule type="expression" priority="1760" dxfId="3">
      <formula>AND(IF(OR($Q8=1,$Q8=2),1,0),IF($X8&lt;=20,1,0))</formula>
    </cfRule>
    <cfRule type="expression" priority="1761" dxfId="2">
      <formula>AND(IF($Q8=2,1,0),IF($X8&lt;30,1,0))</formula>
    </cfRule>
    <cfRule type="expression" priority="1762" dxfId="1">
      <formula>AND(IF($Q8=3,1,0),IF($X8&lt;30,1,0))</formula>
    </cfRule>
    <cfRule type="expression" priority="1763" dxfId="0">
      <formula>AND(IF($Q8=3,1,IF($Q8=4,1,0)),IF($F8&lt;=85,1,0))</formula>
    </cfRule>
  </conditionalFormatting>
  <conditionalFormatting sqref="AV9">
    <cfRule type="expression" priority="1758" dxfId="17">
      <formula>AV9="X"</formula>
    </cfRule>
    <cfRule type="expression" priority="1759" dxfId="16">
      <formula>AV9="후보"</formula>
    </cfRule>
  </conditionalFormatting>
  <conditionalFormatting sqref="AC9">
    <cfRule type="cellIs" priority="1755" operator="greaterThan" dxfId="13">
      <formula>0.9</formula>
    </cfRule>
    <cfRule type="cellIs" priority="1756" operator="greaterThan" dxfId="12">
      <formula>0.85</formula>
    </cfRule>
  </conditionalFormatting>
  <conditionalFormatting sqref="N9">
    <cfRule type="cellIs" priority="1753" operator="greaterThan" dxfId="13">
      <formula>0.9</formula>
    </cfRule>
    <cfRule type="cellIs" priority="1754" operator="greaterThan" dxfId="12">
      <formula>0.85</formula>
    </cfRule>
  </conditionalFormatting>
  <conditionalFormatting sqref="E9">
    <cfRule type="expression" priority="1749" dxfId="3">
      <formula>AND(IF(OR($Q9=1,$Q9=2),1,0),IF($X9&lt;=20,1,0))</formula>
    </cfRule>
    <cfRule type="expression" priority="1750" dxfId="2">
      <formula>AND(IF($Q9=2,1,0),IF($X9&lt;30,1,0))</formula>
    </cfRule>
    <cfRule type="expression" priority="1751" dxfId="1">
      <formula>AND(IF($Q9=3,1,0),IF($X9&lt;30,1,0))</formula>
    </cfRule>
    <cfRule type="expression" priority="1752" dxfId="0">
      <formula>AND(IF($Q9=3,1,IF($Q9=4,1,0)),IF($F9&lt;=85,1,0))</formula>
    </cfRule>
  </conditionalFormatting>
  <conditionalFormatting sqref="X9">
    <cfRule type="expression" priority="1745" dxfId="3">
      <formula>AND(IF(OR($Q9=1,$Q9=2),1,0),IF($X9&lt;=20,1,0))</formula>
    </cfRule>
    <cfRule type="expression" priority="1746" dxfId="2">
      <formula>AND(IF($Q9=2,1,0),IF($X9&lt;30,1,0))</formula>
    </cfRule>
    <cfRule type="expression" priority="1747" dxfId="1">
      <formula>AND(IF($Q9=3,1,0),IF($X9&lt;30,1,0))</formula>
    </cfRule>
    <cfRule type="expression" priority="1748" dxfId="0">
      <formula>AND(IF($Q9=3,1,IF($Q9=4,1,0)),IF($F9&lt;=85,1,0))</formula>
    </cfRule>
  </conditionalFormatting>
  <conditionalFormatting sqref="AI9">
    <cfRule type="expression" priority="1741" dxfId="3">
      <formula>AND(IF(OR($Q9=1,$Q9=2),1,0),IF($X9&lt;=20,1,0))</formula>
    </cfRule>
    <cfRule type="expression" priority="1742" dxfId="2">
      <formula>AND(IF($Q9=2,1,0),IF($X9&lt;30,1,0))</formula>
    </cfRule>
    <cfRule type="expression" priority="1743" dxfId="1">
      <formula>AND(IF($Q9=3,1,0),IF($X9&lt;30,1,0))</formula>
    </cfRule>
    <cfRule type="expression" priority="1744" dxfId="0">
      <formula>AND(IF($Q9=3,1,IF($Q9=4,1,0)),IF($F9&lt;=85,1,0))</formula>
    </cfRule>
  </conditionalFormatting>
  <conditionalFormatting sqref="AV10">
    <cfRule type="expression" priority="1739" dxfId="17">
      <formula>AV10="X"</formula>
    </cfRule>
    <cfRule type="expression" priority="1740" dxfId="16">
      <formula>AV10="후보"</formula>
    </cfRule>
  </conditionalFormatting>
  <conditionalFormatting sqref="AC10">
    <cfRule type="cellIs" priority="1736" operator="greaterThan" dxfId="13">
      <formula>0.9</formula>
    </cfRule>
    <cfRule type="cellIs" priority="1737" operator="greaterThan" dxfId="12">
      <formula>0.85</formula>
    </cfRule>
  </conditionalFormatting>
  <conditionalFormatting sqref="N10">
    <cfRule type="cellIs" priority="1734" operator="greaterThan" dxfId="13">
      <formula>0.9</formula>
    </cfRule>
    <cfRule type="cellIs" priority="1735" operator="greaterThan" dxfId="12">
      <formula>0.85</formula>
    </cfRule>
  </conditionalFormatting>
  <conditionalFormatting sqref="E10">
    <cfRule type="expression" priority="1730" dxfId="3">
      <formula>AND(IF(OR($Q10=1,$Q10=2),1,0),IF($X10&lt;=20,1,0))</formula>
    </cfRule>
    <cfRule type="expression" priority="1731" dxfId="2">
      <formula>AND(IF($Q10=2,1,0),IF($X10&lt;30,1,0))</formula>
    </cfRule>
    <cfRule type="expression" priority="1732" dxfId="1">
      <formula>AND(IF($Q10=3,1,0),IF($X10&lt;30,1,0))</formula>
    </cfRule>
    <cfRule type="expression" priority="1733" dxfId="0">
      <formula>AND(IF($Q10=3,1,IF($Q10=4,1,0)),IF($F10&lt;=85,1,0))</formula>
    </cfRule>
  </conditionalFormatting>
  <conditionalFormatting sqref="X10">
    <cfRule type="expression" priority="1726" dxfId="3">
      <formula>AND(IF(OR($Q10=1,$Q10=2),1,0),IF($X10&lt;=20,1,0))</formula>
    </cfRule>
    <cfRule type="expression" priority="1727" dxfId="2">
      <formula>AND(IF($Q10=2,1,0),IF($X10&lt;30,1,0))</formula>
    </cfRule>
    <cfRule type="expression" priority="1728" dxfId="1">
      <formula>AND(IF($Q10=3,1,0),IF($X10&lt;30,1,0))</formula>
    </cfRule>
    <cfRule type="expression" priority="1729" dxfId="0">
      <formula>AND(IF($Q10=3,1,IF($Q10=4,1,0)),IF($F10&lt;=85,1,0))</formula>
    </cfRule>
  </conditionalFormatting>
  <conditionalFormatting sqref="AI10">
    <cfRule type="expression" priority="1722" dxfId="3">
      <formula>AND(IF(OR($Q10=1,$Q10=2),1,0),IF($X10&lt;=20,1,0))</formula>
    </cfRule>
    <cfRule type="expression" priority="1723" dxfId="2">
      <formula>AND(IF($Q10=2,1,0),IF($X10&lt;30,1,0))</formula>
    </cfRule>
    <cfRule type="expression" priority="1724" dxfId="1">
      <formula>AND(IF($Q10=3,1,0),IF($X10&lt;30,1,0))</formula>
    </cfRule>
    <cfRule type="expression" priority="1725" dxfId="0">
      <formula>AND(IF($Q10=3,1,IF($Q10=4,1,0)),IF($F10&lt;=85,1,0))</formula>
    </cfRule>
  </conditionalFormatting>
  <conditionalFormatting sqref="AV11">
    <cfRule type="expression" priority="1720" dxfId="17">
      <formula>AV11="X"</formula>
    </cfRule>
    <cfRule type="expression" priority="1721" dxfId="16">
      <formula>AV11="후보"</formula>
    </cfRule>
  </conditionalFormatting>
  <conditionalFormatting sqref="AC11">
    <cfRule type="cellIs" priority="1717" operator="greaterThan" dxfId="13">
      <formula>0.9</formula>
    </cfRule>
    <cfRule type="cellIs" priority="1718" operator="greaterThan" dxfId="12">
      <formula>0.85</formula>
    </cfRule>
  </conditionalFormatting>
  <conditionalFormatting sqref="N11">
    <cfRule type="cellIs" priority="1715" operator="greaterThan" dxfId="13">
      <formula>0.9</formula>
    </cfRule>
    <cfRule type="cellIs" priority="1716" operator="greaterThan" dxfId="12">
      <formula>0.85</formula>
    </cfRule>
  </conditionalFormatting>
  <conditionalFormatting sqref="E11">
    <cfRule type="expression" priority="1711" dxfId="3">
      <formula>AND(IF(OR($Q11=1,$Q11=2),1,0),IF($X11&lt;=20,1,0))</formula>
    </cfRule>
    <cfRule type="expression" priority="1712" dxfId="2">
      <formula>AND(IF($Q11=2,1,0),IF($X11&lt;30,1,0))</formula>
    </cfRule>
    <cfRule type="expression" priority="1713" dxfId="1">
      <formula>AND(IF($Q11=3,1,0),IF($X11&lt;30,1,0))</formula>
    </cfRule>
    <cfRule type="expression" priority="1714" dxfId="0">
      <formula>AND(IF($Q11=3,1,IF($Q11=4,1,0)),IF($F11&lt;=85,1,0))</formula>
    </cfRule>
  </conditionalFormatting>
  <conditionalFormatting sqref="X11">
    <cfRule type="expression" priority="1707" dxfId="3">
      <formula>AND(IF(OR($Q11=1,$Q11=2),1,0),IF($X11&lt;=20,1,0))</formula>
    </cfRule>
    <cfRule type="expression" priority="1708" dxfId="2">
      <formula>AND(IF($Q11=2,1,0),IF($X11&lt;30,1,0))</formula>
    </cfRule>
    <cfRule type="expression" priority="1709" dxfId="1">
      <formula>AND(IF($Q11=3,1,0),IF($X11&lt;30,1,0))</formula>
    </cfRule>
    <cfRule type="expression" priority="1710" dxfId="0">
      <formula>AND(IF($Q11=3,1,IF($Q11=4,1,0)),IF($F11&lt;=85,1,0))</formula>
    </cfRule>
  </conditionalFormatting>
  <conditionalFormatting sqref="AI11">
    <cfRule type="expression" priority="1703" dxfId="3">
      <formula>AND(IF(OR($Q11=1,$Q11=2),1,0),IF($X11&lt;=20,1,0))</formula>
    </cfRule>
    <cfRule type="expression" priority="1704" dxfId="2">
      <formula>AND(IF($Q11=2,1,0),IF($X11&lt;30,1,0))</formula>
    </cfRule>
    <cfRule type="expression" priority="1705" dxfId="1">
      <formula>AND(IF($Q11=3,1,0),IF($X11&lt;30,1,0))</formula>
    </cfRule>
    <cfRule type="expression" priority="1706" dxfId="0">
      <formula>AND(IF($Q11=3,1,IF($Q11=4,1,0)),IF($F11&lt;=85,1,0))</formula>
    </cfRule>
  </conditionalFormatting>
  <conditionalFormatting sqref="AV12">
    <cfRule type="expression" priority="1701" dxfId="17">
      <formula>AV12="X"</formula>
    </cfRule>
    <cfRule type="expression" priority="1702" dxfId="16">
      <formula>AV12="후보"</formula>
    </cfRule>
  </conditionalFormatting>
  <conditionalFormatting sqref="AC12">
    <cfRule type="cellIs" priority="1698" operator="greaterThan" dxfId="13">
      <formula>0.9</formula>
    </cfRule>
    <cfRule type="cellIs" priority="1699" operator="greaterThan" dxfId="12">
      <formula>0.85</formula>
    </cfRule>
  </conditionalFormatting>
  <conditionalFormatting sqref="N12">
    <cfRule type="cellIs" priority="1696" operator="greaterThan" dxfId="13">
      <formula>0.9</formula>
    </cfRule>
    <cfRule type="cellIs" priority="1697" operator="greaterThan" dxfId="12">
      <formula>0.85</formula>
    </cfRule>
  </conditionalFormatting>
  <conditionalFormatting sqref="E12">
    <cfRule type="expression" priority="1692" dxfId="3">
      <formula>AND(IF(OR($Q12=1,$Q12=2),1,0),IF($X12&lt;=20,1,0))</formula>
    </cfRule>
    <cfRule type="expression" priority="1693" dxfId="2">
      <formula>AND(IF($Q12=2,1,0),IF($X12&lt;30,1,0))</formula>
    </cfRule>
    <cfRule type="expression" priority="1694" dxfId="1">
      <formula>AND(IF($Q12=3,1,0),IF($X12&lt;30,1,0))</formula>
    </cfRule>
    <cfRule type="expression" priority="1695" dxfId="0">
      <formula>AND(IF($Q12=3,1,IF($Q12=4,1,0)),IF($F12&lt;=85,1,0))</formula>
    </cfRule>
  </conditionalFormatting>
  <conditionalFormatting sqref="X12">
    <cfRule type="expression" priority="1688" dxfId="3">
      <formula>AND(IF(OR($Q12=1,$Q12=2),1,0),IF($X12&lt;=20,1,0))</formula>
    </cfRule>
    <cfRule type="expression" priority="1689" dxfId="2">
      <formula>AND(IF($Q12=2,1,0),IF($X12&lt;30,1,0))</formula>
    </cfRule>
    <cfRule type="expression" priority="1690" dxfId="1">
      <formula>AND(IF($Q12=3,1,0),IF($X12&lt;30,1,0))</formula>
    </cfRule>
    <cfRule type="expression" priority="1691" dxfId="0">
      <formula>AND(IF($Q12=3,1,IF($Q12=4,1,0)),IF($F12&lt;=85,1,0))</formula>
    </cfRule>
  </conditionalFormatting>
  <conditionalFormatting sqref="AI12">
    <cfRule type="expression" priority="1684" dxfId="3">
      <formula>AND(IF(OR($Q12=1,$Q12=2),1,0),IF($X12&lt;=20,1,0))</formula>
    </cfRule>
    <cfRule type="expression" priority="1685" dxfId="2">
      <formula>AND(IF($Q12=2,1,0),IF($X12&lt;30,1,0))</formula>
    </cfRule>
    <cfRule type="expression" priority="1686" dxfId="1">
      <formula>AND(IF($Q12=3,1,0),IF($X12&lt;30,1,0))</formula>
    </cfRule>
    <cfRule type="expression" priority="1687" dxfId="0">
      <formula>AND(IF($Q12=3,1,IF($Q12=4,1,0)),IF($F12&lt;=85,1,0))</formula>
    </cfRule>
  </conditionalFormatting>
  <conditionalFormatting sqref="AV13">
    <cfRule type="expression" priority="1682" dxfId="17">
      <formula>AV13="X"</formula>
    </cfRule>
    <cfRule type="expression" priority="1683" dxfId="16">
      <formula>AV13="후보"</formula>
    </cfRule>
  </conditionalFormatting>
  <conditionalFormatting sqref="AC13">
    <cfRule type="cellIs" priority="1679" operator="greaterThan" dxfId="13">
      <formula>0.9</formula>
    </cfRule>
    <cfRule type="cellIs" priority="1680" operator="greaterThan" dxfId="12">
      <formula>0.85</formula>
    </cfRule>
  </conditionalFormatting>
  <conditionalFormatting sqref="N13">
    <cfRule type="cellIs" priority="1677" operator="greaterThan" dxfId="13">
      <formula>0.9</formula>
    </cfRule>
    <cfRule type="cellIs" priority="1678" operator="greaterThan" dxfId="12">
      <formula>0.85</formula>
    </cfRule>
  </conditionalFormatting>
  <conditionalFormatting sqref="E13">
    <cfRule type="expression" priority="1673" dxfId="3">
      <formula>AND(IF(OR($Q13=1,$Q13=2),1,0),IF($X13&lt;=20,1,0))</formula>
    </cfRule>
    <cfRule type="expression" priority="1674" dxfId="2">
      <formula>AND(IF($Q13=2,1,0),IF($X13&lt;30,1,0))</formula>
    </cfRule>
    <cfRule type="expression" priority="1675" dxfId="1">
      <formula>AND(IF($Q13=3,1,0),IF($X13&lt;30,1,0))</formula>
    </cfRule>
    <cfRule type="expression" priority="1676" dxfId="0">
      <formula>AND(IF($Q13=3,1,IF($Q13=4,1,0)),IF($F13&lt;=85,1,0))</formula>
    </cfRule>
  </conditionalFormatting>
  <conditionalFormatting sqref="X13">
    <cfRule type="expression" priority="1669" dxfId="3">
      <formula>AND(IF(OR($Q13=1,$Q13=2),1,0),IF($X13&lt;=20,1,0))</formula>
    </cfRule>
    <cfRule type="expression" priority="1670" dxfId="2">
      <formula>AND(IF($Q13=2,1,0),IF($X13&lt;30,1,0))</formula>
    </cfRule>
    <cfRule type="expression" priority="1671" dxfId="1">
      <formula>AND(IF($Q13=3,1,0),IF($X13&lt;30,1,0))</formula>
    </cfRule>
    <cfRule type="expression" priority="1672" dxfId="0">
      <formula>AND(IF($Q13=3,1,IF($Q13=4,1,0)),IF($F13&lt;=85,1,0))</formula>
    </cfRule>
  </conditionalFormatting>
  <conditionalFormatting sqref="AI13">
    <cfRule type="expression" priority="1665" dxfId="3">
      <formula>AND(IF(OR($Q13=1,$Q13=2),1,0),IF($X13&lt;=20,1,0))</formula>
    </cfRule>
    <cfRule type="expression" priority="1666" dxfId="2">
      <formula>AND(IF($Q13=2,1,0),IF($X13&lt;30,1,0))</formula>
    </cfRule>
    <cfRule type="expression" priority="1667" dxfId="1">
      <formula>AND(IF($Q13=3,1,0),IF($X13&lt;30,1,0))</formula>
    </cfRule>
    <cfRule type="expression" priority="1668" dxfId="0">
      <formula>AND(IF($Q13=3,1,IF($Q13=4,1,0)),IF($F13&lt;=85,1,0))</formula>
    </cfRule>
  </conditionalFormatting>
  <conditionalFormatting sqref="AV14">
    <cfRule type="expression" priority="1663" dxfId="17">
      <formula>AV14="X"</formula>
    </cfRule>
    <cfRule type="expression" priority="1664" dxfId="16">
      <formula>AV14="후보"</formula>
    </cfRule>
  </conditionalFormatting>
  <conditionalFormatting sqref="AC14">
    <cfRule type="cellIs" priority="1660" operator="greaterThan" dxfId="13">
      <formula>0.9</formula>
    </cfRule>
    <cfRule type="cellIs" priority="1661" operator="greaterThan" dxfId="12">
      <formula>0.85</formula>
    </cfRule>
  </conditionalFormatting>
  <conditionalFormatting sqref="N14">
    <cfRule type="cellIs" priority="1658" operator="greaterThan" dxfId="13">
      <formula>0.9</formula>
    </cfRule>
    <cfRule type="cellIs" priority="1659" operator="greaterThan" dxfId="12">
      <formula>0.85</formula>
    </cfRule>
  </conditionalFormatting>
  <conditionalFormatting sqref="E14">
    <cfRule type="expression" priority="1654" dxfId="3">
      <formula>AND(IF(OR($Q14=1,$Q14=2),1,0),IF($X14&lt;=20,1,0))</formula>
    </cfRule>
    <cfRule type="expression" priority="1655" dxfId="2">
      <formula>AND(IF($Q14=2,1,0),IF($X14&lt;30,1,0))</formula>
    </cfRule>
    <cfRule type="expression" priority="1656" dxfId="1">
      <formula>AND(IF($Q14=3,1,0),IF($X14&lt;30,1,0))</formula>
    </cfRule>
    <cfRule type="expression" priority="1657" dxfId="0">
      <formula>AND(IF($Q14=3,1,IF($Q14=4,1,0)),IF($F14&lt;=85,1,0))</formula>
    </cfRule>
  </conditionalFormatting>
  <conditionalFormatting sqref="X14">
    <cfRule type="expression" priority="1650" dxfId="3">
      <formula>AND(IF(OR($Q14=1,$Q14=2),1,0),IF($X14&lt;=20,1,0))</formula>
    </cfRule>
    <cfRule type="expression" priority="1651" dxfId="2">
      <formula>AND(IF($Q14=2,1,0),IF($X14&lt;30,1,0))</formula>
    </cfRule>
    <cfRule type="expression" priority="1652" dxfId="1">
      <formula>AND(IF($Q14=3,1,0),IF($X14&lt;30,1,0))</formula>
    </cfRule>
    <cfRule type="expression" priority="1653" dxfId="0">
      <formula>AND(IF($Q14=3,1,IF($Q14=4,1,0)),IF($F14&lt;=85,1,0))</formula>
    </cfRule>
  </conditionalFormatting>
  <conditionalFormatting sqref="AI14">
    <cfRule type="expression" priority="1646" dxfId="3">
      <formula>AND(IF(OR($Q14=1,$Q14=2),1,0),IF($X14&lt;=20,1,0))</formula>
    </cfRule>
    <cfRule type="expression" priority="1647" dxfId="2">
      <formula>AND(IF($Q14=2,1,0),IF($X14&lt;30,1,0))</formula>
    </cfRule>
    <cfRule type="expression" priority="1648" dxfId="1">
      <formula>AND(IF($Q14=3,1,0),IF($X14&lt;30,1,0))</formula>
    </cfRule>
    <cfRule type="expression" priority="1649" dxfId="0">
      <formula>AND(IF($Q14=3,1,IF($Q14=4,1,0)),IF($F14&lt;=85,1,0))</formula>
    </cfRule>
  </conditionalFormatting>
  <conditionalFormatting sqref="AV15">
    <cfRule type="expression" priority="1644" dxfId="17">
      <formula>AV15="X"</formula>
    </cfRule>
    <cfRule type="expression" priority="1645" dxfId="16">
      <formula>AV15="후보"</formula>
    </cfRule>
  </conditionalFormatting>
  <conditionalFormatting sqref="AC15">
    <cfRule type="cellIs" priority="1641" operator="greaterThan" dxfId="13">
      <formula>0.9</formula>
    </cfRule>
    <cfRule type="cellIs" priority="1642" operator="greaterThan" dxfId="12">
      <formula>0.85</formula>
    </cfRule>
  </conditionalFormatting>
  <conditionalFormatting sqref="N15">
    <cfRule type="cellIs" priority="1639" operator="greaterThan" dxfId="13">
      <formula>0.9</formula>
    </cfRule>
    <cfRule type="cellIs" priority="1640" operator="greaterThan" dxfId="12">
      <formula>0.85</formula>
    </cfRule>
  </conditionalFormatting>
  <conditionalFormatting sqref="E15">
    <cfRule type="expression" priority="1635" dxfId="3">
      <formula>AND(IF(OR($Q15=1,$Q15=2),1,0),IF($X15&lt;=20,1,0))</formula>
    </cfRule>
    <cfRule type="expression" priority="1636" dxfId="2">
      <formula>AND(IF($Q15=2,1,0),IF($X15&lt;30,1,0))</formula>
    </cfRule>
    <cfRule type="expression" priority="1637" dxfId="1">
      <formula>AND(IF($Q15=3,1,0),IF($X15&lt;30,1,0))</formula>
    </cfRule>
    <cfRule type="expression" priority="1638" dxfId="0">
      <formula>AND(IF($Q15=3,1,IF($Q15=4,1,0)),IF($F15&lt;=85,1,0))</formula>
    </cfRule>
  </conditionalFormatting>
  <conditionalFormatting sqref="X15">
    <cfRule type="expression" priority="1631" dxfId="3">
      <formula>AND(IF(OR($Q15=1,$Q15=2),1,0),IF($X15&lt;=20,1,0))</formula>
    </cfRule>
    <cfRule type="expression" priority="1632" dxfId="2">
      <formula>AND(IF($Q15=2,1,0),IF($X15&lt;30,1,0))</formula>
    </cfRule>
    <cfRule type="expression" priority="1633" dxfId="1">
      <formula>AND(IF($Q15=3,1,0),IF($X15&lt;30,1,0))</formula>
    </cfRule>
    <cfRule type="expression" priority="1634" dxfId="0">
      <formula>AND(IF($Q15=3,1,IF($Q15=4,1,0)),IF($F15&lt;=85,1,0))</formula>
    </cfRule>
  </conditionalFormatting>
  <conditionalFormatting sqref="AI15">
    <cfRule type="expression" priority="1627" dxfId="3">
      <formula>AND(IF(OR($Q15=1,$Q15=2),1,0),IF($X15&lt;=20,1,0))</formula>
    </cfRule>
    <cfRule type="expression" priority="1628" dxfId="2">
      <formula>AND(IF($Q15=2,1,0),IF($X15&lt;30,1,0))</formula>
    </cfRule>
    <cfRule type="expression" priority="1629" dxfId="1">
      <formula>AND(IF($Q15=3,1,0),IF($X15&lt;30,1,0))</formula>
    </cfRule>
    <cfRule type="expression" priority="1630" dxfId="0">
      <formula>AND(IF($Q15=3,1,IF($Q15=4,1,0)),IF($F15&lt;=85,1,0))</formula>
    </cfRule>
  </conditionalFormatting>
  <conditionalFormatting sqref="AV16">
    <cfRule type="expression" priority="1625" dxfId="17">
      <formula>AV16="X"</formula>
    </cfRule>
    <cfRule type="expression" priority="1626" dxfId="16">
      <formula>AV16="후보"</formula>
    </cfRule>
  </conditionalFormatting>
  <conditionalFormatting sqref="AC16">
    <cfRule type="cellIs" priority="1622" operator="greaterThan" dxfId="13">
      <formula>0.9</formula>
    </cfRule>
    <cfRule type="cellIs" priority="1623" operator="greaterThan" dxfId="12">
      <formula>0.85</formula>
    </cfRule>
  </conditionalFormatting>
  <conditionalFormatting sqref="N16">
    <cfRule type="cellIs" priority="1620" operator="greaterThan" dxfId="13">
      <formula>0.9</formula>
    </cfRule>
    <cfRule type="cellIs" priority="1621" operator="greaterThan" dxfId="12">
      <formula>0.85</formula>
    </cfRule>
  </conditionalFormatting>
  <conditionalFormatting sqref="E16">
    <cfRule type="expression" priority="1616" dxfId="3">
      <formula>AND(IF(OR($Q16=1,$Q16=2),1,0),IF($X16&lt;=20,1,0))</formula>
    </cfRule>
    <cfRule type="expression" priority="1617" dxfId="2">
      <formula>AND(IF($Q16=2,1,0),IF($X16&lt;30,1,0))</formula>
    </cfRule>
    <cfRule type="expression" priority="1618" dxfId="1">
      <formula>AND(IF($Q16=3,1,0),IF($X16&lt;30,1,0))</formula>
    </cfRule>
    <cfRule type="expression" priority="1619" dxfId="0">
      <formula>AND(IF($Q16=3,1,IF($Q16=4,1,0)),IF($F16&lt;=85,1,0))</formula>
    </cfRule>
  </conditionalFormatting>
  <conditionalFormatting sqref="X16">
    <cfRule type="expression" priority="1612" dxfId="3">
      <formula>AND(IF(OR($Q16=1,$Q16=2),1,0),IF($X16&lt;=20,1,0))</formula>
    </cfRule>
    <cfRule type="expression" priority="1613" dxfId="2">
      <formula>AND(IF($Q16=2,1,0),IF($X16&lt;30,1,0))</formula>
    </cfRule>
    <cfRule type="expression" priority="1614" dxfId="1">
      <formula>AND(IF($Q16=3,1,0),IF($X16&lt;30,1,0))</formula>
    </cfRule>
    <cfRule type="expression" priority="1615" dxfId="0">
      <formula>AND(IF($Q16=3,1,IF($Q16=4,1,0)),IF($F16&lt;=85,1,0))</formula>
    </cfRule>
  </conditionalFormatting>
  <conditionalFormatting sqref="AI16">
    <cfRule type="expression" priority="1608" dxfId="3">
      <formula>AND(IF(OR($Q16=1,$Q16=2),1,0),IF($X16&lt;=20,1,0))</formula>
    </cfRule>
    <cfRule type="expression" priority="1609" dxfId="2">
      <formula>AND(IF($Q16=2,1,0),IF($X16&lt;30,1,0))</formula>
    </cfRule>
    <cfRule type="expression" priority="1610" dxfId="1">
      <formula>AND(IF($Q16=3,1,0),IF($X16&lt;30,1,0))</formula>
    </cfRule>
    <cfRule type="expression" priority="1611" dxfId="0">
      <formula>AND(IF($Q16=3,1,IF($Q16=4,1,0)),IF($F16&lt;=85,1,0))</formula>
    </cfRule>
  </conditionalFormatting>
  <conditionalFormatting sqref="AV17">
    <cfRule type="expression" priority="1606" dxfId="17">
      <formula>AV17="X"</formula>
    </cfRule>
    <cfRule type="expression" priority="1607" dxfId="16">
      <formula>AV17="후보"</formula>
    </cfRule>
  </conditionalFormatting>
  <conditionalFormatting sqref="AC17">
    <cfRule type="cellIs" priority="1603" operator="greaterThan" dxfId="13">
      <formula>0.9</formula>
    </cfRule>
    <cfRule type="cellIs" priority="1604" operator="greaterThan" dxfId="12">
      <formula>0.85</formula>
    </cfRule>
  </conditionalFormatting>
  <conditionalFormatting sqref="N17">
    <cfRule type="cellIs" priority="1601" operator="greaterThan" dxfId="13">
      <formula>0.9</formula>
    </cfRule>
    <cfRule type="cellIs" priority="1602" operator="greaterThan" dxfId="12">
      <formula>0.85</formula>
    </cfRule>
  </conditionalFormatting>
  <conditionalFormatting sqref="E17">
    <cfRule type="expression" priority="1597" dxfId="3">
      <formula>AND(IF(OR($Q17=1,$Q17=2),1,0),IF($X17&lt;=20,1,0))</formula>
    </cfRule>
    <cfRule type="expression" priority="1598" dxfId="2">
      <formula>AND(IF($Q17=2,1,0),IF($X17&lt;30,1,0))</formula>
    </cfRule>
    <cfRule type="expression" priority="1599" dxfId="1">
      <formula>AND(IF($Q17=3,1,0),IF($X17&lt;30,1,0))</formula>
    </cfRule>
    <cfRule type="expression" priority="1600" dxfId="0">
      <formula>AND(IF($Q17=3,1,IF($Q17=4,1,0)),IF($F17&lt;=85,1,0))</formula>
    </cfRule>
  </conditionalFormatting>
  <conditionalFormatting sqref="X17">
    <cfRule type="expression" priority="1593" dxfId="3">
      <formula>AND(IF(OR($Q17=1,$Q17=2),1,0),IF($X17&lt;=20,1,0))</formula>
    </cfRule>
    <cfRule type="expression" priority="1594" dxfId="2">
      <formula>AND(IF($Q17=2,1,0),IF($X17&lt;30,1,0))</formula>
    </cfRule>
    <cfRule type="expression" priority="1595" dxfId="1">
      <formula>AND(IF($Q17=3,1,0),IF($X17&lt;30,1,0))</formula>
    </cfRule>
    <cfRule type="expression" priority="1596" dxfId="0">
      <formula>AND(IF($Q17=3,1,IF($Q17=4,1,0)),IF($F17&lt;=85,1,0))</formula>
    </cfRule>
  </conditionalFormatting>
  <conditionalFormatting sqref="AI17">
    <cfRule type="expression" priority="1589" dxfId="3">
      <formula>AND(IF(OR($Q17=1,$Q17=2),1,0),IF($X17&lt;=20,1,0))</formula>
    </cfRule>
    <cfRule type="expression" priority="1590" dxfId="2">
      <formula>AND(IF($Q17=2,1,0),IF($X17&lt;30,1,0))</formula>
    </cfRule>
    <cfRule type="expression" priority="1591" dxfId="1">
      <formula>AND(IF($Q17=3,1,0),IF($X17&lt;30,1,0))</formula>
    </cfRule>
    <cfRule type="expression" priority="1592" dxfId="0">
      <formula>AND(IF($Q17=3,1,IF($Q17=4,1,0)),IF($F17&lt;=85,1,0))</formula>
    </cfRule>
  </conditionalFormatting>
  <conditionalFormatting sqref="AV18">
    <cfRule type="expression" priority="1587" dxfId="17">
      <formula>AV18="X"</formula>
    </cfRule>
    <cfRule type="expression" priority="1588" dxfId="16">
      <formula>AV18="후보"</formula>
    </cfRule>
  </conditionalFormatting>
  <conditionalFormatting sqref="AC18">
    <cfRule type="cellIs" priority="1584" operator="greaterThan" dxfId="13">
      <formula>0.9</formula>
    </cfRule>
    <cfRule type="cellIs" priority="1585" operator="greaterThan" dxfId="12">
      <formula>0.85</formula>
    </cfRule>
  </conditionalFormatting>
  <conditionalFormatting sqref="N18">
    <cfRule type="cellIs" priority="1582" operator="greaterThan" dxfId="13">
      <formula>0.9</formula>
    </cfRule>
    <cfRule type="cellIs" priority="1583" operator="greaterThan" dxfId="12">
      <formula>0.85</formula>
    </cfRule>
  </conditionalFormatting>
  <conditionalFormatting sqref="E18">
    <cfRule type="expression" priority="1578" dxfId="3">
      <formula>AND(IF(OR($Q18=1,$Q18=2),1,0),IF($X18&lt;=20,1,0))</formula>
    </cfRule>
    <cfRule type="expression" priority="1579" dxfId="2">
      <formula>AND(IF($Q18=2,1,0),IF($X18&lt;30,1,0))</formula>
    </cfRule>
    <cfRule type="expression" priority="1580" dxfId="1">
      <formula>AND(IF($Q18=3,1,0),IF($X18&lt;30,1,0))</formula>
    </cfRule>
    <cfRule type="expression" priority="1581" dxfId="0">
      <formula>AND(IF($Q18=3,1,IF($Q18=4,1,0)),IF($F18&lt;=85,1,0))</formula>
    </cfRule>
  </conditionalFormatting>
  <conditionalFormatting sqref="X18">
    <cfRule type="expression" priority="1574" dxfId="3">
      <formula>AND(IF(OR($Q18=1,$Q18=2),1,0),IF($X18&lt;=20,1,0))</formula>
    </cfRule>
    <cfRule type="expression" priority="1575" dxfId="2">
      <formula>AND(IF($Q18=2,1,0),IF($X18&lt;30,1,0))</formula>
    </cfRule>
    <cfRule type="expression" priority="1576" dxfId="1">
      <formula>AND(IF($Q18=3,1,0),IF($X18&lt;30,1,0))</formula>
    </cfRule>
    <cfRule type="expression" priority="1577" dxfId="0">
      <formula>AND(IF($Q18=3,1,IF($Q18=4,1,0)),IF($F18&lt;=85,1,0))</formula>
    </cfRule>
  </conditionalFormatting>
  <conditionalFormatting sqref="AI18">
    <cfRule type="expression" priority="1570" dxfId="3">
      <formula>AND(IF(OR($Q18=1,$Q18=2),1,0),IF($X18&lt;=20,1,0))</formula>
    </cfRule>
    <cfRule type="expression" priority="1571" dxfId="2">
      <formula>AND(IF($Q18=2,1,0),IF($X18&lt;30,1,0))</formula>
    </cfRule>
    <cfRule type="expression" priority="1572" dxfId="1">
      <formula>AND(IF($Q18=3,1,0),IF($X18&lt;30,1,0))</formula>
    </cfRule>
    <cfRule type="expression" priority="1573" dxfId="0">
      <formula>AND(IF($Q18=3,1,IF($Q18=4,1,0)),IF($F18&lt;=85,1,0))</formula>
    </cfRule>
  </conditionalFormatting>
  <conditionalFormatting sqref="AV19">
    <cfRule type="expression" priority="1568" dxfId="17">
      <formula>AV19="X"</formula>
    </cfRule>
    <cfRule type="expression" priority="1569" dxfId="16">
      <formula>AV19="후보"</formula>
    </cfRule>
  </conditionalFormatting>
  <conditionalFormatting sqref="AC19">
    <cfRule type="cellIs" priority="1565" operator="greaterThan" dxfId="13">
      <formula>0.9</formula>
    </cfRule>
    <cfRule type="cellIs" priority="1566" operator="greaterThan" dxfId="12">
      <formula>0.85</formula>
    </cfRule>
  </conditionalFormatting>
  <conditionalFormatting sqref="N19">
    <cfRule type="cellIs" priority="1563" operator="greaterThan" dxfId="13">
      <formula>0.9</formula>
    </cfRule>
    <cfRule type="cellIs" priority="1564" operator="greaterThan" dxfId="12">
      <formula>0.85</formula>
    </cfRule>
  </conditionalFormatting>
  <conditionalFormatting sqref="E19">
    <cfRule type="expression" priority="1559" dxfId="3">
      <formula>AND(IF(OR($Q19=1,$Q19=2),1,0),IF($X19&lt;=20,1,0))</formula>
    </cfRule>
    <cfRule type="expression" priority="1560" dxfId="2">
      <formula>AND(IF($Q19=2,1,0),IF($X19&lt;30,1,0))</formula>
    </cfRule>
    <cfRule type="expression" priority="1561" dxfId="1">
      <formula>AND(IF($Q19=3,1,0),IF($X19&lt;30,1,0))</formula>
    </cfRule>
    <cfRule type="expression" priority="1562" dxfId="0">
      <formula>AND(IF($Q19=3,1,IF($Q19=4,1,0)),IF($F19&lt;=85,1,0))</formula>
    </cfRule>
  </conditionalFormatting>
  <conditionalFormatting sqref="X19">
    <cfRule type="expression" priority="1555" dxfId="3">
      <formula>AND(IF(OR($Q19=1,$Q19=2),1,0),IF($X19&lt;=20,1,0))</formula>
    </cfRule>
    <cfRule type="expression" priority="1556" dxfId="2">
      <formula>AND(IF($Q19=2,1,0),IF($X19&lt;30,1,0))</formula>
    </cfRule>
    <cfRule type="expression" priority="1557" dxfId="1">
      <formula>AND(IF($Q19=3,1,0),IF($X19&lt;30,1,0))</formula>
    </cfRule>
    <cfRule type="expression" priority="1558" dxfId="0">
      <formula>AND(IF($Q19=3,1,IF($Q19=4,1,0)),IF($F19&lt;=85,1,0))</formula>
    </cfRule>
  </conditionalFormatting>
  <conditionalFormatting sqref="AI19">
    <cfRule type="expression" priority="1551" dxfId="3">
      <formula>AND(IF(OR($Q19=1,$Q19=2),1,0),IF($X19&lt;=20,1,0))</formula>
    </cfRule>
    <cfRule type="expression" priority="1552" dxfId="2">
      <formula>AND(IF($Q19=2,1,0),IF($X19&lt;30,1,0))</formula>
    </cfRule>
    <cfRule type="expression" priority="1553" dxfId="1">
      <formula>AND(IF($Q19=3,1,0),IF($X19&lt;30,1,0))</formula>
    </cfRule>
    <cfRule type="expression" priority="1554" dxfId="0">
      <formula>AND(IF($Q19=3,1,IF($Q19=4,1,0)),IF($F19&lt;=85,1,0))</formula>
    </cfRule>
  </conditionalFormatting>
  <conditionalFormatting sqref="AV20">
    <cfRule type="expression" priority="1549" dxfId="17">
      <formula>AV20="X"</formula>
    </cfRule>
    <cfRule type="expression" priority="1550" dxfId="16">
      <formula>AV20="후보"</formula>
    </cfRule>
  </conditionalFormatting>
  <conditionalFormatting sqref="AC20">
    <cfRule type="cellIs" priority="1546" operator="greaterThan" dxfId="13">
      <formula>0.9</formula>
    </cfRule>
    <cfRule type="cellIs" priority="1547" operator="greaterThan" dxfId="12">
      <formula>0.85</formula>
    </cfRule>
  </conditionalFormatting>
  <conditionalFormatting sqref="N20">
    <cfRule type="cellIs" priority="1544" operator="greaterThan" dxfId="13">
      <formula>0.9</formula>
    </cfRule>
    <cfRule type="cellIs" priority="1545" operator="greaterThan" dxfId="12">
      <formula>0.85</formula>
    </cfRule>
  </conditionalFormatting>
  <conditionalFormatting sqref="E20">
    <cfRule type="expression" priority="1540" dxfId="3">
      <formula>AND(IF(OR($Q20=1,$Q20=2),1,0),IF($X20&lt;=20,1,0))</formula>
    </cfRule>
    <cfRule type="expression" priority="1541" dxfId="2">
      <formula>AND(IF($Q20=2,1,0),IF($X20&lt;30,1,0))</formula>
    </cfRule>
    <cfRule type="expression" priority="1542" dxfId="1">
      <formula>AND(IF($Q20=3,1,0),IF($X20&lt;30,1,0))</formula>
    </cfRule>
    <cfRule type="expression" priority="1543" dxfId="0">
      <formula>AND(IF($Q20=3,1,IF($Q20=4,1,0)),IF($F20&lt;=85,1,0))</formula>
    </cfRule>
  </conditionalFormatting>
  <conditionalFormatting sqref="X20">
    <cfRule type="expression" priority="1536" dxfId="3">
      <formula>AND(IF(OR($Q20=1,$Q20=2),1,0),IF($X20&lt;=20,1,0))</formula>
    </cfRule>
    <cfRule type="expression" priority="1537" dxfId="2">
      <formula>AND(IF($Q20=2,1,0),IF($X20&lt;30,1,0))</formula>
    </cfRule>
    <cfRule type="expression" priority="1538" dxfId="1">
      <formula>AND(IF($Q20=3,1,0),IF($X20&lt;30,1,0))</formula>
    </cfRule>
    <cfRule type="expression" priority="1539" dxfId="0">
      <formula>AND(IF($Q20=3,1,IF($Q20=4,1,0)),IF($F20&lt;=85,1,0))</formula>
    </cfRule>
  </conditionalFormatting>
  <conditionalFormatting sqref="AI20">
    <cfRule type="expression" priority="1532" dxfId="3">
      <formula>AND(IF(OR($Q20=1,$Q20=2),1,0),IF($X20&lt;=20,1,0))</formula>
    </cfRule>
    <cfRule type="expression" priority="1533" dxfId="2">
      <formula>AND(IF($Q20=2,1,0),IF($X20&lt;30,1,0))</formula>
    </cfRule>
    <cfRule type="expression" priority="1534" dxfId="1">
      <formula>AND(IF($Q20=3,1,0),IF($X20&lt;30,1,0))</formula>
    </cfRule>
    <cfRule type="expression" priority="1535" dxfId="0">
      <formula>AND(IF($Q20=3,1,IF($Q20=4,1,0)),IF($F20&lt;=85,1,0))</formula>
    </cfRule>
  </conditionalFormatting>
  <conditionalFormatting sqref="AV21">
    <cfRule type="expression" priority="1530" dxfId="17">
      <formula>AV21="X"</formula>
    </cfRule>
    <cfRule type="expression" priority="1531" dxfId="16">
      <formula>AV21="후보"</formula>
    </cfRule>
  </conditionalFormatting>
  <conditionalFormatting sqref="AC21">
    <cfRule type="cellIs" priority="1527" operator="greaterThan" dxfId="13">
      <formula>0.9</formula>
    </cfRule>
    <cfRule type="cellIs" priority="1528" operator="greaterThan" dxfId="12">
      <formula>0.85</formula>
    </cfRule>
  </conditionalFormatting>
  <conditionalFormatting sqref="N21">
    <cfRule type="cellIs" priority="1525" operator="greaterThan" dxfId="13">
      <formula>0.9</formula>
    </cfRule>
    <cfRule type="cellIs" priority="1526" operator="greaterThan" dxfId="12">
      <formula>0.85</formula>
    </cfRule>
  </conditionalFormatting>
  <conditionalFormatting sqref="E21">
    <cfRule type="expression" priority="1521" dxfId="3">
      <formula>AND(IF(OR($Q21=1,$Q21=2),1,0),IF($X21&lt;=20,1,0))</formula>
    </cfRule>
    <cfRule type="expression" priority="1522" dxfId="2">
      <formula>AND(IF($Q21=2,1,0),IF($X21&lt;30,1,0))</formula>
    </cfRule>
    <cfRule type="expression" priority="1523" dxfId="1">
      <formula>AND(IF($Q21=3,1,0),IF($X21&lt;30,1,0))</formula>
    </cfRule>
    <cfRule type="expression" priority="1524" dxfId="0">
      <formula>AND(IF($Q21=3,1,IF($Q21=4,1,0)),IF($F21&lt;=85,1,0))</formula>
    </cfRule>
  </conditionalFormatting>
  <conditionalFormatting sqref="X21">
    <cfRule type="expression" priority="1517" dxfId="3">
      <formula>AND(IF(OR($Q21=1,$Q21=2),1,0),IF($X21&lt;=20,1,0))</formula>
    </cfRule>
    <cfRule type="expression" priority="1518" dxfId="2">
      <formula>AND(IF($Q21=2,1,0),IF($X21&lt;30,1,0))</formula>
    </cfRule>
    <cfRule type="expression" priority="1519" dxfId="1">
      <formula>AND(IF($Q21=3,1,0),IF($X21&lt;30,1,0))</formula>
    </cfRule>
    <cfRule type="expression" priority="1520" dxfId="0">
      <formula>AND(IF($Q21=3,1,IF($Q21=4,1,0)),IF($F21&lt;=85,1,0))</formula>
    </cfRule>
  </conditionalFormatting>
  <conditionalFormatting sqref="AI21">
    <cfRule type="expression" priority="1513" dxfId="3">
      <formula>AND(IF(OR($Q21=1,$Q21=2),1,0),IF($X21&lt;=20,1,0))</formula>
    </cfRule>
    <cfRule type="expression" priority="1514" dxfId="2">
      <formula>AND(IF($Q21=2,1,0),IF($X21&lt;30,1,0))</formula>
    </cfRule>
    <cfRule type="expression" priority="1515" dxfId="1">
      <formula>AND(IF($Q21=3,1,0),IF($X21&lt;30,1,0))</formula>
    </cfRule>
    <cfRule type="expression" priority="1516" dxfId="0">
      <formula>AND(IF($Q21=3,1,IF($Q21=4,1,0)),IF($F21&lt;=85,1,0))</formula>
    </cfRule>
  </conditionalFormatting>
  <conditionalFormatting sqref="AV22">
    <cfRule type="expression" priority="1511" dxfId="17">
      <formula>AV22="X"</formula>
    </cfRule>
    <cfRule type="expression" priority="1512" dxfId="16">
      <formula>AV22="후보"</formula>
    </cfRule>
  </conditionalFormatting>
  <conditionalFormatting sqref="AC22">
    <cfRule type="cellIs" priority="1508" operator="greaterThan" dxfId="13">
      <formula>0.9</formula>
    </cfRule>
    <cfRule type="cellIs" priority="1509" operator="greaterThan" dxfId="12">
      <formula>0.85</formula>
    </cfRule>
  </conditionalFormatting>
  <conditionalFormatting sqref="N22">
    <cfRule type="cellIs" priority="1506" operator="greaterThan" dxfId="13">
      <formula>0.9</formula>
    </cfRule>
    <cfRule type="cellIs" priority="1507" operator="greaterThan" dxfId="12">
      <formula>0.85</formula>
    </cfRule>
  </conditionalFormatting>
  <conditionalFormatting sqref="E22">
    <cfRule type="expression" priority="1502" dxfId="3">
      <formula>AND(IF(OR($Q22=1,$Q22=2),1,0),IF($X22&lt;=20,1,0))</formula>
    </cfRule>
    <cfRule type="expression" priority="1503" dxfId="2">
      <formula>AND(IF($Q22=2,1,0),IF($X22&lt;30,1,0))</formula>
    </cfRule>
    <cfRule type="expression" priority="1504" dxfId="1">
      <formula>AND(IF($Q22=3,1,0),IF($X22&lt;30,1,0))</formula>
    </cfRule>
    <cfRule type="expression" priority="1505" dxfId="0">
      <formula>AND(IF($Q22=3,1,IF($Q22=4,1,0)),IF($F22&lt;=85,1,0))</formula>
    </cfRule>
  </conditionalFormatting>
  <conditionalFormatting sqref="X22">
    <cfRule type="expression" priority="1498" dxfId="3">
      <formula>AND(IF(OR($Q22=1,$Q22=2),1,0),IF($X22&lt;=20,1,0))</formula>
    </cfRule>
    <cfRule type="expression" priority="1499" dxfId="2">
      <formula>AND(IF($Q22=2,1,0),IF($X22&lt;30,1,0))</formula>
    </cfRule>
    <cfRule type="expression" priority="1500" dxfId="1">
      <formula>AND(IF($Q22=3,1,0),IF($X22&lt;30,1,0))</formula>
    </cfRule>
    <cfRule type="expression" priority="1501" dxfId="0">
      <formula>AND(IF($Q22=3,1,IF($Q22=4,1,0)),IF($F22&lt;=85,1,0))</formula>
    </cfRule>
  </conditionalFormatting>
  <conditionalFormatting sqref="AI22">
    <cfRule type="expression" priority="1494" dxfId="3">
      <formula>AND(IF(OR($Q22=1,$Q22=2),1,0),IF($X22&lt;=20,1,0))</formula>
    </cfRule>
    <cfRule type="expression" priority="1495" dxfId="2">
      <formula>AND(IF($Q22=2,1,0),IF($X22&lt;30,1,0))</formula>
    </cfRule>
    <cfRule type="expression" priority="1496" dxfId="1">
      <formula>AND(IF($Q22=3,1,0),IF($X22&lt;30,1,0))</formula>
    </cfRule>
    <cfRule type="expression" priority="1497" dxfId="0">
      <formula>AND(IF($Q22=3,1,IF($Q22=4,1,0)),IF($F22&lt;=85,1,0))</formula>
    </cfRule>
  </conditionalFormatting>
  <conditionalFormatting sqref="AV23">
    <cfRule type="expression" priority="1492" dxfId="17">
      <formula>AV23="X"</formula>
    </cfRule>
    <cfRule type="expression" priority="1493" dxfId="16">
      <formula>AV23="후보"</formula>
    </cfRule>
  </conditionalFormatting>
  <conditionalFormatting sqref="AC23">
    <cfRule type="cellIs" priority="1489" operator="greaterThan" dxfId="13">
      <formula>0.9</formula>
    </cfRule>
    <cfRule type="cellIs" priority="1490" operator="greaterThan" dxfId="12">
      <formula>0.85</formula>
    </cfRule>
  </conditionalFormatting>
  <conditionalFormatting sqref="N23">
    <cfRule type="cellIs" priority="1487" operator="greaterThan" dxfId="13">
      <formula>0.9</formula>
    </cfRule>
    <cfRule type="cellIs" priority="1488" operator="greaterThan" dxfId="12">
      <formula>0.85</formula>
    </cfRule>
  </conditionalFormatting>
  <conditionalFormatting sqref="E23">
    <cfRule type="expression" priority="1483" dxfId="3">
      <formula>AND(IF(OR($Q23=1,$Q23=2),1,0),IF($X23&lt;=20,1,0))</formula>
    </cfRule>
    <cfRule type="expression" priority="1484" dxfId="2">
      <formula>AND(IF($Q23=2,1,0),IF($X23&lt;30,1,0))</formula>
    </cfRule>
    <cfRule type="expression" priority="1485" dxfId="1">
      <formula>AND(IF($Q23=3,1,0),IF($X23&lt;30,1,0))</formula>
    </cfRule>
    <cfRule type="expression" priority="1486" dxfId="0">
      <formula>AND(IF($Q23=3,1,IF($Q23=4,1,0)),IF($F23&lt;=85,1,0))</formula>
    </cfRule>
  </conditionalFormatting>
  <conditionalFormatting sqref="X23">
    <cfRule type="expression" priority="1479" dxfId="3">
      <formula>AND(IF(OR($Q23=1,$Q23=2),1,0),IF($X23&lt;=20,1,0))</formula>
    </cfRule>
    <cfRule type="expression" priority="1480" dxfId="2">
      <formula>AND(IF($Q23=2,1,0),IF($X23&lt;30,1,0))</formula>
    </cfRule>
    <cfRule type="expression" priority="1481" dxfId="1">
      <formula>AND(IF($Q23=3,1,0),IF($X23&lt;30,1,0))</formula>
    </cfRule>
    <cfRule type="expression" priority="1482" dxfId="0">
      <formula>AND(IF($Q23=3,1,IF($Q23=4,1,0)),IF($F23&lt;=85,1,0))</formula>
    </cfRule>
  </conditionalFormatting>
  <conditionalFormatting sqref="AI23">
    <cfRule type="expression" priority="1475" dxfId="3">
      <formula>AND(IF(OR($Q23=1,$Q23=2),1,0),IF($X23&lt;=20,1,0))</formula>
    </cfRule>
    <cfRule type="expression" priority="1476" dxfId="2">
      <formula>AND(IF($Q23=2,1,0),IF($X23&lt;30,1,0))</formula>
    </cfRule>
    <cfRule type="expression" priority="1477" dxfId="1">
      <formula>AND(IF($Q23=3,1,0),IF($X23&lt;30,1,0))</formula>
    </cfRule>
    <cfRule type="expression" priority="1478" dxfId="0">
      <formula>AND(IF($Q23=3,1,IF($Q23=4,1,0)),IF($F23&lt;=85,1,0))</formula>
    </cfRule>
  </conditionalFormatting>
  <conditionalFormatting sqref="AV24">
    <cfRule type="expression" priority="1473" dxfId="17">
      <formula>AV24="X"</formula>
    </cfRule>
    <cfRule type="expression" priority="1474" dxfId="16">
      <formula>AV24="후보"</formula>
    </cfRule>
  </conditionalFormatting>
  <conditionalFormatting sqref="AC24">
    <cfRule type="cellIs" priority="1470" operator="greaterThan" dxfId="13">
      <formula>0.9</formula>
    </cfRule>
    <cfRule type="cellIs" priority="1471" operator="greaterThan" dxfId="12">
      <formula>0.85</formula>
    </cfRule>
  </conditionalFormatting>
  <conditionalFormatting sqref="N24">
    <cfRule type="cellIs" priority="1468" operator="greaterThan" dxfId="13">
      <formula>0.9</formula>
    </cfRule>
    <cfRule type="cellIs" priority="1469" operator="greaterThan" dxfId="12">
      <formula>0.85</formula>
    </cfRule>
  </conditionalFormatting>
  <conditionalFormatting sqref="E24">
    <cfRule type="expression" priority="1464" dxfId="3">
      <formula>AND(IF(OR($Q24=1,$Q24=2),1,0),IF($X24&lt;=20,1,0))</formula>
    </cfRule>
    <cfRule type="expression" priority="1465" dxfId="2">
      <formula>AND(IF($Q24=2,1,0),IF($X24&lt;30,1,0))</formula>
    </cfRule>
    <cfRule type="expression" priority="1466" dxfId="1">
      <formula>AND(IF($Q24=3,1,0),IF($X24&lt;30,1,0))</formula>
    </cfRule>
    <cfRule type="expression" priority="1467" dxfId="0">
      <formula>AND(IF($Q24=3,1,IF($Q24=4,1,0)),IF($F24&lt;=85,1,0))</formula>
    </cfRule>
  </conditionalFormatting>
  <conditionalFormatting sqref="X24">
    <cfRule type="expression" priority="1460" dxfId="3">
      <formula>AND(IF(OR($Q24=1,$Q24=2),1,0),IF($X24&lt;=20,1,0))</formula>
    </cfRule>
    <cfRule type="expression" priority="1461" dxfId="2">
      <formula>AND(IF($Q24=2,1,0),IF($X24&lt;30,1,0))</formula>
    </cfRule>
    <cfRule type="expression" priority="1462" dxfId="1">
      <formula>AND(IF($Q24=3,1,0),IF($X24&lt;30,1,0))</formula>
    </cfRule>
    <cfRule type="expression" priority="1463" dxfId="0">
      <formula>AND(IF($Q24=3,1,IF($Q24=4,1,0)),IF($F24&lt;=85,1,0))</formula>
    </cfRule>
  </conditionalFormatting>
  <conditionalFormatting sqref="AI24">
    <cfRule type="expression" priority="1456" dxfId="3">
      <formula>AND(IF(OR($Q24=1,$Q24=2),1,0),IF($X24&lt;=20,1,0))</formula>
    </cfRule>
    <cfRule type="expression" priority="1457" dxfId="2">
      <formula>AND(IF($Q24=2,1,0),IF($X24&lt;30,1,0))</formula>
    </cfRule>
    <cfRule type="expression" priority="1458" dxfId="1">
      <formula>AND(IF($Q24=3,1,0),IF($X24&lt;30,1,0))</formula>
    </cfRule>
    <cfRule type="expression" priority="1459" dxfId="0">
      <formula>AND(IF($Q24=3,1,IF($Q24=4,1,0)),IF($F24&lt;=85,1,0))</formula>
    </cfRule>
  </conditionalFormatting>
  <conditionalFormatting sqref="AV25">
    <cfRule type="expression" priority="1454" dxfId="17">
      <formula>AV25="X"</formula>
    </cfRule>
    <cfRule type="expression" priority="1455" dxfId="16">
      <formula>AV25="후보"</formula>
    </cfRule>
  </conditionalFormatting>
  <conditionalFormatting sqref="AC25">
    <cfRule type="cellIs" priority="1451" operator="greaterThan" dxfId="13">
      <formula>0.9</formula>
    </cfRule>
    <cfRule type="cellIs" priority="1452" operator="greaterThan" dxfId="12">
      <formula>0.85</formula>
    </cfRule>
  </conditionalFormatting>
  <conditionalFormatting sqref="N25">
    <cfRule type="cellIs" priority="1449" operator="greaterThan" dxfId="13">
      <formula>0.9</formula>
    </cfRule>
    <cfRule type="cellIs" priority="1450" operator="greaterThan" dxfId="12">
      <formula>0.85</formula>
    </cfRule>
  </conditionalFormatting>
  <conditionalFormatting sqref="E25">
    <cfRule type="expression" priority="1445" dxfId="3">
      <formula>AND(IF(OR($Q25=1,$Q25=2),1,0),IF($X25&lt;=20,1,0))</formula>
    </cfRule>
    <cfRule type="expression" priority="1446" dxfId="2">
      <formula>AND(IF($Q25=2,1,0),IF($X25&lt;30,1,0))</formula>
    </cfRule>
    <cfRule type="expression" priority="1447" dxfId="1">
      <formula>AND(IF($Q25=3,1,0),IF($X25&lt;30,1,0))</formula>
    </cfRule>
    <cfRule type="expression" priority="1448" dxfId="0">
      <formula>AND(IF($Q25=3,1,IF($Q25=4,1,0)),IF($F25&lt;=85,1,0))</formula>
    </cfRule>
  </conditionalFormatting>
  <conditionalFormatting sqref="X25">
    <cfRule type="expression" priority="1441" dxfId="3">
      <formula>AND(IF(OR($Q25=1,$Q25=2),1,0),IF($X25&lt;=20,1,0))</formula>
    </cfRule>
    <cfRule type="expression" priority="1442" dxfId="2">
      <formula>AND(IF($Q25=2,1,0),IF($X25&lt;30,1,0))</formula>
    </cfRule>
    <cfRule type="expression" priority="1443" dxfId="1">
      <formula>AND(IF($Q25=3,1,0),IF($X25&lt;30,1,0))</formula>
    </cfRule>
    <cfRule type="expression" priority="1444" dxfId="0">
      <formula>AND(IF($Q25=3,1,IF($Q25=4,1,0)),IF($F25&lt;=85,1,0))</formula>
    </cfRule>
  </conditionalFormatting>
  <conditionalFormatting sqref="AI25">
    <cfRule type="expression" priority="1437" dxfId="3">
      <formula>AND(IF(OR($Q25=1,$Q25=2),1,0),IF($X25&lt;=20,1,0))</formula>
    </cfRule>
    <cfRule type="expression" priority="1438" dxfId="2">
      <formula>AND(IF($Q25=2,1,0),IF($X25&lt;30,1,0))</formula>
    </cfRule>
    <cfRule type="expression" priority="1439" dxfId="1">
      <formula>AND(IF($Q25=3,1,0),IF($X25&lt;30,1,0))</formula>
    </cfRule>
    <cfRule type="expression" priority="1440" dxfId="0">
      <formula>AND(IF($Q25=3,1,IF($Q25=4,1,0)),IF($F25&lt;=85,1,0))</formula>
    </cfRule>
  </conditionalFormatting>
  <conditionalFormatting sqref="AV26">
    <cfRule type="expression" priority="1435" dxfId="17">
      <formula>AV26="X"</formula>
    </cfRule>
    <cfRule type="expression" priority="1436" dxfId="16">
      <formula>AV26="후보"</formula>
    </cfRule>
  </conditionalFormatting>
  <conditionalFormatting sqref="AC26">
    <cfRule type="cellIs" priority="1432" operator="greaterThan" dxfId="13">
      <formula>0.9</formula>
    </cfRule>
    <cfRule type="cellIs" priority="1433" operator="greaterThan" dxfId="12">
      <formula>0.85</formula>
    </cfRule>
  </conditionalFormatting>
  <conditionalFormatting sqref="N26">
    <cfRule type="cellIs" priority="1430" operator="greaterThan" dxfId="13">
      <formula>0.9</formula>
    </cfRule>
    <cfRule type="cellIs" priority="1431" operator="greaterThan" dxfId="12">
      <formula>0.85</formula>
    </cfRule>
  </conditionalFormatting>
  <conditionalFormatting sqref="E26">
    <cfRule type="expression" priority="1426" dxfId="3">
      <formula>AND(IF(OR($Q26=1,$Q26=2),1,0),IF($X26&lt;=20,1,0))</formula>
    </cfRule>
    <cfRule type="expression" priority="1427" dxfId="2">
      <formula>AND(IF($Q26=2,1,0),IF($X26&lt;30,1,0))</formula>
    </cfRule>
    <cfRule type="expression" priority="1428" dxfId="1">
      <formula>AND(IF($Q26=3,1,0),IF($X26&lt;30,1,0))</formula>
    </cfRule>
    <cfRule type="expression" priority="1429" dxfId="0">
      <formula>AND(IF($Q26=3,1,IF($Q26=4,1,0)),IF($F26&lt;=85,1,0))</formula>
    </cfRule>
  </conditionalFormatting>
  <conditionalFormatting sqref="X26">
    <cfRule type="expression" priority="1422" dxfId="3">
      <formula>AND(IF(OR($Q26=1,$Q26=2),1,0),IF($X26&lt;=20,1,0))</formula>
    </cfRule>
    <cfRule type="expression" priority="1423" dxfId="2">
      <formula>AND(IF($Q26=2,1,0),IF($X26&lt;30,1,0))</formula>
    </cfRule>
    <cfRule type="expression" priority="1424" dxfId="1">
      <formula>AND(IF($Q26=3,1,0),IF($X26&lt;30,1,0))</formula>
    </cfRule>
    <cfRule type="expression" priority="1425" dxfId="0">
      <formula>AND(IF($Q26=3,1,IF($Q26=4,1,0)),IF($F26&lt;=85,1,0))</formula>
    </cfRule>
  </conditionalFormatting>
  <conditionalFormatting sqref="AI26">
    <cfRule type="expression" priority="1418" dxfId="3">
      <formula>AND(IF(OR($Q26=1,$Q26=2),1,0),IF($X26&lt;=20,1,0))</formula>
    </cfRule>
    <cfRule type="expression" priority="1419" dxfId="2">
      <formula>AND(IF($Q26=2,1,0),IF($X26&lt;30,1,0))</formula>
    </cfRule>
    <cfRule type="expression" priority="1420" dxfId="1">
      <formula>AND(IF($Q26=3,1,0),IF($X26&lt;30,1,0))</formula>
    </cfRule>
    <cfRule type="expression" priority="1421" dxfId="0">
      <formula>AND(IF($Q26=3,1,IF($Q26=4,1,0)),IF($F26&lt;=85,1,0))</formula>
    </cfRule>
  </conditionalFormatting>
  <conditionalFormatting sqref="AV27">
    <cfRule type="expression" priority="1416" dxfId="17">
      <formula>AV27="X"</formula>
    </cfRule>
    <cfRule type="expression" priority="1417" dxfId="16">
      <formula>AV27="후보"</formula>
    </cfRule>
  </conditionalFormatting>
  <conditionalFormatting sqref="AC27">
    <cfRule type="cellIs" priority="1413" operator="greaterThan" dxfId="13">
      <formula>0.9</formula>
    </cfRule>
    <cfRule type="cellIs" priority="1414" operator="greaterThan" dxfId="12">
      <formula>0.85</formula>
    </cfRule>
  </conditionalFormatting>
  <conditionalFormatting sqref="N27">
    <cfRule type="cellIs" priority="1411" operator="greaterThan" dxfId="13">
      <formula>0.9</formula>
    </cfRule>
    <cfRule type="cellIs" priority="1412" operator="greaterThan" dxfId="12">
      <formula>0.85</formula>
    </cfRule>
  </conditionalFormatting>
  <conditionalFormatting sqref="E27">
    <cfRule type="expression" priority="1407" dxfId="3">
      <formula>AND(IF(OR($Q27=1,$Q27=2),1,0),IF($X27&lt;=20,1,0))</formula>
    </cfRule>
    <cfRule type="expression" priority="1408" dxfId="2">
      <formula>AND(IF($Q27=2,1,0),IF($X27&lt;30,1,0))</formula>
    </cfRule>
    <cfRule type="expression" priority="1409" dxfId="1">
      <formula>AND(IF($Q27=3,1,0),IF($X27&lt;30,1,0))</formula>
    </cfRule>
    <cfRule type="expression" priority="1410" dxfId="0">
      <formula>AND(IF($Q27=3,1,IF($Q27=4,1,0)),IF($F27&lt;=85,1,0))</formula>
    </cfRule>
  </conditionalFormatting>
  <conditionalFormatting sqref="X27">
    <cfRule type="expression" priority="1403" dxfId="3">
      <formula>AND(IF(OR($Q27=1,$Q27=2),1,0),IF($X27&lt;=20,1,0))</formula>
    </cfRule>
    <cfRule type="expression" priority="1404" dxfId="2">
      <formula>AND(IF($Q27=2,1,0),IF($X27&lt;30,1,0))</formula>
    </cfRule>
    <cfRule type="expression" priority="1405" dxfId="1">
      <formula>AND(IF($Q27=3,1,0),IF($X27&lt;30,1,0))</formula>
    </cfRule>
    <cfRule type="expression" priority="1406" dxfId="0">
      <formula>AND(IF($Q27=3,1,IF($Q27=4,1,0)),IF($F27&lt;=85,1,0))</formula>
    </cfRule>
  </conditionalFormatting>
  <conditionalFormatting sqref="AI27">
    <cfRule type="expression" priority="1399" dxfId="3">
      <formula>AND(IF(OR($Q27=1,$Q27=2),1,0),IF($X27&lt;=20,1,0))</formula>
    </cfRule>
    <cfRule type="expression" priority="1400" dxfId="2">
      <formula>AND(IF($Q27=2,1,0),IF($X27&lt;30,1,0))</formula>
    </cfRule>
    <cfRule type="expression" priority="1401" dxfId="1">
      <formula>AND(IF($Q27=3,1,0),IF($X27&lt;30,1,0))</formula>
    </cfRule>
    <cfRule type="expression" priority="1402" dxfId="0">
      <formula>AND(IF($Q27=3,1,IF($Q27=4,1,0)),IF($F27&lt;=85,1,0))</formula>
    </cfRule>
  </conditionalFormatting>
  <conditionalFormatting sqref="AV28">
    <cfRule type="expression" priority="1397" dxfId="17">
      <formula>AV28="X"</formula>
    </cfRule>
    <cfRule type="expression" priority="1398" dxfId="16">
      <formula>AV28="후보"</formula>
    </cfRule>
  </conditionalFormatting>
  <conditionalFormatting sqref="AC28">
    <cfRule type="cellIs" priority="1394" operator="greaterThan" dxfId="13">
      <formula>0.9</formula>
    </cfRule>
    <cfRule type="cellIs" priority="1395" operator="greaterThan" dxfId="12">
      <formula>0.85</formula>
    </cfRule>
  </conditionalFormatting>
  <conditionalFormatting sqref="N28">
    <cfRule type="cellIs" priority="1392" operator="greaterThan" dxfId="13">
      <formula>0.9</formula>
    </cfRule>
    <cfRule type="cellIs" priority="1393" operator="greaterThan" dxfId="12">
      <formula>0.85</formula>
    </cfRule>
  </conditionalFormatting>
  <conditionalFormatting sqref="E28">
    <cfRule type="expression" priority="1388" dxfId="3">
      <formula>AND(IF(OR($Q28=1,$Q28=2),1,0),IF($X28&lt;=20,1,0))</formula>
    </cfRule>
    <cfRule type="expression" priority="1389" dxfId="2">
      <formula>AND(IF($Q28=2,1,0),IF($X28&lt;30,1,0))</formula>
    </cfRule>
    <cfRule type="expression" priority="1390" dxfId="1">
      <formula>AND(IF($Q28=3,1,0),IF($X28&lt;30,1,0))</formula>
    </cfRule>
    <cfRule type="expression" priority="1391" dxfId="0">
      <formula>AND(IF($Q28=3,1,IF($Q28=4,1,0)),IF($F28&lt;=85,1,0))</formula>
    </cfRule>
  </conditionalFormatting>
  <conditionalFormatting sqref="X28">
    <cfRule type="expression" priority="1384" dxfId="3">
      <formula>AND(IF(OR($Q28=1,$Q28=2),1,0),IF($X28&lt;=20,1,0))</formula>
    </cfRule>
    <cfRule type="expression" priority="1385" dxfId="2">
      <formula>AND(IF($Q28=2,1,0),IF($X28&lt;30,1,0))</formula>
    </cfRule>
    <cfRule type="expression" priority="1386" dxfId="1">
      <formula>AND(IF($Q28=3,1,0),IF($X28&lt;30,1,0))</formula>
    </cfRule>
    <cfRule type="expression" priority="1387" dxfId="0">
      <formula>AND(IF($Q28=3,1,IF($Q28=4,1,0)),IF($F28&lt;=85,1,0))</formula>
    </cfRule>
  </conditionalFormatting>
  <conditionalFormatting sqref="AI28">
    <cfRule type="expression" priority="1380" dxfId="3">
      <formula>AND(IF(OR($Q28=1,$Q28=2),1,0),IF($X28&lt;=20,1,0))</formula>
    </cfRule>
    <cfRule type="expression" priority="1381" dxfId="2">
      <formula>AND(IF($Q28=2,1,0),IF($X28&lt;30,1,0))</formula>
    </cfRule>
    <cfRule type="expression" priority="1382" dxfId="1">
      <formula>AND(IF($Q28=3,1,0),IF($X28&lt;30,1,0))</formula>
    </cfRule>
    <cfRule type="expression" priority="1383" dxfId="0">
      <formula>AND(IF($Q28=3,1,IF($Q28=4,1,0)),IF($F28&lt;=85,1,0))</formula>
    </cfRule>
  </conditionalFormatting>
  <conditionalFormatting sqref="AV29">
    <cfRule type="expression" priority="1378" dxfId="17">
      <formula>AV29="X"</formula>
    </cfRule>
    <cfRule type="expression" priority="1379" dxfId="16">
      <formula>AV29="후보"</formula>
    </cfRule>
  </conditionalFormatting>
  <conditionalFormatting sqref="AC29">
    <cfRule type="cellIs" priority="1375" operator="greaterThan" dxfId="13">
      <formula>0.9</formula>
    </cfRule>
    <cfRule type="cellIs" priority="1376" operator="greaterThan" dxfId="12">
      <formula>0.85</formula>
    </cfRule>
  </conditionalFormatting>
  <conditionalFormatting sqref="N29">
    <cfRule type="cellIs" priority="1373" operator="greaterThan" dxfId="13">
      <formula>0.9</formula>
    </cfRule>
    <cfRule type="cellIs" priority="1374" operator="greaterThan" dxfId="12">
      <formula>0.85</formula>
    </cfRule>
  </conditionalFormatting>
  <conditionalFormatting sqref="E29">
    <cfRule type="expression" priority="1369" dxfId="3">
      <formula>AND(IF(OR($Q29=1,$Q29=2),1,0),IF($X29&lt;=20,1,0))</formula>
    </cfRule>
    <cfRule type="expression" priority="1370" dxfId="2">
      <formula>AND(IF($Q29=2,1,0),IF($X29&lt;30,1,0))</formula>
    </cfRule>
    <cfRule type="expression" priority="1371" dxfId="1">
      <formula>AND(IF($Q29=3,1,0),IF($X29&lt;30,1,0))</formula>
    </cfRule>
    <cfRule type="expression" priority="1372" dxfId="0">
      <formula>AND(IF($Q29=3,1,IF($Q29=4,1,0)),IF($F29&lt;=85,1,0))</formula>
    </cfRule>
  </conditionalFormatting>
  <conditionalFormatting sqref="X29">
    <cfRule type="expression" priority="1365" dxfId="3">
      <formula>AND(IF(OR($Q29=1,$Q29=2),1,0),IF($X29&lt;=20,1,0))</formula>
    </cfRule>
    <cfRule type="expression" priority="1366" dxfId="2">
      <formula>AND(IF($Q29=2,1,0),IF($X29&lt;30,1,0))</formula>
    </cfRule>
    <cfRule type="expression" priority="1367" dxfId="1">
      <formula>AND(IF($Q29=3,1,0),IF($X29&lt;30,1,0))</formula>
    </cfRule>
    <cfRule type="expression" priority="1368" dxfId="0">
      <formula>AND(IF($Q29=3,1,IF($Q29=4,1,0)),IF($F29&lt;=85,1,0))</formula>
    </cfRule>
  </conditionalFormatting>
  <conditionalFormatting sqref="AI29">
    <cfRule type="expression" priority="1361" dxfId="3">
      <formula>AND(IF(OR($Q29=1,$Q29=2),1,0),IF($X29&lt;=20,1,0))</formula>
    </cfRule>
    <cfRule type="expression" priority="1362" dxfId="2">
      <formula>AND(IF($Q29=2,1,0),IF($X29&lt;30,1,0))</formula>
    </cfRule>
    <cfRule type="expression" priority="1363" dxfId="1">
      <formula>AND(IF($Q29=3,1,0),IF($X29&lt;30,1,0))</formula>
    </cfRule>
    <cfRule type="expression" priority="1364" dxfId="0">
      <formula>AND(IF($Q29=3,1,IF($Q29=4,1,0)),IF($F29&lt;=85,1,0))</formula>
    </cfRule>
  </conditionalFormatting>
  <conditionalFormatting sqref="AV30">
    <cfRule type="expression" priority="1359" dxfId="17">
      <formula>AV30="X"</formula>
    </cfRule>
    <cfRule type="expression" priority="1360" dxfId="16">
      <formula>AV30="후보"</formula>
    </cfRule>
  </conditionalFormatting>
  <conditionalFormatting sqref="AC30">
    <cfRule type="cellIs" priority="1356" operator="greaterThan" dxfId="13">
      <formula>0.9</formula>
    </cfRule>
    <cfRule type="cellIs" priority="1357" operator="greaterThan" dxfId="12">
      <formula>0.85</formula>
    </cfRule>
  </conditionalFormatting>
  <conditionalFormatting sqref="N30">
    <cfRule type="cellIs" priority="1354" operator="greaterThan" dxfId="13">
      <formula>0.9</formula>
    </cfRule>
    <cfRule type="cellIs" priority="1355" operator="greaterThan" dxfId="12">
      <formula>0.85</formula>
    </cfRule>
  </conditionalFormatting>
  <conditionalFormatting sqref="E30">
    <cfRule type="expression" priority="1350" dxfId="3">
      <formula>AND(IF(OR($Q30=1,$Q30=2),1,0),IF($X30&lt;=20,1,0))</formula>
    </cfRule>
    <cfRule type="expression" priority="1351" dxfId="2">
      <formula>AND(IF($Q30=2,1,0),IF($X30&lt;30,1,0))</formula>
    </cfRule>
    <cfRule type="expression" priority="1352" dxfId="1">
      <formula>AND(IF($Q30=3,1,0),IF($X30&lt;30,1,0))</formula>
    </cfRule>
    <cfRule type="expression" priority="1353" dxfId="0">
      <formula>AND(IF($Q30=3,1,IF($Q30=4,1,0)),IF($F30&lt;=85,1,0))</formula>
    </cfRule>
  </conditionalFormatting>
  <conditionalFormatting sqref="X30">
    <cfRule type="expression" priority="1346" dxfId="3">
      <formula>AND(IF(OR($Q30=1,$Q30=2),1,0),IF($X30&lt;=20,1,0))</formula>
    </cfRule>
    <cfRule type="expression" priority="1347" dxfId="2">
      <formula>AND(IF($Q30=2,1,0),IF($X30&lt;30,1,0))</formula>
    </cfRule>
    <cfRule type="expression" priority="1348" dxfId="1">
      <formula>AND(IF($Q30=3,1,0),IF($X30&lt;30,1,0))</formula>
    </cfRule>
    <cfRule type="expression" priority="1349" dxfId="0">
      <formula>AND(IF($Q30=3,1,IF($Q30=4,1,0)),IF($F30&lt;=85,1,0))</formula>
    </cfRule>
  </conditionalFormatting>
  <conditionalFormatting sqref="AI30">
    <cfRule type="expression" priority="1342" dxfId="3">
      <formula>AND(IF(OR($Q30=1,$Q30=2),1,0),IF($X30&lt;=20,1,0))</formula>
    </cfRule>
    <cfRule type="expression" priority="1343" dxfId="2">
      <formula>AND(IF($Q30=2,1,0),IF($X30&lt;30,1,0))</formula>
    </cfRule>
    <cfRule type="expression" priority="1344" dxfId="1">
      <formula>AND(IF($Q30=3,1,0),IF($X30&lt;30,1,0))</formula>
    </cfRule>
    <cfRule type="expression" priority="1345" dxfId="0">
      <formula>AND(IF($Q30=3,1,IF($Q30=4,1,0)),IF($F30&lt;=85,1,0))</formula>
    </cfRule>
  </conditionalFormatting>
  <conditionalFormatting sqref="AV31">
    <cfRule type="expression" priority="1340" dxfId="17">
      <formula>AV31="X"</formula>
    </cfRule>
    <cfRule type="expression" priority="1341" dxfId="16">
      <formula>AV31="후보"</formula>
    </cfRule>
  </conditionalFormatting>
  <conditionalFormatting sqref="AC31">
    <cfRule type="cellIs" priority="1337" operator="greaterThan" dxfId="13">
      <formula>0.9</formula>
    </cfRule>
    <cfRule type="cellIs" priority="1338" operator="greaterThan" dxfId="12">
      <formula>0.85</formula>
    </cfRule>
  </conditionalFormatting>
  <conditionalFormatting sqref="N31">
    <cfRule type="cellIs" priority="1335" operator="greaterThan" dxfId="13">
      <formula>0.9</formula>
    </cfRule>
    <cfRule type="cellIs" priority="1336" operator="greaterThan" dxfId="12">
      <formula>0.85</formula>
    </cfRule>
  </conditionalFormatting>
  <conditionalFormatting sqref="E31">
    <cfRule type="expression" priority="1331" dxfId="3">
      <formula>AND(IF(OR($Q31=1,$Q31=2),1,0),IF($X31&lt;=20,1,0))</formula>
    </cfRule>
    <cfRule type="expression" priority="1332" dxfId="2">
      <formula>AND(IF($Q31=2,1,0),IF($X31&lt;30,1,0))</formula>
    </cfRule>
    <cfRule type="expression" priority="1333" dxfId="1">
      <formula>AND(IF($Q31=3,1,0),IF($X31&lt;30,1,0))</formula>
    </cfRule>
    <cfRule type="expression" priority="1334" dxfId="0">
      <formula>AND(IF($Q31=3,1,IF($Q31=4,1,0)),IF($F31&lt;=85,1,0))</formula>
    </cfRule>
  </conditionalFormatting>
  <conditionalFormatting sqref="X31">
    <cfRule type="expression" priority="1327" dxfId="3">
      <formula>AND(IF(OR($Q31=1,$Q31=2),1,0),IF($X31&lt;=20,1,0))</formula>
    </cfRule>
    <cfRule type="expression" priority="1328" dxfId="2">
      <formula>AND(IF($Q31=2,1,0),IF($X31&lt;30,1,0))</formula>
    </cfRule>
    <cfRule type="expression" priority="1329" dxfId="1">
      <formula>AND(IF($Q31=3,1,0),IF($X31&lt;30,1,0))</formula>
    </cfRule>
    <cfRule type="expression" priority="1330" dxfId="0">
      <formula>AND(IF($Q31=3,1,IF($Q31=4,1,0)),IF($F31&lt;=85,1,0))</formula>
    </cfRule>
  </conditionalFormatting>
  <conditionalFormatting sqref="AI31">
    <cfRule type="expression" priority="1323" dxfId="3">
      <formula>AND(IF(OR($Q31=1,$Q31=2),1,0),IF($X31&lt;=20,1,0))</formula>
    </cfRule>
    <cfRule type="expression" priority="1324" dxfId="2">
      <formula>AND(IF($Q31=2,1,0),IF($X31&lt;30,1,0))</formula>
    </cfRule>
    <cfRule type="expression" priority="1325" dxfId="1">
      <formula>AND(IF($Q31=3,1,0),IF($X31&lt;30,1,0))</formula>
    </cfRule>
    <cfRule type="expression" priority="1326" dxfId="0">
      <formula>AND(IF($Q31=3,1,IF($Q31=4,1,0)),IF($F31&lt;=85,1,0))</formula>
    </cfRule>
  </conditionalFormatting>
  <conditionalFormatting sqref="AV32">
    <cfRule type="expression" priority="1321" dxfId="17">
      <formula>AV32="X"</formula>
    </cfRule>
    <cfRule type="expression" priority="1322" dxfId="16">
      <formula>AV32="후보"</formula>
    </cfRule>
  </conditionalFormatting>
  <conditionalFormatting sqref="AC32">
    <cfRule type="cellIs" priority="1318" operator="greaterThan" dxfId="13">
      <formula>0.9</formula>
    </cfRule>
    <cfRule type="cellIs" priority="1319" operator="greaterThan" dxfId="12">
      <formula>0.85</formula>
    </cfRule>
  </conditionalFormatting>
  <conditionalFormatting sqref="N32">
    <cfRule type="cellIs" priority="1316" operator="greaterThan" dxfId="13">
      <formula>0.9</formula>
    </cfRule>
    <cfRule type="cellIs" priority="1317" operator="greaterThan" dxfId="12">
      <formula>0.85</formula>
    </cfRule>
  </conditionalFormatting>
  <conditionalFormatting sqref="E32">
    <cfRule type="expression" priority="1312" dxfId="3">
      <formula>AND(IF(OR($Q32=1,$Q32=2),1,0),IF($X32&lt;=20,1,0))</formula>
    </cfRule>
    <cfRule type="expression" priority="1313" dxfId="2">
      <formula>AND(IF($Q32=2,1,0),IF($X32&lt;30,1,0))</formula>
    </cfRule>
    <cfRule type="expression" priority="1314" dxfId="1">
      <formula>AND(IF($Q32=3,1,0),IF($X32&lt;30,1,0))</formula>
    </cfRule>
    <cfRule type="expression" priority="1315" dxfId="0">
      <formula>AND(IF($Q32=3,1,IF($Q32=4,1,0)),IF($F32&lt;=85,1,0))</formula>
    </cfRule>
  </conditionalFormatting>
  <conditionalFormatting sqref="X32">
    <cfRule type="expression" priority="1308" dxfId="3">
      <formula>AND(IF(OR($Q32=1,$Q32=2),1,0),IF($X32&lt;=20,1,0))</formula>
    </cfRule>
    <cfRule type="expression" priority="1309" dxfId="2">
      <formula>AND(IF($Q32=2,1,0),IF($X32&lt;30,1,0))</formula>
    </cfRule>
    <cfRule type="expression" priority="1310" dxfId="1">
      <formula>AND(IF($Q32=3,1,0),IF($X32&lt;30,1,0))</formula>
    </cfRule>
    <cfRule type="expression" priority="1311" dxfId="0">
      <formula>AND(IF($Q32=3,1,IF($Q32=4,1,0)),IF($F32&lt;=85,1,0))</formula>
    </cfRule>
  </conditionalFormatting>
  <conditionalFormatting sqref="AI32">
    <cfRule type="expression" priority="1304" dxfId="3">
      <formula>AND(IF(OR($Q32=1,$Q32=2),1,0),IF($X32&lt;=20,1,0))</formula>
    </cfRule>
    <cfRule type="expression" priority="1305" dxfId="2">
      <formula>AND(IF($Q32=2,1,0),IF($X32&lt;30,1,0))</formula>
    </cfRule>
    <cfRule type="expression" priority="1306" dxfId="1">
      <formula>AND(IF($Q32=3,1,0),IF($X32&lt;30,1,0))</formula>
    </cfRule>
    <cfRule type="expression" priority="1307" dxfId="0">
      <formula>AND(IF($Q32=3,1,IF($Q32=4,1,0)),IF($F32&lt;=85,1,0))</formula>
    </cfRule>
  </conditionalFormatting>
  <conditionalFormatting sqref="AV33">
    <cfRule type="expression" priority="1302" dxfId="17">
      <formula>AV33="X"</formula>
    </cfRule>
    <cfRule type="expression" priority="1303" dxfId="16">
      <formula>AV33="후보"</formula>
    </cfRule>
  </conditionalFormatting>
  <conditionalFormatting sqref="AC33 N33">
    <cfRule type="cellIs" priority="1299" operator="greaterThan" dxfId="13">
      <formula>0.9</formula>
    </cfRule>
    <cfRule type="cellIs" priority="1300" operator="greaterThan" dxfId="12">
      <formula>0.85</formula>
    </cfRule>
  </conditionalFormatting>
  <conditionalFormatting sqref="AV34">
    <cfRule type="expression" priority="1297" dxfId="17">
      <formula>AV34="X"</formula>
    </cfRule>
    <cfRule type="expression" priority="1298" dxfId="16">
      <formula>AV34="후보"</formula>
    </cfRule>
  </conditionalFormatting>
  <conditionalFormatting sqref="AC34">
    <cfRule type="cellIs" priority="1294" operator="greaterThan" dxfId="13">
      <formula>0.9</formula>
    </cfRule>
    <cfRule type="cellIs" priority="1295" operator="greaterThan" dxfId="12">
      <formula>0.85</formula>
    </cfRule>
  </conditionalFormatting>
  <conditionalFormatting sqref="N34">
    <cfRule type="cellIs" priority="1292" operator="greaterThan" dxfId="13">
      <formula>0.9</formula>
    </cfRule>
    <cfRule type="cellIs" priority="1293" operator="greaterThan" dxfId="12">
      <formula>0.85</formula>
    </cfRule>
  </conditionalFormatting>
  <conditionalFormatting sqref="E34">
    <cfRule type="expression" priority="1288" dxfId="3">
      <formula>AND(IF(OR($Q34=1,$Q34=2),1,0),IF($X34&lt;=20,1,0))</formula>
    </cfRule>
    <cfRule type="expression" priority="1289" dxfId="2">
      <formula>AND(IF($Q34=2,1,0),IF($X34&lt;30,1,0))</formula>
    </cfRule>
    <cfRule type="expression" priority="1290" dxfId="1">
      <formula>AND(IF($Q34=3,1,0),IF($X34&lt;30,1,0))</formula>
    </cfRule>
    <cfRule type="expression" priority="1291" dxfId="0">
      <formula>AND(IF($Q34=3,1,IF($Q34=4,1,0)),IF($F34&lt;=85,1,0))</formula>
    </cfRule>
  </conditionalFormatting>
  <conditionalFormatting sqref="X34">
    <cfRule type="expression" priority="1284" dxfId="3">
      <formula>AND(IF(OR($Q34=1,$Q34=2),1,0),IF($X34&lt;=20,1,0))</formula>
    </cfRule>
    <cfRule type="expression" priority="1285" dxfId="2">
      <formula>AND(IF($Q34=2,1,0),IF($X34&lt;30,1,0))</formula>
    </cfRule>
    <cfRule type="expression" priority="1286" dxfId="1">
      <formula>AND(IF($Q34=3,1,0),IF($X34&lt;30,1,0))</formula>
    </cfRule>
    <cfRule type="expression" priority="1287" dxfId="0">
      <formula>AND(IF($Q34=3,1,IF($Q34=4,1,0)),IF($F34&lt;=85,1,0))</formula>
    </cfRule>
  </conditionalFormatting>
  <conditionalFormatting sqref="AI34">
    <cfRule type="expression" priority="1280" dxfId="3">
      <formula>AND(IF(OR($Q34=1,$Q34=2),1,0),IF($X34&lt;=20,1,0))</formula>
    </cfRule>
    <cfRule type="expression" priority="1281" dxfId="2">
      <formula>AND(IF($Q34=2,1,0),IF($X34&lt;30,1,0))</formula>
    </cfRule>
    <cfRule type="expression" priority="1282" dxfId="1">
      <formula>AND(IF($Q34=3,1,0),IF($X34&lt;30,1,0))</formula>
    </cfRule>
    <cfRule type="expression" priority="1283" dxfId="0">
      <formula>AND(IF($Q34=3,1,IF($Q34=4,1,0)),IF($F34&lt;=85,1,0))</formula>
    </cfRule>
  </conditionalFormatting>
  <conditionalFormatting sqref="AV35">
    <cfRule type="expression" priority="1278" dxfId="17">
      <formula>AV35="X"</formula>
    </cfRule>
    <cfRule type="expression" priority="1279" dxfId="16">
      <formula>AV35="후보"</formula>
    </cfRule>
  </conditionalFormatting>
  <conditionalFormatting sqref="AC35">
    <cfRule type="cellIs" priority="1275" operator="greaterThan" dxfId="13">
      <formula>0.9</formula>
    </cfRule>
    <cfRule type="cellIs" priority="1276" operator="greaterThan" dxfId="12">
      <formula>0.85</formula>
    </cfRule>
  </conditionalFormatting>
  <conditionalFormatting sqref="N35">
    <cfRule type="cellIs" priority="1273" operator="greaterThan" dxfId="13">
      <formula>0.9</formula>
    </cfRule>
    <cfRule type="cellIs" priority="1274" operator="greaterThan" dxfId="12">
      <formula>0.85</formula>
    </cfRule>
  </conditionalFormatting>
  <conditionalFormatting sqref="E35">
    <cfRule type="expression" priority="1269" dxfId="3">
      <formula>AND(IF(OR($Q35=1,$Q35=2),1,0),IF($X35&lt;=20,1,0))</formula>
    </cfRule>
    <cfRule type="expression" priority="1270" dxfId="2">
      <formula>AND(IF($Q35=2,1,0),IF($X35&lt;30,1,0))</formula>
    </cfRule>
    <cfRule type="expression" priority="1271" dxfId="1">
      <formula>AND(IF($Q35=3,1,0),IF($X35&lt;30,1,0))</formula>
    </cfRule>
    <cfRule type="expression" priority="1272" dxfId="0">
      <formula>AND(IF($Q35=3,1,IF($Q35=4,1,0)),IF($F35&lt;=85,1,0))</formula>
    </cfRule>
  </conditionalFormatting>
  <conditionalFormatting sqref="X35">
    <cfRule type="expression" priority="1265" dxfId="3">
      <formula>AND(IF(OR($Q35=1,$Q35=2),1,0),IF($X35&lt;=20,1,0))</formula>
    </cfRule>
    <cfRule type="expression" priority="1266" dxfId="2">
      <formula>AND(IF($Q35=2,1,0),IF($X35&lt;30,1,0))</formula>
    </cfRule>
    <cfRule type="expression" priority="1267" dxfId="1">
      <formula>AND(IF($Q35=3,1,0),IF($X35&lt;30,1,0))</formula>
    </cfRule>
    <cfRule type="expression" priority="1268" dxfId="0">
      <formula>AND(IF($Q35=3,1,IF($Q35=4,1,0)),IF($F35&lt;=85,1,0))</formula>
    </cfRule>
  </conditionalFormatting>
  <conditionalFormatting sqref="AI35">
    <cfRule type="expression" priority="1261" dxfId="3">
      <formula>AND(IF(OR($Q35=1,$Q35=2),1,0),IF($X35&lt;=20,1,0))</formula>
    </cfRule>
    <cfRule type="expression" priority="1262" dxfId="2">
      <formula>AND(IF($Q35=2,1,0),IF($X35&lt;30,1,0))</formula>
    </cfRule>
    <cfRule type="expression" priority="1263" dxfId="1">
      <formula>AND(IF($Q35=3,1,0),IF($X35&lt;30,1,0))</formula>
    </cfRule>
    <cfRule type="expression" priority="1264" dxfId="0">
      <formula>AND(IF($Q35=3,1,IF($Q35=4,1,0)),IF($F35&lt;=85,1,0))</formula>
    </cfRule>
  </conditionalFormatting>
  <conditionalFormatting sqref="AV36">
    <cfRule type="expression" priority="1259" dxfId="17">
      <formula>AV36="X"</formula>
    </cfRule>
    <cfRule type="expression" priority="1260" dxfId="16">
      <formula>AV36="후보"</formula>
    </cfRule>
  </conditionalFormatting>
  <conditionalFormatting sqref="AC36">
    <cfRule type="cellIs" priority="1256" operator="greaterThan" dxfId="13">
      <formula>0.9</formula>
    </cfRule>
    <cfRule type="cellIs" priority="1257" operator="greaterThan" dxfId="12">
      <formula>0.85</formula>
    </cfRule>
  </conditionalFormatting>
  <conditionalFormatting sqref="N36">
    <cfRule type="cellIs" priority="1254" operator="greaterThan" dxfId="13">
      <formula>0.9</formula>
    </cfRule>
    <cfRule type="cellIs" priority="1255" operator="greaterThan" dxfId="12">
      <formula>0.85</formula>
    </cfRule>
  </conditionalFormatting>
  <conditionalFormatting sqref="E36">
    <cfRule type="expression" priority="1250" dxfId="3">
      <formula>AND(IF(OR($Q36=1,$Q36=2),1,0),IF($X36&lt;=20,1,0))</formula>
    </cfRule>
    <cfRule type="expression" priority="1251" dxfId="2">
      <formula>AND(IF($Q36=2,1,0),IF($X36&lt;30,1,0))</formula>
    </cfRule>
    <cfRule type="expression" priority="1252" dxfId="1">
      <formula>AND(IF($Q36=3,1,0),IF($X36&lt;30,1,0))</formula>
    </cfRule>
    <cfRule type="expression" priority="1253" dxfId="0">
      <formula>AND(IF($Q36=3,1,IF($Q36=4,1,0)),IF($F36&lt;=85,1,0))</formula>
    </cfRule>
  </conditionalFormatting>
  <conditionalFormatting sqref="X36">
    <cfRule type="expression" priority="1246" dxfId="3">
      <formula>AND(IF(OR($Q36=1,$Q36=2),1,0),IF($X36&lt;=20,1,0))</formula>
    </cfRule>
    <cfRule type="expression" priority="1247" dxfId="2">
      <formula>AND(IF($Q36=2,1,0),IF($X36&lt;30,1,0))</formula>
    </cfRule>
    <cfRule type="expression" priority="1248" dxfId="1">
      <formula>AND(IF($Q36=3,1,0),IF($X36&lt;30,1,0))</formula>
    </cfRule>
    <cfRule type="expression" priority="1249" dxfId="0">
      <formula>AND(IF($Q36=3,1,IF($Q36=4,1,0)),IF($F36&lt;=85,1,0))</formula>
    </cfRule>
  </conditionalFormatting>
  <conditionalFormatting sqref="AI36">
    <cfRule type="expression" priority="1242" dxfId="3">
      <formula>AND(IF(OR($Q36=1,$Q36=2),1,0),IF($X36&lt;=20,1,0))</formula>
    </cfRule>
    <cfRule type="expression" priority="1243" dxfId="2">
      <formula>AND(IF($Q36=2,1,0),IF($X36&lt;30,1,0))</formula>
    </cfRule>
    <cfRule type="expression" priority="1244" dxfId="1">
      <formula>AND(IF($Q36=3,1,0),IF($X36&lt;30,1,0))</formula>
    </cfRule>
    <cfRule type="expression" priority="1245" dxfId="0">
      <formula>AND(IF($Q36=3,1,IF($Q36=4,1,0)),IF($F36&lt;=85,1,0))</formula>
    </cfRule>
  </conditionalFormatting>
  <conditionalFormatting sqref="AV37">
    <cfRule type="expression" priority="1240" dxfId="17">
      <formula>AV37="X"</formula>
    </cfRule>
    <cfRule type="expression" priority="1241" dxfId="16">
      <formula>AV37="후보"</formula>
    </cfRule>
  </conditionalFormatting>
  <conditionalFormatting sqref="AC37">
    <cfRule type="cellIs" priority="1237" operator="greaterThan" dxfId="13">
      <formula>0.9</formula>
    </cfRule>
    <cfRule type="cellIs" priority="1238" operator="greaterThan" dxfId="12">
      <formula>0.85</formula>
    </cfRule>
  </conditionalFormatting>
  <conditionalFormatting sqref="N37">
    <cfRule type="cellIs" priority="1235" operator="greaterThan" dxfId="13">
      <formula>0.9</formula>
    </cfRule>
    <cfRule type="cellIs" priority="1236" operator="greaterThan" dxfId="12">
      <formula>0.85</formula>
    </cfRule>
  </conditionalFormatting>
  <conditionalFormatting sqref="E37">
    <cfRule type="expression" priority="1231" dxfId="3">
      <formula>AND(IF(OR($Q37=1,$Q37=2),1,0),IF($X37&lt;=20,1,0))</formula>
    </cfRule>
    <cfRule type="expression" priority="1232" dxfId="2">
      <formula>AND(IF($Q37=2,1,0),IF($X37&lt;30,1,0))</formula>
    </cfRule>
    <cfRule type="expression" priority="1233" dxfId="1">
      <formula>AND(IF($Q37=3,1,0),IF($X37&lt;30,1,0))</formula>
    </cfRule>
    <cfRule type="expression" priority="1234" dxfId="0">
      <formula>AND(IF($Q37=3,1,IF($Q37=4,1,0)),IF($F37&lt;=85,1,0))</formula>
    </cfRule>
  </conditionalFormatting>
  <conditionalFormatting sqref="X37">
    <cfRule type="expression" priority="1227" dxfId="3">
      <formula>AND(IF(OR($Q37=1,$Q37=2),1,0),IF($X37&lt;=20,1,0))</formula>
    </cfRule>
    <cfRule type="expression" priority="1228" dxfId="2">
      <formula>AND(IF($Q37=2,1,0),IF($X37&lt;30,1,0))</formula>
    </cfRule>
    <cfRule type="expression" priority="1229" dxfId="1">
      <formula>AND(IF($Q37=3,1,0),IF($X37&lt;30,1,0))</formula>
    </cfRule>
    <cfRule type="expression" priority="1230" dxfId="0">
      <formula>AND(IF($Q37=3,1,IF($Q37=4,1,0)),IF($F37&lt;=85,1,0))</formula>
    </cfRule>
  </conditionalFormatting>
  <conditionalFormatting sqref="AI37">
    <cfRule type="expression" priority="1223" dxfId="3">
      <formula>AND(IF(OR($Q37=1,$Q37=2),1,0),IF($X37&lt;=20,1,0))</formula>
    </cfRule>
    <cfRule type="expression" priority="1224" dxfId="2">
      <formula>AND(IF($Q37=2,1,0),IF($X37&lt;30,1,0))</formula>
    </cfRule>
    <cfRule type="expression" priority="1225" dxfId="1">
      <formula>AND(IF($Q37=3,1,0),IF($X37&lt;30,1,0))</formula>
    </cfRule>
    <cfRule type="expression" priority="1226" dxfId="0">
      <formula>AND(IF($Q37=3,1,IF($Q37=4,1,0)),IF($F37&lt;=85,1,0))</formula>
    </cfRule>
  </conditionalFormatting>
  <conditionalFormatting sqref="AV38">
    <cfRule type="expression" priority="1221" dxfId="17">
      <formula>AV38="X"</formula>
    </cfRule>
    <cfRule type="expression" priority="1222" dxfId="16">
      <formula>AV38="후보"</formula>
    </cfRule>
  </conditionalFormatting>
  <conditionalFormatting sqref="AC38">
    <cfRule type="cellIs" priority="1218" operator="greaterThan" dxfId="13">
      <formula>0.9</formula>
    </cfRule>
    <cfRule type="cellIs" priority="1219" operator="greaterThan" dxfId="12">
      <formula>0.85</formula>
    </cfRule>
  </conditionalFormatting>
  <conditionalFormatting sqref="N38">
    <cfRule type="cellIs" priority="1216" operator="greaterThan" dxfId="13">
      <formula>0.9</formula>
    </cfRule>
    <cfRule type="cellIs" priority="1217" operator="greaterThan" dxfId="12">
      <formula>0.85</formula>
    </cfRule>
  </conditionalFormatting>
  <conditionalFormatting sqref="E38">
    <cfRule type="expression" priority="1212" dxfId="3">
      <formula>AND(IF(OR($Q38=1,$Q38=2),1,0),IF($X38&lt;=20,1,0))</formula>
    </cfRule>
    <cfRule type="expression" priority="1213" dxfId="2">
      <formula>AND(IF($Q38=2,1,0),IF($X38&lt;30,1,0))</formula>
    </cfRule>
    <cfRule type="expression" priority="1214" dxfId="1">
      <formula>AND(IF($Q38=3,1,0),IF($X38&lt;30,1,0))</formula>
    </cfRule>
    <cfRule type="expression" priority="1215" dxfId="0">
      <formula>AND(IF($Q38=3,1,IF($Q38=4,1,0)),IF($F38&lt;=85,1,0))</formula>
    </cfRule>
  </conditionalFormatting>
  <conditionalFormatting sqref="X38">
    <cfRule type="expression" priority="1208" dxfId="3">
      <formula>AND(IF(OR($Q38=1,$Q38=2),1,0),IF($X38&lt;=20,1,0))</formula>
    </cfRule>
    <cfRule type="expression" priority="1209" dxfId="2">
      <formula>AND(IF($Q38=2,1,0),IF($X38&lt;30,1,0))</formula>
    </cfRule>
    <cfRule type="expression" priority="1210" dxfId="1">
      <formula>AND(IF($Q38=3,1,0),IF($X38&lt;30,1,0))</formula>
    </cfRule>
    <cfRule type="expression" priority="1211" dxfId="0">
      <formula>AND(IF($Q38=3,1,IF($Q38=4,1,0)),IF($F38&lt;=85,1,0))</formula>
    </cfRule>
  </conditionalFormatting>
  <conditionalFormatting sqref="AI38">
    <cfRule type="expression" priority="1204" dxfId="3">
      <formula>AND(IF(OR($Q38=1,$Q38=2),1,0),IF($X38&lt;=20,1,0))</formula>
    </cfRule>
    <cfRule type="expression" priority="1205" dxfId="2">
      <formula>AND(IF($Q38=2,1,0),IF($X38&lt;30,1,0))</formula>
    </cfRule>
    <cfRule type="expression" priority="1206" dxfId="1">
      <formula>AND(IF($Q38=3,1,0),IF($X38&lt;30,1,0))</formula>
    </cfRule>
    <cfRule type="expression" priority="1207" dxfId="0">
      <formula>AND(IF($Q38=3,1,IF($Q38=4,1,0)),IF($F38&lt;=85,1,0))</formula>
    </cfRule>
  </conditionalFormatting>
  <conditionalFormatting sqref="AV39">
    <cfRule type="expression" priority="1202" dxfId="17">
      <formula>AV39="X"</formula>
    </cfRule>
    <cfRule type="expression" priority="1203" dxfId="16">
      <formula>AV39="후보"</formula>
    </cfRule>
  </conditionalFormatting>
  <conditionalFormatting sqref="AC39">
    <cfRule type="cellIs" priority="1199" operator="greaterThan" dxfId="13">
      <formula>0.9</formula>
    </cfRule>
    <cfRule type="cellIs" priority="1200" operator="greaterThan" dxfId="12">
      <formula>0.85</formula>
    </cfRule>
  </conditionalFormatting>
  <conditionalFormatting sqref="N39">
    <cfRule type="cellIs" priority="1197" operator="greaterThan" dxfId="13">
      <formula>0.9</formula>
    </cfRule>
    <cfRule type="cellIs" priority="1198" operator="greaterThan" dxfId="12">
      <formula>0.85</formula>
    </cfRule>
  </conditionalFormatting>
  <conditionalFormatting sqref="E39">
    <cfRule type="expression" priority="1193" dxfId="3">
      <formula>AND(IF(OR($Q39=1,$Q39=2),1,0),IF($X39&lt;=20,1,0))</formula>
    </cfRule>
    <cfRule type="expression" priority="1194" dxfId="2">
      <formula>AND(IF($Q39=2,1,0),IF($X39&lt;30,1,0))</formula>
    </cfRule>
    <cfRule type="expression" priority="1195" dxfId="1">
      <formula>AND(IF($Q39=3,1,0),IF($X39&lt;30,1,0))</formula>
    </cfRule>
    <cfRule type="expression" priority="1196" dxfId="0">
      <formula>AND(IF($Q39=3,1,IF($Q39=4,1,0)),IF($F39&lt;=85,1,0))</formula>
    </cfRule>
  </conditionalFormatting>
  <conditionalFormatting sqref="X39">
    <cfRule type="expression" priority="1189" dxfId="3">
      <formula>AND(IF(OR($Q39=1,$Q39=2),1,0),IF($X39&lt;=20,1,0))</formula>
    </cfRule>
    <cfRule type="expression" priority="1190" dxfId="2">
      <formula>AND(IF($Q39=2,1,0),IF($X39&lt;30,1,0))</formula>
    </cfRule>
    <cfRule type="expression" priority="1191" dxfId="1">
      <formula>AND(IF($Q39=3,1,0),IF($X39&lt;30,1,0))</formula>
    </cfRule>
    <cfRule type="expression" priority="1192" dxfId="0">
      <formula>AND(IF($Q39=3,1,IF($Q39=4,1,0)),IF($F39&lt;=85,1,0))</formula>
    </cfRule>
  </conditionalFormatting>
  <conditionalFormatting sqref="AI39">
    <cfRule type="expression" priority="1185" dxfId="3">
      <formula>AND(IF(OR($Q39=1,$Q39=2),1,0),IF($X39&lt;=20,1,0))</formula>
    </cfRule>
    <cfRule type="expression" priority="1186" dxfId="2">
      <formula>AND(IF($Q39=2,1,0),IF($X39&lt;30,1,0))</formula>
    </cfRule>
    <cfRule type="expression" priority="1187" dxfId="1">
      <formula>AND(IF($Q39=3,1,0),IF($X39&lt;30,1,0))</formula>
    </cfRule>
    <cfRule type="expression" priority="1188" dxfId="0">
      <formula>AND(IF($Q39=3,1,IF($Q39=4,1,0)),IF($F39&lt;=85,1,0))</formula>
    </cfRule>
  </conditionalFormatting>
  <conditionalFormatting sqref="AV40">
    <cfRule type="expression" priority="1183" dxfId="17">
      <formula>AV40="X"</formula>
    </cfRule>
    <cfRule type="expression" priority="1184" dxfId="16">
      <formula>AV40="후보"</formula>
    </cfRule>
  </conditionalFormatting>
  <conditionalFormatting sqref="AC40">
    <cfRule type="cellIs" priority="1180" operator="greaterThan" dxfId="13">
      <formula>0.9</formula>
    </cfRule>
    <cfRule type="cellIs" priority="1181" operator="greaterThan" dxfId="12">
      <formula>0.85</formula>
    </cfRule>
  </conditionalFormatting>
  <conditionalFormatting sqref="N40">
    <cfRule type="cellIs" priority="1178" operator="greaterThan" dxfId="13">
      <formula>0.9</formula>
    </cfRule>
    <cfRule type="cellIs" priority="1179" operator="greaterThan" dxfId="12">
      <formula>0.85</formula>
    </cfRule>
  </conditionalFormatting>
  <conditionalFormatting sqref="E40">
    <cfRule type="expression" priority="1174" dxfId="3">
      <formula>AND(IF(OR($Q40=1,$Q40=2),1,0),IF($X40&lt;=20,1,0))</formula>
    </cfRule>
    <cfRule type="expression" priority="1175" dxfId="2">
      <formula>AND(IF($Q40=2,1,0),IF($X40&lt;30,1,0))</formula>
    </cfRule>
    <cfRule type="expression" priority="1176" dxfId="1">
      <formula>AND(IF($Q40=3,1,0),IF($X40&lt;30,1,0))</formula>
    </cfRule>
    <cfRule type="expression" priority="1177" dxfId="0">
      <formula>AND(IF($Q40=3,1,IF($Q40=4,1,0)),IF($F40&lt;=85,1,0))</formula>
    </cfRule>
  </conditionalFormatting>
  <conditionalFormatting sqref="X40">
    <cfRule type="expression" priority="1170" dxfId="3">
      <formula>AND(IF(OR($Q40=1,$Q40=2),1,0),IF($X40&lt;=20,1,0))</formula>
    </cfRule>
    <cfRule type="expression" priority="1171" dxfId="2">
      <formula>AND(IF($Q40=2,1,0),IF($X40&lt;30,1,0))</formula>
    </cfRule>
    <cfRule type="expression" priority="1172" dxfId="1">
      <formula>AND(IF($Q40=3,1,0),IF($X40&lt;30,1,0))</formula>
    </cfRule>
    <cfRule type="expression" priority="1173" dxfId="0">
      <formula>AND(IF($Q40=3,1,IF($Q40=4,1,0)),IF($F40&lt;=85,1,0))</formula>
    </cfRule>
  </conditionalFormatting>
  <conditionalFormatting sqref="AI40">
    <cfRule type="expression" priority="1166" dxfId="3">
      <formula>AND(IF(OR($Q40=1,$Q40=2),1,0),IF($X40&lt;=20,1,0))</formula>
    </cfRule>
    <cfRule type="expression" priority="1167" dxfId="2">
      <formula>AND(IF($Q40=2,1,0),IF($X40&lt;30,1,0))</formula>
    </cfRule>
    <cfRule type="expression" priority="1168" dxfId="1">
      <formula>AND(IF($Q40=3,1,0),IF($X40&lt;30,1,0))</formula>
    </cfRule>
    <cfRule type="expression" priority="1169" dxfId="0">
      <formula>AND(IF($Q40=3,1,IF($Q40=4,1,0)),IF($F40&lt;=85,1,0))</formula>
    </cfRule>
  </conditionalFormatting>
  <conditionalFormatting sqref="AV41">
    <cfRule type="expression" priority="1164" dxfId="17">
      <formula>AV41="X"</formula>
    </cfRule>
    <cfRule type="expression" priority="1165" dxfId="16">
      <formula>AV41="후보"</formula>
    </cfRule>
  </conditionalFormatting>
  <conditionalFormatting sqref="AC41">
    <cfRule type="cellIs" priority="1161" operator="greaterThan" dxfId="13">
      <formula>0.9</formula>
    </cfRule>
    <cfRule type="cellIs" priority="1162" operator="greaterThan" dxfId="12">
      <formula>0.85</formula>
    </cfRule>
  </conditionalFormatting>
  <conditionalFormatting sqref="N41">
    <cfRule type="cellIs" priority="1159" operator="greaterThan" dxfId="13">
      <formula>0.9</formula>
    </cfRule>
    <cfRule type="cellIs" priority="1160" operator="greaterThan" dxfId="12">
      <formula>0.85</formula>
    </cfRule>
  </conditionalFormatting>
  <conditionalFormatting sqref="E41">
    <cfRule type="expression" priority="1155" dxfId="3">
      <formula>AND(IF(OR($Q41=1,$Q41=2),1,0),IF($X41&lt;=20,1,0))</formula>
    </cfRule>
    <cfRule type="expression" priority="1156" dxfId="2">
      <formula>AND(IF($Q41=2,1,0),IF($X41&lt;30,1,0))</formula>
    </cfRule>
    <cfRule type="expression" priority="1157" dxfId="1">
      <formula>AND(IF($Q41=3,1,0),IF($X41&lt;30,1,0))</formula>
    </cfRule>
    <cfRule type="expression" priority="1158" dxfId="0">
      <formula>AND(IF($Q41=3,1,IF($Q41=4,1,0)),IF($F41&lt;=85,1,0))</formula>
    </cfRule>
  </conditionalFormatting>
  <conditionalFormatting sqref="X41">
    <cfRule type="expression" priority="1151" dxfId="3">
      <formula>AND(IF(OR($Q41=1,$Q41=2),1,0),IF($X41&lt;=20,1,0))</formula>
    </cfRule>
    <cfRule type="expression" priority="1152" dxfId="2">
      <formula>AND(IF($Q41=2,1,0),IF($X41&lt;30,1,0))</formula>
    </cfRule>
    <cfRule type="expression" priority="1153" dxfId="1">
      <formula>AND(IF($Q41=3,1,0),IF($X41&lt;30,1,0))</formula>
    </cfRule>
    <cfRule type="expression" priority="1154" dxfId="0">
      <formula>AND(IF($Q41=3,1,IF($Q41=4,1,0)),IF($F41&lt;=85,1,0))</formula>
    </cfRule>
  </conditionalFormatting>
  <conditionalFormatting sqref="AI41">
    <cfRule type="expression" priority="1147" dxfId="3">
      <formula>AND(IF(OR($Q41=1,$Q41=2),1,0),IF($X41&lt;=20,1,0))</formula>
    </cfRule>
    <cfRule type="expression" priority="1148" dxfId="2">
      <formula>AND(IF($Q41=2,1,0),IF($X41&lt;30,1,0))</formula>
    </cfRule>
    <cfRule type="expression" priority="1149" dxfId="1">
      <formula>AND(IF($Q41=3,1,0),IF($X41&lt;30,1,0))</formula>
    </cfRule>
    <cfRule type="expression" priority="1150" dxfId="0">
      <formula>AND(IF($Q41=3,1,IF($Q41=4,1,0)),IF($F41&lt;=85,1,0))</formula>
    </cfRule>
  </conditionalFormatting>
  <conditionalFormatting sqref="AV42">
    <cfRule type="expression" priority="1145" dxfId="17">
      <formula>AV42="X"</formula>
    </cfRule>
    <cfRule type="expression" priority="1146" dxfId="16">
      <formula>AV42="후보"</formula>
    </cfRule>
  </conditionalFormatting>
  <conditionalFormatting sqref="AC42 N42">
    <cfRule type="cellIs" priority="1142" operator="greaterThan" dxfId="13">
      <formula>0.9</formula>
    </cfRule>
    <cfRule type="cellIs" priority="1143" operator="greaterThan" dxfId="12">
      <formula>0.85</formula>
    </cfRule>
  </conditionalFormatting>
  <conditionalFormatting sqref="AV43">
    <cfRule type="expression" priority="1140" dxfId="17">
      <formula>AV43="X"</formula>
    </cfRule>
    <cfRule type="expression" priority="1141" dxfId="16">
      <formula>AV43="후보"</formula>
    </cfRule>
  </conditionalFormatting>
  <conditionalFormatting sqref="AC43">
    <cfRule type="cellIs" priority="1137" operator="greaterThan" dxfId="13">
      <formula>0.9</formula>
    </cfRule>
    <cfRule type="cellIs" priority="1138" operator="greaterThan" dxfId="12">
      <formula>0.85</formula>
    </cfRule>
  </conditionalFormatting>
  <conditionalFormatting sqref="N43">
    <cfRule type="cellIs" priority="1135" operator="greaterThan" dxfId="13">
      <formula>0.9</formula>
    </cfRule>
    <cfRule type="cellIs" priority="1136" operator="greaterThan" dxfId="12">
      <formula>0.85</formula>
    </cfRule>
  </conditionalFormatting>
  <conditionalFormatting sqref="E43">
    <cfRule type="expression" priority="1131" dxfId="3">
      <formula>AND(IF(OR($Q43=1,$Q43=2),1,0),IF($X43&lt;=20,1,0))</formula>
    </cfRule>
    <cfRule type="expression" priority="1132" dxfId="2">
      <formula>AND(IF($Q43=2,1,0),IF($X43&lt;30,1,0))</formula>
    </cfRule>
    <cfRule type="expression" priority="1133" dxfId="1">
      <formula>AND(IF($Q43=3,1,0),IF($X43&lt;30,1,0))</formula>
    </cfRule>
    <cfRule type="expression" priority="1134" dxfId="0">
      <formula>AND(IF($Q43=3,1,IF($Q43=4,1,0)),IF($F43&lt;=85,1,0))</formula>
    </cfRule>
  </conditionalFormatting>
  <conditionalFormatting sqref="X43">
    <cfRule type="expression" priority="1127" dxfId="3">
      <formula>AND(IF(OR($Q43=1,$Q43=2),1,0),IF($X43&lt;=20,1,0))</formula>
    </cfRule>
    <cfRule type="expression" priority="1128" dxfId="2">
      <formula>AND(IF($Q43=2,1,0),IF($X43&lt;30,1,0))</formula>
    </cfRule>
    <cfRule type="expression" priority="1129" dxfId="1">
      <formula>AND(IF($Q43=3,1,0),IF($X43&lt;30,1,0))</formula>
    </cfRule>
    <cfRule type="expression" priority="1130" dxfId="0">
      <formula>AND(IF($Q43=3,1,IF($Q43=4,1,0)),IF($F43&lt;=85,1,0))</formula>
    </cfRule>
  </conditionalFormatting>
  <conditionalFormatting sqref="AI43">
    <cfRule type="expression" priority="1123" dxfId="3">
      <formula>AND(IF(OR($Q43=1,$Q43=2),1,0),IF($X43&lt;=20,1,0))</formula>
    </cfRule>
    <cfRule type="expression" priority="1124" dxfId="2">
      <formula>AND(IF($Q43=2,1,0),IF($X43&lt;30,1,0))</formula>
    </cfRule>
    <cfRule type="expression" priority="1125" dxfId="1">
      <formula>AND(IF($Q43=3,1,0),IF($X43&lt;30,1,0))</formula>
    </cfRule>
    <cfRule type="expression" priority="1126" dxfId="0">
      <formula>AND(IF($Q43=3,1,IF($Q43=4,1,0)),IF($F43&lt;=85,1,0))</formula>
    </cfRule>
  </conditionalFormatting>
  <conditionalFormatting sqref="AV44">
    <cfRule type="expression" priority="1121" dxfId="17">
      <formula>AV44="X"</formula>
    </cfRule>
    <cfRule type="expression" priority="1122" dxfId="16">
      <formula>AV44="후보"</formula>
    </cfRule>
  </conditionalFormatting>
  <conditionalFormatting sqref="AC44">
    <cfRule type="cellIs" priority="1118" operator="greaterThan" dxfId="13">
      <formula>0.9</formula>
    </cfRule>
    <cfRule type="cellIs" priority="1119" operator="greaterThan" dxfId="12">
      <formula>0.85</formula>
    </cfRule>
  </conditionalFormatting>
  <conditionalFormatting sqref="N44">
    <cfRule type="cellIs" priority="1116" operator="greaterThan" dxfId="13">
      <formula>0.9</formula>
    </cfRule>
    <cfRule type="cellIs" priority="1117" operator="greaterThan" dxfId="12">
      <formula>0.85</formula>
    </cfRule>
  </conditionalFormatting>
  <conditionalFormatting sqref="E44">
    <cfRule type="expression" priority="1112" dxfId="3">
      <formula>AND(IF(OR($Q44=1,$Q44=2),1,0),IF($X44&lt;=20,1,0))</formula>
    </cfRule>
    <cfRule type="expression" priority="1113" dxfId="2">
      <formula>AND(IF($Q44=2,1,0),IF($X44&lt;30,1,0))</formula>
    </cfRule>
    <cfRule type="expression" priority="1114" dxfId="1">
      <formula>AND(IF($Q44=3,1,0),IF($X44&lt;30,1,0))</formula>
    </cfRule>
    <cfRule type="expression" priority="1115" dxfId="0">
      <formula>AND(IF($Q44=3,1,IF($Q44=4,1,0)),IF($F44&lt;=85,1,0))</formula>
    </cfRule>
  </conditionalFormatting>
  <conditionalFormatting sqref="X44">
    <cfRule type="expression" priority="1108" dxfId="3">
      <formula>AND(IF(OR($Q44=1,$Q44=2),1,0),IF($X44&lt;=20,1,0))</formula>
    </cfRule>
    <cfRule type="expression" priority="1109" dxfId="2">
      <formula>AND(IF($Q44=2,1,0),IF($X44&lt;30,1,0))</formula>
    </cfRule>
    <cfRule type="expression" priority="1110" dxfId="1">
      <formula>AND(IF($Q44=3,1,0),IF($X44&lt;30,1,0))</formula>
    </cfRule>
    <cfRule type="expression" priority="1111" dxfId="0">
      <formula>AND(IF($Q44=3,1,IF($Q44=4,1,0)),IF($F44&lt;=85,1,0))</formula>
    </cfRule>
  </conditionalFormatting>
  <conditionalFormatting sqref="AI44">
    <cfRule type="expression" priority="1104" dxfId="3">
      <formula>AND(IF(OR($Q44=1,$Q44=2),1,0),IF($X44&lt;=20,1,0))</formula>
    </cfRule>
    <cfRule type="expression" priority="1105" dxfId="2">
      <formula>AND(IF($Q44=2,1,0),IF($X44&lt;30,1,0))</formula>
    </cfRule>
    <cfRule type="expression" priority="1106" dxfId="1">
      <formula>AND(IF($Q44=3,1,0),IF($X44&lt;30,1,0))</formula>
    </cfRule>
    <cfRule type="expression" priority="1107" dxfId="0">
      <formula>AND(IF($Q44=3,1,IF($Q44=4,1,0)),IF($F44&lt;=85,1,0))</formula>
    </cfRule>
  </conditionalFormatting>
  <conditionalFormatting sqref="AV45">
    <cfRule type="expression" priority="1102" dxfId="17">
      <formula>AV45="X"</formula>
    </cfRule>
    <cfRule type="expression" priority="1103" dxfId="16">
      <formula>AV45="후보"</formula>
    </cfRule>
  </conditionalFormatting>
  <conditionalFormatting sqref="AC45">
    <cfRule type="cellIs" priority="1099" operator="greaterThan" dxfId="13">
      <formula>0.9</formula>
    </cfRule>
    <cfRule type="cellIs" priority="1100" operator="greaterThan" dxfId="12">
      <formula>0.85</formula>
    </cfRule>
  </conditionalFormatting>
  <conditionalFormatting sqref="N45">
    <cfRule type="cellIs" priority="1097" operator="greaterThan" dxfId="13">
      <formula>0.9</formula>
    </cfRule>
    <cfRule type="cellIs" priority="1098" operator="greaterThan" dxfId="12">
      <formula>0.85</formula>
    </cfRule>
  </conditionalFormatting>
  <conditionalFormatting sqref="E45">
    <cfRule type="expression" priority="1093" dxfId="3">
      <formula>AND(IF(OR($Q45=1,$Q45=2),1,0),IF($X45&lt;=20,1,0))</formula>
    </cfRule>
    <cfRule type="expression" priority="1094" dxfId="2">
      <formula>AND(IF($Q45=2,1,0),IF($X45&lt;30,1,0))</formula>
    </cfRule>
    <cfRule type="expression" priority="1095" dxfId="1">
      <formula>AND(IF($Q45=3,1,0),IF($X45&lt;30,1,0))</formula>
    </cfRule>
    <cfRule type="expression" priority="1096" dxfId="0">
      <formula>AND(IF($Q45=3,1,IF($Q45=4,1,0)),IF($F45&lt;=85,1,0))</formula>
    </cfRule>
  </conditionalFormatting>
  <conditionalFormatting sqref="X45">
    <cfRule type="expression" priority="1089" dxfId="3">
      <formula>AND(IF(OR($Q45=1,$Q45=2),1,0),IF($X45&lt;=20,1,0))</formula>
    </cfRule>
    <cfRule type="expression" priority="1090" dxfId="2">
      <formula>AND(IF($Q45=2,1,0),IF($X45&lt;30,1,0))</formula>
    </cfRule>
    <cfRule type="expression" priority="1091" dxfId="1">
      <formula>AND(IF($Q45=3,1,0),IF($X45&lt;30,1,0))</formula>
    </cfRule>
    <cfRule type="expression" priority="1092" dxfId="0">
      <formula>AND(IF($Q45=3,1,IF($Q45=4,1,0)),IF($F45&lt;=85,1,0))</formula>
    </cfRule>
  </conditionalFormatting>
  <conditionalFormatting sqref="AI45">
    <cfRule type="expression" priority="1085" dxfId="3">
      <formula>AND(IF(OR($Q45=1,$Q45=2),1,0),IF($X45&lt;=20,1,0))</formula>
    </cfRule>
    <cfRule type="expression" priority="1086" dxfId="2">
      <formula>AND(IF($Q45=2,1,0),IF($X45&lt;30,1,0))</formula>
    </cfRule>
    <cfRule type="expression" priority="1087" dxfId="1">
      <formula>AND(IF($Q45=3,1,0),IF($X45&lt;30,1,0))</formula>
    </cfRule>
    <cfRule type="expression" priority="1088" dxfId="0">
      <formula>AND(IF($Q45=3,1,IF($Q45=4,1,0)),IF($F45&lt;=85,1,0))</formula>
    </cfRule>
  </conditionalFormatting>
  <conditionalFormatting sqref="AV46">
    <cfRule type="expression" priority="1083" dxfId="17">
      <formula>AV46="X"</formula>
    </cfRule>
    <cfRule type="expression" priority="1084" dxfId="16">
      <formula>AV46="후보"</formula>
    </cfRule>
  </conditionalFormatting>
  <conditionalFormatting sqref="AC46">
    <cfRule type="cellIs" priority="1080" operator="greaterThan" dxfId="13">
      <formula>0.9</formula>
    </cfRule>
    <cfRule type="cellIs" priority="1081" operator="greaterThan" dxfId="12">
      <formula>0.85</formula>
    </cfRule>
  </conditionalFormatting>
  <conditionalFormatting sqref="N46">
    <cfRule type="cellIs" priority="1078" operator="greaterThan" dxfId="13">
      <formula>0.9</formula>
    </cfRule>
    <cfRule type="cellIs" priority="1079" operator="greaterThan" dxfId="12">
      <formula>0.85</formula>
    </cfRule>
  </conditionalFormatting>
  <conditionalFormatting sqref="E46">
    <cfRule type="expression" priority="1074" dxfId="3">
      <formula>AND(IF(OR($Q46=1,$Q46=2),1,0),IF($X46&lt;=20,1,0))</formula>
    </cfRule>
    <cfRule type="expression" priority="1075" dxfId="2">
      <formula>AND(IF($Q46=2,1,0),IF($X46&lt;30,1,0))</formula>
    </cfRule>
    <cfRule type="expression" priority="1076" dxfId="1">
      <formula>AND(IF($Q46=3,1,0),IF($X46&lt;30,1,0))</formula>
    </cfRule>
    <cfRule type="expression" priority="1077" dxfId="0">
      <formula>AND(IF($Q46=3,1,IF($Q46=4,1,0)),IF($F46&lt;=85,1,0))</formula>
    </cfRule>
  </conditionalFormatting>
  <conditionalFormatting sqref="X46">
    <cfRule type="expression" priority="1070" dxfId="3">
      <formula>AND(IF(OR($Q46=1,$Q46=2),1,0),IF($X46&lt;=20,1,0))</formula>
    </cfRule>
    <cfRule type="expression" priority="1071" dxfId="2">
      <formula>AND(IF($Q46=2,1,0),IF($X46&lt;30,1,0))</formula>
    </cfRule>
    <cfRule type="expression" priority="1072" dxfId="1">
      <formula>AND(IF($Q46=3,1,0),IF($X46&lt;30,1,0))</formula>
    </cfRule>
    <cfRule type="expression" priority="1073" dxfId="0">
      <formula>AND(IF($Q46=3,1,IF($Q46=4,1,0)),IF($F46&lt;=85,1,0))</formula>
    </cfRule>
  </conditionalFormatting>
  <conditionalFormatting sqref="AI46">
    <cfRule type="expression" priority="1066" dxfId="3">
      <formula>AND(IF(OR($Q46=1,$Q46=2),1,0),IF($X46&lt;=20,1,0))</formula>
    </cfRule>
    <cfRule type="expression" priority="1067" dxfId="2">
      <formula>AND(IF($Q46=2,1,0),IF($X46&lt;30,1,0))</formula>
    </cfRule>
    <cfRule type="expression" priority="1068" dxfId="1">
      <formula>AND(IF($Q46=3,1,0),IF($X46&lt;30,1,0))</formula>
    </cfRule>
    <cfRule type="expression" priority="1069" dxfId="0">
      <formula>AND(IF($Q46=3,1,IF($Q46=4,1,0)),IF($F46&lt;=85,1,0))</formula>
    </cfRule>
  </conditionalFormatting>
  <conditionalFormatting sqref="AV47">
    <cfRule type="expression" priority="1064" dxfId="17">
      <formula>AV47="X"</formula>
    </cfRule>
    <cfRule type="expression" priority="1065" dxfId="16">
      <formula>AV47="후보"</formula>
    </cfRule>
  </conditionalFormatting>
  <conditionalFormatting sqref="AC47 N47">
    <cfRule type="cellIs" priority="1061" operator="greaterThan" dxfId="13">
      <formula>0.9</formula>
    </cfRule>
    <cfRule type="cellIs" priority="1062" operator="greaterThan" dxfId="12">
      <formula>0.85</formula>
    </cfRule>
  </conditionalFormatting>
  <conditionalFormatting sqref="AV48">
    <cfRule type="expression" priority="1059" dxfId="17">
      <formula>AV48="X"</formula>
    </cfRule>
    <cfRule type="expression" priority="1060" dxfId="16">
      <formula>AV48="후보"</formula>
    </cfRule>
  </conditionalFormatting>
  <conditionalFormatting sqref="AC48">
    <cfRule type="cellIs" priority="1056" operator="greaterThan" dxfId="13">
      <formula>0.9</formula>
    </cfRule>
    <cfRule type="cellIs" priority="1057" operator="greaterThan" dxfId="12">
      <formula>0.85</formula>
    </cfRule>
  </conditionalFormatting>
  <conditionalFormatting sqref="N48">
    <cfRule type="cellIs" priority="1054" operator="greaterThan" dxfId="13">
      <formula>0.9</formula>
    </cfRule>
    <cfRule type="cellIs" priority="1055" operator="greaterThan" dxfId="12">
      <formula>0.85</formula>
    </cfRule>
  </conditionalFormatting>
  <conditionalFormatting sqref="E48">
    <cfRule type="expression" priority="1050" dxfId="3">
      <formula>AND(IF(OR($Q48=1,$Q48=2),1,0),IF($X48&lt;=20,1,0))</formula>
    </cfRule>
    <cfRule type="expression" priority="1051" dxfId="2">
      <formula>AND(IF($Q48=2,1,0),IF($X48&lt;30,1,0))</formula>
    </cfRule>
    <cfRule type="expression" priority="1052" dxfId="1">
      <formula>AND(IF($Q48=3,1,0),IF($X48&lt;30,1,0))</formula>
    </cfRule>
    <cfRule type="expression" priority="1053" dxfId="0">
      <formula>AND(IF($Q48=3,1,IF($Q48=4,1,0)),IF($F48&lt;=85,1,0))</formula>
    </cfRule>
  </conditionalFormatting>
  <conditionalFormatting sqref="X48">
    <cfRule type="expression" priority="1046" dxfId="3">
      <formula>AND(IF(OR($Q48=1,$Q48=2),1,0),IF($X48&lt;=20,1,0))</formula>
    </cfRule>
    <cfRule type="expression" priority="1047" dxfId="2">
      <formula>AND(IF($Q48=2,1,0),IF($X48&lt;30,1,0))</formula>
    </cfRule>
    <cfRule type="expression" priority="1048" dxfId="1">
      <formula>AND(IF($Q48=3,1,0),IF($X48&lt;30,1,0))</formula>
    </cfRule>
    <cfRule type="expression" priority="1049" dxfId="0">
      <formula>AND(IF($Q48=3,1,IF($Q48=4,1,0)),IF($F48&lt;=85,1,0))</formula>
    </cfRule>
  </conditionalFormatting>
  <conditionalFormatting sqref="AI48">
    <cfRule type="expression" priority="1042" dxfId="3">
      <formula>AND(IF(OR($Q48=1,$Q48=2),1,0),IF($X48&lt;=20,1,0))</formula>
    </cfRule>
    <cfRule type="expression" priority="1043" dxfId="2">
      <formula>AND(IF($Q48=2,1,0),IF($X48&lt;30,1,0))</formula>
    </cfRule>
    <cfRule type="expression" priority="1044" dxfId="1">
      <formula>AND(IF($Q48=3,1,0),IF($X48&lt;30,1,0))</formula>
    </cfRule>
    <cfRule type="expression" priority="1045" dxfId="0">
      <formula>AND(IF($Q48=3,1,IF($Q48=4,1,0)),IF($F48&lt;=85,1,0))</formula>
    </cfRule>
  </conditionalFormatting>
  <conditionalFormatting sqref="AV49">
    <cfRule type="expression" priority="1040" dxfId="17">
      <formula>AV49="X"</formula>
    </cfRule>
    <cfRule type="expression" priority="1041" dxfId="16">
      <formula>AV49="후보"</formula>
    </cfRule>
  </conditionalFormatting>
  <conditionalFormatting sqref="AC49">
    <cfRule type="cellIs" priority="1037" operator="greaterThan" dxfId="13">
      <formula>0.9</formula>
    </cfRule>
    <cfRule type="cellIs" priority="1038" operator="greaterThan" dxfId="12">
      <formula>0.85</formula>
    </cfRule>
  </conditionalFormatting>
  <conditionalFormatting sqref="N49">
    <cfRule type="cellIs" priority="1035" operator="greaterThan" dxfId="13">
      <formula>0.9</formula>
    </cfRule>
    <cfRule type="cellIs" priority="1036" operator="greaterThan" dxfId="12">
      <formula>0.85</formula>
    </cfRule>
  </conditionalFormatting>
  <conditionalFormatting sqref="E49">
    <cfRule type="expression" priority="1031" dxfId="3">
      <formula>AND(IF(OR($Q49=1,$Q49=2),1,0),IF($X49&lt;=20,1,0))</formula>
    </cfRule>
    <cfRule type="expression" priority="1032" dxfId="2">
      <formula>AND(IF($Q49=2,1,0),IF($X49&lt;30,1,0))</formula>
    </cfRule>
    <cfRule type="expression" priority="1033" dxfId="1">
      <formula>AND(IF($Q49=3,1,0),IF($X49&lt;30,1,0))</formula>
    </cfRule>
    <cfRule type="expression" priority="1034" dxfId="0">
      <formula>AND(IF($Q49=3,1,IF($Q49=4,1,0)),IF($F49&lt;=85,1,0))</formula>
    </cfRule>
  </conditionalFormatting>
  <conditionalFormatting sqref="X49">
    <cfRule type="expression" priority="1027" dxfId="3">
      <formula>AND(IF(OR($Q49=1,$Q49=2),1,0),IF($X49&lt;=20,1,0))</formula>
    </cfRule>
    <cfRule type="expression" priority="1028" dxfId="2">
      <formula>AND(IF($Q49=2,1,0),IF($X49&lt;30,1,0))</formula>
    </cfRule>
    <cfRule type="expression" priority="1029" dxfId="1">
      <formula>AND(IF($Q49=3,1,0),IF($X49&lt;30,1,0))</formula>
    </cfRule>
    <cfRule type="expression" priority="1030" dxfId="0">
      <formula>AND(IF($Q49=3,1,IF($Q49=4,1,0)),IF($F49&lt;=85,1,0))</formula>
    </cfRule>
  </conditionalFormatting>
  <conditionalFormatting sqref="AI49">
    <cfRule type="expression" priority="1023" dxfId="3">
      <formula>AND(IF(OR($Q49=1,$Q49=2),1,0),IF($X49&lt;=20,1,0))</formula>
    </cfRule>
    <cfRule type="expression" priority="1024" dxfId="2">
      <formula>AND(IF($Q49=2,1,0),IF($X49&lt;30,1,0))</formula>
    </cfRule>
    <cfRule type="expression" priority="1025" dxfId="1">
      <formula>AND(IF($Q49=3,1,0),IF($X49&lt;30,1,0))</formula>
    </cfRule>
    <cfRule type="expression" priority="1026" dxfId="0">
      <formula>AND(IF($Q49=3,1,IF($Q49=4,1,0)),IF($F49&lt;=85,1,0))</formula>
    </cfRule>
  </conditionalFormatting>
  <conditionalFormatting sqref="AV50">
    <cfRule type="expression" priority="1021" dxfId="17">
      <formula>AV50="X"</formula>
    </cfRule>
    <cfRule type="expression" priority="1022" dxfId="16">
      <formula>AV50="후보"</formula>
    </cfRule>
  </conditionalFormatting>
  <conditionalFormatting sqref="AC50">
    <cfRule type="cellIs" priority="1018" operator="greaterThan" dxfId="13">
      <formula>0.9</formula>
    </cfRule>
    <cfRule type="cellIs" priority="1019" operator="greaterThan" dxfId="12">
      <formula>0.85</formula>
    </cfRule>
  </conditionalFormatting>
  <conditionalFormatting sqref="N50">
    <cfRule type="cellIs" priority="1016" operator="greaterThan" dxfId="13">
      <formula>0.9</formula>
    </cfRule>
    <cfRule type="cellIs" priority="1017" operator="greaterThan" dxfId="12">
      <formula>0.85</formula>
    </cfRule>
  </conditionalFormatting>
  <conditionalFormatting sqref="E50">
    <cfRule type="expression" priority="1012" dxfId="3">
      <formula>AND(IF(OR($Q50=1,$Q50=2),1,0),IF($X50&lt;=20,1,0))</formula>
    </cfRule>
    <cfRule type="expression" priority="1013" dxfId="2">
      <formula>AND(IF($Q50=2,1,0),IF($X50&lt;30,1,0))</formula>
    </cfRule>
    <cfRule type="expression" priority="1014" dxfId="1">
      <formula>AND(IF($Q50=3,1,0),IF($X50&lt;30,1,0))</formula>
    </cfRule>
    <cfRule type="expression" priority="1015" dxfId="0">
      <formula>AND(IF($Q50=3,1,IF($Q50=4,1,0)),IF($F50&lt;=85,1,0))</formula>
    </cfRule>
  </conditionalFormatting>
  <conditionalFormatting sqref="X50">
    <cfRule type="expression" priority="1008" dxfId="3">
      <formula>AND(IF(OR($Q50=1,$Q50=2),1,0),IF($X50&lt;=20,1,0))</formula>
    </cfRule>
    <cfRule type="expression" priority="1009" dxfId="2">
      <formula>AND(IF($Q50=2,1,0),IF($X50&lt;30,1,0))</formula>
    </cfRule>
    <cfRule type="expression" priority="1010" dxfId="1">
      <formula>AND(IF($Q50=3,1,0),IF($X50&lt;30,1,0))</formula>
    </cfRule>
    <cfRule type="expression" priority="1011" dxfId="0">
      <formula>AND(IF($Q50=3,1,IF($Q50=4,1,0)),IF($F50&lt;=85,1,0))</formula>
    </cfRule>
  </conditionalFormatting>
  <conditionalFormatting sqref="AI50">
    <cfRule type="expression" priority="1004" dxfId="3">
      <formula>AND(IF(OR($Q50=1,$Q50=2),1,0),IF($X50&lt;=20,1,0))</formula>
    </cfRule>
    <cfRule type="expression" priority="1005" dxfId="2">
      <formula>AND(IF($Q50=2,1,0),IF($X50&lt;30,1,0))</formula>
    </cfRule>
    <cfRule type="expression" priority="1006" dxfId="1">
      <formula>AND(IF($Q50=3,1,0),IF($X50&lt;30,1,0))</formula>
    </cfRule>
    <cfRule type="expression" priority="1007" dxfId="0">
      <formula>AND(IF($Q50=3,1,IF($Q50=4,1,0)),IF($F50&lt;=85,1,0))</formula>
    </cfRule>
  </conditionalFormatting>
  <conditionalFormatting sqref="AV51">
    <cfRule type="expression" priority="1002" dxfId="17">
      <formula>AV51="X"</formula>
    </cfRule>
    <cfRule type="expression" priority="1003" dxfId="16">
      <formula>AV51="후보"</formula>
    </cfRule>
  </conditionalFormatting>
  <conditionalFormatting sqref="AC51">
    <cfRule type="cellIs" priority="999" operator="greaterThan" dxfId="13">
      <formula>0.9</formula>
    </cfRule>
    <cfRule type="cellIs" priority="1000" operator="greaterThan" dxfId="12">
      <formula>0.85</formula>
    </cfRule>
  </conditionalFormatting>
  <conditionalFormatting sqref="N51">
    <cfRule type="cellIs" priority="997" operator="greaterThan" dxfId="13">
      <formula>0.9</formula>
    </cfRule>
    <cfRule type="cellIs" priority="998" operator="greaterThan" dxfId="12">
      <formula>0.85</formula>
    </cfRule>
  </conditionalFormatting>
  <conditionalFormatting sqref="E51">
    <cfRule type="expression" priority="993" dxfId="3">
      <formula>AND(IF(OR($Q51=1,$Q51=2),1,0),IF($X51&lt;=20,1,0))</formula>
    </cfRule>
    <cfRule type="expression" priority="994" dxfId="2">
      <formula>AND(IF($Q51=2,1,0),IF($X51&lt;30,1,0))</formula>
    </cfRule>
    <cfRule type="expression" priority="995" dxfId="1">
      <formula>AND(IF($Q51=3,1,0),IF($X51&lt;30,1,0))</formula>
    </cfRule>
    <cfRule type="expression" priority="996" dxfId="0">
      <formula>AND(IF($Q51=3,1,IF($Q51=4,1,0)),IF($F51&lt;=85,1,0))</formula>
    </cfRule>
  </conditionalFormatting>
  <conditionalFormatting sqref="X51">
    <cfRule type="expression" priority="989" dxfId="3">
      <formula>AND(IF(OR($Q51=1,$Q51=2),1,0),IF($X51&lt;=20,1,0))</formula>
    </cfRule>
    <cfRule type="expression" priority="990" dxfId="2">
      <formula>AND(IF($Q51=2,1,0),IF($X51&lt;30,1,0))</formula>
    </cfRule>
    <cfRule type="expression" priority="991" dxfId="1">
      <formula>AND(IF($Q51=3,1,0),IF($X51&lt;30,1,0))</formula>
    </cfRule>
    <cfRule type="expression" priority="992" dxfId="0">
      <formula>AND(IF($Q51=3,1,IF($Q51=4,1,0)),IF($F51&lt;=85,1,0))</formula>
    </cfRule>
  </conditionalFormatting>
  <conditionalFormatting sqref="AI51">
    <cfRule type="expression" priority="985" dxfId="3">
      <formula>AND(IF(OR($Q51=1,$Q51=2),1,0),IF($X51&lt;=20,1,0))</formula>
    </cfRule>
    <cfRule type="expression" priority="986" dxfId="2">
      <formula>AND(IF($Q51=2,1,0),IF($X51&lt;30,1,0))</formula>
    </cfRule>
    <cfRule type="expression" priority="987" dxfId="1">
      <formula>AND(IF($Q51=3,1,0),IF($X51&lt;30,1,0))</formula>
    </cfRule>
    <cfRule type="expression" priority="988" dxfId="0">
      <formula>AND(IF($Q51=3,1,IF($Q51=4,1,0)),IF($F51&lt;=85,1,0))</formula>
    </cfRule>
  </conditionalFormatting>
  <conditionalFormatting sqref="AV52">
    <cfRule type="expression" priority="983" dxfId="17">
      <formula>AV52="X"</formula>
    </cfRule>
    <cfRule type="expression" priority="984" dxfId="16">
      <formula>AV52="후보"</formula>
    </cfRule>
  </conditionalFormatting>
  <conditionalFormatting sqref="AC52">
    <cfRule type="cellIs" priority="980" operator="greaterThan" dxfId="13">
      <formula>0.9</formula>
    </cfRule>
    <cfRule type="cellIs" priority="981" operator="greaterThan" dxfId="12">
      <formula>0.85</formula>
    </cfRule>
  </conditionalFormatting>
  <conditionalFormatting sqref="N52">
    <cfRule type="cellIs" priority="978" operator="greaterThan" dxfId="13">
      <formula>0.9</formula>
    </cfRule>
    <cfRule type="cellIs" priority="979" operator="greaterThan" dxfId="12">
      <formula>0.85</formula>
    </cfRule>
  </conditionalFormatting>
  <conditionalFormatting sqref="E52">
    <cfRule type="expression" priority="974" dxfId="3">
      <formula>AND(IF(OR($Q52=1,$Q52=2),1,0),IF($X52&lt;=20,1,0))</formula>
    </cfRule>
    <cfRule type="expression" priority="975" dxfId="2">
      <formula>AND(IF($Q52=2,1,0),IF($X52&lt;30,1,0))</formula>
    </cfRule>
    <cfRule type="expression" priority="976" dxfId="1">
      <formula>AND(IF($Q52=3,1,0),IF($X52&lt;30,1,0))</formula>
    </cfRule>
    <cfRule type="expression" priority="977" dxfId="0">
      <formula>AND(IF($Q52=3,1,IF($Q52=4,1,0)),IF($F52&lt;=85,1,0))</formula>
    </cfRule>
  </conditionalFormatting>
  <conditionalFormatting sqref="X52">
    <cfRule type="expression" priority="970" dxfId="3">
      <formula>AND(IF(OR($Q52=1,$Q52=2),1,0),IF($X52&lt;=20,1,0))</formula>
    </cfRule>
    <cfRule type="expression" priority="971" dxfId="2">
      <formula>AND(IF($Q52=2,1,0),IF($X52&lt;30,1,0))</formula>
    </cfRule>
    <cfRule type="expression" priority="972" dxfId="1">
      <formula>AND(IF($Q52=3,1,0),IF($X52&lt;30,1,0))</formula>
    </cfRule>
    <cfRule type="expression" priority="973" dxfId="0">
      <formula>AND(IF($Q52=3,1,IF($Q52=4,1,0)),IF($F52&lt;=85,1,0))</formula>
    </cfRule>
  </conditionalFormatting>
  <conditionalFormatting sqref="AI52">
    <cfRule type="expression" priority="966" dxfId="3">
      <formula>AND(IF(OR($Q52=1,$Q52=2),1,0),IF($X52&lt;=20,1,0))</formula>
    </cfRule>
    <cfRule type="expression" priority="967" dxfId="2">
      <formula>AND(IF($Q52=2,1,0),IF($X52&lt;30,1,0))</formula>
    </cfRule>
    <cfRule type="expression" priority="968" dxfId="1">
      <formula>AND(IF($Q52=3,1,0),IF($X52&lt;30,1,0))</formula>
    </cfRule>
    <cfRule type="expression" priority="969" dxfId="0">
      <formula>AND(IF($Q52=3,1,IF($Q52=4,1,0)),IF($F52&lt;=85,1,0))</formula>
    </cfRule>
  </conditionalFormatting>
  <conditionalFormatting sqref="AV53">
    <cfRule type="expression" priority="964" dxfId="17">
      <formula>AV53="X"</formula>
    </cfRule>
    <cfRule type="expression" priority="965" dxfId="16">
      <formula>AV53="후보"</formula>
    </cfRule>
  </conditionalFormatting>
  <conditionalFormatting sqref="AC53">
    <cfRule type="cellIs" priority="961" operator="greaterThan" dxfId="13">
      <formula>0.9</formula>
    </cfRule>
    <cfRule type="cellIs" priority="962" operator="greaterThan" dxfId="12">
      <formula>0.85</formula>
    </cfRule>
  </conditionalFormatting>
  <conditionalFormatting sqref="N53">
    <cfRule type="cellIs" priority="959" operator="greaterThan" dxfId="13">
      <formula>0.9</formula>
    </cfRule>
    <cfRule type="cellIs" priority="960" operator="greaterThan" dxfId="12">
      <formula>0.85</formula>
    </cfRule>
  </conditionalFormatting>
  <conditionalFormatting sqref="E53">
    <cfRule type="expression" priority="955" dxfId="3">
      <formula>AND(IF(OR($Q53=1,$Q53=2),1,0),IF($X53&lt;=20,1,0))</formula>
    </cfRule>
    <cfRule type="expression" priority="956" dxfId="2">
      <formula>AND(IF($Q53=2,1,0),IF($X53&lt;30,1,0))</formula>
    </cfRule>
    <cfRule type="expression" priority="957" dxfId="1">
      <formula>AND(IF($Q53=3,1,0),IF($X53&lt;30,1,0))</formula>
    </cfRule>
    <cfRule type="expression" priority="958" dxfId="0">
      <formula>AND(IF($Q53=3,1,IF($Q53=4,1,0)),IF($F53&lt;=85,1,0))</formula>
    </cfRule>
  </conditionalFormatting>
  <conditionalFormatting sqref="X53">
    <cfRule type="expression" priority="951" dxfId="3">
      <formula>AND(IF(OR($Q53=1,$Q53=2),1,0),IF($X53&lt;=20,1,0))</formula>
    </cfRule>
    <cfRule type="expression" priority="952" dxfId="2">
      <formula>AND(IF($Q53=2,1,0),IF($X53&lt;30,1,0))</formula>
    </cfRule>
    <cfRule type="expression" priority="953" dxfId="1">
      <formula>AND(IF($Q53=3,1,0),IF($X53&lt;30,1,0))</formula>
    </cfRule>
    <cfRule type="expression" priority="954" dxfId="0">
      <formula>AND(IF($Q53=3,1,IF($Q53=4,1,0)),IF($F53&lt;=85,1,0))</formula>
    </cfRule>
  </conditionalFormatting>
  <conditionalFormatting sqref="AI53">
    <cfRule type="expression" priority="947" dxfId="3">
      <formula>AND(IF(OR($Q53=1,$Q53=2),1,0),IF($X53&lt;=20,1,0))</formula>
    </cfRule>
    <cfRule type="expression" priority="948" dxfId="2">
      <formula>AND(IF($Q53=2,1,0),IF($X53&lt;30,1,0))</formula>
    </cfRule>
    <cfRule type="expression" priority="949" dxfId="1">
      <formula>AND(IF($Q53=3,1,0),IF($X53&lt;30,1,0))</formula>
    </cfRule>
    <cfRule type="expression" priority="950" dxfId="0">
      <formula>AND(IF($Q53=3,1,IF($Q53=4,1,0)),IF($F53&lt;=85,1,0))</formula>
    </cfRule>
  </conditionalFormatting>
  <conditionalFormatting sqref="AV54">
    <cfRule type="expression" priority="945" dxfId="17">
      <formula>AV54="X"</formula>
    </cfRule>
    <cfRule type="expression" priority="946" dxfId="16">
      <formula>AV54="후보"</formula>
    </cfRule>
  </conditionalFormatting>
  <conditionalFormatting sqref="AC54">
    <cfRule type="cellIs" priority="942" operator="greaterThan" dxfId="13">
      <formula>0.9</formula>
    </cfRule>
    <cfRule type="cellIs" priority="943" operator="greaterThan" dxfId="12">
      <formula>0.85</formula>
    </cfRule>
  </conditionalFormatting>
  <conditionalFormatting sqref="N54">
    <cfRule type="cellIs" priority="940" operator="greaterThan" dxfId="13">
      <formula>0.9</formula>
    </cfRule>
    <cfRule type="cellIs" priority="941" operator="greaterThan" dxfId="12">
      <formula>0.85</formula>
    </cfRule>
  </conditionalFormatting>
  <conditionalFormatting sqref="E54">
    <cfRule type="expression" priority="936" dxfId="3">
      <formula>AND(IF(OR($Q54=1,$Q54=2),1,0),IF($X54&lt;=20,1,0))</formula>
    </cfRule>
    <cfRule type="expression" priority="937" dxfId="2">
      <formula>AND(IF($Q54=2,1,0),IF($X54&lt;30,1,0))</formula>
    </cfRule>
    <cfRule type="expression" priority="938" dxfId="1">
      <formula>AND(IF($Q54=3,1,0),IF($X54&lt;30,1,0))</formula>
    </cfRule>
    <cfRule type="expression" priority="939" dxfId="0">
      <formula>AND(IF($Q54=3,1,IF($Q54=4,1,0)),IF($F54&lt;=85,1,0))</formula>
    </cfRule>
  </conditionalFormatting>
  <conditionalFormatting sqref="X54">
    <cfRule type="expression" priority="932" dxfId="3">
      <formula>AND(IF(OR($Q54=1,$Q54=2),1,0),IF($X54&lt;=20,1,0))</formula>
    </cfRule>
    <cfRule type="expression" priority="933" dxfId="2">
      <formula>AND(IF($Q54=2,1,0),IF($X54&lt;30,1,0))</formula>
    </cfRule>
    <cfRule type="expression" priority="934" dxfId="1">
      <formula>AND(IF($Q54=3,1,0),IF($X54&lt;30,1,0))</formula>
    </cfRule>
    <cfRule type="expression" priority="935" dxfId="0">
      <formula>AND(IF($Q54=3,1,IF($Q54=4,1,0)),IF($F54&lt;=85,1,0))</formula>
    </cfRule>
  </conditionalFormatting>
  <conditionalFormatting sqref="AI54">
    <cfRule type="expression" priority="928" dxfId="3">
      <formula>AND(IF(OR($Q54=1,$Q54=2),1,0),IF($X54&lt;=20,1,0))</formula>
    </cfRule>
    <cfRule type="expression" priority="929" dxfId="2">
      <formula>AND(IF($Q54=2,1,0),IF($X54&lt;30,1,0))</formula>
    </cfRule>
    <cfRule type="expression" priority="930" dxfId="1">
      <formula>AND(IF($Q54=3,1,0),IF($X54&lt;30,1,0))</formula>
    </cfRule>
    <cfRule type="expression" priority="931" dxfId="0">
      <formula>AND(IF($Q54=3,1,IF($Q54=4,1,0)),IF($F54&lt;=85,1,0))</formula>
    </cfRule>
  </conditionalFormatting>
  <conditionalFormatting sqref="AV55">
    <cfRule type="expression" priority="926" dxfId="17">
      <formula>AV55="X"</formula>
    </cfRule>
    <cfRule type="expression" priority="927" dxfId="16">
      <formula>AV55="후보"</formula>
    </cfRule>
  </conditionalFormatting>
  <conditionalFormatting sqref="AC55">
    <cfRule type="cellIs" priority="923" operator="greaterThan" dxfId="13">
      <formula>0.9</formula>
    </cfRule>
    <cfRule type="cellIs" priority="924" operator="greaterThan" dxfId="12">
      <formula>0.85</formula>
    </cfRule>
  </conditionalFormatting>
  <conditionalFormatting sqref="N55">
    <cfRule type="cellIs" priority="921" operator="greaterThan" dxfId="13">
      <formula>0.9</formula>
    </cfRule>
    <cfRule type="cellIs" priority="922" operator="greaterThan" dxfId="12">
      <formula>0.85</formula>
    </cfRule>
  </conditionalFormatting>
  <conditionalFormatting sqref="E55">
    <cfRule type="expression" priority="917" dxfId="3">
      <formula>AND(IF(OR($Q55=1,$Q55=2),1,0),IF($X55&lt;=20,1,0))</formula>
    </cfRule>
    <cfRule type="expression" priority="918" dxfId="2">
      <formula>AND(IF($Q55=2,1,0),IF($X55&lt;30,1,0))</formula>
    </cfRule>
    <cfRule type="expression" priority="919" dxfId="1">
      <formula>AND(IF($Q55=3,1,0),IF($X55&lt;30,1,0))</formula>
    </cfRule>
    <cfRule type="expression" priority="920" dxfId="0">
      <formula>AND(IF($Q55=3,1,IF($Q55=4,1,0)),IF($F55&lt;=85,1,0))</formula>
    </cfRule>
  </conditionalFormatting>
  <conditionalFormatting sqref="X55">
    <cfRule type="expression" priority="913" dxfId="3">
      <formula>AND(IF(OR($Q55=1,$Q55=2),1,0),IF($X55&lt;=20,1,0))</formula>
    </cfRule>
    <cfRule type="expression" priority="914" dxfId="2">
      <formula>AND(IF($Q55=2,1,0),IF($X55&lt;30,1,0))</formula>
    </cfRule>
    <cfRule type="expression" priority="915" dxfId="1">
      <formula>AND(IF($Q55=3,1,0),IF($X55&lt;30,1,0))</formula>
    </cfRule>
    <cfRule type="expression" priority="916" dxfId="0">
      <formula>AND(IF($Q55=3,1,IF($Q55=4,1,0)),IF($F55&lt;=85,1,0))</formula>
    </cfRule>
  </conditionalFormatting>
  <conditionalFormatting sqref="AI55">
    <cfRule type="expression" priority="909" dxfId="3">
      <formula>AND(IF(OR($Q55=1,$Q55=2),1,0),IF($X55&lt;=20,1,0))</formula>
    </cfRule>
    <cfRule type="expression" priority="910" dxfId="2">
      <formula>AND(IF($Q55=2,1,0),IF($X55&lt;30,1,0))</formula>
    </cfRule>
    <cfRule type="expression" priority="911" dxfId="1">
      <formula>AND(IF($Q55=3,1,0),IF($X55&lt;30,1,0))</formula>
    </cfRule>
    <cfRule type="expression" priority="912" dxfId="0">
      <formula>AND(IF($Q55=3,1,IF($Q55=4,1,0)),IF($F55&lt;=85,1,0))</formula>
    </cfRule>
  </conditionalFormatting>
  <conditionalFormatting sqref="AV56">
    <cfRule type="expression" priority="907" dxfId="17">
      <formula>AV56="X"</formula>
    </cfRule>
    <cfRule type="expression" priority="908" dxfId="16">
      <formula>AV56="후보"</formula>
    </cfRule>
  </conditionalFormatting>
  <conditionalFormatting sqref="AC56">
    <cfRule type="cellIs" priority="904" operator="greaterThan" dxfId="13">
      <formula>0.9</formula>
    </cfRule>
    <cfRule type="cellIs" priority="905" operator="greaterThan" dxfId="12">
      <formula>0.85</formula>
    </cfRule>
  </conditionalFormatting>
  <conditionalFormatting sqref="N56">
    <cfRule type="cellIs" priority="902" operator="greaterThan" dxfId="13">
      <formula>0.9</formula>
    </cfRule>
    <cfRule type="cellIs" priority="903" operator="greaterThan" dxfId="12">
      <formula>0.85</formula>
    </cfRule>
  </conditionalFormatting>
  <conditionalFormatting sqref="E56">
    <cfRule type="expression" priority="898" dxfId="3">
      <formula>AND(IF(OR($Q56=1,$Q56=2),1,0),IF($X56&lt;=20,1,0))</formula>
    </cfRule>
    <cfRule type="expression" priority="899" dxfId="2">
      <formula>AND(IF($Q56=2,1,0),IF($X56&lt;30,1,0))</formula>
    </cfRule>
    <cfRule type="expression" priority="900" dxfId="1">
      <formula>AND(IF($Q56=3,1,0),IF($X56&lt;30,1,0))</formula>
    </cfRule>
    <cfRule type="expression" priority="901" dxfId="0">
      <formula>AND(IF($Q56=3,1,IF($Q56=4,1,0)),IF($F56&lt;=85,1,0))</formula>
    </cfRule>
  </conditionalFormatting>
  <conditionalFormatting sqref="X56">
    <cfRule type="expression" priority="894" dxfId="3">
      <formula>AND(IF(OR($Q56=1,$Q56=2),1,0),IF($X56&lt;=20,1,0))</formula>
    </cfRule>
    <cfRule type="expression" priority="895" dxfId="2">
      <formula>AND(IF($Q56=2,1,0),IF($X56&lt;30,1,0))</formula>
    </cfRule>
    <cfRule type="expression" priority="896" dxfId="1">
      <formula>AND(IF($Q56=3,1,0),IF($X56&lt;30,1,0))</formula>
    </cfRule>
    <cfRule type="expression" priority="897" dxfId="0">
      <formula>AND(IF($Q56=3,1,IF($Q56=4,1,0)),IF($F56&lt;=85,1,0))</formula>
    </cfRule>
  </conditionalFormatting>
  <conditionalFormatting sqref="AI56">
    <cfRule type="expression" priority="890" dxfId="3">
      <formula>AND(IF(OR($Q56=1,$Q56=2),1,0),IF($X56&lt;=20,1,0))</formula>
    </cfRule>
    <cfRule type="expression" priority="891" dxfId="2">
      <formula>AND(IF($Q56=2,1,0),IF($X56&lt;30,1,0))</formula>
    </cfRule>
    <cfRule type="expression" priority="892" dxfId="1">
      <formula>AND(IF($Q56=3,1,0),IF($X56&lt;30,1,0))</formula>
    </cfRule>
    <cfRule type="expression" priority="893" dxfId="0">
      <formula>AND(IF($Q56=3,1,IF($Q56=4,1,0)),IF($F56&lt;=85,1,0))</formula>
    </cfRule>
  </conditionalFormatting>
  <conditionalFormatting sqref="AV57">
    <cfRule type="expression" priority="888" dxfId="17">
      <formula>AV57="X"</formula>
    </cfRule>
    <cfRule type="expression" priority="889" dxfId="16">
      <formula>AV57="후보"</formula>
    </cfRule>
  </conditionalFormatting>
  <conditionalFormatting sqref="AC57">
    <cfRule type="cellIs" priority="885" operator="greaterThan" dxfId="13">
      <formula>0.9</formula>
    </cfRule>
    <cfRule type="cellIs" priority="886" operator="greaterThan" dxfId="12">
      <formula>0.85</formula>
    </cfRule>
  </conditionalFormatting>
  <conditionalFormatting sqref="N57">
    <cfRule type="cellIs" priority="883" operator="greaterThan" dxfId="13">
      <formula>0.9</formula>
    </cfRule>
    <cfRule type="cellIs" priority="884" operator="greaterThan" dxfId="12">
      <formula>0.85</formula>
    </cfRule>
  </conditionalFormatting>
  <conditionalFormatting sqref="E57">
    <cfRule type="expression" priority="879" dxfId="3">
      <formula>AND(IF(OR($Q57=1,$Q57=2),1,0),IF($X57&lt;=20,1,0))</formula>
    </cfRule>
    <cfRule type="expression" priority="880" dxfId="2">
      <formula>AND(IF($Q57=2,1,0),IF($X57&lt;30,1,0))</formula>
    </cfRule>
    <cfRule type="expression" priority="881" dxfId="1">
      <formula>AND(IF($Q57=3,1,0),IF($X57&lt;30,1,0))</formula>
    </cfRule>
    <cfRule type="expression" priority="882" dxfId="0">
      <formula>AND(IF($Q57=3,1,IF($Q57=4,1,0)),IF($F57&lt;=85,1,0))</formula>
    </cfRule>
  </conditionalFormatting>
  <conditionalFormatting sqref="X57">
    <cfRule type="expression" priority="875" dxfId="3">
      <formula>AND(IF(OR($Q57=1,$Q57=2),1,0),IF($X57&lt;=20,1,0))</formula>
    </cfRule>
    <cfRule type="expression" priority="876" dxfId="2">
      <formula>AND(IF($Q57=2,1,0),IF($X57&lt;30,1,0))</formula>
    </cfRule>
    <cfRule type="expression" priority="877" dxfId="1">
      <formula>AND(IF($Q57=3,1,0),IF($X57&lt;30,1,0))</formula>
    </cfRule>
    <cfRule type="expression" priority="878" dxfId="0">
      <formula>AND(IF($Q57=3,1,IF($Q57=4,1,0)),IF($F57&lt;=85,1,0))</formula>
    </cfRule>
  </conditionalFormatting>
  <conditionalFormatting sqref="AI57">
    <cfRule type="expression" priority="871" dxfId="3">
      <formula>AND(IF(OR($Q57=1,$Q57=2),1,0),IF($X57&lt;=20,1,0))</formula>
    </cfRule>
    <cfRule type="expression" priority="872" dxfId="2">
      <formula>AND(IF($Q57=2,1,0),IF($X57&lt;30,1,0))</formula>
    </cfRule>
    <cfRule type="expression" priority="873" dxfId="1">
      <formula>AND(IF($Q57=3,1,0),IF($X57&lt;30,1,0))</formula>
    </cfRule>
    <cfRule type="expression" priority="874" dxfId="0">
      <formula>AND(IF($Q57=3,1,IF($Q57=4,1,0)),IF($F57&lt;=85,1,0))</formula>
    </cfRule>
  </conditionalFormatting>
  <conditionalFormatting sqref="AV58">
    <cfRule type="expression" priority="869" dxfId="17">
      <formula>AV58="X"</formula>
    </cfRule>
    <cfRule type="expression" priority="870" dxfId="16">
      <formula>AV58="후보"</formula>
    </cfRule>
  </conditionalFormatting>
  <conditionalFormatting sqref="AC58">
    <cfRule type="cellIs" priority="866" operator="greaterThan" dxfId="13">
      <formula>0.9</formula>
    </cfRule>
    <cfRule type="cellIs" priority="867" operator="greaterThan" dxfId="12">
      <formula>0.85</formula>
    </cfRule>
  </conditionalFormatting>
  <conditionalFormatting sqref="N58">
    <cfRule type="cellIs" priority="864" operator="greaterThan" dxfId="13">
      <formula>0.9</formula>
    </cfRule>
    <cfRule type="cellIs" priority="865" operator="greaterThan" dxfId="12">
      <formula>0.85</formula>
    </cfRule>
  </conditionalFormatting>
  <conditionalFormatting sqref="E58">
    <cfRule type="expression" priority="860" dxfId="3">
      <formula>AND(IF(OR($Q58=1,$Q58=2),1,0),IF($X58&lt;=20,1,0))</formula>
    </cfRule>
    <cfRule type="expression" priority="861" dxfId="2">
      <formula>AND(IF($Q58=2,1,0),IF($X58&lt;30,1,0))</formula>
    </cfRule>
    <cfRule type="expression" priority="862" dxfId="1">
      <formula>AND(IF($Q58=3,1,0),IF($X58&lt;30,1,0))</formula>
    </cfRule>
    <cfRule type="expression" priority="863" dxfId="0">
      <formula>AND(IF($Q58=3,1,IF($Q58=4,1,0)),IF($F58&lt;=85,1,0))</formula>
    </cfRule>
  </conditionalFormatting>
  <conditionalFormatting sqref="X58">
    <cfRule type="expression" priority="856" dxfId="3">
      <formula>AND(IF(OR($Q58=1,$Q58=2),1,0),IF($X58&lt;=20,1,0))</formula>
    </cfRule>
    <cfRule type="expression" priority="857" dxfId="2">
      <formula>AND(IF($Q58=2,1,0),IF($X58&lt;30,1,0))</formula>
    </cfRule>
    <cfRule type="expression" priority="858" dxfId="1">
      <formula>AND(IF($Q58=3,1,0),IF($X58&lt;30,1,0))</formula>
    </cfRule>
    <cfRule type="expression" priority="859" dxfId="0">
      <formula>AND(IF($Q58=3,1,IF($Q58=4,1,0)),IF($F58&lt;=85,1,0))</formula>
    </cfRule>
  </conditionalFormatting>
  <conditionalFormatting sqref="AI58">
    <cfRule type="expression" priority="852" dxfId="3">
      <formula>AND(IF(OR($Q58=1,$Q58=2),1,0),IF($X58&lt;=20,1,0))</formula>
    </cfRule>
    <cfRule type="expression" priority="853" dxfId="2">
      <formula>AND(IF($Q58=2,1,0),IF($X58&lt;30,1,0))</formula>
    </cfRule>
    <cfRule type="expression" priority="854" dxfId="1">
      <formula>AND(IF($Q58=3,1,0),IF($X58&lt;30,1,0))</formula>
    </cfRule>
    <cfRule type="expression" priority="855" dxfId="0">
      <formula>AND(IF($Q58=3,1,IF($Q58=4,1,0)),IF($F58&lt;=85,1,0))</formula>
    </cfRule>
  </conditionalFormatting>
  <conditionalFormatting sqref="AV59">
    <cfRule type="expression" priority="850" dxfId="17">
      <formula>AV59="X"</formula>
    </cfRule>
    <cfRule type="expression" priority="851" dxfId="16">
      <formula>AV59="후보"</formula>
    </cfRule>
  </conditionalFormatting>
  <conditionalFormatting sqref="AC59">
    <cfRule type="cellIs" priority="847" operator="greaterThan" dxfId="13">
      <formula>0.9</formula>
    </cfRule>
    <cfRule type="cellIs" priority="848" operator="greaterThan" dxfId="12">
      <formula>0.85</formula>
    </cfRule>
  </conditionalFormatting>
  <conditionalFormatting sqref="N59">
    <cfRule type="cellIs" priority="845" operator="greaterThan" dxfId="13">
      <formula>0.9</formula>
    </cfRule>
    <cfRule type="cellIs" priority="846" operator="greaterThan" dxfId="12">
      <formula>0.85</formula>
    </cfRule>
  </conditionalFormatting>
  <conditionalFormatting sqref="E59">
    <cfRule type="expression" priority="841" dxfId="3">
      <formula>AND(IF(OR($Q59=1,$Q59=2),1,0),IF($X59&lt;=20,1,0))</formula>
    </cfRule>
    <cfRule type="expression" priority="842" dxfId="2">
      <formula>AND(IF($Q59=2,1,0),IF($X59&lt;30,1,0))</formula>
    </cfRule>
    <cfRule type="expression" priority="843" dxfId="1">
      <formula>AND(IF($Q59=3,1,0),IF($X59&lt;30,1,0))</formula>
    </cfRule>
    <cfRule type="expression" priority="844" dxfId="0">
      <formula>AND(IF($Q59=3,1,IF($Q59=4,1,0)),IF($F59&lt;=85,1,0))</formula>
    </cfRule>
  </conditionalFormatting>
  <conditionalFormatting sqref="X59">
    <cfRule type="expression" priority="837" dxfId="3">
      <formula>AND(IF(OR($Q59=1,$Q59=2),1,0),IF($X59&lt;=20,1,0))</formula>
    </cfRule>
    <cfRule type="expression" priority="838" dxfId="2">
      <formula>AND(IF($Q59=2,1,0),IF($X59&lt;30,1,0))</formula>
    </cfRule>
    <cfRule type="expression" priority="839" dxfId="1">
      <formula>AND(IF($Q59=3,1,0),IF($X59&lt;30,1,0))</formula>
    </cfRule>
    <cfRule type="expression" priority="840" dxfId="0">
      <formula>AND(IF($Q59=3,1,IF($Q59=4,1,0)),IF($F59&lt;=85,1,0))</formula>
    </cfRule>
  </conditionalFormatting>
  <conditionalFormatting sqref="AI59">
    <cfRule type="expression" priority="833" dxfId="3">
      <formula>AND(IF(OR($Q59=1,$Q59=2),1,0),IF($X59&lt;=20,1,0))</formula>
    </cfRule>
    <cfRule type="expression" priority="834" dxfId="2">
      <formula>AND(IF($Q59=2,1,0),IF($X59&lt;30,1,0))</formula>
    </cfRule>
    <cfRule type="expression" priority="835" dxfId="1">
      <formula>AND(IF($Q59=3,1,0),IF($X59&lt;30,1,0))</formula>
    </cfRule>
    <cfRule type="expression" priority="836" dxfId="0">
      <formula>AND(IF($Q59=3,1,IF($Q59=4,1,0)),IF($F59&lt;=85,1,0))</formula>
    </cfRule>
  </conditionalFormatting>
  <conditionalFormatting sqref="AV60">
    <cfRule type="expression" priority="831" dxfId="17">
      <formula>AV60="X"</formula>
    </cfRule>
    <cfRule type="expression" priority="832" dxfId="16">
      <formula>AV60="후보"</formula>
    </cfRule>
  </conditionalFormatting>
  <conditionalFormatting sqref="AC60">
    <cfRule type="cellIs" priority="828" operator="greaterThan" dxfId="13">
      <formula>0.9</formula>
    </cfRule>
    <cfRule type="cellIs" priority="829" operator="greaterThan" dxfId="12">
      <formula>0.85</formula>
    </cfRule>
  </conditionalFormatting>
  <conditionalFormatting sqref="N60">
    <cfRule type="cellIs" priority="826" operator="greaterThan" dxfId="13">
      <formula>0.9</formula>
    </cfRule>
    <cfRule type="cellIs" priority="827" operator="greaterThan" dxfId="12">
      <formula>0.85</formula>
    </cfRule>
  </conditionalFormatting>
  <conditionalFormatting sqref="E60">
    <cfRule type="expression" priority="822" dxfId="3">
      <formula>AND(IF(OR($Q60=1,$Q60=2),1,0),IF($X60&lt;=20,1,0))</formula>
    </cfRule>
    <cfRule type="expression" priority="823" dxfId="2">
      <formula>AND(IF($Q60=2,1,0),IF($X60&lt;30,1,0))</formula>
    </cfRule>
    <cfRule type="expression" priority="824" dxfId="1">
      <formula>AND(IF($Q60=3,1,0),IF($X60&lt;30,1,0))</formula>
    </cfRule>
    <cfRule type="expression" priority="825" dxfId="0">
      <formula>AND(IF($Q60=3,1,IF($Q60=4,1,0)),IF($F60&lt;=85,1,0))</formula>
    </cfRule>
  </conditionalFormatting>
  <conditionalFormatting sqref="X60">
    <cfRule type="expression" priority="818" dxfId="3">
      <formula>AND(IF(OR($Q60=1,$Q60=2),1,0),IF($X60&lt;=20,1,0))</formula>
    </cfRule>
    <cfRule type="expression" priority="819" dxfId="2">
      <formula>AND(IF($Q60=2,1,0),IF($X60&lt;30,1,0))</formula>
    </cfRule>
    <cfRule type="expression" priority="820" dxfId="1">
      <formula>AND(IF($Q60=3,1,0),IF($X60&lt;30,1,0))</formula>
    </cfRule>
    <cfRule type="expression" priority="821" dxfId="0">
      <formula>AND(IF($Q60=3,1,IF($Q60=4,1,0)),IF($F60&lt;=85,1,0))</formula>
    </cfRule>
  </conditionalFormatting>
  <conditionalFormatting sqref="AI60">
    <cfRule type="expression" priority="814" dxfId="3">
      <formula>AND(IF(OR($Q60=1,$Q60=2),1,0),IF($X60&lt;=20,1,0))</formula>
    </cfRule>
    <cfRule type="expression" priority="815" dxfId="2">
      <formula>AND(IF($Q60=2,1,0),IF($X60&lt;30,1,0))</formula>
    </cfRule>
    <cfRule type="expression" priority="816" dxfId="1">
      <formula>AND(IF($Q60=3,1,0),IF($X60&lt;30,1,0))</formula>
    </cfRule>
    <cfRule type="expression" priority="817" dxfId="0">
      <formula>AND(IF($Q60=3,1,IF($Q60=4,1,0)),IF($F60&lt;=85,1,0))</formula>
    </cfRule>
  </conditionalFormatting>
  <conditionalFormatting sqref="AV61">
    <cfRule type="expression" priority="812" dxfId="17">
      <formula>AV61="X"</formula>
    </cfRule>
    <cfRule type="expression" priority="813" dxfId="16">
      <formula>AV61="후보"</formula>
    </cfRule>
  </conditionalFormatting>
  <conditionalFormatting sqref="AC61">
    <cfRule type="cellIs" priority="809" operator="greaterThan" dxfId="13">
      <formula>0.9</formula>
    </cfRule>
    <cfRule type="cellIs" priority="810" operator="greaterThan" dxfId="12">
      <formula>0.85</formula>
    </cfRule>
  </conditionalFormatting>
  <conditionalFormatting sqref="N61">
    <cfRule type="cellIs" priority="807" operator="greaterThan" dxfId="13">
      <formula>0.9</formula>
    </cfRule>
    <cfRule type="cellIs" priority="808" operator="greaterThan" dxfId="12">
      <formula>0.85</formula>
    </cfRule>
  </conditionalFormatting>
  <conditionalFormatting sqref="E61">
    <cfRule type="expression" priority="803" dxfId="3">
      <formula>AND(IF(OR($Q61=1,$Q61=2),1,0),IF($X61&lt;=20,1,0))</formula>
    </cfRule>
    <cfRule type="expression" priority="804" dxfId="2">
      <formula>AND(IF($Q61=2,1,0),IF($X61&lt;30,1,0))</formula>
    </cfRule>
    <cfRule type="expression" priority="805" dxfId="1">
      <formula>AND(IF($Q61=3,1,0),IF($X61&lt;30,1,0))</formula>
    </cfRule>
    <cfRule type="expression" priority="806" dxfId="0">
      <formula>AND(IF($Q61=3,1,IF($Q61=4,1,0)),IF($F61&lt;=85,1,0))</formula>
    </cfRule>
  </conditionalFormatting>
  <conditionalFormatting sqref="X61">
    <cfRule type="expression" priority="799" dxfId="3">
      <formula>AND(IF(OR($Q61=1,$Q61=2),1,0),IF($X61&lt;=20,1,0))</formula>
    </cfRule>
    <cfRule type="expression" priority="800" dxfId="2">
      <formula>AND(IF($Q61=2,1,0),IF($X61&lt;30,1,0))</formula>
    </cfRule>
    <cfRule type="expression" priority="801" dxfId="1">
      <formula>AND(IF($Q61=3,1,0),IF($X61&lt;30,1,0))</formula>
    </cfRule>
    <cfRule type="expression" priority="802" dxfId="0">
      <formula>AND(IF($Q61=3,1,IF($Q61=4,1,0)),IF($F61&lt;=85,1,0))</formula>
    </cfRule>
  </conditionalFormatting>
  <conditionalFormatting sqref="AI61">
    <cfRule type="expression" priority="795" dxfId="3">
      <formula>AND(IF(OR($Q61=1,$Q61=2),1,0),IF($X61&lt;=20,1,0))</formula>
    </cfRule>
    <cfRule type="expression" priority="796" dxfId="2">
      <formula>AND(IF($Q61=2,1,0),IF($X61&lt;30,1,0))</formula>
    </cfRule>
    <cfRule type="expression" priority="797" dxfId="1">
      <formula>AND(IF($Q61=3,1,0),IF($X61&lt;30,1,0))</formula>
    </cfRule>
    <cfRule type="expression" priority="798" dxfId="0">
      <formula>AND(IF($Q61=3,1,IF($Q61=4,1,0)),IF($F61&lt;=85,1,0))</formula>
    </cfRule>
  </conditionalFormatting>
  <conditionalFormatting sqref="AV62">
    <cfRule type="expression" priority="793" dxfId="17">
      <formula>AV62="X"</formula>
    </cfRule>
    <cfRule type="expression" priority="794" dxfId="16">
      <formula>AV62="후보"</formula>
    </cfRule>
  </conditionalFormatting>
  <conditionalFormatting sqref="AC62">
    <cfRule type="cellIs" priority="790" operator="greaterThan" dxfId="13">
      <formula>0.9</formula>
    </cfRule>
    <cfRule type="cellIs" priority="791" operator="greaterThan" dxfId="12">
      <formula>0.85</formula>
    </cfRule>
  </conditionalFormatting>
  <conditionalFormatting sqref="N62">
    <cfRule type="cellIs" priority="788" operator="greaterThan" dxfId="13">
      <formula>0.9</formula>
    </cfRule>
    <cfRule type="cellIs" priority="789" operator="greaterThan" dxfId="12">
      <formula>0.85</formula>
    </cfRule>
  </conditionalFormatting>
  <conditionalFormatting sqref="E62">
    <cfRule type="expression" priority="784" dxfId="3">
      <formula>AND(IF(OR($Q62=1,$Q62=2),1,0),IF($X62&lt;=20,1,0))</formula>
    </cfRule>
    <cfRule type="expression" priority="785" dxfId="2">
      <formula>AND(IF($Q62=2,1,0),IF($X62&lt;30,1,0))</formula>
    </cfRule>
    <cfRule type="expression" priority="786" dxfId="1">
      <formula>AND(IF($Q62=3,1,0),IF($X62&lt;30,1,0))</formula>
    </cfRule>
    <cfRule type="expression" priority="787" dxfId="0">
      <formula>AND(IF($Q62=3,1,IF($Q62=4,1,0)),IF($F62&lt;=85,1,0))</formula>
    </cfRule>
  </conditionalFormatting>
  <conditionalFormatting sqref="X62">
    <cfRule type="expression" priority="780" dxfId="3">
      <formula>AND(IF(OR($Q62=1,$Q62=2),1,0),IF($X62&lt;=20,1,0))</formula>
    </cfRule>
    <cfRule type="expression" priority="781" dxfId="2">
      <formula>AND(IF($Q62=2,1,0),IF($X62&lt;30,1,0))</formula>
    </cfRule>
    <cfRule type="expression" priority="782" dxfId="1">
      <formula>AND(IF($Q62=3,1,0),IF($X62&lt;30,1,0))</formula>
    </cfRule>
    <cfRule type="expression" priority="783" dxfId="0">
      <formula>AND(IF($Q62=3,1,IF($Q62=4,1,0)),IF($F62&lt;=85,1,0))</formula>
    </cfRule>
  </conditionalFormatting>
  <conditionalFormatting sqref="AI62">
    <cfRule type="expression" priority="776" dxfId="3">
      <formula>AND(IF(OR($Q62=1,$Q62=2),1,0),IF($X62&lt;=20,1,0))</formula>
    </cfRule>
    <cfRule type="expression" priority="777" dxfId="2">
      <formula>AND(IF($Q62=2,1,0),IF($X62&lt;30,1,0))</formula>
    </cfRule>
    <cfRule type="expression" priority="778" dxfId="1">
      <formula>AND(IF($Q62=3,1,0),IF($X62&lt;30,1,0))</formula>
    </cfRule>
    <cfRule type="expression" priority="779" dxfId="0">
      <formula>AND(IF($Q62=3,1,IF($Q62=4,1,0)),IF($F62&lt;=85,1,0))</formula>
    </cfRule>
  </conditionalFormatting>
  <conditionalFormatting sqref="AV63">
    <cfRule type="expression" priority="774" dxfId="17">
      <formula>AV63="X"</formula>
    </cfRule>
    <cfRule type="expression" priority="775" dxfId="16">
      <formula>AV63="후보"</formula>
    </cfRule>
  </conditionalFormatting>
  <conditionalFormatting sqref="AC63">
    <cfRule type="cellIs" priority="771" operator="greaterThan" dxfId="13">
      <formula>0.9</formula>
    </cfRule>
    <cfRule type="cellIs" priority="772" operator="greaterThan" dxfId="12">
      <formula>0.85</formula>
    </cfRule>
  </conditionalFormatting>
  <conditionalFormatting sqref="N63">
    <cfRule type="cellIs" priority="769" operator="greaterThan" dxfId="13">
      <formula>0.9</formula>
    </cfRule>
    <cfRule type="cellIs" priority="770" operator="greaterThan" dxfId="12">
      <formula>0.85</formula>
    </cfRule>
  </conditionalFormatting>
  <conditionalFormatting sqref="E63">
    <cfRule type="expression" priority="765" dxfId="3">
      <formula>AND(IF(OR($Q63=1,$Q63=2),1,0),IF($X63&lt;=20,1,0))</formula>
    </cfRule>
    <cfRule type="expression" priority="766" dxfId="2">
      <formula>AND(IF($Q63=2,1,0),IF($X63&lt;30,1,0))</formula>
    </cfRule>
    <cfRule type="expression" priority="767" dxfId="1">
      <formula>AND(IF($Q63=3,1,0),IF($X63&lt;30,1,0))</formula>
    </cfRule>
    <cfRule type="expression" priority="768" dxfId="0">
      <formula>AND(IF($Q63=3,1,IF($Q63=4,1,0)),IF($F63&lt;=85,1,0))</formula>
    </cfRule>
  </conditionalFormatting>
  <conditionalFormatting sqref="X63">
    <cfRule type="expression" priority="761" dxfId="3">
      <formula>AND(IF(OR($Q63=1,$Q63=2),1,0),IF($X63&lt;=20,1,0))</formula>
    </cfRule>
    <cfRule type="expression" priority="762" dxfId="2">
      <formula>AND(IF($Q63=2,1,0),IF($X63&lt;30,1,0))</formula>
    </cfRule>
    <cfRule type="expression" priority="763" dxfId="1">
      <formula>AND(IF($Q63=3,1,0),IF($X63&lt;30,1,0))</formula>
    </cfRule>
    <cfRule type="expression" priority="764" dxfId="0">
      <formula>AND(IF($Q63=3,1,IF($Q63=4,1,0)),IF($F63&lt;=85,1,0))</formula>
    </cfRule>
  </conditionalFormatting>
  <conditionalFormatting sqref="AI63">
    <cfRule type="expression" priority="757" dxfId="3">
      <formula>AND(IF(OR($Q63=1,$Q63=2),1,0),IF($X63&lt;=20,1,0))</formula>
    </cfRule>
    <cfRule type="expression" priority="758" dxfId="2">
      <formula>AND(IF($Q63=2,1,0),IF($X63&lt;30,1,0))</formula>
    </cfRule>
    <cfRule type="expression" priority="759" dxfId="1">
      <formula>AND(IF($Q63=3,1,0),IF($X63&lt;30,1,0))</formula>
    </cfRule>
    <cfRule type="expression" priority="760" dxfId="0">
      <formula>AND(IF($Q63=3,1,IF($Q63=4,1,0)),IF($F63&lt;=85,1,0))</formula>
    </cfRule>
  </conditionalFormatting>
  <conditionalFormatting sqref="AV64">
    <cfRule type="expression" priority="755" dxfId="17">
      <formula>AV64="X"</formula>
    </cfRule>
    <cfRule type="expression" priority="756" dxfId="16">
      <formula>AV64="후보"</formula>
    </cfRule>
  </conditionalFormatting>
  <conditionalFormatting sqref="AC64">
    <cfRule type="cellIs" priority="752" operator="greaterThan" dxfId="13">
      <formula>0.9</formula>
    </cfRule>
    <cfRule type="cellIs" priority="753" operator="greaterThan" dxfId="12">
      <formula>0.85</formula>
    </cfRule>
  </conditionalFormatting>
  <conditionalFormatting sqref="N64">
    <cfRule type="cellIs" priority="750" operator="greaterThan" dxfId="13">
      <formula>0.9</formula>
    </cfRule>
    <cfRule type="cellIs" priority="751" operator="greaterThan" dxfId="12">
      <formula>0.85</formula>
    </cfRule>
  </conditionalFormatting>
  <conditionalFormatting sqref="E64">
    <cfRule type="expression" priority="746" dxfId="3">
      <formula>AND(IF(OR($Q64=1,$Q64=2),1,0),IF($X64&lt;=20,1,0))</formula>
    </cfRule>
    <cfRule type="expression" priority="747" dxfId="2">
      <formula>AND(IF($Q64=2,1,0),IF($X64&lt;30,1,0))</formula>
    </cfRule>
    <cfRule type="expression" priority="748" dxfId="1">
      <formula>AND(IF($Q64=3,1,0),IF($X64&lt;30,1,0))</formula>
    </cfRule>
    <cfRule type="expression" priority="749" dxfId="0">
      <formula>AND(IF($Q64=3,1,IF($Q64=4,1,0)),IF($F64&lt;=85,1,0))</formula>
    </cfRule>
  </conditionalFormatting>
  <conditionalFormatting sqref="X64">
    <cfRule type="expression" priority="742" dxfId="3">
      <formula>AND(IF(OR($Q64=1,$Q64=2),1,0),IF($X64&lt;=20,1,0))</formula>
    </cfRule>
    <cfRule type="expression" priority="743" dxfId="2">
      <formula>AND(IF($Q64=2,1,0),IF($X64&lt;30,1,0))</formula>
    </cfRule>
    <cfRule type="expression" priority="744" dxfId="1">
      <formula>AND(IF($Q64=3,1,0),IF($X64&lt;30,1,0))</formula>
    </cfRule>
    <cfRule type="expression" priority="745" dxfId="0">
      <formula>AND(IF($Q64=3,1,IF($Q64=4,1,0)),IF($F64&lt;=85,1,0))</formula>
    </cfRule>
  </conditionalFormatting>
  <conditionalFormatting sqref="AI64">
    <cfRule type="expression" priority="738" dxfId="3">
      <formula>AND(IF(OR($Q64=1,$Q64=2),1,0),IF($X64&lt;=20,1,0))</formula>
    </cfRule>
    <cfRule type="expression" priority="739" dxfId="2">
      <formula>AND(IF($Q64=2,1,0),IF($X64&lt;30,1,0))</formula>
    </cfRule>
    <cfRule type="expression" priority="740" dxfId="1">
      <formula>AND(IF($Q64=3,1,0),IF($X64&lt;30,1,0))</formula>
    </cfRule>
    <cfRule type="expression" priority="741" dxfId="0">
      <formula>AND(IF($Q64=3,1,IF($Q64=4,1,0)),IF($F64&lt;=85,1,0))</formula>
    </cfRule>
  </conditionalFormatting>
  <conditionalFormatting sqref="AV65">
    <cfRule type="expression" priority="736" dxfId="17">
      <formula>AV65="X"</formula>
    </cfRule>
    <cfRule type="expression" priority="737" dxfId="16">
      <formula>AV65="후보"</formula>
    </cfRule>
  </conditionalFormatting>
  <conditionalFormatting sqref="AC65">
    <cfRule type="cellIs" priority="733" operator="greaterThan" dxfId="13">
      <formula>0.9</formula>
    </cfRule>
    <cfRule type="cellIs" priority="734" operator="greaterThan" dxfId="12">
      <formula>0.85</formula>
    </cfRule>
  </conditionalFormatting>
  <conditionalFormatting sqref="N65">
    <cfRule type="cellIs" priority="731" operator="greaterThan" dxfId="13">
      <formula>0.9</formula>
    </cfRule>
    <cfRule type="cellIs" priority="732" operator="greaterThan" dxfId="12">
      <formula>0.85</formula>
    </cfRule>
  </conditionalFormatting>
  <conditionalFormatting sqref="E65">
    <cfRule type="expression" priority="727" dxfId="3">
      <formula>AND(IF(OR($Q65=1,$Q65=2),1,0),IF($X65&lt;=20,1,0))</formula>
    </cfRule>
    <cfRule type="expression" priority="728" dxfId="2">
      <formula>AND(IF($Q65=2,1,0),IF($X65&lt;30,1,0))</formula>
    </cfRule>
    <cfRule type="expression" priority="729" dxfId="1">
      <formula>AND(IF($Q65=3,1,0),IF($X65&lt;30,1,0))</formula>
    </cfRule>
    <cfRule type="expression" priority="730" dxfId="0">
      <formula>AND(IF($Q65=3,1,IF($Q65=4,1,0)),IF($F65&lt;=85,1,0))</formula>
    </cfRule>
  </conditionalFormatting>
  <conditionalFormatting sqref="X65">
    <cfRule type="expression" priority="723" dxfId="3">
      <formula>AND(IF(OR($Q65=1,$Q65=2),1,0),IF($X65&lt;=20,1,0))</formula>
    </cfRule>
    <cfRule type="expression" priority="724" dxfId="2">
      <formula>AND(IF($Q65=2,1,0),IF($X65&lt;30,1,0))</formula>
    </cfRule>
    <cfRule type="expression" priority="725" dxfId="1">
      <formula>AND(IF($Q65=3,1,0),IF($X65&lt;30,1,0))</formula>
    </cfRule>
    <cfRule type="expression" priority="726" dxfId="0">
      <formula>AND(IF($Q65=3,1,IF($Q65=4,1,0)),IF($F65&lt;=85,1,0))</formula>
    </cfRule>
  </conditionalFormatting>
  <conditionalFormatting sqref="AI65">
    <cfRule type="expression" priority="719" dxfId="3">
      <formula>AND(IF(OR($Q65=1,$Q65=2),1,0),IF($X65&lt;=20,1,0))</formula>
    </cfRule>
    <cfRule type="expression" priority="720" dxfId="2">
      <formula>AND(IF($Q65=2,1,0),IF($X65&lt;30,1,0))</formula>
    </cfRule>
    <cfRule type="expression" priority="721" dxfId="1">
      <formula>AND(IF($Q65=3,1,0),IF($X65&lt;30,1,0))</formula>
    </cfRule>
    <cfRule type="expression" priority="722" dxfId="0">
      <formula>AND(IF($Q65=3,1,IF($Q65=4,1,0)),IF($F65&lt;=85,1,0))</formula>
    </cfRule>
  </conditionalFormatting>
  <conditionalFormatting sqref="AV66">
    <cfRule type="expression" priority="717" dxfId="17">
      <formula>AV66="X"</formula>
    </cfRule>
    <cfRule type="expression" priority="718" dxfId="16">
      <formula>AV66="후보"</formula>
    </cfRule>
  </conditionalFormatting>
  <conditionalFormatting sqref="AC66">
    <cfRule type="cellIs" priority="714" operator="greaterThan" dxfId="13">
      <formula>0.9</formula>
    </cfRule>
    <cfRule type="cellIs" priority="715" operator="greaterThan" dxfId="12">
      <formula>0.85</formula>
    </cfRule>
  </conditionalFormatting>
  <conditionalFormatting sqref="N66">
    <cfRule type="cellIs" priority="712" operator="greaterThan" dxfId="13">
      <formula>0.9</formula>
    </cfRule>
    <cfRule type="cellIs" priority="713" operator="greaterThan" dxfId="12">
      <formula>0.85</formula>
    </cfRule>
  </conditionalFormatting>
  <conditionalFormatting sqref="E66">
    <cfRule type="expression" priority="708" dxfId="3">
      <formula>AND(IF(OR($Q66=1,$Q66=2),1,0),IF($X66&lt;=20,1,0))</formula>
    </cfRule>
    <cfRule type="expression" priority="709" dxfId="2">
      <formula>AND(IF($Q66=2,1,0),IF($X66&lt;30,1,0))</formula>
    </cfRule>
    <cfRule type="expression" priority="710" dxfId="1">
      <formula>AND(IF($Q66=3,1,0),IF($X66&lt;30,1,0))</formula>
    </cfRule>
    <cfRule type="expression" priority="711" dxfId="0">
      <formula>AND(IF($Q66=3,1,IF($Q66=4,1,0)),IF($F66&lt;=85,1,0))</formula>
    </cfRule>
  </conditionalFormatting>
  <conditionalFormatting sqref="X66">
    <cfRule type="expression" priority="704" dxfId="3">
      <formula>AND(IF(OR($Q66=1,$Q66=2),1,0),IF($X66&lt;=20,1,0))</formula>
    </cfRule>
    <cfRule type="expression" priority="705" dxfId="2">
      <formula>AND(IF($Q66=2,1,0),IF($X66&lt;30,1,0))</formula>
    </cfRule>
    <cfRule type="expression" priority="706" dxfId="1">
      <formula>AND(IF($Q66=3,1,0),IF($X66&lt;30,1,0))</formula>
    </cfRule>
    <cfRule type="expression" priority="707" dxfId="0">
      <formula>AND(IF($Q66=3,1,IF($Q66=4,1,0)),IF($F66&lt;=85,1,0))</formula>
    </cfRule>
  </conditionalFormatting>
  <conditionalFormatting sqref="AI66">
    <cfRule type="expression" priority="700" dxfId="3">
      <formula>AND(IF(OR($Q66=1,$Q66=2),1,0),IF($X66&lt;=20,1,0))</formula>
    </cfRule>
    <cfRule type="expression" priority="701" dxfId="2">
      <formula>AND(IF($Q66=2,1,0),IF($X66&lt;30,1,0))</formula>
    </cfRule>
    <cfRule type="expression" priority="702" dxfId="1">
      <formula>AND(IF($Q66=3,1,0),IF($X66&lt;30,1,0))</formula>
    </cfRule>
    <cfRule type="expression" priority="703" dxfId="0">
      <formula>AND(IF($Q66=3,1,IF($Q66=4,1,0)),IF($F66&lt;=85,1,0))</formula>
    </cfRule>
  </conditionalFormatting>
  <conditionalFormatting sqref="AV67">
    <cfRule type="expression" priority="698" dxfId="17">
      <formula>AV67="X"</formula>
    </cfRule>
    <cfRule type="expression" priority="699" dxfId="16">
      <formula>AV67="후보"</formula>
    </cfRule>
  </conditionalFormatting>
  <conditionalFormatting sqref="AC67">
    <cfRule type="cellIs" priority="695" operator="greaterThan" dxfId="13">
      <formula>0.9</formula>
    </cfRule>
    <cfRule type="cellIs" priority="696" operator="greaterThan" dxfId="12">
      <formula>0.85</formula>
    </cfRule>
  </conditionalFormatting>
  <conditionalFormatting sqref="N67">
    <cfRule type="cellIs" priority="693" operator="greaterThan" dxfId="13">
      <formula>0.9</formula>
    </cfRule>
    <cfRule type="cellIs" priority="694" operator="greaterThan" dxfId="12">
      <formula>0.85</formula>
    </cfRule>
  </conditionalFormatting>
  <conditionalFormatting sqref="E67">
    <cfRule type="expression" priority="689" dxfId="3">
      <formula>AND(IF(OR($Q67=1,$Q67=2),1,0),IF($X67&lt;=20,1,0))</formula>
    </cfRule>
    <cfRule type="expression" priority="690" dxfId="2">
      <formula>AND(IF($Q67=2,1,0),IF($X67&lt;30,1,0))</formula>
    </cfRule>
    <cfRule type="expression" priority="691" dxfId="1">
      <formula>AND(IF($Q67=3,1,0),IF($X67&lt;30,1,0))</formula>
    </cfRule>
    <cfRule type="expression" priority="692" dxfId="0">
      <formula>AND(IF($Q67=3,1,IF($Q67=4,1,0)),IF($F67&lt;=85,1,0))</formula>
    </cfRule>
  </conditionalFormatting>
  <conditionalFormatting sqref="X67">
    <cfRule type="expression" priority="685" dxfId="3">
      <formula>AND(IF(OR($Q67=1,$Q67=2),1,0),IF($X67&lt;=20,1,0))</formula>
    </cfRule>
    <cfRule type="expression" priority="686" dxfId="2">
      <formula>AND(IF($Q67=2,1,0),IF($X67&lt;30,1,0))</formula>
    </cfRule>
    <cfRule type="expression" priority="687" dxfId="1">
      <formula>AND(IF($Q67=3,1,0),IF($X67&lt;30,1,0))</formula>
    </cfRule>
    <cfRule type="expression" priority="688" dxfId="0">
      <formula>AND(IF($Q67=3,1,IF($Q67=4,1,0)),IF($F67&lt;=85,1,0))</formula>
    </cfRule>
  </conditionalFormatting>
  <conditionalFormatting sqref="AI67">
    <cfRule type="expression" priority="681" dxfId="3">
      <formula>AND(IF(OR($Q67=1,$Q67=2),1,0),IF($X67&lt;=20,1,0))</formula>
    </cfRule>
    <cfRule type="expression" priority="682" dxfId="2">
      <formula>AND(IF($Q67=2,1,0),IF($X67&lt;30,1,0))</formula>
    </cfRule>
    <cfRule type="expression" priority="683" dxfId="1">
      <formula>AND(IF($Q67=3,1,0),IF($X67&lt;30,1,0))</formula>
    </cfRule>
    <cfRule type="expression" priority="684" dxfId="0">
      <formula>AND(IF($Q67=3,1,IF($Q67=4,1,0)),IF($F67&lt;=85,1,0))</formula>
    </cfRule>
  </conditionalFormatting>
  <conditionalFormatting sqref="AV68">
    <cfRule type="expression" priority="679" dxfId="17">
      <formula>AV68="X"</formula>
    </cfRule>
    <cfRule type="expression" priority="680" dxfId="16">
      <formula>AV68="후보"</formula>
    </cfRule>
  </conditionalFormatting>
  <conditionalFormatting sqref="AC68">
    <cfRule type="cellIs" priority="676" operator="greaterThan" dxfId="13">
      <formula>0.9</formula>
    </cfRule>
    <cfRule type="cellIs" priority="677" operator="greaterThan" dxfId="12">
      <formula>0.85</formula>
    </cfRule>
  </conditionalFormatting>
  <conditionalFormatting sqref="N68">
    <cfRule type="cellIs" priority="674" operator="greaterThan" dxfId="13">
      <formula>0.9</formula>
    </cfRule>
    <cfRule type="cellIs" priority="675" operator="greaterThan" dxfId="12">
      <formula>0.85</formula>
    </cfRule>
  </conditionalFormatting>
  <conditionalFormatting sqref="E68">
    <cfRule type="expression" priority="670" dxfId="3">
      <formula>AND(IF(OR($Q68=1,$Q68=2),1,0),IF($X68&lt;=20,1,0))</formula>
    </cfRule>
    <cfRule type="expression" priority="671" dxfId="2">
      <formula>AND(IF($Q68=2,1,0),IF($X68&lt;30,1,0))</formula>
    </cfRule>
    <cfRule type="expression" priority="672" dxfId="1">
      <formula>AND(IF($Q68=3,1,0),IF($X68&lt;30,1,0))</formula>
    </cfRule>
    <cfRule type="expression" priority="673" dxfId="0">
      <formula>AND(IF($Q68=3,1,IF($Q68=4,1,0)),IF($F68&lt;=85,1,0))</formula>
    </cfRule>
  </conditionalFormatting>
  <conditionalFormatting sqref="X68">
    <cfRule type="expression" priority="666" dxfId="3">
      <formula>AND(IF(OR($Q68=1,$Q68=2),1,0),IF($X68&lt;=20,1,0))</formula>
    </cfRule>
    <cfRule type="expression" priority="667" dxfId="2">
      <formula>AND(IF($Q68=2,1,0),IF($X68&lt;30,1,0))</formula>
    </cfRule>
    <cfRule type="expression" priority="668" dxfId="1">
      <formula>AND(IF($Q68=3,1,0),IF($X68&lt;30,1,0))</formula>
    </cfRule>
    <cfRule type="expression" priority="669" dxfId="0">
      <formula>AND(IF($Q68=3,1,IF($Q68=4,1,0)),IF($F68&lt;=85,1,0))</formula>
    </cfRule>
  </conditionalFormatting>
  <conditionalFormatting sqref="AI68">
    <cfRule type="expression" priority="662" dxfId="3">
      <formula>AND(IF(OR($Q68=1,$Q68=2),1,0),IF($X68&lt;=20,1,0))</formula>
    </cfRule>
    <cfRule type="expression" priority="663" dxfId="2">
      <formula>AND(IF($Q68=2,1,0),IF($X68&lt;30,1,0))</formula>
    </cfRule>
    <cfRule type="expression" priority="664" dxfId="1">
      <formula>AND(IF($Q68=3,1,0),IF($X68&lt;30,1,0))</formula>
    </cfRule>
    <cfRule type="expression" priority="665" dxfId="0">
      <formula>AND(IF($Q68=3,1,IF($Q68=4,1,0)),IF($F68&lt;=85,1,0))</formula>
    </cfRule>
  </conditionalFormatting>
  <conditionalFormatting sqref="AV69">
    <cfRule type="expression" priority="660" dxfId="17">
      <formula>AV69="X"</formula>
    </cfRule>
    <cfRule type="expression" priority="661" dxfId="16">
      <formula>AV69="후보"</formula>
    </cfRule>
  </conditionalFormatting>
  <conditionalFormatting sqref="AC69">
    <cfRule type="cellIs" priority="657" operator="greaterThan" dxfId="13">
      <formula>0.9</formula>
    </cfRule>
    <cfRule type="cellIs" priority="658" operator="greaterThan" dxfId="12">
      <formula>0.85</formula>
    </cfRule>
  </conditionalFormatting>
  <conditionalFormatting sqref="N69">
    <cfRule type="cellIs" priority="655" operator="greaterThan" dxfId="13">
      <formula>0.9</formula>
    </cfRule>
    <cfRule type="cellIs" priority="656" operator="greaterThan" dxfId="12">
      <formula>0.85</formula>
    </cfRule>
  </conditionalFormatting>
  <conditionalFormatting sqref="E69">
    <cfRule type="expression" priority="651" dxfId="3">
      <formula>AND(IF(OR($Q69=1,$Q69=2),1,0),IF($X69&lt;=20,1,0))</formula>
    </cfRule>
    <cfRule type="expression" priority="652" dxfId="2">
      <formula>AND(IF($Q69=2,1,0),IF($X69&lt;30,1,0))</formula>
    </cfRule>
    <cfRule type="expression" priority="653" dxfId="1">
      <formula>AND(IF($Q69=3,1,0),IF($X69&lt;30,1,0))</formula>
    </cfRule>
    <cfRule type="expression" priority="654" dxfId="0">
      <formula>AND(IF($Q69=3,1,IF($Q69=4,1,0)),IF($F69&lt;=85,1,0))</formula>
    </cfRule>
  </conditionalFormatting>
  <conditionalFormatting sqref="X69">
    <cfRule type="expression" priority="647" dxfId="3">
      <formula>AND(IF(OR($Q69=1,$Q69=2),1,0),IF($X69&lt;=20,1,0))</formula>
    </cfRule>
    <cfRule type="expression" priority="648" dxfId="2">
      <formula>AND(IF($Q69=2,1,0),IF($X69&lt;30,1,0))</formula>
    </cfRule>
    <cfRule type="expression" priority="649" dxfId="1">
      <formula>AND(IF($Q69=3,1,0),IF($X69&lt;30,1,0))</formula>
    </cfRule>
    <cfRule type="expression" priority="650" dxfId="0">
      <formula>AND(IF($Q69=3,1,IF($Q69=4,1,0)),IF($F69&lt;=85,1,0))</formula>
    </cfRule>
  </conditionalFormatting>
  <conditionalFormatting sqref="AI69">
    <cfRule type="expression" priority="643" dxfId="3">
      <formula>AND(IF(OR($Q69=1,$Q69=2),1,0),IF($X69&lt;=20,1,0))</formula>
    </cfRule>
    <cfRule type="expression" priority="644" dxfId="2">
      <formula>AND(IF($Q69=2,1,0),IF($X69&lt;30,1,0))</formula>
    </cfRule>
    <cfRule type="expression" priority="645" dxfId="1">
      <formula>AND(IF($Q69=3,1,0),IF($X69&lt;30,1,0))</formula>
    </cfRule>
    <cfRule type="expression" priority="646" dxfId="0">
      <formula>AND(IF($Q69=3,1,IF($Q69=4,1,0)),IF($F69&lt;=85,1,0))</formula>
    </cfRule>
  </conditionalFormatting>
  <conditionalFormatting sqref="AV70">
    <cfRule type="expression" priority="641" dxfId="17">
      <formula>AV70="X"</formula>
    </cfRule>
    <cfRule type="expression" priority="642" dxfId="16">
      <formula>AV70="후보"</formula>
    </cfRule>
  </conditionalFormatting>
  <conditionalFormatting sqref="AC70 N70">
    <cfRule type="cellIs" priority="638" operator="greaterThan" dxfId="13">
      <formula>0.9</formula>
    </cfRule>
    <cfRule type="cellIs" priority="639" operator="greaterThan" dxfId="12">
      <formula>0.85</formula>
    </cfRule>
  </conditionalFormatting>
  <conditionalFormatting sqref="AV71">
    <cfRule type="expression" priority="636" dxfId="17">
      <formula>AV71="X"</formula>
    </cfRule>
    <cfRule type="expression" priority="637" dxfId="16">
      <formula>AV71="후보"</formula>
    </cfRule>
  </conditionalFormatting>
  <conditionalFormatting sqref="AC71">
    <cfRule type="cellIs" priority="633" operator="greaterThan" dxfId="13">
      <formula>0.9</formula>
    </cfRule>
    <cfRule type="cellIs" priority="634" operator="greaterThan" dxfId="12">
      <formula>0.85</formula>
    </cfRule>
  </conditionalFormatting>
  <conditionalFormatting sqref="N71">
    <cfRule type="cellIs" priority="631" operator="greaterThan" dxfId="13">
      <formula>0.9</formula>
    </cfRule>
    <cfRule type="cellIs" priority="632" operator="greaterThan" dxfId="12">
      <formula>0.85</formula>
    </cfRule>
  </conditionalFormatting>
  <conditionalFormatting sqref="E71">
    <cfRule type="expression" priority="627" dxfId="3">
      <formula>AND(IF(OR($Q71=1,$Q71=2),1,0),IF($X71&lt;=20,1,0))</formula>
    </cfRule>
    <cfRule type="expression" priority="628" dxfId="2">
      <formula>AND(IF($Q71=2,1,0),IF($X71&lt;30,1,0))</formula>
    </cfRule>
    <cfRule type="expression" priority="629" dxfId="1">
      <formula>AND(IF($Q71=3,1,0),IF($X71&lt;30,1,0))</formula>
    </cfRule>
    <cfRule type="expression" priority="630" dxfId="0">
      <formula>AND(IF($Q71=3,1,IF($Q71=4,1,0)),IF($F71&lt;=85,1,0))</formula>
    </cfRule>
  </conditionalFormatting>
  <conditionalFormatting sqref="X71">
    <cfRule type="expression" priority="623" dxfId="3">
      <formula>AND(IF(OR($Q71=1,$Q71=2),1,0),IF($X71&lt;=20,1,0))</formula>
    </cfRule>
    <cfRule type="expression" priority="624" dxfId="2">
      <formula>AND(IF($Q71=2,1,0),IF($X71&lt;30,1,0))</formula>
    </cfRule>
    <cfRule type="expression" priority="625" dxfId="1">
      <formula>AND(IF($Q71=3,1,0),IF($X71&lt;30,1,0))</formula>
    </cfRule>
    <cfRule type="expression" priority="626" dxfId="0">
      <formula>AND(IF($Q71=3,1,IF($Q71=4,1,0)),IF($F71&lt;=85,1,0))</formula>
    </cfRule>
  </conditionalFormatting>
  <conditionalFormatting sqref="AI71">
    <cfRule type="expression" priority="619" dxfId="3">
      <formula>AND(IF(OR($Q71=1,$Q71=2),1,0),IF($X71&lt;=20,1,0))</formula>
    </cfRule>
    <cfRule type="expression" priority="620" dxfId="2">
      <formula>AND(IF($Q71=2,1,0),IF($X71&lt;30,1,0))</formula>
    </cfRule>
    <cfRule type="expression" priority="621" dxfId="1">
      <formula>AND(IF($Q71=3,1,0),IF($X71&lt;30,1,0))</formula>
    </cfRule>
    <cfRule type="expression" priority="622" dxfId="0">
      <formula>AND(IF($Q71=3,1,IF($Q71=4,1,0)),IF($F71&lt;=85,1,0))</formula>
    </cfRule>
  </conditionalFormatting>
  <conditionalFormatting sqref="AV72">
    <cfRule type="expression" priority="617" dxfId="17">
      <formula>AV72="X"</formula>
    </cfRule>
    <cfRule type="expression" priority="618" dxfId="16">
      <formula>AV72="후보"</formula>
    </cfRule>
  </conditionalFormatting>
  <conditionalFormatting sqref="AC72">
    <cfRule type="cellIs" priority="614" operator="greaterThan" dxfId="13">
      <formula>0.9</formula>
    </cfRule>
    <cfRule type="cellIs" priority="615" operator="greaterThan" dxfId="12">
      <formula>0.85</formula>
    </cfRule>
  </conditionalFormatting>
  <conditionalFormatting sqref="N72">
    <cfRule type="cellIs" priority="612" operator="greaterThan" dxfId="13">
      <formula>0.9</formula>
    </cfRule>
    <cfRule type="cellIs" priority="613" operator="greaterThan" dxfId="12">
      <formula>0.85</formula>
    </cfRule>
  </conditionalFormatting>
  <conditionalFormatting sqref="E72">
    <cfRule type="expression" priority="608" dxfId="3">
      <formula>AND(IF(OR($Q72=1,$Q72=2),1,0),IF($X72&lt;=20,1,0))</formula>
    </cfRule>
    <cfRule type="expression" priority="609" dxfId="2">
      <formula>AND(IF($Q72=2,1,0),IF($X72&lt;30,1,0))</formula>
    </cfRule>
    <cfRule type="expression" priority="610" dxfId="1">
      <formula>AND(IF($Q72=3,1,0),IF($X72&lt;30,1,0))</formula>
    </cfRule>
    <cfRule type="expression" priority="611" dxfId="0">
      <formula>AND(IF($Q72=3,1,IF($Q72=4,1,0)),IF($F72&lt;=85,1,0))</formula>
    </cfRule>
  </conditionalFormatting>
  <conditionalFormatting sqref="X72">
    <cfRule type="expression" priority="604" dxfId="3">
      <formula>AND(IF(OR($Q72=1,$Q72=2),1,0),IF($X72&lt;=20,1,0))</formula>
    </cfRule>
    <cfRule type="expression" priority="605" dxfId="2">
      <formula>AND(IF($Q72=2,1,0),IF($X72&lt;30,1,0))</formula>
    </cfRule>
    <cfRule type="expression" priority="606" dxfId="1">
      <formula>AND(IF($Q72=3,1,0),IF($X72&lt;30,1,0))</formula>
    </cfRule>
    <cfRule type="expression" priority="607" dxfId="0">
      <formula>AND(IF($Q72=3,1,IF($Q72=4,1,0)),IF($F72&lt;=85,1,0))</formula>
    </cfRule>
  </conditionalFormatting>
  <conditionalFormatting sqref="AI72">
    <cfRule type="expression" priority="600" dxfId="3">
      <formula>AND(IF(OR($Q72=1,$Q72=2),1,0),IF($X72&lt;=20,1,0))</formula>
    </cfRule>
    <cfRule type="expression" priority="601" dxfId="2">
      <formula>AND(IF($Q72=2,1,0),IF($X72&lt;30,1,0))</formula>
    </cfRule>
    <cfRule type="expression" priority="602" dxfId="1">
      <formula>AND(IF($Q72=3,1,0),IF($X72&lt;30,1,0))</formula>
    </cfRule>
    <cfRule type="expression" priority="603" dxfId="0">
      <formula>AND(IF($Q72=3,1,IF($Q72=4,1,0)),IF($F72&lt;=85,1,0))</formula>
    </cfRule>
  </conditionalFormatting>
  <conditionalFormatting sqref="AV73">
    <cfRule type="expression" priority="598" dxfId="17">
      <formula>AV73="X"</formula>
    </cfRule>
    <cfRule type="expression" priority="599" dxfId="16">
      <formula>AV73="후보"</formula>
    </cfRule>
  </conditionalFormatting>
  <conditionalFormatting sqref="AC73">
    <cfRule type="cellIs" priority="595" operator="greaterThan" dxfId="13">
      <formula>0.9</formula>
    </cfRule>
    <cfRule type="cellIs" priority="596" operator="greaterThan" dxfId="12">
      <formula>0.85</formula>
    </cfRule>
  </conditionalFormatting>
  <conditionalFormatting sqref="N73">
    <cfRule type="cellIs" priority="593" operator="greaterThan" dxfId="13">
      <formula>0.9</formula>
    </cfRule>
    <cfRule type="cellIs" priority="594" operator="greaterThan" dxfId="12">
      <formula>0.85</formula>
    </cfRule>
  </conditionalFormatting>
  <conditionalFormatting sqref="E73">
    <cfRule type="expression" priority="589" dxfId="3">
      <formula>AND(IF(OR($Q73=1,$Q73=2),1,0),IF($X73&lt;=20,1,0))</formula>
    </cfRule>
    <cfRule type="expression" priority="590" dxfId="2">
      <formula>AND(IF($Q73=2,1,0),IF($X73&lt;30,1,0))</formula>
    </cfRule>
    <cfRule type="expression" priority="591" dxfId="1">
      <formula>AND(IF($Q73=3,1,0),IF($X73&lt;30,1,0))</formula>
    </cfRule>
    <cfRule type="expression" priority="592" dxfId="0">
      <formula>AND(IF($Q73=3,1,IF($Q73=4,1,0)),IF($F73&lt;=85,1,0))</formula>
    </cfRule>
  </conditionalFormatting>
  <conditionalFormatting sqref="X73">
    <cfRule type="expression" priority="585" dxfId="3">
      <formula>AND(IF(OR($Q73=1,$Q73=2),1,0),IF($X73&lt;=20,1,0))</formula>
    </cfRule>
    <cfRule type="expression" priority="586" dxfId="2">
      <formula>AND(IF($Q73=2,1,0),IF($X73&lt;30,1,0))</formula>
    </cfRule>
    <cfRule type="expression" priority="587" dxfId="1">
      <formula>AND(IF($Q73=3,1,0),IF($X73&lt;30,1,0))</formula>
    </cfRule>
    <cfRule type="expression" priority="588" dxfId="0">
      <formula>AND(IF($Q73=3,1,IF($Q73=4,1,0)),IF($F73&lt;=85,1,0))</formula>
    </cfRule>
  </conditionalFormatting>
  <conditionalFormatting sqref="AI73">
    <cfRule type="expression" priority="581" dxfId="3">
      <formula>AND(IF(OR($Q73=1,$Q73=2),1,0),IF($X73&lt;=20,1,0))</formula>
    </cfRule>
    <cfRule type="expression" priority="582" dxfId="2">
      <formula>AND(IF($Q73=2,1,0),IF($X73&lt;30,1,0))</formula>
    </cfRule>
    <cfRule type="expression" priority="583" dxfId="1">
      <formula>AND(IF($Q73=3,1,0),IF($X73&lt;30,1,0))</formula>
    </cfRule>
    <cfRule type="expression" priority="584" dxfId="0">
      <formula>AND(IF($Q73=3,1,IF($Q73=4,1,0)),IF($F73&lt;=85,1,0))</formula>
    </cfRule>
  </conditionalFormatting>
  <conditionalFormatting sqref="AV74">
    <cfRule type="expression" priority="579" dxfId="17">
      <formula>AV74="X"</formula>
    </cfRule>
    <cfRule type="expression" priority="580" dxfId="16">
      <formula>AV74="후보"</formula>
    </cfRule>
  </conditionalFormatting>
  <conditionalFormatting sqref="AC74">
    <cfRule type="cellIs" priority="576" operator="greaterThan" dxfId="13">
      <formula>0.9</formula>
    </cfRule>
    <cfRule type="cellIs" priority="577" operator="greaterThan" dxfId="12">
      <formula>0.85</formula>
    </cfRule>
  </conditionalFormatting>
  <conditionalFormatting sqref="N74">
    <cfRule type="cellIs" priority="574" operator="greaterThan" dxfId="13">
      <formula>0.9</formula>
    </cfRule>
    <cfRule type="cellIs" priority="575" operator="greaterThan" dxfId="12">
      <formula>0.85</formula>
    </cfRule>
  </conditionalFormatting>
  <conditionalFormatting sqref="E74">
    <cfRule type="expression" priority="570" dxfId="3">
      <formula>AND(IF(OR($Q74=1,$Q74=2),1,0),IF($X74&lt;=20,1,0))</formula>
    </cfRule>
    <cfRule type="expression" priority="571" dxfId="2">
      <formula>AND(IF($Q74=2,1,0),IF($X74&lt;30,1,0))</formula>
    </cfRule>
    <cfRule type="expression" priority="572" dxfId="1">
      <formula>AND(IF($Q74=3,1,0),IF($X74&lt;30,1,0))</formula>
    </cfRule>
    <cfRule type="expression" priority="573" dxfId="0">
      <formula>AND(IF($Q74=3,1,IF($Q74=4,1,0)),IF($F74&lt;=85,1,0))</formula>
    </cfRule>
  </conditionalFormatting>
  <conditionalFormatting sqref="X74">
    <cfRule type="expression" priority="566" dxfId="3">
      <formula>AND(IF(OR($Q74=1,$Q74=2),1,0),IF($X74&lt;=20,1,0))</formula>
    </cfRule>
    <cfRule type="expression" priority="567" dxfId="2">
      <formula>AND(IF($Q74=2,1,0),IF($X74&lt;30,1,0))</formula>
    </cfRule>
    <cfRule type="expression" priority="568" dxfId="1">
      <formula>AND(IF($Q74=3,1,0),IF($X74&lt;30,1,0))</formula>
    </cfRule>
    <cfRule type="expression" priority="569" dxfId="0">
      <formula>AND(IF($Q74=3,1,IF($Q74=4,1,0)),IF($F74&lt;=85,1,0))</formula>
    </cfRule>
  </conditionalFormatting>
  <conditionalFormatting sqref="AI74">
    <cfRule type="expression" priority="562" dxfId="3">
      <formula>AND(IF(OR($Q74=1,$Q74=2),1,0),IF($X74&lt;=20,1,0))</formula>
    </cfRule>
    <cfRule type="expression" priority="563" dxfId="2">
      <formula>AND(IF($Q74=2,1,0),IF($X74&lt;30,1,0))</formula>
    </cfRule>
    <cfRule type="expression" priority="564" dxfId="1">
      <formula>AND(IF($Q74=3,1,0),IF($X74&lt;30,1,0))</formula>
    </cfRule>
    <cfRule type="expression" priority="565" dxfId="0">
      <formula>AND(IF($Q74=3,1,IF($Q74=4,1,0)),IF($F74&lt;=85,1,0))</formula>
    </cfRule>
  </conditionalFormatting>
  <conditionalFormatting sqref="AV75">
    <cfRule type="expression" priority="560" dxfId="17">
      <formula>AV75="X"</formula>
    </cfRule>
    <cfRule type="expression" priority="561" dxfId="16">
      <formula>AV75="후보"</formula>
    </cfRule>
  </conditionalFormatting>
  <conditionalFormatting sqref="AC75">
    <cfRule type="cellIs" priority="557" operator="greaterThan" dxfId="13">
      <formula>0.9</formula>
    </cfRule>
    <cfRule type="cellIs" priority="558" operator="greaterThan" dxfId="12">
      <formula>0.85</formula>
    </cfRule>
  </conditionalFormatting>
  <conditionalFormatting sqref="N75">
    <cfRule type="cellIs" priority="555" operator="greaterThan" dxfId="13">
      <formula>0.9</formula>
    </cfRule>
    <cfRule type="cellIs" priority="556" operator="greaterThan" dxfId="12">
      <formula>0.85</formula>
    </cfRule>
  </conditionalFormatting>
  <conditionalFormatting sqref="E75">
    <cfRule type="expression" priority="551" dxfId="3">
      <formula>AND(IF(OR($Q75=1,$Q75=2),1,0),IF($X75&lt;=20,1,0))</formula>
    </cfRule>
    <cfRule type="expression" priority="552" dxfId="2">
      <formula>AND(IF($Q75=2,1,0),IF($X75&lt;30,1,0))</formula>
    </cfRule>
    <cfRule type="expression" priority="553" dxfId="1">
      <formula>AND(IF($Q75=3,1,0),IF($X75&lt;30,1,0))</formula>
    </cfRule>
    <cfRule type="expression" priority="554" dxfId="0">
      <formula>AND(IF($Q75=3,1,IF($Q75=4,1,0)),IF($F75&lt;=85,1,0))</formula>
    </cfRule>
  </conditionalFormatting>
  <conditionalFormatting sqref="X75">
    <cfRule type="expression" priority="547" dxfId="3">
      <formula>AND(IF(OR($Q75=1,$Q75=2),1,0),IF($X75&lt;=20,1,0))</formula>
    </cfRule>
    <cfRule type="expression" priority="548" dxfId="2">
      <formula>AND(IF($Q75=2,1,0),IF($X75&lt;30,1,0))</formula>
    </cfRule>
    <cfRule type="expression" priority="549" dxfId="1">
      <formula>AND(IF($Q75=3,1,0),IF($X75&lt;30,1,0))</formula>
    </cfRule>
    <cfRule type="expression" priority="550" dxfId="0">
      <formula>AND(IF($Q75=3,1,IF($Q75=4,1,0)),IF($F75&lt;=85,1,0))</formula>
    </cfRule>
  </conditionalFormatting>
  <conditionalFormatting sqref="AI75">
    <cfRule type="expression" priority="543" dxfId="3">
      <formula>AND(IF(OR($Q75=1,$Q75=2),1,0),IF($X75&lt;=20,1,0))</formula>
    </cfRule>
    <cfRule type="expression" priority="544" dxfId="2">
      <formula>AND(IF($Q75=2,1,0),IF($X75&lt;30,1,0))</formula>
    </cfRule>
    <cfRule type="expression" priority="545" dxfId="1">
      <formula>AND(IF($Q75=3,1,0),IF($X75&lt;30,1,0))</formula>
    </cfRule>
    <cfRule type="expression" priority="546" dxfId="0">
      <formula>AND(IF($Q75=3,1,IF($Q75=4,1,0)),IF($F75&lt;=85,1,0))</formula>
    </cfRule>
  </conditionalFormatting>
  <conditionalFormatting sqref="AV76">
    <cfRule type="expression" priority="541" dxfId="17">
      <formula>AV76="X"</formula>
    </cfRule>
    <cfRule type="expression" priority="542" dxfId="16">
      <formula>AV76="후보"</formula>
    </cfRule>
  </conditionalFormatting>
  <conditionalFormatting sqref="AC76">
    <cfRule type="cellIs" priority="538" operator="greaterThan" dxfId="13">
      <formula>0.9</formula>
    </cfRule>
    <cfRule type="cellIs" priority="539" operator="greaterThan" dxfId="12">
      <formula>0.85</formula>
    </cfRule>
  </conditionalFormatting>
  <conditionalFormatting sqref="N76">
    <cfRule type="cellIs" priority="536" operator="greaterThan" dxfId="13">
      <formula>0.9</formula>
    </cfRule>
    <cfRule type="cellIs" priority="537" operator="greaterThan" dxfId="12">
      <formula>0.85</formula>
    </cfRule>
  </conditionalFormatting>
  <conditionalFormatting sqref="E76">
    <cfRule type="expression" priority="532" dxfId="3">
      <formula>AND(IF(OR($Q76=1,$Q76=2),1,0),IF($X76&lt;=20,1,0))</formula>
    </cfRule>
    <cfRule type="expression" priority="533" dxfId="2">
      <formula>AND(IF($Q76=2,1,0),IF($X76&lt;30,1,0))</formula>
    </cfRule>
    <cfRule type="expression" priority="534" dxfId="1">
      <formula>AND(IF($Q76=3,1,0),IF($X76&lt;30,1,0))</formula>
    </cfRule>
    <cfRule type="expression" priority="535" dxfId="0">
      <formula>AND(IF($Q76=3,1,IF($Q76=4,1,0)),IF($F76&lt;=85,1,0))</formula>
    </cfRule>
  </conditionalFormatting>
  <conditionalFormatting sqref="X76">
    <cfRule type="expression" priority="528" dxfId="3">
      <formula>AND(IF(OR($Q76=1,$Q76=2),1,0),IF($X76&lt;=20,1,0))</formula>
    </cfRule>
    <cfRule type="expression" priority="529" dxfId="2">
      <formula>AND(IF($Q76=2,1,0),IF($X76&lt;30,1,0))</formula>
    </cfRule>
    <cfRule type="expression" priority="530" dxfId="1">
      <formula>AND(IF($Q76=3,1,0),IF($X76&lt;30,1,0))</formula>
    </cfRule>
    <cfRule type="expression" priority="531" dxfId="0">
      <formula>AND(IF($Q76=3,1,IF($Q76=4,1,0)),IF($F76&lt;=85,1,0))</formula>
    </cfRule>
  </conditionalFormatting>
  <conditionalFormatting sqref="AI76">
    <cfRule type="expression" priority="524" dxfId="3">
      <formula>AND(IF(OR($Q76=1,$Q76=2),1,0),IF($X76&lt;=20,1,0))</formula>
    </cfRule>
    <cfRule type="expression" priority="525" dxfId="2">
      <formula>AND(IF($Q76=2,1,0),IF($X76&lt;30,1,0))</formula>
    </cfRule>
    <cfRule type="expression" priority="526" dxfId="1">
      <formula>AND(IF($Q76=3,1,0),IF($X76&lt;30,1,0))</formula>
    </cfRule>
    <cfRule type="expression" priority="527" dxfId="0">
      <formula>AND(IF($Q76=3,1,IF($Q76=4,1,0)),IF($F76&lt;=85,1,0))</formula>
    </cfRule>
  </conditionalFormatting>
  <conditionalFormatting sqref="AV77">
    <cfRule type="expression" priority="522" dxfId="17">
      <formula>AV77="X"</formula>
    </cfRule>
    <cfRule type="expression" priority="523" dxfId="16">
      <formula>AV77="후보"</formula>
    </cfRule>
  </conditionalFormatting>
  <conditionalFormatting sqref="AC77">
    <cfRule type="cellIs" priority="519" operator="greaterThan" dxfId="13">
      <formula>0.9</formula>
    </cfRule>
    <cfRule type="cellIs" priority="520" operator="greaterThan" dxfId="12">
      <formula>0.85</formula>
    </cfRule>
  </conditionalFormatting>
  <conditionalFormatting sqref="N77">
    <cfRule type="cellIs" priority="517" operator="greaterThan" dxfId="13">
      <formula>0.9</formula>
    </cfRule>
    <cfRule type="cellIs" priority="518" operator="greaterThan" dxfId="12">
      <formula>0.85</formula>
    </cfRule>
  </conditionalFormatting>
  <conditionalFormatting sqref="E77">
    <cfRule type="expression" priority="513" dxfId="3">
      <formula>AND(IF(OR($Q77=1,$Q77=2),1,0),IF($X77&lt;=20,1,0))</formula>
    </cfRule>
    <cfRule type="expression" priority="514" dxfId="2">
      <formula>AND(IF($Q77=2,1,0),IF($X77&lt;30,1,0))</formula>
    </cfRule>
    <cfRule type="expression" priority="515" dxfId="1">
      <formula>AND(IF($Q77=3,1,0),IF($X77&lt;30,1,0))</formula>
    </cfRule>
    <cfRule type="expression" priority="516" dxfId="0">
      <formula>AND(IF($Q77=3,1,IF($Q77=4,1,0)),IF($F77&lt;=85,1,0))</formula>
    </cfRule>
  </conditionalFormatting>
  <conditionalFormatting sqref="X77">
    <cfRule type="expression" priority="509" dxfId="3">
      <formula>AND(IF(OR($Q77=1,$Q77=2),1,0),IF($X77&lt;=20,1,0))</formula>
    </cfRule>
    <cfRule type="expression" priority="510" dxfId="2">
      <formula>AND(IF($Q77=2,1,0),IF($X77&lt;30,1,0))</formula>
    </cfRule>
    <cfRule type="expression" priority="511" dxfId="1">
      <formula>AND(IF($Q77=3,1,0),IF($X77&lt;30,1,0))</formula>
    </cfRule>
    <cfRule type="expression" priority="512" dxfId="0">
      <formula>AND(IF($Q77=3,1,IF($Q77=4,1,0)),IF($F77&lt;=85,1,0))</formula>
    </cfRule>
  </conditionalFormatting>
  <conditionalFormatting sqref="AI77">
    <cfRule type="expression" priority="505" dxfId="3">
      <formula>AND(IF(OR($Q77=1,$Q77=2),1,0),IF($X77&lt;=20,1,0))</formula>
    </cfRule>
    <cfRule type="expression" priority="506" dxfId="2">
      <formula>AND(IF($Q77=2,1,0),IF($X77&lt;30,1,0))</formula>
    </cfRule>
    <cfRule type="expression" priority="507" dxfId="1">
      <formula>AND(IF($Q77=3,1,0),IF($X77&lt;30,1,0))</formula>
    </cfRule>
    <cfRule type="expression" priority="508" dxfId="0">
      <formula>AND(IF($Q77=3,1,IF($Q77=4,1,0)),IF($F77&lt;=85,1,0))</formula>
    </cfRule>
  </conditionalFormatting>
  <conditionalFormatting sqref="AV78">
    <cfRule type="expression" priority="503" dxfId="17">
      <formula>AV78="X"</formula>
    </cfRule>
    <cfRule type="expression" priority="504" dxfId="16">
      <formula>AV78="후보"</formula>
    </cfRule>
  </conditionalFormatting>
  <conditionalFormatting sqref="AC78">
    <cfRule type="cellIs" priority="500" operator="greaterThan" dxfId="13">
      <formula>0.9</formula>
    </cfRule>
    <cfRule type="cellIs" priority="501" operator="greaterThan" dxfId="12">
      <formula>0.85</formula>
    </cfRule>
  </conditionalFormatting>
  <conditionalFormatting sqref="N78">
    <cfRule type="cellIs" priority="498" operator="greaterThan" dxfId="13">
      <formula>0.9</formula>
    </cfRule>
    <cfRule type="cellIs" priority="499" operator="greaterThan" dxfId="12">
      <formula>0.85</formula>
    </cfRule>
  </conditionalFormatting>
  <conditionalFormatting sqref="E78">
    <cfRule type="expression" priority="494" dxfId="3">
      <formula>AND(IF(OR($Q78=1,$Q78=2),1,0),IF($X78&lt;=20,1,0))</formula>
    </cfRule>
    <cfRule type="expression" priority="495" dxfId="2">
      <formula>AND(IF($Q78=2,1,0),IF($X78&lt;30,1,0))</formula>
    </cfRule>
    <cfRule type="expression" priority="496" dxfId="1">
      <formula>AND(IF($Q78=3,1,0),IF($X78&lt;30,1,0))</formula>
    </cfRule>
    <cfRule type="expression" priority="497" dxfId="0">
      <formula>AND(IF($Q78=3,1,IF($Q78=4,1,0)),IF($F78&lt;=85,1,0))</formula>
    </cfRule>
  </conditionalFormatting>
  <conditionalFormatting sqref="X78">
    <cfRule type="expression" priority="490" dxfId="3">
      <formula>AND(IF(OR($Q78=1,$Q78=2),1,0),IF($X78&lt;=20,1,0))</formula>
    </cfRule>
    <cfRule type="expression" priority="491" dxfId="2">
      <formula>AND(IF($Q78=2,1,0),IF($X78&lt;30,1,0))</formula>
    </cfRule>
    <cfRule type="expression" priority="492" dxfId="1">
      <formula>AND(IF($Q78=3,1,0),IF($X78&lt;30,1,0))</formula>
    </cfRule>
    <cfRule type="expression" priority="493" dxfId="0">
      <formula>AND(IF($Q78=3,1,IF($Q78=4,1,0)),IF($F78&lt;=85,1,0))</formula>
    </cfRule>
  </conditionalFormatting>
  <conditionalFormatting sqref="AI78">
    <cfRule type="expression" priority="486" dxfId="3">
      <formula>AND(IF(OR($Q78=1,$Q78=2),1,0),IF($X78&lt;=20,1,0))</formula>
    </cfRule>
    <cfRule type="expression" priority="487" dxfId="2">
      <formula>AND(IF($Q78=2,1,0),IF($X78&lt;30,1,0))</formula>
    </cfRule>
    <cfRule type="expression" priority="488" dxfId="1">
      <formula>AND(IF($Q78=3,1,0),IF($X78&lt;30,1,0))</formula>
    </cfRule>
    <cfRule type="expression" priority="489" dxfId="0">
      <formula>AND(IF($Q78=3,1,IF($Q78=4,1,0)),IF($F78&lt;=85,1,0))</formula>
    </cfRule>
  </conditionalFormatting>
  <conditionalFormatting sqref="AV79">
    <cfRule type="expression" priority="484" dxfId="17">
      <formula>AV79="X"</formula>
    </cfRule>
    <cfRule type="expression" priority="485" dxfId="16">
      <formula>AV79="후보"</formula>
    </cfRule>
  </conditionalFormatting>
  <conditionalFormatting sqref="AC79">
    <cfRule type="cellIs" priority="481" operator="greaterThan" dxfId="13">
      <formula>0.9</formula>
    </cfRule>
    <cfRule type="cellIs" priority="482" operator="greaterThan" dxfId="12">
      <formula>0.85</formula>
    </cfRule>
  </conditionalFormatting>
  <conditionalFormatting sqref="N79">
    <cfRule type="cellIs" priority="479" operator="greaterThan" dxfId="13">
      <formula>0.9</formula>
    </cfRule>
    <cfRule type="cellIs" priority="480" operator="greaterThan" dxfId="12">
      <formula>0.85</formula>
    </cfRule>
  </conditionalFormatting>
  <conditionalFormatting sqref="E79">
    <cfRule type="expression" priority="475" dxfId="3">
      <formula>AND(IF(OR($Q79=1,$Q79=2),1,0),IF($X79&lt;=20,1,0))</formula>
    </cfRule>
    <cfRule type="expression" priority="476" dxfId="2">
      <formula>AND(IF($Q79=2,1,0),IF($X79&lt;30,1,0))</formula>
    </cfRule>
    <cfRule type="expression" priority="477" dxfId="1">
      <formula>AND(IF($Q79=3,1,0),IF($X79&lt;30,1,0))</formula>
    </cfRule>
    <cfRule type="expression" priority="478" dxfId="0">
      <formula>AND(IF($Q79=3,1,IF($Q79=4,1,0)),IF($F79&lt;=85,1,0))</formula>
    </cfRule>
  </conditionalFormatting>
  <conditionalFormatting sqref="X79">
    <cfRule type="expression" priority="471" dxfId="3">
      <formula>AND(IF(OR($Q79=1,$Q79=2),1,0),IF($X79&lt;=20,1,0))</formula>
    </cfRule>
    <cfRule type="expression" priority="472" dxfId="2">
      <formula>AND(IF($Q79=2,1,0),IF($X79&lt;30,1,0))</formula>
    </cfRule>
    <cfRule type="expression" priority="473" dxfId="1">
      <formula>AND(IF($Q79=3,1,0),IF($X79&lt;30,1,0))</formula>
    </cfRule>
    <cfRule type="expression" priority="474" dxfId="0">
      <formula>AND(IF($Q79=3,1,IF($Q79=4,1,0)),IF($F79&lt;=85,1,0))</formula>
    </cfRule>
  </conditionalFormatting>
  <conditionalFormatting sqref="AI79">
    <cfRule type="expression" priority="467" dxfId="3">
      <formula>AND(IF(OR($Q79=1,$Q79=2),1,0),IF($X79&lt;=20,1,0))</formula>
    </cfRule>
    <cfRule type="expression" priority="468" dxfId="2">
      <formula>AND(IF($Q79=2,1,0),IF($X79&lt;30,1,0))</formula>
    </cfRule>
    <cfRule type="expression" priority="469" dxfId="1">
      <formula>AND(IF($Q79=3,1,0),IF($X79&lt;30,1,0))</formula>
    </cfRule>
    <cfRule type="expression" priority="470" dxfId="0">
      <formula>AND(IF($Q79=3,1,IF($Q79=4,1,0)),IF($F79&lt;=85,1,0))</formula>
    </cfRule>
  </conditionalFormatting>
  <conditionalFormatting sqref="AV80">
    <cfRule type="expression" priority="465" dxfId="17">
      <formula>AV80="X"</formula>
    </cfRule>
    <cfRule type="expression" priority="466" dxfId="16">
      <formula>AV80="후보"</formula>
    </cfRule>
  </conditionalFormatting>
  <conditionalFormatting sqref="AC80 N80">
    <cfRule type="cellIs" priority="462" operator="greaterThan" dxfId="13">
      <formula>0.9</formula>
    </cfRule>
    <cfRule type="cellIs" priority="463" operator="greaterThan" dxfId="12">
      <formula>0.85</formula>
    </cfRule>
  </conditionalFormatting>
  <conditionalFormatting sqref="AV81">
    <cfRule type="expression" priority="460" dxfId="17">
      <formula>AV81="X"</formula>
    </cfRule>
    <cfRule type="expression" priority="461" dxfId="16">
      <formula>AV81="후보"</formula>
    </cfRule>
  </conditionalFormatting>
  <conditionalFormatting sqref="AC81">
    <cfRule type="cellIs" priority="457" operator="greaterThan" dxfId="13">
      <formula>0.9</formula>
    </cfRule>
    <cfRule type="cellIs" priority="458" operator="greaterThan" dxfId="12">
      <formula>0.85</formula>
    </cfRule>
  </conditionalFormatting>
  <conditionalFormatting sqref="N81">
    <cfRule type="cellIs" priority="455" operator="greaterThan" dxfId="13">
      <formula>0.9</formula>
    </cfRule>
    <cfRule type="cellIs" priority="456" operator="greaterThan" dxfId="12">
      <formula>0.85</formula>
    </cfRule>
  </conditionalFormatting>
  <conditionalFormatting sqref="E81">
    <cfRule type="expression" priority="451" dxfId="3">
      <formula>AND(IF(OR($Q81=1,$Q81=2),1,0),IF($X81&lt;=20,1,0))</formula>
    </cfRule>
    <cfRule type="expression" priority="452" dxfId="2">
      <formula>AND(IF($Q81=2,1,0),IF($X81&lt;30,1,0))</formula>
    </cfRule>
    <cfRule type="expression" priority="453" dxfId="1">
      <formula>AND(IF($Q81=3,1,0),IF($X81&lt;30,1,0))</formula>
    </cfRule>
    <cfRule type="expression" priority="454" dxfId="0">
      <formula>AND(IF($Q81=3,1,IF($Q81=4,1,0)),IF($F81&lt;=85,1,0))</formula>
    </cfRule>
  </conditionalFormatting>
  <conditionalFormatting sqref="X81">
    <cfRule type="expression" priority="447" dxfId="3">
      <formula>AND(IF(OR($Q81=1,$Q81=2),1,0),IF($X81&lt;=20,1,0))</formula>
    </cfRule>
    <cfRule type="expression" priority="448" dxfId="2">
      <formula>AND(IF($Q81=2,1,0),IF($X81&lt;30,1,0))</formula>
    </cfRule>
    <cfRule type="expression" priority="449" dxfId="1">
      <formula>AND(IF($Q81=3,1,0),IF($X81&lt;30,1,0))</formula>
    </cfRule>
    <cfRule type="expression" priority="450" dxfId="0">
      <formula>AND(IF($Q81=3,1,IF($Q81=4,1,0)),IF($F81&lt;=85,1,0))</formula>
    </cfRule>
  </conditionalFormatting>
  <conditionalFormatting sqref="AI81">
    <cfRule type="expression" priority="443" dxfId="3">
      <formula>AND(IF(OR($Q81=1,$Q81=2),1,0),IF($X81&lt;=20,1,0))</formula>
    </cfRule>
    <cfRule type="expression" priority="444" dxfId="2">
      <formula>AND(IF($Q81=2,1,0),IF($X81&lt;30,1,0))</formula>
    </cfRule>
    <cfRule type="expression" priority="445" dxfId="1">
      <formula>AND(IF($Q81=3,1,0),IF($X81&lt;30,1,0))</formula>
    </cfRule>
    <cfRule type="expression" priority="446" dxfId="0">
      <formula>AND(IF($Q81=3,1,IF($Q81=4,1,0)),IF($F81&lt;=85,1,0))</formula>
    </cfRule>
  </conditionalFormatting>
  <conditionalFormatting sqref="AV82">
    <cfRule type="expression" priority="441" dxfId="17">
      <formula>AV82="X"</formula>
    </cfRule>
    <cfRule type="expression" priority="442" dxfId="16">
      <formula>AV82="후보"</formula>
    </cfRule>
  </conditionalFormatting>
  <conditionalFormatting sqref="AC82">
    <cfRule type="cellIs" priority="438" operator="greaterThan" dxfId="13">
      <formula>0.9</formula>
    </cfRule>
    <cfRule type="cellIs" priority="439" operator="greaterThan" dxfId="12">
      <formula>0.85</formula>
    </cfRule>
  </conditionalFormatting>
  <conditionalFormatting sqref="N82">
    <cfRule type="cellIs" priority="436" operator="greaterThan" dxfId="13">
      <formula>0.9</formula>
    </cfRule>
    <cfRule type="cellIs" priority="437" operator="greaterThan" dxfId="12">
      <formula>0.85</formula>
    </cfRule>
  </conditionalFormatting>
  <conditionalFormatting sqref="E82">
    <cfRule type="expression" priority="432" dxfId="3">
      <formula>AND(IF(OR($Q82=1,$Q82=2),1,0),IF($X82&lt;=20,1,0))</formula>
    </cfRule>
    <cfRule type="expression" priority="433" dxfId="2">
      <formula>AND(IF($Q82=2,1,0),IF($X82&lt;30,1,0))</formula>
    </cfRule>
    <cfRule type="expression" priority="434" dxfId="1">
      <formula>AND(IF($Q82=3,1,0),IF($X82&lt;30,1,0))</formula>
    </cfRule>
    <cfRule type="expression" priority="435" dxfId="0">
      <formula>AND(IF($Q82=3,1,IF($Q82=4,1,0)),IF($F82&lt;=85,1,0))</formula>
    </cfRule>
  </conditionalFormatting>
  <conditionalFormatting sqref="X82">
    <cfRule type="expression" priority="428" dxfId="3">
      <formula>AND(IF(OR($Q82=1,$Q82=2),1,0),IF($X82&lt;=20,1,0))</formula>
    </cfRule>
    <cfRule type="expression" priority="429" dxfId="2">
      <formula>AND(IF($Q82=2,1,0),IF($X82&lt;30,1,0))</formula>
    </cfRule>
    <cfRule type="expression" priority="430" dxfId="1">
      <formula>AND(IF($Q82=3,1,0),IF($X82&lt;30,1,0))</formula>
    </cfRule>
    <cfRule type="expression" priority="431" dxfId="0">
      <formula>AND(IF($Q82=3,1,IF($Q82=4,1,0)),IF($F82&lt;=85,1,0))</formula>
    </cfRule>
  </conditionalFormatting>
  <conditionalFormatting sqref="AI82">
    <cfRule type="expression" priority="424" dxfId="3">
      <formula>AND(IF(OR($Q82=1,$Q82=2),1,0),IF($X82&lt;=20,1,0))</formula>
    </cfRule>
    <cfRule type="expression" priority="425" dxfId="2">
      <formula>AND(IF($Q82=2,1,0),IF($X82&lt;30,1,0))</formula>
    </cfRule>
    <cfRule type="expression" priority="426" dxfId="1">
      <formula>AND(IF($Q82=3,1,0),IF($X82&lt;30,1,0))</formula>
    </cfRule>
    <cfRule type="expression" priority="427" dxfId="0">
      <formula>AND(IF($Q82=3,1,IF($Q82=4,1,0)),IF($F82&lt;=85,1,0))</formula>
    </cfRule>
  </conditionalFormatting>
  <conditionalFormatting sqref="AV83">
    <cfRule type="expression" priority="422" dxfId="17">
      <formula>AV83="X"</formula>
    </cfRule>
    <cfRule type="expression" priority="423" dxfId="16">
      <formula>AV83="후보"</formula>
    </cfRule>
  </conditionalFormatting>
  <conditionalFormatting sqref="AC83">
    <cfRule type="cellIs" priority="419" operator="greaterThan" dxfId="13">
      <formula>0.9</formula>
    </cfRule>
    <cfRule type="cellIs" priority="420" operator="greaterThan" dxfId="12">
      <formula>0.85</formula>
    </cfRule>
  </conditionalFormatting>
  <conditionalFormatting sqref="N83">
    <cfRule type="cellIs" priority="417" operator="greaterThan" dxfId="13">
      <formula>0.9</formula>
    </cfRule>
    <cfRule type="cellIs" priority="418" operator="greaterThan" dxfId="12">
      <formula>0.85</formula>
    </cfRule>
  </conditionalFormatting>
  <conditionalFormatting sqref="E83">
    <cfRule type="expression" priority="413" dxfId="3">
      <formula>AND(IF(OR($Q83=1,$Q83=2),1,0),IF($X83&lt;=20,1,0))</formula>
    </cfRule>
    <cfRule type="expression" priority="414" dxfId="2">
      <formula>AND(IF($Q83=2,1,0),IF($X83&lt;30,1,0))</formula>
    </cfRule>
    <cfRule type="expression" priority="415" dxfId="1">
      <formula>AND(IF($Q83=3,1,0),IF($X83&lt;30,1,0))</formula>
    </cfRule>
    <cfRule type="expression" priority="416" dxfId="0">
      <formula>AND(IF($Q83=3,1,IF($Q83=4,1,0)),IF($F83&lt;=85,1,0))</formula>
    </cfRule>
  </conditionalFormatting>
  <conditionalFormatting sqref="X83">
    <cfRule type="expression" priority="409" dxfId="3">
      <formula>AND(IF(OR($Q83=1,$Q83=2),1,0),IF($X83&lt;=20,1,0))</formula>
    </cfRule>
    <cfRule type="expression" priority="410" dxfId="2">
      <formula>AND(IF($Q83=2,1,0),IF($X83&lt;30,1,0))</formula>
    </cfRule>
    <cfRule type="expression" priority="411" dxfId="1">
      <formula>AND(IF($Q83=3,1,0),IF($X83&lt;30,1,0))</formula>
    </cfRule>
    <cfRule type="expression" priority="412" dxfId="0">
      <formula>AND(IF($Q83=3,1,IF($Q83=4,1,0)),IF($F83&lt;=85,1,0))</formula>
    </cfRule>
  </conditionalFormatting>
  <conditionalFormatting sqref="AI83">
    <cfRule type="expression" priority="405" dxfId="3">
      <formula>AND(IF(OR($Q83=1,$Q83=2),1,0),IF($X83&lt;=20,1,0))</formula>
    </cfRule>
    <cfRule type="expression" priority="406" dxfId="2">
      <formula>AND(IF($Q83=2,1,0),IF($X83&lt;30,1,0))</formula>
    </cfRule>
    <cfRule type="expression" priority="407" dxfId="1">
      <formula>AND(IF($Q83=3,1,0),IF($X83&lt;30,1,0))</formula>
    </cfRule>
    <cfRule type="expression" priority="408" dxfId="0">
      <formula>AND(IF($Q83=3,1,IF($Q83=4,1,0)),IF($F83&lt;=85,1,0))</formula>
    </cfRule>
  </conditionalFormatting>
  <conditionalFormatting sqref="AV84">
    <cfRule type="expression" priority="403" dxfId="17">
      <formula>AV84="X"</formula>
    </cfRule>
    <cfRule type="expression" priority="404" dxfId="16">
      <formula>AV84="후보"</formula>
    </cfRule>
  </conditionalFormatting>
  <conditionalFormatting sqref="AC84">
    <cfRule type="cellIs" priority="400" operator="greaterThan" dxfId="13">
      <formula>0.9</formula>
    </cfRule>
    <cfRule type="cellIs" priority="401" operator="greaterThan" dxfId="12">
      <formula>0.85</formula>
    </cfRule>
  </conditionalFormatting>
  <conditionalFormatting sqref="N84">
    <cfRule type="cellIs" priority="398" operator="greaterThan" dxfId="13">
      <formula>0.9</formula>
    </cfRule>
    <cfRule type="cellIs" priority="399" operator="greaterThan" dxfId="12">
      <formula>0.85</formula>
    </cfRule>
  </conditionalFormatting>
  <conditionalFormatting sqref="E84">
    <cfRule type="expression" priority="394" dxfId="3">
      <formula>AND(IF(OR($Q84=1,$Q84=2),1,0),IF($X84&lt;=20,1,0))</formula>
    </cfRule>
    <cfRule type="expression" priority="395" dxfId="2">
      <formula>AND(IF($Q84=2,1,0),IF($X84&lt;30,1,0))</formula>
    </cfRule>
    <cfRule type="expression" priority="396" dxfId="1">
      <formula>AND(IF($Q84=3,1,0),IF($X84&lt;30,1,0))</formula>
    </cfRule>
    <cfRule type="expression" priority="397" dxfId="0">
      <formula>AND(IF($Q84=3,1,IF($Q84=4,1,0)),IF($F84&lt;=85,1,0))</formula>
    </cfRule>
  </conditionalFormatting>
  <conditionalFormatting sqref="X84">
    <cfRule type="expression" priority="390" dxfId="3">
      <formula>AND(IF(OR($Q84=1,$Q84=2),1,0),IF($X84&lt;=20,1,0))</formula>
    </cfRule>
    <cfRule type="expression" priority="391" dxfId="2">
      <formula>AND(IF($Q84=2,1,0),IF($X84&lt;30,1,0))</formula>
    </cfRule>
    <cfRule type="expression" priority="392" dxfId="1">
      <formula>AND(IF($Q84=3,1,0),IF($X84&lt;30,1,0))</formula>
    </cfRule>
    <cfRule type="expression" priority="393" dxfId="0">
      <formula>AND(IF($Q84=3,1,IF($Q84=4,1,0)),IF($F84&lt;=85,1,0))</formula>
    </cfRule>
  </conditionalFormatting>
  <conditionalFormatting sqref="AI84">
    <cfRule type="expression" priority="386" dxfId="3">
      <formula>AND(IF(OR($Q84=1,$Q84=2),1,0),IF($X84&lt;=20,1,0))</formula>
    </cfRule>
    <cfRule type="expression" priority="387" dxfId="2">
      <formula>AND(IF($Q84=2,1,0),IF($X84&lt;30,1,0))</formula>
    </cfRule>
    <cfRule type="expression" priority="388" dxfId="1">
      <formula>AND(IF($Q84=3,1,0),IF($X84&lt;30,1,0))</formula>
    </cfRule>
    <cfRule type="expression" priority="389" dxfId="0">
      <formula>AND(IF($Q84=3,1,IF($Q84=4,1,0)),IF($F84&lt;=85,1,0))</formula>
    </cfRule>
  </conditionalFormatting>
  <conditionalFormatting sqref="AV85">
    <cfRule type="expression" priority="384" dxfId="17">
      <formula>AV85="X"</formula>
    </cfRule>
    <cfRule type="expression" priority="385" dxfId="16">
      <formula>AV85="후보"</formula>
    </cfRule>
  </conditionalFormatting>
  <conditionalFormatting sqref="AC85">
    <cfRule type="cellIs" priority="381" operator="greaterThan" dxfId="13">
      <formula>0.9</formula>
    </cfRule>
    <cfRule type="cellIs" priority="382" operator="greaterThan" dxfId="12">
      <formula>0.85</formula>
    </cfRule>
  </conditionalFormatting>
  <conditionalFormatting sqref="N85">
    <cfRule type="cellIs" priority="379" operator="greaterThan" dxfId="13">
      <formula>0.9</formula>
    </cfRule>
    <cfRule type="cellIs" priority="380" operator="greaterThan" dxfId="12">
      <formula>0.85</formula>
    </cfRule>
  </conditionalFormatting>
  <conditionalFormatting sqref="E85">
    <cfRule type="expression" priority="375" dxfId="3">
      <formula>AND(IF(OR($Q85=1,$Q85=2),1,0),IF($X85&lt;=20,1,0))</formula>
    </cfRule>
    <cfRule type="expression" priority="376" dxfId="2">
      <formula>AND(IF($Q85=2,1,0),IF($X85&lt;30,1,0))</formula>
    </cfRule>
    <cfRule type="expression" priority="377" dxfId="1">
      <formula>AND(IF($Q85=3,1,0),IF($X85&lt;30,1,0))</formula>
    </cfRule>
    <cfRule type="expression" priority="378" dxfId="0">
      <formula>AND(IF($Q85=3,1,IF($Q85=4,1,0)),IF($F85&lt;=85,1,0))</formula>
    </cfRule>
  </conditionalFormatting>
  <conditionalFormatting sqref="X85">
    <cfRule type="expression" priority="371" dxfId="3">
      <formula>AND(IF(OR($Q85=1,$Q85=2),1,0),IF($X85&lt;=20,1,0))</formula>
    </cfRule>
    <cfRule type="expression" priority="372" dxfId="2">
      <formula>AND(IF($Q85=2,1,0),IF($X85&lt;30,1,0))</formula>
    </cfRule>
    <cfRule type="expression" priority="373" dxfId="1">
      <formula>AND(IF($Q85=3,1,0),IF($X85&lt;30,1,0))</formula>
    </cfRule>
    <cfRule type="expression" priority="374" dxfId="0">
      <formula>AND(IF($Q85=3,1,IF($Q85=4,1,0)),IF($F85&lt;=85,1,0))</formula>
    </cfRule>
  </conditionalFormatting>
  <conditionalFormatting sqref="AI85">
    <cfRule type="expression" priority="367" dxfId="3">
      <formula>AND(IF(OR($Q85=1,$Q85=2),1,0),IF($X85&lt;=20,1,0))</formula>
    </cfRule>
    <cfRule type="expression" priority="368" dxfId="2">
      <formula>AND(IF($Q85=2,1,0),IF($X85&lt;30,1,0))</formula>
    </cfRule>
    <cfRule type="expression" priority="369" dxfId="1">
      <formula>AND(IF($Q85=3,1,0),IF($X85&lt;30,1,0))</formula>
    </cfRule>
    <cfRule type="expression" priority="370" dxfId="0">
      <formula>AND(IF($Q85=3,1,IF($Q85=4,1,0)),IF($F85&lt;=85,1,0))</formula>
    </cfRule>
  </conditionalFormatting>
  <conditionalFormatting sqref="AV86">
    <cfRule type="expression" priority="365" dxfId="17">
      <formula>AV86="X"</formula>
    </cfRule>
    <cfRule type="expression" priority="366" dxfId="16">
      <formula>AV86="후보"</formula>
    </cfRule>
  </conditionalFormatting>
  <conditionalFormatting sqref="AC86">
    <cfRule type="cellIs" priority="362" operator="greaterThan" dxfId="13">
      <formula>0.9</formula>
    </cfRule>
    <cfRule type="cellIs" priority="363" operator="greaterThan" dxfId="12">
      <formula>0.85</formula>
    </cfRule>
  </conditionalFormatting>
  <conditionalFormatting sqref="N86">
    <cfRule type="cellIs" priority="360" operator="greaterThan" dxfId="13">
      <formula>0.9</formula>
    </cfRule>
    <cfRule type="cellIs" priority="361" operator="greaterThan" dxfId="12">
      <formula>0.85</formula>
    </cfRule>
  </conditionalFormatting>
  <conditionalFormatting sqref="E86">
    <cfRule type="expression" priority="356" dxfId="3">
      <formula>AND(IF(OR($Q86=1,$Q86=2),1,0),IF($X86&lt;=20,1,0))</formula>
    </cfRule>
    <cfRule type="expression" priority="357" dxfId="2">
      <formula>AND(IF($Q86=2,1,0),IF($X86&lt;30,1,0))</formula>
    </cfRule>
    <cfRule type="expression" priority="358" dxfId="1">
      <formula>AND(IF($Q86=3,1,0),IF($X86&lt;30,1,0))</formula>
    </cfRule>
    <cfRule type="expression" priority="359" dxfId="0">
      <formula>AND(IF($Q86=3,1,IF($Q86=4,1,0)),IF($F86&lt;=85,1,0))</formula>
    </cfRule>
  </conditionalFormatting>
  <conditionalFormatting sqref="X86">
    <cfRule type="expression" priority="352" dxfId="3">
      <formula>AND(IF(OR($Q86=1,$Q86=2),1,0),IF($X86&lt;=20,1,0))</formula>
    </cfRule>
    <cfRule type="expression" priority="353" dxfId="2">
      <formula>AND(IF($Q86=2,1,0),IF($X86&lt;30,1,0))</formula>
    </cfRule>
    <cfRule type="expression" priority="354" dxfId="1">
      <formula>AND(IF($Q86=3,1,0),IF($X86&lt;30,1,0))</formula>
    </cfRule>
    <cfRule type="expression" priority="355" dxfId="0">
      <formula>AND(IF($Q86=3,1,IF($Q86=4,1,0)),IF($F86&lt;=85,1,0))</formula>
    </cfRule>
  </conditionalFormatting>
  <conditionalFormatting sqref="AI86">
    <cfRule type="expression" priority="348" dxfId="3">
      <formula>AND(IF(OR($Q86=1,$Q86=2),1,0),IF($X86&lt;=20,1,0))</formula>
    </cfRule>
    <cfRule type="expression" priority="349" dxfId="2">
      <formula>AND(IF($Q86=2,1,0),IF($X86&lt;30,1,0))</formula>
    </cfRule>
    <cfRule type="expression" priority="350" dxfId="1">
      <formula>AND(IF($Q86=3,1,0),IF($X86&lt;30,1,0))</formula>
    </cfRule>
    <cfRule type="expression" priority="351" dxfId="0">
      <formula>AND(IF($Q86=3,1,IF($Q86=4,1,0)),IF($F86&lt;=85,1,0))</formula>
    </cfRule>
  </conditionalFormatting>
  <conditionalFormatting sqref="AV87">
    <cfRule type="expression" priority="346" dxfId="17">
      <formula>AV87="X"</formula>
    </cfRule>
    <cfRule type="expression" priority="347" dxfId="16">
      <formula>AV87="후보"</formula>
    </cfRule>
  </conditionalFormatting>
  <conditionalFormatting sqref="AC87">
    <cfRule type="cellIs" priority="343" operator="greaterThan" dxfId="13">
      <formula>0.9</formula>
    </cfRule>
    <cfRule type="cellIs" priority="344" operator="greaterThan" dxfId="12">
      <formula>0.85</formula>
    </cfRule>
  </conditionalFormatting>
  <conditionalFormatting sqref="N87">
    <cfRule type="cellIs" priority="341" operator="greaterThan" dxfId="13">
      <formula>0.9</formula>
    </cfRule>
    <cfRule type="cellIs" priority="342" operator="greaterThan" dxfId="12">
      <formula>0.85</formula>
    </cfRule>
  </conditionalFormatting>
  <conditionalFormatting sqref="E87">
    <cfRule type="expression" priority="337" dxfId="3">
      <formula>AND(IF(OR($Q87=1,$Q87=2),1,0),IF($X87&lt;=20,1,0))</formula>
    </cfRule>
    <cfRule type="expression" priority="338" dxfId="2">
      <formula>AND(IF($Q87=2,1,0),IF($X87&lt;30,1,0))</formula>
    </cfRule>
    <cfRule type="expression" priority="339" dxfId="1">
      <formula>AND(IF($Q87=3,1,0),IF($X87&lt;30,1,0))</formula>
    </cfRule>
    <cfRule type="expression" priority="340" dxfId="0">
      <formula>AND(IF($Q87=3,1,IF($Q87=4,1,0)),IF($F87&lt;=85,1,0))</formula>
    </cfRule>
  </conditionalFormatting>
  <conditionalFormatting sqref="X87">
    <cfRule type="expression" priority="333" dxfId="3">
      <formula>AND(IF(OR($Q87=1,$Q87=2),1,0),IF($X87&lt;=20,1,0))</formula>
    </cfRule>
    <cfRule type="expression" priority="334" dxfId="2">
      <formula>AND(IF($Q87=2,1,0),IF($X87&lt;30,1,0))</formula>
    </cfRule>
    <cfRule type="expression" priority="335" dxfId="1">
      <formula>AND(IF($Q87=3,1,0),IF($X87&lt;30,1,0))</formula>
    </cfRule>
    <cfRule type="expression" priority="336" dxfId="0">
      <formula>AND(IF($Q87=3,1,IF($Q87=4,1,0)),IF($F87&lt;=85,1,0))</formula>
    </cfRule>
  </conditionalFormatting>
  <conditionalFormatting sqref="AI87">
    <cfRule type="expression" priority="329" dxfId="3">
      <formula>AND(IF(OR($Q87=1,$Q87=2),1,0),IF($X87&lt;=20,1,0))</formula>
    </cfRule>
    <cfRule type="expression" priority="330" dxfId="2">
      <formula>AND(IF($Q87=2,1,0),IF($X87&lt;30,1,0))</formula>
    </cfRule>
    <cfRule type="expression" priority="331" dxfId="1">
      <formula>AND(IF($Q87=3,1,0),IF($X87&lt;30,1,0))</formula>
    </cfRule>
    <cfRule type="expression" priority="332" dxfId="0">
      <formula>AND(IF($Q87=3,1,IF($Q87=4,1,0)),IF($F87&lt;=85,1,0))</formula>
    </cfRule>
  </conditionalFormatting>
  <conditionalFormatting sqref="AV88">
    <cfRule type="expression" priority="327" dxfId="17">
      <formula>AV88="X"</formula>
    </cfRule>
    <cfRule type="expression" priority="328" dxfId="16">
      <formula>AV88="후보"</formula>
    </cfRule>
  </conditionalFormatting>
  <conditionalFormatting sqref="AC88">
    <cfRule type="cellIs" priority="324" operator="greaterThan" dxfId="13">
      <formula>0.9</formula>
    </cfRule>
    <cfRule type="cellIs" priority="325" operator="greaterThan" dxfId="12">
      <formula>0.85</formula>
    </cfRule>
  </conditionalFormatting>
  <conditionalFormatting sqref="N88">
    <cfRule type="cellIs" priority="322" operator="greaterThan" dxfId="13">
      <formula>0.9</formula>
    </cfRule>
    <cfRule type="cellIs" priority="323" operator="greaterThan" dxfId="12">
      <formula>0.85</formula>
    </cfRule>
  </conditionalFormatting>
  <conditionalFormatting sqref="E88">
    <cfRule type="expression" priority="318" dxfId="3">
      <formula>AND(IF(OR($Q88=1,$Q88=2),1,0),IF($X88&lt;=20,1,0))</formula>
    </cfRule>
    <cfRule type="expression" priority="319" dxfId="2">
      <formula>AND(IF($Q88=2,1,0),IF($X88&lt;30,1,0))</formula>
    </cfRule>
    <cfRule type="expression" priority="320" dxfId="1">
      <formula>AND(IF($Q88=3,1,0),IF($X88&lt;30,1,0))</formula>
    </cfRule>
    <cfRule type="expression" priority="321" dxfId="0">
      <formula>AND(IF($Q88=3,1,IF($Q88=4,1,0)),IF($F88&lt;=85,1,0))</formula>
    </cfRule>
  </conditionalFormatting>
  <conditionalFormatting sqref="X88">
    <cfRule type="expression" priority="314" dxfId="3">
      <formula>AND(IF(OR($Q88=1,$Q88=2),1,0),IF($X88&lt;=20,1,0))</formula>
    </cfRule>
    <cfRule type="expression" priority="315" dxfId="2">
      <formula>AND(IF($Q88=2,1,0),IF($X88&lt;30,1,0))</formula>
    </cfRule>
    <cfRule type="expression" priority="316" dxfId="1">
      <formula>AND(IF($Q88=3,1,0),IF($X88&lt;30,1,0))</formula>
    </cfRule>
    <cfRule type="expression" priority="317" dxfId="0">
      <formula>AND(IF($Q88=3,1,IF($Q88=4,1,0)),IF($F88&lt;=85,1,0))</formula>
    </cfRule>
  </conditionalFormatting>
  <conditionalFormatting sqref="AI88">
    <cfRule type="expression" priority="310" dxfId="3">
      <formula>AND(IF(OR($Q88=1,$Q88=2),1,0),IF($X88&lt;=20,1,0))</formula>
    </cfRule>
    <cfRule type="expression" priority="311" dxfId="2">
      <formula>AND(IF($Q88=2,1,0),IF($X88&lt;30,1,0))</formula>
    </cfRule>
    <cfRule type="expression" priority="312" dxfId="1">
      <formula>AND(IF($Q88=3,1,0),IF($X88&lt;30,1,0))</formula>
    </cfRule>
    <cfRule type="expression" priority="313" dxfId="0">
      <formula>AND(IF($Q88=3,1,IF($Q88=4,1,0)),IF($F88&lt;=85,1,0))</formula>
    </cfRule>
  </conditionalFormatting>
  <conditionalFormatting sqref="AV89">
    <cfRule type="expression" priority="308" dxfId="17">
      <formula>AV89="X"</formula>
    </cfRule>
    <cfRule type="expression" priority="309" dxfId="16">
      <formula>AV89="후보"</formula>
    </cfRule>
  </conditionalFormatting>
  <conditionalFormatting sqref="AC89">
    <cfRule type="cellIs" priority="305" operator="greaterThan" dxfId="13">
      <formula>0.9</formula>
    </cfRule>
    <cfRule type="cellIs" priority="306" operator="greaterThan" dxfId="12">
      <formula>0.85</formula>
    </cfRule>
  </conditionalFormatting>
  <conditionalFormatting sqref="N89">
    <cfRule type="cellIs" priority="303" operator="greaterThan" dxfId="13">
      <formula>0.9</formula>
    </cfRule>
    <cfRule type="cellIs" priority="304" operator="greaterThan" dxfId="12">
      <formula>0.85</formula>
    </cfRule>
  </conditionalFormatting>
  <conditionalFormatting sqref="E89">
    <cfRule type="expression" priority="299" dxfId="3">
      <formula>AND(IF(OR($Q89=1,$Q89=2),1,0),IF($X89&lt;=20,1,0))</formula>
    </cfRule>
    <cfRule type="expression" priority="300" dxfId="2">
      <formula>AND(IF($Q89=2,1,0),IF($X89&lt;30,1,0))</formula>
    </cfRule>
    <cfRule type="expression" priority="301" dxfId="1">
      <formula>AND(IF($Q89=3,1,0),IF($X89&lt;30,1,0))</formula>
    </cfRule>
    <cfRule type="expression" priority="302" dxfId="0">
      <formula>AND(IF($Q89=3,1,IF($Q89=4,1,0)),IF($F89&lt;=85,1,0))</formula>
    </cfRule>
  </conditionalFormatting>
  <conditionalFormatting sqref="X89">
    <cfRule type="expression" priority="295" dxfId="3">
      <formula>AND(IF(OR($Q89=1,$Q89=2),1,0),IF($X89&lt;=20,1,0))</formula>
    </cfRule>
    <cfRule type="expression" priority="296" dxfId="2">
      <formula>AND(IF($Q89=2,1,0),IF($X89&lt;30,1,0))</formula>
    </cfRule>
    <cfRule type="expression" priority="297" dxfId="1">
      <formula>AND(IF($Q89=3,1,0),IF($X89&lt;30,1,0))</formula>
    </cfRule>
    <cfRule type="expression" priority="298" dxfId="0">
      <formula>AND(IF($Q89=3,1,IF($Q89=4,1,0)),IF($F89&lt;=85,1,0))</formula>
    </cfRule>
  </conditionalFormatting>
  <conditionalFormatting sqref="AI89">
    <cfRule type="expression" priority="291" dxfId="3">
      <formula>AND(IF(OR($Q89=1,$Q89=2),1,0),IF($X89&lt;=20,1,0))</formula>
    </cfRule>
    <cfRule type="expression" priority="292" dxfId="2">
      <formula>AND(IF($Q89=2,1,0),IF($X89&lt;30,1,0))</formula>
    </cfRule>
    <cfRule type="expression" priority="293" dxfId="1">
      <formula>AND(IF($Q89=3,1,0),IF($X89&lt;30,1,0))</formula>
    </cfRule>
    <cfRule type="expression" priority="294" dxfId="0">
      <formula>AND(IF($Q89=3,1,IF($Q89=4,1,0)),IF($F89&lt;=85,1,0))</formula>
    </cfRule>
  </conditionalFormatting>
  <conditionalFormatting sqref="AV90">
    <cfRule type="expression" priority="289" dxfId="17">
      <formula>AV90="X"</formula>
    </cfRule>
    <cfRule type="expression" priority="290" dxfId="16">
      <formula>AV90="후보"</formula>
    </cfRule>
  </conditionalFormatting>
  <conditionalFormatting sqref="AC90">
    <cfRule type="cellIs" priority="286" operator="greaterThan" dxfId="13">
      <formula>0.9</formula>
    </cfRule>
    <cfRule type="cellIs" priority="287" operator="greaterThan" dxfId="12">
      <formula>0.85</formula>
    </cfRule>
  </conditionalFormatting>
  <conditionalFormatting sqref="N90">
    <cfRule type="cellIs" priority="284" operator="greaterThan" dxfId="13">
      <formula>0.9</formula>
    </cfRule>
    <cfRule type="cellIs" priority="285" operator="greaterThan" dxfId="12">
      <formula>0.85</formula>
    </cfRule>
  </conditionalFormatting>
  <conditionalFormatting sqref="E90">
    <cfRule type="expression" priority="280" dxfId="3">
      <formula>AND(IF(OR($Q90=1,$Q90=2),1,0),IF($X90&lt;=20,1,0))</formula>
    </cfRule>
    <cfRule type="expression" priority="281" dxfId="2">
      <formula>AND(IF($Q90=2,1,0),IF($X90&lt;30,1,0))</formula>
    </cfRule>
    <cfRule type="expression" priority="282" dxfId="1">
      <formula>AND(IF($Q90=3,1,0),IF($X90&lt;30,1,0))</formula>
    </cfRule>
    <cfRule type="expression" priority="283" dxfId="0">
      <formula>AND(IF($Q90=3,1,IF($Q90=4,1,0)),IF($F90&lt;=85,1,0))</formula>
    </cfRule>
  </conditionalFormatting>
  <conditionalFormatting sqref="X90">
    <cfRule type="expression" priority="276" dxfId="3">
      <formula>AND(IF(OR($Q90=1,$Q90=2),1,0),IF($X90&lt;=20,1,0))</formula>
    </cfRule>
    <cfRule type="expression" priority="277" dxfId="2">
      <formula>AND(IF($Q90=2,1,0),IF($X90&lt;30,1,0))</formula>
    </cfRule>
    <cfRule type="expression" priority="278" dxfId="1">
      <formula>AND(IF($Q90=3,1,0),IF($X90&lt;30,1,0))</formula>
    </cfRule>
    <cfRule type="expression" priority="279" dxfId="0">
      <formula>AND(IF($Q90=3,1,IF($Q90=4,1,0)),IF($F90&lt;=85,1,0))</formula>
    </cfRule>
  </conditionalFormatting>
  <conditionalFormatting sqref="AI90">
    <cfRule type="expression" priority="272" dxfId="3">
      <formula>AND(IF(OR($Q90=1,$Q90=2),1,0),IF($X90&lt;=20,1,0))</formula>
    </cfRule>
    <cfRule type="expression" priority="273" dxfId="2">
      <formula>AND(IF($Q90=2,1,0),IF($X90&lt;30,1,0))</formula>
    </cfRule>
    <cfRule type="expression" priority="274" dxfId="1">
      <formula>AND(IF($Q90=3,1,0),IF($X90&lt;30,1,0))</formula>
    </cfRule>
    <cfRule type="expression" priority="275" dxfId="0">
      <formula>AND(IF($Q90=3,1,IF($Q90=4,1,0)),IF($F90&lt;=85,1,0))</formula>
    </cfRule>
  </conditionalFormatting>
  <conditionalFormatting sqref="AV91">
    <cfRule type="expression" priority="270" dxfId="17">
      <formula>AV91="X"</formula>
    </cfRule>
    <cfRule type="expression" priority="271" dxfId="16">
      <formula>AV91="후보"</formula>
    </cfRule>
  </conditionalFormatting>
  <conditionalFormatting sqref="AC91">
    <cfRule type="cellIs" priority="267" operator="greaterThan" dxfId="13">
      <formula>0.9</formula>
    </cfRule>
    <cfRule type="cellIs" priority="268" operator="greaterThan" dxfId="12">
      <formula>0.85</formula>
    </cfRule>
  </conditionalFormatting>
  <conditionalFormatting sqref="N91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E91">
    <cfRule type="expression" priority="261" dxfId="3">
      <formula>AND(IF(OR($Q91=1,$Q91=2),1,0),IF($X91&lt;=20,1,0))</formula>
    </cfRule>
    <cfRule type="expression" priority="262" dxfId="2">
      <formula>AND(IF($Q91=2,1,0),IF($X91&lt;30,1,0))</formula>
    </cfRule>
    <cfRule type="expression" priority="263" dxfId="1">
      <formula>AND(IF($Q91=3,1,0),IF($X91&lt;30,1,0))</formula>
    </cfRule>
    <cfRule type="expression" priority="264" dxfId="0">
      <formula>AND(IF($Q91=3,1,IF($Q91=4,1,0)),IF($F91&lt;=85,1,0))</formula>
    </cfRule>
  </conditionalFormatting>
  <conditionalFormatting sqref="X91">
    <cfRule type="expression" priority="257" dxfId="3">
      <formula>AND(IF(OR($Q91=1,$Q91=2),1,0),IF($X91&lt;=20,1,0))</formula>
    </cfRule>
    <cfRule type="expression" priority="258" dxfId="2">
      <formula>AND(IF($Q91=2,1,0),IF($X91&lt;30,1,0))</formula>
    </cfRule>
    <cfRule type="expression" priority="259" dxfId="1">
      <formula>AND(IF($Q91=3,1,0),IF($X91&lt;30,1,0))</formula>
    </cfRule>
    <cfRule type="expression" priority="260" dxfId="0">
      <formula>AND(IF($Q91=3,1,IF($Q91=4,1,0)),IF($F91&lt;=85,1,0))</formula>
    </cfRule>
  </conditionalFormatting>
  <conditionalFormatting sqref="AI91">
    <cfRule type="expression" priority="253" dxfId="3">
      <formula>AND(IF(OR($Q91=1,$Q91=2),1,0),IF($X91&lt;=20,1,0))</formula>
    </cfRule>
    <cfRule type="expression" priority="254" dxfId="2">
      <formula>AND(IF($Q91=2,1,0),IF($X91&lt;30,1,0))</formula>
    </cfRule>
    <cfRule type="expression" priority="255" dxfId="1">
      <formula>AND(IF($Q91=3,1,0),IF($X91&lt;30,1,0))</formula>
    </cfRule>
    <cfRule type="expression" priority="256" dxfId="0">
      <formula>AND(IF($Q91=3,1,IF($Q91=4,1,0)),IF($F91&lt;=85,1,0))</formula>
    </cfRule>
  </conditionalFormatting>
  <conditionalFormatting sqref="AV92">
    <cfRule type="expression" priority="251" dxfId="17">
      <formula>AV92="X"</formula>
    </cfRule>
    <cfRule type="expression" priority="252" dxfId="16">
      <formula>AV92="후보"</formula>
    </cfRule>
  </conditionalFormatting>
  <conditionalFormatting sqref="AC92">
    <cfRule type="cellIs" priority="248" operator="greaterThan" dxfId="13">
      <formula>0.9</formula>
    </cfRule>
    <cfRule type="cellIs" priority="249" operator="greaterThan" dxfId="12">
      <formula>0.85</formula>
    </cfRule>
  </conditionalFormatting>
  <conditionalFormatting sqref="N92">
    <cfRule type="cellIs" priority="246" operator="greaterThan" dxfId="13">
      <formula>0.9</formula>
    </cfRule>
    <cfRule type="cellIs" priority="247" operator="greaterThan" dxfId="12">
      <formula>0.85</formula>
    </cfRule>
  </conditionalFormatting>
  <conditionalFormatting sqref="E92">
    <cfRule type="expression" priority="242" dxfId="3">
      <formula>AND(IF(OR($Q92=1,$Q92=2),1,0),IF($X92&lt;=20,1,0))</formula>
    </cfRule>
    <cfRule type="expression" priority="243" dxfId="2">
      <formula>AND(IF($Q92=2,1,0),IF($X92&lt;30,1,0))</formula>
    </cfRule>
    <cfRule type="expression" priority="244" dxfId="1">
      <formula>AND(IF($Q92=3,1,0),IF($X92&lt;30,1,0))</formula>
    </cfRule>
    <cfRule type="expression" priority="245" dxfId="0">
      <formula>AND(IF($Q92=3,1,IF($Q92=4,1,0)),IF($F92&lt;=85,1,0))</formula>
    </cfRule>
  </conditionalFormatting>
  <conditionalFormatting sqref="X92">
    <cfRule type="expression" priority="238" dxfId="3">
      <formula>AND(IF(OR($Q92=1,$Q92=2),1,0),IF($X92&lt;=20,1,0))</formula>
    </cfRule>
    <cfRule type="expression" priority="239" dxfId="2">
      <formula>AND(IF($Q92=2,1,0),IF($X92&lt;30,1,0))</formula>
    </cfRule>
    <cfRule type="expression" priority="240" dxfId="1">
      <formula>AND(IF($Q92=3,1,0),IF($X92&lt;30,1,0))</formula>
    </cfRule>
    <cfRule type="expression" priority="241" dxfId="0">
      <formula>AND(IF($Q92=3,1,IF($Q92=4,1,0)),IF($F92&lt;=85,1,0))</formula>
    </cfRule>
  </conditionalFormatting>
  <conditionalFormatting sqref="AI92">
    <cfRule type="expression" priority="234" dxfId="3">
      <formula>AND(IF(OR($Q92=1,$Q92=2),1,0),IF($X92&lt;=20,1,0))</formula>
    </cfRule>
    <cfRule type="expression" priority="235" dxfId="2">
      <formula>AND(IF($Q92=2,1,0),IF($X92&lt;30,1,0))</formula>
    </cfRule>
    <cfRule type="expression" priority="236" dxfId="1">
      <formula>AND(IF($Q92=3,1,0),IF($X92&lt;30,1,0))</formula>
    </cfRule>
    <cfRule type="expression" priority="237" dxfId="0">
      <formula>AND(IF($Q92=3,1,IF($Q92=4,1,0)),IF($F92&lt;=85,1,0))</formula>
    </cfRule>
  </conditionalFormatting>
  <conditionalFormatting sqref="AV93">
    <cfRule type="expression" priority="232" dxfId="17">
      <formula>AV93="X"</formula>
    </cfRule>
    <cfRule type="expression" priority="233" dxfId="16">
      <formula>AV93="후보"</formula>
    </cfRule>
  </conditionalFormatting>
  <conditionalFormatting sqref="AC93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93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93">
    <cfRule type="expression" priority="223" dxfId="3">
      <formula>AND(IF(OR($Q93=1,$Q93=2),1,0),IF($X93&lt;=20,1,0))</formula>
    </cfRule>
    <cfRule type="expression" priority="224" dxfId="2">
      <formula>AND(IF($Q93=2,1,0),IF($X93&lt;30,1,0))</formula>
    </cfRule>
    <cfRule type="expression" priority="225" dxfId="1">
      <formula>AND(IF($Q93=3,1,0),IF($X93&lt;30,1,0))</formula>
    </cfRule>
    <cfRule type="expression" priority="226" dxfId="0">
      <formula>AND(IF($Q93=3,1,IF($Q93=4,1,0)),IF($F93&lt;=85,1,0))</formula>
    </cfRule>
  </conditionalFormatting>
  <conditionalFormatting sqref="X93">
    <cfRule type="expression" priority="219" dxfId="3">
      <formula>AND(IF(OR($Q93=1,$Q93=2),1,0),IF($X93&lt;=20,1,0))</formula>
    </cfRule>
    <cfRule type="expression" priority="220" dxfId="2">
      <formula>AND(IF($Q93=2,1,0),IF($X93&lt;30,1,0))</formula>
    </cfRule>
    <cfRule type="expression" priority="221" dxfId="1">
      <formula>AND(IF($Q93=3,1,0),IF($X93&lt;30,1,0))</formula>
    </cfRule>
    <cfRule type="expression" priority="222" dxfId="0">
      <formula>AND(IF($Q93=3,1,IF($Q93=4,1,0)),IF($F93&lt;=85,1,0))</formula>
    </cfRule>
  </conditionalFormatting>
  <conditionalFormatting sqref="AI93">
    <cfRule type="expression" priority="215" dxfId="3">
      <formula>AND(IF(OR($Q93=1,$Q93=2),1,0),IF($X93&lt;=20,1,0))</formula>
    </cfRule>
    <cfRule type="expression" priority="216" dxfId="2">
      <formula>AND(IF($Q93=2,1,0),IF($X93&lt;30,1,0))</formula>
    </cfRule>
    <cfRule type="expression" priority="217" dxfId="1">
      <formula>AND(IF($Q93=3,1,0),IF($X93&lt;30,1,0))</formula>
    </cfRule>
    <cfRule type="expression" priority="218" dxfId="0">
      <formula>AND(IF($Q93=3,1,IF($Q93=4,1,0)),IF($F93&lt;=85,1,0))</formula>
    </cfRule>
  </conditionalFormatting>
  <conditionalFormatting sqref="AV94">
    <cfRule type="expression" priority="213" dxfId="17">
      <formula>AV94="X"</formula>
    </cfRule>
    <cfRule type="expression" priority="214" dxfId="16">
      <formula>AV94="후보"</formula>
    </cfRule>
  </conditionalFormatting>
  <conditionalFormatting sqref="AC94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94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94">
    <cfRule type="expression" priority="204" dxfId="3">
      <formula>AND(IF(OR($Q94=1,$Q94=2),1,0),IF($X94&lt;=20,1,0))</formula>
    </cfRule>
    <cfRule type="expression" priority="205" dxfId="2">
      <formula>AND(IF($Q94=2,1,0),IF($X94&lt;30,1,0))</formula>
    </cfRule>
    <cfRule type="expression" priority="206" dxfId="1">
      <formula>AND(IF($Q94=3,1,0),IF($X94&lt;30,1,0))</formula>
    </cfRule>
    <cfRule type="expression" priority="207" dxfId="0">
      <formula>AND(IF($Q94=3,1,IF($Q94=4,1,0)),IF($F94&lt;=85,1,0))</formula>
    </cfRule>
  </conditionalFormatting>
  <conditionalFormatting sqref="X94">
    <cfRule type="expression" priority="200" dxfId="3">
      <formula>AND(IF(OR($Q94=1,$Q94=2),1,0),IF($X94&lt;=20,1,0))</formula>
    </cfRule>
    <cfRule type="expression" priority="201" dxfId="2">
      <formula>AND(IF($Q94=2,1,0),IF($X94&lt;30,1,0))</formula>
    </cfRule>
    <cfRule type="expression" priority="202" dxfId="1">
      <formula>AND(IF($Q94=3,1,0),IF($X94&lt;30,1,0))</formula>
    </cfRule>
    <cfRule type="expression" priority="203" dxfId="0">
      <formula>AND(IF($Q94=3,1,IF($Q94=4,1,0)),IF($F94&lt;=85,1,0))</formula>
    </cfRule>
  </conditionalFormatting>
  <conditionalFormatting sqref="AI94">
    <cfRule type="expression" priority="196" dxfId="3">
      <formula>AND(IF(OR($Q94=1,$Q94=2),1,0),IF($X94&lt;=20,1,0))</formula>
    </cfRule>
    <cfRule type="expression" priority="197" dxfId="2">
      <formula>AND(IF($Q94=2,1,0),IF($X94&lt;30,1,0))</formula>
    </cfRule>
    <cfRule type="expression" priority="198" dxfId="1">
      <formula>AND(IF($Q94=3,1,0),IF($X94&lt;30,1,0))</formula>
    </cfRule>
    <cfRule type="expression" priority="199" dxfId="0">
      <formula>AND(IF($Q94=3,1,IF($Q94=4,1,0)),IF($F94&lt;=85,1,0))</formula>
    </cfRule>
  </conditionalFormatting>
  <conditionalFormatting sqref="AV95">
    <cfRule type="expression" priority="194" dxfId="17">
      <formula>AV95="X"</formula>
    </cfRule>
    <cfRule type="expression" priority="195" dxfId="16">
      <formula>AV95="후보"</formula>
    </cfRule>
  </conditionalFormatting>
  <conditionalFormatting sqref="AC95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95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95">
    <cfRule type="expression" priority="185" dxfId="3">
      <formula>AND(IF(OR($Q95=1,$Q95=2),1,0),IF($X95&lt;=20,1,0))</formula>
    </cfRule>
    <cfRule type="expression" priority="186" dxfId="2">
      <formula>AND(IF($Q95=2,1,0),IF($X95&lt;30,1,0))</formula>
    </cfRule>
    <cfRule type="expression" priority="187" dxfId="1">
      <formula>AND(IF($Q95=3,1,0),IF($X95&lt;30,1,0))</formula>
    </cfRule>
    <cfRule type="expression" priority="188" dxfId="0">
      <formula>AND(IF($Q95=3,1,IF($Q95=4,1,0)),IF($F95&lt;=85,1,0))</formula>
    </cfRule>
  </conditionalFormatting>
  <conditionalFormatting sqref="X95">
    <cfRule type="expression" priority="181" dxfId="3">
      <formula>AND(IF(OR($Q95=1,$Q95=2),1,0),IF($X95&lt;=20,1,0))</formula>
    </cfRule>
    <cfRule type="expression" priority="182" dxfId="2">
      <formula>AND(IF($Q95=2,1,0),IF($X95&lt;30,1,0))</formula>
    </cfRule>
    <cfRule type="expression" priority="183" dxfId="1">
      <formula>AND(IF($Q95=3,1,0),IF($X95&lt;30,1,0))</formula>
    </cfRule>
    <cfRule type="expression" priority="184" dxfId="0">
      <formula>AND(IF($Q95=3,1,IF($Q95=4,1,0)),IF($F95&lt;=85,1,0))</formula>
    </cfRule>
  </conditionalFormatting>
  <conditionalFormatting sqref="AI95">
    <cfRule type="expression" priority="177" dxfId="3">
      <formula>AND(IF(OR($Q95=1,$Q95=2),1,0),IF($X95&lt;=20,1,0))</formula>
    </cfRule>
    <cfRule type="expression" priority="178" dxfId="2">
      <formula>AND(IF($Q95=2,1,0),IF($X95&lt;30,1,0))</formula>
    </cfRule>
    <cfRule type="expression" priority="179" dxfId="1">
      <formula>AND(IF($Q95=3,1,0),IF($X95&lt;30,1,0))</formula>
    </cfRule>
    <cfRule type="expression" priority="180" dxfId="0">
      <formula>AND(IF($Q95=3,1,IF($Q95=4,1,0)),IF($F95&lt;=85,1,0))</formula>
    </cfRule>
  </conditionalFormatting>
  <conditionalFormatting sqref="AV96">
    <cfRule type="expression" priority="175" dxfId="17">
      <formula>AV96="X"</formula>
    </cfRule>
    <cfRule type="expression" priority="176" dxfId="16">
      <formula>AV96="후보"</formula>
    </cfRule>
  </conditionalFormatting>
  <conditionalFormatting sqref="AC96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96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96">
    <cfRule type="expression" priority="166" dxfId="3">
      <formula>AND(IF(OR($Q96=1,$Q96=2),1,0),IF($X96&lt;=20,1,0))</formula>
    </cfRule>
    <cfRule type="expression" priority="167" dxfId="2">
      <formula>AND(IF($Q96=2,1,0),IF($X96&lt;30,1,0))</formula>
    </cfRule>
    <cfRule type="expression" priority="168" dxfId="1">
      <formula>AND(IF($Q96=3,1,0),IF($X96&lt;30,1,0))</formula>
    </cfRule>
    <cfRule type="expression" priority="169" dxfId="0">
      <formula>AND(IF($Q96=3,1,IF($Q96=4,1,0)),IF($F96&lt;=85,1,0))</formula>
    </cfRule>
  </conditionalFormatting>
  <conditionalFormatting sqref="X96">
    <cfRule type="expression" priority="162" dxfId="3">
      <formula>AND(IF(OR($Q96=1,$Q96=2),1,0),IF($X96&lt;=20,1,0))</formula>
    </cfRule>
    <cfRule type="expression" priority="163" dxfId="2">
      <formula>AND(IF($Q96=2,1,0),IF($X96&lt;30,1,0))</formula>
    </cfRule>
    <cfRule type="expression" priority="164" dxfId="1">
      <formula>AND(IF($Q96=3,1,0),IF($X96&lt;30,1,0))</formula>
    </cfRule>
    <cfRule type="expression" priority="165" dxfId="0">
      <formula>AND(IF($Q96=3,1,IF($Q96=4,1,0)),IF($F96&lt;=85,1,0))</formula>
    </cfRule>
  </conditionalFormatting>
  <conditionalFormatting sqref="AI96">
    <cfRule type="expression" priority="158" dxfId="3">
      <formula>AND(IF(OR($Q96=1,$Q96=2),1,0),IF($X96&lt;=20,1,0))</formula>
    </cfRule>
    <cfRule type="expression" priority="159" dxfId="2">
      <formula>AND(IF($Q96=2,1,0),IF($X96&lt;30,1,0))</formula>
    </cfRule>
    <cfRule type="expression" priority="160" dxfId="1">
      <formula>AND(IF($Q96=3,1,0),IF($X96&lt;30,1,0))</formula>
    </cfRule>
    <cfRule type="expression" priority="161" dxfId="0">
      <formula>AND(IF($Q96=3,1,IF($Q96=4,1,0)),IF($F96&lt;=85,1,0))</formula>
    </cfRule>
  </conditionalFormatting>
  <conditionalFormatting sqref="AV97">
    <cfRule type="expression" priority="156" dxfId="17">
      <formula>AV97="X"</formula>
    </cfRule>
    <cfRule type="expression" priority="157" dxfId="16">
      <formula>AV97="후보"</formula>
    </cfRule>
  </conditionalFormatting>
  <conditionalFormatting sqref="AC97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97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97">
    <cfRule type="expression" priority="147" dxfId="3">
      <formula>AND(IF(OR($Q97=1,$Q97=2),1,0),IF($X97&lt;=20,1,0))</formula>
    </cfRule>
    <cfRule type="expression" priority="148" dxfId="2">
      <formula>AND(IF($Q97=2,1,0),IF($X97&lt;30,1,0))</formula>
    </cfRule>
    <cfRule type="expression" priority="149" dxfId="1">
      <formula>AND(IF($Q97=3,1,0),IF($X97&lt;30,1,0))</formula>
    </cfRule>
    <cfRule type="expression" priority="150" dxfId="0">
      <formula>AND(IF($Q97=3,1,IF($Q97=4,1,0)),IF($F97&lt;=85,1,0))</formula>
    </cfRule>
  </conditionalFormatting>
  <conditionalFormatting sqref="X97">
    <cfRule type="expression" priority="143" dxfId="3">
      <formula>AND(IF(OR($Q97=1,$Q97=2),1,0),IF($X97&lt;=20,1,0))</formula>
    </cfRule>
    <cfRule type="expression" priority="144" dxfId="2">
      <formula>AND(IF($Q97=2,1,0),IF($X97&lt;30,1,0))</formula>
    </cfRule>
    <cfRule type="expression" priority="145" dxfId="1">
      <formula>AND(IF($Q97=3,1,0),IF($X97&lt;30,1,0))</formula>
    </cfRule>
    <cfRule type="expression" priority="146" dxfId="0">
      <formula>AND(IF($Q97=3,1,IF($Q97=4,1,0)),IF($F97&lt;=85,1,0))</formula>
    </cfRule>
  </conditionalFormatting>
  <conditionalFormatting sqref="AI97">
    <cfRule type="expression" priority="139" dxfId="3">
      <formula>AND(IF(OR($Q97=1,$Q97=2),1,0),IF($X97&lt;=20,1,0))</formula>
    </cfRule>
    <cfRule type="expression" priority="140" dxfId="2">
      <formula>AND(IF($Q97=2,1,0),IF($X97&lt;30,1,0))</formula>
    </cfRule>
    <cfRule type="expression" priority="141" dxfId="1">
      <formula>AND(IF($Q97=3,1,0),IF($X97&lt;30,1,0))</formula>
    </cfRule>
    <cfRule type="expression" priority="142" dxfId="0">
      <formula>AND(IF($Q97=3,1,IF($Q97=4,1,0)),IF($F97&lt;=85,1,0))</formula>
    </cfRule>
  </conditionalFormatting>
  <conditionalFormatting sqref="AV98">
    <cfRule type="expression" priority="137" dxfId="17">
      <formula>AV98="X"</formula>
    </cfRule>
    <cfRule type="expression" priority="138" dxfId="16">
      <formula>AV98="후보"</formula>
    </cfRule>
  </conditionalFormatting>
  <conditionalFormatting sqref="AC98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98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98">
    <cfRule type="expression" priority="128" dxfId="3">
      <formula>AND(IF(OR($Q98=1,$Q98=2),1,0),IF($X98&lt;=20,1,0))</formula>
    </cfRule>
    <cfRule type="expression" priority="129" dxfId="2">
      <formula>AND(IF($Q98=2,1,0),IF($X98&lt;30,1,0))</formula>
    </cfRule>
    <cfRule type="expression" priority="130" dxfId="1">
      <formula>AND(IF($Q98=3,1,0),IF($X98&lt;30,1,0))</formula>
    </cfRule>
    <cfRule type="expression" priority="131" dxfId="0">
      <formula>AND(IF($Q98=3,1,IF($Q98=4,1,0)),IF($F98&lt;=85,1,0))</formula>
    </cfRule>
  </conditionalFormatting>
  <conditionalFormatting sqref="X98">
    <cfRule type="expression" priority="124" dxfId="3">
      <formula>AND(IF(OR($Q98=1,$Q98=2),1,0),IF($X98&lt;=20,1,0))</formula>
    </cfRule>
    <cfRule type="expression" priority="125" dxfId="2">
      <formula>AND(IF($Q98=2,1,0),IF($X98&lt;30,1,0))</formula>
    </cfRule>
    <cfRule type="expression" priority="126" dxfId="1">
      <formula>AND(IF($Q98=3,1,0),IF($X98&lt;30,1,0))</formula>
    </cfRule>
    <cfRule type="expression" priority="127" dxfId="0">
      <formula>AND(IF($Q98=3,1,IF($Q98=4,1,0)),IF($F98&lt;=85,1,0))</formula>
    </cfRule>
  </conditionalFormatting>
  <conditionalFormatting sqref="AI98">
    <cfRule type="expression" priority="120" dxfId="3">
      <formula>AND(IF(OR($Q98=1,$Q98=2),1,0),IF($X98&lt;=20,1,0))</formula>
    </cfRule>
    <cfRule type="expression" priority="121" dxfId="2">
      <formula>AND(IF($Q98=2,1,0),IF($X98&lt;30,1,0))</formula>
    </cfRule>
    <cfRule type="expression" priority="122" dxfId="1">
      <formula>AND(IF($Q98=3,1,0),IF($X98&lt;30,1,0))</formula>
    </cfRule>
    <cfRule type="expression" priority="123" dxfId="0">
      <formula>AND(IF($Q98=3,1,IF($Q98=4,1,0)),IF($F98&lt;=85,1,0))</formula>
    </cfRule>
  </conditionalFormatting>
  <conditionalFormatting sqref="AV99">
    <cfRule type="expression" priority="118" dxfId="17">
      <formula>AV99="X"</formula>
    </cfRule>
    <cfRule type="expression" priority="119" dxfId="16">
      <formula>AV99="후보"</formula>
    </cfRule>
  </conditionalFormatting>
  <conditionalFormatting sqref="AC99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99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99">
    <cfRule type="expression" priority="109" dxfId="3">
      <formula>AND(IF(OR($Q99=1,$Q99=2),1,0),IF($X99&lt;=20,1,0))</formula>
    </cfRule>
    <cfRule type="expression" priority="110" dxfId="2">
      <formula>AND(IF($Q99=2,1,0),IF($X99&lt;30,1,0))</formula>
    </cfRule>
    <cfRule type="expression" priority="111" dxfId="1">
      <formula>AND(IF($Q99=3,1,0),IF($X99&lt;30,1,0))</formula>
    </cfRule>
    <cfRule type="expression" priority="112" dxfId="0">
      <formula>AND(IF($Q99=3,1,IF($Q99=4,1,0)),IF($F99&lt;=85,1,0))</formula>
    </cfRule>
  </conditionalFormatting>
  <conditionalFormatting sqref="X99">
    <cfRule type="expression" priority="105" dxfId="3">
      <formula>AND(IF(OR($Q99=1,$Q99=2),1,0),IF($X99&lt;=20,1,0))</formula>
    </cfRule>
    <cfRule type="expression" priority="106" dxfId="2">
      <formula>AND(IF($Q99=2,1,0),IF($X99&lt;30,1,0))</formula>
    </cfRule>
    <cfRule type="expression" priority="107" dxfId="1">
      <formula>AND(IF($Q99=3,1,0),IF($X99&lt;30,1,0))</formula>
    </cfRule>
    <cfRule type="expression" priority="108" dxfId="0">
      <formula>AND(IF($Q99=3,1,IF($Q99=4,1,0)),IF($F99&lt;=85,1,0))</formula>
    </cfRule>
  </conditionalFormatting>
  <conditionalFormatting sqref="AI99">
    <cfRule type="expression" priority="101" dxfId="3">
      <formula>AND(IF(OR($Q99=1,$Q99=2),1,0),IF($X99&lt;=20,1,0))</formula>
    </cfRule>
    <cfRule type="expression" priority="102" dxfId="2">
      <formula>AND(IF($Q99=2,1,0),IF($X99&lt;30,1,0))</formula>
    </cfRule>
    <cfRule type="expression" priority="103" dxfId="1">
      <formula>AND(IF($Q99=3,1,0),IF($X99&lt;30,1,0))</formula>
    </cfRule>
    <cfRule type="expression" priority="104" dxfId="0">
      <formula>AND(IF($Q99=3,1,IF($Q99=4,1,0)),IF($F99&lt;=85,1,0))</formula>
    </cfRule>
  </conditionalFormatting>
  <conditionalFormatting sqref="AV100">
    <cfRule type="expression" priority="99" dxfId="17">
      <formula>AV100="X"</formula>
    </cfRule>
    <cfRule type="expression" priority="100" dxfId="16">
      <formula>AV100="후보"</formula>
    </cfRule>
  </conditionalFormatting>
  <conditionalFormatting sqref="AC100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100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100">
    <cfRule type="expression" priority="90" dxfId="3">
      <formula>AND(IF(OR($Q100=1,$Q100=2),1,0),IF($X100&lt;=20,1,0))</formula>
    </cfRule>
    <cfRule type="expression" priority="91" dxfId="2">
      <formula>AND(IF($Q100=2,1,0),IF($X100&lt;30,1,0))</formula>
    </cfRule>
    <cfRule type="expression" priority="92" dxfId="1">
      <formula>AND(IF($Q100=3,1,0),IF($X100&lt;30,1,0))</formula>
    </cfRule>
    <cfRule type="expression" priority="93" dxfId="0">
      <formula>AND(IF($Q100=3,1,IF($Q100=4,1,0)),IF($F100&lt;=85,1,0))</formula>
    </cfRule>
  </conditionalFormatting>
  <conditionalFormatting sqref="X100">
    <cfRule type="expression" priority="86" dxfId="3">
      <formula>AND(IF(OR($Q100=1,$Q100=2),1,0),IF($X100&lt;=20,1,0))</formula>
    </cfRule>
    <cfRule type="expression" priority="87" dxfId="2">
      <formula>AND(IF($Q100=2,1,0),IF($X100&lt;30,1,0))</formula>
    </cfRule>
    <cfRule type="expression" priority="88" dxfId="1">
      <formula>AND(IF($Q100=3,1,0),IF($X100&lt;30,1,0))</formula>
    </cfRule>
    <cfRule type="expression" priority="89" dxfId="0">
      <formula>AND(IF($Q100=3,1,IF($Q100=4,1,0)),IF($F100&lt;=85,1,0))</formula>
    </cfRule>
  </conditionalFormatting>
  <conditionalFormatting sqref="AI100">
    <cfRule type="expression" priority="82" dxfId="3">
      <formula>AND(IF(OR($Q100=1,$Q100=2),1,0),IF($X100&lt;=20,1,0))</formula>
    </cfRule>
    <cfRule type="expression" priority="83" dxfId="2">
      <formula>AND(IF($Q100=2,1,0),IF($X100&lt;30,1,0))</formula>
    </cfRule>
    <cfRule type="expression" priority="84" dxfId="1">
      <formula>AND(IF($Q100=3,1,0),IF($X100&lt;30,1,0))</formula>
    </cfRule>
    <cfRule type="expression" priority="85" dxfId="0">
      <formula>AND(IF($Q100=3,1,IF($Q100=4,1,0)),IF($F100&lt;=85,1,0))</formula>
    </cfRule>
  </conditionalFormatting>
  <conditionalFormatting sqref="AV101">
    <cfRule type="expression" priority="80" dxfId="17">
      <formula>AV101="X"</formula>
    </cfRule>
    <cfRule type="expression" priority="81" dxfId="16">
      <formula>AV101="후보"</formula>
    </cfRule>
  </conditionalFormatting>
  <conditionalFormatting sqref="AC101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101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101">
    <cfRule type="expression" priority="71" dxfId="3">
      <formula>AND(IF(OR($Q101=1,$Q101=2),1,0),IF($X101&lt;=20,1,0))</formula>
    </cfRule>
    <cfRule type="expression" priority="72" dxfId="2">
      <formula>AND(IF($Q101=2,1,0),IF($X101&lt;30,1,0))</formula>
    </cfRule>
    <cfRule type="expression" priority="73" dxfId="1">
      <formula>AND(IF($Q101=3,1,0),IF($X101&lt;30,1,0))</formula>
    </cfRule>
    <cfRule type="expression" priority="74" dxfId="0">
      <formula>AND(IF($Q101=3,1,IF($Q101=4,1,0)),IF($F101&lt;=85,1,0))</formula>
    </cfRule>
  </conditionalFormatting>
  <conditionalFormatting sqref="X101">
    <cfRule type="expression" priority="67" dxfId="3">
      <formula>AND(IF(OR($Q101=1,$Q101=2),1,0),IF($X101&lt;=20,1,0))</formula>
    </cfRule>
    <cfRule type="expression" priority="68" dxfId="2">
      <formula>AND(IF($Q101=2,1,0),IF($X101&lt;30,1,0))</formula>
    </cfRule>
    <cfRule type="expression" priority="69" dxfId="1">
      <formula>AND(IF($Q101=3,1,0),IF($X101&lt;30,1,0))</formula>
    </cfRule>
    <cfRule type="expression" priority="70" dxfId="0">
      <formula>AND(IF($Q101=3,1,IF($Q101=4,1,0)),IF($F101&lt;=85,1,0))</formula>
    </cfRule>
  </conditionalFormatting>
  <conditionalFormatting sqref="AI101">
    <cfRule type="expression" priority="63" dxfId="3">
      <formula>AND(IF(OR($Q101=1,$Q101=2),1,0),IF($X101&lt;=20,1,0))</formula>
    </cfRule>
    <cfRule type="expression" priority="64" dxfId="2">
      <formula>AND(IF($Q101=2,1,0),IF($X101&lt;30,1,0))</formula>
    </cfRule>
    <cfRule type="expression" priority="65" dxfId="1">
      <formula>AND(IF($Q101=3,1,0),IF($X101&lt;30,1,0))</formula>
    </cfRule>
    <cfRule type="expression" priority="66" dxfId="0">
      <formula>AND(IF($Q101=3,1,IF($Q101=4,1,0)),IF($F101&lt;=85,1,0))</formula>
    </cfRule>
  </conditionalFormatting>
  <conditionalFormatting sqref="AV102">
    <cfRule type="expression" priority="61" dxfId="17">
      <formula>AV102="X"</formula>
    </cfRule>
    <cfRule type="expression" priority="62" dxfId="16">
      <formula>AV102="후보"</formula>
    </cfRule>
  </conditionalFormatting>
  <conditionalFormatting sqref="AC102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102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102">
    <cfRule type="expression" priority="52" dxfId="3">
      <formula>AND(IF(OR($Q102=1,$Q102=2),1,0),IF($X102&lt;=20,1,0))</formula>
    </cfRule>
    <cfRule type="expression" priority="53" dxfId="2">
      <formula>AND(IF($Q102=2,1,0),IF($X102&lt;30,1,0))</formula>
    </cfRule>
    <cfRule type="expression" priority="54" dxfId="1">
      <formula>AND(IF($Q102=3,1,0),IF($X102&lt;30,1,0))</formula>
    </cfRule>
    <cfRule type="expression" priority="55" dxfId="0">
      <formula>AND(IF($Q102=3,1,IF($Q102=4,1,0)),IF($F102&lt;=85,1,0))</formula>
    </cfRule>
  </conditionalFormatting>
  <conditionalFormatting sqref="X102">
    <cfRule type="expression" priority="48" dxfId="3">
      <formula>AND(IF(OR($Q102=1,$Q102=2),1,0),IF($X102&lt;=20,1,0))</formula>
    </cfRule>
    <cfRule type="expression" priority="49" dxfId="2">
      <formula>AND(IF($Q102=2,1,0),IF($X102&lt;30,1,0))</formula>
    </cfRule>
    <cfRule type="expression" priority="50" dxfId="1">
      <formula>AND(IF($Q102=3,1,0),IF($X102&lt;30,1,0))</formula>
    </cfRule>
    <cfRule type="expression" priority="51" dxfId="0">
      <formula>AND(IF($Q102=3,1,IF($Q102=4,1,0)),IF($F102&lt;=85,1,0))</formula>
    </cfRule>
  </conditionalFormatting>
  <conditionalFormatting sqref="AI102">
    <cfRule type="expression" priority="44" dxfId="3">
      <formula>AND(IF(OR($Q102=1,$Q102=2),1,0),IF($X102&lt;=20,1,0))</formula>
    </cfRule>
    <cfRule type="expression" priority="45" dxfId="2">
      <formula>AND(IF($Q102=2,1,0),IF($X102&lt;30,1,0))</formula>
    </cfRule>
    <cfRule type="expression" priority="46" dxfId="1">
      <formula>AND(IF($Q102=3,1,0),IF($X102&lt;30,1,0))</formula>
    </cfRule>
    <cfRule type="expression" priority="47" dxfId="0">
      <formula>AND(IF($Q102=3,1,IF($Q102=4,1,0)),IF($F102&lt;=85,1,0))</formula>
    </cfRule>
  </conditionalFormatting>
  <conditionalFormatting sqref="AV103">
    <cfRule type="expression" priority="42" dxfId="17">
      <formula>AV103="X"</formula>
    </cfRule>
    <cfRule type="expression" priority="43" dxfId="16">
      <formula>AV103="후보"</formula>
    </cfRule>
  </conditionalFormatting>
  <conditionalFormatting sqref="AC103 N103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AV104">
    <cfRule type="expression" priority="37" dxfId="17">
      <formula>AV104="X"</formula>
    </cfRule>
    <cfRule type="expression" priority="38" dxfId="16">
      <formula>AV104="후보"</formula>
    </cfRule>
  </conditionalFormatting>
  <conditionalFormatting sqref="AC104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04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04">
    <cfRule type="expression" priority="28" dxfId="3">
      <formula>AND(IF(OR($Q104=1,$Q104=2),1,0),IF($X104&lt;=20,1,0))</formula>
    </cfRule>
    <cfRule type="expression" priority="29" dxfId="2">
      <formula>AND(IF($Q104=2,1,0),IF($X104&lt;30,1,0))</formula>
    </cfRule>
    <cfRule type="expression" priority="30" dxfId="1">
      <formula>AND(IF($Q104=3,1,0),IF($X104&lt;30,1,0))</formula>
    </cfRule>
    <cfRule type="expression" priority="31" dxfId="0">
      <formula>AND(IF($Q104=3,1,IF($Q104=4,1,0)),IF($F104&lt;=85,1,0))</formula>
    </cfRule>
  </conditionalFormatting>
  <conditionalFormatting sqref="X104">
    <cfRule type="expression" priority="24" dxfId="3">
      <formula>AND(IF(OR($Q104=1,$Q104=2),1,0),IF($X104&lt;=20,1,0))</formula>
    </cfRule>
    <cfRule type="expression" priority="25" dxfId="2">
      <formula>AND(IF($Q104=2,1,0),IF($X104&lt;30,1,0))</formula>
    </cfRule>
    <cfRule type="expression" priority="26" dxfId="1">
      <formula>AND(IF($Q104=3,1,0),IF($X104&lt;30,1,0))</formula>
    </cfRule>
    <cfRule type="expression" priority="27" dxfId="0">
      <formula>AND(IF($Q104=3,1,IF($Q104=4,1,0)),IF($F104&lt;=85,1,0))</formula>
    </cfRule>
  </conditionalFormatting>
  <conditionalFormatting sqref="AI104">
    <cfRule type="expression" priority="20" dxfId="3">
      <formula>AND(IF(OR($Q104=1,$Q104=2),1,0),IF($X104&lt;=20,1,0))</formula>
    </cfRule>
    <cfRule type="expression" priority="21" dxfId="2">
      <formula>AND(IF($Q104=2,1,0),IF($X104&lt;30,1,0))</formula>
    </cfRule>
    <cfRule type="expression" priority="22" dxfId="1">
      <formula>AND(IF($Q104=3,1,0),IF($X104&lt;30,1,0))</formula>
    </cfRule>
    <cfRule type="expression" priority="23" dxfId="0">
      <formula>AND(IF($Q104=3,1,IF($Q104=4,1,0)),IF($F104&lt;=85,1,0))</formula>
    </cfRule>
  </conditionalFormatting>
  <conditionalFormatting sqref="AV105">
    <cfRule type="expression" priority="18" dxfId="17">
      <formula>AV105="X"</formula>
    </cfRule>
    <cfRule type="expression" priority="19" dxfId="16">
      <formula>AV105="후보"</formula>
    </cfRule>
  </conditionalFormatting>
  <conditionalFormatting sqref="AC105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05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05">
    <cfRule type="expression" priority="9" dxfId="3">
      <formula>AND(IF(OR($Q105=1,$Q105=2),1,0),IF($X105&lt;=20,1,0))</formula>
    </cfRule>
    <cfRule type="expression" priority="10" dxfId="2">
      <formula>AND(IF($Q105=2,1,0),IF($X105&lt;30,1,0))</formula>
    </cfRule>
    <cfRule type="expression" priority="11" dxfId="1">
      <formula>AND(IF($Q105=3,1,0),IF($X105&lt;30,1,0))</formula>
    </cfRule>
    <cfRule type="expression" priority="12" dxfId="0">
      <formula>AND(IF($Q105=3,1,IF($Q105=4,1,0)),IF($F105&lt;=85,1,0))</formula>
    </cfRule>
  </conditionalFormatting>
  <conditionalFormatting sqref="X105">
    <cfRule type="expression" priority="5" dxfId="3">
      <formula>AND(IF(OR($Q105=1,$Q105=2),1,0),IF($X105&lt;=20,1,0))</formula>
    </cfRule>
    <cfRule type="expression" priority="6" dxfId="2">
      <formula>AND(IF($Q105=2,1,0),IF($X105&lt;30,1,0))</formula>
    </cfRule>
    <cfRule type="expression" priority="7" dxfId="1">
      <formula>AND(IF($Q105=3,1,0),IF($X105&lt;30,1,0))</formula>
    </cfRule>
    <cfRule type="expression" priority="8" dxfId="0">
      <formula>AND(IF($Q105=3,1,IF($Q105=4,1,0)),IF($F105&lt;=85,1,0))</formula>
    </cfRule>
  </conditionalFormatting>
  <conditionalFormatting sqref="AI105">
    <cfRule type="expression" priority="1" dxfId="3">
      <formula>AND(IF(OR($Q105=1,$Q105=2),1,0),IF($X105&lt;=20,1,0))</formula>
    </cfRule>
    <cfRule type="expression" priority="2" dxfId="2">
      <formula>AND(IF($Q105=2,1,0),IF($X105&lt;30,1,0))</formula>
    </cfRule>
    <cfRule type="expression" priority="3" dxfId="1">
      <formula>AND(IF($Q105=3,1,0),IF($X105&lt;30,1,0))</formula>
    </cfRule>
    <cfRule type="expression" priority="4" dxfId="0">
      <formula>AND(IF($Q105=3,1,IF($Q105=4,1,0)),IF($F105&lt;=85,1,0))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9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0" sqref="A90:XFD90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길동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삼익파크맨숀</t>
        </is>
      </c>
      <c r="B6" s="16" t="inlineStr">
        <is>
          <t>'82.09.</t>
        </is>
      </c>
      <c r="C6" s="164" t="n">
        <v>1092</v>
      </c>
      <c r="D6" s="161" t="n">
        <v>59.7</v>
      </c>
      <c r="E6" s="163" t="n">
        <v>18</v>
      </c>
      <c r="F6" s="161" t="n">
        <v>55.7</v>
      </c>
      <c r="G6" s="27" t="n">
        <v>17</v>
      </c>
      <c r="H6" s="164" t="n">
        <v>33</v>
      </c>
      <c r="I6" s="165" t="n"/>
      <c r="J6" s="165" t="n"/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2</v>
      </c>
      <c r="R6" s="113" t="n">
        <v>1</v>
      </c>
      <c r="S6" s="113" t="inlineStr">
        <is>
          <t>복</t>
        </is>
      </c>
      <c r="T6" s="8" t="inlineStr">
        <is>
          <t>59A</t>
        </is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삼익파크맨숀</t>
        </is>
      </c>
      <c r="B7" s="16" t="inlineStr">
        <is>
          <t>'82.09.</t>
        </is>
      </c>
      <c r="C7" s="164" t="n">
        <v>1092</v>
      </c>
      <c r="D7" s="161" t="n">
        <v>60.2</v>
      </c>
      <c r="E7" s="163" t="n">
        <v>18</v>
      </c>
      <c r="F7" s="161" t="n">
        <v>56.2</v>
      </c>
      <c r="G7" s="27" t="n">
        <v>17</v>
      </c>
      <c r="H7" s="164" t="n">
        <v>33</v>
      </c>
      <c r="I7" s="165" t="n"/>
      <c r="J7" s="165" t="n"/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2</v>
      </c>
      <c r="R7" s="113" t="n">
        <v>1</v>
      </c>
      <c r="S7" s="113" t="inlineStr">
        <is>
          <t>복</t>
        </is>
      </c>
      <c r="T7" s="8" t="inlineStr">
        <is>
          <t>60B</t>
        </is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삼익파크맨숀</t>
        </is>
      </c>
      <c r="B8" s="16" t="inlineStr">
        <is>
          <t>'82.09.</t>
        </is>
      </c>
      <c r="C8" s="164" t="n">
        <v>1092</v>
      </c>
      <c r="D8" s="161" t="n">
        <v>60.2</v>
      </c>
      <c r="E8" s="163" t="n">
        <v>18</v>
      </c>
      <c r="F8" s="161" t="n">
        <v>56.2</v>
      </c>
      <c r="G8" s="27" t="n">
        <v>17</v>
      </c>
      <c r="H8" s="164" t="n">
        <v>33</v>
      </c>
      <c r="I8" s="165" t="n"/>
      <c r="J8" s="165" t="n"/>
      <c r="K8" s="165" t="n"/>
      <c r="L8" s="165" t="n"/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2</v>
      </c>
      <c r="R8" s="113" t="n">
        <v>1</v>
      </c>
      <c r="S8" s="113" t="inlineStr">
        <is>
          <t>복</t>
        </is>
      </c>
      <c r="T8" s="8" t="inlineStr">
        <is>
          <t>60C</t>
        </is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삼익파크맨숀</t>
        </is>
      </c>
      <c r="B9" s="16" t="inlineStr">
        <is>
          <t>'82.09.</t>
        </is>
      </c>
      <c r="C9" s="164" t="n">
        <v>1092</v>
      </c>
      <c r="D9" s="161" t="n">
        <v>60.6</v>
      </c>
      <c r="E9" s="163" t="n">
        <v>18</v>
      </c>
      <c r="F9" s="161" t="n">
        <v>56.5</v>
      </c>
      <c r="G9" s="27" t="n">
        <v>17</v>
      </c>
      <c r="H9" s="164" t="n">
        <v>3</v>
      </c>
      <c r="I9" s="165" t="n"/>
      <c r="J9" s="165" t="n"/>
      <c r="K9" s="165" t="n"/>
      <c r="L9" s="165" t="n"/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2</v>
      </c>
      <c r="R9" s="113" t="n">
        <v>1</v>
      </c>
      <c r="S9" s="113" t="inlineStr">
        <is>
          <t>계</t>
        </is>
      </c>
      <c r="T9" s="8" t="inlineStr">
        <is>
          <t>60D</t>
        </is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삼익파크맨숀</t>
        </is>
      </c>
      <c r="B10" s="16" t="inlineStr">
        <is>
          <t>'82.09.</t>
        </is>
      </c>
      <c r="C10" s="164" t="n">
        <v>1092</v>
      </c>
      <c r="D10" s="161" t="n">
        <v>61.2</v>
      </c>
      <c r="E10" s="163" t="n">
        <v>19</v>
      </c>
      <c r="F10" s="161" t="n">
        <v>57.1</v>
      </c>
      <c r="G10" s="27" t="n">
        <v>17</v>
      </c>
      <c r="H10" s="164" t="n">
        <v>3</v>
      </c>
      <c r="I10" s="165" t="n"/>
      <c r="J10" s="165" t="n"/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2</v>
      </c>
      <c r="R10" s="113" t="n">
        <v>1</v>
      </c>
      <c r="S10" s="113" t="inlineStr">
        <is>
          <t>계</t>
        </is>
      </c>
      <c r="T10" s="8" t="inlineStr">
        <is>
          <t>61A</t>
        </is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삼익파크맨숀</t>
        </is>
      </c>
      <c r="B11" s="16" t="inlineStr">
        <is>
          <t>'82.09.</t>
        </is>
      </c>
      <c r="C11" s="164" t="n">
        <v>1092</v>
      </c>
      <c r="D11" s="161" t="n">
        <v>61.2</v>
      </c>
      <c r="E11" s="163" t="n">
        <v>19</v>
      </c>
      <c r="F11" s="161" t="n">
        <v>57.1</v>
      </c>
      <c r="G11" s="27" t="n">
        <v>17</v>
      </c>
      <c r="H11" s="164" t="n">
        <v>3</v>
      </c>
      <c r="I11" s="165" t="n"/>
      <c r="J11" s="165" t="n"/>
      <c r="K11" s="165" t="n"/>
      <c r="L11" s="165" t="n"/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2</v>
      </c>
      <c r="R11" s="113" t="n">
        <v>1</v>
      </c>
      <c r="S11" s="113" t="inlineStr">
        <is>
          <t>복</t>
        </is>
      </c>
      <c r="T11" s="8" t="inlineStr">
        <is>
          <t>61C</t>
        </is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삼익파크맨숀</t>
        </is>
      </c>
      <c r="B12" s="16" t="inlineStr">
        <is>
          <t>'82.09.</t>
        </is>
      </c>
      <c r="C12" s="164" t="n">
        <v>1092</v>
      </c>
      <c r="D12" s="161" t="n">
        <v>63.4</v>
      </c>
      <c r="E12" s="163" t="n">
        <v>19</v>
      </c>
      <c r="F12" s="161" t="n">
        <v>59.7</v>
      </c>
      <c r="G12" s="27" t="n">
        <v>18</v>
      </c>
      <c r="H12" s="164" t="n">
        <v>84</v>
      </c>
      <c r="I12" s="165" t="n"/>
      <c r="J12" s="165" t="n"/>
      <c r="K12" s="165" t="n"/>
      <c r="L12" s="165" t="n"/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2</v>
      </c>
      <c r="R12" s="113" t="n">
        <v>1</v>
      </c>
      <c r="S12" s="113" t="inlineStr">
        <is>
          <t>복</t>
        </is>
      </c>
      <c r="T12" s="8" t="inlineStr">
        <is>
          <t>63B</t>
        </is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삼익파크맨숀</t>
        </is>
      </c>
      <c r="B13" s="16" t="inlineStr">
        <is>
          <t>'82.09.</t>
        </is>
      </c>
      <c r="C13" s="164" t="n">
        <v>1092</v>
      </c>
      <c r="D13" s="161" t="n">
        <v>69.90000000000001</v>
      </c>
      <c r="E13" s="163" t="n">
        <v>21</v>
      </c>
      <c r="F13" s="161" t="n">
        <v>62.9</v>
      </c>
      <c r="G13" s="27" t="n">
        <v>19</v>
      </c>
      <c r="H13" s="164" t="n">
        <v>176</v>
      </c>
      <c r="I13" s="165" t="n">
        <v>107000</v>
      </c>
      <c r="J13" s="165" t="inlineStr">
        <is>
          <t>고</t>
        </is>
      </c>
      <c r="K13" s="165" t="n">
        <v>36000</v>
      </c>
      <c r="L13" s="165" t="inlineStr">
        <is>
          <t>10</t>
        </is>
      </c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3</v>
      </c>
      <c r="R13" s="113" t="n">
        <v>1</v>
      </c>
      <c r="S13" s="113" t="inlineStr">
        <is>
          <t>복</t>
        </is>
      </c>
      <c r="T13" s="8" t="inlineStr">
        <is>
          <t>69A</t>
        </is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삼익파크맨숀</t>
        </is>
      </c>
      <c r="B14" s="16" t="inlineStr">
        <is>
          <t>'82.09.</t>
        </is>
      </c>
      <c r="C14" s="164" t="n">
        <v>1092</v>
      </c>
      <c r="D14" s="161" t="n">
        <v>70.3</v>
      </c>
      <c r="E14" s="163" t="n">
        <v>21</v>
      </c>
      <c r="F14" s="161" t="n">
        <v>63.3</v>
      </c>
      <c r="G14" s="27" t="n">
        <v>19</v>
      </c>
      <c r="H14" s="164" t="n">
        <v>110</v>
      </c>
      <c r="I14" s="165" t="n"/>
      <c r="J14" s="165" t="n"/>
      <c r="K14" s="165" t="n"/>
      <c r="L14" s="165" t="n"/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3</v>
      </c>
      <c r="R14" s="113" t="n">
        <v>1</v>
      </c>
      <c r="S14" s="113" t="inlineStr">
        <is>
          <t>복</t>
        </is>
      </c>
      <c r="T14" s="8" t="inlineStr">
        <is>
          <t>70C</t>
        </is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삼익파크맨숀</t>
        </is>
      </c>
      <c r="B15" s="16" t="inlineStr">
        <is>
          <t>'82.09.</t>
        </is>
      </c>
      <c r="C15" s="164" t="n">
        <v>1092</v>
      </c>
      <c r="D15" s="161" t="n">
        <v>70.40000000000001</v>
      </c>
      <c r="E15" s="163" t="n">
        <v>21</v>
      </c>
      <c r="F15" s="161" t="n">
        <v>63.4</v>
      </c>
      <c r="G15" s="27" t="n">
        <v>19</v>
      </c>
      <c r="H15" s="164" t="n">
        <v>16</v>
      </c>
      <c r="I15" s="165" t="n"/>
      <c r="J15" s="165" t="n"/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1</v>
      </c>
      <c r="S15" s="113" t="inlineStr">
        <is>
          <t>복</t>
        </is>
      </c>
      <c r="T15" s="8" t="inlineStr">
        <is>
          <t>70D</t>
        </is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삼익파크맨숀</t>
        </is>
      </c>
      <c r="B16" s="16" t="inlineStr">
        <is>
          <t>'82.09.</t>
        </is>
      </c>
      <c r="C16" s="164" t="n">
        <v>1092</v>
      </c>
      <c r="D16" s="161" t="n">
        <v>71</v>
      </c>
      <c r="E16" s="163" t="n">
        <v>21</v>
      </c>
      <c r="F16" s="161" t="n">
        <v>64.09999999999999</v>
      </c>
      <c r="G16" s="27" t="n">
        <v>19</v>
      </c>
      <c r="H16" s="164" t="n">
        <v>10</v>
      </c>
      <c r="I16" s="165" t="n"/>
      <c r="J16" s="165" t="n"/>
      <c r="K16" s="165" t="n"/>
      <c r="L16" s="165" t="n"/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3</v>
      </c>
      <c r="R16" s="113" t="n">
        <v>1</v>
      </c>
      <c r="S16" s="113" t="inlineStr">
        <is>
          <t>복</t>
        </is>
      </c>
      <c r="T16" s="8" t="inlineStr">
        <is>
          <t>71B</t>
        </is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삼익파크맨숀</t>
        </is>
      </c>
      <c r="B17" s="16" t="inlineStr">
        <is>
          <t>'82.09.</t>
        </is>
      </c>
      <c r="C17" s="164" t="n">
        <v>1092</v>
      </c>
      <c r="D17" s="161" t="n">
        <v>77.5</v>
      </c>
      <c r="E17" s="163" t="n">
        <v>23</v>
      </c>
      <c r="F17" s="161" t="n">
        <v>72.3</v>
      </c>
      <c r="G17" s="27" t="n">
        <v>22</v>
      </c>
      <c r="H17" s="164" t="n">
        <v>44</v>
      </c>
      <c r="I17" s="165" t="n"/>
      <c r="J17" s="165" t="n"/>
      <c r="K17" s="165" t="n"/>
      <c r="L17" s="165" t="n"/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3</v>
      </c>
      <c r="R17" s="113" t="n">
        <v>1</v>
      </c>
      <c r="S17" s="113" t="inlineStr">
        <is>
          <t>복</t>
        </is>
      </c>
      <c r="T17" s="8" t="n">
        <v>77</v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삼익파크맨숀</t>
        </is>
      </c>
      <c r="B18" s="16" t="inlineStr">
        <is>
          <t>'82.09.</t>
        </is>
      </c>
      <c r="C18" s="164" t="n">
        <v>1092</v>
      </c>
      <c r="D18" s="161" t="n">
        <v>78.2</v>
      </c>
      <c r="E18" s="163" t="n">
        <v>24</v>
      </c>
      <c r="F18" s="161" t="n">
        <v>72.90000000000001</v>
      </c>
      <c r="G18" s="27" t="n">
        <v>22</v>
      </c>
      <c r="H18" s="164" t="n">
        <v>66</v>
      </c>
      <c r="I18" s="165" t="n"/>
      <c r="J18" s="165" t="n"/>
      <c r="K18" s="165" t="n"/>
      <c r="L18" s="165" t="n"/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3</v>
      </c>
      <c r="R18" s="113" t="n">
        <v>1</v>
      </c>
      <c r="S18" s="113" t="inlineStr">
        <is>
          <t>복</t>
        </is>
      </c>
      <c r="T18" s="8" t="inlineStr">
        <is>
          <t>78A</t>
        </is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삼익파크맨숀</t>
        </is>
      </c>
      <c r="B19" s="16" t="inlineStr">
        <is>
          <t>'82.09.</t>
        </is>
      </c>
      <c r="C19" s="164" t="n">
        <v>1092</v>
      </c>
      <c r="D19" s="161" t="n">
        <v>78.59999999999999</v>
      </c>
      <c r="E19" s="163" t="n">
        <v>24</v>
      </c>
      <c r="F19" s="161" t="n">
        <v>73.40000000000001</v>
      </c>
      <c r="G19" s="27" t="n">
        <v>22</v>
      </c>
      <c r="H19" s="164" t="n">
        <v>4</v>
      </c>
      <c r="I19" s="165" t="n"/>
      <c r="J19" s="165" t="n"/>
      <c r="K19" s="165" t="n"/>
      <c r="L19" s="165" t="n"/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3</v>
      </c>
      <c r="R19" s="113" t="n">
        <v>1</v>
      </c>
      <c r="S19" s="113" t="inlineStr">
        <is>
          <t>복</t>
        </is>
      </c>
      <c r="T19" s="8" t="inlineStr">
        <is>
          <t>78C</t>
        </is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삼익파크맨숀</t>
        </is>
      </c>
      <c r="B20" s="16" t="inlineStr">
        <is>
          <t>'82.09.</t>
        </is>
      </c>
      <c r="C20" s="164" t="n">
        <v>1092</v>
      </c>
      <c r="D20" s="161" t="n">
        <v>79.40000000000001</v>
      </c>
      <c r="E20" s="163" t="n">
        <v>24</v>
      </c>
      <c r="F20" s="161" t="n">
        <v>74.09999999999999</v>
      </c>
      <c r="G20" s="27" t="n">
        <v>22</v>
      </c>
      <c r="H20" s="164" t="n">
        <v>6</v>
      </c>
      <c r="I20" s="165" t="n"/>
      <c r="J20" s="165" t="n"/>
      <c r="K20" s="165" t="n"/>
      <c r="L20" s="165" t="n"/>
      <c r="M20" s="166">
        <f>I20-K20</f>
        <v/>
      </c>
      <c r="N20" s="7">
        <f>IF(ISERROR(K20/I20),"",K20/I20)</f>
        <v/>
      </c>
      <c r="O20" s="162">
        <f>I20/E20</f>
        <v/>
      </c>
      <c r="P20" s="162">
        <f>K20/E20</f>
        <v/>
      </c>
      <c r="Q20" s="113" t="n">
        <v>3</v>
      </c>
      <c r="R20" s="113" t="n">
        <v>1</v>
      </c>
      <c r="S20" s="113" t="inlineStr">
        <is>
          <t>복</t>
        </is>
      </c>
      <c r="T20" s="8" t="inlineStr">
        <is>
          <t>79B</t>
        </is>
      </c>
      <c r="U20" s="13" t="n"/>
      <c r="W20" s="161">
        <f>D20</f>
        <v/>
      </c>
      <c r="X20" s="163">
        <f>E20</f>
        <v/>
      </c>
      <c r="Y20" s="159">
        <f>H20</f>
        <v/>
      </c>
      <c r="Z20" s="166">
        <f>I20</f>
        <v/>
      </c>
      <c r="AA20" s="166">
        <f>K20</f>
        <v/>
      </c>
      <c r="AB20" s="166">
        <f>M20</f>
        <v/>
      </c>
      <c r="AC20" s="7">
        <f>N20</f>
        <v/>
      </c>
      <c r="AD20" s="162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3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삼익파크맨숀</t>
        </is>
      </c>
      <c r="B21" s="16" t="inlineStr">
        <is>
          <t>'82.09.</t>
        </is>
      </c>
      <c r="C21" s="164" t="n">
        <v>1092</v>
      </c>
      <c r="D21" s="161" t="n">
        <v>85</v>
      </c>
      <c r="E21" s="163" t="n">
        <v>26</v>
      </c>
      <c r="F21" s="161" t="n">
        <v>79.59999999999999</v>
      </c>
      <c r="G21" s="27" t="n">
        <v>24</v>
      </c>
      <c r="H21" s="164" t="n">
        <v>72</v>
      </c>
      <c r="I21" s="165" t="n">
        <v>120000</v>
      </c>
      <c r="J21" s="165" t="inlineStr">
        <is>
          <t>고</t>
        </is>
      </c>
      <c r="K21" s="165" t="n"/>
      <c r="L21" s="165" t="n"/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1</v>
      </c>
      <c r="S21" s="113" t="inlineStr">
        <is>
          <t>복</t>
        </is>
      </c>
      <c r="T21" s="8" t="n">
        <v>85</v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삼익파크맨숀</t>
        </is>
      </c>
      <c r="B22" s="16" t="inlineStr">
        <is>
          <t>'82.09.</t>
        </is>
      </c>
      <c r="C22" s="164" t="n">
        <v>1092</v>
      </c>
      <c r="D22" s="161" t="n">
        <v>103.6</v>
      </c>
      <c r="E22" s="163" t="n">
        <v>31</v>
      </c>
      <c r="F22" s="161" t="n">
        <v>95.90000000000001</v>
      </c>
      <c r="G22" s="27" t="n">
        <v>29</v>
      </c>
      <c r="H22" s="164" t="n">
        <v>72</v>
      </c>
      <c r="I22" s="165" t="n">
        <v>145000</v>
      </c>
      <c r="J22" s="165" t="inlineStr">
        <is>
          <t>고</t>
        </is>
      </c>
      <c r="K22" s="165" t="n"/>
      <c r="L22" s="165" t="n"/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inlineStr">
        <is>
          <t>103A</t>
        </is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삼익파크맨숀</t>
        </is>
      </c>
      <c r="B23" s="16" t="inlineStr">
        <is>
          <t>'82.09.</t>
        </is>
      </c>
      <c r="C23" s="164" t="n">
        <v>1092</v>
      </c>
      <c r="D23" s="161" t="n">
        <v>103.7</v>
      </c>
      <c r="E23" s="163" t="n">
        <v>31</v>
      </c>
      <c r="F23" s="161" t="n">
        <v>96</v>
      </c>
      <c r="G23" s="27" t="n">
        <v>29</v>
      </c>
      <c r="H23" s="164" t="n">
        <v>48</v>
      </c>
      <c r="I23" s="165" t="n">
        <v>140000</v>
      </c>
      <c r="J23" s="165" t="inlineStr">
        <is>
          <t>8</t>
        </is>
      </c>
      <c r="K23" s="165" t="n"/>
      <c r="L23" s="165" t="n"/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3</v>
      </c>
      <c r="R23" s="113" t="n">
        <v>2</v>
      </c>
      <c r="S23" s="113" t="inlineStr">
        <is>
          <t>계</t>
        </is>
      </c>
      <c r="T23" s="8" t="inlineStr">
        <is>
          <t>103B</t>
        </is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삼익파크맨숀</t>
        </is>
      </c>
      <c r="B24" s="16" t="inlineStr">
        <is>
          <t>'82.09.</t>
        </is>
      </c>
      <c r="C24" s="164" t="n">
        <v>1092</v>
      </c>
      <c r="D24" s="161" t="n">
        <v>103.6</v>
      </c>
      <c r="E24" s="163" t="n">
        <v>31</v>
      </c>
      <c r="F24" s="161" t="n">
        <v>96.59999999999999</v>
      </c>
      <c r="G24" s="27" t="n">
        <v>29</v>
      </c>
      <c r="H24" s="164" t="n">
        <v>22</v>
      </c>
      <c r="I24" s="165" t="n">
        <v>145000</v>
      </c>
      <c r="J24" s="165" t="inlineStr">
        <is>
          <t>중</t>
        </is>
      </c>
      <c r="K24" s="165" t="n"/>
      <c r="L24" s="165" t="n"/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inlineStr">
        <is>
          <t>103C</t>
        </is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삼익파크맨숀</t>
        </is>
      </c>
      <c r="B25" s="16" t="inlineStr">
        <is>
          <t>'82.09.</t>
        </is>
      </c>
      <c r="C25" s="164" t="n">
        <v>1092</v>
      </c>
      <c r="D25" s="161" t="n">
        <v>104.3</v>
      </c>
      <c r="E25" s="163" t="n">
        <v>32</v>
      </c>
      <c r="F25" s="161" t="n">
        <v>97.2</v>
      </c>
      <c r="G25" s="27" t="n">
        <v>29</v>
      </c>
      <c r="H25" s="164" t="n">
        <v>22</v>
      </c>
      <c r="I25" s="165" t="n">
        <v>134000</v>
      </c>
      <c r="J25" s="165" t="inlineStr">
        <is>
          <t>8</t>
        </is>
      </c>
      <c r="K25" s="165" t="n"/>
      <c r="L25" s="165" t="n"/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3</v>
      </c>
      <c r="R25" s="113" t="n">
        <v>1</v>
      </c>
      <c r="S25" s="113" t="inlineStr">
        <is>
          <t>복</t>
        </is>
      </c>
      <c r="T25" s="8" t="inlineStr">
        <is>
          <t>104A</t>
        </is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삼익파크맨숀</t>
        </is>
      </c>
      <c r="B26" s="16" t="inlineStr">
        <is>
          <t>'82.09.</t>
        </is>
      </c>
      <c r="C26" s="164" t="n">
        <v>1092</v>
      </c>
      <c r="D26" s="161" t="n">
        <v>104.3</v>
      </c>
      <c r="E26" s="163" t="n">
        <v>32</v>
      </c>
      <c r="F26" s="161" t="n">
        <v>97.2</v>
      </c>
      <c r="G26" s="27" t="n">
        <v>29</v>
      </c>
      <c r="H26" s="164" t="n">
        <v>22</v>
      </c>
      <c r="I26" s="165" t="n">
        <v>134000</v>
      </c>
      <c r="J26" s="165" t="inlineStr">
        <is>
          <t>8</t>
        </is>
      </c>
      <c r="K26" s="165" t="n"/>
      <c r="L26" s="165" t="n"/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3</v>
      </c>
      <c r="R26" s="113" t="n">
        <v>1</v>
      </c>
      <c r="S26" s="113" t="inlineStr">
        <is>
          <t>복</t>
        </is>
      </c>
      <c r="T26" s="8" t="inlineStr">
        <is>
          <t>104C</t>
        </is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삼익파크맨숀</t>
        </is>
      </c>
      <c r="B27" s="16" t="inlineStr">
        <is>
          <t>'82.09.</t>
        </is>
      </c>
      <c r="C27" s="164" t="n">
        <v>1092</v>
      </c>
      <c r="D27" s="161" t="n">
        <v>105.1</v>
      </c>
      <c r="E27" s="163" t="n">
        <v>32</v>
      </c>
      <c r="F27" s="161" t="n">
        <v>98.09999999999999</v>
      </c>
      <c r="G27" s="27" t="n">
        <v>30</v>
      </c>
      <c r="H27" s="164" t="n">
        <v>2</v>
      </c>
      <c r="I27" s="165" t="n"/>
      <c r="J27" s="165" t="n"/>
      <c r="K27" s="165" t="n"/>
      <c r="L27" s="165" t="n"/>
      <c r="M27" s="166">
        <f>I27-K27</f>
        <v/>
      </c>
      <c r="N27" s="7">
        <f>IF(ISERROR(K27/I27),"",K27/I27)</f>
        <v/>
      </c>
      <c r="O27" s="162">
        <f>I27/E27</f>
        <v/>
      </c>
      <c r="P27" s="162">
        <f>K27/E27</f>
        <v/>
      </c>
      <c r="Q27" s="113" t="n">
        <v>3</v>
      </c>
      <c r="R27" s="113" t="n">
        <v>1</v>
      </c>
      <c r="S27" s="113" t="inlineStr">
        <is>
          <t>복</t>
        </is>
      </c>
      <c r="T27" s="8" t="inlineStr">
        <is>
          <t>105B</t>
        </is>
      </c>
      <c r="U27" s="13" t="n"/>
      <c r="W27" s="161">
        <f>D27</f>
        <v/>
      </c>
      <c r="X27" s="163">
        <f>E27</f>
        <v/>
      </c>
      <c r="Y27" s="159">
        <f>H27</f>
        <v/>
      </c>
      <c r="Z27" s="166">
        <f>I27</f>
        <v/>
      </c>
      <c r="AA27" s="166">
        <f>K27</f>
        <v/>
      </c>
      <c r="AB27" s="166">
        <f>M27</f>
        <v/>
      </c>
      <c r="AC27" s="7">
        <f>N27</f>
        <v/>
      </c>
      <c r="AD27" s="162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3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삼익파크맨숀</t>
        </is>
      </c>
      <c r="B28" s="16" t="inlineStr">
        <is>
          <t>'82.09.</t>
        </is>
      </c>
      <c r="C28" s="164" t="n">
        <v>1092</v>
      </c>
      <c r="D28" s="161" t="n">
        <v>105.9</v>
      </c>
      <c r="E28" s="163" t="n">
        <v>32</v>
      </c>
      <c r="F28" s="161" t="n">
        <v>98.8</v>
      </c>
      <c r="G28" s="27" t="n">
        <v>30</v>
      </c>
      <c r="H28" s="164" t="n">
        <v>2</v>
      </c>
      <c r="I28" s="165" t="n"/>
      <c r="J28" s="165" t="n"/>
      <c r="K28" s="165" t="n"/>
      <c r="L28" s="165" t="n"/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3</v>
      </c>
      <c r="R28" s="113" t="n">
        <v>1</v>
      </c>
      <c r="S28" s="113" t="inlineStr">
        <is>
          <t>복</t>
        </is>
      </c>
      <c r="T28" s="8" t="inlineStr">
        <is>
          <t>105D</t>
        </is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삼익파크맨숀</t>
        </is>
      </c>
      <c r="B29" s="16" t="inlineStr">
        <is>
          <t>'82.09.</t>
        </is>
      </c>
      <c r="C29" s="164" t="n">
        <v>1092</v>
      </c>
      <c r="D29" s="161" t="n">
        <v>105.9</v>
      </c>
      <c r="E29" s="163" t="n">
        <v>32</v>
      </c>
      <c r="F29" s="161" t="n">
        <v>98.8</v>
      </c>
      <c r="G29" s="27" t="n">
        <v>30</v>
      </c>
      <c r="H29" s="164" t="n">
        <v>2</v>
      </c>
      <c r="I29" s="165" t="n"/>
      <c r="J29" s="165" t="n"/>
      <c r="K29" s="165" t="n"/>
      <c r="L29" s="165" t="n"/>
      <c r="M29" s="166">
        <f>I29-K29</f>
        <v/>
      </c>
      <c r="N29" s="7">
        <f>IF(ISERROR(K29/I29),"",K29/I29)</f>
        <v/>
      </c>
      <c r="O29" s="162">
        <f>I29/E29</f>
        <v/>
      </c>
      <c r="P29" s="162">
        <f>K29/E29</f>
        <v/>
      </c>
      <c r="Q29" s="113" t="n">
        <v>3</v>
      </c>
      <c r="R29" s="113" t="n">
        <v>1</v>
      </c>
      <c r="S29" s="113" t="inlineStr">
        <is>
          <t>복</t>
        </is>
      </c>
      <c r="T29" s="8" t="inlineStr">
        <is>
          <t>105E</t>
        </is>
      </c>
      <c r="U29" s="13" t="n"/>
      <c r="W29" s="161">
        <f>D29</f>
        <v/>
      </c>
      <c r="X29" s="163">
        <f>E29</f>
        <v/>
      </c>
      <c r="Y29" s="159">
        <f>H29</f>
        <v/>
      </c>
      <c r="Z29" s="166">
        <f>I29</f>
        <v/>
      </c>
      <c r="AA29" s="166">
        <f>K29</f>
        <v/>
      </c>
      <c r="AB29" s="166">
        <f>M29</f>
        <v/>
      </c>
      <c r="AC29" s="7">
        <f>N29</f>
        <v/>
      </c>
      <c r="AD29" s="162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3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삼익파크맨숀</t>
        </is>
      </c>
      <c r="B30" s="16" t="inlineStr">
        <is>
          <t>'82.09.</t>
        </is>
      </c>
      <c r="C30" s="164" t="n">
        <v>1092</v>
      </c>
      <c r="D30" s="161" t="n">
        <v>107.7</v>
      </c>
      <c r="E30" s="163" t="n">
        <v>33</v>
      </c>
      <c r="F30" s="161" t="n">
        <v>88.2</v>
      </c>
      <c r="G30" s="27" t="n">
        <v>27</v>
      </c>
      <c r="H30" s="164" t="n">
        <v>12</v>
      </c>
      <c r="I30" s="165" t="n">
        <v>155000</v>
      </c>
      <c r="J30" s="165" t="inlineStr">
        <is>
          <t>9</t>
        </is>
      </c>
      <c r="K30" s="165" t="n">
        <v>52000</v>
      </c>
      <c r="L30" s="165" t="inlineStr">
        <is>
          <t>고</t>
        </is>
      </c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3</v>
      </c>
      <c r="R30" s="113" t="n">
        <v>1</v>
      </c>
      <c r="S30" s="113" t="inlineStr">
        <is>
          <t>계</t>
        </is>
      </c>
      <c r="T30" s="8" t="n">
        <v>107</v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삼익파크맨숀</t>
        </is>
      </c>
      <c r="B31" s="16" t="inlineStr">
        <is>
          <t>'82.09.</t>
        </is>
      </c>
      <c r="C31" s="164" t="n">
        <v>1092</v>
      </c>
      <c r="D31" s="161" t="n">
        <v>141.3</v>
      </c>
      <c r="E31" s="163" t="n">
        <v>43</v>
      </c>
      <c r="F31" s="161" t="n">
        <v>130.8</v>
      </c>
      <c r="G31" s="27" t="n">
        <v>40</v>
      </c>
      <c r="H31" s="164" t="n">
        <v>54</v>
      </c>
      <c r="I31" s="165" t="n"/>
      <c r="J31" s="165" t="n"/>
      <c r="K31" s="165" t="n"/>
      <c r="L31" s="165" t="n"/>
      <c r="M31" s="166">
        <f>I31-K31</f>
        <v/>
      </c>
      <c r="N31" s="7">
        <f>IF(ISERROR(K31/I31),"",K31/I31)</f>
        <v/>
      </c>
      <c r="O31" s="162">
        <f>I31/E31</f>
        <v/>
      </c>
      <c r="P31" s="162">
        <f>K31/E31</f>
        <v/>
      </c>
      <c r="Q31" s="113" t="n">
        <v>4</v>
      </c>
      <c r="R31" s="113" t="n">
        <v>2</v>
      </c>
      <c r="S31" s="113" t="inlineStr">
        <is>
          <t>계</t>
        </is>
      </c>
      <c r="T31" s="8" t="inlineStr">
        <is>
          <t>141A</t>
        </is>
      </c>
      <c r="U31" s="13" t="n"/>
      <c r="W31" s="161">
        <f>D31</f>
        <v/>
      </c>
      <c r="X31" s="163">
        <f>E31</f>
        <v/>
      </c>
      <c r="Y31" s="159">
        <f>H31</f>
        <v/>
      </c>
      <c r="Z31" s="166">
        <f>I31</f>
        <v/>
      </c>
      <c r="AA31" s="166">
        <f>K31</f>
        <v/>
      </c>
      <c r="AB31" s="166">
        <f>M31</f>
        <v/>
      </c>
      <c r="AC31" s="7">
        <f>N31</f>
        <v/>
      </c>
      <c r="AD31" s="162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3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삼익파크맨숀</t>
        </is>
      </c>
      <c r="B32" s="16" t="inlineStr">
        <is>
          <t>'82.09.</t>
        </is>
      </c>
      <c r="C32" s="164" t="n">
        <v>1092</v>
      </c>
      <c r="D32" s="161" t="n">
        <v>141.3</v>
      </c>
      <c r="E32" s="163" t="n">
        <v>43</v>
      </c>
      <c r="F32" s="161" t="n">
        <v>130.8</v>
      </c>
      <c r="G32" s="27" t="n">
        <v>40</v>
      </c>
      <c r="H32" s="164" t="n">
        <v>1</v>
      </c>
      <c r="I32" s="165" t="n"/>
      <c r="J32" s="165" t="n"/>
      <c r="K32" s="165" t="n"/>
      <c r="L32" s="165" t="n"/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4</v>
      </c>
      <c r="R32" s="113" t="n">
        <v>2</v>
      </c>
      <c r="S32" s="113" t="inlineStr">
        <is>
          <t>계</t>
        </is>
      </c>
      <c r="T32" s="8" t="inlineStr">
        <is>
          <t>141C</t>
        </is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삼익파크맨숀</t>
        </is>
      </c>
      <c r="B33" s="16" t="inlineStr">
        <is>
          <t>'82.09.</t>
        </is>
      </c>
      <c r="C33" s="164" t="n">
        <v>1092</v>
      </c>
      <c r="D33" s="161" t="n">
        <v>142.3</v>
      </c>
      <c r="E33" s="163" t="n">
        <v>43</v>
      </c>
      <c r="F33" s="161" t="n">
        <v>131.9</v>
      </c>
      <c r="G33" s="27" t="n">
        <v>40</v>
      </c>
      <c r="H33" s="164" t="n">
        <v>3</v>
      </c>
      <c r="I33" s="165" t="n"/>
      <c r="J33" s="165" t="n"/>
      <c r="K33" s="165" t="n"/>
      <c r="L33" s="165" t="n"/>
      <c r="M33" s="166">
        <f>I33-K33</f>
        <v/>
      </c>
      <c r="N33" s="7">
        <f>IF(ISERROR(K33/I33),"",K33/I33)</f>
        <v/>
      </c>
      <c r="O33" s="162">
        <f>I33/E33</f>
        <v/>
      </c>
      <c r="P33" s="162">
        <f>K33/E33</f>
        <v/>
      </c>
      <c r="Q33" s="113" t="n">
        <v>4</v>
      </c>
      <c r="R33" s="113" t="n">
        <v>2</v>
      </c>
      <c r="S33" s="113" t="inlineStr">
        <is>
          <t>계</t>
        </is>
      </c>
      <c r="T33" s="8" t="inlineStr">
        <is>
          <t>142D</t>
        </is>
      </c>
      <c r="U33" s="13" t="n"/>
      <c r="W33" s="161">
        <f>D33</f>
        <v/>
      </c>
      <c r="X33" s="163">
        <f>E33</f>
        <v/>
      </c>
      <c r="Y33" s="159">
        <f>H33</f>
        <v/>
      </c>
      <c r="Z33" s="166">
        <f>I33</f>
        <v/>
      </c>
      <c r="AA33" s="166">
        <f>K33</f>
        <v/>
      </c>
      <c r="AB33" s="166">
        <f>M33</f>
        <v/>
      </c>
      <c r="AC33" s="7">
        <f>N33</f>
        <v/>
      </c>
      <c r="AD33" s="162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3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삼익파크맨숀</t>
        </is>
      </c>
      <c r="B34" s="16" t="inlineStr">
        <is>
          <t>'82.09.</t>
        </is>
      </c>
      <c r="C34" s="164" t="n">
        <v>1092</v>
      </c>
      <c r="D34" s="161" t="n">
        <v>142.3</v>
      </c>
      <c r="E34" s="163" t="n">
        <v>43</v>
      </c>
      <c r="F34" s="161" t="n">
        <v>131.8</v>
      </c>
      <c r="G34" s="27" t="n">
        <v>40</v>
      </c>
      <c r="H34" s="164" t="n">
        <v>2</v>
      </c>
      <c r="I34" s="165" t="n"/>
      <c r="J34" s="165" t="n"/>
      <c r="K34" s="165" t="n"/>
      <c r="L34" s="165" t="n"/>
      <c r="M34" s="166">
        <f>I34-K34</f>
        <v/>
      </c>
      <c r="N34" s="7">
        <f>IF(ISERROR(K34/I34),"",K34/I34)</f>
        <v/>
      </c>
      <c r="O34" s="162">
        <f>I34/E34</f>
        <v/>
      </c>
      <c r="P34" s="162">
        <f>K34/E34</f>
        <v/>
      </c>
      <c r="Q34" s="113" t="n">
        <v>4</v>
      </c>
      <c r="R34" s="113" t="n">
        <v>2</v>
      </c>
      <c r="S34" s="113" t="inlineStr">
        <is>
          <t>계</t>
        </is>
      </c>
      <c r="T34" s="8" t="inlineStr">
        <is>
          <t>142B</t>
        </is>
      </c>
      <c r="U34" s="13" t="n"/>
      <c r="W34" s="161">
        <f>D34</f>
        <v/>
      </c>
      <c r="X34" s="163">
        <f>E34</f>
        <v/>
      </c>
      <c r="Y34" s="159">
        <f>H34</f>
        <v/>
      </c>
      <c r="Z34" s="166">
        <f>I34</f>
        <v/>
      </c>
      <c r="AA34" s="166">
        <f>K34</f>
        <v/>
      </c>
      <c r="AB34" s="166">
        <f>M34</f>
        <v/>
      </c>
      <c r="AC34" s="7">
        <f>N34</f>
        <v/>
      </c>
      <c r="AD34" s="162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3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삼익파크맨숀</t>
        </is>
      </c>
      <c r="B35" s="16" t="inlineStr">
        <is>
          <t>'82.09.</t>
        </is>
      </c>
      <c r="C35" s="164" t="n">
        <v>1092</v>
      </c>
      <c r="D35" s="161" t="n">
        <v>148.6</v>
      </c>
      <c r="E35" s="163" t="n">
        <v>45</v>
      </c>
      <c r="F35" s="161" t="n">
        <v>137.7</v>
      </c>
      <c r="G35" s="27" t="n">
        <v>42</v>
      </c>
      <c r="H35" s="164" t="n">
        <v>48</v>
      </c>
      <c r="I35" s="165" t="n"/>
      <c r="J35" s="165" t="n"/>
      <c r="K35" s="165" t="n"/>
      <c r="L35" s="165" t="n"/>
      <c r="M35" s="166">
        <f>I35-K35</f>
        <v/>
      </c>
      <c r="N35" s="7">
        <f>IF(ISERROR(K35/I35),"",K35/I35)</f>
        <v/>
      </c>
      <c r="O35" s="162">
        <f>I35/E35</f>
        <v/>
      </c>
      <c r="P35" s="162">
        <f>K35/E35</f>
        <v/>
      </c>
      <c r="Q35" s="113" t="n">
        <v>4</v>
      </c>
      <c r="R35" s="113" t="n">
        <v>2</v>
      </c>
      <c r="S35" s="113" t="inlineStr">
        <is>
          <t>계</t>
        </is>
      </c>
      <c r="T35" s="8" t="n">
        <v>148</v>
      </c>
      <c r="U35" s="13" t="n"/>
      <c r="W35" s="161">
        <f>D35</f>
        <v/>
      </c>
      <c r="X35" s="163">
        <f>E35</f>
        <v/>
      </c>
      <c r="Y35" s="159">
        <f>H35</f>
        <v/>
      </c>
      <c r="Z35" s="166">
        <f>I35</f>
        <v/>
      </c>
      <c r="AA35" s="166">
        <f>K35</f>
        <v/>
      </c>
      <c r="AB35" s="166">
        <f>M35</f>
        <v/>
      </c>
      <c r="AC35" s="7">
        <f>N35</f>
        <v/>
      </c>
      <c r="AD35" s="162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3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inlineStr">
        <is>
          <t>삼익파크맨숀</t>
        </is>
      </c>
      <c r="B36" s="16" t="inlineStr">
        <is>
          <t>'82.09.</t>
        </is>
      </c>
      <c r="C36" s="164" t="n">
        <v>1092</v>
      </c>
      <c r="D36" s="161" t="n">
        <v>159.1</v>
      </c>
      <c r="E36" s="163" t="n">
        <v>48</v>
      </c>
      <c r="F36" s="161" t="n">
        <v>130.4</v>
      </c>
      <c r="G36" s="27" t="n">
        <v>39</v>
      </c>
      <c r="H36" s="164" t="n">
        <v>12</v>
      </c>
      <c r="I36" s="165" t="n"/>
      <c r="J36" s="165" t="n"/>
      <c r="K36" s="165" t="n"/>
      <c r="L36" s="165" t="n"/>
      <c r="M36" s="166">
        <f>I36-K36</f>
        <v/>
      </c>
      <c r="N36" s="7">
        <f>IF(ISERROR(K36/I36),"",K36/I36)</f>
        <v/>
      </c>
      <c r="O36" s="162">
        <f>I36/E36</f>
        <v/>
      </c>
      <c r="P36" s="162">
        <f>K36/E36</f>
        <v/>
      </c>
      <c r="Q36" s="113" t="n">
        <v>3</v>
      </c>
      <c r="R36" s="113" t="n">
        <v>2</v>
      </c>
      <c r="S36" s="113" t="inlineStr">
        <is>
          <t>계</t>
        </is>
      </c>
      <c r="T36" s="8" t="n">
        <v>159</v>
      </c>
      <c r="U36" s="13" t="n"/>
      <c r="W36" s="161">
        <f>D36</f>
        <v/>
      </c>
      <c r="X36" s="163">
        <f>E36</f>
        <v/>
      </c>
      <c r="Y36" s="159">
        <f>H36</f>
        <v/>
      </c>
      <c r="Z36" s="166">
        <f>I36</f>
        <v/>
      </c>
      <c r="AA36" s="166">
        <f>K36</f>
        <v/>
      </c>
      <c r="AB36" s="166">
        <f>M36</f>
        <v/>
      </c>
      <c r="AC36" s="7">
        <f>N36</f>
        <v/>
      </c>
      <c r="AD36" s="162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3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inlineStr">
        <is>
          <t>삼익파크맨숀</t>
        </is>
      </c>
      <c r="B37" s="16" t="inlineStr">
        <is>
          <t>'82.09.</t>
        </is>
      </c>
      <c r="C37" s="164" t="n">
        <v>1092</v>
      </c>
      <c r="D37" s="161" t="n">
        <v>163.6</v>
      </c>
      <c r="E37" s="163" t="n">
        <v>50</v>
      </c>
      <c r="F37" s="161" t="n">
        <v>151.4</v>
      </c>
      <c r="G37" s="27" t="n">
        <v>46</v>
      </c>
      <c r="H37" s="164" t="n">
        <v>33</v>
      </c>
      <c r="I37" s="165" t="n"/>
      <c r="J37" s="165" t="n"/>
      <c r="K37" s="165" t="n"/>
      <c r="L37" s="165" t="n"/>
      <c r="M37" s="166">
        <f>I37-K37</f>
        <v/>
      </c>
      <c r="N37" s="7">
        <f>IF(ISERROR(K37/I37),"",K37/I37)</f>
        <v/>
      </c>
      <c r="O37" s="162">
        <f>I37/E37</f>
        <v/>
      </c>
      <c r="P37" s="162">
        <f>K37/E37</f>
        <v/>
      </c>
      <c r="Q37" s="113" t="n">
        <v>4</v>
      </c>
      <c r="R37" s="113" t="n">
        <v>2</v>
      </c>
      <c r="S37" s="113" t="inlineStr">
        <is>
          <t>계</t>
        </is>
      </c>
      <c r="T37" s="8" t="inlineStr">
        <is>
          <t>163A</t>
        </is>
      </c>
      <c r="U37" s="13" t="n"/>
      <c r="W37" s="161">
        <f>D37</f>
        <v/>
      </c>
      <c r="X37" s="163">
        <f>E37</f>
        <v/>
      </c>
      <c r="Y37" s="159">
        <f>H37</f>
        <v/>
      </c>
      <c r="Z37" s="166">
        <f>I37</f>
        <v/>
      </c>
      <c r="AA37" s="166">
        <f>K37</f>
        <v/>
      </c>
      <c r="AB37" s="166">
        <f>M37</f>
        <v/>
      </c>
      <c r="AC37" s="7">
        <f>N37</f>
        <v/>
      </c>
      <c r="AD37" s="162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3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inlineStr">
        <is>
          <t>삼익파크맨숀</t>
        </is>
      </c>
      <c r="B38" s="16" t="inlineStr">
        <is>
          <t>'82.09.</t>
        </is>
      </c>
      <c r="C38" s="164" t="n">
        <v>1092</v>
      </c>
      <c r="D38" s="161" t="n">
        <v>163.6</v>
      </c>
      <c r="E38" s="163" t="n">
        <v>49</v>
      </c>
      <c r="F38" s="161" t="n">
        <v>151.5</v>
      </c>
      <c r="G38" s="27" t="n">
        <v>46</v>
      </c>
      <c r="H38" s="164" t="n">
        <v>22</v>
      </c>
      <c r="I38" s="165" t="n"/>
      <c r="J38" s="165" t="n"/>
      <c r="K38" s="165" t="n"/>
      <c r="L38" s="165" t="n"/>
      <c r="M38" s="166">
        <f>I38-K38</f>
        <v/>
      </c>
      <c r="N38" s="7">
        <f>IF(ISERROR(K38/I38),"",K38/I38)</f>
        <v/>
      </c>
      <c r="O38" s="162">
        <f>I38/E38</f>
        <v/>
      </c>
      <c r="P38" s="162">
        <f>K38/E38</f>
        <v/>
      </c>
      <c r="Q38" s="113" t="n">
        <v>5</v>
      </c>
      <c r="R38" s="113" t="n">
        <v>2</v>
      </c>
      <c r="S38" s="113" t="inlineStr">
        <is>
          <t>계</t>
        </is>
      </c>
      <c r="T38" s="8" t="n">
        <v>163</v>
      </c>
      <c r="U38" s="13" t="n"/>
      <c r="W38" s="161">
        <f>D38</f>
        <v/>
      </c>
      <c r="X38" s="163">
        <f>E38</f>
        <v/>
      </c>
      <c r="Y38" s="159">
        <f>H38</f>
        <v/>
      </c>
      <c r="Z38" s="166">
        <f>I38</f>
        <v/>
      </c>
      <c r="AA38" s="166">
        <f>K38</f>
        <v/>
      </c>
      <c r="AB38" s="166">
        <f>M38</f>
        <v/>
      </c>
      <c r="AC38" s="7">
        <f>N38</f>
        <v/>
      </c>
      <c r="AD38" s="162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3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삼익파크맨숀</t>
        </is>
      </c>
      <c r="B39" s="16" t="inlineStr">
        <is>
          <t>'82.09.</t>
        </is>
      </c>
      <c r="C39" s="164" t="n">
        <v>1092</v>
      </c>
      <c r="D39" s="161" t="n">
        <v>164.8</v>
      </c>
      <c r="E39" s="163" t="n">
        <v>50</v>
      </c>
      <c r="F39" s="161" t="n">
        <v>152.6</v>
      </c>
      <c r="G39" s="27" t="n">
        <v>46</v>
      </c>
      <c r="H39" s="164" t="n">
        <v>3</v>
      </c>
      <c r="I39" s="165" t="n"/>
      <c r="J39" s="165" t="n"/>
      <c r="K39" s="165" t="n"/>
      <c r="L39" s="165" t="n"/>
      <c r="M39" s="166">
        <f>I39-K39</f>
        <v/>
      </c>
      <c r="N39" s="7">
        <f>IF(ISERROR(K39/I39),"",K39/I39)</f>
        <v/>
      </c>
      <c r="O39" s="162">
        <f>I39/E39</f>
        <v/>
      </c>
      <c r="P39" s="162">
        <f>K39/E39</f>
        <v/>
      </c>
      <c r="Q39" s="113" t="n">
        <v>5</v>
      </c>
      <c r="R39" s="113" t="n">
        <v>2</v>
      </c>
      <c r="S39" s="113" t="inlineStr">
        <is>
          <t>계</t>
        </is>
      </c>
      <c r="T39" s="8" t="inlineStr">
        <is>
          <t>164B</t>
        </is>
      </c>
      <c r="U39" s="13" t="n"/>
      <c r="W39" s="161">
        <f>D39</f>
        <v/>
      </c>
      <c r="X39" s="163">
        <f>E39</f>
        <v/>
      </c>
      <c r="Y39" s="159">
        <f>H39</f>
        <v/>
      </c>
      <c r="Z39" s="166">
        <f>I39</f>
        <v/>
      </c>
      <c r="AA39" s="166">
        <f>K39</f>
        <v/>
      </c>
      <c r="AB39" s="166">
        <f>M39</f>
        <v/>
      </c>
      <c r="AC39" s="7">
        <f>N39</f>
        <v/>
      </c>
      <c r="AD39" s="162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3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inlineStr">
        <is>
          <t>삼익파크맨숀</t>
        </is>
      </c>
      <c r="B40" s="16" t="inlineStr">
        <is>
          <t>'82.09.</t>
        </is>
      </c>
      <c r="C40" s="164" t="n">
        <v>1092</v>
      </c>
      <c r="D40" s="161" t="n">
        <v>164.8</v>
      </c>
      <c r="E40" s="163" t="n">
        <v>50</v>
      </c>
      <c r="F40" s="161" t="n">
        <v>152.6</v>
      </c>
      <c r="G40" s="27" t="n">
        <v>46</v>
      </c>
      <c r="H40" s="164" t="n">
        <v>2</v>
      </c>
      <c r="I40" s="165" t="n"/>
      <c r="J40" s="165" t="n"/>
      <c r="K40" s="165" t="n"/>
      <c r="L40" s="165" t="n"/>
      <c r="M40" s="166">
        <f>I40-K40</f>
        <v/>
      </c>
      <c r="N40" s="7">
        <f>IF(ISERROR(K40/I40),"",K40/I40)</f>
        <v/>
      </c>
      <c r="O40" s="162">
        <f>I40/E40</f>
        <v/>
      </c>
      <c r="P40" s="162">
        <f>K40/E40</f>
        <v/>
      </c>
      <c r="Q40" s="113" t="n">
        <v>5</v>
      </c>
      <c r="R40" s="113" t="n">
        <v>2</v>
      </c>
      <c r="S40" s="113" t="inlineStr">
        <is>
          <t>계</t>
        </is>
      </c>
      <c r="T40" s="8" t="n">
        <v>164</v>
      </c>
      <c r="U40" s="13" t="n"/>
      <c r="W40" s="161">
        <f>D40</f>
        <v/>
      </c>
      <c r="X40" s="163">
        <f>E40</f>
        <v/>
      </c>
      <c r="Y40" s="159">
        <f>H40</f>
        <v/>
      </c>
      <c r="Z40" s="166">
        <f>I40</f>
        <v/>
      </c>
      <c r="AA40" s="166">
        <f>K40</f>
        <v/>
      </c>
      <c r="AB40" s="166">
        <f>M40</f>
        <v/>
      </c>
      <c r="AC40" s="7">
        <f>N40</f>
        <v/>
      </c>
      <c r="AD40" s="162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3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inlineStr">
        <is>
          <t>삼익파크맨숀</t>
        </is>
      </c>
      <c r="B41" s="16" t="inlineStr">
        <is>
          <t>'82.09.</t>
        </is>
      </c>
      <c r="C41" s="164" t="n">
        <v>1092</v>
      </c>
      <c r="D41" s="161" t="n">
        <v>166.9</v>
      </c>
      <c r="E41" s="163" t="n">
        <v>50</v>
      </c>
      <c r="F41" s="161" t="n">
        <v>136.8</v>
      </c>
      <c r="G41" s="27" t="n">
        <v>41</v>
      </c>
      <c r="H41" s="164" t="n">
        <v>12</v>
      </c>
      <c r="I41" s="165" t="n">
        <v>180000</v>
      </c>
      <c r="J41" s="165" t="inlineStr">
        <is>
          <t>8</t>
        </is>
      </c>
      <c r="K41" s="165" t="n"/>
      <c r="L41" s="165" t="n"/>
      <c r="M41" s="166">
        <f>I41-K41</f>
        <v/>
      </c>
      <c r="N41" s="7">
        <f>IF(ISERROR(K41/I41),"",K41/I41)</f>
        <v/>
      </c>
      <c r="O41" s="162">
        <f>I41/E41</f>
        <v/>
      </c>
      <c r="P41" s="162">
        <f>K41/E41</f>
        <v/>
      </c>
      <c r="Q41" s="113" t="n">
        <v>4</v>
      </c>
      <c r="R41" s="113" t="n">
        <v>2</v>
      </c>
      <c r="S41" s="113" t="inlineStr">
        <is>
          <t>계</t>
        </is>
      </c>
      <c r="T41" s="8" t="n">
        <v>166</v>
      </c>
      <c r="U41" s="13" t="n"/>
      <c r="W41" s="161">
        <f>D41</f>
        <v/>
      </c>
      <c r="X41" s="163">
        <f>E41</f>
        <v/>
      </c>
      <c r="Y41" s="159">
        <f>H41</f>
        <v/>
      </c>
      <c r="Z41" s="166">
        <f>I41</f>
        <v/>
      </c>
      <c r="AA41" s="166">
        <f>K41</f>
        <v/>
      </c>
      <c r="AB41" s="166">
        <f>M41</f>
        <v/>
      </c>
      <c r="AC41" s="7">
        <f>N41</f>
        <v/>
      </c>
      <c r="AD41" s="162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3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n"/>
      <c r="B42" s="113" t="n"/>
      <c r="C42" s="10" t="n"/>
      <c r="D42" s="13" t="n"/>
      <c r="E42" s="20" t="n"/>
      <c r="F42" s="161" t="n"/>
      <c r="G42" s="13" t="n"/>
      <c r="H42" s="13" t="n"/>
      <c r="I42" s="13" t="n"/>
      <c r="J42" s="13" t="n"/>
      <c r="K42" s="13" t="n"/>
      <c r="L42" s="13" t="n"/>
      <c r="M42" s="13" t="n"/>
      <c r="N42" s="13" t="n"/>
      <c r="O42" s="162" t="n"/>
      <c r="P42" s="162" t="n"/>
      <c r="Q42" s="163" t="n"/>
      <c r="R42" s="163" t="n"/>
      <c r="S42" s="13" t="n"/>
      <c r="T42" s="70" t="n"/>
      <c r="U42" s="13" t="n"/>
      <c r="W42" s="107">
        <f>$A$4&amp;" "&amp;A43&amp;"("&amp;B43&amp;","&amp;C43&amp;"^)"</f>
        <v/>
      </c>
      <c r="X42" s="108" t="n"/>
      <c r="Y42" s="108" t="n"/>
      <c r="Z42" s="108" t="n"/>
      <c r="AA42" s="108" t="n"/>
      <c r="AB42" s="108" t="n"/>
      <c r="AC42" s="108" t="n"/>
      <c r="AD42" s="108" t="n"/>
      <c r="AE42" s="108" t="n"/>
      <c r="AF42" s="109" t="n"/>
      <c r="AH42" s="36">
        <f>IF(A42="","",A42)</f>
        <v/>
      </c>
      <c r="AI42" s="160">
        <f>IF(E42="","",E42)</f>
        <v/>
      </c>
      <c r="AJ42" s="113" t="n"/>
      <c r="AK42" s="113" t="n"/>
      <c r="AL42" s="113" t="n"/>
      <c r="AM42" s="113" t="n"/>
      <c r="AN42" s="113" t="n"/>
      <c r="AO42" s="113" t="n"/>
      <c r="AP42" s="113" t="n"/>
      <c r="AQ42" s="113" t="n"/>
      <c r="AR42" s="113" t="n"/>
      <c r="AS42" s="113" t="n"/>
      <c r="AT42" s="113" t="n"/>
      <c r="AU42" s="113" t="n"/>
      <c r="AV42" s="113" t="n"/>
    </row>
    <row r="43">
      <c r="A43" s="13" t="inlineStr">
        <is>
          <t>e편한세상강동에코포레</t>
        </is>
      </c>
      <c r="B43" s="16" t="inlineStr">
        <is>
          <t>'20.04.</t>
        </is>
      </c>
      <c r="C43" s="164" t="n">
        <v>366</v>
      </c>
      <c r="D43" s="161" t="n">
        <v>74.90000000000001</v>
      </c>
      <c r="E43" s="163" t="n">
        <v>23</v>
      </c>
      <c r="F43" s="161" t="n">
        <v>51.7</v>
      </c>
      <c r="G43" s="27" t="n">
        <v>16</v>
      </c>
      <c r="H43" s="164" t="n">
        <v>5</v>
      </c>
      <c r="I43" s="165" t="n"/>
      <c r="J43" s="165" t="n"/>
      <c r="K43" s="165" t="n"/>
      <c r="L43" s="165" t="n"/>
      <c r="M43" s="166">
        <f>I43-K43</f>
        <v/>
      </c>
      <c r="N43" s="7">
        <f>IF(ISERROR(K43/I43),"",K43/I43)</f>
        <v/>
      </c>
      <c r="O43" s="162">
        <f>I43/E43</f>
        <v/>
      </c>
      <c r="P43" s="162">
        <f>K43/E43</f>
        <v/>
      </c>
      <c r="Q43" s="113" t="n">
        <v>2</v>
      </c>
      <c r="R43" s="113" t="n">
        <v>1</v>
      </c>
      <c r="S43" s="113" t="inlineStr">
        <is>
          <t>계</t>
        </is>
      </c>
      <c r="T43" s="8" t="n">
        <v>74</v>
      </c>
      <c r="U43" s="13" t="n"/>
      <c r="W43" s="161">
        <f>D43</f>
        <v/>
      </c>
      <c r="X43" s="163">
        <f>E43</f>
        <v/>
      </c>
      <c r="Y43" s="159">
        <f>H43</f>
        <v/>
      </c>
      <c r="Z43" s="166">
        <f>I43</f>
        <v/>
      </c>
      <c r="AA43" s="166">
        <f>K43</f>
        <v/>
      </c>
      <c r="AB43" s="166">
        <f>M43</f>
        <v/>
      </c>
      <c r="AC43" s="7">
        <f>N43</f>
        <v/>
      </c>
      <c r="AD43" s="162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3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inlineStr">
        <is>
          <t>e편한세상강동에코포레</t>
        </is>
      </c>
      <c r="B44" s="16" t="inlineStr">
        <is>
          <t>'20.04.</t>
        </is>
      </c>
      <c r="C44" s="164" t="n">
        <v>366</v>
      </c>
      <c r="D44" s="161" t="n">
        <v>82.7</v>
      </c>
      <c r="E44" s="163" t="n">
        <v>25</v>
      </c>
      <c r="F44" s="161" t="n">
        <v>60</v>
      </c>
      <c r="G44" s="27" t="n">
        <v>18</v>
      </c>
      <c r="H44" s="164" t="n">
        <v>127</v>
      </c>
      <c r="I44" s="165" t="n">
        <v>125000</v>
      </c>
      <c r="J44" s="165" t="inlineStr">
        <is>
          <t>중</t>
        </is>
      </c>
      <c r="K44" s="165" t="n">
        <v>63000</v>
      </c>
      <c r="L44" s="165" t="inlineStr">
        <is>
          <t>중</t>
        </is>
      </c>
      <c r="M44" s="166">
        <f>I44-K44</f>
        <v/>
      </c>
      <c r="N44" s="7">
        <f>IF(ISERROR(K44/I44),"",K44/I44)</f>
        <v/>
      </c>
      <c r="O44" s="162">
        <f>I44/E44</f>
        <v/>
      </c>
      <c r="P44" s="162">
        <f>K44/E44</f>
        <v/>
      </c>
      <c r="Q44" s="113" t="n">
        <v>3</v>
      </c>
      <c r="R44" s="113" t="n">
        <v>2</v>
      </c>
      <c r="S44" s="113" t="inlineStr">
        <is>
          <t>계</t>
        </is>
      </c>
      <c r="T44" s="8" t="inlineStr">
        <is>
          <t>82A</t>
        </is>
      </c>
      <c r="U44" s="13" t="n"/>
      <c r="W44" s="161">
        <f>D44</f>
        <v/>
      </c>
      <c r="X44" s="163">
        <f>E44</f>
        <v/>
      </c>
      <c r="Y44" s="159">
        <f>H44</f>
        <v/>
      </c>
      <c r="Z44" s="166">
        <f>I44</f>
        <v/>
      </c>
      <c r="AA44" s="166">
        <f>K44</f>
        <v/>
      </c>
      <c r="AB44" s="166">
        <f>M44</f>
        <v/>
      </c>
      <c r="AC44" s="7">
        <f>N44</f>
        <v/>
      </c>
      <c r="AD44" s="162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3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inlineStr">
        <is>
          <t>e편한세상강동에코포레</t>
        </is>
      </c>
      <c r="B45" s="16" t="inlineStr">
        <is>
          <t>'20.04.</t>
        </is>
      </c>
      <c r="C45" s="164" t="n">
        <v>366</v>
      </c>
      <c r="D45" s="161" t="n">
        <v>83.40000000000001</v>
      </c>
      <c r="E45" s="163" t="n">
        <v>25</v>
      </c>
      <c r="F45" s="161" t="n">
        <v>60</v>
      </c>
      <c r="G45" s="27" t="n">
        <v>18</v>
      </c>
      <c r="H45" s="164" t="n">
        <v>59</v>
      </c>
      <c r="I45" s="165" t="n">
        <v>125000</v>
      </c>
      <c r="J45" s="165" t="inlineStr">
        <is>
          <t>고</t>
        </is>
      </c>
      <c r="K45" s="165" t="n"/>
      <c r="L45" s="165" t="n"/>
      <c r="M45" s="166">
        <f>I45-K45</f>
        <v/>
      </c>
      <c r="N45" s="7">
        <f>IF(ISERROR(K45/I45),"",K45/I45)</f>
        <v/>
      </c>
      <c r="O45" s="162">
        <f>I45/E45</f>
        <v/>
      </c>
      <c r="P45" s="162">
        <f>K45/E45</f>
        <v/>
      </c>
      <c r="Q45" s="113" t="n">
        <v>3</v>
      </c>
      <c r="R45" s="113" t="n">
        <v>2</v>
      </c>
      <c r="S45" s="113" t="inlineStr">
        <is>
          <t>계</t>
        </is>
      </c>
      <c r="T45" s="8" t="inlineStr">
        <is>
          <t>83B</t>
        </is>
      </c>
      <c r="U45" s="13" t="n"/>
      <c r="W45" s="161">
        <f>D45</f>
        <v/>
      </c>
      <c r="X45" s="163">
        <f>E45</f>
        <v/>
      </c>
      <c r="Y45" s="159">
        <f>H45</f>
        <v/>
      </c>
      <c r="Z45" s="166">
        <f>I45</f>
        <v/>
      </c>
      <c r="AA45" s="166">
        <f>K45</f>
        <v/>
      </c>
      <c r="AB45" s="166">
        <f>M45</f>
        <v/>
      </c>
      <c r="AC45" s="7">
        <f>N45</f>
        <v/>
      </c>
      <c r="AD45" s="162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3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inlineStr">
        <is>
          <t>e편한세상강동에코포레</t>
        </is>
      </c>
      <c r="B46" s="16" t="inlineStr">
        <is>
          <t>'20.04.</t>
        </is>
      </c>
      <c r="C46" s="164" t="n">
        <v>366</v>
      </c>
      <c r="D46" s="161" t="n">
        <v>83.90000000000001</v>
      </c>
      <c r="E46" s="163" t="n">
        <v>25</v>
      </c>
      <c r="F46" s="161" t="n">
        <v>60</v>
      </c>
      <c r="G46" s="27" t="n">
        <v>18</v>
      </c>
      <c r="H46" s="164" t="n">
        <v>21</v>
      </c>
      <c r="I46" s="165" t="n"/>
      <c r="J46" s="165" t="n"/>
      <c r="K46" s="165" t="n"/>
      <c r="L46" s="165" t="n"/>
      <c r="M46" s="166">
        <f>I46-K46</f>
        <v/>
      </c>
      <c r="N46" s="7">
        <f>IF(ISERROR(K46/I46),"",K46/I46)</f>
        <v/>
      </c>
      <c r="O46" s="162">
        <f>I46/E46</f>
        <v/>
      </c>
      <c r="P46" s="162">
        <f>K46/E46</f>
        <v/>
      </c>
      <c r="Q46" s="113" t="n">
        <v>3</v>
      </c>
      <c r="R46" s="113" t="n">
        <v>2</v>
      </c>
      <c r="S46" s="113" t="inlineStr">
        <is>
          <t>계</t>
        </is>
      </c>
      <c r="T46" s="8" t="inlineStr">
        <is>
          <t>83C</t>
        </is>
      </c>
      <c r="U46" s="13" t="n"/>
      <c r="W46" s="161">
        <f>D46</f>
        <v/>
      </c>
      <c r="X46" s="163">
        <f>E46</f>
        <v/>
      </c>
      <c r="Y46" s="159">
        <f>H46</f>
        <v/>
      </c>
      <c r="Z46" s="166">
        <f>I46</f>
        <v/>
      </c>
      <c r="AA46" s="166">
        <f>K46</f>
        <v/>
      </c>
      <c r="AB46" s="166">
        <f>M46</f>
        <v/>
      </c>
      <c r="AC46" s="7">
        <f>N46</f>
        <v/>
      </c>
      <c r="AD46" s="162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3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inlineStr">
        <is>
          <t>e편한세상강동에코포레</t>
        </is>
      </c>
      <c r="B47" s="16" t="inlineStr">
        <is>
          <t>'20.04.</t>
        </is>
      </c>
      <c r="C47" s="164" t="n">
        <v>366</v>
      </c>
      <c r="D47" s="161" t="n">
        <v>108.7</v>
      </c>
      <c r="E47" s="163" t="n">
        <v>33</v>
      </c>
      <c r="F47" s="161" t="n">
        <v>85</v>
      </c>
      <c r="G47" s="27" t="n">
        <v>26</v>
      </c>
      <c r="H47" s="164" t="n">
        <v>40</v>
      </c>
      <c r="I47" s="165" t="n">
        <v>160000</v>
      </c>
      <c r="J47" s="165" t="inlineStr">
        <is>
          <t>15</t>
        </is>
      </c>
      <c r="K47" s="165" t="n">
        <v>78000</v>
      </c>
      <c r="L47" s="165" t="inlineStr">
        <is>
          <t>고</t>
        </is>
      </c>
      <c r="M47" s="166">
        <f>I47-K47</f>
        <v/>
      </c>
      <c r="N47" s="7">
        <f>IF(ISERROR(K47/I47),"",K47/I47)</f>
        <v/>
      </c>
      <c r="O47" s="162">
        <f>I47/E47</f>
        <v/>
      </c>
      <c r="P47" s="162">
        <f>K47/E47</f>
        <v/>
      </c>
      <c r="Q47" s="113" t="n">
        <v>3</v>
      </c>
      <c r="R47" s="113" t="n">
        <v>2</v>
      </c>
      <c r="S47" s="113" t="inlineStr">
        <is>
          <t>계</t>
        </is>
      </c>
      <c r="T47" s="8" t="inlineStr">
        <is>
          <t>108A</t>
        </is>
      </c>
      <c r="U47" s="13" t="n"/>
      <c r="W47" s="161">
        <f>D47</f>
        <v/>
      </c>
      <c r="X47" s="163">
        <f>E47</f>
        <v/>
      </c>
      <c r="Y47" s="159">
        <f>H47</f>
        <v/>
      </c>
      <c r="Z47" s="166">
        <f>I47</f>
        <v/>
      </c>
      <c r="AA47" s="166">
        <f>K47</f>
        <v/>
      </c>
      <c r="AB47" s="166">
        <f>M47</f>
        <v/>
      </c>
      <c r="AC47" s="7">
        <f>N47</f>
        <v/>
      </c>
      <c r="AD47" s="162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3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inlineStr">
        <is>
          <t>e편한세상강동에코포레</t>
        </is>
      </c>
      <c r="B48" s="16" t="inlineStr">
        <is>
          <t>'20.04.</t>
        </is>
      </c>
      <c r="C48" s="164" t="n">
        <v>366</v>
      </c>
      <c r="D48" s="161" t="n">
        <v>110.5</v>
      </c>
      <c r="E48" s="163" t="n">
        <v>33</v>
      </c>
      <c r="F48" s="161" t="n">
        <v>85</v>
      </c>
      <c r="G48" s="27" t="n">
        <v>26</v>
      </c>
      <c r="H48" s="164" t="n">
        <v>76</v>
      </c>
      <c r="I48" s="165" t="n">
        <v>155000</v>
      </c>
      <c r="J48" s="165" t="inlineStr">
        <is>
          <t>17</t>
        </is>
      </c>
      <c r="K48" s="165" t="n"/>
      <c r="L48" s="165" t="n"/>
      <c r="M48" s="166">
        <f>I48-K48</f>
        <v/>
      </c>
      <c r="N48" s="7">
        <f>IF(ISERROR(K48/I48),"",K48/I48)</f>
        <v/>
      </c>
      <c r="O48" s="162">
        <f>I48/E48</f>
        <v/>
      </c>
      <c r="P48" s="162">
        <f>K48/E48</f>
        <v/>
      </c>
      <c r="Q48" s="113" t="n">
        <v>3</v>
      </c>
      <c r="R48" s="113" t="n">
        <v>2</v>
      </c>
      <c r="S48" s="113" t="inlineStr">
        <is>
          <t>계</t>
        </is>
      </c>
      <c r="T48" s="8" t="inlineStr">
        <is>
          <t>110B</t>
        </is>
      </c>
      <c r="U48" s="13" t="n"/>
      <c r="W48" s="161">
        <f>D48</f>
        <v/>
      </c>
      <c r="X48" s="163">
        <f>E48</f>
        <v/>
      </c>
      <c r="Y48" s="159">
        <f>H48</f>
        <v/>
      </c>
      <c r="Z48" s="166">
        <f>I48</f>
        <v/>
      </c>
      <c r="AA48" s="166">
        <f>K48</f>
        <v/>
      </c>
      <c r="AB48" s="166">
        <f>M48</f>
        <v/>
      </c>
      <c r="AC48" s="7">
        <f>N48</f>
        <v/>
      </c>
      <c r="AD48" s="162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3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  <row r="49">
      <c r="A49" s="13" t="n"/>
      <c r="B49" s="113" t="n"/>
      <c r="C49" s="10" t="n"/>
      <c r="D49" s="13" t="n"/>
      <c r="E49" s="20" t="n"/>
      <c r="F49" s="161" t="n"/>
      <c r="G49" s="13" t="n"/>
      <c r="H49" s="13" t="n"/>
      <c r="I49" s="13" t="n"/>
      <c r="J49" s="13" t="n"/>
      <c r="K49" s="13" t="n"/>
      <c r="L49" s="13" t="n"/>
      <c r="M49" s="13" t="n"/>
      <c r="N49" s="13" t="n"/>
      <c r="O49" s="162" t="n"/>
      <c r="P49" s="162" t="n"/>
      <c r="Q49" s="163" t="n"/>
      <c r="R49" s="163" t="n"/>
      <c r="S49" s="13" t="n"/>
      <c r="T49" s="70" t="n"/>
      <c r="U49" s="13" t="n"/>
      <c r="W49" s="107">
        <f>$A$4&amp;" "&amp;A50&amp;"("&amp;B50&amp;","&amp;C50&amp;"^)"</f>
        <v/>
      </c>
      <c r="X49" s="108" t="n"/>
      <c r="Y49" s="108" t="n"/>
      <c r="Z49" s="108" t="n"/>
      <c r="AA49" s="108" t="n"/>
      <c r="AB49" s="108" t="n"/>
      <c r="AC49" s="108" t="n"/>
      <c r="AD49" s="108" t="n"/>
      <c r="AE49" s="108" t="n"/>
      <c r="AF49" s="109" t="n"/>
      <c r="AH49" s="36">
        <f>IF(A49="","",A49)</f>
        <v/>
      </c>
      <c r="AI49" s="160">
        <f>IF(E49="","",E49)</f>
        <v/>
      </c>
      <c r="AJ49" s="113" t="n"/>
      <c r="AK49" s="113" t="n"/>
      <c r="AL49" s="113" t="n"/>
      <c r="AM49" s="113" t="n"/>
      <c r="AN49" s="113" t="n"/>
      <c r="AO49" s="113" t="n"/>
      <c r="AP49" s="113" t="n"/>
      <c r="AQ49" s="113" t="n"/>
      <c r="AR49" s="113" t="n"/>
      <c r="AS49" s="113" t="n"/>
      <c r="AT49" s="113" t="n"/>
      <c r="AU49" s="113" t="n"/>
      <c r="AV49" s="113" t="n"/>
    </row>
    <row r="50">
      <c r="A50" s="13" t="inlineStr">
        <is>
          <t>현대</t>
        </is>
      </c>
      <c r="B50" s="16" t="inlineStr">
        <is>
          <t>'96.08.</t>
        </is>
      </c>
      <c r="C50" s="164" t="n">
        <v>264</v>
      </c>
      <c r="D50" s="161" t="n">
        <v>81.90000000000001</v>
      </c>
      <c r="E50" s="163" t="n">
        <v>25</v>
      </c>
      <c r="F50" s="161" t="n">
        <v>59.9</v>
      </c>
      <c r="G50" s="27" t="n">
        <v>18</v>
      </c>
      <c r="H50" s="164" t="n">
        <v>28</v>
      </c>
      <c r="I50" s="165" t="n"/>
      <c r="J50" s="165" t="n"/>
      <c r="K50" s="165" t="n"/>
      <c r="L50" s="165" t="n"/>
      <c r="M50" s="166">
        <f>I50-K50</f>
        <v/>
      </c>
      <c r="N50" s="7">
        <f>IF(ISERROR(K50/I50),"",K50/I50)</f>
        <v/>
      </c>
      <c r="O50" s="162">
        <f>I50/E50</f>
        <v/>
      </c>
      <c r="P50" s="162">
        <f>K50/E50</f>
        <v/>
      </c>
      <c r="Q50" s="113" t="n">
        <v>3</v>
      </c>
      <c r="R50" s="113" t="n">
        <v>1</v>
      </c>
      <c r="S50" s="113" t="inlineStr">
        <is>
          <t>계</t>
        </is>
      </c>
      <c r="T50" s="8" t="inlineStr">
        <is>
          <t>81C</t>
        </is>
      </c>
      <c r="U50" s="13" t="n"/>
      <c r="W50" s="161">
        <f>D50</f>
        <v/>
      </c>
      <c r="X50" s="163">
        <f>E50</f>
        <v/>
      </c>
      <c r="Y50" s="159">
        <f>H50</f>
        <v/>
      </c>
      <c r="Z50" s="166">
        <f>I50</f>
        <v/>
      </c>
      <c r="AA50" s="166">
        <f>K50</f>
        <v/>
      </c>
      <c r="AB50" s="166">
        <f>M50</f>
        <v/>
      </c>
      <c r="AC50" s="7">
        <f>N50</f>
        <v/>
      </c>
      <c r="AD50" s="162">
        <f>O50</f>
        <v/>
      </c>
      <c r="AE50" s="113">
        <f>S50</f>
        <v/>
      </c>
      <c r="AF50" s="113">
        <f>Q50&amp;"/"&amp;R50</f>
        <v/>
      </c>
      <c r="AH50" s="36">
        <f>IF(A50="","",A50)</f>
        <v/>
      </c>
      <c r="AI50" s="163">
        <f>IF(E50="","",E50)</f>
        <v/>
      </c>
      <c r="AJ50" s="113">
        <f>IF(AI50="","",$AJ$2)</f>
        <v/>
      </c>
      <c r="AK50" s="113" t="inlineStr">
        <is>
          <t>A</t>
        </is>
      </c>
      <c r="AL50" s="113" t="inlineStr">
        <is>
          <t>A+</t>
        </is>
      </c>
      <c r="AM50" s="113" t="inlineStr">
        <is>
          <t>B+</t>
        </is>
      </c>
      <c r="AN50" s="113">
        <f>IF(AI50="","",$AN$2)</f>
        <v/>
      </c>
      <c r="AO50" s="113">
        <f>IF(N50="","",IF(N50&gt;=$AO$1/100,"O","X"))</f>
        <v/>
      </c>
      <c r="AP50" s="113">
        <f>IF(I50="","",IF(I50&lt;=$AP$1,"O","X"))</f>
        <v/>
      </c>
      <c r="AQ50" s="113">
        <f>IF(O50="","",IF(O50&lt;=$AQ$1,"O","X"))</f>
        <v/>
      </c>
      <c r="AR50" s="113">
        <f>IF(M50="","",IF(M50&lt;=$AR$1,"O","X"))</f>
        <v/>
      </c>
      <c r="AS50" s="113" t="inlineStr">
        <is>
          <t>X</t>
        </is>
      </c>
      <c r="AT50" s="113">
        <f>IF(OR(F50="",AI50=""),"",IF(AND((F50&lt;=85),(AI50&gt;=15)),"O","X"))</f>
        <v/>
      </c>
      <c r="AU50" s="113">
        <f>IF(C50="","",IF(C50&gt;=$AU$1,"O","X"))</f>
        <v/>
      </c>
      <c r="AV50" s="113">
        <f>IF(AO50="","",IF(AND(AO50="O",AP50="O",AR50="O",AT50="O",AU50="O"),"후보","X"))</f>
        <v/>
      </c>
    </row>
    <row r="51">
      <c r="A51" s="13" t="inlineStr">
        <is>
          <t>현대</t>
        </is>
      </c>
      <c r="B51" s="16" t="inlineStr">
        <is>
          <t>'96.08.</t>
        </is>
      </c>
      <c r="C51" s="164" t="n">
        <v>264</v>
      </c>
      <c r="D51" s="161" t="n">
        <v>81.8</v>
      </c>
      <c r="E51" s="163" t="n">
        <v>25</v>
      </c>
      <c r="F51" s="161" t="n">
        <v>59.8</v>
      </c>
      <c r="G51" s="27" t="n">
        <v>18</v>
      </c>
      <c r="H51" s="164" t="n">
        <v>18</v>
      </c>
      <c r="I51" s="165" t="n"/>
      <c r="J51" s="165" t="n"/>
      <c r="K51" s="165" t="n"/>
      <c r="L51" s="165" t="n"/>
      <c r="M51" s="166">
        <f>I51-K51</f>
        <v/>
      </c>
      <c r="N51" s="7">
        <f>IF(ISERROR(K51/I51),"",K51/I51)</f>
        <v/>
      </c>
      <c r="O51" s="162">
        <f>I51/E51</f>
        <v/>
      </c>
      <c r="P51" s="162">
        <f>K51/E51</f>
        <v/>
      </c>
      <c r="Q51" s="113" t="n">
        <v>3</v>
      </c>
      <c r="R51" s="113" t="n">
        <v>1</v>
      </c>
      <c r="S51" s="113" t="inlineStr">
        <is>
          <t>계</t>
        </is>
      </c>
      <c r="T51" s="8" t="inlineStr">
        <is>
          <t>81A</t>
        </is>
      </c>
      <c r="U51" s="13" t="n"/>
      <c r="W51" s="161">
        <f>D51</f>
        <v/>
      </c>
      <c r="X51" s="163">
        <f>E51</f>
        <v/>
      </c>
      <c r="Y51" s="159">
        <f>H51</f>
        <v/>
      </c>
      <c r="Z51" s="166">
        <f>I51</f>
        <v/>
      </c>
      <c r="AA51" s="166">
        <f>K51</f>
        <v/>
      </c>
      <c r="AB51" s="166">
        <f>M51</f>
        <v/>
      </c>
      <c r="AC51" s="7">
        <f>N51</f>
        <v/>
      </c>
      <c r="AD51" s="162">
        <f>O51</f>
        <v/>
      </c>
      <c r="AE51" s="113">
        <f>S51</f>
        <v/>
      </c>
      <c r="AF51" s="113">
        <f>Q51&amp;"/"&amp;R51</f>
        <v/>
      </c>
      <c r="AH51" s="36">
        <f>IF(A51="","",A51)</f>
        <v/>
      </c>
      <c r="AI51" s="163">
        <f>IF(E51="","",E51)</f>
        <v/>
      </c>
      <c r="AJ51" s="113">
        <f>IF(AI51="","",$AJ$2)</f>
        <v/>
      </c>
      <c r="AK51" s="113" t="inlineStr">
        <is>
          <t>A</t>
        </is>
      </c>
      <c r="AL51" s="113" t="inlineStr">
        <is>
          <t>A+</t>
        </is>
      </c>
      <c r="AM51" s="113" t="inlineStr">
        <is>
          <t>B+</t>
        </is>
      </c>
      <c r="AN51" s="113">
        <f>IF(AI51="","",$AN$2)</f>
        <v/>
      </c>
      <c r="AO51" s="113">
        <f>IF(N51="","",IF(N51&gt;=$AO$1/100,"O","X"))</f>
        <v/>
      </c>
      <c r="AP51" s="113">
        <f>IF(I51="","",IF(I51&lt;=$AP$1,"O","X"))</f>
        <v/>
      </c>
      <c r="AQ51" s="113">
        <f>IF(O51="","",IF(O51&lt;=$AQ$1,"O","X"))</f>
        <v/>
      </c>
      <c r="AR51" s="113">
        <f>IF(M51="","",IF(M51&lt;=$AR$1,"O","X"))</f>
        <v/>
      </c>
      <c r="AS51" s="113" t="inlineStr">
        <is>
          <t>X</t>
        </is>
      </c>
      <c r="AT51" s="113">
        <f>IF(OR(F51="",AI51=""),"",IF(AND((F51&lt;=85),(AI51&gt;=15)),"O","X"))</f>
        <v/>
      </c>
      <c r="AU51" s="113">
        <f>IF(C51="","",IF(C51&gt;=$AU$1,"O","X"))</f>
        <v/>
      </c>
      <c r="AV51" s="113">
        <f>IF(AO51="","",IF(AND(AO51="O",AP51="O",AR51="O",AT51="O",AU51="O"),"후보","X"))</f>
        <v/>
      </c>
    </row>
    <row r="52">
      <c r="A52" s="13" t="inlineStr">
        <is>
          <t>현대</t>
        </is>
      </c>
      <c r="B52" s="16" t="inlineStr">
        <is>
          <t>'96.08.</t>
        </is>
      </c>
      <c r="C52" s="164" t="n">
        <v>264</v>
      </c>
      <c r="D52" s="161" t="n">
        <v>81.90000000000001</v>
      </c>
      <c r="E52" s="163" t="n">
        <v>25</v>
      </c>
      <c r="F52" s="161" t="n">
        <v>59.9</v>
      </c>
      <c r="G52" s="27" t="n">
        <v>18</v>
      </c>
      <c r="H52" s="164" t="n">
        <v>18</v>
      </c>
      <c r="I52" s="165" t="n"/>
      <c r="J52" s="165" t="n"/>
      <c r="K52" s="165" t="n"/>
      <c r="L52" s="165" t="n"/>
      <c r="M52" s="166">
        <f>I52-K52</f>
        <v/>
      </c>
      <c r="N52" s="7">
        <f>IF(ISERROR(K52/I52),"",K52/I52)</f>
        <v/>
      </c>
      <c r="O52" s="162">
        <f>I52/E52</f>
        <v/>
      </c>
      <c r="P52" s="162">
        <f>K52/E52</f>
        <v/>
      </c>
      <c r="Q52" s="113" t="n">
        <v>3</v>
      </c>
      <c r="R52" s="113" t="n">
        <v>1</v>
      </c>
      <c r="S52" s="113" t="inlineStr">
        <is>
          <t>계</t>
        </is>
      </c>
      <c r="T52" s="8" t="inlineStr">
        <is>
          <t>81B</t>
        </is>
      </c>
      <c r="U52" s="13" t="n"/>
      <c r="W52" s="161">
        <f>D52</f>
        <v/>
      </c>
      <c r="X52" s="163">
        <f>E52</f>
        <v/>
      </c>
      <c r="Y52" s="159">
        <f>H52</f>
        <v/>
      </c>
      <c r="Z52" s="166">
        <f>I52</f>
        <v/>
      </c>
      <c r="AA52" s="166">
        <f>K52</f>
        <v/>
      </c>
      <c r="AB52" s="166">
        <f>M52</f>
        <v/>
      </c>
      <c r="AC52" s="7">
        <f>N52</f>
        <v/>
      </c>
      <c r="AD52" s="162">
        <f>O52</f>
        <v/>
      </c>
      <c r="AE52" s="113">
        <f>S52</f>
        <v/>
      </c>
      <c r="AF52" s="113">
        <f>Q52&amp;"/"&amp;R52</f>
        <v/>
      </c>
      <c r="AH52" s="36">
        <f>IF(A52="","",A52)</f>
        <v/>
      </c>
      <c r="AI52" s="163">
        <f>IF(E52="","",E52)</f>
        <v/>
      </c>
      <c r="AJ52" s="113">
        <f>IF(AI52="","",$AJ$2)</f>
        <v/>
      </c>
      <c r="AK52" s="113" t="inlineStr">
        <is>
          <t>A</t>
        </is>
      </c>
      <c r="AL52" s="113" t="inlineStr">
        <is>
          <t>A+</t>
        </is>
      </c>
      <c r="AM52" s="113" t="inlineStr">
        <is>
          <t>B+</t>
        </is>
      </c>
      <c r="AN52" s="113">
        <f>IF(AI52="","",$AN$2)</f>
        <v/>
      </c>
      <c r="AO52" s="113">
        <f>IF(N52="","",IF(N52&gt;=$AO$1/100,"O","X"))</f>
        <v/>
      </c>
      <c r="AP52" s="113">
        <f>IF(I52="","",IF(I52&lt;=$AP$1,"O","X"))</f>
        <v/>
      </c>
      <c r="AQ52" s="113">
        <f>IF(O52="","",IF(O52&lt;=$AQ$1,"O","X"))</f>
        <v/>
      </c>
      <c r="AR52" s="113">
        <f>IF(M52="","",IF(M52&lt;=$AR$1,"O","X"))</f>
        <v/>
      </c>
      <c r="AS52" s="113" t="inlineStr">
        <is>
          <t>X</t>
        </is>
      </c>
      <c r="AT52" s="113">
        <f>IF(OR(F52="",AI52=""),"",IF(AND((F52&lt;=85),(AI52&gt;=15)),"O","X"))</f>
        <v/>
      </c>
      <c r="AU52" s="113">
        <f>IF(C52="","",IF(C52&gt;=$AU$1,"O","X"))</f>
        <v/>
      </c>
      <c r="AV52" s="113">
        <f>IF(AO52="","",IF(AND(AO52="O",AP52="O",AR52="O",AT52="O",AU52="O"),"후보","X"))</f>
        <v/>
      </c>
    </row>
    <row r="53">
      <c r="A53" s="13" t="inlineStr">
        <is>
          <t>현대</t>
        </is>
      </c>
      <c r="B53" s="16" t="inlineStr">
        <is>
          <t>'96.08.</t>
        </is>
      </c>
      <c r="C53" s="164" t="n">
        <v>264</v>
      </c>
      <c r="D53" s="161" t="n">
        <v>82</v>
      </c>
      <c r="E53" s="163" t="n">
        <v>25</v>
      </c>
      <c r="F53" s="161" t="n">
        <v>59.9</v>
      </c>
      <c r="G53" s="27" t="n">
        <v>18</v>
      </c>
      <c r="H53" s="164" t="n">
        <v>18</v>
      </c>
      <c r="I53" s="165" t="n"/>
      <c r="J53" s="165" t="n"/>
      <c r="K53" s="165" t="n"/>
      <c r="L53" s="165" t="n"/>
      <c r="M53" s="166">
        <f>I53-K53</f>
        <v/>
      </c>
      <c r="N53" s="7">
        <f>IF(ISERROR(K53/I53),"",K53/I53)</f>
        <v/>
      </c>
      <c r="O53" s="162">
        <f>I53/E53</f>
        <v/>
      </c>
      <c r="P53" s="162">
        <f>K53/E53</f>
        <v/>
      </c>
      <c r="Q53" s="113" t="n">
        <v>3</v>
      </c>
      <c r="R53" s="113" t="n">
        <v>1</v>
      </c>
      <c r="S53" s="113" t="inlineStr">
        <is>
          <t>계</t>
        </is>
      </c>
      <c r="T53" s="8" t="inlineStr">
        <is>
          <t>82D</t>
        </is>
      </c>
      <c r="U53" s="13" t="n"/>
      <c r="W53" s="161">
        <f>D53</f>
        <v/>
      </c>
      <c r="X53" s="163">
        <f>E53</f>
        <v/>
      </c>
      <c r="Y53" s="159">
        <f>H53</f>
        <v/>
      </c>
      <c r="Z53" s="166">
        <f>I53</f>
        <v/>
      </c>
      <c r="AA53" s="166">
        <f>K53</f>
        <v/>
      </c>
      <c r="AB53" s="166">
        <f>M53</f>
        <v/>
      </c>
      <c r="AC53" s="7">
        <f>N53</f>
        <v/>
      </c>
      <c r="AD53" s="162">
        <f>O53</f>
        <v/>
      </c>
      <c r="AE53" s="113">
        <f>S53</f>
        <v/>
      </c>
      <c r="AF53" s="113">
        <f>Q53&amp;"/"&amp;R53</f>
        <v/>
      </c>
      <c r="AH53" s="36">
        <f>IF(A53="","",A53)</f>
        <v/>
      </c>
      <c r="AI53" s="163">
        <f>IF(E53="","",E53)</f>
        <v/>
      </c>
      <c r="AJ53" s="113">
        <f>IF(AI53="","",$AJ$2)</f>
        <v/>
      </c>
      <c r="AK53" s="113" t="inlineStr">
        <is>
          <t>A</t>
        </is>
      </c>
      <c r="AL53" s="113" t="inlineStr">
        <is>
          <t>A+</t>
        </is>
      </c>
      <c r="AM53" s="113" t="inlineStr">
        <is>
          <t>B+</t>
        </is>
      </c>
      <c r="AN53" s="113">
        <f>IF(AI53="","",$AN$2)</f>
        <v/>
      </c>
      <c r="AO53" s="113">
        <f>IF(N53="","",IF(N53&gt;=$AO$1/100,"O","X"))</f>
        <v/>
      </c>
      <c r="AP53" s="113">
        <f>IF(I53="","",IF(I53&lt;=$AP$1,"O","X"))</f>
        <v/>
      </c>
      <c r="AQ53" s="113">
        <f>IF(O53="","",IF(O53&lt;=$AQ$1,"O","X"))</f>
        <v/>
      </c>
      <c r="AR53" s="113">
        <f>IF(M53="","",IF(M53&lt;=$AR$1,"O","X"))</f>
        <v/>
      </c>
      <c r="AS53" s="113" t="inlineStr">
        <is>
          <t>X</t>
        </is>
      </c>
      <c r="AT53" s="113">
        <f>IF(OR(F53="",AI53=""),"",IF(AND((F53&lt;=85),(AI53&gt;=15)),"O","X"))</f>
        <v/>
      </c>
      <c r="AU53" s="113">
        <f>IF(C53="","",IF(C53&gt;=$AU$1,"O","X"))</f>
        <v/>
      </c>
      <c r="AV53" s="113">
        <f>IF(AO53="","",IF(AND(AO53="O",AP53="O",AR53="O",AT53="O",AU53="O"),"후보","X"))</f>
        <v/>
      </c>
    </row>
    <row r="54">
      <c r="A54" s="13" t="inlineStr">
        <is>
          <t>현대</t>
        </is>
      </c>
      <c r="B54" s="16" t="inlineStr">
        <is>
          <t>'96.08.</t>
        </is>
      </c>
      <c r="C54" s="164" t="n">
        <v>264</v>
      </c>
      <c r="D54" s="161" t="n">
        <v>82.09999999999999</v>
      </c>
      <c r="E54" s="163" t="n">
        <v>25</v>
      </c>
      <c r="F54" s="161" t="n">
        <v>60</v>
      </c>
      <c r="G54" s="27" t="n">
        <v>18</v>
      </c>
      <c r="H54" s="164" t="n">
        <v>18</v>
      </c>
      <c r="I54" s="165" t="n"/>
      <c r="J54" s="165" t="n"/>
      <c r="K54" s="165" t="n"/>
      <c r="L54" s="165" t="n"/>
      <c r="M54" s="166">
        <f>I54-K54</f>
        <v/>
      </c>
      <c r="N54" s="7">
        <f>IF(ISERROR(K54/I54),"",K54/I54)</f>
        <v/>
      </c>
      <c r="O54" s="162">
        <f>I54/E54</f>
        <v/>
      </c>
      <c r="P54" s="162">
        <f>K54/E54</f>
        <v/>
      </c>
      <c r="Q54" s="113" t="n">
        <v>3</v>
      </c>
      <c r="R54" s="113" t="n">
        <v>1</v>
      </c>
      <c r="S54" s="113" t="inlineStr">
        <is>
          <t>계</t>
        </is>
      </c>
      <c r="T54" s="8" t="inlineStr">
        <is>
          <t>82E</t>
        </is>
      </c>
      <c r="U54" s="13" t="n"/>
      <c r="W54" s="161">
        <f>D54</f>
        <v/>
      </c>
      <c r="X54" s="163">
        <f>E54</f>
        <v/>
      </c>
      <c r="Y54" s="159">
        <f>H54</f>
        <v/>
      </c>
      <c r="Z54" s="166">
        <f>I54</f>
        <v/>
      </c>
      <c r="AA54" s="166">
        <f>K54</f>
        <v/>
      </c>
      <c r="AB54" s="166">
        <f>M54</f>
        <v/>
      </c>
      <c r="AC54" s="7">
        <f>N54</f>
        <v/>
      </c>
      <c r="AD54" s="162">
        <f>O54</f>
        <v/>
      </c>
      <c r="AE54" s="113">
        <f>S54</f>
        <v/>
      </c>
      <c r="AF54" s="113">
        <f>Q54&amp;"/"&amp;R54</f>
        <v/>
      </c>
      <c r="AH54" s="36">
        <f>IF(A54="","",A54)</f>
        <v/>
      </c>
      <c r="AI54" s="163">
        <f>IF(E54="","",E54)</f>
        <v/>
      </c>
      <c r="AJ54" s="113">
        <f>IF(AI54="","",$AJ$2)</f>
        <v/>
      </c>
      <c r="AK54" s="113" t="inlineStr">
        <is>
          <t>A</t>
        </is>
      </c>
      <c r="AL54" s="113" t="inlineStr">
        <is>
          <t>A+</t>
        </is>
      </c>
      <c r="AM54" s="113" t="inlineStr">
        <is>
          <t>B+</t>
        </is>
      </c>
      <c r="AN54" s="113">
        <f>IF(AI54="","",$AN$2)</f>
        <v/>
      </c>
      <c r="AO54" s="113">
        <f>IF(N54="","",IF(N54&gt;=$AO$1/100,"O","X"))</f>
        <v/>
      </c>
      <c r="AP54" s="113">
        <f>IF(I54="","",IF(I54&lt;=$AP$1,"O","X"))</f>
        <v/>
      </c>
      <c r="AQ54" s="113">
        <f>IF(O54="","",IF(O54&lt;=$AQ$1,"O","X"))</f>
        <v/>
      </c>
      <c r="AR54" s="113">
        <f>IF(M54="","",IF(M54&lt;=$AR$1,"O","X"))</f>
        <v/>
      </c>
      <c r="AS54" s="113" t="inlineStr">
        <is>
          <t>X</t>
        </is>
      </c>
      <c r="AT54" s="113">
        <f>IF(OR(F54="",AI54=""),"",IF(AND((F54&lt;=85),(AI54&gt;=15)),"O","X"))</f>
        <v/>
      </c>
      <c r="AU54" s="113">
        <f>IF(C54="","",IF(C54&gt;=$AU$1,"O","X"))</f>
        <v/>
      </c>
      <c r="AV54" s="113">
        <f>IF(AO54="","",IF(AND(AO54="O",AP54="O",AR54="O",AT54="O",AU54="O"),"후보","X"))</f>
        <v/>
      </c>
    </row>
    <row r="55">
      <c r="A55" s="13" t="inlineStr">
        <is>
          <t>현대</t>
        </is>
      </c>
      <c r="B55" s="16" t="inlineStr">
        <is>
          <t>'96.08.</t>
        </is>
      </c>
      <c r="C55" s="164" t="n">
        <v>264</v>
      </c>
      <c r="D55" s="161" t="n">
        <v>107.4</v>
      </c>
      <c r="E55" s="163" t="n">
        <v>32</v>
      </c>
      <c r="F55" s="161" t="n">
        <v>84.90000000000001</v>
      </c>
      <c r="G55" s="27" t="n">
        <v>26</v>
      </c>
      <c r="H55" s="164" t="n">
        <v>126</v>
      </c>
      <c r="I55" s="165" t="n"/>
      <c r="J55" s="165" t="n"/>
      <c r="K55" s="165" t="n"/>
      <c r="L55" s="165" t="n"/>
      <c r="M55" s="166">
        <f>I55-K55</f>
        <v/>
      </c>
      <c r="N55" s="7">
        <f>IF(ISERROR(K55/I55),"",K55/I55)</f>
        <v/>
      </c>
      <c r="O55" s="162">
        <f>I55/E55</f>
        <v/>
      </c>
      <c r="P55" s="162">
        <f>K55/E55</f>
        <v/>
      </c>
      <c r="Q55" s="113" t="n">
        <v>3</v>
      </c>
      <c r="R55" s="113" t="n">
        <v>2</v>
      </c>
      <c r="S55" s="113" t="inlineStr">
        <is>
          <t>계</t>
        </is>
      </c>
      <c r="T55" s="8" t="inlineStr">
        <is>
          <t>107B</t>
        </is>
      </c>
      <c r="U55" s="13" t="n"/>
      <c r="W55" s="161">
        <f>D55</f>
        <v/>
      </c>
      <c r="X55" s="163">
        <f>E55</f>
        <v/>
      </c>
      <c r="Y55" s="159">
        <f>H55</f>
        <v/>
      </c>
      <c r="Z55" s="166">
        <f>I55</f>
        <v/>
      </c>
      <c r="AA55" s="166">
        <f>K55</f>
        <v/>
      </c>
      <c r="AB55" s="166">
        <f>M55</f>
        <v/>
      </c>
      <c r="AC55" s="7">
        <f>N55</f>
        <v/>
      </c>
      <c r="AD55" s="162">
        <f>O55</f>
        <v/>
      </c>
      <c r="AE55" s="113">
        <f>S55</f>
        <v/>
      </c>
      <c r="AF55" s="113">
        <f>Q55&amp;"/"&amp;R55</f>
        <v/>
      </c>
      <c r="AH55" s="36">
        <f>IF(A55="","",A55)</f>
        <v/>
      </c>
      <c r="AI55" s="163">
        <f>IF(E55="","",E55)</f>
        <v/>
      </c>
      <c r="AJ55" s="113">
        <f>IF(AI55="","",$AJ$2)</f>
        <v/>
      </c>
      <c r="AK55" s="113" t="inlineStr">
        <is>
          <t>A</t>
        </is>
      </c>
      <c r="AL55" s="113" t="inlineStr">
        <is>
          <t>A+</t>
        </is>
      </c>
      <c r="AM55" s="113" t="inlineStr">
        <is>
          <t>B+</t>
        </is>
      </c>
      <c r="AN55" s="113">
        <f>IF(AI55="","",$AN$2)</f>
        <v/>
      </c>
      <c r="AO55" s="113">
        <f>IF(N55="","",IF(N55&gt;=$AO$1/100,"O","X"))</f>
        <v/>
      </c>
      <c r="AP55" s="113">
        <f>IF(I55="","",IF(I55&lt;=$AP$1,"O","X"))</f>
        <v/>
      </c>
      <c r="AQ55" s="113">
        <f>IF(O55="","",IF(O55&lt;=$AQ$1,"O","X"))</f>
        <v/>
      </c>
      <c r="AR55" s="113">
        <f>IF(M55="","",IF(M55&lt;=$AR$1,"O","X"))</f>
        <v/>
      </c>
      <c r="AS55" s="113" t="inlineStr">
        <is>
          <t>X</t>
        </is>
      </c>
      <c r="AT55" s="113">
        <f>IF(OR(F55="",AI55=""),"",IF(AND((F55&lt;=85),(AI55&gt;=15)),"O","X"))</f>
        <v/>
      </c>
      <c r="AU55" s="113">
        <f>IF(C55="","",IF(C55&gt;=$AU$1,"O","X"))</f>
        <v/>
      </c>
      <c r="AV55" s="113">
        <f>IF(AO55="","",IF(AND(AO55="O",AP55="O",AR55="O",AT55="O",AU55="O"),"후보","X"))</f>
        <v/>
      </c>
    </row>
    <row r="56">
      <c r="A56" s="13" t="inlineStr">
        <is>
          <t>현대</t>
        </is>
      </c>
      <c r="B56" s="16" t="inlineStr">
        <is>
          <t>'96.08.</t>
        </is>
      </c>
      <c r="C56" s="164" t="n">
        <v>264</v>
      </c>
      <c r="D56" s="161" t="n">
        <v>107.1</v>
      </c>
      <c r="E56" s="163" t="n">
        <v>32</v>
      </c>
      <c r="F56" s="161" t="n">
        <v>84.59999999999999</v>
      </c>
      <c r="G56" s="27" t="n">
        <v>26</v>
      </c>
      <c r="H56" s="164" t="n">
        <v>20</v>
      </c>
      <c r="I56" s="165" t="n"/>
      <c r="J56" s="165" t="n"/>
      <c r="K56" s="165" t="n"/>
      <c r="L56" s="165" t="n"/>
      <c r="M56" s="166">
        <f>I56-K56</f>
        <v/>
      </c>
      <c r="N56" s="7">
        <f>IF(ISERROR(K56/I56),"",K56/I56)</f>
        <v/>
      </c>
      <c r="O56" s="162">
        <f>I56/E56</f>
        <v/>
      </c>
      <c r="P56" s="162">
        <f>K56/E56</f>
        <v/>
      </c>
      <c r="Q56" s="113" t="n">
        <v>3</v>
      </c>
      <c r="R56" s="113" t="n">
        <v>2</v>
      </c>
      <c r="S56" s="113" t="inlineStr">
        <is>
          <t>계</t>
        </is>
      </c>
      <c r="T56" s="8" t="inlineStr">
        <is>
          <t>107A</t>
        </is>
      </c>
      <c r="U56" s="13" t="n"/>
      <c r="W56" s="161">
        <f>D56</f>
        <v/>
      </c>
      <c r="X56" s="163">
        <f>E56</f>
        <v/>
      </c>
      <c r="Y56" s="159">
        <f>H56</f>
        <v/>
      </c>
      <c r="Z56" s="166">
        <f>I56</f>
        <v/>
      </c>
      <c r="AA56" s="166">
        <f>K56</f>
        <v/>
      </c>
      <c r="AB56" s="166">
        <f>M56</f>
        <v/>
      </c>
      <c r="AC56" s="7">
        <f>N56</f>
        <v/>
      </c>
      <c r="AD56" s="162">
        <f>O56</f>
        <v/>
      </c>
      <c r="AE56" s="113">
        <f>S56</f>
        <v/>
      </c>
      <c r="AF56" s="113">
        <f>Q56&amp;"/"&amp;R56</f>
        <v/>
      </c>
      <c r="AH56" s="36">
        <f>IF(A56="","",A56)</f>
        <v/>
      </c>
      <c r="AI56" s="163">
        <f>IF(E56="","",E56)</f>
        <v/>
      </c>
      <c r="AJ56" s="113">
        <f>IF(AI56="","",$AJ$2)</f>
        <v/>
      </c>
      <c r="AK56" s="113" t="inlineStr">
        <is>
          <t>A</t>
        </is>
      </c>
      <c r="AL56" s="113" t="inlineStr">
        <is>
          <t>A+</t>
        </is>
      </c>
      <c r="AM56" s="113" t="inlineStr">
        <is>
          <t>B+</t>
        </is>
      </c>
      <c r="AN56" s="113">
        <f>IF(AI56="","",$AN$2)</f>
        <v/>
      </c>
      <c r="AO56" s="113">
        <f>IF(N56="","",IF(N56&gt;=$AO$1/100,"O","X"))</f>
        <v/>
      </c>
      <c r="AP56" s="113">
        <f>IF(I56="","",IF(I56&lt;=$AP$1,"O","X"))</f>
        <v/>
      </c>
      <c r="AQ56" s="113">
        <f>IF(O56="","",IF(O56&lt;=$AQ$1,"O","X"))</f>
        <v/>
      </c>
      <c r="AR56" s="113">
        <f>IF(M56="","",IF(M56&lt;=$AR$1,"O","X"))</f>
        <v/>
      </c>
      <c r="AS56" s="113" t="inlineStr">
        <is>
          <t>X</t>
        </is>
      </c>
      <c r="AT56" s="113">
        <f>IF(OR(F56="",AI56=""),"",IF(AND((F56&lt;=85),(AI56&gt;=15)),"O","X"))</f>
        <v/>
      </c>
      <c r="AU56" s="113">
        <f>IF(C56="","",IF(C56&gt;=$AU$1,"O","X"))</f>
        <v/>
      </c>
      <c r="AV56" s="113">
        <f>IF(AO56="","",IF(AND(AO56="O",AP56="O",AR56="O",AT56="O",AU56="O"),"후보","X"))</f>
        <v/>
      </c>
    </row>
    <row r="57">
      <c r="A57" s="13" t="inlineStr">
        <is>
          <t>현대</t>
        </is>
      </c>
      <c r="B57" s="16" t="inlineStr">
        <is>
          <t>'96.08.</t>
        </is>
      </c>
      <c r="C57" s="164" t="n">
        <v>264</v>
      </c>
      <c r="D57" s="161" t="n">
        <v>107.5</v>
      </c>
      <c r="E57" s="163" t="n">
        <v>33</v>
      </c>
      <c r="F57" s="161" t="n">
        <v>85</v>
      </c>
      <c r="G57" s="27" t="n">
        <v>26</v>
      </c>
      <c r="H57" s="164" t="n">
        <v>18</v>
      </c>
      <c r="I57" s="165" t="n"/>
      <c r="J57" s="165" t="n"/>
      <c r="K57" s="165" t="n"/>
      <c r="L57" s="165" t="n"/>
      <c r="M57" s="166">
        <f>I57-K57</f>
        <v/>
      </c>
      <c r="N57" s="7">
        <f>IF(ISERROR(K57/I57),"",K57/I57)</f>
        <v/>
      </c>
      <c r="O57" s="162">
        <f>I57/E57</f>
        <v/>
      </c>
      <c r="P57" s="162">
        <f>K57/E57</f>
        <v/>
      </c>
      <c r="Q57" s="113" t="n">
        <v>3</v>
      </c>
      <c r="R57" s="113" t="n">
        <v>2</v>
      </c>
      <c r="S57" s="113" t="inlineStr">
        <is>
          <t>복</t>
        </is>
      </c>
      <c r="T57" s="8" t="n">
        <v>107</v>
      </c>
      <c r="U57" s="13" t="n"/>
      <c r="W57" s="161">
        <f>D57</f>
        <v/>
      </c>
      <c r="X57" s="163">
        <f>E57</f>
        <v/>
      </c>
      <c r="Y57" s="159">
        <f>H57</f>
        <v/>
      </c>
      <c r="Z57" s="166">
        <f>I57</f>
        <v/>
      </c>
      <c r="AA57" s="166">
        <f>K57</f>
        <v/>
      </c>
      <c r="AB57" s="166">
        <f>M57</f>
        <v/>
      </c>
      <c r="AC57" s="7">
        <f>N57</f>
        <v/>
      </c>
      <c r="AD57" s="162">
        <f>O57</f>
        <v/>
      </c>
      <c r="AE57" s="113">
        <f>S57</f>
        <v/>
      </c>
      <c r="AF57" s="113">
        <f>Q57&amp;"/"&amp;R57</f>
        <v/>
      </c>
      <c r="AH57" s="36">
        <f>IF(A57="","",A57)</f>
        <v/>
      </c>
      <c r="AI57" s="163">
        <f>IF(E57="","",E57)</f>
        <v/>
      </c>
      <c r="AJ57" s="113">
        <f>IF(AI57="","",$AJ$2)</f>
        <v/>
      </c>
      <c r="AK57" s="113" t="inlineStr">
        <is>
          <t>A</t>
        </is>
      </c>
      <c r="AL57" s="113" t="inlineStr">
        <is>
          <t>A+</t>
        </is>
      </c>
      <c r="AM57" s="113" t="inlineStr">
        <is>
          <t>B+</t>
        </is>
      </c>
      <c r="AN57" s="113">
        <f>IF(AI57="","",$AN$2)</f>
        <v/>
      </c>
      <c r="AO57" s="113">
        <f>IF(N57="","",IF(N57&gt;=$AO$1/100,"O","X"))</f>
        <v/>
      </c>
      <c r="AP57" s="113">
        <f>IF(I57="","",IF(I57&lt;=$AP$1,"O","X"))</f>
        <v/>
      </c>
      <c r="AQ57" s="113">
        <f>IF(O57="","",IF(O57&lt;=$AQ$1,"O","X"))</f>
        <v/>
      </c>
      <c r="AR57" s="113">
        <f>IF(M57="","",IF(M57&lt;=$AR$1,"O","X"))</f>
        <v/>
      </c>
      <c r="AS57" s="113" t="inlineStr">
        <is>
          <t>X</t>
        </is>
      </c>
      <c r="AT57" s="113">
        <f>IF(OR(F57="",AI57=""),"",IF(AND((F57&lt;=85),(AI57&gt;=15)),"O","X"))</f>
        <v/>
      </c>
      <c r="AU57" s="113">
        <f>IF(C57="","",IF(C57&gt;=$AU$1,"O","X"))</f>
        <v/>
      </c>
      <c r="AV57" s="113">
        <f>IF(AO57="","",IF(AND(AO57="O",AP57="O",AR57="O",AT57="O",AU57="O"),"후보","X"))</f>
        <v/>
      </c>
    </row>
    <row r="58">
      <c r="A58" s="13" t="n"/>
      <c r="B58" s="113" t="n"/>
      <c r="C58" s="10" t="n"/>
      <c r="D58" s="13" t="n"/>
      <c r="E58" s="20" t="n"/>
      <c r="F58" s="161" t="n"/>
      <c r="G58" s="13" t="n"/>
      <c r="H58" s="13" t="n"/>
      <c r="I58" s="13" t="n"/>
      <c r="J58" s="13" t="n"/>
      <c r="K58" s="13" t="n"/>
      <c r="L58" s="13" t="n"/>
      <c r="M58" s="13" t="n"/>
      <c r="N58" s="13" t="n"/>
      <c r="O58" s="162" t="n"/>
      <c r="P58" s="162" t="n"/>
      <c r="Q58" s="163" t="n"/>
      <c r="R58" s="163" t="n"/>
      <c r="S58" s="13" t="n"/>
      <c r="T58" s="70" t="n"/>
      <c r="U58" s="13" t="n"/>
      <c r="W58" s="107">
        <f>$A$4&amp;" "&amp;A59&amp;"("&amp;B59&amp;","&amp;C59&amp;"^)"</f>
        <v/>
      </c>
      <c r="X58" s="108" t="n"/>
      <c r="Y58" s="108" t="n"/>
      <c r="Z58" s="108" t="n"/>
      <c r="AA58" s="108" t="n"/>
      <c r="AB58" s="108" t="n"/>
      <c r="AC58" s="108" t="n"/>
      <c r="AD58" s="108" t="n"/>
      <c r="AE58" s="108" t="n"/>
      <c r="AF58" s="109" t="n"/>
      <c r="AH58" s="36">
        <f>IF(A58="","",A58)</f>
        <v/>
      </c>
      <c r="AI58" s="160">
        <f>IF(E58="","",E58)</f>
        <v/>
      </c>
      <c r="AJ58" s="113" t="n"/>
      <c r="AK58" s="113" t="n"/>
      <c r="AL58" s="113" t="n"/>
      <c r="AM58" s="113" t="n"/>
      <c r="AN58" s="113" t="n"/>
      <c r="AO58" s="113" t="n"/>
      <c r="AP58" s="113" t="n"/>
      <c r="AQ58" s="113" t="n"/>
      <c r="AR58" s="113" t="n"/>
      <c r="AS58" s="113" t="n"/>
      <c r="AT58" s="113" t="n"/>
      <c r="AU58" s="113" t="n"/>
      <c r="AV58" s="113" t="n"/>
    </row>
    <row r="59">
      <c r="A59" s="13" t="inlineStr">
        <is>
          <t>신동아1,2차</t>
        </is>
      </c>
      <c r="B59" s="16" t="inlineStr">
        <is>
          <t>'83.06.</t>
        </is>
      </c>
      <c r="C59" s="164" t="n">
        <v>972</v>
      </c>
      <c r="D59" s="161" t="n">
        <v>64.59999999999999</v>
      </c>
      <c r="E59" s="163" t="n">
        <v>20</v>
      </c>
      <c r="F59" s="161" t="n">
        <v>60.4</v>
      </c>
      <c r="G59" s="27" t="n">
        <v>18</v>
      </c>
      <c r="H59" s="164" t="n">
        <v>288</v>
      </c>
      <c r="I59" s="165" t="n"/>
      <c r="J59" s="165" t="n"/>
      <c r="K59" s="165" t="n"/>
      <c r="L59" s="165" t="n"/>
      <c r="M59" s="166">
        <f>I59-K59</f>
        <v/>
      </c>
      <c r="N59" s="7">
        <f>IF(ISERROR(K59/I59),"",K59/I59)</f>
        <v/>
      </c>
      <c r="O59" s="162">
        <f>I59/E59</f>
        <v/>
      </c>
      <c r="P59" s="162">
        <f>K59/E59</f>
        <v/>
      </c>
      <c r="Q59" s="113" t="n">
        <v>2</v>
      </c>
      <c r="R59" s="113" t="n">
        <v>1</v>
      </c>
      <c r="S59" s="113" t="inlineStr">
        <is>
          <t>복</t>
        </is>
      </c>
      <c r="T59" s="8" t="n">
        <v>64</v>
      </c>
      <c r="U59" s="13" t="n"/>
      <c r="W59" s="161">
        <f>D59</f>
        <v/>
      </c>
      <c r="X59" s="163">
        <f>E59</f>
        <v/>
      </c>
      <c r="Y59" s="159">
        <f>H59</f>
        <v/>
      </c>
      <c r="Z59" s="166">
        <f>I59</f>
        <v/>
      </c>
      <c r="AA59" s="166">
        <f>K59</f>
        <v/>
      </c>
      <c r="AB59" s="166">
        <f>M59</f>
        <v/>
      </c>
      <c r="AC59" s="7">
        <f>N59</f>
        <v/>
      </c>
      <c r="AD59" s="162">
        <f>O59</f>
        <v/>
      </c>
      <c r="AE59" s="113">
        <f>S59</f>
        <v/>
      </c>
      <c r="AF59" s="113">
        <f>Q59&amp;"/"&amp;R59</f>
        <v/>
      </c>
      <c r="AH59" s="36">
        <f>IF(A59="","",A59)</f>
        <v/>
      </c>
      <c r="AI59" s="163">
        <f>IF(E59="","",E59)</f>
        <v/>
      </c>
      <c r="AJ59" s="113">
        <f>IF(AI59="","",$AJ$2)</f>
        <v/>
      </c>
      <c r="AK59" s="113" t="inlineStr">
        <is>
          <t>A</t>
        </is>
      </c>
      <c r="AL59" s="113" t="inlineStr">
        <is>
          <t>A+</t>
        </is>
      </c>
      <c r="AM59" s="113" t="inlineStr">
        <is>
          <t>B+</t>
        </is>
      </c>
      <c r="AN59" s="113">
        <f>IF(AI59="","",$AN$2)</f>
        <v/>
      </c>
      <c r="AO59" s="113">
        <f>IF(N59="","",IF(N59&gt;=$AO$1/100,"O","X"))</f>
        <v/>
      </c>
      <c r="AP59" s="113">
        <f>IF(I59="","",IF(I59&lt;=$AP$1,"O","X"))</f>
        <v/>
      </c>
      <c r="AQ59" s="113">
        <f>IF(O59="","",IF(O59&lt;=$AQ$1,"O","X"))</f>
        <v/>
      </c>
      <c r="AR59" s="113">
        <f>IF(M59="","",IF(M59&lt;=$AR$1,"O","X"))</f>
        <v/>
      </c>
      <c r="AS59" s="113" t="inlineStr">
        <is>
          <t>X</t>
        </is>
      </c>
      <c r="AT59" s="113">
        <f>IF(OR(F59="",AI59=""),"",IF(AND((F59&lt;=85),(AI59&gt;=15)),"O","X"))</f>
        <v/>
      </c>
      <c r="AU59" s="113">
        <f>IF(C59="","",IF(C59&gt;=$AU$1,"O","X"))</f>
        <v/>
      </c>
      <c r="AV59" s="113">
        <f>IF(AO59="","",IF(AND(AO59="O",AP59="O",AR59="O",AT59="O",AU59="O"),"후보","X"))</f>
        <v/>
      </c>
    </row>
    <row r="60">
      <c r="A60" s="13" t="inlineStr">
        <is>
          <t>신동아1,2차</t>
        </is>
      </c>
      <c r="B60" s="16" t="inlineStr">
        <is>
          <t>'83.06.</t>
        </is>
      </c>
      <c r="C60" s="164" t="n">
        <v>972</v>
      </c>
      <c r="D60" s="161" t="n">
        <v>78.5</v>
      </c>
      <c r="E60" s="163" t="n">
        <v>24</v>
      </c>
      <c r="F60" s="161" t="n">
        <v>72.40000000000001</v>
      </c>
      <c r="G60" s="27" t="n">
        <v>22</v>
      </c>
      <c r="H60" s="164" t="n">
        <v>264</v>
      </c>
      <c r="I60" s="165" t="n"/>
      <c r="J60" s="165" t="n"/>
      <c r="K60" s="165" t="n"/>
      <c r="L60" s="165" t="n"/>
      <c r="M60" s="166">
        <f>I60-K60</f>
        <v/>
      </c>
      <c r="N60" s="7">
        <f>IF(ISERROR(K60/I60),"",K60/I60)</f>
        <v/>
      </c>
      <c r="O60" s="162">
        <f>I60/E60</f>
        <v/>
      </c>
      <c r="P60" s="162">
        <f>K60/E60</f>
        <v/>
      </c>
      <c r="Q60" s="113" t="n">
        <v>3</v>
      </c>
      <c r="R60" s="113" t="n">
        <v>1</v>
      </c>
      <c r="S60" s="113" t="inlineStr">
        <is>
          <t>복</t>
        </is>
      </c>
      <c r="T60" s="8" t="n">
        <v>78</v>
      </c>
      <c r="U60" s="13" t="n"/>
      <c r="W60" s="161">
        <f>D60</f>
        <v/>
      </c>
      <c r="X60" s="163">
        <f>E60</f>
        <v/>
      </c>
      <c r="Y60" s="159">
        <f>H60</f>
        <v/>
      </c>
      <c r="Z60" s="166">
        <f>I60</f>
        <v/>
      </c>
      <c r="AA60" s="166">
        <f>K60</f>
        <v/>
      </c>
      <c r="AB60" s="166">
        <f>M60</f>
        <v/>
      </c>
      <c r="AC60" s="7">
        <f>N60</f>
        <v/>
      </c>
      <c r="AD60" s="162">
        <f>O60</f>
        <v/>
      </c>
      <c r="AE60" s="113">
        <f>S60</f>
        <v/>
      </c>
      <c r="AF60" s="113">
        <f>Q60&amp;"/"&amp;R60</f>
        <v/>
      </c>
      <c r="AH60" s="36">
        <f>IF(A60="","",A60)</f>
        <v/>
      </c>
      <c r="AI60" s="163">
        <f>IF(E60="","",E60)</f>
        <v/>
      </c>
      <c r="AJ60" s="113">
        <f>IF(AI60="","",$AJ$2)</f>
        <v/>
      </c>
      <c r="AK60" s="113" t="inlineStr">
        <is>
          <t>A</t>
        </is>
      </c>
      <c r="AL60" s="113" t="inlineStr">
        <is>
          <t>A+</t>
        </is>
      </c>
      <c r="AM60" s="113" t="inlineStr">
        <is>
          <t>B+</t>
        </is>
      </c>
      <c r="AN60" s="113">
        <f>IF(AI60="","",$AN$2)</f>
        <v/>
      </c>
      <c r="AO60" s="113">
        <f>IF(N60="","",IF(N60&gt;=$AO$1/100,"O","X"))</f>
        <v/>
      </c>
      <c r="AP60" s="113">
        <f>IF(I60="","",IF(I60&lt;=$AP$1,"O","X"))</f>
        <v/>
      </c>
      <c r="AQ60" s="113">
        <f>IF(O60="","",IF(O60&lt;=$AQ$1,"O","X"))</f>
        <v/>
      </c>
      <c r="AR60" s="113">
        <f>IF(M60="","",IF(M60&lt;=$AR$1,"O","X"))</f>
        <v/>
      </c>
      <c r="AS60" s="113" t="inlineStr">
        <is>
          <t>X</t>
        </is>
      </c>
      <c r="AT60" s="113">
        <f>IF(OR(F60="",AI60=""),"",IF(AND((F60&lt;=85),(AI60&gt;=15)),"O","X"))</f>
        <v/>
      </c>
      <c r="AU60" s="113">
        <f>IF(C60="","",IF(C60&gt;=$AU$1,"O","X"))</f>
        <v/>
      </c>
      <c r="AV60" s="113">
        <f>IF(AO60="","",IF(AND(AO60="O",AP60="O",AR60="O",AT60="O",AU60="O"),"후보","X"))</f>
        <v/>
      </c>
    </row>
    <row r="61">
      <c r="A61" s="13" t="inlineStr">
        <is>
          <t>신동아1,2차</t>
        </is>
      </c>
      <c r="B61" s="16" t="inlineStr">
        <is>
          <t>'83.06.</t>
        </is>
      </c>
      <c r="C61" s="164" t="n">
        <v>972</v>
      </c>
      <c r="D61" s="161" t="n">
        <v>92.7</v>
      </c>
      <c r="E61" s="163" t="n">
        <v>28</v>
      </c>
      <c r="F61" s="161" t="n">
        <v>85.5</v>
      </c>
      <c r="G61" s="27" t="n">
        <v>26</v>
      </c>
      <c r="H61" s="164" t="n">
        <v>204</v>
      </c>
      <c r="I61" s="165" t="n"/>
      <c r="J61" s="165" t="n"/>
      <c r="K61" s="165" t="n"/>
      <c r="L61" s="165" t="n"/>
      <c r="M61" s="166">
        <f>I61-K61</f>
        <v/>
      </c>
      <c r="N61" s="7">
        <f>IF(ISERROR(K61/I61),"",K61/I61)</f>
        <v/>
      </c>
      <c r="O61" s="162">
        <f>I61/E61</f>
        <v/>
      </c>
      <c r="P61" s="162">
        <f>K61/E61</f>
        <v/>
      </c>
      <c r="Q61" s="113" t="n">
        <v>2</v>
      </c>
      <c r="R61" s="113" t="n">
        <v>1</v>
      </c>
      <c r="S61" s="113" t="inlineStr">
        <is>
          <t>복</t>
        </is>
      </c>
      <c r="T61" s="8" t="n">
        <v>92</v>
      </c>
      <c r="U61" s="13" t="n"/>
      <c r="W61" s="161">
        <f>D61</f>
        <v/>
      </c>
      <c r="X61" s="163">
        <f>E61</f>
        <v/>
      </c>
      <c r="Y61" s="159">
        <f>H61</f>
        <v/>
      </c>
      <c r="Z61" s="166">
        <f>I61</f>
        <v/>
      </c>
      <c r="AA61" s="166">
        <f>K61</f>
        <v/>
      </c>
      <c r="AB61" s="166">
        <f>M61</f>
        <v/>
      </c>
      <c r="AC61" s="7">
        <f>N61</f>
        <v/>
      </c>
      <c r="AD61" s="162">
        <f>O61</f>
        <v/>
      </c>
      <c r="AE61" s="113">
        <f>S61</f>
        <v/>
      </c>
      <c r="AF61" s="113">
        <f>Q61&amp;"/"&amp;R61</f>
        <v/>
      </c>
      <c r="AH61" s="36">
        <f>IF(A61="","",A61)</f>
        <v/>
      </c>
      <c r="AI61" s="163">
        <f>IF(E61="","",E61)</f>
        <v/>
      </c>
      <c r="AJ61" s="113">
        <f>IF(AI61="","",$AJ$2)</f>
        <v/>
      </c>
      <c r="AK61" s="113" t="inlineStr">
        <is>
          <t>A</t>
        </is>
      </c>
      <c r="AL61" s="113" t="inlineStr">
        <is>
          <t>A+</t>
        </is>
      </c>
      <c r="AM61" s="113" t="inlineStr">
        <is>
          <t>B+</t>
        </is>
      </c>
      <c r="AN61" s="113">
        <f>IF(AI61="","",$AN$2)</f>
        <v/>
      </c>
      <c r="AO61" s="113">
        <f>IF(N61="","",IF(N61&gt;=$AO$1/100,"O","X"))</f>
        <v/>
      </c>
      <c r="AP61" s="113">
        <f>IF(I61="","",IF(I61&lt;=$AP$1,"O","X"))</f>
        <v/>
      </c>
      <c r="AQ61" s="113">
        <f>IF(O61="","",IF(O61&lt;=$AQ$1,"O","X"))</f>
        <v/>
      </c>
      <c r="AR61" s="113">
        <f>IF(M61="","",IF(M61&lt;=$AR$1,"O","X"))</f>
        <v/>
      </c>
      <c r="AS61" s="113" t="inlineStr">
        <is>
          <t>X</t>
        </is>
      </c>
      <c r="AT61" s="113">
        <f>IF(OR(F61="",AI61=""),"",IF(AND((F61&lt;=85),(AI61&gt;=15)),"O","X"))</f>
        <v/>
      </c>
      <c r="AU61" s="113">
        <f>IF(C61="","",IF(C61&gt;=$AU$1,"O","X"))</f>
        <v/>
      </c>
      <c r="AV61" s="113">
        <f>IF(AO61="","",IF(AND(AO61="O",AP61="O",AR61="O",AT61="O",AU61="O"),"후보","X"))</f>
        <v/>
      </c>
    </row>
    <row r="62">
      <c r="A62" s="13" t="inlineStr">
        <is>
          <t>신동아1,2차</t>
        </is>
      </c>
      <c r="B62" s="16" t="inlineStr">
        <is>
          <t>'83.06.</t>
        </is>
      </c>
      <c r="C62" s="164" t="n">
        <v>972</v>
      </c>
      <c r="D62" s="161" t="n">
        <v>111.5</v>
      </c>
      <c r="E62" s="163" t="n">
        <v>34</v>
      </c>
      <c r="F62" s="161" t="n">
        <v>102.8</v>
      </c>
      <c r="G62" s="27" t="n">
        <v>31</v>
      </c>
      <c r="H62" s="164" t="n">
        <v>216</v>
      </c>
      <c r="I62" s="165" t="n"/>
      <c r="J62" s="165" t="n"/>
      <c r="K62" s="165" t="n"/>
      <c r="L62" s="165" t="n"/>
      <c r="M62" s="166">
        <f>I62-K62</f>
        <v/>
      </c>
      <c r="N62" s="7">
        <f>IF(ISERROR(K62/I62),"",K62/I62)</f>
        <v/>
      </c>
      <c r="O62" s="162">
        <f>I62/E62</f>
        <v/>
      </c>
      <c r="P62" s="162">
        <f>K62/E62</f>
        <v/>
      </c>
      <c r="Q62" s="113" t="n">
        <v>3</v>
      </c>
      <c r="R62" s="113" t="n">
        <v>1</v>
      </c>
      <c r="S62" s="113" t="inlineStr">
        <is>
          <t>복</t>
        </is>
      </c>
      <c r="T62" s="8" t="n">
        <v>111</v>
      </c>
      <c r="U62" s="13" t="n"/>
      <c r="W62" s="161">
        <f>D62</f>
        <v/>
      </c>
      <c r="X62" s="163">
        <f>E62</f>
        <v/>
      </c>
      <c r="Y62" s="159">
        <f>H62</f>
        <v/>
      </c>
      <c r="Z62" s="166">
        <f>I62</f>
        <v/>
      </c>
      <c r="AA62" s="166">
        <f>K62</f>
        <v/>
      </c>
      <c r="AB62" s="166">
        <f>M62</f>
        <v/>
      </c>
      <c r="AC62" s="7">
        <f>N62</f>
        <v/>
      </c>
      <c r="AD62" s="162">
        <f>O62</f>
        <v/>
      </c>
      <c r="AE62" s="113">
        <f>S62</f>
        <v/>
      </c>
      <c r="AF62" s="113">
        <f>Q62&amp;"/"&amp;R62</f>
        <v/>
      </c>
      <c r="AH62" s="36">
        <f>IF(A62="","",A62)</f>
        <v/>
      </c>
      <c r="AI62" s="163">
        <f>IF(E62="","",E62)</f>
        <v/>
      </c>
      <c r="AJ62" s="113">
        <f>IF(AI62="","",$AJ$2)</f>
        <v/>
      </c>
      <c r="AK62" s="113" t="inlineStr">
        <is>
          <t>A</t>
        </is>
      </c>
      <c r="AL62" s="113" t="inlineStr">
        <is>
          <t>A+</t>
        </is>
      </c>
      <c r="AM62" s="113" t="inlineStr">
        <is>
          <t>B+</t>
        </is>
      </c>
      <c r="AN62" s="113">
        <f>IF(AI62="","",$AN$2)</f>
        <v/>
      </c>
      <c r="AO62" s="113">
        <f>IF(N62="","",IF(N62&gt;=$AO$1/100,"O","X"))</f>
        <v/>
      </c>
      <c r="AP62" s="113">
        <f>IF(I62="","",IF(I62&lt;=$AP$1,"O","X"))</f>
        <v/>
      </c>
      <c r="AQ62" s="113">
        <f>IF(O62="","",IF(O62&lt;=$AQ$1,"O","X"))</f>
        <v/>
      </c>
      <c r="AR62" s="113">
        <f>IF(M62="","",IF(M62&lt;=$AR$1,"O","X"))</f>
        <v/>
      </c>
      <c r="AS62" s="113" t="inlineStr">
        <is>
          <t>X</t>
        </is>
      </c>
      <c r="AT62" s="113">
        <f>IF(OR(F62="",AI62=""),"",IF(AND((F62&lt;=85),(AI62&gt;=15)),"O","X"))</f>
        <v/>
      </c>
      <c r="AU62" s="113">
        <f>IF(C62="","",IF(C62&gt;=$AU$1,"O","X"))</f>
        <v/>
      </c>
      <c r="AV62" s="113">
        <f>IF(AO62="","",IF(AND(AO62="O",AP62="O",AR62="O",AT62="O",AU62="O"),"후보","X"))</f>
        <v/>
      </c>
    </row>
    <row r="63">
      <c r="A63" s="13" t="n"/>
      <c r="B63" s="113" t="n"/>
      <c r="C63" s="10" t="n"/>
      <c r="D63" s="13" t="n"/>
      <c r="E63" s="20" t="n"/>
      <c r="F63" s="161" t="n"/>
      <c r="G63" s="13" t="n"/>
      <c r="H63" s="13" t="n"/>
      <c r="I63" s="13" t="n"/>
      <c r="J63" s="13" t="n"/>
      <c r="K63" s="13" t="n"/>
      <c r="L63" s="13" t="n"/>
      <c r="M63" s="13" t="n"/>
      <c r="N63" s="13" t="n"/>
      <c r="O63" s="162" t="n"/>
      <c r="P63" s="162" t="n"/>
      <c r="Q63" s="163" t="n"/>
      <c r="R63" s="163" t="n"/>
      <c r="S63" s="13" t="n"/>
      <c r="T63" s="70" t="n"/>
      <c r="U63" s="13" t="n"/>
      <c r="W63" s="107">
        <f>$A$4&amp;" "&amp;A64&amp;"("&amp;B64&amp;","&amp;C64&amp;"^)"</f>
        <v/>
      </c>
      <c r="X63" s="108" t="n"/>
      <c r="Y63" s="108" t="n"/>
      <c r="Z63" s="108" t="n"/>
      <c r="AA63" s="108" t="n"/>
      <c r="AB63" s="108" t="n"/>
      <c r="AC63" s="108" t="n"/>
      <c r="AD63" s="108" t="n"/>
      <c r="AE63" s="108" t="n"/>
      <c r="AF63" s="109" t="n"/>
      <c r="AH63" s="36">
        <f>IF(A63="","",A63)</f>
        <v/>
      </c>
      <c r="AI63" s="160">
        <f>IF(E63="","",E63)</f>
        <v/>
      </c>
      <c r="AJ63" s="113" t="n"/>
      <c r="AK63" s="113" t="n"/>
      <c r="AL63" s="113" t="n"/>
      <c r="AM63" s="113" t="n"/>
      <c r="AN63" s="113" t="n"/>
      <c r="AO63" s="113" t="n"/>
      <c r="AP63" s="113" t="n"/>
      <c r="AQ63" s="113" t="n"/>
      <c r="AR63" s="113" t="n"/>
      <c r="AS63" s="113" t="n"/>
      <c r="AT63" s="113" t="n"/>
      <c r="AU63" s="113" t="n"/>
      <c r="AV63" s="113" t="n"/>
    </row>
    <row r="64">
      <c r="A64" s="13" t="inlineStr">
        <is>
          <t>한빛</t>
        </is>
      </c>
      <c r="B64" s="16" t="inlineStr">
        <is>
          <t>'01.10.</t>
        </is>
      </c>
      <c r="C64" s="164" t="n">
        <v>317</v>
      </c>
      <c r="D64" s="161" t="n">
        <v>47.1</v>
      </c>
      <c r="E64" s="163" t="n">
        <v>14</v>
      </c>
      <c r="F64" s="161" t="n">
        <v>38.7</v>
      </c>
      <c r="G64" s="27" t="n">
        <v>12</v>
      </c>
      <c r="H64" s="164" t="n">
        <v>1</v>
      </c>
      <c r="I64" s="165" t="n"/>
      <c r="J64" s="165" t="n"/>
      <c r="K64" s="165" t="n"/>
      <c r="L64" s="165" t="n"/>
      <c r="M64" s="166">
        <f>I64-K64</f>
        <v/>
      </c>
      <c r="N64" s="7">
        <f>IF(ISERROR(K64/I64),"",K64/I64)</f>
        <v/>
      </c>
      <c r="O64" s="162">
        <f>I64/E64</f>
        <v/>
      </c>
      <c r="P64" s="162">
        <f>K64/E64</f>
        <v/>
      </c>
      <c r="Q64" s="113" t="n">
        <v>1</v>
      </c>
      <c r="R64" s="113" t="n">
        <v>1</v>
      </c>
      <c r="S64" s="113" t="inlineStr">
        <is>
          <t>계</t>
        </is>
      </c>
      <c r="T64" s="8" t="n">
        <v>47</v>
      </c>
      <c r="U64" s="13" t="n"/>
      <c r="W64" s="161">
        <f>D64</f>
        <v/>
      </c>
      <c r="X64" s="163">
        <f>E64</f>
        <v/>
      </c>
      <c r="Y64" s="159">
        <f>H64</f>
        <v/>
      </c>
      <c r="Z64" s="166">
        <f>I64</f>
        <v/>
      </c>
      <c r="AA64" s="166">
        <f>K64</f>
        <v/>
      </c>
      <c r="AB64" s="166">
        <f>M64</f>
        <v/>
      </c>
      <c r="AC64" s="7">
        <f>N64</f>
        <v/>
      </c>
      <c r="AD64" s="162">
        <f>O64</f>
        <v/>
      </c>
      <c r="AE64" s="113">
        <f>S64</f>
        <v/>
      </c>
      <c r="AF64" s="113">
        <f>Q64&amp;"/"&amp;R64</f>
        <v/>
      </c>
      <c r="AH64" s="36">
        <f>IF(A64="","",A64)</f>
        <v/>
      </c>
      <c r="AI64" s="163">
        <f>IF(E64="","",E64)</f>
        <v/>
      </c>
      <c r="AJ64" s="113">
        <f>IF(AI64="","",$AJ$2)</f>
        <v/>
      </c>
      <c r="AK64" s="113" t="inlineStr">
        <is>
          <t>A</t>
        </is>
      </c>
      <c r="AL64" s="113" t="inlineStr">
        <is>
          <t>A+</t>
        </is>
      </c>
      <c r="AM64" s="113" t="inlineStr">
        <is>
          <t>B+</t>
        </is>
      </c>
      <c r="AN64" s="113">
        <f>IF(AI64="","",$AN$2)</f>
        <v/>
      </c>
      <c r="AO64" s="113">
        <f>IF(N64="","",IF(N64&gt;=$AO$1/100,"O","X"))</f>
        <v/>
      </c>
      <c r="AP64" s="113">
        <f>IF(I64="","",IF(I64&lt;=$AP$1,"O","X"))</f>
        <v/>
      </c>
      <c r="AQ64" s="113">
        <f>IF(O64="","",IF(O64&lt;=$AQ$1,"O","X"))</f>
        <v/>
      </c>
      <c r="AR64" s="113">
        <f>IF(M64="","",IF(M64&lt;=$AR$1,"O","X"))</f>
        <v/>
      </c>
      <c r="AS64" s="113" t="inlineStr">
        <is>
          <t>X</t>
        </is>
      </c>
      <c r="AT64" s="113">
        <f>IF(OR(F64="",AI64=""),"",IF(AND((F64&lt;=85),(AI64&gt;=15)),"O","X"))</f>
        <v/>
      </c>
      <c r="AU64" s="113">
        <f>IF(C64="","",IF(C64&gt;=$AU$1,"O","X"))</f>
        <v/>
      </c>
      <c r="AV64" s="113">
        <f>IF(AO64="","",IF(AND(AO64="O",AP64="O",AR64="O",AT64="O",AU64="O"),"후보","X"))</f>
        <v/>
      </c>
    </row>
    <row r="65">
      <c r="A65" s="13" t="inlineStr">
        <is>
          <t>한빛</t>
        </is>
      </c>
      <c r="B65" s="16" t="inlineStr">
        <is>
          <t>'01.10.</t>
        </is>
      </c>
      <c r="C65" s="164" t="n">
        <v>317</v>
      </c>
      <c r="D65" s="161" t="n">
        <v>51.5</v>
      </c>
      <c r="E65" s="163" t="n">
        <v>16</v>
      </c>
      <c r="F65" s="161" t="n">
        <v>42.3</v>
      </c>
      <c r="G65" s="27" t="n">
        <v>13</v>
      </c>
      <c r="H65" s="164" t="n">
        <v>12</v>
      </c>
      <c r="I65" s="165" t="n"/>
      <c r="J65" s="165" t="n"/>
      <c r="K65" s="165" t="n"/>
      <c r="L65" s="165" t="n"/>
      <c r="M65" s="166">
        <f>I65-K65</f>
        <v/>
      </c>
      <c r="N65" s="7">
        <f>IF(ISERROR(K65/I65),"",K65/I65)</f>
        <v/>
      </c>
      <c r="O65" s="162">
        <f>I65/E65</f>
        <v/>
      </c>
      <c r="P65" s="162">
        <f>K65/E65</f>
        <v/>
      </c>
      <c r="Q65" s="113" t="n">
        <v>1</v>
      </c>
      <c r="R65" s="113" t="n">
        <v>1</v>
      </c>
      <c r="S65" s="113" t="inlineStr">
        <is>
          <t>계</t>
        </is>
      </c>
      <c r="T65" s="8" t="n">
        <v>51</v>
      </c>
      <c r="U65" s="13" t="n"/>
      <c r="W65" s="161">
        <f>D65</f>
        <v/>
      </c>
      <c r="X65" s="163">
        <f>E65</f>
        <v/>
      </c>
      <c r="Y65" s="159">
        <f>H65</f>
        <v/>
      </c>
      <c r="Z65" s="166">
        <f>I65</f>
        <v/>
      </c>
      <c r="AA65" s="166">
        <f>K65</f>
        <v/>
      </c>
      <c r="AB65" s="166">
        <f>M65</f>
        <v/>
      </c>
      <c r="AC65" s="7">
        <f>N65</f>
        <v/>
      </c>
      <c r="AD65" s="162">
        <f>O65</f>
        <v/>
      </c>
      <c r="AE65" s="113">
        <f>S65</f>
        <v/>
      </c>
      <c r="AF65" s="113">
        <f>Q65&amp;"/"&amp;R65</f>
        <v/>
      </c>
      <c r="AH65" s="36">
        <f>IF(A65="","",A65)</f>
        <v/>
      </c>
      <c r="AI65" s="163">
        <f>IF(E65="","",E65)</f>
        <v/>
      </c>
      <c r="AJ65" s="113">
        <f>IF(AI65="","",$AJ$2)</f>
        <v/>
      </c>
      <c r="AK65" s="113" t="inlineStr">
        <is>
          <t>A</t>
        </is>
      </c>
      <c r="AL65" s="113" t="inlineStr">
        <is>
          <t>A+</t>
        </is>
      </c>
      <c r="AM65" s="113" t="inlineStr">
        <is>
          <t>B+</t>
        </is>
      </c>
      <c r="AN65" s="113">
        <f>IF(AI65="","",$AN$2)</f>
        <v/>
      </c>
      <c r="AO65" s="113">
        <f>IF(N65="","",IF(N65&gt;=$AO$1/100,"O","X"))</f>
        <v/>
      </c>
      <c r="AP65" s="113">
        <f>IF(I65="","",IF(I65&lt;=$AP$1,"O","X"))</f>
        <v/>
      </c>
      <c r="AQ65" s="113">
        <f>IF(O65="","",IF(O65&lt;=$AQ$1,"O","X"))</f>
        <v/>
      </c>
      <c r="AR65" s="113">
        <f>IF(M65="","",IF(M65&lt;=$AR$1,"O","X"))</f>
        <v/>
      </c>
      <c r="AS65" s="113" t="inlineStr">
        <is>
          <t>X</t>
        </is>
      </c>
      <c r="AT65" s="113">
        <f>IF(OR(F65="",AI65=""),"",IF(AND((F65&lt;=85),(AI65&gt;=15)),"O","X"))</f>
        <v/>
      </c>
      <c r="AU65" s="113">
        <f>IF(C65="","",IF(C65&gt;=$AU$1,"O","X"))</f>
        <v/>
      </c>
      <c r="AV65" s="113">
        <f>IF(AO65="","",IF(AND(AO65="O",AP65="O",AR65="O",AT65="O",AU65="O"),"후보","X"))</f>
        <v/>
      </c>
    </row>
    <row r="66">
      <c r="A66" s="13" t="inlineStr">
        <is>
          <t>한빛</t>
        </is>
      </c>
      <c r="B66" s="16" t="inlineStr">
        <is>
          <t>'01.10.</t>
        </is>
      </c>
      <c r="C66" s="164" t="n">
        <v>317</v>
      </c>
      <c r="D66" s="161" t="n">
        <v>61.8</v>
      </c>
      <c r="E66" s="163" t="n">
        <v>19</v>
      </c>
      <c r="F66" s="161" t="n">
        <v>47.9</v>
      </c>
      <c r="G66" s="27" t="n">
        <v>14</v>
      </c>
      <c r="H66" s="164" t="n">
        <v>3</v>
      </c>
      <c r="I66" s="165" t="n"/>
      <c r="J66" s="165" t="n"/>
      <c r="K66" s="165" t="n"/>
      <c r="L66" s="165" t="n"/>
      <c r="M66" s="166">
        <f>I66-K66</f>
        <v/>
      </c>
      <c r="N66" s="7">
        <f>IF(ISERROR(K66/I66),"",K66/I66)</f>
        <v/>
      </c>
      <c r="O66" s="162">
        <f>I66/E66</f>
        <v/>
      </c>
      <c r="P66" s="162">
        <f>K66/E66</f>
        <v/>
      </c>
      <c r="Q66" s="113" t="n">
        <v>2</v>
      </c>
      <c r="R66" s="113" t="n">
        <v>1</v>
      </c>
      <c r="S66" s="113" t="inlineStr">
        <is>
          <t>계</t>
        </is>
      </c>
      <c r="T66" s="8" t="n">
        <v>61</v>
      </c>
      <c r="U66" s="13" t="n"/>
      <c r="W66" s="161">
        <f>D66</f>
        <v/>
      </c>
      <c r="X66" s="163">
        <f>E66</f>
        <v/>
      </c>
      <c r="Y66" s="159">
        <f>H66</f>
        <v/>
      </c>
      <c r="Z66" s="166">
        <f>I66</f>
        <v/>
      </c>
      <c r="AA66" s="166">
        <f>K66</f>
        <v/>
      </c>
      <c r="AB66" s="166">
        <f>M66</f>
        <v/>
      </c>
      <c r="AC66" s="7">
        <f>N66</f>
        <v/>
      </c>
      <c r="AD66" s="162">
        <f>O66</f>
        <v/>
      </c>
      <c r="AE66" s="113">
        <f>S66</f>
        <v/>
      </c>
      <c r="AF66" s="113">
        <f>Q66&amp;"/"&amp;R66</f>
        <v/>
      </c>
      <c r="AH66" s="36">
        <f>IF(A66="","",A66)</f>
        <v/>
      </c>
      <c r="AI66" s="163">
        <f>IF(E66="","",E66)</f>
        <v/>
      </c>
      <c r="AJ66" s="113">
        <f>IF(AI66="","",$AJ$2)</f>
        <v/>
      </c>
      <c r="AK66" s="113" t="inlineStr">
        <is>
          <t>A</t>
        </is>
      </c>
      <c r="AL66" s="113" t="inlineStr">
        <is>
          <t>A+</t>
        </is>
      </c>
      <c r="AM66" s="113" t="inlineStr">
        <is>
          <t>B+</t>
        </is>
      </c>
      <c r="AN66" s="113">
        <f>IF(AI66="","",$AN$2)</f>
        <v/>
      </c>
      <c r="AO66" s="113">
        <f>IF(N66="","",IF(N66&gt;=$AO$1/100,"O","X"))</f>
        <v/>
      </c>
      <c r="AP66" s="113">
        <f>IF(I66="","",IF(I66&lt;=$AP$1,"O","X"))</f>
        <v/>
      </c>
      <c r="AQ66" s="113">
        <f>IF(O66="","",IF(O66&lt;=$AQ$1,"O","X"))</f>
        <v/>
      </c>
      <c r="AR66" s="113">
        <f>IF(M66="","",IF(M66&lt;=$AR$1,"O","X"))</f>
        <v/>
      </c>
      <c r="AS66" s="113" t="inlineStr">
        <is>
          <t>X</t>
        </is>
      </c>
      <c r="AT66" s="113">
        <f>IF(OR(F66="",AI66=""),"",IF(AND((F66&lt;=85),(AI66&gt;=15)),"O","X"))</f>
        <v/>
      </c>
      <c r="AU66" s="113">
        <f>IF(C66="","",IF(C66&gt;=$AU$1,"O","X"))</f>
        <v/>
      </c>
      <c r="AV66" s="113">
        <f>IF(AO66="","",IF(AND(AO66="O",AP66="O",AR66="O",AT66="O",AU66="O"),"후보","X"))</f>
        <v/>
      </c>
    </row>
    <row r="67">
      <c r="A67" s="13" t="inlineStr">
        <is>
          <t>한빛</t>
        </is>
      </c>
      <c r="B67" s="16" t="inlineStr">
        <is>
          <t>'01.10.</t>
        </is>
      </c>
      <c r="C67" s="164" t="n">
        <v>317</v>
      </c>
      <c r="D67" s="161" t="n">
        <v>69.8</v>
      </c>
      <c r="E67" s="163" t="n">
        <v>21</v>
      </c>
      <c r="F67" s="161" t="n">
        <v>57.3</v>
      </c>
      <c r="G67" s="27" t="n">
        <v>17</v>
      </c>
      <c r="H67" s="164" t="n">
        <v>12</v>
      </c>
      <c r="I67" s="165" t="n"/>
      <c r="J67" s="165" t="n"/>
      <c r="K67" s="165" t="n"/>
      <c r="L67" s="165" t="n"/>
      <c r="M67" s="166">
        <f>I67-K67</f>
        <v/>
      </c>
      <c r="N67" s="7">
        <f>IF(ISERROR(K67/I67),"",K67/I67)</f>
        <v/>
      </c>
      <c r="O67" s="162">
        <f>I67/E67</f>
        <v/>
      </c>
      <c r="P67" s="162">
        <f>K67/E67</f>
        <v/>
      </c>
      <c r="Q67" s="113" t="n">
        <v>2</v>
      </c>
      <c r="R67" s="113" t="n">
        <v>1</v>
      </c>
      <c r="S67" s="113" t="inlineStr">
        <is>
          <t>계</t>
        </is>
      </c>
      <c r="T67" s="8" t="n">
        <v>69</v>
      </c>
      <c r="U67" s="13" t="n"/>
      <c r="W67" s="161">
        <f>D67</f>
        <v/>
      </c>
      <c r="X67" s="163">
        <f>E67</f>
        <v/>
      </c>
      <c r="Y67" s="159">
        <f>H67</f>
        <v/>
      </c>
      <c r="Z67" s="166">
        <f>I67</f>
        <v/>
      </c>
      <c r="AA67" s="166">
        <f>K67</f>
        <v/>
      </c>
      <c r="AB67" s="166">
        <f>M67</f>
        <v/>
      </c>
      <c r="AC67" s="7">
        <f>N67</f>
        <v/>
      </c>
      <c r="AD67" s="162">
        <f>O67</f>
        <v/>
      </c>
      <c r="AE67" s="113">
        <f>S67</f>
        <v/>
      </c>
      <c r="AF67" s="113">
        <f>Q67&amp;"/"&amp;R67</f>
        <v/>
      </c>
      <c r="AH67" s="36">
        <f>IF(A67="","",A67)</f>
        <v/>
      </c>
      <c r="AI67" s="163">
        <f>IF(E67="","",E67)</f>
        <v/>
      </c>
      <c r="AJ67" s="113">
        <f>IF(AI67="","",$AJ$2)</f>
        <v/>
      </c>
      <c r="AK67" s="113" t="inlineStr">
        <is>
          <t>A</t>
        </is>
      </c>
      <c r="AL67" s="113" t="inlineStr">
        <is>
          <t>A+</t>
        </is>
      </c>
      <c r="AM67" s="113" t="inlineStr">
        <is>
          <t>B+</t>
        </is>
      </c>
      <c r="AN67" s="113">
        <f>IF(AI67="","",$AN$2)</f>
        <v/>
      </c>
      <c r="AO67" s="113">
        <f>IF(N67="","",IF(N67&gt;=$AO$1/100,"O","X"))</f>
        <v/>
      </c>
      <c r="AP67" s="113">
        <f>IF(I67="","",IF(I67&lt;=$AP$1,"O","X"))</f>
        <v/>
      </c>
      <c r="AQ67" s="113">
        <f>IF(O67="","",IF(O67&lt;=$AQ$1,"O","X"))</f>
        <v/>
      </c>
      <c r="AR67" s="113">
        <f>IF(M67="","",IF(M67&lt;=$AR$1,"O","X"))</f>
        <v/>
      </c>
      <c r="AS67" s="113" t="inlineStr">
        <is>
          <t>X</t>
        </is>
      </c>
      <c r="AT67" s="113">
        <f>IF(OR(F67="",AI67=""),"",IF(AND((F67&lt;=85),(AI67&gt;=15)),"O","X"))</f>
        <v/>
      </c>
      <c r="AU67" s="113">
        <f>IF(C67="","",IF(C67&gt;=$AU$1,"O","X"))</f>
        <v/>
      </c>
      <c r="AV67" s="113">
        <f>IF(AO67="","",IF(AND(AO67="O",AP67="O",AR67="O",AT67="O",AU67="O"),"후보","X"))</f>
        <v/>
      </c>
    </row>
    <row r="68">
      <c r="A68" s="13" t="inlineStr">
        <is>
          <t>한빛</t>
        </is>
      </c>
      <c r="B68" s="16" t="inlineStr">
        <is>
          <t>'01.10.</t>
        </is>
      </c>
      <c r="C68" s="164" t="n">
        <v>317</v>
      </c>
      <c r="D68" s="161" t="n">
        <v>71.59999999999999</v>
      </c>
      <c r="E68" s="163" t="n">
        <v>22</v>
      </c>
      <c r="F68" s="161" t="n">
        <v>58.8</v>
      </c>
      <c r="G68" s="27" t="n">
        <v>18</v>
      </c>
      <c r="H68" s="164" t="n">
        <v>2</v>
      </c>
      <c r="I68" s="165" t="n"/>
      <c r="J68" s="165" t="n"/>
      <c r="K68" s="165" t="n"/>
      <c r="L68" s="165" t="n"/>
      <c r="M68" s="166">
        <f>I68-K68</f>
        <v/>
      </c>
      <c r="N68" s="7">
        <f>IF(ISERROR(K68/I68),"",K68/I68)</f>
        <v/>
      </c>
      <c r="O68" s="162">
        <f>I68/E68</f>
        <v/>
      </c>
      <c r="P68" s="162">
        <f>K68/E68</f>
        <v/>
      </c>
      <c r="Q68" s="113" t="n">
        <v>2</v>
      </c>
      <c r="R68" s="113" t="n">
        <v>1</v>
      </c>
      <c r="S68" s="113" t="inlineStr">
        <is>
          <t>계</t>
        </is>
      </c>
      <c r="T68" s="8" t="n">
        <v>71</v>
      </c>
      <c r="U68" s="13" t="n"/>
      <c r="W68" s="161">
        <f>D68</f>
        <v/>
      </c>
      <c r="X68" s="163">
        <f>E68</f>
        <v/>
      </c>
      <c r="Y68" s="159">
        <f>H68</f>
        <v/>
      </c>
      <c r="Z68" s="166">
        <f>I68</f>
        <v/>
      </c>
      <c r="AA68" s="166">
        <f>K68</f>
        <v/>
      </c>
      <c r="AB68" s="166">
        <f>M68</f>
        <v/>
      </c>
      <c r="AC68" s="7">
        <f>N68</f>
        <v/>
      </c>
      <c r="AD68" s="162">
        <f>O68</f>
        <v/>
      </c>
      <c r="AE68" s="113">
        <f>S68</f>
        <v/>
      </c>
      <c r="AF68" s="113">
        <f>Q68&amp;"/"&amp;R68</f>
        <v/>
      </c>
      <c r="AH68" s="36">
        <f>IF(A68="","",A68)</f>
        <v/>
      </c>
      <c r="AI68" s="163">
        <f>IF(E68="","",E68)</f>
        <v/>
      </c>
      <c r="AJ68" s="113">
        <f>IF(AI68="","",$AJ$2)</f>
        <v/>
      </c>
      <c r="AK68" s="113" t="inlineStr">
        <is>
          <t>A</t>
        </is>
      </c>
      <c r="AL68" s="113" t="inlineStr">
        <is>
          <t>A+</t>
        </is>
      </c>
      <c r="AM68" s="113" t="inlineStr">
        <is>
          <t>B+</t>
        </is>
      </c>
      <c r="AN68" s="113">
        <f>IF(AI68="","",$AN$2)</f>
        <v/>
      </c>
      <c r="AO68" s="113">
        <f>IF(N68="","",IF(N68&gt;=$AO$1/100,"O","X"))</f>
        <v/>
      </c>
      <c r="AP68" s="113">
        <f>IF(I68="","",IF(I68&lt;=$AP$1,"O","X"))</f>
        <v/>
      </c>
      <c r="AQ68" s="113">
        <f>IF(O68="","",IF(O68&lt;=$AQ$1,"O","X"))</f>
        <v/>
      </c>
      <c r="AR68" s="113">
        <f>IF(M68="","",IF(M68&lt;=$AR$1,"O","X"))</f>
        <v/>
      </c>
      <c r="AS68" s="113" t="inlineStr">
        <is>
          <t>X</t>
        </is>
      </c>
      <c r="AT68" s="113">
        <f>IF(OR(F68="",AI68=""),"",IF(AND((F68&lt;=85),(AI68&gt;=15)),"O","X"))</f>
        <v/>
      </c>
      <c r="AU68" s="113">
        <f>IF(C68="","",IF(C68&gt;=$AU$1,"O","X"))</f>
        <v/>
      </c>
      <c r="AV68" s="113">
        <f>IF(AO68="","",IF(AND(AO68="O",AP68="O",AR68="O",AT68="O",AU68="O"),"후보","X"))</f>
        <v/>
      </c>
    </row>
    <row r="69">
      <c r="A69" s="13" t="inlineStr">
        <is>
          <t>한빛</t>
        </is>
      </c>
      <c r="B69" s="16" t="inlineStr">
        <is>
          <t>'01.10.</t>
        </is>
      </c>
      <c r="C69" s="164" t="n">
        <v>317</v>
      </c>
      <c r="D69" s="161" t="n">
        <v>75.90000000000001</v>
      </c>
      <c r="E69" s="163" t="n">
        <v>23</v>
      </c>
      <c r="F69" s="161" t="n">
        <v>62.4</v>
      </c>
      <c r="G69" s="27" t="n">
        <v>19</v>
      </c>
      <c r="H69" s="164" t="n">
        <v>24</v>
      </c>
      <c r="I69" s="165" t="n"/>
      <c r="J69" s="165" t="n"/>
      <c r="K69" s="165" t="n"/>
      <c r="L69" s="165" t="n"/>
      <c r="M69" s="166">
        <f>I69-K69</f>
        <v/>
      </c>
      <c r="N69" s="7">
        <f>IF(ISERROR(K69/I69),"",K69/I69)</f>
        <v/>
      </c>
      <c r="O69" s="162">
        <f>I69/E69</f>
        <v/>
      </c>
      <c r="P69" s="162">
        <f>K69/E69</f>
        <v/>
      </c>
      <c r="Q69" s="113" t="n">
        <v>2</v>
      </c>
      <c r="R69" s="113" t="n">
        <v>1</v>
      </c>
      <c r="S69" s="113" t="inlineStr">
        <is>
          <t>계</t>
        </is>
      </c>
      <c r="T69" s="8" t="n">
        <v>75</v>
      </c>
      <c r="U69" s="13" t="n"/>
      <c r="W69" s="161">
        <f>D69</f>
        <v/>
      </c>
      <c r="X69" s="163">
        <f>E69</f>
        <v/>
      </c>
      <c r="Y69" s="159">
        <f>H69</f>
        <v/>
      </c>
      <c r="Z69" s="166">
        <f>I69</f>
        <v/>
      </c>
      <c r="AA69" s="166">
        <f>K69</f>
        <v/>
      </c>
      <c r="AB69" s="166">
        <f>M69</f>
        <v/>
      </c>
      <c r="AC69" s="7">
        <f>N69</f>
        <v/>
      </c>
      <c r="AD69" s="162">
        <f>O69</f>
        <v/>
      </c>
      <c r="AE69" s="113">
        <f>S69</f>
        <v/>
      </c>
      <c r="AF69" s="113">
        <f>Q69&amp;"/"&amp;R69</f>
        <v/>
      </c>
      <c r="AH69" s="36">
        <f>IF(A69="","",A69)</f>
        <v/>
      </c>
      <c r="AI69" s="163">
        <f>IF(E69="","",E69)</f>
        <v/>
      </c>
      <c r="AJ69" s="113">
        <f>IF(AI69="","",$AJ$2)</f>
        <v/>
      </c>
      <c r="AK69" s="113" t="inlineStr">
        <is>
          <t>A</t>
        </is>
      </c>
      <c r="AL69" s="113" t="inlineStr">
        <is>
          <t>A+</t>
        </is>
      </c>
      <c r="AM69" s="113" t="inlineStr">
        <is>
          <t>B+</t>
        </is>
      </c>
      <c r="AN69" s="113">
        <f>IF(AI69="","",$AN$2)</f>
        <v/>
      </c>
      <c r="AO69" s="113">
        <f>IF(N69="","",IF(N69&gt;=$AO$1/100,"O","X"))</f>
        <v/>
      </c>
      <c r="AP69" s="113">
        <f>IF(I69="","",IF(I69&lt;=$AP$1,"O","X"))</f>
        <v/>
      </c>
      <c r="AQ69" s="113">
        <f>IF(O69="","",IF(O69&lt;=$AQ$1,"O","X"))</f>
        <v/>
      </c>
      <c r="AR69" s="113">
        <f>IF(M69="","",IF(M69&lt;=$AR$1,"O","X"))</f>
        <v/>
      </c>
      <c r="AS69" s="113" t="inlineStr">
        <is>
          <t>X</t>
        </is>
      </c>
      <c r="AT69" s="113">
        <f>IF(OR(F69="",AI69=""),"",IF(AND((F69&lt;=85),(AI69&gt;=15)),"O","X"))</f>
        <v/>
      </c>
      <c r="AU69" s="113">
        <f>IF(C69="","",IF(C69&gt;=$AU$1,"O","X"))</f>
        <v/>
      </c>
      <c r="AV69" s="113">
        <f>IF(AO69="","",IF(AND(AO69="O",AP69="O",AR69="O",AT69="O",AU69="O"),"후보","X"))</f>
        <v/>
      </c>
    </row>
    <row r="70">
      <c r="A70" s="13" t="inlineStr">
        <is>
          <t>한빛</t>
        </is>
      </c>
      <c r="B70" s="16" t="inlineStr">
        <is>
          <t>'01.10.</t>
        </is>
      </c>
      <c r="C70" s="164" t="n">
        <v>317</v>
      </c>
      <c r="D70" s="161" t="n">
        <v>81.2</v>
      </c>
      <c r="E70" s="163" t="n">
        <v>25</v>
      </c>
      <c r="F70" s="161" t="n">
        <v>60.1</v>
      </c>
      <c r="G70" s="27" t="n">
        <v>18</v>
      </c>
      <c r="H70" s="164" t="n">
        <v>9</v>
      </c>
      <c r="I70" s="165" t="n"/>
      <c r="J70" s="165" t="n"/>
      <c r="K70" s="165" t="n"/>
      <c r="L70" s="165" t="n"/>
      <c r="M70" s="166">
        <f>I70-K70</f>
        <v/>
      </c>
      <c r="N70" s="7">
        <f>IF(ISERROR(K70/I70),"",K70/I70)</f>
        <v/>
      </c>
      <c r="O70" s="162">
        <f>I70/E70</f>
        <v/>
      </c>
      <c r="P70" s="162">
        <f>K70/E70</f>
        <v/>
      </c>
      <c r="Q70" s="113" t="n">
        <v>3</v>
      </c>
      <c r="R70" s="113" t="n">
        <v>1</v>
      </c>
      <c r="S70" s="113" t="inlineStr">
        <is>
          <t>계</t>
        </is>
      </c>
      <c r="T70" s="8" t="inlineStr">
        <is>
          <t>81A</t>
        </is>
      </c>
      <c r="U70" s="13" t="n"/>
      <c r="W70" s="161">
        <f>D70</f>
        <v/>
      </c>
      <c r="X70" s="163">
        <f>E70</f>
        <v/>
      </c>
      <c r="Y70" s="159">
        <f>H70</f>
        <v/>
      </c>
      <c r="Z70" s="166">
        <f>I70</f>
        <v/>
      </c>
      <c r="AA70" s="166">
        <f>K70</f>
        <v/>
      </c>
      <c r="AB70" s="166">
        <f>M70</f>
        <v/>
      </c>
      <c r="AC70" s="7">
        <f>N70</f>
        <v/>
      </c>
      <c r="AD70" s="162">
        <f>O70</f>
        <v/>
      </c>
      <c r="AE70" s="113">
        <f>S70</f>
        <v/>
      </c>
      <c r="AF70" s="113">
        <f>Q70&amp;"/"&amp;R70</f>
        <v/>
      </c>
      <c r="AH70" s="36">
        <f>IF(A70="","",A70)</f>
        <v/>
      </c>
      <c r="AI70" s="163">
        <f>IF(E70="","",E70)</f>
        <v/>
      </c>
      <c r="AJ70" s="113">
        <f>IF(AI70="","",$AJ$2)</f>
        <v/>
      </c>
      <c r="AK70" s="113" t="inlineStr">
        <is>
          <t>A</t>
        </is>
      </c>
      <c r="AL70" s="113" t="inlineStr">
        <is>
          <t>A+</t>
        </is>
      </c>
      <c r="AM70" s="113" t="inlineStr">
        <is>
          <t>B+</t>
        </is>
      </c>
      <c r="AN70" s="113">
        <f>IF(AI70="","",$AN$2)</f>
        <v/>
      </c>
      <c r="AO70" s="113">
        <f>IF(N70="","",IF(N70&gt;=$AO$1/100,"O","X"))</f>
        <v/>
      </c>
      <c r="AP70" s="113">
        <f>IF(I70="","",IF(I70&lt;=$AP$1,"O","X"))</f>
        <v/>
      </c>
      <c r="AQ70" s="113">
        <f>IF(O70="","",IF(O70&lt;=$AQ$1,"O","X"))</f>
        <v/>
      </c>
      <c r="AR70" s="113">
        <f>IF(M70="","",IF(M70&lt;=$AR$1,"O","X"))</f>
        <v/>
      </c>
      <c r="AS70" s="113" t="inlineStr">
        <is>
          <t>X</t>
        </is>
      </c>
      <c r="AT70" s="113">
        <f>IF(OR(F70="",AI70=""),"",IF(AND((F70&lt;=85),(AI70&gt;=15)),"O","X"))</f>
        <v/>
      </c>
      <c r="AU70" s="113">
        <f>IF(C70="","",IF(C70&gt;=$AU$1,"O","X"))</f>
        <v/>
      </c>
      <c r="AV70" s="113">
        <f>IF(AO70="","",IF(AND(AO70="O",AP70="O",AR70="O",AT70="O",AU70="O"),"후보","X"))</f>
        <v/>
      </c>
    </row>
    <row r="71">
      <c r="A71" s="13" t="inlineStr">
        <is>
          <t>한빛</t>
        </is>
      </c>
      <c r="B71" s="16" t="inlineStr">
        <is>
          <t>'01.10.</t>
        </is>
      </c>
      <c r="C71" s="164" t="n">
        <v>317</v>
      </c>
      <c r="D71" s="161" t="n">
        <v>83.09999999999999</v>
      </c>
      <c r="E71" s="163" t="n">
        <v>25</v>
      </c>
      <c r="F71" s="161" t="n">
        <v>64.2</v>
      </c>
      <c r="G71" s="27" t="n">
        <v>19</v>
      </c>
      <c r="H71" s="164" t="n">
        <v>75</v>
      </c>
      <c r="I71" s="165" t="n"/>
      <c r="J71" s="165" t="n"/>
      <c r="K71" s="165" t="n"/>
      <c r="L71" s="165" t="n"/>
      <c r="M71" s="166">
        <f>I71-K71</f>
        <v/>
      </c>
      <c r="N71" s="7">
        <f>IF(ISERROR(K71/I71),"",K71/I71)</f>
        <v/>
      </c>
      <c r="O71" s="162">
        <f>I71/E71</f>
        <v/>
      </c>
      <c r="P71" s="162">
        <f>K71/E71</f>
        <v/>
      </c>
      <c r="Q71" s="113" t="n">
        <v>3</v>
      </c>
      <c r="R71" s="113" t="n">
        <v>2</v>
      </c>
      <c r="S71" s="113" t="inlineStr">
        <is>
          <t>계</t>
        </is>
      </c>
      <c r="T71" s="8" t="inlineStr">
        <is>
          <t>83B</t>
        </is>
      </c>
      <c r="U71" s="13" t="n"/>
      <c r="W71" s="161">
        <f>D71</f>
        <v/>
      </c>
      <c r="X71" s="163">
        <f>E71</f>
        <v/>
      </c>
      <c r="Y71" s="159">
        <f>H71</f>
        <v/>
      </c>
      <c r="Z71" s="166">
        <f>I71</f>
        <v/>
      </c>
      <c r="AA71" s="166">
        <f>K71</f>
        <v/>
      </c>
      <c r="AB71" s="166">
        <f>M71</f>
        <v/>
      </c>
      <c r="AC71" s="7">
        <f>N71</f>
        <v/>
      </c>
      <c r="AD71" s="162">
        <f>O71</f>
        <v/>
      </c>
      <c r="AE71" s="113">
        <f>S71</f>
        <v/>
      </c>
      <c r="AF71" s="113">
        <f>Q71&amp;"/"&amp;R71</f>
        <v/>
      </c>
      <c r="AH71" s="36">
        <f>IF(A71="","",A71)</f>
        <v/>
      </c>
      <c r="AI71" s="163">
        <f>IF(E71="","",E71)</f>
        <v/>
      </c>
      <c r="AJ71" s="113">
        <f>IF(AI71="","",$AJ$2)</f>
        <v/>
      </c>
      <c r="AK71" s="113" t="inlineStr">
        <is>
          <t>A</t>
        </is>
      </c>
      <c r="AL71" s="113" t="inlineStr">
        <is>
          <t>A+</t>
        </is>
      </c>
      <c r="AM71" s="113" t="inlineStr">
        <is>
          <t>B+</t>
        </is>
      </c>
      <c r="AN71" s="113">
        <f>IF(AI71="","",$AN$2)</f>
        <v/>
      </c>
      <c r="AO71" s="113">
        <f>IF(N71="","",IF(N71&gt;=$AO$1/100,"O","X"))</f>
        <v/>
      </c>
      <c r="AP71" s="113">
        <f>IF(I71="","",IF(I71&lt;=$AP$1,"O","X"))</f>
        <v/>
      </c>
      <c r="AQ71" s="113">
        <f>IF(O71="","",IF(O71&lt;=$AQ$1,"O","X"))</f>
        <v/>
      </c>
      <c r="AR71" s="113">
        <f>IF(M71="","",IF(M71&lt;=$AR$1,"O","X"))</f>
        <v/>
      </c>
      <c r="AS71" s="113" t="inlineStr">
        <is>
          <t>X</t>
        </is>
      </c>
      <c r="AT71" s="113">
        <f>IF(OR(F71="",AI71=""),"",IF(AND((F71&lt;=85),(AI71&gt;=15)),"O","X"))</f>
        <v/>
      </c>
      <c r="AU71" s="113">
        <f>IF(C71="","",IF(C71&gt;=$AU$1,"O","X"))</f>
        <v/>
      </c>
      <c r="AV71" s="113">
        <f>IF(AO71="","",IF(AND(AO71="O",AP71="O",AR71="O",AT71="O",AU71="O"),"후보","X"))</f>
        <v/>
      </c>
    </row>
    <row r="72">
      <c r="A72" s="13" t="inlineStr">
        <is>
          <t>한빛</t>
        </is>
      </c>
      <c r="B72" s="16" t="inlineStr">
        <is>
          <t>'01.10.</t>
        </is>
      </c>
      <c r="C72" s="164" t="n">
        <v>317</v>
      </c>
      <c r="D72" s="161" t="n">
        <v>84.7</v>
      </c>
      <c r="E72" s="163" t="n">
        <v>26</v>
      </c>
      <c r="F72" s="161" t="n">
        <v>69.59999999999999</v>
      </c>
      <c r="G72" s="27" t="n">
        <v>21</v>
      </c>
      <c r="H72" s="164" t="n">
        <v>1</v>
      </c>
      <c r="I72" s="165" t="n"/>
      <c r="J72" s="165" t="n"/>
      <c r="K72" s="165" t="n"/>
      <c r="L72" s="165" t="n"/>
      <c r="M72" s="166">
        <f>I72-K72</f>
        <v/>
      </c>
      <c r="N72" s="7">
        <f>IF(ISERROR(K72/I72),"",K72/I72)</f>
        <v/>
      </c>
      <c r="O72" s="162">
        <f>I72/E72</f>
        <v/>
      </c>
      <c r="P72" s="162">
        <f>K72/E72</f>
        <v/>
      </c>
      <c r="Q72" s="113" t="n">
        <v>3</v>
      </c>
      <c r="R72" s="113" t="n">
        <v>1</v>
      </c>
      <c r="S72" s="113" t="inlineStr">
        <is>
          <t>계</t>
        </is>
      </c>
      <c r="T72" s="8" t="n">
        <v>84</v>
      </c>
      <c r="U72" s="13" t="n"/>
      <c r="W72" s="161">
        <f>D72</f>
        <v/>
      </c>
      <c r="X72" s="163">
        <f>E72</f>
        <v/>
      </c>
      <c r="Y72" s="159">
        <f>H72</f>
        <v/>
      </c>
      <c r="Z72" s="166">
        <f>I72</f>
        <v/>
      </c>
      <c r="AA72" s="166">
        <f>K72</f>
        <v/>
      </c>
      <c r="AB72" s="166">
        <f>M72</f>
        <v/>
      </c>
      <c r="AC72" s="7">
        <f>N72</f>
        <v/>
      </c>
      <c r="AD72" s="162">
        <f>O72</f>
        <v/>
      </c>
      <c r="AE72" s="113">
        <f>S72</f>
        <v/>
      </c>
      <c r="AF72" s="113">
        <f>Q72&amp;"/"&amp;R72</f>
        <v/>
      </c>
      <c r="AH72" s="36">
        <f>IF(A72="","",A72)</f>
        <v/>
      </c>
      <c r="AI72" s="163">
        <f>IF(E72="","",E72)</f>
        <v/>
      </c>
      <c r="AJ72" s="113">
        <f>IF(AI72="","",$AJ$2)</f>
        <v/>
      </c>
      <c r="AK72" s="113" t="inlineStr">
        <is>
          <t>A</t>
        </is>
      </c>
      <c r="AL72" s="113" t="inlineStr">
        <is>
          <t>A+</t>
        </is>
      </c>
      <c r="AM72" s="113" t="inlineStr">
        <is>
          <t>B+</t>
        </is>
      </c>
      <c r="AN72" s="113">
        <f>IF(AI72="","",$AN$2)</f>
        <v/>
      </c>
      <c r="AO72" s="113">
        <f>IF(N72="","",IF(N72&gt;=$AO$1/100,"O","X"))</f>
        <v/>
      </c>
      <c r="AP72" s="113">
        <f>IF(I72="","",IF(I72&lt;=$AP$1,"O","X"))</f>
        <v/>
      </c>
      <c r="AQ72" s="113">
        <f>IF(O72="","",IF(O72&lt;=$AQ$1,"O","X"))</f>
        <v/>
      </c>
      <c r="AR72" s="113">
        <f>IF(M72="","",IF(M72&lt;=$AR$1,"O","X"))</f>
        <v/>
      </c>
      <c r="AS72" s="113" t="inlineStr">
        <is>
          <t>X</t>
        </is>
      </c>
      <c r="AT72" s="113">
        <f>IF(OR(F72="",AI72=""),"",IF(AND((F72&lt;=85),(AI72&gt;=15)),"O","X"))</f>
        <v/>
      </c>
      <c r="AU72" s="113">
        <f>IF(C72="","",IF(C72&gt;=$AU$1,"O","X"))</f>
        <v/>
      </c>
      <c r="AV72" s="113">
        <f>IF(AO72="","",IF(AND(AO72="O",AP72="O",AR72="O",AT72="O",AU72="O"),"후보","X"))</f>
        <v/>
      </c>
    </row>
    <row r="73">
      <c r="A73" s="13" t="inlineStr">
        <is>
          <t>한빛</t>
        </is>
      </c>
      <c r="B73" s="16" t="inlineStr">
        <is>
          <t>'01.10.</t>
        </is>
      </c>
      <c r="C73" s="164" t="n">
        <v>317</v>
      </c>
      <c r="D73" s="161" t="n">
        <v>88.5</v>
      </c>
      <c r="E73" s="163" t="n">
        <v>27</v>
      </c>
      <c r="F73" s="161" t="n">
        <v>72.7</v>
      </c>
      <c r="G73" s="27" t="n">
        <v>22</v>
      </c>
      <c r="H73" s="164" t="n">
        <v>1</v>
      </c>
      <c r="I73" s="165" t="n"/>
      <c r="J73" s="165" t="n"/>
      <c r="K73" s="165" t="n"/>
      <c r="L73" s="165" t="n"/>
      <c r="M73" s="166">
        <f>I73-K73</f>
        <v/>
      </c>
      <c r="N73" s="7">
        <f>IF(ISERROR(K73/I73),"",K73/I73)</f>
        <v/>
      </c>
      <c r="O73" s="162">
        <f>I73/E73</f>
        <v/>
      </c>
      <c r="P73" s="162">
        <f>K73/E73</f>
        <v/>
      </c>
      <c r="Q73" s="113" t="n">
        <v>3</v>
      </c>
      <c r="R73" s="113" t="n">
        <v>1</v>
      </c>
      <c r="S73" s="113" t="inlineStr">
        <is>
          <t>계</t>
        </is>
      </c>
      <c r="T73" s="8" t="inlineStr">
        <is>
          <t>88A</t>
        </is>
      </c>
      <c r="U73" s="13" t="n"/>
      <c r="W73" s="161">
        <f>D73</f>
        <v/>
      </c>
      <c r="X73" s="163">
        <f>E73</f>
        <v/>
      </c>
      <c r="Y73" s="159">
        <f>H73</f>
        <v/>
      </c>
      <c r="Z73" s="166">
        <f>I73</f>
        <v/>
      </c>
      <c r="AA73" s="166">
        <f>K73</f>
        <v/>
      </c>
      <c r="AB73" s="166">
        <f>M73</f>
        <v/>
      </c>
      <c r="AC73" s="7">
        <f>N73</f>
        <v/>
      </c>
      <c r="AD73" s="162">
        <f>O73</f>
        <v/>
      </c>
      <c r="AE73" s="113">
        <f>S73</f>
        <v/>
      </c>
      <c r="AF73" s="113">
        <f>Q73&amp;"/"&amp;R73</f>
        <v/>
      </c>
      <c r="AH73" s="36">
        <f>IF(A73="","",A73)</f>
        <v/>
      </c>
      <c r="AI73" s="163">
        <f>IF(E73="","",E73)</f>
        <v/>
      </c>
      <c r="AJ73" s="113">
        <f>IF(AI73="","",$AJ$2)</f>
        <v/>
      </c>
      <c r="AK73" s="113" t="inlineStr">
        <is>
          <t>A</t>
        </is>
      </c>
      <c r="AL73" s="113" t="inlineStr">
        <is>
          <t>A+</t>
        </is>
      </c>
      <c r="AM73" s="113" t="inlineStr">
        <is>
          <t>B+</t>
        </is>
      </c>
      <c r="AN73" s="113">
        <f>IF(AI73="","",$AN$2)</f>
        <v/>
      </c>
      <c r="AO73" s="113">
        <f>IF(N73="","",IF(N73&gt;=$AO$1/100,"O","X"))</f>
        <v/>
      </c>
      <c r="AP73" s="113">
        <f>IF(I73="","",IF(I73&lt;=$AP$1,"O","X"))</f>
        <v/>
      </c>
      <c r="AQ73" s="113">
        <f>IF(O73="","",IF(O73&lt;=$AQ$1,"O","X"))</f>
        <v/>
      </c>
      <c r="AR73" s="113">
        <f>IF(M73="","",IF(M73&lt;=$AR$1,"O","X"))</f>
        <v/>
      </c>
      <c r="AS73" s="113" t="inlineStr">
        <is>
          <t>X</t>
        </is>
      </c>
      <c r="AT73" s="113">
        <f>IF(OR(F73="",AI73=""),"",IF(AND((F73&lt;=85),(AI73&gt;=15)),"O","X"))</f>
        <v/>
      </c>
      <c r="AU73" s="113">
        <f>IF(C73="","",IF(C73&gt;=$AU$1,"O","X"))</f>
        <v/>
      </c>
      <c r="AV73" s="113">
        <f>IF(AO73="","",IF(AND(AO73="O",AP73="O",AR73="O",AT73="O",AU73="O"),"후보","X"))</f>
        <v/>
      </c>
    </row>
    <row r="74">
      <c r="A74" s="13" t="inlineStr">
        <is>
          <t>한빛</t>
        </is>
      </c>
      <c r="B74" s="16" t="inlineStr">
        <is>
          <t>'01.10.</t>
        </is>
      </c>
      <c r="C74" s="164" t="n">
        <v>317</v>
      </c>
      <c r="D74" s="161" t="n">
        <v>90.7</v>
      </c>
      <c r="E74" s="163" t="n">
        <v>27</v>
      </c>
      <c r="F74" s="161" t="n">
        <v>74.5</v>
      </c>
      <c r="G74" s="27" t="n">
        <v>23</v>
      </c>
      <c r="H74" s="164" t="n">
        <v>8</v>
      </c>
      <c r="I74" s="165" t="n"/>
      <c r="J74" s="165" t="n"/>
      <c r="K74" s="165" t="n"/>
      <c r="L74" s="165" t="n"/>
      <c r="M74" s="166">
        <f>I74-K74</f>
        <v/>
      </c>
      <c r="N74" s="7">
        <f>IF(ISERROR(K74/I74),"",K74/I74)</f>
        <v/>
      </c>
      <c r="O74" s="162">
        <f>I74/E74</f>
        <v/>
      </c>
      <c r="P74" s="162">
        <f>K74/E74</f>
        <v/>
      </c>
      <c r="Q74" s="113" t="n">
        <v>3</v>
      </c>
      <c r="R74" s="113" t="n">
        <v>1</v>
      </c>
      <c r="S74" s="113" t="inlineStr">
        <is>
          <t>계</t>
        </is>
      </c>
      <c r="T74" s="8" t="inlineStr">
        <is>
          <t>90B</t>
        </is>
      </c>
      <c r="U74" s="13" t="n"/>
      <c r="W74" s="161">
        <f>D74</f>
        <v/>
      </c>
      <c r="X74" s="163">
        <f>E74</f>
        <v/>
      </c>
      <c r="Y74" s="159">
        <f>H74</f>
        <v/>
      </c>
      <c r="Z74" s="166">
        <f>I74</f>
        <v/>
      </c>
      <c r="AA74" s="166">
        <f>K74</f>
        <v/>
      </c>
      <c r="AB74" s="166">
        <f>M74</f>
        <v/>
      </c>
      <c r="AC74" s="7">
        <f>N74</f>
        <v/>
      </c>
      <c r="AD74" s="162">
        <f>O74</f>
        <v/>
      </c>
      <c r="AE74" s="113">
        <f>S74</f>
        <v/>
      </c>
      <c r="AF74" s="113">
        <f>Q74&amp;"/"&amp;R74</f>
        <v/>
      </c>
      <c r="AH74" s="36">
        <f>IF(A74="","",A74)</f>
        <v/>
      </c>
      <c r="AI74" s="163">
        <f>IF(E74="","",E74)</f>
        <v/>
      </c>
      <c r="AJ74" s="113">
        <f>IF(AI74="","",$AJ$2)</f>
        <v/>
      </c>
      <c r="AK74" s="113" t="inlineStr">
        <is>
          <t>A</t>
        </is>
      </c>
      <c r="AL74" s="113" t="inlineStr">
        <is>
          <t>A+</t>
        </is>
      </c>
      <c r="AM74" s="113" t="inlineStr">
        <is>
          <t>B+</t>
        </is>
      </c>
      <c r="AN74" s="113">
        <f>IF(AI74="","",$AN$2)</f>
        <v/>
      </c>
      <c r="AO74" s="113">
        <f>IF(N74="","",IF(N74&gt;=$AO$1/100,"O","X"))</f>
        <v/>
      </c>
      <c r="AP74" s="113">
        <f>IF(I74="","",IF(I74&lt;=$AP$1,"O","X"))</f>
        <v/>
      </c>
      <c r="AQ74" s="113">
        <f>IF(O74="","",IF(O74&lt;=$AQ$1,"O","X"))</f>
        <v/>
      </c>
      <c r="AR74" s="113">
        <f>IF(M74="","",IF(M74&lt;=$AR$1,"O","X"))</f>
        <v/>
      </c>
      <c r="AS74" s="113" t="inlineStr">
        <is>
          <t>X</t>
        </is>
      </c>
      <c r="AT74" s="113">
        <f>IF(OR(F74="",AI74=""),"",IF(AND((F74&lt;=85),(AI74&gt;=15)),"O","X"))</f>
        <v/>
      </c>
      <c r="AU74" s="113">
        <f>IF(C74="","",IF(C74&gt;=$AU$1,"O","X"))</f>
        <v/>
      </c>
      <c r="AV74" s="113">
        <f>IF(AO74="","",IF(AND(AO74="O",AP74="O",AR74="O",AT74="O",AU74="O"),"후보","X"))</f>
        <v/>
      </c>
    </row>
    <row r="75">
      <c r="A75" s="13" t="inlineStr">
        <is>
          <t>한빛</t>
        </is>
      </c>
      <c r="B75" s="16" t="inlineStr">
        <is>
          <t>'01.10.</t>
        </is>
      </c>
      <c r="C75" s="164" t="n">
        <v>317</v>
      </c>
      <c r="D75" s="161" t="n">
        <v>90.7</v>
      </c>
      <c r="E75" s="163" t="n">
        <v>27</v>
      </c>
      <c r="F75" s="161" t="n">
        <v>67.09999999999999</v>
      </c>
      <c r="G75" s="27" t="n">
        <v>20</v>
      </c>
      <c r="H75" s="164" t="n">
        <v>2</v>
      </c>
      <c r="I75" s="165" t="n"/>
      <c r="J75" s="165" t="n"/>
      <c r="K75" s="165" t="n"/>
      <c r="L75" s="165" t="n"/>
      <c r="M75" s="166">
        <f>I75-K75</f>
        <v/>
      </c>
      <c r="N75" s="7">
        <f>IF(ISERROR(K75/I75),"",K75/I75)</f>
        <v/>
      </c>
      <c r="O75" s="162">
        <f>I75/E75</f>
        <v/>
      </c>
      <c r="P75" s="162">
        <f>K75/E75</f>
        <v/>
      </c>
      <c r="Q75" s="113" t="n">
        <v>2</v>
      </c>
      <c r="R75" s="113" t="n">
        <v>1</v>
      </c>
      <c r="S75" s="113" t="inlineStr">
        <is>
          <t>계</t>
        </is>
      </c>
      <c r="T75" s="8" t="inlineStr">
        <is>
          <t>90C</t>
        </is>
      </c>
      <c r="U75" s="13" t="n"/>
      <c r="W75" s="161">
        <f>D75</f>
        <v/>
      </c>
      <c r="X75" s="163">
        <f>E75</f>
        <v/>
      </c>
      <c r="Y75" s="159">
        <f>H75</f>
        <v/>
      </c>
      <c r="Z75" s="166">
        <f>I75</f>
        <v/>
      </c>
      <c r="AA75" s="166">
        <f>K75</f>
        <v/>
      </c>
      <c r="AB75" s="166">
        <f>M75</f>
        <v/>
      </c>
      <c r="AC75" s="7">
        <f>N75</f>
        <v/>
      </c>
      <c r="AD75" s="162">
        <f>O75</f>
        <v/>
      </c>
      <c r="AE75" s="113">
        <f>S75</f>
        <v/>
      </c>
      <c r="AF75" s="113">
        <f>Q75&amp;"/"&amp;R75</f>
        <v/>
      </c>
      <c r="AH75" s="36">
        <f>IF(A75="","",A75)</f>
        <v/>
      </c>
      <c r="AI75" s="163">
        <f>IF(E75="","",E75)</f>
        <v/>
      </c>
      <c r="AJ75" s="113">
        <f>IF(AI75="","",$AJ$2)</f>
        <v/>
      </c>
      <c r="AK75" s="113" t="inlineStr">
        <is>
          <t>A</t>
        </is>
      </c>
      <c r="AL75" s="113" t="inlineStr">
        <is>
          <t>A+</t>
        </is>
      </c>
      <c r="AM75" s="113" t="inlineStr">
        <is>
          <t>B+</t>
        </is>
      </c>
      <c r="AN75" s="113">
        <f>IF(AI75="","",$AN$2)</f>
        <v/>
      </c>
      <c r="AO75" s="113">
        <f>IF(N75="","",IF(N75&gt;=$AO$1/100,"O","X"))</f>
        <v/>
      </c>
      <c r="AP75" s="113">
        <f>IF(I75="","",IF(I75&lt;=$AP$1,"O","X"))</f>
        <v/>
      </c>
      <c r="AQ75" s="113">
        <f>IF(O75="","",IF(O75&lt;=$AQ$1,"O","X"))</f>
        <v/>
      </c>
      <c r="AR75" s="113">
        <f>IF(M75="","",IF(M75&lt;=$AR$1,"O","X"))</f>
        <v/>
      </c>
      <c r="AS75" s="113" t="inlineStr">
        <is>
          <t>X</t>
        </is>
      </c>
      <c r="AT75" s="113">
        <f>IF(OR(F75="",AI75=""),"",IF(AND((F75&lt;=85),(AI75&gt;=15)),"O","X"))</f>
        <v/>
      </c>
      <c r="AU75" s="113">
        <f>IF(C75="","",IF(C75&gt;=$AU$1,"O","X"))</f>
        <v/>
      </c>
      <c r="AV75" s="113">
        <f>IF(AO75="","",IF(AND(AO75="O",AP75="O",AR75="O",AT75="O",AU75="O"),"후보","X"))</f>
        <v/>
      </c>
    </row>
    <row r="76">
      <c r="A76" s="13" t="inlineStr">
        <is>
          <t>한빛</t>
        </is>
      </c>
      <c r="B76" s="16" t="inlineStr">
        <is>
          <t>'01.10.</t>
        </is>
      </c>
      <c r="C76" s="164" t="n">
        <v>317</v>
      </c>
      <c r="D76" s="161" t="n">
        <v>95.09999999999999</v>
      </c>
      <c r="E76" s="163" t="n">
        <v>29</v>
      </c>
      <c r="F76" s="161" t="n">
        <v>78.09999999999999</v>
      </c>
      <c r="G76" s="27" t="n">
        <v>24</v>
      </c>
      <c r="H76" s="164" t="n">
        <v>1</v>
      </c>
      <c r="I76" s="165" t="n"/>
      <c r="J76" s="165" t="n"/>
      <c r="K76" s="165" t="n"/>
      <c r="L76" s="165" t="n"/>
      <c r="M76" s="166">
        <f>I76-K76</f>
        <v/>
      </c>
      <c r="N76" s="7">
        <f>IF(ISERROR(K76/I76),"",K76/I76)</f>
        <v/>
      </c>
      <c r="O76" s="162">
        <f>I76/E76</f>
        <v/>
      </c>
      <c r="P76" s="162">
        <f>K76/E76</f>
        <v/>
      </c>
      <c r="Q76" s="113" t="n">
        <v>3</v>
      </c>
      <c r="R76" s="113" t="n">
        <v>2</v>
      </c>
      <c r="S76" s="113" t="inlineStr">
        <is>
          <t>계</t>
        </is>
      </c>
      <c r="T76" s="8" t="n">
        <v>95</v>
      </c>
      <c r="U76" s="13" t="n"/>
      <c r="W76" s="161">
        <f>D76</f>
        <v/>
      </c>
      <c r="X76" s="163">
        <f>E76</f>
        <v/>
      </c>
      <c r="Y76" s="159">
        <f>H76</f>
        <v/>
      </c>
      <c r="Z76" s="166">
        <f>I76</f>
        <v/>
      </c>
      <c r="AA76" s="166">
        <f>K76</f>
        <v/>
      </c>
      <c r="AB76" s="166">
        <f>M76</f>
        <v/>
      </c>
      <c r="AC76" s="7">
        <f>N76</f>
        <v/>
      </c>
      <c r="AD76" s="162">
        <f>O76</f>
        <v/>
      </c>
      <c r="AE76" s="113">
        <f>S76</f>
        <v/>
      </c>
      <c r="AF76" s="113">
        <f>Q76&amp;"/"&amp;R76</f>
        <v/>
      </c>
      <c r="AH76" s="36">
        <f>IF(A76="","",A76)</f>
        <v/>
      </c>
      <c r="AI76" s="163">
        <f>IF(E76="","",E76)</f>
        <v/>
      </c>
      <c r="AJ76" s="113">
        <f>IF(AI76="","",$AJ$2)</f>
        <v/>
      </c>
      <c r="AK76" s="113" t="inlineStr">
        <is>
          <t>A</t>
        </is>
      </c>
      <c r="AL76" s="113" t="inlineStr">
        <is>
          <t>A+</t>
        </is>
      </c>
      <c r="AM76" s="113" t="inlineStr">
        <is>
          <t>B+</t>
        </is>
      </c>
      <c r="AN76" s="113">
        <f>IF(AI76="","",$AN$2)</f>
        <v/>
      </c>
      <c r="AO76" s="113">
        <f>IF(N76="","",IF(N76&gt;=$AO$1/100,"O","X"))</f>
        <v/>
      </c>
      <c r="AP76" s="113">
        <f>IF(I76="","",IF(I76&lt;=$AP$1,"O","X"))</f>
        <v/>
      </c>
      <c r="AQ76" s="113">
        <f>IF(O76="","",IF(O76&lt;=$AQ$1,"O","X"))</f>
        <v/>
      </c>
      <c r="AR76" s="113">
        <f>IF(M76="","",IF(M76&lt;=$AR$1,"O","X"))</f>
        <v/>
      </c>
      <c r="AS76" s="113" t="inlineStr">
        <is>
          <t>X</t>
        </is>
      </c>
      <c r="AT76" s="113">
        <f>IF(OR(F76="",AI76=""),"",IF(AND((F76&lt;=85),(AI76&gt;=15)),"O","X"))</f>
        <v/>
      </c>
      <c r="AU76" s="113">
        <f>IF(C76="","",IF(C76&gt;=$AU$1,"O","X"))</f>
        <v/>
      </c>
      <c r="AV76" s="113">
        <f>IF(AO76="","",IF(AND(AO76="O",AP76="O",AR76="O",AT76="O",AU76="O"),"후보","X"))</f>
        <v/>
      </c>
    </row>
    <row r="77">
      <c r="A77" s="13" t="inlineStr">
        <is>
          <t>한빛</t>
        </is>
      </c>
      <c r="B77" s="16" t="inlineStr">
        <is>
          <t>'01.10.</t>
        </is>
      </c>
      <c r="C77" s="164" t="n">
        <v>317</v>
      </c>
      <c r="D77" s="161" t="n">
        <v>97.8</v>
      </c>
      <c r="E77" s="163" t="n">
        <v>30</v>
      </c>
      <c r="F77" s="161" t="n">
        <v>72.40000000000001</v>
      </c>
      <c r="G77" s="27" t="n">
        <v>22</v>
      </c>
      <c r="H77" s="164" t="n">
        <v>108</v>
      </c>
      <c r="I77" s="165" t="n"/>
      <c r="J77" s="165" t="n"/>
      <c r="K77" s="165" t="n"/>
      <c r="L77" s="165" t="n"/>
      <c r="M77" s="166">
        <f>I77-K77</f>
        <v/>
      </c>
      <c r="N77" s="7">
        <f>IF(ISERROR(K77/I77),"",K77/I77)</f>
        <v/>
      </c>
      <c r="O77" s="162">
        <f>I77/E77</f>
        <v/>
      </c>
      <c r="P77" s="162">
        <f>K77/E77</f>
        <v/>
      </c>
      <c r="Q77" s="113" t="n">
        <v>3</v>
      </c>
      <c r="R77" s="113" t="n">
        <v>2</v>
      </c>
      <c r="S77" s="113" t="inlineStr">
        <is>
          <t>계</t>
        </is>
      </c>
      <c r="T77" s="8" t="inlineStr">
        <is>
          <t>97A</t>
        </is>
      </c>
      <c r="U77" s="13" t="n"/>
      <c r="W77" s="161">
        <f>D77</f>
        <v/>
      </c>
      <c r="X77" s="163">
        <f>E77</f>
        <v/>
      </c>
      <c r="Y77" s="159">
        <f>H77</f>
        <v/>
      </c>
      <c r="Z77" s="166">
        <f>I77</f>
        <v/>
      </c>
      <c r="AA77" s="166">
        <f>K77</f>
        <v/>
      </c>
      <c r="AB77" s="166">
        <f>M77</f>
        <v/>
      </c>
      <c r="AC77" s="7">
        <f>N77</f>
        <v/>
      </c>
      <c r="AD77" s="162">
        <f>O77</f>
        <v/>
      </c>
      <c r="AE77" s="113">
        <f>S77</f>
        <v/>
      </c>
      <c r="AF77" s="113">
        <f>Q77&amp;"/"&amp;R77</f>
        <v/>
      </c>
      <c r="AH77" s="36">
        <f>IF(A77="","",A77)</f>
        <v/>
      </c>
      <c r="AI77" s="163">
        <f>IF(E77="","",E77)</f>
        <v/>
      </c>
      <c r="AJ77" s="113">
        <f>IF(AI77="","",$AJ$2)</f>
        <v/>
      </c>
      <c r="AK77" s="113" t="inlineStr">
        <is>
          <t>A</t>
        </is>
      </c>
      <c r="AL77" s="113" t="inlineStr">
        <is>
          <t>A+</t>
        </is>
      </c>
      <c r="AM77" s="113" t="inlineStr">
        <is>
          <t>B+</t>
        </is>
      </c>
      <c r="AN77" s="113">
        <f>IF(AI77="","",$AN$2)</f>
        <v/>
      </c>
      <c r="AO77" s="113">
        <f>IF(N77="","",IF(N77&gt;=$AO$1/100,"O","X"))</f>
        <v/>
      </c>
      <c r="AP77" s="113">
        <f>IF(I77="","",IF(I77&lt;=$AP$1,"O","X"))</f>
        <v/>
      </c>
      <c r="AQ77" s="113">
        <f>IF(O77="","",IF(O77&lt;=$AQ$1,"O","X"))</f>
        <v/>
      </c>
      <c r="AR77" s="113">
        <f>IF(M77="","",IF(M77&lt;=$AR$1,"O","X"))</f>
        <v/>
      </c>
      <c r="AS77" s="113" t="inlineStr">
        <is>
          <t>X</t>
        </is>
      </c>
      <c r="AT77" s="113">
        <f>IF(OR(F77="",AI77=""),"",IF(AND((F77&lt;=85),(AI77&gt;=15)),"O","X"))</f>
        <v/>
      </c>
      <c r="AU77" s="113">
        <f>IF(C77="","",IF(C77&gt;=$AU$1,"O","X"))</f>
        <v/>
      </c>
      <c r="AV77" s="113">
        <f>IF(AO77="","",IF(AND(AO77="O",AP77="O",AR77="O",AT77="O",AU77="O"),"후보","X"))</f>
        <v/>
      </c>
    </row>
    <row r="78">
      <c r="A78" s="13" t="inlineStr">
        <is>
          <t>한빛</t>
        </is>
      </c>
      <c r="B78" s="16" t="inlineStr">
        <is>
          <t>'01.10.</t>
        </is>
      </c>
      <c r="C78" s="164" t="n">
        <v>317</v>
      </c>
      <c r="D78" s="161" t="n">
        <v>99</v>
      </c>
      <c r="E78" s="163" t="n">
        <v>30</v>
      </c>
      <c r="F78" s="161" t="n">
        <v>81.3</v>
      </c>
      <c r="G78" s="27" t="n">
        <v>25</v>
      </c>
      <c r="H78" s="164" t="n">
        <v>8</v>
      </c>
      <c r="I78" s="165" t="n"/>
      <c r="J78" s="165" t="n"/>
      <c r="K78" s="165" t="n"/>
      <c r="L78" s="165" t="n"/>
      <c r="M78" s="166">
        <f>I78-K78</f>
        <v/>
      </c>
      <c r="N78" s="7">
        <f>IF(ISERROR(K78/I78),"",K78/I78)</f>
        <v/>
      </c>
      <c r="O78" s="162">
        <f>I78/E78</f>
        <v/>
      </c>
      <c r="P78" s="162">
        <f>K78/E78</f>
        <v/>
      </c>
      <c r="Q78" s="113" t="n">
        <v>3</v>
      </c>
      <c r="R78" s="113" t="n">
        <v>2</v>
      </c>
      <c r="S78" s="113" t="inlineStr">
        <is>
          <t>계</t>
        </is>
      </c>
      <c r="T78" s="8" t="inlineStr">
        <is>
          <t>98B</t>
        </is>
      </c>
      <c r="U78" s="13" t="n"/>
      <c r="W78" s="161">
        <f>D78</f>
        <v/>
      </c>
      <c r="X78" s="163">
        <f>E78</f>
        <v/>
      </c>
      <c r="Y78" s="159">
        <f>H78</f>
        <v/>
      </c>
      <c r="Z78" s="166">
        <f>I78</f>
        <v/>
      </c>
      <c r="AA78" s="166">
        <f>K78</f>
        <v/>
      </c>
      <c r="AB78" s="166">
        <f>M78</f>
        <v/>
      </c>
      <c r="AC78" s="7">
        <f>N78</f>
        <v/>
      </c>
      <c r="AD78" s="162">
        <f>O78</f>
        <v/>
      </c>
      <c r="AE78" s="113">
        <f>S78</f>
        <v/>
      </c>
      <c r="AF78" s="113">
        <f>Q78&amp;"/"&amp;R78</f>
        <v/>
      </c>
      <c r="AH78" s="36">
        <f>IF(A78="","",A78)</f>
        <v/>
      </c>
      <c r="AI78" s="163">
        <f>IF(E78="","",E78)</f>
        <v/>
      </c>
      <c r="AJ78" s="113">
        <f>IF(AI78="","",$AJ$2)</f>
        <v/>
      </c>
      <c r="AK78" s="113" t="inlineStr">
        <is>
          <t>A</t>
        </is>
      </c>
      <c r="AL78" s="113" t="inlineStr">
        <is>
          <t>A+</t>
        </is>
      </c>
      <c r="AM78" s="113" t="inlineStr">
        <is>
          <t>B+</t>
        </is>
      </c>
      <c r="AN78" s="113">
        <f>IF(AI78="","",$AN$2)</f>
        <v/>
      </c>
      <c r="AO78" s="113">
        <f>IF(N78="","",IF(N78&gt;=$AO$1/100,"O","X"))</f>
        <v/>
      </c>
      <c r="AP78" s="113">
        <f>IF(I78="","",IF(I78&lt;=$AP$1,"O","X"))</f>
        <v/>
      </c>
      <c r="AQ78" s="113">
        <f>IF(O78="","",IF(O78&lt;=$AQ$1,"O","X"))</f>
        <v/>
      </c>
      <c r="AR78" s="113">
        <f>IF(M78="","",IF(M78&lt;=$AR$1,"O","X"))</f>
        <v/>
      </c>
      <c r="AS78" s="113" t="inlineStr">
        <is>
          <t>X</t>
        </is>
      </c>
      <c r="AT78" s="113">
        <f>IF(OR(F78="",AI78=""),"",IF(AND((F78&lt;=85),(AI78&gt;=15)),"O","X"))</f>
        <v/>
      </c>
      <c r="AU78" s="113">
        <f>IF(C78="","",IF(C78&gt;=$AU$1,"O","X"))</f>
        <v/>
      </c>
      <c r="AV78" s="113">
        <f>IF(AO78="","",IF(AND(AO78="O",AP78="O",AR78="O",AT78="O",AU78="O"),"후보","X"))</f>
        <v/>
      </c>
    </row>
    <row r="79">
      <c r="A79" s="13" t="inlineStr">
        <is>
          <t>한빛</t>
        </is>
      </c>
      <c r="B79" s="16" t="inlineStr">
        <is>
          <t>'01.10.</t>
        </is>
      </c>
      <c r="C79" s="164" t="n">
        <v>317</v>
      </c>
      <c r="D79" s="161" t="n">
        <v>101.2</v>
      </c>
      <c r="E79" s="163" t="n">
        <v>31</v>
      </c>
      <c r="F79" s="161" t="n">
        <v>83.09999999999999</v>
      </c>
      <c r="G79" s="27" t="n">
        <v>25</v>
      </c>
      <c r="H79" s="164" t="n">
        <v>38</v>
      </c>
      <c r="I79" s="165" t="n"/>
      <c r="J79" s="165" t="n"/>
      <c r="K79" s="165" t="n"/>
      <c r="L79" s="165" t="n"/>
      <c r="M79" s="166">
        <f>I79-K79</f>
        <v/>
      </c>
      <c r="N79" s="7">
        <f>IF(ISERROR(K79/I79),"",K79/I79)</f>
        <v/>
      </c>
      <c r="O79" s="162">
        <f>I79/E79</f>
        <v/>
      </c>
      <c r="P79" s="162">
        <f>K79/E79</f>
        <v/>
      </c>
      <c r="Q79" s="113" t="n">
        <v>3</v>
      </c>
      <c r="R79" s="113" t="n">
        <v>2</v>
      </c>
      <c r="S79" s="113" t="inlineStr">
        <is>
          <t>계</t>
        </is>
      </c>
      <c r="T79" s="8" t="n">
        <v>101</v>
      </c>
      <c r="U79" s="13" t="n"/>
      <c r="W79" s="161">
        <f>D79</f>
        <v/>
      </c>
      <c r="X79" s="163">
        <f>E79</f>
        <v/>
      </c>
      <c r="Y79" s="159">
        <f>H79</f>
        <v/>
      </c>
      <c r="Z79" s="166">
        <f>I79</f>
        <v/>
      </c>
      <c r="AA79" s="166">
        <f>K79</f>
        <v/>
      </c>
      <c r="AB79" s="166">
        <f>M79</f>
        <v/>
      </c>
      <c r="AC79" s="7">
        <f>N79</f>
        <v/>
      </c>
      <c r="AD79" s="162">
        <f>O79</f>
        <v/>
      </c>
      <c r="AE79" s="113">
        <f>S79</f>
        <v/>
      </c>
      <c r="AF79" s="113">
        <f>Q79&amp;"/"&amp;R79</f>
        <v/>
      </c>
      <c r="AH79" s="36">
        <f>IF(A79="","",A79)</f>
        <v/>
      </c>
      <c r="AI79" s="163">
        <f>IF(E79="","",E79)</f>
        <v/>
      </c>
      <c r="AJ79" s="113">
        <f>IF(AI79="","",$AJ$2)</f>
        <v/>
      </c>
      <c r="AK79" s="113" t="inlineStr">
        <is>
          <t>A</t>
        </is>
      </c>
      <c r="AL79" s="113" t="inlineStr">
        <is>
          <t>A+</t>
        </is>
      </c>
      <c r="AM79" s="113" t="inlineStr">
        <is>
          <t>B+</t>
        </is>
      </c>
      <c r="AN79" s="113">
        <f>IF(AI79="","",$AN$2)</f>
        <v/>
      </c>
      <c r="AO79" s="113">
        <f>IF(N79="","",IF(N79&gt;=$AO$1/100,"O","X"))</f>
        <v/>
      </c>
      <c r="AP79" s="113">
        <f>IF(I79="","",IF(I79&lt;=$AP$1,"O","X"))</f>
        <v/>
      </c>
      <c r="AQ79" s="113">
        <f>IF(O79="","",IF(O79&lt;=$AQ$1,"O","X"))</f>
        <v/>
      </c>
      <c r="AR79" s="113">
        <f>IF(M79="","",IF(M79&lt;=$AR$1,"O","X"))</f>
        <v/>
      </c>
      <c r="AS79" s="113" t="inlineStr">
        <is>
          <t>X</t>
        </is>
      </c>
      <c r="AT79" s="113">
        <f>IF(OR(F79="",AI79=""),"",IF(AND((F79&lt;=85),(AI79&gt;=15)),"O","X"))</f>
        <v/>
      </c>
      <c r="AU79" s="113">
        <f>IF(C79="","",IF(C79&gt;=$AU$1,"O","X"))</f>
        <v/>
      </c>
      <c r="AV79" s="113">
        <f>IF(AO79="","",IF(AND(AO79="O",AP79="O",AR79="O",AT79="O",AU79="O"),"후보","X"))</f>
        <v/>
      </c>
    </row>
    <row r="80">
      <c r="A80" s="13" t="inlineStr">
        <is>
          <t>한빛</t>
        </is>
      </c>
      <c r="B80" s="16" t="inlineStr">
        <is>
          <t>'01.10.</t>
        </is>
      </c>
      <c r="C80" s="164" t="n">
        <v>317</v>
      </c>
      <c r="D80" s="161" t="n">
        <v>114.5</v>
      </c>
      <c r="E80" s="163" t="n">
        <v>35</v>
      </c>
      <c r="F80" s="161" t="n">
        <v>84.8</v>
      </c>
      <c r="G80" s="27" t="n">
        <v>26</v>
      </c>
      <c r="H80" s="164" t="n">
        <v>12</v>
      </c>
      <c r="I80" s="165" t="n"/>
      <c r="J80" s="165" t="n"/>
      <c r="K80" s="165" t="n"/>
      <c r="L80" s="165" t="n"/>
      <c r="M80" s="166">
        <f>I80-K80</f>
        <v/>
      </c>
      <c r="N80" s="7">
        <f>IF(ISERROR(K80/I80),"",K80/I80)</f>
        <v/>
      </c>
      <c r="O80" s="162">
        <f>I80/E80</f>
        <v/>
      </c>
      <c r="P80" s="162">
        <f>K80/E80</f>
        <v/>
      </c>
      <c r="Q80" s="113" t="n">
        <v>3</v>
      </c>
      <c r="R80" s="113" t="n">
        <v>2</v>
      </c>
      <c r="S80" s="113" t="inlineStr">
        <is>
          <t>계</t>
        </is>
      </c>
      <c r="T80" s="8" t="n">
        <v>114</v>
      </c>
      <c r="U80" s="13" t="n"/>
      <c r="W80" s="161">
        <f>D80</f>
        <v/>
      </c>
      <c r="X80" s="163">
        <f>E80</f>
        <v/>
      </c>
      <c r="Y80" s="159">
        <f>H80</f>
        <v/>
      </c>
      <c r="Z80" s="166">
        <f>I80</f>
        <v/>
      </c>
      <c r="AA80" s="166">
        <f>K80</f>
        <v/>
      </c>
      <c r="AB80" s="166">
        <f>M80</f>
        <v/>
      </c>
      <c r="AC80" s="7">
        <f>N80</f>
        <v/>
      </c>
      <c r="AD80" s="162">
        <f>O80</f>
        <v/>
      </c>
      <c r="AE80" s="113">
        <f>S80</f>
        <v/>
      </c>
      <c r="AF80" s="113">
        <f>Q80&amp;"/"&amp;R80</f>
        <v/>
      </c>
      <c r="AH80" s="36">
        <f>IF(A80="","",A80)</f>
        <v/>
      </c>
      <c r="AI80" s="163">
        <f>IF(E80="","",E80)</f>
        <v/>
      </c>
      <c r="AJ80" s="113">
        <f>IF(AI80="","",$AJ$2)</f>
        <v/>
      </c>
      <c r="AK80" s="113" t="inlineStr">
        <is>
          <t>A</t>
        </is>
      </c>
      <c r="AL80" s="113" t="inlineStr">
        <is>
          <t>A+</t>
        </is>
      </c>
      <c r="AM80" s="113" t="inlineStr">
        <is>
          <t>B+</t>
        </is>
      </c>
      <c r="AN80" s="113">
        <f>IF(AI80="","",$AN$2)</f>
        <v/>
      </c>
      <c r="AO80" s="113">
        <f>IF(N80="","",IF(N80&gt;=$AO$1/100,"O","X"))</f>
        <v/>
      </c>
      <c r="AP80" s="113">
        <f>IF(I80="","",IF(I80&lt;=$AP$1,"O","X"))</f>
        <v/>
      </c>
      <c r="AQ80" s="113">
        <f>IF(O80="","",IF(O80&lt;=$AQ$1,"O","X"))</f>
        <v/>
      </c>
      <c r="AR80" s="113">
        <f>IF(M80="","",IF(M80&lt;=$AR$1,"O","X"))</f>
        <v/>
      </c>
      <c r="AS80" s="113" t="inlineStr">
        <is>
          <t>X</t>
        </is>
      </c>
      <c r="AT80" s="113">
        <f>IF(OR(F80="",AI80=""),"",IF(AND((F80&lt;=85),(AI80&gt;=15)),"O","X"))</f>
        <v/>
      </c>
      <c r="AU80" s="113">
        <f>IF(C80="","",IF(C80&gt;=$AU$1,"O","X"))</f>
        <v/>
      </c>
      <c r="AV80" s="113">
        <f>IF(AO80="","",IF(AND(AO80="O",AP80="O",AR80="O",AT80="O",AU80="O"),"후보","X"))</f>
        <v/>
      </c>
    </row>
    <row r="81">
      <c r="A81" s="13" t="n"/>
      <c r="B81" s="113" t="n"/>
      <c r="C81" s="10" t="n"/>
      <c r="D81" s="13" t="n"/>
      <c r="E81" s="20" t="n"/>
      <c r="F81" s="161" t="n"/>
      <c r="G81" s="13" t="n"/>
      <c r="H81" s="13" t="n"/>
      <c r="I81" s="13" t="n"/>
      <c r="J81" s="13" t="n"/>
      <c r="K81" s="13" t="n"/>
      <c r="L81" s="13" t="n"/>
      <c r="M81" s="13" t="n"/>
      <c r="N81" s="13" t="n"/>
      <c r="O81" s="162" t="n"/>
      <c r="P81" s="162" t="n"/>
      <c r="Q81" s="163" t="n"/>
      <c r="R81" s="163" t="n"/>
      <c r="S81" s="13" t="n"/>
      <c r="T81" s="70" t="n"/>
      <c r="U81" s="13" t="n"/>
      <c r="W81" s="107">
        <f>$A$4&amp;" "&amp;A82&amp;"("&amp;B82&amp;","&amp;C82&amp;"^)"</f>
        <v/>
      </c>
      <c r="X81" s="108" t="n"/>
      <c r="Y81" s="108" t="n"/>
      <c r="Z81" s="108" t="n"/>
      <c r="AA81" s="108" t="n"/>
      <c r="AB81" s="108" t="n"/>
      <c r="AC81" s="108" t="n"/>
      <c r="AD81" s="108" t="n"/>
      <c r="AE81" s="108" t="n"/>
      <c r="AF81" s="109" t="n"/>
      <c r="AH81" s="36">
        <f>IF(A81="","",A81)</f>
        <v/>
      </c>
      <c r="AI81" s="160">
        <f>IF(E81="","",E81)</f>
        <v/>
      </c>
      <c r="AJ81" s="113" t="n"/>
      <c r="AK81" s="113" t="n"/>
      <c r="AL81" s="113" t="n"/>
      <c r="AM81" s="113" t="n"/>
      <c r="AN81" s="113" t="n"/>
      <c r="AO81" s="113" t="n"/>
      <c r="AP81" s="113" t="n"/>
      <c r="AQ81" s="113" t="n"/>
      <c r="AR81" s="113" t="n"/>
      <c r="AS81" s="113" t="n"/>
      <c r="AT81" s="113" t="n"/>
      <c r="AU81" s="113" t="n"/>
      <c r="AV81" s="113" t="n"/>
    </row>
    <row r="82">
      <c r="A82" s="13" t="inlineStr">
        <is>
          <t>길동우성</t>
        </is>
      </c>
      <c r="B82" s="16" t="inlineStr">
        <is>
          <t>'94.10.</t>
        </is>
      </c>
      <c r="C82" s="164" t="n">
        <v>811</v>
      </c>
      <c r="D82" s="161" t="n">
        <v>54.9</v>
      </c>
      <c r="E82" s="163" t="n">
        <v>17</v>
      </c>
      <c r="F82" s="161" t="n">
        <v>40.4</v>
      </c>
      <c r="G82" s="27" t="n">
        <v>12</v>
      </c>
      <c r="H82" s="164" t="n">
        <v>91</v>
      </c>
      <c r="I82" s="165" t="n">
        <v>76000</v>
      </c>
      <c r="J82" s="165" t="inlineStr">
        <is>
          <t>고</t>
        </is>
      </c>
      <c r="K82" s="165" t="n"/>
      <c r="L82" s="165" t="n"/>
      <c r="M82" s="166">
        <f>I82-K82</f>
        <v/>
      </c>
      <c r="N82" s="7">
        <f>IF(ISERROR(K82/I82),"",K82/I82)</f>
        <v/>
      </c>
      <c r="O82" s="162">
        <f>I82/E82</f>
        <v/>
      </c>
      <c r="P82" s="162">
        <f>K82/E82</f>
        <v/>
      </c>
      <c r="Q82" s="113" t="n">
        <v>2</v>
      </c>
      <c r="R82" s="113" t="n">
        <v>1</v>
      </c>
      <c r="S82" s="113" t="inlineStr">
        <is>
          <t>계</t>
        </is>
      </c>
      <c r="T82" s="8" t="n">
        <v>54</v>
      </c>
      <c r="U82" s="13" t="n"/>
      <c r="W82" s="161">
        <f>D82</f>
        <v/>
      </c>
      <c r="X82" s="163">
        <f>E82</f>
        <v/>
      </c>
      <c r="Y82" s="159">
        <f>H82</f>
        <v/>
      </c>
      <c r="Z82" s="166">
        <f>I82</f>
        <v/>
      </c>
      <c r="AA82" s="166">
        <f>K82</f>
        <v/>
      </c>
      <c r="AB82" s="166">
        <f>M82</f>
        <v/>
      </c>
      <c r="AC82" s="7">
        <f>N82</f>
        <v/>
      </c>
      <c r="AD82" s="162">
        <f>O82</f>
        <v/>
      </c>
      <c r="AE82" s="113">
        <f>S82</f>
        <v/>
      </c>
      <c r="AF82" s="113">
        <f>Q82&amp;"/"&amp;R82</f>
        <v/>
      </c>
      <c r="AH82" s="36">
        <f>IF(A82="","",A82)</f>
        <v/>
      </c>
      <c r="AI82" s="163">
        <f>IF(E82="","",E82)</f>
        <v/>
      </c>
      <c r="AJ82" s="113">
        <f>IF(AI82="","",$AJ$2)</f>
        <v/>
      </c>
      <c r="AK82" s="113" t="inlineStr">
        <is>
          <t>A</t>
        </is>
      </c>
      <c r="AL82" s="113" t="inlineStr">
        <is>
          <t>A+</t>
        </is>
      </c>
      <c r="AM82" s="113" t="inlineStr">
        <is>
          <t>B+</t>
        </is>
      </c>
      <c r="AN82" s="113">
        <f>IF(AI82="","",$AN$2)</f>
        <v/>
      </c>
      <c r="AO82" s="113">
        <f>IF(N82="","",IF(N82&gt;=$AO$1/100,"O","X"))</f>
        <v/>
      </c>
      <c r="AP82" s="113">
        <f>IF(I82="","",IF(I82&lt;=$AP$1,"O","X"))</f>
        <v/>
      </c>
      <c r="AQ82" s="113">
        <f>IF(O82="","",IF(O82&lt;=$AQ$1,"O","X"))</f>
        <v/>
      </c>
      <c r="AR82" s="113">
        <f>IF(M82="","",IF(M82&lt;=$AR$1,"O","X"))</f>
        <v/>
      </c>
      <c r="AS82" s="113" t="inlineStr">
        <is>
          <t>X</t>
        </is>
      </c>
      <c r="AT82" s="113">
        <f>IF(OR(F82="",AI82=""),"",IF(AND((F82&lt;=85),(AI82&gt;=15)),"O","X"))</f>
        <v/>
      </c>
      <c r="AU82" s="113">
        <f>IF(C82="","",IF(C82&gt;=$AU$1,"O","X"))</f>
        <v/>
      </c>
      <c r="AV82" s="113">
        <f>IF(AO82="","",IF(AND(AO82="O",AP82="O",AR82="O",AT82="O",AU82="O"),"후보","X"))</f>
        <v/>
      </c>
    </row>
    <row r="83">
      <c r="A83" s="13" t="inlineStr">
        <is>
          <t>길동우성</t>
        </is>
      </c>
      <c r="B83" s="16" t="inlineStr">
        <is>
          <t>'94.10.</t>
        </is>
      </c>
      <c r="C83" s="164" t="n">
        <v>811</v>
      </c>
      <c r="D83" s="161" t="n">
        <v>76.90000000000001</v>
      </c>
      <c r="E83" s="163" t="n">
        <v>23</v>
      </c>
      <c r="F83" s="161" t="n">
        <v>57.1</v>
      </c>
      <c r="G83" s="27" t="n">
        <v>17</v>
      </c>
      <c r="H83" s="164" t="n">
        <v>198</v>
      </c>
      <c r="I83" s="165" t="n">
        <v>100000</v>
      </c>
      <c r="J83" s="165" t="inlineStr">
        <is>
          <t>11</t>
        </is>
      </c>
      <c r="K83" s="165" t="n">
        <v>50000</v>
      </c>
      <c r="L83" s="165" t="inlineStr">
        <is>
          <t>중</t>
        </is>
      </c>
      <c r="M83" s="166">
        <f>I83-K83</f>
        <v/>
      </c>
      <c r="N83" s="7">
        <f>IF(ISERROR(K83/I83),"",K83/I83)</f>
        <v/>
      </c>
      <c r="O83" s="162">
        <f>I83/E83</f>
        <v/>
      </c>
      <c r="P83" s="162">
        <f>K83/E83</f>
        <v/>
      </c>
      <c r="Q83" s="113" t="n">
        <v>2</v>
      </c>
      <c r="R83" s="113" t="n">
        <v>1</v>
      </c>
      <c r="S83" s="113" t="inlineStr">
        <is>
          <t>계</t>
        </is>
      </c>
      <c r="T83" s="8" t="n">
        <v>76</v>
      </c>
      <c r="U83" s="13" t="n"/>
      <c r="W83" s="161">
        <f>D83</f>
        <v/>
      </c>
      <c r="X83" s="163">
        <f>E83</f>
        <v/>
      </c>
      <c r="Y83" s="159">
        <f>H83</f>
        <v/>
      </c>
      <c r="Z83" s="166">
        <f>I83</f>
        <v/>
      </c>
      <c r="AA83" s="166">
        <f>K83</f>
        <v/>
      </c>
      <c r="AB83" s="166">
        <f>M83</f>
        <v/>
      </c>
      <c r="AC83" s="7">
        <f>N83</f>
        <v/>
      </c>
      <c r="AD83" s="162">
        <f>O83</f>
        <v/>
      </c>
      <c r="AE83" s="113">
        <f>S83</f>
        <v/>
      </c>
      <c r="AF83" s="113">
        <f>Q83&amp;"/"&amp;R83</f>
        <v/>
      </c>
      <c r="AH83" s="36">
        <f>IF(A83="","",A83)</f>
        <v/>
      </c>
      <c r="AI83" s="163">
        <f>IF(E83="","",E83)</f>
        <v/>
      </c>
      <c r="AJ83" s="113">
        <f>IF(AI83="","",$AJ$2)</f>
        <v/>
      </c>
      <c r="AK83" s="113" t="inlineStr">
        <is>
          <t>A</t>
        </is>
      </c>
      <c r="AL83" s="113" t="inlineStr">
        <is>
          <t>A+</t>
        </is>
      </c>
      <c r="AM83" s="113" t="inlineStr">
        <is>
          <t>B+</t>
        </is>
      </c>
      <c r="AN83" s="113">
        <f>IF(AI83="","",$AN$2)</f>
        <v/>
      </c>
      <c r="AO83" s="113">
        <f>IF(N83="","",IF(N83&gt;=$AO$1/100,"O","X"))</f>
        <v/>
      </c>
      <c r="AP83" s="113">
        <f>IF(I83="","",IF(I83&lt;=$AP$1,"O","X"))</f>
        <v/>
      </c>
      <c r="AQ83" s="113">
        <f>IF(O83="","",IF(O83&lt;=$AQ$1,"O","X"))</f>
        <v/>
      </c>
      <c r="AR83" s="113">
        <f>IF(M83="","",IF(M83&lt;=$AR$1,"O","X"))</f>
        <v/>
      </c>
      <c r="AS83" s="113" t="inlineStr">
        <is>
          <t>X</t>
        </is>
      </c>
      <c r="AT83" s="113">
        <f>IF(OR(F83="",AI83=""),"",IF(AND((F83&lt;=85),(AI83&gt;=15)),"O","X"))</f>
        <v/>
      </c>
      <c r="AU83" s="113">
        <f>IF(C83="","",IF(C83&gt;=$AU$1,"O","X"))</f>
        <v/>
      </c>
      <c r="AV83" s="113">
        <f>IF(AO83="","",IF(AND(AO83="O",AP83="O",AR83="O",AT83="O",AU83="O"),"후보","X"))</f>
        <v/>
      </c>
    </row>
    <row r="84">
      <c r="A84" s="13" t="inlineStr">
        <is>
          <t>길동우성</t>
        </is>
      </c>
      <c r="B84" s="16" t="inlineStr">
        <is>
          <t>'94.10.</t>
        </is>
      </c>
      <c r="C84" s="164" t="n">
        <v>811</v>
      </c>
      <c r="D84" s="161" t="n">
        <v>105.2</v>
      </c>
      <c r="E84" s="163" t="n">
        <v>32</v>
      </c>
      <c r="F84" s="161" t="n">
        <v>84.8</v>
      </c>
      <c r="G84" s="27" t="n">
        <v>26</v>
      </c>
      <c r="H84" s="164" t="n">
        <v>198</v>
      </c>
      <c r="I84" s="165" t="n">
        <v>119000</v>
      </c>
      <c r="J84" s="165" t="inlineStr">
        <is>
          <t>13</t>
        </is>
      </c>
      <c r="K84" s="165" t="n"/>
      <c r="L84" s="165" t="n"/>
      <c r="M84" s="166">
        <f>I84-K84</f>
        <v/>
      </c>
      <c r="N84" s="7">
        <f>IF(ISERROR(K84/I84),"",K84/I84)</f>
        <v/>
      </c>
      <c r="O84" s="162">
        <f>I84/E84</f>
        <v/>
      </c>
      <c r="P84" s="162">
        <f>K84/E84</f>
        <v/>
      </c>
      <c r="Q84" s="113" t="n">
        <v>3</v>
      </c>
      <c r="R84" s="113" t="n">
        <v>2</v>
      </c>
      <c r="S84" s="113" t="inlineStr">
        <is>
          <t>계</t>
        </is>
      </c>
      <c r="T84" s="8" t="n">
        <v>105</v>
      </c>
      <c r="U84" s="13" t="n"/>
      <c r="W84" s="161">
        <f>D84</f>
        <v/>
      </c>
      <c r="X84" s="163">
        <f>E84</f>
        <v/>
      </c>
      <c r="Y84" s="159">
        <f>H84</f>
        <v/>
      </c>
      <c r="Z84" s="166">
        <f>I84</f>
        <v/>
      </c>
      <c r="AA84" s="166">
        <f>K84</f>
        <v/>
      </c>
      <c r="AB84" s="166">
        <f>M84</f>
        <v/>
      </c>
      <c r="AC84" s="7">
        <f>N84</f>
        <v/>
      </c>
      <c r="AD84" s="162">
        <f>O84</f>
        <v/>
      </c>
      <c r="AE84" s="113">
        <f>S84</f>
        <v/>
      </c>
      <c r="AF84" s="113">
        <f>Q84&amp;"/"&amp;R84</f>
        <v/>
      </c>
      <c r="AH84" s="36">
        <f>IF(A84="","",A84)</f>
        <v/>
      </c>
      <c r="AI84" s="163">
        <f>IF(E84="","",E84)</f>
        <v/>
      </c>
      <c r="AJ84" s="113">
        <f>IF(AI84="","",$AJ$2)</f>
        <v/>
      </c>
      <c r="AK84" s="113" t="inlineStr">
        <is>
          <t>A</t>
        </is>
      </c>
      <c r="AL84" s="113" t="inlineStr">
        <is>
          <t>A+</t>
        </is>
      </c>
      <c r="AM84" s="113" t="inlineStr">
        <is>
          <t>B+</t>
        </is>
      </c>
      <c r="AN84" s="113">
        <f>IF(AI84="","",$AN$2)</f>
        <v/>
      </c>
      <c r="AO84" s="113">
        <f>IF(N84="","",IF(N84&gt;=$AO$1/100,"O","X"))</f>
        <v/>
      </c>
      <c r="AP84" s="113">
        <f>IF(I84="","",IF(I84&lt;=$AP$1,"O","X"))</f>
        <v/>
      </c>
      <c r="AQ84" s="113">
        <f>IF(O84="","",IF(O84&lt;=$AQ$1,"O","X"))</f>
        <v/>
      </c>
      <c r="AR84" s="113">
        <f>IF(M84="","",IF(M84&lt;=$AR$1,"O","X"))</f>
        <v/>
      </c>
      <c r="AS84" s="113" t="inlineStr">
        <is>
          <t>X</t>
        </is>
      </c>
      <c r="AT84" s="113">
        <f>IF(OR(F84="",AI84=""),"",IF(AND((F84&lt;=85),(AI84&gt;=15)),"O","X"))</f>
        <v/>
      </c>
      <c r="AU84" s="113">
        <f>IF(C84="","",IF(C84&gt;=$AU$1,"O","X"))</f>
        <v/>
      </c>
      <c r="AV84" s="113">
        <f>IF(AO84="","",IF(AND(AO84="O",AP84="O",AR84="O",AT84="O",AU84="O"),"후보","X"))</f>
        <v/>
      </c>
    </row>
    <row r="85">
      <c r="A85" s="13" t="inlineStr">
        <is>
          <t>길동우성</t>
        </is>
      </c>
      <c r="B85" s="16" t="inlineStr">
        <is>
          <t>'94.10.</t>
        </is>
      </c>
      <c r="C85" s="164" t="n">
        <v>811</v>
      </c>
      <c r="D85" s="161" t="n">
        <v>108.5</v>
      </c>
      <c r="E85" s="163" t="n">
        <v>33</v>
      </c>
      <c r="F85" s="161" t="n">
        <v>84.8</v>
      </c>
      <c r="G85" s="27" t="n">
        <v>26</v>
      </c>
      <c r="H85" s="164" t="n">
        <v>324</v>
      </c>
      <c r="I85" s="165" t="n">
        <v>113000</v>
      </c>
      <c r="J85" s="165" t="inlineStr">
        <is>
          <t>10</t>
        </is>
      </c>
      <c r="K85" s="165" t="n">
        <v>63000</v>
      </c>
      <c r="L85" s="165" t="inlineStr">
        <is>
          <t>12</t>
        </is>
      </c>
      <c r="M85" s="166">
        <f>I85-K85</f>
        <v/>
      </c>
      <c r="N85" s="7">
        <f>IF(ISERROR(K85/I85),"",K85/I85)</f>
        <v/>
      </c>
      <c r="O85" s="162">
        <f>I85/E85</f>
        <v/>
      </c>
      <c r="P85" s="162">
        <f>K85/E85</f>
        <v/>
      </c>
      <c r="Q85" s="113" t="n">
        <v>3</v>
      </c>
      <c r="R85" s="113" t="n">
        <v>2</v>
      </c>
      <c r="S85" s="113" t="inlineStr">
        <is>
          <t>계</t>
        </is>
      </c>
      <c r="T85" s="8" t="n">
        <v>108</v>
      </c>
      <c r="U85" s="13" t="n"/>
      <c r="W85" s="161">
        <f>D85</f>
        <v/>
      </c>
      <c r="X85" s="163">
        <f>E85</f>
        <v/>
      </c>
      <c r="Y85" s="159">
        <f>H85</f>
        <v/>
      </c>
      <c r="Z85" s="166">
        <f>I85</f>
        <v/>
      </c>
      <c r="AA85" s="166">
        <f>K85</f>
        <v/>
      </c>
      <c r="AB85" s="166">
        <f>M85</f>
        <v/>
      </c>
      <c r="AC85" s="7">
        <f>N85</f>
        <v/>
      </c>
      <c r="AD85" s="162">
        <f>O85</f>
        <v/>
      </c>
      <c r="AE85" s="113">
        <f>S85</f>
        <v/>
      </c>
      <c r="AF85" s="113">
        <f>Q85&amp;"/"&amp;R85</f>
        <v/>
      </c>
      <c r="AH85" s="36">
        <f>IF(A85="","",A85)</f>
        <v/>
      </c>
      <c r="AI85" s="163">
        <f>IF(E85="","",E85)</f>
        <v/>
      </c>
      <c r="AJ85" s="113">
        <f>IF(AI85="","",$AJ$2)</f>
        <v/>
      </c>
      <c r="AK85" s="113" t="inlineStr">
        <is>
          <t>A</t>
        </is>
      </c>
      <c r="AL85" s="113" t="inlineStr">
        <is>
          <t>A+</t>
        </is>
      </c>
      <c r="AM85" s="113" t="inlineStr">
        <is>
          <t>B+</t>
        </is>
      </c>
      <c r="AN85" s="113">
        <f>IF(AI85="","",$AN$2)</f>
        <v/>
      </c>
      <c r="AO85" s="113">
        <f>IF(N85="","",IF(N85&gt;=$AO$1/100,"O","X"))</f>
        <v/>
      </c>
      <c r="AP85" s="113">
        <f>IF(I85="","",IF(I85&lt;=$AP$1,"O","X"))</f>
        <v/>
      </c>
      <c r="AQ85" s="113">
        <f>IF(O85="","",IF(O85&lt;=$AQ$1,"O","X"))</f>
        <v/>
      </c>
      <c r="AR85" s="113">
        <f>IF(M85="","",IF(M85&lt;=$AR$1,"O","X"))</f>
        <v/>
      </c>
      <c r="AS85" s="113" t="inlineStr">
        <is>
          <t>X</t>
        </is>
      </c>
      <c r="AT85" s="113">
        <f>IF(OR(F85="",AI85=""),"",IF(AND((F85&lt;=85),(AI85&gt;=15)),"O","X"))</f>
        <v/>
      </c>
      <c r="AU85" s="113">
        <f>IF(C85="","",IF(C85&gt;=$AU$1,"O","X"))</f>
        <v/>
      </c>
      <c r="AV85" s="113">
        <f>IF(AO85="","",IF(AND(AO85="O",AP85="O",AR85="O",AT85="O",AU85="O"),"후보","X"))</f>
        <v/>
      </c>
    </row>
    <row r="86">
      <c r="A86" s="13" t="n"/>
      <c r="B86" s="113" t="n"/>
      <c r="C86" s="10" t="n"/>
      <c r="D86" s="13" t="n"/>
      <c r="E86" s="20" t="n"/>
      <c r="F86" s="161" t="n"/>
      <c r="G86" s="13" t="n"/>
      <c r="H86" s="13" t="n"/>
      <c r="I86" s="13" t="n"/>
      <c r="J86" s="13" t="n"/>
      <c r="K86" s="13" t="n"/>
      <c r="L86" s="13" t="n"/>
      <c r="M86" s="13" t="n"/>
      <c r="N86" s="13" t="n"/>
      <c r="O86" s="162" t="n"/>
      <c r="P86" s="162" t="n"/>
      <c r="Q86" s="163" t="n"/>
      <c r="R86" s="163" t="n"/>
      <c r="S86" s="13" t="n"/>
      <c r="T86" s="70" t="n"/>
      <c r="U86" s="13" t="n"/>
      <c r="W86" s="107">
        <f>$A$4&amp;" "&amp;A87&amp;"("&amp;B87&amp;","&amp;C87&amp;"^)"</f>
        <v/>
      </c>
      <c r="X86" s="108" t="n"/>
      <c r="Y86" s="108" t="n"/>
      <c r="Z86" s="108" t="n"/>
      <c r="AA86" s="108" t="n"/>
      <c r="AB86" s="108" t="n"/>
      <c r="AC86" s="108" t="n"/>
      <c r="AD86" s="108" t="n"/>
      <c r="AE86" s="108" t="n"/>
      <c r="AF86" s="109" t="n"/>
      <c r="AH86" s="36">
        <f>IF(A86="","",A86)</f>
        <v/>
      </c>
      <c r="AI86" s="160">
        <f>IF(E86="","",E86)</f>
        <v/>
      </c>
      <c r="AJ86" s="113" t="n"/>
      <c r="AK86" s="113" t="n"/>
      <c r="AL86" s="113" t="n"/>
      <c r="AM86" s="113" t="n"/>
      <c r="AN86" s="113" t="n"/>
      <c r="AO86" s="113" t="n"/>
      <c r="AP86" s="113" t="n"/>
      <c r="AQ86" s="113" t="n"/>
      <c r="AR86" s="113" t="n"/>
      <c r="AS86" s="113" t="n"/>
      <c r="AT86" s="113" t="n"/>
      <c r="AU86" s="113" t="n"/>
      <c r="AV86" s="113" t="n"/>
    </row>
    <row r="87">
      <c r="A87" s="13" t="inlineStr">
        <is>
          <t>GS강동자이</t>
        </is>
      </c>
      <c r="B87" s="16" t="inlineStr">
        <is>
          <t>'03.11.</t>
        </is>
      </c>
      <c r="C87" s="164" t="n">
        <v>596</v>
      </c>
      <c r="D87" s="161" t="n">
        <v>104.5</v>
      </c>
      <c r="E87" s="163" t="n">
        <v>32</v>
      </c>
      <c r="F87" s="161" t="n">
        <v>84.2</v>
      </c>
      <c r="G87" s="27" t="n">
        <v>25</v>
      </c>
      <c r="H87" s="164" t="n">
        <v>10</v>
      </c>
      <c r="I87" s="165" t="n"/>
      <c r="J87" s="165" t="n"/>
      <c r="K87" s="165" t="n"/>
      <c r="L87" s="165" t="n"/>
      <c r="M87" s="166">
        <f>I87-K87</f>
        <v/>
      </c>
      <c r="N87" s="7">
        <f>IF(ISERROR(K87/I87),"",K87/I87)</f>
        <v/>
      </c>
      <c r="O87" s="162">
        <f>I87/E87</f>
        <v/>
      </c>
      <c r="P87" s="162">
        <f>K87/E87</f>
        <v/>
      </c>
      <c r="Q87" s="113" t="n">
        <v>3</v>
      </c>
      <c r="R87" s="113" t="n">
        <v>2</v>
      </c>
      <c r="S87" s="113" t="inlineStr">
        <is>
          <t>계</t>
        </is>
      </c>
      <c r="T87" s="8" t="n">
        <v>104</v>
      </c>
      <c r="U87" s="13" t="n"/>
      <c r="W87" s="161">
        <f>D87</f>
        <v/>
      </c>
      <c r="X87" s="163">
        <f>E87</f>
        <v/>
      </c>
      <c r="Y87" s="159">
        <f>H87</f>
        <v/>
      </c>
      <c r="Z87" s="166">
        <f>I87</f>
        <v/>
      </c>
      <c r="AA87" s="166">
        <f>K87</f>
        <v/>
      </c>
      <c r="AB87" s="166">
        <f>M87</f>
        <v/>
      </c>
      <c r="AC87" s="7">
        <f>N87</f>
        <v/>
      </c>
      <c r="AD87" s="162">
        <f>O87</f>
        <v/>
      </c>
      <c r="AE87" s="113">
        <f>S87</f>
        <v/>
      </c>
      <c r="AF87" s="113">
        <f>Q87&amp;"/"&amp;R87</f>
        <v/>
      </c>
      <c r="AH87" s="36">
        <f>IF(A87="","",A87)</f>
        <v/>
      </c>
      <c r="AI87" s="163">
        <f>IF(E87="","",E87)</f>
        <v/>
      </c>
      <c r="AJ87" s="113">
        <f>IF(AI87="","",$AJ$2)</f>
        <v/>
      </c>
      <c r="AK87" s="113" t="inlineStr">
        <is>
          <t>A</t>
        </is>
      </c>
      <c r="AL87" s="113" t="inlineStr">
        <is>
          <t>A+</t>
        </is>
      </c>
      <c r="AM87" s="113" t="inlineStr">
        <is>
          <t>B+</t>
        </is>
      </c>
      <c r="AN87" s="113">
        <f>IF(AI87="","",$AN$2)</f>
        <v/>
      </c>
      <c r="AO87" s="113">
        <f>IF(N87="","",IF(N87&gt;=$AO$1/100,"O","X"))</f>
        <v/>
      </c>
      <c r="AP87" s="113">
        <f>IF(I87="","",IF(I87&lt;=$AP$1,"O","X"))</f>
        <v/>
      </c>
      <c r="AQ87" s="113">
        <f>IF(O87="","",IF(O87&lt;=$AQ$1,"O","X"))</f>
        <v/>
      </c>
      <c r="AR87" s="113">
        <f>IF(M87="","",IF(M87&lt;=$AR$1,"O","X"))</f>
        <v/>
      </c>
      <c r="AS87" s="113" t="inlineStr">
        <is>
          <t>X</t>
        </is>
      </c>
      <c r="AT87" s="113">
        <f>IF(OR(F87="",AI87=""),"",IF(AND((F87&lt;=85),(AI87&gt;=15)),"O","X"))</f>
        <v/>
      </c>
      <c r="AU87" s="113">
        <f>IF(C87="","",IF(C87&gt;=$AU$1,"O","X"))</f>
        <v/>
      </c>
      <c r="AV87" s="113">
        <f>IF(AO87="","",IF(AND(AO87="O",AP87="O",AR87="O",AT87="O",AU87="O"),"후보","X"))</f>
        <v/>
      </c>
    </row>
    <row r="88">
      <c r="A88" s="13" t="inlineStr">
        <is>
          <t>GS강동자이</t>
        </is>
      </c>
      <c r="B88" s="16" t="inlineStr">
        <is>
          <t>'03.11.</t>
        </is>
      </c>
      <c r="C88" s="164" t="n">
        <v>596</v>
      </c>
      <c r="D88" s="161" t="n">
        <v>110.6</v>
      </c>
      <c r="E88" s="163" t="n">
        <v>33</v>
      </c>
      <c r="F88" s="161" t="n">
        <v>84.90000000000001</v>
      </c>
      <c r="G88" s="27" t="n">
        <v>26</v>
      </c>
      <c r="H88" s="164" t="n">
        <v>262</v>
      </c>
      <c r="I88" s="165" t="n"/>
      <c r="J88" s="165" t="n"/>
      <c r="K88" s="165" t="n">
        <v>75000</v>
      </c>
      <c r="L88" s="165" t="inlineStr">
        <is>
          <t>고</t>
        </is>
      </c>
      <c r="M88" s="166">
        <f>I88-K88</f>
        <v/>
      </c>
      <c r="N88" s="7">
        <f>IF(ISERROR(K88/I88),"",K88/I88)</f>
        <v/>
      </c>
      <c r="O88" s="162">
        <f>I88/E88</f>
        <v/>
      </c>
      <c r="P88" s="162">
        <f>K88/E88</f>
        <v/>
      </c>
      <c r="Q88" s="113" t="n">
        <v>3</v>
      </c>
      <c r="R88" s="113" t="n">
        <v>2</v>
      </c>
      <c r="S88" s="113" t="inlineStr">
        <is>
          <t>계</t>
        </is>
      </c>
      <c r="T88" s="8" t="n">
        <v>110</v>
      </c>
      <c r="U88" s="13" t="n"/>
      <c r="W88" s="161">
        <f>D88</f>
        <v/>
      </c>
      <c r="X88" s="163">
        <f>E88</f>
        <v/>
      </c>
      <c r="Y88" s="159">
        <f>H88</f>
        <v/>
      </c>
      <c r="Z88" s="166">
        <f>I88</f>
        <v/>
      </c>
      <c r="AA88" s="166">
        <f>K88</f>
        <v/>
      </c>
      <c r="AB88" s="166">
        <f>M88</f>
        <v/>
      </c>
      <c r="AC88" s="7">
        <f>N88</f>
        <v/>
      </c>
      <c r="AD88" s="162">
        <f>O88</f>
        <v/>
      </c>
      <c r="AE88" s="113">
        <f>S88</f>
        <v/>
      </c>
      <c r="AF88" s="113">
        <f>Q88&amp;"/"&amp;R88</f>
        <v/>
      </c>
      <c r="AH88" s="36">
        <f>IF(A88="","",A88)</f>
        <v/>
      </c>
      <c r="AI88" s="163">
        <f>IF(E88="","",E88)</f>
        <v/>
      </c>
      <c r="AJ88" s="113">
        <f>IF(AI88="","",$AJ$2)</f>
        <v/>
      </c>
      <c r="AK88" s="113" t="inlineStr">
        <is>
          <t>A</t>
        </is>
      </c>
      <c r="AL88" s="113" t="inlineStr">
        <is>
          <t>A+</t>
        </is>
      </c>
      <c r="AM88" s="113" t="inlineStr">
        <is>
          <t>B+</t>
        </is>
      </c>
      <c r="AN88" s="113">
        <f>IF(AI88="","",$AN$2)</f>
        <v/>
      </c>
      <c r="AO88" s="113">
        <f>IF(N88="","",IF(N88&gt;=$AO$1/100,"O","X"))</f>
        <v/>
      </c>
      <c r="AP88" s="113">
        <f>IF(I88="","",IF(I88&lt;=$AP$1,"O","X"))</f>
        <v/>
      </c>
      <c r="AQ88" s="113">
        <f>IF(O88="","",IF(O88&lt;=$AQ$1,"O","X"))</f>
        <v/>
      </c>
      <c r="AR88" s="113">
        <f>IF(M88="","",IF(M88&lt;=$AR$1,"O","X"))</f>
        <v/>
      </c>
      <c r="AS88" s="113" t="inlineStr">
        <is>
          <t>X</t>
        </is>
      </c>
      <c r="AT88" s="113">
        <f>IF(OR(F88="",AI88=""),"",IF(AND((F88&lt;=85),(AI88&gt;=15)),"O","X"))</f>
        <v/>
      </c>
      <c r="AU88" s="113">
        <f>IF(C88="","",IF(C88&gt;=$AU$1,"O","X"))</f>
        <v/>
      </c>
      <c r="AV88" s="113">
        <f>IF(AO88="","",IF(AND(AO88="O",AP88="O",AR88="O",AT88="O",AU88="O"),"후보","X"))</f>
        <v/>
      </c>
    </row>
    <row r="89">
      <c r="A89" s="13" t="inlineStr">
        <is>
          <t>GS강동자이</t>
        </is>
      </c>
      <c r="B89" s="16" t="inlineStr">
        <is>
          <t>'03.11.</t>
        </is>
      </c>
      <c r="C89" s="164" t="n">
        <v>596</v>
      </c>
      <c r="D89" s="161" t="n">
        <v>150.6</v>
      </c>
      <c r="E89" s="163" t="n">
        <v>46</v>
      </c>
      <c r="F89" s="161" t="n">
        <v>126.4</v>
      </c>
      <c r="G89" s="27" t="n">
        <v>38</v>
      </c>
      <c r="H89" s="164" t="n">
        <v>249</v>
      </c>
      <c r="I89" s="165" t="n">
        <v>170000</v>
      </c>
      <c r="J89" s="165" t="inlineStr">
        <is>
          <t>고</t>
        </is>
      </c>
      <c r="K89" s="165" t="n"/>
      <c r="L89" s="165" t="n"/>
      <c r="M89" s="166">
        <f>I89-K89</f>
        <v/>
      </c>
      <c r="N89" s="7">
        <f>IF(ISERROR(K89/I89),"",K89/I89)</f>
        <v/>
      </c>
      <c r="O89" s="162">
        <f>I89/E89</f>
        <v/>
      </c>
      <c r="P89" s="162">
        <f>K89/E89</f>
        <v/>
      </c>
      <c r="Q89" s="113" t="n">
        <v>4</v>
      </c>
      <c r="R89" s="113" t="n">
        <v>2</v>
      </c>
      <c r="S89" s="113" t="inlineStr">
        <is>
          <t>계</t>
        </is>
      </c>
      <c r="T89" s="8" t="n">
        <v>150</v>
      </c>
      <c r="U89" s="13" t="n"/>
      <c r="W89" s="161">
        <f>D89</f>
        <v/>
      </c>
      <c r="X89" s="163">
        <f>E89</f>
        <v/>
      </c>
      <c r="Y89" s="159">
        <f>H89</f>
        <v/>
      </c>
      <c r="Z89" s="166">
        <f>I89</f>
        <v/>
      </c>
      <c r="AA89" s="166">
        <f>K89</f>
        <v/>
      </c>
      <c r="AB89" s="166">
        <f>M89</f>
        <v/>
      </c>
      <c r="AC89" s="7">
        <f>N89</f>
        <v/>
      </c>
      <c r="AD89" s="162">
        <f>O89</f>
        <v/>
      </c>
      <c r="AE89" s="113">
        <f>S89</f>
        <v/>
      </c>
      <c r="AF89" s="113">
        <f>Q89&amp;"/"&amp;R89</f>
        <v/>
      </c>
      <c r="AH89" s="36">
        <f>IF(A89="","",A89)</f>
        <v/>
      </c>
      <c r="AI89" s="163">
        <f>IF(E89="","",E89)</f>
        <v/>
      </c>
      <c r="AJ89" s="113">
        <f>IF(AI89="","",$AJ$2)</f>
        <v/>
      </c>
      <c r="AK89" s="113" t="inlineStr">
        <is>
          <t>A</t>
        </is>
      </c>
      <c r="AL89" s="113" t="inlineStr">
        <is>
          <t>A+</t>
        </is>
      </c>
      <c r="AM89" s="113" t="inlineStr">
        <is>
          <t>B+</t>
        </is>
      </c>
      <c r="AN89" s="113">
        <f>IF(AI89="","",$AN$2)</f>
        <v/>
      </c>
      <c r="AO89" s="113">
        <f>IF(N89="","",IF(N89&gt;=$AO$1/100,"O","X"))</f>
        <v/>
      </c>
      <c r="AP89" s="113">
        <f>IF(I89="","",IF(I89&lt;=$AP$1,"O","X"))</f>
        <v/>
      </c>
      <c r="AQ89" s="113">
        <f>IF(O89="","",IF(O89&lt;=$AQ$1,"O","X"))</f>
        <v/>
      </c>
      <c r="AR89" s="113">
        <f>IF(M89="","",IF(M89&lt;=$AR$1,"O","X"))</f>
        <v/>
      </c>
      <c r="AS89" s="113" t="inlineStr">
        <is>
          <t>X</t>
        </is>
      </c>
      <c r="AT89" s="113">
        <f>IF(OR(F89="",AI89=""),"",IF(AND((F89&lt;=85),(AI89&gt;=15)),"O","X"))</f>
        <v/>
      </c>
      <c r="AU89" s="113">
        <f>IF(C89="","",IF(C89&gt;=$AU$1,"O","X"))</f>
        <v/>
      </c>
      <c r="AV89" s="113">
        <f>IF(AO89="","",IF(AND(AO89="O",AP89="O",AR89="O",AT89="O",AU89="O"),"후보","X"))</f>
        <v/>
      </c>
    </row>
    <row r="90">
      <c r="A90" s="13" t="inlineStr">
        <is>
          <t>GS강동자이</t>
        </is>
      </c>
      <c r="B90" s="16" t="inlineStr">
        <is>
          <t>'03.11.</t>
        </is>
      </c>
      <c r="C90" s="164" t="n">
        <v>596</v>
      </c>
      <c r="D90" s="161" t="n">
        <v>172.4</v>
      </c>
      <c r="E90" s="163" t="n">
        <v>52</v>
      </c>
      <c r="F90" s="161" t="n">
        <v>147.2</v>
      </c>
      <c r="G90" s="27" t="n">
        <v>45</v>
      </c>
      <c r="H90" s="164" t="n">
        <v>75</v>
      </c>
      <c r="I90" s="165" t="n">
        <v>195000</v>
      </c>
      <c r="J90" s="165" t="inlineStr">
        <is>
          <t>고</t>
        </is>
      </c>
      <c r="K90" s="165" t="n"/>
      <c r="L90" s="165" t="n"/>
      <c r="M90" s="166">
        <f>I90-K90</f>
        <v/>
      </c>
      <c r="N90" s="7">
        <f>IF(ISERROR(K90/I90),"",K90/I90)</f>
        <v/>
      </c>
      <c r="O90" s="162">
        <f>I90/E90</f>
        <v/>
      </c>
      <c r="P90" s="162">
        <f>K90/E90</f>
        <v/>
      </c>
      <c r="Q90" s="113" t="n">
        <v>4</v>
      </c>
      <c r="R90" s="113" t="n">
        <v>2</v>
      </c>
      <c r="S90" s="113" t="inlineStr">
        <is>
          <t>계</t>
        </is>
      </c>
      <c r="T90" s="8" t="n">
        <v>172</v>
      </c>
      <c r="U90" s="13" t="n"/>
      <c r="W90" s="161">
        <f>D90</f>
        <v/>
      </c>
      <c r="X90" s="163">
        <f>E90</f>
        <v/>
      </c>
      <c r="Y90" s="159">
        <f>H90</f>
        <v/>
      </c>
      <c r="Z90" s="166">
        <f>I90</f>
        <v/>
      </c>
      <c r="AA90" s="166">
        <f>K90</f>
        <v/>
      </c>
      <c r="AB90" s="166">
        <f>M90</f>
        <v/>
      </c>
      <c r="AC90" s="7">
        <f>N90</f>
        <v/>
      </c>
      <c r="AD90" s="162">
        <f>O90</f>
        <v/>
      </c>
      <c r="AE90" s="113">
        <f>S90</f>
        <v/>
      </c>
      <c r="AF90" s="113">
        <f>Q90&amp;"/"&amp;R90</f>
        <v/>
      </c>
      <c r="AH90" s="36">
        <f>IF(A90="","",A90)</f>
        <v/>
      </c>
      <c r="AI90" s="163">
        <f>IF(E90="","",E90)</f>
        <v/>
      </c>
      <c r="AJ90" s="113">
        <f>IF(AI90="","",$AJ$2)</f>
        <v/>
      </c>
      <c r="AK90" s="113" t="inlineStr">
        <is>
          <t>A</t>
        </is>
      </c>
      <c r="AL90" s="113" t="inlineStr">
        <is>
          <t>A+</t>
        </is>
      </c>
      <c r="AM90" s="113" t="inlineStr">
        <is>
          <t>B+</t>
        </is>
      </c>
      <c r="AN90" s="113">
        <f>IF(AI90="","",$AN$2)</f>
        <v/>
      </c>
      <c r="AO90" s="113">
        <f>IF(N90="","",IF(N90&gt;=$AO$1/100,"O","X"))</f>
        <v/>
      </c>
      <c r="AP90" s="113">
        <f>IF(I90="","",IF(I90&lt;=$AP$1,"O","X"))</f>
        <v/>
      </c>
      <c r="AQ90" s="113">
        <f>IF(O90="","",IF(O90&lt;=$AQ$1,"O","X"))</f>
        <v/>
      </c>
      <c r="AR90" s="113">
        <f>IF(M90="","",IF(M90&lt;=$AR$1,"O","X"))</f>
        <v/>
      </c>
      <c r="AS90" s="113" t="inlineStr">
        <is>
          <t>X</t>
        </is>
      </c>
      <c r="AT90" s="113">
        <f>IF(OR(F90="",AI90=""),"",IF(AND((F90&lt;=85),(AI90&gt;=15)),"O","X"))</f>
        <v/>
      </c>
      <c r="AU90" s="113">
        <f>IF(C90="","",IF(C90&gt;=$AU$1,"O","X"))</f>
        <v/>
      </c>
      <c r="AV90" s="113">
        <f>IF(AO90="","",IF(AND(AO90="O",AP90="O",AR90="O",AT90="O",AU90="O"),"후보","X"))</f>
        <v/>
      </c>
    </row>
  </sheetData>
  <mergeCells count="1">
    <mergeCell ref="AJ1:AN1"/>
  </mergeCells>
  <conditionalFormatting sqref="AV4:AV6">
    <cfRule type="expression" priority="1532" dxfId="17">
      <formula>AV4="X"</formula>
    </cfRule>
    <cfRule type="expression" priority="1533" dxfId="16">
      <formula>AV4="후보"</formula>
    </cfRule>
  </conditionalFormatting>
  <conditionalFormatting sqref="AC1:AC2 AC4:AC6 N4:N5">
    <cfRule type="cellIs" priority="1529" operator="greaterThan" dxfId="13">
      <formula>0.9</formula>
    </cfRule>
    <cfRule type="cellIs" priority="1530" operator="greaterThan" dxfId="12">
      <formula>0.85</formula>
    </cfRule>
  </conditionalFormatting>
  <conditionalFormatting sqref="N1:N2">
    <cfRule type="cellIs" priority="1527" operator="greaterThan" dxfId="13">
      <formula>0.9</formula>
    </cfRule>
    <cfRule type="cellIs" priority="1528" operator="greaterThan" dxfId="12">
      <formula>0.85</formula>
    </cfRule>
  </conditionalFormatting>
  <conditionalFormatting sqref="N6">
    <cfRule type="cellIs" priority="1525" operator="greaterThan" dxfId="13">
      <formula>0.9</formula>
    </cfRule>
    <cfRule type="cellIs" priority="1526" operator="greaterThan" dxfId="12">
      <formula>0.85</formula>
    </cfRule>
  </conditionalFormatting>
  <conditionalFormatting sqref="E6">
    <cfRule type="expression" priority="1521" dxfId="3">
      <formula>AND(IF(OR($Q6=1,$Q6=2),1,0),IF($X6&lt;=20,1,0))</formula>
    </cfRule>
    <cfRule type="expression" priority="1522" dxfId="2">
      <formula>AND(IF($Q6=2,1,0),IF($X6&lt;30,1,0))</formula>
    </cfRule>
    <cfRule type="expression" priority="1523" dxfId="1">
      <formula>AND(IF($Q6=3,1,0),IF($X6&lt;30,1,0))</formula>
    </cfRule>
    <cfRule type="expression" priority="1524" dxfId="0">
      <formula>AND(IF($Q6=3,1,IF($Q6=4,1,0)),IF($F6&lt;=85,1,0))</formula>
    </cfRule>
  </conditionalFormatting>
  <conditionalFormatting sqref="X6">
    <cfRule type="expression" priority="1517" dxfId="3">
      <formula>AND(IF(OR($Q6=1,$Q6=2),1,0),IF($X6&lt;=20,1,0))</formula>
    </cfRule>
    <cfRule type="expression" priority="1518" dxfId="2">
      <formula>AND(IF($Q6=2,1,0),IF($X6&lt;30,1,0))</formula>
    </cfRule>
    <cfRule type="expression" priority="1519" dxfId="1">
      <formula>AND(IF($Q6=3,1,0),IF($X6&lt;30,1,0))</formula>
    </cfRule>
    <cfRule type="expression" priority="1520" dxfId="0">
      <formula>AND(IF($Q6=3,1,IF($Q6=4,1,0)),IF($F6&lt;=85,1,0))</formula>
    </cfRule>
  </conditionalFormatting>
  <conditionalFormatting sqref="AI6">
    <cfRule type="expression" priority="1513" dxfId="3">
      <formula>AND(IF(OR($Q6=1,$Q6=2),1,0),IF($X6&lt;=20,1,0))</formula>
    </cfRule>
    <cfRule type="expression" priority="1514" dxfId="2">
      <formula>AND(IF($Q6=2,1,0),IF($X6&lt;30,1,0))</formula>
    </cfRule>
    <cfRule type="expression" priority="1515" dxfId="1">
      <formula>AND(IF($Q6=3,1,0),IF($X6&lt;30,1,0))</formula>
    </cfRule>
    <cfRule type="expression" priority="1516" dxfId="0">
      <formula>AND(IF($Q6=3,1,IF($Q6=4,1,0)),IF($F6&lt;=85,1,0))</formula>
    </cfRule>
  </conditionalFormatting>
  <conditionalFormatting sqref="AV7">
    <cfRule type="expression" priority="1511" dxfId="17">
      <formula>AV7="X"</formula>
    </cfRule>
    <cfRule type="expression" priority="1512" dxfId="16">
      <formula>AV7="후보"</formula>
    </cfRule>
  </conditionalFormatting>
  <conditionalFormatting sqref="AC7">
    <cfRule type="cellIs" priority="1508" operator="greaterThan" dxfId="13">
      <formula>0.9</formula>
    </cfRule>
    <cfRule type="cellIs" priority="1509" operator="greaterThan" dxfId="12">
      <formula>0.85</formula>
    </cfRule>
  </conditionalFormatting>
  <conditionalFormatting sqref="N7">
    <cfRule type="cellIs" priority="1506" operator="greaterThan" dxfId="13">
      <formula>0.9</formula>
    </cfRule>
    <cfRule type="cellIs" priority="1507" operator="greaterThan" dxfId="12">
      <formula>0.85</formula>
    </cfRule>
  </conditionalFormatting>
  <conditionalFormatting sqref="E7">
    <cfRule type="expression" priority="1502" dxfId="3">
      <formula>AND(IF(OR($Q7=1,$Q7=2),1,0),IF($X7&lt;=20,1,0))</formula>
    </cfRule>
    <cfRule type="expression" priority="1503" dxfId="2">
      <formula>AND(IF($Q7=2,1,0),IF($X7&lt;30,1,0))</formula>
    </cfRule>
    <cfRule type="expression" priority="1504" dxfId="1">
      <formula>AND(IF($Q7=3,1,0),IF($X7&lt;30,1,0))</formula>
    </cfRule>
    <cfRule type="expression" priority="1505" dxfId="0">
      <formula>AND(IF($Q7=3,1,IF($Q7=4,1,0)),IF($F7&lt;=85,1,0))</formula>
    </cfRule>
  </conditionalFormatting>
  <conditionalFormatting sqref="X7">
    <cfRule type="expression" priority="1498" dxfId="3">
      <formula>AND(IF(OR($Q7=1,$Q7=2),1,0),IF($X7&lt;=20,1,0))</formula>
    </cfRule>
    <cfRule type="expression" priority="1499" dxfId="2">
      <formula>AND(IF($Q7=2,1,0),IF($X7&lt;30,1,0))</formula>
    </cfRule>
    <cfRule type="expression" priority="1500" dxfId="1">
      <formula>AND(IF($Q7=3,1,0),IF($X7&lt;30,1,0))</formula>
    </cfRule>
    <cfRule type="expression" priority="1501" dxfId="0">
      <formula>AND(IF($Q7=3,1,IF($Q7=4,1,0)),IF($F7&lt;=85,1,0))</formula>
    </cfRule>
  </conditionalFormatting>
  <conditionalFormatting sqref="AI7">
    <cfRule type="expression" priority="1494" dxfId="3">
      <formula>AND(IF(OR($Q7=1,$Q7=2),1,0),IF($X7&lt;=20,1,0))</formula>
    </cfRule>
    <cfRule type="expression" priority="1495" dxfId="2">
      <formula>AND(IF($Q7=2,1,0),IF($X7&lt;30,1,0))</formula>
    </cfRule>
    <cfRule type="expression" priority="1496" dxfId="1">
      <formula>AND(IF($Q7=3,1,0),IF($X7&lt;30,1,0))</formula>
    </cfRule>
    <cfRule type="expression" priority="1497" dxfId="0">
      <formula>AND(IF($Q7=3,1,IF($Q7=4,1,0)),IF($F7&lt;=85,1,0))</formula>
    </cfRule>
  </conditionalFormatting>
  <conditionalFormatting sqref="AV8">
    <cfRule type="expression" priority="1492" dxfId="17">
      <formula>AV8="X"</formula>
    </cfRule>
    <cfRule type="expression" priority="1493" dxfId="16">
      <formula>AV8="후보"</formula>
    </cfRule>
  </conditionalFormatting>
  <conditionalFormatting sqref="AC8">
    <cfRule type="cellIs" priority="1489" operator="greaterThan" dxfId="13">
      <formula>0.9</formula>
    </cfRule>
    <cfRule type="cellIs" priority="1490" operator="greaterThan" dxfId="12">
      <formula>0.85</formula>
    </cfRule>
  </conditionalFormatting>
  <conditionalFormatting sqref="N8">
    <cfRule type="cellIs" priority="1487" operator="greaterThan" dxfId="13">
      <formula>0.9</formula>
    </cfRule>
    <cfRule type="cellIs" priority="1488" operator="greaterThan" dxfId="12">
      <formula>0.85</formula>
    </cfRule>
  </conditionalFormatting>
  <conditionalFormatting sqref="E8">
    <cfRule type="expression" priority="1483" dxfId="3">
      <formula>AND(IF(OR($Q8=1,$Q8=2),1,0),IF($X8&lt;=20,1,0))</formula>
    </cfRule>
    <cfRule type="expression" priority="1484" dxfId="2">
      <formula>AND(IF($Q8=2,1,0),IF($X8&lt;30,1,0))</formula>
    </cfRule>
    <cfRule type="expression" priority="1485" dxfId="1">
      <formula>AND(IF($Q8=3,1,0),IF($X8&lt;30,1,0))</formula>
    </cfRule>
    <cfRule type="expression" priority="1486" dxfId="0">
      <formula>AND(IF($Q8=3,1,IF($Q8=4,1,0)),IF($F8&lt;=85,1,0))</formula>
    </cfRule>
  </conditionalFormatting>
  <conditionalFormatting sqref="X8">
    <cfRule type="expression" priority="1479" dxfId="3">
      <formula>AND(IF(OR($Q8=1,$Q8=2),1,0),IF($X8&lt;=20,1,0))</formula>
    </cfRule>
    <cfRule type="expression" priority="1480" dxfId="2">
      <formula>AND(IF($Q8=2,1,0),IF($X8&lt;30,1,0))</formula>
    </cfRule>
    <cfRule type="expression" priority="1481" dxfId="1">
      <formula>AND(IF($Q8=3,1,0),IF($X8&lt;30,1,0))</formula>
    </cfRule>
    <cfRule type="expression" priority="1482" dxfId="0">
      <formula>AND(IF($Q8=3,1,IF($Q8=4,1,0)),IF($F8&lt;=85,1,0))</formula>
    </cfRule>
  </conditionalFormatting>
  <conditionalFormatting sqref="AI8">
    <cfRule type="expression" priority="1475" dxfId="3">
      <formula>AND(IF(OR($Q8=1,$Q8=2),1,0),IF($X8&lt;=20,1,0))</formula>
    </cfRule>
    <cfRule type="expression" priority="1476" dxfId="2">
      <formula>AND(IF($Q8=2,1,0),IF($X8&lt;30,1,0))</formula>
    </cfRule>
    <cfRule type="expression" priority="1477" dxfId="1">
      <formula>AND(IF($Q8=3,1,0),IF($X8&lt;30,1,0))</formula>
    </cfRule>
    <cfRule type="expression" priority="1478" dxfId="0">
      <formula>AND(IF($Q8=3,1,IF($Q8=4,1,0)),IF($F8&lt;=85,1,0))</formula>
    </cfRule>
  </conditionalFormatting>
  <conditionalFormatting sqref="AV9">
    <cfRule type="expression" priority="1473" dxfId="17">
      <formula>AV9="X"</formula>
    </cfRule>
    <cfRule type="expression" priority="1474" dxfId="16">
      <formula>AV9="후보"</formula>
    </cfRule>
  </conditionalFormatting>
  <conditionalFormatting sqref="AC9">
    <cfRule type="cellIs" priority="1470" operator="greaterThan" dxfId="13">
      <formula>0.9</formula>
    </cfRule>
    <cfRule type="cellIs" priority="1471" operator="greaterThan" dxfId="12">
      <formula>0.85</formula>
    </cfRule>
  </conditionalFormatting>
  <conditionalFormatting sqref="N9">
    <cfRule type="cellIs" priority="1468" operator="greaterThan" dxfId="13">
      <formula>0.9</formula>
    </cfRule>
    <cfRule type="cellIs" priority="1469" operator="greaterThan" dxfId="12">
      <formula>0.85</formula>
    </cfRule>
  </conditionalFormatting>
  <conditionalFormatting sqref="E9">
    <cfRule type="expression" priority="1464" dxfId="3">
      <formula>AND(IF(OR($Q9=1,$Q9=2),1,0),IF($X9&lt;=20,1,0))</formula>
    </cfRule>
    <cfRule type="expression" priority="1465" dxfId="2">
      <formula>AND(IF($Q9=2,1,0),IF($X9&lt;30,1,0))</formula>
    </cfRule>
    <cfRule type="expression" priority="1466" dxfId="1">
      <formula>AND(IF($Q9=3,1,0),IF($X9&lt;30,1,0))</formula>
    </cfRule>
    <cfRule type="expression" priority="1467" dxfId="0">
      <formula>AND(IF($Q9=3,1,IF($Q9=4,1,0)),IF($F9&lt;=85,1,0))</formula>
    </cfRule>
  </conditionalFormatting>
  <conditionalFormatting sqref="X9">
    <cfRule type="expression" priority="1460" dxfId="3">
      <formula>AND(IF(OR($Q9=1,$Q9=2),1,0),IF($X9&lt;=20,1,0))</formula>
    </cfRule>
    <cfRule type="expression" priority="1461" dxfId="2">
      <formula>AND(IF($Q9=2,1,0),IF($X9&lt;30,1,0))</formula>
    </cfRule>
    <cfRule type="expression" priority="1462" dxfId="1">
      <formula>AND(IF($Q9=3,1,0),IF($X9&lt;30,1,0))</formula>
    </cfRule>
    <cfRule type="expression" priority="1463" dxfId="0">
      <formula>AND(IF($Q9=3,1,IF($Q9=4,1,0)),IF($F9&lt;=85,1,0))</formula>
    </cfRule>
  </conditionalFormatting>
  <conditionalFormatting sqref="AI9">
    <cfRule type="expression" priority="1456" dxfId="3">
      <formula>AND(IF(OR($Q9=1,$Q9=2),1,0),IF($X9&lt;=20,1,0))</formula>
    </cfRule>
    <cfRule type="expression" priority="1457" dxfId="2">
      <formula>AND(IF($Q9=2,1,0),IF($X9&lt;30,1,0))</formula>
    </cfRule>
    <cfRule type="expression" priority="1458" dxfId="1">
      <formula>AND(IF($Q9=3,1,0),IF($X9&lt;30,1,0))</formula>
    </cfRule>
    <cfRule type="expression" priority="1459" dxfId="0">
      <formula>AND(IF($Q9=3,1,IF($Q9=4,1,0)),IF($F9&lt;=85,1,0))</formula>
    </cfRule>
  </conditionalFormatting>
  <conditionalFormatting sqref="AV10">
    <cfRule type="expression" priority="1454" dxfId="17">
      <formula>AV10="X"</formula>
    </cfRule>
    <cfRule type="expression" priority="1455" dxfId="16">
      <formula>AV10="후보"</formula>
    </cfRule>
  </conditionalFormatting>
  <conditionalFormatting sqref="AC10">
    <cfRule type="cellIs" priority="1451" operator="greaterThan" dxfId="13">
      <formula>0.9</formula>
    </cfRule>
    <cfRule type="cellIs" priority="1452" operator="greaterThan" dxfId="12">
      <formula>0.85</formula>
    </cfRule>
  </conditionalFormatting>
  <conditionalFormatting sqref="N10">
    <cfRule type="cellIs" priority="1449" operator="greaterThan" dxfId="13">
      <formula>0.9</formula>
    </cfRule>
    <cfRule type="cellIs" priority="1450" operator="greaterThan" dxfId="12">
      <formula>0.85</formula>
    </cfRule>
  </conditionalFormatting>
  <conditionalFormatting sqref="E10">
    <cfRule type="expression" priority="1445" dxfId="3">
      <formula>AND(IF(OR($Q10=1,$Q10=2),1,0),IF($X10&lt;=20,1,0))</formula>
    </cfRule>
    <cfRule type="expression" priority="1446" dxfId="2">
      <formula>AND(IF($Q10=2,1,0),IF($X10&lt;30,1,0))</formula>
    </cfRule>
    <cfRule type="expression" priority="1447" dxfId="1">
      <formula>AND(IF($Q10=3,1,0),IF($X10&lt;30,1,0))</formula>
    </cfRule>
    <cfRule type="expression" priority="1448" dxfId="0">
      <formula>AND(IF($Q10=3,1,IF($Q10=4,1,0)),IF($F10&lt;=85,1,0))</formula>
    </cfRule>
  </conditionalFormatting>
  <conditionalFormatting sqref="X10">
    <cfRule type="expression" priority="1441" dxfId="3">
      <formula>AND(IF(OR($Q10=1,$Q10=2),1,0),IF($X10&lt;=20,1,0))</formula>
    </cfRule>
    <cfRule type="expression" priority="1442" dxfId="2">
      <formula>AND(IF($Q10=2,1,0),IF($X10&lt;30,1,0))</formula>
    </cfRule>
    <cfRule type="expression" priority="1443" dxfId="1">
      <formula>AND(IF($Q10=3,1,0),IF($X10&lt;30,1,0))</formula>
    </cfRule>
    <cfRule type="expression" priority="1444" dxfId="0">
      <formula>AND(IF($Q10=3,1,IF($Q10=4,1,0)),IF($F10&lt;=85,1,0))</formula>
    </cfRule>
  </conditionalFormatting>
  <conditionalFormatting sqref="AI10">
    <cfRule type="expression" priority="1437" dxfId="3">
      <formula>AND(IF(OR($Q10=1,$Q10=2),1,0),IF($X10&lt;=20,1,0))</formula>
    </cfRule>
    <cfRule type="expression" priority="1438" dxfId="2">
      <formula>AND(IF($Q10=2,1,0),IF($X10&lt;30,1,0))</formula>
    </cfRule>
    <cfRule type="expression" priority="1439" dxfId="1">
      <formula>AND(IF($Q10=3,1,0),IF($X10&lt;30,1,0))</formula>
    </cfRule>
    <cfRule type="expression" priority="1440" dxfId="0">
      <formula>AND(IF($Q10=3,1,IF($Q10=4,1,0)),IF($F10&lt;=85,1,0))</formula>
    </cfRule>
  </conditionalFormatting>
  <conditionalFormatting sqref="AV11">
    <cfRule type="expression" priority="1435" dxfId="17">
      <formula>AV11="X"</formula>
    </cfRule>
    <cfRule type="expression" priority="1436" dxfId="16">
      <formula>AV11="후보"</formula>
    </cfRule>
  </conditionalFormatting>
  <conditionalFormatting sqref="AC11">
    <cfRule type="cellIs" priority="1432" operator="greaterThan" dxfId="13">
      <formula>0.9</formula>
    </cfRule>
    <cfRule type="cellIs" priority="1433" operator="greaterThan" dxfId="12">
      <formula>0.85</formula>
    </cfRule>
  </conditionalFormatting>
  <conditionalFormatting sqref="N11">
    <cfRule type="cellIs" priority="1430" operator="greaterThan" dxfId="13">
      <formula>0.9</formula>
    </cfRule>
    <cfRule type="cellIs" priority="1431" operator="greaterThan" dxfId="12">
      <formula>0.85</formula>
    </cfRule>
  </conditionalFormatting>
  <conditionalFormatting sqref="E11">
    <cfRule type="expression" priority="1426" dxfId="3">
      <formula>AND(IF(OR($Q11=1,$Q11=2),1,0),IF($X11&lt;=20,1,0))</formula>
    </cfRule>
    <cfRule type="expression" priority="1427" dxfId="2">
      <formula>AND(IF($Q11=2,1,0),IF($X11&lt;30,1,0))</formula>
    </cfRule>
    <cfRule type="expression" priority="1428" dxfId="1">
      <formula>AND(IF($Q11=3,1,0),IF($X11&lt;30,1,0))</formula>
    </cfRule>
    <cfRule type="expression" priority="1429" dxfId="0">
      <formula>AND(IF($Q11=3,1,IF($Q11=4,1,0)),IF($F11&lt;=85,1,0))</formula>
    </cfRule>
  </conditionalFormatting>
  <conditionalFormatting sqref="X11">
    <cfRule type="expression" priority="1422" dxfId="3">
      <formula>AND(IF(OR($Q11=1,$Q11=2),1,0),IF($X11&lt;=20,1,0))</formula>
    </cfRule>
    <cfRule type="expression" priority="1423" dxfId="2">
      <formula>AND(IF($Q11=2,1,0),IF($X11&lt;30,1,0))</formula>
    </cfRule>
    <cfRule type="expression" priority="1424" dxfId="1">
      <formula>AND(IF($Q11=3,1,0),IF($X11&lt;30,1,0))</formula>
    </cfRule>
    <cfRule type="expression" priority="1425" dxfId="0">
      <formula>AND(IF($Q11=3,1,IF($Q11=4,1,0)),IF($F11&lt;=85,1,0))</formula>
    </cfRule>
  </conditionalFormatting>
  <conditionalFormatting sqref="AI11">
    <cfRule type="expression" priority="1418" dxfId="3">
      <formula>AND(IF(OR($Q11=1,$Q11=2),1,0),IF($X11&lt;=20,1,0))</formula>
    </cfRule>
    <cfRule type="expression" priority="1419" dxfId="2">
      <formula>AND(IF($Q11=2,1,0),IF($X11&lt;30,1,0))</formula>
    </cfRule>
    <cfRule type="expression" priority="1420" dxfId="1">
      <formula>AND(IF($Q11=3,1,0),IF($X11&lt;30,1,0))</formula>
    </cfRule>
    <cfRule type="expression" priority="1421" dxfId="0">
      <formula>AND(IF($Q11=3,1,IF($Q11=4,1,0)),IF($F11&lt;=85,1,0))</formula>
    </cfRule>
  </conditionalFormatting>
  <conditionalFormatting sqref="AV12">
    <cfRule type="expression" priority="1416" dxfId="17">
      <formula>AV12="X"</formula>
    </cfRule>
    <cfRule type="expression" priority="1417" dxfId="16">
      <formula>AV12="후보"</formula>
    </cfRule>
  </conditionalFormatting>
  <conditionalFormatting sqref="AC12">
    <cfRule type="cellIs" priority="1413" operator="greaterThan" dxfId="13">
      <formula>0.9</formula>
    </cfRule>
    <cfRule type="cellIs" priority="1414" operator="greaterThan" dxfId="12">
      <formula>0.85</formula>
    </cfRule>
  </conditionalFormatting>
  <conditionalFormatting sqref="N12">
    <cfRule type="cellIs" priority="1411" operator="greaterThan" dxfId="13">
      <formula>0.9</formula>
    </cfRule>
    <cfRule type="cellIs" priority="1412" operator="greaterThan" dxfId="12">
      <formula>0.85</formula>
    </cfRule>
  </conditionalFormatting>
  <conditionalFormatting sqref="E12">
    <cfRule type="expression" priority="1407" dxfId="3">
      <formula>AND(IF(OR($Q12=1,$Q12=2),1,0),IF($X12&lt;=20,1,0))</formula>
    </cfRule>
    <cfRule type="expression" priority="1408" dxfId="2">
      <formula>AND(IF($Q12=2,1,0),IF($X12&lt;30,1,0))</formula>
    </cfRule>
    <cfRule type="expression" priority="1409" dxfId="1">
      <formula>AND(IF($Q12=3,1,0),IF($X12&lt;30,1,0))</formula>
    </cfRule>
    <cfRule type="expression" priority="1410" dxfId="0">
      <formula>AND(IF($Q12=3,1,IF($Q12=4,1,0)),IF($F12&lt;=85,1,0))</formula>
    </cfRule>
  </conditionalFormatting>
  <conditionalFormatting sqref="X12">
    <cfRule type="expression" priority="1403" dxfId="3">
      <formula>AND(IF(OR($Q12=1,$Q12=2),1,0),IF($X12&lt;=20,1,0))</formula>
    </cfRule>
    <cfRule type="expression" priority="1404" dxfId="2">
      <formula>AND(IF($Q12=2,1,0),IF($X12&lt;30,1,0))</formula>
    </cfRule>
    <cfRule type="expression" priority="1405" dxfId="1">
      <formula>AND(IF($Q12=3,1,0),IF($X12&lt;30,1,0))</formula>
    </cfRule>
    <cfRule type="expression" priority="1406" dxfId="0">
      <formula>AND(IF($Q12=3,1,IF($Q12=4,1,0)),IF($F12&lt;=85,1,0))</formula>
    </cfRule>
  </conditionalFormatting>
  <conditionalFormatting sqref="AI12">
    <cfRule type="expression" priority="1399" dxfId="3">
      <formula>AND(IF(OR($Q12=1,$Q12=2),1,0),IF($X12&lt;=20,1,0))</formula>
    </cfRule>
    <cfRule type="expression" priority="1400" dxfId="2">
      <formula>AND(IF($Q12=2,1,0),IF($X12&lt;30,1,0))</formula>
    </cfRule>
    <cfRule type="expression" priority="1401" dxfId="1">
      <formula>AND(IF($Q12=3,1,0),IF($X12&lt;30,1,0))</formula>
    </cfRule>
    <cfRule type="expression" priority="1402" dxfId="0">
      <formula>AND(IF($Q12=3,1,IF($Q12=4,1,0)),IF($F12&lt;=85,1,0))</formula>
    </cfRule>
  </conditionalFormatting>
  <conditionalFormatting sqref="AV13">
    <cfRule type="expression" priority="1397" dxfId="17">
      <formula>AV13="X"</formula>
    </cfRule>
    <cfRule type="expression" priority="1398" dxfId="16">
      <formula>AV13="후보"</formula>
    </cfRule>
  </conditionalFormatting>
  <conditionalFormatting sqref="AC13">
    <cfRule type="cellIs" priority="1394" operator="greaterThan" dxfId="13">
      <formula>0.9</formula>
    </cfRule>
    <cfRule type="cellIs" priority="1395" operator="greaterThan" dxfId="12">
      <formula>0.85</formula>
    </cfRule>
  </conditionalFormatting>
  <conditionalFormatting sqref="N13">
    <cfRule type="cellIs" priority="1392" operator="greaterThan" dxfId="13">
      <formula>0.9</formula>
    </cfRule>
    <cfRule type="cellIs" priority="1393" operator="greaterThan" dxfId="12">
      <formula>0.85</formula>
    </cfRule>
  </conditionalFormatting>
  <conditionalFormatting sqref="E13">
    <cfRule type="expression" priority="1388" dxfId="3">
      <formula>AND(IF(OR($Q13=1,$Q13=2),1,0),IF($X13&lt;=20,1,0))</formula>
    </cfRule>
    <cfRule type="expression" priority="1389" dxfId="2">
      <formula>AND(IF($Q13=2,1,0),IF($X13&lt;30,1,0))</formula>
    </cfRule>
    <cfRule type="expression" priority="1390" dxfId="1">
      <formula>AND(IF($Q13=3,1,0),IF($X13&lt;30,1,0))</formula>
    </cfRule>
    <cfRule type="expression" priority="1391" dxfId="0">
      <formula>AND(IF($Q13=3,1,IF($Q13=4,1,0)),IF($F13&lt;=85,1,0))</formula>
    </cfRule>
  </conditionalFormatting>
  <conditionalFormatting sqref="X13">
    <cfRule type="expression" priority="1384" dxfId="3">
      <formula>AND(IF(OR($Q13=1,$Q13=2),1,0),IF($X13&lt;=20,1,0))</formula>
    </cfRule>
    <cfRule type="expression" priority="1385" dxfId="2">
      <formula>AND(IF($Q13=2,1,0),IF($X13&lt;30,1,0))</formula>
    </cfRule>
    <cfRule type="expression" priority="1386" dxfId="1">
      <formula>AND(IF($Q13=3,1,0),IF($X13&lt;30,1,0))</formula>
    </cfRule>
    <cfRule type="expression" priority="1387" dxfId="0">
      <formula>AND(IF($Q13=3,1,IF($Q13=4,1,0)),IF($F13&lt;=85,1,0))</formula>
    </cfRule>
  </conditionalFormatting>
  <conditionalFormatting sqref="AI13">
    <cfRule type="expression" priority="1380" dxfId="3">
      <formula>AND(IF(OR($Q13=1,$Q13=2),1,0),IF($X13&lt;=20,1,0))</formula>
    </cfRule>
    <cfRule type="expression" priority="1381" dxfId="2">
      <formula>AND(IF($Q13=2,1,0),IF($X13&lt;30,1,0))</formula>
    </cfRule>
    <cfRule type="expression" priority="1382" dxfId="1">
      <formula>AND(IF($Q13=3,1,0),IF($X13&lt;30,1,0))</formula>
    </cfRule>
    <cfRule type="expression" priority="1383" dxfId="0">
      <formula>AND(IF($Q13=3,1,IF($Q13=4,1,0)),IF($F13&lt;=85,1,0))</formula>
    </cfRule>
  </conditionalFormatting>
  <conditionalFormatting sqref="AV14">
    <cfRule type="expression" priority="1378" dxfId="17">
      <formula>AV14="X"</formula>
    </cfRule>
    <cfRule type="expression" priority="1379" dxfId="16">
      <formula>AV14="후보"</formula>
    </cfRule>
  </conditionalFormatting>
  <conditionalFormatting sqref="AC14">
    <cfRule type="cellIs" priority="1375" operator="greaterThan" dxfId="13">
      <formula>0.9</formula>
    </cfRule>
    <cfRule type="cellIs" priority="1376" operator="greaterThan" dxfId="12">
      <formula>0.85</formula>
    </cfRule>
  </conditionalFormatting>
  <conditionalFormatting sqref="N14">
    <cfRule type="cellIs" priority="1373" operator="greaterThan" dxfId="13">
      <formula>0.9</formula>
    </cfRule>
    <cfRule type="cellIs" priority="1374" operator="greaterThan" dxfId="12">
      <formula>0.85</formula>
    </cfRule>
  </conditionalFormatting>
  <conditionalFormatting sqref="E14">
    <cfRule type="expression" priority="1369" dxfId="3">
      <formula>AND(IF(OR($Q14=1,$Q14=2),1,0),IF($X14&lt;=20,1,0))</formula>
    </cfRule>
    <cfRule type="expression" priority="1370" dxfId="2">
      <formula>AND(IF($Q14=2,1,0),IF($X14&lt;30,1,0))</formula>
    </cfRule>
    <cfRule type="expression" priority="1371" dxfId="1">
      <formula>AND(IF($Q14=3,1,0),IF($X14&lt;30,1,0))</formula>
    </cfRule>
    <cfRule type="expression" priority="1372" dxfId="0">
      <formula>AND(IF($Q14=3,1,IF($Q14=4,1,0)),IF($F14&lt;=85,1,0))</formula>
    </cfRule>
  </conditionalFormatting>
  <conditionalFormatting sqref="X14">
    <cfRule type="expression" priority="1365" dxfId="3">
      <formula>AND(IF(OR($Q14=1,$Q14=2),1,0),IF($X14&lt;=20,1,0))</formula>
    </cfRule>
    <cfRule type="expression" priority="1366" dxfId="2">
      <formula>AND(IF($Q14=2,1,0),IF($X14&lt;30,1,0))</formula>
    </cfRule>
    <cfRule type="expression" priority="1367" dxfId="1">
      <formula>AND(IF($Q14=3,1,0),IF($X14&lt;30,1,0))</formula>
    </cfRule>
    <cfRule type="expression" priority="1368" dxfId="0">
      <formula>AND(IF($Q14=3,1,IF($Q14=4,1,0)),IF($F14&lt;=85,1,0))</formula>
    </cfRule>
  </conditionalFormatting>
  <conditionalFormatting sqref="AI14">
    <cfRule type="expression" priority="1361" dxfId="3">
      <formula>AND(IF(OR($Q14=1,$Q14=2),1,0),IF($X14&lt;=20,1,0))</formula>
    </cfRule>
    <cfRule type="expression" priority="1362" dxfId="2">
      <formula>AND(IF($Q14=2,1,0),IF($X14&lt;30,1,0))</formula>
    </cfRule>
    <cfRule type="expression" priority="1363" dxfId="1">
      <formula>AND(IF($Q14=3,1,0),IF($X14&lt;30,1,0))</formula>
    </cfRule>
    <cfRule type="expression" priority="1364" dxfId="0">
      <formula>AND(IF($Q14=3,1,IF($Q14=4,1,0)),IF($F14&lt;=85,1,0))</formula>
    </cfRule>
  </conditionalFormatting>
  <conditionalFormatting sqref="AV15">
    <cfRule type="expression" priority="1359" dxfId="17">
      <formula>AV15="X"</formula>
    </cfRule>
    <cfRule type="expression" priority="1360" dxfId="16">
      <formula>AV15="후보"</formula>
    </cfRule>
  </conditionalFormatting>
  <conditionalFormatting sqref="AC15">
    <cfRule type="cellIs" priority="1356" operator="greaterThan" dxfId="13">
      <formula>0.9</formula>
    </cfRule>
    <cfRule type="cellIs" priority="1357" operator="greaterThan" dxfId="12">
      <formula>0.85</formula>
    </cfRule>
  </conditionalFormatting>
  <conditionalFormatting sqref="N15">
    <cfRule type="cellIs" priority="1354" operator="greaterThan" dxfId="13">
      <formula>0.9</formula>
    </cfRule>
    <cfRule type="cellIs" priority="1355" operator="greaterThan" dxfId="12">
      <formula>0.85</formula>
    </cfRule>
  </conditionalFormatting>
  <conditionalFormatting sqref="E15">
    <cfRule type="expression" priority="1350" dxfId="3">
      <formula>AND(IF(OR($Q15=1,$Q15=2),1,0),IF($X15&lt;=20,1,0))</formula>
    </cfRule>
    <cfRule type="expression" priority="1351" dxfId="2">
      <formula>AND(IF($Q15=2,1,0),IF($X15&lt;30,1,0))</formula>
    </cfRule>
    <cfRule type="expression" priority="1352" dxfId="1">
      <formula>AND(IF($Q15=3,1,0),IF($X15&lt;30,1,0))</formula>
    </cfRule>
    <cfRule type="expression" priority="1353" dxfId="0">
      <formula>AND(IF($Q15=3,1,IF($Q15=4,1,0)),IF($F15&lt;=85,1,0))</formula>
    </cfRule>
  </conditionalFormatting>
  <conditionalFormatting sqref="X15">
    <cfRule type="expression" priority="1346" dxfId="3">
      <formula>AND(IF(OR($Q15=1,$Q15=2),1,0),IF($X15&lt;=20,1,0))</formula>
    </cfRule>
    <cfRule type="expression" priority="1347" dxfId="2">
      <formula>AND(IF($Q15=2,1,0),IF($X15&lt;30,1,0))</formula>
    </cfRule>
    <cfRule type="expression" priority="1348" dxfId="1">
      <formula>AND(IF($Q15=3,1,0),IF($X15&lt;30,1,0))</formula>
    </cfRule>
    <cfRule type="expression" priority="1349" dxfId="0">
      <formula>AND(IF($Q15=3,1,IF($Q15=4,1,0)),IF($F15&lt;=85,1,0))</formula>
    </cfRule>
  </conditionalFormatting>
  <conditionalFormatting sqref="AI15">
    <cfRule type="expression" priority="1342" dxfId="3">
      <formula>AND(IF(OR($Q15=1,$Q15=2),1,0),IF($X15&lt;=20,1,0))</formula>
    </cfRule>
    <cfRule type="expression" priority="1343" dxfId="2">
      <formula>AND(IF($Q15=2,1,0),IF($X15&lt;30,1,0))</formula>
    </cfRule>
    <cfRule type="expression" priority="1344" dxfId="1">
      <formula>AND(IF($Q15=3,1,0),IF($X15&lt;30,1,0))</formula>
    </cfRule>
    <cfRule type="expression" priority="1345" dxfId="0">
      <formula>AND(IF($Q15=3,1,IF($Q15=4,1,0)),IF($F15&lt;=85,1,0))</formula>
    </cfRule>
  </conditionalFormatting>
  <conditionalFormatting sqref="AV16">
    <cfRule type="expression" priority="1340" dxfId="17">
      <formula>AV16="X"</formula>
    </cfRule>
    <cfRule type="expression" priority="1341" dxfId="16">
      <formula>AV16="후보"</formula>
    </cfRule>
  </conditionalFormatting>
  <conditionalFormatting sqref="AC16">
    <cfRule type="cellIs" priority="1337" operator="greaterThan" dxfId="13">
      <formula>0.9</formula>
    </cfRule>
    <cfRule type="cellIs" priority="1338" operator="greaterThan" dxfId="12">
      <formula>0.85</formula>
    </cfRule>
  </conditionalFormatting>
  <conditionalFormatting sqref="N16">
    <cfRule type="cellIs" priority="1335" operator="greaterThan" dxfId="13">
      <formula>0.9</formula>
    </cfRule>
    <cfRule type="cellIs" priority="1336" operator="greaterThan" dxfId="12">
      <formula>0.85</formula>
    </cfRule>
  </conditionalFormatting>
  <conditionalFormatting sqref="E16">
    <cfRule type="expression" priority="1331" dxfId="3">
      <formula>AND(IF(OR($Q16=1,$Q16=2),1,0),IF($X16&lt;=20,1,0))</formula>
    </cfRule>
    <cfRule type="expression" priority="1332" dxfId="2">
      <formula>AND(IF($Q16=2,1,0),IF($X16&lt;30,1,0))</formula>
    </cfRule>
    <cfRule type="expression" priority="1333" dxfId="1">
      <formula>AND(IF($Q16=3,1,0),IF($X16&lt;30,1,0))</formula>
    </cfRule>
    <cfRule type="expression" priority="1334" dxfId="0">
      <formula>AND(IF($Q16=3,1,IF($Q16=4,1,0)),IF($F16&lt;=85,1,0))</formula>
    </cfRule>
  </conditionalFormatting>
  <conditionalFormatting sqref="X16">
    <cfRule type="expression" priority="1327" dxfId="3">
      <formula>AND(IF(OR($Q16=1,$Q16=2),1,0),IF($X16&lt;=20,1,0))</formula>
    </cfRule>
    <cfRule type="expression" priority="1328" dxfId="2">
      <formula>AND(IF($Q16=2,1,0),IF($X16&lt;30,1,0))</formula>
    </cfRule>
    <cfRule type="expression" priority="1329" dxfId="1">
      <formula>AND(IF($Q16=3,1,0),IF($X16&lt;30,1,0))</formula>
    </cfRule>
    <cfRule type="expression" priority="1330" dxfId="0">
      <formula>AND(IF($Q16=3,1,IF($Q16=4,1,0)),IF($F16&lt;=85,1,0))</formula>
    </cfRule>
  </conditionalFormatting>
  <conditionalFormatting sqref="AI16">
    <cfRule type="expression" priority="1323" dxfId="3">
      <formula>AND(IF(OR($Q16=1,$Q16=2),1,0),IF($X16&lt;=20,1,0))</formula>
    </cfRule>
    <cfRule type="expression" priority="1324" dxfId="2">
      <formula>AND(IF($Q16=2,1,0),IF($X16&lt;30,1,0))</formula>
    </cfRule>
    <cfRule type="expression" priority="1325" dxfId="1">
      <formula>AND(IF($Q16=3,1,0),IF($X16&lt;30,1,0))</formula>
    </cfRule>
    <cfRule type="expression" priority="1326" dxfId="0">
      <formula>AND(IF($Q16=3,1,IF($Q16=4,1,0)),IF($F16&lt;=85,1,0))</formula>
    </cfRule>
  </conditionalFormatting>
  <conditionalFormatting sqref="AV17">
    <cfRule type="expression" priority="1321" dxfId="17">
      <formula>AV17="X"</formula>
    </cfRule>
    <cfRule type="expression" priority="1322" dxfId="16">
      <formula>AV17="후보"</formula>
    </cfRule>
  </conditionalFormatting>
  <conditionalFormatting sqref="AC17">
    <cfRule type="cellIs" priority="1318" operator="greaterThan" dxfId="13">
      <formula>0.9</formula>
    </cfRule>
    <cfRule type="cellIs" priority="1319" operator="greaterThan" dxfId="12">
      <formula>0.85</formula>
    </cfRule>
  </conditionalFormatting>
  <conditionalFormatting sqref="N17">
    <cfRule type="cellIs" priority="1316" operator="greaterThan" dxfId="13">
      <formula>0.9</formula>
    </cfRule>
    <cfRule type="cellIs" priority="1317" operator="greaterThan" dxfId="12">
      <formula>0.85</formula>
    </cfRule>
  </conditionalFormatting>
  <conditionalFormatting sqref="E17">
    <cfRule type="expression" priority="1312" dxfId="3">
      <formula>AND(IF(OR($Q17=1,$Q17=2),1,0),IF($X17&lt;=20,1,0))</formula>
    </cfRule>
    <cfRule type="expression" priority="1313" dxfId="2">
      <formula>AND(IF($Q17=2,1,0),IF($X17&lt;30,1,0))</formula>
    </cfRule>
    <cfRule type="expression" priority="1314" dxfId="1">
      <formula>AND(IF($Q17=3,1,0),IF($X17&lt;30,1,0))</formula>
    </cfRule>
    <cfRule type="expression" priority="1315" dxfId="0">
      <formula>AND(IF($Q17=3,1,IF($Q17=4,1,0)),IF($F17&lt;=85,1,0))</formula>
    </cfRule>
  </conditionalFormatting>
  <conditionalFormatting sqref="X17">
    <cfRule type="expression" priority="1308" dxfId="3">
      <formula>AND(IF(OR($Q17=1,$Q17=2),1,0),IF($X17&lt;=20,1,0))</formula>
    </cfRule>
    <cfRule type="expression" priority="1309" dxfId="2">
      <formula>AND(IF($Q17=2,1,0),IF($X17&lt;30,1,0))</formula>
    </cfRule>
    <cfRule type="expression" priority="1310" dxfId="1">
      <formula>AND(IF($Q17=3,1,0),IF($X17&lt;30,1,0))</formula>
    </cfRule>
    <cfRule type="expression" priority="1311" dxfId="0">
      <formula>AND(IF($Q17=3,1,IF($Q17=4,1,0)),IF($F17&lt;=85,1,0))</formula>
    </cfRule>
  </conditionalFormatting>
  <conditionalFormatting sqref="AI17">
    <cfRule type="expression" priority="1304" dxfId="3">
      <formula>AND(IF(OR($Q17=1,$Q17=2),1,0),IF($X17&lt;=20,1,0))</formula>
    </cfRule>
    <cfRule type="expression" priority="1305" dxfId="2">
      <formula>AND(IF($Q17=2,1,0),IF($X17&lt;30,1,0))</formula>
    </cfRule>
    <cfRule type="expression" priority="1306" dxfId="1">
      <formula>AND(IF($Q17=3,1,0),IF($X17&lt;30,1,0))</formula>
    </cfRule>
    <cfRule type="expression" priority="1307" dxfId="0">
      <formula>AND(IF($Q17=3,1,IF($Q17=4,1,0)),IF($F17&lt;=85,1,0))</formula>
    </cfRule>
  </conditionalFormatting>
  <conditionalFormatting sqref="AV18">
    <cfRule type="expression" priority="1302" dxfId="17">
      <formula>AV18="X"</formula>
    </cfRule>
    <cfRule type="expression" priority="1303" dxfId="16">
      <formula>AV18="후보"</formula>
    </cfRule>
  </conditionalFormatting>
  <conditionalFormatting sqref="AC18">
    <cfRule type="cellIs" priority="1299" operator="greaterThan" dxfId="13">
      <formula>0.9</formula>
    </cfRule>
    <cfRule type="cellIs" priority="1300" operator="greaterThan" dxfId="12">
      <formula>0.85</formula>
    </cfRule>
  </conditionalFormatting>
  <conditionalFormatting sqref="N18">
    <cfRule type="cellIs" priority="1297" operator="greaterThan" dxfId="13">
      <formula>0.9</formula>
    </cfRule>
    <cfRule type="cellIs" priority="1298" operator="greaterThan" dxfId="12">
      <formula>0.85</formula>
    </cfRule>
  </conditionalFormatting>
  <conditionalFormatting sqref="E18">
    <cfRule type="expression" priority="1293" dxfId="3">
      <formula>AND(IF(OR($Q18=1,$Q18=2),1,0),IF($X18&lt;=20,1,0))</formula>
    </cfRule>
    <cfRule type="expression" priority="1294" dxfId="2">
      <formula>AND(IF($Q18=2,1,0),IF($X18&lt;30,1,0))</formula>
    </cfRule>
    <cfRule type="expression" priority="1295" dxfId="1">
      <formula>AND(IF($Q18=3,1,0),IF($X18&lt;30,1,0))</formula>
    </cfRule>
    <cfRule type="expression" priority="1296" dxfId="0">
      <formula>AND(IF($Q18=3,1,IF($Q18=4,1,0)),IF($F18&lt;=85,1,0))</formula>
    </cfRule>
  </conditionalFormatting>
  <conditionalFormatting sqref="X18">
    <cfRule type="expression" priority="1289" dxfId="3">
      <formula>AND(IF(OR($Q18=1,$Q18=2),1,0),IF($X18&lt;=20,1,0))</formula>
    </cfRule>
    <cfRule type="expression" priority="1290" dxfId="2">
      <formula>AND(IF($Q18=2,1,0),IF($X18&lt;30,1,0))</formula>
    </cfRule>
    <cfRule type="expression" priority="1291" dxfId="1">
      <formula>AND(IF($Q18=3,1,0),IF($X18&lt;30,1,0))</formula>
    </cfRule>
    <cfRule type="expression" priority="1292" dxfId="0">
      <formula>AND(IF($Q18=3,1,IF($Q18=4,1,0)),IF($F18&lt;=85,1,0))</formula>
    </cfRule>
  </conditionalFormatting>
  <conditionalFormatting sqref="AI18">
    <cfRule type="expression" priority="1285" dxfId="3">
      <formula>AND(IF(OR($Q18=1,$Q18=2),1,0),IF($X18&lt;=20,1,0))</formula>
    </cfRule>
    <cfRule type="expression" priority="1286" dxfId="2">
      <formula>AND(IF($Q18=2,1,0),IF($X18&lt;30,1,0))</formula>
    </cfRule>
    <cfRule type="expression" priority="1287" dxfId="1">
      <formula>AND(IF($Q18=3,1,0),IF($X18&lt;30,1,0))</formula>
    </cfRule>
    <cfRule type="expression" priority="1288" dxfId="0">
      <formula>AND(IF($Q18=3,1,IF($Q18=4,1,0)),IF($F18&lt;=85,1,0))</formula>
    </cfRule>
  </conditionalFormatting>
  <conditionalFormatting sqref="AV19">
    <cfRule type="expression" priority="1283" dxfId="17">
      <formula>AV19="X"</formula>
    </cfRule>
    <cfRule type="expression" priority="1284" dxfId="16">
      <formula>AV19="후보"</formula>
    </cfRule>
  </conditionalFormatting>
  <conditionalFormatting sqref="AC19">
    <cfRule type="cellIs" priority="1280" operator="greaterThan" dxfId="13">
      <formula>0.9</formula>
    </cfRule>
    <cfRule type="cellIs" priority="1281" operator="greaterThan" dxfId="12">
      <formula>0.85</formula>
    </cfRule>
  </conditionalFormatting>
  <conditionalFormatting sqref="N19">
    <cfRule type="cellIs" priority="1278" operator="greaterThan" dxfId="13">
      <formula>0.9</formula>
    </cfRule>
    <cfRule type="cellIs" priority="1279" operator="greaterThan" dxfId="12">
      <formula>0.85</formula>
    </cfRule>
  </conditionalFormatting>
  <conditionalFormatting sqref="E19">
    <cfRule type="expression" priority="1274" dxfId="3">
      <formula>AND(IF(OR($Q19=1,$Q19=2),1,0),IF($X19&lt;=20,1,0))</formula>
    </cfRule>
    <cfRule type="expression" priority="1275" dxfId="2">
      <formula>AND(IF($Q19=2,1,0),IF($X19&lt;30,1,0))</formula>
    </cfRule>
    <cfRule type="expression" priority="1276" dxfId="1">
      <formula>AND(IF($Q19=3,1,0),IF($X19&lt;30,1,0))</formula>
    </cfRule>
    <cfRule type="expression" priority="1277" dxfId="0">
      <formula>AND(IF($Q19=3,1,IF($Q19=4,1,0)),IF($F19&lt;=85,1,0))</formula>
    </cfRule>
  </conditionalFormatting>
  <conditionalFormatting sqref="X19">
    <cfRule type="expression" priority="1270" dxfId="3">
      <formula>AND(IF(OR($Q19=1,$Q19=2),1,0),IF($X19&lt;=20,1,0))</formula>
    </cfRule>
    <cfRule type="expression" priority="1271" dxfId="2">
      <formula>AND(IF($Q19=2,1,0),IF($X19&lt;30,1,0))</formula>
    </cfRule>
    <cfRule type="expression" priority="1272" dxfId="1">
      <formula>AND(IF($Q19=3,1,0),IF($X19&lt;30,1,0))</formula>
    </cfRule>
    <cfRule type="expression" priority="1273" dxfId="0">
      <formula>AND(IF($Q19=3,1,IF($Q19=4,1,0)),IF($F19&lt;=85,1,0))</formula>
    </cfRule>
  </conditionalFormatting>
  <conditionalFormatting sqref="AI19">
    <cfRule type="expression" priority="1266" dxfId="3">
      <formula>AND(IF(OR($Q19=1,$Q19=2),1,0),IF($X19&lt;=20,1,0))</formula>
    </cfRule>
    <cfRule type="expression" priority="1267" dxfId="2">
      <formula>AND(IF($Q19=2,1,0),IF($X19&lt;30,1,0))</formula>
    </cfRule>
    <cfRule type="expression" priority="1268" dxfId="1">
      <formula>AND(IF($Q19=3,1,0),IF($X19&lt;30,1,0))</formula>
    </cfRule>
    <cfRule type="expression" priority="1269" dxfId="0">
      <formula>AND(IF($Q19=3,1,IF($Q19=4,1,0)),IF($F19&lt;=85,1,0))</formula>
    </cfRule>
  </conditionalFormatting>
  <conditionalFormatting sqref="AV20">
    <cfRule type="expression" priority="1264" dxfId="17">
      <formula>AV20="X"</formula>
    </cfRule>
    <cfRule type="expression" priority="1265" dxfId="16">
      <formula>AV20="후보"</formula>
    </cfRule>
  </conditionalFormatting>
  <conditionalFormatting sqref="AC20">
    <cfRule type="cellIs" priority="1261" operator="greaterThan" dxfId="13">
      <formula>0.9</formula>
    </cfRule>
    <cfRule type="cellIs" priority="1262" operator="greaterThan" dxfId="12">
      <formula>0.85</formula>
    </cfRule>
  </conditionalFormatting>
  <conditionalFormatting sqref="N20">
    <cfRule type="cellIs" priority="1259" operator="greaterThan" dxfId="13">
      <formula>0.9</formula>
    </cfRule>
    <cfRule type="cellIs" priority="1260" operator="greaterThan" dxfId="12">
      <formula>0.85</formula>
    </cfRule>
  </conditionalFormatting>
  <conditionalFormatting sqref="E20">
    <cfRule type="expression" priority="1255" dxfId="3">
      <formula>AND(IF(OR($Q20=1,$Q20=2),1,0),IF($X20&lt;=20,1,0))</formula>
    </cfRule>
    <cfRule type="expression" priority="1256" dxfId="2">
      <formula>AND(IF($Q20=2,1,0),IF($X20&lt;30,1,0))</formula>
    </cfRule>
    <cfRule type="expression" priority="1257" dxfId="1">
      <formula>AND(IF($Q20=3,1,0),IF($X20&lt;30,1,0))</formula>
    </cfRule>
    <cfRule type="expression" priority="1258" dxfId="0">
      <formula>AND(IF($Q20=3,1,IF($Q20=4,1,0)),IF($F20&lt;=85,1,0))</formula>
    </cfRule>
  </conditionalFormatting>
  <conditionalFormatting sqref="X20">
    <cfRule type="expression" priority="1251" dxfId="3">
      <formula>AND(IF(OR($Q20=1,$Q20=2),1,0),IF($X20&lt;=20,1,0))</formula>
    </cfRule>
    <cfRule type="expression" priority="1252" dxfId="2">
      <formula>AND(IF($Q20=2,1,0),IF($X20&lt;30,1,0))</formula>
    </cfRule>
    <cfRule type="expression" priority="1253" dxfId="1">
      <formula>AND(IF($Q20=3,1,0),IF($X20&lt;30,1,0))</formula>
    </cfRule>
    <cfRule type="expression" priority="1254" dxfId="0">
      <formula>AND(IF($Q20=3,1,IF($Q20=4,1,0)),IF($F20&lt;=85,1,0))</formula>
    </cfRule>
  </conditionalFormatting>
  <conditionalFormatting sqref="AI20">
    <cfRule type="expression" priority="1247" dxfId="3">
      <formula>AND(IF(OR($Q20=1,$Q20=2),1,0),IF($X20&lt;=20,1,0))</formula>
    </cfRule>
    <cfRule type="expression" priority="1248" dxfId="2">
      <formula>AND(IF($Q20=2,1,0),IF($X20&lt;30,1,0))</formula>
    </cfRule>
    <cfRule type="expression" priority="1249" dxfId="1">
      <formula>AND(IF($Q20=3,1,0),IF($X20&lt;30,1,0))</formula>
    </cfRule>
    <cfRule type="expression" priority="1250" dxfId="0">
      <formula>AND(IF($Q20=3,1,IF($Q20=4,1,0)),IF($F20&lt;=85,1,0))</formula>
    </cfRule>
  </conditionalFormatting>
  <conditionalFormatting sqref="AV21">
    <cfRule type="expression" priority="1245" dxfId="17">
      <formula>AV21="X"</formula>
    </cfRule>
    <cfRule type="expression" priority="1246" dxfId="16">
      <formula>AV21="후보"</formula>
    </cfRule>
  </conditionalFormatting>
  <conditionalFormatting sqref="AC21">
    <cfRule type="cellIs" priority="1242" operator="greaterThan" dxfId="13">
      <formula>0.9</formula>
    </cfRule>
    <cfRule type="cellIs" priority="1243" operator="greaterThan" dxfId="12">
      <formula>0.85</formula>
    </cfRule>
  </conditionalFormatting>
  <conditionalFormatting sqref="N21">
    <cfRule type="cellIs" priority="1240" operator="greaterThan" dxfId="13">
      <formula>0.9</formula>
    </cfRule>
    <cfRule type="cellIs" priority="1241" operator="greaterThan" dxfId="12">
      <formula>0.85</formula>
    </cfRule>
  </conditionalFormatting>
  <conditionalFormatting sqref="E21">
    <cfRule type="expression" priority="1236" dxfId="3">
      <formula>AND(IF(OR($Q21=1,$Q21=2),1,0),IF($X21&lt;=20,1,0))</formula>
    </cfRule>
    <cfRule type="expression" priority="1237" dxfId="2">
      <formula>AND(IF($Q21=2,1,0),IF($X21&lt;30,1,0))</formula>
    </cfRule>
    <cfRule type="expression" priority="1238" dxfId="1">
      <formula>AND(IF($Q21=3,1,0),IF($X21&lt;30,1,0))</formula>
    </cfRule>
    <cfRule type="expression" priority="1239" dxfId="0">
      <formula>AND(IF($Q21=3,1,IF($Q21=4,1,0)),IF($F21&lt;=85,1,0))</formula>
    </cfRule>
  </conditionalFormatting>
  <conditionalFormatting sqref="X21">
    <cfRule type="expression" priority="1232" dxfId="3">
      <formula>AND(IF(OR($Q21=1,$Q21=2),1,0),IF($X21&lt;=20,1,0))</formula>
    </cfRule>
    <cfRule type="expression" priority="1233" dxfId="2">
      <formula>AND(IF($Q21=2,1,0),IF($X21&lt;30,1,0))</formula>
    </cfRule>
    <cfRule type="expression" priority="1234" dxfId="1">
      <formula>AND(IF($Q21=3,1,0),IF($X21&lt;30,1,0))</formula>
    </cfRule>
    <cfRule type="expression" priority="1235" dxfId="0">
      <formula>AND(IF($Q21=3,1,IF($Q21=4,1,0)),IF($F21&lt;=85,1,0))</formula>
    </cfRule>
  </conditionalFormatting>
  <conditionalFormatting sqref="AI21">
    <cfRule type="expression" priority="1228" dxfId="3">
      <formula>AND(IF(OR($Q21=1,$Q21=2),1,0),IF($X21&lt;=20,1,0))</formula>
    </cfRule>
    <cfRule type="expression" priority="1229" dxfId="2">
      <formula>AND(IF($Q21=2,1,0),IF($X21&lt;30,1,0))</formula>
    </cfRule>
    <cfRule type="expression" priority="1230" dxfId="1">
      <formula>AND(IF($Q21=3,1,0),IF($X21&lt;30,1,0))</formula>
    </cfRule>
    <cfRule type="expression" priority="1231" dxfId="0">
      <formula>AND(IF($Q21=3,1,IF($Q21=4,1,0)),IF($F21&lt;=85,1,0))</formula>
    </cfRule>
  </conditionalFormatting>
  <conditionalFormatting sqref="AV22">
    <cfRule type="expression" priority="1226" dxfId="17">
      <formula>AV22="X"</formula>
    </cfRule>
    <cfRule type="expression" priority="1227" dxfId="16">
      <formula>AV22="후보"</formula>
    </cfRule>
  </conditionalFormatting>
  <conditionalFormatting sqref="AC22">
    <cfRule type="cellIs" priority="1223" operator="greaterThan" dxfId="13">
      <formula>0.9</formula>
    </cfRule>
    <cfRule type="cellIs" priority="1224" operator="greaterThan" dxfId="12">
      <formula>0.85</formula>
    </cfRule>
  </conditionalFormatting>
  <conditionalFormatting sqref="N22">
    <cfRule type="cellIs" priority="1221" operator="greaterThan" dxfId="13">
      <formula>0.9</formula>
    </cfRule>
    <cfRule type="cellIs" priority="1222" operator="greaterThan" dxfId="12">
      <formula>0.85</formula>
    </cfRule>
  </conditionalFormatting>
  <conditionalFormatting sqref="E22">
    <cfRule type="expression" priority="1217" dxfId="3">
      <formula>AND(IF(OR($Q22=1,$Q22=2),1,0),IF($X22&lt;=20,1,0))</formula>
    </cfRule>
    <cfRule type="expression" priority="1218" dxfId="2">
      <formula>AND(IF($Q22=2,1,0),IF($X22&lt;30,1,0))</formula>
    </cfRule>
    <cfRule type="expression" priority="1219" dxfId="1">
      <formula>AND(IF($Q22=3,1,0),IF($X22&lt;30,1,0))</formula>
    </cfRule>
    <cfRule type="expression" priority="1220" dxfId="0">
      <formula>AND(IF($Q22=3,1,IF($Q22=4,1,0)),IF($F22&lt;=85,1,0))</formula>
    </cfRule>
  </conditionalFormatting>
  <conditionalFormatting sqref="X22">
    <cfRule type="expression" priority="1213" dxfId="3">
      <formula>AND(IF(OR($Q22=1,$Q22=2),1,0),IF($X22&lt;=20,1,0))</formula>
    </cfRule>
    <cfRule type="expression" priority="1214" dxfId="2">
      <formula>AND(IF($Q22=2,1,0),IF($X22&lt;30,1,0))</formula>
    </cfRule>
    <cfRule type="expression" priority="1215" dxfId="1">
      <formula>AND(IF($Q22=3,1,0),IF($X22&lt;30,1,0))</formula>
    </cfRule>
    <cfRule type="expression" priority="1216" dxfId="0">
      <formula>AND(IF($Q22=3,1,IF($Q22=4,1,0)),IF($F22&lt;=85,1,0))</formula>
    </cfRule>
  </conditionalFormatting>
  <conditionalFormatting sqref="AI22">
    <cfRule type="expression" priority="1209" dxfId="3">
      <formula>AND(IF(OR($Q22=1,$Q22=2),1,0),IF($X22&lt;=20,1,0))</formula>
    </cfRule>
    <cfRule type="expression" priority="1210" dxfId="2">
      <formula>AND(IF($Q22=2,1,0),IF($X22&lt;30,1,0))</formula>
    </cfRule>
    <cfRule type="expression" priority="1211" dxfId="1">
      <formula>AND(IF($Q22=3,1,0),IF($X22&lt;30,1,0))</formula>
    </cfRule>
    <cfRule type="expression" priority="1212" dxfId="0">
      <formula>AND(IF($Q22=3,1,IF($Q22=4,1,0)),IF($F22&lt;=85,1,0))</formula>
    </cfRule>
  </conditionalFormatting>
  <conditionalFormatting sqref="AV23">
    <cfRule type="expression" priority="1207" dxfId="17">
      <formula>AV23="X"</formula>
    </cfRule>
    <cfRule type="expression" priority="1208" dxfId="16">
      <formula>AV23="후보"</formula>
    </cfRule>
  </conditionalFormatting>
  <conditionalFormatting sqref="AC23">
    <cfRule type="cellIs" priority="1204" operator="greaterThan" dxfId="13">
      <formula>0.9</formula>
    </cfRule>
    <cfRule type="cellIs" priority="1205" operator="greaterThan" dxfId="12">
      <formula>0.85</formula>
    </cfRule>
  </conditionalFormatting>
  <conditionalFormatting sqref="N23">
    <cfRule type="cellIs" priority="1202" operator="greaterThan" dxfId="13">
      <formula>0.9</formula>
    </cfRule>
    <cfRule type="cellIs" priority="1203" operator="greaterThan" dxfId="12">
      <formula>0.85</formula>
    </cfRule>
  </conditionalFormatting>
  <conditionalFormatting sqref="E23">
    <cfRule type="expression" priority="1198" dxfId="3">
      <formula>AND(IF(OR($Q23=1,$Q23=2),1,0),IF($X23&lt;=20,1,0))</formula>
    </cfRule>
    <cfRule type="expression" priority="1199" dxfId="2">
      <formula>AND(IF($Q23=2,1,0),IF($X23&lt;30,1,0))</formula>
    </cfRule>
    <cfRule type="expression" priority="1200" dxfId="1">
      <formula>AND(IF($Q23=3,1,0),IF($X23&lt;30,1,0))</formula>
    </cfRule>
    <cfRule type="expression" priority="1201" dxfId="0">
      <formula>AND(IF($Q23=3,1,IF($Q23=4,1,0)),IF($F23&lt;=85,1,0))</formula>
    </cfRule>
  </conditionalFormatting>
  <conditionalFormatting sqref="X23">
    <cfRule type="expression" priority="1194" dxfId="3">
      <formula>AND(IF(OR($Q23=1,$Q23=2),1,0),IF($X23&lt;=20,1,0))</formula>
    </cfRule>
    <cfRule type="expression" priority="1195" dxfId="2">
      <formula>AND(IF($Q23=2,1,0),IF($X23&lt;30,1,0))</formula>
    </cfRule>
    <cfRule type="expression" priority="1196" dxfId="1">
      <formula>AND(IF($Q23=3,1,0),IF($X23&lt;30,1,0))</formula>
    </cfRule>
    <cfRule type="expression" priority="1197" dxfId="0">
      <formula>AND(IF($Q23=3,1,IF($Q23=4,1,0)),IF($F23&lt;=85,1,0))</formula>
    </cfRule>
  </conditionalFormatting>
  <conditionalFormatting sqref="AI23">
    <cfRule type="expression" priority="1190" dxfId="3">
      <formula>AND(IF(OR($Q23=1,$Q23=2),1,0),IF($X23&lt;=20,1,0))</formula>
    </cfRule>
    <cfRule type="expression" priority="1191" dxfId="2">
      <formula>AND(IF($Q23=2,1,0),IF($X23&lt;30,1,0))</formula>
    </cfRule>
    <cfRule type="expression" priority="1192" dxfId="1">
      <formula>AND(IF($Q23=3,1,0),IF($X23&lt;30,1,0))</formula>
    </cfRule>
    <cfRule type="expression" priority="1193" dxfId="0">
      <formula>AND(IF($Q23=3,1,IF($Q23=4,1,0)),IF($F23&lt;=85,1,0))</formula>
    </cfRule>
  </conditionalFormatting>
  <conditionalFormatting sqref="AV24">
    <cfRule type="expression" priority="1188" dxfId="17">
      <formula>AV24="X"</formula>
    </cfRule>
    <cfRule type="expression" priority="1189" dxfId="16">
      <formula>AV24="후보"</formula>
    </cfRule>
  </conditionalFormatting>
  <conditionalFormatting sqref="AC24">
    <cfRule type="cellIs" priority="1185" operator="greaterThan" dxfId="13">
      <formula>0.9</formula>
    </cfRule>
    <cfRule type="cellIs" priority="1186" operator="greaterThan" dxfId="12">
      <formula>0.85</formula>
    </cfRule>
  </conditionalFormatting>
  <conditionalFormatting sqref="N24">
    <cfRule type="cellIs" priority="1183" operator="greaterThan" dxfId="13">
      <formula>0.9</formula>
    </cfRule>
    <cfRule type="cellIs" priority="1184" operator="greaterThan" dxfId="12">
      <formula>0.85</formula>
    </cfRule>
  </conditionalFormatting>
  <conditionalFormatting sqref="E24">
    <cfRule type="expression" priority="1179" dxfId="3">
      <formula>AND(IF(OR($Q24=1,$Q24=2),1,0),IF($X24&lt;=20,1,0))</formula>
    </cfRule>
    <cfRule type="expression" priority="1180" dxfId="2">
      <formula>AND(IF($Q24=2,1,0),IF($X24&lt;30,1,0))</formula>
    </cfRule>
    <cfRule type="expression" priority="1181" dxfId="1">
      <formula>AND(IF($Q24=3,1,0),IF($X24&lt;30,1,0))</formula>
    </cfRule>
    <cfRule type="expression" priority="1182" dxfId="0">
      <formula>AND(IF($Q24=3,1,IF($Q24=4,1,0)),IF($F24&lt;=85,1,0))</formula>
    </cfRule>
  </conditionalFormatting>
  <conditionalFormatting sqref="X24">
    <cfRule type="expression" priority="1175" dxfId="3">
      <formula>AND(IF(OR($Q24=1,$Q24=2),1,0),IF($X24&lt;=20,1,0))</formula>
    </cfRule>
    <cfRule type="expression" priority="1176" dxfId="2">
      <formula>AND(IF($Q24=2,1,0),IF($X24&lt;30,1,0))</formula>
    </cfRule>
    <cfRule type="expression" priority="1177" dxfId="1">
      <formula>AND(IF($Q24=3,1,0),IF($X24&lt;30,1,0))</formula>
    </cfRule>
    <cfRule type="expression" priority="1178" dxfId="0">
      <formula>AND(IF($Q24=3,1,IF($Q24=4,1,0)),IF($F24&lt;=85,1,0))</formula>
    </cfRule>
  </conditionalFormatting>
  <conditionalFormatting sqref="AI24">
    <cfRule type="expression" priority="1171" dxfId="3">
      <formula>AND(IF(OR($Q24=1,$Q24=2),1,0),IF($X24&lt;=20,1,0))</formula>
    </cfRule>
    <cfRule type="expression" priority="1172" dxfId="2">
      <formula>AND(IF($Q24=2,1,0),IF($X24&lt;30,1,0))</formula>
    </cfRule>
    <cfRule type="expression" priority="1173" dxfId="1">
      <formula>AND(IF($Q24=3,1,0),IF($X24&lt;30,1,0))</formula>
    </cfRule>
    <cfRule type="expression" priority="1174" dxfId="0">
      <formula>AND(IF($Q24=3,1,IF($Q24=4,1,0)),IF($F24&lt;=85,1,0))</formula>
    </cfRule>
  </conditionalFormatting>
  <conditionalFormatting sqref="AV25">
    <cfRule type="expression" priority="1169" dxfId="17">
      <formula>AV25="X"</formula>
    </cfRule>
    <cfRule type="expression" priority="1170" dxfId="16">
      <formula>AV25="후보"</formula>
    </cfRule>
  </conditionalFormatting>
  <conditionalFormatting sqref="AC25">
    <cfRule type="cellIs" priority="1166" operator="greaterThan" dxfId="13">
      <formula>0.9</formula>
    </cfRule>
    <cfRule type="cellIs" priority="1167" operator="greaterThan" dxfId="12">
      <formula>0.85</formula>
    </cfRule>
  </conditionalFormatting>
  <conditionalFormatting sqref="N25">
    <cfRule type="cellIs" priority="1164" operator="greaterThan" dxfId="13">
      <formula>0.9</formula>
    </cfRule>
    <cfRule type="cellIs" priority="1165" operator="greaterThan" dxfId="12">
      <formula>0.85</formula>
    </cfRule>
  </conditionalFormatting>
  <conditionalFormatting sqref="E25">
    <cfRule type="expression" priority="1160" dxfId="3">
      <formula>AND(IF(OR($Q25=1,$Q25=2),1,0),IF($X25&lt;=20,1,0))</formula>
    </cfRule>
    <cfRule type="expression" priority="1161" dxfId="2">
      <formula>AND(IF($Q25=2,1,0),IF($X25&lt;30,1,0))</formula>
    </cfRule>
    <cfRule type="expression" priority="1162" dxfId="1">
      <formula>AND(IF($Q25=3,1,0),IF($X25&lt;30,1,0))</formula>
    </cfRule>
    <cfRule type="expression" priority="1163" dxfId="0">
      <formula>AND(IF($Q25=3,1,IF($Q25=4,1,0)),IF($F25&lt;=85,1,0))</formula>
    </cfRule>
  </conditionalFormatting>
  <conditionalFormatting sqref="X25">
    <cfRule type="expression" priority="1156" dxfId="3">
      <formula>AND(IF(OR($Q25=1,$Q25=2),1,0),IF($X25&lt;=20,1,0))</formula>
    </cfRule>
    <cfRule type="expression" priority="1157" dxfId="2">
      <formula>AND(IF($Q25=2,1,0),IF($X25&lt;30,1,0))</formula>
    </cfRule>
    <cfRule type="expression" priority="1158" dxfId="1">
      <formula>AND(IF($Q25=3,1,0),IF($X25&lt;30,1,0))</formula>
    </cfRule>
    <cfRule type="expression" priority="1159" dxfId="0">
      <formula>AND(IF($Q25=3,1,IF($Q25=4,1,0)),IF($F25&lt;=85,1,0))</formula>
    </cfRule>
  </conditionalFormatting>
  <conditionalFormatting sqref="AI25">
    <cfRule type="expression" priority="1152" dxfId="3">
      <formula>AND(IF(OR($Q25=1,$Q25=2),1,0),IF($X25&lt;=20,1,0))</formula>
    </cfRule>
    <cfRule type="expression" priority="1153" dxfId="2">
      <formula>AND(IF($Q25=2,1,0),IF($X25&lt;30,1,0))</formula>
    </cfRule>
    <cfRule type="expression" priority="1154" dxfId="1">
      <formula>AND(IF($Q25=3,1,0),IF($X25&lt;30,1,0))</formula>
    </cfRule>
    <cfRule type="expression" priority="1155" dxfId="0">
      <formula>AND(IF($Q25=3,1,IF($Q25=4,1,0)),IF($F25&lt;=85,1,0))</formula>
    </cfRule>
  </conditionalFormatting>
  <conditionalFormatting sqref="AV26">
    <cfRule type="expression" priority="1150" dxfId="17">
      <formula>AV26="X"</formula>
    </cfRule>
    <cfRule type="expression" priority="1151" dxfId="16">
      <formula>AV26="후보"</formula>
    </cfRule>
  </conditionalFormatting>
  <conditionalFormatting sqref="AC26">
    <cfRule type="cellIs" priority="1147" operator="greaterThan" dxfId="13">
      <formula>0.9</formula>
    </cfRule>
    <cfRule type="cellIs" priority="1148" operator="greaterThan" dxfId="12">
      <formula>0.85</formula>
    </cfRule>
  </conditionalFormatting>
  <conditionalFormatting sqref="N26">
    <cfRule type="cellIs" priority="1145" operator="greaterThan" dxfId="13">
      <formula>0.9</formula>
    </cfRule>
    <cfRule type="cellIs" priority="1146" operator="greaterThan" dxfId="12">
      <formula>0.85</formula>
    </cfRule>
  </conditionalFormatting>
  <conditionalFormatting sqref="E26">
    <cfRule type="expression" priority="1141" dxfId="3">
      <formula>AND(IF(OR($Q26=1,$Q26=2),1,0),IF($X26&lt;=20,1,0))</formula>
    </cfRule>
    <cfRule type="expression" priority="1142" dxfId="2">
      <formula>AND(IF($Q26=2,1,0),IF($X26&lt;30,1,0))</formula>
    </cfRule>
    <cfRule type="expression" priority="1143" dxfId="1">
      <formula>AND(IF($Q26=3,1,0),IF($X26&lt;30,1,0))</formula>
    </cfRule>
    <cfRule type="expression" priority="1144" dxfId="0">
      <formula>AND(IF($Q26=3,1,IF($Q26=4,1,0)),IF($F26&lt;=85,1,0))</formula>
    </cfRule>
  </conditionalFormatting>
  <conditionalFormatting sqref="X26">
    <cfRule type="expression" priority="1137" dxfId="3">
      <formula>AND(IF(OR($Q26=1,$Q26=2),1,0),IF($X26&lt;=20,1,0))</formula>
    </cfRule>
    <cfRule type="expression" priority="1138" dxfId="2">
      <formula>AND(IF($Q26=2,1,0),IF($X26&lt;30,1,0))</formula>
    </cfRule>
    <cfRule type="expression" priority="1139" dxfId="1">
      <formula>AND(IF($Q26=3,1,0),IF($X26&lt;30,1,0))</formula>
    </cfRule>
    <cfRule type="expression" priority="1140" dxfId="0">
      <formula>AND(IF($Q26=3,1,IF($Q26=4,1,0)),IF($F26&lt;=85,1,0))</formula>
    </cfRule>
  </conditionalFormatting>
  <conditionalFormatting sqref="AI26">
    <cfRule type="expression" priority="1133" dxfId="3">
      <formula>AND(IF(OR($Q26=1,$Q26=2),1,0),IF($X26&lt;=20,1,0))</formula>
    </cfRule>
    <cfRule type="expression" priority="1134" dxfId="2">
      <formula>AND(IF($Q26=2,1,0),IF($X26&lt;30,1,0))</formula>
    </cfRule>
    <cfRule type="expression" priority="1135" dxfId="1">
      <formula>AND(IF($Q26=3,1,0),IF($X26&lt;30,1,0))</formula>
    </cfRule>
    <cfRule type="expression" priority="1136" dxfId="0">
      <formula>AND(IF($Q26=3,1,IF($Q26=4,1,0)),IF($F26&lt;=85,1,0))</formula>
    </cfRule>
  </conditionalFormatting>
  <conditionalFormatting sqref="AV27">
    <cfRule type="expression" priority="1131" dxfId="17">
      <formula>AV27="X"</formula>
    </cfRule>
    <cfRule type="expression" priority="1132" dxfId="16">
      <formula>AV27="후보"</formula>
    </cfRule>
  </conditionalFormatting>
  <conditionalFormatting sqref="AC27">
    <cfRule type="cellIs" priority="1128" operator="greaterThan" dxfId="13">
      <formula>0.9</formula>
    </cfRule>
    <cfRule type="cellIs" priority="1129" operator="greaterThan" dxfId="12">
      <formula>0.85</formula>
    </cfRule>
  </conditionalFormatting>
  <conditionalFormatting sqref="N27">
    <cfRule type="cellIs" priority="1126" operator="greaterThan" dxfId="13">
      <formula>0.9</formula>
    </cfRule>
    <cfRule type="cellIs" priority="1127" operator="greaterThan" dxfId="12">
      <formula>0.85</formula>
    </cfRule>
  </conditionalFormatting>
  <conditionalFormatting sqref="E27">
    <cfRule type="expression" priority="1122" dxfId="3">
      <formula>AND(IF(OR($Q27=1,$Q27=2),1,0),IF($X27&lt;=20,1,0))</formula>
    </cfRule>
    <cfRule type="expression" priority="1123" dxfId="2">
      <formula>AND(IF($Q27=2,1,0),IF($X27&lt;30,1,0))</formula>
    </cfRule>
    <cfRule type="expression" priority="1124" dxfId="1">
      <formula>AND(IF($Q27=3,1,0),IF($X27&lt;30,1,0))</formula>
    </cfRule>
    <cfRule type="expression" priority="1125" dxfId="0">
      <formula>AND(IF($Q27=3,1,IF($Q27=4,1,0)),IF($F27&lt;=85,1,0))</formula>
    </cfRule>
  </conditionalFormatting>
  <conditionalFormatting sqref="X27">
    <cfRule type="expression" priority="1118" dxfId="3">
      <formula>AND(IF(OR($Q27=1,$Q27=2),1,0),IF($X27&lt;=20,1,0))</formula>
    </cfRule>
    <cfRule type="expression" priority="1119" dxfId="2">
      <formula>AND(IF($Q27=2,1,0),IF($X27&lt;30,1,0))</formula>
    </cfRule>
    <cfRule type="expression" priority="1120" dxfId="1">
      <formula>AND(IF($Q27=3,1,0),IF($X27&lt;30,1,0))</formula>
    </cfRule>
    <cfRule type="expression" priority="1121" dxfId="0">
      <formula>AND(IF($Q27=3,1,IF($Q27=4,1,0)),IF($F27&lt;=85,1,0))</formula>
    </cfRule>
  </conditionalFormatting>
  <conditionalFormatting sqref="AI27">
    <cfRule type="expression" priority="1114" dxfId="3">
      <formula>AND(IF(OR($Q27=1,$Q27=2),1,0),IF($X27&lt;=20,1,0))</formula>
    </cfRule>
    <cfRule type="expression" priority="1115" dxfId="2">
      <formula>AND(IF($Q27=2,1,0),IF($X27&lt;30,1,0))</formula>
    </cfRule>
    <cfRule type="expression" priority="1116" dxfId="1">
      <formula>AND(IF($Q27=3,1,0),IF($X27&lt;30,1,0))</formula>
    </cfRule>
    <cfRule type="expression" priority="1117" dxfId="0">
      <formula>AND(IF($Q27=3,1,IF($Q27=4,1,0)),IF($F27&lt;=85,1,0))</formula>
    </cfRule>
  </conditionalFormatting>
  <conditionalFormatting sqref="AV28">
    <cfRule type="expression" priority="1112" dxfId="17">
      <formula>AV28="X"</formula>
    </cfRule>
    <cfRule type="expression" priority="1113" dxfId="16">
      <formula>AV28="후보"</formula>
    </cfRule>
  </conditionalFormatting>
  <conditionalFormatting sqref="AC28">
    <cfRule type="cellIs" priority="1109" operator="greaterThan" dxfId="13">
      <formula>0.9</formula>
    </cfRule>
    <cfRule type="cellIs" priority="1110" operator="greaterThan" dxfId="12">
      <formula>0.85</formula>
    </cfRule>
  </conditionalFormatting>
  <conditionalFormatting sqref="N28">
    <cfRule type="cellIs" priority="1107" operator="greaterThan" dxfId="13">
      <formula>0.9</formula>
    </cfRule>
    <cfRule type="cellIs" priority="1108" operator="greaterThan" dxfId="12">
      <formula>0.85</formula>
    </cfRule>
  </conditionalFormatting>
  <conditionalFormatting sqref="E28">
    <cfRule type="expression" priority="1103" dxfId="3">
      <formula>AND(IF(OR($Q28=1,$Q28=2),1,0),IF($X28&lt;=20,1,0))</formula>
    </cfRule>
    <cfRule type="expression" priority="1104" dxfId="2">
      <formula>AND(IF($Q28=2,1,0),IF($X28&lt;30,1,0))</formula>
    </cfRule>
    <cfRule type="expression" priority="1105" dxfId="1">
      <formula>AND(IF($Q28=3,1,0),IF($X28&lt;30,1,0))</formula>
    </cfRule>
    <cfRule type="expression" priority="1106" dxfId="0">
      <formula>AND(IF($Q28=3,1,IF($Q28=4,1,0)),IF($F28&lt;=85,1,0))</formula>
    </cfRule>
  </conditionalFormatting>
  <conditionalFormatting sqref="X28">
    <cfRule type="expression" priority="1099" dxfId="3">
      <formula>AND(IF(OR($Q28=1,$Q28=2),1,0),IF($X28&lt;=20,1,0))</formula>
    </cfRule>
    <cfRule type="expression" priority="1100" dxfId="2">
      <formula>AND(IF($Q28=2,1,0),IF($X28&lt;30,1,0))</formula>
    </cfRule>
    <cfRule type="expression" priority="1101" dxfId="1">
      <formula>AND(IF($Q28=3,1,0),IF($X28&lt;30,1,0))</formula>
    </cfRule>
    <cfRule type="expression" priority="1102" dxfId="0">
      <formula>AND(IF($Q28=3,1,IF($Q28=4,1,0)),IF($F28&lt;=85,1,0))</formula>
    </cfRule>
  </conditionalFormatting>
  <conditionalFormatting sqref="AI28">
    <cfRule type="expression" priority="1095" dxfId="3">
      <formula>AND(IF(OR($Q28=1,$Q28=2),1,0),IF($X28&lt;=20,1,0))</formula>
    </cfRule>
    <cfRule type="expression" priority="1096" dxfId="2">
      <formula>AND(IF($Q28=2,1,0),IF($X28&lt;30,1,0))</formula>
    </cfRule>
    <cfRule type="expression" priority="1097" dxfId="1">
      <formula>AND(IF($Q28=3,1,0),IF($X28&lt;30,1,0))</formula>
    </cfRule>
    <cfRule type="expression" priority="1098" dxfId="0">
      <formula>AND(IF($Q28=3,1,IF($Q28=4,1,0)),IF($F28&lt;=85,1,0))</formula>
    </cfRule>
  </conditionalFormatting>
  <conditionalFormatting sqref="AV29">
    <cfRule type="expression" priority="1093" dxfId="17">
      <formula>AV29="X"</formula>
    </cfRule>
    <cfRule type="expression" priority="1094" dxfId="16">
      <formula>AV29="후보"</formula>
    </cfRule>
  </conditionalFormatting>
  <conditionalFormatting sqref="AC29">
    <cfRule type="cellIs" priority="1090" operator="greaterThan" dxfId="13">
      <formula>0.9</formula>
    </cfRule>
    <cfRule type="cellIs" priority="1091" operator="greaterThan" dxfId="12">
      <formula>0.85</formula>
    </cfRule>
  </conditionalFormatting>
  <conditionalFormatting sqref="N29">
    <cfRule type="cellIs" priority="1088" operator="greaterThan" dxfId="13">
      <formula>0.9</formula>
    </cfRule>
    <cfRule type="cellIs" priority="1089" operator="greaterThan" dxfId="12">
      <formula>0.85</formula>
    </cfRule>
  </conditionalFormatting>
  <conditionalFormatting sqref="E29">
    <cfRule type="expression" priority="1084" dxfId="3">
      <formula>AND(IF(OR($Q29=1,$Q29=2),1,0),IF($X29&lt;=20,1,0))</formula>
    </cfRule>
    <cfRule type="expression" priority="1085" dxfId="2">
      <formula>AND(IF($Q29=2,1,0),IF($X29&lt;30,1,0))</formula>
    </cfRule>
    <cfRule type="expression" priority="1086" dxfId="1">
      <formula>AND(IF($Q29=3,1,0),IF($X29&lt;30,1,0))</formula>
    </cfRule>
    <cfRule type="expression" priority="1087" dxfId="0">
      <formula>AND(IF($Q29=3,1,IF($Q29=4,1,0)),IF($F29&lt;=85,1,0))</formula>
    </cfRule>
  </conditionalFormatting>
  <conditionalFormatting sqref="X29">
    <cfRule type="expression" priority="1080" dxfId="3">
      <formula>AND(IF(OR($Q29=1,$Q29=2),1,0),IF($X29&lt;=20,1,0))</formula>
    </cfRule>
    <cfRule type="expression" priority="1081" dxfId="2">
      <formula>AND(IF($Q29=2,1,0),IF($X29&lt;30,1,0))</formula>
    </cfRule>
    <cfRule type="expression" priority="1082" dxfId="1">
      <formula>AND(IF($Q29=3,1,0),IF($X29&lt;30,1,0))</formula>
    </cfRule>
    <cfRule type="expression" priority="1083" dxfId="0">
      <formula>AND(IF($Q29=3,1,IF($Q29=4,1,0)),IF($F29&lt;=85,1,0))</formula>
    </cfRule>
  </conditionalFormatting>
  <conditionalFormatting sqref="AI29">
    <cfRule type="expression" priority="1076" dxfId="3">
      <formula>AND(IF(OR($Q29=1,$Q29=2),1,0),IF($X29&lt;=20,1,0))</formula>
    </cfRule>
    <cfRule type="expression" priority="1077" dxfId="2">
      <formula>AND(IF($Q29=2,1,0),IF($X29&lt;30,1,0))</formula>
    </cfRule>
    <cfRule type="expression" priority="1078" dxfId="1">
      <formula>AND(IF($Q29=3,1,0),IF($X29&lt;30,1,0))</formula>
    </cfRule>
    <cfRule type="expression" priority="1079" dxfId="0">
      <formula>AND(IF($Q29=3,1,IF($Q29=4,1,0)),IF($F29&lt;=85,1,0))</formula>
    </cfRule>
  </conditionalFormatting>
  <conditionalFormatting sqref="AV30">
    <cfRule type="expression" priority="1074" dxfId="17">
      <formula>AV30="X"</formula>
    </cfRule>
    <cfRule type="expression" priority="1075" dxfId="16">
      <formula>AV30="후보"</formula>
    </cfRule>
  </conditionalFormatting>
  <conditionalFormatting sqref="AC30">
    <cfRule type="cellIs" priority="1071" operator="greaterThan" dxfId="13">
      <formula>0.9</formula>
    </cfRule>
    <cfRule type="cellIs" priority="1072" operator="greaterThan" dxfId="12">
      <formula>0.85</formula>
    </cfRule>
  </conditionalFormatting>
  <conditionalFormatting sqref="N30">
    <cfRule type="cellIs" priority="1069" operator="greaterThan" dxfId="13">
      <formula>0.9</formula>
    </cfRule>
    <cfRule type="cellIs" priority="1070" operator="greaterThan" dxfId="12">
      <formula>0.85</formula>
    </cfRule>
  </conditionalFormatting>
  <conditionalFormatting sqref="E30">
    <cfRule type="expression" priority="1065" dxfId="3">
      <formula>AND(IF(OR($Q30=1,$Q30=2),1,0),IF($X30&lt;=20,1,0))</formula>
    </cfRule>
    <cfRule type="expression" priority="1066" dxfId="2">
      <formula>AND(IF($Q30=2,1,0),IF($X30&lt;30,1,0))</formula>
    </cfRule>
    <cfRule type="expression" priority="1067" dxfId="1">
      <formula>AND(IF($Q30=3,1,0),IF($X30&lt;30,1,0))</formula>
    </cfRule>
    <cfRule type="expression" priority="1068" dxfId="0">
      <formula>AND(IF($Q30=3,1,IF($Q30=4,1,0)),IF($F30&lt;=85,1,0))</formula>
    </cfRule>
  </conditionalFormatting>
  <conditionalFormatting sqref="X30">
    <cfRule type="expression" priority="1061" dxfId="3">
      <formula>AND(IF(OR($Q30=1,$Q30=2),1,0),IF($X30&lt;=20,1,0))</formula>
    </cfRule>
    <cfRule type="expression" priority="1062" dxfId="2">
      <formula>AND(IF($Q30=2,1,0),IF($X30&lt;30,1,0))</formula>
    </cfRule>
    <cfRule type="expression" priority="1063" dxfId="1">
      <formula>AND(IF($Q30=3,1,0),IF($X30&lt;30,1,0))</formula>
    </cfRule>
    <cfRule type="expression" priority="1064" dxfId="0">
      <formula>AND(IF($Q30=3,1,IF($Q30=4,1,0)),IF($F30&lt;=85,1,0))</formula>
    </cfRule>
  </conditionalFormatting>
  <conditionalFormatting sqref="AI30">
    <cfRule type="expression" priority="1057" dxfId="3">
      <formula>AND(IF(OR($Q30=1,$Q30=2),1,0),IF($X30&lt;=20,1,0))</formula>
    </cfRule>
    <cfRule type="expression" priority="1058" dxfId="2">
      <formula>AND(IF($Q30=2,1,0),IF($X30&lt;30,1,0))</formula>
    </cfRule>
    <cfRule type="expression" priority="1059" dxfId="1">
      <formula>AND(IF($Q30=3,1,0),IF($X30&lt;30,1,0))</formula>
    </cfRule>
    <cfRule type="expression" priority="1060" dxfId="0">
      <formula>AND(IF($Q30=3,1,IF($Q30=4,1,0)),IF($F30&lt;=85,1,0))</formula>
    </cfRule>
  </conditionalFormatting>
  <conditionalFormatting sqref="AV31">
    <cfRule type="expression" priority="1055" dxfId="17">
      <formula>AV31="X"</formula>
    </cfRule>
    <cfRule type="expression" priority="1056" dxfId="16">
      <formula>AV31="후보"</formula>
    </cfRule>
  </conditionalFormatting>
  <conditionalFormatting sqref="AC31">
    <cfRule type="cellIs" priority="1052" operator="greaterThan" dxfId="13">
      <formula>0.9</formula>
    </cfRule>
    <cfRule type="cellIs" priority="1053" operator="greaterThan" dxfId="12">
      <formula>0.85</formula>
    </cfRule>
  </conditionalFormatting>
  <conditionalFormatting sqref="N31">
    <cfRule type="cellIs" priority="1050" operator="greaterThan" dxfId="13">
      <formula>0.9</formula>
    </cfRule>
    <cfRule type="cellIs" priority="1051" operator="greaterThan" dxfId="12">
      <formula>0.85</formula>
    </cfRule>
  </conditionalFormatting>
  <conditionalFormatting sqref="E31">
    <cfRule type="expression" priority="1046" dxfId="3">
      <formula>AND(IF(OR($Q31=1,$Q31=2),1,0),IF($X31&lt;=20,1,0))</formula>
    </cfRule>
    <cfRule type="expression" priority="1047" dxfId="2">
      <formula>AND(IF($Q31=2,1,0),IF($X31&lt;30,1,0))</formula>
    </cfRule>
    <cfRule type="expression" priority="1048" dxfId="1">
      <formula>AND(IF($Q31=3,1,0),IF($X31&lt;30,1,0))</formula>
    </cfRule>
    <cfRule type="expression" priority="1049" dxfId="0">
      <formula>AND(IF($Q31=3,1,IF($Q31=4,1,0)),IF($F31&lt;=85,1,0))</formula>
    </cfRule>
  </conditionalFormatting>
  <conditionalFormatting sqref="X31">
    <cfRule type="expression" priority="1042" dxfId="3">
      <formula>AND(IF(OR($Q31=1,$Q31=2),1,0),IF($X31&lt;=20,1,0))</formula>
    </cfRule>
    <cfRule type="expression" priority="1043" dxfId="2">
      <formula>AND(IF($Q31=2,1,0),IF($X31&lt;30,1,0))</formula>
    </cfRule>
    <cfRule type="expression" priority="1044" dxfId="1">
      <formula>AND(IF($Q31=3,1,0),IF($X31&lt;30,1,0))</formula>
    </cfRule>
    <cfRule type="expression" priority="1045" dxfId="0">
      <formula>AND(IF($Q31=3,1,IF($Q31=4,1,0)),IF($F31&lt;=85,1,0))</formula>
    </cfRule>
  </conditionalFormatting>
  <conditionalFormatting sqref="AI31">
    <cfRule type="expression" priority="1038" dxfId="3">
      <formula>AND(IF(OR($Q31=1,$Q31=2),1,0),IF($X31&lt;=20,1,0))</formula>
    </cfRule>
    <cfRule type="expression" priority="1039" dxfId="2">
      <formula>AND(IF($Q31=2,1,0),IF($X31&lt;30,1,0))</formula>
    </cfRule>
    <cfRule type="expression" priority="1040" dxfId="1">
      <formula>AND(IF($Q31=3,1,0),IF($X31&lt;30,1,0))</formula>
    </cfRule>
    <cfRule type="expression" priority="1041" dxfId="0">
      <formula>AND(IF($Q31=3,1,IF($Q31=4,1,0)),IF($F31&lt;=85,1,0))</formula>
    </cfRule>
  </conditionalFormatting>
  <conditionalFormatting sqref="AV32">
    <cfRule type="expression" priority="1036" dxfId="17">
      <formula>AV32="X"</formula>
    </cfRule>
    <cfRule type="expression" priority="1037" dxfId="16">
      <formula>AV32="후보"</formula>
    </cfRule>
  </conditionalFormatting>
  <conditionalFormatting sqref="AC32">
    <cfRule type="cellIs" priority="1033" operator="greaterThan" dxfId="13">
      <formula>0.9</formula>
    </cfRule>
    <cfRule type="cellIs" priority="1034" operator="greaterThan" dxfId="12">
      <formula>0.85</formula>
    </cfRule>
  </conditionalFormatting>
  <conditionalFormatting sqref="N32">
    <cfRule type="cellIs" priority="1031" operator="greaterThan" dxfId="13">
      <formula>0.9</formula>
    </cfRule>
    <cfRule type="cellIs" priority="1032" operator="greaterThan" dxfId="12">
      <formula>0.85</formula>
    </cfRule>
  </conditionalFormatting>
  <conditionalFormatting sqref="E32">
    <cfRule type="expression" priority="1027" dxfId="3">
      <formula>AND(IF(OR($Q32=1,$Q32=2),1,0),IF($X32&lt;=20,1,0))</formula>
    </cfRule>
    <cfRule type="expression" priority="1028" dxfId="2">
      <formula>AND(IF($Q32=2,1,0),IF($X32&lt;30,1,0))</formula>
    </cfRule>
    <cfRule type="expression" priority="1029" dxfId="1">
      <formula>AND(IF($Q32=3,1,0),IF($X32&lt;30,1,0))</formula>
    </cfRule>
    <cfRule type="expression" priority="1030" dxfId="0">
      <formula>AND(IF($Q32=3,1,IF($Q32=4,1,0)),IF($F32&lt;=85,1,0))</formula>
    </cfRule>
  </conditionalFormatting>
  <conditionalFormatting sqref="X32">
    <cfRule type="expression" priority="1023" dxfId="3">
      <formula>AND(IF(OR($Q32=1,$Q32=2),1,0),IF($X32&lt;=20,1,0))</formula>
    </cfRule>
    <cfRule type="expression" priority="1024" dxfId="2">
      <formula>AND(IF($Q32=2,1,0),IF($X32&lt;30,1,0))</formula>
    </cfRule>
    <cfRule type="expression" priority="1025" dxfId="1">
      <formula>AND(IF($Q32=3,1,0),IF($X32&lt;30,1,0))</formula>
    </cfRule>
    <cfRule type="expression" priority="1026" dxfId="0">
      <formula>AND(IF($Q32=3,1,IF($Q32=4,1,0)),IF($F32&lt;=85,1,0))</formula>
    </cfRule>
  </conditionalFormatting>
  <conditionalFormatting sqref="AI32">
    <cfRule type="expression" priority="1019" dxfId="3">
      <formula>AND(IF(OR($Q32=1,$Q32=2),1,0),IF($X32&lt;=20,1,0))</formula>
    </cfRule>
    <cfRule type="expression" priority="1020" dxfId="2">
      <formula>AND(IF($Q32=2,1,0),IF($X32&lt;30,1,0))</formula>
    </cfRule>
    <cfRule type="expression" priority="1021" dxfId="1">
      <formula>AND(IF($Q32=3,1,0),IF($X32&lt;30,1,0))</formula>
    </cfRule>
    <cfRule type="expression" priority="1022" dxfId="0">
      <formula>AND(IF($Q32=3,1,IF($Q32=4,1,0)),IF($F32&lt;=85,1,0))</formula>
    </cfRule>
  </conditionalFormatting>
  <conditionalFormatting sqref="AV33">
    <cfRule type="expression" priority="1017" dxfId="17">
      <formula>AV33="X"</formula>
    </cfRule>
    <cfRule type="expression" priority="1018" dxfId="16">
      <formula>AV33="후보"</formula>
    </cfRule>
  </conditionalFormatting>
  <conditionalFormatting sqref="AC33">
    <cfRule type="cellIs" priority="1014" operator="greaterThan" dxfId="13">
      <formula>0.9</formula>
    </cfRule>
    <cfRule type="cellIs" priority="1015" operator="greaterThan" dxfId="12">
      <formula>0.85</formula>
    </cfRule>
  </conditionalFormatting>
  <conditionalFormatting sqref="N33">
    <cfRule type="cellIs" priority="1012" operator="greaterThan" dxfId="13">
      <formula>0.9</formula>
    </cfRule>
    <cfRule type="cellIs" priority="1013" operator="greaterThan" dxfId="12">
      <formula>0.85</formula>
    </cfRule>
  </conditionalFormatting>
  <conditionalFormatting sqref="E33">
    <cfRule type="expression" priority="1008" dxfId="3">
      <formula>AND(IF(OR($Q33=1,$Q33=2),1,0),IF($X33&lt;=20,1,0))</formula>
    </cfRule>
    <cfRule type="expression" priority="1009" dxfId="2">
      <formula>AND(IF($Q33=2,1,0),IF($X33&lt;30,1,0))</formula>
    </cfRule>
    <cfRule type="expression" priority="1010" dxfId="1">
      <formula>AND(IF($Q33=3,1,0),IF($X33&lt;30,1,0))</formula>
    </cfRule>
    <cfRule type="expression" priority="1011" dxfId="0">
      <formula>AND(IF($Q33=3,1,IF($Q33=4,1,0)),IF($F33&lt;=85,1,0))</formula>
    </cfRule>
  </conditionalFormatting>
  <conditionalFormatting sqref="X33">
    <cfRule type="expression" priority="1004" dxfId="3">
      <formula>AND(IF(OR($Q33=1,$Q33=2),1,0),IF($X33&lt;=20,1,0))</formula>
    </cfRule>
    <cfRule type="expression" priority="1005" dxfId="2">
      <formula>AND(IF($Q33=2,1,0),IF($X33&lt;30,1,0))</formula>
    </cfRule>
    <cfRule type="expression" priority="1006" dxfId="1">
      <formula>AND(IF($Q33=3,1,0),IF($X33&lt;30,1,0))</formula>
    </cfRule>
    <cfRule type="expression" priority="1007" dxfId="0">
      <formula>AND(IF($Q33=3,1,IF($Q33=4,1,0)),IF($F33&lt;=85,1,0))</formula>
    </cfRule>
  </conditionalFormatting>
  <conditionalFormatting sqref="AI33">
    <cfRule type="expression" priority="1000" dxfId="3">
      <formula>AND(IF(OR($Q33=1,$Q33=2),1,0),IF($X33&lt;=20,1,0))</formula>
    </cfRule>
    <cfRule type="expression" priority="1001" dxfId="2">
      <formula>AND(IF($Q33=2,1,0),IF($X33&lt;30,1,0))</formula>
    </cfRule>
    <cfRule type="expression" priority="1002" dxfId="1">
      <formula>AND(IF($Q33=3,1,0),IF($X33&lt;30,1,0))</formula>
    </cfRule>
    <cfRule type="expression" priority="1003" dxfId="0">
      <formula>AND(IF($Q33=3,1,IF($Q33=4,1,0)),IF($F33&lt;=85,1,0))</formula>
    </cfRule>
  </conditionalFormatting>
  <conditionalFormatting sqref="AV34">
    <cfRule type="expression" priority="998" dxfId="17">
      <formula>AV34="X"</formula>
    </cfRule>
    <cfRule type="expression" priority="999" dxfId="16">
      <formula>AV34="후보"</formula>
    </cfRule>
  </conditionalFormatting>
  <conditionalFormatting sqref="AC34">
    <cfRule type="cellIs" priority="995" operator="greaterThan" dxfId="13">
      <formula>0.9</formula>
    </cfRule>
    <cfRule type="cellIs" priority="996" operator="greaterThan" dxfId="12">
      <formula>0.85</formula>
    </cfRule>
  </conditionalFormatting>
  <conditionalFormatting sqref="N34">
    <cfRule type="cellIs" priority="993" operator="greaterThan" dxfId="13">
      <formula>0.9</formula>
    </cfRule>
    <cfRule type="cellIs" priority="994" operator="greaterThan" dxfId="12">
      <formula>0.85</formula>
    </cfRule>
  </conditionalFormatting>
  <conditionalFormatting sqref="E34">
    <cfRule type="expression" priority="989" dxfId="3">
      <formula>AND(IF(OR($Q34=1,$Q34=2),1,0),IF($X34&lt;=20,1,0))</formula>
    </cfRule>
    <cfRule type="expression" priority="990" dxfId="2">
      <formula>AND(IF($Q34=2,1,0),IF($X34&lt;30,1,0))</formula>
    </cfRule>
    <cfRule type="expression" priority="991" dxfId="1">
      <formula>AND(IF($Q34=3,1,0),IF($X34&lt;30,1,0))</formula>
    </cfRule>
    <cfRule type="expression" priority="992" dxfId="0">
      <formula>AND(IF($Q34=3,1,IF($Q34=4,1,0)),IF($F34&lt;=85,1,0))</formula>
    </cfRule>
  </conditionalFormatting>
  <conditionalFormatting sqref="X34">
    <cfRule type="expression" priority="985" dxfId="3">
      <formula>AND(IF(OR($Q34=1,$Q34=2),1,0),IF($X34&lt;=20,1,0))</formula>
    </cfRule>
    <cfRule type="expression" priority="986" dxfId="2">
      <formula>AND(IF($Q34=2,1,0),IF($X34&lt;30,1,0))</formula>
    </cfRule>
    <cfRule type="expression" priority="987" dxfId="1">
      <formula>AND(IF($Q34=3,1,0),IF($X34&lt;30,1,0))</formula>
    </cfRule>
    <cfRule type="expression" priority="988" dxfId="0">
      <formula>AND(IF($Q34=3,1,IF($Q34=4,1,0)),IF($F34&lt;=85,1,0))</formula>
    </cfRule>
  </conditionalFormatting>
  <conditionalFormatting sqref="AI34">
    <cfRule type="expression" priority="981" dxfId="3">
      <formula>AND(IF(OR($Q34=1,$Q34=2),1,0),IF($X34&lt;=20,1,0))</formula>
    </cfRule>
    <cfRule type="expression" priority="982" dxfId="2">
      <formula>AND(IF($Q34=2,1,0),IF($X34&lt;30,1,0))</formula>
    </cfRule>
    <cfRule type="expression" priority="983" dxfId="1">
      <formula>AND(IF($Q34=3,1,0),IF($X34&lt;30,1,0))</formula>
    </cfRule>
    <cfRule type="expression" priority="984" dxfId="0">
      <formula>AND(IF($Q34=3,1,IF($Q34=4,1,0)),IF($F34&lt;=85,1,0))</formula>
    </cfRule>
  </conditionalFormatting>
  <conditionalFormatting sqref="AV35">
    <cfRule type="expression" priority="979" dxfId="17">
      <formula>AV35="X"</formula>
    </cfRule>
    <cfRule type="expression" priority="980" dxfId="16">
      <formula>AV35="후보"</formula>
    </cfRule>
  </conditionalFormatting>
  <conditionalFormatting sqref="AC35">
    <cfRule type="cellIs" priority="976" operator="greaterThan" dxfId="13">
      <formula>0.9</formula>
    </cfRule>
    <cfRule type="cellIs" priority="977" operator="greaterThan" dxfId="12">
      <formula>0.85</formula>
    </cfRule>
  </conditionalFormatting>
  <conditionalFormatting sqref="N35">
    <cfRule type="cellIs" priority="974" operator="greaterThan" dxfId="13">
      <formula>0.9</formula>
    </cfRule>
    <cfRule type="cellIs" priority="975" operator="greaterThan" dxfId="12">
      <formula>0.85</formula>
    </cfRule>
  </conditionalFormatting>
  <conditionalFormatting sqref="E35">
    <cfRule type="expression" priority="970" dxfId="3">
      <formula>AND(IF(OR($Q35=1,$Q35=2),1,0),IF($X35&lt;=20,1,0))</formula>
    </cfRule>
    <cfRule type="expression" priority="971" dxfId="2">
      <formula>AND(IF($Q35=2,1,0),IF($X35&lt;30,1,0))</formula>
    </cfRule>
    <cfRule type="expression" priority="972" dxfId="1">
      <formula>AND(IF($Q35=3,1,0),IF($X35&lt;30,1,0))</formula>
    </cfRule>
    <cfRule type="expression" priority="973" dxfId="0">
      <formula>AND(IF($Q35=3,1,IF($Q35=4,1,0)),IF($F35&lt;=85,1,0))</formula>
    </cfRule>
  </conditionalFormatting>
  <conditionalFormatting sqref="X35">
    <cfRule type="expression" priority="966" dxfId="3">
      <formula>AND(IF(OR($Q35=1,$Q35=2),1,0),IF($X35&lt;=20,1,0))</formula>
    </cfRule>
    <cfRule type="expression" priority="967" dxfId="2">
      <formula>AND(IF($Q35=2,1,0),IF($X35&lt;30,1,0))</formula>
    </cfRule>
    <cfRule type="expression" priority="968" dxfId="1">
      <formula>AND(IF($Q35=3,1,0),IF($X35&lt;30,1,0))</formula>
    </cfRule>
    <cfRule type="expression" priority="969" dxfId="0">
      <formula>AND(IF($Q35=3,1,IF($Q35=4,1,0)),IF($F35&lt;=85,1,0))</formula>
    </cfRule>
  </conditionalFormatting>
  <conditionalFormatting sqref="AI35">
    <cfRule type="expression" priority="962" dxfId="3">
      <formula>AND(IF(OR($Q35=1,$Q35=2),1,0),IF($X35&lt;=20,1,0))</formula>
    </cfRule>
    <cfRule type="expression" priority="963" dxfId="2">
      <formula>AND(IF($Q35=2,1,0),IF($X35&lt;30,1,0))</formula>
    </cfRule>
    <cfRule type="expression" priority="964" dxfId="1">
      <formula>AND(IF($Q35=3,1,0),IF($X35&lt;30,1,0))</formula>
    </cfRule>
    <cfRule type="expression" priority="965" dxfId="0">
      <formula>AND(IF($Q35=3,1,IF($Q35=4,1,0)),IF($F35&lt;=85,1,0))</formula>
    </cfRule>
  </conditionalFormatting>
  <conditionalFormatting sqref="AV36">
    <cfRule type="expression" priority="960" dxfId="17">
      <formula>AV36="X"</formula>
    </cfRule>
    <cfRule type="expression" priority="961" dxfId="16">
      <formula>AV36="후보"</formula>
    </cfRule>
  </conditionalFormatting>
  <conditionalFormatting sqref="AC36">
    <cfRule type="cellIs" priority="957" operator="greaterThan" dxfId="13">
      <formula>0.9</formula>
    </cfRule>
    <cfRule type="cellIs" priority="958" operator="greaterThan" dxfId="12">
      <formula>0.85</formula>
    </cfRule>
  </conditionalFormatting>
  <conditionalFormatting sqref="N36">
    <cfRule type="cellIs" priority="955" operator="greaterThan" dxfId="13">
      <formula>0.9</formula>
    </cfRule>
    <cfRule type="cellIs" priority="956" operator="greaterThan" dxfId="12">
      <formula>0.85</formula>
    </cfRule>
  </conditionalFormatting>
  <conditionalFormatting sqref="E36">
    <cfRule type="expression" priority="951" dxfId="3">
      <formula>AND(IF(OR($Q36=1,$Q36=2),1,0),IF($X36&lt;=20,1,0))</formula>
    </cfRule>
    <cfRule type="expression" priority="952" dxfId="2">
      <formula>AND(IF($Q36=2,1,0),IF($X36&lt;30,1,0))</formula>
    </cfRule>
    <cfRule type="expression" priority="953" dxfId="1">
      <formula>AND(IF($Q36=3,1,0),IF($X36&lt;30,1,0))</formula>
    </cfRule>
    <cfRule type="expression" priority="954" dxfId="0">
      <formula>AND(IF($Q36=3,1,IF($Q36=4,1,0)),IF($F36&lt;=85,1,0))</formula>
    </cfRule>
  </conditionalFormatting>
  <conditionalFormatting sqref="X36">
    <cfRule type="expression" priority="947" dxfId="3">
      <formula>AND(IF(OR($Q36=1,$Q36=2),1,0),IF($X36&lt;=20,1,0))</formula>
    </cfRule>
    <cfRule type="expression" priority="948" dxfId="2">
      <formula>AND(IF($Q36=2,1,0),IF($X36&lt;30,1,0))</formula>
    </cfRule>
    <cfRule type="expression" priority="949" dxfId="1">
      <formula>AND(IF($Q36=3,1,0),IF($X36&lt;30,1,0))</formula>
    </cfRule>
    <cfRule type="expression" priority="950" dxfId="0">
      <formula>AND(IF($Q36=3,1,IF($Q36=4,1,0)),IF($F36&lt;=85,1,0))</formula>
    </cfRule>
  </conditionalFormatting>
  <conditionalFormatting sqref="AI36">
    <cfRule type="expression" priority="943" dxfId="3">
      <formula>AND(IF(OR($Q36=1,$Q36=2),1,0),IF($X36&lt;=20,1,0))</formula>
    </cfRule>
    <cfRule type="expression" priority="944" dxfId="2">
      <formula>AND(IF($Q36=2,1,0),IF($X36&lt;30,1,0))</formula>
    </cfRule>
    <cfRule type="expression" priority="945" dxfId="1">
      <formula>AND(IF($Q36=3,1,0),IF($X36&lt;30,1,0))</formula>
    </cfRule>
    <cfRule type="expression" priority="946" dxfId="0">
      <formula>AND(IF($Q36=3,1,IF($Q36=4,1,0)),IF($F36&lt;=85,1,0))</formula>
    </cfRule>
  </conditionalFormatting>
  <conditionalFormatting sqref="AV37">
    <cfRule type="expression" priority="941" dxfId="17">
      <formula>AV37="X"</formula>
    </cfRule>
    <cfRule type="expression" priority="942" dxfId="16">
      <formula>AV37="후보"</formula>
    </cfRule>
  </conditionalFormatting>
  <conditionalFormatting sqref="AC37">
    <cfRule type="cellIs" priority="938" operator="greaterThan" dxfId="13">
      <formula>0.9</formula>
    </cfRule>
    <cfRule type="cellIs" priority="939" operator="greaterThan" dxfId="12">
      <formula>0.85</formula>
    </cfRule>
  </conditionalFormatting>
  <conditionalFormatting sqref="N37">
    <cfRule type="cellIs" priority="936" operator="greaterThan" dxfId="13">
      <formula>0.9</formula>
    </cfRule>
    <cfRule type="cellIs" priority="937" operator="greaterThan" dxfId="12">
      <formula>0.85</formula>
    </cfRule>
  </conditionalFormatting>
  <conditionalFormatting sqref="E37">
    <cfRule type="expression" priority="932" dxfId="3">
      <formula>AND(IF(OR($Q37=1,$Q37=2),1,0),IF($X37&lt;=20,1,0))</formula>
    </cfRule>
    <cfRule type="expression" priority="933" dxfId="2">
      <formula>AND(IF($Q37=2,1,0),IF($X37&lt;30,1,0))</formula>
    </cfRule>
    <cfRule type="expression" priority="934" dxfId="1">
      <formula>AND(IF($Q37=3,1,0),IF($X37&lt;30,1,0))</formula>
    </cfRule>
    <cfRule type="expression" priority="935" dxfId="0">
      <formula>AND(IF($Q37=3,1,IF($Q37=4,1,0)),IF($F37&lt;=85,1,0))</formula>
    </cfRule>
  </conditionalFormatting>
  <conditionalFormatting sqref="X37">
    <cfRule type="expression" priority="928" dxfId="3">
      <formula>AND(IF(OR($Q37=1,$Q37=2),1,0),IF($X37&lt;=20,1,0))</formula>
    </cfRule>
    <cfRule type="expression" priority="929" dxfId="2">
      <formula>AND(IF($Q37=2,1,0),IF($X37&lt;30,1,0))</formula>
    </cfRule>
    <cfRule type="expression" priority="930" dxfId="1">
      <formula>AND(IF($Q37=3,1,0),IF($X37&lt;30,1,0))</formula>
    </cfRule>
    <cfRule type="expression" priority="931" dxfId="0">
      <formula>AND(IF($Q37=3,1,IF($Q37=4,1,0)),IF($F37&lt;=85,1,0))</formula>
    </cfRule>
  </conditionalFormatting>
  <conditionalFormatting sqref="AI37">
    <cfRule type="expression" priority="924" dxfId="3">
      <formula>AND(IF(OR($Q37=1,$Q37=2),1,0),IF($X37&lt;=20,1,0))</formula>
    </cfRule>
    <cfRule type="expression" priority="925" dxfId="2">
      <formula>AND(IF($Q37=2,1,0),IF($X37&lt;30,1,0))</formula>
    </cfRule>
    <cfRule type="expression" priority="926" dxfId="1">
      <formula>AND(IF($Q37=3,1,0),IF($X37&lt;30,1,0))</formula>
    </cfRule>
    <cfRule type="expression" priority="927" dxfId="0">
      <formula>AND(IF($Q37=3,1,IF($Q37=4,1,0)),IF($F37&lt;=85,1,0))</formula>
    </cfRule>
  </conditionalFormatting>
  <conditionalFormatting sqref="AV38">
    <cfRule type="expression" priority="922" dxfId="17">
      <formula>AV38="X"</formula>
    </cfRule>
    <cfRule type="expression" priority="923" dxfId="16">
      <formula>AV38="후보"</formula>
    </cfRule>
  </conditionalFormatting>
  <conditionalFormatting sqref="AC38">
    <cfRule type="cellIs" priority="919" operator="greaterThan" dxfId="13">
      <formula>0.9</formula>
    </cfRule>
    <cfRule type="cellIs" priority="920" operator="greaterThan" dxfId="12">
      <formula>0.85</formula>
    </cfRule>
  </conditionalFormatting>
  <conditionalFormatting sqref="N38">
    <cfRule type="cellIs" priority="917" operator="greaterThan" dxfId="13">
      <formula>0.9</formula>
    </cfRule>
    <cfRule type="cellIs" priority="918" operator="greaterThan" dxfId="12">
      <formula>0.85</formula>
    </cfRule>
  </conditionalFormatting>
  <conditionalFormatting sqref="E38">
    <cfRule type="expression" priority="913" dxfId="3">
      <formula>AND(IF(OR($Q38=1,$Q38=2),1,0),IF($X38&lt;=20,1,0))</formula>
    </cfRule>
    <cfRule type="expression" priority="914" dxfId="2">
      <formula>AND(IF($Q38=2,1,0),IF($X38&lt;30,1,0))</formula>
    </cfRule>
    <cfRule type="expression" priority="915" dxfId="1">
      <formula>AND(IF($Q38=3,1,0),IF($X38&lt;30,1,0))</formula>
    </cfRule>
    <cfRule type="expression" priority="916" dxfId="0">
      <formula>AND(IF($Q38=3,1,IF($Q38=4,1,0)),IF($F38&lt;=85,1,0))</formula>
    </cfRule>
  </conditionalFormatting>
  <conditionalFormatting sqref="X38">
    <cfRule type="expression" priority="909" dxfId="3">
      <formula>AND(IF(OR($Q38=1,$Q38=2),1,0),IF($X38&lt;=20,1,0))</formula>
    </cfRule>
    <cfRule type="expression" priority="910" dxfId="2">
      <formula>AND(IF($Q38=2,1,0),IF($X38&lt;30,1,0))</formula>
    </cfRule>
    <cfRule type="expression" priority="911" dxfId="1">
      <formula>AND(IF($Q38=3,1,0),IF($X38&lt;30,1,0))</formula>
    </cfRule>
    <cfRule type="expression" priority="912" dxfId="0">
      <formula>AND(IF($Q38=3,1,IF($Q38=4,1,0)),IF($F38&lt;=85,1,0))</formula>
    </cfRule>
  </conditionalFormatting>
  <conditionalFormatting sqref="AI38">
    <cfRule type="expression" priority="905" dxfId="3">
      <formula>AND(IF(OR($Q38=1,$Q38=2),1,0),IF($X38&lt;=20,1,0))</formula>
    </cfRule>
    <cfRule type="expression" priority="906" dxfId="2">
      <formula>AND(IF($Q38=2,1,0),IF($X38&lt;30,1,0))</formula>
    </cfRule>
    <cfRule type="expression" priority="907" dxfId="1">
      <formula>AND(IF($Q38=3,1,0),IF($X38&lt;30,1,0))</formula>
    </cfRule>
    <cfRule type="expression" priority="908" dxfId="0">
      <formula>AND(IF($Q38=3,1,IF($Q38=4,1,0)),IF($F38&lt;=85,1,0))</formula>
    </cfRule>
  </conditionalFormatting>
  <conditionalFormatting sqref="AV39">
    <cfRule type="expression" priority="903" dxfId="17">
      <formula>AV39="X"</formula>
    </cfRule>
    <cfRule type="expression" priority="904" dxfId="16">
      <formula>AV39="후보"</formula>
    </cfRule>
  </conditionalFormatting>
  <conditionalFormatting sqref="AC39">
    <cfRule type="cellIs" priority="900" operator="greaterThan" dxfId="13">
      <formula>0.9</formula>
    </cfRule>
    <cfRule type="cellIs" priority="901" operator="greaterThan" dxfId="12">
      <formula>0.85</formula>
    </cfRule>
  </conditionalFormatting>
  <conditionalFormatting sqref="N39">
    <cfRule type="cellIs" priority="898" operator="greaterThan" dxfId="13">
      <formula>0.9</formula>
    </cfRule>
    <cfRule type="cellIs" priority="899" operator="greaterThan" dxfId="12">
      <formula>0.85</formula>
    </cfRule>
  </conditionalFormatting>
  <conditionalFormatting sqref="E39">
    <cfRule type="expression" priority="894" dxfId="3">
      <formula>AND(IF(OR($Q39=1,$Q39=2),1,0),IF($X39&lt;=20,1,0))</formula>
    </cfRule>
    <cfRule type="expression" priority="895" dxfId="2">
      <formula>AND(IF($Q39=2,1,0),IF($X39&lt;30,1,0))</formula>
    </cfRule>
    <cfRule type="expression" priority="896" dxfId="1">
      <formula>AND(IF($Q39=3,1,0),IF($X39&lt;30,1,0))</formula>
    </cfRule>
    <cfRule type="expression" priority="897" dxfId="0">
      <formula>AND(IF($Q39=3,1,IF($Q39=4,1,0)),IF($F39&lt;=85,1,0))</formula>
    </cfRule>
  </conditionalFormatting>
  <conditionalFormatting sqref="X39">
    <cfRule type="expression" priority="890" dxfId="3">
      <formula>AND(IF(OR($Q39=1,$Q39=2),1,0),IF($X39&lt;=20,1,0))</formula>
    </cfRule>
    <cfRule type="expression" priority="891" dxfId="2">
      <formula>AND(IF($Q39=2,1,0),IF($X39&lt;30,1,0))</formula>
    </cfRule>
    <cfRule type="expression" priority="892" dxfId="1">
      <formula>AND(IF($Q39=3,1,0),IF($X39&lt;30,1,0))</formula>
    </cfRule>
    <cfRule type="expression" priority="893" dxfId="0">
      <formula>AND(IF($Q39=3,1,IF($Q39=4,1,0)),IF($F39&lt;=85,1,0))</formula>
    </cfRule>
  </conditionalFormatting>
  <conditionalFormatting sqref="AI39">
    <cfRule type="expression" priority="886" dxfId="3">
      <formula>AND(IF(OR($Q39=1,$Q39=2),1,0),IF($X39&lt;=20,1,0))</formula>
    </cfRule>
    <cfRule type="expression" priority="887" dxfId="2">
      <formula>AND(IF($Q39=2,1,0),IF($X39&lt;30,1,0))</formula>
    </cfRule>
    <cfRule type="expression" priority="888" dxfId="1">
      <formula>AND(IF($Q39=3,1,0),IF($X39&lt;30,1,0))</formula>
    </cfRule>
    <cfRule type="expression" priority="889" dxfId="0">
      <formula>AND(IF($Q39=3,1,IF($Q39=4,1,0)),IF($F39&lt;=85,1,0))</formula>
    </cfRule>
  </conditionalFormatting>
  <conditionalFormatting sqref="AV40">
    <cfRule type="expression" priority="884" dxfId="17">
      <formula>AV40="X"</formula>
    </cfRule>
    <cfRule type="expression" priority="885" dxfId="16">
      <formula>AV40="후보"</formula>
    </cfRule>
  </conditionalFormatting>
  <conditionalFormatting sqref="AC40">
    <cfRule type="cellIs" priority="881" operator="greaterThan" dxfId="13">
      <formula>0.9</formula>
    </cfRule>
    <cfRule type="cellIs" priority="882" operator="greaterThan" dxfId="12">
      <formula>0.85</formula>
    </cfRule>
  </conditionalFormatting>
  <conditionalFormatting sqref="N40">
    <cfRule type="cellIs" priority="879" operator="greaterThan" dxfId="13">
      <formula>0.9</formula>
    </cfRule>
    <cfRule type="cellIs" priority="880" operator="greaterThan" dxfId="12">
      <formula>0.85</formula>
    </cfRule>
  </conditionalFormatting>
  <conditionalFormatting sqref="E40">
    <cfRule type="expression" priority="875" dxfId="3">
      <formula>AND(IF(OR($Q40=1,$Q40=2),1,0),IF($X40&lt;=20,1,0))</formula>
    </cfRule>
    <cfRule type="expression" priority="876" dxfId="2">
      <formula>AND(IF($Q40=2,1,0),IF($X40&lt;30,1,0))</formula>
    </cfRule>
    <cfRule type="expression" priority="877" dxfId="1">
      <formula>AND(IF($Q40=3,1,0),IF($X40&lt;30,1,0))</formula>
    </cfRule>
    <cfRule type="expression" priority="878" dxfId="0">
      <formula>AND(IF($Q40=3,1,IF($Q40=4,1,0)),IF($F40&lt;=85,1,0))</formula>
    </cfRule>
  </conditionalFormatting>
  <conditionalFormatting sqref="X40">
    <cfRule type="expression" priority="871" dxfId="3">
      <formula>AND(IF(OR($Q40=1,$Q40=2),1,0),IF($X40&lt;=20,1,0))</formula>
    </cfRule>
    <cfRule type="expression" priority="872" dxfId="2">
      <formula>AND(IF($Q40=2,1,0),IF($X40&lt;30,1,0))</formula>
    </cfRule>
    <cfRule type="expression" priority="873" dxfId="1">
      <formula>AND(IF($Q40=3,1,0),IF($X40&lt;30,1,0))</formula>
    </cfRule>
    <cfRule type="expression" priority="874" dxfId="0">
      <formula>AND(IF($Q40=3,1,IF($Q40=4,1,0)),IF($F40&lt;=85,1,0))</formula>
    </cfRule>
  </conditionalFormatting>
  <conditionalFormatting sqref="AI40">
    <cfRule type="expression" priority="867" dxfId="3">
      <formula>AND(IF(OR($Q40=1,$Q40=2),1,0),IF($X40&lt;=20,1,0))</formula>
    </cfRule>
    <cfRule type="expression" priority="868" dxfId="2">
      <formula>AND(IF($Q40=2,1,0),IF($X40&lt;30,1,0))</formula>
    </cfRule>
    <cfRule type="expression" priority="869" dxfId="1">
      <formula>AND(IF($Q40=3,1,0),IF($X40&lt;30,1,0))</formula>
    </cfRule>
    <cfRule type="expression" priority="870" dxfId="0">
      <formula>AND(IF($Q40=3,1,IF($Q40=4,1,0)),IF($F40&lt;=85,1,0))</formula>
    </cfRule>
  </conditionalFormatting>
  <conditionalFormatting sqref="AV41">
    <cfRule type="expression" priority="865" dxfId="17">
      <formula>AV41="X"</formula>
    </cfRule>
    <cfRule type="expression" priority="866" dxfId="16">
      <formula>AV41="후보"</formula>
    </cfRule>
  </conditionalFormatting>
  <conditionalFormatting sqref="AC41">
    <cfRule type="cellIs" priority="862" operator="greaterThan" dxfId="13">
      <formula>0.9</formula>
    </cfRule>
    <cfRule type="cellIs" priority="863" operator="greaterThan" dxfId="12">
      <formula>0.85</formula>
    </cfRule>
  </conditionalFormatting>
  <conditionalFormatting sqref="N41">
    <cfRule type="cellIs" priority="860" operator="greaterThan" dxfId="13">
      <formula>0.9</formula>
    </cfRule>
    <cfRule type="cellIs" priority="861" operator="greaterThan" dxfId="12">
      <formula>0.85</formula>
    </cfRule>
  </conditionalFormatting>
  <conditionalFormatting sqref="E41">
    <cfRule type="expression" priority="856" dxfId="3">
      <formula>AND(IF(OR($Q41=1,$Q41=2),1,0),IF($X41&lt;=20,1,0))</formula>
    </cfRule>
    <cfRule type="expression" priority="857" dxfId="2">
      <formula>AND(IF($Q41=2,1,0),IF($X41&lt;30,1,0))</formula>
    </cfRule>
    <cfRule type="expression" priority="858" dxfId="1">
      <formula>AND(IF($Q41=3,1,0),IF($X41&lt;30,1,0))</formula>
    </cfRule>
    <cfRule type="expression" priority="859" dxfId="0">
      <formula>AND(IF($Q41=3,1,IF($Q41=4,1,0)),IF($F41&lt;=85,1,0))</formula>
    </cfRule>
  </conditionalFormatting>
  <conditionalFormatting sqref="X41">
    <cfRule type="expression" priority="852" dxfId="3">
      <formula>AND(IF(OR($Q41=1,$Q41=2),1,0),IF($X41&lt;=20,1,0))</formula>
    </cfRule>
    <cfRule type="expression" priority="853" dxfId="2">
      <formula>AND(IF($Q41=2,1,0),IF($X41&lt;30,1,0))</formula>
    </cfRule>
    <cfRule type="expression" priority="854" dxfId="1">
      <formula>AND(IF($Q41=3,1,0),IF($X41&lt;30,1,0))</formula>
    </cfRule>
    <cfRule type="expression" priority="855" dxfId="0">
      <formula>AND(IF($Q41=3,1,IF($Q41=4,1,0)),IF($F41&lt;=85,1,0))</formula>
    </cfRule>
  </conditionalFormatting>
  <conditionalFormatting sqref="AI41">
    <cfRule type="expression" priority="848" dxfId="3">
      <formula>AND(IF(OR($Q41=1,$Q41=2),1,0),IF($X41&lt;=20,1,0))</formula>
    </cfRule>
    <cfRule type="expression" priority="849" dxfId="2">
      <formula>AND(IF($Q41=2,1,0),IF($X41&lt;30,1,0))</formula>
    </cfRule>
    <cfRule type="expression" priority="850" dxfId="1">
      <formula>AND(IF($Q41=3,1,0),IF($X41&lt;30,1,0))</formula>
    </cfRule>
    <cfRule type="expression" priority="851" dxfId="0">
      <formula>AND(IF($Q41=3,1,IF($Q41=4,1,0)),IF($F41&lt;=85,1,0))</formula>
    </cfRule>
  </conditionalFormatting>
  <conditionalFormatting sqref="AV42">
    <cfRule type="expression" priority="846" dxfId="17">
      <formula>AV42="X"</formula>
    </cfRule>
    <cfRule type="expression" priority="847" dxfId="16">
      <formula>AV42="후보"</formula>
    </cfRule>
  </conditionalFormatting>
  <conditionalFormatting sqref="AC42 N42">
    <cfRule type="cellIs" priority="843" operator="greaterThan" dxfId="13">
      <formula>0.9</formula>
    </cfRule>
    <cfRule type="cellIs" priority="844" operator="greaterThan" dxfId="12">
      <formula>0.85</formula>
    </cfRule>
  </conditionalFormatting>
  <conditionalFormatting sqref="AV43">
    <cfRule type="expression" priority="841" dxfId="17">
      <formula>AV43="X"</formula>
    </cfRule>
    <cfRule type="expression" priority="842" dxfId="16">
      <formula>AV43="후보"</formula>
    </cfRule>
  </conditionalFormatting>
  <conditionalFormatting sqref="AC43">
    <cfRule type="cellIs" priority="838" operator="greaterThan" dxfId="13">
      <formula>0.9</formula>
    </cfRule>
    <cfRule type="cellIs" priority="839" operator="greaterThan" dxfId="12">
      <formula>0.85</formula>
    </cfRule>
  </conditionalFormatting>
  <conditionalFormatting sqref="N43">
    <cfRule type="cellIs" priority="836" operator="greaterThan" dxfId="13">
      <formula>0.9</formula>
    </cfRule>
    <cfRule type="cellIs" priority="837" operator="greaterThan" dxfId="12">
      <formula>0.85</formula>
    </cfRule>
  </conditionalFormatting>
  <conditionalFormatting sqref="E43">
    <cfRule type="expression" priority="832" dxfId="3">
      <formula>AND(IF(OR($Q43=1,$Q43=2),1,0),IF($X43&lt;=20,1,0))</formula>
    </cfRule>
    <cfRule type="expression" priority="833" dxfId="2">
      <formula>AND(IF($Q43=2,1,0),IF($X43&lt;30,1,0))</formula>
    </cfRule>
    <cfRule type="expression" priority="834" dxfId="1">
      <formula>AND(IF($Q43=3,1,0),IF($X43&lt;30,1,0))</formula>
    </cfRule>
    <cfRule type="expression" priority="835" dxfId="0">
      <formula>AND(IF($Q43=3,1,IF($Q43=4,1,0)),IF($F43&lt;=85,1,0))</formula>
    </cfRule>
  </conditionalFormatting>
  <conditionalFormatting sqref="X43">
    <cfRule type="expression" priority="828" dxfId="3">
      <formula>AND(IF(OR($Q43=1,$Q43=2),1,0),IF($X43&lt;=20,1,0))</formula>
    </cfRule>
    <cfRule type="expression" priority="829" dxfId="2">
      <formula>AND(IF($Q43=2,1,0),IF($X43&lt;30,1,0))</formula>
    </cfRule>
    <cfRule type="expression" priority="830" dxfId="1">
      <formula>AND(IF($Q43=3,1,0),IF($X43&lt;30,1,0))</formula>
    </cfRule>
    <cfRule type="expression" priority="831" dxfId="0">
      <formula>AND(IF($Q43=3,1,IF($Q43=4,1,0)),IF($F43&lt;=85,1,0))</formula>
    </cfRule>
  </conditionalFormatting>
  <conditionalFormatting sqref="AI43">
    <cfRule type="expression" priority="824" dxfId="3">
      <formula>AND(IF(OR($Q43=1,$Q43=2),1,0),IF($X43&lt;=20,1,0))</formula>
    </cfRule>
    <cfRule type="expression" priority="825" dxfId="2">
      <formula>AND(IF($Q43=2,1,0),IF($X43&lt;30,1,0))</formula>
    </cfRule>
    <cfRule type="expression" priority="826" dxfId="1">
      <formula>AND(IF($Q43=3,1,0),IF($X43&lt;30,1,0))</formula>
    </cfRule>
    <cfRule type="expression" priority="827" dxfId="0">
      <formula>AND(IF($Q43=3,1,IF($Q43=4,1,0)),IF($F43&lt;=85,1,0))</formula>
    </cfRule>
  </conditionalFormatting>
  <conditionalFormatting sqref="AV44">
    <cfRule type="expression" priority="822" dxfId="17">
      <formula>AV44="X"</formula>
    </cfRule>
    <cfRule type="expression" priority="823" dxfId="16">
      <formula>AV44="후보"</formula>
    </cfRule>
  </conditionalFormatting>
  <conditionalFormatting sqref="AC44">
    <cfRule type="cellIs" priority="819" operator="greaterThan" dxfId="13">
      <formula>0.9</formula>
    </cfRule>
    <cfRule type="cellIs" priority="820" operator="greaterThan" dxfId="12">
      <formula>0.85</formula>
    </cfRule>
  </conditionalFormatting>
  <conditionalFormatting sqref="N44">
    <cfRule type="cellIs" priority="817" operator="greaterThan" dxfId="13">
      <formula>0.9</formula>
    </cfRule>
    <cfRule type="cellIs" priority="818" operator="greaterThan" dxfId="12">
      <formula>0.85</formula>
    </cfRule>
  </conditionalFormatting>
  <conditionalFormatting sqref="E44">
    <cfRule type="expression" priority="813" dxfId="3">
      <formula>AND(IF(OR($Q44=1,$Q44=2),1,0),IF($X44&lt;=20,1,0))</formula>
    </cfRule>
    <cfRule type="expression" priority="814" dxfId="2">
      <formula>AND(IF($Q44=2,1,0),IF($X44&lt;30,1,0))</formula>
    </cfRule>
    <cfRule type="expression" priority="815" dxfId="1">
      <formula>AND(IF($Q44=3,1,0),IF($X44&lt;30,1,0))</formula>
    </cfRule>
    <cfRule type="expression" priority="816" dxfId="0">
      <formula>AND(IF($Q44=3,1,IF($Q44=4,1,0)),IF($F44&lt;=85,1,0))</formula>
    </cfRule>
  </conditionalFormatting>
  <conditionalFormatting sqref="X44">
    <cfRule type="expression" priority="809" dxfId="3">
      <formula>AND(IF(OR($Q44=1,$Q44=2),1,0),IF($X44&lt;=20,1,0))</formula>
    </cfRule>
    <cfRule type="expression" priority="810" dxfId="2">
      <formula>AND(IF($Q44=2,1,0),IF($X44&lt;30,1,0))</formula>
    </cfRule>
    <cfRule type="expression" priority="811" dxfId="1">
      <formula>AND(IF($Q44=3,1,0),IF($X44&lt;30,1,0))</formula>
    </cfRule>
    <cfRule type="expression" priority="812" dxfId="0">
      <formula>AND(IF($Q44=3,1,IF($Q44=4,1,0)),IF($F44&lt;=85,1,0))</formula>
    </cfRule>
  </conditionalFormatting>
  <conditionalFormatting sqref="AI44">
    <cfRule type="expression" priority="805" dxfId="3">
      <formula>AND(IF(OR($Q44=1,$Q44=2),1,0),IF($X44&lt;=20,1,0))</formula>
    </cfRule>
    <cfRule type="expression" priority="806" dxfId="2">
      <formula>AND(IF($Q44=2,1,0),IF($X44&lt;30,1,0))</formula>
    </cfRule>
    <cfRule type="expression" priority="807" dxfId="1">
      <formula>AND(IF($Q44=3,1,0),IF($X44&lt;30,1,0))</formula>
    </cfRule>
    <cfRule type="expression" priority="808" dxfId="0">
      <formula>AND(IF($Q44=3,1,IF($Q44=4,1,0)),IF($F44&lt;=85,1,0))</formula>
    </cfRule>
  </conditionalFormatting>
  <conditionalFormatting sqref="AV45">
    <cfRule type="expression" priority="803" dxfId="17">
      <formula>AV45="X"</formula>
    </cfRule>
    <cfRule type="expression" priority="804" dxfId="16">
      <formula>AV45="후보"</formula>
    </cfRule>
  </conditionalFormatting>
  <conditionalFormatting sqref="AC45">
    <cfRule type="cellIs" priority="800" operator="greaterThan" dxfId="13">
      <formula>0.9</formula>
    </cfRule>
    <cfRule type="cellIs" priority="801" operator="greaterThan" dxfId="12">
      <formula>0.85</formula>
    </cfRule>
  </conditionalFormatting>
  <conditionalFormatting sqref="N45">
    <cfRule type="cellIs" priority="798" operator="greaterThan" dxfId="13">
      <formula>0.9</formula>
    </cfRule>
    <cfRule type="cellIs" priority="799" operator="greaterThan" dxfId="12">
      <formula>0.85</formula>
    </cfRule>
  </conditionalFormatting>
  <conditionalFormatting sqref="E45">
    <cfRule type="expression" priority="794" dxfId="3">
      <formula>AND(IF(OR($Q45=1,$Q45=2),1,0),IF($X45&lt;=20,1,0))</formula>
    </cfRule>
    <cfRule type="expression" priority="795" dxfId="2">
      <formula>AND(IF($Q45=2,1,0),IF($X45&lt;30,1,0))</formula>
    </cfRule>
    <cfRule type="expression" priority="796" dxfId="1">
      <formula>AND(IF($Q45=3,1,0),IF($X45&lt;30,1,0))</formula>
    </cfRule>
    <cfRule type="expression" priority="797" dxfId="0">
      <formula>AND(IF($Q45=3,1,IF($Q45=4,1,0)),IF($F45&lt;=85,1,0))</formula>
    </cfRule>
  </conditionalFormatting>
  <conditionalFormatting sqref="X45">
    <cfRule type="expression" priority="790" dxfId="3">
      <formula>AND(IF(OR($Q45=1,$Q45=2),1,0),IF($X45&lt;=20,1,0))</formula>
    </cfRule>
    <cfRule type="expression" priority="791" dxfId="2">
      <formula>AND(IF($Q45=2,1,0),IF($X45&lt;30,1,0))</formula>
    </cfRule>
    <cfRule type="expression" priority="792" dxfId="1">
      <formula>AND(IF($Q45=3,1,0),IF($X45&lt;30,1,0))</formula>
    </cfRule>
    <cfRule type="expression" priority="793" dxfId="0">
      <formula>AND(IF($Q45=3,1,IF($Q45=4,1,0)),IF($F45&lt;=85,1,0))</formula>
    </cfRule>
  </conditionalFormatting>
  <conditionalFormatting sqref="AI45">
    <cfRule type="expression" priority="786" dxfId="3">
      <formula>AND(IF(OR($Q45=1,$Q45=2),1,0),IF($X45&lt;=20,1,0))</formula>
    </cfRule>
    <cfRule type="expression" priority="787" dxfId="2">
      <formula>AND(IF($Q45=2,1,0),IF($X45&lt;30,1,0))</formula>
    </cfRule>
    <cfRule type="expression" priority="788" dxfId="1">
      <formula>AND(IF($Q45=3,1,0),IF($X45&lt;30,1,0))</formula>
    </cfRule>
    <cfRule type="expression" priority="789" dxfId="0">
      <formula>AND(IF($Q45=3,1,IF($Q45=4,1,0)),IF($F45&lt;=85,1,0))</formula>
    </cfRule>
  </conditionalFormatting>
  <conditionalFormatting sqref="AV46">
    <cfRule type="expression" priority="784" dxfId="17">
      <formula>AV46="X"</formula>
    </cfRule>
    <cfRule type="expression" priority="785" dxfId="16">
      <formula>AV46="후보"</formula>
    </cfRule>
  </conditionalFormatting>
  <conditionalFormatting sqref="AC46">
    <cfRule type="cellIs" priority="781" operator="greaterThan" dxfId="13">
      <formula>0.9</formula>
    </cfRule>
    <cfRule type="cellIs" priority="782" operator="greaterThan" dxfId="12">
      <formula>0.85</formula>
    </cfRule>
  </conditionalFormatting>
  <conditionalFormatting sqref="N46">
    <cfRule type="cellIs" priority="779" operator="greaterThan" dxfId="13">
      <formula>0.9</formula>
    </cfRule>
    <cfRule type="cellIs" priority="780" operator="greaterThan" dxfId="12">
      <formula>0.85</formula>
    </cfRule>
  </conditionalFormatting>
  <conditionalFormatting sqref="E46">
    <cfRule type="expression" priority="775" dxfId="3">
      <formula>AND(IF(OR($Q46=1,$Q46=2),1,0),IF($X46&lt;=20,1,0))</formula>
    </cfRule>
    <cfRule type="expression" priority="776" dxfId="2">
      <formula>AND(IF($Q46=2,1,0),IF($X46&lt;30,1,0))</formula>
    </cfRule>
    <cfRule type="expression" priority="777" dxfId="1">
      <formula>AND(IF($Q46=3,1,0),IF($X46&lt;30,1,0))</formula>
    </cfRule>
    <cfRule type="expression" priority="778" dxfId="0">
      <formula>AND(IF($Q46=3,1,IF($Q46=4,1,0)),IF($F46&lt;=85,1,0))</formula>
    </cfRule>
  </conditionalFormatting>
  <conditionalFormatting sqref="X46">
    <cfRule type="expression" priority="771" dxfId="3">
      <formula>AND(IF(OR($Q46=1,$Q46=2),1,0),IF($X46&lt;=20,1,0))</formula>
    </cfRule>
    <cfRule type="expression" priority="772" dxfId="2">
      <formula>AND(IF($Q46=2,1,0),IF($X46&lt;30,1,0))</formula>
    </cfRule>
    <cfRule type="expression" priority="773" dxfId="1">
      <formula>AND(IF($Q46=3,1,0),IF($X46&lt;30,1,0))</formula>
    </cfRule>
    <cfRule type="expression" priority="774" dxfId="0">
      <formula>AND(IF($Q46=3,1,IF($Q46=4,1,0)),IF($F46&lt;=85,1,0))</formula>
    </cfRule>
  </conditionalFormatting>
  <conditionalFormatting sqref="AI46">
    <cfRule type="expression" priority="767" dxfId="3">
      <formula>AND(IF(OR($Q46=1,$Q46=2),1,0),IF($X46&lt;=20,1,0))</formula>
    </cfRule>
    <cfRule type="expression" priority="768" dxfId="2">
      <formula>AND(IF($Q46=2,1,0),IF($X46&lt;30,1,0))</formula>
    </cfRule>
    <cfRule type="expression" priority="769" dxfId="1">
      <formula>AND(IF($Q46=3,1,0),IF($X46&lt;30,1,0))</formula>
    </cfRule>
    <cfRule type="expression" priority="770" dxfId="0">
      <formula>AND(IF($Q46=3,1,IF($Q46=4,1,0)),IF($F46&lt;=85,1,0))</formula>
    </cfRule>
  </conditionalFormatting>
  <conditionalFormatting sqref="AV47">
    <cfRule type="expression" priority="765" dxfId="17">
      <formula>AV47="X"</formula>
    </cfRule>
    <cfRule type="expression" priority="766" dxfId="16">
      <formula>AV47="후보"</formula>
    </cfRule>
  </conditionalFormatting>
  <conditionalFormatting sqref="AC47">
    <cfRule type="cellIs" priority="762" operator="greaterThan" dxfId="13">
      <formula>0.9</formula>
    </cfRule>
    <cfRule type="cellIs" priority="763" operator="greaterThan" dxfId="12">
      <formula>0.85</formula>
    </cfRule>
  </conditionalFormatting>
  <conditionalFormatting sqref="N47">
    <cfRule type="cellIs" priority="760" operator="greaterThan" dxfId="13">
      <formula>0.9</formula>
    </cfRule>
    <cfRule type="cellIs" priority="761" operator="greaterThan" dxfId="12">
      <formula>0.85</formula>
    </cfRule>
  </conditionalFormatting>
  <conditionalFormatting sqref="E47">
    <cfRule type="expression" priority="756" dxfId="3">
      <formula>AND(IF(OR($Q47=1,$Q47=2),1,0),IF($X47&lt;=20,1,0))</formula>
    </cfRule>
    <cfRule type="expression" priority="757" dxfId="2">
      <formula>AND(IF($Q47=2,1,0),IF($X47&lt;30,1,0))</formula>
    </cfRule>
    <cfRule type="expression" priority="758" dxfId="1">
      <formula>AND(IF($Q47=3,1,0),IF($X47&lt;30,1,0))</formula>
    </cfRule>
    <cfRule type="expression" priority="759" dxfId="0">
      <formula>AND(IF($Q47=3,1,IF($Q47=4,1,0)),IF($F47&lt;=85,1,0))</formula>
    </cfRule>
  </conditionalFormatting>
  <conditionalFormatting sqref="X47">
    <cfRule type="expression" priority="752" dxfId="3">
      <formula>AND(IF(OR($Q47=1,$Q47=2),1,0),IF($X47&lt;=20,1,0))</formula>
    </cfRule>
    <cfRule type="expression" priority="753" dxfId="2">
      <formula>AND(IF($Q47=2,1,0),IF($X47&lt;30,1,0))</formula>
    </cfRule>
    <cfRule type="expression" priority="754" dxfId="1">
      <formula>AND(IF($Q47=3,1,0),IF($X47&lt;30,1,0))</formula>
    </cfRule>
    <cfRule type="expression" priority="755" dxfId="0">
      <formula>AND(IF($Q47=3,1,IF($Q47=4,1,0)),IF($F47&lt;=85,1,0))</formula>
    </cfRule>
  </conditionalFormatting>
  <conditionalFormatting sqref="AI47">
    <cfRule type="expression" priority="748" dxfId="3">
      <formula>AND(IF(OR($Q47=1,$Q47=2),1,0),IF($X47&lt;=20,1,0))</formula>
    </cfRule>
    <cfRule type="expression" priority="749" dxfId="2">
      <formula>AND(IF($Q47=2,1,0),IF($X47&lt;30,1,0))</formula>
    </cfRule>
    <cfRule type="expression" priority="750" dxfId="1">
      <formula>AND(IF($Q47=3,1,0),IF($X47&lt;30,1,0))</formula>
    </cfRule>
    <cfRule type="expression" priority="751" dxfId="0">
      <formula>AND(IF($Q47=3,1,IF($Q47=4,1,0)),IF($F47&lt;=85,1,0))</formula>
    </cfRule>
  </conditionalFormatting>
  <conditionalFormatting sqref="AV48">
    <cfRule type="expression" priority="746" dxfId="17">
      <formula>AV48="X"</formula>
    </cfRule>
    <cfRule type="expression" priority="747" dxfId="16">
      <formula>AV48="후보"</formula>
    </cfRule>
  </conditionalFormatting>
  <conditionalFormatting sqref="AC48">
    <cfRule type="cellIs" priority="743" operator="greaterThan" dxfId="13">
      <formula>0.9</formula>
    </cfRule>
    <cfRule type="cellIs" priority="744" operator="greaterThan" dxfId="12">
      <formula>0.85</formula>
    </cfRule>
  </conditionalFormatting>
  <conditionalFormatting sqref="N48">
    <cfRule type="cellIs" priority="741" operator="greaterThan" dxfId="13">
      <formula>0.9</formula>
    </cfRule>
    <cfRule type="cellIs" priority="742" operator="greaterThan" dxfId="12">
      <formula>0.85</formula>
    </cfRule>
  </conditionalFormatting>
  <conditionalFormatting sqref="E48">
    <cfRule type="expression" priority="737" dxfId="3">
      <formula>AND(IF(OR($Q48=1,$Q48=2),1,0),IF($X48&lt;=20,1,0))</formula>
    </cfRule>
    <cfRule type="expression" priority="738" dxfId="2">
      <formula>AND(IF($Q48=2,1,0),IF($X48&lt;30,1,0))</formula>
    </cfRule>
    <cfRule type="expression" priority="739" dxfId="1">
      <formula>AND(IF($Q48=3,1,0),IF($X48&lt;30,1,0))</formula>
    </cfRule>
    <cfRule type="expression" priority="740" dxfId="0">
      <formula>AND(IF($Q48=3,1,IF($Q48=4,1,0)),IF($F48&lt;=85,1,0))</formula>
    </cfRule>
  </conditionalFormatting>
  <conditionalFormatting sqref="X48">
    <cfRule type="expression" priority="733" dxfId="3">
      <formula>AND(IF(OR($Q48=1,$Q48=2),1,0),IF($X48&lt;=20,1,0))</formula>
    </cfRule>
    <cfRule type="expression" priority="734" dxfId="2">
      <formula>AND(IF($Q48=2,1,0),IF($X48&lt;30,1,0))</formula>
    </cfRule>
    <cfRule type="expression" priority="735" dxfId="1">
      <formula>AND(IF($Q48=3,1,0),IF($X48&lt;30,1,0))</formula>
    </cfRule>
    <cfRule type="expression" priority="736" dxfId="0">
      <formula>AND(IF($Q48=3,1,IF($Q48=4,1,0)),IF($F48&lt;=85,1,0))</formula>
    </cfRule>
  </conditionalFormatting>
  <conditionalFormatting sqref="AI48">
    <cfRule type="expression" priority="729" dxfId="3">
      <formula>AND(IF(OR($Q48=1,$Q48=2),1,0),IF($X48&lt;=20,1,0))</formula>
    </cfRule>
    <cfRule type="expression" priority="730" dxfId="2">
      <formula>AND(IF($Q48=2,1,0),IF($X48&lt;30,1,0))</formula>
    </cfRule>
    <cfRule type="expression" priority="731" dxfId="1">
      <formula>AND(IF($Q48=3,1,0),IF($X48&lt;30,1,0))</formula>
    </cfRule>
    <cfRule type="expression" priority="732" dxfId="0">
      <formula>AND(IF($Q48=3,1,IF($Q48=4,1,0)),IF($F48&lt;=85,1,0))</formula>
    </cfRule>
  </conditionalFormatting>
  <conditionalFormatting sqref="AV49">
    <cfRule type="expression" priority="727" dxfId="17">
      <formula>AV49="X"</formula>
    </cfRule>
    <cfRule type="expression" priority="728" dxfId="16">
      <formula>AV49="후보"</formula>
    </cfRule>
  </conditionalFormatting>
  <conditionalFormatting sqref="AC49 N49">
    <cfRule type="cellIs" priority="724" operator="greaterThan" dxfId="13">
      <formula>0.9</formula>
    </cfRule>
    <cfRule type="cellIs" priority="725" operator="greaterThan" dxfId="12">
      <formula>0.85</formula>
    </cfRule>
  </conditionalFormatting>
  <conditionalFormatting sqref="AV50">
    <cfRule type="expression" priority="722" dxfId="17">
      <formula>AV50="X"</formula>
    </cfRule>
    <cfRule type="expression" priority="723" dxfId="16">
      <formula>AV50="후보"</formula>
    </cfRule>
  </conditionalFormatting>
  <conditionalFormatting sqref="AC50">
    <cfRule type="cellIs" priority="719" operator="greaterThan" dxfId="13">
      <formula>0.9</formula>
    </cfRule>
    <cfRule type="cellIs" priority="720" operator="greaterThan" dxfId="12">
      <formula>0.85</formula>
    </cfRule>
  </conditionalFormatting>
  <conditionalFormatting sqref="N50">
    <cfRule type="cellIs" priority="717" operator="greaterThan" dxfId="13">
      <formula>0.9</formula>
    </cfRule>
    <cfRule type="cellIs" priority="718" operator="greaterThan" dxfId="12">
      <formula>0.85</formula>
    </cfRule>
  </conditionalFormatting>
  <conditionalFormatting sqref="E50">
    <cfRule type="expression" priority="713" dxfId="3">
      <formula>AND(IF(OR($Q50=1,$Q50=2),1,0),IF($X50&lt;=20,1,0))</formula>
    </cfRule>
    <cfRule type="expression" priority="714" dxfId="2">
      <formula>AND(IF($Q50=2,1,0),IF($X50&lt;30,1,0))</formula>
    </cfRule>
    <cfRule type="expression" priority="715" dxfId="1">
      <formula>AND(IF($Q50=3,1,0),IF($X50&lt;30,1,0))</formula>
    </cfRule>
    <cfRule type="expression" priority="716" dxfId="0">
      <formula>AND(IF($Q50=3,1,IF($Q50=4,1,0)),IF($F50&lt;=85,1,0))</formula>
    </cfRule>
  </conditionalFormatting>
  <conditionalFormatting sqref="X50">
    <cfRule type="expression" priority="709" dxfId="3">
      <formula>AND(IF(OR($Q50=1,$Q50=2),1,0),IF($X50&lt;=20,1,0))</formula>
    </cfRule>
    <cfRule type="expression" priority="710" dxfId="2">
      <formula>AND(IF($Q50=2,1,0),IF($X50&lt;30,1,0))</formula>
    </cfRule>
    <cfRule type="expression" priority="711" dxfId="1">
      <formula>AND(IF($Q50=3,1,0),IF($X50&lt;30,1,0))</formula>
    </cfRule>
    <cfRule type="expression" priority="712" dxfId="0">
      <formula>AND(IF($Q50=3,1,IF($Q50=4,1,0)),IF($F50&lt;=85,1,0))</formula>
    </cfRule>
  </conditionalFormatting>
  <conditionalFormatting sqref="AI50">
    <cfRule type="expression" priority="705" dxfId="3">
      <formula>AND(IF(OR($Q50=1,$Q50=2),1,0),IF($X50&lt;=20,1,0))</formula>
    </cfRule>
    <cfRule type="expression" priority="706" dxfId="2">
      <formula>AND(IF($Q50=2,1,0),IF($X50&lt;30,1,0))</formula>
    </cfRule>
    <cfRule type="expression" priority="707" dxfId="1">
      <formula>AND(IF($Q50=3,1,0),IF($X50&lt;30,1,0))</formula>
    </cfRule>
    <cfRule type="expression" priority="708" dxfId="0">
      <formula>AND(IF($Q50=3,1,IF($Q50=4,1,0)),IF($F50&lt;=85,1,0))</formula>
    </cfRule>
  </conditionalFormatting>
  <conditionalFormatting sqref="AV51">
    <cfRule type="expression" priority="703" dxfId="17">
      <formula>AV51="X"</formula>
    </cfRule>
    <cfRule type="expression" priority="704" dxfId="16">
      <formula>AV51="후보"</formula>
    </cfRule>
  </conditionalFormatting>
  <conditionalFormatting sqref="AC51">
    <cfRule type="cellIs" priority="700" operator="greaterThan" dxfId="13">
      <formula>0.9</formula>
    </cfRule>
    <cfRule type="cellIs" priority="701" operator="greaterThan" dxfId="12">
      <formula>0.85</formula>
    </cfRule>
  </conditionalFormatting>
  <conditionalFormatting sqref="N51">
    <cfRule type="cellIs" priority="698" operator="greaterThan" dxfId="13">
      <formula>0.9</formula>
    </cfRule>
    <cfRule type="cellIs" priority="699" operator="greaterThan" dxfId="12">
      <formula>0.85</formula>
    </cfRule>
  </conditionalFormatting>
  <conditionalFormatting sqref="E51">
    <cfRule type="expression" priority="694" dxfId="3">
      <formula>AND(IF(OR($Q51=1,$Q51=2),1,0),IF($X51&lt;=20,1,0))</formula>
    </cfRule>
    <cfRule type="expression" priority="695" dxfId="2">
      <formula>AND(IF($Q51=2,1,0),IF($X51&lt;30,1,0))</formula>
    </cfRule>
    <cfRule type="expression" priority="696" dxfId="1">
      <formula>AND(IF($Q51=3,1,0),IF($X51&lt;30,1,0))</formula>
    </cfRule>
    <cfRule type="expression" priority="697" dxfId="0">
      <formula>AND(IF($Q51=3,1,IF($Q51=4,1,0)),IF($F51&lt;=85,1,0))</formula>
    </cfRule>
  </conditionalFormatting>
  <conditionalFormatting sqref="X51">
    <cfRule type="expression" priority="690" dxfId="3">
      <formula>AND(IF(OR($Q51=1,$Q51=2),1,0),IF($X51&lt;=20,1,0))</formula>
    </cfRule>
    <cfRule type="expression" priority="691" dxfId="2">
      <formula>AND(IF($Q51=2,1,0),IF($X51&lt;30,1,0))</formula>
    </cfRule>
    <cfRule type="expression" priority="692" dxfId="1">
      <formula>AND(IF($Q51=3,1,0),IF($X51&lt;30,1,0))</formula>
    </cfRule>
    <cfRule type="expression" priority="693" dxfId="0">
      <formula>AND(IF($Q51=3,1,IF($Q51=4,1,0)),IF($F51&lt;=85,1,0))</formula>
    </cfRule>
  </conditionalFormatting>
  <conditionalFormatting sqref="AI51">
    <cfRule type="expression" priority="686" dxfId="3">
      <formula>AND(IF(OR($Q51=1,$Q51=2),1,0),IF($X51&lt;=20,1,0))</formula>
    </cfRule>
    <cfRule type="expression" priority="687" dxfId="2">
      <formula>AND(IF($Q51=2,1,0),IF($X51&lt;30,1,0))</formula>
    </cfRule>
    <cfRule type="expression" priority="688" dxfId="1">
      <formula>AND(IF($Q51=3,1,0),IF($X51&lt;30,1,0))</formula>
    </cfRule>
    <cfRule type="expression" priority="689" dxfId="0">
      <formula>AND(IF($Q51=3,1,IF($Q51=4,1,0)),IF($F51&lt;=85,1,0))</formula>
    </cfRule>
  </conditionalFormatting>
  <conditionalFormatting sqref="AV52">
    <cfRule type="expression" priority="684" dxfId="17">
      <formula>AV52="X"</formula>
    </cfRule>
    <cfRule type="expression" priority="685" dxfId="16">
      <formula>AV52="후보"</formula>
    </cfRule>
  </conditionalFormatting>
  <conditionalFormatting sqref="AC52">
    <cfRule type="cellIs" priority="681" operator="greaterThan" dxfId="13">
      <formula>0.9</formula>
    </cfRule>
    <cfRule type="cellIs" priority="682" operator="greaterThan" dxfId="12">
      <formula>0.85</formula>
    </cfRule>
  </conditionalFormatting>
  <conditionalFormatting sqref="N52">
    <cfRule type="cellIs" priority="679" operator="greaterThan" dxfId="13">
      <formula>0.9</formula>
    </cfRule>
    <cfRule type="cellIs" priority="680" operator="greaterThan" dxfId="12">
      <formula>0.85</formula>
    </cfRule>
  </conditionalFormatting>
  <conditionalFormatting sqref="E52">
    <cfRule type="expression" priority="675" dxfId="3">
      <formula>AND(IF(OR($Q52=1,$Q52=2),1,0),IF($X52&lt;=20,1,0))</formula>
    </cfRule>
    <cfRule type="expression" priority="676" dxfId="2">
      <formula>AND(IF($Q52=2,1,0),IF($X52&lt;30,1,0))</formula>
    </cfRule>
    <cfRule type="expression" priority="677" dxfId="1">
      <formula>AND(IF($Q52=3,1,0),IF($X52&lt;30,1,0))</formula>
    </cfRule>
    <cfRule type="expression" priority="678" dxfId="0">
      <formula>AND(IF($Q52=3,1,IF($Q52=4,1,0)),IF($F52&lt;=85,1,0))</formula>
    </cfRule>
  </conditionalFormatting>
  <conditionalFormatting sqref="X52">
    <cfRule type="expression" priority="671" dxfId="3">
      <formula>AND(IF(OR($Q52=1,$Q52=2),1,0),IF($X52&lt;=20,1,0))</formula>
    </cfRule>
    <cfRule type="expression" priority="672" dxfId="2">
      <formula>AND(IF($Q52=2,1,0),IF($X52&lt;30,1,0))</formula>
    </cfRule>
    <cfRule type="expression" priority="673" dxfId="1">
      <formula>AND(IF($Q52=3,1,0),IF($X52&lt;30,1,0))</formula>
    </cfRule>
    <cfRule type="expression" priority="674" dxfId="0">
      <formula>AND(IF($Q52=3,1,IF($Q52=4,1,0)),IF($F52&lt;=85,1,0))</formula>
    </cfRule>
  </conditionalFormatting>
  <conditionalFormatting sqref="AI52">
    <cfRule type="expression" priority="667" dxfId="3">
      <formula>AND(IF(OR($Q52=1,$Q52=2),1,0),IF($X52&lt;=20,1,0))</formula>
    </cfRule>
    <cfRule type="expression" priority="668" dxfId="2">
      <formula>AND(IF($Q52=2,1,0),IF($X52&lt;30,1,0))</formula>
    </cfRule>
    <cfRule type="expression" priority="669" dxfId="1">
      <formula>AND(IF($Q52=3,1,0),IF($X52&lt;30,1,0))</formula>
    </cfRule>
    <cfRule type="expression" priority="670" dxfId="0">
      <formula>AND(IF($Q52=3,1,IF($Q52=4,1,0)),IF($F52&lt;=85,1,0))</formula>
    </cfRule>
  </conditionalFormatting>
  <conditionalFormatting sqref="AV53">
    <cfRule type="expression" priority="665" dxfId="17">
      <formula>AV53="X"</formula>
    </cfRule>
    <cfRule type="expression" priority="666" dxfId="16">
      <formula>AV53="후보"</formula>
    </cfRule>
  </conditionalFormatting>
  <conditionalFormatting sqref="AC53">
    <cfRule type="cellIs" priority="662" operator="greaterThan" dxfId="13">
      <formula>0.9</formula>
    </cfRule>
    <cfRule type="cellIs" priority="663" operator="greaterThan" dxfId="12">
      <formula>0.85</formula>
    </cfRule>
  </conditionalFormatting>
  <conditionalFormatting sqref="N53">
    <cfRule type="cellIs" priority="660" operator="greaterThan" dxfId="13">
      <formula>0.9</formula>
    </cfRule>
    <cfRule type="cellIs" priority="661" operator="greaterThan" dxfId="12">
      <formula>0.85</formula>
    </cfRule>
  </conditionalFormatting>
  <conditionalFormatting sqref="E53">
    <cfRule type="expression" priority="656" dxfId="3">
      <formula>AND(IF(OR($Q53=1,$Q53=2),1,0),IF($X53&lt;=20,1,0))</formula>
    </cfRule>
    <cfRule type="expression" priority="657" dxfId="2">
      <formula>AND(IF($Q53=2,1,0),IF($X53&lt;30,1,0))</formula>
    </cfRule>
    <cfRule type="expression" priority="658" dxfId="1">
      <formula>AND(IF($Q53=3,1,0),IF($X53&lt;30,1,0))</formula>
    </cfRule>
    <cfRule type="expression" priority="659" dxfId="0">
      <formula>AND(IF($Q53=3,1,IF($Q53=4,1,0)),IF($F53&lt;=85,1,0))</formula>
    </cfRule>
  </conditionalFormatting>
  <conditionalFormatting sqref="X53">
    <cfRule type="expression" priority="652" dxfId="3">
      <formula>AND(IF(OR($Q53=1,$Q53=2),1,0),IF($X53&lt;=20,1,0))</formula>
    </cfRule>
    <cfRule type="expression" priority="653" dxfId="2">
      <formula>AND(IF($Q53=2,1,0),IF($X53&lt;30,1,0))</formula>
    </cfRule>
    <cfRule type="expression" priority="654" dxfId="1">
      <formula>AND(IF($Q53=3,1,0),IF($X53&lt;30,1,0))</formula>
    </cfRule>
    <cfRule type="expression" priority="655" dxfId="0">
      <formula>AND(IF($Q53=3,1,IF($Q53=4,1,0)),IF($F53&lt;=85,1,0))</formula>
    </cfRule>
  </conditionalFormatting>
  <conditionalFormatting sqref="AI53">
    <cfRule type="expression" priority="648" dxfId="3">
      <formula>AND(IF(OR($Q53=1,$Q53=2),1,0),IF($X53&lt;=20,1,0))</formula>
    </cfRule>
    <cfRule type="expression" priority="649" dxfId="2">
      <formula>AND(IF($Q53=2,1,0),IF($X53&lt;30,1,0))</formula>
    </cfRule>
    <cfRule type="expression" priority="650" dxfId="1">
      <formula>AND(IF($Q53=3,1,0),IF($X53&lt;30,1,0))</formula>
    </cfRule>
    <cfRule type="expression" priority="651" dxfId="0">
      <formula>AND(IF($Q53=3,1,IF($Q53=4,1,0)),IF($F53&lt;=85,1,0))</formula>
    </cfRule>
  </conditionalFormatting>
  <conditionalFormatting sqref="AV54">
    <cfRule type="expression" priority="646" dxfId="17">
      <formula>AV54="X"</formula>
    </cfRule>
    <cfRule type="expression" priority="647" dxfId="16">
      <formula>AV54="후보"</formula>
    </cfRule>
  </conditionalFormatting>
  <conditionalFormatting sqref="AC54">
    <cfRule type="cellIs" priority="643" operator="greaterThan" dxfId="13">
      <formula>0.9</formula>
    </cfRule>
    <cfRule type="cellIs" priority="644" operator="greaterThan" dxfId="12">
      <formula>0.85</formula>
    </cfRule>
  </conditionalFormatting>
  <conditionalFormatting sqref="N54">
    <cfRule type="cellIs" priority="641" operator="greaterThan" dxfId="13">
      <formula>0.9</formula>
    </cfRule>
    <cfRule type="cellIs" priority="642" operator="greaterThan" dxfId="12">
      <formula>0.85</formula>
    </cfRule>
  </conditionalFormatting>
  <conditionalFormatting sqref="E54">
    <cfRule type="expression" priority="637" dxfId="3">
      <formula>AND(IF(OR($Q54=1,$Q54=2),1,0),IF($X54&lt;=20,1,0))</formula>
    </cfRule>
    <cfRule type="expression" priority="638" dxfId="2">
      <formula>AND(IF($Q54=2,1,0),IF($X54&lt;30,1,0))</formula>
    </cfRule>
    <cfRule type="expression" priority="639" dxfId="1">
      <formula>AND(IF($Q54=3,1,0),IF($X54&lt;30,1,0))</formula>
    </cfRule>
    <cfRule type="expression" priority="640" dxfId="0">
      <formula>AND(IF($Q54=3,1,IF($Q54=4,1,0)),IF($F54&lt;=85,1,0))</formula>
    </cfRule>
  </conditionalFormatting>
  <conditionalFormatting sqref="X54">
    <cfRule type="expression" priority="633" dxfId="3">
      <formula>AND(IF(OR($Q54=1,$Q54=2),1,0),IF($X54&lt;=20,1,0))</formula>
    </cfRule>
    <cfRule type="expression" priority="634" dxfId="2">
      <formula>AND(IF($Q54=2,1,0),IF($X54&lt;30,1,0))</formula>
    </cfRule>
    <cfRule type="expression" priority="635" dxfId="1">
      <formula>AND(IF($Q54=3,1,0),IF($X54&lt;30,1,0))</formula>
    </cfRule>
    <cfRule type="expression" priority="636" dxfId="0">
      <formula>AND(IF($Q54=3,1,IF($Q54=4,1,0)),IF($F54&lt;=85,1,0))</formula>
    </cfRule>
  </conditionalFormatting>
  <conditionalFormatting sqref="AI54">
    <cfRule type="expression" priority="629" dxfId="3">
      <formula>AND(IF(OR($Q54=1,$Q54=2),1,0),IF($X54&lt;=20,1,0))</formula>
    </cfRule>
    <cfRule type="expression" priority="630" dxfId="2">
      <formula>AND(IF($Q54=2,1,0),IF($X54&lt;30,1,0))</formula>
    </cfRule>
    <cfRule type="expression" priority="631" dxfId="1">
      <formula>AND(IF($Q54=3,1,0),IF($X54&lt;30,1,0))</formula>
    </cfRule>
    <cfRule type="expression" priority="632" dxfId="0">
      <formula>AND(IF($Q54=3,1,IF($Q54=4,1,0)),IF($F54&lt;=85,1,0))</formula>
    </cfRule>
  </conditionalFormatting>
  <conditionalFormatting sqref="AV55">
    <cfRule type="expression" priority="627" dxfId="17">
      <formula>AV55="X"</formula>
    </cfRule>
    <cfRule type="expression" priority="628" dxfId="16">
      <formula>AV55="후보"</formula>
    </cfRule>
  </conditionalFormatting>
  <conditionalFormatting sqref="AC55">
    <cfRule type="cellIs" priority="624" operator="greaterThan" dxfId="13">
      <formula>0.9</formula>
    </cfRule>
    <cfRule type="cellIs" priority="625" operator="greaterThan" dxfId="12">
      <formula>0.85</formula>
    </cfRule>
  </conditionalFormatting>
  <conditionalFormatting sqref="N55">
    <cfRule type="cellIs" priority="622" operator="greaterThan" dxfId="13">
      <formula>0.9</formula>
    </cfRule>
    <cfRule type="cellIs" priority="623" operator="greaterThan" dxfId="12">
      <formula>0.85</formula>
    </cfRule>
  </conditionalFormatting>
  <conditionalFormatting sqref="E55">
    <cfRule type="expression" priority="618" dxfId="3">
      <formula>AND(IF(OR($Q55=1,$Q55=2),1,0),IF($X55&lt;=20,1,0))</formula>
    </cfRule>
    <cfRule type="expression" priority="619" dxfId="2">
      <formula>AND(IF($Q55=2,1,0),IF($X55&lt;30,1,0))</formula>
    </cfRule>
    <cfRule type="expression" priority="620" dxfId="1">
      <formula>AND(IF($Q55=3,1,0),IF($X55&lt;30,1,0))</formula>
    </cfRule>
    <cfRule type="expression" priority="621" dxfId="0">
      <formula>AND(IF($Q55=3,1,IF($Q55=4,1,0)),IF($F55&lt;=85,1,0))</formula>
    </cfRule>
  </conditionalFormatting>
  <conditionalFormatting sqref="X55">
    <cfRule type="expression" priority="614" dxfId="3">
      <formula>AND(IF(OR($Q55=1,$Q55=2),1,0),IF($X55&lt;=20,1,0))</formula>
    </cfRule>
    <cfRule type="expression" priority="615" dxfId="2">
      <formula>AND(IF($Q55=2,1,0),IF($X55&lt;30,1,0))</formula>
    </cfRule>
    <cfRule type="expression" priority="616" dxfId="1">
      <formula>AND(IF($Q55=3,1,0),IF($X55&lt;30,1,0))</formula>
    </cfRule>
    <cfRule type="expression" priority="617" dxfId="0">
      <formula>AND(IF($Q55=3,1,IF($Q55=4,1,0)),IF($F55&lt;=85,1,0))</formula>
    </cfRule>
  </conditionalFormatting>
  <conditionalFormatting sqref="AI55">
    <cfRule type="expression" priority="610" dxfId="3">
      <formula>AND(IF(OR($Q55=1,$Q55=2),1,0),IF($X55&lt;=20,1,0))</formula>
    </cfRule>
    <cfRule type="expression" priority="611" dxfId="2">
      <formula>AND(IF($Q55=2,1,0),IF($X55&lt;30,1,0))</formula>
    </cfRule>
    <cfRule type="expression" priority="612" dxfId="1">
      <formula>AND(IF($Q55=3,1,0),IF($X55&lt;30,1,0))</formula>
    </cfRule>
    <cfRule type="expression" priority="613" dxfId="0">
      <formula>AND(IF($Q55=3,1,IF($Q55=4,1,0)),IF($F55&lt;=85,1,0))</formula>
    </cfRule>
  </conditionalFormatting>
  <conditionalFormatting sqref="AV56">
    <cfRule type="expression" priority="608" dxfId="17">
      <formula>AV56="X"</formula>
    </cfRule>
    <cfRule type="expression" priority="609" dxfId="16">
      <formula>AV56="후보"</formula>
    </cfRule>
  </conditionalFormatting>
  <conditionalFormatting sqref="AC56">
    <cfRule type="cellIs" priority="605" operator="greaterThan" dxfId="13">
      <formula>0.9</formula>
    </cfRule>
    <cfRule type="cellIs" priority="606" operator="greaterThan" dxfId="12">
      <formula>0.85</formula>
    </cfRule>
  </conditionalFormatting>
  <conditionalFormatting sqref="N56">
    <cfRule type="cellIs" priority="603" operator="greaterThan" dxfId="13">
      <formula>0.9</formula>
    </cfRule>
    <cfRule type="cellIs" priority="604" operator="greaterThan" dxfId="12">
      <formula>0.85</formula>
    </cfRule>
  </conditionalFormatting>
  <conditionalFormatting sqref="E56">
    <cfRule type="expression" priority="599" dxfId="3">
      <formula>AND(IF(OR($Q56=1,$Q56=2),1,0),IF($X56&lt;=20,1,0))</formula>
    </cfRule>
    <cfRule type="expression" priority="600" dxfId="2">
      <formula>AND(IF($Q56=2,1,0),IF($X56&lt;30,1,0))</formula>
    </cfRule>
    <cfRule type="expression" priority="601" dxfId="1">
      <formula>AND(IF($Q56=3,1,0),IF($X56&lt;30,1,0))</formula>
    </cfRule>
    <cfRule type="expression" priority="602" dxfId="0">
      <formula>AND(IF($Q56=3,1,IF($Q56=4,1,0)),IF($F56&lt;=85,1,0))</formula>
    </cfRule>
  </conditionalFormatting>
  <conditionalFormatting sqref="X56">
    <cfRule type="expression" priority="595" dxfId="3">
      <formula>AND(IF(OR($Q56=1,$Q56=2),1,0),IF($X56&lt;=20,1,0))</formula>
    </cfRule>
    <cfRule type="expression" priority="596" dxfId="2">
      <formula>AND(IF($Q56=2,1,0),IF($X56&lt;30,1,0))</formula>
    </cfRule>
    <cfRule type="expression" priority="597" dxfId="1">
      <formula>AND(IF($Q56=3,1,0),IF($X56&lt;30,1,0))</formula>
    </cfRule>
    <cfRule type="expression" priority="598" dxfId="0">
      <formula>AND(IF($Q56=3,1,IF($Q56=4,1,0)),IF($F56&lt;=85,1,0))</formula>
    </cfRule>
  </conditionalFormatting>
  <conditionalFormatting sqref="AI56">
    <cfRule type="expression" priority="591" dxfId="3">
      <formula>AND(IF(OR($Q56=1,$Q56=2),1,0),IF($X56&lt;=20,1,0))</formula>
    </cfRule>
    <cfRule type="expression" priority="592" dxfId="2">
      <formula>AND(IF($Q56=2,1,0),IF($X56&lt;30,1,0))</formula>
    </cfRule>
    <cfRule type="expression" priority="593" dxfId="1">
      <formula>AND(IF($Q56=3,1,0),IF($X56&lt;30,1,0))</formula>
    </cfRule>
    <cfRule type="expression" priority="594" dxfId="0">
      <formula>AND(IF($Q56=3,1,IF($Q56=4,1,0)),IF($F56&lt;=85,1,0))</formula>
    </cfRule>
  </conditionalFormatting>
  <conditionalFormatting sqref="AV57">
    <cfRule type="expression" priority="589" dxfId="17">
      <formula>AV57="X"</formula>
    </cfRule>
    <cfRule type="expression" priority="590" dxfId="16">
      <formula>AV57="후보"</formula>
    </cfRule>
  </conditionalFormatting>
  <conditionalFormatting sqref="AC57">
    <cfRule type="cellIs" priority="586" operator="greaterThan" dxfId="13">
      <formula>0.9</formula>
    </cfRule>
    <cfRule type="cellIs" priority="587" operator="greaterThan" dxfId="12">
      <formula>0.85</formula>
    </cfRule>
  </conditionalFormatting>
  <conditionalFormatting sqref="N57">
    <cfRule type="cellIs" priority="584" operator="greaterThan" dxfId="13">
      <formula>0.9</formula>
    </cfRule>
    <cfRule type="cellIs" priority="585" operator="greaterThan" dxfId="12">
      <formula>0.85</formula>
    </cfRule>
  </conditionalFormatting>
  <conditionalFormatting sqref="E57">
    <cfRule type="expression" priority="580" dxfId="3">
      <formula>AND(IF(OR($Q57=1,$Q57=2),1,0),IF($X57&lt;=20,1,0))</formula>
    </cfRule>
    <cfRule type="expression" priority="581" dxfId="2">
      <formula>AND(IF($Q57=2,1,0),IF($X57&lt;30,1,0))</formula>
    </cfRule>
    <cfRule type="expression" priority="582" dxfId="1">
      <formula>AND(IF($Q57=3,1,0),IF($X57&lt;30,1,0))</formula>
    </cfRule>
    <cfRule type="expression" priority="583" dxfId="0">
      <formula>AND(IF($Q57=3,1,IF($Q57=4,1,0)),IF($F57&lt;=85,1,0))</formula>
    </cfRule>
  </conditionalFormatting>
  <conditionalFormatting sqref="X57">
    <cfRule type="expression" priority="576" dxfId="3">
      <formula>AND(IF(OR($Q57=1,$Q57=2),1,0),IF($X57&lt;=20,1,0))</formula>
    </cfRule>
    <cfRule type="expression" priority="577" dxfId="2">
      <formula>AND(IF($Q57=2,1,0),IF($X57&lt;30,1,0))</formula>
    </cfRule>
    <cfRule type="expression" priority="578" dxfId="1">
      <formula>AND(IF($Q57=3,1,0),IF($X57&lt;30,1,0))</formula>
    </cfRule>
    <cfRule type="expression" priority="579" dxfId="0">
      <formula>AND(IF($Q57=3,1,IF($Q57=4,1,0)),IF($F57&lt;=85,1,0))</formula>
    </cfRule>
  </conditionalFormatting>
  <conditionalFormatting sqref="AI57">
    <cfRule type="expression" priority="572" dxfId="3">
      <formula>AND(IF(OR($Q57=1,$Q57=2),1,0),IF($X57&lt;=20,1,0))</formula>
    </cfRule>
    <cfRule type="expression" priority="573" dxfId="2">
      <formula>AND(IF($Q57=2,1,0),IF($X57&lt;30,1,0))</formula>
    </cfRule>
    <cfRule type="expression" priority="574" dxfId="1">
      <formula>AND(IF($Q57=3,1,0),IF($X57&lt;30,1,0))</formula>
    </cfRule>
    <cfRule type="expression" priority="575" dxfId="0">
      <formula>AND(IF($Q57=3,1,IF($Q57=4,1,0)),IF($F57&lt;=85,1,0))</formula>
    </cfRule>
  </conditionalFormatting>
  <conditionalFormatting sqref="AV58">
    <cfRule type="expression" priority="570" dxfId="17">
      <formula>AV58="X"</formula>
    </cfRule>
    <cfRule type="expression" priority="571" dxfId="16">
      <formula>AV58="후보"</formula>
    </cfRule>
  </conditionalFormatting>
  <conditionalFormatting sqref="AC58 N58">
    <cfRule type="cellIs" priority="567" operator="greaterThan" dxfId="13">
      <formula>0.9</formula>
    </cfRule>
    <cfRule type="cellIs" priority="568" operator="greaterThan" dxfId="12">
      <formula>0.85</formula>
    </cfRule>
  </conditionalFormatting>
  <conditionalFormatting sqref="AV59">
    <cfRule type="expression" priority="565" dxfId="17">
      <formula>AV59="X"</formula>
    </cfRule>
    <cfRule type="expression" priority="566" dxfId="16">
      <formula>AV59="후보"</formula>
    </cfRule>
  </conditionalFormatting>
  <conditionalFormatting sqref="AC59">
    <cfRule type="cellIs" priority="562" operator="greaterThan" dxfId="13">
      <formula>0.9</formula>
    </cfRule>
    <cfRule type="cellIs" priority="563" operator="greaterThan" dxfId="12">
      <formula>0.85</formula>
    </cfRule>
  </conditionalFormatting>
  <conditionalFormatting sqref="N59">
    <cfRule type="cellIs" priority="560" operator="greaterThan" dxfId="13">
      <formula>0.9</formula>
    </cfRule>
    <cfRule type="cellIs" priority="561" operator="greaterThan" dxfId="12">
      <formula>0.85</formula>
    </cfRule>
  </conditionalFormatting>
  <conditionalFormatting sqref="E59">
    <cfRule type="expression" priority="556" dxfId="3">
      <formula>AND(IF(OR($Q59=1,$Q59=2),1,0),IF($X59&lt;=20,1,0))</formula>
    </cfRule>
    <cfRule type="expression" priority="557" dxfId="2">
      <formula>AND(IF($Q59=2,1,0),IF($X59&lt;30,1,0))</formula>
    </cfRule>
    <cfRule type="expression" priority="558" dxfId="1">
      <formula>AND(IF($Q59=3,1,0),IF($X59&lt;30,1,0))</formula>
    </cfRule>
    <cfRule type="expression" priority="559" dxfId="0">
      <formula>AND(IF($Q59=3,1,IF($Q59=4,1,0)),IF($F59&lt;=85,1,0))</formula>
    </cfRule>
  </conditionalFormatting>
  <conditionalFormatting sqref="X59">
    <cfRule type="expression" priority="552" dxfId="3">
      <formula>AND(IF(OR($Q59=1,$Q59=2),1,0),IF($X59&lt;=20,1,0))</formula>
    </cfRule>
    <cfRule type="expression" priority="553" dxfId="2">
      <formula>AND(IF($Q59=2,1,0),IF($X59&lt;30,1,0))</formula>
    </cfRule>
    <cfRule type="expression" priority="554" dxfId="1">
      <formula>AND(IF($Q59=3,1,0),IF($X59&lt;30,1,0))</formula>
    </cfRule>
    <cfRule type="expression" priority="555" dxfId="0">
      <formula>AND(IF($Q59=3,1,IF($Q59=4,1,0)),IF($F59&lt;=85,1,0))</formula>
    </cfRule>
  </conditionalFormatting>
  <conditionalFormatting sqref="AI59">
    <cfRule type="expression" priority="548" dxfId="3">
      <formula>AND(IF(OR($Q59=1,$Q59=2),1,0),IF($X59&lt;=20,1,0))</formula>
    </cfRule>
    <cfRule type="expression" priority="549" dxfId="2">
      <formula>AND(IF($Q59=2,1,0),IF($X59&lt;30,1,0))</formula>
    </cfRule>
    <cfRule type="expression" priority="550" dxfId="1">
      <formula>AND(IF($Q59=3,1,0),IF($X59&lt;30,1,0))</formula>
    </cfRule>
    <cfRule type="expression" priority="551" dxfId="0">
      <formula>AND(IF($Q59=3,1,IF($Q59=4,1,0)),IF($F59&lt;=85,1,0))</formula>
    </cfRule>
  </conditionalFormatting>
  <conditionalFormatting sqref="AV60">
    <cfRule type="expression" priority="546" dxfId="17">
      <formula>AV60="X"</formula>
    </cfRule>
    <cfRule type="expression" priority="547" dxfId="16">
      <formula>AV60="후보"</formula>
    </cfRule>
  </conditionalFormatting>
  <conditionalFormatting sqref="AC60">
    <cfRule type="cellIs" priority="543" operator="greaterThan" dxfId="13">
      <formula>0.9</formula>
    </cfRule>
    <cfRule type="cellIs" priority="544" operator="greaterThan" dxfId="12">
      <formula>0.85</formula>
    </cfRule>
  </conditionalFormatting>
  <conditionalFormatting sqref="N60">
    <cfRule type="cellIs" priority="541" operator="greaterThan" dxfId="13">
      <formula>0.9</formula>
    </cfRule>
    <cfRule type="cellIs" priority="542" operator="greaterThan" dxfId="12">
      <formula>0.85</formula>
    </cfRule>
  </conditionalFormatting>
  <conditionalFormatting sqref="E60">
    <cfRule type="expression" priority="537" dxfId="3">
      <formula>AND(IF(OR($Q60=1,$Q60=2),1,0),IF($X60&lt;=20,1,0))</formula>
    </cfRule>
    <cfRule type="expression" priority="538" dxfId="2">
      <formula>AND(IF($Q60=2,1,0),IF($X60&lt;30,1,0))</formula>
    </cfRule>
    <cfRule type="expression" priority="539" dxfId="1">
      <formula>AND(IF($Q60=3,1,0),IF($X60&lt;30,1,0))</formula>
    </cfRule>
    <cfRule type="expression" priority="540" dxfId="0">
      <formula>AND(IF($Q60=3,1,IF($Q60=4,1,0)),IF($F60&lt;=85,1,0))</formula>
    </cfRule>
  </conditionalFormatting>
  <conditionalFormatting sqref="X60">
    <cfRule type="expression" priority="533" dxfId="3">
      <formula>AND(IF(OR($Q60=1,$Q60=2),1,0),IF($X60&lt;=20,1,0))</formula>
    </cfRule>
    <cfRule type="expression" priority="534" dxfId="2">
      <formula>AND(IF($Q60=2,1,0),IF($X60&lt;30,1,0))</formula>
    </cfRule>
    <cfRule type="expression" priority="535" dxfId="1">
      <formula>AND(IF($Q60=3,1,0),IF($X60&lt;30,1,0))</formula>
    </cfRule>
    <cfRule type="expression" priority="536" dxfId="0">
      <formula>AND(IF($Q60=3,1,IF($Q60=4,1,0)),IF($F60&lt;=85,1,0))</formula>
    </cfRule>
  </conditionalFormatting>
  <conditionalFormatting sqref="AI60">
    <cfRule type="expression" priority="529" dxfId="3">
      <formula>AND(IF(OR($Q60=1,$Q60=2),1,0),IF($X60&lt;=20,1,0))</formula>
    </cfRule>
    <cfRule type="expression" priority="530" dxfId="2">
      <formula>AND(IF($Q60=2,1,0),IF($X60&lt;30,1,0))</formula>
    </cfRule>
    <cfRule type="expression" priority="531" dxfId="1">
      <formula>AND(IF($Q60=3,1,0),IF($X60&lt;30,1,0))</formula>
    </cfRule>
    <cfRule type="expression" priority="532" dxfId="0">
      <formula>AND(IF($Q60=3,1,IF($Q60=4,1,0)),IF($F60&lt;=85,1,0))</formula>
    </cfRule>
  </conditionalFormatting>
  <conditionalFormatting sqref="AV61">
    <cfRule type="expression" priority="527" dxfId="17">
      <formula>AV61="X"</formula>
    </cfRule>
    <cfRule type="expression" priority="528" dxfId="16">
      <formula>AV61="후보"</formula>
    </cfRule>
  </conditionalFormatting>
  <conditionalFormatting sqref="AC61">
    <cfRule type="cellIs" priority="524" operator="greaterThan" dxfId="13">
      <formula>0.9</formula>
    </cfRule>
    <cfRule type="cellIs" priority="525" operator="greaterThan" dxfId="12">
      <formula>0.85</formula>
    </cfRule>
  </conditionalFormatting>
  <conditionalFormatting sqref="N61">
    <cfRule type="cellIs" priority="522" operator="greaterThan" dxfId="13">
      <formula>0.9</formula>
    </cfRule>
    <cfRule type="cellIs" priority="523" operator="greaterThan" dxfId="12">
      <formula>0.85</formula>
    </cfRule>
  </conditionalFormatting>
  <conditionalFormatting sqref="E61">
    <cfRule type="expression" priority="518" dxfId="3">
      <formula>AND(IF(OR($Q61=1,$Q61=2),1,0),IF($X61&lt;=20,1,0))</formula>
    </cfRule>
    <cfRule type="expression" priority="519" dxfId="2">
      <formula>AND(IF($Q61=2,1,0),IF($X61&lt;30,1,0))</formula>
    </cfRule>
    <cfRule type="expression" priority="520" dxfId="1">
      <formula>AND(IF($Q61=3,1,0),IF($X61&lt;30,1,0))</formula>
    </cfRule>
    <cfRule type="expression" priority="521" dxfId="0">
      <formula>AND(IF($Q61=3,1,IF($Q61=4,1,0)),IF($F61&lt;=85,1,0))</formula>
    </cfRule>
  </conditionalFormatting>
  <conditionalFormatting sqref="X61">
    <cfRule type="expression" priority="514" dxfId="3">
      <formula>AND(IF(OR($Q61=1,$Q61=2),1,0),IF($X61&lt;=20,1,0))</formula>
    </cfRule>
    <cfRule type="expression" priority="515" dxfId="2">
      <formula>AND(IF($Q61=2,1,0),IF($X61&lt;30,1,0))</formula>
    </cfRule>
    <cfRule type="expression" priority="516" dxfId="1">
      <formula>AND(IF($Q61=3,1,0),IF($X61&lt;30,1,0))</formula>
    </cfRule>
    <cfRule type="expression" priority="517" dxfId="0">
      <formula>AND(IF($Q61=3,1,IF($Q61=4,1,0)),IF($F61&lt;=85,1,0))</formula>
    </cfRule>
  </conditionalFormatting>
  <conditionalFormatting sqref="AI61">
    <cfRule type="expression" priority="510" dxfId="3">
      <formula>AND(IF(OR($Q61=1,$Q61=2),1,0),IF($X61&lt;=20,1,0))</formula>
    </cfRule>
    <cfRule type="expression" priority="511" dxfId="2">
      <formula>AND(IF($Q61=2,1,0),IF($X61&lt;30,1,0))</formula>
    </cfRule>
    <cfRule type="expression" priority="512" dxfId="1">
      <formula>AND(IF($Q61=3,1,0),IF($X61&lt;30,1,0))</formula>
    </cfRule>
    <cfRule type="expression" priority="513" dxfId="0">
      <formula>AND(IF($Q61=3,1,IF($Q61=4,1,0)),IF($F61&lt;=85,1,0))</formula>
    </cfRule>
  </conditionalFormatting>
  <conditionalFormatting sqref="AV62">
    <cfRule type="expression" priority="508" dxfId="17">
      <formula>AV62="X"</formula>
    </cfRule>
    <cfRule type="expression" priority="509" dxfId="16">
      <formula>AV62="후보"</formula>
    </cfRule>
  </conditionalFormatting>
  <conditionalFormatting sqref="AC62">
    <cfRule type="cellIs" priority="505" operator="greaterThan" dxfId="13">
      <formula>0.9</formula>
    </cfRule>
    <cfRule type="cellIs" priority="506" operator="greaterThan" dxfId="12">
      <formula>0.85</formula>
    </cfRule>
  </conditionalFormatting>
  <conditionalFormatting sqref="N62">
    <cfRule type="cellIs" priority="503" operator="greaterThan" dxfId="13">
      <formula>0.9</formula>
    </cfRule>
    <cfRule type="cellIs" priority="504" operator="greaterThan" dxfId="12">
      <formula>0.85</formula>
    </cfRule>
  </conditionalFormatting>
  <conditionalFormatting sqref="E62">
    <cfRule type="expression" priority="499" dxfId="3">
      <formula>AND(IF(OR($Q62=1,$Q62=2),1,0),IF($X62&lt;=20,1,0))</formula>
    </cfRule>
    <cfRule type="expression" priority="500" dxfId="2">
      <formula>AND(IF($Q62=2,1,0),IF($X62&lt;30,1,0))</formula>
    </cfRule>
    <cfRule type="expression" priority="501" dxfId="1">
      <formula>AND(IF($Q62=3,1,0),IF($X62&lt;30,1,0))</formula>
    </cfRule>
    <cfRule type="expression" priority="502" dxfId="0">
      <formula>AND(IF($Q62=3,1,IF($Q62=4,1,0)),IF($F62&lt;=85,1,0))</formula>
    </cfRule>
  </conditionalFormatting>
  <conditionalFormatting sqref="X62">
    <cfRule type="expression" priority="495" dxfId="3">
      <formula>AND(IF(OR($Q62=1,$Q62=2),1,0),IF($X62&lt;=20,1,0))</formula>
    </cfRule>
    <cfRule type="expression" priority="496" dxfId="2">
      <formula>AND(IF($Q62=2,1,0),IF($X62&lt;30,1,0))</formula>
    </cfRule>
    <cfRule type="expression" priority="497" dxfId="1">
      <formula>AND(IF($Q62=3,1,0),IF($X62&lt;30,1,0))</formula>
    </cfRule>
    <cfRule type="expression" priority="498" dxfId="0">
      <formula>AND(IF($Q62=3,1,IF($Q62=4,1,0)),IF($F62&lt;=85,1,0))</formula>
    </cfRule>
  </conditionalFormatting>
  <conditionalFormatting sqref="AI62">
    <cfRule type="expression" priority="491" dxfId="3">
      <formula>AND(IF(OR($Q62=1,$Q62=2),1,0),IF($X62&lt;=20,1,0))</formula>
    </cfRule>
    <cfRule type="expression" priority="492" dxfId="2">
      <formula>AND(IF($Q62=2,1,0),IF($X62&lt;30,1,0))</formula>
    </cfRule>
    <cfRule type="expression" priority="493" dxfId="1">
      <formula>AND(IF($Q62=3,1,0),IF($X62&lt;30,1,0))</formula>
    </cfRule>
    <cfRule type="expression" priority="494" dxfId="0">
      <formula>AND(IF($Q62=3,1,IF($Q62=4,1,0)),IF($F62&lt;=85,1,0))</formula>
    </cfRule>
  </conditionalFormatting>
  <conditionalFormatting sqref="AV63">
    <cfRule type="expression" priority="489" dxfId="17">
      <formula>AV63="X"</formula>
    </cfRule>
    <cfRule type="expression" priority="490" dxfId="16">
      <formula>AV63="후보"</formula>
    </cfRule>
  </conditionalFormatting>
  <conditionalFormatting sqref="AC63 N63">
    <cfRule type="cellIs" priority="486" operator="greaterThan" dxfId="13">
      <formula>0.9</formula>
    </cfRule>
    <cfRule type="cellIs" priority="487" operator="greaterThan" dxfId="12">
      <formula>0.85</formula>
    </cfRule>
  </conditionalFormatting>
  <conditionalFormatting sqref="AV64">
    <cfRule type="expression" priority="484" dxfId="17">
      <formula>AV64="X"</formula>
    </cfRule>
    <cfRule type="expression" priority="485" dxfId="16">
      <formula>AV64="후보"</formula>
    </cfRule>
  </conditionalFormatting>
  <conditionalFormatting sqref="AC64">
    <cfRule type="cellIs" priority="481" operator="greaterThan" dxfId="13">
      <formula>0.9</formula>
    </cfRule>
    <cfRule type="cellIs" priority="482" operator="greaterThan" dxfId="12">
      <formula>0.85</formula>
    </cfRule>
  </conditionalFormatting>
  <conditionalFormatting sqref="N64">
    <cfRule type="cellIs" priority="479" operator="greaterThan" dxfId="13">
      <formula>0.9</formula>
    </cfRule>
    <cfRule type="cellIs" priority="480" operator="greaterThan" dxfId="12">
      <formula>0.85</formula>
    </cfRule>
  </conditionalFormatting>
  <conditionalFormatting sqref="E64">
    <cfRule type="expression" priority="475" dxfId="3">
      <formula>AND(IF(OR($Q64=1,$Q64=2),1,0),IF($X64&lt;=20,1,0))</formula>
    </cfRule>
    <cfRule type="expression" priority="476" dxfId="2">
      <formula>AND(IF($Q64=2,1,0),IF($X64&lt;30,1,0))</formula>
    </cfRule>
    <cfRule type="expression" priority="477" dxfId="1">
      <formula>AND(IF($Q64=3,1,0),IF($X64&lt;30,1,0))</formula>
    </cfRule>
    <cfRule type="expression" priority="478" dxfId="0">
      <formula>AND(IF($Q64=3,1,IF($Q64=4,1,0)),IF($F64&lt;=85,1,0))</formula>
    </cfRule>
  </conditionalFormatting>
  <conditionalFormatting sqref="X64">
    <cfRule type="expression" priority="471" dxfId="3">
      <formula>AND(IF(OR($Q64=1,$Q64=2),1,0),IF($X64&lt;=20,1,0))</formula>
    </cfRule>
    <cfRule type="expression" priority="472" dxfId="2">
      <formula>AND(IF($Q64=2,1,0),IF($X64&lt;30,1,0))</formula>
    </cfRule>
    <cfRule type="expression" priority="473" dxfId="1">
      <formula>AND(IF($Q64=3,1,0),IF($X64&lt;30,1,0))</formula>
    </cfRule>
    <cfRule type="expression" priority="474" dxfId="0">
      <formula>AND(IF($Q64=3,1,IF($Q64=4,1,0)),IF($F64&lt;=85,1,0))</formula>
    </cfRule>
  </conditionalFormatting>
  <conditionalFormatting sqref="AI64">
    <cfRule type="expression" priority="467" dxfId="3">
      <formula>AND(IF(OR($Q64=1,$Q64=2),1,0),IF($X64&lt;=20,1,0))</formula>
    </cfRule>
    <cfRule type="expression" priority="468" dxfId="2">
      <formula>AND(IF($Q64=2,1,0),IF($X64&lt;30,1,0))</formula>
    </cfRule>
    <cfRule type="expression" priority="469" dxfId="1">
      <formula>AND(IF($Q64=3,1,0),IF($X64&lt;30,1,0))</formula>
    </cfRule>
    <cfRule type="expression" priority="470" dxfId="0">
      <formula>AND(IF($Q64=3,1,IF($Q64=4,1,0)),IF($F64&lt;=85,1,0))</formula>
    </cfRule>
  </conditionalFormatting>
  <conditionalFormatting sqref="AV65">
    <cfRule type="expression" priority="465" dxfId="17">
      <formula>AV65="X"</formula>
    </cfRule>
    <cfRule type="expression" priority="466" dxfId="16">
      <formula>AV65="후보"</formula>
    </cfRule>
  </conditionalFormatting>
  <conditionalFormatting sqref="AC65">
    <cfRule type="cellIs" priority="462" operator="greaterThan" dxfId="13">
      <formula>0.9</formula>
    </cfRule>
    <cfRule type="cellIs" priority="463" operator="greaterThan" dxfId="12">
      <formula>0.85</formula>
    </cfRule>
  </conditionalFormatting>
  <conditionalFormatting sqref="N65">
    <cfRule type="cellIs" priority="460" operator="greaterThan" dxfId="13">
      <formula>0.9</formula>
    </cfRule>
    <cfRule type="cellIs" priority="461" operator="greaterThan" dxfId="12">
      <formula>0.85</formula>
    </cfRule>
  </conditionalFormatting>
  <conditionalFormatting sqref="E65">
    <cfRule type="expression" priority="456" dxfId="3">
      <formula>AND(IF(OR($Q65=1,$Q65=2),1,0),IF($X65&lt;=20,1,0))</formula>
    </cfRule>
    <cfRule type="expression" priority="457" dxfId="2">
      <formula>AND(IF($Q65=2,1,0),IF($X65&lt;30,1,0))</formula>
    </cfRule>
    <cfRule type="expression" priority="458" dxfId="1">
      <formula>AND(IF($Q65=3,1,0),IF($X65&lt;30,1,0))</formula>
    </cfRule>
    <cfRule type="expression" priority="459" dxfId="0">
      <formula>AND(IF($Q65=3,1,IF($Q65=4,1,0)),IF($F65&lt;=85,1,0))</formula>
    </cfRule>
  </conditionalFormatting>
  <conditionalFormatting sqref="X65">
    <cfRule type="expression" priority="452" dxfId="3">
      <formula>AND(IF(OR($Q65=1,$Q65=2),1,0),IF($X65&lt;=20,1,0))</formula>
    </cfRule>
    <cfRule type="expression" priority="453" dxfId="2">
      <formula>AND(IF($Q65=2,1,0),IF($X65&lt;30,1,0))</formula>
    </cfRule>
    <cfRule type="expression" priority="454" dxfId="1">
      <formula>AND(IF($Q65=3,1,0),IF($X65&lt;30,1,0))</formula>
    </cfRule>
    <cfRule type="expression" priority="455" dxfId="0">
      <formula>AND(IF($Q65=3,1,IF($Q65=4,1,0)),IF($F65&lt;=85,1,0))</formula>
    </cfRule>
  </conditionalFormatting>
  <conditionalFormatting sqref="AI65">
    <cfRule type="expression" priority="448" dxfId="3">
      <formula>AND(IF(OR($Q65=1,$Q65=2),1,0),IF($X65&lt;=20,1,0))</formula>
    </cfRule>
    <cfRule type="expression" priority="449" dxfId="2">
      <formula>AND(IF($Q65=2,1,0),IF($X65&lt;30,1,0))</formula>
    </cfRule>
    <cfRule type="expression" priority="450" dxfId="1">
      <formula>AND(IF($Q65=3,1,0),IF($X65&lt;30,1,0))</formula>
    </cfRule>
    <cfRule type="expression" priority="451" dxfId="0">
      <formula>AND(IF($Q65=3,1,IF($Q65=4,1,0)),IF($F65&lt;=85,1,0))</formula>
    </cfRule>
  </conditionalFormatting>
  <conditionalFormatting sqref="AV66">
    <cfRule type="expression" priority="446" dxfId="17">
      <formula>AV66="X"</formula>
    </cfRule>
    <cfRule type="expression" priority="447" dxfId="16">
      <formula>AV66="후보"</formula>
    </cfRule>
  </conditionalFormatting>
  <conditionalFormatting sqref="AC66">
    <cfRule type="cellIs" priority="443" operator="greaterThan" dxfId="13">
      <formula>0.9</formula>
    </cfRule>
    <cfRule type="cellIs" priority="444" operator="greaterThan" dxfId="12">
      <formula>0.85</formula>
    </cfRule>
  </conditionalFormatting>
  <conditionalFormatting sqref="N66">
    <cfRule type="cellIs" priority="441" operator="greaterThan" dxfId="13">
      <formula>0.9</formula>
    </cfRule>
    <cfRule type="cellIs" priority="442" operator="greaterThan" dxfId="12">
      <formula>0.85</formula>
    </cfRule>
  </conditionalFormatting>
  <conditionalFormatting sqref="E66">
    <cfRule type="expression" priority="437" dxfId="3">
      <formula>AND(IF(OR($Q66=1,$Q66=2),1,0),IF($X66&lt;=20,1,0))</formula>
    </cfRule>
    <cfRule type="expression" priority="438" dxfId="2">
      <formula>AND(IF($Q66=2,1,0),IF($X66&lt;30,1,0))</formula>
    </cfRule>
    <cfRule type="expression" priority="439" dxfId="1">
      <formula>AND(IF($Q66=3,1,0),IF($X66&lt;30,1,0))</formula>
    </cfRule>
    <cfRule type="expression" priority="440" dxfId="0">
      <formula>AND(IF($Q66=3,1,IF($Q66=4,1,0)),IF($F66&lt;=85,1,0))</formula>
    </cfRule>
  </conditionalFormatting>
  <conditionalFormatting sqref="X66">
    <cfRule type="expression" priority="433" dxfId="3">
      <formula>AND(IF(OR($Q66=1,$Q66=2),1,0),IF($X66&lt;=20,1,0))</formula>
    </cfRule>
    <cfRule type="expression" priority="434" dxfId="2">
      <formula>AND(IF($Q66=2,1,0),IF($X66&lt;30,1,0))</formula>
    </cfRule>
    <cfRule type="expression" priority="435" dxfId="1">
      <formula>AND(IF($Q66=3,1,0),IF($X66&lt;30,1,0))</formula>
    </cfRule>
    <cfRule type="expression" priority="436" dxfId="0">
      <formula>AND(IF($Q66=3,1,IF($Q66=4,1,0)),IF($F66&lt;=85,1,0))</formula>
    </cfRule>
  </conditionalFormatting>
  <conditionalFormatting sqref="AI66">
    <cfRule type="expression" priority="429" dxfId="3">
      <formula>AND(IF(OR($Q66=1,$Q66=2),1,0),IF($X66&lt;=20,1,0))</formula>
    </cfRule>
    <cfRule type="expression" priority="430" dxfId="2">
      <formula>AND(IF($Q66=2,1,0),IF($X66&lt;30,1,0))</formula>
    </cfRule>
    <cfRule type="expression" priority="431" dxfId="1">
      <formula>AND(IF($Q66=3,1,0),IF($X66&lt;30,1,0))</formula>
    </cfRule>
    <cfRule type="expression" priority="432" dxfId="0">
      <formula>AND(IF($Q66=3,1,IF($Q66=4,1,0)),IF($F66&lt;=85,1,0))</formula>
    </cfRule>
  </conditionalFormatting>
  <conditionalFormatting sqref="AV67">
    <cfRule type="expression" priority="427" dxfId="17">
      <formula>AV67="X"</formula>
    </cfRule>
    <cfRule type="expression" priority="428" dxfId="16">
      <formula>AV67="후보"</formula>
    </cfRule>
  </conditionalFormatting>
  <conditionalFormatting sqref="AC67">
    <cfRule type="cellIs" priority="424" operator="greaterThan" dxfId="13">
      <formula>0.9</formula>
    </cfRule>
    <cfRule type="cellIs" priority="425" operator="greaterThan" dxfId="12">
      <formula>0.85</formula>
    </cfRule>
  </conditionalFormatting>
  <conditionalFormatting sqref="N67">
    <cfRule type="cellIs" priority="422" operator="greaterThan" dxfId="13">
      <formula>0.9</formula>
    </cfRule>
    <cfRule type="cellIs" priority="423" operator="greaterThan" dxfId="12">
      <formula>0.85</formula>
    </cfRule>
  </conditionalFormatting>
  <conditionalFormatting sqref="E67">
    <cfRule type="expression" priority="418" dxfId="3">
      <formula>AND(IF(OR($Q67=1,$Q67=2),1,0),IF($X67&lt;=20,1,0))</formula>
    </cfRule>
    <cfRule type="expression" priority="419" dxfId="2">
      <formula>AND(IF($Q67=2,1,0),IF($X67&lt;30,1,0))</formula>
    </cfRule>
    <cfRule type="expression" priority="420" dxfId="1">
      <formula>AND(IF($Q67=3,1,0),IF($X67&lt;30,1,0))</formula>
    </cfRule>
    <cfRule type="expression" priority="421" dxfId="0">
      <formula>AND(IF($Q67=3,1,IF($Q67=4,1,0)),IF($F67&lt;=85,1,0))</formula>
    </cfRule>
  </conditionalFormatting>
  <conditionalFormatting sqref="X67">
    <cfRule type="expression" priority="414" dxfId="3">
      <formula>AND(IF(OR($Q67=1,$Q67=2),1,0),IF($X67&lt;=20,1,0))</formula>
    </cfRule>
    <cfRule type="expression" priority="415" dxfId="2">
      <formula>AND(IF($Q67=2,1,0),IF($X67&lt;30,1,0))</formula>
    </cfRule>
    <cfRule type="expression" priority="416" dxfId="1">
      <formula>AND(IF($Q67=3,1,0),IF($X67&lt;30,1,0))</formula>
    </cfRule>
    <cfRule type="expression" priority="417" dxfId="0">
      <formula>AND(IF($Q67=3,1,IF($Q67=4,1,0)),IF($F67&lt;=85,1,0))</formula>
    </cfRule>
  </conditionalFormatting>
  <conditionalFormatting sqref="AI67">
    <cfRule type="expression" priority="410" dxfId="3">
      <formula>AND(IF(OR($Q67=1,$Q67=2),1,0),IF($X67&lt;=20,1,0))</formula>
    </cfRule>
    <cfRule type="expression" priority="411" dxfId="2">
      <formula>AND(IF($Q67=2,1,0),IF($X67&lt;30,1,0))</formula>
    </cfRule>
    <cfRule type="expression" priority="412" dxfId="1">
      <formula>AND(IF($Q67=3,1,0),IF($X67&lt;30,1,0))</formula>
    </cfRule>
    <cfRule type="expression" priority="413" dxfId="0">
      <formula>AND(IF($Q67=3,1,IF($Q67=4,1,0)),IF($F67&lt;=85,1,0))</formula>
    </cfRule>
  </conditionalFormatting>
  <conditionalFormatting sqref="AV68">
    <cfRule type="expression" priority="408" dxfId="17">
      <formula>AV68="X"</formula>
    </cfRule>
    <cfRule type="expression" priority="409" dxfId="16">
      <formula>AV68="후보"</formula>
    </cfRule>
  </conditionalFormatting>
  <conditionalFormatting sqref="AC68">
    <cfRule type="cellIs" priority="405" operator="greaterThan" dxfId="13">
      <formula>0.9</formula>
    </cfRule>
    <cfRule type="cellIs" priority="406" operator="greaterThan" dxfId="12">
      <formula>0.85</formula>
    </cfRule>
  </conditionalFormatting>
  <conditionalFormatting sqref="N68">
    <cfRule type="cellIs" priority="403" operator="greaterThan" dxfId="13">
      <formula>0.9</formula>
    </cfRule>
    <cfRule type="cellIs" priority="404" operator="greaterThan" dxfId="12">
      <formula>0.85</formula>
    </cfRule>
  </conditionalFormatting>
  <conditionalFormatting sqref="E68">
    <cfRule type="expression" priority="399" dxfId="3">
      <formula>AND(IF(OR($Q68=1,$Q68=2),1,0),IF($X68&lt;=20,1,0))</formula>
    </cfRule>
    <cfRule type="expression" priority="400" dxfId="2">
      <formula>AND(IF($Q68=2,1,0),IF($X68&lt;30,1,0))</formula>
    </cfRule>
    <cfRule type="expression" priority="401" dxfId="1">
      <formula>AND(IF($Q68=3,1,0),IF($X68&lt;30,1,0))</formula>
    </cfRule>
    <cfRule type="expression" priority="402" dxfId="0">
      <formula>AND(IF($Q68=3,1,IF($Q68=4,1,0)),IF($F68&lt;=85,1,0))</formula>
    </cfRule>
  </conditionalFormatting>
  <conditionalFormatting sqref="X68">
    <cfRule type="expression" priority="395" dxfId="3">
      <formula>AND(IF(OR($Q68=1,$Q68=2),1,0),IF($X68&lt;=20,1,0))</formula>
    </cfRule>
    <cfRule type="expression" priority="396" dxfId="2">
      <formula>AND(IF($Q68=2,1,0),IF($X68&lt;30,1,0))</formula>
    </cfRule>
    <cfRule type="expression" priority="397" dxfId="1">
      <formula>AND(IF($Q68=3,1,0),IF($X68&lt;30,1,0))</formula>
    </cfRule>
    <cfRule type="expression" priority="398" dxfId="0">
      <formula>AND(IF($Q68=3,1,IF($Q68=4,1,0)),IF($F68&lt;=85,1,0))</formula>
    </cfRule>
  </conditionalFormatting>
  <conditionalFormatting sqref="AI68">
    <cfRule type="expression" priority="391" dxfId="3">
      <formula>AND(IF(OR($Q68=1,$Q68=2),1,0),IF($X68&lt;=20,1,0))</formula>
    </cfRule>
    <cfRule type="expression" priority="392" dxfId="2">
      <formula>AND(IF($Q68=2,1,0),IF($X68&lt;30,1,0))</formula>
    </cfRule>
    <cfRule type="expression" priority="393" dxfId="1">
      <formula>AND(IF($Q68=3,1,0),IF($X68&lt;30,1,0))</formula>
    </cfRule>
    <cfRule type="expression" priority="394" dxfId="0">
      <formula>AND(IF($Q68=3,1,IF($Q68=4,1,0)),IF($F68&lt;=85,1,0))</formula>
    </cfRule>
  </conditionalFormatting>
  <conditionalFormatting sqref="AV69">
    <cfRule type="expression" priority="389" dxfId="17">
      <formula>AV69="X"</formula>
    </cfRule>
    <cfRule type="expression" priority="390" dxfId="16">
      <formula>AV69="후보"</formula>
    </cfRule>
  </conditionalFormatting>
  <conditionalFormatting sqref="AC69">
    <cfRule type="cellIs" priority="386" operator="greaterThan" dxfId="13">
      <formula>0.9</formula>
    </cfRule>
    <cfRule type="cellIs" priority="387" operator="greaterThan" dxfId="12">
      <formula>0.85</formula>
    </cfRule>
  </conditionalFormatting>
  <conditionalFormatting sqref="N69">
    <cfRule type="cellIs" priority="384" operator="greaterThan" dxfId="13">
      <formula>0.9</formula>
    </cfRule>
    <cfRule type="cellIs" priority="385" operator="greaterThan" dxfId="12">
      <formula>0.85</formula>
    </cfRule>
  </conditionalFormatting>
  <conditionalFormatting sqref="E69">
    <cfRule type="expression" priority="380" dxfId="3">
      <formula>AND(IF(OR($Q69=1,$Q69=2),1,0),IF($X69&lt;=20,1,0))</formula>
    </cfRule>
    <cfRule type="expression" priority="381" dxfId="2">
      <formula>AND(IF($Q69=2,1,0),IF($X69&lt;30,1,0))</formula>
    </cfRule>
    <cfRule type="expression" priority="382" dxfId="1">
      <formula>AND(IF($Q69=3,1,0),IF($X69&lt;30,1,0))</formula>
    </cfRule>
    <cfRule type="expression" priority="383" dxfId="0">
      <formula>AND(IF($Q69=3,1,IF($Q69=4,1,0)),IF($F69&lt;=85,1,0))</formula>
    </cfRule>
  </conditionalFormatting>
  <conditionalFormatting sqref="X69">
    <cfRule type="expression" priority="376" dxfId="3">
      <formula>AND(IF(OR($Q69=1,$Q69=2),1,0),IF($X69&lt;=20,1,0))</formula>
    </cfRule>
    <cfRule type="expression" priority="377" dxfId="2">
      <formula>AND(IF($Q69=2,1,0),IF($X69&lt;30,1,0))</formula>
    </cfRule>
    <cfRule type="expression" priority="378" dxfId="1">
      <formula>AND(IF($Q69=3,1,0),IF($X69&lt;30,1,0))</formula>
    </cfRule>
    <cfRule type="expression" priority="379" dxfId="0">
      <formula>AND(IF($Q69=3,1,IF($Q69=4,1,0)),IF($F69&lt;=85,1,0))</formula>
    </cfRule>
  </conditionalFormatting>
  <conditionalFormatting sqref="AI69">
    <cfRule type="expression" priority="372" dxfId="3">
      <formula>AND(IF(OR($Q69=1,$Q69=2),1,0),IF($X69&lt;=20,1,0))</formula>
    </cfRule>
    <cfRule type="expression" priority="373" dxfId="2">
      <formula>AND(IF($Q69=2,1,0),IF($X69&lt;30,1,0))</formula>
    </cfRule>
    <cfRule type="expression" priority="374" dxfId="1">
      <formula>AND(IF($Q69=3,1,0),IF($X69&lt;30,1,0))</formula>
    </cfRule>
    <cfRule type="expression" priority="375" dxfId="0">
      <formula>AND(IF($Q69=3,1,IF($Q69=4,1,0)),IF($F69&lt;=85,1,0))</formula>
    </cfRule>
  </conditionalFormatting>
  <conditionalFormatting sqref="AV70">
    <cfRule type="expression" priority="370" dxfId="17">
      <formula>AV70="X"</formula>
    </cfRule>
    <cfRule type="expression" priority="371" dxfId="16">
      <formula>AV70="후보"</formula>
    </cfRule>
  </conditionalFormatting>
  <conditionalFormatting sqref="AC70">
    <cfRule type="cellIs" priority="367" operator="greaterThan" dxfId="13">
      <formula>0.9</formula>
    </cfRule>
    <cfRule type="cellIs" priority="368" operator="greaterThan" dxfId="12">
      <formula>0.85</formula>
    </cfRule>
  </conditionalFormatting>
  <conditionalFormatting sqref="N70">
    <cfRule type="cellIs" priority="365" operator="greaterThan" dxfId="13">
      <formula>0.9</formula>
    </cfRule>
    <cfRule type="cellIs" priority="366" operator="greaterThan" dxfId="12">
      <formula>0.85</formula>
    </cfRule>
  </conditionalFormatting>
  <conditionalFormatting sqref="E70">
    <cfRule type="expression" priority="361" dxfId="3">
      <formula>AND(IF(OR($Q70=1,$Q70=2),1,0),IF($X70&lt;=20,1,0))</formula>
    </cfRule>
    <cfRule type="expression" priority="362" dxfId="2">
      <formula>AND(IF($Q70=2,1,0),IF($X70&lt;30,1,0))</formula>
    </cfRule>
    <cfRule type="expression" priority="363" dxfId="1">
      <formula>AND(IF($Q70=3,1,0),IF($X70&lt;30,1,0))</formula>
    </cfRule>
    <cfRule type="expression" priority="364" dxfId="0">
      <formula>AND(IF($Q70=3,1,IF($Q70=4,1,0)),IF($F70&lt;=85,1,0))</formula>
    </cfRule>
  </conditionalFormatting>
  <conditionalFormatting sqref="X70">
    <cfRule type="expression" priority="357" dxfId="3">
      <formula>AND(IF(OR($Q70=1,$Q70=2),1,0),IF($X70&lt;=20,1,0))</formula>
    </cfRule>
    <cfRule type="expression" priority="358" dxfId="2">
      <formula>AND(IF($Q70=2,1,0),IF($X70&lt;30,1,0))</formula>
    </cfRule>
    <cfRule type="expression" priority="359" dxfId="1">
      <formula>AND(IF($Q70=3,1,0),IF($X70&lt;30,1,0))</formula>
    </cfRule>
    <cfRule type="expression" priority="360" dxfId="0">
      <formula>AND(IF($Q70=3,1,IF($Q70=4,1,0)),IF($F70&lt;=85,1,0))</formula>
    </cfRule>
  </conditionalFormatting>
  <conditionalFormatting sqref="AI70">
    <cfRule type="expression" priority="353" dxfId="3">
      <formula>AND(IF(OR($Q70=1,$Q70=2),1,0),IF($X70&lt;=20,1,0))</formula>
    </cfRule>
    <cfRule type="expression" priority="354" dxfId="2">
      <formula>AND(IF($Q70=2,1,0),IF($X70&lt;30,1,0))</formula>
    </cfRule>
    <cfRule type="expression" priority="355" dxfId="1">
      <formula>AND(IF($Q70=3,1,0),IF($X70&lt;30,1,0))</formula>
    </cfRule>
    <cfRule type="expression" priority="356" dxfId="0">
      <formula>AND(IF($Q70=3,1,IF($Q70=4,1,0)),IF($F70&lt;=85,1,0))</formula>
    </cfRule>
  </conditionalFormatting>
  <conditionalFormatting sqref="AV71">
    <cfRule type="expression" priority="351" dxfId="17">
      <formula>AV71="X"</formula>
    </cfRule>
    <cfRule type="expression" priority="352" dxfId="16">
      <formula>AV71="후보"</formula>
    </cfRule>
  </conditionalFormatting>
  <conditionalFormatting sqref="AC71">
    <cfRule type="cellIs" priority="348" operator="greaterThan" dxfId="13">
      <formula>0.9</formula>
    </cfRule>
    <cfRule type="cellIs" priority="349" operator="greaterThan" dxfId="12">
      <formula>0.85</formula>
    </cfRule>
  </conditionalFormatting>
  <conditionalFormatting sqref="N71">
    <cfRule type="cellIs" priority="346" operator="greaterThan" dxfId="13">
      <formula>0.9</formula>
    </cfRule>
    <cfRule type="cellIs" priority="347" operator="greaterThan" dxfId="12">
      <formula>0.85</formula>
    </cfRule>
  </conditionalFormatting>
  <conditionalFormatting sqref="E71">
    <cfRule type="expression" priority="342" dxfId="3">
      <formula>AND(IF(OR($Q71=1,$Q71=2),1,0),IF($X71&lt;=20,1,0))</formula>
    </cfRule>
    <cfRule type="expression" priority="343" dxfId="2">
      <formula>AND(IF($Q71=2,1,0),IF($X71&lt;30,1,0))</formula>
    </cfRule>
    <cfRule type="expression" priority="344" dxfId="1">
      <formula>AND(IF($Q71=3,1,0),IF($X71&lt;30,1,0))</formula>
    </cfRule>
    <cfRule type="expression" priority="345" dxfId="0">
      <formula>AND(IF($Q71=3,1,IF($Q71=4,1,0)),IF($F71&lt;=85,1,0))</formula>
    </cfRule>
  </conditionalFormatting>
  <conditionalFormatting sqref="X71">
    <cfRule type="expression" priority="338" dxfId="3">
      <formula>AND(IF(OR($Q71=1,$Q71=2),1,0),IF($X71&lt;=20,1,0))</formula>
    </cfRule>
    <cfRule type="expression" priority="339" dxfId="2">
      <formula>AND(IF($Q71=2,1,0),IF($X71&lt;30,1,0))</formula>
    </cfRule>
    <cfRule type="expression" priority="340" dxfId="1">
      <formula>AND(IF($Q71=3,1,0),IF($X71&lt;30,1,0))</formula>
    </cfRule>
    <cfRule type="expression" priority="341" dxfId="0">
      <formula>AND(IF($Q71=3,1,IF($Q71=4,1,0)),IF($F71&lt;=85,1,0))</formula>
    </cfRule>
  </conditionalFormatting>
  <conditionalFormatting sqref="AI71">
    <cfRule type="expression" priority="334" dxfId="3">
      <formula>AND(IF(OR($Q71=1,$Q71=2),1,0),IF($X71&lt;=20,1,0))</formula>
    </cfRule>
    <cfRule type="expression" priority="335" dxfId="2">
      <formula>AND(IF($Q71=2,1,0),IF($X71&lt;30,1,0))</formula>
    </cfRule>
    <cfRule type="expression" priority="336" dxfId="1">
      <formula>AND(IF($Q71=3,1,0),IF($X71&lt;30,1,0))</formula>
    </cfRule>
    <cfRule type="expression" priority="337" dxfId="0">
      <formula>AND(IF($Q71=3,1,IF($Q71=4,1,0)),IF($F71&lt;=85,1,0))</formula>
    </cfRule>
  </conditionalFormatting>
  <conditionalFormatting sqref="AV72">
    <cfRule type="expression" priority="332" dxfId="17">
      <formula>AV72="X"</formula>
    </cfRule>
    <cfRule type="expression" priority="333" dxfId="16">
      <formula>AV72="후보"</formula>
    </cfRule>
  </conditionalFormatting>
  <conditionalFormatting sqref="AC72">
    <cfRule type="cellIs" priority="329" operator="greaterThan" dxfId="13">
      <formula>0.9</formula>
    </cfRule>
    <cfRule type="cellIs" priority="330" operator="greaterThan" dxfId="12">
      <formula>0.85</formula>
    </cfRule>
  </conditionalFormatting>
  <conditionalFormatting sqref="N72">
    <cfRule type="cellIs" priority="327" operator="greaterThan" dxfId="13">
      <formula>0.9</formula>
    </cfRule>
    <cfRule type="cellIs" priority="328" operator="greaterThan" dxfId="12">
      <formula>0.85</formula>
    </cfRule>
  </conditionalFormatting>
  <conditionalFormatting sqref="E72">
    <cfRule type="expression" priority="323" dxfId="3">
      <formula>AND(IF(OR($Q72=1,$Q72=2),1,0),IF($X72&lt;=20,1,0))</formula>
    </cfRule>
    <cfRule type="expression" priority="324" dxfId="2">
      <formula>AND(IF($Q72=2,1,0),IF($X72&lt;30,1,0))</formula>
    </cfRule>
    <cfRule type="expression" priority="325" dxfId="1">
      <formula>AND(IF($Q72=3,1,0),IF($X72&lt;30,1,0))</formula>
    </cfRule>
    <cfRule type="expression" priority="326" dxfId="0">
      <formula>AND(IF($Q72=3,1,IF($Q72=4,1,0)),IF($F72&lt;=85,1,0))</formula>
    </cfRule>
  </conditionalFormatting>
  <conditionalFormatting sqref="X72">
    <cfRule type="expression" priority="319" dxfId="3">
      <formula>AND(IF(OR($Q72=1,$Q72=2),1,0),IF($X72&lt;=20,1,0))</formula>
    </cfRule>
    <cfRule type="expression" priority="320" dxfId="2">
      <formula>AND(IF($Q72=2,1,0),IF($X72&lt;30,1,0))</formula>
    </cfRule>
    <cfRule type="expression" priority="321" dxfId="1">
      <formula>AND(IF($Q72=3,1,0),IF($X72&lt;30,1,0))</formula>
    </cfRule>
    <cfRule type="expression" priority="322" dxfId="0">
      <formula>AND(IF($Q72=3,1,IF($Q72=4,1,0)),IF($F72&lt;=85,1,0))</formula>
    </cfRule>
  </conditionalFormatting>
  <conditionalFormatting sqref="AI72">
    <cfRule type="expression" priority="315" dxfId="3">
      <formula>AND(IF(OR($Q72=1,$Q72=2),1,0),IF($X72&lt;=20,1,0))</formula>
    </cfRule>
    <cfRule type="expression" priority="316" dxfId="2">
      <formula>AND(IF($Q72=2,1,0),IF($X72&lt;30,1,0))</formula>
    </cfRule>
    <cfRule type="expression" priority="317" dxfId="1">
      <formula>AND(IF($Q72=3,1,0),IF($X72&lt;30,1,0))</formula>
    </cfRule>
    <cfRule type="expression" priority="318" dxfId="0">
      <formula>AND(IF($Q72=3,1,IF($Q72=4,1,0)),IF($F72&lt;=85,1,0))</formula>
    </cfRule>
  </conditionalFormatting>
  <conditionalFormatting sqref="AV73">
    <cfRule type="expression" priority="313" dxfId="17">
      <formula>AV73="X"</formula>
    </cfRule>
    <cfRule type="expression" priority="314" dxfId="16">
      <formula>AV73="후보"</formula>
    </cfRule>
  </conditionalFormatting>
  <conditionalFormatting sqref="AC73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73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73">
    <cfRule type="expression" priority="304" dxfId="3">
      <formula>AND(IF(OR($Q73=1,$Q73=2),1,0),IF($X73&lt;=20,1,0))</formula>
    </cfRule>
    <cfRule type="expression" priority="305" dxfId="2">
      <formula>AND(IF($Q73=2,1,0),IF($X73&lt;30,1,0))</formula>
    </cfRule>
    <cfRule type="expression" priority="306" dxfId="1">
      <formula>AND(IF($Q73=3,1,0),IF($X73&lt;30,1,0))</formula>
    </cfRule>
    <cfRule type="expression" priority="307" dxfId="0">
      <formula>AND(IF($Q73=3,1,IF($Q73=4,1,0)),IF($F73&lt;=85,1,0))</formula>
    </cfRule>
  </conditionalFormatting>
  <conditionalFormatting sqref="X73">
    <cfRule type="expression" priority="300" dxfId="3">
      <formula>AND(IF(OR($Q73=1,$Q73=2),1,0),IF($X73&lt;=20,1,0))</formula>
    </cfRule>
    <cfRule type="expression" priority="301" dxfId="2">
      <formula>AND(IF($Q73=2,1,0),IF($X73&lt;30,1,0))</formula>
    </cfRule>
    <cfRule type="expression" priority="302" dxfId="1">
      <formula>AND(IF($Q73=3,1,0),IF($X73&lt;30,1,0))</formula>
    </cfRule>
    <cfRule type="expression" priority="303" dxfId="0">
      <formula>AND(IF($Q73=3,1,IF($Q73=4,1,0)),IF($F73&lt;=85,1,0))</formula>
    </cfRule>
  </conditionalFormatting>
  <conditionalFormatting sqref="AI73">
    <cfRule type="expression" priority="296" dxfId="3">
      <formula>AND(IF(OR($Q73=1,$Q73=2),1,0),IF($X73&lt;=20,1,0))</formula>
    </cfRule>
    <cfRule type="expression" priority="297" dxfId="2">
      <formula>AND(IF($Q73=2,1,0),IF($X73&lt;30,1,0))</formula>
    </cfRule>
    <cfRule type="expression" priority="298" dxfId="1">
      <formula>AND(IF($Q73=3,1,0),IF($X73&lt;30,1,0))</formula>
    </cfRule>
    <cfRule type="expression" priority="299" dxfId="0">
      <formula>AND(IF($Q73=3,1,IF($Q73=4,1,0)),IF($F73&lt;=85,1,0))</formula>
    </cfRule>
  </conditionalFormatting>
  <conditionalFormatting sqref="AV74">
    <cfRule type="expression" priority="294" dxfId="17">
      <formula>AV74="X"</formula>
    </cfRule>
    <cfRule type="expression" priority="295" dxfId="16">
      <formula>AV74="후보"</formula>
    </cfRule>
  </conditionalFormatting>
  <conditionalFormatting sqref="AC74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74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74">
    <cfRule type="expression" priority="285" dxfId="3">
      <formula>AND(IF(OR($Q74=1,$Q74=2),1,0),IF($X74&lt;=20,1,0))</formula>
    </cfRule>
    <cfRule type="expression" priority="286" dxfId="2">
      <formula>AND(IF($Q74=2,1,0),IF($X74&lt;30,1,0))</formula>
    </cfRule>
    <cfRule type="expression" priority="287" dxfId="1">
      <formula>AND(IF($Q74=3,1,0),IF($X74&lt;30,1,0))</formula>
    </cfRule>
    <cfRule type="expression" priority="288" dxfId="0">
      <formula>AND(IF($Q74=3,1,IF($Q74=4,1,0)),IF($F74&lt;=85,1,0))</formula>
    </cfRule>
  </conditionalFormatting>
  <conditionalFormatting sqref="X74">
    <cfRule type="expression" priority="281" dxfId="3">
      <formula>AND(IF(OR($Q74=1,$Q74=2),1,0),IF($X74&lt;=20,1,0))</formula>
    </cfRule>
    <cfRule type="expression" priority="282" dxfId="2">
      <formula>AND(IF($Q74=2,1,0),IF($X74&lt;30,1,0))</formula>
    </cfRule>
    <cfRule type="expression" priority="283" dxfId="1">
      <formula>AND(IF($Q74=3,1,0),IF($X74&lt;30,1,0))</formula>
    </cfRule>
    <cfRule type="expression" priority="284" dxfId="0">
      <formula>AND(IF($Q74=3,1,IF($Q74=4,1,0)),IF($F74&lt;=85,1,0))</formula>
    </cfRule>
  </conditionalFormatting>
  <conditionalFormatting sqref="AI74">
    <cfRule type="expression" priority="277" dxfId="3">
      <formula>AND(IF(OR($Q74=1,$Q74=2),1,0),IF($X74&lt;=20,1,0))</formula>
    </cfRule>
    <cfRule type="expression" priority="278" dxfId="2">
      <formula>AND(IF($Q74=2,1,0),IF($X74&lt;30,1,0))</formula>
    </cfRule>
    <cfRule type="expression" priority="279" dxfId="1">
      <formula>AND(IF($Q74=3,1,0),IF($X74&lt;30,1,0))</formula>
    </cfRule>
    <cfRule type="expression" priority="280" dxfId="0">
      <formula>AND(IF($Q74=3,1,IF($Q74=4,1,0)),IF($F74&lt;=85,1,0))</formula>
    </cfRule>
  </conditionalFormatting>
  <conditionalFormatting sqref="AV75">
    <cfRule type="expression" priority="275" dxfId="17">
      <formula>AV75="X"</formula>
    </cfRule>
    <cfRule type="expression" priority="276" dxfId="16">
      <formula>AV75="후보"</formula>
    </cfRule>
  </conditionalFormatting>
  <conditionalFormatting sqref="AC75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75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75">
    <cfRule type="expression" priority="266" dxfId="3">
      <formula>AND(IF(OR($Q75=1,$Q75=2),1,0),IF($X75&lt;=20,1,0))</formula>
    </cfRule>
    <cfRule type="expression" priority="267" dxfId="2">
      <formula>AND(IF($Q75=2,1,0),IF($X75&lt;30,1,0))</formula>
    </cfRule>
    <cfRule type="expression" priority="268" dxfId="1">
      <formula>AND(IF($Q75=3,1,0),IF($X75&lt;30,1,0))</formula>
    </cfRule>
    <cfRule type="expression" priority="269" dxfId="0">
      <formula>AND(IF($Q75=3,1,IF($Q75=4,1,0)),IF($F75&lt;=85,1,0))</formula>
    </cfRule>
  </conditionalFormatting>
  <conditionalFormatting sqref="X75">
    <cfRule type="expression" priority="262" dxfId="3">
      <formula>AND(IF(OR($Q75=1,$Q75=2),1,0),IF($X75&lt;=20,1,0))</formula>
    </cfRule>
    <cfRule type="expression" priority="263" dxfId="2">
      <formula>AND(IF($Q75=2,1,0),IF($X75&lt;30,1,0))</formula>
    </cfRule>
    <cfRule type="expression" priority="264" dxfId="1">
      <formula>AND(IF($Q75=3,1,0),IF($X75&lt;30,1,0))</formula>
    </cfRule>
    <cfRule type="expression" priority="265" dxfId="0">
      <formula>AND(IF($Q75=3,1,IF($Q75=4,1,0)),IF($F75&lt;=85,1,0))</formula>
    </cfRule>
  </conditionalFormatting>
  <conditionalFormatting sqref="AI75">
    <cfRule type="expression" priority="258" dxfId="3">
      <formula>AND(IF(OR($Q75=1,$Q75=2),1,0),IF($X75&lt;=20,1,0))</formula>
    </cfRule>
    <cfRule type="expression" priority="259" dxfId="2">
      <formula>AND(IF($Q75=2,1,0),IF($X75&lt;30,1,0))</formula>
    </cfRule>
    <cfRule type="expression" priority="260" dxfId="1">
      <formula>AND(IF($Q75=3,1,0),IF($X75&lt;30,1,0))</formula>
    </cfRule>
    <cfRule type="expression" priority="261" dxfId="0">
      <formula>AND(IF($Q75=3,1,IF($Q75=4,1,0)),IF($F75&lt;=85,1,0))</formula>
    </cfRule>
  </conditionalFormatting>
  <conditionalFormatting sqref="AV76">
    <cfRule type="expression" priority="256" dxfId="17">
      <formula>AV76="X"</formula>
    </cfRule>
    <cfRule type="expression" priority="257" dxfId="16">
      <formula>AV76="후보"</formula>
    </cfRule>
  </conditionalFormatting>
  <conditionalFormatting sqref="AC76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76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76">
    <cfRule type="expression" priority="247" dxfId="3">
      <formula>AND(IF(OR($Q76=1,$Q76=2),1,0),IF($X76&lt;=20,1,0))</formula>
    </cfRule>
    <cfRule type="expression" priority="248" dxfId="2">
      <formula>AND(IF($Q76=2,1,0),IF($X76&lt;30,1,0))</formula>
    </cfRule>
    <cfRule type="expression" priority="249" dxfId="1">
      <formula>AND(IF($Q76=3,1,0),IF($X76&lt;30,1,0))</formula>
    </cfRule>
    <cfRule type="expression" priority="250" dxfId="0">
      <formula>AND(IF($Q76=3,1,IF($Q76=4,1,0)),IF($F76&lt;=85,1,0))</formula>
    </cfRule>
  </conditionalFormatting>
  <conditionalFormatting sqref="X76">
    <cfRule type="expression" priority="243" dxfId="3">
      <formula>AND(IF(OR($Q76=1,$Q76=2),1,0),IF($X76&lt;=20,1,0))</formula>
    </cfRule>
    <cfRule type="expression" priority="244" dxfId="2">
      <formula>AND(IF($Q76=2,1,0),IF($X76&lt;30,1,0))</formula>
    </cfRule>
    <cfRule type="expression" priority="245" dxfId="1">
      <formula>AND(IF($Q76=3,1,0),IF($X76&lt;30,1,0))</formula>
    </cfRule>
    <cfRule type="expression" priority="246" dxfId="0">
      <formula>AND(IF($Q76=3,1,IF($Q76=4,1,0)),IF($F76&lt;=85,1,0))</formula>
    </cfRule>
  </conditionalFormatting>
  <conditionalFormatting sqref="AI76">
    <cfRule type="expression" priority="239" dxfId="3">
      <formula>AND(IF(OR($Q76=1,$Q76=2),1,0),IF($X76&lt;=20,1,0))</formula>
    </cfRule>
    <cfRule type="expression" priority="240" dxfId="2">
      <formula>AND(IF($Q76=2,1,0),IF($X76&lt;30,1,0))</formula>
    </cfRule>
    <cfRule type="expression" priority="241" dxfId="1">
      <formula>AND(IF($Q76=3,1,0),IF($X76&lt;30,1,0))</formula>
    </cfRule>
    <cfRule type="expression" priority="242" dxfId="0">
      <formula>AND(IF($Q76=3,1,IF($Q76=4,1,0)),IF($F76&lt;=85,1,0))</formula>
    </cfRule>
  </conditionalFormatting>
  <conditionalFormatting sqref="AV77">
    <cfRule type="expression" priority="237" dxfId="17">
      <formula>AV77="X"</formula>
    </cfRule>
    <cfRule type="expression" priority="238" dxfId="16">
      <formula>AV77="후보"</formula>
    </cfRule>
  </conditionalFormatting>
  <conditionalFormatting sqref="AC77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77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77">
    <cfRule type="expression" priority="228" dxfId="3">
      <formula>AND(IF(OR($Q77=1,$Q77=2),1,0),IF($X77&lt;=20,1,0))</formula>
    </cfRule>
    <cfRule type="expression" priority="229" dxfId="2">
      <formula>AND(IF($Q77=2,1,0),IF($X77&lt;30,1,0))</formula>
    </cfRule>
    <cfRule type="expression" priority="230" dxfId="1">
      <formula>AND(IF($Q77=3,1,0),IF($X77&lt;30,1,0))</formula>
    </cfRule>
    <cfRule type="expression" priority="231" dxfId="0">
      <formula>AND(IF($Q77=3,1,IF($Q77=4,1,0)),IF($F77&lt;=85,1,0))</formula>
    </cfRule>
  </conditionalFormatting>
  <conditionalFormatting sqref="X77">
    <cfRule type="expression" priority="224" dxfId="3">
      <formula>AND(IF(OR($Q77=1,$Q77=2),1,0),IF($X77&lt;=20,1,0))</formula>
    </cfRule>
    <cfRule type="expression" priority="225" dxfId="2">
      <formula>AND(IF($Q77=2,1,0),IF($X77&lt;30,1,0))</formula>
    </cfRule>
    <cfRule type="expression" priority="226" dxfId="1">
      <formula>AND(IF($Q77=3,1,0),IF($X77&lt;30,1,0))</formula>
    </cfRule>
    <cfRule type="expression" priority="227" dxfId="0">
      <formula>AND(IF($Q77=3,1,IF($Q77=4,1,0)),IF($F77&lt;=85,1,0))</formula>
    </cfRule>
  </conditionalFormatting>
  <conditionalFormatting sqref="AI77">
    <cfRule type="expression" priority="220" dxfId="3">
      <formula>AND(IF(OR($Q77=1,$Q77=2),1,0),IF($X77&lt;=20,1,0))</formula>
    </cfRule>
    <cfRule type="expression" priority="221" dxfId="2">
      <formula>AND(IF($Q77=2,1,0),IF($X77&lt;30,1,0))</formula>
    </cfRule>
    <cfRule type="expression" priority="222" dxfId="1">
      <formula>AND(IF($Q77=3,1,0),IF($X77&lt;30,1,0))</formula>
    </cfRule>
    <cfRule type="expression" priority="223" dxfId="0">
      <formula>AND(IF($Q77=3,1,IF($Q77=4,1,0)),IF($F77&lt;=85,1,0))</formula>
    </cfRule>
  </conditionalFormatting>
  <conditionalFormatting sqref="AV78">
    <cfRule type="expression" priority="218" dxfId="17">
      <formula>AV78="X"</formula>
    </cfRule>
    <cfRule type="expression" priority="219" dxfId="16">
      <formula>AV78="후보"</formula>
    </cfRule>
  </conditionalFormatting>
  <conditionalFormatting sqref="AC78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78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78">
    <cfRule type="expression" priority="209" dxfId="3">
      <formula>AND(IF(OR($Q78=1,$Q78=2),1,0),IF($X78&lt;=20,1,0))</formula>
    </cfRule>
    <cfRule type="expression" priority="210" dxfId="2">
      <formula>AND(IF($Q78=2,1,0),IF($X78&lt;30,1,0))</formula>
    </cfRule>
    <cfRule type="expression" priority="211" dxfId="1">
      <formula>AND(IF($Q78=3,1,0),IF($X78&lt;30,1,0))</formula>
    </cfRule>
    <cfRule type="expression" priority="212" dxfId="0">
      <formula>AND(IF($Q78=3,1,IF($Q78=4,1,0)),IF($F78&lt;=85,1,0))</formula>
    </cfRule>
  </conditionalFormatting>
  <conditionalFormatting sqref="X78">
    <cfRule type="expression" priority="205" dxfId="3">
      <formula>AND(IF(OR($Q78=1,$Q78=2),1,0),IF($X78&lt;=20,1,0))</formula>
    </cfRule>
    <cfRule type="expression" priority="206" dxfId="2">
      <formula>AND(IF($Q78=2,1,0),IF($X78&lt;30,1,0))</formula>
    </cfRule>
    <cfRule type="expression" priority="207" dxfId="1">
      <formula>AND(IF($Q78=3,1,0),IF($X78&lt;30,1,0))</formula>
    </cfRule>
    <cfRule type="expression" priority="208" dxfId="0">
      <formula>AND(IF($Q78=3,1,IF($Q78=4,1,0)),IF($F78&lt;=85,1,0))</formula>
    </cfRule>
  </conditionalFormatting>
  <conditionalFormatting sqref="AI78">
    <cfRule type="expression" priority="201" dxfId="3">
      <formula>AND(IF(OR($Q78=1,$Q78=2),1,0),IF($X78&lt;=20,1,0))</formula>
    </cfRule>
    <cfRule type="expression" priority="202" dxfId="2">
      <formula>AND(IF($Q78=2,1,0),IF($X78&lt;30,1,0))</formula>
    </cfRule>
    <cfRule type="expression" priority="203" dxfId="1">
      <formula>AND(IF($Q78=3,1,0),IF($X78&lt;30,1,0))</formula>
    </cfRule>
    <cfRule type="expression" priority="204" dxfId="0">
      <formula>AND(IF($Q78=3,1,IF($Q78=4,1,0)),IF($F78&lt;=85,1,0))</formula>
    </cfRule>
  </conditionalFormatting>
  <conditionalFormatting sqref="AV79">
    <cfRule type="expression" priority="199" dxfId="17">
      <formula>AV79="X"</formula>
    </cfRule>
    <cfRule type="expression" priority="200" dxfId="16">
      <formula>AV79="후보"</formula>
    </cfRule>
  </conditionalFormatting>
  <conditionalFormatting sqref="AC79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79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79">
    <cfRule type="expression" priority="190" dxfId="3">
      <formula>AND(IF(OR($Q79=1,$Q79=2),1,0),IF($X79&lt;=20,1,0))</formula>
    </cfRule>
    <cfRule type="expression" priority="191" dxfId="2">
      <formula>AND(IF($Q79=2,1,0),IF($X79&lt;30,1,0))</formula>
    </cfRule>
    <cfRule type="expression" priority="192" dxfId="1">
      <formula>AND(IF($Q79=3,1,0),IF($X79&lt;30,1,0))</formula>
    </cfRule>
    <cfRule type="expression" priority="193" dxfId="0">
      <formula>AND(IF($Q79=3,1,IF($Q79=4,1,0)),IF($F79&lt;=85,1,0))</formula>
    </cfRule>
  </conditionalFormatting>
  <conditionalFormatting sqref="X79">
    <cfRule type="expression" priority="186" dxfId="3">
      <formula>AND(IF(OR($Q79=1,$Q79=2),1,0),IF($X79&lt;=20,1,0))</formula>
    </cfRule>
    <cfRule type="expression" priority="187" dxfId="2">
      <formula>AND(IF($Q79=2,1,0),IF($X79&lt;30,1,0))</formula>
    </cfRule>
    <cfRule type="expression" priority="188" dxfId="1">
      <formula>AND(IF($Q79=3,1,0),IF($X79&lt;30,1,0))</formula>
    </cfRule>
    <cfRule type="expression" priority="189" dxfId="0">
      <formula>AND(IF($Q79=3,1,IF($Q79=4,1,0)),IF($F79&lt;=85,1,0))</formula>
    </cfRule>
  </conditionalFormatting>
  <conditionalFormatting sqref="AI79">
    <cfRule type="expression" priority="182" dxfId="3">
      <formula>AND(IF(OR($Q79=1,$Q79=2),1,0),IF($X79&lt;=20,1,0))</formula>
    </cfRule>
    <cfRule type="expression" priority="183" dxfId="2">
      <formula>AND(IF($Q79=2,1,0),IF($X79&lt;30,1,0))</formula>
    </cfRule>
    <cfRule type="expression" priority="184" dxfId="1">
      <formula>AND(IF($Q79=3,1,0),IF($X79&lt;30,1,0))</formula>
    </cfRule>
    <cfRule type="expression" priority="185" dxfId="0">
      <formula>AND(IF($Q79=3,1,IF($Q79=4,1,0)),IF($F79&lt;=85,1,0))</formula>
    </cfRule>
  </conditionalFormatting>
  <conditionalFormatting sqref="AV80">
    <cfRule type="expression" priority="180" dxfId="17">
      <formula>AV80="X"</formula>
    </cfRule>
    <cfRule type="expression" priority="181" dxfId="16">
      <formula>AV80="후보"</formula>
    </cfRule>
  </conditionalFormatting>
  <conditionalFormatting sqref="AC80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80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80">
    <cfRule type="expression" priority="171" dxfId="3">
      <formula>AND(IF(OR($Q80=1,$Q80=2),1,0),IF($X80&lt;=20,1,0))</formula>
    </cfRule>
    <cfRule type="expression" priority="172" dxfId="2">
      <formula>AND(IF($Q80=2,1,0),IF($X80&lt;30,1,0))</formula>
    </cfRule>
    <cfRule type="expression" priority="173" dxfId="1">
      <formula>AND(IF($Q80=3,1,0),IF($X80&lt;30,1,0))</formula>
    </cfRule>
    <cfRule type="expression" priority="174" dxfId="0">
      <formula>AND(IF($Q80=3,1,IF($Q80=4,1,0)),IF($F80&lt;=85,1,0))</formula>
    </cfRule>
  </conditionalFormatting>
  <conditionalFormatting sqref="X80">
    <cfRule type="expression" priority="167" dxfId="3">
      <formula>AND(IF(OR($Q80=1,$Q80=2),1,0),IF($X80&lt;=20,1,0))</formula>
    </cfRule>
    <cfRule type="expression" priority="168" dxfId="2">
      <formula>AND(IF($Q80=2,1,0),IF($X80&lt;30,1,0))</formula>
    </cfRule>
    <cfRule type="expression" priority="169" dxfId="1">
      <formula>AND(IF($Q80=3,1,0),IF($X80&lt;30,1,0))</formula>
    </cfRule>
    <cfRule type="expression" priority="170" dxfId="0">
      <formula>AND(IF($Q80=3,1,IF($Q80=4,1,0)),IF($F80&lt;=85,1,0))</formula>
    </cfRule>
  </conditionalFormatting>
  <conditionalFormatting sqref="AI80">
    <cfRule type="expression" priority="163" dxfId="3">
      <formula>AND(IF(OR($Q80=1,$Q80=2),1,0),IF($X80&lt;=20,1,0))</formula>
    </cfRule>
    <cfRule type="expression" priority="164" dxfId="2">
      <formula>AND(IF($Q80=2,1,0),IF($X80&lt;30,1,0))</formula>
    </cfRule>
    <cfRule type="expression" priority="165" dxfId="1">
      <formula>AND(IF($Q80=3,1,0),IF($X80&lt;30,1,0))</formula>
    </cfRule>
    <cfRule type="expression" priority="166" dxfId="0">
      <formula>AND(IF($Q80=3,1,IF($Q80=4,1,0)),IF($F80&lt;=85,1,0))</formula>
    </cfRule>
  </conditionalFormatting>
  <conditionalFormatting sqref="AV81">
    <cfRule type="expression" priority="161" dxfId="17">
      <formula>AV81="X"</formula>
    </cfRule>
    <cfRule type="expression" priority="162" dxfId="16">
      <formula>AV81="후보"</formula>
    </cfRule>
  </conditionalFormatting>
  <conditionalFormatting sqref="AC81 N81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AV82">
    <cfRule type="expression" priority="156" dxfId="17">
      <formula>AV82="X"</formula>
    </cfRule>
    <cfRule type="expression" priority="157" dxfId="16">
      <formula>AV82="후보"</formula>
    </cfRule>
  </conditionalFormatting>
  <conditionalFormatting sqref="AC82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82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82">
    <cfRule type="expression" priority="147" dxfId="3">
      <formula>AND(IF(OR($Q82=1,$Q82=2),1,0),IF($X82&lt;=20,1,0))</formula>
    </cfRule>
    <cfRule type="expression" priority="148" dxfId="2">
      <formula>AND(IF($Q82=2,1,0),IF($X82&lt;30,1,0))</formula>
    </cfRule>
    <cfRule type="expression" priority="149" dxfId="1">
      <formula>AND(IF($Q82=3,1,0),IF($X82&lt;30,1,0))</formula>
    </cfRule>
    <cfRule type="expression" priority="150" dxfId="0">
      <formula>AND(IF($Q82=3,1,IF($Q82=4,1,0)),IF($F82&lt;=85,1,0))</formula>
    </cfRule>
  </conditionalFormatting>
  <conditionalFormatting sqref="X82">
    <cfRule type="expression" priority="143" dxfId="3">
      <formula>AND(IF(OR($Q82=1,$Q82=2),1,0),IF($X82&lt;=20,1,0))</formula>
    </cfRule>
    <cfRule type="expression" priority="144" dxfId="2">
      <formula>AND(IF($Q82=2,1,0),IF($X82&lt;30,1,0))</formula>
    </cfRule>
    <cfRule type="expression" priority="145" dxfId="1">
      <formula>AND(IF($Q82=3,1,0),IF($X82&lt;30,1,0))</formula>
    </cfRule>
    <cfRule type="expression" priority="146" dxfId="0">
      <formula>AND(IF($Q82=3,1,IF($Q82=4,1,0)),IF($F82&lt;=85,1,0))</formula>
    </cfRule>
  </conditionalFormatting>
  <conditionalFormatting sqref="AI82">
    <cfRule type="expression" priority="139" dxfId="3">
      <formula>AND(IF(OR($Q82=1,$Q82=2),1,0),IF($X82&lt;=20,1,0))</formula>
    </cfRule>
    <cfRule type="expression" priority="140" dxfId="2">
      <formula>AND(IF($Q82=2,1,0),IF($X82&lt;30,1,0))</formula>
    </cfRule>
    <cfRule type="expression" priority="141" dxfId="1">
      <formula>AND(IF($Q82=3,1,0),IF($X82&lt;30,1,0))</formula>
    </cfRule>
    <cfRule type="expression" priority="142" dxfId="0">
      <formula>AND(IF($Q82=3,1,IF($Q82=4,1,0)),IF($F82&lt;=85,1,0))</formula>
    </cfRule>
  </conditionalFormatting>
  <conditionalFormatting sqref="AV83">
    <cfRule type="expression" priority="137" dxfId="17">
      <formula>AV83="X"</formula>
    </cfRule>
    <cfRule type="expression" priority="138" dxfId="16">
      <formula>AV83="후보"</formula>
    </cfRule>
  </conditionalFormatting>
  <conditionalFormatting sqref="AC83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83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83">
    <cfRule type="expression" priority="128" dxfId="3">
      <formula>AND(IF(OR($Q83=1,$Q83=2),1,0),IF($X83&lt;=20,1,0))</formula>
    </cfRule>
    <cfRule type="expression" priority="129" dxfId="2">
      <formula>AND(IF($Q83=2,1,0),IF($X83&lt;30,1,0))</formula>
    </cfRule>
    <cfRule type="expression" priority="130" dxfId="1">
      <formula>AND(IF($Q83=3,1,0),IF($X83&lt;30,1,0))</formula>
    </cfRule>
    <cfRule type="expression" priority="131" dxfId="0">
      <formula>AND(IF($Q83=3,1,IF($Q83=4,1,0)),IF($F83&lt;=85,1,0))</formula>
    </cfRule>
  </conditionalFormatting>
  <conditionalFormatting sqref="X83">
    <cfRule type="expression" priority="124" dxfId="3">
      <formula>AND(IF(OR($Q83=1,$Q83=2),1,0),IF($X83&lt;=20,1,0))</formula>
    </cfRule>
    <cfRule type="expression" priority="125" dxfId="2">
      <formula>AND(IF($Q83=2,1,0),IF($X83&lt;30,1,0))</formula>
    </cfRule>
    <cfRule type="expression" priority="126" dxfId="1">
      <formula>AND(IF($Q83=3,1,0),IF($X83&lt;30,1,0))</formula>
    </cfRule>
    <cfRule type="expression" priority="127" dxfId="0">
      <formula>AND(IF($Q83=3,1,IF($Q83=4,1,0)),IF($F83&lt;=85,1,0))</formula>
    </cfRule>
  </conditionalFormatting>
  <conditionalFormatting sqref="AI83">
    <cfRule type="expression" priority="120" dxfId="3">
      <formula>AND(IF(OR($Q83=1,$Q83=2),1,0),IF($X83&lt;=20,1,0))</formula>
    </cfRule>
    <cfRule type="expression" priority="121" dxfId="2">
      <formula>AND(IF($Q83=2,1,0),IF($X83&lt;30,1,0))</formula>
    </cfRule>
    <cfRule type="expression" priority="122" dxfId="1">
      <formula>AND(IF($Q83=3,1,0),IF($X83&lt;30,1,0))</formula>
    </cfRule>
    <cfRule type="expression" priority="123" dxfId="0">
      <formula>AND(IF($Q83=3,1,IF($Q83=4,1,0)),IF($F83&lt;=85,1,0))</formula>
    </cfRule>
  </conditionalFormatting>
  <conditionalFormatting sqref="AV84">
    <cfRule type="expression" priority="118" dxfId="17">
      <formula>AV84="X"</formula>
    </cfRule>
    <cfRule type="expression" priority="119" dxfId="16">
      <formula>AV84="후보"</formula>
    </cfRule>
  </conditionalFormatting>
  <conditionalFormatting sqref="AC84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84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84">
    <cfRule type="expression" priority="109" dxfId="3">
      <formula>AND(IF(OR($Q84=1,$Q84=2),1,0),IF($X84&lt;=20,1,0))</formula>
    </cfRule>
    <cfRule type="expression" priority="110" dxfId="2">
      <formula>AND(IF($Q84=2,1,0),IF($X84&lt;30,1,0))</formula>
    </cfRule>
    <cfRule type="expression" priority="111" dxfId="1">
      <formula>AND(IF($Q84=3,1,0),IF($X84&lt;30,1,0))</formula>
    </cfRule>
    <cfRule type="expression" priority="112" dxfId="0">
      <formula>AND(IF($Q84=3,1,IF($Q84=4,1,0)),IF($F84&lt;=85,1,0))</formula>
    </cfRule>
  </conditionalFormatting>
  <conditionalFormatting sqref="X84">
    <cfRule type="expression" priority="105" dxfId="3">
      <formula>AND(IF(OR($Q84=1,$Q84=2),1,0),IF($X84&lt;=20,1,0))</formula>
    </cfRule>
    <cfRule type="expression" priority="106" dxfId="2">
      <formula>AND(IF($Q84=2,1,0),IF($X84&lt;30,1,0))</formula>
    </cfRule>
    <cfRule type="expression" priority="107" dxfId="1">
      <formula>AND(IF($Q84=3,1,0),IF($X84&lt;30,1,0))</formula>
    </cfRule>
    <cfRule type="expression" priority="108" dxfId="0">
      <formula>AND(IF($Q84=3,1,IF($Q84=4,1,0)),IF($F84&lt;=85,1,0))</formula>
    </cfRule>
  </conditionalFormatting>
  <conditionalFormatting sqref="AI84">
    <cfRule type="expression" priority="101" dxfId="3">
      <formula>AND(IF(OR($Q84=1,$Q84=2),1,0),IF($X84&lt;=20,1,0))</formula>
    </cfRule>
    <cfRule type="expression" priority="102" dxfId="2">
      <formula>AND(IF($Q84=2,1,0),IF($X84&lt;30,1,0))</formula>
    </cfRule>
    <cfRule type="expression" priority="103" dxfId="1">
      <formula>AND(IF($Q84=3,1,0),IF($X84&lt;30,1,0))</formula>
    </cfRule>
    <cfRule type="expression" priority="104" dxfId="0">
      <formula>AND(IF($Q84=3,1,IF($Q84=4,1,0)),IF($F84&lt;=85,1,0))</formula>
    </cfRule>
  </conditionalFormatting>
  <conditionalFormatting sqref="AV85">
    <cfRule type="expression" priority="99" dxfId="17">
      <formula>AV85="X"</formula>
    </cfRule>
    <cfRule type="expression" priority="100" dxfId="16">
      <formula>AV85="후보"</formula>
    </cfRule>
  </conditionalFormatting>
  <conditionalFormatting sqref="AC85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85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85">
    <cfRule type="expression" priority="90" dxfId="3">
      <formula>AND(IF(OR($Q85=1,$Q85=2),1,0),IF($X85&lt;=20,1,0))</formula>
    </cfRule>
    <cfRule type="expression" priority="91" dxfId="2">
      <formula>AND(IF($Q85=2,1,0),IF($X85&lt;30,1,0))</formula>
    </cfRule>
    <cfRule type="expression" priority="92" dxfId="1">
      <formula>AND(IF($Q85=3,1,0),IF($X85&lt;30,1,0))</formula>
    </cfRule>
    <cfRule type="expression" priority="93" dxfId="0">
      <formula>AND(IF($Q85=3,1,IF($Q85=4,1,0)),IF($F85&lt;=85,1,0))</formula>
    </cfRule>
  </conditionalFormatting>
  <conditionalFormatting sqref="X85">
    <cfRule type="expression" priority="86" dxfId="3">
      <formula>AND(IF(OR($Q85=1,$Q85=2),1,0),IF($X85&lt;=20,1,0))</formula>
    </cfRule>
    <cfRule type="expression" priority="87" dxfId="2">
      <formula>AND(IF($Q85=2,1,0),IF($X85&lt;30,1,0))</formula>
    </cfRule>
    <cfRule type="expression" priority="88" dxfId="1">
      <formula>AND(IF($Q85=3,1,0),IF($X85&lt;30,1,0))</formula>
    </cfRule>
    <cfRule type="expression" priority="89" dxfId="0">
      <formula>AND(IF($Q85=3,1,IF($Q85=4,1,0)),IF($F85&lt;=85,1,0))</formula>
    </cfRule>
  </conditionalFormatting>
  <conditionalFormatting sqref="AI85">
    <cfRule type="expression" priority="82" dxfId="3">
      <formula>AND(IF(OR($Q85=1,$Q85=2),1,0),IF($X85&lt;=20,1,0))</formula>
    </cfRule>
    <cfRule type="expression" priority="83" dxfId="2">
      <formula>AND(IF($Q85=2,1,0),IF($X85&lt;30,1,0))</formula>
    </cfRule>
    <cfRule type="expression" priority="84" dxfId="1">
      <formula>AND(IF($Q85=3,1,0),IF($X85&lt;30,1,0))</formula>
    </cfRule>
    <cfRule type="expression" priority="85" dxfId="0">
      <formula>AND(IF($Q85=3,1,IF($Q85=4,1,0)),IF($F85&lt;=85,1,0))</formula>
    </cfRule>
  </conditionalFormatting>
  <conditionalFormatting sqref="AV86">
    <cfRule type="expression" priority="80" dxfId="17">
      <formula>AV86="X"</formula>
    </cfRule>
    <cfRule type="expression" priority="81" dxfId="16">
      <formula>AV86="후보"</formula>
    </cfRule>
  </conditionalFormatting>
  <conditionalFormatting sqref="AC86 N86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AV87">
    <cfRule type="expression" priority="75" dxfId="17">
      <formula>AV87="X"</formula>
    </cfRule>
    <cfRule type="expression" priority="76" dxfId="16">
      <formula>AV87="후보"</formula>
    </cfRule>
  </conditionalFormatting>
  <conditionalFormatting sqref="AC87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87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87">
    <cfRule type="expression" priority="66" dxfId="3">
      <formula>AND(IF(OR($Q87=1,$Q87=2),1,0),IF($X87&lt;=20,1,0))</formula>
    </cfRule>
    <cfRule type="expression" priority="67" dxfId="2">
      <formula>AND(IF($Q87=2,1,0),IF($X87&lt;30,1,0))</formula>
    </cfRule>
    <cfRule type="expression" priority="68" dxfId="1">
      <formula>AND(IF($Q87=3,1,0),IF($X87&lt;30,1,0))</formula>
    </cfRule>
    <cfRule type="expression" priority="69" dxfId="0">
      <formula>AND(IF($Q87=3,1,IF($Q87=4,1,0)),IF($F87&lt;=85,1,0))</formula>
    </cfRule>
  </conditionalFormatting>
  <conditionalFormatting sqref="X87">
    <cfRule type="expression" priority="62" dxfId="3">
      <formula>AND(IF(OR($Q87=1,$Q87=2),1,0),IF($X87&lt;=20,1,0))</formula>
    </cfRule>
    <cfRule type="expression" priority="63" dxfId="2">
      <formula>AND(IF($Q87=2,1,0),IF($X87&lt;30,1,0))</formula>
    </cfRule>
    <cfRule type="expression" priority="64" dxfId="1">
      <formula>AND(IF($Q87=3,1,0),IF($X87&lt;30,1,0))</formula>
    </cfRule>
    <cfRule type="expression" priority="65" dxfId="0">
      <formula>AND(IF($Q87=3,1,IF($Q87=4,1,0)),IF($F87&lt;=85,1,0))</formula>
    </cfRule>
  </conditionalFormatting>
  <conditionalFormatting sqref="AI87">
    <cfRule type="expression" priority="58" dxfId="3">
      <formula>AND(IF(OR($Q87=1,$Q87=2),1,0),IF($X87&lt;=20,1,0))</formula>
    </cfRule>
    <cfRule type="expression" priority="59" dxfId="2">
      <formula>AND(IF($Q87=2,1,0),IF($X87&lt;30,1,0))</formula>
    </cfRule>
    <cfRule type="expression" priority="60" dxfId="1">
      <formula>AND(IF($Q87=3,1,0),IF($X87&lt;30,1,0))</formula>
    </cfRule>
    <cfRule type="expression" priority="61" dxfId="0">
      <formula>AND(IF($Q87=3,1,IF($Q87=4,1,0)),IF($F87&lt;=85,1,0))</formula>
    </cfRule>
  </conditionalFormatting>
  <conditionalFormatting sqref="AV88">
    <cfRule type="expression" priority="56" dxfId="17">
      <formula>AV88="X"</formula>
    </cfRule>
    <cfRule type="expression" priority="57" dxfId="16">
      <formula>AV88="후보"</formula>
    </cfRule>
  </conditionalFormatting>
  <conditionalFormatting sqref="AC88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88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88">
    <cfRule type="expression" priority="47" dxfId="3">
      <formula>AND(IF(OR($Q88=1,$Q88=2),1,0),IF($X88&lt;=20,1,0))</formula>
    </cfRule>
    <cfRule type="expression" priority="48" dxfId="2">
      <formula>AND(IF($Q88=2,1,0),IF($X88&lt;30,1,0))</formula>
    </cfRule>
    <cfRule type="expression" priority="49" dxfId="1">
      <formula>AND(IF($Q88=3,1,0),IF($X88&lt;30,1,0))</formula>
    </cfRule>
    <cfRule type="expression" priority="50" dxfId="0">
      <formula>AND(IF($Q88=3,1,IF($Q88=4,1,0)),IF($F88&lt;=85,1,0))</formula>
    </cfRule>
  </conditionalFormatting>
  <conditionalFormatting sqref="X88">
    <cfRule type="expression" priority="43" dxfId="3">
      <formula>AND(IF(OR($Q88=1,$Q88=2),1,0),IF($X88&lt;=20,1,0))</formula>
    </cfRule>
    <cfRule type="expression" priority="44" dxfId="2">
      <formula>AND(IF($Q88=2,1,0),IF($X88&lt;30,1,0))</formula>
    </cfRule>
    <cfRule type="expression" priority="45" dxfId="1">
      <formula>AND(IF($Q88=3,1,0),IF($X88&lt;30,1,0))</formula>
    </cfRule>
    <cfRule type="expression" priority="46" dxfId="0">
      <formula>AND(IF($Q88=3,1,IF($Q88=4,1,0)),IF($F88&lt;=85,1,0))</formula>
    </cfRule>
  </conditionalFormatting>
  <conditionalFormatting sqref="AI88">
    <cfRule type="expression" priority="39" dxfId="3">
      <formula>AND(IF(OR($Q88=1,$Q88=2),1,0),IF($X88&lt;=20,1,0))</formula>
    </cfRule>
    <cfRule type="expression" priority="40" dxfId="2">
      <formula>AND(IF($Q88=2,1,0),IF($X88&lt;30,1,0))</formula>
    </cfRule>
    <cfRule type="expression" priority="41" dxfId="1">
      <formula>AND(IF($Q88=3,1,0),IF($X88&lt;30,1,0))</formula>
    </cfRule>
    <cfRule type="expression" priority="42" dxfId="0">
      <formula>AND(IF($Q88=3,1,IF($Q88=4,1,0)),IF($F88&lt;=85,1,0))</formula>
    </cfRule>
  </conditionalFormatting>
  <conditionalFormatting sqref="AV89">
    <cfRule type="expression" priority="37" dxfId="17">
      <formula>AV89="X"</formula>
    </cfRule>
    <cfRule type="expression" priority="38" dxfId="16">
      <formula>AV89="후보"</formula>
    </cfRule>
  </conditionalFormatting>
  <conditionalFormatting sqref="AC89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89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89">
    <cfRule type="expression" priority="28" dxfId="3">
      <formula>AND(IF(OR($Q89=1,$Q89=2),1,0),IF($X89&lt;=20,1,0))</formula>
    </cfRule>
    <cfRule type="expression" priority="29" dxfId="2">
      <formula>AND(IF($Q89=2,1,0),IF($X89&lt;30,1,0))</formula>
    </cfRule>
    <cfRule type="expression" priority="30" dxfId="1">
      <formula>AND(IF($Q89=3,1,0),IF($X89&lt;30,1,0))</formula>
    </cfRule>
    <cfRule type="expression" priority="31" dxfId="0">
      <formula>AND(IF($Q89=3,1,IF($Q89=4,1,0)),IF($F89&lt;=85,1,0))</formula>
    </cfRule>
  </conditionalFormatting>
  <conditionalFormatting sqref="X89">
    <cfRule type="expression" priority="24" dxfId="3">
      <formula>AND(IF(OR($Q89=1,$Q89=2),1,0),IF($X89&lt;=20,1,0))</formula>
    </cfRule>
    <cfRule type="expression" priority="25" dxfId="2">
      <formula>AND(IF($Q89=2,1,0),IF($X89&lt;30,1,0))</formula>
    </cfRule>
    <cfRule type="expression" priority="26" dxfId="1">
      <formula>AND(IF($Q89=3,1,0),IF($X89&lt;30,1,0))</formula>
    </cfRule>
    <cfRule type="expression" priority="27" dxfId="0">
      <formula>AND(IF($Q89=3,1,IF($Q89=4,1,0)),IF($F89&lt;=85,1,0))</formula>
    </cfRule>
  </conditionalFormatting>
  <conditionalFormatting sqref="AI89">
    <cfRule type="expression" priority="20" dxfId="3">
      <formula>AND(IF(OR($Q89=1,$Q89=2),1,0),IF($X89&lt;=20,1,0))</formula>
    </cfRule>
    <cfRule type="expression" priority="21" dxfId="2">
      <formula>AND(IF($Q89=2,1,0),IF($X89&lt;30,1,0))</formula>
    </cfRule>
    <cfRule type="expression" priority="22" dxfId="1">
      <formula>AND(IF($Q89=3,1,0),IF($X89&lt;30,1,0))</formula>
    </cfRule>
    <cfRule type="expression" priority="23" dxfId="0">
      <formula>AND(IF($Q89=3,1,IF($Q89=4,1,0)),IF($F89&lt;=85,1,0))</formula>
    </cfRule>
  </conditionalFormatting>
  <conditionalFormatting sqref="AV90">
    <cfRule type="expression" priority="18" dxfId="17">
      <formula>AV90="X"</formula>
    </cfRule>
    <cfRule type="expression" priority="19" dxfId="16">
      <formula>AV90="후보"</formula>
    </cfRule>
  </conditionalFormatting>
  <conditionalFormatting sqref="AC90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90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90">
    <cfRule type="expression" priority="9" dxfId="3">
      <formula>AND(IF(OR($Q90=1,$Q90=2),1,0),IF($X90&lt;=20,1,0))</formula>
    </cfRule>
    <cfRule type="expression" priority="10" dxfId="2">
      <formula>AND(IF($Q90=2,1,0),IF($X90&lt;30,1,0))</formula>
    </cfRule>
    <cfRule type="expression" priority="11" dxfId="1">
      <formula>AND(IF($Q90=3,1,0),IF($X90&lt;30,1,0))</formula>
    </cfRule>
    <cfRule type="expression" priority="12" dxfId="0">
      <formula>AND(IF($Q90=3,1,IF($Q90=4,1,0)),IF($F90&lt;=85,1,0))</formula>
    </cfRule>
  </conditionalFormatting>
  <conditionalFormatting sqref="X90">
    <cfRule type="expression" priority="5" dxfId="3">
      <formula>AND(IF(OR($Q90=1,$Q90=2),1,0),IF($X90&lt;=20,1,0))</formula>
    </cfRule>
    <cfRule type="expression" priority="6" dxfId="2">
      <formula>AND(IF($Q90=2,1,0),IF($X90&lt;30,1,0))</formula>
    </cfRule>
    <cfRule type="expression" priority="7" dxfId="1">
      <formula>AND(IF($Q90=3,1,0),IF($X90&lt;30,1,0))</formula>
    </cfRule>
    <cfRule type="expression" priority="8" dxfId="0">
      <formula>AND(IF($Q90=3,1,IF($Q90=4,1,0)),IF($F90&lt;=85,1,0))</formula>
    </cfRule>
  </conditionalFormatting>
  <conditionalFormatting sqref="AI90">
    <cfRule type="expression" priority="1" dxfId="3">
      <formula>AND(IF(OR($Q90=1,$Q90=2),1,0),IF($X90&lt;=20,1,0))</formula>
    </cfRule>
    <cfRule type="expression" priority="2" dxfId="2">
      <formula>AND(IF($Q90=2,1,0),IF($X90&lt;30,1,0))</formula>
    </cfRule>
    <cfRule type="expression" priority="3" dxfId="1">
      <formula>AND(IF($Q90=3,1,0),IF($X90&lt;30,1,0))</formula>
    </cfRule>
    <cfRule type="expression" priority="4" dxfId="0">
      <formula>AND(IF($Q90=3,1,IF($Q90=4,1,0)),IF($F90&lt;=85,1,0))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8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2" sqref="A82:XFD82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둔촌동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둔촌현대4차</t>
        </is>
      </c>
      <c r="B6" s="16" t="inlineStr">
        <is>
          <t>'96.02.</t>
        </is>
      </c>
      <c r="C6" s="164" t="n">
        <v>235</v>
      </c>
      <c r="D6" s="161" t="n">
        <v>73.8</v>
      </c>
      <c r="E6" s="163" t="n">
        <v>22</v>
      </c>
      <c r="F6" s="161" t="n">
        <v>58.3</v>
      </c>
      <c r="G6" s="27" t="n">
        <v>18</v>
      </c>
      <c r="H6" s="164" t="n">
        <v>14</v>
      </c>
      <c r="I6" s="165" t="n"/>
      <c r="J6" s="165" t="n"/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1</v>
      </c>
      <c r="S6" s="113" t="inlineStr">
        <is>
          <t>복</t>
        </is>
      </c>
      <c r="T6" s="8" t="n">
        <v>73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둔촌현대4차</t>
        </is>
      </c>
      <c r="B7" s="16" t="inlineStr">
        <is>
          <t>'96.02.</t>
        </is>
      </c>
      <c r="C7" s="164" t="n">
        <v>235</v>
      </c>
      <c r="D7" s="161" t="n">
        <v>75.3</v>
      </c>
      <c r="E7" s="163" t="n">
        <v>23</v>
      </c>
      <c r="F7" s="161" t="n">
        <v>59.5</v>
      </c>
      <c r="G7" s="27" t="n">
        <v>18</v>
      </c>
      <c r="H7" s="164" t="n">
        <v>32</v>
      </c>
      <c r="I7" s="165" t="n"/>
      <c r="J7" s="165" t="n"/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1</v>
      </c>
      <c r="S7" s="113" t="inlineStr">
        <is>
          <t>복</t>
        </is>
      </c>
      <c r="T7" s="8" t="inlineStr">
        <is>
          <t>75A</t>
        </is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둔촌현대4차</t>
        </is>
      </c>
      <c r="B8" s="16" t="inlineStr">
        <is>
          <t>'96.02.</t>
        </is>
      </c>
      <c r="C8" s="164" t="n">
        <v>235</v>
      </c>
      <c r="D8" s="161" t="n">
        <v>75.3</v>
      </c>
      <c r="E8" s="163" t="n">
        <v>23</v>
      </c>
      <c r="F8" s="161" t="n">
        <v>59.5</v>
      </c>
      <c r="G8" s="27" t="n">
        <v>18</v>
      </c>
      <c r="H8" s="164" t="n">
        <v>16</v>
      </c>
      <c r="I8" s="165" t="n"/>
      <c r="J8" s="165" t="n"/>
      <c r="K8" s="165" t="n"/>
      <c r="L8" s="165" t="n"/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1</v>
      </c>
      <c r="S8" s="113" t="inlineStr">
        <is>
          <t>복</t>
        </is>
      </c>
      <c r="T8" s="8" t="inlineStr">
        <is>
          <t>75B</t>
        </is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둔촌현대4차</t>
        </is>
      </c>
      <c r="B9" s="16" t="inlineStr">
        <is>
          <t>'96.02.</t>
        </is>
      </c>
      <c r="C9" s="164" t="n">
        <v>235</v>
      </c>
      <c r="D9" s="161" t="n">
        <v>106.2</v>
      </c>
      <c r="E9" s="163" t="n">
        <v>32</v>
      </c>
      <c r="F9" s="161" t="n">
        <v>83.90000000000001</v>
      </c>
      <c r="G9" s="27" t="n">
        <v>25</v>
      </c>
      <c r="H9" s="164" t="n">
        <v>15</v>
      </c>
      <c r="I9" s="165" t="n"/>
      <c r="J9" s="165" t="n"/>
      <c r="K9" s="165" t="n"/>
      <c r="L9" s="165" t="n"/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n">
        <v>106</v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둔촌현대4차</t>
        </is>
      </c>
      <c r="B10" s="16" t="inlineStr">
        <is>
          <t>'96.02.</t>
        </is>
      </c>
      <c r="C10" s="164" t="n">
        <v>235</v>
      </c>
      <c r="D10" s="161" t="n">
        <v>107.5</v>
      </c>
      <c r="E10" s="163" t="n">
        <v>33</v>
      </c>
      <c r="F10" s="161" t="n">
        <v>84.90000000000001</v>
      </c>
      <c r="G10" s="27" t="n">
        <v>26</v>
      </c>
      <c r="H10" s="164" t="n">
        <v>113</v>
      </c>
      <c r="I10" s="165" t="n"/>
      <c r="J10" s="165" t="n"/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n">
        <v>107</v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둔촌현대4차</t>
        </is>
      </c>
      <c r="B11" s="16" t="inlineStr">
        <is>
          <t>'96.02.</t>
        </is>
      </c>
      <c r="C11" s="164" t="n">
        <v>235</v>
      </c>
      <c r="D11" s="161" t="n">
        <v>145.4</v>
      </c>
      <c r="E11" s="163" t="n">
        <v>44</v>
      </c>
      <c r="F11" s="161" t="n">
        <v>114.9</v>
      </c>
      <c r="G11" s="27" t="n">
        <v>35</v>
      </c>
      <c r="H11" s="164" t="n">
        <v>45</v>
      </c>
      <c r="I11" s="165" t="n"/>
      <c r="J11" s="165" t="n"/>
      <c r="K11" s="165" t="n"/>
      <c r="L11" s="165" t="n"/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4</v>
      </c>
      <c r="R11" s="113" t="n">
        <v>2</v>
      </c>
      <c r="S11" s="113" t="inlineStr">
        <is>
          <t>계</t>
        </is>
      </c>
      <c r="T11" s="8" t="n">
        <v>145</v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n"/>
      <c r="B12" s="113" t="n"/>
      <c r="C12" s="10" t="n"/>
      <c r="D12" s="13" t="n"/>
      <c r="E12" s="20" t="n"/>
      <c r="F12" s="161" t="n"/>
      <c r="G12" s="13" t="n"/>
      <c r="H12" s="13" t="n"/>
      <c r="I12" s="13" t="n"/>
      <c r="J12" s="13" t="n"/>
      <c r="K12" s="13" t="n"/>
      <c r="L12" s="13" t="n"/>
      <c r="M12" s="13" t="n"/>
      <c r="N12" s="13" t="n"/>
      <c r="O12" s="162" t="n"/>
      <c r="P12" s="162" t="n"/>
      <c r="Q12" s="163" t="n"/>
      <c r="R12" s="163" t="n"/>
      <c r="S12" s="13" t="n"/>
      <c r="T12" s="70" t="n"/>
      <c r="U12" s="13" t="n"/>
      <c r="W12" s="107">
        <f>$A$4&amp;" "&amp;A13&amp;"("&amp;B13&amp;","&amp;C13&amp;"^)"</f>
        <v/>
      </c>
      <c r="X12" s="108" t="n"/>
      <c r="Y12" s="108" t="n"/>
      <c r="Z12" s="108" t="n"/>
      <c r="AA12" s="108" t="n"/>
      <c r="AB12" s="108" t="n"/>
      <c r="AC12" s="108" t="n"/>
      <c r="AD12" s="108" t="n"/>
      <c r="AE12" s="108" t="n"/>
      <c r="AF12" s="109" t="n"/>
      <c r="AH12" s="36">
        <f>IF(A12="","",A12)</f>
        <v/>
      </c>
      <c r="AI12" s="160">
        <f>IF(E12="","",E12)</f>
        <v/>
      </c>
      <c r="AJ12" s="113" t="n"/>
      <c r="AK12" s="113" t="n"/>
      <c r="AL12" s="113" t="n"/>
      <c r="AM12" s="113" t="n"/>
      <c r="AN12" s="113" t="n"/>
      <c r="AO12" s="113" t="n"/>
      <c r="AP12" s="113" t="n"/>
      <c r="AQ12" s="113" t="n"/>
      <c r="AR12" s="113" t="n"/>
      <c r="AS12" s="113" t="n"/>
      <c r="AT12" s="113" t="n"/>
      <c r="AU12" s="113" t="n"/>
      <c r="AV12" s="113" t="n"/>
    </row>
    <row r="13">
      <c r="A13" s="13" t="inlineStr">
        <is>
          <t>둔촌신동아(파밀리에)</t>
        </is>
      </c>
      <c r="B13" s="16" t="inlineStr">
        <is>
          <t>'02.11.</t>
        </is>
      </c>
      <c r="C13" s="164" t="n">
        <v>357</v>
      </c>
      <c r="D13" s="161" t="n">
        <v>84.90000000000001</v>
      </c>
      <c r="E13" s="163" t="n">
        <v>26</v>
      </c>
      <c r="F13" s="161" t="n">
        <v>58.5</v>
      </c>
      <c r="G13" s="27" t="n">
        <v>18</v>
      </c>
      <c r="H13" s="164" t="n">
        <v>13</v>
      </c>
      <c r="I13" s="165" t="n"/>
      <c r="J13" s="165" t="n"/>
      <c r="K13" s="165" t="n"/>
      <c r="L13" s="165" t="n"/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3</v>
      </c>
      <c r="R13" s="113" t="n">
        <v>1</v>
      </c>
      <c r="S13" s="113" t="inlineStr">
        <is>
          <t>복</t>
        </is>
      </c>
      <c r="T13" s="8" t="inlineStr">
        <is>
          <t>84A</t>
        </is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둔촌신동아(파밀리에)</t>
        </is>
      </c>
      <c r="B14" s="16" t="inlineStr">
        <is>
          <t>'02.11.</t>
        </is>
      </c>
      <c r="C14" s="164" t="n">
        <v>357</v>
      </c>
      <c r="D14" s="161" t="n">
        <v>85.3</v>
      </c>
      <c r="E14" s="163" t="n">
        <v>26</v>
      </c>
      <c r="F14" s="161" t="n">
        <v>58.9</v>
      </c>
      <c r="G14" s="27" t="n">
        <v>18</v>
      </c>
      <c r="H14" s="164" t="n">
        <v>20</v>
      </c>
      <c r="I14" s="165" t="n">
        <v>103000</v>
      </c>
      <c r="J14" s="165" t="inlineStr">
        <is>
          <t>17</t>
        </is>
      </c>
      <c r="K14" s="165" t="n"/>
      <c r="L14" s="165" t="n"/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3</v>
      </c>
      <c r="R14" s="113" t="n">
        <v>1</v>
      </c>
      <c r="S14" s="113" t="inlineStr">
        <is>
          <t>복</t>
        </is>
      </c>
      <c r="T14" s="8" t="inlineStr">
        <is>
          <t>85C</t>
        </is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둔촌신동아(파밀리에)</t>
        </is>
      </c>
      <c r="B15" s="16" t="inlineStr">
        <is>
          <t>'02.11.</t>
        </is>
      </c>
      <c r="C15" s="164" t="n">
        <v>357</v>
      </c>
      <c r="D15" s="161" t="n">
        <v>85.09999999999999</v>
      </c>
      <c r="E15" s="163" t="n">
        <v>26</v>
      </c>
      <c r="F15" s="161" t="n">
        <v>58.8</v>
      </c>
      <c r="G15" s="27" t="n">
        <v>18</v>
      </c>
      <c r="H15" s="164" t="n">
        <v>5</v>
      </c>
      <c r="I15" s="165" t="n"/>
      <c r="J15" s="165" t="n"/>
      <c r="K15" s="165" t="n">
        <v>63000</v>
      </c>
      <c r="L15" s="165" t="inlineStr">
        <is>
          <t>고</t>
        </is>
      </c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1</v>
      </c>
      <c r="S15" s="113" t="inlineStr">
        <is>
          <t>복</t>
        </is>
      </c>
      <c r="T15" s="8" t="inlineStr">
        <is>
          <t>85B</t>
        </is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둔촌신동아(파밀리에)</t>
        </is>
      </c>
      <c r="B16" s="16" t="inlineStr">
        <is>
          <t>'02.11.</t>
        </is>
      </c>
      <c r="C16" s="164" t="n">
        <v>357</v>
      </c>
      <c r="D16" s="161" t="n">
        <v>86</v>
      </c>
      <c r="E16" s="163" t="n">
        <v>26</v>
      </c>
      <c r="F16" s="161" t="n">
        <v>59.4</v>
      </c>
      <c r="G16" s="27" t="n">
        <v>18</v>
      </c>
      <c r="H16" s="164" t="n">
        <v>111</v>
      </c>
      <c r="I16" s="165" t="n">
        <v>100000</v>
      </c>
      <c r="J16" s="165" t="inlineStr">
        <is>
          <t>14</t>
        </is>
      </c>
      <c r="K16" s="165" t="n">
        <v>60000</v>
      </c>
      <c r="L16" s="165" t="inlineStr">
        <is>
          <t>중</t>
        </is>
      </c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3</v>
      </c>
      <c r="R16" s="113" t="n">
        <v>1</v>
      </c>
      <c r="S16" s="113" t="inlineStr">
        <is>
          <t>복</t>
        </is>
      </c>
      <c r="T16" s="8" t="inlineStr">
        <is>
          <t>86D</t>
        </is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둔촌신동아(파밀리에)</t>
        </is>
      </c>
      <c r="B17" s="16" t="inlineStr">
        <is>
          <t>'02.11.</t>
        </is>
      </c>
      <c r="C17" s="164" t="n">
        <v>357</v>
      </c>
      <c r="D17" s="161" t="n">
        <v>100.6</v>
      </c>
      <c r="E17" s="163" t="n">
        <v>30</v>
      </c>
      <c r="F17" s="161" t="n">
        <v>66.2</v>
      </c>
      <c r="G17" s="27" t="n">
        <v>20</v>
      </c>
      <c r="H17" s="164" t="n">
        <v>3</v>
      </c>
      <c r="I17" s="165" t="n"/>
      <c r="J17" s="165" t="n"/>
      <c r="K17" s="165" t="n"/>
      <c r="L17" s="165" t="n"/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3</v>
      </c>
      <c r="R17" s="113" t="n">
        <v>2</v>
      </c>
      <c r="S17" s="113" t="inlineStr">
        <is>
          <t>복</t>
        </is>
      </c>
      <c r="T17" s="8" t="n">
        <v>100</v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둔촌신동아(파밀리에)</t>
        </is>
      </c>
      <c r="B18" s="16" t="inlineStr">
        <is>
          <t>'02.11.</t>
        </is>
      </c>
      <c r="C18" s="164" t="n">
        <v>357</v>
      </c>
      <c r="D18" s="161" t="n">
        <v>101.8</v>
      </c>
      <c r="E18" s="163" t="n">
        <v>31</v>
      </c>
      <c r="F18" s="161" t="n">
        <v>67</v>
      </c>
      <c r="G18" s="27" t="n">
        <v>20</v>
      </c>
      <c r="H18" s="164" t="n">
        <v>47</v>
      </c>
      <c r="I18" s="165" t="n">
        <v>110000</v>
      </c>
      <c r="J18" s="165" t="inlineStr">
        <is>
          <t>14</t>
        </is>
      </c>
      <c r="K18" s="165" t="n"/>
      <c r="L18" s="165" t="n"/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3</v>
      </c>
      <c r="R18" s="113" t="n">
        <v>2</v>
      </c>
      <c r="S18" s="113" t="inlineStr">
        <is>
          <t>복</t>
        </is>
      </c>
      <c r="T18" s="8" t="n">
        <v>101</v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둔촌신동아(파밀리에)</t>
        </is>
      </c>
      <c r="B19" s="16" t="inlineStr">
        <is>
          <t>'02.11.</t>
        </is>
      </c>
      <c r="C19" s="164" t="n">
        <v>357</v>
      </c>
      <c r="D19" s="161" t="n">
        <v>105.6</v>
      </c>
      <c r="E19" s="163" t="n">
        <v>32</v>
      </c>
      <c r="F19" s="161" t="n">
        <v>84.7</v>
      </c>
      <c r="G19" s="27" t="n">
        <v>26</v>
      </c>
      <c r="H19" s="164" t="n">
        <v>27</v>
      </c>
      <c r="I19" s="165" t="n"/>
      <c r="J19" s="165" t="n"/>
      <c r="K19" s="165" t="n"/>
      <c r="L19" s="165" t="n"/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3</v>
      </c>
      <c r="R19" s="113" t="n">
        <v>2</v>
      </c>
      <c r="S19" s="113" t="inlineStr">
        <is>
          <t>복</t>
        </is>
      </c>
      <c r="T19" s="8" t="n">
        <v>105</v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둔촌신동아(파밀리에)</t>
        </is>
      </c>
      <c r="B20" s="16" t="inlineStr">
        <is>
          <t>'02.11.</t>
        </is>
      </c>
      <c r="C20" s="164" t="n">
        <v>357</v>
      </c>
      <c r="D20" s="161" t="n">
        <v>109.7</v>
      </c>
      <c r="E20" s="163" t="n">
        <v>33</v>
      </c>
      <c r="F20" s="161" t="n">
        <v>84.2</v>
      </c>
      <c r="G20" s="27" t="n">
        <v>25</v>
      </c>
      <c r="H20" s="164" t="n">
        <v>17</v>
      </c>
      <c r="I20" s="165" t="n">
        <v>125000</v>
      </c>
      <c r="J20" s="165" t="inlineStr">
        <is>
          <t>중</t>
        </is>
      </c>
      <c r="K20" s="165" t="n"/>
      <c r="L20" s="165" t="n"/>
      <c r="M20" s="166">
        <f>I20-K20</f>
        <v/>
      </c>
      <c r="N20" s="7">
        <f>IF(ISERROR(K20/I20),"",K20/I20)</f>
        <v/>
      </c>
      <c r="O20" s="162">
        <f>I20/E20</f>
        <v/>
      </c>
      <c r="P20" s="162">
        <f>K20/E20</f>
        <v/>
      </c>
      <c r="Q20" s="113" t="n">
        <v>3</v>
      </c>
      <c r="R20" s="113" t="n">
        <v>2</v>
      </c>
      <c r="S20" s="113" t="inlineStr">
        <is>
          <t>계</t>
        </is>
      </c>
      <c r="T20" s="8" t="inlineStr">
        <is>
          <t>109B</t>
        </is>
      </c>
      <c r="U20" s="13" t="n"/>
      <c r="W20" s="161">
        <f>D20</f>
        <v/>
      </c>
      <c r="X20" s="163">
        <f>E20</f>
        <v/>
      </c>
      <c r="Y20" s="159">
        <f>H20</f>
        <v/>
      </c>
      <c r="Z20" s="166">
        <f>I20</f>
        <v/>
      </c>
      <c r="AA20" s="166">
        <f>K20</f>
        <v/>
      </c>
      <c r="AB20" s="166">
        <f>M20</f>
        <v/>
      </c>
      <c r="AC20" s="7">
        <f>N20</f>
        <v/>
      </c>
      <c r="AD20" s="162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3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둔촌신동아(파밀리에)</t>
        </is>
      </c>
      <c r="B21" s="16" t="inlineStr">
        <is>
          <t>'02.11.</t>
        </is>
      </c>
      <c r="C21" s="164" t="n">
        <v>357</v>
      </c>
      <c r="D21" s="161" t="n">
        <v>109.5</v>
      </c>
      <c r="E21" s="163" t="n">
        <v>33</v>
      </c>
      <c r="F21" s="161" t="n">
        <v>84</v>
      </c>
      <c r="G21" s="27" t="n">
        <v>25</v>
      </c>
      <c r="H21" s="164" t="n">
        <v>4</v>
      </c>
      <c r="I21" s="165" t="n">
        <v>130000</v>
      </c>
      <c r="J21" s="165" t="inlineStr">
        <is>
          <t>18</t>
        </is>
      </c>
      <c r="K21" s="165" t="n"/>
      <c r="L21" s="165" t="n"/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inlineStr">
        <is>
          <t>109A</t>
        </is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둔촌신동아(파밀리에)</t>
        </is>
      </c>
      <c r="B22" s="16" t="inlineStr">
        <is>
          <t>'02.11.</t>
        </is>
      </c>
      <c r="C22" s="164" t="n">
        <v>357</v>
      </c>
      <c r="D22" s="161" t="n">
        <v>110.7</v>
      </c>
      <c r="E22" s="163" t="n">
        <v>33</v>
      </c>
      <c r="F22" s="161" t="n">
        <v>84.90000000000001</v>
      </c>
      <c r="G22" s="27" t="n">
        <v>26</v>
      </c>
      <c r="H22" s="164" t="n">
        <v>52</v>
      </c>
      <c r="I22" s="165" t="n"/>
      <c r="J22" s="165" t="n"/>
      <c r="K22" s="165" t="n"/>
      <c r="L22" s="165" t="n"/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n">
        <v>110</v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둔촌신동아(파밀리에)</t>
        </is>
      </c>
      <c r="B23" s="16" t="inlineStr">
        <is>
          <t>'02.11.</t>
        </is>
      </c>
      <c r="C23" s="164" t="n">
        <v>357</v>
      </c>
      <c r="D23" s="161" t="n">
        <v>110.2</v>
      </c>
      <c r="E23" s="163" t="n">
        <v>33</v>
      </c>
      <c r="F23" s="161" t="n">
        <v>84.5</v>
      </c>
      <c r="G23" s="27" t="n">
        <v>26</v>
      </c>
      <c r="H23" s="164" t="n">
        <v>16</v>
      </c>
      <c r="I23" s="165" t="n"/>
      <c r="J23" s="165" t="n"/>
      <c r="K23" s="165" t="n"/>
      <c r="L23" s="165" t="n"/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3</v>
      </c>
      <c r="R23" s="113" t="n">
        <v>2</v>
      </c>
      <c r="S23" s="113" t="inlineStr">
        <is>
          <t>계</t>
        </is>
      </c>
      <c r="T23" s="8" t="inlineStr">
        <is>
          <t>110C</t>
        </is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둔촌신동아(파밀리에)</t>
        </is>
      </c>
      <c r="B24" s="16" t="inlineStr">
        <is>
          <t>'02.11.</t>
        </is>
      </c>
      <c r="C24" s="164" t="n">
        <v>357</v>
      </c>
      <c r="D24" s="161" t="n">
        <v>110.3</v>
      </c>
      <c r="E24" s="163" t="n">
        <v>33</v>
      </c>
      <c r="F24" s="161" t="n">
        <v>84.59999999999999</v>
      </c>
      <c r="G24" s="27" t="n">
        <v>26</v>
      </c>
      <c r="H24" s="164" t="n">
        <v>16</v>
      </c>
      <c r="I24" s="165" t="n"/>
      <c r="J24" s="165" t="n"/>
      <c r="K24" s="165" t="n"/>
      <c r="L24" s="165" t="n"/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inlineStr">
        <is>
          <t>110D</t>
        </is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둔촌신동아(파밀리에)</t>
        </is>
      </c>
      <c r="B25" s="16" t="inlineStr">
        <is>
          <t>'02.11.</t>
        </is>
      </c>
      <c r="C25" s="164" t="n">
        <v>357</v>
      </c>
      <c r="D25" s="161" t="n">
        <v>129.3</v>
      </c>
      <c r="E25" s="163" t="n">
        <v>39</v>
      </c>
      <c r="F25" s="161" t="n">
        <v>103.7</v>
      </c>
      <c r="G25" s="27" t="n">
        <v>31</v>
      </c>
      <c r="H25" s="164" t="n">
        <v>26</v>
      </c>
      <c r="I25" s="165" t="n"/>
      <c r="J25" s="165" t="n"/>
      <c r="K25" s="165" t="n"/>
      <c r="L25" s="165" t="n"/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4</v>
      </c>
      <c r="R25" s="113" t="n">
        <v>2</v>
      </c>
      <c r="S25" s="113" t="inlineStr">
        <is>
          <t>복</t>
        </is>
      </c>
      <c r="T25" s="8" t="n">
        <v>129</v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n"/>
      <c r="B26" s="113" t="n"/>
      <c r="C26" s="10" t="n"/>
      <c r="D26" s="13" t="n"/>
      <c r="E26" s="20" t="n"/>
      <c r="F26" s="161" t="n"/>
      <c r="G26" s="13" t="n"/>
      <c r="H26" s="13" t="n"/>
      <c r="I26" s="13" t="n"/>
      <c r="J26" s="13" t="n"/>
      <c r="K26" s="13" t="n"/>
      <c r="L26" s="13" t="n"/>
      <c r="M26" s="13" t="n"/>
      <c r="N26" s="13" t="n"/>
      <c r="O26" s="162" t="n"/>
      <c r="P26" s="162" t="n"/>
      <c r="Q26" s="163" t="n"/>
      <c r="R26" s="163" t="n"/>
      <c r="S26" s="13" t="n"/>
      <c r="T26" s="70" t="n"/>
      <c r="U26" s="13" t="n"/>
      <c r="W26" s="107">
        <f>$A$4&amp;" "&amp;A27&amp;"("&amp;B27&amp;","&amp;C27&amp;"^)"</f>
        <v/>
      </c>
      <c r="X26" s="108" t="n"/>
      <c r="Y26" s="108" t="n"/>
      <c r="Z26" s="108" t="n"/>
      <c r="AA26" s="108" t="n"/>
      <c r="AB26" s="108" t="n"/>
      <c r="AC26" s="108" t="n"/>
      <c r="AD26" s="108" t="n"/>
      <c r="AE26" s="108" t="n"/>
      <c r="AF26" s="109" t="n"/>
      <c r="AH26" s="36">
        <f>IF(A26="","",A26)</f>
        <v/>
      </c>
      <c r="AI26" s="160">
        <f>IF(E26="","",E26)</f>
        <v/>
      </c>
      <c r="AJ26" s="113" t="n"/>
      <c r="AK26" s="113" t="n"/>
      <c r="AL26" s="113" t="n"/>
      <c r="AM26" s="113" t="n"/>
      <c r="AN26" s="113" t="n"/>
      <c r="AO26" s="113" t="n"/>
      <c r="AP26" s="113" t="n"/>
      <c r="AQ26" s="113" t="n"/>
      <c r="AR26" s="113" t="n"/>
      <c r="AS26" s="113" t="n"/>
      <c r="AT26" s="113" t="n"/>
      <c r="AU26" s="113" t="n"/>
      <c r="AV26" s="113" t="n"/>
    </row>
    <row r="27">
      <c r="A27" s="13" t="inlineStr">
        <is>
          <t>현대1차</t>
        </is>
      </c>
      <c r="B27" s="16" t="inlineStr">
        <is>
          <t>'84.11.</t>
        </is>
      </c>
      <c r="C27" s="164" t="n">
        <v>498</v>
      </c>
      <c r="D27" s="161" t="n">
        <v>103.4</v>
      </c>
      <c r="E27" s="163" t="n">
        <v>31</v>
      </c>
      <c r="F27" s="161" t="n">
        <v>84.40000000000001</v>
      </c>
      <c r="G27" s="27" t="n">
        <v>26</v>
      </c>
      <c r="H27" s="164" t="n">
        <v>498</v>
      </c>
      <c r="I27" s="165" t="n"/>
      <c r="J27" s="165" t="n"/>
      <c r="K27" s="165" t="n"/>
      <c r="L27" s="165" t="n"/>
      <c r="M27" s="166">
        <f>I27-K27</f>
        <v/>
      </c>
      <c r="N27" s="7">
        <f>IF(ISERROR(K27/I27),"",K27/I27)</f>
        <v/>
      </c>
      <c r="O27" s="162">
        <f>I27/E27</f>
        <v/>
      </c>
      <c r="P27" s="162">
        <f>K27/E27</f>
        <v/>
      </c>
      <c r="Q27" s="113" t="n">
        <v>3</v>
      </c>
      <c r="R27" s="113" t="n">
        <v>1</v>
      </c>
      <c r="S27" s="113" t="inlineStr">
        <is>
          <t>계</t>
        </is>
      </c>
      <c r="T27" s="8" t="n">
        <v>103</v>
      </c>
      <c r="U27" s="13" t="n"/>
      <c r="W27" s="161">
        <f>D27</f>
        <v/>
      </c>
      <c r="X27" s="163">
        <f>E27</f>
        <v/>
      </c>
      <c r="Y27" s="159">
        <f>H27</f>
        <v/>
      </c>
      <c r="Z27" s="166">
        <f>I27</f>
        <v/>
      </c>
      <c r="AA27" s="166">
        <f>K27</f>
        <v/>
      </c>
      <c r="AB27" s="166">
        <f>M27</f>
        <v/>
      </c>
      <c r="AC27" s="7">
        <f>N27</f>
        <v/>
      </c>
      <c r="AD27" s="162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3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n"/>
      <c r="B28" s="113" t="n"/>
      <c r="C28" s="10" t="n"/>
      <c r="D28" s="13" t="n"/>
      <c r="E28" s="20" t="n"/>
      <c r="F28" s="161" t="n"/>
      <c r="G28" s="13" t="n"/>
      <c r="H28" s="13" t="n"/>
      <c r="I28" s="13" t="n"/>
      <c r="J28" s="13" t="n"/>
      <c r="K28" s="13" t="n"/>
      <c r="L28" s="13" t="n"/>
      <c r="M28" s="13" t="n"/>
      <c r="N28" s="13" t="n"/>
      <c r="O28" s="162" t="n"/>
      <c r="P28" s="162" t="n"/>
      <c r="Q28" s="163" t="n"/>
      <c r="R28" s="163" t="n"/>
      <c r="S28" s="13" t="n"/>
      <c r="T28" s="70" t="n"/>
      <c r="U28" s="13" t="n"/>
      <c r="W28" s="107">
        <f>$A$4&amp;" "&amp;A29&amp;"("&amp;B29&amp;","&amp;C29&amp;"^)"</f>
        <v/>
      </c>
      <c r="X28" s="108" t="n"/>
      <c r="Y28" s="108" t="n"/>
      <c r="Z28" s="108" t="n"/>
      <c r="AA28" s="108" t="n"/>
      <c r="AB28" s="108" t="n"/>
      <c r="AC28" s="108" t="n"/>
      <c r="AD28" s="108" t="n"/>
      <c r="AE28" s="108" t="n"/>
      <c r="AF28" s="109" t="n"/>
      <c r="AH28" s="36">
        <f>IF(A28="","",A28)</f>
        <v/>
      </c>
      <c r="AI28" s="160">
        <f>IF(E28="","",E28)</f>
        <v/>
      </c>
      <c r="AJ28" s="113" t="n"/>
      <c r="AK28" s="113" t="n"/>
      <c r="AL28" s="113" t="n"/>
      <c r="AM28" s="113" t="n"/>
      <c r="AN28" s="113" t="n"/>
      <c r="AO28" s="113" t="n"/>
      <c r="AP28" s="113" t="n"/>
      <c r="AQ28" s="113" t="n"/>
      <c r="AR28" s="113" t="n"/>
      <c r="AS28" s="113" t="n"/>
      <c r="AT28" s="113" t="n"/>
      <c r="AU28" s="113" t="n"/>
      <c r="AV28" s="113" t="n"/>
    </row>
    <row r="29">
      <c r="A29" s="13" t="inlineStr">
        <is>
          <t>주공고층3단지</t>
        </is>
      </c>
      <c r="B29" s="16" t="inlineStr">
        <is>
          <t>'80.12.</t>
        </is>
      </c>
      <c r="C29" s="164" t="n">
        <v>1480</v>
      </c>
      <c r="D29" s="161" t="n">
        <v>77</v>
      </c>
      <c r="E29" s="163" t="n">
        <v>23</v>
      </c>
      <c r="F29" s="161" t="n">
        <v>70.90000000000001</v>
      </c>
      <c r="G29" s="27" t="n">
        <v>21</v>
      </c>
      <c r="H29" s="164" t="n">
        <v>216</v>
      </c>
      <c r="I29" s="165" t="n"/>
      <c r="J29" s="165" t="n"/>
      <c r="K29" s="165" t="n"/>
      <c r="L29" s="165" t="n"/>
      <c r="M29" s="166">
        <f>I29-K29</f>
        <v/>
      </c>
      <c r="N29" s="7">
        <f>IF(ISERROR(K29/I29),"",K29/I29)</f>
        <v/>
      </c>
      <c r="O29" s="162">
        <f>I29/E29</f>
        <v/>
      </c>
      <c r="P29" s="162">
        <f>K29/E29</f>
        <v/>
      </c>
      <c r="Q29" s="113" t="n">
        <v>2</v>
      </c>
      <c r="R29" s="113" t="n">
        <v>1</v>
      </c>
      <c r="S29" s="113" t="inlineStr">
        <is>
          <t>복</t>
        </is>
      </c>
      <c r="T29" s="8" t="n">
        <v>77</v>
      </c>
      <c r="U29" s="13" t="n"/>
      <c r="W29" s="161">
        <f>D29</f>
        <v/>
      </c>
      <c r="X29" s="163">
        <f>E29</f>
        <v/>
      </c>
      <c r="Y29" s="159">
        <f>H29</f>
        <v/>
      </c>
      <c r="Z29" s="166">
        <f>I29</f>
        <v/>
      </c>
      <c r="AA29" s="166">
        <f>K29</f>
        <v/>
      </c>
      <c r="AB29" s="166">
        <f>M29</f>
        <v/>
      </c>
      <c r="AC29" s="7">
        <f>N29</f>
        <v/>
      </c>
      <c r="AD29" s="162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3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주공고층3단지</t>
        </is>
      </c>
      <c r="B30" s="16" t="inlineStr">
        <is>
          <t>'80.12.</t>
        </is>
      </c>
      <c r="C30" s="164" t="n">
        <v>1480</v>
      </c>
      <c r="D30" s="161" t="n">
        <v>78.40000000000001</v>
      </c>
      <c r="E30" s="163" t="n">
        <v>24</v>
      </c>
      <c r="F30" s="161" t="n">
        <v>72.3</v>
      </c>
      <c r="G30" s="27" t="n">
        <v>22</v>
      </c>
      <c r="H30" s="164" t="n">
        <v>24</v>
      </c>
      <c r="I30" s="165" t="n"/>
      <c r="J30" s="165" t="n"/>
      <c r="K30" s="165" t="n"/>
      <c r="L30" s="165" t="n"/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3</v>
      </c>
      <c r="R30" s="113" t="n">
        <v>1</v>
      </c>
      <c r="S30" s="113" t="inlineStr">
        <is>
          <t>복</t>
        </is>
      </c>
      <c r="T30" s="8" t="n">
        <v>78</v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주공고층3단지</t>
        </is>
      </c>
      <c r="B31" s="16" t="inlineStr">
        <is>
          <t>'80.12.</t>
        </is>
      </c>
      <c r="C31" s="164" t="n">
        <v>1480</v>
      </c>
      <c r="D31" s="161" t="n">
        <v>105.2</v>
      </c>
      <c r="E31" s="163" t="n">
        <v>32</v>
      </c>
      <c r="F31" s="161" t="n">
        <v>96.8</v>
      </c>
      <c r="G31" s="27" t="n">
        <v>29</v>
      </c>
      <c r="H31" s="164" t="n">
        <v>648</v>
      </c>
      <c r="I31" s="165" t="n"/>
      <c r="J31" s="165" t="n"/>
      <c r="K31" s="165" t="n"/>
      <c r="L31" s="165" t="n"/>
      <c r="M31" s="166">
        <f>I31-K31</f>
        <v/>
      </c>
      <c r="N31" s="7">
        <f>IF(ISERROR(K31/I31),"",K31/I31)</f>
        <v/>
      </c>
      <c r="O31" s="162">
        <f>I31/E31</f>
        <v/>
      </c>
      <c r="P31" s="162">
        <f>K31/E31</f>
        <v/>
      </c>
      <c r="Q31" s="113" t="n">
        <v>3</v>
      </c>
      <c r="R31" s="113" t="n">
        <v>1</v>
      </c>
      <c r="S31" s="113" t="inlineStr">
        <is>
          <t>복</t>
        </is>
      </c>
      <c r="T31" s="8" t="inlineStr">
        <is>
          <t>105A</t>
        </is>
      </c>
      <c r="U31" s="13" t="n"/>
      <c r="W31" s="161">
        <f>D31</f>
        <v/>
      </c>
      <c r="X31" s="163">
        <f>E31</f>
        <v/>
      </c>
      <c r="Y31" s="159">
        <f>H31</f>
        <v/>
      </c>
      <c r="Z31" s="166">
        <f>I31</f>
        <v/>
      </c>
      <c r="AA31" s="166">
        <f>K31</f>
        <v/>
      </c>
      <c r="AB31" s="166">
        <f>M31</f>
        <v/>
      </c>
      <c r="AC31" s="7">
        <f>N31</f>
        <v/>
      </c>
      <c r="AD31" s="162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3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주공고층3단지</t>
        </is>
      </c>
      <c r="B32" s="16" t="inlineStr">
        <is>
          <t>'80.12.</t>
        </is>
      </c>
      <c r="C32" s="164" t="n">
        <v>1480</v>
      </c>
      <c r="D32" s="161" t="n">
        <v>107.1</v>
      </c>
      <c r="E32" s="163" t="n">
        <v>32</v>
      </c>
      <c r="F32" s="161" t="n">
        <v>98.7</v>
      </c>
      <c r="G32" s="27" t="n">
        <v>30</v>
      </c>
      <c r="H32" s="164" t="n">
        <v>72</v>
      </c>
      <c r="I32" s="165" t="n"/>
      <c r="J32" s="165" t="n"/>
      <c r="K32" s="165" t="n"/>
      <c r="L32" s="165" t="n"/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3</v>
      </c>
      <c r="R32" s="113" t="n">
        <v>1</v>
      </c>
      <c r="S32" s="113" t="inlineStr">
        <is>
          <t>복</t>
        </is>
      </c>
      <c r="T32" s="8" t="inlineStr">
        <is>
          <t>107B</t>
        </is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주공고층3단지</t>
        </is>
      </c>
      <c r="B33" s="16" t="inlineStr">
        <is>
          <t>'80.12.</t>
        </is>
      </c>
      <c r="C33" s="164" t="n">
        <v>1480</v>
      </c>
      <c r="D33" s="161" t="n">
        <v>109.6</v>
      </c>
      <c r="E33" s="163" t="n">
        <v>33</v>
      </c>
      <c r="F33" s="161" t="n">
        <v>99.59999999999999</v>
      </c>
      <c r="G33" s="27" t="n">
        <v>30</v>
      </c>
      <c r="H33" s="164" t="n">
        <v>520</v>
      </c>
      <c r="I33" s="165" t="n"/>
      <c r="J33" s="165" t="n"/>
      <c r="K33" s="165" t="n"/>
      <c r="L33" s="165" t="n"/>
      <c r="M33" s="166">
        <f>I33-K33</f>
        <v/>
      </c>
      <c r="N33" s="7">
        <f>IF(ISERROR(K33/I33),"",K33/I33)</f>
        <v/>
      </c>
      <c r="O33" s="162">
        <f>I33/E33</f>
        <v/>
      </c>
      <c r="P33" s="162">
        <f>K33/E33</f>
        <v/>
      </c>
      <c r="Q33" s="113" t="n">
        <v>3</v>
      </c>
      <c r="R33" s="113" t="n">
        <v>1</v>
      </c>
      <c r="S33" s="113" t="inlineStr">
        <is>
          <t>복</t>
        </is>
      </c>
      <c r="T33" s="8" t="n">
        <v>109</v>
      </c>
      <c r="U33" s="13" t="n"/>
      <c r="W33" s="161">
        <f>D33</f>
        <v/>
      </c>
      <c r="X33" s="163">
        <f>E33</f>
        <v/>
      </c>
      <c r="Y33" s="159">
        <f>H33</f>
        <v/>
      </c>
      <c r="Z33" s="166">
        <f>I33</f>
        <v/>
      </c>
      <c r="AA33" s="166">
        <f>K33</f>
        <v/>
      </c>
      <c r="AB33" s="166">
        <f>M33</f>
        <v/>
      </c>
      <c r="AC33" s="7">
        <f>N33</f>
        <v/>
      </c>
      <c r="AD33" s="162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3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n"/>
      <c r="B34" s="113" t="n"/>
      <c r="C34" s="10" t="n"/>
      <c r="D34" s="13" t="n"/>
      <c r="E34" s="20" t="n"/>
      <c r="F34" s="161" t="n"/>
      <c r="G34" s="13" t="n"/>
      <c r="H34" s="13" t="n"/>
      <c r="I34" s="13" t="n"/>
      <c r="J34" s="13" t="n"/>
      <c r="K34" s="13" t="n"/>
      <c r="L34" s="13" t="n"/>
      <c r="M34" s="13" t="n"/>
      <c r="N34" s="13" t="n"/>
      <c r="O34" s="162" t="n"/>
      <c r="P34" s="162" t="n"/>
      <c r="Q34" s="163" t="n"/>
      <c r="R34" s="163" t="n"/>
      <c r="S34" s="13" t="n"/>
      <c r="T34" s="70" t="n"/>
      <c r="U34" s="13" t="n"/>
      <c r="W34" s="107">
        <f>$A$4&amp;" "&amp;A35&amp;"("&amp;B35&amp;","&amp;C35&amp;"^)"</f>
        <v/>
      </c>
      <c r="X34" s="108" t="n"/>
      <c r="Y34" s="108" t="n"/>
      <c r="Z34" s="108" t="n"/>
      <c r="AA34" s="108" t="n"/>
      <c r="AB34" s="108" t="n"/>
      <c r="AC34" s="108" t="n"/>
      <c r="AD34" s="108" t="n"/>
      <c r="AE34" s="108" t="n"/>
      <c r="AF34" s="109" t="n"/>
      <c r="AH34" s="36">
        <f>IF(A34="","",A34)</f>
        <v/>
      </c>
      <c r="AI34" s="160">
        <f>IF(E34="","",E34)</f>
        <v/>
      </c>
      <c r="AJ34" s="113" t="n"/>
      <c r="AK34" s="113" t="n"/>
      <c r="AL34" s="113" t="n"/>
      <c r="AM34" s="113" t="n"/>
      <c r="AN34" s="113" t="n"/>
      <c r="AO34" s="113" t="n"/>
      <c r="AP34" s="113" t="n"/>
      <c r="AQ34" s="113" t="n"/>
      <c r="AR34" s="113" t="n"/>
      <c r="AS34" s="113" t="n"/>
      <c r="AT34" s="113" t="n"/>
      <c r="AU34" s="113" t="n"/>
      <c r="AV34" s="113" t="n"/>
    </row>
    <row r="35">
      <c r="A35" s="13" t="inlineStr">
        <is>
          <t>주공저층1단지</t>
        </is>
      </c>
      <c r="B35" s="16" t="inlineStr">
        <is>
          <t>'80.01.</t>
        </is>
      </c>
      <c r="C35" s="164" t="n">
        <v>1370</v>
      </c>
      <c r="D35" s="161" t="n">
        <v>25.4</v>
      </c>
      <c r="E35" s="163" t="n">
        <v>8</v>
      </c>
      <c r="F35" s="161" t="n">
        <v>25.4</v>
      </c>
      <c r="G35" s="27" t="n">
        <v>8</v>
      </c>
      <c r="H35" s="164" t="n">
        <v>50</v>
      </c>
      <c r="I35" s="165" t="n"/>
      <c r="J35" s="165" t="n"/>
      <c r="K35" s="165" t="n"/>
      <c r="L35" s="165" t="n"/>
      <c r="M35" s="166">
        <f>I35-K35</f>
        <v/>
      </c>
      <c r="N35" s="7">
        <f>IF(ISERROR(K35/I35),"",K35/I35)</f>
        <v/>
      </c>
      <c r="O35" s="162">
        <f>I35/E35</f>
        <v/>
      </c>
      <c r="P35" s="162">
        <f>K35/E35</f>
        <v/>
      </c>
      <c r="Q35" s="113" t="n">
        <v>1</v>
      </c>
      <c r="R35" s="113" t="n">
        <v>1</v>
      </c>
      <c r="S35" s="113" t="inlineStr">
        <is>
          <t>계</t>
        </is>
      </c>
      <c r="T35" s="8" t="inlineStr">
        <is>
          <t>25A</t>
        </is>
      </c>
      <c r="U35" s="13" t="n"/>
      <c r="W35" s="161">
        <f>D35</f>
        <v/>
      </c>
      <c r="X35" s="163">
        <f>E35</f>
        <v/>
      </c>
      <c r="Y35" s="159">
        <f>H35</f>
        <v/>
      </c>
      <c r="Z35" s="166">
        <f>I35</f>
        <v/>
      </c>
      <c r="AA35" s="166">
        <f>K35</f>
        <v/>
      </c>
      <c r="AB35" s="166">
        <f>M35</f>
        <v/>
      </c>
      <c r="AC35" s="7">
        <f>N35</f>
        <v/>
      </c>
      <c r="AD35" s="162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3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inlineStr">
        <is>
          <t>주공저층1단지</t>
        </is>
      </c>
      <c r="B36" s="16" t="inlineStr">
        <is>
          <t>'80.01.</t>
        </is>
      </c>
      <c r="C36" s="164" t="n">
        <v>1370</v>
      </c>
      <c r="D36" s="161" t="n">
        <v>25.5</v>
      </c>
      <c r="E36" s="163" t="n">
        <v>8</v>
      </c>
      <c r="F36" s="161" t="n">
        <v>25.5</v>
      </c>
      <c r="G36" s="27" t="n">
        <v>8</v>
      </c>
      <c r="H36" s="164" t="n">
        <v>50</v>
      </c>
      <c r="I36" s="165" t="n"/>
      <c r="J36" s="165" t="n"/>
      <c r="K36" s="165" t="n"/>
      <c r="L36" s="165" t="n"/>
      <c r="M36" s="166">
        <f>I36-K36</f>
        <v/>
      </c>
      <c r="N36" s="7">
        <f>IF(ISERROR(K36/I36),"",K36/I36)</f>
        <v/>
      </c>
      <c r="O36" s="162">
        <f>I36/E36</f>
        <v/>
      </c>
      <c r="P36" s="162">
        <f>K36/E36</f>
        <v/>
      </c>
      <c r="Q36" s="113" t="n">
        <v>1</v>
      </c>
      <c r="R36" s="113" t="n">
        <v>1</v>
      </c>
      <c r="S36" s="113" t="inlineStr">
        <is>
          <t>계</t>
        </is>
      </c>
      <c r="T36" s="8" t="inlineStr">
        <is>
          <t>25B</t>
        </is>
      </c>
      <c r="U36" s="13" t="n"/>
      <c r="W36" s="161">
        <f>D36</f>
        <v/>
      </c>
      <c r="X36" s="163">
        <f>E36</f>
        <v/>
      </c>
      <c r="Y36" s="159">
        <f>H36</f>
        <v/>
      </c>
      <c r="Z36" s="166">
        <f>I36</f>
        <v/>
      </c>
      <c r="AA36" s="166">
        <f>K36</f>
        <v/>
      </c>
      <c r="AB36" s="166">
        <f>M36</f>
        <v/>
      </c>
      <c r="AC36" s="7">
        <f>N36</f>
        <v/>
      </c>
      <c r="AD36" s="162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3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inlineStr">
        <is>
          <t>주공저층1단지</t>
        </is>
      </c>
      <c r="B37" s="16" t="inlineStr">
        <is>
          <t>'80.01.</t>
        </is>
      </c>
      <c r="C37" s="164" t="n">
        <v>1370</v>
      </c>
      <c r="D37" s="161" t="n">
        <v>50.8</v>
      </c>
      <c r="E37" s="163" t="n">
        <v>15</v>
      </c>
      <c r="F37" s="161" t="n">
        <v>50.8</v>
      </c>
      <c r="G37" s="27" t="n">
        <v>15</v>
      </c>
      <c r="H37" s="164" t="n">
        <v>210</v>
      </c>
      <c r="I37" s="165" t="n"/>
      <c r="J37" s="165" t="n"/>
      <c r="K37" s="165" t="n"/>
      <c r="L37" s="165" t="n"/>
      <c r="M37" s="166">
        <f>I37-K37</f>
        <v/>
      </c>
      <c r="N37" s="7">
        <f>IF(ISERROR(K37/I37),"",K37/I37)</f>
        <v/>
      </c>
      <c r="O37" s="162">
        <f>I37/E37</f>
        <v/>
      </c>
      <c r="P37" s="162">
        <f>K37/E37</f>
        <v/>
      </c>
      <c r="Q37" s="113" t="n">
        <v>2</v>
      </c>
      <c r="R37" s="113" t="n">
        <v>1</v>
      </c>
      <c r="S37" s="113" t="inlineStr">
        <is>
          <t>계</t>
        </is>
      </c>
      <c r="T37" s="8" t="n">
        <v>50</v>
      </c>
      <c r="U37" s="13" t="n"/>
      <c r="W37" s="161">
        <f>D37</f>
        <v/>
      </c>
      <c r="X37" s="163">
        <f>E37</f>
        <v/>
      </c>
      <c r="Y37" s="159">
        <f>H37</f>
        <v/>
      </c>
      <c r="Z37" s="166">
        <f>I37</f>
        <v/>
      </c>
      <c r="AA37" s="166">
        <f>K37</f>
        <v/>
      </c>
      <c r="AB37" s="166">
        <f>M37</f>
        <v/>
      </c>
      <c r="AC37" s="7">
        <f>N37</f>
        <v/>
      </c>
      <c r="AD37" s="162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3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inlineStr">
        <is>
          <t>주공저층1단지</t>
        </is>
      </c>
      <c r="B38" s="16" t="inlineStr">
        <is>
          <t>'80.01.</t>
        </is>
      </c>
      <c r="C38" s="164" t="n">
        <v>1370</v>
      </c>
      <c r="D38" s="161" t="n">
        <v>51.7</v>
      </c>
      <c r="E38" s="163" t="n">
        <v>16</v>
      </c>
      <c r="F38" s="161" t="n">
        <v>51.7</v>
      </c>
      <c r="G38" s="27" t="n">
        <v>16</v>
      </c>
      <c r="H38" s="164" t="n">
        <v>90</v>
      </c>
      <c r="I38" s="165" t="n"/>
      <c r="J38" s="165" t="n"/>
      <c r="K38" s="165" t="n"/>
      <c r="L38" s="165" t="n"/>
      <c r="M38" s="166">
        <f>I38-K38</f>
        <v/>
      </c>
      <c r="N38" s="7">
        <f>IF(ISERROR(K38/I38),"",K38/I38)</f>
        <v/>
      </c>
      <c r="O38" s="162">
        <f>I38/E38</f>
        <v/>
      </c>
      <c r="P38" s="162">
        <f>K38/E38</f>
        <v/>
      </c>
      <c r="Q38" s="113" t="n">
        <v>2</v>
      </c>
      <c r="R38" s="113" t="n">
        <v>1</v>
      </c>
      <c r="S38" s="113" t="inlineStr">
        <is>
          <t>계</t>
        </is>
      </c>
      <c r="T38" s="8" t="n">
        <v>51</v>
      </c>
      <c r="U38" s="13" t="n"/>
      <c r="W38" s="161">
        <f>D38</f>
        <v/>
      </c>
      <c r="X38" s="163">
        <f>E38</f>
        <v/>
      </c>
      <c r="Y38" s="159">
        <f>H38</f>
        <v/>
      </c>
      <c r="Z38" s="166">
        <f>I38</f>
        <v/>
      </c>
      <c r="AA38" s="166">
        <f>K38</f>
        <v/>
      </c>
      <c r="AB38" s="166">
        <f>M38</f>
        <v/>
      </c>
      <c r="AC38" s="7">
        <f>N38</f>
        <v/>
      </c>
      <c r="AD38" s="162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3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주공저층1단지</t>
        </is>
      </c>
      <c r="B39" s="16" t="inlineStr">
        <is>
          <t>'80.01.</t>
        </is>
      </c>
      <c r="C39" s="164" t="n">
        <v>1370</v>
      </c>
      <c r="D39" s="161" t="n">
        <v>58.2</v>
      </c>
      <c r="E39" s="163" t="n">
        <v>18</v>
      </c>
      <c r="F39" s="161" t="n">
        <v>58.2</v>
      </c>
      <c r="G39" s="27" t="n">
        <v>18</v>
      </c>
      <c r="H39" s="164" t="n">
        <v>240</v>
      </c>
      <c r="I39" s="165" t="n"/>
      <c r="J39" s="165" t="n"/>
      <c r="K39" s="165" t="n"/>
      <c r="L39" s="165" t="n"/>
      <c r="M39" s="166">
        <f>I39-K39</f>
        <v/>
      </c>
      <c r="N39" s="7">
        <f>IF(ISERROR(K39/I39),"",K39/I39)</f>
        <v/>
      </c>
      <c r="O39" s="162">
        <f>I39/E39</f>
        <v/>
      </c>
      <c r="P39" s="162">
        <f>K39/E39</f>
        <v/>
      </c>
      <c r="Q39" s="113" t="n">
        <v>3</v>
      </c>
      <c r="R39" s="113" t="n">
        <v>1</v>
      </c>
      <c r="S39" s="113" t="inlineStr">
        <is>
          <t>계</t>
        </is>
      </c>
      <c r="T39" s="8" t="inlineStr">
        <is>
          <t>58B</t>
        </is>
      </c>
      <c r="U39" s="13" t="n"/>
      <c r="W39" s="161">
        <f>D39</f>
        <v/>
      </c>
      <c r="X39" s="163">
        <f>E39</f>
        <v/>
      </c>
      <c r="Y39" s="159">
        <f>H39</f>
        <v/>
      </c>
      <c r="Z39" s="166">
        <f>I39</f>
        <v/>
      </c>
      <c r="AA39" s="166">
        <f>K39</f>
        <v/>
      </c>
      <c r="AB39" s="166">
        <f>M39</f>
        <v/>
      </c>
      <c r="AC39" s="7">
        <f>N39</f>
        <v/>
      </c>
      <c r="AD39" s="162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3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inlineStr">
        <is>
          <t>주공저층1단지</t>
        </is>
      </c>
      <c r="B40" s="16" t="inlineStr">
        <is>
          <t>'80.01.</t>
        </is>
      </c>
      <c r="C40" s="164" t="n">
        <v>1370</v>
      </c>
      <c r="D40" s="161" t="n">
        <v>58.1</v>
      </c>
      <c r="E40" s="163" t="n">
        <v>18</v>
      </c>
      <c r="F40" s="161" t="n">
        <v>58.1</v>
      </c>
      <c r="G40" s="27" t="n">
        <v>18</v>
      </c>
      <c r="H40" s="164" t="n">
        <v>200</v>
      </c>
      <c r="I40" s="165" t="n"/>
      <c r="J40" s="165" t="n"/>
      <c r="K40" s="165" t="n"/>
      <c r="L40" s="165" t="n"/>
      <c r="M40" s="166">
        <f>I40-K40</f>
        <v/>
      </c>
      <c r="N40" s="7">
        <f>IF(ISERROR(K40/I40),"",K40/I40)</f>
        <v/>
      </c>
      <c r="O40" s="162">
        <f>I40/E40</f>
        <v/>
      </c>
      <c r="P40" s="162">
        <f>K40/E40</f>
        <v/>
      </c>
      <c r="Q40" s="113" t="n">
        <v>3</v>
      </c>
      <c r="R40" s="113" t="n">
        <v>1</v>
      </c>
      <c r="S40" s="113" t="inlineStr">
        <is>
          <t>계</t>
        </is>
      </c>
      <c r="T40" s="8" t="inlineStr">
        <is>
          <t>58A</t>
        </is>
      </c>
      <c r="U40" s="13" t="n"/>
      <c r="W40" s="161">
        <f>D40</f>
        <v/>
      </c>
      <c r="X40" s="163">
        <f>E40</f>
        <v/>
      </c>
      <c r="Y40" s="159">
        <f>H40</f>
        <v/>
      </c>
      <c r="Z40" s="166">
        <f>I40</f>
        <v/>
      </c>
      <c r="AA40" s="166">
        <f>K40</f>
        <v/>
      </c>
      <c r="AB40" s="166">
        <f>M40</f>
        <v/>
      </c>
      <c r="AC40" s="7">
        <f>N40</f>
        <v/>
      </c>
      <c r="AD40" s="162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3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inlineStr">
        <is>
          <t>주공저층1단지</t>
        </is>
      </c>
      <c r="B41" s="16" t="inlineStr">
        <is>
          <t>'80.01.</t>
        </is>
      </c>
      <c r="C41" s="164" t="n">
        <v>1370</v>
      </c>
      <c r="D41" s="161" t="n">
        <v>58.9</v>
      </c>
      <c r="E41" s="163" t="n">
        <v>18</v>
      </c>
      <c r="F41" s="161" t="n">
        <v>58.9</v>
      </c>
      <c r="G41" s="27" t="n">
        <v>18</v>
      </c>
      <c r="H41" s="164" t="n">
        <v>40</v>
      </c>
      <c r="I41" s="165" t="n"/>
      <c r="J41" s="165" t="n"/>
      <c r="K41" s="165" t="n"/>
      <c r="L41" s="165" t="n"/>
      <c r="M41" s="166">
        <f>I41-K41</f>
        <v/>
      </c>
      <c r="N41" s="7">
        <f>IF(ISERROR(K41/I41),"",K41/I41)</f>
        <v/>
      </c>
      <c r="O41" s="162">
        <f>I41/E41</f>
        <v/>
      </c>
      <c r="P41" s="162">
        <f>K41/E41</f>
        <v/>
      </c>
      <c r="Q41" s="113" t="n">
        <v>3</v>
      </c>
      <c r="R41" s="113" t="n">
        <v>1</v>
      </c>
      <c r="S41" s="113" t="inlineStr">
        <is>
          <t>계</t>
        </is>
      </c>
      <c r="T41" s="8" t="inlineStr">
        <is>
          <t>58C</t>
        </is>
      </c>
      <c r="U41" s="13" t="n"/>
      <c r="W41" s="161">
        <f>D41</f>
        <v/>
      </c>
      <c r="X41" s="163">
        <f>E41</f>
        <v/>
      </c>
      <c r="Y41" s="159">
        <f>H41</f>
        <v/>
      </c>
      <c r="Z41" s="166">
        <f>I41</f>
        <v/>
      </c>
      <c r="AA41" s="166">
        <f>K41</f>
        <v/>
      </c>
      <c r="AB41" s="166">
        <f>M41</f>
        <v/>
      </c>
      <c r="AC41" s="7">
        <f>N41</f>
        <v/>
      </c>
      <c r="AD41" s="162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3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inlineStr">
        <is>
          <t>주공저층1단지</t>
        </is>
      </c>
      <c r="B42" s="16" t="inlineStr">
        <is>
          <t>'80.01.</t>
        </is>
      </c>
      <c r="C42" s="164" t="n">
        <v>1370</v>
      </c>
      <c r="D42" s="161" t="n">
        <v>79.90000000000001</v>
      </c>
      <c r="E42" s="163" t="n">
        <v>24</v>
      </c>
      <c r="F42" s="161" t="n">
        <v>79.90000000000001</v>
      </c>
      <c r="G42" s="27" t="n">
        <v>24</v>
      </c>
      <c r="H42" s="164" t="n">
        <v>100</v>
      </c>
      <c r="I42" s="165" t="n"/>
      <c r="J42" s="165" t="n"/>
      <c r="K42" s="165" t="n"/>
      <c r="L42" s="165" t="n"/>
      <c r="M42" s="166">
        <f>I42-K42</f>
        <v/>
      </c>
      <c r="N42" s="7">
        <f>IF(ISERROR(K42/I42),"",K42/I42)</f>
        <v/>
      </c>
      <c r="O42" s="162">
        <f>I42/E42</f>
        <v/>
      </c>
      <c r="P42" s="162">
        <f>K42/E42</f>
        <v/>
      </c>
      <c r="Q42" s="113" t="n">
        <v>3</v>
      </c>
      <c r="R42" s="113" t="n">
        <v>1</v>
      </c>
      <c r="S42" s="113" t="inlineStr">
        <is>
          <t>계</t>
        </is>
      </c>
      <c r="T42" s="8" t="inlineStr">
        <is>
          <t>79A</t>
        </is>
      </c>
      <c r="U42" s="13" t="n"/>
      <c r="W42" s="161">
        <f>D42</f>
        <v/>
      </c>
      <c r="X42" s="163">
        <f>E42</f>
        <v/>
      </c>
      <c r="Y42" s="159">
        <f>H42</f>
        <v/>
      </c>
      <c r="Z42" s="166">
        <f>I42</f>
        <v/>
      </c>
      <c r="AA42" s="166">
        <f>K42</f>
        <v/>
      </c>
      <c r="AB42" s="166">
        <f>M42</f>
        <v/>
      </c>
      <c r="AC42" s="7">
        <f>N42</f>
        <v/>
      </c>
      <c r="AD42" s="162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3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inlineStr">
        <is>
          <t>주공저층1단지</t>
        </is>
      </c>
      <c r="B43" s="16" t="inlineStr">
        <is>
          <t>'80.01.</t>
        </is>
      </c>
      <c r="C43" s="164" t="n">
        <v>1370</v>
      </c>
      <c r="D43" s="161" t="n">
        <v>80</v>
      </c>
      <c r="E43" s="163" t="n">
        <v>24</v>
      </c>
      <c r="F43" s="161" t="n">
        <v>80</v>
      </c>
      <c r="G43" s="27" t="n">
        <v>24</v>
      </c>
      <c r="H43" s="164" t="n">
        <v>110</v>
      </c>
      <c r="I43" s="165" t="n"/>
      <c r="J43" s="165" t="n"/>
      <c r="K43" s="165" t="n"/>
      <c r="L43" s="165" t="n"/>
      <c r="M43" s="166">
        <f>I43-K43</f>
        <v/>
      </c>
      <c r="N43" s="7">
        <f>IF(ISERROR(K43/I43),"",K43/I43)</f>
        <v/>
      </c>
      <c r="O43" s="162">
        <f>I43/E43</f>
        <v/>
      </c>
      <c r="P43" s="162">
        <f>K43/E43</f>
        <v/>
      </c>
      <c r="Q43" s="113" t="n">
        <v>3</v>
      </c>
      <c r="R43" s="113" t="n">
        <v>1</v>
      </c>
      <c r="S43" s="113" t="inlineStr">
        <is>
          <t>계</t>
        </is>
      </c>
      <c r="T43" s="8" t="inlineStr">
        <is>
          <t>80B</t>
        </is>
      </c>
      <c r="U43" s="13" t="n"/>
      <c r="W43" s="161">
        <f>D43</f>
        <v/>
      </c>
      <c r="X43" s="163">
        <f>E43</f>
        <v/>
      </c>
      <c r="Y43" s="159">
        <f>H43</f>
        <v/>
      </c>
      <c r="Z43" s="166">
        <f>I43</f>
        <v/>
      </c>
      <c r="AA43" s="166">
        <f>K43</f>
        <v/>
      </c>
      <c r="AB43" s="166">
        <f>M43</f>
        <v/>
      </c>
      <c r="AC43" s="7">
        <f>N43</f>
        <v/>
      </c>
      <c r="AD43" s="162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3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inlineStr">
        <is>
          <t>주공저층1단지</t>
        </is>
      </c>
      <c r="B44" s="16" t="inlineStr">
        <is>
          <t>'80.01.</t>
        </is>
      </c>
      <c r="C44" s="164" t="n">
        <v>1370</v>
      </c>
      <c r="D44" s="161" t="n">
        <v>88.40000000000001</v>
      </c>
      <c r="E44" s="163" t="n">
        <v>27</v>
      </c>
      <c r="F44" s="161" t="n">
        <v>88.40000000000001</v>
      </c>
      <c r="G44" s="27" t="n">
        <v>27</v>
      </c>
      <c r="H44" s="164" t="n">
        <v>150</v>
      </c>
      <c r="I44" s="165" t="n"/>
      <c r="J44" s="165" t="n"/>
      <c r="K44" s="165" t="n"/>
      <c r="L44" s="165" t="n"/>
      <c r="M44" s="166">
        <f>I44-K44</f>
        <v/>
      </c>
      <c r="N44" s="7">
        <f>IF(ISERROR(K44/I44),"",K44/I44)</f>
        <v/>
      </c>
      <c r="O44" s="162">
        <f>I44/E44</f>
        <v/>
      </c>
      <c r="P44" s="162">
        <f>K44/E44</f>
        <v/>
      </c>
      <c r="Q44" s="113" t="n">
        <v>3</v>
      </c>
      <c r="R44" s="113" t="n">
        <v>1</v>
      </c>
      <c r="S44" s="113" t="inlineStr">
        <is>
          <t>계</t>
        </is>
      </c>
      <c r="T44" s="8" t="inlineStr">
        <is>
          <t>88B</t>
        </is>
      </c>
      <c r="U44" s="13" t="n"/>
      <c r="W44" s="161">
        <f>D44</f>
        <v/>
      </c>
      <c r="X44" s="163">
        <f>E44</f>
        <v/>
      </c>
      <c r="Y44" s="159">
        <f>H44</f>
        <v/>
      </c>
      <c r="Z44" s="166">
        <f>I44</f>
        <v/>
      </c>
      <c r="AA44" s="166">
        <f>K44</f>
        <v/>
      </c>
      <c r="AB44" s="166">
        <f>M44</f>
        <v/>
      </c>
      <c r="AC44" s="7">
        <f>N44</f>
        <v/>
      </c>
      <c r="AD44" s="162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3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inlineStr">
        <is>
          <t>주공저층1단지</t>
        </is>
      </c>
      <c r="B45" s="16" t="inlineStr">
        <is>
          <t>'80.01.</t>
        </is>
      </c>
      <c r="C45" s="164" t="n">
        <v>1370</v>
      </c>
      <c r="D45" s="161" t="n">
        <v>88.3</v>
      </c>
      <c r="E45" s="163" t="n">
        <v>27</v>
      </c>
      <c r="F45" s="161" t="n">
        <v>88.3</v>
      </c>
      <c r="G45" s="27" t="n">
        <v>27</v>
      </c>
      <c r="H45" s="164" t="n">
        <v>130</v>
      </c>
      <c r="I45" s="165" t="n"/>
      <c r="J45" s="165" t="n"/>
      <c r="K45" s="165" t="n"/>
      <c r="L45" s="165" t="n"/>
      <c r="M45" s="166">
        <f>I45-K45</f>
        <v/>
      </c>
      <c r="N45" s="7">
        <f>IF(ISERROR(K45/I45),"",K45/I45)</f>
        <v/>
      </c>
      <c r="O45" s="162">
        <f>I45/E45</f>
        <v/>
      </c>
      <c r="P45" s="162">
        <f>K45/E45</f>
        <v/>
      </c>
      <c r="Q45" s="113" t="n">
        <v>3</v>
      </c>
      <c r="R45" s="113" t="n">
        <v>1</v>
      </c>
      <c r="S45" s="113" t="inlineStr">
        <is>
          <t>계</t>
        </is>
      </c>
      <c r="T45" s="8" t="inlineStr">
        <is>
          <t>88A</t>
        </is>
      </c>
      <c r="U45" s="13" t="n"/>
      <c r="W45" s="161">
        <f>D45</f>
        <v/>
      </c>
      <c r="X45" s="163">
        <f>E45</f>
        <v/>
      </c>
      <c r="Y45" s="159">
        <f>H45</f>
        <v/>
      </c>
      <c r="Z45" s="166">
        <f>I45</f>
        <v/>
      </c>
      <c r="AA45" s="166">
        <f>K45</f>
        <v/>
      </c>
      <c r="AB45" s="166">
        <f>M45</f>
        <v/>
      </c>
      <c r="AC45" s="7">
        <f>N45</f>
        <v/>
      </c>
      <c r="AD45" s="162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3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n"/>
      <c r="B46" s="113" t="n"/>
      <c r="C46" s="10" t="n"/>
      <c r="D46" s="13" t="n"/>
      <c r="E46" s="20" t="n"/>
      <c r="F46" s="161" t="n"/>
      <c r="G46" s="13" t="n"/>
      <c r="H46" s="13" t="n"/>
      <c r="I46" s="13" t="n"/>
      <c r="J46" s="13" t="n"/>
      <c r="K46" s="13" t="n"/>
      <c r="L46" s="13" t="n"/>
      <c r="M46" s="13" t="n"/>
      <c r="N46" s="13" t="n"/>
      <c r="O46" s="162" t="n"/>
      <c r="P46" s="162" t="n"/>
      <c r="Q46" s="163" t="n"/>
      <c r="R46" s="163" t="n"/>
      <c r="S46" s="13" t="n"/>
      <c r="T46" s="70" t="n"/>
      <c r="U46" s="13" t="n"/>
      <c r="W46" s="107">
        <f>$A$4&amp;" "&amp;A47&amp;"("&amp;B47&amp;","&amp;C47&amp;"^)"</f>
        <v/>
      </c>
      <c r="X46" s="108" t="n"/>
      <c r="Y46" s="108" t="n"/>
      <c r="Z46" s="108" t="n"/>
      <c r="AA46" s="108" t="n"/>
      <c r="AB46" s="108" t="n"/>
      <c r="AC46" s="108" t="n"/>
      <c r="AD46" s="108" t="n"/>
      <c r="AE46" s="108" t="n"/>
      <c r="AF46" s="109" t="n"/>
      <c r="AH46" s="36">
        <f>IF(A46="","",A46)</f>
        <v/>
      </c>
      <c r="AI46" s="160">
        <f>IF(E46="","",E46)</f>
        <v/>
      </c>
      <c r="AJ46" s="113" t="n"/>
      <c r="AK46" s="113" t="n"/>
      <c r="AL46" s="113" t="n"/>
      <c r="AM46" s="113" t="n"/>
      <c r="AN46" s="113" t="n"/>
      <c r="AO46" s="113" t="n"/>
      <c r="AP46" s="113" t="n"/>
      <c r="AQ46" s="113" t="n"/>
      <c r="AR46" s="113" t="n"/>
      <c r="AS46" s="113" t="n"/>
      <c r="AT46" s="113" t="n"/>
      <c r="AU46" s="113" t="n"/>
      <c r="AV46" s="113" t="n"/>
    </row>
    <row r="47">
      <c r="A47" s="13" t="inlineStr">
        <is>
          <t>주공저층2단지</t>
        </is>
      </c>
      <c r="B47" s="16" t="inlineStr">
        <is>
          <t>'80.01.</t>
        </is>
      </c>
      <c r="C47" s="164" t="n">
        <v>900</v>
      </c>
      <c r="D47" s="161" t="n">
        <v>50.8</v>
      </c>
      <c r="E47" s="163" t="n">
        <v>15</v>
      </c>
      <c r="F47" s="161" t="n">
        <v>50.8</v>
      </c>
      <c r="G47" s="27" t="n">
        <v>15</v>
      </c>
      <c r="H47" s="164" t="n">
        <v>90</v>
      </c>
      <c r="I47" s="165" t="n"/>
      <c r="J47" s="165" t="n"/>
      <c r="K47" s="165" t="n"/>
      <c r="L47" s="165" t="n"/>
      <c r="M47" s="166">
        <f>I47-K47</f>
        <v/>
      </c>
      <c r="N47" s="7">
        <f>IF(ISERROR(K47/I47),"",K47/I47)</f>
        <v/>
      </c>
      <c r="O47" s="162">
        <f>I47/E47</f>
        <v/>
      </c>
      <c r="P47" s="162">
        <f>K47/E47</f>
        <v/>
      </c>
      <c r="Q47" s="113" t="n">
        <v>2</v>
      </c>
      <c r="R47" s="113" t="n">
        <v>1</v>
      </c>
      <c r="S47" s="113" t="inlineStr">
        <is>
          <t>계</t>
        </is>
      </c>
      <c r="T47" s="8" t="n">
        <v>50</v>
      </c>
      <c r="U47" s="13" t="n"/>
      <c r="W47" s="161">
        <f>D47</f>
        <v/>
      </c>
      <c r="X47" s="163">
        <f>E47</f>
        <v/>
      </c>
      <c r="Y47" s="159">
        <f>H47</f>
        <v/>
      </c>
      <c r="Z47" s="166">
        <f>I47</f>
        <v/>
      </c>
      <c r="AA47" s="166">
        <f>K47</f>
        <v/>
      </c>
      <c r="AB47" s="166">
        <f>M47</f>
        <v/>
      </c>
      <c r="AC47" s="7">
        <f>N47</f>
        <v/>
      </c>
      <c r="AD47" s="162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3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inlineStr">
        <is>
          <t>주공저층2단지</t>
        </is>
      </c>
      <c r="B48" s="16" t="inlineStr">
        <is>
          <t>'80.01.</t>
        </is>
      </c>
      <c r="C48" s="164" t="n">
        <v>900</v>
      </c>
      <c r="D48" s="161" t="n">
        <v>51.7</v>
      </c>
      <c r="E48" s="163" t="n">
        <v>16</v>
      </c>
      <c r="F48" s="161" t="n">
        <v>51.7</v>
      </c>
      <c r="G48" s="27" t="n">
        <v>16</v>
      </c>
      <c r="H48" s="164" t="n">
        <v>120</v>
      </c>
      <c r="I48" s="165" t="n"/>
      <c r="J48" s="165" t="n"/>
      <c r="K48" s="165" t="n"/>
      <c r="L48" s="165" t="n"/>
      <c r="M48" s="166">
        <f>I48-K48</f>
        <v/>
      </c>
      <c r="N48" s="7">
        <f>IF(ISERROR(K48/I48),"",K48/I48)</f>
        <v/>
      </c>
      <c r="O48" s="162">
        <f>I48/E48</f>
        <v/>
      </c>
      <c r="P48" s="162">
        <f>K48/E48</f>
        <v/>
      </c>
      <c r="Q48" s="113" t="n">
        <v>2</v>
      </c>
      <c r="R48" s="113" t="n">
        <v>1</v>
      </c>
      <c r="S48" s="113" t="inlineStr">
        <is>
          <t>계</t>
        </is>
      </c>
      <c r="T48" s="8" t="n">
        <v>51</v>
      </c>
      <c r="U48" s="13" t="n"/>
      <c r="W48" s="161">
        <f>D48</f>
        <v/>
      </c>
      <c r="X48" s="163">
        <f>E48</f>
        <v/>
      </c>
      <c r="Y48" s="159">
        <f>H48</f>
        <v/>
      </c>
      <c r="Z48" s="166">
        <f>I48</f>
        <v/>
      </c>
      <c r="AA48" s="166">
        <f>K48</f>
        <v/>
      </c>
      <c r="AB48" s="166">
        <f>M48</f>
        <v/>
      </c>
      <c r="AC48" s="7">
        <f>N48</f>
        <v/>
      </c>
      <c r="AD48" s="162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3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  <row r="49">
      <c r="A49" s="13" t="inlineStr">
        <is>
          <t>주공저층2단지</t>
        </is>
      </c>
      <c r="B49" s="16" t="inlineStr">
        <is>
          <t>'80.01.</t>
        </is>
      </c>
      <c r="C49" s="164" t="n">
        <v>900</v>
      </c>
      <c r="D49" s="161" t="n">
        <v>79.90000000000001</v>
      </c>
      <c r="E49" s="163" t="n">
        <v>24</v>
      </c>
      <c r="F49" s="161" t="n">
        <v>79.90000000000001</v>
      </c>
      <c r="G49" s="27" t="n">
        <v>24</v>
      </c>
      <c r="H49" s="164" t="n">
        <v>140</v>
      </c>
      <c r="I49" s="165" t="n"/>
      <c r="J49" s="165" t="n"/>
      <c r="K49" s="165" t="n"/>
      <c r="L49" s="165" t="n"/>
      <c r="M49" s="166">
        <f>I49-K49</f>
        <v/>
      </c>
      <c r="N49" s="7">
        <f>IF(ISERROR(K49/I49),"",K49/I49)</f>
        <v/>
      </c>
      <c r="O49" s="162">
        <f>I49/E49</f>
        <v/>
      </c>
      <c r="P49" s="162">
        <f>K49/E49</f>
        <v/>
      </c>
      <c r="Q49" s="113" t="n">
        <v>3</v>
      </c>
      <c r="R49" s="113" t="n">
        <v>1</v>
      </c>
      <c r="S49" s="113" t="inlineStr">
        <is>
          <t>계</t>
        </is>
      </c>
      <c r="T49" s="8" t="inlineStr">
        <is>
          <t>79A</t>
        </is>
      </c>
      <c r="U49" s="13" t="n"/>
      <c r="W49" s="161">
        <f>D49</f>
        <v/>
      </c>
      <c r="X49" s="163">
        <f>E49</f>
        <v/>
      </c>
      <c r="Y49" s="159">
        <f>H49</f>
        <v/>
      </c>
      <c r="Z49" s="166">
        <f>I49</f>
        <v/>
      </c>
      <c r="AA49" s="166">
        <f>K49</f>
        <v/>
      </c>
      <c r="AB49" s="166">
        <f>M49</f>
        <v/>
      </c>
      <c r="AC49" s="7">
        <f>N49</f>
        <v/>
      </c>
      <c r="AD49" s="162">
        <f>O49</f>
        <v/>
      </c>
      <c r="AE49" s="113">
        <f>S49</f>
        <v/>
      </c>
      <c r="AF49" s="113">
        <f>Q49&amp;"/"&amp;R49</f>
        <v/>
      </c>
      <c r="AH49" s="36">
        <f>IF(A49="","",A49)</f>
        <v/>
      </c>
      <c r="AI49" s="163">
        <f>IF(E49="","",E49)</f>
        <v/>
      </c>
      <c r="AJ49" s="113">
        <f>IF(AI49="","",$AJ$2)</f>
        <v/>
      </c>
      <c r="AK49" s="113" t="inlineStr">
        <is>
          <t>A</t>
        </is>
      </c>
      <c r="AL49" s="113" t="inlineStr">
        <is>
          <t>A+</t>
        </is>
      </c>
      <c r="AM49" s="113" t="inlineStr">
        <is>
          <t>B+</t>
        </is>
      </c>
      <c r="AN49" s="113">
        <f>IF(AI49="","",$AN$2)</f>
        <v/>
      </c>
      <c r="AO49" s="113">
        <f>IF(N49="","",IF(N49&gt;=$AO$1/100,"O","X"))</f>
        <v/>
      </c>
      <c r="AP49" s="113">
        <f>IF(I49="","",IF(I49&lt;=$AP$1,"O","X"))</f>
        <v/>
      </c>
      <c r="AQ49" s="113">
        <f>IF(O49="","",IF(O49&lt;=$AQ$1,"O","X"))</f>
        <v/>
      </c>
      <c r="AR49" s="113">
        <f>IF(M49="","",IF(M49&lt;=$AR$1,"O","X"))</f>
        <v/>
      </c>
      <c r="AS49" s="113" t="inlineStr">
        <is>
          <t>X</t>
        </is>
      </c>
      <c r="AT49" s="113">
        <f>IF(OR(F49="",AI49=""),"",IF(AND((F49&lt;=85),(AI49&gt;=15)),"O","X"))</f>
        <v/>
      </c>
      <c r="AU49" s="113">
        <f>IF(C49="","",IF(C49&gt;=$AU$1,"O","X"))</f>
        <v/>
      </c>
      <c r="AV49" s="113">
        <f>IF(AO49="","",IF(AND(AO49="O",AP49="O",AR49="O",AT49="O",AU49="O"),"후보","X"))</f>
        <v/>
      </c>
    </row>
    <row r="50">
      <c r="A50" s="13" t="inlineStr">
        <is>
          <t>주공저층2단지</t>
        </is>
      </c>
      <c r="B50" s="16" t="inlineStr">
        <is>
          <t>'80.01.</t>
        </is>
      </c>
      <c r="C50" s="164" t="n">
        <v>900</v>
      </c>
      <c r="D50" s="161" t="n">
        <v>80</v>
      </c>
      <c r="E50" s="163" t="n">
        <v>24</v>
      </c>
      <c r="F50" s="161" t="n">
        <v>80</v>
      </c>
      <c r="G50" s="27" t="n">
        <v>24</v>
      </c>
      <c r="H50" s="164" t="n">
        <v>130</v>
      </c>
      <c r="I50" s="165" t="n"/>
      <c r="J50" s="165" t="n"/>
      <c r="K50" s="165" t="n"/>
      <c r="L50" s="165" t="n"/>
      <c r="M50" s="166">
        <f>I50-K50</f>
        <v/>
      </c>
      <c r="N50" s="7">
        <f>IF(ISERROR(K50/I50),"",K50/I50)</f>
        <v/>
      </c>
      <c r="O50" s="162">
        <f>I50/E50</f>
        <v/>
      </c>
      <c r="P50" s="162">
        <f>K50/E50</f>
        <v/>
      </c>
      <c r="Q50" s="113" t="n">
        <v>3</v>
      </c>
      <c r="R50" s="113" t="n">
        <v>1</v>
      </c>
      <c r="S50" s="113" t="inlineStr">
        <is>
          <t>계</t>
        </is>
      </c>
      <c r="T50" s="8" t="inlineStr">
        <is>
          <t>80B</t>
        </is>
      </c>
      <c r="U50" s="13" t="n"/>
      <c r="W50" s="161">
        <f>D50</f>
        <v/>
      </c>
      <c r="X50" s="163">
        <f>E50</f>
        <v/>
      </c>
      <c r="Y50" s="159">
        <f>H50</f>
        <v/>
      </c>
      <c r="Z50" s="166">
        <f>I50</f>
        <v/>
      </c>
      <c r="AA50" s="166">
        <f>K50</f>
        <v/>
      </c>
      <c r="AB50" s="166">
        <f>M50</f>
        <v/>
      </c>
      <c r="AC50" s="7">
        <f>N50</f>
        <v/>
      </c>
      <c r="AD50" s="162">
        <f>O50</f>
        <v/>
      </c>
      <c r="AE50" s="113">
        <f>S50</f>
        <v/>
      </c>
      <c r="AF50" s="113">
        <f>Q50&amp;"/"&amp;R50</f>
        <v/>
      </c>
      <c r="AH50" s="36">
        <f>IF(A50="","",A50)</f>
        <v/>
      </c>
      <c r="AI50" s="163">
        <f>IF(E50="","",E50)</f>
        <v/>
      </c>
      <c r="AJ50" s="113">
        <f>IF(AI50="","",$AJ$2)</f>
        <v/>
      </c>
      <c r="AK50" s="113" t="inlineStr">
        <is>
          <t>A</t>
        </is>
      </c>
      <c r="AL50" s="113" t="inlineStr">
        <is>
          <t>A+</t>
        </is>
      </c>
      <c r="AM50" s="113" t="inlineStr">
        <is>
          <t>B+</t>
        </is>
      </c>
      <c r="AN50" s="113">
        <f>IF(AI50="","",$AN$2)</f>
        <v/>
      </c>
      <c r="AO50" s="113">
        <f>IF(N50="","",IF(N50&gt;=$AO$1/100,"O","X"))</f>
        <v/>
      </c>
      <c r="AP50" s="113">
        <f>IF(I50="","",IF(I50&lt;=$AP$1,"O","X"))</f>
        <v/>
      </c>
      <c r="AQ50" s="113">
        <f>IF(O50="","",IF(O50&lt;=$AQ$1,"O","X"))</f>
        <v/>
      </c>
      <c r="AR50" s="113">
        <f>IF(M50="","",IF(M50&lt;=$AR$1,"O","X"))</f>
        <v/>
      </c>
      <c r="AS50" s="113" t="inlineStr">
        <is>
          <t>X</t>
        </is>
      </c>
      <c r="AT50" s="113">
        <f>IF(OR(F50="",AI50=""),"",IF(AND((F50&lt;=85),(AI50&gt;=15)),"O","X"))</f>
        <v/>
      </c>
      <c r="AU50" s="113">
        <f>IF(C50="","",IF(C50&gt;=$AU$1,"O","X"))</f>
        <v/>
      </c>
      <c r="AV50" s="113">
        <f>IF(AO50="","",IF(AND(AO50="O",AP50="O",AR50="O",AT50="O",AU50="O"),"후보","X"))</f>
        <v/>
      </c>
    </row>
    <row r="51">
      <c r="A51" s="13" t="inlineStr">
        <is>
          <t>주공저층2단지</t>
        </is>
      </c>
      <c r="B51" s="16" t="inlineStr">
        <is>
          <t>'80.01.</t>
        </is>
      </c>
      <c r="C51" s="164" t="n">
        <v>900</v>
      </c>
      <c r="D51" s="161" t="n">
        <v>88.40000000000001</v>
      </c>
      <c r="E51" s="163" t="n">
        <v>27</v>
      </c>
      <c r="F51" s="161" t="n">
        <v>88.40000000000001</v>
      </c>
      <c r="G51" s="27" t="n">
        <v>27</v>
      </c>
      <c r="H51" s="164" t="n">
        <v>230</v>
      </c>
      <c r="I51" s="165" t="n"/>
      <c r="J51" s="165" t="n"/>
      <c r="K51" s="165" t="n"/>
      <c r="L51" s="165" t="n"/>
      <c r="M51" s="166">
        <f>I51-K51</f>
        <v/>
      </c>
      <c r="N51" s="7">
        <f>IF(ISERROR(K51/I51),"",K51/I51)</f>
        <v/>
      </c>
      <c r="O51" s="162">
        <f>I51/E51</f>
        <v/>
      </c>
      <c r="P51" s="162">
        <f>K51/E51</f>
        <v/>
      </c>
      <c r="Q51" s="113" t="n">
        <v>3</v>
      </c>
      <c r="R51" s="113" t="n">
        <v>1</v>
      </c>
      <c r="S51" s="113" t="inlineStr">
        <is>
          <t>계</t>
        </is>
      </c>
      <c r="T51" s="8" t="inlineStr">
        <is>
          <t>88B</t>
        </is>
      </c>
      <c r="U51" s="13" t="n"/>
      <c r="W51" s="161">
        <f>D51</f>
        <v/>
      </c>
      <c r="X51" s="163">
        <f>E51</f>
        <v/>
      </c>
      <c r="Y51" s="159">
        <f>H51</f>
        <v/>
      </c>
      <c r="Z51" s="166">
        <f>I51</f>
        <v/>
      </c>
      <c r="AA51" s="166">
        <f>K51</f>
        <v/>
      </c>
      <c r="AB51" s="166">
        <f>M51</f>
        <v/>
      </c>
      <c r="AC51" s="7">
        <f>N51</f>
        <v/>
      </c>
      <c r="AD51" s="162">
        <f>O51</f>
        <v/>
      </c>
      <c r="AE51" s="113">
        <f>S51</f>
        <v/>
      </c>
      <c r="AF51" s="113">
        <f>Q51&amp;"/"&amp;R51</f>
        <v/>
      </c>
      <c r="AH51" s="36">
        <f>IF(A51="","",A51)</f>
        <v/>
      </c>
      <c r="AI51" s="163">
        <f>IF(E51="","",E51)</f>
        <v/>
      </c>
      <c r="AJ51" s="113">
        <f>IF(AI51="","",$AJ$2)</f>
        <v/>
      </c>
      <c r="AK51" s="113" t="inlineStr">
        <is>
          <t>A</t>
        </is>
      </c>
      <c r="AL51" s="113" t="inlineStr">
        <is>
          <t>A+</t>
        </is>
      </c>
      <c r="AM51" s="113" t="inlineStr">
        <is>
          <t>B+</t>
        </is>
      </c>
      <c r="AN51" s="113">
        <f>IF(AI51="","",$AN$2)</f>
        <v/>
      </c>
      <c r="AO51" s="113">
        <f>IF(N51="","",IF(N51&gt;=$AO$1/100,"O","X"))</f>
        <v/>
      </c>
      <c r="AP51" s="113">
        <f>IF(I51="","",IF(I51&lt;=$AP$1,"O","X"))</f>
        <v/>
      </c>
      <c r="AQ51" s="113">
        <f>IF(O51="","",IF(O51&lt;=$AQ$1,"O","X"))</f>
        <v/>
      </c>
      <c r="AR51" s="113">
        <f>IF(M51="","",IF(M51&lt;=$AR$1,"O","X"))</f>
        <v/>
      </c>
      <c r="AS51" s="113" t="inlineStr">
        <is>
          <t>X</t>
        </is>
      </c>
      <c r="AT51" s="113">
        <f>IF(OR(F51="",AI51=""),"",IF(AND((F51&lt;=85),(AI51&gt;=15)),"O","X"))</f>
        <v/>
      </c>
      <c r="AU51" s="113">
        <f>IF(C51="","",IF(C51&gt;=$AU$1,"O","X"))</f>
        <v/>
      </c>
      <c r="AV51" s="113">
        <f>IF(AO51="","",IF(AND(AO51="O",AP51="O",AR51="O",AT51="O",AU51="O"),"후보","X"))</f>
        <v/>
      </c>
    </row>
    <row r="52">
      <c r="A52" s="13" t="inlineStr">
        <is>
          <t>주공저층2단지</t>
        </is>
      </c>
      <c r="B52" s="16" t="inlineStr">
        <is>
          <t>'80.01.</t>
        </is>
      </c>
      <c r="C52" s="164" t="n">
        <v>900</v>
      </c>
      <c r="D52" s="161" t="n">
        <v>88.3</v>
      </c>
      <c r="E52" s="163" t="n">
        <v>27</v>
      </c>
      <c r="F52" s="161" t="n">
        <v>88.3</v>
      </c>
      <c r="G52" s="27" t="n">
        <v>27</v>
      </c>
      <c r="H52" s="164" t="n">
        <v>190</v>
      </c>
      <c r="I52" s="165" t="n"/>
      <c r="J52" s="165" t="n"/>
      <c r="K52" s="165" t="n"/>
      <c r="L52" s="165" t="n"/>
      <c r="M52" s="166">
        <f>I52-K52</f>
        <v/>
      </c>
      <c r="N52" s="7">
        <f>IF(ISERROR(K52/I52),"",K52/I52)</f>
        <v/>
      </c>
      <c r="O52" s="162">
        <f>I52/E52</f>
        <v/>
      </c>
      <c r="P52" s="162">
        <f>K52/E52</f>
        <v/>
      </c>
      <c r="Q52" s="113" t="inlineStr">
        <is>
          <t>-</t>
        </is>
      </c>
      <c r="R52" s="113" t="inlineStr">
        <is>
          <t>-</t>
        </is>
      </c>
      <c r="S52" s="113" t="inlineStr">
        <is>
          <t>계</t>
        </is>
      </c>
      <c r="T52" s="8" t="inlineStr">
        <is>
          <t>88A</t>
        </is>
      </c>
      <c r="U52" s="13" t="n"/>
      <c r="W52" s="161">
        <f>D52</f>
        <v/>
      </c>
      <c r="X52" s="163">
        <f>E52</f>
        <v/>
      </c>
      <c r="Y52" s="159">
        <f>H52</f>
        <v/>
      </c>
      <c r="Z52" s="166">
        <f>I52</f>
        <v/>
      </c>
      <c r="AA52" s="166">
        <f>K52</f>
        <v/>
      </c>
      <c r="AB52" s="166">
        <f>M52</f>
        <v/>
      </c>
      <c r="AC52" s="7">
        <f>N52</f>
        <v/>
      </c>
      <c r="AD52" s="162">
        <f>O52</f>
        <v/>
      </c>
      <c r="AE52" s="113">
        <f>S52</f>
        <v/>
      </c>
      <c r="AF52" s="113">
        <f>Q52&amp;"/"&amp;R52</f>
        <v/>
      </c>
      <c r="AH52" s="36">
        <f>IF(A52="","",A52)</f>
        <v/>
      </c>
      <c r="AI52" s="163">
        <f>IF(E52="","",E52)</f>
        <v/>
      </c>
      <c r="AJ52" s="113">
        <f>IF(AI52="","",$AJ$2)</f>
        <v/>
      </c>
      <c r="AK52" s="113" t="inlineStr">
        <is>
          <t>A</t>
        </is>
      </c>
      <c r="AL52" s="113" t="inlineStr">
        <is>
          <t>A+</t>
        </is>
      </c>
      <c r="AM52" s="113" t="inlineStr">
        <is>
          <t>B+</t>
        </is>
      </c>
      <c r="AN52" s="113">
        <f>IF(AI52="","",$AN$2)</f>
        <v/>
      </c>
      <c r="AO52" s="113">
        <f>IF(N52="","",IF(N52&gt;=$AO$1/100,"O","X"))</f>
        <v/>
      </c>
      <c r="AP52" s="113">
        <f>IF(I52="","",IF(I52&lt;=$AP$1,"O","X"))</f>
        <v/>
      </c>
      <c r="AQ52" s="113">
        <f>IF(O52="","",IF(O52&lt;=$AQ$1,"O","X"))</f>
        <v/>
      </c>
      <c r="AR52" s="113">
        <f>IF(M52="","",IF(M52&lt;=$AR$1,"O","X"))</f>
        <v/>
      </c>
      <c r="AS52" s="113" t="inlineStr">
        <is>
          <t>X</t>
        </is>
      </c>
      <c r="AT52" s="113">
        <f>IF(OR(F52="",AI52=""),"",IF(AND((F52&lt;=85),(AI52&gt;=15)),"O","X"))</f>
        <v/>
      </c>
      <c r="AU52" s="113">
        <f>IF(C52="","",IF(C52&gt;=$AU$1,"O","X"))</f>
        <v/>
      </c>
      <c r="AV52" s="113">
        <f>IF(AO52="","",IF(AND(AO52="O",AP52="O",AR52="O",AT52="O",AU52="O"),"후보","X"))</f>
        <v/>
      </c>
    </row>
    <row r="53">
      <c r="A53" s="13" t="n"/>
      <c r="B53" s="113" t="n"/>
      <c r="C53" s="10" t="n"/>
      <c r="D53" s="13" t="n"/>
      <c r="E53" s="20" t="n"/>
      <c r="F53" s="161" t="n"/>
      <c r="G53" s="13" t="n"/>
      <c r="H53" s="13" t="n"/>
      <c r="I53" s="13" t="n"/>
      <c r="J53" s="13" t="n"/>
      <c r="K53" s="13" t="n"/>
      <c r="L53" s="13" t="n"/>
      <c r="M53" s="13" t="n"/>
      <c r="N53" s="13" t="n"/>
      <c r="O53" s="162" t="n"/>
      <c r="P53" s="162" t="n"/>
      <c r="Q53" s="163" t="n"/>
      <c r="R53" s="163" t="n"/>
      <c r="S53" s="13" t="n"/>
      <c r="T53" s="70" t="n"/>
      <c r="U53" s="13" t="n"/>
      <c r="W53" s="107">
        <f>$A$4&amp;" "&amp;A54&amp;"("&amp;B54&amp;","&amp;C54&amp;"^)"</f>
        <v/>
      </c>
      <c r="X53" s="108" t="n"/>
      <c r="Y53" s="108" t="n"/>
      <c r="Z53" s="108" t="n"/>
      <c r="AA53" s="108" t="n"/>
      <c r="AB53" s="108" t="n"/>
      <c r="AC53" s="108" t="n"/>
      <c r="AD53" s="108" t="n"/>
      <c r="AE53" s="108" t="n"/>
      <c r="AF53" s="109" t="n"/>
      <c r="AH53" s="36">
        <f>IF(A53="","",A53)</f>
        <v/>
      </c>
      <c r="AI53" s="160">
        <f>IF(E53="","",E53)</f>
        <v/>
      </c>
      <c r="AJ53" s="113" t="n"/>
      <c r="AK53" s="113" t="n"/>
      <c r="AL53" s="113" t="n"/>
      <c r="AM53" s="113" t="n"/>
      <c r="AN53" s="113" t="n"/>
      <c r="AO53" s="113" t="n"/>
      <c r="AP53" s="113" t="n"/>
      <c r="AQ53" s="113" t="n"/>
      <c r="AR53" s="113" t="n"/>
      <c r="AS53" s="113" t="n"/>
      <c r="AT53" s="113" t="n"/>
      <c r="AU53" s="113" t="n"/>
      <c r="AV53" s="113" t="n"/>
    </row>
    <row r="54">
      <c r="A54" s="13" t="inlineStr">
        <is>
          <t>둔촌하이츠</t>
        </is>
      </c>
      <c r="B54" s="16" t="inlineStr">
        <is>
          <t>'98.05.</t>
        </is>
      </c>
      <c r="C54" s="164" t="n">
        <v>232</v>
      </c>
      <c r="D54" s="161" t="n">
        <v>86.3</v>
      </c>
      <c r="E54" s="163" t="n">
        <v>26</v>
      </c>
      <c r="F54" s="161" t="n">
        <v>59.8</v>
      </c>
      <c r="G54" s="27" t="n">
        <v>18</v>
      </c>
      <c r="H54" s="164" t="n">
        <v>117</v>
      </c>
      <c r="I54" s="165" t="n"/>
      <c r="J54" s="165" t="n"/>
      <c r="K54" s="165" t="n"/>
      <c r="L54" s="165" t="n"/>
      <c r="M54" s="166">
        <f>I54-K54</f>
        <v/>
      </c>
      <c r="N54" s="7">
        <f>IF(ISERROR(K54/I54),"",K54/I54)</f>
        <v/>
      </c>
      <c r="O54" s="162">
        <f>I54/E54</f>
        <v/>
      </c>
      <c r="P54" s="162">
        <f>K54/E54</f>
        <v/>
      </c>
      <c r="Q54" s="113" t="n">
        <v>3</v>
      </c>
      <c r="R54" s="113" t="n">
        <v>1</v>
      </c>
      <c r="S54" s="113" t="inlineStr">
        <is>
          <t>복</t>
        </is>
      </c>
      <c r="T54" s="8" t="n">
        <v>86</v>
      </c>
      <c r="U54" s="13" t="n"/>
      <c r="W54" s="161">
        <f>D54</f>
        <v/>
      </c>
      <c r="X54" s="163">
        <f>E54</f>
        <v/>
      </c>
      <c r="Y54" s="159">
        <f>H54</f>
        <v/>
      </c>
      <c r="Z54" s="166">
        <f>I54</f>
        <v/>
      </c>
      <c r="AA54" s="166">
        <f>K54</f>
        <v/>
      </c>
      <c r="AB54" s="166">
        <f>M54</f>
        <v/>
      </c>
      <c r="AC54" s="7">
        <f>N54</f>
        <v/>
      </c>
      <c r="AD54" s="162">
        <f>O54</f>
        <v/>
      </c>
      <c r="AE54" s="113">
        <f>S54</f>
        <v/>
      </c>
      <c r="AF54" s="113">
        <f>Q54&amp;"/"&amp;R54</f>
        <v/>
      </c>
      <c r="AH54" s="36">
        <f>IF(A54="","",A54)</f>
        <v/>
      </c>
      <c r="AI54" s="163">
        <f>IF(E54="","",E54)</f>
        <v/>
      </c>
      <c r="AJ54" s="113">
        <f>IF(AI54="","",$AJ$2)</f>
        <v/>
      </c>
      <c r="AK54" s="113" t="inlineStr">
        <is>
          <t>A</t>
        </is>
      </c>
      <c r="AL54" s="113" t="inlineStr">
        <is>
          <t>A+</t>
        </is>
      </c>
      <c r="AM54" s="113" t="inlineStr">
        <is>
          <t>B+</t>
        </is>
      </c>
      <c r="AN54" s="113">
        <f>IF(AI54="","",$AN$2)</f>
        <v/>
      </c>
      <c r="AO54" s="113">
        <f>IF(N54="","",IF(N54&gt;=$AO$1/100,"O","X"))</f>
        <v/>
      </c>
      <c r="AP54" s="113">
        <f>IF(I54="","",IF(I54&lt;=$AP$1,"O","X"))</f>
        <v/>
      </c>
      <c r="AQ54" s="113">
        <f>IF(O54="","",IF(O54&lt;=$AQ$1,"O","X"))</f>
        <v/>
      </c>
      <c r="AR54" s="113">
        <f>IF(M54="","",IF(M54&lt;=$AR$1,"O","X"))</f>
        <v/>
      </c>
      <c r="AS54" s="113" t="inlineStr">
        <is>
          <t>X</t>
        </is>
      </c>
      <c r="AT54" s="113">
        <f>IF(OR(F54="",AI54=""),"",IF(AND((F54&lt;=85),(AI54&gt;=15)),"O","X"))</f>
        <v/>
      </c>
      <c r="AU54" s="113">
        <f>IF(C54="","",IF(C54&gt;=$AU$1,"O","X"))</f>
        <v/>
      </c>
      <c r="AV54" s="113">
        <f>IF(AO54="","",IF(AND(AO54="O",AP54="O",AR54="O",AT54="O",AU54="O"),"후보","X"))</f>
        <v/>
      </c>
    </row>
    <row r="55">
      <c r="A55" s="13" t="inlineStr">
        <is>
          <t>둔촌하이츠</t>
        </is>
      </c>
      <c r="B55" s="16" t="inlineStr">
        <is>
          <t>'98.05.</t>
        </is>
      </c>
      <c r="C55" s="164" t="n">
        <v>232</v>
      </c>
      <c r="D55" s="161" t="n">
        <v>109.5</v>
      </c>
      <c r="E55" s="163" t="n">
        <v>33</v>
      </c>
      <c r="F55" s="161" t="n">
        <v>84.5</v>
      </c>
      <c r="G55" s="27" t="n">
        <v>26</v>
      </c>
      <c r="H55" s="164" t="n">
        <v>62</v>
      </c>
      <c r="I55" s="165" t="n"/>
      <c r="J55" s="165" t="n"/>
      <c r="K55" s="165" t="n"/>
      <c r="L55" s="165" t="n"/>
      <c r="M55" s="166">
        <f>I55-K55</f>
        <v/>
      </c>
      <c r="N55" s="7">
        <f>IF(ISERROR(K55/I55),"",K55/I55)</f>
        <v/>
      </c>
      <c r="O55" s="162">
        <f>I55/E55</f>
        <v/>
      </c>
      <c r="P55" s="162">
        <f>K55/E55</f>
        <v/>
      </c>
      <c r="Q55" s="113" t="n">
        <v>3</v>
      </c>
      <c r="R55" s="113" t="n">
        <v>2</v>
      </c>
      <c r="S55" s="113" t="inlineStr">
        <is>
          <t>계</t>
        </is>
      </c>
      <c r="T55" s="8" t="n">
        <v>109</v>
      </c>
      <c r="U55" s="13" t="n"/>
      <c r="W55" s="161">
        <f>D55</f>
        <v/>
      </c>
      <c r="X55" s="163">
        <f>E55</f>
        <v/>
      </c>
      <c r="Y55" s="159">
        <f>H55</f>
        <v/>
      </c>
      <c r="Z55" s="166">
        <f>I55</f>
        <v/>
      </c>
      <c r="AA55" s="166">
        <f>K55</f>
        <v/>
      </c>
      <c r="AB55" s="166">
        <f>M55</f>
        <v/>
      </c>
      <c r="AC55" s="7">
        <f>N55</f>
        <v/>
      </c>
      <c r="AD55" s="162">
        <f>O55</f>
        <v/>
      </c>
      <c r="AE55" s="113">
        <f>S55</f>
        <v/>
      </c>
      <c r="AF55" s="113">
        <f>Q55&amp;"/"&amp;R55</f>
        <v/>
      </c>
      <c r="AH55" s="36">
        <f>IF(A55="","",A55)</f>
        <v/>
      </c>
      <c r="AI55" s="163">
        <f>IF(E55="","",E55)</f>
        <v/>
      </c>
      <c r="AJ55" s="113">
        <f>IF(AI55="","",$AJ$2)</f>
        <v/>
      </c>
      <c r="AK55" s="113" t="inlineStr">
        <is>
          <t>A</t>
        </is>
      </c>
      <c r="AL55" s="113" t="inlineStr">
        <is>
          <t>A+</t>
        </is>
      </c>
      <c r="AM55" s="113" t="inlineStr">
        <is>
          <t>B+</t>
        </is>
      </c>
      <c r="AN55" s="113">
        <f>IF(AI55="","",$AN$2)</f>
        <v/>
      </c>
      <c r="AO55" s="113">
        <f>IF(N55="","",IF(N55&gt;=$AO$1/100,"O","X"))</f>
        <v/>
      </c>
      <c r="AP55" s="113">
        <f>IF(I55="","",IF(I55&lt;=$AP$1,"O","X"))</f>
        <v/>
      </c>
      <c r="AQ55" s="113">
        <f>IF(O55="","",IF(O55&lt;=$AQ$1,"O","X"))</f>
        <v/>
      </c>
      <c r="AR55" s="113">
        <f>IF(M55="","",IF(M55&lt;=$AR$1,"O","X"))</f>
        <v/>
      </c>
      <c r="AS55" s="113" t="inlineStr">
        <is>
          <t>X</t>
        </is>
      </c>
      <c r="AT55" s="113">
        <f>IF(OR(F55="",AI55=""),"",IF(AND((F55&lt;=85),(AI55&gt;=15)),"O","X"))</f>
        <v/>
      </c>
      <c r="AU55" s="113">
        <f>IF(C55="","",IF(C55&gt;=$AU$1,"O","X"))</f>
        <v/>
      </c>
      <c r="AV55" s="113">
        <f>IF(AO55="","",IF(AND(AO55="O",AP55="O",AR55="O",AT55="O",AU55="O"),"후보","X"))</f>
        <v/>
      </c>
    </row>
    <row r="56">
      <c r="A56" s="13" t="inlineStr">
        <is>
          <t>둔촌하이츠</t>
        </is>
      </c>
      <c r="B56" s="16" t="inlineStr">
        <is>
          <t>'98.05.</t>
        </is>
      </c>
      <c r="C56" s="164" t="n">
        <v>232</v>
      </c>
      <c r="D56" s="161" t="n">
        <v>122</v>
      </c>
      <c r="E56" s="163" t="n">
        <v>37</v>
      </c>
      <c r="F56" s="161" t="n">
        <v>84.5</v>
      </c>
      <c r="G56" s="27" t="n">
        <v>26</v>
      </c>
      <c r="H56" s="164" t="n">
        <v>20</v>
      </c>
      <c r="I56" s="165" t="n"/>
      <c r="J56" s="165" t="n"/>
      <c r="K56" s="165" t="n"/>
      <c r="L56" s="165" t="n"/>
      <c r="M56" s="166">
        <f>I56-K56</f>
        <v/>
      </c>
      <c r="N56" s="7">
        <f>IF(ISERROR(K56/I56),"",K56/I56)</f>
        <v/>
      </c>
      <c r="O56" s="162">
        <f>I56/E56</f>
        <v/>
      </c>
      <c r="P56" s="162">
        <f>K56/E56</f>
        <v/>
      </c>
      <c r="Q56" s="113" t="n">
        <v>3</v>
      </c>
      <c r="R56" s="113" t="n">
        <v>2</v>
      </c>
      <c r="S56" s="113" t="inlineStr">
        <is>
          <t>복</t>
        </is>
      </c>
      <c r="T56" s="8" t="n">
        <v>122</v>
      </c>
      <c r="U56" s="13" t="n"/>
      <c r="W56" s="161">
        <f>D56</f>
        <v/>
      </c>
      <c r="X56" s="163">
        <f>E56</f>
        <v/>
      </c>
      <c r="Y56" s="159">
        <f>H56</f>
        <v/>
      </c>
      <c r="Z56" s="166">
        <f>I56</f>
        <v/>
      </c>
      <c r="AA56" s="166">
        <f>K56</f>
        <v/>
      </c>
      <c r="AB56" s="166">
        <f>M56</f>
        <v/>
      </c>
      <c r="AC56" s="7">
        <f>N56</f>
        <v/>
      </c>
      <c r="AD56" s="162">
        <f>O56</f>
        <v/>
      </c>
      <c r="AE56" s="113">
        <f>S56</f>
        <v/>
      </c>
      <c r="AF56" s="113">
        <f>Q56&amp;"/"&amp;R56</f>
        <v/>
      </c>
      <c r="AH56" s="36">
        <f>IF(A56="","",A56)</f>
        <v/>
      </c>
      <c r="AI56" s="163">
        <f>IF(E56="","",E56)</f>
        <v/>
      </c>
      <c r="AJ56" s="113">
        <f>IF(AI56="","",$AJ$2)</f>
        <v/>
      </c>
      <c r="AK56" s="113" t="inlineStr">
        <is>
          <t>A</t>
        </is>
      </c>
      <c r="AL56" s="113" t="inlineStr">
        <is>
          <t>A+</t>
        </is>
      </c>
      <c r="AM56" s="113" t="inlineStr">
        <is>
          <t>B+</t>
        </is>
      </c>
      <c r="AN56" s="113">
        <f>IF(AI56="","",$AN$2)</f>
        <v/>
      </c>
      <c r="AO56" s="113">
        <f>IF(N56="","",IF(N56&gt;=$AO$1/100,"O","X"))</f>
        <v/>
      </c>
      <c r="AP56" s="113">
        <f>IF(I56="","",IF(I56&lt;=$AP$1,"O","X"))</f>
        <v/>
      </c>
      <c r="AQ56" s="113">
        <f>IF(O56="","",IF(O56&lt;=$AQ$1,"O","X"))</f>
        <v/>
      </c>
      <c r="AR56" s="113">
        <f>IF(M56="","",IF(M56&lt;=$AR$1,"O","X"))</f>
        <v/>
      </c>
      <c r="AS56" s="113" t="inlineStr">
        <is>
          <t>X</t>
        </is>
      </c>
      <c r="AT56" s="113">
        <f>IF(OR(F56="",AI56=""),"",IF(AND((F56&lt;=85),(AI56&gt;=15)),"O","X"))</f>
        <v/>
      </c>
      <c r="AU56" s="113">
        <f>IF(C56="","",IF(C56&gt;=$AU$1,"O","X"))</f>
        <v/>
      </c>
      <c r="AV56" s="113">
        <f>IF(AO56="","",IF(AND(AO56="O",AP56="O",AR56="O",AT56="O",AU56="O"),"후보","X"))</f>
        <v/>
      </c>
    </row>
    <row r="57">
      <c r="A57" s="13" t="inlineStr">
        <is>
          <t>둔촌하이츠</t>
        </is>
      </c>
      <c r="B57" s="16" t="inlineStr">
        <is>
          <t>'98.05.</t>
        </is>
      </c>
      <c r="C57" s="164" t="n">
        <v>232</v>
      </c>
      <c r="D57" s="161" t="n">
        <v>149.5</v>
      </c>
      <c r="E57" s="163" t="n">
        <v>45</v>
      </c>
      <c r="F57" s="161" t="n">
        <v>114.7</v>
      </c>
      <c r="G57" s="27" t="n">
        <v>35</v>
      </c>
      <c r="H57" s="164" t="n">
        <v>33</v>
      </c>
      <c r="I57" s="165" t="n"/>
      <c r="J57" s="165" t="n"/>
      <c r="K57" s="165" t="n"/>
      <c r="L57" s="165" t="n"/>
      <c r="M57" s="166">
        <f>I57-K57</f>
        <v/>
      </c>
      <c r="N57" s="7">
        <f>IF(ISERROR(K57/I57),"",K57/I57)</f>
        <v/>
      </c>
      <c r="O57" s="162">
        <f>I57/E57</f>
        <v/>
      </c>
      <c r="P57" s="162">
        <f>K57/E57</f>
        <v/>
      </c>
      <c r="Q57" s="113" t="n">
        <v>4</v>
      </c>
      <c r="R57" s="113" t="n">
        <v>2</v>
      </c>
      <c r="S57" s="113" t="inlineStr">
        <is>
          <t>계</t>
        </is>
      </c>
      <c r="T57" s="8" t="n">
        <v>149</v>
      </c>
      <c r="U57" s="13" t="n"/>
      <c r="W57" s="161">
        <f>D57</f>
        <v/>
      </c>
      <c r="X57" s="163">
        <f>E57</f>
        <v/>
      </c>
      <c r="Y57" s="159">
        <f>H57</f>
        <v/>
      </c>
      <c r="Z57" s="166">
        <f>I57</f>
        <v/>
      </c>
      <c r="AA57" s="166">
        <f>K57</f>
        <v/>
      </c>
      <c r="AB57" s="166">
        <f>M57</f>
        <v/>
      </c>
      <c r="AC57" s="7">
        <f>N57</f>
        <v/>
      </c>
      <c r="AD57" s="162">
        <f>O57</f>
        <v/>
      </c>
      <c r="AE57" s="113">
        <f>S57</f>
        <v/>
      </c>
      <c r="AF57" s="113">
        <f>Q57&amp;"/"&amp;R57</f>
        <v/>
      </c>
      <c r="AH57" s="36">
        <f>IF(A57="","",A57)</f>
        <v/>
      </c>
      <c r="AI57" s="163">
        <f>IF(E57="","",E57)</f>
        <v/>
      </c>
      <c r="AJ57" s="113">
        <f>IF(AI57="","",$AJ$2)</f>
        <v/>
      </c>
      <c r="AK57" s="113" t="inlineStr">
        <is>
          <t>A</t>
        </is>
      </c>
      <c r="AL57" s="113" t="inlineStr">
        <is>
          <t>A+</t>
        </is>
      </c>
      <c r="AM57" s="113" t="inlineStr">
        <is>
          <t>B+</t>
        </is>
      </c>
      <c r="AN57" s="113">
        <f>IF(AI57="","",$AN$2)</f>
        <v/>
      </c>
      <c r="AO57" s="113">
        <f>IF(N57="","",IF(N57&gt;=$AO$1/100,"O","X"))</f>
        <v/>
      </c>
      <c r="AP57" s="113">
        <f>IF(I57="","",IF(I57&lt;=$AP$1,"O","X"))</f>
        <v/>
      </c>
      <c r="AQ57" s="113">
        <f>IF(O57="","",IF(O57&lt;=$AQ$1,"O","X"))</f>
        <v/>
      </c>
      <c r="AR57" s="113">
        <f>IF(M57="","",IF(M57&lt;=$AR$1,"O","X"))</f>
        <v/>
      </c>
      <c r="AS57" s="113" t="inlineStr">
        <is>
          <t>X</t>
        </is>
      </c>
      <c r="AT57" s="113">
        <f>IF(OR(F57="",AI57=""),"",IF(AND((F57&lt;=85),(AI57&gt;=15)),"O","X"))</f>
        <v/>
      </c>
      <c r="AU57" s="113">
        <f>IF(C57="","",IF(C57&gt;=$AU$1,"O","X"))</f>
        <v/>
      </c>
      <c r="AV57" s="113">
        <f>IF(AO57="","",IF(AND(AO57="O",AP57="O",AR57="O",AT57="O",AU57="O"),"후보","X"))</f>
        <v/>
      </c>
    </row>
    <row r="58">
      <c r="A58" s="13" t="n"/>
      <c r="B58" s="113" t="n"/>
      <c r="C58" s="10" t="n"/>
      <c r="D58" s="13" t="n"/>
      <c r="E58" s="20" t="n"/>
      <c r="F58" s="161" t="n"/>
      <c r="G58" s="13" t="n"/>
      <c r="H58" s="13" t="n"/>
      <c r="I58" s="13" t="n"/>
      <c r="J58" s="13" t="n"/>
      <c r="K58" s="13" t="n"/>
      <c r="L58" s="13" t="n"/>
      <c r="M58" s="13" t="n"/>
      <c r="N58" s="13" t="n"/>
      <c r="O58" s="162" t="n"/>
      <c r="P58" s="162" t="n"/>
      <c r="Q58" s="163" t="n"/>
      <c r="R58" s="163" t="n"/>
      <c r="S58" s="13" t="n"/>
      <c r="T58" s="70" t="n"/>
      <c r="U58" s="13" t="n"/>
      <c r="W58" s="107">
        <f>$A$4&amp;" "&amp;A59&amp;"("&amp;B59&amp;","&amp;C59&amp;"^)"</f>
        <v/>
      </c>
      <c r="X58" s="108" t="n"/>
      <c r="Y58" s="108" t="n"/>
      <c r="Z58" s="108" t="n"/>
      <c r="AA58" s="108" t="n"/>
      <c r="AB58" s="108" t="n"/>
      <c r="AC58" s="108" t="n"/>
      <c r="AD58" s="108" t="n"/>
      <c r="AE58" s="108" t="n"/>
      <c r="AF58" s="109" t="n"/>
      <c r="AH58" s="36">
        <f>IF(A58="","",A58)</f>
        <v/>
      </c>
      <c r="AI58" s="160">
        <f>IF(E58="","",E58)</f>
        <v/>
      </c>
      <c r="AJ58" s="113" t="n"/>
      <c r="AK58" s="113" t="n"/>
      <c r="AL58" s="113" t="n"/>
      <c r="AM58" s="113" t="n"/>
      <c r="AN58" s="113" t="n"/>
      <c r="AO58" s="113" t="n"/>
      <c r="AP58" s="113" t="n"/>
      <c r="AQ58" s="113" t="n"/>
      <c r="AR58" s="113" t="n"/>
      <c r="AS58" s="113" t="n"/>
      <c r="AT58" s="113" t="n"/>
      <c r="AU58" s="113" t="n"/>
      <c r="AV58" s="113" t="n"/>
    </row>
    <row r="59">
      <c r="A59" s="13" t="inlineStr">
        <is>
          <t>프라자</t>
        </is>
      </c>
      <c r="B59" s="16" t="inlineStr">
        <is>
          <t>'84.12.</t>
        </is>
      </c>
      <c r="C59" s="164" t="n">
        <v>354</v>
      </c>
      <c r="D59" s="161" t="n">
        <v>101.3</v>
      </c>
      <c r="E59" s="163" t="n">
        <v>31</v>
      </c>
      <c r="F59" s="161" t="n">
        <v>83.40000000000001</v>
      </c>
      <c r="G59" s="27" t="n">
        <v>25</v>
      </c>
      <c r="H59" s="164" t="n">
        <v>174</v>
      </c>
      <c r="I59" s="165" t="n">
        <v>140000</v>
      </c>
      <c r="J59" s="165" t="inlineStr">
        <is>
          <t>12</t>
        </is>
      </c>
      <c r="K59" s="165" t="n">
        <v>65000</v>
      </c>
      <c r="L59" s="165" t="inlineStr">
        <is>
          <t>고</t>
        </is>
      </c>
      <c r="M59" s="166">
        <f>I59-K59</f>
        <v/>
      </c>
      <c r="N59" s="7">
        <f>IF(ISERROR(K59/I59),"",K59/I59)</f>
        <v/>
      </c>
      <c r="O59" s="162">
        <f>I59/E59</f>
        <v/>
      </c>
      <c r="P59" s="162">
        <f>K59/E59</f>
        <v/>
      </c>
      <c r="Q59" s="113" t="n">
        <v>3</v>
      </c>
      <c r="R59" s="113" t="n">
        <v>1</v>
      </c>
      <c r="S59" s="113" t="inlineStr">
        <is>
          <t>계</t>
        </is>
      </c>
      <c r="T59" s="8" t="n">
        <v>101</v>
      </c>
      <c r="U59" s="13" t="n"/>
      <c r="W59" s="161">
        <f>D59</f>
        <v/>
      </c>
      <c r="X59" s="163">
        <f>E59</f>
        <v/>
      </c>
      <c r="Y59" s="159">
        <f>H59</f>
        <v/>
      </c>
      <c r="Z59" s="166">
        <f>I59</f>
        <v/>
      </c>
      <c r="AA59" s="166">
        <f>K59</f>
        <v/>
      </c>
      <c r="AB59" s="166">
        <f>M59</f>
        <v/>
      </c>
      <c r="AC59" s="7">
        <f>N59</f>
        <v/>
      </c>
      <c r="AD59" s="162">
        <f>O59</f>
        <v/>
      </c>
      <c r="AE59" s="113">
        <f>S59</f>
        <v/>
      </c>
      <c r="AF59" s="113">
        <f>Q59&amp;"/"&amp;R59</f>
        <v/>
      </c>
      <c r="AH59" s="36">
        <f>IF(A59="","",A59)</f>
        <v/>
      </c>
      <c r="AI59" s="163">
        <f>IF(E59="","",E59)</f>
        <v/>
      </c>
      <c r="AJ59" s="113">
        <f>IF(AI59="","",$AJ$2)</f>
        <v/>
      </c>
      <c r="AK59" s="113" t="inlineStr">
        <is>
          <t>A</t>
        </is>
      </c>
      <c r="AL59" s="113" t="inlineStr">
        <is>
          <t>A+</t>
        </is>
      </c>
      <c r="AM59" s="113" t="inlineStr">
        <is>
          <t>B+</t>
        </is>
      </c>
      <c r="AN59" s="113">
        <f>IF(AI59="","",$AN$2)</f>
        <v/>
      </c>
      <c r="AO59" s="113">
        <f>IF(N59="","",IF(N59&gt;=$AO$1/100,"O","X"))</f>
        <v/>
      </c>
      <c r="AP59" s="113">
        <f>IF(I59="","",IF(I59&lt;=$AP$1,"O","X"))</f>
        <v/>
      </c>
      <c r="AQ59" s="113">
        <f>IF(O59="","",IF(O59&lt;=$AQ$1,"O","X"))</f>
        <v/>
      </c>
      <c r="AR59" s="113">
        <f>IF(M59="","",IF(M59&lt;=$AR$1,"O","X"))</f>
        <v/>
      </c>
      <c r="AS59" s="113" t="inlineStr">
        <is>
          <t>X</t>
        </is>
      </c>
      <c r="AT59" s="113">
        <f>IF(OR(F59="",AI59=""),"",IF(AND((F59&lt;=85),(AI59&gt;=15)),"O","X"))</f>
        <v/>
      </c>
      <c r="AU59" s="113">
        <f>IF(C59="","",IF(C59&gt;=$AU$1,"O","X"))</f>
        <v/>
      </c>
      <c r="AV59" s="113">
        <f>IF(AO59="","",IF(AND(AO59="O",AP59="O",AR59="O",AT59="O",AU59="O"),"후보","X"))</f>
        <v/>
      </c>
    </row>
    <row r="60">
      <c r="A60" s="13" t="inlineStr">
        <is>
          <t>프라자</t>
        </is>
      </c>
      <c r="B60" s="16" t="inlineStr">
        <is>
          <t>'84.12.</t>
        </is>
      </c>
      <c r="C60" s="164" t="n">
        <v>354</v>
      </c>
      <c r="D60" s="161" t="n">
        <v>129.3</v>
      </c>
      <c r="E60" s="163" t="n">
        <v>39</v>
      </c>
      <c r="F60" s="161" t="n">
        <v>109.1</v>
      </c>
      <c r="G60" s="27" t="n">
        <v>33</v>
      </c>
      <c r="H60" s="164" t="n">
        <v>180</v>
      </c>
      <c r="I60" s="165" t="n">
        <v>155000</v>
      </c>
      <c r="J60" s="165" t="inlineStr">
        <is>
          <t>9</t>
        </is>
      </c>
      <c r="K60" s="165" t="n">
        <v>78000</v>
      </c>
      <c r="L60" s="165" t="inlineStr">
        <is>
          <t>10</t>
        </is>
      </c>
      <c r="M60" s="166">
        <f>I60-K60</f>
        <v/>
      </c>
      <c r="N60" s="7">
        <f>IF(ISERROR(K60/I60),"",K60/I60)</f>
        <v/>
      </c>
      <c r="O60" s="162">
        <f>I60/E60</f>
        <v/>
      </c>
      <c r="P60" s="162">
        <f>K60/E60</f>
        <v/>
      </c>
      <c r="Q60" s="113" t="n">
        <v>4</v>
      </c>
      <c r="R60" s="113" t="n">
        <v>2</v>
      </c>
      <c r="S60" s="113" t="inlineStr">
        <is>
          <t>계</t>
        </is>
      </c>
      <c r="T60" s="8" t="n">
        <v>129</v>
      </c>
      <c r="U60" s="13" t="n"/>
      <c r="W60" s="161">
        <f>D60</f>
        <v/>
      </c>
      <c r="X60" s="163">
        <f>E60</f>
        <v/>
      </c>
      <c r="Y60" s="159">
        <f>H60</f>
        <v/>
      </c>
      <c r="Z60" s="166">
        <f>I60</f>
        <v/>
      </c>
      <c r="AA60" s="166">
        <f>K60</f>
        <v/>
      </c>
      <c r="AB60" s="166">
        <f>M60</f>
        <v/>
      </c>
      <c r="AC60" s="7">
        <f>N60</f>
        <v/>
      </c>
      <c r="AD60" s="162">
        <f>O60</f>
        <v/>
      </c>
      <c r="AE60" s="113">
        <f>S60</f>
        <v/>
      </c>
      <c r="AF60" s="113">
        <f>Q60&amp;"/"&amp;R60</f>
        <v/>
      </c>
      <c r="AH60" s="36">
        <f>IF(A60="","",A60)</f>
        <v/>
      </c>
      <c r="AI60" s="163">
        <f>IF(E60="","",E60)</f>
        <v/>
      </c>
      <c r="AJ60" s="113">
        <f>IF(AI60="","",$AJ$2)</f>
        <v/>
      </c>
      <c r="AK60" s="113" t="inlineStr">
        <is>
          <t>A</t>
        </is>
      </c>
      <c r="AL60" s="113" t="inlineStr">
        <is>
          <t>A+</t>
        </is>
      </c>
      <c r="AM60" s="113" t="inlineStr">
        <is>
          <t>B+</t>
        </is>
      </c>
      <c r="AN60" s="113">
        <f>IF(AI60="","",$AN$2)</f>
        <v/>
      </c>
      <c r="AO60" s="113">
        <f>IF(N60="","",IF(N60&gt;=$AO$1/100,"O","X"))</f>
        <v/>
      </c>
      <c r="AP60" s="113">
        <f>IF(I60="","",IF(I60&lt;=$AP$1,"O","X"))</f>
        <v/>
      </c>
      <c r="AQ60" s="113">
        <f>IF(O60="","",IF(O60&lt;=$AQ$1,"O","X"))</f>
        <v/>
      </c>
      <c r="AR60" s="113">
        <f>IF(M60="","",IF(M60&lt;=$AR$1,"O","X"))</f>
        <v/>
      </c>
      <c r="AS60" s="113" t="inlineStr">
        <is>
          <t>X</t>
        </is>
      </c>
      <c r="AT60" s="113">
        <f>IF(OR(F60="",AI60=""),"",IF(AND((F60&lt;=85),(AI60&gt;=15)),"O","X"))</f>
        <v/>
      </c>
      <c r="AU60" s="113">
        <f>IF(C60="","",IF(C60&gt;=$AU$1,"O","X"))</f>
        <v/>
      </c>
      <c r="AV60" s="113">
        <f>IF(AO60="","",IF(AND(AO60="O",AP60="O",AR60="O",AT60="O",AU60="O"),"후보","X"))</f>
        <v/>
      </c>
    </row>
    <row r="61">
      <c r="A61" s="13" t="n"/>
      <c r="B61" s="113" t="n"/>
      <c r="C61" s="10" t="n"/>
      <c r="D61" s="13" t="n"/>
      <c r="E61" s="20" t="n"/>
      <c r="F61" s="161" t="n"/>
      <c r="G61" s="13" t="n"/>
      <c r="H61" s="13" t="n"/>
      <c r="I61" s="13" t="n"/>
      <c r="J61" s="13" t="n"/>
      <c r="K61" s="13" t="n"/>
      <c r="L61" s="13" t="n"/>
      <c r="M61" s="13" t="n"/>
      <c r="N61" s="13" t="n"/>
      <c r="O61" s="162" t="n"/>
      <c r="P61" s="162" t="n"/>
      <c r="Q61" s="163" t="n"/>
      <c r="R61" s="163" t="n"/>
      <c r="S61" s="13" t="n"/>
      <c r="T61" s="70" t="n"/>
      <c r="U61" s="13" t="n"/>
      <c r="W61" s="107">
        <f>$A$4&amp;" "&amp;A62&amp;"("&amp;B62&amp;","&amp;C62&amp;"^)"</f>
        <v/>
      </c>
      <c r="X61" s="108" t="n"/>
      <c r="Y61" s="108" t="n"/>
      <c r="Z61" s="108" t="n"/>
      <c r="AA61" s="108" t="n"/>
      <c r="AB61" s="108" t="n"/>
      <c r="AC61" s="108" t="n"/>
      <c r="AD61" s="108" t="n"/>
      <c r="AE61" s="108" t="n"/>
      <c r="AF61" s="109" t="n"/>
      <c r="AH61" s="36">
        <f>IF(A61="","",A61)</f>
        <v/>
      </c>
      <c r="AI61" s="160">
        <f>IF(E61="","",E61)</f>
        <v/>
      </c>
      <c r="AJ61" s="113" t="n"/>
      <c r="AK61" s="113" t="n"/>
      <c r="AL61" s="113" t="n"/>
      <c r="AM61" s="113" t="n"/>
      <c r="AN61" s="113" t="n"/>
      <c r="AO61" s="113" t="n"/>
      <c r="AP61" s="113" t="n"/>
      <c r="AQ61" s="113" t="n"/>
      <c r="AR61" s="113" t="n"/>
      <c r="AS61" s="113" t="n"/>
      <c r="AT61" s="113" t="n"/>
      <c r="AU61" s="113" t="n"/>
      <c r="AV61" s="113" t="n"/>
    </row>
    <row r="62">
      <c r="A62" s="13" t="inlineStr">
        <is>
          <t>둔촌신성미소지움2차</t>
        </is>
      </c>
      <c r="B62" s="16" t="inlineStr">
        <is>
          <t>'00.12.</t>
        </is>
      </c>
      <c r="C62" s="164" t="n">
        <v>278</v>
      </c>
      <c r="D62" s="161" t="n">
        <v>84.40000000000001</v>
      </c>
      <c r="E62" s="163" t="n">
        <v>26</v>
      </c>
      <c r="F62" s="161" t="n">
        <v>59.9</v>
      </c>
      <c r="G62" s="27" t="n">
        <v>18</v>
      </c>
      <c r="H62" s="164" t="n">
        <v>72</v>
      </c>
      <c r="I62" s="165" t="n"/>
      <c r="J62" s="165" t="n"/>
      <c r="K62" s="165" t="n"/>
      <c r="L62" s="165" t="n"/>
      <c r="M62" s="166">
        <f>I62-K62</f>
        <v/>
      </c>
      <c r="N62" s="7">
        <f>IF(ISERROR(K62/I62),"",K62/I62)</f>
        <v/>
      </c>
      <c r="O62" s="162">
        <f>I62/E62</f>
        <v/>
      </c>
      <c r="P62" s="162">
        <f>K62/E62</f>
        <v/>
      </c>
      <c r="Q62" s="113" t="n">
        <v>3</v>
      </c>
      <c r="R62" s="113" t="n">
        <v>1</v>
      </c>
      <c r="S62" s="113" t="inlineStr">
        <is>
          <t>복</t>
        </is>
      </c>
      <c r="T62" s="8" t="n">
        <v>84</v>
      </c>
      <c r="U62" s="13" t="n"/>
      <c r="W62" s="161">
        <f>D62</f>
        <v/>
      </c>
      <c r="X62" s="163">
        <f>E62</f>
        <v/>
      </c>
      <c r="Y62" s="159">
        <f>H62</f>
        <v/>
      </c>
      <c r="Z62" s="166">
        <f>I62</f>
        <v/>
      </c>
      <c r="AA62" s="166">
        <f>K62</f>
        <v/>
      </c>
      <c r="AB62" s="166">
        <f>M62</f>
        <v/>
      </c>
      <c r="AC62" s="7">
        <f>N62</f>
        <v/>
      </c>
      <c r="AD62" s="162">
        <f>O62</f>
        <v/>
      </c>
      <c r="AE62" s="113">
        <f>S62</f>
        <v/>
      </c>
      <c r="AF62" s="113">
        <f>Q62&amp;"/"&amp;R62</f>
        <v/>
      </c>
      <c r="AH62" s="36">
        <f>IF(A62="","",A62)</f>
        <v/>
      </c>
      <c r="AI62" s="163">
        <f>IF(E62="","",E62)</f>
        <v/>
      </c>
      <c r="AJ62" s="113">
        <f>IF(AI62="","",$AJ$2)</f>
        <v/>
      </c>
      <c r="AK62" s="113" t="inlineStr">
        <is>
          <t>A</t>
        </is>
      </c>
      <c r="AL62" s="113" t="inlineStr">
        <is>
          <t>A+</t>
        </is>
      </c>
      <c r="AM62" s="113" t="inlineStr">
        <is>
          <t>B+</t>
        </is>
      </c>
      <c r="AN62" s="113">
        <f>IF(AI62="","",$AN$2)</f>
        <v/>
      </c>
      <c r="AO62" s="113">
        <f>IF(N62="","",IF(N62&gt;=$AO$1/100,"O","X"))</f>
        <v/>
      </c>
      <c r="AP62" s="113">
        <f>IF(I62="","",IF(I62&lt;=$AP$1,"O","X"))</f>
        <v/>
      </c>
      <c r="AQ62" s="113">
        <f>IF(O62="","",IF(O62&lt;=$AQ$1,"O","X"))</f>
        <v/>
      </c>
      <c r="AR62" s="113">
        <f>IF(M62="","",IF(M62&lt;=$AR$1,"O","X"))</f>
        <v/>
      </c>
      <c r="AS62" s="113" t="inlineStr">
        <is>
          <t>X</t>
        </is>
      </c>
      <c r="AT62" s="113">
        <f>IF(OR(F62="",AI62=""),"",IF(AND((F62&lt;=85),(AI62&gt;=15)),"O","X"))</f>
        <v/>
      </c>
      <c r="AU62" s="113">
        <f>IF(C62="","",IF(C62&gt;=$AU$1,"O","X"))</f>
        <v/>
      </c>
      <c r="AV62" s="113">
        <f>IF(AO62="","",IF(AND(AO62="O",AP62="O",AR62="O",AT62="O",AU62="O"),"후보","X"))</f>
        <v/>
      </c>
    </row>
    <row r="63">
      <c r="A63" s="13" t="inlineStr">
        <is>
          <t>둔촌신성미소지움2차</t>
        </is>
      </c>
      <c r="B63" s="16" t="inlineStr">
        <is>
          <t>'00.12.</t>
        </is>
      </c>
      <c r="C63" s="164" t="n">
        <v>278</v>
      </c>
      <c r="D63" s="161" t="n">
        <v>109.5</v>
      </c>
      <c r="E63" s="163" t="n">
        <v>33</v>
      </c>
      <c r="F63" s="161" t="n">
        <v>84.8</v>
      </c>
      <c r="G63" s="27" t="n">
        <v>26</v>
      </c>
      <c r="H63" s="164" t="n">
        <v>146</v>
      </c>
      <c r="I63" s="165" t="n"/>
      <c r="J63" s="165" t="n"/>
      <c r="K63" s="165" t="n"/>
      <c r="L63" s="165" t="n"/>
      <c r="M63" s="166">
        <f>I63-K63</f>
        <v/>
      </c>
      <c r="N63" s="7">
        <f>IF(ISERROR(K63/I63),"",K63/I63)</f>
        <v/>
      </c>
      <c r="O63" s="162">
        <f>I63/E63</f>
        <v/>
      </c>
      <c r="P63" s="162">
        <f>K63/E63</f>
        <v/>
      </c>
      <c r="Q63" s="113" t="n">
        <v>3</v>
      </c>
      <c r="R63" s="113" t="n">
        <v>2</v>
      </c>
      <c r="S63" s="113" t="inlineStr">
        <is>
          <t>계</t>
        </is>
      </c>
      <c r="T63" s="8" t="n">
        <v>109</v>
      </c>
      <c r="U63" s="13" t="n"/>
      <c r="W63" s="161">
        <f>D63</f>
        <v/>
      </c>
      <c r="X63" s="163">
        <f>E63</f>
        <v/>
      </c>
      <c r="Y63" s="159">
        <f>H63</f>
        <v/>
      </c>
      <c r="Z63" s="166">
        <f>I63</f>
        <v/>
      </c>
      <c r="AA63" s="166">
        <f>K63</f>
        <v/>
      </c>
      <c r="AB63" s="166">
        <f>M63</f>
        <v/>
      </c>
      <c r="AC63" s="7">
        <f>N63</f>
        <v/>
      </c>
      <c r="AD63" s="162">
        <f>O63</f>
        <v/>
      </c>
      <c r="AE63" s="113">
        <f>S63</f>
        <v/>
      </c>
      <c r="AF63" s="113">
        <f>Q63&amp;"/"&amp;R63</f>
        <v/>
      </c>
      <c r="AH63" s="36">
        <f>IF(A63="","",A63)</f>
        <v/>
      </c>
      <c r="AI63" s="163">
        <f>IF(E63="","",E63)</f>
        <v/>
      </c>
      <c r="AJ63" s="113">
        <f>IF(AI63="","",$AJ$2)</f>
        <v/>
      </c>
      <c r="AK63" s="113" t="inlineStr">
        <is>
          <t>A</t>
        </is>
      </c>
      <c r="AL63" s="113" t="inlineStr">
        <is>
          <t>A+</t>
        </is>
      </c>
      <c r="AM63" s="113" t="inlineStr">
        <is>
          <t>B+</t>
        </is>
      </c>
      <c r="AN63" s="113">
        <f>IF(AI63="","",$AN$2)</f>
        <v/>
      </c>
      <c r="AO63" s="113">
        <f>IF(N63="","",IF(N63&gt;=$AO$1/100,"O","X"))</f>
        <v/>
      </c>
      <c r="AP63" s="113">
        <f>IF(I63="","",IF(I63&lt;=$AP$1,"O","X"))</f>
        <v/>
      </c>
      <c r="AQ63" s="113">
        <f>IF(O63="","",IF(O63&lt;=$AQ$1,"O","X"))</f>
        <v/>
      </c>
      <c r="AR63" s="113">
        <f>IF(M63="","",IF(M63&lt;=$AR$1,"O","X"))</f>
        <v/>
      </c>
      <c r="AS63" s="113" t="inlineStr">
        <is>
          <t>X</t>
        </is>
      </c>
      <c r="AT63" s="113">
        <f>IF(OR(F63="",AI63=""),"",IF(AND((F63&lt;=85),(AI63&gt;=15)),"O","X"))</f>
        <v/>
      </c>
      <c r="AU63" s="113">
        <f>IF(C63="","",IF(C63&gt;=$AU$1,"O","X"))</f>
        <v/>
      </c>
      <c r="AV63" s="113">
        <f>IF(AO63="","",IF(AND(AO63="O",AP63="O",AR63="O",AT63="O",AU63="O"),"후보","X"))</f>
        <v/>
      </c>
    </row>
    <row r="64">
      <c r="A64" s="13" t="inlineStr">
        <is>
          <t>둔촌신성미소지움2차</t>
        </is>
      </c>
      <c r="B64" s="16" t="inlineStr">
        <is>
          <t>'00.12.</t>
        </is>
      </c>
      <c r="C64" s="164" t="n">
        <v>278</v>
      </c>
      <c r="D64" s="161" t="n">
        <v>143.6</v>
      </c>
      <c r="E64" s="163" t="n">
        <v>43</v>
      </c>
      <c r="F64" s="161" t="n">
        <v>114.7</v>
      </c>
      <c r="G64" s="27" t="n">
        <v>35</v>
      </c>
      <c r="H64" s="164" t="n">
        <v>40</v>
      </c>
      <c r="I64" s="165" t="n"/>
      <c r="J64" s="165" t="n"/>
      <c r="K64" s="165" t="n"/>
      <c r="L64" s="165" t="n"/>
      <c r="M64" s="166">
        <f>I64-K64</f>
        <v/>
      </c>
      <c r="N64" s="7">
        <f>IF(ISERROR(K64/I64),"",K64/I64)</f>
        <v/>
      </c>
      <c r="O64" s="162">
        <f>I64/E64</f>
        <v/>
      </c>
      <c r="P64" s="162">
        <f>K64/E64</f>
        <v/>
      </c>
      <c r="Q64" s="113" t="n">
        <v>4</v>
      </c>
      <c r="R64" s="113" t="n">
        <v>2</v>
      </c>
      <c r="S64" s="113" t="inlineStr">
        <is>
          <t>계</t>
        </is>
      </c>
      <c r="T64" s="8" t="n">
        <v>143</v>
      </c>
      <c r="U64" s="13" t="n"/>
      <c r="W64" s="161">
        <f>D64</f>
        <v/>
      </c>
      <c r="X64" s="163">
        <f>E64</f>
        <v/>
      </c>
      <c r="Y64" s="159">
        <f>H64</f>
        <v/>
      </c>
      <c r="Z64" s="166">
        <f>I64</f>
        <v/>
      </c>
      <c r="AA64" s="166">
        <f>K64</f>
        <v/>
      </c>
      <c r="AB64" s="166">
        <f>M64</f>
        <v/>
      </c>
      <c r="AC64" s="7">
        <f>N64</f>
        <v/>
      </c>
      <c r="AD64" s="162">
        <f>O64</f>
        <v/>
      </c>
      <c r="AE64" s="113">
        <f>S64</f>
        <v/>
      </c>
      <c r="AF64" s="113">
        <f>Q64&amp;"/"&amp;R64</f>
        <v/>
      </c>
      <c r="AH64" s="36">
        <f>IF(A64="","",A64)</f>
        <v/>
      </c>
      <c r="AI64" s="163">
        <f>IF(E64="","",E64)</f>
        <v/>
      </c>
      <c r="AJ64" s="113">
        <f>IF(AI64="","",$AJ$2)</f>
        <v/>
      </c>
      <c r="AK64" s="113" t="inlineStr">
        <is>
          <t>A</t>
        </is>
      </c>
      <c r="AL64" s="113" t="inlineStr">
        <is>
          <t>A+</t>
        </is>
      </c>
      <c r="AM64" s="113" t="inlineStr">
        <is>
          <t>B+</t>
        </is>
      </c>
      <c r="AN64" s="113">
        <f>IF(AI64="","",$AN$2)</f>
        <v/>
      </c>
      <c r="AO64" s="113">
        <f>IF(N64="","",IF(N64&gt;=$AO$1/100,"O","X"))</f>
        <v/>
      </c>
      <c r="AP64" s="113">
        <f>IF(I64="","",IF(I64&lt;=$AP$1,"O","X"))</f>
        <v/>
      </c>
      <c r="AQ64" s="113">
        <f>IF(O64="","",IF(O64&lt;=$AQ$1,"O","X"))</f>
        <v/>
      </c>
      <c r="AR64" s="113">
        <f>IF(M64="","",IF(M64&lt;=$AR$1,"O","X"))</f>
        <v/>
      </c>
      <c r="AS64" s="113" t="inlineStr">
        <is>
          <t>X</t>
        </is>
      </c>
      <c r="AT64" s="113">
        <f>IF(OR(F64="",AI64=""),"",IF(AND((F64&lt;=85),(AI64&gt;=15)),"O","X"))</f>
        <v/>
      </c>
      <c r="AU64" s="113">
        <f>IF(C64="","",IF(C64&gt;=$AU$1,"O","X"))</f>
        <v/>
      </c>
      <c r="AV64" s="113">
        <f>IF(AO64="","",IF(AND(AO64="O",AP64="O",AR64="O",AT64="O",AU64="O"),"후보","X"))</f>
        <v/>
      </c>
    </row>
    <row r="65">
      <c r="A65" s="13" t="inlineStr">
        <is>
          <t>둔촌신성미소지움2차</t>
        </is>
      </c>
      <c r="B65" s="16" t="inlineStr">
        <is>
          <t>'00.12.</t>
        </is>
      </c>
      <c r="C65" s="164" t="n">
        <v>278</v>
      </c>
      <c r="D65" s="161" t="n">
        <v>145.8</v>
      </c>
      <c r="E65" s="163" t="n">
        <v>44</v>
      </c>
      <c r="F65" s="161" t="n">
        <v>114.9</v>
      </c>
      <c r="G65" s="27" t="n">
        <v>35</v>
      </c>
      <c r="H65" s="164" t="n">
        <v>20</v>
      </c>
      <c r="I65" s="165" t="n"/>
      <c r="J65" s="165" t="n"/>
      <c r="K65" s="165" t="n"/>
      <c r="L65" s="165" t="n"/>
      <c r="M65" s="166">
        <f>I65-K65</f>
        <v/>
      </c>
      <c r="N65" s="7">
        <f>IF(ISERROR(K65/I65),"",K65/I65)</f>
        <v/>
      </c>
      <c r="O65" s="162">
        <f>I65/E65</f>
        <v/>
      </c>
      <c r="P65" s="162">
        <f>K65/E65</f>
        <v/>
      </c>
      <c r="Q65" s="113" t="n">
        <v>4</v>
      </c>
      <c r="R65" s="113" t="n">
        <v>2</v>
      </c>
      <c r="S65" s="113" t="inlineStr">
        <is>
          <t>계</t>
        </is>
      </c>
      <c r="T65" s="8" t="n">
        <v>145</v>
      </c>
      <c r="U65" s="13" t="n"/>
      <c r="W65" s="161">
        <f>D65</f>
        <v/>
      </c>
      <c r="X65" s="163">
        <f>E65</f>
        <v/>
      </c>
      <c r="Y65" s="159">
        <f>H65</f>
        <v/>
      </c>
      <c r="Z65" s="166">
        <f>I65</f>
        <v/>
      </c>
      <c r="AA65" s="166">
        <f>K65</f>
        <v/>
      </c>
      <c r="AB65" s="166">
        <f>M65</f>
        <v/>
      </c>
      <c r="AC65" s="7">
        <f>N65</f>
        <v/>
      </c>
      <c r="AD65" s="162">
        <f>O65</f>
        <v/>
      </c>
      <c r="AE65" s="113">
        <f>S65</f>
        <v/>
      </c>
      <c r="AF65" s="113">
        <f>Q65&amp;"/"&amp;R65</f>
        <v/>
      </c>
      <c r="AH65" s="36">
        <f>IF(A65="","",A65)</f>
        <v/>
      </c>
      <c r="AI65" s="163">
        <f>IF(E65="","",E65)</f>
        <v/>
      </c>
      <c r="AJ65" s="113">
        <f>IF(AI65="","",$AJ$2)</f>
        <v/>
      </c>
      <c r="AK65" s="113" t="inlineStr">
        <is>
          <t>A</t>
        </is>
      </c>
      <c r="AL65" s="113" t="inlineStr">
        <is>
          <t>A+</t>
        </is>
      </c>
      <c r="AM65" s="113" t="inlineStr">
        <is>
          <t>B+</t>
        </is>
      </c>
      <c r="AN65" s="113">
        <f>IF(AI65="","",$AN$2)</f>
        <v/>
      </c>
      <c r="AO65" s="113">
        <f>IF(N65="","",IF(N65&gt;=$AO$1/100,"O","X"))</f>
        <v/>
      </c>
      <c r="AP65" s="113">
        <f>IF(I65="","",IF(I65&lt;=$AP$1,"O","X"))</f>
        <v/>
      </c>
      <c r="AQ65" s="113">
        <f>IF(O65="","",IF(O65&lt;=$AQ$1,"O","X"))</f>
        <v/>
      </c>
      <c r="AR65" s="113">
        <f>IF(M65="","",IF(M65&lt;=$AR$1,"O","X"))</f>
        <v/>
      </c>
      <c r="AS65" s="113" t="inlineStr">
        <is>
          <t>X</t>
        </is>
      </c>
      <c r="AT65" s="113">
        <f>IF(OR(F65="",AI65=""),"",IF(AND((F65&lt;=85),(AI65&gt;=15)),"O","X"))</f>
        <v/>
      </c>
      <c r="AU65" s="113">
        <f>IF(C65="","",IF(C65&gt;=$AU$1,"O","X"))</f>
        <v/>
      </c>
      <c r="AV65" s="113">
        <f>IF(AO65="","",IF(AND(AO65="O",AP65="O",AR65="O",AT65="O",AU65="O"),"후보","X"))</f>
        <v/>
      </c>
    </row>
    <row r="66">
      <c r="A66" s="13" t="n"/>
      <c r="B66" s="113" t="n"/>
      <c r="C66" s="10" t="n"/>
      <c r="D66" s="13" t="n"/>
      <c r="E66" s="20" t="n"/>
      <c r="F66" s="161" t="n"/>
      <c r="G66" s="13" t="n"/>
      <c r="H66" s="13" t="n"/>
      <c r="I66" s="13" t="n"/>
      <c r="J66" s="13" t="n"/>
      <c r="K66" s="13" t="n"/>
      <c r="L66" s="13" t="n"/>
      <c r="M66" s="13" t="n"/>
      <c r="N66" s="13" t="n"/>
      <c r="O66" s="162" t="n"/>
      <c r="P66" s="162" t="n"/>
      <c r="Q66" s="163" t="n"/>
      <c r="R66" s="163" t="n"/>
      <c r="S66" s="13" t="n"/>
      <c r="T66" s="70" t="n"/>
      <c r="U66" s="13" t="n"/>
      <c r="W66" s="107">
        <f>$A$4&amp;" "&amp;A67&amp;"("&amp;B67&amp;","&amp;C67&amp;"^)"</f>
        <v/>
      </c>
      <c r="X66" s="108" t="n"/>
      <c r="Y66" s="108" t="n"/>
      <c r="Z66" s="108" t="n"/>
      <c r="AA66" s="108" t="n"/>
      <c r="AB66" s="108" t="n"/>
      <c r="AC66" s="108" t="n"/>
      <c r="AD66" s="108" t="n"/>
      <c r="AE66" s="108" t="n"/>
      <c r="AF66" s="109" t="n"/>
      <c r="AH66" s="36">
        <f>IF(A66="","",A66)</f>
        <v/>
      </c>
      <c r="AI66" s="160">
        <f>IF(E66="","",E66)</f>
        <v/>
      </c>
      <c r="AJ66" s="113" t="n"/>
      <c r="AK66" s="113" t="n"/>
      <c r="AL66" s="113" t="n"/>
      <c r="AM66" s="113" t="n"/>
      <c r="AN66" s="113" t="n"/>
      <c r="AO66" s="113" t="n"/>
      <c r="AP66" s="113" t="n"/>
      <c r="AQ66" s="113" t="n"/>
      <c r="AR66" s="113" t="n"/>
      <c r="AS66" s="113" t="n"/>
      <c r="AT66" s="113" t="n"/>
      <c r="AU66" s="113" t="n"/>
      <c r="AV66" s="113" t="n"/>
    </row>
    <row r="67">
      <c r="A67" s="13" t="inlineStr">
        <is>
          <t>둔촌푸르지오</t>
        </is>
      </c>
      <c r="B67" s="16" t="inlineStr">
        <is>
          <t>'10.03.</t>
        </is>
      </c>
      <c r="C67" s="164" t="n">
        <v>800</v>
      </c>
      <c r="D67" s="161" t="n">
        <v>83.40000000000001</v>
      </c>
      <c r="E67" s="163" t="n">
        <v>25</v>
      </c>
      <c r="F67" s="161" t="n">
        <v>60</v>
      </c>
      <c r="G67" s="27" t="n">
        <v>18</v>
      </c>
      <c r="H67" s="164" t="n">
        <v>179</v>
      </c>
      <c r="I67" s="165" t="n">
        <v>124000</v>
      </c>
      <c r="J67" s="165" t="inlineStr">
        <is>
          <t>고</t>
        </is>
      </c>
      <c r="K67" s="165" t="n"/>
      <c r="L67" s="165" t="n"/>
      <c r="M67" s="166">
        <f>I67-K67</f>
        <v/>
      </c>
      <c r="N67" s="7">
        <f>IF(ISERROR(K67/I67),"",K67/I67)</f>
        <v/>
      </c>
      <c r="O67" s="162">
        <f>I67/E67</f>
        <v/>
      </c>
      <c r="P67" s="162">
        <f>K67/E67</f>
        <v/>
      </c>
      <c r="Q67" s="113" t="n">
        <v>3</v>
      </c>
      <c r="R67" s="113" t="n">
        <v>2</v>
      </c>
      <c r="S67" s="113" t="inlineStr">
        <is>
          <t>계</t>
        </is>
      </c>
      <c r="T67" s="8" t="n">
        <v>83</v>
      </c>
      <c r="U67" s="13" t="n"/>
      <c r="W67" s="161">
        <f>D67</f>
        <v/>
      </c>
      <c r="X67" s="163">
        <f>E67</f>
        <v/>
      </c>
      <c r="Y67" s="159">
        <f>H67</f>
        <v/>
      </c>
      <c r="Z67" s="166">
        <f>I67</f>
        <v/>
      </c>
      <c r="AA67" s="166">
        <f>K67</f>
        <v/>
      </c>
      <c r="AB67" s="166">
        <f>M67</f>
        <v/>
      </c>
      <c r="AC67" s="7">
        <f>N67</f>
        <v/>
      </c>
      <c r="AD67" s="162">
        <f>O67</f>
        <v/>
      </c>
      <c r="AE67" s="113">
        <f>S67</f>
        <v/>
      </c>
      <c r="AF67" s="113">
        <f>Q67&amp;"/"&amp;R67</f>
        <v/>
      </c>
      <c r="AH67" s="36">
        <f>IF(A67="","",A67)</f>
        <v/>
      </c>
      <c r="AI67" s="163">
        <f>IF(E67="","",E67)</f>
        <v/>
      </c>
      <c r="AJ67" s="113">
        <f>IF(AI67="","",$AJ$2)</f>
        <v/>
      </c>
      <c r="AK67" s="113" t="inlineStr">
        <is>
          <t>A</t>
        </is>
      </c>
      <c r="AL67" s="113" t="inlineStr">
        <is>
          <t>A+</t>
        </is>
      </c>
      <c r="AM67" s="113" t="inlineStr">
        <is>
          <t>B+</t>
        </is>
      </c>
      <c r="AN67" s="113">
        <f>IF(AI67="","",$AN$2)</f>
        <v/>
      </c>
      <c r="AO67" s="113">
        <f>IF(N67="","",IF(N67&gt;=$AO$1/100,"O","X"))</f>
        <v/>
      </c>
      <c r="AP67" s="113">
        <f>IF(I67="","",IF(I67&lt;=$AP$1,"O","X"))</f>
        <v/>
      </c>
      <c r="AQ67" s="113">
        <f>IF(O67="","",IF(O67&lt;=$AQ$1,"O","X"))</f>
        <v/>
      </c>
      <c r="AR67" s="113">
        <f>IF(M67="","",IF(M67&lt;=$AR$1,"O","X"))</f>
        <v/>
      </c>
      <c r="AS67" s="113" t="inlineStr">
        <is>
          <t>X</t>
        </is>
      </c>
      <c r="AT67" s="113">
        <f>IF(OR(F67="",AI67=""),"",IF(AND((F67&lt;=85),(AI67&gt;=15)),"O","X"))</f>
        <v/>
      </c>
      <c r="AU67" s="113">
        <f>IF(C67="","",IF(C67&gt;=$AU$1,"O","X"))</f>
        <v/>
      </c>
      <c r="AV67" s="113">
        <f>IF(AO67="","",IF(AND(AO67="O",AP67="O",AR67="O",AT67="O",AU67="O"),"후보","X"))</f>
        <v/>
      </c>
    </row>
    <row r="68">
      <c r="A68" s="13" t="inlineStr">
        <is>
          <t>둔촌푸르지오</t>
        </is>
      </c>
      <c r="B68" s="16" t="inlineStr">
        <is>
          <t>'10.03.</t>
        </is>
      </c>
      <c r="C68" s="164" t="n">
        <v>800</v>
      </c>
      <c r="D68" s="161" t="n">
        <v>111.8</v>
      </c>
      <c r="E68" s="163" t="n">
        <v>34</v>
      </c>
      <c r="F68" s="161" t="n">
        <v>84.90000000000001</v>
      </c>
      <c r="G68" s="27" t="n">
        <v>26</v>
      </c>
      <c r="H68" s="164" t="n">
        <v>255</v>
      </c>
      <c r="I68" s="165" t="n">
        <v>149000</v>
      </c>
      <c r="J68" s="165" t="inlineStr">
        <is>
          <t>중</t>
        </is>
      </c>
      <c r="K68" s="165" t="n"/>
      <c r="L68" s="165" t="n"/>
      <c r="M68" s="166">
        <f>I68-K68</f>
        <v/>
      </c>
      <c r="N68" s="7">
        <f>IF(ISERROR(K68/I68),"",K68/I68)</f>
        <v/>
      </c>
      <c r="O68" s="162">
        <f>I68/E68</f>
        <v/>
      </c>
      <c r="P68" s="162">
        <f>K68/E68</f>
        <v/>
      </c>
      <c r="Q68" s="113" t="n">
        <v>3</v>
      </c>
      <c r="R68" s="113" t="n">
        <v>2</v>
      </c>
      <c r="S68" s="113" t="inlineStr">
        <is>
          <t>계</t>
        </is>
      </c>
      <c r="T68" s="8" t="inlineStr">
        <is>
          <t>111A</t>
        </is>
      </c>
      <c r="U68" s="13" t="n"/>
      <c r="W68" s="161">
        <f>D68</f>
        <v/>
      </c>
      <c r="X68" s="163">
        <f>E68</f>
        <v/>
      </c>
      <c r="Y68" s="159">
        <f>H68</f>
        <v/>
      </c>
      <c r="Z68" s="166">
        <f>I68</f>
        <v/>
      </c>
      <c r="AA68" s="166">
        <f>K68</f>
        <v/>
      </c>
      <c r="AB68" s="166">
        <f>M68</f>
        <v/>
      </c>
      <c r="AC68" s="7">
        <f>N68</f>
        <v/>
      </c>
      <c r="AD68" s="162">
        <f>O68</f>
        <v/>
      </c>
      <c r="AE68" s="113">
        <f>S68</f>
        <v/>
      </c>
      <c r="AF68" s="113">
        <f>Q68&amp;"/"&amp;R68</f>
        <v/>
      </c>
      <c r="AH68" s="36">
        <f>IF(A68="","",A68)</f>
        <v/>
      </c>
      <c r="AI68" s="163">
        <f>IF(E68="","",E68)</f>
        <v/>
      </c>
      <c r="AJ68" s="113">
        <f>IF(AI68="","",$AJ$2)</f>
        <v/>
      </c>
      <c r="AK68" s="113" t="inlineStr">
        <is>
          <t>A</t>
        </is>
      </c>
      <c r="AL68" s="113" t="inlineStr">
        <is>
          <t>A+</t>
        </is>
      </c>
      <c r="AM68" s="113" t="inlineStr">
        <is>
          <t>B+</t>
        </is>
      </c>
      <c r="AN68" s="113">
        <f>IF(AI68="","",$AN$2)</f>
        <v/>
      </c>
      <c r="AO68" s="113">
        <f>IF(N68="","",IF(N68&gt;=$AO$1/100,"O","X"))</f>
        <v/>
      </c>
      <c r="AP68" s="113">
        <f>IF(I68="","",IF(I68&lt;=$AP$1,"O","X"))</f>
        <v/>
      </c>
      <c r="AQ68" s="113">
        <f>IF(O68="","",IF(O68&lt;=$AQ$1,"O","X"))</f>
        <v/>
      </c>
      <c r="AR68" s="113">
        <f>IF(M68="","",IF(M68&lt;=$AR$1,"O","X"))</f>
        <v/>
      </c>
      <c r="AS68" s="113" t="inlineStr">
        <is>
          <t>X</t>
        </is>
      </c>
      <c r="AT68" s="113">
        <f>IF(OR(F68="",AI68=""),"",IF(AND((F68&lt;=85),(AI68&gt;=15)),"O","X"))</f>
        <v/>
      </c>
      <c r="AU68" s="113">
        <f>IF(C68="","",IF(C68&gt;=$AU$1,"O","X"))</f>
        <v/>
      </c>
      <c r="AV68" s="113">
        <f>IF(AO68="","",IF(AND(AO68="O",AP68="O",AR68="O",AT68="O",AU68="O"),"후보","X"))</f>
        <v/>
      </c>
    </row>
    <row r="69">
      <c r="A69" s="13" t="inlineStr">
        <is>
          <t>둔촌푸르지오</t>
        </is>
      </c>
      <c r="B69" s="16" t="inlineStr">
        <is>
          <t>'10.03.</t>
        </is>
      </c>
      <c r="C69" s="164" t="n">
        <v>800</v>
      </c>
      <c r="D69" s="161" t="n">
        <v>112.1</v>
      </c>
      <c r="E69" s="163" t="n">
        <v>34</v>
      </c>
      <c r="F69" s="161" t="n">
        <v>84.90000000000001</v>
      </c>
      <c r="G69" s="27" t="n">
        <v>26</v>
      </c>
      <c r="H69" s="164" t="n">
        <v>43</v>
      </c>
      <c r="I69" s="165" t="n"/>
      <c r="J69" s="165" t="n"/>
      <c r="K69" s="165" t="n"/>
      <c r="L69" s="165" t="n"/>
      <c r="M69" s="166">
        <f>I69-K69</f>
        <v/>
      </c>
      <c r="N69" s="7">
        <f>IF(ISERROR(K69/I69),"",K69/I69)</f>
        <v/>
      </c>
      <c r="O69" s="162">
        <f>I69/E69</f>
        <v/>
      </c>
      <c r="P69" s="162">
        <f>K69/E69</f>
        <v/>
      </c>
      <c r="Q69" s="113" t="n">
        <v>3</v>
      </c>
      <c r="R69" s="113" t="n">
        <v>2</v>
      </c>
      <c r="S69" s="113" t="inlineStr">
        <is>
          <t>계</t>
        </is>
      </c>
      <c r="T69" s="8" t="inlineStr">
        <is>
          <t>112C</t>
        </is>
      </c>
      <c r="U69" s="13" t="n"/>
      <c r="W69" s="161">
        <f>D69</f>
        <v/>
      </c>
      <c r="X69" s="163">
        <f>E69</f>
        <v/>
      </c>
      <c r="Y69" s="159">
        <f>H69</f>
        <v/>
      </c>
      <c r="Z69" s="166">
        <f>I69</f>
        <v/>
      </c>
      <c r="AA69" s="166">
        <f>K69</f>
        <v/>
      </c>
      <c r="AB69" s="166">
        <f>M69</f>
        <v/>
      </c>
      <c r="AC69" s="7">
        <f>N69</f>
        <v/>
      </c>
      <c r="AD69" s="162">
        <f>O69</f>
        <v/>
      </c>
      <c r="AE69" s="113">
        <f>S69</f>
        <v/>
      </c>
      <c r="AF69" s="113">
        <f>Q69&amp;"/"&amp;R69</f>
        <v/>
      </c>
      <c r="AH69" s="36">
        <f>IF(A69="","",A69)</f>
        <v/>
      </c>
      <c r="AI69" s="163">
        <f>IF(E69="","",E69)</f>
        <v/>
      </c>
      <c r="AJ69" s="113">
        <f>IF(AI69="","",$AJ$2)</f>
        <v/>
      </c>
      <c r="AK69" s="113" t="inlineStr">
        <is>
          <t>A</t>
        </is>
      </c>
      <c r="AL69" s="113" t="inlineStr">
        <is>
          <t>A+</t>
        </is>
      </c>
      <c r="AM69" s="113" t="inlineStr">
        <is>
          <t>B+</t>
        </is>
      </c>
      <c r="AN69" s="113">
        <f>IF(AI69="","",$AN$2)</f>
        <v/>
      </c>
      <c r="AO69" s="113">
        <f>IF(N69="","",IF(N69&gt;=$AO$1/100,"O","X"))</f>
        <v/>
      </c>
      <c r="AP69" s="113">
        <f>IF(I69="","",IF(I69&lt;=$AP$1,"O","X"))</f>
        <v/>
      </c>
      <c r="AQ69" s="113">
        <f>IF(O69="","",IF(O69&lt;=$AQ$1,"O","X"))</f>
        <v/>
      </c>
      <c r="AR69" s="113">
        <f>IF(M69="","",IF(M69&lt;=$AR$1,"O","X"))</f>
        <v/>
      </c>
      <c r="AS69" s="113" t="inlineStr">
        <is>
          <t>X</t>
        </is>
      </c>
      <c r="AT69" s="113">
        <f>IF(OR(F69="",AI69=""),"",IF(AND((F69&lt;=85),(AI69&gt;=15)),"O","X"))</f>
        <v/>
      </c>
      <c r="AU69" s="113">
        <f>IF(C69="","",IF(C69&gt;=$AU$1,"O","X"))</f>
        <v/>
      </c>
      <c r="AV69" s="113">
        <f>IF(AO69="","",IF(AND(AO69="O",AP69="O",AR69="O",AT69="O",AU69="O"),"후보","X"))</f>
        <v/>
      </c>
    </row>
    <row r="70">
      <c r="A70" s="13" t="inlineStr">
        <is>
          <t>둔촌푸르지오</t>
        </is>
      </c>
      <c r="B70" s="16" t="inlineStr">
        <is>
          <t>'10.03.</t>
        </is>
      </c>
      <c r="C70" s="164" t="n">
        <v>800</v>
      </c>
      <c r="D70" s="161" t="n">
        <v>113.5</v>
      </c>
      <c r="E70" s="163" t="n">
        <v>34</v>
      </c>
      <c r="F70" s="161" t="n">
        <v>84.90000000000001</v>
      </c>
      <c r="G70" s="27" t="n">
        <v>26</v>
      </c>
      <c r="H70" s="164" t="n">
        <v>202</v>
      </c>
      <c r="I70" s="165" t="n">
        <v>150000</v>
      </c>
      <c r="J70" s="165" t="inlineStr">
        <is>
          <t>중</t>
        </is>
      </c>
      <c r="K70" s="165" t="n">
        <v>85000</v>
      </c>
      <c r="L70" s="165" t="inlineStr">
        <is>
          <t>고</t>
        </is>
      </c>
      <c r="M70" s="166">
        <f>I70-K70</f>
        <v/>
      </c>
      <c r="N70" s="7">
        <f>IF(ISERROR(K70/I70),"",K70/I70)</f>
        <v/>
      </c>
      <c r="O70" s="162">
        <f>I70/E70</f>
        <v/>
      </c>
      <c r="P70" s="162">
        <f>K70/E70</f>
        <v/>
      </c>
      <c r="Q70" s="113" t="n">
        <v>3</v>
      </c>
      <c r="R70" s="113" t="n">
        <v>2</v>
      </c>
      <c r="S70" s="113" t="inlineStr">
        <is>
          <t>계</t>
        </is>
      </c>
      <c r="T70" s="8" t="inlineStr">
        <is>
          <t>113B</t>
        </is>
      </c>
      <c r="U70" s="13" t="n"/>
      <c r="W70" s="161">
        <f>D70</f>
        <v/>
      </c>
      <c r="X70" s="163">
        <f>E70</f>
        <v/>
      </c>
      <c r="Y70" s="159">
        <f>H70</f>
        <v/>
      </c>
      <c r="Z70" s="166">
        <f>I70</f>
        <v/>
      </c>
      <c r="AA70" s="166">
        <f>K70</f>
        <v/>
      </c>
      <c r="AB70" s="166">
        <f>M70</f>
        <v/>
      </c>
      <c r="AC70" s="7">
        <f>N70</f>
        <v/>
      </c>
      <c r="AD70" s="162">
        <f>O70</f>
        <v/>
      </c>
      <c r="AE70" s="113">
        <f>S70</f>
        <v/>
      </c>
      <c r="AF70" s="113">
        <f>Q70&amp;"/"&amp;R70</f>
        <v/>
      </c>
      <c r="AH70" s="36">
        <f>IF(A70="","",A70)</f>
        <v/>
      </c>
      <c r="AI70" s="163">
        <f>IF(E70="","",E70)</f>
        <v/>
      </c>
      <c r="AJ70" s="113">
        <f>IF(AI70="","",$AJ$2)</f>
        <v/>
      </c>
      <c r="AK70" s="113" t="inlineStr">
        <is>
          <t>A</t>
        </is>
      </c>
      <c r="AL70" s="113" t="inlineStr">
        <is>
          <t>A+</t>
        </is>
      </c>
      <c r="AM70" s="113" t="inlineStr">
        <is>
          <t>B+</t>
        </is>
      </c>
      <c r="AN70" s="113">
        <f>IF(AI70="","",$AN$2)</f>
        <v/>
      </c>
      <c r="AO70" s="113">
        <f>IF(N70="","",IF(N70&gt;=$AO$1/100,"O","X"))</f>
        <v/>
      </c>
      <c r="AP70" s="113">
        <f>IF(I70="","",IF(I70&lt;=$AP$1,"O","X"))</f>
        <v/>
      </c>
      <c r="AQ70" s="113">
        <f>IF(O70="","",IF(O70&lt;=$AQ$1,"O","X"))</f>
        <v/>
      </c>
      <c r="AR70" s="113">
        <f>IF(M70="","",IF(M70&lt;=$AR$1,"O","X"))</f>
        <v/>
      </c>
      <c r="AS70" s="113" t="inlineStr">
        <is>
          <t>X</t>
        </is>
      </c>
      <c r="AT70" s="113">
        <f>IF(OR(F70="",AI70=""),"",IF(AND((F70&lt;=85),(AI70&gt;=15)),"O","X"))</f>
        <v/>
      </c>
      <c r="AU70" s="113">
        <f>IF(C70="","",IF(C70&gt;=$AU$1,"O","X"))</f>
        <v/>
      </c>
      <c r="AV70" s="113">
        <f>IF(AO70="","",IF(AND(AO70="O",AP70="O",AR70="O",AT70="O",AU70="O"),"후보","X"))</f>
        <v/>
      </c>
    </row>
    <row r="71">
      <c r="A71" s="13" t="inlineStr">
        <is>
          <t>둔촌푸르지오</t>
        </is>
      </c>
      <c r="B71" s="16" t="inlineStr">
        <is>
          <t>'10.03.</t>
        </is>
      </c>
      <c r="C71" s="164" t="n">
        <v>800</v>
      </c>
      <c r="D71" s="161" t="n">
        <v>138.9</v>
      </c>
      <c r="E71" s="163" t="n">
        <v>42</v>
      </c>
      <c r="F71" s="161" t="n">
        <v>113.7</v>
      </c>
      <c r="G71" s="27" t="n">
        <v>34</v>
      </c>
      <c r="H71" s="164" t="n">
        <v>121</v>
      </c>
      <c r="I71" s="165" t="n">
        <v>174000</v>
      </c>
      <c r="J71" s="165" t="inlineStr">
        <is>
          <t>고</t>
        </is>
      </c>
      <c r="K71" s="165" t="n">
        <v>130000</v>
      </c>
      <c r="L71" s="165" t="inlineStr">
        <is>
          <t>중</t>
        </is>
      </c>
      <c r="M71" s="166">
        <f>I71-K71</f>
        <v/>
      </c>
      <c r="N71" s="7">
        <f>IF(ISERROR(K71/I71),"",K71/I71)</f>
        <v/>
      </c>
      <c r="O71" s="162">
        <f>I71/E71</f>
        <v/>
      </c>
      <c r="P71" s="162">
        <f>K71/E71</f>
        <v/>
      </c>
      <c r="Q71" s="113" t="n">
        <v>4</v>
      </c>
      <c r="R71" s="113" t="n">
        <v>2</v>
      </c>
      <c r="S71" s="113" t="inlineStr">
        <is>
          <t>계</t>
        </is>
      </c>
      <c r="T71" s="8" t="n">
        <v>138</v>
      </c>
      <c r="U71" s="13" t="n"/>
      <c r="W71" s="161">
        <f>D71</f>
        <v/>
      </c>
      <c r="X71" s="163">
        <f>E71</f>
        <v/>
      </c>
      <c r="Y71" s="159">
        <f>H71</f>
        <v/>
      </c>
      <c r="Z71" s="166">
        <f>I71</f>
        <v/>
      </c>
      <c r="AA71" s="166">
        <f>K71</f>
        <v/>
      </c>
      <c r="AB71" s="166">
        <f>M71</f>
        <v/>
      </c>
      <c r="AC71" s="7">
        <f>N71</f>
        <v/>
      </c>
      <c r="AD71" s="162">
        <f>O71</f>
        <v/>
      </c>
      <c r="AE71" s="113">
        <f>S71</f>
        <v/>
      </c>
      <c r="AF71" s="113">
        <f>Q71&amp;"/"&amp;R71</f>
        <v/>
      </c>
      <c r="AH71" s="36">
        <f>IF(A71="","",A71)</f>
        <v/>
      </c>
      <c r="AI71" s="163">
        <f>IF(E71="","",E71)</f>
        <v/>
      </c>
      <c r="AJ71" s="113">
        <f>IF(AI71="","",$AJ$2)</f>
        <v/>
      </c>
      <c r="AK71" s="113" t="inlineStr">
        <is>
          <t>A</t>
        </is>
      </c>
      <c r="AL71" s="113" t="inlineStr">
        <is>
          <t>A+</t>
        </is>
      </c>
      <c r="AM71" s="113" t="inlineStr">
        <is>
          <t>B+</t>
        </is>
      </c>
      <c r="AN71" s="113">
        <f>IF(AI71="","",$AN$2)</f>
        <v/>
      </c>
      <c r="AO71" s="113">
        <f>IF(N71="","",IF(N71&gt;=$AO$1/100,"O","X"))</f>
        <v/>
      </c>
      <c r="AP71" s="113">
        <f>IF(I71="","",IF(I71&lt;=$AP$1,"O","X"))</f>
        <v/>
      </c>
      <c r="AQ71" s="113">
        <f>IF(O71="","",IF(O71&lt;=$AQ$1,"O","X"))</f>
        <v/>
      </c>
      <c r="AR71" s="113">
        <f>IF(M71="","",IF(M71&lt;=$AR$1,"O","X"))</f>
        <v/>
      </c>
      <c r="AS71" s="113" t="inlineStr">
        <is>
          <t>X</t>
        </is>
      </c>
      <c r="AT71" s="113">
        <f>IF(OR(F71="",AI71=""),"",IF(AND((F71&lt;=85),(AI71&gt;=15)),"O","X"))</f>
        <v/>
      </c>
      <c r="AU71" s="113">
        <f>IF(C71="","",IF(C71&gt;=$AU$1,"O","X"))</f>
        <v/>
      </c>
      <c r="AV71" s="113">
        <f>IF(AO71="","",IF(AND(AO71="O",AP71="O",AR71="O",AT71="O",AU71="O"),"후보","X"))</f>
        <v/>
      </c>
    </row>
    <row r="72">
      <c r="A72" s="13" t="n"/>
      <c r="B72" s="113" t="n"/>
      <c r="C72" s="10" t="n"/>
      <c r="D72" s="13" t="n"/>
      <c r="E72" s="20" t="n"/>
      <c r="F72" s="161" t="n"/>
      <c r="G72" s="13" t="n"/>
      <c r="H72" s="13" t="n"/>
      <c r="I72" s="13" t="n"/>
      <c r="J72" s="13" t="n"/>
      <c r="K72" s="13" t="n"/>
      <c r="L72" s="13" t="n"/>
      <c r="M72" s="13" t="n"/>
      <c r="N72" s="13" t="n"/>
      <c r="O72" s="162" t="n"/>
      <c r="P72" s="162" t="n"/>
      <c r="Q72" s="163" t="n"/>
      <c r="R72" s="163" t="n"/>
      <c r="S72" s="13" t="n"/>
      <c r="T72" s="70" t="n"/>
      <c r="U72" s="13" t="n"/>
      <c r="W72" s="107">
        <f>$A$4&amp;" "&amp;A73&amp;"("&amp;B73&amp;","&amp;C73&amp;"^)"</f>
        <v/>
      </c>
      <c r="X72" s="108" t="n"/>
      <c r="Y72" s="108" t="n"/>
      <c r="Z72" s="108" t="n"/>
      <c r="AA72" s="108" t="n"/>
      <c r="AB72" s="108" t="n"/>
      <c r="AC72" s="108" t="n"/>
      <c r="AD72" s="108" t="n"/>
      <c r="AE72" s="108" t="n"/>
      <c r="AF72" s="109" t="n"/>
      <c r="AH72" s="36">
        <f>IF(A72="","",A72)</f>
        <v/>
      </c>
      <c r="AI72" s="160">
        <f>IF(E72="","",E72)</f>
        <v/>
      </c>
      <c r="AJ72" s="113" t="n"/>
      <c r="AK72" s="113" t="n"/>
      <c r="AL72" s="113" t="n"/>
      <c r="AM72" s="113" t="n"/>
      <c r="AN72" s="113" t="n"/>
      <c r="AO72" s="113" t="n"/>
      <c r="AP72" s="113" t="n"/>
      <c r="AQ72" s="113" t="n"/>
      <c r="AR72" s="113" t="n"/>
      <c r="AS72" s="113" t="n"/>
      <c r="AT72" s="113" t="n"/>
      <c r="AU72" s="113" t="n"/>
      <c r="AV72" s="113" t="n"/>
    </row>
    <row r="73">
      <c r="A73" s="13" t="inlineStr">
        <is>
          <t>주공고층4단지</t>
        </is>
      </c>
      <c r="B73" s="16" t="inlineStr">
        <is>
          <t>'80.12.</t>
        </is>
      </c>
      <c r="C73" s="164" t="n">
        <v>2180</v>
      </c>
      <c r="D73" s="161" t="n">
        <v>77.7</v>
      </c>
      <c r="E73" s="163" t="n">
        <v>24</v>
      </c>
      <c r="F73" s="161" t="n">
        <v>71.59999999999999</v>
      </c>
      <c r="G73" s="27" t="n">
        <v>22</v>
      </c>
      <c r="H73" s="164" t="n">
        <v>180</v>
      </c>
      <c r="I73" s="165" t="n"/>
      <c r="J73" s="165" t="n"/>
      <c r="K73" s="165" t="n"/>
      <c r="L73" s="165" t="n"/>
      <c r="M73" s="166">
        <f>I73-K73</f>
        <v/>
      </c>
      <c r="N73" s="7">
        <f>IF(ISERROR(K73/I73),"",K73/I73)</f>
        <v/>
      </c>
      <c r="O73" s="162">
        <f>I73/E73</f>
        <v/>
      </c>
      <c r="P73" s="162">
        <f>K73/E73</f>
        <v/>
      </c>
      <c r="Q73" s="113" t="n">
        <v>2</v>
      </c>
      <c r="R73" s="113" t="n">
        <v>1</v>
      </c>
      <c r="S73" s="113" t="inlineStr">
        <is>
          <t>복</t>
        </is>
      </c>
      <c r="T73" s="8" t="n">
        <v>77</v>
      </c>
      <c r="U73" s="13" t="n"/>
      <c r="W73" s="161">
        <f>D73</f>
        <v/>
      </c>
      <c r="X73" s="163">
        <f>E73</f>
        <v/>
      </c>
      <c r="Y73" s="159">
        <f>H73</f>
        <v/>
      </c>
      <c r="Z73" s="166">
        <f>I73</f>
        <v/>
      </c>
      <c r="AA73" s="166">
        <f>K73</f>
        <v/>
      </c>
      <c r="AB73" s="166">
        <f>M73</f>
        <v/>
      </c>
      <c r="AC73" s="7">
        <f>N73</f>
        <v/>
      </c>
      <c r="AD73" s="162">
        <f>O73</f>
        <v/>
      </c>
      <c r="AE73" s="113">
        <f>S73</f>
        <v/>
      </c>
      <c r="AF73" s="113">
        <f>Q73&amp;"/"&amp;R73</f>
        <v/>
      </c>
      <c r="AH73" s="36">
        <f>IF(A73="","",A73)</f>
        <v/>
      </c>
      <c r="AI73" s="163">
        <f>IF(E73="","",E73)</f>
        <v/>
      </c>
      <c r="AJ73" s="113">
        <f>IF(AI73="","",$AJ$2)</f>
        <v/>
      </c>
      <c r="AK73" s="113" t="inlineStr">
        <is>
          <t>A</t>
        </is>
      </c>
      <c r="AL73" s="113" t="inlineStr">
        <is>
          <t>A+</t>
        </is>
      </c>
      <c r="AM73" s="113" t="inlineStr">
        <is>
          <t>B+</t>
        </is>
      </c>
      <c r="AN73" s="113">
        <f>IF(AI73="","",$AN$2)</f>
        <v/>
      </c>
      <c r="AO73" s="113">
        <f>IF(N73="","",IF(N73&gt;=$AO$1/100,"O","X"))</f>
        <v/>
      </c>
      <c r="AP73" s="113">
        <f>IF(I73="","",IF(I73&lt;=$AP$1,"O","X"))</f>
        <v/>
      </c>
      <c r="AQ73" s="113">
        <f>IF(O73="","",IF(O73&lt;=$AQ$1,"O","X"))</f>
        <v/>
      </c>
      <c r="AR73" s="113">
        <f>IF(M73="","",IF(M73&lt;=$AR$1,"O","X"))</f>
        <v/>
      </c>
      <c r="AS73" s="113" t="inlineStr">
        <is>
          <t>X</t>
        </is>
      </c>
      <c r="AT73" s="113">
        <f>IF(OR(F73="",AI73=""),"",IF(AND((F73&lt;=85),(AI73&gt;=15)),"O","X"))</f>
        <v/>
      </c>
      <c r="AU73" s="113">
        <f>IF(C73="","",IF(C73&gt;=$AU$1,"O","X"))</f>
        <v/>
      </c>
      <c r="AV73" s="113">
        <f>IF(AO73="","",IF(AND(AO73="O",AP73="O",AR73="O",AT73="O",AU73="O"),"후보","X"))</f>
        <v/>
      </c>
    </row>
    <row r="74">
      <c r="A74" s="13" t="inlineStr">
        <is>
          <t>주공고층4단지</t>
        </is>
      </c>
      <c r="B74" s="16" t="inlineStr">
        <is>
          <t>'80.12.</t>
        </is>
      </c>
      <c r="C74" s="164" t="n">
        <v>2180</v>
      </c>
      <c r="D74" s="161" t="n">
        <v>83.7</v>
      </c>
      <c r="E74" s="163" t="n">
        <v>25</v>
      </c>
      <c r="F74" s="161" t="n">
        <v>78.2</v>
      </c>
      <c r="G74" s="27" t="n">
        <v>24</v>
      </c>
      <c r="H74" s="164" t="n">
        <v>200</v>
      </c>
      <c r="I74" s="165" t="n"/>
      <c r="J74" s="165" t="n"/>
      <c r="K74" s="165" t="n"/>
      <c r="L74" s="165" t="n"/>
      <c r="M74" s="166">
        <f>I74-K74</f>
        <v/>
      </c>
      <c r="N74" s="7">
        <f>IF(ISERROR(K74/I74),"",K74/I74)</f>
        <v/>
      </c>
      <c r="O74" s="162">
        <f>I74/E74</f>
        <v/>
      </c>
      <c r="P74" s="162">
        <f>K74/E74</f>
        <v/>
      </c>
      <c r="Q74" s="113" t="n">
        <v>2</v>
      </c>
      <c r="R74" s="113" t="n">
        <v>1</v>
      </c>
      <c r="S74" s="113" t="inlineStr">
        <is>
          <t>복</t>
        </is>
      </c>
      <c r="T74" s="8" t="n">
        <v>83</v>
      </c>
      <c r="U74" s="13" t="n"/>
      <c r="W74" s="161">
        <f>D74</f>
        <v/>
      </c>
      <c r="X74" s="163">
        <f>E74</f>
        <v/>
      </c>
      <c r="Y74" s="159">
        <f>H74</f>
        <v/>
      </c>
      <c r="Z74" s="166">
        <f>I74</f>
        <v/>
      </c>
      <c r="AA74" s="166">
        <f>K74</f>
        <v/>
      </c>
      <c r="AB74" s="166">
        <f>M74</f>
        <v/>
      </c>
      <c r="AC74" s="7">
        <f>N74</f>
        <v/>
      </c>
      <c r="AD74" s="162">
        <f>O74</f>
        <v/>
      </c>
      <c r="AE74" s="113">
        <f>S74</f>
        <v/>
      </c>
      <c r="AF74" s="113">
        <f>Q74&amp;"/"&amp;R74</f>
        <v/>
      </c>
      <c r="AH74" s="36">
        <f>IF(A74="","",A74)</f>
        <v/>
      </c>
      <c r="AI74" s="163">
        <f>IF(E74="","",E74)</f>
        <v/>
      </c>
      <c r="AJ74" s="113">
        <f>IF(AI74="","",$AJ$2)</f>
        <v/>
      </c>
      <c r="AK74" s="113" t="inlineStr">
        <is>
          <t>A</t>
        </is>
      </c>
      <c r="AL74" s="113" t="inlineStr">
        <is>
          <t>A+</t>
        </is>
      </c>
      <c r="AM74" s="113" t="inlineStr">
        <is>
          <t>B+</t>
        </is>
      </c>
      <c r="AN74" s="113">
        <f>IF(AI74="","",$AN$2)</f>
        <v/>
      </c>
      <c r="AO74" s="113">
        <f>IF(N74="","",IF(N74&gt;=$AO$1/100,"O","X"))</f>
        <v/>
      </c>
      <c r="AP74" s="113">
        <f>IF(I74="","",IF(I74&lt;=$AP$1,"O","X"))</f>
        <v/>
      </c>
      <c r="AQ74" s="113">
        <f>IF(O74="","",IF(O74&lt;=$AQ$1,"O","X"))</f>
        <v/>
      </c>
      <c r="AR74" s="113">
        <f>IF(M74="","",IF(M74&lt;=$AR$1,"O","X"))</f>
        <v/>
      </c>
      <c r="AS74" s="113" t="inlineStr">
        <is>
          <t>X</t>
        </is>
      </c>
      <c r="AT74" s="113">
        <f>IF(OR(F74="",AI74=""),"",IF(AND((F74&lt;=85),(AI74&gt;=15)),"O","X"))</f>
        <v/>
      </c>
      <c r="AU74" s="113">
        <f>IF(C74="","",IF(C74&gt;=$AU$1,"O","X"))</f>
        <v/>
      </c>
      <c r="AV74" s="113">
        <f>IF(AO74="","",IF(AND(AO74="O",AP74="O",AR74="O",AT74="O",AU74="O"),"후보","X"))</f>
        <v/>
      </c>
    </row>
    <row r="75">
      <c r="A75" s="13" t="inlineStr">
        <is>
          <t>주공고층4단지</t>
        </is>
      </c>
      <c r="B75" s="16" t="inlineStr">
        <is>
          <t>'80.12.</t>
        </is>
      </c>
      <c r="C75" s="164" t="n">
        <v>2180</v>
      </c>
      <c r="D75" s="161" t="n">
        <v>106.1</v>
      </c>
      <c r="E75" s="163" t="n">
        <v>32</v>
      </c>
      <c r="F75" s="161" t="n">
        <v>97.7</v>
      </c>
      <c r="G75" s="27" t="n">
        <v>30</v>
      </c>
      <c r="H75" s="164" t="n">
        <v>360</v>
      </c>
      <c r="I75" s="165" t="n"/>
      <c r="J75" s="165" t="n"/>
      <c r="K75" s="165" t="n"/>
      <c r="L75" s="165" t="n"/>
      <c r="M75" s="166">
        <f>I75-K75</f>
        <v/>
      </c>
      <c r="N75" s="7">
        <f>IF(ISERROR(K75/I75),"",K75/I75)</f>
        <v/>
      </c>
      <c r="O75" s="162">
        <f>I75/E75</f>
        <v/>
      </c>
      <c r="P75" s="162">
        <f>K75/E75</f>
        <v/>
      </c>
      <c r="Q75" s="113" t="n">
        <v>3</v>
      </c>
      <c r="R75" s="113" t="n">
        <v>1</v>
      </c>
      <c r="S75" s="113" t="inlineStr">
        <is>
          <t>복</t>
        </is>
      </c>
      <c r="T75" s="8" t="n">
        <v>106</v>
      </c>
      <c r="U75" s="13" t="n"/>
      <c r="W75" s="161">
        <f>D75</f>
        <v/>
      </c>
      <c r="X75" s="163">
        <f>E75</f>
        <v/>
      </c>
      <c r="Y75" s="159">
        <f>H75</f>
        <v/>
      </c>
      <c r="Z75" s="166">
        <f>I75</f>
        <v/>
      </c>
      <c r="AA75" s="166">
        <f>K75</f>
        <v/>
      </c>
      <c r="AB75" s="166">
        <f>M75</f>
        <v/>
      </c>
      <c r="AC75" s="7">
        <f>N75</f>
        <v/>
      </c>
      <c r="AD75" s="162">
        <f>O75</f>
        <v/>
      </c>
      <c r="AE75" s="113">
        <f>S75</f>
        <v/>
      </c>
      <c r="AF75" s="113">
        <f>Q75&amp;"/"&amp;R75</f>
        <v/>
      </c>
      <c r="AH75" s="36">
        <f>IF(A75="","",A75)</f>
        <v/>
      </c>
      <c r="AI75" s="163">
        <f>IF(E75="","",E75)</f>
        <v/>
      </c>
      <c r="AJ75" s="113">
        <f>IF(AI75="","",$AJ$2)</f>
        <v/>
      </c>
      <c r="AK75" s="113" t="inlineStr">
        <is>
          <t>A</t>
        </is>
      </c>
      <c r="AL75" s="113" t="inlineStr">
        <is>
          <t>A+</t>
        </is>
      </c>
      <c r="AM75" s="113" t="inlineStr">
        <is>
          <t>B+</t>
        </is>
      </c>
      <c r="AN75" s="113">
        <f>IF(AI75="","",$AN$2)</f>
        <v/>
      </c>
      <c r="AO75" s="113">
        <f>IF(N75="","",IF(N75&gt;=$AO$1/100,"O","X"))</f>
        <v/>
      </c>
      <c r="AP75" s="113">
        <f>IF(I75="","",IF(I75&lt;=$AP$1,"O","X"))</f>
        <v/>
      </c>
      <c r="AQ75" s="113">
        <f>IF(O75="","",IF(O75&lt;=$AQ$1,"O","X"))</f>
        <v/>
      </c>
      <c r="AR75" s="113">
        <f>IF(M75="","",IF(M75&lt;=$AR$1,"O","X"))</f>
        <v/>
      </c>
      <c r="AS75" s="113" t="inlineStr">
        <is>
          <t>X</t>
        </is>
      </c>
      <c r="AT75" s="113">
        <f>IF(OR(F75="",AI75=""),"",IF(AND((F75&lt;=85),(AI75&gt;=15)),"O","X"))</f>
        <v/>
      </c>
      <c r="AU75" s="113">
        <f>IF(C75="","",IF(C75&gt;=$AU$1,"O","X"))</f>
        <v/>
      </c>
      <c r="AV75" s="113">
        <f>IF(AO75="","",IF(AND(AO75="O",AP75="O",AR75="O",AT75="O",AU75="O"),"후보","X"))</f>
        <v/>
      </c>
    </row>
    <row r="76">
      <c r="A76" s="13" t="inlineStr">
        <is>
          <t>주공고층4단지</t>
        </is>
      </c>
      <c r="B76" s="16" t="inlineStr">
        <is>
          <t>'80.12.</t>
        </is>
      </c>
      <c r="C76" s="164" t="n">
        <v>2180</v>
      </c>
      <c r="D76" s="161" t="n">
        <v>109.6</v>
      </c>
      <c r="E76" s="163" t="n">
        <v>33</v>
      </c>
      <c r="F76" s="161" t="n">
        <v>99.59999999999999</v>
      </c>
      <c r="G76" s="27" t="n">
        <v>30</v>
      </c>
      <c r="H76" s="164" t="n">
        <v>840</v>
      </c>
      <c r="I76" s="165" t="n"/>
      <c r="J76" s="165" t="n"/>
      <c r="K76" s="165" t="n"/>
      <c r="L76" s="165" t="n"/>
      <c r="M76" s="166">
        <f>I76-K76</f>
        <v/>
      </c>
      <c r="N76" s="7">
        <f>IF(ISERROR(K76/I76),"",K76/I76)</f>
        <v/>
      </c>
      <c r="O76" s="162">
        <f>I76/E76</f>
        <v/>
      </c>
      <c r="P76" s="162">
        <f>K76/E76</f>
        <v/>
      </c>
      <c r="Q76" s="113" t="n">
        <v>3</v>
      </c>
      <c r="R76" s="113" t="n">
        <v>1</v>
      </c>
      <c r="S76" s="113" t="inlineStr">
        <is>
          <t>복</t>
        </is>
      </c>
      <c r="T76" s="8" t="inlineStr">
        <is>
          <t>109T</t>
        </is>
      </c>
      <c r="U76" s="13" t="n"/>
      <c r="W76" s="161">
        <f>D76</f>
        <v/>
      </c>
      <c r="X76" s="163">
        <f>E76</f>
        <v/>
      </c>
      <c r="Y76" s="159">
        <f>H76</f>
        <v/>
      </c>
      <c r="Z76" s="166">
        <f>I76</f>
        <v/>
      </c>
      <c r="AA76" s="166">
        <f>K76</f>
        <v/>
      </c>
      <c r="AB76" s="166">
        <f>M76</f>
        <v/>
      </c>
      <c r="AC76" s="7">
        <f>N76</f>
        <v/>
      </c>
      <c r="AD76" s="162">
        <f>O76</f>
        <v/>
      </c>
      <c r="AE76" s="113">
        <f>S76</f>
        <v/>
      </c>
      <c r="AF76" s="113">
        <f>Q76&amp;"/"&amp;R76</f>
        <v/>
      </c>
      <c r="AH76" s="36">
        <f>IF(A76="","",A76)</f>
        <v/>
      </c>
      <c r="AI76" s="163">
        <f>IF(E76="","",E76)</f>
        <v/>
      </c>
      <c r="AJ76" s="113">
        <f>IF(AI76="","",$AJ$2)</f>
        <v/>
      </c>
      <c r="AK76" s="113" t="inlineStr">
        <is>
          <t>A</t>
        </is>
      </c>
      <c r="AL76" s="113" t="inlineStr">
        <is>
          <t>A+</t>
        </is>
      </c>
      <c r="AM76" s="113" t="inlineStr">
        <is>
          <t>B+</t>
        </is>
      </c>
      <c r="AN76" s="113">
        <f>IF(AI76="","",$AN$2)</f>
        <v/>
      </c>
      <c r="AO76" s="113">
        <f>IF(N76="","",IF(N76&gt;=$AO$1/100,"O","X"))</f>
        <v/>
      </c>
      <c r="AP76" s="113">
        <f>IF(I76="","",IF(I76&lt;=$AP$1,"O","X"))</f>
        <v/>
      </c>
      <c r="AQ76" s="113">
        <f>IF(O76="","",IF(O76&lt;=$AQ$1,"O","X"))</f>
        <v/>
      </c>
      <c r="AR76" s="113">
        <f>IF(M76="","",IF(M76&lt;=$AR$1,"O","X"))</f>
        <v/>
      </c>
      <c r="AS76" s="113" t="inlineStr">
        <is>
          <t>X</t>
        </is>
      </c>
      <c r="AT76" s="113">
        <f>IF(OR(F76="",AI76=""),"",IF(AND((F76&lt;=85),(AI76&gt;=15)),"O","X"))</f>
        <v/>
      </c>
      <c r="AU76" s="113">
        <f>IF(C76="","",IF(C76&gt;=$AU$1,"O","X"))</f>
        <v/>
      </c>
      <c r="AV76" s="113">
        <f>IF(AO76="","",IF(AND(AO76="O",AP76="O",AR76="O",AT76="O",AU76="O"),"후보","X"))</f>
        <v/>
      </c>
    </row>
    <row r="77">
      <c r="A77" s="13" t="inlineStr">
        <is>
          <t>주공고층4단지</t>
        </is>
      </c>
      <c r="B77" s="16" t="inlineStr">
        <is>
          <t>'80.12.</t>
        </is>
      </c>
      <c r="C77" s="164" t="n">
        <v>2180</v>
      </c>
      <c r="D77" s="161" t="n">
        <v>109.6</v>
      </c>
      <c r="E77" s="163" t="n">
        <v>33</v>
      </c>
      <c r="F77" s="161" t="n">
        <v>99.59999999999999</v>
      </c>
      <c r="G77" s="27" t="n">
        <v>30</v>
      </c>
      <c r="H77" s="164" t="n">
        <v>600</v>
      </c>
      <c r="I77" s="165" t="n"/>
      <c r="J77" s="165" t="n"/>
      <c r="K77" s="165" t="n"/>
      <c r="L77" s="165" t="n"/>
      <c r="M77" s="166">
        <f>I77-K77</f>
        <v/>
      </c>
      <c r="N77" s="7">
        <f>IF(ISERROR(K77/I77),"",K77/I77)</f>
        <v/>
      </c>
      <c r="O77" s="162">
        <f>I77/E77</f>
        <v/>
      </c>
      <c r="P77" s="162">
        <f>K77/E77</f>
        <v/>
      </c>
      <c r="Q77" s="113" t="n">
        <v>3</v>
      </c>
      <c r="R77" s="113" t="n">
        <v>1</v>
      </c>
      <c r="S77" s="113" t="inlineStr">
        <is>
          <t>복</t>
        </is>
      </c>
      <c r="T77" s="8" t="inlineStr">
        <is>
          <t>109I</t>
        </is>
      </c>
      <c r="U77" s="13" t="n"/>
      <c r="W77" s="161">
        <f>D77</f>
        <v/>
      </c>
      <c r="X77" s="163">
        <f>E77</f>
        <v/>
      </c>
      <c r="Y77" s="159">
        <f>H77</f>
        <v/>
      </c>
      <c r="Z77" s="166">
        <f>I77</f>
        <v/>
      </c>
      <c r="AA77" s="166">
        <f>K77</f>
        <v/>
      </c>
      <c r="AB77" s="166">
        <f>M77</f>
        <v/>
      </c>
      <c r="AC77" s="7">
        <f>N77</f>
        <v/>
      </c>
      <c r="AD77" s="162">
        <f>O77</f>
        <v/>
      </c>
      <c r="AE77" s="113">
        <f>S77</f>
        <v/>
      </c>
      <c r="AF77" s="113">
        <f>Q77&amp;"/"&amp;R77</f>
        <v/>
      </c>
      <c r="AH77" s="36">
        <f>IF(A77="","",A77)</f>
        <v/>
      </c>
      <c r="AI77" s="163">
        <f>IF(E77="","",E77)</f>
        <v/>
      </c>
      <c r="AJ77" s="113">
        <f>IF(AI77="","",$AJ$2)</f>
        <v/>
      </c>
      <c r="AK77" s="113" t="inlineStr">
        <is>
          <t>A</t>
        </is>
      </c>
      <c r="AL77" s="113" t="inlineStr">
        <is>
          <t>A+</t>
        </is>
      </c>
      <c r="AM77" s="113" t="inlineStr">
        <is>
          <t>B+</t>
        </is>
      </c>
      <c r="AN77" s="113">
        <f>IF(AI77="","",$AN$2)</f>
        <v/>
      </c>
      <c r="AO77" s="113">
        <f>IF(N77="","",IF(N77&gt;=$AO$1/100,"O","X"))</f>
        <v/>
      </c>
      <c r="AP77" s="113">
        <f>IF(I77="","",IF(I77&lt;=$AP$1,"O","X"))</f>
        <v/>
      </c>
      <c r="AQ77" s="113">
        <f>IF(O77="","",IF(O77&lt;=$AQ$1,"O","X"))</f>
        <v/>
      </c>
      <c r="AR77" s="113">
        <f>IF(M77="","",IF(M77&lt;=$AR$1,"O","X"))</f>
        <v/>
      </c>
      <c r="AS77" s="113" t="inlineStr">
        <is>
          <t>X</t>
        </is>
      </c>
      <c r="AT77" s="113">
        <f>IF(OR(F77="",AI77=""),"",IF(AND((F77&lt;=85),(AI77&gt;=15)),"O","X"))</f>
        <v/>
      </c>
      <c r="AU77" s="113">
        <f>IF(C77="","",IF(C77&gt;=$AU$1,"O","X"))</f>
        <v/>
      </c>
      <c r="AV77" s="113">
        <f>IF(AO77="","",IF(AND(AO77="O",AP77="O",AR77="O",AT77="O",AU77="O"),"후보","X"))</f>
        <v/>
      </c>
    </row>
    <row r="78">
      <c r="A78" s="13" t="n"/>
      <c r="B78" s="113" t="n"/>
      <c r="C78" s="10" t="n"/>
      <c r="D78" s="13" t="n"/>
      <c r="E78" s="20" t="n"/>
      <c r="F78" s="161" t="n"/>
      <c r="G78" s="13" t="n"/>
      <c r="H78" s="13" t="n"/>
      <c r="I78" s="13" t="n"/>
      <c r="J78" s="13" t="n"/>
      <c r="K78" s="13" t="n"/>
      <c r="L78" s="13" t="n"/>
      <c r="M78" s="13" t="n"/>
      <c r="N78" s="13" t="n"/>
      <c r="O78" s="162" t="n"/>
      <c r="P78" s="162" t="n"/>
      <c r="Q78" s="163" t="n"/>
      <c r="R78" s="163" t="n"/>
      <c r="S78" s="13" t="n"/>
      <c r="T78" s="70" t="n"/>
      <c r="U78" s="13" t="n"/>
      <c r="W78" s="107">
        <f>$A$4&amp;" "&amp;A79&amp;"("&amp;B79&amp;","&amp;C79&amp;"^)"</f>
        <v/>
      </c>
      <c r="X78" s="108" t="n"/>
      <c r="Y78" s="108" t="n"/>
      <c r="Z78" s="108" t="n"/>
      <c r="AA78" s="108" t="n"/>
      <c r="AB78" s="108" t="n"/>
      <c r="AC78" s="108" t="n"/>
      <c r="AD78" s="108" t="n"/>
      <c r="AE78" s="108" t="n"/>
      <c r="AF78" s="109" t="n"/>
      <c r="AH78" s="36">
        <f>IF(A78="","",A78)</f>
        <v/>
      </c>
      <c r="AI78" s="160">
        <f>IF(E78="","",E78)</f>
        <v/>
      </c>
      <c r="AJ78" s="113" t="n"/>
      <c r="AK78" s="113" t="n"/>
      <c r="AL78" s="113" t="n"/>
      <c r="AM78" s="113" t="n"/>
      <c r="AN78" s="113" t="n"/>
      <c r="AO78" s="113" t="n"/>
      <c r="AP78" s="113" t="n"/>
      <c r="AQ78" s="113" t="n"/>
      <c r="AR78" s="113" t="n"/>
      <c r="AS78" s="113" t="n"/>
      <c r="AT78" s="113" t="n"/>
      <c r="AU78" s="113" t="n"/>
      <c r="AV78" s="113" t="n"/>
    </row>
    <row r="79">
      <c r="A79" s="13" t="inlineStr">
        <is>
          <t>둔촌신성미소지움</t>
        </is>
      </c>
      <c r="B79" s="16" t="inlineStr">
        <is>
          <t>'98.05.</t>
        </is>
      </c>
      <c r="C79" s="164" t="n">
        <v>460</v>
      </c>
      <c r="D79" s="161" t="n">
        <v>87.3</v>
      </c>
      <c r="E79" s="163" t="n">
        <v>26</v>
      </c>
      <c r="F79" s="161" t="n">
        <v>59.8</v>
      </c>
      <c r="G79" s="27" t="n">
        <v>18</v>
      </c>
      <c r="H79" s="164" t="n">
        <v>233</v>
      </c>
      <c r="I79" s="165" t="n">
        <v>99000</v>
      </c>
      <c r="J79" s="165" t="inlineStr">
        <is>
          <t>중</t>
        </is>
      </c>
      <c r="K79" s="165" t="n"/>
      <c r="L79" s="165" t="n"/>
      <c r="M79" s="166">
        <f>I79-K79</f>
        <v/>
      </c>
      <c r="N79" s="7">
        <f>IF(ISERROR(K79/I79),"",K79/I79)</f>
        <v/>
      </c>
      <c r="O79" s="162">
        <f>I79/E79</f>
        <v/>
      </c>
      <c r="P79" s="162">
        <f>K79/E79</f>
        <v/>
      </c>
      <c r="Q79" s="113" t="n">
        <v>3</v>
      </c>
      <c r="R79" s="113" t="n">
        <v>1</v>
      </c>
      <c r="S79" s="113" t="inlineStr">
        <is>
          <t>복</t>
        </is>
      </c>
      <c r="T79" s="8" t="n">
        <v>87</v>
      </c>
      <c r="U79" s="13" t="n"/>
      <c r="W79" s="161">
        <f>D79</f>
        <v/>
      </c>
      <c r="X79" s="163">
        <f>E79</f>
        <v/>
      </c>
      <c r="Y79" s="159">
        <f>H79</f>
        <v/>
      </c>
      <c r="Z79" s="166">
        <f>I79</f>
        <v/>
      </c>
      <c r="AA79" s="166">
        <f>K79</f>
        <v/>
      </c>
      <c r="AB79" s="166">
        <f>M79</f>
        <v/>
      </c>
      <c r="AC79" s="7">
        <f>N79</f>
        <v/>
      </c>
      <c r="AD79" s="162">
        <f>O79</f>
        <v/>
      </c>
      <c r="AE79" s="113">
        <f>S79</f>
        <v/>
      </c>
      <c r="AF79" s="113">
        <f>Q79&amp;"/"&amp;R79</f>
        <v/>
      </c>
      <c r="AH79" s="36">
        <f>IF(A79="","",A79)</f>
        <v/>
      </c>
      <c r="AI79" s="163">
        <f>IF(E79="","",E79)</f>
        <v/>
      </c>
      <c r="AJ79" s="113">
        <f>IF(AI79="","",$AJ$2)</f>
        <v/>
      </c>
      <c r="AK79" s="113" t="inlineStr">
        <is>
          <t>A</t>
        </is>
      </c>
      <c r="AL79" s="113" t="inlineStr">
        <is>
          <t>A+</t>
        </is>
      </c>
      <c r="AM79" s="113" t="inlineStr">
        <is>
          <t>B+</t>
        </is>
      </c>
      <c r="AN79" s="113">
        <f>IF(AI79="","",$AN$2)</f>
        <v/>
      </c>
      <c r="AO79" s="113">
        <f>IF(N79="","",IF(N79&gt;=$AO$1/100,"O","X"))</f>
        <v/>
      </c>
      <c r="AP79" s="113">
        <f>IF(I79="","",IF(I79&lt;=$AP$1,"O","X"))</f>
        <v/>
      </c>
      <c r="AQ79" s="113">
        <f>IF(O79="","",IF(O79&lt;=$AQ$1,"O","X"))</f>
        <v/>
      </c>
      <c r="AR79" s="113">
        <f>IF(M79="","",IF(M79&lt;=$AR$1,"O","X"))</f>
        <v/>
      </c>
      <c r="AS79" s="113" t="inlineStr">
        <is>
          <t>X</t>
        </is>
      </c>
      <c r="AT79" s="113">
        <f>IF(OR(F79="",AI79=""),"",IF(AND((F79&lt;=85),(AI79&gt;=15)),"O","X"))</f>
        <v/>
      </c>
      <c r="AU79" s="113">
        <f>IF(C79="","",IF(C79&gt;=$AU$1,"O","X"))</f>
        <v/>
      </c>
      <c r="AV79" s="113">
        <f>IF(AO79="","",IF(AND(AO79="O",AP79="O",AR79="O",AT79="O",AU79="O"),"후보","X"))</f>
        <v/>
      </c>
    </row>
    <row r="80">
      <c r="A80" s="13" t="inlineStr">
        <is>
          <t>둔촌신성미소지움</t>
        </is>
      </c>
      <c r="B80" s="16" t="inlineStr">
        <is>
          <t>'98.05.</t>
        </is>
      </c>
      <c r="C80" s="164" t="n">
        <v>460</v>
      </c>
      <c r="D80" s="161" t="n">
        <v>107.6</v>
      </c>
      <c r="E80" s="163" t="n">
        <v>33</v>
      </c>
      <c r="F80" s="161" t="n">
        <v>84.90000000000001</v>
      </c>
      <c r="G80" s="27" t="n">
        <v>26</v>
      </c>
      <c r="H80" s="164" t="n">
        <v>156</v>
      </c>
      <c r="I80" s="165" t="n">
        <v>125000</v>
      </c>
      <c r="J80" s="165" t="inlineStr">
        <is>
          <t>14</t>
        </is>
      </c>
      <c r="K80" s="165" t="n"/>
      <c r="L80" s="165" t="n"/>
      <c r="M80" s="166">
        <f>I80-K80</f>
        <v/>
      </c>
      <c r="N80" s="7">
        <f>IF(ISERROR(K80/I80),"",K80/I80)</f>
        <v/>
      </c>
      <c r="O80" s="162">
        <f>I80/E80</f>
        <v/>
      </c>
      <c r="P80" s="162">
        <f>K80/E80</f>
        <v/>
      </c>
      <c r="Q80" s="113" t="n">
        <v>3</v>
      </c>
      <c r="R80" s="113" t="n">
        <v>2</v>
      </c>
      <c r="S80" s="113" t="inlineStr">
        <is>
          <t>계</t>
        </is>
      </c>
      <c r="T80" s="8" t="n">
        <v>107</v>
      </c>
      <c r="U80" s="13" t="n"/>
      <c r="W80" s="161">
        <f>D80</f>
        <v/>
      </c>
      <c r="X80" s="163">
        <f>E80</f>
        <v/>
      </c>
      <c r="Y80" s="159">
        <f>H80</f>
        <v/>
      </c>
      <c r="Z80" s="166">
        <f>I80</f>
        <v/>
      </c>
      <c r="AA80" s="166">
        <f>K80</f>
        <v/>
      </c>
      <c r="AB80" s="166">
        <f>M80</f>
        <v/>
      </c>
      <c r="AC80" s="7">
        <f>N80</f>
        <v/>
      </c>
      <c r="AD80" s="162">
        <f>O80</f>
        <v/>
      </c>
      <c r="AE80" s="113">
        <f>S80</f>
        <v/>
      </c>
      <c r="AF80" s="113">
        <f>Q80&amp;"/"&amp;R80</f>
        <v/>
      </c>
      <c r="AH80" s="36">
        <f>IF(A80="","",A80)</f>
        <v/>
      </c>
      <c r="AI80" s="163">
        <f>IF(E80="","",E80)</f>
        <v/>
      </c>
      <c r="AJ80" s="113">
        <f>IF(AI80="","",$AJ$2)</f>
        <v/>
      </c>
      <c r="AK80" s="113" t="inlineStr">
        <is>
          <t>A</t>
        </is>
      </c>
      <c r="AL80" s="113" t="inlineStr">
        <is>
          <t>A+</t>
        </is>
      </c>
      <c r="AM80" s="113" t="inlineStr">
        <is>
          <t>B+</t>
        </is>
      </c>
      <c r="AN80" s="113">
        <f>IF(AI80="","",$AN$2)</f>
        <v/>
      </c>
      <c r="AO80" s="113">
        <f>IF(N80="","",IF(N80&gt;=$AO$1/100,"O","X"))</f>
        <v/>
      </c>
      <c r="AP80" s="113">
        <f>IF(I80="","",IF(I80&lt;=$AP$1,"O","X"))</f>
        <v/>
      </c>
      <c r="AQ80" s="113">
        <f>IF(O80="","",IF(O80&lt;=$AQ$1,"O","X"))</f>
        <v/>
      </c>
      <c r="AR80" s="113">
        <f>IF(M80="","",IF(M80&lt;=$AR$1,"O","X"))</f>
        <v/>
      </c>
      <c r="AS80" s="113" t="inlineStr">
        <is>
          <t>X</t>
        </is>
      </c>
      <c r="AT80" s="113">
        <f>IF(OR(F80="",AI80=""),"",IF(AND((F80&lt;=85),(AI80&gt;=15)),"O","X"))</f>
        <v/>
      </c>
      <c r="AU80" s="113">
        <f>IF(C80="","",IF(C80&gt;=$AU$1,"O","X"))</f>
        <v/>
      </c>
      <c r="AV80" s="113">
        <f>IF(AO80="","",IF(AND(AO80="O",AP80="O",AR80="O",AT80="O",AU80="O"),"후보","X"))</f>
        <v/>
      </c>
    </row>
    <row r="81">
      <c r="A81" s="13" t="inlineStr">
        <is>
          <t>둔촌신성미소지움</t>
        </is>
      </c>
      <c r="B81" s="16" t="inlineStr">
        <is>
          <t>'98.05.</t>
        </is>
      </c>
      <c r="C81" s="164" t="n">
        <v>460</v>
      </c>
      <c r="D81" s="161" t="n">
        <v>135.6</v>
      </c>
      <c r="E81" s="163" t="n">
        <v>41</v>
      </c>
      <c r="F81" s="161" t="n">
        <v>109.7</v>
      </c>
      <c r="G81" s="27" t="n">
        <v>33</v>
      </c>
      <c r="H81" s="164" t="n">
        <v>48</v>
      </c>
      <c r="I81" s="165" t="n"/>
      <c r="J81" s="165" t="n"/>
      <c r="K81" s="165" t="n"/>
      <c r="L81" s="165" t="n"/>
      <c r="M81" s="166">
        <f>I81-K81</f>
        <v/>
      </c>
      <c r="N81" s="7">
        <f>IF(ISERROR(K81/I81),"",K81/I81)</f>
        <v/>
      </c>
      <c r="O81" s="162">
        <f>I81/E81</f>
        <v/>
      </c>
      <c r="P81" s="162">
        <f>K81/E81</f>
        <v/>
      </c>
      <c r="Q81" s="113" t="n">
        <v>4</v>
      </c>
      <c r="R81" s="113" t="n">
        <v>2</v>
      </c>
      <c r="S81" s="113" t="inlineStr">
        <is>
          <t>계</t>
        </is>
      </c>
      <c r="T81" s="8" t="n">
        <v>135</v>
      </c>
      <c r="U81" s="13" t="n"/>
      <c r="W81" s="161">
        <f>D81</f>
        <v/>
      </c>
      <c r="X81" s="163">
        <f>E81</f>
        <v/>
      </c>
      <c r="Y81" s="159">
        <f>H81</f>
        <v/>
      </c>
      <c r="Z81" s="166">
        <f>I81</f>
        <v/>
      </c>
      <c r="AA81" s="166">
        <f>K81</f>
        <v/>
      </c>
      <c r="AB81" s="166">
        <f>M81</f>
        <v/>
      </c>
      <c r="AC81" s="7">
        <f>N81</f>
        <v/>
      </c>
      <c r="AD81" s="162">
        <f>O81</f>
        <v/>
      </c>
      <c r="AE81" s="113">
        <f>S81</f>
        <v/>
      </c>
      <c r="AF81" s="113">
        <f>Q81&amp;"/"&amp;R81</f>
        <v/>
      </c>
      <c r="AH81" s="36">
        <f>IF(A81="","",A81)</f>
        <v/>
      </c>
      <c r="AI81" s="163">
        <f>IF(E81="","",E81)</f>
        <v/>
      </c>
      <c r="AJ81" s="113">
        <f>IF(AI81="","",$AJ$2)</f>
        <v/>
      </c>
      <c r="AK81" s="113" t="inlineStr">
        <is>
          <t>A</t>
        </is>
      </c>
      <c r="AL81" s="113" t="inlineStr">
        <is>
          <t>A+</t>
        </is>
      </c>
      <c r="AM81" s="113" t="inlineStr">
        <is>
          <t>B+</t>
        </is>
      </c>
      <c r="AN81" s="113">
        <f>IF(AI81="","",$AN$2)</f>
        <v/>
      </c>
      <c r="AO81" s="113">
        <f>IF(N81="","",IF(N81&gt;=$AO$1/100,"O","X"))</f>
        <v/>
      </c>
      <c r="AP81" s="113">
        <f>IF(I81="","",IF(I81&lt;=$AP$1,"O","X"))</f>
        <v/>
      </c>
      <c r="AQ81" s="113">
        <f>IF(O81="","",IF(O81&lt;=$AQ$1,"O","X"))</f>
        <v/>
      </c>
      <c r="AR81" s="113">
        <f>IF(M81="","",IF(M81&lt;=$AR$1,"O","X"))</f>
        <v/>
      </c>
      <c r="AS81" s="113" t="inlineStr">
        <is>
          <t>X</t>
        </is>
      </c>
      <c r="AT81" s="113">
        <f>IF(OR(F81="",AI81=""),"",IF(AND((F81&lt;=85),(AI81&gt;=15)),"O","X"))</f>
        <v/>
      </c>
      <c r="AU81" s="113">
        <f>IF(C81="","",IF(C81&gt;=$AU$1,"O","X"))</f>
        <v/>
      </c>
      <c r="AV81" s="113">
        <f>IF(AO81="","",IF(AND(AO81="O",AP81="O",AR81="O",AT81="O",AU81="O"),"후보","X"))</f>
        <v/>
      </c>
    </row>
    <row r="82">
      <c r="A82" s="13" t="inlineStr">
        <is>
          <t>둔촌신성미소지움</t>
        </is>
      </c>
      <c r="B82" s="16" t="inlineStr">
        <is>
          <t>'98.05.</t>
        </is>
      </c>
      <c r="C82" s="164" t="n">
        <v>460</v>
      </c>
      <c r="D82" s="161" t="n">
        <v>145.9</v>
      </c>
      <c r="E82" s="163" t="n">
        <v>44</v>
      </c>
      <c r="F82" s="161" t="n">
        <v>115</v>
      </c>
      <c r="G82" s="27" t="n">
        <v>35</v>
      </c>
      <c r="H82" s="164" t="n">
        <v>23</v>
      </c>
      <c r="I82" s="165" t="n"/>
      <c r="J82" s="165" t="n"/>
      <c r="K82" s="165" t="n"/>
      <c r="L82" s="165" t="n"/>
      <c r="M82" s="166">
        <f>I82-K82</f>
        <v/>
      </c>
      <c r="N82" s="7">
        <f>IF(ISERROR(K82/I82),"",K82/I82)</f>
        <v/>
      </c>
      <c r="O82" s="162">
        <f>I82/E82</f>
        <v/>
      </c>
      <c r="P82" s="162">
        <f>K82/E82</f>
        <v/>
      </c>
      <c r="Q82" s="113" t="n">
        <v>4</v>
      </c>
      <c r="R82" s="113" t="n">
        <v>2</v>
      </c>
      <c r="S82" s="113" t="inlineStr">
        <is>
          <t>계</t>
        </is>
      </c>
      <c r="T82" s="8" t="n">
        <v>145</v>
      </c>
      <c r="U82" s="13" t="n"/>
      <c r="W82" s="161">
        <f>D82</f>
        <v/>
      </c>
      <c r="X82" s="163">
        <f>E82</f>
        <v/>
      </c>
      <c r="Y82" s="159">
        <f>H82</f>
        <v/>
      </c>
      <c r="Z82" s="166">
        <f>I82</f>
        <v/>
      </c>
      <c r="AA82" s="166">
        <f>K82</f>
        <v/>
      </c>
      <c r="AB82" s="166">
        <f>M82</f>
        <v/>
      </c>
      <c r="AC82" s="7">
        <f>N82</f>
        <v/>
      </c>
      <c r="AD82" s="162">
        <f>O82</f>
        <v/>
      </c>
      <c r="AE82" s="113">
        <f>S82</f>
        <v/>
      </c>
      <c r="AF82" s="113">
        <f>Q82&amp;"/"&amp;R82</f>
        <v/>
      </c>
      <c r="AH82" s="36">
        <f>IF(A82="","",A82)</f>
        <v/>
      </c>
      <c r="AI82" s="163">
        <f>IF(E82="","",E82)</f>
        <v/>
      </c>
      <c r="AJ82" s="113">
        <f>IF(AI82="","",$AJ$2)</f>
        <v/>
      </c>
      <c r="AK82" s="113" t="inlineStr">
        <is>
          <t>A</t>
        </is>
      </c>
      <c r="AL82" s="113" t="inlineStr">
        <is>
          <t>A+</t>
        </is>
      </c>
      <c r="AM82" s="113" t="inlineStr">
        <is>
          <t>B+</t>
        </is>
      </c>
      <c r="AN82" s="113">
        <f>IF(AI82="","",$AN$2)</f>
        <v/>
      </c>
      <c r="AO82" s="113">
        <f>IF(N82="","",IF(N82&gt;=$AO$1/100,"O","X"))</f>
        <v/>
      </c>
      <c r="AP82" s="113">
        <f>IF(I82="","",IF(I82&lt;=$AP$1,"O","X"))</f>
        <v/>
      </c>
      <c r="AQ82" s="113">
        <f>IF(O82="","",IF(O82&lt;=$AQ$1,"O","X"))</f>
        <v/>
      </c>
      <c r="AR82" s="113">
        <f>IF(M82="","",IF(M82&lt;=$AR$1,"O","X"))</f>
        <v/>
      </c>
      <c r="AS82" s="113" t="inlineStr">
        <is>
          <t>X</t>
        </is>
      </c>
      <c r="AT82" s="113">
        <f>IF(OR(F82="",AI82=""),"",IF(AND((F82&lt;=85),(AI82&gt;=15)),"O","X"))</f>
        <v/>
      </c>
      <c r="AU82" s="113">
        <f>IF(C82="","",IF(C82&gt;=$AU$1,"O","X"))</f>
        <v/>
      </c>
      <c r="AV82" s="113">
        <f>IF(AO82="","",IF(AND(AO82="O",AP82="O",AR82="O",AT82="O",AU82="O"),"후보","X"))</f>
        <v/>
      </c>
    </row>
  </sheetData>
  <mergeCells count="1">
    <mergeCell ref="AJ1:AN1"/>
  </mergeCells>
  <conditionalFormatting sqref="AV4:AV6">
    <cfRule type="expression" priority="1310" dxfId="17">
      <formula>AV4="X"</formula>
    </cfRule>
    <cfRule type="expression" priority="1311" dxfId="16">
      <formula>AV4="후보"</formula>
    </cfRule>
  </conditionalFormatting>
  <conditionalFormatting sqref="AC1:AC2 AC4:AC6 N4:N5">
    <cfRule type="cellIs" priority="1307" operator="greaterThan" dxfId="13">
      <formula>0.9</formula>
    </cfRule>
    <cfRule type="cellIs" priority="1308" operator="greaterThan" dxfId="12">
      <formula>0.85</formula>
    </cfRule>
  </conditionalFormatting>
  <conditionalFormatting sqref="N1:N2">
    <cfRule type="cellIs" priority="1305" operator="greaterThan" dxfId="13">
      <formula>0.9</formula>
    </cfRule>
    <cfRule type="cellIs" priority="1306" operator="greaterThan" dxfId="12">
      <formula>0.85</formula>
    </cfRule>
  </conditionalFormatting>
  <conditionalFormatting sqref="N6">
    <cfRule type="cellIs" priority="1303" operator="greaterThan" dxfId="13">
      <formula>0.9</formula>
    </cfRule>
    <cfRule type="cellIs" priority="1304" operator="greaterThan" dxfId="12">
      <formula>0.85</formula>
    </cfRule>
  </conditionalFormatting>
  <conditionalFormatting sqref="E6">
    <cfRule type="expression" priority="1299" dxfId="3">
      <formula>AND(IF(OR($Q6=1,$Q6=2),1,0),IF($X6&lt;=20,1,0))</formula>
    </cfRule>
    <cfRule type="expression" priority="1300" dxfId="2">
      <formula>AND(IF($Q6=2,1,0),IF($X6&lt;30,1,0))</formula>
    </cfRule>
    <cfRule type="expression" priority="1301" dxfId="1">
      <formula>AND(IF($Q6=3,1,0),IF($X6&lt;30,1,0))</formula>
    </cfRule>
    <cfRule type="expression" priority="1302" dxfId="0">
      <formula>AND(IF($Q6=3,1,IF($Q6=4,1,0)),IF($F6&lt;=85,1,0))</formula>
    </cfRule>
  </conditionalFormatting>
  <conditionalFormatting sqref="X6">
    <cfRule type="expression" priority="1295" dxfId="3">
      <formula>AND(IF(OR($Q6=1,$Q6=2),1,0),IF($X6&lt;=20,1,0))</formula>
    </cfRule>
    <cfRule type="expression" priority="1296" dxfId="2">
      <formula>AND(IF($Q6=2,1,0),IF($X6&lt;30,1,0))</formula>
    </cfRule>
    <cfRule type="expression" priority="1297" dxfId="1">
      <formula>AND(IF($Q6=3,1,0),IF($X6&lt;30,1,0))</formula>
    </cfRule>
    <cfRule type="expression" priority="1298" dxfId="0">
      <formula>AND(IF($Q6=3,1,IF($Q6=4,1,0)),IF($F6&lt;=85,1,0))</formula>
    </cfRule>
  </conditionalFormatting>
  <conditionalFormatting sqref="AI6">
    <cfRule type="expression" priority="1291" dxfId="3">
      <formula>AND(IF(OR($Q6=1,$Q6=2),1,0),IF($X6&lt;=20,1,0))</formula>
    </cfRule>
    <cfRule type="expression" priority="1292" dxfId="2">
      <formula>AND(IF($Q6=2,1,0),IF($X6&lt;30,1,0))</formula>
    </cfRule>
    <cfRule type="expression" priority="1293" dxfId="1">
      <formula>AND(IF($Q6=3,1,0),IF($X6&lt;30,1,0))</formula>
    </cfRule>
    <cfRule type="expression" priority="1294" dxfId="0">
      <formula>AND(IF($Q6=3,1,IF($Q6=4,1,0)),IF($F6&lt;=85,1,0))</formula>
    </cfRule>
  </conditionalFormatting>
  <conditionalFormatting sqref="AV7">
    <cfRule type="expression" priority="1289" dxfId="17">
      <formula>AV7="X"</formula>
    </cfRule>
    <cfRule type="expression" priority="1290" dxfId="16">
      <formula>AV7="후보"</formula>
    </cfRule>
  </conditionalFormatting>
  <conditionalFormatting sqref="AC7">
    <cfRule type="cellIs" priority="1286" operator="greaterThan" dxfId="13">
      <formula>0.9</formula>
    </cfRule>
    <cfRule type="cellIs" priority="1287" operator="greaterThan" dxfId="12">
      <formula>0.85</formula>
    </cfRule>
  </conditionalFormatting>
  <conditionalFormatting sqref="N7">
    <cfRule type="cellIs" priority="1284" operator="greaterThan" dxfId="13">
      <formula>0.9</formula>
    </cfRule>
    <cfRule type="cellIs" priority="1285" operator="greaterThan" dxfId="12">
      <formula>0.85</formula>
    </cfRule>
  </conditionalFormatting>
  <conditionalFormatting sqref="E7">
    <cfRule type="expression" priority="1280" dxfId="3">
      <formula>AND(IF(OR($Q7=1,$Q7=2),1,0),IF($X7&lt;=20,1,0))</formula>
    </cfRule>
    <cfRule type="expression" priority="1281" dxfId="2">
      <formula>AND(IF($Q7=2,1,0),IF($X7&lt;30,1,0))</formula>
    </cfRule>
    <cfRule type="expression" priority="1282" dxfId="1">
      <formula>AND(IF($Q7=3,1,0),IF($X7&lt;30,1,0))</formula>
    </cfRule>
    <cfRule type="expression" priority="1283" dxfId="0">
      <formula>AND(IF($Q7=3,1,IF($Q7=4,1,0)),IF($F7&lt;=85,1,0))</formula>
    </cfRule>
  </conditionalFormatting>
  <conditionalFormatting sqref="X7">
    <cfRule type="expression" priority="1276" dxfId="3">
      <formula>AND(IF(OR($Q7=1,$Q7=2),1,0),IF($X7&lt;=20,1,0))</formula>
    </cfRule>
    <cfRule type="expression" priority="1277" dxfId="2">
      <formula>AND(IF($Q7=2,1,0),IF($X7&lt;30,1,0))</formula>
    </cfRule>
    <cfRule type="expression" priority="1278" dxfId="1">
      <formula>AND(IF($Q7=3,1,0),IF($X7&lt;30,1,0))</formula>
    </cfRule>
    <cfRule type="expression" priority="1279" dxfId="0">
      <formula>AND(IF($Q7=3,1,IF($Q7=4,1,0)),IF($F7&lt;=85,1,0))</formula>
    </cfRule>
  </conditionalFormatting>
  <conditionalFormatting sqref="AI7">
    <cfRule type="expression" priority="1272" dxfId="3">
      <formula>AND(IF(OR($Q7=1,$Q7=2),1,0),IF($X7&lt;=20,1,0))</formula>
    </cfRule>
    <cfRule type="expression" priority="1273" dxfId="2">
      <formula>AND(IF($Q7=2,1,0),IF($X7&lt;30,1,0))</formula>
    </cfRule>
    <cfRule type="expression" priority="1274" dxfId="1">
      <formula>AND(IF($Q7=3,1,0),IF($X7&lt;30,1,0))</formula>
    </cfRule>
    <cfRule type="expression" priority="1275" dxfId="0">
      <formula>AND(IF($Q7=3,1,IF($Q7=4,1,0)),IF($F7&lt;=85,1,0))</formula>
    </cfRule>
  </conditionalFormatting>
  <conditionalFormatting sqref="AV8">
    <cfRule type="expression" priority="1270" dxfId="17">
      <formula>AV8="X"</formula>
    </cfRule>
    <cfRule type="expression" priority="1271" dxfId="16">
      <formula>AV8="후보"</formula>
    </cfRule>
  </conditionalFormatting>
  <conditionalFormatting sqref="AC8">
    <cfRule type="cellIs" priority="1267" operator="greaterThan" dxfId="13">
      <formula>0.9</formula>
    </cfRule>
    <cfRule type="cellIs" priority="1268" operator="greaterThan" dxfId="12">
      <formula>0.85</formula>
    </cfRule>
  </conditionalFormatting>
  <conditionalFormatting sqref="N8">
    <cfRule type="cellIs" priority="1265" operator="greaterThan" dxfId="13">
      <formula>0.9</formula>
    </cfRule>
    <cfRule type="cellIs" priority="1266" operator="greaterThan" dxfId="12">
      <formula>0.85</formula>
    </cfRule>
  </conditionalFormatting>
  <conditionalFormatting sqref="E8">
    <cfRule type="expression" priority="1261" dxfId="3">
      <formula>AND(IF(OR($Q8=1,$Q8=2),1,0),IF($X8&lt;=20,1,0))</formula>
    </cfRule>
    <cfRule type="expression" priority="1262" dxfId="2">
      <formula>AND(IF($Q8=2,1,0),IF($X8&lt;30,1,0))</formula>
    </cfRule>
    <cfRule type="expression" priority="1263" dxfId="1">
      <formula>AND(IF($Q8=3,1,0),IF($X8&lt;30,1,0))</formula>
    </cfRule>
    <cfRule type="expression" priority="1264" dxfId="0">
      <formula>AND(IF($Q8=3,1,IF($Q8=4,1,0)),IF($F8&lt;=85,1,0))</formula>
    </cfRule>
  </conditionalFormatting>
  <conditionalFormatting sqref="X8">
    <cfRule type="expression" priority="1257" dxfId="3">
      <formula>AND(IF(OR($Q8=1,$Q8=2),1,0),IF($X8&lt;=20,1,0))</formula>
    </cfRule>
    <cfRule type="expression" priority="1258" dxfId="2">
      <formula>AND(IF($Q8=2,1,0),IF($X8&lt;30,1,0))</formula>
    </cfRule>
    <cfRule type="expression" priority="1259" dxfId="1">
      <formula>AND(IF($Q8=3,1,0),IF($X8&lt;30,1,0))</formula>
    </cfRule>
    <cfRule type="expression" priority="1260" dxfId="0">
      <formula>AND(IF($Q8=3,1,IF($Q8=4,1,0)),IF($F8&lt;=85,1,0))</formula>
    </cfRule>
  </conditionalFormatting>
  <conditionalFormatting sqref="AI8">
    <cfRule type="expression" priority="1253" dxfId="3">
      <formula>AND(IF(OR($Q8=1,$Q8=2),1,0),IF($X8&lt;=20,1,0))</formula>
    </cfRule>
    <cfRule type="expression" priority="1254" dxfId="2">
      <formula>AND(IF($Q8=2,1,0),IF($X8&lt;30,1,0))</formula>
    </cfRule>
    <cfRule type="expression" priority="1255" dxfId="1">
      <formula>AND(IF($Q8=3,1,0),IF($X8&lt;30,1,0))</formula>
    </cfRule>
    <cfRule type="expression" priority="1256" dxfId="0">
      <formula>AND(IF($Q8=3,1,IF($Q8=4,1,0)),IF($F8&lt;=85,1,0))</formula>
    </cfRule>
  </conditionalFormatting>
  <conditionalFormatting sqref="AV9">
    <cfRule type="expression" priority="1251" dxfId="17">
      <formula>AV9="X"</formula>
    </cfRule>
    <cfRule type="expression" priority="1252" dxfId="16">
      <formula>AV9="후보"</formula>
    </cfRule>
  </conditionalFormatting>
  <conditionalFormatting sqref="AC9">
    <cfRule type="cellIs" priority="1248" operator="greaterThan" dxfId="13">
      <formula>0.9</formula>
    </cfRule>
    <cfRule type="cellIs" priority="1249" operator="greaterThan" dxfId="12">
      <formula>0.85</formula>
    </cfRule>
  </conditionalFormatting>
  <conditionalFormatting sqref="N9">
    <cfRule type="cellIs" priority="1246" operator="greaterThan" dxfId="13">
      <formula>0.9</formula>
    </cfRule>
    <cfRule type="cellIs" priority="1247" operator="greaterThan" dxfId="12">
      <formula>0.85</formula>
    </cfRule>
  </conditionalFormatting>
  <conditionalFormatting sqref="E9">
    <cfRule type="expression" priority="1242" dxfId="3">
      <formula>AND(IF(OR($Q9=1,$Q9=2),1,0),IF($X9&lt;=20,1,0))</formula>
    </cfRule>
    <cfRule type="expression" priority="1243" dxfId="2">
      <formula>AND(IF($Q9=2,1,0),IF($X9&lt;30,1,0))</formula>
    </cfRule>
    <cfRule type="expression" priority="1244" dxfId="1">
      <formula>AND(IF($Q9=3,1,0),IF($X9&lt;30,1,0))</formula>
    </cfRule>
    <cfRule type="expression" priority="1245" dxfId="0">
      <formula>AND(IF($Q9=3,1,IF($Q9=4,1,0)),IF($F9&lt;=85,1,0))</formula>
    </cfRule>
  </conditionalFormatting>
  <conditionalFormatting sqref="X9">
    <cfRule type="expression" priority="1238" dxfId="3">
      <formula>AND(IF(OR($Q9=1,$Q9=2),1,0),IF($X9&lt;=20,1,0))</formula>
    </cfRule>
    <cfRule type="expression" priority="1239" dxfId="2">
      <formula>AND(IF($Q9=2,1,0),IF($X9&lt;30,1,0))</formula>
    </cfRule>
    <cfRule type="expression" priority="1240" dxfId="1">
      <formula>AND(IF($Q9=3,1,0),IF($X9&lt;30,1,0))</formula>
    </cfRule>
    <cfRule type="expression" priority="1241" dxfId="0">
      <formula>AND(IF($Q9=3,1,IF($Q9=4,1,0)),IF($F9&lt;=85,1,0))</formula>
    </cfRule>
  </conditionalFormatting>
  <conditionalFormatting sqref="AI9">
    <cfRule type="expression" priority="1234" dxfId="3">
      <formula>AND(IF(OR($Q9=1,$Q9=2),1,0),IF($X9&lt;=20,1,0))</formula>
    </cfRule>
    <cfRule type="expression" priority="1235" dxfId="2">
      <formula>AND(IF($Q9=2,1,0),IF($X9&lt;30,1,0))</formula>
    </cfRule>
    <cfRule type="expression" priority="1236" dxfId="1">
      <formula>AND(IF($Q9=3,1,0),IF($X9&lt;30,1,0))</formula>
    </cfRule>
    <cfRule type="expression" priority="1237" dxfId="0">
      <formula>AND(IF($Q9=3,1,IF($Q9=4,1,0)),IF($F9&lt;=85,1,0))</formula>
    </cfRule>
  </conditionalFormatting>
  <conditionalFormatting sqref="AV10">
    <cfRule type="expression" priority="1232" dxfId="17">
      <formula>AV10="X"</formula>
    </cfRule>
    <cfRule type="expression" priority="1233" dxfId="16">
      <formula>AV10="후보"</formula>
    </cfRule>
  </conditionalFormatting>
  <conditionalFormatting sqref="AC10">
    <cfRule type="cellIs" priority="1229" operator="greaterThan" dxfId="13">
      <formula>0.9</formula>
    </cfRule>
    <cfRule type="cellIs" priority="1230" operator="greaterThan" dxfId="12">
      <formula>0.85</formula>
    </cfRule>
  </conditionalFormatting>
  <conditionalFormatting sqref="N10">
    <cfRule type="cellIs" priority="1227" operator="greaterThan" dxfId="13">
      <formula>0.9</formula>
    </cfRule>
    <cfRule type="cellIs" priority="1228" operator="greaterThan" dxfId="12">
      <formula>0.85</formula>
    </cfRule>
  </conditionalFormatting>
  <conditionalFormatting sqref="E10">
    <cfRule type="expression" priority="1223" dxfId="3">
      <formula>AND(IF(OR($Q10=1,$Q10=2),1,0),IF($X10&lt;=20,1,0))</formula>
    </cfRule>
    <cfRule type="expression" priority="1224" dxfId="2">
      <formula>AND(IF($Q10=2,1,0),IF($X10&lt;30,1,0))</formula>
    </cfRule>
    <cfRule type="expression" priority="1225" dxfId="1">
      <formula>AND(IF($Q10=3,1,0),IF($X10&lt;30,1,0))</formula>
    </cfRule>
    <cfRule type="expression" priority="1226" dxfId="0">
      <formula>AND(IF($Q10=3,1,IF($Q10=4,1,0)),IF($F10&lt;=85,1,0))</formula>
    </cfRule>
  </conditionalFormatting>
  <conditionalFormatting sqref="X10">
    <cfRule type="expression" priority="1219" dxfId="3">
      <formula>AND(IF(OR($Q10=1,$Q10=2),1,0),IF($X10&lt;=20,1,0))</formula>
    </cfRule>
    <cfRule type="expression" priority="1220" dxfId="2">
      <formula>AND(IF($Q10=2,1,0),IF($X10&lt;30,1,0))</formula>
    </cfRule>
    <cfRule type="expression" priority="1221" dxfId="1">
      <formula>AND(IF($Q10=3,1,0),IF($X10&lt;30,1,0))</formula>
    </cfRule>
    <cfRule type="expression" priority="1222" dxfId="0">
      <formula>AND(IF($Q10=3,1,IF($Q10=4,1,0)),IF($F10&lt;=85,1,0))</formula>
    </cfRule>
  </conditionalFormatting>
  <conditionalFormatting sqref="AI10">
    <cfRule type="expression" priority="1215" dxfId="3">
      <formula>AND(IF(OR($Q10=1,$Q10=2),1,0),IF($X10&lt;=20,1,0))</formula>
    </cfRule>
    <cfRule type="expression" priority="1216" dxfId="2">
      <formula>AND(IF($Q10=2,1,0),IF($X10&lt;30,1,0))</formula>
    </cfRule>
    <cfRule type="expression" priority="1217" dxfId="1">
      <formula>AND(IF($Q10=3,1,0),IF($X10&lt;30,1,0))</formula>
    </cfRule>
    <cfRule type="expression" priority="1218" dxfId="0">
      <formula>AND(IF($Q10=3,1,IF($Q10=4,1,0)),IF($F10&lt;=85,1,0))</formula>
    </cfRule>
  </conditionalFormatting>
  <conditionalFormatting sqref="AV11">
    <cfRule type="expression" priority="1213" dxfId="17">
      <formula>AV11="X"</formula>
    </cfRule>
    <cfRule type="expression" priority="1214" dxfId="16">
      <formula>AV11="후보"</formula>
    </cfRule>
  </conditionalFormatting>
  <conditionalFormatting sqref="AC11">
    <cfRule type="cellIs" priority="1210" operator="greaterThan" dxfId="13">
      <formula>0.9</formula>
    </cfRule>
    <cfRule type="cellIs" priority="1211" operator="greaterThan" dxfId="12">
      <formula>0.85</formula>
    </cfRule>
  </conditionalFormatting>
  <conditionalFormatting sqref="N11">
    <cfRule type="cellIs" priority="1208" operator="greaterThan" dxfId="13">
      <formula>0.9</formula>
    </cfRule>
    <cfRule type="cellIs" priority="1209" operator="greaterThan" dxfId="12">
      <formula>0.85</formula>
    </cfRule>
  </conditionalFormatting>
  <conditionalFormatting sqref="E11">
    <cfRule type="expression" priority="1204" dxfId="3">
      <formula>AND(IF(OR($Q11=1,$Q11=2),1,0),IF($X11&lt;=20,1,0))</formula>
    </cfRule>
    <cfRule type="expression" priority="1205" dxfId="2">
      <formula>AND(IF($Q11=2,1,0),IF($X11&lt;30,1,0))</formula>
    </cfRule>
    <cfRule type="expression" priority="1206" dxfId="1">
      <formula>AND(IF($Q11=3,1,0),IF($X11&lt;30,1,0))</formula>
    </cfRule>
    <cfRule type="expression" priority="1207" dxfId="0">
      <formula>AND(IF($Q11=3,1,IF($Q11=4,1,0)),IF($F11&lt;=85,1,0))</formula>
    </cfRule>
  </conditionalFormatting>
  <conditionalFormatting sqref="X11">
    <cfRule type="expression" priority="1200" dxfId="3">
      <formula>AND(IF(OR($Q11=1,$Q11=2),1,0),IF($X11&lt;=20,1,0))</formula>
    </cfRule>
    <cfRule type="expression" priority="1201" dxfId="2">
      <formula>AND(IF($Q11=2,1,0),IF($X11&lt;30,1,0))</formula>
    </cfRule>
    <cfRule type="expression" priority="1202" dxfId="1">
      <formula>AND(IF($Q11=3,1,0),IF($X11&lt;30,1,0))</formula>
    </cfRule>
    <cfRule type="expression" priority="1203" dxfId="0">
      <formula>AND(IF($Q11=3,1,IF($Q11=4,1,0)),IF($F11&lt;=85,1,0))</formula>
    </cfRule>
  </conditionalFormatting>
  <conditionalFormatting sqref="AI11">
    <cfRule type="expression" priority="1196" dxfId="3">
      <formula>AND(IF(OR($Q11=1,$Q11=2),1,0),IF($X11&lt;=20,1,0))</formula>
    </cfRule>
    <cfRule type="expression" priority="1197" dxfId="2">
      <formula>AND(IF($Q11=2,1,0),IF($X11&lt;30,1,0))</formula>
    </cfRule>
    <cfRule type="expression" priority="1198" dxfId="1">
      <formula>AND(IF($Q11=3,1,0),IF($X11&lt;30,1,0))</formula>
    </cfRule>
    <cfRule type="expression" priority="1199" dxfId="0">
      <formula>AND(IF($Q11=3,1,IF($Q11=4,1,0)),IF($F11&lt;=85,1,0))</formula>
    </cfRule>
  </conditionalFormatting>
  <conditionalFormatting sqref="AV12">
    <cfRule type="expression" priority="1194" dxfId="17">
      <formula>AV12="X"</formula>
    </cfRule>
    <cfRule type="expression" priority="1195" dxfId="16">
      <formula>AV12="후보"</formula>
    </cfRule>
  </conditionalFormatting>
  <conditionalFormatting sqref="AC12 N12">
    <cfRule type="cellIs" priority="1191" operator="greaterThan" dxfId="13">
      <formula>0.9</formula>
    </cfRule>
    <cfRule type="cellIs" priority="1192" operator="greaterThan" dxfId="12">
      <formula>0.85</formula>
    </cfRule>
  </conditionalFormatting>
  <conditionalFormatting sqref="AV13">
    <cfRule type="expression" priority="1189" dxfId="17">
      <formula>AV13="X"</formula>
    </cfRule>
    <cfRule type="expression" priority="1190" dxfId="16">
      <formula>AV13="후보"</formula>
    </cfRule>
  </conditionalFormatting>
  <conditionalFormatting sqref="AC13">
    <cfRule type="cellIs" priority="1186" operator="greaterThan" dxfId="13">
      <formula>0.9</formula>
    </cfRule>
    <cfRule type="cellIs" priority="1187" operator="greaterThan" dxfId="12">
      <formula>0.85</formula>
    </cfRule>
  </conditionalFormatting>
  <conditionalFormatting sqref="N13">
    <cfRule type="cellIs" priority="1184" operator="greaterThan" dxfId="13">
      <formula>0.9</formula>
    </cfRule>
    <cfRule type="cellIs" priority="1185" operator="greaterThan" dxfId="12">
      <formula>0.85</formula>
    </cfRule>
  </conditionalFormatting>
  <conditionalFormatting sqref="E13">
    <cfRule type="expression" priority="1180" dxfId="3">
      <formula>AND(IF(OR($Q13=1,$Q13=2),1,0),IF($X13&lt;=20,1,0))</formula>
    </cfRule>
    <cfRule type="expression" priority="1181" dxfId="2">
      <formula>AND(IF($Q13=2,1,0),IF($X13&lt;30,1,0))</formula>
    </cfRule>
    <cfRule type="expression" priority="1182" dxfId="1">
      <formula>AND(IF($Q13=3,1,0),IF($X13&lt;30,1,0))</formula>
    </cfRule>
    <cfRule type="expression" priority="1183" dxfId="0">
      <formula>AND(IF($Q13=3,1,IF($Q13=4,1,0)),IF($F13&lt;=85,1,0))</formula>
    </cfRule>
  </conditionalFormatting>
  <conditionalFormatting sqref="X13">
    <cfRule type="expression" priority="1176" dxfId="3">
      <formula>AND(IF(OR($Q13=1,$Q13=2),1,0),IF($X13&lt;=20,1,0))</formula>
    </cfRule>
    <cfRule type="expression" priority="1177" dxfId="2">
      <formula>AND(IF($Q13=2,1,0),IF($X13&lt;30,1,0))</formula>
    </cfRule>
    <cfRule type="expression" priority="1178" dxfId="1">
      <formula>AND(IF($Q13=3,1,0),IF($X13&lt;30,1,0))</formula>
    </cfRule>
    <cfRule type="expression" priority="1179" dxfId="0">
      <formula>AND(IF($Q13=3,1,IF($Q13=4,1,0)),IF($F13&lt;=85,1,0))</formula>
    </cfRule>
  </conditionalFormatting>
  <conditionalFormatting sqref="AI13">
    <cfRule type="expression" priority="1172" dxfId="3">
      <formula>AND(IF(OR($Q13=1,$Q13=2),1,0),IF($X13&lt;=20,1,0))</formula>
    </cfRule>
    <cfRule type="expression" priority="1173" dxfId="2">
      <formula>AND(IF($Q13=2,1,0),IF($X13&lt;30,1,0))</formula>
    </cfRule>
    <cfRule type="expression" priority="1174" dxfId="1">
      <formula>AND(IF($Q13=3,1,0),IF($X13&lt;30,1,0))</formula>
    </cfRule>
    <cfRule type="expression" priority="1175" dxfId="0">
      <formula>AND(IF($Q13=3,1,IF($Q13=4,1,0)),IF($F13&lt;=85,1,0))</formula>
    </cfRule>
  </conditionalFormatting>
  <conditionalFormatting sqref="AV14">
    <cfRule type="expression" priority="1170" dxfId="17">
      <formula>AV14="X"</formula>
    </cfRule>
    <cfRule type="expression" priority="1171" dxfId="16">
      <formula>AV14="후보"</formula>
    </cfRule>
  </conditionalFormatting>
  <conditionalFormatting sqref="AC14">
    <cfRule type="cellIs" priority="1167" operator="greaterThan" dxfId="13">
      <formula>0.9</formula>
    </cfRule>
    <cfRule type="cellIs" priority="1168" operator="greaterThan" dxfId="12">
      <formula>0.85</formula>
    </cfRule>
  </conditionalFormatting>
  <conditionalFormatting sqref="N14">
    <cfRule type="cellIs" priority="1165" operator="greaterThan" dxfId="13">
      <formula>0.9</formula>
    </cfRule>
    <cfRule type="cellIs" priority="1166" operator="greaterThan" dxfId="12">
      <formula>0.85</formula>
    </cfRule>
  </conditionalFormatting>
  <conditionalFormatting sqref="E14">
    <cfRule type="expression" priority="1161" dxfId="3">
      <formula>AND(IF(OR($Q14=1,$Q14=2),1,0),IF($X14&lt;=20,1,0))</formula>
    </cfRule>
    <cfRule type="expression" priority="1162" dxfId="2">
      <formula>AND(IF($Q14=2,1,0),IF($X14&lt;30,1,0))</formula>
    </cfRule>
    <cfRule type="expression" priority="1163" dxfId="1">
      <formula>AND(IF($Q14=3,1,0),IF($X14&lt;30,1,0))</formula>
    </cfRule>
    <cfRule type="expression" priority="1164" dxfId="0">
      <formula>AND(IF($Q14=3,1,IF($Q14=4,1,0)),IF($F14&lt;=85,1,0))</formula>
    </cfRule>
  </conditionalFormatting>
  <conditionalFormatting sqref="X14">
    <cfRule type="expression" priority="1157" dxfId="3">
      <formula>AND(IF(OR($Q14=1,$Q14=2),1,0),IF($X14&lt;=20,1,0))</formula>
    </cfRule>
    <cfRule type="expression" priority="1158" dxfId="2">
      <formula>AND(IF($Q14=2,1,0),IF($X14&lt;30,1,0))</formula>
    </cfRule>
    <cfRule type="expression" priority="1159" dxfId="1">
      <formula>AND(IF($Q14=3,1,0),IF($X14&lt;30,1,0))</formula>
    </cfRule>
    <cfRule type="expression" priority="1160" dxfId="0">
      <formula>AND(IF($Q14=3,1,IF($Q14=4,1,0)),IF($F14&lt;=85,1,0))</formula>
    </cfRule>
  </conditionalFormatting>
  <conditionalFormatting sqref="AI14">
    <cfRule type="expression" priority="1153" dxfId="3">
      <formula>AND(IF(OR($Q14=1,$Q14=2),1,0),IF($X14&lt;=20,1,0))</formula>
    </cfRule>
    <cfRule type="expression" priority="1154" dxfId="2">
      <formula>AND(IF($Q14=2,1,0),IF($X14&lt;30,1,0))</formula>
    </cfRule>
    <cfRule type="expression" priority="1155" dxfId="1">
      <formula>AND(IF($Q14=3,1,0),IF($X14&lt;30,1,0))</formula>
    </cfRule>
    <cfRule type="expression" priority="1156" dxfId="0">
      <formula>AND(IF($Q14=3,1,IF($Q14=4,1,0)),IF($F14&lt;=85,1,0))</formula>
    </cfRule>
  </conditionalFormatting>
  <conditionalFormatting sqref="AV15">
    <cfRule type="expression" priority="1151" dxfId="17">
      <formula>AV15="X"</formula>
    </cfRule>
    <cfRule type="expression" priority="1152" dxfId="16">
      <formula>AV15="후보"</formula>
    </cfRule>
  </conditionalFormatting>
  <conditionalFormatting sqref="AC15">
    <cfRule type="cellIs" priority="1148" operator="greaterThan" dxfId="13">
      <formula>0.9</formula>
    </cfRule>
    <cfRule type="cellIs" priority="1149" operator="greaterThan" dxfId="12">
      <formula>0.85</formula>
    </cfRule>
  </conditionalFormatting>
  <conditionalFormatting sqref="N15">
    <cfRule type="cellIs" priority="1146" operator="greaterThan" dxfId="13">
      <formula>0.9</formula>
    </cfRule>
    <cfRule type="cellIs" priority="1147" operator="greaterThan" dxfId="12">
      <formula>0.85</formula>
    </cfRule>
  </conditionalFormatting>
  <conditionalFormatting sqref="E15">
    <cfRule type="expression" priority="1142" dxfId="3">
      <formula>AND(IF(OR($Q15=1,$Q15=2),1,0),IF($X15&lt;=20,1,0))</formula>
    </cfRule>
    <cfRule type="expression" priority="1143" dxfId="2">
      <formula>AND(IF($Q15=2,1,0),IF($X15&lt;30,1,0))</formula>
    </cfRule>
    <cfRule type="expression" priority="1144" dxfId="1">
      <formula>AND(IF($Q15=3,1,0),IF($X15&lt;30,1,0))</formula>
    </cfRule>
    <cfRule type="expression" priority="1145" dxfId="0">
      <formula>AND(IF($Q15=3,1,IF($Q15=4,1,0)),IF($F15&lt;=85,1,0))</formula>
    </cfRule>
  </conditionalFormatting>
  <conditionalFormatting sqref="X15">
    <cfRule type="expression" priority="1138" dxfId="3">
      <formula>AND(IF(OR($Q15=1,$Q15=2),1,0),IF($X15&lt;=20,1,0))</formula>
    </cfRule>
    <cfRule type="expression" priority="1139" dxfId="2">
      <formula>AND(IF($Q15=2,1,0),IF($X15&lt;30,1,0))</formula>
    </cfRule>
    <cfRule type="expression" priority="1140" dxfId="1">
      <formula>AND(IF($Q15=3,1,0),IF($X15&lt;30,1,0))</formula>
    </cfRule>
    <cfRule type="expression" priority="1141" dxfId="0">
      <formula>AND(IF($Q15=3,1,IF($Q15=4,1,0)),IF($F15&lt;=85,1,0))</formula>
    </cfRule>
  </conditionalFormatting>
  <conditionalFormatting sqref="AI15">
    <cfRule type="expression" priority="1134" dxfId="3">
      <formula>AND(IF(OR($Q15=1,$Q15=2),1,0),IF($X15&lt;=20,1,0))</formula>
    </cfRule>
    <cfRule type="expression" priority="1135" dxfId="2">
      <formula>AND(IF($Q15=2,1,0),IF($X15&lt;30,1,0))</formula>
    </cfRule>
    <cfRule type="expression" priority="1136" dxfId="1">
      <formula>AND(IF($Q15=3,1,0),IF($X15&lt;30,1,0))</formula>
    </cfRule>
    <cfRule type="expression" priority="1137" dxfId="0">
      <formula>AND(IF($Q15=3,1,IF($Q15=4,1,0)),IF($F15&lt;=85,1,0))</formula>
    </cfRule>
  </conditionalFormatting>
  <conditionalFormatting sqref="AV16">
    <cfRule type="expression" priority="1132" dxfId="17">
      <formula>AV16="X"</formula>
    </cfRule>
    <cfRule type="expression" priority="1133" dxfId="16">
      <formula>AV16="후보"</formula>
    </cfRule>
  </conditionalFormatting>
  <conditionalFormatting sqref="AC16">
    <cfRule type="cellIs" priority="1129" operator="greaterThan" dxfId="13">
      <formula>0.9</formula>
    </cfRule>
    <cfRule type="cellIs" priority="1130" operator="greaterThan" dxfId="12">
      <formula>0.85</formula>
    </cfRule>
  </conditionalFormatting>
  <conditionalFormatting sqref="N16">
    <cfRule type="cellIs" priority="1127" operator="greaterThan" dxfId="13">
      <formula>0.9</formula>
    </cfRule>
    <cfRule type="cellIs" priority="1128" operator="greaterThan" dxfId="12">
      <formula>0.85</formula>
    </cfRule>
  </conditionalFormatting>
  <conditionalFormatting sqref="E16">
    <cfRule type="expression" priority="1123" dxfId="3">
      <formula>AND(IF(OR($Q16=1,$Q16=2),1,0),IF($X16&lt;=20,1,0))</formula>
    </cfRule>
    <cfRule type="expression" priority="1124" dxfId="2">
      <formula>AND(IF($Q16=2,1,0),IF($X16&lt;30,1,0))</formula>
    </cfRule>
    <cfRule type="expression" priority="1125" dxfId="1">
      <formula>AND(IF($Q16=3,1,0),IF($X16&lt;30,1,0))</formula>
    </cfRule>
    <cfRule type="expression" priority="1126" dxfId="0">
      <formula>AND(IF($Q16=3,1,IF($Q16=4,1,0)),IF($F16&lt;=85,1,0))</formula>
    </cfRule>
  </conditionalFormatting>
  <conditionalFormatting sqref="X16">
    <cfRule type="expression" priority="1119" dxfId="3">
      <formula>AND(IF(OR($Q16=1,$Q16=2),1,0),IF($X16&lt;=20,1,0))</formula>
    </cfRule>
    <cfRule type="expression" priority="1120" dxfId="2">
      <formula>AND(IF($Q16=2,1,0),IF($X16&lt;30,1,0))</formula>
    </cfRule>
    <cfRule type="expression" priority="1121" dxfId="1">
      <formula>AND(IF($Q16=3,1,0),IF($X16&lt;30,1,0))</formula>
    </cfRule>
    <cfRule type="expression" priority="1122" dxfId="0">
      <formula>AND(IF($Q16=3,1,IF($Q16=4,1,0)),IF($F16&lt;=85,1,0))</formula>
    </cfRule>
  </conditionalFormatting>
  <conditionalFormatting sqref="AI16">
    <cfRule type="expression" priority="1115" dxfId="3">
      <formula>AND(IF(OR($Q16=1,$Q16=2),1,0),IF($X16&lt;=20,1,0))</formula>
    </cfRule>
    <cfRule type="expression" priority="1116" dxfId="2">
      <formula>AND(IF($Q16=2,1,0),IF($X16&lt;30,1,0))</formula>
    </cfRule>
    <cfRule type="expression" priority="1117" dxfId="1">
      <formula>AND(IF($Q16=3,1,0),IF($X16&lt;30,1,0))</formula>
    </cfRule>
    <cfRule type="expression" priority="1118" dxfId="0">
      <formula>AND(IF($Q16=3,1,IF($Q16=4,1,0)),IF($F16&lt;=85,1,0))</formula>
    </cfRule>
  </conditionalFormatting>
  <conditionalFormatting sqref="AV17">
    <cfRule type="expression" priority="1113" dxfId="17">
      <formula>AV17="X"</formula>
    </cfRule>
    <cfRule type="expression" priority="1114" dxfId="16">
      <formula>AV17="후보"</formula>
    </cfRule>
  </conditionalFormatting>
  <conditionalFormatting sqref="AC17">
    <cfRule type="cellIs" priority="1110" operator="greaterThan" dxfId="13">
      <formula>0.9</formula>
    </cfRule>
    <cfRule type="cellIs" priority="1111" operator="greaterThan" dxfId="12">
      <formula>0.85</formula>
    </cfRule>
  </conditionalFormatting>
  <conditionalFormatting sqref="N17">
    <cfRule type="cellIs" priority="1108" operator="greaterThan" dxfId="13">
      <formula>0.9</formula>
    </cfRule>
    <cfRule type="cellIs" priority="1109" operator="greaterThan" dxfId="12">
      <formula>0.85</formula>
    </cfRule>
  </conditionalFormatting>
  <conditionalFormatting sqref="E17">
    <cfRule type="expression" priority="1104" dxfId="3">
      <formula>AND(IF(OR($Q17=1,$Q17=2),1,0),IF($X17&lt;=20,1,0))</formula>
    </cfRule>
    <cfRule type="expression" priority="1105" dxfId="2">
      <formula>AND(IF($Q17=2,1,0),IF($X17&lt;30,1,0))</formula>
    </cfRule>
    <cfRule type="expression" priority="1106" dxfId="1">
      <formula>AND(IF($Q17=3,1,0),IF($X17&lt;30,1,0))</formula>
    </cfRule>
    <cfRule type="expression" priority="1107" dxfId="0">
      <formula>AND(IF($Q17=3,1,IF($Q17=4,1,0)),IF($F17&lt;=85,1,0))</formula>
    </cfRule>
  </conditionalFormatting>
  <conditionalFormatting sqref="X17">
    <cfRule type="expression" priority="1100" dxfId="3">
      <formula>AND(IF(OR($Q17=1,$Q17=2),1,0),IF($X17&lt;=20,1,0))</formula>
    </cfRule>
    <cfRule type="expression" priority="1101" dxfId="2">
      <formula>AND(IF($Q17=2,1,0),IF($X17&lt;30,1,0))</formula>
    </cfRule>
    <cfRule type="expression" priority="1102" dxfId="1">
      <formula>AND(IF($Q17=3,1,0),IF($X17&lt;30,1,0))</formula>
    </cfRule>
    <cfRule type="expression" priority="1103" dxfId="0">
      <formula>AND(IF($Q17=3,1,IF($Q17=4,1,0)),IF($F17&lt;=85,1,0))</formula>
    </cfRule>
  </conditionalFormatting>
  <conditionalFormatting sqref="AI17">
    <cfRule type="expression" priority="1096" dxfId="3">
      <formula>AND(IF(OR($Q17=1,$Q17=2),1,0),IF($X17&lt;=20,1,0))</formula>
    </cfRule>
    <cfRule type="expression" priority="1097" dxfId="2">
      <formula>AND(IF($Q17=2,1,0),IF($X17&lt;30,1,0))</formula>
    </cfRule>
    <cfRule type="expression" priority="1098" dxfId="1">
      <formula>AND(IF($Q17=3,1,0),IF($X17&lt;30,1,0))</formula>
    </cfRule>
    <cfRule type="expression" priority="1099" dxfId="0">
      <formula>AND(IF($Q17=3,1,IF($Q17=4,1,0)),IF($F17&lt;=85,1,0))</formula>
    </cfRule>
  </conditionalFormatting>
  <conditionalFormatting sqref="AV18">
    <cfRule type="expression" priority="1094" dxfId="17">
      <formula>AV18="X"</formula>
    </cfRule>
    <cfRule type="expression" priority="1095" dxfId="16">
      <formula>AV18="후보"</formula>
    </cfRule>
  </conditionalFormatting>
  <conditionalFormatting sqref="AC18">
    <cfRule type="cellIs" priority="1091" operator="greaterThan" dxfId="13">
      <formula>0.9</formula>
    </cfRule>
    <cfRule type="cellIs" priority="1092" operator="greaterThan" dxfId="12">
      <formula>0.85</formula>
    </cfRule>
  </conditionalFormatting>
  <conditionalFormatting sqref="N18">
    <cfRule type="cellIs" priority="1089" operator="greaterThan" dxfId="13">
      <formula>0.9</formula>
    </cfRule>
    <cfRule type="cellIs" priority="1090" operator="greaterThan" dxfId="12">
      <formula>0.85</formula>
    </cfRule>
  </conditionalFormatting>
  <conditionalFormatting sqref="E18">
    <cfRule type="expression" priority="1085" dxfId="3">
      <formula>AND(IF(OR($Q18=1,$Q18=2),1,0),IF($X18&lt;=20,1,0))</formula>
    </cfRule>
    <cfRule type="expression" priority="1086" dxfId="2">
      <formula>AND(IF($Q18=2,1,0),IF($X18&lt;30,1,0))</formula>
    </cfRule>
    <cfRule type="expression" priority="1087" dxfId="1">
      <formula>AND(IF($Q18=3,1,0),IF($X18&lt;30,1,0))</formula>
    </cfRule>
    <cfRule type="expression" priority="1088" dxfId="0">
      <formula>AND(IF($Q18=3,1,IF($Q18=4,1,0)),IF($F18&lt;=85,1,0))</formula>
    </cfRule>
  </conditionalFormatting>
  <conditionalFormatting sqref="X18">
    <cfRule type="expression" priority="1081" dxfId="3">
      <formula>AND(IF(OR($Q18=1,$Q18=2),1,0),IF($X18&lt;=20,1,0))</formula>
    </cfRule>
    <cfRule type="expression" priority="1082" dxfId="2">
      <formula>AND(IF($Q18=2,1,0),IF($X18&lt;30,1,0))</formula>
    </cfRule>
    <cfRule type="expression" priority="1083" dxfId="1">
      <formula>AND(IF($Q18=3,1,0),IF($X18&lt;30,1,0))</formula>
    </cfRule>
    <cfRule type="expression" priority="1084" dxfId="0">
      <formula>AND(IF($Q18=3,1,IF($Q18=4,1,0)),IF($F18&lt;=85,1,0))</formula>
    </cfRule>
  </conditionalFormatting>
  <conditionalFormatting sqref="AI18">
    <cfRule type="expression" priority="1077" dxfId="3">
      <formula>AND(IF(OR($Q18=1,$Q18=2),1,0),IF($X18&lt;=20,1,0))</formula>
    </cfRule>
    <cfRule type="expression" priority="1078" dxfId="2">
      <formula>AND(IF($Q18=2,1,0),IF($X18&lt;30,1,0))</formula>
    </cfRule>
    <cfRule type="expression" priority="1079" dxfId="1">
      <formula>AND(IF($Q18=3,1,0),IF($X18&lt;30,1,0))</formula>
    </cfRule>
    <cfRule type="expression" priority="1080" dxfId="0">
      <formula>AND(IF($Q18=3,1,IF($Q18=4,1,0)),IF($F18&lt;=85,1,0))</formula>
    </cfRule>
  </conditionalFormatting>
  <conditionalFormatting sqref="AV19">
    <cfRule type="expression" priority="1075" dxfId="17">
      <formula>AV19="X"</formula>
    </cfRule>
    <cfRule type="expression" priority="1076" dxfId="16">
      <formula>AV19="후보"</formula>
    </cfRule>
  </conditionalFormatting>
  <conditionalFormatting sqref="AC19">
    <cfRule type="cellIs" priority="1072" operator="greaterThan" dxfId="13">
      <formula>0.9</formula>
    </cfRule>
    <cfRule type="cellIs" priority="1073" operator="greaterThan" dxfId="12">
      <formula>0.85</formula>
    </cfRule>
  </conditionalFormatting>
  <conditionalFormatting sqref="N19">
    <cfRule type="cellIs" priority="1070" operator="greaterThan" dxfId="13">
      <formula>0.9</formula>
    </cfRule>
    <cfRule type="cellIs" priority="1071" operator="greaterThan" dxfId="12">
      <formula>0.85</formula>
    </cfRule>
  </conditionalFormatting>
  <conditionalFormatting sqref="E19">
    <cfRule type="expression" priority="1066" dxfId="3">
      <formula>AND(IF(OR($Q19=1,$Q19=2),1,0),IF($X19&lt;=20,1,0))</formula>
    </cfRule>
    <cfRule type="expression" priority="1067" dxfId="2">
      <formula>AND(IF($Q19=2,1,0),IF($X19&lt;30,1,0))</formula>
    </cfRule>
    <cfRule type="expression" priority="1068" dxfId="1">
      <formula>AND(IF($Q19=3,1,0),IF($X19&lt;30,1,0))</formula>
    </cfRule>
    <cfRule type="expression" priority="1069" dxfId="0">
      <formula>AND(IF($Q19=3,1,IF($Q19=4,1,0)),IF($F19&lt;=85,1,0))</formula>
    </cfRule>
  </conditionalFormatting>
  <conditionalFormatting sqref="X19">
    <cfRule type="expression" priority="1062" dxfId="3">
      <formula>AND(IF(OR($Q19=1,$Q19=2),1,0),IF($X19&lt;=20,1,0))</formula>
    </cfRule>
    <cfRule type="expression" priority="1063" dxfId="2">
      <formula>AND(IF($Q19=2,1,0),IF($X19&lt;30,1,0))</formula>
    </cfRule>
    <cfRule type="expression" priority="1064" dxfId="1">
      <formula>AND(IF($Q19=3,1,0),IF($X19&lt;30,1,0))</formula>
    </cfRule>
    <cfRule type="expression" priority="1065" dxfId="0">
      <formula>AND(IF($Q19=3,1,IF($Q19=4,1,0)),IF($F19&lt;=85,1,0))</formula>
    </cfRule>
  </conditionalFormatting>
  <conditionalFormatting sqref="AI19">
    <cfRule type="expression" priority="1058" dxfId="3">
      <formula>AND(IF(OR($Q19=1,$Q19=2),1,0),IF($X19&lt;=20,1,0))</formula>
    </cfRule>
    <cfRule type="expression" priority="1059" dxfId="2">
      <formula>AND(IF($Q19=2,1,0),IF($X19&lt;30,1,0))</formula>
    </cfRule>
    <cfRule type="expression" priority="1060" dxfId="1">
      <formula>AND(IF($Q19=3,1,0),IF($X19&lt;30,1,0))</formula>
    </cfRule>
    <cfRule type="expression" priority="1061" dxfId="0">
      <formula>AND(IF($Q19=3,1,IF($Q19=4,1,0)),IF($F19&lt;=85,1,0))</formula>
    </cfRule>
  </conditionalFormatting>
  <conditionalFormatting sqref="AV20">
    <cfRule type="expression" priority="1056" dxfId="17">
      <formula>AV20="X"</formula>
    </cfRule>
    <cfRule type="expression" priority="1057" dxfId="16">
      <formula>AV20="후보"</formula>
    </cfRule>
  </conditionalFormatting>
  <conditionalFormatting sqref="AC20">
    <cfRule type="cellIs" priority="1053" operator="greaterThan" dxfId="13">
      <formula>0.9</formula>
    </cfRule>
    <cfRule type="cellIs" priority="1054" operator="greaterThan" dxfId="12">
      <formula>0.85</formula>
    </cfRule>
  </conditionalFormatting>
  <conditionalFormatting sqref="N20">
    <cfRule type="cellIs" priority="1051" operator="greaterThan" dxfId="13">
      <formula>0.9</formula>
    </cfRule>
    <cfRule type="cellIs" priority="1052" operator="greaterThan" dxfId="12">
      <formula>0.85</formula>
    </cfRule>
  </conditionalFormatting>
  <conditionalFormatting sqref="E20">
    <cfRule type="expression" priority="1047" dxfId="3">
      <formula>AND(IF(OR($Q20=1,$Q20=2),1,0),IF($X20&lt;=20,1,0))</formula>
    </cfRule>
    <cfRule type="expression" priority="1048" dxfId="2">
      <formula>AND(IF($Q20=2,1,0),IF($X20&lt;30,1,0))</formula>
    </cfRule>
    <cfRule type="expression" priority="1049" dxfId="1">
      <formula>AND(IF($Q20=3,1,0),IF($X20&lt;30,1,0))</formula>
    </cfRule>
    <cfRule type="expression" priority="1050" dxfId="0">
      <formula>AND(IF($Q20=3,1,IF($Q20=4,1,0)),IF($F20&lt;=85,1,0))</formula>
    </cfRule>
  </conditionalFormatting>
  <conditionalFormatting sqref="X20">
    <cfRule type="expression" priority="1043" dxfId="3">
      <formula>AND(IF(OR($Q20=1,$Q20=2),1,0),IF($X20&lt;=20,1,0))</formula>
    </cfRule>
    <cfRule type="expression" priority="1044" dxfId="2">
      <formula>AND(IF($Q20=2,1,0),IF($X20&lt;30,1,0))</formula>
    </cfRule>
    <cfRule type="expression" priority="1045" dxfId="1">
      <formula>AND(IF($Q20=3,1,0),IF($X20&lt;30,1,0))</formula>
    </cfRule>
    <cfRule type="expression" priority="1046" dxfId="0">
      <formula>AND(IF($Q20=3,1,IF($Q20=4,1,0)),IF($F20&lt;=85,1,0))</formula>
    </cfRule>
  </conditionalFormatting>
  <conditionalFormatting sqref="AI20">
    <cfRule type="expression" priority="1039" dxfId="3">
      <formula>AND(IF(OR($Q20=1,$Q20=2),1,0),IF($X20&lt;=20,1,0))</formula>
    </cfRule>
    <cfRule type="expression" priority="1040" dxfId="2">
      <formula>AND(IF($Q20=2,1,0),IF($X20&lt;30,1,0))</formula>
    </cfRule>
    <cfRule type="expression" priority="1041" dxfId="1">
      <formula>AND(IF($Q20=3,1,0),IF($X20&lt;30,1,0))</formula>
    </cfRule>
    <cfRule type="expression" priority="1042" dxfId="0">
      <formula>AND(IF($Q20=3,1,IF($Q20=4,1,0)),IF($F20&lt;=85,1,0))</formula>
    </cfRule>
  </conditionalFormatting>
  <conditionalFormatting sqref="AV21">
    <cfRule type="expression" priority="1037" dxfId="17">
      <formula>AV21="X"</formula>
    </cfRule>
    <cfRule type="expression" priority="1038" dxfId="16">
      <formula>AV21="후보"</formula>
    </cfRule>
  </conditionalFormatting>
  <conditionalFormatting sqref="AC21">
    <cfRule type="cellIs" priority="1034" operator="greaterThan" dxfId="13">
      <formula>0.9</formula>
    </cfRule>
    <cfRule type="cellIs" priority="1035" operator="greaterThan" dxfId="12">
      <formula>0.85</formula>
    </cfRule>
  </conditionalFormatting>
  <conditionalFormatting sqref="N21">
    <cfRule type="cellIs" priority="1032" operator="greaterThan" dxfId="13">
      <formula>0.9</formula>
    </cfRule>
    <cfRule type="cellIs" priority="1033" operator="greaterThan" dxfId="12">
      <formula>0.85</formula>
    </cfRule>
  </conditionalFormatting>
  <conditionalFormatting sqref="E21">
    <cfRule type="expression" priority="1028" dxfId="3">
      <formula>AND(IF(OR($Q21=1,$Q21=2),1,0),IF($X21&lt;=20,1,0))</formula>
    </cfRule>
    <cfRule type="expression" priority="1029" dxfId="2">
      <formula>AND(IF($Q21=2,1,0),IF($X21&lt;30,1,0))</formula>
    </cfRule>
    <cfRule type="expression" priority="1030" dxfId="1">
      <formula>AND(IF($Q21=3,1,0),IF($X21&lt;30,1,0))</formula>
    </cfRule>
    <cfRule type="expression" priority="1031" dxfId="0">
      <formula>AND(IF($Q21=3,1,IF($Q21=4,1,0)),IF($F21&lt;=85,1,0))</formula>
    </cfRule>
  </conditionalFormatting>
  <conditionalFormatting sqref="X21">
    <cfRule type="expression" priority="1024" dxfId="3">
      <formula>AND(IF(OR($Q21=1,$Q21=2),1,0),IF($X21&lt;=20,1,0))</formula>
    </cfRule>
    <cfRule type="expression" priority="1025" dxfId="2">
      <formula>AND(IF($Q21=2,1,0),IF($X21&lt;30,1,0))</formula>
    </cfRule>
    <cfRule type="expression" priority="1026" dxfId="1">
      <formula>AND(IF($Q21=3,1,0),IF($X21&lt;30,1,0))</formula>
    </cfRule>
    <cfRule type="expression" priority="1027" dxfId="0">
      <formula>AND(IF($Q21=3,1,IF($Q21=4,1,0)),IF($F21&lt;=85,1,0))</formula>
    </cfRule>
  </conditionalFormatting>
  <conditionalFormatting sqref="AI21">
    <cfRule type="expression" priority="1020" dxfId="3">
      <formula>AND(IF(OR($Q21=1,$Q21=2),1,0),IF($X21&lt;=20,1,0))</formula>
    </cfRule>
    <cfRule type="expression" priority="1021" dxfId="2">
      <formula>AND(IF($Q21=2,1,0),IF($X21&lt;30,1,0))</formula>
    </cfRule>
    <cfRule type="expression" priority="1022" dxfId="1">
      <formula>AND(IF($Q21=3,1,0),IF($X21&lt;30,1,0))</formula>
    </cfRule>
    <cfRule type="expression" priority="1023" dxfId="0">
      <formula>AND(IF($Q21=3,1,IF($Q21=4,1,0)),IF($F21&lt;=85,1,0))</formula>
    </cfRule>
  </conditionalFormatting>
  <conditionalFormatting sqref="AV22">
    <cfRule type="expression" priority="1018" dxfId="17">
      <formula>AV22="X"</formula>
    </cfRule>
    <cfRule type="expression" priority="1019" dxfId="16">
      <formula>AV22="후보"</formula>
    </cfRule>
  </conditionalFormatting>
  <conditionalFormatting sqref="AC22">
    <cfRule type="cellIs" priority="1015" operator="greaterThan" dxfId="13">
      <formula>0.9</formula>
    </cfRule>
    <cfRule type="cellIs" priority="1016" operator="greaterThan" dxfId="12">
      <formula>0.85</formula>
    </cfRule>
  </conditionalFormatting>
  <conditionalFormatting sqref="N22">
    <cfRule type="cellIs" priority="1013" operator="greaterThan" dxfId="13">
      <formula>0.9</formula>
    </cfRule>
    <cfRule type="cellIs" priority="1014" operator="greaterThan" dxfId="12">
      <formula>0.85</formula>
    </cfRule>
  </conditionalFormatting>
  <conditionalFormatting sqref="E22">
    <cfRule type="expression" priority="1009" dxfId="3">
      <formula>AND(IF(OR($Q22=1,$Q22=2),1,0),IF($X22&lt;=20,1,0))</formula>
    </cfRule>
    <cfRule type="expression" priority="1010" dxfId="2">
      <formula>AND(IF($Q22=2,1,0),IF($X22&lt;30,1,0))</formula>
    </cfRule>
    <cfRule type="expression" priority="1011" dxfId="1">
      <formula>AND(IF($Q22=3,1,0),IF($X22&lt;30,1,0))</formula>
    </cfRule>
    <cfRule type="expression" priority="1012" dxfId="0">
      <formula>AND(IF($Q22=3,1,IF($Q22=4,1,0)),IF($F22&lt;=85,1,0))</formula>
    </cfRule>
  </conditionalFormatting>
  <conditionalFormatting sqref="X22">
    <cfRule type="expression" priority="1005" dxfId="3">
      <formula>AND(IF(OR($Q22=1,$Q22=2),1,0),IF($X22&lt;=20,1,0))</formula>
    </cfRule>
    <cfRule type="expression" priority="1006" dxfId="2">
      <formula>AND(IF($Q22=2,1,0),IF($X22&lt;30,1,0))</formula>
    </cfRule>
    <cfRule type="expression" priority="1007" dxfId="1">
      <formula>AND(IF($Q22=3,1,0),IF($X22&lt;30,1,0))</formula>
    </cfRule>
    <cfRule type="expression" priority="1008" dxfId="0">
      <formula>AND(IF($Q22=3,1,IF($Q22=4,1,0)),IF($F22&lt;=85,1,0))</formula>
    </cfRule>
  </conditionalFormatting>
  <conditionalFormatting sqref="AI22">
    <cfRule type="expression" priority="1001" dxfId="3">
      <formula>AND(IF(OR($Q22=1,$Q22=2),1,0),IF($X22&lt;=20,1,0))</formula>
    </cfRule>
    <cfRule type="expression" priority="1002" dxfId="2">
      <formula>AND(IF($Q22=2,1,0),IF($X22&lt;30,1,0))</formula>
    </cfRule>
    <cfRule type="expression" priority="1003" dxfId="1">
      <formula>AND(IF($Q22=3,1,0),IF($X22&lt;30,1,0))</formula>
    </cfRule>
    <cfRule type="expression" priority="1004" dxfId="0">
      <formula>AND(IF($Q22=3,1,IF($Q22=4,1,0)),IF($F22&lt;=85,1,0))</formula>
    </cfRule>
  </conditionalFormatting>
  <conditionalFormatting sqref="AV23">
    <cfRule type="expression" priority="999" dxfId="17">
      <formula>AV23="X"</formula>
    </cfRule>
    <cfRule type="expression" priority="1000" dxfId="16">
      <formula>AV23="후보"</formula>
    </cfRule>
  </conditionalFormatting>
  <conditionalFormatting sqref="AC23">
    <cfRule type="cellIs" priority="996" operator="greaterThan" dxfId="13">
      <formula>0.9</formula>
    </cfRule>
    <cfRule type="cellIs" priority="997" operator="greaterThan" dxfId="12">
      <formula>0.85</formula>
    </cfRule>
  </conditionalFormatting>
  <conditionalFormatting sqref="N23">
    <cfRule type="cellIs" priority="994" operator="greaterThan" dxfId="13">
      <formula>0.9</formula>
    </cfRule>
    <cfRule type="cellIs" priority="995" operator="greaterThan" dxfId="12">
      <formula>0.85</formula>
    </cfRule>
  </conditionalFormatting>
  <conditionalFormatting sqref="E23">
    <cfRule type="expression" priority="990" dxfId="3">
      <formula>AND(IF(OR($Q23=1,$Q23=2),1,0),IF($X23&lt;=20,1,0))</formula>
    </cfRule>
    <cfRule type="expression" priority="991" dxfId="2">
      <formula>AND(IF($Q23=2,1,0),IF($X23&lt;30,1,0))</formula>
    </cfRule>
    <cfRule type="expression" priority="992" dxfId="1">
      <formula>AND(IF($Q23=3,1,0),IF($X23&lt;30,1,0))</formula>
    </cfRule>
    <cfRule type="expression" priority="993" dxfId="0">
      <formula>AND(IF($Q23=3,1,IF($Q23=4,1,0)),IF($F23&lt;=85,1,0))</formula>
    </cfRule>
  </conditionalFormatting>
  <conditionalFormatting sqref="X23">
    <cfRule type="expression" priority="986" dxfId="3">
      <formula>AND(IF(OR($Q23=1,$Q23=2),1,0),IF($X23&lt;=20,1,0))</formula>
    </cfRule>
    <cfRule type="expression" priority="987" dxfId="2">
      <formula>AND(IF($Q23=2,1,0),IF($X23&lt;30,1,0))</formula>
    </cfRule>
    <cfRule type="expression" priority="988" dxfId="1">
      <formula>AND(IF($Q23=3,1,0),IF($X23&lt;30,1,0))</formula>
    </cfRule>
    <cfRule type="expression" priority="989" dxfId="0">
      <formula>AND(IF($Q23=3,1,IF($Q23=4,1,0)),IF($F23&lt;=85,1,0))</formula>
    </cfRule>
  </conditionalFormatting>
  <conditionalFormatting sqref="AI23">
    <cfRule type="expression" priority="982" dxfId="3">
      <formula>AND(IF(OR($Q23=1,$Q23=2),1,0),IF($X23&lt;=20,1,0))</formula>
    </cfRule>
    <cfRule type="expression" priority="983" dxfId="2">
      <formula>AND(IF($Q23=2,1,0),IF($X23&lt;30,1,0))</formula>
    </cfRule>
    <cfRule type="expression" priority="984" dxfId="1">
      <formula>AND(IF($Q23=3,1,0),IF($X23&lt;30,1,0))</formula>
    </cfRule>
    <cfRule type="expression" priority="985" dxfId="0">
      <formula>AND(IF($Q23=3,1,IF($Q23=4,1,0)),IF($F23&lt;=85,1,0))</formula>
    </cfRule>
  </conditionalFormatting>
  <conditionalFormatting sqref="AV24">
    <cfRule type="expression" priority="980" dxfId="17">
      <formula>AV24="X"</formula>
    </cfRule>
    <cfRule type="expression" priority="981" dxfId="16">
      <formula>AV24="후보"</formula>
    </cfRule>
  </conditionalFormatting>
  <conditionalFormatting sqref="AC24">
    <cfRule type="cellIs" priority="977" operator="greaterThan" dxfId="13">
      <formula>0.9</formula>
    </cfRule>
    <cfRule type="cellIs" priority="978" operator="greaterThan" dxfId="12">
      <formula>0.85</formula>
    </cfRule>
  </conditionalFormatting>
  <conditionalFormatting sqref="N24">
    <cfRule type="cellIs" priority="975" operator="greaterThan" dxfId="13">
      <formula>0.9</formula>
    </cfRule>
    <cfRule type="cellIs" priority="976" operator="greaterThan" dxfId="12">
      <formula>0.85</formula>
    </cfRule>
  </conditionalFormatting>
  <conditionalFormatting sqref="E24">
    <cfRule type="expression" priority="971" dxfId="3">
      <formula>AND(IF(OR($Q24=1,$Q24=2),1,0),IF($X24&lt;=20,1,0))</formula>
    </cfRule>
    <cfRule type="expression" priority="972" dxfId="2">
      <formula>AND(IF($Q24=2,1,0),IF($X24&lt;30,1,0))</formula>
    </cfRule>
    <cfRule type="expression" priority="973" dxfId="1">
      <formula>AND(IF($Q24=3,1,0),IF($X24&lt;30,1,0))</formula>
    </cfRule>
    <cfRule type="expression" priority="974" dxfId="0">
      <formula>AND(IF($Q24=3,1,IF($Q24=4,1,0)),IF($F24&lt;=85,1,0))</formula>
    </cfRule>
  </conditionalFormatting>
  <conditionalFormatting sqref="X24">
    <cfRule type="expression" priority="967" dxfId="3">
      <formula>AND(IF(OR($Q24=1,$Q24=2),1,0),IF($X24&lt;=20,1,0))</formula>
    </cfRule>
    <cfRule type="expression" priority="968" dxfId="2">
      <formula>AND(IF($Q24=2,1,0),IF($X24&lt;30,1,0))</formula>
    </cfRule>
    <cfRule type="expression" priority="969" dxfId="1">
      <formula>AND(IF($Q24=3,1,0),IF($X24&lt;30,1,0))</formula>
    </cfRule>
    <cfRule type="expression" priority="970" dxfId="0">
      <formula>AND(IF($Q24=3,1,IF($Q24=4,1,0)),IF($F24&lt;=85,1,0))</formula>
    </cfRule>
  </conditionalFormatting>
  <conditionalFormatting sqref="AI24">
    <cfRule type="expression" priority="963" dxfId="3">
      <formula>AND(IF(OR($Q24=1,$Q24=2),1,0),IF($X24&lt;=20,1,0))</formula>
    </cfRule>
    <cfRule type="expression" priority="964" dxfId="2">
      <formula>AND(IF($Q24=2,1,0),IF($X24&lt;30,1,0))</formula>
    </cfRule>
    <cfRule type="expression" priority="965" dxfId="1">
      <formula>AND(IF($Q24=3,1,0),IF($X24&lt;30,1,0))</formula>
    </cfRule>
    <cfRule type="expression" priority="966" dxfId="0">
      <formula>AND(IF($Q24=3,1,IF($Q24=4,1,0)),IF($F24&lt;=85,1,0))</formula>
    </cfRule>
  </conditionalFormatting>
  <conditionalFormatting sqref="AV25">
    <cfRule type="expression" priority="961" dxfId="17">
      <formula>AV25="X"</formula>
    </cfRule>
    <cfRule type="expression" priority="962" dxfId="16">
      <formula>AV25="후보"</formula>
    </cfRule>
  </conditionalFormatting>
  <conditionalFormatting sqref="AC25">
    <cfRule type="cellIs" priority="958" operator="greaterThan" dxfId="13">
      <formula>0.9</formula>
    </cfRule>
    <cfRule type="cellIs" priority="959" operator="greaterThan" dxfId="12">
      <formula>0.85</formula>
    </cfRule>
  </conditionalFormatting>
  <conditionalFormatting sqref="N25">
    <cfRule type="cellIs" priority="956" operator="greaterThan" dxfId="13">
      <formula>0.9</formula>
    </cfRule>
    <cfRule type="cellIs" priority="957" operator="greaterThan" dxfId="12">
      <formula>0.85</formula>
    </cfRule>
  </conditionalFormatting>
  <conditionalFormatting sqref="E25">
    <cfRule type="expression" priority="952" dxfId="3">
      <formula>AND(IF(OR($Q25=1,$Q25=2),1,0),IF($X25&lt;=20,1,0))</formula>
    </cfRule>
    <cfRule type="expression" priority="953" dxfId="2">
      <formula>AND(IF($Q25=2,1,0),IF($X25&lt;30,1,0))</formula>
    </cfRule>
    <cfRule type="expression" priority="954" dxfId="1">
      <formula>AND(IF($Q25=3,1,0),IF($X25&lt;30,1,0))</formula>
    </cfRule>
    <cfRule type="expression" priority="955" dxfId="0">
      <formula>AND(IF($Q25=3,1,IF($Q25=4,1,0)),IF($F25&lt;=85,1,0))</formula>
    </cfRule>
  </conditionalFormatting>
  <conditionalFormatting sqref="X25">
    <cfRule type="expression" priority="948" dxfId="3">
      <formula>AND(IF(OR($Q25=1,$Q25=2),1,0),IF($X25&lt;=20,1,0))</formula>
    </cfRule>
    <cfRule type="expression" priority="949" dxfId="2">
      <formula>AND(IF($Q25=2,1,0),IF($X25&lt;30,1,0))</formula>
    </cfRule>
    <cfRule type="expression" priority="950" dxfId="1">
      <formula>AND(IF($Q25=3,1,0),IF($X25&lt;30,1,0))</formula>
    </cfRule>
    <cfRule type="expression" priority="951" dxfId="0">
      <formula>AND(IF($Q25=3,1,IF($Q25=4,1,0)),IF($F25&lt;=85,1,0))</formula>
    </cfRule>
  </conditionalFormatting>
  <conditionalFormatting sqref="AI25">
    <cfRule type="expression" priority="944" dxfId="3">
      <formula>AND(IF(OR($Q25=1,$Q25=2),1,0),IF($X25&lt;=20,1,0))</formula>
    </cfRule>
    <cfRule type="expression" priority="945" dxfId="2">
      <formula>AND(IF($Q25=2,1,0),IF($X25&lt;30,1,0))</formula>
    </cfRule>
    <cfRule type="expression" priority="946" dxfId="1">
      <formula>AND(IF($Q25=3,1,0),IF($X25&lt;30,1,0))</formula>
    </cfRule>
    <cfRule type="expression" priority="947" dxfId="0">
      <formula>AND(IF($Q25=3,1,IF($Q25=4,1,0)),IF($F25&lt;=85,1,0))</formula>
    </cfRule>
  </conditionalFormatting>
  <conditionalFormatting sqref="AV26">
    <cfRule type="expression" priority="942" dxfId="17">
      <formula>AV26="X"</formula>
    </cfRule>
    <cfRule type="expression" priority="943" dxfId="16">
      <formula>AV26="후보"</formula>
    </cfRule>
  </conditionalFormatting>
  <conditionalFormatting sqref="AC26 N26">
    <cfRule type="cellIs" priority="939" operator="greaterThan" dxfId="13">
      <formula>0.9</formula>
    </cfRule>
    <cfRule type="cellIs" priority="940" operator="greaterThan" dxfId="12">
      <formula>0.85</formula>
    </cfRule>
  </conditionalFormatting>
  <conditionalFormatting sqref="AV27">
    <cfRule type="expression" priority="937" dxfId="17">
      <formula>AV27="X"</formula>
    </cfRule>
    <cfRule type="expression" priority="938" dxfId="16">
      <formula>AV27="후보"</formula>
    </cfRule>
  </conditionalFormatting>
  <conditionalFormatting sqref="AC27">
    <cfRule type="cellIs" priority="934" operator="greaterThan" dxfId="13">
      <formula>0.9</formula>
    </cfRule>
    <cfRule type="cellIs" priority="935" operator="greaterThan" dxfId="12">
      <formula>0.85</formula>
    </cfRule>
  </conditionalFormatting>
  <conditionalFormatting sqref="N27">
    <cfRule type="cellIs" priority="932" operator="greaterThan" dxfId="13">
      <formula>0.9</formula>
    </cfRule>
    <cfRule type="cellIs" priority="933" operator="greaterThan" dxfId="12">
      <formula>0.85</formula>
    </cfRule>
  </conditionalFormatting>
  <conditionalFormatting sqref="E27">
    <cfRule type="expression" priority="928" dxfId="3">
      <formula>AND(IF(OR($Q27=1,$Q27=2),1,0),IF($X27&lt;=20,1,0))</formula>
    </cfRule>
    <cfRule type="expression" priority="929" dxfId="2">
      <formula>AND(IF($Q27=2,1,0),IF($X27&lt;30,1,0))</formula>
    </cfRule>
    <cfRule type="expression" priority="930" dxfId="1">
      <formula>AND(IF($Q27=3,1,0),IF($X27&lt;30,1,0))</formula>
    </cfRule>
    <cfRule type="expression" priority="931" dxfId="0">
      <formula>AND(IF($Q27=3,1,IF($Q27=4,1,0)),IF($F27&lt;=85,1,0))</formula>
    </cfRule>
  </conditionalFormatting>
  <conditionalFormatting sqref="X27">
    <cfRule type="expression" priority="924" dxfId="3">
      <formula>AND(IF(OR($Q27=1,$Q27=2),1,0),IF($X27&lt;=20,1,0))</formula>
    </cfRule>
    <cfRule type="expression" priority="925" dxfId="2">
      <formula>AND(IF($Q27=2,1,0),IF($X27&lt;30,1,0))</formula>
    </cfRule>
    <cfRule type="expression" priority="926" dxfId="1">
      <formula>AND(IF($Q27=3,1,0),IF($X27&lt;30,1,0))</formula>
    </cfRule>
    <cfRule type="expression" priority="927" dxfId="0">
      <formula>AND(IF($Q27=3,1,IF($Q27=4,1,0)),IF($F27&lt;=85,1,0))</formula>
    </cfRule>
  </conditionalFormatting>
  <conditionalFormatting sqref="AI27">
    <cfRule type="expression" priority="920" dxfId="3">
      <formula>AND(IF(OR($Q27=1,$Q27=2),1,0),IF($X27&lt;=20,1,0))</formula>
    </cfRule>
    <cfRule type="expression" priority="921" dxfId="2">
      <formula>AND(IF($Q27=2,1,0),IF($X27&lt;30,1,0))</formula>
    </cfRule>
    <cfRule type="expression" priority="922" dxfId="1">
      <formula>AND(IF($Q27=3,1,0),IF($X27&lt;30,1,0))</formula>
    </cfRule>
    <cfRule type="expression" priority="923" dxfId="0">
      <formula>AND(IF($Q27=3,1,IF($Q27=4,1,0)),IF($F27&lt;=85,1,0))</formula>
    </cfRule>
  </conditionalFormatting>
  <conditionalFormatting sqref="AV28">
    <cfRule type="expression" priority="918" dxfId="17">
      <formula>AV28="X"</formula>
    </cfRule>
    <cfRule type="expression" priority="919" dxfId="16">
      <formula>AV28="후보"</formula>
    </cfRule>
  </conditionalFormatting>
  <conditionalFormatting sqref="AC28 N28">
    <cfRule type="cellIs" priority="915" operator="greaterThan" dxfId="13">
      <formula>0.9</formula>
    </cfRule>
    <cfRule type="cellIs" priority="916" operator="greaterThan" dxfId="12">
      <formula>0.85</formula>
    </cfRule>
  </conditionalFormatting>
  <conditionalFormatting sqref="AV29">
    <cfRule type="expression" priority="913" dxfId="17">
      <formula>AV29="X"</formula>
    </cfRule>
    <cfRule type="expression" priority="914" dxfId="16">
      <formula>AV29="후보"</formula>
    </cfRule>
  </conditionalFormatting>
  <conditionalFormatting sqref="AC29">
    <cfRule type="cellIs" priority="910" operator="greaterThan" dxfId="13">
      <formula>0.9</formula>
    </cfRule>
    <cfRule type="cellIs" priority="911" operator="greaterThan" dxfId="12">
      <formula>0.85</formula>
    </cfRule>
  </conditionalFormatting>
  <conditionalFormatting sqref="N29">
    <cfRule type="cellIs" priority="908" operator="greaterThan" dxfId="13">
      <formula>0.9</formula>
    </cfRule>
    <cfRule type="cellIs" priority="909" operator="greaterThan" dxfId="12">
      <formula>0.85</formula>
    </cfRule>
  </conditionalFormatting>
  <conditionalFormatting sqref="E29">
    <cfRule type="expression" priority="904" dxfId="3">
      <formula>AND(IF(OR($Q29=1,$Q29=2),1,0),IF($X29&lt;=20,1,0))</formula>
    </cfRule>
    <cfRule type="expression" priority="905" dxfId="2">
      <formula>AND(IF($Q29=2,1,0),IF($X29&lt;30,1,0))</formula>
    </cfRule>
    <cfRule type="expression" priority="906" dxfId="1">
      <formula>AND(IF($Q29=3,1,0),IF($X29&lt;30,1,0))</formula>
    </cfRule>
    <cfRule type="expression" priority="907" dxfId="0">
      <formula>AND(IF($Q29=3,1,IF($Q29=4,1,0)),IF($F29&lt;=85,1,0))</formula>
    </cfRule>
  </conditionalFormatting>
  <conditionalFormatting sqref="X29">
    <cfRule type="expression" priority="900" dxfId="3">
      <formula>AND(IF(OR($Q29=1,$Q29=2),1,0),IF($X29&lt;=20,1,0))</formula>
    </cfRule>
    <cfRule type="expression" priority="901" dxfId="2">
      <formula>AND(IF($Q29=2,1,0),IF($X29&lt;30,1,0))</formula>
    </cfRule>
    <cfRule type="expression" priority="902" dxfId="1">
      <formula>AND(IF($Q29=3,1,0),IF($X29&lt;30,1,0))</formula>
    </cfRule>
    <cfRule type="expression" priority="903" dxfId="0">
      <formula>AND(IF($Q29=3,1,IF($Q29=4,1,0)),IF($F29&lt;=85,1,0))</formula>
    </cfRule>
  </conditionalFormatting>
  <conditionalFormatting sqref="AI29">
    <cfRule type="expression" priority="896" dxfId="3">
      <formula>AND(IF(OR($Q29=1,$Q29=2),1,0),IF($X29&lt;=20,1,0))</formula>
    </cfRule>
    <cfRule type="expression" priority="897" dxfId="2">
      <formula>AND(IF($Q29=2,1,0),IF($X29&lt;30,1,0))</formula>
    </cfRule>
    <cfRule type="expression" priority="898" dxfId="1">
      <formula>AND(IF($Q29=3,1,0),IF($X29&lt;30,1,0))</formula>
    </cfRule>
    <cfRule type="expression" priority="899" dxfId="0">
      <formula>AND(IF($Q29=3,1,IF($Q29=4,1,0)),IF($F29&lt;=85,1,0))</formula>
    </cfRule>
  </conditionalFormatting>
  <conditionalFormatting sqref="AV30">
    <cfRule type="expression" priority="894" dxfId="17">
      <formula>AV30="X"</formula>
    </cfRule>
    <cfRule type="expression" priority="895" dxfId="16">
      <formula>AV30="후보"</formula>
    </cfRule>
  </conditionalFormatting>
  <conditionalFormatting sqref="AC30">
    <cfRule type="cellIs" priority="891" operator="greaterThan" dxfId="13">
      <formula>0.9</formula>
    </cfRule>
    <cfRule type="cellIs" priority="892" operator="greaterThan" dxfId="12">
      <formula>0.85</formula>
    </cfRule>
  </conditionalFormatting>
  <conditionalFormatting sqref="N30">
    <cfRule type="cellIs" priority="889" operator="greaterThan" dxfId="13">
      <formula>0.9</formula>
    </cfRule>
    <cfRule type="cellIs" priority="890" operator="greaterThan" dxfId="12">
      <formula>0.85</formula>
    </cfRule>
  </conditionalFormatting>
  <conditionalFormatting sqref="E30">
    <cfRule type="expression" priority="885" dxfId="3">
      <formula>AND(IF(OR($Q30=1,$Q30=2),1,0),IF($X30&lt;=20,1,0))</formula>
    </cfRule>
    <cfRule type="expression" priority="886" dxfId="2">
      <formula>AND(IF($Q30=2,1,0),IF($X30&lt;30,1,0))</formula>
    </cfRule>
    <cfRule type="expression" priority="887" dxfId="1">
      <formula>AND(IF($Q30=3,1,0),IF($X30&lt;30,1,0))</formula>
    </cfRule>
    <cfRule type="expression" priority="888" dxfId="0">
      <formula>AND(IF($Q30=3,1,IF($Q30=4,1,0)),IF($F30&lt;=85,1,0))</formula>
    </cfRule>
  </conditionalFormatting>
  <conditionalFormatting sqref="X30">
    <cfRule type="expression" priority="881" dxfId="3">
      <formula>AND(IF(OR($Q30=1,$Q30=2),1,0),IF($X30&lt;=20,1,0))</formula>
    </cfRule>
    <cfRule type="expression" priority="882" dxfId="2">
      <formula>AND(IF($Q30=2,1,0),IF($X30&lt;30,1,0))</formula>
    </cfRule>
    <cfRule type="expression" priority="883" dxfId="1">
      <formula>AND(IF($Q30=3,1,0),IF($X30&lt;30,1,0))</formula>
    </cfRule>
    <cfRule type="expression" priority="884" dxfId="0">
      <formula>AND(IF($Q30=3,1,IF($Q30=4,1,0)),IF($F30&lt;=85,1,0))</formula>
    </cfRule>
  </conditionalFormatting>
  <conditionalFormatting sqref="AI30">
    <cfRule type="expression" priority="877" dxfId="3">
      <formula>AND(IF(OR($Q30=1,$Q30=2),1,0),IF($X30&lt;=20,1,0))</formula>
    </cfRule>
    <cfRule type="expression" priority="878" dxfId="2">
      <formula>AND(IF($Q30=2,1,0),IF($X30&lt;30,1,0))</formula>
    </cfRule>
    <cfRule type="expression" priority="879" dxfId="1">
      <formula>AND(IF($Q30=3,1,0),IF($X30&lt;30,1,0))</formula>
    </cfRule>
    <cfRule type="expression" priority="880" dxfId="0">
      <formula>AND(IF($Q30=3,1,IF($Q30=4,1,0)),IF($F30&lt;=85,1,0))</formula>
    </cfRule>
  </conditionalFormatting>
  <conditionalFormatting sqref="AV31">
    <cfRule type="expression" priority="875" dxfId="17">
      <formula>AV31="X"</formula>
    </cfRule>
    <cfRule type="expression" priority="876" dxfId="16">
      <formula>AV31="후보"</formula>
    </cfRule>
  </conditionalFormatting>
  <conditionalFormatting sqref="AC31">
    <cfRule type="cellIs" priority="872" operator="greaterThan" dxfId="13">
      <formula>0.9</formula>
    </cfRule>
    <cfRule type="cellIs" priority="873" operator="greaterThan" dxfId="12">
      <formula>0.85</formula>
    </cfRule>
  </conditionalFormatting>
  <conditionalFormatting sqref="N31">
    <cfRule type="cellIs" priority="870" operator="greaterThan" dxfId="13">
      <formula>0.9</formula>
    </cfRule>
    <cfRule type="cellIs" priority="871" operator="greaterThan" dxfId="12">
      <formula>0.85</formula>
    </cfRule>
  </conditionalFormatting>
  <conditionalFormatting sqref="E31">
    <cfRule type="expression" priority="866" dxfId="3">
      <formula>AND(IF(OR($Q31=1,$Q31=2),1,0),IF($X31&lt;=20,1,0))</formula>
    </cfRule>
    <cfRule type="expression" priority="867" dxfId="2">
      <formula>AND(IF($Q31=2,1,0),IF($X31&lt;30,1,0))</formula>
    </cfRule>
    <cfRule type="expression" priority="868" dxfId="1">
      <formula>AND(IF($Q31=3,1,0),IF($X31&lt;30,1,0))</formula>
    </cfRule>
    <cfRule type="expression" priority="869" dxfId="0">
      <formula>AND(IF($Q31=3,1,IF($Q31=4,1,0)),IF($F31&lt;=85,1,0))</formula>
    </cfRule>
  </conditionalFormatting>
  <conditionalFormatting sqref="X31">
    <cfRule type="expression" priority="862" dxfId="3">
      <formula>AND(IF(OR($Q31=1,$Q31=2),1,0),IF($X31&lt;=20,1,0))</formula>
    </cfRule>
    <cfRule type="expression" priority="863" dxfId="2">
      <formula>AND(IF($Q31=2,1,0),IF($X31&lt;30,1,0))</formula>
    </cfRule>
    <cfRule type="expression" priority="864" dxfId="1">
      <formula>AND(IF($Q31=3,1,0),IF($X31&lt;30,1,0))</formula>
    </cfRule>
    <cfRule type="expression" priority="865" dxfId="0">
      <formula>AND(IF($Q31=3,1,IF($Q31=4,1,0)),IF($F31&lt;=85,1,0))</formula>
    </cfRule>
  </conditionalFormatting>
  <conditionalFormatting sqref="AI31">
    <cfRule type="expression" priority="858" dxfId="3">
      <formula>AND(IF(OR($Q31=1,$Q31=2),1,0),IF($X31&lt;=20,1,0))</formula>
    </cfRule>
    <cfRule type="expression" priority="859" dxfId="2">
      <formula>AND(IF($Q31=2,1,0),IF($X31&lt;30,1,0))</formula>
    </cfRule>
    <cfRule type="expression" priority="860" dxfId="1">
      <formula>AND(IF($Q31=3,1,0),IF($X31&lt;30,1,0))</formula>
    </cfRule>
    <cfRule type="expression" priority="861" dxfId="0">
      <formula>AND(IF($Q31=3,1,IF($Q31=4,1,0)),IF($F31&lt;=85,1,0))</formula>
    </cfRule>
  </conditionalFormatting>
  <conditionalFormatting sqref="AV32">
    <cfRule type="expression" priority="856" dxfId="17">
      <formula>AV32="X"</formula>
    </cfRule>
    <cfRule type="expression" priority="857" dxfId="16">
      <formula>AV32="후보"</formula>
    </cfRule>
  </conditionalFormatting>
  <conditionalFormatting sqref="AC32">
    <cfRule type="cellIs" priority="853" operator="greaterThan" dxfId="13">
      <formula>0.9</formula>
    </cfRule>
    <cfRule type="cellIs" priority="854" operator="greaterThan" dxfId="12">
      <formula>0.85</formula>
    </cfRule>
  </conditionalFormatting>
  <conditionalFormatting sqref="N32">
    <cfRule type="cellIs" priority="851" operator="greaterThan" dxfId="13">
      <formula>0.9</formula>
    </cfRule>
    <cfRule type="cellIs" priority="852" operator="greaterThan" dxfId="12">
      <formula>0.85</formula>
    </cfRule>
  </conditionalFormatting>
  <conditionalFormatting sqref="E32">
    <cfRule type="expression" priority="847" dxfId="3">
      <formula>AND(IF(OR($Q32=1,$Q32=2),1,0),IF($X32&lt;=20,1,0))</formula>
    </cfRule>
    <cfRule type="expression" priority="848" dxfId="2">
      <formula>AND(IF($Q32=2,1,0),IF($X32&lt;30,1,0))</formula>
    </cfRule>
    <cfRule type="expression" priority="849" dxfId="1">
      <formula>AND(IF($Q32=3,1,0),IF($X32&lt;30,1,0))</formula>
    </cfRule>
    <cfRule type="expression" priority="850" dxfId="0">
      <formula>AND(IF($Q32=3,1,IF($Q32=4,1,0)),IF($F32&lt;=85,1,0))</formula>
    </cfRule>
  </conditionalFormatting>
  <conditionalFormatting sqref="X32">
    <cfRule type="expression" priority="843" dxfId="3">
      <formula>AND(IF(OR($Q32=1,$Q32=2),1,0),IF($X32&lt;=20,1,0))</formula>
    </cfRule>
    <cfRule type="expression" priority="844" dxfId="2">
      <formula>AND(IF($Q32=2,1,0),IF($X32&lt;30,1,0))</formula>
    </cfRule>
    <cfRule type="expression" priority="845" dxfId="1">
      <formula>AND(IF($Q32=3,1,0),IF($X32&lt;30,1,0))</formula>
    </cfRule>
    <cfRule type="expression" priority="846" dxfId="0">
      <formula>AND(IF($Q32=3,1,IF($Q32=4,1,0)),IF($F32&lt;=85,1,0))</formula>
    </cfRule>
  </conditionalFormatting>
  <conditionalFormatting sqref="AI32">
    <cfRule type="expression" priority="839" dxfId="3">
      <formula>AND(IF(OR($Q32=1,$Q32=2),1,0),IF($X32&lt;=20,1,0))</formula>
    </cfRule>
    <cfRule type="expression" priority="840" dxfId="2">
      <formula>AND(IF($Q32=2,1,0),IF($X32&lt;30,1,0))</formula>
    </cfRule>
    <cfRule type="expression" priority="841" dxfId="1">
      <formula>AND(IF($Q32=3,1,0),IF($X32&lt;30,1,0))</formula>
    </cfRule>
    <cfRule type="expression" priority="842" dxfId="0">
      <formula>AND(IF($Q32=3,1,IF($Q32=4,1,0)),IF($F32&lt;=85,1,0))</formula>
    </cfRule>
  </conditionalFormatting>
  <conditionalFormatting sqref="AV33">
    <cfRule type="expression" priority="837" dxfId="17">
      <formula>AV33="X"</formula>
    </cfRule>
    <cfRule type="expression" priority="838" dxfId="16">
      <formula>AV33="후보"</formula>
    </cfRule>
  </conditionalFormatting>
  <conditionalFormatting sqref="AC33">
    <cfRule type="cellIs" priority="834" operator="greaterThan" dxfId="13">
      <formula>0.9</formula>
    </cfRule>
    <cfRule type="cellIs" priority="835" operator="greaterThan" dxfId="12">
      <formula>0.85</formula>
    </cfRule>
  </conditionalFormatting>
  <conditionalFormatting sqref="N33">
    <cfRule type="cellIs" priority="832" operator="greaterThan" dxfId="13">
      <formula>0.9</formula>
    </cfRule>
    <cfRule type="cellIs" priority="833" operator="greaterThan" dxfId="12">
      <formula>0.85</formula>
    </cfRule>
  </conditionalFormatting>
  <conditionalFormatting sqref="E33">
    <cfRule type="expression" priority="828" dxfId="3">
      <formula>AND(IF(OR($Q33=1,$Q33=2),1,0),IF($X33&lt;=20,1,0))</formula>
    </cfRule>
    <cfRule type="expression" priority="829" dxfId="2">
      <formula>AND(IF($Q33=2,1,0),IF($X33&lt;30,1,0))</formula>
    </cfRule>
    <cfRule type="expression" priority="830" dxfId="1">
      <formula>AND(IF($Q33=3,1,0),IF($X33&lt;30,1,0))</formula>
    </cfRule>
    <cfRule type="expression" priority="831" dxfId="0">
      <formula>AND(IF($Q33=3,1,IF($Q33=4,1,0)),IF($F33&lt;=85,1,0))</formula>
    </cfRule>
  </conditionalFormatting>
  <conditionalFormatting sqref="X33">
    <cfRule type="expression" priority="824" dxfId="3">
      <formula>AND(IF(OR($Q33=1,$Q33=2),1,0),IF($X33&lt;=20,1,0))</formula>
    </cfRule>
    <cfRule type="expression" priority="825" dxfId="2">
      <formula>AND(IF($Q33=2,1,0),IF($X33&lt;30,1,0))</formula>
    </cfRule>
    <cfRule type="expression" priority="826" dxfId="1">
      <formula>AND(IF($Q33=3,1,0),IF($X33&lt;30,1,0))</formula>
    </cfRule>
    <cfRule type="expression" priority="827" dxfId="0">
      <formula>AND(IF($Q33=3,1,IF($Q33=4,1,0)),IF($F33&lt;=85,1,0))</formula>
    </cfRule>
  </conditionalFormatting>
  <conditionalFormatting sqref="AI33">
    <cfRule type="expression" priority="820" dxfId="3">
      <formula>AND(IF(OR($Q33=1,$Q33=2),1,0),IF($X33&lt;=20,1,0))</formula>
    </cfRule>
    <cfRule type="expression" priority="821" dxfId="2">
      <formula>AND(IF($Q33=2,1,0),IF($X33&lt;30,1,0))</formula>
    </cfRule>
    <cfRule type="expression" priority="822" dxfId="1">
      <formula>AND(IF($Q33=3,1,0),IF($X33&lt;30,1,0))</formula>
    </cfRule>
    <cfRule type="expression" priority="823" dxfId="0">
      <formula>AND(IF($Q33=3,1,IF($Q33=4,1,0)),IF($F33&lt;=85,1,0))</formula>
    </cfRule>
  </conditionalFormatting>
  <conditionalFormatting sqref="AV34">
    <cfRule type="expression" priority="818" dxfId="17">
      <formula>AV34="X"</formula>
    </cfRule>
    <cfRule type="expression" priority="819" dxfId="16">
      <formula>AV34="후보"</formula>
    </cfRule>
  </conditionalFormatting>
  <conditionalFormatting sqref="AC34 N34">
    <cfRule type="cellIs" priority="815" operator="greaterThan" dxfId="13">
      <formula>0.9</formula>
    </cfRule>
    <cfRule type="cellIs" priority="816" operator="greaterThan" dxfId="12">
      <formula>0.85</formula>
    </cfRule>
  </conditionalFormatting>
  <conditionalFormatting sqref="AV35">
    <cfRule type="expression" priority="813" dxfId="17">
      <formula>AV35="X"</formula>
    </cfRule>
    <cfRule type="expression" priority="814" dxfId="16">
      <formula>AV35="후보"</formula>
    </cfRule>
  </conditionalFormatting>
  <conditionalFormatting sqref="AC35">
    <cfRule type="cellIs" priority="810" operator="greaterThan" dxfId="13">
      <formula>0.9</formula>
    </cfRule>
    <cfRule type="cellIs" priority="811" operator="greaterThan" dxfId="12">
      <formula>0.85</formula>
    </cfRule>
  </conditionalFormatting>
  <conditionalFormatting sqref="N35">
    <cfRule type="cellIs" priority="808" operator="greaterThan" dxfId="13">
      <formula>0.9</formula>
    </cfRule>
    <cfRule type="cellIs" priority="809" operator="greaterThan" dxfId="12">
      <formula>0.85</formula>
    </cfRule>
  </conditionalFormatting>
  <conditionalFormatting sqref="E35">
    <cfRule type="expression" priority="804" dxfId="3">
      <formula>AND(IF(OR($Q35=1,$Q35=2),1,0),IF($X35&lt;=20,1,0))</formula>
    </cfRule>
    <cfRule type="expression" priority="805" dxfId="2">
      <formula>AND(IF($Q35=2,1,0),IF($X35&lt;30,1,0))</formula>
    </cfRule>
    <cfRule type="expression" priority="806" dxfId="1">
      <formula>AND(IF($Q35=3,1,0),IF($X35&lt;30,1,0))</formula>
    </cfRule>
    <cfRule type="expression" priority="807" dxfId="0">
      <formula>AND(IF($Q35=3,1,IF($Q35=4,1,0)),IF($F35&lt;=85,1,0))</formula>
    </cfRule>
  </conditionalFormatting>
  <conditionalFormatting sqref="X35">
    <cfRule type="expression" priority="800" dxfId="3">
      <formula>AND(IF(OR($Q35=1,$Q35=2),1,0),IF($X35&lt;=20,1,0))</formula>
    </cfRule>
    <cfRule type="expression" priority="801" dxfId="2">
      <formula>AND(IF($Q35=2,1,0),IF($X35&lt;30,1,0))</formula>
    </cfRule>
    <cfRule type="expression" priority="802" dxfId="1">
      <formula>AND(IF($Q35=3,1,0),IF($X35&lt;30,1,0))</formula>
    </cfRule>
    <cfRule type="expression" priority="803" dxfId="0">
      <formula>AND(IF($Q35=3,1,IF($Q35=4,1,0)),IF($F35&lt;=85,1,0))</formula>
    </cfRule>
  </conditionalFormatting>
  <conditionalFormatting sqref="AI35">
    <cfRule type="expression" priority="796" dxfId="3">
      <formula>AND(IF(OR($Q35=1,$Q35=2),1,0),IF($X35&lt;=20,1,0))</formula>
    </cfRule>
    <cfRule type="expression" priority="797" dxfId="2">
      <formula>AND(IF($Q35=2,1,0),IF($X35&lt;30,1,0))</formula>
    </cfRule>
    <cfRule type="expression" priority="798" dxfId="1">
      <formula>AND(IF($Q35=3,1,0),IF($X35&lt;30,1,0))</formula>
    </cfRule>
    <cfRule type="expression" priority="799" dxfId="0">
      <formula>AND(IF($Q35=3,1,IF($Q35=4,1,0)),IF($F35&lt;=85,1,0))</formula>
    </cfRule>
  </conditionalFormatting>
  <conditionalFormatting sqref="AV36">
    <cfRule type="expression" priority="794" dxfId="17">
      <formula>AV36="X"</formula>
    </cfRule>
    <cfRule type="expression" priority="795" dxfId="16">
      <formula>AV36="후보"</formula>
    </cfRule>
  </conditionalFormatting>
  <conditionalFormatting sqref="AC36">
    <cfRule type="cellIs" priority="791" operator="greaterThan" dxfId="13">
      <formula>0.9</formula>
    </cfRule>
    <cfRule type="cellIs" priority="792" operator="greaterThan" dxfId="12">
      <formula>0.85</formula>
    </cfRule>
  </conditionalFormatting>
  <conditionalFormatting sqref="N36">
    <cfRule type="cellIs" priority="789" operator="greaterThan" dxfId="13">
      <formula>0.9</formula>
    </cfRule>
    <cfRule type="cellIs" priority="790" operator="greaterThan" dxfId="12">
      <formula>0.85</formula>
    </cfRule>
  </conditionalFormatting>
  <conditionalFormatting sqref="E36">
    <cfRule type="expression" priority="785" dxfId="3">
      <formula>AND(IF(OR($Q36=1,$Q36=2),1,0),IF($X36&lt;=20,1,0))</formula>
    </cfRule>
    <cfRule type="expression" priority="786" dxfId="2">
      <formula>AND(IF($Q36=2,1,0),IF($X36&lt;30,1,0))</formula>
    </cfRule>
    <cfRule type="expression" priority="787" dxfId="1">
      <formula>AND(IF($Q36=3,1,0),IF($X36&lt;30,1,0))</formula>
    </cfRule>
    <cfRule type="expression" priority="788" dxfId="0">
      <formula>AND(IF($Q36=3,1,IF($Q36=4,1,0)),IF($F36&lt;=85,1,0))</formula>
    </cfRule>
  </conditionalFormatting>
  <conditionalFormatting sqref="X36">
    <cfRule type="expression" priority="781" dxfId="3">
      <formula>AND(IF(OR($Q36=1,$Q36=2),1,0),IF($X36&lt;=20,1,0))</formula>
    </cfRule>
    <cfRule type="expression" priority="782" dxfId="2">
      <formula>AND(IF($Q36=2,1,0),IF($X36&lt;30,1,0))</formula>
    </cfRule>
    <cfRule type="expression" priority="783" dxfId="1">
      <formula>AND(IF($Q36=3,1,0),IF($X36&lt;30,1,0))</formula>
    </cfRule>
    <cfRule type="expression" priority="784" dxfId="0">
      <formula>AND(IF($Q36=3,1,IF($Q36=4,1,0)),IF($F36&lt;=85,1,0))</formula>
    </cfRule>
  </conditionalFormatting>
  <conditionalFormatting sqref="AI36">
    <cfRule type="expression" priority="777" dxfId="3">
      <formula>AND(IF(OR($Q36=1,$Q36=2),1,0),IF($X36&lt;=20,1,0))</formula>
    </cfRule>
    <cfRule type="expression" priority="778" dxfId="2">
      <formula>AND(IF($Q36=2,1,0),IF($X36&lt;30,1,0))</formula>
    </cfRule>
    <cfRule type="expression" priority="779" dxfId="1">
      <formula>AND(IF($Q36=3,1,0),IF($X36&lt;30,1,0))</formula>
    </cfRule>
    <cfRule type="expression" priority="780" dxfId="0">
      <formula>AND(IF($Q36=3,1,IF($Q36=4,1,0)),IF($F36&lt;=85,1,0))</formula>
    </cfRule>
  </conditionalFormatting>
  <conditionalFormatting sqref="AV37">
    <cfRule type="expression" priority="775" dxfId="17">
      <formula>AV37="X"</formula>
    </cfRule>
    <cfRule type="expression" priority="776" dxfId="16">
      <formula>AV37="후보"</formula>
    </cfRule>
  </conditionalFormatting>
  <conditionalFormatting sqref="AC37">
    <cfRule type="cellIs" priority="772" operator="greaterThan" dxfId="13">
      <formula>0.9</formula>
    </cfRule>
    <cfRule type="cellIs" priority="773" operator="greaterThan" dxfId="12">
      <formula>0.85</formula>
    </cfRule>
  </conditionalFormatting>
  <conditionalFormatting sqref="N37">
    <cfRule type="cellIs" priority="770" operator="greaterThan" dxfId="13">
      <formula>0.9</formula>
    </cfRule>
    <cfRule type="cellIs" priority="771" operator="greaterThan" dxfId="12">
      <formula>0.85</formula>
    </cfRule>
  </conditionalFormatting>
  <conditionalFormatting sqref="E37">
    <cfRule type="expression" priority="766" dxfId="3">
      <formula>AND(IF(OR($Q37=1,$Q37=2),1,0),IF($X37&lt;=20,1,0))</formula>
    </cfRule>
    <cfRule type="expression" priority="767" dxfId="2">
      <formula>AND(IF($Q37=2,1,0),IF($X37&lt;30,1,0))</formula>
    </cfRule>
    <cfRule type="expression" priority="768" dxfId="1">
      <formula>AND(IF($Q37=3,1,0),IF($X37&lt;30,1,0))</formula>
    </cfRule>
    <cfRule type="expression" priority="769" dxfId="0">
      <formula>AND(IF($Q37=3,1,IF($Q37=4,1,0)),IF($F37&lt;=85,1,0))</formula>
    </cfRule>
  </conditionalFormatting>
  <conditionalFormatting sqref="X37">
    <cfRule type="expression" priority="762" dxfId="3">
      <formula>AND(IF(OR($Q37=1,$Q37=2),1,0),IF($X37&lt;=20,1,0))</formula>
    </cfRule>
    <cfRule type="expression" priority="763" dxfId="2">
      <formula>AND(IF($Q37=2,1,0),IF($X37&lt;30,1,0))</formula>
    </cfRule>
    <cfRule type="expression" priority="764" dxfId="1">
      <formula>AND(IF($Q37=3,1,0),IF($X37&lt;30,1,0))</formula>
    </cfRule>
    <cfRule type="expression" priority="765" dxfId="0">
      <formula>AND(IF($Q37=3,1,IF($Q37=4,1,0)),IF($F37&lt;=85,1,0))</formula>
    </cfRule>
  </conditionalFormatting>
  <conditionalFormatting sqref="AI37">
    <cfRule type="expression" priority="758" dxfId="3">
      <formula>AND(IF(OR($Q37=1,$Q37=2),1,0),IF($X37&lt;=20,1,0))</formula>
    </cfRule>
    <cfRule type="expression" priority="759" dxfId="2">
      <formula>AND(IF($Q37=2,1,0),IF($X37&lt;30,1,0))</formula>
    </cfRule>
    <cfRule type="expression" priority="760" dxfId="1">
      <formula>AND(IF($Q37=3,1,0),IF($X37&lt;30,1,0))</formula>
    </cfRule>
    <cfRule type="expression" priority="761" dxfId="0">
      <formula>AND(IF($Q37=3,1,IF($Q37=4,1,0)),IF($F37&lt;=85,1,0))</formula>
    </cfRule>
  </conditionalFormatting>
  <conditionalFormatting sqref="AV38">
    <cfRule type="expression" priority="756" dxfId="17">
      <formula>AV38="X"</formula>
    </cfRule>
    <cfRule type="expression" priority="757" dxfId="16">
      <formula>AV38="후보"</formula>
    </cfRule>
  </conditionalFormatting>
  <conditionalFormatting sqref="AC38">
    <cfRule type="cellIs" priority="753" operator="greaterThan" dxfId="13">
      <formula>0.9</formula>
    </cfRule>
    <cfRule type="cellIs" priority="754" operator="greaterThan" dxfId="12">
      <formula>0.85</formula>
    </cfRule>
  </conditionalFormatting>
  <conditionalFormatting sqref="N38">
    <cfRule type="cellIs" priority="751" operator="greaterThan" dxfId="13">
      <formula>0.9</formula>
    </cfRule>
    <cfRule type="cellIs" priority="752" operator="greaterThan" dxfId="12">
      <formula>0.85</formula>
    </cfRule>
  </conditionalFormatting>
  <conditionalFormatting sqref="E38">
    <cfRule type="expression" priority="747" dxfId="3">
      <formula>AND(IF(OR($Q38=1,$Q38=2),1,0),IF($X38&lt;=20,1,0))</formula>
    </cfRule>
    <cfRule type="expression" priority="748" dxfId="2">
      <formula>AND(IF($Q38=2,1,0),IF($X38&lt;30,1,0))</formula>
    </cfRule>
    <cfRule type="expression" priority="749" dxfId="1">
      <formula>AND(IF($Q38=3,1,0),IF($X38&lt;30,1,0))</formula>
    </cfRule>
    <cfRule type="expression" priority="750" dxfId="0">
      <formula>AND(IF($Q38=3,1,IF($Q38=4,1,0)),IF($F38&lt;=85,1,0))</formula>
    </cfRule>
  </conditionalFormatting>
  <conditionalFormatting sqref="X38">
    <cfRule type="expression" priority="743" dxfId="3">
      <formula>AND(IF(OR($Q38=1,$Q38=2),1,0),IF($X38&lt;=20,1,0))</formula>
    </cfRule>
    <cfRule type="expression" priority="744" dxfId="2">
      <formula>AND(IF($Q38=2,1,0),IF($X38&lt;30,1,0))</formula>
    </cfRule>
    <cfRule type="expression" priority="745" dxfId="1">
      <formula>AND(IF($Q38=3,1,0),IF($X38&lt;30,1,0))</formula>
    </cfRule>
    <cfRule type="expression" priority="746" dxfId="0">
      <formula>AND(IF($Q38=3,1,IF($Q38=4,1,0)),IF($F38&lt;=85,1,0))</formula>
    </cfRule>
  </conditionalFormatting>
  <conditionalFormatting sqref="AI38">
    <cfRule type="expression" priority="739" dxfId="3">
      <formula>AND(IF(OR($Q38=1,$Q38=2),1,0),IF($X38&lt;=20,1,0))</formula>
    </cfRule>
    <cfRule type="expression" priority="740" dxfId="2">
      <formula>AND(IF($Q38=2,1,0),IF($X38&lt;30,1,0))</formula>
    </cfRule>
    <cfRule type="expression" priority="741" dxfId="1">
      <formula>AND(IF($Q38=3,1,0),IF($X38&lt;30,1,0))</formula>
    </cfRule>
    <cfRule type="expression" priority="742" dxfId="0">
      <formula>AND(IF($Q38=3,1,IF($Q38=4,1,0)),IF($F38&lt;=85,1,0))</formula>
    </cfRule>
  </conditionalFormatting>
  <conditionalFormatting sqref="AV39">
    <cfRule type="expression" priority="737" dxfId="17">
      <formula>AV39="X"</formula>
    </cfRule>
    <cfRule type="expression" priority="738" dxfId="16">
      <formula>AV39="후보"</formula>
    </cfRule>
  </conditionalFormatting>
  <conditionalFormatting sqref="AC39">
    <cfRule type="cellIs" priority="734" operator="greaterThan" dxfId="13">
      <formula>0.9</formula>
    </cfRule>
    <cfRule type="cellIs" priority="735" operator="greaterThan" dxfId="12">
      <formula>0.85</formula>
    </cfRule>
  </conditionalFormatting>
  <conditionalFormatting sqref="N39">
    <cfRule type="cellIs" priority="732" operator="greaterThan" dxfId="13">
      <formula>0.9</formula>
    </cfRule>
    <cfRule type="cellIs" priority="733" operator="greaterThan" dxfId="12">
      <formula>0.85</formula>
    </cfRule>
  </conditionalFormatting>
  <conditionalFormatting sqref="E39">
    <cfRule type="expression" priority="728" dxfId="3">
      <formula>AND(IF(OR($Q39=1,$Q39=2),1,0),IF($X39&lt;=20,1,0))</formula>
    </cfRule>
    <cfRule type="expression" priority="729" dxfId="2">
      <formula>AND(IF($Q39=2,1,0),IF($X39&lt;30,1,0))</formula>
    </cfRule>
    <cfRule type="expression" priority="730" dxfId="1">
      <formula>AND(IF($Q39=3,1,0),IF($X39&lt;30,1,0))</formula>
    </cfRule>
    <cfRule type="expression" priority="731" dxfId="0">
      <formula>AND(IF($Q39=3,1,IF($Q39=4,1,0)),IF($F39&lt;=85,1,0))</formula>
    </cfRule>
  </conditionalFormatting>
  <conditionalFormatting sqref="X39">
    <cfRule type="expression" priority="724" dxfId="3">
      <formula>AND(IF(OR($Q39=1,$Q39=2),1,0),IF($X39&lt;=20,1,0))</formula>
    </cfRule>
    <cfRule type="expression" priority="725" dxfId="2">
      <formula>AND(IF($Q39=2,1,0),IF($X39&lt;30,1,0))</formula>
    </cfRule>
    <cfRule type="expression" priority="726" dxfId="1">
      <formula>AND(IF($Q39=3,1,0),IF($X39&lt;30,1,0))</formula>
    </cfRule>
    <cfRule type="expression" priority="727" dxfId="0">
      <formula>AND(IF($Q39=3,1,IF($Q39=4,1,0)),IF($F39&lt;=85,1,0))</formula>
    </cfRule>
  </conditionalFormatting>
  <conditionalFormatting sqref="AI39">
    <cfRule type="expression" priority="720" dxfId="3">
      <formula>AND(IF(OR($Q39=1,$Q39=2),1,0),IF($X39&lt;=20,1,0))</formula>
    </cfRule>
    <cfRule type="expression" priority="721" dxfId="2">
      <formula>AND(IF($Q39=2,1,0),IF($X39&lt;30,1,0))</formula>
    </cfRule>
    <cfRule type="expression" priority="722" dxfId="1">
      <formula>AND(IF($Q39=3,1,0),IF($X39&lt;30,1,0))</formula>
    </cfRule>
    <cfRule type="expression" priority="723" dxfId="0">
      <formula>AND(IF($Q39=3,1,IF($Q39=4,1,0)),IF($F39&lt;=85,1,0))</formula>
    </cfRule>
  </conditionalFormatting>
  <conditionalFormatting sqref="AV40">
    <cfRule type="expression" priority="718" dxfId="17">
      <formula>AV40="X"</formula>
    </cfRule>
    <cfRule type="expression" priority="719" dxfId="16">
      <formula>AV40="후보"</formula>
    </cfRule>
  </conditionalFormatting>
  <conditionalFormatting sqref="AC40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N40">
    <cfRule type="cellIs" priority="713" operator="greaterThan" dxfId="13">
      <formula>0.9</formula>
    </cfRule>
    <cfRule type="cellIs" priority="714" operator="greaterThan" dxfId="12">
      <formula>0.85</formula>
    </cfRule>
  </conditionalFormatting>
  <conditionalFormatting sqref="E40">
    <cfRule type="expression" priority="709" dxfId="3">
      <formula>AND(IF(OR($Q40=1,$Q40=2),1,0),IF($X40&lt;=20,1,0))</formula>
    </cfRule>
    <cfRule type="expression" priority="710" dxfId="2">
      <formula>AND(IF($Q40=2,1,0),IF($X40&lt;30,1,0))</formula>
    </cfRule>
    <cfRule type="expression" priority="711" dxfId="1">
      <formula>AND(IF($Q40=3,1,0),IF($X40&lt;30,1,0))</formula>
    </cfRule>
    <cfRule type="expression" priority="712" dxfId="0">
      <formula>AND(IF($Q40=3,1,IF($Q40=4,1,0)),IF($F40&lt;=85,1,0))</formula>
    </cfRule>
  </conditionalFormatting>
  <conditionalFormatting sqref="X40">
    <cfRule type="expression" priority="705" dxfId="3">
      <formula>AND(IF(OR($Q40=1,$Q40=2),1,0),IF($X40&lt;=20,1,0))</formula>
    </cfRule>
    <cfRule type="expression" priority="706" dxfId="2">
      <formula>AND(IF($Q40=2,1,0),IF($X40&lt;30,1,0))</formula>
    </cfRule>
    <cfRule type="expression" priority="707" dxfId="1">
      <formula>AND(IF($Q40=3,1,0),IF($X40&lt;30,1,0))</formula>
    </cfRule>
    <cfRule type="expression" priority="708" dxfId="0">
      <formula>AND(IF($Q40=3,1,IF($Q40=4,1,0)),IF($F40&lt;=85,1,0))</formula>
    </cfRule>
  </conditionalFormatting>
  <conditionalFormatting sqref="AI40">
    <cfRule type="expression" priority="701" dxfId="3">
      <formula>AND(IF(OR($Q40=1,$Q40=2),1,0),IF($X40&lt;=20,1,0))</formula>
    </cfRule>
    <cfRule type="expression" priority="702" dxfId="2">
      <formula>AND(IF($Q40=2,1,0),IF($X40&lt;30,1,0))</formula>
    </cfRule>
    <cfRule type="expression" priority="703" dxfId="1">
      <formula>AND(IF($Q40=3,1,0),IF($X40&lt;30,1,0))</formula>
    </cfRule>
    <cfRule type="expression" priority="704" dxfId="0">
      <formula>AND(IF($Q40=3,1,IF($Q40=4,1,0)),IF($F40&lt;=85,1,0))</formula>
    </cfRule>
  </conditionalFormatting>
  <conditionalFormatting sqref="AV41">
    <cfRule type="expression" priority="699" dxfId="17">
      <formula>AV41="X"</formula>
    </cfRule>
    <cfRule type="expression" priority="700" dxfId="16">
      <formula>AV41="후보"</formula>
    </cfRule>
  </conditionalFormatting>
  <conditionalFormatting sqref="AC41">
    <cfRule type="cellIs" priority="696" operator="greaterThan" dxfId="13">
      <formula>0.9</formula>
    </cfRule>
    <cfRule type="cellIs" priority="697" operator="greaterThan" dxfId="12">
      <formula>0.85</formula>
    </cfRule>
  </conditionalFormatting>
  <conditionalFormatting sqref="N41">
    <cfRule type="cellIs" priority="694" operator="greaterThan" dxfId="13">
      <formula>0.9</formula>
    </cfRule>
    <cfRule type="cellIs" priority="695" operator="greaterThan" dxfId="12">
      <formula>0.85</formula>
    </cfRule>
  </conditionalFormatting>
  <conditionalFormatting sqref="E41">
    <cfRule type="expression" priority="690" dxfId="3">
      <formula>AND(IF(OR($Q41=1,$Q41=2),1,0),IF($X41&lt;=20,1,0))</formula>
    </cfRule>
    <cfRule type="expression" priority="691" dxfId="2">
      <formula>AND(IF($Q41=2,1,0),IF($X41&lt;30,1,0))</formula>
    </cfRule>
    <cfRule type="expression" priority="692" dxfId="1">
      <formula>AND(IF($Q41=3,1,0),IF($X41&lt;30,1,0))</formula>
    </cfRule>
    <cfRule type="expression" priority="693" dxfId="0">
      <formula>AND(IF($Q41=3,1,IF($Q41=4,1,0)),IF($F41&lt;=85,1,0))</formula>
    </cfRule>
  </conditionalFormatting>
  <conditionalFormatting sqref="X41">
    <cfRule type="expression" priority="686" dxfId="3">
      <formula>AND(IF(OR($Q41=1,$Q41=2),1,0),IF($X41&lt;=20,1,0))</formula>
    </cfRule>
    <cfRule type="expression" priority="687" dxfId="2">
      <formula>AND(IF($Q41=2,1,0),IF($X41&lt;30,1,0))</formula>
    </cfRule>
    <cfRule type="expression" priority="688" dxfId="1">
      <formula>AND(IF($Q41=3,1,0),IF($X41&lt;30,1,0))</formula>
    </cfRule>
    <cfRule type="expression" priority="689" dxfId="0">
      <formula>AND(IF($Q41=3,1,IF($Q41=4,1,0)),IF($F41&lt;=85,1,0))</formula>
    </cfRule>
  </conditionalFormatting>
  <conditionalFormatting sqref="AI41">
    <cfRule type="expression" priority="682" dxfId="3">
      <formula>AND(IF(OR($Q41=1,$Q41=2),1,0),IF($X41&lt;=20,1,0))</formula>
    </cfRule>
    <cfRule type="expression" priority="683" dxfId="2">
      <formula>AND(IF($Q41=2,1,0),IF($X41&lt;30,1,0))</formula>
    </cfRule>
    <cfRule type="expression" priority="684" dxfId="1">
      <formula>AND(IF($Q41=3,1,0),IF($X41&lt;30,1,0))</formula>
    </cfRule>
    <cfRule type="expression" priority="685" dxfId="0">
      <formula>AND(IF($Q41=3,1,IF($Q41=4,1,0)),IF($F41&lt;=85,1,0))</formula>
    </cfRule>
  </conditionalFormatting>
  <conditionalFormatting sqref="AV42">
    <cfRule type="expression" priority="680" dxfId="17">
      <formula>AV42="X"</formula>
    </cfRule>
    <cfRule type="expression" priority="681" dxfId="16">
      <formula>AV42="후보"</formula>
    </cfRule>
  </conditionalFormatting>
  <conditionalFormatting sqref="AC42">
    <cfRule type="cellIs" priority="677" operator="greaterThan" dxfId="13">
      <formula>0.9</formula>
    </cfRule>
    <cfRule type="cellIs" priority="678" operator="greaterThan" dxfId="12">
      <formula>0.85</formula>
    </cfRule>
  </conditionalFormatting>
  <conditionalFormatting sqref="N42">
    <cfRule type="cellIs" priority="675" operator="greaterThan" dxfId="13">
      <formula>0.9</formula>
    </cfRule>
    <cfRule type="cellIs" priority="676" operator="greaterThan" dxfId="12">
      <formula>0.85</formula>
    </cfRule>
  </conditionalFormatting>
  <conditionalFormatting sqref="E42">
    <cfRule type="expression" priority="671" dxfId="3">
      <formula>AND(IF(OR($Q42=1,$Q42=2),1,0),IF($X42&lt;=20,1,0))</formula>
    </cfRule>
    <cfRule type="expression" priority="672" dxfId="2">
      <formula>AND(IF($Q42=2,1,0),IF($X42&lt;30,1,0))</formula>
    </cfRule>
    <cfRule type="expression" priority="673" dxfId="1">
      <formula>AND(IF($Q42=3,1,0),IF($X42&lt;30,1,0))</formula>
    </cfRule>
    <cfRule type="expression" priority="674" dxfId="0">
      <formula>AND(IF($Q42=3,1,IF($Q42=4,1,0)),IF($F42&lt;=85,1,0))</formula>
    </cfRule>
  </conditionalFormatting>
  <conditionalFormatting sqref="X42">
    <cfRule type="expression" priority="667" dxfId="3">
      <formula>AND(IF(OR($Q42=1,$Q42=2),1,0),IF($X42&lt;=20,1,0))</formula>
    </cfRule>
    <cfRule type="expression" priority="668" dxfId="2">
      <formula>AND(IF($Q42=2,1,0),IF($X42&lt;30,1,0))</formula>
    </cfRule>
    <cfRule type="expression" priority="669" dxfId="1">
      <formula>AND(IF($Q42=3,1,0),IF($X42&lt;30,1,0))</formula>
    </cfRule>
    <cfRule type="expression" priority="670" dxfId="0">
      <formula>AND(IF($Q42=3,1,IF($Q42=4,1,0)),IF($F42&lt;=85,1,0))</formula>
    </cfRule>
  </conditionalFormatting>
  <conditionalFormatting sqref="AI42">
    <cfRule type="expression" priority="663" dxfId="3">
      <formula>AND(IF(OR($Q42=1,$Q42=2),1,0),IF($X42&lt;=20,1,0))</formula>
    </cfRule>
    <cfRule type="expression" priority="664" dxfId="2">
      <formula>AND(IF($Q42=2,1,0),IF($X42&lt;30,1,0))</formula>
    </cfRule>
    <cfRule type="expression" priority="665" dxfId="1">
      <formula>AND(IF($Q42=3,1,0),IF($X42&lt;30,1,0))</formula>
    </cfRule>
    <cfRule type="expression" priority="666" dxfId="0">
      <formula>AND(IF($Q42=3,1,IF($Q42=4,1,0)),IF($F42&lt;=85,1,0))</formula>
    </cfRule>
  </conditionalFormatting>
  <conditionalFormatting sqref="AV43">
    <cfRule type="expression" priority="661" dxfId="17">
      <formula>AV43="X"</formula>
    </cfRule>
    <cfRule type="expression" priority="662" dxfId="16">
      <formula>AV43="후보"</formula>
    </cfRule>
  </conditionalFormatting>
  <conditionalFormatting sqref="AC43">
    <cfRule type="cellIs" priority="658" operator="greaterThan" dxfId="13">
      <formula>0.9</formula>
    </cfRule>
    <cfRule type="cellIs" priority="659" operator="greaterThan" dxfId="12">
      <formula>0.85</formula>
    </cfRule>
  </conditionalFormatting>
  <conditionalFormatting sqref="N43">
    <cfRule type="cellIs" priority="656" operator="greaterThan" dxfId="13">
      <formula>0.9</formula>
    </cfRule>
    <cfRule type="cellIs" priority="657" operator="greaterThan" dxfId="12">
      <formula>0.85</formula>
    </cfRule>
  </conditionalFormatting>
  <conditionalFormatting sqref="E43">
    <cfRule type="expression" priority="652" dxfId="3">
      <formula>AND(IF(OR($Q43=1,$Q43=2),1,0),IF($X43&lt;=20,1,0))</formula>
    </cfRule>
    <cfRule type="expression" priority="653" dxfId="2">
      <formula>AND(IF($Q43=2,1,0),IF($X43&lt;30,1,0))</formula>
    </cfRule>
    <cfRule type="expression" priority="654" dxfId="1">
      <formula>AND(IF($Q43=3,1,0),IF($X43&lt;30,1,0))</formula>
    </cfRule>
    <cfRule type="expression" priority="655" dxfId="0">
      <formula>AND(IF($Q43=3,1,IF($Q43=4,1,0)),IF($F43&lt;=85,1,0))</formula>
    </cfRule>
  </conditionalFormatting>
  <conditionalFormatting sqref="X43">
    <cfRule type="expression" priority="648" dxfId="3">
      <formula>AND(IF(OR($Q43=1,$Q43=2),1,0),IF($X43&lt;=20,1,0))</formula>
    </cfRule>
    <cfRule type="expression" priority="649" dxfId="2">
      <formula>AND(IF($Q43=2,1,0),IF($X43&lt;30,1,0))</formula>
    </cfRule>
    <cfRule type="expression" priority="650" dxfId="1">
      <formula>AND(IF($Q43=3,1,0),IF($X43&lt;30,1,0))</formula>
    </cfRule>
    <cfRule type="expression" priority="651" dxfId="0">
      <formula>AND(IF($Q43=3,1,IF($Q43=4,1,0)),IF($F43&lt;=85,1,0))</formula>
    </cfRule>
  </conditionalFormatting>
  <conditionalFormatting sqref="AI43">
    <cfRule type="expression" priority="644" dxfId="3">
      <formula>AND(IF(OR($Q43=1,$Q43=2),1,0),IF($X43&lt;=20,1,0))</formula>
    </cfRule>
    <cfRule type="expression" priority="645" dxfId="2">
      <formula>AND(IF($Q43=2,1,0),IF($X43&lt;30,1,0))</formula>
    </cfRule>
    <cfRule type="expression" priority="646" dxfId="1">
      <formula>AND(IF($Q43=3,1,0),IF($X43&lt;30,1,0))</formula>
    </cfRule>
    <cfRule type="expression" priority="647" dxfId="0">
      <formula>AND(IF($Q43=3,1,IF($Q43=4,1,0)),IF($F43&lt;=85,1,0))</formula>
    </cfRule>
  </conditionalFormatting>
  <conditionalFormatting sqref="AV44">
    <cfRule type="expression" priority="642" dxfId="17">
      <formula>AV44="X"</formula>
    </cfRule>
    <cfRule type="expression" priority="643" dxfId="16">
      <formula>AV44="후보"</formula>
    </cfRule>
  </conditionalFormatting>
  <conditionalFormatting sqref="AC44">
    <cfRule type="cellIs" priority="639" operator="greaterThan" dxfId="13">
      <formula>0.9</formula>
    </cfRule>
    <cfRule type="cellIs" priority="640" operator="greaterThan" dxfId="12">
      <formula>0.85</formula>
    </cfRule>
  </conditionalFormatting>
  <conditionalFormatting sqref="N44">
    <cfRule type="cellIs" priority="637" operator="greaterThan" dxfId="13">
      <formula>0.9</formula>
    </cfRule>
    <cfRule type="cellIs" priority="638" operator="greaterThan" dxfId="12">
      <formula>0.85</formula>
    </cfRule>
  </conditionalFormatting>
  <conditionalFormatting sqref="E44">
    <cfRule type="expression" priority="633" dxfId="3">
      <formula>AND(IF(OR($Q44=1,$Q44=2),1,0),IF($X44&lt;=20,1,0))</formula>
    </cfRule>
    <cfRule type="expression" priority="634" dxfId="2">
      <formula>AND(IF($Q44=2,1,0),IF($X44&lt;30,1,0))</formula>
    </cfRule>
    <cfRule type="expression" priority="635" dxfId="1">
      <formula>AND(IF($Q44=3,1,0),IF($X44&lt;30,1,0))</formula>
    </cfRule>
    <cfRule type="expression" priority="636" dxfId="0">
      <formula>AND(IF($Q44=3,1,IF($Q44=4,1,0)),IF($F44&lt;=85,1,0))</formula>
    </cfRule>
  </conditionalFormatting>
  <conditionalFormatting sqref="X44">
    <cfRule type="expression" priority="629" dxfId="3">
      <formula>AND(IF(OR($Q44=1,$Q44=2),1,0),IF($X44&lt;=20,1,0))</formula>
    </cfRule>
    <cfRule type="expression" priority="630" dxfId="2">
      <formula>AND(IF($Q44=2,1,0),IF($X44&lt;30,1,0))</formula>
    </cfRule>
    <cfRule type="expression" priority="631" dxfId="1">
      <formula>AND(IF($Q44=3,1,0),IF($X44&lt;30,1,0))</formula>
    </cfRule>
    <cfRule type="expression" priority="632" dxfId="0">
      <formula>AND(IF($Q44=3,1,IF($Q44=4,1,0)),IF($F44&lt;=85,1,0))</formula>
    </cfRule>
  </conditionalFormatting>
  <conditionalFormatting sqref="AI44">
    <cfRule type="expression" priority="625" dxfId="3">
      <formula>AND(IF(OR($Q44=1,$Q44=2),1,0),IF($X44&lt;=20,1,0))</formula>
    </cfRule>
    <cfRule type="expression" priority="626" dxfId="2">
      <formula>AND(IF($Q44=2,1,0),IF($X44&lt;30,1,0))</formula>
    </cfRule>
    <cfRule type="expression" priority="627" dxfId="1">
      <formula>AND(IF($Q44=3,1,0),IF($X44&lt;30,1,0))</formula>
    </cfRule>
    <cfRule type="expression" priority="628" dxfId="0">
      <formula>AND(IF($Q44=3,1,IF($Q44=4,1,0)),IF($F44&lt;=85,1,0))</formula>
    </cfRule>
  </conditionalFormatting>
  <conditionalFormatting sqref="AV45">
    <cfRule type="expression" priority="623" dxfId="17">
      <formula>AV45="X"</formula>
    </cfRule>
    <cfRule type="expression" priority="624" dxfId="16">
      <formula>AV45="후보"</formula>
    </cfRule>
  </conditionalFormatting>
  <conditionalFormatting sqref="AC45">
    <cfRule type="cellIs" priority="620" operator="greaterThan" dxfId="13">
      <formula>0.9</formula>
    </cfRule>
    <cfRule type="cellIs" priority="621" operator="greaterThan" dxfId="12">
      <formula>0.85</formula>
    </cfRule>
  </conditionalFormatting>
  <conditionalFormatting sqref="N45">
    <cfRule type="cellIs" priority="618" operator="greaterThan" dxfId="13">
      <formula>0.9</formula>
    </cfRule>
    <cfRule type="cellIs" priority="619" operator="greaterThan" dxfId="12">
      <formula>0.85</formula>
    </cfRule>
  </conditionalFormatting>
  <conditionalFormatting sqref="E45">
    <cfRule type="expression" priority="614" dxfId="3">
      <formula>AND(IF(OR($Q45=1,$Q45=2),1,0),IF($X45&lt;=20,1,0))</formula>
    </cfRule>
    <cfRule type="expression" priority="615" dxfId="2">
      <formula>AND(IF($Q45=2,1,0),IF($X45&lt;30,1,0))</formula>
    </cfRule>
    <cfRule type="expression" priority="616" dxfId="1">
      <formula>AND(IF($Q45=3,1,0),IF($X45&lt;30,1,0))</formula>
    </cfRule>
    <cfRule type="expression" priority="617" dxfId="0">
      <formula>AND(IF($Q45=3,1,IF($Q45=4,1,0)),IF($F45&lt;=85,1,0))</formula>
    </cfRule>
  </conditionalFormatting>
  <conditionalFormatting sqref="X45">
    <cfRule type="expression" priority="610" dxfId="3">
      <formula>AND(IF(OR($Q45=1,$Q45=2),1,0),IF($X45&lt;=20,1,0))</formula>
    </cfRule>
    <cfRule type="expression" priority="611" dxfId="2">
      <formula>AND(IF($Q45=2,1,0),IF($X45&lt;30,1,0))</formula>
    </cfRule>
    <cfRule type="expression" priority="612" dxfId="1">
      <formula>AND(IF($Q45=3,1,0),IF($X45&lt;30,1,0))</formula>
    </cfRule>
    <cfRule type="expression" priority="613" dxfId="0">
      <formula>AND(IF($Q45=3,1,IF($Q45=4,1,0)),IF($F45&lt;=85,1,0))</formula>
    </cfRule>
  </conditionalFormatting>
  <conditionalFormatting sqref="AI45">
    <cfRule type="expression" priority="606" dxfId="3">
      <formula>AND(IF(OR($Q45=1,$Q45=2),1,0),IF($X45&lt;=20,1,0))</formula>
    </cfRule>
    <cfRule type="expression" priority="607" dxfId="2">
      <formula>AND(IF($Q45=2,1,0),IF($X45&lt;30,1,0))</formula>
    </cfRule>
    <cfRule type="expression" priority="608" dxfId="1">
      <formula>AND(IF($Q45=3,1,0),IF($X45&lt;30,1,0))</formula>
    </cfRule>
    <cfRule type="expression" priority="609" dxfId="0">
      <formula>AND(IF($Q45=3,1,IF($Q45=4,1,0)),IF($F45&lt;=85,1,0))</formula>
    </cfRule>
  </conditionalFormatting>
  <conditionalFormatting sqref="AV46">
    <cfRule type="expression" priority="604" dxfId="17">
      <formula>AV46="X"</formula>
    </cfRule>
    <cfRule type="expression" priority="605" dxfId="16">
      <formula>AV46="후보"</formula>
    </cfRule>
  </conditionalFormatting>
  <conditionalFormatting sqref="AC46 N46">
    <cfRule type="cellIs" priority="601" operator="greaterThan" dxfId="13">
      <formula>0.9</formula>
    </cfRule>
    <cfRule type="cellIs" priority="602" operator="greaterThan" dxfId="12">
      <formula>0.85</formula>
    </cfRule>
  </conditionalFormatting>
  <conditionalFormatting sqref="AV47">
    <cfRule type="expression" priority="599" dxfId="17">
      <formula>AV47="X"</formula>
    </cfRule>
    <cfRule type="expression" priority="600" dxfId="16">
      <formula>AV47="후보"</formula>
    </cfRule>
  </conditionalFormatting>
  <conditionalFormatting sqref="AC47">
    <cfRule type="cellIs" priority="596" operator="greaterThan" dxfId="13">
      <formula>0.9</formula>
    </cfRule>
    <cfRule type="cellIs" priority="597" operator="greaterThan" dxfId="12">
      <formula>0.85</formula>
    </cfRule>
  </conditionalFormatting>
  <conditionalFormatting sqref="N47">
    <cfRule type="cellIs" priority="594" operator="greaterThan" dxfId="13">
      <formula>0.9</formula>
    </cfRule>
    <cfRule type="cellIs" priority="595" operator="greaterThan" dxfId="12">
      <formula>0.85</formula>
    </cfRule>
  </conditionalFormatting>
  <conditionalFormatting sqref="E47">
    <cfRule type="expression" priority="590" dxfId="3">
      <formula>AND(IF(OR($Q47=1,$Q47=2),1,0),IF($X47&lt;=20,1,0))</formula>
    </cfRule>
    <cfRule type="expression" priority="591" dxfId="2">
      <formula>AND(IF($Q47=2,1,0),IF($X47&lt;30,1,0))</formula>
    </cfRule>
    <cfRule type="expression" priority="592" dxfId="1">
      <formula>AND(IF($Q47=3,1,0),IF($X47&lt;30,1,0))</formula>
    </cfRule>
    <cfRule type="expression" priority="593" dxfId="0">
      <formula>AND(IF($Q47=3,1,IF($Q47=4,1,0)),IF($F47&lt;=85,1,0))</formula>
    </cfRule>
  </conditionalFormatting>
  <conditionalFormatting sqref="X47">
    <cfRule type="expression" priority="586" dxfId="3">
      <formula>AND(IF(OR($Q47=1,$Q47=2),1,0),IF($X47&lt;=20,1,0))</formula>
    </cfRule>
    <cfRule type="expression" priority="587" dxfId="2">
      <formula>AND(IF($Q47=2,1,0),IF($X47&lt;30,1,0))</formula>
    </cfRule>
    <cfRule type="expression" priority="588" dxfId="1">
      <formula>AND(IF($Q47=3,1,0),IF($X47&lt;30,1,0))</formula>
    </cfRule>
    <cfRule type="expression" priority="589" dxfId="0">
      <formula>AND(IF($Q47=3,1,IF($Q47=4,1,0)),IF($F47&lt;=85,1,0))</formula>
    </cfRule>
  </conditionalFormatting>
  <conditionalFormatting sqref="AI47">
    <cfRule type="expression" priority="582" dxfId="3">
      <formula>AND(IF(OR($Q47=1,$Q47=2),1,0),IF($X47&lt;=20,1,0))</formula>
    </cfRule>
    <cfRule type="expression" priority="583" dxfId="2">
      <formula>AND(IF($Q47=2,1,0),IF($X47&lt;30,1,0))</formula>
    </cfRule>
    <cfRule type="expression" priority="584" dxfId="1">
      <formula>AND(IF($Q47=3,1,0),IF($X47&lt;30,1,0))</formula>
    </cfRule>
    <cfRule type="expression" priority="585" dxfId="0">
      <formula>AND(IF($Q47=3,1,IF($Q47=4,1,0)),IF($F47&lt;=85,1,0))</formula>
    </cfRule>
  </conditionalFormatting>
  <conditionalFormatting sqref="AV48">
    <cfRule type="expression" priority="580" dxfId="17">
      <formula>AV48="X"</formula>
    </cfRule>
    <cfRule type="expression" priority="581" dxfId="16">
      <formula>AV48="후보"</formula>
    </cfRule>
  </conditionalFormatting>
  <conditionalFormatting sqref="AC48">
    <cfRule type="cellIs" priority="577" operator="greaterThan" dxfId="13">
      <formula>0.9</formula>
    </cfRule>
    <cfRule type="cellIs" priority="578" operator="greaterThan" dxfId="12">
      <formula>0.85</formula>
    </cfRule>
  </conditionalFormatting>
  <conditionalFormatting sqref="N48">
    <cfRule type="cellIs" priority="575" operator="greaterThan" dxfId="13">
      <formula>0.9</formula>
    </cfRule>
    <cfRule type="cellIs" priority="576" operator="greaterThan" dxfId="12">
      <formula>0.85</formula>
    </cfRule>
  </conditionalFormatting>
  <conditionalFormatting sqref="E48">
    <cfRule type="expression" priority="571" dxfId="3">
      <formula>AND(IF(OR($Q48=1,$Q48=2),1,0),IF($X48&lt;=20,1,0))</formula>
    </cfRule>
    <cfRule type="expression" priority="572" dxfId="2">
      <formula>AND(IF($Q48=2,1,0),IF($X48&lt;30,1,0))</formula>
    </cfRule>
    <cfRule type="expression" priority="573" dxfId="1">
      <formula>AND(IF($Q48=3,1,0),IF($X48&lt;30,1,0))</formula>
    </cfRule>
    <cfRule type="expression" priority="574" dxfId="0">
      <formula>AND(IF($Q48=3,1,IF($Q48=4,1,0)),IF($F48&lt;=85,1,0))</formula>
    </cfRule>
  </conditionalFormatting>
  <conditionalFormatting sqref="X48">
    <cfRule type="expression" priority="567" dxfId="3">
      <formula>AND(IF(OR($Q48=1,$Q48=2),1,0),IF($X48&lt;=20,1,0))</formula>
    </cfRule>
    <cfRule type="expression" priority="568" dxfId="2">
      <formula>AND(IF($Q48=2,1,0),IF($X48&lt;30,1,0))</formula>
    </cfRule>
    <cfRule type="expression" priority="569" dxfId="1">
      <formula>AND(IF($Q48=3,1,0),IF($X48&lt;30,1,0))</formula>
    </cfRule>
    <cfRule type="expression" priority="570" dxfId="0">
      <formula>AND(IF($Q48=3,1,IF($Q48=4,1,0)),IF($F48&lt;=85,1,0))</formula>
    </cfRule>
  </conditionalFormatting>
  <conditionalFormatting sqref="AI48">
    <cfRule type="expression" priority="563" dxfId="3">
      <formula>AND(IF(OR($Q48=1,$Q48=2),1,0),IF($X48&lt;=20,1,0))</formula>
    </cfRule>
    <cfRule type="expression" priority="564" dxfId="2">
      <formula>AND(IF($Q48=2,1,0),IF($X48&lt;30,1,0))</formula>
    </cfRule>
    <cfRule type="expression" priority="565" dxfId="1">
      <formula>AND(IF($Q48=3,1,0),IF($X48&lt;30,1,0))</formula>
    </cfRule>
    <cfRule type="expression" priority="566" dxfId="0">
      <formula>AND(IF($Q48=3,1,IF($Q48=4,1,0)),IF($F48&lt;=85,1,0))</formula>
    </cfRule>
  </conditionalFormatting>
  <conditionalFormatting sqref="AV49">
    <cfRule type="expression" priority="561" dxfId="17">
      <formula>AV49="X"</formula>
    </cfRule>
    <cfRule type="expression" priority="562" dxfId="16">
      <formula>AV49="후보"</formula>
    </cfRule>
  </conditionalFormatting>
  <conditionalFormatting sqref="AC49">
    <cfRule type="cellIs" priority="558" operator="greaterThan" dxfId="13">
      <formula>0.9</formula>
    </cfRule>
    <cfRule type="cellIs" priority="559" operator="greaterThan" dxfId="12">
      <formula>0.85</formula>
    </cfRule>
  </conditionalFormatting>
  <conditionalFormatting sqref="N49">
    <cfRule type="cellIs" priority="556" operator="greaterThan" dxfId="13">
      <formula>0.9</formula>
    </cfRule>
    <cfRule type="cellIs" priority="557" operator="greaterThan" dxfId="12">
      <formula>0.85</formula>
    </cfRule>
  </conditionalFormatting>
  <conditionalFormatting sqref="E49">
    <cfRule type="expression" priority="552" dxfId="3">
      <formula>AND(IF(OR($Q49=1,$Q49=2),1,0),IF($X49&lt;=20,1,0))</formula>
    </cfRule>
    <cfRule type="expression" priority="553" dxfId="2">
      <formula>AND(IF($Q49=2,1,0),IF($X49&lt;30,1,0))</formula>
    </cfRule>
    <cfRule type="expression" priority="554" dxfId="1">
      <formula>AND(IF($Q49=3,1,0),IF($X49&lt;30,1,0))</formula>
    </cfRule>
    <cfRule type="expression" priority="555" dxfId="0">
      <formula>AND(IF($Q49=3,1,IF($Q49=4,1,0)),IF($F49&lt;=85,1,0))</formula>
    </cfRule>
  </conditionalFormatting>
  <conditionalFormatting sqref="X49">
    <cfRule type="expression" priority="548" dxfId="3">
      <formula>AND(IF(OR($Q49=1,$Q49=2),1,0),IF($X49&lt;=20,1,0))</formula>
    </cfRule>
    <cfRule type="expression" priority="549" dxfId="2">
      <formula>AND(IF($Q49=2,1,0),IF($X49&lt;30,1,0))</formula>
    </cfRule>
    <cfRule type="expression" priority="550" dxfId="1">
      <formula>AND(IF($Q49=3,1,0),IF($X49&lt;30,1,0))</formula>
    </cfRule>
    <cfRule type="expression" priority="551" dxfId="0">
      <formula>AND(IF($Q49=3,1,IF($Q49=4,1,0)),IF($F49&lt;=85,1,0))</formula>
    </cfRule>
  </conditionalFormatting>
  <conditionalFormatting sqref="AI49">
    <cfRule type="expression" priority="544" dxfId="3">
      <formula>AND(IF(OR($Q49=1,$Q49=2),1,0),IF($X49&lt;=20,1,0))</formula>
    </cfRule>
    <cfRule type="expression" priority="545" dxfId="2">
      <formula>AND(IF($Q49=2,1,0),IF($X49&lt;30,1,0))</formula>
    </cfRule>
    <cfRule type="expression" priority="546" dxfId="1">
      <formula>AND(IF($Q49=3,1,0),IF($X49&lt;30,1,0))</formula>
    </cfRule>
    <cfRule type="expression" priority="547" dxfId="0">
      <formula>AND(IF($Q49=3,1,IF($Q49=4,1,0)),IF($F49&lt;=85,1,0))</formula>
    </cfRule>
  </conditionalFormatting>
  <conditionalFormatting sqref="AV50">
    <cfRule type="expression" priority="542" dxfId="17">
      <formula>AV50="X"</formula>
    </cfRule>
    <cfRule type="expression" priority="543" dxfId="16">
      <formula>AV50="후보"</formula>
    </cfRule>
  </conditionalFormatting>
  <conditionalFormatting sqref="AC50">
    <cfRule type="cellIs" priority="539" operator="greaterThan" dxfId="13">
      <formula>0.9</formula>
    </cfRule>
    <cfRule type="cellIs" priority="540" operator="greaterThan" dxfId="12">
      <formula>0.85</formula>
    </cfRule>
  </conditionalFormatting>
  <conditionalFormatting sqref="N50">
    <cfRule type="cellIs" priority="537" operator="greaterThan" dxfId="13">
      <formula>0.9</formula>
    </cfRule>
    <cfRule type="cellIs" priority="538" operator="greaterThan" dxfId="12">
      <formula>0.85</formula>
    </cfRule>
  </conditionalFormatting>
  <conditionalFormatting sqref="E50">
    <cfRule type="expression" priority="533" dxfId="3">
      <formula>AND(IF(OR($Q50=1,$Q50=2),1,0),IF($X50&lt;=20,1,0))</formula>
    </cfRule>
    <cfRule type="expression" priority="534" dxfId="2">
      <formula>AND(IF($Q50=2,1,0),IF($X50&lt;30,1,0))</formula>
    </cfRule>
    <cfRule type="expression" priority="535" dxfId="1">
      <formula>AND(IF($Q50=3,1,0),IF($X50&lt;30,1,0))</formula>
    </cfRule>
    <cfRule type="expression" priority="536" dxfId="0">
      <formula>AND(IF($Q50=3,1,IF($Q50=4,1,0)),IF($F50&lt;=85,1,0))</formula>
    </cfRule>
  </conditionalFormatting>
  <conditionalFormatting sqref="X50">
    <cfRule type="expression" priority="529" dxfId="3">
      <formula>AND(IF(OR($Q50=1,$Q50=2),1,0),IF($X50&lt;=20,1,0))</formula>
    </cfRule>
    <cfRule type="expression" priority="530" dxfId="2">
      <formula>AND(IF($Q50=2,1,0),IF($X50&lt;30,1,0))</formula>
    </cfRule>
    <cfRule type="expression" priority="531" dxfId="1">
      <formula>AND(IF($Q50=3,1,0),IF($X50&lt;30,1,0))</formula>
    </cfRule>
    <cfRule type="expression" priority="532" dxfId="0">
      <formula>AND(IF($Q50=3,1,IF($Q50=4,1,0)),IF($F50&lt;=85,1,0))</formula>
    </cfRule>
  </conditionalFormatting>
  <conditionalFormatting sqref="AI50">
    <cfRule type="expression" priority="525" dxfId="3">
      <formula>AND(IF(OR($Q50=1,$Q50=2),1,0),IF($X50&lt;=20,1,0))</formula>
    </cfRule>
    <cfRule type="expression" priority="526" dxfId="2">
      <formula>AND(IF($Q50=2,1,0),IF($X50&lt;30,1,0))</formula>
    </cfRule>
    <cfRule type="expression" priority="527" dxfId="1">
      <formula>AND(IF($Q50=3,1,0),IF($X50&lt;30,1,0))</formula>
    </cfRule>
    <cfRule type="expression" priority="528" dxfId="0">
      <formula>AND(IF($Q50=3,1,IF($Q50=4,1,0)),IF($F50&lt;=85,1,0))</formula>
    </cfRule>
  </conditionalFormatting>
  <conditionalFormatting sqref="AV51">
    <cfRule type="expression" priority="523" dxfId="17">
      <formula>AV51="X"</formula>
    </cfRule>
    <cfRule type="expression" priority="524" dxfId="16">
      <formula>AV51="후보"</formula>
    </cfRule>
  </conditionalFormatting>
  <conditionalFormatting sqref="AC51">
    <cfRule type="cellIs" priority="520" operator="greaterThan" dxfId="13">
      <formula>0.9</formula>
    </cfRule>
    <cfRule type="cellIs" priority="521" operator="greaterThan" dxfId="12">
      <formula>0.85</formula>
    </cfRule>
  </conditionalFormatting>
  <conditionalFormatting sqref="N51">
    <cfRule type="cellIs" priority="518" operator="greaterThan" dxfId="13">
      <formula>0.9</formula>
    </cfRule>
    <cfRule type="cellIs" priority="519" operator="greaterThan" dxfId="12">
      <formula>0.85</formula>
    </cfRule>
  </conditionalFormatting>
  <conditionalFormatting sqref="E51">
    <cfRule type="expression" priority="514" dxfId="3">
      <formula>AND(IF(OR($Q51=1,$Q51=2),1,0),IF($X51&lt;=20,1,0))</formula>
    </cfRule>
    <cfRule type="expression" priority="515" dxfId="2">
      <formula>AND(IF($Q51=2,1,0),IF($X51&lt;30,1,0))</formula>
    </cfRule>
    <cfRule type="expression" priority="516" dxfId="1">
      <formula>AND(IF($Q51=3,1,0),IF($X51&lt;30,1,0))</formula>
    </cfRule>
    <cfRule type="expression" priority="517" dxfId="0">
      <formula>AND(IF($Q51=3,1,IF($Q51=4,1,0)),IF($F51&lt;=85,1,0))</formula>
    </cfRule>
  </conditionalFormatting>
  <conditionalFormatting sqref="X51">
    <cfRule type="expression" priority="510" dxfId="3">
      <formula>AND(IF(OR($Q51=1,$Q51=2),1,0),IF($X51&lt;=20,1,0))</formula>
    </cfRule>
    <cfRule type="expression" priority="511" dxfId="2">
      <formula>AND(IF($Q51=2,1,0),IF($X51&lt;30,1,0))</formula>
    </cfRule>
    <cfRule type="expression" priority="512" dxfId="1">
      <formula>AND(IF($Q51=3,1,0),IF($X51&lt;30,1,0))</formula>
    </cfRule>
    <cfRule type="expression" priority="513" dxfId="0">
      <formula>AND(IF($Q51=3,1,IF($Q51=4,1,0)),IF($F51&lt;=85,1,0))</formula>
    </cfRule>
  </conditionalFormatting>
  <conditionalFormatting sqref="AI51">
    <cfRule type="expression" priority="506" dxfId="3">
      <formula>AND(IF(OR($Q51=1,$Q51=2),1,0),IF($X51&lt;=20,1,0))</formula>
    </cfRule>
    <cfRule type="expression" priority="507" dxfId="2">
      <formula>AND(IF($Q51=2,1,0),IF($X51&lt;30,1,0))</formula>
    </cfRule>
    <cfRule type="expression" priority="508" dxfId="1">
      <formula>AND(IF($Q51=3,1,0),IF($X51&lt;30,1,0))</formula>
    </cfRule>
    <cfRule type="expression" priority="509" dxfId="0">
      <formula>AND(IF($Q51=3,1,IF($Q51=4,1,0)),IF($F51&lt;=85,1,0))</formula>
    </cfRule>
  </conditionalFormatting>
  <conditionalFormatting sqref="AV52">
    <cfRule type="expression" priority="504" dxfId="17">
      <formula>AV52="X"</formula>
    </cfRule>
    <cfRule type="expression" priority="505" dxfId="16">
      <formula>AV52="후보"</formula>
    </cfRule>
  </conditionalFormatting>
  <conditionalFormatting sqref="AC52">
    <cfRule type="cellIs" priority="501" operator="greaterThan" dxfId="13">
      <formula>0.9</formula>
    </cfRule>
    <cfRule type="cellIs" priority="502" operator="greaterThan" dxfId="12">
      <formula>0.85</formula>
    </cfRule>
  </conditionalFormatting>
  <conditionalFormatting sqref="N52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E52">
    <cfRule type="expression" priority="495" dxfId="3">
      <formula>AND(IF(OR($Q52=1,$Q52=2),1,0),IF($X52&lt;=20,1,0))</formula>
    </cfRule>
    <cfRule type="expression" priority="496" dxfId="2">
      <formula>AND(IF($Q52=2,1,0),IF($X52&lt;30,1,0))</formula>
    </cfRule>
    <cfRule type="expression" priority="497" dxfId="1">
      <formula>AND(IF($Q52=3,1,0),IF($X52&lt;30,1,0))</formula>
    </cfRule>
    <cfRule type="expression" priority="498" dxfId="0">
      <formula>AND(IF($Q52=3,1,IF($Q52=4,1,0)),IF($F52&lt;=85,1,0))</formula>
    </cfRule>
  </conditionalFormatting>
  <conditionalFormatting sqref="X52">
    <cfRule type="expression" priority="491" dxfId="3">
      <formula>AND(IF(OR($Q52=1,$Q52=2),1,0),IF($X52&lt;=20,1,0))</formula>
    </cfRule>
    <cfRule type="expression" priority="492" dxfId="2">
      <formula>AND(IF($Q52=2,1,0),IF($X52&lt;30,1,0))</formula>
    </cfRule>
    <cfRule type="expression" priority="493" dxfId="1">
      <formula>AND(IF($Q52=3,1,0),IF($X52&lt;30,1,0))</formula>
    </cfRule>
    <cfRule type="expression" priority="494" dxfId="0">
      <formula>AND(IF($Q52=3,1,IF($Q52=4,1,0)),IF($F52&lt;=85,1,0))</formula>
    </cfRule>
  </conditionalFormatting>
  <conditionalFormatting sqref="AI52">
    <cfRule type="expression" priority="487" dxfId="3">
      <formula>AND(IF(OR($Q52=1,$Q52=2),1,0),IF($X52&lt;=20,1,0))</formula>
    </cfRule>
    <cfRule type="expression" priority="488" dxfId="2">
      <formula>AND(IF($Q52=2,1,0),IF($X52&lt;30,1,0))</formula>
    </cfRule>
    <cfRule type="expression" priority="489" dxfId="1">
      <formula>AND(IF($Q52=3,1,0),IF($X52&lt;30,1,0))</formula>
    </cfRule>
    <cfRule type="expression" priority="490" dxfId="0">
      <formula>AND(IF($Q52=3,1,IF($Q52=4,1,0)),IF($F52&lt;=85,1,0))</formula>
    </cfRule>
  </conditionalFormatting>
  <conditionalFormatting sqref="AV53">
    <cfRule type="expression" priority="485" dxfId="17">
      <formula>AV53="X"</formula>
    </cfRule>
    <cfRule type="expression" priority="486" dxfId="16">
      <formula>AV53="후보"</formula>
    </cfRule>
  </conditionalFormatting>
  <conditionalFormatting sqref="AC53 N53">
    <cfRule type="cellIs" priority="482" operator="greaterThan" dxfId="13">
      <formula>0.9</formula>
    </cfRule>
    <cfRule type="cellIs" priority="483" operator="greaterThan" dxfId="12">
      <formula>0.85</formula>
    </cfRule>
  </conditionalFormatting>
  <conditionalFormatting sqref="AV54">
    <cfRule type="expression" priority="480" dxfId="17">
      <formula>AV54="X"</formula>
    </cfRule>
    <cfRule type="expression" priority="481" dxfId="16">
      <formula>AV54="후보"</formula>
    </cfRule>
  </conditionalFormatting>
  <conditionalFormatting sqref="AC54">
    <cfRule type="cellIs" priority="477" operator="greaterThan" dxfId="13">
      <formula>0.9</formula>
    </cfRule>
    <cfRule type="cellIs" priority="478" operator="greaterThan" dxfId="12">
      <formula>0.85</formula>
    </cfRule>
  </conditionalFormatting>
  <conditionalFormatting sqref="N54">
    <cfRule type="cellIs" priority="475" operator="greaterThan" dxfId="13">
      <formula>0.9</formula>
    </cfRule>
    <cfRule type="cellIs" priority="476" operator="greaterThan" dxfId="12">
      <formula>0.85</formula>
    </cfRule>
  </conditionalFormatting>
  <conditionalFormatting sqref="E54">
    <cfRule type="expression" priority="471" dxfId="3">
      <formula>AND(IF(OR($Q54=1,$Q54=2),1,0),IF($X54&lt;=20,1,0))</formula>
    </cfRule>
    <cfRule type="expression" priority="472" dxfId="2">
      <formula>AND(IF($Q54=2,1,0),IF($X54&lt;30,1,0))</formula>
    </cfRule>
    <cfRule type="expression" priority="473" dxfId="1">
      <formula>AND(IF($Q54=3,1,0),IF($X54&lt;30,1,0))</formula>
    </cfRule>
    <cfRule type="expression" priority="474" dxfId="0">
      <formula>AND(IF($Q54=3,1,IF($Q54=4,1,0)),IF($F54&lt;=85,1,0))</formula>
    </cfRule>
  </conditionalFormatting>
  <conditionalFormatting sqref="X54">
    <cfRule type="expression" priority="467" dxfId="3">
      <formula>AND(IF(OR($Q54=1,$Q54=2),1,0),IF($X54&lt;=20,1,0))</formula>
    </cfRule>
    <cfRule type="expression" priority="468" dxfId="2">
      <formula>AND(IF($Q54=2,1,0),IF($X54&lt;30,1,0))</formula>
    </cfRule>
    <cfRule type="expression" priority="469" dxfId="1">
      <formula>AND(IF($Q54=3,1,0),IF($X54&lt;30,1,0))</formula>
    </cfRule>
    <cfRule type="expression" priority="470" dxfId="0">
      <formula>AND(IF($Q54=3,1,IF($Q54=4,1,0)),IF($F54&lt;=85,1,0))</formula>
    </cfRule>
  </conditionalFormatting>
  <conditionalFormatting sqref="AI54">
    <cfRule type="expression" priority="463" dxfId="3">
      <formula>AND(IF(OR($Q54=1,$Q54=2),1,0),IF($X54&lt;=20,1,0))</formula>
    </cfRule>
    <cfRule type="expression" priority="464" dxfId="2">
      <formula>AND(IF($Q54=2,1,0),IF($X54&lt;30,1,0))</formula>
    </cfRule>
    <cfRule type="expression" priority="465" dxfId="1">
      <formula>AND(IF($Q54=3,1,0),IF($X54&lt;30,1,0))</formula>
    </cfRule>
    <cfRule type="expression" priority="466" dxfId="0">
      <formula>AND(IF($Q54=3,1,IF($Q54=4,1,0)),IF($F54&lt;=85,1,0))</formula>
    </cfRule>
  </conditionalFormatting>
  <conditionalFormatting sqref="AV55">
    <cfRule type="expression" priority="461" dxfId="17">
      <formula>AV55="X"</formula>
    </cfRule>
    <cfRule type="expression" priority="462" dxfId="16">
      <formula>AV55="후보"</formula>
    </cfRule>
  </conditionalFormatting>
  <conditionalFormatting sqref="AC55">
    <cfRule type="cellIs" priority="458" operator="greaterThan" dxfId="13">
      <formula>0.9</formula>
    </cfRule>
    <cfRule type="cellIs" priority="459" operator="greaterThan" dxfId="12">
      <formula>0.85</formula>
    </cfRule>
  </conditionalFormatting>
  <conditionalFormatting sqref="N55">
    <cfRule type="cellIs" priority="456" operator="greaterThan" dxfId="13">
      <formula>0.9</formula>
    </cfRule>
    <cfRule type="cellIs" priority="457" operator="greaterThan" dxfId="12">
      <formula>0.85</formula>
    </cfRule>
  </conditionalFormatting>
  <conditionalFormatting sqref="E55">
    <cfRule type="expression" priority="452" dxfId="3">
      <formula>AND(IF(OR($Q55=1,$Q55=2),1,0),IF($X55&lt;=20,1,0))</formula>
    </cfRule>
    <cfRule type="expression" priority="453" dxfId="2">
      <formula>AND(IF($Q55=2,1,0),IF($X55&lt;30,1,0))</formula>
    </cfRule>
    <cfRule type="expression" priority="454" dxfId="1">
      <formula>AND(IF($Q55=3,1,0),IF($X55&lt;30,1,0))</formula>
    </cfRule>
    <cfRule type="expression" priority="455" dxfId="0">
      <formula>AND(IF($Q55=3,1,IF($Q55=4,1,0)),IF($F55&lt;=85,1,0))</formula>
    </cfRule>
  </conditionalFormatting>
  <conditionalFormatting sqref="X55">
    <cfRule type="expression" priority="448" dxfId="3">
      <formula>AND(IF(OR($Q55=1,$Q55=2),1,0),IF($X55&lt;=20,1,0))</formula>
    </cfRule>
    <cfRule type="expression" priority="449" dxfId="2">
      <formula>AND(IF($Q55=2,1,0),IF($X55&lt;30,1,0))</formula>
    </cfRule>
    <cfRule type="expression" priority="450" dxfId="1">
      <formula>AND(IF($Q55=3,1,0),IF($X55&lt;30,1,0))</formula>
    </cfRule>
    <cfRule type="expression" priority="451" dxfId="0">
      <formula>AND(IF($Q55=3,1,IF($Q55=4,1,0)),IF($F55&lt;=85,1,0))</formula>
    </cfRule>
  </conditionalFormatting>
  <conditionalFormatting sqref="AI55">
    <cfRule type="expression" priority="444" dxfId="3">
      <formula>AND(IF(OR($Q55=1,$Q55=2),1,0),IF($X55&lt;=20,1,0))</formula>
    </cfRule>
    <cfRule type="expression" priority="445" dxfId="2">
      <formula>AND(IF($Q55=2,1,0),IF($X55&lt;30,1,0))</formula>
    </cfRule>
    <cfRule type="expression" priority="446" dxfId="1">
      <formula>AND(IF($Q55=3,1,0),IF($X55&lt;30,1,0))</formula>
    </cfRule>
    <cfRule type="expression" priority="447" dxfId="0">
      <formula>AND(IF($Q55=3,1,IF($Q55=4,1,0)),IF($F55&lt;=85,1,0))</formula>
    </cfRule>
  </conditionalFormatting>
  <conditionalFormatting sqref="AV56">
    <cfRule type="expression" priority="442" dxfId="17">
      <formula>AV56="X"</formula>
    </cfRule>
    <cfRule type="expression" priority="443" dxfId="16">
      <formula>AV56="후보"</formula>
    </cfRule>
  </conditionalFormatting>
  <conditionalFormatting sqref="AC56">
    <cfRule type="cellIs" priority="439" operator="greaterThan" dxfId="13">
      <formula>0.9</formula>
    </cfRule>
    <cfRule type="cellIs" priority="440" operator="greaterThan" dxfId="12">
      <formula>0.85</formula>
    </cfRule>
  </conditionalFormatting>
  <conditionalFormatting sqref="N56">
    <cfRule type="cellIs" priority="437" operator="greaterThan" dxfId="13">
      <formula>0.9</formula>
    </cfRule>
    <cfRule type="cellIs" priority="438" operator="greaterThan" dxfId="12">
      <formula>0.85</formula>
    </cfRule>
  </conditionalFormatting>
  <conditionalFormatting sqref="E56">
    <cfRule type="expression" priority="433" dxfId="3">
      <formula>AND(IF(OR($Q56=1,$Q56=2),1,0),IF($X56&lt;=20,1,0))</formula>
    </cfRule>
    <cfRule type="expression" priority="434" dxfId="2">
      <formula>AND(IF($Q56=2,1,0),IF($X56&lt;30,1,0))</formula>
    </cfRule>
    <cfRule type="expression" priority="435" dxfId="1">
      <formula>AND(IF($Q56=3,1,0),IF($X56&lt;30,1,0))</formula>
    </cfRule>
    <cfRule type="expression" priority="436" dxfId="0">
      <formula>AND(IF($Q56=3,1,IF($Q56=4,1,0)),IF($F56&lt;=85,1,0))</formula>
    </cfRule>
  </conditionalFormatting>
  <conditionalFormatting sqref="X56">
    <cfRule type="expression" priority="429" dxfId="3">
      <formula>AND(IF(OR($Q56=1,$Q56=2),1,0),IF($X56&lt;=20,1,0))</formula>
    </cfRule>
    <cfRule type="expression" priority="430" dxfId="2">
      <formula>AND(IF($Q56=2,1,0),IF($X56&lt;30,1,0))</formula>
    </cfRule>
    <cfRule type="expression" priority="431" dxfId="1">
      <formula>AND(IF($Q56=3,1,0),IF($X56&lt;30,1,0))</formula>
    </cfRule>
    <cfRule type="expression" priority="432" dxfId="0">
      <formula>AND(IF($Q56=3,1,IF($Q56=4,1,0)),IF($F56&lt;=85,1,0))</formula>
    </cfRule>
  </conditionalFormatting>
  <conditionalFormatting sqref="AI56">
    <cfRule type="expression" priority="425" dxfId="3">
      <formula>AND(IF(OR($Q56=1,$Q56=2),1,0),IF($X56&lt;=20,1,0))</formula>
    </cfRule>
    <cfRule type="expression" priority="426" dxfId="2">
      <formula>AND(IF($Q56=2,1,0),IF($X56&lt;30,1,0))</formula>
    </cfRule>
    <cfRule type="expression" priority="427" dxfId="1">
      <formula>AND(IF($Q56=3,1,0),IF($X56&lt;30,1,0))</formula>
    </cfRule>
    <cfRule type="expression" priority="428" dxfId="0">
      <formula>AND(IF($Q56=3,1,IF($Q56=4,1,0)),IF($F56&lt;=85,1,0))</formula>
    </cfRule>
  </conditionalFormatting>
  <conditionalFormatting sqref="AV57">
    <cfRule type="expression" priority="423" dxfId="17">
      <formula>AV57="X"</formula>
    </cfRule>
    <cfRule type="expression" priority="424" dxfId="16">
      <formula>AV57="후보"</formula>
    </cfRule>
  </conditionalFormatting>
  <conditionalFormatting sqref="AC57">
    <cfRule type="cellIs" priority="420" operator="greaterThan" dxfId="13">
      <formula>0.9</formula>
    </cfRule>
    <cfRule type="cellIs" priority="421" operator="greaterThan" dxfId="12">
      <formula>0.85</formula>
    </cfRule>
  </conditionalFormatting>
  <conditionalFormatting sqref="N57">
    <cfRule type="cellIs" priority="418" operator="greaterThan" dxfId="13">
      <formula>0.9</formula>
    </cfRule>
    <cfRule type="cellIs" priority="419" operator="greaterThan" dxfId="12">
      <formula>0.85</formula>
    </cfRule>
  </conditionalFormatting>
  <conditionalFormatting sqref="E57">
    <cfRule type="expression" priority="414" dxfId="3">
      <formula>AND(IF(OR($Q57=1,$Q57=2),1,0),IF($X57&lt;=20,1,0))</formula>
    </cfRule>
    <cfRule type="expression" priority="415" dxfId="2">
      <formula>AND(IF($Q57=2,1,0),IF($X57&lt;30,1,0))</formula>
    </cfRule>
    <cfRule type="expression" priority="416" dxfId="1">
      <formula>AND(IF($Q57=3,1,0),IF($X57&lt;30,1,0))</formula>
    </cfRule>
    <cfRule type="expression" priority="417" dxfId="0">
      <formula>AND(IF($Q57=3,1,IF($Q57=4,1,0)),IF($F57&lt;=85,1,0))</formula>
    </cfRule>
  </conditionalFormatting>
  <conditionalFormatting sqref="X57">
    <cfRule type="expression" priority="410" dxfId="3">
      <formula>AND(IF(OR($Q57=1,$Q57=2),1,0),IF($X57&lt;=20,1,0))</formula>
    </cfRule>
    <cfRule type="expression" priority="411" dxfId="2">
      <formula>AND(IF($Q57=2,1,0),IF($X57&lt;30,1,0))</formula>
    </cfRule>
    <cfRule type="expression" priority="412" dxfId="1">
      <formula>AND(IF($Q57=3,1,0),IF($X57&lt;30,1,0))</formula>
    </cfRule>
    <cfRule type="expression" priority="413" dxfId="0">
      <formula>AND(IF($Q57=3,1,IF($Q57=4,1,0)),IF($F57&lt;=85,1,0))</formula>
    </cfRule>
  </conditionalFormatting>
  <conditionalFormatting sqref="AI57">
    <cfRule type="expression" priority="406" dxfId="3">
      <formula>AND(IF(OR($Q57=1,$Q57=2),1,0),IF($X57&lt;=20,1,0))</formula>
    </cfRule>
    <cfRule type="expression" priority="407" dxfId="2">
      <formula>AND(IF($Q57=2,1,0),IF($X57&lt;30,1,0))</formula>
    </cfRule>
    <cfRule type="expression" priority="408" dxfId="1">
      <formula>AND(IF($Q57=3,1,0),IF($X57&lt;30,1,0))</formula>
    </cfRule>
    <cfRule type="expression" priority="409" dxfId="0">
      <formula>AND(IF($Q57=3,1,IF($Q57=4,1,0)),IF($F57&lt;=85,1,0))</formula>
    </cfRule>
  </conditionalFormatting>
  <conditionalFormatting sqref="AV58">
    <cfRule type="expression" priority="404" dxfId="17">
      <formula>AV58="X"</formula>
    </cfRule>
    <cfRule type="expression" priority="405" dxfId="16">
      <formula>AV58="후보"</formula>
    </cfRule>
  </conditionalFormatting>
  <conditionalFormatting sqref="AC58 N58">
    <cfRule type="cellIs" priority="401" operator="greaterThan" dxfId="13">
      <formula>0.9</formula>
    </cfRule>
    <cfRule type="cellIs" priority="402" operator="greaterThan" dxfId="12">
      <formula>0.85</formula>
    </cfRule>
  </conditionalFormatting>
  <conditionalFormatting sqref="AV59">
    <cfRule type="expression" priority="399" dxfId="17">
      <formula>AV59="X"</formula>
    </cfRule>
    <cfRule type="expression" priority="400" dxfId="16">
      <formula>AV59="후보"</formula>
    </cfRule>
  </conditionalFormatting>
  <conditionalFormatting sqref="AC59">
    <cfRule type="cellIs" priority="396" operator="greaterThan" dxfId="13">
      <formula>0.9</formula>
    </cfRule>
    <cfRule type="cellIs" priority="397" operator="greaterThan" dxfId="12">
      <formula>0.85</formula>
    </cfRule>
  </conditionalFormatting>
  <conditionalFormatting sqref="N59">
    <cfRule type="cellIs" priority="394" operator="greaterThan" dxfId="13">
      <formula>0.9</formula>
    </cfRule>
    <cfRule type="cellIs" priority="395" operator="greaterThan" dxfId="12">
      <formula>0.85</formula>
    </cfRule>
  </conditionalFormatting>
  <conditionalFormatting sqref="E59">
    <cfRule type="expression" priority="390" dxfId="3">
      <formula>AND(IF(OR($Q59=1,$Q59=2),1,0),IF($X59&lt;=20,1,0))</formula>
    </cfRule>
    <cfRule type="expression" priority="391" dxfId="2">
      <formula>AND(IF($Q59=2,1,0),IF($X59&lt;30,1,0))</formula>
    </cfRule>
    <cfRule type="expression" priority="392" dxfId="1">
      <formula>AND(IF($Q59=3,1,0),IF($X59&lt;30,1,0))</formula>
    </cfRule>
    <cfRule type="expression" priority="393" dxfId="0">
      <formula>AND(IF($Q59=3,1,IF($Q59=4,1,0)),IF($F59&lt;=85,1,0))</formula>
    </cfRule>
  </conditionalFormatting>
  <conditionalFormatting sqref="X59">
    <cfRule type="expression" priority="386" dxfId="3">
      <formula>AND(IF(OR($Q59=1,$Q59=2),1,0),IF($X59&lt;=20,1,0))</formula>
    </cfRule>
    <cfRule type="expression" priority="387" dxfId="2">
      <formula>AND(IF($Q59=2,1,0),IF($X59&lt;30,1,0))</formula>
    </cfRule>
    <cfRule type="expression" priority="388" dxfId="1">
      <formula>AND(IF($Q59=3,1,0),IF($X59&lt;30,1,0))</formula>
    </cfRule>
    <cfRule type="expression" priority="389" dxfId="0">
      <formula>AND(IF($Q59=3,1,IF($Q59=4,1,0)),IF($F59&lt;=85,1,0))</formula>
    </cfRule>
  </conditionalFormatting>
  <conditionalFormatting sqref="AI59">
    <cfRule type="expression" priority="382" dxfId="3">
      <formula>AND(IF(OR($Q59=1,$Q59=2),1,0),IF($X59&lt;=20,1,0))</formula>
    </cfRule>
    <cfRule type="expression" priority="383" dxfId="2">
      <formula>AND(IF($Q59=2,1,0),IF($X59&lt;30,1,0))</formula>
    </cfRule>
    <cfRule type="expression" priority="384" dxfId="1">
      <formula>AND(IF($Q59=3,1,0),IF($X59&lt;30,1,0))</formula>
    </cfRule>
    <cfRule type="expression" priority="385" dxfId="0">
      <formula>AND(IF($Q59=3,1,IF($Q59=4,1,0)),IF($F59&lt;=85,1,0))</formula>
    </cfRule>
  </conditionalFormatting>
  <conditionalFormatting sqref="AV60">
    <cfRule type="expression" priority="380" dxfId="17">
      <formula>AV60="X"</formula>
    </cfRule>
    <cfRule type="expression" priority="381" dxfId="16">
      <formula>AV60="후보"</formula>
    </cfRule>
  </conditionalFormatting>
  <conditionalFormatting sqref="AC60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N60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E60">
    <cfRule type="expression" priority="371" dxfId="3">
      <formula>AND(IF(OR($Q60=1,$Q60=2),1,0),IF($X60&lt;=20,1,0))</formula>
    </cfRule>
    <cfRule type="expression" priority="372" dxfId="2">
      <formula>AND(IF($Q60=2,1,0),IF($X60&lt;30,1,0))</formula>
    </cfRule>
    <cfRule type="expression" priority="373" dxfId="1">
      <formula>AND(IF($Q60=3,1,0),IF($X60&lt;30,1,0))</formula>
    </cfRule>
    <cfRule type="expression" priority="374" dxfId="0">
      <formula>AND(IF($Q60=3,1,IF($Q60=4,1,0)),IF($F60&lt;=85,1,0))</formula>
    </cfRule>
  </conditionalFormatting>
  <conditionalFormatting sqref="X60">
    <cfRule type="expression" priority="367" dxfId="3">
      <formula>AND(IF(OR($Q60=1,$Q60=2),1,0),IF($X60&lt;=20,1,0))</formula>
    </cfRule>
    <cfRule type="expression" priority="368" dxfId="2">
      <formula>AND(IF($Q60=2,1,0),IF($X60&lt;30,1,0))</formula>
    </cfRule>
    <cfRule type="expression" priority="369" dxfId="1">
      <formula>AND(IF($Q60=3,1,0),IF($X60&lt;30,1,0))</formula>
    </cfRule>
    <cfRule type="expression" priority="370" dxfId="0">
      <formula>AND(IF($Q60=3,1,IF($Q60=4,1,0)),IF($F60&lt;=85,1,0))</formula>
    </cfRule>
  </conditionalFormatting>
  <conditionalFormatting sqref="AI60">
    <cfRule type="expression" priority="363" dxfId="3">
      <formula>AND(IF(OR($Q60=1,$Q60=2),1,0),IF($X60&lt;=20,1,0))</formula>
    </cfRule>
    <cfRule type="expression" priority="364" dxfId="2">
      <formula>AND(IF($Q60=2,1,0),IF($X60&lt;30,1,0))</formula>
    </cfRule>
    <cfRule type="expression" priority="365" dxfId="1">
      <formula>AND(IF($Q60=3,1,0),IF($X60&lt;30,1,0))</formula>
    </cfRule>
    <cfRule type="expression" priority="366" dxfId="0">
      <formula>AND(IF($Q60=3,1,IF($Q60=4,1,0)),IF($F60&lt;=85,1,0))</formula>
    </cfRule>
  </conditionalFormatting>
  <conditionalFormatting sqref="AV61">
    <cfRule type="expression" priority="361" dxfId="17">
      <formula>AV61="X"</formula>
    </cfRule>
    <cfRule type="expression" priority="362" dxfId="16">
      <formula>AV61="후보"</formula>
    </cfRule>
  </conditionalFormatting>
  <conditionalFormatting sqref="AC61 N61">
    <cfRule type="cellIs" priority="358" operator="greaterThan" dxfId="13">
      <formula>0.9</formula>
    </cfRule>
    <cfRule type="cellIs" priority="359" operator="greaterThan" dxfId="12">
      <formula>0.85</formula>
    </cfRule>
  </conditionalFormatting>
  <conditionalFormatting sqref="AV62">
    <cfRule type="expression" priority="356" dxfId="17">
      <formula>AV62="X"</formula>
    </cfRule>
    <cfRule type="expression" priority="357" dxfId="16">
      <formula>AV62="후보"</formula>
    </cfRule>
  </conditionalFormatting>
  <conditionalFormatting sqref="AC62">
    <cfRule type="cellIs" priority="353" operator="greaterThan" dxfId="13">
      <formula>0.9</formula>
    </cfRule>
    <cfRule type="cellIs" priority="354" operator="greaterThan" dxfId="12">
      <formula>0.85</formula>
    </cfRule>
  </conditionalFormatting>
  <conditionalFormatting sqref="N62">
    <cfRule type="cellIs" priority="351" operator="greaterThan" dxfId="13">
      <formula>0.9</formula>
    </cfRule>
    <cfRule type="cellIs" priority="352" operator="greaterThan" dxfId="12">
      <formula>0.85</formula>
    </cfRule>
  </conditionalFormatting>
  <conditionalFormatting sqref="E62">
    <cfRule type="expression" priority="347" dxfId="3">
      <formula>AND(IF(OR($Q62=1,$Q62=2),1,0),IF($X62&lt;=20,1,0))</formula>
    </cfRule>
    <cfRule type="expression" priority="348" dxfId="2">
      <formula>AND(IF($Q62=2,1,0),IF($X62&lt;30,1,0))</formula>
    </cfRule>
    <cfRule type="expression" priority="349" dxfId="1">
      <formula>AND(IF($Q62=3,1,0),IF($X62&lt;30,1,0))</formula>
    </cfRule>
    <cfRule type="expression" priority="350" dxfId="0">
      <formula>AND(IF($Q62=3,1,IF($Q62=4,1,0)),IF($F62&lt;=85,1,0))</formula>
    </cfRule>
  </conditionalFormatting>
  <conditionalFormatting sqref="X62">
    <cfRule type="expression" priority="343" dxfId="3">
      <formula>AND(IF(OR($Q62=1,$Q62=2),1,0),IF($X62&lt;=20,1,0))</formula>
    </cfRule>
    <cfRule type="expression" priority="344" dxfId="2">
      <formula>AND(IF($Q62=2,1,0),IF($X62&lt;30,1,0))</formula>
    </cfRule>
    <cfRule type="expression" priority="345" dxfId="1">
      <formula>AND(IF($Q62=3,1,0),IF($X62&lt;30,1,0))</formula>
    </cfRule>
    <cfRule type="expression" priority="346" dxfId="0">
      <formula>AND(IF($Q62=3,1,IF($Q62=4,1,0)),IF($F62&lt;=85,1,0))</formula>
    </cfRule>
  </conditionalFormatting>
  <conditionalFormatting sqref="AI62">
    <cfRule type="expression" priority="339" dxfId="3">
      <formula>AND(IF(OR($Q62=1,$Q62=2),1,0),IF($X62&lt;=20,1,0))</formula>
    </cfRule>
    <cfRule type="expression" priority="340" dxfId="2">
      <formula>AND(IF($Q62=2,1,0),IF($X62&lt;30,1,0))</formula>
    </cfRule>
    <cfRule type="expression" priority="341" dxfId="1">
      <formula>AND(IF($Q62=3,1,0),IF($X62&lt;30,1,0))</formula>
    </cfRule>
    <cfRule type="expression" priority="342" dxfId="0">
      <formula>AND(IF($Q62=3,1,IF($Q62=4,1,0)),IF($F62&lt;=85,1,0))</formula>
    </cfRule>
  </conditionalFormatting>
  <conditionalFormatting sqref="AV63">
    <cfRule type="expression" priority="337" dxfId="17">
      <formula>AV63="X"</formula>
    </cfRule>
    <cfRule type="expression" priority="338" dxfId="16">
      <formula>AV63="후보"</formula>
    </cfRule>
  </conditionalFormatting>
  <conditionalFormatting sqref="AC63">
    <cfRule type="cellIs" priority="334" operator="greaterThan" dxfId="13">
      <formula>0.9</formula>
    </cfRule>
    <cfRule type="cellIs" priority="335" operator="greaterThan" dxfId="12">
      <formula>0.85</formula>
    </cfRule>
  </conditionalFormatting>
  <conditionalFormatting sqref="N63">
    <cfRule type="cellIs" priority="332" operator="greaterThan" dxfId="13">
      <formula>0.9</formula>
    </cfRule>
    <cfRule type="cellIs" priority="333" operator="greaterThan" dxfId="12">
      <formula>0.85</formula>
    </cfRule>
  </conditionalFormatting>
  <conditionalFormatting sqref="E63">
    <cfRule type="expression" priority="328" dxfId="3">
      <formula>AND(IF(OR($Q63=1,$Q63=2),1,0),IF($X63&lt;=20,1,0))</formula>
    </cfRule>
    <cfRule type="expression" priority="329" dxfId="2">
      <formula>AND(IF($Q63=2,1,0),IF($X63&lt;30,1,0))</formula>
    </cfRule>
    <cfRule type="expression" priority="330" dxfId="1">
      <formula>AND(IF($Q63=3,1,0),IF($X63&lt;30,1,0))</formula>
    </cfRule>
    <cfRule type="expression" priority="331" dxfId="0">
      <formula>AND(IF($Q63=3,1,IF($Q63=4,1,0)),IF($F63&lt;=85,1,0))</formula>
    </cfRule>
  </conditionalFormatting>
  <conditionalFormatting sqref="X63">
    <cfRule type="expression" priority="324" dxfId="3">
      <formula>AND(IF(OR($Q63=1,$Q63=2),1,0),IF($X63&lt;=20,1,0))</formula>
    </cfRule>
    <cfRule type="expression" priority="325" dxfId="2">
      <formula>AND(IF($Q63=2,1,0),IF($X63&lt;30,1,0))</formula>
    </cfRule>
    <cfRule type="expression" priority="326" dxfId="1">
      <formula>AND(IF($Q63=3,1,0),IF($X63&lt;30,1,0))</formula>
    </cfRule>
    <cfRule type="expression" priority="327" dxfId="0">
      <formula>AND(IF($Q63=3,1,IF($Q63=4,1,0)),IF($F63&lt;=85,1,0))</formula>
    </cfRule>
  </conditionalFormatting>
  <conditionalFormatting sqref="AI63">
    <cfRule type="expression" priority="320" dxfId="3">
      <formula>AND(IF(OR($Q63=1,$Q63=2),1,0),IF($X63&lt;=20,1,0))</formula>
    </cfRule>
    <cfRule type="expression" priority="321" dxfId="2">
      <formula>AND(IF($Q63=2,1,0),IF($X63&lt;30,1,0))</formula>
    </cfRule>
    <cfRule type="expression" priority="322" dxfId="1">
      <formula>AND(IF($Q63=3,1,0),IF($X63&lt;30,1,0))</formula>
    </cfRule>
    <cfRule type="expression" priority="323" dxfId="0">
      <formula>AND(IF($Q63=3,1,IF($Q63=4,1,0)),IF($F63&lt;=85,1,0))</formula>
    </cfRule>
  </conditionalFormatting>
  <conditionalFormatting sqref="AV64">
    <cfRule type="expression" priority="318" dxfId="17">
      <formula>AV64="X"</formula>
    </cfRule>
    <cfRule type="expression" priority="319" dxfId="16">
      <formula>AV64="후보"</formula>
    </cfRule>
  </conditionalFormatting>
  <conditionalFormatting sqref="AC64">
    <cfRule type="cellIs" priority="315" operator="greaterThan" dxfId="13">
      <formula>0.9</formula>
    </cfRule>
    <cfRule type="cellIs" priority="316" operator="greaterThan" dxfId="12">
      <formula>0.85</formula>
    </cfRule>
  </conditionalFormatting>
  <conditionalFormatting sqref="N64">
    <cfRule type="cellIs" priority="313" operator="greaterThan" dxfId="13">
      <formula>0.9</formula>
    </cfRule>
    <cfRule type="cellIs" priority="314" operator="greaterThan" dxfId="12">
      <formula>0.85</formula>
    </cfRule>
  </conditionalFormatting>
  <conditionalFormatting sqref="E64">
    <cfRule type="expression" priority="309" dxfId="3">
      <formula>AND(IF(OR($Q64=1,$Q64=2),1,0),IF($X64&lt;=20,1,0))</formula>
    </cfRule>
    <cfRule type="expression" priority="310" dxfId="2">
      <formula>AND(IF($Q64=2,1,0),IF($X64&lt;30,1,0))</formula>
    </cfRule>
    <cfRule type="expression" priority="311" dxfId="1">
      <formula>AND(IF($Q64=3,1,0),IF($X64&lt;30,1,0))</formula>
    </cfRule>
    <cfRule type="expression" priority="312" dxfId="0">
      <formula>AND(IF($Q64=3,1,IF($Q64=4,1,0)),IF($F64&lt;=85,1,0))</formula>
    </cfRule>
  </conditionalFormatting>
  <conditionalFormatting sqref="X64">
    <cfRule type="expression" priority="305" dxfId="3">
      <formula>AND(IF(OR($Q64=1,$Q64=2),1,0),IF($X64&lt;=20,1,0))</formula>
    </cfRule>
    <cfRule type="expression" priority="306" dxfId="2">
      <formula>AND(IF($Q64=2,1,0),IF($X64&lt;30,1,0))</formula>
    </cfRule>
    <cfRule type="expression" priority="307" dxfId="1">
      <formula>AND(IF($Q64=3,1,0),IF($X64&lt;30,1,0))</formula>
    </cfRule>
    <cfRule type="expression" priority="308" dxfId="0">
      <formula>AND(IF($Q64=3,1,IF($Q64=4,1,0)),IF($F64&lt;=85,1,0))</formula>
    </cfRule>
  </conditionalFormatting>
  <conditionalFormatting sqref="AI64">
    <cfRule type="expression" priority="301" dxfId="3">
      <formula>AND(IF(OR($Q64=1,$Q64=2),1,0),IF($X64&lt;=20,1,0))</formula>
    </cfRule>
    <cfRule type="expression" priority="302" dxfId="2">
      <formula>AND(IF($Q64=2,1,0),IF($X64&lt;30,1,0))</formula>
    </cfRule>
    <cfRule type="expression" priority="303" dxfId="1">
      <formula>AND(IF($Q64=3,1,0),IF($X64&lt;30,1,0))</formula>
    </cfRule>
    <cfRule type="expression" priority="304" dxfId="0">
      <formula>AND(IF($Q64=3,1,IF($Q64=4,1,0)),IF($F64&lt;=85,1,0))</formula>
    </cfRule>
  </conditionalFormatting>
  <conditionalFormatting sqref="AV65">
    <cfRule type="expression" priority="299" dxfId="17">
      <formula>AV65="X"</formula>
    </cfRule>
    <cfRule type="expression" priority="300" dxfId="16">
      <formula>AV65="후보"</formula>
    </cfRule>
  </conditionalFormatting>
  <conditionalFormatting sqref="AC65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N65">
    <cfRule type="cellIs" priority="294" operator="greaterThan" dxfId="13">
      <formula>0.9</formula>
    </cfRule>
    <cfRule type="cellIs" priority="295" operator="greaterThan" dxfId="12">
      <formula>0.85</formula>
    </cfRule>
  </conditionalFormatting>
  <conditionalFormatting sqref="E65">
    <cfRule type="expression" priority="290" dxfId="3">
      <formula>AND(IF(OR($Q65=1,$Q65=2),1,0),IF($X65&lt;=20,1,0))</formula>
    </cfRule>
    <cfRule type="expression" priority="291" dxfId="2">
      <formula>AND(IF($Q65=2,1,0),IF($X65&lt;30,1,0))</formula>
    </cfRule>
    <cfRule type="expression" priority="292" dxfId="1">
      <formula>AND(IF($Q65=3,1,0),IF($X65&lt;30,1,0))</formula>
    </cfRule>
    <cfRule type="expression" priority="293" dxfId="0">
      <formula>AND(IF($Q65=3,1,IF($Q65=4,1,0)),IF($F65&lt;=85,1,0))</formula>
    </cfRule>
  </conditionalFormatting>
  <conditionalFormatting sqref="X65">
    <cfRule type="expression" priority="286" dxfId="3">
      <formula>AND(IF(OR($Q65=1,$Q65=2),1,0),IF($X65&lt;=20,1,0))</formula>
    </cfRule>
    <cfRule type="expression" priority="287" dxfId="2">
      <formula>AND(IF($Q65=2,1,0),IF($X65&lt;30,1,0))</formula>
    </cfRule>
    <cfRule type="expression" priority="288" dxfId="1">
      <formula>AND(IF($Q65=3,1,0),IF($X65&lt;30,1,0))</formula>
    </cfRule>
    <cfRule type="expression" priority="289" dxfId="0">
      <formula>AND(IF($Q65=3,1,IF($Q65=4,1,0)),IF($F65&lt;=85,1,0))</formula>
    </cfRule>
  </conditionalFormatting>
  <conditionalFormatting sqref="AI65">
    <cfRule type="expression" priority="282" dxfId="3">
      <formula>AND(IF(OR($Q65=1,$Q65=2),1,0),IF($X65&lt;=20,1,0))</formula>
    </cfRule>
    <cfRule type="expression" priority="283" dxfId="2">
      <formula>AND(IF($Q65=2,1,0),IF($X65&lt;30,1,0))</formula>
    </cfRule>
    <cfRule type="expression" priority="284" dxfId="1">
      <formula>AND(IF($Q65=3,1,0),IF($X65&lt;30,1,0))</formula>
    </cfRule>
    <cfRule type="expression" priority="285" dxfId="0">
      <formula>AND(IF($Q65=3,1,IF($Q65=4,1,0)),IF($F65&lt;=85,1,0))</formula>
    </cfRule>
  </conditionalFormatting>
  <conditionalFormatting sqref="AV66">
    <cfRule type="expression" priority="280" dxfId="17">
      <formula>AV66="X"</formula>
    </cfRule>
    <cfRule type="expression" priority="281" dxfId="16">
      <formula>AV66="후보"</formula>
    </cfRule>
  </conditionalFormatting>
  <conditionalFormatting sqref="AC66 N66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AV67">
    <cfRule type="expression" priority="275" dxfId="17">
      <formula>AV67="X"</formula>
    </cfRule>
    <cfRule type="expression" priority="276" dxfId="16">
      <formula>AV67="후보"</formula>
    </cfRule>
  </conditionalFormatting>
  <conditionalFormatting sqref="AC67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67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67">
    <cfRule type="expression" priority="266" dxfId="3">
      <formula>AND(IF(OR($Q67=1,$Q67=2),1,0),IF($X67&lt;=20,1,0))</formula>
    </cfRule>
    <cfRule type="expression" priority="267" dxfId="2">
      <formula>AND(IF($Q67=2,1,0),IF($X67&lt;30,1,0))</formula>
    </cfRule>
    <cfRule type="expression" priority="268" dxfId="1">
      <formula>AND(IF($Q67=3,1,0),IF($X67&lt;30,1,0))</formula>
    </cfRule>
    <cfRule type="expression" priority="269" dxfId="0">
      <formula>AND(IF($Q67=3,1,IF($Q67=4,1,0)),IF($F67&lt;=85,1,0))</formula>
    </cfRule>
  </conditionalFormatting>
  <conditionalFormatting sqref="X67">
    <cfRule type="expression" priority="262" dxfId="3">
      <formula>AND(IF(OR($Q67=1,$Q67=2),1,0),IF($X67&lt;=20,1,0))</formula>
    </cfRule>
    <cfRule type="expression" priority="263" dxfId="2">
      <formula>AND(IF($Q67=2,1,0),IF($X67&lt;30,1,0))</formula>
    </cfRule>
    <cfRule type="expression" priority="264" dxfId="1">
      <formula>AND(IF($Q67=3,1,0),IF($X67&lt;30,1,0))</formula>
    </cfRule>
    <cfRule type="expression" priority="265" dxfId="0">
      <formula>AND(IF($Q67=3,1,IF($Q67=4,1,0)),IF($F67&lt;=85,1,0))</formula>
    </cfRule>
  </conditionalFormatting>
  <conditionalFormatting sqref="AI67">
    <cfRule type="expression" priority="258" dxfId="3">
      <formula>AND(IF(OR($Q67=1,$Q67=2),1,0),IF($X67&lt;=20,1,0))</formula>
    </cfRule>
    <cfRule type="expression" priority="259" dxfId="2">
      <formula>AND(IF($Q67=2,1,0),IF($X67&lt;30,1,0))</formula>
    </cfRule>
    <cfRule type="expression" priority="260" dxfId="1">
      <formula>AND(IF($Q67=3,1,0),IF($X67&lt;30,1,0))</formula>
    </cfRule>
    <cfRule type="expression" priority="261" dxfId="0">
      <formula>AND(IF($Q67=3,1,IF($Q67=4,1,0)),IF($F67&lt;=85,1,0))</formula>
    </cfRule>
  </conditionalFormatting>
  <conditionalFormatting sqref="AV68">
    <cfRule type="expression" priority="256" dxfId="17">
      <formula>AV68="X"</formula>
    </cfRule>
    <cfRule type="expression" priority="257" dxfId="16">
      <formula>AV68="후보"</formula>
    </cfRule>
  </conditionalFormatting>
  <conditionalFormatting sqref="AC68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68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68">
    <cfRule type="expression" priority="247" dxfId="3">
      <formula>AND(IF(OR($Q68=1,$Q68=2),1,0),IF($X68&lt;=20,1,0))</formula>
    </cfRule>
    <cfRule type="expression" priority="248" dxfId="2">
      <formula>AND(IF($Q68=2,1,0),IF($X68&lt;30,1,0))</formula>
    </cfRule>
    <cfRule type="expression" priority="249" dxfId="1">
      <formula>AND(IF($Q68=3,1,0),IF($X68&lt;30,1,0))</formula>
    </cfRule>
    <cfRule type="expression" priority="250" dxfId="0">
      <formula>AND(IF($Q68=3,1,IF($Q68=4,1,0)),IF($F68&lt;=85,1,0))</formula>
    </cfRule>
  </conditionalFormatting>
  <conditionalFormatting sqref="X68">
    <cfRule type="expression" priority="243" dxfId="3">
      <formula>AND(IF(OR($Q68=1,$Q68=2),1,0),IF($X68&lt;=20,1,0))</formula>
    </cfRule>
    <cfRule type="expression" priority="244" dxfId="2">
      <formula>AND(IF($Q68=2,1,0),IF($X68&lt;30,1,0))</formula>
    </cfRule>
    <cfRule type="expression" priority="245" dxfId="1">
      <formula>AND(IF($Q68=3,1,0),IF($X68&lt;30,1,0))</formula>
    </cfRule>
    <cfRule type="expression" priority="246" dxfId="0">
      <formula>AND(IF($Q68=3,1,IF($Q68=4,1,0)),IF($F68&lt;=85,1,0))</formula>
    </cfRule>
  </conditionalFormatting>
  <conditionalFormatting sqref="AI68">
    <cfRule type="expression" priority="239" dxfId="3">
      <formula>AND(IF(OR($Q68=1,$Q68=2),1,0),IF($X68&lt;=20,1,0))</formula>
    </cfRule>
    <cfRule type="expression" priority="240" dxfId="2">
      <formula>AND(IF($Q68=2,1,0),IF($X68&lt;30,1,0))</formula>
    </cfRule>
    <cfRule type="expression" priority="241" dxfId="1">
      <formula>AND(IF($Q68=3,1,0),IF($X68&lt;30,1,0))</formula>
    </cfRule>
    <cfRule type="expression" priority="242" dxfId="0">
      <formula>AND(IF($Q68=3,1,IF($Q68=4,1,0)),IF($F68&lt;=85,1,0))</formula>
    </cfRule>
  </conditionalFormatting>
  <conditionalFormatting sqref="AV69">
    <cfRule type="expression" priority="237" dxfId="17">
      <formula>AV69="X"</formula>
    </cfRule>
    <cfRule type="expression" priority="238" dxfId="16">
      <formula>AV69="후보"</formula>
    </cfRule>
  </conditionalFormatting>
  <conditionalFormatting sqref="AC69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69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69">
    <cfRule type="expression" priority="228" dxfId="3">
      <formula>AND(IF(OR($Q69=1,$Q69=2),1,0),IF($X69&lt;=20,1,0))</formula>
    </cfRule>
    <cfRule type="expression" priority="229" dxfId="2">
      <formula>AND(IF($Q69=2,1,0),IF($X69&lt;30,1,0))</formula>
    </cfRule>
    <cfRule type="expression" priority="230" dxfId="1">
      <formula>AND(IF($Q69=3,1,0),IF($X69&lt;30,1,0))</formula>
    </cfRule>
    <cfRule type="expression" priority="231" dxfId="0">
      <formula>AND(IF($Q69=3,1,IF($Q69=4,1,0)),IF($F69&lt;=85,1,0))</formula>
    </cfRule>
  </conditionalFormatting>
  <conditionalFormatting sqref="X69">
    <cfRule type="expression" priority="224" dxfId="3">
      <formula>AND(IF(OR($Q69=1,$Q69=2),1,0),IF($X69&lt;=20,1,0))</formula>
    </cfRule>
    <cfRule type="expression" priority="225" dxfId="2">
      <formula>AND(IF($Q69=2,1,0),IF($X69&lt;30,1,0))</formula>
    </cfRule>
    <cfRule type="expression" priority="226" dxfId="1">
      <formula>AND(IF($Q69=3,1,0),IF($X69&lt;30,1,0))</formula>
    </cfRule>
    <cfRule type="expression" priority="227" dxfId="0">
      <formula>AND(IF($Q69=3,1,IF($Q69=4,1,0)),IF($F69&lt;=85,1,0))</formula>
    </cfRule>
  </conditionalFormatting>
  <conditionalFormatting sqref="AI69">
    <cfRule type="expression" priority="220" dxfId="3">
      <formula>AND(IF(OR($Q69=1,$Q69=2),1,0),IF($X69&lt;=20,1,0))</formula>
    </cfRule>
    <cfRule type="expression" priority="221" dxfId="2">
      <formula>AND(IF($Q69=2,1,0),IF($X69&lt;30,1,0))</formula>
    </cfRule>
    <cfRule type="expression" priority="222" dxfId="1">
      <formula>AND(IF($Q69=3,1,0),IF($X69&lt;30,1,0))</formula>
    </cfRule>
    <cfRule type="expression" priority="223" dxfId="0">
      <formula>AND(IF($Q69=3,1,IF($Q69=4,1,0)),IF($F69&lt;=85,1,0))</formula>
    </cfRule>
  </conditionalFormatting>
  <conditionalFormatting sqref="AV70">
    <cfRule type="expression" priority="218" dxfId="17">
      <formula>AV70="X"</formula>
    </cfRule>
    <cfRule type="expression" priority="219" dxfId="16">
      <formula>AV70="후보"</formula>
    </cfRule>
  </conditionalFormatting>
  <conditionalFormatting sqref="AC70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70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70">
    <cfRule type="expression" priority="209" dxfId="3">
      <formula>AND(IF(OR($Q70=1,$Q70=2),1,0),IF($X70&lt;=20,1,0))</formula>
    </cfRule>
    <cfRule type="expression" priority="210" dxfId="2">
      <formula>AND(IF($Q70=2,1,0),IF($X70&lt;30,1,0))</formula>
    </cfRule>
    <cfRule type="expression" priority="211" dxfId="1">
      <formula>AND(IF($Q70=3,1,0),IF($X70&lt;30,1,0))</formula>
    </cfRule>
    <cfRule type="expression" priority="212" dxfId="0">
      <formula>AND(IF($Q70=3,1,IF($Q70=4,1,0)),IF($F70&lt;=85,1,0))</formula>
    </cfRule>
  </conditionalFormatting>
  <conditionalFormatting sqref="X70">
    <cfRule type="expression" priority="205" dxfId="3">
      <formula>AND(IF(OR($Q70=1,$Q70=2),1,0),IF($X70&lt;=20,1,0))</formula>
    </cfRule>
    <cfRule type="expression" priority="206" dxfId="2">
      <formula>AND(IF($Q70=2,1,0),IF($X70&lt;30,1,0))</formula>
    </cfRule>
    <cfRule type="expression" priority="207" dxfId="1">
      <formula>AND(IF($Q70=3,1,0),IF($X70&lt;30,1,0))</formula>
    </cfRule>
    <cfRule type="expression" priority="208" dxfId="0">
      <formula>AND(IF($Q70=3,1,IF($Q70=4,1,0)),IF($F70&lt;=85,1,0))</formula>
    </cfRule>
  </conditionalFormatting>
  <conditionalFormatting sqref="AI70">
    <cfRule type="expression" priority="201" dxfId="3">
      <formula>AND(IF(OR($Q70=1,$Q70=2),1,0),IF($X70&lt;=20,1,0))</formula>
    </cfRule>
    <cfRule type="expression" priority="202" dxfId="2">
      <formula>AND(IF($Q70=2,1,0),IF($X70&lt;30,1,0))</formula>
    </cfRule>
    <cfRule type="expression" priority="203" dxfId="1">
      <formula>AND(IF($Q70=3,1,0),IF($X70&lt;30,1,0))</formula>
    </cfRule>
    <cfRule type="expression" priority="204" dxfId="0">
      <formula>AND(IF($Q70=3,1,IF($Q70=4,1,0)),IF($F70&lt;=85,1,0))</formula>
    </cfRule>
  </conditionalFormatting>
  <conditionalFormatting sqref="AV71">
    <cfRule type="expression" priority="199" dxfId="17">
      <formula>AV71="X"</formula>
    </cfRule>
    <cfRule type="expression" priority="200" dxfId="16">
      <formula>AV71="후보"</formula>
    </cfRule>
  </conditionalFormatting>
  <conditionalFormatting sqref="AC71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71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71">
    <cfRule type="expression" priority="190" dxfId="3">
      <formula>AND(IF(OR($Q71=1,$Q71=2),1,0),IF($X71&lt;=20,1,0))</formula>
    </cfRule>
    <cfRule type="expression" priority="191" dxfId="2">
      <formula>AND(IF($Q71=2,1,0),IF($X71&lt;30,1,0))</formula>
    </cfRule>
    <cfRule type="expression" priority="192" dxfId="1">
      <formula>AND(IF($Q71=3,1,0),IF($X71&lt;30,1,0))</formula>
    </cfRule>
    <cfRule type="expression" priority="193" dxfId="0">
      <formula>AND(IF($Q71=3,1,IF($Q71=4,1,0)),IF($F71&lt;=85,1,0))</formula>
    </cfRule>
  </conditionalFormatting>
  <conditionalFormatting sqref="X71">
    <cfRule type="expression" priority="186" dxfId="3">
      <formula>AND(IF(OR($Q71=1,$Q71=2),1,0),IF($X71&lt;=20,1,0))</formula>
    </cfRule>
    <cfRule type="expression" priority="187" dxfId="2">
      <formula>AND(IF($Q71=2,1,0),IF($X71&lt;30,1,0))</formula>
    </cfRule>
    <cfRule type="expression" priority="188" dxfId="1">
      <formula>AND(IF($Q71=3,1,0),IF($X71&lt;30,1,0))</formula>
    </cfRule>
    <cfRule type="expression" priority="189" dxfId="0">
      <formula>AND(IF($Q71=3,1,IF($Q71=4,1,0)),IF($F71&lt;=85,1,0))</formula>
    </cfRule>
  </conditionalFormatting>
  <conditionalFormatting sqref="AI71">
    <cfRule type="expression" priority="182" dxfId="3">
      <formula>AND(IF(OR($Q71=1,$Q71=2),1,0),IF($X71&lt;=20,1,0))</formula>
    </cfRule>
    <cfRule type="expression" priority="183" dxfId="2">
      <formula>AND(IF($Q71=2,1,0),IF($X71&lt;30,1,0))</formula>
    </cfRule>
    <cfRule type="expression" priority="184" dxfId="1">
      <formula>AND(IF($Q71=3,1,0),IF($X71&lt;30,1,0))</formula>
    </cfRule>
    <cfRule type="expression" priority="185" dxfId="0">
      <formula>AND(IF($Q71=3,1,IF($Q71=4,1,0)),IF($F71&lt;=85,1,0))</formula>
    </cfRule>
  </conditionalFormatting>
  <conditionalFormatting sqref="AV72">
    <cfRule type="expression" priority="180" dxfId="17">
      <formula>AV72="X"</formula>
    </cfRule>
    <cfRule type="expression" priority="181" dxfId="16">
      <formula>AV72="후보"</formula>
    </cfRule>
  </conditionalFormatting>
  <conditionalFormatting sqref="AC72 N72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AV73">
    <cfRule type="expression" priority="175" dxfId="17">
      <formula>AV73="X"</formula>
    </cfRule>
    <cfRule type="expression" priority="176" dxfId="16">
      <formula>AV73="후보"</formula>
    </cfRule>
  </conditionalFormatting>
  <conditionalFormatting sqref="AC73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73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73">
    <cfRule type="expression" priority="166" dxfId="3">
      <formula>AND(IF(OR($Q73=1,$Q73=2),1,0),IF($X73&lt;=20,1,0))</formula>
    </cfRule>
    <cfRule type="expression" priority="167" dxfId="2">
      <formula>AND(IF($Q73=2,1,0),IF($X73&lt;30,1,0))</formula>
    </cfRule>
    <cfRule type="expression" priority="168" dxfId="1">
      <formula>AND(IF($Q73=3,1,0),IF($X73&lt;30,1,0))</formula>
    </cfRule>
    <cfRule type="expression" priority="169" dxfId="0">
      <formula>AND(IF($Q73=3,1,IF($Q73=4,1,0)),IF($F73&lt;=85,1,0))</formula>
    </cfRule>
  </conditionalFormatting>
  <conditionalFormatting sqref="X73">
    <cfRule type="expression" priority="162" dxfId="3">
      <formula>AND(IF(OR($Q73=1,$Q73=2),1,0),IF($X73&lt;=20,1,0))</formula>
    </cfRule>
    <cfRule type="expression" priority="163" dxfId="2">
      <formula>AND(IF($Q73=2,1,0),IF($X73&lt;30,1,0))</formula>
    </cfRule>
    <cfRule type="expression" priority="164" dxfId="1">
      <formula>AND(IF($Q73=3,1,0),IF($X73&lt;30,1,0))</formula>
    </cfRule>
    <cfRule type="expression" priority="165" dxfId="0">
      <formula>AND(IF($Q73=3,1,IF($Q73=4,1,0)),IF($F73&lt;=85,1,0))</formula>
    </cfRule>
  </conditionalFormatting>
  <conditionalFormatting sqref="AI73">
    <cfRule type="expression" priority="158" dxfId="3">
      <formula>AND(IF(OR($Q73=1,$Q73=2),1,0),IF($X73&lt;=20,1,0))</formula>
    </cfRule>
    <cfRule type="expression" priority="159" dxfId="2">
      <formula>AND(IF($Q73=2,1,0),IF($X73&lt;30,1,0))</formula>
    </cfRule>
    <cfRule type="expression" priority="160" dxfId="1">
      <formula>AND(IF($Q73=3,1,0),IF($X73&lt;30,1,0))</formula>
    </cfRule>
    <cfRule type="expression" priority="161" dxfId="0">
      <formula>AND(IF($Q73=3,1,IF($Q73=4,1,0)),IF($F73&lt;=85,1,0))</formula>
    </cfRule>
  </conditionalFormatting>
  <conditionalFormatting sqref="AV74">
    <cfRule type="expression" priority="156" dxfId="17">
      <formula>AV74="X"</formula>
    </cfRule>
    <cfRule type="expression" priority="157" dxfId="16">
      <formula>AV74="후보"</formula>
    </cfRule>
  </conditionalFormatting>
  <conditionalFormatting sqref="AC74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74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74">
    <cfRule type="expression" priority="147" dxfId="3">
      <formula>AND(IF(OR($Q74=1,$Q74=2),1,0),IF($X74&lt;=20,1,0))</formula>
    </cfRule>
    <cfRule type="expression" priority="148" dxfId="2">
      <formula>AND(IF($Q74=2,1,0),IF($X74&lt;30,1,0))</formula>
    </cfRule>
    <cfRule type="expression" priority="149" dxfId="1">
      <formula>AND(IF($Q74=3,1,0),IF($X74&lt;30,1,0))</formula>
    </cfRule>
    <cfRule type="expression" priority="150" dxfId="0">
      <formula>AND(IF($Q74=3,1,IF($Q74=4,1,0)),IF($F74&lt;=85,1,0))</formula>
    </cfRule>
  </conditionalFormatting>
  <conditionalFormatting sqref="X74">
    <cfRule type="expression" priority="143" dxfId="3">
      <formula>AND(IF(OR($Q74=1,$Q74=2),1,0),IF($X74&lt;=20,1,0))</formula>
    </cfRule>
    <cfRule type="expression" priority="144" dxfId="2">
      <formula>AND(IF($Q74=2,1,0),IF($X74&lt;30,1,0))</formula>
    </cfRule>
    <cfRule type="expression" priority="145" dxfId="1">
      <formula>AND(IF($Q74=3,1,0),IF($X74&lt;30,1,0))</formula>
    </cfRule>
    <cfRule type="expression" priority="146" dxfId="0">
      <formula>AND(IF($Q74=3,1,IF($Q74=4,1,0)),IF($F74&lt;=85,1,0))</formula>
    </cfRule>
  </conditionalFormatting>
  <conditionalFormatting sqref="AI74">
    <cfRule type="expression" priority="139" dxfId="3">
      <formula>AND(IF(OR($Q74=1,$Q74=2),1,0),IF($X74&lt;=20,1,0))</formula>
    </cfRule>
    <cfRule type="expression" priority="140" dxfId="2">
      <formula>AND(IF($Q74=2,1,0),IF($X74&lt;30,1,0))</formula>
    </cfRule>
    <cfRule type="expression" priority="141" dxfId="1">
      <formula>AND(IF($Q74=3,1,0),IF($X74&lt;30,1,0))</formula>
    </cfRule>
    <cfRule type="expression" priority="142" dxfId="0">
      <formula>AND(IF($Q74=3,1,IF($Q74=4,1,0)),IF($F74&lt;=85,1,0))</formula>
    </cfRule>
  </conditionalFormatting>
  <conditionalFormatting sqref="AV75">
    <cfRule type="expression" priority="137" dxfId="17">
      <formula>AV75="X"</formula>
    </cfRule>
    <cfRule type="expression" priority="138" dxfId="16">
      <formula>AV75="후보"</formula>
    </cfRule>
  </conditionalFormatting>
  <conditionalFormatting sqref="AC75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75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75">
    <cfRule type="expression" priority="128" dxfId="3">
      <formula>AND(IF(OR($Q75=1,$Q75=2),1,0),IF($X75&lt;=20,1,0))</formula>
    </cfRule>
    <cfRule type="expression" priority="129" dxfId="2">
      <formula>AND(IF($Q75=2,1,0),IF($X75&lt;30,1,0))</formula>
    </cfRule>
    <cfRule type="expression" priority="130" dxfId="1">
      <formula>AND(IF($Q75=3,1,0),IF($X75&lt;30,1,0))</formula>
    </cfRule>
    <cfRule type="expression" priority="131" dxfId="0">
      <formula>AND(IF($Q75=3,1,IF($Q75=4,1,0)),IF($F75&lt;=85,1,0))</formula>
    </cfRule>
  </conditionalFormatting>
  <conditionalFormatting sqref="X75">
    <cfRule type="expression" priority="124" dxfId="3">
      <formula>AND(IF(OR($Q75=1,$Q75=2),1,0),IF($X75&lt;=20,1,0))</formula>
    </cfRule>
    <cfRule type="expression" priority="125" dxfId="2">
      <formula>AND(IF($Q75=2,1,0),IF($X75&lt;30,1,0))</formula>
    </cfRule>
    <cfRule type="expression" priority="126" dxfId="1">
      <formula>AND(IF($Q75=3,1,0),IF($X75&lt;30,1,0))</formula>
    </cfRule>
    <cfRule type="expression" priority="127" dxfId="0">
      <formula>AND(IF($Q75=3,1,IF($Q75=4,1,0)),IF($F75&lt;=85,1,0))</formula>
    </cfRule>
  </conditionalFormatting>
  <conditionalFormatting sqref="AI75">
    <cfRule type="expression" priority="120" dxfId="3">
      <formula>AND(IF(OR($Q75=1,$Q75=2),1,0),IF($X75&lt;=20,1,0))</formula>
    </cfRule>
    <cfRule type="expression" priority="121" dxfId="2">
      <formula>AND(IF($Q75=2,1,0),IF($X75&lt;30,1,0))</formula>
    </cfRule>
    <cfRule type="expression" priority="122" dxfId="1">
      <formula>AND(IF($Q75=3,1,0),IF($X75&lt;30,1,0))</formula>
    </cfRule>
    <cfRule type="expression" priority="123" dxfId="0">
      <formula>AND(IF($Q75=3,1,IF($Q75=4,1,0)),IF($F75&lt;=85,1,0))</formula>
    </cfRule>
  </conditionalFormatting>
  <conditionalFormatting sqref="AV76">
    <cfRule type="expression" priority="118" dxfId="17">
      <formula>AV76="X"</formula>
    </cfRule>
    <cfRule type="expression" priority="119" dxfId="16">
      <formula>AV76="후보"</formula>
    </cfRule>
  </conditionalFormatting>
  <conditionalFormatting sqref="AC76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76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76">
    <cfRule type="expression" priority="109" dxfId="3">
      <formula>AND(IF(OR($Q76=1,$Q76=2),1,0),IF($X76&lt;=20,1,0))</formula>
    </cfRule>
    <cfRule type="expression" priority="110" dxfId="2">
      <formula>AND(IF($Q76=2,1,0),IF($X76&lt;30,1,0))</formula>
    </cfRule>
    <cfRule type="expression" priority="111" dxfId="1">
      <formula>AND(IF($Q76=3,1,0),IF($X76&lt;30,1,0))</formula>
    </cfRule>
    <cfRule type="expression" priority="112" dxfId="0">
      <formula>AND(IF($Q76=3,1,IF($Q76=4,1,0)),IF($F76&lt;=85,1,0))</formula>
    </cfRule>
  </conditionalFormatting>
  <conditionalFormatting sqref="X76">
    <cfRule type="expression" priority="105" dxfId="3">
      <formula>AND(IF(OR($Q76=1,$Q76=2),1,0),IF($X76&lt;=20,1,0))</formula>
    </cfRule>
    <cfRule type="expression" priority="106" dxfId="2">
      <formula>AND(IF($Q76=2,1,0),IF($X76&lt;30,1,0))</formula>
    </cfRule>
    <cfRule type="expression" priority="107" dxfId="1">
      <formula>AND(IF($Q76=3,1,0),IF($X76&lt;30,1,0))</formula>
    </cfRule>
    <cfRule type="expression" priority="108" dxfId="0">
      <formula>AND(IF($Q76=3,1,IF($Q76=4,1,0)),IF($F76&lt;=85,1,0))</formula>
    </cfRule>
  </conditionalFormatting>
  <conditionalFormatting sqref="AI76">
    <cfRule type="expression" priority="101" dxfId="3">
      <formula>AND(IF(OR($Q76=1,$Q76=2),1,0),IF($X76&lt;=20,1,0))</formula>
    </cfRule>
    <cfRule type="expression" priority="102" dxfId="2">
      <formula>AND(IF($Q76=2,1,0),IF($X76&lt;30,1,0))</formula>
    </cfRule>
    <cfRule type="expression" priority="103" dxfId="1">
      <formula>AND(IF($Q76=3,1,0),IF($X76&lt;30,1,0))</formula>
    </cfRule>
    <cfRule type="expression" priority="104" dxfId="0">
      <formula>AND(IF($Q76=3,1,IF($Q76=4,1,0)),IF($F76&lt;=85,1,0))</formula>
    </cfRule>
  </conditionalFormatting>
  <conditionalFormatting sqref="AV77">
    <cfRule type="expression" priority="99" dxfId="17">
      <formula>AV77="X"</formula>
    </cfRule>
    <cfRule type="expression" priority="100" dxfId="16">
      <formula>AV77="후보"</formula>
    </cfRule>
  </conditionalFormatting>
  <conditionalFormatting sqref="AC77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77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77">
    <cfRule type="expression" priority="90" dxfId="3">
      <formula>AND(IF(OR($Q77=1,$Q77=2),1,0),IF($X77&lt;=20,1,0))</formula>
    </cfRule>
    <cfRule type="expression" priority="91" dxfId="2">
      <formula>AND(IF($Q77=2,1,0),IF($X77&lt;30,1,0))</formula>
    </cfRule>
    <cfRule type="expression" priority="92" dxfId="1">
      <formula>AND(IF($Q77=3,1,0),IF($X77&lt;30,1,0))</formula>
    </cfRule>
    <cfRule type="expression" priority="93" dxfId="0">
      <formula>AND(IF($Q77=3,1,IF($Q77=4,1,0)),IF($F77&lt;=85,1,0))</formula>
    </cfRule>
  </conditionalFormatting>
  <conditionalFormatting sqref="X77">
    <cfRule type="expression" priority="86" dxfId="3">
      <formula>AND(IF(OR($Q77=1,$Q77=2),1,0),IF($X77&lt;=20,1,0))</formula>
    </cfRule>
    <cfRule type="expression" priority="87" dxfId="2">
      <formula>AND(IF($Q77=2,1,0),IF($X77&lt;30,1,0))</formula>
    </cfRule>
    <cfRule type="expression" priority="88" dxfId="1">
      <formula>AND(IF($Q77=3,1,0),IF($X77&lt;30,1,0))</formula>
    </cfRule>
    <cfRule type="expression" priority="89" dxfId="0">
      <formula>AND(IF($Q77=3,1,IF($Q77=4,1,0)),IF($F77&lt;=85,1,0))</formula>
    </cfRule>
  </conditionalFormatting>
  <conditionalFormatting sqref="AI77">
    <cfRule type="expression" priority="82" dxfId="3">
      <formula>AND(IF(OR($Q77=1,$Q77=2),1,0),IF($X77&lt;=20,1,0))</formula>
    </cfRule>
    <cfRule type="expression" priority="83" dxfId="2">
      <formula>AND(IF($Q77=2,1,0),IF($X77&lt;30,1,0))</formula>
    </cfRule>
    <cfRule type="expression" priority="84" dxfId="1">
      <formula>AND(IF($Q77=3,1,0),IF($X77&lt;30,1,0))</formula>
    </cfRule>
    <cfRule type="expression" priority="85" dxfId="0">
      <formula>AND(IF($Q77=3,1,IF($Q77=4,1,0)),IF($F77&lt;=85,1,0))</formula>
    </cfRule>
  </conditionalFormatting>
  <conditionalFormatting sqref="AV78">
    <cfRule type="expression" priority="80" dxfId="17">
      <formula>AV78="X"</formula>
    </cfRule>
    <cfRule type="expression" priority="81" dxfId="16">
      <formula>AV78="후보"</formula>
    </cfRule>
  </conditionalFormatting>
  <conditionalFormatting sqref="AC78 N78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AV79">
    <cfRule type="expression" priority="75" dxfId="17">
      <formula>AV79="X"</formula>
    </cfRule>
    <cfRule type="expression" priority="76" dxfId="16">
      <formula>AV79="후보"</formula>
    </cfRule>
  </conditionalFormatting>
  <conditionalFormatting sqref="AC79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79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79">
    <cfRule type="expression" priority="66" dxfId="3">
      <formula>AND(IF(OR($Q79=1,$Q79=2),1,0),IF($X79&lt;=20,1,0))</formula>
    </cfRule>
    <cfRule type="expression" priority="67" dxfId="2">
      <formula>AND(IF($Q79=2,1,0),IF($X79&lt;30,1,0))</formula>
    </cfRule>
    <cfRule type="expression" priority="68" dxfId="1">
      <formula>AND(IF($Q79=3,1,0),IF($X79&lt;30,1,0))</formula>
    </cfRule>
    <cfRule type="expression" priority="69" dxfId="0">
      <formula>AND(IF($Q79=3,1,IF($Q79=4,1,0)),IF($F79&lt;=85,1,0))</formula>
    </cfRule>
  </conditionalFormatting>
  <conditionalFormatting sqref="X79">
    <cfRule type="expression" priority="62" dxfId="3">
      <formula>AND(IF(OR($Q79=1,$Q79=2),1,0),IF($X79&lt;=20,1,0))</formula>
    </cfRule>
    <cfRule type="expression" priority="63" dxfId="2">
      <formula>AND(IF($Q79=2,1,0),IF($X79&lt;30,1,0))</formula>
    </cfRule>
    <cfRule type="expression" priority="64" dxfId="1">
      <formula>AND(IF($Q79=3,1,0),IF($X79&lt;30,1,0))</formula>
    </cfRule>
    <cfRule type="expression" priority="65" dxfId="0">
      <formula>AND(IF($Q79=3,1,IF($Q79=4,1,0)),IF($F79&lt;=85,1,0))</formula>
    </cfRule>
  </conditionalFormatting>
  <conditionalFormatting sqref="AI79">
    <cfRule type="expression" priority="58" dxfId="3">
      <formula>AND(IF(OR($Q79=1,$Q79=2),1,0),IF($X79&lt;=20,1,0))</formula>
    </cfRule>
    <cfRule type="expression" priority="59" dxfId="2">
      <formula>AND(IF($Q79=2,1,0),IF($X79&lt;30,1,0))</formula>
    </cfRule>
    <cfRule type="expression" priority="60" dxfId="1">
      <formula>AND(IF($Q79=3,1,0),IF($X79&lt;30,1,0))</formula>
    </cfRule>
    <cfRule type="expression" priority="61" dxfId="0">
      <formula>AND(IF($Q79=3,1,IF($Q79=4,1,0)),IF($F79&lt;=85,1,0))</formula>
    </cfRule>
  </conditionalFormatting>
  <conditionalFormatting sqref="AV80">
    <cfRule type="expression" priority="56" dxfId="17">
      <formula>AV80="X"</formula>
    </cfRule>
    <cfRule type="expression" priority="57" dxfId="16">
      <formula>AV80="후보"</formula>
    </cfRule>
  </conditionalFormatting>
  <conditionalFormatting sqref="AC80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80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80">
    <cfRule type="expression" priority="47" dxfId="3">
      <formula>AND(IF(OR($Q80=1,$Q80=2),1,0),IF($X80&lt;=20,1,0))</formula>
    </cfRule>
    <cfRule type="expression" priority="48" dxfId="2">
      <formula>AND(IF($Q80=2,1,0),IF($X80&lt;30,1,0))</formula>
    </cfRule>
    <cfRule type="expression" priority="49" dxfId="1">
      <formula>AND(IF($Q80=3,1,0),IF($X80&lt;30,1,0))</formula>
    </cfRule>
    <cfRule type="expression" priority="50" dxfId="0">
      <formula>AND(IF($Q80=3,1,IF($Q80=4,1,0)),IF($F80&lt;=85,1,0))</formula>
    </cfRule>
  </conditionalFormatting>
  <conditionalFormatting sqref="X80">
    <cfRule type="expression" priority="43" dxfId="3">
      <formula>AND(IF(OR($Q80=1,$Q80=2),1,0),IF($X80&lt;=20,1,0))</formula>
    </cfRule>
    <cfRule type="expression" priority="44" dxfId="2">
      <formula>AND(IF($Q80=2,1,0),IF($X80&lt;30,1,0))</formula>
    </cfRule>
    <cfRule type="expression" priority="45" dxfId="1">
      <formula>AND(IF($Q80=3,1,0),IF($X80&lt;30,1,0))</formula>
    </cfRule>
    <cfRule type="expression" priority="46" dxfId="0">
      <formula>AND(IF($Q80=3,1,IF($Q80=4,1,0)),IF($F80&lt;=85,1,0))</formula>
    </cfRule>
  </conditionalFormatting>
  <conditionalFormatting sqref="AI80">
    <cfRule type="expression" priority="39" dxfId="3">
      <formula>AND(IF(OR($Q80=1,$Q80=2),1,0),IF($X80&lt;=20,1,0))</formula>
    </cfRule>
    <cfRule type="expression" priority="40" dxfId="2">
      <formula>AND(IF($Q80=2,1,0),IF($X80&lt;30,1,0))</formula>
    </cfRule>
    <cfRule type="expression" priority="41" dxfId="1">
      <formula>AND(IF($Q80=3,1,0),IF($X80&lt;30,1,0))</formula>
    </cfRule>
    <cfRule type="expression" priority="42" dxfId="0">
      <formula>AND(IF($Q80=3,1,IF($Q80=4,1,0)),IF($F80&lt;=85,1,0))</formula>
    </cfRule>
  </conditionalFormatting>
  <conditionalFormatting sqref="AV81">
    <cfRule type="expression" priority="37" dxfId="17">
      <formula>AV81="X"</formula>
    </cfRule>
    <cfRule type="expression" priority="38" dxfId="16">
      <formula>AV81="후보"</formula>
    </cfRule>
  </conditionalFormatting>
  <conditionalFormatting sqref="AC81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81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81">
    <cfRule type="expression" priority="28" dxfId="3">
      <formula>AND(IF(OR($Q81=1,$Q81=2),1,0),IF($X81&lt;=20,1,0))</formula>
    </cfRule>
    <cfRule type="expression" priority="29" dxfId="2">
      <formula>AND(IF($Q81=2,1,0),IF($X81&lt;30,1,0))</formula>
    </cfRule>
    <cfRule type="expression" priority="30" dxfId="1">
      <formula>AND(IF($Q81=3,1,0),IF($X81&lt;30,1,0))</formula>
    </cfRule>
    <cfRule type="expression" priority="31" dxfId="0">
      <formula>AND(IF($Q81=3,1,IF($Q81=4,1,0)),IF($F81&lt;=85,1,0))</formula>
    </cfRule>
  </conditionalFormatting>
  <conditionalFormatting sqref="X81">
    <cfRule type="expression" priority="24" dxfId="3">
      <formula>AND(IF(OR($Q81=1,$Q81=2),1,0),IF($X81&lt;=20,1,0))</formula>
    </cfRule>
    <cfRule type="expression" priority="25" dxfId="2">
      <formula>AND(IF($Q81=2,1,0),IF($X81&lt;30,1,0))</formula>
    </cfRule>
    <cfRule type="expression" priority="26" dxfId="1">
      <formula>AND(IF($Q81=3,1,0),IF($X81&lt;30,1,0))</formula>
    </cfRule>
    <cfRule type="expression" priority="27" dxfId="0">
      <formula>AND(IF($Q81=3,1,IF($Q81=4,1,0)),IF($F81&lt;=85,1,0))</formula>
    </cfRule>
  </conditionalFormatting>
  <conditionalFormatting sqref="AI81">
    <cfRule type="expression" priority="20" dxfId="3">
      <formula>AND(IF(OR($Q81=1,$Q81=2),1,0),IF($X81&lt;=20,1,0))</formula>
    </cfRule>
    <cfRule type="expression" priority="21" dxfId="2">
      <formula>AND(IF($Q81=2,1,0),IF($X81&lt;30,1,0))</formula>
    </cfRule>
    <cfRule type="expression" priority="22" dxfId="1">
      <formula>AND(IF($Q81=3,1,0),IF($X81&lt;30,1,0))</formula>
    </cfRule>
    <cfRule type="expression" priority="23" dxfId="0">
      <formula>AND(IF($Q81=3,1,IF($Q81=4,1,0)),IF($F81&lt;=85,1,0))</formula>
    </cfRule>
  </conditionalFormatting>
  <conditionalFormatting sqref="AV82">
    <cfRule type="expression" priority="18" dxfId="17">
      <formula>AV82="X"</formula>
    </cfRule>
    <cfRule type="expression" priority="19" dxfId="16">
      <formula>AV82="후보"</formula>
    </cfRule>
  </conditionalFormatting>
  <conditionalFormatting sqref="AC82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82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82">
    <cfRule type="expression" priority="9" dxfId="3">
      <formula>AND(IF(OR($Q82=1,$Q82=2),1,0),IF($X82&lt;=20,1,0))</formula>
    </cfRule>
    <cfRule type="expression" priority="10" dxfId="2">
      <formula>AND(IF($Q82=2,1,0),IF($X82&lt;30,1,0))</formula>
    </cfRule>
    <cfRule type="expression" priority="11" dxfId="1">
      <formula>AND(IF($Q82=3,1,0),IF($X82&lt;30,1,0))</formula>
    </cfRule>
    <cfRule type="expression" priority="12" dxfId="0">
      <formula>AND(IF($Q82=3,1,IF($Q82=4,1,0)),IF($F82&lt;=85,1,0))</formula>
    </cfRule>
  </conditionalFormatting>
  <conditionalFormatting sqref="X82">
    <cfRule type="expression" priority="5" dxfId="3">
      <formula>AND(IF(OR($Q82=1,$Q82=2),1,0),IF($X82&lt;=20,1,0))</formula>
    </cfRule>
    <cfRule type="expression" priority="6" dxfId="2">
      <formula>AND(IF($Q82=2,1,0),IF($X82&lt;30,1,0))</formula>
    </cfRule>
    <cfRule type="expression" priority="7" dxfId="1">
      <formula>AND(IF($Q82=3,1,0),IF($X82&lt;30,1,0))</formula>
    </cfRule>
    <cfRule type="expression" priority="8" dxfId="0">
      <formula>AND(IF($Q82=3,1,IF($Q82=4,1,0)),IF($F82&lt;=85,1,0))</formula>
    </cfRule>
  </conditionalFormatting>
  <conditionalFormatting sqref="AI82">
    <cfRule type="expression" priority="1" dxfId="3">
      <formula>AND(IF(OR($Q82=1,$Q82=2),1,0),IF($X82&lt;=20,1,0))</formula>
    </cfRule>
    <cfRule type="expression" priority="2" dxfId="2">
      <formula>AND(IF($Q82=2,1,0),IF($X82&lt;30,1,0))</formula>
    </cfRule>
    <cfRule type="expression" priority="3" dxfId="1">
      <formula>AND(IF($Q82=3,1,0),IF($X82&lt;30,1,0))</formula>
    </cfRule>
    <cfRule type="expression" priority="4" dxfId="0">
      <formula>AND(IF($Q82=3,1,IF($Q82=4,1,0)),IF($F82&lt;=85,1,0))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7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4" sqref="A74:XFD74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명일동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명일삼환</t>
        </is>
      </c>
      <c r="B6" s="16" t="inlineStr">
        <is>
          <t>'92.06.</t>
        </is>
      </c>
      <c r="C6" s="164" t="n">
        <v>306</v>
      </c>
      <c r="D6" s="161" t="n">
        <v>106.3</v>
      </c>
      <c r="E6" s="163" t="n">
        <v>32</v>
      </c>
      <c r="F6" s="161" t="n">
        <v>84.90000000000001</v>
      </c>
      <c r="G6" s="27" t="n">
        <v>26</v>
      </c>
      <c r="H6" s="164" t="n">
        <v>217</v>
      </c>
      <c r="I6" s="165" t="n">
        <v>150000</v>
      </c>
      <c r="J6" s="165" t="inlineStr">
        <is>
          <t>13</t>
        </is>
      </c>
      <c r="K6" s="165" t="n">
        <v>65000</v>
      </c>
      <c r="L6" s="165" t="inlineStr">
        <is>
          <t>고</t>
        </is>
      </c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inlineStr">
        <is>
          <t>106A</t>
        </is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명일삼환</t>
        </is>
      </c>
      <c r="B7" s="16" t="inlineStr">
        <is>
          <t>'92.06.</t>
        </is>
      </c>
      <c r="C7" s="164" t="n">
        <v>306</v>
      </c>
      <c r="D7" s="161" t="n">
        <v>106.3</v>
      </c>
      <c r="E7" s="163" t="n">
        <v>32</v>
      </c>
      <c r="F7" s="161" t="n">
        <v>84.90000000000001</v>
      </c>
      <c r="G7" s="27" t="n">
        <v>26</v>
      </c>
      <c r="H7" s="164" t="n">
        <v>72</v>
      </c>
      <c r="I7" s="165" t="n">
        <v>150000</v>
      </c>
      <c r="J7" s="165" t="inlineStr">
        <is>
          <t>13</t>
        </is>
      </c>
      <c r="K7" s="165" t="n">
        <v>65000</v>
      </c>
      <c r="L7" s="165" t="inlineStr">
        <is>
          <t>고</t>
        </is>
      </c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106C</t>
        </is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명일삼환</t>
        </is>
      </c>
      <c r="B8" s="16" t="inlineStr">
        <is>
          <t>'92.06.</t>
        </is>
      </c>
      <c r="C8" s="164" t="n">
        <v>306</v>
      </c>
      <c r="D8" s="161" t="n">
        <v>106.3</v>
      </c>
      <c r="E8" s="163" t="n">
        <v>32</v>
      </c>
      <c r="F8" s="161" t="n">
        <v>84.90000000000001</v>
      </c>
      <c r="G8" s="27" t="n">
        <v>26</v>
      </c>
      <c r="H8" s="164" t="n">
        <v>17</v>
      </c>
      <c r="I8" s="165" t="n">
        <v>150000</v>
      </c>
      <c r="J8" s="165" t="inlineStr">
        <is>
          <t>13</t>
        </is>
      </c>
      <c r="K8" s="165" t="n">
        <v>65000</v>
      </c>
      <c r="L8" s="165" t="inlineStr">
        <is>
          <t>고</t>
        </is>
      </c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106B</t>
        </is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n"/>
      <c r="B9" s="113" t="n"/>
      <c r="C9" s="10" t="n"/>
      <c r="D9" s="13" t="n"/>
      <c r="E9" s="20" t="n"/>
      <c r="F9" s="161" t="n"/>
      <c r="G9" s="13" t="n"/>
      <c r="H9" s="13" t="n"/>
      <c r="I9" s="13" t="n"/>
      <c r="J9" s="13" t="n"/>
      <c r="K9" s="13" t="n"/>
      <c r="L9" s="13" t="n"/>
      <c r="M9" s="13" t="n"/>
      <c r="N9" s="13" t="n"/>
      <c r="O9" s="162" t="n"/>
      <c r="P9" s="162" t="n"/>
      <c r="Q9" s="163" t="n"/>
      <c r="R9" s="163" t="n"/>
      <c r="S9" s="13" t="n"/>
      <c r="T9" s="70" t="n"/>
      <c r="U9" s="13" t="n"/>
      <c r="W9" s="107">
        <f>$A$4&amp;" "&amp;A10&amp;"("&amp;B10&amp;","&amp;C10&amp;"^)"</f>
        <v/>
      </c>
      <c r="X9" s="108" t="n"/>
      <c r="Y9" s="108" t="n"/>
      <c r="Z9" s="108" t="n"/>
      <c r="AA9" s="108" t="n"/>
      <c r="AB9" s="108" t="n"/>
      <c r="AC9" s="108" t="n"/>
      <c r="AD9" s="108" t="n"/>
      <c r="AE9" s="108" t="n"/>
      <c r="AF9" s="109" t="n"/>
      <c r="AH9" s="36">
        <f>IF(A9="","",A9)</f>
        <v/>
      </c>
      <c r="AI9" s="160">
        <f>IF(E9="","",E9)</f>
        <v/>
      </c>
      <c r="AJ9" s="113" t="n"/>
      <c r="AK9" s="113" t="n"/>
      <c r="AL9" s="113" t="n"/>
      <c r="AM9" s="113" t="n"/>
      <c r="AN9" s="113" t="n"/>
      <c r="AO9" s="113" t="n"/>
      <c r="AP9" s="113" t="n"/>
      <c r="AQ9" s="113" t="n"/>
      <c r="AR9" s="113" t="n"/>
      <c r="AS9" s="113" t="n"/>
      <c r="AT9" s="113" t="n"/>
      <c r="AU9" s="113" t="n"/>
      <c r="AV9" s="113" t="n"/>
    </row>
    <row r="10">
      <c r="A10" s="13" t="inlineStr">
        <is>
          <t>고덕주공9단지</t>
        </is>
      </c>
      <c r="B10" s="16" t="inlineStr">
        <is>
          <t>'85.11.</t>
        </is>
      </c>
      <c r="C10" s="164" t="n">
        <v>1320</v>
      </c>
      <c r="D10" s="161" t="n">
        <v>103.6</v>
      </c>
      <c r="E10" s="163" t="n">
        <v>31</v>
      </c>
      <c r="F10" s="161" t="n">
        <v>83.3</v>
      </c>
      <c r="G10" s="27" t="n">
        <v>25</v>
      </c>
      <c r="H10" s="164" t="n">
        <v>180</v>
      </c>
      <c r="I10" s="165" t="n">
        <v>150000</v>
      </c>
      <c r="J10" s="165" t="inlineStr">
        <is>
          <t>중</t>
        </is>
      </c>
      <c r="K10" s="165" t="n">
        <v>53000</v>
      </c>
      <c r="L10" s="165" t="inlineStr">
        <is>
          <t>고</t>
        </is>
      </c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1</v>
      </c>
      <c r="S10" s="113" t="inlineStr">
        <is>
          <t>계</t>
        </is>
      </c>
      <c r="T10" s="8" t="n">
        <v>103</v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고덕주공9단지</t>
        </is>
      </c>
      <c r="B11" s="16" t="inlineStr">
        <is>
          <t>'85.11.</t>
        </is>
      </c>
      <c r="C11" s="164" t="n">
        <v>1320</v>
      </c>
      <c r="D11" s="161" t="n">
        <v>104.3</v>
      </c>
      <c r="E11" s="163" t="n">
        <v>32</v>
      </c>
      <c r="F11" s="161" t="n">
        <v>83.90000000000001</v>
      </c>
      <c r="G11" s="27" t="n">
        <v>25</v>
      </c>
      <c r="H11" s="164" t="n">
        <v>180</v>
      </c>
      <c r="I11" s="165" t="n">
        <v>150000</v>
      </c>
      <c r="J11" s="165" t="inlineStr">
        <is>
          <t>5</t>
        </is>
      </c>
      <c r="K11" s="165" t="n"/>
      <c r="L11" s="165" t="n"/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1</v>
      </c>
      <c r="S11" s="113" t="inlineStr">
        <is>
          <t>계</t>
        </is>
      </c>
      <c r="T11" s="8" t="inlineStr">
        <is>
          <t>104B</t>
        </is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고덕주공9단지</t>
        </is>
      </c>
      <c r="B12" s="16" t="inlineStr">
        <is>
          <t>'85.11.</t>
        </is>
      </c>
      <c r="C12" s="164" t="n">
        <v>1320</v>
      </c>
      <c r="D12" s="161" t="n">
        <v>106.4</v>
      </c>
      <c r="E12" s="163" t="n">
        <v>32</v>
      </c>
      <c r="F12" s="161" t="n">
        <v>83.5</v>
      </c>
      <c r="G12" s="27" t="n">
        <v>25</v>
      </c>
      <c r="H12" s="164" t="n">
        <v>720</v>
      </c>
      <c r="I12" s="165" t="n">
        <v>143000</v>
      </c>
      <c r="J12" s="165" t="inlineStr">
        <is>
          <t>12</t>
        </is>
      </c>
      <c r="K12" s="165" t="n">
        <v>55000</v>
      </c>
      <c r="L12" s="165" t="inlineStr">
        <is>
          <t>중</t>
        </is>
      </c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3</v>
      </c>
      <c r="R12" s="113" t="n">
        <v>1</v>
      </c>
      <c r="S12" s="113" t="inlineStr">
        <is>
          <t>복</t>
        </is>
      </c>
      <c r="T12" s="8" t="inlineStr">
        <is>
          <t>106A</t>
        </is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고덕주공9단지</t>
        </is>
      </c>
      <c r="B13" s="16" t="inlineStr">
        <is>
          <t>'85.11.</t>
        </is>
      </c>
      <c r="C13" s="164" t="n">
        <v>1320</v>
      </c>
      <c r="D13" s="161" t="n">
        <v>106</v>
      </c>
      <c r="E13" s="163" t="n">
        <v>32</v>
      </c>
      <c r="F13" s="161" t="n">
        <v>83.2</v>
      </c>
      <c r="G13" s="27" t="n">
        <v>25</v>
      </c>
      <c r="H13" s="164" t="n">
        <v>180</v>
      </c>
      <c r="I13" s="165" t="n">
        <v>143000</v>
      </c>
      <c r="J13" s="165" t="inlineStr">
        <is>
          <t>10</t>
        </is>
      </c>
      <c r="K13" s="165" t="n"/>
      <c r="L13" s="165" t="n"/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3</v>
      </c>
      <c r="R13" s="113" t="n">
        <v>1</v>
      </c>
      <c r="S13" s="113" t="inlineStr">
        <is>
          <t>복</t>
        </is>
      </c>
      <c r="T13" s="8" t="inlineStr">
        <is>
          <t>106A</t>
        </is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고덕주공9단지</t>
        </is>
      </c>
      <c r="B14" s="16" t="inlineStr">
        <is>
          <t>'85.11.</t>
        </is>
      </c>
      <c r="C14" s="164" t="n">
        <v>1320</v>
      </c>
      <c r="D14" s="161" t="n">
        <v>108.8</v>
      </c>
      <c r="E14" s="163" t="n">
        <v>33</v>
      </c>
      <c r="F14" s="161" t="n">
        <v>83.3</v>
      </c>
      <c r="G14" s="27" t="n">
        <v>25</v>
      </c>
      <c r="H14" s="164" t="n">
        <v>60</v>
      </c>
      <c r="I14" s="165" t="n"/>
      <c r="J14" s="165" t="n"/>
      <c r="K14" s="165" t="n"/>
      <c r="L14" s="165" t="n"/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3</v>
      </c>
      <c r="R14" s="113" t="n">
        <v>1</v>
      </c>
      <c r="S14" s="113" t="inlineStr">
        <is>
          <t>복</t>
        </is>
      </c>
      <c r="T14" s="8" t="inlineStr">
        <is>
          <t>108B</t>
        </is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n"/>
      <c r="B15" s="113" t="n"/>
      <c r="C15" s="10" t="n"/>
      <c r="D15" s="13" t="n"/>
      <c r="E15" s="20" t="n"/>
      <c r="F15" s="161" t="n"/>
      <c r="G15" s="13" t="n"/>
      <c r="H15" s="13" t="n"/>
      <c r="I15" s="13" t="n"/>
      <c r="J15" s="13" t="n"/>
      <c r="K15" s="13" t="n"/>
      <c r="L15" s="13" t="n"/>
      <c r="M15" s="13" t="n"/>
      <c r="N15" s="13" t="n"/>
      <c r="O15" s="162" t="n"/>
      <c r="P15" s="162" t="n"/>
      <c r="Q15" s="163" t="n"/>
      <c r="R15" s="163" t="n"/>
      <c r="S15" s="13" t="n"/>
      <c r="T15" s="70" t="n"/>
      <c r="U15" s="13" t="n"/>
      <c r="W15" s="107">
        <f>$A$4&amp;" "&amp;A16&amp;"("&amp;B16&amp;","&amp;C16&amp;"^)"</f>
        <v/>
      </c>
      <c r="X15" s="108" t="n"/>
      <c r="Y15" s="108" t="n"/>
      <c r="Z15" s="108" t="n"/>
      <c r="AA15" s="108" t="n"/>
      <c r="AB15" s="108" t="n"/>
      <c r="AC15" s="108" t="n"/>
      <c r="AD15" s="108" t="n"/>
      <c r="AE15" s="108" t="n"/>
      <c r="AF15" s="109" t="n"/>
      <c r="AH15" s="36">
        <f>IF(A15="","",A15)</f>
        <v/>
      </c>
      <c r="AI15" s="160">
        <f>IF(E15="","",E15)</f>
        <v/>
      </c>
      <c r="AJ15" s="113" t="n"/>
      <c r="AK15" s="113" t="n"/>
      <c r="AL15" s="113" t="n"/>
      <c r="AM15" s="113" t="n"/>
      <c r="AN15" s="113" t="n"/>
      <c r="AO15" s="113" t="n"/>
      <c r="AP15" s="113" t="n"/>
      <c r="AQ15" s="113" t="n"/>
      <c r="AR15" s="113" t="n"/>
      <c r="AS15" s="113" t="n"/>
      <c r="AT15" s="113" t="n"/>
      <c r="AU15" s="113" t="n"/>
      <c r="AV15" s="113" t="n"/>
    </row>
    <row r="16">
      <c r="A16" s="13" t="inlineStr">
        <is>
          <t>명일LG</t>
        </is>
      </c>
      <c r="B16" s="16" t="inlineStr">
        <is>
          <t>'99.12.</t>
        </is>
      </c>
      <c r="C16" s="164" t="n">
        <v>772</v>
      </c>
      <c r="D16" s="161" t="n">
        <v>81.7</v>
      </c>
      <c r="E16" s="163" t="n">
        <v>25</v>
      </c>
      <c r="F16" s="161" t="n">
        <v>59.8</v>
      </c>
      <c r="G16" s="27" t="n">
        <v>18</v>
      </c>
      <c r="H16" s="164" t="n">
        <v>271</v>
      </c>
      <c r="I16" s="165" t="n">
        <v>91000</v>
      </c>
      <c r="J16" s="165" t="inlineStr">
        <is>
          <t>10</t>
        </is>
      </c>
      <c r="K16" s="165" t="n">
        <v>53000</v>
      </c>
      <c r="L16" s="165" t="inlineStr">
        <is>
          <t>중</t>
        </is>
      </c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2</v>
      </c>
      <c r="R16" s="113" t="n">
        <v>1</v>
      </c>
      <c r="S16" s="113" t="inlineStr">
        <is>
          <t>복</t>
        </is>
      </c>
      <c r="T16" s="8" t="inlineStr">
        <is>
          <t>81B</t>
        </is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명일LG</t>
        </is>
      </c>
      <c r="B17" s="16" t="inlineStr">
        <is>
          <t>'99.12.</t>
        </is>
      </c>
      <c r="C17" s="164" t="n">
        <v>772</v>
      </c>
      <c r="D17" s="161" t="n">
        <v>81.2</v>
      </c>
      <c r="E17" s="163" t="n">
        <v>25</v>
      </c>
      <c r="F17" s="161" t="n">
        <v>59.4</v>
      </c>
      <c r="G17" s="27" t="n">
        <v>18</v>
      </c>
      <c r="H17" s="164" t="n">
        <v>39</v>
      </c>
      <c r="I17" s="165" t="n"/>
      <c r="J17" s="165" t="n"/>
      <c r="K17" s="165" t="n"/>
      <c r="L17" s="165" t="n"/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2</v>
      </c>
      <c r="R17" s="113" t="n">
        <v>1</v>
      </c>
      <c r="S17" s="113" t="inlineStr">
        <is>
          <t>복</t>
        </is>
      </c>
      <c r="T17" s="8" t="inlineStr">
        <is>
          <t>81A</t>
        </is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명일LG</t>
        </is>
      </c>
      <c r="B18" s="16" t="inlineStr">
        <is>
          <t>'99.12.</t>
        </is>
      </c>
      <c r="C18" s="164" t="n">
        <v>772</v>
      </c>
      <c r="D18" s="161" t="n">
        <v>108</v>
      </c>
      <c r="E18" s="163" t="n">
        <v>33</v>
      </c>
      <c r="F18" s="161" t="n">
        <v>85</v>
      </c>
      <c r="G18" s="27" t="n">
        <v>26</v>
      </c>
      <c r="H18" s="164" t="n">
        <v>43</v>
      </c>
      <c r="I18" s="165" t="n">
        <v>115000</v>
      </c>
      <c r="J18" s="165" t="inlineStr">
        <is>
          <t>5</t>
        </is>
      </c>
      <c r="K18" s="165" t="n"/>
      <c r="L18" s="165" t="n"/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n">
        <v>107</v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명일LG</t>
        </is>
      </c>
      <c r="B19" s="16" t="inlineStr">
        <is>
          <t>'99.12.</t>
        </is>
      </c>
      <c r="C19" s="164" t="n">
        <v>772</v>
      </c>
      <c r="D19" s="161" t="n">
        <v>111.5</v>
      </c>
      <c r="E19" s="163" t="n">
        <v>34</v>
      </c>
      <c r="F19" s="161" t="n">
        <v>85</v>
      </c>
      <c r="G19" s="27" t="n">
        <v>26</v>
      </c>
      <c r="H19" s="164" t="n">
        <v>58</v>
      </c>
      <c r="I19" s="165" t="n">
        <v>115000</v>
      </c>
      <c r="J19" s="165" t="inlineStr">
        <is>
          <t>10</t>
        </is>
      </c>
      <c r="K19" s="165" t="n"/>
      <c r="L19" s="165" t="n"/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3</v>
      </c>
      <c r="R19" s="113" t="n">
        <v>2</v>
      </c>
      <c r="S19" s="113" t="inlineStr">
        <is>
          <t>계</t>
        </is>
      </c>
      <c r="T19" s="8" t="n">
        <v>111</v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명일LG</t>
        </is>
      </c>
      <c r="B20" s="16" t="inlineStr">
        <is>
          <t>'99.12.</t>
        </is>
      </c>
      <c r="C20" s="164" t="n">
        <v>772</v>
      </c>
      <c r="D20" s="161" t="n">
        <v>116</v>
      </c>
      <c r="E20" s="163" t="n">
        <v>35</v>
      </c>
      <c r="F20" s="161" t="n">
        <v>84.90000000000001</v>
      </c>
      <c r="G20" s="27" t="n">
        <v>26</v>
      </c>
      <c r="H20" s="164" t="n">
        <v>361</v>
      </c>
      <c r="I20" s="165" t="n">
        <v>108000</v>
      </c>
      <c r="J20" s="165" t="inlineStr">
        <is>
          <t>8</t>
        </is>
      </c>
      <c r="K20" s="165" t="n">
        <v>65000</v>
      </c>
      <c r="L20" s="165" t="inlineStr">
        <is>
          <t>중</t>
        </is>
      </c>
      <c r="M20" s="166">
        <f>I20-K20</f>
        <v/>
      </c>
      <c r="N20" s="7">
        <f>IF(ISERROR(K20/I20),"",K20/I20)</f>
        <v/>
      </c>
      <c r="O20" s="162">
        <f>I20/E20</f>
        <v/>
      </c>
      <c r="P20" s="162">
        <f>K20/E20</f>
        <v/>
      </c>
      <c r="Q20" s="113" t="n">
        <v>3</v>
      </c>
      <c r="R20" s="113" t="n">
        <v>2</v>
      </c>
      <c r="S20" s="113" t="inlineStr">
        <is>
          <t>복</t>
        </is>
      </c>
      <c r="T20" s="8" t="n">
        <v>116</v>
      </c>
      <c r="U20" s="13" t="n"/>
      <c r="W20" s="161">
        <f>D20</f>
        <v/>
      </c>
      <c r="X20" s="163">
        <f>E20</f>
        <v/>
      </c>
      <c r="Y20" s="159">
        <f>H20</f>
        <v/>
      </c>
      <c r="Z20" s="166">
        <f>I20</f>
        <v/>
      </c>
      <c r="AA20" s="166">
        <f>K20</f>
        <v/>
      </c>
      <c r="AB20" s="166">
        <f>M20</f>
        <v/>
      </c>
      <c r="AC20" s="7">
        <f>N20</f>
        <v/>
      </c>
      <c r="AD20" s="162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3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n"/>
      <c r="B21" s="113" t="n"/>
      <c r="C21" s="10" t="n"/>
      <c r="D21" s="13" t="n"/>
      <c r="E21" s="20" t="n"/>
      <c r="F21" s="161" t="n"/>
      <c r="G21" s="13" t="n"/>
      <c r="H21" s="13" t="n"/>
      <c r="I21" s="13" t="n"/>
      <c r="J21" s="13" t="n"/>
      <c r="K21" s="13" t="n"/>
      <c r="L21" s="13" t="n"/>
      <c r="M21" s="13" t="n"/>
      <c r="N21" s="13" t="n"/>
      <c r="O21" s="162" t="n"/>
      <c r="P21" s="162" t="n"/>
      <c r="Q21" s="163" t="n"/>
      <c r="R21" s="163" t="n"/>
      <c r="S21" s="13" t="n"/>
      <c r="T21" s="70" t="n"/>
      <c r="U21" s="13" t="n"/>
      <c r="W21" s="107">
        <f>$A$4&amp;" "&amp;A22&amp;"("&amp;B22&amp;","&amp;C22&amp;"^)"</f>
        <v/>
      </c>
      <c r="X21" s="108" t="n"/>
      <c r="Y21" s="108" t="n"/>
      <c r="Z21" s="108" t="n"/>
      <c r="AA21" s="108" t="n"/>
      <c r="AB21" s="108" t="n"/>
      <c r="AC21" s="108" t="n"/>
      <c r="AD21" s="108" t="n"/>
      <c r="AE21" s="108" t="n"/>
      <c r="AF21" s="109" t="n"/>
      <c r="AH21" s="36">
        <f>IF(A21="","",A21)</f>
        <v/>
      </c>
      <c r="AI21" s="160">
        <f>IF(E21="","",E21)</f>
        <v/>
      </c>
      <c r="AJ21" s="113" t="n"/>
      <c r="AK21" s="113" t="n"/>
      <c r="AL21" s="113" t="n"/>
      <c r="AM21" s="113" t="n"/>
      <c r="AN21" s="113" t="n"/>
      <c r="AO21" s="113" t="n"/>
      <c r="AP21" s="113" t="n"/>
      <c r="AQ21" s="113" t="n"/>
      <c r="AR21" s="113" t="n"/>
      <c r="AS21" s="113" t="n"/>
      <c r="AT21" s="113" t="n"/>
      <c r="AU21" s="113" t="n"/>
      <c r="AV21" s="113" t="n"/>
    </row>
    <row r="22">
      <c r="A22" s="13" t="inlineStr">
        <is>
          <t>삼익그린맨션2차</t>
        </is>
      </c>
      <c r="B22" s="16" t="inlineStr">
        <is>
          <t>'83.12.</t>
        </is>
      </c>
      <c r="C22" s="164" t="n">
        <v>2400</v>
      </c>
      <c r="D22" s="161" t="n">
        <v>59.9</v>
      </c>
      <c r="E22" s="163" t="n">
        <v>18</v>
      </c>
      <c r="F22" s="161" t="n">
        <v>42.9</v>
      </c>
      <c r="G22" s="27" t="n">
        <v>13</v>
      </c>
      <c r="H22" s="164" t="n">
        <v>270</v>
      </c>
      <c r="I22" s="165" t="n">
        <v>119000</v>
      </c>
      <c r="J22" s="165" t="inlineStr">
        <is>
          <t>5</t>
        </is>
      </c>
      <c r="K22" s="165" t="n">
        <v>33000</v>
      </c>
      <c r="L22" s="165" t="inlineStr">
        <is>
          <t>14</t>
        </is>
      </c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2</v>
      </c>
      <c r="R22" s="113" t="n">
        <v>1</v>
      </c>
      <c r="S22" s="113" t="inlineStr">
        <is>
          <t>복</t>
        </is>
      </c>
      <c r="T22" s="8" t="n">
        <v>59</v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삼익그린맨션2차</t>
        </is>
      </c>
      <c r="B23" s="16" t="inlineStr">
        <is>
          <t>'83.12.</t>
        </is>
      </c>
      <c r="C23" s="164" t="n">
        <v>2400</v>
      </c>
      <c r="D23" s="161" t="n">
        <v>76.40000000000001</v>
      </c>
      <c r="E23" s="163" t="n">
        <v>23</v>
      </c>
      <c r="F23" s="161" t="n">
        <v>54.8</v>
      </c>
      <c r="G23" s="27" t="n">
        <v>17</v>
      </c>
      <c r="H23" s="164" t="n">
        <v>495</v>
      </c>
      <c r="I23" s="165" t="n"/>
      <c r="J23" s="165" t="n"/>
      <c r="K23" s="165" t="n">
        <v>44000</v>
      </c>
      <c r="L23" s="165" t="inlineStr">
        <is>
          <t>고</t>
        </is>
      </c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3</v>
      </c>
      <c r="R23" s="113" t="n">
        <v>1</v>
      </c>
      <c r="S23" s="113" t="inlineStr">
        <is>
          <t>복</t>
        </is>
      </c>
      <c r="T23" s="8" t="n">
        <v>76</v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삼익그린맨션2차</t>
        </is>
      </c>
      <c r="B24" s="16" t="inlineStr">
        <is>
          <t>'83.12.</t>
        </is>
      </c>
      <c r="C24" s="164" t="n">
        <v>2400</v>
      </c>
      <c r="D24" s="161" t="n">
        <v>90</v>
      </c>
      <c r="E24" s="163" t="n">
        <v>27</v>
      </c>
      <c r="F24" s="161" t="n">
        <v>66.90000000000001</v>
      </c>
      <c r="G24" s="27" t="n">
        <v>20</v>
      </c>
      <c r="H24" s="164" t="n">
        <v>663</v>
      </c>
      <c r="I24" s="165" t="n">
        <v>145000</v>
      </c>
      <c r="J24" s="165" t="inlineStr">
        <is>
          <t>고</t>
        </is>
      </c>
      <c r="K24" s="165" t="n">
        <v>52000</v>
      </c>
      <c r="L24" s="165" t="inlineStr">
        <is>
          <t>6</t>
        </is>
      </c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3</v>
      </c>
      <c r="R24" s="113" t="n">
        <v>1</v>
      </c>
      <c r="S24" s="113" t="inlineStr">
        <is>
          <t>복</t>
        </is>
      </c>
      <c r="T24" s="8" t="n">
        <v>90</v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삼익그린맨션2차</t>
        </is>
      </c>
      <c r="B25" s="16" t="inlineStr">
        <is>
          <t>'83.12.</t>
        </is>
      </c>
      <c r="C25" s="164" t="n">
        <v>2400</v>
      </c>
      <c r="D25" s="161" t="n">
        <v>99.40000000000001</v>
      </c>
      <c r="E25" s="163" t="n">
        <v>30</v>
      </c>
      <c r="F25" s="161" t="n">
        <v>84.8</v>
      </c>
      <c r="G25" s="27" t="n">
        <v>26</v>
      </c>
      <c r="H25" s="164" t="n">
        <v>552</v>
      </c>
      <c r="I25" s="165" t="n"/>
      <c r="J25" s="165" t="n"/>
      <c r="K25" s="165" t="n"/>
      <c r="L25" s="165" t="n"/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3</v>
      </c>
      <c r="R25" s="113" t="n">
        <v>2</v>
      </c>
      <c r="S25" s="113" t="inlineStr">
        <is>
          <t>계</t>
        </is>
      </c>
      <c r="T25" s="8" t="n">
        <v>99</v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삼익그린맨션2차</t>
        </is>
      </c>
      <c r="B26" s="16" t="inlineStr">
        <is>
          <t>'83.12.</t>
        </is>
      </c>
      <c r="C26" s="164" t="n">
        <v>2400</v>
      </c>
      <c r="D26" s="161" t="n">
        <v>124</v>
      </c>
      <c r="E26" s="163" t="n">
        <v>37</v>
      </c>
      <c r="F26" s="161" t="n">
        <v>107.6</v>
      </c>
      <c r="G26" s="27" t="n">
        <v>33</v>
      </c>
      <c r="H26" s="164" t="n">
        <v>90</v>
      </c>
      <c r="I26" s="165" t="n"/>
      <c r="J26" s="165" t="n"/>
      <c r="K26" s="165" t="n"/>
      <c r="L26" s="165" t="n"/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4</v>
      </c>
      <c r="R26" s="113" t="n">
        <v>2</v>
      </c>
      <c r="S26" s="113" t="inlineStr">
        <is>
          <t>계</t>
        </is>
      </c>
      <c r="T26" s="8" t="n">
        <v>123</v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삼익그린맨션2차</t>
        </is>
      </c>
      <c r="B27" s="16" t="inlineStr">
        <is>
          <t>'83.12.</t>
        </is>
      </c>
      <c r="C27" s="164" t="n">
        <v>2400</v>
      </c>
      <c r="D27" s="161" t="n">
        <v>125.4</v>
      </c>
      <c r="E27" s="163" t="n">
        <v>38</v>
      </c>
      <c r="F27" s="161" t="n">
        <v>107.6</v>
      </c>
      <c r="G27" s="27" t="n">
        <v>33</v>
      </c>
      <c r="H27" s="164" t="n">
        <v>270</v>
      </c>
      <c r="I27" s="165" t="n">
        <v>200000</v>
      </c>
      <c r="J27" s="165" t="inlineStr">
        <is>
          <t>고</t>
        </is>
      </c>
      <c r="K27" s="165" t="n"/>
      <c r="L27" s="165" t="n"/>
      <c r="M27" s="166">
        <f>I27-K27</f>
        <v/>
      </c>
      <c r="N27" s="7">
        <f>IF(ISERROR(K27/I27),"",K27/I27)</f>
        <v/>
      </c>
      <c r="O27" s="162">
        <f>I27/E27</f>
        <v/>
      </c>
      <c r="P27" s="162">
        <f>K27/E27</f>
        <v/>
      </c>
      <c r="Q27" s="113" t="n">
        <v>4</v>
      </c>
      <c r="R27" s="113" t="n">
        <v>2</v>
      </c>
      <c r="S27" s="113" t="inlineStr">
        <is>
          <t>계</t>
        </is>
      </c>
      <c r="T27" s="8" t="n">
        <v>125</v>
      </c>
      <c r="U27" s="13" t="n"/>
      <c r="W27" s="161">
        <f>D27</f>
        <v/>
      </c>
      <c r="X27" s="163">
        <f>E27</f>
        <v/>
      </c>
      <c r="Y27" s="159">
        <f>H27</f>
        <v/>
      </c>
      <c r="Z27" s="166">
        <f>I27</f>
        <v/>
      </c>
      <c r="AA27" s="166">
        <f>K27</f>
        <v/>
      </c>
      <c r="AB27" s="166">
        <f>M27</f>
        <v/>
      </c>
      <c r="AC27" s="7">
        <f>N27</f>
        <v/>
      </c>
      <c r="AD27" s="162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3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삼익그린맨션2차</t>
        </is>
      </c>
      <c r="B28" s="16" t="inlineStr">
        <is>
          <t>'83.12.</t>
        </is>
      </c>
      <c r="C28" s="164" t="n">
        <v>2400</v>
      </c>
      <c r="D28" s="161" t="n">
        <v>148.2</v>
      </c>
      <c r="E28" s="163" t="n">
        <v>45</v>
      </c>
      <c r="F28" s="161" t="n">
        <v>128.2</v>
      </c>
      <c r="G28" s="27" t="n">
        <v>39</v>
      </c>
      <c r="H28" s="164" t="n">
        <v>60</v>
      </c>
      <c r="I28" s="165" t="n">
        <v>260000</v>
      </c>
      <c r="J28" s="165" t="inlineStr">
        <is>
          <t>5</t>
        </is>
      </c>
      <c r="K28" s="165" t="n">
        <v>100000</v>
      </c>
      <c r="L28" s="165" t="inlineStr">
        <is>
          <t>고</t>
        </is>
      </c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4</v>
      </c>
      <c r="R28" s="113" t="n">
        <v>2</v>
      </c>
      <c r="S28" s="113" t="inlineStr">
        <is>
          <t>계</t>
        </is>
      </c>
      <c r="T28" s="8" t="n">
        <v>148</v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n"/>
      <c r="B29" s="113" t="n"/>
      <c r="C29" s="10" t="n"/>
      <c r="D29" s="13" t="n"/>
      <c r="E29" s="20" t="n"/>
      <c r="F29" s="161" t="n"/>
      <c r="G29" s="13" t="n"/>
      <c r="H29" s="13" t="n"/>
      <c r="I29" s="13" t="n"/>
      <c r="J29" s="13" t="n"/>
      <c r="K29" s="13" t="n"/>
      <c r="L29" s="13" t="n"/>
      <c r="M29" s="13" t="n"/>
      <c r="N29" s="13" t="n"/>
      <c r="O29" s="162" t="n"/>
      <c r="P29" s="162" t="n"/>
      <c r="Q29" s="163" t="n"/>
      <c r="R29" s="163" t="n"/>
      <c r="S29" s="13" t="n"/>
      <c r="T29" s="70" t="n"/>
      <c r="U29" s="13" t="n"/>
      <c r="W29" s="107">
        <f>$A$4&amp;" "&amp;A30&amp;"("&amp;B30&amp;","&amp;C30&amp;"^)"</f>
        <v/>
      </c>
      <c r="X29" s="108" t="n"/>
      <c r="Y29" s="108" t="n"/>
      <c r="Z29" s="108" t="n"/>
      <c r="AA29" s="108" t="n"/>
      <c r="AB29" s="108" t="n"/>
      <c r="AC29" s="108" t="n"/>
      <c r="AD29" s="108" t="n"/>
      <c r="AE29" s="108" t="n"/>
      <c r="AF29" s="109" t="n"/>
      <c r="AH29" s="36">
        <f>IF(A29="","",A29)</f>
        <v/>
      </c>
      <c r="AI29" s="160">
        <f>IF(E29="","",E29)</f>
        <v/>
      </c>
      <c r="AJ29" s="113" t="n"/>
      <c r="AK29" s="113" t="n"/>
      <c r="AL29" s="113" t="n"/>
      <c r="AM29" s="113" t="n"/>
      <c r="AN29" s="113" t="n"/>
      <c r="AO29" s="113" t="n"/>
      <c r="AP29" s="113" t="n"/>
      <c r="AQ29" s="113" t="n"/>
      <c r="AR29" s="113" t="n"/>
      <c r="AS29" s="113" t="n"/>
      <c r="AT29" s="113" t="n"/>
      <c r="AU29" s="113" t="n"/>
      <c r="AV29" s="113" t="n"/>
    </row>
    <row r="30">
      <c r="A30" s="13" t="inlineStr">
        <is>
          <t>신동아</t>
        </is>
      </c>
      <c r="B30" s="16" t="inlineStr">
        <is>
          <t>'86.02.</t>
        </is>
      </c>
      <c r="C30" s="164" t="n">
        <v>570</v>
      </c>
      <c r="D30" s="161" t="n">
        <v>97.7</v>
      </c>
      <c r="E30" s="163" t="n">
        <v>30</v>
      </c>
      <c r="F30" s="161" t="n">
        <v>81.09999999999999</v>
      </c>
      <c r="G30" s="27" t="n">
        <v>25</v>
      </c>
      <c r="H30" s="164" t="n">
        <v>120</v>
      </c>
      <c r="I30" s="165" t="n">
        <v>175000</v>
      </c>
      <c r="J30" s="165" t="inlineStr">
        <is>
          <t>7</t>
        </is>
      </c>
      <c r="K30" s="165" t="n"/>
      <c r="L30" s="165" t="n"/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3</v>
      </c>
      <c r="R30" s="113" t="n">
        <v>1</v>
      </c>
      <c r="S30" s="113" t="inlineStr">
        <is>
          <t>계</t>
        </is>
      </c>
      <c r="T30" s="8" t="n">
        <v>97</v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신동아</t>
        </is>
      </c>
      <c r="B31" s="16" t="inlineStr">
        <is>
          <t>'86.02.</t>
        </is>
      </c>
      <c r="C31" s="164" t="n">
        <v>570</v>
      </c>
      <c r="D31" s="161" t="n">
        <v>131</v>
      </c>
      <c r="E31" s="163" t="n">
        <v>40</v>
      </c>
      <c r="F31" s="161" t="n">
        <v>112.9</v>
      </c>
      <c r="G31" s="27" t="n">
        <v>34</v>
      </c>
      <c r="H31" s="164" t="n">
        <v>180</v>
      </c>
      <c r="I31" s="165" t="n"/>
      <c r="J31" s="165" t="n"/>
      <c r="K31" s="165" t="n"/>
      <c r="L31" s="165" t="n"/>
      <c r="M31" s="166">
        <f>I31-K31</f>
        <v/>
      </c>
      <c r="N31" s="7">
        <f>IF(ISERROR(K31/I31),"",K31/I31)</f>
        <v/>
      </c>
      <c r="O31" s="162">
        <f>I31/E31</f>
        <v/>
      </c>
      <c r="P31" s="162">
        <f>K31/E31</f>
        <v/>
      </c>
      <c r="Q31" s="113" t="n">
        <v>4</v>
      </c>
      <c r="R31" s="113" t="n">
        <v>2</v>
      </c>
      <c r="S31" s="113" t="inlineStr">
        <is>
          <t>계</t>
        </is>
      </c>
      <c r="T31" s="8" t="n">
        <v>131</v>
      </c>
      <c r="U31" s="13" t="n"/>
      <c r="W31" s="161">
        <f>D31</f>
        <v/>
      </c>
      <c r="X31" s="163">
        <f>E31</f>
        <v/>
      </c>
      <c r="Y31" s="159">
        <f>H31</f>
        <v/>
      </c>
      <c r="Z31" s="166">
        <f>I31</f>
        <v/>
      </c>
      <c r="AA31" s="166">
        <f>K31</f>
        <v/>
      </c>
      <c r="AB31" s="166">
        <f>M31</f>
        <v/>
      </c>
      <c r="AC31" s="7">
        <f>N31</f>
        <v/>
      </c>
      <c r="AD31" s="162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3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신동아</t>
        </is>
      </c>
      <c r="B32" s="16" t="inlineStr">
        <is>
          <t>'86.02.</t>
        </is>
      </c>
      <c r="C32" s="164" t="n">
        <v>570</v>
      </c>
      <c r="D32" s="161" t="n">
        <v>146.4</v>
      </c>
      <c r="E32" s="163" t="n">
        <v>44</v>
      </c>
      <c r="F32" s="161" t="n">
        <v>127.3</v>
      </c>
      <c r="G32" s="27" t="n">
        <v>39</v>
      </c>
      <c r="H32" s="164" t="n">
        <v>270</v>
      </c>
      <c r="I32" s="165" t="n">
        <v>185000</v>
      </c>
      <c r="J32" s="165" t="inlineStr">
        <is>
          <t>중</t>
        </is>
      </c>
      <c r="K32" s="165" t="n"/>
      <c r="L32" s="165" t="n"/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4</v>
      </c>
      <c r="R32" s="113" t="n">
        <v>2</v>
      </c>
      <c r="S32" s="113" t="inlineStr">
        <is>
          <t>계</t>
        </is>
      </c>
      <c r="T32" s="8" t="n">
        <v>146</v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n"/>
      <c r="B33" s="113" t="n"/>
      <c r="C33" s="10" t="n"/>
      <c r="D33" s="13" t="n"/>
      <c r="E33" s="20" t="n"/>
      <c r="F33" s="161" t="n"/>
      <c r="G33" s="13" t="n"/>
      <c r="H33" s="13" t="n"/>
      <c r="I33" s="13" t="n"/>
      <c r="J33" s="13" t="n"/>
      <c r="K33" s="13" t="n"/>
      <c r="L33" s="13" t="n"/>
      <c r="M33" s="13" t="n"/>
      <c r="N33" s="13" t="n"/>
      <c r="O33" s="162" t="n"/>
      <c r="P33" s="162" t="n"/>
      <c r="Q33" s="163" t="n"/>
      <c r="R33" s="163" t="n"/>
      <c r="S33" s="13" t="n"/>
      <c r="T33" s="70" t="n"/>
      <c r="U33" s="13" t="n"/>
      <c r="W33" s="107">
        <f>$A$4&amp;" "&amp;A34&amp;"("&amp;B34&amp;","&amp;C34&amp;"^)"</f>
        <v/>
      </c>
      <c r="X33" s="108" t="n"/>
      <c r="Y33" s="108" t="n"/>
      <c r="Z33" s="108" t="n"/>
      <c r="AA33" s="108" t="n"/>
      <c r="AB33" s="108" t="n"/>
      <c r="AC33" s="108" t="n"/>
      <c r="AD33" s="108" t="n"/>
      <c r="AE33" s="108" t="n"/>
      <c r="AF33" s="109" t="n"/>
      <c r="AH33" s="36">
        <f>IF(A33="","",A33)</f>
        <v/>
      </c>
      <c r="AI33" s="160">
        <f>IF(E33="","",E33)</f>
        <v/>
      </c>
      <c r="AJ33" s="113" t="n"/>
      <c r="AK33" s="113" t="n"/>
      <c r="AL33" s="113" t="n"/>
      <c r="AM33" s="113" t="n"/>
      <c r="AN33" s="113" t="n"/>
      <c r="AO33" s="113" t="n"/>
      <c r="AP33" s="113" t="n"/>
      <c r="AQ33" s="113" t="n"/>
      <c r="AR33" s="113" t="n"/>
      <c r="AS33" s="113" t="n"/>
      <c r="AT33" s="113" t="n"/>
      <c r="AU33" s="113" t="n"/>
      <c r="AV33" s="113" t="n"/>
    </row>
    <row r="34">
      <c r="A34" s="13" t="inlineStr">
        <is>
          <t>삼익맨션(삼익가든)</t>
        </is>
      </c>
      <c r="B34" s="16" t="inlineStr">
        <is>
          <t>'84.11.</t>
        </is>
      </c>
      <c r="C34" s="164" t="n">
        <v>768</v>
      </c>
      <c r="D34" s="161" t="n">
        <v>80.3</v>
      </c>
      <c r="E34" s="163" t="n">
        <v>24</v>
      </c>
      <c r="F34" s="161" t="n">
        <v>57</v>
      </c>
      <c r="G34" s="27" t="n">
        <v>17</v>
      </c>
      <c r="H34" s="164" t="n">
        <v>66</v>
      </c>
      <c r="I34" s="165" t="n"/>
      <c r="J34" s="165" t="n"/>
      <c r="K34" s="165" t="n"/>
      <c r="L34" s="165" t="n"/>
      <c r="M34" s="166">
        <f>I34-K34</f>
        <v/>
      </c>
      <c r="N34" s="7">
        <f>IF(ISERROR(K34/I34),"",K34/I34)</f>
        <v/>
      </c>
      <c r="O34" s="162">
        <f>I34/E34</f>
        <v/>
      </c>
      <c r="P34" s="162">
        <f>K34/E34</f>
        <v/>
      </c>
      <c r="Q34" s="113" t="n">
        <v>2</v>
      </c>
      <c r="R34" s="113" t="n">
        <v>1</v>
      </c>
      <c r="S34" s="113" t="inlineStr">
        <is>
          <t>계</t>
        </is>
      </c>
      <c r="T34" s="8" t="n">
        <v>80</v>
      </c>
      <c r="U34" s="13" t="n"/>
      <c r="W34" s="161">
        <f>D34</f>
        <v/>
      </c>
      <c r="X34" s="163">
        <f>E34</f>
        <v/>
      </c>
      <c r="Y34" s="159">
        <f>H34</f>
        <v/>
      </c>
      <c r="Z34" s="166">
        <f>I34</f>
        <v/>
      </c>
      <c r="AA34" s="166">
        <f>K34</f>
        <v/>
      </c>
      <c r="AB34" s="166">
        <f>M34</f>
        <v/>
      </c>
      <c r="AC34" s="7">
        <f>N34</f>
        <v/>
      </c>
      <c r="AD34" s="162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3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삼익맨션(삼익가든)</t>
        </is>
      </c>
      <c r="B35" s="16" t="inlineStr">
        <is>
          <t>'84.11.</t>
        </is>
      </c>
      <c r="C35" s="164" t="n">
        <v>768</v>
      </c>
      <c r="D35" s="161" t="n">
        <v>92.90000000000001</v>
      </c>
      <c r="E35" s="163" t="n">
        <v>28</v>
      </c>
      <c r="F35" s="161" t="n">
        <v>66.90000000000001</v>
      </c>
      <c r="G35" s="27" t="n">
        <v>20</v>
      </c>
      <c r="H35" s="164" t="n">
        <v>220</v>
      </c>
      <c r="I35" s="165" t="n"/>
      <c r="J35" s="165" t="n"/>
      <c r="K35" s="165" t="n">
        <v>53000</v>
      </c>
      <c r="L35" s="165" t="inlineStr">
        <is>
          <t>9</t>
        </is>
      </c>
      <c r="M35" s="166">
        <f>I35-K35</f>
        <v/>
      </c>
      <c r="N35" s="7">
        <f>IF(ISERROR(K35/I35),"",K35/I35)</f>
        <v/>
      </c>
      <c r="O35" s="162">
        <f>I35/E35</f>
        <v/>
      </c>
      <c r="P35" s="162">
        <f>K35/E35</f>
        <v/>
      </c>
      <c r="Q35" s="113" t="n">
        <v>3</v>
      </c>
      <c r="R35" s="113" t="n">
        <v>1</v>
      </c>
      <c r="S35" s="113" t="inlineStr">
        <is>
          <t>계</t>
        </is>
      </c>
      <c r="T35" s="8" t="n">
        <v>92</v>
      </c>
      <c r="U35" s="13" t="n"/>
      <c r="W35" s="161">
        <f>D35</f>
        <v/>
      </c>
      <c r="X35" s="163">
        <f>E35</f>
        <v/>
      </c>
      <c r="Y35" s="159">
        <f>H35</f>
        <v/>
      </c>
      <c r="Z35" s="166">
        <f>I35</f>
        <v/>
      </c>
      <c r="AA35" s="166">
        <f>K35</f>
        <v/>
      </c>
      <c r="AB35" s="166">
        <f>M35</f>
        <v/>
      </c>
      <c r="AC35" s="7">
        <f>N35</f>
        <v/>
      </c>
      <c r="AD35" s="162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3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inlineStr">
        <is>
          <t>삼익맨션(삼익가든)</t>
        </is>
      </c>
      <c r="B36" s="16" t="inlineStr">
        <is>
          <t>'84.11.</t>
        </is>
      </c>
      <c r="C36" s="164" t="n">
        <v>768</v>
      </c>
      <c r="D36" s="161" t="n">
        <v>94.40000000000001</v>
      </c>
      <c r="E36" s="163" t="n">
        <v>29</v>
      </c>
      <c r="F36" s="161" t="n">
        <v>71.2</v>
      </c>
      <c r="G36" s="27" t="n">
        <v>22</v>
      </c>
      <c r="H36" s="164" t="n">
        <v>96</v>
      </c>
      <c r="I36" s="165" t="n"/>
      <c r="J36" s="165" t="n"/>
      <c r="K36" s="165" t="n">
        <v>60000</v>
      </c>
      <c r="L36" s="165" t="inlineStr">
        <is>
          <t>중</t>
        </is>
      </c>
      <c r="M36" s="166">
        <f>I36-K36</f>
        <v/>
      </c>
      <c r="N36" s="7">
        <f>IF(ISERROR(K36/I36),"",K36/I36)</f>
        <v/>
      </c>
      <c r="O36" s="162">
        <f>I36/E36</f>
        <v/>
      </c>
      <c r="P36" s="162">
        <f>K36/E36</f>
        <v/>
      </c>
      <c r="Q36" s="113" t="n">
        <v>3</v>
      </c>
      <c r="R36" s="113" t="n">
        <v>1</v>
      </c>
      <c r="S36" s="113" t="inlineStr">
        <is>
          <t>계</t>
        </is>
      </c>
      <c r="T36" s="8" t="n">
        <v>94</v>
      </c>
      <c r="U36" s="13" t="n"/>
      <c r="W36" s="161">
        <f>D36</f>
        <v/>
      </c>
      <c r="X36" s="163">
        <f>E36</f>
        <v/>
      </c>
      <c r="Y36" s="159">
        <f>H36</f>
        <v/>
      </c>
      <c r="Z36" s="166">
        <f>I36</f>
        <v/>
      </c>
      <c r="AA36" s="166">
        <f>K36</f>
        <v/>
      </c>
      <c r="AB36" s="166">
        <f>M36</f>
        <v/>
      </c>
      <c r="AC36" s="7">
        <f>N36</f>
        <v/>
      </c>
      <c r="AD36" s="162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3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inlineStr">
        <is>
          <t>삼익맨션(삼익가든)</t>
        </is>
      </c>
      <c r="B37" s="16" t="inlineStr">
        <is>
          <t>'84.11.</t>
        </is>
      </c>
      <c r="C37" s="164" t="n">
        <v>768</v>
      </c>
      <c r="D37" s="161" t="n">
        <v>100.7</v>
      </c>
      <c r="E37" s="163" t="n">
        <v>30</v>
      </c>
      <c r="F37" s="161" t="n">
        <v>72.59999999999999</v>
      </c>
      <c r="G37" s="27" t="n">
        <v>22</v>
      </c>
      <c r="H37" s="164" t="n">
        <v>60</v>
      </c>
      <c r="I37" s="165" t="n"/>
      <c r="J37" s="165" t="n"/>
      <c r="K37" s="165" t="n"/>
      <c r="L37" s="165" t="n"/>
      <c r="M37" s="166">
        <f>I37-K37</f>
        <v/>
      </c>
      <c r="N37" s="7">
        <f>IF(ISERROR(K37/I37),"",K37/I37)</f>
        <v/>
      </c>
      <c r="O37" s="162">
        <f>I37/E37</f>
        <v/>
      </c>
      <c r="P37" s="162">
        <f>K37/E37</f>
        <v/>
      </c>
      <c r="Q37" s="113" t="n">
        <v>3</v>
      </c>
      <c r="R37" s="113" t="n">
        <v>1</v>
      </c>
      <c r="S37" s="113" t="inlineStr">
        <is>
          <t>복</t>
        </is>
      </c>
      <c r="T37" s="8" t="n">
        <v>100</v>
      </c>
      <c r="U37" s="13" t="n"/>
      <c r="W37" s="161">
        <f>D37</f>
        <v/>
      </c>
      <c r="X37" s="163">
        <f>E37</f>
        <v/>
      </c>
      <c r="Y37" s="159">
        <f>H37</f>
        <v/>
      </c>
      <c r="Z37" s="166">
        <f>I37</f>
        <v/>
      </c>
      <c r="AA37" s="166">
        <f>K37</f>
        <v/>
      </c>
      <c r="AB37" s="166">
        <f>M37</f>
        <v/>
      </c>
      <c r="AC37" s="7">
        <f>N37</f>
        <v/>
      </c>
      <c r="AD37" s="162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3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inlineStr">
        <is>
          <t>삼익맨션(삼익가든)</t>
        </is>
      </c>
      <c r="B38" s="16" t="inlineStr">
        <is>
          <t>'84.11.</t>
        </is>
      </c>
      <c r="C38" s="164" t="n">
        <v>768</v>
      </c>
      <c r="D38" s="161" t="n">
        <v>112.4</v>
      </c>
      <c r="E38" s="163" t="n">
        <v>34</v>
      </c>
      <c r="F38" s="161" t="n">
        <v>82.5</v>
      </c>
      <c r="G38" s="27" t="n">
        <v>25</v>
      </c>
      <c r="H38" s="164" t="n">
        <v>140</v>
      </c>
      <c r="I38" s="165" t="n">
        <v>139000</v>
      </c>
      <c r="J38" s="165" t="inlineStr">
        <is>
          <t>10</t>
        </is>
      </c>
      <c r="K38" s="165" t="n">
        <v>55000</v>
      </c>
      <c r="L38" s="165" t="inlineStr">
        <is>
          <t>중</t>
        </is>
      </c>
      <c r="M38" s="166">
        <f>I38-K38</f>
        <v/>
      </c>
      <c r="N38" s="7">
        <f>IF(ISERROR(K38/I38),"",K38/I38)</f>
        <v/>
      </c>
      <c r="O38" s="162">
        <f>I38/E38</f>
        <v/>
      </c>
      <c r="P38" s="162">
        <f>K38/E38</f>
        <v/>
      </c>
      <c r="Q38" s="113" t="n">
        <v>4</v>
      </c>
      <c r="R38" s="113" t="n">
        <v>1</v>
      </c>
      <c r="S38" s="113" t="inlineStr">
        <is>
          <t>복</t>
        </is>
      </c>
      <c r="T38" s="8" t="n">
        <v>112</v>
      </c>
      <c r="U38" s="13" t="n"/>
      <c r="W38" s="161">
        <f>D38</f>
        <v/>
      </c>
      <c r="X38" s="163">
        <f>E38</f>
        <v/>
      </c>
      <c r="Y38" s="159">
        <f>H38</f>
        <v/>
      </c>
      <c r="Z38" s="166">
        <f>I38</f>
        <v/>
      </c>
      <c r="AA38" s="166">
        <f>K38</f>
        <v/>
      </c>
      <c r="AB38" s="166">
        <f>M38</f>
        <v/>
      </c>
      <c r="AC38" s="7">
        <f>N38</f>
        <v/>
      </c>
      <c r="AD38" s="162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3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삼익맨션(삼익가든)</t>
        </is>
      </c>
      <c r="B39" s="16" t="inlineStr">
        <is>
          <t>'84.11.</t>
        </is>
      </c>
      <c r="C39" s="164" t="n">
        <v>768</v>
      </c>
      <c r="D39" s="161" t="n">
        <v>127.8</v>
      </c>
      <c r="E39" s="163" t="n">
        <v>39</v>
      </c>
      <c r="F39" s="161" t="n">
        <v>106.7</v>
      </c>
      <c r="G39" s="27" t="n">
        <v>32</v>
      </c>
      <c r="H39" s="164" t="n">
        <v>66</v>
      </c>
      <c r="I39" s="165" t="n"/>
      <c r="J39" s="165" t="n"/>
      <c r="K39" s="165" t="n">
        <v>73000</v>
      </c>
      <c r="L39" s="165" t="inlineStr">
        <is>
          <t>11</t>
        </is>
      </c>
      <c r="M39" s="166">
        <f>I39-K39</f>
        <v/>
      </c>
      <c r="N39" s="7">
        <f>IF(ISERROR(K39/I39),"",K39/I39)</f>
        <v/>
      </c>
      <c r="O39" s="162">
        <f>I39/E39</f>
        <v/>
      </c>
      <c r="P39" s="162">
        <f>K39/E39</f>
        <v/>
      </c>
      <c r="Q39" s="113" t="n">
        <v>4</v>
      </c>
      <c r="R39" s="113" t="n">
        <v>2</v>
      </c>
      <c r="S39" s="113" t="inlineStr">
        <is>
          <t>계</t>
        </is>
      </c>
      <c r="T39" s="8" t="n">
        <v>127</v>
      </c>
      <c r="U39" s="13" t="n"/>
      <c r="W39" s="161">
        <f>D39</f>
        <v/>
      </c>
      <c r="X39" s="163">
        <f>E39</f>
        <v/>
      </c>
      <c r="Y39" s="159">
        <f>H39</f>
        <v/>
      </c>
      <c r="Z39" s="166">
        <f>I39</f>
        <v/>
      </c>
      <c r="AA39" s="166">
        <f>K39</f>
        <v/>
      </c>
      <c r="AB39" s="166">
        <f>M39</f>
        <v/>
      </c>
      <c r="AC39" s="7">
        <f>N39</f>
        <v/>
      </c>
      <c r="AD39" s="162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3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inlineStr">
        <is>
          <t>삼익맨션(삼익가든)</t>
        </is>
      </c>
      <c r="B40" s="16" t="inlineStr">
        <is>
          <t>'84.11.</t>
        </is>
      </c>
      <c r="C40" s="164" t="n">
        <v>768</v>
      </c>
      <c r="D40" s="161" t="n">
        <v>142.1</v>
      </c>
      <c r="E40" s="163" t="n">
        <v>43</v>
      </c>
      <c r="F40" s="161" t="n">
        <v>117.8</v>
      </c>
      <c r="G40" s="27" t="n">
        <v>36</v>
      </c>
      <c r="H40" s="164" t="n">
        <v>60</v>
      </c>
      <c r="I40" s="165" t="n"/>
      <c r="J40" s="165" t="n"/>
      <c r="K40" s="165" t="n"/>
      <c r="L40" s="165" t="n"/>
      <c r="M40" s="166">
        <f>I40-K40</f>
        <v/>
      </c>
      <c r="N40" s="7">
        <f>IF(ISERROR(K40/I40),"",K40/I40)</f>
        <v/>
      </c>
      <c r="O40" s="162">
        <f>I40/E40</f>
        <v/>
      </c>
      <c r="P40" s="162">
        <f>K40/E40</f>
        <v/>
      </c>
      <c r="Q40" s="113" t="n">
        <v>4</v>
      </c>
      <c r="R40" s="113" t="n">
        <v>2</v>
      </c>
      <c r="S40" s="113" t="inlineStr">
        <is>
          <t>복</t>
        </is>
      </c>
      <c r="T40" s="8" t="n">
        <v>142</v>
      </c>
      <c r="U40" s="13" t="n"/>
      <c r="W40" s="161">
        <f>D40</f>
        <v/>
      </c>
      <c r="X40" s="163">
        <f>E40</f>
        <v/>
      </c>
      <c r="Y40" s="159">
        <f>H40</f>
        <v/>
      </c>
      <c r="Z40" s="166">
        <f>I40</f>
        <v/>
      </c>
      <c r="AA40" s="166">
        <f>K40</f>
        <v/>
      </c>
      <c r="AB40" s="166">
        <f>M40</f>
        <v/>
      </c>
      <c r="AC40" s="7">
        <f>N40</f>
        <v/>
      </c>
      <c r="AD40" s="162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3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inlineStr">
        <is>
          <t>삼익맨션(삼익가든)</t>
        </is>
      </c>
      <c r="B41" s="16" t="inlineStr">
        <is>
          <t>'84.11.</t>
        </is>
      </c>
      <c r="C41" s="164" t="n">
        <v>768</v>
      </c>
      <c r="D41" s="161" t="n">
        <v>176.4</v>
      </c>
      <c r="E41" s="163" t="n">
        <v>53</v>
      </c>
      <c r="F41" s="161" t="n">
        <v>146.5</v>
      </c>
      <c r="G41" s="27" t="n">
        <v>44</v>
      </c>
      <c r="H41" s="164" t="n">
        <v>60</v>
      </c>
      <c r="I41" s="165" t="n">
        <v>200000</v>
      </c>
      <c r="J41" s="165" t="inlineStr">
        <is>
          <t>중</t>
        </is>
      </c>
      <c r="K41" s="165" t="n">
        <v>90000</v>
      </c>
      <c r="L41" s="165" t="inlineStr">
        <is>
          <t>중</t>
        </is>
      </c>
      <c r="M41" s="166">
        <f>I41-K41</f>
        <v/>
      </c>
      <c r="N41" s="7">
        <f>IF(ISERROR(K41/I41),"",K41/I41)</f>
        <v/>
      </c>
      <c r="O41" s="162">
        <f>I41/E41</f>
        <v/>
      </c>
      <c r="P41" s="162">
        <f>K41/E41</f>
        <v/>
      </c>
      <c r="Q41" s="113" t="n">
        <v>5</v>
      </c>
      <c r="R41" s="113" t="n">
        <v>2</v>
      </c>
      <c r="S41" s="113" t="inlineStr">
        <is>
          <t>복</t>
        </is>
      </c>
      <c r="T41" s="8" t="n">
        <v>176</v>
      </c>
      <c r="U41" s="13" t="n"/>
      <c r="W41" s="161">
        <f>D41</f>
        <v/>
      </c>
      <c r="X41" s="163">
        <f>E41</f>
        <v/>
      </c>
      <c r="Y41" s="159">
        <f>H41</f>
        <v/>
      </c>
      <c r="Z41" s="166">
        <f>I41</f>
        <v/>
      </c>
      <c r="AA41" s="166">
        <f>K41</f>
        <v/>
      </c>
      <c r="AB41" s="166">
        <f>M41</f>
        <v/>
      </c>
      <c r="AC41" s="7">
        <f>N41</f>
        <v/>
      </c>
      <c r="AD41" s="162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3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n"/>
      <c r="B42" s="113" t="n"/>
      <c r="C42" s="10" t="n"/>
      <c r="D42" s="13" t="n"/>
      <c r="E42" s="20" t="n"/>
      <c r="F42" s="161" t="n"/>
      <c r="G42" s="13" t="n"/>
      <c r="H42" s="13" t="n"/>
      <c r="I42" s="13" t="n"/>
      <c r="J42" s="13" t="n"/>
      <c r="K42" s="13" t="n"/>
      <c r="L42" s="13" t="n"/>
      <c r="M42" s="13" t="n"/>
      <c r="N42" s="13" t="n"/>
      <c r="O42" s="162" t="n"/>
      <c r="P42" s="162" t="n"/>
      <c r="Q42" s="163" t="n"/>
      <c r="R42" s="163" t="n"/>
      <c r="S42" s="13" t="n"/>
      <c r="T42" s="70" t="n"/>
      <c r="U42" s="13" t="n"/>
      <c r="W42" s="107">
        <f>$A$4&amp;" "&amp;A43&amp;"("&amp;B43&amp;","&amp;C43&amp;"^)"</f>
        <v/>
      </c>
      <c r="X42" s="108" t="n"/>
      <c r="Y42" s="108" t="n"/>
      <c r="Z42" s="108" t="n"/>
      <c r="AA42" s="108" t="n"/>
      <c r="AB42" s="108" t="n"/>
      <c r="AC42" s="108" t="n"/>
      <c r="AD42" s="108" t="n"/>
      <c r="AE42" s="108" t="n"/>
      <c r="AF42" s="109" t="n"/>
      <c r="AH42" s="36">
        <f>IF(A42="","",A42)</f>
        <v/>
      </c>
      <c r="AI42" s="160">
        <f>IF(E42="","",E42)</f>
        <v/>
      </c>
      <c r="AJ42" s="113" t="n"/>
      <c r="AK42" s="113" t="n"/>
      <c r="AL42" s="113" t="n"/>
      <c r="AM42" s="113" t="n"/>
      <c r="AN42" s="113" t="n"/>
      <c r="AO42" s="113" t="n"/>
      <c r="AP42" s="113" t="n"/>
      <c r="AQ42" s="113" t="n"/>
      <c r="AR42" s="113" t="n"/>
      <c r="AS42" s="113" t="n"/>
      <c r="AT42" s="113" t="n"/>
      <c r="AU42" s="113" t="n"/>
      <c r="AV42" s="113" t="n"/>
    </row>
    <row r="43">
      <c r="A43" s="13" t="inlineStr">
        <is>
          <t>고덕현대</t>
        </is>
      </c>
      <c r="B43" s="16" t="inlineStr">
        <is>
          <t>'86.02.</t>
        </is>
      </c>
      <c r="C43" s="164" t="n">
        <v>524</v>
      </c>
      <c r="D43" s="161" t="n">
        <v>105.3</v>
      </c>
      <c r="E43" s="163" t="n">
        <v>32</v>
      </c>
      <c r="F43" s="161" t="n">
        <v>84.90000000000001</v>
      </c>
      <c r="G43" s="27" t="n">
        <v>26</v>
      </c>
      <c r="H43" s="164" t="n">
        <v>164</v>
      </c>
      <c r="I43" s="165" t="n">
        <v>165000</v>
      </c>
      <c r="J43" s="165" t="inlineStr">
        <is>
          <t>11</t>
        </is>
      </c>
      <c r="K43" s="165" t="n">
        <v>66000</v>
      </c>
      <c r="L43" s="165" t="inlineStr">
        <is>
          <t>중</t>
        </is>
      </c>
      <c r="M43" s="166">
        <f>I43-K43</f>
        <v/>
      </c>
      <c r="N43" s="7">
        <f>IF(ISERROR(K43/I43),"",K43/I43)</f>
        <v/>
      </c>
      <c r="O43" s="162">
        <f>I43/E43</f>
        <v/>
      </c>
      <c r="P43" s="162">
        <f>K43/E43</f>
        <v/>
      </c>
      <c r="Q43" s="113" t="n">
        <v>3</v>
      </c>
      <c r="R43" s="113" t="n">
        <v>1</v>
      </c>
      <c r="S43" s="113" t="inlineStr">
        <is>
          <t>계</t>
        </is>
      </c>
      <c r="T43" s="8" t="n">
        <v>105</v>
      </c>
      <c r="U43" s="13" t="n"/>
      <c r="W43" s="161">
        <f>D43</f>
        <v/>
      </c>
      <c r="X43" s="163">
        <f>E43</f>
        <v/>
      </c>
      <c r="Y43" s="159">
        <f>H43</f>
        <v/>
      </c>
      <c r="Z43" s="166">
        <f>I43</f>
        <v/>
      </c>
      <c r="AA43" s="166">
        <f>K43</f>
        <v/>
      </c>
      <c r="AB43" s="166">
        <f>M43</f>
        <v/>
      </c>
      <c r="AC43" s="7">
        <f>N43</f>
        <v/>
      </c>
      <c r="AD43" s="162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3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inlineStr">
        <is>
          <t>고덕현대</t>
        </is>
      </c>
      <c r="B44" s="16" t="inlineStr">
        <is>
          <t>'86.02.</t>
        </is>
      </c>
      <c r="C44" s="164" t="n">
        <v>524</v>
      </c>
      <c r="D44" s="161" t="n">
        <v>154.5</v>
      </c>
      <c r="E44" s="163" t="n">
        <v>47</v>
      </c>
      <c r="F44" s="161" t="n">
        <v>131.8</v>
      </c>
      <c r="G44" s="27" t="n">
        <v>40</v>
      </c>
      <c r="H44" s="164" t="n">
        <v>360</v>
      </c>
      <c r="I44" s="165" t="n">
        <v>185000</v>
      </c>
      <c r="J44" s="165" t="inlineStr">
        <is>
          <t>고</t>
        </is>
      </c>
      <c r="K44" s="165" t="n"/>
      <c r="L44" s="165" t="n"/>
      <c r="M44" s="166">
        <f>I44-K44</f>
        <v/>
      </c>
      <c r="N44" s="7">
        <f>IF(ISERROR(K44/I44),"",K44/I44)</f>
        <v/>
      </c>
      <c r="O44" s="162">
        <f>I44/E44</f>
        <v/>
      </c>
      <c r="P44" s="162">
        <f>K44/E44</f>
        <v/>
      </c>
      <c r="Q44" s="113" t="n">
        <v>4</v>
      </c>
      <c r="R44" s="113" t="n">
        <v>2</v>
      </c>
      <c r="S44" s="113" t="inlineStr">
        <is>
          <t>계</t>
        </is>
      </c>
      <c r="T44" s="8" t="n">
        <v>154</v>
      </c>
      <c r="U44" s="13" t="n"/>
      <c r="W44" s="161">
        <f>D44</f>
        <v/>
      </c>
      <c r="X44" s="163">
        <f>E44</f>
        <v/>
      </c>
      <c r="Y44" s="159">
        <f>H44</f>
        <v/>
      </c>
      <c r="Z44" s="166">
        <f>I44</f>
        <v/>
      </c>
      <c r="AA44" s="166">
        <f>K44</f>
        <v/>
      </c>
      <c r="AB44" s="166">
        <f>M44</f>
        <v/>
      </c>
      <c r="AC44" s="7">
        <f>N44</f>
        <v/>
      </c>
      <c r="AD44" s="162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3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n"/>
      <c r="B45" s="113" t="n"/>
      <c r="C45" s="10" t="n"/>
      <c r="D45" s="13" t="n"/>
      <c r="E45" s="20" t="n"/>
      <c r="F45" s="161" t="n"/>
      <c r="G45" s="13" t="n"/>
      <c r="H45" s="13" t="n"/>
      <c r="I45" s="13" t="n"/>
      <c r="J45" s="13" t="n"/>
      <c r="K45" s="13" t="n"/>
      <c r="L45" s="13" t="n"/>
      <c r="M45" s="13" t="n"/>
      <c r="N45" s="13" t="n"/>
      <c r="O45" s="162" t="n"/>
      <c r="P45" s="162" t="n"/>
      <c r="Q45" s="163" t="n"/>
      <c r="R45" s="163" t="n"/>
      <c r="S45" s="13" t="n"/>
      <c r="T45" s="70" t="n"/>
      <c r="U45" s="13" t="n"/>
      <c r="W45" s="107">
        <f>$A$4&amp;" "&amp;A46&amp;"("&amp;B46&amp;","&amp;C46&amp;"^)"</f>
        <v/>
      </c>
      <c r="X45" s="108" t="n"/>
      <c r="Y45" s="108" t="n"/>
      <c r="Z45" s="108" t="n"/>
      <c r="AA45" s="108" t="n"/>
      <c r="AB45" s="108" t="n"/>
      <c r="AC45" s="108" t="n"/>
      <c r="AD45" s="108" t="n"/>
      <c r="AE45" s="108" t="n"/>
      <c r="AF45" s="109" t="n"/>
      <c r="AH45" s="36">
        <f>IF(A45="","",A45)</f>
        <v/>
      </c>
      <c r="AI45" s="160">
        <f>IF(E45="","",E45)</f>
        <v/>
      </c>
      <c r="AJ45" s="113" t="n"/>
      <c r="AK45" s="113" t="n"/>
      <c r="AL45" s="113" t="n"/>
      <c r="AM45" s="113" t="n"/>
      <c r="AN45" s="113" t="n"/>
      <c r="AO45" s="113" t="n"/>
      <c r="AP45" s="113" t="n"/>
      <c r="AQ45" s="113" t="n"/>
      <c r="AR45" s="113" t="n"/>
      <c r="AS45" s="113" t="n"/>
      <c r="AT45" s="113" t="n"/>
      <c r="AU45" s="113" t="n"/>
      <c r="AV45" s="113" t="n"/>
    </row>
    <row r="46">
      <c r="A46" s="13" t="inlineStr">
        <is>
          <t>한양</t>
        </is>
      </c>
      <c r="B46" s="16" t="inlineStr">
        <is>
          <t>'86.05.</t>
        </is>
      </c>
      <c r="C46" s="164" t="n">
        <v>540</v>
      </c>
      <c r="D46" s="161" t="n">
        <v>102.1</v>
      </c>
      <c r="E46" s="163" t="n">
        <v>31</v>
      </c>
      <c r="F46" s="161" t="n">
        <v>84.90000000000001</v>
      </c>
      <c r="G46" s="27" t="n">
        <v>26</v>
      </c>
      <c r="H46" s="164" t="n">
        <v>150</v>
      </c>
      <c r="I46" s="165" t="n">
        <v>165000</v>
      </c>
      <c r="J46" s="165" t="inlineStr">
        <is>
          <t>고</t>
        </is>
      </c>
      <c r="K46" s="165" t="n">
        <v>64000</v>
      </c>
      <c r="L46" s="165" t="inlineStr">
        <is>
          <t>11</t>
        </is>
      </c>
      <c r="M46" s="166">
        <f>I46-K46</f>
        <v/>
      </c>
      <c r="N46" s="7">
        <f>IF(ISERROR(K46/I46),"",K46/I46)</f>
        <v/>
      </c>
      <c r="O46" s="162">
        <f>I46/E46</f>
        <v/>
      </c>
      <c r="P46" s="162">
        <f>K46/E46</f>
        <v/>
      </c>
      <c r="Q46" s="113" t="n">
        <v>3</v>
      </c>
      <c r="R46" s="113" t="n">
        <v>1</v>
      </c>
      <c r="S46" s="113" t="inlineStr">
        <is>
          <t>계</t>
        </is>
      </c>
      <c r="T46" s="8" t="n">
        <v>102</v>
      </c>
      <c r="U46" s="13" t="n"/>
      <c r="W46" s="161">
        <f>D46</f>
        <v/>
      </c>
      <c r="X46" s="163">
        <f>E46</f>
        <v/>
      </c>
      <c r="Y46" s="159">
        <f>H46</f>
        <v/>
      </c>
      <c r="Z46" s="166">
        <f>I46</f>
        <v/>
      </c>
      <c r="AA46" s="166">
        <f>K46</f>
        <v/>
      </c>
      <c r="AB46" s="166">
        <f>M46</f>
        <v/>
      </c>
      <c r="AC46" s="7">
        <f>N46</f>
        <v/>
      </c>
      <c r="AD46" s="162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3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inlineStr">
        <is>
          <t>한양</t>
        </is>
      </c>
      <c r="B47" s="16" t="inlineStr">
        <is>
          <t>'86.05.</t>
        </is>
      </c>
      <c r="C47" s="164" t="n">
        <v>540</v>
      </c>
      <c r="D47" s="161" t="n">
        <v>125.3</v>
      </c>
      <c r="E47" s="163" t="n">
        <v>38</v>
      </c>
      <c r="F47" s="161" t="n">
        <v>106.6</v>
      </c>
      <c r="G47" s="27" t="n">
        <v>32</v>
      </c>
      <c r="H47" s="164" t="n">
        <v>120</v>
      </c>
      <c r="I47" s="165" t="n">
        <v>171000</v>
      </c>
      <c r="J47" s="165" t="inlineStr">
        <is>
          <t>고</t>
        </is>
      </c>
      <c r="K47" s="165" t="n">
        <v>70000</v>
      </c>
      <c r="L47" s="165" t="inlineStr">
        <is>
          <t>고</t>
        </is>
      </c>
      <c r="M47" s="166">
        <f>I47-K47</f>
        <v/>
      </c>
      <c r="N47" s="7">
        <f>IF(ISERROR(K47/I47),"",K47/I47)</f>
        <v/>
      </c>
      <c r="O47" s="162">
        <f>I47/E47</f>
        <v/>
      </c>
      <c r="P47" s="162">
        <f>K47/E47</f>
        <v/>
      </c>
      <c r="Q47" s="113" t="n">
        <v>4</v>
      </c>
      <c r="R47" s="113" t="n">
        <v>2</v>
      </c>
      <c r="S47" s="113" t="inlineStr">
        <is>
          <t>계</t>
        </is>
      </c>
      <c r="T47" s="8" t="n">
        <v>125</v>
      </c>
      <c r="U47" s="13" t="n"/>
      <c r="W47" s="161">
        <f>D47</f>
        <v/>
      </c>
      <c r="X47" s="163">
        <f>E47</f>
        <v/>
      </c>
      <c r="Y47" s="159">
        <f>H47</f>
        <v/>
      </c>
      <c r="Z47" s="166">
        <f>I47</f>
        <v/>
      </c>
      <c r="AA47" s="166">
        <f>K47</f>
        <v/>
      </c>
      <c r="AB47" s="166">
        <f>M47</f>
        <v/>
      </c>
      <c r="AC47" s="7">
        <f>N47</f>
        <v/>
      </c>
      <c r="AD47" s="162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3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inlineStr">
        <is>
          <t>한양</t>
        </is>
      </c>
      <c r="B48" s="16" t="inlineStr">
        <is>
          <t>'86.05.</t>
        </is>
      </c>
      <c r="C48" s="164" t="n">
        <v>540</v>
      </c>
      <c r="D48" s="161" t="n">
        <v>138.3</v>
      </c>
      <c r="E48" s="163" t="n">
        <v>42</v>
      </c>
      <c r="F48" s="161" t="n">
        <v>119.4</v>
      </c>
      <c r="G48" s="27" t="n">
        <v>36</v>
      </c>
      <c r="H48" s="164" t="n">
        <v>270</v>
      </c>
      <c r="I48" s="165" t="n"/>
      <c r="J48" s="165" t="n"/>
      <c r="K48" s="165" t="n"/>
      <c r="L48" s="165" t="n"/>
      <c r="M48" s="166">
        <f>I48-K48</f>
        <v/>
      </c>
      <c r="N48" s="7">
        <f>IF(ISERROR(K48/I48),"",K48/I48)</f>
        <v/>
      </c>
      <c r="O48" s="162">
        <f>I48/E48</f>
        <v/>
      </c>
      <c r="P48" s="162">
        <f>K48/E48</f>
        <v/>
      </c>
      <c r="Q48" s="113" t="n">
        <v>4</v>
      </c>
      <c r="R48" s="113" t="n">
        <v>2</v>
      </c>
      <c r="S48" s="113" t="inlineStr">
        <is>
          <t>계</t>
        </is>
      </c>
      <c r="T48" s="8" t="n">
        <v>138</v>
      </c>
      <c r="U48" s="13" t="n"/>
      <c r="W48" s="161">
        <f>D48</f>
        <v/>
      </c>
      <c r="X48" s="163">
        <f>E48</f>
        <v/>
      </c>
      <c r="Y48" s="159">
        <f>H48</f>
        <v/>
      </c>
      <c r="Z48" s="166">
        <f>I48</f>
        <v/>
      </c>
      <c r="AA48" s="166">
        <f>K48</f>
        <v/>
      </c>
      <c r="AB48" s="166">
        <f>M48</f>
        <v/>
      </c>
      <c r="AC48" s="7">
        <f>N48</f>
        <v/>
      </c>
      <c r="AD48" s="162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3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  <row r="49">
      <c r="A49" s="13" t="n"/>
      <c r="B49" s="113" t="n"/>
      <c r="C49" s="10" t="n"/>
      <c r="D49" s="13" t="n"/>
      <c r="E49" s="20" t="n"/>
      <c r="F49" s="161" t="n"/>
      <c r="G49" s="13" t="n"/>
      <c r="H49" s="13" t="n"/>
      <c r="I49" s="13" t="n"/>
      <c r="J49" s="13" t="n"/>
      <c r="K49" s="13" t="n"/>
      <c r="L49" s="13" t="n"/>
      <c r="M49" s="13" t="n"/>
      <c r="N49" s="13" t="n"/>
      <c r="O49" s="162" t="n"/>
      <c r="P49" s="162" t="n"/>
      <c r="Q49" s="163" t="n"/>
      <c r="R49" s="163" t="n"/>
      <c r="S49" s="13" t="n"/>
      <c r="T49" s="70" t="n"/>
      <c r="U49" s="13" t="n"/>
      <c r="W49" s="107">
        <f>$A$4&amp;" "&amp;A50&amp;"("&amp;B50&amp;","&amp;C50&amp;"^)"</f>
        <v/>
      </c>
      <c r="X49" s="108" t="n"/>
      <c r="Y49" s="108" t="n"/>
      <c r="Z49" s="108" t="n"/>
      <c r="AA49" s="108" t="n"/>
      <c r="AB49" s="108" t="n"/>
      <c r="AC49" s="108" t="n"/>
      <c r="AD49" s="108" t="n"/>
      <c r="AE49" s="108" t="n"/>
      <c r="AF49" s="109" t="n"/>
      <c r="AH49" s="36">
        <f>IF(A49="","",A49)</f>
        <v/>
      </c>
      <c r="AI49" s="160">
        <f>IF(E49="","",E49)</f>
        <v/>
      </c>
      <c r="AJ49" s="113" t="n"/>
      <c r="AK49" s="113" t="n"/>
      <c r="AL49" s="113" t="n"/>
      <c r="AM49" s="113" t="n"/>
      <c r="AN49" s="113" t="n"/>
      <c r="AO49" s="113" t="n"/>
      <c r="AP49" s="113" t="n"/>
      <c r="AQ49" s="113" t="n"/>
      <c r="AR49" s="113" t="n"/>
      <c r="AS49" s="113" t="n"/>
      <c r="AT49" s="113" t="n"/>
      <c r="AU49" s="113" t="n"/>
      <c r="AV49" s="113" t="n"/>
    </row>
    <row r="50">
      <c r="A50" s="13" t="inlineStr">
        <is>
          <t>우성(42)</t>
        </is>
      </c>
      <c r="B50" s="16" t="inlineStr">
        <is>
          <t>'86.05.</t>
        </is>
      </c>
      <c r="C50" s="164" t="n">
        <v>572</v>
      </c>
      <c r="D50" s="161" t="n">
        <v>103.8</v>
      </c>
      <c r="E50" s="163" t="n">
        <v>31</v>
      </c>
      <c r="F50" s="161" t="n">
        <v>84.90000000000001</v>
      </c>
      <c r="G50" s="27" t="n">
        <v>26</v>
      </c>
      <c r="H50" s="164" t="n">
        <v>252</v>
      </c>
      <c r="I50" s="165" t="n">
        <v>156000</v>
      </c>
      <c r="J50" s="165" t="inlineStr">
        <is>
          <t>고</t>
        </is>
      </c>
      <c r="K50" s="165" t="n">
        <v>70000</v>
      </c>
      <c r="L50" s="165" t="inlineStr">
        <is>
          <t>고</t>
        </is>
      </c>
      <c r="M50" s="166">
        <f>I50-K50</f>
        <v/>
      </c>
      <c r="N50" s="7">
        <f>IF(ISERROR(K50/I50),"",K50/I50)</f>
        <v/>
      </c>
      <c r="O50" s="162">
        <f>I50/E50</f>
        <v/>
      </c>
      <c r="P50" s="162">
        <f>K50/E50</f>
        <v/>
      </c>
      <c r="Q50" s="113" t="n">
        <v>3</v>
      </c>
      <c r="R50" s="113" t="n">
        <v>1</v>
      </c>
      <c r="S50" s="113" t="inlineStr">
        <is>
          <t>계</t>
        </is>
      </c>
      <c r="T50" s="8" t="n">
        <v>103</v>
      </c>
      <c r="U50" s="13" t="n"/>
      <c r="W50" s="161">
        <f>D50</f>
        <v/>
      </c>
      <c r="X50" s="163">
        <f>E50</f>
        <v/>
      </c>
      <c r="Y50" s="159">
        <f>H50</f>
        <v/>
      </c>
      <c r="Z50" s="166">
        <f>I50</f>
        <v/>
      </c>
      <c r="AA50" s="166">
        <f>K50</f>
        <v/>
      </c>
      <c r="AB50" s="166">
        <f>M50</f>
        <v/>
      </c>
      <c r="AC50" s="7">
        <f>N50</f>
        <v/>
      </c>
      <c r="AD50" s="162">
        <f>O50</f>
        <v/>
      </c>
      <c r="AE50" s="113">
        <f>S50</f>
        <v/>
      </c>
      <c r="AF50" s="113">
        <f>Q50&amp;"/"&amp;R50</f>
        <v/>
      </c>
      <c r="AH50" s="36">
        <f>IF(A50="","",A50)</f>
        <v/>
      </c>
      <c r="AI50" s="163">
        <f>IF(E50="","",E50)</f>
        <v/>
      </c>
      <c r="AJ50" s="113">
        <f>IF(AI50="","",$AJ$2)</f>
        <v/>
      </c>
      <c r="AK50" s="113" t="inlineStr">
        <is>
          <t>A</t>
        </is>
      </c>
      <c r="AL50" s="113" t="inlineStr">
        <is>
          <t>A+</t>
        </is>
      </c>
      <c r="AM50" s="113" t="inlineStr">
        <is>
          <t>B+</t>
        </is>
      </c>
      <c r="AN50" s="113">
        <f>IF(AI50="","",$AN$2)</f>
        <v/>
      </c>
      <c r="AO50" s="113">
        <f>IF(N50="","",IF(N50&gt;=$AO$1/100,"O","X"))</f>
        <v/>
      </c>
      <c r="AP50" s="113">
        <f>IF(I50="","",IF(I50&lt;=$AP$1,"O","X"))</f>
        <v/>
      </c>
      <c r="AQ50" s="113">
        <f>IF(O50="","",IF(O50&lt;=$AQ$1,"O","X"))</f>
        <v/>
      </c>
      <c r="AR50" s="113">
        <f>IF(M50="","",IF(M50&lt;=$AR$1,"O","X"))</f>
        <v/>
      </c>
      <c r="AS50" s="113" t="inlineStr">
        <is>
          <t>X</t>
        </is>
      </c>
      <c r="AT50" s="113">
        <f>IF(OR(F50="",AI50=""),"",IF(AND((F50&lt;=85),(AI50&gt;=15)),"O","X"))</f>
        <v/>
      </c>
      <c r="AU50" s="113">
        <f>IF(C50="","",IF(C50&gt;=$AU$1,"O","X"))</f>
        <v/>
      </c>
      <c r="AV50" s="113">
        <f>IF(AO50="","",IF(AND(AO50="O",AP50="O",AR50="O",AT50="O",AU50="O"),"후보","X"))</f>
        <v/>
      </c>
    </row>
    <row r="51">
      <c r="A51" s="13" t="inlineStr">
        <is>
          <t>우성(42)</t>
        </is>
      </c>
      <c r="B51" s="16" t="inlineStr">
        <is>
          <t>'86.05.</t>
        </is>
      </c>
      <c r="C51" s="164" t="n">
        <v>572</v>
      </c>
      <c r="D51" s="161" t="n">
        <v>153.8</v>
      </c>
      <c r="E51" s="163" t="n">
        <v>47</v>
      </c>
      <c r="F51" s="161" t="n">
        <v>133.7</v>
      </c>
      <c r="G51" s="27" t="n">
        <v>40</v>
      </c>
      <c r="H51" s="164" t="n">
        <v>320</v>
      </c>
      <c r="I51" s="165" t="n">
        <v>190000</v>
      </c>
      <c r="J51" s="165" t="inlineStr">
        <is>
          <t>11</t>
        </is>
      </c>
      <c r="K51" s="165" t="n"/>
      <c r="L51" s="165" t="n"/>
      <c r="M51" s="166">
        <f>I51-K51</f>
        <v/>
      </c>
      <c r="N51" s="7">
        <f>IF(ISERROR(K51/I51),"",K51/I51)</f>
        <v/>
      </c>
      <c r="O51" s="162">
        <f>I51/E51</f>
        <v/>
      </c>
      <c r="P51" s="162">
        <f>K51/E51</f>
        <v/>
      </c>
      <c r="Q51" s="113" t="n">
        <v>4</v>
      </c>
      <c r="R51" s="113" t="n">
        <v>2</v>
      </c>
      <c r="S51" s="113" t="inlineStr">
        <is>
          <t>계</t>
        </is>
      </c>
      <c r="T51" s="8" t="n">
        <v>153</v>
      </c>
      <c r="U51" s="13" t="n"/>
      <c r="W51" s="161">
        <f>D51</f>
        <v/>
      </c>
      <c r="X51" s="163">
        <f>E51</f>
        <v/>
      </c>
      <c r="Y51" s="159">
        <f>H51</f>
        <v/>
      </c>
      <c r="Z51" s="166">
        <f>I51</f>
        <v/>
      </c>
      <c r="AA51" s="166">
        <f>K51</f>
        <v/>
      </c>
      <c r="AB51" s="166">
        <f>M51</f>
        <v/>
      </c>
      <c r="AC51" s="7">
        <f>N51</f>
        <v/>
      </c>
      <c r="AD51" s="162">
        <f>O51</f>
        <v/>
      </c>
      <c r="AE51" s="113">
        <f>S51</f>
        <v/>
      </c>
      <c r="AF51" s="113">
        <f>Q51&amp;"/"&amp;R51</f>
        <v/>
      </c>
      <c r="AH51" s="36">
        <f>IF(A51="","",A51)</f>
        <v/>
      </c>
      <c r="AI51" s="163">
        <f>IF(E51="","",E51)</f>
        <v/>
      </c>
      <c r="AJ51" s="113">
        <f>IF(AI51="","",$AJ$2)</f>
        <v/>
      </c>
      <c r="AK51" s="113" t="inlineStr">
        <is>
          <t>A</t>
        </is>
      </c>
      <c r="AL51" s="113" t="inlineStr">
        <is>
          <t>A+</t>
        </is>
      </c>
      <c r="AM51" s="113" t="inlineStr">
        <is>
          <t>B+</t>
        </is>
      </c>
      <c r="AN51" s="113">
        <f>IF(AI51="","",$AN$2)</f>
        <v/>
      </c>
      <c r="AO51" s="113">
        <f>IF(N51="","",IF(N51&gt;=$AO$1/100,"O","X"))</f>
        <v/>
      </c>
      <c r="AP51" s="113">
        <f>IF(I51="","",IF(I51&lt;=$AP$1,"O","X"))</f>
        <v/>
      </c>
      <c r="AQ51" s="113">
        <f>IF(O51="","",IF(O51&lt;=$AQ$1,"O","X"))</f>
        <v/>
      </c>
      <c r="AR51" s="113">
        <f>IF(M51="","",IF(M51&lt;=$AR$1,"O","X"))</f>
        <v/>
      </c>
      <c r="AS51" s="113" t="inlineStr">
        <is>
          <t>X</t>
        </is>
      </c>
      <c r="AT51" s="113">
        <f>IF(OR(F51="",AI51=""),"",IF(AND((F51&lt;=85),(AI51&gt;=15)),"O","X"))</f>
        <v/>
      </c>
      <c r="AU51" s="113">
        <f>IF(C51="","",IF(C51&gt;=$AU$1,"O","X"))</f>
        <v/>
      </c>
      <c r="AV51" s="113">
        <f>IF(AO51="","",IF(AND(AO51="O",AP51="O",AR51="O",AT51="O",AU51="O"),"후보","X"))</f>
        <v/>
      </c>
    </row>
    <row r="52">
      <c r="A52" s="13" t="n"/>
      <c r="B52" s="113" t="n"/>
      <c r="C52" s="10" t="n"/>
      <c r="D52" s="13" t="n"/>
      <c r="E52" s="20" t="n"/>
      <c r="F52" s="161" t="n"/>
      <c r="G52" s="13" t="n"/>
      <c r="H52" s="13" t="n"/>
      <c r="I52" s="13" t="n"/>
      <c r="J52" s="13" t="n"/>
      <c r="K52" s="13" t="n"/>
      <c r="L52" s="13" t="n"/>
      <c r="M52" s="13" t="n"/>
      <c r="N52" s="13" t="n"/>
      <c r="O52" s="162" t="n"/>
      <c r="P52" s="162" t="n"/>
      <c r="Q52" s="163" t="n"/>
      <c r="R52" s="163" t="n"/>
      <c r="S52" s="13" t="n"/>
      <c r="T52" s="70" t="n"/>
      <c r="U52" s="13" t="n"/>
      <c r="W52" s="107">
        <f>$A$4&amp;" "&amp;A53&amp;"("&amp;B53&amp;","&amp;C53&amp;"^)"</f>
        <v/>
      </c>
      <c r="X52" s="108" t="n"/>
      <c r="Y52" s="108" t="n"/>
      <c r="Z52" s="108" t="n"/>
      <c r="AA52" s="108" t="n"/>
      <c r="AB52" s="108" t="n"/>
      <c r="AC52" s="108" t="n"/>
      <c r="AD52" s="108" t="n"/>
      <c r="AE52" s="108" t="n"/>
      <c r="AF52" s="109" t="n"/>
      <c r="AH52" s="36">
        <f>IF(A52="","",A52)</f>
        <v/>
      </c>
      <c r="AI52" s="160">
        <f>IF(E52="","",E52)</f>
        <v/>
      </c>
      <c r="AJ52" s="113" t="n"/>
      <c r="AK52" s="113" t="n"/>
      <c r="AL52" s="113" t="n"/>
      <c r="AM52" s="113" t="n"/>
      <c r="AN52" s="113" t="n"/>
      <c r="AO52" s="113" t="n"/>
      <c r="AP52" s="113" t="n"/>
      <c r="AQ52" s="113" t="n"/>
      <c r="AR52" s="113" t="n"/>
      <c r="AS52" s="113" t="n"/>
      <c r="AT52" s="113" t="n"/>
      <c r="AU52" s="113" t="n"/>
      <c r="AV52" s="113" t="n"/>
    </row>
    <row r="53">
      <c r="A53" s="13" t="inlineStr">
        <is>
          <t>래미안솔베뉴</t>
        </is>
      </c>
      <c r="B53" s="16" t="inlineStr">
        <is>
          <t>'19.06.</t>
        </is>
      </c>
      <c r="C53" s="164" t="n">
        <v>1900</v>
      </c>
      <c r="D53" s="161" t="n">
        <v>69.5</v>
      </c>
      <c r="E53" s="163" t="n">
        <v>21</v>
      </c>
      <c r="F53" s="161" t="n">
        <v>49.7</v>
      </c>
      <c r="G53" s="27" t="n">
        <v>15</v>
      </c>
      <c r="H53" s="164" t="n">
        <v>116</v>
      </c>
      <c r="I53" s="165" t="n">
        <v>125000</v>
      </c>
      <c r="J53" s="165" t="inlineStr">
        <is>
          <t>12</t>
        </is>
      </c>
      <c r="K53" s="165" t="n"/>
      <c r="L53" s="165" t="n"/>
      <c r="M53" s="166">
        <f>I53-K53</f>
        <v/>
      </c>
      <c r="N53" s="7">
        <f>IF(ISERROR(K53/I53),"",K53/I53)</f>
        <v/>
      </c>
      <c r="O53" s="162">
        <f>I53/E53</f>
        <v/>
      </c>
      <c r="P53" s="162">
        <f>K53/E53</f>
        <v/>
      </c>
      <c r="Q53" s="113" t="n">
        <v>2</v>
      </c>
      <c r="R53" s="113" t="n">
        <v>1</v>
      </c>
      <c r="S53" s="113" t="inlineStr">
        <is>
          <t>계</t>
        </is>
      </c>
      <c r="T53" s="8" t="inlineStr">
        <is>
          <t>69A</t>
        </is>
      </c>
      <c r="U53" s="13" t="n"/>
      <c r="W53" s="161">
        <f>D53</f>
        <v/>
      </c>
      <c r="X53" s="163">
        <f>E53</f>
        <v/>
      </c>
      <c r="Y53" s="159">
        <f>H53</f>
        <v/>
      </c>
      <c r="Z53" s="166">
        <f>I53</f>
        <v/>
      </c>
      <c r="AA53" s="166">
        <f>K53</f>
        <v/>
      </c>
      <c r="AB53" s="166">
        <f>M53</f>
        <v/>
      </c>
      <c r="AC53" s="7">
        <f>N53</f>
        <v/>
      </c>
      <c r="AD53" s="162">
        <f>O53</f>
        <v/>
      </c>
      <c r="AE53" s="113">
        <f>S53</f>
        <v/>
      </c>
      <c r="AF53" s="113">
        <f>Q53&amp;"/"&amp;R53</f>
        <v/>
      </c>
      <c r="AH53" s="36">
        <f>IF(A53="","",A53)</f>
        <v/>
      </c>
      <c r="AI53" s="163">
        <f>IF(E53="","",E53)</f>
        <v/>
      </c>
      <c r="AJ53" s="113">
        <f>IF(AI53="","",$AJ$2)</f>
        <v/>
      </c>
      <c r="AK53" s="113" t="inlineStr">
        <is>
          <t>A</t>
        </is>
      </c>
      <c r="AL53" s="113" t="inlineStr">
        <is>
          <t>A+</t>
        </is>
      </c>
      <c r="AM53" s="113" t="inlineStr">
        <is>
          <t>B+</t>
        </is>
      </c>
      <c r="AN53" s="113">
        <f>IF(AI53="","",$AN$2)</f>
        <v/>
      </c>
      <c r="AO53" s="113">
        <f>IF(N53="","",IF(N53&gt;=$AO$1/100,"O","X"))</f>
        <v/>
      </c>
      <c r="AP53" s="113">
        <f>IF(I53="","",IF(I53&lt;=$AP$1,"O","X"))</f>
        <v/>
      </c>
      <c r="AQ53" s="113">
        <f>IF(O53="","",IF(O53&lt;=$AQ$1,"O","X"))</f>
        <v/>
      </c>
      <c r="AR53" s="113">
        <f>IF(M53="","",IF(M53&lt;=$AR$1,"O","X"))</f>
        <v/>
      </c>
      <c r="AS53" s="113" t="inlineStr">
        <is>
          <t>X</t>
        </is>
      </c>
      <c r="AT53" s="113">
        <f>IF(OR(F53="",AI53=""),"",IF(AND((F53&lt;=85),(AI53&gt;=15)),"O","X"))</f>
        <v/>
      </c>
      <c r="AU53" s="113">
        <f>IF(C53="","",IF(C53&gt;=$AU$1,"O","X"))</f>
        <v/>
      </c>
      <c r="AV53" s="113">
        <f>IF(AO53="","",IF(AND(AO53="O",AP53="O",AR53="O",AT53="O",AU53="O"),"후보","X"))</f>
        <v/>
      </c>
    </row>
    <row r="54">
      <c r="A54" s="13" t="inlineStr">
        <is>
          <t>래미안솔베뉴</t>
        </is>
      </c>
      <c r="B54" s="16" t="inlineStr">
        <is>
          <t>'19.06.</t>
        </is>
      </c>
      <c r="C54" s="164" t="n">
        <v>1900</v>
      </c>
      <c r="D54" s="161" t="n">
        <v>69.90000000000001</v>
      </c>
      <c r="E54" s="163" t="n">
        <v>21</v>
      </c>
      <c r="F54" s="161" t="n">
        <v>49.7</v>
      </c>
      <c r="G54" s="27" t="n">
        <v>15</v>
      </c>
      <c r="H54" s="164" t="n">
        <v>53</v>
      </c>
      <c r="I54" s="165" t="n">
        <v>129000</v>
      </c>
      <c r="J54" s="165" t="inlineStr">
        <is>
          <t>고</t>
        </is>
      </c>
      <c r="K54" s="165" t="n"/>
      <c r="L54" s="165" t="n"/>
      <c r="M54" s="166">
        <f>I54-K54</f>
        <v/>
      </c>
      <c r="N54" s="7">
        <f>IF(ISERROR(K54/I54),"",K54/I54)</f>
        <v/>
      </c>
      <c r="O54" s="162">
        <f>I54/E54</f>
        <v/>
      </c>
      <c r="P54" s="162">
        <f>K54/E54</f>
        <v/>
      </c>
      <c r="Q54" s="113" t="n">
        <v>2</v>
      </c>
      <c r="R54" s="113" t="n">
        <v>1</v>
      </c>
      <c r="S54" s="113" t="inlineStr">
        <is>
          <t>계</t>
        </is>
      </c>
      <c r="T54" s="8" t="inlineStr">
        <is>
          <t>69C</t>
        </is>
      </c>
      <c r="U54" s="13" t="n"/>
      <c r="W54" s="161">
        <f>D54</f>
        <v/>
      </c>
      <c r="X54" s="163">
        <f>E54</f>
        <v/>
      </c>
      <c r="Y54" s="159">
        <f>H54</f>
        <v/>
      </c>
      <c r="Z54" s="166">
        <f>I54</f>
        <v/>
      </c>
      <c r="AA54" s="166">
        <f>K54</f>
        <v/>
      </c>
      <c r="AB54" s="166">
        <f>M54</f>
        <v/>
      </c>
      <c r="AC54" s="7">
        <f>N54</f>
        <v/>
      </c>
      <c r="AD54" s="162">
        <f>O54</f>
        <v/>
      </c>
      <c r="AE54" s="113">
        <f>S54</f>
        <v/>
      </c>
      <c r="AF54" s="113">
        <f>Q54&amp;"/"&amp;R54</f>
        <v/>
      </c>
      <c r="AH54" s="36">
        <f>IF(A54="","",A54)</f>
        <v/>
      </c>
      <c r="AI54" s="163">
        <f>IF(E54="","",E54)</f>
        <v/>
      </c>
      <c r="AJ54" s="113">
        <f>IF(AI54="","",$AJ$2)</f>
        <v/>
      </c>
      <c r="AK54" s="113" t="inlineStr">
        <is>
          <t>A</t>
        </is>
      </c>
      <c r="AL54" s="113" t="inlineStr">
        <is>
          <t>A+</t>
        </is>
      </c>
      <c r="AM54" s="113" t="inlineStr">
        <is>
          <t>B+</t>
        </is>
      </c>
      <c r="AN54" s="113">
        <f>IF(AI54="","",$AN$2)</f>
        <v/>
      </c>
      <c r="AO54" s="113">
        <f>IF(N54="","",IF(N54&gt;=$AO$1/100,"O","X"))</f>
        <v/>
      </c>
      <c r="AP54" s="113">
        <f>IF(I54="","",IF(I54&lt;=$AP$1,"O","X"))</f>
        <v/>
      </c>
      <c r="AQ54" s="113">
        <f>IF(O54="","",IF(O54&lt;=$AQ$1,"O","X"))</f>
        <v/>
      </c>
      <c r="AR54" s="113">
        <f>IF(M54="","",IF(M54&lt;=$AR$1,"O","X"))</f>
        <v/>
      </c>
      <c r="AS54" s="113" t="inlineStr">
        <is>
          <t>X</t>
        </is>
      </c>
      <c r="AT54" s="113">
        <f>IF(OR(F54="",AI54=""),"",IF(AND((F54&lt;=85),(AI54&gt;=15)),"O","X"))</f>
        <v/>
      </c>
      <c r="AU54" s="113">
        <f>IF(C54="","",IF(C54&gt;=$AU$1,"O","X"))</f>
        <v/>
      </c>
      <c r="AV54" s="113">
        <f>IF(AO54="","",IF(AND(AO54="O",AP54="O",AR54="O",AT54="O",AU54="O"),"후보","X"))</f>
        <v/>
      </c>
    </row>
    <row r="55">
      <c r="A55" s="13" t="inlineStr">
        <is>
          <t>래미안솔베뉴</t>
        </is>
      </c>
      <c r="B55" s="16" t="inlineStr">
        <is>
          <t>'19.06.</t>
        </is>
      </c>
      <c r="C55" s="164" t="n">
        <v>1900</v>
      </c>
      <c r="D55" s="161" t="n">
        <v>70.40000000000001</v>
      </c>
      <c r="E55" s="163" t="n">
        <v>21</v>
      </c>
      <c r="F55" s="161" t="n">
        <v>49.6</v>
      </c>
      <c r="G55" s="27" t="n">
        <v>15</v>
      </c>
      <c r="H55" s="164" t="n">
        <v>26</v>
      </c>
      <c r="I55" s="165" t="n">
        <v>125000</v>
      </c>
      <c r="J55" s="165" t="inlineStr">
        <is>
          <t>중</t>
        </is>
      </c>
      <c r="K55" s="165" t="n"/>
      <c r="L55" s="165" t="n"/>
      <c r="M55" s="166">
        <f>I55-K55</f>
        <v/>
      </c>
      <c r="N55" s="7">
        <f>IF(ISERROR(K55/I55),"",K55/I55)</f>
        <v/>
      </c>
      <c r="O55" s="162">
        <f>I55/E55</f>
        <v/>
      </c>
      <c r="P55" s="162">
        <f>K55/E55</f>
        <v/>
      </c>
      <c r="Q55" s="113" t="n">
        <v>2</v>
      </c>
      <c r="R55" s="113" t="n">
        <v>1</v>
      </c>
      <c r="S55" s="113" t="inlineStr">
        <is>
          <t>계</t>
        </is>
      </c>
      <c r="T55" s="8" t="inlineStr">
        <is>
          <t>70B</t>
        </is>
      </c>
      <c r="U55" s="13" t="n"/>
      <c r="W55" s="161">
        <f>D55</f>
        <v/>
      </c>
      <c r="X55" s="163">
        <f>E55</f>
        <v/>
      </c>
      <c r="Y55" s="159">
        <f>H55</f>
        <v/>
      </c>
      <c r="Z55" s="166">
        <f>I55</f>
        <v/>
      </c>
      <c r="AA55" s="166">
        <f>K55</f>
        <v/>
      </c>
      <c r="AB55" s="166">
        <f>M55</f>
        <v/>
      </c>
      <c r="AC55" s="7">
        <f>N55</f>
        <v/>
      </c>
      <c r="AD55" s="162">
        <f>O55</f>
        <v/>
      </c>
      <c r="AE55" s="113">
        <f>S55</f>
        <v/>
      </c>
      <c r="AF55" s="113">
        <f>Q55&amp;"/"&amp;R55</f>
        <v/>
      </c>
      <c r="AH55" s="36">
        <f>IF(A55="","",A55)</f>
        <v/>
      </c>
      <c r="AI55" s="163">
        <f>IF(E55="","",E55)</f>
        <v/>
      </c>
      <c r="AJ55" s="113">
        <f>IF(AI55="","",$AJ$2)</f>
        <v/>
      </c>
      <c r="AK55" s="113" t="inlineStr">
        <is>
          <t>A</t>
        </is>
      </c>
      <c r="AL55" s="113" t="inlineStr">
        <is>
          <t>A+</t>
        </is>
      </c>
      <c r="AM55" s="113" t="inlineStr">
        <is>
          <t>B+</t>
        </is>
      </c>
      <c r="AN55" s="113">
        <f>IF(AI55="","",$AN$2)</f>
        <v/>
      </c>
      <c r="AO55" s="113">
        <f>IF(N55="","",IF(N55&gt;=$AO$1/100,"O","X"))</f>
        <v/>
      </c>
      <c r="AP55" s="113">
        <f>IF(I55="","",IF(I55&lt;=$AP$1,"O","X"))</f>
        <v/>
      </c>
      <c r="AQ55" s="113">
        <f>IF(O55="","",IF(O55&lt;=$AQ$1,"O","X"))</f>
        <v/>
      </c>
      <c r="AR55" s="113">
        <f>IF(M55="","",IF(M55&lt;=$AR$1,"O","X"))</f>
        <v/>
      </c>
      <c r="AS55" s="113" t="inlineStr">
        <is>
          <t>X</t>
        </is>
      </c>
      <c r="AT55" s="113">
        <f>IF(OR(F55="",AI55=""),"",IF(AND((F55&lt;=85),(AI55&gt;=15)),"O","X"))</f>
        <v/>
      </c>
      <c r="AU55" s="113">
        <f>IF(C55="","",IF(C55&gt;=$AU$1,"O","X"))</f>
        <v/>
      </c>
      <c r="AV55" s="113">
        <f>IF(AO55="","",IF(AND(AO55="O",AP55="O",AR55="O",AT55="O",AU55="O"),"후보","X"))</f>
        <v/>
      </c>
    </row>
    <row r="56">
      <c r="A56" s="13" t="inlineStr">
        <is>
          <t>래미안솔베뉴</t>
        </is>
      </c>
      <c r="B56" s="16" t="inlineStr">
        <is>
          <t>'19.06.</t>
        </is>
      </c>
      <c r="C56" s="164" t="n">
        <v>1900</v>
      </c>
      <c r="D56" s="161" t="n">
        <v>83.7</v>
      </c>
      <c r="E56" s="163" t="n">
        <v>25</v>
      </c>
      <c r="F56" s="161" t="n">
        <v>59.1</v>
      </c>
      <c r="G56" s="27" t="n">
        <v>18</v>
      </c>
      <c r="H56" s="164" t="n">
        <v>283</v>
      </c>
      <c r="I56" s="165" t="n">
        <v>142000</v>
      </c>
      <c r="J56" s="165" t="inlineStr">
        <is>
          <t>중</t>
        </is>
      </c>
      <c r="K56" s="165" t="n">
        <v>70000</v>
      </c>
      <c r="L56" s="165" t="inlineStr">
        <is>
          <t>중</t>
        </is>
      </c>
      <c r="M56" s="166">
        <f>I56-K56</f>
        <v/>
      </c>
      <c r="N56" s="7">
        <f>IF(ISERROR(K56/I56),"",K56/I56)</f>
        <v/>
      </c>
      <c r="O56" s="162">
        <f>I56/E56</f>
        <v/>
      </c>
      <c r="P56" s="162">
        <f>K56/E56</f>
        <v/>
      </c>
      <c r="Q56" s="113" t="n">
        <v>3</v>
      </c>
      <c r="R56" s="113" t="n">
        <v>2</v>
      </c>
      <c r="S56" s="113" t="inlineStr">
        <is>
          <t>계</t>
        </is>
      </c>
      <c r="T56" s="8" t="inlineStr">
        <is>
          <t>83A-2</t>
        </is>
      </c>
      <c r="U56" s="13" t="n"/>
      <c r="W56" s="161">
        <f>D56</f>
        <v/>
      </c>
      <c r="X56" s="163">
        <f>E56</f>
        <v/>
      </c>
      <c r="Y56" s="159">
        <f>H56</f>
        <v/>
      </c>
      <c r="Z56" s="166">
        <f>I56</f>
        <v/>
      </c>
      <c r="AA56" s="166">
        <f>K56</f>
        <v/>
      </c>
      <c r="AB56" s="166">
        <f>M56</f>
        <v/>
      </c>
      <c r="AC56" s="7">
        <f>N56</f>
        <v/>
      </c>
      <c r="AD56" s="162">
        <f>O56</f>
        <v/>
      </c>
      <c r="AE56" s="113">
        <f>S56</f>
        <v/>
      </c>
      <c r="AF56" s="113">
        <f>Q56&amp;"/"&amp;R56</f>
        <v/>
      </c>
      <c r="AH56" s="36">
        <f>IF(A56="","",A56)</f>
        <v/>
      </c>
      <c r="AI56" s="163">
        <f>IF(E56="","",E56)</f>
        <v/>
      </c>
      <c r="AJ56" s="113">
        <f>IF(AI56="","",$AJ$2)</f>
        <v/>
      </c>
      <c r="AK56" s="113" t="inlineStr">
        <is>
          <t>A</t>
        </is>
      </c>
      <c r="AL56" s="113" t="inlineStr">
        <is>
          <t>A+</t>
        </is>
      </c>
      <c r="AM56" s="113" t="inlineStr">
        <is>
          <t>B+</t>
        </is>
      </c>
      <c r="AN56" s="113">
        <f>IF(AI56="","",$AN$2)</f>
        <v/>
      </c>
      <c r="AO56" s="113">
        <f>IF(N56="","",IF(N56&gt;=$AO$1/100,"O","X"))</f>
        <v/>
      </c>
      <c r="AP56" s="113">
        <f>IF(I56="","",IF(I56&lt;=$AP$1,"O","X"))</f>
        <v/>
      </c>
      <c r="AQ56" s="113">
        <f>IF(O56="","",IF(O56&lt;=$AQ$1,"O","X"))</f>
        <v/>
      </c>
      <c r="AR56" s="113">
        <f>IF(M56="","",IF(M56&lt;=$AR$1,"O","X"))</f>
        <v/>
      </c>
      <c r="AS56" s="113" t="inlineStr">
        <is>
          <t>X</t>
        </is>
      </c>
      <c r="AT56" s="113">
        <f>IF(OR(F56="",AI56=""),"",IF(AND((F56&lt;=85),(AI56&gt;=15)),"O","X"))</f>
        <v/>
      </c>
      <c r="AU56" s="113">
        <f>IF(C56="","",IF(C56&gt;=$AU$1,"O","X"))</f>
        <v/>
      </c>
      <c r="AV56" s="113">
        <f>IF(AO56="","",IF(AND(AO56="O",AP56="O",AR56="O",AT56="O",AU56="O"),"후보","X"))</f>
        <v/>
      </c>
    </row>
    <row r="57">
      <c r="A57" s="13" t="inlineStr">
        <is>
          <t>래미안솔베뉴</t>
        </is>
      </c>
      <c r="B57" s="16" t="inlineStr">
        <is>
          <t>'19.06.</t>
        </is>
      </c>
      <c r="C57" s="164" t="n">
        <v>1900</v>
      </c>
      <c r="D57" s="161" t="n">
        <v>84.09999999999999</v>
      </c>
      <c r="E57" s="163" t="n">
        <v>25</v>
      </c>
      <c r="F57" s="161" t="n">
        <v>59.1</v>
      </c>
      <c r="G57" s="27" t="n">
        <v>18</v>
      </c>
      <c r="H57" s="164" t="n">
        <v>546</v>
      </c>
      <c r="I57" s="165" t="n">
        <v>139000</v>
      </c>
      <c r="J57" s="165" t="inlineStr">
        <is>
          <t>중</t>
        </is>
      </c>
      <c r="K57" s="165" t="n">
        <v>70000</v>
      </c>
      <c r="L57" s="165" t="inlineStr">
        <is>
          <t>14</t>
        </is>
      </c>
      <c r="M57" s="166">
        <f>I57-K57</f>
        <v/>
      </c>
      <c r="N57" s="7">
        <f>IF(ISERROR(K57/I57),"",K57/I57)</f>
        <v/>
      </c>
      <c r="O57" s="162">
        <f>I57/E57</f>
        <v/>
      </c>
      <c r="P57" s="162">
        <f>K57/E57</f>
        <v/>
      </c>
      <c r="Q57" s="113" t="n">
        <v>3</v>
      </c>
      <c r="R57" s="113" t="n">
        <v>2</v>
      </c>
      <c r="S57" s="113" t="inlineStr">
        <is>
          <t>계</t>
        </is>
      </c>
      <c r="T57" s="8" t="inlineStr">
        <is>
          <t>84A-1</t>
        </is>
      </c>
      <c r="U57" s="13" t="n"/>
      <c r="W57" s="161">
        <f>D57</f>
        <v/>
      </c>
      <c r="X57" s="163">
        <f>E57</f>
        <v/>
      </c>
      <c r="Y57" s="159">
        <f>H57</f>
        <v/>
      </c>
      <c r="Z57" s="166">
        <f>I57</f>
        <v/>
      </c>
      <c r="AA57" s="166">
        <f>K57</f>
        <v/>
      </c>
      <c r="AB57" s="166">
        <f>M57</f>
        <v/>
      </c>
      <c r="AC57" s="7">
        <f>N57</f>
        <v/>
      </c>
      <c r="AD57" s="162">
        <f>O57</f>
        <v/>
      </c>
      <c r="AE57" s="113">
        <f>S57</f>
        <v/>
      </c>
      <c r="AF57" s="113">
        <f>Q57&amp;"/"&amp;R57</f>
        <v/>
      </c>
      <c r="AH57" s="36">
        <f>IF(A57="","",A57)</f>
        <v/>
      </c>
      <c r="AI57" s="163">
        <f>IF(E57="","",E57)</f>
        <v/>
      </c>
      <c r="AJ57" s="113">
        <f>IF(AI57="","",$AJ$2)</f>
        <v/>
      </c>
      <c r="AK57" s="113" t="inlineStr">
        <is>
          <t>A</t>
        </is>
      </c>
      <c r="AL57" s="113" t="inlineStr">
        <is>
          <t>A+</t>
        </is>
      </c>
      <c r="AM57" s="113" t="inlineStr">
        <is>
          <t>B+</t>
        </is>
      </c>
      <c r="AN57" s="113">
        <f>IF(AI57="","",$AN$2)</f>
        <v/>
      </c>
      <c r="AO57" s="113">
        <f>IF(N57="","",IF(N57&gt;=$AO$1/100,"O","X"))</f>
        <v/>
      </c>
      <c r="AP57" s="113">
        <f>IF(I57="","",IF(I57&lt;=$AP$1,"O","X"))</f>
        <v/>
      </c>
      <c r="AQ57" s="113">
        <f>IF(O57="","",IF(O57&lt;=$AQ$1,"O","X"))</f>
        <v/>
      </c>
      <c r="AR57" s="113">
        <f>IF(M57="","",IF(M57&lt;=$AR$1,"O","X"))</f>
        <v/>
      </c>
      <c r="AS57" s="113" t="inlineStr">
        <is>
          <t>X</t>
        </is>
      </c>
      <c r="AT57" s="113">
        <f>IF(OR(F57="",AI57=""),"",IF(AND((F57&lt;=85),(AI57&gt;=15)),"O","X"))</f>
        <v/>
      </c>
      <c r="AU57" s="113">
        <f>IF(C57="","",IF(C57&gt;=$AU$1,"O","X"))</f>
        <v/>
      </c>
      <c r="AV57" s="113">
        <f>IF(AO57="","",IF(AND(AO57="O",AP57="O",AR57="O",AT57="O",AU57="O"),"후보","X"))</f>
        <v/>
      </c>
    </row>
    <row r="58">
      <c r="A58" s="13" t="inlineStr">
        <is>
          <t>래미안솔베뉴</t>
        </is>
      </c>
      <c r="B58" s="16" t="inlineStr">
        <is>
          <t>'19.06.</t>
        </is>
      </c>
      <c r="C58" s="164" t="n">
        <v>1900</v>
      </c>
      <c r="D58" s="161" t="n">
        <v>84.09999999999999</v>
      </c>
      <c r="E58" s="163" t="n">
        <v>25</v>
      </c>
      <c r="F58" s="161" t="n">
        <v>59.3</v>
      </c>
      <c r="G58" s="27" t="n">
        <v>18</v>
      </c>
      <c r="H58" s="164" t="n">
        <v>94</v>
      </c>
      <c r="I58" s="165" t="n"/>
      <c r="J58" s="165" t="n"/>
      <c r="K58" s="165" t="n"/>
      <c r="L58" s="165" t="n"/>
      <c r="M58" s="166">
        <f>I58-K58</f>
        <v/>
      </c>
      <c r="N58" s="7">
        <f>IF(ISERROR(K58/I58),"",K58/I58)</f>
        <v/>
      </c>
      <c r="O58" s="162">
        <f>I58/E58</f>
        <v/>
      </c>
      <c r="P58" s="162">
        <f>K58/E58</f>
        <v/>
      </c>
      <c r="Q58" s="113" t="n">
        <v>3</v>
      </c>
      <c r="R58" s="113" t="n">
        <v>2</v>
      </c>
      <c r="S58" s="113" t="inlineStr">
        <is>
          <t>계</t>
        </is>
      </c>
      <c r="T58" s="8" t="inlineStr">
        <is>
          <t>84B</t>
        </is>
      </c>
      <c r="U58" s="13" t="n"/>
      <c r="W58" s="161">
        <f>D58</f>
        <v/>
      </c>
      <c r="X58" s="163">
        <f>E58</f>
        <v/>
      </c>
      <c r="Y58" s="159">
        <f>H58</f>
        <v/>
      </c>
      <c r="Z58" s="166">
        <f>I58</f>
        <v/>
      </c>
      <c r="AA58" s="166">
        <f>K58</f>
        <v/>
      </c>
      <c r="AB58" s="166">
        <f>M58</f>
        <v/>
      </c>
      <c r="AC58" s="7">
        <f>N58</f>
        <v/>
      </c>
      <c r="AD58" s="162">
        <f>O58</f>
        <v/>
      </c>
      <c r="AE58" s="113">
        <f>S58</f>
        <v/>
      </c>
      <c r="AF58" s="113">
        <f>Q58&amp;"/"&amp;R58</f>
        <v/>
      </c>
      <c r="AH58" s="36">
        <f>IF(A58="","",A58)</f>
        <v/>
      </c>
      <c r="AI58" s="163">
        <f>IF(E58="","",E58)</f>
        <v/>
      </c>
      <c r="AJ58" s="113">
        <f>IF(AI58="","",$AJ$2)</f>
        <v/>
      </c>
      <c r="AK58" s="113" t="inlineStr">
        <is>
          <t>A</t>
        </is>
      </c>
      <c r="AL58" s="113" t="inlineStr">
        <is>
          <t>A+</t>
        </is>
      </c>
      <c r="AM58" s="113" t="inlineStr">
        <is>
          <t>B+</t>
        </is>
      </c>
      <c r="AN58" s="113">
        <f>IF(AI58="","",$AN$2)</f>
        <v/>
      </c>
      <c r="AO58" s="113">
        <f>IF(N58="","",IF(N58&gt;=$AO$1/100,"O","X"))</f>
        <v/>
      </c>
      <c r="AP58" s="113">
        <f>IF(I58="","",IF(I58&lt;=$AP$1,"O","X"))</f>
        <v/>
      </c>
      <c r="AQ58" s="113">
        <f>IF(O58="","",IF(O58&lt;=$AQ$1,"O","X"))</f>
        <v/>
      </c>
      <c r="AR58" s="113">
        <f>IF(M58="","",IF(M58&lt;=$AR$1,"O","X"))</f>
        <v/>
      </c>
      <c r="AS58" s="113" t="inlineStr">
        <is>
          <t>X</t>
        </is>
      </c>
      <c r="AT58" s="113">
        <f>IF(OR(F58="",AI58=""),"",IF(AND((F58&lt;=85),(AI58&gt;=15)),"O","X"))</f>
        <v/>
      </c>
      <c r="AU58" s="113">
        <f>IF(C58="","",IF(C58&gt;=$AU$1,"O","X"))</f>
        <v/>
      </c>
      <c r="AV58" s="113">
        <f>IF(AO58="","",IF(AND(AO58="O",AP58="O",AR58="O",AT58="O",AU58="O"),"후보","X"))</f>
        <v/>
      </c>
    </row>
    <row r="59">
      <c r="A59" s="13" t="inlineStr">
        <is>
          <t>래미안솔베뉴</t>
        </is>
      </c>
      <c r="B59" s="16" t="inlineStr">
        <is>
          <t>'19.06.</t>
        </is>
      </c>
      <c r="C59" s="164" t="n">
        <v>1900</v>
      </c>
      <c r="D59" s="161" t="n">
        <v>84.5</v>
      </c>
      <c r="E59" s="163" t="n">
        <v>26</v>
      </c>
      <c r="F59" s="161" t="n">
        <v>59.3</v>
      </c>
      <c r="G59" s="27" t="n">
        <v>18</v>
      </c>
      <c r="H59" s="164" t="n">
        <v>90</v>
      </c>
      <c r="I59" s="165" t="n">
        <v>145000</v>
      </c>
      <c r="J59" s="165" t="inlineStr">
        <is>
          <t>고</t>
        </is>
      </c>
      <c r="K59" s="165" t="n"/>
      <c r="L59" s="165" t="n"/>
      <c r="M59" s="166">
        <f>I59-K59</f>
        <v/>
      </c>
      <c r="N59" s="7">
        <f>IF(ISERROR(K59/I59),"",K59/I59)</f>
        <v/>
      </c>
      <c r="O59" s="162">
        <f>I59/E59</f>
        <v/>
      </c>
      <c r="P59" s="162">
        <f>K59/E59</f>
        <v/>
      </c>
      <c r="Q59" s="113" t="n">
        <v>3</v>
      </c>
      <c r="R59" s="113" t="n">
        <v>2</v>
      </c>
      <c r="S59" s="113" t="inlineStr">
        <is>
          <t>계</t>
        </is>
      </c>
      <c r="T59" s="8" t="inlineStr">
        <is>
          <t>84C</t>
        </is>
      </c>
      <c r="U59" s="13" t="n"/>
      <c r="W59" s="161">
        <f>D59</f>
        <v/>
      </c>
      <c r="X59" s="163">
        <f>E59</f>
        <v/>
      </c>
      <c r="Y59" s="159">
        <f>H59</f>
        <v/>
      </c>
      <c r="Z59" s="166">
        <f>I59</f>
        <v/>
      </c>
      <c r="AA59" s="166">
        <f>K59</f>
        <v/>
      </c>
      <c r="AB59" s="166">
        <f>M59</f>
        <v/>
      </c>
      <c r="AC59" s="7">
        <f>N59</f>
        <v/>
      </c>
      <c r="AD59" s="162">
        <f>O59</f>
        <v/>
      </c>
      <c r="AE59" s="113">
        <f>S59</f>
        <v/>
      </c>
      <c r="AF59" s="113">
        <f>Q59&amp;"/"&amp;R59</f>
        <v/>
      </c>
      <c r="AH59" s="36">
        <f>IF(A59="","",A59)</f>
        <v/>
      </c>
      <c r="AI59" s="163">
        <f>IF(E59="","",E59)</f>
        <v/>
      </c>
      <c r="AJ59" s="113">
        <f>IF(AI59="","",$AJ$2)</f>
        <v/>
      </c>
      <c r="AK59" s="113" t="inlineStr">
        <is>
          <t>A</t>
        </is>
      </c>
      <c r="AL59" s="113" t="inlineStr">
        <is>
          <t>A+</t>
        </is>
      </c>
      <c r="AM59" s="113" t="inlineStr">
        <is>
          <t>B+</t>
        </is>
      </c>
      <c r="AN59" s="113">
        <f>IF(AI59="","",$AN$2)</f>
        <v/>
      </c>
      <c r="AO59" s="113">
        <f>IF(N59="","",IF(N59&gt;=$AO$1/100,"O","X"))</f>
        <v/>
      </c>
      <c r="AP59" s="113">
        <f>IF(I59="","",IF(I59&lt;=$AP$1,"O","X"))</f>
        <v/>
      </c>
      <c r="AQ59" s="113">
        <f>IF(O59="","",IF(O59&lt;=$AQ$1,"O","X"))</f>
        <v/>
      </c>
      <c r="AR59" s="113">
        <f>IF(M59="","",IF(M59&lt;=$AR$1,"O","X"))</f>
        <v/>
      </c>
      <c r="AS59" s="113" t="inlineStr">
        <is>
          <t>X</t>
        </is>
      </c>
      <c r="AT59" s="113">
        <f>IF(OR(F59="",AI59=""),"",IF(AND((F59&lt;=85),(AI59&gt;=15)),"O","X"))</f>
        <v/>
      </c>
      <c r="AU59" s="113">
        <f>IF(C59="","",IF(C59&gt;=$AU$1,"O","X"))</f>
        <v/>
      </c>
      <c r="AV59" s="113">
        <f>IF(AO59="","",IF(AND(AO59="O",AP59="O",AR59="O",AT59="O",AU59="O"),"후보","X"))</f>
        <v/>
      </c>
    </row>
    <row r="60">
      <c r="A60" s="13" t="inlineStr">
        <is>
          <t>래미안솔베뉴</t>
        </is>
      </c>
      <c r="B60" s="16" t="inlineStr">
        <is>
          <t>'19.06.</t>
        </is>
      </c>
      <c r="C60" s="164" t="n">
        <v>1900</v>
      </c>
      <c r="D60" s="161" t="n">
        <v>84.40000000000001</v>
      </c>
      <c r="E60" s="163" t="n">
        <v>26</v>
      </c>
      <c r="F60" s="161" t="n">
        <v>59.3</v>
      </c>
      <c r="G60" s="27" t="n">
        <v>18</v>
      </c>
      <c r="H60" s="164" t="n">
        <v>79</v>
      </c>
      <c r="I60" s="165" t="n"/>
      <c r="J60" s="165" t="n"/>
      <c r="K60" s="165" t="n"/>
      <c r="L60" s="165" t="n"/>
      <c r="M60" s="166">
        <f>I60-K60</f>
        <v/>
      </c>
      <c r="N60" s="7">
        <f>IF(ISERROR(K60/I60),"",K60/I60)</f>
        <v/>
      </c>
      <c r="O60" s="162">
        <f>I60/E60</f>
        <v/>
      </c>
      <c r="P60" s="162">
        <f>K60/E60</f>
        <v/>
      </c>
      <c r="Q60" s="113" t="n">
        <v>3</v>
      </c>
      <c r="R60" s="113" t="n">
        <v>2</v>
      </c>
      <c r="S60" s="113" t="inlineStr">
        <is>
          <t>계</t>
        </is>
      </c>
      <c r="T60" s="8" t="inlineStr">
        <is>
          <t>84D</t>
        </is>
      </c>
      <c r="U60" s="13" t="n"/>
      <c r="W60" s="161">
        <f>D60</f>
        <v/>
      </c>
      <c r="X60" s="163">
        <f>E60</f>
        <v/>
      </c>
      <c r="Y60" s="159">
        <f>H60</f>
        <v/>
      </c>
      <c r="Z60" s="166">
        <f>I60</f>
        <v/>
      </c>
      <c r="AA60" s="166">
        <f>K60</f>
        <v/>
      </c>
      <c r="AB60" s="166">
        <f>M60</f>
        <v/>
      </c>
      <c r="AC60" s="7">
        <f>N60</f>
        <v/>
      </c>
      <c r="AD60" s="162">
        <f>O60</f>
        <v/>
      </c>
      <c r="AE60" s="113">
        <f>S60</f>
        <v/>
      </c>
      <c r="AF60" s="113">
        <f>Q60&amp;"/"&amp;R60</f>
        <v/>
      </c>
      <c r="AH60" s="36">
        <f>IF(A60="","",A60)</f>
        <v/>
      </c>
      <c r="AI60" s="163">
        <f>IF(E60="","",E60)</f>
        <v/>
      </c>
      <c r="AJ60" s="113">
        <f>IF(AI60="","",$AJ$2)</f>
        <v/>
      </c>
      <c r="AK60" s="113" t="inlineStr">
        <is>
          <t>A</t>
        </is>
      </c>
      <c r="AL60" s="113" t="inlineStr">
        <is>
          <t>A+</t>
        </is>
      </c>
      <c r="AM60" s="113" t="inlineStr">
        <is>
          <t>B+</t>
        </is>
      </c>
      <c r="AN60" s="113">
        <f>IF(AI60="","",$AN$2)</f>
        <v/>
      </c>
      <c r="AO60" s="113">
        <f>IF(N60="","",IF(N60&gt;=$AO$1/100,"O","X"))</f>
        <v/>
      </c>
      <c r="AP60" s="113">
        <f>IF(I60="","",IF(I60&lt;=$AP$1,"O","X"))</f>
        <v/>
      </c>
      <c r="AQ60" s="113">
        <f>IF(O60="","",IF(O60&lt;=$AQ$1,"O","X"))</f>
        <v/>
      </c>
      <c r="AR60" s="113">
        <f>IF(M60="","",IF(M60&lt;=$AR$1,"O","X"))</f>
        <v/>
      </c>
      <c r="AS60" s="113" t="inlineStr">
        <is>
          <t>X</t>
        </is>
      </c>
      <c r="AT60" s="113">
        <f>IF(OR(F60="",AI60=""),"",IF(AND((F60&lt;=85),(AI60&gt;=15)),"O","X"))</f>
        <v/>
      </c>
      <c r="AU60" s="113">
        <f>IF(C60="","",IF(C60&gt;=$AU$1,"O","X"))</f>
        <v/>
      </c>
      <c r="AV60" s="113">
        <f>IF(AO60="","",IF(AND(AO60="O",AP60="O",AR60="O",AT60="O",AU60="O"),"후보","X"))</f>
        <v/>
      </c>
    </row>
    <row r="61">
      <c r="A61" s="13" t="inlineStr">
        <is>
          <t>래미안솔베뉴</t>
        </is>
      </c>
      <c r="B61" s="16" t="inlineStr">
        <is>
          <t>'19.06.</t>
        </is>
      </c>
      <c r="C61" s="164" t="n">
        <v>1900</v>
      </c>
      <c r="D61" s="161" t="n">
        <v>105.9</v>
      </c>
      <c r="E61" s="163" t="n">
        <v>32</v>
      </c>
      <c r="F61" s="161" t="n">
        <v>78.8</v>
      </c>
      <c r="G61" s="27" t="n">
        <v>24</v>
      </c>
      <c r="H61" s="164" t="n">
        <v>93</v>
      </c>
      <c r="I61" s="165" t="n">
        <v>187000</v>
      </c>
      <c r="J61" s="165" t="inlineStr">
        <is>
          <t>고</t>
        </is>
      </c>
      <c r="K61" s="165" t="n"/>
      <c r="L61" s="165" t="n"/>
      <c r="M61" s="166">
        <f>I61-K61</f>
        <v/>
      </c>
      <c r="N61" s="7">
        <f>IF(ISERROR(K61/I61),"",K61/I61)</f>
        <v/>
      </c>
      <c r="O61" s="162">
        <f>I61/E61</f>
        <v/>
      </c>
      <c r="P61" s="162">
        <f>K61/E61</f>
        <v/>
      </c>
      <c r="Q61" s="113" t="n">
        <v>3</v>
      </c>
      <c r="R61" s="113" t="n">
        <v>2</v>
      </c>
      <c r="S61" s="113" t="inlineStr">
        <is>
          <t>계</t>
        </is>
      </c>
      <c r="T61" s="8" t="inlineStr">
        <is>
          <t>105A</t>
        </is>
      </c>
      <c r="U61" s="13" t="n"/>
      <c r="W61" s="161">
        <f>D61</f>
        <v/>
      </c>
      <c r="X61" s="163">
        <f>E61</f>
        <v/>
      </c>
      <c r="Y61" s="159">
        <f>H61</f>
        <v/>
      </c>
      <c r="Z61" s="166">
        <f>I61</f>
        <v/>
      </c>
      <c r="AA61" s="166">
        <f>K61</f>
        <v/>
      </c>
      <c r="AB61" s="166">
        <f>M61</f>
        <v/>
      </c>
      <c r="AC61" s="7">
        <f>N61</f>
        <v/>
      </c>
      <c r="AD61" s="162">
        <f>O61</f>
        <v/>
      </c>
      <c r="AE61" s="113">
        <f>S61</f>
        <v/>
      </c>
      <c r="AF61" s="113">
        <f>Q61&amp;"/"&amp;R61</f>
        <v/>
      </c>
      <c r="AH61" s="36">
        <f>IF(A61="","",A61)</f>
        <v/>
      </c>
      <c r="AI61" s="163">
        <f>IF(E61="","",E61)</f>
        <v/>
      </c>
      <c r="AJ61" s="113">
        <f>IF(AI61="","",$AJ$2)</f>
        <v/>
      </c>
      <c r="AK61" s="113" t="inlineStr">
        <is>
          <t>A</t>
        </is>
      </c>
      <c r="AL61" s="113" t="inlineStr">
        <is>
          <t>A+</t>
        </is>
      </c>
      <c r="AM61" s="113" t="inlineStr">
        <is>
          <t>B+</t>
        </is>
      </c>
      <c r="AN61" s="113">
        <f>IF(AI61="","",$AN$2)</f>
        <v/>
      </c>
      <c r="AO61" s="113">
        <f>IF(N61="","",IF(N61&gt;=$AO$1/100,"O","X"))</f>
        <v/>
      </c>
      <c r="AP61" s="113">
        <f>IF(I61="","",IF(I61&lt;=$AP$1,"O","X"))</f>
        <v/>
      </c>
      <c r="AQ61" s="113">
        <f>IF(O61="","",IF(O61&lt;=$AQ$1,"O","X"))</f>
        <v/>
      </c>
      <c r="AR61" s="113">
        <f>IF(M61="","",IF(M61&lt;=$AR$1,"O","X"))</f>
        <v/>
      </c>
      <c r="AS61" s="113" t="inlineStr">
        <is>
          <t>X</t>
        </is>
      </c>
      <c r="AT61" s="113">
        <f>IF(OR(F61="",AI61=""),"",IF(AND((F61&lt;=85),(AI61&gt;=15)),"O","X"))</f>
        <v/>
      </c>
      <c r="AU61" s="113">
        <f>IF(C61="","",IF(C61&gt;=$AU$1,"O","X"))</f>
        <v/>
      </c>
      <c r="AV61" s="113">
        <f>IF(AO61="","",IF(AND(AO61="O",AP61="O",AR61="O",AT61="O",AU61="O"),"후보","X"))</f>
        <v/>
      </c>
    </row>
    <row r="62">
      <c r="A62" s="13" t="inlineStr">
        <is>
          <t>래미안솔베뉴</t>
        </is>
      </c>
      <c r="B62" s="16" t="inlineStr">
        <is>
          <t>'19.06.</t>
        </is>
      </c>
      <c r="C62" s="164" t="n">
        <v>1900</v>
      </c>
      <c r="D62" s="161" t="n">
        <v>105.8</v>
      </c>
      <c r="E62" s="163" t="n">
        <v>32</v>
      </c>
      <c r="F62" s="161" t="n">
        <v>78.09999999999999</v>
      </c>
      <c r="G62" s="27" t="n">
        <v>24</v>
      </c>
      <c r="H62" s="164" t="n">
        <v>93</v>
      </c>
      <c r="I62" s="165" t="n">
        <v>187000</v>
      </c>
      <c r="J62" s="165" t="inlineStr">
        <is>
          <t>11</t>
        </is>
      </c>
      <c r="K62" s="165" t="n">
        <v>95000</v>
      </c>
      <c r="L62" s="165" t="inlineStr">
        <is>
          <t>중</t>
        </is>
      </c>
      <c r="M62" s="166">
        <f>I62-K62</f>
        <v/>
      </c>
      <c r="N62" s="7">
        <f>IF(ISERROR(K62/I62),"",K62/I62)</f>
        <v/>
      </c>
      <c r="O62" s="162">
        <f>I62/E62</f>
        <v/>
      </c>
      <c r="P62" s="162">
        <f>K62/E62</f>
        <v/>
      </c>
      <c r="Q62" s="113" t="n">
        <v>3</v>
      </c>
      <c r="R62" s="113" t="n">
        <v>2</v>
      </c>
      <c r="S62" s="113" t="inlineStr">
        <is>
          <t>계</t>
        </is>
      </c>
      <c r="T62" s="8" t="inlineStr">
        <is>
          <t>105C</t>
        </is>
      </c>
      <c r="U62" s="13" t="n"/>
      <c r="W62" s="161">
        <f>D62</f>
        <v/>
      </c>
      <c r="X62" s="163">
        <f>E62</f>
        <v/>
      </c>
      <c r="Y62" s="159">
        <f>H62</f>
        <v/>
      </c>
      <c r="Z62" s="166">
        <f>I62</f>
        <v/>
      </c>
      <c r="AA62" s="166">
        <f>K62</f>
        <v/>
      </c>
      <c r="AB62" s="166">
        <f>M62</f>
        <v/>
      </c>
      <c r="AC62" s="7">
        <f>N62</f>
        <v/>
      </c>
      <c r="AD62" s="162">
        <f>O62</f>
        <v/>
      </c>
      <c r="AE62" s="113">
        <f>S62</f>
        <v/>
      </c>
      <c r="AF62" s="113">
        <f>Q62&amp;"/"&amp;R62</f>
        <v/>
      </c>
      <c r="AH62" s="36">
        <f>IF(A62="","",A62)</f>
        <v/>
      </c>
      <c r="AI62" s="163">
        <f>IF(E62="","",E62)</f>
        <v/>
      </c>
      <c r="AJ62" s="113">
        <f>IF(AI62="","",$AJ$2)</f>
        <v/>
      </c>
      <c r="AK62" s="113" t="inlineStr">
        <is>
          <t>A</t>
        </is>
      </c>
      <c r="AL62" s="113" t="inlineStr">
        <is>
          <t>A+</t>
        </is>
      </c>
      <c r="AM62" s="113" t="inlineStr">
        <is>
          <t>B+</t>
        </is>
      </c>
      <c r="AN62" s="113">
        <f>IF(AI62="","",$AN$2)</f>
        <v/>
      </c>
      <c r="AO62" s="113">
        <f>IF(N62="","",IF(N62&gt;=$AO$1/100,"O","X"))</f>
        <v/>
      </c>
      <c r="AP62" s="113">
        <f>IF(I62="","",IF(I62&lt;=$AP$1,"O","X"))</f>
        <v/>
      </c>
      <c r="AQ62" s="113">
        <f>IF(O62="","",IF(O62&lt;=$AQ$1,"O","X"))</f>
        <v/>
      </c>
      <c r="AR62" s="113">
        <f>IF(M62="","",IF(M62&lt;=$AR$1,"O","X"))</f>
        <v/>
      </c>
      <c r="AS62" s="113" t="inlineStr">
        <is>
          <t>X</t>
        </is>
      </c>
      <c r="AT62" s="113">
        <f>IF(OR(F62="",AI62=""),"",IF(AND((F62&lt;=85),(AI62&gt;=15)),"O","X"))</f>
        <v/>
      </c>
      <c r="AU62" s="113">
        <f>IF(C62="","",IF(C62&gt;=$AU$1,"O","X"))</f>
        <v/>
      </c>
      <c r="AV62" s="113">
        <f>IF(AO62="","",IF(AND(AO62="O",AP62="O",AR62="O",AT62="O",AU62="O"),"후보","X"))</f>
        <v/>
      </c>
    </row>
    <row r="63">
      <c r="A63" s="13" t="inlineStr">
        <is>
          <t>래미안솔베뉴</t>
        </is>
      </c>
      <c r="B63" s="16" t="inlineStr">
        <is>
          <t>'19.06.</t>
        </is>
      </c>
      <c r="C63" s="164" t="n">
        <v>1900</v>
      </c>
      <c r="D63" s="161" t="n">
        <v>106.2</v>
      </c>
      <c r="E63" s="163" t="n">
        <v>32</v>
      </c>
      <c r="F63" s="161" t="n">
        <v>78.09999999999999</v>
      </c>
      <c r="G63" s="27" t="n">
        <v>24</v>
      </c>
      <c r="H63" s="164" t="n">
        <v>66</v>
      </c>
      <c r="I63" s="165" t="n">
        <v>190000</v>
      </c>
      <c r="J63" s="165" t="inlineStr">
        <is>
          <t>고</t>
        </is>
      </c>
      <c r="K63" s="165" t="n"/>
      <c r="L63" s="165" t="n"/>
      <c r="M63" s="166">
        <f>I63-K63</f>
        <v/>
      </c>
      <c r="N63" s="7">
        <f>IF(ISERROR(K63/I63),"",K63/I63)</f>
        <v/>
      </c>
      <c r="O63" s="162">
        <f>I63/E63</f>
        <v/>
      </c>
      <c r="P63" s="162">
        <f>K63/E63</f>
        <v/>
      </c>
      <c r="Q63" s="113" t="n">
        <v>3</v>
      </c>
      <c r="R63" s="113" t="n">
        <v>2</v>
      </c>
      <c r="S63" s="113" t="inlineStr">
        <is>
          <t>계</t>
        </is>
      </c>
      <c r="T63" s="8" t="inlineStr">
        <is>
          <t>106B</t>
        </is>
      </c>
      <c r="U63" s="13" t="n"/>
      <c r="W63" s="161">
        <f>D63</f>
        <v/>
      </c>
      <c r="X63" s="163">
        <f>E63</f>
        <v/>
      </c>
      <c r="Y63" s="159">
        <f>H63</f>
        <v/>
      </c>
      <c r="Z63" s="166">
        <f>I63</f>
        <v/>
      </c>
      <c r="AA63" s="166">
        <f>K63</f>
        <v/>
      </c>
      <c r="AB63" s="166">
        <f>M63</f>
        <v/>
      </c>
      <c r="AC63" s="7">
        <f>N63</f>
        <v/>
      </c>
      <c r="AD63" s="162">
        <f>O63</f>
        <v/>
      </c>
      <c r="AE63" s="113">
        <f>S63</f>
        <v/>
      </c>
      <c r="AF63" s="113">
        <f>Q63&amp;"/"&amp;R63</f>
        <v/>
      </c>
      <c r="AH63" s="36">
        <f>IF(A63="","",A63)</f>
        <v/>
      </c>
      <c r="AI63" s="163">
        <f>IF(E63="","",E63)</f>
        <v/>
      </c>
      <c r="AJ63" s="113">
        <f>IF(AI63="","",$AJ$2)</f>
        <v/>
      </c>
      <c r="AK63" s="113" t="inlineStr">
        <is>
          <t>A</t>
        </is>
      </c>
      <c r="AL63" s="113" t="inlineStr">
        <is>
          <t>A+</t>
        </is>
      </c>
      <c r="AM63" s="113" t="inlineStr">
        <is>
          <t>B+</t>
        </is>
      </c>
      <c r="AN63" s="113">
        <f>IF(AI63="","",$AN$2)</f>
        <v/>
      </c>
      <c r="AO63" s="113">
        <f>IF(N63="","",IF(N63&gt;=$AO$1/100,"O","X"))</f>
        <v/>
      </c>
      <c r="AP63" s="113">
        <f>IF(I63="","",IF(I63&lt;=$AP$1,"O","X"))</f>
        <v/>
      </c>
      <c r="AQ63" s="113">
        <f>IF(O63="","",IF(O63&lt;=$AQ$1,"O","X"))</f>
        <v/>
      </c>
      <c r="AR63" s="113">
        <f>IF(M63="","",IF(M63&lt;=$AR$1,"O","X"))</f>
        <v/>
      </c>
      <c r="AS63" s="113" t="inlineStr">
        <is>
          <t>X</t>
        </is>
      </c>
      <c r="AT63" s="113">
        <f>IF(OR(F63="",AI63=""),"",IF(AND((F63&lt;=85),(AI63&gt;=15)),"O","X"))</f>
        <v/>
      </c>
      <c r="AU63" s="113">
        <f>IF(C63="","",IF(C63&gt;=$AU$1,"O","X"))</f>
        <v/>
      </c>
      <c r="AV63" s="113">
        <f>IF(AO63="","",IF(AND(AO63="O",AP63="O",AR63="O",AT63="O",AU63="O"),"후보","X"))</f>
        <v/>
      </c>
    </row>
    <row r="64">
      <c r="A64" s="13" t="inlineStr">
        <is>
          <t>래미안솔베뉴</t>
        </is>
      </c>
      <c r="B64" s="16" t="inlineStr">
        <is>
          <t>'19.06.</t>
        </is>
      </c>
      <c r="C64" s="164" t="n">
        <v>1900</v>
      </c>
      <c r="D64" s="161" t="n">
        <v>112.4</v>
      </c>
      <c r="E64" s="163" t="n">
        <v>34</v>
      </c>
      <c r="F64" s="161" t="n">
        <v>84.59999999999999</v>
      </c>
      <c r="G64" s="27" t="n">
        <v>26</v>
      </c>
      <c r="H64" s="164" t="n">
        <v>103</v>
      </c>
      <c r="I64" s="165" t="n">
        <v>190000</v>
      </c>
      <c r="J64" s="165" t="inlineStr">
        <is>
          <t>중</t>
        </is>
      </c>
      <c r="K64" s="165" t="n"/>
      <c r="L64" s="165" t="n"/>
      <c r="M64" s="166">
        <f>I64-K64</f>
        <v/>
      </c>
      <c r="N64" s="7">
        <f>IF(ISERROR(K64/I64),"",K64/I64)</f>
        <v/>
      </c>
      <c r="O64" s="162">
        <f>I64/E64</f>
        <v/>
      </c>
      <c r="P64" s="162">
        <f>K64/E64</f>
        <v/>
      </c>
      <c r="Q64" s="113" t="n">
        <v>3</v>
      </c>
      <c r="R64" s="113" t="n">
        <v>2</v>
      </c>
      <c r="S64" s="113" t="inlineStr">
        <is>
          <t>계</t>
        </is>
      </c>
      <c r="T64" s="8" t="inlineStr">
        <is>
          <t>112A</t>
        </is>
      </c>
      <c r="U64" s="13" t="n"/>
      <c r="W64" s="161">
        <f>D64</f>
        <v/>
      </c>
      <c r="X64" s="163">
        <f>E64</f>
        <v/>
      </c>
      <c r="Y64" s="159">
        <f>H64</f>
        <v/>
      </c>
      <c r="Z64" s="166">
        <f>I64</f>
        <v/>
      </c>
      <c r="AA64" s="166">
        <f>K64</f>
        <v/>
      </c>
      <c r="AB64" s="166">
        <f>M64</f>
        <v/>
      </c>
      <c r="AC64" s="7">
        <f>N64</f>
        <v/>
      </c>
      <c r="AD64" s="162">
        <f>O64</f>
        <v/>
      </c>
      <c r="AE64" s="113">
        <f>S64</f>
        <v/>
      </c>
      <c r="AF64" s="113">
        <f>Q64&amp;"/"&amp;R64</f>
        <v/>
      </c>
      <c r="AH64" s="36">
        <f>IF(A64="","",A64)</f>
        <v/>
      </c>
      <c r="AI64" s="163">
        <f>IF(E64="","",E64)</f>
        <v/>
      </c>
      <c r="AJ64" s="113">
        <f>IF(AI64="","",$AJ$2)</f>
        <v/>
      </c>
      <c r="AK64" s="113" t="inlineStr">
        <is>
          <t>A</t>
        </is>
      </c>
      <c r="AL64" s="113" t="inlineStr">
        <is>
          <t>A+</t>
        </is>
      </c>
      <c r="AM64" s="113" t="inlineStr">
        <is>
          <t>B+</t>
        </is>
      </c>
      <c r="AN64" s="113">
        <f>IF(AI64="","",$AN$2)</f>
        <v/>
      </c>
      <c r="AO64" s="113">
        <f>IF(N64="","",IF(N64&gt;=$AO$1/100,"O","X"))</f>
        <v/>
      </c>
      <c r="AP64" s="113">
        <f>IF(I64="","",IF(I64&lt;=$AP$1,"O","X"))</f>
        <v/>
      </c>
      <c r="AQ64" s="113">
        <f>IF(O64="","",IF(O64&lt;=$AQ$1,"O","X"))</f>
        <v/>
      </c>
      <c r="AR64" s="113">
        <f>IF(M64="","",IF(M64&lt;=$AR$1,"O","X"))</f>
        <v/>
      </c>
      <c r="AS64" s="113" t="inlineStr">
        <is>
          <t>X</t>
        </is>
      </c>
      <c r="AT64" s="113">
        <f>IF(OR(F64="",AI64=""),"",IF(AND((F64&lt;=85),(AI64&gt;=15)),"O","X"))</f>
        <v/>
      </c>
      <c r="AU64" s="113">
        <f>IF(C64="","",IF(C64&gt;=$AU$1,"O","X"))</f>
        <v/>
      </c>
      <c r="AV64" s="113">
        <f>IF(AO64="","",IF(AND(AO64="O",AP64="O",AR64="O",AT64="O",AU64="O"),"후보","X"))</f>
        <v/>
      </c>
    </row>
    <row r="65">
      <c r="A65" s="13" t="inlineStr">
        <is>
          <t>래미안솔베뉴</t>
        </is>
      </c>
      <c r="B65" s="16" t="inlineStr">
        <is>
          <t>'19.06.</t>
        </is>
      </c>
      <c r="C65" s="164" t="n">
        <v>1900</v>
      </c>
      <c r="D65" s="161" t="n">
        <v>113</v>
      </c>
      <c r="E65" s="163" t="n">
        <v>34</v>
      </c>
      <c r="F65" s="161" t="n">
        <v>84.7</v>
      </c>
      <c r="G65" s="27" t="n">
        <v>26</v>
      </c>
      <c r="H65" s="164" t="n">
        <v>53</v>
      </c>
      <c r="I65" s="165" t="n">
        <v>208000</v>
      </c>
      <c r="J65" s="165" t="inlineStr">
        <is>
          <t>중</t>
        </is>
      </c>
      <c r="K65" s="165" t="n"/>
      <c r="L65" s="165" t="n"/>
      <c r="M65" s="166">
        <f>I65-K65</f>
        <v/>
      </c>
      <c r="N65" s="7">
        <f>IF(ISERROR(K65/I65),"",K65/I65)</f>
        <v/>
      </c>
      <c r="O65" s="162">
        <f>I65/E65</f>
        <v/>
      </c>
      <c r="P65" s="162">
        <f>K65/E65</f>
        <v/>
      </c>
      <c r="Q65" s="113" t="n">
        <v>3</v>
      </c>
      <c r="R65" s="113" t="n">
        <v>2</v>
      </c>
      <c r="S65" s="113" t="inlineStr">
        <is>
          <t>계</t>
        </is>
      </c>
      <c r="T65" s="8" t="inlineStr">
        <is>
          <t>113B</t>
        </is>
      </c>
      <c r="U65" s="13" t="n"/>
      <c r="W65" s="161">
        <f>D65</f>
        <v/>
      </c>
      <c r="X65" s="163">
        <f>E65</f>
        <v/>
      </c>
      <c r="Y65" s="159">
        <f>H65</f>
        <v/>
      </c>
      <c r="Z65" s="166">
        <f>I65</f>
        <v/>
      </c>
      <c r="AA65" s="166">
        <f>K65</f>
        <v/>
      </c>
      <c r="AB65" s="166">
        <f>M65</f>
        <v/>
      </c>
      <c r="AC65" s="7">
        <f>N65</f>
        <v/>
      </c>
      <c r="AD65" s="162">
        <f>O65</f>
        <v/>
      </c>
      <c r="AE65" s="113">
        <f>S65</f>
        <v/>
      </c>
      <c r="AF65" s="113">
        <f>Q65&amp;"/"&amp;R65</f>
        <v/>
      </c>
      <c r="AH65" s="36">
        <f>IF(A65="","",A65)</f>
        <v/>
      </c>
      <c r="AI65" s="163">
        <f>IF(E65="","",E65)</f>
        <v/>
      </c>
      <c r="AJ65" s="113">
        <f>IF(AI65="","",$AJ$2)</f>
        <v/>
      </c>
      <c r="AK65" s="113" t="inlineStr">
        <is>
          <t>A</t>
        </is>
      </c>
      <c r="AL65" s="113" t="inlineStr">
        <is>
          <t>A+</t>
        </is>
      </c>
      <c r="AM65" s="113" t="inlineStr">
        <is>
          <t>B+</t>
        </is>
      </c>
      <c r="AN65" s="113">
        <f>IF(AI65="","",$AN$2)</f>
        <v/>
      </c>
      <c r="AO65" s="113">
        <f>IF(N65="","",IF(N65&gt;=$AO$1/100,"O","X"))</f>
        <v/>
      </c>
      <c r="AP65" s="113">
        <f>IF(I65="","",IF(I65&lt;=$AP$1,"O","X"))</f>
        <v/>
      </c>
      <c r="AQ65" s="113">
        <f>IF(O65="","",IF(O65&lt;=$AQ$1,"O","X"))</f>
        <v/>
      </c>
      <c r="AR65" s="113">
        <f>IF(M65="","",IF(M65&lt;=$AR$1,"O","X"))</f>
        <v/>
      </c>
      <c r="AS65" s="113" t="inlineStr">
        <is>
          <t>X</t>
        </is>
      </c>
      <c r="AT65" s="113">
        <f>IF(OR(F65="",AI65=""),"",IF(AND((F65&lt;=85),(AI65&gt;=15)),"O","X"))</f>
        <v/>
      </c>
      <c r="AU65" s="113">
        <f>IF(C65="","",IF(C65&gt;=$AU$1,"O","X"))</f>
        <v/>
      </c>
      <c r="AV65" s="113">
        <f>IF(AO65="","",IF(AND(AO65="O",AP65="O",AR65="O",AT65="O",AU65="O"),"후보","X"))</f>
        <v/>
      </c>
    </row>
    <row r="66">
      <c r="A66" s="13" t="inlineStr">
        <is>
          <t>래미안솔베뉴</t>
        </is>
      </c>
      <c r="B66" s="16" t="inlineStr">
        <is>
          <t>'19.06.</t>
        </is>
      </c>
      <c r="C66" s="164" t="n">
        <v>1900</v>
      </c>
      <c r="D66" s="161" t="n">
        <v>113.1</v>
      </c>
      <c r="E66" s="163" t="n">
        <v>34</v>
      </c>
      <c r="F66" s="161" t="n">
        <v>84.59999999999999</v>
      </c>
      <c r="G66" s="27" t="n">
        <v>26</v>
      </c>
      <c r="H66" s="164" t="n">
        <v>37</v>
      </c>
      <c r="I66" s="165" t="n"/>
      <c r="J66" s="165" t="n"/>
      <c r="K66" s="165" t="n"/>
      <c r="L66" s="165" t="n"/>
      <c r="M66" s="166">
        <f>I66-K66</f>
        <v/>
      </c>
      <c r="N66" s="7">
        <f>IF(ISERROR(K66/I66),"",K66/I66)</f>
        <v/>
      </c>
      <c r="O66" s="162">
        <f>I66/E66</f>
        <v/>
      </c>
      <c r="P66" s="162">
        <f>K66/E66</f>
        <v/>
      </c>
      <c r="Q66" s="113" t="n">
        <v>3</v>
      </c>
      <c r="R66" s="113" t="n">
        <v>2</v>
      </c>
      <c r="S66" s="113" t="inlineStr">
        <is>
          <t>계</t>
        </is>
      </c>
      <c r="T66" s="8" t="inlineStr">
        <is>
          <t>113C</t>
        </is>
      </c>
      <c r="U66" s="13" t="n"/>
      <c r="W66" s="161">
        <f>D66</f>
        <v/>
      </c>
      <c r="X66" s="163">
        <f>E66</f>
        <v/>
      </c>
      <c r="Y66" s="159">
        <f>H66</f>
        <v/>
      </c>
      <c r="Z66" s="166">
        <f>I66</f>
        <v/>
      </c>
      <c r="AA66" s="166">
        <f>K66</f>
        <v/>
      </c>
      <c r="AB66" s="166">
        <f>M66</f>
        <v/>
      </c>
      <c r="AC66" s="7">
        <f>N66</f>
        <v/>
      </c>
      <c r="AD66" s="162">
        <f>O66</f>
        <v/>
      </c>
      <c r="AE66" s="113">
        <f>S66</f>
        <v/>
      </c>
      <c r="AF66" s="113">
        <f>Q66&amp;"/"&amp;R66</f>
        <v/>
      </c>
      <c r="AH66" s="36">
        <f>IF(A66="","",A66)</f>
        <v/>
      </c>
      <c r="AI66" s="163">
        <f>IF(E66="","",E66)</f>
        <v/>
      </c>
      <c r="AJ66" s="113">
        <f>IF(AI66="","",$AJ$2)</f>
        <v/>
      </c>
      <c r="AK66" s="113" t="inlineStr">
        <is>
          <t>A</t>
        </is>
      </c>
      <c r="AL66" s="113" t="inlineStr">
        <is>
          <t>A+</t>
        </is>
      </c>
      <c r="AM66" s="113" t="inlineStr">
        <is>
          <t>B+</t>
        </is>
      </c>
      <c r="AN66" s="113">
        <f>IF(AI66="","",$AN$2)</f>
        <v/>
      </c>
      <c r="AO66" s="113">
        <f>IF(N66="","",IF(N66&gt;=$AO$1/100,"O","X"))</f>
        <v/>
      </c>
      <c r="AP66" s="113">
        <f>IF(I66="","",IF(I66&lt;=$AP$1,"O","X"))</f>
        <v/>
      </c>
      <c r="AQ66" s="113">
        <f>IF(O66="","",IF(O66&lt;=$AQ$1,"O","X"))</f>
        <v/>
      </c>
      <c r="AR66" s="113">
        <f>IF(M66="","",IF(M66&lt;=$AR$1,"O","X"))</f>
        <v/>
      </c>
      <c r="AS66" s="113" t="inlineStr">
        <is>
          <t>X</t>
        </is>
      </c>
      <c r="AT66" s="113">
        <f>IF(OR(F66="",AI66=""),"",IF(AND((F66&lt;=85),(AI66&gt;=15)),"O","X"))</f>
        <v/>
      </c>
      <c r="AU66" s="113">
        <f>IF(C66="","",IF(C66&gt;=$AU$1,"O","X"))</f>
        <v/>
      </c>
      <c r="AV66" s="113">
        <f>IF(AO66="","",IF(AND(AO66="O",AP66="O",AR66="O",AT66="O",AU66="O"),"후보","X"))</f>
        <v/>
      </c>
    </row>
    <row r="67">
      <c r="A67" s="13" t="inlineStr">
        <is>
          <t>래미안솔베뉴</t>
        </is>
      </c>
      <c r="B67" s="16" t="inlineStr">
        <is>
          <t>'19.06.</t>
        </is>
      </c>
      <c r="C67" s="164" t="n">
        <v>1900</v>
      </c>
      <c r="D67" s="161" t="n">
        <v>147.4</v>
      </c>
      <c r="E67" s="163" t="n">
        <v>45</v>
      </c>
      <c r="F67" s="161" t="n">
        <v>103.6</v>
      </c>
      <c r="G67" s="27" t="n">
        <v>31</v>
      </c>
      <c r="H67" s="164" t="n">
        <v>3</v>
      </c>
      <c r="I67" s="165" t="n"/>
      <c r="J67" s="165" t="n"/>
      <c r="K67" s="165" t="n"/>
      <c r="L67" s="165" t="n"/>
      <c r="M67" s="166">
        <f>I67-K67</f>
        <v/>
      </c>
      <c r="N67" s="7">
        <f>IF(ISERROR(K67/I67),"",K67/I67)</f>
        <v/>
      </c>
      <c r="O67" s="162">
        <f>I67/E67</f>
        <v/>
      </c>
      <c r="P67" s="162">
        <f>K67/E67</f>
        <v/>
      </c>
      <c r="Q67" s="113" t="n">
        <v>4</v>
      </c>
      <c r="R67" s="113" t="n">
        <v>2</v>
      </c>
      <c r="S67" s="113" t="inlineStr">
        <is>
          <t>계</t>
        </is>
      </c>
      <c r="T67" s="8" t="inlineStr">
        <is>
          <t>147B</t>
        </is>
      </c>
      <c r="U67" s="13" t="n"/>
      <c r="W67" s="161">
        <f>D67</f>
        <v/>
      </c>
      <c r="X67" s="163">
        <f>E67</f>
        <v/>
      </c>
      <c r="Y67" s="159">
        <f>H67</f>
        <v/>
      </c>
      <c r="Z67" s="166">
        <f>I67</f>
        <v/>
      </c>
      <c r="AA67" s="166">
        <f>K67</f>
        <v/>
      </c>
      <c r="AB67" s="166">
        <f>M67</f>
        <v/>
      </c>
      <c r="AC67" s="7">
        <f>N67</f>
        <v/>
      </c>
      <c r="AD67" s="162">
        <f>O67</f>
        <v/>
      </c>
      <c r="AE67" s="113">
        <f>S67</f>
        <v/>
      </c>
      <c r="AF67" s="113">
        <f>Q67&amp;"/"&amp;R67</f>
        <v/>
      </c>
      <c r="AH67" s="36">
        <f>IF(A67="","",A67)</f>
        <v/>
      </c>
      <c r="AI67" s="163">
        <f>IF(E67="","",E67)</f>
        <v/>
      </c>
      <c r="AJ67" s="113">
        <f>IF(AI67="","",$AJ$2)</f>
        <v/>
      </c>
      <c r="AK67" s="113" t="inlineStr">
        <is>
          <t>A</t>
        </is>
      </c>
      <c r="AL67" s="113" t="inlineStr">
        <is>
          <t>A+</t>
        </is>
      </c>
      <c r="AM67" s="113" t="inlineStr">
        <is>
          <t>B+</t>
        </is>
      </c>
      <c r="AN67" s="113">
        <f>IF(AI67="","",$AN$2)</f>
        <v/>
      </c>
      <c r="AO67" s="113">
        <f>IF(N67="","",IF(N67&gt;=$AO$1/100,"O","X"))</f>
        <v/>
      </c>
      <c r="AP67" s="113">
        <f>IF(I67="","",IF(I67&lt;=$AP$1,"O","X"))</f>
        <v/>
      </c>
      <c r="AQ67" s="113">
        <f>IF(O67="","",IF(O67&lt;=$AQ$1,"O","X"))</f>
        <v/>
      </c>
      <c r="AR67" s="113">
        <f>IF(M67="","",IF(M67&lt;=$AR$1,"O","X"))</f>
        <v/>
      </c>
      <c r="AS67" s="113" t="inlineStr">
        <is>
          <t>X</t>
        </is>
      </c>
      <c r="AT67" s="113">
        <f>IF(OR(F67="",AI67=""),"",IF(AND((F67&lt;=85),(AI67&gt;=15)),"O","X"))</f>
        <v/>
      </c>
      <c r="AU67" s="113">
        <f>IF(C67="","",IF(C67&gt;=$AU$1,"O","X"))</f>
        <v/>
      </c>
      <c r="AV67" s="113">
        <f>IF(AO67="","",IF(AND(AO67="O",AP67="O",AR67="O",AT67="O",AU67="O"),"후보","X"))</f>
        <v/>
      </c>
    </row>
    <row r="68">
      <c r="A68" s="13" t="inlineStr">
        <is>
          <t>래미안솔베뉴</t>
        </is>
      </c>
      <c r="B68" s="16" t="inlineStr">
        <is>
          <t>'19.06.</t>
        </is>
      </c>
      <c r="C68" s="164" t="n">
        <v>1900</v>
      </c>
      <c r="D68" s="161" t="n">
        <v>147.6</v>
      </c>
      <c r="E68" s="163" t="n">
        <v>45</v>
      </c>
      <c r="F68" s="161" t="n">
        <v>103.9</v>
      </c>
      <c r="G68" s="27" t="n">
        <v>31</v>
      </c>
      <c r="H68" s="164" t="n">
        <v>1</v>
      </c>
      <c r="I68" s="165" t="n"/>
      <c r="J68" s="165" t="n"/>
      <c r="K68" s="165" t="n"/>
      <c r="L68" s="165" t="n"/>
      <c r="M68" s="166">
        <f>I68-K68</f>
        <v/>
      </c>
      <c r="N68" s="7">
        <f>IF(ISERROR(K68/I68),"",K68/I68)</f>
        <v/>
      </c>
      <c r="O68" s="162">
        <f>I68/E68</f>
        <v/>
      </c>
      <c r="P68" s="162">
        <f>K68/E68</f>
        <v/>
      </c>
      <c r="Q68" s="113" t="n">
        <v>4</v>
      </c>
      <c r="R68" s="113" t="n">
        <v>2</v>
      </c>
      <c r="S68" s="113" t="inlineStr">
        <is>
          <t>계</t>
        </is>
      </c>
      <c r="T68" s="8" t="inlineStr">
        <is>
          <t>147C</t>
        </is>
      </c>
      <c r="U68" s="13" t="n"/>
      <c r="W68" s="161">
        <f>D68</f>
        <v/>
      </c>
      <c r="X68" s="163">
        <f>E68</f>
        <v/>
      </c>
      <c r="Y68" s="159">
        <f>H68</f>
        <v/>
      </c>
      <c r="Z68" s="166">
        <f>I68</f>
        <v/>
      </c>
      <c r="AA68" s="166">
        <f>K68</f>
        <v/>
      </c>
      <c r="AB68" s="166">
        <f>M68</f>
        <v/>
      </c>
      <c r="AC68" s="7">
        <f>N68</f>
        <v/>
      </c>
      <c r="AD68" s="162">
        <f>O68</f>
        <v/>
      </c>
      <c r="AE68" s="113">
        <f>S68</f>
        <v/>
      </c>
      <c r="AF68" s="113">
        <f>Q68&amp;"/"&amp;R68</f>
        <v/>
      </c>
      <c r="AH68" s="36">
        <f>IF(A68="","",A68)</f>
        <v/>
      </c>
      <c r="AI68" s="163">
        <f>IF(E68="","",E68)</f>
        <v/>
      </c>
      <c r="AJ68" s="113">
        <f>IF(AI68="","",$AJ$2)</f>
        <v/>
      </c>
      <c r="AK68" s="113" t="inlineStr">
        <is>
          <t>A</t>
        </is>
      </c>
      <c r="AL68" s="113" t="inlineStr">
        <is>
          <t>A+</t>
        </is>
      </c>
      <c r="AM68" s="113" t="inlineStr">
        <is>
          <t>B+</t>
        </is>
      </c>
      <c r="AN68" s="113">
        <f>IF(AI68="","",$AN$2)</f>
        <v/>
      </c>
      <c r="AO68" s="113">
        <f>IF(N68="","",IF(N68&gt;=$AO$1/100,"O","X"))</f>
        <v/>
      </c>
      <c r="AP68" s="113">
        <f>IF(I68="","",IF(I68&lt;=$AP$1,"O","X"))</f>
        <v/>
      </c>
      <c r="AQ68" s="113">
        <f>IF(O68="","",IF(O68&lt;=$AQ$1,"O","X"))</f>
        <v/>
      </c>
      <c r="AR68" s="113">
        <f>IF(M68="","",IF(M68&lt;=$AR$1,"O","X"))</f>
        <v/>
      </c>
      <c r="AS68" s="113" t="inlineStr">
        <is>
          <t>X</t>
        </is>
      </c>
      <c r="AT68" s="113">
        <f>IF(OR(F68="",AI68=""),"",IF(AND((F68&lt;=85),(AI68&gt;=15)),"O","X"))</f>
        <v/>
      </c>
      <c r="AU68" s="113">
        <f>IF(C68="","",IF(C68&gt;=$AU$1,"O","X"))</f>
        <v/>
      </c>
      <c r="AV68" s="113">
        <f>IF(AO68="","",IF(AND(AO68="O",AP68="O",AR68="O",AT68="O",AU68="O"),"후보","X"))</f>
        <v/>
      </c>
    </row>
    <row r="69">
      <c r="A69" s="13" t="inlineStr">
        <is>
          <t>래미안솔베뉴</t>
        </is>
      </c>
      <c r="B69" s="16" t="inlineStr">
        <is>
          <t>'19.06.</t>
        </is>
      </c>
      <c r="C69" s="164" t="n">
        <v>1900</v>
      </c>
      <c r="D69" s="161" t="n">
        <v>148</v>
      </c>
      <c r="E69" s="163" t="n">
        <v>45</v>
      </c>
      <c r="F69" s="161" t="n">
        <v>103.9</v>
      </c>
      <c r="G69" s="27" t="n">
        <v>31</v>
      </c>
      <c r="H69" s="164" t="n">
        <v>1</v>
      </c>
      <c r="I69" s="165" t="n"/>
      <c r="J69" s="165" t="n"/>
      <c r="K69" s="165" t="n"/>
      <c r="L69" s="165" t="n"/>
      <c r="M69" s="166">
        <f>I69-K69</f>
        <v/>
      </c>
      <c r="N69" s="7">
        <f>IF(ISERROR(K69/I69),"",K69/I69)</f>
        <v/>
      </c>
      <c r="O69" s="162">
        <f>I69/E69</f>
        <v/>
      </c>
      <c r="P69" s="162">
        <f>K69/E69</f>
        <v/>
      </c>
      <c r="Q69" s="113" t="n">
        <v>4</v>
      </c>
      <c r="R69" s="113" t="n">
        <v>2</v>
      </c>
      <c r="S69" s="113" t="inlineStr">
        <is>
          <t>계</t>
        </is>
      </c>
      <c r="T69" s="8" t="inlineStr">
        <is>
          <t>147D</t>
        </is>
      </c>
      <c r="U69" s="13" t="n"/>
      <c r="W69" s="161">
        <f>D69</f>
        <v/>
      </c>
      <c r="X69" s="163">
        <f>E69</f>
        <v/>
      </c>
      <c r="Y69" s="159">
        <f>H69</f>
        <v/>
      </c>
      <c r="Z69" s="166">
        <f>I69</f>
        <v/>
      </c>
      <c r="AA69" s="166">
        <f>K69</f>
        <v/>
      </c>
      <c r="AB69" s="166">
        <f>M69</f>
        <v/>
      </c>
      <c r="AC69" s="7">
        <f>N69</f>
        <v/>
      </c>
      <c r="AD69" s="162">
        <f>O69</f>
        <v/>
      </c>
      <c r="AE69" s="113">
        <f>S69</f>
        <v/>
      </c>
      <c r="AF69" s="113">
        <f>Q69&amp;"/"&amp;R69</f>
        <v/>
      </c>
      <c r="AH69" s="36">
        <f>IF(A69="","",A69)</f>
        <v/>
      </c>
      <c r="AI69" s="163">
        <f>IF(E69="","",E69)</f>
        <v/>
      </c>
      <c r="AJ69" s="113">
        <f>IF(AI69="","",$AJ$2)</f>
        <v/>
      </c>
      <c r="AK69" s="113" t="inlineStr">
        <is>
          <t>A</t>
        </is>
      </c>
      <c r="AL69" s="113" t="inlineStr">
        <is>
          <t>A+</t>
        </is>
      </c>
      <c r="AM69" s="113" t="inlineStr">
        <is>
          <t>B+</t>
        </is>
      </c>
      <c r="AN69" s="113">
        <f>IF(AI69="","",$AN$2)</f>
        <v/>
      </c>
      <c r="AO69" s="113">
        <f>IF(N69="","",IF(N69&gt;=$AO$1/100,"O","X"))</f>
        <v/>
      </c>
      <c r="AP69" s="113">
        <f>IF(I69="","",IF(I69&lt;=$AP$1,"O","X"))</f>
        <v/>
      </c>
      <c r="AQ69" s="113">
        <f>IF(O69="","",IF(O69&lt;=$AQ$1,"O","X"))</f>
        <v/>
      </c>
      <c r="AR69" s="113">
        <f>IF(M69="","",IF(M69&lt;=$AR$1,"O","X"))</f>
        <v/>
      </c>
      <c r="AS69" s="113" t="inlineStr">
        <is>
          <t>X</t>
        </is>
      </c>
      <c r="AT69" s="113">
        <f>IF(OR(F69="",AI69=""),"",IF(AND((F69&lt;=85),(AI69&gt;=15)),"O","X"))</f>
        <v/>
      </c>
      <c r="AU69" s="113">
        <f>IF(C69="","",IF(C69&gt;=$AU$1,"O","X"))</f>
        <v/>
      </c>
      <c r="AV69" s="113">
        <f>IF(AO69="","",IF(AND(AO69="O",AP69="O",AR69="O",AT69="O",AU69="O"),"후보","X"))</f>
        <v/>
      </c>
    </row>
    <row r="70">
      <c r="A70" s="13" t="inlineStr">
        <is>
          <t>래미안솔베뉴</t>
        </is>
      </c>
      <c r="B70" s="16" t="inlineStr">
        <is>
          <t>'19.06.</t>
        </is>
      </c>
      <c r="C70" s="164" t="n">
        <v>1900</v>
      </c>
      <c r="D70" s="161" t="n">
        <v>148.4</v>
      </c>
      <c r="E70" s="163" t="n">
        <v>45</v>
      </c>
      <c r="F70" s="161" t="n">
        <v>103.8</v>
      </c>
      <c r="G70" s="27" t="n">
        <v>31</v>
      </c>
      <c r="H70" s="164" t="n">
        <v>7</v>
      </c>
      <c r="I70" s="165" t="n">
        <v>250000</v>
      </c>
      <c r="J70" s="165" t="inlineStr">
        <is>
          <t>32</t>
        </is>
      </c>
      <c r="K70" s="165" t="n"/>
      <c r="L70" s="165" t="n"/>
      <c r="M70" s="166">
        <f>I70-K70</f>
        <v/>
      </c>
      <c r="N70" s="7">
        <f>IF(ISERROR(K70/I70),"",K70/I70)</f>
        <v/>
      </c>
      <c r="O70" s="162">
        <f>I70/E70</f>
        <v/>
      </c>
      <c r="P70" s="162">
        <f>K70/E70</f>
        <v/>
      </c>
      <c r="Q70" s="113" t="n">
        <v>4</v>
      </c>
      <c r="R70" s="113" t="n">
        <v>2</v>
      </c>
      <c r="S70" s="113" t="inlineStr">
        <is>
          <t>계</t>
        </is>
      </c>
      <c r="T70" s="8" t="inlineStr">
        <is>
          <t>148A</t>
        </is>
      </c>
      <c r="U70" s="13" t="n"/>
      <c r="W70" s="161">
        <f>D70</f>
        <v/>
      </c>
      <c r="X70" s="163">
        <f>E70</f>
        <v/>
      </c>
      <c r="Y70" s="159">
        <f>H70</f>
        <v/>
      </c>
      <c r="Z70" s="166">
        <f>I70</f>
        <v/>
      </c>
      <c r="AA70" s="166">
        <f>K70</f>
        <v/>
      </c>
      <c r="AB70" s="166">
        <f>M70</f>
        <v/>
      </c>
      <c r="AC70" s="7">
        <f>N70</f>
        <v/>
      </c>
      <c r="AD70" s="162">
        <f>O70</f>
        <v/>
      </c>
      <c r="AE70" s="113">
        <f>S70</f>
        <v/>
      </c>
      <c r="AF70" s="113">
        <f>Q70&amp;"/"&amp;R70</f>
        <v/>
      </c>
      <c r="AH70" s="36">
        <f>IF(A70="","",A70)</f>
        <v/>
      </c>
      <c r="AI70" s="163">
        <f>IF(E70="","",E70)</f>
        <v/>
      </c>
      <c r="AJ70" s="113">
        <f>IF(AI70="","",$AJ$2)</f>
        <v/>
      </c>
      <c r="AK70" s="113" t="inlineStr">
        <is>
          <t>A</t>
        </is>
      </c>
      <c r="AL70" s="113" t="inlineStr">
        <is>
          <t>A+</t>
        </is>
      </c>
      <c r="AM70" s="113" t="inlineStr">
        <is>
          <t>B+</t>
        </is>
      </c>
      <c r="AN70" s="113">
        <f>IF(AI70="","",$AN$2)</f>
        <v/>
      </c>
      <c r="AO70" s="113">
        <f>IF(N70="","",IF(N70&gt;=$AO$1/100,"O","X"))</f>
        <v/>
      </c>
      <c r="AP70" s="113">
        <f>IF(I70="","",IF(I70&lt;=$AP$1,"O","X"))</f>
        <v/>
      </c>
      <c r="AQ70" s="113">
        <f>IF(O70="","",IF(O70&lt;=$AQ$1,"O","X"))</f>
        <v/>
      </c>
      <c r="AR70" s="113">
        <f>IF(M70="","",IF(M70&lt;=$AR$1,"O","X"))</f>
        <v/>
      </c>
      <c r="AS70" s="113" t="inlineStr">
        <is>
          <t>X</t>
        </is>
      </c>
      <c r="AT70" s="113">
        <f>IF(OR(F70="",AI70=""),"",IF(AND((F70&lt;=85),(AI70&gt;=15)),"O","X"))</f>
        <v/>
      </c>
      <c r="AU70" s="113">
        <f>IF(C70="","",IF(C70&gt;=$AU$1,"O","X"))</f>
        <v/>
      </c>
      <c r="AV70" s="113">
        <f>IF(AO70="","",IF(AND(AO70="O",AP70="O",AR70="O",AT70="O",AU70="O"),"후보","X"))</f>
        <v/>
      </c>
    </row>
    <row r="71">
      <c r="A71" s="13" t="n"/>
      <c r="B71" s="113" t="n"/>
      <c r="C71" s="10" t="n"/>
      <c r="D71" s="13" t="n"/>
      <c r="E71" s="20" t="n"/>
      <c r="F71" s="161" t="n"/>
      <c r="G71" s="13" t="n"/>
      <c r="H71" s="13" t="n"/>
      <c r="I71" s="13" t="n"/>
      <c r="J71" s="13" t="n"/>
      <c r="K71" s="13" t="n"/>
      <c r="L71" s="13" t="n"/>
      <c r="M71" s="13" t="n"/>
      <c r="N71" s="13" t="n"/>
      <c r="O71" s="162" t="n"/>
      <c r="P71" s="162" t="n"/>
      <c r="Q71" s="163" t="n"/>
      <c r="R71" s="163" t="n"/>
      <c r="S71" s="13" t="n"/>
      <c r="T71" s="70" t="n"/>
      <c r="U71" s="13" t="n"/>
      <c r="W71" s="107">
        <f>$A$4&amp;" "&amp;A72&amp;"("&amp;B72&amp;","&amp;C72&amp;"^)"</f>
        <v/>
      </c>
      <c r="X71" s="108" t="n"/>
      <c r="Y71" s="108" t="n"/>
      <c r="Z71" s="108" t="n"/>
      <c r="AA71" s="108" t="n"/>
      <c r="AB71" s="108" t="n"/>
      <c r="AC71" s="108" t="n"/>
      <c r="AD71" s="108" t="n"/>
      <c r="AE71" s="108" t="n"/>
      <c r="AF71" s="109" t="n"/>
      <c r="AH71" s="36">
        <f>IF(A71="","",A71)</f>
        <v/>
      </c>
      <c r="AI71" s="160">
        <f>IF(E71="","",E71)</f>
        <v/>
      </c>
      <c r="AJ71" s="113" t="n"/>
      <c r="AK71" s="113" t="n"/>
      <c r="AL71" s="113" t="n"/>
      <c r="AM71" s="113" t="n"/>
      <c r="AN71" s="113" t="n"/>
      <c r="AO71" s="113" t="n"/>
      <c r="AP71" s="113" t="n"/>
      <c r="AQ71" s="113" t="n"/>
      <c r="AR71" s="113" t="n"/>
      <c r="AS71" s="113" t="n"/>
      <c r="AT71" s="113" t="n"/>
      <c r="AU71" s="113" t="n"/>
      <c r="AV71" s="113" t="n"/>
    </row>
    <row r="72">
      <c r="A72" s="13" t="inlineStr">
        <is>
          <t>명일현대</t>
        </is>
      </c>
      <c r="B72" s="16" t="inlineStr">
        <is>
          <t>'88.10.</t>
        </is>
      </c>
      <c r="C72" s="164" t="n">
        <v>226</v>
      </c>
      <c r="D72" s="161" t="n">
        <v>80.09999999999999</v>
      </c>
      <c r="E72" s="163" t="n">
        <v>24</v>
      </c>
      <c r="F72" s="161" t="n">
        <v>57.1</v>
      </c>
      <c r="G72" s="27" t="n">
        <v>17</v>
      </c>
      <c r="H72" s="164" t="n">
        <v>140</v>
      </c>
      <c r="I72" s="165" t="n"/>
      <c r="J72" s="165" t="n"/>
      <c r="K72" s="165" t="n"/>
      <c r="L72" s="165" t="n"/>
      <c r="M72" s="166">
        <f>I72-K72</f>
        <v/>
      </c>
      <c r="N72" s="7">
        <f>IF(ISERROR(K72/I72),"",K72/I72)</f>
        <v/>
      </c>
      <c r="O72" s="162">
        <f>I72/E72</f>
        <v/>
      </c>
      <c r="P72" s="162">
        <f>K72/E72</f>
        <v/>
      </c>
      <c r="Q72" s="113" t="n">
        <v>2</v>
      </c>
      <c r="R72" s="113" t="n">
        <v>1</v>
      </c>
      <c r="S72" s="113" t="inlineStr">
        <is>
          <t>복</t>
        </is>
      </c>
      <c r="T72" s="8" t="n">
        <v>80</v>
      </c>
      <c r="U72" s="13" t="n"/>
      <c r="W72" s="161">
        <f>D72</f>
        <v/>
      </c>
      <c r="X72" s="163">
        <f>E72</f>
        <v/>
      </c>
      <c r="Y72" s="159">
        <f>H72</f>
        <v/>
      </c>
      <c r="Z72" s="166">
        <f>I72</f>
        <v/>
      </c>
      <c r="AA72" s="166">
        <f>K72</f>
        <v/>
      </c>
      <c r="AB72" s="166">
        <f>M72</f>
        <v/>
      </c>
      <c r="AC72" s="7">
        <f>N72</f>
        <v/>
      </c>
      <c r="AD72" s="162">
        <f>O72</f>
        <v/>
      </c>
      <c r="AE72" s="113">
        <f>S72</f>
        <v/>
      </c>
      <c r="AF72" s="113">
        <f>Q72&amp;"/"&amp;R72</f>
        <v/>
      </c>
      <c r="AH72" s="36">
        <f>IF(A72="","",A72)</f>
        <v/>
      </c>
      <c r="AI72" s="163">
        <f>IF(E72="","",E72)</f>
        <v/>
      </c>
      <c r="AJ72" s="113">
        <f>IF(AI72="","",$AJ$2)</f>
        <v/>
      </c>
      <c r="AK72" s="113" t="inlineStr">
        <is>
          <t>A</t>
        </is>
      </c>
      <c r="AL72" s="113" t="inlineStr">
        <is>
          <t>A+</t>
        </is>
      </c>
      <c r="AM72" s="113" t="inlineStr">
        <is>
          <t>B+</t>
        </is>
      </c>
      <c r="AN72" s="113">
        <f>IF(AI72="","",$AN$2)</f>
        <v/>
      </c>
      <c r="AO72" s="113">
        <f>IF(N72="","",IF(N72&gt;=$AO$1/100,"O","X"))</f>
        <v/>
      </c>
      <c r="AP72" s="113">
        <f>IF(I72="","",IF(I72&lt;=$AP$1,"O","X"))</f>
        <v/>
      </c>
      <c r="AQ72" s="113">
        <f>IF(O72="","",IF(O72&lt;=$AQ$1,"O","X"))</f>
        <v/>
      </c>
      <c r="AR72" s="113">
        <f>IF(M72="","",IF(M72&lt;=$AR$1,"O","X"))</f>
        <v/>
      </c>
      <c r="AS72" s="113" t="inlineStr">
        <is>
          <t>X</t>
        </is>
      </c>
      <c r="AT72" s="113">
        <f>IF(OR(F72="",AI72=""),"",IF(AND((F72&lt;=85),(AI72&gt;=15)),"O","X"))</f>
        <v/>
      </c>
      <c r="AU72" s="113">
        <f>IF(C72="","",IF(C72&gt;=$AU$1,"O","X"))</f>
        <v/>
      </c>
      <c r="AV72" s="113">
        <f>IF(AO72="","",IF(AND(AO72="O",AP72="O",AR72="O",AT72="O",AU72="O"),"후보","X"))</f>
        <v/>
      </c>
    </row>
    <row r="73">
      <c r="A73" s="13" t="inlineStr">
        <is>
          <t>명일현대</t>
        </is>
      </c>
      <c r="B73" s="16" t="inlineStr">
        <is>
          <t>'88.10.</t>
        </is>
      </c>
      <c r="C73" s="164" t="n">
        <v>226</v>
      </c>
      <c r="D73" s="161" t="n">
        <v>100.6</v>
      </c>
      <c r="E73" s="163" t="n">
        <v>30</v>
      </c>
      <c r="F73" s="161" t="n">
        <v>83.8</v>
      </c>
      <c r="G73" s="27" t="n">
        <v>25</v>
      </c>
      <c r="H73" s="164" t="n">
        <v>15</v>
      </c>
      <c r="I73" s="165" t="n"/>
      <c r="J73" s="165" t="n"/>
      <c r="K73" s="165" t="n"/>
      <c r="L73" s="165" t="n"/>
      <c r="M73" s="166">
        <f>I73-K73</f>
        <v/>
      </c>
      <c r="N73" s="7">
        <f>IF(ISERROR(K73/I73),"",K73/I73)</f>
        <v/>
      </c>
      <c r="O73" s="162">
        <f>I73/E73</f>
        <v/>
      </c>
      <c r="P73" s="162">
        <f>K73/E73</f>
        <v/>
      </c>
      <c r="Q73" s="113" t="n">
        <v>3</v>
      </c>
      <c r="R73" s="113" t="n">
        <v>1</v>
      </c>
      <c r="S73" s="113" t="inlineStr">
        <is>
          <t>계</t>
        </is>
      </c>
      <c r="T73" s="8" t="n">
        <v>100</v>
      </c>
      <c r="U73" s="13" t="n"/>
      <c r="W73" s="161">
        <f>D73</f>
        <v/>
      </c>
      <c r="X73" s="163">
        <f>E73</f>
        <v/>
      </c>
      <c r="Y73" s="159">
        <f>H73</f>
        <v/>
      </c>
      <c r="Z73" s="166">
        <f>I73</f>
        <v/>
      </c>
      <c r="AA73" s="166">
        <f>K73</f>
        <v/>
      </c>
      <c r="AB73" s="166">
        <f>M73</f>
        <v/>
      </c>
      <c r="AC73" s="7">
        <f>N73</f>
        <v/>
      </c>
      <c r="AD73" s="162">
        <f>O73</f>
        <v/>
      </c>
      <c r="AE73" s="113">
        <f>S73</f>
        <v/>
      </c>
      <c r="AF73" s="113">
        <f>Q73&amp;"/"&amp;R73</f>
        <v/>
      </c>
      <c r="AH73" s="36">
        <f>IF(A73="","",A73)</f>
        <v/>
      </c>
      <c r="AI73" s="163">
        <f>IF(E73="","",E73)</f>
        <v/>
      </c>
      <c r="AJ73" s="113">
        <f>IF(AI73="","",$AJ$2)</f>
        <v/>
      </c>
      <c r="AK73" s="113" t="inlineStr">
        <is>
          <t>A</t>
        </is>
      </c>
      <c r="AL73" s="113" t="inlineStr">
        <is>
          <t>A+</t>
        </is>
      </c>
      <c r="AM73" s="113" t="inlineStr">
        <is>
          <t>B+</t>
        </is>
      </c>
      <c r="AN73" s="113">
        <f>IF(AI73="","",$AN$2)</f>
        <v/>
      </c>
      <c r="AO73" s="113">
        <f>IF(N73="","",IF(N73&gt;=$AO$1/100,"O","X"))</f>
        <v/>
      </c>
      <c r="AP73" s="113">
        <f>IF(I73="","",IF(I73&lt;=$AP$1,"O","X"))</f>
        <v/>
      </c>
      <c r="AQ73" s="113">
        <f>IF(O73="","",IF(O73&lt;=$AQ$1,"O","X"))</f>
        <v/>
      </c>
      <c r="AR73" s="113">
        <f>IF(M73="","",IF(M73&lt;=$AR$1,"O","X"))</f>
        <v/>
      </c>
      <c r="AS73" s="113" t="inlineStr">
        <is>
          <t>X</t>
        </is>
      </c>
      <c r="AT73" s="113">
        <f>IF(OR(F73="",AI73=""),"",IF(AND((F73&lt;=85),(AI73&gt;=15)),"O","X"))</f>
        <v/>
      </c>
      <c r="AU73" s="113">
        <f>IF(C73="","",IF(C73&gt;=$AU$1,"O","X"))</f>
        <v/>
      </c>
      <c r="AV73" s="113">
        <f>IF(AO73="","",IF(AND(AO73="O",AP73="O",AR73="O",AT73="O",AU73="O"),"후보","X"))</f>
        <v/>
      </c>
    </row>
    <row r="74">
      <c r="A74" s="13" t="inlineStr">
        <is>
          <t>명일현대</t>
        </is>
      </c>
      <c r="B74" s="16" t="inlineStr">
        <is>
          <t>'88.10.</t>
        </is>
      </c>
      <c r="C74" s="164" t="n">
        <v>226</v>
      </c>
      <c r="D74" s="161" t="n">
        <v>101.5</v>
      </c>
      <c r="E74" s="163" t="n">
        <v>31</v>
      </c>
      <c r="F74" s="161" t="n">
        <v>84.7</v>
      </c>
      <c r="G74" s="27" t="n">
        <v>26</v>
      </c>
      <c r="H74" s="164" t="n">
        <v>71</v>
      </c>
      <c r="I74" s="165" t="n"/>
      <c r="J74" s="165" t="n"/>
      <c r="K74" s="165" t="n"/>
      <c r="L74" s="165" t="n"/>
      <c r="M74" s="166">
        <f>I74-K74</f>
        <v/>
      </c>
      <c r="N74" s="7">
        <f>IF(ISERROR(K74/I74),"",K74/I74)</f>
        <v/>
      </c>
      <c r="O74" s="162">
        <f>I74/E74</f>
        <v/>
      </c>
      <c r="P74" s="162">
        <f>K74/E74</f>
        <v/>
      </c>
      <c r="Q74" s="113" t="n">
        <v>3</v>
      </c>
      <c r="R74" s="113" t="n">
        <v>1</v>
      </c>
      <c r="S74" s="113" t="inlineStr">
        <is>
          <t>계</t>
        </is>
      </c>
      <c r="T74" s="8" t="n">
        <v>101</v>
      </c>
      <c r="U74" s="13" t="n"/>
      <c r="W74" s="161">
        <f>D74</f>
        <v/>
      </c>
      <c r="X74" s="163">
        <f>E74</f>
        <v/>
      </c>
      <c r="Y74" s="159">
        <f>H74</f>
        <v/>
      </c>
      <c r="Z74" s="166">
        <f>I74</f>
        <v/>
      </c>
      <c r="AA74" s="166">
        <f>K74</f>
        <v/>
      </c>
      <c r="AB74" s="166">
        <f>M74</f>
        <v/>
      </c>
      <c r="AC74" s="7">
        <f>N74</f>
        <v/>
      </c>
      <c r="AD74" s="162">
        <f>O74</f>
        <v/>
      </c>
      <c r="AE74" s="113">
        <f>S74</f>
        <v/>
      </c>
      <c r="AF74" s="113">
        <f>Q74&amp;"/"&amp;R74</f>
        <v/>
      </c>
      <c r="AH74" s="36">
        <f>IF(A74="","",A74)</f>
        <v/>
      </c>
      <c r="AI74" s="163">
        <f>IF(E74="","",E74)</f>
        <v/>
      </c>
      <c r="AJ74" s="113">
        <f>IF(AI74="","",$AJ$2)</f>
        <v/>
      </c>
      <c r="AK74" s="113" t="inlineStr">
        <is>
          <t>A</t>
        </is>
      </c>
      <c r="AL74" s="113" t="inlineStr">
        <is>
          <t>A+</t>
        </is>
      </c>
      <c r="AM74" s="113" t="inlineStr">
        <is>
          <t>B+</t>
        </is>
      </c>
      <c r="AN74" s="113">
        <f>IF(AI74="","",$AN$2)</f>
        <v/>
      </c>
      <c r="AO74" s="113">
        <f>IF(N74="","",IF(N74&gt;=$AO$1/100,"O","X"))</f>
        <v/>
      </c>
      <c r="AP74" s="113">
        <f>IF(I74="","",IF(I74&lt;=$AP$1,"O","X"))</f>
        <v/>
      </c>
      <c r="AQ74" s="113">
        <f>IF(O74="","",IF(O74&lt;=$AQ$1,"O","X"))</f>
        <v/>
      </c>
      <c r="AR74" s="113">
        <f>IF(M74="","",IF(M74&lt;=$AR$1,"O","X"))</f>
        <v/>
      </c>
      <c r="AS74" s="113" t="inlineStr">
        <is>
          <t>X</t>
        </is>
      </c>
      <c r="AT74" s="113">
        <f>IF(OR(F74="",AI74=""),"",IF(AND((F74&lt;=85),(AI74&gt;=15)),"O","X"))</f>
        <v/>
      </c>
      <c r="AU74" s="113">
        <f>IF(C74="","",IF(C74&gt;=$AU$1,"O","X"))</f>
        <v/>
      </c>
      <c r="AV74" s="113">
        <f>IF(AO74="","",IF(AND(AO74="O",AP74="O",AR74="O",AT74="O",AU74="O"),"후보","X"))</f>
        <v/>
      </c>
    </row>
  </sheetData>
  <mergeCells count="1">
    <mergeCell ref="AJ1:AN1"/>
  </mergeCells>
  <conditionalFormatting sqref="AV4:AV6">
    <cfRule type="expression" priority="1172" dxfId="17">
      <formula>AV4="X"</formula>
    </cfRule>
    <cfRule type="expression" priority="1173" dxfId="16">
      <formula>AV4="후보"</formula>
    </cfRule>
  </conditionalFormatting>
  <conditionalFormatting sqref="AC1:AC2 AC4:AC6 N4:N5">
    <cfRule type="cellIs" priority="1169" operator="greaterThan" dxfId="13">
      <formula>0.9</formula>
    </cfRule>
    <cfRule type="cellIs" priority="1170" operator="greaterThan" dxfId="12">
      <formula>0.85</formula>
    </cfRule>
  </conditionalFormatting>
  <conditionalFormatting sqref="N1:N2">
    <cfRule type="cellIs" priority="1167" operator="greaterThan" dxfId="13">
      <formula>0.9</formula>
    </cfRule>
    <cfRule type="cellIs" priority="1168" operator="greaterThan" dxfId="12">
      <formula>0.85</formula>
    </cfRule>
  </conditionalFormatting>
  <conditionalFormatting sqref="N6">
    <cfRule type="cellIs" priority="1165" operator="greaterThan" dxfId="13">
      <formula>0.9</formula>
    </cfRule>
    <cfRule type="cellIs" priority="1166" operator="greaterThan" dxfId="12">
      <formula>0.85</formula>
    </cfRule>
  </conditionalFormatting>
  <conditionalFormatting sqref="E6">
    <cfRule type="expression" priority="1161" dxfId="3">
      <formula>AND(IF(OR($Q6=1,$Q6=2),1,0),IF($X6&lt;=20,1,0))</formula>
    </cfRule>
    <cfRule type="expression" priority="1162" dxfId="2">
      <formula>AND(IF($Q6=2,1,0),IF($X6&lt;30,1,0))</formula>
    </cfRule>
    <cfRule type="expression" priority="1163" dxfId="1">
      <formula>AND(IF($Q6=3,1,0),IF($X6&lt;30,1,0))</formula>
    </cfRule>
    <cfRule type="expression" priority="1164" dxfId="0">
      <formula>AND(IF($Q6=3,1,IF($Q6=4,1,0)),IF($F6&lt;=85,1,0))</formula>
    </cfRule>
  </conditionalFormatting>
  <conditionalFormatting sqref="X6">
    <cfRule type="expression" priority="1157" dxfId="3">
      <formula>AND(IF(OR($Q6=1,$Q6=2),1,0),IF($X6&lt;=20,1,0))</formula>
    </cfRule>
    <cfRule type="expression" priority="1158" dxfId="2">
      <formula>AND(IF($Q6=2,1,0),IF($X6&lt;30,1,0))</formula>
    </cfRule>
    <cfRule type="expression" priority="1159" dxfId="1">
      <formula>AND(IF($Q6=3,1,0),IF($X6&lt;30,1,0))</formula>
    </cfRule>
    <cfRule type="expression" priority="1160" dxfId="0">
      <formula>AND(IF($Q6=3,1,IF($Q6=4,1,0)),IF($F6&lt;=85,1,0))</formula>
    </cfRule>
  </conditionalFormatting>
  <conditionalFormatting sqref="AI6">
    <cfRule type="expression" priority="1153" dxfId="3">
      <formula>AND(IF(OR($Q6=1,$Q6=2),1,0),IF($X6&lt;=20,1,0))</formula>
    </cfRule>
    <cfRule type="expression" priority="1154" dxfId="2">
      <formula>AND(IF($Q6=2,1,0),IF($X6&lt;30,1,0))</formula>
    </cfRule>
    <cfRule type="expression" priority="1155" dxfId="1">
      <formula>AND(IF($Q6=3,1,0),IF($X6&lt;30,1,0))</formula>
    </cfRule>
    <cfRule type="expression" priority="1156" dxfId="0">
      <formula>AND(IF($Q6=3,1,IF($Q6=4,1,0)),IF($F6&lt;=85,1,0))</formula>
    </cfRule>
  </conditionalFormatting>
  <conditionalFormatting sqref="AV7">
    <cfRule type="expression" priority="1151" dxfId="17">
      <formula>AV7="X"</formula>
    </cfRule>
    <cfRule type="expression" priority="1152" dxfId="16">
      <formula>AV7="후보"</formula>
    </cfRule>
  </conditionalFormatting>
  <conditionalFormatting sqref="AC7">
    <cfRule type="cellIs" priority="1148" operator="greaterThan" dxfId="13">
      <formula>0.9</formula>
    </cfRule>
    <cfRule type="cellIs" priority="1149" operator="greaterThan" dxfId="12">
      <formula>0.85</formula>
    </cfRule>
  </conditionalFormatting>
  <conditionalFormatting sqref="N7">
    <cfRule type="cellIs" priority="1146" operator="greaterThan" dxfId="13">
      <formula>0.9</formula>
    </cfRule>
    <cfRule type="cellIs" priority="1147" operator="greaterThan" dxfId="12">
      <formula>0.85</formula>
    </cfRule>
  </conditionalFormatting>
  <conditionalFormatting sqref="E7">
    <cfRule type="expression" priority="1142" dxfId="3">
      <formula>AND(IF(OR($Q7=1,$Q7=2),1,0),IF($X7&lt;=20,1,0))</formula>
    </cfRule>
    <cfRule type="expression" priority="1143" dxfId="2">
      <formula>AND(IF($Q7=2,1,0),IF($X7&lt;30,1,0))</formula>
    </cfRule>
    <cfRule type="expression" priority="1144" dxfId="1">
      <formula>AND(IF($Q7=3,1,0),IF($X7&lt;30,1,0))</formula>
    </cfRule>
    <cfRule type="expression" priority="1145" dxfId="0">
      <formula>AND(IF($Q7=3,1,IF($Q7=4,1,0)),IF($F7&lt;=85,1,0))</formula>
    </cfRule>
  </conditionalFormatting>
  <conditionalFormatting sqref="X7">
    <cfRule type="expression" priority="1138" dxfId="3">
      <formula>AND(IF(OR($Q7=1,$Q7=2),1,0),IF($X7&lt;=20,1,0))</formula>
    </cfRule>
    <cfRule type="expression" priority="1139" dxfId="2">
      <formula>AND(IF($Q7=2,1,0),IF($X7&lt;30,1,0))</formula>
    </cfRule>
    <cfRule type="expression" priority="1140" dxfId="1">
      <formula>AND(IF($Q7=3,1,0),IF($X7&lt;30,1,0))</formula>
    </cfRule>
    <cfRule type="expression" priority="1141" dxfId="0">
      <formula>AND(IF($Q7=3,1,IF($Q7=4,1,0)),IF($F7&lt;=85,1,0))</formula>
    </cfRule>
  </conditionalFormatting>
  <conditionalFormatting sqref="AI7">
    <cfRule type="expression" priority="1134" dxfId="3">
      <formula>AND(IF(OR($Q7=1,$Q7=2),1,0),IF($X7&lt;=20,1,0))</formula>
    </cfRule>
    <cfRule type="expression" priority="1135" dxfId="2">
      <formula>AND(IF($Q7=2,1,0),IF($X7&lt;30,1,0))</formula>
    </cfRule>
    <cfRule type="expression" priority="1136" dxfId="1">
      <formula>AND(IF($Q7=3,1,0),IF($X7&lt;30,1,0))</formula>
    </cfRule>
    <cfRule type="expression" priority="1137" dxfId="0">
      <formula>AND(IF($Q7=3,1,IF($Q7=4,1,0)),IF($F7&lt;=85,1,0))</formula>
    </cfRule>
  </conditionalFormatting>
  <conditionalFormatting sqref="AV8">
    <cfRule type="expression" priority="1132" dxfId="17">
      <formula>AV8="X"</formula>
    </cfRule>
    <cfRule type="expression" priority="1133" dxfId="16">
      <formula>AV8="후보"</formula>
    </cfRule>
  </conditionalFormatting>
  <conditionalFormatting sqref="AC8">
    <cfRule type="cellIs" priority="1129" operator="greaterThan" dxfId="13">
      <formula>0.9</formula>
    </cfRule>
    <cfRule type="cellIs" priority="1130" operator="greaterThan" dxfId="12">
      <formula>0.85</formula>
    </cfRule>
  </conditionalFormatting>
  <conditionalFormatting sqref="N8">
    <cfRule type="cellIs" priority="1127" operator="greaterThan" dxfId="13">
      <formula>0.9</formula>
    </cfRule>
    <cfRule type="cellIs" priority="1128" operator="greaterThan" dxfId="12">
      <formula>0.85</formula>
    </cfRule>
  </conditionalFormatting>
  <conditionalFormatting sqref="E8">
    <cfRule type="expression" priority="1123" dxfId="3">
      <formula>AND(IF(OR($Q8=1,$Q8=2),1,0),IF($X8&lt;=20,1,0))</formula>
    </cfRule>
    <cfRule type="expression" priority="1124" dxfId="2">
      <formula>AND(IF($Q8=2,1,0),IF($X8&lt;30,1,0))</formula>
    </cfRule>
    <cfRule type="expression" priority="1125" dxfId="1">
      <formula>AND(IF($Q8=3,1,0),IF($X8&lt;30,1,0))</formula>
    </cfRule>
    <cfRule type="expression" priority="1126" dxfId="0">
      <formula>AND(IF($Q8=3,1,IF($Q8=4,1,0)),IF($F8&lt;=85,1,0))</formula>
    </cfRule>
  </conditionalFormatting>
  <conditionalFormatting sqref="X8">
    <cfRule type="expression" priority="1119" dxfId="3">
      <formula>AND(IF(OR($Q8=1,$Q8=2),1,0),IF($X8&lt;=20,1,0))</formula>
    </cfRule>
    <cfRule type="expression" priority="1120" dxfId="2">
      <formula>AND(IF($Q8=2,1,0),IF($X8&lt;30,1,0))</formula>
    </cfRule>
    <cfRule type="expression" priority="1121" dxfId="1">
      <formula>AND(IF($Q8=3,1,0),IF($X8&lt;30,1,0))</formula>
    </cfRule>
    <cfRule type="expression" priority="1122" dxfId="0">
      <formula>AND(IF($Q8=3,1,IF($Q8=4,1,0)),IF($F8&lt;=85,1,0))</formula>
    </cfRule>
  </conditionalFormatting>
  <conditionalFormatting sqref="AI8">
    <cfRule type="expression" priority="1115" dxfId="3">
      <formula>AND(IF(OR($Q8=1,$Q8=2),1,0),IF($X8&lt;=20,1,0))</formula>
    </cfRule>
    <cfRule type="expression" priority="1116" dxfId="2">
      <formula>AND(IF($Q8=2,1,0),IF($X8&lt;30,1,0))</formula>
    </cfRule>
    <cfRule type="expression" priority="1117" dxfId="1">
      <formula>AND(IF($Q8=3,1,0),IF($X8&lt;30,1,0))</formula>
    </cfRule>
    <cfRule type="expression" priority="1118" dxfId="0">
      <formula>AND(IF($Q8=3,1,IF($Q8=4,1,0)),IF($F8&lt;=85,1,0))</formula>
    </cfRule>
  </conditionalFormatting>
  <conditionalFormatting sqref="AV9">
    <cfRule type="expression" priority="1113" dxfId="17">
      <formula>AV9="X"</formula>
    </cfRule>
    <cfRule type="expression" priority="1114" dxfId="16">
      <formula>AV9="후보"</formula>
    </cfRule>
  </conditionalFormatting>
  <conditionalFormatting sqref="AC9 N9">
    <cfRule type="cellIs" priority="1110" operator="greaterThan" dxfId="13">
      <formula>0.9</formula>
    </cfRule>
    <cfRule type="cellIs" priority="1111" operator="greaterThan" dxfId="12">
      <formula>0.85</formula>
    </cfRule>
  </conditionalFormatting>
  <conditionalFormatting sqref="AV10">
    <cfRule type="expression" priority="1108" dxfId="17">
      <formula>AV10="X"</formula>
    </cfRule>
    <cfRule type="expression" priority="1109" dxfId="16">
      <formula>AV10="후보"</formula>
    </cfRule>
  </conditionalFormatting>
  <conditionalFormatting sqref="AC10">
    <cfRule type="cellIs" priority="1105" operator="greaterThan" dxfId="13">
      <formula>0.9</formula>
    </cfRule>
    <cfRule type="cellIs" priority="1106" operator="greaterThan" dxfId="12">
      <formula>0.85</formula>
    </cfRule>
  </conditionalFormatting>
  <conditionalFormatting sqref="N10">
    <cfRule type="cellIs" priority="1103" operator="greaterThan" dxfId="13">
      <formula>0.9</formula>
    </cfRule>
    <cfRule type="cellIs" priority="1104" operator="greaterThan" dxfId="12">
      <formula>0.85</formula>
    </cfRule>
  </conditionalFormatting>
  <conditionalFormatting sqref="E10">
    <cfRule type="expression" priority="1099" dxfId="3">
      <formula>AND(IF(OR($Q10=1,$Q10=2),1,0),IF($X10&lt;=20,1,0))</formula>
    </cfRule>
    <cfRule type="expression" priority="1100" dxfId="2">
      <formula>AND(IF($Q10=2,1,0),IF($X10&lt;30,1,0))</formula>
    </cfRule>
    <cfRule type="expression" priority="1101" dxfId="1">
      <formula>AND(IF($Q10=3,1,0),IF($X10&lt;30,1,0))</formula>
    </cfRule>
    <cfRule type="expression" priority="1102" dxfId="0">
      <formula>AND(IF($Q10=3,1,IF($Q10=4,1,0)),IF($F10&lt;=85,1,0))</formula>
    </cfRule>
  </conditionalFormatting>
  <conditionalFormatting sqref="X10">
    <cfRule type="expression" priority="1095" dxfId="3">
      <formula>AND(IF(OR($Q10=1,$Q10=2),1,0),IF($X10&lt;=20,1,0))</formula>
    </cfRule>
    <cfRule type="expression" priority="1096" dxfId="2">
      <formula>AND(IF($Q10=2,1,0),IF($X10&lt;30,1,0))</formula>
    </cfRule>
    <cfRule type="expression" priority="1097" dxfId="1">
      <formula>AND(IF($Q10=3,1,0),IF($X10&lt;30,1,0))</formula>
    </cfRule>
    <cfRule type="expression" priority="1098" dxfId="0">
      <formula>AND(IF($Q10=3,1,IF($Q10=4,1,0)),IF($F10&lt;=85,1,0))</formula>
    </cfRule>
  </conditionalFormatting>
  <conditionalFormatting sqref="AI10">
    <cfRule type="expression" priority="1091" dxfId="3">
      <formula>AND(IF(OR($Q10=1,$Q10=2),1,0),IF($X10&lt;=20,1,0))</formula>
    </cfRule>
    <cfRule type="expression" priority="1092" dxfId="2">
      <formula>AND(IF($Q10=2,1,0),IF($X10&lt;30,1,0))</formula>
    </cfRule>
    <cfRule type="expression" priority="1093" dxfId="1">
      <formula>AND(IF($Q10=3,1,0),IF($X10&lt;30,1,0))</formula>
    </cfRule>
    <cfRule type="expression" priority="1094" dxfId="0">
      <formula>AND(IF($Q10=3,1,IF($Q10=4,1,0)),IF($F10&lt;=85,1,0))</formula>
    </cfRule>
  </conditionalFormatting>
  <conditionalFormatting sqref="AV11">
    <cfRule type="expression" priority="1089" dxfId="17">
      <formula>AV11="X"</formula>
    </cfRule>
    <cfRule type="expression" priority="1090" dxfId="16">
      <formula>AV11="후보"</formula>
    </cfRule>
  </conditionalFormatting>
  <conditionalFormatting sqref="AC11">
    <cfRule type="cellIs" priority="1086" operator="greaterThan" dxfId="13">
      <formula>0.9</formula>
    </cfRule>
    <cfRule type="cellIs" priority="1087" operator="greaterThan" dxfId="12">
      <formula>0.85</formula>
    </cfRule>
  </conditionalFormatting>
  <conditionalFormatting sqref="N11">
    <cfRule type="cellIs" priority="1084" operator="greaterThan" dxfId="13">
      <formula>0.9</formula>
    </cfRule>
    <cfRule type="cellIs" priority="1085" operator="greaterThan" dxfId="12">
      <formula>0.85</formula>
    </cfRule>
  </conditionalFormatting>
  <conditionalFormatting sqref="E11">
    <cfRule type="expression" priority="1080" dxfId="3">
      <formula>AND(IF(OR($Q11=1,$Q11=2),1,0),IF($X11&lt;=20,1,0))</formula>
    </cfRule>
    <cfRule type="expression" priority="1081" dxfId="2">
      <formula>AND(IF($Q11=2,1,0),IF($X11&lt;30,1,0))</formula>
    </cfRule>
    <cfRule type="expression" priority="1082" dxfId="1">
      <formula>AND(IF($Q11=3,1,0),IF($X11&lt;30,1,0))</formula>
    </cfRule>
    <cfRule type="expression" priority="1083" dxfId="0">
      <formula>AND(IF($Q11=3,1,IF($Q11=4,1,0)),IF($F11&lt;=85,1,0))</formula>
    </cfRule>
  </conditionalFormatting>
  <conditionalFormatting sqref="X11">
    <cfRule type="expression" priority="1076" dxfId="3">
      <formula>AND(IF(OR($Q11=1,$Q11=2),1,0),IF($X11&lt;=20,1,0))</formula>
    </cfRule>
    <cfRule type="expression" priority="1077" dxfId="2">
      <formula>AND(IF($Q11=2,1,0),IF($X11&lt;30,1,0))</formula>
    </cfRule>
    <cfRule type="expression" priority="1078" dxfId="1">
      <formula>AND(IF($Q11=3,1,0),IF($X11&lt;30,1,0))</formula>
    </cfRule>
    <cfRule type="expression" priority="1079" dxfId="0">
      <formula>AND(IF($Q11=3,1,IF($Q11=4,1,0)),IF($F11&lt;=85,1,0))</formula>
    </cfRule>
  </conditionalFormatting>
  <conditionalFormatting sqref="AI11">
    <cfRule type="expression" priority="1072" dxfId="3">
      <formula>AND(IF(OR($Q11=1,$Q11=2),1,0),IF($X11&lt;=20,1,0))</formula>
    </cfRule>
    <cfRule type="expression" priority="1073" dxfId="2">
      <formula>AND(IF($Q11=2,1,0),IF($X11&lt;30,1,0))</formula>
    </cfRule>
    <cfRule type="expression" priority="1074" dxfId="1">
      <formula>AND(IF($Q11=3,1,0),IF($X11&lt;30,1,0))</formula>
    </cfRule>
    <cfRule type="expression" priority="1075" dxfId="0">
      <formula>AND(IF($Q11=3,1,IF($Q11=4,1,0)),IF($F11&lt;=85,1,0))</formula>
    </cfRule>
  </conditionalFormatting>
  <conditionalFormatting sqref="AV12">
    <cfRule type="expression" priority="1070" dxfId="17">
      <formula>AV12="X"</formula>
    </cfRule>
    <cfRule type="expression" priority="1071" dxfId="16">
      <formula>AV12="후보"</formula>
    </cfRule>
  </conditionalFormatting>
  <conditionalFormatting sqref="AC12">
    <cfRule type="cellIs" priority="1067" operator="greaterThan" dxfId="13">
      <formula>0.9</formula>
    </cfRule>
    <cfRule type="cellIs" priority="1068" operator="greaterThan" dxfId="12">
      <formula>0.85</formula>
    </cfRule>
  </conditionalFormatting>
  <conditionalFormatting sqref="N12">
    <cfRule type="cellIs" priority="1065" operator="greaterThan" dxfId="13">
      <formula>0.9</formula>
    </cfRule>
    <cfRule type="cellIs" priority="1066" operator="greaterThan" dxfId="12">
      <formula>0.85</formula>
    </cfRule>
  </conditionalFormatting>
  <conditionalFormatting sqref="E12">
    <cfRule type="expression" priority="1061" dxfId="3">
      <formula>AND(IF(OR($Q12=1,$Q12=2),1,0),IF($X12&lt;=20,1,0))</formula>
    </cfRule>
    <cfRule type="expression" priority="1062" dxfId="2">
      <formula>AND(IF($Q12=2,1,0),IF($X12&lt;30,1,0))</formula>
    </cfRule>
    <cfRule type="expression" priority="1063" dxfId="1">
      <formula>AND(IF($Q12=3,1,0),IF($X12&lt;30,1,0))</formula>
    </cfRule>
    <cfRule type="expression" priority="1064" dxfId="0">
      <formula>AND(IF($Q12=3,1,IF($Q12=4,1,0)),IF($F12&lt;=85,1,0))</formula>
    </cfRule>
  </conditionalFormatting>
  <conditionalFormatting sqref="X12">
    <cfRule type="expression" priority="1057" dxfId="3">
      <formula>AND(IF(OR($Q12=1,$Q12=2),1,0),IF($X12&lt;=20,1,0))</formula>
    </cfRule>
    <cfRule type="expression" priority="1058" dxfId="2">
      <formula>AND(IF($Q12=2,1,0),IF($X12&lt;30,1,0))</formula>
    </cfRule>
    <cfRule type="expression" priority="1059" dxfId="1">
      <formula>AND(IF($Q12=3,1,0),IF($X12&lt;30,1,0))</formula>
    </cfRule>
    <cfRule type="expression" priority="1060" dxfId="0">
      <formula>AND(IF($Q12=3,1,IF($Q12=4,1,0)),IF($F12&lt;=85,1,0))</formula>
    </cfRule>
  </conditionalFormatting>
  <conditionalFormatting sqref="AI12">
    <cfRule type="expression" priority="1053" dxfId="3">
      <formula>AND(IF(OR($Q12=1,$Q12=2),1,0),IF($X12&lt;=20,1,0))</formula>
    </cfRule>
    <cfRule type="expression" priority="1054" dxfId="2">
      <formula>AND(IF($Q12=2,1,0),IF($X12&lt;30,1,0))</formula>
    </cfRule>
    <cfRule type="expression" priority="1055" dxfId="1">
      <formula>AND(IF($Q12=3,1,0),IF($X12&lt;30,1,0))</formula>
    </cfRule>
    <cfRule type="expression" priority="1056" dxfId="0">
      <formula>AND(IF($Q12=3,1,IF($Q12=4,1,0)),IF($F12&lt;=85,1,0))</formula>
    </cfRule>
  </conditionalFormatting>
  <conditionalFormatting sqref="AV13">
    <cfRule type="expression" priority="1051" dxfId="17">
      <formula>AV13="X"</formula>
    </cfRule>
    <cfRule type="expression" priority="1052" dxfId="16">
      <formula>AV13="후보"</formula>
    </cfRule>
  </conditionalFormatting>
  <conditionalFormatting sqref="AC13">
    <cfRule type="cellIs" priority="1048" operator="greaterThan" dxfId="13">
      <formula>0.9</formula>
    </cfRule>
    <cfRule type="cellIs" priority="1049" operator="greaterThan" dxfId="12">
      <formula>0.85</formula>
    </cfRule>
  </conditionalFormatting>
  <conditionalFormatting sqref="N13">
    <cfRule type="cellIs" priority="1046" operator="greaterThan" dxfId="13">
      <formula>0.9</formula>
    </cfRule>
    <cfRule type="cellIs" priority="1047" operator="greaterThan" dxfId="12">
      <formula>0.85</formula>
    </cfRule>
  </conditionalFormatting>
  <conditionalFormatting sqref="E13">
    <cfRule type="expression" priority="1042" dxfId="3">
      <formula>AND(IF(OR($Q13=1,$Q13=2),1,0),IF($X13&lt;=20,1,0))</formula>
    </cfRule>
    <cfRule type="expression" priority="1043" dxfId="2">
      <formula>AND(IF($Q13=2,1,0),IF($X13&lt;30,1,0))</formula>
    </cfRule>
    <cfRule type="expression" priority="1044" dxfId="1">
      <formula>AND(IF($Q13=3,1,0),IF($X13&lt;30,1,0))</formula>
    </cfRule>
    <cfRule type="expression" priority="1045" dxfId="0">
      <formula>AND(IF($Q13=3,1,IF($Q13=4,1,0)),IF($F13&lt;=85,1,0))</formula>
    </cfRule>
  </conditionalFormatting>
  <conditionalFormatting sqref="X13">
    <cfRule type="expression" priority="1038" dxfId="3">
      <formula>AND(IF(OR($Q13=1,$Q13=2),1,0),IF($X13&lt;=20,1,0))</formula>
    </cfRule>
    <cfRule type="expression" priority="1039" dxfId="2">
      <formula>AND(IF($Q13=2,1,0),IF($X13&lt;30,1,0))</formula>
    </cfRule>
    <cfRule type="expression" priority="1040" dxfId="1">
      <formula>AND(IF($Q13=3,1,0),IF($X13&lt;30,1,0))</formula>
    </cfRule>
    <cfRule type="expression" priority="1041" dxfId="0">
      <formula>AND(IF($Q13=3,1,IF($Q13=4,1,0)),IF($F13&lt;=85,1,0))</formula>
    </cfRule>
  </conditionalFormatting>
  <conditionalFormatting sqref="AI13">
    <cfRule type="expression" priority="1034" dxfId="3">
      <formula>AND(IF(OR($Q13=1,$Q13=2),1,0),IF($X13&lt;=20,1,0))</formula>
    </cfRule>
    <cfRule type="expression" priority="1035" dxfId="2">
      <formula>AND(IF($Q13=2,1,0),IF($X13&lt;30,1,0))</formula>
    </cfRule>
    <cfRule type="expression" priority="1036" dxfId="1">
      <formula>AND(IF($Q13=3,1,0),IF($X13&lt;30,1,0))</formula>
    </cfRule>
    <cfRule type="expression" priority="1037" dxfId="0">
      <formula>AND(IF($Q13=3,1,IF($Q13=4,1,0)),IF($F13&lt;=85,1,0))</formula>
    </cfRule>
  </conditionalFormatting>
  <conditionalFormatting sqref="AV14">
    <cfRule type="expression" priority="1032" dxfId="17">
      <formula>AV14="X"</formula>
    </cfRule>
    <cfRule type="expression" priority="1033" dxfId="16">
      <formula>AV14="후보"</formula>
    </cfRule>
  </conditionalFormatting>
  <conditionalFormatting sqref="AC14">
    <cfRule type="cellIs" priority="1029" operator="greaterThan" dxfId="13">
      <formula>0.9</formula>
    </cfRule>
    <cfRule type="cellIs" priority="1030" operator="greaterThan" dxfId="12">
      <formula>0.85</formula>
    </cfRule>
  </conditionalFormatting>
  <conditionalFormatting sqref="N14">
    <cfRule type="cellIs" priority="1027" operator="greaterThan" dxfId="13">
      <formula>0.9</formula>
    </cfRule>
    <cfRule type="cellIs" priority="1028" operator="greaterThan" dxfId="12">
      <formula>0.85</formula>
    </cfRule>
  </conditionalFormatting>
  <conditionalFormatting sqref="E14">
    <cfRule type="expression" priority="1023" dxfId="3">
      <formula>AND(IF(OR($Q14=1,$Q14=2),1,0),IF($X14&lt;=20,1,0))</formula>
    </cfRule>
    <cfRule type="expression" priority="1024" dxfId="2">
      <formula>AND(IF($Q14=2,1,0),IF($X14&lt;30,1,0))</formula>
    </cfRule>
    <cfRule type="expression" priority="1025" dxfId="1">
      <formula>AND(IF($Q14=3,1,0),IF($X14&lt;30,1,0))</formula>
    </cfRule>
    <cfRule type="expression" priority="1026" dxfId="0">
      <formula>AND(IF($Q14=3,1,IF($Q14=4,1,0)),IF($F14&lt;=85,1,0))</formula>
    </cfRule>
  </conditionalFormatting>
  <conditionalFormatting sqref="X14">
    <cfRule type="expression" priority="1019" dxfId="3">
      <formula>AND(IF(OR($Q14=1,$Q14=2),1,0),IF($X14&lt;=20,1,0))</formula>
    </cfRule>
    <cfRule type="expression" priority="1020" dxfId="2">
      <formula>AND(IF($Q14=2,1,0),IF($X14&lt;30,1,0))</formula>
    </cfRule>
    <cfRule type="expression" priority="1021" dxfId="1">
      <formula>AND(IF($Q14=3,1,0),IF($X14&lt;30,1,0))</formula>
    </cfRule>
    <cfRule type="expression" priority="1022" dxfId="0">
      <formula>AND(IF($Q14=3,1,IF($Q14=4,1,0)),IF($F14&lt;=85,1,0))</formula>
    </cfRule>
  </conditionalFormatting>
  <conditionalFormatting sqref="AI14">
    <cfRule type="expression" priority="1015" dxfId="3">
      <formula>AND(IF(OR($Q14=1,$Q14=2),1,0),IF($X14&lt;=20,1,0))</formula>
    </cfRule>
    <cfRule type="expression" priority="1016" dxfId="2">
      <formula>AND(IF($Q14=2,1,0),IF($X14&lt;30,1,0))</formula>
    </cfRule>
    <cfRule type="expression" priority="1017" dxfId="1">
      <formula>AND(IF($Q14=3,1,0),IF($X14&lt;30,1,0))</formula>
    </cfRule>
    <cfRule type="expression" priority="1018" dxfId="0">
      <formula>AND(IF($Q14=3,1,IF($Q14=4,1,0)),IF($F14&lt;=85,1,0))</formula>
    </cfRule>
  </conditionalFormatting>
  <conditionalFormatting sqref="AV15">
    <cfRule type="expression" priority="1013" dxfId="17">
      <formula>AV15="X"</formula>
    </cfRule>
    <cfRule type="expression" priority="1014" dxfId="16">
      <formula>AV15="후보"</formula>
    </cfRule>
  </conditionalFormatting>
  <conditionalFormatting sqref="AC15 N15">
    <cfRule type="cellIs" priority="1010" operator="greaterThan" dxfId="13">
      <formula>0.9</formula>
    </cfRule>
    <cfRule type="cellIs" priority="1011" operator="greaterThan" dxfId="12">
      <formula>0.85</formula>
    </cfRule>
  </conditionalFormatting>
  <conditionalFormatting sqref="AV16">
    <cfRule type="expression" priority="1008" dxfId="17">
      <formula>AV16="X"</formula>
    </cfRule>
    <cfRule type="expression" priority="1009" dxfId="16">
      <formula>AV16="후보"</formula>
    </cfRule>
  </conditionalFormatting>
  <conditionalFormatting sqref="AC16">
    <cfRule type="cellIs" priority="1005" operator="greaterThan" dxfId="13">
      <formula>0.9</formula>
    </cfRule>
    <cfRule type="cellIs" priority="1006" operator="greaterThan" dxfId="12">
      <formula>0.85</formula>
    </cfRule>
  </conditionalFormatting>
  <conditionalFormatting sqref="N16">
    <cfRule type="cellIs" priority="1003" operator="greaterThan" dxfId="13">
      <formula>0.9</formula>
    </cfRule>
    <cfRule type="cellIs" priority="1004" operator="greaterThan" dxfId="12">
      <formula>0.85</formula>
    </cfRule>
  </conditionalFormatting>
  <conditionalFormatting sqref="E16">
    <cfRule type="expression" priority="999" dxfId="3">
      <formula>AND(IF(OR($Q16=1,$Q16=2),1,0),IF($X16&lt;=20,1,0))</formula>
    </cfRule>
    <cfRule type="expression" priority="1000" dxfId="2">
      <formula>AND(IF($Q16=2,1,0),IF($X16&lt;30,1,0))</formula>
    </cfRule>
    <cfRule type="expression" priority="1001" dxfId="1">
      <formula>AND(IF($Q16=3,1,0),IF($X16&lt;30,1,0))</formula>
    </cfRule>
    <cfRule type="expression" priority="1002" dxfId="0">
      <formula>AND(IF($Q16=3,1,IF($Q16=4,1,0)),IF($F16&lt;=85,1,0))</formula>
    </cfRule>
  </conditionalFormatting>
  <conditionalFormatting sqref="X16">
    <cfRule type="expression" priority="995" dxfId="3">
      <formula>AND(IF(OR($Q16=1,$Q16=2),1,0),IF($X16&lt;=20,1,0))</formula>
    </cfRule>
    <cfRule type="expression" priority="996" dxfId="2">
      <formula>AND(IF($Q16=2,1,0),IF($X16&lt;30,1,0))</formula>
    </cfRule>
    <cfRule type="expression" priority="997" dxfId="1">
      <formula>AND(IF($Q16=3,1,0),IF($X16&lt;30,1,0))</formula>
    </cfRule>
    <cfRule type="expression" priority="998" dxfId="0">
      <formula>AND(IF($Q16=3,1,IF($Q16=4,1,0)),IF($F16&lt;=85,1,0))</formula>
    </cfRule>
  </conditionalFormatting>
  <conditionalFormatting sqref="AI16">
    <cfRule type="expression" priority="991" dxfId="3">
      <formula>AND(IF(OR($Q16=1,$Q16=2),1,0),IF($X16&lt;=20,1,0))</formula>
    </cfRule>
    <cfRule type="expression" priority="992" dxfId="2">
      <formula>AND(IF($Q16=2,1,0),IF($X16&lt;30,1,0))</formula>
    </cfRule>
    <cfRule type="expression" priority="993" dxfId="1">
      <formula>AND(IF($Q16=3,1,0),IF($X16&lt;30,1,0))</formula>
    </cfRule>
    <cfRule type="expression" priority="994" dxfId="0">
      <formula>AND(IF($Q16=3,1,IF($Q16=4,1,0)),IF($F16&lt;=85,1,0))</formula>
    </cfRule>
  </conditionalFormatting>
  <conditionalFormatting sqref="AV17">
    <cfRule type="expression" priority="989" dxfId="17">
      <formula>AV17="X"</formula>
    </cfRule>
    <cfRule type="expression" priority="990" dxfId="16">
      <formula>AV17="후보"</formula>
    </cfRule>
  </conditionalFormatting>
  <conditionalFormatting sqref="AC17">
    <cfRule type="cellIs" priority="986" operator="greaterThan" dxfId="13">
      <formula>0.9</formula>
    </cfRule>
    <cfRule type="cellIs" priority="987" operator="greaterThan" dxfId="12">
      <formula>0.85</formula>
    </cfRule>
  </conditionalFormatting>
  <conditionalFormatting sqref="N17">
    <cfRule type="cellIs" priority="984" operator="greaterThan" dxfId="13">
      <formula>0.9</formula>
    </cfRule>
    <cfRule type="cellIs" priority="985" operator="greaterThan" dxfId="12">
      <formula>0.85</formula>
    </cfRule>
  </conditionalFormatting>
  <conditionalFormatting sqref="E17">
    <cfRule type="expression" priority="980" dxfId="3">
      <formula>AND(IF(OR($Q17=1,$Q17=2),1,0),IF($X17&lt;=20,1,0))</formula>
    </cfRule>
    <cfRule type="expression" priority="981" dxfId="2">
      <formula>AND(IF($Q17=2,1,0),IF($X17&lt;30,1,0))</formula>
    </cfRule>
    <cfRule type="expression" priority="982" dxfId="1">
      <formula>AND(IF($Q17=3,1,0),IF($X17&lt;30,1,0))</formula>
    </cfRule>
    <cfRule type="expression" priority="983" dxfId="0">
      <formula>AND(IF($Q17=3,1,IF($Q17=4,1,0)),IF($F17&lt;=85,1,0))</formula>
    </cfRule>
  </conditionalFormatting>
  <conditionalFormatting sqref="X17">
    <cfRule type="expression" priority="976" dxfId="3">
      <formula>AND(IF(OR($Q17=1,$Q17=2),1,0),IF($X17&lt;=20,1,0))</formula>
    </cfRule>
    <cfRule type="expression" priority="977" dxfId="2">
      <formula>AND(IF($Q17=2,1,0),IF($X17&lt;30,1,0))</formula>
    </cfRule>
    <cfRule type="expression" priority="978" dxfId="1">
      <formula>AND(IF($Q17=3,1,0),IF($X17&lt;30,1,0))</formula>
    </cfRule>
    <cfRule type="expression" priority="979" dxfId="0">
      <formula>AND(IF($Q17=3,1,IF($Q17=4,1,0)),IF($F17&lt;=85,1,0))</formula>
    </cfRule>
  </conditionalFormatting>
  <conditionalFormatting sqref="AI17">
    <cfRule type="expression" priority="972" dxfId="3">
      <formula>AND(IF(OR($Q17=1,$Q17=2),1,0),IF($X17&lt;=20,1,0))</formula>
    </cfRule>
    <cfRule type="expression" priority="973" dxfId="2">
      <formula>AND(IF($Q17=2,1,0),IF($X17&lt;30,1,0))</formula>
    </cfRule>
    <cfRule type="expression" priority="974" dxfId="1">
      <formula>AND(IF($Q17=3,1,0),IF($X17&lt;30,1,0))</formula>
    </cfRule>
    <cfRule type="expression" priority="975" dxfId="0">
      <formula>AND(IF($Q17=3,1,IF($Q17=4,1,0)),IF($F17&lt;=85,1,0))</formula>
    </cfRule>
  </conditionalFormatting>
  <conditionalFormatting sqref="AV18">
    <cfRule type="expression" priority="970" dxfId="17">
      <formula>AV18="X"</formula>
    </cfRule>
    <cfRule type="expression" priority="971" dxfId="16">
      <formula>AV18="후보"</formula>
    </cfRule>
  </conditionalFormatting>
  <conditionalFormatting sqref="AC18">
    <cfRule type="cellIs" priority="967" operator="greaterThan" dxfId="13">
      <formula>0.9</formula>
    </cfRule>
    <cfRule type="cellIs" priority="968" operator="greaterThan" dxfId="12">
      <formula>0.85</formula>
    </cfRule>
  </conditionalFormatting>
  <conditionalFormatting sqref="N18">
    <cfRule type="cellIs" priority="965" operator="greaterThan" dxfId="13">
      <formula>0.9</formula>
    </cfRule>
    <cfRule type="cellIs" priority="966" operator="greaterThan" dxfId="12">
      <formula>0.85</formula>
    </cfRule>
  </conditionalFormatting>
  <conditionalFormatting sqref="E18">
    <cfRule type="expression" priority="961" dxfId="3">
      <formula>AND(IF(OR($Q18=1,$Q18=2),1,0),IF($X18&lt;=20,1,0))</formula>
    </cfRule>
    <cfRule type="expression" priority="962" dxfId="2">
      <formula>AND(IF($Q18=2,1,0),IF($X18&lt;30,1,0))</formula>
    </cfRule>
    <cfRule type="expression" priority="963" dxfId="1">
      <formula>AND(IF($Q18=3,1,0),IF($X18&lt;30,1,0))</formula>
    </cfRule>
    <cfRule type="expression" priority="964" dxfId="0">
      <formula>AND(IF($Q18=3,1,IF($Q18=4,1,0)),IF($F18&lt;=85,1,0))</formula>
    </cfRule>
  </conditionalFormatting>
  <conditionalFormatting sqref="X18">
    <cfRule type="expression" priority="957" dxfId="3">
      <formula>AND(IF(OR($Q18=1,$Q18=2),1,0),IF($X18&lt;=20,1,0))</formula>
    </cfRule>
    <cfRule type="expression" priority="958" dxfId="2">
      <formula>AND(IF($Q18=2,1,0),IF($X18&lt;30,1,0))</formula>
    </cfRule>
    <cfRule type="expression" priority="959" dxfId="1">
      <formula>AND(IF($Q18=3,1,0),IF($X18&lt;30,1,0))</formula>
    </cfRule>
    <cfRule type="expression" priority="960" dxfId="0">
      <formula>AND(IF($Q18=3,1,IF($Q18=4,1,0)),IF($F18&lt;=85,1,0))</formula>
    </cfRule>
  </conditionalFormatting>
  <conditionalFormatting sqref="AI18">
    <cfRule type="expression" priority="953" dxfId="3">
      <formula>AND(IF(OR($Q18=1,$Q18=2),1,0),IF($X18&lt;=20,1,0))</formula>
    </cfRule>
    <cfRule type="expression" priority="954" dxfId="2">
      <formula>AND(IF($Q18=2,1,0),IF($X18&lt;30,1,0))</formula>
    </cfRule>
    <cfRule type="expression" priority="955" dxfId="1">
      <formula>AND(IF($Q18=3,1,0),IF($X18&lt;30,1,0))</formula>
    </cfRule>
    <cfRule type="expression" priority="956" dxfId="0">
      <formula>AND(IF($Q18=3,1,IF($Q18=4,1,0)),IF($F18&lt;=85,1,0))</formula>
    </cfRule>
  </conditionalFormatting>
  <conditionalFormatting sqref="AV19">
    <cfRule type="expression" priority="951" dxfId="17">
      <formula>AV19="X"</formula>
    </cfRule>
    <cfRule type="expression" priority="952" dxfId="16">
      <formula>AV19="후보"</formula>
    </cfRule>
  </conditionalFormatting>
  <conditionalFormatting sqref="AC19">
    <cfRule type="cellIs" priority="948" operator="greaterThan" dxfId="13">
      <formula>0.9</formula>
    </cfRule>
    <cfRule type="cellIs" priority="949" operator="greaterThan" dxfId="12">
      <formula>0.85</formula>
    </cfRule>
  </conditionalFormatting>
  <conditionalFormatting sqref="N19">
    <cfRule type="cellIs" priority="946" operator="greaterThan" dxfId="13">
      <formula>0.9</formula>
    </cfRule>
    <cfRule type="cellIs" priority="947" operator="greaterThan" dxfId="12">
      <formula>0.85</formula>
    </cfRule>
  </conditionalFormatting>
  <conditionalFormatting sqref="E19">
    <cfRule type="expression" priority="942" dxfId="3">
      <formula>AND(IF(OR($Q19=1,$Q19=2),1,0),IF($X19&lt;=20,1,0))</formula>
    </cfRule>
    <cfRule type="expression" priority="943" dxfId="2">
      <formula>AND(IF($Q19=2,1,0),IF($X19&lt;30,1,0))</formula>
    </cfRule>
    <cfRule type="expression" priority="944" dxfId="1">
      <formula>AND(IF($Q19=3,1,0),IF($X19&lt;30,1,0))</formula>
    </cfRule>
    <cfRule type="expression" priority="945" dxfId="0">
      <formula>AND(IF($Q19=3,1,IF($Q19=4,1,0)),IF($F19&lt;=85,1,0))</formula>
    </cfRule>
  </conditionalFormatting>
  <conditionalFormatting sqref="X19">
    <cfRule type="expression" priority="938" dxfId="3">
      <formula>AND(IF(OR($Q19=1,$Q19=2),1,0),IF($X19&lt;=20,1,0))</formula>
    </cfRule>
    <cfRule type="expression" priority="939" dxfId="2">
      <formula>AND(IF($Q19=2,1,0),IF($X19&lt;30,1,0))</formula>
    </cfRule>
    <cfRule type="expression" priority="940" dxfId="1">
      <formula>AND(IF($Q19=3,1,0),IF($X19&lt;30,1,0))</formula>
    </cfRule>
    <cfRule type="expression" priority="941" dxfId="0">
      <formula>AND(IF($Q19=3,1,IF($Q19=4,1,0)),IF($F19&lt;=85,1,0))</formula>
    </cfRule>
  </conditionalFormatting>
  <conditionalFormatting sqref="AI19">
    <cfRule type="expression" priority="934" dxfId="3">
      <formula>AND(IF(OR($Q19=1,$Q19=2),1,0),IF($X19&lt;=20,1,0))</formula>
    </cfRule>
    <cfRule type="expression" priority="935" dxfId="2">
      <formula>AND(IF($Q19=2,1,0),IF($X19&lt;30,1,0))</formula>
    </cfRule>
    <cfRule type="expression" priority="936" dxfId="1">
      <formula>AND(IF($Q19=3,1,0),IF($X19&lt;30,1,0))</formula>
    </cfRule>
    <cfRule type="expression" priority="937" dxfId="0">
      <formula>AND(IF($Q19=3,1,IF($Q19=4,1,0)),IF($F19&lt;=85,1,0))</formula>
    </cfRule>
  </conditionalFormatting>
  <conditionalFormatting sqref="AV20">
    <cfRule type="expression" priority="932" dxfId="17">
      <formula>AV20="X"</formula>
    </cfRule>
    <cfRule type="expression" priority="933" dxfId="16">
      <formula>AV20="후보"</formula>
    </cfRule>
  </conditionalFormatting>
  <conditionalFormatting sqref="AC20">
    <cfRule type="cellIs" priority="929" operator="greaterThan" dxfId="13">
      <formula>0.9</formula>
    </cfRule>
    <cfRule type="cellIs" priority="930" operator="greaterThan" dxfId="12">
      <formula>0.85</formula>
    </cfRule>
  </conditionalFormatting>
  <conditionalFormatting sqref="N20">
    <cfRule type="cellIs" priority="927" operator="greaterThan" dxfId="13">
      <formula>0.9</formula>
    </cfRule>
    <cfRule type="cellIs" priority="928" operator="greaterThan" dxfId="12">
      <formula>0.85</formula>
    </cfRule>
  </conditionalFormatting>
  <conditionalFormatting sqref="E20">
    <cfRule type="expression" priority="923" dxfId="3">
      <formula>AND(IF(OR($Q20=1,$Q20=2),1,0),IF($X20&lt;=20,1,0))</formula>
    </cfRule>
    <cfRule type="expression" priority="924" dxfId="2">
      <formula>AND(IF($Q20=2,1,0),IF($X20&lt;30,1,0))</formula>
    </cfRule>
    <cfRule type="expression" priority="925" dxfId="1">
      <formula>AND(IF($Q20=3,1,0),IF($X20&lt;30,1,0))</formula>
    </cfRule>
    <cfRule type="expression" priority="926" dxfId="0">
      <formula>AND(IF($Q20=3,1,IF($Q20=4,1,0)),IF($F20&lt;=85,1,0))</formula>
    </cfRule>
  </conditionalFormatting>
  <conditionalFormatting sqref="X20">
    <cfRule type="expression" priority="919" dxfId="3">
      <formula>AND(IF(OR($Q20=1,$Q20=2),1,0),IF($X20&lt;=20,1,0))</formula>
    </cfRule>
    <cfRule type="expression" priority="920" dxfId="2">
      <formula>AND(IF($Q20=2,1,0),IF($X20&lt;30,1,0))</formula>
    </cfRule>
    <cfRule type="expression" priority="921" dxfId="1">
      <formula>AND(IF($Q20=3,1,0),IF($X20&lt;30,1,0))</formula>
    </cfRule>
    <cfRule type="expression" priority="922" dxfId="0">
      <formula>AND(IF($Q20=3,1,IF($Q20=4,1,0)),IF($F20&lt;=85,1,0))</formula>
    </cfRule>
  </conditionalFormatting>
  <conditionalFormatting sqref="AI20">
    <cfRule type="expression" priority="915" dxfId="3">
      <formula>AND(IF(OR($Q20=1,$Q20=2),1,0),IF($X20&lt;=20,1,0))</formula>
    </cfRule>
    <cfRule type="expression" priority="916" dxfId="2">
      <formula>AND(IF($Q20=2,1,0),IF($X20&lt;30,1,0))</formula>
    </cfRule>
    <cfRule type="expression" priority="917" dxfId="1">
      <formula>AND(IF($Q20=3,1,0),IF($X20&lt;30,1,0))</formula>
    </cfRule>
    <cfRule type="expression" priority="918" dxfId="0">
      <formula>AND(IF($Q20=3,1,IF($Q20=4,1,0)),IF($F20&lt;=85,1,0))</formula>
    </cfRule>
  </conditionalFormatting>
  <conditionalFormatting sqref="AV21">
    <cfRule type="expression" priority="913" dxfId="17">
      <formula>AV21="X"</formula>
    </cfRule>
    <cfRule type="expression" priority="914" dxfId="16">
      <formula>AV21="후보"</formula>
    </cfRule>
  </conditionalFormatting>
  <conditionalFormatting sqref="AC21 N21">
    <cfRule type="cellIs" priority="910" operator="greaterThan" dxfId="13">
      <formula>0.9</formula>
    </cfRule>
    <cfRule type="cellIs" priority="911" operator="greaterThan" dxfId="12">
      <formula>0.85</formula>
    </cfRule>
  </conditionalFormatting>
  <conditionalFormatting sqref="AV22">
    <cfRule type="expression" priority="908" dxfId="17">
      <formula>AV22="X"</formula>
    </cfRule>
    <cfRule type="expression" priority="909" dxfId="16">
      <formula>AV22="후보"</formula>
    </cfRule>
  </conditionalFormatting>
  <conditionalFormatting sqref="AC22">
    <cfRule type="cellIs" priority="905" operator="greaterThan" dxfId="13">
      <formula>0.9</formula>
    </cfRule>
    <cfRule type="cellIs" priority="906" operator="greaterThan" dxfId="12">
      <formula>0.85</formula>
    </cfRule>
  </conditionalFormatting>
  <conditionalFormatting sqref="N22">
    <cfRule type="cellIs" priority="903" operator="greaterThan" dxfId="13">
      <formula>0.9</formula>
    </cfRule>
    <cfRule type="cellIs" priority="904" operator="greaterThan" dxfId="12">
      <formula>0.85</formula>
    </cfRule>
  </conditionalFormatting>
  <conditionalFormatting sqref="E22">
    <cfRule type="expression" priority="899" dxfId="3">
      <formula>AND(IF(OR($Q22=1,$Q22=2),1,0),IF($X22&lt;=20,1,0))</formula>
    </cfRule>
    <cfRule type="expression" priority="900" dxfId="2">
      <formula>AND(IF($Q22=2,1,0),IF($X22&lt;30,1,0))</formula>
    </cfRule>
    <cfRule type="expression" priority="901" dxfId="1">
      <formula>AND(IF($Q22=3,1,0),IF($X22&lt;30,1,0))</formula>
    </cfRule>
    <cfRule type="expression" priority="902" dxfId="0">
      <formula>AND(IF($Q22=3,1,IF($Q22=4,1,0)),IF($F22&lt;=85,1,0))</formula>
    </cfRule>
  </conditionalFormatting>
  <conditionalFormatting sqref="X22">
    <cfRule type="expression" priority="895" dxfId="3">
      <formula>AND(IF(OR($Q22=1,$Q22=2),1,0),IF($X22&lt;=20,1,0))</formula>
    </cfRule>
    <cfRule type="expression" priority="896" dxfId="2">
      <formula>AND(IF($Q22=2,1,0),IF($X22&lt;30,1,0))</formula>
    </cfRule>
    <cfRule type="expression" priority="897" dxfId="1">
      <formula>AND(IF($Q22=3,1,0),IF($X22&lt;30,1,0))</formula>
    </cfRule>
    <cfRule type="expression" priority="898" dxfId="0">
      <formula>AND(IF($Q22=3,1,IF($Q22=4,1,0)),IF($F22&lt;=85,1,0))</formula>
    </cfRule>
  </conditionalFormatting>
  <conditionalFormatting sqref="AI22">
    <cfRule type="expression" priority="891" dxfId="3">
      <formula>AND(IF(OR($Q22=1,$Q22=2),1,0),IF($X22&lt;=20,1,0))</formula>
    </cfRule>
    <cfRule type="expression" priority="892" dxfId="2">
      <formula>AND(IF($Q22=2,1,0),IF($X22&lt;30,1,0))</formula>
    </cfRule>
    <cfRule type="expression" priority="893" dxfId="1">
      <formula>AND(IF($Q22=3,1,0),IF($X22&lt;30,1,0))</formula>
    </cfRule>
    <cfRule type="expression" priority="894" dxfId="0">
      <formula>AND(IF($Q22=3,1,IF($Q22=4,1,0)),IF($F22&lt;=85,1,0))</formula>
    </cfRule>
  </conditionalFormatting>
  <conditionalFormatting sqref="AV23">
    <cfRule type="expression" priority="889" dxfId="17">
      <formula>AV23="X"</formula>
    </cfRule>
    <cfRule type="expression" priority="890" dxfId="16">
      <formula>AV23="후보"</formula>
    </cfRule>
  </conditionalFormatting>
  <conditionalFormatting sqref="AC23">
    <cfRule type="cellIs" priority="886" operator="greaterThan" dxfId="13">
      <formula>0.9</formula>
    </cfRule>
    <cfRule type="cellIs" priority="887" operator="greaterThan" dxfId="12">
      <formula>0.85</formula>
    </cfRule>
  </conditionalFormatting>
  <conditionalFormatting sqref="N23">
    <cfRule type="cellIs" priority="884" operator="greaterThan" dxfId="13">
      <formula>0.9</formula>
    </cfRule>
    <cfRule type="cellIs" priority="885" operator="greaterThan" dxfId="12">
      <formula>0.85</formula>
    </cfRule>
  </conditionalFormatting>
  <conditionalFormatting sqref="E23">
    <cfRule type="expression" priority="880" dxfId="3">
      <formula>AND(IF(OR($Q23=1,$Q23=2),1,0),IF($X23&lt;=20,1,0))</formula>
    </cfRule>
    <cfRule type="expression" priority="881" dxfId="2">
      <formula>AND(IF($Q23=2,1,0),IF($X23&lt;30,1,0))</formula>
    </cfRule>
    <cfRule type="expression" priority="882" dxfId="1">
      <formula>AND(IF($Q23=3,1,0),IF($X23&lt;30,1,0))</formula>
    </cfRule>
    <cfRule type="expression" priority="883" dxfId="0">
      <formula>AND(IF($Q23=3,1,IF($Q23=4,1,0)),IF($F23&lt;=85,1,0))</formula>
    </cfRule>
  </conditionalFormatting>
  <conditionalFormatting sqref="X23">
    <cfRule type="expression" priority="876" dxfId="3">
      <formula>AND(IF(OR($Q23=1,$Q23=2),1,0),IF($X23&lt;=20,1,0))</formula>
    </cfRule>
    <cfRule type="expression" priority="877" dxfId="2">
      <formula>AND(IF($Q23=2,1,0),IF($X23&lt;30,1,0))</formula>
    </cfRule>
    <cfRule type="expression" priority="878" dxfId="1">
      <formula>AND(IF($Q23=3,1,0),IF($X23&lt;30,1,0))</formula>
    </cfRule>
    <cfRule type="expression" priority="879" dxfId="0">
      <formula>AND(IF($Q23=3,1,IF($Q23=4,1,0)),IF($F23&lt;=85,1,0))</formula>
    </cfRule>
  </conditionalFormatting>
  <conditionalFormatting sqref="AI23">
    <cfRule type="expression" priority="872" dxfId="3">
      <formula>AND(IF(OR($Q23=1,$Q23=2),1,0),IF($X23&lt;=20,1,0))</formula>
    </cfRule>
    <cfRule type="expression" priority="873" dxfId="2">
      <formula>AND(IF($Q23=2,1,0),IF($X23&lt;30,1,0))</formula>
    </cfRule>
    <cfRule type="expression" priority="874" dxfId="1">
      <formula>AND(IF($Q23=3,1,0),IF($X23&lt;30,1,0))</formula>
    </cfRule>
    <cfRule type="expression" priority="875" dxfId="0">
      <formula>AND(IF($Q23=3,1,IF($Q23=4,1,0)),IF($F23&lt;=85,1,0))</formula>
    </cfRule>
  </conditionalFormatting>
  <conditionalFormatting sqref="AV24">
    <cfRule type="expression" priority="870" dxfId="17">
      <formula>AV24="X"</formula>
    </cfRule>
    <cfRule type="expression" priority="871" dxfId="16">
      <formula>AV24="후보"</formula>
    </cfRule>
  </conditionalFormatting>
  <conditionalFormatting sqref="AC24">
    <cfRule type="cellIs" priority="867" operator="greaterThan" dxfId="13">
      <formula>0.9</formula>
    </cfRule>
    <cfRule type="cellIs" priority="868" operator="greaterThan" dxfId="12">
      <formula>0.85</formula>
    </cfRule>
  </conditionalFormatting>
  <conditionalFormatting sqref="N24">
    <cfRule type="cellIs" priority="865" operator="greaterThan" dxfId="13">
      <formula>0.9</formula>
    </cfRule>
    <cfRule type="cellIs" priority="866" operator="greaterThan" dxfId="12">
      <formula>0.85</formula>
    </cfRule>
  </conditionalFormatting>
  <conditionalFormatting sqref="E24">
    <cfRule type="expression" priority="861" dxfId="3">
      <formula>AND(IF(OR($Q24=1,$Q24=2),1,0),IF($X24&lt;=20,1,0))</formula>
    </cfRule>
    <cfRule type="expression" priority="862" dxfId="2">
      <formula>AND(IF($Q24=2,1,0),IF($X24&lt;30,1,0))</formula>
    </cfRule>
    <cfRule type="expression" priority="863" dxfId="1">
      <formula>AND(IF($Q24=3,1,0),IF($X24&lt;30,1,0))</formula>
    </cfRule>
    <cfRule type="expression" priority="864" dxfId="0">
      <formula>AND(IF($Q24=3,1,IF($Q24=4,1,0)),IF($F24&lt;=85,1,0))</formula>
    </cfRule>
  </conditionalFormatting>
  <conditionalFormatting sqref="X24">
    <cfRule type="expression" priority="857" dxfId="3">
      <formula>AND(IF(OR($Q24=1,$Q24=2),1,0),IF($X24&lt;=20,1,0))</formula>
    </cfRule>
    <cfRule type="expression" priority="858" dxfId="2">
      <formula>AND(IF($Q24=2,1,0),IF($X24&lt;30,1,0))</formula>
    </cfRule>
    <cfRule type="expression" priority="859" dxfId="1">
      <formula>AND(IF($Q24=3,1,0),IF($X24&lt;30,1,0))</formula>
    </cfRule>
    <cfRule type="expression" priority="860" dxfId="0">
      <formula>AND(IF($Q24=3,1,IF($Q24=4,1,0)),IF($F24&lt;=85,1,0))</formula>
    </cfRule>
  </conditionalFormatting>
  <conditionalFormatting sqref="AI24">
    <cfRule type="expression" priority="853" dxfId="3">
      <formula>AND(IF(OR($Q24=1,$Q24=2),1,0),IF($X24&lt;=20,1,0))</formula>
    </cfRule>
    <cfRule type="expression" priority="854" dxfId="2">
      <formula>AND(IF($Q24=2,1,0),IF($X24&lt;30,1,0))</formula>
    </cfRule>
    <cfRule type="expression" priority="855" dxfId="1">
      <formula>AND(IF($Q24=3,1,0),IF($X24&lt;30,1,0))</formula>
    </cfRule>
    <cfRule type="expression" priority="856" dxfId="0">
      <formula>AND(IF($Q24=3,1,IF($Q24=4,1,0)),IF($F24&lt;=85,1,0))</formula>
    </cfRule>
  </conditionalFormatting>
  <conditionalFormatting sqref="AV25">
    <cfRule type="expression" priority="851" dxfId="17">
      <formula>AV25="X"</formula>
    </cfRule>
    <cfRule type="expression" priority="852" dxfId="16">
      <formula>AV25="후보"</formula>
    </cfRule>
  </conditionalFormatting>
  <conditionalFormatting sqref="AC25">
    <cfRule type="cellIs" priority="848" operator="greaterThan" dxfId="13">
      <formula>0.9</formula>
    </cfRule>
    <cfRule type="cellIs" priority="849" operator="greaterThan" dxfId="12">
      <formula>0.85</formula>
    </cfRule>
  </conditionalFormatting>
  <conditionalFormatting sqref="N25">
    <cfRule type="cellIs" priority="846" operator="greaterThan" dxfId="13">
      <formula>0.9</formula>
    </cfRule>
    <cfRule type="cellIs" priority="847" operator="greaterThan" dxfId="12">
      <formula>0.85</formula>
    </cfRule>
  </conditionalFormatting>
  <conditionalFormatting sqref="E25">
    <cfRule type="expression" priority="842" dxfId="3">
      <formula>AND(IF(OR($Q25=1,$Q25=2),1,0),IF($X25&lt;=20,1,0))</formula>
    </cfRule>
    <cfRule type="expression" priority="843" dxfId="2">
      <formula>AND(IF($Q25=2,1,0),IF($X25&lt;30,1,0))</formula>
    </cfRule>
    <cfRule type="expression" priority="844" dxfId="1">
      <formula>AND(IF($Q25=3,1,0),IF($X25&lt;30,1,0))</formula>
    </cfRule>
    <cfRule type="expression" priority="845" dxfId="0">
      <formula>AND(IF($Q25=3,1,IF($Q25=4,1,0)),IF($F25&lt;=85,1,0))</formula>
    </cfRule>
  </conditionalFormatting>
  <conditionalFormatting sqref="X25">
    <cfRule type="expression" priority="838" dxfId="3">
      <formula>AND(IF(OR($Q25=1,$Q25=2),1,0),IF($X25&lt;=20,1,0))</formula>
    </cfRule>
    <cfRule type="expression" priority="839" dxfId="2">
      <formula>AND(IF($Q25=2,1,0),IF($X25&lt;30,1,0))</formula>
    </cfRule>
    <cfRule type="expression" priority="840" dxfId="1">
      <formula>AND(IF($Q25=3,1,0),IF($X25&lt;30,1,0))</formula>
    </cfRule>
    <cfRule type="expression" priority="841" dxfId="0">
      <formula>AND(IF($Q25=3,1,IF($Q25=4,1,0)),IF($F25&lt;=85,1,0))</formula>
    </cfRule>
  </conditionalFormatting>
  <conditionalFormatting sqref="AI25">
    <cfRule type="expression" priority="834" dxfId="3">
      <formula>AND(IF(OR($Q25=1,$Q25=2),1,0),IF($X25&lt;=20,1,0))</formula>
    </cfRule>
    <cfRule type="expression" priority="835" dxfId="2">
      <formula>AND(IF($Q25=2,1,0),IF($X25&lt;30,1,0))</formula>
    </cfRule>
    <cfRule type="expression" priority="836" dxfId="1">
      <formula>AND(IF($Q25=3,1,0),IF($X25&lt;30,1,0))</formula>
    </cfRule>
    <cfRule type="expression" priority="837" dxfId="0">
      <formula>AND(IF($Q25=3,1,IF($Q25=4,1,0)),IF($F25&lt;=85,1,0))</formula>
    </cfRule>
  </conditionalFormatting>
  <conditionalFormatting sqref="AV26">
    <cfRule type="expression" priority="832" dxfId="17">
      <formula>AV26="X"</formula>
    </cfRule>
    <cfRule type="expression" priority="833" dxfId="16">
      <formula>AV26="후보"</formula>
    </cfRule>
  </conditionalFormatting>
  <conditionalFormatting sqref="AC26">
    <cfRule type="cellIs" priority="829" operator="greaterThan" dxfId="13">
      <formula>0.9</formula>
    </cfRule>
    <cfRule type="cellIs" priority="830" operator="greaterThan" dxfId="12">
      <formula>0.85</formula>
    </cfRule>
  </conditionalFormatting>
  <conditionalFormatting sqref="N26">
    <cfRule type="cellIs" priority="827" operator="greaterThan" dxfId="13">
      <formula>0.9</formula>
    </cfRule>
    <cfRule type="cellIs" priority="828" operator="greaterThan" dxfId="12">
      <formula>0.85</formula>
    </cfRule>
  </conditionalFormatting>
  <conditionalFormatting sqref="E26">
    <cfRule type="expression" priority="823" dxfId="3">
      <formula>AND(IF(OR($Q26=1,$Q26=2),1,0),IF($X26&lt;=20,1,0))</formula>
    </cfRule>
    <cfRule type="expression" priority="824" dxfId="2">
      <formula>AND(IF($Q26=2,1,0),IF($X26&lt;30,1,0))</formula>
    </cfRule>
    <cfRule type="expression" priority="825" dxfId="1">
      <formula>AND(IF($Q26=3,1,0),IF($X26&lt;30,1,0))</formula>
    </cfRule>
    <cfRule type="expression" priority="826" dxfId="0">
      <formula>AND(IF($Q26=3,1,IF($Q26=4,1,0)),IF($F26&lt;=85,1,0))</formula>
    </cfRule>
  </conditionalFormatting>
  <conditionalFormatting sqref="X26">
    <cfRule type="expression" priority="819" dxfId="3">
      <formula>AND(IF(OR($Q26=1,$Q26=2),1,0),IF($X26&lt;=20,1,0))</formula>
    </cfRule>
    <cfRule type="expression" priority="820" dxfId="2">
      <formula>AND(IF($Q26=2,1,0),IF($X26&lt;30,1,0))</formula>
    </cfRule>
    <cfRule type="expression" priority="821" dxfId="1">
      <formula>AND(IF($Q26=3,1,0),IF($X26&lt;30,1,0))</formula>
    </cfRule>
    <cfRule type="expression" priority="822" dxfId="0">
      <formula>AND(IF($Q26=3,1,IF($Q26=4,1,0)),IF($F26&lt;=85,1,0))</formula>
    </cfRule>
  </conditionalFormatting>
  <conditionalFormatting sqref="AI26">
    <cfRule type="expression" priority="815" dxfId="3">
      <formula>AND(IF(OR($Q26=1,$Q26=2),1,0),IF($X26&lt;=20,1,0))</formula>
    </cfRule>
    <cfRule type="expression" priority="816" dxfId="2">
      <formula>AND(IF($Q26=2,1,0),IF($X26&lt;30,1,0))</formula>
    </cfRule>
    <cfRule type="expression" priority="817" dxfId="1">
      <formula>AND(IF($Q26=3,1,0),IF($X26&lt;30,1,0))</formula>
    </cfRule>
    <cfRule type="expression" priority="818" dxfId="0">
      <formula>AND(IF($Q26=3,1,IF($Q26=4,1,0)),IF($F26&lt;=85,1,0))</formula>
    </cfRule>
  </conditionalFormatting>
  <conditionalFormatting sqref="AV27">
    <cfRule type="expression" priority="813" dxfId="17">
      <formula>AV27="X"</formula>
    </cfRule>
    <cfRule type="expression" priority="814" dxfId="16">
      <formula>AV27="후보"</formula>
    </cfRule>
  </conditionalFormatting>
  <conditionalFormatting sqref="AC27">
    <cfRule type="cellIs" priority="810" operator="greaterThan" dxfId="13">
      <formula>0.9</formula>
    </cfRule>
    <cfRule type="cellIs" priority="811" operator="greaterThan" dxfId="12">
      <formula>0.85</formula>
    </cfRule>
  </conditionalFormatting>
  <conditionalFormatting sqref="N27">
    <cfRule type="cellIs" priority="808" operator="greaterThan" dxfId="13">
      <formula>0.9</formula>
    </cfRule>
    <cfRule type="cellIs" priority="809" operator="greaterThan" dxfId="12">
      <formula>0.85</formula>
    </cfRule>
  </conditionalFormatting>
  <conditionalFormatting sqref="E27">
    <cfRule type="expression" priority="804" dxfId="3">
      <formula>AND(IF(OR($Q27=1,$Q27=2),1,0),IF($X27&lt;=20,1,0))</formula>
    </cfRule>
    <cfRule type="expression" priority="805" dxfId="2">
      <formula>AND(IF($Q27=2,1,0),IF($X27&lt;30,1,0))</formula>
    </cfRule>
    <cfRule type="expression" priority="806" dxfId="1">
      <formula>AND(IF($Q27=3,1,0),IF($X27&lt;30,1,0))</formula>
    </cfRule>
    <cfRule type="expression" priority="807" dxfId="0">
      <formula>AND(IF($Q27=3,1,IF($Q27=4,1,0)),IF($F27&lt;=85,1,0))</formula>
    </cfRule>
  </conditionalFormatting>
  <conditionalFormatting sqref="X27">
    <cfRule type="expression" priority="800" dxfId="3">
      <formula>AND(IF(OR($Q27=1,$Q27=2),1,0),IF($X27&lt;=20,1,0))</formula>
    </cfRule>
    <cfRule type="expression" priority="801" dxfId="2">
      <formula>AND(IF($Q27=2,1,0),IF($X27&lt;30,1,0))</formula>
    </cfRule>
    <cfRule type="expression" priority="802" dxfId="1">
      <formula>AND(IF($Q27=3,1,0),IF($X27&lt;30,1,0))</formula>
    </cfRule>
    <cfRule type="expression" priority="803" dxfId="0">
      <formula>AND(IF($Q27=3,1,IF($Q27=4,1,0)),IF($F27&lt;=85,1,0))</formula>
    </cfRule>
  </conditionalFormatting>
  <conditionalFormatting sqref="AI27">
    <cfRule type="expression" priority="796" dxfId="3">
      <formula>AND(IF(OR($Q27=1,$Q27=2),1,0),IF($X27&lt;=20,1,0))</formula>
    </cfRule>
    <cfRule type="expression" priority="797" dxfId="2">
      <formula>AND(IF($Q27=2,1,0),IF($X27&lt;30,1,0))</formula>
    </cfRule>
    <cfRule type="expression" priority="798" dxfId="1">
      <formula>AND(IF($Q27=3,1,0),IF($X27&lt;30,1,0))</formula>
    </cfRule>
    <cfRule type="expression" priority="799" dxfId="0">
      <formula>AND(IF($Q27=3,1,IF($Q27=4,1,0)),IF($F27&lt;=85,1,0))</formula>
    </cfRule>
  </conditionalFormatting>
  <conditionalFormatting sqref="AV28">
    <cfRule type="expression" priority="794" dxfId="17">
      <formula>AV28="X"</formula>
    </cfRule>
    <cfRule type="expression" priority="795" dxfId="16">
      <formula>AV28="후보"</formula>
    </cfRule>
  </conditionalFormatting>
  <conditionalFormatting sqref="AC28">
    <cfRule type="cellIs" priority="791" operator="greaterThan" dxfId="13">
      <formula>0.9</formula>
    </cfRule>
    <cfRule type="cellIs" priority="792" operator="greaterThan" dxfId="12">
      <formula>0.85</formula>
    </cfRule>
  </conditionalFormatting>
  <conditionalFormatting sqref="N28">
    <cfRule type="cellIs" priority="789" operator="greaterThan" dxfId="13">
      <formula>0.9</formula>
    </cfRule>
    <cfRule type="cellIs" priority="790" operator="greaterThan" dxfId="12">
      <formula>0.85</formula>
    </cfRule>
  </conditionalFormatting>
  <conditionalFormatting sqref="E28">
    <cfRule type="expression" priority="785" dxfId="3">
      <formula>AND(IF(OR($Q28=1,$Q28=2),1,0),IF($X28&lt;=20,1,0))</formula>
    </cfRule>
    <cfRule type="expression" priority="786" dxfId="2">
      <formula>AND(IF($Q28=2,1,0),IF($X28&lt;30,1,0))</formula>
    </cfRule>
    <cfRule type="expression" priority="787" dxfId="1">
      <formula>AND(IF($Q28=3,1,0),IF($X28&lt;30,1,0))</formula>
    </cfRule>
    <cfRule type="expression" priority="788" dxfId="0">
      <formula>AND(IF($Q28=3,1,IF($Q28=4,1,0)),IF($F28&lt;=85,1,0))</formula>
    </cfRule>
  </conditionalFormatting>
  <conditionalFormatting sqref="X28">
    <cfRule type="expression" priority="781" dxfId="3">
      <formula>AND(IF(OR($Q28=1,$Q28=2),1,0),IF($X28&lt;=20,1,0))</formula>
    </cfRule>
    <cfRule type="expression" priority="782" dxfId="2">
      <formula>AND(IF($Q28=2,1,0),IF($X28&lt;30,1,0))</formula>
    </cfRule>
    <cfRule type="expression" priority="783" dxfId="1">
      <formula>AND(IF($Q28=3,1,0),IF($X28&lt;30,1,0))</formula>
    </cfRule>
    <cfRule type="expression" priority="784" dxfId="0">
      <formula>AND(IF($Q28=3,1,IF($Q28=4,1,0)),IF($F28&lt;=85,1,0))</formula>
    </cfRule>
  </conditionalFormatting>
  <conditionalFormatting sqref="AI28">
    <cfRule type="expression" priority="777" dxfId="3">
      <formula>AND(IF(OR($Q28=1,$Q28=2),1,0),IF($X28&lt;=20,1,0))</formula>
    </cfRule>
    <cfRule type="expression" priority="778" dxfId="2">
      <formula>AND(IF($Q28=2,1,0),IF($X28&lt;30,1,0))</formula>
    </cfRule>
    <cfRule type="expression" priority="779" dxfId="1">
      <formula>AND(IF($Q28=3,1,0),IF($X28&lt;30,1,0))</formula>
    </cfRule>
    <cfRule type="expression" priority="780" dxfId="0">
      <formula>AND(IF($Q28=3,1,IF($Q28=4,1,0)),IF($F28&lt;=85,1,0))</formula>
    </cfRule>
  </conditionalFormatting>
  <conditionalFormatting sqref="AV29">
    <cfRule type="expression" priority="775" dxfId="17">
      <formula>AV29="X"</formula>
    </cfRule>
    <cfRule type="expression" priority="776" dxfId="16">
      <formula>AV29="후보"</formula>
    </cfRule>
  </conditionalFormatting>
  <conditionalFormatting sqref="AC29 N29">
    <cfRule type="cellIs" priority="772" operator="greaterThan" dxfId="13">
      <formula>0.9</formula>
    </cfRule>
    <cfRule type="cellIs" priority="773" operator="greaterThan" dxfId="12">
      <formula>0.85</formula>
    </cfRule>
  </conditionalFormatting>
  <conditionalFormatting sqref="AV30">
    <cfRule type="expression" priority="770" dxfId="17">
      <formula>AV30="X"</formula>
    </cfRule>
    <cfRule type="expression" priority="771" dxfId="16">
      <formula>AV30="후보"</formula>
    </cfRule>
  </conditionalFormatting>
  <conditionalFormatting sqref="AC30">
    <cfRule type="cellIs" priority="767" operator="greaterThan" dxfId="13">
      <formula>0.9</formula>
    </cfRule>
    <cfRule type="cellIs" priority="768" operator="greaterThan" dxfId="12">
      <formula>0.85</formula>
    </cfRule>
  </conditionalFormatting>
  <conditionalFormatting sqref="N30">
    <cfRule type="cellIs" priority="765" operator="greaterThan" dxfId="13">
      <formula>0.9</formula>
    </cfRule>
    <cfRule type="cellIs" priority="766" operator="greaterThan" dxfId="12">
      <formula>0.85</formula>
    </cfRule>
  </conditionalFormatting>
  <conditionalFormatting sqref="E30">
    <cfRule type="expression" priority="761" dxfId="3">
      <formula>AND(IF(OR($Q30=1,$Q30=2),1,0),IF($X30&lt;=20,1,0))</formula>
    </cfRule>
    <cfRule type="expression" priority="762" dxfId="2">
      <formula>AND(IF($Q30=2,1,0),IF($X30&lt;30,1,0))</formula>
    </cfRule>
    <cfRule type="expression" priority="763" dxfId="1">
      <formula>AND(IF($Q30=3,1,0),IF($X30&lt;30,1,0))</formula>
    </cfRule>
    <cfRule type="expression" priority="764" dxfId="0">
      <formula>AND(IF($Q30=3,1,IF($Q30=4,1,0)),IF($F30&lt;=85,1,0))</formula>
    </cfRule>
  </conditionalFormatting>
  <conditionalFormatting sqref="X30">
    <cfRule type="expression" priority="757" dxfId="3">
      <formula>AND(IF(OR($Q30=1,$Q30=2),1,0),IF($X30&lt;=20,1,0))</formula>
    </cfRule>
    <cfRule type="expression" priority="758" dxfId="2">
      <formula>AND(IF($Q30=2,1,0),IF($X30&lt;30,1,0))</formula>
    </cfRule>
    <cfRule type="expression" priority="759" dxfId="1">
      <formula>AND(IF($Q30=3,1,0),IF($X30&lt;30,1,0))</formula>
    </cfRule>
    <cfRule type="expression" priority="760" dxfId="0">
      <formula>AND(IF($Q30=3,1,IF($Q30=4,1,0)),IF($F30&lt;=85,1,0))</formula>
    </cfRule>
  </conditionalFormatting>
  <conditionalFormatting sqref="AI30">
    <cfRule type="expression" priority="753" dxfId="3">
      <formula>AND(IF(OR($Q30=1,$Q30=2),1,0),IF($X30&lt;=20,1,0))</formula>
    </cfRule>
    <cfRule type="expression" priority="754" dxfId="2">
      <formula>AND(IF($Q30=2,1,0),IF($X30&lt;30,1,0))</formula>
    </cfRule>
    <cfRule type="expression" priority="755" dxfId="1">
      <formula>AND(IF($Q30=3,1,0),IF($X30&lt;30,1,0))</formula>
    </cfRule>
    <cfRule type="expression" priority="756" dxfId="0">
      <formula>AND(IF($Q30=3,1,IF($Q30=4,1,0)),IF($F30&lt;=85,1,0))</formula>
    </cfRule>
  </conditionalFormatting>
  <conditionalFormatting sqref="AV31">
    <cfRule type="expression" priority="751" dxfId="17">
      <formula>AV31="X"</formula>
    </cfRule>
    <cfRule type="expression" priority="752" dxfId="16">
      <formula>AV31="후보"</formula>
    </cfRule>
  </conditionalFormatting>
  <conditionalFormatting sqref="AC31">
    <cfRule type="cellIs" priority="748" operator="greaterThan" dxfId="13">
      <formula>0.9</formula>
    </cfRule>
    <cfRule type="cellIs" priority="749" operator="greaterThan" dxfId="12">
      <formula>0.85</formula>
    </cfRule>
  </conditionalFormatting>
  <conditionalFormatting sqref="N31">
    <cfRule type="cellIs" priority="746" operator="greaterThan" dxfId="13">
      <formula>0.9</formula>
    </cfRule>
    <cfRule type="cellIs" priority="747" operator="greaterThan" dxfId="12">
      <formula>0.85</formula>
    </cfRule>
  </conditionalFormatting>
  <conditionalFormatting sqref="E31">
    <cfRule type="expression" priority="742" dxfId="3">
      <formula>AND(IF(OR($Q31=1,$Q31=2),1,0),IF($X31&lt;=20,1,0))</formula>
    </cfRule>
    <cfRule type="expression" priority="743" dxfId="2">
      <formula>AND(IF($Q31=2,1,0),IF($X31&lt;30,1,0))</formula>
    </cfRule>
    <cfRule type="expression" priority="744" dxfId="1">
      <formula>AND(IF($Q31=3,1,0),IF($X31&lt;30,1,0))</formula>
    </cfRule>
    <cfRule type="expression" priority="745" dxfId="0">
      <formula>AND(IF($Q31=3,1,IF($Q31=4,1,0)),IF($F31&lt;=85,1,0))</formula>
    </cfRule>
  </conditionalFormatting>
  <conditionalFormatting sqref="X31">
    <cfRule type="expression" priority="738" dxfId="3">
      <formula>AND(IF(OR($Q31=1,$Q31=2),1,0),IF($X31&lt;=20,1,0))</formula>
    </cfRule>
    <cfRule type="expression" priority="739" dxfId="2">
      <formula>AND(IF($Q31=2,1,0),IF($X31&lt;30,1,0))</formula>
    </cfRule>
    <cfRule type="expression" priority="740" dxfId="1">
      <formula>AND(IF($Q31=3,1,0),IF($X31&lt;30,1,0))</formula>
    </cfRule>
    <cfRule type="expression" priority="741" dxfId="0">
      <formula>AND(IF($Q31=3,1,IF($Q31=4,1,0)),IF($F31&lt;=85,1,0))</formula>
    </cfRule>
  </conditionalFormatting>
  <conditionalFormatting sqref="AI31">
    <cfRule type="expression" priority="734" dxfId="3">
      <formula>AND(IF(OR($Q31=1,$Q31=2),1,0),IF($X31&lt;=20,1,0))</formula>
    </cfRule>
    <cfRule type="expression" priority="735" dxfId="2">
      <formula>AND(IF($Q31=2,1,0),IF($X31&lt;30,1,0))</formula>
    </cfRule>
    <cfRule type="expression" priority="736" dxfId="1">
      <formula>AND(IF($Q31=3,1,0),IF($X31&lt;30,1,0))</formula>
    </cfRule>
    <cfRule type="expression" priority="737" dxfId="0">
      <formula>AND(IF($Q31=3,1,IF($Q31=4,1,0)),IF($F31&lt;=85,1,0))</formula>
    </cfRule>
  </conditionalFormatting>
  <conditionalFormatting sqref="AV32">
    <cfRule type="expression" priority="732" dxfId="17">
      <formula>AV32="X"</formula>
    </cfRule>
    <cfRule type="expression" priority="733" dxfId="16">
      <formula>AV32="후보"</formula>
    </cfRule>
  </conditionalFormatting>
  <conditionalFormatting sqref="AC32">
    <cfRule type="cellIs" priority="729" operator="greaterThan" dxfId="13">
      <formula>0.9</formula>
    </cfRule>
    <cfRule type="cellIs" priority="730" operator="greaterThan" dxfId="12">
      <formula>0.85</formula>
    </cfRule>
  </conditionalFormatting>
  <conditionalFormatting sqref="N32">
    <cfRule type="cellIs" priority="727" operator="greaterThan" dxfId="13">
      <formula>0.9</formula>
    </cfRule>
    <cfRule type="cellIs" priority="728" operator="greaterThan" dxfId="12">
      <formula>0.85</formula>
    </cfRule>
  </conditionalFormatting>
  <conditionalFormatting sqref="E32">
    <cfRule type="expression" priority="723" dxfId="3">
      <formula>AND(IF(OR($Q32=1,$Q32=2),1,0),IF($X32&lt;=20,1,0))</formula>
    </cfRule>
    <cfRule type="expression" priority="724" dxfId="2">
      <formula>AND(IF($Q32=2,1,0),IF($X32&lt;30,1,0))</formula>
    </cfRule>
    <cfRule type="expression" priority="725" dxfId="1">
      <formula>AND(IF($Q32=3,1,0),IF($X32&lt;30,1,0))</formula>
    </cfRule>
    <cfRule type="expression" priority="726" dxfId="0">
      <formula>AND(IF($Q32=3,1,IF($Q32=4,1,0)),IF($F32&lt;=85,1,0))</formula>
    </cfRule>
  </conditionalFormatting>
  <conditionalFormatting sqref="X32">
    <cfRule type="expression" priority="719" dxfId="3">
      <formula>AND(IF(OR($Q32=1,$Q32=2),1,0),IF($X32&lt;=20,1,0))</formula>
    </cfRule>
    <cfRule type="expression" priority="720" dxfId="2">
      <formula>AND(IF($Q32=2,1,0),IF($X32&lt;30,1,0))</formula>
    </cfRule>
    <cfRule type="expression" priority="721" dxfId="1">
      <formula>AND(IF($Q32=3,1,0),IF($X32&lt;30,1,0))</formula>
    </cfRule>
    <cfRule type="expression" priority="722" dxfId="0">
      <formula>AND(IF($Q32=3,1,IF($Q32=4,1,0)),IF($F32&lt;=85,1,0))</formula>
    </cfRule>
  </conditionalFormatting>
  <conditionalFormatting sqref="AI32">
    <cfRule type="expression" priority="715" dxfId="3">
      <formula>AND(IF(OR($Q32=1,$Q32=2),1,0),IF($X32&lt;=20,1,0))</formula>
    </cfRule>
    <cfRule type="expression" priority="716" dxfId="2">
      <formula>AND(IF($Q32=2,1,0),IF($X32&lt;30,1,0))</formula>
    </cfRule>
    <cfRule type="expression" priority="717" dxfId="1">
      <formula>AND(IF($Q32=3,1,0),IF($X32&lt;30,1,0))</formula>
    </cfRule>
    <cfRule type="expression" priority="718" dxfId="0">
      <formula>AND(IF($Q32=3,1,IF($Q32=4,1,0)),IF($F32&lt;=85,1,0))</formula>
    </cfRule>
  </conditionalFormatting>
  <conditionalFormatting sqref="AV33">
    <cfRule type="expression" priority="713" dxfId="17">
      <formula>AV33="X"</formula>
    </cfRule>
    <cfRule type="expression" priority="714" dxfId="16">
      <formula>AV33="후보"</formula>
    </cfRule>
  </conditionalFormatting>
  <conditionalFormatting sqref="AC33 N33">
    <cfRule type="cellIs" priority="710" operator="greaterThan" dxfId="13">
      <formula>0.9</formula>
    </cfRule>
    <cfRule type="cellIs" priority="711" operator="greaterThan" dxfId="12">
      <formula>0.85</formula>
    </cfRule>
  </conditionalFormatting>
  <conditionalFormatting sqref="AV34">
    <cfRule type="expression" priority="708" dxfId="17">
      <formula>AV34="X"</formula>
    </cfRule>
    <cfRule type="expression" priority="709" dxfId="16">
      <formula>AV34="후보"</formula>
    </cfRule>
  </conditionalFormatting>
  <conditionalFormatting sqref="AC34">
    <cfRule type="cellIs" priority="705" operator="greaterThan" dxfId="13">
      <formula>0.9</formula>
    </cfRule>
    <cfRule type="cellIs" priority="706" operator="greaterThan" dxfId="12">
      <formula>0.85</formula>
    </cfRule>
  </conditionalFormatting>
  <conditionalFormatting sqref="N34">
    <cfRule type="cellIs" priority="703" operator="greaterThan" dxfId="13">
      <formula>0.9</formula>
    </cfRule>
    <cfRule type="cellIs" priority="704" operator="greaterThan" dxfId="12">
      <formula>0.85</formula>
    </cfRule>
  </conditionalFormatting>
  <conditionalFormatting sqref="E34">
    <cfRule type="expression" priority="699" dxfId="3">
      <formula>AND(IF(OR($Q34=1,$Q34=2),1,0),IF($X34&lt;=20,1,0))</formula>
    </cfRule>
    <cfRule type="expression" priority="700" dxfId="2">
      <formula>AND(IF($Q34=2,1,0),IF($X34&lt;30,1,0))</formula>
    </cfRule>
    <cfRule type="expression" priority="701" dxfId="1">
      <formula>AND(IF($Q34=3,1,0),IF($X34&lt;30,1,0))</formula>
    </cfRule>
    <cfRule type="expression" priority="702" dxfId="0">
      <formula>AND(IF($Q34=3,1,IF($Q34=4,1,0)),IF($F34&lt;=85,1,0))</formula>
    </cfRule>
  </conditionalFormatting>
  <conditionalFormatting sqref="X34">
    <cfRule type="expression" priority="695" dxfId="3">
      <formula>AND(IF(OR($Q34=1,$Q34=2),1,0),IF($X34&lt;=20,1,0))</formula>
    </cfRule>
    <cfRule type="expression" priority="696" dxfId="2">
      <formula>AND(IF($Q34=2,1,0),IF($X34&lt;30,1,0))</formula>
    </cfRule>
    <cfRule type="expression" priority="697" dxfId="1">
      <formula>AND(IF($Q34=3,1,0),IF($X34&lt;30,1,0))</formula>
    </cfRule>
    <cfRule type="expression" priority="698" dxfId="0">
      <formula>AND(IF($Q34=3,1,IF($Q34=4,1,0)),IF($F34&lt;=85,1,0))</formula>
    </cfRule>
  </conditionalFormatting>
  <conditionalFormatting sqref="AI34">
    <cfRule type="expression" priority="691" dxfId="3">
      <formula>AND(IF(OR($Q34=1,$Q34=2),1,0),IF($X34&lt;=20,1,0))</formula>
    </cfRule>
    <cfRule type="expression" priority="692" dxfId="2">
      <formula>AND(IF($Q34=2,1,0),IF($X34&lt;30,1,0))</formula>
    </cfRule>
    <cfRule type="expression" priority="693" dxfId="1">
      <formula>AND(IF($Q34=3,1,0),IF($X34&lt;30,1,0))</formula>
    </cfRule>
    <cfRule type="expression" priority="694" dxfId="0">
      <formula>AND(IF($Q34=3,1,IF($Q34=4,1,0)),IF($F34&lt;=85,1,0))</formula>
    </cfRule>
  </conditionalFormatting>
  <conditionalFormatting sqref="AV35">
    <cfRule type="expression" priority="689" dxfId="17">
      <formula>AV35="X"</formula>
    </cfRule>
    <cfRule type="expression" priority="690" dxfId="16">
      <formula>AV35="후보"</formula>
    </cfRule>
  </conditionalFormatting>
  <conditionalFormatting sqref="AC35">
    <cfRule type="cellIs" priority="686" operator="greaterThan" dxfId="13">
      <formula>0.9</formula>
    </cfRule>
    <cfRule type="cellIs" priority="687" operator="greaterThan" dxfId="12">
      <formula>0.85</formula>
    </cfRule>
  </conditionalFormatting>
  <conditionalFormatting sqref="N35">
    <cfRule type="cellIs" priority="684" operator="greaterThan" dxfId="13">
      <formula>0.9</formula>
    </cfRule>
    <cfRule type="cellIs" priority="685" operator="greaterThan" dxfId="12">
      <formula>0.85</formula>
    </cfRule>
  </conditionalFormatting>
  <conditionalFormatting sqref="E35">
    <cfRule type="expression" priority="680" dxfId="3">
      <formula>AND(IF(OR($Q35=1,$Q35=2),1,0),IF($X35&lt;=20,1,0))</formula>
    </cfRule>
    <cfRule type="expression" priority="681" dxfId="2">
      <formula>AND(IF($Q35=2,1,0),IF($X35&lt;30,1,0))</formula>
    </cfRule>
    <cfRule type="expression" priority="682" dxfId="1">
      <formula>AND(IF($Q35=3,1,0),IF($X35&lt;30,1,0))</formula>
    </cfRule>
    <cfRule type="expression" priority="683" dxfId="0">
      <formula>AND(IF($Q35=3,1,IF($Q35=4,1,0)),IF($F35&lt;=85,1,0))</formula>
    </cfRule>
  </conditionalFormatting>
  <conditionalFormatting sqref="X35">
    <cfRule type="expression" priority="676" dxfId="3">
      <formula>AND(IF(OR($Q35=1,$Q35=2),1,0),IF($X35&lt;=20,1,0))</formula>
    </cfRule>
    <cfRule type="expression" priority="677" dxfId="2">
      <formula>AND(IF($Q35=2,1,0),IF($X35&lt;30,1,0))</formula>
    </cfRule>
    <cfRule type="expression" priority="678" dxfId="1">
      <formula>AND(IF($Q35=3,1,0),IF($X35&lt;30,1,0))</formula>
    </cfRule>
    <cfRule type="expression" priority="679" dxfId="0">
      <formula>AND(IF($Q35=3,1,IF($Q35=4,1,0)),IF($F35&lt;=85,1,0))</formula>
    </cfRule>
  </conditionalFormatting>
  <conditionalFormatting sqref="AI35">
    <cfRule type="expression" priority="672" dxfId="3">
      <formula>AND(IF(OR($Q35=1,$Q35=2),1,0),IF($X35&lt;=20,1,0))</formula>
    </cfRule>
    <cfRule type="expression" priority="673" dxfId="2">
      <formula>AND(IF($Q35=2,1,0),IF($X35&lt;30,1,0))</formula>
    </cfRule>
    <cfRule type="expression" priority="674" dxfId="1">
      <formula>AND(IF($Q35=3,1,0),IF($X35&lt;30,1,0))</formula>
    </cfRule>
    <cfRule type="expression" priority="675" dxfId="0">
      <formula>AND(IF($Q35=3,1,IF($Q35=4,1,0)),IF($F35&lt;=85,1,0))</formula>
    </cfRule>
  </conditionalFormatting>
  <conditionalFormatting sqref="AV36">
    <cfRule type="expression" priority="670" dxfId="17">
      <formula>AV36="X"</formula>
    </cfRule>
    <cfRule type="expression" priority="671" dxfId="16">
      <formula>AV36="후보"</formula>
    </cfRule>
  </conditionalFormatting>
  <conditionalFormatting sqref="AC36">
    <cfRule type="cellIs" priority="667" operator="greaterThan" dxfId="13">
      <formula>0.9</formula>
    </cfRule>
    <cfRule type="cellIs" priority="668" operator="greaterThan" dxfId="12">
      <formula>0.85</formula>
    </cfRule>
  </conditionalFormatting>
  <conditionalFormatting sqref="N36">
    <cfRule type="cellIs" priority="665" operator="greaterThan" dxfId="13">
      <formula>0.9</formula>
    </cfRule>
    <cfRule type="cellIs" priority="666" operator="greaterThan" dxfId="12">
      <formula>0.85</formula>
    </cfRule>
  </conditionalFormatting>
  <conditionalFormatting sqref="E36">
    <cfRule type="expression" priority="661" dxfId="3">
      <formula>AND(IF(OR($Q36=1,$Q36=2),1,0),IF($X36&lt;=20,1,0))</formula>
    </cfRule>
    <cfRule type="expression" priority="662" dxfId="2">
      <formula>AND(IF($Q36=2,1,0),IF($X36&lt;30,1,0))</formula>
    </cfRule>
    <cfRule type="expression" priority="663" dxfId="1">
      <formula>AND(IF($Q36=3,1,0),IF($X36&lt;30,1,0))</formula>
    </cfRule>
    <cfRule type="expression" priority="664" dxfId="0">
      <formula>AND(IF($Q36=3,1,IF($Q36=4,1,0)),IF($F36&lt;=85,1,0))</formula>
    </cfRule>
  </conditionalFormatting>
  <conditionalFormatting sqref="X36">
    <cfRule type="expression" priority="657" dxfId="3">
      <formula>AND(IF(OR($Q36=1,$Q36=2),1,0),IF($X36&lt;=20,1,0))</formula>
    </cfRule>
    <cfRule type="expression" priority="658" dxfId="2">
      <formula>AND(IF($Q36=2,1,0),IF($X36&lt;30,1,0))</formula>
    </cfRule>
    <cfRule type="expression" priority="659" dxfId="1">
      <formula>AND(IF($Q36=3,1,0),IF($X36&lt;30,1,0))</formula>
    </cfRule>
    <cfRule type="expression" priority="660" dxfId="0">
      <formula>AND(IF($Q36=3,1,IF($Q36=4,1,0)),IF($F36&lt;=85,1,0))</formula>
    </cfRule>
  </conditionalFormatting>
  <conditionalFormatting sqref="AI36">
    <cfRule type="expression" priority="653" dxfId="3">
      <formula>AND(IF(OR($Q36=1,$Q36=2),1,0),IF($X36&lt;=20,1,0))</formula>
    </cfRule>
    <cfRule type="expression" priority="654" dxfId="2">
      <formula>AND(IF($Q36=2,1,0),IF($X36&lt;30,1,0))</formula>
    </cfRule>
    <cfRule type="expression" priority="655" dxfId="1">
      <formula>AND(IF($Q36=3,1,0),IF($X36&lt;30,1,0))</formula>
    </cfRule>
    <cfRule type="expression" priority="656" dxfId="0">
      <formula>AND(IF($Q36=3,1,IF($Q36=4,1,0)),IF($F36&lt;=85,1,0))</formula>
    </cfRule>
  </conditionalFormatting>
  <conditionalFormatting sqref="AV37">
    <cfRule type="expression" priority="651" dxfId="17">
      <formula>AV37="X"</formula>
    </cfRule>
    <cfRule type="expression" priority="652" dxfId="16">
      <formula>AV37="후보"</formula>
    </cfRule>
  </conditionalFormatting>
  <conditionalFormatting sqref="AC37">
    <cfRule type="cellIs" priority="648" operator="greaterThan" dxfId="13">
      <formula>0.9</formula>
    </cfRule>
    <cfRule type="cellIs" priority="649" operator="greaterThan" dxfId="12">
      <formula>0.85</formula>
    </cfRule>
  </conditionalFormatting>
  <conditionalFormatting sqref="N37">
    <cfRule type="cellIs" priority="646" operator="greaterThan" dxfId="13">
      <formula>0.9</formula>
    </cfRule>
    <cfRule type="cellIs" priority="647" operator="greaterThan" dxfId="12">
      <formula>0.85</formula>
    </cfRule>
  </conditionalFormatting>
  <conditionalFormatting sqref="E37">
    <cfRule type="expression" priority="642" dxfId="3">
      <formula>AND(IF(OR($Q37=1,$Q37=2),1,0),IF($X37&lt;=20,1,0))</formula>
    </cfRule>
    <cfRule type="expression" priority="643" dxfId="2">
      <formula>AND(IF($Q37=2,1,0),IF($X37&lt;30,1,0))</formula>
    </cfRule>
    <cfRule type="expression" priority="644" dxfId="1">
      <formula>AND(IF($Q37=3,1,0),IF($X37&lt;30,1,0))</formula>
    </cfRule>
    <cfRule type="expression" priority="645" dxfId="0">
      <formula>AND(IF($Q37=3,1,IF($Q37=4,1,0)),IF($F37&lt;=85,1,0))</formula>
    </cfRule>
  </conditionalFormatting>
  <conditionalFormatting sqref="X37">
    <cfRule type="expression" priority="638" dxfId="3">
      <formula>AND(IF(OR($Q37=1,$Q37=2),1,0),IF($X37&lt;=20,1,0))</formula>
    </cfRule>
    <cfRule type="expression" priority="639" dxfId="2">
      <formula>AND(IF($Q37=2,1,0),IF($X37&lt;30,1,0))</formula>
    </cfRule>
    <cfRule type="expression" priority="640" dxfId="1">
      <formula>AND(IF($Q37=3,1,0),IF($X37&lt;30,1,0))</formula>
    </cfRule>
    <cfRule type="expression" priority="641" dxfId="0">
      <formula>AND(IF($Q37=3,1,IF($Q37=4,1,0)),IF($F37&lt;=85,1,0))</formula>
    </cfRule>
  </conditionalFormatting>
  <conditionalFormatting sqref="AI37">
    <cfRule type="expression" priority="634" dxfId="3">
      <formula>AND(IF(OR($Q37=1,$Q37=2),1,0),IF($X37&lt;=20,1,0))</formula>
    </cfRule>
    <cfRule type="expression" priority="635" dxfId="2">
      <formula>AND(IF($Q37=2,1,0),IF($X37&lt;30,1,0))</formula>
    </cfRule>
    <cfRule type="expression" priority="636" dxfId="1">
      <formula>AND(IF($Q37=3,1,0),IF($X37&lt;30,1,0))</formula>
    </cfRule>
    <cfRule type="expression" priority="637" dxfId="0">
      <formula>AND(IF($Q37=3,1,IF($Q37=4,1,0)),IF($F37&lt;=85,1,0))</formula>
    </cfRule>
  </conditionalFormatting>
  <conditionalFormatting sqref="AV38">
    <cfRule type="expression" priority="632" dxfId="17">
      <formula>AV38="X"</formula>
    </cfRule>
    <cfRule type="expression" priority="633" dxfId="16">
      <formula>AV38="후보"</formula>
    </cfRule>
  </conditionalFormatting>
  <conditionalFormatting sqref="AC38">
    <cfRule type="cellIs" priority="629" operator="greaterThan" dxfId="13">
      <formula>0.9</formula>
    </cfRule>
    <cfRule type="cellIs" priority="630" operator="greaterThan" dxfId="12">
      <formula>0.85</formula>
    </cfRule>
  </conditionalFormatting>
  <conditionalFormatting sqref="N38">
    <cfRule type="cellIs" priority="627" operator="greaterThan" dxfId="13">
      <formula>0.9</formula>
    </cfRule>
    <cfRule type="cellIs" priority="628" operator="greaterThan" dxfId="12">
      <formula>0.85</formula>
    </cfRule>
  </conditionalFormatting>
  <conditionalFormatting sqref="E38">
    <cfRule type="expression" priority="623" dxfId="3">
      <formula>AND(IF(OR($Q38=1,$Q38=2),1,0),IF($X38&lt;=20,1,0))</formula>
    </cfRule>
    <cfRule type="expression" priority="624" dxfId="2">
      <formula>AND(IF($Q38=2,1,0),IF($X38&lt;30,1,0))</formula>
    </cfRule>
    <cfRule type="expression" priority="625" dxfId="1">
      <formula>AND(IF($Q38=3,1,0),IF($X38&lt;30,1,0))</formula>
    </cfRule>
    <cfRule type="expression" priority="626" dxfId="0">
      <formula>AND(IF($Q38=3,1,IF($Q38=4,1,0)),IF($F38&lt;=85,1,0))</formula>
    </cfRule>
  </conditionalFormatting>
  <conditionalFormatting sqref="X38">
    <cfRule type="expression" priority="619" dxfId="3">
      <formula>AND(IF(OR($Q38=1,$Q38=2),1,0),IF($X38&lt;=20,1,0))</formula>
    </cfRule>
    <cfRule type="expression" priority="620" dxfId="2">
      <formula>AND(IF($Q38=2,1,0),IF($X38&lt;30,1,0))</formula>
    </cfRule>
    <cfRule type="expression" priority="621" dxfId="1">
      <formula>AND(IF($Q38=3,1,0),IF($X38&lt;30,1,0))</formula>
    </cfRule>
    <cfRule type="expression" priority="622" dxfId="0">
      <formula>AND(IF($Q38=3,1,IF($Q38=4,1,0)),IF($F38&lt;=85,1,0))</formula>
    </cfRule>
  </conditionalFormatting>
  <conditionalFormatting sqref="AI38">
    <cfRule type="expression" priority="615" dxfId="3">
      <formula>AND(IF(OR($Q38=1,$Q38=2),1,0),IF($X38&lt;=20,1,0))</formula>
    </cfRule>
    <cfRule type="expression" priority="616" dxfId="2">
      <formula>AND(IF($Q38=2,1,0),IF($X38&lt;30,1,0))</formula>
    </cfRule>
    <cfRule type="expression" priority="617" dxfId="1">
      <formula>AND(IF($Q38=3,1,0),IF($X38&lt;30,1,0))</formula>
    </cfRule>
    <cfRule type="expression" priority="618" dxfId="0">
      <formula>AND(IF($Q38=3,1,IF($Q38=4,1,0)),IF($F38&lt;=85,1,0))</formula>
    </cfRule>
  </conditionalFormatting>
  <conditionalFormatting sqref="AV39">
    <cfRule type="expression" priority="613" dxfId="17">
      <formula>AV39="X"</formula>
    </cfRule>
    <cfRule type="expression" priority="614" dxfId="16">
      <formula>AV39="후보"</formula>
    </cfRule>
  </conditionalFormatting>
  <conditionalFormatting sqref="AC39">
    <cfRule type="cellIs" priority="610" operator="greaterThan" dxfId="13">
      <formula>0.9</formula>
    </cfRule>
    <cfRule type="cellIs" priority="611" operator="greaterThan" dxfId="12">
      <formula>0.85</formula>
    </cfRule>
  </conditionalFormatting>
  <conditionalFormatting sqref="N39">
    <cfRule type="cellIs" priority="608" operator="greaterThan" dxfId="13">
      <formula>0.9</formula>
    </cfRule>
    <cfRule type="cellIs" priority="609" operator="greaterThan" dxfId="12">
      <formula>0.85</formula>
    </cfRule>
  </conditionalFormatting>
  <conditionalFormatting sqref="E39">
    <cfRule type="expression" priority="604" dxfId="3">
      <formula>AND(IF(OR($Q39=1,$Q39=2),1,0),IF($X39&lt;=20,1,0))</formula>
    </cfRule>
    <cfRule type="expression" priority="605" dxfId="2">
      <formula>AND(IF($Q39=2,1,0),IF($X39&lt;30,1,0))</formula>
    </cfRule>
    <cfRule type="expression" priority="606" dxfId="1">
      <formula>AND(IF($Q39=3,1,0),IF($X39&lt;30,1,0))</formula>
    </cfRule>
    <cfRule type="expression" priority="607" dxfId="0">
      <formula>AND(IF($Q39=3,1,IF($Q39=4,1,0)),IF($F39&lt;=85,1,0))</formula>
    </cfRule>
  </conditionalFormatting>
  <conditionalFormatting sqref="X39">
    <cfRule type="expression" priority="600" dxfId="3">
      <formula>AND(IF(OR($Q39=1,$Q39=2),1,0),IF($X39&lt;=20,1,0))</formula>
    </cfRule>
    <cfRule type="expression" priority="601" dxfId="2">
      <formula>AND(IF($Q39=2,1,0),IF($X39&lt;30,1,0))</formula>
    </cfRule>
    <cfRule type="expression" priority="602" dxfId="1">
      <formula>AND(IF($Q39=3,1,0),IF($X39&lt;30,1,0))</formula>
    </cfRule>
    <cfRule type="expression" priority="603" dxfId="0">
      <formula>AND(IF($Q39=3,1,IF($Q39=4,1,0)),IF($F39&lt;=85,1,0))</formula>
    </cfRule>
  </conditionalFormatting>
  <conditionalFormatting sqref="AI39">
    <cfRule type="expression" priority="596" dxfId="3">
      <formula>AND(IF(OR($Q39=1,$Q39=2),1,0),IF($X39&lt;=20,1,0))</formula>
    </cfRule>
    <cfRule type="expression" priority="597" dxfId="2">
      <formula>AND(IF($Q39=2,1,0),IF($X39&lt;30,1,0))</formula>
    </cfRule>
    <cfRule type="expression" priority="598" dxfId="1">
      <formula>AND(IF($Q39=3,1,0),IF($X39&lt;30,1,0))</formula>
    </cfRule>
    <cfRule type="expression" priority="599" dxfId="0">
      <formula>AND(IF($Q39=3,1,IF($Q39=4,1,0)),IF($F39&lt;=85,1,0))</formula>
    </cfRule>
  </conditionalFormatting>
  <conditionalFormatting sqref="AV40">
    <cfRule type="expression" priority="594" dxfId="17">
      <formula>AV40="X"</formula>
    </cfRule>
    <cfRule type="expression" priority="595" dxfId="16">
      <formula>AV40="후보"</formula>
    </cfRule>
  </conditionalFormatting>
  <conditionalFormatting sqref="AC40">
    <cfRule type="cellIs" priority="591" operator="greaterThan" dxfId="13">
      <formula>0.9</formula>
    </cfRule>
    <cfRule type="cellIs" priority="592" operator="greaterThan" dxfId="12">
      <formula>0.85</formula>
    </cfRule>
  </conditionalFormatting>
  <conditionalFormatting sqref="N40">
    <cfRule type="cellIs" priority="589" operator="greaterThan" dxfId="13">
      <formula>0.9</formula>
    </cfRule>
    <cfRule type="cellIs" priority="590" operator="greaterThan" dxfId="12">
      <formula>0.85</formula>
    </cfRule>
  </conditionalFormatting>
  <conditionalFormatting sqref="E40">
    <cfRule type="expression" priority="585" dxfId="3">
      <formula>AND(IF(OR($Q40=1,$Q40=2),1,0),IF($X40&lt;=20,1,0))</formula>
    </cfRule>
    <cfRule type="expression" priority="586" dxfId="2">
      <formula>AND(IF($Q40=2,1,0),IF($X40&lt;30,1,0))</formula>
    </cfRule>
    <cfRule type="expression" priority="587" dxfId="1">
      <formula>AND(IF($Q40=3,1,0),IF($X40&lt;30,1,0))</formula>
    </cfRule>
    <cfRule type="expression" priority="588" dxfId="0">
      <formula>AND(IF($Q40=3,1,IF($Q40=4,1,0)),IF($F40&lt;=85,1,0))</formula>
    </cfRule>
  </conditionalFormatting>
  <conditionalFormatting sqref="X40">
    <cfRule type="expression" priority="581" dxfId="3">
      <formula>AND(IF(OR($Q40=1,$Q40=2),1,0),IF($X40&lt;=20,1,0))</formula>
    </cfRule>
    <cfRule type="expression" priority="582" dxfId="2">
      <formula>AND(IF($Q40=2,1,0),IF($X40&lt;30,1,0))</formula>
    </cfRule>
    <cfRule type="expression" priority="583" dxfId="1">
      <formula>AND(IF($Q40=3,1,0),IF($X40&lt;30,1,0))</formula>
    </cfRule>
    <cfRule type="expression" priority="584" dxfId="0">
      <formula>AND(IF($Q40=3,1,IF($Q40=4,1,0)),IF($F40&lt;=85,1,0))</formula>
    </cfRule>
  </conditionalFormatting>
  <conditionalFormatting sqref="AI40">
    <cfRule type="expression" priority="577" dxfId="3">
      <formula>AND(IF(OR($Q40=1,$Q40=2),1,0),IF($X40&lt;=20,1,0))</formula>
    </cfRule>
    <cfRule type="expression" priority="578" dxfId="2">
      <formula>AND(IF($Q40=2,1,0),IF($X40&lt;30,1,0))</formula>
    </cfRule>
    <cfRule type="expression" priority="579" dxfId="1">
      <formula>AND(IF($Q40=3,1,0),IF($X40&lt;30,1,0))</formula>
    </cfRule>
    <cfRule type="expression" priority="580" dxfId="0">
      <formula>AND(IF($Q40=3,1,IF($Q40=4,1,0)),IF($F40&lt;=85,1,0))</formula>
    </cfRule>
  </conditionalFormatting>
  <conditionalFormatting sqref="AV41">
    <cfRule type="expression" priority="575" dxfId="17">
      <formula>AV41="X"</formula>
    </cfRule>
    <cfRule type="expression" priority="576" dxfId="16">
      <formula>AV41="후보"</formula>
    </cfRule>
  </conditionalFormatting>
  <conditionalFormatting sqref="AC41">
    <cfRule type="cellIs" priority="572" operator="greaterThan" dxfId="13">
      <formula>0.9</formula>
    </cfRule>
    <cfRule type="cellIs" priority="573" operator="greaterThan" dxfId="12">
      <formula>0.85</formula>
    </cfRule>
  </conditionalFormatting>
  <conditionalFormatting sqref="N41">
    <cfRule type="cellIs" priority="570" operator="greaterThan" dxfId="13">
      <formula>0.9</formula>
    </cfRule>
    <cfRule type="cellIs" priority="571" operator="greaterThan" dxfId="12">
      <formula>0.85</formula>
    </cfRule>
  </conditionalFormatting>
  <conditionalFormatting sqref="E41">
    <cfRule type="expression" priority="566" dxfId="3">
      <formula>AND(IF(OR($Q41=1,$Q41=2),1,0),IF($X41&lt;=20,1,0))</formula>
    </cfRule>
    <cfRule type="expression" priority="567" dxfId="2">
      <formula>AND(IF($Q41=2,1,0),IF($X41&lt;30,1,0))</formula>
    </cfRule>
    <cfRule type="expression" priority="568" dxfId="1">
      <formula>AND(IF($Q41=3,1,0),IF($X41&lt;30,1,0))</formula>
    </cfRule>
    <cfRule type="expression" priority="569" dxfId="0">
      <formula>AND(IF($Q41=3,1,IF($Q41=4,1,0)),IF($F41&lt;=85,1,0))</formula>
    </cfRule>
  </conditionalFormatting>
  <conditionalFormatting sqref="X41">
    <cfRule type="expression" priority="562" dxfId="3">
      <formula>AND(IF(OR($Q41=1,$Q41=2),1,0),IF($X41&lt;=20,1,0))</formula>
    </cfRule>
    <cfRule type="expression" priority="563" dxfId="2">
      <formula>AND(IF($Q41=2,1,0),IF($X41&lt;30,1,0))</formula>
    </cfRule>
    <cfRule type="expression" priority="564" dxfId="1">
      <formula>AND(IF($Q41=3,1,0),IF($X41&lt;30,1,0))</formula>
    </cfRule>
    <cfRule type="expression" priority="565" dxfId="0">
      <formula>AND(IF($Q41=3,1,IF($Q41=4,1,0)),IF($F41&lt;=85,1,0))</formula>
    </cfRule>
  </conditionalFormatting>
  <conditionalFormatting sqref="AI41">
    <cfRule type="expression" priority="558" dxfId="3">
      <formula>AND(IF(OR($Q41=1,$Q41=2),1,0),IF($X41&lt;=20,1,0))</formula>
    </cfRule>
    <cfRule type="expression" priority="559" dxfId="2">
      <formula>AND(IF($Q41=2,1,0),IF($X41&lt;30,1,0))</formula>
    </cfRule>
    <cfRule type="expression" priority="560" dxfId="1">
      <formula>AND(IF($Q41=3,1,0),IF($X41&lt;30,1,0))</formula>
    </cfRule>
    <cfRule type="expression" priority="561" dxfId="0">
      <formula>AND(IF($Q41=3,1,IF($Q41=4,1,0)),IF($F41&lt;=85,1,0))</formula>
    </cfRule>
  </conditionalFormatting>
  <conditionalFormatting sqref="AV42">
    <cfRule type="expression" priority="556" dxfId="17">
      <formula>AV42="X"</formula>
    </cfRule>
    <cfRule type="expression" priority="557" dxfId="16">
      <formula>AV42="후보"</formula>
    </cfRule>
  </conditionalFormatting>
  <conditionalFormatting sqref="AC42 N42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AV43">
    <cfRule type="expression" priority="551" dxfId="17">
      <formula>AV43="X"</formula>
    </cfRule>
    <cfRule type="expression" priority="552" dxfId="16">
      <formula>AV43="후보"</formula>
    </cfRule>
  </conditionalFormatting>
  <conditionalFormatting sqref="AC43">
    <cfRule type="cellIs" priority="548" operator="greaterThan" dxfId="13">
      <formula>0.9</formula>
    </cfRule>
    <cfRule type="cellIs" priority="549" operator="greaterThan" dxfId="12">
      <formula>0.85</formula>
    </cfRule>
  </conditionalFormatting>
  <conditionalFormatting sqref="N43">
    <cfRule type="cellIs" priority="546" operator="greaterThan" dxfId="13">
      <formula>0.9</formula>
    </cfRule>
    <cfRule type="cellIs" priority="547" operator="greaterThan" dxfId="12">
      <formula>0.85</formula>
    </cfRule>
  </conditionalFormatting>
  <conditionalFormatting sqref="E43">
    <cfRule type="expression" priority="542" dxfId="3">
      <formula>AND(IF(OR($Q43=1,$Q43=2),1,0),IF($X43&lt;=20,1,0))</formula>
    </cfRule>
    <cfRule type="expression" priority="543" dxfId="2">
      <formula>AND(IF($Q43=2,1,0),IF($X43&lt;30,1,0))</formula>
    </cfRule>
    <cfRule type="expression" priority="544" dxfId="1">
      <formula>AND(IF($Q43=3,1,0),IF($X43&lt;30,1,0))</formula>
    </cfRule>
    <cfRule type="expression" priority="545" dxfId="0">
      <formula>AND(IF($Q43=3,1,IF($Q43=4,1,0)),IF($F43&lt;=85,1,0))</formula>
    </cfRule>
  </conditionalFormatting>
  <conditionalFormatting sqref="X43">
    <cfRule type="expression" priority="538" dxfId="3">
      <formula>AND(IF(OR($Q43=1,$Q43=2),1,0),IF($X43&lt;=20,1,0))</formula>
    </cfRule>
    <cfRule type="expression" priority="539" dxfId="2">
      <formula>AND(IF($Q43=2,1,0),IF($X43&lt;30,1,0))</formula>
    </cfRule>
    <cfRule type="expression" priority="540" dxfId="1">
      <formula>AND(IF($Q43=3,1,0),IF($X43&lt;30,1,0))</formula>
    </cfRule>
    <cfRule type="expression" priority="541" dxfId="0">
      <formula>AND(IF($Q43=3,1,IF($Q43=4,1,0)),IF($F43&lt;=85,1,0))</formula>
    </cfRule>
  </conditionalFormatting>
  <conditionalFormatting sqref="AI43">
    <cfRule type="expression" priority="534" dxfId="3">
      <formula>AND(IF(OR($Q43=1,$Q43=2),1,0),IF($X43&lt;=20,1,0))</formula>
    </cfRule>
    <cfRule type="expression" priority="535" dxfId="2">
      <formula>AND(IF($Q43=2,1,0),IF($X43&lt;30,1,0))</formula>
    </cfRule>
    <cfRule type="expression" priority="536" dxfId="1">
      <formula>AND(IF($Q43=3,1,0),IF($X43&lt;30,1,0))</formula>
    </cfRule>
    <cfRule type="expression" priority="537" dxfId="0">
      <formula>AND(IF($Q43=3,1,IF($Q43=4,1,0)),IF($F43&lt;=85,1,0))</formula>
    </cfRule>
  </conditionalFormatting>
  <conditionalFormatting sqref="AV44">
    <cfRule type="expression" priority="532" dxfId="17">
      <formula>AV44="X"</formula>
    </cfRule>
    <cfRule type="expression" priority="533" dxfId="16">
      <formula>AV44="후보"</formula>
    </cfRule>
  </conditionalFormatting>
  <conditionalFormatting sqref="AC44">
    <cfRule type="cellIs" priority="529" operator="greaterThan" dxfId="13">
      <formula>0.9</formula>
    </cfRule>
    <cfRule type="cellIs" priority="530" operator="greaterThan" dxfId="12">
      <formula>0.85</formula>
    </cfRule>
  </conditionalFormatting>
  <conditionalFormatting sqref="N44">
    <cfRule type="cellIs" priority="527" operator="greaterThan" dxfId="13">
      <formula>0.9</formula>
    </cfRule>
    <cfRule type="cellIs" priority="528" operator="greaterThan" dxfId="12">
      <formula>0.85</formula>
    </cfRule>
  </conditionalFormatting>
  <conditionalFormatting sqref="E44">
    <cfRule type="expression" priority="523" dxfId="3">
      <formula>AND(IF(OR($Q44=1,$Q44=2),1,0),IF($X44&lt;=20,1,0))</formula>
    </cfRule>
    <cfRule type="expression" priority="524" dxfId="2">
      <formula>AND(IF($Q44=2,1,0),IF($X44&lt;30,1,0))</formula>
    </cfRule>
    <cfRule type="expression" priority="525" dxfId="1">
      <formula>AND(IF($Q44=3,1,0),IF($X44&lt;30,1,0))</formula>
    </cfRule>
    <cfRule type="expression" priority="526" dxfId="0">
      <formula>AND(IF($Q44=3,1,IF($Q44=4,1,0)),IF($F44&lt;=85,1,0))</formula>
    </cfRule>
  </conditionalFormatting>
  <conditionalFormatting sqref="X44">
    <cfRule type="expression" priority="519" dxfId="3">
      <formula>AND(IF(OR($Q44=1,$Q44=2),1,0),IF($X44&lt;=20,1,0))</formula>
    </cfRule>
    <cfRule type="expression" priority="520" dxfId="2">
      <formula>AND(IF($Q44=2,1,0),IF($X44&lt;30,1,0))</formula>
    </cfRule>
    <cfRule type="expression" priority="521" dxfId="1">
      <formula>AND(IF($Q44=3,1,0),IF($X44&lt;30,1,0))</formula>
    </cfRule>
    <cfRule type="expression" priority="522" dxfId="0">
      <formula>AND(IF($Q44=3,1,IF($Q44=4,1,0)),IF($F44&lt;=85,1,0))</formula>
    </cfRule>
  </conditionalFormatting>
  <conditionalFormatting sqref="AI44">
    <cfRule type="expression" priority="515" dxfId="3">
      <formula>AND(IF(OR($Q44=1,$Q44=2),1,0),IF($X44&lt;=20,1,0))</formula>
    </cfRule>
    <cfRule type="expression" priority="516" dxfId="2">
      <formula>AND(IF($Q44=2,1,0),IF($X44&lt;30,1,0))</formula>
    </cfRule>
    <cfRule type="expression" priority="517" dxfId="1">
      <formula>AND(IF($Q44=3,1,0),IF($X44&lt;30,1,0))</formula>
    </cfRule>
    <cfRule type="expression" priority="518" dxfId="0">
      <formula>AND(IF($Q44=3,1,IF($Q44=4,1,0)),IF($F44&lt;=85,1,0))</formula>
    </cfRule>
  </conditionalFormatting>
  <conditionalFormatting sqref="AV45">
    <cfRule type="expression" priority="513" dxfId="17">
      <formula>AV45="X"</formula>
    </cfRule>
    <cfRule type="expression" priority="514" dxfId="16">
      <formula>AV45="후보"</formula>
    </cfRule>
  </conditionalFormatting>
  <conditionalFormatting sqref="AC45 N45">
    <cfRule type="cellIs" priority="510" operator="greaterThan" dxfId="13">
      <formula>0.9</formula>
    </cfRule>
    <cfRule type="cellIs" priority="511" operator="greaterThan" dxfId="12">
      <formula>0.85</formula>
    </cfRule>
  </conditionalFormatting>
  <conditionalFormatting sqref="AV46">
    <cfRule type="expression" priority="508" dxfId="17">
      <formula>AV46="X"</formula>
    </cfRule>
    <cfRule type="expression" priority="509" dxfId="16">
      <formula>AV46="후보"</formula>
    </cfRule>
  </conditionalFormatting>
  <conditionalFormatting sqref="AC46">
    <cfRule type="cellIs" priority="505" operator="greaterThan" dxfId="13">
      <formula>0.9</formula>
    </cfRule>
    <cfRule type="cellIs" priority="506" operator="greaterThan" dxfId="12">
      <formula>0.85</formula>
    </cfRule>
  </conditionalFormatting>
  <conditionalFormatting sqref="N46">
    <cfRule type="cellIs" priority="503" operator="greaterThan" dxfId="13">
      <formula>0.9</formula>
    </cfRule>
    <cfRule type="cellIs" priority="504" operator="greaterThan" dxfId="12">
      <formula>0.85</formula>
    </cfRule>
  </conditionalFormatting>
  <conditionalFormatting sqref="E46">
    <cfRule type="expression" priority="499" dxfId="3">
      <formula>AND(IF(OR($Q46=1,$Q46=2),1,0),IF($X46&lt;=20,1,0))</formula>
    </cfRule>
    <cfRule type="expression" priority="500" dxfId="2">
      <formula>AND(IF($Q46=2,1,0),IF($X46&lt;30,1,0))</formula>
    </cfRule>
    <cfRule type="expression" priority="501" dxfId="1">
      <formula>AND(IF($Q46=3,1,0),IF($X46&lt;30,1,0))</formula>
    </cfRule>
    <cfRule type="expression" priority="502" dxfId="0">
      <formula>AND(IF($Q46=3,1,IF($Q46=4,1,0)),IF($F46&lt;=85,1,0))</formula>
    </cfRule>
  </conditionalFormatting>
  <conditionalFormatting sqref="X46">
    <cfRule type="expression" priority="495" dxfId="3">
      <formula>AND(IF(OR($Q46=1,$Q46=2),1,0),IF($X46&lt;=20,1,0))</formula>
    </cfRule>
    <cfRule type="expression" priority="496" dxfId="2">
      <formula>AND(IF($Q46=2,1,0),IF($X46&lt;30,1,0))</formula>
    </cfRule>
    <cfRule type="expression" priority="497" dxfId="1">
      <formula>AND(IF($Q46=3,1,0),IF($X46&lt;30,1,0))</formula>
    </cfRule>
    <cfRule type="expression" priority="498" dxfId="0">
      <formula>AND(IF($Q46=3,1,IF($Q46=4,1,0)),IF($F46&lt;=85,1,0))</formula>
    </cfRule>
  </conditionalFormatting>
  <conditionalFormatting sqref="AI46">
    <cfRule type="expression" priority="491" dxfId="3">
      <formula>AND(IF(OR($Q46=1,$Q46=2),1,0),IF($X46&lt;=20,1,0))</formula>
    </cfRule>
    <cfRule type="expression" priority="492" dxfId="2">
      <formula>AND(IF($Q46=2,1,0),IF($X46&lt;30,1,0))</formula>
    </cfRule>
    <cfRule type="expression" priority="493" dxfId="1">
      <formula>AND(IF($Q46=3,1,0),IF($X46&lt;30,1,0))</formula>
    </cfRule>
    <cfRule type="expression" priority="494" dxfId="0">
      <formula>AND(IF($Q46=3,1,IF($Q46=4,1,0)),IF($F46&lt;=85,1,0))</formula>
    </cfRule>
  </conditionalFormatting>
  <conditionalFormatting sqref="AV47">
    <cfRule type="expression" priority="489" dxfId="17">
      <formula>AV47="X"</formula>
    </cfRule>
    <cfRule type="expression" priority="490" dxfId="16">
      <formula>AV47="후보"</formula>
    </cfRule>
  </conditionalFormatting>
  <conditionalFormatting sqref="AC47">
    <cfRule type="cellIs" priority="486" operator="greaterThan" dxfId="13">
      <formula>0.9</formula>
    </cfRule>
    <cfRule type="cellIs" priority="487" operator="greaterThan" dxfId="12">
      <formula>0.85</formula>
    </cfRule>
  </conditionalFormatting>
  <conditionalFormatting sqref="N47">
    <cfRule type="cellIs" priority="484" operator="greaterThan" dxfId="13">
      <formula>0.9</formula>
    </cfRule>
    <cfRule type="cellIs" priority="485" operator="greaterThan" dxfId="12">
      <formula>0.85</formula>
    </cfRule>
  </conditionalFormatting>
  <conditionalFormatting sqref="E47">
    <cfRule type="expression" priority="480" dxfId="3">
      <formula>AND(IF(OR($Q47=1,$Q47=2),1,0),IF($X47&lt;=20,1,0))</formula>
    </cfRule>
    <cfRule type="expression" priority="481" dxfId="2">
      <formula>AND(IF($Q47=2,1,0),IF($X47&lt;30,1,0))</formula>
    </cfRule>
    <cfRule type="expression" priority="482" dxfId="1">
      <formula>AND(IF($Q47=3,1,0),IF($X47&lt;30,1,0))</formula>
    </cfRule>
    <cfRule type="expression" priority="483" dxfId="0">
      <formula>AND(IF($Q47=3,1,IF($Q47=4,1,0)),IF($F47&lt;=85,1,0))</formula>
    </cfRule>
  </conditionalFormatting>
  <conditionalFormatting sqref="X47">
    <cfRule type="expression" priority="476" dxfId="3">
      <formula>AND(IF(OR($Q47=1,$Q47=2),1,0),IF($X47&lt;=20,1,0))</formula>
    </cfRule>
    <cfRule type="expression" priority="477" dxfId="2">
      <formula>AND(IF($Q47=2,1,0),IF($X47&lt;30,1,0))</formula>
    </cfRule>
    <cfRule type="expression" priority="478" dxfId="1">
      <formula>AND(IF($Q47=3,1,0),IF($X47&lt;30,1,0))</formula>
    </cfRule>
    <cfRule type="expression" priority="479" dxfId="0">
      <formula>AND(IF($Q47=3,1,IF($Q47=4,1,0)),IF($F47&lt;=85,1,0))</formula>
    </cfRule>
  </conditionalFormatting>
  <conditionalFormatting sqref="AI47">
    <cfRule type="expression" priority="472" dxfId="3">
      <formula>AND(IF(OR($Q47=1,$Q47=2),1,0),IF($X47&lt;=20,1,0))</formula>
    </cfRule>
    <cfRule type="expression" priority="473" dxfId="2">
      <formula>AND(IF($Q47=2,1,0),IF($X47&lt;30,1,0))</formula>
    </cfRule>
    <cfRule type="expression" priority="474" dxfId="1">
      <formula>AND(IF($Q47=3,1,0),IF($X47&lt;30,1,0))</formula>
    </cfRule>
    <cfRule type="expression" priority="475" dxfId="0">
      <formula>AND(IF($Q47=3,1,IF($Q47=4,1,0)),IF($F47&lt;=85,1,0))</formula>
    </cfRule>
  </conditionalFormatting>
  <conditionalFormatting sqref="AV48">
    <cfRule type="expression" priority="470" dxfId="17">
      <formula>AV48="X"</formula>
    </cfRule>
    <cfRule type="expression" priority="471" dxfId="16">
      <formula>AV48="후보"</formula>
    </cfRule>
  </conditionalFormatting>
  <conditionalFormatting sqref="AC48">
    <cfRule type="cellIs" priority="467" operator="greaterThan" dxfId="13">
      <formula>0.9</formula>
    </cfRule>
    <cfRule type="cellIs" priority="468" operator="greaterThan" dxfId="12">
      <formula>0.85</formula>
    </cfRule>
  </conditionalFormatting>
  <conditionalFormatting sqref="N48">
    <cfRule type="cellIs" priority="465" operator="greaterThan" dxfId="13">
      <formula>0.9</formula>
    </cfRule>
    <cfRule type="cellIs" priority="466" operator="greaterThan" dxfId="12">
      <formula>0.85</formula>
    </cfRule>
  </conditionalFormatting>
  <conditionalFormatting sqref="E48">
    <cfRule type="expression" priority="461" dxfId="3">
      <formula>AND(IF(OR($Q48=1,$Q48=2),1,0),IF($X48&lt;=20,1,0))</formula>
    </cfRule>
    <cfRule type="expression" priority="462" dxfId="2">
      <formula>AND(IF($Q48=2,1,0),IF($X48&lt;30,1,0))</formula>
    </cfRule>
    <cfRule type="expression" priority="463" dxfId="1">
      <formula>AND(IF($Q48=3,1,0),IF($X48&lt;30,1,0))</formula>
    </cfRule>
    <cfRule type="expression" priority="464" dxfId="0">
      <formula>AND(IF($Q48=3,1,IF($Q48=4,1,0)),IF($F48&lt;=85,1,0))</formula>
    </cfRule>
  </conditionalFormatting>
  <conditionalFormatting sqref="X48">
    <cfRule type="expression" priority="457" dxfId="3">
      <formula>AND(IF(OR($Q48=1,$Q48=2),1,0),IF($X48&lt;=20,1,0))</formula>
    </cfRule>
    <cfRule type="expression" priority="458" dxfId="2">
      <formula>AND(IF($Q48=2,1,0),IF($X48&lt;30,1,0))</formula>
    </cfRule>
    <cfRule type="expression" priority="459" dxfId="1">
      <formula>AND(IF($Q48=3,1,0),IF($X48&lt;30,1,0))</formula>
    </cfRule>
    <cfRule type="expression" priority="460" dxfId="0">
      <formula>AND(IF($Q48=3,1,IF($Q48=4,1,0)),IF($F48&lt;=85,1,0))</formula>
    </cfRule>
  </conditionalFormatting>
  <conditionalFormatting sqref="AI48">
    <cfRule type="expression" priority="453" dxfId="3">
      <formula>AND(IF(OR($Q48=1,$Q48=2),1,0),IF($X48&lt;=20,1,0))</formula>
    </cfRule>
    <cfRule type="expression" priority="454" dxfId="2">
      <formula>AND(IF($Q48=2,1,0),IF($X48&lt;30,1,0))</formula>
    </cfRule>
    <cfRule type="expression" priority="455" dxfId="1">
      <formula>AND(IF($Q48=3,1,0),IF($X48&lt;30,1,0))</formula>
    </cfRule>
    <cfRule type="expression" priority="456" dxfId="0">
      <formula>AND(IF($Q48=3,1,IF($Q48=4,1,0)),IF($F48&lt;=85,1,0))</formula>
    </cfRule>
  </conditionalFormatting>
  <conditionalFormatting sqref="AV49">
    <cfRule type="expression" priority="451" dxfId="17">
      <formula>AV49="X"</formula>
    </cfRule>
    <cfRule type="expression" priority="452" dxfId="16">
      <formula>AV49="후보"</formula>
    </cfRule>
  </conditionalFormatting>
  <conditionalFormatting sqref="AC49 N49">
    <cfRule type="cellIs" priority="448" operator="greaterThan" dxfId="13">
      <formula>0.9</formula>
    </cfRule>
    <cfRule type="cellIs" priority="449" operator="greaterThan" dxfId="12">
      <formula>0.85</formula>
    </cfRule>
  </conditionalFormatting>
  <conditionalFormatting sqref="AV50">
    <cfRule type="expression" priority="446" dxfId="17">
      <formula>AV50="X"</formula>
    </cfRule>
    <cfRule type="expression" priority="447" dxfId="16">
      <formula>AV50="후보"</formula>
    </cfRule>
  </conditionalFormatting>
  <conditionalFormatting sqref="AC50">
    <cfRule type="cellIs" priority="443" operator="greaterThan" dxfId="13">
      <formula>0.9</formula>
    </cfRule>
    <cfRule type="cellIs" priority="444" operator="greaterThan" dxfId="12">
      <formula>0.85</formula>
    </cfRule>
  </conditionalFormatting>
  <conditionalFormatting sqref="N50">
    <cfRule type="cellIs" priority="441" operator="greaterThan" dxfId="13">
      <formula>0.9</formula>
    </cfRule>
    <cfRule type="cellIs" priority="442" operator="greaterThan" dxfId="12">
      <formula>0.85</formula>
    </cfRule>
  </conditionalFormatting>
  <conditionalFormatting sqref="E50">
    <cfRule type="expression" priority="437" dxfId="3">
      <formula>AND(IF(OR($Q50=1,$Q50=2),1,0),IF($X50&lt;=20,1,0))</formula>
    </cfRule>
    <cfRule type="expression" priority="438" dxfId="2">
      <formula>AND(IF($Q50=2,1,0),IF($X50&lt;30,1,0))</formula>
    </cfRule>
    <cfRule type="expression" priority="439" dxfId="1">
      <formula>AND(IF($Q50=3,1,0),IF($X50&lt;30,1,0))</formula>
    </cfRule>
    <cfRule type="expression" priority="440" dxfId="0">
      <formula>AND(IF($Q50=3,1,IF($Q50=4,1,0)),IF($F50&lt;=85,1,0))</formula>
    </cfRule>
  </conditionalFormatting>
  <conditionalFormatting sqref="X50">
    <cfRule type="expression" priority="433" dxfId="3">
      <formula>AND(IF(OR($Q50=1,$Q50=2),1,0),IF($X50&lt;=20,1,0))</formula>
    </cfRule>
    <cfRule type="expression" priority="434" dxfId="2">
      <formula>AND(IF($Q50=2,1,0),IF($X50&lt;30,1,0))</formula>
    </cfRule>
    <cfRule type="expression" priority="435" dxfId="1">
      <formula>AND(IF($Q50=3,1,0),IF($X50&lt;30,1,0))</formula>
    </cfRule>
    <cfRule type="expression" priority="436" dxfId="0">
      <formula>AND(IF($Q50=3,1,IF($Q50=4,1,0)),IF($F50&lt;=85,1,0))</formula>
    </cfRule>
  </conditionalFormatting>
  <conditionalFormatting sqref="AI50">
    <cfRule type="expression" priority="429" dxfId="3">
      <formula>AND(IF(OR($Q50=1,$Q50=2),1,0),IF($X50&lt;=20,1,0))</formula>
    </cfRule>
    <cfRule type="expression" priority="430" dxfId="2">
      <formula>AND(IF($Q50=2,1,0),IF($X50&lt;30,1,0))</formula>
    </cfRule>
    <cfRule type="expression" priority="431" dxfId="1">
      <formula>AND(IF($Q50=3,1,0),IF($X50&lt;30,1,0))</formula>
    </cfRule>
    <cfRule type="expression" priority="432" dxfId="0">
      <formula>AND(IF($Q50=3,1,IF($Q50=4,1,0)),IF($F50&lt;=85,1,0))</formula>
    </cfRule>
  </conditionalFormatting>
  <conditionalFormatting sqref="AV51">
    <cfRule type="expression" priority="427" dxfId="17">
      <formula>AV51="X"</formula>
    </cfRule>
    <cfRule type="expression" priority="428" dxfId="16">
      <formula>AV51="후보"</formula>
    </cfRule>
  </conditionalFormatting>
  <conditionalFormatting sqref="AC51">
    <cfRule type="cellIs" priority="424" operator="greaterThan" dxfId="13">
      <formula>0.9</formula>
    </cfRule>
    <cfRule type="cellIs" priority="425" operator="greaterThan" dxfId="12">
      <formula>0.85</formula>
    </cfRule>
  </conditionalFormatting>
  <conditionalFormatting sqref="N51">
    <cfRule type="cellIs" priority="422" operator="greaterThan" dxfId="13">
      <formula>0.9</formula>
    </cfRule>
    <cfRule type="cellIs" priority="423" operator="greaterThan" dxfId="12">
      <formula>0.85</formula>
    </cfRule>
  </conditionalFormatting>
  <conditionalFormatting sqref="E51">
    <cfRule type="expression" priority="418" dxfId="3">
      <formula>AND(IF(OR($Q51=1,$Q51=2),1,0),IF($X51&lt;=20,1,0))</formula>
    </cfRule>
    <cfRule type="expression" priority="419" dxfId="2">
      <formula>AND(IF($Q51=2,1,0),IF($X51&lt;30,1,0))</formula>
    </cfRule>
    <cfRule type="expression" priority="420" dxfId="1">
      <formula>AND(IF($Q51=3,1,0),IF($X51&lt;30,1,0))</formula>
    </cfRule>
    <cfRule type="expression" priority="421" dxfId="0">
      <formula>AND(IF($Q51=3,1,IF($Q51=4,1,0)),IF($F51&lt;=85,1,0))</formula>
    </cfRule>
  </conditionalFormatting>
  <conditionalFormatting sqref="X51">
    <cfRule type="expression" priority="414" dxfId="3">
      <formula>AND(IF(OR($Q51=1,$Q51=2),1,0),IF($X51&lt;=20,1,0))</formula>
    </cfRule>
    <cfRule type="expression" priority="415" dxfId="2">
      <formula>AND(IF($Q51=2,1,0),IF($X51&lt;30,1,0))</formula>
    </cfRule>
    <cfRule type="expression" priority="416" dxfId="1">
      <formula>AND(IF($Q51=3,1,0),IF($X51&lt;30,1,0))</formula>
    </cfRule>
    <cfRule type="expression" priority="417" dxfId="0">
      <formula>AND(IF($Q51=3,1,IF($Q51=4,1,0)),IF($F51&lt;=85,1,0))</formula>
    </cfRule>
  </conditionalFormatting>
  <conditionalFormatting sqref="AI51">
    <cfRule type="expression" priority="410" dxfId="3">
      <formula>AND(IF(OR($Q51=1,$Q51=2),1,0),IF($X51&lt;=20,1,0))</formula>
    </cfRule>
    <cfRule type="expression" priority="411" dxfId="2">
      <formula>AND(IF($Q51=2,1,0),IF($X51&lt;30,1,0))</formula>
    </cfRule>
    <cfRule type="expression" priority="412" dxfId="1">
      <formula>AND(IF($Q51=3,1,0),IF($X51&lt;30,1,0))</formula>
    </cfRule>
    <cfRule type="expression" priority="413" dxfId="0">
      <formula>AND(IF($Q51=3,1,IF($Q51=4,1,0)),IF($F51&lt;=85,1,0))</formula>
    </cfRule>
  </conditionalFormatting>
  <conditionalFormatting sqref="AV52">
    <cfRule type="expression" priority="408" dxfId="17">
      <formula>AV52="X"</formula>
    </cfRule>
    <cfRule type="expression" priority="409" dxfId="16">
      <formula>AV52="후보"</formula>
    </cfRule>
  </conditionalFormatting>
  <conditionalFormatting sqref="AC52 N52">
    <cfRule type="cellIs" priority="405" operator="greaterThan" dxfId="13">
      <formula>0.9</formula>
    </cfRule>
    <cfRule type="cellIs" priority="406" operator="greaterThan" dxfId="12">
      <formula>0.85</formula>
    </cfRule>
  </conditionalFormatting>
  <conditionalFormatting sqref="AV53">
    <cfRule type="expression" priority="403" dxfId="17">
      <formula>AV53="X"</formula>
    </cfRule>
    <cfRule type="expression" priority="404" dxfId="16">
      <formula>AV53="후보"</formula>
    </cfRule>
  </conditionalFormatting>
  <conditionalFormatting sqref="AC53">
    <cfRule type="cellIs" priority="400" operator="greaterThan" dxfId="13">
      <formula>0.9</formula>
    </cfRule>
    <cfRule type="cellIs" priority="401" operator="greaterThan" dxfId="12">
      <formula>0.85</formula>
    </cfRule>
  </conditionalFormatting>
  <conditionalFormatting sqref="N53">
    <cfRule type="cellIs" priority="398" operator="greaterThan" dxfId="13">
      <formula>0.9</formula>
    </cfRule>
    <cfRule type="cellIs" priority="399" operator="greaterThan" dxfId="12">
      <formula>0.85</formula>
    </cfRule>
  </conditionalFormatting>
  <conditionalFormatting sqref="E53">
    <cfRule type="expression" priority="394" dxfId="3">
      <formula>AND(IF(OR($Q53=1,$Q53=2),1,0),IF($X53&lt;=20,1,0))</formula>
    </cfRule>
    <cfRule type="expression" priority="395" dxfId="2">
      <formula>AND(IF($Q53=2,1,0),IF($X53&lt;30,1,0))</formula>
    </cfRule>
    <cfRule type="expression" priority="396" dxfId="1">
      <formula>AND(IF($Q53=3,1,0),IF($X53&lt;30,1,0))</formula>
    </cfRule>
    <cfRule type="expression" priority="397" dxfId="0">
      <formula>AND(IF($Q53=3,1,IF($Q53=4,1,0)),IF($F53&lt;=85,1,0))</formula>
    </cfRule>
  </conditionalFormatting>
  <conditionalFormatting sqref="X53">
    <cfRule type="expression" priority="390" dxfId="3">
      <formula>AND(IF(OR($Q53=1,$Q53=2),1,0),IF($X53&lt;=20,1,0))</formula>
    </cfRule>
    <cfRule type="expression" priority="391" dxfId="2">
      <formula>AND(IF($Q53=2,1,0),IF($X53&lt;30,1,0))</formula>
    </cfRule>
    <cfRule type="expression" priority="392" dxfId="1">
      <formula>AND(IF($Q53=3,1,0),IF($X53&lt;30,1,0))</formula>
    </cfRule>
    <cfRule type="expression" priority="393" dxfId="0">
      <formula>AND(IF($Q53=3,1,IF($Q53=4,1,0)),IF($F53&lt;=85,1,0))</formula>
    </cfRule>
  </conditionalFormatting>
  <conditionalFormatting sqref="AI53">
    <cfRule type="expression" priority="386" dxfId="3">
      <formula>AND(IF(OR($Q53=1,$Q53=2),1,0),IF($X53&lt;=20,1,0))</formula>
    </cfRule>
    <cfRule type="expression" priority="387" dxfId="2">
      <formula>AND(IF($Q53=2,1,0),IF($X53&lt;30,1,0))</formula>
    </cfRule>
    <cfRule type="expression" priority="388" dxfId="1">
      <formula>AND(IF($Q53=3,1,0),IF($X53&lt;30,1,0))</formula>
    </cfRule>
    <cfRule type="expression" priority="389" dxfId="0">
      <formula>AND(IF($Q53=3,1,IF($Q53=4,1,0)),IF($F53&lt;=85,1,0))</formula>
    </cfRule>
  </conditionalFormatting>
  <conditionalFormatting sqref="AV54">
    <cfRule type="expression" priority="384" dxfId="17">
      <formula>AV54="X"</formula>
    </cfRule>
    <cfRule type="expression" priority="385" dxfId="16">
      <formula>AV54="후보"</formula>
    </cfRule>
  </conditionalFormatting>
  <conditionalFormatting sqref="AC54">
    <cfRule type="cellIs" priority="381" operator="greaterThan" dxfId="13">
      <formula>0.9</formula>
    </cfRule>
    <cfRule type="cellIs" priority="382" operator="greaterThan" dxfId="12">
      <formula>0.85</formula>
    </cfRule>
  </conditionalFormatting>
  <conditionalFormatting sqref="N54">
    <cfRule type="cellIs" priority="379" operator="greaterThan" dxfId="13">
      <formula>0.9</formula>
    </cfRule>
    <cfRule type="cellIs" priority="380" operator="greaterThan" dxfId="12">
      <formula>0.85</formula>
    </cfRule>
  </conditionalFormatting>
  <conditionalFormatting sqref="E54">
    <cfRule type="expression" priority="375" dxfId="3">
      <formula>AND(IF(OR($Q54=1,$Q54=2),1,0),IF($X54&lt;=20,1,0))</formula>
    </cfRule>
    <cfRule type="expression" priority="376" dxfId="2">
      <formula>AND(IF($Q54=2,1,0),IF($X54&lt;30,1,0))</formula>
    </cfRule>
    <cfRule type="expression" priority="377" dxfId="1">
      <formula>AND(IF($Q54=3,1,0),IF($X54&lt;30,1,0))</formula>
    </cfRule>
    <cfRule type="expression" priority="378" dxfId="0">
      <formula>AND(IF($Q54=3,1,IF($Q54=4,1,0)),IF($F54&lt;=85,1,0))</formula>
    </cfRule>
  </conditionalFormatting>
  <conditionalFormatting sqref="X54">
    <cfRule type="expression" priority="371" dxfId="3">
      <formula>AND(IF(OR($Q54=1,$Q54=2),1,0),IF($X54&lt;=20,1,0))</formula>
    </cfRule>
    <cfRule type="expression" priority="372" dxfId="2">
      <formula>AND(IF($Q54=2,1,0),IF($X54&lt;30,1,0))</formula>
    </cfRule>
    <cfRule type="expression" priority="373" dxfId="1">
      <formula>AND(IF($Q54=3,1,0),IF($X54&lt;30,1,0))</formula>
    </cfRule>
    <cfRule type="expression" priority="374" dxfId="0">
      <formula>AND(IF($Q54=3,1,IF($Q54=4,1,0)),IF($F54&lt;=85,1,0))</formula>
    </cfRule>
  </conditionalFormatting>
  <conditionalFormatting sqref="AI54">
    <cfRule type="expression" priority="367" dxfId="3">
      <formula>AND(IF(OR($Q54=1,$Q54=2),1,0),IF($X54&lt;=20,1,0))</formula>
    </cfRule>
    <cfRule type="expression" priority="368" dxfId="2">
      <formula>AND(IF($Q54=2,1,0),IF($X54&lt;30,1,0))</formula>
    </cfRule>
    <cfRule type="expression" priority="369" dxfId="1">
      <formula>AND(IF($Q54=3,1,0),IF($X54&lt;30,1,0))</formula>
    </cfRule>
    <cfRule type="expression" priority="370" dxfId="0">
      <formula>AND(IF($Q54=3,1,IF($Q54=4,1,0)),IF($F54&lt;=85,1,0))</formula>
    </cfRule>
  </conditionalFormatting>
  <conditionalFormatting sqref="AV55">
    <cfRule type="expression" priority="365" dxfId="17">
      <formula>AV55="X"</formula>
    </cfRule>
    <cfRule type="expression" priority="366" dxfId="16">
      <formula>AV55="후보"</formula>
    </cfRule>
  </conditionalFormatting>
  <conditionalFormatting sqref="AC55">
    <cfRule type="cellIs" priority="362" operator="greaterThan" dxfId="13">
      <formula>0.9</formula>
    </cfRule>
    <cfRule type="cellIs" priority="363" operator="greaterThan" dxfId="12">
      <formula>0.85</formula>
    </cfRule>
  </conditionalFormatting>
  <conditionalFormatting sqref="N55">
    <cfRule type="cellIs" priority="360" operator="greaterThan" dxfId="13">
      <formula>0.9</formula>
    </cfRule>
    <cfRule type="cellIs" priority="361" operator="greaterThan" dxfId="12">
      <formula>0.85</formula>
    </cfRule>
  </conditionalFormatting>
  <conditionalFormatting sqref="E55">
    <cfRule type="expression" priority="356" dxfId="3">
      <formula>AND(IF(OR($Q55=1,$Q55=2),1,0),IF($X55&lt;=20,1,0))</formula>
    </cfRule>
    <cfRule type="expression" priority="357" dxfId="2">
      <formula>AND(IF($Q55=2,1,0),IF($X55&lt;30,1,0))</formula>
    </cfRule>
    <cfRule type="expression" priority="358" dxfId="1">
      <formula>AND(IF($Q55=3,1,0),IF($X55&lt;30,1,0))</formula>
    </cfRule>
    <cfRule type="expression" priority="359" dxfId="0">
      <formula>AND(IF($Q55=3,1,IF($Q55=4,1,0)),IF($F55&lt;=85,1,0))</formula>
    </cfRule>
  </conditionalFormatting>
  <conditionalFormatting sqref="X55">
    <cfRule type="expression" priority="352" dxfId="3">
      <formula>AND(IF(OR($Q55=1,$Q55=2),1,0),IF($X55&lt;=20,1,0))</formula>
    </cfRule>
    <cfRule type="expression" priority="353" dxfId="2">
      <formula>AND(IF($Q55=2,1,0),IF($X55&lt;30,1,0))</formula>
    </cfRule>
    <cfRule type="expression" priority="354" dxfId="1">
      <formula>AND(IF($Q55=3,1,0),IF($X55&lt;30,1,0))</formula>
    </cfRule>
    <cfRule type="expression" priority="355" dxfId="0">
      <formula>AND(IF($Q55=3,1,IF($Q55=4,1,0)),IF($F55&lt;=85,1,0))</formula>
    </cfRule>
  </conditionalFormatting>
  <conditionalFormatting sqref="AI55">
    <cfRule type="expression" priority="348" dxfId="3">
      <formula>AND(IF(OR($Q55=1,$Q55=2),1,0),IF($X55&lt;=20,1,0))</formula>
    </cfRule>
    <cfRule type="expression" priority="349" dxfId="2">
      <formula>AND(IF($Q55=2,1,0),IF($X55&lt;30,1,0))</formula>
    </cfRule>
    <cfRule type="expression" priority="350" dxfId="1">
      <formula>AND(IF($Q55=3,1,0),IF($X55&lt;30,1,0))</formula>
    </cfRule>
    <cfRule type="expression" priority="351" dxfId="0">
      <formula>AND(IF($Q55=3,1,IF($Q55=4,1,0)),IF($F55&lt;=85,1,0))</formula>
    </cfRule>
  </conditionalFormatting>
  <conditionalFormatting sqref="AV56">
    <cfRule type="expression" priority="346" dxfId="17">
      <formula>AV56="X"</formula>
    </cfRule>
    <cfRule type="expression" priority="347" dxfId="16">
      <formula>AV56="후보"</formula>
    </cfRule>
  </conditionalFormatting>
  <conditionalFormatting sqref="AC56">
    <cfRule type="cellIs" priority="343" operator="greaterThan" dxfId="13">
      <formula>0.9</formula>
    </cfRule>
    <cfRule type="cellIs" priority="344" operator="greaterThan" dxfId="12">
      <formula>0.85</formula>
    </cfRule>
  </conditionalFormatting>
  <conditionalFormatting sqref="N56">
    <cfRule type="cellIs" priority="341" operator="greaterThan" dxfId="13">
      <formula>0.9</formula>
    </cfRule>
    <cfRule type="cellIs" priority="342" operator="greaterThan" dxfId="12">
      <formula>0.85</formula>
    </cfRule>
  </conditionalFormatting>
  <conditionalFormatting sqref="E56">
    <cfRule type="expression" priority="337" dxfId="3">
      <formula>AND(IF(OR($Q56=1,$Q56=2),1,0),IF($X56&lt;=20,1,0))</formula>
    </cfRule>
    <cfRule type="expression" priority="338" dxfId="2">
      <formula>AND(IF($Q56=2,1,0),IF($X56&lt;30,1,0))</formula>
    </cfRule>
    <cfRule type="expression" priority="339" dxfId="1">
      <formula>AND(IF($Q56=3,1,0),IF($X56&lt;30,1,0))</formula>
    </cfRule>
    <cfRule type="expression" priority="340" dxfId="0">
      <formula>AND(IF($Q56=3,1,IF($Q56=4,1,0)),IF($F56&lt;=85,1,0))</formula>
    </cfRule>
  </conditionalFormatting>
  <conditionalFormatting sqref="X56">
    <cfRule type="expression" priority="333" dxfId="3">
      <formula>AND(IF(OR($Q56=1,$Q56=2),1,0),IF($X56&lt;=20,1,0))</formula>
    </cfRule>
    <cfRule type="expression" priority="334" dxfId="2">
      <formula>AND(IF($Q56=2,1,0),IF($X56&lt;30,1,0))</formula>
    </cfRule>
    <cfRule type="expression" priority="335" dxfId="1">
      <formula>AND(IF($Q56=3,1,0),IF($X56&lt;30,1,0))</formula>
    </cfRule>
    <cfRule type="expression" priority="336" dxfId="0">
      <formula>AND(IF($Q56=3,1,IF($Q56=4,1,0)),IF($F56&lt;=85,1,0))</formula>
    </cfRule>
  </conditionalFormatting>
  <conditionalFormatting sqref="AI56">
    <cfRule type="expression" priority="329" dxfId="3">
      <formula>AND(IF(OR($Q56=1,$Q56=2),1,0),IF($X56&lt;=20,1,0))</formula>
    </cfRule>
    <cfRule type="expression" priority="330" dxfId="2">
      <formula>AND(IF($Q56=2,1,0),IF($X56&lt;30,1,0))</formula>
    </cfRule>
    <cfRule type="expression" priority="331" dxfId="1">
      <formula>AND(IF($Q56=3,1,0),IF($X56&lt;30,1,0))</formula>
    </cfRule>
    <cfRule type="expression" priority="332" dxfId="0">
      <formula>AND(IF($Q56=3,1,IF($Q56=4,1,0)),IF($F56&lt;=85,1,0))</formula>
    </cfRule>
  </conditionalFormatting>
  <conditionalFormatting sqref="AV57">
    <cfRule type="expression" priority="327" dxfId="17">
      <formula>AV57="X"</formula>
    </cfRule>
    <cfRule type="expression" priority="328" dxfId="16">
      <formula>AV57="후보"</formula>
    </cfRule>
  </conditionalFormatting>
  <conditionalFormatting sqref="AC57">
    <cfRule type="cellIs" priority="324" operator="greaterThan" dxfId="13">
      <formula>0.9</formula>
    </cfRule>
    <cfRule type="cellIs" priority="325" operator="greaterThan" dxfId="12">
      <formula>0.85</formula>
    </cfRule>
  </conditionalFormatting>
  <conditionalFormatting sqref="N57">
    <cfRule type="cellIs" priority="322" operator="greaterThan" dxfId="13">
      <formula>0.9</formula>
    </cfRule>
    <cfRule type="cellIs" priority="323" operator="greaterThan" dxfId="12">
      <formula>0.85</formula>
    </cfRule>
  </conditionalFormatting>
  <conditionalFormatting sqref="E57">
    <cfRule type="expression" priority="318" dxfId="3">
      <formula>AND(IF(OR($Q57=1,$Q57=2),1,0),IF($X57&lt;=20,1,0))</formula>
    </cfRule>
    <cfRule type="expression" priority="319" dxfId="2">
      <formula>AND(IF($Q57=2,1,0),IF($X57&lt;30,1,0))</formula>
    </cfRule>
    <cfRule type="expression" priority="320" dxfId="1">
      <formula>AND(IF($Q57=3,1,0),IF($X57&lt;30,1,0))</formula>
    </cfRule>
    <cfRule type="expression" priority="321" dxfId="0">
      <formula>AND(IF($Q57=3,1,IF($Q57=4,1,0)),IF($F57&lt;=85,1,0))</formula>
    </cfRule>
  </conditionalFormatting>
  <conditionalFormatting sqref="X57">
    <cfRule type="expression" priority="314" dxfId="3">
      <formula>AND(IF(OR($Q57=1,$Q57=2),1,0),IF($X57&lt;=20,1,0))</formula>
    </cfRule>
    <cfRule type="expression" priority="315" dxfId="2">
      <formula>AND(IF($Q57=2,1,0),IF($X57&lt;30,1,0))</formula>
    </cfRule>
    <cfRule type="expression" priority="316" dxfId="1">
      <formula>AND(IF($Q57=3,1,0),IF($X57&lt;30,1,0))</formula>
    </cfRule>
    <cfRule type="expression" priority="317" dxfId="0">
      <formula>AND(IF($Q57=3,1,IF($Q57=4,1,0)),IF($F57&lt;=85,1,0))</formula>
    </cfRule>
  </conditionalFormatting>
  <conditionalFormatting sqref="AI57">
    <cfRule type="expression" priority="310" dxfId="3">
      <formula>AND(IF(OR($Q57=1,$Q57=2),1,0),IF($X57&lt;=20,1,0))</formula>
    </cfRule>
    <cfRule type="expression" priority="311" dxfId="2">
      <formula>AND(IF($Q57=2,1,0),IF($X57&lt;30,1,0))</formula>
    </cfRule>
    <cfRule type="expression" priority="312" dxfId="1">
      <formula>AND(IF($Q57=3,1,0),IF($X57&lt;30,1,0))</formula>
    </cfRule>
    <cfRule type="expression" priority="313" dxfId="0">
      <formula>AND(IF($Q57=3,1,IF($Q57=4,1,0)),IF($F57&lt;=85,1,0))</formula>
    </cfRule>
  </conditionalFormatting>
  <conditionalFormatting sqref="AV58">
    <cfRule type="expression" priority="308" dxfId="17">
      <formula>AV58="X"</formula>
    </cfRule>
    <cfRule type="expression" priority="309" dxfId="16">
      <formula>AV58="후보"</formula>
    </cfRule>
  </conditionalFormatting>
  <conditionalFormatting sqref="AC58">
    <cfRule type="cellIs" priority="305" operator="greaterThan" dxfId="13">
      <formula>0.9</formula>
    </cfRule>
    <cfRule type="cellIs" priority="306" operator="greaterThan" dxfId="12">
      <formula>0.85</formula>
    </cfRule>
  </conditionalFormatting>
  <conditionalFormatting sqref="N58">
    <cfRule type="cellIs" priority="303" operator="greaterThan" dxfId="13">
      <formula>0.9</formula>
    </cfRule>
    <cfRule type="cellIs" priority="304" operator="greaterThan" dxfId="12">
      <formula>0.85</formula>
    </cfRule>
  </conditionalFormatting>
  <conditionalFormatting sqref="E58">
    <cfRule type="expression" priority="299" dxfId="3">
      <formula>AND(IF(OR($Q58=1,$Q58=2),1,0),IF($X58&lt;=20,1,0))</formula>
    </cfRule>
    <cfRule type="expression" priority="300" dxfId="2">
      <formula>AND(IF($Q58=2,1,0),IF($X58&lt;30,1,0))</formula>
    </cfRule>
    <cfRule type="expression" priority="301" dxfId="1">
      <formula>AND(IF($Q58=3,1,0),IF($X58&lt;30,1,0))</formula>
    </cfRule>
    <cfRule type="expression" priority="302" dxfId="0">
      <formula>AND(IF($Q58=3,1,IF($Q58=4,1,0)),IF($F58&lt;=85,1,0))</formula>
    </cfRule>
  </conditionalFormatting>
  <conditionalFormatting sqref="X58">
    <cfRule type="expression" priority="295" dxfId="3">
      <formula>AND(IF(OR($Q58=1,$Q58=2),1,0),IF($X58&lt;=20,1,0))</formula>
    </cfRule>
    <cfRule type="expression" priority="296" dxfId="2">
      <formula>AND(IF($Q58=2,1,0),IF($X58&lt;30,1,0))</formula>
    </cfRule>
    <cfRule type="expression" priority="297" dxfId="1">
      <formula>AND(IF($Q58=3,1,0),IF($X58&lt;30,1,0))</formula>
    </cfRule>
    <cfRule type="expression" priority="298" dxfId="0">
      <formula>AND(IF($Q58=3,1,IF($Q58=4,1,0)),IF($F58&lt;=85,1,0))</formula>
    </cfRule>
  </conditionalFormatting>
  <conditionalFormatting sqref="AI58">
    <cfRule type="expression" priority="291" dxfId="3">
      <formula>AND(IF(OR($Q58=1,$Q58=2),1,0),IF($X58&lt;=20,1,0))</formula>
    </cfRule>
    <cfRule type="expression" priority="292" dxfId="2">
      <formula>AND(IF($Q58=2,1,0),IF($X58&lt;30,1,0))</formula>
    </cfRule>
    <cfRule type="expression" priority="293" dxfId="1">
      <formula>AND(IF($Q58=3,1,0),IF($X58&lt;30,1,0))</formula>
    </cfRule>
    <cfRule type="expression" priority="294" dxfId="0">
      <formula>AND(IF($Q58=3,1,IF($Q58=4,1,0)),IF($F58&lt;=85,1,0))</formula>
    </cfRule>
  </conditionalFormatting>
  <conditionalFormatting sqref="AV59">
    <cfRule type="expression" priority="289" dxfId="17">
      <formula>AV59="X"</formula>
    </cfRule>
    <cfRule type="expression" priority="290" dxfId="16">
      <formula>AV59="후보"</formula>
    </cfRule>
  </conditionalFormatting>
  <conditionalFormatting sqref="AC59">
    <cfRule type="cellIs" priority="286" operator="greaterThan" dxfId="13">
      <formula>0.9</formula>
    </cfRule>
    <cfRule type="cellIs" priority="287" operator="greaterThan" dxfId="12">
      <formula>0.85</formula>
    </cfRule>
  </conditionalFormatting>
  <conditionalFormatting sqref="N59">
    <cfRule type="cellIs" priority="284" operator="greaterThan" dxfId="13">
      <formula>0.9</formula>
    </cfRule>
    <cfRule type="cellIs" priority="285" operator="greaterThan" dxfId="12">
      <formula>0.85</formula>
    </cfRule>
  </conditionalFormatting>
  <conditionalFormatting sqref="E59">
    <cfRule type="expression" priority="280" dxfId="3">
      <formula>AND(IF(OR($Q59=1,$Q59=2),1,0),IF($X59&lt;=20,1,0))</formula>
    </cfRule>
    <cfRule type="expression" priority="281" dxfId="2">
      <formula>AND(IF($Q59=2,1,0),IF($X59&lt;30,1,0))</formula>
    </cfRule>
    <cfRule type="expression" priority="282" dxfId="1">
      <formula>AND(IF($Q59=3,1,0),IF($X59&lt;30,1,0))</formula>
    </cfRule>
    <cfRule type="expression" priority="283" dxfId="0">
      <formula>AND(IF($Q59=3,1,IF($Q59=4,1,0)),IF($F59&lt;=85,1,0))</formula>
    </cfRule>
  </conditionalFormatting>
  <conditionalFormatting sqref="X59">
    <cfRule type="expression" priority="276" dxfId="3">
      <formula>AND(IF(OR($Q59=1,$Q59=2),1,0),IF($X59&lt;=20,1,0))</formula>
    </cfRule>
    <cfRule type="expression" priority="277" dxfId="2">
      <formula>AND(IF($Q59=2,1,0),IF($X59&lt;30,1,0))</formula>
    </cfRule>
    <cfRule type="expression" priority="278" dxfId="1">
      <formula>AND(IF($Q59=3,1,0),IF($X59&lt;30,1,0))</formula>
    </cfRule>
    <cfRule type="expression" priority="279" dxfId="0">
      <formula>AND(IF($Q59=3,1,IF($Q59=4,1,0)),IF($F59&lt;=85,1,0))</formula>
    </cfRule>
  </conditionalFormatting>
  <conditionalFormatting sqref="AI59">
    <cfRule type="expression" priority="272" dxfId="3">
      <formula>AND(IF(OR($Q59=1,$Q59=2),1,0),IF($X59&lt;=20,1,0))</formula>
    </cfRule>
    <cfRule type="expression" priority="273" dxfId="2">
      <formula>AND(IF($Q59=2,1,0),IF($X59&lt;30,1,0))</formula>
    </cfRule>
    <cfRule type="expression" priority="274" dxfId="1">
      <formula>AND(IF($Q59=3,1,0),IF($X59&lt;30,1,0))</formula>
    </cfRule>
    <cfRule type="expression" priority="275" dxfId="0">
      <formula>AND(IF($Q59=3,1,IF($Q59=4,1,0)),IF($F59&lt;=85,1,0))</formula>
    </cfRule>
  </conditionalFormatting>
  <conditionalFormatting sqref="AV60">
    <cfRule type="expression" priority="270" dxfId="17">
      <formula>AV60="X"</formula>
    </cfRule>
    <cfRule type="expression" priority="271" dxfId="16">
      <formula>AV60="후보"</formula>
    </cfRule>
  </conditionalFormatting>
  <conditionalFormatting sqref="AC60">
    <cfRule type="cellIs" priority="267" operator="greaterThan" dxfId="13">
      <formula>0.9</formula>
    </cfRule>
    <cfRule type="cellIs" priority="268" operator="greaterThan" dxfId="12">
      <formula>0.85</formula>
    </cfRule>
  </conditionalFormatting>
  <conditionalFormatting sqref="N60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E60">
    <cfRule type="expression" priority="261" dxfId="3">
      <formula>AND(IF(OR($Q60=1,$Q60=2),1,0),IF($X60&lt;=20,1,0))</formula>
    </cfRule>
    <cfRule type="expression" priority="262" dxfId="2">
      <formula>AND(IF($Q60=2,1,0),IF($X60&lt;30,1,0))</formula>
    </cfRule>
    <cfRule type="expression" priority="263" dxfId="1">
      <formula>AND(IF($Q60=3,1,0),IF($X60&lt;30,1,0))</formula>
    </cfRule>
    <cfRule type="expression" priority="264" dxfId="0">
      <formula>AND(IF($Q60=3,1,IF($Q60=4,1,0)),IF($F60&lt;=85,1,0))</formula>
    </cfRule>
  </conditionalFormatting>
  <conditionalFormatting sqref="X60">
    <cfRule type="expression" priority="257" dxfId="3">
      <formula>AND(IF(OR($Q60=1,$Q60=2),1,0),IF($X60&lt;=20,1,0))</formula>
    </cfRule>
    <cfRule type="expression" priority="258" dxfId="2">
      <formula>AND(IF($Q60=2,1,0),IF($X60&lt;30,1,0))</formula>
    </cfRule>
    <cfRule type="expression" priority="259" dxfId="1">
      <formula>AND(IF($Q60=3,1,0),IF($X60&lt;30,1,0))</formula>
    </cfRule>
    <cfRule type="expression" priority="260" dxfId="0">
      <formula>AND(IF($Q60=3,1,IF($Q60=4,1,0)),IF($F60&lt;=85,1,0))</formula>
    </cfRule>
  </conditionalFormatting>
  <conditionalFormatting sqref="AI60">
    <cfRule type="expression" priority="253" dxfId="3">
      <formula>AND(IF(OR($Q60=1,$Q60=2),1,0),IF($X60&lt;=20,1,0))</formula>
    </cfRule>
    <cfRule type="expression" priority="254" dxfId="2">
      <formula>AND(IF($Q60=2,1,0),IF($X60&lt;30,1,0))</formula>
    </cfRule>
    <cfRule type="expression" priority="255" dxfId="1">
      <formula>AND(IF($Q60=3,1,0),IF($X60&lt;30,1,0))</formula>
    </cfRule>
    <cfRule type="expression" priority="256" dxfId="0">
      <formula>AND(IF($Q60=3,1,IF($Q60=4,1,0)),IF($F60&lt;=85,1,0))</formula>
    </cfRule>
  </conditionalFormatting>
  <conditionalFormatting sqref="AV61">
    <cfRule type="expression" priority="251" dxfId="17">
      <formula>AV61="X"</formula>
    </cfRule>
    <cfRule type="expression" priority="252" dxfId="16">
      <formula>AV61="후보"</formula>
    </cfRule>
  </conditionalFormatting>
  <conditionalFormatting sqref="AC61">
    <cfRule type="cellIs" priority="248" operator="greaterThan" dxfId="13">
      <formula>0.9</formula>
    </cfRule>
    <cfRule type="cellIs" priority="249" operator="greaterThan" dxfId="12">
      <formula>0.85</formula>
    </cfRule>
  </conditionalFormatting>
  <conditionalFormatting sqref="N61">
    <cfRule type="cellIs" priority="246" operator="greaterThan" dxfId="13">
      <formula>0.9</formula>
    </cfRule>
    <cfRule type="cellIs" priority="247" operator="greaterThan" dxfId="12">
      <formula>0.85</formula>
    </cfRule>
  </conditionalFormatting>
  <conditionalFormatting sqref="E61">
    <cfRule type="expression" priority="242" dxfId="3">
      <formula>AND(IF(OR($Q61=1,$Q61=2),1,0),IF($X61&lt;=20,1,0))</formula>
    </cfRule>
    <cfRule type="expression" priority="243" dxfId="2">
      <formula>AND(IF($Q61=2,1,0),IF($X61&lt;30,1,0))</formula>
    </cfRule>
    <cfRule type="expression" priority="244" dxfId="1">
      <formula>AND(IF($Q61=3,1,0),IF($X61&lt;30,1,0))</formula>
    </cfRule>
    <cfRule type="expression" priority="245" dxfId="0">
      <formula>AND(IF($Q61=3,1,IF($Q61=4,1,0)),IF($F61&lt;=85,1,0))</formula>
    </cfRule>
  </conditionalFormatting>
  <conditionalFormatting sqref="X61">
    <cfRule type="expression" priority="238" dxfId="3">
      <formula>AND(IF(OR($Q61=1,$Q61=2),1,0),IF($X61&lt;=20,1,0))</formula>
    </cfRule>
    <cfRule type="expression" priority="239" dxfId="2">
      <formula>AND(IF($Q61=2,1,0),IF($X61&lt;30,1,0))</formula>
    </cfRule>
    <cfRule type="expression" priority="240" dxfId="1">
      <formula>AND(IF($Q61=3,1,0),IF($X61&lt;30,1,0))</formula>
    </cfRule>
    <cfRule type="expression" priority="241" dxfId="0">
      <formula>AND(IF($Q61=3,1,IF($Q61=4,1,0)),IF($F61&lt;=85,1,0))</formula>
    </cfRule>
  </conditionalFormatting>
  <conditionalFormatting sqref="AI61">
    <cfRule type="expression" priority="234" dxfId="3">
      <formula>AND(IF(OR($Q61=1,$Q61=2),1,0),IF($X61&lt;=20,1,0))</formula>
    </cfRule>
    <cfRule type="expression" priority="235" dxfId="2">
      <formula>AND(IF($Q61=2,1,0),IF($X61&lt;30,1,0))</formula>
    </cfRule>
    <cfRule type="expression" priority="236" dxfId="1">
      <formula>AND(IF($Q61=3,1,0),IF($X61&lt;30,1,0))</formula>
    </cfRule>
    <cfRule type="expression" priority="237" dxfId="0">
      <formula>AND(IF($Q61=3,1,IF($Q61=4,1,0)),IF($F61&lt;=85,1,0))</formula>
    </cfRule>
  </conditionalFormatting>
  <conditionalFormatting sqref="AV62">
    <cfRule type="expression" priority="232" dxfId="17">
      <formula>AV62="X"</formula>
    </cfRule>
    <cfRule type="expression" priority="233" dxfId="16">
      <formula>AV62="후보"</formula>
    </cfRule>
  </conditionalFormatting>
  <conditionalFormatting sqref="AC62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62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62">
    <cfRule type="expression" priority="223" dxfId="3">
      <formula>AND(IF(OR($Q62=1,$Q62=2),1,0),IF($X62&lt;=20,1,0))</formula>
    </cfRule>
    <cfRule type="expression" priority="224" dxfId="2">
      <formula>AND(IF($Q62=2,1,0),IF($X62&lt;30,1,0))</formula>
    </cfRule>
    <cfRule type="expression" priority="225" dxfId="1">
      <formula>AND(IF($Q62=3,1,0),IF($X62&lt;30,1,0))</formula>
    </cfRule>
    <cfRule type="expression" priority="226" dxfId="0">
      <formula>AND(IF($Q62=3,1,IF($Q62=4,1,0)),IF($F62&lt;=85,1,0))</formula>
    </cfRule>
  </conditionalFormatting>
  <conditionalFormatting sqref="X62">
    <cfRule type="expression" priority="219" dxfId="3">
      <formula>AND(IF(OR($Q62=1,$Q62=2),1,0),IF($X62&lt;=20,1,0))</formula>
    </cfRule>
    <cfRule type="expression" priority="220" dxfId="2">
      <formula>AND(IF($Q62=2,1,0),IF($X62&lt;30,1,0))</formula>
    </cfRule>
    <cfRule type="expression" priority="221" dxfId="1">
      <formula>AND(IF($Q62=3,1,0),IF($X62&lt;30,1,0))</formula>
    </cfRule>
    <cfRule type="expression" priority="222" dxfId="0">
      <formula>AND(IF($Q62=3,1,IF($Q62=4,1,0)),IF($F62&lt;=85,1,0))</formula>
    </cfRule>
  </conditionalFormatting>
  <conditionalFormatting sqref="AI62">
    <cfRule type="expression" priority="215" dxfId="3">
      <formula>AND(IF(OR($Q62=1,$Q62=2),1,0),IF($X62&lt;=20,1,0))</formula>
    </cfRule>
    <cfRule type="expression" priority="216" dxfId="2">
      <formula>AND(IF($Q62=2,1,0),IF($X62&lt;30,1,0))</formula>
    </cfRule>
    <cfRule type="expression" priority="217" dxfId="1">
      <formula>AND(IF($Q62=3,1,0),IF($X62&lt;30,1,0))</formula>
    </cfRule>
    <cfRule type="expression" priority="218" dxfId="0">
      <formula>AND(IF($Q62=3,1,IF($Q62=4,1,0)),IF($F62&lt;=85,1,0))</formula>
    </cfRule>
  </conditionalFormatting>
  <conditionalFormatting sqref="AV63">
    <cfRule type="expression" priority="213" dxfId="17">
      <formula>AV63="X"</formula>
    </cfRule>
    <cfRule type="expression" priority="214" dxfId="16">
      <formula>AV63="후보"</formula>
    </cfRule>
  </conditionalFormatting>
  <conditionalFormatting sqref="AC63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63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63">
    <cfRule type="expression" priority="204" dxfId="3">
      <formula>AND(IF(OR($Q63=1,$Q63=2),1,0),IF($X63&lt;=20,1,0))</formula>
    </cfRule>
    <cfRule type="expression" priority="205" dxfId="2">
      <formula>AND(IF($Q63=2,1,0),IF($X63&lt;30,1,0))</formula>
    </cfRule>
    <cfRule type="expression" priority="206" dxfId="1">
      <formula>AND(IF($Q63=3,1,0),IF($X63&lt;30,1,0))</formula>
    </cfRule>
    <cfRule type="expression" priority="207" dxfId="0">
      <formula>AND(IF($Q63=3,1,IF($Q63=4,1,0)),IF($F63&lt;=85,1,0))</formula>
    </cfRule>
  </conditionalFormatting>
  <conditionalFormatting sqref="X63">
    <cfRule type="expression" priority="200" dxfId="3">
      <formula>AND(IF(OR($Q63=1,$Q63=2),1,0),IF($X63&lt;=20,1,0))</formula>
    </cfRule>
    <cfRule type="expression" priority="201" dxfId="2">
      <formula>AND(IF($Q63=2,1,0),IF($X63&lt;30,1,0))</formula>
    </cfRule>
    <cfRule type="expression" priority="202" dxfId="1">
      <formula>AND(IF($Q63=3,1,0),IF($X63&lt;30,1,0))</formula>
    </cfRule>
    <cfRule type="expression" priority="203" dxfId="0">
      <formula>AND(IF($Q63=3,1,IF($Q63=4,1,0)),IF($F63&lt;=85,1,0))</formula>
    </cfRule>
  </conditionalFormatting>
  <conditionalFormatting sqref="AI63">
    <cfRule type="expression" priority="196" dxfId="3">
      <formula>AND(IF(OR($Q63=1,$Q63=2),1,0),IF($X63&lt;=20,1,0))</formula>
    </cfRule>
    <cfRule type="expression" priority="197" dxfId="2">
      <formula>AND(IF($Q63=2,1,0),IF($X63&lt;30,1,0))</formula>
    </cfRule>
    <cfRule type="expression" priority="198" dxfId="1">
      <formula>AND(IF($Q63=3,1,0),IF($X63&lt;30,1,0))</formula>
    </cfRule>
    <cfRule type="expression" priority="199" dxfId="0">
      <formula>AND(IF($Q63=3,1,IF($Q63=4,1,0)),IF($F63&lt;=85,1,0))</formula>
    </cfRule>
  </conditionalFormatting>
  <conditionalFormatting sqref="AV64">
    <cfRule type="expression" priority="194" dxfId="17">
      <formula>AV64="X"</formula>
    </cfRule>
    <cfRule type="expression" priority="195" dxfId="16">
      <formula>AV64="후보"</formula>
    </cfRule>
  </conditionalFormatting>
  <conditionalFormatting sqref="AC64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64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64">
    <cfRule type="expression" priority="185" dxfId="3">
      <formula>AND(IF(OR($Q64=1,$Q64=2),1,0),IF($X64&lt;=20,1,0))</formula>
    </cfRule>
    <cfRule type="expression" priority="186" dxfId="2">
      <formula>AND(IF($Q64=2,1,0),IF($X64&lt;30,1,0))</formula>
    </cfRule>
    <cfRule type="expression" priority="187" dxfId="1">
      <formula>AND(IF($Q64=3,1,0),IF($X64&lt;30,1,0))</formula>
    </cfRule>
    <cfRule type="expression" priority="188" dxfId="0">
      <formula>AND(IF($Q64=3,1,IF($Q64=4,1,0)),IF($F64&lt;=85,1,0))</formula>
    </cfRule>
  </conditionalFormatting>
  <conditionalFormatting sqref="X64">
    <cfRule type="expression" priority="181" dxfId="3">
      <formula>AND(IF(OR($Q64=1,$Q64=2),1,0),IF($X64&lt;=20,1,0))</formula>
    </cfRule>
    <cfRule type="expression" priority="182" dxfId="2">
      <formula>AND(IF($Q64=2,1,0),IF($X64&lt;30,1,0))</formula>
    </cfRule>
    <cfRule type="expression" priority="183" dxfId="1">
      <formula>AND(IF($Q64=3,1,0),IF($X64&lt;30,1,0))</formula>
    </cfRule>
    <cfRule type="expression" priority="184" dxfId="0">
      <formula>AND(IF($Q64=3,1,IF($Q64=4,1,0)),IF($F64&lt;=85,1,0))</formula>
    </cfRule>
  </conditionalFormatting>
  <conditionalFormatting sqref="AI64">
    <cfRule type="expression" priority="177" dxfId="3">
      <formula>AND(IF(OR($Q64=1,$Q64=2),1,0),IF($X64&lt;=20,1,0))</formula>
    </cfRule>
    <cfRule type="expression" priority="178" dxfId="2">
      <formula>AND(IF($Q64=2,1,0),IF($X64&lt;30,1,0))</formula>
    </cfRule>
    <cfRule type="expression" priority="179" dxfId="1">
      <formula>AND(IF($Q64=3,1,0),IF($X64&lt;30,1,0))</formula>
    </cfRule>
    <cfRule type="expression" priority="180" dxfId="0">
      <formula>AND(IF($Q64=3,1,IF($Q64=4,1,0)),IF($F64&lt;=85,1,0))</formula>
    </cfRule>
  </conditionalFormatting>
  <conditionalFormatting sqref="AV65">
    <cfRule type="expression" priority="175" dxfId="17">
      <formula>AV65="X"</formula>
    </cfRule>
    <cfRule type="expression" priority="176" dxfId="16">
      <formula>AV65="후보"</formula>
    </cfRule>
  </conditionalFormatting>
  <conditionalFormatting sqref="AC65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65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65">
    <cfRule type="expression" priority="166" dxfId="3">
      <formula>AND(IF(OR($Q65=1,$Q65=2),1,0),IF($X65&lt;=20,1,0))</formula>
    </cfRule>
    <cfRule type="expression" priority="167" dxfId="2">
      <formula>AND(IF($Q65=2,1,0),IF($X65&lt;30,1,0))</formula>
    </cfRule>
    <cfRule type="expression" priority="168" dxfId="1">
      <formula>AND(IF($Q65=3,1,0),IF($X65&lt;30,1,0))</formula>
    </cfRule>
    <cfRule type="expression" priority="169" dxfId="0">
      <formula>AND(IF($Q65=3,1,IF($Q65=4,1,0)),IF($F65&lt;=85,1,0))</formula>
    </cfRule>
  </conditionalFormatting>
  <conditionalFormatting sqref="X65">
    <cfRule type="expression" priority="162" dxfId="3">
      <formula>AND(IF(OR($Q65=1,$Q65=2),1,0),IF($X65&lt;=20,1,0))</formula>
    </cfRule>
    <cfRule type="expression" priority="163" dxfId="2">
      <formula>AND(IF($Q65=2,1,0),IF($X65&lt;30,1,0))</formula>
    </cfRule>
    <cfRule type="expression" priority="164" dxfId="1">
      <formula>AND(IF($Q65=3,1,0),IF($X65&lt;30,1,0))</formula>
    </cfRule>
    <cfRule type="expression" priority="165" dxfId="0">
      <formula>AND(IF($Q65=3,1,IF($Q65=4,1,0)),IF($F65&lt;=85,1,0))</formula>
    </cfRule>
  </conditionalFormatting>
  <conditionalFormatting sqref="AI65">
    <cfRule type="expression" priority="158" dxfId="3">
      <formula>AND(IF(OR($Q65=1,$Q65=2),1,0),IF($X65&lt;=20,1,0))</formula>
    </cfRule>
    <cfRule type="expression" priority="159" dxfId="2">
      <formula>AND(IF($Q65=2,1,0),IF($X65&lt;30,1,0))</formula>
    </cfRule>
    <cfRule type="expression" priority="160" dxfId="1">
      <formula>AND(IF($Q65=3,1,0),IF($X65&lt;30,1,0))</formula>
    </cfRule>
    <cfRule type="expression" priority="161" dxfId="0">
      <formula>AND(IF($Q65=3,1,IF($Q65=4,1,0)),IF($F65&lt;=85,1,0))</formula>
    </cfRule>
  </conditionalFormatting>
  <conditionalFormatting sqref="AV66">
    <cfRule type="expression" priority="156" dxfId="17">
      <formula>AV66="X"</formula>
    </cfRule>
    <cfRule type="expression" priority="157" dxfId="16">
      <formula>AV66="후보"</formula>
    </cfRule>
  </conditionalFormatting>
  <conditionalFormatting sqref="AC66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66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66">
    <cfRule type="expression" priority="147" dxfId="3">
      <formula>AND(IF(OR($Q66=1,$Q66=2),1,0),IF($X66&lt;=20,1,0))</formula>
    </cfRule>
    <cfRule type="expression" priority="148" dxfId="2">
      <formula>AND(IF($Q66=2,1,0),IF($X66&lt;30,1,0))</formula>
    </cfRule>
    <cfRule type="expression" priority="149" dxfId="1">
      <formula>AND(IF($Q66=3,1,0),IF($X66&lt;30,1,0))</formula>
    </cfRule>
    <cfRule type="expression" priority="150" dxfId="0">
      <formula>AND(IF($Q66=3,1,IF($Q66=4,1,0)),IF($F66&lt;=85,1,0))</formula>
    </cfRule>
  </conditionalFormatting>
  <conditionalFormatting sqref="X66">
    <cfRule type="expression" priority="143" dxfId="3">
      <formula>AND(IF(OR($Q66=1,$Q66=2),1,0),IF($X66&lt;=20,1,0))</formula>
    </cfRule>
    <cfRule type="expression" priority="144" dxfId="2">
      <formula>AND(IF($Q66=2,1,0),IF($X66&lt;30,1,0))</formula>
    </cfRule>
    <cfRule type="expression" priority="145" dxfId="1">
      <formula>AND(IF($Q66=3,1,0),IF($X66&lt;30,1,0))</formula>
    </cfRule>
    <cfRule type="expression" priority="146" dxfId="0">
      <formula>AND(IF($Q66=3,1,IF($Q66=4,1,0)),IF($F66&lt;=85,1,0))</formula>
    </cfRule>
  </conditionalFormatting>
  <conditionalFormatting sqref="AI66">
    <cfRule type="expression" priority="139" dxfId="3">
      <formula>AND(IF(OR($Q66=1,$Q66=2),1,0),IF($X66&lt;=20,1,0))</formula>
    </cfRule>
    <cfRule type="expression" priority="140" dxfId="2">
      <formula>AND(IF($Q66=2,1,0),IF($X66&lt;30,1,0))</formula>
    </cfRule>
    <cfRule type="expression" priority="141" dxfId="1">
      <formula>AND(IF($Q66=3,1,0),IF($X66&lt;30,1,0))</formula>
    </cfRule>
    <cfRule type="expression" priority="142" dxfId="0">
      <formula>AND(IF($Q66=3,1,IF($Q66=4,1,0)),IF($F66&lt;=85,1,0))</formula>
    </cfRule>
  </conditionalFormatting>
  <conditionalFormatting sqref="AV67">
    <cfRule type="expression" priority="137" dxfId="17">
      <formula>AV67="X"</formula>
    </cfRule>
    <cfRule type="expression" priority="138" dxfId="16">
      <formula>AV67="후보"</formula>
    </cfRule>
  </conditionalFormatting>
  <conditionalFormatting sqref="AC67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67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67">
    <cfRule type="expression" priority="128" dxfId="3">
      <formula>AND(IF(OR($Q67=1,$Q67=2),1,0),IF($X67&lt;=20,1,0))</formula>
    </cfRule>
    <cfRule type="expression" priority="129" dxfId="2">
      <formula>AND(IF($Q67=2,1,0),IF($X67&lt;30,1,0))</formula>
    </cfRule>
    <cfRule type="expression" priority="130" dxfId="1">
      <formula>AND(IF($Q67=3,1,0),IF($X67&lt;30,1,0))</formula>
    </cfRule>
    <cfRule type="expression" priority="131" dxfId="0">
      <formula>AND(IF($Q67=3,1,IF($Q67=4,1,0)),IF($F67&lt;=85,1,0))</formula>
    </cfRule>
  </conditionalFormatting>
  <conditionalFormatting sqref="X67">
    <cfRule type="expression" priority="124" dxfId="3">
      <formula>AND(IF(OR($Q67=1,$Q67=2),1,0),IF($X67&lt;=20,1,0))</formula>
    </cfRule>
    <cfRule type="expression" priority="125" dxfId="2">
      <formula>AND(IF($Q67=2,1,0),IF($X67&lt;30,1,0))</formula>
    </cfRule>
    <cfRule type="expression" priority="126" dxfId="1">
      <formula>AND(IF($Q67=3,1,0),IF($X67&lt;30,1,0))</formula>
    </cfRule>
    <cfRule type="expression" priority="127" dxfId="0">
      <formula>AND(IF($Q67=3,1,IF($Q67=4,1,0)),IF($F67&lt;=85,1,0))</formula>
    </cfRule>
  </conditionalFormatting>
  <conditionalFormatting sqref="AI67">
    <cfRule type="expression" priority="120" dxfId="3">
      <formula>AND(IF(OR($Q67=1,$Q67=2),1,0),IF($X67&lt;=20,1,0))</formula>
    </cfRule>
    <cfRule type="expression" priority="121" dxfId="2">
      <formula>AND(IF($Q67=2,1,0),IF($X67&lt;30,1,0))</formula>
    </cfRule>
    <cfRule type="expression" priority="122" dxfId="1">
      <formula>AND(IF($Q67=3,1,0),IF($X67&lt;30,1,0))</formula>
    </cfRule>
    <cfRule type="expression" priority="123" dxfId="0">
      <formula>AND(IF($Q67=3,1,IF($Q67=4,1,0)),IF($F67&lt;=85,1,0))</formula>
    </cfRule>
  </conditionalFormatting>
  <conditionalFormatting sqref="AV68">
    <cfRule type="expression" priority="118" dxfId="17">
      <formula>AV68="X"</formula>
    </cfRule>
    <cfRule type="expression" priority="119" dxfId="16">
      <formula>AV68="후보"</formula>
    </cfRule>
  </conditionalFormatting>
  <conditionalFormatting sqref="AC68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68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68">
    <cfRule type="expression" priority="109" dxfId="3">
      <formula>AND(IF(OR($Q68=1,$Q68=2),1,0),IF($X68&lt;=20,1,0))</formula>
    </cfRule>
    <cfRule type="expression" priority="110" dxfId="2">
      <formula>AND(IF($Q68=2,1,0),IF($X68&lt;30,1,0))</formula>
    </cfRule>
    <cfRule type="expression" priority="111" dxfId="1">
      <formula>AND(IF($Q68=3,1,0),IF($X68&lt;30,1,0))</formula>
    </cfRule>
    <cfRule type="expression" priority="112" dxfId="0">
      <formula>AND(IF($Q68=3,1,IF($Q68=4,1,0)),IF($F68&lt;=85,1,0))</formula>
    </cfRule>
  </conditionalFormatting>
  <conditionalFormatting sqref="X68">
    <cfRule type="expression" priority="105" dxfId="3">
      <formula>AND(IF(OR($Q68=1,$Q68=2),1,0),IF($X68&lt;=20,1,0))</formula>
    </cfRule>
    <cfRule type="expression" priority="106" dxfId="2">
      <formula>AND(IF($Q68=2,1,0),IF($X68&lt;30,1,0))</formula>
    </cfRule>
    <cfRule type="expression" priority="107" dxfId="1">
      <formula>AND(IF($Q68=3,1,0),IF($X68&lt;30,1,0))</formula>
    </cfRule>
    <cfRule type="expression" priority="108" dxfId="0">
      <formula>AND(IF($Q68=3,1,IF($Q68=4,1,0)),IF($F68&lt;=85,1,0))</formula>
    </cfRule>
  </conditionalFormatting>
  <conditionalFormatting sqref="AI68">
    <cfRule type="expression" priority="101" dxfId="3">
      <formula>AND(IF(OR($Q68=1,$Q68=2),1,0),IF($X68&lt;=20,1,0))</formula>
    </cfRule>
    <cfRule type="expression" priority="102" dxfId="2">
      <formula>AND(IF($Q68=2,1,0),IF($X68&lt;30,1,0))</formula>
    </cfRule>
    <cfRule type="expression" priority="103" dxfId="1">
      <formula>AND(IF($Q68=3,1,0),IF($X68&lt;30,1,0))</formula>
    </cfRule>
    <cfRule type="expression" priority="104" dxfId="0">
      <formula>AND(IF($Q68=3,1,IF($Q68=4,1,0)),IF($F68&lt;=85,1,0))</formula>
    </cfRule>
  </conditionalFormatting>
  <conditionalFormatting sqref="AV69">
    <cfRule type="expression" priority="99" dxfId="17">
      <formula>AV69="X"</formula>
    </cfRule>
    <cfRule type="expression" priority="100" dxfId="16">
      <formula>AV69="후보"</formula>
    </cfRule>
  </conditionalFormatting>
  <conditionalFormatting sqref="AC69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69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69">
    <cfRule type="expression" priority="90" dxfId="3">
      <formula>AND(IF(OR($Q69=1,$Q69=2),1,0),IF($X69&lt;=20,1,0))</formula>
    </cfRule>
    <cfRule type="expression" priority="91" dxfId="2">
      <formula>AND(IF($Q69=2,1,0),IF($X69&lt;30,1,0))</formula>
    </cfRule>
    <cfRule type="expression" priority="92" dxfId="1">
      <formula>AND(IF($Q69=3,1,0),IF($X69&lt;30,1,0))</formula>
    </cfRule>
    <cfRule type="expression" priority="93" dxfId="0">
      <formula>AND(IF($Q69=3,1,IF($Q69=4,1,0)),IF($F69&lt;=85,1,0))</formula>
    </cfRule>
  </conditionalFormatting>
  <conditionalFormatting sqref="X69">
    <cfRule type="expression" priority="86" dxfId="3">
      <formula>AND(IF(OR($Q69=1,$Q69=2),1,0),IF($X69&lt;=20,1,0))</formula>
    </cfRule>
    <cfRule type="expression" priority="87" dxfId="2">
      <formula>AND(IF($Q69=2,1,0),IF($X69&lt;30,1,0))</formula>
    </cfRule>
    <cfRule type="expression" priority="88" dxfId="1">
      <formula>AND(IF($Q69=3,1,0),IF($X69&lt;30,1,0))</formula>
    </cfRule>
    <cfRule type="expression" priority="89" dxfId="0">
      <formula>AND(IF($Q69=3,1,IF($Q69=4,1,0)),IF($F69&lt;=85,1,0))</formula>
    </cfRule>
  </conditionalFormatting>
  <conditionalFormatting sqref="AI69">
    <cfRule type="expression" priority="82" dxfId="3">
      <formula>AND(IF(OR($Q69=1,$Q69=2),1,0),IF($X69&lt;=20,1,0))</formula>
    </cfRule>
    <cfRule type="expression" priority="83" dxfId="2">
      <formula>AND(IF($Q69=2,1,0),IF($X69&lt;30,1,0))</formula>
    </cfRule>
    <cfRule type="expression" priority="84" dxfId="1">
      <formula>AND(IF($Q69=3,1,0),IF($X69&lt;30,1,0))</formula>
    </cfRule>
    <cfRule type="expression" priority="85" dxfId="0">
      <formula>AND(IF($Q69=3,1,IF($Q69=4,1,0)),IF($F69&lt;=85,1,0))</formula>
    </cfRule>
  </conditionalFormatting>
  <conditionalFormatting sqref="AV70">
    <cfRule type="expression" priority="80" dxfId="17">
      <formula>AV70="X"</formula>
    </cfRule>
    <cfRule type="expression" priority="81" dxfId="16">
      <formula>AV70="후보"</formula>
    </cfRule>
  </conditionalFormatting>
  <conditionalFormatting sqref="AC70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70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70">
    <cfRule type="expression" priority="71" dxfId="3">
      <formula>AND(IF(OR($Q70=1,$Q70=2),1,0),IF($X70&lt;=20,1,0))</formula>
    </cfRule>
    <cfRule type="expression" priority="72" dxfId="2">
      <formula>AND(IF($Q70=2,1,0),IF($X70&lt;30,1,0))</formula>
    </cfRule>
    <cfRule type="expression" priority="73" dxfId="1">
      <formula>AND(IF($Q70=3,1,0),IF($X70&lt;30,1,0))</formula>
    </cfRule>
    <cfRule type="expression" priority="74" dxfId="0">
      <formula>AND(IF($Q70=3,1,IF($Q70=4,1,0)),IF($F70&lt;=85,1,0))</formula>
    </cfRule>
  </conditionalFormatting>
  <conditionalFormatting sqref="X70">
    <cfRule type="expression" priority="67" dxfId="3">
      <formula>AND(IF(OR($Q70=1,$Q70=2),1,0),IF($X70&lt;=20,1,0))</formula>
    </cfRule>
    <cfRule type="expression" priority="68" dxfId="2">
      <formula>AND(IF($Q70=2,1,0),IF($X70&lt;30,1,0))</formula>
    </cfRule>
    <cfRule type="expression" priority="69" dxfId="1">
      <formula>AND(IF($Q70=3,1,0),IF($X70&lt;30,1,0))</formula>
    </cfRule>
    <cfRule type="expression" priority="70" dxfId="0">
      <formula>AND(IF($Q70=3,1,IF($Q70=4,1,0)),IF($F70&lt;=85,1,0))</formula>
    </cfRule>
  </conditionalFormatting>
  <conditionalFormatting sqref="AI70">
    <cfRule type="expression" priority="63" dxfId="3">
      <formula>AND(IF(OR($Q70=1,$Q70=2),1,0),IF($X70&lt;=20,1,0))</formula>
    </cfRule>
    <cfRule type="expression" priority="64" dxfId="2">
      <formula>AND(IF($Q70=2,1,0),IF($X70&lt;30,1,0))</formula>
    </cfRule>
    <cfRule type="expression" priority="65" dxfId="1">
      <formula>AND(IF($Q70=3,1,0),IF($X70&lt;30,1,0))</formula>
    </cfRule>
    <cfRule type="expression" priority="66" dxfId="0">
      <formula>AND(IF($Q70=3,1,IF($Q70=4,1,0)),IF($F70&lt;=85,1,0))</formula>
    </cfRule>
  </conditionalFormatting>
  <conditionalFormatting sqref="AV71">
    <cfRule type="expression" priority="61" dxfId="17">
      <formula>AV71="X"</formula>
    </cfRule>
    <cfRule type="expression" priority="62" dxfId="16">
      <formula>AV71="후보"</formula>
    </cfRule>
  </conditionalFormatting>
  <conditionalFormatting sqref="AC71 N71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72">
    <cfRule type="expression" priority="56" dxfId="17">
      <formula>AV72="X"</formula>
    </cfRule>
    <cfRule type="expression" priority="57" dxfId="16">
      <formula>AV72="후보"</formula>
    </cfRule>
  </conditionalFormatting>
  <conditionalFormatting sqref="AC72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72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72">
    <cfRule type="expression" priority="47" dxfId="3">
      <formula>AND(IF(OR($Q72=1,$Q72=2),1,0),IF($X72&lt;=20,1,0))</formula>
    </cfRule>
    <cfRule type="expression" priority="48" dxfId="2">
      <formula>AND(IF($Q72=2,1,0),IF($X72&lt;30,1,0))</formula>
    </cfRule>
    <cfRule type="expression" priority="49" dxfId="1">
      <formula>AND(IF($Q72=3,1,0),IF($X72&lt;30,1,0))</formula>
    </cfRule>
    <cfRule type="expression" priority="50" dxfId="0">
      <formula>AND(IF($Q72=3,1,IF($Q72=4,1,0)),IF($F72&lt;=85,1,0))</formula>
    </cfRule>
  </conditionalFormatting>
  <conditionalFormatting sqref="X72">
    <cfRule type="expression" priority="43" dxfId="3">
      <formula>AND(IF(OR($Q72=1,$Q72=2),1,0),IF($X72&lt;=20,1,0))</formula>
    </cfRule>
    <cfRule type="expression" priority="44" dxfId="2">
      <formula>AND(IF($Q72=2,1,0),IF($X72&lt;30,1,0))</formula>
    </cfRule>
    <cfRule type="expression" priority="45" dxfId="1">
      <formula>AND(IF($Q72=3,1,0),IF($X72&lt;30,1,0))</formula>
    </cfRule>
    <cfRule type="expression" priority="46" dxfId="0">
      <formula>AND(IF($Q72=3,1,IF($Q72=4,1,0)),IF($F72&lt;=85,1,0))</formula>
    </cfRule>
  </conditionalFormatting>
  <conditionalFormatting sqref="AI72">
    <cfRule type="expression" priority="39" dxfId="3">
      <formula>AND(IF(OR($Q72=1,$Q72=2),1,0),IF($X72&lt;=20,1,0))</formula>
    </cfRule>
    <cfRule type="expression" priority="40" dxfId="2">
      <formula>AND(IF($Q72=2,1,0),IF($X72&lt;30,1,0))</formula>
    </cfRule>
    <cfRule type="expression" priority="41" dxfId="1">
      <formula>AND(IF($Q72=3,1,0),IF($X72&lt;30,1,0))</formula>
    </cfRule>
    <cfRule type="expression" priority="42" dxfId="0">
      <formula>AND(IF($Q72=3,1,IF($Q72=4,1,0)),IF($F72&lt;=85,1,0))</formula>
    </cfRule>
  </conditionalFormatting>
  <conditionalFormatting sqref="AV73">
    <cfRule type="expression" priority="37" dxfId="17">
      <formula>AV73="X"</formula>
    </cfRule>
    <cfRule type="expression" priority="38" dxfId="16">
      <formula>AV73="후보"</formula>
    </cfRule>
  </conditionalFormatting>
  <conditionalFormatting sqref="AC73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73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73">
    <cfRule type="expression" priority="28" dxfId="3">
      <formula>AND(IF(OR($Q73=1,$Q73=2),1,0),IF($X73&lt;=20,1,0))</formula>
    </cfRule>
    <cfRule type="expression" priority="29" dxfId="2">
      <formula>AND(IF($Q73=2,1,0),IF($X73&lt;30,1,0))</formula>
    </cfRule>
    <cfRule type="expression" priority="30" dxfId="1">
      <formula>AND(IF($Q73=3,1,0),IF($X73&lt;30,1,0))</formula>
    </cfRule>
    <cfRule type="expression" priority="31" dxfId="0">
      <formula>AND(IF($Q73=3,1,IF($Q73=4,1,0)),IF($F73&lt;=85,1,0))</formula>
    </cfRule>
  </conditionalFormatting>
  <conditionalFormatting sqref="X73">
    <cfRule type="expression" priority="24" dxfId="3">
      <formula>AND(IF(OR($Q73=1,$Q73=2),1,0),IF($X73&lt;=20,1,0))</formula>
    </cfRule>
    <cfRule type="expression" priority="25" dxfId="2">
      <formula>AND(IF($Q73=2,1,0),IF($X73&lt;30,1,0))</formula>
    </cfRule>
    <cfRule type="expression" priority="26" dxfId="1">
      <formula>AND(IF($Q73=3,1,0),IF($X73&lt;30,1,0))</formula>
    </cfRule>
    <cfRule type="expression" priority="27" dxfId="0">
      <formula>AND(IF($Q73=3,1,IF($Q73=4,1,0)),IF($F73&lt;=85,1,0))</formula>
    </cfRule>
  </conditionalFormatting>
  <conditionalFormatting sqref="AI73">
    <cfRule type="expression" priority="20" dxfId="3">
      <formula>AND(IF(OR($Q73=1,$Q73=2),1,0),IF($X73&lt;=20,1,0))</formula>
    </cfRule>
    <cfRule type="expression" priority="21" dxfId="2">
      <formula>AND(IF($Q73=2,1,0),IF($X73&lt;30,1,0))</formula>
    </cfRule>
    <cfRule type="expression" priority="22" dxfId="1">
      <formula>AND(IF($Q73=3,1,0),IF($X73&lt;30,1,0))</formula>
    </cfRule>
    <cfRule type="expression" priority="23" dxfId="0">
      <formula>AND(IF($Q73=3,1,IF($Q73=4,1,0)),IF($F73&lt;=85,1,0))</formula>
    </cfRule>
  </conditionalFormatting>
  <conditionalFormatting sqref="AV74">
    <cfRule type="expression" priority="18" dxfId="17">
      <formula>AV74="X"</formula>
    </cfRule>
    <cfRule type="expression" priority="19" dxfId="16">
      <formula>AV74="후보"</formula>
    </cfRule>
  </conditionalFormatting>
  <conditionalFormatting sqref="AC74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74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74">
    <cfRule type="expression" priority="9" dxfId="3">
      <formula>AND(IF(OR($Q74=1,$Q74=2),1,0),IF($X74&lt;=20,1,0))</formula>
    </cfRule>
    <cfRule type="expression" priority="10" dxfId="2">
      <formula>AND(IF($Q74=2,1,0),IF($X74&lt;30,1,0))</formula>
    </cfRule>
    <cfRule type="expression" priority="11" dxfId="1">
      <formula>AND(IF($Q74=3,1,0),IF($X74&lt;30,1,0))</formula>
    </cfRule>
    <cfRule type="expression" priority="12" dxfId="0">
      <formula>AND(IF($Q74=3,1,IF($Q74=4,1,0)),IF($F74&lt;=85,1,0))</formula>
    </cfRule>
  </conditionalFormatting>
  <conditionalFormatting sqref="X74">
    <cfRule type="expression" priority="5" dxfId="3">
      <formula>AND(IF(OR($Q74=1,$Q74=2),1,0),IF($X74&lt;=20,1,0))</formula>
    </cfRule>
    <cfRule type="expression" priority="6" dxfId="2">
      <formula>AND(IF($Q74=2,1,0),IF($X74&lt;30,1,0))</formula>
    </cfRule>
    <cfRule type="expression" priority="7" dxfId="1">
      <formula>AND(IF($Q74=3,1,0),IF($X74&lt;30,1,0))</formula>
    </cfRule>
    <cfRule type="expression" priority="8" dxfId="0">
      <formula>AND(IF($Q74=3,1,IF($Q74=4,1,0)),IF($F74&lt;=85,1,0))</formula>
    </cfRule>
  </conditionalFormatting>
  <conditionalFormatting sqref="AI74">
    <cfRule type="expression" priority="1" dxfId="3">
      <formula>AND(IF(OR($Q74=1,$Q74=2),1,0),IF($X74&lt;=20,1,0))</formula>
    </cfRule>
    <cfRule type="expression" priority="2" dxfId="2">
      <formula>AND(IF($Q74=2,1,0),IF($X74&lt;30,1,0))</formula>
    </cfRule>
    <cfRule type="expression" priority="3" dxfId="1">
      <formula>AND(IF($Q74=3,1,0),IF($X74&lt;30,1,0))</formula>
    </cfRule>
    <cfRule type="expression" priority="4" dxfId="0">
      <formula>AND(IF($Q74=3,1,IF($Q74=4,1,0)),IF($F74&lt;=85,1,0))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9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3" sqref="A93:XFD93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상일동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고덕자이</t>
        </is>
      </c>
      <c r="B6" s="16" t="inlineStr">
        <is>
          <t>'21.01.</t>
        </is>
      </c>
      <c r="C6" s="164" t="n">
        <v>1824</v>
      </c>
      <c r="D6" s="161" t="n">
        <v>67.5</v>
      </c>
      <c r="E6" s="163" t="n">
        <v>20</v>
      </c>
      <c r="F6" s="161" t="n">
        <v>48.7</v>
      </c>
      <c r="G6" s="27" t="n">
        <v>15</v>
      </c>
      <c r="H6" s="164" t="n">
        <v>52</v>
      </c>
      <c r="I6" s="165" t="n"/>
      <c r="J6" s="165" t="n"/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2</v>
      </c>
      <c r="R6" s="113" t="n">
        <v>1</v>
      </c>
      <c r="S6" s="113" t="inlineStr">
        <is>
          <t>계</t>
        </is>
      </c>
      <c r="T6" s="8" t="n">
        <v>67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고덕자이</t>
        </is>
      </c>
      <c r="B7" s="16" t="inlineStr">
        <is>
          <t>'21.01.</t>
        </is>
      </c>
      <c r="C7" s="164" t="n">
        <v>1824</v>
      </c>
      <c r="D7" s="161" t="n">
        <v>73.09999999999999</v>
      </c>
      <c r="E7" s="163" t="n">
        <v>22</v>
      </c>
      <c r="F7" s="161" t="n">
        <v>53</v>
      </c>
      <c r="G7" s="27" t="n">
        <v>16</v>
      </c>
      <c r="H7" s="164" t="n">
        <v>52</v>
      </c>
      <c r="I7" s="165" t="n"/>
      <c r="J7" s="165" t="n"/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2</v>
      </c>
      <c r="R7" s="113" t="n">
        <v>1</v>
      </c>
      <c r="S7" s="113" t="inlineStr">
        <is>
          <t>계</t>
        </is>
      </c>
      <c r="T7" s="8" t="n">
        <v>73</v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고덕자이</t>
        </is>
      </c>
      <c r="B8" s="16" t="inlineStr">
        <is>
          <t>'21.01.</t>
        </is>
      </c>
      <c r="C8" s="164" t="n">
        <v>1824</v>
      </c>
      <c r="D8" s="161" t="n">
        <v>83.3</v>
      </c>
      <c r="E8" s="163" t="n">
        <v>25</v>
      </c>
      <c r="F8" s="161" t="n">
        <v>59.9</v>
      </c>
      <c r="G8" s="27" t="n">
        <v>18</v>
      </c>
      <c r="H8" s="164" t="n">
        <v>311</v>
      </c>
      <c r="I8" s="165" t="n">
        <v>135000</v>
      </c>
      <c r="J8" s="165" t="inlineStr">
        <is>
          <t>고</t>
        </is>
      </c>
      <c r="K8" s="165" t="n"/>
      <c r="L8" s="165" t="n"/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83A</t>
        </is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고덕자이</t>
        </is>
      </c>
      <c r="B9" s="16" t="inlineStr">
        <is>
          <t>'21.01.</t>
        </is>
      </c>
      <c r="C9" s="164" t="n">
        <v>1824</v>
      </c>
      <c r="D9" s="161" t="n">
        <v>84.3</v>
      </c>
      <c r="E9" s="163" t="n">
        <v>25</v>
      </c>
      <c r="F9" s="161" t="n">
        <v>59.7</v>
      </c>
      <c r="G9" s="27" t="n">
        <v>18</v>
      </c>
      <c r="H9" s="164" t="n">
        <v>165</v>
      </c>
      <c r="I9" s="165" t="n"/>
      <c r="J9" s="165" t="n"/>
      <c r="K9" s="165" t="n"/>
      <c r="L9" s="165" t="n"/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84B</t>
        </is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고덕자이</t>
        </is>
      </c>
      <c r="B10" s="16" t="inlineStr">
        <is>
          <t>'21.01.</t>
        </is>
      </c>
      <c r="C10" s="164" t="n">
        <v>1824</v>
      </c>
      <c r="D10" s="161" t="n">
        <v>98.7</v>
      </c>
      <c r="E10" s="163" t="n">
        <v>30</v>
      </c>
      <c r="F10" s="161" t="n">
        <v>74.8</v>
      </c>
      <c r="G10" s="27" t="n">
        <v>23</v>
      </c>
      <c r="H10" s="164" t="n">
        <v>88</v>
      </c>
      <c r="I10" s="165" t="n">
        <v>155000</v>
      </c>
      <c r="J10" s="165" t="inlineStr">
        <is>
          <t>20</t>
        </is>
      </c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98A</t>
        </is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고덕자이</t>
        </is>
      </c>
      <c r="B11" s="16" t="inlineStr">
        <is>
          <t>'21.01.</t>
        </is>
      </c>
      <c r="C11" s="164" t="n">
        <v>1824</v>
      </c>
      <c r="D11" s="161" t="n">
        <v>99</v>
      </c>
      <c r="E11" s="163" t="n">
        <v>30</v>
      </c>
      <c r="F11" s="161" t="n">
        <v>74.3</v>
      </c>
      <c r="G11" s="27" t="n">
        <v>22</v>
      </c>
      <c r="H11" s="164" t="n">
        <v>96</v>
      </c>
      <c r="I11" s="165" t="n"/>
      <c r="J11" s="165" t="n"/>
      <c r="K11" s="165" t="n"/>
      <c r="L11" s="165" t="n"/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inlineStr">
        <is>
          <t>99B</t>
        </is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고덕자이</t>
        </is>
      </c>
      <c r="B12" s="16" t="inlineStr">
        <is>
          <t>'21.01.</t>
        </is>
      </c>
      <c r="C12" s="164" t="n">
        <v>1824</v>
      </c>
      <c r="D12" s="161" t="n">
        <v>109.9</v>
      </c>
      <c r="E12" s="163" t="n">
        <v>33</v>
      </c>
      <c r="F12" s="161" t="n">
        <v>85</v>
      </c>
      <c r="G12" s="27" t="n">
        <v>26</v>
      </c>
      <c r="H12" s="164" t="n">
        <v>384</v>
      </c>
      <c r="I12" s="165" t="n">
        <v>164000</v>
      </c>
      <c r="J12" s="165" t="inlineStr">
        <is>
          <t>중</t>
        </is>
      </c>
      <c r="K12" s="165" t="n"/>
      <c r="L12" s="165" t="n"/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4</v>
      </c>
      <c r="R12" s="113" t="n">
        <v>2</v>
      </c>
      <c r="S12" s="113" t="inlineStr">
        <is>
          <t>계</t>
        </is>
      </c>
      <c r="T12" s="8" t="inlineStr">
        <is>
          <t>109A</t>
        </is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고덕자이</t>
        </is>
      </c>
      <c r="B13" s="16" t="inlineStr">
        <is>
          <t>'21.01.</t>
        </is>
      </c>
      <c r="C13" s="164" t="n">
        <v>1824</v>
      </c>
      <c r="D13" s="161" t="n">
        <v>110.4</v>
      </c>
      <c r="E13" s="163" t="n">
        <v>33</v>
      </c>
      <c r="F13" s="161" t="n">
        <v>84.40000000000001</v>
      </c>
      <c r="G13" s="27" t="n">
        <v>26</v>
      </c>
      <c r="H13" s="164" t="n">
        <v>424</v>
      </c>
      <c r="I13" s="165" t="n">
        <v>166000</v>
      </c>
      <c r="J13" s="165" t="inlineStr">
        <is>
          <t>고</t>
        </is>
      </c>
      <c r="K13" s="165" t="n"/>
      <c r="L13" s="165" t="n"/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inlineStr">
        <is>
          <t>110B</t>
        </is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고덕자이</t>
        </is>
      </c>
      <c r="B14" s="16" t="inlineStr">
        <is>
          <t>'21.01.</t>
        </is>
      </c>
      <c r="C14" s="164" t="n">
        <v>1824</v>
      </c>
      <c r="D14" s="161" t="n">
        <v>110</v>
      </c>
      <c r="E14" s="163" t="n">
        <v>33</v>
      </c>
      <c r="F14" s="161" t="n">
        <v>84.7</v>
      </c>
      <c r="G14" s="27" t="n">
        <v>26</v>
      </c>
      <c r="H14" s="164" t="n">
        <v>138</v>
      </c>
      <c r="I14" s="165" t="n">
        <v>170000</v>
      </c>
      <c r="J14" s="165" t="inlineStr">
        <is>
          <t>중</t>
        </is>
      </c>
      <c r="K14" s="165" t="n"/>
      <c r="L14" s="165" t="n"/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4</v>
      </c>
      <c r="R14" s="113" t="n">
        <v>2</v>
      </c>
      <c r="S14" s="113" t="inlineStr">
        <is>
          <t>계</t>
        </is>
      </c>
      <c r="T14" s="8" t="inlineStr">
        <is>
          <t>110C</t>
        </is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고덕자이</t>
        </is>
      </c>
      <c r="B15" s="16" t="inlineStr">
        <is>
          <t>'21.01.</t>
        </is>
      </c>
      <c r="C15" s="164" t="n">
        <v>1824</v>
      </c>
      <c r="D15" s="161" t="n">
        <v>127.1</v>
      </c>
      <c r="E15" s="163" t="n">
        <v>38</v>
      </c>
      <c r="F15" s="161" t="n">
        <v>101</v>
      </c>
      <c r="G15" s="27" t="n">
        <v>31</v>
      </c>
      <c r="H15" s="164" t="n">
        <v>56</v>
      </c>
      <c r="I15" s="165" t="n">
        <v>200000</v>
      </c>
      <c r="J15" s="165" t="inlineStr">
        <is>
          <t>중</t>
        </is>
      </c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4</v>
      </c>
      <c r="R15" s="113" t="n">
        <v>2</v>
      </c>
      <c r="S15" s="113" t="inlineStr">
        <is>
          <t>계</t>
        </is>
      </c>
      <c r="T15" s="8" t="inlineStr">
        <is>
          <t>127A</t>
        </is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고덕자이</t>
        </is>
      </c>
      <c r="B16" s="16" t="inlineStr">
        <is>
          <t>'21.01.</t>
        </is>
      </c>
      <c r="C16" s="164" t="n">
        <v>1824</v>
      </c>
      <c r="D16" s="161" t="n">
        <v>128.3</v>
      </c>
      <c r="E16" s="163" t="n">
        <v>39</v>
      </c>
      <c r="F16" s="161" t="n">
        <v>102</v>
      </c>
      <c r="G16" s="27" t="n">
        <v>31</v>
      </c>
      <c r="H16" s="164" t="n">
        <v>28</v>
      </c>
      <c r="I16" s="165" t="n">
        <v>195000</v>
      </c>
      <c r="J16" s="165" t="inlineStr">
        <is>
          <t>21</t>
        </is>
      </c>
      <c r="K16" s="165" t="n"/>
      <c r="L16" s="165" t="n"/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4</v>
      </c>
      <c r="R16" s="113" t="n">
        <v>2</v>
      </c>
      <c r="S16" s="113" t="inlineStr">
        <is>
          <t>계</t>
        </is>
      </c>
      <c r="T16" s="8" t="inlineStr">
        <is>
          <t>128B</t>
        </is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고덕자이</t>
        </is>
      </c>
      <c r="B17" s="16" t="inlineStr">
        <is>
          <t>'21.01.</t>
        </is>
      </c>
      <c r="C17" s="164" t="n">
        <v>1824</v>
      </c>
      <c r="D17" s="161" t="n">
        <v>146.5</v>
      </c>
      <c r="E17" s="163" t="n">
        <v>44</v>
      </c>
      <c r="F17" s="161" t="n">
        <v>118.4</v>
      </c>
      <c r="G17" s="27" t="n">
        <v>36</v>
      </c>
      <c r="H17" s="164" t="n">
        <v>30</v>
      </c>
      <c r="I17" s="165" t="n"/>
      <c r="J17" s="165" t="n"/>
      <c r="K17" s="165" t="n"/>
      <c r="L17" s="165" t="n"/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4</v>
      </c>
      <c r="R17" s="113" t="n">
        <v>2</v>
      </c>
      <c r="S17" s="113" t="inlineStr">
        <is>
          <t>계</t>
        </is>
      </c>
      <c r="T17" s="8" t="n">
        <v>146</v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n"/>
      <c r="B18" s="113" t="n"/>
      <c r="C18" s="10" t="n"/>
      <c r="D18" s="13" t="n"/>
      <c r="E18" s="20" t="n"/>
      <c r="F18" s="161" t="n"/>
      <c r="G18" s="13" t="n"/>
      <c r="H18" s="13" t="n"/>
      <c r="I18" s="13" t="n"/>
      <c r="J18" s="13" t="n"/>
      <c r="K18" s="13" t="n"/>
      <c r="L18" s="13" t="n"/>
      <c r="M18" s="13" t="n"/>
      <c r="N18" s="13" t="n"/>
      <c r="O18" s="162" t="n"/>
      <c r="P18" s="162" t="n"/>
      <c r="Q18" s="163" t="n"/>
      <c r="R18" s="163" t="n"/>
      <c r="S18" s="13" t="n"/>
      <c r="T18" s="70" t="n"/>
      <c r="U18" s="13" t="n"/>
      <c r="W18" s="107">
        <f>$A$4&amp;" "&amp;A19&amp;"("&amp;B19&amp;","&amp;C19&amp;"^)"</f>
        <v/>
      </c>
      <c r="X18" s="108" t="n"/>
      <c r="Y18" s="108" t="n"/>
      <c r="Z18" s="108" t="n"/>
      <c r="AA18" s="108" t="n"/>
      <c r="AB18" s="108" t="n"/>
      <c r="AC18" s="108" t="n"/>
      <c r="AD18" s="108" t="n"/>
      <c r="AE18" s="108" t="n"/>
      <c r="AF18" s="109" t="n"/>
      <c r="AH18" s="36">
        <f>IF(A18="","",A18)</f>
        <v/>
      </c>
      <c r="AI18" s="160">
        <f>IF(E18="","",E18)</f>
        <v/>
      </c>
      <c r="AJ18" s="113" t="n"/>
      <c r="AK18" s="113" t="n"/>
      <c r="AL18" s="113" t="n"/>
      <c r="AM18" s="113" t="n"/>
      <c r="AN18" s="113" t="n"/>
      <c r="AO18" s="113" t="n"/>
      <c r="AP18" s="113" t="n"/>
      <c r="AQ18" s="113" t="n"/>
      <c r="AR18" s="113" t="n"/>
      <c r="AS18" s="113" t="n"/>
      <c r="AT18" s="113" t="n"/>
      <c r="AU18" s="113" t="n"/>
      <c r="AV18" s="113" t="n"/>
    </row>
    <row r="19">
      <c r="A19" s="13" t="inlineStr">
        <is>
          <t>고덕센트럴아이파크</t>
        </is>
      </c>
      <c r="B19" s="16" t="inlineStr">
        <is>
          <t>'19.12.</t>
        </is>
      </c>
      <c r="C19" s="164" t="n">
        <v>1745</v>
      </c>
      <c r="D19" s="161" t="n">
        <v>82.3</v>
      </c>
      <c r="E19" s="163" t="n">
        <v>25</v>
      </c>
      <c r="F19" s="161" t="n">
        <v>60</v>
      </c>
      <c r="G19" s="27" t="n">
        <v>18</v>
      </c>
      <c r="H19" s="164" t="n">
        <v>361</v>
      </c>
      <c r="I19" s="165" t="n">
        <v>130000</v>
      </c>
      <c r="J19" s="165" t="inlineStr">
        <is>
          <t>고</t>
        </is>
      </c>
      <c r="K19" s="165" t="n">
        <v>70000</v>
      </c>
      <c r="L19" s="165" t="inlineStr">
        <is>
          <t>15</t>
        </is>
      </c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3</v>
      </c>
      <c r="R19" s="113" t="n">
        <v>2</v>
      </c>
      <c r="S19" s="113" t="inlineStr">
        <is>
          <t>계</t>
        </is>
      </c>
      <c r="T19" s="8" t="inlineStr">
        <is>
          <t>82A</t>
        </is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고덕센트럴아이파크</t>
        </is>
      </c>
      <c r="B20" s="16" t="inlineStr">
        <is>
          <t>'19.12.</t>
        </is>
      </c>
      <c r="C20" s="164" t="n">
        <v>1745</v>
      </c>
      <c r="D20" s="161" t="n">
        <v>82.7</v>
      </c>
      <c r="E20" s="163" t="n">
        <v>25</v>
      </c>
      <c r="F20" s="161" t="n">
        <v>60</v>
      </c>
      <c r="G20" s="27" t="n">
        <v>18</v>
      </c>
      <c r="H20" s="164" t="n">
        <v>146</v>
      </c>
      <c r="I20" s="165" t="n">
        <v>135000</v>
      </c>
      <c r="J20" s="165" t="inlineStr">
        <is>
          <t>중</t>
        </is>
      </c>
      <c r="K20" s="165" t="n">
        <v>70000</v>
      </c>
      <c r="L20" s="165" t="inlineStr">
        <is>
          <t>중</t>
        </is>
      </c>
      <c r="M20" s="166">
        <f>I20-K20</f>
        <v/>
      </c>
      <c r="N20" s="7">
        <f>IF(ISERROR(K20/I20),"",K20/I20)</f>
        <v/>
      </c>
      <c r="O20" s="162">
        <f>I20/E20</f>
        <v/>
      </c>
      <c r="P20" s="162">
        <f>K20/E20</f>
        <v/>
      </c>
      <c r="Q20" s="113" t="n">
        <v>3</v>
      </c>
      <c r="R20" s="113" t="n">
        <v>2</v>
      </c>
      <c r="S20" s="113" t="inlineStr">
        <is>
          <t>계</t>
        </is>
      </c>
      <c r="T20" s="8" t="inlineStr">
        <is>
          <t>82C</t>
        </is>
      </c>
      <c r="U20" s="13" t="n"/>
      <c r="W20" s="161">
        <f>D20</f>
        <v/>
      </c>
      <c r="X20" s="163">
        <f>E20</f>
        <v/>
      </c>
      <c r="Y20" s="159">
        <f>H20</f>
        <v/>
      </c>
      <c r="Z20" s="166">
        <f>I20</f>
        <v/>
      </c>
      <c r="AA20" s="166">
        <f>K20</f>
        <v/>
      </c>
      <c r="AB20" s="166">
        <f>M20</f>
        <v/>
      </c>
      <c r="AC20" s="7">
        <f>N20</f>
        <v/>
      </c>
      <c r="AD20" s="162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3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고덕센트럴아이파크</t>
        </is>
      </c>
      <c r="B21" s="16" t="inlineStr">
        <is>
          <t>'19.12.</t>
        </is>
      </c>
      <c r="C21" s="164" t="n">
        <v>1745</v>
      </c>
      <c r="D21" s="161" t="n">
        <v>82.40000000000001</v>
      </c>
      <c r="E21" s="163" t="n">
        <v>25</v>
      </c>
      <c r="F21" s="161" t="n">
        <v>59.9</v>
      </c>
      <c r="G21" s="27" t="n">
        <v>18</v>
      </c>
      <c r="H21" s="164" t="n">
        <v>35</v>
      </c>
      <c r="I21" s="165" t="n">
        <v>130000</v>
      </c>
      <c r="J21" s="165" t="inlineStr">
        <is>
          <t>고</t>
        </is>
      </c>
      <c r="K21" s="165" t="n"/>
      <c r="L21" s="165" t="n"/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inlineStr">
        <is>
          <t>82B</t>
        </is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고덕센트럴아이파크</t>
        </is>
      </c>
      <c r="B22" s="16" t="inlineStr">
        <is>
          <t>'19.12.</t>
        </is>
      </c>
      <c r="C22" s="164" t="n">
        <v>1745</v>
      </c>
      <c r="D22" s="161" t="n">
        <v>102.3</v>
      </c>
      <c r="E22" s="163" t="n">
        <v>31</v>
      </c>
      <c r="F22" s="161" t="n">
        <v>74.90000000000001</v>
      </c>
      <c r="G22" s="27" t="n">
        <v>23</v>
      </c>
      <c r="H22" s="164" t="n">
        <v>154</v>
      </c>
      <c r="I22" s="165" t="n">
        <v>150000</v>
      </c>
      <c r="J22" s="165" t="inlineStr">
        <is>
          <t>중</t>
        </is>
      </c>
      <c r="K22" s="165" t="n"/>
      <c r="L22" s="165" t="n"/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inlineStr">
        <is>
          <t>102A</t>
        </is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고덕센트럴아이파크</t>
        </is>
      </c>
      <c r="B23" s="16" t="inlineStr">
        <is>
          <t>'19.12.</t>
        </is>
      </c>
      <c r="C23" s="164" t="n">
        <v>1745</v>
      </c>
      <c r="D23" s="161" t="n">
        <v>102.6</v>
      </c>
      <c r="E23" s="163" t="n">
        <v>31</v>
      </c>
      <c r="F23" s="161" t="n">
        <v>75</v>
      </c>
      <c r="G23" s="27" t="n">
        <v>23</v>
      </c>
      <c r="H23" s="164" t="n">
        <v>65</v>
      </c>
      <c r="I23" s="165" t="n">
        <v>155000</v>
      </c>
      <c r="J23" s="165" t="inlineStr">
        <is>
          <t>고</t>
        </is>
      </c>
      <c r="K23" s="165" t="n"/>
      <c r="L23" s="165" t="n"/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3</v>
      </c>
      <c r="R23" s="113" t="n">
        <v>2</v>
      </c>
      <c r="S23" s="113" t="inlineStr">
        <is>
          <t>계</t>
        </is>
      </c>
      <c r="T23" s="8" t="inlineStr">
        <is>
          <t>102B</t>
        </is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고덕센트럴아이파크</t>
        </is>
      </c>
      <c r="B24" s="16" t="inlineStr">
        <is>
          <t>'19.12.</t>
        </is>
      </c>
      <c r="C24" s="164" t="n">
        <v>1745</v>
      </c>
      <c r="D24" s="161" t="n">
        <v>115.4</v>
      </c>
      <c r="E24" s="163" t="n">
        <v>35</v>
      </c>
      <c r="F24" s="161" t="n">
        <v>84.90000000000001</v>
      </c>
      <c r="G24" s="27" t="n">
        <v>26</v>
      </c>
      <c r="H24" s="164" t="n">
        <v>535</v>
      </c>
      <c r="I24" s="165" t="n">
        <v>169000</v>
      </c>
      <c r="J24" s="165" t="inlineStr">
        <is>
          <t>중</t>
        </is>
      </c>
      <c r="K24" s="165" t="n">
        <v>80000</v>
      </c>
      <c r="L24" s="165" t="inlineStr">
        <is>
          <t>고</t>
        </is>
      </c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inlineStr">
        <is>
          <t>115A</t>
        </is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고덕센트럴아이파크</t>
        </is>
      </c>
      <c r="B25" s="16" t="inlineStr">
        <is>
          <t>'19.12.</t>
        </is>
      </c>
      <c r="C25" s="164" t="n">
        <v>1745</v>
      </c>
      <c r="D25" s="161" t="n">
        <v>115.8</v>
      </c>
      <c r="E25" s="163" t="n">
        <v>35</v>
      </c>
      <c r="F25" s="161" t="n">
        <v>85</v>
      </c>
      <c r="G25" s="27" t="n">
        <v>26</v>
      </c>
      <c r="H25" s="164" t="n">
        <v>258</v>
      </c>
      <c r="I25" s="165" t="n">
        <v>165000</v>
      </c>
      <c r="J25" s="165" t="inlineStr">
        <is>
          <t>고</t>
        </is>
      </c>
      <c r="K25" s="165" t="n">
        <v>100000</v>
      </c>
      <c r="L25" s="165" t="inlineStr">
        <is>
          <t>중</t>
        </is>
      </c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3</v>
      </c>
      <c r="R25" s="113" t="n">
        <v>2</v>
      </c>
      <c r="S25" s="113" t="inlineStr">
        <is>
          <t>계</t>
        </is>
      </c>
      <c r="T25" s="8" t="inlineStr">
        <is>
          <t>115B</t>
        </is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고덕센트럴아이파크</t>
        </is>
      </c>
      <c r="B26" s="16" t="inlineStr">
        <is>
          <t>'19.12.</t>
        </is>
      </c>
      <c r="C26" s="164" t="n">
        <v>1745</v>
      </c>
      <c r="D26" s="161" t="n">
        <v>139.4</v>
      </c>
      <c r="E26" s="163" t="n">
        <v>42</v>
      </c>
      <c r="F26" s="161" t="n">
        <v>102.9</v>
      </c>
      <c r="G26" s="27" t="n">
        <v>31</v>
      </c>
      <c r="H26" s="164" t="n">
        <v>86</v>
      </c>
      <c r="I26" s="165" t="n"/>
      <c r="J26" s="165" t="n"/>
      <c r="K26" s="165" t="n"/>
      <c r="L26" s="165" t="n"/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4</v>
      </c>
      <c r="R26" s="113" t="n">
        <v>2</v>
      </c>
      <c r="S26" s="113" t="inlineStr">
        <is>
          <t>계</t>
        </is>
      </c>
      <c r="T26" s="8" t="n">
        <v>139</v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고덕센트럴아이파크</t>
        </is>
      </c>
      <c r="B27" s="16" t="inlineStr">
        <is>
          <t>'19.12.</t>
        </is>
      </c>
      <c r="C27" s="164" t="n">
        <v>1745</v>
      </c>
      <c r="D27" s="161" t="n">
        <v>165.6</v>
      </c>
      <c r="E27" s="163" t="n">
        <v>50</v>
      </c>
      <c r="F27" s="161" t="n">
        <v>120.4</v>
      </c>
      <c r="G27" s="27" t="n">
        <v>36</v>
      </c>
      <c r="H27" s="164" t="n">
        <v>6</v>
      </c>
      <c r="I27" s="165" t="n"/>
      <c r="J27" s="165" t="n"/>
      <c r="K27" s="165" t="n"/>
      <c r="L27" s="165" t="n"/>
      <c r="M27" s="166">
        <f>I27-K27</f>
        <v/>
      </c>
      <c r="N27" s="7">
        <f>IF(ISERROR(K27/I27),"",K27/I27)</f>
        <v/>
      </c>
      <c r="O27" s="162">
        <f>I27/E27</f>
        <v/>
      </c>
      <c r="P27" s="162">
        <f>K27/E27</f>
        <v/>
      </c>
      <c r="Q27" s="113" t="n">
        <v>4</v>
      </c>
      <c r="R27" s="113" t="n">
        <v>2</v>
      </c>
      <c r="S27" s="113" t="inlineStr">
        <is>
          <t>계</t>
        </is>
      </c>
      <c r="T27" s="8" t="inlineStr">
        <is>
          <t>165PH</t>
        </is>
      </c>
      <c r="U27" s="13" t="n"/>
      <c r="W27" s="161">
        <f>D27</f>
        <v/>
      </c>
      <c r="X27" s="163">
        <f>E27</f>
        <v/>
      </c>
      <c r="Y27" s="159">
        <f>H27</f>
        <v/>
      </c>
      <c r="Z27" s="166">
        <f>I27</f>
        <v/>
      </c>
      <c r="AA27" s="166">
        <f>K27</f>
        <v/>
      </c>
      <c r="AB27" s="166">
        <f>M27</f>
        <v/>
      </c>
      <c r="AC27" s="7">
        <f>N27</f>
        <v/>
      </c>
      <c r="AD27" s="162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3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고덕센트럴아이파크</t>
        </is>
      </c>
      <c r="B28" s="16" t="inlineStr">
        <is>
          <t>'19.12.</t>
        </is>
      </c>
      <c r="C28" s="164" t="n">
        <v>1745</v>
      </c>
      <c r="D28" s="161" t="n">
        <v>179.9</v>
      </c>
      <c r="E28" s="163" t="n">
        <v>54</v>
      </c>
      <c r="F28" s="161" t="n">
        <v>130.8</v>
      </c>
      <c r="G28" s="27" t="n">
        <v>40</v>
      </c>
      <c r="H28" s="164" t="n">
        <v>3</v>
      </c>
      <c r="I28" s="165" t="n"/>
      <c r="J28" s="165" t="n"/>
      <c r="K28" s="165" t="n"/>
      <c r="L28" s="165" t="n"/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3</v>
      </c>
      <c r="R28" s="113" t="n">
        <v>2</v>
      </c>
      <c r="S28" s="113" t="inlineStr">
        <is>
          <t>계</t>
        </is>
      </c>
      <c r="T28" s="8" t="inlineStr">
        <is>
          <t>179PH</t>
        </is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n"/>
      <c r="B29" s="113" t="n"/>
      <c r="C29" s="10" t="n"/>
      <c r="D29" s="13" t="n"/>
      <c r="E29" s="20" t="n"/>
      <c r="F29" s="161" t="n"/>
      <c r="G29" s="13" t="n"/>
      <c r="H29" s="13" t="n"/>
      <c r="I29" s="13" t="n"/>
      <c r="J29" s="13" t="n"/>
      <c r="K29" s="13" t="n"/>
      <c r="L29" s="13" t="n"/>
      <c r="M29" s="13" t="n"/>
      <c r="N29" s="13" t="n"/>
      <c r="O29" s="162" t="n"/>
      <c r="P29" s="162" t="n"/>
      <c r="Q29" s="163" t="n"/>
      <c r="R29" s="163" t="n"/>
      <c r="S29" s="13" t="n"/>
      <c r="T29" s="70" t="n"/>
      <c r="U29" s="13" t="n"/>
      <c r="W29" s="107">
        <f>$A$4&amp;" "&amp;A30&amp;"("&amp;B30&amp;","&amp;C30&amp;"^)"</f>
        <v/>
      </c>
      <c r="X29" s="108" t="n"/>
      <c r="Y29" s="108" t="n"/>
      <c r="Z29" s="108" t="n"/>
      <c r="AA29" s="108" t="n"/>
      <c r="AB29" s="108" t="n"/>
      <c r="AC29" s="108" t="n"/>
      <c r="AD29" s="108" t="n"/>
      <c r="AE29" s="108" t="n"/>
      <c r="AF29" s="109" t="n"/>
      <c r="AH29" s="36">
        <f>IF(A29="","",A29)</f>
        <v/>
      </c>
      <c r="AI29" s="160">
        <f>IF(E29="","",E29)</f>
        <v/>
      </c>
      <c r="AJ29" s="113" t="n"/>
      <c r="AK29" s="113" t="n"/>
      <c r="AL29" s="113" t="n"/>
      <c r="AM29" s="113" t="n"/>
      <c r="AN29" s="113" t="n"/>
      <c r="AO29" s="113" t="n"/>
      <c r="AP29" s="113" t="n"/>
      <c r="AQ29" s="113" t="n"/>
      <c r="AR29" s="113" t="n"/>
      <c r="AS29" s="113" t="n"/>
      <c r="AT29" s="113" t="n"/>
      <c r="AU29" s="113" t="n"/>
      <c r="AV29" s="113" t="n"/>
    </row>
    <row r="30">
      <c r="A30" s="13" t="inlineStr">
        <is>
          <t>고덕롯데캐슬베네루체</t>
        </is>
      </c>
      <c r="B30" s="16" t="inlineStr">
        <is>
          <t>'19.12.</t>
        </is>
      </c>
      <c r="C30" s="164" t="n">
        <v>1859</v>
      </c>
      <c r="D30" s="161" t="n">
        <v>83.40000000000001</v>
      </c>
      <c r="E30" s="163" t="n">
        <v>25</v>
      </c>
      <c r="F30" s="161" t="n">
        <v>60</v>
      </c>
      <c r="G30" s="27" t="n">
        <v>18</v>
      </c>
      <c r="H30" s="164" t="n">
        <v>355</v>
      </c>
      <c r="I30" s="165" t="n">
        <v>122000</v>
      </c>
      <c r="J30" s="165" t="inlineStr">
        <is>
          <t>중</t>
        </is>
      </c>
      <c r="K30" s="165" t="n">
        <v>70000</v>
      </c>
      <c r="L30" s="165" t="inlineStr">
        <is>
          <t>중</t>
        </is>
      </c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3</v>
      </c>
      <c r="R30" s="113" t="n">
        <v>2</v>
      </c>
      <c r="S30" s="113" t="inlineStr">
        <is>
          <t>계</t>
        </is>
      </c>
      <c r="T30" s="8" t="inlineStr">
        <is>
          <t>83A</t>
        </is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고덕롯데캐슬베네루체</t>
        </is>
      </c>
      <c r="B31" s="16" t="inlineStr">
        <is>
          <t>'19.12.</t>
        </is>
      </c>
      <c r="C31" s="164" t="n">
        <v>1859</v>
      </c>
      <c r="D31" s="161" t="n">
        <v>84.59999999999999</v>
      </c>
      <c r="E31" s="163" t="n">
        <v>26</v>
      </c>
      <c r="F31" s="161" t="n">
        <v>60</v>
      </c>
      <c r="G31" s="27" t="n">
        <v>18</v>
      </c>
      <c r="H31" s="164" t="n">
        <v>9</v>
      </c>
      <c r="I31" s="165" t="n"/>
      <c r="J31" s="165" t="n"/>
      <c r="K31" s="165" t="n"/>
      <c r="L31" s="165" t="n"/>
      <c r="M31" s="166">
        <f>I31-K31</f>
        <v/>
      </c>
      <c r="N31" s="7">
        <f>IF(ISERROR(K31/I31),"",K31/I31)</f>
        <v/>
      </c>
      <c r="O31" s="162">
        <f>I31/E31</f>
        <v/>
      </c>
      <c r="P31" s="162">
        <f>K31/E31</f>
        <v/>
      </c>
      <c r="Q31" s="113" t="n">
        <v>3</v>
      </c>
      <c r="R31" s="113" t="n">
        <v>2</v>
      </c>
      <c r="S31" s="113" t="inlineStr">
        <is>
          <t>계</t>
        </is>
      </c>
      <c r="T31" s="8" t="inlineStr">
        <is>
          <t>84B</t>
        </is>
      </c>
      <c r="U31" s="13" t="n"/>
      <c r="W31" s="161">
        <f>D31</f>
        <v/>
      </c>
      <c r="X31" s="163">
        <f>E31</f>
        <v/>
      </c>
      <c r="Y31" s="159">
        <f>H31</f>
        <v/>
      </c>
      <c r="Z31" s="166">
        <f>I31</f>
        <v/>
      </c>
      <c r="AA31" s="166">
        <f>K31</f>
        <v/>
      </c>
      <c r="AB31" s="166">
        <f>M31</f>
        <v/>
      </c>
      <c r="AC31" s="7">
        <f>N31</f>
        <v/>
      </c>
      <c r="AD31" s="162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3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고덕롯데캐슬베네루체</t>
        </is>
      </c>
      <c r="B32" s="16" t="inlineStr">
        <is>
          <t>'19.12.</t>
        </is>
      </c>
      <c r="C32" s="164" t="n">
        <v>1859</v>
      </c>
      <c r="D32" s="161" t="n">
        <v>111.3</v>
      </c>
      <c r="E32" s="163" t="n">
        <v>34</v>
      </c>
      <c r="F32" s="161" t="n">
        <v>84.90000000000001</v>
      </c>
      <c r="G32" s="27" t="n">
        <v>26</v>
      </c>
      <c r="H32" s="164" t="n">
        <v>918</v>
      </c>
      <c r="I32" s="165" t="n">
        <v>155000</v>
      </c>
      <c r="J32" s="165" t="inlineStr">
        <is>
          <t>고</t>
        </is>
      </c>
      <c r="K32" s="165" t="n">
        <v>72000</v>
      </c>
      <c r="L32" s="165" t="inlineStr">
        <is>
          <t>중</t>
        </is>
      </c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3</v>
      </c>
      <c r="R32" s="113" t="n">
        <v>2</v>
      </c>
      <c r="S32" s="113" t="inlineStr">
        <is>
          <t>계</t>
        </is>
      </c>
      <c r="T32" s="8" t="inlineStr">
        <is>
          <t>111A</t>
        </is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고덕롯데캐슬베네루체</t>
        </is>
      </c>
      <c r="B33" s="16" t="inlineStr">
        <is>
          <t>'19.12.</t>
        </is>
      </c>
      <c r="C33" s="164" t="n">
        <v>1859</v>
      </c>
      <c r="D33" s="161" t="n">
        <v>112.3</v>
      </c>
      <c r="E33" s="163" t="n">
        <v>34</v>
      </c>
      <c r="F33" s="161" t="n">
        <v>84.09999999999999</v>
      </c>
      <c r="G33" s="27" t="n">
        <v>25</v>
      </c>
      <c r="H33" s="164" t="n">
        <v>422</v>
      </c>
      <c r="I33" s="165" t="n">
        <v>160000</v>
      </c>
      <c r="J33" s="165" t="inlineStr">
        <is>
          <t>7</t>
        </is>
      </c>
      <c r="K33" s="165" t="n">
        <v>73000</v>
      </c>
      <c r="L33" s="165" t="inlineStr">
        <is>
          <t>중</t>
        </is>
      </c>
      <c r="M33" s="166">
        <f>I33-K33</f>
        <v/>
      </c>
      <c r="N33" s="7">
        <f>IF(ISERROR(K33/I33),"",K33/I33)</f>
        <v/>
      </c>
      <c r="O33" s="162">
        <f>I33/E33</f>
        <v/>
      </c>
      <c r="P33" s="162">
        <f>K33/E33</f>
        <v/>
      </c>
      <c r="Q33" s="113" t="n">
        <v>3</v>
      </c>
      <c r="R33" s="113" t="n">
        <v>2</v>
      </c>
      <c r="S33" s="113" t="inlineStr">
        <is>
          <t>계</t>
        </is>
      </c>
      <c r="T33" s="8" t="inlineStr">
        <is>
          <t>112B</t>
        </is>
      </c>
      <c r="U33" s="13" t="n"/>
      <c r="W33" s="161">
        <f>D33</f>
        <v/>
      </c>
      <c r="X33" s="163">
        <f>E33</f>
        <v/>
      </c>
      <c r="Y33" s="159">
        <f>H33</f>
        <v/>
      </c>
      <c r="Z33" s="166">
        <f>I33</f>
        <v/>
      </c>
      <c r="AA33" s="166">
        <f>K33</f>
        <v/>
      </c>
      <c r="AB33" s="166">
        <f>M33</f>
        <v/>
      </c>
      <c r="AC33" s="7">
        <f>N33</f>
        <v/>
      </c>
      <c r="AD33" s="162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3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고덕롯데캐슬베네루체</t>
        </is>
      </c>
      <c r="B34" s="16" t="inlineStr">
        <is>
          <t>'19.12.</t>
        </is>
      </c>
      <c r="C34" s="164" t="n">
        <v>1859</v>
      </c>
      <c r="D34" s="161" t="n">
        <v>152.4</v>
      </c>
      <c r="E34" s="163" t="n">
        <v>46</v>
      </c>
      <c r="F34" s="161" t="n">
        <v>122.1</v>
      </c>
      <c r="G34" s="27" t="n">
        <v>37</v>
      </c>
      <c r="H34" s="164" t="n">
        <v>58</v>
      </c>
      <c r="I34" s="165" t="n">
        <v>250000</v>
      </c>
      <c r="J34" s="165" t="inlineStr">
        <is>
          <t>중</t>
        </is>
      </c>
      <c r="K34" s="165" t="n">
        <v>120000</v>
      </c>
      <c r="L34" s="165" t="inlineStr">
        <is>
          <t>고</t>
        </is>
      </c>
      <c r="M34" s="166">
        <f>I34-K34</f>
        <v/>
      </c>
      <c r="N34" s="7">
        <f>IF(ISERROR(K34/I34),"",K34/I34)</f>
        <v/>
      </c>
      <c r="O34" s="162">
        <f>I34/E34</f>
        <v/>
      </c>
      <c r="P34" s="162">
        <f>K34/E34</f>
        <v/>
      </c>
      <c r="Q34" s="113" t="n">
        <v>4</v>
      </c>
      <c r="R34" s="113" t="n">
        <v>2</v>
      </c>
      <c r="S34" s="113" t="inlineStr">
        <is>
          <t>계</t>
        </is>
      </c>
      <c r="T34" s="8" t="n">
        <v>152</v>
      </c>
      <c r="U34" s="13" t="n"/>
      <c r="W34" s="161">
        <f>D34</f>
        <v/>
      </c>
      <c r="X34" s="163">
        <f>E34</f>
        <v/>
      </c>
      <c r="Y34" s="159">
        <f>H34</f>
        <v/>
      </c>
      <c r="Z34" s="166">
        <f>I34</f>
        <v/>
      </c>
      <c r="AA34" s="166">
        <f>K34</f>
        <v/>
      </c>
      <c r="AB34" s="166">
        <f>M34</f>
        <v/>
      </c>
      <c r="AC34" s="7">
        <f>N34</f>
        <v/>
      </c>
      <c r="AD34" s="162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3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n"/>
      <c r="B35" s="113" t="n"/>
      <c r="C35" s="10" t="n"/>
      <c r="D35" s="13" t="n"/>
      <c r="E35" s="20" t="n"/>
      <c r="F35" s="161" t="n"/>
      <c r="G35" s="13" t="n"/>
      <c r="H35" s="13" t="n"/>
      <c r="I35" s="13" t="n"/>
      <c r="J35" s="13" t="n"/>
      <c r="K35" s="13" t="n"/>
      <c r="L35" s="13" t="n"/>
      <c r="M35" s="13" t="n"/>
      <c r="N35" s="13" t="n"/>
      <c r="O35" s="162" t="n"/>
      <c r="P35" s="162" t="n"/>
      <c r="Q35" s="163" t="n"/>
      <c r="R35" s="163" t="n"/>
      <c r="S35" s="13" t="n"/>
      <c r="T35" s="70" t="n"/>
      <c r="U35" s="13" t="n"/>
      <c r="W35" s="107">
        <f>$A$4&amp;" "&amp;A36&amp;"("&amp;B36&amp;","&amp;C36&amp;"^)"</f>
        <v/>
      </c>
      <c r="X35" s="108" t="n"/>
      <c r="Y35" s="108" t="n"/>
      <c r="Z35" s="108" t="n"/>
      <c r="AA35" s="108" t="n"/>
      <c r="AB35" s="108" t="n"/>
      <c r="AC35" s="108" t="n"/>
      <c r="AD35" s="108" t="n"/>
      <c r="AE35" s="108" t="n"/>
      <c r="AF35" s="109" t="n"/>
      <c r="AH35" s="36">
        <f>IF(A35="","",A35)</f>
        <v/>
      </c>
      <c r="AI35" s="160">
        <f>IF(E35="","",E35)</f>
        <v/>
      </c>
      <c r="AJ35" s="113" t="n"/>
      <c r="AK35" s="113" t="n"/>
      <c r="AL35" s="113" t="n"/>
      <c r="AM35" s="113" t="n"/>
      <c r="AN35" s="113" t="n"/>
      <c r="AO35" s="113" t="n"/>
      <c r="AP35" s="113" t="n"/>
      <c r="AQ35" s="113" t="n"/>
      <c r="AR35" s="113" t="n"/>
      <c r="AS35" s="113" t="n"/>
      <c r="AT35" s="113" t="n"/>
      <c r="AU35" s="113" t="n"/>
      <c r="AV35" s="113" t="n"/>
    </row>
    <row r="36">
      <c r="A36" s="13" t="inlineStr">
        <is>
          <t>고덕리엔파크3단지</t>
        </is>
      </c>
      <c r="B36" s="16" t="inlineStr">
        <is>
          <t>'11.01.</t>
        </is>
      </c>
      <c r="C36" s="164" t="n">
        <v>2283</v>
      </c>
      <c r="D36" s="161" t="n">
        <v>79.3</v>
      </c>
      <c r="E36" s="163" t="n">
        <v>24</v>
      </c>
      <c r="F36" s="161" t="n">
        <v>59.8</v>
      </c>
      <c r="G36" s="27" t="n">
        <v>18</v>
      </c>
      <c r="H36" s="164" t="n">
        <v>39</v>
      </c>
      <c r="I36" s="165" t="n"/>
      <c r="J36" s="165" t="n"/>
      <c r="K36" s="165" t="n"/>
      <c r="L36" s="165" t="n"/>
      <c r="M36" s="166">
        <f>I36-K36</f>
        <v/>
      </c>
      <c r="N36" s="7">
        <f>IF(ISERROR(K36/I36),"",K36/I36)</f>
        <v/>
      </c>
      <c r="O36" s="162">
        <f>I36/E36</f>
        <v/>
      </c>
      <c r="P36" s="162">
        <f>K36/E36</f>
        <v/>
      </c>
      <c r="Q36" s="113" t="n">
        <v>3</v>
      </c>
      <c r="R36" s="113" t="n">
        <v>2</v>
      </c>
      <c r="S36" s="113" t="inlineStr">
        <is>
          <t>복</t>
        </is>
      </c>
      <c r="T36" s="8" t="inlineStr">
        <is>
          <t>79A</t>
        </is>
      </c>
      <c r="U36" s="13" t="n"/>
      <c r="W36" s="161">
        <f>D36</f>
        <v/>
      </c>
      <c r="X36" s="163">
        <f>E36</f>
        <v/>
      </c>
      <c r="Y36" s="159">
        <f>H36</f>
        <v/>
      </c>
      <c r="Z36" s="166">
        <f>I36</f>
        <v/>
      </c>
      <c r="AA36" s="166">
        <f>K36</f>
        <v/>
      </c>
      <c r="AB36" s="166">
        <f>M36</f>
        <v/>
      </c>
      <c r="AC36" s="7">
        <f>N36</f>
        <v/>
      </c>
      <c r="AD36" s="162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3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inlineStr">
        <is>
          <t>고덕리엔파크3단지</t>
        </is>
      </c>
      <c r="B37" s="16" t="inlineStr">
        <is>
          <t>'11.01.</t>
        </is>
      </c>
      <c r="C37" s="164" t="n">
        <v>2283</v>
      </c>
      <c r="D37" s="161" t="n">
        <v>79.2</v>
      </c>
      <c r="E37" s="163" t="n">
        <v>24</v>
      </c>
      <c r="F37" s="161" t="n">
        <v>59.7</v>
      </c>
      <c r="G37" s="27" t="n">
        <v>18</v>
      </c>
      <c r="H37" s="164" t="n">
        <v>39</v>
      </c>
      <c r="I37" s="165" t="n"/>
      <c r="J37" s="165" t="n"/>
      <c r="K37" s="165" t="n"/>
      <c r="L37" s="165" t="n"/>
      <c r="M37" s="166">
        <f>I37-K37</f>
        <v/>
      </c>
      <c r="N37" s="7">
        <f>IF(ISERROR(K37/I37),"",K37/I37)</f>
        <v/>
      </c>
      <c r="O37" s="162">
        <f>I37/E37</f>
        <v/>
      </c>
      <c r="P37" s="162">
        <f>K37/E37</f>
        <v/>
      </c>
      <c r="Q37" s="113" t="n">
        <v>3</v>
      </c>
      <c r="R37" s="113" t="n">
        <v>2</v>
      </c>
      <c r="S37" s="113" t="inlineStr">
        <is>
          <t>복</t>
        </is>
      </c>
      <c r="T37" s="8" t="inlineStr">
        <is>
          <t>79B</t>
        </is>
      </c>
      <c r="U37" s="13" t="n"/>
      <c r="W37" s="161">
        <f>D37</f>
        <v/>
      </c>
      <c r="X37" s="163">
        <f>E37</f>
        <v/>
      </c>
      <c r="Y37" s="159">
        <f>H37</f>
        <v/>
      </c>
      <c r="Z37" s="166">
        <f>I37</f>
        <v/>
      </c>
      <c r="AA37" s="166">
        <f>K37</f>
        <v/>
      </c>
      <c r="AB37" s="166">
        <f>M37</f>
        <v/>
      </c>
      <c r="AC37" s="7">
        <f>N37</f>
        <v/>
      </c>
      <c r="AD37" s="162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3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inlineStr">
        <is>
          <t>고덕리엔파크3단지</t>
        </is>
      </c>
      <c r="B38" s="16" t="inlineStr">
        <is>
          <t>'11.01.</t>
        </is>
      </c>
      <c r="C38" s="164" t="n">
        <v>2283</v>
      </c>
      <c r="D38" s="161" t="n">
        <v>111.5</v>
      </c>
      <c r="E38" s="163" t="n">
        <v>34</v>
      </c>
      <c r="F38" s="161" t="n">
        <v>85</v>
      </c>
      <c r="G38" s="27" t="n">
        <v>26</v>
      </c>
      <c r="H38" s="164" t="n">
        <v>108</v>
      </c>
      <c r="I38" s="165" t="n">
        <v>140000</v>
      </c>
      <c r="J38" s="165" t="inlineStr">
        <is>
          <t>20</t>
        </is>
      </c>
      <c r="K38" s="165" t="n"/>
      <c r="L38" s="165" t="n"/>
      <c r="M38" s="166">
        <f>I38-K38</f>
        <v/>
      </c>
      <c r="N38" s="7">
        <f>IF(ISERROR(K38/I38),"",K38/I38)</f>
        <v/>
      </c>
      <c r="O38" s="162">
        <f>I38/E38</f>
        <v/>
      </c>
      <c r="P38" s="162">
        <f>K38/E38</f>
        <v/>
      </c>
      <c r="Q38" s="113" t="n">
        <v>3</v>
      </c>
      <c r="R38" s="113" t="n">
        <v>2</v>
      </c>
      <c r="S38" s="113" t="inlineStr">
        <is>
          <t>복</t>
        </is>
      </c>
      <c r="T38" s="8" t="inlineStr">
        <is>
          <t>111D</t>
        </is>
      </c>
      <c r="U38" s="13" t="n"/>
      <c r="W38" s="161">
        <f>D38</f>
        <v/>
      </c>
      <c r="X38" s="163">
        <f>E38</f>
        <v/>
      </c>
      <c r="Y38" s="159">
        <f>H38</f>
        <v/>
      </c>
      <c r="Z38" s="166">
        <f>I38</f>
        <v/>
      </c>
      <c r="AA38" s="166">
        <f>K38</f>
        <v/>
      </c>
      <c r="AB38" s="166">
        <f>M38</f>
        <v/>
      </c>
      <c r="AC38" s="7">
        <f>N38</f>
        <v/>
      </c>
      <c r="AD38" s="162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3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고덕리엔파크3단지</t>
        </is>
      </c>
      <c r="B39" s="16" t="inlineStr">
        <is>
          <t>'11.01.</t>
        </is>
      </c>
      <c r="C39" s="164" t="n">
        <v>2283</v>
      </c>
      <c r="D39" s="161" t="n">
        <v>111.7</v>
      </c>
      <c r="E39" s="163" t="n">
        <v>34</v>
      </c>
      <c r="F39" s="161" t="n">
        <v>85</v>
      </c>
      <c r="G39" s="27" t="n">
        <v>26</v>
      </c>
      <c r="H39" s="164" t="n">
        <v>84</v>
      </c>
      <c r="I39" s="165" t="n">
        <v>135000</v>
      </c>
      <c r="J39" s="165" t="inlineStr">
        <is>
          <t>14</t>
        </is>
      </c>
      <c r="K39" s="165" t="n">
        <v>61950</v>
      </c>
      <c r="L39" s="165" t="inlineStr">
        <is>
          <t>중</t>
        </is>
      </c>
      <c r="M39" s="166">
        <f>I39-K39</f>
        <v/>
      </c>
      <c r="N39" s="7">
        <f>IF(ISERROR(K39/I39),"",K39/I39)</f>
        <v/>
      </c>
      <c r="O39" s="162">
        <f>I39/E39</f>
        <v/>
      </c>
      <c r="P39" s="162">
        <f>K39/E39</f>
        <v/>
      </c>
      <c r="Q39" s="113" t="n">
        <v>3</v>
      </c>
      <c r="R39" s="113" t="n">
        <v>2</v>
      </c>
      <c r="S39" s="113" t="inlineStr">
        <is>
          <t>복</t>
        </is>
      </c>
      <c r="T39" s="8" t="inlineStr">
        <is>
          <t>111A</t>
        </is>
      </c>
      <c r="U39" s="13" t="n"/>
      <c r="W39" s="161">
        <f>D39</f>
        <v/>
      </c>
      <c r="X39" s="163">
        <f>E39</f>
        <v/>
      </c>
      <c r="Y39" s="159">
        <f>H39</f>
        <v/>
      </c>
      <c r="Z39" s="166">
        <f>I39</f>
        <v/>
      </c>
      <c r="AA39" s="166">
        <f>K39</f>
        <v/>
      </c>
      <c r="AB39" s="166">
        <f>M39</f>
        <v/>
      </c>
      <c r="AC39" s="7">
        <f>N39</f>
        <v/>
      </c>
      <c r="AD39" s="162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3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inlineStr">
        <is>
          <t>고덕리엔파크3단지</t>
        </is>
      </c>
      <c r="B40" s="16" t="inlineStr">
        <is>
          <t>'11.01.</t>
        </is>
      </c>
      <c r="C40" s="164" t="n">
        <v>2283</v>
      </c>
      <c r="D40" s="161" t="n">
        <v>111.8</v>
      </c>
      <c r="E40" s="163" t="n">
        <v>34</v>
      </c>
      <c r="F40" s="161" t="n">
        <v>84.90000000000001</v>
      </c>
      <c r="G40" s="27" t="n">
        <v>26</v>
      </c>
      <c r="H40" s="164" t="n">
        <v>84</v>
      </c>
      <c r="I40" s="165" t="n">
        <v>132000</v>
      </c>
      <c r="J40" s="165" t="inlineStr">
        <is>
          <t>6</t>
        </is>
      </c>
      <c r="K40" s="165" t="n"/>
      <c r="L40" s="165" t="n"/>
      <c r="M40" s="166">
        <f>I40-K40</f>
        <v/>
      </c>
      <c r="N40" s="7">
        <f>IF(ISERROR(K40/I40),"",K40/I40)</f>
        <v/>
      </c>
      <c r="O40" s="162">
        <f>I40/E40</f>
        <v/>
      </c>
      <c r="P40" s="162">
        <f>K40/E40</f>
        <v/>
      </c>
      <c r="Q40" s="113" t="n">
        <v>3</v>
      </c>
      <c r="R40" s="113" t="n">
        <v>2</v>
      </c>
      <c r="S40" s="113" t="inlineStr">
        <is>
          <t>계</t>
        </is>
      </c>
      <c r="T40" s="8" t="inlineStr">
        <is>
          <t>111B</t>
        </is>
      </c>
      <c r="U40" s="13" t="n"/>
      <c r="W40" s="161">
        <f>D40</f>
        <v/>
      </c>
      <c r="X40" s="163">
        <f>E40</f>
        <v/>
      </c>
      <c r="Y40" s="159">
        <f>H40</f>
        <v/>
      </c>
      <c r="Z40" s="166">
        <f>I40</f>
        <v/>
      </c>
      <c r="AA40" s="166">
        <f>K40</f>
        <v/>
      </c>
      <c r="AB40" s="166">
        <f>M40</f>
        <v/>
      </c>
      <c r="AC40" s="7">
        <f>N40</f>
        <v/>
      </c>
      <c r="AD40" s="162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3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inlineStr">
        <is>
          <t>고덕리엔파크3단지</t>
        </is>
      </c>
      <c r="B41" s="16" t="inlineStr">
        <is>
          <t>'11.01.</t>
        </is>
      </c>
      <c r="C41" s="164" t="n">
        <v>2283</v>
      </c>
      <c r="D41" s="161" t="n">
        <v>112.5</v>
      </c>
      <c r="E41" s="163" t="n">
        <v>34</v>
      </c>
      <c r="F41" s="161" t="n">
        <v>84.8</v>
      </c>
      <c r="G41" s="27" t="n">
        <v>26</v>
      </c>
      <c r="H41" s="164" t="n">
        <v>108</v>
      </c>
      <c r="I41" s="165" t="n">
        <v>140000</v>
      </c>
      <c r="J41" s="165" t="inlineStr">
        <is>
          <t>16</t>
        </is>
      </c>
      <c r="K41" s="165" t="n"/>
      <c r="L41" s="165" t="n"/>
      <c r="M41" s="166">
        <f>I41-K41</f>
        <v/>
      </c>
      <c r="N41" s="7">
        <f>IF(ISERROR(K41/I41),"",K41/I41)</f>
        <v/>
      </c>
      <c r="O41" s="162">
        <f>I41/E41</f>
        <v/>
      </c>
      <c r="P41" s="162">
        <f>K41/E41</f>
        <v/>
      </c>
      <c r="Q41" s="113" t="n">
        <v>3</v>
      </c>
      <c r="R41" s="113" t="n">
        <v>2</v>
      </c>
      <c r="S41" s="113" t="inlineStr">
        <is>
          <t>복</t>
        </is>
      </c>
      <c r="T41" s="8" t="inlineStr">
        <is>
          <t>112C</t>
        </is>
      </c>
      <c r="U41" s="13" t="n"/>
      <c r="W41" s="161">
        <f>D41</f>
        <v/>
      </c>
      <c r="X41" s="163">
        <f>E41</f>
        <v/>
      </c>
      <c r="Y41" s="159">
        <f>H41</f>
        <v/>
      </c>
      <c r="Z41" s="166">
        <f>I41</f>
        <v/>
      </c>
      <c r="AA41" s="166">
        <f>K41</f>
        <v/>
      </c>
      <c r="AB41" s="166">
        <f>M41</f>
        <v/>
      </c>
      <c r="AC41" s="7">
        <f>N41</f>
        <v/>
      </c>
      <c r="AD41" s="162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3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inlineStr">
        <is>
          <t>고덕리엔파크3단지</t>
        </is>
      </c>
      <c r="B42" s="16" t="inlineStr">
        <is>
          <t>'11.01.</t>
        </is>
      </c>
      <c r="C42" s="164" t="n">
        <v>2283</v>
      </c>
      <c r="D42" s="161" t="n">
        <v>150.2</v>
      </c>
      <c r="E42" s="163" t="n">
        <v>45</v>
      </c>
      <c r="F42" s="161" t="n">
        <v>115</v>
      </c>
      <c r="G42" s="27" t="n">
        <v>35</v>
      </c>
      <c r="H42" s="164" t="n">
        <v>7</v>
      </c>
      <c r="I42" s="165" t="n">
        <v>185000</v>
      </c>
      <c r="J42" s="165" t="inlineStr">
        <is>
          <t>16</t>
        </is>
      </c>
      <c r="K42" s="165" t="n"/>
      <c r="L42" s="165" t="n"/>
      <c r="M42" s="166">
        <f>I42-K42</f>
        <v/>
      </c>
      <c r="N42" s="7">
        <f>IF(ISERROR(K42/I42),"",K42/I42)</f>
        <v/>
      </c>
      <c r="O42" s="162">
        <f>I42/E42</f>
        <v/>
      </c>
      <c r="P42" s="162">
        <f>K42/E42</f>
        <v/>
      </c>
      <c r="Q42" s="113" t="n">
        <v>4</v>
      </c>
      <c r="R42" s="113" t="n">
        <v>2</v>
      </c>
      <c r="S42" s="113" t="inlineStr">
        <is>
          <t>복</t>
        </is>
      </c>
      <c r="T42" s="8" t="inlineStr">
        <is>
          <t>150C</t>
        </is>
      </c>
      <c r="U42" s="13" t="n"/>
      <c r="W42" s="161">
        <f>D42</f>
        <v/>
      </c>
      <c r="X42" s="163">
        <f>E42</f>
        <v/>
      </c>
      <c r="Y42" s="159">
        <f>H42</f>
        <v/>
      </c>
      <c r="Z42" s="166">
        <f>I42</f>
        <v/>
      </c>
      <c r="AA42" s="166">
        <f>K42</f>
        <v/>
      </c>
      <c r="AB42" s="166">
        <f>M42</f>
        <v/>
      </c>
      <c r="AC42" s="7">
        <f>N42</f>
        <v/>
      </c>
      <c r="AD42" s="162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3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n"/>
      <c r="B43" s="113" t="n"/>
      <c r="C43" s="10" t="n"/>
      <c r="D43" s="13" t="n"/>
      <c r="E43" s="20" t="n"/>
      <c r="F43" s="161" t="n"/>
      <c r="G43" s="13" t="n"/>
      <c r="H43" s="13" t="n"/>
      <c r="I43" s="13" t="n"/>
      <c r="J43" s="13" t="n"/>
      <c r="K43" s="13" t="n"/>
      <c r="L43" s="13" t="n"/>
      <c r="M43" s="13" t="n"/>
      <c r="N43" s="13" t="n"/>
      <c r="O43" s="162" t="n"/>
      <c r="P43" s="162" t="n"/>
      <c r="Q43" s="163" t="n"/>
      <c r="R43" s="163" t="n"/>
      <c r="S43" s="13" t="n"/>
      <c r="T43" s="70" t="n"/>
      <c r="U43" s="13" t="n"/>
      <c r="W43" s="107">
        <f>$A$4&amp;" "&amp;A44&amp;"("&amp;B44&amp;","&amp;C44&amp;"^)"</f>
        <v/>
      </c>
      <c r="X43" s="108" t="n"/>
      <c r="Y43" s="108" t="n"/>
      <c r="Z43" s="108" t="n"/>
      <c r="AA43" s="108" t="n"/>
      <c r="AB43" s="108" t="n"/>
      <c r="AC43" s="108" t="n"/>
      <c r="AD43" s="108" t="n"/>
      <c r="AE43" s="108" t="n"/>
      <c r="AF43" s="109" t="n"/>
      <c r="AH43" s="36">
        <f>IF(A43="","",A43)</f>
        <v/>
      </c>
      <c r="AI43" s="160">
        <f>IF(E43="","",E43)</f>
        <v/>
      </c>
      <c r="AJ43" s="113" t="n"/>
      <c r="AK43" s="113" t="n"/>
      <c r="AL43" s="113" t="n"/>
      <c r="AM43" s="113" t="n"/>
      <c r="AN43" s="113" t="n"/>
      <c r="AO43" s="113" t="n"/>
      <c r="AP43" s="113" t="n"/>
      <c r="AQ43" s="113" t="n"/>
      <c r="AR43" s="113" t="n"/>
      <c r="AS43" s="113" t="n"/>
      <c r="AT43" s="113" t="n"/>
      <c r="AU43" s="113" t="n"/>
      <c r="AV43" s="113" t="n"/>
    </row>
    <row r="44">
      <c r="A44" s="13" t="inlineStr">
        <is>
          <t>강동리엔파크14단지</t>
        </is>
      </c>
      <c r="B44" s="16" t="inlineStr">
        <is>
          <t>'21.02.</t>
        </is>
      </c>
      <c r="C44" s="164" t="n">
        <v>943</v>
      </c>
      <c r="D44" s="161" t="n">
        <v>72</v>
      </c>
      <c r="E44" s="163" t="n">
        <v>22</v>
      </c>
      <c r="F44" s="161" t="n">
        <v>49.7</v>
      </c>
      <c r="G44" s="27" t="n">
        <v>15</v>
      </c>
      <c r="H44" s="164" t="n">
        <v>206</v>
      </c>
      <c r="I44" s="165" t="n"/>
      <c r="J44" s="165" t="n"/>
      <c r="K44" s="165" t="n"/>
      <c r="L44" s="165" t="n"/>
      <c r="M44" s="166">
        <f>I44-K44</f>
        <v/>
      </c>
      <c r="N44" s="7">
        <f>IF(ISERROR(K44/I44),"",K44/I44)</f>
        <v/>
      </c>
      <c r="O44" s="162">
        <f>I44/E44</f>
        <v/>
      </c>
      <c r="P44" s="162">
        <f>K44/E44</f>
        <v/>
      </c>
      <c r="Q44" s="113" t="n">
        <v>2</v>
      </c>
      <c r="R44" s="113" t="n">
        <v>1</v>
      </c>
      <c r="S44" s="113" t="inlineStr">
        <is>
          <t>복</t>
        </is>
      </c>
      <c r="T44" s="8" t="inlineStr">
        <is>
          <t>72A</t>
        </is>
      </c>
      <c r="U44" s="13" t="n"/>
      <c r="W44" s="161">
        <f>D44</f>
        <v/>
      </c>
      <c r="X44" s="163">
        <f>E44</f>
        <v/>
      </c>
      <c r="Y44" s="159">
        <f>H44</f>
        <v/>
      </c>
      <c r="Z44" s="166">
        <f>I44</f>
        <v/>
      </c>
      <c r="AA44" s="166">
        <f>K44</f>
        <v/>
      </c>
      <c r="AB44" s="166">
        <f>M44</f>
        <v/>
      </c>
      <c r="AC44" s="7">
        <f>N44</f>
        <v/>
      </c>
      <c r="AD44" s="162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3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inlineStr">
        <is>
          <t>강동리엔파크14단지</t>
        </is>
      </c>
      <c r="B45" s="16" t="inlineStr">
        <is>
          <t>'21.02.</t>
        </is>
      </c>
      <c r="C45" s="164" t="n">
        <v>943</v>
      </c>
      <c r="D45" s="161" t="n">
        <v>86.7</v>
      </c>
      <c r="E45" s="163" t="n">
        <v>26</v>
      </c>
      <c r="F45" s="161" t="n">
        <v>59.9</v>
      </c>
      <c r="G45" s="27" t="n">
        <v>18</v>
      </c>
      <c r="H45" s="164" t="n">
        <v>205</v>
      </c>
      <c r="I45" s="165" t="n"/>
      <c r="J45" s="165" t="n"/>
      <c r="K45" s="165" t="n"/>
      <c r="L45" s="165" t="n"/>
      <c r="M45" s="166">
        <f>I45-K45</f>
        <v/>
      </c>
      <c r="N45" s="7">
        <f>IF(ISERROR(K45/I45),"",K45/I45)</f>
        <v/>
      </c>
      <c r="O45" s="162">
        <f>I45/E45</f>
        <v/>
      </c>
      <c r="P45" s="162">
        <f>K45/E45</f>
        <v/>
      </c>
      <c r="Q45" s="113" t="n">
        <v>3</v>
      </c>
      <c r="R45" s="113" t="n">
        <v>2</v>
      </c>
      <c r="S45" s="113" t="inlineStr">
        <is>
          <t>계</t>
        </is>
      </c>
      <c r="T45" s="8" t="n">
        <v>86</v>
      </c>
      <c r="U45" s="13" t="n"/>
      <c r="W45" s="161">
        <f>D45</f>
        <v/>
      </c>
      <c r="X45" s="163">
        <f>E45</f>
        <v/>
      </c>
      <c r="Y45" s="159">
        <f>H45</f>
        <v/>
      </c>
      <c r="Z45" s="166">
        <f>I45</f>
        <v/>
      </c>
      <c r="AA45" s="166">
        <f>K45</f>
        <v/>
      </c>
      <c r="AB45" s="166">
        <f>M45</f>
        <v/>
      </c>
      <c r="AC45" s="7">
        <f>N45</f>
        <v/>
      </c>
      <c r="AD45" s="162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3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n"/>
      <c r="B46" s="113" t="n"/>
      <c r="C46" s="10" t="n"/>
      <c r="D46" s="13" t="n"/>
      <c r="E46" s="20" t="n"/>
      <c r="F46" s="161" t="n"/>
      <c r="G46" s="13" t="n"/>
      <c r="H46" s="13" t="n"/>
      <c r="I46" s="13" t="n"/>
      <c r="J46" s="13" t="n"/>
      <c r="K46" s="13" t="n"/>
      <c r="L46" s="13" t="n"/>
      <c r="M46" s="13" t="n"/>
      <c r="N46" s="13" t="n"/>
      <c r="O46" s="162" t="n"/>
      <c r="P46" s="162" t="n"/>
      <c r="Q46" s="163" t="n"/>
      <c r="R46" s="163" t="n"/>
      <c r="S46" s="13" t="n"/>
      <c r="T46" s="70" t="n"/>
      <c r="U46" s="13" t="n"/>
      <c r="W46" s="107">
        <f>$A$4&amp;" "&amp;A47&amp;"("&amp;B47&amp;","&amp;C47&amp;"^)"</f>
        <v/>
      </c>
      <c r="X46" s="108" t="n"/>
      <c r="Y46" s="108" t="n"/>
      <c r="Z46" s="108" t="n"/>
      <c r="AA46" s="108" t="n"/>
      <c r="AB46" s="108" t="n"/>
      <c r="AC46" s="108" t="n"/>
      <c r="AD46" s="108" t="n"/>
      <c r="AE46" s="108" t="n"/>
      <c r="AF46" s="109" t="n"/>
      <c r="AH46" s="36">
        <f>IF(A46="","",A46)</f>
        <v/>
      </c>
      <c r="AI46" s="160">
        <f>IF(E46="","",E46)</f>
        <v/>
      </c>
      <c r="AJ46" s="113" t="n"/>
      <c r="AK46" s="113" t="n"/>
      <c r="AL46" s="113" t="n"/>
      <c r="AM46" s="113" t="n"/>
      <c r="AN46" s="113" t="n"/>
      <c r="AO46" s="113" t="n"/>
      <c r="AP46" s="113" t="n"/>
      <c r="AQ46" s="113" t="n"/>
      <c r="AR46" s="113" t="n"/>
      <c r="AS46" s="113" t="n"/>
      <c r="AT46" s="113" t="n"/>
      <c r="AU46" s="113" t="n"/>
      <c r="AV46" s="113" t="n"/>
    </row>
    <row r="47">
      <c r="A47" s="13" t="inlineStr">
        <is>
          <t>e편한세상강일어반브릿지</t>
        </is>
      </c>
      <c r="B47" s="16" t="inlineStr">
        <is>
          <t>'24.02.</t>
        </is>
      </c>
      <c r="C47" s="164" t="n">
        <v>593</v>
      </c>
      <c r="D47" s="161" t="n">
        <v>109.4</v>
      </c>
      <c r="E47" s="163" t="n">
        <v>33</v>
      </c>
      <c r="F47" s="161" t="n">
        <v>84.09999999999999</v>
      </c>
      <c r="G47" s="27" t="n">
        <v>25</v>
      </c>
      <c r="H47" s="164" t="n">
        <v>35</v>
      </c>
      <c r="I47" s="165" t="n"/>
      <c r="J47" s="165" t="n"/>
      <c r="K47" s="165" t="n"/>
      <c r="L47" s="165" t="n"/>
      <c r="M47" s="166">
        <f>I47-K47</f>
        <v/>
      </c>
      <c r="N47" s="7">
        <f>IF(ISERROR(K47/I47),"",K47/I47)</f>
        <v/>
      </c>
      <c r="O47" s="162">
        <f>I47/E47</f>
        <v/>
      </c>
      <c r="P47" s="162">
        <f>K47/E47</f>
        <v/>
      </c>
      <c r="Q47" s="113" t="n">
        <v>3</v>
      </c>
      <c r="R47" s="113" t="n">
        <v>2</v>
      </c>
      <c r="S47" s="113" t="inlineStr">
        <is>
          <t>계</t>
        </is>
      </c>
      <c r="T47" s="8" t="inlineStr">
        <is>
          <t>109I</t>
        </is>
      </c>
      <c r="U47" s="13" t="n"/>
      <c r="W47" s="161">
        <f>D47</f>
        <v/>
      </c>
      <c r="X47" s="163">
        <f>E47</f>
        <v/>
      </c>
      <c r="Y47" s="159">
        <f>H47</f>
        <v/>
      </c>
      <c r="Z47" s="166">
        <f>I47</f>
        <v/>
      </c>
      <c r="AA47" s="166">
        <f>K47</f>
        <v/>
      </c>
      <c r="AB47" s="166">
        <f>M47</f>
        <v/>
      </c>
      <c r="AC47" s="7">
        <f>N47</f>
        <v/>
      </c>
      <c r="AD47" s="162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3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inlineStr">
        <is>
          <t>e편한세상강일어반브릿지</t>
        </is>
      </c>
      <c r="B48" s="16" t="inlineStr">
        <is>
          <t>'24.02.</t>
        </is>
      </c>
      <c r="C48" s="164" t="n">
        <v>593</v>
      </c>
      <c r="D48" s="161" t="n">
        <v>110</v>
      </c>
      <c r="E48" s="163" t="n">
        <v>33</v>
      </c>
      <c r="F48" s="161" t="n">
        <v>84.09999999999999</v>
      </c>
      <c r="G48" s="27" t="n">
        <v>25</v>
      </c>
      <c r="H48" s="164" t="n">
        <v>1</v>
      </c>
      <c r="I48" s="165" t="n"/>
      <c r="J48" s="165" t="n"/>
      <c r="K48" s="165" t="n"/>
      <c r="L48" s="165" t="n"/>
      <c r="M48" s="166">
        <f>I48-K48</f>
        <v/>
      </c>
      <c r="N48" s="7">
        <f>IF(ISERROR(K48/I48),"",K48/I48)</f>
        <v/>
      </c>
      <c r="O48" s="162">
        <f>I48/E48</f>
        <v/>
      </c>
      <c r="P48" s="162">
        <f>K48/E48</f>
        <v/>
      </c>
      <c r="Q48" s="113" t="n">
        <v>3</v>
      </c>
      <c r="R48" s="113" t="n">
        <v>2</v>
      </c>
      <c r="S48" s="113" t="inlineStr">
        <is>
          <t>계</t>
        </is>
      </c>
      <c r="T48" s="8" t="inlineStr">
        <is>
          <t>109H</t>
        </is>
      </c>
      <c r="U48" s="13" t="n"/>
      <c r="W48" s="161">
        <f>D48</f>
        <v/>
      </c>
      <c r="X48" s="163">
        <f>E48</f>
        <v/>
      </c>
      <c r="Y48" s="159">
        <f>H48</f>
        <v/>
      </c>
      <c r="Z48" s="166">
        <f>I48</f>
        <v/>
      </c>
      <c r="AA48" s="166">
        <f>K48</f>
        <v/>
      </c>
      <c r="AB48" s="166">
        <f>M48</f>
        <v/>
      </c>
      <c r="AC48" s="7">
        <f>N48</f>
        <v/>
      </c>
      <c r="AD48" s="162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3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  <row r="49">
      <c r="A49" s="13" t="inlineStr">
        <is>
          <t>e편한세상강일어반브릿지</t>
        </is>
      </c>
      <c r="B49" s="16" t="inlineStr">
        <is>
          <t>'24.02.</t>
        </is>
      </c>
      <c r="C49" s="164" t="n">
        <v>593</v>
      </c>
      <c r="D49" s="161" t="n">
        <v>110.5</v>
      </c>
      <c r="E49" s="163" t="n">
        <v>33</v>
      </c>
      <c r="F49" s="161" t="n">
        <v>84.3</v>
      </c>
      <c r="G49" s="27" t="n">
        <v>25</v>
      </c>
      <c r="H49" s="164" t="n">
        <v>30</v>
      </c>
      <c r="I49" s="165" t="n"/>
      <c r="J49" s="165" t="n"/>
      <c r="K49" s="165" t="n"/>
      <c r="L49" s="165" t="n"/>
      <c r="M49" s="166">
        <f>I49-K49</f>
        <v/>
      </c>
      <c r="N49" s="7">
        <f>IF(ISERROR(K49/I49),"",K49/I49)</f>
        <v/>
      </c>
      <c r="O49" s="162">
        <f>I49/E49</f>
        <v/>
      </c>
      <c r="P49" s="162">
        <f>K49/E49</f>
        <v/>
      </c>
      <c r="Q49" s="113" t="n">
        <v>3</v>
      </c>
      <c r="R49" s="113" t="n">
        <v>2</v>
      </c>
      <c r="S49" s="113" t="inlineStr">
        <is>
          <t>계</t>
        </is>
      </c>
      <c r="T49" s="8" t="inlineStr">
        <is>
          <t>110L</t>
        </is>
      </c>
      <c r="U49" s="13" t="n"/>
      <c r="W49" s="161">
        <f>D49</f>
        <v/>
      </c>
      <c r="X49" s="163">
        <f>E49</f>
        <v/>
      </c>
      <c r="Y49" s="159">
        <f>H49</f>
        <v/>
      </c>
      <c r="Z49" s="166">
        <f>I49</f>
        <v/>
      </c>
      <c r="AA49" s="166">
        <f>K49</f>
        <v/>
      </c>
      <c r="AB49" s="166">
        <f>M49</f>
        <v/>
      </c>
      <c r="AC49" s="7">
        <f>N49</f>
        <v/>
      </c>
      <c r="AD49" s="162">
        <f>O49</f>
        <v/>
      </c>
      <c r="AE49" s="113">
        <f>S49</f>
        <v/>
      </c>
      <c r="AF49" s="113">
        <f>Q49&amp;"/"&amp;R49</f>
        <v/>
      </c>
      <c r="AH49" s="36">
        <f>IF(A49="","",A49)</f>
        <v/>
      </c>
      <c r="AI49" s="163">
        <f>IF(E49="","",E49)</f>
        <v/>
      </c>
      <c r="AJ49" s="113">
        <f>IF(AI49="","",$AJ$2)</f>
        <v/>
      </c>
      <c r="AK49" s="113" t="inlineStr">
        <is>
          <t>A</t>
        </is>
      </c>
      <c r="AL49" s="113" t="inlineStr">
        <is>
          <t>A+</t>
        </is>
      </c>
      <c r="AM49" s="113" t="inlineStr">
        <is>
          <t>B+</t>
        </is>
      </c>
      <c r="AN49" s="113">
        <f>IF(AI49="","",$AN$2)</f>
        <v/>
      </c>
      <c r="AO49" s="113">
        <f>IF(N49="","",IF(N49&gt;=$AO$1/100,"O","X"))</f>
        <v/>
      </c>
      <c r="AP49" s="113">
        <f>IF(I49="","",IF(I49&lt;=$AP$1,"O","X"))</f>
        <v/>
      </c>
      <c r="AQ49" s="113">
        <f>IF(O49="","",IF(O49&lt;=$AQ$1,"O","X"))</f>
        <v/>
      </c>
      <c r="AR49" s="113">
        <f>IF(M49="","",IF(M49&lt;=$AR$1,"O","X"))</f>
        <v/>
      </c>
      <c r="AS49" s="113" t="inlineStr">
        <is>
          <t>X</t>
        </is>
      </c>
      <c r="AT49" s="113">
        <f>IF(OR(F49="",AI49=""),"",IF(AND((F49&lt;=85),(AI49&gt;=15)),"O","X"))</f>
        <v/>
      </c>
      <c r="AU49" s="113">
        <f>IF(C49="","",IF(C49&gt;=$AU$1,"O","X"))</f>
        <v/>
      </c>
      <c r="AV49" s="113">
        <f>IF(AO49="","",IF(AND(AO49="O",AP49="O",AR49="O",AT49="O",AU49="O"),"후보","X"))</f>
        <v/>
      </c>
    </row>
    <row r="50">
      <c r="A50" s="13" t="inlineStr">
        <is>
          <t>e편한세상강일어반브릿지</t>
        </is>
      </c>
      <c r="B50" s="16" t="inlineStr">
        <is>
          <t>'24.02.</t>
        </is>
      </c>
      <c r="C50" s="164" t="n">
        <v>593</v>
      </c>
      <c r="D50" s="161" t="n">
        <v>110.1</v>
      </c>
      <c r="E50" s="163" t="n">
        <v>33</v>
      </c>
      <c r="F50" s="161" t="n">
        <v>84.09999999999999</v>
      </c>
      <c r="G50" s="27" t="n">
        <v>25</v>
      </c>
      <c r="H50" s="164" t="n">
        <v>22</v>
      </c>
      <c r="I50" s="165" t="n"/>
      <c r="J50" s="165" t="n"/>
      <c r="K50" s="165" t="n"/>
      <c r="L50" s="165" t="n"/>
      <c r="M50" s="166">
        <f>I50-K50</f>
        <v/>
      </c>
      <c r="N50" s="7">
        <f>IF(ISERROR(K50/I50),"",K50/I50)</f>
        <v/>
      </c>
      <c r="O50" s="162">
        <f>I50/E50</f>
        <v/>
      </c>
      <c r="P50" s="162">
        <f>K50/E50</f>
        <v/>
      </c>
      <c r="Q50" s="113" t="n">
        <v>3</v>
      </c>
      <c r="R50" s="113" t="n">
        <v>2</v>
      </c>
      <c r="S50" s="113" t="inlineStr">
        <is>
          <t>계</t>
        </is>
      </c>
      <c r="T50" s="8" t="inlineStr">
        <is>
          <t>110G</t>
        </is>
      </c>
      <c r="U50" s="13" t="n"/>
      <c r="W50" s="161">
        <f>D50</f>
        <v/>
      </c>
      <c r="X50" s="163">
        <f>E50</f>
        <v/>
      </c>
      <c r="Y50" s="159">
        <f>H50</f>
        <v/>
      </c>
      <c r="Z50" s="166">
        <f>I50</f>
        <v/>
      </c>
      <c r="AA50" s="166">
        <f>K50</f>
        <v/>
      </c>
      <c r="AB50" s="166">
        <f>M50</f>
        <v/>
      </c>
      <c r="AC50" s="7">
        <f>N50</f>
        <v/>
      </c>
      <c r="AD50" s="162">
        <f>O50</f>
        <v/>
      </c>
      <c r="AE50" s="113">
        <f>S50</f>
        <v/>
      </c>
      <c r="AF50" s="113">
        <f>Q50&amp;"/"&amp;R50</f>
        <v/>
      </c>
      <c r="AH50" s="36">
        <f>IF(A50="","",A50)</f>
        <v/>
      </c>
      <c r="AI50" s="163">
        <f>IF(E50="","",E50)</f>
        <v/>
      </c>
      <c r="AJ50" s="113">
        <f>IF(AI50="","",$AJ$2)</f>
        <v/>
      </c>
      <c r="AK50" s="113" t="inlineStr">
        <is>
          <t>A</t>
        </is>
      </c>
      <c r="AL50" s="113" t="inlineStr">
        <is>
          <t>A+</t>
        </is>
      </c>
      <c r="AM50" s="113" t="inlineStr">
        <is>
          <t>B+</t>
        </is>
      </c>
      <c r="AN50" s="113">
        <f>IF(AI50="","",$AN$2)</f>
        <v/>
      </c>
      <c r="AO50" s="113">
        <f>IF(N50="","",IF(N50&gt;=$AO$1/100,"O","X"))</f>
        <v/>
      </c>
      <c r="AP50" s="113">
        <f>IF(I50="","",IF(I50&lt;=$AP$1,"O","X"))</f>
        <v/>
      </c>
      <c r="AQ50" s="113">
        <f>IF(O50="","",IF(O50&lt;=$AQ$1,"O","X"))</f>
        <v/>
      </c>
      <c r="AR50" s="113">
        <f>IF(M50="","",IF(M50&lt;=$AR$1,"O","X"))</f>
        <v/>
      </c>
      <c r="AS50" s="113" t="inlineStr">
        <is>
          <t>X</t>
        </is>
      </c>
      <c r="AT50" s="113">
        <f>IF(OR(F50="",AI50=""),"",IF(AND((F50&lt;=85),(AI50&gt;=15)),"O","X"))</f>
        <v/>
      </c>
      <c r="AU50" s="113">
        <f>IF(C50="","",IF(C50&gt;=$AU$1,"O","X"))</f>
        <v/>
      </c>
      <c r="AV50" s="113">
        <f>IF(AO50="","",IF(AND(AO50="O",AP50="O",AR50="O",AT50="O",AU50="O"),"후보","X"))</f>
        <v/>
      </c>
    </row>
    <row r="51">
      <c r="A51" s="13" t="inlineStr">
        <is>
          <t>e편한세상강일어반브릿지</t>
        </is>
      </c>
      <c r="B51" s="16" t="inlineStr">
        <is>
          <t>'24.02.</t>
        </is>
      </c>
      <c r="C51" s="164" t="n">
        <v>593</v>
      </c>
      <c r="D51" s="161" t="n">
        <v>110.7</v>
      </c>
      <c r="E51" s="163" t="n">
        <v>33</v>
      </c>
      <c r="F51" s="161" t="n">
        <v>84.5</v>
      </c>
      <c r="G51" s="27" t="n">
        <v>26</v>
      </c>
      <c r="H51" s="164" t="n">
        <v>7</v>
      </c>
      <c r="I51" s="165" t="n"/>
      <c r="J51" s="165" t="n"/>
      <c r="K51" s="165" t="n"/>
      <c r="L51" s="165" t="n"/>
      <c r="M51" s="166">
        <f>I51-K51</f>
        <v/>
      </c>
      <c r="N51" s="7">
        <f>IF(ISERROR(K51/I51),"",K51/I51)</f>
        <v/>
      </c>
      <c r="O51" s="162">
        <f>I51/E51</f>
        <v/>
      </c>
      <c r="P51" s="162">
        <f>K51/E51</f>
        <v/>
      </c>
      <c r="Q51" s="113" t="n">
        <v>2</v>
      </c>
      <c r="R51" s="113" t="n">
        <v>2</v>
      </c>
      <c r="S51" s="113" t="inlineStr">
        <is>
          <t>계</t>
        </is>
      </c>
      <c r="T51" s="8" t="inlineStr">
        <is>
          <t>110R</t>
        </is>
      </c>
      <c r="U51" s="13" t="n"/>
      <c r="W51" s="161">
        <f>D51</f>
        <v/>
      </c>
      <c r="X51" s="163">
        <f>E51</f>
        <v/>
      </c>
      <c r="Y51" s="159">
        <f>H51</f>
        <v/>
      </c>
      <c r="Z51" s="166">
        <f>I51</f>
        <v/>
      </c>
      <c r="AA51" s="166">
        <f>K51</f>
        <v/>
      </c>
      <c r="AB51" s="166">
        <f>M51</f>
        <v/>
      </c>
      <c r="AC51" s="7">
        <f>N51</f>
        <v/>
      </c>
      <c r="AD51" s="162">
        <f>O51</f>
        <v/>
      </c>
      <c r="AE51" s="113">
        <f>S51</f>
        <v/>
      </c>
      <c r="AF51" s="113">
        <f>Q51&amp;"/"&amp;R51</f>
        <v/>
      </c>
      <c r="AH51" s="36">
        <f>IF(A51="","",A51)</f>
        <v/>
      </c>
      <c r="AI51" s="163">
        <f>IF(E51="","",E51)</f>
        <v/>
      </c>
      <c r="AJ51" s="113">
        <f>IF(AI51="","",$AJ$2)</f>
        <v/>
      </c>
      <c r="AK51" s="113" t="inlineStr">
        <is>
          <t>A</t>
        </is>
      </c>
      <c r="AL51" s="113" t="inlineStr">
        <is>
          <t>A+</t>
        </is>
      </c>
      <c r="AM51" s="113" t="inlineStr">
        <is>
          <t>B+</t>
        </is>
      </c>
      <c r="AN51" s="113">
        <f>IF(AI51="","",$AN$2)</f>
        <v/>
      </c>
      <c r="AO51" s="113">
        <f>IF(N51="","",IF(N51&gt;=$AO$1/100,"O","X"))</f>
        <v/>
      </c>
      <c r="AP51" s="113">
        <f>IF(I51="","",IF(I51&lt;=$AP$1,"O","X"))</f>
        <v/>
      </c>
      <c r="AQ51" s="113">
        <f>IF(O51="","",IF(O51&lt;=$AQ$1,"O","X"))</f>
        <v/>
      </c>
      <c r="AR51" s="113">
        <f>IF(M51="","",IF(M51&lt;=$AR$1,"O","X"))</f>
        <v/>
      </c>
      <c r="AS51" s="113" t="inlineStr">
        <is>
          <t>X</t>
        </is>
      </c>
      <c r="AT51" s="113">
        <f>IF(OR(F51="",AI51=""),"",IF(AND((F51&lt;=85),(AI51&gt;=15)),"O","X"))</f>
        <v/>
      </c>
      <c r="AU51" s="113">
        <f>IF(C51="","",IF(C51&gt;=$AU$1,"O","X"))</f>
        <v/>
      </c>
      <c r="AV51" s="113">
        <f>IF(AO51="","",IF(AND(AO51="O",AP51="O",AR51="O",AT51="O",AU51="O"),"후보","X"))</f>
        <v/>
      </c>
    </row>
    <row r="52">
      <c r="A52" s="13" t="inlineStr">
        <is>
          <t>e편한세상강일어반브릿지</t>
        </is>
      </c>
      <c r="B52" s="16" t="inlineStr">
        <is>
          <t>'24.02.</t>
        </is>
      </c>
      <c r="C52" s="164" t="n">
        <v>593</v>
      </c>
      <c r="D52" s="161" t="n">
        <v>111</v>
      </c>
      <c r="E52" s="163" t="n">
        <v>34</v>
      </c>
      <c r="F52" s="161" t="n">
        <v>84.09999999999999</v>
      </c>
      <c r="G52" s="27" t="n">
        <v>25</v>
      </c>
      <c r="H52" s="164" t="n">
        <v>108</v>
      </c>
      <c r="I52" s="165" t="n"/>
      <c r="J52" s="165" t="n"/>
      <c r="K52" s="165" t="n"/>
      <c r="L52" s="165" t="n"/>
      <c r="M52" s="166">
        <f>I52-K52</f>
        <v/>
      </c>
      <c r="N52" s="7">
        <f>IF(ISERROR(K52/I52),"",K52/I52)</f>
        <v/>
      </c>
      <c r="O52" s="162">
        <f>I52/E52</f>
        <v/>
      </c>
      <c r="P52" s="162">
        <f>K52/E52</f>
        <v/>
      </c>
      <c r="Q52" s="113" t="n">
        <v>3</v>
      </c>
      <c r="R52" s="113" t="n">
        <v>2</v>
      </c>
      <c r="S52" s="113" t="inlineStr">
        <is>
          <t>계</t>
        </is>
      </c>
      <c r="T52" s="8" t="inlineStr">
        <is>
          <t>111D</t>
        </is>
      </c>
      <c r="U52" s="13" t="n"/>
      <c r="W52" s="161">
        <f>D52</f>
        <v/>
      </c>
      <c r="X52" s="163">
        <f>E52</f>
        <v/>
      </c>
      <c r="Y52" s="159">
        <f>H52</f>
        <v/>
      </c>
      <c r="Z52" s="166">
        <f>I52</f>
        <v/>
      </c>
      <c r="AA52" s="166">
        <f>K52</f>
        <v/>
      </c>
      <c r="AB52" s="166">
        <f>M52</f>
        <v/>
      </c>
      <c r="AC52" s="7">
        <f>N52</f>
        <v/>
      </c>
      <c r="AD52" s="162">
        <f>O52</f>
        <v/>
      </c>
      <c r="AE52" s="113">
        <f>S52</f>
        <v/>
      </c>
      <c r="AF52" s="113">
        <f>Q52&amp;"/"&amp;R52</f>
        <v/>
      </c>
      <c r="AH52" s="36">
        <f>IF(A52="","",A52)</f>
        <v/>
      </c>
      <c r="AI52" s="163">
        <f>IF(E52="","",E52)</f>
        <v/>
      </c>
      <c r="AJ52" s="113">
        <f>IF(AI52="","",$AJ$2)</f>
        <v/>
      </c>
      <c r="AK52" s="113" t="inlineStr">
        <is>
          <t>A</t>
        </is>
      </c>
      <c r="AL52" s="113" t="inlineStr">
        <is>
          <t>A+</t>
        </is>
      </c>
      <c r="AM52" s="113" t="inlineStr">
        <is>
          <t>B+</t>
        </is>
      </c>
      <c r="AN52" s="113">
        <f>IF(AI52="","",$AN$2)</f>
        <v/>
      </c>
      <c r="AO52" s="113">
        <f>IF(N52="","",IF(N52&gt;=$AO$1/100,"O","X"))</f>
        <v/>
      </c>
      <c r="AP52" s="113">
        <f>IF(I52="","",IF(I52&lt;=$AP$1,"O","X"))</f>
        <v/>
      </c>
      <c r="AQ52" s="113">
        <f>IF(O52="","",IF(O52&lt;=$AQ$1,"O","X"))</f>
        <v/>
      </c>
      <c r="AR52" s="113">
        <f>IF(M52="","",IF(M52&lt;=$AR$1,"O","X"))</f>
        <v/>
      </c>
      <c r="AS52" s="113" t="inlineStr">
        <is>
          <t>X</t>
        </is>
      </c>
      <c r="AT52" s="113">
        <f>IF(OR(F52="",AI52=""),"",IF(AND((F52&lt;=85),(AI52&gt;=15)),"O","X"))</f>
        <v/>
      </c>
      <c r="AU52" s="113">
        <f>IF(C52="","",IF(C52&gt;=$AU$1,"O","X"))</f>
        <v/>
      </c>
      <c r="AV52" s="113">
        <f>IF(AO52="","",IF(AND(AO52="O",AP52="O",AR52="O",AT52="O",AU52="O"),"후보","X"))</f>
        <v/>
      </c>
    </row>
    <row r="53">
      <c r="A53" s="13" t="inlineStr">
        <is>
          <t>e편한세상강일어반브릿지</t>
        </is>
      </c>
      <c r="B53" s="16" t="inlineStr">
        <is>
          <t>'24.02.</t>
        </is>
      </c>
      <c r="C53" s="164" t="n">
        <v>593</v>
      </c>
      <c r="D53" s="161" t="n">
        <v>111</v>
      </c>
      <c r="E53" s="163" t="n">
        <v>34</v>
      </c>
      <c r="F53" s="161" t="n">
        <v>84.09999999999999</v>
      </c>
      <c r="G53" s="27" t="n">
        <v>25</v>
      </c>
      <c r="H53" s="164" t="n">
        <v>56</v>
      </c>
      <c r="I53" s="165" t="n"/>
      <c r="J53" s="165" t="n"/>
      <c r="K53" s="165" t="n"/>
      <c r="L53" s="165" t="n"/>
      <c r="M53" s="166">
        <f>I53-K53</f>
        <v/>
      </c>
      <c r="N53" s="7">
        <f>IF(ISERROR(K53/I53),"",K53/I53)</f>
        <v/>
      </c>
      <c r="O53" s="162">
        <f>I53/E53</f>
        <v/>
      </c>
      <c r="P53" s="162">
        <f>K53/E53</f>
        <v/>
      </c>
      <c r="Q53" s="113" t="n">
        <v>3</v>
      </c>
      <c r="R53" s="113" t="n">
        <v>2</v>
      </c>
      <c r="S53" s="113" t="inlineStr">
        <is>
          <t>계</t>
        </is>
      </c>
      <c r="T53" s="8" t="inlineStr">
        <is>
          <t>111A</t>
        </is>
      </c>
      <c r="U53" s="13" t="n"/>
      <c r="W53" s="161">
        <f>D53</f>
        <v/>
      </c>
      <c r="X53" s="163">
        <f>E53</f>
        <v/>
      </c>
      <c r="Y53" s="159">
        <f>H53</f>
        <v/>
      </c>
      <c r="Z53" s="166">
        <f>I53</f>
        <v/>
      </c>
      <c r="AA53" s="166">
        <f>K53</f>
        <v/>
      </c>
      <c r="AB53" s="166">
        <f>M53</f>
        <v/>
      </c>
      <c r="AC53" s="7">
        <f>N53</f>
        <v/>
      </c>
      <c r="AD53" s="162">
        <f>O53</f>
        <v/>
      </c>
      <c r="AE53" s="113">
        <f>S53</f>
        <v/>
      </c>
      <c r="AF53" s="113">
        <f>Q53&amp;"/"&amp;R53</f>
        <v/>
      </c>
      <c r="AH53" s="36">
        <f>IF(A53="","",A53)</f>
        <v/>
      </c>
      <c r="AI53" s="163">
        <f>IF(E53="","",E53)</f>
        <v/>
      </c>
      <c r="AJ53" s="113">
        <f>IF(AI53="","",$AJ$2)</f>
        <v/>
      </c>
      <c r="AK53" s="113" t="inlineStr">
        <is>
          <t>A</t>
        </is>
      </c>
      <c r="AL53" s="113" t="inlineStr">
        <is>
          <t>A+</t>
        </is>
      </c>
      <c r="AM53" s="113" t="inlineStr">
        <is>
          <t>B+</t>
        </is>
      </c>
      <c r="AN53" s="113">
        <f>IF(AI53="","",$AN$2)</f>
        <v/>
      </c>
      <c r="AO53" s="113">
        <f>IF(N53="","",IF(N53&gt;=$AO$1/100,"O","X"))</f>
        <v/>
      </c>
      <c r="AP53" s="113">
        <f>IF(I53="","",IF(I53&lt;=$AP$1,"O","X"))</f>
        <v/>
      </c>
      <c r="AQ53" s="113">
        <f>IF(O53="","",IF(O53&lt;=$AQ$1,"O","X"))</f>
        <v/>
      </c>
      <c r="AR53" s="113">
        <f>IF(M53="","",IF(M53&lt;=$AR$1,"O","X"))</f>
        <v/>
      </c>
      <c r="AS53" s="113" t="inlineStr">
        <is>
          <t>X</t>
        </is>
      </c>
      <c r="AT53" s="113">
        <f>IF(OR(F53="",AI53=""),"",IF(AND((F53&lt;=85),(AI53&gt;=15)),"O","X"))</f>
        <v/>
      </c>
      <c r="AU53" s="113">
        <f>IF(C53="","",IF(C53&gt;=$AU$1,"O","X"))</f>
        <v/>
      </c>
      <c r="AV53" s="113">
        <f>IF(AO53="","",IF(AND(AO53="O",AP53="O",AR53="O",AT53="O",AU53="O"),"후보","X"))</f>
        <v/>
      </c>
    </row>
    <row r="54">
      <c r="A54" s="13" t="inlineStr">
        <is>
          <t>e편한세상강일어반브릿지</t>
        </is>
      </c>
      <c r="B54" s="16" t="inlineStr">
        <is>
          <t>'24.02.</t>
        </is>
      </c>
      <c r="C54" s="164" t="n">
        <v>593</v>
      </c>
      <c r="D54" s="161" t="n">
        <v>111</v>
      </c>
      <c r="E54" s="163" t="n">
        <v>34</v>
      </c>
      <c r="F54" s="161" t="n">
        <v>84.09999999999999</v>
      </c>
      <c r="G54" s="27" t="n">
        <v>25</v>
      </c>
      <c r="H54" s="164" t="n">
        <v>28</v>
      </c>
      <c r="I54" s="165" t="n"/>
      <c r="J54" s="165" t="n"/>
      <c r="K54" s="165" t="n"/>
      <c r="L54" s="165" t="n"/>
      <c r="M54" s="166">
        <f>I54-K54</f>
        <v/>
      </c>
      <c r="N54" s="7">
        <f>IF(ISERROR(K54/I54),"",K54/I54)</f>
        <v/>
      </c>
      <c r="O54" s="162">
        <f>I54/E54</f>
        <v/>
      </c>
      <c r="P54" s="162">
        <f>K54/E54</f>
        <v/>
      </c>
      <c r="Q54" s="113" t="n">
        <v>3</v>
      </c>
      <c r="R54" s="113" t="n">
        <v>2</v>
      </c>
      <c r="S54" s="113" t="inlineStr">
        <is>
          <t>계</t>
        </is>
      </c>
      <c r="T54" s="8" t="inlineStr">
        <is>
          <t>111B</t>
        </is>
      </c>
      <c r="U54" s="13" t="n"/>
      <c r="W54" s="161">
        <f>D54</f>
        <v/>
      </c>
      <c r="X54" s="163">
        <f>E54</f>
        <v/>
      </c>
      <c r="Y54" s="159">
        <f>H54</f>
        <v/>
      </c>
      <c r="Z54" s="166">
        <f>I54</f>
        <v/>
      </c>
      <c r="AA54" s="166">
        <f>K54</f>
        <v/>
      </c>
      <c r="AB54" s="166">
        <f>M54</f>
        <v/>
      </c>
      <c r="AC54" s="7">
        <f>N54</f>
        <v/>
      </c>
      <c r="AD54" s="162">
        <f>O54</f>
        <v/>
      </c>
      <c r="AE54" s="113">
        <f>S54</f>
        <v/>
      </c>
      <c r="AF54" s="113">
        <f>Q54&amp;"/"&amp;R54</f>
        <v/>
      </c>
      <c r="AH54" s="36">
        <f>IF(A54="","",A54)</f>
        <v/>
      </c>
      <c r="AI54" s="163">
        <f>IF(E54="","",E54)</f>
        <v/>
      </c>
      <c r="AJ54" s="113">
        <f>IF(AI54="","",$AJ$2)</f>
        <v/>
      </c>
      <c r="AK54" s="113" t="inlineStr">
        <is>
          <t>A</t>
        </is>
      </c>
      <c r="AL54" s="113" t="inlineStr">
        <is>
          <t>A+</t>
        </is>
      </c>
      <c r="AM54" s="113" t="inlineStr">
        <is>
          <t>B+</t>
        </is>
      </c>
      <c r="AN54" s="113">
        <f>IF(AI54="","",$AN$2)</f>
        <v/>
      </c>
      <c r="AO54" s="113">
        <f>IF(N54="","",IF(N54&gt;=$AO$1/100,"O","X"))</f>
        <v/>
      </c>
      <c r="AP54" s="113">
        <f>IF(I54="","",IF(I54&lt;=$AP$1,"O","X"))</f>
        <v/>
      </c>
      <c r="AQ54" s="113">
        <f>IF(O54="","",IF(O54&lt;=$AQ$1,"O","X"))</f>
        <v/>
      </c>
      <c r="AR54" s="113">
        <f>IF(M54="","",IF(M54&lt;=$AR$1,"O","X"))</f>
        <v/>
      </c>
      <c r="AS54" s="113" t="inlineStr">
        <is>
          <t>X</t>
        </is>
      </c>
      <c r="AT54" s="113">
        <f>IF(OR(F54="",AI54=""),"",IF(AND((F54&lt;=85),(AI54&gt;=15)),"O","X"))</f>
        <v/>
      </c>
      <c r="AU54" s="113">
        <f>IF(C54="","",IF(C54&gt;=$AU$1,"O","X"))</f>
        <v/>
      </c>
      <c r="AV54" s="113">
        <f>IF(AO54="","",IF(AND(AO54="O",AP54="O",AR54="O",AT54="O",AU54="O"),"후보","X"))</f>
        <v/>
      </c>
    </row>
    <row r="55">
      <c r="A55" s="13" t="inlineStr">
        <is>
          <t>e편한세상강일어반브릿지</t>
        </is>
      </c>
      <c r="B55" s="16" t="inlineStr">
        <is>
          <t>'24.02.</t>
        </is>
      </c>
      <c r="C55" s="164" t="n">
        <v>593</v>
      </c>
      <c r="D55" s="161" t="n">
        <v>111.5</v>
      </c>
      <c r="E55" s="163" t="n">
        <v>34</v>
      </c>
      <c r="F55" s="161" t="n">
        <v>84.2</v>
      </c>
      <c r="G55" s="27" t="n">
        <v>25</v>
      </c>
      <c r="H55" s="164" t="n">
        <v>19</v>
      </c>
      <c r="I55" s="165" t="n"/>
      <c r="J55" s="165" t="n"/>
      <c r="K55" s="165" t="n"/>
      <c r="L55" s="165" t="n"/>
      <c r="M55" s="166">
        <f>I55-K55</f>
        <v/>
      </c>
      <c r="N55" s="7">
        <f>IF(ISERROR(K55/I55),"",K55/I55)</f>
        <v/>
      </c>
      <c r="O55" s="162">
        <f>I55/E55</f>
        <v/>
      </c>
      <c r="P55" s="162">
        <f>K55/E55</f>
        <v/>
      </c>
      <c r="Q55" s="113" t="n">
        <v>3</v>
      </c>
      <c r="R55" s="113" t="n">
        <v>2</v>
      </c>
      <c r="S55" s="113" t="inlineStr">
        <is>
          <t>계</t>
        </is>
      </c>
      <c r="T55" s="8" t="inlineStr">
        <is>
          <t>111E</t>
        </is>
      </c>
      <c r="U55" s="13" t="n"/>
      <c r="W55" s="161">
        <f>D55</f>
        <v/>
      </c>
      <c r="X55" s="163">
        <f>E55</f>
        <v/>
      </c>
      <c r="Y55" s="159">
        <f>H55</f>
        <v/>
      </c>
      <c r="Z55" s="166">
        <f>I55</f>
        <v/>
      </c>
      <c r="AA55" s="166">
        <f>K55</f>
        <v/>
      </c>
      <c r="AB55" s="166">
        <f>M55</f>
        <v/>
      </c>
      <c r="AC55" s="7">
        <f>N55</f>
        <v/>
      </c>
      <c r="AD55" s="162">
        <f>O55</f>
        <v/>
      </c>
      <c r="AE55" s="113">
        <f>S55</f>
        <v/>
      </c>
      <c r="AF55" s="113">
        <f>Q55&amp;"/"&amp;R55</f>
        <v/>
      </c>
      <c r="AH55" s="36">
        <f>IF(A55="","",A55)</f>
        <v/>
      </c>
      <c r="AI55" s="163">
        <f>IF(E55="","",E55)</f>
        <v/>
      </c>
      <c r="AJ55" s="113">
        <f>IF(AI55="","",$AJ$2)</f>
        <v/>
      </c>
      <c r="AK55" s="113" t="inlineStr">
        <is>
          <t>A</t>
        </is>
      </c>
      <c r="AL55" s="113" t="inlineStr">
        <is>
          <t>A+</t>
        </is>
      </c>
      <c r="AM55" s="113" t="inlineStr">
        <is>
          <t>B+</t>
        </is>
      </c>
      <c r="AN55" s="113">
        <f>IF(AI55="","",$AN$2)</f>
        <v/>
      </c>
      <c r="AO55" s="113">
        <f>IF(N55="","",IF(N55&gt;=$AO$1/100,"O","X"))</f>
        <v/>
      </c>
      <c r="AP55" s="113">
        <f>IF(I55="","",IF(I55&lt;=$AP$1,"O","X"))</f>
        <v/>
      </c>
      <c r="AQ55" s="113">
        <f>IF(O55="","",IF(O55&lt;=$AQ$1,"O","X"))</f>
        <v/>
      </c>
      <c r="AR55" s="113">
        <f>IF(M55="","",IF(M55&lt;=$AR$1,"O","X"))</f>
        <v/>
      </c>
      <c r="AS55" s="113" t="inlineStr">
        <is>
          <t>X</t>
        </is>
      </c>
      <c r="AT55" s="113">
        <f>IF(OR(F55="",AI55=""),"",IF(AND((F55&lt;=85),(AI55&gt;=15)),"O","X"))</f>
        <v/>
      </c>
      <c r="AU55" s="113">
        <f>IF(C55="","",IF(C55&gt;=$AU$1,"O","X"))</f>
        <v/>
      </c>
      <c r="AV55" s="113">
        <f>IF(AO55="","",IF(AND(AO55="O",AP55="O",AR55="O",AT55="O",AU55="O"),"후보","X"))</f>
        <v/>
      </c>
    </row>
    <row r="56">
      <c r="A56" s="13" t="inlineStr">
        <is>
          <t>e편한세상강일어반브릿지</t>
        </is>
      </c>
      <c r="B56" s="16" t="inlineStr">
        <is>
          <t>'24.02.</t>
        </is>
      </c>
      <c r="C56" s="164" t="n">
        <v>593</v>
      </c>
      <c r="D56" s="161" t="n">
        <v>111.5</v>
      </c>
      <c r="E56" s="163" t="n">
        <v>34</v>
      </c>
      <c r="F56" s="161" t="n">
        <v>84.2</v>
      </c>
      <c r="G56" s="27" t="n">
        <v>25</v>
      </c>
      <c r="H56" s="164" t="n">
        <v>11</v>
      </c>
      <c r="I56" s="165" t="n"/>
      <c r="J56" s="165" t="n"/>
      <c r="K56" s="165" t="n"/>
      <c r="L56" s="165" t="n"/>
      <c r="M56" s="166">
        <f>I56-K56</f>
        <v/>
      </c>
      <c r="N56" s="7">
        <f>IF(ISERROR(K56/I56),"",K56/I56)</f>
        <v/>
      </c>
      <c r="O56" s="162">
        <f>I56/E56</f>
        <v/>
      </c>
      <c r="P56" s="162">
        <f>K56/E56</f>
        <v/>
      </c>
      <c r="Q56" s="113" t="n">
        <v>3</v>
      </c>
      <c r="R56" s="113" t="n">
        <v>2</v>
      </c>
      <c r="S56" s="113" t="inlineStr">
        <is>
          <t>계</t>
        </is>
      </c>
      <c r="T56" s="8" t="inlineStr">
        <is>
          <t>111F</t>
        </is>
      </c>
      <c r="U56" s="13" t="n"/>
      <c r="W56" s="161">
        <f>D56</f>
        <v/>
      </c>
      <c r="X56" s="163">
        <f>E56</f>
        <v/>
      </c>
      <c r="Y56" s="159">
        <f>H56</f>
        <v/>
      </c>
      <c r="Z56" s="166">
        <f>I56</f>
        <v/>
      </c>
      <c r="AA56" s="166">
        <f>K56</f>
        <v/>
      </c>
      <c r="AB56" s="166">
        <f>M56</f>
        <v/>
      </c>
      <c r="AC56" s="7">
        <f>N56</f>
        <v/>
      </c>
      <c r="AD56" s="162">
        <f>O56</f>
        <v/>
      </c>
      <c r="AE56" s="113">
        <f>S56</f>
        <v/>
      </c>
      <c r="AF56" s="113">
        <f>Q56&amp;"/"&amp;R56</f>
        <v/>
      </c>
      <c r="AH56" s="36">
        <f>IF(A56="","",A56)</f>
        <v/>
      </c>
      <c r="AI56" s="163">
        <f>IF(E56="","",E56)</f>
        <v/>
      </c>
      <c r="AJ56" s="113">
        <f>IF(AI56="","",$AJ$2)</f>
        <v/>
      </c>
      <c r="AK56" s="113" t="inlineStr">
        <is>
          <t>A</t>
        </is>
      </c>
      <c r="AL56" s="113" t="inlineStr">
        <is>
          <t>A+</t>
        </is>
      </c>
      <c r="AM56" s="113" t="inlineStr">
        <is>
          <t>B+</t>
        </is>
      </c>
      <c r="AN56" s="113">
        <f>IF(AI56="","",$AN$2)</f>
        <v/>
      </c>
      <c r="AO56" s="113">
        <f>IF(N56="","",IF(N56&gt;=$AO$1/100,"O","X"))</f>
        <v/>
      </c>
      <c r="AP56" s="113">
        <f>IF(I56="","",IF(I56&lt;=$AP$1,"O","X"))</f>
        <v/>
      </c>
      <c r="AQ56" s="113">
        <f>IF(O56="","",IF(O56&lt;=$AQ$1,"O","X"))</f>
        <v/>
      </c>
      <c r="AR56" s="113">
        <f>IF(M56="","",IF(M56&lt;=$AR$1,"O","X"))</f>
        <v/>
      </c>
      <c r="AS56" s="113" t="inlineStr">
        <is>
          <t>X</t>
        </is>
      </c>
      <c r="AT56" s="113">
        <f>IF(OR(F56="",AI56=""),"",IF(AND((F56&lt;=85),(AI56&gt;=15)),"O","X"))</f>
        <v/>
      </c>
      <c r="AU56" s="113">
        <f>IF(C56="","",IF(C56&gt;=$AU$1,"O","X"))</f>
        <v/>
      </c>
      <c r="AV56" s="113">
        <f>IF(AO56="","",IF(AND(AO56="O",AP56="O",AR56="O",AT56="O",AU56="O"),"후보","X"))</f>
        <v/>
      </c>
    </row>
    <row r="57">
      <c r="A57" s="13" t="inlineStr">
        <is>
          <t>e편한세상강일어반브릿지</t>
        </is>
      </c>
      <c r="B57" s="16" t="inlineStr">
        <is>
          <t>'24.02.</t>
        </is>
      </c>
      <c r="C57" s="164" t="n">
        <v>593</v>
      </c>
      <c r="D57" s="161" t="n">
        <v>111.4</v>
      </c>
      <c r="E57" s="163" t="n">
        <v>34</v>
      </c>
      <c r="F57" s="161" t="n">
        <v>84.40000000000001</v>
      </c>
      <c r="G57" s="27" t="n">
        <v>26</v>
      </c>
      <c r="H57" s="164" t="n">
        <v>11</v>
      </c>
      <c r="I57" s="165" t="n"/>
      <c r="J57" s="165" t="n"/>
      <c r="K57" s="165" t="n"/>
      <c r="L57" s="165" t="n"/>
      <c r="M57" s="166">
        <f>I57-K57</f>
        <v/>
      </c>
      <c r="N57" s="7">
        <f>IF(ISERROR(K57/I57),"",K57/I57)</f>
        <v/>
      </c>
      <c r="O57" s="162">
        <f>I57/E57</f>
        <v/>
      </c>
      <c r="P57" s="162">
        <f>K57/E57</f>
        <v/>
      </c>
      <c r="Q57" s="113" t="n">
        <v>3</v>
      </c>
      <c r="R57" s="113" t="n">
        <v>2</v>
      </c>
      <c r="S57" s="113" t="inlineStr">
        <is>
          <t>계</t>
        </is>
      </c>
      <c r="T57" s="8" t="inlineStr">
        <is>
          <t>111M</t>
        </is>
      </c>
      <c r="U57" s="13" t="n"/>
      <c r="W57" s="161">
        <f>D57</f>
        <v/>
      </c>
      <c r="X57" s="163">
        <f>E57</f>
        <v/>
      </c>
      <c r="Y57" s="159">
        <f>H57</f>
        <v/>
      </c>
      <c r="Z57" s="166">
        <f>I57</f>
        <v/>
      </c>
      <c r="AA57" s="166">
        <f>K57</f>
        <v/>
      </c>
      <c r="AB57" s="166">
        <f>M57</f>
        <v/>
      </c>
      <c r="AC57" s="7">
        <f>N57</f>
        <v/>
      </c>
      <c r="AD57" s="162">
        <f>O57</f>
        <v/>
      </c>
      <c r="AE57" s="113">
        <f>S57</f>
        <v/>
      </c>
      <c r="AF57" s="113">
        <f>Q57&amp;"/"&amp;R57</f>
        <v/>
      </c>
      <c r="AH57" s="36">
        <f>IF(A57="","",A57)</f>
        <v/>
      </c>
      <c r="AI57" s="163">
        <f>IF(E57="","",E57)</f>
        <v/>
      </c>
      <c r="AJ57" s="113">
        <f>IF(AI57="","",$AJ$2)</f>
        <v/>
      </c>
      <c r="AK57" s="113" t="inlineStr">
        <is>
          <t>A</t>
        </is>
      </c>
      <c r="AL57" s="113" t="inlineStr">
        <is>
          <t>A+</t>
        </is>
      </c>
      <c r="AM57" s="113" t="inlineStr">
        <is>
          <t>B+</t>
        </is>
      </c>
      <c r="AN57" s="113">
        <f>IF(AI57="","",$AN$2)</f>
        <v/>
      </c>
      <c r="AO57" s="113">
        <f>IF(N57="","",IF(N57&gt;=$AO$1/100,"O","X"))</f>
        <v/>
      </c>
      <c r="AP57" s="113">
        <f>IF(I57="","",IF(I57&lt;=$AP$1,"O","X"))</f>
        <v/>
      </c>
      <c r="AQ57" s="113">
        <f>IF(O57="","",IF(O57&lt;=$AQ$1,"O","X"))</f>
        <v/>
      </c>
      <c r="AR57" s="113">
        <f>IF(M57="","",IF(M57&lt;=$AR$1,"O","X"))</f>
        <v/>
      </c>
      <c r="AS57" s="113" t="inlineStr">
        <is>
          <t>X</t>
        </is>
      </c>
      <c r="AT57" s="113">
        <f>IF(OR(F57="",AI57=""),"",IF(AND((F57&lt;=85),(AI57&gt;=15)),"O","X"))</f>
        <v/>
      </c>
      <c r="AU57" s="113">
        <f>IF(C57="","",IF(C57&gt;=$AU$1,"O","X"))</f>
        <v/>
      </c>
      <c r="AV57" s="113">
        <f>IF(AO57="","",IF(AND(AO57="O",AP57="O",AR57="O",AT57="O",AU57="O"),"후보","X"))</f>
        <v/>
      </c>
    </row>
    <row r="58">
      <c r="A58" s="13" t="inlineStr">
        <is>
          <t>e편한세상강일어반브릿지</t>
        </is>
      </c>
      <c r="B58" s="16" t="inlineStr">
        <is>
          <t>'24.02.</t>
        </is>
      </c>
      <c r="C58" s="164" t="n">
        <v>593</v>
      </c>
      <c r="D58" s="161" t="n">
        <v>111.8</v>
      </c>
      <c r="E58" s="163" t="n">
        <v>34</v>
      </c>
      <c r="F58" s="161" t="n">
        <v>84.90000000000001</v>
      </c>
      <c r="G58" s="27" t="n">
        <v>26</v>
      </c>
      <c r="H58" s="164" t="n">
        <v>10</v>
      </c>
      <c r="I58" s="165" t="n"/>
      <c r="J58" s="165" t="n"/>
      <c r="K58" s="165" t="n"/>
      <c r="L58" s="165" t="n"/>
      <c r="M58" s="166">
        <f>I58-K58</f>
        <v/>
      </c>
      <c r="N58" s="7">
        <f>IF(ISERROR(K58/I58),"",K58/I58)</f>
        <v/>
      </c>
      <c r="O58" s="162">
        <f>I58/E58</f>
        <v/>
      </c>
      <c r="P58" s="162">
        <f>K58/E58</f>
        <v/>
      </c>
      <c r="Q58" s="113" t="n">
        <v>3</v>
      </c>
      <c r="R58" s="113" t="n">
        <v>2</v>
      </c>
      <c r="S58" s="113" t="inlineStr">
        <is>
          <t>계</t>
        </is>
      </c>
      <c r="T58" s="8" t="inlineStr">
        <is>
          <t>111C</t>
        </is>
      </c>
      <c r="U58" s="13" t="n"/>
      <c r="W58" s="161">
        <f>D58</f>
        <v/>
      </c>
      <c r="X58" s="163">
        <f>E58</f>
        <v/>
      </c>
      <c r="Y58" s="159">
        <f>H58</f>
        <v/>
      </c>
      <c r="Z58" s="166">
        <f>I58</f>
        <v/>
      </c>
      <c r="AA58" s="166">
        <f>K58</f>
        <v/>
      </c>
      <c r="AB58" s="166">
        <f>M58</f>
        <v/>
      </c>
      <c r="AC58" s="7">
        <f>N58</f>
        <v/>
      </c>
      <c r="AD58" s="162">
        <f>O58</f>
        <v/>
      </c>
      <c r="AE58" s="113">
        <f>S58</f>
        <v/>
      </c>
      <c r="AF58" s="113">
        <f>Q58&amp;"/"&amp;R58</f>
        <v/>
      </c>
      <c r="AH58" s="36">
        <f>IF(A58="","",A58)</f>
        <v/>
      </c>
      <c r="AI58" s="163">
        <f>IF(E58="","",E58)</f>
        <v/>
      </c>
      <c r="AJ58" s="113">
        <f>IF(AI58="","",$AJ$2)</f>
        <v/>
      </c>
      <c r="AK58" s="113" t="inlineStr">
        <is>
          <t>A</t>
        </is>
      </c>
      <c r="AL58" s="113" t="inlineStr">
        <is>
          <t>A+</t>
        </is>
      </c>
      <c r="AM58" s="113" t="inlineStr">
        <is>
          <t>B+</t>
        </is>
      </c>
      <c r="AN58" s="113">
        <f>IF(AI58="","",$AN$2)</f>
        <v/>
      </c>
      <c r="AO58" s="113">
        <f>IF(N58="","",IF(N58&gt;=$AO$1/100,"O","X"))</f>
        <v/>
      </c>
      <c r="AP58" s="113">
        <f>IF(I58="","",IF(I58&lt;=$AP$1,"O","X"))</f>
        <v/>
      </c>
      <c r="AQ58" s="113">
        <f>IF(O58="","",IF(O58&lt;=$AQ$1,"O","X"))</f>
        <v/>
      </c>
      <c r="AR58" s="113">
        <f>IF(M58="","",IF(M58&lt;=$AR$1,"O","X"))</f>
        <v/>
      </c>
      <c r="AS58" s="113" t="inlineStr">
        <is>
          <t>X</t>
        </is>
      </c>
      <c r="AT58" s="113">
        <f>IF(OR(F58="",AI58=""),"",IF(AND((F58&lt;=85),(AI58&gt;=15)),"O","X"))</f>
        <v/>
      </c>
      <c r="AU58" s="113">
        <f>IF(C58="","",IF(C58&gt;=$AU$1,"O","X"))</f>
        <v/>
      </c>
      <c r="AV58" s="113">
        <f>IF(AO58="","",IF(AND(AO58="O",AP58="O",AR58="O",AT58="O",AU58="O"),"후보","X"))</f>
        <v/>
      </c>
    </row>
    <row r="59">
      <c r="A59" s="13" t="inlineStr">
        <is>
          <t>e편한세상강일어반브릿지</t>
        </is>
      </c>
      <c r="B59" s="16" t="inlineStr">
        <is>
          <t>'24.02.</t>
        </is>
      </c>
      <c r="C59" s="164" t="n">
        <v>593</v>
      </c>
      <c r="D59" s="161" t="n">
        <v>111.5</v>
      </c>
      <c r="E59" s="163" t="n">
        <v>34</v>
      </c>
      <c r="F59" s="161" t="n">
        <v>84.09999999999999</v>
      </c>
      <c r="G59" s="27" t="n">
        <v>25</v>
      </c>
      <c r="H59" s="164" t="n">
        <v>8</v>
      </c>
      <c r="I59" s="165" t="n"/>
      <c r="J59" s="165" t="n"/>
      <c r="K59" s="165" t="n"/>
      <c r="L59" s="165" t="n"/>
      <c r="M59" s="166">
        <f>I59-K59</f>
        <v/>
      </c>
      <c r="N59" s="7">
        <f>IF(ISERROR(K59/I59),"",K59/I59)</f>
        <v/>
      </c>
      <c r="O59" s="162">
        <f>I59/E59</f>
        <v/>
      </c>
      <c r="P59" s="162">
        <f>K59/E59</f>
        <v/>
      </c>
      <c r="Q59" s="113" t="n">
        <v>3</v>
      </c>
      <c r="R59" s="113" t="n">
        <v>2</v>
      </c>
      <c r="S59" s="113" t="inlineStr">
        <is>
          <t>계</t>
        </is>
      </c>
      <c r="T59" s="8" t="inlineStr">
        <is>
          <t>111S</t>
        </is>
      </c>
      <c r="U59" s="13" t="n"/>
      <c r="W59" s="161">
        <f>D59</f>
        <v/>
      </c>
      <c r="X59" s="163">
        <f>E59</f>
        <v/>
      </c>
      <c r="Y59" s="159">
        <f>H59</f>
        <v/>
      </c>
      <c r="Z59" s="166">
        <f>I59</f>
        <v/>
      </c>
      <c r="AA59" s="166">
        <f>K59</f>
        <v/>
      </c>
      <c r="AB59" s="166">
        <f>M59</f>
        <v/>
      </c>
      <c r="AC59" s="7">
        <f>N59</f>
        <v/>
      </c>
      <c r="AD59" s="162">
        <f>O59</f>
        <v/>
      </c>
      <c r="AE59" s="113">
        <f>S59</f>
        <v/>
      </c>
      <c r="AF59" s="113">
        <f>Q59&amp;"/"&amp;R59</f>
        <v/>
      </c>
      <c r="AH59" s="36">
        <f>IF(A59="","",A59)</f>
        <v/>
      </c>
      <c r="AI59" s="163">
        <f>IF(E59="","",E59)</f>
        <v/>
      </c>
      <c r="AJ59" s="113">
        <f>IF(AI59="","",$AJ$2)</f>
        <v/>
      </c>
      <c r="AK59" s="113" t="inlineStr">
        <is>
          <t>A</t>
        </is>
      </c>
      <c r="AL59" s="113" t="inlineStr">
        <is>
          <t>A+</t>
        </is>
      </c>
      <c r="AM59" s="113" t="inlineStr">
        <is>
          <t>B+</t>
        </is>
      </c>
      <c r="AN59" s="113">
        <f>IF(AI59="","",$AN$2)</f>
        <v/>
      </c>
      <c r="AO59" s="113">
        <f>IF(N59="","",IF(N59&gt;=$AO$1/100,"O","X"))</f>
        <v/>
      </c>
      <c r="AP59" s="113">
        <f>IF(I59="","",IF(I59&lt;=$AP$1,"O","X"))</f>
        <v/>
      </c>
      <c r="AQ59" s="113">
        <f>IF(O59="","",IF(O59&lt;=$AQ$1,"O","X"))</f>
        <v/>
      </c>
      <c r="AR59" s="113">
        <f>IF(M59="","",IF(M59&lt;=$AR$1,"O","X"))</f>
        <v/>
      </c>
      <c r="AS59" s="113" t="inlineStr">
        <is>
          <t>X</t>
        </is>
      </c>
      <c r="AT59" s="113">
        <f>IF(OR(F59="",AI59=""),"",IF(AND((F59&lt;=85),(AI59&gt;=15)),"O","X"))</f>
        <v/>
      </c>
      <c r="AU59" s="113">
        <f>IF(C59="","",IF(C59&gt;=$AU$1,"O","X"))</f>
        <v/>
      </c>
      <c r="AV59" s="113">
        <f>IF(AO59="","",IF(AND(AO59="O",AP59="O",AR59="O",AT59="O",AU59="O"),"후보","X"))</f>
        <v/>
      </c>
    </row>
    <row r="60">
      <c r="A60" s="13" t="inlineStr">
        <is>
          <t>e편한세상강일어반브릿지</t>
        </is>
      </c>
      <c r="B60" s="16" t="inlineStr">
        <is>
          <t>'24.02.</t>
        </is>
      </c>
      <c r="C60" s="164" t="n">
        <v>593</v>
      </c>
      <c r="D60" s="161" t="n">
        <v>111.9</v>
      </c>
      <c r="E60" s="163" t="n">
        <v>34</v>
      </c>
      <c r="F60" s="161" t="n">
        <v>84.09999999999999</v>
      </c>
      <c r="G60" s="27" t="n">
        <v>25</v>
      </c>
      <c r="H60" s="164" t="n">
        <v>5</v>
      </c>
      <c r="I60" s="165" t="n"/>
      <c r="J60" s="165" t="n"/>
      <c r="K60" s="165" t="n"/>
      <c r="L60" s="165" t="n"/>
      <c r="M60" s="166">
        <f>I60-K60</f>
        <v/>
      </c>
      <c r="N60" s="7">
        <f>IF(ISERROR(K60/I60),"",K60/I60)</f>
        <v/>
      </c>
      <c r="O60" s="162">
        <f>I60/E60</f>
        <v/>
      </c>
      <c r="P60" s="162">
        <f>K60/E60</f>
        <v/>
      </c>
      <c r="Q60" s="113" t="n">
        <v>3</v>
      </c>
      <c r="R60" s="113" t="n">
        <v>2</v>
      </c>
      <c r="S60" s="113" t="inlineStr">
        <is>
          <t>계</t>
        </is>
      </c>
      <c r="T60" s="8" t="inlineStr">
        <is>
          <t>111T</t>
        </is>
      </c>
      <c r="U60" s="13" t="n"/>
      <c r="W60" s="161">
        <f>D60</f>
        <v/>
      </c>
      <c r="X60" s="163">
        <f>E60</f>
        <v/>
      </c>
      <c r="Y60" s="159">
        <f>H60</f>
        <v/>
      </c>
      <c r="Z60" s="166">
        <f>I60</f>
        <v/>
      </c>
      <c r="AA60" s="166">
        <f>K60</f>
        <v/>
      </c>
      <c r="AB60" s="166">
        <f>M60</f>
        <v/>
      </c>
      <c r="AC60" s="7">
        <f>N60</f>
        <v/>
      </c>
      <c r="AD60" s="162">
        <f>O60</f>
        <v/>
      </c>
      <c r="AE60" s="113">
        <f>S60</f>
        <v/>
      </c>
      <c r="AF60" s="113">
        <f>Q60&amp;"/"&amp;R60</f>
        <v/>
      </c>
      <c r="AH60" s="36">
        <f>IF(A60="","",A60)</f>
        <v/>
      </c>
      <c r="AI60" s="163">
        <f>IF(E60="","",E60)</f>
        <v/>
      </c>
      <c r="AJ60" s="113">
        <f>IF(AI60="","",$AJ$2)</f>
        <v/>
      </c>
      <c r="AK60" s="113" t="inlineStr">
        <is>
          <t>A</t>
        </is>
      </c>
      <c r="AL60" s="113" t="inlineStr">
        <is>
          <t>A+</t>
        </is>
      </c>
      <c r="AM60" s="113" t="inlineStr">
        <is>
          <t>B+</t>
        </is>
      </c>
      <c r="AN60" s="113">
        <f>IF(AI60="","",$AN$2)</f>
        <v/>
      </c>
      <c r="AO60" s="113">
        <f>IF(N60="","",IF(N60&gt;=$AO$1/100,"O","X"))</f>
        <v/>
      </c>
      <c r="AP60" s="113">
        <f>IF(I60="","",IF(I60&lt;=$AP$1,"O","X"))</f>
        <v/>
      </c>
      <c r="AQ60" s="113">
        <f>IF(O60="","",IF(O60&lt;=$AQ$1,"O","X"))</f>
        <v/>
      </c>
      <c r="AR60" s="113">
        <f>IF(M60="","",IF(M60&lt;=$AR$1,"O","X"))</f>
        <v/>
      </c>
      <c r="AS60" s="113" t="inlineStr">
        <is>
          <t>X</t>
        </is>
      </c>
      <c r="AT60" s="113">
        <f>IF(OR(F60="",AI60=""),"",IF(AND((F60&lt;=85),(AI60&gt;=15)),"O","X"))</f>
        <v/>
      </c>
      <c r="AU60" s="113">
        <f>IF(C60="","",IF(C60&gt;=$AU$1,"O","X"))</f>
        <v/>
      </c>
      <c r="AV60" s="113">
        <f>IF(AO60="","",IF(AND(AO60="O",AP60="O",AR60="O",AT60="O",AU60="O"),"후보","X"))</f>
        <v/>
      </c>
    </row>
    <row r="61">
      <c r="A61" s="13" t="inlineStr">
        <is>
          <t>e편한세상강일어반브릿지</t>
        </is>
      </c>
      <c r="B61" s="16" t="inlineStr">
        <is>
          <t>'24.02.</t>
        </is>
      </c>
      <c r="C61" s="164" t="n">
        <v>593</v>
      </c>
      <c r="D61" s="161" t="n">
        <v>112.1</v>
      </c>
      <c r="E61" s="163" t="n">
        <v>34</v>
      </c>
      <c r="F61" s="161" t="n">
        <v>84.3</v>
      </c>
      <c r="G61" s="27" t="n">
        <v>25</v>
      </c>
      <c r="H61" s="164" t="n">
        <v>30</v>
      </c>
      <c r="I61" s="165" t="n"/>
      <c r="J61" s="165" t="n"/>
      <c r="K61" s="165" t="n"/>
      <c r="L61" s="165" t="n"/>
      <c r="M61" s="166">
        <f>I61-K61</f>
        <v/>
      </c>
      <c r="N61" s="7">
        <f>IF(ISERROR(K61/I61),"",K61/I61)</f>
        <v/>
      </c>
      <c r="O61" s="162">
        <f>I61/E61</f>
        <v/>
      </c>
      <c r="P61" s="162">
        <f>K61/E61</f>
        <v/>
      </c>
      <c r="Q61" s="113" t="n">
        <v>3</v>
      </c>
      <c r="R61" s="113" t="n">
        <v>2</v>
      </c>
      <c r="S61" s="113" t="inlineStr">
        <is>
          <t>계</t>
        </is>
      </c>
      <c r="T61" s="8" t="inlineStr">
        <is>
          <t>112K</t>
        </is>
      </c>
      <c r="U61" s="13" t="n"/>
      <c r="W61" s="161">
        <f>D61</f>
        <v/>
      </c>
      <c r="X61" s="163">
        <f>E61</f>
        <v/>
      </c>
      <c r="Y61" s="159">
        <f>H61</f>
        <v/>
      </c>
      <c r="Z61" s="166">
        <f>I61</f>
        <v/>
      </c>
      <c r="AA61" s="166">
        <f>K61</f>
        <v/>
      </c>
      <c r="AB61" s="166">
        <f>M61</f>
        <v/>
      </c>
      <c r="AC61" s="7">
        <f>N61</f>
        <v/>
      </c>
      <c r="AD61" s="162">
        <f>O61</f>
        <v/>
      </c>
      <c r="AE61" s="113">
        <f>S61</f>
        <v/>
      </c>
      <c r="AF61" s="113">
        <f>Q61&amp;"/"&amp;R61</f>
        <v/>
      </c>
      <c r="AH61" s="36">
        <f>IF(A61="","",A61)</f>
        <v/>
      </c>
      <c r="AI61" s="163">
        <f>IF(E61="","",E61)</f>
        <v/>
      </c>
      <c r="AJ61" s="113">
        <f>IF(AI61="","",$AJ$2)</f>
        <v/>
      </c>
      <c r="AK61" s="113" t="inlineStr">
        <is>
          <t>A</t>
        </is>
      </c>
      <c r="AL61" s="113" t="inlineStr">
        <is>
          <t>A+</t>
        </is>
      </c>
      <c r="AM61" s="113" t="inlineStr">
        <is>
          <t>B+</t>
        </is>
      </c>
      <c r="AN61" s="113">
        <f>IF(AI61="","",$AN$2)</f>
        <v/>
      </c>
      <c r="AO61" s="113">
        <f>IF(N61="","",IF(N61&gt;=$AO$1/100,"O","X"))</f>
        <v/>
      </c>
      <c r="AP61" s="113">
        <f>IF(I61="","",IF(I61&lt;=$AP$1,"O","X"))</f>
        <v/>
      </c>
      <c r="AQ61" s="113">
        <f>IF(O61="","",IF(O61&lt;=$AQ$1,"O","X"))</f>
        <v/>
      </c>
      <c r="AR61" s="113">
        <f>IF(M61="","",IF(M61&lt;=$AR$1,"O","X"))</f>
        <v/>
      </c>
      <c r="AS61" s="113" t="inlineStr">
        <is>
          <t>X</t>
        </is>
      </c>
      <c r="AT61" s="113">
        <f>IF(OR(F61="",AI61=""),"",IF(AND((F61&lt;=85),(AI61&gt;=15)),"O","X"))</f>
        <v/>
      </c>
      <c r="AU61" s="113">
        <f>IF(C61="","",IF(C61&gt;=$AU$1,"O","X"))</f>
        <v/>
      </c>
      <c r="AV61" s="113">
        <f>IF(AO61="","",IF(AND(AO61="O",AP61="O",AR61="O",AT61="O",AU61="O"),"후보","X"))</f>
        <v/>
      </c>
    </row>
    <row r="62">
      <c r="A62" s="13" t="inlineStr">
        <is>
          <t>e편한세상강일어반브릿지</t>
        </is>
      </c>
      <c r="B62" s="16" t="inlineStr">
        <is>
          <t>'24.02.</t>
        </is>
      </c>
      <c r="C62" s="164" t="n">
        <v>593</v>
      </c>
      <c r="D62" s="161" t="n">
        <v>112.2</v>
      </c>
      <c r="E62" s="163" t="n">
        <v>34</v>
      </c>
      <c r="F62" s="161" t="n">
        <v>84.3</v>
      </c>
      <c r="G62" s="27" t="n">
        <v>25</v>
      </c>
      <c r="H62" s="164" t="n">
        <v>16</v>
      </c>
      <c r="I62" s="165" t="n"/>
      <c r="J62" s="165" t="n"/>
      <c r="K62" s="165" t="n"/>
      <c r="L62" s="165" t="n"/>
      <c r="M62" s="166">
        <f>I62-K62</f>
        <v/>
      </c>
      <c r="N62" s="7">
        <f>IF(ISERROR(K62/I62),"",K62/I62)</f>
        <v/>
      </c>
      <c r="O62" s="162">
        <f>I62/E62</f>
        <v/>
      </c>
      <c r="P62" s="162">
        <f>K62/E62</f>
        <v/>
      </c>
      <c r="Q62" s="113" t="n">
        <v>3</v>
      </c>
      <c r="R62" s="113" t="n">
        <v>2</v>
      </c>
      <c r="S62" s="113" t="inlineStr">
        <is>
          <t>계</t>
        </is>
      </c>
      <c r="T62" s="8" t="inlineStr">
        <is>
          <t>112N</t>
        </is>
      </c>
      <c r="U62" s="13" t="n"/>
      <c r="W62" s="161">
        <f>D62</f>
        <v/>
      </c>
      <c r="X62" s="163">
        <f>E62</f>
        <v/>
      </c>
      <c r="Y62" s="159">
        <f>H62</f>
        <v/>
      </c>
      <c r="Z62" s="166">
        <f>I62</f>
        <v/>
      </c>
      <c r="AA62" s="166">
        <f>K62</f>
        <v/>
      </c>
      <c r="AB62" s="166">
        <f>M62</f>
        <v/>
      </c>
      <c r="AC62" s="7">
        <f>N62</f>
        <v/>
      </c>
      <c r="AD62" s="162">
        <f>O62</f>
        <v/>
      </c>
      <c r="AE62" s="113">
        <f>S62</f>
        <v/>
      </c>
      <c r="AF62" s="113">
        <f>Q62&amp;"/"&amp;R62</f>
        <v/>
      </c>
      <c r="AH62" s="36">
        <f>IF(A62="","",A62)</f>
        <v/>
      </c>
      <c r="AI62" s="163">
        <f>IF(E62="","",E62)</f>
        <v/>
      </c>
      <c r="AJ62" s="113">
        <f>IF(AI62="","",$AJ$2)</f>
        <v/>
      </c>
      <c r="AK62" s="113" t="inlineStr">
        <is>
          <t>A</t>
        </is>
      </c>
      <c r="AL62" s="113" t="inlineStr">
        <is>
          <t>A+</t>
        </is>
      </c>
      <c r="AM62" s="113" t="inlineStr">
        <is>
          <t>B+</t>
        </is>
      </c>
      <c r="AN62" s="113">
        <f>IF(AI62="","",$AN$2)</f>
        <v/>
      </c>
      <c r="AO62" s="113">
        <f>IF(N62="","",IF(N62&gt;=$AO$1/100,"O","X"))</f>
        <v/>
      </c>
      <c r="AP62" s="113">
        <f>IF(I62="","",IF(I62&lt;=$AP$1,"O","X"))</f>
        <v/>
      </c>
      <c r="AQ62" s="113">
        <f>IF(O62="","",IF(O62&lt;=$AQ$1,"O","X"))</f>
        <v/>
      </c>
      <c r="AR62" s="113">
        <f>IF(M62="","",IF(M62&lt;=$AR$1,"O","X"))</f>
        <v/>
      </c>
      <c r="AS62" s="113" t="inlineStr">
        <is>
          <t>X</t>
        </is>
      </c>
      <c r="AT62" s="113">
        <f>IF(OR(F62="",AI62=""),"",IF(AND((F62&lt;=85),(AI62&gt;=15)),"O","X"))</f>
        <v/>
      </c>
      <c r="AU62" s="113">
        <f>IF(C62="","",IF(C62&gt;=$AU$1,"O","X"))</f>
        <v/>
      </c>
      <c r="AV62" s="113">
        <f>IF(AO62="","",IF(AND(AO62="O",AP62="O",AR62="O",AT62="O",AU62="O"),"후보","X"))</f>
        <v/>
      </c>
    </row>
    <row r="63">
      <c r="A63" s="13" t="inlineStr">
        <is>
          <t>e편한세상강일어반브릿지</t>
        </is>
      </c>
      <c r="B63" s="16" t="inlineStr">
        <is>
          <t>'24.02.</t>
        </is>
      </c>
      <c r="C63" s="164" t="n">
        <v>593</v>
      </c>
      <c r="D63" s="161" t="n">
        <v>112.1</v>
      </c>
      <c r="E63" s="163" t="n">
        <v>34</v>
      </c>
      <c r="F63" s="161" t="n">
        <v>84.09999999999999</v>
      </c>
      <c r="G63" s="27" t="n">
        <v>25</v>
      </c>
      <c r="H63" s="164" t="n">
        <v>12</v>
      </c>
      <c r="I63" s="165" t="n"/>
      <c r="J63" s="165" t="n"/>
      <c r="K63" s="165" t="n"/>
      <c r="L63" s="165" t="n"/>
      <c r="M63" s="166">
        <f>I63-K63</f>
        <v/>
      </c>
      <c r="N63" s="7">
        <f>IF(ISERROR(K63/I63),"",K63/I63)</f>
        <v/>
      </c>
      <c r="O63" s="162">
        <f>I63/E63</f>
        <v/>
      </c>
      <c r="P63" s="162">
        <f>K63/E63</f>
        <v/>
      </c>
      <c r="Q63" s="113" t="n">
        <v>3</v>
      </c>
      <c r="R63" s="113" t="n">
        <v>2</v>
      </c>
      <c r="S63" s="113" t="inlineStr">
        <is>
          <t>계</t>
        </is>
      </c>
      <c r="T63" s="8" t="inlineStr">
        <is>
          <t>112O</t>
        </is>
      </c>
      <c r="U63" s="13" t="n"/>
      <c r="W63" s="161">
        <f>D63</f>
        <v/>
      </c>
      <c r="X63" s="163">
        <f>E63</f>
        <v/>
      </c>
      <c r="Y63" s="159">
        <f>H63</f>
        <v/>
      </c>
      <c r="Z63" s="166">
        <f>I63</f>
        <v/>
      </c>
      <c r="AA63" s="166">
        <f>K63</f>
        <v/>
      </c>
      <c r="AB63" s="166">
        <f>M63</f>
        <v/>
      </c>
      <c r="AC63" s="7">
        <f>N63</f>
        <v/>
      </c>
      <c r="AD63" s="162">
        <f>O63</f>
        <v/>
      </c>
      <c r="AE63" s="113">
        <f>S63</f>
        <v/>
      </c>
      <c r="AF63" s="113">
        <f>Q63&amp;"/"&amp;R63</f>
        <v/>
      </c>
      <c r="AH63" s="36">
        <f>IF(A63="","",A63)</f>
        <v/>
      </c>
      <c r="AI63" s="163">
        <f>IF(E63="","",E63)</f>
        <v/>
      </c>
      <c r="AJ63" s="113">
        <f>IF(AI63="","",$AJ$2)</f>
        <v/>
      </c>
      <c r="AK63" s="113" t="inlineStr">
        <is>
          <t>A</t>
        </is>
      </c>
      <c r="AL63" s="113" t="inlineStr">
        <is>
          <t>A+</t>
        </is>
      </c>
      <c r="AM63" s="113" t="inlineStr">
        <is>
          <t>B+</t>
        </is>
      </c>
      <c r="AN63" s="113">
        <f>IF(AI63="","",$AN$2)</f>
        <v/>
      </c>
      <c r="AO63" s="113">
        <f>IF(N63="","",IF(N63&gt;=$AO$1/100,"O","X"))</f>
        <v/>
      </c>
      <c r="AP63" s="113">
        <f>IF(I63="","",IF(I63&lt;=$AP$1,"O","X"))</f>
        <v/>
      </c>
      <c r="AQ63" s="113">
        <f>IF(O63="","",IF(O63&lt;=$AQ$1,"O","X"))</f>
        <v/>
      </c>
      <c r="AR63" s="113">
        <f>IF(M63="","",IF(M63&lt;=$AR$1,"O","X"))</f>
        <v/>
      </c>
      <c r="AS63" s="113" t="inlineStr">
        <is>
          <t>X</t>
        </is>
      </c>
      <c r="AT63" s="113">
        <f>IF(OR(F63="",AI63=""),"",IF(AND((F63&lt;=85),(AI63&gt;=15)),"O","X"))</f>
        <v/>
      </c>
      <c r="AU63" s="113">
        <f>IF(C63="","",IF(C63&gt;=$AU$1,"O","X"))</f>
        <v/>
      </c>
      <c r="AV63" s="113">
        <f>IF(AO63="","",IF(AND(AO63="O",AP63="O",AR63="O",AT63="O",AU63="O"),"후보","X"))</f>
        <v/>
      </c>
    </row>
    <row r="64">
      <c r="A64" s="13" t="inlineStr">
        <is>
          <t>e편한세상강일어반브릿지</t>
        </is>
      </c>
      <c r="B64" s="16" t="inlineStr">
        <is>
          <t>'24.02.</t>
        </is>
      </c>
      <c r="C64" s="164" t="n">
        <v>593</v>
      </c>
      <c r="D64" s="161" t="n">
        <v>112</v>
      </c>
      <c r="E64" s="163" t="n">
        <v>34</v>
      </c>
      <c r="F64" s="161" t="n">
        <v>84.40000000000001</v>
      </c>
      <c r="G64" s="27" t="n">
        <v>26</v>
      </c>
      <c r="H64" s="164" t="n">
        <v>4</v>
      </c>
      <c r="I64" s="165" t="n"/>
      <c r="J64" s="165" t="n"/>
      <c r="K64" s="165" t="n"/>
      <c r="L64" s="165" t="n"/>
      <c r="M64" s="166">
        <f>I64-K64</f>
        <v/>
      </c>
      <c r="N64" s="7">
        <f>IF(ISERROR(K64/I64),"",K64/I64)</f>
        <v/>
      </c>
      <c r="O64" s="162">
        <f>I64/E64</f>
        <v/>
      </c>
      <c r="P64" s="162">
        <f>K64/E64</f>
        <v/>
      </c>
      <c r="Q64" s="113" t="n">
        <v>3</v>
      </c>
      <c r="R64" s="113" t="n">
        <v>2</v>
      </c>
      <c r="S64" s="113" t="inlineStr">
        <is>
          <t>계</t>
        </is>
      </c>
      <c r="T64" s="8" t="inlineStr">
        <is>
          <t>112J</t>
        </is>
      </c>
      <c r="U64" s="13" t="n"/>
      <c r="W64" s="161">
        <f>D64</f>
        <v/>
      </c>
      <c r="X64" s="163">
        <f>E64</f>
        <v/>
      </c>
      <c r="Y64" s="159">
        <f>H64</f>
        <v/>
      </c>
      <c r="Z64" s="166">
        <f>I64</f>
        <v/>
      </c>
      <c r="AA64" s="166">
        <f>K64</f>
        <v/>
      </c>
      <c r="AB64" s="166">
        <f>M64</f>
        <v/>
      </c>
      <c r="AC64" s="7">
        <f>N64</f>
        <v/>
      </c>
      <c r="AD64" s="162">
        <f>O64</f>
        <v/>
      </c>
      <c r="AE64" s="113">
        <f>S64</f>
        <v/>
      </c>
      <c r="AF64" s="113">
        <f>Q64&amp;"/"&amp;R64</f>
        <v/>
      </c>
      <c r="AH64" s="36">
        <f>IF(A64="","",A64)</f>
        <v/>
      </c>
      <c r="AI64" s="163">
        <f>IF(E64="","",E64)</f>
        <v/>
      </c>
      <c r="AJ64" s="113">
        <f>IF(AI64="","",$AJ$2)</f>
        <v/>
      </c>
      <c r="AK64" s="113" t="inlineStr">
        <is>
          <t>A</t>
        </is>
      </c>
      <c r="AL64" s="113" t="inlineStr">
        <is>
          <t>A+</t>
        </is>
      </c>
      <c r="AM64" s="113" t="inlineStr">
        <is>
          <t>B+</t>
        </is>
      </c>
      <c r="AN64" s="113">
        <f>IF(AI64="","",$AN$2)</f>
        <v/>
      </c>
      <c r="AO64" s="113">
        <f>IF(N64="","",IF(N64&gt;=$AO$1/100,"O","X"))</f>
        <v/>
      </c>
      <c r="AP64" s="113">
        <f>IF(I64="","",IF(I64&lt;=$AP$1,"O","X"))</f>
        <v/>
      </c>
      <c r="AQ64" s="113">
        <f>IF(O64="","",IF(O64&lt;=$AQ$1,"O","X"))</f>
        <v/>
      </c>
      <c r="AR64" s="113">
        <f>IF(M64="","",IF(M64&lt;=$AR$1,"O","X"))</f>
        <v/>
      </c>
      <c r="AS64" s="113" t="inlineStr">
        <is>
          <t>X</t>
        </is>
      </c>
      <c r="AT64" s="113">
        <f>IF(OR(F64="",AI64=""),"",IF(AND((F64&lt;=85),(AI64&gt;=15)),"O","X"))</f>
        <v/>
      </c>
      <c r="AU64" s="113">
        <f>IF(C64="","",IF(C64&gt;=$AU$1,"O","X"))</f>
        <v/>
      </c>
      <c r="AV64" s="113">
        <f>IF(AO64="","",IF(AND(AO64="O",AP64="O",AR64="O",AT64="O",AU64="O"),"후보","X"))</f>
        <v/>
      </c>
    </row>
    <row r="65">
      <c r="A65" s="13" t="inlineStr">
        <is>
          <t>e편한세상강일어반브릿지</t>
        </is>
      </c>
      <c r="B65" s="16" t="inlineStr">
        <is>
          <t>'24.02.</t>
        </is>
      </c>
      <c r="C65" s="164" t="n">
        <v>593</v>
      </c>
      <c r="D65" s="161" t="n">
        <v>114.5</v>
      </c>
      <c r="E65" s="163" t="n">
        <v>35</v>
      </c>
      <c r="F65" s="161" t="n">
        <v>84.2</v>
      </c>
      <c r="G65" s="27" t="n">
        <v>25</v>
      </c>
      <c r="H65" s="164" t="n">
        <v>4</v>
      </c>
      <c r="I65" s="165" t="n"/>
      <c r="J65" s="165" t="n"/>
      <c r="K65" s="165" t="n"/>
      <c r="L65" s="165" t="n"/>
      <c r="M65" s="166">
        <f>I65-K65</f>
        <v/>
      </c>
      <c r="N65" s="7">
        <f>IF(ISERROR(K65/I65),"",K65/I65)</f>
        <v/>
      </c>
      <c r="O65" s="162">
        <f>I65/E65</f>
        <v/>
      </c>
      <c r="P65" s="162">
        <f>K65/E65</f>
        <v/>
      </c>
      <c r="Q65" s="113" t="n">
        <v>3</v>
      </c>
      <c r="R65" s="113" t="n">
        <v>2</v>
      </c>
      <c r="S65" s="113" t="inlineStr">
        <is>
          <t>계</t>
        </is>
      </c>
      <c r="T65" s="8" t="inlineStr">
        <is>
          <t>114P</t>
        </is>
      </c>
      <c r="U65" s="13" t="n"/>
      <c r="W65" s="161">
        <f>D65</f>
        <v/>
      </c>
      <c r="X65" s="163">
        <f>E65</f>
        <v/>
      </c>
      <c r="Y65" s="159">
        <f>H65</f>
        <v/>
      </c>
      <c r="Z65" s="166">
        <f>I65</f>
        <v/>
      </c>
      <c r="AA65" s="166">
        <f>K65</f>
        <v/>
      </c>
      <c r="AB65" s="166">
        <f>M65</f>
        <v/>
      </c>
      <c r="AC65" s="7">
        <f>N65</f>
        <v/>
      </c>
      <c r="AD65" s="162">
        <f>O65</f>
        <v/>
      </c>
      <c r="AE65" s="113">
        <f>S65</f>
        <v/>
      </c>
      <c r="AF65" s="113">
        <f>Q65&amp;"/"&amp;R65</f>
        <v/>
      </c>
      <c r="AH65" s="36">
        <f>IF(A65="","",A65)</f>
        <v/>
      </c>
      <c r="AI65" s="163">
        <f>IF(E65="","",E65)</f>
        <v/>
      </c>
      <c r="AJ65" s="113">
        <f>IF(AI65="","",$AJ$2)</f>
        <v/>
      </c>
      <c r="AK65" s="113" t="inlineStr">
        <is>
          <t>A</t>
        </is>
      </c>
      <c r="AL65" s="113" t="inlineStr">
        <is>
          <t>A+</t>
        </is>
      </c>
      <c r="AM65" s="113" t="inlineStr">
        <is>
          <t>B+</t>
        </is>
      </c>
      <c r="AN65" s="113">
        <f>IF(AI65="","",$AN$2)</f>
        <v/>
      </c>
      <c r="AO65" s="113">
        <f>IF(N65="","",IF(N65&gt;=$AO$1/100,"O","X"))</f>
        <v/>
      </c>
      <c r="AP65" s="113">
        <f>IF(I65="","",IF(I65&lt;=$AP$1,"O","X"))</f>
        <v/>
      </c>
      <c r="AQ65" s="113">
        <f>IF(O65="","",IF(O65&lt;=$AQ$1,"O","X"))</f>
        <v/>
      </c>
      <c r="AR65" s="113">
        <f>IF(M65="","",IF(M65&lt;=$AR$1,"O","X"))</f>
        <v/>
      </c>
      <c r="AS65" s="113" t="inlineStr">
        <is>
          <t>X</t>
        </is>
      </c>
      <c r="AT65" s="113">
        <f>IF(OR(F65="",AI65=""),"",IF(AND((F65&lt;=85),(AI65&gt;=15)),"O","X"))</f>
        <v/>
      </c>
      <c r="AU65" s="113">
        <f>IF(C65="","",IF(C65&gt;=$AU$1,"O","X"))</f>
        <v/>
      </c>
      <c r="AV65" s="113">
        <f>IF(AO65="","",IF(AND(AO65="O",AP65="O",AR65="O",AT65="O",AU65="O"),"후보","X"))</f>
        <v/>
      </c>
    </row>
    <row r="66">
      <c r="A66" s="13" t="inlineStr">
        <is>
          <t>e편한세상강일어반브릿지</t>
        </is>
      </c>
      <c r="B66" s="16" t="inlineStr">
        <is>
          <t>'24.02.</t>
        </is>
      </c>
      <c r="C66" s="164" t="n">
        <v>593</v>
      </c>
      <c r="D66" s="161" t="n">
        <v>114.5</v>
      </c>
      <c r="E66" s="163" t="n">
        <v>35</v>
      </c>
      <c r="F66" s="161" t="n">
        <v>84.2</v>
      </c>
      <c r="G66" s="27" t="n">
        <v>25</v>
      </c>
      <c r="H66" s="164" t="n">
        <v>2</v>
      </c>
      <c r="I66" s="165" t="n"/>
      <c r="J66" s="165" t="n"/>
      <c r="K66" s="165" t="n"/>
      <c r="L66" s="165" t="n"/>
      <c r="M66" s="166">
        <f>I66-K66</f>
        <v/>
      </c>
      <c r="N66" s="7">
        <f>IF(ISERROR(K66/I66),"",K66/I66)</f>
        <v/>
      </c>
      <c r="O66" s="162">
        <f>I66/E66</f>
        <v/>
      </c>
      <c r="P66" s="162">
        <f>K66/E66</f>
        <v/>
      </c>
      <c r="Q66" s="113" t="n">
        <v>3</v>
      </c>
      <c r="R66" s="113" t="n">
        <v>2</v>
      </c>
      <c r="S66" s="113" t="inlineStr">
        <is>
          <t>계</t>
        </is>
      </c>
      <c r="T66" s="8" t="inlineStr">
        <is>
          <t>114Q</t>
        </is>
      </c>
      <c r="U66" s="13" t="n"/>
      <c r="W66" s="161">
        <f>D66</f>
        <v/>
      </c>
      <c r="X66" s="163">
        <f>E66</f>
        <v/>
      </c>
      <c r="Y66" s="159">
        <f>H66</f>
        <v/>
      </c>
      <c r="Z66" s="166">
        <f>I66</f>
        <v/>
      </c>
      <c r="AA66" s="166">
        <f>K66</f>
        <v/>
      </c>
      <c r="AB66" s="166">
        <f>M66</f>
        <v/>
      </c>
      <c r="AC66" s="7">
        <f>N66</f>
        <v/>
      </c>
      <c r="AD66" s="162">
        <f>O66</f>
        <v/>
      </c>
      <c r="AE66" s="113">
        <f>S66</f>
        <v/>
      </c>
      <c r="AF66" s="113">
        <f>Q66&amp;"/"&amp;R66</f>
        <v/>
      </c>
      <c r="AH66" s="36">
        <f>IF(A66="","",A66)</f>
        <v/>
      </c>
      <c r="AI66" s="163">
        <f>IF(E66="","",E66)</f>
        <v/>
      </c>
      <c r="AJ66" s="113">
        <f>IF(AI66="","",$AJ$2)</f>
        <v/>
      </c>
      <c r="AK66" s="113" t="inlineStr">
        <is>
          <t>A</t>
        </is>
      </c>
      <c r="AL66" s="113" t="inlineStr">
        <is>
          <t>A+</t>
        </is>
      </c>
      <c r="AM66" s="113" t="inlineStr">
        <is>
          <t>B+</t>
        </is>
      </c>
      <c r="AN66" s="113">
        <f>IF(AI66="","",$AN$2)</f>
        <v/>
      </c>
      <c r="AO66" s="113">
        <f>IF(N66="","",IF(N66&gt;=$AO$1/100,"O","X"))</f>
        <v/>
      </c>
      <c r="AP66" s="113">
        <f>IF(I66="","",IF(I66&lt;=$AP$1,"O","X"))</f>
        <v/>
      </c>
      <c r="AQ66" s="113">
        <f>IF(O66="","",IF(O66&lt;=$AQ$1,"O","X"))</f>
        <v/>
      </c>
      <c r="AR66" s="113">
        <f>IF(M66="","",IF(M66&lt;=$AR$1,"O","X"))</f>
        <v/>
      </c>
      <c r="AS66" s="113" t="inlineStr">
        <is>
          <t>X</t>
        </is>
      </c>
      <c r="AT66" s="113">
        <f>IF(OR(F66="",AI66=""),"",IF(AND((F66&lt;=85),(AI66&gt;=15)),"O","X"))</f>
        <v/>
      </c>
      <c r="AU66" s="113">
        <f>IF(C66="","",IF(C66&gt;=$AU$1,"O","X"))</f>
        <v/>
      </c>
      <c r="AV66" s="113">
        <f>IF(AO66="","",IF(AND(AO66="O",AP66="O",AR66="O",AT66="O",AU66="O"),"후보","X"))</f>
        <v/>
      </c>
    </row>
    <row r="67">
      <c r="A67" s="13" t="inlineStr">
        <is>
          <t>e편한세상강일어반브릿지</t>
        </is>
      </c>
      <c r="B67" s="16" t="inlineStr">
        <is>
          <t>'24.02.</t>
        </is>
      </c>
      <c r="C67" s="164" t="n">
        <v>593</v>
      </c>
      <c r="D67" s="161" t="n">
        <v>131.5</v>
      </c>
      <c r="E67" s="163" t="n">
        <v>40</v>
      </c>
      <c r="F67" s="161" t="n">
        <v>101.1</v>
      </c>
      <c r="G67" s="27" t="n">
        <v>31</v>
      </c>
      <c r="H67" s="164" t="n">
        <v>32</v>
      </c>
      <c r="I67" s="165" t="n"/>
      <c r="J67" s="165" t="n"/>
      <c r="K67" s="165" t="n"/>
      <c r="L67" s="165" t="n"/>
      <c r="M67" s="166">
        <f>I67-K67</f>
        <v/>
      </c>
      <c r="N67" s="7">
        <f>IF(ISERROR(K67/I67),"",K67/I67)</f>
        <v/>
      </c>
      <c r="O67" s="162">
        <f>I67/E67</f>
        <v/>
      </c>
      <c r="P67" s="162">
        <f>K67/E67</f>
        <v/>
      </c>
      <c r="Q67" s="113" t="n">
        <v>3</v>
      </c>
      <c r="R67" s="113" t="n">
        <v>2</v>
      </c>
      <c r="S67" s="113" t="inlineStr">
        <is>
          <t>계</t>
        </is>
      </c>
      <c r="T67" s="8" t="inlineStr">
        <is>
          <t>131A</t>
        </is>
      </c>
      <c r="U67" s="13" t="n"/>
      <c r="W67" s="161">
        <f>D67</f>
        <v/>
      </c>
      <c r="X67" s="163">
        <f>E67</f>
        <v/>
      </c>
      <c r="Y67" s="159">
        <f>H67</f>
        <v/>
      </c>
      <c r="Z67" s="166">
        <f>I67</f>
        <v/>
      </c>
      <c r="AA67" s="166">
        <f>K67</f>
        <v/>
      </c>
      <c r="AB67" s="166">
        <f>M67</f>
        <v/>
      </c>
      <c r="AC67" s="7">
        <f>N67</f>
        <v/>
      </c>
      <c r="AD67" s="162">
        <f>O67</f>
        <v/>
      </c>
      <c r="AE67" s="113">
        <f>S67</f>
        <v/>
      </c>
      <c r="AF67" s="113">
        <f>Q67&amp;"/"&amp;R67</f>
        <v/>
      </c>
      <c r="AH67" s="36">
        <f>IF(A67="","",A67)</f>
        <v/>
      </c>
      <c r="AI67" s="163">
        <f>IF(E67="","",E67)</f>
        <v/>
      </c>
      <c r="AJ67" s="113">
        <f>IF(AI67="","",$AJ$2)</f>
        <v/>
      </c>
      <c r="AK67" s="113" t="inlineStr">
        <is>
          <t>A</t>
        </is>
      </c>
      <c r="AL67" s="113" t="inlineStr">
        <is>
          <t>A+</t>
        </is>
      </c>
      <c r="AM67" s="113" t="inlineStr">
        <is>
          <t>B+</t>
        </is>
      </c>
      <c r="AN67" s="113">
        <f>IF(AI67="","",$AN$2)</f>
        <v/>
      </c>
      <c r="AO67" s="113">
        <f>IF(N67="","",IF(N67&gt;=$AO$1/100,"O","X"))</f>
        <v/>
      </c>
      <c r="AP67" s="113">
        <f>IF(I67="","",IF(I67&lt;=$AP$1,"O","X"))</f>
        <v/>
      </c>
      <c r="AQ67" s="113">
        <f>IF(O67="","",IF(O67&lt;=$AQ$1,"O","X"))</f>
        <v/>
      </c>
      <c r="AR67" s="113">
        <f>IF(M67="","",IF(M67&lt;=$AR$1,"O","X"))</f>
        <v/>
      </c>
      <c r="AS67" s="113" t="inlineStr">
        <is>
          <t>X</t>
        </is>
      </c>
      <c r="AT67" s="113">
        <f>IF(OR(F67="",AI67=""),"",IF(AND((F67&lt;=85),(AI67&gt;=15)),"O","X"))</f>
        <v/>
      </c>
      <c r="AU67" s="113">
        <f>IF(C67="","",IF(C67&gt;=$AU$1,"O","X"))</f>
        <v/>
      </c>
      <c r="AV67" s="113">
        <f>IF(AO67="","",IF(AND(AO67="O",AP67="O",AR67="O",AT67="O",AU67="O"),"후보","X"))</f>
        <v/>
      </c>
    </row>
    <row r="68">
      <c r="A68" s="13" t="inlineStr">
        <is>
          <t>e편한세상강일어반브릿지</t>
        </is>
      </c>
      <c r="B68" s="16" t="inlineStr">
        <is>
          <t>'24.02.</t>
        </is>
      </c>
      <c r="C68" s="164" t="n">
        <v>593</v>
      </c>
      <c r="D68" s="161" t="n">
        <v>132.8</v>
      </c>
      <c r="E68" s="163" t="n">
        <v>40</v>
      </c>
      <c r="F68" s="161" t="n">
        <v>101</v>
      </c>
      <c r="G68" s="27" t="n">
        <v>31</v>
      </c>
      <c r="H68" s="164" t="n">
        <v>36</v>
      </c>
      <c r="I68" s="165" t="n"/>
      <c r="J68" s="165" t="n"/>
      <c r="K68" s="165" t="n"/>
      <c r="L68" s="165" t="n"/>
      <c r="M68" s="166">
        <f>I68-K68</f>
        <v/>
      </c>
      <c r="N68" s="7">
        <f>IF(ISERROR(K68/I68),"",K68/I68)</f>
        <v/>
      </c>
      <c r="O68" s="162">
        <f>I68/E68</f>
        <v/>
      </c>
      <c r="P68" s="162">
        <f>K68/E68</f>
        <v/>
      </c>
      <c r="Q68" s="113" t="n">
        <v>3</v>
      </c>
      <c r="R68" s="113" t="n">
        <v>2</v>
      </c>
      <c r="S68" s="113" t="inlineStr">
        <is>
          <t>계</t>
        </is>
      </c>
      <c r="T68" s="8" t="inlineStr">
        <is>
          <t>132D</t>
        </is>
      </c>
      <c r="U68" s="13" t="n"/>
      <c r="W68" s="161">
        <f>D68</f>
        <v/>
      </c>
      <c r="X68" s="163">
        <f>E68</f>
        <v/>
      </c>
      <c r="Y68" s="159">
        <f>H68</f>
        <v/>
      </c>
      <c r="Z68" s="166">
        <f>I68</f>
        <v/>
      </c>
      <c r="AA68" s="166">
        <f>K68</f>
        <v/>
      </c>
      <c r="AB68" s="166">
        <f>M68</f>
        <v/>
      </c>
      <c r="AC68" s="7">
        <f>N68</f>
        <v/>
      </c>
      <c r="AD68" s="162">
        <f>O68</f>
        <v/>
      </c>
      <c r="AE68" s="113">
        <f>S68</f>
        <v/>
      </c>
      <c r="AF68" s="113">
        <f>Q68&amp;"/"&amp;R68</f>
        <v/>
      </c>
      <c r="AH68" s="36">
        <f>IF(A68="","",A68)</f>
        <v/>
      </c>
      <c r="AI68" s="163">
        <f>IF(E68="","",E68)</f>
        <v/>
      </c>
      <c r="AJ68" s="113">
        <f>IF(AI68="","",$AJ$2)</f>
        <v/>
      </c>
      <c r="AK68" s="113" t="inlineStr">
        <is>
          <t>A</t>
        </is>
      </c>
      <c r="AL68" s="113" t="inlineStr">
        <is>
          <t>A+</t>
        </is>
      </c>
      <c r="AM68" s="113" t="inlineStr">
        <is>
          <t>B+</t>
        </is>
      </c>
      <c r="AN68" s="113">
        <f>IF(AI68="","",$AN$2)</f>
        <v/>
      </c>
      <c r="AO68" s="113">
        <f>IF(N68="","",IF(N68&gt;=$AO$1/100,"O","X"))</f>
        <v/>
      </c>
      <c r="AP68" s="113">
        <f>IF(I68="","",IF(I68&lt;=$AP$1,"O","X"))</f>
        <v/>
      </c>
      <c r="AQ68" s="113">
        <f>IF(O68="","",IF(O68&lt;=$AQ$1,"O","X"))</f>
        <v/>
      </c>
      <c r="AR68" s="113">
        <f>IF(M68="","",IF(M68&lt;=$AR$1,"O","X"))</f>
        <v/>
      </c>
      <c r="AS68" s="113" t="inlineStr">
        <is>
          <t>X</t>
        </is>
      </c>
      <c r="AT68" s="113">
        <f>IF(OR(F68="",AI68=""),"",IF(AND((F68&lt;=85),(AI68&gt;=15)),"O","X"))</f>
        <v/>
      </c>
      <c r="AU68" s="113">
        <f>IF(C68="","",IF(C68&gt;=$AU$1,"O","X"))</f>
        <v/>
      </c>
      <c r="AV68" s="113">
        <f>IF(AO68="","",IF(AND(AO68="O",AP68="O",AR68="O",AT68="O",AU68="O"),"후보","X"))</f>
        <v/>
      </c>
    </row>
    <row r="69">
      <c r="A69" s="13" t="inlineStr">
        <is>
          <t>e편한세상강일어반브릿지</t>
        </is>
      </c>
      <c r="B69" s="16" t="inlineStr">
        <is>
          <t>'24.02.</t>
        </is>
      </c>
      <c r="C69" s="164" t="n">
        <v>593</v>
      </c>
      <c r="D69" s="161" t="n">
        <v>132.9</v>
      </c>
      <c r="E69" s="163" t="n">
        <v>40</v>
      </c>
      <c r="F69" s="161" t="n">
        <v>101.1</v>
      </c>
      <c r="G69" s="27" t="n">
        <v>31</v>
      </c>
      <c r="H69" s="164" t="n">
        <v>16</v>
      </c>
      <c r="I69" s="165" t="n"/>
      <c r="J69" s="165" t="n"/>
      <c r="K69" s="165" t="n"/>
      <c r="L69" s="165" t="n"/>
      <c r="M69" s="166">
        <f>I69-K69</f>
        <v/>
      </c>
      <c r="N69" s="7">
        <f>IF(ISERROR(K69/I69),"",K69/I69)</f>
        <v/>
      </c>
      <c r="O69" s="162">
        <f>I69/E69</f>
        <v/>
      </c>
      <c r="P69" s="162">
        <f>K69/E69</f>
        <v/>
      </c>
      <c r="Q69" s="113" t="n">
        <v>3</v>
      </c>
      <c r="R69" s="113" t="n">
        <v>2</v>
      </c>
      <c r="S69" s="113" t="inlineStr">
        <is>
          <t>계</t>
        </is>
      </c>
      <c r="T69" s="8" t="inlineStr">
        <is>
          <t>132E</t>
        </is>
      </c>
      <c r="U69" s="13" t="n"/>
      <c r="W69" s="161">
        <f>D69</f>
        <v/>
      </c>
      <c r="X69" s="163">
        <f>E69</f>
        <v/>
      </c>
      <c r="Y69" s="159">
        <f>H69</f>
        <v/>
      </c>
      <c r="Z69" s="166">
        <f>I69</f>
        <v/>
      </c>
      <c r="AA69" s="166">
        <f>K69</f>
        <v/>
      </c>
      <c r="AB69" s="166">
        <f>M69</f>
        <v/>
      </c>
      <c r="AC69" s="7">
        <f>N69</f>
        <v/>
      </c>
      <c r="AD69" s="162">
        <f>O69</f>
        <v/>
      </c>
      <c r="AE69" s="113">
        <f>S69</f>
        <v/>
      </c>
      <c r="AF69" s="113">
        <f>Q69&amp;"/"&amp;R69</f>
        <v/>
      </c>
      <c r="AH69" s="36">
        <f>IF(A69="","",A69)</f>
        <v/>
      </c>
      <c r="AI69" s="163">
        <f>IF(E69="","",E69)</f>
        <v/>
      </c>
      <c r="AJ69" s="113">
        <f>IF(AI69="","",$AJ$2)</f>
        <v/>
      </c>
      <c r="AK69" s="113" t="inlineStr">
        <is>
          <t>A</t>
        </is>
      </c>
      <c r="AL69" s="113" t="inlineStr">
        <is>
          <t>A+</t>
        </is>
      </c>
      <c r="AM69" s="113" t="inlineStr">
        <is>
          <t>B+</t>
        </is>
      </c>
      <c r="AN69" s="113">
        <f>IF(AI69="","",$AN$2)</f>
        <v/>
      </c>
      <c r="AO69" s="113">
        <f>IF(N69="","",IF(N69&gt;=$AO$1/100,"O","X"))</f>
        <v/>
      </c>
      <c r="AP69" s="113">
        <f>IF(I69="","",IF(I69&lt;=$AP$1,"O","X"))</f>
        <v/>
      </c>
      <c r="AQ69" s="113">
        <f>IF(O69="","",IF(O69&lt;=$AQ$1,"O","X"))</f>
        <v/>
      </c>
      <c r="AR69" s="113">
        <f>IF(M69="","",IF(M69&lt;=$AR$1,"O","X"))</f>
        <v/>
      </c>
      <c r="AS69" s="113" t="inlineStr">
        <is>
          <t>X</t>
        </is>
      </c>
      <c r="AT69" s="113">
        <f>IF(OR(F69="",AI69=""),"",IF(AND((F69&lt;=85),(AI69&gt;=15)),"O","X"))</f>
        <v/>
      </c>
      <c r="AU69" s="113">
        <f>IF(C69="","",IF(C69&gt;=$AU$1,"O","X"))</f>
        <v/>
      </c>
      <c r="AV69" s="113">
        <f>IF(AO69="","",IF(AND(AO69="O",AP69="O",AR69="O",AT69="O",AU69="O"),"후보","X"))</f>
        <v/>
      </c>
    </row>
    <row r="70">
      <c r="A70" s="13" t="inlineStr">
        <is>
          <t>e편한세상강일어반브릿지</t>
        </is>
      </c>
      <c r="B70" s="16" t="inlineStr">
        <is>
          <t>'24.02.</t>
        </is>
      </c>
      <c r="C70" s="164" t="n">
        <v>593</v>
      </c>
      <c r="D70" s="161" t="n">
        <v>133.2</v>
      </c>
      <c r="E70" s="163" t="n">
        <v>40</v>
      </c>
      <c r="F70" s="161" t="n">
        <v>101</v>
      </c>
      <c r="G70" s="27" t="n">
        <v>31</v>
      </c>
      <c r="H70" s="164" t="n">
        <v>48</v>
      </c>
      <c r="I70" s="165" t="n"/>
      <c r="J70" s="165" t="n"/>
      <c r="K70" s="165" t="n"/>
      <c r="L70" s="165" t="n"/>
      <c r="M70" s="166">
        <f>I70-K70</f>
        <v/>
      </c>
      <c r="N70" s="7">
        <f>IF(ISERROR(K70/I70),"",K70/I70)</f>
        <v/>
      </c>
      <c r="O70" s="162">
        <f>I70/E70</f>
        <v/>
      </c>
      <c r="P70" s="162">
        <f>K70/E70</f>
        <v/>
      </c>
      <c r="Q70" s="113" t="n">
        <v>3</v>
      </c>
      <c r="R70" s="113" t="n">
        <v>2</v>
      </c>
      <c r="S70" s="113" t="inlineStr">
        <is>
          <t>계</t>
        </is>
      </c>
      <c r="T70" s="8" t="inlineStr">
        <is>
          <t>133C</t>
        </is>
      </c>
      <c r="U70" s="13" t="n"/>
      <c r="W70" s="161">
        <f>D70</f>
        <v/>
      </c>
      <c r="X70" s="163">
        <f>E70</f>
        <v/>
      </c>
      <c r="Y70" s="159">
        <f>H70</f>
        <v/>
      </c>
      <c r="Z70" s="166">
        <f>I70</f>
        <v/>
      </c>
      <c r="AA70" s="166">
        <f>K70</f>
        <v/>
      </c>
      <c r="AB70" s="166">
        <f>M70</f>
        <v/>
      </c>
      <c r="AC70" s="7">
        <f>N70</f>
        <v/>
      </c>
      <c r="AD70" s="162">
        <f>O70</f>
        <v/>
      </c>
      <c r="AE70" s="113">
        <f>S70</f>
        <v/>
      </c>
      <c r="AF70" s="113">
        <f>Q70&amp;"/"&amp;R70</f>
        <v/>
      </c>
      <c r="AH70" s="36">
        <f>IF(A70="","",A70)</f>
        <v/>
      </c>
      <c r="AI70" s="163">
        <f>IF(E70="","",E70)</f>
        <v/>
      </c>
      <c r="AJ70" s="113">
        <f>IF(AI70="","",$AJ$2)</f>
        <v/>
      </c>
      <c r="AK70" s="113" t="inlineStr">
        <is>
          <t>A</t>
        </is>
      </c>
      <c r="AL70" s="113" t="inlineStr">
        <is>
          <t>A+</t>
        </is>
      </c>
      <c r="AM70" s="113" t="inlineStr">
        <is>
          <t>B+</t>
        </is>
      </c>
      <c r="AN70" s="113">
        <f>IF(AI70="","",$AN$2)</f>
        <v/>
      </c>
      <c r="AO70" s="113">
        <f>IF(N70="","",IF(N70&gt;=$AO$1/100,"O","X"))</f>
        <v/>
      </c>
      <c r="AP70" s="113">
        <f>IF(I70="","",IF(I70&lt;=$AP$1,"O","X"))</f>
        <v/>
      </c>
      <c r="AQ70" s="113">
        <f>IF(O70="","",IF(O70&lt;=$AQ$1,"O","X"))</f>
        <v/>
      </c>
      <c r="AR70" s="113">
        <f>IF(M70="","",IF(M70&lt;=$AR$1,"O","X"))</f>
        <v/>
      </c>
      <c r="AS70" s="113" t="inlineStr">
        <is>
          <t>X</t>
        </is>
      </c>
      <c r="AT70" s="113">
        <f>IF(OR(F70="",AI70=""),"",IF(AND((F70&lt;=85),(AI70&gt;=15)),"O","X"))</f>
        <v/>
      </c>
      <c r="AU70" s="113">
        <f>IF(C70="","",IF(C70&gt;=$AU$1,"O","X"))</f>
        <v/>
      </c>
      <c r="AV70" s="113">
        <f>IF(AO70="","",IF(AND(AO70="O",AP70="O",AR70="O",AT70="O",AU70="O"),"후보","X"))</f>
        <v/>
      </c>
    </row>
    <row r="71">
      <c r="A71" s="13" t="inlineStr">
        <is>
          <t>e편한세상강일어반브릿지</t>
        </is>
      </c>
      <c r="B71" s="16" t="inlineStr">
        <is>
          <t>'24.02.</t>
        </is>
      </c>
      <c r="C71" s="164" t="n">
        <v>593</v>
      </c>
      <c r="D71" s="161" t="n">
        <v>134</v>
      </c>
      <c r="E71" s="163" t="n">
        <v>41</v>
      </c>
      <c r="F71" s="161" t="n">
        <v>101.1</v>
      </c>
      <c r="G71" s="27" t="n">
        <v>31</v>
      </c>
      <c r="H71" s="164" t="n">
        <v>36</v>
      </c>
      <c r="I71" s="165" t="n"/>
      <c r="J71" s="165" t="n"/>
      <c r="K71" s="165" t="n"/>
      <c r="L71" s="165" t="n"/>
      <c r="M71" s="166">
        <f>I71-K71</f>
        <v/>
      </c>
      <c r="N71" s="7">
        <f>IF(ISERROR(K71/I71),"",K71/I71)</f>
        <v/>
      </c>
      <c r="O71" s="162">
        <f>I71/E71</f>
        <v/>
      </c>
      <c r="P71" s="162">
        <f>K71/E71</f>
        <v/>
      </c>
      <c r="Q71" s="113" t="n">
        <v>3</v>
      </c>
      <c r="R71" s="113" t="n">
        <v>2</v>
      </c>
      <c r="S71" s="113" t="inlineStr">
        <is>
          <t>계</t>
        </is>
      </c>
      <c r="T71" s="8" t="inlineStr">
        <is>
          <t>134B</t>
        </is>
      </c>
      <c r="U71" s="13" t="n"/>
      <c r="W71" s="161">
        <f>D71</f>
        <v/>
      </c>
      <c r="X71" s="163">
        <f>E71</f>
        <v/>
      </c>
      <c r="Y71" s="159">
        <f>H71</f>
        <v/>
      </c>
      <c r="Z71" s="166">
        <f>I71</f>
        <v/>
      </c>
      <c r="AA71" s="166">
        <f>K71</f>
        <v/>
      </c>
      <c r="AB71" s="166">
        <f>M71</f>
        <v/>
      </c>
      <c r="AC71" s="7">
        <f>N71</f>
        <v/>
      </c>
      <c r="AD71" s="162">
        <f>O71</f>
        <v/>
      </c>
      <c r="AE71" s="113">
        <f>S71</f>
        <v/>
      </c>
      <c r="AF71" s="113">
        <f>Q71&amp;"/"&amp;R71</f>
        <v/>
      </c>
      <c r="AH71" s="36">
        <f>IF(A71="","",A71)</f>
        <v/>
      </c>
      <c r="AI71" s="163">
        <f>IF(E71="","",E71)</f>
        <v/>
      </c>
      <c r="AJ71" s="113">
        <f>IF(AI71="","",$AJ$2)</f>
        <v/>
      </c>
      <c r="AK71" s="113" t="inlineStr">
        <is>
          <t>A</t>
        </is>
      </c>
      <c r="AL71" s="113" t="inlineStr">
        <is>
          <t>A+</t>
        </is>
      </c>
      <c r="AM71" s="113" t="inlineStr">
        <is>
          <t>B+</t>
        </is>
      </c>
      <c r="AN71" s="113">
        <f>IF(AI71="","",$AN$2)</f>
        <v/>
      </c>
      <c r="AO71" s="113">
        <f>IF(N71="","",IF(N71&gt;=$AO$1/100,"O","X"))</f>
        <v/>
      </c>
      <c r="AP71" s="113">
        <f>IF(I71="","",IF(I71&lt;=$AP$1,"O","X"))</f>
        <v/>
      </c>
      <c r="AQ71" s="113">
        <f>IF(O71="","",IF(O71&lt;=$AQ$1,"O","X"))</f>
        <v/>
      </c>
      <c r="AR71" s="113">
        <f>IF(M71="","",IF(M71&lt;=$AR$1,"O","X"))</f>
        <v/>
      </c>
      <c r="AS71" s="113" t="inlineStr">
        <is>
          <t>X</t>
        </is>
      </c>
      <c r="AT71" s="113">
        <f>IF(OR(F71="",AI71=""),"",IF(AND((F71&lt;=85),(AI71&gt;=15)),"O","X"))</f>
        <v/>
      </c>
      <c r="AU71" s="113">
        <f>IF(C71="","",IF(C71&gt;=$AU$1,"O","X"))</f>
        <v/>
      </c>
      <c r="AV71" s="113">
        <f>IF(AO71="","",IF(AND(AO71="O",AP71="O",AR71="O",AT71="O",AU71="O"),"후보","X"))</f>
        <v/>
      </c>
    </row>
    <row r="72">
      <c r="A72" s="13" t="inlineStr">
        <is>
          <t>e편한세상강일어반브릿지</t>
        </is>
      </c>
      <c r="B72" s="16" t="inlineStr">
        <is>
          <t>'24.02.</t>
        </is>
      </c>
      <c r="C72" s="164" t="n">
        <v>593</v>
      </c>
      <c r="D72" s="161" t="n">
        <v>134.3</v>
      </c>
      <c r="E72" s="163" t="n">
        <v>41</v>
      </c>
      <c r="F72" s="161" t="n">
        <v>101.1</v>
      </c>
      <c r="G72" s="27" t="n">
        <v>31</v>
      </c>
      <c r="H72" s="164" t="n">
        <v>6</v>
      </c>
      <c r="I72" s="165" t="n"/>
      <c r="J72" s="165" t="n"/>
      <c r="K72" s="165" t="n"/>
      <c r="L72" s="165" t="n"/>
      <c r="M72" s="166">
        <f>I72-K72</f>
        <v/>
      </c>
      <c r="N72" s="7">
        <f>IF(ISERROR(K72/I72),"",K72/I72)</f>
        <v/>
      </c>
      <c r="O72" s="162">
        <f>I72/E72</f>
        <v/>
      </c>
      <c r="P72" s="162">
        <f>K72/E72</f>
        <v/>
      </c>
      <c r="Q72" s="113" t="n">
        <v>3</v>
      </c>
      <c r="R72" s="113" t="n">
        <v>3</v>
      </c>
      <c r="S72" s="113" t="inlineStr">
        <is>
          <t>계</t>
        </is>
      </c>
      <c r="T72" s="8" t="inlineStr">
        <is>
          <t>134F</t>
        </is>
      </c>
      <c r="U72" s="13" t="n"/>
      <c r="W72" s="161">
        <f>D72</f>
        <v/>
      </c>
      <c r="X72" s="163">
        <f>E72</f>
        <v/>
      </c>
      <c r="Y72" s="159">
        <f>H72</f>
        <v/>
      </c>
      <c r="Z72" s="166">
        <f>I72</f>
        <v/>
      </c>
      <c r="AA72" s="166">
        <f>K72</f>
        <v/>
      </c>
      <c r="AB72" s="166">
        <f>M72</f>
        <v/>
      </c>
      <c r="AC72" s="7">
        <f>N72</f>
        <v/>
      </c>
      <c r="AD72" s="162">
        <f>O72</f>
        <v/>
      </c>
      <c r="AE72" s="113">
        <f>S72</f>
        <v/>
      </c>
      <c r="AF72" s="113">
        <f>Q72&amp;"/"&amp;R72</f>
        <v/>
      </c>
      <c r="AH72" s="36">
        <f>IF(A72="","",A72)</f>
        <v/>
      </c>
      <c r="AI72" s="163">
        <f>IF(E72="","",E72)</f>
        <v/>
      </c>
      <c r="AJ72" s="113">
        <f>IF(AI72="","",$AJ$2)</f>
        <v/>
      </c>
      <c r="AK72" s="113" t="inlineStr">
        <is>
          <t>A</t>
        </is>
      </c>
      <c r="AL72" s="113" t="inlineStr">
        <is>
          <t>A+</t>
        </is>
      </c>
      <c r="AM72" s="113" t="inlineStr">
        <is>
          <t>B+</t>
        </is>
      </c>
      <c r="AN72" s="113">
        <f>IF(AI72="","",$AN$2)</f>
        <v/>
      </c>
      <c r="AO72" s="113">
        <f>IF(N72="","",IF(N72&gt;=$AO$1/100,"O","X"))</f>
        <v/>
      </c>
      <c r="AP72" s="113">
        <f>IF(I72="","",IF(I72&lt;=$AP$1,"O","X"))</f>
        <v/>
      </c>
      <c r="AQ72" s="113">
        <f>IF(O72="","",IF(O72&lt;=$AQ$1,"O","X"))</f>
        <v/>
      </c>
      <c r="AR72" s="113">
        <f>IF(M72="","",IF(M72&lt;=$AR$1,"O","X"))</f>
        <v/>
      </c>
      <c r="AS72" s="113" t="inlineStr">
        <is>
          <t>X</t>
        </is>
      </c>
      <c r="AT72" s="113">
        <f>IF(OR(F72="",AI72=""),"",IF(AND((F72&lt;=85),(AI72&gt;=15)),"O","X"))</f>
        <v/>
      </c>
      <c r="AU72" s="113">
        <f>IF(C72="","",IF(C72&gt;=$AU$1,"O","X"))</f>
        <v/>
      </c>
      <c r="AV72" s="113">
        <f>IF(AO72="","",IF(AND(AO72="O",AP72="O",AR72="O",AT72="O",AU72="O"),"후보","X"))</f>
        <v/>
      </c>
    </row>
    <row r="73">
      <c r="A73" s="13" t="n"/>
      <c r="B73" s="113" t="n"/>
      <c r="C73" s="10" t="n"/>
      <c r="D73" s="13" t="n"/>
      <c r="E73" s="20" t="n"/>
      <c r="F73" s="161" t="n"/>
      <c r="G73" s="13" t="n"/>
      <c r="H73" s="13" t="n"/>
      <c r="I73" s="13" t="n"/>
      <c r="J73" s="13" t="n"/>
      <c r="K73" s="13" t="n"/>
      <c r="L73" s="13" t="n"/>
      <c r="M73" s="13" t="n"/>
      <c r="N73" s="13" t="n"/>
      <c r="O73" s="162" t="n"/>
      <c r="P73" s="162" t="n"/>
      <c r="Q73" s="163" t="n"/>
      <c r="R73" s="163" t="n"/>
      <c r="S73" s="13" t="n"/>
      <c r="T73" s="70" t="n"/>
      <c r="U73" s="13" t="n"/>
      <c r="W73" s="107">
        <f>$A$4&amp;" "&amp;A74&amp;"("&amp;B74&amp;","&amp;C74&amp;"^)"</f>
        <v/>
      </c>
      <c r="X73" s="108" t="n"/>
      <c r="Y73" s="108" t="n"/>
      <c r="Z73" s="108" t="n"/>
      <c r="AA73" s="108" t="n"/>
      <c r="AB73" s="108" t="n"/>
      <c r="AC73" s="108" t="n"/>
      <c r="AD73" s="108" t="n"/>
      <c r="AE73" s="108" t="n"/>
      <c r="AF73" s="109" t="n"/>
      <c r="AH73" s="36">
        <f>IF(A73="","",A73)</f>
        <v/>
      </c>
      <c r="AI73" s="160">
        <f>IF(E73="","",E73)</f>
        <v/>
      </c>
      <c r="AJ73" s="113" t="n"/>
      <c r="AK73" s="113" t="n"/>
      <c r="AL73" s="113" t="n"/>
      <c r="AM73" s="113" t="n"/>
      <c r="AN73" s="113" t="n"/>
      <c r="AO73" s="113" t="n"/>
      <c r="AP73" s="113" t="n"/>
      <c r="AQ73" s="113" t="n"/>
      <c r="AR73" s="113" t="n"/>
      <c r="AS73" s="113" t="n"/>
      <c r="AT73" s="113" t="n"/>
      <c r="AU73" s="113" t="n"/>
      <c r="AV73" s="113" t="n"/>
    </row>
    <row r="74">
      <c r="A74" s="13" t="inlineStr">
        <is>
          <t>고덕숲아이파크</t>
        </is>
      </c>
      <c r="B74" s="16" t="inlineStr">
        <is>
          <t>'18.03.</t>
        </is>
      </c>
      <c r="C74" s="164" t="n">
        <v>687</v>
      </c>
      <c r="D74" s="161" t="n">
        <v>84.8</v>
      </c>
      <c r="E74" s="163" t="n">
        <v>26</v>
      </c>
      <c r="F74" s="161" t="n">
        <v>60</v>
      </c>
      <c r="G74" s="27" t="n">
        <v>18</v>
      </c>
      <c r="H74" s="164" t="n">
        <v>200</v>
      </c>
      <c r="I74" s="165" t="n">
        <v>123000</v>
      </c>
      <c r="J74" s="165" t="inlineStr">
        <is>
          <t>고</t>
        </is>
      </c>
      <c r="K74" s="165" t="n">
        <v>70000</v>
      </c>
      <c r="L74" s="165" t="inlineStr">
        <is>
          <t>중</t>
        </is>
      </c>
      <c r="M74" s="166">
        <f>I74-K74</f>
        <v/>
      </c>
      <c r="N74" s="7">
        <f>IF(ISERROR(K74/I74),"",K74/I74)</f>
        <v/>
      </c>
      <c r="O74" s="162">
        <f>I74/E74</f>
        <v/>
      </c>
      <c r="P74" s="162">
        <f>K74/E74</f>
        <v/>
      </c>
      <c r="Q74" s="113" t="n">
        <v>3</v>
      </c>
      <c r="R74" s="113" t="n">
        <v>2</v>
      </c>
      <c r="S74" s="113" t="inlineStr">
        <is>
          <t>계</t>
        </is>
      </c>
      <c r="T74" s="8" t="inlineStr">
        <is>
          <t>84A</t>
        </is>
      </c>
      <c r="U74" s="13" t="n"/>
      <c r="W74" s="161">
        <f>D74</f>
        <v/>
      </c>
      <c r="X74" s="163">
        <f>E74</f>
        <v/>
      </c>
      <c r="Y74" s="159">
        <f>H74</f>
        <v/>
      </c>
      <c r="Z74" s="166">
        <f>I74</f>
        <v/>
      </c>
      <c r="AA74" s="166">
        <f>K74</f>
        <v/>
      </c>
      <c r="AB74" s="166">
        <f>M74</f>
        <v/>
      </c>
      <c r="AC74" s="7">
        <f>N74</f>
        <v/>
      </c>
      <c r="AD74" s="162">
        <f>O74</f>
        <v/>
      </c>
      <c r="AE74" s="113">
        <f>S74</f>
        <v/>
      </c>
      <c r="AF74" s="113">
        <f>Q74&amp;"/"&amp;R74</f>
        <v/>
      </c>
      <c r="AH74" s="36">
        <f>IF(A74="","",A74)</f>
        <v/>
      </c>
      <c r="AI74" s="163">
        <f>IF(E74="","",E74)</f>
        <v/>
      </c>
      <c r="AJ74" s="113">
        <f>IF(AI74="","",$AJ$2)</f>
        <v/>
      </c>
      <c r="AK74" s="113" t="inlineStr">
        <is>
          <t>A</t>
        </is>
      </c>
      <c r="AL74" s="113" t="inlineStr">
        <is>
          <t>A+</t>
        </is>
      </c>
      <c r="AM74" s="113" t="inlineStr">
        <is>
          <t>B+</t>
        </is>
      </c>
      <c r="AN74" s="113">
        <f>IF(AI74="","",$AN$2)</f>
        <v/>
      </c>
      <c r="AO74" s="113">
        <f>IF(N74="","",IF(N74&gt;=$AO$1/100,"O","X"))</f>
        <v/>
      </c>
      <c r="AP74" s="113">
        <f>IF(I74="","",IF(I74&lt;=$AP$1,"O","X"))</f>
        <v/>
      </c>
      <c r="AQ74" s="113">
        <f>IF(O74="","",IF(O74&lt;=$AQ$1,"O","X"))</f>
        <v/>
      </c>
      <c r="AR74" s="113">
        <f>IF(M74="","",IF(M74&lt;=$AR$1,"O","X"))</f>
        <v/>
      </c>
      <c r="AS74" s="113" t="inlineStr">
        <is>
          <t>X</t>
        </is>
      </c>
      <c r="AT74" s="113">
        <f>IF(OR(F74="",AI74=""),"",IF(AND((F74&lt;=85),(AI74&gt;=15)),"O","X"))</f>
        <v/>
      </c>
      <c r="AU74" s="113">
        <f>IF(C74="","",IF(C74&gt;=$AU$1,"O","X"))</f>
        <v/>
      </c>
      <c r="AV74" s="113">
        <f>IF(AO74="","",IF(AND(AO74="O",AP74="O",AR74="O",AT74="O",AU74="O"),"후보","X"))</f>
        <v/>
      </c>
    </row>
    <row r="75">
      <c r="A75" s="13" t="inlineStr">
        <is>
          <t>고덕숲아이파크</t>
        </is>
      </c>
      <c r="B75" s="16" t="inlineStr">
        <is>
          <t>'18.03.</t>
        </is>
      </c>
      <c r="C75" s="164" t="n">
        <v>687</v>
      </c>
      <c r="D75" s="161" t="n">
        <v>85.8</v>
      </c>
      <c r="E75" s="163" t="n">
        <v>26</v>
      </c>
      <c r="F75" s="161" t="n">
        <v>59.9</v>
      </c>
      <c r="G75" s="27" t="n">
        <v>18</v>
      </c>
      <c r="H75" s="164" t="n">
        <v>16</v>
      </c>
      <c r="I75" s="165" t="n"/>
      <c r="J75" s="165" t="n"/>
      <c r="K75" s="165" t="n"/>
      <c r="L75" s="165" t="n"/>
      <c r="M75" s="166">
        <f>I75-K75</f>
        <v/>
      </c>
      <c r="N75" s="7">
        <f>IF(ISERROR(K75/I75),"",K75/I75)</f>
        <v/>
      </c>
      <c r="O75" s="162">
        <f>I75/E75</f>
        <v/>
      </c>
      <c r="P75" s="162">
        <f>K75/E75</f>
        <v/>
      </c>
      <c r="Q75" s="113" t="n">
        <v>3</v>
      </c>
      <c r="R75" s="113" t="n">
        <v>2</v>
      </c>
      <c r="S75" s="113" t="inlineStr">
        <is>
          <t>계</t>
        </is>
      </c>
      <c r="T75" s="8" t="inlineStr">
        <is>
          <t>85B</t>
        </is>
      </c>
      <c r="U75" s="13" t="n"/>
      <c r="W75" s="161">
        <f>D75</f>
        <v/>
      </c>
      <c r="X75" s="163">
        <f>E75</f>
        <v/>
      </c>
      <c r="Y75" s="159">
        <f>H75</f>
        <v/>
      </c>
      <c r="Z75" s="166">
        <f>I75</f>
        <v/>
      </c>
      <c r="AA75" s="166">
        <f>K75</f>
        <v/>
      </c>
      <c r="AB75" s="166">
        <f>M75</f>
        <v/>
      </c>
      <c r="AC75" s="7">
        <f>N75</f>
        <v/>
      </c>
      <c r="AD75" s="162">
        <f>O75</f>
        <v/>
      </c>
      <c r="AE75" s="113">
        <f>S75</f>
        <v/>
      </c>
      <c r="AF75" s="113">
        <f>Q75&amp;"/"&amp;R75</f>
        <v/>
      </c>
      <c r="AH75" s="36">
        <f>IF(A75="","",A75)</f>
        <v/>
      </c>
      <c r="AI75" s="163">
        <f>IF(E75="","",E75)</f>
        <v/>
      </c>
      <c r="AJ75" s="113">
        <f>IF(AI75="","",$AJ$2)</f>
        <v/>
      </c>
      <c r="AK75" s="113" t="inlineStr">
        <is>
          <t>A</t>
        </is>
      </c>
      <c r="AL75" s="113" t="inlineStr">
        <is>
          <t>A+</t>
        </is>
      </c>
      <c r="AM75" s="113" t="inlineStr">
        <is>
          <t>B+</t>
        </is>
      </c>
      <c r="AN75" s="113">
        <f>IF(AI75="","",$AN$2)</f>
        <v/>
      </c>
      <c r="AO75" s="113">
        <f>IF(N75="","",IF(N75&gt;=$AO$1/100,"O","X"))</f>
        <v/>
      </c>
      <c r="AP75" s="113">
        <f>IF(I75="","",IF(I75&lt;=$AP$1,"O","X"))</f>
        <v/>
      </c>
      <c r="AQ75" s="113">
        <f>IF(O75="","",IF(O75&lt;=$AQ$1,"O","X"))</f>
        <v/>
      </c>
      <c r="AR75" s="113">
        <f>IF(M75="","",IF(M75&lt;=$AR$1,"O","X"))</f>
        <v/>
      </c>
      <c r="AS75" s="113" t="inlineStr">
        <is>
          <t>X</t>
        </is>
      </c>
      <c r="AT75" s="113">
        <f>IF(OR(F75="",AI75=""),"",IF(AND((F75&lt;=85),(AI75&gt;=15)),"O","X"))</f>
        <v/>
      </c>
      <c r="AU75" s="113">
        <f>IF(C75="","",IF(C75&gt;=$AU$1,"O","X"))</f>
        <v/>
      </c>
      <c r="AV75" s="113">
        <f>IF(AO75="","",IF(AND(AO75="O",AP75="O",AR75="O",AT75="O",AU75="O"),"후보","X"))</f>
        <v/>
      </c>
    </row>
    <row r="76">
      <c r="A76" s="13" t="inlineStr">
        <is>
          <t>고덕숲아이파크</t>
        </is>
      </c>
      <c r="B76" s="16" t="inlineStr">
        <is>
          <t>'18.03.</t>
        </is>
      </c>
      <c r="C76" s="164" t="n">
        <v>687</v>
      </c>
      <c r="D76" s="161" t="n">
        <v>85.90000000000001</v>
      </c>
      <c r="E76" s="163" t="n">
        <v>26</v>
      </c>
      <c r="F76" s="161" t="n">
        <v>59.9</v>
      </c>
      <c r="G76" s="27" t="n">
        <v>18</v>
      </c>
      <c r="H76" s="164" t="n">
        <v>15</v>
      </c>
      <c r="I76" s="165" t="n">
        <v>135000</v>
      </c>
      <c r="J76" s="165" t="inlineStr">
        <is>
          <t>중</t>
        </is>
      </c>
      <c r="K76" s="165" t="n"/>
      <c r="L76" s="165" t="n"/>
      <c r="M76" s="166">
        <f>I76-K76</f>
        <v/>
      </c>
      <c r="N76" s="7">
        <f>IF(ISERROR(K76/I76),"",K76/I76)</f>
        <v/>
      </c>
      <c r="O76" s="162">
        <f>I76/E76</f>
        <v/>
      </c>
      <c r="P76" s="162">
        <f>K76/E76</f>
        <v/>
      </c>
      <c r="Q76" s="113" t="n">
        <v>3</v>
      </c>
      <c r="R76" s="113" t="n">
        <v>2</v>
      </c>
      <c r="S76" s="113" t="inlineStr">
        <is>
          <t>계</t>
        </is>
      </c>
      <c r="T76" s="8" t="inlineStr">
        <is>
          <t>85C</t>
        </is>
      </c>
      <c r="U76" s="13" t="n"/>
      <c r="W76" s="161">
        <f>D76</f>
        <v/>
      </c>
      <c r="X76" s="163">
        <f>E76</f>
        <v/>
      </c>
      <c r="Y76" s="159">
        <f>H76</f>
        <v/>
      </c>
      <c r="Z76" s="166">
        <f>I76</f>
        <v/>
      </c>
      <c r="AA76" s="166">
        <f>K76</f>
        <v/>
      </c>
      <c r="AB76" s="166">
        <f>M76</f>
        <v/>
      </c>
      <c r="AC76" s="7">
        <f>N76</f>
        <v/>
      </c>
      <c r="AD76" s="162">
        <f>O76</f>
        <v/>
      </c>
      <c r="AE76" s="113">
        <f>S76</f>
        <v/>
      </c>
      <c r="AF76" s="113">
        <f>Q76&amp;"/"&amp;R76</f>
        <v/>
      </c>
      <c r="AH76" s="36">
        <f>IF(A76="","",A76)</f>
        <v/>
      </c>
      <c r="AI76" s="163">
        <f>IF(E76="","",E76)</f>
        <v/>
      </c>
      <c r="AJ76" s="113">
        <f>IF(AI76="","",$AJ$2)</f>
        <v/>
      </c>
      <c r="AK76" s="113" t="inlineStr">
        <is>
          <t>A</t>
        </is>
      </c>
      <c r="AL76" s="113" t="inlineStr">
        <is>
          <t>A+</t>
        </is>
      </c>
      <c r="AM76" s="113" t="inlineStr">
        <is>
          <t>B+</t>
        </is>
      </c>
      <c r="AN76" s="113">
        <f>IF(AI76="","",$AN$2)</f>
        <v/>
      </c>
      <c r="AO76" s="113">
        <f>IF(N76="","",IF(N76&gt;=$AO$1/100,"O","X"))</f>
        <v/>
      </c>
      <c r="AP76" s="113">
        <f>IF(I76="","",IF(I76&lt;=$AP$1,"O","X"))</f>
        <v/>
      </c>
      <c r="AQ76" s="113">
        <f>IF(O76="","",IF(O76&lt;=$AQ$1,"O","X"))</f>
        <v/>
      </c>
      <c r="AR76" s="113">
        <f>IF(M76="","",IF(M76&lt;=$AR$1,"O","X"))</f>
        <v/>
      </c>
      <c r="AS76" s="113" t="inlineStr">
        <is>
          <t>X</t>
        </is>
      </c>
      <c r="AT76" s="113">
        <f>IF(OR(F76="",AI76=""),"",IF(AND((F76&lt;=85),(AI76&gt;=15)),"O","X"))</f>
        <v/>
      </c>
      <c r="AU76" s="113">
        <f>IF(C76="","",IF(C76&gt;=$AU$1,"O","X"))</f>
        <v/>
      </c>
      <c r="AV76" s="113">
        <f>IF(AO76="","",IF(AND(AO76="O",AP76="O",AR76="O",AT76="O",AU76="O"),"후보","X"))</f>
        <v/>
      </c>
    </row>
    <row r="77">
      <c r="A77" s="13" t="inlineStr">
        <is>
          <t>고덕숲아이파크</t>
        </is>
      </c>
      <c r="B77" s="16" t="inlineStr">
        <is>
          <t>'18.03.</t>
        </is>
      </c>
      <c r="C77" s="164" t="n">
        <v>687</v>
      </c>
      <c r="D77" s="161" t="n">
        <v>112.8</v>
      </c>
      <c r="E77" s="163" t="n">
        <v>34</v>
      </c>
      <c r="F77" s="161" t="n">
        <v>84.90000000000001</v>
      </c>
      <c r="G77" s="27" t="n">
        <v>26</v>
      </c>
      <c r="H77" s="164" t="n">
        <v>317</v>
      </c>
      <c r="I77" s="165" t="n"/>
      <c r="J77" s="165" t="n"/>
      <c r="K77" s="165" t="n"/>
      <c r="L77" s="165" t="n"/>
      <c r="M77" s="166">
        <f>I77-K77</f>
        <v/>
      </c>
      <c r="N77" s="7">
        <f>IF(ISERROR(K77/I77),"",K77/I77)</f>
        <v/>
      </c>
      <c r="O77" s="162">
        <f>I77/E77</f>
        <v/>
      </c>
      <c r="P77" s="162">
        <f>K77/E77</f>
        <v/>
      </c>
      <c r="Q77" s="113" t="n">
        <v>3</v>
      </c>
      <c r="R77" s="113" t="n">
        <v>2</v>
      </c>
      <c r="S77" s="113" t="inlineStr">
        <is>
          <t>계</t>
        </is>
      </c>
      <c r="T77" s="8" t="inlineStr">
        <is>
          <t>112B</t>
        </is>
      </c>
      <c r="U77" s="13" t="n"/>
      <c r="W77" s="161">
        <f>D77</f>
        <v/>
      </c>
      <c r="X77" s="163">
        <f>E77</f>
        <v/>
      </c>
      <c r="Y77" s="159">
        <f>H77</f>
        <v/>
      </c>
      <c r="Z77" s="166">
        <f>I77</f>
        <v/>
      </c>
      <c r="AA77" s="166">
        <f>K77</f>
        <v/>
      </c>
      <c r="AB77" s="166">
        <f>M77</f>
        <v/>
      </c>
      <c r="AC77" s="7">
        <f>N77</f>
        <v/>
      </c>
      <c r="AD77" s="162">
        <f>O77</f>
        <v/>
      </c>
      <c r="AE77" s="113">
        <f>S77</f>
        <v/>
      </c>
      <c r="AF77" s="113">
        <f>Q77&amp;"/"&amp;R77</f>
        <v/>
      </c>
      <c r="AH77" s="36">
        <f>IF(A77="","",A77)</f>
        <v/>
      </c>
      <c r="AI77" s="163">
        <f>IF(E77="","",E77)</f>
        <v/>
      </c>
      <c r="AJ77" s="113">
        <f>IF(AI77="","",$AJ$2)</f>
        <v/>
      </c>
      <c r="AK77" s="113" t="inlineStr">
        <is>
          <t>A</t>
        </is>
      </c>
      <c r="AL77" s="113" t="inlineStr">
        <is>
          <t>A+</t>
        </is>
      </c>
      <c r="AM77" s="113" t="inlineStr">
        <is>
          <t>B+</t>
        </is>
      </c>
      <c r="AN77" s="113">
        <f>IF(AI77="","",$AN$2)</f>
        <v/>
      </c>
      <c r="AO77" s="113">
        <f>IF(N77="","",IF(N77&gt;=$AO$1/100,"O","X"))</f>
        <v/>
      </c>
      <c r="AP77" s="113">
        <f>IF(I77="","",IF(I77&lt;=$AP$1,"O","X"))</f>
        <v/>
      </c>
      <c r="AQ77" s="113">
        <f>IF(O77="","",IF(O77&lt;=$AQ$1,"O","X"))</f>
        <v/>
      </c>
      <c r="AR77" s="113">
        <f>IF(M77="","",IF(M77&lt;=$AR$1,"O","X"))</f>
        <v/>
      </c>
      <c r="AS77" s="113" t="inlineStr">
        <is>
          <t>X</t>
        </is>
      </c>
      <c r="AT77" s="113">
        <f>IF(OR(F77="",AI77=""),"",IF(AND((F77&lt;=85),(AI77&gt;=15)),"O","X"))</f>
        <v/>
      </c>
      <c r="AU77" s="113">
        <f>IF(C77="","",IF(C77&gt;=$AU$1,"O","X"))</f>
        <v/>
      </c>
      <c r="AV77" s="113">
        <f>IF(AO77="","",IF(AND(AO77="O",AP77="O",AR77="O",AT77="O",AU77="O"),"후보","X"))</f>
        <v/>
      </c>
    </row>
    <row r="78">
      <c r="A78" s="13" t="inlineStr">
        <is>
          <t>고덕숲아이파크</t>
        </is>
      </c>
      <c r="B78" s="16" t="inlineStr">
        <is>
          <t>'18.03.</t>
        </is>
      </c>
      <c r="C78" s="164" t="n">
        <v>687</v>
      </c>
      <c r="D78" s="161" t="n">
        <v>113.1</v>
      </c>
      <c r="E78" s="163" t="n">
        <v>34</v>
      </c>
      <c r="F78" s="161" t="n">
        <v>85</v>
      </c>
      <c r="G78" s="27" t="n">
        <v>26</v>
      </c>
      <c r="H78" s="164" t="n">
        <v>70</v>
      </c>
      <c r="I78" s="165" t="n">
        <v>170000</v>
      </c>
      <c r="J78" s="165" t="inlineStr">
        <is>
          <t>11</t>
        </is>
      </c>
      <c r="K78" s="165" t="n">
        <v>80000</v>
      </c>
      <c r="L78" s="165" t="inlineStr">
        <is>
          <t>고</t>
        </is>
      </c>
      <c r="M78" s="166">
        <f>I78-K78</f>
        <v/>
      </c>
      <c r="N78" s="7">
        <f>IF(ISERROR(K78/I78),"",K78/I78)</f>
        <v/>
      </c>
      <c r="O78" s="162">
        <f>I78/E78</f>
        <v/>
      </c>
      <c r="P78" s="162">
        <f>K78/E78</f>
        <v/>
      </c>
      <c r="Q78" s="113" t="n">
        <v>3</v>
      </c>
      <c r="R78" s="113" t="n">
        <v>2</v>
      </c>
      <c r="S78" s="113" t="inlineStr">
        <is>
          <t>계</t>
        </is>
      </c>
      <c r="T78" s="8" t="inlineStr">
        <is>
          <t>113A</t>
        </is>
      </c>
      <c r="U78" s="13" t="n"/>
      <c r="W78" s="161">
        <f>D78</f>
        <v/>
      </c>
      <c r="X78" s="163">
        <f>E78</f>
        <v/>
      </c>
      <c r="Y78" s="159">
        <f>H78</f>
        <v/>
      </c>
      <c r="Z78" s="166">
        <f>I78</f>
        <v/>
      </c>
      <c r="AA78" s="166">
        <f>K78</f>
        <v/>
      </c>
      <c r="AB78" s="166">
        <f>M78</f>
        <v/>
      </c>
      <c r="AC78" s="7">
        <f>N78</f>
        <v/>
      </c>
      <c r="AD78" s="162">
        <f>O78</f>
        <v/>
      </c>
      <c r="AE78" s="113">
        <f>S78</f>
        <v/>
      </c>
      <c r="AF78" s="113">
        <f>Q78&amp;"/"&amp;R78</f>
        <v/>
      </c>
      <c r="AH78" s="36">
        <f>IF(A78="","",A78)</f>
        <v/>
      </c>
      <c r="AI78" s="163">
        <f>IF(E78="","",E78)</f>
        <v/>
      </c>
      <c r="AJ78" s="113">
        <f>IF(AI78="","",$AJ$2)</f>
        <v/>
      </c>
      <c r="AK78" s="113" t="inlineStr">
        <is>
          <t>A</t>
        </is>
      </c>
      <c r="AL78" s="113" t="inlineStr">
        <is>
          <t>A+</t>
        </is>
      </c>
      <c r="AM78" s="113" t="inlineStr">
        <is>
          <t>B+</t>
        </is>
      </c>
      <c r="AN78" s="113">
        <f>IF(AI78="","",$AN$2)</f>
        <v/>
      </c>
      <c r="AO78" s="113">
        <f>IF(N78="","",IF(N78&gt;=$AO$1/100,"O","X"))</f>
        <v/>
      </c>
      <c r="AP78" s="113">
        <f>IF(I78="","",IF(I78&lt;=$AP$1,"O","X"))</f>
        <v/>
      </c>
      <c r="AQ78" s="113">
        <f>IF(O78="","",IF(O78&lt;=$AQ$1,"O","X"))</f>
        <v/>
      </c>
      <c r="AR78" s="113">
        <f>IF(M78="","",IF(M78&lt;=$AR$1,"O","X"))</f>
        <v/>
      </c>
      <c r="AS78" s="113" t="inlineStr">
        <is>
          <t>X</t>
        </is>
      </c>
      <c r="AT78" s="113">
        <f>IF(OR(F78="",AI78=""),"",IF(AND((F78&lt;=85),(AI78&gt;=15)),"O","X"))</f>
        <v/>
      </c>
      <c r="AU78" s="113">
        <f>IF(C78="","",IF(C78&gt;=$AU$1,"O","X"))</f>
        <v/>
      </c>
      <c r="AV78" s="113">
        <f>IF(AO78="","",IF(AND(AO78="O",AP78="O",AR78="O",AT78="O",AU78="O"),"후보","X"))</f>
        <v/>
      </c>
    </row>
    <row r="79">
      <c r="A79" s="13" t="inlineStr">
        <is>
          <t>고덕숲아이파크</t>
        </is>
      </c>
      <c r="B79" s="16" t="inlineStr">
        <is>
          <t>'18.03.</t>
        </is>
      </c>
      <c r="C79" s="164" t="n">
        <v>687</v>
      </c>
      <c r="D79" s="161" t="n">
        <v>137.3</v>
      </c>
      <c r="E79" s="163" t="n">
        <v>42</v>
      </c>
      <c r="F79" s="161" t="n">
        <v>108.2</v>
      </c>
      <c r="G79" s="27" t="n">
        <v>33</v>
      </c>
      <c r="H79" s="164" t="n">
        <v>42</v>
      </c>
      <c r="I79" s="165" t="n"/>
      <c r="J79" s="165" t="n"/>
      <c r="K79" s="165" t="n"/>
      <c r="L79" s="165" t="n"/>
      <c r="M79" s="166">
        <f>I79-K79</f>
        <v/>
      </c>
      <c r="N79" s="7">
        <f>IF(ISERROR(K79/I79),"",K79/I79)</f>
        <v/>
      </c>
      <c r="O79" s="162">
        <f>I79/E79</f>
        <v/>
      </c>
      <c r="P79" s="162">
        <f>K79/E79</f>
        <v/>
      </c>
      <c r="Q79" s="113" t="n">
        <v>4</v>
      </c>
      <c r="R79" s="113" t="n">
        <v>2</v>
      </c>
      <c r="S79" s="113" t="inlineStr">
        <is>
          <t>계</t>
        </is>
      </c>
      <c r="T79" s="8" t="n">
        <v>137</v>
      </c>
      <c r="U79" s="13" t="n"/>
      <c r="W79" s="161">
        <f>D79</f>
        <v/>
      </c>
      <c r="X79" s="163">
        <f>E79</f>
        <v/>
      </c>
      <c r="Y79" s="159">
        <f>H79</f>
        <v/>
      </c>
      <c r="Z79" s="166">
        <f>I79</f>
        <v/>
      </c>
      <c r="AA79" s="166">
        <f>K79</f>
        <v/>
      </c>
      <c r="AB79" s="166">
        <f>M79</f>
        <v/>
      </c>
      <c r="AC79" s="7">
        <f>N79</f>
        <v/>
      </c>
      <c r="AD79" s="162">
        <f>O79</f>
        <v/>
      </c>
      <c r="AE79" s="113">
        <f>S79</f>
        <v/>
      </c>
      <c r="AF79" s="113">
        <f>Q79&amp;"/"&amp;R79</f>
        <v/>
      </c>
      <c r="AH79" s="36">
        <f>IF(A79="","",A79)</f>
        <v/>
      </c>
      <c r="AI79" s="163">
        <f>IF(E79="","",E79)</f>
        <v/>
      </c>
      <c r="AJ79" s="113">
        <f>IF(AI79="","",$AJ$2)</f>
        <v/>
      </c>
      <c r="AK79" s="113" t="inlineStr">
        <is>
          <t>A</t>
        </is>
      </c>
      <c r="AL79" s="113" t="inlineStr">
        <is>
          <t>A+</t>
        </is>
      </c>
      <c r="AM79" s="113" t="inlineStr">
        <is>
          <t>B+</t>
        </is>
      </c>
      <c r="AN79" s="113">
        <f>IF(AI79="","",$AN$2)</f>
        <v/>
      </c>
      <c r="AO79" s="113">
        <f>IF(N79="","",IF(N79&gt;=$AO$1/100,"O","X"))</f>
        <v/>
      </c>
      <c r="AP79" s="113">
        <f>IF(I79="","",IF(I79&lt;=$AP$1,"O","X"))</f>
        <v/>
      </c>
      <c r="AQ79" s="113">
        <f>IF(O79="","",IF(O79&lt;=$AQ$1,"O","X"))</f>
        <v/>
      </c>
      <c r="AR79" s="113">
        <f>IF(M79="","",IF(M79&lt;=$AR$1,"O","X"))</f>
        <v/>
      </c>
      <c r="AS79" s="113" t="inlineStr">
        <is>
          <t>X</t>
        </is>
      </c>
      <c r="AT79" s="113">
        <f>IF(OR(F79="",AI79=""),"",IF(AND((F79&lt;=85),(AI79&gt;=15)),"O","X"))</f>
        <v/>
      </c>
      <c r="AU79" s="113">
        <f>IF(C79="","",IF(C79&gt;=$AU$1,"O","X"))</f>
        <v/>
      </c>
      <c r="AV79" s="113">
        <f>IF(AO79="","",IF(AND(AO79="O",AP79="O",AR79="O",AT79="O",AU79="O"),"후보","X"))</f>
        <v/>
      </c>
    </row>
    <row r="80">
      <c r="A80" s="13" t="n"/>
      <c r="B80" s="113" t="n"/>
      <c r="C80" s="10" t="n"/>
      <c r="D80" s="13" t="n"/>
      <c r="E80" s="20" t="n"/>
      <c r="F80" s="161" t="n"/>
      <c r="G80" s="13" t="n"/>
      <c r="H80" s="13" t="n"/>
      <c r="I80" s="13" t="n"/>
      <c r="J80" s="13" t="n"/>
      <c r="K80" s="13" t="n"/>
      <c r="L80" s="13" t="n"/>
      <c r="M80" s="13" t="n"/>
      <c r="N80" s="13" t="n"/>
      <c r="O80" s="162" t="n"/>
      <c r="P80" s="162" t="n"/>
      <c r="Q80" s="163" t="n"/>
      <c r="R80" s="163" t="n"/>
      <c r="S80" s="13" t="n"/>
      <c r="T80" s="70" t="n"/>
      <c r="U80" s="13" t="n"/>
      <c r="W80" s="107">
        <f>$A$4&amp;" "&amp;A81&amp;"("&amp;B81&amp;","&amp;C81&amp;"^)"</f>
        <v/>
      </c>
      <c r="X80" s="108" t="n"/>
      <c r="Y80" s="108" t="n"/>
      <c r="Z80" s="108" t="n"/>
      <c r="AA80" s="108" t="n"/>
      <c r="AB80" s="108" t="n"/>
      <c r="AC80" s="108" t="n"/>
      <c r="AD80" s="108" t="n"/>
      <c r="AE80" s="108" t="n"/>
      <c r="AF80" s="109" t="n"/>
      <c r="AH80" s="36">
        <f>IF(A80="","",A80)</f>
        <v/>
      </c>
      <c r="AI80" s="160">
        <f>IF(E80="","",E80)</f>
        <v/>
      </c>
      <c r="AJ80" s="113" t="n"/>
      <c r="AK80" s="113" t="n"/>
      <c r="AL80" s="113" t="n"/>
      <c r="AM80" s="113" t="n"/>
      <c r="AN80" s="113" t="n"/>
      <c r="AO80" s="113" t="n"/>
      <c r="AP80" s="113" t="n"/>
      <c r="AQ80" s="113" t="n"/>
      <c r="AR80" s="113" t="n"/>
      <c r="AS80" s="113" t="n"/>
      <c r="AT80" s="113" t="n"/>
      <c r="AU80" s="113" t="n"/>
      <c r="AV80" s="113" t="n"/>
    </row>
    <row r="81">
      <c r="A81" s="13" t="inlineStr">
        <is>
          <t>고덕아르테온</t>
        </is>
      </c>
      <c r="B81" s="16" t="inlineStr">
        <is>
          <t>'20.02.</t>
        </is>
      </c>
      <c r="C81" s="164" t="n">
        <v>4066</v>
      </c>
      <c r="D81" s="161" t="n">
        <v>80.90000000000001</v>
      </c>
      <c r="E81" s="163" t="n">
        <v>24</v>
      </c>
      <c r="F81" s="161" t="n">
        <v>59.8</v>
      </c>
      <c r="G81" s="27" t="n">
        <v>18</v>
      </c>
      <c r="H81" s="164" t="n">
        <v>34</v>
      </c>
      <c r="I81" s="165" t="n">
        <v>138000</v>
      </c>
      <c r="J81" s="165" t="inlineStr">
        <is>
          <t>고</t>
        </is>
      </c>
      <c r="K81" s="165" t="n">
        <v>67000</v>
      </c>
      <c r="L81" s="165" t="inlineStr">
        <is>
          <t>16</t>
        </is>
      </c>
      <c r="M81" s="166">
        <f>I81-K81</f>
        <v/>
      </c>
      <c r="N81" s="7">
        <f>IF(ISERROR(K81/I81),"",K81/I81)</f>
        <v/>
      </c>
      <c r="O81" s="162">
        <f>I81/E81</f>
        <v/>
      </c>
      <c r="P81" s="162">
        <f>K81/E81</f>
        <v/>
      </c>
      <c r="Q81" s="113" t="n">
        <v>3</v>
      </c>
      <c r="R81" s="113" t="n">
        <v>2</v>
      </c>
      <c r="S81" s="113" t="inlineStr">
        <is>
          <t>계</t>
        </is>
      </c>
      <c r="T81" s="8" t="inlineStr">
        <is>
          <t>80D</t>
        </is>
      </c>
      <c r="U81" s="13" t="n"/>
      <c r="W81" s="161">
        <f>D81</f>
        <v/>
      </c>
      <c r="X81" s="163">
        <f>E81</f>
        <v/>
      </c>
      <c r="Y81" s="159">
        <f>H81</f>
        <v/>
      </c>
      <c r="Z81" s="166">
        <f>I81</f>
        <v/>
      </c>
      <c r="AA81" s="166">
        <f>K81</f>
        <v/>
      </c>
      <c r="AB81" s="166">
        <f>M81</f>
        <v/>
      </c>
      <c r="AC81" s="7">
        <f>N81</f>
        <v/>
      </c>
      <c r="AD81" s="162">
        <f>O81</f>
        <v/>
      </c>
      <c r="AE81" s="113">
        <f>S81</f>
        <v/>
      </c>
      <c r="AF81" s="113">
        <f>Q81&amp;"/"&amp;R81</f>
        <v/>
      </c>
      <c r="AH81" s="36">
        <f>IF(A81="","",A81)</f>
        <v/>
      </c>
      <c r="AI81" s="163">
        <f>IF(E81="","",E81)</f>
        <v/>
      </c>
      <c r="AJ81" s="113">
        <f>IF(AI81="","",$AJ$2)</f>
        <v/>
      </c>
      <c r="AK81" s="113" t="inlineStr">
        <is>
          <t>A</t>
        </is>
      </c>
      <c r="AL81" s="113" t="inlineStr">
        <is>
          <t>A+</t>
        </is>
      </c>
      <c r="AM81" s="113" t="inlineStr">
        <is>
          <t>B+</t>
        </is>
      </c>
      <c r="AN81" s="113">
        <f>IF(AI81="","",$AN$2)</f>
        <v/>
      </c>
      <c r="AO81" s="113">
        <f>IF(N81="","",IF(N81&gt;=$AO$1/100,"O","X"))</f>
        <v/>
      </c>
      <c r="AP81" s="113">
        <f>IF(I81="","",IF(I81&lt;=$AP$1,"O","X"))</f>
        <v/>
      </c>
      <c r="AQ81" s="113">
        <f>IF(O81="","",IF(O81&lt;=$AQ$1,"O","X"))</f>
        <v/>
      </c>
      <c r="AR81" s="113">
        <f>IF(M81="","",IF(M81&lt;=$AR$1,"O","X"))</f>
        <v/>
      </c>
      <c r="AS81" s="113" t="inlineStr">
        <is>
          <t>X</t>
        </is>
      </c>
      <c r="AT81" s="113">
        <f>IF(OR(F81="",AI81=""),"",IF(AND((F81&lt;=85),(AI81&gt;=15)),"O","X"))</f>
        <v/>
      </c>
      <c r="AU81" s="113">
        <f>IF(C81="","",IF(C81&gt;=$AU$1,"O","X"))</f>
        <v/>
      </c>
      <c r="AV81" s="113">
        <f>IF(AO81="","",IF(AND(AO81="O",AP81="O",AR81="O",AT81="O",AU81="O"),"후보","X"))</f>
        <v/>
      </c>
    </row>
    <row r="82">
      <c r="A82" s="13" t="inlineStr">
        <is>
          <t>고덕아르테온</t>
        </is>
      </c>
      <c r="B82" s="16" t="inlineStr">
        <is>
          <t>'20.02.</t>
        </is>
      </c>
      <c r="C82" s="164" t="n">
        <v>4066</v>
      </c>
      <c r="D82" s="161" t="n">
        <v>81.09999999999999</v>
      </c>
      <c r="E82" s="163" t="n">
        <v>25</v>
      </c>
      <c r="F82" s="161" t="n">
        <v>60</v>
      </c>
      <c r="G82" s="27" t="n">
        <v>18</v>
      </c>
      <c r="H82" s="164" t="n">
        <v>944</v>
      </c>
      <c r="I82" s="165" t="n"/>
      <c r="J82" s="165" t="n"/>
      <c r="K82" s="165" t="n"/>
      <c r="L82" s="165" t="n"/>
      <c r="M82" s="166">
        <f>I82-K82</f>
        <v/>
      </c>
      <c r="N82" s="7">
        <f>IF(ISERROR(K82/I82),"",K82/I82)</f>
        <v/>
      </c>
      <c r="O82" s="162">
        <f>I82/E82</f>
        <v/>
      </c>
      <c r="P82" s="162">
        <f>K82/E82</f>
        <v/>
      </c>
      <c r="Q82" s="113" t="n">
        <v>3</v>
      </c>
      <c r="R82" s="113" t="n">
        <v>2</v>
      </c>
      <c r="S82" s="113" t="inlineStr">
        <is>
          <t>계</t>
        </is>
      </c>
      <c r="T82" s="8" t="inlineStr">
        <is>
          <t>81A</t>
        </is>
      </c>
      <c r="U82" s="13" t="n"/>
      <c r="W82" s="161">
        <f>D82</f>
        <v/>
      </c>
      <c r="X82" s="163">
        <f>E82</f>
        <v/>
      </c>
      <c r="Y82" s="159">
        <f>H82</f>
        <v/>
      </c>
      <c r="Z82" s="166">
        <f>I82</f>
        <v/>
      </c>
      <c r="AA82" s="166">
        <f>K82</f>
        <v/>
      </c>
      <c r="AB82" s="166">
        <f>M82</f>
        <v/>
      </c>
      <c r="AC82" s="7">
        <f>N82</f>
        <v/>
      </c>
      <c r="AD82" s="162">
        <f>O82</f>
        <v/>
      </c>
      <c r="AE82" s="113">
        <f>S82</f>
        <v/>
      </c>
      <c r="AF82" s="113">
        <f>Q82&amp;"/"&amp;R82</f>
        <v/>
      </c>
      <c r="AH82" s="36">
        <f>IF(A82="","",A82)</f>
        <v/>
      </c>
      <c r="AI82" s="163">
        <f>IF(E82="","",E82)</f>
        <v/>
      </c>
      <c r="AJ82" s="113">
        <f>IF(AI82="","",$AJ$2)</f>
        <v/>
      </c>
      <c r="AK82" s="113" t="inlineStr">
        <is>
          <t>A</t>
        </is>
      </c>
      <c r="AL82" s="113" t="inlineStr">
        <is>
          <t>A+</t>
        </is>
      </c>
      <c r="AM82" s="113" t="inlineStr">
        <is>
          <t>B+</t>
        </is>
      </c>
      <c r="AN82" s="113">
        <f>IF(AI82="","",$AN$2)</f>
        <v/>
      </c>
      <c r="AO82" s="113">
        <f>IF(N82="","",IF(N82&gt;=$AO$1/100,"O","X"))</f>
        <v/>
      </c>
      <c r="AP82" s="113">
        <f>IF(I82="","",IF(I82&lt;=$AP$1,"O","X"))</f>
        <v/>
      </c>
      <c r="AQ82" s="113">
        <f>IF(O82="","",IF(O82&lt;=$AQ$1,"O","X"))</f>
        <v/>
      </c>
      <c r="AR82" s="113">
        <f>IF(M82="","",IF(M82&lt;=$AR$1,"O","X"))</f>
        <v/>
      </c>
      <c r="AS82" s="113" t="inlineStr">
        <is>
          <t>X</t>
        </is>
      </c>
      <c r="AT82" s="113">
        <f>IF(OR(F82="",AI82=""),"",IF(AND((F82&lt;=85),(AI82&gt;=15)),"O","X"))</f>
        <v/>
      </c>
      <c r="AU82" s="113">
        <f>IF(C82="","",IF(C82&gt;=$AU$1,"O","X"))</f>
        <v/>
      </c>
      <c r="AV82" s="113">
        <f>IF(AO82="","",IF(AND(AO82="O",AP82="O",AR82="O",AT82="O",AU82="O"),"후보","X"))</f>
        <v/>
      </c>
    </row>
    <row r="83">
      <c r="A83" s="13" t="inlineStr">
        <is>
          <t>고덕아르테온</t>
        </is>
      </c>
      <c r="B83" s="16" t="inlineStr">
        <is>
          <t>'20.02.</t>
        </is>
      </c>
      <c r="C83" s="164" t="n">
        <v>4066</v>
      </c>
      <c r="D83" s="161" t="n">
        <v>81.40000000000001</v>
      </c>
      <c r="E83" s="163" t="n">
        <v>25</v>
      </c>
      <c r="F83" s="161" t="n">
        <v>60</v>
      </c>
      <c r="G83" s="27" t="n">
        <v>18</v>
      </c>
      <c r="H83" s="164" t="n">
        <v>124</v>
      </c>
      <c r="I83" s="165" t="n">
        <v>145000</v>
      </c>
      <c r="J83" s="165" t="inlineStr">
        <is>
          <t>중</t>
        </is>
      </c>
      <c r="K83" s="165" t="n">
        <v>73000</v>
      </c>
      <c r="L83" s="165" t="inlineStr">
        <is>
          <t>고</t>
        </is>
      </c>
      <c r="M83" s="166">
        <f>I83-K83</f>
        <v/>
      </c>
      <c r="N83" s="7">
        <f>IF(ISERROR(K83/I83),"",K83/I83)</f>
        <v/>
      </c>
      <c r="O83" s="162">
        <f>I83/E83</f>
        <v/>
      </c>
      <c r="P83" s="162">
        <f>K83/E83</f>
        <v/>
      </c>
      <c r="Q83" s="113" t="n">
        <v>3</v>
      </c>
      <c r="R83" s="113" t="n">
        <v>2</v>
      </c>
      <c r="S83" s="113" t="inlineStr">
        <is>
          <t>계</t>
        </is>
      </c>
      <c r="T83" s="8" t="inlineStr">
        <is>
          <t>81B</t>
        </is>
      </c>
      <c r="U83" s="13" t="n"/>
      <c r="W83" s="161">
        <f>D83</f>
        <v/>
      </c>
      <c r="X83" s="163">
        <f>E83</f>
        <v/>
      </c>
      <c r="Y83" s="159">
        <f>H83</f>
        <v/>
      </c>
      <c r="Z83" s="166">
        <f>I83</f>
        <v/>
      </c>
      <c r="AA83" s="166">
        <f>K83</f>
        <v/>
      </c>
      <c r="AB83" s="166">
        <f>M83</f>
        <v/>
      </c>
      <c r="AC83" s="7">
        <f>N83</f>
        <v/>
      </c>
      <c r="AD83" s="162">
        <f>O83</f>
        <v/>
      </c>
      <c r="AE83" s="113">
        <f>S83</f>
        <v/>
      </c>
      <c r="AF83" s="113">
        <f>Q83&amp;"/"&amp;R83</f>
        <v/>
      </c>
      <c r="AH83" s="36">
        <f>IF(A83="","",A83)</f>
        <v/>
      </c>
      <c r="AI83" s="163">
        <f>IF(E83="","",E83)</f>
        <v/>
      </c>
      <c r="AJ83" s="113">
        <f>IF(AI83="","",$AJ$2)</f>
        <v/>
      </c>
      <c r="AK83" s="113" t="inlineStr">
        <is>
          <t>A</t>
        </is>
      </c>
      <c r="AL83" s="113" t="inlineStr">
        <is>
          <t>A+</t>
        </is>
      </c>
      <c r="AM83" s="113" t="inlineStr">
        <is>
          <t>B+</t>
        </is>
      </c>
      <c r="AN83" s="113">
        <f>IF(AI83="","",$AN$2)</f>
        <v/>
      </c>
      <c r="AO83" s="113">
        <f>IF(N83="","",IF(N83&gt;=$AO$1/100,"O","X"))</f>
        <v/>
      </c>
      <c r="AP83" s="113">
        <f>IF(I83="","",IF(I83&lt;=$AP$1,"O","X"))</f>
        <v/>
      </c>
      <c r="AQ83" s="113">
        <f>IF(O83="","",IF(O83&lt;=$AQ$1,"O","X"))</f>
        <v/>
      </c>
      <c r="AR83" s="113">
        <f>IF(M83="","",IF(M83&lt;=$AR$1,"O","X"))</f>
        <v/>
      </c>
      <c r="AS83" s="113" t="inlineStr">
        <is>
          <t>X</t>
        </is>
      </c>
      <c r="AT83" s="113">
        <f>IF(OR(F83="",AI83=""),"",IF(AND((F83&lt;=85),(AI83&gt;=15)),"O","X"))</f>
        <v/>
      </c>
      <c r="AU83" s="113">
        <f>IF(C83="","",IF(C83&gt;=$AU$1,"O","X"))</f>
        <v/>
      </c>
      <c r="AV83" s="113">
        <f>IF(AO83="","",IF(AND(AO83="O",AP83="O",AR83="O",AT83="O",AU83="O"),"후보","X"))</f>
        <v/>
      </c>
    </row>
    <row r="84">
      <c r="A84" s="13" t="inlineStr">
        <is>
          <t>고덕아르테온</t>
        </is>
      </c>
      <c r="B84" s="16" t="inlineStr">
        <is>
          <t>'20.02.</t>
        </is>
      </c>
      <c r="C84" s="164" t="n">
        <v>4066</v>
      </c>
      <c r="D84" s="161" t="n">
        <v>81.59999999999999</v>
      </c>
      <c r="E84" s="163" t="n">
        <v>25</v>
      </c>
      <c r="F84" s="161" t="n">
        <v>60</v>
      </c>
      <c r="G84" s="27" t="n">
        <v>18</v>
      </c>
      <c r="H84" s="164" t="n">
        <v>10</v>
      </c>
      <c r="I84" s="165" t="n">
        <v>145000</v>
      </c>
      <c r="J84" s="165" t="inlineStr">
        <is>
          <t>고</t>
        </is>
      </c>
      <c r="K84" s="165" t="n"/>
      <c r="L84" s="165" t="n"/>
      <c r="M84" s="166">
        <f>I84-K84</f>
        <v/>
      </c>
      <c r="N84" s="7">
        <f>IF(ISERROR(K84/I84),"",K84/I84)</f>
        <v/>
      </c>
      <c r="O84" s="162">
        <f>I84/E84</f>
        <v/>
      </c>
      <c r="P84" s="162">
        <f>K84/E84</f>
        <v/>
      </c>
      <c r="Q84" s="113" t="n">
        <v>3</v>
      </c>
      <c r="R84" s="113" t="n">
        <v>2</v>
      </c>
      <c r="S84" s="113" t="inlineStr">
        <is>
          <t>계</t>
        </is>
      </c>
      <c r="T84" s="8" t="inlineStr">
        <is>
          <t>81C</t>
        </is>
      </c>
      <c r="U84" s="13" t="n"/>
      <c r="W84" s="161">
        <f>D84</f>
        <v/>
      </c>
      <c r="X84" s="163">
        <f>E84</f>
        <v/>
      </c>
      <c r="Y84" s="159">
        <f>H84</f>
        <v/>
      </c>
      <c r="Z84" s="166">
        <f>I84</f>
        <v/>
      </c>
      <c r="AA84" s="166">
        <f>K84</f>
        <v/>
      </c>
      <c r="AB84" s="166">
        <f>M84</f>
        <v/>
      </c>
      <c r="AC84" s="7">
        <f>N84</f>
        <v/>
      </c>
      <c r="AD84" s="162">
        <f>O84</f>
        <v/>
      </c>
      <c r="AE84" s="113">
        <f>S84</f>
        <v/>
      </c>
      <c r="AF84" s="113">
        <f>Q84&amp;"/"&amp;R84</f>
        <v/>
      </c>
      <c r="AH84" s="36">
        <f>IF(A84="","",A84)</f>
        <v/>
      </c>
      <c r="AI84" s="163">
        <f>IF(E84="","",E84)</f>
        <v/>
      </c>
      <c r="AJ84" s="113">
        <f>IF(AI84="","",$AJ$2)</f>
        <v/>
      </c>
      <c r="AK84" s="113" t="inlineStr">
        <is>
          <t>A</t>
        </is>
      </c>
      <c r="AL84" s="113" t="inlineStr">
        <is>
          <t>A+</t>
        </is>
      </c>
      <c r="AM84" s="113" t="inlineStr">
        <is>
          <t>B+</t>
        </is>
      </c>
      <c r="AN84" s="113">
        <f>IF(AI84="","",$AN$2)</f>
        <v/>
      </c>
      <c r="AO84" s="113">
        <f>IF(N84="","",IF(N84&gt;=$AO$1/100,"O","X"))</f>
        <v/>
      </c>
      <c r="AP84" s="113">
        <f>IF(I84="","",IF(I84&lt;=$AP$1,"O","X"))</f>
        <v/>
      </c>
      <c r="AQ84" s="113">
        <f>IF(O84="","",IF(O84&lt;=$AQ$1,"O","X"))</f>
        <v/>
      </c>
      <c r="AR84" s="113">
        <f>IF(M84="","",IF(M84&lt;=$AR$1,"O","X"))</f>
        <v/>
      </c>
      <c r="AS84" s="113" t="inlineStr">
        <is>
          <t>X</t>
        </is>
      </c>
      <c r="AT84" s="113">
        <f>IF(OR(F84="",AI84=""),"",IF(AND((F84&lt;=85),(AI84&gt;=15)),"O","X"))</f>
        <v/>
      </c>
      <c r="AU84" s="113">
        <f>IF(C84="","",IF(C84&gt;=$AU$1,"O","X"))</f>
        <v/>
      </c>
      <c r="AV84" s="113">
        <f>IF(AO84="","",IF(AND(AO84="O",AP84="O",AR84="O",AT84="O",AU84="O"),"후보","X"))</f>
        <v/>
      </c>
    </row>
    <row r="85">
      <c r="A85" s="13" t="inlineStr">
        <is>
          <t>고덕아르테온</t>
        </is>
      </c>
      <c r="B85" s="16" t="inlineStr">
        <is>
          <t>'20.02.</t>
        </is>
      </c>
      <c r="C85" s="164" t="n">
        <v>4066</v>
      </c>
      <c r="D85" s="161" t="n">
        <v>114</v>
      </c>
      <c r="E85" s="163" t="n">
        <v>34</v>
      </c>
      <c r="F85" s="161" t="n">
        <v>85</v>
      </c>
      <c r="G85" s="27" t="n">
        <v>26</v>
      </c>
      <c r="H85" s="164" t="n">
        <v>1591</v>
      </c>
      <c r="I85" s="165" t="n">
        <v>168000</v>
      </c>
      <c r="J85" s="165" t="inlineStr">
        <is>
          <t>고</t>
        </is>
      </c>
      <c r="K85" s="165" t="n">
        <v>65000</v>
      </c>
      <c r="L85" s="165" t="inlineStr">
        <is>
          <t>7</t>
        </is>
      </c>
      <c r="M85" s="166">
        <f>I85-K85</f>
        <v/>
      </c>
      <c r="N85" s="7">
        <f>IF(ISERROR(K85/I85),"",K85/I85)</f>
        <v/>
      </c>
      <c r="O85" s="162">
        <f>I85/E85</f>
        <v/>
      </c>
      <c r="P85" s="162">
        <f>K85/E85</f>
        <v/>
      </c>
      <c r="Q85" s="113" t="n">
        <v>3</v>
      </c>
      <c r="R85" s="113" t="n">
        <v>2</v>
      </c>
      <c r="S85" s="113" t="inlineStr">
        <is>
          <t>계</t>
        </is>
      </c>
      <c r="T85" s="8" t="inlineStr">
        <is>
          <t>113A</t>
        </is>
      </c>
      <c r="U85" s="13" t="n"/>
      <c r="W85" s="161">
        <f>D85</f>
        <v/>
      </c>
      <c r="X85" s="163">
        <f>E85</f>
        <v/>
      </c>
      <c r="Y85" s="159">
        <f>H85</f>
        <v/>
      </c>
      <c r="Z85" s="166">
        <f>I85</f>
        <v/>
      </c>
      <c r="AA85" s="166">
        <f>K85</f>
        <v/>
      </c>
      <c r="AB85" s="166">
        <f>M85</f>
        <v/>
      </c>
      <c r="AC85" s="7">
        <f>N85</f>
        <v/>
      </c>
      <c r="AD85" s="162">
        <f>O85</f>
        <v/>
      </c>
      <c r="AE85" s="113">
        <f>S85</f>
        <v/>
      </c>
      <c r="AF85" s="113">
        <f>Q85&amp;"/"&amp;R85</f>
        <v/>
      </c>
      <c r="AH85" s="36">
        <f>IF(A85="","",A85)</f>
        <v/>
      </c>
      <c r="AI85" s="163">
        <f>IF(E85="","",E85)</f>
        <v/>
      </c>
      <c r="AJ85" s="113">
        <f>IF(AI85="","",$AJ$2)</f>
        <v/>
      </c>
      <c r="AK85" s="113" t="inlineStr">
        <is>
          <t>A</t>
        </is>
      </c>
      <c r="AL85" s="113" t="inlineStr">
        <is>
          <t>A+</t>
        </is>
      </c>
      <c r="AM85" s="113" t="inlineStr">
        <is>
          <t>B+</t>
        </is>
      </c>
      <c r="AN85" s="113">
        <f>IF(AI85="","",$AN$2)</f>
        <v/>
      </c>
      <c r="AO85" s="113">
        <f>IF(N85="","",IF(N85&gt;=$AO$1/100,"O","X"))</f>
        <v/>
      </c>
      <c r="AP85" s="113">
        <f>IF(I85="","",IF(I85&lt;=$AP$1,"O","X"))</f>
        <v/>
      </c>
      <c r="AQ85" s="113">
        <f>IF(O85="","",IF(O85&lt;=$AQ$1,"O","X"))</f>
        <v/>
      </c>
      <c r="AR85" s="113">
        <f>IF(M85="","",IF(M85&lt;=$AR$1,"O","X"))</f>
        <v/>
      </c>
      <c r="AS85" s="113" t="inlineStr">
        <is>
          <t>X</t>
        </is>
      </c>
      <c r="AT85" s="113">
        <f>IF(OR(F85="",AI85=""),"",IF(AND((F85&lt;=85),(AI85&gt;=15)),"O","X"))</f>
        <v/>
      </c>
      <c r="AU85" s="113">
        <f>IF(C85="","",IF(C85&gt;=$AU$1,"O","X"))</f>
        <v/>
      </c>
      <c r="AV85" s="113">
        <f>IF(AO85="","",IF(AND(AO85="O",AP85="O",AR85="O",AT85="O",AU85="O"),"후보","X"))</f>
        <v/>
      </c>
    </row>
    <row r="86">
      <c r="A86" s="13" t="inlineStr">
        <is>
          <t>고덕아르테온</t>
        </is>
      </c>
      <c r="B86" s="16" t="inlineStr">
        <is>
          <t>'20.02.</t>
        </is>
      </c>
      <c r="C86" s="164" t="n">
        <v>4066</v>
      </c>
      <c r="D86" s="161" t="n">
        <v>114.4</v>
      </c>
      <c r="E86" s="163" t="n">
        <v>35</v>
      </c>
      <c r="F86" s="161" t="n">
        <v>84.90000000000001</v>
      </c>
      <c r="G86" s="27" t="n">
        <v>26</v>
      </c>
      <c r="H86" s="164" t="n">
        <v>475</v>
      </c>
      <c r="I86" s="165" t="n"/>
      <c r="J86" s="165" t="n"/>
      <c r="K86" s="165" t="n"/>
      <c r="L86" s="165" t="n"/>
      <c r="M86" s="166">
        <f>I86-K86</f>
        <v/>
      </c>
      <c r="N86" s="7">
        <f>IF(ISERROR(K86/I86),"",K86/I86)</f>
        <v/>
      </c>
      <c r="O86" s="162">
        <f>I86/E86</f>
        <v/>
      </c>
      <c r="P86" s="162">
        <f>K86/E86</f>
        <v/>
      </c>
      <c r="Q86" s="113" t="n">
        <v>3</v>
      </c>
      <c r="R86" s="113" t="n">
        <v>2</v>
      </c>
      <c r="S86" s="113" t="inlineStr">
        <is>
          <t>계</t>
        </is>
      </c>
      <c r="T86" s="8" t="inlineStr">
        <is>
          <t>114B</t>
        </is>
      </c>
      <c r="U86" s="13" t="n"/>
      <c r="W86" s="161">
        <f>D86</f>
        <v/>
      </c>
      <c r="X86" s="163">
        <f>E86</f>
        <v/>
      </c>
      <c r="Y86" s="159">
        <f>H86</f>
        <v/>
      </c>
      <c r="Z86" s="166">
        <f>I86</f>
        <v/>
      </c>
      <c r="AA86" s="166">
        <f>K86</f>
        <v/>
      </c>
      <c r="AB86" s="166">
        <f>M86</f>
        <v/>
      </c>
      <c r="AC86" s="7">
        <f>N86</f>
        <v/>
      </c>
      <c r="AD86" s="162">
        <f>O86</f>
        <v/>
      </c>
      <c r="AE86" s="113">
        <f>S86</f>
        <v/>
      </c>
      <c r="AF86" s="113">
        <f>Q86&amp;"/"&amp;R86</f>
        <v/>
      </c>
      <c r="AH86" s="36">
        <f>IF(A86="","",A86)</f>
        <v/>
      </c>
      <c r="AI86" s="163">
        <f>IF(E86="","",E86)</f>
        <v/>
      </c>
      <c r="AJ86" s="113">
        <f>IF(AI86="","",$AJ$2)</f>
        <v/>
      </c>
      <c r="AK86" s="113" t="inlineStr">
        <is>
          <t>A</t>
        </is>
      </c>
      <c r="AL86" s="113" t="inlineStr">
        <is>
          <t>A+</t>
        </is>
      </c>
      <c r="AM86" s="113" t="inlineStr">
        <is>
          <t>B+</t>
        </is>
      </c>
      <c r="AN86" s="113">
        <f>IF(AI86="","",$AN$2)</f>
        <v/>
      </c>
      <c r="AO86" s="113">
        <f>IF(N86="","",IF(N86&gt;=$AO$1/100,"O","X"))</f>
        <v/>
      </c>
      <c r="AP86" s="113">
        <f>IF(I86="","",IF(I86&lt;=$AP$1,"O","X"))</f>
        <v/>
      </c>
      <c r="AQ86" s="113">
        <f>IF(O86="","",IF(O86&lt;=$AQ$1,"O","X"))</f>
        <v/>
      </c>
      <c r="AR86" s="113">
        <f>IF(M86="","",IF(M86&lt;=$AR$1,"O","X"))</f>
        <v/>
      </c>
      <c r="AS86" s="113" t="inlineStr">
        <is>
          <t>X</t>
        </is>
      </c>
      <c r="AT86" s="113">
        <f>IF(OR(F86="",AI86=""),"",IF(AND((F86&lt;=85),(AI86&gt;=15)),"O","X"))</f>
        <v/>
      </c>
      <c r="AU86" s="113">
        <f>IF(C86="","",IF(C86&gt;=$AU$1,"O","X"))</f>
        <v/>
      </c>
      <c r="AV86" s="113">
        <f>IF(AO86="","",IF(AND(AO86="O",AP86="O",AR86="O",AT86="O",AU86="O"),"후보","X"))</f>
        <v/>
      </c>
    </row>
    <row r="87">
      <c r="A87" s="13" t="inlineStr">
        <is>
          <t>고덕아르테온</t>
        </is>
      </c>
      <c r="B87" s="16" t="inlineStr">
        <is>
          <t>'20.02.</t>
        </is>
      </c>
      <c r="C87" s="164" t="n">
        <v>4066</v>
      </c>
      <c r="D87" s="161" t="n">
        <v>114.6</v>
      </c>
      <c r="E87" s="163" t="n">
        <v>35</v>
      </c>
      <c r="F87" s="161" t="n">
        <v>85</v>
      </c>
      <c r="G87" s="27" t="n">
        <v>26</v>
      </c>
      <c r="H87" s="164" t="n">
        <v>311</v>
      </c>
      <c r="I87" s="165" t="n">
        <v>180000</v>
      </c>
      <c r="J87" s="165" t="inlineStr">
        <is>
          <t>고</t>
        </is>
      </c>
      <c r="K87" s="165" t="n">
        <v>75000</v>
      </c>
      <c r="L87" s="165" t="inlineStr">
        <is>
          <t>고</t>
        </is>
      </c>
      <c r="M87" s="166">
        <f>I87-K87</f>
        <v/>
      </c>
      <c r="N87" s="7">
        <f>IF(ISERROR(K87/I87),"",K87/I87)</f>
        <v/>
      </c>
      <c r="O87" s="162">
        <f>I87/E87</f>
        <v/>
      </c>
      <c r="P87" s="162">
        <f>K87/E87</f>
        <v/>
      </c>
      <c r="Q87" s="113" t="n">
        <v>3</v>
      </c>
      <c r="R87" s="113" t="n">
        <v>2</v>
      </c>
      <c r="S87" s="113" t="inlineStr">
        <is>
          <t>계</t>
        </is>
      </c>
      <c r="T87" s="8" t="inlineStr">
        <is>
          <t>114D</t>
        </is>
      </c>
      <c r="U87" s="13" t="n"/>
      <c r="W87" s="161">
        <f>D87</f>
        <v/>
      </c>
      <c r="X87" s="163">
        <f>E87</f>
        <v/>
      </c>
      <c r="Y87" s="159">
        <f>H87</f>
        <v/>
      </c>
      <c r="Z87" s="166">
        <f>I87</f>
        <v/>
      </c>
      <c r="AA87" s="166">
        <f>K87</f>
        <v/>
      </c>
      <c r="AB87" s="166">
        <f>M87</f>
        <v/>
      </c>
      <c r="AC87" s="7">
        <f>N87</f>
        <v/>
      </c>
      <c r="AD87" s="162">
        <f>O87</f>
        <v/>
      </c>
      <c r="AE87" s="113">
        <f>S87</f>
        <v/>
      </c>
      <c r="AF87" s="113">
        <f>Q87&amp;"/"&amp;R87</f>
        <v/>
      </c>
      <c r="AH87" s="36">
        <f>IF(A87="","",A87)</f>
        <v/>
      </c>
      <c r="AI87" s="163">
        <f>IF(E87="","",E87)</f>
        <v/>
      </c>
      <c r="AJ87" s="113">
        <f>IF(AI87="","",$AJ$2)</f>
        <v/>
      </c>
      <c r="AK87" s="113" t="inlineStr">
        <is>
          <t>A</t>
        </is>
      </c>
      <c r="AL87" s="113" t="inlineStr">
        <is>
          <t>A+</t>
        </is>
      </c>
      <c r="AM87" s="113" t="inlineStr">
        <is>
          <t>B+</t>
        </is>
      </c>
      <c r="AN87" s="113">
        <f>IF(AI87="","",$AN$2)</f>
        <v/>
      </c>
      <c r="AO87" s="113">
        <f>IF(N87="","",IF(N87&gt;=$AO$1/100,"O","X"))</f>
        <v/>
      </c>
      <c r="AP87" s="113">
        <f>IF(I87="","",IF(I87&lt;=$AP$1,"O","X"))</f>
        <v/>
      </c>
      <c r="AQ87" s="113">
        <f>IF(O87="","",IF(O87&lt;=$AQ$1,"O","X"))</f>
        <v/>
      </c>
      <c r="AR87" s="113">
        <f>IF(M87="","",IF(M87&lt;=$AR$1,"O","X"))</f>
        <v/>
      </c>
      <c r="AS87" s="113" t="inlineStr">
        <is>
          <t>X</t>
        </is>
      </c>
      <c r="AT87" s="113">
        <f>IF(OR(F87="",AI87=""),"",IF(AND((F87&lt;=85),(AI87&gt;=15)),"O","X"))</f>
        <v/>
      </c>
      <c r="AU87" s="113">
        <f>IF(C87="","",IF(C87&gt;=$AU$1,"O","X"))</f>
        <v/>
      </c>
      <c r="AV87" s="113">
        <f>IF(AO87="","",IF(AND(AO87="O",AP87="O",AR87="O",AT87="O",AU87="O"),"후보","X"))</f>
        <v/>
      </c>
    </row>
    <row r="88">
      <c r="A88" s="13" t="inlineStr">
        <is>
          <t>고덕아르테온</t>
        </is>
      </c>
      <c r="B88" s="16" t="inlineStr">
        <is>
          <t>'20.02.</t>
        </is>
      </c>
      <c r="C88" s="164" t="n">
        <v>4066</v>
      </c>
      <c r="D88" s="161" t="n">
        <v>114.1</v>
      </c>
      <c r="E88" s="163" t="n">
        <v>35</v>
      </c>
      <c r="F88" s="161" t="n">
        <v>84.90000000000001</v>
      </c>
      <c r="G88" s="27" t="n">
        <v>26</v>
      </c>
      <c r="H88" s="164" t="n">
        <v>299</v>
      </c>
      <c r="I88" s="165" t="n">
        <v>170000</v>
      </c>
      <c r="J88" s="165" t="inlineStr">
        <is>
          <t>중</t>
        </is>
      </c>
      <c r="K88" s="165" t="n">
        <v>80000</v>
      </c>
      <c r="L88" s="165" t="inlineStr">
        <is>
          <t>고</t>
        </is>
      </c>
      <c r="M88" s="166">
        <f>I88-K88</f>
        <v/>
      </c>
      <c r="N88" s="7">
        <f>IF(ISERROR(K88/I88),"",K88/I88)</f>
        <v/>
      </c>
      <c r="O88" s="162">
        <f>I88/E88</f>
        <v/>
      </c>
      <c r="P88" s="162">
        <f>K88/E88</f>
        <v/>
      </c>
      <c r="Q88" s="113" t="n">
        <v>3</v>
      </c>
      <c r="R88" s="113" t="n">
        <v>2</v>
      </c>
      <c r="S88" s="113" t="inlineStr">
        <is>
          <t>계</t>
        </is>
      </c>
      <c r="T88" s="8" t="inlineStr">
        <is>
          <t>114C</t>
        </is>
      </c>
      <c r="U88" s="13" t="n"/>
      <c r="W88" s="161">
        <f>D88</f>
        <v/>
      </c>
      <c r="X88" s="163">
        <f>E88</f>
        <v/>
      </c>
      <c r="Y88" s="159">
        <f>H88</f>
        <v/>
      </c>
      <c r="Z88" s="166">
        <f>I88</f>
        <v/>
      </c>
      <c r="AA88" s="166">
        <f>K88</f>
        <v/>
      </c>
      <c r="AB88" s="166">
        <f>M88</f>
        <v/>
      </c>
      <c r="AC88" s="7">
        <f>N88</f>
        <v/>
      </c>
      <c r="AD88" s="162">
        <f>O88</f>
        <v/>
      </c>
      <c r="AE88" s="113">
        <f>S88</f>
        <v/>
      </c>
      <c r="AF88" s="113">
        <f>Q88&amp;"/"&amp;R88</f>
        <v/>
      </c>
      <c r="AH88" s="36">
        <f>IF(A88="","",A88)</f>
        <v/>
      </c>
      <c r="AI88" s="163">
        <f>IF(E88="","",E88)</f>
        <v/>
      </c>
      <c r="AJ88" s="113">
        <f>IF(AI88="","",$AJ$2)</f>
        <v/>
      </c>
      <c r="AK88" s="113" t="inlineStr">
        <is>
          <t>A</t>
        </is>
      </c>
      <c r="AL88" s="113" t="inlineStr">
        <is>
          <t>A+</t>
        </is>
      </c>
      <c r="AM88" s="113" t="inlineStr">
        <is>
          <t>B+</t>
        </is>
      </c>
      <c r="AN88" s="113">
        <f>IF(AI88="","",$AN$2)</f>
        <v/>
      </c>
      <c r="AO88" s="113">
        <f>IF(N88="","",IF(N88&gt;=$AO$1/100,"O","X"))</f>
        <v/>
      </c>
      <c r="AP88" s="113">
        <f>IF(I88="","",IF(I88&lt;=$AP$1,"O","X"))</f>
        <v/>
      </c>
      <c r="AQ88" s="113">
        <f>IF(O88="","",IF(O88&lt;=$AQ$1,"O","X"))</f>
        <v/>
      </c>
      <c r="AR88" s="113">
        <f>IF(M88="","",IF(M88&lt;=$AR$1,"O","X"))</f>
        <v/>
      </c>
      <c r="AS88" s="113" t="inlineStr">
        <is>
          <t>X</t>
        </is>
      </c>
      <c r="AT88" s="113">
        <f>IF(OR(F88="",AI88=""),"",IF(AND((F88&lt;=85),(AI88&gt;=15)),"O","X"))</f>
        <v/>
      </c>
      <c r="AU88" s="113">
        <f>IF(C88="","",IF(C88&gt;=$AU$1,"O","X"))</f>
        <v/>
      </c>
      <c r="AV88" s="113">
        <f>IF(AO88="","",IF(AND(AO88="O",AP88="O",AR88="O",AT88="O",AU88="O"),"후보","X"))</f>
        <v/>
      </c>
    </row>
    <row r="89">
      <c r="A89" s="13" t="inlineStr">
        <is>
          <t>고덕아르테온</t>
        </is>
      </c>
      <c r="B89" s="16" t="inlineStr">
        <is>
          <t>'20.02.</t>
        </is>
      </c>
      <c r="C89" s="164" t="n">
        <v>4066</v>
      </c>
      <c r="D89" s="161" t="n">
        <v>152.7</v>
      </c>
      <c r="E89" s="163" t="n">
        <v>46</v>
      </c>
      <c r="F89" s="161" t="n">
        <v>114.9</v>
      </c>
      <c r="G89" s="27" t="n">
        <v>35</v>
      </c>
      <c r="H89" s="164" t="n">
        <v>170</v>
      </c>
      <c r="I89" s="165" t="n">
        <v>230000</v>
      </c>
      <c r="J89" s="165" t="inlineStr">
        <is>
          <t>중</t>
        </is>
      </c>
      <c r="K89" s="165" t="n">
        <v>130000</v>
      </c>
      <c r="L89" s="165" t="inlineStr">
        <is>
          <t>중</t>
        </is>
      </c>
      <c r="M89" s="166">
        <f>I89-K89</f>
        <v/>
      </c>
      <c r="N89" s="7">
        <f>IF(ISERROR(K89/I89),"",K89/I89)</f>
        <v/>
      </c>
      <c r="O89" s="162">
        <f>I89/E89</f>
        <v/>
      </c>
      <c r="P89" s="162">
        <f>K89/E89</f>
        <v/>
      </c>
      <c r="Q89" s="113" t="n">
        <v>4</v>
      </c>
      <c r="R89" s="113" t="n">
        <v>2</v>
      </c>
      <c r="S89" s="113" t="inlineStr">
        <is>
          <t>계</t>
        </is>
      </c>
      <c r="T89" s="8" t="n">
        <v>152</v>
      </c>
      <c r="U89" s="13" t="n"/>
      <c r="W89" s="161">
        <f>D89</f>
        <v/>
      </c>
      <c r="X89" s="163">
        <f>E89</f>
        <v/>
      </c>
      <c r="Y89" s="159">
        <f>H89</f>
        <v/>
      </c>
      <c r="Z89" s="166">
        <f>I89</f>
        <v/>
      </c>
      <c r="AA89" s="166">
        <f>K89</f>
        <v/>
      </c>
      <c r="AB89" s="166">
        <f>M89</f>
        <v/>
      </c>
      <c r="AC89" s="7">
        <f>N89</f>
        <v/>
      </c>
      <c r="AD89" s="162">
        <f>O89</f>
        <v/>
      </c>
      <c r="AE89" s="113">
        <f>S89</f>
        <v/>
      </c>
      <c r="AF89" s="113">
        <f>Q89&amp;"/"&amp;R89</f>
        <v/>
      </c>
      <c r="AH89" s="36">
        <f>IF(A89="","",A89)</f>
        <v/>
      </c>
      <c r="AI89" s="163">
        <f>IF(E89="","",E89)</f>
        <v/>
      </c>
      <c r="AJ89" s="113">
        <f>IF(AI89="","",$AJ$2)</f>
        <v/>
      </c>
      <c r="AK89" s="113" t="inlineStr">
        <is>
          <t>A</t>
        </is>
      </c>
      <c r="AL89" s="113" t="inlineStr">
        <is>
          <t>A+</t>
        </is>
      </c>
      <c r="AM89" s="113" t="inlineStr">
        <is>
          <t>B+</t>
        </is>
      </c>
      <c r="AN89" s="113">
        <f>IF(AI89="","",$AN$2)</f>
        <v/>
      </c>
      <c r="AO89" s="113">
        <f>IF(N89="","",IF(N89&gt;=$AO$1/100,"O","X"))</f>
        <v/>
      </c>
      <c r="AP89" s="113">
        <f>IF(I89="","",IF(I89&lt;=$AP$1,"O","X"))</f>
        <v/>
      </c>
      <c r="AQ89" s="113">
        <f>IF(O89="","",IF(O89&lt;=$AQ$1,"O","X"))</f>
        <v/>
      </c>
      <c r="AR89" s="113">
        <f>IF(M89="","",IF(M89&lt;=$AR$1,"O","X"))</f>
        <v/>
      </c>
      <c r="AS89" s="113" t="inlineStr">
        <is>
          <t>X</t>
        </is>
      </c>
      <c r="AT89" s="113">
        <f>IF(OR(F89="",AI89=""),"",IF(AND((F89&lt;=85),(AI89&gt;=15)),"O","X"))</f>
        <v/>
      </c>
      <c r="AU89" s="113">
        <f>IF(C89="","",IF(C89&gt;=$AU$1,"O","X"))</f>
        <v/>
      </c>
      <c r="AV89" s="113">
        <f>IF(AO89="","",IF(AND(AO89="O",AP89="O",AR89="O",AT89="O",AU89="O"),"후보","X"))</f>
        <v/>
      </c>
    </row>
    <row r="90">
      <c r="A90" s="13" t="n"/>
      <c r="B90" s="113" t="n"/>
      <c r="C90" s="10" t="n"/>
      <c r="D90" s="13" t="n"/>
      <c r="E90" s="20" t="n"/>
      <c r="F90" s="161" t="n"/>
      <c r="G90" s="13" t="n"/>
      <c r="H90" s="13" t="n"/>
      <c r="I90" s="13" t="n"/>
      <c r="J90" s="13" t="n"/>
      <c r="K90" s="13" t="n"/>
      <c r="L90" s="13" t="n"/>
      <c r="M90" s="13" t="n"/>
      <c r="N90" s="13" t="n"/>
      <c r="O90" s="162" t="n"/>
      <c r="P90" s="162" t="n"/>
      <c r="Q90" s="163" t="n"/>
      <c r="R90" s="163" t="n"/>
      <c r="S90" s="13" t="n"/>
      <c r="T90" s="70" t="n"/>
      <c r="U90" s="13" t="n"/>
      <c r="W90" s="107">
        <f>$A$4&amp;" "&amp;A91&amp;"("&amp;B91&amp;","&amp;C91&amp;"^)"</f>
        <v/>
      </c>
      <c r="X90" s="108" t="n"/>
      <c r="Y90" s="108" t="n"/>
      <c r="Z90" s="108" t="n"/>
      <c r="AA90" s="108" t="n"/>
      <c r="AB90" s="108" t="n"/>
      <c r="AC90" s="108" t="n"/>
      <c r="AD90" s="108" t="n"/>
      <c r="AE90" s="108" t="n"/>
      <c r="AF90" s="109" t="n"/>
      <c r="AH90" s="36">
        <f>IF(A90="","",A90)</f>
        <v/>
      </c>
      <c r="AI90" s="160">
        <f>IF(E90="","",E90)</f>
        <v/>
      </c>
      <c r="AJ90" s="113" t="n"/>
      <c r="AK90" s="113" t="n"/>
      <c r="AL90" s="113" t="n"/>
      <c r="AM90" s="113" t="n"/>
      <c r="AN90" s="113" t="n"/>
      <c r="AO90" s="113" t="n"/>
      <c r="AP90" s="113" t="n"/>
      <c r="AQ90" s="113" t="n"/>
      <c r="AR90" s="113" t="n"/>
      <c r="AS90" s="113" t="n"/>
      <c r="AT90" s="113" t="n"/>
      <c r="AU90" s="113" t="n"/>
      <c r="AV90" s="113" t="n"/>
    </row>
    <row r="91">
      <c r="A91" s="13" t="inlineStr">
        <is>
          <t>명일중앙하이츠</t>
        </is>
      </c>
      <c r="B91" s="16" t="inlineStr">
        <is>
          <t>'92.05.</t>
        </is>
      </c>
      <c r="C91" s="164" t="n">
        <v>410</v>
      </c>
      <c r="D91" s="161" t="n">
        <v>72.90000000000001</v>
      </c>
      <c r="E91" s="163" t="n">
        <v>22</v>
      </c>
      <c r="F91" s="161" t="n">
        <v>52.7</v>
      </c>
      <c r="G91" s="27" t="n">
        <v>16</v>
      </c>
      <c r="H91" s="164" t="n">
        <v>26</v>
      </c>
      <c r="I91" s="165" t="n">
        <v>87000</v>
      </c>
      <c r="J91" s="165" t="inlineStr">
        <is>
          <t>중</t>
        </is>
      </c>
      <c r="K91" s="165" t="n"/>
      <c r="L91" s="165" t="n"/>
      <c r="M91" s="166">
        <f>I91-K91</f>
        <v/>
      </c>
      <c r="N91" s="7">
        <f>IF(ISERROR(K91/I91),"",K91/I91)</f>
        <v/>
      </c>
      <c r="O91" s="162">
        <f>I91/E91</f>
        <v/>
      </c>
      <c r="P91" s="162">
        <f>K91/E91</f>
        <v/>
      </c>
      <c r="Q91" s="113" t="n">
        <v>2</v>
      </c>
      <c r="R91" s="113" t="n">
        <v>1</v>
      </c>
      <c r="S91" s="113" t="inlineStr">
        <is>
          <t>복</t>
        </is>
      </c>
      <c r="T91" s="8" t="n">
        <v>72</v>
      </c>
      <c r="U91" s="13" t="n"/>
      <c r="W91" s="161">
        <f>D91</f>
        <v/>
      </c>
      <c r="X91" s="163">
        <f>E91</f>
        <v/>
      </c>
      <c r="Y91" s="159">
        <f>H91</f>
        <v/>
      </c>
      <c r="Z91" s="166">
        <f>I91</f>
        <v/>
      </c>
      <c r="AA91" s="166">
        <f>K91</f>
        <v/>
      </c>
      <c r="AB91" s="166">
        <f>M91</f>
        <v/>
      </c>
      <c r="AC91" s="7">
        <f>N91</f>
        <v/>
      </c>
      <c r="AD91" s="162">
        <f>O91</f>
        <v/>
      </c>
      <c r="AE91" s="113">
        <f>S91</f>
        <v/>
      </c>
      <c r="AF91" s="113">
        <f>Q91&amp;"/"&amp;R91</f>
        <v/>
      </c>
      <c r="AH91" s="36">
        <f>IF(A91="","",A91)</f>
        <v/>
      </c>
      <c r="AI91" s="163">
        <f>IF(E91="","",E91)</f>
        <v/>
      </c>
      <c r="AJ91" s="113">
        <f>IF(AI91="","",$AJ$2)</f>
        <v/>
      </c>
      <c r="AK91" s="113" t="inlineStr">
        <is>
          <t>A</t>
        </is>
      </c>
      <c r="AL91" s="113" t="inlineStr">
        <is>
          <t>A+</t>
        </is>
      </c>
      <c r="AM91" s="113" t="inlineStr">
        <is>
          <t>B+</t>
        </is>
      </c>
      <c r="AN91" s="113">
        <f>IF(AI91="","",$AN$2)</f>
        <v/>
      </c>
      <c r="AO91" s="113">
        <f>IF(N91="","",IF(N91&gt;=$AO$1/100,"O","X"))</f>
        <v/>
      </c>
      <c r="AP91" s="113">
        <f>IF(I91="","",IF(I91&lt;=$AP$1,"O","X"))</f>
        <v/>
      </c>
      <c r="AQ91" s="113">
        <f>IF(O91="","",IF(O91&lt;=$AQ$1,"O","X"))</f>
        <v/>
      </c>
      <c r="AR91" s="113">
        <f>IF(M91="","",IF(M91&lt;=$AR$1,"O","X"))</f>
        <v/>
      </c>
      <c r="AS91" s="113" t="inlineStr">
        <is>
          <t>X</t>
        </is>
      </c>
      <c r="AT91" s="113">
        <f>IF(OR(F91="",AI91=""),"",IF(AND((F91&lt;=85),(AI91&gt;=15)),"O","X"))</f>
        <v/>
      </c>
      <c r="AU91" s="113">
        <f>IF(C91="","",IF(C91&gt;=$AU$1,"O","X"))</f>
        <v/>
      </c>
      <c r="AV91" s="113">
        <f>IF(AO91="","",IF(AND(AO91="O",AP91="O",AR91="O",AT91="O",AU91="O"),"후보","X"))</f>
        <v/>
      </c>
    </row>
    <row r="92">
      <c r="A92" s="13" t="inlineStr">
        <is>
          <t>명일중앙하이츠</t>
        </is>
      </c>
      <c r="B92" s="16" t="inlineStr">
        <is>
          <t>'92.05.</t>
        </is>
      </c>
      <c r="C92" s="164" t="n">
        <v>410</v>
      </c>
      <c r="D92" s="161" t="n">
        <v>82.90000000000001</v>
      </c>
      <c r="E92" s="163" t="n">
        <v>25</v>
      </c>
      <c r="F92" s="161" t="n">
        <v>59.9</v>
      </c>
      <c r="G92" s="27" t="n">
        <v>18</v>
      </c>
      <c r="H92" s="164" t="n">
        <v>130</v>
      </c>
      <c r="I92" s="165" t="n">
        <v>95000</v>
      </c>
      <c r="J92" s="165" t="inlineStr">
        <is>
          <t>고</t>
        </is>
      </c>
      <c r="K92" s="165" t="n"/>
      <c r="L92" s="165" t="n"/>
      <c r="M92" s="166">
        <f>I92-K92</f>
        <v/>
      </c>
      <c r="N92" s="7">
        <f>IF(ISERROR(K92/I92),"",K92/I92)</f>
        <v/>
      </c>
      <c r="O92" s="162">
        <f>I92/E92</f>
        <v/>
      </c>
      <c r="P92" s="162">
        <f>K92/E92</f>
        <v/>
      </c>
      <c r="Q92" s="113" t="n">
        <v>3</v>
      </c>
      <c r="R92" s="113" t="n">
        <v>1</v>
      </c>
      <c r="S92" s="113" t="inlineStr">
        <is>
          <t>복</t>
        </is>
      </c>
      <c r="T92" s="8" t="n">
        <v>82</v>
      </c>
      <c r="U92" s="13" t="n"/>
      <c r="W92" s="161">
        <f>D92</f>
        <v/>
      </c>
      <c r="X92" s="163">
        <f>E92</f>
        <v/>
      </c>
      <c r="Y92" s="159">
        <f>H92</f>
        <v/>
      </c>
      <c r="Z92" s="166">
        <f>I92</f>
        <v/>
      </c>
      <c r="AA92" s="166">
        <f>K92</f>
        <v/>
      </c>
      <c r="AB92" s="166">
        <f>M92</f>
        <v/>
      </c>
      <c r="AC92" s="7">
        <f>N92</f>
        <v/>
      </c>
      <c r="AD92" s="162">
        <f>O92</f>
        <v/>
      </c>
      <c r="AE92" s="113">
        <f>S92</f>
        <v/>
      </c>
      <c r="AF92" s="113">
        <f>Q92&amp;"/"&amp;R92</f>
        <v/>
      </c>
      <c r="AH92" s="36">
        <f>IF(A92="","",A92)</f>
        <v/>
      </c>
      <c r="AI92" s="163">
        <f>IF(E92="","",E92)</f>
        <v/>
      </c>
      <c r="AJ92" s="113">
        <f>IF(AI92="","",$AJ$2)</f>
        <v/>
      </c>
      <c r="AK92" s="113" t="inlineStr">
        <is>
          <t>A</t>
        </is>
      </c>
      <c r="AL92" s="113" t="inlineStr">
        <is>
          <t>A+</t>
        </is>
      </c>
      <c r="AM92" s="113" t="inlineStr">
        <is>
          <t>B+</t>
        </is>
      </c>
      <c r="AN92" s="113">
        <f>IF(AI92="","",$AN$2)</f>
        <v/>
      </c>
      <c r="AO92" s="113">
        <f>IF(N92="","",IF(N92&gt;=$AO$1/100,"O","X"))</f>
        <v/>
      </c>
      <c r="AP92" s="113">
        <f>IF(I92="","",IF(I92&lt;=$AP$1,"O","X"))</f>
        <v/>
      </c>
      <c r="AQ92" s="113">
        <f>IF(O92="","",IF(O92&lt;=$AQ$1,"O","X"))</f>
        <v/>
      </c>
      <c r="AR92" s="113">
        <f>IF(M92="","",IF(M92&lt;=$AR$1,"O","X"))</f>
        <v/>
      </c>
      <c r="AS92" s="113" t="inlineStr">
        <is>
          <t>X</t>
        </is>
      </c>
      <c r="AT92" s="113">
        <f>IF(OR(F92="",AI92=""),"",IF(AND((F92&lt;=85),(AI92&gt;=15)),"O","X"))</f>
        <v/>
      </c>
      <c r="AU92" s="113">
        <f>IF(C92="","",IF(C92&gt;=$AU$1,"O","X"))</f>
        <v/>
      </c>
      <c r="AV92" s="113">
        <f>IF(AO92="","",IF(AND(AO92="O",AP92="O",AR92="O",AT92="O",AU92="O"),"후보","X"))</f>
        <v/>
      </c>
    </row>
    <row r="93">
      <c r="A93" s="13" t="inlineStr">
        <is>
          <t>명일중앙하이츠</t>
        </is>
      </c>
      <c r="B93" s="16" t="inlineStr">
        <is>
          <t>'92.05.</t>
        </is>
      </c>
      <c r="C93" s="164" t="n">
        <v>410</v>
      </c>
      <c r="D93" s="161" t="n">
        <v>100.6</v>
      </c>
      <c r="E93" s="163" t="n">
        <v>30</v>
      </c>
      <c r="F93" s="161" t="n">
        <v>84.2</v>
      </c>
      <c r="G93" s="27" t="n">
        <v>25</v>
      </c>
      <c r="H93" s="164" t="n">
        <v>254</v>
      </c>
      <c r="I93" s="165" t="n"/>
      <c r="J93" s="165" t="n"/>
      <c r="K93" s="165" t="n"/>
      <c r="L93" s="165" t="n"/>
      <c r="M93" s="166">
        <f>I93-K93</f>
        <v/>
      </c>
      <c r="N93" s="7">
        <f>IF(ISERROR(K93/I93),"",K93/I93)</f>
        <v/>
      </c>
      <c r="O93" s="162">
        <f>I93/E93</f>
        <v/>
      </c>
      <c r="P93" s="162">
        <f>K93/E93</f>
        <v/>
      </c>
      <c r="Q93" s="113" t="n">
        <v>3</v>
      </c>
      <c r="R93" s="113" t="n">
        <v>2</v>
      </c>
      <c r="S93" s="113" t="inlineStr">
        <is>
          <t>계</t>
        </is>
      </c>
      <c r="T93" s="8" t="n">
        <v>100</v>
      </c>
      <c r="U93" s="13" t="n"/>
      <c r="W93" s="161">
        <f>D93</f>
        <v/>
      </c>
      <c r="X93" s="163">
        <f>E93</f>
        <v/>
      </c>
      <c r="Y93" s="159">
        <f>H93</f>
        <v/>
      </c>
      <c r="Z93" s="166">
        <f>I93</f>
        <v/>
      </c>
      <c r="AA93" s="166">
        <f>K93</f>
        <v/>
      </c>
      <c r="AB93" s="166">
        <f>M93</f>
        <v/>
      </c>
      <c r="AC93" s="7">
        <f>N93</f>
        <v/>
      </c>
      <c r="AD93" s="162">
        <f>O93</f>
        <v/>
      </c>
      <c r="AE93" s="113">
        <f>S93</f>
        <v/>
      </c>
      <c r="AF93" s="113">
        <f>Q93&amp;"/"&amp;R93</f>
        <v/>
      </c>
      <c r="AH93" s="36">
        <f>IF(A93="","",A93)</f>
        <v/>
      </c>
      <c r="AI93" s="163">
        <f>IF(E93="","",E93)</f>
        <v/>
      </c>
      <c r="AJ93" s="113">
        <f>IF(AI93="","",$AJ$2)</f>
        <v/>
      </c>
      <c r="AK93" s="113" t="inlineStr">
        <is>
          <t>A</t>
        </is>
      </c>
      <c r="AL93" s="113" t="inlineStr">
        <is>
          <t>A+</t>
        </is>
      </c>
      <c r="AM93" s="113" t="inlineStr">
        <is>
          <t>B+</t>
        </is>
      </c>
      <c r="AN93" s="113">
        <f>IF(AI93="","",$AN$2)</f>
        <v/>
      </c>
      <c r="AO93" s="113">
        <f>IF(N93="","",IF(N93&gt;=$AO$1/100,"O","X"))</f>
        <v/>
      </c>
      <c r="AP93" s="113">
        <f>IF(I93="","",IF(I93&lt;=$AP$1,"O","X"))</f>
        <v/>
      </c>
      <c r="AQ93" s="113">
        <f>IF(O93="","",IF(O93&lt;=$AQ$1,"O","X"))</f>
        <v/>
      </c>
      <c r="AR93" s="113">
        <f>IF(M93="","",IF(M93&lt;=$AR$1,"O","X"))</f>
        <v/>
      </c>
      <c r="AS93" s="113" t="inlineStr">
        <is>
          <t>X</t>
        </is>
      </c>
      <c r="AT93" s="113">
        <f>IF(OR(F93="",AI93=""),"",IF(AND((F93&lt;=85),(AI93&gt;=15)),"O","X"))</f>
        <v/>
      </c>
      <c r="AU93" s="113">
        <f>IF(C93="","",IF(C93&gt;=$AU$1,"O","X"))</f>
        <v/>
      </c>
      <c r="AV93" s="113">
        <f>IF(AO93="","",IF(AND(AO93="O",AP93="O",AR93="O",AT93="O",AU93="O"),"후보","X"))</f>
        <v/>
      </c>
    </row>
  </sheetData>
  <mergeCells count="1">
    <mergeCell ref="AJ1:AN1"/>
  </mergeCells>
  <conditionalFormatting sqref="AV4:AV6">
    <cfRule type="expression" priority="1561" dxfId="17">
      <formula>AV4="X"</formula>
    </cfRule>
    <cfRule type="expression" priority="1562" dxfId="16">
      <formula>AV4="후보"</formula>
    </cfRule>
  </conditionalFormatting>
  <conditionalFormatting sqref="AC1:AC2 AC4:AC6 N4:N5">
    <cfRule type="cellIs" priority="1558" operator="greaterThan" dxfId="13">
      <formula>0.9</formula>
    </cfRule>
    <cfRule type="cellIs" priority="1559" operator="greaterThan" dxfId="12">
      <formula>0.85</formula>
    </cfRule>
  </conditionalFormatting>
  <conditionalFormatting sqref="N1:N2">
    <cfRule type="cellIs" priority="1556" operator="greaterThan" dxfId="13">
      <formula>0.9</formula>
    </cfRule>
    <cfRule type="cellIs" priority="1557" operator="greaterThan" dxfId="12">
      <formula>0.85</formula>
    </cfRule>
  </conditionalFormatting>
  <conditionalFormatting sqref="N6">
    <cfRule type="cellIs" priority="1554" operator="greaterThan" dxfId="13">
      <formula>0.9</formula>
    </cfRule>
    <cfRule type="cellIs" priority="1555" operator="greaterThan" dxfId="12">
      <formula>0.85</formula>
    </cfRule>
  </conditionalFormatting>
  <conditionalFormatting sqref="E6">
    <cfRule type="expression" priority="1550" dxfId="3">
      <formula>AND(IF(OR($Q6=1,$Q6=2),1,0),IF($X6&lt;=20,1,0))</formula>
    </cfRule>
    <cfRule type="expression" priority="1551" dxfId="2">
      <formula>AND(IF($Q6=2,1,0),IF($X6&lt;30,1,0))</formula>
    </cfRule>
    <cfRule type="expression" priority="1552" dxfId="1">
      <formula>AND(IF($Q6=3,1,0),IF($X6&lt;30,1,0))</formula>
    </cfRule>
    <cfRule type="expression" priority="1553" dxfId="0">
      <formula>AND(IF($Q6=3,1,IF($Q6=4,1,0)),IF($F6&lt;=85,1,0))</formula>
    </cfRule>
  </conditionalFormatting>
  <conditionalFormatting sqref="X6">
    <cfRule type="expression" priority="1546" dxfId="3">
      <formula>AND(IF(OR($Q6=1,$Q6=2),1,0),IF($X6&lt;=20,1,0))</formula>
    </cfRule>
    <cfRule type="expression" priority="1547" dxfId="2">
      <formula>AND(IF($Q6=2,1,0),IF($X6&lt;30,1,0))</formula>
    </cfRule>
    <cfRule type="expression" priority="1548" dxfId="1">
      <formula>AND(IF($Q6=3,1,0),IF($X6&lt;30,1,0))</formula>
    </cfRule>
    <cfRule type="expression" priority="1549" dxfId="0">
      <formula>AND(IF($Q6=3,1,IF($Q6=4,1,0)),IF($F6&lt;=85,1,0))</formula>
    </cfRule>
  </conditionalFormatting>
  <conditionalFormatting sqref="AI6">
    <cfRule type="expression" priority="1542" dxfId="3">
      <formula>AND(IF(OR($Q6=1,$Q6=2),1,0),IF($X6&lt;=20,1,0))</formula>
    </cfRule>
    <cfRule type="expression" priority="1543" dxfId="2">
      <formula>AND(IF($Q6=2,1,0),IF($X6&lt;30,1,0))</formula>
    </cfRule>
    <cfRule type="expression" priority="1544" dxfId="1">
      <formula>AND(IF($Q6=3,1,0),IF($X6&lt;30,1,0))</formula>
    </cfRule>
    <cfRule type="expression" priority="1545" dxfId="0">
      <formula>AND(IF($Q6=3,1,IF($Q6=4,1,0)),IF($F6&lt;=85,1,0))</formula>
    </cfRule>
  </conditionalFormatting>
  <conditionalFormatting sqref="AV7">
    <cfRule type="expression" priority="1540" dxfId="17">
      <formula>AV7="X"</formula>
    </cfRule>
    <cfRule type="expression" priority="1541" dxfId="16">
      <formula>AV7="후보"</formula>
    </cfRule>
  </conditionalFormatting>
  <conditionalFormatting sqref="AC7">
    <cfRule type="cellIs" priority="1537" operator="greaterThan" dxfId="13">
      <formula>0.9</formula>
    </cfRule>
    <cfRule type="cellIs" priority="1538" operator="greaterThan" dxfId="12">
      <formula>0.85</formula>
    </cfRule>
  </conditionalFormatting>
  <conditionalFormatting sqref="N7">
    <cfRule type="cellIs" priority="1535" operator="greaterThan" dxfId="13">
      <formula>0.9</formula>
    </cfRule>
    <cfRule type="cellIs" priority="1536" operator="greaterThan" dxfId="12">
      <formula>0.85</formula>
    </cfRule>
  </conditionalFormatting>
  <conditionalFormatting sqref="E7">
    <cfRule type="expression" priority="1531" dxfId="3">
      <formula>AND(IF(OR($Q7=1,$Q7=2),1,0),IF($X7&lt;=20,1,0))</formula>
    </cfRule>
    <cfRule type="expression" priority="1532" dxfId="2">
      <formula>AND(IF($Q7=2,1,0),IF($X7&lt;30,1,0))</formula>
    </cfRule>
    <cfRule type="expression" priority="1533" dxfId="1">
      <formula>AND(IF($Q7=3,1,0),IF($X7&lt;30,1,0))</formula>
    </cfRule>
    <cfRule type="expression" priority="1534" dxfId="0">
      <formula>AND(IF($Q7=3,1,IF($Q7=4,1,0)),IF($F7&lt;=85,1,0))</formula>
    </cfRule>
  </conditionalFormatting>
  <conditionalFormatting sqref="X7">
    <cfRule type="expression" priority="1527" dxfId="3">
      <formula>AND(IF(OR($Q7=1,$Q7=2),1,0),IF($X7&lt;=20,1,0))</formula>
    </cfRule>
    <cfRule type="expression" priority="1528" dxfId="2">
      <formula>AND(IF($Q7=2,1,0),IF($X7&lt;30,1,0))</formula>
    </cfRule>
    <cfRule type="expression" priority="1529" dxfId="1">
      <formula>AND(IF($Q7=3,1,0),IF($X7&lt;30,1,0))</formula>
    </cfRule>
    <cfRule type="expression" priority="1530" dxfId="0">
      <formula>AND(IF($Q7=3,1,IF($Q7=4,1,0)),IF($F7&lt;=85,1,0))</formula>
    </cfRule>
  </conditionalFormatting>
  <conditionalFormatting sqref="AI7">
    <cfRule type="expression" priority="1523" dxfId="3">
      <formula>AND(IF(OR($Q7=1,$Q7=2),1,0),IF($X7&lt;=20,1,0))</formula>
    </cfRule>
    <cfRule type="expression" priority="1524" dxfId="2">
      <formula>AND(IF($Q7=2,1,0),IF($X7&lt;30,1,0))</formula>
    </cfRule>
    <cfRule type="expression" priority="1525" dxfId="1">
      <formula>AND(IF($Q7=3,1,0),IF($X7&lt;30,1,0))</formula>
    </cfRule>
    <cfRule type="expression" priority="1526" dxfId="0">
      <formula>AND(IF($Q7=3,1,IF($Q7=4,1,0)),IF($F7&lt;=85,1,0))</formula>
    </cfRule>
  </conditionalFormatting>
  <conditionalFormatting sqref="AV8">
    <cfRule type="expression" priority="1521" dxfId="17">
      <formula>AV8="X"</formula>
    </cfRule>
    <cfRule type="expression" priority="1522" dxfId="16">
      <formula>AV8="후보"</formula>
    </cfRule>
  </conditionalFormatting>
  <conditionalFormatting sqref="AC8">
    <cfRule type="cellIs" priority="1518" operator="greaterThan" dxfId="13">
      <formula>0.9</formula>
    </cfRule>
    <cfRule type="cellIs" priority="1519" operator="greaterThan" dxfId="12">
      <formula>0.85</formula>
    </cfRule>
  </conditionalFormatting>
  <conditionalFormatting sqref="N8">
    <cfRule type="cellIs" priority="1516" operator="greaterThan" dxfId="13">
      <formula>0.9</formula>
    </cfRule>
    <cfRule type="cellIs" priority="1517" operator="greaterThan" dxfId="12">
      <formula>0.85</formula>
    </cfRule>
  </conditionalFormatting>
  <conditionalFormatting sqref="E8">
    <cfRule type="expression" priority="1512" dxfId="3">
      <formula>AND(IF(OR($Q8=1,$Q8=2),1,0),IF($X8&lt;=20,1,0))</formula>
    </cfRule>
    <cfRule type="expression" priority="1513" dxfId="2">
      <formula>AND(IF($Q8=2,1,0),IF($X8&lt;30,1,0))</formula>
    </cfRule>
    <cfRule type="expression" priority="1514" dxfId="1">
      <formula>AND(IF($Q8=3,1,0),IF($X8&lt;30,1,0))</formula>
    </cfRule>
    <cfRule type="expression" priority="1515" dxfId="0">
      <formula>AND(IF($Q8=3,1,IF($Q8=4,1,0)),IF($F8&lt;=85,1,0))</formula>
    </cfRule>
  </conditionalFormatting>
  <conditionalFormatting sqref="X8">
    <cfRule type="expression" priority="1508" dxfId="3">
      <formula>AND(IF(OR($Q8=1,$Q8=2),1,0),IF($X8&lt;=20,1,0))</formula>
    </cfRule>
    <cfRule type="expression" priority="1509" dxfId="2">
      <formula>AND(IF($Q8=2,1,0),IF($X8&lt;30,1,0))</formula>
    </cfRule>
    <cfRule type="expression" priority="1510" dxfId="1">
      <formula>AND(IF($Q8=3,1,0),IF($X8&lt;30,1,0))</formula>
    </cfRule>
    <cfRule type="expression" priority="1511" dxfId="0">
      <formula>AND(IF($Q8=3,1,IF($Q8=4,1,0)),IF($F8&lt;=85,1,0))</formula>
    </cfRule>
  </conditionalFormatting>
  <conditionalFormatting sqref="AI8">
    <cfRule type="expression" priority="1504" dxfId="3">
      <formula>AND(IF(OR($Q8=1,$Q8=2),1,0),IF($X8&lt;=20,1,0))</formula>
    </cfRule>
    <cfRule type="expression" priority="1505" dxfId="2">
      <formula>AND(IF($Q8=2,1,0),IF($X8&lt;30,1,0))</formula>
    </cfRule>
    <cfRule type="expression" priority="1506" dxfId="1">
      <formula>AND(IF($Q8=3,1,0),IF($X8&lt;30,1,0))</formula>
    </cfRule>
    <cfRule type="expression" priority="1507" dxfId="0">
      <formula>AND(IF($Q8=3,1,IF($Q8=4,1,0)),IF($F8&lt;=85,1,0))</formula>
    </cfRule>
  </conditionalFormatting>
  <conditionalFormatting sqref="AV9">
    <cfRule type="expression" priority="1502" dxfId="17">
      <formula>AV9="X"</formula>
    </cfRule>
    <cfRule type="expression" priority="1503" dxfId="16">
      <formula>AV9="후보"</formula>
    </cfRule>
  </conditionalFormatting>
  <conditionalFormatting sqref="AC9">
    <cfRule type="cellIs" priority="1499" operator="greaterThan" dxfId="13">
      <formula>0.9</formula>
    </cfRule>
    <cfRule type="cellIs" priority="1500" operator="greaterThan" dxfId="12">
      <formula>0.85</formula>
    </cfRule>
  </conditionalFormatting>
  <conditionalFormatting sqref="N9">
    <cfRule type="cellIs" priority="1497" operator="greaterThan" dxfId="13">
      <formula>0.9</formula>
    </cfRule>
    <cfRule type="cellIs" priority="1498" operator="greaterThan" dxfId="12">
      <formula>0.85</formula>
    </cfRule>
  </conditionalFormatting>
  <conditionalFormatting sqref="E9">
    <cfRule type="expression" priority="1493" dxfId="3">
      <formula>AND(IF(OR($Q9=1,$Q9=2),1,0),IF($X9&lt;=20,1,0))</formula>
    </cfRule>
    <cfRule type="expression" priority="1494" dxfId="2">
      <formula>AND(IF($Q9=2,1,0),IF($X9&lt;30,1,0))</formula>
    </cfRule>
    <cfRule type="expression" priority="1495" dxfId="1">
      <formula>AND(IF($Q9=3,1,0),IF($X9&lt;30,1,0))</formula>
    </cfRule>
    <cfRule type="expression" priority="1496" dxfId="0">
      <formula>AND(IF($Q9=3,1,IF($Q9=4,1,0)),IF($F9&lt;=85,1,0))</formula>
    </cfRule>
  </conditionalFormatting>
  <conditionalFormatting sqref="X9">
    <cfRule type="expression" priority="1489" dxfId="3">
      <formula>AND(IF(OR($Q9=1,$Q9=2),1,0),IF($X9&lt;=20,1,0))</formula>
    </cfRule>
    <cfRule type="expression" priority="1490" dxfId="2">
      <formula>AND(IF($Q9=2,1,0),IF($X9&lt;30,1,0))</formula>
    </cfRule>
    <cfRule type="expression" priority="1491" dxfId="1">
      <formula>AND(IF($Q9=3,1,0),IF($X9&lt;30,1,0))</formula>
    </cfRule>
    <cfRule type="expression" priority="1492" dxfId="0">
      <formula>AND(IF($Q9=3,1,IF($Q9=4,1,0)),IF($F9&lt;=85,1,0))</formula>
    </cfRule>
  </conditionalFormatting>
  <conditionalFormatting sqref="AI9">
    <cfRule type="expression" priority="1485" dxfId="3">
      <formula>AND(IF(OR($Q9=1,$Q9=2),1,0),IF($X9&lt;=20,1,0))</formula>
    </cfRule>
    <cfRule type="expression" priority="1486" dxfId="2">
      <formula>AND(IF($Q9=2,1,0),IF($X9&lt;30,1,0))</formula>
    </cfRule>
    <cfRule type="expression" priority="1487" dxfId="1">
      <formula>AND(IF($Q9=3,1,0),IF($X9&lt;30,1,0))</formula>
    </cfRule>
    <cfRule type="expression" priority="1488" dxfId="0">
      <formula>AND(IF($Q9=3,1,IF($Q9=4,1,0)),IF($F9&lt;=85,1,0))</formula>
    </cfRule>
  </conditionalFormatting>
  <conditionalFormatting sqref="AV10">
    <cfRule type="expression" priority="1483" dxfId="17">
      <formula>AV10="X"</formula>
    </cfRule>
    <cfRule type="expression" priority="1484" dxfId="16">
      <formula>AV10="후보"</formula>
    </cfRule>
  </conditionalFormatting>
  <conditionalFormatting sqref="AC10">
    <cfRule type="cellIs" priority="1480" operator="greaterThan" dxfId="13">
      <formula>0.9</formula>
    </cfRule>
    <cfRule type="cellIs" priority="1481" operator="greaterThan" dxfId="12">
      <formula>0.85</formula>
    </cfRule>
  </conditionalFormatting>
  <conditionalFormatting sqref="N10">
    <cfRule type="cellIs" priority="1478" operator="greaterThan" dxfId="13">
      <formula>0.9</formula>
    </cfRule>
    <cfRule type="cellIs" priority="1479" operator="greaterThan" dxfId="12">
      <formula>0.85</formula>
    </cfRule>
  </conditionalFormatting>
  <conditionalFormatting sqref="E10">
    <cfRule type="expression" priority="1474" dxfId="3">
      <formula>AND(IF(OR($Q10=1,$Q10=2),1,0),IF($X10&lt;=20,1,0))</formula>
    </cfRule>
    <cfRule type="expression" priority="1475" dxfId="2">
      <formula>AND(IF($Q10=2,1,0),IF($X10&lt;30,1,0))</formula>
    </cfRule>
    <cfRule type="expression" priority="1476" dxfId="1">
      <formula>AND(IF($Q10=3,1,0),IF($X10&lt;30,1,0))</formula>
    </cfRule>
    <cfRule type="expression" priority="1477" dxfId="0">
      <formula>AND(IF($Q10=3,1,IF($Q10=4,1,0)),IF($F10&lt;=85,1,0))</formula>
    </cfRule>
  </conditionalFormatting>
  <conditionalFormatting sqref="X10">
    <cfRule type="expression" priority="1470" dxfId="3">
      <formula>AND(IF(OR($Q10=1,$Q10=2),1,0),IF($X10&lt;=20,1,0))</formula>
    </cfRule>
    <cfRule type="expression" priority="1471" dxfId="2">
      <formula>AND(IF($Q10=2,1,0),IF($X10&lt;30,1,0))</formula>
    </cfRule>
    <cfRule type="expression" priority="1472" dxfId="1">
      <formula>AND(IF($Q10=3,1,0),IF($X10&lt;30,1,0))</formula>
    </cfRule>
    <cfRule type="expression" priority="1473" dxfId="0">
      <formula>AND(IF($Q10=3,1,IF($Q10=4,1,0)),IF($F10&lt;=85,1,0))</formula>
    </cfRule>
  </conditionalFormatting>
  <conditionalFormatting sqref="AI10">
    <cfRule type="expression" priority="1466" dxfId="3">
      <formula>AND(IF(OR($Q10=1,$Q10=2),1,0),IF($X10&lt;=20,1,0))</formula>
    </cfRule>
    <cfRule type="expression" priority="1467" dxfId="2">
      <formula>AND(IF($Q10=2,1,0),IF($X10&lt;30,1,0))</formula>
    </cfRule>
    <cfRule type="expression" priority="1468" dxfId="1">
      <formula>AND(IF($Q10=3,1,0),IF($X10&lt;30,1,0))</formula>
    </cfRule>
    <cfRule type="expression" priority="1469" dxfId="0">
      <formula>AND(IF($Q10=3,1,IF($Q10=4,1,0)),IF($F10&lt;=85,1,0))</formula>
    </cfRule>
  </conditionalFormatting>
  <conditionalFormatting sqref="AV11">
    <cfRule type="expression" priority="1464" dxfId="17">
      <formula>AV11="X"</formula>
    </cfRule>
    <cfRule type="expression" priority="1465" dxfId="16">
      <formula>AV11="후보"</formula>
    </cfRule>
  </conditionalFormatting>
  <conditionalFormatting sqref="AC11">
    <cfRule type="cellIs" priority="1461" operator="greaterThan" dxfId="13">
      <formula>0.9</formula>
    </cfRule>
    <cfRule type="cellIs" priority="1462" operator="greaterThan" dxfId="12">
      <formula>0.85</formula>
    </cfRule>
  </conditionalFormatting>
  <conditionalFormatting sqref="N11">
    <cfRule type="cellIs" priority="1459" operator="greaterThan" dxfId="13">
      <formula>0.9</formula>
    </cfRule>
    <cfRule type="cellIs" priority="1460" operator="greaterThan" dxfId="12">
      <formula>0.85</formula>
    </cfRule>
  </conditionalFormatting>
  <conditionalFormatting sqref="E11">
    <cfRule type="expression" priority="1455" dxfId="3">
      <formula>AND(IF(OR($Q11=1,$Q11=2),1,0),IF($X11&lt;=20,1,0))</formula>
    </cfRule>
    <cfRule type="expression" priority="1456" dxfId="2">
      <formula>AND(IF($Q11=2,1,0),IF($X11&lt;30,1,0))</formula>
    </cfRule>
    <cfRule type="expression" priority="1457" dxfId="1">
      <formula>AND(IF($Q11=3,1,0),IF($X11&lt;30,1,0))</formula>
    </cfRule>
    <cfRule type="expression" priority="1458" dxfId="0">
      <formula>AND(IF($Q11=3,1,IF($Q11=4,1,0)),IF($F11&lt;=85,1,0))</formula>
    </cfRule>
  </conditionalFormatting>
  <conditionalFormatting sqref="X11">
    <cfRule type="expression" priority="1451" dxfId="3">
      <formula>AND(IF(OR($Q11=1,$Q11=2),1,0),IF($X11&lt;=20,1,0))</formula>
    </cfRule>
    <cfRule type="expression" priority="1452" dxfId="2">
      <formula>AND(IF($Q11=2,1,0),IF($X11&lt;30,1,0))</formula>
    </cfRule>
    <cfRule type="expression" priority="1453" dxfId="1">
      <formula>AND(IF($Q11=3,1,0),IF($X11&lt;30,1,0))</formula>
    </cfRule>
    <cfRule type="expression" priority="1454" dxfId="0">
      <formula>AND(IF($Q11=3,1,IF($Q11=4,1,0)),IF($F11&lt;=85,1,0))</formula>
    </cfRule>
  </conditionalFormatting>
  <conditionalFormatting sqref="AI11">
    <cfRule type="expression" priority="1447" dxfId="3">
      <formula>AND(IF(OR($Q11=1,$Q11=2),1,0),IF($X11&lt;=20,1,0))</formula>
    </cfRule>
    <cfRule type="expression" priority="1448" dxfId="2">
      <formula>AND(IF($Q11=2,1,0),IF($X11&lt;30,1,0))</formula>
    </cfRule>
    <cfRule type="expression" priority="1449" dxfId="1">
      <formula>AND(IF($Q11=3,1,0),IF($X11&lt;30,1,0))</formula>
    </cfRule>
    <cfRule type="expression" priority="1450" dxfId="0">
      <formula>AND(IF($Q11=3,1,IF($Q11=4,1,0)),IF($F11&lt;=85,1,0))</formula>
    </cfRule>
  </conditionalFormatting>
  <conditionalFormatting sqref="AV12">
    <cfRule type="expression" priority="1445" dxfId="17">
      <formula>AV12="X"</formula>
    </cfRule>
    <cfRule type="expression" priority="1446" dxfId="16">
      <formula>AV12="후보"</formula>
    </cfRule>
  </conditionalFormatting>
  <conditionalFormatting sqref="AC12">
    <cfRule type="cellIs" priority="1442" operator="greaterThan" dxfId="13">
      <formula>0.9</formula>
    </cfRule>
    <cfRule type="cellIs" priority="1443" operator="greaterThan" dxfId="12">
      <formula>0.85</formula>
    </cfRule>
  </conditionalFormatting>
  <conditionalFormatting sqref="N12">
    <cfRule type="cellIs" priority="1440" operator="greaterThan" dxfId="13">
      <formula>0.9</formula>
    </cfRule>
    <cfRule type="cellIs" priority="1441" operator="greaterThan" dxfId="12">
      <formula>0.85</formula>
    </cfRule>
  </conditionalFormatting>
  <conditionalFormatting sqref="E12">
    <cfRule type="expression" priority="1436" dxfId="3">
      <formula>AND(IF(OR($Q12=1,$Q12=2),1,0),IF($X12&lt;=20,1,0))</formula>
    </cfRule>
    <cfRule type="expression" priority="1437" dxfId="2">
      <formula>AND(IF($Q12=2,1,0),IF($X12&lt;30,1,0))</formula>
    </cfRule>
    <cfRule type="expression" priority="1438" dxfId="1">
      <formula>AND(IF($Q12=3,1,0),IF($X12&lt;30,1,0))</formula>
    </cfRule>
    <cfRule type="expression" priority="1439" dxfId="0">
      <formula>AND(IF($Q12=3,1,IF($Q12=4,1,0)),IF($F12&lt;=85,1,0))</formula>
    </cfRule>
  </conditionalFormatting>
  <conditionalFormatting sqref="X12">
    <cfRule type="expression" priority="1432" dxfId="3">
      <formula>AND(IF(OR($Q12=1,$Q12=2),1,0),IF($X12&lt;=20,1,0))</formula>
    </cfRule>
    <cfRule type="expression" priority="1433" dxfId="2">
      <formula>AND(IF($Q12=2,1,0),IF($X12&lt;30,1,0))</formula>
    </cfRule>
    <cfRule type="expression" priority="1434" dxfId="1">
      <formula>AND(IF($Q12=3,1,0),IF($X12&lt;30,1,0))</formula>
    </cfRule>
    <cfRule type="expression" priority="1435" dxfId="0">
      <formula>AND(IF($Q12=3,1,IF($Q12=4,1,0)),IF($F12&lt;=85,1,0))</formula>
    </cfRule>
  </conditionalFormatting>
  <conditionalFormatting sqref="AI12">
    <cfRule type="expression" priority="1428" dxfId="3">
      <formula>AND(IF(OR($Q12=1,$Q12=2),1,0),IF($X12&lt;=20,1,0))</formula>
    </cfRule>
    <cfRule type="expression" priority="1429" dxfId="2">
      <formula>AND(IF($Q12=2,1,0),IF($X12&lt;30,1,0))</formula>
    </cfRule>
    <cfRule type="expression" priority="1430" dxfId="1">
      <formula>AND(IF($Q12=3,1,0),IF($X12&lt;30,1,0))</formula>
    </cfRule>
    <cfRule type="expression" priority="1431" dxfId="0">
      <formula>AND(IF($Q12=3,1,IF($Q12=4,1,0)),IF($F12&lt;=85,1,0))</formula>
    </cfRule>
  </conditionalFormatting>
  <conditionalFormatting sqref="AV13">
    <cfRule type="expression" priority="1426" dxfId="17">
      <formula>AV13="X"</formula>
    </cfRule>
    <cfRule type="expression" priority="1427" dxfId="16">
      <formula>AV13="후보"</formula>
    </cfRule>
  </conditionalFormatting>
  <conditionalFormatting sqref="AC13">
    <cfRule type="cellIs" priority="1423" operator="greaterThan" dxfId="13">
      <formula>0.9</formula>
    </cfRule>
    <cfRule type="cellIs" priority="1424" operator="greaterThan" dxfId="12">
      <formula>0.85</formula>
    </cfRule>
  </conditionalFormatting>
  <conditionalFormatting sqref="N13">
    <cfRule type="cellIs" priority="1421" operator="greaterThan" dxfId="13">
      <formula>0.9</formula>
    </cfRule>
    <cfRule type="cellIs" priority="1422" operator="greaterThan" dxfId="12">
      <formula>0.85</formula>
    </cfRule>
  </conditionalFormatting>
  <conditionalFormatting sqref="E13">
    <cfRule type="expression" priority="1417" dxfId="3">
      <formula>AND(IF(OR($Q13=1,$Q13=2),1,0),IF($X13&lt;=20,1,0))</formula>
    </cfRule>
    <cfRule type="expression" priority="1418" dxfId="2">
      <formula>AND(IF($Q13=2,1,0),IF($X13&lt;30,1,0))</formula>
    </cfRule>
    <cfRule type="expression" priority="1419" dxfId="1">
      <formula>AND(IF($Q13=3,1,0),IF($X13&lt;30,1,0))</formula>
    </cfRule>
    <cfRule type="expression" priority="1420" dxfId="0">
      <formula>AND(IF($Q13=3,1,IF($Q13=4,1,0)),IF($F13&lt;=85,1,0))</formula>
    </cfRule>
  </conditionalFormatting>
  <conditionalFormatting sqref="X13">
    <cfRule type="expression" priority="1413" dxfId="3">
      <formula>AND(IF(OR($Q13=1,$Q13=2),1,0),IF($X13&lt;=20,1,0))</formula>
    </cfRule>
    <cfRule type="expression" priority="1414" dxfId="2">
      <formula>AND(IF($Q13=2,1,0),IF($X13&lt;30,1,0))</formula>
    </cfRule>
    <cfRule type="expression" priority="1415" dxfId="1">
      <formula>AND(IF($Q13=3,1,0),IF($X13&lt;30,1,0))</formula>
    </cfRule>
    <cfRule type="expression" priority="1416" dxfId="0">
      <formula>AND(IF($Q13=3,1,IF($Q13=4,1,0)),IF($F13&lt;=85,1,0))</formula>
    </cfRule>
  </conditionalFormatting>
  <conditionalFormatting sqref="AI13">
    <cfRule type="expression" priority="1409" dxfId="3">
      <formula>AND(IF(OR($Q13=1,$Q13=2),1,0),IF($X13&lt;=20,1,0))</formula>
    </cfRule>
    <cfRule type="expression" priority="1410" dxfId="2">
      <formula>AND(IF($Q13=2,1,0),IF($X13&lt;30,1,0))</formula>
    </cfRule>
    <cfRule type="expression" priority="1411" dxfId="1">
      <formula>AND(IF($Q13=3,1,0),IF($X13&lt;30,1,0))</formula>
    </cfRule>
    <cfRule type="expression" priority="1412" dxfId="0">
      <formula>AND(IF($Q13=3,1,IF($Q13=4,1,0)),IF($F13&lt;=85,1,0))</formula>
    </cfRule>
  </conditionalFormatting>
  <conditionalFormatting sqref="AV14">
    <cfRule type="expression" priority="1407" dxfId="17">
      <formula>AV14="X"</formula>
    </cfRule>
    <cfRule type="expression" priority="1408" dxfId="16">
      <formula>AV14="후보"</formula>
    </cfRule>
  </conditionalFormatting>
  <conditionalFormatting sqref="AC14">
    <cfRule type="cellIs" priority="1404" operator="greaterThan" dxfId="13">
      <formula>0.9</formula>
    </cfRule>
    <cfRule type="cellIs" priority="1405" operator="greaterThan" dxfId="12">
      <formula>0.85</formula>
    </cfRule>
  </conditionalFormatting>
  <conditionalFormatting sqref="N14">
    <cfRule type="cellIs" priority="1402" operator="greaterThan" dxfId="13">
      <formula>0.9</formula>
    </cfRule>
    <cfRule type="cellIs" priority="1403" operator="greaterThan" dxfId="12">
      <formula>0.85</formula>
    </cfRule>
  </conditionalFormatting>
  <conditionalFormatting sqref="E14">
    <cfRule type="expression" priority="1398" dxfId="3">
      <formula>AND(IF(OR($Q14=1,$Q14=2),1,0),IF($X14&lt;=20,1,0))</formula>
    </cfRule>
    <cfRule type="expression" priority="1399" dxfId="2">
      <formula>AND(IF($Q14=2,1,0),IF($X14&lt;30,1,0))</formula>
    </cfRule>
    <cfRule type="expression" priority="1400" dxfId="1">
      <formula>AND(IF($Q14=3,1,0),IF($X14&lt;30,1,0))</formula>
    </cfRule>
    <cfRule type="expression" priority="1401" dxfId="0">
      <formula>AND(IF($Q14=3,1,IF($Q14=4,1,0)),IF($F14&lt;=85,1,0))</formula>
    </cfRule>
  </conditionalFormatting>
  <conditionalFormatting sqref="X14">
    <cfRule type="expression" priority="1394" dxfId="3">
      <formula>AND(IF(OR($Q14=1,$Q14=2),1,0),IF($X14&lt;=20,1,0))</formula>
    </cfRule>
    <cfRule type="expression" priority="1395" dxfId="2">
      <formula>AND(IF($Q14=2,1,0),IF($X14&lt;30,1,0))</formula>
    </cfRule>
    <cfRule type="expression" priority="1396" dxfId="1">
      <formula>AND(IF($Q14=3,1,0),IF($X14&lt;30,1,0))</formula>
    </cfRule>
    <cfRule type="expression" priority="1397" dxfId="0">
      <formula>AND(IF($Q14=3,1,IF($Q14=4,1,0)),IF($F14&lt;=85,1,0))</formula>
    </cfRule>
  </conditionalFormatting>
  <conditionalFormatting sqref="AI14">
    <cfRule type="expression" priority="1390" dxfId="3">
      <formula>AND(IF(OR($Q14=1,$Q14=2),1,0),IF($X14&lt;=20,1,0))</formula>
    </cfRule>
    <cfRule type="expression" priority="1391" dxfId="2">
      <formula>AND(IF($Q14=2,1,0),IF($X14&lt;30,1,0))</formula>
    </cfRule>
    <cfRule type="expression" priority="1392" dxfId="1">
      <formula>AND(IF($Q14=3,1,0),IF($X14&lt;30,1,0))</formula>
    </cfRule>
    <cfRule type="expression" priority="1393" dxfId="0">
      <formula>AND(IF($Q14=3,1,IF($Q14=4,1,0)),IF($F14&lt;=85,1,0))</formula>
    </cfRule>
  </conditionalFormatting>
  <conditionalFormatting sqref="AV15">
    <cfRule type="expression" priority="1388" dxfId="17">
      <formula>AV15="X"</formula>
    </cfRule>
    <cfRule type="expression" priority="1389" dxfId="16">
      <formula>AV15="후보"</formula>
    </cfRule>
  </conditionalFormatting>
  <conditionalFormatting sqref="AC15">
    <cfRule type="cellIs" priority="1385" operator="greaterThan" dxfId="13">
      <formula>0.9</formula>
    </cfRule>
    <cfRule type="cellIs" priority="1386" operator="greaterThan" dxfId="12">
      <formula>0.85</formula>
    </cfRule>
  </conditionalFormatting>
  <conditionalFormatting sqref="N15">
    <cfRule type="cellIs" priority="1383" operator="greaterThan" dxfId="13">
      <formula>0.9</formula>
    </cfRule>
    <cfRule type="cellIs" priority="1384" operator="greaterThan" dxfId="12">
      <formula>0.85</formula>
    </cfRule>
  </conditionalFormatting>
  <conditionalFormatting sqref="E15">
    <cfRule type="expression" priority="1379" dxfId="3">
      <formula>AND(IF(OR($Q15=1,$Q15=2),1,0),IF($X15&lt;=20,1,0))</formula>
    </cfRule>
    <cfRule type="expression" priority="1380" dxfId="2">
      <formula>AND(IF($Q15=2,1,0),IF($X15&lt;30,1,0))</formula>
    </cfRule>
    <cfRule type="expression" priority="1381" dxfId="1">
      <formula>AND(IF($Q15=3,1,0),IF($X15&lt;30,1,0))</formula>
    </cfRule>
    <cfRule type="expression" priority="1382" dxfId="0">
      <formula>AND(IF($Q15=3,1,IF($Q15=4,1,0)),IF($F15&lt;=85,1,0))</formula>
    </cfRule>
  </conditionalFormatting>
  <conditionalFormatting sqref="X15">
    <cfRule type="expression" priority="1375" dxfId="3">
      <formula>AND(IF(OR($Q15=1,$Q15=2),1,0),IF($X15&lt;=20,1,0))</formula>
    </cfRule>
    <cfRule type="expression" priority="1376" dxfId="2">
      <formula>AND(IF($Q15=2,1,0),IF($X15&lt;30,1,0))</formula>
    </cfRule>
    <cfRule type="expression" priority="1377" dxfId="1">
      <formula>AND(IF($Q15=3,1,0),IF($X15&lt;30,1,0))</formula>
    </cfRule>
    <cfRule type="expression" priority="1378" dxfId="0">
      <formula>AND(IF($Q15=3,1,IF($Q15=4,1,0)),IF($F15&lt;=85,1,0))</formula>
    </cfRule>
  </conditionalFormatting>
  <conditionalFormatting sqref="AI15">
    <cfRule type="expression" priority="1371" dxfId="3">
      <formula>AND(IF(OR($Q15=1,$Q15=2),1,0),IF($X15&lt;=20,1,0))</formula>
    </cfRule>
    <cfRule type="expression" priority="1372" dxfId="2">
      <formula>AND(IF($Q15=2,1,0),IF($X15&lt;30,1,0))</formula>
    </cfRule>
    <cfRule type="expression" priority="1373" dxfId="1">
      <formula>AND(IF($Q15=3,1,0),IF($X15&lt;30,1,0))</formula>
    </cfRule>
    <cfRule type="expression" priority="1374" dxfId="0">
      <formula>AND(IF($Q15=3,1,IF($Q15=4,1,0)),IF($F15&lt;=85,1,0))</formula>
    </cfRule>
  </conditionalFormatting>
  <conditionalFormatting sqref="AV16">
    <cfRule type="expression" priority="1369" dxfId="17">
      <formula>AV16="X"</formula>
    </cfRule>
    <cfRule type="expression" priority="1370" dxfId="16">
      <formula>AV16="후보"</formula>
    </cfRule>
  </conditionalFormatting>
  <conditionalFormatting sqref="AC16">
    <cfRule type="cellIs" priority="1366" operator="greaterThan" dxfId="13">
      <formula>0.9</formula>
    </cfRule>
    <cfRule type="cellIs" priority="1367" operator="greaterThan" dxfId="12">
      <formula>0.85</formula>
    </cfRule>
  </conditionalFormatting>
  <conditionalFormatting sqref="N16">
    <cfRule type="cellIs" priority="1364" operator="greaterThan" dxfId="13">
      <formula>0.9</formula>
    </cfRule>
    <cfRule type="cellIs" priority="1365" operator="greaterThan" dxfId="12">
      <formula>0.85</formula>
    </cfRule>
  </conditionalFormatting>
  <conditionalFormatting sqref="E16">
    <cfRule type="expression" priority="1360" dxfId="3">
      <formula>AND(IF(OR($Q16=1,$Q16=2),1,0),IF($X16&lt;=20,1,0))</formula>
    </cfRule>
    <cfRule type="expression" priority="1361" dxfId="2">
      <formula>AND(IF($Q16=2,1,0),IF($X16&lt;30,1,0))</formula>
    </cfRule>
    <cfRule type="expression" priority="1362" dxfId="1">
      <formula>AND(IF($Q16=3,1,0),IF($X16&lt;30,1,0))</formula>
    </cfRule>
    <cfRule type="expression" priority="1363" dxfId="0">
      <formula>AND(IF($Q16=3,1,IF($Q16=4,1,0)),IF($F16&lt;=85,1,0))</formula>
    </cfRule>
  </conditionalFormatting>
  <conditionalFormatting sqref="X16">
    <cfRule type="expression" priority="1356" dxfId="3">
      <formula>AND(IF(OR($Q16=1,$Q16=2),1,0),IF($X16&lt;=20,1,0))</formula>
    </cfRule>
    <cfRule type="expression" priority="1357" dxfId="2">
      <formula>AND(IF($Q16=2,1,0),IF($X16&lt;30,1,0))</formula>
    </cfRule>
    <cfRule type="expression" priority="1358" dxfId="1">
      <formula>AND(IF($Q16=3,1,0),IF($X16&lt;30,1,0))</formula>
    </cfRule>
    <cfRule type="expression" priority="1359" dxfId="0">
      <formula>AND(IF($Q16=3,1,IF($Q16=4,1,0)),IF($F16&lt;=85,1,0))</formula>
    </cfRule>
  </conditionalFormatting>
  <conditionalFormatting sqref="AI16">
    <cfRule type="expression" priority="1352" dxfId="3">
      <formula>AND(IF(OR($Q16=1,$Q16=2),1,0),IF($X16&lt;=20,1,0))</formula>
    </cfRule>
    <cfRule type="expression" priority="1353" dxfId="2">
      <formula>AND(IF($Q16=2,1,0),IF($X16&lt;30,1,0))</formula>
    </cfRule>
    <cfRule type="expression" priority="1354" dxfId="1">
      <formula>AND(IF($Q16=3,1,0),IF($X16&lt;30,1,0))</formula>
    </cfRule>
    <cfRule type="expression" priority="1355" dxfId="0">
      <formula>AND(IF($Q16=3,1,IF($Q16=4,1,0)),IF($F16&lt;=85,1,0))</formula>
    </cfRule>
  </conditionalFormatting>
  <conditionalFormatting sqref="AV17">
    <cfRule type="expression" priority="1350" dxfId="17">
      <formula>AV17="X"</formula>
    </cfRule>
    <cfRule type="expression" priority="1351" dxfId="16">
      <formula>AV17="후보"</formula>
    </cfRule>
  </conditionalFormatting>
  <conditionalFormatting sqref="AC17">
    <cfRule type="cellIs" priority="1347" operator="greaterThan" dxfId="13">
      <formula>0.9</formula>
    </cfRule>
    <cfRule type="cellIs" priority="1348" operator="greaterThan" dxfId="12">
      <formula>0.85</formula>
    </cfRule>
  </conditionalFormatting>
  <conditionalFormatting sqref="N17">
    <cfRule type="cellIs" priority="1345" operator="greaterThan" dxfId="13">
      <formula>0.9</formula>
    </cfRule>
    <cfRule type="cellIs" priority="1346" operator="greaterThan" dxfId="12">
      <formula>0.85</formula>
    </cfRule>
  </conditionalFormatting>
  <conditionalFormatting sqref="E17">
    <cfRule type="expression" priority="1341" dxfId="3">
      <formula>AND(IF(OR($Q17=1,$Q17=2),1,0),IF($X17&lt;=20,1,0))</formula>
    </cfRule>
    <cfRule type="expression" priority="1342" dxfId="2">
      <formula>AND(IF($Q17=2,1,0),IF($X17&lt;30,1,0))</formula>
    </cfRule>
    <cfRule type="expression" priority="1343" dxfId="1">
      <formula>AND(IF($Q17=3,1,0),IF($X17&lt;30,1,0))</formula>
    </cfRule>
    <cfRule type="expression" priority="1344" dxfId="0">
      <formula>AND(IF($Q17=3,1,IF($Q17=4,1,0)),IF($F17&lt;=85,1,0))</formula>
    </cfRule>
  </conditionalFormatting>
  <conditionalFormatting sqref="X17">
    <cfRule type="expression" priority="1337" dxfId="3">
      <formula>AND(IF(OR($Q17=1,$Q17=2),1,0),IF($X17&lt;=20,1,0))</formula>
    </cfRule>
    <cfRule type="expression" priority="1338" dxfId="2">
      <formula>AND(IF($Q17=2,1,0),IF($X17&lt;30,1,0))</formula>
    </cfRule>
    <cfRule type="expression" priority="1339" dxfId="1">
      <formula>AND(IF($Q17=3,1,0),IF($X17&lt;30,1,0))</formula>
    </cfRule>
    <cfRule type="expression" priority="1340" dxfId="0">
      <formula>AND(IF($Q17=3,1,IF($Q17=4,1,0)),IF($F17&lt;=85,1,0))</formula>
    </cfRule>
  </conditionalFormatting>
  <conditionalFormatting sqref="AI17">
    <cfRule type="expression" priority="1333" dxfId="3">
      <formula>AND(IF(OR($Q17=1,$Q17=2),1,0),IF($X17&lt;=20,1,0))</formula>
    </cfRule>
    <cfRule type="expression" priority="1334" dxfId="2">
      <formula>AND(IF($Q17=2,1,0),IF($X17&lt;30,1,0))</formula>
    </cfRule>
    <cfRule type="expression" priority="1335" dxfId="1">
      <formula>AND(IF($Q17=3,1,0),IF($X17&lt;30,1,0))</formula>
    </cfRule>
    <cfRule type="expression" priority="1336" dxfId="0">
      <formula>AND(IF($Q17=3,1,IF($Q17=4,1,0)),IF($F17&lt;=85,1,0))</formula>
    </cfRule>
  </conditionalFormatting>
  <conditionalFormatting sqref="AV18">
    <cfRule type="expression" priority="1331" dxfId="17">
      <formula>AV18="X"</formula>
    </cfRule>
    <cfRule type="expression" priority="1332" dxfId="16">
      <formula>AV18="후보"</formula>
    </cfRule>
  </conditionalFormatting>
  <conditionalFormatting sqref="AC18 N18">
    <cfRule type="cellIs" priority="1328" operator="greaterThan" dxfId="13">
      <formula>0.9</formula>
    </cfRule>
    <cfRule type="cellIs" priority="1329" operator="greaterThan" dxfId="12">
      <formula>0.85</formula>
    </cfRule>
  </conditionalFormatting>
  <conditionalFormatting sqref="AV19">
    <cfRule type="expression" priority="1326" dxfId="17">
      <formula>AV19="X"</formula>
    </cfRule>
    <cfRule type="expression" priority="1327" dxfId="16">
      <formula>AV19="후보"</formula>
    </cfRule>
  </conditionalFormatting>
  <conditionalFormatting sqref="AC19">
    <cfRule type="cellIs" priority="1323" operator="greaterThan" dxfId="13">
      <formula>0.9</formula>
    </cfRule>
    <cfRule type="cellIs" priority="1324" operator="greaterThan" dxfId="12">
      <formula>0.85</formula>
    </cfRule>
  </conditionalFormatting>
  <conditionalFormatting sqref="N19">
    <cfRule type="cellIs" priority="1321" operator="greaterThan" dxfId="13">
      <formula>0.9</formula>
    </cfRule>
    <cfRule type="cellIs" priority="1322" operator="greaterThan" dxfId="12">
      <formula>0.85</formula>
    </cfRule>
  </conditionalFormatting>
  <conditionalFormatting sqref="E19">
    <cfRule type="expression" priority="1317" dxfId="3">
      <formula>AND(IF(OR($Q19=1,$Q19=2),1,0),IF($X19&lt;=20,1,0))</formula>
    </cfRule>
    <cfRule type="expression" priority="1318" dxfId="2">
      <formula>AND(IF($Q19=2,1,0),IF($X19&lt;30,1,0))</formula>
    </cfRule>
    <cfRule type="expression" priority="1319" dxfId="1">
      <formula>AND(IF($Q19=3,1,0),IF($X19&lt;30,1,0))</formula>
    </cfRule>
    <cfRule type="expression" priority="1320" dxfId="0">
      <formula>AND(IF($Q19=3,1,IF($Q19=4,1,0)),IF($F19&lt;=85,1,0))</formula>
    </cfRule>
  </conditionalFormatting>
  <conditionalFormatting sqref="X19">
    <cfRule type="expression" priority="1313" dxfId="3">
      <formula>AND(IF(OR($Q19=1,$Q19=2),1,0),IF($X19&lt;=20,1,0))</formula>
    </cfRule>
    <cfRule type="expression" priority="1314" dxfId="2">
      <formula>AND(IF($Q19=2,1,0),IF($X19&lt;30,1,0))</formula>
    </cfRule>
    <cfRule type="expression" priority="1315" dxfId="1">
      <formula>AND(IF($Q19=3,1,0),IF($X19&lt;30,1,0))</formula>
    </cfRule>
    <cfRule type="expression" priority="1316" dxfId="0">
      <formula>AND(IF($Q19=3,1,IF($Q19=4,1,0)),IF($F19&lt;=85,1,0))</formula>
    </cfRule>
  </conditionalFormatting>
  <conditionalFormatting sqref="AI19">
    <cfRule type="expression" priority="1309" dxfId="3">
      <formula>AND(IF(OR($Q19=1,$Q19=2),1,0),IF($X19&lt;=20,1,0))</formula>
    </cfRule>
    <cfRule type="expression" priority="1310" dxfId="2">
      <formula>AND(IF($Q19=2,1,0),IF($X19&lt;30,1,0))</formula>
    </cfRule>
    <cfRule type="expression" priority="1311" dxfId="1">
      <formula>AND(IF($Q19=3,1,0),IF($X19&lt;30,1,0))</formula>
    </cfRule>
    <cfRule type="expression" priority="1312" dxfId="0">
      <formula>AND(IF($Q19=3,1,IF($Q19=4,1,0)),IF($F19&lt;=85,1,0))</formula>
    </cfRule>
  </conditionalFormatting>
  <conditionalFormatting sqref="AV20">
    <cfRule type="expression" priority="1307" dxfId="17">
      <formula>AV20="X"</formula>
    </cfRule>
    <cfRule type="expression" priority="1308" dxfId="16">
      <formula>AV20="후보"</formula>
    </cfRule>
  </conditionalFormatting>
  <conditionalFormatting sqref="AC20">
    <cfRule type="cellIs" priority="1304" operator="greaterThan" dxfId="13">
      <formula>0.9</formula>
    </cfRule>
    <cfRule type="cellIs" priority="1305" operator="greaterThan" dxfId="12">
      <formula>0.85</formula>
    </cfRule>
  </conditionalFormatting>
  <conditionalFormatting sqref="N20">
    <cfRule type="cellIs" priority="1302" operator="greaterThan" dxfId="13">
      <formula>0.9</formula>
    </cfRule>
    <cfRule type="cellIs" priority="1303" operator="greaterThan" dxfId="12">
      <formula>0.85</formula>
    </cfRule>
  </conditionalFormatting>
  <conditionalFormatting sqref="E20">
    <cfRule type="expression" priority="1298" dxfId="3">
      <formula>AND(IF(OR($Q20=1,$Q20=2),1,0),IF($X20&lt;=20,1,0))</formula>
    </cfRule>
    <cfRule type="expression" priority="1299" dxfId="2">
      <formula>AND(IF($Q20=2,1,0),IF($X20&lt;30,1,0))</formula>
    </cfRule>
    <cfRule type="expression" priority="1300" dxfId="1">
      <formula>AND(IF($Q20=3,1,0),IF($X20&lt;30,1,0))</formula>
    </cfRule>
    <cfRule type="expression" priority="1301" dxfId="0">
      <formula>AND(IF($Q20=3,1,IF($Q20=4,1,0)),IF($F20&lt;=85,1,0))</formula>
    </cfRule>
  </conditionalFormatting>
  <conditionalFormatting sqref="X20">
    <cfRule type="expression" priority="1294" dxfId="3">
      <formula>AND(IF(OR($Q20=1,$Q20=2),1,0),IF($X20&lt;=20,1,0))</formula>
    </cfRule>
    <cfRule type="expression" priority="1295" dxfId="2">
      <formula>AND(IF($Q20=2,1,0),IF($X20&lt;30,1,0))</formula>
    </cfRule>
    <cfRule type="expression" priority="1296" dxfId="1">
      <formula>AND(IF($Q20=3,1,0),IF($X20&lt;30,1,0))</formula>
    </cfRule>
    <cfRule type="expression" priority="1297" dxfId="0">
      <formula>AND(IF($Q20=3,1,IF($Q20=4,1,0)),IF($F20&lt;=85,1,0))</formula>
    </cfRule>
  </conditionalFormatting>
  <conditionalFormatting sqref="AI20">
    <cfRule type="expression" priority="1290" dxfId="3">
      <formula>AND(IF(OR($Q20=1,$Q20=2),1,0),IF($X20&lt;=20,1,0))</formula>
    </cfRule>
    <cfRule type="expression" priority="1291" dxfId="2">
      <formula>AND(IF($Q20=2,1,0),IF($X20&lt;30,1,0))</formula>
    </cfRule>
    <cfRule type="expression" priority="1292" dxfId="1">
      <formula>AND(IF($Q20=3,1,0),IF($X20&lt;30,1,0))</formula>
    </cfRule>
    <cfRule type="expression" priority="1293" dxfId="0">
      <formula>AND(IF($Q20=3,1,IF($Q20=4,1,0)),IF($F20&lt;=85,1,0))</formula>
    </cfRule>
  </conditionalFormatting>
  <conditionalFormatting sqref="AV21">
    <cfRule type="expression" priority="1288" dxfId="17">
      <formula>AV21="X"</formula>
    </cfRule>
    <cfRule type="expression" priority="1289" dxfId="16">
      <formula>AV21="후보"</formula>
    </cfRule>
  </conditionalFormatting>
  <conditionalFormatting sqref="AC21">
    <cfRule type="cellIs" priority="1285" operator="greaterThan" dxfId="13">
      <formula>0.9</formula>
    </cfRule>
    <cfRule type="cellIs" priority="1286" operator="greaterThan" dxfId="12">
      <formula>0.85</formula>
    </cfRule>
  </conditionalFormatting>
  <conditionalFormatting sqref="N21">
    <cfRule type="cellIs" priority="1283" operator="greaterThan" dxfId="13">
      <formula>0.9</formula>
    </cfRule>
    <cfRule type="cellIs" priority="1284" operator="greaterThan" dxfId="12">
      <formula>0.85</formula>
    </cfRule>
  </conditionalFormatting>
  <conditionalFormatting sqref="E21">
    <cfRule type="expression" priority="1279" dxfId="3">
      <formula>AND(IF(OR($Q21=1,$Q21=2),1,0),IF($X21&lt;=20,1,0))</formula>
    </cfRule>
    <cfRule type="expression" priority="1280" dxfId="2">
      <formula>AND(IF($Q21=2,1,0),IF($X21&lt;30,1,0))</formula>
    </cfRule>
    <cfRule type="expression" priority="1281" dxfId="1">
      <formula>AND(IF($Q21=3,1,0),IF($X21&lt;30,1,0))</formula>
    </cfRule>
    <cfRule type="expression" priority="1282" dxfId="0">
      <formula>AND(IF($Q21=3,1,IF($Q21=4,1,0)),IF($F21&lt;=85,1,0))</formula>
    </cfRule>
  </conditionalFormatting>
  <conditionalFormatting sqref="X21">
    <cfRule type="expression" priority="1275" dxfId="3">
      <formula>AND(IF(OR($Q21=1,$Q21=2),1,0),IF($X21&lt;=20,1,0))</formula>
    </cfRule>
    <cfRule type="expression" priority="1276" dxfId="2">
      <formula>AND(IF($Q21=2,1,0),IF($X21&lt;30,1,0))</formula>
    </cfRule>
    <cfRule type="expression" priority="1277" dxfId="1">
      <formula>AND(IF($Q21=3,1,0),IF($X21&lt;30,1,0))</formula>
    </cfRule>
    <cfRule type="expression" priority="1278" dxfId="0">
      <formula>AND(IF($Q21=3,1,IF($Q21=4,1,0)),IF($F21&lt;=85,1,0))</formula>
    </cfRule>
  </conditionalFormatting>
  <conditionalFormatting sqref="AI21">
    <cfRule type="expression" priority="1271" dxfId="3">
      <formula>AND(IF(OR($Q21=1,$Q21=2),1,0),IF($X21&lt;=20,1,0))</formula>
    </cfRule>
    <cfRule type="expression" priority="1272" dxfId="2">
      <formula>AND(IF($Q21=2,1,0),IF($X21&lt;30,1,0))</formula>
    </cfRule>
    <cfRule type="expression" priority="1273" dxfId="1">
      <formula>AND(IF($Q21=3,1,0),IF($X21&lt;30,1,0))</formula>
    </cfRule>
    <cfRule type="expression" priority="1274" dxfId="0">
      <formula>AND(IF($Q21=3,1,IF($Q21=4,1,0)),IF($F21&lt;=85,1,0))</formula>
    </cfRule>
  </conditionalFormatting>
  <conditionalFormatting sqref="AV22">
    <cfRule type="expression" priority="1269" dxfId="17">
      <formula>AV22="X"</formula>
    </cfRule>
    <cfRule type="expression" priority="1270" dxfId="16">
      <formula>AV22="후보"</formula>
    </cfRule>
  </conditionalFormatting>
  <conditionalFormatting sqref="AC22">
    <cfRule type="cellIs" priority="1266" operator="greaterThan" dxfId="13">
      <formula>0.9</formula>
    </cfRule>
    <cfRule type="cellIs" priority="1267" operator="greaterThan" dxfId="12">
      <formula>0.85</formula>
    </cfRule>
  </conditionalFormatting>
  <conditionalFormatting sqref="N22">
    <cfRule type="cellIs" priority="1264" operator="greaterThan" dxfId="13">
      <formula>0.9</formula>
    </cfRule>
    <cfRule type="cellIs" priority="1265" operator="greaterThan" dxfId="12">
      <formula>0.85</formula>
    </cfRule>
  </conditionalFormatting>
  <conditionalFormatting sqref="E22">
    <cfRule type="expression" priority="1260" dxfId="3">
      <formula>AND(IF(OR($Q22=1,$Q22=2),1,0),IF($X22&lt;=20,1,0))</formula>
    </cfRule>
    <cfRule type="expression" priority="1261" dxfId="2">
      <formula>AND(IF($Q22=2,1,0),IF($X22&lt;30,1,0))</formula>
    </cfRule>
    <cfRule type="expression" priority="1262" dxfId="1">
      <formula>AND(IF($Q22=3,1,0),IF($X22&lt;30,1,0))</formula>
    </cfRule>
    <cfRule type="expression" priority="1263" dxfId="0">
      <formula>AND(IF($Q22=3,1,IF($Q22=4,1,0)),IF($F22&lt;=85,1,0))</formula>
    </cfRule>
  </conditionalFormatting>
  <conditionalFormatting sqref="X22">
    <cfRule type="expression" priority="1256" dxfId="3">
      <formula>AND(IF(OR($Q22=1,$Q22=2),1,0),IF($X22&lt;=20,1,0))</formula>
    </cfRule>
    <cfRule type="expression" priority="1257" dxfId="2">
      <formula>AND(IF($Q22=2,1,0),IF($X22&lt;30,1,0))</formula>
    </cfRule>
    <cfRule type="expression" priority="1258" dxfId="1">
      <formula>AND(IF($Q22=3,1,0),IF($X22&lt;30,1,0))</formula>
    </cfRule>
    <cfRule type="expression" priority="1259" dxfId="0">
      <formula>AND(IF($Q22=3,1,IF($Q22=4,1,0)),IF($F22&lt;=85,1,0))</formula>
    </cfRule>
  </conditionalFormatting>
  <conditionalFormatting sqref="AI22">
    <cfRule type="expression" priority="1252" dxfId="3">
      <formula>AND(IF(OR($Q22=1,$Q22=2),1,0),IF($X22&lt;=20,1,0))</formula>
    </cfRule>
    <cfRule type="expression" priority="1253" dxfId="2">
      <formula>AND(IF($Q22=2,1,0),IF($X22&lt;30,1,0))</formula>
    </cfRule>
    <cfRule type="expression" priority="1254" dxfId="1">
      <formula>AND(IF($Q22=3,1,0),IF($X22&lt;30,1,0))</formula>
    </cfRule>
    <cfRule type="expression" priority="1255" dxfId="0">
      <formula>AND(IF($Q22=3,1,IF($Q22=4,1,0)),IF($F22&lt;=85,1,0))</formula>
    </cfRule>
  </conditionalFormatting>
  <conditionalFormatting sqref="AV23">
    <cfRule type="expression" priority="1250" dxfId="17">
      <formula>AV23="X"</formula>
    </cfRule>
    <cfRule type="expression" priority="1251" dxfId="16">
      <formula>AV23="후보"</formula>
    </cfRule>
  </conditionalFormatting>
  <conditionalFormatting sqref="AC23">
    <cfRule type="cellIs" priority="1247" operator="greaterThan" dxfId="13">
      <formula>0.9</formula>
    </cfRule>
    <cfRule type="cellIs" priority="1248" operator="greaterThan" dxfId="12">
      <formula>0.85</formula>
    </cfRule>
  </conditionalFormatting>
  <conditionalFormatting sqref="N23">
    <cfRule type="cellIs" priority="1245" operator="greaterThan" dxfId="13">
      <formula>0.9</formula>
    </cfRule>
    <cfRule type="cellIs" priority="1246" operator="greaterThan" dxfId="12">
      <formula>0.85</formula>
    </cfRule>
  </conditionalFormatting>
  <conditionalFormatting sqref="E23">
    <cfRule type="expression" priority="1241" dxfId="3">
      <formula>AND(IF(OR($Q23=1,$Q23=2),1,0),IF($X23&lt;=20,1,0))</formula>
    </cfRule>
    <cfRule type="expression" priority="1242" dxfId="2">
      <formula>AND(IF($Q23=2,1,0),IF($X23&lt;30,1,0))</formula>
    </cfRule>
    <cfRule type="expression" priority="1243" dxfId="1">
      <formula>AND(IF($Q23=3,1,0),IF($X23&lt;30,1,0))</formula>
    </cfRule>
    <cfRule type="expression" priority="1244" dxfId="0">
      <formula>AND(IF($Q23=3,1,IF($Q23=4,1,0)),IF($F23&lt;=85,1,0))</formula>
    </cfRule>
  </conditionalFormatting>
  <conditionalFormatting sqref="X23">
    <cfRule type="expression" priority="1237" dxfId="3">
      <formula>AND(IF(OR($Q23=1,$Q23=2),1,0),IF($X23&lt;=20,1,0))</formula>
    </cfRule>
    <cfRule type="expression" priority="1238" dxfId="2">
      <formula>AND(IF($Q23=2,1,0),IF($X23&lt;30,1,0))</formula>
    </cfRule>
    <cfRule type="expression" priority="1239" dxfId="1">
      <formula>AND(IF($Q23=3,1,0),IF($X23&lt;30,1,0))</formula>
    </cfRule>
    <cfRule type="expression" priority="1240" dxfId="0">
      <formula>AND(IF($Q23=3,1,IF($Q23=4,1,0)),IF($F23&lt;=85,1,0))</formula>
    </cfRule>
  </conditionalFormatting>
  <conditionalFormatting sqref="AI23">
    <cfRule type="expression" priority="1233" dxfId="3">
      <formula>AND(IF(OR($Q23=1,$Q23=2),1,0),IF($X23&lt;=20,1,0))</formula>
    </cfRule>
    <cfRule type="expression" priority="1234" dxfId="2">
      <formula>AND(IF($Q23=2,1,0),IF($X23&lt;30,1,0))</formula>
    </cfRule>
    <cfRule type="expression" priority="1235" dxfId="1">
      <formula>AND(IF($Q23=3,1,0),IF($X23&lt;30,1,0))</formula>
    </cfRule>
    <cfRule type="expression" priority="1236" dxfId="0">
      <formula>AND(IF($Q23=3,1,IF($Q23=4,1,0)),IF($F23&lt;=85,1,0))</formula>
    </cfRule>
  </conditionalFormatting>
  <conditionalFormatting sqref="AV24">
    <cfRule type="expression" priority="1231" dxfId="17">
      <formula>AV24="X"</formula>
    </cfRule>
    <cfRule type="expression" priority="1232" dxfId="16">
      <formula>AV24="후보"</formula>
    </cfRule>
  </conditionalFormatting>
  <conditionalFormatting sqref="AC24">
    <cfRule type="cellIs" priority="1228" operator="greaterThan" dxfId="13">
      <formula>0.9</formula>
    </cfRule>
    <cfRule type="cellIs" priority="1229" operator="greaterThan" dxfId="12">
      <formula>0.85</formula>
    </cfRule>
  </conditionalFormatting>
  <conditionalFormatting sqref="N24">
    <cfRule type="cellIs" priority="1226" operator="greaterThan" dxfId="13">
      <formula>0.9</formula>
    </cfRule>
    <cfRule type="cellIs" priority="1227" operator="greaterThan" dxfId="12">
      <formula>0.85</formula>
    </cfRule>
  </conditionalFormatting>
  <conditionalFormatting sqref="E24">
    <cfRule type="expression" priority="1222" dxfId="3">
      <formula>AND(IF(OR($Q24=1,$Q24=2),1,0),IF($X24&lt;=20,1,0))</formula>
    </cfRule>
    <cfRule type="expression" priority="1223" dxfId="2">
      <formula>AND(IF($Q24=2,1,0),IF($X24&lt;30,1,0))</formula>
    </cfRule>
    <cfRule type="expression" priority="1224" dxfId="1">
      <formula>AND(IF($Q24=3,1,0),IF($X24&lt;30,1,0))</formula>
    </cfRule>
    <cfRule type="expression" priority="1225" dxfId="0">
      <formula>AND(IF($Q24=3,1,IF($Q24=4,1,0)),IF($F24&lt;=85,1,0))</formula>
    </cfRule>
  </conditionalFormatting>
  <conditionalFormatting sqref="X24">
    <cfRule type="expression" priority="1218" dxfId="3">
      <formula>AND(IF(OR($Q24=1,$Q24=2),1,0),IF($X24&lt;=20,1,0))</formula>
    </cfRule>
    <cfRule type="expression" priority="1219" dxfId="2">
      <formula>AND(IF($Q24=2,1,0),IF($X24&lt;30,1,0))</formula>
    </cfRule>
    <cfRule type="expression" priority="1220" dxfId="1">
      <formula>AND(IF($Q24=3,1,0),IF($X24&lt;30,1,0))</formula>
    </cfRule>
    <cfRule type="expression" priority="1221" dxfId="0">
      <formula>AND(IF($Q24=3,1,IF($Q24=4,1,0)),IF($F24&lt;=85,1,0))</formula>
    </cfRule>
  </conditionalFormatting>
  <conditionalFormatting sqref="AI24">
    <cfRule type="expression" priority="1214" dxfId="3">
      <formula>AND(IF(OR($Q24=1,$Q24=2),1,0),IF($X24&lt;=20,1,0))</formula>
    </cfRule>
    <cfRule type="expression" priority="1215" dxfId="2">
      <formula>AND(IF($Q24=2,1,0),IF($X24&lt;30,1,0))</formula>
    </cfRule>
    <cfRule type="expression" priority="1216" dxfId="1">
      <formula>AND(IF($Q24=3,1,0),IF($X24&lt;30,1,0))</formula>
    </cfRule>
    <cfRule type="expression" priority="1217" dxfId="0">
      <formula>AND(IF($Q24=3,1,IF($Q24=4,1,0)),IF($F24&lt;=85,1,0))</formula>
    </cfRule>
  </conditionalFormatting>
  <conditionalFormatting sqref="AV25">
    <cfRule type="expression" priority="1212" dxfId="17">
      <formula>AV25="X"</formula>
    </cfRule>
    <cfRule type="expression" priority="1213" dxfId="16">
      <formula>AV25="후보"</formula>
    </cfRule>
  </conditionalFormatting>
  <conditionalFormatting sqref="AC25">
    <cfRule type="cellIs" priority="1209" operator="greaterThan" dxfId="13">
      <formula>0.9</formula>
    </cfRule>
    <cfRule type="cellIs" priority="1210" operator="greaterThan" dxfId="12">
      <formula>0.85</formula>
    </cfRule>
  </conditionalFormatting>
  <conditionalFormatting sqref="N25">
    <cfRule type="cellIs" priority="1207" operator="greaterThan" dxfId="13">
      <formula>0.9</formula>
    </cfRule>
    <cfRule type="cellIs" priority="1208" operator="greaterThan" dxfId="12">
      <formula>0.85</formula>
    </cfRule>
  </conditionalFormatting>
  <conditionalFormatting sqref="E25">
    <cfRule type="expression" priority="1203" dxfId="3">
      <formula>AND(IF(OR($Q25=1,$Q25=2),1,0),IF($X25&lt;=20,1,0))</formula>
    </cfRule>
    <cfRule type="expression" priority="1204" dxfId="2">
      <formula>AND(IF($Q25=2,1,0),IF($X25&lt;30,1,0))</formula>
    </cfRule>
    <cfRule type="expression" priority="1205" dxfId="1">
      <formula>AND(IF($Q25=3,1,0),IF($X25&lt;30,1,0))</formula>
    </cfRule>
    <cfRule type="expression" priority="1206" dxfId="0">
      <formula>AND(IF($Q25=3,1,IF($Q25=4,1,0)),IF($F25&lt;=85,1,0))</formula>
    </cfRule>
  </conditionalFormatting>
  <conditionalFormatting sqref="X25">
    <cfRule type="expression" priority="1199" dxfId="3">
      <formula>AND(IF(OR($Q25=1,$Q25=2),1,0),IF($X25&lt;=20,1,0))</formula>
    </cfRule>
    <cfRule type="expression" priority="1200" dxfId="2">
      <formula>AND(IF($Q25=2,1,0),IF($X25&lt;30,1,0))</formula>
    </cfRule>
    <cfRule type="expression" priority="1201" dxfId="1">
      <formula>AND(IF($Q25=3,1,0),IF($X25&lt;30,1,0))</formula>
    </cfRule>
    <cfRule type="expression" priority="1202" dxfId="0">
      <formula>AND(IF($Q25=3,1,IF($Q25=4,1,0)),IF($F25&lt;=85,1,0))</formula>
    </cfRule>
  </conditionalFormatting>
  <conditionalFormatting sqref="AI25">
    <cfRule type="expression" priority="1195" dxfId="3">
      <formula>AND(IF(OR($Q25=1,$Q25=2),1,0),IF($X25&lt;=20,1,0))</formula>
    </cfRule>
    <cfRule type="expression" priority="1196" dxfId="2">
      <formula>AND(IF($Q25=2,1,0),IF($X25&lt;30,1,0))</formula>
    </cfRule>
    <cfRule type="expression" priority="1197" dxfId="1">
      <formula>AND(IF($Q25=3,1,0),IF($X25&lt;30,1,0))</formula>
    </cfRule>
    <cfRule type="expression" priority="1198" dxfId="0">
      <formula>AND(IF($Q25=3,1,IF($Q25=4,1,0)),IF($F25&lt;=85,1,0))</formula>
    </cfRule>
  </conditionalFormatting>
  <conditionalFormatting sqref="AV26">
    <cfRule type="expression" priority="1193" dxfId="17">
      <formula>AV26="X"</formula>
    </cfRule>
    <cfRule type="expression" priority="1194" dxfId="16">
      <formula>AV26="후보"</formula>
    </cfRule>
  </conditionalFormatting>
  <conditionalFormatting sqref="AC26">
    <cfRule type="cellIs" priority="1190" operator="greaterThan" dxfId="13">
      <formula>0.9</formula>
    </cfRule>
    <cfRule type="cellIs" priority="1191" operator="greaterThan" dxfId="12">
      <formula>0.85</formula>
    </cfRule>
  </conditionalFormatting>
  <conditionalFormatting sqref="N26">
    <cfRule type="cellIs" priority="1188" operator="greaterThan" dxfId="13">
      <formula>0.9</formula>
    </cfRule>
    <cfRule type="cellIs" priority="1189" operator="greaterThan" dxfId="12">
      <formula>0.85</formula>
    </cfRule>
  </conditionalFormatting>
  <conditionalFormatting sqref="E26">
    <cfRule type="expression" priority="1184" dxfId="3">
      <formula>AND(IF(OR($Q26=1,$Q26=2),1,0),IF($X26&lt;=20,1,0))</formula>
    </cfRule>
    <cfRule type="expression" priority="1185" dxfId="2">
      <formula>AND(IF($Q26=2,1,0),IF($X26&lt;30,1,0))</formula>
    </cfRule>
    <cfRule type="expression" priority="1186" dxfId="1">
      <formula>AND(IF($Q26=3,1,0),IF($X26&lt;30,1,0))</formula>
    </cfRule>
    <cfRule type="expression" priority="1187" dxfId="0">
      <formula>AND(IF($Q26=3,1,IF($Q26=4,1,0)),IF($F26&lt;=85,1,0))</formula>
    </cfRule>
  </conditionalFormatting>
  <conditionalFormatting sqref="X26">
    <cfRule type="expression" priority="1180" dxfId="3">
      <formula>AND(IF(OR($Q26=1,$Q26=2),1,0),IF($X26&lt;=20,1,0))</formula>
    </cfRule>
    <cfRule type="expression" priority="1181" dxfId="2">
      <formula>AND(IF($Q26=2,1,0),IF($X26&lt;30,1,0))</formula>
    </cfRule>
    <cfRule type="expression" priority="1182" dxfId="1">
      <formula>AND(IF($Q26=3,1,0),IF($X26&lt;30,1,0))</formula>
    </cfRule>
    <cfRule type="expression" priority="1183" dxfId="0">
      <formula>AND(IF($Q26=3,1,IF($Q26=4,1,0)),IF($F26&lt;=85,1,0))</formula>
    </cfRule>
  </conditionalFormatting>
  <conditionalFormatting sqref="AI26">
    <cfRule type="expression" priority="1176" dxfId="3">
      <formula>AND(IF(OR($Q26=1,$Q26=2),1,0),IF($X26&lt;=20,1,0))</formula>
    </cfRule>
    <cfRule type="expression" priority="1177" dxfId="2">
      <formula>AND(IF($Q26=2,1,0),IF($X26&lt;30,1,0))</formula>
    </cfRule>
    <cfRule type="expression" priority="1178" dxfId="1">
      <formula>AND(IF($Q26=3,1,0),IF($X26&lt;30,1,0))</formula>
    </cfRule>
    <cfRule type="expression" priority="1179" dxfId="0">
      <formula>AND(IF($Q26=3,1,IF($Q26=4,1,0)),IF($F26&lt;=85,1,0))</formula>
    </cfRule>
  </conditionalFormatting>
  <conditionalFormatting sqref="AV27">
    <cfRule type="expression" priority="1174" dxfId="17">
      <formula>AV27="X"</formula>
    </cfRule>
    <cfRule type="expression" priority="1175" dxfId="16">
      <formula>AV27="후보"</formula>
    </cfRule>
  </conditionalFormatting>
  <conditionalFormatting sqref="AC27">
    <cfRule type="cellIs" priority="1171" operator="greaterThan" dxfId="13">
      <formula>0.9</formula>
    </cfRule>
    <cfRule type="cellIs" priority="1172" operator="greaterThan" dxfId="12">
      <formula>0.85</formula>
    </cfRule>
  </conditionalFormatting>
  <conditionalFormatting sqref="N27">
    <cfRule type="cellIs" priority="1169" operator="greaterThan" dxfId="13">
      <formula>0.9</formula>
    </cfRule>
    <cfRule type="cellIs" priority="1170" operator="greaterThan" dxfId="12">
      <formula>0.85</formula>
    </cfRule>
  </conditionalFormatting>
  <conditionalFormatting sqref="E27">
    <cfRule type="expression" priority="1165" dxfId="3">
      <formula>AND(IF(OR($Q27=1,$Q27=2),1,0),IF($X27&lt;=20,1,0))</formula>
    </cfRule>
    <cfRule type="expression" priority="1166" dxfId="2">
      <formula>AND(IF($Q27=2,1,0),IF($X27&lt;30,1,0))</formula>
    </cfRule>
    <cfRule type="expression" priority="1167" dxfId="1">
      <formula>AND(IF($Q27=3,1,0),IF($X27&lt;30,1,0))</formula>
    </cfRule>
    <cfRule type="expression" priority="1168" dxfId="0">
      <formula>AND(IF($Q27=3,1,IF($Q27=4,1,0)),IF($F27&lt;=85,1,0))</formula>
    </cfRule>
  </conditionalFormatting>
  <conditionalFormatting sqref="X27">
    <cfRule type="expression" priority="1161" dxfId="3">
      <formula>AND(IF(OR($Q27=1,$Q27=2),1,0),IF($X27&lt;=20,1,0))</formula>
    </cfRule>
    <cfRule type="expression" priority="1162" dxfId="2">
      <formula>AND(IF($Q27=2,1,0),IF($X27&lt;30,1,0))</formula>
    </cfRule>
    <cfRule type="expression" priority="1163" dxfId="1">
      <formula>AND(IF($Q27=3,1,0),IF($X27&lt;30,1,0))</formula>
    </cfRule>
    <cfRule type="expression" priority="1164" dxfId="0">
      <formula>AND(IF($Q27=3,1,IF($Q27=4,1,0)),IF($F27&lt;=85,1,0))</formula>
    </cfRule>
  </conditionalFormatting>
  <conditionalFormatting sqref="AI27">
    <cfRule type="expression" priority="1157" dxfId="3">
      <formula>AND(IF(OR($Q27=1,$Q27=2),1,0),IF($X27&lt;=20,1,0))</formula>
    </cfRule>
    <cfRule type="expression" priority="1158" dxfId="2">
      <formula>AND(IF($Q27=2,1,0),IF($X27&lt;30,1,0))</formula>
    </cfRule>
    <cfRule type="expression" priority="1159" dxfId="1">
      <formula>AND(IF($Q27=3,1,0),IF($X27&lt;30,1,0))</formula>
    </cfRule>
    <cfRule type="expression" priority="1160" dxfId="0">
      <formula>AND(IF($Q27=3,1,IF($Q27=4,1,0)),IF($F27&lt;=85,1,0))</formula>
    </cfRule>
  </conditionalFormatting>
  <conditionalFormatting sqref="AV28">
    <cfRule type="expression" priority="1155" dxfId="17">
      <formula>AV28="X"</formula>
    </cfRule>
    <cfRule type="expression" priority="1156" dxfId="16">
      <formula>AV28="후보"</formula>
    </cfRule>
  </conditionalFormatting>
  <conditionalFormatting sqref="AC28">
    <cfRule type="cellIs" priority="1152" operator="greaterThan" dxfId="13">
      <formula>0.9</formula>
    </cfRule>
    <cfRule type="cellIs" priority="1153" operator="greaterThan" dxfId="12">
      <formula>0.85</formula>
    </cfRule>
  </conditionalFormatting>
  <conditionalFormatting sqref="N28">
    <cfRule type="cellIs" priority="1150" operator="greaterThan" dxfId="13">
      <formula>0.9</formula>
    </cfRule>
    <cfRule type="cellIs" priority="1151" operator="greaterThan" dxfId="12">
      <formula>0.85</formula>
    </cfRule>
  </conditionalFormatting>
  <conditionalFormatting sqref="E28">
    <cfRule type="expression" priority="1146" dxfId="3">
      <formula>AND(IF(OR($Q28=1,$Q28=2),1,0),IF($X28&lt;=20,1,0))</formula>
    </cfRule>
    <cfRule type="expression" priority="1147" dxfId="2">
      <formula>AND(IF($Q28=2,1,0),IF($X28&lt;30,1,0))</formula>
    </cfRule>
    <cfRule type="expression" priority="1148" dxfId="1">
      <formula>AND(IF($Q28=3,1,0),IF($X28&lt;30,1,0))</formula>
    </cfRule>
    <cfRule type="expression" priority="1149" dxfId="0">
      <formula>AND(IF($Q28=3,1,IF($Q28=4,1,0)),IF($F28&lt;=85,1,0))</formula>
    </cfRule>
  </conditionalFormatting>
  <conditionalFormatting sqref="X28">
    <cfRule type="expression" priority="1142" dxfId="3">
      <formula>AND(IF(OR($Q28=1,$Q28=2),1,0),IF($X28&lt;=20,1,0))</formula>
    </cfRule>
    <cfRule type="expression" priority="1143" dxfId="2">
      <formula>AND(IF($Q28=2,1,0),IF($X28&lt;30,1,0))</formula>
    </cfRule>
    <cfRule type="expression" priority="1144" dxfId="1">
      <formula>AND(IF($Q28=3,1,0),IF($X28&lt;30,1,0))</formula>
    </cfRule>
    <cfRule type="expression" priority="1145" dxfId="0">
      <formula>AND(IF($Q28=3,1,IF($Q28=4,1,0)),IF($F28&lt;=85,1,0))</formula>
    </cfRule>
  </conditionalFormatting>
  <conditionalFormatting sqref="AI28">
    <cfRule type="expression" priority="1138" dxfId="3">
      <formula>AND(IF(OR($Q28=1,$Q28=2),1,0),IF($X28&lt;=20,1,0))</formula>
    </cfRule>
    <cfRule type="expression" priority="1139" dxfId="2">
      <formula>AND(IF($Q28=2,1,0),IF($X28&lt;30,1,0))</formula>
    </cfRule>
    <cfRule type="expression" priority="1140" dxfId="1">
      <formula>AND(IF($Q28=3,1,0),IF($X28&lt;30,1,0))</formula>
    </cfRule>
    <cfRule type="expression" priority="1141" dxfId="0">
      <formula>AND(IF($Q28=3,1,IF($Q28=4,1,0)),IF($F28&lt;=85,1,0))</formula>
    </cfRule>
  </conditionalFormatting>
  <conditionalFormatting sqref="AV29">
    <cfRule type="expression" priority="1136" dxfId="17">
      <formula>AV29="X"</formula>
    </cfRule>
    <cfRule type="expression" priority="1137" dxfId="16">
      <formula>AV29="후보"</formula>
    </cfRule>
  </conditionalFormatting>
  <conditionalFormatting sqref="AC29 N29">
    <cfRule type="cellIs" priority="1133" operator="greaterThan" dxfId="13">
      <formula>0.9</formula>
    </cfRule>
    <cfRule type="cellIs" priority="1134" operator="greaterThan" dxfId="12">
      <formula>0.85</formula>
    </cfRule>
  </conditionalFormatting>
  <conditionalFormatting sqref="AV30">
    <cfRule type="expression" priority="1131" dxfId="17">
      <formula>AV30="X"</formula>
    </cfRule>
    <cfRule type="expression" priority="1132" dxfId="16">
      <formula>AV30="후보"</formula>
    </cfRule>
  </conditionalFormatting>
  <conditionalFormatting sqref="AC30">
    <cfRule type="cellIs" priority="1128" operator="greaterThan" dxfId="13">
      <formula>0.9</formula>
    </cfRule>
    <cfRule type="cellIs" priority="1129" operator="greaterThan" dxfId="12">
      <formula>0.85</formula>
    </cfRule>
  </conditionalFormatting>
  <conditionalFormatting sqref="N30">
    <cfRule type="cellIs" priority="1126" operator="greaterThan" dxfId="13">
      <formula>0.9</formula>
    </cfRule>
    <cfRule type="cellIs" priority="1127" operator="greaterThan" dxfId="12">
      <formula>0.85</formula>
    </cfRule>
  </conditionalFormatting>
  <conditionalFormatting sqref="E30">
    <cfRule type="expression" priority="1122" dxfId="3">
      <formula>AND(IF(OR($Q30=1,$Q30=2),1,0),IF($X30&lt;=20,1,0))</formula>
    </cfRule>
    <cfRule type="expression" priority="1123" dxfId="2">
      <formula>AND(IF($Q30=2,1,0),IF($X30&lt;30,1,0))</formula>
    </cfRule>
    <cfRule type="expression" priority="1124" dxfId="1">
      <formula>AND(IF($Q30=3,1,0),IF($X30&lt;30,1,0))</formula>
    </cfRule>
    <cfRule type="expression" priority="1125" dxfId="0">
      <formula>AND(IF($Q30=3,1,IF($Q30=4,1,0)),IF($F30&lt;=85,1,0))</formula>
    </cfRule>
  </conditionalFormatting>
  <conditionalFormatting sqref="X30">
    <cfRule type="expression" priority="1118" dxfId="3">
      <formula>AND(IF(OR($Q30=1,$Q30=2),1,0),IF($X30&lt;=20,1,0))</formula>
    </cfRule>
    <cfRule type="expression" priority="1119" dxfId="2">
      <formula>AND(IF($Q30=2,1,0),IF($X30&lt;30,1,0))</formula>
    </cfRule>
    <cfRule type="expression" priority="1120" dxfId="1">
      <formula>AND(IF($Q30=3,1,0),IF($X30&lt;30,1,0))</formula>
    </cfRule>
    <cfRule type="expression" priority="1121" dxfId="0">
      <formula>AND(IF($Q30=3,1,IF($Q30=4,1,0)),IF($F30&lt;=85,1,0))</formula>
    </cfRule>
  </conditionalFormatting>
  <conditionalFormatting sqref="AI30">
    <cfRule type="expression" priority="1114" dxfId="3">
      <formula>AND(IF(OR($Q30=1,$Q30=2),1,0),IF($X30&lt;=20,1,0))</formula>
    </cfRule>
    <cfRule type="expression" priority="1115" dxfId="2">
      <formula>AND(IF($Q30=2,1,0),IF($X30&lt;30,1,0))</formula>
    </cfRule>
    <cfRule type="expression" priority="1116" dxfId="1">
      <formula>AND(IF($Q30=3,1,0),IF($X30&lt;30,1,0))</formula>
    </cfRule>
    <cfRule type="expression" priority="1117" dxfId="0">
      <formula>AND(IF($Q30=3,1,IF($Q30=4,1,0)),IF($F30&lt;=85,1,0))</formula>
    </cfRule>
  </conditionalFormatting>
  <conditionalFormatting sqref="AV31">
    <cfRule type="expression" priority="1112" dxfId="17">
      <formula>AV31="X"</formula>
    </cfRule>
    <cfRule type="expression" priority="1113" dxfId="16">
      <formula>AV31="후보"</formula>
    </cfRule>
  </conditionalFormatting>
  <conditionalFormatting sqref="AC31">
    <cfRule type="cellIs" priority="1109" operator="greaterThan" dxfId="13">
      <formula>0.9</formula>
    </cfRule>
    <cfRule type="cellIs" priority="1110" operator="greaterThan" dxfId="12">
      <formula>0.85</formula>
    </cfRule>
  </conditionalFormatting>
  <conditionalFormatting sqref="N31">
    <cfRule type="cellIs" priority="1107" operator="greaterThan" dxfId="13">
      <formula>0.9</formula>
    </cfRule>
    <cfRule type="cellIs" priority="1108" operator="greaterThan" dxfId="12">
      <formula>0.85</formula>
    </cfRule>
  </conditionalFormatting>
  <conditionalFormatting sqref="E31">
    <cfRule type="expression" priority="1103" dxfId="3">
      <formula>AND(IF(OR($Q31=1,$Q31=2),1,0),IF($X31&lt;=20,1,0))</formula>
    </cfRule>
    <cfRule type="expression" priority="1104" dxfId="2">
      <formula>AND(IF($Q31=2,1,0),IF($X31&lt;30,1,0))</formula>
    </cfRule>
    <cfRule type="expression" priority="1105" dxfId="1">
      <formula>AND(IF($Q31=3,1,0),IF($X31&lt;30,1,0))</formula>
    </cfRule>
    <cfRule type="expression" priority="1106" dxfId="0">
      <formula>AND(IF($Q31=3,1,IF($Q31=4,1,0)),IF($F31&lt;=85,1,0))</formula>
    </cfRule>
  </conditionalFormatting>
  <conditionalFormatting sqref="X31">
    <cfRule type="expression" priority="1099" dxfId="3">
      <formula>AND(IF(OR($Q31=1,$Q31=2),1,0),IF($X31&lt;=20,1,0))</formula>
    </cfRule>
    <cfRule type="expression" priority="1100" dxfId="2">
      <formula>AND(IF($Q31=2,1,0),IF($X31&lt;30,1,0))</formula>
    </cfRule>
    <cfRule type="expression" priority="1101" dxfId="1">
      <formula>AND(IF($Q31=3,1,0),IF($X31&lt;30,1,0))</formula>
    </cfRule>
    <cfRule type="expression" priority="1102" dxfId="0">
      <formula>AND(IF($Q31=3,1,IF($Q31=4,1,0)),IF($F31&lt;=85,1,0))</formula>
    </cfRule>
  </conditionalFormatting>
  <conditionalFormatting sqref="AI31">
    <cfRule type="expression" priority="1095" dxfId="3">
      <formula>AND(IF(OR($Q31=1,$Q31=2),1,0),IF($X31&lt;=20,1,0))</formula>
    </cfRule>
    <cfRule type="expression" priority="1096" dxfId="2">
      <formula>AND(IF($Q31=2,1,0),IF($X31&lt;30,1,0))</formula>
    </cfRule>
    <cfRule type="expression" priority="1097" dxfId="1">
      <formula>AND(IF($Q31=3,1,0),IF($X31&lt;30,1,0))</formula>
    </cfRule>
    <cfRule type="expression" priority="1098" dxfId="0">
      <formula>AND(IF($Q31=3,1,IF($Q31=4,1,0)),IF($F31&lt;=85,1,0))</formula>
    </cfRule>
  </conditionalFormatting>
  <conditionalFormatting sqref="AV32">
    <cfRule type="expression" priority="1093" dxfId="17">
      <formula>AV32="X"</formula>
    </cfRule>
    <cfRule type="expression" priority="1094" dxfId="16">
      <formula>AV32="후보"</formula>
    </cfRule>
  </conditionalFormatting>
  <conditionalFormatting sqref="AC32">
    <cfRule type="cellIs" priority="1090" operator="greaterThan" dxfId="13">
      <formula>0.9</formula>
    </cfRule>
    <cfRule type="cellIs" priority="1091" operator="greaterThan" dxfId="12">
      <formula>0.85</formula>
    </cfRule>
  </conditionalFormatting>
  <conditionalFormatting sqref="N32">
    <cfRule type="cellIs" priority="1088" operator="greaterThan" dxfId="13">
      <formula>0.9</formula>
    </cfRule>
    <cfRule type="cellIs" priority="1089" operator="greaterThan" dxfId="12">
      <formula>0.85</formula>
    </cfRule>
  </conditionalFormatting>
  <conditionalFormatting sqref="E32">
    <cfRule type="expression" priority="1084" dxfId="3">
      <formula>AND(IF(OR($Q32=1,$Q32=2),1,0),IF($X32&lt;=20,1,0))</formula>
    </cfRule>
    <cfRule type="expression" priority="1085" dxfId="2">
      <formula>AND(IF($Q32=2,1,0),IF($X32&lt;30,1,0))</formula>
    </cfRule>
    <cfRule type="expression" priority="1086" dxfId="1">
      <formula>AND(IF($Q32=3,1,0),IF($X32&lt;30,1,0))</formula>
    </cfRule>
    <cfRule type="expression" priority="1087" dxfId="0">
      <formula>AND(IF($Q32=3,1,IF($Q32=4,1,0)),IF($F32&lt;=85,1,0))</formula>
    </cfRule>
  </conditionalFormatting>
  <conditionalFormatting sqref="X32">
    <cfRule type="expression" priority="1080" dxfId="3">
      <formula>AND(IF(OR($Q32=1,$Q32=2),1,0),IF($X32&lt;=20,1,0))</formula>
    </cfRule>
    <cfRule type="expression" priority="1081" dxfId="2">
      <formula>AND(IF($Q32=2,1,0),IF($X32&lt;30,1,0))</formula>
    </cfRule>
    <cfRule type="expression" priority="1082" dxfId="1">
      <formula>AND(IF($Q32=3,1,0),IF($X32&lt;30,1,0))</formula>
    </cfRule>
    <cfRule type="expression" priority="1083" dxfId="0">
      <formula>AND(IF($Q32=3,1,IF($Q32=4,1,0)),IF($F32&lt;=85,1,0))</formula>
    </cfRule>
  </conditionalFormatting>
  <conditionalFormatting sqref="AI32">
    <cfRule type="expression" priority="1076" dxfId="3">
      <formula>AND(IF(OR($Q32=1,$Q32=2),1,0),IF($X32&lt;=20,1,0))</formula>
    </cfRule>
    <cfRule type="expression" priority="1077" dxfId="2">
      <formula>AND(IF($Q32=2,1,0),IF($X32&lt;30,1,0))</formula>
    </cfRule>
    <cfRule type="expression" priority="1078" dxfId="1">
      <formula>AND(IF($Q32=3,1,0),IF($X32&lt;30,1,0))</formula>
    </cfRule>
    <cfRule type="expression" priority="1079" dxfId="0">
      <formula>AND(IF($Q32=3,1,IF($Q32=4,1,0)),IF($F32&lt;=85,1,0))</formula>
    </cfRule>
  </conditionalFormatting>
  <conditionalFormatting sqref="AV33">
    <cfRule type="expression" priority="1074" dxfId="17">
      <formula>AV33="X"</formula>
    </cfRule>
    <cfRule type="expression" priority="1075" dxfId="16">
      <formula>AV33="후보"</formula>
    </cfRule>
  </conditionalFormatting>
  <conditionalFormatting sqref="AC33">
    <cfRule type="cellIs" priority="1071" operator="greaterThan" dxfId="13">
      <formula>0.9</formula>
    </cfRule>
    <cfRule type="cellIs" priority="1072" operator="greaterThan" dxfId="12">
      <formula>0.85</formula>
    </cfRule>
  </conditionalFormatting>
  <conditionalFormatting sqref="N33">
    <cfRule type="cellIs" priority="1069" operator="greaterThan" dxfId="13">
      <formula>0.9</formula>
    </cfRule>
    <cfRule type="cellIs" priority="1070" operator="greaterThan" dxfId="12">
      <formula>0.85</formula>
    </cfRule>
  </conditionalFormatting>
  <conditionalFormatting sqref="E33">
    <cfRule type="expression" priority="1065" dxfId="3">
      <formula>AND(IF(OR($Q33=1,$Q33=2),1,0),IF($X33&lt;=20,1,0))</formula>
    </cfRule>
    <cfRule type="expression" priority="1066" dxfId="2">
      <formula>AND(IF($Q33=2,1,0),IF($X33&lt;30,1,0))</formula>
    </cfRule>
    <cfRule type="expression" priority="1067" dxfId="1">
      <formula>AND(IF($Q33=3,1,0),IF($X33&lt;30,1,0))</formula>
    </cfRule>
    <cfRule type="expression" priority="1068" dxfId="0">
      <formula>AND(IF($Q33=3,1,IF($Q33=4,1,0)),IF($F33&lt;=85,1,0))</formula>
    </cfRule>
  </conditionalFormatting>
  <conditionalFormatting sqref="X33">
    <cfRule type="expression" priority="1061" dxfId="3">
      <formula>AND(IF(OR($Q33=1,$Q33=2),1,0),IF($X33&lt;=20,1,0))</formula>
    </cfRule>
    <cfRule type="expression" priority="1062" dxfId="2">
      <formula>AND(IF($Q33=2,1,0),IF($X33&lt;30,1,0))</formula>
    </cfRule>
    <cfRule type="expression" priority="1063" dxfId="1">
      <formula>AND(IF($Q33=3,1,0),IF($X33&lt;30,1,0))</formula>
    </cfRule>
    <cfRule type="expression" priority="1064" dxfId="0">
      <formula>AND(IF($Q33=3,1,IF($Q33=4,1,0)),IF($F33&lt;=85,1,0))</formula>
    </cfRule>
  </conditionalFormatting>
  <conditionalFormatting sqref="AI33">
    <cfRule type="expression" priority="1057" dxfId="3">
      <formula>AND(IF(OR($Q33=1,$Q33=2),1,0),IF($X33&lt;=20,1,0))</formula>
    </cfRule>
    <cfRule type="expression" priority="1058" dxfId="2">
      <formula>AND(IF($Q33=2,1,0),IF($X33&lt;30,1,0))</formula>
    </cfRule>
    <cfRule type="expression" priority="1059" dxfId="1">
      <formula>AND(IF($Q33=3,1,0),IF($X33&lt;30,1,0))</formula>
    </cfRule>
    <cfRule type="expression" priority="1060" dxfId="0">
      <formula>AND(IF($Q33=3,1,IF($Q33=4,1,0)),IF($F33&lt;=85,1,0))</formula>
    </cfRule>
  </conditionalFormatting>
  <conditionalFormatting sqref="AV34">
    <cfRule type="expression" priority="1055" dxfId="17">
      <formula>AV34="X"</formula>
    </cfRule>
    <cfRule type="expression" priority="1056" dxfId="16">
      <formula>AV34="후보"</formula>
    </cfRule>
  </conditionalFormatting>
  <conditionalFormatting sqref="AC34">
    <cfRule type="cellIs" priority="1052" operator="greaterThan" dxfId="13">
      <formula>0.9</formula>
    </cfRule>
    <cfRule type="cellIs" priority="1053" operator="greaterThan" dxfId="12">
      <formula>0.85</formula>
    </cfRule>
  </conditionalFormatting>
  <conditionalFormatting sqref="N34">
    <cfRule type="cellIs" priority="1050" operator="greaterThan" dxfId="13">
      <formula>0.9</formula>
    </cfRule>
    <cfRule type="cellIs" priority="1051" operator="greaterThan" dxfId="12">
      <formula>0.85</formula>
    </cfRule>
  </conditionalFormatting>
  <conditionalFormatting sqref="E34">
    <cfRule type="expression" priority="1046" dxfId="3">
      <formula>AND(IF(OR($Q34=1,$Q34=2),1,0),IF($X34&lt;=20,1,0))</formula>
    </cfRule>
    <cfRule type="expression" priority="1047" dxfId="2">
      <formula>AND(IF($Q34=2,1,0),IF($X34&lt;30,1,0))</formula>
    </cfRule>
    <cfRule type="expression" priority="1048" dxfId="1">
      <formula>AND(IF($Q34=3,1,0),IF($X34&lt;30,1,0))</formula>
    </cfRule>
    <cfRule type="expression" priority="1049" dxfId="0">
      <formula>AND(IF($Q34=3,1,IF($Q34=4,1,0)),IF($F34&lt;=85,1,0))</formula>
    </cfRule>
  </conditionalFormatting>
  <conditionalFormatting sqref="X34">
    <cfRule type="expression" priority="1042" dxfId="3">
      <formula>AND(IF(OR($Q34=1,$Q34=2),1,0),IF($X34&lt;=20,1,0))</formula>
    </cfRule>
    <cfRule type="expression" priority="1043" dxfId="2">
      <formula>AND(IF($Q34=2,1,0),IF($X34&lt;30,1,0))</formula>
    </cfRule>
    <cfRule type="expression" priority="1044" dxfId="1">
      <formula>AND(IF($Q34=3,1,0),IF($X34&lt;30,1,0))</formula>
    </cfRule>
    <cfRule type="expression" priority="1045" dxfId="0">
      <formula>AND(IF($Q34=3,1,IF($Q34=4,1,0)),IF($F34&lt;=85,1,0))</formula>
    </cfRule>
  </conditionalFormatting>
  <conditionalFormatting sqref="AI34">
    <cfRule type="expression" priority="1038" dxfId="3">
      <formula>AND(IF(OR($Q34=1,$Q34=2),1,0),IF($X34&lt;=20,1,0))</formula>
    </cfRule>
    <cfRule type="expression" priority="1039" dxfId="2">
      <formula>AND(IF($Q34=2,1,0),IF($X34&lt;30,1,0))</formula>
    </cfRule>
    <cfRule type="expression" priority="1040" dxfId="1">
      <formula>AND(IF($Q34=3,1,0),IF($X34&lt;30,1,0))</formula>
    </cfRule>
    <cfRule type="expression" priority="1041" dxfId="0">
      <formula>AND(IF($Q34=3,1,IF($Q34=4,1,0)),IF($F34&lt;=85,1,0))</formula>
    </cfRule>
  </conditionalFormatting>
  <conditionalFormatting sqref="AV35">
    <cfRule type="expression" priority="1036" dxfId="17">
      <formula>AV35="X"</formula>
    </cfRule>
    <cfRule type="expression" priority="1037" dxfId="16">
      <formula>AV35="후보"</formula>
    </cfRule>
  </conditionalFormatting>
  <conditionalFormatting sqref="AC35 N35">
    <cfRule type="cellIs" priority="1033" operator="greaterThan" dxfId="13">
      <formula>0.9</formula>
    </cfRule>
    <cfRule type="cellIs" priority="1034" operator="greaterThan" dxfId="12">
      <formula>0.85</formula>
    </cfRule>
  </conditionalFormatting>
  <conditionalFormatting sqref="AV36">
    <cfRule type="expression" priority="1031" dxfId="17">
      <formula>AV36="X"</formula>
    </cfRule>
    <cfRule type="expression" priority="1032" dxfId="16">
      <formula>AV36="후보"</formula>
    </cfRule>
  </conditionalFormatting>
  <conditionalFormatting sqref="AC36">
    <cfRule type="cellIs" priority="1028" operator="greaterThan" dxfId="13">
      <formula>0.9</formula>
    </cfRule>
    <cfRule type="cellIs" priority="1029" operator="greaterThan" dxfId="12">
      <formula>0.85</formula>
    </cfRule>
  </conditionalFormatting>
  <conditionalFormatting sqref="N36">
    <cfRule type="cellIs" priority="1026" operator="greaterThan" dxfId="13">
      <formula>0.9</formula>
    </cfRule>
    <cfRule type="cellIs" priority="1027" operator="greaterThan" dxfId="12">
      <formula>0.85</formula>
    </cfRule>
  </conditionalFormatting>
  <conditionalFormatting sqref="E36">
    <cfRule type="expression" priority="1022" dxfId="3">
      <formula>AND(IF(OR($Q36=1,$Q36=2),1,0),IF($X36&lt;=20,1,0))</formula>
    </cfRule>
    <cfRule type="expression" priority="1023" dxfId="2">
      <formula>AND(IF($Q36=2,1,0),IF($X36&lt;30,1,0))</formula>
    </cfRule>
    <cfRule type="expression" priority="1024" dxfId="1">
      <formula>AND(IF($Q36=3,1,0),IF($X36&lt;30,1,0))</formula>
    </cfRule>
    <cfRule type="expression" priority="1025" dxfId="0">
      <formula>AND(IF($Q36=3,1,IF($Q36=4,1,0)),IF($F36&lt;=85,1,0))</formula>
    </cfRule>
  </conditionalFormatting>
  <conditionalFormatting sqref="X36">
    <cfRule type="expression" priority="1018" dxfId="3">
      <formula>AND(IF(OR($Q36=1,$Q36=2),1,0),IF($X36&lt;=20,1,0))</formula>
    </cfRule>
    <cfRule type="expression" priority="1019" dxfId="2">
      <formula>AND(IF($Q36=2,1,0),IF($X36&lt;30,1,0))</formula>
    </cfRule>
    <cfRule type="expression" priority="1020" dxfId="1">
      <formula>AND(IF($Q36=3,1,0),IF($X36&lt;30,1,0))</formula>
    </cfRule>
    <cfRule type="expression" priority="1021" dxfId="0">
      <formula>AND(IF($Q36=3,1,IF($Q36=4,1,0)),IF($F36&lt;=85,1,0))</formula>
    </cfRule>
  </conditionalFormatting>
  <conditionalFormatting sqref="AI36">
    <cfRule type="expression" priority="1014" dxfId="3">
      <formula>AND(IF(OR($Q36=1,$Q36=2),1,0),IF($X36&lt;=20,1,0))</formula>
    </cfRule>
    <cfRule type="expression" priority="1015" dxfId="2">
      <formula>AND(IF($Q36=2,1,0),IF($X36&lt;30,1,0))</formula>
    </cfRule>
    <cfRule type="expression" priority="1016" dxfId="1">
      <formula>AND(IF($Q36=3,1,0),IF($X36&lt;30,1,0))</formula>
    </cfRule>
    <cfRule type="expression" priority="1017" dxfId="0">
      <formula>AND(IF($Q36=3,1,IF($Q36=4,1,0)),IF($F36&lt;=85,1,0))</formula>
    </cfRule>
  </conditionalFormatting>
  <conditionalFormatting sqref="AV37">
    <cfRule type="expression" priority="1012" dxfId="17">
      <formula>AV37="X"</formula>
    </cfRule>
    <cfRule type="expression" priority="1013" dxfId="16">
      <formula>AV37="후보"</formula>
    </cfRule>
  </conditionalFormatting>
  <conditionalFormatting sqref="AC37">
    <cfRule type="cellIs" priority="1009" operator="greaterThan" dxfId="13">
      <formula>0.9</formula>
    </cfRule>
    <cfRule type="cellIs" priority="1010" operator="greaterThan" dxfId="12">
      <formula>0.85</formula>
    </cfRule>
  </conditionalFormatting>
  <conditionalFormatting sqref="N37">
    <cfRule type="cellIs" priority="1007" operator="greaterThan" dxfId="13">
      <formula>0.9</formula>
    </cfRule>
    <cfRule type="cellIs" priority="1008" operator="greaterThan" dxfId="12">
      <formula>0.85</formula>
    </cfRule>
  </conditionalFormatting>
  <conditionalFormatting sqref="E37">
    <cfRule type="expression" priority="1003" dxfId="3">
      <formula>AND(IF(OR($Q37=1,$Q37=2),1,0),IF($X37&lt;=20,1,0))</formula>
    </cfRule>
    <cfRule type="expression" priority="1004" dxfId="2">
      <formula>AND(IF($Q37=2,1,0),IF($X37&lt;30,1,0))</formula>
    </cfRule>
    <cfRule type="expression" priority="1005" dxfId="1">
      <formula>AND(IF($Q37=3,1,0),IF($X37&lt;30,1,0))</formula>
    </cfRule>
    <cfRule type="expression" priority="1006" dxfId="0">
      <formula>AND(IF($Q37=3,1,IF($Q37=4,1,0)),IF($F37&lt;=85,1,0))</formula>
    </cfRule>
  </conditionalFormatting>
  <conditionalFormatting sqref="X37">
    <cfRule type="expression" priority="999" dxfId="3">
      <formula>AND(IF(OR($Q37=1,$Q37=2),1,0),IF($X37&lt;=20,1,0))</formula>
    </cfRule>
    <cfRule type="expression" priority="1000" dxfId="2">
      <formula>AND(IF($Q37=2,1,0),IF($X37&lt;30,1,0))</formula>
    </cfRule>
    <cfRule type="expression" priority="1001" dxfId="1">
      <formula>AND(IF($Q37=3,1,0),IF($X37&lt;30,1,0))</formula>
    </cfRule>
    <cfRule type="expression" priority="1002" dxfId="0">
      <formula>AND(IF($Q37=3,1,IF($Q37=4,1,0)),IF($F37&lt;=85,1,0))</formula>
    </cfRule>
  </conditionalFormatting>
  <conditionalFormatting sqref="AI37">
    <cfRule type="expression" priority="995" dxfId="3">
      <formula>AND(IF(OR($Q37=1,$Q37=2),1,0),IF($X37&lt;=20,1,0))</formula>
    </cfRule>
    <cfRule type="expression" priority="996" dxfId="2">
      <formula>AND(IF($Q37=2,1,0),IF($X37&lt;30,1,0))</formula>
    </cfRule>
    <cfRule type="expression" priority="997" dxfId="1">
      <formula>AND(IF($Q37=3,1,0),IF($X37&lt;30,1,0))</formula>
    </cfRule>
    <cfRule type="expression" priority="998" dxfId="0">
      <formula>AND(IF($Q37=3,1,IF($Q37=4,1,0)),IF($F37&lt;=85,1,0))</formula>
    </cfRule>
  </conditionalFormatting>
  <conditionalFormatting sqref="AV38">
    <cfRule type="expression" priority="993" dxfId="17">
      <formula>AV38="X"</formula>
    </cfRule>
    <cfRule type="expression" priority="994" dxfId="16">
      <formula>AV38="후보"</formula>
    </cfRule>
  </conditionalFormatting>
  <conditionalFormatting sqref="AC38">
    <cfRule type="cellIs" priority="990" operator="greaterThan" dxfId="13">
      <formula>0.9</formula>
    </cfRule>
    <cfRule type="cellIs" priority="991" operator="greaterThan" dxfId="12">
      <formula>0.85</formula>
    </cfRule>
  </conditionalFormatting>
  <conditionalFormatting sqref="N38">
    <cfRule type="cellIs" priority="988" operator="greaterThan" dxfId="13">
      <formula>0.9</formula>
    </cfRule>
    <cfRule type="cellIs" priority="989" operator="greaterThan" dxfId="12">
      <formula>0.85</formula>
    </cfRule>
  </conditionalFormatting>
  <conditionalFormatting sqref="E38">
    <cfRule type="expression" priority="984" dxfId="3">
      <formula>AND(IF(OR($Q38=1,$Q38=2),1,0),IF($X38&lt;=20,1,0))</formula>
    </cfRule>
    <cfRule type="expression" priority="985" dxfId="2">
      <formula>AND(IF($Q38=2,1,0),IF($X38&lt;30,1,0))</formula>
    </cfRule>
    <cfRule type="expression" priority="986" dxfId="1">
      <formula>AND(IF($Q38=3,1,0),IF($X38&lt;30,1,0))</formula>
    </cfRule>
    <cfRule type="expression" priority="987" dxfId="0">
      <formula>AND(IF($Q38=3,1,IF($Q38=4,1,0)),IF($F38&lt;=85,1,0))</formula>
    </cfRule>
  </conditionalFormatting>
  <conditionalFormatting sqref="X38">
    <cfRule type="expression" priority="980" dxfId="3">
      <formula>AND(IF(OR($Q38=1,$Q38=2),1,0),IF($X38&lt;=20,1,0))</formula>
    </cfRule>
    <cfRule type="expression" priority="981" dxfId="2">
      <formula>AND(IF($Q38=2,1,0),IF($X38&lt;30,1,0))</formula>
    </cfRule>
    <cfRule type="expression" priority="982" dxfId="1">
      <formula>AND(IF($Q38=3,1,0),IF($X38&lt;30,1,0))</formula>
    </cfRule>
    <cfRule type="expression" priority="983" dxfId="0">
      <formula>AND(IF($Q38=3,1,IF($Q38=4,1,0)),IF($F38&lt;=85,1,0))</formula>
    </cfRule>
  </conditionalFormatting>
  <conditionalFormatting sqref="AI38">
    <cfRule type="expression" priority="976" dxfId="3">
      <formula>AND(IF(OR($Q38=1,$Q38=2),1,0),IF($X38&lt;=20,1,0))</formula>
    </cfRule>
    <cfRule type="expression" priority="977" dxfId="2">
      <formula>AND(IF($Q38=2,1,0),IF($X38&lt;30,1,0))</formula>
    </cfRule>
    <cfRule type="expression" priority="978" dxfId="1">
      <formula>AND(IF($Q38=3,1,0),IF($X38&lt;30,1,0))</formula>
    </cfRule>
    <cfRule type="expression" priority="979" dxfId="0">
      <formula>AND(IF($Q38=3,1,IF($Q38=4,1,0)),IF($F38&lt;=85,1,0))</formula>
    </cfRule>
  </conditionalFormatting>
  <conditionalFormatting sqref="AV39">
    <cfRule type="expression" priority="974" dxfId="17">
      <formula>AV39="X"</formula>
    </cfRule>
    <cfRule type="expression" priority="975" dxfId="16">
      <formula>AV39="후보"</formula>
    </cfRule>
  </conditionalFormatting>
  <conditionalFormatting sqref="AC39">
    <cfRule type="cellIs" priority="971" operator="greaterThan" dxfId="13">
      <formula>0.9</formula>
    </cfRule>
    <cfRule type="cellIs" priority="972" operator="greaterThan" dxfId="12">
      <formula>0.85</formula>
    </cfRule>
  </conditionalFormatting>
  <conditionalFormatting sqref="N39">
    <cfRule type="cellIs" priority="969" operator="greaterThan" dxfId="13">
      <formula>0.9</formula>
    </cfRule>
    <cfRule type="cellIs" priority="970" operator="greaterThan" dxfId="12">
      <formula>0.85</formula>
    </cfRule>
  </conditionalFormatting>
  <conditionalFormatting sqref="E39">
    <cfRule type="expression" priority="965" dxfId="3">
      <formula>AND(IF(OR($Q39=1,$Q39=2),1,0),IF($X39&lt;=20,1,0))</formula>
    </cfRule>
    <cfRule type="expression" priority="966" dxfId="2">
      <formula>AND(IF($Q39=2,1,0),IF($X39&lt;30,1,0))</formula>
    </cfRule>
    <cfRule type="expression" priority="967" dxfId="1">
      <formula>AND(IF($Q39=3,1,0),IF($X39&lt;30,1,0))</formula>
    </cfRule>
    <cfRule type="expression" priority="968" dxfId="0">
      <formula>AND(IF($Q39=3,1,IF($Q39=4,1,0)),IF($F39&lt;=85,1,0))</formula>
    </cfRule>
  </conditionalFormatting>
  <conditionalFormatting sqref="X39">
    <cfRule type="expression" priority="961" dxfId="3">
      <formula>AND(IF(OR($Q39=1,$Q39=2),1,0),IF($X39&lt;=20,1,0))</formula>
    </cfRule>
    <cfRule type="expression" priority="962" dxfId="2">
      <formula>AND(IF($Q39=2,1,0),IF($X39&lt;30,1,0))</formula>
    </cfRule>
    <cfRule type="expression" priority="963" dxfId="1">
      <formula>AND(IF($Q39=3,1,0),IF($X39&lt;30,1,0))</formula>
    </cfRule>
    <cfRule type="expression" priority="964" dxfId="0">
      <formula>AND(IF($Q39=3,1,IF($Q39=4,1,0)),IF($F39&lt;=85,1,0))</formula>
    </cfRule>
  </conditionalFormatting>
  <conditionalFormatting sqref="AI39">
    <cfRule type="expression" priority="957" dxfId="3">
      <formula>AND(IF(OR($Q39=1,$Q39=2),1,0),IF($X39&lt;=20,1,0))</formula>
    </cfRule>
    <cfRule type="expression" priority="958" dxfId="2">
      <formula>AND(IF($Q39=2,1,0),IF($X39&lt;30,1,0))</formula>
    </cfRule>
    <cfRule type="expression" priority="959" dxfId="1">
      <formula>AND(IF($Q39=3,1,0),IF($X39&lt;30,1,0))</formula>
    </cfRule>
    <cfRule type="expression" priority="960" dxfId="0">
      <formula>AND(IF($Q39=3,1,IF($Q39=4,1,0)),IF($F39&lt;=85,1,0))</formula>
    </cfRule>
  </conditionalFormatting>
  <conditionalFormatting sqref="AV40">
    <cfRule type="expression" priority="955" dxfId="17">
      <formula>AV40="X"</formula>
    </cfRule>
    <cfRule type="expression" priority="956" dxfId="16">
      <formula>AV40="후보"</formula>
    </cfRule>
  </conditionalFormatting>
  <conditionalFormatting sqref="AC40">
    <cfRule type="cellIs" priority="952" operator="greaterThan" dxfId="13">
      <formula>0.9</formula>
    </cfRule>
    <cfRule type="cellIs" priority="953" operator="greaterThan" dxfId="12">
      <formula>0.85</formula>
    </cfRule>
  </conditionalFormatting>
  <conditionalFormatting sqref="N40">
    <cfRule type="cellIs" priority="950" operator="greaterThan" dxfId="13">
      <formula>0.9</formula>
    </cfRule>
    <cfRule type="cellIs" priority="951" operator="greaterThan" dxfId="12">
      <formula>0.85</formula>
    </cfRule>
  </conditionalFormatting>
  <conditionalFormatting sqref="E40">
    <cfRule type="expression" priority="946" dxfId="3">
      <formula>AND(IF(OR($Q40=1,$Q40=2),1,0),IF($X40&lt;=20,1,0))</formula>
    </cfRule>
    <cfRule type="expression" priority="947" dxfId="2">
      <formula>AND(IF($Q40=2,1,0),IF($X40&lt;30,1,0))</formula>
    </cfRule>
    <cfRule type="expression" priority="948" dxfId="1">
      <formula>AND(IF($Q40=3,1,0),IF($X40&lt;30,1,0))</formula>
    </cfRule>
    <cfRule type="expression" priority="949" dxfId="0">
      <formula>AND(IF($Q40=3,1,IF($Q40=4,1,0)),IF($F40&lt;=85,1,0))</formula>
    </cfRule>
  </conditionalFormatting>
  <conditionalFormatting sqref="X40">
    <cfRule type="expression" priority="942" dxfId="3">
      <formula>AND(IF(OR($Q40=1,$Q40=2),1,0),IF($X40&lt;=20,1,0))</formula>
    </cfRule>
    <cfRule type="expression" priority="943" dxfId="2">
      <formula>AND(IF($Q40=2,1,0),IF($X40&lt;30,1,0))</formula>
    </cfRule>
    <cfRule type="expression" priority="944" dxfId="1">
      <formula>AND(IF($Q40=3,1,0),IF($X40&lt;30,1,0))</formula>
    </cfRule>
    <cfRule type="expression" priority="945" dxfId="0">
      <formula>AND(IF($Q40=3,1,IF($Q40=4,1,0)),IF($F40&lt;=85,1,0))</formula>
    </cfRule>
  </conditionalFormatting>
  <conditionalFormatting sqref="AI40">
    <cfRule type="expression" priority="938" dxfId="3">
      <formula>AND(IF(OR($Q40=1,$Q40=2),1,0),IF($X40&lt;=20,1,0))</formula>
    </cfRule>
    <cfRule type="expression" priority="939" dxfId="2">
      <formula>AND(IF($Q40=2,1,0),IF($X40&lt;30,1,0))</formula>
    </cfRule>
    <cfRule type="expression" priority="940" dxfId="1">
      <formula>AND(IF($Q40=3,1,0),IF($X40&lt;30,1,0))</formula>
    </cfRule>
    <cfRule type="expression" priority="941" dxfId="0">
      <formula>AND(IF($Q40=3,1,IF($Q40=4,1,0)),IF($F40&lt;=85,1,0))</formula>
    </cfRule>
  </conditionalFormatting>
  <conditionalFormatting sqref="AV41">
    <cfRule type="expression" priority="936" dxfId="17">
      <formula>AV41="X"</formula>
    </cfRule>
    <cfRule type="expression" priority="937" dxfId="16">
      <formula>AV41="후보"</formula>
    </cfRule>
  </conditionalFormatting>
  <conditionalFormatting sqref="AC41">
    <cfRule type="cellIs" priority="933" operator="greaterThan" dxfId="13">
      <formula>0.9</formula>
    </cfRule>
    <cfRule type="cellIs" priority="934" operator="greaterThan" dxfId="12">
      <formula>0.85</formula>
    </cfRule>
  </conditionalFormatting>
  <conditionalFormatting sqref="N41">
    <cfRule type="cellIs" priority="931" operator="greaterThan" dxfId="13">
      <formula>0.9</formula>
    </cfRule>
    <cfRule type="cellIs" priority="932" operator="greaterThan" dxfId="12">
      <formula>0.85</formula>
    </cfRule>
  </conditionalFormatting>
  <conditionalFormatting sqref="E41">
    <cfRule type="expression" priority="927" dxfId="3">
      <formula>AND(IF(OR($Q41=1,$Q41=2),1,0),IF($X41&lt;=20,1,0))</formula>
    </cfRule>
    <cfRule type="expression" priority="928" dxfId="2">
      <formula>AND(IF($Q41=2,1,0),IF($X41&lt;30,1,0))</formula>
    </cfRule>
    <cfRule type="expression" priority="929" dxfId="1">
      <formula>AND(IF($Q41=3,1,0),IF($X41&lt;30,1,0))</formula>
    </cfRule>
    <cfRule type="expression" priority="930" dxfId="0">
      <formula>AND(IF($Q41=3,1,IF($Q41=4,1,0)),IF($F41&lt;=85,1,0))</formula>
    </cfRule>
  </conditionalFormatting>
  <conditionalFormatting sqref="X41">
    <cfRule type="expression" priority="923" dxfId="3">
      <formula>AND(IF(OR($Q41=1,$Q41=2),1,0),IF($X41&lt;=20,1,0))</formula>
    </cfRule>
    <cfRule type="expression" priority="924" dxfId="2">
      <formula>AND(IF($Q41=2,1,0),IF($X41&lt;30,1,0))</formula>
    </cfRule>
    <cfRule type="expression" priority="925" dxfId="1">
      <formula>AND(IF($Q41=3,1,0),IF($X41&lt;30,1,0))</formula>
    </cfRule>
    <cfRule type="expression" priority="926" dxfId="0">
      <formula>AND(IF($Q41=3,1,IF($Q41=4,1,0)),IF($F41&lt;=85,1,0))</formula>
    </cfRule>
  </conditionalFormatting>
  <conditionalFormatting sqref="AI41">
    <cfRule type="expression" priority="919" dxfId="3">
      <formula>AND(IF(OR($Q41=1,$Q41=2),1,0),IF($X41&lt;=20,1,0))</formula>
    </cfRule>
    <cfRule type="expression" priority="920" dxfId="2">
      <formula>AND(IF($Q41=2,1,0),IF($X41&lt;30,1,0))</formula>
    </cfRule>
    <cfRule type="expression" priority="921" dxfId="1">
      <formula>AND(IF($Q41=3,1,0),IF($X41&lt;30,1,0))</formula>
    </cfRule>
    <cfRule type="expression" priority="922" dxfId="0">
      <formula>AND(IF($Q41=3,1,IF($Q41=4,1,0)),IF($F41&lt;=85,1,0))</formula>
    </cfRule>
  </conditionalFormatting>
  <conditionalFormatting sqref="AV42">
    <cfRule type="expression" priority="917" dxfId="17">
      <formula>AV42="X"</formula>
    </cfRule>
    <cfRule type="expression" priority="918" dxfId="16">
      <formula>AV42="후보"</formula>
    </cfRule>
  </conditionalFormatting>
  <conditionalFormatting sqref="AC42">
    <cfRule type="cellIs" priority="914" operator="greaterThan" dxfId="13">
      <formula>0.9</formula>
    </cfRule>
    <cfRule type="cellIs" priority="915" operator="greaterThan" dxfId="12">
      <formula>0.85</formula>
    </cfRule>
  </conditionalFormatting>
  <conditionalFormatting sqref="N42">
    <cfRule type="cellIs" priority="912" operator="greaterThan" dxfId="13">
      <formula>0.9</formula>
    </cfRule>
    <cfRule type="cellIs" priority="913" operator="greaterThan" dxfId="12">
      <formula>0.85</formula>
    </cfRule>
  </conditionalFormatting>
  <conditionalFormatting sqref="E42">
    <cfRule type="expression" priority="908" dxfId="3">
      <formula>AND(IF(OR($Q42=1,$Q42=2),1,0),IF($X42&lt;=20,1,0))</formula>
    </cfRule>
    <cfRule type="expression" priority="909" dxfId="2">
      <formula>AND(IF($Q42=2,1,0),IF($X42&lt;30,1,0))</formula>
    </cfRule>
    <cfRule type="expression" priority="910" dxfId="1">
      <formula>AND(IF($Q42=3,1,0),IF($X42&lt;30,1,0))</formula>
    </cfRule>
    <cfRule type="expression" priority="911" dxfId="0">
      <formula>AND(IF($Q42=3,1,IF($Q42=4,1,0)),IF($F42&lt;=85,1,0))</formula>
    </cfRule>
  </conditionalFormatting>
  <conditionalFormatting sqref="X42">
    <cfRule type="expression" priority="904" dxfId="3">
      <formula>AND(IF(OR($Q42=1,$Q42=2),1,0),IF($X42&lt;=20,1,0))</formula>
    </cfRule>
    <cfRule type="expression" priority="905" dxfId="2">
      <formula>AND(IF($Q42=2,1,0),IF($X42&lt;30,1,0))</formula>
    </cfRule>
    <cfRule type="expression" priority="906" dxfId="1">
      <formula>AND(IF($Q42=3,1,0),IF($X42&lt;30,1,0))</formula>
    </cfRule>
    <cfRule type="expression" priority="907" dxfId="0">
      <formula>AND(IF($Q42=3,1,IF($Q42=4,1,0)),IF($F42&lt;=85,1,0))</formula>
    </cfRule>
  </conditionalFormatting>
  <conditionalFormatting sqref="AI42">
    <cfRule type="expression" priority="900" dxfId="3">
      <formula>AND(IF(OR($Q42=1,$Q42=2),1,0),IF($X42&lt;=20,1,0))</formula>
    </cfRule>
    <cfRule type="expression" priority="901" dxfId="2">
      <formula>AND(IF($Q42=2,1,0),IF($X42&lt;30,1,0))</formula>
    </cfRule>
    <cfRule type="expression" priority="902" dxfId="1">
      <formula>AND(IF($Q42=3,1,0),IF($X42&lt;30,1,0))</formula>
    </cfRule>
    <cfRule type="expression" priority="903" dxfId="0">
      <formula>AND(IF($Q42=3,1,IF($Q42=4,1,0)),IF($F42&lt;=85,1,0))</formula>
    </cfRule>
  </conditionalFormatting>
  <conditionalFormatting sqref="AV43">
    <cfRule type="expression" priority="898" dxfId="17">
      <formula>AV43="X"</formula>
    </cfRule>
    <cfRule type="expression" priority="899" dxfId="16">
      <formula>AV43="후보"</formula>
    </cfRule>
  </conditionalFormatting>
  <conditionalFormatting sqref="AC43 N43">
    <cfRule type="cellIs" priority="895" operator="greaterThan" dxfId="13">
      <formula>0.9</formula>
    </cfRule>
    <cfRule type="cellIs" priority="896" operator="greaterThan" dxfId="12">
      <formula>0.85</formula>
    </cfRule>
  </conditionalFormatting>
  <conditionalFormatting sqref="AV44">
    <cfRule type="expression" priority="893" dxfId="17">
      <formula>AV44="X"</formula>
    </cfRule>
    <cfRule type="expression" priority="894" dxfId="16">
      <formula>AV44="후보"</formula>
    </cfRule>
  </conditionalFormatting>
  <conditionalFormatting sqref="AC44">
    <cfRule type="cellIs" priority="890" operator="greaterThan" dxfId="13">
      <formula>0.9</formula>
    </cfRule>
    <cfRule type="cellIs" priority="891" operator="greaterThan" dxfId="12">
      <formula>0.85</formula>
    </cfRule>
  </conditionalFormatting>
  <conditionalFormatting sqref="N44">
    <cfRule type="cellIs" priority="888" operator="greaterThan" dxfId="13">
      <formula>0.9</formula>
    </cfRule>
    <cfRule type="cellIs" priority="889" operator="greaterThan" dxfId="12">
      <formula>0.85</formula>
    </cfRule>
  </conditionalFormatting>
  <conditionalFormatting sqref="E44">
    <cfRule type="expression" priority="884" dxfId="3">
      <formula>AND(IF(OR($Q44=1,$Q44=2),1,0),IF($X44&lt;=20,1,0))</formula>
    </cfRule>
    <cfRule type="expression" priority="885" dxfId="2">
      <formula>AND(IF($Q44=2,1,0),IF($X44&lt;30,1,0))</formula>
    </cfRule>
    <cfRule type="expression" priority="886" dxfId="1">
      <formula>AND(IF($Q44=3,1,0),IF($X44&lt;30,1,0))</formula>
    </cfRule>
    <cfRule type="expression" priority="887" dxfId="0">
      <formula>AND(IF($Q44=3,1,IF($Q44=4,1,0)),IF($F44&lt;=85,1,0))</formula>
    </cfRule>
  </conditionalFormatting>
  <conditionalFormatting sqref="X44">
    <cfRule type="expression" priority="880" dxfId="3">
      <formula>AND(IF(OR($Q44=1,$Q44=2),1,0),IF($X44&lt;=20,1,0))</formula>
    </cfRule>
    <cfRule type="expression" priority="881" dxfId="2">
      <formula>AND(IF($Q44=2,1,0),IF($X44&lt;30,1,0))</formula>
    </cfRule>
    <cfRule type="expression" priority="882" dxfId="1">
      <formula>AND(IF($Q44=3,1,0),IF($X44&lt;30,1,0))</formula>
    </cfRule>
    <cfRule type="expression" priority="883" dxfId="0">
      <formula>AND(IF($Q44=3,1,IF($Q44=4,1,0)),IF($F44&lt;=85,1,0))</formula>
    </cfRule>
  </conditionalFormatting>
  <conditionalFormatting sqref="AI44">
    <cfRule type="expression" priority="876" dxfId="3">
      <formula>AND(IF(OR($Q44=1,$Q44=2),1,0),IF($X44&lt;=20,1,0))</formula>
    </cfRule>
    <cfRule type="expression" priority="877" dxfId="2">
      <formula>AND(IF($Q44=2,1,0),IF($X44&lt;30,1,0))</formula>
    </cfRule>
    <cfRule type="expression" priority="878" dxfId="1">
      <formula>AND(IF($Q44=3,1,0),IF($X44&lt;30,1,0))</formula>
    </cfRule>
    <cfRule type="expression" priority="879" dxfId="0">
      <formula>AND(IF($Q44=3,1,IF($Q44=4,1,0)),IF($F44&lt;=85,1,0))</formula>
    </cfRule>
  </conditionalFormatting>
  <conditionalFormatting sqref="AV45">
    <cfRule type="expression" priority="874" dxfId="17">
      <formula>AV45="X"</formula>
    </cfRule>
    <cfRule type="expression" priority="875" dxfId="16">
      <formula>AV45="후보"</formula>
    </cfRule>
  </conditionalFormatting>
  <conditionalFormatting sqref="AC45">
    <cfRule type="cellIs" priority="871" operator="greaterThan" dxfId="13">
      <formula>0.9</formula>
    </cfRule>
    <cfRule type="cellIs" priority="872" operator="greaterThan" dxfId="12">
      <formula>0.85</formula>
    </cfRule>
  </conditionalFormatting>
  <conditionalFormatting sqref="N45">
    <cfRule type="cellIs" priority="869" operator="greaterThan" dxfId="13">
      <formula>0.9</formula>
    </cfRule>
    <cfRule type="cellIs" priority="870" operator="greaterThan" dxfId="12">
      <formula>0.85</formula>
    </cfRule>
  </conditionalFormatting>
  <conditionalFormatting sqref="E45">
    <cfRule type="expression" priority="865" dxfId="3">
      <formula>AND(IF(OR($Q45=1,$Q45=2),1,0),IF($X45&lt;=20,1,0))</formula>
    </cfRule>
    <cfRule type="expression" priority="866" dxfId="2">
      <formula>AND(IF($Q45=2,1,0),IF($X45&lt;30,1,0))</formula>
    </cfRule>
    <cfRule type="expression" priority="867" dxfId="1">
      <formula>AND(IF($Q45=3,1,0),IF($X45&lt;30,1,0))</formula>
    </cfRule>
    <cfRule type="expression" priority="868" dxfId="0">
      <formula>AND(IF($Q45=3,1,IF($Q45=4,1,0)),IF($F45&lt;=85,1,0))</formula>
    </cfRule>
  </conditionalFormatting>
  <conditionalFormatting sqref="X45">
    <cfRule type="expression" priority="861" dxfId="3">
      <formula>AND(IF(OR($Q45=1,$Q45=2),1,0),IF($X45&lt;=20,1,0))</formula>
    </cfRule>
    <cfRule type="expression" priority="862" dxfId="2">
      <formula>AND(IF($Q45=2,1,0),IF($X45&lt;30,1,0))</formula>
    </cfRule>
    <cfRule type="expression" priority="863" dxfId="1">
      <formula>AND(IF($Q45=3,1,0),IF($X45&lt;30,1,0))</formula>
    </cfRule>
    <cfRule type="expression" priority="864" dxfId="0">
      <formula>AND(IF($Q45=3,1,IF($Q45=4,1,0)),IF($F45&lt;=85,1,0))</formula>
    </cfRule>
  </conditionalFormatting>
  <conditionalFormatting sqref="AI45">
    <cfRule type="expression" priority="857" dxfId="3">
      <formula>AND(IF(OR($Q45=1,$Q45=2),1,0),IF($X45&lt;=20,1,0))</formula>
    </cfRule>
    <cfRule type="expression" priority="858" dxfId="2">
      <formula>AND(IF($Q45=2,1,0),IF($X45&lt;30,1,0))</formula>
    </cfRule>
    <cfRule type="expression" priority="859" dxfId="1">
      <formula>AND(IF($Q45=3,1,0),IF($X45&lt;30,1,0))</formula>
    </cfRule>
    <cfRule type="expression" priority="860" dxfId="0">
      <formula>AND(IF($Q45=3,1,IF($Q45=4,1,0)),IF($F45&lt;=85,1,0))</formula>
    </cfRule>
  </conditionalFormatting>
  <conditionalFormatting sqref="AV46">
    <cfRule type="expression" priority="855" dxfId="17">
      <formula>AV46="X"</formula>
    </cfRule>
    <cfRule type="expression" priority="856" dxfId="16">
      <formula>AV46="후보"</formula>
    </cfRule>
  </conditionalFormatting>
  <conditionalFormatting sqref="AC46 N46">
    <cfRule type="cellIs" priority="852" operator="greaterThan" dxfId="13">
      <formula>0.9</formula>
    </cfRule>
    <cfRule type="cellIs" priority="853" operator="greaterThan" dxfId="12">
      <formula>0.85</formula>
    </cfRule>
  </conditionalFormatting>
  <conditionalFormatting sqref="AV47">
    <cfRule type="expression" priority="850" dxfId="17">
      <formula>AV47="X"</formula>
    </cfRule>
    <cfRule type="expression" priority="851" dxfId="16">
      <formula>AV47="후보"</formula>
    </cfRule>
  </conditionalFormatting>
  <conditionalFormatting sqref="AC47">
    <cfRule type="cellIs" priority="847" operator="greaterThan" dxfId="13">
      <formula>0.9</formula>
    </cfRule>
    <cfRule type="cellIs" priority="848" operator="greaterThan" dxfId="12">
      <formula>0.85</formula>
    </cfRule>
  </conditionalFormatting>
  <conditionalFormatting sqref="N47">
    <cfRule type="cellIs" priority="845" operator="greaterThan" dxfId="13">
      <formula>0.9</formula>
    </cfRule>
    <cfRule type="cellIs" priority="846" operator="greaterThan" dxfId="12">
      <formula>0.85</formula>
    </cfRule>
  </conditionalFormatting>
  <conditionalFormatting sqref="E47">
    <cfRule type="expression" priority="841" dxfId="3">
      <formula>AND(IF(OR($Q47=1,$Q47=2),1,0),IF($X47&lt;=20,1,0))</formula>
    </cfRule>
    <cfRule type="expression" priority="842" dxfId="2">
      <formula>AND(IF($Q47=2,1,0),IF($X47&lt;30,1,0))</formula>
    </cfRule>
    <cfRule type="expression" priority="843" dxfId="1">
      <formula>AND(IF($Q47=3,1,0),IF($X47&lt;30,1,0))</formula>
    </cfRule>
    <cfRule type="expression" priority="844" dxfId="0">
      <formula>AND(IF($Q47=3,1,IF($Q47=4,1,0)),IF($F47&lt;=85,1,0))</formula>
    </cfRule>
  </conditionalFormatting>
  <conditionalFormatting sqref="X47">
    <cfRule type="expression" priority="837" dxfId="3">
      <formula>AND(IF(OR($Q47=1,$Q47=2),1,0),IF($X47&lt;=20,1,0))</formula>
    </cfRule>
    <cfRule type="expression" priority="838" dxfId="2">
      <formula>AND(IF($Q47=2,1,0),IF($X47&lt;30,1,0))</formula>
    </cfRule>
    <cfRule type="expression" priority="839" dxfId="1">
      <formula>AND(IF($Q47=3,1,0),IF($X47&lt;30,1,0))</formula>
    </cfRule>
    <cfRule type="expression" priority="840" dxfId="0">
      <formula>AND(IF($Q47=3,1,IF($Q47=4,1,0)),IF($F47&lt;=85,1,0))</formula>
    </cfRule>
  </conditionalFormatting>
  <conditionalFormatting sqref="AI47">
    <cfRule type="expression" priority="833" dxfId="3">
      <formula>AND(IF(OR($Q47=1,$Q47=2),1,0),IF($X47&lt;=20,1,0))</formula>
    </cfRule>
    <cfRule type="expression" priority="834" dxfId="2">
      <formula>AND(IF($Q47=2,1,0),IF($X47&lt;30,1,0))</formula>
    </cfRule>
    <cfRule type="expression" priority="835" dxfId="1">
      <formula>AND(IF($Q47=3,1,0),IF($X47&lt;30,1,0))</formula>
    </cfRule>
    <cfRule type="expression" priority="836" dxfId="0">
      <formula>AND(IF($Q47=3,1,IF($Q47=4,1,0)),IF($F47&lt;=85,1,0))</formula>
    </cfRule>
  </conditionalFormatting>
  <conditionalFormatting sqref="AV48">
    <cfRule type="expression" priority="831" dxfId="17">
      <formula>AV48="X"</formula>
    </cfRule>
    <cfRule type="expression" priority="832" dxfId="16">
      <formula>AV48="후보"</formula>
    </cfRule>
  </conditionalFormatting>
  <conditionalFormatting sqref="AC48">
    <cfRule type="cellIs" priority="828" operator="greaterThan" dxfId="13">
      <formula>0.9</formula>
    </cfRule>
    <cfRule type="cellIs" priority="829" operator="greaterThan" dxfId="12">
      <formula>0.85</formula>
    </cfRule>
  </conditionalFormatting>
  <conditionalFormatting sqref="N48">
    <cfRule type="cellIs" priority="826" operator="greaterThan" dxfId="13">
      <formula>0.9</formula>
    </cfRule>
    <cfRule type="cellIs" priority="827" operator="greaterThan" dxfId="12">
      <formula>0.85</formula>
    </cfRule>
  </conditionalFormatting>
  <conditionalFormatting sqref="E48">
    <cfRule type="expression" priority="822" dxfId="3">
      <formula>AND(IF(OR($Q48=1,$Q48=2),1,0),IF($X48&lt;=20,1,0))</formula>
    </cfRule>
    <cfRule type="expression" priority="823" dxfId="2">
      <formula>AND(IF($Q48=2,1,0),IF($X48&lt;30,1,0))</formula>
    </cfRule>
    <cfRule type="expression" priority="824" dxfId="1">
      <formula>AND(IF($Q48=3,1,0),IF($X48&lt;30,1,0))</formula>
    </cfRule>
    <cfRule type="expression" priority="825" dxfId="0">
      <formula>AND(IF($Q48=3,1,IF($Q48=4,1,0)),IF($F48&lt;=85,1,0))</formula>
    </cfRule>
  </conditionalFormatting>
  <conditionalFormatting sqref="X48">
    <cfRule type="expression" priority="818" dxfId="3">
      <formula>AND(IF(OR($Q48=1,$Q48=2),1,0),IF($X48&lt;=20,1,0))</formula>
    </cfRule>
    <cfRule type="expression" priority="819" dxfId="2">
      <formula>AND(IF($Q48=2,1,0),IF($X48&lt;30,1,0))</formula>
    </cfRule>
    <cfRule type="expression" priority="820" dxfId="1">
      <formula>AND(IF($Q48=3,1,0),IF($X48&lt;30,1,0))</formula>
    </cfRule>
    <cfRule type="expression" priority="821" dxfId="0">
      <formula>AND(IF($Q48=3,1,IF($Q48=4,1,0)),IF($F48&lt;=85,1,0))</formula>
    </cfRule>
  </conditionalFormatting>
  <conditionalFormatting sqref="AI48">
    <cfRule type="expression" priority="814" dxfId="3">
      <formula>AND(IF(OR($Q48=1,$Q48=2),1,0),IF($X48&lt;=20,1,0))</formula>
    </cfRule>
    <cfRule type="expression" priority="815" dxfId="2">
      <formula>AND(IF($Q48=2,1,0),IF($X48&lt;30,1,0))</formula>
    </cfRule>
    <cfRule type="expression" priority="816" dxfId="1">
      <formula>AND(IF($Q48=3,1,0),IF($X48&lt;30,1,0))</formula>
    </cfRule>
    <cfRule type="expression" priority="817" dxfId="0">
      <formula>AND(IF($Q48=3,1,IF($Q48=4,1,0)),IF($F48&lt;=85,1,0))</formula>
    </cfRule>
  </conditionalFormatting>
  <conditionalFormatting sqref="AV49">
    <cfRule type="expression" priority="812" dxfId="17">
      <formula>AV49="X"</formula>
    </cfRule>
    <cfRule type="expression" priority="813" dxfId="16">
      <formula>AV49="후보"</formula>
    </cfRule>
  </conditionalFormatting>
  <conditionalFormatting sqref="AC49">
    <cfRule type="cellIs" priority="809" operator="greaterThan" dxfId="13">
      <formula>0.9</formula>
    </cfRule>
    <cfRule type="cellIs" priority="810" operator="greaterThan" dxfId="12">
      <formula>0.85</formula>
    </cfRule>
  </conditionalFormatting>
  <conditionalFormatting sqref="N49">
    <cfRule type="cellIs" priority="807" operator="greaterThan" dxfId="13">
      <formula>0.9</formula>
    </cfRule>
    <cfRule type="cellIs" priority="808" operator="greaterThan" dxfId="12">
      <formula>0.85</formula>
    </cfRule>
  </conditionalFormatting>
  <conditionalFormatting sqref="E49">
    <cfRule type="expression" priority="803" dxfId="3">
      <formula>AND(IF(OR($Q49=1,$Q49=2),1,0),IF($X49&lt;=20,1,0))</formula>
    </cfRule>
    <cfRule type="expression" priority="804" dxfId="2">
      <formula>AND(IF($Q49=2,1,0),IF($X49&lt;30,1,0))</formula>
    </cfRule>
    <cfRule type="expression" priority="805" dxfId="1">
      <formula>AND(IF($Q49=3,1,0),IF($X49&lt;30,1,0))</formula>
    </cfRule>
    <cfRule type="expression" priority="806" dxfId="0">
      <formula>AND(IF($Q49=3,1,IF($Q49=4,1,0)),IF($F49&lt;=85,1,0))</formula>
    </cfRule>
  </conditionalFormatting>
  <conditionalFormatting sqref="X49">
    <cfRule type="expression" priority="799" dxfId="3">
      <formula>AND(IF(OR($Q49=1,$Q49=2),1,0),IF($X49&lt;=20,1,0))</formula>
    </cfRule>
    <cfRule type="expression" priority="800" dxfId="2">
      <formula>AND(IF($Q49=2,1,0),IF($X49&lt;30,1,0))</formula>
    </cfRule>
    <cfRule type="expression" priority="801" dxfId="1">
      <formula>AND(IF($Q49=3,1,0),IF($X49&lt;30,1,0))</formula>
    </cfRule>
    <cfRule type="expression" priority="802" dxfId="0">
      <formula>AND(IF($Q49=3,1,IF($Q49=4,1,0)),IF($F49&lt;=85,1,0))</formula>
    </cfRule>
  </conditionalFormatting>
  <conditionalFormatting sqref="AI49">
    <cfRule type="expression" priority="795" dxfId="3">
      <formula>AND(IF(OR($Q49=1,$Q49=2),1,0),IF($X49&lt;=20,1,0))</formula>
    </cfRule>
    <cfRule type="expression" priority="796" dxfId="2">
      <formula>AND(IF($Q49=2,1,0),IF($X49&lt;30,1,0))</formula>
    </cfRule>
    <cfRule type="expression" priority="797" dxfId="1">
      <formula>AND(IF($Q49=3,1,0),IF($X49&lt;30,1,0))</formula>
    </cfRule>
    <cfRule type="expression" priority="798" dxfId="0">
      <formula>AND(IF($Q49=3,1,IF($Q49=4,1,0)),IF($F49&lt;=85,1,0))</formula>
    </cfRule>
  </conditionalFormatting>
  <conditionalFormatting sqref="AV50">
    <cfRule type="expression" priority="793" dxfId="17">
      <formula>AV50="X"</formula>
    </cfRule>
    <cfRule type="expression" priority="794" dxfId="16">
      <formula>AV50="후보"</formula>
    </cfRule>
  </conditionalFormatting>
  <conditionalFormatting sqref="AC50">
    <cfRule type="cellIs" priority="790" operator="greaterThan" dxfId="13">
      <formula>0.9</formula>
    </cfRule>
    <cfRule type="cellIs" priority="791" operator="greaterThan" dxfId="12">
      <formula>0.85</formula>
    </cfRule>
  </conditionalFormatting>
  <conditionalFormatting sqref="N50">
    <cfRule type="cellIs" priority="788" operator="greaterThan" dxfId="13">
      <formula>0.9</formula>
    </cfRule>
    <cfRule type="cellIs" priority="789" operator="greaterThan" dxfId="12">
      <formula>0.85</formula>
    </cfRule>
  </conditionalFormatting>
  <conditionalFormatting sqref="E50">
    <cfRule type="expression" priority="784" dxfId="3">
      <formula>AND(IF(OR($Q50=1,$Q50=2),1,0),IF($X50&lt;=20,1,0))</formula>
    </cfRule>
    <cfRule type="expression" priority="785" dxfId="2">
      <formula>AND(IF($Q50=2,1,0),IF($X50&lt;30,1,0))</formula>
    </cfRule>
    <cfRule type="expression" priority="786" dxfId="1">
      <formula>AND(IF($Q50=3,1,0),IF($X50&lt;30,1,0))</formula>
    </cfRule>
    <cfRule type="expression" priority="787" dxfId="0">
      <formula>AND(IF($Q50=3,1,IF($Q50=4,1,0)),IF($F50&lt;=85,1,0))</formula>
    </cfRule>
  </conditionalFormatting>
  <conditionalFormatting sqref="X50">
    <cfRule type="expression" priority="780" dxfId="3">
      <formula>AND(IF(OR($Q50=1,$Q50=2),1,0),IF($X50&lt;=20,1,0))</formula>
    </cfRule>
    <cfRule type="expression" priority="781" dxfId="2">
      <formula>AND(IF($Q50=2,1,0),IF($X50&lt;30,1,0))</formula>
    </cfRule>
    <cfRule type="expression" priority="782" dxfId="1">
      <formula>AND(IF($Q50=3,1,0),IF($X50&lt;30,1,0))</formula>
    </cfRule>
    <cfRule type="expression" priority="783" dxfId="0">
      <formula>AND(IF($Q50=3,1,IF($Q50=4,1,0)),IF($F50&lt;=85,1,0))</formula>
    </cfRule>
  </conditionalFormatting>
  <conditionalFormatting sqref="AI50">
    <cfRule type="expression" priority="776" dxfId="3">
      <formula>AND(IF(OR($Q50=1,$Q50=2),1,0),IF($X50&lt;=20,1,0))</formula>
    </cfRule>
    <cfRule type="expression" priority="777" dxfId="2">
      <formula>AND(IF($Q50=2,1,0),IF($X50&lt;30,1,0))</formula>
    </cfRule>
    <cfRule type="expression" priority="778" dxfId="1">
      <formula>AND(IF($Q50=3,1,0),IF($X50&lt;30,1,0))</formula>
    </cfRule>
    <cfRule type="expression" priority="779" dxfId="0">
      <formula>AND(IF($Q50=3,1,IF($Q50=4,1,0)),IF($F50&lt;=85,1,0))</formula>
    </cfRule>
  </conditionalFormatting>
  <conditionalFormatting sqref="AV51">
    <cfRule type="expression" priority="774" dxfId="17">
      <formula>AV51="X"</formula>
    </cfRule>
    <cfRule type="expression" priority="775" dxfId="16">
      <formula>AV51="후보"</formula>
    </cfRule>
  </conditionalFormatting>
  <conditionalFormatting sqref="AC51">
    <cfRule type="cellIs" priority="771" operator="greaterThan" dxfId="13">
      <formula>0.9</formula>
    </cfRule>
    <cfRule type="cellIs" priority="772" operator="greaterThan" dxfId="12">
      <formula>0.85</formula>
    </cfRule>
  </conditionalFormatting>
  <conditionalFormatting sqref="N51">
    <cfRule type="cellIs" priority="769" operator="greaterThan" dxfId="13">
      <formula>0.9</formula>
    </cfRule>
    <cfRule type="cellIs" priority="770" operator="greaterThan" dxfId="12">
      <formula>0.85</formula>
    </cfRule>
  </conditionalFormatting>
  <conditionalFormatting sqref="E51">
    <cfRule type="expression" priority="765" dxfId="3">
      <formula>AND(IF(OR($Q51=1,$Q51=2),1,0),IF($X51&lt;=20,1,0))</formula>
    </cfRule>
    <cfRule type="expression" priority="766" dxfId="2">
      <formula>AND(IF($Q51=2,1,0),IF($X51&lt;30,1,0))</formula>
    </cfRule>
    <cfRule type="expression" priority="767" dxfId="1">
      <formula>AND(IF($Q51=3,1,0),IF($X51&lt;30,1,0))</formula>
    </cfRule>
    <cfRule type="expression" priority="768" dxfId="0">
      <formula>AND(IF($Q51=3,1,IF($Q51=4,1,0)),IF($F51&lt;=85,1,0))</formula>
    </cfRule>
  </conditionalFormatting>
  <conditionalFormatting sqref="X51">
    <cfRule type="expression" priority="761" dxfId="3">
      <formula>AND(IF(OR($Q51=1,$Q51=2),1,0),IF($X51&lt;=20,1,0))</formula>
    </cfRule>
    <cfRule type="expression" priority="762" dxfId="2">
      <formula>AND(IF($Q51=2,1,0),IF($X51&lt;30,1,0))</formula>
    </cfRule>
    <cfRule type="expression" priority="763" dxfId="1">
      <formula>AND(IF($Q51=3,1,0),IF($X51&lt;30,1,0))</formula>
    </cfRule>
    <cfRule type="expression" priority="764" dxfId="0">
      <formula>AND(IF($Q51=3,1,IF($Q51=4,1,0)),IF($F51&lt;=85,1,0))</formula>
    </cfRule>
  </conditionalFormatting>
  <conditionalFormatting sqref="AI51">
    <cfRule type="expression" priority="757" dxfId="3">
      <formula>AND(IF(OR($Q51=1,$Q51=2),1,0),IF($X51&lt;=20,1,0))</formula>
    </cfRule>
    <cfRule type="expression" priority="758" dxfId="2">
      <formula>AND(IF($Q51=2,1,0),IF($X51&lt;30,1,0))</formula>
    </cfRule>
    <cfRule type="expression" priority="759" dxfId="1">
      <formula>AND(IF($Q51=3,1,0),IF($X51&lt;30,1,0))</formula>
    </cfRule>
    <cfRule type="expression" priority="760" dxfId="0">
      <formula>AND(IF($Q51=3,1,IF($Q51=4,1,0)),IF($F51&lt;=85,1,0))</formula>
    </cfRule>
  </conditionalFormatting>
  <conditionalFormatting sqref="AV52">
    <cfRule type="expression" priority="755" dxfId="17">
      <formula>AV52="X"</formula>
    </cfRule>
    <cfRule type="expression" priority="756" dxfId="16">
      <formula>AV52="후보"</formula>
    </cfRule>
  </conditionalFormatting>
  <conditionalFormatting sqref="AC52">
    <cfRule type="cellIs" priority="752" operator="greaterThan" dxfId="13">
      <formula>0.9</formula>
    </cfRule>
    <cfRule type="cellIs" priority="753" operator="greaterThan" dxfId="12">
      <formula>0.85</formula>
    </cfRule>
  </conditionalFormatting>
  <conditionalFormatting sqref="N52">
    <cfRule type="cellIs" priority="750" operator="greaterThan" dxfId="13">
      <formula>0.9</formula>
    </cfRule>
    <cfRule type="cellIs" priority="751" operator="greaterThan" dxfId="12">
      <formula>0.85</formula>
    </cfRule>
  </conditionalFormatting>
  <conditionalFormatting sqref="E52">
    <cfRule type="expression" priority="746" dxfId="3">
      <formula>AND(IF(OR($Q52=1,$Q52=2),1,0),IF($X52&lt;=20,1,0))</formula>
    </cfRule>
    <cfRule type="expression" priority="747" dxfId="2">
      <formula>AND(IF($Q52=2,1,0),IF($X52&lt;30,1,0))</formula>
    </cfRule>
    <cfRule type="expression" priority="748" dxfId="1">
      <formula>AND(IF($Q52=3,1,0),IF($X52&lt;30,1,0))</formula>
    </cfRule>
    <cfRule type="expression" priority="749" dxfId="0">
      <formula>AND(IF($Q52=3,1,IF($Q52=4,1,0)),IF($F52&lt;=85,1,0))</formula>
    </cfRule>
  </conditionalFormatting>
  <conditionalFormatting sqref="X52">
    <cfRule type="expression" priority="742" dxfId="3">
      <formula>AND(IF(OR($Q52=1,$Q52=2),1,0),IF($X52&lt;=20,1,0))</formula>
    </cfRule>
    <cfRule type="expression" priority="743" dxfId="2">
      <formula>AND(IF($Q52=2,1,0),IF($X52&lt;30,1,0))</formula>
    </cfRule>
    <cfRule type="expression" priority="744" dxfId="1">
      <formula>AND(IF($Q52=3,1,0),IF($X52&lt;30,1,0))</formula>
    </cfRule>
    <cfRule type="expression" priority="745" dxfId="0">
      <formula>AND(IF($Q52=3,1,IF($Q52=4,1,0)),IF($F52&lt;=85,1,0))</formula>
    </cfRule>
  </conditionalFormatting>
  <conditionalFormatting sqref="AI52">
    <cfRule type="expression" priority="738" dxfId="3">
      <formula>AND(IF(OR($Q52=1,$Q52=2),1,0),IF($X52&lt;=20,1,0))</formula>
    </cfRule>
    <cfRule type="expression" priority="739" dxfId="2">
      <formula>AND(IF($Q52=2,1,0),IF($X52&lt;30,1,0))</formula>
    </cfRule>
    <cfRule type="expression" priority="740" dxfId="1">
      <formula>AND(IF($Q52=3,1,0),IF($X52&lt;30,1,0))</formula>
    </cfRule>
    <cfRule type="expression" priority="741" dxfId="0">
      <formula>AND(IF($Q52=3,1,IF($Q52=4,1,0)),IF($F52&lt;=85,1,0))</formula>
    </cfRule>
  </conditionalFormatting>
  <conditionalFormatting sqref="AV53">
    <cfRule type="expression" priority="736" dxfId="17">
      <formula>AV53="X"</formula>
    </cfRule>
    <cfRule type="expression" priority="737" dxfId="16">
      <formula>AV53="후보"</formula>
    </cfRule>
  </conditionalFormatting>
  <conditionalFormatting sqref="AC53">
    <cfRule type="cellIs" priority="733" operator="greaterThan" dxfId="13">
      <formula>0.9</formula>
    </cfRule>
    <cfRule type="cellIs" priority="734" operator="greaterThan" dxfId="12">
      <formula>0.85</formula>
    </cfRule>
  </conditionalFormatting>
  <conditionalFormatting sqref="N53">
    <cfRule type="cellIs" priority="731" operator="greaterThan" dxfId="13">
      <formula>0.9</formula>
    </cfRule>
    <cfRule type="cellIs" priority="732" operator="greaterThan" dxfId="12">
      <formula>0.85</formula>
    </cfRule>
  </conditionalFormatting>
  <conditionalFormatting sqref="E53">
    <cfRule type="expression" priority="727" dxfId="3">
      <formula>AND(IF(OR($Q53=1,$Q53=2),1,0),IF($X53&lt;=20,1,0))</formula>
    </cfRule>
    <cfRule type="expression" priority="728" dxfId="2">
      <formula>AND(IF($Q53=2,1,0),IF($X53&lt;30,1,0))</formula>
    </cfRule>
    <cfRule type="expression" priority="729" dxfId="1">
      <formula>AND(IF($Q53=3,1,0),IF($X53&lt;30,1,0))</formula>
    </cfRule>
    <cfRule type="expression" priority="730" dxfId="0">
      <formula>AND(IF($Q53=3,1,IF($Q53=4,1,0)),IF($F53&lt;=85,1,0))</formula>
    </cfRule>
  </conditionalFormatting>
  <conditionalFormatting sqref="X53">
    <cfRule type="expression" priority="723" dxfId="3">
      <formula>AND(IF(OR($Q53=1,$Q53=2),1,0),IF($X53&lt;=20,1,0))</formula>
    </cfRule>
    <cfRule type="expression" priority="724" dxfId="2">
      <formula>AND(IF($Q53=2,1,0),IF($X53&lt;30,1,0))</formula>
    </cfRule>
    <cfRule type="expression" priority="725" dxfId="1">
      <formula>AND(IF($Q53=3,1,0),IF($X53&lt;30,1,0))</formula>
    </cfRule>
    <cfRule type="expression" priority="726" dxfId="0">
      <formula>AND(IF($Q53=3,1,IF($Q53=4,1,0)),IF($F53&lt;=85,1,0))</formula>
    </cfRule>
  </conditionalFormatting>
  <conditionalFormatting sqref="AI53">
    <cfRule type="expression" priority="719" dxfId="3">
      <formula>AND(IF(OR($Q53=1,$Q53=2),1,0),IF($X53&lt;=20,1,0))</formula>
    </cfRule>
    <cfRule type="expression" priority="720" dxfId="2">
      <formula>AND(IF($Q53=2,1,0),IF($X53&lt;30,1,0))</formula>
    </cfRule>
    <cfRule type="expression" priority="721" dxfId="1">
      <formula>AND(IF($Q53=3,1,0),IF($X53&lt;30,1,0))</formula>
    </cfRule>
    <cfRule type="expression" priority="722" dxfId="0">
      <formula>AND(IF($Q53=3,1,IF($Q53=4,1,0)),IF($F53&lt;=85,1,0))</formula>
    </cfRule>
  </conditionalFormatting>
  <conditionalFormatting sqref="AV54">
    <cfRule type="expression" priority="717" dxfId="17">
      <formula>AV54="X"</formula>
    </cfRule>
    <cfRule type="expression" priority="718" dxfId="16">
      <formula>AV54="후보"</formula>
    </cfRule>
  </conditionalFormatting>
  <conditionalFormatting sqref="AC54">
    <cfRule type="cellIs" priority="714" operator="greaterThan" dxfId="13">
      <formula>0.9</formula>
    </cfRule>
    <cfRule type="cellIs" priority="715" operator="greaterThan" dxfId="12">
      <formula>0.85</formula>
    </cfRule>
  </conditionalFormatting>
  <conditionalFormatting sqref="N54">
    <cfRule type="cellIs" priority="712" operator="greaterThan" dxfId="13">
      <formula>0.9</formula>
    </cfRule>
    <cfRule type="cellIs" priority="713" operator="greaterThan" dxfId="12">
      <formula>0.85</formula>
    </cfRule>
  </conditionalFormatting>
  <conditionalFormatting sqref="E54">
    <cfRule type="expression" priority="708" dxfId="3">
      <formula>AND(IF(OR($Q54=1,$Q54=2),1,0),IF($X54&lt;=20,1,0))</formula>
    </cfRule>
    <cfRule type="expression" priority="709" dxfId="2">
      <formula>AND(IF($Q54=2,1,0),IF($X54&lt;30,1,0))</formula>
    </cfRule>
    <cfRule type="expression" priority="710" dxfId="1">
      <formula>AND(IF($Q54=3,1,0),IF($X54&lt;30,1,0))</formula>
    </cfRule>
    <cfRule type="expression" priority="711" dxfId="0">
      <formula>AND(IF($Q54=3,1,IF($Q54=4,1,0)),IF($F54&lt;=85,1,0))</formula>
    </cfRule>
  </conditionalFormatting>
  <conditionalFormatting sqref="X54">
    <cfRule type="expression" priority="704" dxfId="3">
      <formula>AND(IF(OR($Q54=1,$Q54=2),1,0),IF($X54&lt;=20,1,0))</formula>
    </cfRule>
    <cfRule type="expression" priority="705" dxfId="2">
      <formula>AND(IF($Q54=2,1,0),IF($X54&lt;30,1,0))</formula>
    </cfRule>
    <cfRule type="expression" priority="706" dxfId="1">
      <formula>AND(IF($Q54=3,1,0),IF($X54&lt;30,1,0))</formula>
    </cfRule>
    <cfRule type="expression" priority="707" dxfId="0">
      <formula>AND(IF($Q54=3,1,IF($Q54=4,1,0)),IF($F54&lt;=85,1,0))</formula>
    </cfRule>
  </conditionalFormatting>
  <conditionalFormatting sqref="AI54">
    <cfRule type="expression" priority="700" dxfId="3">
      <formula>AND(IF(OR($Q54=1,$Q54=2),1,0),IF($X54&lt;=20,1,0))</formula>
    </cfRule>
    <cfRule type="expression" priority="701" dxfId="2">
      <formula>AND(IF($Q54=2,1,0),IF($X54&lt;30,1,0))</formula>
    </cfRule>
    <cfRule type="expression" priority="702" dxfId="1">
      <formula>AND(IF($Q54=3,1,0),IF($X54&lt;30,1,0))</formula>
    </cfRule>
    <cfRule type="expression" priority="703" dxfId="0">
      <formula>AND(IF($Q54=3,1,IF($Q54=4,1,0)),IF($F54&lt;=85,1,0))</formula>
    </cfRule>
  </conditionalFormatting>
  <conditionalFormatting sqref="AV55">
    <cfRule type="expression" priority="698" dxfId="17">
      <formula>AV55="X"</formula>
    </cfRule>
    <cfRule type="expression" priority="699" dxfId="16">
      <formula>AV55="후보"</formula>
    </cfRule>
  </conditionalFormatting>
  <conditionalFormatting sqref="AC55">
    <cfRule type="cellIs" priority="695" operator="greaterThan" dxfId="13">
      <formula>0.9</formula>
    </cfRule>
    <cfRule type="cellIs" priority="696" operator="greaterThan" dxfId="12">
      <formula>0.85</formula>
    </cfRule>
  </conditionalFormatting>
  <conditionalFormatting sqref="N55">
    <cfRule type="cellIs" priority="693" operator="greaterThan" dxfId="13">
      <formula>0.9</formula>
    </cfRule>
    <cfRule type="cellIs" priority="694" operator="greaterThan" dxfId="12">
      <formula>0.85</formula>
    </cfRule>
  </conditionalFormatting>
  <conditionalFormatting sqref="E55">
    <cfRule type="expression" priority="689" dxfId="3">
      <formula>AND(IF(OR($Q55=1,$Q55=2),1,0),IF($X55&lt;=20,1,0))</formula>
    </cfRule>
    <cfRule type="expression" priority="690" dxfId="2">
      <formula>AND(IF($Q55=2,1,0),IF($X55&lt;30,1,0))</formula>
    </cfRule>
    <cfRule type="expression" priority="691" dxfId="1">
      <formula>AND(IF($Q55=3,1,0),IF($X55&lt;30,1,0))</formula>
    </cfRule>
    <cfRule type="expression" priority="692" dxfId="0">
      <formula>AND(IF($Q55=3,1,IF($Q55=4,1,0)),IF($F55&lt;=85,1,0))</formula>
    </cfRule>
  </conditionalFormatting>
  <conditionalFormatting sqref="X55">
    <cfRule type="expression" priority="685" dxfId="3">
      <formula>AND(IF(OR($Q55=1,$Q55=2),1,0),IF($X55&lt;=20,1,0))</formula>
    </cfRule>
    <cfRule type="expression" priority="686" dxfId="2">
      <formula>AND(IF($Q55=2,1,0),IF($X55&lt;30,1,0))</formula>
    </cfRule>
    <cfRule type="expression" priority="687" dxfId="1">
      <formula>AND(IF($Q55=3,1,0),IF($X55&lt;30,1,0))</formula>
    </cfRule>
    <cfRule type="expression" priority="688" dxfId="0">
      <formula>AND(IF($Q55=3,1,IF($Q55=4,1,0)),IF($F55&lt;=85,1,0))</formula>
    </cfRule>
  </conditionalFormatting>
  <conditionalFormatting sqref="AI55">
    <cfRule type="expression" priority="681" dxfId="3">
      <formula>AND(IF(OR($Q55=1,$Q55=2),1,0),IF($X55&lt;=20,1,0))</formula>
    </cfRule>
    <cfRule type="expression" priority="682" dxfId="2">
      <formula>AND(IF($Q55=2,1,0),IF($X55&lt;30,1,0))</formula>
    </cfRule>
    <cfRule type="expression" priority="683" dxfId="1">
      <formula>AND(IF($Q55=3,1,0),IF($X55&lt;30,1,0))</formula>
    </cfRule>
    <cfRule type="expression" priority="684" dxfId="0">
      <formula>AND(IF($Q55=3,1,IF($Q55=4,1,0)),IF($F55&lt;=85,1,0))</formula>
    </cfRule>
  </conditionalFormatting>
  <conditionalFormatting sqref="AV56">
    <cfRule type="expression" priority="679" dxfId="17">
      <formula>AV56="X"</formula>
    </cfRule>
    <cfRule type="expression" priority="680" dxfId="16">
      <formula>AV56="후보"</formula>
    </cfRule>
  </conditionalFormatting>
  <conditionalFormatting sqref="AC56">
    <cfRule type="cellIs" priority="676" operator="greaterThan" dxfId="13">
      <formula>0.9</formula>
    </cfRule>
    <cfRule type="cellIs" priority="677" operator="greaterThan" dxfId="12">
      <formula>0.85</formula>
    </cfRule>
  </conditionalFormatting>
  <conditionalFormatting sqref="N56">
    <cfRule type="cellIs" priority="674" operator="greaterThan" dxfId="13">
      <formula>0.9</formula>
    </cfRule>
    <cfRule type="cellIs" priority="675" operator="greaterThan" dxfId="12">
      <formula>0.85</formula>
    </cfRule>
  </conditionalFormatting>
  <conditionalFormatting sqref="E56">
    <cfRule type="expression" priority="670" dxfId="3">
      <formula>AND(IF(OR($Q56=1,$Q56=2),1,0),IF($X56&lt;=20,1,0))</formula>
    </cfRule>
    <cfRule type="expression" priority="671" dxfId="2">
      <formula>AND(IF($Q56=2,1,0),IF($X56&lt;30,1,0))</formula>
    </cfRule>
    <cfRule type="expression" priority="672" dxfId="1">
      <formula>AND(IF($Q56=3,1,0),IF($X56&lt;30,1,0))</formula>
    </cfRule>
    <cfRule type="expression" priority="673" dxfId="0">
      <formula>AND(IF($Q56=3,1,IF($Q56=4,1,0)),IF($F56&lt;=85,1,0))</formula>
    </cfRule>
  </conditionalFormatting>
  <conditionalFormatting sqref="X56">
    <cfRule type="expression" priority="666" dxfId="3">
      <formula>AND(IF(OR($Q56=1,$Q56=2),1,0),IF($X56&lt;=20,1,0))</formula>
    </cfRule>
    <cfRule type="expression" priority="667" dxfId="2">
      <formula>AND(IF($Q56=2,1,0),IF($X56&lt;30,1,0))</formula>
    </cfRule>
    <cfRule type="expression" priority="668" dxfId="1">
      <formula>AND(IF($Q56=3,1,0),IF($X56&lt;30,1,0))</formula>
    </cfRule>
    <cfRule type="expression" priority="669" dxfId="0">
      <formula>AND(IF($Q56=3,1,IF($Q56=4,1,0)),IF($F56&lt;=85,1,0))</formula>
    </cfRule>
  </conditionalFormatting>
  <conditionalFormatting sqref="AI56">
    <cfRule type="expression" priority="662" dxfId="3">
      <formula>AND(IF(OR($Q56=1,$Q56=2),1,0),IF($X56&lt;=20,1,0))</formula>
    </cfRule>
    <cfRule type="expression" priority="663" dxfId="2">
      <formula>AND(IF($Q56=2,1,0),IF($X56&lt;30,1,0))</formula>
    </cfRule>
    <cfRule type="expression" priority="664" dxfId="1">
      <formula>AND(IF($Q56=3,1,0),IF($X56&lt;30,1,0))</formula>
    </cfRule>
    <cfRule type="expression" priority="665" dxfId="0">
      <formula>AND(IF($Q56=3,1,IF($Q56=4,1,0)),IF($F56&lt;=85,1,0))</formula>
    </cfRule>
  </conditionalFormatting>
  <conditionalFormatting sqref="AV57">
    <cfRule type="expression" priority="660" dxfId="17">
      <formula>AV57="X"</formula>
    </cfRule>
    <cfRule type="expression" priority="661" dxfId="16">
      <formula>AV57="후보"</formula>
    </cfRule>
  </conditionalFormatting>
  <conditionalFormatting sqref="AC57">
    <cfRule type="cellIs" priority="657" operator="greaterThan" dxfId="13">
      <formula>0.9</formula>
    </cfRule>
    <cfRule type="cellIs" priority="658" operator="greaterThan" dxfId="12">
      <formula>0.85</formula>
    </cfRule>
  </conditionalFormatting>
  <conditionalFormatting sqref="N57">
    <cfRule type="cellIs" priority="655" operator="greaterThan" dxfId="13">
      <formula>0.9</formula>
    </cfRule>
    <cfRule type="cellIs" priority="656" operator="greaterThan" dxfId="12">
      <formula>0.85</formula>
    </cfRule>
  </conditionalFormatting>
  <conditionalFormatting sqref="E57">
    <cfRule type="expression" priority="651" dxfId="3">
      <formula>AND(IF(OR($Q57=1,$Q57=2),1,0),IF($X57&lt;=20,1,0))</formula>
    </cfRule>
    <cfRule type="expression" priority="652" dxfId="2">
      <formula>AND(IF($Q57=2,1,0),IF($X57&lt;30,1,0))</formula>
    </cfRule>
    <cfRule type="expression" priority="653" dxfId="1">
      <formula>AND(IF($Q57=3,1,0),IF($X57&lt;30,1,0))</formula>
    </cfRule>
    <cfRule type="expression" priority="654" dxfId="0">
      <formula>AND(IF($Q57=3,1,IF($Q57=4,1,0)),IF($F57&lt;=85,1,0))</formula>
    </cfRule>
  </conditionalFormatting>
  <conditionalFormatting sqref="X57">
    <cfRule type="expression" priority="647" dxfId="3">
      <formula>AND(IF(OR($Q57=1,$Q57=2),1,0),IF($X57&lt;=20,1,0))</formula>
    </cfRule>
    <cfRule type="expression" priority="648" dxfId="2">
      <formula>AND(IF($Q57=2,1,0),IF($X57&lt;30,1,0))</formula>
    </cfRule>
    <cfRule type="expression" priority="649" dxfId="1">
      <formula>AND(IF($Q57=3,1,0),IF($X57&lt;30,1,0))</formula>
    </cfRule>
    <cfRule type="expression" priority="650" dxfId="0">
      <formula>AND(IF($Q57=3,1,IF($Q57=4,1,0)),IF($F57&lt;=85,1,0))</formula>
    </cfRule>
  </conditionalFormatting>
  <conditionalFormatting sqref="AI57">
    <cfRule type="expression" priority="643" dxfId="3">
      <formula>AND(IF(OR($Q57=1,$Q57=2),1,0),IF($X57&lt;=20,1,0))</formula>
    </cfRule>
    <cfRule type="expression" priority="644" dxfId="2">
      <formula>AND(IF($Q57=2,1,0),IF($X57&lt;30,1,0))</formula>
    </cfRule>
    <cfRule type="expression" priority="645" dxfId="1">
      <formula>AND(IF($Q57=3,1,0),IF($X57&lt;30,1,0))</formula>
    </cfRule>
    <cfRule type="expression" priority="646" dxfId="0">
      <formula>AND(IF($Q57=3,1,IF($Q57=4,1,0)),IF($F57&lt;=85,1,0))</formula>
    </cfRule>
  </conditionalFormatting>
  <conditionalFormatting sqref="AV58">
    <cfRule type="expression" priority="641" dxfId="17">
      <formula>AV58="X"</formula>
    </cfRule>
    <cfRule type="expression" priority="642" dxfId="16">
      <formula>AV58="후보"</formula>
    </cfRule>
  </conditionalFormatting>
  <conditionalFormatting sqref="AC58">
    <cfRule type="cellIs" priority="638" operator="greaterThan" dxfId="13">
      <formula>0.9</formula>
    </cfRule>
    <cfRule type="cellIs" priority="639" operator="greaterThan" dxfId="12">
      <formula>0.85</formula>
    </cfRule>
  </conditionalFormatting>
  <conditionalFormatting sqref="N58">
    <cfRule type="cellIs" priority="636" operator="greaterThan" dxfId="13">
      <formula>0.9</formula>
    </cfRule>
    <cfRule type="cellIs" priority="637" operator="greaterThan" dxfId="12">
      <formula>0.85</formula>
    </cfRule>
  </conditionalFormatting>
  <conditionalFormatting sqref="E58">
    <cfRule type="expression" priority="632" dxfId="3">
      <formula>AND(IF(OR($Q58=1,$Q58=2),1,0),IF($X58&lt;=20,1,0))</formula>
    </cfRule>
    <cfRule type="expression" priority="633" dxfId="2">
      <formula>AND(IF($Q58=2,1,0),IF($X58&lt;30,1,0))</formula>
    </cfRule>
    <cfRule type="expression" priority="634" dxfId="1">
      <formula>AND(IF($Q58=3,1,0),IF($X58&lt;30,1,0))</formula>
    </cfRule>
    <cfRule type="expression" priority="635" dxfId="0">
      <formula>AND(IF($Q58=3,1,IF($Q58=4,1,0)),IF($F58&lt;=85,1,0))</formula>
    </cfRule>
  </conditionalFormatting>
  <conditionalFormatting sqref="X58">
    <cfRule type="expression" priority="628" dxfId="3">
      <formula>AND(IF(OR($Q58=1,$Q58=2),1,0),IF($X58&lt;=20,1,0))</formula>
    </cfRule>
    <cfRule type="expression" priority="629" dxfId="2">
      <formula>AND(IF($Q58=2,1,0),IF($X58&lt;30,1,0))</formula>
    </cfRule>
    <cfRule type="expression" priority="630" dxfId="1">
      <formula>AND(IF($Q58=3,1,0),IF($X58&lt;30,1,0))</formula>
    </cfRule>
    <cfRule type="expression" priority="631" dxfId="0">
      <formula>AND(IF($Q58=3,1,IF($Q58=4,1,0)),IF($F58&lt;=85,1,0))</formula>
    </cfRule>
  </conditionalFormatting>
  <conditionalFormatting sqref="AI58">
    <cfRule type="expression" priority="624" dxfId="3">
      <formula>AND(IF(OR($Q58=1,$Q58=2),1,0),IF($X58&lt;=20,1,0))</formula>
    </cfRule>
    <cfRule type="expression" priority="625" dxfId="2">
      <formula>AND(IF($Q58=2,1,0),IF($X58&lt;30,1,0))</formula>
    </cfRule>
    <cfRule type="expression" priority="626" dxfId="1">
      <formula>AND(IF($Q58=3,1,0),IF($X58&lt;30,1,0))</formula>
    </cfRule>
    <cfRule type="expression" priority="627" dxfId="0">
      <formula>AND(IF($Q58=3,1,IF($Q58=4,1,0)),IF($F58&lt;=85,1,0))</formula>
    </cfRule>
  </conditionalFormatting>
  <conditionalFormatting sqref="AV59">
    <cfRule type="expression" priority="622" dxfId="17">
      <formula>AV59="X"</formula>
    </cfRule>
    <cfRule type="expression" priority="623" dxfId="16">
      <formula>AV59="후보"</formula>
    </cfRule>
  </conditionalFormatting>
  <conditionalFormatting sqref="AC59">
    <cfRule type="cellIs" priority="619" operator="greaterThan" dxfId="13">
      <formula>0.9</formula>
    </cfRule>
    <cfRule type="cellIs" priority="620" operator="greaterThan" dxfId="12">
      <formula>0.85</formula>
    </cfRule>
  </conditionalFormatting>
  <conditionalFormatting sqref="N59">
    <cfRule type="cellIs" priority="617" operator="greaterThan" dxfId="13">
      <formula>0.9</formula>
    </cfRule>
    <cfRule type="cellIs" priority="618" operator="greaterThan" dxfId="12">
      <formula>0.85</formula>
    </cfRule>
  </conditionalFormatting>
  <conditionalFormatting sqref="E59">
    <cfRule type="expression" priority="613" dxfId="3">
      <formula>AND(IF(OR($Q59=1,$Q59=2),1,0),IF($X59&lt;=20,1,0))</formula>
    </cfRule>
    <cfRule type="expression" priority="614" dxfId="2">
      <formula>AND(IF($Q59=2,1,0),IF($X59&lt;30,1,0))</formula>
    </cfRule>
    <cfRule type="expression" priority="615" dxfId="1">
      <formula>AND(IF($Q59=3,1,0),IF($X59&lt;30,1,0))</formula>
    </cfRule>
    <cfRule type="expression" priority="616" dxfId="0">
      <formula>AND(IF($Q59=3,1,IF($Q59=4,1,0)),IF($F59&lt;=85,1,0))</formula>
    </cfRule>
  </conditionalFormatting>
  <conditionalFormatting sqref="X59">
    <cfRule type="expression" priority="609" dxfId="3">
      <formula>AND(IF(OR($Q59=1,$Q59=2),1,0),IF($X59&lt;=20,1,0))</formula>
    </cfRule>
    <cfRule type="expression" priority="610" dxfId="2">
      <formula>AND(IF($Q59=2,1,0),IF($X59&lt;30,1,0))</formula>
    </cfRule>
    <cfRule type="expression" priority="611" dxfId="1">
      <formula>AND(IF($Q59=3,1,0),IF($X59&lt;30,1,0))</formula>
    </cfRule>
    <cfRule type="expression" priority="612" dxfId="0">
      <formula>AND(IF($Q59=3,1,IF($Q59=4,1,0)),IF($F59&lt;=85,1,0))</formula>
    </cfRule>
  </conditionalFormatting>
  <conditionalFormatting sqref="AI59">
    <cfRule type="expression" priority="605" dxfId="3">
      <formula>AND(IF(OR($Q59=1,$Q59=2),1,0),IF($X59&lt;=20,1,0))</formula>
    </cfRule>
    <cfRule type="expression" priority="606" dxfId="2">
      <formula>AND(IF($Q59=2,1,0),IF($X59&lt;30,1,0))</formula>
    </cfRule>
    <cfRule type="expression" priority="607" dxfId="1">
      <formula>AND(IF($Q59=3,1,0),IF($X59&lt;30,1,0))</formula>
    </cfRule>
    <cfRule type="expression" priority="608" dxfId="0">
      <formula>AND(IF($Q59=3,1,IF($Q59=4,1,0)),IF($F59&lt;=85,1,0))</formula>
    </cfRule>
  </conditionalFormatting>
  <conditionalFormatting sqref="AV60">
    <cfRule type="expression" priority="603" dxfId="17">
      <formula>AV60="X"</formula>
    </cfRule>
    <cfRule type="expression" priority="604" dxfId="16">
      <formula>AV60="후보"</formula>
    </cfRule>
  </conditionalFormatting>
  <conditionalFormatting sqref="AC60">
    <cfRule type="cellIs" priority="600" operator="greaterThan" dxfId="13">
      <formula>0.9</formula>
    </cfRule>
    <cfRule type="cellIs" priority="601" operator="greaterThan" dxfId="12">
      <formula>0.85</formula>
    </cfRule>
  </conditionalFormatting>
  <conditionalFormatting sqref="N60">
    <cfRule type="cellIs" priority="598" operator="greaterThan" dxfId="13">
      <formula>0.9</formula>
    </cfRule>
    <cfRule type="cellIs" priority="599" operator="greaterThan" dxfId="12">
      <formula>0.85</formula>
    </cfRule>
  </conditionalFormatting>
  <conditionalFormatting sqref="E60">
    <cfRule type="expression" priority="594" dxfId="3">
      <formula>AND(IF(OR($Q60=1,$Q60=2),1,0),IF($X60&lt;=20,1,0))</formula>
    </cfRule>
    <cfRule type="expression" priority="595" dxfId="2">
      <formula>AND(IF($Q60=2,1,0),IF($X60&lt;30,1,0))</formula>
    </cfRule>
    <cfRule type="expression" priority="596" dxfId="1">
      <formula>AND(IF($Q60=3,1,0),IF($X60&lt;30,1,0))</formula>
    </cfRule>
    <cfRule type="expression" priority="597" dxfId="0">
      <formula>AND(IF($Q60=3,1,IF($Q60=4,1,0)),IF($F60&lt;=85,1,0))</formula>
    </cfRule>
  </conditionalFormatting>
  <conditionalFormatting sqref="X60">
    <cfRule type="expression" priority="590" dxfId="3">
      <formula>AND(IF(OR($Q60=1,$Q60=2),1,0),IF($X60&lt;=20,1,0))</formula>
    </cfRule>
    <cfRule type="expression" priority="591" dxfId="2">
      <formula>AND(IF($Q60=2,1,0),IF($X60&lt;30,1,0))</formula>
    </cfRule>
    <cfRule type="expression" priority="592" dxfId="1">
      <formula>AND(IF($Q60=3,1,0),IF($X60&lt;30,1,0))</formula>
    </cfRule>
    <cfRule type="expression" priority="593" dxfId="0">
      <formula>AND(IF($Q60=3,1,IF($Q60=4,1,0)),IF($F60&lt;=85,1,0))</formula>
    </cfRule>
  </conditionalFormatting>
  <conditionalFormatting sqref="AI60">
    <cfRule type="expression" priority="586" dxfId="3">
      <formula>AND(IF(OR($Q60=1,$Q60=2),1,0),IF($X60&lt;=20,1,0))</formula>
    </cfRule>
    <cfRule type="expression" priority="587" dxfId="2">
      <formula>AND(IF($Q60=2,1,0),IF($X60&lt;30,1,0))</formula>
    </cfRule>
    <cfRule type="expression" priority="588" dxfId="1">
      <formula>AND(IF($Q60=3,1,0),IF($X60&lt;30,1,0))</formula>
    </cfRule>
    <cfRule type="expression" priority="589" dxfId="0">
      <formula>AND(IF($Q60=3,1,IF($Q60=4,1,0)),IF($F60&lt;=85,1,0))</formula>
    </cfRule>
  </conditionalFormatting>
  <conditionalFormatting sqref="AV61">
    <cfRule type="expression" priority="584" dxfId="17">
      <formula>AV61="X"</formula>
    </cfRule>
    <cfRule type="expression" priority="585" dxfId="16">
      <formula>AV61="후보"</formula>
    </cfRule>
  </conditionalFormatting>
  <conditionalFormatting sqref="AC61">
    <cfRule type="cellIs" priority="581" operator="greaterThan" dxfId="13">
      <formula>0.9</formula>
    </cfRule>
    <cfRule type="cellIs" priority="582" operator="greaterThan" dxfId="12">
      <formula>0.85</formula>
    </cfRule>
  </conditionalFormatting>
  <conditionalFormatting sqref="N61">
    <cfRule type="cellIs" priority="579" operator="greaterThan" dxfId="13">
      <formula>0.9</formula>
    </cfRule>
    <cfRule type="cellIs" priority="580" operator="greaterThan" dxfId="12">
      <formula>0.85</formula>
    </cfRule>
  </conditionalFormatting>
  <conditionalFormatting sqref="E61">
    <cfRule type="expression" priority="575" dxfId="3">
      <formula>AND(IF(OR($Q61=1,$Q61=2),1,0),IF($X61&lt;=20,1,0))</formula>
    </cfRule>
    <cfRule type="expression" priority="576" dxfId="2">
      <formula>AND(IF($Q61=2,1,0),IF($X61&lt;30,1,0))</formula>
    </cfRule>
    <cfRule type="expression" priority="577" dxfId="1">
      <formula>AND(IF($Q61=3,1,0),IF($X61&lt;30,1,0))</formula>
    </cfRule>
    <cfRule type="expression" priority="578" dxfId="0">
      <formula>AND(IF($Q61=3,1,IF($Q61=4,1,0)),IF($F61&lt;=85,1,0))</formula>
    </cfRule>
  </conditionalFormatting>
  <conditionalFormatting sqref="X61">
    <cfRule type="expression" priority="571" dxfId="3">
      <formula>AND(IF(OR($Q61=1,$Q61=2),1,0),IF($X61&lt;=20,1,0))</formula>
    </cfRule>
    <cfRule type="expression" priority="572" dxfId="2">
      <formula>AND(IF($Q61=2,1,0),IF($X61&lt;30,1,0))</formula>
    </cfRule>
    <cfRule type="expression" priority="573" dxfId="1">
      <formula>AND(IF($Q61=3,1,0),IF($X61&lt;30,1,0))</formula>
    </cfRule>
    <cfRule type="expression" priority="574" dxfId="0">
      <formula>AND(IF($Q61=3,1,IF($Q61=4,1,0)),IF($F61&lt;=85,1,0))</formula>
    </cfRule>
  </conditionalFormatting>
  <conditionalFormatting sqref="AI61">
    <cfRule type="expression" priority="567" dxfId="3">
      <formula>AND(IF(OR($Q61=1,$Q61=2),1,0),IF($X61&lt;=20,1,0))</formula>
    </cfRule>
    <cfRule type="expression" priority="568" dxfId="2">
      <formula>AND(IF($Q61=2,1,0),IF($X61&lt;30,1,0))</formula>
    </cfRule>
    <cfRule type="expression" priority="569" dxfId="1">
      <formula>AND(IF($Q61=3,1,0),IF($X61&lt;30,1,0))</formula>
    </cfRule>
    <cfRule type="expression" priority="570" dxfId="0">
      <formula>AND(IF($Q61=3,1,IF($Q61=4,1,0)),IF($F61&lt;=85,1,0))</formula>
    </cfRule>
  </conditionalFormatting>
  <conditionalFormatting sqref="AV62">
    <cfRule type="expression" priority="565" dxfId="17">
      <formula>AV62="X"</formula>
    </cfRule>
    <cfRule type="expression" priority="566" dxfId="16">
      <formula>AV62="후보"</formula>
    </cfRule>
  </conditionalFormatting>
  <conditionalFormatting sqref="AC62">
    <cfRule type="cellIs" priority="562" operator="greaterThan" dxfId="13">
      <formula>0.9</formula>
    </cfRule>
    <cfRule type="cellIs" priority="563" operator="greaterThan" dxfId="12">
      <formula>0.85</formula>
    </cfRule>
  </conditionalFormatting>
  <conditionalFormatting sqref="N62">
    <cfRule type="cellIs" priority="560" operator="greaterThan" dxfId="13">
      <formula>0.9</formula>
    </cfRule>
    <cfRule type="cellIs" priority="561" operator="greaterThan" dxfId="12">
      <formula>0.85</formula>
    </cfRule>
  </conditionalFormatting>
  <conditionalFormatting sqref="E62">
    <cfRule type="expression" priority="556" dxfId="3">
      <formula>AND(IF(OR($Q62=1,$Q62=2),1,0),IF($X62&lt;=20,1,0))</formula>
    </cfRule>
    <cfRule type="expression" priority="557" dxfId="2">
      <formula>AND(IF($Q62=2,1,0),IF($X62&lt;30,1,0))</formula>
    </cfRule>
    <cfRule type="expression" priority="558" dxfId="1">
      <formula>AND(IF($Q62=3,1,0),IF($X62&lt;30,1,0))</formula>
    </cfRule>
    <cfRule type="expression" priority="559" dxfId="0">
      <formula>AND(IF($Q62=3,1,IF($Q62=4,1,0)),IF($F62&lt;=85,1,0))</formula>
    </cfRule>
  </conditionalFormatting>
  <conditionalFormatting sqref="X62">
    <cfRule type="expression" priority="552" dxfId="3">
      <formula>AND(IF(OR($Q62=1,$Q62=2),1,0),IF($X62&lt;=20,1,0))</formula>
    </cfRule>
    <cfRule type="expression" priority="553" dxfId="2">
      <formula>AND(IF($Q62=2,1,0),IF($X62&lt;30,1,0))</formula>
    </cfRule>
    <cfRule type="expression" priority="554" dxfId="1">
      <formula>AND(IF($Q62=3,1,0),IF($X62&lt;30,1,0))</formula>
    </cfRule>
    <cfRule type="expression" priority="555" dxfId="0">
      <formula>AND(IF($Q62=3,1,IF($Q62=4,1,0)),IF($F62&lt;=85,1,0))</formula>
    </cfRule>
  </conditionalFormatting>
  <conditionalFormatting sqref="AI62">
    <cfRule type="expression" priority="548" dxfId="3">
      <formula>AND(IF(OR($Q62=1,$Q62=2),1,0),IF($X62&lt;=20,1,0))</formula>
    </cfRule>
    <cfRule type="expression" priority="549" dxfId="2">
      <formula>AND(IF($Q62=2,1,0),IF($X62&lt;30,1,0))</formula>
    </cfRule>
    <cfRule type="expression" priority="550" dxfId="1">
      <formula>AND(IF($Q62=3,1,0),IF($X62&lt;30,1,0))</formula>
    </cfRule>
    <cfRule type="expression" priority="551" dxfId="0">
      <formula>AND(IF($Q62=3,1,IF($Q62=4,1,0)),IF($F62&lt;=85,1,0))</formula>
    </cfRule>
  </conditionalFormatting>
  <conditionalFormatting sqref="AV63">
    <cfRule type="expression" priority="546" dxfId="17">
      <formula>AV63="X"</formula>
    </cfRule>
    <cfRule type="expression" priority="547" dxfId="16">
      <formula>AV63="후보"</formula>
    </cfRule>
  </conditionalFormatting>
  <conditionalFormatting sqref="AC63">
    <cfRule type="cellIs" priority="543" operator="greaterThan" dxfId="13">
      <formula>0.9</formula>
    </cfRule>
    <cfRule type="cellIs" priority="544" operator="greaterThan" dxfId="12">
      <formula>0.85</formula>
    </cfRule>
  </conditionalFormatting>
  <conditionalFormatting sqref="N63">
    <cfRule type="cellIs" priority="541" operator="greaterThan" dxfId="13">
      <formula>0.9</formula>
    </cfRule>
    <cfRule type="cellIs" priority="542" operator="greaterThan" dxfId="12">
      <formula>0.85</formula>
    </cfRule>
  </conditionalFormatting>
  <conditionalFormatting sqref="E63">
    <cfRule type="expression" priority="537" dxfId="3">
      <formula>AND(IF(OR($Q63=1,$Q63=2),1,0),IF($X63&lt;=20,1,0))</formula>
    </cfRule>
    <cfRule type="expression" priority="538" dxfId="2">
      <formula>AND(IF($Q63=2,1,0),IF($X63&lt;30,1,0))</formula>
    </cfRule>
    <cfRule type="expression" priority="539" dxfId="1">
      <formula>AND(IF($Q63=3,1,0),IF($X63&lt;30,1,0))</formula>
    </cfRule>
    <cfRule type="expression" priority="540" dxfId="0">
      <formula>AND(IF($Q63=3,1,IF($Q63=4,1,0)),IF($F63&lt;=85,1,0))</formula>
    </cfRule>
  </conditionalFormatting>
  <conditionalFormatting sqref="X63">
    <cfRule type="expression" priority="533" dxfId="3">
      <formula>AND(IF(OR($Q63=1,$Q63=2),1,0),IF($X63&lt;=20,1,0))</formula>
    </cfRule>
    <cfRule type="expression" priority="534" dxfId="2">
      <formula>AND(IF($Q63=2,1,0),IF($X63&lt;30,1,0))</formula>
    </cfRule>
    <cfRule type="expression" priority="535" dxfId="1">
      <formula>AND(IF($Q63=3,1,0),IF($X63&lt;30,1,0))</formula>
    </cfRule>
    <cfRule type="expression" priority="536" dxfId="0">
      <formula>AND(IF($Q63=3,1,IF($Q63=4,1,0)),IF($F63&lt;=85,1,0))</formula>
    </cfRule>
  </conditionalFormatting>
  <conditionalFormatting sqref="AI63">
    <cfRule type="expression" priority="529" dxfId="3">
      <formula>AND(IF(OR($Q63=1,$Q63=2),1,0),IF($X63&lt;=20,1,0))</formula>
    </cfRule>
    <cfRule type="expression" priority="530" dxfId="2">
      <formula>AND(IF($Q63=2,1,0),IF($X63&lt;30,1,0))</formula>
    </cfRule>
    <cfRule type="expression" priority="531" dxfId="1">
      <formula>AND(IF($Q63=3,1,0),IF($X63&lt;30,1,0))</formula>
    </cfRule>
    <cfRule type="expression" priority="532" dxfId="0">
      <formula>AND(IF($Q63=3,1,IF($Q63=4,1,0)),IF($F63&lt;=85,1,0))</formula>
    </cfRule>
  </conditionalFormatting>
  <conditionalFormatting sqref="AV64">
    <cfRule type="expression" priority="527" dxfId="17">
      <formula>AV64="X"</formula>
    </cfRule>
    <cfRule type="expression" priority="528" dxfId="16">
      <formula>AV64="후보"</formula>
    </cfRule>
  </conditionalFormatting>
  <conditionalFormatting sqref="AC64">
    <cfRule type="cellIs" priority="524" operator="greaterThan" dxfId="13">
      <formula>0.9</formula>
    </cfRule>
    <cfRule type="cellIs" priority="525" operator="greaterThan" dxfId="12">
      <formula>0.85</formula>
    </cfRule>
  </conditionalFormatting>
  <conditionalFormatting sqref="N64">
    <cfRule type="cellIs" priority="522" operator="greaterThan" dxfId="13">
      <formula>0.9</formula>
    </cfRule>
    <cfRule type="cellIs" priority="523" operator="greaterThan" dxfId="12">
      <formula>0.85</formula>
    </cfRule>
  </conditionalFormatting>
  <conditionalFormatting sqref="E64">
    <cfRule type="expression" priority="518" dxfId="3">
      <formula>AND(IF(OR($Q64=1,$Q64=2),1,0),IF($X64&lt;=20,1,0))</formula>
    </cfRule>
    <cfRule type="expression" priority="519" dxfId="2">
      <formula>AND(IF($Q64=2,1,0),IF($X64&lt;30,1,0))</formula>
    </cfRule>
    <cfRule type="expression" priority="520" dxfId="1">
      <formula>AND(IF($Q64=3,1,0),IF($X64&lt;30,1,0))</formula>
    </cfRule>
    <cfRule type="expression" priority="521" dxfId="0">
      <formula>AND(IF($Q64=3,1,IF($Q64=4,1,0)),IF($F64&lt;=85,1,0))</formula>
    </cfRule>
  </conditionalFormatting>
  <conditionalFormatting sqref="X64">
    <cfRule type="expression" priority="514" dxfId="3">
      <formula>AND(IF(OR($Q64=1,$Q64=2),1,0),IF($X64&lt;=20,1,0))</formula>
    </cfRule>
    <cfRule type="expression" priority="515" dxfId="2">
      <formula>AND(IF($Q64=2,1,0),IF($X64&lt;30,1,0))</formula>
    </cfRule>
    <cfRule type="expression" priority="516" dxfId="1">
      <formula>AND(IF($Q64=3,1,0),IF($X64&lt;30,1,0))</formula>
    </cfRule>
    <cfRule type="expression" priority="517" dxfId="0">
      <formula>AND(IF($Q64=3,1,IF($Q64=4,1,0)),IF($F64&lt;=85,1,0))</formula>
    </cfRule>
  </conditionalFormatting>
  <conditionalFormatting sqref="AI64">
    <cfRule type="expression" priority="510" dxfId="3">
      <formula>AND(IF(OR($Q64=1,$Q64=2),1,0),IF($X64&lt;=20,1,0))</formula>
    </cfRule>
    <cfRule type="expression" priority="511" dxfId="2">
      <formula>AND(IF($Q64=2,1,0),IF($X64&lt;30,1,0))</formula>
    </cfRule>
    <cfRule type="expression" priority="512" dxfId="1">
      <formula>AND(IF($Q64=3,1,0),IF($X64&lt;30,1,0))</formula>
    </cfRule>
    <cfRule type="expression" priority="513" dxfId="0">
      <formula>AND(IF($Q64=3,1,IF($Q64=4,1,0)),IF($F64&lt;=85,1,0))</formula>
    </cfRule>
  </conditionalFormatting>
  <conditionalFormatting sqref="AV65">
    <cfRule type="expression" priority="508" dxfId="17">
      <formula>AV65="X"</formula>
    </cfRule>
    <cfRule type="expression" priority="509" dxfId="16">
      <formula>AV65="후보"</formula>
    </cfRule>
  </conditionalFormatting>
  <conditionalFormatting sqref="AC65">
    <cfRule type="cellIs" priority="505" operator="greaterThan" dxfId="13">
      <formula>0.9</formula>
    </cfRule>
    <cfRule type="cellIs" priority="506" operator="greaterThan" dxfId="12">
      <formula>0.85</formula>
    </cfRule>
  </conditionalFormatting>
  <conditionalFormatting sqref="N65">
    <cfRule type="cellIs" priority="503" operator="greaterThan" dxfId="13">
      <formula>0.9</formula>
    </cfRule>
    <cfRule type="cellIs" priority="504" operator="greaterThan" dxfId="12">
      <formula>0.85</formula>
    </cfRule>
  </conditionalFormatting>
  <conditionalFormatting sqref="E65">
    <cfRule type="expression" priority="499" dxfId="3">
      <formula>AND(IF(OR($Q65=1,$Q65=2),1,0),IF($X65&lt;=20,1,0))</formula>
    </cfRule>
    <cfRule type="expression" priority="500" dxfId="2">
      <formula>AND(IF($Q65=2,1,0),IF($X65&lt;30,1,0))</formula>
    </cfRule>
    <cfRule type="expression" priority="501" dxfId="1">
      <formula>AND(IF($Q65=3,1,0),IF($X65&lt;30,1,0))</formula>
    </cfRule>
    <cfRule type="expression" priority="502" dxfId="0">
      <formula>AND(IF($Q65=3,1,IF($Q65=4,1,0)),IF($F65&lt;=85,1,0))</formula>
    </cfRule>
  </conditionalFormatting>
  <conditionalFormatting sqref="X65">
    <cfRule type="expression" priority="495" dxfId="3">
      <formula>AND(IF(OR($Q65=1,$Q65=2),1,0),IF($X65&lt;=20,1,0))</formula>
    </cfRule>
    <cfRule type="expression" priority="496" dxfId="2">
      <formula>AND(IF($Q65=2,1,0),IF($X65&lt;30,1,0))</formula>
    </cfRule>
    <cfRule type="expression" priority="497" dxfId="1">
      <formula>AND(IF($Q65=3,1,0),IF($X65&lt;30,1,0))</formula>
    </cfRule>
    <cfRule type="expression" priority="498" dxfId="0">
      <formula>AND(IF($Q65=3,1,IF($Q65=4,1,0)),IF($F65&lt;=85,1,0))</formula>
    </cfRule>
  </conditionalFormatting>
  <conditionalFormatting sqref="AI65">
    <cfRule type="expression" priority="491" dxfId="3">
      <formula>AND(IF(OR($Q65=1,$Q65=2),1,0),IF($X65&lt;=20,1,0))</formula>
    </cfRule>
    <cfRule type="expression" priority="492" dxfId="2">
      <formula>AND(IF($Q65=2,1,0),IF($X65&lt;30,1,0))</formula>
    </cfRule>
    <cfRule type="expression" priority="493" dxfId="1">
      <formula>AND(IF($Q65=3,1,0),IF($X65&lt;30,1,0))</formula>
    </cfRule>
    <cfRule type="expression" priority="494" dxfId="0">
      <formula>AND(IF($Q65=3,1,IF($Q65=4,1,0)),IF($F65&lt;=85,1,0))</formula>
    </cfRule>
  </conditionalFormatting>
  <conditionalFormatting sqref="AV66">
    <cfRule type="expression" priority="489" dxfId="17">
      <formula>AV66="X"</formula>
    </cfRule>
    <cfRule type="expression" priority="490" dxfId="16">
      <formula>AV66="후보"</formula>
    </cfRule>
  </conditionalFormatting>
  <conditionalFormatting sqref="AC66">
    <cfRule type="cellIs" priority="486" operator="greaterThan" dxfId="13">
      <formula>0.9</formula>
    </cfRule>
    <cfRule type="cellIs" priority="487" operator="greaterThan" dxfId="12">
      <formula>0.85</formula>
    </cfRule>
  </conditionalFormatting>
  <conditionalFormatting sqref="N66">
    <cfRule type="cellIs" priority="484" operator="greaterThan" dxfId="13">
      <formula>0.9</formula>
    </cfRule>
    <cfRule type="cellIs" priority="485" operator="greaterThan" dxfId="12">
      <formula>0.85</formula>
    </cfRule>
  </conditionalFormatting>
  <conditionalFormatting sqref="E66">
    <cfRule type="expression" priority="480" dxfId="3">
      <formula>AND(IF(OR($Q66=1,$Q66=2),1,0),IF($X66&lt;=20,1,0))</formula>
    </cfRule>
    <cfRule type="expression" priority="481" dxfId="2">
      <formula>AND(IF($Q66=2,1,0),IF($X66&lt;30,1,0))</formula>
    </cfRule>
    <cfRule type="expression" priority="482" dxfId="1">
      <formula>AND(IF($Q66=3,1,0),IF($X66&lt;30,1,0))</formula>
    </cfRule>
    <cfRule type="expression" priority="483" dxfId="0">
      <formula>AND(IF($Q66=3,1,IF($Q66=4,1,0)),IF($F66&lt;=85,1,0))</formula>
    </cfRule>
  </conditionalFormatting>
  <conditionalFormatting sqref="X66">
    <cfRule type="expression" priority="476" dxfId="3">
      <formula>AND(IF(OR($Q66=1,$Q66=2),1,0),IF($X66&lt;=20,1,0))</formula>
    </cfRule>
    <cfRule type="expression" priority="477" dxfId="2">
      <formula>AND(IF($Q66=2,1,0),IF($X66&lt;30,1,0))</formula>
    </cfRule>
    <cfRule type="expression" priority="478" dxfId="1">
      <formula>AND(IF($Q66=3,1,0),IF($X66&lt;30,1,0))</formula>
    </cfRule>
    <cfRule type="expression" priority="479" dxfId="0">
      <formula>AND(IF($Q66=3,1,IF($Q66=4,1,0)),IF($F66&lt;=85,1,0))</formula>
    </cfRule>
  </conditionalFormatting>
  <conditionalFormatting sqref="AI66">
    <cfRule type="expression" priority="472" dxfId="3">
      <formula>AND(IF(OR($Q66=1,$Q66=2),1,0),IF($X66&lt;=20,1,0))</formula>
    </cfRule>
    <cfRule type="expression" priority="473" dxfId="2">
      <formula>AND(IF($Q66=2,1,0),IF($X66&lt;30,1,0))</formula>
    </cfRule>
    <cfRule type="expression" priority="474" dxfId="1">
      <formula>AND(IF($Q66=3,1,0),IF($X66&lt;30,1,0))</formula>
    </cfRule>
    <cfRule type="expression" priority="475" dxfId="0">
      <formula>AND(IF($Q66=3,1,IF($Q66=4,1,0)),IF($F66&lt;=85,1,0))</formula>
    </cfRule>
  </conditionalFormatting>
  <conditionalFormatting sqref="AV67">
    <cfRule type="expression" priority="470" dxfId="17">
      <formula>AV67="X"</formula>
    </cfRule>
    <cfRule type="expression" priority="471" dxfId="16">
      <formula>AV67="후보"</formula>
    </cfRule>
  </conditionalFormatting>
  <conditionalFormatting sqref="AC67">
    <cfRule type="cellIs" priority="467" operator="greaterThan" dxfId="13">
      <formula>0.9</formula>
    </cfRule>
    <cfRule type="cellIs" priority="468" operator="greaterThan" dxfId="12">
      <formula>0.85</formula>
    </cfRule>
  </conditionalFormatting>
  <conditionalFormatting sqref="N67">
    <cfRule type="cellIs" priority="465" operator="greaterThan" dxfId="13">
      <formula>0.9</formula>
    </cfRule>
    <cfRule type="cellIs" priority="466" operator="greaterThan" dxfId="12">
      <formula>0.85</formula>
    </cfRule>
  </conditionalFormatting>
  <conditionalFormatting sqref="E67">
    <cfRule type="expression" priority="461" dxfId="3">
      <formula>AND(IF(OR($Q67=1,$Q67=2),1,0),IF($X67&lt;=20,1,0))</formula>
    </cfRule>
    <cfRule type="expression" priority="462" dxfId="2">
      <formula>AND(IF($Q67=2,1,0),IF($X67&lt;30,1,0))</formula>
    </cfRule>
    <cfRule type="expression" priority="463" dxfId="1">
      <formula>AND(IF($Q67=3,1,0),IF($X67&lt;30,1,0))</formula>
    </cfRule>
    <cfRule type="expression" priority="464" dxfId="0">
      <formula>AND(IF($Q67=3,1,IF($Q67=4,1,0)),IF($F67&lt;=85,1,0))</formula>
    </cfRule>
  </conditionalFormatting>
  <conditionalFormatting sqref="X67">
    <cfRule type="expression" priority="457" dxfId="3">
      <formula>AND(IF(OR($Q67=1,$Q67=2),1,0),IF($X67&lt;=20,1,0))</formula>
    </cfRule>
    <cfRule type="expression" priority="458" dxfId="2">
      <formula>AND(IF($Q67=2,1,0),IF($X67&lt;30,1,0))</formula>
    </cfRule>
    <cfRule type="expression" priority="459" dxfId="1">
      <formula>AND(IF($Q67=3,1,0),IF($X67&lt;30,1,0))</formula>
    </cfRule>
    <cfRule type="expression" priority="460" dxfId="0">
      <formula>AND(IF($Q67=3,1,IF($Q67=4,1,0)),IF($F67&lt;=85,1,0))</formula>
    </cfRule>
  </conditionalFormatting>
  <conditionalFormatting sqref="AI67">
    <cfRule type="expression" priority="453" dxfId="3">
      <formula>AND(IF(OR($Q67=1,$Q67=2),1,0),IF($X67&lt;=20,1,0))</formula>
    </cfRule>
    <cfRule type="expression" priority="454" dxfId="2">
      <formula>AND(IF($Q67=2,1,0),IF($X67&lt;30,1,0))</formula>
    </cfRule>
    <cfRule type="expression" priority="455" dxfId="1">
      <formula>AND(IF($Q67=3,1,0),IF($X67&lt;30,1,0))</formula>
    </cfRule>
    <cfRule type="expression" priority="456" dxfId="0">
      <formula>AND(IF($Q67=3,1,IF($Q67=4,1,0)),IF($F67&lt;=85,1,0))</formula>
    </cfRule>
  </conditionalFormatting>
  <conditionalFormatting sqref="AV68">
    <cfRule type="expression" priority="451" dxfId="17">
      <formula>AV68="X"</formula>
    </cfRule>
    <cfRule type="expression" priority="452" dxfId="16">
      <formula>AV68="후보"</formula>
    </cfRule>
  </conditionalFormatting>
  <conditionalFormatting sqref="AC68">
    <cfRule type="cellIs" priority="448" operator="greaterThan" dxfId="13">
      <formula>0.9</formula>
    </cfRule>
    <cfRule type="cellIs" priority="449" operator="greaterThan" dxfId="12">
      <formula>0.85</formula>
    </cfRule>
  </conditionalFormatting>
  <conditionalFormatting sqref="N68">
    <cfRule type="cellIs" priority="446" operator="greaterThan" dxfId="13">
      <formula>0.9</formula>
    </cfRule>
    <cfRule type="cellIs" priority="447" operator="greaterThan" dxfId="12">
      <formula>0.85</formula>
    </cfRule>
  </conditionalFormatting>
  <conditionalFormatting sqref="E68">
    <cfRule type="expression" priority="442" dxfId="3">
      <formula>AND(IF(OR($Q68=1,$Q68=2),1,0),IF($X68&lt;=20,1,0))</formula>
    </cfRule>
    <cfRule type="expression" priority="443" dxfId="2">
      <formula>AND(IF($Q68=2,1,0),IF($X68&lt;30,1,0))</formula>
    </cfRule>
    <cfRule type="expression" priority="444" dxfId="1">
      <formula>AND(IF($Q68=3,1,0),IF($X68&lt;30,1,0))</formula>
    </cfRule>
    <cfRule type="expression" priority="445" dxfId="0">
      <formula>AND(IF($Q68=3,1,IF($Q68=4,1,0)),IF($F68&lt;=85,1,0))</formula>
    </cfRule>
  </conditionalFormatting>
  <conditionalFormatting sqref="X68">
    <cfRule type="expression" priority="438" dxfId="3">
      <formula>AND(IF(OR($Q68=1,$Q68=2),1,0),IF($X68&lt;=20,1,0))</formula>
    </cfRule>
    <cfRule type="expression" priority="439" dxfId="2">
      <formula>AND(IF($Q68=2,1,0),IF($X68&lt;30,1,0))</formula>
    </cfRule>
    <cfRule type="expression" priority="440" dxfId="1">
      <formula>AND(IF($Q68=3,1,0),IF($X68&lt;30,1,0))</formula>
    </cfRule>
    <cfRule type="expression" priority="441" dxfId="0">
      <formula>AND(IF($Q68=3,1,IF($Q68=4,1,0)),IF($F68&lt;=85,1,0))</formula>
    </cfRule>
  </conditionalFormatting>
  <conditionalFormatting sqref="AI68">
    <cfRule type="expression" priority="434" dxfId="3">
      <formula>AND(IF(OR($Q68=1,$Q68=2),1,0),IF($X68&lt;=20,1,0))</formula>
    </cfRule>
    <cfRule type="expression" priority="435" dxfId="2">
      <formula>AND(IF($Q68=2,1,0),IF($X68&lt;30,1,0))</formula>
    </cfRule>
    <cfRule type="expression" priority="436" dxfId="1">
      <formula>AND(IF($Q68=3,1,0),IF($X68&lt;30,1,0))</formula>
    </cfRule>
    <cfRule type="expression" priority="437" dxfId="0">
      <formula>AND(IF($Q68=3,1,IF($Q68=4,1,0)),IF($F68&lt;=85,1,0))</formula>
    </cfRule>
  </conditionalFormatting>
  <conditionalFormatting sqref="AV69">
    <cfRule type="expression" priority="432" dxfId="17">
      <formula>AV69="X"</formula>
    </cfRule>
    <cfRule type="expression" priority="433" dxfId="16">
      <formula>AV69="후보"</formula>
    </cfRule>
  </conditionalFormatting>
  <conditionalFormatting sqref="AC69">
    <cfRule type="cellIs" priority="429" operator="greaterThan" dxfId="13">
      <formula>0.9</formula>
    </cfRule>
    <cfRule type="cellIs" priority="430" operator="greaterThan" dxfId="12">
      <formula>0.85</formula>
    </cfRule>
  </conditionalFormatting>
  <conditionalFormatting sqref="N69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E69">
    <cfRule type="expression" priority="423" dxfId="3">
      <formula>AND(IF(OR($Q69=1,$Q69=2),1,0),IF($X69&lt;=20,1,0))</formula>
    </cfRule>
    <cfRule type="expression" priority="424" dxfId="2">
      <formula>AND(IF($Q69=2,1,0),IF($X69&lt;30,1,0))</formula>
    </cfRule>
    <cfRule type="expression" priority="425" dxfId="1">
      <formula>AND(IF($Q69=3,1,0),IF($X69&lt;30,1,0))</formula>
    </cfRule>
    <cfRule type="expression" priority="426" dxfId="0">
      <formula>AND(IF($Q69=3,1,IF($Q69=4,1,0)),IF($F69&lt;=85,1,0))</formula>
    </cfRule>
  </conditionalFormatting>
  <conditionalFormatting sqref="X69">
    <cfRule type="expression" priority="419" dxfId="3">
      <formula>AND(IF(OR($Q69=1,$Q69=2),1,0),IF($X69&lt;=20,1,0))</formula>
    </cfRule>
    <cfRule type="expression" priority="420" dxfId="2">
      <formula>AND(IF($Q69=2,1,0),IF($X69&lt;30,1,0))</formula>
    </cfRule>
    <cfRule type="expression" priority="421" dxfId="1">
      <formula>AND(IF($Q69=3,1,0),IF($X69&lt;30,1,0))</formula>
    </cfRule>
    <cfRule type="expression" priority="422" dxfId="0">
      <formula>AND(IF($Q69=3,1,IF($Q69=4,1,0)),IF($F69&lt;=85,1,0))</formula>
    </cfRule>
  </conditionalFormatting>
  <conditionalFormatting sqref="AI69">
    <cfRule type="expression" priority="415" dxfId="3">
      <formula>AND(IF(OR($Q69=1,$Q69=2),1,0),IF($X69&lt;=20,1,0))</formula>
    </cfRule>
    <cfRule type="expression" priority="416" dxfId="2">
      <formula>AND(IF($Q69=2,1,0),IF($X69&lt;30,1,0))</formula>
    </cfRule>
    <cfRule type="expression" priority="417" dxfId="1">
      <formula>AND(IF($Q69=3,1,0),IF($X69&lt;30,1,0))</formula>
    </cfRule>
    <cfRule type="expression" priority="418" dxfId="0">
      <formula>AND(IF($Q69=3,1,IF($Q69=4,1,0)),IF($F69&lt;=85,1,0))</formula>
    </cfRule>
  </conditionalFormatting>
  <conditionalFormatting sqref="AV70">
    <cfRule type="expression" priority="413" dxfId="17">
      <formula>AV70="X"</formula>
    </cfRule>
    <cfRule type="expression" priority="414" dxfId="16">
      <formula>AV70="후보"</formula>
    </cfRule>
  </conditionalFormatting>
  <conditionalFormatting sqref="AC70">
    <cfRule type="cellIs" priority="410" operator="greaterThan" dxfId="13">
      <formula>0.9</formula>
    </cfRule>
    <cfRule type="cellIs" priority="411" operator="greaterThan" dxfId="12">
      <formula>0.85</formula>
    </cfRule>
  </conditionalFormatting>
  <conditionalFormatting sqref="N70">
    <cfRule type="cellIs" priority="408" operator="greaterThan" dxfId="13">
      <formula>0.9</formula>
    </cfRule>
    <cfRule type="cellIs" priority="409" operator="greaterThan" dxfId="12">
      <formula>0.85</formula>
    </cfRule>
  </conditionalFormatting>
  <conditionalFormatting sqref="E70">
    <cfRule type="expression" priority="404" dxfId="3">
      <formula>AND(IF(OR($Q70=1,$Q70=2),1,0),IF($X70&lt;=20,1,0))</formula>
    </cfRule>
    <cfRule type="expression" priority="405" dxfId="2">
      <formula>AND(IF($Q70=2,1,0),IF($X70&lt;30,1,0))</formula>
    </cfRule>
    <cfRule type="expression" priority="406" dxfId="1">
      <formula>AND(IF($Q70=3,1,0),IF($X70&lt;30,1,0))</formula>
    </cfRule>
    <cfRule type="expression" priority="407" dxfId="0">
      <formula>AND(IF($Q70=3,1,IF($Q70=4,1,0)),IF($F70&lt;=85,1,0))</formula>
    </cfRule>
  </conditionalFormatting>
  <conditionalFormatting sqref="X70">
    <cfRule type="expression" priority="400" dxfId="3">
      <formula>AND(IF(OR($Q70=1,$Q70=2),1,0),IF($X70&lt;=20,1,0))</formula>
    </cfRule>
    <cfRule type="expression" priority="401" dxfId="2">
      <formula>AND(IF($Q70=2,1,0),IF($X70&lt;30,1,0))</formula>
    </cfRule>
    <cfRule type="expression" priority="402" dxfId="1">
      <formula>AND(IF($Q70=3,1,0),IF($X70&lt;30,1,0))</formula>
    </cfRule>
    <cfRule type="expression" priority="403" dxfId="0">
      <formula>AND(IF($Q70=3,1,IF($Q70=4,1,0)),IF($F70&lt;=85,1,0))</formula>
    </cfRule>
  </conditionalFormatting>
  <conditionalFormatting sqref="AI70">
    <cfRule type="expression" priority="396" dxfId="3">
      <formula>AND(IF(OR($Q70=1,$Q70=2),1,0),IF($X70&lt;=20,1,0))</formula>
    </cfRule>
    <cfRule type="expression" priority="397" dxfId="2">
      <formula>AND(IF($Q70=2,1,0),IF($X70&lt;30,1,0))</formula>
    </cfRule>
    <cfRule type="expression" priority="398" dxfId="1">
      <formula>AND(IF($Q70=3,1,0),IF($X70&lt;30,1,0))</formula>
    </cfRule>
    <cfRule type="expression" priority="399" dxfId="0">
      <formula>AND(IF($Q70=3,1,IF($Q70=4,1,0)),IF($F70&lt;=85,1,0))</formula>
    </cfRule>
  </conditionalFormatting>
  <conditionalFormatting sqref="AV71">
    <cfRule type="expression" priority="394" dxfId="17">
      <formula>AV71="X"</formula>
    </cfRule>
    <cfRule type="expression" priority="395" dxfId="16">
      <formula>AV71="후보"</formula>
    </cfRule>
  </conditionalFormatting>
  <conditionalFormatting sqref="AC71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N71">
    <cfRule type="cellIs" priority="389" operator="greaterThan" dxfId="13">
      <formula>0.9</formula>
    </cfRule>
    <cfRule type="cellIs" priority="390" operator="greaterThan" dxfId="12">
      <formula>0.85</formula>
    </cfRule>
  </conditionalFormatting>
  <conditionalFormatting sqref="E71">
    <cfRule type="expression" priority="385" dxfId="3">
      <formula>AND(IF(OR($Q71=1,$Q71=2),1,0),IF($X71&lt;=20,1,0))</formula>
    </cfRule>
    <cfRule type="expression" priority="386" dxfId="2">
      <formula>AND(IF($Q71=2,1,0),IF($X71&lt;30,1,0))</formula>
    </cfRule>
    <cfRule type="expression" priority="387" dxfId="1">
      <formula>AND(IF($Q71=3,1,0),IF($X71&lt;30,1,0))</formula>
    </cfRule>
    <cfRule type="expression" priority="388" dxfId="0">
      <formula>AND(IF($Q71=3,1,IF($Q71=4,1,0)),IF($F71&lt;=85,1,0))</formula>
    </cfRule>
  </conditionalFormatting>
  <conditionalFormatting sqref="X71">
    <cfRule type="expression" priority="381" dxfId="3">
      <formula>AND(IF(OR($Q71=1,$Q71=2),1,0),IF($X71&lt;=20,1,0))</formula>
    </cfRule>
    <cfRule type="expression" priority="382" dxfId="2">
      <formula>AND(IF($Q71=2,1,0),IF($X71&lt;30,1,0))</formula>
    </cfRule>
    <cfRule type="expression" priority="383" dxfId="1">
      <formula>AND(IF($Q71=3,1,0),IF($X71&lt;30,1,0))</formula>
    </cfRule>
    <cfRule type="expression" priority="384" dxfId="0">
      <formula>AND(IF($Q71=3,1,IF($Q71=4,1,0)),IF($F71&lt;=85,1,0))</formula>
    </cfRule>
  </conditionalFormatting>
  <conditionalFormatting sqref="AI71">
    <cfRule type="expression" priority="377" dxfId="3">
      <formula>AND(IF(OR($Q71=1,$Q71=2),1,0),IF($X71&lt;=20,1,0))</formula>
    </cfRule>
    <cfRule type="expression" priority="378" dxfId="2">
      <formula>AND(IF($Q71=2,1,0),IF($X71&lt;30,1,0))</formula>
    </cfRule>
    <cfRule type="expression" priority="379" dxfId="1">
      <formula>AND(IF($Q71=3,1,0),IF($X71&lt;30,1,0))</formula>
    </cfRule>
    <cfRule type="expression" priority="380" dxfId="0">
      <formula>AND(IF($Q71=3,1,IF($Q71=4,1,0)),IF($F71&lt;=85,1,0))</formula>
    </cfRule>
  </conditionalFormatting>
  <conditionalFormatting sqref="AV72">
    <cfRule type="expression" priority="375" dxfId="17">
      <formula>AV72="X"</formula>
    </cfRule>
    <cfRule type="expression" priority="376" dxfId="16">
      <formula>AV72="후보"</formula>
    </cfRule>
  </conditionalFormatting>
  <conditionalFormatting sqref="AC72">
    <cfRule type="cellIs" priority="372" operator="greaterThan" dxfId="13">
      <formula>0.9</formula>
    </cfRule>
    <cfRule type="cellIs" priority="373" operator="greaterThan" dxfId="12">
      <formula>0.85</formula>
    </cfRule>
  </conditionalFormatting>
  <conditionalFormatting sqref="N72">
    <cfRule type="cellIs" priority="370" operator="greaterThan" dxfId="13">
      <formula>0.9</formula>
    </cfRule>
    <cfRule type="cellIs" priority="371" operator="greaterThan" dxfId="12">
      <formula>0.85</formula>
    </cfRule>
  </conditionalFormatting>
  <conditionalFormatting sqref="E72">
    <cfRule type="expression" priority="366" dxfId="3">
      <formula>AND(IF(OR($Q72=1,$Q72=2),1,0),IF($X72&lt;=20,1,0))</formula>
    </cfRule>
    <cfRule type="expression" priority="367" dxfId="2">
      <formula>AND(IF($Q72=2,1,0),IF($X72&lt;30,1,0))</formula>
    </cfRule>
    <cfRule type="expression" priority="368" dxfId="1">
      <formula>AND(IF($Q72=3,1,0),IF($X72&lt;30,1,0))</formula>
    </cfRule>
    <cfRule type="expression" priority="369" dxfId="0">
      <formula>AND(IF($Q72=3,1,IF($Q72=4,1,0)),IF($F72&lt;=85,1,0))</formula>
    </cfRule>
  </conditionalFormatting>
  <conditionalFormatting sqref="X72">
    <cfRule type="expression" priority="362" dxfId="3">
      <formula>AND(IF(OR($Q72=1,$Q72=2),1,0),IF($X72&lt;=20,1,0))</formula>
    </cfRule>
    <cfRule type="expression" priority="363" dxfId="2">
      <formula>AND(IF($Q72=2,1,0),IF($X72&lt;30,1,0))</formula>
    </cfRule>
    <cfRule type="expression" priority="364" dxfId="1">
      <formula>AND(IF($Q72=3,1,0),IF($X72&lt;30,1,0))</formula>
    </cfRule>
    <cfRule type="expression" priority="365" dxfId="0">
      <formula>AND(IF($Q72=3,1,IF($Q72=4,1,0)),IF($F72&lt;=85,1,0))</formula>
    </cfRule>
  </conditionalFormatting>
  <conditionalFormatting sqref="AI72">
    <cfRule type="expression" priority="358" dxfId="3">
      <formula>AND(IF(OR($Q72=1,$Q72=2),1,0),IF($X72&lt;=20,1,0))</formula>
    </cfRule>
    <cfRule type="expression" priority="359" dxfId="2">
      <formula>AND(IF($Q72=2,1,0),IF($X72&lt;30,1,0))</formula>
    </cfRule>
    <cfRule type="expression" priority="360" dxfId="1">
      <formula>AND(IF($Q72=3,1,0),IF($X72&lt;30,1,0))</formula>
    </cfRule>
    <cfRule type="expression" priority="361" dxfId="0">
      <formula>AND(IF($Q72=3,1,IF($Q72=4,1,0)),IF($F72&lt;=85,1,0))</formula>
    </cfRule>
  </conditionalFormatting>
  <conditionalFormatting sqref="AV73">
    <cfRule type="expression" priority="356" dxfId="17">
      <formula>AV73="X"</formula>
    </cfRule>
    <cfRule type="expression" priority="357" dxfId="16">
      <formula>AV73="후보"</formula>
    </cfRule>
  </conditionalFormatting>
  <conditionalFormatting sqref="AC73 N73">
    <cfRule type="cellIs" priority="353" operator="greaterThan" dxfId="13">
      <formula>0.9</formula>
    </cfRule>
    <cfRule type="cellIs" priority="354" operator="greaterThan" dxfId="12">
      <formula>0.85</formula>
    </cfRule>
  </conditionalFormatting>
  <conditionalFormatting sqref="AV74">
    <cfRule type="expression" priority="351" dxfId="17">
      <formula>AV74="X"</formula>
    </cfRule>
    <cfRule type="expression" priority="352" dxfId="16">
      <formula>AV74="후보"</formula>
    </cfRule>
  </conditionalFormatting>
  <conditionalFormatting sqref="AC74">
    <cfRule type="cellIs" priority="348" operator="greaterThan" dxfId="13">
      <formula>0.9</formula>
    </cfRule>
    <cfRule type="cellIs" priority="349" operator="greaterThan" dxfId="12">
      <formula>0.85</formula>
    </cfRule>
  </conditionalFormatting>
  <conditionalFormatting sqref="N74">
    <cfRule type="cellIs" priority="346" operator="greaterThan" dxfId="13">
      <formula>0.9</formula>
    </cfRule>
    <cfRule type="cellIs" priority="347" operator="greaterThan" dxfId="12">
      <formula>0.85</formula>
    </cfRule>
  </conditionalFormatting>
  <conditionalFormatting sqref="E74">
    <cfRule type="expression" priority="342" dxfId="3">
      <formula>AND(IF(OR($Q74=1,$Q74=2),1,0),IF($X74&lt;=20,1,0))</formula>
    </cfRule>
    <cfRule type="expression" priority="343" dxfId="2">
      <formula>AND(IF($Q74=2,1,0),IF($X74&lt;30,1,0))</formula>
    </cfRule>
    <cfRule type="expression" priority="344" dxfId="1">
      <formula>AND(IF($Q74=3,1,0),IF($X74&lt;30,1,0))</formula>
    </cfRule>
    <cfRule type="expression" priority="345" dxfId="0">
      <formula>AND(IF($Q74=3,1,IF($Q74=4,1,0)),IF($F74&lt;=85,1,0))</formula>
    </cfRule>
  </conditionalFormatting>
  <conditionalFormatting sqref="X74">
    <cfRule type="expression" priority="338" dxfId="3">
      <formula>AND(IF(OR($Q74=1,$Q74=2),1,0),IF($X74&lt;=20,1,0))</formula>
    </cfRule>
    <cfRule type="expression" priority="339" dxfId="2">
      <formula>AND(IF($Q74=2,1,0),IF($X74&lt;30,1,0))</formula>
    </cfRule>
    <cfRule type="expression" priority="340" dxfId="1">
      <formula>AND(IF($Q74=3,1,0),IF($X74&lt;30,1,0))</formula>
    </cfRule>
    <cfRule type="expression" priority="341" dxfId="0">
      <formula>AND(IF($Q74=3,1,IF($Q74=4,1,0)),IF($F74&lt;=85,1,0))</formula>
    </cfRule>
  </conditionalFormatting>
  <conditionalFormatting sqref="AI74">
    <cfRule type="expression" priority="334" dxfId="3">
      <formula>AND(IF(OR($Q74=1,$Q74=2),1,0),IF($X74&lt;=20,1,0))</formula>
    </cfRule>
    <cfRule type="expression" priority="335" dxfId="2">
      <formula>AND(IF($Q74=2,1,0),IF($X74&lt;30,1,0))</formula>
    </cfRule>
    <cfRule type="expression" priority="336" dxfId="1">
      <formula>AND(IF($Q74=3,1,0),IF($X74&lt;30,1,0))</formula>
    </cfRule>
    <cfRule type="expression" priority="337" dxfId="0">
      <formula>AND(IF($Q74=3,1,IF($Q74=4,1,0)),IF($F74&lt;=85,1,0))</formula>
    </cfRule>
  </conditionalFormatting>
  <conditionalFormatting sqref="AV75">
    <cfRule type="expression" priority="332" dxfId="17">
      <formula>AV75="X"</formula>
    </cfRule>
    <cfRule type="expression" priority="333" dxfId="16">
      <formula>AV75="후보"</formula>
    </cfRule>
  </conditionalFormatting>
  <conditionalFormatting sqref="AC75">
    <cfRule type="cellIs" priority="329" operator="greaterThan" dxfId="13">
      <formula>0.9</formula>
    </cfRule>
    <cfRule type="cellIs" priority="330" operator="greaterThan" dxfId="12">
      <formula>0.85</formula>
    </cfRule>
  </conditionalFormatting>
  <conditionalFormatting sqref="N75">
    <cfRule type="cellIs" priority="327" operator="greaterThan" dxfId="13">
      <formula>0.9</formula>
    </cfRule>
    <cfRule type="cellIs" priority="328" operator="greaterThan" dxfId="12">
      <formula>0.85</formula>
    </cfRule>
  </conditionalFormatting>
  <conditionalFormatting sqref="E75">
    <cfRule type="expression" priority="323" dxfId="3">
      <formula>AND(IF(OR($Q75=1,$Q75=2),1,0),IF($X75&lt;=20,1,0))</formula>
    </cfRule>
    <cfRule type="expression" priority="324" dxfId="2">
      <formula>AND(IF($Q75=2,1,0),IF($X75&lt;30,1,0))</formula>
    </cfRule>
    <cfRule type="expression" priority="325" dxfId="1">
      <formula>AND(IF($Q75=3,1,0),IF($X75&lt;30,1,0))</formula>
    </cfRule>
    <cfRule type="expression" priority="326" dxfId="0">
      <formula>AND(IF($Q75=3,1,IF($Q75=4,1,0)),IF($F75&lt;=85,1,0))</formula>
    </cfRule>
  </conditionalFormatting>
  <conditionalFormatting sqref="X75">
    <cfRule type="expression" priority="319" dxfId="3">
      <formula>AND(IF(OR($Q75=1,$Q75=2),1,0),IF($X75&lt;=20,1,0))</formula>
    </cfRule>
    <cfRule type="expression" priority="320" dxfId="2">
      <formula>AND(IF($Q75=2,1,0),IF($X75&lt;30,1,0))</formula>
    </cfRule>
    <cfRule type="expression" priority="321" dxfId="1">
      <formula>AND(IF($Q75=3,1,0),IF($X75&lt;30,1,0))</formula>
    </cfRule>
    <cfRule type="expression" priority="322" dxfId="0">
      <formula>AND(IF($Q75=3,1,IF($Q75=4,1,0)),IF($F75&lt;=85,1,0))</formula>
    </cfRule>
  </conditionalFormatting>
  <conditionalFormatting sqref="AI75">
    <cfRule type="expression" priority="315" dxfId="3">
      <formula>AND(IF(OR($Q75=1,$Q75=2),1,0),IF($X75&lt;=20,1,0))</formula>
    </cfRule>
    <cfRule type="expression" priority="316" dxfId="2">
      <formula>AND(IF($Q75=2,1,0),IF($X75&lt;30,1,0))</formula>
    </cfRule>
    <cfRule type="expression" priority="317" dxfId="1">
      <formula>AND(IF($Q75=3,1,0),IF($X75&lt;30,1,0))</formula>
    </cfRule>
    <cfRule type="expression" priority="318" dxfId="0">
      <formula>AND(IF($Q75=3,1,IF($Q75=4,1,0)),IF($F75&lt;=85,1,0))</formula>
    </cfRule>
  </conditionalFormatting>
  <conditionalFormatting sqref="AV76">
    <cfRule type="expression" priority="313" dxfId="17">
      <formula>AV76="X"</formula>
    </cfRule>
    <cfRule type="expression" priority="314" dxfId="16">
      <formula>AV76="후보"</formula>
    </cfRule>
  </conditionalFormatting>
  <conditionalFormatting sqref="AC76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76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76">
    <cfRule type="expression" priority="304" dxfId="3">
      <formula>AND(IF(OR($Q76=1,$Q76=2),1,0),IF($X76&lt;=20,1,0))</formula>
    </cfRule>
    <cfRule type="expression" priority="305" dxfId="2">
      <formula>AND(IF($Q76=2,1,0),IF($X76&lt;30,1,0))</formula>
    </cfRule>
    <cfRule type="expression" priority="306" dxfId="1">
      <formula>AND(IF($Q76=3,1,0),IF($X76&lt;30,1,0))</formula>
    </cfRule>
    <cfRule type="expression" priority="307" dxfId="0">
      <formula>AND(IF($Q76=3,1,IF($Q76=4,1,0)),IF($F76&lt;=85,1,0))</formula>
    </cfRule>
  </conditionalFormatting>
  <conditionalFormatting sqref="X76">
    <cfRule type="expression" priority="300" dxfId="3">
      <formula>AND(IF(OR($Q76=1,$Q76=2),1,0),IF($X76&lt;=20,1,0))</formula>
    </cfRule>
    <cfRule type="expression" priority="301" dxfId="2">
      <formula>AND(IF($Q76=2,1,0),IF($X76&lt;30,1,0))</formula>
    </cfRule>
    <cfRule type="expression" priority="302" dxfId="1">
      <formula>AND(IF($Q76=3,1,0),IF($X76&lt;30,1,0))</formula>
    </cfRule>
    <cfRule type="expression" priority="303" dxfId="0">
      <formula>AND(IF($Q76=3,1,IF($Q76=4,1,0)),IF($F76&lt;=85,1,0))</formula>
    </cfRule>
  </conditionalFormatting>
  <conditionalFormatting sqref="AI76">
    <cfRule type="expression" priority="296" dxfId="3">
      <formula>AND(IF(OR($Q76=1,$Q76=2),1,0),IF($X76&lt;=20,1,0))</formula>
    </cfRule>
    <cfRule type="expression" priority="297" dxfId="2">
      <formula>AND(IF($Q76=2,1,0),IF($X76&lt;30,1,0))</formula>
    </cfRule>
    <cfRule type="expression" priority="298" dxfId="1">
      <formula>AND(IF($Q76=3,1,0),IF($X76&lt;30,1,0))</formula>
    </cfRule>
    <cfRule type="expression" priority="299" dxfId="0">
      <formula>AND(IF($Q76=3,1,IF($Q76=4,1,0)),IF($F76&lt;=85,1,0))</formula>
    </cfRule>
  </conditionalFormatting>
  <conditionalFormatting sqref="AV77">
    <cfRule type="expression" priority="294" dxfId="17">
      <formula>AV77="X"</formula>
    </cfRule>
    <cfRule type="expression" priority="295" dxfId="16">
      <formula>AV77="후보"</formula>
    </cfRule>
  </conditionalFormatting>
  <conditionalFormatting sqref="AC77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77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77">
    <cfRule type="expression" priority="285" dxfId="3">
      <formula>AND(IF(OR($Q77=1,$Q77=2),1,0),IF($X77&lt;=20,1,0))</formula>
    </cfRule>
    <cfRule type="expression" priority="286" dxfId="2">
      <formula>AND(IF($Q77=2,1,0),IF($X77&lt;30,1,0))</formula>
    </cfRule>
    <cfRule type="expression" priority="287" dxfId="1">
      <formula>AND(IF($Q77=3,1,0),IF($X77&lt;30,1,0))</formula>
    </cfRule>
    <cfRule type="expression" priority="288" dxfId="0">
      <formula>AND(IF($Q77=3,1,IF($Q77=4,1,0)),IF($F77&lt;=85,1,0))</formula>
    </cfRule>
  </conditionalFormatting>
  <conditionalFormatting sqref="X77">
    <cfRule type="expression" priority="281" dxfId="3">
      <formula>AND(IF(OR($Q77=1,$Q77=2),1,0),IF($X77&lt;=20,1,0))</formula>
    </cfRule>
    <cfRule type="expression" priority="282" dxfId="2">
      <formula>AND(IF($Q77=2,1,0),IF($X77&lt;30,1,0))</formula>
    </cfRule>
    <cfRule type="expression" priority="283" dxfId="1">
      <formula>AND(IF($Q77=3,1,0),IF($X77&lt;30,1,0))</formula>
    </cfRule>
    <cfRule type="expression" priority="284" dxfId="0">
      <formula>AND(IF($Q77=3,1,IF($Q77=4,1,0)),IF($F77&lt;=85,1,0))</formula>
    </cfRule>
  </conditionalFormatting>
  <conditionalFormatting sqref="AI77">
    <cfRule type="expression" priority="277" dxfId="3">
      <formula>AND(IF(OR($Q77=1,$Q77=2),1,0),IF($X77&lt;=20,1,0))</formula>
    </cfRule>
    <cfRule type="expression" priority="278" dxfId="2">
      <formula>AND(IF($Q77=2,1,0),IF($X77&lt;30,1,0))</formula>
    </cfRule>
    <cfRule type="expression" priority="279" dxfId="1">
      <formula>AND(IF($Q77=3,1,0),IF($X77&lt;30,1,0))</formula>
    </cfRule>
    <cfRule type="expression" priority="280" dxfId="0">
      <formula>AND(IF($Q77=3,1,IF($Q77=4,1,0)),IF($F77&lt;=85,1,0))</formula>
    </cfRule>
  </conditionalFormatting>
  <conditionalFormatting sqref="AV78">
    <cfRule type="expression" priority="275" dxfId="17">
      <formula>AV78="X"</formula>
    </cfRule>
    <cfRule type="expression" priority="276" dxfId="16">
      <formula>AV78="후보"</formula>
    </cfRule>
  </conditionalFormatting>
  <conditionalFormatting sqref="AC78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78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78">
    <cfRule type="expression" priority="266" dxfId="3">
      <formula>AND(IF(OR($Q78=1,$Q78=2),1,0),IF($X78&lt;=20,1,0))</formula>
    </cfRule>
    <cfRule type="expression" priority="267" dxfId="2">
      <formula>AND(IF($Q78=2,1,0),IF($X78&lt;30,1,0))</formula>
    </cfRule>
    <cfRule type="expression" priority="268" dxfId="1">
      <formula>AND(IF($Q78=3,1,0),IF($X78&lt;30,1,0))</formula>
    </cfRule>
    <cfRule type="expression" priority="269" dxfId="0">
      <formula>AND(IF($Q78=3,1,IF($Q78=4,1,0)),IF($F78&lt;=85,1,0))</formula>
    </cfRule>
  </conditionalFormatting>
  <conditionalFormatting sqref="X78">
    <cfRule type="expression" priority="262" dxfId="3">
      <formula>AND(IF(OR($Q78=1,$Q78=2),1,0),IF($X78&lt;=20,1,0))</formula>
    </cfRule>
    <cfRule type="expression" priority="263" dxfId="2">
      <formula>AND(IF($Q78=2,1,0),IF($X78&lt;30,1,0))</formula>
    </cfRule>
    <cfRule type="expression" priority="264" dxfId="1">
      <formula>AND(IF($Q78=3,1,0),IF($X78&lt;30,1,0))</formula>
    </cfRule>
    <cfRule type="expression" priority="265" dxfId="0">
      <formula>AND(IF($Q78=3,1,IF($Q78=4,1,0)),IF($F78&lt;=85,1,0))</formula>
    </cfRule>
  </conditionalFormatting>
  <conditionalFormatting sqref="AI78">
    <cfRule type="expression" priority="258" dxfId="3">
      <formula>AND(IF(OR($Q78=1,$Q78=2),1,0),IF($X78&lt;=20,1,0))</formula>
    </cfRule>
    <cfRule type="expression" priority="259" dxfId="2">
      <formula>AND(IF($Q78=2,1,0),IF($X78&lt;30,1,0))</formula>
    </cfRule>
    <cfRule type="expression" priority="260" dxfId="1">
      <formula>AND(IF($Q78=3,1,0),IF($X78&lt;30,1,0))</formula>
    </cfRule>
    <cfRule type="expression" priority="261" dxfId="0">
      <formula>AND(IF($Q78=3,1,IF($Q78=4,1,0)),IF($F78&lt;=85,1,0))</formula>
    </cfRule>
  </conditionalFormatting>
  <conditionalFormatting sqref="AV79">
    <cfRule type="expression" priority="256" dxfId="17">
      <formula>AV79="X"</formula>
    </cfRule>
    <cfRule type="expression" priority="257" dxfId="16">
      <formula>AV79="후보"</formula>
    </cfRule>
  </conditionalFormatting>
  <conditionalFormatting sqref="AC79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79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79">
    <cfRule type="expression" priority="247" dxfId="3">
      <formula>AND(IF(OR($Q79=1,$Q79=2),1,0),IF($X79&lt;=20,1,0))</formula>
    </cfRule>
    <cfRule type="expression" priority="248" dxfId="2">
      <formula>AND(IF($Q79=2,1,0),IF($X79&lt;30,1,0))</formula>
    </cfRule>
    <cfRule type="expression" priority="249" dxfId="1">
      <formula>AND(IF($Q79=3,1,0),IF($X79&lt;30,1,0))</formula>
    </cfRule>
    <cfRule type="expression" priority="250" dxfId="0">
      <formula>AND(IF($Q79=3,1,IF($Q79=4,1,0)),IF($F79&lt;=85,1,0))</formula>
    </cfRule>
  </conditionalFormatting>
  <conditionalFormatting sqref="X79">
    <cfRule type="expression" priority="243" dxfId="3">
      <formula>AND(IF(OR($Q79=1,$Q79=2),1,0),IF($X79&lt;=20,1,0))</formula>
    </cfRule>
    <cfRule type="expression" priority="244" dxfId="2">
      <formula>AND(IF($Q79=2,1,0),IF($X79&lt;30,1,0))</formula>
    </cfRule>
    <cfRule type="expression" priority="245" dxfId="1">
      <formula>AND(IF($Q79=3,1,0),IF($X79&lt;30,1,0))</formula>
    </cfRule>
    <cfRule type="expression" priority="246" dxfId="0">
      <formula>AND(IF($Q79=3,1,IF($Q79=4,1,0)),IF($F79&lt;=85,1,0))</formula>
    </cfRule>
  </conditionalFormatting>
  <conditionalFormatting sqref="AI79">
    <cfRule type="expression" priority="239" dxfId="3">
      <formula>AND(IF(OR($Q79=1,$Q79=2),1,0),IF($X79&lt;=20,1,0))</formula>
    </cfRule>
    <cfRule type="expression" priority="240" dxfId="2">
      <formula>AND(IF($Q79=2,1,0),IF($X79&lt;30,1,0))</formula>
    </cfRule>
    <cfRule type="expression" priority="241" dxfId="1">
      <formula>AND(IF($Q79=3,1,0),IF($X79&lt;30,1,0))</formula>
    </cfRule>
    <cfRule type="expression" priority="242" dxfId="0">
      <formula>AND(IF($Q79=3,1,IF($Q79=4,1,0)),IF($F79&lt;=85,1,0))</formula>
    </cfRule>
  </conditionalFormatting>
  <conditionalFormatting sqref="AV80">
    <cfRule type="expression" priority="237" dxfId="17">
      <formula>AV80="X"</formula>
    </cfRule>
    <cfRule type="expression" priority="238" dxfId="16">
      <formula>AV80="후보"</formula>
    </cfRule>
  </conditionalFormatting>
  <conditionalFormatting sqref="AC80 N80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AV81">
    <cfRule type="expression" priority="232" dxfId="17">
      <formula>AV81="X"</formula>
    </cfRule>
    <cfRule type="expression" priority="233" dxfId="16">
      <formula>AV81="후보"</formula>
    </cfRule>
  </conditionalFormatting>
  <conditionalFormatting sqref="AC81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81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81">
    <cfRule type="expression" priority="223" dxfId="3">
      <formula>AND(IF(OR($Q81=1,$Q81=2),1,0),IF($X81&lt;=20,1,0))</formula>
    </cfRule>
    <cfRule type="expression" priority="224" dxfId="2">
      <formula>AND(IF($Q81=2,1,0),IF($X81&lt;30,1,0))</formula>
    </cfRule>
    <cfRule type="expression" priority="225" dxfId="1">
      <formula>AND(IF($Q81=3,1,0),IF($X81&lt;30,1,0))</formula>
    </cfRule>
    <cfRule type="expression" priority="226" dxfId="0">
      <formula>AND(IF($Q81=3,1,IF($Q81=4,1,0)),IF($F81&lt;=85,1,0))</formula>
    </cfRule>
  </conditionalFormatting>
  <conditionalFormatting sqref="X81">
    <cfRule type="expression" priority="219" dxfId="3">
      <formula>AND(IF(OR($Q81=1,$Q81=2),1,0),IF($X81&lt;=20,1,0))</formula>
    </cfRule>
    <cfRule type="expression" priority="220" dxfId="2">
      <formula>AND(IF($Q81=2,1,0),IF($X81&lt;30,1,0))</formula>
    </cfRule>
    <cfRule type="expression" priority="221" dxfId="1">
      <formula>AND(IF($Q81=3,1,0),IF($X81&lt;30,1,0))</formula>
    </cfRule>
    <cfRule type="expression" priority="222" dxfId="0">
      <formula>AND(IF($Q81=3,1,IF($Q81=4,1,0)),IF($F81&lt;=85,1,0))</formula>
    </cfRule>
  </conditionalFormatting>
  <conditionalFormatting sqref="AI81">
    <cfRule type="expression" priority="215" dxfId="3">
      <formula>AND(IF(OR($Q81=1,$Q81=2),1,0),IF($X81&lt;=20,1,0))</formula>
    </cfRule>
    <cfRule type="expression" priority="216" dxfId="2">
      <formula>AND(IF($Q81=2,1,0),IF($X81&lt;30,1,0))</formula>
    </cfRule>
    <cfRule type="expression" priority="217" dxfId="1">
      <formula>AND(IF($Q81=3,1,0),IF($X81&lt;30,1,0))</formula>
    </cfRule>
    <cfRule type="expression" priority="218" dxfId="0">
      <formula>AND(IF($Q81=3,1,IF($Q81=4,1,0)),IF($F81&lt;=85,1,0))</formula>
    </cfRule>
  </conditionalFormatting>
  <conditionalFormatting sqref="AV82">
    <cfRule type="expression" priority="213" dxfId="17">
      <formula>AV82="X"</formula>
    </cfRule>
    <cfRule type="expression" priority="214" dxfId="16">
      <formula>AV82="후보"</formula>
    </cfRule>
  </conditionalFormatting>
  <conditionalFormatting sqref="AC82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82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82">
    <cfRule type="expression" priority="204" dxfId="3">
      <formula>AND(IF(OR($Q82=1,$Q82=2),1,0),IF($X82&lt;=20,1,0))</formula>
    </cfRule>
    <cfRule type="expression" priority="205" dxfId="2">
      <formula>AND(IF($Q82=2,1,0),IF($X82&lt;30,1,0))</formula>
    </cfRule>
    <cfRule type="expression" priority="206" dxfId="1">
      <formula>AND(IF($Q82=3,1,0),IF($X82&lt;30,1,0))</formula>
    </cfRule>
    <cfRule type="expression" priority="207" dxfId="0">
      <formula>AND(IF($Q82=3,1,IF($Q82=4,1,0)),IF($F82&lt;=85,1,0))</formula>
    </cfRule>
  </conditionalFormatting>
  <conditionalFormatting sqref="X82">
    <cfRule type="expression" priority="200" dxfId="3">
      <formula>AND(IF(OR($Q82=1,$Q82=2),1,0),IF($X82&lt;=20,1,0))</formula>
    </cfRule>
    <cfRule type="expression" priority="201" dxfId="2">
      <formula>AND(IF($Q82=2,1,0),IF($X82&lt;30,1,0))</formula>
    </cfRule>
    <cfRule type="expression" priority="202" dxfId="1">
      <formula>AND(IF($Q82=3,1,0),IF($X82&lt;30,1,0))</formula>
    </cfRule>
    <cfRule type="expression" priority="203" dxfId="0">
      <formula>AND(IF($Q82=3,1,IF($Q82=4,1,0)),IF($F82&lt;=85,1,0))</formula>
    </cfRule>
  </conditionalFormatting>
  <conditionalFormatting sqref="AI82">
    <cfRule type="expression" priority="196" dxfId="3">
      <formula>AND(IF(OR($Q82=1,$Q82=2),1,0),IF($X82&lt;=20,1,0))</formula>
    </cfRule>
    <cfRule type="expression" priority="197" dxfId="2">
      <formula>AND(IF($Q82=2,1,0),IF($X82&lt;30,1,0))</formula>
    </cfRule>
    <cfRule type="expression" priority="198" dxfId="1">
      <formula>AND(IF($Q82=3,1,0),IF($X82&lt;30,1,0))</formula>
    </cfRule>
    <cfRule type="expression" priority="199" dxfId="0">
      <formula>AND(IF($Q82=3,1,IF($Q82=4,1,0)),IF($F82&lt;=85,1,0))</formula>
    </cfRule>
  </conditionalFormatting>
  <conditionalFormatting sqref="AV83">
    <cfRule type="expression" priority="194" dxfId="17">
      <formula>AV83="X"</formula>
    </cfRule>
    <cfRule type="expression" priority="195" dxfId="16">
      <formula>AV83="후보"</formula>
    </cfRule>
  </conditionalFormatting>
  <conditionalFormatting sqref="AC83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83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83">
    <cfRule type="expression" priority="185" dxfId="3">
      <formula>AND(IF(OR($Q83=1,$Q83=2),1,0),IF($X83&lt;=20,1,0))</formula>
    </cfRule>
    <cfRule type="expression" priority="186" dxfId="2">
      <formula>AND(IF($Q83=2,1,0),IF($X83&lt;30,1,0))</formula>
    </cfRule>
    <cfRule type="expression" priority="187" dxfId="1">
      <formula>AND(IF($Q83=3,1,0),IF($X83&lt;30,1,0))</formula>
    </cfRule>
    <cfRule type="expression" priority="188" dxfId="0">
      <formula>AND(IF($Q83=3,1,IF($Q83=4,1,0)),IF($F83&lt;=85,1,0))</formula>
    </cfRule>
  </conditionalFormatting>
  <conditionalFormatting sqref="X83">
    <cfRule type="expression" priority="181" dxfId="3">
      <formula>AND(IF(OR($Q83=1,$Q83=2),1,0),IF($X83&lt;=20,1,0))</formula>
    </cfRule>
    <cfRule type="expression" priority="182" dxfId="2">
      <formula>AND(IF($Q83=2,1,0),IF($X83&lt;30,1,0))</formula>
    </cfRule>
    <cfRule type="expression" priority="183" dxfId="1">
      <formula>AND(IF($Q83=3,1,0),IF($X83&lt;30,1,0))</formula>
    </cfRule>
    <cfRule type="expression" priority="184" dxfId="0">
      <formula>AND(IF($Q83=3,1,IF($Q83=4,1,0)),IF($F83&lt;=85,1,0))</formula>
    </cfRule>
  </conditionalFormatting>
  <conditionalFormatting sqref="AI83">
    <cfRule type="expression" priority="177" dxfId="3">
      <formula>AND(IF(OR($Q83=1,$Q83=2),1,0),IF($X83&lt;=20,1,0))</formula>
    </cfRule>
    <cfRule type="expression" priority="178" dxfId="2">
      <formula>AND(IF($Q83=2,1,0),IF($X83&lt;30,1,0))</formula>
    </cfRule>
    <cfRule type="expression" priority="179" dxfId="1">
      <formula>AND(IF($Q83=3,1,0),IF($X83&lt;30,1,0))</formula>
    </cfRule>
    <cfRule type="expression" priority="180" dxfId="0">
      <formula>AND(IF($Q83=3,1,IF($Q83=4,1,0)),IF($F83&lt;=85,1,0))</formula>
    </cfRule>
  </conditionalFormatting>
  <conditionalFormatting sqref="AV84">
    <cfRule type="expression" priority="175" dxfId="17">
      <formula>AV84="X"</formula>
    </cfRule>
    <cfRule type="expression" priority="176" dxfId="16">
      <formula>AV84="후보"</formula>
    </cfRule>
  </conditionalFormatting>
  <conditionalFormatting sqref="AC84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84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84">
    <cfRule type="expression" priority="166" dxfId="3">
      <formula>AND(IF(OR($Q84=1,$Q84=2),1,0),IF($X84&lt;=20,1,0))</formula>
    </cfRule>
    <cfRule type="expression" priority="167" dxfId="2">
      <formula>AND(IF($Q84=2,1,0),IF($X84&lt;30,1,0))</formula>
    </cfRule>
    <cfRule type="expression" priority="168" dxfId="1">
      <formula>AND(IF($Q84=3,1,0),IF($X84&lt;30,1,0))</formula>
    </cfRule>
    <cfRule type="expression" priority="169" dxfId="0">
      <formula>AND(IF($Q84=3,1,IF($Q84=4,1,0)),IF($F84&lt;=85,1,0))</formula>
    </cfRule>
  </conditionalFormatting>
  <conditionalFormatting sqref="X84">
    <cfRule type="expression" priority="162" dxfId="3">
      <formula>AND(IF(OR($Q84=1,$Q84=2),1,0),IF($X84&lt;=20,1,0))</formula>
    </cfRule>
    <cfRule type="expression" priority="163" dxfId="2">
      <formula>AND(IF($Q84=2,1,0),IF($X84&lt;30,1,0))</formula>
    </cfRule>
    <cfRule type="expression" priority="164" dxfId="1">
      <formula>AND(IF($Q84=3,1,0),IF($X84&lt;30,1,0))</formula>
    </cfRule>
    <cfRule type="expression" priority="165" dxfId="0">
      <formula>AND(IF($Q84=3,1,IF($Q84=4,1,0)),IF($F84&lt;=85,1,0))</formula>
    </cfRule>
  </conditionalFormatting>
  <conditionalFormatting sqref="AI84">
    <cfRule type="expression" priority="158" dxfId="3">
      <formula>AND(IF(OR($Q84=1,$Q84=2),1,0),IF($X84&lt;=20,1,0))</formula>
    </cfRule>
    <cfRule type="expression" priority="159" dxfId="2">
      <formula>AND(IF($Q84=2,1,0),IF($X84&lt;30,1,0))</formula>
    </cfRule>
    <cfRule type="expression" priority="160" dxfId="1">
      <formula>AND(IF($Q84=3,1,0),IF($X84&lt;30,1,0))</formula>
    </cfRule>
    <cfRule type="expression" priority="161" dxfId="0">
      <formula>AND(IF($Q84=3,1,IF($Q84=4,1,0)),IF($F84&lt;=85,1,0))</formula>
    </cfRule>
  </conditionalFormatting>
  <conditionalFormatting sqref="AV85">
    <cfRule type="expression" priority="156" dxfId="17">
      <formula>AV85="X"</formula>
    </cfRule>
    <cfRule type="expression" priority="157" dxfId="16">
      <formula>AV85="후보"</formula>
    </cfRule>
  </conditionalFormatting>
  <conditionalFormatting sqref="AC85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85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85">
    <cfRule type="expression" priority="147" dxfId="3">
      <formula>AND(IF(OR($Q85=1,$Q85=2),1,0),IF($X85&lt;=20,1,0))</formula>
    </cfRule>
    <cfRule type="expression" priority="148" dxfId="2">
      <formula>AND(IF($Q85=2,1,0),IF($X85&lt;30,1,0))</formula>
    </cfRule>
    <cfRule type="expression" priority="149" dxfId="1">
      <formula>AND(IF($Q85=3,1,0),IF($X85&lt;30,1,0))</formula>
    </cfRule>
    <cfRule type="expression" priority="150" dxfId="0">
      <formula>AND(IF($Q85=3,1,IF($Q85=4,1,0)),IF($F85&lt;=85,1,0))</formula>
    </cfRule>
  </conditionalFormatting>
  <conditionalFormatting sqref="X85">
    <cfRule type="expression" priority="143" dxfId="3">
      <formula>AND(IF(OR($Q85=1,$Q85=2),1,0),IF($X85&lt;=20,1,0))</formula>
    </cfRule>
    <cfRule type="expression" priority="144" dxfId="2">
      <formula>AND(IF($Q85=2,1,0),IF($X85&lt;30,1,0))</formula>
    </cfRule>
    <cfRule type="expression" priority="145" dxfId="1">
      <formula>AND(IF($Q85=3,1,0),IF($X85&lt;30,1,0))</formula>
    </cfRule>
    <cfRule type="expression" priority="146" dxfId="0">
      <formula>AND(IF($Q85=3,1,IF($Q85=4,1,0)),IF($F85&lt;=85,1,0))</formula>
    </cfRule>
  </conditionalFormatting>
  <conditionalFormatting sqref="AI85">
    <cfRule type="expression" priority="139" dxfId="3">
      <formula>AND(IF(OR($Q85=1,$Q85=2),1,0),IF($X85&lt;=20,1,0))</formula>
    </cfRule>
    <cfRule type="expression" priority="140" dxfId="2">
      <formula>AND(IF($Q85=2,1,0),IF($X85&lt;30,1,0))</formula>
    </cfRule>
    <cfRule type="expression" priority="141" dxfId="1">
      <formula>AND(IF($Q85=3,1,0),IF($X85&lt;30,1,0))</formula>
    </cfRule>
    <cfRule type="expression" priority="142" dxfId="0">
      <formula>AND(IF($Q85=3,1,IF($Q85=4,1,0)),IF($F85&lt;=85,1,0))</formula>
    </cfRule>
  </conditionalFormatting>
  <conditionalFormatting sqref="AV86">
    <cfRule type="expression" priority="137" dxfId="17">
      <formula>AV86="X"</formula>
    </cfRule>
    <cfRule type="expression" priority="138" dxfId="16">
      <formula>AV86="후보"</formula>
    </cfRule>
  </conditionalFormatting>
  <conditionalFormatting sqref="AC86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86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86">
    <cfRule type="expression" priority="128" dxfId="3">
      <formula>AND(IF(OR($Q86=1,$Q86=2),1,0),IF($X86&lt;=20,1,0))</formula>
    </cfRule>
    <cfRule type="expression" priority="129" dxfId="2">
      <formula>AND(IF($Q86=2,1,0),IF($X86&lt;30,1,0))</formula>
    </cfRule>
    <cfRule type="expression" priority="130" dxfId="1">
      <formula>AND(IF($Q86=3,1,0),IF($X86&lt;30,1,0))</formula>
    </cfRule>
    <cfRule type="expression" priority="131" dxfId="0">
      <formula>AND(IF($Q86=3,1,IF($Q86=4,1,0)),IF($F86&lt;=85,1,0))</formula>
    </cfRule>
  </conditionalFormatting>
  <conditionalFormatting sqref="X86">
    <cfRule type="expression" priority="124" dxfId="3">
      <formula>AND(IF(OR($Q86=1,$Q86=2),1,0),IF($X86&lt;=20,1,0))</formula>
    </cfRule>
    <cfRule type="expression" priority="125" dxfId="2">
      <formula>AND(IF($Q86=2,1,0),IF($X86&lt;30,1,0))</formula>
    </cfRule>
    <cfRule type="expression" priority="126" dxfId="1">
      <formula>AND(IF($Q86=3,1,0),IF($X86&lt;30,1,0))</formula>
    </cfRule>
    <cfRule type="expression" priority="127" dxfId="0">
      <formula>AND(IF($Q86=3,1,IF($Q86=4,1,0)),IF($F86&lt;=85,1,0))</formula>
    </cfRule>
  </conditionalFormatting>
  <conditionalFormatting sqref="AI86">
    <cfRule type="expression" priority="120" dxfId="3">
      <formula>AND(IF(OR($Q86=1,$Q86=2),1,0),IF($X86&lt;=20,1,0))</formula>
    </cfRule>
    <cfRule type="expression" priority="121" dxfId="2">
      <formula>AND(IF($Q86=2,1,0),IF($X86&lt;30,1,0))</formula>
    </cfRule>
    <cfRule type="expression" priority="122" dxfId="1">
      <formula>AND(IF($Q86=3,1,0),IF($X86&lt;30,1,0))</formula>
    </cfRule>
    <cfRule type="expression" priority="123" dxfId="0">
      <formula>AND(IF($Q86=3,1,IF($Q86=4,1,0)),IF($F86&lt;=85,1,0))</formula>
    </cfRule>
  </conditionalFormatting>
  <conditionalFormatting sqref="AV87">
    <cfRule type="expression" priority="118" dxfId="17">
      <formula>AV87="X"</formula>
    </cfRule>
    <cfRule type="expression" priority="119" dxfId="16">
      <formula>AV87="후보"</formula>
    </cfRule>
  </conditionalFormatting>
  <conditionalFormatting sqref="AC87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87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87">
    <cfRule type="expression" priority="109" dxfId="3">
      <formula>AND(IF(OR($Q87=1,$Q87=2),1,0),IF($X87&lt;=20,1,0))</formula>
    </cfRule>
    <cfRule type="expression" priority="110" dxfId="2">
      <formula>AND(IF($Q87=2,1,0),IF($X87&lt;30,1,0))</formula>
    </cfRule>
    <cfRule type="expression" priority="111" dxfId="1">
      <formula>AND(IF($Q87=3,1,0),IF($X87&lt;30,1,0))</formula>
    </cfRule>
    <cfRule type="expression" priority="112" dxfId="0">
      <formula>AND(IF($Q87=3,1,IF($Q87=4,1,0)),IF($F87&lt;=85,1,0))</formula>
    </cfRule>
  </conditionalFormatting>
  <conditionalFormatting sqref="X87">
    <cfRule type="expression" priority="105" dxfId="3">
      <formula>AND(IF(OR($Q87=1,$Q87=2),1,0),IF($X87&lt;=20,1,0))</formula>
    </cfRule>
    <cfRule type="expression" priority="106" dxfId="2">
      <formula>AND(IF($Q87=2,1,0),IF($X87&lt;30,1,0))</formula>
    </cfRule>
    <cfRule type="expression" priority="107" dxfId="1">
      <formula>AND(IF($Q87=3,1,0),IF($X87&lt;30,1,0))</formula>
    </cfRule>
    <cfRule type="expression" priority="108" dxfId="0">
      <formula>AND(IF($Q87=3,1,IF($Q87=4,1,0)),IF($F87&lt;=85,1,0))</formula>
    </cfRule>
  </conditionalFormatting>
  <conditionalFormatting sqref="AI87">
    <cfRule type="expression" priority="101" dxfId="3">
      <formula>AND(IF(OR($Q87=1,$Q87=2),1,0),IF($X87&lt;=20,1,0))</formula>
    </cfRule>
    <cfRule type="expression" priority="102" dxfId="2">
      <formula>AND(IF($Q87=2,1,0),IF($X87&lt;30,1,0))</formula>
    </cfRule>
    <cfRule type="expression" priority="103" dxfId="1">
      <formula>AND(IF($Q87=3,1,0),IF($X87&lt;30,1,0))</formula>
    </cfRule>
    <cfRule type="expression" priority="104" dxfId="0">
      <formula>AND(IF($Q87=3,1,IF($Q87=4,1,0)),IF($F87&lt;=85,1,0))</formula>
    </cfRule>
  </conditionalFormatting>
  <conditionalFormatting sqref="AV88">
    <cfRule type="expression" priority="99" dxfId="17">
      <formula>AV88="X"</formula>
    </cfRule>
    <cfRule type="expression" priority="100" dxfId="16">
      <formula>AV88="후보"</formula>
    </cfRule>
  </conditionalFormatting>
  <conditionalFormatting sqref="AC88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88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88">
    <cfRule type="expression" priority="90" dxfId="3">
      <formula>AND(IF(OR($Q88=1,$Q88=2),1,0),IF($X88&lt;=20,1,0))</formula>
    </cfRule>
    <cfRule type="expression" priority="91" dxfId="2">
      <formula>AND(IF($Q88=2,1,0),IF($X88&lt;30,1,0))</formula>
    </cfRule>
    <cfRule type="expression" priority="92" dxfId="1">
      <formula>AND(IF($Q88=3,1,0),IF($X88&lt;30,1,0))</formula>
    </cfRule>
    <cfRule type="expression" priority="93" dxfId="0">
      <formula>AND(IF($Q88=3,1,IF($Q88=4,1,0)),IF($F88&lt;=85,1,0))</formula>
    </cfRule>
  </conditionalFormatting>
  <conditionalFormatting sqref="X88">
    <cfRule type="expression" priority="86" dxfId="3">
      <formula>AND(IF(OR($Q88=1,$Q88=2),1,0),IF($X88&lt;=20,1,0))</formula>
    </cfRule>
    <cfRule type="expression" priority="87" dxfId="2">
      <formula>AND(IF($Q88=2,1,0),IF($X88&lt;30,1,0))</formula>
    </cfRule>
    <cfRule type="expression" priority="88" dxfId="1">
      <formula>AND(IF($Q88=3,1,0),IF($X88&lt;30,1,0))</formula>
    </cfRule>
    <cfRule type="expression" priority="89" dxfId="0">
      <formula>AND(IF($Q88=3,1,IF($Q88=4,1,0)),IF($F88&lt;=85,1,0))</formula>
    </cfRule>
  </conditionalFormatting>
  <conditionalFormatting sqref="AI88">
    <cfRule type="expression" priority="82" dxfId="3">
      <formula>AND(IF(OR($Q88=1,$Q88=2),1,0),IF($X88&lt;=20,1,0))</formula>
    </cfRule>
    <cfRule type="expression" priority="83" dxfId="2">
      <formula>AND(IF($Q88=2,1,0),IF($X88&lt;30,1,0))</formula>
    </cfRule>
    <cfRule type="expression" priority="84" dxfId="1">
      <formula>AND(IF($Q88=3,1,0),IF($X88&lt;30,1,0))</formula>
    </cfRule>
    <cfRule type="expression" priority="85" dxfId="0">
      <formula>AND(IF($Q88=3,1,IF($Q88=4,1,0)),IF($F88&lt;=85,1,0))</formula>
    </cfRule>
  </conditionalFormatting>
  <conditionalFormatting sqref="AV89">
    <cfRule type="expression" priority="80" dxfId="17">
      <formula>AV89="X"</formula>
    </cfRule>
    <cfRule type="expression" priority="81" dxfId="16">
      <formula>AV89="후보"</formula>
    </cfRule>
  </conditionalFormatting>
  <conditionalFormatting sqref="AC89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89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89">
    <cfRule type="expression" priority="71" dxfId="3">
      <formula>AND(IF(OR($Q89=1,$Q89=2),1,0),IF($X89&lt;=20,1,0))</formula>
    </cfRule>
    <cfRule type="expression" priority="72" dxfId="2">
      <formula>AND(IF($Q89=2,1,0),IF($X89&lt;30,1,0))</formula>
    </cfRule>
    <cfRule type="expression" priority="73" dxfId="1">
      <formula>AND(IF($Q89=3,1,0),IF($X89&lt;30,1,0))</formula>
    </cfRule>
    <cfRule type="expression" priority="74" dxfId="0">
      <formula>AND(IF($Q89=3,1,IF($Q89=4,1,0)),IF($F89&lt;=85,1,0))</formula>
    </cfRule>
  </conditionalFormatting>
  <conditionalFormatting sqref="X89">
    <cfRule type="expression" priority="67" dxfId="3">
      <formula>AND(IF(OR($Q89=1,$Q89=2),1,0),IF($X89&lt;=20,1,0))</formula>
    </cfRule>
    <cfRule type="expression" priority="68" dxfId="2">
      <formula>AND(IF($Q89=2,1,0),IF($X89&lt;30,1,0))</formula>
    </cfRule>
    <cfRule type="expression" priority="69" dxfId="1">
      <formula>AND(IF($Q89=3,1,0),IF($X89&lt;30,1,0))</formula>
    </cfRule>
    <cfRule type="expression" priority="70" dxfId="0">
      <formula>AND(IF($Q89=3,1,IF($Q89=4,1,0)),IF($F89&lt;=85,1,0))</formula>
    </cfRule>
  </conditionalFormatting>
  <conditionalFormatting sqref="AI89">
    <cfRule type="expression" priority="63" dxfId="3">
      <formula>AND(IF(OR($Q89=1,$Q89=2),1,0),IF($X89&lt;=20,1,0))</formula>
    </cfRule>
    <cfRule type="expression" priority="64" dxfId="2">
      <formula>AND(IF($Q89=2,1,0),IF($X89&lt;30,1,0))</formula>
    </cfRule>
    <cfRule type="expression" priority="65" dxfId="1">
      <formula>AND(IF($Q89=3,1,0),IF($X89&lt;30,1,0))</formula>
    </cfRule>
    <cfRule type="expression" priority="66" dxfId="0">
      <formula>AND(IF($Q89=3,1,IF($Q89=4,1,0)),IF($F89&lt;=85,1,0))</formula>
    </cfRule>
  </conditionalFormatting>
  <conditionalFormatting sqref="AV90">
    <cfRule type="expression" priority="61" dxfId="17">
      <formula>AV90="X"</formula>
    </cfRule>
    <cfRule type="expression" priority="62" dxfId="16">
      <formula>AV90="후보"</formula>
    </cfRule>
  </conditionalFormatting>
  <conditionalFormatting sqref="AC90 N90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91">
    <cfRule type="expression" priority="56" dxfId="17">
      <formula>AV91="X"</formula>
    </cfRule>
    <cfRule type="expression" priority="57" dxfId="16">
      <formula>AV91="후보"</formula>
    </cfRule>
  </conditionalFormatting>
  <conditionalFormatting sqref="AC91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91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91">
    <cfRule type="expression" priority="47" dxfId="3">
      <formula>AND(IF(OR($Q91=1,$Q91=2),1,0),IF($X91&lt;=20,1,0))</formula>
    </cfRule>
    <cfRule type="expression" priority="48" dxfId="2">
      <formula>AND(IF($Q91=2,1,0),IF($X91&lt;30,1,0))</formula>
    </cfRule>
    <cfRule type="expression" priority="49" dxfId="1">
      <formula>AND(IF($Q91=3,1,0),IF($X91&lt;30,1,0))</formula>
    </cfRule>
    <cfRule type="expression" priority="50" dxfId="0">
      <formula>AND(IF($Q91=3,1,IF($Q91=4,1,0)),IF($F91&lt;=85,1,0))</formula>
    </cfRule>
  </conditionalFormatting>
  <conditionalFormatting sqref="X91">
    <cfRule type="expression" priority="43" dxfId="3">
      <formula>AND(IF(OR($Q91=1,$Q91=2),1,0),IF($X91&lt;=20,1,0))</formula>
    </cfRule>
    <cfRule type="expression" priority="44" dxfId="2">
      <formula>AND(IF($Q91=2,1,0),IF($X91&lt;30,1,0))</formula>
    </cfRule>
    <cfRule type="expression" priority="45" dxfId="1">
      <formula>AND(IF($Q91=3,1,0),IF($X91&lt;30,1,0))</formula>
    </cfRule>
    <cfRule type="expression" priority="46" dxfId="0">
      <formula>AND(IF($Q91=3,1,IF($Q91=4,1,0)),IF($F91&lt;=85,1,0))</formula>
    </cfRule>
  </conditionalFormatting>
  <conditionalFormatting sqref="AI91">
    <cfRule type="expression" priority="39" dxfId="3">
      <formula>AND(IF(OR($Q91=1,$Q91=2),1,0),IF($X91&lt;=20,1,0))</formula>
    </cfRule>
    <cfRule type="expression" priority="40" dxfId="2">
      <formula>AND(IF($Q91=2,1,0),IF($X91&lt;30,1,0))</formula>
    </cfRule>
    <cfRule type="expression" priority="41" dxfId="1">
      <formula>AND(IF($Q91=3,1,0),IF($X91&lt;30,1,0))</formula>
    </cfRule>
    <cfRule type="expression" priority="42" dxfId="0">
      <formula>AND(IF($Q91=3,1,IF($Q91=4,1,0)),IF($F91&lt;=85,1,0))</formula>
    </cfRule>
  </conditionalFormatting>
  <conditionalFormatting sqref="AV92">
    <cfRule type="expression" priority="37" dxfId="17">
      <formula>AV92="X"</formula>
    </cfRule>
    <cfRule type="expression" priority="38" dxfId="16">
      <formula>AV92="후보"</formula>
    </cfRule>
  </conditionalFormatting>
  <conditionalFormatting sqref="AC92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92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92">
    <cfRule type="expression" priority="28" dxfId="3">
      <formula>AND(IF(OR($Q92=1,$Q92=2),1,0),IF($X92&lt;=20,1,0))</formula>
    </cfRule>
    <cfRule type="expression" priority="29" dxfId="2">
      <formula>AND(IF($Q92=2,1,0),IF($X92&lt;30,1,0))</formula>
    </cfRule>
    <cfRule type="expression" priority="30" dxfId="1">
      <formula>AND(IF($Q92=3,1,0),IF($X92&lt;30,1,0))</formula>
    </cfRule>
    <cfRule type="expression" priority="31" dxfId="0">
      <formula>AND(IF($Q92=3,1,IF($Q92=4,1,0)),IF($F92&lt;=85,1,0))</formula>
    </cfRule>
  </conditionalFormatting>
  <conditionalFormatting sqref="X92">
    <cfRule type="expression" priority="24" dxfId="3">
      <formula>AND(IF(OR($Q92=1,$Q92=2),1,0),IF($X92&lt;=20,1,0))</formula>
    </cfRule>
    <cfRule type="expression" priority="25" dxfId="2">
      <formula>AND(IF($Q92=2,1,0),IF($X92&lt;30,1,0))</formula>
    </cfRule>
    <cfRule type="expression" priority="26" dxfId="1">
      <formula>AND(IF($Q92=3,1,0),IF($X92&lt;30,1,0))</formula>
    </cfRule>
    <cfRule type="expression" priority="27" dxfId="0">
      <formula>AND(IF($Q92=3,1,IF($Q92=4,1,0)),IF($F92&lt;=85,1,0))</formula>
    </cfRule>
  </conditionalFormatting>
  <conditionalFormatting sqref="AI92">
    <cfRule type="expression" priority="20" dxfId="3">
      <formula>AND(IF(OR($Q92=1,$Q92=2),1,0),IF($X92&lt;=20,1,0))</formula>
    </cfRule>
    <cfRule type="expression" priority="21" dxfId="2">
      <formula>AND(IF($Q92=2,1,0),IF($X92&lt;30,1,0))</formula>
    </cfRule>
    <cfRule type="expression" priority="22" dxfId="1">
      <formula>AND(IF($Q92=3,1,0),IF($X92&lt;30,1,0))</formula>
    </cfRule>
    <cfRule type="expression" priority="23" dxfId="0">
      <formula>AND(IF($Q92=3,1,IF($Q92=4,1,0)),IF($F92&lt;=85,1,0))</formula>
    </cfRule>
  </conditionalFormatting>
  <conditionalFormatting sqref="AV93">
    <cfRule type="expression" priority="18" dxfId="17">
      <formula>AV93="X"</formula>
    </cfRule>
    <cfRule type="expression" priority="19" dxfId="16">
      <formula>AV93="후보"</formula>
    </cfRule>
  </conditionalFormatting>
  <conditionalFormatting sqref="AC93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93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93">
    <cfRule type="expression" priority="9" dxfId="3">
      <formula>AND(IF(OR($Q93=1,$Q93=2),1,0),IF($X93&lt;=20,1,0))</formula>
    </cfRule>
    <cfRule type="expression" priority="10" dxfId="2">
      <formula>AND(IF($Q93=2,1,0),IF($X93&lt;30,1,0))</formula>
    </cfRule>
    <cfRule type="expression" priority="11" dxfId="1">
      <formula>AND(IF($Q93=3,1,0),IF($X93&lt;30,1,0))</formula>
    </cfRule>
    <cfRule type="expression" priority="12" dxfId="0">
      <formula>AND(IF($Q93=3,1,IF($Q93=4,1,0)),IF($F93&lt;=85,1,0))</formula>
    </cfRule>
  </conditionalFormatting>
  <conditionalFormatting sqref="X93">
    <cfRule type="expression" priority="5" dxfId="3">
      <formula>AND(IF(OR($Q93=1,$Q93=2),1,0),IF($X93&lt;=20,1,0))</formula>
    </cfRule>
    <cfRule type="expression" priority="6" dxfId="2">
      <formula>AND(IF($Q93=2,1,0),IF($X93&lt;30,1,0))</formula>
    </cfRule>
    <cfRule type="expression" priority="7" dxfId="1">
      <formula>AND(IF($Q93=3,1,0),IF($X93&lt;30,1,0))</formula>
    </cfRule>
    <cfRule type="expression" priority="8" dxfId="0">
      <formula>AND(IF($Q93=3,1,IF($Q93=4,1,0)),IF($F93&lt;=85,1,0))</formula>
    </cfRule>
  </conditionalFormatting>
  <conditionalFormatting sqref="AI93">
    <cfRule type="expression" priority="1" dxfId="3">
      <formula>AND(IF(OR($Q93=1,$Q93=2),1,0),IF($X93&lt;=20,1,0))</formula>
    </cfRule>
    <cfRule type="expression" priority="2" dxfId="2">
      <formula>AND(IF($Q93=2,1,0),IF($X93&lt;30,1,0))</formula>
    </cfRule>
    <cfRule type="expression" priority="3" dxfId="1">
      <formula>AND(IF($Q93=3,1,0),IF($X93&lt;30,1,0))</formula>
    </cfRule>
    <cfRule type="expression" priority="4" dxfId="0">
      <formula>AND(IF($Q93=3,1,IF($Q93=4,1,0)),IF($F93&lt;=85,1,0))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4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7" sqref="A47:XFD47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성내동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성내올림픽파크한양수자인</t>
        </is>
      </c>
      <c r="B6" s="16" t="inlineStr">
        <is>
          <t>'16.08.</t>
        </is>
      </c>
      <c r="C6" s="164" t="n">
        <v>482</v>
      </c>
      <c r="D6" s="161" t="n">
        <v>83</v>
      </c>
      <c r="E6" s="163" t="n">
        <v>25</v>
      </c>
      <c r="F6" s="161" t="n">
        <v>59.6</v>
      </c>
      <c r="G6" s="27" t="n">
        <v>18</v>
      </c>
      <c r="H6" s="164" t="n">
        <v>147</v>
      </c>
      <c r="I6" s="165" t="n"/>
      <c r="J6" s="165" t="n"/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n">
        <v>83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성내올림픽파크한양수자인</t>
        </is>
      </c>
      <c r="B7" s="16" t="inlineStr">
        <is>
          <t>'16.08.</t>
        </is>
      </c>
      <c r="C7" s="164" t="n">
        <v>482</v>
      </c>
      <c r="D7" s="161" t="n">
        <v>108.2</v>
      </c>
      <c r="E7" s="163" t="n">
        <v>33</v>
      </c>
      <c r="F7" s="161" t="n">
        <v>84.90000000000001</v>
      </c>
      <c r="G7" s="27" t="n">
        <v>26</v>
      </c>
      <c r="H7" s="164" t="n">
        <v>124</v>
      </c>
      <c r="I7" s="165" t="n">
        <v>158000</v>
      </c>
      <c r="J7" s="165" t="inlineStr">
        <is>
          <t>6</t>
        </is>
      </c>
      <c r="K7" s="165" t="n">
        <v>90000</v>
      </c>
      <c r="L7" s="165" t="inlineStr">
        <is>
          <t>16</t>
        </is>
      </c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n">
        <v>108</v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성내올림픽파크한양수자인</t>
        </is>
      </c>
      <c r="B8" s="16" t="inlineStr">
        <is>
          <t>'16.08.</t>
        </is>
      </c>
      <c r="C8" s="164" t="n">
        <v>482</v>
      </c>
      <c r="D8" s="161" t="n">
        <v>108.8</v>
      </c>
      <c r="E8" s="163" t="n">
        <v>33</v>
      </c>
      <c r="F8" s="161" t="n">
        <v>84.90000000000001</v>
      </c>
      <c r="G8" s="27" t="n">
        <v>26</v>
      </c>
      <c r="H8" s="164" t="n">
        <v>86</v>
      </c>
      <c r="I8" s="165" t="n">
        <v>160000</v>
      </c>
      <c r="J8" s="165" t="inlineStr">
        <is>
          <t>7</t>
        </is>
      </c>
      <c r="K8" s="165" t="n">
        <v>88000</v>
      </c>
      <c r="L8" s="165" t="inlineStr">
        <is>
          <t>8</t>
        </is>
      </c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108A</t>
        </is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성내올림픽파크한양수자인</t>
        </is>
      </c>
      <c r="B9" s="16" t="inlineStr">
        <is>
          <t>'16.08.</t>
        </is>
      </c>
      <c r="C9" s="164" t="n">
        <v>482</v>
      </c>
      <c r="D9" s="161" t="n">
        <v>141</v>
      </c>
      <c r="E9" s="163" t="n">
        <v>43</v>
      </c>
      <c r="F9" s="161" t="n">
        <v>115.9</v>
      </c>
      <c r="G9" s="27" t="n">
        <v>35</v>
      </c>
      <c r="H9" s="164" t="n">
        <v>82</v>
      </c>
      <c r="I9" s="165" t="n">
        <v>180000</v>
      </c>
      <c r="J9" s="165" t="inlineStr">
        <is>
          <t>5</t>
        </is>
      </c>
      <c r="K9" s="165" t="n"/>
      <c r="L9" s="165" t="n"/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4</v>
      </c>
      <c r="R9" s="113" t="n">
        <v>2</v>
      </c>
      <c r="S9" s="113" t="inlineStr">
        <is>
          <t>계</t>
        </is>
      </c>
      <c r="T9" s="8" t="n">
        <v>141</v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n"/>
      <c r="B10" s="113" t="n"/>
      <c r="C10" s="10" t="n"/>
      <c r="D10" s="13" t="n"/>
      <c r="E10" s="20" t="n"/>
      <c r="F10" s="161" t="n"/>
      <c r="G10" s="13" t="n"/>
      <c r="H10" s="13" t="n"/>
      <c r="I10" s="13" t="n"/>
      <c r="J10" s="13" t="n"/>
      <c r="K10" s="13" t="n"/>
      <c r="L10" s="13" t="n"/>
      <c r="M10" s="13" t="n"/>
      <c r="N10" s="13" t="n"/>
      <c r="O10" s="162" t="n"/>
      <c r="P10" s="162" t="n"/>
      <c r="Q10" s="163" t="n"/>
      <c r="R10" s="163" t="n"/>
      <c r="S10" s="13" t="n"/>
      <c r="T10" s="70" t="n"/>
      <c r="U10" s="13" t="n"/>
      <c r="W10" s="107">
        <f>$A$4&amp;" "&amp;A11&amp;"("&amp;B11&amp;","&amp;C11&amp;"^)"</f>
        <v/>
      </c>
      <c r="X10" s="108" t="n"/>
      <c r="Y10" s="108" t="n"/>
      <c r="Z10" s="108" t="n"/>
      <c r="AA10" s="108" t="n"/>
      <c r="AB10" s="108" t="n"/>
      <c r="AC10" s="108" t="n"/>
      <c r="AD10" s="108" t="n"/>
      <c r="AE10" s="108" t="n"/>
      <c r="AF10" s="109" t="n"/>
      <c r="AH10" s="36">
        <f>IF(A10="","",A10)</f>
        <v/>
      </c>
      <c r="AI10" s="160">
        <f>IF(E10="","",E10)</f>
        <v/>
      </c>
      <c r="AJ10" s="113" t="n"/>
      <c r="AK10" s="113" t="n"/>
      <c r="AL10" s="113" t="n"/>
      <c r="AM10" s="113" t="n"/>
      <c r="AN10" s="113" t="n"/>
      <c r="AO10" s="113" t="n"/>
      <c r="AP10" s="113" t="n"/>
      <c r="AQ10" s="113" t="n"/>
      <c r="AR10" s="113" t="n"/>
      <c r="AS10" s="113" t="n"/>
      <c r="AT10" s="113" t="n"/>
      <c r="AU10" s="113" t="n"/>
      <c r="AV10" s="113" t="n"/>
    </row>
    <row r="11">
      <c r="A11" s="13" t="inlineStr">
        <is>
          <t>둔촌역청구</t>
        </is>
      </c>
      <c r="B11" s="16" t="inlineStr">
        <is>
          <t>'99.03.</t>
        </is>
      </c>
      <c r="C11" s="164" t="n">
        <v>222</v>
      </c>
      <c r="D11" s="161" t="n">
        <v>83.8</v>
      </c>
      <c r="E11" s="163" t="n">
        <v>25</v>
      </c>
      <c r="F11" s="161" t="n">
        <v>59.9</v>
      </c>
      <c r="G11" s="27" t="n">
        <v>18</v>
      </c>
      <c r="H11" s="164" t="n">
        <v>89</v>
      </c>
      <c r="I11" s="165" t="n"/>
      <c r="J11" s="165" t="n"/>
      <c r="K11" s="165" t="n"/>
      <c r="L11" s="165" t="n"/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1</v>
      </c>
      <c r="S11" s="113" t="inlineStr">
        <is>
          <t>계</t>
        </is>
      </c>
      <c r="T11" s="8" t="inlineStr">
        <is>
          <t>83A</t>
        </is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둔촌역청구</t>
        </is>
      </c>
      <c r="B12" s="16" t="inlineStr">
        <is>
          <t>'99.03.</t>
        </is>
      </c>
      <c r="C12" s="164" t="n">
        <v>222</v>
      </c>
      <c r="D12" s="161" t="n">
        <v>84</v>
      </c>
      <c r="E12" s="163" t="n">
        <v>25</v>
      </c>
      <c r="F12" s="161" t="n">
        <v>60</v>
      </c>
      <c r="G12" s="27" t="n">
        <v>18</v>
      </c>
      <c r="H12" s="164" t="n">
        <v>29</v>
      </c>
      <c r="I12" s="165" t="n"/>
      <c r="J12" s="165" t="n"/>
      <c r="K12" s="165" t="n"/>
      <c r="L12" s="165" t="n"/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3</v>
      </c>
      <c r="R12" s="113" t="n">
        <v>1</v>
      </c>
      <c r="S12" s="113" t="inlineStr">
        <is>
          <t>계</t>
        </is>
      </c>
      <c r="T12" s="8" t="inlineStr">
        <is>
          <t>83B</t>
        </is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둔촌역청구</t>
        </is>
      </c>
      <c r="B13" s="16" t="inlineStr">
        <is>
          <t>'99.03.</t>
        </is>
      </c>
      <c r="C13" s="164" t="n">
        <v>222</v>
      </c>
      <c r="D13" s="161" t="n">
        <v>108.9</v>
      </c>
      <c r="E13" s="163" t="n">
        <v>33</v>
      </c>
      <c r="F13" s="161" t="n">
        <v>84.90000000000001</v>
      </c>
      <c r="G13" s="27" t="n">
        <v>26</v>
      </c>
      <c r="H13" s="164" t="n">
        <v>86</v>
      </c>
      <c r="I13" s="165" t="n"/>
      <c r="J13" s="165" t="n"/>
      <c r="K13" s="165" t="n"/>
      <c r="L13" s="165" t="n"/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inlineStr">
        <is>
          <t>108A</t>
        </is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둔촌역청구</t>
        </is>
      </c>
      <c r="B14" s="16" t="inlineStr">
        <is>
          <t>'99.03.</t>
        </is>
      </c>
      <c r="C14" s="164" t="n">
        <v>222</v>
      </c>
      <c r="D14" s="161" t="n">
        <v>108.9</v>
      </c>
      <c r="E14" s="163" t="n">
        <v>33</v>
      </c>
      <c r="F14" s="161" t="n">
        <v>85</v>
      </c>
      <c r="G14" s="27" t="n">
        <v>26</v>
      </c>
      <c r="H14" s="164" t="n">
        <v>18</v>
      </c>
      <c r="I14" s="165" t="n"/>
      <c r="J14" s="165" t="n"/>
      <c r="K14" s="165" t="n"/>
      <c r="L14" s="165" t="n"/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inlineStr">
        <is>
          <t>108B</t>
        </is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n"/>
      <c r="B15" s="113" t="n"/>
      <c r="C15" s="10" t="n"/>
      <c r="D15" s="13" t="n"/>
      <c r="E15" s="20" t="n"/>
      <c r="F15" s="161" t="n"/>
      <c r="G15" s="13" t="n"/>
      <c r="H15" s="13" t="n"/>
      <c r="I15" s="13" t="n"/>
      <c r="J15" s="13" t="n"/>
      <c r="K15" s="13" t="n"/>
      <c r="L15" s="13" t="n"/>
      <c r="M15" s="13" t="n"/>
      <c r="N15" s="13" t="n"/>
      <c r="O15" s="162" t="n"/>
      <c r="P15" s="162" t="n"/>
      <c r="Q15" s="163" t="n"/>
      <c r="R15" s="163" t="n"/>
      <c r="S15" s="13" t="n"/>
      <c r="T15" s="70" t="n"/>
      <c r="U15" s="13" t="n"/>
      <c r="W15" s="107">
        <f>$A$4&amp;" "&amp;A16&amp;"("&amp;B16&amp;","&amp;C16&amp;"^)"</f>
        <v/>
      </c>
      <c r="X15" s="108" t="n"/>
      <c r="Y15" s="108" t="n"/>
      <c r="Z15" s="108" t="n"/>
      <c r="AA15" s="108" t="n"/>
      <c r="AB15" s="108" t="n"/>
      <c r="AC15" s="108" t="n"/>
      <c r="AD15" s="108" t="n"/>
      <c r="AE15" s="108" t="n"/>
      <c r="AF15" s="109" t="n"/>
      <c r="AH15" s="36">
        <f>IF(A15="","",A15)</f>
        <v/>
      </c>
      <c r="AI15" s="160">
        <f>IF(E15="","",E15)</f>
        <v/>
      </c>
      <c r="AJ15" s="113" t="n"/>
      <c r="AK15" s="113" t="n"/>
      <c r="AL15" s="113" t="n"/>
      <c r="AM15" s="113" t="n"/>
      <c r="AN15" s="113" t="n"/>
      <c r="AO15" s="113" t="n"/>
      <c r="AP15" s="113" t="n"/>
      <c r="AQ15" s="113" t="n"/>
      <c r="AR15" s="113" t="n"/>
      <c r="AS15" s="113" t="n"/>
      <c r="AT15" s="113" t="n"/>
      <c r="AU15" s="113" t="n"/>
      <c r="AV15" s="113" t="n"/>
    </row>
    <row r="16">
      <c r="A16" s="13" t="inlineStr">
        <is>
          <t>성안마을청구</t>
        </is>
      </c>
      <c r="B16" s="16" t="inlineStr">
        <is>
          <t>'02.07.</t>
        </is>
      </c>
      <c r="C16" s="164" t="n">
        <v>349</v>
      </c>
      <c r="D16" s="161" t="n">
        <v>52.8</v>
      </c>
      <c r="E16" s="163" t="n">
        <v>16</v>
      </c>
      <c r="F16" s="161" t="n">
        <v>37.8</v>
      </c>
      <c r="G16" s="27" t="n">
        <v>11</v>
      </c>
      <c r="H16" s="164" t="n">
        <v>16</v>
      </c>
      <c r="I16" s="165" t="n"/>
      <c r="J16" s="165" t="n"/>
      <c r="K16" s="165" t="n"/>
      <c r="L16" s="165" t="n"/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2</v>
      </c>
      <c r="R16" s="113" t="n">
        <v>1</v>
      </c>
      <c r="S16" s="113" t="inlineStr">
        <is>
          <t>복</t>
        </is>
      </c>
      <c r="T16" s="8" t="n">
        <v>52</v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성안마을청구</t>
        </is>
      </c>
      <c r="B17" s="16" t="inlineStr">
        <is>
          <t>'02.07.</t>
        </is>
      </c>
      <c r="C17" s="164" t="n">
        <v>349</v>
      </c>
      <c r="D17" s="161" t="n">
        <v>83.8</v>
      </c>
      <c r="E17" s="163" t="n">
        <v>25</v>
      </c>
      <c r="F17" s="161" t="n">
        <v>59.9</v>
      </c>
      <c r="G17" s="27" t="n">
        <v>18</v>
      </c>
      <c r="H17" s="164" t="n">
        <v>164</v>
      </c>
      <c r="I17" s="165" t="n">
        <v>100000</v>
      </c>
      <c r="J17" s="165" t="inlineStr">
        <is>
          <t>13</t>
        </is>
      </c>
      <c r="K17" s="165" t="n"/>
      <c r="L17" s="165" t="n"/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3</v>
      </c>
      <c r="R17" s="113" t="n">
        <v>1</v>
      </c>
      <c r="S17" s="113" t="inlineStr">
        <is>
          <t>복</t>
        </is>
      </c>
      <c r="T17" s="8" t="n">
        <v>83</v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성안마을청구</t>
        </is>
      </c>
      <c r="B18" s="16" t="inlineStr">
        <is>
          <t>'02.07.</t>
        </is>
      </c>
      <c r="C18" s="164" t="n">
        <v>349</v>
      </c>
      <c r="D18" s="161" t="n">
        <v>108.1</v>
      </c>
      <c r="E18" s="163" t="n">
        <v>33</v>
      </c>
      <c r="F18" s="161" t="n">
        <v>85</v>
      </c>
      <c r="G18" s="27" t="n">
        <v>26</v>
      </c>
      <c r="H18" s="164" t="n">
        <v>169</v>
      </c>
      <c r="I18" s="165" t="n">
        <v>135000</v>
      </c>
      <c r="J18" s="165" t="inlineStr">
        <is>
          <t>고</t>
        </is>
      </c>
      <c r="K18" s="165" t="n"/>
      <c r="L18" s="165" t="n"/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n">
        <v>108</v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n"/>
      <c r="B19" s="113" t="n"/>
      <c r="C19" s="10" t="n"/>
      <c r="D19" s="13" t="n"/>
      <c r="E19" s="20" t="n"/>
      <c r="F19" s="161" t="n"/>
      <c r="G19" s="13" t="n"/>
      <c r="H19" s="13" t="n"/>
      <c r="I19" s="13" t="n"/>
      <c r="J19" s="13" t="n"/>
      <c r="K19" s="13" t="n"/>
      <c r="L19" s="13" t="n"/>
      <c r="M19" s="13" t="n"/>
      <c r="N19" s="13" t="n"/>
      <c r="O19" s="162" t="n"/>
      <c r="P19" s="162" t="n"/>
      <c r="Q19" s="163" t="n"/>
      <c r="R19" s="163" t="n"/>
      <c r="S19" s="13" t="n"/>
      <c r="T19" s="70" t="n"/>
      <c r="U19" s="13" t="n"/>
      <c r="W19" s="107">
        <f>$A$4&amp;" "&amp;A20&amp;"("&amp;B20&amp;","&amp;C20&amp;"^)"</f>
        <v/>
      </c>
      <c r="X19" s="108" t="n"/>
      <c r="Y19" s="108" t="n"/>
      <c r="Z19" s="108" t="n"/>
      <c r="AA19" s="108" t="n"/>
      <c r="AB19" s="108" t="n"/>
      <c r="AC19" s="108" t="n"/>
      <c r="AD19" s="108" t="n"/>
      <c r="AE19" s="108" t="n"/>
      <c r="AF19" s="109" t="n"/>
      <c r="AH19" s="36">
        <f>IF(A19="","",A19)</f>
        <v/>
      </c>
      <c r="AI19" s="160">
        <f>IF(E19="","",E19)</f>
        <v/>
      </c>
      <c r="AJ19" s="113" t="n"/>
      <c r="AK19" s="113" t="n"/>
      <c r="AL19" s="113" t="n"/>
      <c r="AM19" s="113" t="n"/>
      <c r="AN19" s="113" t="n"/>
      <c r="AO19" s="113" t="n"/>
      <c r="AP19" s="113" t="n"/>
      <c r="AQ19" s="113" t="n"/>
      <c r="AR19" s="113" t="n"/>
      <c r="AS19" s="113" t="n"/>
      <c r="AT19" s="113" t="n"/>
      <c r="AU19" s="113" t="n"/>
      <c r="AV19" s="113" t="n"/>
    </row>
    <row r="20">
      <c r="A20" s="13" t="inlineStr">
        <is>
          <t>SK허브진</t>
        </is>
      </c>
      <c r="B20" s="16" t="inlineStr">
        <is>
          <t>'04.10.</t>
        </is>
      </c>
      <c r="C20" s="164" t="n">
        <v>325</v>
      </c>
      <c r="D20" s="161" t="n">
        <v>40.2</v>
      </c>
      <c r="E20" s="163" t="n">
        <v>12</v>
      </c>
      <c r="F20" s="161" t="n">
        <v>30.3</v>
      </c>
      <c r="G20" s="27" t="n">
        <v>9</v>
      </c>
      <c r="H20" s="164" t="n">
        <v>52</v>
      </c>
      <c r="I20" s="165" t="n"/>
      <c r="J20" s="165" t="n"/>
      <c r="K20" s="165" t="n"/>
      <c r="L20" s="165" t="n"/>
      <c r="M20" s="166">
        <f>I20-K20</f>
        <v/>
      </c>
      <c r="N20" s="7">
        <f>IF(ISERROR(K20/I20),"",K20/I20)</f>
        <v/>
      </c>
      <c r="O20" s="162">
        <f>I20/E20</f>
        <v/>
      </c>
      <c r="P20" s="162">
        <f>K20/E20</f>
        <v/>
      </c>
      <c r="Q20" s="113" t="n">
        <v>2</v>
      </c>
      <c r="R20" s="113" t="n">
        <v>1</v>
      </c>
      <c r="S20" s="113" t="inlineStr">
        <is>
          <t>복</t>
        </is>
      </c>
      <c r="T20" s="8" t="n">
        <v>40</v>
      </c>
      <c r="U20" s="13" t="n"/>
      <c r="W20" s="161">
        <f>D20</f>
        <v/>
      </c>
      <c r="X20" s="163">
        <f>E20</f>
        <v/>
      </c>
      <c r="Y20" s="159">
        <f>H20</f>
        <v/>
      </c>
      <c r="Z20" s="166">
        <f>I20</f>
        <v/>
      </c>
      <c r="AA20" s="166">
        <f>K20</f>
        <v/>
      </c>
      <c r="AB20" s="166">
        <f>M20</f>
        <v/>
      </c>
      <c r="AC20" s="7">
        <f>N20</f>
        <v/>
      </c>
      <c r="AD20" s="162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3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SK허브진</t>
        </is>
      </c>
      <c r="B21" s="16" t="inlineStr">
        <is>
          <t>'04.10.</t>
        </is>
      </c>
      <c r="C21" s="164" t="n">
        <v>325</v>
      </c>
      <c r="D21" s="161" t="n">
        <v>44.8</v>
      </c>
      <c r="E21" s="163" t="n">
        <v>14</v>
      </c>
      <c r="F21" s="161" t="n">
        <v>33.7</v>
      </c>
      <c r="G21" s="27" t="n">
        <v>10</v>
      </c>
      <c r="H21" s="164" t="n">
        <v>221</v>
      </c>
      <c r="I21" s="165" t="n"/>
      <c r="J21" s="165" t="n"/>
      <c r="K21" s="165" t="n"/>
      <c r="L21" s="165" t="n"/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1</v>
      </c>
      <c r="R21" s="113" t="n">
        <v>1</v>
      </c>
      <c r="S21" s="113" t="inlineStr">
        <is>
          <t>복</t>
        </is>
      </c>
      <c r="T21" s="8" t="n">
        <v>44</v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SK허브진</t>
        </is>
      </c>
      <c r="B22" s="16" t="inlineStr">
        <is>
          <t>'04.10.</t>
        </is>
      </c>
      <c r="C22" s="164" t="n">
        <v>325</v>
      </c>
      <c r="D22" s="161" t="n">
        <v>62.9</v>
      </c>
      <c r="E22" s="163" t="n">
        <v>19</v>
      </c>
      <c r="F22" s="161" t="n">
        <v>47.4</v>
      </c>
      <c r="G22" s="27" t="n">
        <v>14</v>
      </c>
      <c r="H22" s="164" t="n">
        <v>52</v>
      </c>
      <c r="I22" s="165" t="n"/>
      <c r="J22" s="165" t="n"/>
      <c r="K22" s="165" t="n"/>
      <c r="L22" s="165" t="n"/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3</v>
      </c>
      <c r="R22" s="113" t="n">
        <v>1</v>
      </c>
      <c r="S22" s="113" t="inlineStr">
        <is>
          <t>복</t>
        </is>
      </c>
      <c r="T22" s="8" t="n">
        <v>62</v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n"/>
      <c r="B23" s="113" t="n"/>
      <c r="C23" s="10" t="n"/>
      <c r="D23" s="13" t="n"/>
      <c r="E23" s="20" t="n"/>
      <c r="F23" s="161" t="n"/>
      <c r="G23" s="13" t="n"/>
      <c r="H23" s="13" t="n"/>
      <c r="I23" s="13" t="n"/>
      <c r="J23" s="13" t="n"/>
      <c r="K23" s="13" t="n"/>
      <c r="L23" s="13" t="n"/>
      <c r="M23" s="13" t="n"/>
      <c r="N23" s="13" t="n"/>
      <c r="O23" s="162" t="n"/>
      <c r="P23" s="162" t="n"/>
      <c r="Q23" s="163" t="n"/>
      <c r="R23" s="163" t="n"/>
      <c r="S23" s="13" t="n"/>
      <c r="T23" s="70" t="n"/>
      <c r="U23" s="13" t="n"/>
      <c r="W23" s="107">
        <f>$A$4&amp;" "&amp;A24&amp;"("&amp;B24&amp;","&amp;C24&amp;"^)"</f>
        <v/>
      </c>
      <c r="X23" s="108" t="n"/>
      <c r="Y23" s="108" t="n"/>
      <c r="Z23" s="108" t="n"/>
      <c r="AA23" s="108" t="n"/>
      <c r="AB23" s="108" t="n"/>
      <c r="AC23" s="108" t="n"/>
      <c r="AD23" s="108" t="n"/>
      <c r="AE23" s="108" t="n"/>
      <c r="AF23" s="109" t="n"/>
      <c r="AH23" s="36">
        <f>IF(A23="","",A23)</f>
        <v/>
      </c>
      <c r="AI23" s="160">
        <f>IF(E23="","",E23)</f>
        <v/>
      </c>
      <c r="AJ23" s="113" t="n"/>
      <c r="AK23" s="113" t="n"/>
      <c r="AL23" s="113" t="n"/>
      <c r="AM23" s="113" t="n"/>
      <c r="AN23" s="113" t="n"/>
      <c r="AO23" s="113" t="n"/>
      <c r="AP23" s="113" t="n"/>
      <c r="AQ23" s="113" t="n"/>
      <c r="AR23" s="113" t="n"/>
      <c r="AS23" s="113" t="n"/>
      <c r="AT23" s="113" t="n"/>
      <c r="AU23" s="113" t="n"/>
      <c r="AV23" s="113" t="n"/>
    </row>
    <row r="24">
      <c r="A24" s="13" t="inlineStr">
        <is>
          <t>성내삼성</t>
        </is>
      </c>
      <c r="B24" s="16" t="inlineStr">
        <is>
          <t>'99.09.</t>
        </is>
      </c>
      <c r="C24" s="164" t="n">
        <v>1220</v>
      </c>
      <c r="D24" s="161" t="n">
        <v>85.3</v>
      </c>
      <c r="E24" s="163" t="n">
        <v>26</v>
      </c>
      <c r="F24" s="161" t="n">
        <v>59.9</v>
      </c>
      <c r="G24" s="27" t="n">
        <v>18</v>
      </c>
      <c r="H24" s="164" t="n">
        <v>510</v>
      </c>
      <c r="I24" s="165" t="n">
        <v>101000</v>
      </c>
      <c r="J24" s="165" t="inlineStr">
        <is>
          <t>7</t>
        </is>
      </c>
      <c r="K24" s="165" t="n"/>
      <c r="L24" s="165" t="n"/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3</v>
      </c>
      <c r="R24" s="113" t="n">
        <v>1</v>
      </c>
      <c r="S24" s="113" t="inlineStr">
        <is>
          <t>복</t>
        </is>
      </c>
      <c r="T24" s="8" t="n">
        <v>85</v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성내삼성</t>
        </is>
      </c>
      <c r="B25" s="16" t="inlineStr">
        <is>
          <t>'99.09.</t>
        </is>
      </c>
      <c r="C25" s="164" t="n">
        <v>1220</v>
      </c>
      <c r="D25" s="161" t="n">
        <v>110.6</v>
      </c>
      <c r="E25" s="163" t="n">
        <v>33</v>
      </c>
      <c r="F25" s="161" t="n">
        <v>85</v>
      </c>
      <c r="G25" s="27" t="n">
        <v>26</v>
      </c>
      <c r="H25" s="164" t="n">
        <v>485</v>
      </c>
      <c r="I25" s="165" t="n">
        <v>128000</v>
      </c>
      <c r="J25" s="165" t="inlineStr">
        <is>
          <t>고</t>
        </is>
      </c>
      <c r="K25" s="165" t="n">
        <v>70000</v>
      </c>
      <c r="L25" s="165" t="inlineStr">
        <is>
          <t>7</t>
        </is>
      </c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3</v>
      </c>
      <c r="R25" s="113" t="n">
        <v>2</v>
      </c>
      <c r="S25" s="113" t="inlineStr">
        <is>
          <t>계</t>
        </is>
      </c>
      <c r="T25" s="8" t="n">
        <v>110</v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성내삼성</t>
        </is>
      </c>
      <c r="B26" s="16" t="inlineStr">
        <is>
          <t>'99.09.</t>
        </is>
      </c>
      <c r="C26" s="164" t="n">
        <v>1220</v>
      </c>
      <c r="D26" s="161" t="n">
        <v>142.9</v>
      </c>
      <c r="E26" s="163" t="n">
        <v>43</v>
      </c>
      <c r="F26" s="161" t="n">
        <v>114.9</v>
      </c>
      <c r="G26" s="27" t="n">
        <v>35</v>
      </c>
      <c r="H26" s="164" t="n">
        <v>225</v>
      </c>
      <c r="I26" s="165" t="n"/>
      <c r="J26" s="165" t="n"/>
      <c r="K26" s="165" t="n"/>
      <c r="L26" s="165" t="n"/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4</v>
      </c>
      <c r="R26" s="113" t="n">
        <v>2</v>
      </c>
      <c r="S26" s="113" t="inlineStr">
        <is>
          <t>계</t>
        </is>
      </c>
      <c r="T26" s="8" t="n">
        <v>142</v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n"/>
      <c r="B27" s="113" t="n"/>
      <c r="C27" s="10" t="n"/>
      <c r="D27" s="13" t="n"/>
      <c r="E27" s="20" t="n"/>
      <c r="F27" s="161" t="n"/>
      <c r="G27" s="13" t="n"/>
      <c r="H27" s="13" t="n"/>
      <c r="I27" s="13" t="n"/>
      <c r="J27" s="13" t="n"/>
      <c r="K27" s="13" t="n"/>
      <c r="L27" s="13" t="n"/>
      <c r="M27" s="13" t="n"/>
      <c r="N27" s="13" t="n"/>
      <c r="O27" s="162" t="n"/>
      <c r="P27" s="162" t="n"/>
      <c r="Q27" s="163" t="n"/>
      <c r="R27" s="163" t="n"/>
      <c r="S27" s="13" t="n"/>
      <c r="T27" s="70" t="n"/>
      <c r="U27" s="13" t="n"/>
      <c r="W27" s="107">
        <f>$A$4&amp;" "&amp;A28&amp;"("&amp;B28&amp;","&amp;C28&amp;"^)"</f>
        <v/>
      </c>
      <c r="X27" s="108" t="n"/>
      <c r="Y27" s="108" t="n"/>
      <c r="Z27" s="108" t="n"/>
      <c r="AA27" s="108" t="n"/>
      <c r="AB27" s="108" t="n"/>
      <c r="AC27" s="108" t="n"/>
      <c r="AD27" s="108" t="n"/>
      <c r="AE27" s="108" t="n"/>
      <c r="AF27" s="109" t="n"/>
      <c r="AH27" s="36">
        <f>IF(A27="","",A27)</f>
        <v/>
      </c>
      <c r="AI27" s="160">
        <f>IF(E27="","",E27)</f>
        <v/>
      </c>
      <c r="AJ27" s="113" t="n"/>
      <c r="AK27" s="113" t="n"/>
      <c r="AL27" s="113" t="n"/>
      <c r="AM27" s="113" t="n"/>
      <c r="AN27" s="113" t="n"/>
      <c r="AO27" s="113" t="n"/>
      <c r="AP27" s="113" t="n"/>
      <c r="AQ27" s="113" t="n"/>
      <c r="AR27" s="113" t="n"/>
      <c r="AS27" s="113" t="n"/>
      <c r="AT27" s="113" t="n"/>
      <c r="AU27" s="113" t="n"/>
      <c r="AV27" s="113" t="n"/>
    </row>
    <row r="28">
      <c r="A28" s="13" t="inlineStr">
        <is>
          <t>코오롱1차</t>
        </is>
      </c>
      <c r="B28" s="16" t="inlineStr">
        <is>
          <t>'99.05.</t>
        </is>
      </c>
      <c r="C28" s="164" t="n">
        <v>257</v>
      </c>
      <c r="D28" s="161" t="n">
        <v>89.3</v>
      </c>
      <c r="E28" s="163" t="n">
        <v>27</v>
      </c>
      <c r="F28" s="161" t="n">
        <v>59.2</v>
      </c>
      <c r="G28" s="27" t="n">
        <v>18</v>
      </c>
      <c r="H28" s="164" t="n">
        <v>9</v>
      </c>
      <c r="I28" s="165" t="n"/>
      <c r="J28" s="165" t="n"/>
      <c r="K28" s="165" t="n"/>
      <c r="L28" s="165" t="n"/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3</v>
      </c>
      <c r="R28" s="113" t="n">
        <v>1</v>
      </c>
      <c r="S28" s="113" t="inlineStr">
        <is>
          <t>계</t>
        </is>
      </c>
      <c r="T28" s="8" t="inlineStr">
        <is>
          <t>89A</t>
        </is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코오롱1차</t>
        </is>
      </c>
      <c r="B29" s="16" t="inlineStr">
        <is>
          <t>'99.05.</t>
        </is>
      </c>
      <c r="C29" s="164" t="n">
        <v>257</v>
      </c>
      <c r="D29" s="161" t="n">
        <v>90.40000000000001</v>
      </c>
      <c r="E29" s="163" t="n">
        <v>27</v>
      </c>
      <c r="F29" s="161" t="n">
        <v>60</v>
      </c>
      <c r="G29" s="27" t="n">
        <v>18</v>
      </c>
      <c r="H29" s="164" t="n">
        <v>111</v>
      </c>
      <c r="I29" s="165" t="n"/>
      <c r="J29" s="165" t="n"/>
      <c r="K29" s="165" t="n"/>
      <c r="L29" s="165" t="n"/>
      <c r="M29" s="166">
        <f>I29-K29</f>
        <v/>
      </c>
      <c r="N29" s="7">
        <f>IF(ISERROR(K29/I29),"",K29/I29)</f>
        <v/>
      </c>
      <c r="O29" s="162">
        <f>I29/E29</f>
        <v/>
      </c>
      <c r="P29" s="162">
        <f>K29/E29</f>
        <v/>
      </c>
      <c r="Q29" s="113" t="n">
        <v>3</v>
      </c>
      <c r="R29" s="113" t="n">
        <v>1</v>
      </c>
      <c r="S29" s="113" t="inlineStr">
        <is>
          <t>계</t>
        </is>
      </c>
      <c r="T29" s="8" t="inlineStr">
        <is>
          <t>90B</t>
        </is>
      </c>
      <c r="U29" s="13" t="n"/>
      <c r="W29" s="161">
        <f>D29</f>
        <v/>
      </c>
      <c r="X29" s="163">
        <f>E29</f>
        <v/>
      </c>
      <c r="Y29" s="159">
        <f>H29</f>
        <v/>
      </c>
      <c r="Z29" s="166">
        <f>I29</f>
        <v/>
      </c>
      <c r="AA29" s="166">
        <f>K29</f>
        <v/>
      </c>
      <c r="AB29" s="166">
        <f>M29</f>
        <v/>
      </c>
      <c r="AC29" s="7">
        <f>N29</f>
        <v/>
      </c>
      <c r="AD29" s="162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3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코오롱1차</t>
        </is>
      </c>
      <c r="B30" s="16" t="inlineStr">
        <is>
          <t>'99.05.</t>
        </is>
      </c>
      <c r="C30" s="164" t="n">
        <v>257</v>
      </c>
      <c r="D30" s="161" t="n">
        <v>107.9</v>
      </c>
      <c r="E30" s="163" t="n">
        <v>33</v>
      </c>
      <c r="F30" s="161" t="n">
        <v>84.7</v>
      </c>
      <c r="G30" s="27" t="n">
        <v>26</v>
      </c>
      <c r="H30" s="164" t="n">
        <v>75</v>
      </c>
      <c r="I30" s="165" t="n"/>
      <c r="J30" s="165" t="n"/>
      <c r="K30" s="165" t="n"/>
      <c r="L30" s="165" t="n"/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3</v>
      </c>
      <c r="R30" s="113" t="n">
        <v>2</v>
      </c>
      <c r="S30" s="113" t="inlineStr">
        <is>
          <t>계</t>
        </is>
      </c>
      <c r="T30" s="8" t="n">
        <v>107</v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코오롱1차</t>
        </is>
      </c>
      <c r="B31" s="16" t="inlineStr">
        <is>
          <t>'99.05.</t>
        </is>
      </c>
      <c r="C31" s="164" t="n">
        <v>257</v>
      </c>
      <c r="D31" s="161" t="n">
        <v>121.4</v>
      </c>
      <c r="E31" s="163" t="n">
        <v>37</v>
      </c>
      <c r="F31" s="161" t="n">
        <v>94.7</v>
      </c>
      <c r="G31" s="27" t="n">
        <v>29</v>
      </c>
      <c r="H31" s="164" t="n">
        <v>22</v>
      </c>
      <c r="I31" s="165" t="n"/>
      <c r="J31" s="165" t="n"/>
      <c r="K31" s="165" t="n"/>
      <c r="L31" s="165" t="n"/>
      <c r="M31" s="166">
        <f>I31-K31</f>
        <v/>
      </c>
      <c r="N31" s="7">
        <f>IF(ISERROR(K31/I31),"",K31/I31)</f>
        <v/>
      </c>
      <c r="O31" s="162">
        <f>I31/E31</f>
        <v/>
      </c>
      <c r="P31" s="162">
        <f>K31/E31</f>
        <v/>
      </c>
      <c r="Q31" s="113" t="n">
        <v>3</v>
      </c>
      <c r="R31" s="113" t="n">
        <v>2</v>
      </c>
      <c r="S31" s="113" t="inlineStr">
        <is>
          <t>계</t>
        </is>
      </c>
      <c r="T31" s="8" t="n">
        <v>121</v>
      </c>
      <c r="U31" s="13" t="n"/>
      <c r="W31" s="161">
        <f>D31</f>
        <v/>
      </c>
      <c r="X31" s="163">
        <f>E31</f>
        <v/>
      </c>
      <c r="Y31" s="159">
        <f>H31</f>
        <v/>
      </c>
      <c r="Z31" s="166">
        <f>I31</f>
        <v/>
      </c>
      <c r="AA31" s="166">
        <f>K31</f>
        <v/>
      </c>
      <c r="AB31" s="166">
        <f>M31</f>
        <v/>
      </c>
      <c r="AC31" s="7">
        <f>N31</f>
        <v/>
      </c>
      <c r="AD31" s="162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3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코오롱1차</t>
        </is>
      </c>
      <c r="B32" s="16" t="inlineStr">
        <is>
          <t>'99.05.</t>
        </is>
      </c>
      <c r="C32" s="164" t="n">
        <v>257</v>
      </c>
      <c r="D32" s="161" t="n">
        <v>141.9</v>
      </c>
      <c r="E32" s="163" t="n">
        <v>43</v>
      </c>
      <c r="F32" s="161" t="n">
        <v>114.5</v>
      </c>
      <c r="G32" s="27" t="n">
        <v>35</v>
      </c>
      <c r="H32" s="164" t="n">
        <v>38</v>
      </c>
      <c r="I32" s="165" t="n"/>
      <c r="J32" s="165" t="n"/>
      <c r="K32" s="165" t="n"/>
      <c r="L32" s="165" t="n"/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4</v>
      </c>
      <c r="R32" s="113" t="n">
        <v>2</v>
      </c>
      <c r="S32" s="113" t="inlineStr">
        <is>
          <t>계</t>
        </is>
      </c>
      <c r="T32" s="8" t="inlineStr">
        <is>
          <t>141B</t>
        </is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코오롱1차</t>
        </is>
      </c>
      <c r="B33" s="16" t="inlineStr">
        <is>
          <t>'99.05.</t>
        </is>
      </c>
      <c r="C33" s="164" t="n">
        <v>257</v>
      </c>
      <c r="D33" s="161" t="n">
        <v>143.5</v>
      </c>
      <c r="E33" s="163" t="n">
        <v>43</v>
      </c>
      <c r="F33" s="161" t="n">
        <v>112.7</v>
      </c>
      <c r="G33" s="27" t="n">
        <v>34</v>
      </c>
      <c r="H33" s="164" t="n">
        <v>2</v>
      </c>
      <c r="I33" s="165" t="n"/>
      <c r="J33" s="165" t="n"/>
      <c r="K33" s="165" t="n"/>
      <c r="L33" s="165" t="n"/>
      <c r="M33" s="166">
        <f>I33-K33</f>
        <v/>
      </c>
      <c r="N33" s="7">
        <f>IF(ISERROR(K33/I33),"",K33/I33)</f>
        <v/>
      </c>
      <c r="O33" s="162">
        <f>I33/E33</f>
        <v/>
      </c>
      <c r="P33" s="162">
        <f>K33/E33</f>
        <v/>
      </c>
      <c r="Q33" s="113" t="n">
        <v>4</v>
      </c>
      <c r="R33" s="113" t="n">
        <v>3</v>
      </c>
      <c r="S33" s="113" t="inlineStr">
        <is>
          <t>계</t>
        </is>
      </c>
      <c r="T33" s="8" t="inlineStr">
        <is>
          <t>143A</t>
        </is>
      </c>
      <c r="U33" s="13" t="n"/>
      <c r="W33" s="161">
        <f>D33</f>
        <v/>
      </c>
      <c r="X33" s="163">
        <f>E33</f>
        <v/>
      </c>
      <c r="Y33" s="159">
        <f>H33</f>
        <v/>
      </c>
      <c r="Z33" s="166">
        <f>I33</f>
        <v/>
      </c>
      <c r="AA33" s="166">
        <f>K33</f>
        <v/>
      </c>
      <c r="AB33" s="166">
        <f>M33</f>
        <v/>
      </c>
      <c r="AC33" s="7">
        <f>N33</f>
        <v/>
      </c>
      <c r="AD33" s="162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3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n"/>
      <c r="B34" s="113" t="n"/>
      <c r="C34" s="10" t="n"/>
      <c r="D34" s="13" t="n"/>
      <c r="E34" s="20" t="n"/>
      <c r="F34" s="161" t="n"/>
      <c r="G34" s="13" t="n"/>
      <c r="H34" s="13" t="n"/>
      <c r="I34" s="13" t="n"/>
      <c r="J34" s="13" t="n"/>
      <c r="K34" s="13" t="n"/>
      <c r="L34" s="13" t="n"/>
      <c r="M34" s="13" t="n"/>
      <c r="N34" s="13" t="n"/>
      <c r="O34" s="162" t="n"/>
      <c r="P34" s="162" t="n"/>
      <c r="Q34" s="163" t="n"/>
      <c r="R34" s="163" t="n"/>
      <c r="S34" s="13" t="n"/>
      <c r="T34" s="70" t="n"/>
      <c r="U34" s="13" t="n"/>
      <c r="W34" s="107">
        <f>$A$4&amp;" "&amp;A35&amp;"("&amp;B35&amp;","&amp;C35&amp;"^)"</f>
        <v/>
      </c>
      <c r="X34" s="108" t="n"/>
      <c r="Y34" s="108" t="n"/>
      <c r="Z34" s="108" t="n"/>
      <c r="AA34" s="108" t="n"/>
      <c r="AB34" s="108" t="n"/>
      <c r="AC34" s="108" t="n"/>
      <c r="AD34" s="108" t="n"/>
      <c r="AE34" s="108" t="n"/>
      <c r="AF34" s="109" t="n"/>
      <c r="AH34" s="36">
        <f>IF(A34="","",A34)</f>
        <v/>
      </c>
      <c r="AI34" s="160">
        <f>IF(E34="","",E34)</f>
        <v/>
      </c>
      <c r="AJ34" s="113" t="n"/>
      <c r="AK34" s="113" t="n"/>
      <c r="AL34" s="113" t="n"/>
      <c r="AM34" s="113" t="n"/>
      <c r="AN34" s="113" t="n"/>
      <c r="AO34" s="113" t="n"/>
      <c r="AP34" s="113" t="n"/>
      <c r="AQ34" s="113" t="n"/>
      <c r="AR34" s="113" t="n"/>
      <c r="AS34" s="113" t="n"/>
      <c r="AT34" s="113" t="n"/>
      <c r="AU34" s="113" t="n"/>
      <c r="AV34" s="113" t="n"/>
    </row>
    <row r="35">
      <c r="A35" s="13" t="inlineStr">
        <is>
          <t>현대(30-2)</t>
        </is>
      </c>
      <c r="B35" s="16" t="inlineStr">
        <is>
          <t>'87.12.</t>
        </is>
      </c>
      <c r="C35" s="164" t="n">
        <v>277</v>
      </c>
      <c r="D35" s="161" t="n">
        <v>73.7</v>
      </c>
      <c r="E35" s="163" t="n">
        <v>22</v>
      </c>
      <c r="F35" s="161" t="n">
        <v>54.1</v>
      </c>
      <c r="G35" s="27" t="n">
        <v>16</v>
      </c>
      <c r="H35" s="164" t="n">
        <v>41</v>
      </c>
      <c r="I35" s="165" t="n"/>
      <c r="J35" s="165" t="n"/>
      <c r="K35" s="165" t="n"/>
      <c r="L35" s="165" t="n"/>
      <c r="M35" s="166">
        <f>I35-K35</f>
        <v/>
      </c>
      <c r="N35" s="7">
        <f>IF(ISERROR(K35/I35),"",K35/I35)</f>
        <v/>
      </c>
      <c r="O35" s="162">
        <f>I35/E35</f>
        <v/>
      </c>
      <c r="P35" s="162">
        <f>K35/E35</f>
        <v/>
      </c>
      <c r="Q35" s="113" t="n">
        <v>2</v>
      </c>
      <c r="R35" s="113" t="n">
        <v>1</v>
      </c>
      <c r="S35" s="113" t="inlineStr">
        <is>
          <t>복</t>
        </is>
      </c>
      <c r="T35" s="8" t="n">
        <v>73</v>
      </c>
      <c r="U35" s="13" t="n"/>
      <c r="W35" s="161">
        <f>D35</f>
        <v/>
      </c>
      <c r="X35" s="163">
        <f>E35</f>
        <v/>
      </c>
      <c r="Y35" s="159">
        <f>H35</f>
        <v/>
      </c>
      <c r="Z35" s="166">
        <f>I35</f>
        <v/>
      </c>
      <c r="AA35" s="166">
        <f>K35</f>
        <v/>
      </c>
      <c r="AB35" s="166">
        <f>M35</f>
        <v/>
      </c>
      <c r="AC35" s="7">
        <f>N35</f>
        <v/>
      </c>
      <c r="AD35" s="162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3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inlineStr">
        <is>
          <t>현대(30-2)</t>
        </is>
      </c>
      <c r="B36" s="16" t="inlineStr">
        <is>
          <t>'87.12.</t>
        </is>
      </c>
      <c r="C36" s="164" t="n">
        <v>277</v>
      </c>
      <c r="D36" s="161" t="n">
        <v>80.90000000000001</v>
      </c>
      <c r="E36" s="163" t="n">
        <v>24</v>
      </c>
      <c r="F36" s="161" t="n">
        <v>59.4</v>
      </c>
      <c r="G36" s="27" t="n">
        <v>18</v>
      </c>
      <c r="H36" s="164" t="n">
        <v>128</v>
      </c>
      <c r="I36" s="165" t="n"/>
      <c r="J36" s="165" t="n"/>
      <c r="K36" s="165" t="n"/>
      <c r="L36" s="165" t="n"/>
      <c r="M36" s="166">
        <f>I36-K36</f>
        <v/>
      </c>
      <c r="N36" s="7">
        <f>IF(ISERROR(K36/I36),"",K36/I36)</f>
        <v/>
      </c>
      <c r="O36" s="162">
        <f>I36/E36</f>
        <v/>
      </c>
      <c r="P36" s="162">
        <f>K36/E36</f>
        <v/>
      </c>
      <c r="Q36" s="113" t="n">
        <v>2</v>
      </c>
      <c r="R36" s="113" t="n">
        <v>1</v>
      </c>
      <c r="S36" s="113" t="inlineStr">
        <is>
          <t>복</t>
        </is>
      </c>
      <c r="T36" s="8" t="n">
        <v>80</v>
      </c>
      <c r="U36" s="13" t="n"/>
      <c r="W36" s="161">
        <f>D36</f>
        <v/>
      </c>
      <c r="X36" s="163">
        <f>E36</f>
        <v/>
      </c>
      <c r="Y36" s="159">
        <f>H36</f>
        <v/>
      </c>
      <c r="Z36" s="166">
        <f>I36</f>
        <v/>
      </c>
      <c r="AA36" s="166">
        <f>K36</f>
        <v/>
      </c>
      <c r="AB36" s="166">
        <f>M36</f>
        <v/>
      </c>
      <c r="AC36" s="7">
        <f>N36</f>
        <v/>
      </c>
      <c r="AD36" s="162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3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inlineStr">
        <is>
          <t>현대(30-2)</t>
        </is>
      </c>
      <c r="B37" s="16" t="inlineStr">
        <is>
          <t>'87.12.</t>
        </is>
      </c>
      <c r="C37" s="164" t="n">
        <v>277</v>
      </c>
      <c r="D37" s="161" t="n">
        <v>110.2</v>
      </c>
      <c r="E37" s="163" t="n">
        <v>33</v>
      </c>
      <c r="F37" s="161" t="n">
        <v>84.59999999999999</v>
      </c>
      <c r="G37" s="27" t="n">
        <v>26</v>
      </c>
      <c r="H37" s="164" t="n">
        <v>99</v>
      </c>
      <c r="I37" s="165" t="n"/>
      <c r="J37" s="165" t="n"/>
      <c r="K37" s="165" t="n"/>
      <c r="L37" s="165" t="n"/>
      <c r="M37" s="166">
        <f>I37-K37</f>
        <v/>
      </c>
      <c r="N37" s="7">
        <f>IF(ISERROR(K37/I37),"",K37/I37)</f>
        <v/>
      </c>
      <c r="O37" s="162">
        <f>I37/E37</f>
        <v/>
      </c>
      <c r="P37" s="162">
        <f>K37/E37</f>
        <v/>
      </c>
      <c r="Q37" s="113" t="n">
        <v>3</v>
      </c>
      <c r="R37" s="113" t="n">
        <v>1</v>
      </c>
      <c r="S37" s="113" t="inlineStr">
        <is>
          <t>복</t>
        </is>
      </c>
      <c r="T37" s="8" t="inlineStr">
        <is>
          <t>110A</t>
        </is>
      </c>
      <c r="U37" s="13" t="n"/>
      <c r="W37" s="161">
        <f>D37</f>
        <v/>
      </c>
      <c r="X37" s="163">
        <f>E37</f>
        <v/>
      </c>
      <c r="Y37" s="159">
        <f>H37</f>
        <v/>
      </c>
      <c r="Z37" s="166">
        <f>I37</f>
        <v/>
      </c>
      <c r="AA37" s="166">
        <f>K37</f>
        <v/>
      </c>
      <c r="AB37" s="166">
        <f>M37</f>
        <v/>
      </c>
      <c r="AC37" s="7">
        <f>N37</f>
        <v/>
      </c>
      <c r="AD37" s="162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3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inlineStr">
        <is>
          <t>현대(30-2)</t>
        </is>
      </c>
      <c r="B38" s="16" t="inlineStr">
        <is>
          <t>'87.12.</t>
        </is>
      </c>
      <c r="C38" s="164" t="n">
        <v>277</v>
      </c>
      <c r="D38" s="161" t="n">
        <v>110.2</v>
      </c>
      <c r="E38" s="163" t="n">
        <v>33</v>
      </c>
      <c r="F38" s="161" t="n">
        <v>84.59999999999999</v>
      </c>
      <c r="G38" s="27" t="n">
        <v>26</v>
      </c>
      <c r="H38" s="164" t="n">
        <v>9</v>
      </c>
      <c r="I38" s="165" t="n"/>
      <c r="J38" s="165" t="n"/>
      <c r="K38" s="165" t="n"/>
      <c r="L38" s="165" t="n"/>
      <c r="M38" s="166">
        <f>I38-K38</f>
        <v/>
      </c>
      <c r="N38" s="7">
        <f>IF(ISERROR(K38/I38),"",K38/I38)</f>
        <v/>
      </c>
      <c r="O38" s="162">
        <f>I38/E38</f>
        <v/>
      </c>
      <c r="P38" s="162">
        <f>K38/E38</f>
        <v/>
      </c>
      <c r="Q38" s="113" t="n">
        <v>3</v>
      </c>
      <c r="R38" s="113" t="n">
        <v>1</v>
      </c>
      <c r="S38" s="113" t="inlineStr">
        <is>
          <t>복</t>
        </is>
      </c>
      <c r="T38" s="8" t="inlineStr">
        <is>
          <t>110B</t>
        </is>
      </c>
      <c r="U38" s="13" t="n"/>
      <c r="W38" s="161">
        <f>D38</f>
        <v/>
      </c>
      <c r="X38" s="163">
        <f>E38</f>
        <v/>
      </c>
      <c r="Y38" s="159">
        <f>H38</f>
        <v/>
      </c>
      <c r="Z38" s="166">
        <f>I38</f>
        <v/>
      </c>
      <c r="AA38" s="166">
        <f>K38</f>
        <v/>
      </c>
      <c r="AB38" s="166">
        <f>M38</f>
        <v/>
      </c>
      <c r="AC38" s="7">
        <f>N38</f>
        <v/>
      </c>
      <c r="AD38" s="162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3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n"/>
      <c r="B39" s="113" t="n"/>
      <c r="C39" s="10" t="n"/>
      <c r="D39" s="13" t="n"/>
      <c r="E39" s="20" t="n"/>
      <c r="F39" s="161" t="n"/>
      <c r="G39" s="13" t="n"/>
      <c r="H39" s="13" t="n"/>
      <c r="I39" s="13" t="n"/>
      <c r="J39" s="13" t="n"/>
      <c r="K39" s="13" t="n"/>
      <c r="L39" s="13" t="n"/>
      <c r="M39" s="13" t="n"/>
      <c r="N39" s="13" t="n"/>
      <c r="O39" s="162" t="n"/>
      <c r="P39" s="162" t="n"/>
      <c r="Q39" s="163" t="n"/>
      <c r="R39" s="163" t="n"/>
      <c r="S39" s="13" t="n"/>
      <c r="T39" s="70" t="n"/>
      <c r="U39" s="13" t="n"/>
      <c r="W39" s="107">
        <f>$A$4&amp;" "&amp;A40&amp;"("&amp;B40&amp;","&amp;C40&amp;"^)"</f>
        <v/>
      </c>
      <c r="X39" s="108" t="n"/>
      <c r="Y39" s="108" t="n"/>
      <c r="Z39" s="108" t="n"/>
      <c r="AA39" s="108" t="n"/>
      <c r="AB39" s="108" t="n"/>
      <c r="AC39" s="108" t="n"/>
      <c r="AD39" s="108" t="n"/>
      <c r="AE39" s="108" t="n"/>
      <c r="AF39" s="109" t="n"/>
      <c r="AH39" s="36">
        <f>IF(A39="","",A39)</f>
        <v/>
      </c>
      <c r="AI39" s="160">
        <f>IF(E39="","",E39)</f>
        <v/>
      </c>
      <c r="AJ39" s="113" t="n"/>
      <c r="AK39" s="113" t="n"/>
      <c r="AL39" s="113" t="n"/>
      <c r="AM39" s="113" t="n"/>
      <c r="AN39" s="113" t="n"/>
      <c r="AO39" s="113" t="n"/>
      <c r="AP39" s="113" t="n"/>
      <c r="AQ39" s="113" t="n"/>
      <c r="AR39" s="113" t="n"/>
      <c r="AS39" s="113" t="n"/>
      <c r="AT39" s="113" t="n"/>
      <c r="AU39" s="113" t="n"/>
      <c r="AV39" s="113" t="n"/>
    </row>
    <row r="40">
      <c r="A40" s="13" t="inlineStr">
        <is>
          <t>성내e-편한세상1차</t>
        </is>
      </c>
      <c r="B40" s="16" t="inlineStr">
        <is>
          <t>'03.11.</t>
        </is>
      </c>
      <c r="C40" s="164" t="n">
        <v>203</v>
      </c>
      <c r="D40" s="161" t="n">
        <v>96.40000000000001</v>
      </c>
      <c r="E40" s="163" t="n">
        <v>29</v>
      </c>
      <c r="F40" s="161" t="n">
        <v>76.59999999999999</v>
      </c>
      <c r="G40" s="27" t="n">
        <v>23</v>
      </c>
      <c r="H40" s="164" t="n">
        <v>2</v>
      </c>
      <c r="I40" s="165" t="n"/>
      <c r="J40" s="165" t="n"/>
      <c r="K40" s="165" t="n"/>
      <c r="L40" s="165" t="n"/>
      <c r="M40" s="166">
        <f>I40-K40</f>
        <v/>
      </c>
      <c r="N40" s="7">
        <f>IF(ISERROR(K40/I40),"",K40/I40)</f>
        <v/>
      </c>
      <c r="O40" s="162">
        <f>I40/E40</f>
        <v/>
      </c>
      <c r="P40" s="162">
        <f>K40/E40</f>
        <v/>
      </c>
      <c r="Q40" s="113" t="n">
        <v>3</v>
      </c>
      <c r="R40" s="113" t="n">
        <v>2</v>
      </c>
      <c r="S40" s="113" t="inlineStr">
        <is>
          <t>계</t>
        </is>
      </c>
      <c r="T40" s="8" t="n">
        <v>96</v>
      </c>
      <c r="U40" s="13" t="n"/>
      <c r="W40" s="161">
        <f>D40</f>
        <v/>
      </c>
      <c r="X40" s="163">
        <f>E40</f>
        <v/>
      </c>
      <c r="Y40" s="159">
        <f>H40</f>
        <v/>
      </c>
      <c r="Z40" s="166">
        <f>I40</f>
        <v/>
      </c>
      <c r="AA40" s="166">
        <f>K40</f>
        <v/>
      </c>
      <c r="AB40" s="166">
        <f>M40</f>
        <v/>
      </c>
      <c r="AC40" s="7">
        <f>N40</f>
        <v/>
      </c>
      <c r="AD40" s="162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3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inlineStr">
        <is>
          <t>성내e-편한세상1차</t>
        </is>
      </c>
      <c r="B41" s="16" t="inlineStr">
        <is>
          <t>'03.11.</t>
        </is>
      </c>
      <c r="C41" s="164" t="n">
        <v>203</v>
      </c>
      <c r="D41" s="161" t="n">
        <v>104.8</v>
      </c>
      <c r="E41" s="163" t="n">
        <v>32</v>
      </c>
      <c r="F41" s="161" t="n">
        <v>84.5</v>
      </c>
      <c r="G41" s="27" t="n">
        <v>26</v>
      </c>
      <c r="H41" s="164" t="n">
        <v>72</v>
      </c>
      <c r="I41" s="165" t="n"/>
      <c r="J41" s="165" t="n"/>
      <c r="K41" s="165" t="n"/>
      <c r="L41" s="165" t="n"/>
      <c r="M41" s="166">
        <f>I41-K41</f>
        <v/>
      </c>
      <c r="N41" s="7">
        <f>IF(ISERROR(K41/I41),"",K41/I41)</f>
        <v/>
      </c>
      <c r="O41" s="162">
        <f>I41/E41</f>
        <v/>
      </c>
      <c r="P41" s="162">
        <f>K41/E41</f>
        <v/>
      </c>
      <c r="Q41" s="113" t="n">
        <v>3</v>
      </c>
      <c r="R41" s="113" t="n">
        <v>2</v>
      </c>
      <c r="S41" s="113" t="inlineStr">
        <is>
          <t>계</t>
        </is>
      </c>
      <c r="T41" s="8" t="n">
        <v>104</v>
      </c>
      <c r="U41" s="13" t="n"/>
      <c r="W41" s="161">
        <f>D41</f>
        <v/>
      </c>
      <c r="X41" s="163">
        <f>E41</f>
        <v/>
      </c>
      <c r="Y41" s="159">
        <f>H41</f>
        <v/>
      </c>
      <c r="Z41" s="166">
        <f>I41</f>
        <v/>
      </c>
      <c r="AA41" s="166">
        <f>K41</f>
        <v/>
      </c>
      <c r="AB41" s="166">
        <f>M41</f>
        <v/>
      </c>
      <c r="AC41" s="7">
        <f>N41</f>
        <v/>
      </c>
      <c r="AD41" s="162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3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inlineStr">
        <is>
          <t>성내e-편한세상1차</t>
        </is>
      </c>
      <c r="B42" s="16" t="inlineStr">
        <is>
          <t>'03.11.</t>
        </is>
      </c>
      <c r="C42" s="164" t="n">
        <v>203</v>
      </c>
      <c r="D42" s="161" t="n">
        <v>110.5</v>
      </c>
      <c r="E42" s="163" t="n">
        <v>33</v>
      </c>
      <c r="F42" s="161" t="n">
        <v>84</v>
      </c>
      <c r="G42" s="27" t="n">
        <v>25</v>
      </c>
      <c r="H42" s="164" t="n">
        <v>15</v>
      </c>
      <c r="I42" s="165" t="n"/>
      <c r="J42" s="165" t="n"/>
      <c r="K42" s="165" t="n"/>
      <c r="L42" s="165" t="n"/>
      <c r="M42" s="166">
        <f>I42-K42</f>
        <v/>
      </c>
      <c r="N42" s="7">
        <f>IF(ISERROR(K42/I42),"",K42/I42)</f>
        <v/>
      </c>
      <c r="O42" s="162">
        <f>I42/E42</f>
        <v/>
      </c>
      <c r="P42" s="162">
        <f>K42/E42</f>
        <v/>
      </c>
      <c r="Q42" s="113" t="n">
        <v>3</v>
      </c>
      <c r="R42" s="113" t="n">
        <v>2</v>
      </c>
      <c r="S42" s="113" t="inlineStr">
        <is>
          <t>계</t>
        </is>
      </c>
      <c r="T42" s="8" t="inlineStr">
        <is>
          <t>110B</t>
        </is>
      </c>
      <c r="U42" s="13" t="n"/>
      <c r="W42" s="161">
        <f>D42</f>
        <v/>
      </c>
      <c r="X42" s="163">
        <f>E42</f>
        <v/>
      </c>
      <c r="Y42" s="159">
        <f>H42</f>
        <v/>
      </c>
      <c r="Z42" s="166">
        <f>I42</f>
        <v/>
      </c>
      <c r="AA42" s="166">
        <f>K42</f>
        <v/>
      </c>
      <c r="AB42" s="166">
        <f>M42</f>
        <v/>
      </c>
      <c r="AC42" s="7">
        <f>N42</f>
        <v/>
      </c>
      <c r="AD42" s="162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3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inlineStr">
        <is>
          <t>성내e-편한세상1차</t>
        </is>
      </c>
      <c r="B43" s="16" t="inlineStr">
        <is>
          <t>'03.11.</t>
        </is>
      </c>
      <c r="C43" s="164" t="n">
        <v>203</v>
      </c>
      <c r="D43" s="161" t="n">
        <v>114.4</v>
      </c>
      <c r="E43" s="163" t="n">
        <v>35</v>
      </c>
      <c r="F43" s="161" t="n">
        <v>84.40000000000001</v>
      </c>
      <c r="G43" s="27" t="n">
        <v>26</v>
      </c>
      <c r="H43" s="164" t="n">
        <v>29</v>
      </c>
      <c r="I43" s="165" t="n"/>
      <c r="J43" s="165" t="n"/>
      <c r="K43" s="165" t="n"/>
      <c r="L43" s="165" t="n"/>
      <c r="M43" s="166">
        <f>I43-K43</f>
        <v/>
      </c>
      <c r="N43" s="7">
        <f>IF(ISERROR(K43/I43),"",K43/I43)</f>
        <v/>
      </c>
      <c r="O43" s="162">
        <f>I43/E43</f>
        <v/>
      </c>
      <c r="P43" s="162">
        <f>K43/E43</f>
        <v/>
      </c>
      <c r="Q43" s="113" t="n">
        <v>3</v>
      </c>
      <c r="R43" s="113" t="n">
        <v>2</v>
      </c>
      <c r="S43" s="113" t="inlineStr">
        <is>
          <t>계</t>
        </is>
      </c>
      <c r="T43" s="8" t="inlineStr">
        <is>
          <t>114A</t>
        </is>
      </c>
      <c r="U43" s="13" t="n"/>
      <c r="W43" s="161">
        <f>D43</f>
        <v/>
      </c>
      <c r="X43" s="163">
        <f>E43</f>
        <v/>
      </c>
      <c r="Y43" s="159">
        <f>H43</f>
        <v/>
      </c>
      <c r="Z43" s="166">
        <f>I43</f>
        <v/>
      </c>
      <c r="AA43" s="166">
        <f>K43</f>
        <v/>
      </c>
      <c r="AB43" s="166">
        <f>M43</f>
        <v/>
      </c>
      <c r="AC43" s="7">
        <f>N43</f>
        <v/>
      </c>
      <c r="AD43" s="162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3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inlineStr">
        <is>
          <t>성내e-편한세상1차</t>
        </is>
      </c>
      <c r="B44" s="16" t="inlineStr">
        <is>
          <t>'03.11.</t>
        </is>
      </c>
      <c r="C44" s="164" t="n">
        <v>203</v>
      </c>
      <c r="D44" s="161" t="n">
        <v>114.9</v>
      </c>
      <c r="E44" s="163" t="n">
        <v>35</v>
      </c>
      <c r="F44" s="161" t="n">
        <v>96</v>
      </c>
      <c r="G44" s="27" t="n">
        <v>29</v>
      </c>
      <c r="H44" s="164" t="n">
        <v>2</v>
      </c>
      <c r="I44" s="165" t="n"/>
      <c r="J44" s="165" t="n"/>
      <c r="K44" s="165" t="n"/>
      <c r="L44" s="165" t="n"/>
      <c r="M44" s="166">
        <f>I44-K44</f>
        <v/>
      </c>
      <c r="N44" s="7">
        <f>IF(ISERROR(K44/I44),"",K44/I44)</f>
        <v/>
      </c>
      <c r="O44" s="162">
        <f>I44/E44</f>
        <v/>
      </c>
      <c r="P44" s="162">
        <f>K44/E44</f>
        <v/>
      </c>
      <c r="Q44" s="113" t="n">
        <v>3</v>
      </c>
      <c r="R44" s="113" t="n">
        <v>2</v>
      </c>
      <c r="S44" s="113" t="inlineStr">
        <is>
          <t>계</t>
        </is>
      </c>
      <c r="T44" s="8" t="inlineStr">
        <is>
          <t>114B</t>
        </is>
      </c>
      <c r="U44" s="13" t="n"/>
      <c r="W44" s="161">
        <f>D44</f>
        <v/>
      </c>
      <c r="X44" s="163">
        <f>E44</f>
        <v/>
      </c>
      <c r="Y44" s="159">
        <f>H44</f>
        <v/>
      </c>
      <c r="Z44" s="166">
        <f>I44</f>
        <v/>
      </c>
      <c r="AA44" s="166">
        <f>K44</f>
        <v/>
      </c>
      <c r="AB44" s="166">
        <f>M44</f>
        <v/>
      </c>
      <c r="AC44" s="7">
        <f>N44</f>
        <v/>
      </c>
      <c r="AD44" s="162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3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inlineStr">
        <is>
          <t>성내e-편한세상1차</t>
        </is>
      </c>
      <c r="B45" s="16" t="inlineStr">
        <is>
          <t>'03.11.</t>
        </is>
      </c>
      <c r="C45" s="164" t="n">
        <v>203</v>
      </c>
      <c r="D45" s="161" t="n">
        <v>133.2</v>
      </c>
      <c r="E45" s="163" t="n">
        <v>40</v>
      </c>
      <c r="F45" s="161" t="n">
        <v>109.4</v>
      </c>
      <c r="G45" s="27" t="n">
        <v>33</v>
      </c>
      <c r="H45" s="164" t="n">
        <v>1</v>
      </c>
      <c r="I45" s="165" t="n"/>
      <c r="J45" s="165" t="n"/>
      <c r="K45" s="165" t="n"/>
      <c r="L45" s="165" t="n"/>
      <c r="M45" s="166">
        <f>I45-K45</f>
        <v/>
      </c>
      <c r="N45" s="7">
        <f>IF(ISERROR(K45/I45),"",K45/I45)</f>
        <v/>
      </c>
      <c r="O45" s="162">
        <f>I45/E45</f>
        <v/>
      </c>
      <c r="P45" s="162">
        <f>K45/E45</f>
        <v/>
      </c>
      <c r="Q45" s="113" t="n">
        <v>4</v>
      </c>
      <c r="R45" s="113" t="n">
        <v>2</v>
      </c>
      <c r="S45" s="113" t="inlineStr">
        <is>
          <t>계</t>
        </is>
      </c>
      <c r="T45" s="8" t="n">
        <v>133</v>
      </c>
      <c r="U45" s="13" t="n"/>
      <c r="W45" s="161">
        <f>D45</f>
        <v/>
      </c>
      <c r="X45" s="163">
        <f>E45</f>
        <v/>
      </c>
      <c r="Y45" s="159">
        <f>H45</f>
        <v/>
      </c>
      <c r="Z45" s="166">
        <f>I45</f>
        <v/>
      </c>
      <c r="AA45" s="166">
        <f>K45</f>
        <v/>
      </c>
      <c r="AB45" s="166">
        <f>M45</f>
        <v/>
      </c>
      <c r="AC45" s="7">
        <f>N45</f>
        <v/>
      </c>
      <c r="AD45" s="162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3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inlineStr">
        <is>
          <t>성내e-편한세상1차</t>
        </is>
      </c>
      <c r="B46" s="16" t="inlineStr">
        <is>
          <t>'03.11.</t>
        </is>
      </c>
      <c r="C46" s="164" t="n">
        <v>203</v>
      </c>
      <c r="D46" s="161" t="n">
        <v>142.2</v>
      </c>
      <c r="E46" s="163" t="n">
        <v>43</v>
      </c>
      <c r="F46" s="161" t="n">
        <v>84.2</v>
      </c>
      <c r="G46" s="27" t="n">
        <v>25</v>
      </c>
      <c r="H46" s="164" t="n">
        <v>35</v>
      </c>
      <c r="I46" s="165" t="n"/>
      <c r="J46" s="165" t="n"/>
      <c r="K46" s="165" t="n"/>
      <c r="L46" s="165" t="n"/>
      <c r="M46" s="166">
        <f>I46-K46</f>
        <v/>
      </c>
      <c r="N46" s="7">
        <f>IF(ISERROR(K46/I46),"",K46/I46)</f>
        <v/>
      </c>
      <c r="O46" s="162">
        <f>I46/E46</f>
        <v/>
      </c>
      <c r="P46" s="162">
        <f>K46/E46</f>
        <v/>
      </c>
      <c r="Q46" s="113" t="n">
        <v>3</v>
      </c>
      <c r="R46" s="113" t="n">
        <v>2</v>
      </c>
      <c r="S46" s="113" t="inlineStr">
        <is>
          <t>계</t>
        </is>
      </c>
      <c r="T46" s="8" t="inlineStr">
        <is>
          <t>142A</t>
        </is>
      </c>
      <c r="U46" s="13" t="n"/>
      <c r="W46" s="161">
        <f>D46</f>
        <v/>
      </c>
      <c r="X46" s="163">
        <f>E46</f>
        <v/>
      </c>
      <c r="Y46" s="159">
        <f>H46</f>
        <v/>
      </c>
      <c r="Z46" s="166">
        <f>I46</f>
        <v/>
      </c>
      <c r="AA46" s="166">
        <f>K46</f>
        <v/>
      </c>
      <c r="AB46" s="166">
        <f>M46</f>
        <v/>
      </c>
      <c r="AC46" s="7">
        <f>N46</f>
        <v/>
      </c>
      <c r="AD46" s="162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3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inlineStr">
        <is>
          <t>성내e-편한세상1차</t>
        </is>
      </c>
      <c r="B47" s="16" t="inlineStr">
        <is>
          <t>'03.11.</t>
        </is>
      </c>
      <c r="C47" s="164" t="n">
        <v>203</v>
      </c>
      <c r="D47" s="161" t="n">
        <v>144.6</v>
      </c>
      <c r="E47" s="163" t="n">
        <v>44</v>
      </c>
      <c r="F47" s="161" t="n">
        <v>120.5</v>
      </c>
      <c r="G47" s="27" t="n">
        <v>36</v>
      </c>
      <c r="H47" s="164" t="n">
        <v>47</v>
      </c>
      <c r="I47" s="165" t="n"/>
      <c r="J47" s="165" t="n"/>
      <c r="K47" s="165" t="n"/>
      <c r="L47" s="165" t="n"/>
      <c r="M47" s="166">
        <f>I47-K47</f>
        <v/>
      </c>
      <c r="N47" s="7">
        <f>IF(ISERROR(K47/I47),"",K47/I47)</f>
        <v/>
      </c>
      <c r="O47" s="162">
        <f>I47/E47</f>
        <v/>
      </c>
      <c r="P47" s="162">
        <f>K47/E47</f>
        <v/>
      </c>
      <c r="Q47" s="113" t="n">
        <v>4</v>
      </c>
      <c r="R47" s="113" t="n">
        <v>2</v>
      </c>
      <c r="S47" s="113" t="inlineStr">
        <is>
          <t>계</t>
        </is>
      </c>
      <c r="T47" s="8" t="n">
        <v>144</v>
      </c>
      <c r="U47" s="13" t="n"/>
      <c r="W47" s="161">
        <f>D47</f>
        <v/>
      </c>
      <c r="X47" s="163">
        <f>E47</f>
        <v/>
      </c>
      <c r="Y47" s="159">
        <f>H47</f>
        <v/>
      </c>
      <c r="Z47" s="166">
        <f>I47</f>
        <v/>
      </c>
      <c r="AA47" s="166">
        <f>K47</f>
        <v/>
      </c>
      <c r="AB47" s="166">
        <f>M47</f>
        <v/>
      </c>
      <c r="AC47" s="7">
        <f>N47</f>
        <v/>
      </c>
      <c r="AD47" s="162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3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</sheetData>
  <mergeCells count="1">
    <mergeCell ref="AJ1:AN1"/>
  </mergeCells>
  <conditionalFormatting sqref="AV4:AV6">
    <cfRule type="expression" priority="701" dxfId="17">
      <formula>AV4="X"</formula>
    </cfRule>
    <cfRule type="expression" priority="702" dxfId="16">
      <formula>AV4="후보"</formula>
    </cfRule>
  </conditionalFormatting>
  <conditionalFormatting sqref="AC1:AC2 AC4:AC6 N4:N5">
    <cfRule type="cellIs" priority="698" operator="greaterThan" dxfId="13">
      <formula>0.9</formula>
    </cfRule>
    <cfRule type="cellIs" priority="699" operator="greaterThan" dxfId="12">
      <formula>0.85</formula>
    </cfRule>
  </conditionalFormatting>
  <conditionalFormatting sqref="N1:N2">
    <cfRule type="cellIs" priority="696" operator="greaterThan" dxfId="13">
      <formula>0.9</formula>
    </cfRule>
    <cfRule type="cellIs" priority="697" operator="greaterThan" dxfId="12">
      <formula>0.85</formula>
    </cfRule>
  </conditionalFormatting>
  <conditionalFormatting sqref="N6">
    <cfRule type="cellIs" priority="694" operator="greaterThan" dxfId="13">
      <formula>0.9</formula>
    </cfRule>
    <cfRule type="cellIs" priority="695" operator="greaterThan" dxfId="12">
      <formula>0.85</formula>
    </cfRule>
  </conditionalFormatting>
  <conditionalFormatting sqref="E6">
    <cfRule type="expression" priority="690" dxfId="3">
      <formula>AND(IF(OR($Q6=1,$Q6=2),1,0),IF($X6&lt;=20,1,0))</formula>
    </cfRule>
    <cfRule type="expression" priority="691" dxfId="2">
      <formula>AND(IF($Q6=2,1,0),IF($X6&lt;30,1,0))</formula>
    </cfRule>
    <cfRule type="expression" priority="692" dxfId="1">
      <formula>AND(IF($Q6=3,1,0),IF($X6&lt;30,1,0))</formula>
    </cfRule>
    <cfRule type="expression" priority="693" dxfId="0">
      <formula>AND(IF($Q6=3,1,IF($Q6=4,1,0)),IF($F6&lt;=85,1,0))</formula>
    </cfRule>
  </conditionalFormatting>
  <conditionalFormatting sqref="X6">
    <cfRule type="expression" priority="686" dxfId="3">
      <formula>AND(IF(OR($Q6=1,$Q6=2),1,0),IF($X6&lt;=20,1,0))</formula>
    </cfRule>
    <cfRule type="expression" priority="687" dxfId="2">
      <formula>AND(IF($Q6=2,1,0),IF($X6&lt;30,1,0))</formula>
    </cfRule>
    <cfRule type="expression" priority="688" dxfId="1">
      <formula>AND(IF($Q6=3,1,0),IF($X6&lt;30,1,0))</formula>
    </cfRule>
    <cfRule type="expression" priority="689" dxfId="0">
      <formula>AND(IF($Q6=3,1,IF($Q6=4,1,0)),IF($F6&lt;=85,1,0))</formula>
    </cfRule>
  </conditionalFormatting>
  <conditionalFormatting sqref="AI6">
    <cfRule type="expression" priority="682" dxfId="3">
      <formula>AND(IF(OR($Q6=1,$Q6=2),1,0),IF($X6&lt;=20,1,0))</formula>
    </cfRule>
    <cfRule type="expression" priority="683" dxfId="2">
      <formula>AND(IF($Q6=2,1,0),IF($X6&lt;30,1,0))</formula>
    </cfRule>
    <cfRule type="expression" priority="684" dxfId="1">
      <formula>AND(IF($Q6=3,1,0),IF($X6&lt;30,1,0))</formula>
    </cfRule>
    <cfRule type="expression" priority="685" dxfId="0">
      <formula>AND(IF($Q6=3,1,IF($Q6=4,1,0)),IF($F6&lt;=85,1,0))</formula>
    </cfRule>
  </conditionalFormatting>
  <conditionalFormatting sqref="AV7">
    <cfRule type="expression" priority="680" dxfId="17">
      <formula>AV7="X"</formula>
    </cfRule>
    <cfRule type="expression" priority="681" dxfId="16">
      <formula>AV7="후보"</formula>
    </cfRule>
  </conditionalFormatting>
  <conditionalFormatting sqref="AC7">
    <cfRule type="cellIs" priority="677" operator="greaterThan" dxfId="13">
      <formula>0.9</formula>
    </cfRule>
    <cfRule type="cellIs" priority="678" operator="greaterThan" dxfId="12">
      <formula>0.85</formula>
    </cfRule>
  </conditionalFormatting>
  <conditionalFormatting sqref="N7">
    <cfRule type="cellIs" priority="675" operator="greaterThan" dxfId="13">
      <formula>0.9</formula>
    </cfRule>
    <cfRule type="cellIs" priority="676" operator="greaterThan" dxfId="12">
      <formula>0.85</formula>
    </cfRule>
  </conditionalFormatting>
  <conditionalFormatting sqref="E7">
    <cfRule type="expression" priority="671" dxfId="3">
      <formula>AND(IF(OR($Q7=1,$Q7=2),1,0),IF($X7&lt;=20,1,0))</formula>
    </cfRule>
    <cfRule type="expression" priority="672" dxfId="2">
      <formula>AND(IF($Q7=2,1,0),IF($X7&lt;30,1,0))</formula>
    </cfRule>
    <cfRule type="expression" priority="673" dxfId="1">
      <formula>AND(IF($Q7=3,1,0),IF($X7&lt;30,1,0))</formula>
    </cfRule>
    <cfRule type="expression" priority="674" dxfId="0">
      <formula>AND(IF($Q7=3,1,IF($Q7=4,1,0)),IF($F7&lt;=85,1,0))</formula>
    </cfRule>
  </conditionalFormatting>
  <conditionalFormatting sqref="X7">
    <cfRule type="expression" priority="667" dxfId="3">
      <formula>AND(IF(OR($Q7=1,$Q7=2),1,0),IF($X7&lt;=20,1,0))</formula>
    </cfRule>
    <cfRule type="expression" priority="668" dxfId="2">
      <formula>AND(IF($Q7=2,1,0),IF($X7&lt;30,1,0))</formula>
    </cfRule>
    <cfRule type="expression" priority="669" dxfId="1">
      <formula>AND(IF($Q7=3,1,0),IF($X7&lt;30,1,0))</formula>
    </cfRule>
    <cfRule type="expression" priority="670" dxfId="0">
      <formula>AND(IF($Q7=3,1,IF($Q7=4,1,0)),IF($F7&lt;=85,1,0))</formula>
    </cfRule>
  </conditionalFormatting>
  <conditionalFormatting sqref="AI7">
    <cfRule type="expression" priority="663" dxfId="3">
      <formula>AND(IF(OR($Q7=1,$Q7=2),1,0),IF($X7&lt;=20,1,0))</formula>
    </cfRule>
    <cfRule type="expression" priority="664" dxfId="2">
      <formula>AND(IF($Q7=2,1,0),IF($X7&lt;30,1,0))</formula>
    </cfRule>
    <cfRule type="expression" priority="665" dxfId="1">
      <formula>AND(IF($Q7=3,1,0),IF($X7&lt;30,1,0))</formula>
    </cfRule>
    <cfRule type="expression" priority="666" dxfId="0">
      <formula>AND(IF($Q7=3,1,IF($Q7=4,1,0)),IF($F7&lt;=85,1,0))</formula>
    </cfRule>
  </conditionalFormatting>
  <conditionalFormatting sqref="AV8">
    <cfRule type="expression" priority="661" dxfId="17">
      <formula>AV8="X"</formula>
    </cfRule>
    <cfRule type="expression" priority="662" dxfId="16">
      <formula>AV8="후보"</formula>
    </cfRule>
  </conditionalFormatting>
  <conditionalFormatting sqref="AC8">
    <cfRule type="cellIs" priority="658" operator="greaterThan" dxfId="13">
      <formula>0.9</formula>
    </cfRule>
    <cfRule type="cellIs" priority="659" operator="greaterThan" dxfId="12">
      <formula>0.85</formula>
    </cfRule>
  </conditionalFormatting>
  <conditionalFormatting sqref="N8">
    <cfRule type="cellIs" priority="656" operator="greaterThan" dxfId="13">
      <formula>0.9</formula>
    </cfRule>
    <cfRule type="cellIs" priority="657" operator="greaterThan" dxfId="12">
      <formula>0.85</formula>
    </cfRule>
  </conditionalFormatting>
  <conditionalFormatting sqref="E8">
    <cfRule type="expression" priority="652" dxfId="3">
      <formula>AND(IF(OR($Q8=1,$Q8=2),1,0),IF($X8&lt;=20,1,0))</formula>
    </cfRule>
    <cfRule type="expression" priority="653" dxfId="2">
      <formula>AND(IF($Q8=2,1,0),IF($X8&lt;30,1,0))</formula>
    </cfRule>
    <cfRule type="expression" priority="654" dxfId="1">
      <formula>AND(IF($Q8=3,1,0),IF($X8&lt;30,1,0))</formula>
    </cfRule>
    <cfRule type="expression" priority="655" dxfId="0">
      <formula>AND(IF($Q8=3,1,IF($Q8=4,1,0)),IF($F8&lt;=85,1,0))</formula>
    </cfRule>
  </conditionalFormatting>
  <conditionalFormatting sqref="X8">
    <cfRule type="expression" priority="648" dxfId="3">
      <formula>AND(IF(OR($Q8=1,$Q8=2),1,0),IF($X8&lt;=20,1,0))</formula>
    </cfRule>
    <cfRule type="expression" priority="649" dxfId="2">
      <formula>AND(IF($Q8=2,1,0),IF($X8&lt;30,1,0))</formula>
    </cfRule>
    <cfRule type="expression" priority="650" dxfId="1">
      <formula>AND(IF($Q8=3,1,0),IF($X8&lt;30,1,0))</formula>
    </cfRule>
    <cfRule type="expression" priority="651" dxfId="0">
      <formula>AND(IF($Q8=3,1,IF($Q8=4,1,0)),IF($F8&lt;=85,1,0))</formula>
    </cfRule>
  </conditionalFormatting>
  <conditionalFormatting sqref="AI8">
    <cfRule type="expression" priority="644" dxfId="3">
      <formula>AND(IF(OR($Q8=1,$Q8=2),1,0),IF($X8&lt;=20,1,0))</formula>
    </cfRule>
    <cfRule type="expression" priority="645" dxfId="2">
      <formula>AND(IF($Q8=2,1,0),IF($X8&lt;30,1,0))</formula>
    </cfRule>
    <cfRule type="expression" priority="646" dxfId="1">
      <formula>AND(IF($Q8=3,1,0),IF($X8&lt;30,1,0))</formula>
    </cfRule>
    <cfRule type="expression" priority="647" dxfId="0">
      <formula>AND(IF($Q8=3,1,IF($Q8=4,1,0)),IF($F8&lt;=85,1,0))</formula>
    </cfRule>
  </conditionalFormatting>
  <conditionalFormatting sqref="AV9">
    <cfRule type="expression" priority="642" dxfId="17">
      <formula>AV9="X"</formula>
    </cfRule>
    <cfRule type="expression" priority="643" dxfId="16">
      <formula>AV9="후보"</formula>
    </cfRule>
  </conditionalFormatting>
  <conditionalFormatting sqref="AC9">
    <cfRule type="cellIs" priority="639" operator="greaterThan" dxfId="13">
      <formula>0.9</formula>
    </cfRule>
    <cfRule type="cellIs" priority="640" operator="greaterThan" dxfId="12">
      <formula>0.85</formula>
    </cfRule>
  </conditionalFormatting>
  <conditionalFormatting sqref="N9">
    <cfRule type="cellIs" priority="637" operator="greaterThan" dxfId="13">
      <formula>0.9</formula>
    </cfRule>
    <cfRule type="cellIs" priority="638" operator="greaterThan" dxfId="12">
      <formula>0.85</formula>
    </cfRule>
  </conditionalFormatting>
  <conditionalFormatting sqref="E9">
    <cfRule type="expression" priority="633" dxfId="3">
      <formula>AND(IF(OR($Q9=1,$Q9=2),1,0),IF($X9&lt;=20,1,0))</formula>
    </cfRule>
    <cfRule type="expression" priority="634" dxfId="2">
      <formula>AND(IF($Q9=2,1,0),IF($X9&lt;30,1,0))</formula>
    </cfRule>
    <cfRule type="expression" priority="635" dxfId="1">
      <formula>AND(IF($Q9=3,1,0),IF($X9&lt;30,1,0))</formula>
    </cfRule>
    <cfRule type="expression" priority="636" dxfId="0">
      <formula>AND(IF($Q9=3,1,IF($Q9=4,1,0)),IF($F9&lt;=85,1,0))</formula>
    </cfRule>
  </conditionalFormatting>
  <conditionalFormatting sqref="X9">
    <cfRule type="expression" priority="629" dxfId="3">
      <formula>AND(IF(OR($Q9=1,$Q9=2),1,0),IF($X9&lt;=20,1,0))</formula>
    </cfRule>
    <cfRule type="expression" priority="630" dxfId="2">
      <formula>AND(IF($Q9=2,1,0),IF($X9&lt;30,1,0))</formula>
    </cfRule>
    <cfRule type="expression" priority="631" dxfId="1">
      <formula>AND(IF($Q9=3,1,0),IF($X9&lt;30,1,0))</formula>
    </cfRule>
    <cfRule type="expression" priority="632" dxfId="0">
      <formula>AND(IF($Q9=3,1,IF($Q9=4,1,0)),IF($F9&lt;=85,1,0))</formula>
    </cfRule>
  </conditionalFormatting>
  <conditionalFormatting sqref="AI9">
    <cfRule type="expression" priority="625" dxfId="3">
      <formula>AND(IF(OR($Q9=1,$Q9=2),1,0),IF($X9&lt;=20,1,0))</formula>
    </cfRule>
    <cfRule type="expression" priority="626" dxfId="2">
      <formula>AND(IF($Q9=2,1,0),IF($X9&lt;30,1,0))</formula>
    </cfRule>
    <cfRule type="expression" priority="627" dxfId="1">
      <formula>AND(IF($Q9=3,1,0),IF($X9&lt;30,1,0))</formula>
    </cfRule>
    <cfRule type="expression" priority="628" dxfId="0">
      <formula>AND(IF($Q9=3,1,IF($Q9=4,1,0)),IF($F9&lt;=85,1,0))</formula>
    </cfRule>
  </conditionalFormatting>
  <conditionalFormatting sqref="AV10">
    <cfRule type="expression" priority="623" dxfId="17">
      <formula>AV10="X"</formula>
    </cfRule>
    <cfRule type="expression" priority="624" dxfId="16">
      <formula>AV10="후보"</formula>
    </cfRule>
  </conditionalFormatting>
  <conditionalFormatting sqref="AC10 N10">
    <cfRule type="cellIs" priority="620" operator="greaterThan" dxfId="13">
      <formula>0.9</formula>
    </cfRule>
    <cfRule type="cellIs" priority="621" operator="greaterThan" dxfId="12">
      <formula>0.85</formula>
    </cfRule>
  </conditionalFormatting>
  <conditionalFormatting sqref="AV11">
    <cfRule type="expression" priority="618" dxfId="17">
      <formula>AV11="X"</formula>
    </cfRule>
    <cfRule type="expression" priority="619" dxfId="16">
      <formula>AV11="후보"</formula>
    </cfRule>
  </conditionalFormatting>
  <conditionalFormatting sqref="AC11">
    <cfRule type="cellIs" priority="615" operator="greaterThan" dxfId="13">
      <formula>0.9</formula>
    </cfRule>
    <cfRule type="cellIs" priority="616" operator="greaterThan" dxfId="12">
      <formula>0.85</formula>
    </cfRule>
  </conditionalFormatting>
  <conditionalFormatting sqref="N11">
    <cfRule type="cellIs" priority="613" operator="greaterThan" dxfId="13">
      <formula>0.9</formula>
    </cfRule>
    <cfRule type="cellIs" priority="614" operator="greaterThan" dxfId="12">
      <formula>0.85</formula>
    </cfRule>
  </conditionalFormatting>
  <conditionalFormatting sqref="E11">
    <cfRule type="expression" priority="609" dxfId="3">
      <formula>AND(IF(OR($Q11=1,$Q11=2),1,0),IF($X11&lt;=20,1,0))</formula>
    </cfRule>
    <cfRule type="expression" priority="610" dxfId="2">
      <formula>AND(IF($Q11=2,1,0),IF($X11&lt;30,1,0))</formula>
    </cfRule>
    <cfRule type="expression" priority="611" dxfId="1">
      <formula>AND(IF($Q11=3,1,0),IF($X11&lt;30,1,0))</formula>
    </cfRule>
    <cfRule type="expression" priority="612" dxfId="0">
      <formula>AND(IF($Q11=3,1,IF($Q11=4,1,0)),IF($F11&lt;=85,1,0))</formula>
    </cfRule>
  </conditionalFormatting>
  <conditionalFormatting sqref="X11">
    <cfRule type="expression" priority="605" dxfId="3">
      <formula>AND(IF(OR($Q11=1,$Q11=2),1,0),IF($X11&lt;=20,1,0))</formula>
    </cfRule>
    <cfRule type="expression" priority="606" dxfId="2">
      <formula>AND(IF($Q11=2,1,0),IF($X11&lt;30,1,0))</formula>
    </cfRule>
    <cfRule type="expression" priority="607" dxfId="1">
      <formula>AND(IF($Q11=3,1,0),IF($X11&lt;30,1,0))</formula>
    </cfRule>
    <cfRule type="expression" priority="608" dxfId="0">
      <formula>AND(IF($Q11=3,1,IF($Q11=4,1,0)),IF($F11&lt;=85,1,0))</formula>
    </cfRule>
  </conditionalFormatting>
  <conditionalFormatting sqref="AI11">
    <cfRule type="expression" priority="601" dxfId="3">
      <formula>AND(IF(OR($Q11=1,$Q11=2),1,0),IF($X11&lt;=20,1,0))</formula>
    </cfRule>
    <cfRule type="expression" priority="602" dxfId="2">
      <formula>AND(IF($Q11=2,1,0),IF($X11&lt;30,1,0))</formula>
    </cfRule>
    <cfRule type="expression" priority="603" dxfId="1">
      <formula>AND(IF($Q11=3,1,0),IF($X11&lt;30,1,0))</formula>
    </cfRule>
    <cfRule type="expression" priority="604" dxfId="0">
      <formula>AND(IF($Q11=3,1,IF($Q11=4,1,0)),IF($F11&lt;=85,1,0))</formula>
    </cfRule>
  </conditionalFormatting>
  <conditionalFormatting sqref="AV12">
    <cfRule type="expression" priority="599" dxfId="17">
      <formula>AV12="X"</formula>
    </cfRule>
    <cfRule type="expression" priority="600" dxfId="16">
      <formula>AV12="후보"</formula>
    </cfRule>
  </conditionalFormatting>
  <conditionalFormatting sqref="AC12">
    <cfRule type="cellIs" priority="596" operator="greaterThan" dxfId="13">
      <formula>0.9</formula>
    </cfRule>
    <cfRule type="cellIs" priority="597" operator="greaterThan" dxfId="12">
      <formula>0.85</formula>
    </cfRule>
  </conditionalFormatting>
  <conditionalFormatting sqref="N12">
    <cfRule type="cellIs" priority="594" operator="greaterThan" dxfId="13">
      <formula>0.9</formula>
    </cfRule>
    <cfRule type="cellIs" priority="595" operator="greaterThan" dxfId="12">
      <formula>0.85</formula>
    </cfRule>
  </conditionalFormatting>
  <conditionalFormatting sqref="E12">
    <cfRule type="expression" priority="590" dxfId="3">
      <formula>AND(IF(OR($Q12=1,$Q12=2),1,0),IF($X12&lt;=20,1,0))</formula>
    </cfRule>
    <cfRule type="expression" priority="591" dxfId="2">
      <formula>AND(IF($Q12=2,1,0),IF($X12&lt;30,1,0))</formula>
    </cfRule>
    <cfRule type="expression" priority="592" dxfId="1">
      <formula>AND(IF($Q12=3,1,0),IF($X12&lt;30,1,0))</formula>
    </cfRule>
    <cfRule type="expression" priority="593" dxfId="0">
      <formula>AND(IF($Q12=3,1,IF($Q12=4,1,0)),IF($F12&lt;=85,1,0))</formula>
    </cfRule>
  </conditionalFormatting>
  <conditionalFormatting sqref="X12">
    <cfRule type="expression" priority="586" dxfId="3">
      <formula>AND(IF(OR($Q12=1,$Q12=2),1,0),IF($X12&lt;=20,1,0))</formula>
    </cfRule>
    <cfRule type="expression" priority="587" dxfId="2">
      <formula>AND(IF($Q12=2,1,0),IF($X12&lt;30,1,0))</formula>
    </cfRule>
    <cfRule type="expression" priority="588" dxfId="1">
      <formula>AND(IF($Q12=3,1,0),IF($X12&lt;30,1,0))</formula>
    </cfRule>
    <cfRule type="expression" priority="589" dxfId="0">
      <formula>AND(IF($Q12=3,1,IF($Q12=4,1,0)),IF($F12&lt;=85,1,0))</formula>
    </cfRule>
  </conditionalFormatting>
  <conditionalFormatting sqref="AI12">
    <cfRule type="expression" priority="582" dxfId="3">
      <formula>AND(IF(OR($Q12=1,$Q12=2),1,0),IF($X12&lt;=20,1,0))</formula>
    </cfRule>
    <cfRule type="expression" priority="583" dxfId="2">
      <formula>AND(IF($Q12=2,1,0),IF($X12&lt;30,1,0))</formula>
    </cfRule>
    <cfRule type="expression" priority="584" dxfId="1">
      <formula>AND(IF($Q12=3,1,0),IF($X12&lt;30,1,0))</formula>
    </cfRule>
    <cfRule type="expression" priority="585" dxfId="0">
      <formula>AND(IF($Q12=3,1,IF($Q12=4,1,0)),IF($F12&lt;=85,1,0))</formula>
    </cfRule>
  </conditionalFormatting>
  <conditionalFormatting sqref="AV13">
    <cfRule type="expression" priority="580" dxfId="17">
      <formula>AV13="X"</formula>
    </cfRule>
    <cfRule type="expression" priority="581" dxfId="16">
      <formula>AV13="후보"</formula>
    </cfRule>
  </conditionalFormatting>
  <conditionalFormatting sqref="AC13">
    <cfRule type="cellIs" priority="577" operator="greaterThan" dxfId="13">
      <formula>0.9</formula>
    </cfRule>
    <cfRule type="cellIs" priority="578" operator="greaterThan" dxfId="12">
      <formula>0.85</formula>
    </cfRule>
  </conditionalFormatting>
  <conditionalFormatting sqref="N13">
    <cfRule type="cellIs" priority="575" operator="greaterThan" dxfId="13">
      <formula>0.9</formula>
    </cfRule>
    <cfRule type="cellIs" priority="576" operator="greaterThan" dxfId="12">
      <formula>0.85</formula>
    </cfRule>
  </conditionalFormatting>
  <conditionalFormatting sqref="E13">
    <cfRule type="expression" priority="571" dxfId="3">
      <formula>AND(IF(OR($Q13=1,$Q13=2),1,0),IF($X13&lt;=20,1,0))</formula>
    </cfRule>
    <cfRule type="expression" priority="572" dxfId="2">
      <formula>AND(IF($Q13=2,1,0),IF($X13&lt;30,1,0))</formula>
    </cfRule>
    <cfRule type="expression" priority="573" dxfId="1">
      <formula>AND(IF($Q13=3,1,0),IF($X13&lt;30,1,0))</formula>
    </cfRule>
    <cfRule type="expression" priority="574" dxfId="0">
      <formula>AND(IF($Q13=3,1,IF($Q13=4,1,0)),IF($F13&lt;=85,1,0))</formula>
    </cfRule>
  </conditionalFormatting>
  <conditionalFormatting sqref="X13">
    <cfRule type="expression" priority="567" dxfId="3">
      <formula>AND(IF(OR($Q13=1,$Q13=2),1,0),IF($X13&lt;=20,1,0))</formula>
    </cfRule>
    <cfRule type="expression" priority="568" dxfId="2">
      <formula>AND(IF($Q13=2,1,0),IF($X13&lt;30,1,0))</formula>
    </cfRule>
    <cfRule type="expression" priority="569" dxfId="1">
      <formula>AND(IF($Q13=3,1,0),IF($X13&lt;30,1,0))</formula>
    </cfRule>
    <cfRule type="expression" priority="570" dxfId="0">
      <formula>AND(IF($Q13=3,1,IF($Q13=4,1,0)),IF($F13&lt;=85,1,0))</formula>
    </cfRule>
  </conditionalFormatting>
  <conditionalFormatting sqref="AI13">
    <cfRule type="expression" priority="563" dxfId="3">
      <formula>AND(IF(OR($Q13=1,$Q13=2),1,0),IF($X13&lt;=20,1,0))</formula>
    </cfRule>
    <cfRule type="expression" priority="564" dxfId="2">
      <formula>AND(IF($Q13=2,1,0),IF($X13&lt;30,1,0))</formula>
    </cfRule>
    <cfRule type="expression" priority="565" dxfId="1">
      <formula>AND(IF($Q13=3,1,0),IF($X13&lt;30,1,0))</formula>
    </cfRule>
    <cfRule type="expression" priority="566" dxfId="0">
      <formula>AND(IF($Q13=3,1,IF($Q13=4,1,0)),IF($F13&lt;=85,1,0))</formula>
    </cfRule>
  </conditionalFormatting>
  <conditionalFormatting sqref="AV14">
    <cfRule type="expression" priority="561" dxfId="17">
      <formula>AV14="X"</formula>
    </cfRule>
    <cfRule type="expression" priority="562" dxfId="16">
      <formula>AV14="후보"</formula>
    </cfRule>
  </conditionalFormatting>
  <conditionalFormatting sqref="AC14">
    <cfRule type="cellIs" priority="558" operator="greaterThan" dxfId="13">
      <formula>0.9</formula>
    </cfRule>
    <cfRule type="cellIs" priority="559" operator="greaterThan" dxfId="12">
      <formula>0.85</formula>
    </cfRule>
  </conditionalFormatting>
  <conditionalFormatting sqref="N14">
    <cfRule type="cellIs" priority="556" operator="greaterThan" dxfId="13">
      <formula>0.9</formula>
    </cfRule>
    <cfRule type="cellIs" priority="557" operator="greaterThan" dxfId="12">
      <formula>0.85</formula>
    </cfRule>
  </conditionalFormatting>
  <conditionalFormatting sqref="E14">
    <cfRule type="expression" priority="552" dxfId="3">
      <formula>AND(IF(OR($Q14=1,$Q14=2),1,0),IF($X14&lt;=20,1,0))</formula>
    </cfRule>
    <cfRule type="expression" priority="553" dxfId="2">
      <formula>AND(IF($Q14=2,1,0),IF($X14&lt;30,1,0))</formula>
    </cfRule>
    <cfRule type="expression" priority="554" dxfId="1">
      <formula>AND(IF($Q14=3,1,0),IF($X14&lt;30,1,0))</formula>
    </cfRule>
    <cfRule type="expression" priority="555" dxfId="0">
      <formula>AND(IF($Q14=3,1,IF($Q14=4,1,0)),IF($F14&lt;=85,1,0))</formula>
    </cfRule>
  </conditionalFormatting>
  <conditionalFormatting sqref="X14">
    <cfRule type="expression" priority="548" dxfId="3">
      <formula>AND(IF(OR($Q14=1,$Q14=2),1,0),IF($X14&lt;=20,1,0))</formula>
    </cfRule>
    <cfRule type="expression" priority="549" dxfId="2">
      <formula>AND(IF($Q14=2,1,0),IF($X14&lt;30,1,0))</formula>
    </cfRule>
    <cfRule type="expression" priority="550" dxfId="1">
      <formula>AND(IF($Q14=3,1,0),IF($X14&lt;30,1,0))</formula>
    </cfRule>
    <cfRule type="expression" priority="551" dxfId="0">
      <formula>AND(IF($Q14=3,1,IF($Q14=4,1,0)),IF($F14&lt;=85,1,0))</formula>
    </cfRule>
  </conditionalFormatting>
  <conditionalFormatting sqref="AI14">
    <cfRule type="expression" priority="544" dxfId="3">
      <formula>AND(IF(OR($Q14=1,$Q14=2),1,0),IF($X14&lt;=20,1,0))</formula>
    </cfRule>
    <cfRule type="expression" priority="545" dxfId="2">
      <formula>AND(IF($Q14=2,1,0),IF($X14&lt;30,1,0))</formula>
    </cfRule>
    <cfRule type="expression" priority="546" dxfId="1">
      <formula>AND(IF($Q14=3,1,0),IF($X14&lt;30,1,0))</formula>
    </cfRule>
    <cfRule type="expression" priority="547" dxfId="0">
      <formula>AND(IF($Q14=3,1,IF($Q14=4,1,0)),IF($F14&lt;=85,1,0))</formula>
    </cfRule>
  </conditionalFormatting>
  <conditionalFormatting sqref="AV15">
    <cfRule type="expression" priority="542" dxfId="17">
      <formula>AV15="X"</formula>
    </cfRule>
    <cfRule type="expression" priority="543" dxfId="16">
      <formula>AV15="후보"</formula>
    </cfRule>
  </conditionalFormatting>
  <conditionalFormatting sqref="AC15 N15">
    <cfRule type="cellIs" priority="539" operator="greaterThan" dxfId="13">
      <formula>0.9</formula>
    </cfRule>
    <cfRule type="cellIs" priority="540" operator="greaterThan" dxfId="12">
      <formula>0.85</formula>
    </cfRule>
  </conditionalFormatting>
  <conditionalFormatting sqref="AV16">
    <cfRule type="expression" priority="537" dxfId="17">
      <formula>AV16="X"</formula>
    </cfRule>
    <cfRule type="expression" priority="538" dxfId="16">
      <formula>AV16="후보"</formula>
    </cfRule>
  </conditionalFormatting>
  <conditionalFormatting sqref="AC16">
    <cfRule type="cellIs" priority="534" operator="greaterThan" dxfId="13">
      <formula>0.9</formula>
    </cfRule>
    <cfRule type="cellIs" priority="535" operator="greaterThan" dxfId="12">
      <formula>0.85</formula>
    </cfRule>
  </conditionalFormatting>
  <conditionalFormatting sqref="N16">
    <cfRule type="cellIs" priority="532" operator="greaterThan" dxfId="13">
      <formula>0.9</formula>
    </cfRule>
    <cfRule type="cellIs" priority="533" operator="greaterThan" dxfId="12">
      <formula>0.85</formula>
    </cfRule>
  </conditionalFormatting>
  <conditionalFormatting sqref="E16">
    <cfRule type="expression" priority="528" dxfId="3">
      <formula>AND(IF(OR($Q16=1,$Q16=2),1,0),IF($X16&lt;=20,1,0))</formula>
    </cfRule>
    <cfRule type="expression" priority="529" dxfId="2">
      <formula>AND(IF($Q16=2,1,0),IF($X16&lt;30,1,0))</formula>
    </cfRule>
    <cfRule type="expression" priority="530" dxfId="1">
      <formula>AND(IF($Q16=3,1,0),IF($X16&lt;30,1,0))</formula>
    </cfRule>
    <cfRule type="expression" priority="531" dxfId="0">
      <formula>AND(IF($Q16=3,1,IF($Q16=4,1,0)),IF($F16&lt;=85,1,0))</formula>
    </cfRule>
  </conditionalFormatting>
  <conditionalFormatting sqref="X16">
    <cfRule type="expression" priority="524" dxfId="3">
      <formula>AND(IF(OR($Q16=1,$Q16=2),1,0),IF($X16&lt;=20,1,0))</formula>
    </cfRule>
    <cfRule type="expression" priority="525" dxfId="2">
      <formula>AND(IF($Q16=2,1,0),IF($X16&lt;30,1,0))</formula>
    </cfRule>
    <cfRule type="expression" priority="526" dxfId="1">
      <formula>AND(IF($Q16=3,1,0),IF($X16&lt;30,1,0))</formula>
    </cfRule>
    <cfRule type="expression" priority="527" dxfId="0">
      <formula>AND(IF($Q16=3,1,IF($Q16=4,1,0)),IF($F16&lt;=85,1,0))</formula>
    </cfRule>
  </conditionalFormatting>
  <conditionalFormatting sqref="AI16">
    <cfRule type="expression" priority="520" dxfId="3">
      <formula>AND(IF(OR($Q16=1,$Q16=2),1,0),IF($X16&lt;=20,1,0))</formula>
    </cfRule>
    <cfRule type="expression" priority="521" dxfId="2">
      <formula>AND(IF($Q16=2,1,0),IF($X16&lt;30,1,0))</formula>
    </cfRule>
    <cfRule type="expression" priority="522" dxfId="1">
      <formula>AND(IF($Q16=3,1,0),IF($X16&lt;30,1,0))</formula>
    </cfRule>
    <cfRule type="expression" priority="523" dxfId="0">
      <formula>AND(IF($Q16=3,1,IF($Q16=4,1,0)),IF($F16&lt;=85,1,0))</formula>
    </cfRule>
  </conditionalFormatting>
  <conditionalFormatting sqref="AV17">
    <cfRule type="expression" priority="518" dxfId="17">
      <formula>AV17="X"</formula>
    </cfRule>
    <cfRule type="expression" priority="519" dxfId="16">
      <formula>AV17="후보"</formula>
    </cfRule>
  </conditionalFormatting>
  <conditionalFormatting sqref="AC17">
    <cfRule type="cellIs" priority="515" operator="greaterThan" dxfId="13">
      <formula>0.9</formula>
    </cfRule>
    <cfRule type="cellIs" priority="516" operator="greaterThan" dxfId="12">
      <formula>0.85</formula>
    </cfRule>
  </conditionalFormatting>
  <conditionalFormatting sqref="N17">
    <cfRule type="cellIs" priority="513" operator="greaterThan" dxfId="13">
      <formula>0.9</formula>
    </cfRule>
    <cfRule type="cellIs" priority="514" operator="greaterThan" dxfId="12">
      <formula>0.85</formula>
    </cfRule>
  </conditionalFormatting>
  <conditionalFormatting sqref="E17">
    <cfRule type="expression" priority="509" dxfId="3">
      <formula>AND(IF(OR($Q17=1,$Q17=2),1,0),IF($X17&lt;=20,1,0))</formula>
    </cfRule>
    <cfRule type="expression" priority="510" dxfId="2">
      <formula>AND(IF($Q17=2,1,0),IF($X17&lt;30,1,0))</formula>
    </cfRule>
    <cfRule type="expression" priority="511" dxfId="1">
      <formula>AND(IF($Q17=3,1,0),IF($X17&lt;30,1,0))</formula>
    </cfRule>
    <cfRule type="expression" priority="512" dxfId="0">
      <formula>AND(IF($Q17=3,1,IF($Q17=4,1,0)),IF($F17&lt;=85,1,0))</formula>
    </cfRule>
  </conditionalFormatting>
  <conditionalFormatting sqref="X17">
    <cfRule type="expression" priority="505" dxfId="3">
      <formula>AND(IF(OR($Q17=1,$Q17=2),1,0),IF($X17&lt;=20,1,0))</formula>
    </cfRule>
    <cfRule type="expression" priority="506" dxfId="2">
      <formula>AND(IF($Q17=2,1,0),IF($X17&lt;30,1,0))</formula>
    </cfRule>
    <cfRule type="expression" priority="507" dxfId="1">
      <formula>AND(IF($Q17=3,1,0),IF($X17&lt;30,1,0))</formula>
    </cfRule>
    <cfRule type="expression" priority="508" dxfId="0">
      <formula>AND(IF($Q17=3,1,IF($Q17=4,1,0)),IF($F17&lt;=85,1,0))</formula>
    </cfRule>
  </conditionalFormatting>
  <conditionalFormatting sqref="AI17">
    <cfRule type="expression" priority="501" dxfId="3">
      <formula>AND(IF(OR($Q17=1,$Q17=2),1,0),IF($X17&lt;=20,1,0))</formula>
    </cfRule>
    <cfRule type="expression" priority="502" dxfId="2">
      <formula>AND(IF($Q17=2,1,0),IF($X17&lt;30,1,0))</formula>
    </cfRule>
    <cfRule type="expression" priority="503" dxfId="1">
      <formula>AND(IF($Q17=3,1,0),IF($X17&lt;30,1,0))</formula>
    </cfRule>
    <cfRule type="expression" priority="504" dxfId="0">
      <formula>AND(IF($Q17=3,1,IF($Q17=4,1,0)),IF($F17&lt;=85,1,0))</formula>
    </cfRule>
  </conditionalFormatting>
  <conditionalFormatting sqref="AV18">
    <cfRule type="expression" priority="499" dxfId="17">
      <formula>AV18="X"</formula>
    </cfRule>
    <cfRule type="expression" priority="500" dxfId="16">
      <formula>AV18="후보"</formula>
    </cfRule>
  </conditionalFormatting>
  <conditionalFormatting sqref="AC18">
    <cfRule type="cellIs" priority="496" operator="greaterThan" dxfId="13">
      <formula>0.9</formula>
    </cfRule>
    <cfRule type="cellIs" priority="497" operator="greaterThan" dxfId="12">
      <formula>0.85</formula>
    </cfRule>
  </conditionalFormatting>
  <conditionalFormatting sqref="N18">
    <cfRule type="cellIs" priority="494" operator="greaterThan" dxfId="13">
      <formula>0.9</formula>
    </cfRule>
    <cfRule type="cellIs" priority="495" operator="greaterThan" dxfId="12">
      <formula>0.85</formula>
    </cfRule>
  </conditionalFormatting>
  <conditionalFormatting sqref="E18">
    <cfRule type="expression" priority="490" dxfId="3">
      <formula>AND(IF(OR($Q18=1,$Q18=2),1,0),IF($X18&lt;=20,1,0))</formula>
    </cfRule>
    <cfRule type="expression" priority="491" dxfId="2">
      <formula>AND(IF($Q18=2,1,0),IF($X18&lt;30,1,0))</formula>
    </cfRule>
    <cfRule type="expression" priority="492" dxfId="1">
      <formula>AND(IF($Q18=3,1,0),IF($X18&lt;30,1,0))</formula>
    </cfRule>
    <cfRule type="expression" priority="493" dxfId="0">
      <formula>AND(IF($Q18=3,1,IF($Q18=4,1,0)),IF($F18&lt;=85,1,0))</formula>
    </cfRule>
  </conditionalFormatting>
  <conditionalFormatting sqref="X18">
    <cfRule type="expression" priority="486" dxfId="3">
      <formula>AND(IF(OR($Q18=1,$Q18=2),1,0),IF($X18&lt;=20,1,0))</formula>
    </cfRule>
    <cfRule type="expression" priority="487" dxfId="2">
      <formula>AND(IF($Q18=2,1,0),IF($X18&lt;30,1,0))</formula>
    </cfRule>
    <cfRule type="expression" priority="488" dxfId="1">
      <formula>AND(IF($Q18=3,1,0),IF($X18&lt;30,1,0))</formula>
    </cfRule>
    <cfRule type="expression" priority="489" dxfId="0">
      <formula>AND(IF($Q18=3,1,IF($Q18=4,1,0)),IF($F18&lt;=85,1,0))</formula>
    </cfRule>
  </conditionalFormatting>
  <conditionalFormatting sqref="AI18">
    <cfRule type="expression" priority="482" dxfId="3">
      <formula>AND(IF(OR($Q18=1,$Q18=2),1,0),IF($X18&lt;=20,1,0))</formula>
    </cfRule>
    <cfRule type="expression" priority="483" dxfId="2">
      <formula>AND(IF($Q18=2,1,0),IF($X18&lt;30,1,0))</formula>
    </cfRule>
    <cfRule type="expression" priority="484" dxfId="1">
      <formula>AND(IF($Q18=3,1,0),IF($X18&lt;30,1,0))</formula>
    </cfRule>
    <cfRule type="expression" priority="485" dxfId="0">
      <formula>AND(IF($Q18=3,1,IF($Q18=4,1,0)),IF($F18&lt;=85,1,0))</formula>
    </cfRule>
  </conditionalFormatting>
  <conditionalFormatting sqref="AV19">
    <cfRule type="expression" priority="480" dxfId="17">
      <formula>AV19="X"</formula>
    </cfRule>
    <cfRule type="expression" priority="481" dxfId="16">
      <formula>AV19="후보"</formula>
    </cfRule>
  </conditionalFormatting>
  <conditionalFormatting sqref="AC19 N19">
    <cfRule type="cellIs" priority="477" operator="greaterThan" dxfId="13">
      <formula>0.9</formula>
    </cfRule>
    <cfRule type="cellIs" priority="478" operator="greaterThan" dxfId="12">
      <formula>0.85</formula>
    </cfRule>
  </conditionalFormatting>
  <conditionalFormatting sqref="AV20">
    <cfRule type="expression" priority="475" dxfId="17">
      <formula>AV20="X"</formula>
    </cfRule>
    <cfRule type="expression" priority="476" dxfId="16">
      <formula>AV20="후보"</formula>
    </cfRule>
  </conditionalFormatting>
  <conditionalFormatting sqref="AC20">
    <cfRule type="cellIs" priority="472" operator="greaterThan" dxfId="13">
      <formula>0.9</formula>
    </cfRule>
    <cfRule type="cellIs" priority="473" operator="greaterThan" dxfId="12">
      <formula>0.85</formula>
    </cfRule>
  </conditionalFormatting>
  <conditionalFormatting sqref="N20">
    <cfRule type="cellIs" priority="470" operator="greaterThan" dxfId="13">
      <formula>0.9</formula>
    </cfRule>
    <cfRule type="cellIs" priority="471" operator="greaterThan" dxfId="12">
      <formula>0.85</formula>
    </cfRule>
  </conditionalFormatting>
  <conditionalFormatting sqref="E20">
    <cfRule type="expression" priority="466" dxfId="3">
      <formula>AND(IF(OR($Q20=1,$Q20=2),1,0),IF($X20&lt;=20,1,0))</formula>
    </cfRule>
    <cfRule type="expression" priority="467" dxfId="2">
      <formula>AND(IF($Q20=2,1,0),IF($X20&lt;30,1,0))</formula>
    </cfRule>
    <cfRule type="expression" priority="468" dxfId="1">
      <formula>AND(IF($Q20=3,1,0),IF($X20&lt;30,1,0))</formula>
    </cfRule>
    <cfRule type="expression" priority="469" dxfId="0">
      <formula>AND(IF($Q20=3,1,IF($Q20=4,1,0)),IF($F20&lt;=85,1,0))</formula>
    </cfRule>
  </conditionalFormatting>
  <conditionalFormatting sqref="X20">
    <cfRule type="expression" priority="462" dxfId="3">
      <formula>AND(IF(OR($Q20=1,$Q20=2),1,0),IF($X20&lt;=20,1,0))</formula>
    </cfRule>
    <cfRule type="expression" priority="463" dxfId="2">
      <formula>AND(IF($Q20=2,1,0),IF($X20&lt;30,1,0))</formula>
    </cfRule>
    <cfRule type="expression" priority="464" dxfId="1">
      <formula>AND(IF($Q20=3,1,0),IF($X20&lt;30,1,0))</formula>
    </cfRule>
    <cfRule type="expression" priority="465" dxfId="0">
      <formula>AND(IF($Q20=3,1,IF($Q20=4,1,0)),IF($F20&lt;=85,1,0))</formula>
    </cfRule>
  </conditionalFormatting>
  <conditionalFormatting sqref="AI20">
    <cfRule type="expression" priority="458" dxfId="3">
      <formula>AND(IF(OR($Q20=1,$Q20=2),1,0),IF($X20&lt;=20,1,0))</formula>
    </cfRule>
    <cfRule type="expression" priority="459" dxfId="2">
      <formula>AND(IF($Q20=2,1,0),IF($X20&lt;30,1,0))</formula>
    </cfRule>
    <cfRule type="expression" priority="460" dxfId="1">
      <formula>AND(IF($Q20=3,1,0),IF($X20&lt;30,1,0))</formula>
    </cfRule>
    <cfRule type="expression" priority="461" dxfId="0">
      <formula>AND(IF($Q20=3,1,IF($Q20=4,1,0)),IF($F20&lt;=85,1,0))</formula>
    </cfRule>
  </conditionalFormatting>
  <conditionalFormatting sqref="AV21">
    <cfRule type="expression" priority="456" dxfId="17">
      <formula>AV21="X"</formula>
    </cfRule>
    <cfRule type="expression" priority="457" dxfId="16">
      <formula>AV21="후보"</formula>
    </cfRule>
  </conditionalFormatting>
  <conditionalFormatting sqref="AC21">
    <cfRule type="cellIs" priority="453" operator="greaterThan" dxfId="13">
      <formula>0.9</formula>
    </cfRule>
    <cfRule type="cellIs" priority="454" operator="greaterThan" dxfId="12">
      <formula>0.85</formula>
    </cfRule>
  </conditionalFormatting>
  <conditionalFormatting sqref="N21">
    <cfRule type="cellIs" priority="451" operator="greaterThan" dxfId="13">
      <formula>0.9</formula>
    </cfRule>
    <cfRule type="cellIs" priority="452" operator="greaterThan" dxfId="12">
      <formula>0.85</formula>
    </cfRule>
  </conditionalFormatting>
  <conditionalFormatting sqref="E21">
    <cfRule type="expression" priority="447" dxfId="3">
      <formula>AND(IF(OR($Q21=1,$Q21=2),1,0),IF($X21&lt;=20,1,0))</formula>
    </cfRule>
    <cfRule type="expression" priority="448" dxfId="2">
      <formula>AND(IF($Q21=2,1,0),IF($X21&lt;30,1,0))</formula>
    </cfRule>
    <cfRule type="expression" priority="449" dxfId="1">
      <formula>AND(IF($Q21=3,1,0),IF($X21&lt;30,1,0))</formula>
    </cfRule>
    <cfRule type="expression" priority="450" dxfId="0">
      <formula>AND(IF($Q21=3,1,IF($Q21=4,1,0)),IF($F21&lt;=85,1,0))</formula>
    </cfRule>
  </conditionalFormatting>
  <conditionalFormatting sqref="X21">
    <cfRule type="expression" priority="443" dxfId="3">
      <formula>AND(IF(OR($Q21=1,$Q21=2),1,0),IF($X21&lt;=20,1,0))</formula>
    </cfRule>
    <cfRule type="expression" priority="444" dxfId="2">
      <formula>AND(IF($Q21=2,1,0),IF($X21&lt;30,1,0))</formula>
    </cfRule>
    <cfRule type="expression" priority="445" dxfId="1">
      <formula>AND(IF($Q21=3,1,0),IF($X21&lt;30,1,0))</formula>
    </cfRule>
    <cfRule type="expression" priority="446" dxfId="0">
      <formula>AND(IF($Q21=3,1,IF($Q21=4,1,0)),IF($F21&lt;=85,1,0))</formula>
    </cfRule>
  </conditionalFormatting>
  <conditionalFormatting sqref="AI21">
    <cfRule type="expression" priority="439" dxfId="3">
      <formula>AND(IF(OR($Q21=1,$Q21=2),1,0),IF($X21&lt;=20,1,0))</formula>
    </cfRule>
    <cfRule type="expression" priority="440" dxfId="2">
      <formula>AND(IF($Q21=2,1,0),IF($X21&lt;30,1,0))</formula>
    </cfRule>
    <cfRule type="expression" priority="441" dxfId="1">
      <formula>AND(IF($Q21=3,1,0),IF($X21&lt;30,1,0))</formula>
    </cfRule>
    <cfRule type="expression" priority="442" dxfId="0">
      <formula>AND(IF($Q21=3,1,IF($Q21=4,1,0)),IF($F21&lt;=85,1,0))</formula>
    </cfRule>
  </conditionalFormatting>
  <conditionalFormatting sqref="AV22">
    <cfRule type="expression" priority="437" dxfId="17">
      <formula>AV22="X"</formula>
    </cfRule>
    <cfRule type="expression" priority="438" dxfId="16">
      <formula>AV22="후보"</formula>
    </cfRule>
  </conditionalFormatting>
  <conditionalFormatting sqref="AC22">
    <cfRule type="cellIs" priority="434" operator="greaterThan" dxfId="13">
      <formula>0.9</formula>
    </cfRule>
    <cfRule type="cellIs" priority="435" operator="greaterThan" dxfId="12">
      <formula>0.85</formula>
    </cfRule>
  </conditionalFormatting>
  <conditionalFormatting sqref="N22">
    <cfRule type="cellIs" priority="432" operator="greaterThan" dxfId="13">
      <formula>0.9</formula>
    </cfRule>
    <cfRule type="cellIs" priority="433" operator="greaterThan" dxfId="12">
      <formula>0.85</formula>
    </cfRule>
  </conditionalFormatting>
  <conditionalFormatting sqref="E22">
    <cfRule type="expression" priority="428" dxfId="3">
      <formula>AND(IF(OR($Q22=1,$Q22=2),1,0),IF($X22&lt;=20,1,0))</formula>
    </cfRule>
    <cfRule type="expression" priority="429" dxfId="2">
      <formula>AND(IF($Q22=2,1,0),IF($X22&lt;30,1,0))</formula>
    </cfRule>
    <cfRule type="expression" priority="430" dxfId="1">
      <formula>AND(IF($Q22=3,1,0),IF($X22&lt;30,1,0))</formula>
    </cfRule>
    <cfRule type="expression" priority="431" dxfId="0">
      <formula>AND(IF($Q22=3,1,IF($Q22=4,1,0)),IF($F22&lt;=85,1,0))</formula>
    </cfRule>
  </conditionalFormatting>
  <conditionalFormatting sqref="X22">
    <cfRule type="expression" priority="424" dxfId="3">
      <formula>AND(IF(OR($Q22=1,$Q22=2),1,0),IF($X22&lt;=20,1,0))</formula>
    </cfRule>
    <cfRule type="expression" priority="425" dxfId="2">
      <formula>AND(IF($Q22=2,1,0),IF($X22&lt;30,1,0))</formula>
    </cfRule>
    <cfRule type="expression" priority="426" dxfId="1">
      <formula>AND(IF($Q22=3,1,0),IF($X22&lt;30,1,0))</formula>
    </cfRule>
    <cfRule type="expression" priority="427" dxfId="0">
      <formula>AND(IF($Q22=3,1,IF($Q22=4,1,0)),IF($F22&lt;=85,1,0))</formula>
    </cfRule>
  </conditionalFormatting>
  <conditionalFormatting sqref="AI22">
    <cfRule type="expression" priority="420" dxfId="3">
      <formula>AND(IF(OR($Q22=1,$Q22=2),1,0),IF($X22&lt;=20,1,0))</formula>
    </cfRule>
    <cfRule type="expression" priority="421" dxfId="2">
      <formula>AND(IF($Q22=2,1,0),IF($X22&lt;30,1,0))</formula>
    </cfRule>
    <cfRule type="expression" priority="422" dxfId="1">
      <formula>AND(IF($Q22=3,1,0),IF($X22&lt;30,1,0))</formula>
    </cfRule>
    <cfRule type="expression" priority="423" dxfId="0">
      <formula>AND(IF($Q22=3,1,IF($Q22=4,1,0)),IF($F22&lt;=85,1,0))</formula>
    </cfRule>
  </conditionalFormatting>
  <conditionalFormatting sqref="AV23">
    <cfRule type="expression" priority="418" dxfId="17">
      <formula>AV23="X"</formula>
    </cfRule>
    <cfRule type="expression" priority="419" dxfId="16">
      <formula>AV23="후보"</formula>
    </cfRule>
  </conditionalFormatting>
  <conditionalFormatting sqref="AC23 N23">
    <cfRule type="cellIs" priority="415" operator="greaterThan" dxfId="13">
      <formula>0.9</formula>
    </cfRule>
    <cfRule type="cellIs" priority="416" operator="greaterThan" dxfId="12">
      <formula>0.85</formula>
    </cfRule>
  </conditionalFormatting>
  <conditionalFormatting sqref="AV24">
    <cfRule type="expression" priority="413" dxfId="17">
      <formula>AV24="X"</formula>
    </cfRule>
    <cfRule type="expression" priority="414" dxfId="16">
      <formula>AV24="후보"</formula>
    </cfRule>
  </conditionalFormatting>
  <conditionalFormatting sqref="AC24">
    <cfRule type="cellIs" priority="410" operator="greaterThan" dxfId="13">
      <formula>0.9</formula>
    </cfRule>
    <cfRule type="cellIs" priority="411" operator="greaterThan" dxfId="12">
      <formula>0.85</formula>
    </cfRule>
  </conditionalFormatting>
  <conditionalFormatting sqref="N24">
    <cfRule type="cellIs" priority="408" operator="greaterThan" dxfId="13">
      <formula>0.9</formula>
    </cfRule>
    <cfRule type="cellIs" priority="409" operator="greaterThan" dxfId="12">
      <formula>0.85</formula>
    </cfRule>
  </conditionalFormatting>
  <conditionalFormatting sqref="E24">
    <cfRule type="expression" priority="404" dxfId="3">
      <formula>AND(IF(OR($Q24=1,$Q24=2),1,0),IF($X24&lt;=20,1,0))</formula>
    </cfRule>
    <cfRule type="expression" priority="405" dxfId="2">
      <formula>AND(IF($Q24=2,1,0),IF($X24&lt;30,1,0))</formula>
    </cfRule>
    <cfRule type="expression" priority="406" dxfId="1">
      <formula>AND(IF($Q24=3,1,0),IF($X24&lt;30,1,0))</formula>
    </cfRule>
    <cfRule type="expression" priority="407" dxfId="0">
      <formula>AND(IF($Q24=3,1,IF($Q24=4,1,0)),IF($F24&lt;=85,1,0))</formula>
    </cfRule>
  </conditionalFormatting>
  <conditionalFormatting sqref="X24">
    <cfRule type="expression" priority="400" dxfId="3">
      <formula>AND(IF(OR($Q24=1,$Q24=2),1,0),IF($X24&lt;=20,1,0))</formula>
    </cfRule>
    <cfRule type="expression" priority="401" dxfId="2">
      <formula>AND(IF($Q24=2,1,0),IF($X24&lt;30,1,0))</formula>
    </cfRule>
    <cfRule type="expression" priority="402" dxfId="1">
      <formula>AND(IF($Q24=3,1,0),IF($X24&lt;30,1,0))</formula>
    </cfRule>
    <cfRule type="expression" priority="403" dxfId="0">
      <formula>AND(IF($Q24=3,1,IF($Q24=4,1,0)),IF($F24&lt;=85,1,0))</formula>
    </cfRule>
  </conditionalFormatting>
  <conditionalFormatting sqref="AI24">
    <cfRule type="expression" priority="396" dxfId="3">
      <formula>AND(IF(OR($Q24=1,$Q24=2),1,0),IF($X24&lt;=20,1,0))</formula>
    </cfRule>
    <cfRule type="expression" priority="397" dxfId="2">
      <formula>AND(IF($Q24=2,1,0),IF($X24&lt;30,1,0))</formula>
    </cfRule>
    <cfRule type="expression" priority="398" dxfId="1">
      <formula>AND(IF($Q24=3,1,0),IF($X24&lt;30,1,0))</formula>
    </cfRule>
    <cfRule type="expression" priority="399" dxfId="0">
      <formula>AND(IF($Q24=3,1,IF($Q24=4,1,0)),IF($F24&lt;=85,1,0))</formula>
    </cfRule>
  </conditionalFormatting>
  <conditionalFormatting sqref="AV25">
    <cfRule type="expression" priority="394" dxfId="17">
      <formula>AV25="X"</formula>
    </cfRule>
    <cfRule type="expression" priority="395" dxfId="16">
      <formula>AV25="후보"</formula>
    </cfRule>
  </conditionalFormatting>
  <conditionalFormatting sqref="AC25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N25">
    <cfRule type="cellIs" priority="389" operator="greaterThan" dxfId="13">
      <formula>0.9</formula>
    </cfRule>
    <cfRule type="cellIs" priority="390" operator="greaterThan" dxfId="12">
      <formula>0.85</formula>
    </cfRule>
  </conditionalFormatting>
  <conditionalFormatting sqref="E25">
    <cfRule type="expression" priority="385" dxfId="3">
      <formula>AND(IF(OR($Q25=1,$Q25=2),1,0),IF($X25&lt;=20,1,0))</formula>
    </cfRule>
    <cfRule type="expression" priority="386" dxfId="2">
      <formula>AND(IF($Q25=2,1,0),IF($X25&lt;30,1,0))</formula>
    </cfRule>
    <cfRule type="expression" priority="387" dxfId="1">
      <formula>AND(IF($Q25=3,1,0),IF($X25&lt;30,1,0))</formula>
    </cfRule>
    <cfRule type="expression" priority="388" dxfId="0">
      <formula>AND(IF($Q25=3,1,IF($Q25=4,1,0)),IF($F25&lt;=85,1,0))</formula>
    </cfRule>
  </conditionalFormatting>
  <conditionalFormatting sqref="X25">
    <cfRule type="expression" priority="381" dxfId="3">
      <formula>AND(IF(OR($Q25=1,$Q25=2),1,0),IF($X25&lt;=20,1,0))</formula>
    </cfRule>
    <cfRule type="expression" priority="382" dxfId="2">
      <formula>AND(IF($Q25=2,1,0),IF($X25&lt;30,1,0))</formula>
    </cfRule>
    <cfRule type="expression" priority="383" dxfId="1">
      <formula>AND(IF($Q25=3,1,0),IF($X25&lt;30,1,0))</formula>
    </cfRule>
    <cfRule type="expression" priority="384" dxfId="0">
      <formula>AND(IF($Q25=3,1,IF($Q25=4,1,0)),IF($F25&lt;=85,1,0))</formula>
    </cfRule>
  </conditionalFormatting>
  <conditionalFormatting sqref="AI25">
    <cfRule type="expression" priority="377" dxfId="3">
      <formula>AND(IF(OR($Q25=1,$Q25=2),1,0),IF($X25&lt;=20,1,0))</formula>
    </cfRule>
    <cfRule type="expression" priority="378" dxfId="2">
      <formula>AND(IF($Q25=2,1,0),IF($X25&lt;30,1,0))</formula>
    </cfRule>
    <cfRule type="expression" priority="379" dxfId="1">
      <formula>AND(IF($Q25=3,1,0),IF($X25&lt;30,1,0))</formula>
    </cfRule>
    <cfRule type="expression" priority="380" dxfId="0">
      <formula>AND(IF($Q25=3,1,IF($Q25=4,1,0)),IF($F25&lt;=85,1,0))</formula>
    </cfRule>
  </conditionalFormatting>
  <conditionalFormatting sqref="AV26">
    <cfRule type="expression" priority="375" dxfId="17">
      <formula>AV26="X"</formula>
    </cfRule>
    <cfRule type="expression" priority="376" dxfId="16">
      <formula>AV26="후보"</formula>
    </cfRule>
  </conditionalFormatting>
  <conditionalFormatting sqref="AC26">
    <cfRule type="cellIs" priority="372" operator="greaterThan" dxfId="13">
      <formula>0.9</formula>
    </cfRule>
    <cfRule type="cellIs" priority="373" operator="greaterThan" dxfId="12">
      <formula>0.85</formula>
    </cfRule>
  </conditionalFormatting>
  <conditionalFormatting sqref="N26">
    <cfRule type="cellIs" priority="370" operator="greaterThan" dxfId="13">
      <formula>0.9</formula>
    </cfRule>
    <cfRule type="cellIs" priority="371" operator="greaterThan" dxfId="12">
      <formula>0.85</formula>
    </cfRule>
  </conditionalFormatting>
  <conditionalFormatting sqref="E26">
    <cfRule type="expression" priority="366" dxfId="3">
      <formula>AND(IF(OR($Q26=1,$Q26=2),1,0),IF($X26&lt;=20,1,0))</formula>
    </cfRule>
    <cfRule type="expression" priority="367" dxfId="2">
      <formula>AND(IF($Q26=2,1,0),IF($X26&lt;30,1,0))</formula>
    </cfRule>
    <cfRule type="expression" priority="368" dxfId="1">
      <formula>AND(IF($Q26=3,1,0),IF($X26&lt;30,1,0))</formula>
    </cfRule>
    <cfRule type="expression" priority="369" dxfId="0">
      <formula>AND(IF($Q26=3,1,IF($Q26=4,1,0)),IF($F26&lt;=85,1,0))</formula>
    </cfRule>
  </conditionalFormatting>
  <conditionalFormatting sqref="X26">
    <cfRule type="expression" priority="362" dxfId="3">
      <formula>AND(IF(OR($Q26=1,$Q26=2),1,0),IF($X26&lt;=20,1,0))</formula>
    </cfRule>
    <cfRule type="expression" priority="363" dxfId="2">
      <formula>AND(IF($Q26=2,1,0),IF($X26&lt;30,1,0))</formula>
    </cfRule>
    <cfRule type="expression" priority="364" dxfId="1">
      <formula>AND(IF($Q26=3,1,0),IF($X26&lt;30,1,0))</formula>
    </cfRule>
    <cfRule type="expression" priority="365" dxfId="0">
      <formula>AND(IF($Q26=3,1,IF($Q26=4,1,0)),IF($F26&lt;=85,1,0))</formula>
    </cfRule>
  </conditionalFormatting>
  <conditionalFormatting sqref="AI26">
    <cfRule type="expression" priority="358" dxfId="3">
      <formula>AND(IF(OR($Q26=1,$Q26=2),1,0),IF($X26&lt;=20,1,0))</formula>
    </cfRule>
    <cfRule type="expression" priority="359" dxfId="2">
      <formula>AND(IF($Q26=2,1,0),IF($X26&lt;30,1,0))</formula>
    </cfRule>
    <cfRule type="expression" priority="360" dxfId="1">
      <formula>AND(IF($Q26=3,1,0),IF($X26&lt;30,1,0))</formula>
    </cfRule>
    <cfRule type="expression" priority="361" dxfId="0">
      <formula>AND(IF($Q26=3,1,IF($Q26=4,1,0)),IF($F26&lt;=85,1,0))</formula>
    </cfRule>
  </conditionalFormatting>
  <conditionalFormatting sqref="AV27">
    <cfRule type="expression" priority="356" dxfId="17">
      <formula>AV27="X"</formula>
    </cfRule>
    <cfRule type="expression" priority="357" dxfId="16">
      <formula>AV27="후보"</formula>
    </cfRule>
  </conditionalFormatting>
  <conditionalFormatting sqref="AC27 N27">
    <cfRule type="cellIs" priority="353" operator="greaterThan" dxfId="13">
      <formula>0.9</formula>
    </cfRule>
    <cfRule type="cellIs" priority="354" operator="greaterThan" dxfId="12">
      <formula>0.85</formula>
    </cfRule>
  </conditionalFormatting>
  <conditionalFormatting sqref="AV28">
    <cfRule type="expression" priority="351" dxfId="17">
      <formula>AV28="X"</formula>
    </cfRule>
    <cfRule type="expression" priority="352" dxfId="16">
      <formula>AV28="후보"</formula>
    </cfRule>
  </conditionalFormatting>
  <conditionalFormatting sqref="AC28">
    <cfRule type="cellIs" priority="348" operator="greaterThan" dxfId="13">
      <formula>0.9</formula>
    </cfRule>
    <cfRule type="cellIs" priority="349" operator="greaterThan" dxfId="12">
      <formula>0.85</formula>
    </cfRule>
  </conditionalFormatting>
  <conditionalFormatting sqref="N28">
    <cfRule type="cellIs" priority="346" operator="greaterThan" dxfId="13">
      <formula>0.9</formula>
    </cfRule>
    <cfRule type="cellIs" priority="347" operator="greaterThan" dxfId="12">
      <formula>0.85</formula>
    </cfRule>
  </conditionalFormatting>
  <conditionalFormatting sqref="E28">
    <cfRule type="expression" priority="342" dxfId="3">
      <formula>AND(IF(OR($Q28=1,$Q28=2),1,0),IF($X28&lt;=20,1,0))</formula>
    </cfRule>
    <cfRule type="expression" priority="343" dxfId="2">
      <formula>AND(IF($Q28=2,1,0),IF($X28&lt;30,1,0))</formula>
    </cfRule>
    <cfRule type="expression" priority="344" dxfId="1">
      <formula>AND(IF($Q28=3,1,0),IF($X28&lt;30,1,0))</formula>
    </cfRule>
    <cfRule type="expression" priority="345" dxfId="0">
      <formula>AND(IF($Q28=3,1,IF($Q28=4,1,0)),IF($F28&lt;=85,1,0))</formula>
    </cfRule>
  </conditionalFormatting>
  <conditionalFormatting sqref="X28">
    <cfRule type="expression" priority="338" dxfId="3">
      <formula>AND(IF(OR($Q28=1,$Q28=2),1,0),IF($X28&lt;=20,1,0))</formula>
    </cfRule>
    <cfRule type="expression" priority="339" dxfId="2">
      <formula>AND(IF($Q28=2,1,0),IF($X28&lt;30,1,0))</formula>
    </cfRule>
    <cfRule type="expression" priority="340" dxfId="1">
      <formula>AND(IF($Q28=3,1,0),IF($X28&lt;30,1,0))</formula>
    </cfRule>
    <cfRule type="expression" priority="341" dxfId="0">
      <formula>AND(IF($Q28=3,1,IF($Q28=4,1,0)),IF($F28&lt;=85,1,0))</formula>
    </cfRule>
  </conditionalFormatting>
  <conditionalFormatting sqref="AI28">
    <cfRule type="expression" priority="334" dxfId="3">
      <formula>AND(IF(OR($Q28=1,$Q28=2),1,0),IF($X28&lt;=20,1,0))</formula>
    </cfRule>
    <cfRule type="expression" priority="335" dxfId="2">
      <formula>AND(IF($Q28=2,1,0),IF($X28&lt;30,1,0))</formula>
    </cfRule>
    <cfRule type="expression" priority="336" dxfId="1">
      <formula>AND(IF($Q28=3,1,0),IF($X28&lt;30,1,0))</formula>
    </cfRule>
    <cfRule type="expression" priority="337" dxfId="0">
      <formula>AND(IF($Q28=3,1,IF($Q28=4,1,0)),IF($F28&lt;=85,1,0))</formula>
    </cfRule>
  </conditionalFormatting>
  <conditionalFormatting sqref="AV29">
    <cfRule type="expression" priority="332" dxfId="17">
      <formula>AV29="X"</formula>
    </cfRule>
    <cfRule type="expression" priority="333" dxfId="16">
      <formula>AV29="후보"</formula>
    </cfRule>
  </conditionalFormatting>
  <conditionalFormatting sqref="AC29">
    <cfRule type="cellIs" priority="329" operator="greaterThan" dxfId="13">
      <formula>0.9</formula>
    </cfRule>
    <cfRule type="cellIs" priority="330" operator="greaterThan" dxfId="12">
      <formula>0.85</formula>
    </cfRule>
  </conditionalFormatting>
  <conditionalFormatting sqref="N29">
    <cfRule type="cellIs" priority="327" operator="greaterThan" dxfId="13">
      <formula>0.9</formula>
    </cfRule>
    <cfRule type="cellIs" priority="328" operator="greaterThan" dxfId="12">
      <formula>0.85</formula>
    </cfRule>
  </conditionalFormatting>
  <conditionalFormatting sqref="E29">
    <cfRule type="expression" priority="323" dxfId="3">
      <formula>AND(IF(OR($Q29=1,$Q29=2),1,0),IF($X29&lt;=20,1,0))</formula>
    </cfRule>
    <cfRule type="expression" priority="324" dxfId="2">
      <formula>AND(IF($Q29=2,1,0),IF($X29&lt;30,1,0))</formula>
    </cfRule>
    <cfRule type="expression" priority="325" dxfId="1">
      <formula>AND(IF($Q29=3,1,0),IF($X29&lt;30,1,0))</formula>
    </cfRule>
    <cfRule type="expression" priority="326" dxfId="0">
      <formula>AND(IF($Q29=3,1,IF($Q29=4,1,0)),IF($F29&lt;=85,1,0))</formula>
    </cfRule>
  </conditionalFormatting>
  <conditionalFormatting sqref="X29">
    <cfRule type="expression" priority="319" dxfId="3">
      <formula>AND(IF(OR($Q29=1,$Q29=2),1,0),IF($X29&lt;=20,1,0))</formula>
    </cfRule>
    <cfRule type="expression" priority="320" dxfId="2">
      <formula>AND(IF($Q29=2,1,0),IF($X29&lt;30,1,0))</formula>
    </cfRule>
    <cfRule type="expression" priority="321" dxfId="1">
      <formula>AND(IF($Q29=3,1,0),IF($X29&lt;30,1,0))</formula>
    </cfRule>
    <cfRule type="expression" priority="322" dxfId="0">
      <formula>AND(IF($Q29=3,1,IF($Q29=4,1,0)),IF($F29&lt;=85,1,0))</formula>
    </cfRule>
  </conditionalFormatting>
  <conditionalFormatting sqref="AI29">
    <cfRule type="expression" priority="315" dxfId="3">
      <formula>AND(IF(OR($Q29=1,$Q29=2),1,0),IF($X29&lt;=20,1,0))</formula>
    </cfRule>
    <cfRule type="expression" priority="316" dxfId="2">
      <formula>AND(IF($Q29=2,1,0),IF($X29&lt;30,1,0))</formula>
    </cfRule>
    <cfRule type="expression" priority="317" dxfId="1">
      <formula>AND(IF($Q29=3,1,0),IF($X29&lt;30,1,0))</formula>
    </cfRule>
    <cfRule type="expression" priority="318" dxfId="0">
      <formula>AND(IF($Q29=3,1,IF($Q29=4,1,0)),IF($F29&lt;=85,1,0))</formula>
    </cfRule>
  </conditionalFormatting>
  <conditionalFormatting sqref="AV30">
    <cfRule type="expression" priority="313" dxfId="17">
      <formula>AV30="X"</formula>
    </cfRule>
    <cfRule type="expression" priority="314" dxfId="16">
      <formula>AV30="후보"</formula>
    </cfRule>
  </conditionalFormatting>
  <conditionalFormatting sqref="AC30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30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30">
    <cfRule type="expression" priority="304" dxfId="3">
      <formula>AND(IF(OR($Q30=1,$Q30=2),1,0),IF($X30&lt;=20,1,0))</formula>
    </cfRule>
    <cfRule type="expression" priority="305" dxfId="2">
      <formula>AND(IF($Q30=2,1,0),IF($X30&lt;30,1,0))</formula>
    </cfRule>
    <cfRule type="expression" priority="306" dxfId="1">
      <formula>AND(IF($Q30=3,1,0),IF($X30&lt;30,1,0))</formula>
    </cfRule>
    <cfRule type="expression" priority="307" dxfId="0">
      <formula>AND(IF($Q30=3,1,IF($Q30=4,1,0)),IF($F30&lt;=85,1,0))</formula>
    </cfRule>
  </conditionalFormatting>
  <conditionalFormatting sqref="X30">
    <cfRule type="expression" priority="300" dxfId="3">
      <formula>AND(IF(OR($Q30=1,$Q30=2),1,0),IF($X30&lt;=20,1,0))</formula>
    </cfRule>
    <cfRule type="expression" priority="301" dxfId="2">
      <formula>AND(IF($Q30=2,1,0),IF($X30&lt;30,1,0))</formula>
    </cfRule>
    <cfRule type="expression" priority="302" dxfId="1">
      <formula>AND(IF($Q30=3,1,0),IF($X30&lt;30,1,0))</formula>
    </cfRule>
    <cfRule type="expression" priority="303" dxfId="0">
      <formula>AND(IF($Q30=3,1,IF($Q30=4,1,0)),IF($F30&lt;=85,1,0))</formula>
    </cfRule>
  </conditionalFormatting>
  <conditionalFormatting sqref="AI30">
    <cfRule type="expression" priority="296" dxfId="3">
      <formula>AND(IF(OR($Q30=1,$Q30=2),1,0),IF($X30&lt;=20,1,0))</formula>
    </cfRule>
    <cfRule type="expression" priority="297" dxfId="2">
      <formula>AND(IF($Q30=2,1,0),IF($X30&lt;30,1,0))</formula>
    </cfRule>
    <cfRule type="expression" priority="298" dxfId="1">
      <formula>AND(IF($Q30=3,1,0),IF($X30&lt;30,1,0))</formula>
    </cfRule>
    <cfRule type="expression" priority="299" dxfId="0">
      <formula>AND(IF($Q30=3,1,IF($Q30=4,1,0)),IF($F30&lt;=85,1,0))</formula>
    </cfRule>
  </conditionalFormatting>
  <conditionalFormatting sqref="AV31">
    <cfRule type="expression" priority="294" dxfId="17">
      <formula>AV31="X"</formula>
    </cfRule>
    <cfRule type="expression" priority="295" dxfId="16">
      <formula>AV31="후보"</formula>
    </cfRule>
  </conditionalFormatting>
  <conditionalFormatting sqref="AC31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31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31">
    <cfRule type="expression" priority="285" dxfId="3">
      <formula>AND(IF(OR($Q31=1,$Q31=2),1,0),IF($X31&lt;=20,1,0))</formula>
    </cfRule>
    <cfRule type="expression" priority="286" dxfId="2">
      <formula>AND(IF($Q31=2,1,0),IF($X31&lt;30,1,0))</formula>
    </cfRule>
    <cfRule type="expression" priority="287" dxfId="1">
      <formula>AND(IF($Q31=3,1,0),IF($X31&lt;30,1,0))</formula>
    </cfRule>
    <cfRule type="expression" priority="288" dxfId="0">
      <formula>AND(IF($Q31=3,1,IF($Q31=4,1,0)),IF($F31&lt;=85,1,0))</formula>
    </cfRule>
  </conditionalFormatting>
  <conditionalFormatting sqref="X31">
    <cfRule type="expression" priority="281" dxfId="3">
      <formula>AND(IF(OR($Q31=1,$Q31=2),1,0),IF($X31&lt;=20,1,0))</formula>
    </cfRule>
    <cfRule type="expression" priority="282" dxfId="2">
      <formula>AND(IF($Q31=2,1,0),IF($X31&lt;30,1,0))</formula>
    </cfRule>
    <cfRule type="expression" priority="283" dxfId="1">
      <formula>AND(IF($Q31=3,1,0),IF($X31&lt;30,1,0))</formula>
    </cfRule>
    <cfRule type="expression" priority="284" dxfId="0">
      <formula>AND(IF($Q31=3,1,IF($Q31=4,1,0)),IF($F31&lt;=85,1,0))</formula>
    </cfRule>
  </conditionalFormatting>
  <conditionalFormatting sqref="AI31">
    <cfRule type="expression" priority="277" dxfId="3">
      <formula>AND(IF(OR($Q31=1,$Q31=2),1,0),IF($X31&lt;=20,1,0))</formula>
    </cfRule>
    <cfRule type="expression" priority="278" dxfId="2">
      <formula>AND(IF($Q31=2,1,0),IF($X31&lt;30,1,0))</formula>
    </cfRule>
    <cfRule type="expression" priority="279" dxfId="1">
      <formula>AND(IF($Q31=3,1,0),IF($X31&lt;30,1,0))</formula>
    </cfRule>
    <cfRule type="expression" priority="280" dxfId="0">
      <formula>AND(IF($Q31=3,1,IF($Q31=4,1,0)),IF($F31&lt;=85,1,0))</formula>
    </cfRule>
  </conditionalFormatting>
  <conditionalFormatting sqref="AV32">
    <cfRule type="expression" priority="275" dxfId="17">
      <formula>AV32="X"</formula>
    </cfRule>
    <cfRule type="expression" priority="276" dxfId="16">
      <formula>AV32="후보"</formula>
    </cfRule>
  </conditionalFormatting>
  <conditionalFormatting sqref="AC32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32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32">
    <cfRule type="expression" priority="266" dxfId="3">
      <formula>AND(IF(OR($Q32=1,$Q32=2),1,0),IF($X32&lt;=20,1,0))</formula>
    </cfRule>
    <cfRule type="expression" priority="267" dxfId="2">
      <formula>AND(IF($Q32=2,1,0),IF($X32&lt;30,1,0))</formula>
    </cfRule>
    <cfRule type="expression" priority="268" dxfId="1">
      <formula>AND(IF($Q32=3,1,0),IF($X32&lt;30,1,0))</formula>
    </cfRule>
    <cfRule type="expression" priority="269" dxfId="0">
      <formula>AND(IF($Q32=3,1,IF($Q32=4,1,0)),IF($F32&lt;=85,1,0))</formula>
    </cfRule>
  </conditionalFormatting>
  <conditionalFormatting sqref="X32">
    <cfRule type="expression" priority="262" dxfId="3">
      <formula>AND(IF(OR($Q32=1,$Q32=2),1,0),IF($X32&lt;=20,1,0))</formula>
    </cfRule>
    <cfRule type="expression" priority="263" dxfId="2">
      <formula>AND(IF($Q32=2,1,0),IF($X32&lt;30,1,0))</formula>
    </cfRule>
    <cfRule type="expression" priority="264" dxfId="1">
      <formula>AND(IF($Q32=3,1,0),IF($X32&lt;30,1,0))</formula>
    </cfRule>
    <cfRule type="expression" priority="265" dxfId="0">
      <formula>AND(IF($Q32=3,1,IF($Q32=4,1,0)),IF($F32&lt;=85,1,0))</formula>
    </cfRule>
  </conditionalFormatting>
  <conditionalFormatting sqref="AI32">
    <cfRule type="expression" priority="258" dxfId="3">
      <formula>AND(IF(OR($Q32=1,$Q32=2),1,0),IF($X32&lt;=20,1,0))</formula>
    </cfRule>
    <cfRule type="expression" priority="259" dxfId="2">
      <formula>AND(IF($Q32=2,1,0),IF($X32&lt;30,1,0))</formula>
    </cfRule>
    <cfRule type="expression" priority="260" dxfId="1">
      <formula>AND(IF($Q32=3,1,0),IF($X32&lt;30,1,0))</formula>
    </cfRule>
    <cfRule type="expression" priority="261" dxfId="0">
      <formula>AND(IF($Q32=3,1,IF($Q32=4,1,0)),IF($F32&lt;=85,1,0))</formula>
    </cfRule>
  </conditionalFormatting>
  <conditionalFormatting sqref="AV33">
    <cfRule type="expression" priority="256" dxfId="17">
      <formula>AV33="X"</formula>
    </cfRule>
    <cfRule type="expression" priority="257" dxfId="16">
      <formula>AV33="후보"</formula>
    </cfRule>
  </conditionalFormatting>
  <conditionalFormatting sqref="AC33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33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33">
    <cfRule type="expression" priority="247" dxfId="3">
      <formula>AND(IF(OR($Q33=1,$Q33=2),1,0),IF($X33&lt;=20,1,0))</formula>
    </cfRule>
    <cfRule type="expression" priority="248" dxfId="2">
      <formula>AND(IF($Q33=2,1,0),IF($X33&lt;30,1,0))</formula>
    </cfRule>
    <cfRule type="expression" priority="249" dxfId="1">
      <formula>AND(IF($Q33=3,1,0),IF($X33&lt;30,1,0))</formula>
    </cfRule>
    <cfRule type="expression" priority="250" dxfId="0">
      <formula>AND(IF($Q33=3,1,IF($Q33=4,1,0)),IF($F33&lt;=85,1,0))</formula>
    </cfRule>
  </conditionalFormatting>
  <conditionalFormatting sqref="X33">
    <cfRule type="expression" priority="243" dxfId="3">
      <formula>AND(IF(OR($Q33=1,$Q33=2),1,0),IF($X33&lt;=20,1,0))</formula>
    </cfRule>
    <cfRule type="expression" priority="244" dxfId="2">
      <formula>AND(IF($Q33=2,1,0),IF($X33&lt;30,1,0))</formula>
    </cfRule>
    <cfRule type="expression" priority="245" dxfId="1">
      <formula>AND(IF($Q33=3,1,0),IF($X33&lt;30,1,0))</formula>
    </cfRule>
    <cfRule type="expression" priority="246" dxfId="0">
      <formula>AND(IF($Q33=3,1,IF($Q33=4,1,0)),IF($F33&lt;=85,1,0))</formula>
    </cfRule>
  </conditionalFormatting>
  <conditionalFormatting sqref="AI33">
    <cfRule type="expression" priority="239" dxfId="3">
      <formula>AND(IF(OR($Q33=1,$Q33=2),1,0),IF($X33&lt;=20,1,0))</formula>
    </cfRule>
    <cfRule type="expression" priority="240" dxfId="2">
      <formula>AND(IF($Q33=2,1,0),IF($X33&lt;30,1,0))</formula>
    </cfRule>
    <cfRule type="expression" priority="241" dxfId="1">
      <formula>AND(IF($Q33=3,1,0),IF($X33&lt;30,1,0))</formula>
    </cfRule>
    <cfRule type="expression" priority="242" dxfId="0">
      <formula>AND(IF($Q33=3,1,IF($Q33=4,1,0)),IF($F33&lt;=85,1,0))</formula>
    </cfRule>
  </conditionalFormatting>
  <conditionalFormatting sqref="AV34">
    <cfRule type="expression" priority="237" dxfId="17">
      <formula>AV34="X"</formula>
    </cfRule>
    <cfRule type="expression" priority="238" dxfId="16">
      <formula>AV34="후보"</formula>
    </cfRule>
  </conditionalFormatting>
  <conditionalFormatting sqref="AC34 N34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AV35">
    <cfRule type="expression" priority="232" dxfId="17">
      <formula>AV35="X"</formula>
    </cfRule>
    <cfRule type="expression" priority="233" dxfId="16">
      <formula>AV35="후보"</formula>
    </cfRule>
  </conditionalFormatting>
  <conditionalFormatting sqref="AC35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35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35">
    <cfRule type="expression" priority="223" dxfId="3">
      <formula>AND(IF(OR($Q35=1,$Q35=2),1,0),IF($X35&lt;=20,1,0))</formula>
    </cfRule>
    <cfRule type="expression" priority="224" dxfId="2">
      <formula>AND(IF($Q35=2,1,0),IF($X35&lt;30,1,0))</formula>
    </cfRule>
    <cfRule type="expression" priority="225" dxfId="1">
      <formula>AND(IF($Q35=3,1,0),IF($X35&lt;30,1,0))</formula>
    </cfRule>
    <cfRule type="expression" priority="226" dxfId="0">
      <formula>AND(IF($Q35=3,1,IF($Q35=4,1,0)),IF($F35&lt;=85,1,0))</formula>
    </cfRule>
  </conditionalFormatting>
  <conditionalFormatting sqref="X35">
    <cfRule type="expression" priority="219" dxfId="3">
      <formula>AND(IF(OR($Q35=1,$Q35=2),1,0),IF($X35&lt;=20,1,0))</formula>
    </cfRule>
    <cfRule type="expression" priority="220" dxfId="2">
      <formula>AND(IF($Q35=2,1,0),IF($X35&lt;30,1,0))</formula>
    </cfRule>
    <cfRule type="expression" priority="221" dxfId="1">
      <formula>AND(IF($Q35=3,1,0),IF($X35&lt;30,1,0))</formula>
    </cfRule>
    <cfRule type="expression" priority="222" dxfId="0">
      <formula>AND(IF($Q35=3,1,IF($Q35=4,1,0)),IF($F35&lt;=85,1,0))</formula>
    </cfRule>
  </conditionalFormatting>
  <conditionalFormatting sqref="AI35">
    <cfRule type="expression" priority="215" dxfId="3">
      <formula>AND(IF(OR($Q35=1,$Q35=2),1,0),IF($X35&lt;=20,1,0))</formula>
    </cfRule>
    <cfRule type="expression" priority="216" dxfId="2">
      <formula>AND(IF($Q35=2,1,0),IF($X35&lt;30,1,0))</formula>
    </cfRule>
    <cfRule type="expression" priority="217" dxfId="1">
      <formula>AND(IF($Q35=3,1,0),IF($X35&lt;30,1,0))</formula>
    </cfRule>
    <cfRule type="expression" priority="218" dxfId="0">
      <formula>AND(IF($Q35=3,1,IF($Q35=4,1,0)),IF($F35&lt;=85,1,0))</formula>
    </cfRule>
  </conditionalFormatting>
  <conditionalFormatting sqref="AV36">
    <cfRule type="expression" priority="213" dxfId="17">
      <formula>AV36="X"</formula>
    </cfRule>
    <cfRule type="expression" priority="214" dxfId="16">
      <formula>AV36="후보"</formula>
    </cfRule>
  </conditionalFormatting>
  <conditionalFormatting sqref="AC36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36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36">
    <cfRule type="expression" priority="204" dxfId="3">
      <formula>AND(IF(OR($Q36=1,$Q36=2),1,0),IF($X36&lt;=20,1,0))</formula>
    </cfRule>
    <cfRule type="expression" priority="205" dxfId="2">
      <formula>AND(IF($Q36=2,1,0),IF($X36&lt;30,1,0))</formula>
    </cfRule>
    <cfRule type="expression" priority="206" dxfId="1">
      <formula>AND(IF($Q36=3,1,0),IF($X36&lt;30,1,0))</formula>
    </cfRule>
    <cfRule type="expression" priority="207" dxfId="0">
      <formula>AND(IF($Q36=3,1,IF($Q36=4,1,0)),IF($F36&lt;=85,1,0))</formula>
    </cfRule>
  </conditionalFormatting>
  <conditionalFormatting sqref="X36">
    <cfRule type="expression" priority="200" dxfId="3">
      <formula>AND(IF(OR($Q36=1,$Q36=2),1,0),IF($X36&lt;=20,1,0))</formula>
    </cfRule>
    <cfRule type="expression" priority="201" dxfId="2">
      <formula>AND(IF($Q36=2,1,0),IF($X36&lt;30,1,0))</formula>
    </cfRule>
    <cfRule type="expression" priority="202" dxfId="1">
      <formula>AND(IF($Q36=3,1,0),IF($X36&lt;30,1,0))</formula>
    </cfRule>
    <cfRule type="expression" priority="203" dxfId="0">
      <formula>AND(IF($Q36=3,1,IF($Q36=4,1,0)),IF($F36&lt;=85,1,0))</formula>
    </cfRule>
  </conditionalFormatting>
  <conditionalFormatting sqref="AI36">
    <cfRule type="expression" priority="196" dxfId="3">
      <formula>AND(IF(OR($Q36=1,$Q36=2),1,0),IF($X36&lt;=20,1,0))</formula>
    </cfRule>
    <cfRule type="expression" priority="197" dxfId="2">
      <formula>AND(IF($Q36=2,1,0),IF($X36&lt;30,1,0))</formula>
    </cfRule>
    <cfRule type="expression" priority="198" dxfId="1">
      <formula>AND(IF($Q36=3,1,0),IF($X36&lt;30,1,0))</formula>
    </cfRule>
    <cfRule type="expression" priority="199" dxfId="0">
      <formula>AND(IF($Q36=3,1,IF($Q36=4,1,0)),IF($F36&lt;=85,1,0))</formula>
    </cfRule>
  </conditionalFormatting>
  <conditionalFormatting sqref="AV37">
    <cfRule type="expression" priority="194" dxfId="17">
      <formula>AV37="X"</formula>
    </cfRule>
    <cfRule type="expression" priority="195" dxfId="16">
      <formula>AV37="후보"</formula>
    </cfRule>
  </conditionalFormatting>
  <conditionalFormatting sqref="AC37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37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37">
    <cfRule type="expression" priority="185" dxfId="3">
      <formula>AND(IF(OR($Q37=1,$Q37=2),1,0),IF($X37&lt;=20,1,0))</formula>
    </cfRule>
    <cfRule type="expression" priority="186" dxfId="2">
      <formula>AND(IF($Q37=2,1,0),IF($X37&lt;30,1,0))</formula>
    </cfRule>
    <cfRule type="expression" priority="187" dxfId="1">
      <formula>AND(IF($Q37=3,1,0),IF($X37&lt;30,1,0))</formula>
    </cfRule>
    <cfRule type="expression" priority="188" dxfId="0">
      <formula>AND(IF($Q37=3,1,IF($Q37=4,1,0)),IF($F37&lt;=85,1,0))</formula>
    </cfRule>
  </conditionalFormatting>
  <conditionalFormatting sqref="X37">
    <cfRule type="expression" priority="181" dxfId="3">
      <formula>AND(IF(OR($Q37=1,$Q37=2),1,0),IF($X37&lt;=20,1,0))</formula>
    </cfRule>
    <cfRule type="expression" priority="182" dxfId="2">
      <formula>AND(IF($Q37=2,1,0),IF($X37&lt;30,1,0))</formula>
    </cfRule>
    <cfRule type="expression" priority="183" dxfId="1">
      <formula>AND(IF($Q37=3,1,0),IF($X37&lt;30,1,0))</formula>
    </cfRule>
    <cfRule type="expression" priority="184" dxfId="0">
      <formula>AND(IF($Q37=3,1,IF($Q37=4,1,0)),IF($F37&lt;=85,1,0))</formula>
    </cfRule>
  </conditionalFormatting>
  <conditionalFormatting sqref="AI37">
    <cfRule type="expression" priority="177" dxfId="3">
      <formula>AND(IF(OR($Q37=1,$Q37=2),1,0),IF($X37&lt;=20,1,0))</formula>
    </cfRule>
    <cfRule type="expression" priority="178" dxfId="2">
      <formula>AND(IF($Q37=2,1,0),IF($X37&lt;30,1,0))</formula>
    </cfRule>
    <cfRule type="expression" priority="179" dxfId="1">
      <formula>AND(IF($Q37=3,1,0),IF($X37&lt;30,1,0))</formula>
    </cfRule>
    <cfRule type="expression" priority="180" dxfId="0">
      <formula>AND(IF($Q37=3,1,IF($Q37=4,1,0)),IF($F37&lt;=85,1,0))</formula>
    </cfRule>
  </conditionalFormatting>
  <conditionalFormatting sqref="AV38">
    <cfRule type="expression" priority="175" dxfId="17">
      <formula>AV38="X"</formula>
    </cfRule>
    <cfRule type="expression" priority="176" dxfId="16">
      <formula>AV38="후보"</formula>
    </cfRule>
  </conditionalFormatting>
  <conditionalFormatting sqref="AC38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38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38">
    <cfRule type="expression" priority="166" dxfId="3">
      <formula>AND(IF(OR($Q38=1,$Q38=2),1,0),IF($X38&lt;=20,1,0))</formula>
    </cfRule>
    <cfRule type="expression" priority="167" dxfId="2">
      <formula>AND(IF($Q38=2,1,0),IF($X38&lt;30,1,0))</formula>
    </cfRule>
    <cfRule type="expression" priority="168" dxfId="1">
      <formula>AND(IF($Q38=3,1,0),IF($X38&lt;30,1,0))</formula>
    </cfRule>
    <cfRule type="expression" priority="169" dxfId="0">
      <formula>AND(IF($Q38=3,1,IF($Q38=4,1,0)),IF($F38&lt;=85,1,0))</formula>
    </cfRule>
  </conditionalFormatting>
  <conditionalFormatting sqref="X38">
    <cfRule type="expression" priority="162" dxfId="3">
      <formula>AND(IF(OR($Q38=1,$Q38=2),1,0),IF($X38&lt;=20,1,0))</formula>
    </cfRule>
    <cfRule type="expression" priority="163" dxfId="2">
      <formula>AND(IF($Q38=2,1,0),IF($X38&lt;30,1,0))</formula>
    </cfRule>
    <cfRule type="expression" priority="164" dxfId="1">
      <formula>AND(IF($Q38=3,1,0),IF($X38&lt;30,1,0))</formula>
    </cfRule>
    <cfRule type="expression" priority="165" dxfId="0">
      <formula>AND(IF($Q38=3,1,IF($Q38=4,1,0)),IF($F38&lt;=85,1,0))</formula>
    </cfRule>
  </conditionalFormatting>
  <conditionalFormatting sqref="AI38">
    <cfRule type="expression" priority="158" dxfId="3">
      <formula>AND(IF(OR($Q38=1,$Q38=2),1,0),IF($X38&lt;=20,1,0))</formula>
    </cfRule>
    <cfRule type="expression" priority="159" dxfId="2">
      <formula>AND(IF($Q38=2,1,0),IF($X38&lt;30,1,0))</formula>
    </cfRule>
    <cfRule type="expression" priority="160" dxfId="1">
      <formula>AND(IF($Q38=3,1,0),IF($X38&lt;30,1,0))</formula>
    </cfRule>
    <cfRule type="expression" priority="161" dxfId="0">
      <formula>AND(IF($Q38=3,1,IF($Q38=4,1,0)),IF($F38&lt;=85,1,0))</formula>
    </cfRule>
  </conditionalFormatting>
  <conditionalFormatting sqref="AV39">
    <cfRule type="expression" priority="156" dxfId="17">
      <formula>AV39="X"</formula>
    </cfRule>
    <cfRule type="expression" priority="157" dxfId="16">
      <formula>AV39="후보"</formula>
    </cfRule>
  </conditionalFormatting>
  <conditionalFormatting sqref="AC39 N39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AV40">
    <cfRule type="expression" priority="151" dxfId="17">
      <formula>AV40="X"</formula>
    </cfRule>
    <cfRule type="expression" priority="152" dxfId="16">
      <formula>AV40="후보"</formula>
    </cfRule>
  </conditionalFormatting>
  <conditionalFormatting sqref="AC40">
    <cfRule type="cellIs" priority="148" operator="greaterThan" dxfId="13">
      <formula>0.9</formula>
    </cfRule>
    <cfRule type="cellIs" priority="149" operator="greaterThan" dxfId="12">
      <formula>0.85</formula>
    </cfRule>
  </conditionalFormatting>
  <conditionalFormatting sqref="N40">
    <cfRule type="cellIs" priority="146" operator="greaterThan" dxfId="13">
      <formula>0.9</formula>
    </cfRule>
    <cfRule type="cellIs" priority="147" operator="greaterThan" dxfId="12">
      <formula>0.85</formula>
    </cfRule>
  </conditionalFormatting>
  <conditionalFormatting sqref="E40">
    <cfRule type="expression" priority="142" dxfId="3">
      <formula>AND(IF(OR($Q40=1,$Q40=2),1,0),IF($X40&lt;=20,1,0))</formula>
    </cfRule>
    <cfRule type="expression" priority="143" dxfId="2">
      <formula>AND(IF($Q40=2,1,0),IF($X40&lt;30,1,0))</formula>
    </cfRule>
    <cfRule type="expression" priority="144" dxfId="1">
      <formula>AND(IF($Q40=3,1,0),IF($X40&lt;30,1,0))</formula>
    </cfRule>
    <cfRule type="expression" priority="145" dxfId="0">
      <formula>AND(IF($Q40=3,1,IF($Q40=4,1,0)),IF($F40&lt;=85,1,0))</formula>
    </cfRule>
  </conditionalFormatting>
  <conditionalFormatting sqref="X40">
    <cfRule type="expression" priority="138" dxfId="3">
      <formula>AND(IF(OR($Q40=1,$Q40=2),1,0),IF($X40&lt;=20,1,0))</formula>
    </cfRule>
    <cfRule type="expression" priority="139" dxfId="2">
      <formula>AND(IF($Q40=2,1,0),IF($X40&lt;30,1,0))</formula>
    </cfRule>
    <cfRule type="expression" priority="140" dxfId="1">
      <formula>AND(IF($Q40=3,1,0),IF($X40&lt;30,1,0))</formula>
    </cfRule>
    <cfRule type="expression" priority="141" dxfId="0">
      <formula>AND(IF($Q40=3,1,IF($Q40=4,1,0)),IF($F40&lt;=85,1,0))</formula>
    </cfRule>
  </conditionalFormatting>
  <conditionalFormatting sqref="AI40">
    <cfRule type="expression" priority="134" dxfId="3">
      <formula>AND(IF(OR($Q40=1,$Q40=2),1,0),IF($X40&lt;=20,1,0))</formula>
    </cfRule>
    <cfRule type="expression" priority="135" dxfId="2">
      <formula>AND(IF($Q40=2,1,0),IF($X40&lt;30,1,0))</formula>
    </cfRule>
    <cfRule type="expression" priority="136" dxfId="1">
      <formula>AND(IF($Q40=3,1,0),IF($X40&lt;30,1,0))</formula>
    </cfRule>
    <cfRule type="expression" priority="137" dxfId="0">
      <formula>AND(IF($Q40=3,1,IF($Q40=4,1,0)),IF($F40&lt;=85,1,0))</formula>
    </cfRule>
  </conditionalFormatting>
  <conditionalFormatting sqref="AV41">
    <cfRule type="expression" priority="132" dxfId="17">
      <formula>AV41="X"</formula>
    </cfRule>
    <cfRule type="expression" priority="133" dxfId="16">
      <formula>AV41="후보"</formula>
    </cfRule>
  </conditionalFormatting>
  <conditionalFormatting sqref="AC41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41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41">
    <cfRule type="expression" priority="123" dxfId="3">
      <formula>AND(IF(OR($Q41=1,$Q41=2),1,0),IF($X41&lt;=20,1,0))</formula>
    </cfRule>
    <cfRule type="expression" priority="124" dxfId="2">
      <formula>AND(IF($Q41=2,1,0),IF($X41&lt;30,1,0))</formula>
    </cfRule>
    <cfRule type="expression" priority="125" dxfId="1">
      <formula>AND(IF($Q41=3,1,0),IF($X41&lt;30,1,0))</formula>
    </cfRule>
    <cfRule type="expression" priority="126" dxfId="0">
      <formula>AND(IF($Q41=3,1,IF($Q41=4,1,0)),IF($F41&lt;=85,1,0))</formula>
    </cfRule>
  </conditionalFormatting>
  <conditionalFormatting sqref="X41">
    <cfRule type="expression" priority="119" dxfId="3">
      <formula>AND(IF(OR($Q41=1,$Q41=2),1,0),IF($X41&lt;=20,1,0))</formula>
    </cfRule>
    <cfRule type="expression" priority="120" dxfId="2">
      <formula>AND(IF($Q41=2,1,0),IF($X41&lt;30,1,0))</formula>
    </cfRule>
    <cfRule type="expression" priority="121" dxfId="1">
      <formula>AND(IF($Q41=3,1,0),IF($X41&lt;30,1,0))</formula>
    </cfRule>
    <cfRule type="expression" priority="122" dxfId="0">
      <formula>AND(IF($Q41=3,1,IF($Q41=4,1,0)),IF($F41&lt;=85,1,0))</formula>
    </cfRule>
  </conditionalFormatting>
  <conditionalFormatting sqref="AI41">
    <cfRule type="expression" priority="115" dxfId="3">
      <formula>AND(IF(OR($Q41=1,$Q41=2),1,0),IF($X41&lt;=20,1,0))</formula>
    </cfRule>
    <cfRule type="expression" priority="116" dxfId="2">
      <formula>AND(IF($Q41=2,1,0),IF($X41&lt;30,1,0))</formula>
    </cfRule>
    <cfRule type="expression" priority="117" dxfId="1">
      <formula>AND(IF($Q41=3,1,0),IF($X41&lt;30,1,0))</formula>
    </cfRule>
    <cfRule type="expression" priority="118" dxfId="0">
      <formula>AND(IF($Q41=3,1,IF($Q41=4,1,0)),IF($F41&lt;=85,1,0))</formula>
    </cfRule>
  </conditionalFormatting>
  <conditionalFormatting sqref="AV42">
    <cfRule type="expression" priority="113" dxfId="17">
      <formula>AV42="X"</formula>
    </cfRule>
    <cfRule type="expression" priority="114" dxfId="16">
      <formula>AV42="후보"</formula>
    </cfRule>
  </conditionalFormatting>
  <conditionalFormatting sqref="AC42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42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42">
    <cfRule type="expression" priority="104" dxfId="3">
      <formula>AND(IF(OR($Q42=1,$Q42=2),1,0),IF($X42&lt;=20,1,0))</formula>
    </cfRule>
    <cfRule type="expression" priority="105" dxfId="2">
      <formula>AND(IF($Q42=2,1,0),IF($X42&lt;30,1,0))</formula>
    </cfRule>
    <cfRule type="expression" priority="106" dxfId="1">
      <formula>AND(IF($Q42=3,1,0),IF($X42&lt;30,1,0))</formula>
    </cfRule>
    <cfRule type="expression" priority="107" dxfId="0">
      <formula>AND(IF($Q42=3,1,IF($Q42=4,1,0)),IF($F42&lt;=85,1,0))</formula>
    </cfRule>
  </conditionalFormatting>
  <conditionalFormatting sqref="X42">
    <cfRule type="expression" priority="100" dxfId="3">
      <formula>AND(IF(OR($Q42=1,$Q42=2),1,0),IF($X42&lt;=20,1,0))</formula>
    </cfRule>
    <cfRule type="expression" priority="101" dxfId="2">
      <formula>AND(IF($Q42=2,1,0),IF($X42&lt;30,1,0))</formula>
    </cfRule>
    <cfRule type="expression" priority="102" dxfId="1">
      <formula>AND(IF($Q42=3,1,0),IF($X42&lt;30,1,0))</formula>
    </cfRule>
    <cfRule type="expression" priority="103" dxfId="0">
      <formula>AND(IF($Q42=3,1,IF($Q42=4,1,0)),IF($F42&lt;=85,1,0))</formula>
    </cfRule>
  </conditionalFormatting>
  <conditionalFormatting sqref="AI42">
    <cfRule type="expression" priority="96" dxfId="3">
      <formula>AND(IF(OR($Q42=1,$Q42=2),1,0),IF($X42&lt;=20,1,0))</formula>
    </cfRule>
    <cfRule type="expression" priority="97" dxfId="2">
      <formula>AND(IF($Q42=2,1,0),IF($X42&lt;30,1,0))</formula>
    </cfRule>
    <cfRule type="expression" priority="98" dxfId="1">
      <formula>AND(IF($Q42=3,1,0),IF($X42&lt;30,1,0))</formula>
    </cfRule>
    <cfRule type="expression" priority="99" dxfId="0">
      <formula>AND(IF($Q42=3,1,IF($Q42=4,1,0)),IF($F42&lt;=85,1,0))</formula>
    </cfRule>
  </conditionalFormatting>
  <conditionalFormatting sqref="AV43">
    <cfRule type="expression" priority="94" dxfId="17">
      <formula>AV43="X"</formula>
    </cfRule>
    <cfRule type="expression" priority="95" dxfId="16">
      <formula>AV43="후보"</formula>
    </cfRule>
  </conditionalFormatting>
  <conditionalFormatting sqref="AC43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43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43">
    <cfRule type="expression" priority="85" dxfId="3">
      <formula>AND(IF(OR($Q43=1,$Q43=2),1,0),IF($X43&lt;=20,1,0))</formula>
    </cfRule>
    <cfRule type="expression" priority="86" dxfId="2">
      <formula>AND(IF($Q43=2,1,0),IF($X43&lt;30,1,0))</formula>
    </cfRule>
    <cfRule type="expression" priority="87" dxfId="1">
      <formula>AND(IF($Q43=3,1,0),IF($X43&lt;30,1,0))</formula>
    </cfRule>
    <cfRule type="expression" priority="88" dxfId="0">
      <formula>AND(IF($Q43=3,1,IF($Q43=4,1,0)),IF($F43&lt;=85,1,0))</formula>
    </cfRule>
  </conditionalFormatting>
  <conditionalFormatting sqref="X43">
    <cfRule type="expression" priority="81" dxfId="3">
      <formula>AND(IF(OR($Q43=1,$Q43=2),1,0),IF($X43&lt;=20,1,0))</formula>
    </cfRule>
    <cfRule type="expression" priority="82" dxfId="2">
      <formula>AND(IF($Q43=2,1,0),IF($X43&lt;30,1,0))</formula>
    </cfRule>
    <cfRule type="expression" priority="83" dxfId="1">
      <formula>AND(IF($Q43=3,1,0),IF($X43&lt;30,1,0))</formula>
    </cfRule>
    <cfRule type="expression" priority="84" dxfId="0">
      <formula>AND(IF($Q43=3,1,IF($Q43=4,1,0)),IF($F43&lt;=85,1,0))</formula>
    </cfRule>
  </conditionalFormatting>
  <conditionalFormatting sqref="AI43">
    <cfRule type="expression" priority="77" dxfId="3">
      <formula>AND(IF(OR($Q43=1,$Q43=2),1,0),IF($X43&lt;=20,1,0))</formula>
    </cfRule>
    <cfRule type="expression" priority="78" dxfId="2">
      <formula>AND(IF($Q43=2,1,0),IF($X43&lt;30,1,0))</formula>
    </cfRule>
    <cfRule type="expression" priority="79" dxfId="1">
      <formula>AND(IF($Q43=3,1,0),IF($X43&lt;30,1,0))</formula>
    </cfRule>
    <cfRule type="expression" priority="80" dxfId="0">
      <formula>AND(IF($Q43=3,1,IF($Q43=4,1,0)),IF($F43&lt;=85,1,0))</formula>
    </cfRule>
  </conditionalFormatting>
  <conditionalFormatting sqref="AV44">
    <cfRule type="expression" priority="75" dxfId="17">
      <formula>AV44="X"</formula>
    </cfRule>
    <cfRule type="expression" priority="76" dxfId="16">
      <formula>AV44="후보"</formula>
    </cfRule>
  </conditionalFormatting>
  <conditionalFormatting sqref="AC44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44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44">
    <cfRule type="expression" priority="66" dxfId="3">
      <formula>AND(IF(OR($Q44=1,$Q44=2),1,0),IF($X44&lt;=20,1,0))</formula>
    </cfRule>
    <cfRule type="expression" priority="67" dxfId="2">
      <formula>AND(IF($Q44=2,1,0),IF($X44&lt;30,1,0))</formula>
    </cfRule>
    <cfRule type="expression" priority="68" dxfId="1">
      <formula>AND(IF($Q44=3,1,0),IF($X44&lt;30,1,0))</formula>
    </cfRule>
    <cfRule type="expression" priority="69" dxfId="0">
      <formula>AND(IF($Q44=3,1,IF($Q44=4,1,0)),IF($F44&lt;=85,1,0))</formula>
    </cfRule>
  </conditionalFormatting>
  <conditionalFormatting sqref="X44">
    <cfRule type="expression" priority="62" dxfId="3">
      <formula>AND(IF(OR($Q44=1,$Q44=2),1,0),IF($X44&lt;=20,1,0))</formula>
    </cfRule>
    <cfRule type="expression" priority="63" dxfId="2">
      <formula>AND(IF($Q44=2,1,0),IF($X44&lt;30,1,0))</formula>
    </cfRule>
    <cfRule type="expression" priority="64" dxfId="1">
      <formula>AND(IF($Q44=3,1,0),IF($X44&lt;30,1,0))</formula>
    </cfRule>
    <cfRule type="expression" priority="65" dxfId="0">
      <formula>AND(IF($Q44=3,1,IF($Q44=4,1,0)),IF($F44&lt;=85,1,0))</formula>
    </cfRule>
  </conditionalFormatting>
  <conditionalFormatting sqref="AI44">
    <cfRule type="expression" priority="58" dxfId="3">
      <formula>AND(IF(OR($Q44=1,$Q44=2),1,0),IF($X44&lt;=20,1,0))</formula>
    </cfRule>
    <cfRule type="expression" priority="59" dxfId="2">
      <formula>AND(IF($Q44=2,1,0),IF($X44&lt;30,1,0))</formula>
    </cfRule>
    <cfRule type="expression" priority="60" dxfId="1">
      <formula>AND(IF($Q44=3,1,0),IF($X44&lt;30,1,0))</formula>
    </cfRule>
    <cfRule type="expression" priority="61" dxfId="0">
      <formula>AND(IF($Q44=3,1,IF($Q44=4,1,0)),IF($F44&lt;=85,1,0))</formula>
    </cfRule>
  </conditionalFormatting>
  <conditionalFormatting sqref="AV45">
    <cfRule type="expression" priority="56" dxfId="17">
      <formula>AV45="X"</formula>
    </cfRule>
    <cfRule type="expression" priority="57" dxfId="16">
      <formula>AV45="후보"</formula>
    </cfRule>
  </conditionalFormatting>
  <conditionalFormatting sqref="AC45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45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45">
    <cfRule type="expression" priority="47" dxfId="3">
      <formula>AND(IF(OR($Q45=1,$Q45=2),1,0),IF($X45&lt;=20,1,0))</formula>
    </cfRule>
    <cfRule type="expression" priority="48" dxfId="2">
      <formula>AND(IF($Q45=2,1,0),IF($X45&lt;30,1,0))</formula>
    </cfRule>
    <cfRule type="expression" priority="49" dxfId="1">
      <formula>AND(IF($Q45=3,1,0),IF($X45&lt;30,1,0))</formula>
    </cfRule>
    <cfRule type="expression" priority="50" dxfId="0">
      <formula>AND(IF($Q45=3,1,IF($Q45=4,1,0)),IF($F45&lt;=85,1,0))</formula>
    </cfRule>
  </conditionalFormatting>
  <conditionalFormatting sqref="X45">
    <cfRule type="expression" priority="43" dxfId="3">
      <formula>AND(IF(OR($Q45=1,$Q45=2),1,0),IF($X45&lt;=20,1,0))</formula>
    </cfRule>
    <cfRule type="expression" priority="44" dxfId="2">
      <formula>AND(IF($Q45=2,1,0),IF($X45&lt;30,1,0))</formula>
    </cfRule>
    <cfRule type="expression" priority="45" dxfId="1">
      <formula>AND(IF($Q45=3,1,0),IF($X45&lt;30,1,0))</formula>
    </cfRule>
    <cfRule type="expression" priority="46" dxfId="0">
      <formula>AND(IF($Q45=3,1,IF($Q45=4,1,0)),IF($F45&lt;=85,1,0))</formula>
    </cfRule>
  </conditionalFormatting>
  <conditionalFormatting sqref="AI45">
    <cfRule type="expression" priority="39" dxfId="3">
      <formula>AND(IF(OR($Q45=1,$Q45=2),1,0),IF($X45&lt;=20,1,0))</formula>
    </cfRule>
    <cfRule type="expression" priority="40" dxfId="2">
      <formula>AND(IF($Q45=2,1,0),IF($X45&lt;30,1,0))</formula>
    </cfRule>
    <cfRule type="expression" priority="41" dxfId="1">
      <formula>AND(IF($Q45=3,1,0),IF($X45&lt;30,1,0))</formula>
    </cfRule>
    <cfRule type="expression" priority="42" dxfId="0">
      <formula>AND(IF($Q45=3,1,IF($Q45=4,1,0)),IF($F45&lt;=85,1,0))</formula>
    </cfRule>
  </conditionalFormatting>
  <conditionalFormatting sqref="AV46">
    <cfRule type="expression" priority="37" dxfId="17">
      <formula>AV46="X"</formula>
    </cfRule>
    <cfRule type="expression" priority="38" dxfId="16">
      <formula>AV46="후보"</formula>
    </cfRule>
  </conditionalFormatting>
  <conditionalFormatting sqref="AC46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46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46">
    <cfRule type="expression" priority="28" dxfId="3">
      <formula>AND(IF(OR($Q46=1,$Q46=2),1,0),IF($X46&lt;=20,1,0))</formula>
    </cfRule>
    <cfRule type="expression" priority="29" dxfId="2">
      <formula>AND(IF($Q46=2,1,0),IF($X46&lt;30,1,0))</formula>
    </cfRule>
    <cfRule type="expression" priority="30" dxfId="1">
      <formula>AND(IF($Q46=3,1,0),IF($X46&lt;30,1,0))</formula>
    </cfRule>
    <cfRule type="expression" priority="31" dxfId="0">
      <formula>AND(IF($Q46=3,1,IF($Q46=4,1,0)),IF($F46&lt;=85,1,0))</formula>
    </cfRule>
  </conditionalFormatting>
  <conditionalFormatting sqref="X46">
    <cfRule type="expression" priority="24" dxfId="3">
      <formula>AND(IF(OR($Q46=1,$Q46=2),1,0),IF($X46&lt;=20,1,0))</formula>
    </cfRule>
    <cfRule type="expression" priority="25" dxfId="2">
      <formula>AND(IF($Q46=2,1,0),IF($X46&lt;30,1,0))</formula>
    </cfRule>
    <cfRule type="expression" priority="26" dxfId="1">
      <formula>AND(IF($Q46=3,1,0),IF($X46&lt;30,1,0))</formula>
    </cfRule>
    <cfRule type="expression" priority="27" dxfId="0">
      <formula>AND(IF($Q46=3,1,IF($Q46=4,1,0)),IF($F46&lt;=85,1,0))</formula>
    </cfRule>
  </conditionalFormatting>
  <conditionalFormatting sqref="AI46">
    <cfRule type="expression" priority="20" dxfId="3">
      <formula>AND(IF(OR($Q46=1,$Q46=2),1,0),IF($X46&lt;=20,1,0))</formula>
    </cfRule>
    <cfRule type="expression" priority="21" dxfId="2">
      <formula>AND(IF($Q46=2,1,0),IF($X46&lt;30,1,0))</formula>
    </cfRule>
    <cfRule type="expression" priority="22" dxfId="1">
      <formula>AND(IF($Q46=3,1,0),IF($X46&lt;30,1,0))</formula>
    </cfRule>
    <cfRule type="expression" priority="23" dxfId="0">
      <formula>AND(IF($Q46=3,1,IF($Q46=4,1,0)),IF($F46&lt;=85,1,0))</formula>
    </cfRule>
  </conditionalFormatting>
  <conditionalFormatting sqref="AV47">
    <cfRule type="expression" priority="18" dxfId="17">
      <formula>AV47="X"</formula>
    </cfRule>
    <cfRule type="expression" priority="19" dxfId="16">
      <formula>AV47="후보"</formula>
    </cfRule>
  </conditionalFormatting>
  <conditionalFormatting sqref="AC47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47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47">
    <cfRule type="expression" priority="9" dxfId="3">
      <formula>AND(IF(OR($Q47=1,$Q47=2),1,0),IF($X47&lt;=20,1,0))</formula>
    </cfRule>
    <cfRule type="expression" priority="10" dxfId="2">
      <formula>AND(IF($Q47=2,1,0),IF($X47&lt;30,1,0))</formula>
    </cfRule>
    <cfRule type="expression" priority="11" dxfId="1">
      <formula>AND(IF($Q47=3,1,0),IF($X47&lt;30,1,0))</formula>
    </cfRule>
    <cfRule type="expression" priority="12" dxfId="0">
      <formula>AND(IF($Q47=3,1,IF($Q47=4,1,0)),IF($F47&lt;=85,1,0))</formula>
    </cfRule>
  </conditionalFormatting>
  <conditionalFormatting sqref="X47">
    <cfRule type="expression" priority="5" dxfId="3">
      <formula>AND(IF(OR($Q47=1,$Q47=2),1,0),IF($X47&lt;=20,1,0))</formula>
    </cfRule>
    <cfRule type="expression" priority="6" dxfId="2">
      <formula>AND(IF($Q47=2,1,0),IF($X47&lt;30,1,0))</formula>
    </cfRule>
    <cfRule type="expression" priority="7" dxfId="1">
      <formula>AND(IF($Q47=3,1,0),IF($X47&lt;30,1,0))</formula>
    </cfRule>
    <cfRule type="expression" priority="8" dxfId="0">
      <formula>AND(IF($Q47=3,1,IF($Q47=4,1,0)),IF($F47&lt;=85,1,0))</formula>
    </cfRule>
  </conditionalFormatting>
  <conditionalFormatting sqref="AI47">
    <cfRule type="expression" priority="1" dxfId="3">
      <formula>AND(IF(OR($Q47=1,$Q47=2),1,0),IF($X47&lt;=20,1,0))</formula>
    </cfRule>
    <cfRule type="expression" priority="2" dxfId="2">
      <formula>AND(IF($Q47=2,1,0),IF($X47&lt;30,1,0))</formula>
    </cfRule>
    <cfRule type="expression" priority="3" dxfId="1">
      <formula>AND(IF($Q47=3,1,0),IF($X47&lt;30,1,0))</formula>
    </cfRule>
    <cfRule type="expression" priority="4" dxfId="0">
      <formula>AND(IF($Q47=3,1,IF($Q47=4,1,0)),IF($F47&lt;=85,1,0))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14">
    <outlinePr summaryBelow="1" summaryRight="1"/>
    <pageSetUpPr fitToPage="1"/>
  </sheetPr>
  <dimension ref="A1:AV6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62" sqref="A62:XFD62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암사동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프라이어팰리스</t>
        </is>
      </c>
      <c r="B6" s="16" t="inlineStr">
        <is>
          <t>'07.07.</t>
        </is>
      </c>
      <c r="C6" s="164" t="n">
        <v>1622</v>
      </c>
      <c r="D6" s="161" t="n">
        <v>79.7</v>
      </c>
      <c r="E6" s="163" t="n">
        <v>24</v>
      </c>
      <c r="F6" s="161" t="n">
        <v>60</v>
      </c>
      <c r="G6" s="27" t="n">
        <v>18</v>
      </c>
      <c r="H6" s="164" t="n">
        <v>328</v>
      </c>
      <c r="I6" s="165" t="n">
        <v>124000</v>
      </c>
      <c r="J6" s="165" t="inlineStr">
        <is>
          <t>고</t>
        </is>
      </c>
      <c r="K6" s="165" t="n">
        <v>65000</v>
      </c>
      <c r="L6" s="165" t="inlineStr">
        <is>
          <t>18</t>
        </is>
      </c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n">
        <v>79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프라이어팰리스</t>
        </is>
      </c>
      <c r="B7" s="16" t="inlineStr">
        <is>
          <t>'07.07.</t>
        </is>
      </c>
      <c r="C7" s="164" t="n">
        <v>1622</v>
      </c>
      <c r="D7" s="161" t="n">
        <v>109.5</v>
      </c>
      <c r="E7" s="163" t="n">
        <v>33</v>
      </c>
      <c r="F7" s="161" t="n">
        <v>84.90000000000001</v>
      </c>
      <c r="G7" s="27" t="n">
        <v>26</v>
      </c>
      <c r="H7" s="164" t="n">
        <v>230</v>
      </c>
      <c r="I7" s="165" t="n">
        <v>153000</v>
      </c>
      <c r="J7" s="165" t="inlineStr">
        <is>
          <t>중</t>
        </is>
      </c>
      <c r="K7" s="165" t="n">
        <v>80000</v>
      </c>
      <c r="L7" s="165" t="inlineStr">
        <is>
          <t>고</t>
        </is>
      </c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109B</t>
        </is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프라이어팰리스</t>
        </is>
      </c>
      <c r="B8" s="16" t="inlineStr">
        <is>
          <t>'07.07.</t>
        </is>
      </c>
      <c r="C8" s="164" t="n">
        <v>1622</v>
      </c>
      <c r="D8" s="161" t="n">
        <v>110.4</v>
      </c>
      <c r="E8" s="163" t="n">
        <v>33</v>
      </c>
      <c r="F8" s="161" t="n">
        <v>85</v>
      </c>
      <c r="G8" s="27" t="n">
        <v>26</v>
      </c>
      <c r="H8" s="164" t="n">
        <v>222</v>
      </c>
      <c r="I8" s="165" t="n">
        <v>145000</v>
      </c>
      <c r="J8" s="165" t="inlineStr">
        <is>
          <t>중</t>
        </is>
      </c>
      <c r="K8" s="165" t="n">
        <v>75000</v>
      </c>
      <c r="L8" s="165" t="inlineStr">
        <is>
          <t>중</t>
        </is>
      </c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110A</t>
        </is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프라이어팰리스</t>
        </is>
      </c>
      <c r="B9" s="16" t="inlineStr">
        <is>
          <t>'07.07.</t>
        </is>
      </c>
      <c r="C9" s="164" t="n">
        <v>1622</v>
      </c>
      <c r="D9" s="161" t="n">
        <v>112.1</v>
      </c>
      <c r="E9" s="163" t="n">
        <v>34</v>
      </c>
      <c r="F9" s="161" t="n">
        <v>85</v>
      </c>
      <c r="G9" s="27" t="n">
        <v>26</v>
      </c>
      <c r="H9" s="164" t="n">
        <v>462</v>
      </c>
      <c r="I9" s="165" t="n">
        <v>145000</v>
      </c>
      <c r="J9" s="165" t="inlineStr">
        <is>
          <t>고</t>
        </is>
      </c>
      <c r="K9" s="165" t="n"/>
      <c r="L9" s="165" t="n"/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n">
        <v>112</v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프라이어팰리스</t>
        </is>
      </c>
      <c r="B10" s="16" t="inlineStr">
        <is>
          <t>'07.07.</t>
        </is>
      </c>
      <c r="C10" s="164" t="n">
        <v>1622</v>
      </c>
      <c r="D10" s="161" t="n">
        <v>142.8</v>
      </c>
      <c r="E10" s="163" t="n">
        <v>43</v>
      </c>
      <c r="F10" s="161" t="n">
        <v>114.3</v>
      </c>
      <c r="G10" s="27" t="n">
        <v>35</v>
      </c>
      <c r="H10" s="164" t="n">
        <v>380</v>
      </c>
      <c r="I10" s="165" t="n">
        <v>158000</v>
      </c>
      <c r="J10" s="165" t="inlineStr">
        <is>
          <t>11</t>
        </is>
      </c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4</v>
      </c>
      <c r="R10" s="113" t="n">
        <v>2</v>
      </c>
      <c r="S10" s="113" t="inlineStr">
        <is>
          <t>계</t>
        </is>
      </c>
      <c r="T10" s="8" t="n">
        <v>142</v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n"/>
      <c r="B11" s="113" t="n"/>
      <c r="C11" s="10" t="n"/>
      <c r="D11" s="13" t="n"/>
      <c r="E11" s="20" t="n"/>
      <c r="F11" s="161" t="n"/>
      <c r="G11" s="13" t="n"/>
      <c r="H11" s="13" t="n"/>
      <c r="I11" s="13" t="n"/>
      <c r="J11" s="13" t="n"/>
      <c r="K11" s="13" t="n"/>
      <c r="L11" s="13" t="n"/>
      <c r="M11" s="13" t="n"/>
      <c r="N11" s="13" t="n"/>
      <c r="O11" s="162" t="n"/>
      <c r="P11" s="162" t="n"/>
      <c r="Q11" s="163" t="n"/>
      <c r="R11" s="163" t="n"/>
      <c r="S11" s="13" t="n"/>
      <c r="T11" s="70" t="n"/>
      <c r="U11" s="13" t="n"/>
      <c r="W11" s="107">
        <f>$A$4&amp;" "&amp;A12&amp;"("&amp;B12&amp;","&amp;C12&amp;"^)"</f>
        <v/>
      </c>
      <c r="X11" s="108" t="n"/>
      <c r="Y11" s="108" t="n"/>
      <c r="Z11" s="108" t="n"/>
      <c r="AA11" s="108" t="n"/>
      <c r="AB11" s="108" t="n"/>
      <c r="AC11" s="108" t="n"/>
      <c r="AD11" s="108" t="n"/>
      <c r="AE11" s="108" t="n"/>
      <c r="AF11" s="109" t="n"/>
      <c r="AH11" s="36">
        <f>IF(A11="","",A11)</f>
        <v/>
      </c>
      <c r="AI11" s="160">
        <f>IF(E11="","",E11)</f>
        <v/>
      </c>
      <c r="AJ11" s="113" t="n"/>
      <c r="AK11" s="113" t="n"/>
      <c r="AL11" s="113" t="n"/>
      <c r="AM11" s="113" t="n"/>
      <c r="AN11" s="113" t="n"/>
      <c r="AO11" s="113" t="n"/>
      <c r="AP11" s="113" t="n"/>
      <c r="AQ11" s="113" t="n"/>
      <c r="AR11" s="113" t="n"/>
      <c r="AS11" s="113" t="n"/>
      <c r="AT11" s="113" t="n"/>
      <c r="AU11" s="113" t="n"/>
      <c r="AV11" s="113" t="n"/>
    </row>
    <row r="12">
      <c r="A12" s="13" t="inlineStr">
        <is>
          <t>힐스테이트강동리버뷰</t>
        </is>
      </c>
      <c r="B12" s="16" t="inlineStr">
        <is>
          <t>'19.11.</t>
        </is>
      </c>
      <c r="C12" s="164" t="n">
        <v>460</v>
      </c>
      <c r="D12" s="161" t="n">
        <v>79.90000000000001</v>
      </c>
      <c r="E12" s="163" t="n">
        <v>24</v>
      </c>
      <c r="F12" s="161" t="n">
        <v>59.9</v>
      </c>
      <c r="G12" s="27" t="n">
        <v>18</v>
      </c>
      <c r="H12" s="164" t="n">
        <v>12</v>
      </c>
      <c r="I12" s="165" t="n"/>
      <c r="J12" s="165" t="n"/>
      <c r="K12" s="165" t="n"/>
      <c r="L12" s="165" t="n"/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inlineStr">
        <is>
          <t>79B</t>
        </is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힐스테이트강동리버뷰</t>
        </is>
      </c>
      <c r="B13" s="16" t="inlineStr">
        <is>
          <t>'19.11.</t>
        </is>
      </c>
      <c r="C13" s="164" t="n">
        <v>460</v>
      </c>
      <c r="D13" s="161" t="n">
        <v>81.7</v>
      </c>
      <c r="E13" s="163" t="n">
        <v>25</v>
      </c>
      <c r="F13" s="161" t="n">
        <v>60</v>
      </c>
      <c r="G13" s="27" t="n">
        <v>18</v>
      </c>
      <c r="H13" s="164" t="n">
        <v>12</v>
      </c>
      <c r="I13" s="165" t="n">
        <v>130000</v>
      </c>
      <c r="J13" s="165" t="inlineStr">
        <is>
          <t>중</t>
        </is>
      </c>
      <c r="K13" s="165" t="n"/>
      <c r="L13" s="165" t="n"/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inlineStr">
        <is>
          <t>81A</t>
        </is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힐스테이트강동리버뷰</t>
        </is>
      </c>
      <c r="B14" s="16" t="inlineStr">
        <is>
          <t>'19.11.</t>
        </is>
      </c>
      <c r="C14" s="164" t="n">
        <v>460</v>
      </c>
      <c r="D14" s="161" t="n">
        <v>112.5</v>
      </c>
      <c r="E14" s="163" t="n">
        <v>34</v>
      </c>
      <c r="F14" s="161" t="n">
        <v>85</v>
      </c>
      <c r="G14" s="27" t="n">
        <v>26</v>
      </c>
      <c r="H14" s="164" t="n">
        <v>88</v>
      </c>
      <c r="I14" s="165" t="n">
        <v>160000</v>
      </c>
      <c r="J14" s="165" t="inlineStr">
        <is>
          <t>고</t>
        </is>
      </c>
      <c r="K14" s="165" t="n"/>
      <c r="L14" s="165" t="n"/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inlineStr">
        <is>
          <t>112B</t>
        </is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힐스테이트강동리버뷰</t>
        </is>
      </c>
      <c r="B15" s="16" t="inlineStr">
        <is>
          <t>'19.11.</t>
        </is>
      </c>
      <c r="C15" s="164" t="n">
        <v>460</v>
      </c>
      <c r="D15" s="161" t="n">
        <v>112.8</v>
      </c>
      <c r="E15" s="163" t="n">
        <v>34</v>
      </c>
      <c r="F15" s="161" t="n">
        <v>85</v>
      </c>
      <c r="G15" s="27" t="n">
        <v>26</v>
      </c>
      <c r="H15" s="164" t="n">
        <v>39</v>
      </c>
      <c r="I15" s="165" t="n">
        <v>158000</v>
      </c>
      <c r="J15" s="165" t="inlineStr">
        <is>
          <t>7</t>
        </is>
      </c>
      <c r="K15" s="165" t="n">
        <v>95000</v>
      </c>
      <c r="L15" s="165" t="inlineStr">
        <is>
          <t>7</t>
        </is>
      </c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inlineStr">
        <is>
          <t>112C</t>
        </is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힐스테이트강동리버뷰</t>
        </is>
      </c>
      <c r="B16" s="16" t="inlineStr">
        <is>
          <t>'19.11.</t>
        </is>
      </c>
      <c r="C16" s="164" t="n">
        <v>460</v>
      </c>
      <c r="D16" s="161" t="n">
        <v>114</v>
      </c>
      <c r="E16" s="163" t="n">
        <v>34</v>
      </c>
      <c r="F16" s="161" t="n">
        <v>85</v>
      </c>
      <c r="G16" s="27" t="n">
        <v>26</v>
      </c>
      <c r="H16" s="164" t="n">
        <v>162</v>
      </c>
      <c r="I16" s="165" t="n">
        <v>155000</v>
      </c>
      <c r="J16" s="165" t="inlineStr">
        <is>
          <t>중</t>
        </is>
      </c>
      <c r="K16" s="165" t="n">
        <v>95000</v>
      </c>
      <c r="L16" s="165" t="inlineStr">
        <is>
          <t>중</t>
        </is>
      </c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inlineStr">
        <is>
          <t>113A</t>
        </is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n"/>
      <c r="B17" s="113" t="n"/>
      <c r="C17" s="10" t="n"/>
      <c r="D17" s="13" t="n"/>
      <c r="E17" s="20" t="n"/>
      <c r="F17" s="161" t="n"/>
      <c r="G17" s="13" t="n"/>
      <c r="H17" s="13" t="n"/>
      <c r="I17" s="13" t="n"/>
      <c r="J17" s="13" t="n"/>
      <c r="K17" s="13" t="n"/>
      <c r="L17" s="13" t="n"/>
      <c r="M17" s="13" t="n"/>
      <c r="N17" s="13" t="n"/>
      <c r="O17" s="162" t="n"/>
      <c r="P17" s="162" t="n"/>
      <c r="Q17" s="163" t="n"/>
      <c r="R17" s="163" t="n"/>
      <c r="S17" s="13" t="n"/>
      <c r="T17" s="70" t="n"/>
      <c r="U17" s="13" t="n"/>
      <c r="W17" s="107">
        <f>$A$4&amp;" "&amp;A18&amp;"("&amp;B18&amp;","&amp;C18&amp;"^)"</f>
        <v/>
      </c>
      <c r="X17" s="108" t="n"/>
      <c r="Y17" s="108" t="n"/>
      <c r="Z17" s="108" t="n"/>
      <c r="AA17" s="108" t="n"/>
      <c r="AB17" s="108" t="n"/>
      <c r="AC17" s="108" t="n"/>
      <c r="AD17" s="108" t="n"/>
      <c r="AE17" s="108" t="n"/>
      <c r="AF17" s="109" t="n"/>
      <c r="AH17" s="36">
        <f>IF(A17="","",A17)</f>
        <v/>
      </c>
      <c r="AI17" s="160">
        <f>IF(E17="","",E17)</f>
        <v/>
      </c>
      <c r="AJ17" s="113" t="n"/>
      <c r="AK17" s="113" t="n"/>
      <c r="AL17" s="113" t="n"/>
      <c r="AM17" s="113" t="n"/>
      <c r="AN17" s="113" t="n"/>
      <c r="AO17" s="113" t="n"/>
      <c r="AP17" s="113" t="n"/>
      <c r="AQ17" s="113" t="n"/>
      <c r="AR17" s="113" t="n"/>
      <c r="AS17" s="113" t="n"/>
      <c r="AT17" s="113" t="n"/>
      <c r="AU17" s="113" t="n"/>
      <c r="AV17" s="113" t="n"/>
    </row>
    <row r="18">
      <c r="A18" s="13" t="inlineStr">
        <is>
          <t>삼성광나루</t>
        </is>
      </c>
      <c r="B18" s="16" t="inlineStr">
        <is>
          <t>'02.11.</t>
        </is>
      </c>
      <c r="C18" s="164" t="n">
        <v>490</v>
      </c>
      <c r="D18" s="161" t="n">
        <v>77.3</v>
      </c>
      <c r="E18" s="163" t="n">
        <v>23</v>
      </c>
      <c r="F18" s="161" t="n">
        <v>59.7</v>
      </c>
      <c r="G18" s="27" t="n">
        <v>18</v>
      </c>
      <c r="H18" s="164" t="n">
        <v>112</v>
      </c>
      <c r="I18" s="165" t="n">
        <v>110000</v>
      </c>
      <c r="J18" s="165" t="inlineStr">
        <is>
          <t>중</t>
        </is>
      </c>
      <c r="K18" s="165" t="n">
        <v>60000</v>
      </c>
      <c r="L18" s="165" t="inlineStr">
        <is>
          <t>고</t>
        </is>
      </c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2</v>
      </c>
      <c r="R18" s="113" t="n">
        <v>2</v>
      </c>
      <c r="S18" s="113" t="inlineStr">
        <is>
          <t>계</t>
        </is>
      </c>
      <c r="T18" s="8" t="inlineStr">
        <is>
          <t>77B</t>
        </is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삼성광나루</t>
        </is>
      </c>
      <c r="B19" s="16" t="inlineStr">
        <is>
          <t>'02.11.</t>
        </is>
      </c>
      <c r="C19" s="164" t="n">
        <v>490</v>
      </c>
      <c r="D19" s="161" t="n">
        <v>77.7</v>
      </c>
      <c r="E19" s="163" t="n">
        <v>23</v>
      </c>
      <c r="F19" s="161" t="n">
        <v>59.9</v>
      </c>
      <c r="G19" s="27" t="n">
        <v>18</v>
      </c>
      <c r="H19" s="164" t="n">
        <v>38</v>
      </c>
      <c r="I19" s="165" t="n">
        <v>114000</v>
      </c>
      <c r="J19" s="165" t="inlineStr">
        <is>
          <t>중</t>
        </is>
      </c>
      <c r="K19" s="165" t="n"/>
      <c r="L19" s="165" t="n"/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3</v>
      </c>
      <c r="R19" s="113" t="n">
        <v>1</v>
      </c>
      <c r="S19" s="113" t="inlineStr">
        <is>
          <t>계</t>
        </is>
      </c>
      <c r="T19" s="8" t="inlineStr">
        <is>
          <t>77A</t>
        </is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삼성광나루</t>
        </is>
      </c>
      <c r="B20" s="16" t="inlineStr">
        <is>
          <t>'02.11.</t>
        </is>
      </c>
      <c r="C20" s="164" t="n">
        <v>490</v>
      </c>
      <c r="D20" s="161" t="n">
        <v>109.9</v>
      </c>
      <c r="E20" s="163" t="n">
        <v>33</v>
      </c>
      <c r="F20" s="161" t="n">
        <v>84.8</v>
      </c>
      <c r="G20" s="27" t="n">
        <v>26</v>
      </c>
      <c r="H20" s="164" t="n">
        <v>157</v>
      </c>
      <c r="I20" s="165" t="n"/>
      <c r="J20" s="165" t="n"/>
      <c r="K20" s="165" t="n"/>
      <c r="L20" s="165" t="n"/>
      <c r="M20" s="166">
        <f>I20-K20</f>
        <v/>
      </c>
      <c r="N20" s="7">
        <f>IF(ISERROR(K20/I20),"",K20/I20)</f>
        <v/>
      </c>
      <c r="O20" s="162">
        <f>I20/E20</f>
        <v/>
      </c>
      <c r="P20" s="162">
        <f>K20/E20</f>
        <v/>
      </c>
      <c r="Q20" s="113" t="n">
        <v>3</v>
      </c>
      <c r="R20" s="113" t="n">
        <v>2</v>
      </c>
      <c r="S20" s="113" t="inlineStr">
        <is>
          <t>계</t>
        </is>
      </c>
      <c r="T20" s="8" t="inlineStr">
        <is>
          <t>109A</t>
        </is>
      </c>
      <c r="U20" s="13" t="n"/>
      <c r="W20" s="161">
        <f>D20</f>
        <v/>
      </c>
      <c r="X20" s="163">
        <f>E20</f>
        <v/>
      </c>
      <c r="Y20" s="159">
        <f>H20</f>
        <v/>
      </c>
      <c r="Z20" s="166">
        <f>I20</f>
        <v/>
      </c>
      <c r="AA20" s="166">
        <f>K20</f>
        <v/>
      </c>
      <c r="AB20" s="166">
        <f>M20</f>
        <v/>
      </c>
      <c r="AC20" s="7">
        <f>N20</f>
        <v/>
      </c>
      <c r="AD20" s="162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3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삼성광나루</t>
        </is>
      </c>
      <c r="B21" s="16" t="inlineStr">
        <is>
          <t>'02.11.</t>
        </is>
      </c>
      <c r="C21" s="164" t="n">
        <v>490</v>
      </c>
      <c r="D21" s="161" t="n">
        <v>110</v>
      </c>
      <c r="E21" s="163" t="n">
        <v>33</v>
      </c>
      <c r="F21" s="161" t="n">
        <v>84.90000000000001</v>
      </c>
      <c r="G21" s="27" t="n">
        <v>26</v>
      </c>
      <c r="H21" s="164" t="n">
        <v>20</v>
      </c>
      <c r="I21" s="165" t="n">
        <v>145000</v>
      </c>
      <c r="J21" s="165" t="inlineStr">
        <is>
          <t>중</t>
        </is>
      </c>
      <c r="K21" s="165" t="n"/>
      <c r="L21" s="165" t="n"/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inlineStr">
        <is>
          <t>109B</t>
        </is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삼성광나루</t>
        </is>
      </c>
      <c r="B22" s="16" t="inlineStr">
        <is>
          <t>'02.11.</t>
        </is>
      </c>
      <c r="C22" s="164" t="n">
        <v>490</v>
      </c>
      <c r="D22" s="161" t="n">
        <v>110</v>
      </c>
      <c r="E22" s="163" t="n">
        <v>33</v>
      </c>
      <c r="F22" s="161" t="n">
        <v>84.90000000000001</v>
      </c>
      <c r="G22" s="27" t="n">
        <v>26</v>
      </c>
      <c r="H22" s="164" t="n">
        <v>19</v>
      </c>
      <c r="I22" s="165" t="n">
        <v>145000</v>
      </c>
      <c r="J22" s="165" t="inlineStr">
        <is>
          <t>중</t>
        </is>
      </c>
      <c r="K22" s="165" t="n"/>
      <c r="L22" s="165" t="n"/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inlineStr">
        <is>
          <t>109C</t>
        </is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삼성광나루</t>
        </is>
      </c>
      <c r="B23" s="16" t="inlineStr">
        <is>
          <t>'02.11.</t>
        </is>
      </c>
      <c r="C23" s="164" t="n">
        <v>490</v>
      </c>
      <c r="D23" s="161" t="n">
        <v>110</v>
      </c>
      <c r="E23" s="163" t="n">
        <v>33</v>
      </c>
      <c r="F23" s="161" t="n">
        <v>84.90000000000001</v>
      </c>
      <c r="G23" s="27" t="n">
        <v>26</v>
      </c>
      <c r="H23" s="164" t="n">
        <v>24</v>
      </c>
      <c r="I23" s="165" t="n">
        <v>145000</v>
      </c>
      <c r="J23" s="165" t="inlineStr">
        <is>
          <t>중</t>
        </is>
      </c>
      <c r="K23" s="165" t="n"/>
      <c r="L23" s="165" t="n"/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3</v>
      </c>
      <c r="R23" s="113" t="n">
        <v>2</v>
      </c>
      <c r="S23" s="113" t="inlineStr">
        <is>
          <t>계</t>
        </is>
      </c>
      <c r="T23" s="8" t="inlineStr">
        <is>
          <t>110D</t>
        </is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삼성광나루</t>
        </is>
      </c>
      <c r="B24" s="16" t="inlineStr">
        <is>
          <t>'02.11.</t>
        </is>
      </c>
      <c r="C24" s="164" t="n">
        <v>490</v>
      </c>
      <c r="D24" s="161" t="n">
        <v>148.8</v>
      </c>
      <c r="E24" s="163" t="n">
        <v>45</v>
      </c>
      <c r="F24" s="161" t="n">
        <v>114.9</v>
      </c>
      <c r="G24" s="27" t="n">
        <v>35</v>
      </c>
      <c r="H24" s="164" t="n">
        <v>52</v>
      </c>
      <c r="I24" s="165" t="n">
        <v>160000</v>
      </c>
      <c r="J24" s="165" t="inlineStr">
        <is>
          <t>중</t>
        </is>
      </c>
      <c r="K24" s="165" t="n">
        <v>77000</v>
      </c>
      <c r="L24" s="165" t="inlineStr">
        <is>
          <t>중</t>
        </is>
      </c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4</v>
      </c>
      <c r="R24" s="113" t="n">
        <v>2</v>
      </c>
      <c r="S24" s="113" t="inlineStr">
        <is>
          <t>계</t>
        </is>
      </c>
      <c r="T24" s="8" t="inlineStr">
        <is>
          <t>148A</t>
        </is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삼성광나루</t>
        </is>
      </c>
      <c r="B25" s="16" t="inlineStr">
        <is>
          <t>'02.11.</t>
        </is>
      </c>
      <c r="C25" s="164" t="n">
        <v>490</v>
      </c>
      <c r="D25" s="161" t="n">
        <v>148.8</v>
      </c>
      <c r="E25" s="163" t="n">
        <v>45</v>
      </c>
      <c r="F25" s="161" t="n">
        <v>114.9</v>
      </c>
      <c r="G25" s="27" t="n">
        <v>35</v>
      </c>
      <c r="H25" s="164" t="n">
        <v>20</v>
      </c>
      <c r="I25" s="165" t="n">
        <v>160000</v>
      </c>
      <c r="J25" s="165" t="inlineStr">
        <is>
          <t>중</t>
        </is>
      </c>
      <c r="K25" s="165" t="n">
        <v>77000</v>
      </c>
      <c r="L25" s="165" t="inlineStr">
        <is>
          <t>중</t>
        </is>
      </c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4</v>
      </c>
      <c r="R25" s="113" t="n">
        <v>2</v>
      </c>
      <c r="S25" s="113" t="inlineStr">
        <is>
          <t>계</t>
        </is>
      </c>
      <c r="T25" s="8" t="inlineStr">
        <is>
          <t>148B</t>
        </is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삼성광나루</t>
        </is>
      </c>
      <c r="B26" s="16" t="inlineStr">
        <is>
          <t>'02.11.</t>
        </is>
      </c>
      <c r="C26" s="164" t="n">
        <v>490</v>
      </c>
      <c r="D26" s="161" t="n">
        <v>203.7</v>
      </c>
      <c r="E26" s="163" t="n">
        <v>62</v>
      </c>
      <c r="F26" s="161" t="n">
        <v>157.2</v>
      </c>
      <c r="G26" s="27" t="n">
        <v>48</v>
      </c>
      <c r="H26" s="164" t="n">
        <v>48</v>
      </c>
      <c r="I26" s="165" t="n">
        <v>190000</v>
      </c>
      <c r="J26" s="165" t="inlineStr">
        <is>
          <t>고</t>
        </is>
      </c>
      <c r="K26" s="165" t="n"/>
      <c r="L26" s="165" t="n"/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5</v>
      </c>
      <c r="R26" s="113" t="n">
        <v>2</v>
      </c>
      <c r="S26" s="113" t="inlineStr">
        <is>
          <t>계</t>
        </is>
      </c>
      <c r="T26" s="8" t="n">
        <v>203</v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n"/>
      <c r="B27" s="113" t="n"/>
      <c r="C27" s="10" t="n"/>
      <c r="D27" s="13" t="n"/>
      <c r="E27" s="20" t="n"/>
      <c r="F27" s="161" t="n"/>
      <c r="G27" s="13" t="n"/>
      <c r="H27" s="13" t="n"/>
      <c r="I27" s="13" t="n"/>
      <c r="J27" s="13" t="n"/>
      <c r="K27" s="13" t="n"/>
      <c r="L27" s="13" t="n"/>
      <c r="M27" s="13" t="n"/>
      <c r="N27" s="13" t="n"/>
      <c r="O27" s="162" t="n"/>
      <c r="P27" s="162" t="n"/>
      <c r="Q27" s="163" t="n"/>
      <c r="R27" s="163" t="n"/>
      <c r="S27" s="13" t="n"/>
      <c r="T27" s="70" t="n"/>
      <c r="U27" s="13" t="n"/>
      <c r="W27" s="107">
        <f>$A$4&amp;" "&amp;A28&amp;"("&amp;B28&amp;","&amp;C28&amp;"^)"</f>
        <v/>
      </c>
      <c r="X27" s="108" t="n"/>
      <c r="Y27" s="108" t="n"/>
      <c r="Z27" s="108" t="n"/>
      <c r="AA27" s="108" t="n"/>
      <c r="AB27" s="108" t="n"/>
      <c r="AC27" s="108" t="n"/>
      <c r="AD27" s="108" t="n"/>
      <c r="AE27" s="108" t="n"/>
      <c r="AF27" s="109" t="n"/>
      <c r="AH27" s="36">
        <f>IF(A27="","",A27)</f>
        <v/>
      </c>
      <c r="AI27" s="160">
        <f>IF(E27="","",E27)</f>
        <v/>
      </c>
      <c r="AJ27" s="113" t="n"/>
      <c r="AK27" s="113" t="n"/>
      <c r="AL27" s="113" t="n"/>
      <c r="AM27" s="113" t="n"/>
      <c r="AN27" s="113" t="n"/>
      <c r="AO27" s="113" t="n"/>
      <c r="AP27" s="113" t="n"/>
      <c r="AQ27" s="113" t="n"/>
      <c r="AR27" s="113" t="n"/>
      <c r="AS27" s="113" t="n"/>
      <c r="AT27" s="113" t="n"/>
      <c r="AU27" s="113" t="n"/>
      <c r="AV27" s="113" t="n"/>
    </row>
    <row r="28">
      <c r="A28" s="13" t="inlineStr">
        <is>
          <t>선사현대</t>
        </is>
      </c>
      <c r="B28" s="16" t="inlineStr">
        <is>
          <t>'00.06.</t>
        </is>
      </c>
      <c r="C28" s="164" t="n">
        <v>2938</v>
      </c>
      <c r="D28" s="161" t="n">
        <v>80.3</v>
      </c>
      <c r="E28" s="163" t="n">
        <v>24</v>
      </c>
      <c r="F28" s="161" t="n">
        <v>58.7</v>
      </c>
      <c r="G28" s="27" t="n">
        <v>18</v>
      </c>
      <c r="H28" s="164" t="n">
        <v>264</v>
      </c>
      <c r="I28" s="165" t="n">
        <v>105000</v>
      </c>
      <c r="J28" s="165" t="inlineStr">
        <is>
          <t>고</t>
        </is>
      </c>
      <c r="K28" s="165" t="n">
        <v>55000</v>
      </c>
      <c r="L28" s="165" t="inlineStr">
        <is>
          <t>고</t>
        </is>
      </c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3</v>
      </c>
      <c r="R28" s="113" t="n">
        <v>1</v>
      </c>
      <c r="S28" s="113" t="inlineStr">
        <is>
          <t>복</t>
        </is>
      </c>
      <c r="T28" s="8" t="inlineStr">
        <is>
          <t>80B</t>
        </is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선사현대</t>
        </is>
      </c>
      <c r="B29" s="16" t="inlineStr">
        <is>
          <t>'00.06.</t>
        </is>
      </c>
      <c r="C29" s="164" t="n">
        <v>2938</v>
      </c>
      <c r="D29" s="161" t="n">
        <v>81.59999999999999</v>
      </c>
      <c r="E29" s="163" t="n">
        <v>25</v>
      </c>
      <c r="F29" s="161" t="n">
        <v>59.6</v>
      </c>
      <c r="G29" s="27" t="n">
        <v>18</v>
      </c>
      <c r="H29" s="164" t="n">
        <v>1139</v>
      </c>
      <c r="I29" s="165" t="n">
        <v>103000</v>
      </c>
      <c r="J29" s="165" t="inlineStr">
        <is>
          <t>중</t>
        </is>
      </c>
      <c r="K29" s="165" t="n">
        <v>55000</v>
      </c>
      <c r="L29" s="165" t="inlineStr">
        <is>
          <t>고</t>
        </is>
      </c>
      <c r="M29" s="166">
        <f>I29-K29</f>
        <v/>
      </c>
      <c r="N29" s="7">
        <f>IF(ISERROR(K29/I29),"",K29/I29)</f>
        <v/>
      </c>
      <c r="O29" s="162">
        <f>I29/E29</f>
        <v/>
      </c>
      <c r="P29" s="162">
        <f>K29/E29</f>
        <v/>
      </c>
      <c r="Q29" s="113" t="n">
        <v>3</v>
      </c>
      <c r="R29" s="113" t="n">
        <v>1</v>
      </c>
      <c r="S29" s="113" t="inlineStr">
        <is>
          <t>복</t>
        </is>
      </c>
      <c r="T29" s="8" t="inlineStr">
        <is>
          <t>81A</t>
        </is>
      </c>
      <c r="U29" s="13" t="n"/>
      <c r="W29" s="161">
        <f>D29</f>
        <v/>
      </c>
      <c r="X29" s="163">
        <f>E29</f>
        <v/>
      </c>
      <c r="Y29" s="159">
        <f>H29</f>
        <v/>
      </c>
      <c r="Z29" s="166">
        <f>I29</f>
        <v/>
      </c>
      <c r="AA29" s="166">
        <f>K29</f>
        <v/>
      </c>
      <c r="AB29" s="166">
        <f>M29</f>
        <v/>
      </c>
      <c r="AC29" s="7">
        <f>N29</f>
        <v/>
      </c>
      <c r="AD29" s="162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3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선사현대</t>
        </is>
      </c>
      <c r="B30" s="16" t="inlineStr">
        <is>
          <t>'00.06.</t>
        </is>
      </c>
      <c r="C30" s="164" t="n">
        <v>2938</v>
      </c>
      <c r="D30" s="161" t="n">
        <v>99.7</v>
      </c>
      <c r="E30" s="163" t="n">
        <v>30</v>
      </c>
      <c r="F30" s="161" t="n">
        <v>72.90000000000001</v>
      </c>
      <c r="G30" s="27" t="n">
        <v>22</v>
      </c>
      <c r="H30" s="164" t="n">
        <v>521</v>
      </c>
      <c r="I30" s="165" t="n"/>
      <c r="J30" s="165" t="n"/>
      <c r="K30" s="165" t="n"/>
      <c r="L30" s="165" t="n"/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3</v>
      </c>
      <c r="R30" s="113" t="n">
        <v>1</v>
      </c>
      <c r="S30" s="113" t="inlineStr">
        <is>
          <t>복</t>
        </is>
      </c>
      <c r="T30" s="8" t="n">
        <v>99</v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선사현대</t>
        </is>
      </c>
      <c r="B31" s="16" t="inlineStr">
        <is>
          <t>'00.06.</t>
        </is>
      </c>
      <c r="C31" s="164" t="n">
        <v>2938</v>
      </c>
      <c r="D31" s="161" t="n">
        <v>113.5</v>
      </c>
      <c r="E31" s="163" t="n">
        <v>34</v>
      </c>
      <c r="F31" s="161" t="n">
        <v>82.90000000000001</v>
      </c>
      <c r="G31" s="27" t="n">
        <v>25</v>
      </c>
      <c r="H31" s="164" t="n">
        <v>434</v>
      </c>
      <c r="I31" s="165" t="n">
        <v>142000</v>
      </c>
      <c r="J31" s="165" t="inlineStr">
        <is>
          <t>고</t>
        </is>
      </c>
      <c r="K31" s="165" t="n">
        <v>70000</v>
      </c>
      <c r="L31" s="165" t="inlineStr">
        <is>
          <t>고</t>
        </is>
      </c>
      <c r="M31" s="166">
        <f>I31-K31</f>
        <v/>
      </c>
      <c r="N31" s="7">
        <f>IF(ISERROR(K31/I31),"",K31/I31)</f>
        <v/>
      </c>
      <c r="O31" s="162">
        <f>I31/E31</f>
        <v/>
      </c>
      <c r="P31" s="162">
        <f>K31/E31</f>
        <v/>
      </c>
      <c r="Q31" s="113" t="n">
        <v>3</v>
      </c>
      <c r="R31" s="113" t="n">
        <v>2</v>
      </c>
      <c r="S31" s="113" t="inlineStr">
        <is>
          <t>계</t>
        </is>
      </c>
      <c r="T31" s="8" t="inlineStr">
        <is>
          <t>113E</t>
        </is>
      </c>
      <c r="U31" s="13" t="n"/>
      <c r="W31" s="161">
        <f>D31</f>
        <v/>
      </c>
      <c r="X31" s="163">
        <f>E31</f>
        <v/>
      </c>
      <c r="Y31" s="159">
        <f>H31</f>
        <v/>
      </c>
      <c r="Z31" s="166">
        <f>I31</f>
        <v/>
      </c>
      <c r="AA31" s="166">
        <f>K31</f>
        <v/>
      </c>
      <c r="AB31" s="166">
        <f>M31</f>
        <v/>
      </c>
      <c r="AC31" s="7">
        <f>N31</f>
        <v/>
      </c>
      <c r="AD31" s="162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3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선사현대</t>
        </is>
      </c>
      <c r="B32" s="16" t="inlineStr">
        <is>
          <t>'00.06.</t>
        </is>
      </c>
      <c r="C32" s="164" t="n">
        <v>2938</v>
      </c>
      <c r="D32" s="161" t="n">
        <v>113.8</v>
      </c>
      <c r="E32" s="163" t="n">
        <v>34</v>
      </c>
      <c r="F32" s="161" t="n">
        <v>83.2</v>
      </c>
      <c r="G32" s="27" t="n">
        <v>25</v>
      </c>
      <c r="H32" s="164" t="n">
        <v>211</v>
      </c>
      <c r="I32" s="165" t="n">
        <v>145000</v>
      </c>
      <c r="J32" s="165" t="inlineStr">
        <is>
          <t>중</t>
        </is>
      </c>
      <c r="K32" s="165" t="n"/>
      <c r="L32" s="165" t="n"/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3</v>
      </c>
      <c r="R32" s="113" t="n">
        <v>2</v>
      </c>
      <c r="S32" s="113" t="inlineStr">
        <is>
          <t>계</t>
        </is>
      </c>
      <c r="T32" s="8" t="inlineStr">
        <is>
          <t>113D</t>
        </is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선사현대</t>
        </is>
      </c>
      <c r="B33" s="16" t="inlineStr">
        <is>
          <t>'00.06.</t>
        </is>
      </c>
      <c r="C33" s="164" t="n">
        <v>2938</v>
      </c>
      <c r="D33" s="161" t="n">
        <v>114.5</v>
      </c>
      <c r="E33" s="163" t="n">
        <v>35</v>
      </c>
      <c r="F33" s="161" t="n">
        <v>83.7</v>
      </c>
      <c r="G33" s="27" t="n">
        <v>25</v>
      </c>
      <c r="H33" s="164" t="n">
        <v>168</v>
      </c>
      <c r="I33" s="165" t="n">
        <v>145000</v>
      </c>
      <c r="J33" s="165" t="inlineStr">
        <is>
          <t>중</t>
        </is>
      </c>
      <c r="K33" s="165" t="n">
        <v>75000</v>
      </c>
      <c r="L33" s="165" t="inlineStr">
        <is>
          <t>고</t>
        </is>
      </c>
      <c r="M33" s="166">
        <f>I33-K33</f>
        <v/>
      </c>
      <c r="N33" s="7">
        <f>IF(ISERROR(K33/I33),"",K33/I33)</f>
        <v/>
      </c>
      <c r="O33" s="162">
        <f>I33/E33</f>
        <v/>
      </c>
      <c r="P33" s="162">
        <f>K33/E33</f>
        <v/>
      </c>
      <c r="Q33" s="113" t="n">
        <v>3</v>
      </c>
      <c r="R33" s="113" t="n">
        <v>2</v>
      </c>
      <c r="S33" s="113" t="inlineStr">
        <is>
          <t>계</t>
        </is>
      </c>
      <c r="T33" s="8" t="inlineStr">
        <is>
          <t>114G</t>
        </is>
      </c>
      <c r="U33" s="13" t="n"/>
      <c r="W33" s="161">
        <f>D33</f>
        <v/>
      </c>
      <c r="X33" s="163">
        <f>E33</f>
        <v/>
      </c>
      <c r="Y33" s="159">
        <f>H33</f>
        <v/>
      </c>
      <c r="Z33" s="166">
        <f>I33</f>
        <v/>
      </c>
      <c r="AA33" s="166">
        <f>K33</f>
        <v/>
      </c>
      <c r="AB33" s="166">
        <f>M33</f>
        <v/>
      </c>
      <c r="AC33" s="7">
        <f>N33</f>
        <v/>
      </c>
      <c r="AD33" s="162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3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선사현대</t>
        </is>
      </c>
      <c r="B34" s="16" t="inlineStr">
        <is>
          <t>'00.06.</t>
        </is>
      </c>
      <c r="C34" s="164" t="n">
        <v>2938</v>
      </c>
      <c r="D34" s="161" t="n">
        <v>114.7</v>
      </c>
      <c r="E34" s="163" t="n">
        <v>35</v>
      </c>
      <c r="F34" s="161" t="n">
        <v>83.8</v>
      </c>
      <c r="G34" s="27" t="n">
        <v>25</v>
      </c>
      <c r="H34" s="164" t="n">
        <v>75</v>
      </c>
      <c r="I34" s="165" t="n">
        <v>142000</v>
      </c>
      <c r="J34" s="165" t="inlineStr">
        <is>
          <t>고</t>
        </is>
      </c>
      <c r="K34" s="165" t="n"/>
      <c r="L34" s="165" t="n"/>
      <c r="M34" s="166">
        <f>I34-K34</f>
        <v/>
      </c>
      <c r="N34" s="7">
        <f>IF(ISERROR(K34/I34),"",K34/I34)</f>
        <v/>
      </c>
      <c r="O34" s="162">
        <f>I34/E34</f>
        <v/>
      </c>
      <c r="P34" s="162">
        <f>K34/E34</f>
        <v/>
      </c>
      <c r="Q34" s="113" t="n">
        <v>3</v>
      </c>
      <c r="R34" s="113" t="n">
        <v>2</v>
      </c>
      <c r="S34" s="113" t="inlineStr">
        <is>
          <t>계</t>
        </is>
      </c>
      <c r="T34" s="8" t="inlineStr">
        <is>
          <t>114F</t>
        </is>
      </c>
      <c r="U34" s="13" t="n"/>
      <c r="W34" s="161">
        <f>D34</f>
        <v/>
      </c>
      <c r="X34" s="163">
        <f>E34</f>
        <v/>
      </c>
      <c r="Y34" s="159">
        <f>H34</f>
        <v/>
      </c>
      <c r="Z34" s="166">
        <f>I34</f>
        <v/>
      </c>
      <c r="AA34" s="166">
        <f>K34</f>
        <v/>
      </c>
      <c r="AB34" s="166">
        <f>M34</f>
        <v/>
      </c>
      <c r="AC34" s="7">
        <f>N34</f>
        <v/>
      </c>
      <c r="AD34" s="162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3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선사현대</t>
        </is>
      </c>
      <c r="B35" s="16" t="inlineStr">
        <is>
          <t>'00.06.</t>
        </is>
      </c>
      <c r="C35" s="164" t="n">
        <v>2938</v>
      </c>
      <c r="D35" s="161" t="n">
        <v>141.3</v>
      </c>
      <c r="E35" s="163" t="n">
        <v>43</v>
      </c>
      <c r="F35" s="161" t="n">
        <v>114.4</v>
      </c>
      <c r="G35" s="27" t="n">
        <v>35</v>
      </c>
      <c r="H35" s="164" t="n">
        <v>126</v>
      </c>
      <c r="I35" s="165" t="n">
        <v>185000</v>
      </c>
      <c r="J35" s="165" t="inlineStr">
        <is>
          <t>중</t>
        </is>
      </c>
      <c r="K35" s="165" t="n"/>
      <c r="L35" s="165" t="n"/>
      <c r="M35" s="166">
        <f>I35-K35</f>
        <v/>
      </c>
      <c r="N35" s="7">
        <f>IF(ISERROR(K35/I35),"",K35/I35)</f>
        <v/>
      </c>
      <c r="O35" s="162">
        <f>I35/E35</f>
        <v/>
      </c>
      <c r="P35" s="162">
        <f>K35/E35</f>
        <v/>
      </c>
      <c r="Q35" s="113" t="n">
        <v>4</v>
      </c>
      <c r="R35" s="113" t="n">
        <v>2</v>
      </c>
      <c r="S35" s="113" t="inlineStr">
        <is>
          <t>계</t>
        </is>
      </c>
      <c r="T35" s="8" t="n">
        <v>141</v>
      </c>
      <c r="U35" s="13" t="n"/>
      <c r="W35" s="161">
        <f>D35</f>
        <v/>
      </c>
      <c r="X35" s="163">
        <f>E35</f>
        <v/>
      </c>
      <c r="Y35" s="159">
        <f>H35</f>
        <v/>
      </c>
      <c r="Z35" s="166">
        <f>I35</f>
        <v/>
      </c>
      <c r="AA35" s="166">
        <f>K35</f>
        <v/>
      </c>
      <c r="AB35" s="166">
        <f>M35</f>
        <v/>
      </c>
      <c r="AC35" s="7">
        <f>N35</f>
        <v/>
      </c>
      <c r="AD35" s="162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3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n"/>
      <c r="B36" s="113" t="n"/>
      <c r="C36" s="10" t="n"/>
      <c r="D36" s="13" t="n"/>
      <c r="E36" s="20" t="n"/>
      <c r="F36" s="161" t="n"/>
      <c r="G36" s="13" t="n"/>
      <c r="H36" s="13" t="n"/>
      <c r="I36" s="13" t="n"/>
      <c r="J36" s="13" t="n"/>
      <c r="K36" s="13" t="n"/>
      <c r="L36" s="13" t="n"/>
      <c r="M36" s="13" t="n"/>
      <c r="N36" s="13" t="n"/>
      <c r="O36" s="162" t="n"/>
      <c r="P36" s="162" t="n"/>
      <c r="Q36" s="163" t="n"/>
      <c r="R36" s="163" t="n"/>
      <c r="S36" s="13" t="n"/>
      <c r="T36" s="70" t="n"/>
      <c r="U36" s="13" t="n"/>
      <c r="W36" s="107">
        <f>$A$4&amp;" "&amp;A37&amp;"("&amp;B37&amp;","&amp;C37&amp;"^)"</f>
        <v/>
      </c>
      <c r="X36" s="108" t="n"/>
      <c r="Y36" s="108" t="n"/>
      <c r="Z36" s="108" t="n"/>
      <c r="AA36" s="108" t="n"/>
      <c r="AB36" s="108" t="n"/>
      <c r="AC36" s="108" t="n"/>
      <c r="AD36" s="108" t="n"/>
      <c r="AE36" s="108" t="n"/>
      <c r="AF36" s="109" t="n"/>
      <c r="AH36" s="36">
        <f>IF(A36="","",A36)</f>
        <v/>
      </c>
      <c r="AI36" s="160">
        <f>IF(E36="","",E36)</f>
        <v/>
      </c>
      <c r="AJ36" s="113" t="n"/>
      <c r="AK36" s="113" t="n"/>
      <c r="AL36" s="113" t="n"/>
      <c r="AM36" s="113" t="n"/>
      <c r="AN36" s="113" t="n"/>
      <c r="AO36" s="113" t="n"/>
      <c r="AP36" s="113" t="n"/>
      <c r="AQ36" s="113" t="n"/>
      <c r="AR36" s="113" t="n"/>
      <c r="AS36" s="113" t="n"/>
      <c r="AT36" s="113" t="n"/>
      <c r="AU36" s="113" t="n"/>
      <c r="AV36" s="113" t="n"/>
    </row>
    <row r="37">
      <c r="A37" s="13" t="inlineStr">
        <is>
          <t>암사한솔</t>
        </is>
      </c>
      <c r="B37" s="16" t="inlineStr">
        <is>
          <t>'02.01.</t>
        </is>
      </c>
      <c r="C37" s="164" t="n">
        <v>203</v>
      </c>
      <c r="D37" s="161" t="n">
        <v>106</v>
      </c>
      <c r="E37" s="163" t="n">
        <v>32</v>
      </c>
      <c r="F37" s="161" t="n">
        <v>84.7</v>
      </c>
      <c r="G37" s="27" t="n">
        <v>26</v>
      </c>
      <c r="H37" s="164" t="n">
        <v>165</v>
      </c>
      <c r="I37" s="165" t="n"/>
      <c r="J37" s="165" t="n"/>
      <c r="K37" s="165" t="n"/>
      <c r="L37" s="165" t="n"/>
      <c r="M37" s="166">
        <f>I37-K37</f>
        <v/>
      </c>
      <c r="N37" s="7">
        <f>IF(ISERROR(K37/I37),"",K37/I37)</f>
        <v/>
      </c>
      <c r="O37" s="162">
        <f>I37/E37</f>
        <v/>
      </c>
      <c r="P37" s="162">
        <f>K37/E37</f>
        <v/>
      </c>
      <c r="Q37" s="113" t="n">
        <v>3</v>
      </c>
      <c r="R37" s="113" t="n">
        <v>2</v>
      </c>
      <c r="S37" s="113" t="inlineStr">
        <is>
          <t>계</t>
        </is>
      </c>
      <c r="T37" s="8" t="n">
        <v>105</v>
      </c>
      <c r="U37" s="13" t="n"/>
      <c r="W37" s="161">
        <f>D37</f>
        <v/>
      </c>
      <c r="X37" s="163">
        <f>E37</f>
        <v/>
      </c>
      <c r="Y37" s="159">
        <f>H37</f>
        <v/>
      </c>
      <c r="Z37" s="166">
        <f>I37</f>
        <v/>
      </c>
      <c r="AA37" s="166">
        <f>K37</f>
        <v/>
      </c>
      <c r="AB37" s="166">
        <f>M37</f>
        <v/>
      </c>
      <c r="AC37" s="7">
        <f>N37</f>
        <v/>
      </c>
      <c r="AD37" s="162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3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inlineStr">
        <is>
          <t>암사한솔</t>
        </is>
      </c>
      <c r="B38" s="16" t="inlineStr">
        <is>
          <t>'02.01.</t>
        </is>
      </c>
      <c r="C38" s="164" t="n">
        <v>203</v>
      </c>
      <c r="D38" s="161" t="n">
        <v>125.9</v>
      </c>
      <c r="E38" s="163" t="n">
        <v>38</v>
      </c>
      <c r="F38" s="161" t="n">
        <v>105.8</v>
      </c>
      <c r="G38" s="27" t="n">
        <v>32</v>
      </c>
      <c r="H38" s="164" t="n">
        <v>26</v>
      </c>
      <c r="I38" s="165" t="n"/>
      <c r="J38" s="165" t="n"/>
      <c r="K38" s="165" t="n"/>
      <c r="L38" s="165" t="n"/>
      <c r="M38" s="166">
        <f>I38-K38</f>
        <v/>
      </c>
      <c r="N38" s="7">
        <f>IF(ISERROR(K38/I38),"",K38/I38)</f>
        <v/>
      </c>
      <c r="O38" s="162">
        <f>I38/E38</f>
        <v/>
      </c>
      <c r="P38" s="162">
        <f>K38/E38</f>
        <v/>
      </c>
      <c r="Q38" s="113" t="n">
        <v>4</v>
      </c>
      <c r="R38" s="113" t="n">
        <v>2</v>
      </c>
      <c r="S38" s="113" t="inlineStr">
        <is>
          <t>계</t>
        </is>
      </c>
      <c r="T38" s="8" t="n">
        <v>125</v>
      </c>
      <c r="U38" s="13" t="n"/>
      <c r="W38" s="161">
        <f>D38</f>
        <v/>
      </c>
      <c r="X38" s="163">
        <f>E38</f>
        <v/>
      </c>
      <c r="Y38" s="159">
        <f>H38</f>
        <v/>
      </c>
      <c r="Z38" s="166">
        <f>I38</f>
        <v/>
      </c>
      <c r="AA38" s="166">
        <f>K38</f>
        <v/>
      </c>
      <c r="AB38" s="166">
        <f>M38</f>
        <v/>
      </c>
      <c r="AC38" s="7">
        <f>N38</f>
        <v/>
      </c>
      <c r="AD38" s="162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3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암사한솔</t>
        </is>
      </c>
      <c r="B39" s="16" t="inlineStr">
        <is>
          <t>'02.01.</t>
        </is>
      </c>
      <c r="C39" s="164" t="n">
        <v>203</v>
      </c>
      <c r="D39" s="161" t="n">
        <v>147.6</v>
      </c>
      <c r="E39" s="163" t="n">
        <v>45</v>
      </c>
      <c r="F39" s="161" t="n">
        <v>113.1</v>
      </c>
      <c r="G39" s="27" t="n">
        <v>34</v>
      </c>
      <c r="H39" s="164" t="n">
        <v>12</v>
      </c>
      <c r="I39" s="165" t="n"/>
      <c r="J39" s="165" t="n"/>
      <c r="K39" s="165" t="n"/>
      <c r="L39" s="165" t="n"/>
      <c r="M39" s="166">
        <f>I39-K39</f>
        <v/>
      </c>
      <c r="N39" s="7">
        <f>IF(ISERROR(K39/I39),"",K39/I39)</f>
        <v/>
      </c>
      <c r="O39" s="162">
        <f>I39/E39</f>
        <v/>
      </c>
      <c r="P39" s="162">
        <f>K39/E39</f>
        <v/>
      </c>
      <c r="Q39" s="113" t="n">
        <v>4</v>
      </c>
      <c r="R39" s="113" t="n">
        <v>2</v>
      </c>
      <c r="S39" s="113" t="inlineStr">
        <is>
          <t>계</t>
        </is>
      </c>
      <c r="T39" s="8" t="n">
        <v>147</v>
      </c>
      <c r="U39" s="13" t="n"/>
      <c r="W39" s="161">
        <f>D39</f>
        <v/>
      </c>
      <c r="X39" s="163">
        <f>E39</f>
        <v/>
      </c>
      <c r="Y39" s="159">
        <f>H39</f>
        <v/>
      </c>
      <c r="Z39" s="166">
        <f>I39</f>
        <v/>
      </c>
      <c r="AA39" s="166">
        <f>K39</f>
        <v/>
      </c>
      <c r="AB39" s="166">
        <f>M39</f>
        <v/>
      </c>
      <c r="AC39" s="7">
        <f>N39</f>
        <v/>
      </c>
      <c r="AD39" s="162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3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n"/>
      <c r="B40" s="113" t="n"/>
      <c r="C40" s="10" t="n"/>
      <c r="D40" s="13" t="n"/>
      <c r="E40" s="20" t="n"/>
      <c r="F40" s="161" t="n"/>
      <c r="G40" s="13" t="n"/>
      <c r="H40" s="13" t="n"/>
      <c r="I40" s="13" t="n"/>
      <c r="J40" s="13" t="n"/>
      <c r="K40" s="13" t="n"/>
      <c r="L40" s="13" t="n"/>
      <c r="M40" s="13" t="n"/>
      <c r="N40" s="13" t="n"/>
      <c r="O40" s="162" t="n"/>
      <c r="P40" s="162" t="n"/>
      <c r="Q40" s="163" t="n"/>
      <c r="R40" s="163" t="n"/>
      <c r="S40" s="13" t="n"/>
      <c r="T40" s="70" t="n"/>
      <c r="U40" s="13" t="n"/>
      <c r="W40" s="107">
        <f>$A$4&amp;" "&amp;A41&amp;"("&amp;B41&amp;","&amp;C41&amp;"^)"</f>
        <v/>
      </c>
      <c r="X40" s="108" t="n"/>
      <c r="Y40" s="108" t="n"/>
      <c r="Z40" s="108" t="n"/>
      <c r="AA40" s="108" t="n"/>
      <c r="AB40" s="108" t="n"/>
      <c r="AC40" s="108" t="n"/>
      <c r="AD40" s="108" t="n"/>
      <c r="AE40" s="108" t="n"/>
      <c r="AF40" s="109" t="n"/>
      <c r="AH40" s="36">
        <f>IF(A40="","",A40)</f>
        <v/>
      </c>
      <c r="AI40" s="160">
        <f>IF(E40="","",E40)</f>
        <v/>
      </c>
      <c r="AJ40" s="113" t="n"/>
      <c r="AK40" s="113" t="n"/>
      <c r="AL40" s="113" t="n"/>
      <c r="AM40" s="113" t="n"/>
      <c r="AN40" s="113" t="n"/>
      <c r="AO40" s="113" t="n"/>
      <c r="AP40" s="113" t="n"/>
      <c r="AQ40" s="113" t="n"/>
      <c r="AR40" s="113" t="n"/>
      <c r="AS40" s="113" t="n"/>
      <c r="AT40" s="113" t="n"/>
      <c r="AU40" s="113" t="n"/>
      <c r="AV40" s="113" t="n"/>
    </row>
    <row r="41">
      <c r="A41" s="13" t="inlineStr">
        <is>
          <t>강동롯데캐슬퍼스트</t>
        </is>
      </c>
      <c r="B41" s="16" t="inlineStr">
        <is>
          <t>'08.09.</t>
        </is>
      </c>
      <c r="C41" s="164" t="n">
        <v>3226</v>
      </c>
      <c r="D41" s="161" t="n">
        <v>87.40000000000001</v>
      </c>
      <c r="E41" s="163" t="n">
        <v>26</v>
      </c>
      <c r="F41" s="161" t="n">
        <v>60</v>
      </c>
      <c r="G41" s="27" t="n">
        <v>18</v>
      </c>
      <c r="H41" s="164" t="n">
        <v>442</v>
      </c>
      <c r="I41" s="165" t="n">
        <v>125000</v>
      </c>
      <c r="J41" s="165" t="inlineStr">
        <is>
          <t>7</t>
        </is>
      </c>
      <c r="K41" s="165" t="n">
        <v>70000</v>
      </c>
      <c r="L41" s="165" t="inlineStr">
        <is>
          <t>25</t>
        </is>
      </c>
      <c r="M41" s="166">
        <f>I41-K41</f>
        <v/>
      </c>
      <c r="N41" s="7">
        <f>IF(ISERROR(K41/I41),"",K41/I41)</f>
        <v/>
      </c>
      <c r="O41" s="162">
        <f>I41/E41</f>
        <v/>
      </c>
      <c r="P41" s="162">
        <f>K41/E41</f>
        <v/>
      </c>
      <c r="Q41" s="113" t="n">
        <v>3</v>
      </c>
      <c r="R41" s="113" t="n">
        <v>2</v>
      </c>
      <c r="S41" s="113" t="inlineStr">
        <is>
          <t>계</t>
        </is>
      </c>
      <c r="T41" s="8" t="inlineStr">
        <is>
          <t>87A</t>
        </is>
      </c>
      <c r="U41" s="13" t="n"/>
      <c r="W41" s="161">
        <f>D41</f>
        <v/>
      </c>
      <c r="X41" s="163">
        <f>E41</f>
        <v/>
      </c>
      <c r="Y41" s="159">
        <f>H41</f>
        <v/>
      </c>
      <c r="Z41" s="166">
        <f>I41</f>
        <v/>
      </c>
      <c r="AA41" s="166">
        <f>K41</f>
        <v/>
      </c>
      <c r="AB41" s="166">
        <f>M41</f>
        <v/>
      </c>
      <c r="AC41" s="7">
        <f>N41</f>
        <v/>
      </c>
      <c r="AD41" s="162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3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inlineStr">
        <is>
          <t>강동롯데캐슬퍼스트</t>
        </is>
      </c>
      <c r="B42" s="16" t="inlineStr">
        <is>
          <t>'08.09.</t>
        </is>
      </c>
      <c r="C42" s="164" t="n">
        <v>3226</v>
      </c>
      <c r="D42" s="161" t="n">
        <v>87.40000000000001</v>
      </c>
      <c r="E42" s="163" t="n">
        <v>26</v>
      </c>
      <c r="F42" s="161" t="n">
        <v>60</v>
      </c>
      <c r="G42" s="27" t="n">
        <v>18</v>
      </c>
      <c r="H42" s="164" t="n">
        <v>212</v>
      </c>
      <c r="I42" s="165" t="n">
        <v>125000</v>
      </c>
      <c r="J42" s="165" t="inlineStr">
        <is>
          <t>7</t>
        </is>
      </c>
      <c r="K42" s="165" t="n">
        <v>70000</v>
      </c>
      <c r="L42" s="165" t="inlineStr">
        <is>
          <t>25</t>
        </is>
      </c>
      <c r="M42" s="166">
        <f>I42-K42</f>
        <v/>
      </c>
      <c r="N42" s="7">
        <f>IF(ISERROR(K42/I42),"",K42/I42)</f>
        <v/>
      </c>
      <c r="O42" s="162">
        <f>I42/E42</f>
        <v/>
      </c>
      <c r="P42" s="162">
        <f>K42/E42</f>
        <v/>
      </c>
      <c r="Q42" s="113" t="n">
        <v>3</v>
      </c>
      <c r="R42" s="113" t="n">
        <v>2</v>
      </c>
      <c r="S42" s="113" t="inlineStr">
        <is>
          <t>계</t>
        </is>
      </c>
      <c r="T42" s="8" t="inlineStr">
        <is>
          <t>87B</t>
        </is>
      </c>
      <c r="U42" s="13" t="n"/>
      <c r="W42" s="161">
        <f>D42</f>
        <v/>
      </c>
      <c r="X42" s="163">
        <f>E42</f>
        <v/>
      </c>
      <c r="Y42" s="159">
        <f>H42</f>
        <v/>
      </c>
      <c r="Z42" s="166">
        <f>I42</f>
        <v/>
      </c>
      <c r="AA42" s="166">
        <f>K42</f>
        <v/>
      </c>
      <c r="AB42" s="166">
        <f>M42</f>
        <v/>
      </c>
      <c r="AC42" s="7">
        <f>N42</f>
        <v/>
      </c>
      <c r="AD42" s="162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3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inlineStr">
        <is>
          <t>강동롯데캐슬퍼스트</t>
        </is>
      </c>
      <c r="B43" s="16" t="inlineStr">
        <is>
          <t>'08.09.</t>
        </is>
      </c>
      <c r="C43" s="164" t="n">
        <v>3226</v>
      </c>
      <c r="D43" s="161" t="n">
        <v>112.5</v>
      </c>
      <c r="E43" s="163" t="n">
        <v>34</v>
      </c>
      <c r="F43" s="161" t="n">
        <v>85</v>
      </c>
      <c r="G43" s="27" t="n">
        <v>26</v>
      </c>
      <c r="H43" s="164" t="n">
        <v>422</v>
      </c>
      <c r="I43" s="165" t="n">
        <v>160000</v>
      </c>
      <c r="J43" s="165" t="inlineStr">
        <is>
          <t>중</t>
        </is>
      </c>
      <c r="K43" s="165" t="n">
        <v>78000</v>
      </c>
      <c r="L43" s="165" t="inlineStr">
        <is>
          <t>15</t>
        </is>
      </c>
      <c r="M43" s="166">
        <f>I43-K43</f>
        <v/>
      </c>
      <c r="N43" s="7">
        <f>IF(ISERROR(K43/I43),"",K43/I43)</f>
        <v/>
      </c>
      <c r="O43" s="162">
        <f>I43/E43</f>
        <v/>
      </c>
      <c r="P43" s="162">
        <f>K43/E43</f>
        <v/>
      </c>
      <c r="Q43" s="113" t="n">
        <v>3</v>
      </c>
      <c r="R43" s="113" t="n">
        <v>2</v>
      </c>
      <c r="S43" s="113" t="inlineStr">
        <is>
          <t>계</t>
        </is>
      </c>
      <c r="T43" s="8" t="inlineStr">
        <is>
          <t>112B</t>
        </is>
      </c>
      <c r="U43" s="13" t="n"/>
      <c r="W43" s="161">
        <f>D43</f>
        <v/>
      </c>
      <c r="X43" s="163">
        <f>E43</f>
        <v/>
      </c>
      <c r="Y43" s="159">
        <f>H43</f>
        <v/>
      </c>
      <c r="Z43" s="166">
        <f>I43</f>
        <v/>
      </c>
      <c r="AA43" s="166">
        <f>K43</f>
        <v/>
      </c>
      <c r="AB43" s="166">
        <f>M43</f>
        <v/>
      </c>
      <c r="AC43" s="7">
        <f>N43</f>
        <v/>
      </c>
      <c r="AD43" s="162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3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inlineStr">
        <is>
          <t>강동롯데캐슬퍼스트</t>
        </is>
      </c>
      <c r="B44" s="16" t="inlineStr">
        <is>
          <t>'08.09.</t>
        </is>
      </c>
      <c r="C44" s="164" t="n">
        <v>3226</v>
      </c>
      <c r="D44" s="161" t="n">
        <v>112.5</v>
      </c>
      <c r="E44" s="163" t="n">
        <v>34</v>
      </c>
      <c r="F44" s="161" t="n">
        <v>85</v>
      </c>
      <c r="G44" s="27" t="n">
        <v>26</v>
      </c>
      <c r="H44" s="164" t="n">
        <v>132</v>
      </c>
      <c r="I44" s="165" t="n">
        <v>160000</v>
      </c>
      <c r="J44" s="165" t="inlineStr">
        <is>
          <t>중</t>
        </is>
      </c>
      <c r="K44" s="165" t="n">
        <v>78000</v>
      </c>
      <c r="L44" s="165" t="inlineStr">
        <is>
          <t>15</t>
        </is>
      </c>
      <c r="M44" s="166">
        <f>I44-K44</f>
        <v/>
      </c>
      <c r="N44" s="7">
        <f>IF(ISERROR(K44/I44),"",K44/I44)</f>
        <v/>
      </c>
      <c r="O44" s="162">
        <f>I44/E44</f>
        <v/>
      </c>
      <c r="P44" s="162">
        <f>K44/E44</f>
        <v/>
      </c>
      <c r="Q44" s="113" t="n">
        <v>3</v>
      </c>
      <c r="R44" s="113" t="n">
        <v>2</v>
      </c>
      <c r="S44" s="113" t="inlineStr">
        <is>
          <t>계</t>
        </is>
      </c>
      <c r="T44" s="8" t="inlineStr">
        <is>
          <t>112A</t>
        </is>
      </c>
      <c r="U44" s="13" t="n"/>
      <c r="W44" s="161">
        <f>D44</f>
        <v/>
      </c>
      <c r="X44" s="163">
        <f>E44</f>
        <v/>
      </c>
      <c r="Y44" s="159">
        <f>H44</f>
        <v/>
      </c>
      <c r="Z44" s="166">
        <f>I44</f>
        <v/>
      </c>
      <c r="AA44" s="166">
        <f>K44</f>
        <v/>
      </c>
      <c r="AB44" s="166">
        <f>M44</f>
        <v/>
      </c>
      <c r="AC44" s="7">
        <f>N44</f>
        <v/>
      </c>
      <c r="AD44" s="162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3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inlineStr">
        <is>
          <t>강동롯데캐슬퍼스트</t>
        </is>
      </c>
      <c r="B45" s="16" t="inlineStr">
        <is>
          <t>'08.09.</t>
        </is>
      </c>
      <c r="C45" s="164" t="n">
        <v>3226</v>
      </c>
      <c r="D45" s="161" t="n">
        <v>113</v>
      </c>
      <c r="E45" s="163" t="n">
        <v>34</v>
      </c>
      <c r="F45" s="161" t="n">
        <v>84.8</v>
      </c>
      <c r="G45" s="27" t="n">
        <v>26</v>
      </c>
      <c r="H45" s="164" t="n">
        <v>300</v>
      </c>
      <c r="I45" s="165" t="n">
        <v>155000</v>
      </c>
      <c r="J45" s="165" t="inlineStr">
        <is>
          <t>고</t>
        </is>
      </c>
      <c r="K45" s="165" t="n">
        <v>78000</v>
      </c>
      <c r="L45" s="165" t="inlineStr">
        <is>
          <t>고</t>
        </is>
      </c>
      <c r="M45" s="166">
        <f>I45-K45</f>
        <v/>
      </c>
      <c r="N45" s="7">
        <f>IF(ISERROR(K45/I45),"",K45/I45)</f>
        <v/>
      </c>
      <c r="O45" s="162">
        <f>I45/E45</f>
        <v/>
      </c>
      <c r="P45" s="162">
        <f>K45/E45</f>
        <v/>
      </c>
      <c r="Q45" s="113" t="n">
        <v>3</v>
      </c>
      <c r="R45" s="113" t="n">
        <v>2</v>
      </c>
      <c r="S45" s="113" t="inlineStr">
        <is>
          <t>계</t>
        </is>
      </c>
      <c r="T45" s="8" t="inlineStr">
        <is>
          <t>113C</t>
        </is>
      </c>
      <c r="U45" s="13" t="n"/>
      <c r="W45" s="161">
        <f>D45</f>
        <v/>
      </c>
      <c r="X45" s="163">
        <f>E45</f>
        <v/>
      </c>
      <c r="Y45" s="159">
        <f>H45</f>
        <v/>
      </c>
      <c r="Z45" s="166">
        <f>I45</f>
        <v/>
      </c>
      <c r="AA45" s="166">
        <f>K45</f>
        <v/>
      </c>
      <c r="AB45" s="166">
        <f>M45</f>
        <v/>
      </c>
      <c r="AC45" s="7">
        <f>N45</f>
        <v/>
      </c>
      <c r="AD45" s="162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3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inlineStr">
        <is>
          <t>강동롯데캐슬퍼스트</t>
        </is>
      </c>
      <c r="B46" s="16" t="inlineStr">
        <is>
          <t>'08.09.</t>
        </is>
      </c>
      <c r="C46" s="164" t="n">
        <v>3226</v>
      </c>
      <c r="D46" s="161" t="n">
        <v>113</v>
      </c>
      <c r="E46" s="163" t="n">
        <v>34</v>
      </c>
      <c r="F46" s="161" t="n">
        <v>84.8</v>
      </c>
      <c r="G46" s="27" t="n">
        <v>26</v>
      </c>
      <c r="H46" s="164" t="n">
        <v>154</v>
      </c>
      <c r="I46" s="165" t="n">
        <v>155000</v>
      </c>
      <c r="J46" s="165" t="inlineStr">
        <is>
          <t>고</t>
        </is>
      </c>
      <c r="K46" s="165" t="n">
        <v>78000</v>
      </c>
      <c r="L46" s="165" t="inlineStr">
        <is>
          <t>고</t>
        </is>
      </c>
      <c r="M46" s="166">
        <f>I46-K46</f>
        <v/>
      </c>
      <c r="N46" s="7">
        <f>IF(ISERROR(K46/I46),"",K46/I46)</f>
        <v/>
      </c>
      <c r="O46" s="162">
        <f>I46/E46</f>
        <v/>
      </c>
      <c r="P46" s="162">
        <f>K46/E46</f>
        <v/>
      </c>
      <c r="Q46" s="113" t="n">
        <v>3</v>
      </c>
      <c r="R46" s="113" t="n">
        <v>2</v>
      </c>
      <c r="S46" s="113" t="inlineStr">
        <is>
          <t>계</t>
        </is>
      </c>
      <c r="T46" s="8" t="inlineStr">
        <is>
          <t>113D</t>
        </is>
      </c>
      <c r="U46" s="13" t="n"/>
      <c r="W46" s="161">
        <f>D46</f>
        <v/>
      </c>
      <c r="X46" s="163">
        <f>E46</f>
        <v/>
      </c>
      <c r="Y46" s="159">
        <f>H46</f>
        <v/>
      </c>
      <c r="Z46" s="166">
        <f>I46</f>
        <v/>
      </c>
      <c r="AA46" s="166">
        <f>K46</f>
        <v/>
      </c>
      <c r="AB46" s="166">
        <f>M46</f>
        <v/>
      </c>
      <c r="AC46" s="7">
        <f>N46</f>
        <v/>
      </c>
      <c r="AD46" s="162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3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inlineStr">
        <is>
          <t>강동롯데캐슬퍼스트</t>
        </is>
      </c>
      <c r="B47" s="16" t="inlineStr">
        <is>
          <t>'08.09.</t>
        </is>
      </c>
      <c r="C47" s="164" t="n">
        <v>3226</v>
      </c>
      <c r="D47" s="161" t="n">
        <v>113.5</v>
      </c>
      <c r="E47" s="163" t="n">
        <v>34</v>
      </c>
      <c r="F47" s="161" t="n">
        <v>84.8</v>
      </c>
      <c r="G47" s="27" t="n">
        <v>26</v>
      </c>
      <c r="H47" s="164" t="n">
        <v>60</v>
      </c>
      <c r="I47" s="165" t="n">
        <v>155000</v>
      </c>
      <c r="J47" s="165" t="inlineStr">
        <is>
          <t>28</t>
        </is>
      </c>
      <c r="K47" s="165" t="n"/>
      <c r="L47" s="165" t="n"/>
      <c r="M47" s="166">
        <f>I47-K47</f>
        <v/>
      </c>
      <c r="N47" s="7">
        <f>IF(ISERROR(K47/I47),"",K47/I47)</f>
        <v/>
      </c>
      <c r="O47" s="162">
        <f>I47/E47</f>
        <v/>
      </c>
      <c r="P47" s="162">
        <f>K47/E47</f>
        <v/>
      </c>
      <c r="Q47" s="113" t="n">
        <v>3</v>
      </c>
      <c r="R47" s="113" t="n">
        <v>2</v>
      </c>
      <c r="S47" s="113" t="inlineStr">
        <is>
          <t>계</t>
        </is>
      </c>
      <c r="T47" s="8" t="inlineStr">
        <is>
          <t>113I</t>
        </is>
      </c>
      <c r="U47" s="13" t="n"/>
      <c r="W47" s="161">
        <f>D47</f>
        <v/>
      </c>
      <c r="X47" s="163">
        <f>E47</f>
        <v/>
      </c>
      <c r="Y47" s="159">
        <f>H47</f>
        <v/>
      </c>
      <c r="Z47" s="166">
        <f>I47</f>
        <v/>
      </c>
      <c r="AA47" s="166">
        <f>K47</f>
        <v/>
      </c>
      <c r="AB47" s="166">
        <f>M47</f>
        <v/>
      </c>
      <c r="AC47" s="7">
        <f>N47</f>
        <v/>
      </c>
      <c r="AD47" s="162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3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inlineStr">
        <is>
          <t>강동롯데캐슬퍼스트</t>
        </is>
      </c>
      <c r="B48" s="16" t="inlineStr">
        <is>
          <t>'08.09.</t>
        </is>
      </c>
      <c r="C48" s="164" t="n">
        <v>3226</v>
      </c>
      <c r="D48" s="161" t="n">
        <v>132.8</v>
      </c>
      <c r="E48" s="163" t="n">
        <v>40</v>
      </c>
      <c r="F48" s="161" t="n">
        <v>102.3</v>
      </c>
      <c r="G48" s="27" t="n">
        <v>31</v>
      </c>
      <c r="H48" s="164" t="n">
        <v>336</v>
      </c>
      <c r="I48" s="165" t="n">
        <v>170000</v>
      </c>
      <c r="J48" s="165" t="inlineStr">
        <is>
          <t>고</t>
        </is>
      </c>
      <c r="K48" s="165" t="n"/>
      <c r="L48" s="165" t="n"/>
      <c r="M48" s="166">
        <f>I48-K48</f>
        <v/>
      </c>
      <c r="N48" s="7">
        <f>IF(ISERROR(K48/I48),"",K48/I48)</f>
        <v/>
      </c>
      <c r="O48" s="162">
        <f>I48/E48</f>
        <v/>
      </c>
      <c r="P48" s="162">
        <f>K48/E48</f>
        <v/>
      </c>
      <c r="Q48" s="113" t="n">
        <v>3</v>
      </c>
      <c r="R48" s="113" t="n">
        <v>2</v>
      </c>
      <c r="S48" s="113" t="inlineStr">
        <is>
          <t>계</t>
        </is>
      </c>
      <c r="T48" s="8" t="inlineStr">
        <is>
          <t>132I</t>
        </is>
      </c>
      <c r="U48" s="13" t="n"/>
      <c r="W48" s="161">
        <f>D48</f>
        <v/>
      </c>
      <c r="X48" s="163">
        <f>E48</f>
        <v/>
      </c>
      <c r="Y48" s="159">
        <f>H48</f>
        <v/>
      </c>
      <c r="Z48" s="166">
        <f>I48</f>
        <v/>
      </c>
      <c r="AA48" s="166">
        <f>K48</f>
        <v/>
      </c>
      <c r="AB48" s="166">
        <f>M48</f>
        <v/>
      </c>
      <c r="AC48" s="7">
        <f>N48</f>
        <v/>
      </c>
      <c r="AD48" s="162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3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  <row r="49">
      <c r="A49" s="13" t="inlineStr">
        <is>
          <t>강동롯데캐슬퍼스트</t>
        </is>
      </c>
      <c r="B49" s="16" t="inlineStr">
        <is>
          <t>'08.09.</t>
        </is>
      </c>
      <c r="C49" s="164" t="n">
        <v>3226</v>
      </c>
      <c r="D49" s="161" t="n">
        <v>134.6</v>
      </c>
      <c r="E49" s="163" t="n">
        <v>41</v>
      </c>
      <c r="F49" s="161" t="n">
        <v>103</v>
      </c>
      <c r="G49" s="27" t="n">
        <v>31</v>
      </c>
      <c r="H49" s="164" t="n">
        <v>132</v>
      </c>
      <c r="I49" s="165" t="n">
        <v>170000</v>
      </c>
      <c r="J49" s="165" t="inlineStr">
        <is>
          <t>중</t>
        </is>
      </c>
      <c r="K49" s="165" t="n"/>
      <c r="L49" s="165" t="n"/>
      <c r="M49" s="166">
        <f>I49-K49</f>
        <v/>
      </c>
      <c r="N49" s="7">
        <f>IF(ISERROR(K49/I49),"",K49/I49)</f>
        <v/>
      </c>
      <c r="O49" s="162">
        <f>I49/E49</f>
        <v/>
      </c>
      <c r="P49" s="162">
        <f>K49/E49</f>
        <v/>
      </c>
      <c r="Q49" s="113" t="n">
        <v>3</v>
      </c>
      <c r="R49" s="113" t="n">
        <v>2</v>
      </c>
      <c r="S49" s="113" t="inlineStr">
        <is>
          <t>계</t>
        </is>
      </c>
      <c r="T49" s="8" t="inlineStr">
        <is>
          <t>134A</t>
        </is>
      </c>
      <c r="U49" s="13" t="n"/>
      <c r="W49" s="161">
        <f>D49</f>
        <v/>
      </c>
      <c r="X49" s="163">
        <f>E49</f>
        <v/>
      </c>
      <c r="Y49" s="159">
        <f>H49</f>
        <v/>
      </c>
      <c r="Z49" s="166">
        <f>I49</f>
        <v/>
      </c>
      <c r="AA49" s="166">
        <f>K49</f>
        <v/>
      </c>
      <c r="AB49" s="166">
        <f>M49</f>
        <v/>
      </c>
      <c r="AC49" s="7">
        <f>N49</f>
        <v/>
      </c>
      <c r="AD49" s="162">
        <f>O49</f>
        <v/>
      </c>
      <c r="AE49" s="113">
        <f>S49</f>
        <v/>
      </c>
      <c r="AF49" s="113">
        <f>Q49&amp;"/"&amp;R49</f>
        <v/>
      </c>
      <c r="AH49" s="36">
        <f>IF(A49="","",A49)</f>
        <v/>
      </c>
      <c r="AI49" s="163">
        <f>IF(E49="","",E49)</f>
        <v/>
      </c>
      <c r="AJ49" s="113">
        <f>IF(AI49="","",$AJ$2)</f>
        <v/>
      </c>
      <c r="AK49" s="113" t="inlineStr">
        <is>
          <t>A</t>
        </is>
      </c>
      <c r="AL49" s="113" t="inlineStr">
        <is>
          <t>A+</t>
        </is>
      </c>
      <c r="AM49" s="113" t="inlineStr">
        <is>
          <t>B+</t>
        </is>
      </c>
      <c r="AN49" s="113">
        <f>IF(AI49="","",$AN$2)</f>
        <v/>
      </c>
      <c r="AO49" s="113">
        <f>IF(N49="","",IF(N49&gt;=$AO$1/100,"O","X"))</f>
        <v/>
      </c>
      <c r="AP49" s="113">
        <f>IF(I49="","",IF(I49&lt;=$AP$1,"O","X"))</f>
        <v/>
      </c>
      <c r="AQ49" s="113">
        <f>IF(O49="","",IF(O49&lt;=$AQ$1,"O","X"))</f>
        <v/>
      </c>
      <c r="AR49" s="113">
        <f>IF(M49="","",IF(M49&lt;=$AR$1,"O","X"))</f>
        <v/>
      </c>
      <c r="AS49" s="113" t="inlineStr">
        <is>
          <t>X</t>
        </is>
      </c>
      <c r="AT49" s="113">
        <f>IF(OR(F49="",AI49=""),"",IF(AND((F49&lt;=85),(AI49&gt;=15)),"O","X"))</f>
        <v/>
      </c>
      <c r="AU49" s="113">
        <f>IF(C49="","",IF(C49&gt;=$AU$1,"O","X"))</f>
        <v/>
      </c>
      <c r="AV49" s="113">
        <f>IF(AO49="","",IF(AND(AO49="O",AP49="O",AR49="O",AT49="O",AU49="O"),"후보","X"))</f>
        <v/>
      </c>
    </row>
    <row r="50">
      <c r="A50" s="13" t="inlineStr">
        <is>
          <t>강동롯데캐슬퍼스트</t>
        </is>
      </c>
      <c r="B50" s="16" t="inlineStr">
        <is>
          <t>'08.09.</t>
        </is>
      </c>
      <c r="C50" s="164" t="n">
        <v>3226</v>
      </c>
      <c r="D50" s="161" t="n">
        <v>145.5</v>
      </c>
      <c r="E50" s="163" t="n">
        <v>44</v>
      </c>
      <c r="F50" s="161" t="n">
        <v>111.2</v>
      </c>
      <c r="G50" s="27" t="n">
        <v>34</v>
      </c>
      <c r="H50" s="164" t="n">
        <v>419</v>
      </c>
      <c r="I50" s="165" t="n">
        <v>183000</v>
      </c>
      <c r="J50" s="165" t="inlineStr">
        <is>
          <t>21</t>
        </is>
      </c>
      <c r="K50" s="165" t="n">
        <v>100000</v>
      </c>
      <c r="L50" s="165" t="inlineStr">
        <is>
          <t>22</t>
        </is>
      </c>
      <c r="M50" s="166">
        <f>I50-K50</f>
        <v/>
      </c>
      <c r="N50" s="7">
        <f>IF(ISERROR(K50/I50),"",K50/I50)</f>
        <v/>
      </c>
      <c r="O50" s="162">
        <f>I50/E50</f>
        <v/>
      </c>
      <c r="P50" s="162">
        <f>K50/E50</f>
        <v/>
      </c>
      <c r="Q50" s="113" t="n">
        <v>4</v>
      </c>
      <c r="R50" s="113" t="n">
        <v>2</v>
      </c>
      <c r="S50" s="113" t="inlineStr">
        <is>
          <t>계</t>
        </is>
      </c>
      <c r="T50" s="8" t="inlineStr">
        <is>
          <t>145A</t>
        </is>
      </c>
      <c r="U50" s="13" t="n"/>
      <c r="W50" s="161">
        <f>D50</f>
        <v/>
      </c>
      <c r="X50" s="163">
        <f>E50</f>
        <v/>
      </c>
      <c r="Y50" s="159">
        <f>H50</f>
        <v/>
      </c>
      <c r="Z50" s="166">
        <f>I50</f>
        <v/>
      </c>
      <c r="AA50" s="166">
        <f>K50</f>
        <v/>
      </c>
      <c r="AB50" s="166">
        <f>M50</f>
        <v/>
      </c>
      <c r="AC50" s="7">
        <f>N50</f>
        <v/>
      </c>
      <c r="AD50" s="162">
        <f>O50</f>
        <v/>
      </c>
      <c r="AE50" s="113">
        <f>S50</f>
        <v/>
      </c>
      <c r="AF50" s="113">
        <f>Q50&amp;"/"&amp;R50</f>
        <v/>
      </c>
      <c r="AH50" s="36">
        <f>IF(A50="","",A50)</f>
        <v/>
      </c>
      <c r="AI50" s="163">
        <f>IF(E50="","",E50)</f>
        <v/>
      </c>
      <c r="AJ50" s="113">
        <f>IF(AI50="","",$AJ$2)</f>
        <v/>
      </c>
      <c r="AK50" s="113" t="inlineStr">
        <is>
          <t>A</t>
        </is>
      </c>
      <c r="AL50" s="113" t="inlineStr">
        <is>
          <t>A+</t>
        </is>
      </c>
      <c r="AM50" s="113" t="inlineStr">
        <is>
          <t>B+</t>
        </is>
      </c>
      <c r="AN50" s="113">
        <f>IF(AI50="","",$AN$2)</f>
        <v/>
      </c>
      <c r="AO50" s="113">
        <f>IF(N50="","",IF(N50&gt;=$AO$1/100,"O","X"))</f>
        <v/>
      </c>
      <c r="AP50" s="113">
        <f>IF(I50="","",IF(I50&lt;=$AP$1,"O","X"))</f>
        <v/>
      </c>
      <c r="AQ50" s="113">
        <f>IF(O50="","",IF(O50&lt;=$AQ$1,"O","X"))</f>
        <v/>
      </c>
      <c r="AR50" s="113">
        <f>IF(M50="","",IF(M50&lt;=$AR$1,"O","X"))</f>
        <v/>
      </c>
      <c r="AS50" s="113" t="inlineStr">
        <is>
          <t>X</t>
        </is>
      </c>
      <c r="AT50" s="113">
        <f>IF(OR(F50="",AI50=""),"",IF(AND((F50&lt;=85),(AI50&gt;=15)),"O","X"))</f>
        <v/>
      </c>
      <c r="AU50" s="113">
        <f>IF(C50="","",IF(C50&gt;=$AU$1,"O","X"))</f>
        <v/>
      </c>
      <c r="AV50" s="113">
        <f>IF(AO50="","",IF(AND(AO50="O",AP50="O",AR50="O",AT50="O",AU50="O"),"후보","X"))</f>
        <v/>
      </c>
    </row>
    <row r="51">
      <c r="A51" s="13" t="inlineStr">
        <is>
          <t>강동롯데캐슬퍼스트</t>
        </is>
      </c>
      <c r="B51" s="16" t="inlineStr">
        <is>
          <t>'08.09.</t>
        </is>
      </c>
      <c r="C51" s="164" t="n">
        <v>3226</v>
      </c>
      <c r="D51" s="161" t="n">
        <v>145.8</v>
      </c>
      <c r="E51" s="163" t="n">
        <v>44</v>
      </c>
      <c r="F51" s="161" t="n">
        <v>112.1</v>
      </c>
      <c r="G51" s="27" t="n">
        <v>34</v>
      </c>
      <c r="H51" s="164" t="n">
        <v>398</v>
      </c>
      <c r="I51" s="165" t="n">
        <v>178000</v>
      </c>
      <c r="J51" s="165" t="inlineStr">
        <is>
          <t>고</t>
        </is>
      </c>
      <c r="K51" s="165" t="n">
        <v>100000</v>
      </c>
      <c r="L51" s="165" t="inlineStr">
        <is>
          <t>고</t>
        </is>
      </c>
      <c r="M51" s="166">
        <f>I51-K51</f>
        <v/>
      </c>
      <c r="N51" s="7">
        <f>IF(ISERROR(K51/I51),"",K51/I51)</f>
        <v/>
      </c>
      <c r="O51" s="162">
        <f>I51/E51</f>
        <v/>
      </c>
      <c r="P51" s="162">
        <f>K51/E51</f>
        <v/>
      </c>
      <c r="Q51" s="113" t="n">
        <v>4</v>
      </c>
      <c r="R51" s="113" t="n">
        <v>2</v>
      </c>
      <c r="S51" s="113" t="inlineStr">
        <is>
          <t>계</t>
        </is>
      </c>
      <c r="T51" s="8" t="inlineStr">
        <is>
          <t>145I</t>
        </is>
      </c>
      <c r="U51" s="13" t="n"/>
      <c r="W51" s="161">
        <f>D51</f>
        <v/>
      </c>
      <c r="X51" s="163">
        <f>E51</f>
        <v/>
      </c>
      <c r="Y51" s="159">
        <f>H51</f>
        <v/>
      </c>
      <c r="Z51" s="166">
        <f>I51</f>
        <v/>
      </c>
      <c r="AA51" s="166">
        <f>K51</f>
        <v/>
      </c>
      <c r="AB51" s="166">
        <f>M51</f>
        <v/>
      </c>
      <c r="AC51" s="7">
        <f>N51</f>
        <v/>
      </c>
      <c r="AD51" s="162">
        <f>O51</f>
        <v/>
      </c>
      <c r="AE51" s="113">
        <f>S51</f>
        <v/>
      </c>
      <c r="AF51" s="113">
        <f>Q51&amp;"/"&amp;R51</f>
        <v/>
      </c>
      <c r="AH51" s="36">
        <f>IF(A51="","",A51)</f>
        <v/>
      </c>
      <c r="AI51" s="163">
        <f>IF(E51="","",E51)</f>
        <v/>
      </c>
      <c r="AJ51" s="113">
        <f>IF(AI51="","",$AJ$2)</f>
        <v/>
      </c>
      <c r="AK51" s="113" t="inlineStr">
        <is>
          <t>A</t>
        </is>
      </c>
      <c r="AL51" s="113" t="inlineStr">
        <is>
          <t>A+</t>
        </is>
      </c>
      <c r="AM51" s="113" t="inlineStr">
        <is>
          <t>B+</t>
        </is>
      </c>
      <c r="AN51" s="113">
        <f>IF(AI51="","",$AN$2)</f>
        <v/>
      </c>
      <c r="AO51" s="113">
        <f>IF(N51="","",IF(N51&gt;=$AO$1/100,"O","X"))</f>
        <v/>
      </c>
      <c r="AP51" s="113">
        <f>IF(I51="","",IF(I51&lt;=$AP$1,"O","X"))</f>
        <v/>
      </c>
      <c r="AQ51" s="113">
        <f>IF(O51="","",IF(O51&lt;=$AQ$1,"O","X"))</f>
        <v/>
      </c>
      <c r="AR51" s="113">
        <f>IF(M51="","",IF(M51&lt;=$AR$1,"O","X"))</f>
        <v/>
      </c>
      <c r="AS51" s="113" t="inlineStr">
        <is>
          <t>X</t>
        </is>
      </c>
      <c r="AT51" s="113">
        <f>IF(OR(F51="",AI51=""),"",IF(AND((F51&lt;=85),(AI51&gt;=15)),"O","X"))</f>
        <v/>
      </c>
      <c r="AU51" s="113">
        <f>IF(C51="","",IF(C51&gt;=$AU$1,"O","X"))</f>
        <v/>
      </c>
      <c r="AV51" s="113">
        <f>IF(AO51="","",IF(AND(AO51="O",AP51="O",AR51="O",AT51="O",AU51="O"),"후보","X"))</f>
        <v/>
      </c>
    </row>
    <row r="52">
      <c r="A52" s="13" t="inlineStr">
        <is>
          <t>강동롯데캐슬퍼스트</t>
        </is>
      </c>
      <c r="B52" s="16" t="inlineStr">
        <is>
          <t>'08.09.</t>
        </is>
      </c>
      <c r="C52" s="164" t="n">
        <v>3226</v>
      </c>
      <c r="D52" s="161" t="n">
        <v>169.2</v>
      </c>
      <c r="E52" s="163" t="n">
        <v>51</v>
      </c>
      <c r="F52" s="161" t="n">
        <v>134</v>
      </c>
      <c r="G52" s="27" t="n">
        <v>41</v>
      </c>
      <c r="H52" s="164" t="n">
        <v>159</v>
      </c>
      <c r="I52" s="165" t="n">
        <v>210000</v>
      </c>
      <c r="J52" s="165" t="inlineStr">
        <is>
          <t>중</t>
        </is>
      </c>
      <c r="K52" s="165" t="n">
        <v>115000</v>
      </c>
      <c r="L52" s="165" t="inlineStr">
        <is>
          <t>중</t>
        </is>
      </c>
      <c r="M52" s="166">
        <f>I52-K52</f>
        <v/>
      </c>
      <c r="N52" s="7">
        <f>IF(ISERROR(K52/I52),"",K52/I52)</f>
        <v/>
      </c>
      <c r="O52" s="162">
        <f>I52/E52</f>
        <v/>
      </c>
      <c r="P52" s="162">
        <f>K52/E52</f>
        <v/>
      </c>
      <c r="Q52" s="113" t="n">
        <v>4</v>
      </c>
      <c r="R52" s="113" t="n">
        <v>2</v>
      </c>
      <c r="S52" s="113" t="inlineStr">
        <is>
          <t>계</t>
        </is>
      </c>
      <c r="T52" s="8" t="inlineStr">
        <is>
          <t>169I</t>
        </is>
      </c>
      <c r="U52" s="13" t="n"/>
      <c r="W52" s="161">
        <f>D52</f>
        <v/>
      </c>
      <c r="X52" s="163">
        <f>E52</f>
        <v/>
      </c>
      <c r="Y52" s="159">
        <f>H52</f>
        <v/>
      </c>
      <c r="Z52" s="166">
        <f>I52</f>
        <v/>
      </c>
      <c r="AA52" s="166">
        <f>K52</f>
        <v/>
      </c>
      <c r="AB52" s="166">
        <f>M52</f>
        <v/>
      </c>
      <c r="AC52" s="7">
        <f>N52</f>
        <v/>
      </c>
      <c r="AD52" s="162">
        <f>O52</f>
        <v/>
      </c>
      <c r="AE52" s="113">
        <f>S52</f>
        <v/>
      </c>
      <c r="AF52" s="113">
        <f>Q52&amp;"/"&amp;R52</f>
        <v/>
      </c>
      <c r="AH52" s="36">
        <f>IF(A52="","",A52)</f>
        <v/>
      </c>
      <c r="AI52" s="163">
        <f>IF(E52="","",E52)</f>
        <v/>
      </c>
      <c r="AJ52" s="113">
        <f>IF(AI52="","",$AJ$2)</f>
        <v/>
      </c>
      <c r="AK52" s="113" t="inlineStr">
        <is>
          <t>A</t>
        </is>
      </c>
      <c r="AL52" s="113" t="inlineStr">
        <is>
          <t>A+</t>
        </is>
      </c>
      <c r="AM52" s="113" t="inlineStr">
        <is>
          <t>B+</t>
        </is>
      </c>
      <c r="AN52" s="113">
        <f>IF(AI52="","",$AN$2)</f>
        <v/>
      </c>
      <c r="AO52" s="113">
        <f>IF(N52="","",IF(N52&gt;=$AO$1/100,"O","X"))</f>
        <v/>
      </c>
      <c r="AP52" s="113">
        <f>IF(I52="","",IF(I52&lt;=$AP$1,"O","X"))</f>
        <v/>
      </c>
      <c r="AQ52" s="113">
        <f>IF(O52="","",IF(O52&lt;=$AQ$1,"O","X"))</f>
        <v/>
      </c>
      <c r="AR52" s="113">
        <f>IF(M52="","",IF(M52&lt;=$AR$1,"O","X"))</f>
        <v/>
      </c>
      <c r="AS52" s="113" t="inlineStr">
        <is>
          <t>X</t>
        </is>
      </c>
      <c r="AT52" s="113">
        <f>IF(OR(F52="",AI52=""),"",IF(AND((F52&lt;=85),(AI52&gt;=15)),"O","X"))</f>
        <v/>
      </c>
      <c r="AU52" s="113">
        <f>IF(C52="","",IF(C52&gt;=$AU$1,"O","X"))</f>
        <v/>
      </c>
      <c r="AV52" s="113">
        <f>IF(AO52="","",IF(AND(AO52="O",AP52="O",AR52="O",AT52="O",AU52="O"),"후보","X"))</f>
        <v/>
      </c>
    </row>
    <row r="53">
      <c r="A53" s="13" t="inlineStr">
        <is>
          <t>강동롯데캐슬퍼스트</t>
        </is>
      </c>
      <c r="B53" s="16" t="inlineStr">
        <is>
          <t>'08.09.</t>
        </is>
      </c>
      <c r="C53" s="164" t="n">
        <v>3226</v>
      </c>
      <c r="D53" s="161" t="n">
        <v>198.5</v>
      </c>
      <c r="E53" s="163" t="n">
        <v>60</v>
      </c>
      <c r="F53" s="161" t="n">
        <v>160.6</v>
      </c>
      <c r="G53" s="27" t="n">
        <v>49</v>
      </c>
      <c r="H53" s="164" t="n">
        <v>60</v>
      </c>
      <c r="I53" s="165" t="n">
        <v>300000</v>
      </c>
      <c r="J53" s="165" t="inlineStr">
        <is>
          <t>고</t>
        </is>
      </c>
      <c r="K53" s="165" t="n"/>
      <c r="L53" s="165" t="n"/>
      <c r="M53" s="166">
        <f>I53-K53</f>
        <v/>
      </c>
      <c r="N53" s="7">
        <f>IF(ISERROR(K53/I53),"",K53/I53)</f>
        <v/>
      </c>
      <c r="O53" s="162">
        <f>I53/E53</f>
        <v/>
      </c>
      <c r="P53" s="162">
        <f>K53/E53</f>
        <v/>
      </c>
      <c r="Q53" s="113" t="n">
        <v>4</v>
      </c>
      <c r="R53" s="113" t="n">
        <v>3</v>
      </c>
      <c r="S53" s="113" t="inlineStr">
        <is>
          <t>계</t>
        </is>
      </c>
      <c r="T53" s="8" t="inlineStr">
        <is>
          <t>198I</t>
        </is>
      </c>
      <c r="U53" s="13" t="n"/>
      <c r="W53" s="161">
        <f>D53</f>
        <v/>
      </c>
      <c r="X53" s="163">
        <f>E53</f>
        <v/>
      </c>
      <c r="Y53" s="159">
        <f>H53</f>
        <v/>
      </c>
      <c r="Z53" s="166">
        <f>I53</f>
        <v/>
      </c>
      <c r="AA53" s="166">
        <f>K53</f>
        <v/>
      </c>
      <c r="AB53" s="166">
        <f>M53</f>
        <v/>
      </c>
      <c r="AC53" s="7">
        <f>N53</f>
        <v/>
      </c>
      <c r="AD53" s="162">
        <f>O53</f>
        <v/>
      </c>
      <c r="AE53" s="113">
        <f>S53</f>
        <v/>
      </c>
      <c r="AF53" s="113">
        <f>Q53&amp;"/"&amp;R53</f>
        <v/>
      </c>
      <c r="AH53" s="36">
        <f>IF(A53="","",A53)</f>
        <v/>
      </c>
      <c r="AI53" s="163">
        <f>IF(E53="","",E53)</f>
        <v/>
      </c>
      <c r="AJ53" s="113">
        <f>IF(AI53="","",$AJ$2)</f>
        <v/>
      </c>
      <c r="AK53" s="113" t="inlineStr">
        <is>
          <t>A</t>
        </is>
      </c>
      <c r="AL53" s="113" t="inlineStr">
        <is>
          <t>A+</t>
        </is>
      </c>
      <c r="AM53" s="113" t="inlineStr">
        <is>
          <t>B+</t>
        </is>
      </c>
      <c r="AN53" s="113">
        <f>IF(AI53="","",$AN$2)</f>
        <v/>
      </c>
      <c r="AO53" s="113">
        <f>IF(N53="","",IF(N53&gt;=$AO$1/100,"O","X"))</f>
        <v/>
      </c>
      <c r="AP53" s="113">
        <f>IF(I53="","",IF(I53&lt;=$AP$1,"O","X"))</f>
        <v/>
      </c>
      <c r="AQ53" s="113">
        <f>IF(O53="","",IF(O53&lt;=$AQ$1,"O","X"))</f>
        <v/>
      </c>
      <c r="AR53" s="113">
        <f>IF(M53="","",IF(M53&lt;=$AR$1,"O","X"))</f>
        <v/>
      </c>
      <c r="AS53" s="113" t="inlineStr">
        <is>
          <t>X</t>
        </is>
      </c>
      <c r="AT53" s="113">
        <f>IF(OR(F53="",AI53=""),"",IF(AND((F53&lt;=85),(AI53&gt;=15)),"O","X"))</f>
        <v/>
      </c>
      <c r="AU53" s="113">
        <f>IF(C53="","",IF(C53&gt;=$AU$1,"O","X"))</f>
        <v/>
      </c>
      <c r="AV53" s="113">
        <f>IF(AO53="","",IF(AND(AO53="O",AP53="O",AR53="O",AT53="O",AU53="O"),"후보","X"))</f>
        <v/>
      </c>
    </row>
    <row r="54">
      <c r="A54" s="13" t="n"/>
      <c r="B54" s="113" t="n"/>
      <c r="C54" s="10" t="n"/>
      <c r="D54" s="13" t="n"/>
      <c r="E54" s="20" t="n"/>
      <c r="F54" s="161" t="n"/>
      <c r="G54" s="13" t="n"/>
      <c r="H54" s="13" t="n"/>
      <c r="I54" s="13" t="n"/>
      <c r="J54" s="13" t="n"/>
      <c r="K54" s="13" t="n"/>
      <c r="L54" s="13" t="n"/>
      <c r="M54" s="13" t="n"/>
      <c r="N54" s="13" t="n"/>
      <c r="O54" s="162" t="n"/>
      <c r="P54" s="162" t="n"/>
      <c r="Q54" s="163" t="n"/>
      <c r="R54" s="163" t="n"/>
      <c r="S54" s="13" t="n"/>
      <c r="T54" s="70" t="n"/>
      <c r="U54" s="13" t="n"/>
      <c r="W54" s="107">
        <f>$A$4&amp;" "&amp;A55&amp;"("&amp;B55&amp;","&amp;C55&amp;"^)"</f>
        <v/>
      </c>
      <c r="X54" s="108" t="n"/>
      <c r="Y54" s="108" t="n"/>
      <c r="Z54" s="108" t="n"/>
      <c r="AA54" s="108" t="n"/>
      <c r="AB54" s="108" t="n"/>
      <c r="AC54" s="108" t="n"/>
      <c r="AD54" s="108" t="n"/>
      <c r="AE54" s="108" t="n"/>
      <c r="AF54" s="109" t="n"/>
      <c r="AH54" s="36">
        <f>IF(A54="","",A54)</f>
        <v/>
      </c>
      <c r="AI54" s="160">
        <f>IF(E54="","",E54)</f>
        <v/>
      </c>
      <c r="AJ54" s="113" t="n"/>
      <c r="AK54" s="113" t="n"/>
      <c r="AL54" s="113" t="n"/>
      <c r="AM54" s="113" t="n"/>
      <c r="AN54" s="113" t="n"/>
      <c r="AO54" s="113" t="n"/>
      <c r="AP54" s="113" t="n"/>
      <c r="AQ54" s="113" t="n"/>
      <c r="AR54" s="113" t="n"/>
      <c r="AS54" s="113" t="n"/>
      <c r="AT54" s="113" t="n"/>
      <c r="AU54" s="113" t="n"/>
      <c r="AV54" s="113" t="n"/>
    </row>
    <row r="55">
      <c r="A55" s="13" t="inlineStr">
        <is>
          <t>한강현대</t>
        </is>
      </c>
      <c r="B55" s="16" t="inlineStr">
        <is>
          <t>'99.05.</t>
        </is>
      </c>
      <c r="C55" s="164" t="n">
        <v>417</v>
      </c>
      <c r="D55" s="161" t="n">
        <v>78.7</v>
      </c>
      <c r="E55" s="163" t="n">
        <v>24</v>
      </c>
      <c r="F55" s="161" t="n">
        <v>59.9</v>
      </c>
      <c r="G55" s="27" t="n">
        <v>18</v>
      </c>
      <c r="H55" s="164" t="n">
        <v>168</v>
      </c>
      <c r="I55" s="165" t="n">
        <v>99000</v>
      </c>
      <c r="J55" s="165" t="inlineStr">
        <is>
          <t>고</t>
        </is>
      </c>
      <c r="K55" s="165" t="n"/>
      <c r="L55" s="165" t="n"/>
      <c r="M55" s="166">
        <f>I55-K55</f>
        <v/>
      </c>
      <c r="N55" s="7">
        <f>IF(ISERROR(K55/I55),"",K55/I55)</f>
        <v/>
      </c>
      <c r="O55" s="162">
        <f>I55/E55</f>
        <v/>
      </c>
      <c r="P55" s="162">
        <f>K55/E55</f>
        <v/>
      </c>
      <c r="Q55" s="113" t="n">
        <v>3</v>
      </c>
      <c r="R55" s="113" t="n">
        <v>1</v>
      </c>
      <c r="S55" s="113" t="inlineStr">
        <is>
          <t>계</t>
        </is>
      </c>
      <c r="T55" s="8" t="n">
        <v>78</v>
      </c>
      <c r="U55" s="13" t="n"/>
      <c r="W55" s="161">
        <f>D55</f>
        <v/>
      </c>
      <c r="X55" s="163">
        <f>E55</f>
        <v/>
      </c>
      <c r="Y55" s="159">
        <f>H55</f>
        <v/>
      </c>
      <c r="Z55" s="166">
        <f>I55</f>
        <v/>
      </c>
      <c r="AA55" s="166">
        <f>K55</f>
        <v/>
      </c>
      <c r="AB55" s="166">
        <f>M55</f>
        <v/>
      </c>
      <c r="AC55" s="7">
        <f>N55</f>
        <v/>
      </c>
      <c r="AD55" s="162">
        <f>O55</f>
        <v/>
      </c>
      <c r="AE55" s="113">
        <f>S55</f>
        <v/>
      </c>
      <c r="AF55" s="113">
        <f>Q55&amp;"/"&amp;R55</f>
        <v/>
      </c>
      <c r="AH55" s="36">
        <f>IF(A55="","",A55)</f>
        <v/>
      </c>
      <c r="AI55" s="163">
        <f>IF(E55="","",E55)</f>
        <v/>
      </c>
      <c r="AJ55" s="113">
        <f>IF(AI55="","",$AJ$2)</f>
        <v/>
      </c>
      <c r="AK55" s="113" t="inlineStr">
        <is>
          <t>A</t>
        </is>
      </c>
      <c r="AL55" s="113" t="inlineStr">
        <is>
          <t>A+</t>
        </is>
      </c>
      <c r="AM55" s="113" t="inlineStr">
        <is>
          <t>B+</t>
        </is>
      </c>
      <c r="AN55" s="113">
        <f>IF(AI55="","",$AN$2)</f>
        <v/>
      </c>
      <c r="AO55" s="113">
        <f>IF(N55="","",IF(N55&gt;=$AO$1/100,"O","X"))</f>
        <v/>
      </c>
      <c r="AP55" s="113">
        <f>IF(I55="","",IF(I55&lt;=$AP$1,"O","X"))</f>
        <v/>
      </c>
      <c r="AQ55" s="113">
        <f>IF(O55="","",IF(O55&lt;=$AQ$1,"O","X"))</f>
        <v/>
      </c>
      <c r="AR55" s="113">
        <f>IF(M55="","",IF(M55&lt;=$AR$1,"O","X"))</f>
        <v/>
      </c>
      <c r="AS55" s="113" t="inlineStr">
        <is>
          <t>X</t>
        </is>
      </c>
      <c r="AT55" s="113">
        <f>IF(OR(F55="",AI55=""),"",IF(AND((F55&lt;=85),(AI55&gt;=15)),"O","X"))</f>
        <v/>
      </c>
      <c r="AU55" s="113">
        <f>IF(C55="","",IF(C55&gt;=$AU$1,"O","X"))</f>
        <v/>
      </c>
      <c r="AV55" s="113">
        <f>IF(AO55="","",IF(AND(AO55="O",AP55="O",AR55="O",AT55="O",AU55="O"),"후보","X"))</f>
        <v/>
      </c>
    </row>
    <row r="56">
      <c r="A56" s="13" t="inlineStr">
        <is>
          <t>한강현대</t>
        </is>
      </c>
      <c r="B56" s="16" t="inlineStr">
        <is>
          <t>'99.05.</t>
        </is>
      </c>
      <c r="C56" s="164" t="n">
        <v>417</v>
      </c>
      <c r="D56" s="161" t="n">
        <v>94.40000000000001</v>
      </c>
      <c r="E56" s="163" t="n">
        <v>29</v>
      </c>
      <c r="F56" s="161" t="n">
        <v>71.90000000000001</v>
      </c>
      <c r="G56" s="27" t="n">
        <v>22</v>
      </c>
      <c r="H56" s="164" t="n">
        <v>54</v>
      </c>
      <c r="I56" s="165" t="n"/>
      <c r="J56" s="165" t="n"/>
      <c r="K56" s="165" t="n"/>
      <c r="L56" s="165" t="n"/>
      <c r="M56" s="166">
        <f>I56-K56</f>
        <v/>
      </c>
      <c r="N56" s="7">
        <f>IF(ISERROR(K56/I56),"",K56/I56)</f>
        <v/>
      </c>
      <c r="O56" s="162">
        <f>I56/E56</f>
        <v/>
      </c>
      <c r="P56" s="162">
        <f>K56/E56</f>
        <v/>
      </c>
      <c r="Q56" s="113" t="n">
        <v>3</v>
      </c>
      <c r="R56" s="113" t="n">
        <v>1</v>
      </c>
      <c r="S56" s="113" t="inlineStr">
        <is>
          <t>계</t>
        </is>
      </c>
      <c r="T56" s="8" t="n">
        <v>94</v>
      </c>
      <c r="U56" s="13" t="n"/>
      <c r="W56" s="161">
        <f>D56</f>
        <v/>
      </c>
      <c r="X56" s="163">
        <f>E56</f>
        <v/>
      </c>
      <c r="Y56" s="159">
        <f>H56</f>
        <v/>
      </c>
      <c r="Z56" s="166">
        <f>I56</f>
        <v/>
      </c>
      <c r="AA56" s="166">
        <f>K56</f>
        <v/>
      </c>
      <c r="AB56" s="166">
        <f>M56</f>
        <v/>
      </c>
      <c r="AC56" s="7">
        <f>N56</f>
        <v/>
      </c>
      <c r="AD56" s="162">
        <f>O56</f>
        <v/>
      </c>
      <c r="AE56" s="113">
        <f>S56</f>
        <v/>
      </c>
      <c r="AF56" s="113">
        <f>Q56&amp;"/"&amp;R56</f>
        <v/>
      </c>
      <c r="AH56" s="36">
        <f>IF(A56="","",A56)</f>
        <v/>
      </c>
      <c r="AI56" s="163">
        <f>IF(E56="","",E56)</f>
        <v/>
      </c>
      <c r="AJ56" s="113">
        <f>IF(AI56="","",$AJ$2)</f>
        <v/>
      </c>
      <c r="AK56" s="113" t="inlineStr">
        <is>
          <t>A</t>
        </is>
      </c>
      <c r="AL56" s="113" t="inlineStr">
        <is>
          <t>A+</t>
        </is>
      </c>
      <c r="AM56" s="113" t="inlineStr">
        <is>
          <t>B+</t>
        </is>
      </c>
      <c r="AN56" s="113">
        <f>IF(AI56="","",$AN$2)</f>
        <v/>
      </c>
      <c r="AO56" s="113">
        <f>IF(N56="","",IF(N56&gt;=$AO$1/100,"O","X"))</f>
        <v/>
      </c>
      <c r="AP56" s="113">
        <f>IF(I56="","",IF(I56&lt;=$AP$1,"O","X"))</f>
        <v/>
      </c>
      <c r="AQ56" s="113">
        <f>IF(O56="","",IF(O56&lt;=$AQ$1,"O","X"))</f>
        <v/>
      </c>
      <c r="AR56" s="113">
        <f>IF(M56="","",IF(M56&lt;=$AR$1,"O","X"))</f>
        <v/>
      </c>
      <c r="AS56" s="113" t="inlineStr">
        <is>
          <t>X</t>
        </is>
      </c>
      <c r="AT56" s="113">
        <f>IF(OR(F56="",AI56=""),"",IF(AND((F56&lt;=85),(AI56&gt;=15)),"O","X"))</f>
        <v/>
      </c>
      <c r="AU56" s="113">
        <f>IF(C56="","",IF(C56&gt;=$AU$1,"O","X"))</f>
        <v/>
      </c>
      <c r="AV56" s="113">
        <f>IF(AO56="","",IF(AND(AO56="O",AP56="O",AR56="O",AT56="O",AU56="O"),"후보","X"))</f>
        <v/>
      </c>
    </row>
    <row r="57">
      <c r="A57" s="13" t="inlineStr">
        <is>
          <t>한강현대</t>
        </is>
      </c>
      <c r="B57" s="16" t="inlineStr">
        <is>
          <t>'99.05.</t>
        </is>
      </c>
      <c r="C57" s="164" t="n">
        <v>417</v>
      </c>
      <c r="D57" s="161" t="n">
        <v>111.5</v>
      </c>
      <c r="E57" s="163" t="n">
        <v>34</v>
      </c>
      <c r="F57" s="161" t="n">
        <v>84.90000000000001</v>
      </c>
      <c r="G57" s="27" t="n">
        <v>26</v>
      </c>
      <c r="H57" s="164" t="n">
        <v>108</v>
      </c>
      <c r="I57" s="165" t="n">
        <v>130000</v>
      </c>
      <c r="J57" s="165" t="inlineStr">
        <is>
          <t>고</t>
        </is>
      </c>
      <c r="K57" s="165" t="n"/>
      <c r="L57" s="165" t="n"/>
      <c r="M57" s="166">
        <f>I57-K57</f>
        <v/>
      </c>
      <c r="N57" s="7">
        <f>IF(ISERROR(K57/I57),"",K57/I57)</f>
        <v/>
      </c>
      <c r="O57" s="162">
        <f>I57/E57</f>
        <v/>
      </c>
      <c r="P57" s="162">
        <f>K57/E57</f>
        <v/>
      </c>
      <c r="Q57" s="113" t="n">
        <v>3</v>
      </c>
      <c r="R57" s="113" t="n">
        <v>2</v>
      </c>
      <c r="S57" s="113" t="inlineStr">
        <is>
          <t>계</t>
        </is>
      </c>
      <c r="T57" s="8" t="n">
        <v>111</v>
      </c>
      <c r="U57" s="13" t="n"/>
      <c r="W57" s="161">
        <f>D57</f>
        <v/>
      </c>
      <c r="X57" s="163">
        <f>E57</f>
        <v/>
      </c>
      <c r="Y57" s="159">
        <f>H57</f>
        <v/>
      </c>
      <c r="Z57" s="166">
        <f>I57</f>
        <v/>
      </c>
      <c r="AA57" s="166">
        <f>K57</f>
        <v/>
      </c>
      <c r="AB57" s="166">
        <f>M57</f>
        <v/>
      </c>
      <c r="AC57" s="7">
        <f>N57</f>
        <v/>
      </c>
      <c r="AD57" s="162">
        <f>O57</f>
        <v/>
      </c>
      <c r="AE57" s="113">
        <f>S57</f>
        <v/>
      </c>
      <c r="AF57" s="113">
        <f>Q57&amp;"/"&amp;R57</f>
        <v/>
      </c>
      <c r="AH57" s="36">
        <f>IF(A57="","",A57)</f>
        <v/>
      </c>
      <c r="AI57" s="163">
        <f>IF(E57="","",E57)</f>
        <v/>
      </c>
      <c r="AJ57" s="113">
        <f>IF(AI57="","",$AJ$2)</f>
        <v/>
      </c>
      <c r="AK57" s="113" t="inlineStr">
        <is>
          <t>A</t>
        </is>
      </c>
      <c r="AL57" s="113" t="inlineStr">
        <is>
          <t>A+</t>
        </is>
      </c>
      <c r="AM57" s="113" t="inlineStr">
        <is>
          <t>B+</t>
        </is>
      </c>
      <c r="AN57" s="113">
        <f>IF(AI57="","",$AN$2)</f>
        <v/>
      </c>
      <c r="AO57" s="113">
        <f>IF(N57="","",IF(N57&gt;=$AO$1/100,"O","X"))</f>
        <v/>
      </c>
      <c r="AP57" s="113">
        <f>IF(I57="","",IF(I57&lt;=$AP$1,"O","X"))</f>
        <v/>
      </c>
      <c r="AQ57" s="113">
        <f>IF(O57="","",IF(O57&lt;=$AQ$1,"O","X"))</f>
        <v/>
      </c>
      <c r="AR57" s="113">
        <f>IF(M57="","",IF(M57&lt;=$AR$1,"O","X"))</f>
        <v/>
      </c>
      <c r="AS57" s="113" t="inlineStr">
        <is>
          <t>X</t>
        </is>
      </c>
      <c r="AT57" s="113">
        <f>IF(OR(F57="",AI57=""),"",IF(AND((F57&lt;=85),(AI57&gt;=15)),"O","X"))</f>
        <v/>
      </c>
      <c r="AU57" s="113">
        <f>IF(C57="","",IF(C57&gt;=$AU$1,"O","X"))</f>
        <v/>
      </c>
      <c r="AV57" s="113">
        <f>IF(AO57="","",IF(AND(AO57="O",AP57="O",AR57="O",AT57="O",AU57="O"),"후보","X"))</f>
        <v/>
      </c>
    </row>
    <row r="58">
      <c r="A58" s="13" t="inlineStr">
        <is>
          <t>한강현대</t>
        </is>
      </c>
      <c r="B58" s="16" t="inlineStr">
        <is>
          <t>'99.05.</t>
        </is>
      </c>
      <c r="C58" s="164" t="n">
        <v>417</v>
      </c>
      <c r="D58" s="161" t="n">
        <v>151</v>
      </c>
      <c r="E58" s="163" t="n">
        <v>46</v>
      </c>
      <c r="F58" s="161" t="n">
        <v>115</v>
      </c>
      <c r="G58" s="27" t="n">
        <v>35</v>
      </c>
      <c r="H58" s="164" t="n">
        <v>87</v>
      </c>
      <c r="I58" s="165" t="n">
        <v>160000</v>
      </c>
      <c r="J58" s="165" t="inlineStr">
        <is>
          <t>고</t>
        </is>
      </c>
      <c r="K58" s="165" t="n">
        <v>90000</v>
      </c>
      <c r="L58" s="165" t="inlineStr">
        <is>
          <t>고</t>
        </is>
      </c>
      <c r="M58" s="166">
        <f>I58-K58</f>
        <v/>
      </c>
      <c r="N58" s="7">
        <f>IF(ISERROR(K58/I58),"",K58/I58)</f>
        <v/>
      </c>
      <c r="O58" s="162">
        <f>I58/E58</f>
        <v/>
      </c>
      <c r="P58" s="162">
        <f>K58/E58</f>
        <v/>
      </c>
      <c r="Q58" s="113" t="n">
        <v>4</v>
      </c>
      <c r="R58" s="113" t="n">
        <v>2</v>
      </c>
      <c r="S58" s="113" t="inlineStr">
        <is>
          <t>계</t>
        </is>
      </c>
      <c r="T58" s="8" t="n">
        <v>151</v>
      </c>
      <c r="U58" s="13" t="n"/>
      <c r="W58" s="161">
        <f>D58</f>
        <v/>
      </c>
      <c r="X58" s="163">
        <f>E58</f>
        <v/>
      </c>
      <c r="Y58" s="159">
        <f>H58</f>
        <v/>
      </c>
      <c r="Z58" s="166">
        <f>I58</f>
        <v/>
      </c>
      <c r="AA58" s="166">
        <f>K58</f>
        <v/>
      </c>
      <c r="AB58" s="166">
        <f>M58</f>
        <v/>
      </c>
      <c r="AC58" s="7">
        <f>N58</f>
        <v/>
      </c>
      <c r="AD58" s="162">
        <f>O58</f>
        <v/>
      </c>
      <c r="AE58" s="113">
        <f>S58</f>
        <v/>
      </c>
      <c r="AF58" s="113">
        <f>Q58&amp;"/"&amp;R58</f>
        <v/>
      </c>
      <c r="AH58" s="36">
        <f>IF(A58="","",A58)</f>
        <v/>
      </c>
      <c r="AI58" s="163">
        <f>IF(E58="","",E58)</f>
        <v/>
      </c>
      <c r="AJ58" s="113">
        <f>IF(AI58="","",$AJ$2)</f>
        <v/>
      </c>
      <c r="AK58" s="113" t="inlineStr">
        <is>
          <t>A</t>
        </is>
      </c>
      <c r="AL58" s="113" t="inlineStr">
        <is>
          <t>A+</t>
        </is>
      </c>
      <c r="AM58" s="113" t="inlineStr">
        <is>
          <t>B+</t>
        </is>
      </c>
      <c r="AN58" s="113">
        <f>IF(AI58="","",$AN$2)</f>
        <v/>
      </c>
      <c r="AO58" s="113">
        <f>IF(N58="","",IF(N58&gt;=$AO$1/100,"O","X"))</f>
        <v/>
      </c>
      <c r="AP58" s="113">
        <f>IF(I58="","",IF(I58&lt;=$AP$1,"O","X"))</f>
        <v/>
      </c>
      <c r="AQ58" s="113">
        <f>IF(O58="","",IF(O58&lt;=$AQ$1,"O","X"))</f>
        <v/>
      </c>
      <c r="AR58" s="113">
        <f>IF(M58="","",IF(M58&lt;=$AR$1,"O","X"))</f>
        <v/>
      </c>
      <c r="AS58" s="113" t="inlineStr">
        <is>
          <t>X</t>
        </is>
      </c>
      <c r="AT58" s="113">
        <f>IF(OR(F58="",AI58=""),"",IF(AND((F58&lt;=85),(AI58&gt;=15)),"O","X"))</f>
        <v/>
      </c>
      <c r="AU58" s="113">
        <f>IF(C58="","",IF(C58&gt;=$AU$1,"O","X"))</f>
        <v/>
      </c>
      <c r="AV58" s="113">
        <f>IF(AO58="","",IF(AND(AO58="O",AP58="O",AR58="O",AT58="O",AU58="O"),"후보","X"))</f>
        <v/>
      </c>
    </row>
    <row r="59">
      <c r="A59" s="13" t="n"/>
      <c r="B59" s="113" t="n"/>
      <c r="C59" s="10" t="n"/>
      <c r="D59" s="13" t="n"/>
      <c r="E59" s="20" t="n"/>
      <c r="F59" s="161" t="n"/>
      <c r="G59" s="13" t="n"/>
      <c r="H59" s="13" t="n"/>
      <c r="I59" s="13" t="n"/>
      <c r="J59" s="13" t="n"/>
      <c r="K59" s="13" t="n"/>
      <c r="L59" s="13" t="n"/>
      <c r="M59" s="13" t="n"/>
      <c r="N59" s="13" t="n"/>
      <c r="O59" s="162" t="n"/>
      <c r="P59" s="162" t="n"/>
      <c r="Q59" s="163" t="n"/>
      <c r="R59" s="163" t="n"/>
      <c r="S59" s="13" t="n"/>
      <c r="T59" s="70" t="n"/>
      <c r="U59" s="13" t="n"/>
      <c r="W59" s="107">
        <f>$A$4&amp;" "&amp;A60&amp;"("&amp;B60&amp;","&amp;C60&amp;"^)"</f>
        <v/>
      </c>
      <c r="X59" s="108" t="n"/>
      <c r="Y59" s="108" t="n"/>
      <c r="Z59" s="108" t="n"/>
      <c r="AA59" s="108" t="n"/>
      <c r="AB59" s="108" t="n"/>
      <c r="AC59" s="108" t="n"/>
      <c r="AD59" s="108" t="n"/>
      <c r="AE59" s="108" t="n"/>
      <c r="AF59" s="109" t="n"/>
      <c r="AH59" s="36">
        <f>IF(A59="","",A59)</f>
        <v/>
      </c>
      <c r="AI59" s="160">
        <f>IF(E59="","",E59)</f>
        <v/>
      </c>
      <c r="AJ59" s="113" t="n"/>
      <c r="AK59" s="113" t="n"/>
      <c r="AL59" s="113" t="n"/>
      <c r="AM59" s="113" t="n"/>
      <c r="AN59" s="113" t="n"/>
      <c r="AO59" s="113" t="n"/>
      <c r="AP59" s="113" t="n"/>
      <c r="AQ59" s="113" t="n"/>
      <c r="AR59" s="113" t="n"/>
      <c r="AS59" s="113" t="n"/>
      <c r="AT59" s="113" t="n"/>
      <c r="AU59" s="113" t="n"/>
      <c r="AV59" s="113" t="n"/>
    </row>
    <row r="60">
      <c r="A60" s="13" t="inlineStr">
        <is>
          <t>강동현대홈타운</t>
        </is>
      </c>
      <c r="B60" s="16" t="inlineStr">
        <is>
          <t>'04.08.</t>
        </is>
      </c>
      <c r="C60" s="164" t="n">
        <v>568</v>
      </c>
      <c r="D60" s="161" t="n">
        <v>84.09999999999999</v>
      </c>
      <c r="E60" s="163" t="n">
        <v>25</v>
      </c>
      <c r="F60" s="161" t="n">
        <v>60</v>
      </c>
      <c r="G60" s="27" t="n">
        <v>18</v>
      </c>
      <c r="H60" s="164" t="n">
        <v>122</v>
      </c>
      <c r="I60" s="165" t="n">
        <v>122000</v>
      </c>
      <c r="J60" s="165" t="inlineStr">
        <is>
          <t>고</t>
        </is>
      </c>
      <c r="K60" s="165" t="n"/>
      <c r="L60" s="165" t="n"/>
      <c r="M60" s="166">
        <f>I60-K60</f>
        <v/>
      </c>
      <c r="N60" s="7">
        <f>IF(ISERROR(K60/I60),"",K60/I60)</f>
        <v/>
      </c>
      <c r="O60" s="162">
        <f>I60/E60</f>
        <v/>
      </c>
      <c r="P60" s="162">
        <f>K60/E60</f>
        <v/>
      </c>
      <c r="Q60" s="113" t="n">
        <v>3</v>
      </c>
      <c r="R60" s="113" t="n">
        <v>2</v>
      </c>
      <c r="S60" s="113" t="inlineStr">
        <is>
          <t>계</t>
        </is>
      </c>
      <c r="T60" s="8" t="n">
        <v>84</v>
      </c>
      <c r="U60" s="13" t="n"/>
      <c r="W60" s="161">
        <f>D60</f>
        <v/>
      </c>
      <c r="X60" s="163">
        <f>E60</f>
        <v/>
      </c>
      <c r="Y60" s="159">
        <f>H60</f>
        <v/>
      </c>
      <c r="Z60" s="166">
        <f>I60</f>
        <v/>
      </c>
      <c r="AA60" s="166">
        <f>K60</f>
        <v/>
      </c>
      <c r="AB60" s="166">
        <f>M60</f>
        <v/>
      </c>
      <c r="AC60" s="7">
        <f>N60</f>
        <v/>
      </c>
      <c r="AD60" s="162">
        <f>O60</f>
        <v/>
      </c>
      <c r="AE60" s="113">
        <f>S60</f>
        <v/>
      </c>
      <c r="AF60" s="113">
        <f>Q60&amp;"/"&amp;R60</f>
        <v/>
      </c>
      <c r="AH60" s="36">
        <f>IF(A60="","",A60)</f>
        <v/>
      </c>
      <c r="AI60" s="163">
        <f>IF(E60="","",E60)</f>
        <v/>
      </c>
      <c r="AJ60" s="113">
        <f>IF(AI60="","",$AJ$2)</f>
        <v/>
      </c>
      <c r="AK60" s="113" t="inlineStr">
        <is>
          <t>A</t>
        </is>
      </c>
      <c r="AL60" s="113" t="inlineStr">
        <is>
          <t>A+</t>
        </is>
      </c>
      <c r="AM60" s="113" t="inlineStr">
        <is>
          <t>B+</t>
        </is>
      </c>
      <c r="AN60" s="113">
        <f>IF(AI60="","",$AN$2)</f>
        <v/>
      </c>
      <c r="AO60" s="113">
        <f>IF(N60="","",IF(N60&gt;=$AO$1/100,"O","X"))</f>
        <v/>
      </c>
      <c r="AP60" s="113">
        <f>IF(I60="","",IF(I60&lt;=$AP$1,"O","X"))</f>
        <v/>
      </c>
      <c r="AQ60" s="113">
        <f>IF(O60="","",IF(O60&lt;=$AQ$1,"O","X"))</f>
        <v/>
      </c>
      <c r="AR60" s="113">
        <f>IF(M60="","",IF(M60&lt;=$AR$1,"O","X"))</f>
        <v/>
      </c>
      <c r="AS60" s="113" t="inlineStr">
        <is>
          <t>X</t>
        </is>
      </c>
      <c r="AT60" s="113">
        <f>IF(OR(F60="",AI60=""),"",IF(AND((F60&lt;=85),(AI60&gt;=15)),"O","X"))</f>
        <v/>
      </c>
      <c r="AU60" s="113">
        <f>IF(C60="","",IF(C60&gt;=$AU$1,"O","X"))</f>
        <v/>
      </c>
      <c r="AV60" s="113">
        <f>IF(AO60="","",IF(AND(AO60="O",AP60="O",AR60="O",AT60="O",AU60="O"),"후보","X"))</f>
        <v/>
      </c>
    </row>
    <row r="61">
      <c r="A61" s="13" t="inlineStr">
        <is>
          <t>강동현대홈타운</t>
        </is>
      </c>
      <c r="B61" s="16" t="inlineStr">
        <is>
          <t>'04.08.</t>
        </is>
      </c>
      <c r="C61" s="164" t="n">
        <v>568</v>
      </c>
      <c r="D61" s="161" t="n">
        <v>111.9</v>
      </c>
      <c r="E61" s="163" t="n">
        <v>34</v>
      </c>
      <c r="F61" s="161" t="n">
        <v>85</v>
      </c>
      <c r="G61" s="27" t="n">
        <v>26</v>
      </c>
      <c r="H61" s="164" t="n">
        <v>346</v>
      </c>
      <c r="I61" s="165" t="n">
        <v>148000</v>
      </c>
      <c r="J61" s="165" t="inlineStr">
        <is>
          <t>중</t>
        </is>
      </c>
      <c r="K61" s="165" t="n">
        <v>72000</v>
      </c>
      <c r="L61" s="165" t="inlineStr">
        <is>
          <t>고</t>
        </is>
      </c>
      <c r="M61" s="166">
        <f>I61-K61</f>
        <v/>
      </c>
      <c r="N61" s="7">
        <f>IF(ISERROR(K61/I61),"",K61/I61)</f>
        <v/>
      </c>
      <c r="O61" s="162">
        <f>I61/E61</f>
        <v/>
      </c>
      <c r="P61" s="162">
        <f>K61/E61</f>
        <v/>
      </c>
      <c r="Q61" s="113" t="n">
        <v>3</v>
      </c>
      <c r="R61" s="113" t="n">
        <v>2</v>
      </c>
      <c r="S61" s="113" t="inlineStr">
        <is>
          <t>계</t>
        </is>
      </c>
      <c r="T61" s="8" t="n">
        <v>111</v>
      </c>
      <c r="U61" s="13" t="n"/>
      <c r="W61" s="161">
        <f>D61</f>
        <v/>
      </c>
      <c r="X61" s="163">
        <f>E61</f>
        <v/>
      </c>
      <c r="Y61" s="159">
        <f>H61</f>
        <v/>
      </c>
      <c r="Z61" s="166">
        <f>I61</f>
        <v/>
      </c>
      <c r="AA61" s="166">
        <f>K61</f>
        <v/>
      </c>
      <c r="AB61" s="166">
        <f>M61</f>
        <v/>
      </c>
      <c r="AC61" s="7">
        <f>N61</f>
        <v/>
      </c>
      <c r="AD61" s="162">
        <f>O61</f>
        <v/>
      </c>
      <c r="AE61" s="113">
        <f>S61</f>
        <v/>
      </c>
      <c r="AF61" s="113">
        <f>Q61&amp;"/"&amp;R61</f>
        <v/>
      </c>
      <c r="AH61" s="36">
        <f>IF(A61="","",A61)</f>
        <v/>
      </c>
      <c r="AI61" s="163">
        <f>IF(E61="","",E61)</f>
        <v/>
      </c>
      <c r="AJ61" s="113">
        <f>IF(AI61="","",$AJ$2)</f>
        <v/>
      </c>
      <c r="AK61" s="113" t="inlineStr">
        <is>
          <t>A</t>
        </is>
      </c>
      <c r="AL61" s="113" t="inlineStr">
        <is>
          <t>A+</t>
        </is>
      </c>
      <c r="AM61" s="113" t="inlineStr">
        <is>
          <t>B+</t>
        </is>
      </c>
      <c r="AN61" s="113">
        <f>IF(AI61="","",$AN$2)</f>
        <v/>
      </c>
      <c r="AO61" s="113">
        <f>IF(N61="","",IF(N61&gt;=$AO$1/100,"O","X"))</f>
        <v/>
      </c>
      <c r="AP61" s="113">
        <f>IF(I61="","",IF(I61&lt;=$AP$1,"O","X"))</f>
        <v/>
      </c>
      <c r="AQ61" s="113">
        <f>IF(O61="","",IF(O61&lt;=$AQ$1,"O","X"))</f>
        <v/>
      </c>
      <c r="AR61" s="113">
        <f>IF(M61="","",IF(M61&lt;=$AR$1,"O","X"))</f>
        <v/>
      </c>
      <c r="AS61" s="113" t="inlineStr">
        <is>
          <t>X</t>
        </is>
      </c>
      <c r="AT61" s="113">
        <f>IF(OR(F61="",AI61=""),"",IF(AND((F61&lt;=85),(AI61&gt;=15)),"O","X"))</f>
        <v/>
      </c>
      <c r="AU61" s="113">
        <f>IF(C61="","",IF(C61&gt;=$AU$1,"O","X"))</f>
        <v/>
      </c>
      <c r="AV61" s="113">
        <f>IF(AO61="","",IF(AND(AO61="O",AP61="O",AR61="O",AT61="O",AU61="O"),"후보","X"))</f>
        <v/>
      </c>
    </row>
    <row r="62">
      <c r="A62" s="13" t="inlineStr">
        <is>
          <t>강동현대홈타운</t>
        </is>
      </c>
      <c r="B62" s="16" t="inlineStr">
        <is>
          <t>'04.08.</t>
        </is>
      </c>
      <c r="C62" s="164" t="n">
        <v>568</v>
      </c>
      <c r="D62" s="161" t="n">
        <v>141.8</v>
      </c>
      <c r="E62" s="163" t="n">
        <v>43</v>
      </c>
      <c r="F62" s="161" t="n">
        <v>114.1</v>
      </c>
      <c r="G62" s="27" t="n">
        <v>35</v>
      </c>
      <c r="H62" s="164" t="n">
        <v>100</v>
      </c>
      <c r="I62" s="165" t="n"/>
      <c r="J62" s="165" t="n"/>
      <c r="K62" s="165" t="n">
        <v>82000</v>
      </c>
      <c r="L62" s="165" t="inlineStr">
        <is>
          <t>중</t>
        </is>
      </c>
      <c r="M62" s="166">
        <f>I62-K62</f>
        <v/>
      </c>
      <c r="N62" s="7">
        <f>IF(ISERROR(K62/I62),"",K62/I62)</f>
        <v/>
      </c>
      <c r="O62" s="162">
        <f>I62/E62</f>
        <v/>
      </c>
      <c r="P62" s="162">
        <f>K62/E62</f>
        <v/>
      </c>
      <c r="Q62" s="113" t="n">
        <v>4</v>
      </c>
      <c r="R62" s="113" t="n">
        <v>2</v>
      </c>
      <c r="S62" s="113" t="inlineStr">
        <is>
          <t>계</t>
        </is>
      </c>
      <c r="T62" s="8" t="n">
        <v>141</v>
      </c>
      <c r="U62" s="13" t="n"/>
      <c r="W62" s="161">
        <f>D62</f>
        <v/>
      </c>
      <c r="X62" s="163">
        <f>E62</f>
        <v/>
      </c>
      <c r="Y62" s="159">
        <f>H62</f>
        <v/>
      </c>
      <c r="Z62" s="166">
        <f>I62</f>
        <v/>
      </c>
      <c r="AA62" s="166">
        <f>K62</f>
        <v/>
      </c>
      <c r="AB62" s="166">
        <f>M62</f>
        <v/>
      </c>
      <c r="AC62" s="7">
        <f>N62</f>
        <v/>
      </c>
      <c r="AD62" s="162">
        <f>O62</f>
        <v/>
      </c>
      <c r="AE62" s="113">
        <f>S62</f>
        <v/>
      </c>
      <c r="AF62" s="113">
        <f>Q62&amp;"/"&amp;R62</f>
        <v/>
      </c>
      <c r="AH62" s="36">
        <f>IF(A62="","",A62)</f>
        <v/>
      </c>
      <c r="AI62" s="163">
        <f>IF(E62="","",E62)</f>
        <v/>
      </c>
      <c r="AJ62" s="113">
        <f>IF(AI62="","",$AJ$2)</f>
        <v/>
      </c>
      <c r="AK62" s="113" t="inlineStr">
        <is>
          <t>A</t>
        </is>
      </c>
      <c r="AL62" s="113" t="inlineStr">
        <is>
          <t>A+</t>
        </is>
      </c>
      <c r="AM62" s="113" t="inlineStr">
        <is>
          <t>B+</t>
        </is>
      </c>
      <c r="AN62" s="113">
        <f>IF(AI62="","",$AN$2)</f>
        <v/>
      </c>
      <c r="AO62" s="113">
        <f>IF(N62="","",IF(N62&gt;=$AO$1/100,"O","X"))</f>
        <v/>
      </c>
      <c r="AP62" s="113">
        <f>IF(I62="","",IF(I62&lt;=$AP$1,"O","X"))</f>
        <v/>
      </c>
      <c r="AQ62" s="113">
        <f>IF(O62="","",IF(O62&lt;=$AQ$1,"O","X"))</f>
        <v/>
      </c>
      <c r="AR62" s="113">
        <f>IF(M62="","",IF(M62&lt;=$AR$1,"O","X"))</f>
        <v/>
      </c>
      <c r="AS62" s="113" t="inlineStr">
        <is>
          <t>X</t>
        </is>
      </c>
      <c r="AT62" s="113">
        <f>IF(OR(F62="",AI62=""),"",IF(AND((F62&lt;=85),(AI62&gt;=15)),"O","X"))</f>
        <v/>
      </c>
      <c r="AU62" s="113">
        <f>IF(C62="","",IF(C62&gt;=$AU$1,"O","X"))</f>
        <v/>
      </c>
      <c r="AV62" s="113">
        <f>IF(AO62="","",IF(AND(AO62="O",AP62="O",AR62="O",AT62="O",AU62="O"),"후보","X"))</f>
        <v/>
      </c>
    </row>
  </sheetData>
  <mergeCells count="1">
    <mergeCell ref="AJ1:AN1"/>
  </mergeCells>
  <conditionalFormatting sqref="AV4:AV6">
    <cfRule type="expression" priority="986" dxfId="17">
      <formula>AV4="X"</formula>
    </cfRule>
    <cfRule type="expression" priority="987" dxfId="16">
      <formula>AV4="후보"</formula>
    </cfRule>
  </conditionalFormatting>
  <conditionalFormatting sqref="AC1:AC2 AC4:AC6 N4:N5">
    <cfRule type="cellIs" priority="983" operator="greaterThan" dxfId="13">
      <formula>0.9</formula>
    </cfRule>
    <cfRule type="cellIs" priority="984" operator="greaterThan" dxfId="12">
      <formula>0.85</formula>
    </cfRule>
  </conditionalFormatting>
  <conditionalFormatting sqref="N1:N2">
    <cfRule type="cellIs" priority="981" operator="greaterThan" dxfId="13">
      <formula>0.9</formula>
    </cfRule>
    <cfRule type="cellIs" priority="982" operator="greaterThan" dxfId="12">
      <formula>0.85</formula>
    </cfRule>
  </conditionalFormatting>
  <conditionalFormatting sqref="N6">
    <cfRule type="cellIs" priority="979" operator="greaterThan" dxfId="13">
      <formula>0.9</formula>
    </cfRule>
    <cfRule type="cellIs" priority="980" operator="greaterThan" dxfId="12">
      <formula>0.85</formula>
    </cfRule>
  </conditionalFormatting>
  <conditionalFormatting sqref="E6">
    <cfRule type="expression" priority="975" dxfId="3">
      <formula>AND(IF(OR($Q6=1,$Q6=2),1,0),IF($X6&lt;=20,1,0))</formula>
    </cfRule>
    <cfRule type="expression" priority="976" dxfId="2">
      <formula>AND(IF($Q6=2,1,0),IF($X6&lt;30,1,0))</formula>
    </cfRule>
    <cfRule type="expression" priority="977" dxfId="1">
      <formula>AND(IF($Q6=3,1,0),IF($X6&lt;30,1,0))</formula>
    </cfRule>
    <cfRule type="expression" priority="978" dxfId="0">
      <formula>AND(IF($Q6=3,1,IF($Q6=4,1,0)),IF($F6&lt;=85,1,0))</formula>
    </cfRule>
  </conditionalFormatting>
  <conditionalFormatting sqref="X6">
    <cfRule type="expression" priority="971" dxfId="3">
      <formula>AND(IF(OR($Q6=1,$Q6=2),1,0),IF($X6&lt;=20,1,0))</formula>
    </cfRule>
    <cfRule type="expression" priority="972" dxfId="2">
      <formula>AND(IF($Q6=2,1,0),IF($X6&lt;30,1,0))</formula>
    </cfRule>
    <cfRule type="expression" priority="973" dxfId="1">
      <formula>AND(IF($Q6=3,1,0),IF($X6&lt;30,1,0))</formula>
    </cfRule>
    <cfRule type="expression" priority="974" dxfId="0">
      <formula>AND(IF($Q6=3,1,IF($Q6=4,1,0)),IF($F6&lt;=85,1,0))</formula>
    </cfRule>
  </conditionalFormatting>
  <conditionalFormatting sqref="AI6">
    <cfRule type="expression" priority="967" dxfId="3">
      <formula>AND(IF(OR($Q6=1,$Q6=2),1,0),IF($X6&lt;=20,1,0))</formula>
    </cfRule>
    <cfRule type="expression" priority="968" dxfId="2">
      <formula>AND(IF($Q6=2,1,0),IF($X6&lt;30,1,0))</formula>
    </cfRule>
    <cfRule type="expression" priority="969" dxfId="1">
      <formula>AND(IF($Q6=3,1,0),IF($X6&lt;30,1,0))</formula>
    </cfRule>
    <cfRule type="expression" priority="970" dxfId="0">
      <formula>AND(IF($Q6=3,1,IF($Q6=4,1,0)),IF($F6&lt;=85,1,0))</formula>
    </cfRule>
  </conditionalFormatting>
  <conditionalFormatting sqref="AV7">
    <cfRule type="expression" priority="965" dxfId="17">
      <formula>AV7="X"</formula>
    </cfRule>
    <cfRule type="expression" priority="966" dxfId="16">
      <formula>AV7="후보"</formula>
    </cfRule>
  </conditionalFormatting>
  <conditionalFormatting sqref="AC7">
    <cfRule type="cellIs" priority="962" operator="greaterThan" dxfId="13">
      <formula>0.9</formula>
    </cfRule>
    <cfRule type="cellIs" priority="963" operator="greaterThan" dxfId="12">
      <formula>0.85</formula>
    </cfRule>
  </conditionalFormatting>
  <conditionalFormatting sqref="N7">
    <cfRule type="cellIs" priority="960" operator="greaterThan" dxfId="13">
      <formula>0.9</formula>
    </cfRule>
    <cfRule type="cellIs" priority="961" operator="greaterThan" dxfId="12">
      <formula>0.85</formula>
    </cfRule>
  </conditionalFormatting>
  <conditionalFormatting sqref="E7">
    <cfRule type="expression" priority="956" dxfId="3">
      <formula>AND(IF(OR($Q7=1,$Q7=2),1,0),IF($X7&lt;=20,1,0))</formula>
    </cfRule>
    <cfRule type="expression" priority="957" dxfId="2">
      <formula>AND(IF($Q7=2,1,0),IF($X7&lt;30,1,0))</formula>
    </cfRule>
    <cfRule type="expression" priority="958" dxfId="1">
      <formula>AND(IF($Q7=3,1,0),IF($X7&lt;30,1,0))</formula>
    </cfRule>
    <cfRule type="expression" priority="959" dxfId="0">
      <formula>AND(IF($Q7=3,1,IF($Q7=4,1,0)),IF($F7&lt;=85,1,0))</formula>
    </cfRule>
  </conditionalFormatting>
  <conditionalFormatting sqref="X7">
    <cfRule type="expression" priority="952" dxfId="3">
      <formula>AND(IF(OR($Q7=1,$Q7=2),1,0),IF($X7&lt;=20,1,0))</formula>
    </cfRule>
    <cfRule type="expression" priority="953" dxfId="2">
      <formula>AND(IF($Q7=2,1,0),IF($X7&lt;30,1,0))</formula>
    </cfRule>
    <cfRule type="expression" priority="954" dxfId="1">
      <formula>AND(IF($Q7=3,1,0),IF($X7&lt;30,1,0))</formula>
    </cfRule>
    <cfRule type="expression" priority="955" dxfId="0">
      <formula>AND(IF($Q7=3,1,IF($Q7=4,1,0)),IF($F7&lt;=85,1,0))</formula>
    </cfRule>
  </conditionalFormatting>
  <conditionalFormatting sqref="AI7">
    <cfRule type="expression" priority="948" dxfId="3">
      <formula>AND(IF(OR($Q7=1,$Q7=2),1,0),IF($X7&lt;=20,1,0))</formula>
    </cfRule>
    <cfRule type="expression" priority="949" dxfId="2">
      <formula>AND(IF($Q7=2,1,0),IF($X7&lt;30,1,0))</formula>
    </cfRule>
    <cfRule type="expression" priority="950" dxfId="1">
      <formula>AND(IF($Q7=3,1,0),IF($X7&lt;30,1,0))</formula>
    </cfRule>
    <cfRule type="expression" priority="951" dxfId="0">
      <formula>AND(IF($Q7=3,1,IF($Q7=4,1,0)),IF($F7&lt;=85,1,0))</formula>
    </cfRule>
  </conditionalFormatting>
  <conditionalFormatting sqref="AV8">
    <cfRule type="expression" priority="946" dxfId="17">
      <formula>AV8="X"</formula>
    </cfRule>
    <cfRule type="expression" priority="947" dxfId="16">
      <formula>AV8="후보"</formula>
    </cfRule>
  </conditionalFormatting>
  <conditionalFormatting sqref="AC8">
    <cfRule type="cellIs" priority="943" operator="greaterThan" dxfId="13">
      <formula>0.9</formula>
    </cfRule>
    <cfRule type="cellIs" priority="944" operator="greaterThan" dxfId="12">
      <formula>0.85</formula>
    </cfRule>
  </conditionalFormatting>
  <conditionalFormatting sqref="N8">
    <cfRule type="cellIs" priority="941" operator="greaterThan" dxfId="13">
      <formula>0.9</formula>
    </cfRule>
    <cfRule type="cellIs" priority="942" operator="greaterThan" dxfId="12">
      <formula>0.85</formula>
    </cfRule>
  </conditionalFormatting>
  <conditionalFormatting sqref="E8">
    <cfRule type="expression" priority="937" dxfId="3">
      <formula>AND(IF(OR($Q8=1,$Q8=2),1,0),IF($X8&lt;=20,1,0))</formula>
    </cfRule>
    <cfRule type="expression" priority="938" dxfId="2">
      <formula>AND(IF($Q8=2,1,0),IF($X8&lt;30,1,0))</formula>
    </cfRule>
    <cfRule type="expression" priority="939" dxfId="1">
      <formula>AND(IF($Q8=3,1,0),IF($X8&lt;30,1,0))</formula>
    </cfRule>
    <cfRule type="expression" priority="940" dxfId="0">
      <formula>AND(IF($Q8=3,1,IF($Q8=4,1,0)),IF($F8&lt;=85,1,0))</formula>
    </cfRule>
  </conditionalFormatting>
  <conditionalFormatting sqref="X8">
    <cfRule type="expression" priority="933" dxfId="3">
      <formula>AND(IF(OR($Q8=1,$Q8=2),1,0),IF($X8&lt;=20,1,0))</formula>
    </cfRule>
    <cfRule type="expression" priority="934" dxfId="2">
      <formula>AND(IF($Q8=2,1,0),IF($X8&lt;30,1,0))</formula>
    </cfRule>
    <cfRule type="expression" priority="935" dxfId="1">
      <formula>AND(IF($Q8=3,1,0),IF($X8&lt;30,1,0))</formula>
    </cfRule>
    <cfRule type="expression" priority="936" dxfId="0">
      <formula>AND(IF($Q8=3,1,IF($Q8=4,1,0)),IF($F8&lt;=85,1,0))</formula>
    </cfRule>
  </conditionalFormatting>
  <conditionalFormatting sqref="AI8">
    <cfRule type="expression" priority="929" dxfId="3">
      <formula>AND(IF(OR($Q8=1,$Q8=2),1,0),IF($X8&lt;=20,1,0))</formula>
    </cfRule>
    <cfRule type="expression" priority="930" dxfId="2">
      <formula>AND(IF($Q8=2,1,0),IF($X8&lt;30,1,0))</formula>
    </cfRule>
    <cfRule type="expression" priority="931" dxfId="1">
      <formula>AND(IF($Q8=3,1,0),IF($X8&lt;30,1,0))</formula>
    </cfRule>
    <cfRule type="expression" priority="932" dxfId="0">
      <formula>AND(IF($Q8=3,1,IF($Q8=4,1,0)),IF($F8&lt;=85,1,0))</formula>
    </cfRule>
  </conditionalFormatting>
  <conditionalFormatting sqref="AV9">
    <cfRule type="expression" priority="927" dxfId="17">
      <formula>AV9="X"</formula>
    </cfRule>
    <cfRule type="expression" priority="928" dxfId="16">
      <formula>AV9="후보"</formula>
    </cfRule>
  </conditionalFormatting>
  <conditionalFormatting sqref="AC9">
    <cfRule type="cellIs" priority="924" operator="greaterThan" dxfId="13">
      <formula>0.9</formula>
    </cfRule>
    <cfRule type="cellIs" priority="925" operator="greaterThan" dxfId="12">
      <formula>0.85</formula>
    </cfRule>
  </conditionalFormatting>
  <conditionalFormatting sqref="N9">
    <cfRule type="cellIs" priority="922" operator="greaterThan" dxfId="13">
      <formula>0.9</formula>
    </cfRule>
    <cfRule type="cellIs" priority="923" operator="greaterThan" dxfId="12">
      <formula>0.85</formula>
    </cfRule>
  </conditionalFormatting>
  <conditionalFormatting sqref="E9">
    <cfRule type="expression" priority="918" dxfId="3">
      <formula>AND(IF(OR($Q9=1,$Q9=2),1,0),IF($X9&lt;=20,1,0))</formula>
    </cfRule>
    <cfRule type="expression" priority="919" dxfId="2">
      <formula>AND(IF($Q9=2,1,0),IF($X9&lt;30,1,0))</formula>
    </cfRule>
    <cfRule type="expression" priority="920" dxfId="1">
      <formula>AND(IF($Q9=3,1,0),IF($X9&lt;30,1,0))</formula>
    </cfRule>
    <cfRule type="expression" priority="921" dxfId="0">
      <formula>AND(IF($Q9=3,1,IF($Q9=4,1,0)),IF($F9&lt;=85,1,0))</formula>
    </cfRule>
  </conditionalFormatting>
  <conditionalFormatting sqref="X9">
    <cfRule type="expression" priority="914" dxfId="3">
      <formula>AND(IF(OR($Q9=1,$Q9=2),1,0),IF($X9&lt;=20,1,0))</formula>
    </cfRule>
    <cfRule type="expression" priority="915" dxfId="2">
      <formula>AND(IF($Q9=2,1,0),IF($X9&lt;30,1,0))</formula>
    </cfRule>
    <cfRule type="expression" priority="916" dxfId="1">
      <formula>AND(IF($Q9=3,1,0),IF($X9&lt;30,1,0))</formula>
    </cfRule>
    <cfRule type="expression" priority="917" dxfId="0">
      <formula>AND(IF($Q9=3,1,IF($Q9=4,1,0)),IF($F9&lt;=85,1,0))</formula>
    </cfRule>
  </conditionalFormatting>
  <conditionalFormatting sqref="AI9">
    <cfRule type="expression" priority="910" dxfId="3">
      <formula>AND(IF(OR($Q9=1,$Q9=2),1,0),IF($X9&lt;=20,1,0))</formula>
    </cfRule>
    <cfRule type="expression" priority="911" dxfId="2">
      <formula>AND(IF($Q9=2,1,0),IF($X9&lt;30,1,0))</formula>
    </cfRule>
    <cfRule type="expression" priority="912" dxfId="1">
      <formula>AND(IF($Q9=3,1,0),IF($X9&lt;30,1,0))</formula>
    </cfRule>
    <cfRule type="expression" priority="913" dxfId="0">
      <formula>AND(IF($Q9=3,1,IF($Q9=4,1,0)),IF($F9&lt;=85,1,0))</formula>
    </cfRule>
  </conditionalFormatting>
  <conditionalFormatting sqref="AV10">
    <cfRule type="expression" priority="908" dxfId="17">
      <formula>AV10="X"</formula>
    </cfRule>
    <cfRule type="expression" priority="909" dxfId="16">
      <formula>AV10="후보"</formula>
    </cfRule>
  </conditionalFormatting>
  <conditionalFormatting sqref="AC10">
    <cfRule type="cellIs" priority="905" operator="greaterThan" dxfId="13">
      <formula>0.9</formula>
    </cfRule>
    <cfRule type="cellIs" priority="906" operator="greaterThan" dxfId="12">
      <formula>0.85</formula>
    </cfRule>
  </conditionalFormatting>
  <conditionalFormatting sqref="N10">
    <cfRule type="cellIs" priority="903" operator="greaterThan" dxfId="13">
      <formula>0.9</formula>
    </cfRule>
    <cfRule type="cellIs" priority="904" operator="greaterThan" dxfId="12">
      <formula>0.85</formula>
    </cfRule>
  </conditionalFormatting>
  <conditionalFormatting sqref="E10">
    <cfRule type="expression" priority="899" dxfId="3">
      <formula>AND(IF(OR($Q10=1,$Q10=2),1,0),IF($X10&lt;=20,1,0))</formula>
    </cfRule>
    <cfRule type="expression" priority="900" dxfId="2">
      <formula>AND(IF($Q10=2,1,0),IF($X10&lt;30,1,0))</formula>
    </cfRule>
    <cfRule type="expression" priority="901" dxfId="1">
      <formula>AND(IF($Q10=3,1,0),IF($X10&lt;30,1,0))</formula>
    </cfRule>
    <cfRule type="expression" priority="902" dxfId="0">
      <formula>AND(IF($Q10=3,1,IF($Q10=4,1,0)),IF($F10&lt;=85,1,0))</formula>
    </cfRule>
  </conditionalFormatting>
  <conditionalFormatting sqref="X10">
    <cfRule type="expression" priority="895" dxfId="3">
      <formula>AND(IF(OR($Q10=1,$Q10=2),1,0),IF($X10&lt;=20,1,0))</formula>
    </cfRule>
    <cfRule type="expression" priority="896" dxfId="2">
      <formula>AND(IF($Q10=2,1,0),IF($X10&lt;30,1,0))</formula>
    </cfRule>
    <cfRule type="expression" priority="897" dxfId="1">
      <formula>AND(IF($Q10=3,1,0),IF($X10&lt;30,1,0))</formula>
    </cfRule>
    <cfRule type="expression" priority="898" dxfId="0">
      <formula>AND(IF($Q10=3,1,IF($Q10=4,1,0)),IF($F10&lt;=85,1,0))</formula>
    </cfRule>
  </conditionalFormatting>
  <conditionalFormatting sqref="AI10">
    <cfRule type="expression" priority="891" dxfId="3">
      <formula>AND(IF(OR($Q10=1,$Q10=2),1,0),IF($X10&lt;=20,1,0))</formula>
    </cfRule>
    <cfRule type="expression" priority="892" dxfId="2">
      <formula>AND(IF($Q10=2,1,0),IF($X10&lt;30,1,0))</formula>
    </cfRule>
    <cfRule type="expression" priority="893" dxfId="1">
      <formula>AND(IF($Q10=3,1,0),IF($X10&lt;30,1,0))</formula>
    </cfRule>
    <cfRule type="expression" priority="894" dxfId="0">
      <formula>AND(IF($Q10=3,1,IF($Q10=4,1,0)),IF($F10&lt;=85,1,0))</formula>
    </cfRule>
  </conditionalFormatting>
  <conditionalFormatting sqref="AV11">
    <cfRule type="expression" priority="889" dxfId="17">
      <formula>AV11="X"</formula>
    </cfRule>
    <cfRule type="expression" priority="890" dxfId="16">
      <formula>AV11="후보"</formula>
    </cfRule>
  </conditionalFormatting>
  <conditionalFormatting sqref="AC11 N11">
    <cfRule type="cellIs" priority="886" operator="greaterThan" dxfId="13">
      <formula>0.9</formula>
    </cfRule>
    <cfRule type="cellIs" priority="887" operator="greaterThan" dxfId="12">
      <formula>0.85</formula>
    </cfRule>
  </conditionalFormatting>
  <conditionalFormatting sqref="AV12">
    <cfRule type="expression" priority="884" dxfId="17">
      <formula>AV12="X"</formula>
    </cfRule>
    <cfRule type="expression" priority="885" dxfId="16">
      <formula>AV12="후보"</formula>
    </cfRule>
  </conditionalFormatting>
  <conditionalFormatting sqref="AC12">
    <cfRule type="cellIs" priority="881" operator="greaterThan" dxfId="13">
      <formula>0.9</formula>
    </cfRule>
    <cfRule type="cellIs" priority="882" operator="greaterThan" dxfId="12">
      <formula>0.85</formula>
    </cfRule>
  </conditionalFormatting>
  <conditionalFormatting sqref="N12">
    <cfRule type="cellIs" priority="879" operator="greaterThan" dxfId="13">
      <formula>0.9</formula>
    </cfRule>
    <cfRule type="cellIs" priority="880" operator="greaterThan" dxfId="12">
      <formula>0.85</formula>
    </cfRule>
  </conditionalFormatting>
  <conditionalFormatting sqref="E12">
    <cfRule type="expression" priority="875" dxfId="3">
      <formula>AND(IF(OR($Q12=1,$Q12=2),1,0),IF($X12&lt;=20,1,0))</formula>
    </cfRule>
    <cfRule type="expression" priority="876" dxfId="2">
      <formula>AND(IF($Q12=2,1,0),IF($X12&lt;30,1,0))</formula>
    </cfRule>
    <cfRule type="expression" priority="877" dxfId="1">
      <formula>AND(IF($Q12=3,1,0),IF($X12&lt;30,1,0))</formula>
    </cfRule>
    <cfRule type="expression" priority="878" dxfId="0">
      <formula>AND(IF($Q12=3,1,IF($Q12=4,1,0)),IF($F12&lt;=85,1,0))</formula>
    </cfRule>
  </conditionalFormatting>
  <conditionalFormatting sqref="X12">
    <cfRule type="expression" priority="871" dxfId="3">
      <formula>AND(IF(OR($Q12=1,$Q12=2),1,0),IF($X12&lt;=20,1,0))</formula>
    </cfRule>
    <cfRule type="expression" priority="872" dxfId="2">
      <formula>AND(IF($Q12=2,1,0),IF($X12&lt;30,1,0))</formula>
    </cfRule>
    <cfRule type="expression" priority="873" dxfId="1">
      <formula>AND(IF($Q12=3,1,0),IF($X12&lt;30,1,0))</formula>
    </cfRule>
    <cfRule type="expression" priority="874" dxfId="0">
      <formula>AND(IF($Q12=3,1,IF($Q12=4,1,0)),IF($F12&lt;=85,1,0))</formula>
    </cfRule>
  </conditionalFormatting>
  <conditionalFormatting sqref="AI12">
    <cfRule type="expression" priority="867" dxfId="3">
      <formula>AND(IF(OR($Q12=1,$Q12=2),1,0),IF($X12&lt;=20,1,0))</formula>
    </cfRule>
    <cfRule type="expression" priority="868" dxfId="2">
      <formula>AND(IF($Q12=2,1,0),IF($X12&lt;30,1,0))</formula>
    </cfRule>
    <cfRule type="expression" priority="869" dxfId="1">
      <formula>AND(IF($Q12=3,1,0),IF($X12&lt;30,1,0))</formula>
    </cfRule>
    <cfRule type="expression" priority="870" dxfId="0">
      <formula>AND(IF($Q12=3,1,IF($Q12=4,1,0)),IF($F12&lt;=85,1,0))</formula>
    </cfRule>
  </conditionalFormatting>
  <conditionalFormatting sqref="AV13">
    <cfRule type="expression" priority="865" dxfId="17">
      <formula>AV13="X"</formula>
    </cfRule>
    <cfRule type="expression" priority="866" dxfId="16">
      <formula>AV13="후보"</formula>
    </cfRule>
  </conditionalFormatting>
  <conditionalFormatting sqref="AC13">
    <cfRule type="cellIs" priority="862" operator="greaterThan" dxfId="13">
      <formula>0.9</formula>
    </cfRule>
    <cfRule type="cellIs" priority="863" operator="greaterThan" dxfId="12">
      <formula>0.85</formula>
    </cfRule>
  </conditionalFormatting>
  <conditionalFormatting sqref="N13">
    <cfRule type="cellIs" priority="860" operator="greaterThan" dxfId="13">
      <formula>0.9</formula>
    </cfRule>
    <cfRule type="cellIs" priority="861" operator="greaterThan" dxfId="12">
      <formula>0.85</formula>
    </cfRule>
  </conditionalFormatting>
  <conditionalFormatting sqref="E13">
    <cfRule type="expression" priority="856" dxfId="3">
      <formula>AND(IF(OR($Q13=1,$Q13=2),1,0),IF($X13&lt;=20,1,0))</formula>
    </cfRule>
    <cfRule type="expression" priority="857" dxfId="2">
      <formula>AND(IF($Q13=2,1,0),IF($X13&lt;30,1,0))</formula>
    </cfRule>
    <cfRule type="expression" priority="858" dxfId="1">
      <formula>AND(IF($Q13=3,1,0),IF($X13&lt;30,1,0))</formula>
    </cfRule>
    <cfRule type="expression" priority="859" dxfId="0">
      <formula>AND(IF($Q13=3,1,IF($Q13=4,1,0)),IF($F13&lt;=85,1,0))</formula>
    </cfRule>
  </conditionalFormatting>
  <conditionalFormatting sqref="X13">
    <cfRule type="expression" priority="852" dxfId="3">
      <formula>AND(IF(OR($Q13=1,$Q13=2),1,0),IF($X13&lt;=20,1,0))</formula>
    </cfRule>
    <cfRule type="expression" priority="853" dxfId="2">
      <formula>AND(IF($Q13=2,1,0),IF($X13&lt;30,1,0))</formula>
    </cfRule>
    <cfRule type="expression" priority="854" dxfId="1">
      <formula>AND(IF($Q13=3,1,0),IF($X13&lt;30,1,0))</formula>
    </cfRule>
    <cfRule type="expression" priority="855" dxfId="0">
      <formula>AND(IF($Q13=3,1,IF($Q13=4,1,0)),IF($F13&lt;=85,1,0))</formula>
    </cfRule>
  </conditionalFormatting>
  <conditionalFormatting sqref="AI13">
    <cfRule type="expression" priority="848" dxfId="3">
      <formula>AND(IF(OR($Q13=1,$Q13=2),1,0),IF($X13&lt;=20,1,0))</formula>
    </cfRule>
    <cfRule type="expression" priority="849" dxfId="2">
      <formula>AND(IF($Q13=2,1,0),IF($X13&lt;30,1,0))</formula>
    </cfRule>
    <cfRule type="expression" priority="850" dxfId="1">
      <formula>AND(IF($Q13=3,1,0),IF($X13&lt;30,1,0))</formula>
    </cfRule>
    <cfRule type="expression" priority="851" dxfId="0">
      <formula>AND(IF($Q13=3,1,IF($Q13=4,1,0)),IF($F13&lt;=85,1,0))</formula>
    </cfRule>
  </conditionalFormatting>
  <conditionalFormatting sqref="AV14">
    <cfRule type="expression" priority="846" dxfId="17">
      <formula>AV14="X"</formula>
    </cfRule>
    <cfRule type="expression" priority="847" dxfId="16">
      <formula>AV14="후보"</formula>
    </cfRule>
  </conditionalFormatting>
  <conditionalFormatting sqref="AC14">
    <cfRule type="cellIs" priority="843" operator="greaterThan" dxfId="13">
      <formula>0.9</formula>
    </cfRule>
    <cfRule type="cellIs" priority="844" operator="greaterThan" dxfId="12">
      <formula>0.85</formula>
    </cfRule>
  </conditionalFormatting>
  <conditionalFormatting sqref="N14">
    <cfRule type="cellIs" priority="841" operator="greaterThan" dxfId="13">
      <formula>0.9</formula>
    </cfRule>
    <cfRule type="cellIs" priority="842" operator="greaterThan" dxfId="12">
      <formula>0.85</formula>
    </cfRule>
  </conditionalFormatting>
  <conditionalFormatting sqref="E14">
    <cfRule type="expression" priority="837" dxfId="3">
      <formula>AND(IF(OR($Q14=1,$Q14=2),1,0),IF($X14&lt;=20,1,0))</formula>
    </cfRule>
    <cfRule type="expression" priority="838" dxfId="2">
      <formula>AND(IF($Q14=2,1,0),IF($X14&lt;30,1,0))</formula>
    </cfRule>
    <cfRule type="expression" priority="839" dxfId="1">
      <formula>AND(IF($Q14=3,1,0),IF($X14&lt;30,1,0))</formula>
    </cfRule>
    <cfRule type="expression" priority="840" dxfId="0">
      <formula>AND(IF($Q14=3,1,IF($Q14=4,1,0)),IF($F14&lt;=85,1,0))</formula>
    </cfRule>
  </conditionalFormatting>
  <conditionalFormatting sqref="X14">
    <cfRule type="expression" priority="833" dxfId="3">
      <formula>AND(IF(OR($Q14=1,$Q14=2),1,0),IF($X14&lt;=20,1,0))</formula>
    </cfRule>
    <cfRule type="expression" priority="834" dxfId="2">
      <formula>AND(IF($Q14=2,1,0),IF($X14&lt;30,1,0))</formula>
    </cfRule>
    <cfRule type="expression" priority="835" dxfId="1">
      <formula>AND(IF($Q14=3,1,0),IF($X14&lt;30,1,0))</formula>
    </cfRule>
    <cfRule type="expression" priority="836" dxfId="0">
      <formula>AND(IF($Q14=3,1,IF($Q14=4,1,0)),IF($F14&lt;=85,1,0))</formula>
    </cfRule>
  </conditionalFormatting>
  <conditionalFormatting sqref="AI14">
    <cfRule type="expression" priority="829" dxfId="3">
      <formula>AND(IF(OR($Q14=1,$Q14=2),1,0),IF($X14&lt;=20,1,0))</formula>
    </cfRule>
    <cfRule type="expression" priority="830" dxfId="2">
      <formula>AND(IF($Q14=2,1,0),IF($X14&lt;30,1,0))</formula>
    </cfRule>
    <cfRule type="expression" priority="831" dxfId="1">
      <formula>AND(IF($Q14=3,1,0),IF($X14&lt;30,1,0))</formula>
    </cfRule>
    <cfRule type="expression" priority="832" dxfId="0">
      <formula>AND(IF($Q14=3,1,IF($Q14=4,1,0)),IF($F14&lt;=85,1,0))</formula>
    </cfRule>
  </conditionalFormatting>
  <conditionalFormatting sqref="AV15">
    <cfRule type="expression" priority="827" dxfId="17">
      <formula>AV15="X"</formula>
    </cfRule>
    <cfRule type="expression" priority="828" dxfId="16">
      <formula>AV15="후보"</formula>
    </cfRule>
  </conditionalFormatting>
  <conditionalFormatting sqref="AC15">
    <cfRule type="cellIs" priority="824" operator="greaterThan" dxfId="13">
      <formula>0.9</formula>
    </cfRule>
    <cfRule type="cellIs" priority="825" operator="greaterThan" dxfId="12">
      <formula>0.85</formula>
    </cfRule>
  </conditionalFormatting>
  <conditionalFormatting sqref="N15">
    <cfRule type="cellIs" priority="822" operator="greaterThan" dxfId="13">
      <formula>0.9</formula>
    </cfRule>
    <cfRule type="cellIs" priority="823" operator="greaterThan" dxfId="12">
      <formula>0.85</formula>
    </cfRule>
  </conditionalFormatting>
  <conditionalFormatting sqref="E15">
    <cfRule type="expression" priority="818" dxfId="3">
      <formula>AND(IF(OR($Q15=1,$Q15=2),1,0),IF($X15&lt;=20,1,0))</formula>
    </cfRule>
    <cfRule type="expression" priority="819" dxfId="2">
      <formula>AND(IF($Q15=2,1,0),IF($X15&lt;30,1,0))</formula>
    </cfRule>
    <cfRule type="expression" priority="820" dxfId="1">
      <formula>AND(IF($Q15=3,1,0),IF($X15&lt;30,1,0))</formula>
    </cfRule>
    <cfRule type="expression" priority="821" dxfId="0">
      <formula>AND(IF($Q15=3,1,IF($Q15=4,1,0)),IF($F15&lt;=85,1,0))</formula>
    </cfRule>
  </conditionalFormatting>
  <conditionalFormatting sqref="X15">
    <cfRule type="expression" priority="814" dxfId="3">
      <formula>AND(IF(OR($Q15=1,$Q15=2),1,0),IF($X15&lt;=20,1,0))</formula>
    </cfRule>
    <cfRule type="expression" priority="815" dxfId="2">
      <formula>AND(IF($Q15=2,1,0),IF($X15&lt;30,1,0))</formula>
    </cfRule>
    <cfRule type="expression" priority="816" dxfId="1">
      <formula>AND(IF($Q15=3,1,0),IF($X15&lt;30,1,0))</formula>
    </cfRule>
    <cfRule type="expression" priority="817" dxfId="0">
      <formula>AND(IF($Q15=3,1,IF($Q15=4,1,0)),IF($F15&lt;=85,1,0))</formula>
    </cfRule>
  </conditionalFormatting>
  <conditionalFormatting sqref="AI15">
    <cfRule type="expression" priority="810" dxfId="3">
      <formula>AND(IF(OR($Q15=1,$Q15=2),1,0),IF($X15&lt;=20,1,0))</formula>
    </cfRule>
    <cfRule type="expression" priority="811" dxfId="2">
      <formula>AND(IF($Q15=2,1,0),IF($X15&lt;30,1,0))</formula>
    </cfRule>
    <cfRule type="expression" priority="812" dxfId="1">
      <formula>AND(IF($Q15=3,1,0),IF($X15&lt;30,1,0))</formula>
    </cfRule>
    <cfRule type="expression" priority="813" dxfId="0">
      <formula>AND(IF($Q15=3,1,IF($Q15=4,1,0)),IF($F15&lt;=85,1,0))</formula>
    </cfRule>
  </conditionalFormatting>
  <conditionalFormatting sqref="AV16">
    <cfRule type="expression" priority="808" dxfId="17">
      <formula>AV16="X"</formula>
    </cfRule>
    <cfRule type="expression" priority="809" dxfId="16">
      <formula>AV16="후보"</formula>
    </cfRule>
  </conditionalFormatting>
  <conditionalFormatting sqref="AC16">
    <cfRule type="cellIs" priority="805" operator="greaterThan" dxfId="13">
      <formula>0.9</formula>
    </cfRule>
    <cfRule type="cellIs" priority="806" operator="greaterThan" dxfId="12">
      <formula>0.85</formula>
    </cfRule>
  </conditionalFormatting>
  <conditionalFormatting sqref="N16">
    <cfRule type="cellIs" priority="803" operator="greaterThan" dxfId="13">
      <formula>0.9</formula>
    </cfRule>
    <cfRule type="cellIs" priority="804" operator="greaterThan" dxfId="12">
      <formula>0.85</formula>
    </cfRule>
  </conditionalFormatting>
  <conditionalFormatting sqref="E16">
    <cfRule type="expression" priority="799" dxfId="3">
      <formula>AND(IF(OR($Q16=1,$Q16=2),1,0),IF($X16&lt;=20,1,0))</formula>
    </cfRule>
    <cfRule type="expression" priority="800" dxfId="2">
      <formula>AND(IF($Q16=2,1,0),IF($X16&lt;30,1,0))</formula>
    </cfRule>
    <cfRule type="expression" priority="801" dxfId="1">
      <formula>AND(IF($Q16=3,1,0),IF($X16&lt;30,1,0))</formula>
    </cfRule>
    <cfRule type="expression" priority="802" dxfId="0">
      <formula>AND(IF($Q16=3,1,IF($Q16=4,1,0)),IF($F16&lt;=85,1,0))</formula>
    </cfRule>
  </conditionalFormatting>
  <conditionalFormatting sqref="X16">
    <cfRule type="expression" priority="795" dxfId="3">
      <formula>AND(IF(OR($Q16=1,$Q16=2),1,0),IF($X16&lt;=20,1,0))</formula>
    </cfRule>
    <cfRule type="expression" priority="796" dxfId="2">
      <formula>AND(IF($Q16=2,1,0),IF($X16&lt;30,1,0))</formula>
    </cfRule>
    <cfRule type="expression" priority="797" dxfId="1">
      <formula>AND(IF($Q16=3,1,0),IF($X16&lt;30,1,0))</formula>
    </cfRule>
    <cfRule type="expression" priority="798" dxfId="0">
      <formula>AND(IF($Q16=3,1,IF($Q16=4,1,0)),IF($F16&lt;=85,1,0))</formula>
    </cfRule>
  </conditionalFormatting>
  <conditionalFormatting sqref="AI16">
    <cfRule type="expression" priority="791" dxfId="3">
      <formula>AND(IF(OR($Q16=1,$Q16=2),1,0),IF($X16&lt;=20,1,0))</formula>
    </cfRule>
    <cfRule type="expression" priority="792" dxfId="2">
      <formula>AND(IF($Q16=2,1,0),IF($X16&lt;30,1,0))</formula>
    </cfRule>
    <cfRule type="expression" priority="793" dxfId="1">
      <formula>AND(IF($Q16=3,1,0),IF($X16&lt;30,1,0))</formula>
    </cfRule>
    <cfRule type="expression" priority="794" dxfId="0">
      <formula>AND(IF($Q16=3,1,IF($Q16=4,1,0)),IF($F16&lt;=85,1,0))</formula>
    </cfRule>
  </conditionalFormatting>
  <conditionalFormatting sqref="AV17">
    <cfRule type="expression" priority="789" dxfId="17">
      <formula>AV17="X"</formula>
    </cfRule>
    <cfRule type="expression" priority="790" dxfId="16">
      <formula>AV17="후보"</formula>
    </cfRule>
  </conditionalFormatting>
  <conditionalFormatting sqref="AC17 N17">
    <cfRule type="cellIs" priority="786" operator="greaterThan" dxfId="13">
      <formula>0.9</formula>
    </cfRule>
    <cfRule type="cellIs" priority="787" operator="greaterThan" dxfId="12">
      <formula>0.85</formula>
    </cfRule>
  </conditionalFormatting>
  <conditionalFormatting sqref="AV18">
    <cfRule type="expression" priority="784" dxfId="17">
      <formula>AV18="X"</formula>
    </cfRule>
    <cfRule type="expression" priority="785" dxfId="16">
      <formula>AV18="후보"</formula>
    </cfRule>
  </conditionalFormatting>
  <conditionalFormatting sqref="AC18">
    <cfRule type="cellIs" priority="781" operator="greaterThan" dxfId="13">
      <formula>0.9</formula>
    </cfRule>
    <cfRule type="cellIs" priority="782" operator="greaterThan" dxfId="12">
      <formula>0.85</formula>
    </cfRule>
  </conditionalFormatting>
  <conditionalFormatting sqref="N18">
    <cfRule type="cellIs" priority="779" operator="greaterThan" dxfId="13">
      <formula>0.9</formula>
    </cfRule>
    <cfRule type="cellIs" priority="780" operator="greaterThan" dxfId="12">
      <formula>0.85</formula>
    </cfRule>
  </conditionalFormatting>
  <conditionalFormatting sqref="E18">
    <cfRule type="expression" priority="775" dxfId="3">
      <formula>AND(IF(OR($Q18=1,$Q18=2),1,0),IF($X18&lt;=20,1,0))</formula>
    </cfRule>
    <cfRule type="expression" priority="776" dxfId="2">
      <formula>AND(IF($Q18=2,1,0),IF($X18&lt;30,1,0))</formula>
    </cfRule>
    <cfRule type="expression" priority="777" dxfId="1">
      <formula>AND(IF($Q18=3,1,0),IF($X18&lt;30,1,0))</formula>
    </cfRule>
    <cfRule type="expression" priority="778" dxfId="0">
      <formula>AND(IF($Q18=3,1,IF($Q18=4,1,0)),IF($F18&lt;=85,1,0))</formula>
    </cfRule>
  </conditionalFormatting>
  <conditionalFormatting sqref="X18">
    <cfRule type="expression" priority="771" dxfId="3">
      <formula>AND(IF(OR($Q18=1,$Q18=2),1,0),IF($X18&lt;=20,1,0))</formula>
    </cfRule>
    <cfRule type="expression" priority="772" dxfId="2">
      <formula>AND(IF($Q18=2,1,0),IF($X18&lt;30,1,0))</formula>
    </cfRule>
    <cfRule type="expression" priority="773" dxfId="1">
      <formula>AND(IF($Q18=3,1,0),IF($X18&lt;30,1,0))</formula>
    </cfRule>
    <cfRule type="expression" priority="774" dxfId="0">
      <formula>AND(IF($Q18=3,1,IF($Q18=4,1,0)),IF($F18&lt;=85,1,0))</formula>
    </cfRule>
  </conditionalFormatting>
  <conditionalFormatting sqref="AI18">
    <cfRule type="expression" priority="767" dxfId="3">
      <formula>AND(IF(OR($Q18=1,$Q18=2),1,0),IF($X18&lt;=20,1,0))</formula>
    </cfRule>
    <cfRule type="expression" priority="768" dxfId="2">
      <formula>AND(IF($Q18=2,1,0),IF($X18&lt;30,1,0))</formula>
    </cfRule>
    <cfRule type="expression" priority="769" dxfId="1">
      <formula>AND(IF($Q18=3,1,0),IF($X18&lt;30,1,0))</formula>
    </cfRule>
    <cfRule type="expression" priority="770" dxfId="0">
      <formula>AND(IF($Q18=3,1,IF($Q18=4,1,0)),IF($F18&lt;=85,1,0))</formula>
    </cfRule>
  </conditionalFormatting>
  <conditionalFormatting sqref="AV19">
    <cfRule type="expression" priority="765" dxfId="17">
      <formula>AV19="X"</formula>
    </cfRule>
    <cfRule type="expression" priority="766" dxfId="16">
      <formula>AV19="후보"</formula>
    </cfRule>
  </conditionalFormatting>
  <conditionalFormatting sqref="AC19">
    <cfRule type="cellIs" priority="762" operator="greaterThan" dxfId="13">
      <formula>0.9</formula>
    </cfRule>
    <cfRule type="cellIs" priority="763" operator="greaterThan" dxfId="12">
      <formula>0.85</formula>
    </cfRule>
  </conditionalFormatting>
  <conditionalFormatting sqref="N19">
    <cfRule type="cellIs" priority="760" operator="greaterThan" dxfId="13">
      <formula>0.9</formula>
    </cfRule>
    <cfRule type="cellIs" priority="761" operator="greaterThan" dxfId="12">
      <formula>0.85</formula>
    </cfRule>
  </conditionalFormatting>
  <conditionalFormatting sqref="E19">
    <cfRule type="expression" priority="756" dxfId="3">
      <formula>AND(IF(OR($Q19=1,$Q19=2),1,0),IF($X19&lt;=20,1,0))</formula>
    </cfRule>
    <cfRule type="expression" priority="757" dxfId="2">
      <formula>AND(IF($Q19=2,1,0),IF($X19&lt;30,1,0))</formula>
    </cfRule>
    <cfRule type="expression" priority="758" dxfId="1">
      <formula>AND(IF($Q19=3,1,0),IF($X19&lt;30,1,0))</formula>
    </cfRule>
    <cfRule type="expression" priority="759" dxfId="0">
      <formula>AND(IF($Q19=3,1,IF($Q19=4,1,0)),IF($F19&lt;=85,1,0))</formula>
    </cfRule>
  </conditionalFormatting>
  <conditionalFormatting sqref="X19">
    <cfRule type="expression" priority="752" dxfId="3">
      <formula>AND(IF(OR($Q19=1,$Q19=2),1,0),IF($X19&lt;=20,1,0))</formula>
    </cfRule>
    <cfRule type="expression" priority="753" dxfId="2">
      <formula>AND(IF($Q19=2,1,0),IF($X19&lt;30,1,0))</formula>
    </cfRule>
    <cfRule type="expression" priority="754" dxfId="1">
      <formula>AND(IF($Q19=3,1,0),IF($X19&lt;30,1,0))</formula>
    </cfRule>
    <cfRule type="expression" priority="755" dxfId="0">
      <formula>AND(IF($Q19=3,1,IF($Q19=4,1,0)),IF($F19&lt;=85,1,0))</formula>
    </cfRule>
  </conditionalFormatting>
  <conditionalFormatting sqref="AI19">
    <cfRule type="expression" priority="748" dxfId="3">
      <formula>AND(IF(OR($Q19=1,$Q19=2),1,0),IF($X19&lt;=20,1,0))</formula>
    </cfRule>
    <cfRule type="expression" priority="749" dxfId="2">
      <formula>AND(IF($Q19=2,1,0),IF($X19&lt;30,1,0))</formula>
    </cfRule>
    <cfRule type="expression" priority="750" dxfId="1">
      <formula>AND(IF($Q19=3,1,0),IF($X19&lt;30,1,0))</formula>
    </cfRule>
    <cfRule type="expression" priority="751" dxfId="0">
      <formula>AND(IF($Q19=3,1,IF($Q19=4,1,0)),IF($F19&lt;=85,1,0))</formula>
    </cfRule>
  </conditionalFormatting>
  <conditionalFormatting sqref="AV20">
    <cfRule type="expression" priority="746" dxfId="17">
      <formula>AV20="X"</formula>
    </cfRule>
    <cfRule type="expression" priority="747" dxfId="16">
      <formula>AV20="후보"</formula>
    </cfRule>
  </conditionalFormatting>
  <conditionalFormatting sqref="AC20">
    <cfRule type="cellIs" priority="743" operator="greaterThan" dxfId="13">
      <formula>0.9</formula>
    </cfRule>
    <cfRule type="cellIs" priority="744" operator="greaterThan" dxfId="12">
      <formula>0.85</formula>
    </cfRule>
  </conditionalFormatting>
  <conditionalFormatting sqref="N20">
    <cfRule type="cellIs" priority="741" operator="greaterThan" dxfId="13">
      <formula>0.9</formula>
    </cfRule>
    <cfRule type="cellIs" priority="742" operator="greaterThan" dxfId="12">
      <formula>0.85</formula>
    </cfRule>
  </conditionalFormatting>
  <conditionalFormatting sqref="E20">
    <cfRule type="expression" priority="737" dxfId="3">
      <formula>AND(IF(OR($Q20=1,$Q20=2),1,0),IF($X20&lt;=20,1,0))</formula>
    </cfRule>
    <cfRule type="expression" priority="738" dxfId="2">
      <formula>AND(IF($Q20=2,1,0),IF($X20&lt;30,1,0))</formula>
    </cfRule>
    <cfRule type="expression" priority="739" dxfId="1">
      <formula>AND(IF($Q20=3,1,0),IF($X20&lt;30,1,0))</formula>
    </cfRule>
    <cfRule type="expression" priority="740" dxfId="0">
      <formula>AND(IF($Q20=3,1,IF($Q20=4,1,0)),IF($F20&lt;=85,1,0))</formula>
    </cfRule>
  </conditionalFormatting>
  <conditionalFormatting sqref="X20">
    <cfRule type="expression" priority="733" dxfId="3">
      <formula>AND(IF(OR($Q20=1,$Q20=2),1,0),IF($X20&lt;=20,1,0))</formula>
    </cfRule>
    <cfRule type="expression" priority="734" dxfId="2">
      <formula>AND(IF($Q20=2,1,0),IF($X20&lt;30,1,0))</formula>
    </cfRule>
    <cfRule type="expression" priority="735" dxfId="1">
      <formula>AND(IF($Q20=3,1,0),IF($X20&lt;30,1,0))</formula>
    </cfRule>
    <cfRule type="expression" priority="736" dxfId="0">
      <formula>AND(IF($Q20=3,1,IF($Q20=4,1,0)),IF($F20&lt;=85,1,0))</formula>
    </cfRule>
  </conditionalFormatting>
  <conditionalFormatting sqref="AI20">
    <cfRule type="expression" priority="729" dxfId="3">
      <formula>AND(IF(OR($Q20=1,$Q20=2),1,0),IF($X20&lt;=20,1,0))</formula>
    </cfRule>
    <cfRule type="expression" priority="730" dxfId="2">
      <formula>AND(IF($Q20=2,1,0),IF($X20&lt;30,1,0))</formula>
    </cfRule>
    <cfRule type="expression" priority="731" dxfId="1">
      <formula>AND(IF($Q20=3,1,0),IF($X20&lt;30,1,0))</formula>
    </cfRule>
    <cfRule type="expression" priority="732" dxfId="0">
      <formula>AND(IF($Q20=3,1,IF($Q20=4,1,0)),IF($F20&lt;=85,1,0))</formula>
    </cfRule>
  </conditionalFormatting>
  <conditionalFormatting sqref="AV21">
    <cfRule type="expression" priority="727" dxfId="17">
      <formula>AV21="X"</formula>
    </cfRule>
    <cfRule type="expression" priority="728" dxfId="16">
      <formula>AV21="후보"</formula>
    </cfRule>
  </conditionalFormatting>
  <conditionalFormatting sqref="AC21">
    <cfRule type="cellIs" priority="724" operator="greaterThan" dxfId="13">
      <formula>0.9</formula>
    </cfRule>
    <cfRule type="cellIs" priority="725" operator="greaterThan" dxfId="12">
      <formula>0.85</formula>
    </cfRule>
  </conditionalFormatting>
  <conditionalFormatting sqref="N21">
    <cfRule type="cellIs" priority="722" operator="greaterThan" dxfId="13">
      <formula>0.9</formula>
    </cfRule>
    <cfRule type="cellIs" priority="723" operator="greaterThan" dxfId="12">
      <formula>0.85</formula>
    </cfRule>
  </conditionalFormatting>
  <conditionalFormatting sqref="E21">
    <cfRule type="expression" priority="718" dxfId="3">
      <formula>AND(IF(OR($Q21=1,$Q21=2),1,0),IF($X21&lt;=20,1,0))</formula>
    </cfRule>
    <cfRule type="expression" priority="719" dxfId="2">
      <formula>AND(IF($Q21=2,1,0),IF($X21&lt;30,1,0))</formula>
    </cfRule>
    <cfRule type="expression" priority="720" dxfId="1">
      <formula>AND(IF($Q21=3,1,0),IF($X21&lt;30,1,0))</formula>
    </cfRule>
    <cfRule type="expression" priority="721" dxfId="0">
      <formula>AND(IF($Q21=3,1,IF($Q21=4,1,0)),IF($F21&lt;=85,1,0))</formula>
    </cfRule>
  </conditionalFormatting>
  <conditionalFormatting sqref="X21">
    <cfRule type="expression" priority="714" dxfId="3">
      <formula>AND(IF(OR($Q21=1,$Q21=2),1,0),IF($X21&lt;=20,1,0))</formula>
    </cfRule>
    <cfRule type="expression" priority="715" dxfId="2">
      <formula>AND(IF($Q21=2,1,0),IF($X21&lt;30,1,0))</formula>
    </cfRule>
    <cfRule type="expression" priority="716" dxfId="1">
      <formula>AND(IF($Q21=3,1,0),IF($X21&lt;30,1,0))</formula>
    </cfRule>
    <cfRule type="expression" priority="717" dxfId="0">
      <formula>AND(IF($Q21=3,1,IF($Q21=4,1,0)),IF($F21&lt;=85,1,0))</formula>
    </cfRule>
  </conditionalFormatting>
  <conditionalFormatting sqref="AI21">
    <cfRule type="expression" priority="710" dxfId="3">
      <formula>AND(IF(OR($Q21=1,$Q21=2),1,0),IF($X21&lt;=20,1,0))</formula>
    </cfRule>
    <cfRule type="expression" priority="711" dxfId="2">
      <formula>AND(IF($Q21=2,1,0),IF($X21&lt;30,1,0))</formula>
    </cfRule>
    <cfRule type="expression" priority="712" dxfId="1">
      <formula>AND(IF($Q21=3,1,0),IF($X21&lt;30,1,0))</formula>
    </cfRule>
    <cfRule type="expression" priority="713" dxfId="0">
      <formula>AND(IF($Q21=3,1,IF($Q21=4,1,0)),IF($F21&lt;=85,1,0))</formula>
    </cfRule>
  </conditionalFormatting>
  <conditionalFormatting sqref="AV22">
    <cfRule type="expression" priority="708" dxfId="17">
      <formula>AV22="X"</formula>
    </cfRule>
    <cfRule type="expression" priority="709" dxfId="16">
      <formula>AV22="후보"</formula>
    </cfRule>
  </conditionalFormatting>
  <conditionalFormatting sqref="AC22">
    <cfRule type="cellIs" priority="705" operator="greaterThan" dxfId="13">
      <formula>0.9</formula>
    </cfRule>
    <cfRule type="cellIs" priority="706" operator="greaterThan" dxfId="12">
      <formula>0.85</formula>
    </cfRule>
  </conditionalFormatting>
  <conditionalFormatting sqref="N22">
    <cfRule type="cellIs" priority="703" operator="greaterThan" dxfId="13">
      <formula>0.9</formula>
    </cfRule>
    <cfRule type="cellIs" priority="704" operator="greaterThan" dxfId="12">
      <formula>0.85</formula>
    </cfRule>
  </conditionalFormatting>
  <conditionalFormatting sqref="E22">
    <cfRule type="expression" priority="699" dxfId="3">
      <formula>AND(IF(OR($Q22=1,$Q22=2),1,0),IF($X22&lt;=20,1,0))</formula>
    </cfRule>
    <cfRule type="expression" priority="700" dxfId="2">
      <formula>AND(IF($Q22=2,1,0),IF($X22&lt;30,1,0))</formula>
    </cfRule>
    <cfRule type="expression" priority="701" dxfId="1">
      <formula>AND(IF($Q22=3,1,0),IF($X22&lt;30,1,0))</formula>
    </cfRule>
    <cfRule type="expression" priority="702" dxfId="0">
      <formula>AND(IF($Q22=3,1,IF($Q22=4,1,0)),IF($F22&lt;=85,1,0))</formula>
    </cfRule>
  </conditionalFormatting>
  <conditionalFormatting sqref="X22">
    <cfRule type="expression" priority="695" dxfId="3">
      <formula>AND(IF(OR($Q22=1,$Q22=2),1,0),IF($X22&lt;=20,1,0))</formula>
    </cfRule>
    <cfRule type="expression" priority="696" dxfId="2">
      <formula>AND(IF($Q22=2,1,0),IF($X22&lt;30,1,0))</formula>
    </cfRule>
    <cfRule type="expression" priority="697" dxfId="1">
      <formula>AND(IF($Q22=3,1,0),IF($X22&lt;30,1,0))</formula>
    </cfRule>
    <cfRule type="expression" priority="698" dxfId="0">
      <formula>AND(IF($Q22=3,1,IF($Q22=4,1,0)),IF($F22&lt;=85,1,0))</formula>
    </cfRule>
  </conditionalFormatting>
  <conditionalFormatting sqref="AI22">
    <cfRule type="expression" priority="691" dxfId="3">
      <formula>AND(IF(OR($Q22=1,$Q22=2),1,0),IF($X22&lt;=20,1,0))</formula>
    </cfRule>
    <cfRule type="expression" priority="692" dxfId="2">
      <formula>AND(IF($Q22=2,1,0),IF($X22&lt;30,1,0))</formula>
    </cfRule>
    <cfRule type="expression" priority="693" dxfId="1">
      <formula>AND(IF($Q22=3,1,0),IF($X22&lt;30,1,0))</formula>
    </cfRule>
    <cfRule type="expression" priority="694" dxfId="0">
      <formula>AND(IF($Q22=3,1,IF($Q22=4,1,0)),IF($F22&lt;=85,1,0))</formula>
    </cfRule>
  </conditionalFormatting>
  <conditionalFormatting sqref="AV23">
    <cfRule type="expression" priority="689" dxfId="17">
      <formula>AV23="X"</formula>
    </cfRule>
    <cfRule type="expression" priority="690" dxfId="16">
      <formula>AV23="후보"</formula>
    </cfRule>
  </conditionalFormatting>
  <conditionalFormatting sqref="AC23">
    <cfRule type="cellIs" priority="686" operator="greaterThan" dxfId="13">
      <formula>0.9</formula>
    </cfRule>
    <cfRule type="cellIs" priority="687" operator="greaterThan" dxfId="12">
      <formula>0.85</formula>
    </cfRule>
  </conditionalFormatting>
  <conditionalFormatting sqref="N23">
    <cfRule type="cellIs" priority="684" operator="greaterThan" dxfId="13">
      <formula>0.9</formula>
    </cfRule>
    <cfRule type="cellIs" priority="685" operator="greaterThan" dxfId="12">
      <formula>0.85</formula>
    </cfRule>
  </conditionalFormatting>
  <conditionalFormatting sqref="E23">
    <cfRule type="expression" priority="680" dxfId="3">
      <formula>AND(IF(OR($Q23=1,$Q23=2),1,0),IF($X23&lt;=20,1,0))</formula>
    </cfRule>
    <cfRule type="expression" priority="681" dxfId="2">
      <formula>AND(IF($Q23=2,1,0),IF($X23&lt;30,1,0))</formula>
    </cfRule>
    <cfRule type="expression" priority="682" dxfId="1">
      <formula>AND(IF($Q23=3,1,0),IF($X23&lt;30,1,0))</formula>
    </cfRule>
    <cfRule type="expression" priority="683" dxfId="0">
      <formula>AND(IF($Q23=3,1,IF($Q23=4,1,0)),IF($F23&lt;=85,1,0))</formula>
    </cfRule>
  </conditionalFormatting>
  <conditionalFormatting sqref="X23">
    <cfRule type="expression" priority="676" dxfId="3">
      <formula>AND(IF(OR($Q23=1,$Q23=2),1,0),IF($X23&lt;=20,1,0))</formula>
    </cfRule>
    <cfRule type="expression" priority="677" dxfId="2">
      <formula>AND(IF($Q23=2,1,0),IF($X23&lt;30,1,0))</formula>
    </cfRule>
    <cfRule type="expression" priority="678" dxfId="1">
      <formula>AND(IF($Q23=3,1,0),IF($X23&lt;30,1,0))</formula>
    </cfRule>
    <cfRule type="expression" priority="679" dxfId="0">
      <formula>AND(IF($Q23=3,1,IF($Q23=4,1,0)),IF($F23&lt;=85,1,0))</formula>
    </cfRule>
  </conditionalFormatting>
  <conditionalFormatting sqref="AI23">
    <cfRule type="expression" priority="672" dxfId="3">
      <formula>AND(IF(OR($Q23=1,$Q23=2),1,0),IF($X23&lt;=20,1,0))</formula>
    </cfRule>
    <cfRule type="expression" priority="673" dxfId="2">
      <formula>AND(IF($Q23=2,1,0),IF($X23&lt;30,1,0))</formula>
    </cfRule>
    <cfRule type="expression" priority="674" dxfId="1">
      <formula>AND(IF($Q23=3,1,0),IF($X23&lt;30,1,0))</formula>
    </cfRule>
    <cfRule type="expression" priority="675" dxfId="0">
      <formula>AND(IF($Q23=3,1,IF($Q23=4,1,0)),IF($F23&lt;=85,1,0))</formula>
    </cfRule>
  </conditionalFormatting>
  <conditionalFormatting sqref="AV24">
    <cfRule type="expression" priority="670" dxfId="17">
      <formula>AV24="X"</formula>
    </cfRule>
    <cfRule type="expression" priority="671" dxfId="16">
      <formula>AV24="후보"</formula>
    </cfRule>
  </conditionalFormatting>
  <conditionalFormatting sqref="AC24">
    <cfRule type="cellIs" priority="667" operator="greaterThan" dxfId="13">
      <formula>0.9</formula>
    </cfRule>
    <cfRule type="cellIs" priority="668" operator="greaterThan" dxfId="12">
      <formula>0.85</formula>
    </cfRule>
  </conditionalFormatting>
  <conditionalFormatting sqref="N24">
    <cfRule type="cellIs" priority="665" operator="greaterThan" dxfId="13">
      <formula>0.9</formula>
    </cfRule>
    <cfRule type="cellIs" priority="666" operator="greaterThan" dxfId="12">
      <formula>0.85</formula>
    </cfRule>
  </conditionalFormatting>
  <conditionalFormatting sqref="E24">
    <cfRule type="expression" priority="661" dxfId="3">
      <formula>AND(IF(OR($Q24=1,$Q24=2),1,0),IF($X24&lt;=20,1,0))</formula>
    </cfRule>
    <cfRule type="expression" priority="662" dxfId="2">
      <formula>AND(IF($Q24=2,1,0),IF($X24&lt;30,1,0))</formula>
    </cfRule>
    <cfRule type="expression" priority="663" dxfId="1">
      <formula>AND(IF($Q24=3,1,0),IF($X24&lt;30,1,0))</formula>
    </cfRule>
    <cfRule type="expression" priority="664" dxfId="0">
      <formula>AND(IF($Q24=3,1,IF($Q24=4,1,0)),IF($F24&lt;=85,1,0))</formula>
    </cfRule>
  </conditionalFormatting>
  <conditionalFormatting sqref="X24">
    <cfRule type="expression" priority="657" dxfId="3">
      <formula>AND(IF(OR($Q24=1,$Q24=2),1,0),IF($X24&lt;=20,1,0))</formula>
    </cfRule>
    <cfRule type="expression" priority="658" dxfId="2">
      <formula>AND(IF($Q24=2,1,0),IF($X24&lt;30,1,0))</formula>
    </cfRule>
    <cfRule type="expression" priority="659" dxfId="1">
      <formula>AND(IF($Q24=3,1,0),IF($X24&lt;30,1,0))</formula>
    </cfRule>
    <cfRule type="expression" priority="660" dxfId="0">
      <formula>AND(IF($Q24=3,1,IF($Q24=4,1,0)),IF($F24&lt;=85,1,0))</formula>
    </cfRule>
  </conditionalFormatting>
  <conditionalFormatting sqref="AI24">
    <cfRule type="expression" priority="653" dxfId="3">
      <formula>AND(IF(OR($Q24=1,$Q24=2),1,0),IF($X24&lt;=20,1,0))</formula>
    </cfRule>
    <cfRule type="expression" priority="654" dxfId="2">
      <formula>AND(IF($Q24=2,1,0),IF($X24&lt;30,1,0))</formula>
    </cfRule>
    <cfRule type="expression" priority="655" dxfId="1">
      <formula>AND(IF($Q24=3,1,0),IF($X24&lt;30,1,0))</formula>
    </cfRule>
    <cfRule type="expression" priority="656" dxfId="0">
      <formula>AND(IF($Q24=3,1,IF($Q24=4,1,0)),IF($F24&lt;=85,1,0))</formula>
    </cfRule>
  </conditionalFormatting>
  <conditionalFormatting sqref="AV25">
    <cfRule type="expression" priority="651" dxfId="17">
      <formula>AV25="X"</formula>
    </cfRule>
    <cfRule type="expression" priority="652" dxfId="16">
      <formula>AV25="후보"</formula>
    </cfRule>
  </conditionalFormatting>
  <conditionalFormatting sqref="AC25">
    <cfRule type="cellIs" priority="648" operator="greaterThan" dxfId="13">
      <formula>0.9</formula>
    </cfRule>
    <cfRule type="cellIs" priority="649" operator="greaterThan" dxfId="12">
      <formula>0.85</formula>
    </cfRule>
  </conditionalFormatting>
  <conditionalFormatting sqref="N25">
    <cfRule type="cellIs" priority="646" operator="greaterThan" dxfId="13">
      <formula>0.9</formula>
    </cfRule>
    <cfRule type="cellIs" priority="647" operator="greaterThan" dxfId="12">
      <formula>0.85</formula>
    </cfRule>
  </conditionalFormatting>
  <conditionalFormatting sqref="E25">
    <cfRule type="expression" priority="642" dxfId="3">
      <formula>AND(IF(OR($Q25=1,$Q25=2),1,0),IF($X25&lt;=20,1,0))</formula>
    </cfRule>
    <cfRule type="expression" priority="643" dxfId="2">
      <formula>AND(IF($Q25=2,1,0),IF($X25&lt;30,1,0))</formula>
    </cfRule>
    <cfRule type="expression" priority="644" dxfId="1">
      <formula>AND(IF($Q25=3,1,0),IF($X25&lt;30,1,0))</formula>
    </cfRule>
    <cfRule type="expression" priority="645" dxfId="0">
      <formula>AND(IF($Q25=3,1,IF($Q25=4,1,0)),IF($F25&lt;=85,1,0))</formula>
    </cfRule>
  </conditionalFormatting>
  <conditionalFormatting sqref="X25">
    <cfRule type="expression" priority="638" dxfId="3">
      <formula>AND(IF(OR($Q25=1,$Q25=2),1,0),IF($X25&lt;=20,1,0))</formula>
    </cfRule>
    <cfRule type="expression" priority="639" dxfId="2">
      <formula>AND(IF($Q25=2,1,0),IF($X25&lt;30,1,0))</formula>
    </cfRule>
    <cfRule type="expression" priority="640" dxfId="1">
      <formula>AND(IF($Q25=3,1,0),IF($X25&lt;30,1,0))</formula>
    </cfRule>
    <cfRule type="expression" priority="641" dxfId="0">
      <formula>AND(IF($Q25=3,1,IF($Q25=4,1,0)),IF($F25&lt;=85,1,0))</formula>
    </cfRule>
  </conditionalFormatting>
  <conditionalFormatting sqref="AI25">
    <cfRule type="expression" priority="634" dxfId="3">
      <formula>AND(IF(OR($Q25=1,$Q25=2),1,0),IF($X25&lt;=20,1,0))</formula>
    </cfRule>
    <cfRule type="expression" priority="635" dxfId="2">
      <formula>AND(IF($Q25=2,1,0),IF($X25&lt;30,1,0))</formula>
    </cfRule>
    <cfRule type="expression" priority="636" dxfId="1">
      <formula>AND(IF($Q25=3,1,0),IF($X25&lt;30,1,0))</formula>
    </cfRule>
    <cfRule type="expression" priority="637" dxfId="0">
      <formula>AND(IF($Q25=3,1,IF($Q25=4,1,0)),IF($F25&lt;=85,1,0))</formula>
    </cfRule>
  </conditionalFormatting>
  <conditionalFormatting sqref="AV26">
    <cfRule type="expression" priority="632" dxfId="17">
      <formula>AV26="X"</formula>
    </cfRule>
    <cfRule type="expression" priority="633" dxfId="16">
      <formula>AV26="후보"</formula>
    </cfRule>
  </conditionalFormatting>
  <conditionalFormatting sqref="AC26">
    <cfRule type="cellIs" priority="629" operator="greaterThan" dxfId="13">
      <formula>0.9</formula>
    </cfRule>
    <cfRule type="cellIs" priority="630" operator="greaterThan" dxfId="12">
      <formula>0.85</formula>
    </cfRule>
  </conditionalFormatting>
  <conditionalFormatting sqref="N26">
    <cfRule type="cellIs" priority="627" operator="greaterThan" dxfId="13">
      <formula>0.9</formula>
    </cfRule>
    <cfRule type="cellIs" priority="628" operator="greaterThan" dxfId="12">
      <formula>0.85</formula>
    </cfRule>
  </conditionalFormatting>
  <conditionalFormatting sqref="E26">
    <cfRule type="expression" priority="623" dxfId="3">
      <formula>AND(IF(OR($Q26=1,$Q26=2),1,0),IF($X26&lt;=20,1,0))</formula>
    </cfRule>
    <cfRule type="expression" priority="624" dxfId="2">
      <formula>AND(IF($Q26=2,1,0),IF($X26&lt;30,1,0))</formula>
    </cfRule>
    <cfRule type="expression" priority="625" dxfId="1">
      <formula>AND(IF($Q26=3,1,0),IF($X26&lt;30,1,0))</formula>
    </cfRule>
    <cfRule type="expression" priority="626" dxfId="0">
      <formula>AND(IF($Q26=3,1,IF($Q26=4,1,0)),IF($F26&lt;=85,1,0))</formula>
    </cfRule>
  </conditionalFormatting>
  <conditionalFormatting sqref="X26">
    <cfRule type="expression" priority="619" dxfId="3">
      <formula>AND(IF(OR($Q26=1,$Q26=2),1,0),IF($X26&lt;=20,1,0))</formula>
    </cfRule>
    <cfRule type="expression" priority="620" dxfId="2">
      <formula>AND(IF($Q26=2,1,0),IF($X26&lt;30,1,0))</formula>
    </cfRule>
    <cfRule type="expression" priority="621" dxfId="1">
      <formula>AND(IF($Q26=3,1,0),IF($X26&lt;30,1,0))</formula>
    </cfRule>
    <cfRule type="expression" priority="622" dxfId="0">
      <formula>AND(IF($Q26=3,1,IF($Q26=4,1,0)),IF($F26&lt;=85,1,0))</formula>
    </cfRule>
  </conditionalFormatting>
  <conditionalFormatting sqref="AI26">
    <cfRule type="expression" priority="615" dxfId="3">
      <formula>AND(IF(OR($Q26=1,$Q26=2),1,0),IF($X26&lt;=20,1,0))</formula>
    </cfRule>
    <cfRule type="expression" priority="616" dxfId="2">
      <formula>AND(IF($Q26=2,1,0),IF($X26&lt;30,1,0))</formula>
    </cfRule>
    <cfRule type="expression" priority="617" dxfId="1">
      <formula>AND(IF($Q26=3,1,0),IF($X26&lt;30,1,0))</formula>
    </cfRule>
    <cfRule type="expression" priority="618" dxfId="0">
      <formula>AND(IF($Q26=3,1,IF($Q26=4,1,0)),IF($F26&lt;=85,1,0))</formula>
    </cfRule>
  </conditionalFormatting>
  <conditionalFormatting sqref="AV27">
    <cfRule type="expression" priority="613" dxfId="17">
      <formula>AV27="X"</formula>
    </cfRule>
    <cfRule type="expression" priority="614" dxfId="16">
      <formula>AV27="후보"</formula>
    </cfRule>
  </conditionalFormatting>
  <conditionalFormatting sqref="AC27 N27">
    <cfRule type="cellIs" priority="610" operator="greaterThan" dxfId="13">
      <formula>0.9</formula>
    </cfRule>
    <cfRule type="cellIs" priority="611" operator="greaterThan" dxfId="12">
      <formula>0.85</formula>
    </cfRule>
  </conditionalFormatting>
  <conditionalFormatting sqref="AV28">
    <cfRule type="expression" priority="608" dxfId="17">
      <formula>AV28="X"</formula>
    </cfRule>
    <cfRule type="expression" priority="609" dxfId="16">
      <formula>AV28="후보"</formula>
    </cfRule>
  </conditionalFormatting>
  <conditionalFormatting sqref="AC28">
    <cfRule type="cellIs" priority="605" operator="greaterThan" dxfId="13">
      <formula>0.9</formula>
    </cfRule>
    <cfRule type="cellIs" priority="606" operator="greaterThan" dxfId="12">
      <formula>0.85</formula>
    </cfRule>
  </conditionalFormatting>
  <conditionalFormatting sqref="N28">
    <cfRule type="cellIs" priority="603" operator="greaterThan" dxfId="13">
      <formula>0.9</formula>
    </cfRule>
    <cfRule type="cellIs" priority="604" operator="greaterThan" dxfId="12">
      <formula>0.85</formula>
    </cfRule>
  </conditionalFormatting>
  <conditionalFormatting sqref="E28">
    <cfRule type="expression" priority="599" dxfId="3">
      <formula>AND(IF(OR($Q28=1,$Q28=2),1,0),IF($X28&lt;=20,1,0))</formula>
    </cfRule>
    <cfRule type="expression" priority="600" dxfId="2">
      <formula>AND(IF($Q28=2,1,0),IF($X28&lt;30,1,0))</formula>
    </cfRule>
    <cfRule type="expression" priority="601" dxfId="1">
      <formula>AND(IF($Q28=3,1,0),IF($X28&lt;30,1,0))</formula>
    </cfRule>
    <cfRule type="expression" priority="602" dxfId="0">
      <formula>AND(IF($Q28=3,1,IF($Q28=4,1,0)),IF($F28&lt;=85,1,0))</formula>
    </cfRule>
  </conditionalFormatting>
  <conditionalFormatting sqref="X28">
    <cfRule type="expression" priority="595" dxfId="3">
      <formula>AND(IF(OR($Q28=1,$Q28=2),1,0),IF($X28&lt;=20,1,0))</formula>
    </cfRule>
    <cfRule type="expression" priority="596" dxfId="2">
      <formula>AND(IF($Q28=2,1,0),IF($X28&lt;30,1,0))</formula>
    </cfRule>
    <cfRule type="expression" priority="597" dxfId="1">
      <formula>AND(IF($Q28=3,1,0),IF($X28&lt;30,1,0))</formula>
    </cfRule>
    <cfRule type="expression" priority="598" dxfId="0">
      <formula>AND(IF($Q28=3,1,IF($Q28=4,1,0)),IF($F28&lt;=85,1,0))</formula>
    </cfRule>
  </conditionalFormatting>
  <conditionalFormatting sqref="AI28">
    <cfRule type="expression" priority="591" dxfId="3">
      <formula>AND(IF(OR($Q28=1,$Q28=2),1,0),IF($X28&lt;=20,1,0))</formula>
    </cfRule>
    <cfRule type="expression" priority="592" dxfId="2">
      <formula>AND(IF($Q28=2,1,0),IF($X28&lt;30,1,0))</formula>
    </cfRule>
    <cfRule type="expression" priority="593" dxfId="1">
      <formula>AND(IF($Q28=3,1,0),IF($X28&lt;30,1,0))</formula>
    </cfRule>
    <cfRule type="expression" priority="594" dxfId="0">
      <formula>AND(IF($Q28=3,1,IF($Q28=4,1,0)),IF($F28&lt;=85,1,0))</formula>
    </cfRule>
  </conditionalFormatting>
  <conditionalFormatting sqref="AV29">
    <cfRule type="expression" priority="589" dxfId="17">
      <formula>AV29="X"</formula>
    </cfRule>
    <cfRule type="expression" priority="590" dxfId="16">
      <formula>AV29="후보"</formula>
    </cfRule>
  </conditionalFormatting>
  <conditionalFormatting sqref="AC29">
    <cfRule type="cellIs" priority="586" operator="greaterThan" dxfId="13">
      <formula>0.9</formula>
    </cfRule>
    <cfRule type="cellIs" priority="587" operator="greaterThan" dxfId="12">
      <formula>0.85</formula>
    </cfRule>
  </conditionalFormatting>
  <conditionalFormatting sqref="N29">
    <cfRule type="cellIs" priority="584" operator="greaterThan" dxfId="13">
      <formula>0.9</formula>
    </cfRule>
    <cfRule type="cellIs" priority="585" operator="greaterThan" dxfId="12">
      <formula>0.85</formula>
    </cfRule>
  </conditionalFormatting>
  <conditionalFormatting sqref="E29">
    <cfRule type="expression" priority="580" dxfId="3">
      <formula>AND(IF(OR($Q29=1,$Q29=2),1,0),IF($X29&lt;=20,1,0))</formula>
    </cfRule>
    <cfRule type="expression" priority="581" dxfId="2">
      <formula>AND(IF($Q29=2,1,0),IF($X29&lt;30,1,0))</formula>
    </cfRule>
    <cfRule type="expression" priority="582" dxfId="1">
      <formula>AND(IF($Q29=3,1,0),IF($X29&lt;30,1,0))</formula>
    </cfRule>
    <cfRule type="expression" priority="583" dxfId="0">
      <formula>AND(IF($Q29=3,1,IF($Q29=4,1,0)),IF($F29&lt;=85,1,0))</formula>
    </cfRule>
  </conditionalFormatting>
  <conditionalFormatting sqref="X29">
    <cfRule type="expression" priority="576" dxfId="3">
      <formula>AND(IF(OR($Q29=1,$Q29=2),1,0),IF($X29&lt;=20,1,0))</formula>
    </cfRule>
    <cfRule type="expression" priority="577" dxfId="2">
      <formula>AND(IF($Q29=2,1,0),IF($X29&lt;30,1,0))</formula>
    </cfRule>
    <cfRule type="expression" priority="578" dxfId="1">
      <formula>AND(IF($Q29=3,1,0),IF($X29&lt;30,1,0))</formula>
    </cfRule>
    <cfRule type="expression" priority="579" dxfId="0">
      <formula>AND(IF($Q29=3,1,IF($Q29=4,1,0)),IF($F29&lt;=85,1,0))</formula>
    </cfRule>
  </conditionalFormatting>
  <conditionalFormatting sqref="AI29">
    <cfRule type="expression" priority="572" dxfId="3">
      <formula>AND(IF(OR($Q29=1,$Q29=2),1,0),IF($X29&lt;=20,1,0))</formula>
    </cfRule>
    <cfRule type="expression" priority="573" dxfId="2">
      <formula>AND(IF($Q29=2,1,0),IF($X29&lt;30,1,0))</formula>
    </cfRule>
    <cfRule type="expression" priority="574" dxfId="1">
      <formula>AND(IF($Q29=3,1,0),IF($X29&lt;30,1,0))</formula>
    </cfRule>
    <cfRule type="expression" priority="575" dxfId="0">
      <formula>AND(IF($Q29=3,1,IF($Q29=4,1,0)),IF($F29&lt;=85,1,0))</formula>
    </cfRule>
  </conditionalFormatting>
  <conditionalFormatting sqref="AV30">
    <cfRule type="expression" priority="570" dxfId="17">
      <formula>AV30="X"</formula>
    </cfRule>
    <cfRule type="expression" priority="571" dxfId="16">
      <formula>AV30="후보"</formula>
    </cfRule>
  </conditionalFormatting>
  <conditionalFormatting sqref="AC30">
    <cfRule type="cellIs" priority="567" operator="greaterThan" dxfId="13">
      <formula>0.9</formula>
    </cfRule>
    <cfRule type="cellIs" priority="568" operator="greaterThan" dxfId="12">
      <formula>0.85</formula>
    </cfRule>
  </conditionalFormatting>
  <conditionalFormatting sqref="N30">
    <cfRule type="cellIs" priority="565" operator="greaterThan" dxfId="13">
      <formula>0.9</formula>
    </cfRule>
    <cfRule type="cellIs" priority="566" operator="greaterThan" dxfId="12">
      <formula>0.85</formula>
    </cfRule>
  </conditionalFormatting>
  <conditionalFormatting sqref="E30">
    <cfRule type="expression" priority="561" dxfId="3">
      <formula>AND(IF(OR($Q30=1,$Q30=2),1,0),IF($X30&lt;=20,1,0))</formula>
    </cfRule>
    <cfRule type="expression" priority="562" dxfId="2">
      <formula>AND(IF($Q30=2,1,0),IF($X30&lt;30,1,0))</formula>
    </cfRule>
    <cfRule type="expression" priority="563" dxfId="1">
      <formula>AND(IF($Q30=3,1,0),IF($X30&lt;30,1,0))</formula>
    </cfRule>
    <cfRule type="expression" priority="564" dxfId="0">
      <formula>AND(IF($Q30=3,1,IF($Q30=4,1,0)),IF($F30&lt;=85,1,0))</formula>
    </cfRule>
  </conditionalFormatting>
  <conditionalFormatting sqref="X30">
    <cfRule type="expression" priority="557" dxfId="3">
      <formula>AND(IF(OR($Q30=1,$Q30=2),1,0),IF($X30&lt;=20,1,0))</formula>
    </cfRule>
    <cfRule type="expression" priority="558" dxfId="2">
      <formula>AND(IF($Q30=2,1,0),IF($X30&lt;30,1,0))</formula>
    </cfRule>
    <cfRule type="expression" priority="559" dxfId="1">
      <formula>AND(IF($Q30=3,1,0),IF($X30&lt;30,1,0))</formula>
    </cfRule>
    <cfRule type="expression" priority="560" dxfId="0">
      <formula>AND(IF($Q30=3,1,IF($Q30=4,1,0)),IF($F30&lt;=85,1,0))</formula>
    </cfRule>
  </conditionalFormatting>
  <conditionalFormatting sqref="AI30">
    <cfRule type="expression" priority="553" dxfId="3">
      <formula>AND(IF(OR($Q30=1,$Q30=2),1,0),IF($X30&lt;=20,1,0))</formula>
    </cfRule>
    <cfRule type="expression" priority="554" dxfId="2">
      <formula>AND(IF($Q30=2,1,0),IF($X30&lt;30,1,0))</formula>
    </cfRule>
    <cfRule type="expression" priority="555" dxfId="1">
      <formula>AND(IF($Q30=3,1,0),IF($X30&lt;30,1,0))</formula>
    </cfRule>
    <cfRule type="expression" priority="556" dxfId="0">
      <formula>AND(IF($Q30=3,1,IF($Q30=4,1,0)),IF($F30&lt;=85,1,0))</formula>
    </cfRule>
  </conditionalFormatting>
  <conditionalFormatting sqref="AV31">
    <cfRule type="expression" priority="551" dxfId="17">
      <formula>AV31="X"</formula>
    </cfRule>
    <cfRule type="expression" priority="552" dxfId="16">
      <formula>AV31="후보"</formula>
    </cfRule>
  </conditionalFormatting>
  <conditionalFormatting sqref="AC31">
    <cfRule type="cellIs" priority="548" operator="greaterThan" dxfId="13">
      <formula>0.9</formula>
    </cfRule>
    <cfRule type="cellIs" priority="549" operator="greaterThan" dxfId="12">
      <formula>0.85</formula>
    </cfRule>
  </conditionalFormatting>
  <conditionalFormatting sqref="N31">
    <cfRule type="cellIs" priority="546" operator="greaterThan" dxfId="13">
      <formula>0.9</formula>
    </cfRule>
    <cfRule type="cellIs" priority="547" operator="greaterThan" dxfId="12">
      <formula>0.85</formula>
    </cfRule>
  </conditionalFormatting>
  <conditionalFormatting sqref="E31">
    <cfRule type="expression" priority="542" dxfId="3">
      <formula>AND(IF(OR($Q31=1,$Q31=2),1,0),IF($X31&lt;=20,1,0))</formula>
    </cfRule>
    <cfRule type="expression" priority="543" dxfId="2">
      <formula>AND(IF($Q31=2,1,0),IF($X31&lt;30,1,0))</formula>
    </cfRule>
    <cfRule type="expression" priority="544" dxfId="1">
      <formula>AND(IF($Q31=3,1,0),IF($X31&lt;30,1,0))</formula>
    </cfRule>
    <cfRule type="expression" priority="545" dxfId="0">
      <formula>AND(IF($Q31=3,1,IF($Q31=4,1,0)),IF($F31&lt;=85,1,0))</formula>
    </cfRule>
  </conditionalFormatting>
  <conditionalFormatting sqref="X31">
    <cfRule type="expression" priority="538" dxfId="3">
      <formula>AND(IF(OR($Q31=1,$Q31=2),1,0),IF($X31&lt;=20,1,0))</formula>
    </cfRule>
    <cfRule type="expression" priority="539" dxfId="2">
      <formula>AND(IF($Q31=2,1,0),IF($X31&lt;30,1,0))</formula>
    </cfRule>
    <cfRule type="expression" priority="540" dxfId="1">
      <formula>AND(IF($Q31=3,1,0),IF($X31&lt;30,1,0))</formula>
    </cfRule>
    <cfRule type="expression" priority="541" dxfId="0">
      <formula>AND(IF($Q31=3,1,IF($Q31=4,1,0)),IF($F31&lt;=85,1,0))</formula>
    </cfRule>
  </conditionalFormatting>
  <conditionalFormatting sqref="AI31">
    <cfRule type="expression" priority="534" dxfId="3">
      <formula>AND(IF(OR($Q31=1,$Q31=2),1,0),IF($X31&lt;=20,1,0))</formula>
    </cfRule>
    <cfRule type="expression" priority="535" dxfId="2">
      <formula>AND(IF($Q31=2,1,0),IF($X31&lt;30,1,0))</formula>
    </cfRule>
    <cfRule type="expression" priority="536" dxfId="1">
      <formula>AND(IF($Q31=3,1,0),IF($X31&lt;30,1,0))</formula>
    </cfRule>
    <cfRule type="expression" priority="537" dxfId="0">
      <formula>AND(IF($Q31=3,1,IF($Q31=4,1,0)),IF($F31&lt;=85,1,0))</formula>
    </cfRule>
  </conditionalFormatting>
  <conditionalFormatting sqref="AV32">
    <cfRule type="expression" priority="532" dxfId="17">
      <formula>AV32="X"</formula>
    </cfRule>
    <cfRule type="expression" priority="533" dxfId="16">
      <formula>AV32="후보"</formula>
    </cfRule>
  </conditionalFormatting>
  <conditionalFormatting sqref="AC32">
    <cfRule type="cellIs" priority="529" operator="greaterThan" dxfId="13">
      <formula>0.9</formula>
    </cfRule>
    <cfRule type="cellIs" priority="530" operator="greaterThan" dxfId="12">
      <formula>0.85</formula>
    </cfRule>
  </conditionalFormatting>
  <conditionalFormatting sqref="N32">
    <cfRule type="cellIs" priority="527" operator="greaterThan" dxfId="13">
      <formula>0.9</formula>
    </cfRule>
    <cfRule type="cellIs" priority="528" operator="greaterThan" dxfId="12">
      <formula>0.85</formula>
    </cfRule>
  </conditionalFormatting>
  <conditionalFormatting sqref="E32">
    <cfRule type="expression" priority="523" dxfId="3">
      <formula>AND(IF(OR($Q32=1,$Q32=2),1,0),IF($X32&lt;=20,1,0))</formula>
    </cfRule>
    <cfRule type="expression" priority="524" dxfId="2">
      <formula>AND(IF($Q32=2,1,0),IF($X32&lt;30,1,0))</formula>
    </cfRule>
    <cfRule type="expression" priority="525" dxfId="1">
      <formula>AND(IF($Q32=3,1,0),IF($X32&lt;30,1,0))</formula>
    </cfRule>
    <cfRule type="expression" priority="526" dxfId="0">
      <formula>AND(IF($Q32=3,1,IF($Q32=4,1,0)),IF($F32&lt;=85,1,0))</formula>
    </cfRule>
  </conditionalFormatting>
  <conditionalFormatting sqref="X32">
    <cfRule type="expression" priority="519" dxfId="3">
      <formula>AND(IF(OR($Q32=1,$Q32=2),1,0),IF($X32&lt;=20,1,0))</formula>
    </cfRule>
    <cfRule type="expression" priority="520" dxfId="2">
      <formula>AND(IF($Q32=2,1,0),IF($X32&lt;30,1,0))</formula>
    </cfRule>
    <cfRule type="expression" priority="521" dxfId="1">
      <formula>AND(IF($Q32=3,1,0),IF($X32&lt;30,1,0))</formula>
    </cfRule>
    <cfRule type="expression" priority="522" dxfId="0">
      <formula>AND(IF($Q32=3,1,IF($Q32=4,1,0)),IF($F32&lt;=85,1,0))</formula>
    </cfRule>
  </conditionalFormatting>
  <conditionalFormatting sqref="AI32">
    <cfRule type="expression" priority="515" dxfId="3">
      <formula>AND(IF(OR($Q32=1,$Q32=2),1,0),IF($X32&lt;=20,1,0))</formula>
    </cfRule>
    <cfRule type="expression" priority="516" dxfId="2">
      <formula>AND(IF($Q32=2,1,0),IF($X32&lt;30,1,0))</formula>
    </cfRule>
    <cfRule type="expression" priority="517" dxfId="1">
      <formula>AND(IF($Q32=3,1,0),IF($X32&lt;30,1,0))</formula>
    </cfRule>
    <cfRule type="expression" priority="518" dxfId="0">
      <formula>AND(IF($Q32=3,1,IF($Q32=4,1,0)),IF($F32&lt;=85,1,0))</formula>
    </cfRule>
  </conditionalFormatting>
  <conditionalFormatting sqref="AV33">
    <cfRule type="expression" priority="513" dxfId="17">
      <formula>AV33="X"</formula>
    </cfRule>
    <cfRule type="expression" priority="514" dxfId="16">
      <formula>AV33="후보"</formula>
    </cfRule>
  </conditionalFormatting>
  <conditionalFormatting sqref="AC33">
    <cfRule type="cellIs" priority="510" operator="greaterThan" dxfId="13">
      <formula>0.9</formula>
    </cfRule>
    <cfRule type="cellIs" priority="511" operator="greaterThan" dxfId="12">
      <formula>0.85</formula>
    </cfRule>
  </conditionalFormatting>
  <conditionalFormatting sqref="N33">
    <cfRule type="cellIs" priority="508" operator="greaterThan" dxfId="13">
      <formula>0.9</formula>
    </cfRule>
    <cfRule type="cellIs" priority="509" operator="greaterThan" dxfId="12">
      <formula>0.85</formula>
    </cfRule>
  </conditionalFormatting>
  <conditionalFormatting sqref="E33">
    <cfRule type="expression" priority="504" dxfId="3">
      <formula>AND(IF(OR($Q33=1,$Q33=2),1,0),IF($X33&lt;=20,1,0))</formula>
    </cfRule>
    <cfRule type="expression" priority="505" dxfId="2">
      <formula>AND(IF($Q33=2,1,0),IF($X33&lt;30,1,0))</formula>
    </cfRule>
    <cfRule type="expression" priority="506" dxfId="1">
      <formula>AND(IF($Q33=3,1,0),IF($X33&lt;30,1,0))</formula>
    </cfRule>
    <cfRule type="expression" priority="507" dxfId="0">
      <formula>AND(IF($Q33=3,1,IF($Q33=4,1,0)),IF($F33&lt;=85,1,0))</formula>
    </cfRule>
  </conditionalFormatting>
  <conditionalFormatting sqref="X33">
    <cfRule type="expression" priority="500" dxfId="3">
      <formula>AND(IF(OR($Q33=1,$Q33=2),1,0),IF($X33&lt;=20,1,0))</formula>
    </cfRule>
    <cfRule type="expression" priority="501" dxfId="2">
      <formula>AND(IF($Q33=2,1,0),IF($X33&lt;30,1,0))</formula>
    </cfRule>
    <cfRule type="expression" priority="502" dxfId="1">
      <formula>AND(IF($Q33=3,1,0),IF($X33&lt;30,1,0))</formula>
    </cfRule>
    <cfRule type="expression" priority="503" dxfId="0">
      <formula>AND(IF($Q33=3,1,IF($Q33=4,1,0)),IF($F33&lt;=85,1,0))</formula>
    </cfRule>
  </conditionalFormatting>
  <conditionalFormatting sqref="AI33">
    <cfRule type="expression" priority="496" dxfId="3">
      <formula>AND(IF(OR($Q33=1,$Q33=2),1,0),IF($X33&lt;=20,1,0))</formula>
    </cfRule>
    <cfRule type="expression" priority="497" dxfId="2">
      <formula>AND(IF($Q33=2,1,0),IF($X33&lt;30,1,0))</formula>
    </cfRule>
    <cfRule type="expression" priority="498" dxfId="1">
      <formula>AND(IF($Q33=3,1,0),IF($X33&lt;30,1,0))</formula>
    </cfRule>
    <cfRule type="expression" priority="499" dxfId="0">
      <formula>AND(IF($Q33=3,1,IF($Q33=4,1,0)),IF($F33&lt;=85,1,0))</formula>
    </cfRule>
  </conditionalFormatting>
  <conditionalFormatting sqref="AV34">
    <cfRule type="expression" priority="494" dxfId="17">
      <formula>AV34="X"</formula>
    </cfRule>
    <cfRule type="expression" priority="495" dxfId="16">
      <formula>AV34="후보"</formula>
    </cfRule>
  </conditionalFormatting>
  <conditionalFormatting sqref="AC34">
    <cfRule type="cellIs" priority="491" operator="greaterThan" dxfId="13">
      <formula>0.9</formula>
    </cfRule>
    <cfRule type="cellIs" priority="492" operator="greaterThan" dxfId="12">
      <formula>0.85</formula>
    </cfRule>
  </conditionalFormatting>
  <conditionalFormatting sqref="N34">
    <cfRule type="cellIs" priority="489" operator="greaterThan" dxfId="13">
      <formula>0.9</formula>
    </cfRule>
    <cfRule type="cellIs" priority="490" operator="greaterThan" dxfId="12">
      <formula>0.85</formula>
    </cfRule>
  </conditionalFormatting>
  <conditionalFormatting sqref="E34">
    <cfRule type="expression" priority="485" dxfId="3">
      <formula>AND(IF(OR($Q34=1,$Q34=2),1,0),IF($X34&lt;=20,1,0))</formula>
    </cfRule>
    <cfRule type="expression" priority="486" dxfId="2">
      <formula>AND(IF($Q34=2,1,0),IF($X34&lt;30,1,0))</formula>
    </cfRule>
    <cfRule type="expression" priority="487" dxfId="1">
      <formula>AND(IF($Q34=3,1,0),IF($X34&lt;30,1,0))</formula>
    </cfRule>
    <cfRule type="expression" priority="488" dxfId="0">
      <formula>AND(IF($Q34=3,1,IF($Q34=4,1,0)),IF($F34&lt;=85,1,0))</formula>
    </cfRule>
  </conditionalFormatting>
  <conditionalFormatting sqref="X34">
    <cfRule type="expression" priority="481" dxfId="3">
      <formula>AND(IF(OR($Q34=1,$Q34=2),1,0),IF($X34&lt;=20,1,0))</formula>
    </cfRule>
    <cfRule type="expression" priority="482" dxfId="2">
      <formula>AND(IF($Q34=2,1,0),IF($X34&lt;30,1,0))</formula>
    </cfRule>
    <cfRule type="expression" priority="483" dxfId="1">
      <formula>AND(IF($Q34=3,1,0),IF($X34&lt;30,1,0))</formula>
    </cfRule>
    <cfRule type="expression" priority="484" dxfId="0">
      <formula>AND(IF($Q34=3,1,IF($Q34=4,1,0)),IF($F34&lt;=85,1,0))</formula>
    </cfRule>
  </conditionalFormatting>
  <conditionalFormatting sqref="AI34">
    <cfRule type="expression" priority="477" dxfId="3">
      <formula>AND(IF(OR($Q34=1,$Q34=2),1,0),IF($X34&lt;=20,1,0))</formula>
    </cfRule>
    <cfRule type="expression" priority="478" dxfId="2">
      <formula>AND(IF($Q34=2,1,0),IF($X34&lt;30,1,0))</formula>
    </cfRule>
    <cfRule type="expression" priority="479" dxfId="1">
      <formula>AND(IF($Q34=3,1,0),IF($X34&lt;30,1,0))</formula>
    </cfRule>
    <cfRule type="expression" priority="480" dxfId="0">
      <formula>AND(IF($Q34=3,1,IF($Q34=4,1,0)),IF($F34&lt;=85,1,0))</formula>
    </cfRule>
  </conditionalFormatting>
  <conditionalFormatting sqref="AV35">
    <cfRule type="expression" priority="475" dxfId="17">
      <formula>AV35="X"</formula>
    </cfRule>
    <cfRule type="expression" priority="476" dxfId="16">
      <formula>AV35="후보"</formula>
    </cfRule>
  </conditionalFormatting>
  <conditionalFormatting sqref="AC35">
    <cfRule type="cellIs" priority="472" operator="greaterThan" dxfId="13">
      <formula>0.9</formula>
    </cfRule>
    <cfRule type="cellIs" priority="473" operator="greaterThan" dxfId="12">
      <formula>0.85</formula>
    </cfRule>
  </conditionalFormatting>
  <conditionalFormatting sqref="N35">
    <cfRule type="cellIs" priority="470" operator="greaterThan" dxfId="13">
      <formula>0.9</formula>
    </cfRule>
    <cfRule type="cellIs" priority="471" operator="greaterThan" dxfId="12">
      <formula>0.85</formula>
    </cfRule>
  </conditionalFormatting>
  <conditionalFormatting sqref="E35">
    <cfRule type="expression" priority="466" dxfId="3">
      <formula>AND(IF(OR($Q35=1,$Q35=2),1,0),IF($X35&lt;=20,1,0))</formula>
    </cfRule>
    <cfRule type="expression" priority="467" dxfId="2">
      <formula>AND(IF($Q35=2,1,0),IF($X35&lt;30,1,0))</formula>
    </cfRule>
    <cfRule type="expression" priority="468" dxfId="1">
      <formula>AND(IF($Q35=3,1,0),IF($X35&lt;30,1,0))</formula>
    </cfRule>
    <cfRule type="expression" priority="469" dxfId="0">
      <formula>AND(IF($Q35=3,1,IF($Q35=4,1,0)),IF($F35&lt;=85,1,0))</formula>
    </cfRule>
  </conditionalFormatting>
  <conditionalFormatting sqref="X35">
    <cfRule type="expression" priority="462" dxfId="3">
      <formula>AND(IF(OR($Q35=1,$Q35=2),1,0),IF($X35&lt;=20,1,0))</formula>
    </cfRule>
    <cfRule type="expression" priority="463" dxfId="2">
      <formula>AND(IF($Q35=2,1,0),IF($X35&lt;30,1,0))</formula>
    </cfRule>
    <cfRule type="expression" priority="464" dxfId="1">
      <formula>AND(IF($Q35=3,1,0),IF($X35&lt;30,1,0))</formula>
    </cfRule>
    <cfRule type="expression" priority="465" dxfId="0">
      <formula>AND(IF($Q35=3,1,IF($Q35=4,1,0)),IF($F35&lt;=85,1,0))</formula>
    </cfRule>
  </conditionalFormatting>
  <conditionalFormatting sqref="AI35">
    <cfRule type="expression" priority="458" dxfId="3">
      <formula>AND(IF(OR($Q35=1,$Q35=2),1,0),IF($X35&lt;=20,1,0))</formula>
    </cfRule>
    <cfRule type="expression" priority="459" dxfId="2">
      <formula>AND(IF($Q35=2,1,0),IF($X35&lt;30,1,0))</formula>
    </cfRule>
    <cfRule type="expression" priority="460" dxfId="1">
      <formula>AND(IF($Q35=3,1,0),IF($X35&lt;30,1,0))</formula>
    </cfRule>
    <cfRule type="expression" priority="461" dxfId="0">
      <formula>AND(IF($Q35=3,1,IF($Q35=4,1,0)),IF($F35&lt;=85,1,0))</formula>
    </cfRule>
  </conditionalFormatting>
  <conditionalFormatting sqref="AV36">
    <cfRule type="expression" priority="456" dxfId="17">
      <formula>AV36="X"</formula>
    </cfRule>
    <cfRule type="expression" priority="457" dxfId="16">
      <formula>AV36="후보"</formula>
    </cfRule>
  </conditionalFormatting>
  <conditionalFormatting sqref="AC36 N36">
    <cfRule type="cellIs" priority="453" operator="greaterThan" dxfId="13">
      <formula>0.9</formula>
    </cfRule>
    <cfRule type="cellIs" priority="454" operator="greaterThan" dxfId="12">
      <formula>0.85</formula>
    </cfRule>
  </conditionalFormatting>
  <conditionalFormatting sqref="AV37">
    <cfRule type="expression" priority="451" dxfId="17">
      <formula>AV37="X"</formula>
    </cfRule>
    <cfRule type="expression" priority="452" dxfId="16">
      <formula>AV37="후보"</formula>
    </cfRule>
  </conditionalFormatting>
  <conditionalFormatting sqref="AC37">
    <cfRule type="cellIs" priority="448" operator="greaterThan" dxfId="13">
      <formula>0.9</formula>
    </cfRule>
    <cfRule type="cellIs" priority="449" operator="greaterThan" dxfId="12">
      <formula>0.85</formula>
    </cfRule>
  </conditionalFormatting>
  <conditionalFormatting sqref="N37">
    <cfRule type="cellIs" priority="446" operator="greaterThan" dxfId="13">
      <formula>0.9</formula>
    </cfRule>
    <cfRule type="cellIs" priority="447" operator="greaterThan" dxfId="12">
      <formula>0.85</formula>
    </cfRule>
  </conditionalFormatting>
  <conditionalFormatting sqref="E37">
    <cfRule type="expression" priority="442" dxfId="3">
      <formula>AND(IF(OR($Q37=1,$Q37=2),1,0),IF($X37&lt;=20,1,0))</formula>
    </cfRule>
    <cfRule type="expression" priority="443" dxfId="2">
      <formula>AND(IF($Q37=2,1,0),IF($X37&lt;30,1,0))</formula>
    </cfRule>
    <cfRule type="expression" priority="444" dxfId="1">
      <formula>AND(IF($Q37=3,1,0),IF($X37&lt;30,1,0))</formula>
    </cfRule>
    <cfRule type="expression" priority="445" dxfId="0">
      <formula>AND(IF($Q37=3,1,IF($Q37=4,1,0)),IF($F37&lt;=85,1,0))</formula>
    </cfRule>
  </conditionalFormatting>
  <conditionalFormatting sqref="X37">
    <cfRule type="expression" priority="438" dxfId="3">
      <formula>AND(IF(OR($Q37=1,$Q37=2),1,0),IF($X37&lt;=20,1,0))</formula>
    </cfRule>
    <cfRule type="expression" priority="439" dxfId="2">
      <formula>AND(IF($Q37=2,1,0),IF($X37&lt;30,1,0))</formula>
    </cfRule>
    <cfRule type="expression" priority="440" dxfId="1">
      <formula>AND(IF($Q37=3,1,0),IF($X37&lt;30,1,0))</formula>
    </cfRule>
    <cfRule type="expression" priority="441" dxfId="0">
      <formula>AND(IF($Q37=3,1,IF($Q37=4,1,0)),IF($F37&lt;=85,1,0))</formula>
    </cfRule>
  </conditionalFormatting>
  <conditionalFormatting sqref="AI37">
    <cfRule type="expression" priority="434" dxfId="3">
      <formula>AND(IF(OR($Q37=1,$Q37=2),1,0),IF($X37&lt;=20,1,0))</formula>
    </cfRule>
    <cfRule type="expression" priority="435" dxfId="2">
      <formula>AND(IF($Q37=2,1,0),IF($X37&lt;30,1,0))</formula>
    </cfRule>
    <cfRule type="expression" priority="436" dxfId="1">
      <formula>AND(IF($Q37=3,1,0),IF($X37&lt;30,1,0))</formula>
    </cfRule>
    <cfRule type="expression" priority="437" dxfId="0">
      <formula>AND(IF($Q37=3,1,IF($Q37=4,1,0)),IF($F37&lt;=85,1,0))</formula>
    </cfRule>
  </conditionalFormatting>
  <conditionalFormatting sqref="AV38">
    <cfRule type="expression" priority="432" dxfId="17">
      <formula>AV38="X"</formula>
    </cfRule>
    <cfRule type="expression" priority="433" dxfId="16">
      <formula>AV38="후보"</formula>
    </cfRule>
  </conditionalFormatting>
  <conditionalFormatting sqref="AC38">
    <cfRule type="cellIs" priority="429" operator="greaterThan" dxfId="13">
      <formula>0.9</formula>
    </cfRule>
    <cfRule type="cellIs" priority="430" operator="greaterThan" dxfId="12">
      <formula>0.85</formula>
    </cfRule>
  </conditionalFormatting>
  <conditionalFormatting sqref="N38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E38">
    <cfRule type="expression" priority="423" dxfId="3">
      <formula>AND(IF(OR($Q38=1,$Q38=2),1,0),IF($X38&lt;=20,1,0))</formula>
    </cfRule>
    <cfRule type="expression" priority="424" dxfId="2">
      <formula>AND(IF($Q38=2,1,0),IF($X38&lt;30,1,0))</formula>
    </cfRule>
    <cfRule type="expression" priority="425" dxfId="1">
      <formula>AND(IF($Q38=3,1,0),IF($X38&lt;30,1,0))</formula>
    </cfRule>
    <cfRule type="expression" priority="426" dxfId="0">
      <formula>AND(IF($Q38=3,1,IF($Q38=4,1,0)),IF($F38&lt;=85,1,0))</formula>
    </cfRule>
  </conditionalFormatting>
  <conditionalFormatting sqref="X38">
    <cfRule type="expression" priority="419" dxfId="3">
      <formula>AND(IF(OR($Q38=1,$Q38=2),1,0),IF($X38&lt;=20,1,0))</formula>
    </cfRule>
    <cfRule type="expression" priority="420" dxfId="2">
      <formula>AND(IF($Q38=2,1,0),IF($X38&lt;30,1,0))</formula>
    </cfRule>
    <cfRule type="expression" priority="421" dxfId="1">
      <formula>AND(IF($Q38=3,1,0),IF($X38&lt;30,1,0))</formula>
    </cfRule>
    <cfRule type="expression" priority="422" dxfId="0">
      <formula>AND(IF($Q38=3,1,IF($Q38=4,1,0)),IF($F38&lt;=85,1,0))</formula>
    </cfRule>
  </conditionalFormatting>
  <conditionalFormatting sqref="AI38">
    <cfRule type="expression" priority="415" dxfId="3">
      <formula>AND(IF(OR($Q38=1,$Q38=2),1,0),IF($X38&lt;=20,1,0))</formula>
    </cfRule>
    <cfRule type="expression" priority="416" dxfId="2">
      <formula>AND(IF($Q38=2,1,0),IF($X38&lt;30,1,0))</formula>
    </cfRule>
    <cfRule type="expression" priority="417" dxfId="1">
      <formula>AND(IF($Q38=3,1,0),IF($X38&lt;30,1,0))</formula>
    </cfRule>
    <cfRule type="expression" priority="418" dxfId="0">
      <formula>AND(IF($Q38=3,1,IF($Q38=4,1,0)),IF($F38&lt;=85,1,0))</formula>
    </cfRule>
  </conditionalFormatting>
  <conditionalFormatting sqref="AV39">
    <cfRule type="expression" priority="413" dxfId="17">
      <formula>AV39="X"</formula>
    </cfRule>
    <cfRule type="expression" priority="414" dxfId="16">
      <formula>AV39="후보"</formula>
    </cfRule>
  </conditionalFormatting>
  <conditionalFormatting sqref="AC39">
    <cfRule type="cellIs" priority="410" operator="greaterThan" dxfId="13">
      <formula>0.9</formula>
    </cfRule>
    <cfRule type="cellIs" priority="411" operator="greaterThan" dxfId="12">
      <formula>0.85</formula>
    </cfRule>
  </conditionalFormatting>
  <conditionalFormatting sqref="N39">
    <cfRule type="cellIs" priority="408" operator="greaterThan" dxfId="13">
      <formula>0.9</formula>
    </cfRule>
    <cfRule type="cellIs" priority="409" operator="greaterThan" dxfId="12">
      <formula>0.85</formula>
    </cfRule>
  </conditionalFormatting>
  <conditionalFormatting sqref="E39">
    <cfRule type="expression" priority="404" dxfId="3">
      <formula>AND(IF(OR($Q39=1,$Q39=2),1,0),IF($X39&lt;=20,1,0))</formula>
    </cfRule>
    <cfRule type="expression" priority="405" dxfId="2">
      <formula>AND(IF($Q39=2,1,0),IF($X39&lt;30,1,0))</formula>
    </cfRule>
    <cfRule type="expression" priority="406" dxfId="1">
      <formula>AND(IF($Q39=3,1,0),IF($X39&lt;30,1,0))</formula>
    </cfRule>
    <cfRule type="expression" priority="407" dxfId="0">
      <formula>AND(IF($Q39=3,1,IF($Q39=4,1,0)),IF($F39&lt;=85,1,0))</formula>
    </cfRule>
  </conditionalFormatting>
  <conditionalFormatting sqref="X39">
    <cfRule type="expression" priority="400" dxfId="3">
      <formula>AND(IF(OR($Q39=1,$Q39=2),1,0),IF($X39&lt;=20,1,0))</formula>
    </cfRule>
    <cfRule type="expression" priority="401" dxfId="2">
      <formula>AND(IF($Q39=2,1,0),IF($X39&lt;30,1,0))</formula>
    </cfRule>
    <cfRule type="expression" priority="402" dxfId="1">
      <formula>AND(IF($Q39=3,1,0),IF($X39&lt;30,1,0))</formula>
    </cfRule>
    <cfRule type="expression" priority="403" dxfId="0">
      <formula>AND(IF($Q39=3,1,IF($Q39=4,1,0)),IF($F39&lt;=85,1,0))</formula>
    </cfRule>
  </conditionalFormatting>
  <conditionalFormatting sqref="AI39">
    <cfRule type="expression" priority="396" dxfId="3">
      <formula>AND(IF(OR($Q39=1,$Q39=2),1,0),IF($X39&lt;=20,1,0))</formula>
    </cfRule>
    <cfRule type="expression" priority="397" dxfId="2">
      <formula>AND(IF($Q39=2,1,0),IF($X39&lt;30,1,0))</formula>
    </cfRule>
    <cfRule type="expression" priority="398" dxfId="1">
      <formula>AND(IF($Q39=3,1,0),IF($X39&lt;30,1,0))</formula>
    </cfRule>
    <cfRule type="expression" priority="399" dxfId="0">
      <formula>AND(IF($Q39=3,1,IF($Q39=4,1,0)),IF($F39&lt;=85,1,0))</formula>
    </cfRule>
  </conditionalFormatting>
  <conditionalFormatting sqref="AV40">
    <cfRule type="expression" priority="394" dxfId="17">
      <formula>AV40="X"</formula>
    </cfRule>
    <cfRule type="expression" priority="395" dxfId="16">
      <formula>AV40="후보"</formula>
    </cfRule>
  </conditionalFormatting>
  <conditionalFormatting sqref="AC40 N40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AV41">
    <cfRule type="expression" priority="389" dxfId="17">
      <formula>AV41="X"</formula>
    </cfRule>
    <cfRule type="expression" priority="390" dxfId="16">
      <formula>AV41="후보"</formula>
    </cfRule>
  </conditionalFormatting>
  <conditionalFormatting sqref="AC41">
    <cfRule type="cellIs" priority="386" operator="greaterThan" dxfId="13">
      <formula>0.9</formula>
    </cfRule>
    <cfRule type="cellIs" priority="387" operator="greaterThan" dxfId="12">
      <formula>0.85</formula>
    </cfRule>
  </conditionalFormatting>
  <conditionalFormatting sqref="N41">
    <cfRule type="cellIs" priority="384" operator="greaterThan" dxfId="13">
      <formula>0.9</formula>
    </cfRule>
    <cfRule type="cellIs" priority="385" operator="greaterThan" dxfId="12">
      <formula>0.85</formula>
    </cfRule>
  </conditionalFormatting>
  <conditionalFormatting sqref="E41">
    <cfRule type="expression" priority="380" dxfId="3">
      <formula>AND(IF(OR($Q41=1,$Q41=2),1,0),IF($X41&lt;=20,1,0))</formula>
    </cfRule>
    <cfRule type="expression" priority="381" dxfId="2">
      <formula>AND(IF($Q41=2,1,0),IF($X41&lt;30,1,0))</formula>
    </cfRule>
    <cfRule type="expression" priority="382" dxfId="1">
      <formula>AND(IF($Q41=3,1,0),IF($X41&lt;30,1,0))</formula>
    </cfRule>
    <cfRule type="expression" priority="383" dxfId="0">
      <formula>AND(IF($Q41=3,1,IF($Q41=4,1,0)),IF($F41&lt;=85,1,0))</formula>
    </cfRule>
  </conditionalFormatting>
  <conditionalFormatting sqref="X41">
    <cfRule type="expression" priority="376" dxfId="3">
      <formula>AND(IF(OR($Q41=1,$Q41=2),1,0),IF($X41&lt;=20,1,0))</formula>
    </cfRule>
    <cfRule type="expression" priority="377" dxfId="2">
      <formula>AND(IF($Q41=2,1,0),IF($X41&lt;30,1,0))</formula>
    </cfRule>
    <cfRule type="expression" priority="378" dxfId="1">
      <formula>AND(IF($Q41=3,1,0),IF($X41&lt;30,1,0))</formula>
    </cfRule>
    <cfRule type="expression" priority="379" dxfId="0">
      <formula>AND(IF($Q41=3,1,IF($Q41=4,1,0)),IF($F41&lt;=85,1,0))</formula>
    </cfRule>
  </conditionalFormatting>
  <conditionalFormatting sqref="AI41">
    <cfRule type="expression" priority="372" dxfId="3">
      <formula>AND(IF(OR($Q41=1,$Q41=2),1,0),IF($X41&lt;=20,1,0))</formula>
    </cfRule>
    <cfRule type="expression" priority="373" dxfId="2">
      <formula>AND(IF($Q41=2,1,0),IF($X41&lt;30,1,0))</formula>
    </cfRule>
    <cfRule type="expression" priority="374" dxfId="1">
      <formula>AND(IF($Q41=3,1,0),IF($X41&lt;30,1,0))</formula>
    </cfRule>
    <cfRule type="expression" priority="375" dxfId="0">
      <formula>AND(IF($Q41=3,1,IF($Q41=4,1,0)),IF($F41&lt;=85,1,0))</formula>
    </cfRule>
  </conditionalFormatting>
  <conditionalFormatting sqref="AV42">
    <cfRule type="expression" priority="370" dxfId="17">
      <formula>AV42="X"</formula>
    </cfRule>
    <cfRule type="expression" priority="371" dxfId="16">
      <formula>AV42="후보"</formula>
    </cfRule>
  </conditionalFormatting>
  <conditionalFormatting sqref="AC42">
    <cfRule type="cellIs" priority="367" operator="greaterThan" dxfId="13">
      <formula>0.9</formula>
    </cfRule>
    <cfRule type="cellIs" priority="368" operator="greaterThan" dxfId="12">
      <formula>0.85</formula>
    </cfRule>
  </conditionalFormatting>
  <conditionalFormatting sqref="N42">
    <cfRule type="cellIs" priority="365" operator="greaterThan" dxfId="13">
      <formula>0.9</formula>
    </cfRule>
    <cfRule type="cellIs" priority="366" operator="greaterThan" dxfId="12">
      <formula>0.85</formula>
    </cfRule>
  </conditionalFormatting>
  <conditionalFormatting sqref="E42">
    <cfRule type="expression" priority="361" dxfId="3">
      <formula>AND(IF(OR($Q42=1,$Q42=2),1,0),IF($X42&lt;=20,1,0))</formula>
    </cfRule>
    <cfRule type="expression" priority="362" dxfId="2">
      <formula>AND(IF($Q42=2,1,0),IF($X42&lt;30,1,0))</formula>
    </cfRule>
    <cfRule type="expression" priority="363" dxfId="1">
      <formula>AND(IF($Q42=3,1,0),IF($X42&lt;30,1,0))</formula>
    </cfRule>
    <cfRule type="expression" priority="364" dxfId="0">
      <formula>AND(IF($Q42=3,1,IF($Q42=4,1,0)),IF($F42&lt;=85,1,0))</formula>
    </cfRule>
  </conditionalFormatting>
  <conditionalFormatting sqref="X42">
    <cfRule type="expression" priority="357" dxfId="3">
      <formula>AND(IF(OR($Q42=1,$Q42=2),1,0),IF($X42&lt;=20,1,0))</formula>
    </cfRule>
    <cfRule type="expression" priority="358" dxfId="2">
      <formula>AND(IF($Q42=2,1,0),IF($X42&lt;30,1,0))</formula>
    </cfRule>
    <cfRule type="expression" priority="359" dxfId="1">
      <formula>AND(IF($Q42=3,1,0),IF($X42&lt;30,1,0))</formula>
    </cfRule>
    <cfRule type="expression" priority="360" dxfId="0">
      <formula>AND(IF($Q42=3,1,IF($Q42=4,1,0)),IF($F42&lt;=85,1,0))</formula>
    </cfRule>
  </conditionalFormatting>
  <conditionalFormatting sqref="AI42">
    <cfRule type="expression" priority="353" dxfId="3">
      <formula>AND(IF(OR($Q42=1,$Q42=2),1,0),IF($X42&lt;=20,1,0))</formula>
    </cfRule>
    <cfRule type="expression" priority="354" dxfId="2">
      <formula>AND(IF($Q42=2,1,0),IF($X42&lt;30,1,0))</formula>
    </cfRule>
    <cfRule type="expression" priority="355" dxfId="1">
      <formula>AND(IF($Q42=3,1,0),IF($X42&lt;30,1,0))</formula>
    </cfRule>
    <cfRule type="expression" priority="356" dxfId="0">
      <formula>AND(IF($Q42=3,1,IF($Q42=4,1,0)),IF($F42&lt;=85,1,0))</formula>
    </cfRule>
  </conditionalFormatting>
  <conditionalFormatting sqref="AV43">
    <cfRule type="expression" priority="351" dxfId="17">
      <formula>AV43="X"</formula>
    </cfRule>
    <cfRule type="expression" priority="352" dxfId="16">
      <formula>AV43="후보"</formula>
    </cfRule>
  </conditionalFormatting>
  <conditionalFormatting sqref="AC43">
    <cfRule type="cellIs" priority="348" operator="greaterThan" dxfId="13">
      <formula>0.9</formula>
    </cfRule>
    <cfRule type="cellIs" priority="349" operator="greaterThan" dxfId="12">
      <formula>0.85</formula>
    </cfRule>
  </conditionalFormatting>
  <conditionalFormatting sqref="N43">
    <cfRule type="cellIs" priority="346" operator="greaterThan" dxfId="13">
      <formula>0.9</formula>
    </cfRule>
    <cfRule type="cellIs" priority="347" operator="greaterThan" dxfId="12">
      <formula>0.85</formula>
    </cfRule>
  </conditionalFormatting>
  <conditionalFormatting sqref="E43">
    <cfRule type="expression" priority="342" dxfId="3">
      <formula>AND(IF(OR($Q43=1,$Q43=2),1,0),IF($X43&lt;=20,1,0))</formula>
    </cfRule>
    <cfRule type="expression" priority="343" dxfId="2">
      <formula>AND(IF($Q43=2,1,0),IF($X43&lt;30,1,0))</formula>
    </cfRule>
    <cfRule type="expression" priority="344" dxfId="1">
      <formula>AND(IF($Q43=3,1,0),IF($X43&lt;30,1,0))</formula>
    </cfRule>
    <cfRule type="expression" priority="345" dxfId="0">
      <formula>AND(IF($Q43=3,1,IF($Q43=4,1,0)),IF($F43&lt;=85,1,0))</formula>
    </cfRule>
  </conditionalFormatting>
  <conditionalFormatting sqref="X43">
    <cfRule type="expression" priority="338" dxfId="3">
      <formula>AND(IF(OR($Q43=1,$Q43=2),1,0),IF($X43&lt;=20,1,0))</formula>
    </cfRule>
    <cfRule type="expression" priority="339" dxfId="2">
      <formula>AND(IF($Q43=2,1,0),IF($X43&lt;30,1,0))</formula>
    </cfRule>
    <cfRule type="expression" priority="340" dxfId="1">
      <formula>AND(IF($Q43=3,1,0),IF($X43&lt;30,1,0))</formula>
    </cfRule>
    <cfRule type="expression" priority="341" dxfId="0">
      <formula>AND(IF($Q43=3,1,IF($Q43=4,1,0)),IF($F43&lt;=85,1,0))</formula>
    </cfRule>
  </conditionalFormatting>
  <conditionalFormatting sqref="AI43">
    <cfRule type="expression" priority="334" dxfId="3">
      <formula>AND(IF(OR($Q43=1,$Q43=2),1,0),IF($X43&lt;=20,1,0))</formula>
    </cfRule>
    <cfRule type="expression" priority="335" dxfId="2">
      <formula>AND(IF($Q43=2,1,0),IF($X43&lt;30,1,0))</formula>
    </cfRule>
    <cfRule type="expression" priority="336" dxfId="1">
      <formula>AND(IF($Q43=3,1,0),IF($X43&lt;30,1,0))</formula>
    </cfRule>
    <cfRule type="expression" priority="337" dxfId="0">
      <formula>AND(IF($Q43=3,1,IF($Q43=4,1,0)),IF($F43&lt;=85,1,0))</formula>
    </cfRule>
  </conditionalFormatting>
  <conditionalFormatting sqref="AV44">
    <cfRule type="expression" priority="332" dxfId="17">
      <formula>AV44="X"</formula>
    </cfRule>
    <cfRule type="expression" priority="333" dxfId="16">
      <formula>AV44="후보"</formula>
    </cfRule>
  </conditionalFormatting>
  <conditionalFormatting sqref="AC44">
    <cfRule type="cellIs" priority="329" operator="greaterThan" dxfId="13">
      <formula>0.9</formula>
    </cfRule>
    <cfRule type="cellIs" priority="330" operator="greaterThan" dxfId="12">
      <formula>0.85</formula>
    </cfRule>
  </conditionalFormatting>
  <conditionalFormatting sqref="N44">
    <cfRule type="cellIs" priority="327" operator="greaterThan" dxfId="13">
      <formula>0.9</formula>
    </cfRule>
    <cfRule type="cellIs" priority="328" operator="greaterThan" dxfId="12">
      <formula>0.85</formula>
    </cfRule>
  </conditionalFormatting>
  <conditionalFormatting sqref="E44">
    <cfRule type="expression" priority="323" dxfId="3">
      <formula>AND(IF(OR($Q44=1,$Q44=2),1,0),IF($X44&lt;=20,1,0))</formula>
    </cfRule>
    <cfRule type="expression" priority="324" dxfId="2">
      <formula>AND(IF($Q44=2,1,0),IF($X44&lt;30,1,0))</formula>
    </cfRule>
    <cfRule type="expression" priority="325" dxfId="1">
      <formula>AND(IF($Q44=3,1,0),IF($X44&lt;30,1,0))</formula>
    </cfRule>
    <cfRule type="expression" priority="326" dxfId="0">
      <formula>AND(IF($Q44=3,1,IF($Q44=4,1,0)),IF($F44&lt;=85,1,0))</formula>
    </cfRule>
  </conditionalFormatting>
  <conditionalFormatting sqref="X44">
    <cfRule type="expression" priority="319" dxfId="3">
      <formula>AND(IF(OR($Q44=1,$Q44=2),1,0),IF($X44&lt;=20,1,0))</formula>
    </cfRule>
    <cfRule type="expression" priority="320" dxfId="2">
      <formula>AND(IF($Q44=2,1,0),IF($X44&lt;30,1,0))</formula>
    </cfRule>
    <cfRule type="expression" priority="321" dxfId="1">
      <formula>AND(IF($Q44=3,1,0),IF($X44&lt;30,1,0))</formula>
    </cfRule>
    <cfRule type="expression" priority="322" dxfId="0">
      <formula>AND(IF($Q44=3,1,IF($Q44=4,1,0)),IF($F44&lt;=85,1,0))</formula>
    </cfRule>
  </conditionalFormatting>
  <conditionalFormatting sqref="AI44">
    <cfRule type="expression" priority="315" dxfId="3">
      <formula>AND(IF(OR($Q44=1,$Q44=2),1,0),IF($X44&lt;=20,1,0))</formula>
    </cfRule>
    <cfRule type="expression" priority="316" dxfId="2">
      <formula>AND(IF($Q44=2,1,0),IF($X44&lt;30,1,0))</formula>
    </cfRule>
    <cfRule type="expression" priority="317" dxfId="1">
      <formula>AND(IF($Q44=3,1,0),IF($X44&lt;30,1,0))</formula>
    </cfRule>
    <cfRule type="expression" priority="318" dxfId="0">
      <formula>AND(IF($Q44=3,1,IF($Q44=4,1,0)),IF($F44&lt;=85,1,0))</formula>
    </cfRule>
  </conditionalFormatting>
  <conditionalFormatting sqref="AV45">
    <cfRule type="expression" priority="313" dxfId="17">
      <formula>AV45="X"</formula>
    </cfRule>
    <cfRule type="expression" priority="314" dxfId="16">
      <formula>AV45="후보"</formula>
    </cfRule>
  </conditionalFormatting>
  <conditionalFormatting sqref="AC45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45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45">
    <cfRule type="expression" priority="304" dxfId="3">
      <formula>AND(IF(OR($Q45=1,$Q45=2),1,0),IF($X45&lt;=20,1,0))</formula>
    </cfRule>
    <cfRule type="expression" priority="305" dxfId="2">
      <formula>AND(IF($Q45=2,1,0),IF($X45&lt;30,1,0))</formula>
    </cfRule>
    <cfRule type="expression" priority="306" dxfId="1">
      <formula>AND(IF($Q45=3,1,0),IF($X45&lt;30,1,0))</formula>
    </cfRule>
    <cfRule type="expression" priority="307" dxfId="0">
      <formula>AND(IF($Q45=3,1,IF($Q45=4,1,0)),IF($F45&lt;=85,1,0))</formula>
    </cfRule>
  </conditionalFormatting>
  <conditionalFormatting sqref="X45">
    <cfRule type="expression" priority="300" dxfId="3">
      <formula>AND(IF(OR($Q45=1,$Q45=2),1,0),IF($X45&lt;=20,1,0))</formula>
    </cfRule>
    <cfRule type="expression" priority="301" dxfId="2">
      <formula>AND(IF($Q45=2,1,0),IF($X45&lt;30,1,0))</formula>
    </cfRule>
    <cfRule type="expression" priority="302" dxfId="1">
      <formula>AND(IF($Q45=3,1,0),IF($X45&lt;30,1,0))</formula>
    </cfRule>
    <cfRule type="expression" priority="303" dxfId="0">
      <formula>AND(IF($Q45=3,1,IF($Q45=4,1,0)),IF($F45&lt;=85,1,0))</formula>
    </cfRule>
  </conditionalFormatting>
  <conditionalFormatting sqref="AI45">
    <cfRule type="expression" priority="296" dxfId="3">
      <formula>AND(IF(OR($Q45=1,$Q45=2),1,0),IF($X45&lt;=20,1,0))</formula>
    </cfRule>
    <cfRule type="expression" priority="297" dxfId="2">
      <formula>AND(IF($Q45=2,1,0),IF($X45&lt;30,1,0))</formula>
    </cfRule>
    <cfRule type="expression" priority="298" dxfId="1">
      <formula>AND(IF($Q45=3,1,0),IF($X45&lt;30,1,0))</formula>
    </cfRule>
    <cfRule type="expression" priority="299" dxfId="0">
      <formula>AND(IF($Q45=3,1,IF($Q45=4,1,0)),IF($F45&lt;=85,1,0))</formula>
    </cfRule>
  </conditionalFormatting>
  <conditionalFormatting sqref="AV46">
    <cfRule type="expression" priority="294" dxfId="17">
      <formula>AV46="X"</formula>
    </cfRule>
    <cfRule type="expression" priority="295" dxfId="16">
      <formula>AV46="후보"</formula>
    </cfRule>
  </conditionalFormatting>
  <conditionalFormatting sqref="AC46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46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46">
    <cfRule type="expression" priority="285" dxfId="3">
      <formula>AND(IF(OR($Q46=1,$Q46=2),1,0),IF($X46&lt;=20,1,0))</formula>
    </cfRule>
    <cfRule type="expression" priority="286" dxfId="2">
      <formula>AND(IF($Q46=2,1,0),IF($X46&lt;30,1,0))</formula>
    </cfRule>
    <cfRule type="expression" priority="287" dxfId="1">
      <formula>AND(IF($Q46=3,1,0),IF($X46&lt;30,1,0))</formula>
    </cfRule>
    <cfRule type="expression" priority="288" dxfId="0">
      <formula>AND(IF($Q46=3,1,IF($Q46=4,1,0)),IF($F46&lt;=85,1,0))</formula>
    </cfRule>
  </conditionalFormatting>
  <conditionalFormatting sqref="X46">
    <cfRule type="expression" priority="281" dxfId="3">
      <formula>AND(IF(OR($Q46=1,$Q46=2),1,0),IF($X46&lt;=20,1,0))</formula>
    </cfRule>
    <cfRule type="expression" priority="282" dxfId="2">
      <formula>AND(IF($Q46=2,1,0),IF($X46&lt;30,1,0))</formula>
    </cfRule>
    <cfRule type="expression" priority="283" dxfId="1">
      <formula>AND(IF($Q46=3,1,0),IF($X46&lt;30,1,0))</formula>
    </cfRule>
    <cfRule type="expression" priority="284" dxfId="0">
      <formula>AND(IF($Q46=3,1,IF($Q46=4,1,0)),IF($F46&lt;=85,1,0))</formula>
    </cfRule>
  </conditionalFormatting>
  <conditionalFormatting sqref="AI46">
    <cfRule type="expression" priority="277" dxfId="3">
      <formula>AND(IF(OR($Q46=1,$Q46=2),1,0),IF($X46&lt;=20,1,0))</formula>
    </cfRule>
    <cfRule type="expression" priority="278" dxfId="2">
      <formula>AND(IF($Q46=2,1,0),IF($X46&lt;30,1,0))</formula>
    </cfRule>
    <cfRule type="expression" priority="279" dxfId="1">
      <formula>AND(IF($Q46=3,1,0),IF($X46&lt;30,1,0))</formula>
    </cfRule>
    <cfRule type="expression" priority="280" dxfId="0">
      <formula>AND(IF($Q46=3,1,IF($Q46=4,1,0)),IF($F46&lt;=85,1,0))</formula>
    </cfRule>
  </conditionalFormatting>
  <conditionalFormatting sqref="AV47">
    <cfRule type="expression" priority="275" dxfId="17">
      <formula>AV47="X"</formula>
    </cfRule>
    <cfRule type="expression" priority="276" dxfId="16">
      <formula>AV47="후보"</formula>
    </cfRule>
  </conditionalFormatting>
  <conditionalFormatting sqref="AC47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47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47">
    <cfRule type="expression" priority="266" dxfId="3">
      <formula>AND(IF(OR($Q47=1,$Q47=2),1,0),IF($X47&lt;=20,1,0))</formula>
    </cfRule>
    <cfRule type="expression" priority="267" dxfId="2">
      <formula>AND(IF($Q47=2,1,0),IF($X47&lt;30,1,0))</formula>
    </cfRule>
    <cfRule type="expression" priority="268" dxfId="1">
      <formula>AND(IF($Q47=3,1,0),IF($X47&lt;30,1,0))</formula>
    </cfRule>
    <cfRule type="expression" priority="269" dxfId="0">
      <formula>AND(IF($Q47=3,1,IF($Q47=4,1,0)),IF($F47&lt;=85,1,0))</formula>
    </cfRule>
  </conditionalFormatting>
  <conditionalFormatting sqref="X47">
    <cfRule type="expression" priority="262" dxfId="3">
      <formula>AND(IF(OR($Q47=1,$Q47=2),1,0),IF($X47&lt;=20,1,0))</formula>
    </cfRule>
    <cfRule type="expression" priority="263" dxfId="2">
      <formula>AND(IF($Q47=2,1,0),IF($X47&lt;30,1,0))</formula>
    </cfRule>
    <cfRule type="expression" priority="264" dxfId="1">
      <formula>AND(IF($Q47=3,1,0),IF($X47&lt;30,1,0))</formula>
    </cfRule>
    <cfRule type="expression" priority="265" dxfId="0">
      <formula>AND(IF($Q47=3,1,IF($Q47=4,1,0)),IF($F47&lt;=85,1,0))</formula>
    </cfRule>
  </conditionalFormatting>
  <conditionalFormatting sqref="AI47">
    <cfRule type="expression" priority="258" dxfId="3">
      <formula>AND(IF(OR($Q47=1,$Q47=2),1,0),IF($X47&lt;=20,1,0))</formula>
    </cfRule>
    <cfRule type="expression" priority="259" dxfId="2">
      <formula>AND(IF($Q47=2,1,0),IF($X47&lt;30,1,0))</formula>
    </cfRule>
    <cfRule type="expression" priority="260" dxfId="1">
      <formula>AND(IF($Q47=3,1,0),IF($X47&lt;30,1,0))</formula>
    </cfRule>
    <cfRule type="expression" priority="261" dxfId="0">
      <formula>AND(IF($Q47=3,1,IF($Q47=4,1,0)),IF($F47&lt;=85,1,0))</formula>
    </cfRule>
  </conditionalFormatting>
  <conditionalFormatting sqref="AV48">
    <cfRule type="expression" priority="256" dxfId="17">
      <formula>AV48="X"</formula>
    </cfRule>
    <cfRule type="expression" priority="257" dxfId="16">
      <formula>AV48="후보"</formula>
    </cfRule>
  </conditionalFormatting>
  <conditionalFormatting sqref="AC48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48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48">
    <cfRule type="expression" priority="247" dxfId="3">
      <formula>AND(IF(OR($Q48=1,$Q48=2),1,0),IF($X48&lt;=20,1,0))</formula>
    </cfRule>
    <cfRule type="expression" priority="248" dxfId="2">
      <formula>AND(IF($Q48=2,1,0),IF($X48&lt;30,1,0))</formula>
    </cfRule>
    <cfRule type="expression" priority="249" dxfId="1">
      <formula>AND(IF($Q48=3,1,0),IF($X48&lt;30,1,0))</formula>
    </cfRule>
    <cfRule type="expression" priority="250" dxfId="0">
      <formula>AND(IF($Q48=3,1,IF($Q48=4,1,0)),IF($F48&lt;=85,1,0))</formula>
    </cfRule>
  </conditionalFormatting>
  <conditionalFormatting sqref="X48">
    <cfRule type="expression" priority="243" dxfId="3">
      <formula>AND(IF(OR($Q48=1,$Q48=2),1,0),IF($X48&lt;=20,1,0))</formula>
    </cfRule>
    <cfRule type="expression" priority="244" dxfId="2">
      <formula>AND(IF($Q48=2,1,0),IF($X48&lt;30,1,0))</formula>
    </cfRule>
    <cfRule type="expression" priority="245" dxfId="1">
      <formula>AND(IF($Q48=3,1,0),IF($X48&lt;30,1,0))</formula>
    </cfRule>
    <cfRule type="expression" priority="246" dxfId="0">
      <formula>AND(IF($Q48=3,1,IF($Q48=4,1,0)),IF($F48&lt;=85,1,0))</formula>
    </cfRule>
  </conditionalFormatting>
  <conditionalFormatting sqref="AI48">
    <cfRule type="expression" priority="239" dxfId="3">
      <formula>AND(IF(OR($Q48=1,$Q48=2),1,0),IF($X48&lt;=20,1,0))</formula>
    </cfRule>
    <cfRule type="expression" priority="240" dxfId="2">
      <formula>AND(IF($Q48=2,1,0),IF($X48&lt;30,1,0))</formula>
    </cfRule>
    <cfRule type="expression" priority="241" dxfId="1">
      <formula>AND(IF($Q48=3,1,0),IF($X48&lt;30,1,0))</formula>
    </cfRule>
    <cfRule type="expression" priority="242" dxfId="0">
      <formula>AND(IF($Q48=3,1,IF($Q48=4,1,0)),IF($F48&lt;=85,1,0))</formula>
    </cfRule>
  </conditionalFormatting>
  <conditionalFormatting sqref="AV49">
    <cfRule type="expression" priority="237" dxfId="17">
      <formula>AV49="X"</formula>
    </cfRule>
    <cfRule type="expression" priority="238" dxfId="16">
      <formula>AV49="후보"</formula>
    </cfRule>
  </conditionalFormatting>
  <conditionalFormatting sqref="AC49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49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49">
    <cfRule type="expression" priority="228" dxfId="3">
      <formula>AND(IF(OR($Q49=1,$Q49=2),1,0),IF($X49&lt;=20,1,0))</formula>
    </cfRule>
    <cfRule type="expression" priority="229" dxfId="2">
      <formula>AND(IF($Q49=2,1,0),IF($X49&lt;30,1,0))</formula>
    </cfRule>
    <cfRule type="expression" priority="230" dxfId="1">
      <formula>AND(IF($Q49=3,1,0),IF($X49&lt;30,1,0))</formula>
    </cfRule>
    <cfRule type="expression" priority="231" dxfId="0">
      <formula>AND(IF($Q49=3,1,IF($Q49=4,1,0)),IF($F49&lt;=85,1,0))</formula>
    </cfRule>
  </conditionalFormatting>
  <conditionalFormatting sqref="X49">
    <cfRule type="expression" priority="224" dxfId="3">
      <formula>AND(IF(OR($Q49=1,$Q49=2),1,0),IF($X49&lt;=20,1,0))</formula>
    </cfRule>
    <cfRule type="expression" priority="225" dxfId="2">
      <formula>AND(IF($Q49=2,1,0),IF($X49&lt;30,1,0))</formula>
    </cfRule>
    <cfRule type="expression" priority="226" dxfId="1">
      <formula>AND(IF($Q49=3,1,0),IF($X49&lt;30,1,0))</formula>
    </cfRule>
    <cfRule type="expression" priority="227" dxfId="0">
      <formula>AND(IF($Q49=3,1,IF($Q49=4,1,0)),IF($F49&lt;=85,1,0))</formula>
    </cfRule>
  </conditionalFormatting>
  <conditionalFormatting sqref="AI49">
    <cfRule type="expression" priority="220" dxfId="3">
      <formula>AND(IF(OR($Q49=1,$Q49=2),1,0),IF($X49&lt;=20,1,0))</formula>
    </cfRule>
    <cfRule type="expression" priority="221" dxfId="2">
      <formula>AND(IF($Q49=2,1,0),IF($X49&lt;30,1,0))</formula>
    </cfRule>
    <cfRule type="expression" priority="222" dxfId="1">
      <formula>AND(IF($Q49=3,1,0),IF($X49&lt;30,1,0))</formula>
    </cfRule>
    <cfRule type="expression" priority="223" dxfId="0">
      <formula>AND(IF($Q49=3,1,IF($Q49=4,1,0)),IF($F49&lt;=85,1,0))</formula>
    </cfRule>
  </conditionalFormatting>
  <conditionalFormatting sqref="AV50">
    <cfRule type="expression" priority="218" dxfId="17">
      <formula>AV50="X"</formula>
    </cfRule>
    <cfRule type="expression" priority="219" dxfId="16">
      <formula>AV50="후보"</formula>
    </cfRule>
  </conditionalFormatting>
  <conditionalFormatting sqref="AC50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50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50">
    <cfRule type="expression" priority="209" dxfId="3">
      <formula>AND(IF(OR($Q50=1,$Q50=2),1,0),IF($X50&lt;=20,1,0))</formula>
    </cfRule>
    <cfRule type="expression" priority="210" dxfId="2">
      <formula>AND(IF($Q50=2,1,0),IF($X50&lt;30,1,0))</formula>
    </cfRule>
    <cfRule type="expression" priority="211" dxfId="1">
      <formula>AND(IF($Q50=3,1,0),IF($X50&lt;30,1,0))</formula>
    </cfRule>
    <cfRule type="expression" priority="212" dxfId="0">
      <formula>AND(IF($Q50=3,1,IF($Q50=4,1,0)),IF($F50&lt;=85,1,0))</formula>
    </cfRule>
  </conditionalFormatting>
  <conditionalFormatting sqref="X50">
    <cfRule type="expression" priority="205" dxfId="3">
      <formula>AND(IF(OR($Q50=1,$Q50=2),1,0),IF($X50&lt;=20,1,0))</formula>
    </cfRule>
    <cfRule type="expression" priority="206" dxfId="2">
      <formula>AND(IF($Q50=2,1,0),IF($X50&lt;30,1,0))</formula>
    </cfRule>
    <cfRule type="expression" priority="207" dxfId="1">
      <formula>AND(IF($Q50=3,1,0),IF($X50&lt;30,1,0))</formula>
    </cfRule>
    <cfRule type="expression" priority="208" dxfId="0">
      <formula>AND(IF($Q50=3,1,IF($Q50=4,1,0)),IF($F50&lt;=85,1,0))</formula>
    </cfRule>
  </conditionalFormatting>
  <conditionalFormatting sqref="AI50">
    <cfRule type="expression" priority="201" dxfId="3">
      <formula>AND(IF(OR($Q50=1,$Q50=2),1,0),IF($X50&lt;=20,1,0))</formula>
    </cfRule>
    <cfRule type="expression" priority="202" dxfId="2">
      <formula>AND(IF($Q50=2,1,0),IF($X50&lt;30,1,0))</formula>
    </cfRule>
    <cfRule type="expression" priority="203" dxfId="1">
      <formula>AND(IF($Q50=3,1,0),IF($X50&lt;30,1,0))</formula>
    </cfRule>
    <cfRule type="expression" priority="204" dxfId="0">
      <formula>AND(IF($Q50=3,1,IF($Q50=4,1,0)),IF($F50&lt;=85,1,0))</formula>
    </cfRule>
  </conditionalFormatting>
  <conditionalFormatting sqref="AV51">
    <cfRule type="expression" priority="199" dxfId="17">
      <formula>AV51="X"</formula>
    </cfRule>
    <cfRule type="expression" priority="200" dxfId="16">
      <formula>AV51="후보"</formula>
    </cfRule>
  </conditionalFormatting>
  <conditionalFormatting sqref="AC51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51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51">
    <cfRule type="expression" priority="190" dxfId="3">
      <formula>AND(IF(OR($Q51=1,$Q51=2),1,0),IF($X51&lt;=20,1,0))</formula>
    </cfRule>
    <cfRule type="expression" priority="191" dxfId="2">
      <formula>AND(IF($Q51=2,1,0),IF($X51&lt;30,1,0))</formula>
    </cfRule>
    <cfRule type="expression" priority="192" dxfId="1">
      <formula>AND(IF($Q51=3,1,0),IF($X51&lt;30,1,0))</formula>
    </cfRule>
    <cfRule type="expression" priority="193" dxfId="0">
      <formula>AND(IF($Q51=3,1,IF($Q51=4,1,0)),IF($F51&lt;=85,1,0))</formula>
    </cfRule>
  </conditionalFormatting>
  <conditionalFormatting sqref="X51">
    <cfRule type="expression" priority="186" dxfId="3">
      <formula>AND(IF(OR($Q51=1,$Q51=2),1,0),IF($X51&lt;=20,1,0))</formula>
    </cfRule>
    <cfRule type="expression" priority="187" dxfId="2">
      <formula>AND(IF($Q51=2,1,0),IF($X51&lt;30,1,0))</formula>
    </cfRule>
    <cfRule type="expression" priority="188" dxfId="1">
      <formula>AND(IF($Q51=3,1,0),IF($X51&lt;30,1,0))</formula>
    </cfRule>
    <cfRule type="expression" priority="189" dxfId="0">
      <formula>AND(IF($Q51=3,1,IF($Q51=4,1,0)),IF($F51&lt;=85,1,0))</formula>
    </cfRule>
  </conditionalFormatting>
  <conditionalFormatting sqref="AI51">
    <cfRule type="expression" priority="182" dxfId="3">
      <formula>AND(IF(OR($Q51=1,$Q51=2),1,0),IF($X51&lt;=20,1,0))</formula>
    </cfRule>
    <cfRule type="expression" priority="183" dxfId="2">
      <formula>AND(IF($Q51=2,1,0),IF($X51&lt;30,1,0))</formula>
    </cfRule>
    <cfRule type="expression" priority="184" dxfId="1">
      <formula>AND(IF($Q51=3,1,0),IF($X51&lt;30,1,0))</formula>
    </cfRule>
    <cfRule type="expression" priority="185" dxfId="0">
      <formula>AND(IF($Q51=3,1,IF($Q51=4,1,0)),IF($F51&lt;=85,1,0))</formula>
    </cfRule>
  </conditionalFormatting>
  <conditionalFormatting sqref="AV52">
    <cfRule type="expression" priority="180" dxfId="17">
      <formula>AV52="X"</formula>
    </cfRule>
    <cfRule type="expression" priority="181" dxfId="16">
      <formula>AV52="후보"</formula>
    </cfRule>
  </conditionalFormatting>
  <conditionalFormatting sqref="AC52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52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52">
    <cfRule type="expression" priority="171" dxfId="3">
      <formula>AND(IF(OR($Q52=1,$Q52=2),1,0),IF($X52&lt;=20,1,0))</formula>
    </cfRule>
    <cfRule type="expression" priority="172" dxfId="2">
      <formula>AND(IF($Q52=2,1,0),IF($X52&lt;30,1,0))</formula>
    </cfRule>
    <cfRule type="expression" priority="173" dxfId="1">
      <formula>AND(IF($Q52=3,1,0),IF($X52&lt;30,1,0))</formula>
    </cfRule>
    <cfRule type="expression" priority="174" dxfId="0">
      <formula>AND(IF($Q52=3,1,IF($Q52=4,1,0)),IF($F52&lt;=85,1,0))</formula>
    </cfRule>
  </conditionalFormatting>
  <conditionalFormatting sqref="X52">
    <cfRule type="expression" priority="167" dxfId="3">
      <formula>AND(IF(OR($Q52=1,$Q52=2),1,0),IF($X52&lt;=20,1,0))</formula>
    </cfRule>
    <cfRule type="expression" priority="168" dxfId="2">
      <formula>AND(IF($Q52=2,1,0),IF($X52&lt;30,1,0))</formula>
    </cfRule>
    <cfRule type="expression" priority="169" dxfId="1">
      <formula>AND(IF($Q52=3,1,0),IF($X52&lt;30,1,0))</formula>
    </cfRule>
    <cfRule type="expression" priority="170" dxfId="0">
      <formula>AND(IF($Q52=3,1,IF($Q52=4,1,0)),IF($F52&lt;=85,1,0))</formula>
    </cfRule>
  </conditionalFormatting>
  <conditionalFormatting sqref="AI52">
    <cfRule type="expression" priority="163" dxfId="3">
      <formula>AND(IF(OR($Q52=1,$Q52=2),1,0),IF($X52&lt;=20,1,0))</formula>
    </cfRule>
    <cfRule type="expression" priority="164" dxfId="2">
      <formula>AND(IF($Q52=2,1,0),IF($X52&lt;30,1,0))</formula>
    </cfRule>
    <cfRule type="expression" priority="165" dxfId="1">
      <formula>AND(IF($Q52=3,1,0),IF($X52&lt;30,1,0))</formula>
    </cfRule>
    <cfRule type="expression" priority="166" dxfId="0">
      <formula>AND(IF($Q52=3,1,IF($Q52=4,1,0)),IF($F52&lt;=85,1,0))</formula>
    </cfRule>
  </conditionalFormatting>
  <conditionalFormatting sqref="AV53">
    <cfRule type="expression" priority="161" dxfId="17">
      <formula>AV53="X"</formula>
    </cfRule>
    <cfRule type="expression" priority="162" dxfId="16">
      <formula>AV53="후보"</formula>
    </cfRule>
  </conditionalFormatting>
  <conditionalFormatting sqref="AC53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53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53">
    <cfRule type="expression" priority="152" dxfId="3">
      <formula>AND(IF(OR($Q53=1,$Q53=2),1,0),IF($X53&lt;=20,1,0))</formula>
    </cfRule>
    <cfRule type="expression" priority="153" dxfId="2">
      <formula>AND(IF($Q53=2,1,0),IF($X53&lt;30,1,0))</formula>
    </cfRule>
    <cfRule type="expression" priority="154" dxfId="1">
      <formula>AND(IF($Q53=3,1,0),IF($X53&lt;30,1,0))</formula>
    </cfRule>
    <cfRule type="expression" priority="155" dxfId="0">
      <formula>AND(IF($Q53=3,1,IF($Q53=4,1,0)),IF($F53&lt;=85,1,0))</formula>
    </cfRule>
  </conditionalFormatting>
  <conditionalFormatting sqref="X53">
    <cfRule type="expression" priority="148" dxfId="3">
      <formula>AND(IF(OR($Q53=1,$Q53=2),1,0),IF($X53&lt;=20,1,0))</formula>
    </cfRule>
    <cfRule type="expression" priority="149" dxfId="2">
      <formula>AND(IF($Q53=2,1,0),IF($X53&lt;30,1,0))</formula>
    </cfRule>
    <cfRule type="expression" priority="150" dxfId="1">
      <formula>AND(IF($Q53=3,1,0),IF($X53&lt;30,1,0))</formula>
    </cfRule>
    <cfRule type="expression" priority="151" dxfId="0">
      <formula>AND(IF($Q53=3,1,IF($Q53=4,1,0)),IF($F53&lt;=85,1,0))</formula>
    </cfRule>
  </conditionalFormatting>
  <conditionalFormatting sqref="AI53">
    <cfRule type="expression" priority="144" dxfId="3">
      <formula>AND(IF(OR($Q53=1,$Q53=2),1,0),IF($X53&lt;=20,1,0))</formula>
    </cfRule>
    <cfRule type="expression" priority="145" dxfId="2">
      <formula>AND(IF($Q53=2,1,0),IF($X53&lt;30,1,0))</formula>
    </cfRule>
    <cfRule type="expression" priority="146" dxfId="1">
      <formula>AND(IF($Q53=3,1,0),IF($X53&lt;30,1,0))</formula>
    </cfRule>
    <cfRule type="expression" priority="147" dxfId="0">
      <formula>AND(IF($Q53=3,1,IF($Q53=4,1,0)),IF($F53&lt;=85,1,0))</formula>
    </cfRule>
  </conditionalFormatting>
  <conditionalFormatting sqref="AV54">
    <cfRule type="expression" priority="142" dxfId="17">
      <formula>AV54="X"</formula>
    </cfRule>
    <cfRule type="expression" priority="143" dxfId="16">
      <formula>AV54="후보"</formula>
    </cfRule>
  </conditionalFormatting>
  <conditionalFormatting sqref="AC54 N54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AV55">
    <cfRule type="expression" priority="137" dxfId="17">
      <formula>AV55="X"</formula>
    </cfRule>
    <cfRule type="expression" priority="138" dxfId="16">
      <formula>AV55="후보"</formula>
    </cfRule>
  </conditionalFormatting>
  <conditionalFormatting sqref="AC55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55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55">
    <cfRule type="expression" priority="128" dxfId="3">
      <formula>AND(IF(OR($Q55=1,$Q55=2),1,0),IF($X55&lt;=20,1,0))</formula>
    </cfRule>
    <cfRule type="expression" priority="129" dxfId="2">
      <formula>AND(IF($Q55=2,1,0),IF($X55&lt;30,1,0))</formula>
    </cfRule>
    <cfRule type="expression" priority="130" dxfId="1">
      <formula>AND(IF($Q55=3,1,0),IF($X55&lt;30,1,0))</formula>
    </cfRule>
    <cfRule type="expression" priority="131" dxfId="0">
      <formula>AND(IF($Q55=3,1,IF($Q55=4,1,0)),IF($F55&lt;=85,1,0))</formula>
    </cfRule>
  </conditionalFormatting>
  <conditionalFormatting sqref="X55">
    <cfRule type="expression" priority="124" dxfId="3">
      <formula>AND(IF(OR($Q55=1,$Q55=2),1,0),IF($X55&lt;=20,1,0))</formula>
    </cfRule>
    <cfRule type="expression" priority="125" dxfId="2">
      <formula>AND(IF($Q55=2,1,0),IF($X55&lt;30,1,0))</formula>
    </cfRule>
    <cfRule type="expression" priority="126" dxfId="1">
      <formula>AND(IF($Q55=3,1,0),IF($X55&lt;30,1,0))</formula>
    </cfRule>
    <cfRule type="expression" priority="127" dxfId="0">
      <formula>AND(IF($Q55=3,1,IF($Q55=4,1,0)),IF($F55&lt;=85,1,0))</formula>
    </cfRule>
  </conditionalFormatting>
  <conditionalFormatting sqref="AI55">
    <cfRule type="expression" priority="120" dxfId="3">
      <formula>AND(IF(OR($Q55=1,$Q55=2),1,0),IF($X55&lt;=20,1,0))</formula>
    </cfRule>
    <cfRule type="expression" priority="121" dxfId="2">
      <formula>AND(IF($Q55=2,1,0),IF($X55&lt;30,1,0))</formula>
    </cfRule>
    <cfRule type="expression" priority="122" dxfId="1">
      <formula>AND(IF($Q55=3,1,0),IF($X55&lt;30,1,0))</formula>
    </cfRule>
    <cfRule type="expression" priority="123" dxfId="0">
      <formula>AND(IF($Q55=3,1,IF($Q55=4,1,0)),IF($F55&lt;=85,1,0))</formula>
    </cfRule>
  </conditionalFormatting>
  <conditionalFormatting sqref="AV56">
    <cfRule type="expression" priority="118" dxfId="17">
      <formula>AV56="X"</formula>
    </cfRule>
    <cfRule type="expression" priority="119" dxfId="16">
      <formula>AV56="후보"</formula>
    </cfRule>
  </conditionalFormatting>
  <conditionalFormatting sqref="AC56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56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56">
    <cfRule type="expression" priority="109" dxfId="3">
      <formula>AND(IF(OR($Q56=1,$Q56=2),1,0),IF($X56&lt;=20,1,0))</formula>
    </cfRule>
    <cfRule type="expression" priority="110" dxfId="2">
      <formula>AND(IF($Q56=2,1,0),IF($X56&lt;30,1,0))</formula>
    </cfRule>
    <cfRule type="expression" priority="111" dxfId="1">
      <formula>AND(IF($Q56=3,1,0),IF($X56&lt;30,1,0))</formula>
    </cfRule>
    <cfRule type="expression" priority="112" dxfId="0">
      <formula>AND(IF($Q56=3,1,IF($Q56=4,1,0)),IF($F56&lt;=85,1,0))</formula>
    </cfRule>
  </conditionalFormatting>
  <conditionalFormatting sqref="X56">
    <cfRule type="expression" priority="105" dxfId="3">
      <formula>AND(IF(OR($Q56=1,$Q56=2),1,0),IF($X56&lt;=20,1,0))</formula>
    </cfRule>
    <cfRule type="expression" priority="106" dxfId="2">
      <formula>AND(IF($Q56=2,1,0),IF($X56&lt;30,1,0))</formula>
    </cfRule>
    <cfRule type="expression" priority="107" dxfId="1">
      <formula>AND(IF($Q56=3,1,0),IF($X56&lt;30,1,0))</formula>
    </cfRule>
    <cfRule type="expression" priority="108" dxfId="0">
      <formula>AND(IF($Q56=3,1,IF($Q56=4,1,0)),IF($F56&lt;=85,1,0))</formula>
    </cfRule>
  </conditionalFormatting>
  <conditionalFormatting sqref="AI56">
    <cfRule type="expression" priority="101" dxfId="3">
      <formula>AND(IF(OR($Q56=1,$Q56=2),1,0),IF($X56&lt;=20,1,0))</formula>
    </cfRule>
    <cfRule type="expression" priority="102" dxfId="2">
      <formula>AND(IF($Q56=2,1,0),IF($X56&lt;30,1,0))</formula>
    </cfRule>
    <cfRule type="expression" priority="103" dxfId="1">
      <formula>AND(IF($Q56=3,1,0),IF($X56&lt;30,1,0))</formula>
    </cfRule>
    <cfRule type="expression" priority="104" dxfId="0">
      <formula>AND(IF($Q56=3,1,IF($Q56=4,1,0)),IF($F56&lt;=85,1,0))</formula>
    </cfRule>
  </conditionalFormatting>
  <conditionalFormatting sqref="AV57">
    <cfRule type="expression" priority="99" dxfId="17">
      <formula>AV57="X"</formula>
    </cfRule>
    <cfRule type="expression" priority="100" dxfId="16">
      <formula>AV57="후보"</formula>
    </cfRule>
  </conditionalFormatting>
  <conditionalFormatting sqref="AC57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57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57">
    <cfRule type="expression" priority="90" dxfId="3">
      <formula>AND(IF(OR($Q57=1,$Q57=2),1,0),IF($X57&lt;=20,1,0))</formula>
    </cfRule>
    <cfRule type="expression" priority="91" dxfId="2">
      <formula>AND(IF($Q57=2,1,0),IF($X57&lt;30,1,0))</formula>
    </cfRule>
    <cfRule type="expression" priority="92" dxfId="1">
      <formula>AND(IF($Q57=3,1,0),IF($X57&lt;30,1,0))</formula>
    </cfRule>
    <cfRule type="expression" priority="93" dxfId="0">
      <formula>AND(IF($Q57=3,1,IF($Q57=4,1,0)),IF($F57&lt;=85,1,0))</formula>
    </cfRule>
  </conditionalFormatting>
  <conditionalFormatting sqref="X57">
    <cfRule type="expression" priority="86" dxfId="3">
      <formula>AND(IF(OR($Q57=1,$Q57=2),1,0),IF($X57&lt;=20,1,0))</formula>
    </cfRule>
    <cfRule type="expression" priority="87" dxfId="2">
      <formula>AND(IF($Q57=2,1,0),IF($X57&lt;30,1,0))</formula>
    </cfRule>
    <cfRule type="expression" priority="88" dxfId="1">
      <formula>AND(IF($Q57=3,1,0),IF($X57&lt;30,1,0))</formula>
    </cfRule>
    <cfRule type="expression" priority="89" dxfId="0">
      <formula>AND(IF($Q57=3,1,IF($Q57=4,1,0)),IF($F57&lt;=85,1,0))</formula>
    </cfRule>
  </conditionalFormatting>
  <conditionalFormatting sqref="AI57">
    <cfRule type="expression" priority="82" dxfId="3">
      <formula>AND(IF(OR($Q57=1,$Q57=2),1,0),IF($X57&lt;=20,1,0))</formula>
    </cfRule>
    <cfRule type="expression" priority="83" dxfId="2">
      <formula>AND(IF($Q57=2,1,0),IF($X57&lt;30,1,0))</formula>
    </cfRule>
    <cfRule type="expression" priority="84" dxfId="1">
      <formula>AND(IF($Q57=3,1,0),IF($X57&lt;30,1,0))</formula>
    </cfRule>
    <cfRule type="expression" priority="85" dxfId="0">
      <formula>AND(IF($Q57=3,1,IF($Q57=4,1,0)),IF($F57&lt;=85,1,0))</formula>
    </cfRule>
  </conditionalFormatting>
  <conditionalFormatting sqref="AV58">
    <cfRule type="expression" priority="80" dxfId="17">
      <formula>AV58="X"</formula>
    </cfRule>
    <cfRule type="expression" priority="81" dxfId="16">
      <formula>AV58="후보"</formula>
    </cfRule>
  </conditionalFormatting>
  <conditionalFormatting sqref="AC58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58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58">
    <cfRule type="expression" priority="71" dxfId="3">
      <formula>AND(IF(OR($Q58=1,$Q58=2),1,0),IF($X58&lt;=20,1,0))</formula>
    </cfRule>
    <cfRule type="expression" priority="72" dxfId="2">
      <formula>AND(IF($Q58=2,1,0),IF($X58&lt;30,1,0))</formula>
    </cfRule>
    <cfRule type="expression" priority="73" dxfId="1">
      <formula>AND(IF($Q58=3,1,0),IF($X58&lt;30,1,0))</formula>
    </cfRule>
    <cfRule type="expression" priority="74" dxfId="0">
      <formula>AND(IF($Q58=3,1,IF($Q58=4,1,0)),IF($F58&lt;=85,1,0))</formula>
    </cfRule>
  </conditionalFormatting>
  <conditionalFormatting sqref="X58">
    <cfRule type="expression" priority="67" dxfId="3">
      <formula>AND(IF(OR($Q58=1,$Q58=2),1,0),IF($X58&lt;=20,1,0))</formula>
    </cfRule>
    <cfRule type="expression" priority="68" dxfId="2">
      <formula>AND(IF($Q58=2,1,0),IF($X58&lt;30,1,0))</formula>
    </cfRule>
    <cfRule type="expression" priority="69" dxfId="1">
      <formula>AND(IF($Q58=3,1,0),IF($X58&lt;30,1,0))</formula>
    </cfRule>
    <cfRule type="expression" priority="70" dxfId="0">
      <formula>AND(IF($Q58=3,1,IF($Q58=4,1,0)),IF($F58&lt;=85,1,0))</formula>
    </cfRule>
  </conditionalFormatting>
  <conditionalFormatting sqref="AI58">
    <cfRule type="expression" priority="63" dxfId="3">
      <formula>AND(IF(OR($Q58=1,$Q58=2),1,0),IF($X58&lt;=20,1,0))</formula>
    </cfRule>
    <cfRule type="expression" priority="64" dxfId="2">
      <formula>AND(IF($Q58=2,1,0),IF($X58&lt;30,1,0))</formula>
    </cfRule>
    <cfRule type="expression" priority="65" dxfId="1">
      <formula>AND(IF($Q58=3,1,0),IF($X58&lt;30,1,0))</formula>
    </cfRule>
    <cfRule type="expression" priority="66" dxfId="0">
      <formula>AND(IF($Q58=3,1,IF($Q58=4,1,0)),IF($F58&lt;=85,1,0))</formula>
    </cfRule>
  </conditionalFormatting>
  <conditionalFormatting sqref="AV59">
    <cfRule type="expression" priority="61" dxfId="17">
      <formula>AV59="X"</formula>
    </cfRule>
    <cfRule type="expression" priority="62" dxfId="16">
      <formula>AV59="후보"</formula>
    </cfRule>
  </conditionalFormatting>
  <conditionalFormatting sqref="AC59 N59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60">
    <cfRule type="expression" priority="56" dxfId="17">
      <formula>AV60="X"</formula>
    </cfRule>
    <cfRule type="expression" priority="57" dxfId="16">
      <formula>AV60="후보"</formula>
    </cfRule>
  </conditionalFormatting>
  <conditionalFormatting sqref="AC60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60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60">
    <cfRule type="expression" priority="47" dxfId="3">
      <formula>AND(IF(OR($Q60=1,$Q60=2),1,0),IF($X60&lt;=20,1,0))</formula>
    </cfRule>
    <cfRule type="expression" priority="48" dxfId="2">
      <formula>AND(IF($Q60=2,1,0),IF($X60&lt;30,1,0))</formula>
    </cfRule>
    <cfRule type="expression" priority="49" dxfId="1">
      <formula>AND(IF($Q60=3,1,0),IF($X60&lt;30,1,0))</formula>
    </cfRule>
    <cfRule type="expression" priority="50" dxfId="0">
      <formula>AND(IF($Q60=3,1,IF($Q60=4,1,0)),IF($F60&lt;=85,1,0))</formula>
    </cfRule>
  </conditionalFormatting>
  <conditionalFormatting sqref="X60">
    <cfRule type="expression" priority="43" dxfId="3">
      <formula>AND(IF(OR($Q60=1,$Q60=2),1,0),IF($X60&lt;=20,1,0))</formula>
    </cfRule>
    <cfRule type="expression" priority="44" dxfId="2">
      <formula>AND(IF($Q60=2,1,0),IF($X60&lt;30,1,0))</formula>
    </cfRule>
    <cfRule type="expression" priority="45" dxfId="1">
      <formula>AND(IF($Q60=3,1,0),IF($X60&lt;30,1,0))</formula>
    </cfRule>
    <cfRule type="expression" priority="46" dxfId="0">
      <formula>AND(IF($Q60=3,1,IF($Q60=4,1,0)),IF($F60&lt;=85,1,0))</formula>
    </cfRule>
  </conditionalFormatting>
  <conditionalFormatting sqref="AI60">
    <cfRule type="expression" priority="39" dxfId="3">
      <formula>AND(IF(OR($Q60=1,$Q60=2),1,0),IF($X60&lt;=20,1,0))</formula>
    </cfRule>
    <cfRule type="expression" priority="40" dxfId="2">
      <formula>AND(IF($Q60=2,1,0),IF($X60&lt;30,1,0))</formula>
    </cfRule>
    <cfRule type="expression" priority="41" dxfId="1">
      <formula>AND(IF($Q60=3,1,0),IF($X60&lt;30,1,0))</formula>
    </cfRule>
    <cfRule type="expression" priority="42" dxfId="0">
      <formula>AND(IF($Q60=3,1,IF($Q60=4,1,0)),IF($F60&lt;=85,1,0))</formula>
    </cfRule>
  </conditionalFormatting>
  <conditionalFormatting sqref="AV61">
    <cfRule type="expression" priority="37" dxfId="17">
      <formula>AV61="X"</formula>
    </cfRule>
    <cfRule type="expression" priority="38" dxfId="16">
      <formula>AV61="후보"</formula>
    </cfRule>
  </conditionalFormatting>
  <conditionalFormatting sqref="AC61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61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61">
    <cfRule type="expression" priority="28" dxfId="3">
      <formula>AND(IF(OR($Q61=1,$Q61=2),1,0),IF($X61&lt;=20,1,0))</formula>
    </cfRule>
    <cfRule type="expression" priority="29" dxfId="2">
      <formula>AND(IF($Q61=2,1,0),IF($X61&lt;30,1,0))</formula>
    </cfRule>
    <cfRule type="expression" priority="30" dxfId="1">
      <formula>AND(IF($Q61=3,1,0),IF($X61&lt;30,1,0))</formula>
    </cfRule>
    <cfRule type="expression" priority="31" dxfId="0">
      <formula>AND(IF($Q61=3,1,IF($Q61=4,1,0)),IF($F61&lt;=85,1,0))</formula>
    </cfRule>
  </conditionalFormatting>
  <conditionalFormatting sqref="X61">
    <cfRule type="expression" priority="24" dxfId="3">
      <formula>AND(IF(OR($Q61=1,$Q61=2),1,0),IF($X61&lt;=20,1,0))</formula>
    </cfRule>
    <cfRule type="expression" priority="25" dxfId="2">
      <formula>AND(IF($Q61=2,1,0),IF($X61&lt;30,1,0))</formula>
    </cfRule>
    <cfRule type="expression" priority="26" dxfId="1">
      <formula>AND(IF($Q61=3,1,0),IF($X61&lt;30,1,0))</formula>
    </cfRule>
    <cfRule type="expression" priority="27" dxfId="0">
      <formula>AND(IF($Q61=3,1,IF($Q61=4,1,0)),IF($F61&lt;=85,1,0))</formula>
    </cfRule>
  </conditionalFormatting>
  <conditionalFormatting sqref="AI61">
    <cfRule type="expression" priority="20" dxfId="3">
      <formula>AND(IF(OR($Q61=1,$Q61=2),1,0),IF($X61&lt;=20,1,0))</formula>
    </cfRule>
    <cfRule type="expression" priority="21" dxfId="2">
      <formula>AND(IF($Q61=2,1,0),IF($X61&lt;30,1,0))</formula>
    </cfRule>
    <cfRule type="expression" priority="22" dxfId="1">
      <formula>AND(IF($Q61=3,1,0),IF($X61&lt;30,1,0))</formula>
    </cfRule>
    <cfRule type="expression" priority="23" dxfId="0">
      <formula>AND(IF($Q61=3,1,IF($Q61=4,1,0)),IF($F61&lt;=85,1,0))</formula>
    </cfRule>
  </conditionalFormatting>
  <conditionalFormatting sqref="AV62">
    <cfRule type="expression" priority="18" dxfId="17">
      <formula>AV62="X"</formula>
    </cfRule>
    <cfRule type="expression" priority="19" dxfId="16">
      <formula>AV62="후보"</formula>
    </cfRule>
  </conditionalFormatting>
  <conditionalFormatting sqref="AC62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62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62">
    <cfRule type="expression" priority="9" dxfId="3">
      <formula>AND(IF(OR($Q62=1,$Q62=2),1,0),IF($X62&lt;=20,1,0))</formula>
    </cfRule>
    <cfRule type="expression" priority="10" dxfId="2">
      <formula>AND(IF($Q62=2,1,0),IF($X62&lt;30,1,0))</formula>
    </cfRule>
    <cfRule type="expression" priority="11" dxfId="1">
      <formula>AND(IF($Q62=3,1,0),IF($X62&lt;30,1,0))</formula>
    </cfRule>
    <cfRule type="expression" priority="12" dxfId="0">
      <formula>AND(IF($Q62=3,1,IF($Q62=4,1,0)),IF($F62&lt;=85,1,0))</formula>
    </cfRule>
  </conditionalFormatting>
  <conditionalFormatting sqref="X62">
    <cfRule type="expression" priority="5" dxfId="3">
      <formula>AND(IF(OR($Q62=1,$Q62=2),1,0),IF($X62&lt;=20,1,0))</formula>
    </cfRule>
    <cfRule type="expression" priority="6" dxfId="2">
      <formula>AND(IF($Q62=2,1,0),IF($X62&lt;30,1,0))</formula>
    </cfRule>
    <cfRule type="expression" priority="7" dxfId="1">
      <formula>AND(IF($Q62=3,1,0),IF($X62&lt;30,1,0))</formula>
    </cfRule>
    <cfRule type="expression" priority="8" dxfId="0">
      <formula>AND(IF($Q62=3,1,IF($Q62=4,1,0)),IF($F62&lt;=85,1,0))</formula>
    </cfRule>
  </conditionalFormatting>
  <conditionalFormatting sqref="AI62">
    <cfRule type="expression" priority="1" dxfId="3">
      <formula>AND(IF(OR($Q62=1,$Q62=2),1,0),IF($X62&lt;=20,1,0))</formula>
    </cfRule>
    <cfRule type="expression" priority="2" dxfId="2">
      <formula>AND(IF($Q62=2,1,0),IF($X62&lt;30,1,0))</formula>
    </cfRule>
    <cfRule type="expression" priority="3" dxfId="1">
      <formula>AND(IF($Q62=3,1,0),IF($X62&lt;30,1,0))</formula>
    </cfRule>
    <cfRule type="expression" priority="4" dxfId="0">
      <formula>AND(IF($Q62=3,1,IF($Q62=4,1,0)),IF($F62&lt;=85,1,0))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4.xml><?xml version="1.0" encoding="utf-8"?>
<worksheet xmlns="http://schemas.openxmlformats.org/spreadsheetml/2006/main">
  <sheetPr codeName="Sheet15">
    <outlinePr summaryBelow="1" summaryRight="1"/>
    <pageSetUpPr fitToPage="1"/>
  </sheetPr>
  <dimension ref="A1:AV7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P21" sqref="P21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천호동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동아하이빌</t>
        </is>
      </c>
      <c r="B6" s="16" t="inlineStr">
        <is>
          <t>'00.06.</t>
        </is>
      </c>
      <c r="C6" s="164" t="n">
        <v>526</v>
      </c>
      <c r="D6" s="161" t="n">
        <v>78.3</v>
      </c>
      <c r="E6" s="163" t="n">
        <v>24</v>
      </c>
      <c r="F6" s="161" t="n">
        <v>60</v>
      </c>
      <c r="G6" s="27" t="n">
        <v>18</v>
      </c>
      <c r="H6" s="164" t="n">
        <v>17</v>
      </c>
      <c r="I6" s="165" t="n"/>
      <c r="J6" s="165" t="n"/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1</v>
      </c>
      <c r="S6" s="113" t="inlineStr">
        <is>
          <t>계</t>
        </is>
      </c>
      <c r="T6" s="8" t="n">
        <v>78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동아하이빌</t>
        </is>
      </c>
      <c r="B7" s="16" t="inlineStr">
        <is>
          <t>'00.06.</t>
        </is>
      </c>
      <c r="C7" s="164" t="n">
        <v>526</v>
      </c>
      <c r="D7" s="161" t="n">
        <v>87</v>
      </c>
      <c r="E7" s="163" t="n">
        <v>26</v>
      </c>
      <c r="F7" s="161" t="n">
        <v>60</v>
      </c>
      <c r="G7" s="27" t="n">
        <v>18</v>
      </c>
      <c r="H7" s="164" t="n">
        <v>194</v>
      </c>
      <c r="I7" s="165" t="n">
        <v>80000</v>
      </c>
      <c r="J7" s="165" t="inlineStr">
        <is>
          <t>12</t>
        </is>
      </c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1</v>
      </c>
      <c r="S7" s="113" t="inlineStr">
        <is>
          <t>복</t>
        </is>
      </c>
      <c r="T7" s="8" t="n">
        <v>86</v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동아하이빌</t>
        </is>
      </c>
      <c r="B8" s="16" t="inlineStr">
        <is>
          <t>'00.06.</t>
        </is>
      </c>
      <c r="C8" s="164" t="n">
        <v>526</v>
      </c>
      <c r="D8" s="161" t="n">
        <v>107.8</v>
      </c>
      <c r="E8" s="163" t="n">
        <v>33</v>
      </c>
      <c r="F8" s="161" t="n">
        <v>82.59999999999999</v>
      </c>
      <c r="G8" s="27" t="n">
        <v>25</v>
      </c>
      <c r="H8" s="164" t="n">
        <v>3</v>
      </c>
      <c r="I8" s="165" t="n"/>
      <c r="J8" s="165" t="n"/>
      <c r="K8" s="165" t="n"/>
      <c r="L8" s="165" t="n"/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n">
        <v>107</v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동아하이빌</t>
        </is>
      </c>
      <c r="B9" s="16" t="inlineStr">
        <is>
          <t>'00.06.</t>
        </is>
      </c>
      <c r="C9" s="164" t="n">
        <v>526</v>
      </c>
      <c r="D9" s="161" t="n">
        <v>110.9</v>
      </c>
      <c r="E9" s="163" t="n">
        <v>34</v>
      </c>
      <c r="F9" s="161" t="n">
        <v>85</v>
      </c>
      <c r="G9" s="27" t="n">
        <v>26</v>
      </c>
      <c r="H9" s="164" t="n">
        <v>295</v>
      </c>
      <c r="I9" s="165" t="n">
        <v>96000</v>
      </c>
      <c r="J9" s="165" t="inlineStr">
        <is>
          <t>고</t>
        </is>
      </c>
      <c r="K9" s="165" t="n">
        <v>65000</v>
      </c>
      <c r="L9" s="165" t="inlineStr">
        <is>
          <t>9</t>
        </is>
      </c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n">
        <v>110</v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동아하이빌</t>
        </is>
      </c>
      <c r="B10" s="16" t="inlineStr">
        <is>
          <t>'00.06.</t>
        </is>
      </c>
      <c r="C10" s="164" t="n">
        <v>526</v>
      </c>
      <c r="D10" s="161" t="n">
        <v>150.1</v>
      </c>
      <c r="E10" s="163" t="n">
        <v>45</v>
      </c>
      <c r="F10" s="161" t="n">
        <v>115</v>
      </c>
      <c r="G10" s="27" t="n">
        <v>35</v>
      </c>
      <c r="H10" s="164" t="n">
        <v>17</v>
      </c>
      <c r="I10" s="165" t="n"/>
      <c r="J10" s="165" t="n"/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4</v>
      </c>
      <c r="R10" s="113" t="n">
        <v>2</v>
      </c>
      <c r="S10" s="113" t="inlineStr">
        <is>
          <t>계</t>
        </is>
      </c>
      <c r="T10" s="8" t="n">
        <v>150</v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n"/>
      <c r="B11" s="113" t="n"/>
      <c r="C11" s="10" t="n"/>
      <c r="D11" s="13" t="n"/>
      <c r="E11" s="20" t="n"/>
      <c r="F11" s="161" t="n"/>
      <c r="G11" s="13" t="n"/>
      <c r="H11" s="13" t="n"/>
      <c r="I11" s="13" t="n"/>
      <c r="J11" s="13" t="n"/>
      <c r="K11" s="13" t="n"/>
      <c r="L11" s="13" t="n"/>
      <c r="M11" s="13" t="n"/>
      <c r="N11" s="13" t="n"/>
      <c r="O11" s="162" t="n"/>
      <c r="P11" s="162" t="n"/>
      <c r="Q11" s="163" t="n"/>
      <c r="R11" s="163" t="n"/>
      <c r="S11" s="13" t="n"/>
      <c r="T11" s="70" t="n"/>
      <c r="U11" s="13" t="n"/>
      <c r="W11" s="107">
        <f>$A$4&amp;" "&amp;A12&amp;"("&amp;B12&amp;","&amp;C12&amp;"^)"</f>
        <v/>
      </c>
      <c r="X11" s="108" t="n"/>
      <c r="Y11" s="108" t="n"/>
      <c r="Z11" s="108" t="n"/>
      <c r="AA11" s="108" t="n"/>
      <c r="AB11" s="108" t="n"/>
      <c r="AC11" s="108" t="n"/>
      <c r="AD11" s="108" t="n"/>
      <c r="AE11" s="108" t="n"/>
      <c r="AF11" s="109" t="n"/>
      <c r="AH11" s="36">
        <f>IF(A11="","",A11)</f>
        <v/>
      </c>
      <c r="AI11" s="160">
        <f>IF(E11="","",E11)</f>
        <v/>
      </c>
      <c r="AJ11" s="113" t="n"/>
      <c r="AK11" s="113" t="n"/>
      <c r="AL11" s="113" t="n"/>
      <c r="AM11" s="113" t="n"/>
      <c r="AN11" s="113" t="n"/>
      <c r="AO11" s="113" t="n"/>
      <c r="AP11" s="113" t="n"/>
      <c r="AQ11" s="113" t="n"/>
      <c r="AR11" s="113" t="n"/>
      <c r="AS11" s="113" t="n"/>
      <c r="AT11" s="113" t="n"/>
      <c r="AU11" s="113" t="n"/>
      <c r="AV11" s="113" t="n"/>
    </row>
    <row r="12">
      <c r="A12" s="13" t="inlineStr">
        <is>
          <t>금호</t>
        </is>
      </c>
      <c r="B12" s="16" t="inlineStr">
        <is>
          <t>'87.06.</t>
        </is>
      </c>
      <c r="C12" s="164" t="n">
        <v>232</v>
      </c>
      <c r="D12" s="161" t="n">
        <v>37.4</v>
      </c>
      <c r="E12" s="163" t="n">
        <v>11</v>
      </c>
      <c r="F12" s="161" t="n">
        <v>27.6</v>
      </c>
      <c r="G12" s="27" t="n">
        <v>8</v>
      </c>
      <c r="H12" s="164" t="n">
        <v>232</v>
      </c>
      <c r="I12" s="165" t="n"/>
      <c r="J12" s="165" t="n"/>
      <c r="K12" s="165" t="n"/>
      <c r="L12" s="165" t="n"/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1</v>
      </c>
      <c r="R12" s="113" t="n">
        <v>1</v>
      </c>
      <c r="S12" s="113" t="inlineStr">
        <is>
          <t>복</t>
        </is>
      </c>
      <c r="T12" s="8" t="n">
        <v>37</v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n"/>
      <c r="B13" s="113" t="n"/>
      <c r="C13" s="10" t="n"/>
      <c r="D13" s="13" t="n"/>
      <c r="E13" s="20" t="n"/>
      <c r="F13" s="161" t="n"/>
      <c r="G13" s="13" t="n"/>
      <c r="H13" s="13" t="n"/>
      <c r="I13" s="13" t="n"/>
      <c r="J13" s="13" t="n"/>
      <c r="K13" s="13" t="n"/>
      <c r="L13" s="13" t="n"/>
      <c r="M13" s="13" t="n"/>
      <c r="N13" s="13" t="n"/>
      <c r="O13" s="162" t="n"/>
      <c r="P13" s="162" t="n"/>
      <c r="Q13" s="163" t="n"/>
      <c r="R13" s="163" t="n"/>
      <c r="S13" s="13" t="n"/>
      <c r="T13" s="70" t="n"/>
      <c r="U13" s="13" t="n"/>
      <c r="W13" s="107">
        <f>$A$4&amp;" "&amp;A14&amp;"("&amp;B14&amp;","&amp;C14&amp;"^)"</f>
        <v/>
      </c>
      <c r="X13" s="108" t="n"/>
      <c r="Y13" s="108" t="n"/>
      <c r="Z13" s="108" t="n"/>
      <c r="AA13" s="108" t="n"/>
      <c r="AB13" s="108" t="n"/>
      <c r="AC13" s="108" t="n"/>
      <c r="AD13" s="108" t="n"/>
      <c r="AE13" s="108" t="n"/>
      <c r="AF13" s="109" t="n"/>
      <c r="AH13" s="36">
        <f>IF(A13="","",A13)</f>
        <v/>
      </c>
      <c r="AI13" s="160">
        <f>IF(E13="","",E13)</f>
        <v/>
      </c>
      <c r="AJ13" s="113" t="n"/>
      <c r="AK13" s="113" t="n"/>
      <c r="AL13" s="113" t="n"/>
      <c r="AM13" s="113" t="n"/>
      <c r="AN13" s="113" t="n"/>
      <c r="AO13" s="113" t="n"/>
      <c r="AP13" s="113" t="n"/>
      <c r="AQ13" s="113" t="n"/>
      <c r="AR13" s="113" t="n"/>
      <c r="AS13" s="113" t="n"/>
      <c r="AT13" s="113" t="n"/>
      <c r="AU13" s="113" t="n"/>
      <c r="AV13" s="113" t="n"/>
    </row>
    <row r="14">
      <c r="A14" s="13" t="inlineStr">
        <is>
          <t>강동역신동아파밀리에</t>
        </is>
      </c>
      <c r="B14" s="16" t="inlineStr">
        <is>
          <t>'15.07.</t>
        </is>
      </c>
      <c r="C14" s="164" t="n">
        <v>230</v>
      </c>
      <c r="D14" s="161" t="n">
        <v>126.6</v>
      </c>
      <c r="E14" s="163" t="n">
        <v>38</v>
      </c>
      <c r="F14" s="161" t="n">
        <v>94.59999999999999</v>
      </c>
      <c r="G14" s="27" t="n">
        <v>29</v>
      </c>
      <c r="H14" s="164" t="n">
        <v>80</v>
      </c>
      <c r="I14" s="165" t="n"/>
      <c r="J14" s="165" t="n"/>
      <c r="K14" s="165" t="n"/>
      <c r="L14" s="165" t="n"/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4</v>
      </c>
      <c r="R14" s="113" t="n">
        <v>2</v>
      </c>
      <c r="S14" s="113" t="inlineStr">
        <is>
          <t>계</t>
        </is>
      </c>
      <c r="T14" s="8" t="n">
        <v>126</v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강동역신동아파밀리에</t>
        </is>
      </c>
      <c r="B15" s="16" t="inlineStr">
        <is>
          <t>'15.07.</t>
        </is>
      </c>
      <c r="C15" s="164" t="n">
        <v>230</v>
      </c>
      <c r="D15" s="161" t="n">
        <v>133.8</v>
      </c>
      <c r="E15" s="163" t="n">
        <v>40</v>
      </c>
      <c r="F15" s="161" t="n">
        <v>101.3</v>
      </c>
      <c r="G15" s="27" t="n">
        <v>31</v>
      </c>
      <c r="H15" s="164" t="n">
        <v>70</v>
      </c>
      <c r="I15" s="165" t="n"/>
      <c r="J15" s="165" t="n"/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4</v>
      </c>
      <c r="R15" s="113" t="n">
        <v>2</v>
      </c>
      <c r="S15" s="113" t="inlineStr">
        <is>
          <t>계</t>
        </is>
      </c>
      <c r="T15" s="8" t="n">
        <v>133</v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강동역신동아파밀리에</t>
        </is>
      </c>
      <c r="B16" s="16" t="inlineStr">
        <is>
          <t>'15.07.</t>
        </is>
      </c>
      <c r="C16" s="164" t="n">
        <v>230</v>
      </c>
      <c r="D16" s="161" t="n">
        <v>144.3</v>
      </c>
      <c r="E16" s="163" t="n">
        <v>44</v>
      </c>
      <c r="F16" s="161" t="n">
        <v>107.3</v>
      </c>
      <c r="G16" s="27" t="n">
        <v>32</v>
      </c>
      <c r="H16" s="164" t="n">
        <v>80</v>
      </c>
      <c r="I16" s="165" t="n"/>
      <c r="J16" s="165" t="n"/>
      <c r="K16" s="165" t="n"/>
      <c r="L16" s="165" t="n"/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4</v>
      </c>
      <c r="R16" s="113" t="n">
        <v>2</v>
      </c>
      <c r="S16" s="113" t="inlineStr">
        <is>
          <t>계</t>
        </is>
      </c>
      <c r="T16" s="8" t="n">
        <v>144</v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n"/>
      <c r="B17" s="113" t="n"/>
      <c r="C17" s="10" t="n"/>
      <c r="D17" s="13" t="n"/>
      <c r="E17" s="20" t="n"/>
      <c r="F17" s="161" t="n"/>
      <c r="G17" s="13" t="n"/>
      <c r="H17" s="13" t="n"/>
      <c r="I17" s="13" t="n"/>
      <c r="J17" s="13" t="n"/>
      <c r="K17" s="13" t="n"/>
      <c r="L17" s="13" t="n"/>
      <c r="M17" s="13" t="n"/>
      <c r="N17" s="13" t="n"/>
      <c r="O17" s="162" t="n"/>
      <c r="P17" s="162" t="n"/>
      <c r="Q17" s="163" t="n"/>
      <c r="R17" s="163" t="n"/>
      <c r="S17" s="13" t="n"/>
      <c r="T17" s="70" t="n"/>
      <c r="U17" s="13" t="n"/>
      <c r="W17" s="107">
        <f>$A$4&amp;" "&amp;A18&amp;"("&amp;B18&amp;","&amp;C18&amp;"^)"</f>
        <v/>
      </c>
      <c r="X17" s="108" t="n"/>
      <c r="Y17" s="108" t="n"/>
      <c r="Z17" s="108" t="n"/>
      <c r="AA17" s="108" t="n"/>
      <c r="AB17" s="108" t="n"/>
      <c r="AC17" s="108" t="n"/>
      <c r="AD17" s="108" t="n"/>
      <c r="AE17" s="108" t="n"/>
      <c r="AF17" s="109" t="n"/>
      <c r="AH17" s="36">
        <f>IF(A17="","",A17)</f>
        <v/>
      </c>
      <c r="AI17" s="160">
        <f>IF(E17="","",E17)</f>
        <v/>
      </c>
      <c r="AJ17" s="113" t="n"/>
      <c r="AK17" s="113" t="n"/>
      <c r="AL17" s="113" t="n"/>
      <c r="AM17" s="113" t="n"/>
      <c r="AN17" s="113" t="n"/>
      <c r="AO17" s="113" t="n"/>
      <c r="AP17" s="113" t="n"/>
      <c r="AQ17" s="113" t="n"/>
      <c r="AR17" s="113" t="n"/>
      <c r="AS17" s="113" t="n"/>
      <c r="AT17" s="113" t="n"/>
      <c r="AU17" s="113" t="n"/>
      <c r="AV17" s="113" t="n"/>
    </row>
    <row r="18">
      <c r="A18" s="13" t="inlineStr">
        <is>
          <t>한신</t>
        </is>
      </c>
      <c r="B18" s="16" t="inlineStr">
        <is>
          <t>'91.03.</t>
        </is>
      </c>
      <c r="C18" s="164" t="n">
        <v>224</v>
      </c>
      <c r="D18" s="161" t="n">
        <v>49.1</v>
      </c>
      <c r="E18" s="163" t="n">
        <v>15</v>
      </c>
      <c r="F18" s="161" t="n">
        <v>37.1</v>
      </c>
      <c r="G18" s="27" t="n">
        <v>11</v>
      </c>
      <c r="H18" s="164" t="n">
        <v>27</v>
      </c>
      <c r="I18" s="165" t="n"/>
      <c r="J18" s="165" t="n"/>
      <c r="K18" s="165" t="n"/>
      <c r="L18" s="165" t="n"/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2</v>
      </c>
      <c r="R18" s="113" t="n">
        <v>1</v>
      </c>
      <c r="S18" s="113" t="inlineStr">
        <is>
          <t>복</t>
        </is>
      </c>
      <c r="T18" s="8" t="n">
        <v>49</v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한신</t>
        </is>
      </c>
      <c r="B19" s="16" t="inlineStr">
        <is>
          <t>'91.03.</t>
        </is>
      </c>
      <c r="C19" s="164" t="n">
        <v>224</v>
      </c>
      <c r="D19" s="161" t="n">
        <v>62</v>
      </c>
      <c r="E19" s="163" t="n">
        <v>19</v>
      </c>
      <c r="F19" s="161" t="n">
        <v>46.9</v>
      </c>
      <c r="G19" s="27" t="n">
        <v>14</v>
      </c>
      <c r="H19" s="164" t="n">
        <v>27</v>
      </c>
      <c r="I19" s="165" t="n"/>
      <c r="J19" s="165" t="n"/>
      <c r="K19" s="165" t="n"/>
      <c r="L19" s="165" t="n"/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3</v>
      </c>
      <c r="R19" s="113" t="n">
        <v>1</v>
      </c>
      <c r="S19" s="113" t="inlineStr">
        <is>
          <t>복</t>
        </is>
      </c>
      <c r="T19" s="8" t="n">
        <v>62</v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한신</t>
        </is>
      </c>
      <c r="B20" s="16" t="inlineStr">
        <is>
          <t>'91.03.</t>
        </is>
      </c>
      <c r="C20" s="164" t="n">
        <v>224</v>
      </c>
      <c r="D20" s="161" t="n">
        <v>76.5</v>
      </c>
      <c r="E20" s="163" t="n">
        <v>23</v>
      </c>
      <c r="F20" s="161" t="n">
        <v>57.8</v>
      </c>
      <c r="G20" s="27" t="n">
        <v>17</v>
      </c>
      <c r="H20" s="164" t="n">
        <v>46</v>
      </c>
      <c r="I20" s="165" t="n"/>
      <c r="J20" s="165" t="n"/>
      <c r="K20" s="165" t="n"/>
      <c r="L20" s="165" t="n"/>
      <c r="M20" s="166">
        <f>I20-K20</f>
        <v/>
      </c>
      <c r="N20" s="7">
        <f>IF(ISERROR(K20/I20),"",K20/I20)</f>
        <v/>
      </c>
      <c r="O20" s="162">
        <f>I20/E20</f>
        <v/>
      </c>
      <c r="P20" s="162">
        <f>K20/E20</f>
        <v/>
      </c>
      <c r="Q20" s="113" t="n">
        <v>3</v>
      </c>
      <c r="R20" s="113" t="n">
        <v>1</v>
      </c>
      <c r="S20" s="113" t="inlineStr">
        <is>
          <t>복</t>
        </is>
      </c>
      <c r="T20" s="8" t="inlineStr">
        <is>
          <t>76D</t>
        </is>
      </c>
      <c r="U20" s="13" t="n"/>
      <c r="W20" s="161">
        <f>D20</f>
        <v/>
      </c>
      <c r="X20" s="163">
        <f>E20</f>
        <v/>
      </c>
      <c r="Y20" s="159">
        <f>H20</f>
        <v/>
      </c>
      <c r="Z20" s="166">
        <f>I20</f>
        <v/>
      </c>
      <c r="AA20" s="166">
        <f>K20</f>
        <v/>
      </c>
      <c r="AB20" s="166">
        <f>M20</f>
        <v/>
      </c>
      <c r="AC20" s="7">
        <f>N20</f>
        <v/>
      </c>
      <c r="AD20" s="162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3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한신</t>
        </is>
      </c>
      <c r="B21" s="16" t="inlineStr">
        <is>
          <t>'91.03.</t>
        </is>
      </c>
      <c r="C21" s="164" t="n">
        <v>224</v>
      </c>
      <c r="D21" s="161" t="n">
        <v>76.8</v>
      </c>
      <c r="E21" s="163" t="n">
        <v>23</v>
      </c>
      <c r="F21" s="161" t="n">
        <v>58.1</v>
      </c>
      <c r="G21" s="27" t="n">
        <v>18</v>
      </c>
      <c r="H21" s="164" t="n">
        <v>39</v>
      </c>
      <c r="I21" s="165" t="n"/>
      <c r="J21" s="165" t="n"/>
      <c r="K21" s="165" t="n"/>
      <c r="L21" s="165" t="n"/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1</v>
      </c>
      <c r="S21" s="113" t="inlineStr">
        <is>
          <t>복</t>
        </is>
      </c>
      <c r="T21" s="8" t="inlineStr">
        <is>
          <t>76D1</t>
        </is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한신</t>
        </is>
      </c>
      <c r="B22" s="16" t="inlineStr">
        <is>
          <t>'91.03.</t>
        </is>
      </c>
      <c r="C22" s="164" t="n">
        <v>224</v>
      </c>
      <c r="D22" s="161" t="n">
        <v>106.3</v>
      </c>
      <c r="E22" s="163" t="n">
        <v>32</v>
      </c>
      <c r="F22" s="161" t="n">
        <v>82.09999999999999</v>
      </c>
      <c r="G22" s="27" t="n">
        <v>25</v>
      </c>
      <c r="H22" s="164" t="n">
        <v>58</v>
      </c>
      <c r="I22" s="165" t="n"/>
      <c r="J22" s="165" t="n"/>
      <c r="K22" s="165" t="n"/>
      <c r="L22" s="165" t="n"/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3</v>
      </c>
      <c r="R22" s="113" t="n">
        <v>1</v>
      </c>
      <c r="S22" s="113" t="inlineStr">
        <is>
          <t>복</t>
        </is>
      </c>
      <c r="T22" s="8" t="inlineStr">
        <is>
          <t>106B</t>
        </is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한신</t>
        </is>
      </c>
      <c r="B23" s="16" t="inlineStr">
        <is>
          <t>'91.03.</t>
        </is>
      </c>
      <c r="C23" s="164" t="n">
        <v>224</v>
      </c>
      <c r="D23" s="161" t="n">
        <v>107.9</v>
      </c>
      <c r="E23" s="163" t="n">
        <v>33</v>
      </c>
      <c r="F23" s="161" t="n">
        <v>81.59999999999999</v>
      </c>
      <c r="G23" s="27" t="n">
        <v>25</v>
      </c>
      <c r="H23" s="164" t="n">
        <v>14</v>
      </c>
      <c r="I23" s="165" t="n"/>
      <c r="J23" s="165" t="n"/>
      <c r="K23" s="165" t="n"/>
      <c r="L23" s="165" t="n"/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3</v>
      </c>
      <c r="R23" s="113" t="n">
        <v>1</v>
      </c>
      <c r="S23" s="113" t="inlineStr">
        <is>
          <t>복</t>
        </is>
      </c>
      <c r="T23" s="8" t="inlineStr">
        <is>
          <t>107C</t>
        </is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한신</t>
        </is>
      </c>
      <c r="B24" s="16" t="inlineStr">
        <is>
          <t>'91.03.</t>
        </is>
      </c>
      <c r="C24" s="164" t="n">
        <v>224</v>
      </c>
      <c r="D24" s="161" t="n">
        <v>108.2</v>
      </c>
      <c r="E24" s="163" t="n">
        <v>33</v>
      </c>
      <c r="F24" s="161" t="n">
        <v>83.5</v>
      </c>
      <c r="G24" s="27" t="n">
        <v>25</v>
      </c>
      <c r="H24" s="164" t="n">
        <v>13</v>
      </c>
      <c r="I24" s="165" t="n"/>
      <c r="J24" s="165" t="n"/>
      <c r="K24" s="165" t="n"/>
      <c r="L24" s="165" t="n"/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3</v>
      </c>
      <c r="R24" s="113" t="n">
        <v>1</v>
      </c>
      <c r="S24" s="113" t="inlineStr">
        <is>
          <t>복</t>
        </is>
      </c>
      <c r="T24" s="8" t="inlineStr">
        <is>
          <t>108A</t>
        </is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n"/>
      <c r="B25" s="113" t="n"/>
      <c r="C25" s="10" t="n"/>
      <c r="D25" s="13" t="n"/>
      <c r="E25" s="20" t="n"/>
      <c r="F25" s="161" t="n"/>
      <c r="G25" s="13" t="n"/>
      <c r="H25" s="13" t="n"/>
      <c r="I25" s="13" t="n"/>
      <c r="J25" s="13" t="n"/>
      <c r="K25" s="13" t="n"/>
      <c r="L25" s="13" t="n"/>
      <c r="M25" s="13" t="n"/>
      <c r="N25" s="13" t="n"/>
      <c r="O25" s="162" t="n"/>
      <c r="P25" s="162" t="n"/>
      <c r="Q25" s="163" t="n"/>
      <c r="R25" s="163" t="n"/>
      <c r="S25" s="13" t="n"/>
      <c r="T25" s="70" t="n"/>
      <c r="U25" s="13" t="n"/>
      <c r="W25" s="107">
        <f>$A$4&amp;" "&amp;A26&amp;"("&amp;B26&amp;","&amp;C26&amp;"^)"</f>
        <v/>
      </c>
      <c r="X25" s="108" t="n"/>
      <c r="Y25" s="108" t="n"/>
      <c r="Z25" s="108" t="n"/>
      <c r="AA25" s="108" t="n"/>
      <c r="AB25" s="108" t="n"/>
      <c r="AC25" s="108" t="n"/>
      <c r="AD25" s="108" t="n"/>
      <c r="AE25" s="108" t="n"/>
      <c r="AF25" s="109" t="n"/>
      <c r="AH25" s="36">
        <f>IF(A25="","",A25)</f>
        <v/>
      </c>
      <c r="AI25" s="160">
        <f>IF(E25="","",E25)</f>
        <v/>
      </c>
      <c r="AJ25" s="113" t="n"/>
      <c r="AK25" s="113" t="n"/>
      <c r="AL25" s="113" t="n"/>
      <c r="AM25" s="113" t="n"/>
      <c r="AN25" s="113" t="n"/>
      <c r="AO25" s="113" t="n"/>
      <c r="AP25" s="113" t="n"/>
      <c r="AQ25" s="113" t="n"/>
      <c r="AR25" s="113" t="n"/>
      <c r="AS25" s="113" t="n"/>
      <c r="AT25" s="113" t="n"/>
      <c r="AU25" s="113" t="n"/>
      <c r="AV25" s="113" t="n"/>
    </row>
    <row r="26">
      <c r="A26" s="13" t="inlineStr">
        <is>
          <t>천호태영</t>
        </is>
      </c>
      <c r="B26" s="16" t="inlineStr">
        <is>
          <t>'99.11.</t>
        </is>
      </c>
      <c r="C26" s="164" t="n">
        <v>649</v>
      </c>
      <c r="D26" s="161" t="n">
        <v>82.90000000000001</v>
      </c>
      <c r="E26" s="163" t="n">
        <v>25</v>
      </c>
      <c r="F26" s="161" t="n">
        <v>59.6</v>
      </c>
      <c r="G26" s="27" t="n">
        <v>18</v>
      </c>
      <c r="H26" s="164" t="n">
        <v>80</v>
      </c>
      <c r="I26" s="165" t="n">
        <v>103000</v>
      </c>
      <c r="J26" s="165" t="inlineStr">
        <is>
          <t>7</t>
        </is>
      </c>
      <c r="K26" s="165" t="n"/>
      <c r="L26" s="165" t="n"/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3</v>
      </c>
      <c r="R26" s="113" t="n">
        <v>1</v>
      </c>
      <c r="S26" s="113" t="inlineStr">
        <is>
          <t>복</t>
        </is>
      </c>
      <c r="T26" s="8" t="n">
        <v>82</v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천호태영</t>
        </is>
      </c>
      <c r="B27" s="16" t="inlineStr">
        <is>
          <t>'99.11.</t>
        </is>
      </c>
      <c r="C27" s="164" t="n">
        <v>649</v>
      </c>
      <c r="D27" s="161" t="n">
        <v>108.9</v>
      </c>
      <c r="E27" s="163" t="n">
        <v>33</v>
      </c>
      <c r="F27" s="161" t="n">
        <v>84.90000000000001</v>
      </c>
      <c r="G27" s="27" t="n">
        <v>26</v>
      </c>
      <c r="H27" s="164" t="n">
        <v>137</v>
      </c>
      <c r="I27" s="165" t="n">
        <v>110000</v>
      </c>
      <c r="J27" s="165" t="inlineStr">
        <is>
          <t>6</t>
        </is>
      </c>
      <c r="K27" s="165" t="n"/>
      <c r="L27" s="165" t="n"/>
      <c r="M27" s="166">
        <f>I27-K27</f>
        <v/>
      </c>
      <c r="N27" s="7">
        <f>IF(ISERROR(K27/I27),"",K27/I27)</f>
        <v/>
      </c>
      <c r="O27" s="162">
        <f>I27/E27</f>
        <v/>
      </c>
      <c r="P27" s="162">
        <f>K27/E27</f>
        <v/>
      </c>
      <c r="Q27" s="113" t="n">
        <v>3</v>
      </c>
      <c r="R27" s="113" t="n">
        <v>2</v>
      </c>
      <c r="S27" s="113" t="inlineStr">
        <is>
          <t>계</t>
        </is>
      </c>
      <c r="T27" s="8" t="inlineStr">
        <is>
          <t>108A</t>
        </is>
      </c>
      <c r="U27" s="13" t="n"/>
      <c r="W27" s="161">
        <f>D27</f>
        <v/>
      </c>
      <c r="X27" s="163">
        <f>E27</f>
        <v/>
      </c>
      <c r="Y27" s="159">
        <f>H27</f>
        <v/>
      </c>
      <c r="Z27" s="166">
        <f>I27</f>
        <v/>
      </c>
      <c r="AA27" s="166">
        <f>K27</f>
        <v/>
      </c>
      <c r="AB27" s="166">
        <f>M27</f>
        <v/>
      </c>
      <c r="AC27" s="7">
        <f>N27</f>
        <v/>
      </c>
      <c r="AD27" s="162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3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천호태영</t>
        </is>
      </c>
      <c r="B28" s="16" t="inlineStr">
        <is>
          <t>'99.11.</t>
        </is>
      </c>
      <c r="C28" s="164" t="n">
        <v>649</v>
      </c>
      <c r="D28" s="161" t="n">
        <v>109.7</v>
      </c>
      <c r="E28" s="163" t="n">
        <v>33</v>
      </c>
      <c r="F28" s="161" t="n">
        <v>84.90000000000001</v>
      </c>
      <c r="G28" s="27" t="n">
        <v>26</v>
      </c>
      <c r="H28" s="164" t="n">
        <v>46</v>
      </c>
      <c r="I28" s="165" t="n"/>
      <c r="J28" s="165" t="n"/>
      <c r="K28" s="165" t="n"/>
      <c r="L28" s="165" t="n"/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3</v>
      </c>
      <c r="R28" s="113" t="n">
        <v>2</v>
      </c>
      <c r="S28" s="113" t="inlineStr">
        <is>
          <t>계</t>
        </is>
      </c>
      <c r="T28" s="8" t="inlineStr">
        <is>
          <t>109B</t>
        </is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천호태영</t>
        </is>
      </c>
      <c r="B29" s="16" t="inlineStr">
        <is>
          <t>'99.11.</t>
        </is>
      </c>
      <c r="C29" s="164" t="n">
        <v>649</v>
      </c>
      <c r="D29" s="161" t="n">
        <v>139.1</v>
      </c>
      <c r="E29" s="163" t="n">
        <v>42</v>
      </c>
      <c r="F29" s="161" t="n">
        <v>114.8</v>
      </c>
      <c r="G29" s="27" t="n">
        <v>35</v>
      </c>
      <c r="H29" s="164" t="n">
        <v>30</v>
      </c>
      <c r="I29" s="165" t="n">
        <v>127000</v>
      </c>
      <c r="J29" s="165" t="inlineStr">
        <is>
          <t>중</t>
        </is>
      </c>
      <c r="K29" s="165" t="n"/>
      <c r="L29" s="165" t="n"/>
      <c r="M29" s="166">
        <f>I29-K29</f>
        <v/>
      </c>
      <c r="N29" s="7">
        <f>IF(ISERROR(K29/I29),"",K29/I29)</f>
        <v/>
      </c>
      <c r="O29" s="162">
        <f>I29/E29</f>
        <v/>
      </c>
      <c r="P29" s="162">
        <f>K29/E29</f>
        <v/>
      </c>
      <c r="Q29" s="113" t="n">
        <v>4</v>
      </c>
      <c r="R29" s="113" t="n">
        <v>2</v>
      </c>
      <c r="S29" s="113" t="inlineStr">
        <is>
          <t>계</t>
        </is>
      </c>
      <c r="T29" s="8" t="inlineStr">
        <is>
          <t>139A</t>
        </is>
      </c>
      <c r="U29" s="13" t="n"/>
      <c r="W29" s="161">
        <f>D29</f>
        <v/>
      </c>
      <c r="X29" s="163">
        <f>E29</f>
        <v/>
      </c>
      <c r="Y29" s="159">
        <f>H29</f>
        <v/>
      </c>
      <c r="Z29" s="166">
        <f>I29</f>
        <v/>
      </c>
      <c r="AA29" s="166">
        <f>K29</f>
        <v/>
      </c>
      <c r="AB29" s="166">
        <f>M29</f>
        <v/>
      </c>
      <c r="AC29" s="7">
        <f>N29</f>
        <v/>
      </c>
      <c r="AD29" s="162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3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천호태영</t>
        </is>
      </c>
      <c r="B30" s="16" t="inlineStr">
        <is>
          <t>'99.11.</t>
        </is>
      </c>
      <c r="C30" s="164" t="n">
        <v>649</v>
      </c>
      <c r="D30" s="161" t="n">
        <v>141.7</v>
      </c>
      <c r="E30" s="163" t="n">
        <v>43</v>
      </c>
      <c r="F30" s="161" t="n">
        <v>114.8</v>
      </c>
      <c r="G30" s="27" t="n">
        <v>35</v>
      </c>
      <c r="H30" s="164" t="n">
        <v>46</v>
      </c>
      <c r="I30" s="165" t="n">
        <v>134000</v>
      </c>
      <c r="J30" s="165" t="inlineStr">
        <is>
          <t>중</t>
        </is>
      </c>
      <c r="K30" s="165" t="n"/>
      <c r="L30" s="165" t="n"/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4</v>
      </c>
      <c r="R30" s="113" t="n">
        <v>2</v>
      </c>
      <c r="S30" s="113" t="inlineStr">
        <is>
          <t>계</t>
        </is>
      </c>
      <c r="T30" s="8" t="inlineStr">
        <is>
          <t>141B</t>
        </is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천호태영</t>
        </is>
      </c>
      <c r="B31" s="16" t="inlineStr">
        <is>
          <t>'99.11.</t>
        </is>
      </c>
      <c r="C31" s="164" t="n">
        <v>649</v>
      </c>
      <c r="D31" s="161" t="n">
        <v>142.3</v>
      </c>
      <c r="E31" s="163" t="n">
        <v>43</v>
      </c>
      <c r="F31" s="161" t="n">
        <v>114.8</v>
      </c>
      <c r="G31" s="27" t="n">
        <v>35</v>
      </c>
      <c r="H31" s="164" t="n">
        <v>46</v>
      </c>
      <c r="I31" s="165" t="n"/>
      <c r="J31" s="165" t="n"/>
      <c r="K31" s="165" t="n"/>
      <c r="L31" s="165" t="n"/>
      <c r="M31" s="166">
        <f>I31-K31</f>
        <v/>
      </c>
      <c r="N31" s="7">
        <f>IF(ISERROR(K31/I31),"",K31/I31)</f>
        <v/>
      </c>
      <c r="O31" s="162">
        <f>I31/E31</f>
        <v/>
      </c>
      <c r="P31" s="162">
        <f>K31/E31</f>
        <v/>
      </c>
      <c r="Q31" s="113" t="n">
        <v>4</v>
      </c>
      <c r="R31" s="113" t="n">
        <v>2</v>
      </c>
      <c r="S31" s="113" t="inlineStr">
        <is>
          <t>계</t>
        </is>
      </c>
      <c r="T31" s="8" t="inlineStr">
        <is>
          <t>142C</t>
        </is>
      </c>
      <c r="U31" s="13" t="n"/>
      <c r="W31" s="161">
        <f>D31</f>
        <v/>
      </c>
      <c r="X31" s="163">
        <f>E31</f>
        <v/>
      </c>
      <c r="Y31" s="159">
        <f>H31</f>
        <v/>
      </c>
      <c r="Z31" s="166">
        <f>I31</f>
        <v/>
      </c>
      <c r="AA31" s="166">
        <f>K31</f>
        <v/>
      </c>
      <c r="AB31" s="166">
        <f>M31</f>
        <v/>
      </c>
      <c r="AC31" s="7">
        <f>N31</f>
        <v/>
      </c>
      <c r="AD31" s="162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3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n"/>
      <c r="B32" s="113" t="n"/>
      <c r="C32" s="10" t="n"/>
      <c r="D32" s="13" t="n"/>
      <c r="E32" s="20" t="n"/>
      <c r="F32" s="161" t="n"/>
      <c r="G32" s="13" t="n"/>
      <c r="H32" s="13" t="n"/>
      <c r="I32" s="13" t="n"/>
      <c r="J32" s="13" t="n"/>
      <c r="K32" s="13" t="n"/>
      <c r="L32" s="13" t="n"/>
      <c r="M32" s="13" t="n"/>
      <c r="N32" s="13" t="n"/>
      <c r="O32" s="162" t="n"/>
      <c r="P32" s="162" t="n"/>
      <c r="Q32" s="163" t="n"/>
      <c r="R32" s="163" t="n"/>
      <c r="S32" s="13" t="n"/>
      <c r="T32" s="70" t="n"/>
      <c r="U32" s="13" t="n"/>
      <c r="W32" s="107">
        <f>$A$4&amp;" "&amp;A33&amp;"("&amp;B33&amp;","&amp;C33&amp;"^)"</f>
        <v/>
      </c>
      <c r="X32" s="108" t="n"/>
      <c r="Y32" s="108" t="n"/>
      <c r="Z32" s="108" t="n"/>
      <c r="AA32" s="108" t="n"/>
      <c r="AB32" s="108" t="n"/>
      <c r="AC32" s="108" t="n"/>
      <c r="AD32" s="108" t="n"/>
      <c r="AE32" s="108" t="n"/>
      <c r="AF32" s="109" t="n"/>
      <c r="AH32" s="36">
        <f>IF(A32="","",A32)</f>
        <v/>
      </c>
      <c r="AI32" s="160">
        <f>IF(E32="","",E32)</f>
        <v/>
      </c>
      <c r="AJ32" s="113" t="n"/>
      <c r="AK32" s="113" t="n"/>
      <c r="AL32" s="113" t="n"/>
      <c r="AM32" s="113" t="n"/>
      <c r="AN32" s="113" t="n"/>
      <c r="AO32" s="113" t="n"/>
      <c r="AP32" s="113" t="n"/>
      <c r="AQ32" s="113" t="n"/>
      <c r="AR32" s="113" t="n"/>
      <c r="AS32" s="113" t="n"/>
      <c r="AT32" s="113" t="n"/>
      <c r="AU32" s="113" t="n"/>
      <c r="AV32" s="113" t="n"/>
    </row>
    <row r="33">
      <c r="A33" s="13" t="inlineStr">
        <is>
          <t>대우한강베네시티</t>
        </is>
      </c>
      <c r="B33" s="16" t="inlineStr">
        <is>
          <t>'07.03.</t>
        </is>
      </c>
      <c r="C33" s="164" t="n">
        <v>204</v>
      </c>
      <c r="D33" s="161" t="n">
        <v>151.9</v>
      </c>
      <c r="E33" s="163" t="n">
        <v>46</v>
      </c>
      <c r="F33" s="161" t="n">
        <v>114.6</v>
      </c>
      <c r="G33" s="27" t="n">
        <v>35</v>
      </c>
      <c r="H33" s="164" t="n">
        <v>104</v>
      </c>
      <c r="I33" s="165" t="n"/>
      <c r="J33" s="165" t="n"/>
      <c r="K33" s="165" t="n"/>
      <c r="L33" s="165" t="n"/>
      <c r="M33" s="166">
        <f>I33-K33</f>
        <v/>
      </c>
      <c r="N33" s="7">
        <f>IF(ISERROR(K33/I33),"",K33/I33)</f>
        <v/>
      </c>
      <c r="O33" s="162">
        <f>I33/E33</f>
        <v/>
      </c>
      <c r="P33" s="162">
        <f>K33/E33</f>
        <v/>
      </c>
      <c r="Q33" s="113" t="n">
        <v>3</v>
      </c>
      <c r="R33" s="113" t="n">
        <v>2</v>
      </c>
      <c r="S33" s="113" t="inlineStr">
        <is>
          <t>계</t>
        </is>
      </c>
      <c r="T33" s="8" t="inlineStr">
        <is>
          <t>151A</t>
        </is>
      </c>
      <c r="U33" s="13" t="n"/>
      <c r="W33" s="161">
        <f>D33</f>
        <v/>
      </c>
      <c r="X33" s="163">
        <f>E33</f>
        <v/>
      </c>
      <c r="Y33" s="159">
        <f>H33</f>
        <v/>
      </c>
      <c r="Z33" s="166">
        <f>I33</f>
        <v/>
      </c>
      <c r="AA33" s="166">
        <f>K33</f>
        <v/>
      </c>
      <c r="AB33" s="166">
        <f>M33</f>
        <v/>
      </c>
      <c r="AC33" s="7">
        <f>N33</f>
        <v/>
      </c>
      <c r="AD33" s="162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3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대우한강베네시티</t>
        </is>
      </c>
      <c r="B34" s="16" t="inlineStr">
        <is>
          <t>'07.03.</t>
        </is>
      </c>
      <c r="C34" s="164" t="n">
        <v>204</v>
      </c>
      <c r="D34" s="161" t="n">
        <v>152</v>
      </c>
      <c r="E34" s="163" t="n">
        <v>46</v>
      </c>
      <c r="F34" s="161" t="n">
        <v>114.7</v>
      </c>
      <c r="G34" s="27" t="n">
        <v>35</v>
      </c>
      <c r="H34" s="164" t="n">
        <v>12</v>
      </c>
      <c r="I34" s="165" t="n"/>
      <c r="J34" s="165" t="n"/>
      <c r="K34" s="165" t="n"/>
      <c r="L34" s="165" t="n"/>
      <c r="M34" s="166">
        <f>I34-K34</f>
        <v/>
      </c>
      <c r="N34" s="7">
        <f>IF(ISERROR(K34/I34),"",K34/I34)</f>
        <v/>
      </c>
      <c r="O34" s="162">
        <f>I34/E34</f>
        <v/>
      </c>
      <c r="P34" s="162">
        <f>K34/E34</f>
        <v/>
      </c>
      <c r="Q34" s="113" t="n">
        <v>2</v>
      </c>
      <c r="R34" s="113" t="n">
        <v>2</v>
      </c>
      <c r="S34" s="113" t="inlineStr">
        <is>
          <t>계</t>
        </is>
      </c>
      <c r="T34" s="8" t="inlineStr">
        <is>
          <t>151P</t>
        </is>
      </c>
      <c r="U34" s="13" t="n"/>
      <c r="W34" s="161">
        <f>D34</f>
        <v/>
      </c>
      <c r="X34" s="163">
        <f>E34</f>
        <v/>
      </c>
      <c r="Y34" s="159">
        <f>H34</f>
        <v/>
      </c>
      <c r="Z34" s="166">
        <f>I34</f>
        <v/>
      </c>
      <c r="AA34" s="166">
        <f>K34</f>
        <v/>
      </c>
      <c r="AB34" s="166">
        <f>M34</f>
        <v/>
      </c>
      <c r="AC34" s="7">
        <f>N34</f>
        <v/>
      </c>
      <c r="AD34" s="162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3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대우한강베네시티</t>
        </is>
      </c>
      <c r="B35" s="16" t="inlineStr">
        <is>
          <t>'07.03.</t>
        </is>
      </c>
      <c r="C35" s="164" t="n">
        <v>204</v>
      </c>
      <c r="D35" s="161" t="n">
        <v>172.4</v>
      </c>
      <c r="E35" s="163" t="n">
        <v>52</v>
      </c>
      <c r="F35" s="161" t="n">
        <v>130.1</v>
      </c>
      <c r="G35" s="27" t="n">
        <v>39</v>
      </c>
      <c r="H35" s="164" t="n">
        <v>40</v>
      </c>
      <c r="I35" s="165" t="n"/>
      <c r="J35" s="165" t="n"/>
      <c r="K35" s="165" t="n"/>
      <c r="L35" s="165" t="n"/>
      <c r="M35" s="166">
        <f>I35-K35</f>
        <v/>
      </c>
      <c r="N35" s="7">
        <f>IF(ISERROR(K35/I35),"",K35/I35)</f>
        <v/>
      </c>
      <c r="O35" s="162">
        <f>I35/E35</f>
        <v/>
      </c>
      <c r="P35" s="162">
        <f>K35/E35</f>
        <v/>
      </c>
      <c r="Q35" s="113" t="n">
        <v>2</v>
      </c>
      <c r="R35" s="113" t="n">
        <v>2</v>
      </c>
      <c r="S35" s="113" t="inlineStr">
        <is>
          <t>계</t>
        </is>
      </c>
      <c r="T35" s="8" t="inlineStr">
        <is>
          <t>172A</t>
        </is>
      </c>
      <c r="U35" s="13" t="n"/>
      <c r="W35" s="161">
        <f>D35</f>
        <v/>
      </c>
      <c r="X35" s="163">
        <f>E35</f>
        <v/>
      </c>
      <c r="Y35" s="159">
        <f>H35</f>
        <v/>
      </c>
      <c r="Z35" s="166">
        <f>I35</f>
        <v/>
      </c>
      <c r="AA35" s="166">
        <f>K35</f>
        <v/>
      </c>
      <c r="AB35" s="166">
        <f>M35</f>
        <v/>
      </c>
      <c r="AC35" s="7">
        <f>N35</f>
        <v/>
      </c>
      <c r="AD35" s="162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3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inlineStr">
        <is>
          <t>대우한강베네시티</t>
        </is>
      </c>
      <c r="B36" s="16" t="inlineStr">
        <is>
          <t>'07.03.</t>
        </is>
      </c>
      <c r="C36" s="164" t="n">
        <v>204</v>
      </c>
      <c r="D36" s="161" t="n">
        <v>175.5</v>
      </c>
      <c r="E36" s="163" t="n">
        <v>53</v>
      </c>
      <c r="F36" s="161" t="n">
        <v>132.4</v>
      </c>
      <c r="G36" s="27" t="n">
        <v>40</v>
      </c>
      <c r="H36" s="164" t="n">
        <v>44</v>
      </c>
      <c r="I36" s="165" t="n"/>
      <c r="J36" s="165" t="n"/>
      <c r="K36" s="165" t="n"/>
      <c r="L36" s="165" t="n"/>
      <c r="M36" s="166">
        <f>I36-K36</f>
        <v/>
      </c>
      <c r="N36" s="7">
        <f>IF(ISERROR(K36/I36),"",K36/I36)</f>
        <v/>
      </c>
      <c r="O36" s="162">
        <f>I36/E36</f>
        <v/>
      </c>
      <c r="P36" s="162">
        <f>K36/E36</f>
        <v/>
      </c>
      <c r="Q36" s="113" t="n">
        <v>3</v>
      </c>
      <c r="R36" s="113" t="n">
        <v>3</v>
      </c>
      <c r="S36" s="113" t="inlineStr">
        <is>
          <t>계</t>
        </is>
      </c>
      <c r="T36" s="8" t="inlineStr">
        <is>
          <t>175B</t>
        </is>
      </c>
      <c r="U36" s="13" t="n"/>
      <c r="W36" s="161">
        <f>D36</f>
        <v/>
      </c>
      <c r="X36" s="163">
        <f>E36</f>
        <v/>
      </c>
      <c r="Y36" s="159">
        <f>H36</f>
        <v/>
      </c>
      <c r="Z36" s="166">
        <f>I36</f>
        <v/>
      </c>
      <c r="AA36" s="166">
        <f>K36</f>
        <v/>
      </c>
      <c r="AB36" s="166">
        <f>M36</f>
        <v/>
      </c>
      <c r="AC36" s="7">
        <f>N36</f>
        <v/>
      </c>
      <c r="AD36" s="162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3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inlineStr">
        <is>
          <t>대우한강베네시티</t>
        </is>
      </c>
      <c r="B37" s="16" t="inlineStr">
        <is>
          <t>'07.03.</t>
        </is>
      </c>
      <c r="C37" s="164" t="n">
        <v>204</v>
      </c>
      <c r="D37" s="161" t="n">
        <v>218</v>
      </c>
      <c r="E37" s="163" t="n">
        <v>66</v>
      </c>
      <c r="F37" s="161" t="n">
        <v>164.6</v>
      </c>
      <c r="G37" s="27" t="n">
        <v>50</v>
      </c>
      <c r="H37" s="164" t="n">
        <v>4</v>
      </c>
      <c r="I37" s="165" t="n"/>
      <c r="J37" s="165" t="n"/>
      <c r="K37" s="165" t="n"/>
      <c r="L37" s="165" t="n"/>
      <c r="M37" s="166">
        <f>I37-K37</f>
        <v/>
      </c>
      <c r="N37" s="7">
        <f>IF(ISERROR(K37/I37),"",K37/I37)</f>
        <v/>
      </c>
      <c r="O37" s="162">
        <f>I37/E37</f>
        <v/>
      </c>
      <c r="P37" s="162">
        <f>K37/E37</f>
        <v/>
      </c>
      <c r="Q37" s="113" t="n">
        <v>3</v>
      </c>
      <c r="R37" s="113" t="n">
        <v>2</v>
      </c>
      <c r="S37" s="113" t="inlineStr">
        <is>
          <t>계</t>
        </is>
      </c>
      <c r="T37" s="8" t="inlineStr">
        <is>
          <t>218P</t>
        </is>
      </c>
      <c r="U37" s="13" t="n"/>
      <c r="W37" s="161">
        <f>D37</f>
        <v/>
      </c>
      <c r="X37" s="163">
        <f>E37</f>
        <v/>
      </c>
      <c r="Y37" s="159">
        <f>H37</f>
        <v/>
      </c>
      <c r="Z37" s="166">
        <f>I37</f>
        <v/>
      </c>
      <c r="AA37" s="166">
        <f>K37</f>
        <v/>
      </c>
      <c r="AB37" s="166">
        <f>M37</f>
        <v/>
      </c>
      <c r="AC37" s="7">
        <f>N37</f>
        <v/>
      </c>
      <c r="AD37" s="162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3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n"/>
      <c r="B38" s="113" t="n"/>
      <c r="C38" s="10" t="n"/>
      <c r="D38" s="13" t="n"/>
      <c r="E38" s="20" t="n"/>
      <c r="F38" s="161" t="n"/>
      <c r="G38" s="13" t="n"/>
      <c r="H38" s="13" t="n"/>
      <c r="I38" s="13" t="n"/>
      <c r="J38" s="13" t="n"/>
      <c r="K38" s="13" t="n"/>
      <c r="L38" s="13" t="n"/>
      <c r="M38" s="13" t="n"/>
      <c r="N38" s="13" t="n"/>
      <c r="O38" s="162" t="n"/>
      <c r="P38" s="162" t="n"/>
      <c r="Q38" s="163" t="n"/>
      <c r="R38" s="163" t="n"/>
      <c r="S38" s="13" t="n"/>
      <c r="T38" s="70" t="n"/>
      <c r="U38" s="13" t="n"/>
      <c r="W38" s="107">
        <f>$A$4&amp;" "&amp;A39&amp;"("&amp;B39&amp;","&amp;C39&amp;"^)"</f>
        <v/>
      </c>
      <c r="X38" s="108" t="n"/>
      <c r="Y38" s="108" t="n"/>
      <c r="Z38" s="108" t="n"/>
      <c r="AA38" s="108" t="n"/>
      <c r="AB38" s="108" t="n"/>
      <c r="AC38" s="108" t="n"/>
      <c r="AD38" s="108" t="n"/>
      <c r="AE38" s="108" t="n"/>
      <c r="AF38" s="109" t="n"/>
      <c r="AH38" s="36">
        <f>IF(A38="","",A38)</f>
        <v/>
      </c>
      <c r="AI38" s="160">
        <f>IF(E38="","",E38)</f>
        <v/>
      </c>
      <c r="AJ38" s="113" t="n"/>
      <c r="AK38" s="113" t="n"/>
      <c r="AL38" s="113" t="n"/>
      <c r="AM38" s="113" t="n"/>
      <c r="AN38" s="113" t="n"/>
      <c r="AO38" s="113" t="n"/>
      <c r="AP38" s="113" t="n"/>
      <c r="AQ38" s="113" t="n"/>
      <c r="AR38" s="113" t="n"/>
      <c r="AS38" s="113" t="n"/>
      <c r="AT38" s="113" t="n"/>
      <c r="AU38" s="113" t="n"/>
      <c r="AV38" s="113" t="n"/>
    </row>
    <row r="39">
      <c r="A39" s="13" t="inlineStr">
        <is>
          <t>강변그대가리버뷰</t>
        </is>
      </c>
      <c r="B39" s="16" t="inlineStr">
        <is>
          <t>'07.02.</t>
        </is>
      </c>
      <c r="C39" s="164" t="n">
        <v>225</v>
      </c>
      <c r="D39" s="161" t="n">
        <v>111.5</v>
      </c>
      <c r="E39" s="163" t="n">
        <v>34</v>
      </c>
      <c r="F39" s="161" t="n">
        <v>84.90000000000001</v>
      </c>
      <c r="G39" s="27" t="n">
        <v>26</v>
      </c>
      <c r="H39" s="164" t="n">
        <v>39</v>
      </c>
      <c r="I39" s="165" t="n"/>
      <c r="J39" s="165" t="n"/>
      <c r="K39" s="165" t="n"/>
      <c r="L39" s="165" t="n"/>
      <c r="M39" s="166">
        <f>I39-K39</f>
        <v/>
      </c>
      <c r="N39" s="7">
        <f>IF(ISERROR(K39/I39),"",K39/I39)</f>
        <v/>
      </c>
      <c r="O39" s="162">
        <f>I39/E39</f>
        <v/>
      </c>
      <c r="P39" s="162">
        <f>K39/E39</f>
        <v/>
      </c>
      <c r="Q39" s="113" t="n">
        <v>3</v>
      </c>
      <c r="R39" s="113" t="n">
        <v>2</v>
      </c>
      <c r="S39" s="113" t="inlineStr">
        <is>
          <t>계</t>
        </is>
      </c>
      <c r="T39" s="8" t="inlineStr">
        <is>
          <t>111B</t>
        </is>
      </c>
      <c r="U39" s="13" t="n"/>
      <c r="W39" s="161">
        <f>D39</f>
        <v/>
      </c>
      <c r="X39" s="163">
        <f>E39</f>
        <v/>
      </c>
      <c r="Y39" s="159">
        <f>H39</f>
        <v/>
      </c>
      <c r="Z39" s="166">
        <f>I39</f>
        <v/>
      </c>
      <c r="AA39" s="166">
        <f>K39</f>
        <v/>
      </c>
      <c r="AB39" s="166">
        <f>M39</f>
        <v/>
      </c>
      <c r="AC39" s="7">
        <f>N39</f>
        <v/>
      </c>
      <c r="AD39" s="162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3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inlineStr">
        <is>
          <t>강변그대가리버뷰</t>
        </is>
      </c>
      <c r="B40" s="16" t="inlineStr">
        <is>
          <t>'07.02.</t>
        </is>
      </c>
      <c r="C40" s="164" t="n">
        <v>225</v>
      </c>
      <c r="D40" s="161" t="n">
        <v>112</v>
      </c>
      <c r="E40" s="163" t="n">
        <v>34</v>
      </c>
      <c r="F40" s="161" t="n">
        <v>85</v>
      </c>
      <c r="G40" s="27" t="n">
        <v>26</v>
      </c>
      <c r="H40" s="164" t="n">
        <v>83</v>
      </c>
      <c r="I40" s="165" t="n"/>
      <c r="J40" s="165" t="n"/>
      <c r="K40" s="165" t="n"/>
      <c r="L40" s="165" t="n"/>
      <c r="M40" s="166">
        <f>I40-K40</f>
        <v/>
      </c>
      <c r="N40" s="7">
        <f>IF(ISERROR(K40/I40),"",K40/I40)</f>
        <v/>
      </c>
      <c r="O40" s="162">
        <f>I40/E40</f>
        <v/>
      </c>
      <c r="P40" s="162">
        <f>K40/E40</f>
        <v/>
      </c>
      <c r="Q40" s="113" t="n">
        <v>3</v>
      </c>
      <c r="R40" s="113" t="n">
        <v>2</v>
      </c>
      <c r="S40" s="113" t="inlineStr">
        <is>
          <t>계</t>
        </is>
      </c>
      <c r="T40" s="8" t="inlineStr">
        <is>
          <t>112AA</t>
        </is>
      </c>
      <c r="U40" s="13" t="n"/>
      <c r="W40" s="161">
        <f>D40</f>
        <v/>
      </c>
      <c r="X40" s="163">
        <f>E40</f>
        <v/>
      </c>
      <c r="Y40" s="159">
        <f>H40</f>
        <v/>
      </c>
      <c r="Z40" s="166">
        <f>I40</f>
        <v/>
      </c>
      <c r="AA40" s="166">
        <f>K40</f>
        <v/>
      </c>
      <c r="AB40" s="166">
        <f>M40</f>
        <v/>
      </c>
      <c r="AC40" s="7">
        <f>N40</f>
        <v/>
      </c>
      <c r="AD40" s="162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3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inlineStr">
        <is>
          <t>강변그대가리버뷰</t>
        </is>
      </c>
      <c r="B41" s="16" t="inlineStr">
        <is>
          <t>'07.02.</t>
        </is>
      </c>
      <c r="C41" s="164" t="n">
        <v>225</v>
      </c>
      <c r="D41" s="161" t="n">
        <v>114.2</v>
      </c>
      <c r="E41" s="163" t="n">
        <v>35</v>
      </c>
      <c r="F41" s="161" t="n">
        <v>85</v>
      </c>
      <c r="G41" s="27" t="n">
        <v>26</v>
      </c>
      <c r="H41" s="164" t="n">
        <v>74</v>
      </c>
      <c r="I41" s="165" t="n"/>
      <c r="J41" s="165" t="n"/>
      <c r="K41" s="165" t="n"/>
      <c r="L41" s="165" t="n"/>
      <c r="M41" s="166">
        <f>I41-K41</f>
        <v/>
      </c>
      <c r="N41" s="7">
        <f>IF(ISERROR(K41/I41),"",K41/I41)</f>
        <v/>
      </c>
      <c r="O41" s="162">
        <f>I41/E41</f>
        <v/>
      </c>
      <c r="P41" s="162">
        <f>K41/E41</f>
        <v/>
      </c>
      <c r="Q41" s="113" t="n">
        <v>3</v>
      </c>
      <c r="R41" s="113" t="n">
        <v>2</v>
      </c>
      <c r="S41" s="113" t="inlineStr">
        <is>
          <t>계</t>
        </is>
      </c>
      <c r="T41" s="8" t="inlineStr">
        <is>
          <t>114A</t>
        </is>
      </c>
      <c r="U41" s="13" t="n"/>
      <c r="W41" s="161">
        <f>D41</f>
        <v/>
      </c>
      <c r="X41" s="163">
        <f>E41</f>
        <v/>
      </c>
      <c r="Y41" s="159">
        <f>H41</f>
        <v/>
      </c>
      <c r="Z41" s="166">
        <f>I41</f>
        <v/>
      </c>
      <c r="AA41" s="166">
        <f>K41</f>
        <v/>
      </c>
      <c r="AB41" s="166">
        <f>M41</f>
        <v/>
      </c>
      <c r="AC41" s="7">
        <f>N41</f>
        <v/>
      </c>
      <c r="AD41" s="162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3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inlineStr">
        <is>
          <t>강변그대가리버뷰</t>
        </is>
      </c>
      <c r="B42" s="16" t="inlineStr">
        <is>
          <t>'07.02.</t>
        </is>
      </c>
      <c r="C42" s="164" t="n">
        <v>225</v>
      </c>
      <c r="D42" s="161" t="n">
        <v>114.2</v>
      </c>
      <c r="E42" s="163" t="n">
        <v>35</v>
      </c>
      <c r="F42" s="161" t="n">
        <v>85</v>
      </c>
      <c r="G42" s="27" t="n">
        <v>26</v>
      </c>
      <c r="H42" s="164" t="n">
        <v>6</v>
      </c>
      <c r="I42" s="165" t="n"/>
      <c r="J42" s="165" t="n"/>
      <c r="K42" s="165" t="n"/>
      <c r="L42" s="165" t="n"/>
      <c r="M42" s="166">
        <f>I42-K42</f>
        <v/>
      </c>
      <c r="N42" s="7">
        <f>IF(ISERROR(K42/I42),"",K42/I42)</f>
        <v/>
      </c>
      <c r="O42" s="162">
        <f>I42/E42</f>
        <v/>
      </c>
      <c r="P42" s="162">
        <f>K42/E42</f>
        <v/>
      </c>
      <c r="Q42" s="113" t="n">
        <v>3</v>
      </c>
      <c r="R42" s="113" t="n">
        <v>2</v>
      </c>
      <c r="S42" s="113" t="inlineStr">
        <is>
          <t>계</t>
        </is>
      </c>
      <c r="T42" s="8" t="inlineStr">
        <is>
          <t>114B</t>
        </is>
      </c>
      <c r="U42" s="13" t="n"/>
      <c r="W42" s="161">
        <f>D42</f>
        <v/>
      </c>
      <c r="X42" s="163">
        <f>E42</f>
        <v/>
      </c>
      <c r="Y42" s="159">
        <f>H42</f>
        <v/>
      </c>
      <c r="Z42" s="166">
        <f>I42</f>
        <v/>
      </c>
      <c r="AA42" s="166">
        <f>K42</f>
        <v/>
      </c>
      <c r="AB42" s="166">
        <f>M42</f>
        <v/>
      </c>
      <c r="AC42" s="7">
        <f>N42</f>
        <v/>
      </c>
      <c r="AD42" s="162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3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inlineStr">
        <is>
          <t>강변그대가리버뷰</t>
        </is>
      </c>
      <c r="B43" s="16" t="inlineStr">
        <is>
          <t>'07.02.</t>
        </is>
      </c>
      <c r="C43" s="164" t="n">
        <v>225</v>
      </c>
      <c r="D43" s="161" t="n">
        <v>122.3</v>
      </c>
      <c r="E43" s="163" t="n">
        <v>37</v>
      </c>
      <c r="F43" s="161" t="n">
        <v>85</v>
      </c>
      <c r="G43" s="27" t="n">
        <v>26</v>
      </c>
      <c r="H43" s="164" t="n">
        <v>23</v>
      </c>
      <c r="I43" s="165" t="n"/>
      <c r="J43" s="165" t="n"/>
      <c r="K43" s="165" t="n"/>
      <c r="L43" s="165" t="n"/>
      <c r="M43" s="166">
        <f>I43-K43</f>
        <v/>
      </c>
      <c r="N43" s="7">
        <f>IF(ISERROR(K43/I43),"",K43/I43)</f>
        <v/>
      </c>
      <c r="O43" s="162">
        <f>I43/E43</f>
        <v/>
      </c>
      <c r="P43" s="162">
        <f>K43/E43</f>
        <v/>
      </c>
      <c r="Q43" s="113" t="n">
        <v>3</v>
      </c>
      <c r="R43" s="113" t="n">
        <v>2</v>
      </c>
      <c r="S43" s="113" t="inlineStr">
        <is>
          <t>계</t>
        </is>
      </c>
      <c r="T43" s="8" t="inlineStr">
        <is>
          <t>122AB</t>
        </is>
      </c>
      <c r="U43" s="13" t="n"/>
      <c r="W43" s="161">
        <f>D43</f>
        <v/>
      </c>
      <c r="X43" s="163">
        <f>E43</f>
        <v/>
      </c>
      <c r="Y43" s="159">
        <f>H43</f>
        <v/>
      </c>
      <c r="Z43" s="166">
        <f>I43</f>
        <v/>
      </c>
      <c r="AA43" s="166">
        <f>K43</f>
        <v/>
      </c>
      <c r="AB43" s="166">
        <f>M43</f>
        <v/>
      </c>
      <c r="AC43" s="7">
        <f>N43</f>
        <v/>
      </c>
      <c r="AD43" s="162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3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n"/>
      <c r="B44" s="113" t="n"/>
      <c r="C44" s="10" t="n"/>
      <c r="D44" s="13" t="n"/>
      <c r="E44" s="20" t="n"/>
      <c r="F44" s="161" t="n"/>
      <c r="G44" s="13" t="n"/>
      <c r="H44" s="13" t="n"/>
      <c r="I44" s="13" t="n"/>
      <c r="J44" s="13" t="n"/>
      <c r="K44" s="13" t="n"/>
      <c r="L44" s="13" t="n"/>
      <c r="M44" s="13" t="n"/>
      <c r="N44" s="13" t="n"/>
      <c r="O44" s="162" t="n"/>
      <c r="P44" s="162" t="n"/>
      <c r="Q44" s="163" t="n"/>
      <c r="R44" s="163" t="n"/>
      <c r="S44" s="13" t="n"/>
      <c r="T44" s="70" t="n"/>
      <c r="U44" s="13" t="n"/>
      <c r="W44" s="107">
        <f>$A$4&amp;" "&amp;A45&amp;"("&amp;B45&amp;","&amp;C45&amp;"^)"</f>
        <v/>
      </c>
      <c r="X44" s="108" t="n"/>
      <c r="Y44" s="108" t="n"/>
      <c r="Z44" s="108" t="n"/>
      <c r="AA44" s="108" t="n"/>
      <c r="AB44" s="108" t="n"/>
      <c r="AC44" s="108" t="n"/>
      <c r="AD44" s="108" t="n"/>
      <c r="AE44" s="108" t="n"/>
      <c r="AF44" s="109" t="n"/>
      <c r="AH44" s="36">
        <f>IF(A44="","",A44)</f>
        <v/>
      </c>
      <c r="AI44" s="160">
        <f>IF(E44="","",E44)</f>
        <v/>
      </c>
      <c r="AJ44" s="113" t="n"/>
      <c r="AK44" s="113" t="n"/>
      <c r="AL44" s="113" t="n"/>
      <c r="AM44" s="113" t="n"/>
      <c r="AN44" s="113" t="n"/>
      <c r="AO44" s="113" t="n"/>
      <c r="AP44" s="113" t="n"/>
      <c r="AQ44" s="113" t="n"/>
      <c r="AR44" s="113" t="n"/>
      <c r="AS44" s="113" t="n"/>
      <c r="AT44" s="113" t="n"/>
      <c r="AU44" s="113" t="n"/>
      <c r="AV44" s="113" t="n"/>
    </row>
    <row r="45">
      <c r="A45" s="13" t="inlineStr">
        <is>
          <t>천호삼성</t>
        </is>
      </c>
      <c r="B45" s="16" t="inlineStr">
        <is>
          <t>'97.05.</t>
        </is>
      </c>
      <c r="C45" s="164" t="n">
        <v>643</v>
      </c>
      <c r="D45" s="161" t="n">
        <v>83.8</v>
      </c>
      <c r="E45" s="163" t="n">
        <v>25</v>
      </c>
      <c r="F45" s="161" t="n">
        <v>59.9</v>
      </c>
      <c r="G45" s="27" t="n">
        <v>18</v>
      </c>
      <c r="H45" s="164" t="n">
        <v>140</v>
      </c>
      <c r="I45" s="165" t="n">
        <v>87500</v>
      </c>
      <c r="J45" s="165" t="inlineStr">
        <is>
          <t>중</t>
        </is>
      </c>
      <c r="K45" s="165" t="n"/>
      <c r="L45" s="165" t="n"/>
      <c r="M45" s="166">
        <f>I45-K45</f>
        <v/>
      </c>
      <c r="N45" s="7">
        <f>IF(ISERROR(K45/I45),"",K45/I45)</f>
        <v/>
      </c>
      <c r="O45" s="162">
        <f>I45/E45</f>
        <v/>
      </c>
      <c r="P45" s="162">
        <f>K45/E45</f>
        <v/>
      </c>
      <c r="Q45" s="113" t="n">
        <v>3</v>
      </c>
      <c r="R45" s="113" t="n">
        <v>1</v>
      </c>
      <c r="S45" s="113" t="inlineStr">
        <is>
          <t>복</t>
        </is>
      </c>
      <c r="T45" s="8" t="n">
        <v>83</v>
      </c>
      <c r="U45" s="13" t="n"/>
      <c r="W45" s="161">
        <f>D45</f>
        <v/>
      </c>
      <c r="X45" s="163">
        <f>E45</f>
        <v/>
      </c>
      <c r="Y45" s="159">
        <f>H45</f>
        <v/>
      </c>
      <c r="Z45" s="166">
        <f>I45</f>
        <v/>
      </c>
      <c r="AA45" s="166">
        <f>K45</f>
        <v/>
      </c>
      <c r="AB45" s="166">
        <f>M45</f>
        <v/>
      </c>
      <c r="AC45" s="7">
        <f>N45</f>
        <v/>
      </c>
      <c r="AD45" s="162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3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inlineStr">
        <is>
          <t>천호삼성</t>
        </is>
      </c>
      <c r="B46" s="16" t="inlineStr">
        <is>
          <t>'97.05.</t>
        </is>
      </c>
      <c r="C46" s="164" t="n">
        <v>643</v>
      </c>
      <c r="D46" s="161" t="n">
        <v>109.6</v>
      </c>
      <c r="E46" s="163" t="n">
        <v>33</v>
      </c>
      <c r="F46" s="161" t="n">
        <v>85</v>
      </c>
      <c r="G46" s="27" t="n">
        <v>26</v>
      </c>
      <c r="H46" s="164" t="n">
        <v>138</v>
      </c>
      <c r="I46" s="165" t="n">
        <v>107000</v>
      </c>
      <c r="J46" s="165" t="inlineStr">
        <is>
          <t>13</t>
        </is>
      </c>
      <c r="K46" s="165" t="n"/>
      <c r="L46" s="165" t="n"/>
      <c r="M46" s="166">
        <f>I46-K46</f>
        <v/>
      </c>
      <c r="N46" s="7">
        <f>IF(ISERROR(K46/I46),"",K46/I46)</f>
        <v/>
      </c>
      <c r="O46" s="162">
        <f>I46/E46</f>
        <v/>
      </c>
      <c r="P46" s="162">
        <f>K46/E46</f>
        <v/>
      </c>
      <c r="Q46" s="113" t="n">
        <v>3</v>
      </c>
      <c r="R46" s="113" t="n">
        <v>2</v>
      </c>
      <c r="S46" s="113" t="inlineStr">
        <is>
          <t>계</t>
        </is>
      </c>
      <c r="T46" s="8" t="n">
        <v>109</v>
      </c>
      <c r="U46" s="13" t="n"/>
      <c r="W46" s="161">
        <f>D46</f>
        <v/>
      </c>
      <c r="X46" s="163">
        <f>E46</f>
        <v/>
      </c>
      <c r="Y46" s="159">
        <f>H46</f>
        <v/>
      </c>
      <c r="Z46" s="166">
        <f>I46</f>
        <v/>
      </c>
      <c r="AA46" s="166">
        <f>K46</f>
        <v/>
      </c>
      <c r="AB46" s="166">
        <f>M46</f>
        <v/>
      </c>
      <c r="AC46" s="7">
        <f>N46</f>
        <v/>
      </c>
      <c r="AD46" s="162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3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inlineStr">
        <is>
          <t>천호삼성</t>
        </is>
      </c>
      <c r="B47" s="16" t="inlineStr">
        <is>
          <t>'97.05.</t>
        </is>
      </c>
      <c r="C47" s="164" t="n">
        <v>643</v>
      </c>
      <c r="D47" s="161" t="n">
        <v>140.2</v>
      </c>
      <c r="E47" s="163" t="n">
        <v>42</v>
      </c>
      <c r="F47" s="161" t="n">
        <v>114.7</v>
      </c>
      <c r="G47" s="27" t="n">
        <v>35</v>
      </c>
      <c r="H47" s="164" t="n">
        <v>118</v>
      </c>
      <c r="I47" s="165" t="n">
        <v>120000</v>
      </c>
      <c r="J47" s="165" t="inlineStr">
        <is>
          <t>고</t>
        </is>
      </c>
      <c r="K47" s="165" t="n">
        <v>77000</v>
      </c>
      <c r="L47" s="165" t="inlineStr">
        <is>
          <t>중</t>
        </is>
      </c>
      <c r="M47" s="166">
        <f>I47-K47</f>
        <v/>
      </c>
      <c r="N47" s="7">
        <f>IF(ISERROR(K47/I47),"",K47/I47)</f>
        <v/>
      </c>
      <c r="O47" s="162">
        <f>I47/E47</f>
        <v/>
      </c>
      <c r="P47" s="162">
        <f>K47/E47</f>
        <v/>
      </c>
      <c r="Q47" s="113" t="n">
        <v>4</v>
      </c>
      <c r="R47" s="113" t="n">
        <v>2</v>
      </c>
      <c r="S47" s="113" t="inlineStr">
        <is>
          <t>계</t>
        </is>
      </c>
      <c r="T47" s="8" t="n">
        <v>140</v>
      </c>
      <c r="U47" s="13" t="n"/>
      <c r="W47" s="161">
        <f>D47</f>
        <v/>
      </c>
      <c r="X47" s="163">
        <f>E47</f>
        <v/>
      </c>
      <c r="Y47" s="159">
        <f>H47</f>
        <v/>
      </c>
      <c r="Z47" s="166">
        <f>I47</f>
        <v/>
      </c>
      <c r="AA47" s="166">
        <f>K47</f>
        <v/>
      </c>
      <c r="AB47" s="166">
        <f>M47</f>
        <v/>
      </c>
      <c r="AC47" s="7">
        <f>N47</f>
        <v/>
      </c>
      <c r="AD47" s="162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3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n"/>
      <c r="B48" s="113" t="n"/>
      <c r="C48" s="10" t="n"/>
      <c r="D48" s="13" t="n"/>
      <c r="E48" s="20" t="n"/>
      <c r="F48" s="161" t="n"/>
      <c r="G48" s="13" t="n"/>
      <c r="H48" s="13" t="n"/>
      <c r="I48" s="13" t="n"/>
      <c r="J48" s="13" t="n"/>
      <c r="K48" s="13" t="n"/>
      <c r="L48" s="13" t="n"/>
      <c r="M48" s="13" t="n"/>
      <c r="N48" s="13" t="n"/>
      <c r="O48" s="162" t="n"/>
      <c r="P48" s="162" t="n"/>
      <c r="Q48" s="163" t="n"/>
      <c r="R48" s="163" t="n"/>
      <c r="S48" s="13" t="n"/>
      <c r="T48" s="70" t="n"/>
      <c r="U48" s="13" t="n"/>
      <c r="W48" s="107">
        <f>$A$4&amp;" "&amp;A49&amp;"("&amp;B49&amp;","&amp;C49&amp;"^)"</f>
        <v/>
      </c>
      <c r="X48" s="108" t="n"/>
      <c r="Y48" s="108" t="n"/>
      <c r="Z48" s="108" t="n"/>
      <c r="AA48" s="108" t="n"/>
      <c r="AB48" s="108" t="n"/>
      <c r="AC48" s="108" t="n"/>
      <c r="AD48" s="108" t="n"/>
      <c r="AE48" s="108" t="n"/>
      <c r="AF48" s="109" t="n"/>
      <c r="AH48" s="36">
        <f>IF(A48="","",A48)</f>
        <v/>
      </c>
      <c r="AI48" s="160">
        <f>IF(E48="","",E48)</f>
        <v/>
      </c>
      <c r="AJ48" s="113" t="n"/>
      <c r="AK48" s="113" t="n"/>
      <c r="AL48" s="113" t="n"/>
      <c r="AM48" s="113" t="n"/>
      <c r="AN48" s="113" t="n"/>
      <c r="AO48" s="113" t="n"/>
      <c r="AP48" s="113" t="n"/>
      <c r="AQ48" s="113" t="n"/>
      <c r="AR48" s="113" t="n"/>
      <c r="AS48" s="113" t="n"/>
      <c r="AT48" s="113" t="n"/>
      <c r="AU48" s="113" t="n"/>
      <c r="AV48" s="113" t="n"/>
    </row>
    <row r="49">
      <c r="A49" s="13" t="inlineStr">
        <is>
          <t>중앙하이츠</t>
        </is>
      </c>
      <c r="B49" s="16" t="inlineStr">
        <is>
          <t>'98.12.</t>
        </is>
      </c>
      <c r="C49" s="164" t="n">
        <v>226</v>
      </c>
      <c r="D49" s="161" t="n">
        <v>87</v>
      </c>
      <c r="E49" s="163" t="n">
        <v>26</v>
      </c>
      <c r="F49" s="161" t="n">
        <v>59.9</v>
      </c>
      <c r="G49" s="27" t="n">
        <v>18</v>
      </c>
      <c r="H49" s="164" t="n">
        <v>117</v>
      </c>
      <c r="I49" s="165" t="n"/>
      <c r="J49" s="165" t="n"/>
      <c r="K49" s="165" t="n"/>
      <c r="L49" s="165" t="n"/>
      <c r="M49" s="166">
        <f>I49-K49</f>
        <v/>
      </c>
      <c r="N49" s="7">
        <f>IF(ISERROR(K49/I49),"",K49/I49)</f>
        <v/>
      </c>
      <c r="O49" s="162">
        <f>I49/E49</f>
        <v/>
      </c>
      <c r="P49" s="162">
        <f>K49/E49</f>
        <v/>
      </c>
      <c r="Q49" s="113" t="n">
        <v>3</v>
      </c>
      <c r="R49" s="113" t="n">
        <v>1</v>
      </c>
      <c r="S49" s="113" t="inlineStr">
        <is>
          <t>복</t>
        </is>
      </c>
      <c r="T49" s="8" t="inlineStr">
        <is>
          <t>86A</t>
        </is>
      </c>
      <c r="U49" s="13" t="n"/>
      <c r="W49" s="161">
        <f>D49</f>
        <v/>
      </c>
      <c r="X49" s="163">
        <f>E49</f>
        <v/>
      </c>
      <c r="Y49" s="159">
        <f>H49</f>
        <v/>
      </c>
      <c r="Z49" s="166">
        <f>I49</f>
        <v/>
      </c>
      <c r="AA49" s="166">
        <f>K49</f>
        <v/>
      </c>
      <c r="AB49" s="166">
        <f>M49</f>
        <v/>
      </c>
      <c r="AC49" s="7">
        <f>N49</f>
        <v/>
      </c>
      <c r="AD49" s="162">
        <f>O49</f>
        <v/>
      </c>
      <c r="AE49" s="113">
        <f>S49</f>
        <v/>
      </c>
      <c r="AF49" s="113">
        <f>Q49&amp;"/"&amp;R49</f>
        <v/>
      </c>
      <c r="AH49" s="36">
        <f>IF(A49="","",A49)</f>
        <v/>
      </c>
      <c r="AI49" s="163">
        <f>IF(E49="","",E49)</f>
        <v/>
      </c>
      <c r="AJ49" s="113">
        <f>IF(AI49="","",$AJ$2)</f>
        <v/>
      </c>
      <c r="AK49" s="113" t="inlineStr">
        <is>
          <t>A</t>
        </is>
      </c>
      <c r="AL49" s="113" t="inlineStr">
        <is>
          <t>A+</t>
        </is>
      </c>
      <c r="AM49" s="113" t="inlineStr">
        <is>
          <t>B+</t>
        </is>
      </c>
      <c r="AN49" s="113">
        <f>IF(AI49="","",$AN$2)</f>
        <v/>
      </c>
      <c r="AO49" s="113">
        <f>IF(N49="","",IF(N49&gt;=$AO$1/100,"O","X"))</f>
        <v/>
      </c>
      <c r="AP49" s="113">
        <f>IF(I49="","",IF(I49&lt;=$AP$1,"O","X"))</f>
        <v/>
      </c>
      <c r="AQ49" s="113">
        <f>IF(O49="","",IF(O49&lt;=$AQ$1,"O","X"))</f>
        <v/>
      </c>
      <c r="AR49" s="113">
        <f>IF(M49="","",IF(M49&lt;=$AR$1,"O","X"))</f>
        <v/>
      </c>
      <c r="AS49" s="113" t="inlineStr">
        <is>
          <t>X</t>
        </is>
      </c>
      <c r="AT49" s="113">
        <f>IF(OR(F49="",AI49=""),"",IF(AND((F49&lt;=85),(AI49&gt;=15)),"O","X"))</f>
        <v/>
      </c>
      <c r="AU49" s="113">
        <f>IF(C49="","",IF(C49&gt;=$AU$1,"O","X"))</f>
        <v/>
      </c>
      <c r="AV49" s="113">
        <f>IF(AO49="","",IF(AND(AO49="O",AP49="O",AR49="O",AT49="O",AU49="O"),"후보","X"))</f>
        <v/>
      </c>
    </row>
    <row r="50">
      <c r="A50" s="13" t="inlineStr">
        <is>
          <t>중앙하이츠</t>
        </is>
      </c>
      <c r="B50" s="16" t="inlineStr">
        <is>
          <t>'98.12.</t>
        </is>
      </c>
      <c r="C50" s="164" t="n">
        <v>226</v>
      </c>
      <c r="D50" s="161" t="n">
        <v>86.7</v>
      </c>
      <c r="E50" s="163" t="n">
        <v>26</v>
      </c>
      <c r="F50" s="161" t="n">
        <v>59.6</v>
      </c>
      <c r="G50" s="27" t="n">
        <v>18</v>
      </c>
      <c r="H50" s="164" t="n">
        <v>4</v>
      </c>
      <c r="I50" s="165" t="n"/>
      <c r="J50" s="165" t="n"/>
      <c r="K50" s="165" t="n"/>
      <c r="L50" s="165" t="n"/>
      <c r="M50" s="166">
        <f>I50-K50</f>
        <v/>
      </c>
      <c r="N50" s="7">
        <f>IF(ISERROR(K50/I50),"",K50/I50)</f>
        <v/>
      </c>
      <c r="O50" s="162">
        <f>I50/E50</f>
        <v/>
      </c>
      <c r="P50" s="162">
        <f>K50/E50</f>
        <v/>
      </c>
      <c r="Q50" s="113" t="n">
        <v>3</v>
      </c>
      <c r="R50" s="113" t="n">
        <v>1</v>
      </c>
      <c r="S50" s="113" t="inlineStr">
        <is>
          <t>복</t>
        </is>
      </c>
      <c r="T50" s="8" t="inlineStr">
        <is>
          <t>86B</t>
        </is>
      </c>
      <c r="U50" s="13" t="n"/>
      <c r="W50" s="161">
        <f>D50</f>
        <v/>
      </c>
      <c r="X50" s="163">
        <f>E50</f>
        <v/>
      </c>
      <c r="Y50" s="159">
        <f>H50</f>
        <v/>
      </c>
      <c r="Z50" s="166">
        <f>I50</f>
        <v/>
      </c>
      <c r="AA50" s="166">
        <f>K50</f>
        <v/>
      </c>
      <c r="AB50" s="166">
        <f>M50</f>
        <v/>
      </c>
      <c r="AC50" s="7">
        <f>N50</f>
        <v/>
      </c>
      <c r="AD50" s="162">
        <f>O50</f>
        <v/>
      </c>
      <c r="AE50" s="113">
        <f>S50</f>
        <v/>
      </c>
      <c r="AF50" s="113">
        <f>Q50&amp;"/"&amp;R50</f>
        <v/>
      </c>
      <c r="AH50" s="36">
        <f>IF(A50="","",A50)</f>
        <v/>
      </c>
      <c r="AI50" s="163">
        <f>IF(E50="","",E50)</f>
        <v/>
      </c>
      <c r="AJ50" s="113">
        <f>IF(AI50="","",$AJ$2)</f>
        <v/>
      </c>
      <c r="AK50" s="113" t="inlineStr">
        <is>
          <t>A</t>
        </is>
      </c>
      <c r="AL50" s="113" t="inlineStr">
        <is>
          <t>A+</t>
        </is>
      </c>
      <c r="AM50" s="113" t="inlineStr">
        <is>
          <t>B+</t>
        </is>
      </c>
      <c r="AN50" s="113">
        <f>IF(AI50="","",$AN$2)</f>
        <v/>
      </c>
      <c r="AO50" s="113">
        <f>IF(N50="","",IF(N50&gt;=$AO$1/100,"O","X"))</f>
        <v/>
      </c>
      <c r="AP50" s="113">
        <f>IF(I50="","",IF(I50&lt;=$AP$1,"O","X"))</f>
        <v/>
      </c>
      <c r="AQ50" s="113">
        <f>IF(O50="","",IF(O50&lt;=$AQ$1,"O","X"))</f>
        <v/>
      </c>
      <c r="AR50" s="113">
        <f>IF(M50="","",IF(M50&lt;=$AR$1,"O","X"))</f>
        <v/>
      </c>
      <c r="AS50" s="113" t="inlineStr">
        <is>
          <t>X</t>
        </is>
      </c>
      <c r="AT50" s="113">
        <f>IF(OR(F50="",AI50=""),"",IF(AND((F50&lt;=85),(AI50&gt;=15)),"O","X"))</f>
        <v/>
      </c>
      <c r="AU50" s="113">
        <f>IF(C50="","",IF(C50&gt;=$AU$1,"O","X"))</f>
        <v/>
      </c>
      <c r="AV50" s="113">
        <f>IF(AO50="","",IF(AND(AO50="O",AP50="O",AR50="O",AT50="O",AU50="O"),"후보","X"))</f>
        <v/>
      </c>
    </row>
    <row r="51">
      <c r="A51" s="13" t="inlineStr">
        <is>
          <t>중앙하이츠</t>
        </is>
      </c>
      <c r="B51" s="16" t="inlineStr">
        <is>
          <t>'98.12.</t>
        </is>
      </c>
      <c r="C51" s="164" t="n">
        <v>226</v>
      </c>
      <c r="D51" s="161" t="n">
        <v>111.2</v>
      </c>
      <c r="E51" s="163" t="n">
        <v>34</v>
      </c>
      <c r="F51" s="161" t="n">
        <v>85</v>
      </c>
      <c r="G51" s="27" t="n">
        <v>26</v>
      </c>
      <c r="H51" s="164" t="n">
        <v>82</v>
      </c>
      <c r="I51" s="165" t="n"/>
      <c r="J51" s="165" t="n"/>
      <c r="K51" s="165" t="n"/>
      <c r="L51" s="165" t="n"/>
      <c r="M51" s="166">
        <f>I51-K51</f>
        <v/>
      </c>
      <c r="N51" s="7">
        <f>IF(ISERROR(K51/I51),"",K51/I51)</f>
        <v/>
      </c>
      <c r="O51" s="162">
        <f>I51/E51</f>
        <v/>
      </c>
      <c r="P51" s="162">
        <f>K51/E51</f>
        <v/>
      </c>
      <c r="Q51" s="113" t="n">
        <v>3</v>
      </c>
      <c r="R51" s="113" t="n">
        <v>2</v>
      </c>
      <c r="S51" s="113" t="inlineStr">
        <is>
          <t>계</t>
        </is>
      </c>
      <c r="T51" s="8" t="n">
        <v>111</v>
      </c>
      <c r="U51" s="13" t="n"/>
      <c r="W51" s="161">
        <f>D51</f>
        <v/>
      </c>
      <c r="X51" s="163">
        <f>E51</f>
        <v/>
      </c>
      <c r="Y51" s="159">
        <f>H51</f>
        <v/>
      </c>
      <c r="Z51" s="166">
        <f>I51</f>
        <v/>
      </c>
      <c r="AA51" s="166">
        <f>K51</f>
        <v/>
      </c>
      <c r="AB51" s="166">
        <f>M51</f>
        <v/>
      </c>
      <c r="AC51" s="7">
        <f>N51</f>
        <v/>
      </c>
      <c r="AD51" s="162">
        <f>O51</f>
        <v/>
      </c>
      <c r="AE51" s="113">
        <f>S51</f>
        <v/>
      </c>
      <c r="AF51" s="113">
        <f>Q51&amp;"/"&amp;R51</f>
        <v/>
      </c>
      <c r="AH51" s="36">
        <f>IF(A51="","",A51)</f>
        <v/>
      </c>
      <c r="AI51" s="163">
        <f>IF(E51="","",E51)</f>
        <v/>
      </c>
      <c r="AJ51" s="113">
        <f>IF(AI51="","",$AJ$2)</f>
        <v/>
      </c>
      <c r="AK51" s="113" t="inlineStr">
        <is>
          <t>A</t>
        </is>
      </c>
      <c r="AL51" s="113" t="inlineStr">
        <is>
          <t>A+</t>
        </is>
      </c>
      <c r="AM51" s="113" t="inlineStr">
        <is>
          <t>B+</t>
        </is>
      </c>
      <c r="AN51" s="113">
        <f>IF(AI51="","",$AN$2)</f>
        <v/>
      </c>
      <c r="AO51" s="113">
        <f>IF(N51="","",IF(N51&gt;=$AO$1/100,"O","X"))</f>
        <v/>
      </c>
      <c r="AP51" s="113">
        <f>IF(I51="","",IF(I51&lt;=$AP$1,"O","X"))</f>
        <v/>
      </c>
      <c r="AQ51" s="113">
        <f>IF(O51="","",IF(O51&lt;=$AQ$1,"O","X"))</f>
        <v/>
      </c>
      <c r="AR51" s="113">
        <f>IF(M51="","",IF(M51&lt;=$AR$1,"O","X"))</f>
        <v/>
      </c>
      <c r="AS51" s="113" t="inlineStr">
        <is>
          <t>X</t>
        </is>
      </c>
      <c r="AT51" s="113">
        <f>IF(OR(F51="",AI51=""),"",IF(AND((F51&lt;=85),(AI51&gt;=15)),"O","X"))</f>
        <v/>
      </c>
      <c r="AU51" s="113">
        <f>IF(C51="","",IF(C51&gt;=$AU$1,"O","X"))</f>
        <v/>
      </c>
      <c r="AV51" s="113">
        <f>IF(AO51="","",IF(AND(AO51="O",AP51="O",AR51="O",AT51="O",AU51="O"),"후보","X"))</f>
        <v/>
      </c>
    </row>
    <row r="52">
      <c r="A52" s="13" t="inlineStr">
        <is>
          <t>중앙하이츠</t>
        </is>
      </c>
      <c r="B52" s="16" t="inlineStr">
        <is>
          <t>'98.12.</t>
        </is>
      </c>
      <c r="C52" s="164" t="n">
        <v>226</v>
      </c>
      <c r="D52" s="161" t="n">
        <v>143.4</v>
      </c>
      <c r="E52" s="163" t="n">
        <v>43</v>
      </c>
      <c r="F52" s="161" t="n">
        <v>114.7</v>
      </c>
      <c r="G52" s="27" t="n">
        <v>35</v>
      </c>
      <c r="H52" s="164" t="n">
        <v>27</v>
      </c>
      <c r="I52" s="165" t="n"/>
      <c r="J52" s="165" t="n"/>
      <c r="K52" s="165" t="n"/>
      <c r="L52" s="165" t="n"/>
      <c r="M52" s="166">
        <f>I52-K52</f>
        <v/>
      </c>
      <c r="N52" s="7">
        <f>IF(ISERROR(K52/I52),"",K52/I52)</f>
        <v/>
      </c>
      <c r="O52" s="162">
        <f>I52/E52</f>
        <v/>
      </c>
      <c r="P52" s="162">
        <f>K52/E52</f>
        <v/>
      </c>
      <c r="Q52" s="113" t="n">
        <v>4</v>
      </c>
      <c r="R52" s="113" t="n">
        <v>2</v>
      </c>
      <c r="S52" s="113" t="inlineStr">
        <is>
          <t>계</t>
        </is>
      </c>
      <c r="T52" s="8" t="n">
        <v>143</v>
      </c>
      <c r="U52" s="13" t="n"/>
      <c r="W52" s="161">
        <f>D52</f>
        <v/>
      </c>
      <c r="X52" s="163">
        <f>E52</f>
        <v/>
      </c>
      <c r="Y52" s="159">
        <f>H52</f>
        <v/>
      </c>
      <c r="Z52" s="166">
        <f>I52</f>
        <v/>
      </c>
      <c r="AA52" s="166">
        <f>K52</f>
        <v/>
      </c>
      <c r="AB52" s="166">
        <f>M52</f>
        <v/>
      </c>
      <c r="AC52" s="7">
        <f>N52</f>
        <v/>
      </c>
      <c r="AD52" s="162">
        <f>O52</f>
        <v/>
      </c>
      <c r="AE52" s="113">
        <f>S52</f>
        <v/>
      </c>
      <c r="AF52" s="113">
        <f>Q52&amp;"/"&amp;R52</f>
        <v/>
      </c>
      <c r="AH52" s="36">
        <f>IF(A52="","",A52)</f>
        <v/>
      </c>
      <c r="AI52" s="163">
        <f>IF(E52="","",E52)</f>
        <v/>
      </c>
      <c r="AJ52" s="113">
        <f>IF(AI52="","",$AJ$2)</f>
        <v/>
      </c>
      <c r="AK52" s="113" t="inlineStr">
        <is>
          <t>A</t>
        </is>
      </c>
      <c r="AL52" s="113" t="inlineStr">
        <is>
          <t>A+</t>
        </is>
      </c>
      <c r="AM52" s="113" t="inlineStr">
        <is>
          <t>B+</t>
        </is>
      </c>
      <c r="AN52" s="113">
        <f>IF(AI52="","",$AN$2)</f>
        <v/>
      </c>
      <c r="AO52" s="113">
        <f>IF(N52="","",IF(N52&gt;=$AO$1/100,"O","X"))</f>
        <v/>
      </c>
      <c r="AP52" s="113">
        <f>IF(I52="","",IF(I52&lt;=$AP$1,"O","X"))</f>
        <v/>
      </c>
      <c r="AQ52" s="113">
        <f>IF(O52="","",IF(O52&lt;=$AQ$1,"O","X"))</f>
        <v/>
      </c>
      <c r="AR52" s="113">
        <f>IF(M52="","",IF(M52&lt;=$AR$1,"O","X"))</f>
        <v/>
      </c>
      <c r="AS52" s="113" t="inlineStr">
        <is>
          <t>X</t>
        </is>
      </c>
      <c r="AT52" s="113">
        <f>IF(OR(F52="",AI52=""),"",IF(AND((F52&lt;=85),(AI52&gt;=15)),"O","X"))</f>
        <v/>
      </c>
      <c r="AU52" s="113">
        <f>IF(C52="","",IF(C52&gt;=$AU$1,"O","X"))</f>
        <v/>
      </c>
      <c r="AV52" s="113">
        <f>IF(AO52="","",IF(AND(AO52="O",AP52="O",AR52="O",AT52="O",AU52="O"),"후보","X"))</f>
        <v/>
      </c>
    </row>
    <row r="53">
      <c r="A53" s="13" t="n"/>
      <c r="B53" s="113" t="n"/>
      <c r="C53" s="10" t="n"/>
      <c r="D53" s="13" t="n"/>
      <c r="E53" s="20" t="n"/>
      <c r="F53" s="161" t="n"/>
      <c r="G53" s="13" t="n"/>
      <c r="H53" s="13" t="n"/>
      <c r="I53" s="13" t="n"/>
      <c r="J53" s="13" t="n"/>
      <c r="K53" s="13" t="n"/>
      <c r="L53" s="13" t="n"/>
      <c r="M53" s="13" t="n"/>
      <c r="N53" s="13" t="n"/>
      <c r="O53" s="162" t="n"/>
      <c r="P53" s="162" t="n"/>
      <c r="Q53" s="163" t="n"/>
      <c r="R53" s="163" t="n"/>
      <c r="S53" s="13" t="n"/>
      <c r="T53" s="70" t="n"/>
      <c r="U53" s="13" t="n"/>
      <c r="W53" s="107">
        <f>$A$4&amp;" "&amp;A54&amp;"("&amp;B54&amp;","&amp;C54&amp;"^)"</f>
        <v/>
      </c>
      <c r="X53" s="108" t="n"/>
      <c r="Y53" s="108" t="n"/>
      <c r="Z53" s="108" t="n"/>
      <c r="AA53" s="108" t="n"/>
      <c r="AB53" s="108" t="n"/>
      <c r="AC53" s="108" t="n"/>
      <c r="AD53" s="108" t="n"/>
      <c r="AE53" s="108" t="n"/>
      <c r="AF53" s="109" t="n"/>
      <c r="AH53" s="36">
        <f>IF(A53="","",A53)</f>
        <v/>
      </c>
      <c r="AI53" s="160">
        <f>IF(E53="","",E53)</f>
        <v/>
      </c>
      <c r="AJ53" s="113" t="n"/>
      <c r="AK53" s="113" t="n"/>
      <c r="AL53" s="113" t="n"/>
      <c r="AM53" s="113" t="n"/>
      <c r="AN53" s="113" t="n"/>
      <c r="AO53" s="113" t="n"/>
      <c r="AP53" s="113" t="n"/>
      <c r="AQ53" s="113" t="n"/>
      <c r="AR53" s="113" t="n"/>
      <c r="AS53" s="113" t="n"/>
      <c r="AT53" s="113" t="n"/>
      <c r="AU53" s="113" t="n"/>
      <c r="AV53" s="113" t="n"/>
    </row>
    <row r="54">
      <c r="A54" s="13" t="inlineStr">
        <is>
          <t>강동밀레니얼중흥S-클래스(주)</t>
        </is>
      </c>
      <c r="B54" s="16" t="inlineStr">
        <is>
          <t>'24.09.</t>
        </is>
      </c>
      <c r="C54" s="164" t="n">
        <v>999</v>
      </c>
      <c r="D54" s="161" t="n">
        <v>42</v>
      </c>
      <c r="E54" s="163" t="n">
        <v>13</v>
      </c>
      <c r="F54" s="161" t="n">
        <v>26</v>
      </c>
      <c r="G54" s="27" t="n">
        <v>8</v>
      </c>
      <c r="H54" s="164" t="n">
        <v>1</v>
      </c>
      <c r="I54" s="165" t="n"/>
      <c r="J54" s="165" t="n"/>
      <c r="K54" s="165" t="n"/>
      <c r="L54" s="165" t="n"/>
      <c r="M54" s="166">
        <f>I54-K54</f>
        <v/>
      </c>
      <c r="N54" s="7">
        <f>IF(ISERROR(K54/I54),"",K54/I54)</f>
        <v/>
      </c>
      <c r="O54" s="162">
        <f>I54/E54</f>
        <v/>
      </c>
      <c r="P54" s="162">
        <f>K54/E54</f>
        <v/>
      </c>
      <c r="Q54" s="113" t="n">
        <v>1</v>
      </c>
      <c r="R54" s="113" t="n">
        <v>1</v>
      </c>
      <c r="S54" s="113" t="inlineStr">
        <is>
          <t>계</t>
        </is>
      </c>
      <c r="T54" s="8" t="n">
        <v>42</v>
      </c>
      <c r="U54" s="13" t="n"/>
      <c r="W54" s="161">
        <f>D54</f>
        <v/>
      </c>
      <c r="X54" s="163">
        <f>E54</f>
        <v/>
      </c>
      <c r="Y54" s="159">
        <f>H54</f>
        <v/>
      </c>
      <c r="Z54" s="166">
        <f>I54</f>
        <v/>
      </c>
      <c r="AA54" s="166">
        <f>K54</f>
        <v/>
      </c>
      <c r="AB54" s="166">
        <f>M54</f>
        <v/>
      </c>
      <c r="AC54" s="7">
        <f>N54</f>
        <v/>
      </c>
      <c r="AD54" s="162">
        <f>O54</f>
        <v/>
      </c>
      <c r="AE54" s="113">
        <f>S54</f>
        <v/>
      </c>
      <c r="AF54" s="113">
        <f>Q54&amp;"/"&amp;R54</f>
        <v/>
      </c>
      <c r="AH54" s="36">
        <f>IF(A54="","",A54)</f>
        <v/>
      </c>
      <c r="AI54" s="163">
        <f>IF(E54="","",E54)</f>
        <v/>
      </c>
      <c r="AJ54" s="113">
        <f>IF(AI54="","",$AJ$2)</f>
        <v/>
      </c>
      <c r="AK54" s="113" t="inlineStr">
        <is>
          <t>A</t>
        </is>
      </c>
      <c r="AL54" s="113" t="inlineStr">
        <is>
          <t>A+</t>
        </is>
      </c>
      <c r="AM54" s="113" t="inlineStr">
        <is>
          <t>B+</t>
        </is>
      </c>
      <c r="AN54" s="113">
        <f>IF(AI54="","",$AN$2)</f>
        <v/>
      </c>
      <c r="AO54" s="113">
        <f>IF(N54="","",IF(N54&gt;=$AO$1/100,"O","X"))</f>
        <v/>
      </c>
      <c r="AP54" s="113">
        <f>IF(I54="","",IF(I54&lt;=$AP$1,"O","X"))</f>
        <v/>
      </c>
      <c r="AQ54" s="113">
        <f>IF(O54="","",IF(O54&lt;=$AQ$1,"O","X"))</f>
        <v/>
      </c>
      <c r="AR54" s="113">
        <f>IF(M54="","",IF(M54&lt;=$AR$1,"O","X"))</f>
        <v/>
      </c>
      <c r="AS54" s="113" t="inlineStr">
        <is>
          <t>X</t>
        </is>
      </c>
      <c r="AT54" s="113">
        <f>IF(OR(F54="",AI54=""),"",IF(AND((F54&lt;=85),(AI54&gt;=15)),"O","X"))</f>
        <v/>
      </c>
      <c r="AU54" s="113">
        <f>IF(C54="","",IF(C54&gt;=$AU$1,"O","X"))</f>
        <v/>
      </c>
      <c r="AV54" s="113">
        <f>IF(AO54="","",IF(AND(AO54="O",AP54="O",AR54="O",AT54="O",AU54="O"),"후보","X"))</f>
        <v/>
      </c>
    </row>
    <row r="55">
      <c r="A55" s="13" t="inlineStr">
        <is>
          <t>강동밀레니얼중흥S-클래스(주)</t>
        </is>
      </c>
      <c r="B55" s="16" t="inlineStr">
        <is>
          <t>'24.09.</t>
        </is>
      </c>
      <c r="C55" s="164" t="n">
        <v>999</v>
      </c>
      <c r="D55" s="161" t="n">
        <v>76.90000000000001</v>
      </c>
      <c r="E55" s="163" t="n">
        <v>23</v>
      </c>
      <c r="F55" s="161" t="n">
        <v>47.8</v>
      </c>
      <c r="G55" s="27" t="n">
        <v>14</v>
      </c>
      <c r="H55" s="164" t="n">
        <v>84</v>
      </c>
      <c r="I55" s="165" t="n"/>
      <c r="J55" s="165" t="n"/>
      <c r="K55" s="165" t="n"/>
      <c r="L55" s="165" t="n"/>
      <c r="M55" s="166">
        <f>I55-K55</f>
        <v/>
      </c>
      <c r="N55" s="7">
        <f>IF(ISERROR(K55/I55),"",K55/I55)</f>
        <v/>
      </c>
      <c r="O55" s="162">
        <f>I55/E55</f>
        <v/>
      </c>
      <c r="P55" s="162">
        <f>K55/E55</f>
        <v/>
      </c>
      <c r="Q55" s="113" t="n">
        <v>2</v>
      </c>
      <c r="R55" s="113" t="n">
        <v>1</v>
      </c>
      <c r="S55" s="113" t="inlineStr">
        <is>
          <t>계</t>
        </is>
      </c>
      <c r="T55" s="8" t="inlineStr">
        <is>
          <t>76A</t>
        </is>
      </c>
      <c r="U55" s="13" t="n"/>
      <c r="W55" s="161">
        <f>D55</f>
        <v/>
      </c>
      <c r="X55" s="163">
        <f>E55</f>
        <v/>
      </c>
      <c r="Y55" s="159">
        <f>H55</f>
        <v/>
      </c>
      <c r="Z55" s="166">
        <f>I55</f>
        <v/>
      </c>
      <c r="AA55" s="166">
        <f>K55</f>
        <v/>
      </c>
      <c r="AB55" s="166">
        <f>M55</f>
        <v/>
      </c>
      <c r="AC55" s="7">
        <f>N55</f>
        <v/>
      </c>
      <c r="AD55" s="162">
        <f>O55</f>
        <v/>
      </c>
      <c r="AE55" s="113">
        <f>S55</f>
        <v/>
      </c>
      <c r="AF55" s="113">
        <f>Q55&amp;"/"&amp;R55</f>
        <v/>
      </c>
      <c r="AH55" s="36">
        <f>IF(A55="","",A55)</f>
        <v/>
      </c>
      <c r="AI55" s="163">
        <f>IF(E55="","",E55)</f>
        <v/>
      </c>
      <c r="AJ55" s="113">
        <f>IF(AI55="","",$AJ$2)</f>
        <v/>
      </c>
      <c r="AK55" s="113" t="inlineStr">
        <is>
          <t>A</t>
        </is>
      </c>
      <c r="AL55" s="113" t="inlineStr">
        <is>
          <t>A+</t>
        </is>
      </c>
      <c r="AM55" s="113" t="inlineStr">
        <is>
          <t>B+</t>
        </is>
      </c>
      <c r="AN55" s="113">
        <f>IF(AI55="","",$AN$2)</f>
        <v/>
      </c>
      <c r="AO55" s="113">
        <f>IF(N55="","",IF(N55&gt;=$AO$1/100,"O","X"))</f>
        <v/>
      </c>
      <c r="AP55" s="113">
        <f>IF(I55="","",IF(I55&lt;=$AP$1,"O","X"))</f>
        <v/>
      </c>
      <c r="AQ55" s="113">
        <f>IF(O55="","",IF(O55&lt;=$AQ$1,"O","X"))</f>
        <v/>
      </c>
      <c r="AR55" s="113">
        <f>IF(M55="","",IF(M55&lt;=$AR$1,"O","X"))</f>
        <v/>
      </c>
      <c r="AS55" s="113" t="inlineStr">
        <is>
          <t>X</t>
        </is>
      </c>
      <c r="AT55" s="113">
        <f>IF(OR(F55="",AI55=""),"",IF(AND((F55&lt;=85),(AI55&gt;=15)),"O","X"))</f>
        <v/>
      </c>
      <c r="AU55" s="113">
        <f>IF(C55="","",IF(C55&gt;=$AU$1,"O","X"))</f>
        <v/>
      </c>
      <c r="AV55" s="113">
        <f>IF(AO55="","",IF(AND(AO55="O",AP55="O",AR55="O",AT55="O",AU55="O"),"후보","X"))</f>
        <v/>
      </c>
    </row>
    <row r="56">
      <c r="A56" s="13" t="inlineStr">
        <is>
          <t>강동밀레니얼중흥S-클래스(주)</t>
        </is>
      </c>
      <c r="B56" s="16" t="inlineStr">
        <is>
          <t>'24.09.</t>
        </is>
      </c>
      <c r="C56" s="164" t="n">
        <v>999</v>
      </c>
      <c r="D56" s="161" t="n">
        <v>76.7</v>
      </c>
      <c r="E56" s="163" t="n">
        <v>23</v>
      </c>
      <c r="F56" s="161" t="n">
        <v>47.4</v>
      </c>
      <c r="G56" s="27" t="n">
        <v>14</v>
      </c>
      <c r="H56" s="164" t="n">
        <v>51</v>
      </c>
      <c r="I56" s="165" t="n"/>
      <c r="J56" s="165" t="n"/>
      <c r="K56" s="165" t="n"/>
      <c r="L56" s="165" t="n"/>
      <c r="M56" s="166">
        <f>I56-K56</f>
        <v/>
      </c>
      <c r="N56" s="7">
        <f>IF(ISERROR(K56/I56),"",K56/I56)</f>
        <v/>
      </c>
      <c r="O56" s="162">
        <f>I56/E56</f>
        <v/>
      </c>
      <c r="P56" s="162">
        <f>K56/E56</f>
        <v/>
      </c>
      <c r="Q56" s="113" t="n">
        <v>2</v>
      </c>
      <c r="R56" s="113" t="n">
        <v>1</v>
      </c>
      <c r="S56" s="113" t="inlineStr">
        <is>
          <t>계</t>
        </is>
      </c>
      <c r="T56" s="8" t="inlineStr">
        <is>
          <t>76B</t>
        </is>
      </c>
      <c r="U56" s="13" t="n"/>
      <c r="W56" s="161">
        <f>D56</f>
        <v/>
      </c>
      <c r="X56" s="163">
        <f>E56</f>
        <v/>
      </c>
      <c r="Y56" s="159">
        <f>H56</f>
        <v/>
      </c>
      <c r="Z56" s="166">
        <f>I56</f>
        <v/>
      </c>
      <c r="AA56" s="166">
        <f>K56</f>
        <v/>
      </c>
      <c r="AB56" s="166">
        <f>M56</f>
        <v/>
      </c>
      <c r="AC56" s="7">
        <f>N56</f>
        <v/>
      </c>
      <c r="AD56" s="162">
        <f>O56</f>
        <v/>
      </c>
      <c r="AE56" s="113">
        <f>S56</f>
        <v/>
      </c>
      <c r="AF56" s="113">
        <f>Q56&amp;"/"&amp;R56</f>
        <v/>
      </c>
      <c r="AH56" s="36">
        <f>IF(A56="","",A56)</f>
        <v/>
      </c>
      <c r="AI56" s="163">
        <f>IF(E56="","",E56)</f>
        <v/>
      </c>
      <c r="AJ56" s="113">
        <f>IF(AI56="","",$AJ$2)</f>
        <v/>
      </c>
      <c r="AK56" s="113" t="inlineStr">
        <is>
          <t>A</t>
        </is>
      </c>
      <c r="AL56" s="113" t="inlineStr">
        <is>
          <t>A+</t>
        </is>
      </c>
      <c r="AM56" s="113" t="inlineStr">
        <is>
          <t>B+</t>
        </is>
      </c>
      <c r="AN56" s="113">
        <f>IF(AI56="","",$AN$2)</f>
        <v/>
      </c>
      <c r="AO56" s="113">
        <f>IF(N56="","",IF(N56&gt;=$AO$1/100,"O","X"))</f>
        <v/>
      </c>
      <c r="AP56" s="113">
        <f>IF(I56="","",IF(I56&lt;=$AP$1,"O","X"))</f>
        <v/>
      </c>
      <c r="AQ56" s="113">
        <f>IF(O56="","",IF(O56&lt;=$AQ$1,"O","X"))</f>
        <v/>
      </c>
      <c r="AR56" s="113">
        <f>IF(M56="","",IF(M56&lt;=$AR$1,"O","X"))</f>
        <v/>
      </c>
      <c r="AS56" s="113" t="inlineStr">
        <is>
          <t>X</t>
        </is>
      </c>
      <c r="AT56" s="113">
        <f>IF(OR(F56="",AI56=""),"",IF(AND((F56&lt;=85),(AI56&gt;=15)),"O","X"))</f>
        <v/>
      </c>
      <c r="AU56" s="113">
        <f>IF(C56="","",IF(C56&gt;=$AU$1,"O","X"))</f>
        <v/>
      </c>
      <c r="AV56" s="113">
        <f>IF(AO56="","",IF(AND(AO56="O",AP56="O",AR56="O",AT56="O",AU56="O"),"후보","X"))</f>
        <v/>
      </c>
    </row>
    <row r="57">
      <c r="A57" s="13" t="inlineStr">
        <is>
          <t>강동밀레니얼중흥S-클래스(주)</t>
        </is>
      </c>
      <c r="B57" s="16" t="inlineStr">
        <is>
          <t>'24.09.</t>
        </is>
      </c>
      <c r="C57" s="164" t="n">
        <v>999</v>
      </c>
      <c r="D57" s="161" t="n">
        <v>81.40000000000001</v>
      </c>
      <c r="E57" s="163" t="n">
        <v>25</v>
      </c>
      <c r="F57" s="161" t="n">
        <v>50.5</v>
      </c>
      <c r="G57" s="27" t="n">
        <v>15</v>
      </c>
      <c r="H57" s="164" t="n">
        <v>15</v>
      </c>
      <c r="I57" s="165" t="n"/>
      <c r="J57" s="165" t="n"/>
      <c r="K57" s="165" t="n"/>
      <c r="L57" s="165" t="n"/>
      <c r="M57" s="166">
        <f>I57-K57</f>
        <v/>
      </c>
      <c r="N57" s="7">
        <f>IF(ISERROR(K57/I57),"",K57/I57)</f>
        <v/>
      </c>
      <c r="O57" s="162">
        <f>I57/E57</f>
        <v/>
      </c>
      <c r="P57" s="162">
        <f>K57/E57</f>
        <v/>
      </c>
      <c r="Q57" s="113" t="n">
        <v>2</v>
      </c>
      <c r="R57" s="113" t="n">
        <v>1</v>
      </c>
      <c r="S57" s="113" t="inlineStr">
        <is>
          <t>계</t>
        </is>
      </c>
      <c r="T57" s="8" t="inlineStr">
        <is>
          <t>81A</t>
        </is>
      </c>
      <c r="U57" s="13" t="n"/>
      <c r="W57" s="161">
        <f>D57</f>
        <v/>
      </c>
      <c r="X57" s="163">
        <f>E57</f>
        <v/>
      </c>
      <c r="Y57" s="159">
        <f>H57</f>
        <v/>
      </c>
      <c r="Z57" s="166">
        <f>I57</f>
        <v/>
      </c>
      <c r="AA57" s="166">
        <f>K57</f>
        <v/>
      </c>
      <c r="AB57" s="166">
        <f>M57</f>
        <v/>
      </c>
      <c r="AC57" s="7">
        <f>N57</f>
        <v/>
      </c>
      <c r="AD57" s="162">
        <f>O57</f>
        <v/>
      </c>
      <c r="AE57" s="113">
        <f>S57</f>
        <v/>
      </c>
      <c r="AF57" s="113">
        <f>Q57&amp;"/"&amp;R57</f>
        <v/>
      </c>
      <c r="AH57" s="36">
        <f>IF(A57="","",A57)</f>
        <v/>
      </c>
      <c r="AI57" s="163">
        <f>IF(E57="","",E57)</f>
        <v/>
      </c>
      <c r="AJ57" s="113">
        <f>IF(AI57="","",$AJ$2)</f>
        <v/>
      </c>
      <c r="AK57" s="113" t="inlineStr">
        <is>
          <t>A</t>
        </is>
      </c>
      <c r="AL57" s="113" t="inlineStr">
        <is>
          <t>A+</t>
        </is>
      </c>
      <c r="AM57" s="113" t="inlineStr">
        <is>
          <t>B+</t>
        </is>
      </c>
      <c r="AN57" s="113">
        <f>IF(AI57="","",$AN$2)</f>
        <v/>
      </c>
      <c r="AO57" s="113">
        <f>IF(N57="","",IF(N57&gt;=$AO$1/100,"O","X"))</f>
        <v/>
      </c>
      <c r="AP57" s="113">
        <f>IF(I57="","",IF(I57&lt;=$AP$1,"O","X"))</f>
        <v/>
      </c>
      <c r="AQ57" s="113">
        <f>IF(O57="","",IF(O57&lt;=$AQ$1,"O","X"))</f>
        <v/>
      </c>
      <c r="AR57" s="113">
        <f>IF(M57="","",IF(M57&lt;=$AR$1,"O","X"))</f>
        <v/>
      </c>
      <c r="AS57" s="113" t="inlineStr">
        <is>
          <t>X</t>
        </is>
      </c>
      <c r="AT57" s="113">
        <f>IF(OR(F57="",AI57=""),"",IF(AND((F57&lt;=85),(AI57&gt;=15)),"O","X"))</f>
        <v/>
      </c>
      <c r="AU57" s="113">
        <f>IF(C57="","",IF(C57&gt;=$AU$1,"O","X"))</f>
        <v/>
      </c>
      <c r="AV57" s="113">
        <f>IF(AO57="","",IF(AND(AO57="O",AP57="O",AR57="O",AT57="O",AU57="O"),"후보","X"))</f>
        <v/>
      </c>
    </row>
    <row r="58">
      <c r="A58" s="13" t="inlineStr">
        <is>
          <t>강동밀레니얼중흥S-클래스(주)</t>
        </is>
      </c>
      <c r="B58" s="16" t="inlineStr">
        <is>
          <t>'24.09.</t>
        </is>
      </c>
      <c r="C58" s="164" t="n">
        <v>999</v>
      </c>
      <c r="D58" s="161" t="n">
        <v>82.09999999999999</v>
      </c>
      <c r="E58" s="163" t="n">
        <v>25</v>
      </c>
      <c r="F58" s="161" t="n">
        <v>60</v>
      </c>
      <c r="G58" s="27" t="n">
        <v>18</v>
      </c>
      <c r="H58" s="164" t="n">
        <v>89</v>
      </c>
      <c r="I58" s="165" t="n"/>
      <c r="J58" s="165" t="n"/>
      <c r="K58" s="165" t="n"/>
      <c r="L58" s="165" t="n"/>
      <c r="M58" s="166">
        <f>I58-K58</f>
        <v/>
      </c>
      <c r="N58" s="7">
        <f>IF(ISERROR(K58/I58),"",K58/I58)</f>
        <v/>
      </c>
      <c r="O58" s="162">
        <f>I58/E58</f>
        <v/>
      </c>
      <c r="P58" s="162">
        <f>K58/E58</f>
        <v/>
      </c>
      <c r="Q58" s="113" t="n">
        <v>3</v>
      </c>
      <c r="R58" s="113" t="n">
        <v>2</v>
      </c>
      <c r="S58" s="113" t="inlineStr">
        <is>
          <t>계</t>
        </is>
      </c>
      <c r="T58" s="8" t="inlineStr">
        <is>
          <t>82B</t>
        </is>
      </c>
      <c r="U58" s="13" t="n"/>
      <c r="W58" s="161">
        <f>D58</f>
        <v/>
      </c>
      <c r="X58" s="163">
        <f>E58</f>
        <v/>
      </c>
      <c r="Y58" s="159">
        <f>H58</f>
        <v/>
      </c>
      <c r="Z58" s="166">
        <f>I58</f>
        <v/>
      </c>
      <c r="AA58" s="166">
        <f>K58</f>
        <v/>
      </c>
      <c r="AB58" s="166">
        <f>M58</f>
        <v/>
      </c>
      <c r="AC58" s="7">
        <f>N58</f>
        <v/>
      </c>
      <c r="AD58" s="162">
        <f>O58</f>
        <v/>
      </c>
      <c r="AE58" s="113">
        <f>S58</f>
        <v/>
      </c>
      <c r="AF58" s="113">
        <f>Q58&amp;"/"&amp;R58</f>
        <v/>
      </c>
      <c r="AH58" s="36">
        <f>IF(A58="","",A58)</f>
        <v/>
      </c>
      <c r="AI58" s="163">
        <f>IF(E58="","",E58)</f>
        <v/>
      </c>
      <c r="AJ58" s="113">
        <f>IF(AI58="","",$AJ$2)</f>
        <v/>
      </c>
      <c r="AK58" s="113" t="inlineStr">
        <is>
          <t>A</t>
        </is>
      </c>
      <c r="AL58" s="113" t="inlineStr">
        <is>
          <t>A+</t>
        </is>
      </c>
      <c r="AM58" s="113" t="inlineStr">
        <is>
          <t>B+</t>
        </is>
      </c>
      <c r="AN58" s="113">
        <f>IF(AI58="","",$AN$2)</f>
        <v/>
      </c>
      <c r="AO58" s="113">
        <f>IF(N58="","",IF(N58&gt;=$AO$1/100,"O","X"))</f>
        <v/>
      </c>
      <c r="AP58" s="113">
        <f>IF(I58="","",IF(I58&lt;=$AP$1,"O","X"))</f>
        <v/>
      </c>
      <c r="AQ58" s="113">
        <f>IF(O58="","",IF(O58&lt;=$AQ$1,"O","X"))</f>
        <v/>
      </c>
      <c r="AR58" s="113">
        <f>IF(M58="","",IF(M58&lt;=$AR$1,"O","X"))</f>
        <v/>
      </c>
      <c r="AS58" s="113" t="inlineStr">
        <is>
          <t>X</t>
        </is>
      </c>
      <c r="AT58" s="113">
        <f>IF(OR(F58="",AI58=""),"",IF(AND((F58&lt;=85),(AI58&gt;=15)),"O","X"))</f>
        <v/>
      </c>
      <c r="AU58" s="113">
        <f>IF(C58="","",IF(C58&gt;=$AU$1,"O","X"))</f>
        <v/>
      </c>
      <c r="AV58" s="113">
        <f>IF(AO58="","",IF(AND(AO58="O",AP58="O",AR58="O",AT58="O",AU58="O"),"후보","X"))</f>
        <v/>
      </c>
    </row>
    <row r="59">
      <c r="A59" s="13" t="inlineStr">
        <is>
          <t>강동밀레니얼중흥S-클래스(주)</t>
        </is>
      </c>
      <c r="B59" s="16" t="inlineStr">
        <is>
          <t>'24.09.</t>
        </is>
      </c>
      <c r="C59" s="164" t="n">
        <v>999</v>
      </c>
      <c r="D59" s="161" t="n">
        <v>113.7</v>
      </c>
      <c r="E59" s="163" t="n">
        <v>34</v>
      </c>
      <c r="F59" s="161" t="n">
        <v>84.2</v>
      </c>
      <c r="G59" s="27" t="n">
        <v>25</v>
      </c>
      <c r="H59" s="164" t="n">
        <v>132</v>
      </c>
      <c r="I59" s="165" t="n"/>
      <c r="J59" s="165" t="n"/>
      <c r="K59" s="165" t="n"/>
      <c r="L59" s="165" t="n"/>
      <c r="M59" s="166">
        <f>I59-K59</f>
        <v/>
      </c>
      <c r="N59" s="7">
        <f>IF(ISERROR(K59/I59),"",K59/I59)</f>
        <v/>
      </c>
      <c r="O59" s="162">
        <f>I59/E59</f>
        <v/>
      </c>
      <c r="P59" s="162">
        <f>K59/E59</f>
        <v/>
      </c>
      <c r="Q59" s="113" t="n">
        <v>3</v>
      </c>
      <c r="R59" s="113" t="n">
        <v>2</v>
      </c>
      <c r="S59" s="113" t="inlineStr">
        <is>
          <t>계</t>
        </is>
      </c>
      <c r="T59" s="8" t="inlineStr">
        <is>
          <t>113A2</t>
        </is>
      </c>
      <c r="U59" s="13" t="n"/>
      <c r="W59" s="161">
        <f>D59</f>
        <v/>
      </c>
      <c r="X59" s="163">
        <f>E59</f>
        <v/>
      </c>
      <c r="Y59" s="159">
        <f>H59</f>
        <v/>
      </c>
      <c r="Z59" s="166">
        <f>I59</f>
        <v/>
      </c>
      <c r="AA59" s="166">
        <f>K59</f>
        <v/>
      </c>
      <c r="AB59" s="166">
        <f>M59</f>
        <v/>
      </c>
      <c r="AC59" s="7">
        <f>N59</f>
        <v/>
      </c>
      <c r="AD59" s="162">
        <f>O59</f>
        <v/>
      </c>
      <c r="AE59" s="113">
        <f>S59</f>
        <v/>
      </c>
      <c r="AF59" s="113">
        <f>Q59&amp;"/"&amp;R59</f>
        <v/>
      </c>
      <c r="AH59" s="36">
        <f>IF(A59="","",A59)</f>
        <v/>
      </c>
      <c r="AI59" s="163">
        <f>IF(E59="","",E59)</f>
        <v/>
      </c>
      <c r="AJ59" s="113">
        <f>IF(AI59="","",$AJ$2)</f>
        <v/>
      </c>
      <c r="AK59" s="113" t="inlineStr">
        <is>
          <t>A</t>
        </is>
      </c>
      <c r="AL59" s="113" t="inlineStr">
        <is>
          <t>A+</t>
        </is>
      </c>
      <c r="AM59" s="113" t="inlineStr">
        <is>
          <t>B+</t>
        </is>
      </c>
      <c r="AN59" s="113">
        <f>IF(AI59="","",$AN$2)</f>
        <v/>
      </c>
      <c r="AO59" s="113">
        <f>IF(N59="","",IF(N59&gt;=$AO$1/100,"O","X"))</f>
        <v/>
      </c>
      <c r="AP59" s="113">
        <f>IF(I59="","",IF(I59&lt;=$AP$1,"O","X"))</f>
        <v/>
      </c>
      <c r="AQ59" s="113">
        <f>IF(O59="","",IF(O59&lt;=$AQ$1,"O","X"))</f>
        <v/>
      </c>
      <c r="AR59" s="113">
        <f>IF(M59="","",IF(M59&lt;=$AR$1,"O","X"))</f>
        <v/>
      </c>
      <c r="AS59" s="113" t="inlineStr">
        <is>
          <t>X</t>
        </is>
      </c>
      <c r="AT59" s="113">
        <f>IF(OR(F59="",AI59=""),"",IF(AND((F59&lt;=85),(AI59&gt;=15)),"O","X"))</f>
        <v/>
      </c>
      <c r="AU59" s="113">
        <f>IF(C59="","",IF(C59&gt;=$AU$1,"O","X"))</f>
        <v/>
      </c>
      <c r="AV59" s="113">
        <f>IF(AO59="","",IF(AND(AO59="O",AP59="O",AR59="O",AT59="O",AU59="O"),"후보","X"))</f>
        <v/>
      </c>
    </row>
    <row r="60">
      <c r="A60" s="13" t="inlineStr">
        <is>
          <t>강동밀레니얼중흥S-클래스(주)</t>
        </is>
      </c>
      <c r="B60" s="16" t="inlineStr">
        <is>
          <t>'24.09.</t>
        </is>
      </c>
      <c r="C60" s="164" t="n">
        <v>999</v>
      </c>
      <c r="D60" s="161" t="n">
        <v>113.7</v>
      </c>
      <c r="E60" s="163" t="n">
        <v>34</v>
      </c>
      <c r="F60" s="161" t="n">
        <v>84.2</v>
      </c>
      <c r="G60" s="27" t="n">
        <v>25</v>
      </c>
      <c r="H60" s="164" t="n">
        <v>49</v>
      </c>
      <c r="I60" s="165" t="n"/>
      <c r="J60" s="165" t="n"/>
      <c r="K60" s="165" t="n"/>
      <c r="L60" s="165" t="n"/>
      <c r="M60" s="166">
        <f>I60-K60</f>
        <v/>
      </c>
      <c r="N60" s="7">
        <f>IF(ISERROR(K60/I60),"",K60/I60)</f>
        <v/>
      </c>
      <c r="O60" s="162">
        <f>I60/E60</f>
        <v/>
      </c>
      <c r="P60" s="162">
        <f>K60/E60</f>
        <v/>
      </c>
      <c r="Q60" s="113" t="n">
        <v>3</v>
      </c>
      <c r="R60" s="113" t="n">
        <v>2</v>
      </c>
      <c r="S60" s="113" t="inlineStr">
        <is>
          <t>계</t>
        </is>
      </c>
      <c r="T60" s="8" t="inlineStr">
        <is>
          <t>113A1</t>
        </is>
      </c>
      <c r="U60" s="13" t="n"/>
      <c r="W60" s="161">
        <f>D60</f>
        <v/>
      </c>
      <c r="X60" s="163">
        <f>E60</f>
        <v/>
      </c>
      <c r="Y60" s="159">
        <f>H60</f>
        <v/>
      </c>
      <c r="Z60" s="166">
        <f>I60</f>
        <v/>
      </c>
      <c r="AA60" s="166">
        <f>K60</f>
        <v/>
      </c>
      <c r="AB60" s="166">
        <f>M60</f>
        <v/>
      </c>
      <c r="AC60" s="7">
        <f>N60</f>
        <v/>
      </c>
      <c r="AD60" s="162">
        <f>O60</f>
        <v/>
      </c>
      <c r="AE60" s="113">
        <f>S60</f>
        <v/>
      </c>
      <c r="AF60" s="113">
        <f>Q60&amp;"/"&amp;R60</f>
        <v/>
      </c>
      <c r="AH60" s="36">
        <f>IF(A60="","",A60)</f>
        <v/>
      </c>
      <c r="AI60" s="163">
        <f>IF(E60="","",E60)</f>
        <v/>
      </c>
      <c r="AJ60" s="113">
        <f>IF(AI60="","",$AJ$2)</f>
        <v/>
      </c>
      <c r="AK60" s="113" t="inlineStr">
        <is>
          <t>A</t>
        </is>
      </c>
      <c r="AL60" s="113" t="inlineStr">
        <is>
          <t>A+</t>
        </is>
      </c>
      <c r="AM60" s="113" t="inlineStr">
        <is>
          <t>B+</t>
        </is>
      </c>
      <c r="AN60" s="113">
        <f>IF(AI60="","",$AN$2)</f>
        <v/>
      </c>
      <c r="AO60" s="113">
        <f>IF(N60="","",IF(N60&gt;=$AO$1/100,"O","X"))</f>
        <v/>
      </c>
      <c r="AP60" s="113">
        <f>IF(I60="","",IF(I60&lt;=$AP$1,"O","X"))</f>
        <v/>
      </c>
      <c r="AQ60" s="113">
        <f>IF(O60="","",IF(O60&lt;=$AQ$1,"O","X"))</f>
        <v/>
      </c>
      <c r="AR60" s="113">
        <f>IF(M60="","",IF(M60&lt;=$AR$1,"O","X"))</f>
        <v/>
      </c>
      <c r="AS60" s="113" t="inlineStr">
        <is>
          <t>X</t>
        </is>
      </c>
      <c r="AT60" s="113">
        <f>IF(OR(F60="",AI60=""),"",IF(AND((F60&lt;=85),(AI60&gt;=15)),"O","X"))</f>
        <v/>
      </c>
      <c r="AU60" s="113">
        <f>IF(C60="","",IF(C60&gt;=$AU$1,"O","X"))</f>
        <v/>
      </c>
      <c r="AV60" s="113">
        <f>IF(AO60="","",IF(AND(AO60="O",AP60="O",AR60="O",AT60="O",AU60="O"),"후보","X"))</f>
        <v/>
      </c>
    </row>
    <row r="61">
      <c r="A61" s="13" t="inlineStr">
        <is>
          <t>강동밀레니얼중흥S-클래스(주)</t>
        </is>
      </c>
      <c r="B61" s="16" t="inlineStr">
        <is>
          <t>'24.09.</t>
        </is>
      </c>
      <c r="C61" s="164" t="n">
        <v>999</v>
      </c>
      <c r="D61" s="161" t="n">
        <v>115.2</v>
      </c>
      <c r="E61" s="163" t="n">
        <v>35</v>
      </c>
      <c r="F61" s="161" t="n">
        <v>84.3</v>
      </c>
      <c r="G61" s="27" t="n">
        <v>25</v>
      </c>
      <c r="H61" s="164" t="n">
        <v>79</v>
      </c>
      <c r="I61" s="165" t="n"/>
      <c r="J61" s="165" t="n"/>
      <c r="K61" s="165" t="n"/>
      <c r="L61" s="165" t="n"/>
      <c r="M61" s="166">
        <f>I61-K61</f>
        <v/>
      </c>
      <c r="N61" s="7">
        <f>IF(ISERROR(K61/I61),"",K61/I61)</f>
        <v/>
      </c>
      <c r="O61" s="162">
        <f>I61/E61</f>
        <v/>
      </c>
      <c r="P61" s="162">
        <f>K61/E61</f>
        <v/>
      </c>
      <c r="Q61" s="113" t="n">
        <v>3</v>
      </c>
      <c r="R61" s="113" t="n">
        <v>2</v>
      </c>
      <c r="S61" s="113" t="inlineStr">
        <is>
          <t>계</t>
        </is>
      </c>
      <c r="T61" s="8" t="inlineStr">
        <is>
          <t>115B</t>
        </is>
      </c>
      <c r="U61" s="13" t="n"/>
      <c r="W61" s="161">
        <f>D61</f>
        <v/>
      </c>
      <c r="X61" s="163">
        <f>E61</f>
        <v/>
      </c>
      <c r="Y61" s="159">
        <f>H61</f>
        <v/>
      </c>
      <c r="Z61" s="166">
        <f>I61</f>
        <v/>
      </c>
      <c r="AA61" s="166">
        <f>K61</f>
        <v/>
      </c>
      <c r="AB61" s="166">
        <f>M61</f>
        <v/>
      </c>
      <c r="AC61" s="7">
        <f>N61</f>
        <v/>
      </c>
      <c r="AD61" s="162">
        <f>O61</f>
        <v/>
      </c>
      <c r="AE61" s="113">
        <f>S61</f>
        <v/>
      </c>
      <c r="AF61" s="113">
        <f>Q61&amp;"/"&amp;R61</f>
        <v/>
      </c>
      <c r="AH61" s="36">
        <f>IF(A61="","",A61)</f>
        <v/>
      </c>
      <c r="AI61" s="163">
        <f>IF(E61="","",E61)</f>
        <v/>
      </c>
      <c r="AJ61" s="113">
        <f>IF(AI61="","",$AJ$2)</f>
        <v/>
      </c>
      <c r="AK61" s="113" t="inlineStr">
        <is>
          <t>A</t>
        </is>
      </c>
      <c r="AL61" s="113" t="inlineStr">
        <is>
          <t>A+</t>
        </is>
      </c>
      <c r="AM61" s="113" t="inlineStr">
        <is>
          <t>B+</t>
        </is>
      </c>
      <c r="AN61" s="113">
        <f>IF(AI61="","",$AN$2)</f>
        <v/>
      </c>
      <c r="AO61" s="113">
        <f>IF(N61="","",IF(N61&gt;=$AO$1/100,"O","X"))</f>
        <v/>
      </c>
      <c r="AP61" s="113">
        <f>IF(I61="","",IF(I61&lt;=$AP$1,"O","X"))</f>
        <v/>
      </c>
      <c r="AQ61" s="113">
        <f>IF(O61="","",IF(O61&lt;=$AQ$1,"O","X"))</f>
        <v/>
      </c>
      <c r="AR61" s="113">
        <f>IF(M61="","",IF(M61&lt;=$AR$1,"O","X"))</f>
        <v/>
      </c>
      <c r="AS61" s="113" t="inlineStr">
        <is>
          <t>X</t>
        </is>
      </c>
      <c r="AT61" s="113">
        <f>IF(OR(F61="",AI61=""),"",IF(AND((F61&lt;=85),(AI61&gt;=15)),"O","X"))</f>
        <v/>
      </c>
      <c r="AU61" s="113">
        <f>IF(C61="","",IF(C61&gt;=$AU$1,"O","X"))</f>
        <v/>
      </c>
      <c r="AV61" s="113">
        <f>IF(AO61="","",IF(AND(AO61="O",AP61="O",AR61="O",AT61="O",AU61="O"),"후보","X"))</f>
        <v/>
      </c>
    </row>
    <row r="62">
      <c r="A62" s="13" t="inlineStr">
        <is>
          <t>강동밀레니얼중흥S-클래스(주)</t>
        </is>
      </c>
      <c r="B62" s="16" t="inlineStr">
        <is>
          <t>'24.09.</t>
        </is>
      </c>
      <c r="C62" s="164" t="n">
        <v>999</v>
      </c>
      <c r="D62" s="161" t="n">
        <v>134.7</v>
      </c>
      <c r="E62" s="163" t="n">
        <v>41</v>
      </c>
      <c r="F62" s="161" t="n">
        <v>98.5</v>
      </c>
      <c r="G62" s="27" t="n">
        <v>30</v>
      </c>
      <c r="H62" s="164" t="n">
        <v>36</v>
      </c>
      <c r="I62" s="165" t="n"/>
      <c r="J62" s="165" t="n"/>
      <c r="K62" s="165" t="n"/>
      <c r="L62" s="165" t="n"/>
      <c r="M62" s="166">
        <f>I62-K62</f>
        <v/>
      </c>
      <c r="N62" s="7">
        <f>IF(ISERROR(K62/I62),"",K62/I62)</f>
        <v/>
      </c>
      <c r="O62" s="162">
        <f>I62/E62</f>
        <v/>
      </c>
      <c r="P62" s="162">
        <f>K62/E62</f>
        <v/>
      </c>
      <c r="Q62" s="113" t="n">
        <v>3</v>
      </c>
      <c r="R62" s="113" t="n">
        <v>2</v>
      </c>
      <c r="S62" s="113" t="inlineStr">
        <is>
          <t>계</t>
        </is>
      </c>
      <c r="T62" s="8" t="n">
        <v>134</v>
      </c>
      <c r="U62" s="13" t="n"/>
      <c r="W62" s="161">
        <f>D62</f>
        <v/>
      </c>
      <c r="X62" s="163">
        <f>E62</f>
        <v/>
      </c>
      <c r="Y62" s="159">
        <f>H62</f>
        <v/>
      </c>
      <c r="Z62" s="166">
        <f>I62</f>
        <v/>
      </c>
      <c r="AA62" s="166">
        <f>K62</f>
        <v/>
      </c>
      <c r="AB62" s="166">
        <f>M62</f>
        <v/>
      </c>
      <c r="AC62" s="7">
        <f>N62</f>
        <v/>
      </c>
      <c r="AD62" s="162">
        <f>O62</f>
        <v/>
      </c>
      <c r="AE62" s="113">
        <f>S62</f>
        <v/>
      </c>
      <c r="AF62" s="113">
        <f>Q62&amp;"/"&amp;R62</f>
        <v/>
      </c>
      <c r="AH62" s="36">
        <f>IF(A62="","",A62)</f>
        <v/>
      </c>
      <c r="AI62" s="163">
        <f>IF(E62="","",E62)</f>
        <v/>
      </c>
      <c r="AJ62" s="113">
        <f>IF(AI62="","",$AJ$2)</f>
        <v/>
      </c>
      <c r="AK62" s="113" t="inlineStr">
        <is>
          <t>A</t>
        </is>
      </c>
      <c r="AL62" s="113" t="inlineStr">
        <is>
          <t>A+</t>
        </is>
      </c>
      <c r="AM62" s="113" t="inlineStr">
        <is>
          <t>B+</t>
        </is>
      </c>
      <c r="AN62" s="113">
        <f>IF(AI62="","",$AN$2)</f>
        <v/>
      </c>
      <c r="AO62" s="113">
        <f>IF(N62="","",IF(N62&gt;=$AO$1/100,"O","X"))</f>
        <v/>
      </c>
      <c r="AP62" s="113">
        <f>IF(I62="","",IF(I62&lt;=$AP$1,"O","X"))</f>
        <v/>
      </c>
      <c r="AQ62" s="113">
        <f>IF(O62="","",IF(O62&lt;=$AQ$1,"O","X"))</f>
        <v/>
      </c>
      <c r="AR62" s="113">
        <f>IF(M62="","",IF(M62&lt;=$AR$1,"O","X"))</f>
        <v/>
      </c>
      <c r="AS62" s="113" t="inlineStr">
        <is>
          <t>X</t>
        </is>
      </c>
      <c r="AT62" s="113">
        <f>IF(OR(F62="",AI62=""),"",IF(AND((F62&lt;=85),(AI62&gt;=15)),"O","X"))</f>
        <v/>
      </c>
      <c r="AU62" s="113">
        <f>IF(C62="","",IF(C62&gt;=$AU$1,"O","X"))</f>
        <v/>
      </c>
      <c r="AV62" s="113">
        <f>IF(AO62="","",IF(AND(AO62="O",AP62="O",AR62="O",AT62="O",AU62="O"),"후보","X"))</f>
        <v/>
      </c>
    </row>
    <row r="63">
      <c r="A63" s="13" t="inlineStr">
        <is>
          <t>강동밀레니얼중흥S-클래스(주)</t>
        </is>
      </c>
      <c r="B63" s="16" t="inlineStr">
        <is>
          <t>'24.09.</t>
        </is>
      </c>
      <c r="C63" s="164" t="n">
        <v>999</v>
      </c>
      <c r="D63" s="161" t="n">
        <v>138.7</v>
      </c>
      <c r="E63" s="163" t="n">
        <v>42</v>
      </c>
      <c r="F63" s="161" t="n">
        <v>102.9</v>
      </c>
      <c r="G63" s="27" t="n">
        <v>31</v>
      </c>
      <c r="H63" s="164" t="n">
        <v>63</v>
      </c>
      <c r="I63" s="165" t="n"/>
      <c r="J63" s="165" t="n"/>
      <c r="K63" s="165" t="n"/>
      <c r="L63" s="165" t="n"/>
      <c r="M63" s="166">
        <f>I63-K63</f>
        <v/>
      </c>
      <c r="N63" s="7">
        <f>IF(ISERROR(K63/I63),"",K63/I63)</f>
        <v/>
      </c>
      <c r="O63" s="162">
        <f>I63/E63</f>
        <v/>
      </c>
      <c r="P63" s="162">
        <f>K63/E63</f>
        <v/>
      </c>
      <c r="Q63" s="113" t="n">
        <v>4</v>
      </c>
      <c r="R63" s="113" t="n">
        <v>2</v>
      </c>
      <c r="S63" s="113" t="inlineStr">
        <is>
          <t>계</t>
        </is>
      </c>
      <c r="T63" s="8" t="n">
        <v>138</v>
      </c>
      <c r="U63" s="13" t="n"/>
      <c r="W63" s="161">
        <f>D63</f>
        <v/>
      </c>
      <c r="X63" s="163">
        <f>E63</f>
        <v/>
      </c>
      <c r="Y63" s="159">
        <f>H63</f>
        <v/>
      </c>
      <c r="Z63" s="166">
        <f>I63</f>
        <v/>
      </c>
      <c r="AA63" s="166">
        <f>K63</f>
        <v/>
      </c>
      <c r="AB63" s="166">
        <f>M63</f>
        <v/>
      </c>
      <c r="AC63" s="7">
        <f>N63</f>
        <v/>
      </c>
      <c r="AD63" s="162">
        <f>O63</f>
        <v/>
      </c>
      <c r="AE63" s="113">
        <f>S63</f>
        <v/>
      </c>
      <c r="AF63" s="113">
        <f>Q63&amp;"/"&amp;R63</f>
        <v/>
      </c>
      <c r="AH63" s="36">
        <f>IF(A63="","",A63)</f>
        <v/>
      </c>
      <c r="AI63" s="163">
        <f>IF(E63="","",E63)</f>
        <v/>
      </c>
      <c r="AJ63" s="113">
        <f>IF(AI63="","",$AJ$2)</f>
        <v/>
      </c>
      <c r="AK63" s="113" t="inlineStr">
        <is>
          <t>A</t>
        </is>
      </c>
      <c r="AL63" s="113" t="inlineStr">
        <is>
          <t>A+</t>
        </is>
      </c>
      <c r="AM63" s="113" t="inlineStr">
        <is>
          <t>B+</t>
        </is>
      </c>
      <c r="AN63" s="113">
        <f>IF(AI63="","",$AN$2)</f>
        <v/>
      </c>
      <c r="AO63" s="113">
        <f>IF(N63="","",IF(N63&gt;=$AO$1/100,"O","X"))</f>
        <v/>
      </c>
      <c r="AP63" s="113">
        <f>IF(I63="","",IF(I63&lt;=$AP$1,"O","X"))</f>
        <v/>
      </c>
      <c r="AQ63" s="113">
        <f>IF(O63="","",IF(O63&lt;=$AQ$1,"O","X"))</f>
        <v/>
      </c>
      <c r="AR63" s="113">
        <f>IF(M63="","",IF(M63&lt;=$AR$1,"O","X"))</f>
        <v/>
      </c>
      <c r="AS63" s="113" t="inlineStr">
        <is>
          <t>X</t>
        </is>
      </c>
      <c r="AT63" s="113">
        <f>IF(OR(F63="",AI63=""),"",IF(AND((F63&lt;=85),(AI63&gt;=15)),"O","X"))</f>
        <v/>
      </c>
      <c r="AU63" s="113">
        <f>IF(C63="","",IF(C63&gt;=$AU$1,"O","X"))</f>
        <v/>
      </c>
      <c r="AV63" s="113">
        <f>IF(AO63="","",IF(AND(AO63="O",AP63="O",AR63="O",AT63="O",AU63="O"),"후보","X"))</f>
        <v/>
      </c>
    </row>
    <row r="64">
      <c r="A64" s="13" t="inlineStr">
        <is>
          <t>강동밀레니얼중흥S-클래스(주)</t>
        </is>
      </c>
      <c r="B64" s="16" t="inlineStr">
        <is>
          <t>'24.09.</t>
        </is>
      </c>
      <c r="C64" s="164" t="n">
        <v>999</v>
      </c>
      <c r="D64" s="161" t="n">
        <v>153.6</v>
      </c>
      <c r="E64" s="163" t="n">
        <v>46</v>
      </c>
      <c r="F64" s="161" t="n">
        <v>114.8</v>
      </c>
      <c r="G64" s="27" t="n">
        <v>35</v>
      </c>
      <c r="H64" s="164" t="n">
        <v>26</v>
      </c>
      <c r="I64" s="165" t="n"/>
      <c r="J64" s="165" t="n"/>
      <c r="K64" s="165" t="n"/>
      <c r="L64" s="165" t="n"/>
      <c r="M64" s="166">
        <f>I64-K64</f>
        <v/>
      </c>
      <c r="N64" s="7">
        <f>IF(ISERROR(K64/I64),"",K64/I64)</f>
        <v/>
      </c>
      <c r="O64" s="162">
        <f>I64/E64</f>
        <v/>
      </c>
      <c r="P64" s="162">
        <f>K64/E64</f>
        <v/>
      </c>
      <c r="Q64" s="113" t="n">
        <v>3</v>
      </c>
      <c r="R64" s="113" t="n">
        <v>3</v>
      </c>
      <c r="S64" s="113" t="inlineStr">
        <is>
          <t>계</t>
        </is>
      </c>
      <c r="T64" s="8" t="n">
        <v>153</v>
      </c>
      <c r="U64" s="13" t="n"/>
      <c r="W64" s="161">
        <f>D64</f>
        <v/>
      </c>
      <c r="X64" s="163">
        <f>E64</f>
        <v/>
      </c>
      <c r="Y64" s="159">
        <f>H64</f>
        <v/>
      </c>
      <c r="Z64" s="166">
        <f>I64</f>
        <v/>
      </c>
      <c r="AA64" s="166">
        <f>K64</f>
        <v/>
      </c>
      <c r="AB64" s="166">
        <f>M64</f>
        <v/>
      </c>
      <c r="AC64" s="7">
        <f>N64</f>
        <v/>
      </c>
      <c r="AD64" s="162">
        <f>O64</f>
        <v/>
      </c>
      <c r="AE64" s="113">
        <f>S64</f>
        <v/>
      </c>
      <c r="AF64" s="113">
        <f>Q64&amp;"/"&amp;R64</f>
        <v/>
      </c>
      <c r="AH64" s="36">
        <f>IF(A64="","",A64)</f>
        <v/>
      </c>
      <c r="AI64" s="163">
        <f>IF(E64="","",E64)</f>
        <v/>
      </c>
      <c r="AJ64" s="113">
        <f>IF(AI64="","",$AJ$2)</f>
        <v/>
      </c>
      <c r="AK64" s="113" t="inlineStr">
        <is>
          <t>A</t>
        </is>
      </c>
      <c r="AL64" s="113" t="inlineStr">
        <is>
          <t>A+</t>
        </is>
      </c>
      <c r="AM64" s="113" t="inlineStr">
        <is>
          <t>B+</t>
        </is>
      </c>
      <c r="AN64" s="113">
        <f>IF(AI64="","",$AN$2)</f>
        <v/>
      </c>
      <c r="AO64" s="113">
        <f>IF(N64="","",IF(N64&gt;=$AO$1/100,"O","X"))</f>
        <v/>
      </c>
      <c r="AP64" s="113">
        <f>IF(I64="","",IF(I64&lt;=$AP$1,"O","X"))</f>
        <v/>
      </c>
      <c r="AQ64" s="113">
        <f>IF(O64="","",IF(O64&lt;=$AQ$1,"O","X"))</f>
        <v/>
      </c>
      <c r="AR64" s="113">
        <f>IF(M64="","",IF(M64&lt;=$AR$1,"O","X"))</f>
        <v/>
      </c>
      <c r="AS64" s="113" t="inlineStr">
        <is>
          <t>X</t>
        </is>
      </c>
      <c r="AT64" s="113">
        <f>IF(OR(F64="",AI64=""),"",IF(AND((F64&lt;=85),(AI64&gt;=15)),"O","X"))</f>
        <v/>
      </c>
      <c r="AU64" s="113">
        <f>IF(C64="","",IF(C64&gt;=$AU$1,"O","X"))</f>
        <v/>
      </c>
      <c r="AV64" s="113">
        <f>IF(AO64="","",IF(AND(AO64="O",AP64="O",AR64="O",AT64="O",AU64="O"),"후보","X"))</f>
        <v/>
      </c>
    </row>
    <row r="65">
      <c r="A65" s="13" t="inlineStr">
        <is>
          <t>강동밀레니얼중흥S-클래스(주)</t>
        </is>
      </c>
      <c r="B65" s="16" t="inlineStr">
        <is>
          <t>'24.09.</t>
        </is>
      </c>
      <c r="C65" s="164" t="n">
        <v>999</v>
      </c>
      <c r="D65" s="161" t="n">
        <v>185.7</v>
      </c>
      <c r="E65" s="163" t="n">
        <v>56</v>
      </c>
      <c r="F65" s="161" t="n">
        <v>136.9</v>
      </c>
      <c r="G65" s="27" t="n">
        <v>41</v>
      </c>
      <c r="H65" s="164" t="n">
        <v>1</v>
      </c>
      <c r="I65" s="165" t="n"/>
      <c r="J65" s="165" t="n"/>
      <c r="K65" s="165" t="n"/>
      <c r="L65" s="165" t="n"/>
      <c r="M65" s="166">
        <f>I65-K65</f>
        <v/>
      </c>
      <c r="N65" s="7">
        <f>IF(ISERROR(K65/I65),"",K65/I65)</f>
        <v/>
      </c>
      <c r="O65" s="162">
        <f>I65/E65</f>
        <v/>
      </c>
      <c r="P65" s="162">
        <f>K65/E65</f>
        <v/>
      </c>
      <c r="Q65" s="113" t="n">
        <v>3</v>
      </c>
      <c r="R65" s="113" t="n">
        <v>3</v>
      </c>
      <c r="S65" s="113" t="inlineStr">
        <is>
          <t>계</t>
        </is>
      </c>
      <c r="T65" s="8" t="inlineStr">
        <is>
          <t>185P</t>
        </is>
      </c>
      <c r="U65" s="13" t="n"/>
      <c r="W65" s="161">
        <f>D65</f>
        <v/>
      </c>
      <c r="X65" s="163">
        <f>E65</f>
        <v/>
      </c>
      <c r="Y65" s="159">
        <f>H65</f>
        <v/>
      </c>
      <c r="Z65" s="166">
        <f>I65</f>
        <v/>
      </c>
      <c r="AA65" s="166">
        <f>K65</f>
        <v/>
      </c>
      <c r="AB65" s="166">
        <f>M65</f>
        <v/>
      </c>
      <c r="AC65" s="7">
        <f>N65</f>
        <v/>
      </c>
      <c r="AD65" s="162">
        <f>O65</f>
        <v/>
      </c>
      <c r="AE65" s="113">
        <f>S65</f>
        <v/>
      </c>
      <c r="AF65" s="113">
        <f>Q65&amp;"/"&amp;R65</f>
        <v/>
      </c>
      <c r="AH65" s="36">
        <f>IF(A65="","",A65)</f>
        <v/>
      </c>
      <c r="AI65" s="163">
        <f>IF(E65="","",E65)</f>
        <v/>
      </c>
      <c r="AJ65" s="113">
        <f>IF(AI65="","",$AJ$2)</f>
        <v/>
      </c>
      <c r="AK65" s="113" t="inlineStr">
        <is>
          <t>A</t>
        </is>
      </c>
      <c r="AL65" s="113" t="inlineStr">
        <is>
          <t>A+</t>
        </is>
      </c>
      <c r="AM65" s="113" t="inlineStr">
        <is>
          <t>B+</t>
        </is>
      </c>
      <c r="AN65" s="113">
        <f>IF(AI65="","",$AN$2)</f>
        <v/>
      </c>
      <c r="AO65" s="113">
        <f>IF(N65="","",IF(N65&gt;=$AO$1/100,"O","X"))</f>
        <v/>
      </c>
      <c r="AP65" s="113">
        <f>IF(I65="","",IF(I65&lt;=$AP$1,"O","X"))</f>
        <v/>
      </c>
      <c r="AQ65" s="113">
        <f>IF(O65="","",IF(O65&lt;=$AQ$1,"O","X"))</f>
        <v/>
      </c>
      <c r="AR65" s="113">
        <f>IF(M65="","",IF(M65&lt;=$AR$1,"O","X"))</f>
        <v/>
      </c>
      <c r="AS65" s="113" t="inlineStr">
        <is>
          <t>X</t>
        </is>
      </c>
      <c r="AT65" s="113">
        <f>IF(OR(F65="",AI65=""),"",IF(AND((F65&lt;=85),(AI65&gt;=15)),"O","X"))</f>
        <v/>
      </c>
      <c r="AU65" s="113">
        <f>IF(C65="","",IF(C65&gt;=$AU$1,"O","X"))</f>
        <v/>
      </c>
      <c r="AV65" s="113">
        <f>IF(AO65="","",IF(AND(AO65="O",AP65="O",AR65="O",AT65="O",AU65="O"),"후보","X"))</f>
        <v/>
      </c>
    </row>
    <row r="66">
      <c r="A66" s="13" t="n"/>
      <c r="B66" s="113" t="n"/>
      <c r="C66" s="10" t="n"/>
      <c r="D66" s="13" t="n"/>
      <c r="E66" s="20" t="n"/>
      <c r="F66" s="161" t="n"/>
      <c r="G66" s="13" t="n"/>
      <c r="H66" s="13" t="n"/>
      <c r="I66" s="13" t="n"/>
      <c r="J66" s="13" t="n"/>
      <c r="K66" s="13" t="n"/>
      <c r="L66" s="13" t="n"/>
      <c r="M66" s="13" t="n"/>
      <c r="N66" s="13" t="n"/>
      <c r="O66" s="162" t="n"/>
      <c r="P66" s="162" t="n"/>
      <c r="Q66" s="163" t="n"/>
      <c r="R66" s="163" t="n"/>
      <c r="S66" s="13" t="n"/>
      <c r="T66" s="70" t="n"/>
      <c r="U66" s="13" t="n"/>
      <c r="W66" s="107">
        <f>$A$4&amp;" "&amp;A67&amp;"("&amp;B67&amp;","&amp;C67&amp;"^)"</f>
        <v/>
      </c>
      <c r="X66" s="108" t="n"/>
      <c r="Y66" s="108" t="n"/>
      <c r="Z66" s="108" t="n"/>
      <c r="AA66" s="108" t="n"/>
      <c r="AB66" s="108" t="n"/>
      <c r="AC66" s="108" t="n"/>
      <c r="AD66" s="108" t="n"/>
      <c r="AE66" s="108" t="n"/>
      <c r="AF66" s="109" t="n"/>
      <c r="AH66" s="36">
        <f>IF(A66="","",A66)</f>
        <v/>
      </c>
      <c r="AI66" s="160">
        <f>IF(E66="","",E66)</f>
        <v/>
      </c>
      <c r="AJ66" s="113" t="n"/>
      <c r="AK66" s="113" t="n"/>
      <c r="AL66" s="113" t="n"/>
      <c r="AM66" s="113" t="n"/>
      <c r="AN66" s="113" t="n"/>
      <c r="AO66" s="113" t="n"/>
      <c r="AP66" s="113" t="n"/>
      <c r="AQ66" s="113" t="n"/>
      <c r="AR66" s="113" t="n"/>
      <c r="AS66" s="113" t="n"/>
      <c r="AT66" s="113" t="n"/>
      <c r="AU66" s="113" t="n"/>
      <c r="AV66" s="113" t="n"/>
    </row>
    <row r="67">
      <c r="A67" s="13" t="inlineStr">
        <is>
          <t>래미안강동팰리스</t>
        </is>
      </c>
      <c r="B67" s="16" t="inlineStr">
        <is>
          <t>'17.07.</t>
        </is>
      </c>
      <c r="C67" s="164" t="n">
        <v>999</v>
      </c>
      <c r="D67" s="161" t="n">
        <v>85.3</v>
      </c>
      <c r="E67" s="163" t="n">
        <v>26</v>
      </c>
      <c r="F67" s="161" t="n">
        <v>60</v>
      </c>
      <c r="G67" s="27" t="n">
        <v>18</v>
      </c>
      <c r="H67" s="164" t="n">
        <v>231</v>
      </c>
      <c r="I67" s="165" t="n"/>
      <c r="J67" s="165" t="n"/>
      <c r="K67" s="165" t="n"/>
      <c r="L67" s="165" t="n"/>
      <c r="M67" s="166">
        <f>I67-K67</f>
        <v/>
      </c>
      <c r="N67" s="7">
        <f>IF(ISERROR(K67/I67),"",K67/I67)</f>
        <v/>
      </c>
      <c r="O67" s="162">
        <f>I67/E67</f>
        <v/>
      </c>
      <c r="P67" s="162">
        <f>K67/E67</f>
        <v/>
      </c>
      <c r="Q67" s="113" t="n">
        <v>3</v>
      </c>
      <c r="R67" s="113" t="n">
        <v>2</v>
      </c>
      <c r="S67" s="113" t="inlineStr">
        <is>
          <t>계</t>
        </is>
      </c>
      <c r="T67" s="8" t="n">
        <v>85</v>
      </c>
      <c r="U67" s="13" t="n"/>
      <c r="W67" s="161">
        <f>D67</f>
        <v/>
      </c>
      <c r="X67" s="163">
        <f>E67</f>
        <v/>
      </c>
      <c r="Y67" s="159">
        <f>H67</f>
        <v/>
      </c>
      <c r="Z67" s="166">
        <f>I67</f>
        <v/>
      </c>
      <c r="AA67" s="166">
        <f>K67</f>
        <v/>
      </c>
      <c r="AB67" s="166">
        <f>M67</f>
        <v/>
      </c>
      <c r="AC67" s="7">
        <f>N67</f>
        <v/>
      </c>
      <c r="AD67" s="162">
        <f>O67</f>
        <v/>
      </c>
      <c r="AE67" s="113">
        <f>S67</f>
        <v/>
      </c>
      <c r="AF67" s="113">
        <f>Q67&amp;"/"&amp;R67</f>
        <v/>
      </c>
      <c r="AH67" s="36">
        <f>IF(A67="","",A67)</f>
        <v/>
      </c>
      <c r="AI67" s="163">
        <f>IF(E67="","",E67)</f>
        <v/>
      </c>
      <c r="AJ67" s="113">
        <f>IF(AI67="","",$AJ$2)</f>
        <v/>
      </c>
      <c r="AK67" s="113" t="inlineStr">
        <is>
          <t>A</t>
        </is>
      </c>
      <c r="AL67" s="113" t="inlineStr">
        <is>
          <t>A+</t>
        </is>
      </c>
      <c r="AM67" s="113" t="inlineStr">
        <is>
          <t>B+</t>
        </is>
      </c>
      <c r="AN67" s="113">
        <f>IF(AI67="","",$AN$2)</f>
        <v/>
      </c>
      <c r="AO67" s="113">
        <f>IF(N67="","",IF(N67&gt;=$AO$1/100,"O","X"))</f>
        <v/>
      </c>
      <c r="AP67" s="113">
        <f>IF(I67="","",IF(I67&lt;=$AP$1,"O","X"))</f>
        <v/>
      </c>
      <c r="AQ67" s="113">
        <f>IF(O67="","",IF(O67&lt;=$AQ$1,"O","X"))</f>
        <v/>
      </c>
      <c r="AR67" s="113">
        <f>IF(M67="","",IF(M67&lt;=$AR$1,"O","X"))</f>
        <v/>
      </c>
      <c r="AS67" s="113" t="inlineStr">
        <is>
          <t>X</t>
        </is>
      </c>
      <c r="AT67" s="113">
        <f>IF(OR(F67="",AI67=""),"",IF(AND((F67&lt;=85),(AI67&gt;=15)),"O","X"))</f>
        <v/>
      </c>
      <c r="AU67" s="113">
        <f>IF(C67="","",IF(C67&gt;=$AU$1,"O","X"))</f>
        <v/>
      </c>
      <c r="AV67" s="113">
        <f>IF(AO67="","",IF(AND(AO67="O",AP67="O",AR67="O",AT67="O",AU67="O"),"후보","X"))</f>
        <v/>
      </c>
    </row>
    <row r="68">
      <c r="A68" s="13" t="inlineStr">
        <is>
          <t>래미안강동팰리스</t>
        </is>
      </c>
      <c r="B68" s="16" t="inlineStr">
        <is>
          <t>'17.07.</t>
        </is>
      </c>
      <c r="C68" s="164" t="n">
        <v>999</v>
      </c>
      <c r="D68" s="161" t="n">
        <v>121.4</v>
      </c>
      <c r="E68" s="163" t="n">
        <v>37</v>
      </c>
      <c r="F68" s="161" t="n">
        <v>85</v>
      </c>
      <c r="G68" s="27" t="n">
        <v>26</v>
      </c>
      <c r="H68" s="164" t="n">
        <v>756</v>
      </c>
      <c r="I68" s="165" t="n"/>
      <c r="J68" s="165" t="n"/>
      <c r="K68" s="165" t="n"/>
      <c r="L68" s="165" t="n"/>
      <c r="M68" s="166">
        <f>I68-K68</f>
        <v/>
      </c>
      <c r="N68" s="7">
        <f>IF(ISERROR(K68/I68),"",K68/I68)</f>
        <v/>
      </c>
      <c r="O68" s="162">
        <f>I68/E68</f>
        <v/>
      </c>
      <c r="P68" s="162">
        <f>K68/E68</f>
        <v/>
      </c>
      <c r="Q68" s="113" t="n">
        <v>3</v>
      </c>
      <c r="R68" s="113" t="n">
        <v>2</v>
      </c>
      <c r="S68" s="113" t="inlineStr">
        <is>
          <t>계</t>
        </is>
      </c>
      <c r="T68" s="8" t="n">
        <v>121</v>
      </c>
      <c r="U68" s="13" t="n"/>
      <c r="W68" s="161">
        <f>D68</f>
        <v/>
      </c>
      <c r="X68" s="163">
        <f>E68</f>
        <v/>
      </c>
      <c r="Y68" s="159">
        <f>H68</f>
        <v/>
      </c>
      <c r="Z68" s="166">
        <f>I68</f>
        <v/>
      </c>
      <c r="AA68" s="166">
        <f>K68</f>
        <v/>
      </c>
      <c r="AB68" s="166">
        <f>M68</f>
        <v/>
      </c>
      <c r="AC68" s="7">
        <f>N68</f>
        <v/>
      </c>
      <c r="AD68" s="162">
        <f>O68</f>
        <v/>
      </c>
      <c r="AE68" s="113">
        <f>S68</f>
        <v/>
      </c>
      <c r="AF68" s="113">
        <f>Q68&amp;"/"&amp;R68</f>
        <v/>
      </c>
      <c r="AH68" s="36">
        <f>IF(A68="","",A68)</f>
        <v/>
      </c>
      <c r="AI68" s="163">
        <f>IF(E68="","",E68)</f>
        <v/>
      </c>
      <c r="AJ68" s="113">
        <f>IF(AI68="","",$AJ$2)</f>
        <v/>
      </c>
      <c r="AK68" s="113" t="inlineStr">
        <is>
          <t>A</t>
        </is>
      </c>
      <c r="AL68" s="113" t="inlineStr">
        <is>
          <t>A+</t>
        </is>
      </c>
      <c r="AM68" s="113" t="inlineStr">
        <is>
          <t>B+</t>
        </is>
      </c>
      <c r="AN68" s="113">
        <f>IF(AI68="","",$AN$2)</f>
        <v/>
      </c>
      <c r="AO68" s="113">
        <f>IF(N68="","",IF(N68&gt;=$AO$1/100,"O","X"))</f>
        <v/>
      </c>
      <c r="AP68" s="113">
        <f>IF(I68="","",IF(I68&lt;=$AP$1,"O","X"))</f>
        <v/>
      </c>
      <c r="AQ68" s="113">
        <f>IF(O68="","",IF(O68&lt;=$AQ$1,"O","X"))</f>
        <v/>
      </c>
      <c r="AR68" s="113">
        <f>IF(M68="","",IF(M68&lt;=$AR$1,"O","X"))</f>
        <v/>
      </c>
      <c r="AS68" s="113" t="inlineStr">
        <is>
          <t>X</t>
        </is>
      </c>
      <c r="AT68" s="113">
        <f>IF(OR(F68="",AI68=""),"",IF(AND((F68&lt;=85),(AI68&gt;=15)),"O","X"))</f>
        <v/>
      </c>
      <c r="AU68" s="113">
        <f>IF(C68="","",IF(C68&gt;=$AU$1,"O","X"))</f>
        <v/>
      </c>
      <c r="AV68" s="113">
        <f>IF(AO68="","",IF(AND(AO68="O",AP68="O",AR68="O",AT68="O",AU68="O"),"후보","X"))</f>
        <v/>
      </c>
    </row>
    <row r="69">
      <c r="A69" s="13" t="inlineStr">
        <is>
          <t>래미안강동팰리스</t>
        </is>
      </c>
      <c r="B69" s="16" t="inlineStr">
        <is>
          <t>'17.07.</t>
        </is>
      </c>
      <c r="C69" s="164" t="n">
        <v>999</v>
      </c>
      <c r="D69" s="161" t="n">
        <v>215.6</v>
      </c>
      <c r="E69" s="163" t="n">
        <v>65</v>
      </c>
      <c r="F69" s="161" t="n">
        <v>151.8</v>
      </c>
      <c r="G69" s="27" t="n">
        <v>46</v>
      </c>
      <c r="H69" s="164" t="n">
        <v>6</v>
      </c>
      <c r="I69" s="165" t="n"/>
      <c r="J69" s="165" t="n"/>
      <c r="K69" s="165" t="n"/>
      <c r="L69" s="165" t="n"/>
      <c r="M69" s="166">
        <f>I69-K69</f>
        <v/>
      </c>
      <c r="N69" s="7">
        <f>IF(ISERROR(K69/I69),"",K69/I69)</f>
        <v/>
      </c>
      <c r="O69" s="162">
        <f>I69/E69</f>
        <v/>
      </c>
      <c r="P69" s="162">
        <f>K69/E69</f>
        <v/>
      </c>
      <c r="Q69" s="113" t="n">
        <v>4</v>
      </c>
      <c r="R69" s="113" t="n">
        <v>2</v>
      </c>
      <c r="S69" s="113" t="inlineStr">
        <is>
          <t>계</t>
        </is>
      </c>
      <c r="T69" s="8" t="n">
        <v>215</v>
      </c>
      <c r="U69" s="13" t="n"/>
      <c r="W69" s="161">
        <f>D69</f>
        <v/>
      </c>
      <c r="X69" s="163">
        <f>E69</f>
        <v/>
      </c>
      <c r="Y69" s="159">
        <f>H69</f>
        <v/>
      </c>
      <c r="Z69" s="166">
        <f>I69</f>
        <v/>
      </c>
      <c r="AA69" s="166">
        <f>K69</f>
        <v/>
      </c>
      <c r="AB69" s="166">
        <f>M69</f>
        <v/>
      </c>
      <c r="AC69" s="7">
        <f>N69</f>
        <v/>
      </c>
      <c r="AD69" s="162">
        <f>O69</f>
        <v/>
      </c>
      <c r="AE69" s="113">
        <f>S69</f>
        <v/>
      </c>
      <c r="AF69" s="113">
        <f>Q69&amp;"/"&amp;R69</f>
        <v/>
      </c>
      <c r="AH69" s="36">
        <f>IF(A69="","",A69)</f>
        <v/>
      </c>
      <c r="AI69" s="163">
        <f>IF(E69="","",E69)</f>
        <v/>
      </c>
      <c r="AJ69" s="113">
        <f>IF(AI69="","",$AJ$2)</f>
        <v/>
      </c>
      <c r="AK69" s="113" t="inlineStr">
        <is>
          <t>A</t>
        </is>
      </c>
      <c r="AL69" s="113" t="inlineStr">
        <is>
          <t>A+</t>
        </is>
      </c>
      <c r="AM69" s="113" t="inlineStr">
        <is>
          <t>B+</t>
        </is>
      </c>
      <c r="AN69" s="113">
        <f>IF(AI69="","",$AN$2)</f>
        <v/>
      </c>
      <c r="AO69" s="113">
        <f>IF(N69="","",IF(N69&gt;=$AO$1/100,"O","X"))</f>
        <v/>
      </c>
      <c r="AP69" s="113">
        <f>IF(I69="","",IF(I69&lt;=$AP$1,"O","X"))</f>
        <v/>
      </c>
      <c r="AQ69" s="113">
        <f>IF(O69="","",IF(O69&lt;=$AQ$1,"O","X"))</f>
        <v/>
      </c>
      <c r="AR69" s="113">
        <f>IF(M69="","",IF(M69&lt;=$AR$1,"O","X"))</f>
        <v/>
      </c>
      <c r="AS69" s="113" t="inlineStr">
        <is>
          <t>X</t>
        </is>
      </c>
      <c r="AT69" s="113">
        <f>IF(OR(F69="",AI69=""),"",IF(AND((F69&lt;=85),(AI69&gt;=15)),"O","X"))</f>
        <v/>
      </c>
      <c r="AU69" s="113">
        <f>IF(C69="","",IF(C69&gt;=$AU$1,"O","X"))</f>
        <v/>
      </c>
      <c r="AV69" s="113">
        <f>IF(AO69="","",IF(AND(AO69="O",AP69="O",AR69="O",AT69="O",AU69="O"),"후보","X"))</f>
        <v/>
      </c>
    </row>
    <row r="70">
      <c r="A70" s="13" t="inlineStr">
        <is>
          <t>래미안강동팰리스</t>
        </is>
      </c>
      <c r="B70" s="16" t="inlineStr">
        <is>
          <t>'17.07.</t>
        </is>
      </c>
      <c r="C70" s="164" t="n">
        <v>999</v>
      </c>
      <c r="D70" s="161" t="n">
        <v>220.3</v>
      </c>
      <c r="E70" s="163" t="n">
        <v>67</v>
      </c>
      <c r="F70" s="161" t="n">
        <v>155.5</v>
      </c>
      <c r="G70" s="27" t="n">
        <v>47</v>
      </c>
      <c r="H70" s="164" t="n">
        <v>6</v>
      </c>
      <c r="I70" s="165" t="n"/>
      <c r="J70" s="165" t="n"/>
      <c r="K70" s="165" t="n"/>
      <c r="L70" s="165" t="n"/>
      <c r="M70" s="166">
        <f>I70-K70</f>
        <v/>
      </c>
      <c r="N70" s="7">
        <f>IF(ISERROR(K70/I70),"",K70/I70)</f>
        <v/>
      </c>
      <c r="O70" s="162">
        <f>I70/E70</f>
        <v/>
      </c>
      <c r="P70" s="162">
        <f>K70/E70</f>
        <v/>
      </c>
      <c r="Q70" s="113" t="n">
        <v>4</v>
      </c>
      <c r="R70" s="113" t="n">
        <v>2</v>
      </c>
      <c r="S70" s="113" t="inlineStr">
        <is>
          <t>계</t>
        </is>
      </c>
      <c r="T70" s="8" t="n">
        <v>220</v>
      </c>
      <c r="U70" s="13" t="n"/>
      <c r="W70" s="161">
        <f>D70</f>
        <v/>
      </c>
      <c r="X70" s="163">
        <f>E70</f>
        <v/>
      </c>
      <c r="Y70" s="159">
        <f>H70</f>
        <v/>
      </c>
      <c r="Z70" s="166">
        <f>I70</f>
        <v/>
      </c>
      <c r="AA70" s="166">
        <f>K70</f>
        <v/>
      </c>
      <c r="AB70" s="166">
        <f>M70</f>
        <v/>
      </c>
      <c r="AC70" s="7">
        <f>N70</f>
        <v/>
      </c>
      <c r="AD70" s="162">
        <f>O70</f>
        <v/>
      </c>
      <c r="AE70" s="113">
        <f>S70</f>
        <v/>
      </c>
      <c r="AF70" s="113">
        <f>Q70&amp;"/"&amp;R70</f>
        <v/>
      </c>
      <c r="AH70" s="36">
        <f>IF(A70="","",A70)</f>
        <v/>
      </c>
      <c r="AI70" s="163">
        <f>IF(E70="","",E70)</f>
        <v/>
      </c>
      <c r="AJ70" s="113">
        <f>IF(AI70="","",$AJ$2)</f>
        <v/>
      </c>
      <c r="AK70" s="113" t="inlineStr">
        <is>
          <t>A</t>
        </is>
      </c>
      <c r="AL70" s="113" t="inlineStr">
        <is>
          <t>A+</t>
        </is>
      </c>
      <c r="AM70" s="113" t="inlineStr">
        <is>
          <t>B+</t>
        </is>
      </c>
      <c r="AN70" s="113">
        <f>IF(AI70="","",$AN$2)</f>
        <v/>
      </c>
      <c r="AO70" s="113">
        <f>IF(N70="","",IF(N70&gt;=$AO$1/100,"O","X"))</f>
        <v/>
      </c>
      <c r="AP70" s="113">
        <f>IF(I70="","",IF(I70&lt;=$AP$1,"O","X"))</f>
        <v/>
      </c>
      <c r="AQ70" s="113">
        <f>IF(O70="","",IF(O70&lt;=$AQ$1,"O","X"))</f>
        <v/>
      </c>
      <c r="AR70" s="113">
        <f>IF(M70="","",IF(M70&lt;=$AR$1,"O","X"))</f>
        <v/>
      </c>
      <c r="AS70" s="113" t="inlineStr">
        <is>
          <t>X</t>
        </is>
      </c>
      <c r="AT70" s="113">
        <f>IF(OR(F70="",AI70=""),"",IF(AND((F70&lt;=85),(AI70&gt;=15)),"O","X"))</f>
        <v/>
      </c>
      <c r="AU70" s="113">
        <f>IF(C70="","",IF(C70&gt;=$AU$1,"O","X"))</f>
        <v/>
      </c>
      <c r="AV70" s="113">
        <f>IF(AO70="","",IF(AND(AO70="O",AP70="O",AR70="O",AT70="O",AU70="O"),"후보","X"))</f>
        <v/>
      </c>
    </row>
    <row r="71">
      <c r="A71" s="13" t="n"/>
      <c r="B71" s="113" t="n"/>
      <c r="C71" s="10" t="n"/>
      <c r="D71" s="13" t="n"/>
      <c r="E71" s="20" t="n"/>
      <c r="F71" s="161" t="n"/>
      <c r="G71" s="13" t="n"/>
      <c r="H71" s="13" t="n"/>
      <c r="I71" s="13" t="n"/>
      <c r="J71" s="13" t="n"/>
      <c r="K71" s="13" t="n"/>
      <c r="L71" s="13" t="n"/>
      <c r="M71" s="13" t="n"/>
      <c r="N71" s="13" t="n"/>
      <c r="O71" s="162" t="n"/>
      <c r="P71" s="162" t="n"/>
      <c r="Q71" s="163" t="n"/>
      <c r="R71" s="163" t="n"/>
      <c r="S71" s="13" t="n"/>
      <c r="T71" s="70" t="n"/>
      <c r="U71" s="13" t="n"/>
      <c r="W71" s="107">
        <f>$A$4&amp;" "&amp;A72&amp;"("&amp;B72&amp;","&amp;C72&amp;"^)"</f>
        <v/>
      </c>
      <c r="X71" s="108" t="n"/>
      <c r="Y71" s="108" t="n"/>
      <c r="Z71" s="108" t="n"/>
      <c r="AA71" s="108" t="n"/>
      <c r="AB71" s="108" t="n"/>
      <c r="AC71" s="108" t="n"/>
      <c r="AD71" s="108" t="n"/>
      <c r="AE71" s="108" t="n"/>
      <c r="AF71" s="109" t="n"/>
      <c r="AH71" s="36">
        <f>IF(A71="","",A71)</f>
        <v/>
      </c>
      <c r="AI71" s="160">
        <f>IF(E71="","",E71)</f>
        <v/>
      </c>
      <c r="AJ71" s="113" t="n"/>
      <c r="AK71" s="113" t="n"/>
      <c r="AL71" s="113" t="n"/>
      <c r="AM71" s="113" t="n"/>
      <c r="AN71" s="113" t="n"/>
      <c r="AO71" s="113" t="n"/>
      <c r="AP71" s="113" t="n"/>
      <c r="AQ71" s="113" t="n"/>
      <c r="AR71" s="113" t="n"/>
      <c r="AS71" s="113" t="n"/>
      <c r="AT71" s="113" t="n"/>
      <c r="AU71" s="113" t="n"/>
      <c r="AV71" s="113" t="n"/>
    </row>
    <row r="72">
      <c r="A72" s="13" t="inlineStr">
        <is>
          <t>천호우성</t>
        </is>
      </c>
      <c r="B72" s="16" t="inlineStr">
        <is>
          <t>'85.02.</t>
        </is>
      </c>
      <c r="C72" s="164" t="n">
        <v>479</v>
      </c>
      <c r="D72" s="161" t="n">
        <v>72</v>
      </c>
      <c r="E72" s="163" t="n">
        <v>22</v>
      </c>
      <c r="F72" s="161" t="n">
        <v>51.4</v>
      </c>
      <c r="G72" s="27" t="n">
        <v>16</v>
      </c>
      <c r="H72" s="164" t="n">
        <v>100</v>
      </c>
      <c r="I72" s="165" t="n">
        <v>95000</v>
      </c>
      <c r="J72" s="165" t="inlineStr">
        <is>
          <t>고</t>
        </is>
      </c>
      <c r="K72" s="165" t="n">
        <v>32000</v>
      </c>
      <c r="L72" s="165" t="inlineStr">
        <is>
          <t>6</t>
        </is>
      </c>
      <c r="M72" s="166">
        <f>I72-K72</f>
        <v/>
      </c>
      <c r="N72" s="7">
        <f>IF(ISERROR(K72/I72),"",K72/I72)</f>
        <v/>
      </c>
      <c r="O72" s="162">
        <f>I72/E72</f>
        <v/>
      </c>
      <c r="P72" s="162">
        <f>K72/E72</f>
        <v/>
      </c>
      <c r="Q72" s="113" t="n">
        <v>2</v>
      </c>
      <c r="R72" s="113" t="n">
        <v>1</v>
      </c>
      <c r="S72" s="113" t="inlineStr">
        <is>
          <t>복</t>
        </is>
      </c>
      <c r="T72" s="8" t="n">
        <v>71</v>
      </c>
      <c r="U72" s="13" t="n"/>
      <c r="W72" s="161">
        <f>D72</f>
        <v/>
      </c>
      <c r="X72" s="163">
        <f>E72</f>
        <v/>
      </c>
      <c r="Y72" s="159">
        <f>H72</f>
        <v/>
      </c>
      <c r="Z72" s="166">
        <f>I72</f>
        <v/>
      </c>
      <c r="AA72" s="166">
        <f>K72</f>
        <v/>
      </c>
      <c r="AB72" s="166">
        <f>M72</f>
        <v/>
      </c>
      <c r="AC72" s="7">
        <f>N72</f>
        <v/>
      </c>
      <c r="AD72" s="162">
        <f>O72</f>
        <v/>
      </c>
      <c r="AE72" s="113">
        <f>S72</f>
        <v/>
      </c>
      <c r="AF72" s="113">
        <f>Q72&amp;"/"&amp;R72</f>
        <v/>
      </c>
      <c r="AH72" s="36">
        <f>IF(A72="","",A72)</f>
        <v/>
      </c>
      <c r="AI72" s="163">
        <f>IF(E72="","",E72)</f>
        <v/>
      </c>
      <c r="AJ72" s="113">
        <f>IF(AI72="","",$AJ$2)</f>
        <v/>
      </c>
      <c r="AK72" s="113" t="inlineStr">
        <is>
          <t>A</t>
        </is>
      </c>
      <c r="AL72" s="113" t="inlineStr">
        <is>
          <t>A+</t>
        </is>
      </c>
      <c r="AM72" s="113" t="inlineStr">
        <is>
          <t>B+</t>
        </is>
      </c>
      <c r="AN72" s="113">
        <f>IF(AI72="","",$AN$2)</f>
        <v/>
      </c>
      <c r="AO72" s="113">
        <f>IF(N72="","",IF(N72&gt;=$AO$1/100,"O","X"))</f>
        <v/>
      </c>
      <c r="AP72" s="113">
        <f>IF(I72="","",IF(I72&lt;=$AP$1,"O","X"))</f>
        <v/>
      </c>
      <c r="AQ72" s="113">
        <f>IF(O72="","",IF(O72&lt;=$AQ$1,"O","X"))</f>
        <v/>
      </c>
      <c r="AR72" s="113">
        <f>IF(M72="","",IF(M72&lt;=$AR$1,"O","X"))</f>
        <v/>
      </c>
      <c r="AS72" s="113" t="inlineStr">
        <is>
          <t>X</t>
        </is>
      </c>
      <c r="AT72" s="113">
        <f>IF(OR(F72="",AI72=""),"",IF(AND((F72&lt;=85),(AI72&gt;=15)),"O","X"))</f>
        <v/>
      </c>
      <c r="AU72" s="113">
        <f>IF(C72="","",IF(C72&gt;=$AU$1,"O","X"))</f>
        <v/>
      </c>
      <c r="AV72" s="113">
        <f>IF(AO72="","",IF(AND(AO72="O",AP72="O",AR72="O",AT72="O",AU72="O"),"후보","X"))</f>
        <v/>
      </c>
    </row>
    <row r="73">
      <c r="A73" s="13" t="inlineStr">
        <is>
          <t>천호우성</t>
        </is>
      </c>
      <c r="B73" s="16" t="inlineStr">
        <is>
          <t>'85.02.</t>
        </is>
      </c>
      <c r="C73" s="164" t="n">
        <v>479</v>
      </c>
      <c r="D73" s="161" t="n">
        <v>88.5</v>
      </c>
      <c r="E73" s="163" t="n">
        <v>27</v>
      </c>
      <c r="F73" s="161" t="n">
        <v>64.5</v>
      </c>
      <c r="G73" s="27" t="n">
        <v>20</v>
      </c>
      <c r="H73" s="164" t="n">
        <v>171</v>
      </c>
      <c r="I73" s="165" t="n">
        <v>98000</v>
      </c>
      <c r="J73" s="165" t="inlineStr">
        <is>
          <t>중</t>
        </is>
      </c>
      <c r="K73" s="165" t="n">
        <v>37000</v>
      </c>
      <c r="L73" s="165" t="inlineStr">
        <is>
          <t>8</t>
        </is>
      </c>
      <c r="M73" s="166">
        <f>I73-K73</f>
        <v/>
      </c>
      <c r="N73" s="7">
        <f>IF(ISERROR(K73/I73),"",K73/I73)</f>
        <v/>
      </c>
      <c r="O73" s="162">
        <f>I73/E73</f>
        <v/>
      </c>
      <c r="P73" s="162">
        <f>K73/E73</f>
        <v/>
      </c>
      <c r="Q73" s="113" t="n">
        <v>2</v>
      </c>
      <c r="R73" s="113" t="n">
        <v>1</v>
      </c>
      <c r="S73" s="113" t="inlineStr">
        <is>
          <t>복</t>
        </is>
      </c>
      <c r="T73" s="8" t="n">
        <v>88</v>
      </c>
      <c r="U73" s="13" t="n"/>
      <c r="W73" s="161">
        <f>D73</f>
        <v/>
      </c>
      <c r="X73" s="163">
        <f>E73</f>
        <v/>
      </c>
      <c r="Y73" s="159">
        <f>H73</f>
        <v/>
      </c>
      <c r="Z73" s="166">
        <f>I73</f>
        <v/>
      </c>
      <c r="AA73" s="166">
        <f>K73</f>
        <v/>
      </c>
      <c r="AB73" s="166">
        <f>M73</f>
        <v/>
      </c>
      <c r="AC73" s="7">
        <f>N73</f>
        <v/>
      </c>
      <c r="AD73" s="162">
        <f>O73</f>
        <v/>
      </c>
      <c r="AE73" s="113">
        <f>S73</f>
        <v/>
      </c>
      <c r="AF73" s="113">
        <f>Q73&amp;"/"&amp;R73</f>
        <v/>
      </c>
      <c r="AH73" s="36">
        <f>IF(A73="","",A73)</f>
        <v/>
      </c>
      <c r="AI73" s="163">
        <f>IF(E73="","",E73)</f>
        <v/>
      </c>
      <c r="AJ73" s="113">
        <f>IF(AI73="","",$AJ$2)</f>
        <v/>
      </c>
      <c r="AK73" s="113" t="inlineStr">
        <is>
          <t>A</t>
        </is>
      </c>
      <c r="AL73" s="113" t="inlineStr">
        <is>
          <t>A+</t>
        </is>
      </c>
      <c r="AM73" s="113" t="inlineStr">
        <is>
          <t>B+</t>
        </is>
      </c>
      <c r="AN73" s="113">
        <f>IF(AI73="","",$AN$2)</f>
        <v/>
      </c>
      <c r="AO73" s="113">
        <f>IF(N73="","",IF(N73&gt;=$AO$1/100,"O","X"))</f>
        <v/>
      </c>
      <c r="AP73" s="113">
        <f>IF(I73="","",IF(I73&lt;=$AP$1,"O","X"))</f>
        <v/>
      </c>
      <c r="AQ73" s="113">
        <f>IF(O73="","",IF(O73&lt;=$AQ$1,"O","X"))</f>
        <v/>
      </c>
      <c r="AR73" s="113">
        <f>IF(M73="","",IF(M73&lt;=$AR$1,"O","X"))</f>
        <v/>
      </c>
      <c r="AS73" s="113" t="inlineStr">
        <is>
          <t>X</t>
        </is>
      </c>
      <c r="AT73" s="113">
        <f>IF(OR(F73="",AI73=""),"",IF(AND((F73&lt;=85),(AI73&gt;=15)),"O","X"))</f>
        <v/>
      </c>
      <c r="AU73" s="113">
        <f>IF(C73="","",IF(C73&gt;=$AU$1,"O","X"))</f>
        <v/>
      </c>
      <c r="AV73" s="113">
        <f>IF(AO73="","",IF(AND(AO73="O",AP73="O",AR73="O",AT73="O",AU73="O"),"후보","X"))</f>
        <v/>
      </c>
    </row>
    <row r="74">
      <c r="A74" s="13" t="inlineStr">
        <is>
          <t>천호우성</t>
        </is>
      </c>
      <c r="B74" s="16" t="inlineStr">
        <is>
          <t>'85.02.</t>
        </is>
      </c>
      <c r="C74" s="164" t="n">
        <v>479</v>
      </c>
      <c r="D74" s="161" t="n">
        <v>103</v>
      </c>
      <c r="E74" s="163" t="n">
        <v>31</v>
      </c>
      <c r="F74" s="161" t="n">
        <v>84.90000000000001</v>
      </c>
      <c r="G74" s="27" t="n">
        <v>26</v>
      </c>
      <c r="H74" s="164" t="n">
        <v>208</v>
      </c>
      <c r="I74" s="165" t="n">
        <v>115000</v>
      </c>
      <c r="J74" s="165" t="inlineStr">
        <is>
          <t>11</t>
        </is>
      </c>
      <c r="K74" s="165" t="n">
        <v>49000</v>
      </c>
      <c r="L74" s="165" t="inlineStr">
        <is>
          <t>13</t>
        </is>
      </c>
      <c r="M74" s="166">
        <f>I74-K74</f>
        <v/>
      </c>
      <c r="N74" s="7">
        <f>IF(ISERROR(K74/I74),"",K74/I74)</f>
        <v/>
      </c>
      <c r="O74" s="162">
        <f>I74/E74</f>
        <v/>
      </c>
      <c r="P74" s="162">
        <f>K74/E74</f>
        <v/>
      </c>
      <c r="Q74" s="113" t="n">
        <v>3</v>
      </c>
      <c r="R74" s="113" t="n">
        <v>1</v>
      </c>
      <c r="S74" s="113" t="inlineStr">
        <is>
          <t>계</t>
        </is>
      </c>
      <c r="T74" s="8" t="n">
        <v>102</v>
      </c>
      <c r="U74" s="13" t="n"/>
      <c r="W74" s="161">
        <f>D74</f>
        <v/>
      </c>
      <c r="X74" s="163">
        <f>E74</f>
        <v/>
      </c>
      <c r="Y74" s="159">
        <f>H74</f>
        <v/>
      </c>
      <c r="Z74" s="166">
        <f>I74</f>
        <v/>
      </c>
      <c r="AA74" s="166">
        <f>K74</f>
        <v/>
      </c>
      <c r="AB74" s="166">
        <f>M74</f>
        <v/>
      </c>
      <c r="AC74" s="7">
        <f>N74</f>
        <v/>
      </c>
      <c r="AD74" s="162">
        <f>O74</f>
        <v/>
      </c>
      <c r="AE74" s="113">
        <f>S74</f>
        <v/>
      </c>
      <c r="AF74" s="113">
        <f>Q74&amp;"/"&amp;R74</f>
        <v/>
      </c>
      <c r="AH74" s="36">
        <f>IF(A74="","",A74)</f>
        <v/>
      </c>
      <c r="AI74" s="163">
        <f>IF(E74="","",E74)</f>
        <v/>
      </c>
      <c r="AJ74" s="113">
        <f>IF(AI74="","",$AJ$2)</f>
        <v/>
      </c>
      <c r="AK74" s="113" t="inlineStr">
        <is>
          <t>A</t>
        </is>
      </c>
      <c r="AL74" s="113" t="inlineStr">
        <is>
          <t>A+</t>
        </is>
      </c>
      <c r="AM74" s="113" t="inlineStr">
        <is>
          <t>B+</t>
        </is>
      </c>
      <c r="AN74" s="113">
        <f>IF(AI74="","",$AN$2)</f>
        <v/>
      </c>
      <c r="AO74" s="113">
        <f>IF(N74="","",IF(N74&gt;=$AO$1/100,"O","X"))</f>
        <v/>
      </c>
      <c r="AP74" s="113">
        <f>IF(I74="","",IF(I74&lt;=$AP$1,"O","X"))</f>
        <v/>
      </c>
      <c r="AQ74" s="113">
        <f>IF(O74="","",IF(O74&lt;=$AQ$1,"O","X"))</f>
        <v/>
      </c>
      <c r="AR74" s="113">
        <f>IF(M74="","",IF(M74&lt;=$AR$1,"O","X"))</f>
        <v/>
      </c>
      <c r="AS74" s="113" t="inlineStr">
        <is>
          <t>X</t>
        </is>
      </c>
      <c r="AT74" s="113">
        <f>IF(OR(F74="",AI74=""),"",IF(AND((F74&lt;=85),(AI74&gt;=15)),"O","X"))</f>
        <v/>
      </c>
      <c r="AU74" s="113">
        <f>IF(C74="","",IF(C74&gt;=$AU$1,"O","X"))</f>
        <v/>
      </c>
      <c r="AV74" s="113">
        <f>IF(AO74="","",IF(AND(AO74="O",AP74="O",AR74="O",AT74="O",AU74="O"),"후보","X"))</f>
        <v/>
      </c>
    </row>
  </sheetData>
  <mergeCells count="1">
    <mergeCell ref="AJ1:AN1"/>
  </mergeCells>
  <conditionalFormatting sqref="AV4:AV6">
    <cfRule type="expression" priority="1158" dxfId="17">
      <formula>AV4="X"</formula>
    </cfRule>
    <cfRule type="expression" priority="1159" dxfId="16">
      <formula>AV4="후보"</formula>
    </cfRule>
  </conditionalFormatting>
  <conditionalFormatting sqref="AC1:AC2 AC4:AC6 N4:N5">
    <cfRule type="cellIs" priority="1155" operator="greaterThan" dxfId="13">
      <formula>0.9</formula>
    </cfRule>
    <cfRule type="cellIs" priority="1156" operator="greaterThan" dxfId="12">
      <formula>0.85</formula>
    </cfRule>
  </conditionalFormatting>
  <conditionalFormatting sqref="N1:N2">
    <cfRule type="cellIs" priority="1153" operator="greaterThan" dxfId="13">
      <formula>0.9</formula>
    </cfRule>
    <cfRule type="cellIs" priority="1154" operator="greaterThan" dxfId="12">
      <formula>0.85</formula>
    </cfRule>
  </conditionalFormatting>
  <conditionalFormatting sqref="N6">
    <cfRule type="cellIs" priority="1151" operator="greaterThan" dxfId="13">
      <formula>0.9</formula>
    </cfRule>
    <cfRule type="cellIs" priority="1152" operator="greaterThan" dxfId="12">
      <formula>0.85</formula>
    </cfRule>
  </conditionalFormatting>
  <conditionalFormatting sqref="E6">
    <cfRule type="expression" priority="1147" dxfId="3">
      <formula>AND(IF(OR($Q6=1,$Q6=2),1,0),IF($X6&lt;=20,1,0))</formula>
    </cfRule>
    <cfRule type="expression" priority="1148" dxfId="2">
      <formula>AND(IF($Q6=2,1,0),IF($X6&lt;30,1,0))</formula>
    </cfRule>
    <cfRule type="expression" priority="1149" dxfId="1">
      <formula>AND(IF($Q6=3,1,0),IF($X6&lt;30,1,0))</formula>
    </cfRule>
    <cfRule type="expression" priority="1150" dxfId="0">
      <formula>AND(IF($Q6=3,1,IF($Q6=4,1,0)),IF($F6&lt;=85,1,0))</formula>
    </cfRule>
  </conditionalFormatting>
  <conditionalFormatting sqref="X6">
    <cfRule type="expression" priority="1143" dxfId="3">
      <formula>AND(IF(OR($Q6=1,$Q6=2),1,0),IF($X6&lt;=20,1,0))</formula>
    </cfRule>
    <cfRule type="expression" priority="1144" dxfId="2">
      <formula>AND(IF($Q6=2,1,0),IF($X6&lt;30,1,0))</formula>
    </cfRule>
    <cfRule type="expression" priority="1145" dxfId="1">
      <formula>AND(IF($Q6=3,1,0),IF($X6&lt;30,1,0))</formula>
    </cfRule>
    <cfRule type="expression" priority="1146" dxfId="0">
      <formula>AND(IF($Q6=3,1,IF($Q6=4,1,0)),IF($F6&lt;=85,1,0))</formula>
    </cfRule>
  </conditionalFormatting>
  <conditionalFormatting sqref="AI6">
    <cfRule type="expression" priority="1139" dxfId="3">
      <formula>AND(IF(OR($Q6=1,$Q6=2),1,0),IF($X6&lt;=20,1,0))</formula>
    </cfRule>
    <cfRule type="expression" priority="1140" dxfId="2">
      <formula>AND(IF($Q6=2,1,0),IF($X6&lt;30,1,0))</formula>
    </cfRule>
    <cfRule type="expression" priority="1141" dxfId="1">
      <formula>AND(IF($Q6=3,1,0),IF($X6&lt;30,1,0))</formula>
    </cfRule>
    <cfRule type="expression" priority="1142" dxfId="0">
      <formula>AND(IF($Q6=3,1,IF($Q6=4,1,0)),IF($F6&lt;=85,1,0))</formula>
    </cfRule>
  </conditionalFormatting>
  <conditionalFormatting sqref="AV7">
    <cfRule type="expression" priority="1137" dxfId="17">
      <formula>AV7="X"</formula>
    </cfRule>
    <cfRule type="expression" priority="1138" dxfId="16">
      <formula>AV7="후보"</formula>
    </cfRule>
  </conditionalFormatting>
  <conditionalFormatting sqref="AC7">
    <cfRule type="cellIs" priority="1134" operator="greaterThan" dxfId="13">
      <formula>0.9</formula>
    </cfRule>
    <cfRule type="cellIs" priority="1135" operator="greaterThan" dxfId="12">
      <formula>0.85</formula>
    </cfRule>
  </conditionalFormatting>
  <conditionalFormatting sqref="N7">
    <cfRule type="cellIs" priority="1132" operator="greaterThan" dxfId="13">
      <formula>0.9</formula>
    </cfRule>
    <cfRule type="cellIs" priority="1133" operator="greaterThan" dxfId="12">
      <formula>0.85</formula>
    </cfRule>
  </conditionalFormatting>
  <conditionalFormatting sqref="E7">
    <cfRule type="expression" priority="1128" dxfId="3">
      <formula>AND(IF(OR($Q7=1,$Q7=2),1,0),IF($X7&lt;=20,1,0))</formula>
    </cfRule>
    <cfRule type="expression" priority="1129" dxfId="2">
      <formula>AND(IF($Q7=2,1,0),IF($X7&lt;30,1,0))</formula>
    </cfRule>
    <cfRule type="expression" priority="1130" dxfId="1">
      <formula>AND(IF($Q7=3,1,0),IF($X7&lt;30,1,0))</formula>
    </cfRule>
    <cfRule type="expression" priority="1131" dxfId="0">
      <formula>AND(IF($Q7=3,1,IF($Q7=4,1,0)),IF($F7&lt;=85,1,0))</formula>
    </cfRule>
  </conditionalFormatting>
  <conditionalFormatting sqref="X7">
    <cfRule type="expression" priority="1124" dxfId="3">
      <formula>AND(IF(OR($Q7=1,$Q7=2),1,0),IF($X7&lt;=20,1,0))</formula>
    </cfRule>
    <cfRule type="expression" priority="1125" dxfId="2">
      <formula>AND(IF($Q7=2,1,0),IF($X7&lt;30,1,0))</formula>
    </cfRule>
    <cfRule type="expression" priority="1126" dxfId="1">
      <formula>AND(IF($Q7=3,1,0),IF($X7&lt;30,1,0))</formula>
    </cfRule>
    <cfRule type="expression" priority="1127" dxfId="0">
      <formula>AND(IF($Q7=3,1,IF($Q7=4,1,0)),IF($F7&lt;=85,1,0))</formula>
    </cfRule>
  </conditionalFormatting>
  <conditionalFormatting sqref="AI7">
    <cfRule type="expression" priority="1120" dxfId="3">
      <formula>AND(IF(OR($Q7=1,$Q7=2),1,0),IF($X7&lt;=20,1,0))</formula>
    </cfRule>
    <cfRule type="expression" priority="1121" dxfId="2">
      <formula>AND(IF($Q7=2,1,0),IF($X7&lt;30,1,0))</formula>
    </cfRule>
    <cfRule type="expression" priority="1122" dxfId="1">
      <formula>AND(IF($Q7=3,1,0),IF($X7&lt;30,1,0))</formula>
    </cfRule>
    <cfRule type="expression" priority="1123" dxfId="0">
      <formula>AND(IF($Q7=3,1,IF($Q7=4,1,0)),IF($F7&lt;=85,1,0))</formula>
    </cfRule>
  </conditionalFormatting>
  <conditionalFormatting sqref="AV8">
    <cfRule type="expression" priority="1118" dxfId="17">
      <formula>AV8="X"</formula>
    </cfRule>
    <cfRule type="expression" priority="1119" dxfId="16">
      <formula>AV8="후보"</formula>
    </cfRule>
  </conditionalFormatting>
  <conditionalFormatting sqref="AC8">
    <cfRule type="cellIs" priority="1115" operator="greaterThan" dxfId="13">
      <formula>0.9</formula>
    </cfRule>
    <cfRule type="cellIs" priority="1116" operator="greaterThan" dxfId="12">
      <formula>0.85</formula>
    </cfRule>
  </conditionalFormatting>
  <conditionalFormatting sqref="N8">
    <cfRule type="cellIs" priority="1113" operator="greaterThan" dxfId="13">
      <formula>0.9</formula>
    </cfRule>
    <cfRule type="cellIs" priority="1114" operator="greaterThan" dxfId="12">
      <formula>0.85</formula>
    </cfRule>
  </conditionalFormatting>
  <conditionalFormatting sqref="E8">
    <cfRule type="expression" priority="1109" dxfId="3">
      <formula>AND(IF(OR($Q8=1,$Q8=2),1,0),IF($X8&lt;=20,1,0))</formula>
    </cfRule>
    <cfRule type="expression" priority="1110" dxfId="2">
      <formula>AND(IF($Q8=2,1,0),IF($X8&lt;30,1,0))</formula>
    </cfRule>
    <cfRule type="expression" priority="1111" dxfId="1">
      <formula>AND(IF($Q8=3,1,0),IF($X8&lt;30,1,0))</formula>
    </cfRule>
    <cfRule type="expression" priority="1112" dxfId="0">
      <formula>AND(IF($Q8=3,1,IF($Q8=4,1,0)),IF($F8&lt;=85,1,0))</formula>
    </cfRule>
  </conditionalFormatting>
  <conditionalFormatting sqref="X8">
    <cfRule type="expression" priority="1105" dxfId="3">
      <formula>AND(IF(OR($Q8=1,$Q8=2),1,0),IF($X8&lt;=20,1,0))</formula>
    </cfRule>
    <cfRule type="expression" priority="1106" dxfId="2">
      <formula>AND(IF($Q8=2,1,0),IF($X8&lt;30,1,0))</formula>
    </cfRule>
    <cfRule type="expression" priority="1107" dxfId="1">
      <formula>AND(IF($Q8=3,1,0),IF($X8&lt;30,1,0))</formula>
    </cfRule>
    <cfRule type="expression" priority="1108" dxfId="0">
      <formula>AND(IF($Q8=3,1,IF($Q8=4,1,0)),IF($F8&lt;=85,1,0))</formula>
    </cfRule>
  </conditionalFormatting>
  <conditionalFormatting sqref="AI8">
    <cfRule type="expression" priority="1101" dxfId="3">
      <formula>AND(IF(OR($Q8=1,$Q8=2),1,0),IF($X8&lt;=20,1,0))</formula>
    </cfRule>
    <cfRule type="expression" priority="1102" dxfId="2">
      <formula>AND(IF($Q8=2,1,0),IF($X8&lt;30,1,0))</formula>
    </cfRule>
    <cfRule type="expression" priority="1103" dxfId="1">
      <formula>AND(IF($Q8=3,1,0),IF($X8&lt;30,1,0))</formula>
    </cfRule>
    <cfRule type="expression" priority="1104" dxfId="0">
      <formula>AND(IF($Q8=3,1,IF($Q8=4,1,0)),IF($F8&lt;=85,1,0))</formula>
    </cfRule>
  </conditionalFormatting>
  <conditionalFormatting sqref="AV9">
    <cfRule type="expression" priority="1099" dxfId="17">
      <formula>AV9="X"</formula>
    </cfRule>
    <cfRule type="expression" priority="1100" dxfId="16">
      <formula>AV9="후보"</formula>
    </cfRule>
  </conditionalFormatting>
  <conditionalFormatting sqref="AC9">
    <cfRule type="cellIs" priority="1096" operator="greaterThan" dxfId="13">
      <formula>0.9</formula>
    </cfRule>
    <cfRule type="cellIs" priority="1097" operator="greaterThan" dxfId="12">
      <formula>0.85</formula>
    </cfRule>
  </conditionalFormatting>
  <conditionalFormatting sqref="N9">
    <cfRule type="cellIs" priority="1094" operator="greaterThan" dxfId="13">
      <formula>0.9</formula>
    </cfRule>
    <cfRule type="cellIs" priority="1095" operator="greaterThan" dxfId="12">
      <formula>0.85</formula>
    </cfRule>
  </conditionalFormatting>
  <conditionalFormatting sqref="E9">
    <cfRule type="expression" priority="1090" dxfId="3">
      <formula>AND(IF(OR($Q9=1,$Q9=2),1,0),IF($X9&lt;=20,1,0))</formula>
    </cfRule>
    <cfRule type="expression" priority="1091" dxfId="2">
      <formula>AND(IF($Q9=2,1,0),IF($X9&lt;30,1,0))</formula>
    </cfRule>
    <cfRule type="expression" priority="1092" dxfId="1">
      <formula>AND(IF($Q9=3,1,0),IF($X9&lt;30,1,0))</formula>
    </cfRule>
    <cfRule type="expression" priority="1093" dxfId="0">
      <formula>AND(IF($Q9=3,1,IF($Q9=4,1,0)),IF($F9&lt;=85,1,0))</formula>
    </cfRule>
  </conditionalFormatting>
  <conditionalFormatting sqref="X9">
    <cfRule type="expression" priority="1086" dxfId="3">
      <formula>AND(IF(OR($Q9=1,$Q9=2),1,0),IF($X9&lt;=20,1,0))</formula>
    </cfRule>
    <cfRule type="expression" priority="1087" dxfId="2">
      <formula>AND(IF($Q9=2,1,0),IF($X9&lt;30,1,0))</formula>
    </cfRule>
    <cfRule type="expression" priority="1088" dxfId="1">
      <formula>AND(IF($Q9=3,1,0),IF($X9&lt;30,1,0))</formula>
    </cfRule>
    <cfRule type="expression" priority="1089" dxfId="0">
      <formula>AND(IF($Q9=3,1,IF($Q9=4,1,0)),IF($F9&lt;=85,1,0))</formula>
    </cfRule>
  </conditionalFormatting>
  <conditionalFormatting sqref="AI9">
    <cfRule type="expression" priority="1082" dxfId="3">
      <formula>AND(IF(OR($Q9=1,$Q9=2),1,0),IF($X9&lt;=20,1,0))</formula>
    </cfRule>
    <cfRule type="expression" priority="1083" dxfId="2">
      <formula>AND(IF($Q9=2,1,0),IF($X9&lt;30,1,0))</formula>
    </cfRule>
    <cfRule type="expression" priority="1084" dxfId="1">
      <formula>AND(IF($Q9=3,1,0),IF($X9&lt;30,1,0))</formula>
    </cfRule>
    <cfRule type="expression" priority="1085" dxfId="0">
      <formula>AND(IF($Q9=3,1,IF($Q9=4,1,0)),IF($F9&lt;=85,1,0))</formula>
    </cfRule>
  </conditionalFormatting>
  <conditionalFormatting sqref="AV10">
    <cfRule type="expression" priority="1080" dxfId="17">
      <formula>AV10="X"</formula>
    </cfRule>
    <cfRule type="expression" priority="1081" dxfId="16">
      <formula>AV10="후보"</formula>
    </cfRule>
  </conditionalFormatting>
  <conditionalFormatting sqref="AC10">
    <cfRule type="cellIs" priority="1077" operator="greaterThan" dxfId="13">
      <formula>0.9</formula>
    </cfRule>
    <cfRule type="cellIs" priority="1078" operator="greaterThan" dxfId="12">
      <formula>0.85</formula>
    </cfRule>
  </conditionalFormatting>
  <conditionalFormatting sqref="N10">
    <cfRule type="cellIs" priority="1075" operator="greaterThan" dxfId="13">
      <formula>0.9</formula>
    </cfRule>
    <cfRule type="cellIs" priority="1076" operator="greaterThan" dxfId="12">
      <formula>0.85</formula>
    </cfRule>
  </conditionalFormatting>
  <conditionalFormatting sqref="E10">
    <cfRule type="expression" priority="1071" dxfId="3">
      <formula>AND(IF(OR($Q10=1,$Q10=2),1,0),IF($X10&lt;=20,1,0))</formula>
    </cfRule>
    <cfRule type="expression" priority="1072" dxfId="2">
      <formula>AND(IF($Q10=2,1,0),IF($X10&lt;30,1,0))</formula>
    </cfRule>
    <cfRule type="expression" priority="1073" dxfId="1">
      <formula>AND(IF($Q10=3,1,0),IF($X10&lt;30,1,0))</formula>
    </cfRule>
    <cfRule type="expression" priority="1074" dxfId="0">
      <formula>AND(IF($Q10=3,1,IF($Q10=4,1,0)),IF($F10&lt;=85,1,0))</formula>
    </cfRule>
  </conditionalFormatting>
  <conditionalFormatting sqref="X10">
    <cfRule type="expression" priority="1067" dxfId="3">
      <formula>AND(IF(OR($Q10=1,$Q10=2),1,0),IF($X10&lt;=20,1,0))</formula>
    </cfRule>
    <cfRule type="expression" priority="1068" dxfId="2">
      <formula>AND(IF($Q10=2,1,0),IF($X10&lt;30,1,0))</formula>
    </cfRule>
    <cfRule type="expression" priority="1069" dxfId="1">
      <formula>AND(IF($Q10=3,1,0),IF($X10&lt;30,1,0))</formula>
    </cfRule>
    <cfRule type="expression" priority="1070" dxfId="0">
      <formula>AND(IF($Q10=3,1,IF($Q10=4,1,0)),IF($F10&lt;=85,1,0))</formula>
    </cfRule>
  </conditionalFormatting>
  <conditionalFormatting sqref="AI10">
    <cfRule type="expression" priority="1063" dxfId="3">
      <formula>AND(IF(OR($Q10=1,$Q10=2),1,0),IF($X10&lt;=20,1,0))</formula>
    </cfRule>
    <cfRule type="expression" priority="1064" dxfId="2">
      <formula>AND(IF($Q10=2,1,0),IF($X10&lt;30,1,0))</formula>
    </cfRule>
    <cfRule type="expression" priority="1065" dxfId="1">
      <formula>AND(IF($Q10=3,1,0),IF($X10&lt;30,1,0))</formula>
    </cfRule>
    <cfRule type="expression" priority="1066" dxfId="0">
      <formula>AND(IF($Q10=3,1,IF($Q10=4,1,0)),IF($F10&lt;=85,1,0))</formula>
    </cfRule>
  </conditionalFormatting>
  <conditionalFormatting sqref="AV11">
    <cfRule type="expression" priority="1061" dxfId="17">
      <formula>AV11="X"</formula>
    </cfRule>
    <cfRule type="expression" priority="1062" dxfId="16">
      <formula>AV11="후보"</formula>
    </cfRule>
  </conditionalFormatting>
  <conditionalFormatting sqref="AC11 N11">
    <cfRule type="cellIs" priority="1058" operator="greaterThan" dxfId="13">
      <formula>0.9</formula>
    </cfRule>
    <cfRule type="cellIs" priority="1059" operator="greaterThan" dxfId="12">
      <formula>0.85</formula>
    </cfRule>
  </conditionalFormatting>
  <conditionalFormatting sqref="AV12">
    <cfRule type="expression" priority="1056" dxfId="17">
      <formula>AV12="X"</formula>
    </cfRule>
    <cfRule type="expression" priority="1057" dxfId="16">
      <formula>AV12="후보"</formula>
    </cfRule>
  </conditionalFormatting>
  <conditionalFormatting sqref="AC12">
    <cfRule type="cellIs" priority="1053" operator="greaterThan" dxfId="13">
      <formula>0.9</formula>
    </cfRule>
    <cfRule type="cellIs" priority="1054" operator="greaterThan" dxfId="12">
      <formula>0.85</formula>
    </cfRule>
  </conditionalFormatting>
  <conditionalFormatting sqref="N12">
    <cfRule type="cellIs" priority="1051" operator="greaterThan" dxfId="13">
      <formula>0.9</formula>
    </cfRule>
    <cfRule type="cellIs" priority="1052" operator="greaterThan" dxfId="12">
      <formula>0.85</formula>
    </cfRule>
  </conditionalFormatting>
  <conditionalFormatting sqref="E12">
    <cfRule type="expression" priority="1047" dxfId="3">
      <formula>AND(IF(OR($Q12=1,$Q12=2),1,0),IF($X12&lt;=20,1,0))</formula>
    </cfRule>
    <cfRule type="expression" priority="1048" dxfId="2">
      <formula>AND(IF($Q12=2,1,0),IF($X12&lt;30,1,0))</formula>
    </cfRule>
    <cfRule type="expression" priority="1049" dxfId="1">
      <formula>AND(IF($Q12=3,1,0),IF($X12&lt;30,1,0))</formula>
    </cfRule>
    <cfRule type="expression" priority="1050" dxfId="0">
      <formula>AND(IF($Q12=3,1,IF($Q12=4,1,0)),IF($F12&lt;=85,1,0))</formula>
    </cfRule>
  </conditionalFormatting>
  <conditionalFormatting sqref="X12">
    <cfRule type="expression" priority="1043" dxfId="3">
      <formula>AND(IF(OR($Q12=1,$Q12=2),1,0),IF($X12&lt;=20,1,0))</formula>
    </cfRule>
    <cfRule type="expression" priority="1044" dxfId="2">
      <formula>AND(IF($Q12=2,1,0),IF($X12&lt;30,1,0))</formula>
    </cfRule>
    <cfRule type="expression" priority="1045" dxfId="1">
      <formula>AND(IF($Q12=3,1,0),IF($X12&lt;30,1,0))</formula>
    </cfRule>
    <cfRule type="expression" priority="1046" dxfId="0">
      <formula>AND(IF($Q12=3,1,IF($Q12=4,1,0)),IF($F12&lt;=85,1,0))</formula>
    </cfRule>
  </conditionalFormatting>
  <conditionalFormatting sqref="AI12">
    <cfRule type="expression" priority="1039" dxfId="3">
      <formula>AND(IF(OR($Q12=1,$Q12=2),1,0),IF($X12&lt;=20,1,0))</formula>
    </cfRule>
    <cfRule type="expression" priority="1040" dxfId="2">
      <formula>AND(IF($Q12=2,1,0),IF($X12&lt;30,1,0))</formula>
    </cfRule>
    <cfRule type="expression" priority="1041" dxfId="1">
      <formula>AND(IF($Q12=3,1,0),IF($X12&lt;30,1,0))</formula>
    </cfRule>
    <cfRule type="expression" priority="1042" dxfId="0">
      <formula>AND(IF($Q12=3,1,IF($Q12=4,1,0)),IF($F12&lt;=85,1,0))</formula>
    </cfRule>
  </conditionalFormatting>
  <conditionalFormatting sqref="AV13">
    <cfRule type="expression" priority="1037" dxfId="17">
      <formula>AV13="X"</formula>
    </cfRule>
    <cfRule type="expression" priority="1038" dxfId="16">
      <formula>AV13="후보"</formula>
    </cfRule>
  </conditionalFormatting>
  <conditionalFormatting sqref="AC13 N13">
    <cfRule type="cellIs" priority="1034" operator="greaterThan" dxfId="13">
      <formula>0.9</formula>
    </cfRule>
    <cfRule type="cellIs" priority="1035" operator="greaterThan" dxfId="12">
      <formula>0.85</formula>
    </cfRule>
  </conditionalFormatting>
  <conditionalFormatting sqref="AV14">
    <cfRule type="expression" priority="1032" dxfId="17">
      <formula>AV14="X"</formula>
    </cfRule>
    <cfRule type="expression" priority="1033" dxfId="16">
      <formula>AV14="후보"</formula>
    </cfRule>
  </conditionalFormatting>
  <conditionalFormatting sqref="AC14">
    <cfRule type="cellIs" priority="1029" operator="greaterThan" dxfId="13">
      <formula>0.9</formula>
    </cfRule>
    <cfRule type="cellIs" priority="1030" operator="greaterThan" dxfId="12">
      <formula>0.85</formula>
    </cfRule>
  </conditionalFormatting>
  <conditionalFormatting sqref="N14">
    <cfRule type="cellIs" priority="1027" operator="greaterThan" dxfId="13">
      <formula>0.9</formula>
    </cfRule>
    <cfRule type="cellIs" priority="1028" operator="greaterThan" dxfId="12">
      <formula>0.85</formula>
    </cfRule>
  </conditionalFormatting>
  <conditionalFormatting sqref="E14">
    <cfRule type="expression" priority="1023" dxfId="3">
      <formula>AND(IF(OR($Q14=1,$Q14=2),1,0),IF($X14&lt;=20,1,0))</formula>
    </cfRule>
    <cfRule type="expression" priority="1024" dxfId="2">
      <formula>AND(IF($Q14=2,1,0),IF($X14&lt;30,1,0))</formula>
    </cfRule>
    <cfRule type="expression" priority="1025" dxfId="1">
      <formula>AND(IF($Q14=3,1,0),IF($X14&lt;30,1,0))</formula>
    </cfRule>
    <cfRule type="expression" priority="1026" dxfId="0">
      <formula>AND(IF($Q14=3,1,IF($Q14=4,1,0)),IF($F14&lt;=85,1,0))</formula>
    </cfRule>
  </conditionalFormatting>
  <conditionalFormatting sqref="X14">
    <cfRule type="expression" priority="1019" dxfId="3">
      <formula>AND(IF(OR($Q14=1,$Q14=2),1,0),IF($X14&lt;=20,1,0))</formula>
    </cfRule>
    <cfRule type="expression" priority="1020" dxfId="2">
      <formula>AND(IF($Q14=2,1,0),IF($X14&lt;30,1,0))</formula>
    </cfRule>
    <cfRule type="expression" priority="1021" dxfId="1">
      <formula>AND(IF($Q14=3,1,0),IF($X14&lt;30,1,0))</formula>
    </cfRule>
    <cfRule type="expression" priority="1022" dxfId="0">
      <formula>AND(IF($Q14=3,1,IF($Q14=4,1,0)),IF($F14&lt;=85,1,0))</formula>
    </cfRule>
  </conditionalFormatting>
  <conditionalFormatting sqref="AI14">
    <cfRule type="expression" priority="1015" dxfId="3">
      <formula>AND(IF(OR($Q14=1,$Q14=2),1,0),IF($X14&lt;=20,1,0))</formula>
    </cfRule>
    <cfRule type="expression" priority="1016" dxfId="2">
      <formula>AND(IF($Q14=2,1,0),IF($X14&lt;30,1,0))</formula>
    </cfRule>
    <cfRule type="expression" priority="1017" dxfId="1">
      <formula>AND(IF($Q14=3,1,0),IF($X14&lt;30,1,0))</formula>
    </cfRule>
    <cfRule type="expression" priority="1018" dxfId="0">
      <formula>AND(IF($Q14=3,1,IF($Q14=4,1,0)),IF($F14&lt;=85,1,0))</formula>
    </cfRule>
  </conditionalFormatting>
  <conditionalFormatting sqref="AV15">
    <cfRule type="expression" priority="1013" dxfId="17">
      <formula>AV15="X"</formula>
    </cfRule>
    <cfRule type="expression" priority="1014" dxfId="16">
      <formula>AV15="후보"</formula>
    </cfRule>
  </conditionalFormatting>
  <conditionalFormatting sqref="AC15">
    <cfRule type="cellIs" priority="1010" operator="greaterThan" dxfId="13">
      <formula>0.9</formula>
    </cfRule>
    <cfRule type="cellIs" priority="1011" operator="greaterThan" dxfId="12">
      <formula>0.85</formula>
    </cfRule>
  </conditionalFormatting>
  <conditionalFormatting sqref="N15">
    <cfRule type="cellIs" priority="1008" operator="greaterThan" dxfId="13">
      <formula>0.9</formula>
    </cfRule>
    <cfRule type="cellIs" priority="1009" operator="greaterThan" dxfId="12">
      <formula>0.85</formula>
    </cfRule>
  </conditionalFormatting>
  <conditionalFormatting sqref="E15">
    <cfRule type="expression" priority="1004" dxfId="3">
      <formula>AND(IF(OR($Q15=1,$Q15=2),1,0),IF($X15&lt;=20,1,0))</formula>
    </cfRule>
    <cfRule type="expression" priority="1005" dxfId="2">
      <formula>AND(IF($Q15=2,1,0),IF($X15&lt;30,1,0))</formula>
    </cfRule>
    <cfRule type="expression" priority="1006" dxfId="1">
      <formula>AND(IF($Q15=3,1,0),IF($X15&lt;30,1,0))</formula>
    </cfRule>
    <cfRule type="expression" priority="1007" dxfId="0">
      <formula>AND(IF($Q15=3,1,IF($Q15=4,1,0)),IF($F15&lt;=85,1,0))</formula>
    </cfRule>
  </conditionalFormatting>
  <conditionalFormatting sqref="X15">
    <cfRule type="expression" priority="1000" dxfId="3">
      <formula>AND(IF(OR($Q15=1,$Q15=2),1,0),IF($X15&lt;=20,1,0))</formula>
    </cfRule>
    <cfRule type="expression" priority="1001" dxfId="2">
      <formula>AND(IF($Q15=2,1,0),IF($X15&lt;30,1,0))</formula>
    </cfRule>
    <cfRule type="expression" priority="1002" dxfId="1">
      <formula>AND(IF($Q15=3,1,0),IF($X15&lt;30,1,0))</formula>
    </cfRule>
    <cfRule type="expression" priority="1003" dxfId="0">
      <formula>AND(IF($Q15=3,1,IF($Q15=4,1,0)),IF($F15&lt;=85,1,0))</formula>
    </cfRule>
  </conditionalFormatting>
  <conditionalFormatting sqref="AI15">
    <cfRule type="expression" priority="996" dxfId="3">
      <formula>AND(IF(OR($Q15=1,$Q15=2),1,0),IF($X15&lt;=20,1,0))</formula>
    </cfRule>
    <cfRule type="expression" priority="997" dxfId="2">
      <formula>AND(IF($Q15=2,1,0),IF($X15&lt;30,1,0))</formula>
    </cfRule>
    <cfRule type="expression" priority="998" dxfId="1">
      <formula>AND(IF($Q15=3,1,0),IF($X15&lt;30,1,0))</formula>
    </cfRule>
    <cfRule type="expression" priority="999" dxfId="0">
      <formula>AND(IF($Q15=3,1,IF($Q15=4,1,0)),IF($F15&lt;=85,1,0))</formula>
    </cfRule>
  </conditionalFormatting>
  <conditionalFormatting sqref="AV16">
    <cfRule type="expression" priority="994" dxfId="17">
      <formula>AV16="X"</formula>
    </cfRule>
    <cfRule type="expression" priority="995" dxfId="16">
      <formula>AV16="후보"</formula>
    </cfRule>
  </conditionalFormatting>
  <conditionalFormatting sqref="AC16">
    <cfRule type="cellIs" priority="991" operator="greaterThan" dxfId="13">
      <formula>0.9</formula>
    </cfRule>
    <cfRule type="cellIs" priority="992" operator="greaterThan" dxfId="12">
      <formula>0.85</formula>
    </cfRule>
  </conditionalFormatting>
  <conditionalFormatting sqref="N16">
    <cfRule type="cellIs" priority="989" operator="greaterThan" dxfId="13">
      <formula>0.9</formula>
    </cfRule>
    <cfRule type="cellIs" priority="990" operator="greaterThan" dxfId="12">
      <formula>0.85</formula>
    </cfRule>
  </conditionalFormatting>
  <conditionalFormatting sqref="E16">
    <cfRule type="expression" priority="985" dxfId="3">
      <formula>AND(IF(OR($Q16=1,$Q16=2),1,0),IF($X16&lt;=20,1,0))</formula>
    </cfRule>
    <cfRule type="expression" priority="986" dxfId="2">
      <formula>AND(IF($Q16=2,1,0),IF($X16&lt;30,1,0))</formula>
    </cfRule>
    <cfRule type="expression" priority="987" dxfId="1">
      <formula>AND(IF($Q16=3,1,0),IF($X16&lt;30,1,0))</formula>
    </cfRule>
    <cfRule type="expression" priority="988" dxfId="0">
      <formula>AND(IF($Q16=3,1,IF($Q16=4,1,0)),IF($F16&lt;=85,1,0))</formula>
    </cfRule>
  </conditionalFormatting>
  <conditionalFormatting sqref="X16">
    <cfRule type="expression" priority="981" dxfId="3">
      <formula>AND(IF(OR($Q16=1,$Q16=2),1,0),IF($X16&lt;=20,1,0))</formula>
    </cfRule>
    <cfRule type="expression" priority="982" dxfId="2">
      <formula>AND(IF($Q16=2,1,0),IF($X16&lt;30,1,0))</formula>
    </cfRule>
    <cfRule type="expression" priority="983" dxfId="1">
      <formula>AND(IF($Q16=3,1,0),IF($X16&lt;30,1,0))</formula>
    </cfRule>
    <cfRule type="expression" priority="984" dxfId="0">
      <formula>AND(IF($Q16=3,1,IF($Q16=4,1,0)),IF($F16&lt;=85,1,0))</formula>
    </cfRule>
  </conditionalFormatting>
  <conditionalFormatting sqref="AI16">
    <cfRule type="expression" priority="977" dxfId="3">
      <formula>AND(IF(OR($Q16=1,$Q16=2),1,0),IF($X16&lt;=20,1,0))</formula>
    </cfRule>
    <cfRule type="expression" priority="978" dxfId="2">
      <formula>AND(IF($Q16=2,1,0),IF($X16&lt;30,1,0))</formula>
    </cfRule>
    <cfRule type="expression" priority="979" dxfId="1">
      <formula>AND(IF($Q16=3,1,0),IF($X16&lt;30,1,0))</formula>
    </cfRule>
    <cfRule type="expression" priority="980" dxfId="0">
      <formula>AND(IF($Q16=3,1,IF($Q16=4,1,0)),IF($F16&lt;=85,1,0))</formula>
    </cfRule>
  </conditionalFormatting>
  <conditionalFormatting sqref="AV17">
    <cfRule type="expression" priority="975" dxfId="17">
      <formula>AV17="X"</formula>
    </cfRule>
    <cfRule type="expression" priority="976" dxfId="16">
      <formula>AV17="후보"</formula>
    </cfRule>
  </conditionalFormatting>
  <conditionalFormatting sqref="AC17 N17">
    <cfRule type="cellIs" priority="972" operator="greaterThan" dxfId="13">
      <formula>0.9</formula>
    </cfRule>
    <cfRule type="cellIs" priority="973" operator="greaterThan" dxfId="12">
      <formula>0.85</formula>
    </cfRule>
  </conditionalFormatting>
  <conditionalFormatting sqref="AV18">
    <cfRule type="expression" priority="970" dxfId="17">
      <formula>AV18="X"</formula>
    </cfRule>
    <cfRule type="expression" priority="971" dxfId="16">
      <formula>AV18="후보"</formula>
    </cfRule>
  </conditionalFormatting>
  <conditionalFormatting sqref="AC18">
    <cfRule type="cellIs" priority="967" operator="greaterThan" dxfId="13">
      <formula>0.9</formula>
    </cfRule>
    <cfRule type="cellIs" priority="968" operator="greaterThan" dxfId="12">
      <formula>0.85</formula>
    </cfRule>
  </conditionalFormatting>
  <conditionalFormatting sqref="N18">
    <cfRule type="cellIs" priority="965" operator="greaterThan" dxfId="13">
      <formula>0.9</formula>
    </cfRule>
    <cfRule type="cellIs" priority="966" operator="greaterThan" dxfId="12">
      <formula>0.85</formula>
    </cfRule>
  </conditionalFormatting>
  <conditionalFormatting sqref="E18">
    <cfRule type="expression" priority="961" dxfId="3">
      <formula>AND(IF(OR($Q18=1,$Q18=2),1,0),IF($X18&lt;=20,1,0))</formula>
    </cfRule>
    <cfRule type="expression" priority="962" dxfId="2">
      <formula>AND(IF($Q18=2,1,0),IF($X18&lt;30,1,0))</formula>
    </cfRule>
    <cfRule type="expression" priority="963" dxfId="1">
      <formula>AND(IF($Q18=3,1,0),IF($X18&lt;30,1,0))</formula>
    </cfRule>
    <cfRule type="expression" priority="964" dxfId="0">
      <formula>AND(IF($Q18=3,1,IF($Q18=4,1,0)),IF($F18&lt;=85,1,0))</formula>
    </cfRule>
  </conditionalFormatting>
  <conditionalFormatting sqref="X18">
    <cfRule type="expression" priority="957" dxfId="3">
      <formula>AND(IF(OR($Q18=1,$Q18=2),1,0),IF($X18&lt;=20,1,0))</formula>
    </cfRule>
    <cfRule type="expression" priority="958" dxfId="2">
      <formula>AND(IF($Q18=2,1,0),IF($X18&lt;30,1,0))</formula>
    </cfRule>
    <cfRule type="expression" priority="959" dxfId="1">
      <formula>AND(IF($Q18=3,1,0),IF($X18&lt;30,1,0))</formula>
    </cfRule>
    <cfRule type="expression" priority="960" dxfId="0">
      <formula>AND(IF($Q18=3,1,IF($Q18=4,1,0)),IF($F18&lt;=85,1,0))</formula>
    </cfRule>
  </conditionalFormatting>
  <conditionalFormatting sqref="AI18">
    <cfRule type="expression" priority="953" dxfId="3">
      <formula>AND(IF(OR($Q18=1,$Q18=2),1,0),IF($X18&lt;=20,1,0))</formula>
    </cfRule>
    <cfRule type="expression" priority="954" dxfId="2">
      <formula>AND(IF($Q18=2,1,0),IF($X18&lt;30,1,0))</formula>
    </cfRule>
    <cfRule type="expression" priority="955" dxfId="1">
      <formula>AND(IF($Q18=3,1,0),IF($X18&lt;30,1,0))</formula>
    </cfRule>
    <cfRule type="expression" priority="956" dxfId="0">
      <formula>AND(IF($Q18=3,1,IF($Q18=4,1,0)),IF($F18&lt;=85,1,0))</formula>
    </cfRule>
  </conditionalFormatting>
  <conditionalFormatting sqref="AV19">
    <cfRule type="expression" priority="951" dxfId="17">
      <formula>AV19="X"</formula>
    </cfRule>
    <cfRule type="expression" priority="952" dxfId="16">
      <formula>AV19="후보"</formula>
    </cfRule>
  </conditionalFormatting>
  <conditionalFormatting sqref="AC19">
    <cfRule type="cellIs" priority="948" operator="greaterThan" dxfId="13">
      <formula>0.9</formula>
    </cfRule>
    <cfRule type="cellIs" priority="949" operator="greaterThan" dxfId="12">
      <formula>0.85</formula>
    </cfRule>
  </conditionalFormatting>
  <conditionalFormatting sqref="N19">
    <cfRule type="cellIs" priority="946" operator="greaterThan" dxfId="13">
      <formula>0.9</formula>
    </cfRule>
    <cfRule type="cellIs" priority="947" operator="greaterThan" dxfId="12">
      <formula>0.85</formula>
    </cfRule>
  </conditionalFormatting>
  <conditionalFormatting sqref="E19">
    <cfRule type="expression" priority="942" dxfId="3">
      <formula>AND(IF(OR($Q19=1,$Q19=2),1,0),IF($X19&lt;=20,1,0))</formula>
    </cfRule>
    <cfRule type="expression" priority="943" dxfId="2">
      <formula>AND(IF($Q19=2,1,0),IF($X19&lt;30,1,0))</formula>
    </cfRule>
    <cfRule type="expression" priority="944" dxfId="1">
      <formula>AND(IF($Q19=3,1,0),IF($X19&lt;30,1,0))</formula>
    </cfRule>
    <cfRule type="expression" priority="945" dxfId="0">
      <formula>AND(IF($Q19=3,1,IF($Q19=4,1,0)),IF($F19&lt;=85,1,0))</formula>
    </cfRule>
  </conditionalFormatting>
  <conditionalFormatting sqref="X19">
    <cfRule type="expression" priority="938" dxfId="3">
      <formula>AND(IF(OR($Q19=1,$Q19=2),1,0),IF($X19&lt;=20,1,0))</formula>
    </cfRule>
    <cfRule type="expression" priority="939" dxfId="2">
      <formula>AND(IF($Q19=2,1,0),IF($X19&lt;30,1,0))</formula>
    </cfRule>
    <cfRule type="expression" priority="940" dxfId="1">
      <formula>AND(IF($Q19=3,1,0),IF($X19&lt;30,1,0))</formula>
    </cfRule>
    <cfRule type="expression" priority="941" dxfId="0">
      <formula>AND(IF($Q19=3,1,IF($Q19=4,1,0)),IF($F19&lt;=85,1,0))</formula>
    </cfRule>
  </conditionalFormatting>
  <conditionalFormatting sqref="AI19">
    <cfRule type="expression" priority="934" dxfId="3">
      <formula>AND(IF(OR($Q19=1,$Q19=2),1,0),IF($X19&lt;=20,1,0))</formula>
    </cfRule>
    <cfRule type="expression" priority="935" dxfId="2">
      <formula>AND(IF($Q19=2,1,0),IF($X19&lt;30,1,0))</formula>
    </cfRule>
    <cfRule type="expression" priority="936" dxfId="1">
      <formula>AND(IF($Q19=3,1,0),IF($X19&lt;30,1,0))</formula>
    </cfRule>
    <cfRule type="expression" priority="937" dxfId="0">
      <formula>AND(IF($Q19=3,1,IF($Q19=4,1,0)),IF($F19&lt;=85,1,0))</formula>
    </cfRule>
  </conditionalFormatting>
  <conditionalFormatting sqref="AV20">
    <cfRule type="expression" priority="932" dxfId="17">
      <formula>AV20="X"</formula>
    </cfRule>
    <cfRule type="expression" priority="933" dxfId="16">
      <formula>AV20="후보"</formula>
    </cfRule>
  </conditionalFormatting>
  <conditionalFormatting sqref="AC20">
    <cfRule type="cellIs" priority="929" operator="greaterThan" dxfId="13">
      <formula>0.9</formula>
    </cfRule>
    <cfRule type="cellIs" priority="930" operator="greaterThan" dxfId="12">
      <formula>0.85</formula>
    </cfRule>
  </conditionalFormatting>
  <conditionalFormatting sqref="N20">
    <cfRule type="cellIs" priority="927" operator="greaterThan" dxfId="13">
      <formula>0.9</formula>
    </cfRule>
    <cfRule type="cellIs" priority="928" operator="greaterThan" dxfId="12">
      <formula>0.85</formula>
    </cfRule>
  </conditionalFormatting>
  <conditionalFormatting sqref="E20">
    <cfRule type="expression" priority="923" dxfId="3">
      <formula>AND(IF(OR($Q20=1,$Q20=2),1,0),IF($X20&lt;=20,1,0))</formula>
    </cfRule>
    <cfRule type="expression" priority="924" dxfId="2">
      <formula>AND(IF($Q20=2,1,0),IF($X20&lt;30,1,0))</formula>
    </cfRule>
    <cfRule type="expression" priority="925" dxfId="1">
      <formula>AND(IF($Q20=3,1,0),IF($X20&lt;30,1,0))</formula>
    </cfRule>
    <cfRule type="expression" priority="926" dxfId="0">
      <formula>AND(IF($Q20=3,1,IF($Q20=4,1,0)),IF($F20&lt;=85,1,0))</formula>
    </cfRule>
  </conditionalFormatting>
  <conditionalFormatting sqref="X20">
    <cfRule type="expression" priority="919" dxfId="3">
      <formula>AND(IF(OR($Q20=1,$Q20=2),1,0),IF($X20&lt;=20,1,0))</formula>
    </cfRule>
    <cfRule type="expression" priority="920" dxfId="2">
      <formula>AND(IF($Q20=2,1,0),IF($X20&lt;30,1,0))</formula>
    </cfRule>
    <cfRule type="expression" priority="921" dxfId="1">
      <formula>AND(IF($Q20=3,1,0),IF($X20&lt;30,1,0))</formula>
    </cfRule>
    <cfRule type="expression" priority="922" dxfId="0">
      <formula>AND(IF($Q20=3,1,IF($Q20=4,1,0)),IF($F20&lt;=85,1,0))</formula>
    </cfRule>
  </conditionalFormatting>
  <conditionalFormatting sqref="AI20">
    <cfRule type="expression" priority="915" dxfId="3">
      <formula>AND(IF(OR($Q20=1,$Q20=2),1,0),IF($X20&lt;=20,1,0))</formula>
    </cfRule>
    <cfRule type="expression" priority="916" dxfId="2">
      <formula>AND(IF($Q20=2,1,0),IF($X20&lt;30,1,0))</formula>
    </cfRule>
    <cfRule type="expression" priority="917" dxfId="1">
      <formula>AND(IF($Q20=3,1,0),IF($X20&lt;30,1,0))</formula>
    </cfRule>
    <cfRule type="expression" priority="918" dxfId="0">
      <formula>AND(IF($Q20=3,1,IF($Q20=4,1,0)),IF($F20&lt;=85,1,0))</formula>
    </cfRule>
  </conditionalFormatting>
  <conditionalFormatting sqref="AV21">
    <cfRule type="expression" priority="913" dxfId="17">
      <formula>AV21="X"</formula>
    </cfRule>
    <cfRule type="expression" priority="914" dxfId="16">
      <formula>AV21="후보"</formula>
    </cfRule>
  </conditionalFormatting>
  <conditionalFormatting sqref="AC21">
    <cfRule type="cellIs" priority="910" operator="greaterThan" dxfId="13">
      <formula>0.9</formula>
    </cfRule>
    <cfRule type="cellIs" priority="911" operator="greaterThan" dxfId="12">
      <formula>0.85</formula>
    </cfRule>
  </conditionalFormatting>
  <conditionalFormatting sqref="N21">
    <cfRule type="cellIs" priority="908" operator="greaterThan" dxfId="13">
      <formula>0.9</formula>
    </cfRule>
    <cfRule type="cellIs" priority="909" operator="greaterThan" dxfId="12">
      <formula>0.85</formula>
    </cfRule>
  </conditionalFormatting>
  <conditionalFormatting sqref="E21">
    <cfRule type="expression" priority="904" dxfId="3">
      <formula>AND(IF(OR($Q21=1,$Q21=2),1,0),IF($X21&lt;=20,1,0))</formula>
    </cfRule>
    <cfRule type="expression" priority="905" dxfId="2">
      <formula>AND(IF($Q21=2,1,0),IF($X21&lt;30,1,0))</formula>
    </cfRule>
    <cfRule type="expression" priority="906" dxfId="1">
      <formula>AND(IF($Q21=3,1,0),IF($X21&lt;30,1,0))</formula>
    </cfRule>
    <cfRule type="expression" priority="907" dxfId="0">
      <formula>AND(IF($Q21=3,1,IF($Q21=4,1,0)),IF($F21&lt;=85,1,0))</formula>
    </cfRule>
  </conditionalFormatting>
  <conditionalFormatting sqref="X21">
    <cfRule type="expression" priority="900" dxfId="3">
      <formula>AND(IF(OR($Q21=1,$Q21=2),1,0),IF($X21&lt;=20,1,0))</formula>
    </cfRule>
    <cfRule type="expression" priority="901" dxfId="2">
      <formula>AND(IF($Q21=2,1,0),IF($X21&lt;30,1,0))</formula>
    </cfRule>
    <cfRule type="expression" priority="902" dxfId="1">
      <formula>AND(IF($Q21=3,1,0),IF($X21&lt;30,1,0))</formula>
    </cfRule>
    <cfRule type="expression" priority="903" dxfId="0">
      <formula>AND(IF($Q21=3,1,IF($Q21=4,1,0)),IF($F21&lt;=85,1,0))</formula>
    </cfRule>
  </conditionalFormatting>
  <conditionalFormatting sqref="AI21">
    <cfRule type="expression" priority="896" dxfId="3">
      <formula>AND(IF(OR($Q21=1,$Q21=2),1,0),IF($X21&lt;=20,1,0))</formula>
    </cfRule>
    <cfRule type="expression" priority="897" dxfId="2">
      <formula>AND(IF($Q21=2,1,0),IF($X21&lt;30,1,0))</formula>
    </cfRule>
    <cfRule type="expression" priority="898" dxfId="1">
      <formula>AND(IF($Q21=3,1,0),IF($X21&lt;30,1,0))</formula>
    </cfRule>
    <cfRule type="expression" priority="899" dxfId="0">
      <formula>AND(IF($Q21=3,1,IF($Q21=4,1,0)),IF($F21&lt;=85,1,0))</formula>
    </cfRule>
  </conditionalFormatting>
  <conditionalFormatting sqref="AV22">
    <cfRule type="expression" priority="894" dxfId="17">
      <formula>AV22="X"</formula>
    </cfRule>
    <cfRule type="expression" priority="895" dxfId="16">
      <formula>AV22="후보"</formula>
    </cfRule>
  </conditionalFormatting>
  <conditionalFormatting sqref="AC22">
    <cfRule type="cellIs" priority="891" operator="greaterThan" dxfId="13">
      <formula>0.9</formula>
    </cfRule>
    <cfRule type="cellIs" priority="892" operator="greaterThan" dxfId="12">
      <formula>0.85</formula>
    </cfRule>
  </conditionalFormatting>
  <conditionalFormatting sqref="N22">
    <cfRule type="cellIs" priority="889" operator="greaterThan" dxfId="13">
      <formula>0.9</formula>
    </cfRule>
    <cfRule type="cellIs" priority="890" operator="greaterThan" dxfId="12">
      <formula>0.85</formula>
    </cfRule>
  </conditionalFormatting>
  <conditionalFormatting sqref="E22">
    <cfRule type="expression" priority="885" dxfId="3">
      <formula>AND(IF(OR($Q22=1,$Q22=2),1,0),IF($X22&lt;=20,1,0))</formula>
    </cfRule>
    <cfRule type="expression" priority="886" dxfId="2">
      <formula>AND(IF($Q22=2,1,0),IF($X22&lt;30,1,0))</formula>
    </cfRule>
    <cfRule type="expression" priority="887" dxfId="1">
      <formula>AND(IF($Q22=3,1,0),IF($X22&lt;30,1,0))</formula>
    </cfRule>
    <cfRule type="expression" priority="888" dxfId="0">
      <formula>AND(IF($Q22=3,1,IF($Q22=4,1,0)),IF($F22&lt;=85,1,0))</formula>
    </cfRule>
  </conditionalFormatting>
  <conditionalFormatting sqref="X22">
    <cfRule type="expression" priority="881" dxfId="3">
      <formula>AND(IF(OR($Q22=1,$Q22=2),1,0),IF($X22&lt;=20,1,0))</formula>
    </cfRule>
    <cfRule type="expression" priority="882" dxfId="2">
      <formula>AND(IF($Q22=2,1,0),IF($X22&lt;30,1,0))</formula>
    </cfRule>
    <cfRule type="expression" priority="883" dxfId="1">
      <formula>AND(IF($Q22=3,1,0),IF($X22&lt;30,1,0))</formula>
    </cfRule>
    <cfRule type="expression" priority="884" dxfId="0">
      <formula>AND(IF($Q22=3,1,IF($Q22=4,1,0)),IF($F22&lt;=85,1,0))</formula>
    </cfRule>
  </conditionalFormatting>
  <conditionalFormatting sqref="AI22">
    <cfRule type="expression" priority="877" dxfId="3">
      <formula>AND(IF(OR($Q22=1,$Q22=2),1,0),IF($X22&lt;=20,1,0))</formula>
    </cfRule>
    <cfRule type="expression" priority="878" dxfId="2">
      <formula>AND(IF($Q22=2,1,0),IF($X22&lt;30,1,0))</formula>
    </cfRule>
    <cfRule type="expression" priority="879" dxfId="1">
      <formula>AND(IF($Q22=3,1,0),IF($X22&lt;30,1,0))</formula>
    </cfRule>
    <cfRule type="expression" priority="880" dxfId="0">
      <formula>AND(IF($Q22=3,1,IF($Q22=4,1,0)),IF($F22&lt;=85,1,0))</formula>
    </cfRule>
  </conditionalFormatting>
  <conditionalFormatting sqref="AV23">
    <cfRule type="expression" priority="875" dxfId="17">
      <formula>AV23="X"</formula>
    </cfRule>
    <cfRule type="expression" priority="876" dxfId="16">
      <formula>AV23="후보"</formula>
    </cfRule>
  </conditionalFormatting>
  <conditionalFormatting sqref="AC23">
    <cfRule type="cellIs" priority="872" operator="greaterThan" dxfId="13">
      <formula>0.9</formula>
    </cfRule>
    <cfRule type="cellIs" priority="873" operator="greaterThan" dxfId="12">
      <formula>0.85</formula>
    </cfRule>
  </conditionalFormatting>
  <conditionalFormatting sqref="N23">
    <cfRule type="cellIs" priority="870" operator="greaterThan" dxfId="13">
      <formula>0.9</formula>
    </cfRule>
    <cfRule type="cellIs" priority="871" operator="greaterThan" dxfId="12">
      <formula>0.85</formula>
    </cfRule>
  </conditionalFormatting>
  <conditionalFormatting sqref="E23">
    <cfRule type="expression" priority="866" dxfId="3">
      <formula>AND(IF(OR($Q23=1,$Q23=2),1,0),IF($X23&lt;=20,1,0))</formula>
    </cfRule>
    <cfRule type="expression" priority="867" dxfId="2">
      <formula>AND(IF($Q23=2,1,0),IF($X23&lt;30,1,0))</formula>
    </cfRule>
    <cfRule type="expression" priority="868" dxfId="1">
      <formula>AND(IF($Q23=3,1,0),IF($X23&lt;30,1,0))</formula>
    </cfRule>
    <cfRule type="expression" priority="869" dxfId="0">
      <formula>AND(IF($Q23=3,1,IF($Q23=4,1,0)),IF($F23&lt;=85,1,0))</formula>
    </cfRule>
  </conditionalFormatting>
  <conditionalFormatting sqref="X23">
    <cfRule type="expression" priority="862" dxfId="3">
      <formula>AND(IF(OR($Q23=1,$Q23=2),1,0),IF($X23&lt;=20,1,0))</formula>
    </cfRule>
    <cfRule type="expression" priority="863" dxfId="2">
      <formula>AND(IF($Q23=2,1,0),IF($X23&lt;30,1,0))</formula>
    </cfRule>
    <cfRule type="expression" priority="864" dxfId="1">
      <formula>AND(IF($Q23=3,1,0),IF($X23&lt;30,1,0))</formula>
    </cfRule>
    <cfRule type="expression" priority="865" dxfId="0">
      <formula>AND(IF($Q23=3,1,IF($Q23=4,1,0)),IF($F23&lt;=85,1,0))</formula>
    </cfRule>
  </conditionalFormatting>
  <conditionalFormatting sqref="AI23">
    <cfRule type="expression" priority="858" dxfId="3">
      <formula>AND(IF(OR($Q23=1,$Q23=2),1,0),IF($X23&lt;=20,1,0))</formula>
    </cfRule>
    <cfRule type="expression" priority="859" dxfId="2">
      <formula>AND(IF($Q23=2,1,0),IF($X23&lt;30,1,0))</formula>
    </cfRule>
    <cfRule type="expression" priority="860" dxfId="1">
      <formula>AND(IF($Q23=3,1,0),IF($X23&lt;30,1,0))</formula>
    </cfRule>
    <cfRule type="expression" priority="861" dxfId="0">
      <formula>AND(IF($Q23=3,1,IF($Q23=4,1,0)),IF($F23&lt;=85,1,0))</formula>
    </cfRule>
  </conditionalFormatting>
  <conditionalFormatting sqref="AV24">
    <cfRule type="expression" priority="856" dxfId="17">
      <formula>AV24="X"</formula>
    </cfRule>
    <cfRule type="expression" priority="857" dxfId="16">
      <formula>AV24="후보"</formula>
    </cfRule>
  </conditionalFormatting>
  <conditionalFormatting sqref="AC24">
    <cfRule type="cellIs" priority="853" operator="greaterThan" dxfId="13">
      <formula>0.9</formula>
    </cfRule>
    <cfRule type="cellIs" priority="854" operator="greaterThan" dxfId="12">
      <formula>0.85</formula>
    </cfRule>
  </conditionalFormatting>
  <conditionalFormatting sqref="N24">
    <cfRule type="cellIs" priority="851" operator="greaterThan" dxfId="13">
      <formula>0.9</formula>
    </cfRule>
    <cfRule type="cellIs" priority="852" operator="greaterThan" dxfId="12">
      <formula>0.85</formula>
    </cfRule>
  </conditionalFormatting>
  <conditionalFormatting sqref="E24">
    <cfRule type="expression" priority="847" dxfId="3">
      <formula>AND(IF(OR($Q24=1,$Q24=2),1,0),IF($X24&lt;=20,1,0))</formula>
    </cfRule>
    <cfRule type="expression" priority="848" dxfId="2">
      <formula>AND(IF($Q24=2,1,0),IF($X24&lt;30,1,0))</formula>
    </cfRule>
    <cfRule type="expression" priority="849" dxfId="1">
      <formula>AND(IF($Q24=3,1,0),IF($X24&lt;30,1,0))</formula>
    </cfRule>
    <cfRule type="expression" priority="850" dxfId="0">
      <formula>AND(IF($Q24=3,1,IF($Q24=4,1,0)),IF($F24&lt;=85,1,0))</formula>
    </cfRule>
  </conditionalFormatting>
  <conditionalFormatting sqref="X24">
    <cfRule type="expression" priority="843" dxfId="3">
      <formula>AND(IF(OR($Q24=1,$Q24=2),1,0),IF($X24&lt;=20,1,0))</formula>
    </cfRule>
    <cfRule type="expression" priority="844" dxfId="2">
      <formula>AND(IF($Q24=2,1,0),IF($X24&lt;30,1,0))</formula>
    </cfRule>
    <cfRule type="expression" priority="845" dxfId="1">
      <formula>AND(IF($Q24=3,1,0),IF($X24&lt;30,1,0))</formula>
    </cfRule>
    <cfRule type="expression" priority="846" dxfId="0">
      <formula>AND(IF($Q24=3,1,IF($Q24=4,1,0)),IF($F24&lt;=85,1,0))</formula>
    </cfRule>
  </conditionalFormatting>
  <conditionalFormatting sqref="AI24">
    <cfRule type="expression" priority="839" dxfId="3">
      <formula>AND(IF(OR($Q24=1,$Q24=2),1,0),IF($X24&lt;=20,1,0))</formula>
    </cfRule>
    <cfRule type="expression" priority="840" dxfId="2">
      <formula>AND(IF($Q24=2,1,0),IF($X24&lt;30,1,0))</formula>
    </cfRule>
    <cfRule type="expression" priority="841" dxfId="1">
      <formula>AND(IF($Q24=3,1,0),IF($X24&lt;30,1,0))</formula>
    </cfRule>
    <cfRule type="expression" priority="842" dxfId="0">
      <formula>AND(IF($Q24=3,1,IF($Q24=4,1,0)),IF($F24&lt;=85,1,0))</formula>
    </cfRule>
  </conditionalFormatting>
  <conditionalFormatting sqref="AV25">
    <cfRule type="expression" priority="837" dxfId="17">
      <formula>AV25="X"</formula>
    </cfRule>
    <cfRule type="expression" priority="838" dxfId="16">
      <formula>AV25="후보"</formula>
    </cfRule>
  </conditionalFormatting>
  <conditionalFormatting sqref="AC25 N25">
    <cfRule type="cellIs" priority="834" operator="greaterThan" dxfId="13">
      <formula>0.9</formula>
    </cfRule>
    <cfRule type="cellIs" priority="835" operator="greaterThan" dxfId="12">
      <formula>0.85</formula>
    </cfRule>
  </conditionalFormatting>
  <conditionalFormatting sqref="AV26">
    <cfRule type="expression" priority="832" dxfId="17">
      <formula>AV26="X"</formula>
    </cfRule>
    <cfRule type="expression" priority="833" dxfId="16">
      <formula>AV26="후보"</formula>
    </cfRule>
  </conditionalFormatting>
  <conditionalFormatting sqref="AC26">
    <cfRule type="cellIs" priority="829" operator="greaterThan" dxfId="13">
      <formula>0.9</formula>
    </cfRule>
    <cfRule type="cellIs" priority="830" operator="greaterThan" dxfId="12">
      <formula>0.85</formula>
    </cfRule>
  </conditionalFormatting>
  <conditionalFormatting sqref="N26">
    <cfRule type="cellIs" priority="827" operator="greaterThan" dxfId="13">
      <formula>0.9</formula>
    </cfRule>
    <cfRule type="cellIs" priority="828" operator="greaterThan" dxfId="12">
      <formula>0.85</formula>
    </cfRule>
  </conditionalFormatting>
  <conditionalFormatting sqref="E26">
    <cfRule type="expression" priority="823" dxfId="3">
      <formula>AND(IF(OR($Q26=1,$Q26=2),1,0),IF($X26&lt;=20,1,0))</formula>
    </cfRule>
    <cfRule type="expression" priority="824" dxfId="2">
      <formula>AND(IF($Q26=2,1,0),IF($X26&lt;30,1,0))</formula>
    </cfRule>
    <cfRule type="expression" priority="825" dxfId="1">
      <formula>AND(IF($Q26=3,1,0),IF($X26&lt;30,1,0))</formula>
    </cfRule>
    <cfRule type="expression" priority="826" dxfId="0">
      <formula>AND(IF($Q26=3,1,IF($Q26=4,1,0)),IF($F26&lt;=85,1,0))</formula>
    </cfRule>
  </conditionalFormatting>
  <conditionalFormatting sqref="X26">
    <cfRule type="expression" priority="819" dxfId="3">
      <formula>AND(IF(OR($Q26=1,$Q26=2),1,0),IF($X26&lt;=20,1,0))</formula>
    </cfRule>
    <cfRule type="expression" priority="820" dxfId="2">
      <formula>AND(IF($Q26=2,1,0),IF($X26&lt;30,1,0))</formula>
    </cfRule>
    <cfRule type="expression" priority="821" dxfId="1">
      <formula>AND(IF($Q26=3,1,0),IF($X26&lt;30,1,0))</formula>
    </cfRule>
    <cfRule type="expression" priority="822" dxfId="0">
      <formula>AND(IF($Q26=3,1,IF($Q26=4,1,0)),IF($F26&lt;=85,1,0))</formula>
    </cfRule>
  </conditionalFormatting>
  <conditionalFormatting sqref="AI26">
    <cfRule type="expression" priority="815" dxfId="3">
      <formula>AND(IF(OR($Q26=1,$Q26=2),1,0),IF($X26&lt;=20,1,0))</formula>
    </cfRule>
    <cfRule type="expression" priority="816" dxfId="2">
      <formula>AND(IF($Q26=2,1,0),IF($X26&lt;30,1,0))</formula>
    </cfRule>
    <cfRule type="expression" priority="817" dxfId="1">
      <formula>AND(IF($Q26=3,1,0),IF($X26&lt;30,1,0))</formula>
    </cfRule>
    <cfRule type="expression" priority="818" dxfId="0">
      <formula>AND(IF($Q26=3,1,IF($Q26=4,1,0)),IF($F26&lt;=85,1,0))</formula>
    </cfRule>
  </conditionalFormatting>
  <conditionalFormatting sqref="AV27">
    <cfRule type="expression" priority="813" dxfId="17">
      <formula>AV27="X"</formula>
    </cfRule>
    <cfRule type="expression" priority="814" dxfId="16">
      <formula>AV27="후보"</formula>
    </cfRule>
  </conditionalFormatting>
  <conditionalFormatting sqref="AC27">
    <cfRule type="cellIs" priority="810" operator="greaterThan" dxfId="13">
      <formula>0.9</formula>
    </cfRule>
    <cfRule type="cellIs" priority="811" operator="greaterThan" dxfId="12">
      <formula>0.85</formula>
    </cfRule>
  </conditionalFormatting>
  <conditionalFormatting sqref="N27">
    <cfRule type="cellIs" priority="808" operator="greaterThan" dxfId="13">
      <formula>0.9</formula>
    </cfRule>
    <cfRule type="cellIs" priority="809" operator="greaterThan" dxfId="12">
      <formula>0.85</formula>
    </cfRule>
  </conditionalFormatting>
  <conditionalFormatting sqref="E27">
    <cfRule type="expression" priority="804" dxfId="3">
      <formula>AND(IF(OR($Q27=1,$Q27=2),1,0),IF($X27&lt;=20,1,0))</formula>
    </cfRule>
    <cfRule type="expression" priority="805" dxfId="2">
      <formula>AND(IF($Q27=2,1,0),IF($X27&lt;30,1,0))</formula>
    </cfRule>
    <cfRule type="expression" priority="806" dxfId="1">
      <formula>AND(IF($Q27=3,1,0),IF($X27&lt;30,1,0))</formula>
    </cfRule>
    <cfRule type="expression" priority="807" dxfId="0">
      <formula>AND(IF($Q27=3,1,IF($Q27=4,1,0)),IF($F27&lt;=85,1,0))</formula>
    </cfRule>
  </conditionalFormatting>
  <conditionalFormatting sqref="X27">
    <cfRule type="expression" priority="800" dxfId="3">
      <formula>AND(IF(OR($Q27=1,$Q27=2),1,0),IF($X27&lt;=20,1,0))</formula>
    </cfRule>
    <cfRule type="expression" priority="801" dxfId="2">
      <formula>AND(IF($Q27=2,1,0),IF($X27&lt;30,1,0))</formula>
    </cfRule>
    <cfRule type="expression" priority="802" dxfId="1">
      <formula>AND(IF($Q27=3,1,0),IF($X27&lt;30,1,0))</formula>
    </cfRule>
    <cfRule type="expression" priority="803" dxfId="0">
      <formula>AND(IF($Q27=3,1,IF($Q27=4,1,0)),IF($F27&lt;=85,1,0))</formula>
    </cfRule>
  </conditionalFormatting>
  <conditionalFormatting sqref="AI27">
    <cfRule type="expression" priority="796" dxfId="3">
      <formula>AND(IF(OR($Q27=1,$Q27=2),1,0),IF($X27&lt;=20,1,0))</formula>
    </cfRule>
    <cfRule type="expression" priority="797" dxfId="2">
      <formula>AND(IF($Q27=2,1,0),IF($X27&lt;30,1,0))</formula>
    </cfRule>
    <cfRule type="expression" priority="798" dxfId="1">
      <formula>AND(IF($Q27=3,1,0),IF($X27&lt;30,1,0))</formula>
    </cfRule>
    <cfRule type="expression" priority="799" dxfId="0">
      <formula>AND(IF($Q27=3,1,IF($Q27=4,1,0)),IF($F27&lt;=85,1,0))</formula>
    </cfRule>
  </conditionalFormatting>
  <conditionalFormatting sqref="AV28">
    <cfRule type="expression" priority="794" dxfId="17">
      <formula>AV28="X"</formula>
    </cfRule>
    <cfRule type="expression" priority="795" dxfId="16">
      <formula>AV28="후보"</formula>
    </cfRule>
  </conditionalFormatting>
  <conditionalFormatting sqref="AC28">
    <cfRule type="cellIs" priority="791" operator="greaterThan" dxfId="13">
      <formula>0.9</formula>
    </cfRule>
    <cfRule type="cellIs" priority="792" operator="greaterThan" dxfId="12">
      <formula>0.85</formula>
    </cfRule>
  </conditionalFormatting>
  <conditionalFormatting sqref="N28">
    <cfRule type="cellIs" priority="789" operator="greaterThan" dxfId="13">
      <formula>0.9</formula>
    </cfRule>
    <cfRule type="cellIs" priority="790" operator="greaterThan" dxfId="12">
      <formula>0.85</formula>
    </cfRule>
  </conditionalFormatting>
  <conditionalFormatting sqref="E28">
    <cfRule type="expression" priority="785" dxfId="3">
      <formula>AND(IF(OR($Q28=1,$Q28=2),1,0),IF($X28&lt;=20,1,0))</formula>
    </cfRule>
    <cfRule type="expression" priority="786" dxfId="2">
      <formula>AND(IF($Q28=2,1,0),IF($X28&lt;30,1,0))</formula>
    </cfRule>
    <cfRule type="expression" priority="787" dxfId="1">
      <formula>AND(IF($Q28=3,1,0),IF($X28&lt;30,1,0))</formula>
    </cfRule>
    <cfRule type="expression" priority="788" dxfId="0">
      <formula>AND(IF($Q28=3,1,IF($Q28=4,1,0)),IF($F28&lt;=85,1,0))</formula>
    </cfRule>
  </conditionalFormatting>
  <conditionalFormatting sqref="X28">
    <cfRule type="expression" priority="781" dxfId="3">
      <formula>AND(IF(OR($Q28=1,$Q28=2),1,0),IF($X28&lt;=20,1,0))</formula>
    </cfRule>
    <cfRule type="expression" priority="782" dxfId="2">
      <formula>AND(IF($Q28=2,1,0),IF($X28&lt;30,1,0))</formula>
    </cfRule>
    <cfRule type="expression" priority="783" dxfId="1">
      <formula>AND(IF($Q28=3,1,0),IF($X28&lt;30,1,0))</formula>
    </cfRule>
    <cfRule type="expression" priority="784" dxfId="0">
      <formula>AND(IF($Q28=3,1,IF($Q28=4,1,0)),IF($F28&lt;=85,1,0))</formula>
    </cfRule>
  </conditionalFormatting>
  <conditionalFormatting sqref="AI28">
    <cfRule type="expression" priority="777" dxfId="3">
      <formula>AND(IF(OR($Q28=1,$Q28=2),1,0),IF($X28&lt;=20,1,0))</formula>
    </cfRule>
    <cfRule type="expression" priority="778" dxfId="2">
      <formula>AND(IF($Q28=2,1,0),IF($X28&lt;30,1,0))</formula>
    </cfRule>
    <cfRule type="expression" priority="779" dxfId="1">
      <formula>AND(IF($Q28=3,1,0),IF($X28&lt;30,1,0))</formula>
    </cfRule>
    <cfRule type="expression" priority="780" dxfId="0">
      <formula>AND(IF($Q28=3,1,IF($Q28=4,1,0)),IF($F28&lt;=85,1,0))</formula>
    </cfRule>
  </conditionalFormatting>
  <conditionalFormatting sqref="AV29">
    <cfRule type="expression" priority="775" dxfId="17">
      <formula>AV29="X"</formula>
    </cfRule>
    <cfRule type="expression" priority="776" dxfId="16">
      <formula>AV29="후보"</formula>
    </cfRule>
  </conditionalFormatting>
  <conditionalFormatting sqref="AC29">
    <cfRule type="cellIs" priority="772" operator="greaterThan" dxfId="13">
      <formula>0.9</formula>
    </cfRule>
    <cfRule type="cellIs" priority="773" operator="greaterThan" dxfId="12">
      <formula>0.85</formula>
    </cfRule>
  </conditionalFormatting>
  <conditionalFormatting sqref="N29">
    <cfRule type="cellIs" priority="770" operator="greaterThan" dxfId="13">
      <formula>0.9</formula>
    </cfRule>
    <cfRule type="cellIs" priority="771" operator="greaterThan" dxfId="12">
      <formula>0.85</formula>
    </cfRule>
  </conditionalFormatting>
  <conditionalFormatting sqref="E29">
    <cfRule type="expression" priority="766" dxfId="3">
      <formula>AND(IF(OR($Q29=1,$Q29=2),1,0),IF($X29&lt;=20,1,0))</formula>
    </cfRule>
    <cfRule type="expression" priority="767" dxfId="2">
      <formula>AND(IF($Q29=2,1,0),IF($X29&lt;30,1,0))</formula>
    </cfRule>
    <cfRule type="expression" priority="768" dxfId="1">
      <formula>AND(IF($Q29=3,1,0),IF($X29&lt;30,1,0))</formula>
    </cfRule>
    <cfRule type="expression" priority="769" dxfId="0">
      <formula>AND(IF($Q29=3,1,IF($Q29=4,1,0)),IF($F29&lt;=85,1,0))</formula>
    </cfRule>
  </conditionalFormatting>
  <conditionalFormatting sqref="X29">
    <cfRule type="expression" priority="762" dxfId="3">
      <formula>AND(IF(OR($Q29=1,$Q29=2),1,0),IF($X29&lt;=20,1,0))</formula>
    </cfRule>
    <cfRule type="expression" priority="763" dxfId="2">
      <formula>AND(IF($Q29=2,1,0),IF($X29&lt;30,1,0))</formula>
    </cfRule>
    <cfRule type="expression" priority="764" dxfId="1">
      <formula>AND(IF($Q29=3,1,0),IF($X29&lt;30,1,0))</formula>
    </cfRule>
    <cfRule type="expression" priority="765" dxfId="0">
      <formula>AND(IF($Q29=3,1,IF($Q29=4,1,0)),IF($F29&lt;=85,1,0))</formula>
    </cfRule>
  </conditionalFormatting>
  <conditionalFormatting sqref="AI29">
    <cfRule type="expression" priority="758" dxfId="3">
      <formula>AND(IF(OR($Q29=1,$Q29=2),1,0),IF($X29&lt;=20,1,0))</formula>
    </cfRule>
    <cfRule type="expression" priority="759" dxfId="2">
      <formula>AND(IF($Q29=2,1,0),IF($X29&lt;30,1,0))</formula>
    </cfRule>
    <cfRule type="expression" priority="760" dxfId="1">
      <formula>AND(IF($Q29=3,1,0),IF($X29&lt;30,1,0))</formula>
    </cfRule>
    <cfRule type="expression" priority="761" dxfId="0">
      <formula>AND(IF($Q29=3,1,IF($Q29=4,1,0)),IF($F29&lt;=85,1,0))</formula>
    </cfRule>
  </conditionalFormatting>
  <conditionalFormatting sqref="AV30">
    <cfRule type="expression" priority="756" dxfId="17">
      <formula>AV30="X"</formula>
    </cfRule>
    <cfRule type="expression" priority="757" dxfId="16">
      <formula>AV30="후보"</formula>
    </cfRule>
  </conditionalFormatting>
  <conditionalFormatting sqref="AC30">
    <cfRule type="cellIs" priority="753" operator="greaterThan" dxfId="13">
      <formula>0.9</formula>
    </cfRule>
    <cfRule type="cellIs" priority="754" operator="greaterThan" dxfId="12">
      <formula>0.85</formula>
    </cfRule>
  </conditionalFormatting>
  <conditionalFormatting sqref="N30">
    <cfRule type="cellIs" priority="751" operator="greaterThan" dxfId="13">
      <formula>0.9</formula>
    </cfRule>
    <cfRule type="cellIs" priority="752" operator="greaterThan" dxfId="12">
      <formula>0.85</formula>
    </cfRule>
  </conditionalFormatting>
  <conditionalFormatting sqref="E30">
    <cfRule type="expression" priority="747" dxfId="3">
      <formula>AND(IF(OR($Q30=1,$Q30=2),1,0),IF($X30&lt;=20,1,0))</formula>
    </cfRule>
    <cfRule type="expression" priority="748" dxfId="2">
      <formula>AND(IF($Q30=2,1,0),IF($X30&lt;30,1,0))</formula>
    </cfRule>
    <cfRule type="expression" priority="749" dxfId="1">
      <formula>AND(IF($Q30=3,1,0),IF($X30&lt;30,1,0))</formula>
    </cfRule>
    <cfRule type="expression" priority="750" dxfId="0">
      <formula>AND(IF($Q30=3,1,IF($Q30=4,1,0)),IF($F30&lt;=85,1,0))</formula>
    </cfRule>
  </conditionalFormatting>
  <conditionalFormatting sqref="X30">
    <cfRule type="expression" priority="743" dxfId="3">
      <formula>AND(IF(OR($Q30=1,$Q30=2),1,0),IF($X30&lt;=20,1,0))</formula>
    </cfRule>
    <cfRule type="expression" priority="744" dxfId="2">
      <formula>AND(IF($Q30=2,1,0),IF($X30&lt;30,1,0))</formula>
    </cfRule>
    <cfRule type="expression" priority="745" dxfId="1">
      <formula>AND(IF($Q30=3,1,0),IF($X30&lt;30,1,0))</formula>
    </cfRule>
    <cfRule type="expression" priority="746" dxfId="0">
      <formula>AND(IF($Q30=3,1,IF($Q30=4,1,0)),IF($F30&lt;=85,1,0))</formula>
    </cfRule>
  </conditionalFormatting>
  <conditionalFormatting sqref="AI30">
    <cfRule type="expression" priority="739" dxfId="3">
      <formula>AND(IF(OR($Q30=1,$Q30=2),1,0),IF($X30&lt;=20,1,0))</formula>
    </cfRule>
    <cfRule type="expression" priority="740" dxfId="2">
      <formula>AND(IF($Q30=2,1,0),IF($X30&lt;30,1,0))</formula>
    </cfRule>
    <cfRule type="expression" priority="741" dxfId="1">
      <formula>AND(IF($Q30=3,1,0),IF($X30&lt;30,1,0))</formula>
    </cfRule>
    <cfRule type="expression" priority="742" dxfId="0">
      <formula>AND(IF($Q30=3,1,IF($Q30=4,1,0)),IF($F30&lt;=85,1,0))</formula>
    </cfRule>
  </conditionalFormatting>
  <conditionalFormatting sqref="AV31">
    <cfRule type="expression" priority="737" dxfId="17">
      <formula>AV31="X"</formula>
    </cfRule>
    <cfRule type="expression" priority="738" dxfId="16">
      <formula>AV31="후보"</formula>
    </cfRule>
  </conditionalFormatting>
  <conditionalFormatting sqref="AC31">
    <cfRule type="cellIs" priority="734" operator="greaterThan" dxfId="13">
      <formula>0.9</formula>
    </cfRule>
    <cfRule type="cellIs" priority="735" operator="greaterThan" dxfId="12">
      <formula>0.85</formula>
    </cfRule>
  </conditionalFormatting>
  <conditionalFormatting sqref="N31">
    <cfRule type="cellIs" priority="732" operator="greaterThan" dxfId="13">
      <formula>0.9</formula>
    </cfRule>
    <cfRule type="cellIs" priority="733" operator="greaterThan" dxfId="12">
      <formula>0.85</formula>
    </cfRule>
  </conditionalFormatting>
  <conditionalFormatting sqref="E31">
    <cfRule type="expression" priority="728" dxfId="3">
      <formula>AND(IF(OR($Q31=1,$Q31=2),1,0),IF($X31&lt;=20,1,0))</formula>
    </cfRule>
    <cfRule type="expression" priority="729" dxfId="2">
      <formula>AND(IF($Q31=2,1,0),IF($X31&lt;30,1,0))</formula>
    </cfRule>
    <cfRule type="expression" priority="730" dxfId="1">
      <formula>AND(IF($Q31=3,1,0),IF($X31&lt;30,1,0))</formula>
    </cfRule>
    <cfRule type="expression" priority="731" dxfId="0">
      <formula>AND(IF($Q31=3,1,IF($Q31=4,1,0)),IF($F31&lt;=85,1,0))</formula>
    </cfRule>
  </conditionalFormatting>
  <conditionalFormatting sqref="X31">
    <cfRule type="expression" priority="724" dxfId="3">
      <formula>AND(IF(OR($Q31=1,$Q31=2),1,0),IF($X31&lt;=20,1,0))</formula>
    </cfRule>
    <cfRule type="expression" priority="725" dxfId="2">
      <formula>AND(IF($Q31=2,1,0),IF($X31&lt;30,1,0))</formula>
    </cfRule>
    <cfRule type="expression" priority="726" dxfId="1">
      <formula>AND(IF($Q31=3,1,0),IF($X31&lt;30,1,0))</formula>
    </cfRule>
    <cfRule type="expression" priority="727" dxfId="0">
      <formula>AND(IF($Q31=3,1,IF($Q31=4,1,0)),IF($F31&lt;=85,1,0))</formula>
    </cfRule>
  </conditionalFormatting>
  <conditionalFormatting sqref="AI31">
    <cfRule type="expression" priority="720" dxfId="3">
      <formula>AND(IF(OR($Q31=1,$Q31=2),1,0),IF($X31&lt;=20,1,0))</formula>
    </cfRule>
    <cfRule type="expression" priority="721" dxfId="2">
      <formula>AND(IF($Q31=2,1,0),IF($X31&lt;30,1,0))</formula>
    </cfRule>
    <cfRule type="expression" priority="722" dxfId="1">
      <formula>AND(IF($Q31=3,1,0),IF($X31&lt;30,1,0))</formula>
    </cfRule>
    <cfRule type="expression" priority="723" dxfId="0">
      <formula>AND(IF($Q31=3,1,IF($Q31=4,1,0)),IF($F31&lt;=85,1,0))</formula>
    </cfRule>
  </conditionalFormatting>
  <conditionalFormatting sqref="AV32">
    <cfRule type="expression" priority="718" dxfId="17">
      <formula>AV32="X"</formula>
    </cfRule>
    <cfRule type="expression" priority="719" dxfId="16">
      <formula>AV32="후보"</formula>
    </cfRule>
  </conditionalFormatting>
  <conditionalFormatting sqref="AC32 N32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AV33">
    <cfRule type="expression" priority="713" dxfId="17">
      <formula>AV33="X"</formula>
    </cfRule>
    <cfRule type="expression" priority="714" dxfId="16">
      <formula>AV33="후보"</formula>
    </cfRule>
  </conditionalFormatting>
  <conditionalFormatting sqref="AC33">
    <cfRule type="cellIs" priority="710" operator="greaterThan" dxfId="13">
      <formula>0.9</formula>
    </cfRule>
    <cfRule type="cellIs" priority="711" operator="greaterThan" dxfId="12">
      <formula>0.85</formula>
    </cfRule>
  </conditionalFormatting>
  <conditionalFormatting sqref="N33">
    <cfRule type="cellIs" priority="708" operator="greaterThan" dxfId="13">
      <formula>0.9</formula>
    </cfRule>
    <cfRule type="cellIs" priority="709" operator="greaterThan" dxfId="12">
      <formula>0.85</formula>
    </cfRule>
  </conditionalFormatting>
  <conditionalFormatting sqref="E33">
    <cfRule type="expression" priority="704" dxfId="3">
      <formula>AND(IF(OR($Q33=1,$Q33=2),1,0),IF($X33&lt;=20,1,0))</formula>
    </cfRule>
    <cfRule type="expression" priority="705" dxfId="2">
      <formula>AND(IF($Q33=2,1,0),IF($X33&lt;30,1,0))</formula>
    </cfRule>
    <cfRule type="expression" priority="706" dxfId="1">
      <formula>AND(IF($Q33=3,1,0),IF($X33&lt;30,1,0))</formula>
    </cfRule>
    <cfRule type="expression" priority="707" dxfId="0">
      <formula>AND(IF($Q33=3,1,IF($Q33=4,1,0)),IF($F33&lt;=85,1,0))</formula>
    </cfRule>
  </conditionalFormatting>
  <conditionalFormatting sqref="X33">
    <cfRule type="expression" priority="700" dxfId="3">
      <formula>AND(IF(OR($Q33=1,$Q33=2),1,0),IF($X33&lt;=20,1,0))</formula>
    </cfRule>
    <cfRule type="expression" priority="701" dxfId="2">
      <formula>AND(IF($Q33=2,1,0),IF($X33&lt;30,1,0))</formula>
    </cfRule>
    <cfRule type="expression" priority="702" dxfId="1">
      <formula>AND(IF($Q33=3,1,0),IF($X33&lt;30,1,0))</formula>
    </cfRule>
    <cfRule type="expression" priority="703" dxfId="0">
      <formula>AND(IF($Q33=3,1,IF($Q33=4,1,0)),IF($F33&lt;=85,1,0))</formula>
    </cfRule>
  </conditionalFormatting>
  <conditionalFormatting sqref="AI33">
    <cfRule type="expression" priority="696" dxfId="3">
      <formula>AND(IF(OR($Q33=1,$Q33=2),1,0),IF($X33&lt;=20,1,0))</formula>
    </cfRule>
    <cfRule type="expression" priority="697" dxfId="2">
      <formula>AND(IF($Q33=2,1,0),IF($X33&lt;30,1,0))</formula>
    </cfRule>
    <cfRule type="expression" priority="698" dxfId="1">
      <formula>AND(IF($Q33=3,1,0),IF($X33&lt;30,1,0))</formula>
    </cfRule>
    <cfRule type="expression" priority="699" dxfId="0">
      <formula>AND(IF($Q33=3,1,IF($Q33=4,1,0)),IF($F33&lt;=85,1,0))</formula>
    </cfRule>
  </conditionalFormatting>
  <conditionalFormatting sqref="AV34">
    <cfRule type="expression" priority="694" dxfId="17">
      <formula>AV34="X"</formula>
    </cfRule>
    <cfRule type="expression" priority="695" dxfId="16">
      <formula>AV34="후보"</formula>
    </cfRule>
  </conditionalFormatting>
  <conditionalFormatting sqref="AC34">
    <cfRule type="cellIs" priority="691" operator="greaterThan" dxfId="13">
      <formula>0.9</formula>
    </cfRule>
    <cfRule type="cellIs" priority="692" operator="greaterThan" dxfId="12">
      <formula>0.85</formula>
    </cfRule>
  </conditionalFormatting>
  <conditionalFormatting sqref="N34">
    <cfRule type="cellIs" priority="689" operator="greaterThan" dxfId="13">
      <formula>0.9</formula>
    </cfRule>
    <cfRule type="cellIs" priority="690" operator="greaterThan" dxfId="12">
      <formula>0.85</formula>
    </cfRule>
  </conditionalFormatting>
  <conditionalFormatting sqref="E34">
    <cfRule type="expression" priority="685" dxfId="3">
      <formula>AND(IF(OR($Q34=1,$Q34=2),1,0),IF($X34&lt;=20,1,0))</formula>
    </cfRule>
    <cfRule type="expression" priority="686" dxfId="2">
      <formula>AND(IF($Q34=2,1,0),IF($X34&lt;30,1,0))</formula>
    </cfRule>
    <cfRule type="expression" priority="687" dxfId="1">
      <formula>AND(IF($Q34=3,1,0),IF($X34&lt;30,1,0))</formula>
    </cfRule>
    <cfRule type="expression" priority="688" dxfId="0">
      <formula>AND(IF($Q34=3,1,IF($Q34=4,1,0)),IF($F34&lt;=85,1,0))</formula>
    </cfRule>
  </conditionalFormatting>
  <conditionalFormatting sqref="X34">
    <cfRule type="expression" priority="681" dxfId="3">
      <formula>AND(IF(OR($Q34=1,$Q34=2),1,0),IF($X34&lt;=20,1,0))</formula>
    </cfRule>
    <cfRule type="expression" priority="682" dxfId="2">
      <formula>AND(IF($Q34=2,1,0),IF($X34&lt;30,1,0))</formula>
    </cfRule>
    <cfRule type="expression" priority="683" dxfId="1">
      <formula>AND(IF($Q34=3,1,0),IF($X34&lt;30,1,0))</formula>
    </cfRule>
    <cfRule type="expression" priority="684" dxfId="0">
      <formula>AND(IF($Q34=3,1,IF($Q34=4,1,0)),IF($F34&lt;=85,1,0))</formula>
    </cfRule>
  </conditionalFormatting>
  <conditionalFormatting sqref="AI34">
    <cfRule type="expression" priority="677" dxfId="3">
      <formula>AND(IF(OR($Q34=1,$Q34=2),1,0),IF($X34&lt;=20,1,0))</formula>
    </cfRule>
    <cfRule type="expression" priority="678" dxfId="2">
      <formula>AND(IF($Q34=2,1,0),IF($X34&lt;30,1,0))</formula>
    </cfRule>
    <cfRule type="expression" priority="679" dxfId="1">
      <formula>AND(IF($Q34=3,1,0),IF($X34&lt;30,1,0))</formula>
    </cfRule>
    <cfRule type="expression" priority="680" dxfId="0">
      <formula>AND(IF($Q34=3,1,IF($Q34=4,1,0)),IF($F34&lt;=85,1,0))</formula>
    </cfRule>
  </conditionalFormatting>
  <conditionalFormatting sqref="AV35">
    <cfRule type="expression" priority="675" dxfId="17">
      <formula>AV35="X"</formula>
    </cfRule>
    <cfRule type="expression" priority="676" dxfId="16">
      <formula>AV35="후보"</formula>
    </cfRule>
  </conditionalFormatting>
  <conditionalFormatting sqref="AC35">
    <cfRule type="cellIs" priority="672" operator="greaterThan" dxfId="13">
      <formula>0.9</formula>
    </cfRule>
    <cfRule type="cellIs" priority="673" operator="greaterThan" dxfId="12">
      <formula>0.85</formula>
    </cfRule>
  </conditionalFormatting>
  <conditionalFormatting sqref="N35">
    <cfRule type="cellIs" priority="670" operator="greaterThan" dxfId="13">
      <formula>0.9</formula>
    </cfRule>
    <cfRule type="cellIs" priority="671" operator="greaterThan" dxfId="12">
      <formula>0.85</formula>
    </cfRule>
  </conditionalFormatting>
  <conditionalFormatting sqref="E35">
    <cfRule type="expression" priority="666" dxfId="3">
      <formula>AND(IF(OR($Q35=1,$Q35=2),1,0),IF($X35&lt;=20,1,0))</formula>
    </cfRule>
    <cfRule type="expression" priority="667" dxfId="2">
      <formula>AND(IF($Q35=2,1,0),IF($X35&lt;30,1,0))</formula>
    </cfRule>
    <cfRule type="expression" priority="668" dxfId="1">
      <formula>AND(IF($Q35=3,1,0),IF($X35&lt;30,1,0))</formula>
    </cfRule>
    <cfRule type="expression" priority="669" dxfId="0">
      <formula>AND(IF($Q35=3,1,IF($Q35=4,1,0)),IF($F35&lt;=85,1,0))</formula>
    </cfRule>
  </conditionalFormatting>
  <conditionalFormatting sqref="X35">
    <cfRule type="expression" priority="662" dxfId="3">
      <formula>AND(IF(OR($Q35=1,$Q35=2),1,0),IF($X35&lt;=20,1,0))</formula>
    </cfRule>
    <cfRule type="expression" priority="663" dxfId="2">
      <formula>AND(IF($Q35=2,1,0),IF($X35&lt;30,1,0))</formula>
    </cfRule>
    <cfRule type="expression" priority="664" dxfId="1">
      <formula>AND(IF($Q35=3,1,0),IF($X35&lt;30,1,0))</formula>
    </cfRule>
    <cfRule type="expression" priority="665" dxfId="0">
      <formula>AND(IF($Q35=3,1,IF($Q35=4,1,0)),IF($F35&lt;=85,1,0))</formula>
    </cfRule>
  </conditionalFormatting>
  <conditionalFormatting sqref="AI35">
    <cfRule type="expression" priority="658" dxfId="3">
      <formula>AND(IF(OR($Q35=1,$Q35=2),1,0),IF($X35&lt;=20,1,0))</formula>
    </cfRule>
    <cfRule type="expression" priority="659" dxfId="2">
      <formula>AND(IF($Q35=2,1,0),IF($X35&lt;30,1,0))</formula>
    </cfRule>
    <cfRule type="expression" priority="660" dxfId="1">
      <formula>AND(IF($Q35=3,1,0),IF($X35&lt;30,1,0))</formula>
    </cfRule>
    <cfRule type="expression" priority="661" dxfId="0">
      <formula>AND(IF($Q35=3,1,IF($Q35=4,1,0)),IF($F35&lt;=85,1,0))</formula>
    </cfRule>
  </conditionalFormatting>
  <conditionalFormatting sqref="AV36">
    <cfRule type="expression" priority="656" dxfId="17">
      <formula>AV36="X"</formula>
    </cfRule>
    <cfRule type="expression" priority="657" dxfId="16">
      <formula>AV36="후보"</formula>
    </cfRule>
  </conditionalFormatting>
  <conditionalFormatting sqref="AC36">
    <cfRule type="cellIs" priority="653" operator="greaterThan" dxfId="13">
      <formula>0.9</formula>
    </cfRule>
    <cfRule type="cellIs" priority="654" operator="greaterThan" dxfId="12">
      <formula>0.85</formula>
    </cfRule>
  </conditionalFormatting>
  <conditionalFormatting sqref="N36">
    <cfRule type="cellIs" priority="651" operator="greaterThan" dxfId="13">
      <formula>0.9</formula>
    </cfRule>
    <cfRule type="cellIs" priority="652" operator="greaterThan" dxfId="12">
      <formula>0.85</formula>
    </cfRule>
  </conditionalFormatting>
  <conditionalFormatting sqref="E36">
    <cfRule type="expression" priority="647" dxfId="3">
      <formula>AND(IF(OR($Q36=1,$Q36=2),1,0),IF($X36&lt;=20,1,0))</formula>
    </cfRule>
    <cfRule type="expression" priority="648" dxfId="2">
      <formula>AND(IF($Q36=2,1,0),IF($X36&lt;30,1,0))</formula>
    </cfRule>
    <cfRule type="expression" priority="649" dxfId="1">
      <formula>AND(IF($Q36=3,1,0),IF($X36&lt;30,1,0))</formula>
    </cfRule>
    <cfRule type="expression" priority="650" dxfId="0">
      <formula>AND(IF($Q36=3,1,IF($Q36=4,1,0)),IF($F36&lt;=85,1,0))</formula>
    </cfRule>
  </conditionalFormatting>
  <conditionalFormatting sqref="X36">
    <cfRule type="expression" priority="643" dxfId="3">
      <formula>AND(IF(OR($Q36=1,$Q36=2),1,0),IF($X36&lt;=20,1,0))</formula>
    </cfRule>
    <cfRule type="expression" priority="644" dxfId="2">
      <formula>AND(IF($Q36=2,1,0),IF($X36&lt;30,1,0))</formula>
    </cfRule>
    <cfRule type="expression" priority="645" dxfId="1">
      <formula>AND(IF($Q36=3,1,0),IF($X36&lt;30,1,0))</formula>
    </cfRule>
    <cfRule type="expression" priority="646" dxfId="0">
      <formula>AND(IF($Q36=3,1,IF($Q36=4,1,0)),IF($F36&lt;=85,1,0))</formula>
    </cfRule>
  </conditionalFormatting>
  <conditionalFormatting sqref="AI36">
    <cfRule type="expression" priority="639" dxfId="3">
      <formula>AND(IF(OR($Q36=1,$Q36=2),1,0),IF($X36&lt;=20,1,0))</formula>
    </cfRule>
    <cfRule type="expression" priority="640" dxfId="2">
      <formula>AND(IF($Q36=2,1,0),IF($X36&lt;30,1,0))</formula>
    </cfRule>
    <cfRule type="expression" priority="641" dxfId="1">
      <formula>AND(IF($Q36=3,1,0),IF($X36&lt;30,1,0))</formula>
    </cfRule>
    <cfRule type="expression" priority="642" dxfId="0">
      <formula>AND(IF($Q36=3,1,IF($Q36=4,1,0)),IF($F36&lt;=85,1,0))</formula>
    </cfRule>
  </conditionalFormatting>
  <conditionalFormatting sqref="AV37">
    <cfRule type="expression" priority="637" dxfId="17">
      <formula>AV37="X"</formula>
    </cfRule>
    <cfRule type="expression" priority="638" dxfId="16">
      <formula>AV37="후보"</formula>
    </cfRule>
  </conditionalFormatting>
  <conditionalFormatting sqref="AC37">
    <cfRule type="cellIs" priority="634" operator="greaterThan" dxfId="13">
      <formula>0.9</formula>
    </cfRule>
    <cfRule type="cellIs" priority="635" operator="greaterThan" dxfId="12">
      <formula>0.85</formula>
    </cfRule>
  </conditionalFormatting>
  <conditionalFormatting sqref="N37">
    <cfRule type="cellIs" priority="632" operator="greaterThan" dxfId="13">
      <formula>0.9</formula>
    </cfRule>
    <cfRule type="cellIs" priority="633" operator="greaterThan" dxfId="12">
      <formula>0.85</formula>
    </cfRule>
  </conditionalFormatting>
  <conditionalFormatting sqref="E37">
    <cfRule type="expression" priority="628" dxfId="3">
      <formula>AND(IF(OR($Q37=1,$Q37=2),1,0),IF($X37&lt;=20,1,0))</formula>
    </cfRule>
    <cfRule type="expression" priority="629" dxfId="2">
      <formula>AND(IF($Q37=2,1,0),IF($X37&lt;30,1,0))</formula>
    </cfRule>
    <cfRule type="expression" priority="630" dxfId="1">
      <formula>AND(IF($Q37=3,1,0),IF($X37&lt;30,1,0))</formula>
    </cfRule>
    <cfRule type="expression" priority="631" dxfId="0">
      <formula>AND(IF($Q37=3,1,IF($Q37=4,1,0)),IF($F37&lt;=85,1,0))</formula>
    </cfRule>
  </conditionalFormatting>
  <conditionalFormatting sqref="X37">
    <cfRule type="expression" priority="624" dxfId="3">
      <formula>AND(IF(OR($Q37=1,$Q37=2),1,0),IF($X37&lt;=20,1,0))</formula>
    </cfRule>
    <cfRule type="expression" priority="625" dxfId="2">
      <formula>AND(IF($Q37=2,1,0),IF($X37&lt;30,1,0))</formula>
    </cfRule>
    <cfRule type="expression" priority="626" dxfId="1">
      <formula>AND(IF($Q37=3,1,0),IF($X37&lt;30,1,0))</formula>
    </cfRule>
    <cfRule type="expression" priority="627" dxfId="0">
      <formula>AND(IF($Q37=3,1,IF($Q37=4,1,0)),IF($F37&lt;=85,1,0))</formula>
    </cfRule>
  </conditionalFormatting>
  <conditionalFormatting sqref="AI37">
    <cfRule type="expression" priority="620" dxfId="3">
      <formula>AND(IF(OR($Q37=1,$Q37=2),1,0),IF($X37&lt;=20,1,0))</formula>
    </cfRule>
    <cfRule type="expression" priority="621" dxfId="2">
      <formula>AND(IF($Q37=2,1,0),IF($X37&lt;30,1,0))</formula>
    </cfRule>
    <cfRule type="expression" priority="622" dxfId="1">
      <formula>AND(IF($Q37=3,1,0),IF($X37&lt;30,1,0))</formula>
    </cfRule>
    <cfRule type="expression" priority="623" dxfId="0">
      <formula>AND(IF($Q37=3,1,IF($Q37=4,1,0)),IF($F37&lt;=85,1,0))</formula>
    </cfRule>
  </conditionalFormatting>
  <conditionalFormatting sqref="AV38">
    <cfRule type="expression" priority="618" dxfId="17">
      <formula>AV38="X"</formula>
    </cfRule>
    <cfRule type="expression" priority="619" dxfId="16">
      <formula>AV38="후보"</formula>
    </cfRule>
  </conditionalFormatting>
  <conditionalFormatting sqref="AC38 N38">
    <cfRule type="cellIs" priority="615" operator="greaterThan" dxfId="13">
      <formula>0.9</formula>
    </cfRule>
    <cfRule type="cellIs" priority="616" operator="greaterThan" dxfId="12">
      <formula>0.85</formula>
    </cfRule>
  </conditionalFormatting>
  <conditionalFormatting sqref="AV39">
    <cfRule type="expression" priority="613" dxfId="17">
      <formula>AV39="X"</formula>
    </cfRule>
    <cfRule type="expression" priority="614" dxfId="16">
      <formula>AV39="후보"</formula>
    </cfRule>
  </conditionalFormatting>
  <conditionalFormatting sqref="AC39">
    <cfRule type="cellIs" priority="610" operator="greaterThan" dxfId="13">
      <formula>0.9</formula>
    </cfRule>
    <cfRule type="cellIs" priority="611" operator="greaterThan" dxfId="12">
      <formula>0.85</formula>
    </cfRule>
  </conditionalFormatting>
  <conditionalFormatting sqref="N39">
    <cfRule type="cellIs" priority="608" operator="greaterThan" dxfId="13">
      <formula>0.9</formula>
    </cfRule>
    <cfRule type="cellIs" priority="609" operator="greaterThan" dxfId="12">
      <formula>0.85</formula>
    </cfRule>
  </conditionalFormatting>
  <conditionalFormatting sqref="E39">
    <cfRule type="expression" priority="604" dxfId="3">
      <formula>AND(IF(OR($Q39=1,$Q39=2),1,0),IF($X39&lt;=20,1,0))</formula>
    </cfRule>
    <cfRule type="expression" priority="605" dxfId="2">
      <formula>AND(IF($Q39=2,1,0),IF($X39&lt;30,1,0))</formula>
    </cfRule>
    <cfRule type="expression" priority="606" dxfId="1">
      <formula>AND(IF($Q39=3,1,0),IF($X39&lt;30,1,0))</formula>
    </cfRule>
    <cfRule type="expression" priority="607" dxfId="0">
      <formula>AND(IF($Q39=3,1,IF($Q39=4,1,0)),IF($F39&lt;=85,1,0))</formula>
    </cfRule>
  </conditionalFormatting>
  <conditionalFormatting sqref="X39">
    <cfRule type="expression" priority="600" dxfId="3">
      <formula>AND(IF(OR($Q39=1,$Q39=2),1,0),IF($X39&lt;=20,1,0))</formula>
    </cfRule>
    <cfRule type="expression" priority="601" dxfId="2">
      <formula>AND(IF($Q39=2,1,0),IF($X39&lt;30,1,0))</formula>
    </cfRule>
    <cfRule type="expression" priority="602" dxfId="1">
      <formula>AND(IF($Q39=3,1,0),IF($X39&lt;30,1,0))</formula>
    </cfRule>
    <cfRule type="expression" priority="603" dxfId="0">
      <formula>AND(IF($Q39=3,1,IF($Q39=4,1,0)),IF($F39&lt;=85,1,0))</formula>
    </cfRule>
  </conditionalFormatting>
  <conditionalFormatting sqref="AI39">
    <cfRule type="expression" priority="596" dxfId="3">
      <formula>AND(IF(OR($Q39=1,$Q39=2),1,0),IF($X39&lt;=20,1,0))</formula>
    </cfRule>
    <cfRule type="expression" priority="597" dxfId="2">
      <formula>AND(IF($Q39=2,1,0),IF($X39&lt;30,1,0))</formula>
    </cfRule>
    <cfRule type="expression" priority="598" dxfId="1">
      <formula>AND(IF($Q39=3,1,0),IF($X39&lt;30,1,0))</formula>
    </cfRule>
    <cfRule type="expression" priority="599" dxfId="0">
      <formula>AND(IF($Q39=3,1,IF($Q39=4,1,0)),IF($F39&lt;=85,1,0))</formula>
    </cfRule>
  </conditionalFormatting>
  <conditionalFormatting sqref="AV40">
    <cfRule type="expression" priority="594" dxfId="17">
      <formula>AV40="X"</formula>
    </cfRule>
    <cfRule type="expression" priority="595" dxfId="16">
      <formula>AV40="후보"</formula>
    </cfRule>
  </conditionalFormatting>
  <conditionalFormatting sqref="AC40">
    <cfRule type="cellIs" priority="591" operator="greaterThan" dxfId="13">
      <formula>0.9</formula>
    </cfRule>
    <cfRule type="cellIs" priority="592" operator="greaterThan" dxfId="12">
      <formula>0.85</formula>
    </cfRule>
  </conditionalFormatting>
  <conditionalFormatting sqref="N40">
    <cfRule type="cellIs" priority="589" operator="greaterThan" dxfId="13">
      <formula>0.9</formula>
    </cfRule>
    <cfRule type="cellIs" priority="590" operator="greaterThan" dxfId="12">
      <formula>0.85</formula>
    </cfRule>
  </conditionalFormatting>
  <conditionalFormatting sqref="E40">
    <cfRule type="expression" priority="585" dxfId="3">
      <formula>AND(IF(OR($Q40=1,$Q40=2),1,0),IF($X40&lt;=20,1,0))</formula>
    </cfRule>
    <cfRule type="expression" priority="586" dxfId="2">
      <formula>AND(IF($Q40=2,1,0),IF($X40&lt;30,1,0))</formula>
    </cfRule>
    <cfRule type="expression" priority="587" dxfId="1">
      <formula>AND(IF($Q40=3,1,0),IF($X40&lt;30,1,0))</formula>
    </cfRule>
    <cfRule type="expression" priority="588" dxfId="0">
      <formula>AND(IF($Q40=3,1,IF($Q40=4,1,0)),IF($F40&lt;=85,1,0))</formula>
    </cfRule>
  </conditionalFormatting>
  <conditionalFormatting sqref="X40">
    <cfRule type="expression" priority="581" dxfId="3">
      <formula>AND(IF(OR($Q40=1,$Q40=2),1,0),IF($X40&lt;=20,1,0))</formula>
    </cfRule>
    <cfRule type="expression" priority="582" dxfId="2">
      <formula>AND(IF($Q40=2,1,0),IF($X40&lt;30,1,0))</formula>
    </cfRule>
    <cfRule type="expression" priority="583" dxfId="1">
      <formula>AND(IF($Q40=3,1,0),IF($X40&lt;30,1,0))</formula>
    </cfRule>
    <cfRule type="expression" priority="584" dxfId="0">
      <formula>AND(IF($Q40=3,1,IF($Q40=4,1,0)),IF($F40&lt;=85,1,0))</formula>
    </cfRule>
  </conditionalFormatting>
  <conditionalFormatting sqref="AI40">
    <cfRule type="expression" priority="577" dxfId="3">
      <formula>AND(IF(OR($Q40=1,$Q40=2),1,0),IF($X40&lt;=20,1,0))</formula>
    </cfRule>
    <cfRule type="expression" priority="578" dxfId="2">
      <formula>AND(IF($Q40=2,1,0),IF($X40&lt;30,1,0))</formula>
    </cfRule>
    <cfRule type="expression" priority="579" dxfId="1">
      <formula>AND(IF($Q40=3,1,0),IF($X40&lt;30,1,0))</formula>
    </cfRule>
    <cfRule type="expression" priority="580" dxfId="0">
      <formula>AND(IF($Q40=3,1,IF($Q40=4,1,0)),IF($F40&lt;=85,1,0))</formula>
    </cfRule>
  </conditionalFormatting>
  <conditionalFormatting sqref="AV41">
    <cfRule type="expression" priority="575" dxfId="17">
      <formula>AV41="X"</formula>
    </cfRule>
    <cfRule type="expression" priority="576" dxfId="16">
      <formula>AV41="후보"</formula>
    </cfRule>
  </conditionalFormatting>
  <conditionalFormatting sqref="AC41">
    <cfRule type="cellIs" priority="572" operator="greaterThan" dxfId="13">
      <formula>0.9</formula>
    </cfRule>
    <cfRule type="cellIs" priority="573" operator="greaterThan" dxfId="12">
      <formula>0.85</formula>
    </cfRule>
  </conditionalFormatting>
  <conditionalFormatting sqref="N41">
    <cfRule type="cellIs" priority="570" operator="greaterThan" dxfId="13">
      <formula>0.9</formula>
    </cfRule>
    <cfRule type="cellIs" priority="571" operator="greaterThan" dxfId="12">
      <formula>0.85</formula>
    </cfRule>
  </conditionalFormatting>
  <conditionalFormatting sqref="E41">
    <cfRule type="expression" priority="566" dxfId="3">
      <formula>AND(IF(OR($Q41=1,$Q41=2),1,0),IF($X41&lt;=20,1,0))</formula>
    </cfRule>
    <cfRule type="expression" priority="567" dxfId="2">
      <formula>AND(IF($Q41=2,1,0),IF($X41&lt;30,1,0))</formula>
    </cfRule>
    <cfRule type="expression" priority="568" dxfId="1">
      <formula>AND(IF($Q41=3,1,0),IF($X41&lt;30,1,0))</formula>
    </cfRule>
    <cfRule type="expression" priority="569" dxfId="0">
      <formula>AND(IF($Q41=3,1,IF($Q41=4,1,0)),IF($F41&lt;=85,1,0))</formula>
    </cfRule>
  </conditionalFormatting>
  <conditionalFormatting sqref="X41">
    <cfRule type="expression" priority="562" dxfId="3">
      <formula>AND(IF(OR($Q41=1,$Q41=2),1,0),IF($X41&lt;=20,1,0))</formula>
    </cfRule>
    <cfRule type="expression" priority="563" dxfId="2">
      <formula>AND(IF($Q41=2,1,0),IF($X41&lt;30,1,0))</formula>
    </cfRule>
    <cfRule type="expression" priority="564" dxfId="1">
      <formula>AND(IF($Q41=3,1,0),IF($X41&lt;30,1,0))</formula>
    </cfRule>
    <cfRule type="expression" priority="565" dxfId="0">
      <formula>AND(IF($Q41=3,1,IF($Q41=4,1,0)),IF($F41&lt;=85,1,0))</formula>
    </cfRule>
  </conditionalFormatting>
  <conditionalFormatting sqref="AI41">
    <cfRule type="expression" priority="558" dxfId="3">
      <formula>AND(IF(OR($Q41=1,$Q41=2),1,0),IF($X41&lt;=20,1,0))</formula>
    </cfRule>
    <cfRule type="expression" priority="559" dxfId="2">
      <formula>AND(IF($Q41=2,1,0),IF($X41&lt;30,1,0))</formula>
    </cfRule>
    <cfRule type="expression" priority="560" dxfId="1">
      <formula>AND(IF($Q41=3,1,0),IF($X41&lt;30,1,0))</formula>
    </cfRule>
    <cfRule type="expression" priority="561" dxfId="0">
      <formula>AND(IF($Q41=3,1,IF($Q41=4,1,0)),IF($F41&lt;=85,1,0))</formula>
    </cfRule>
  </conditionalFormatting>
  <conditionalFormatting sqref="AV42">
    <cfRule type="expression" priority="556" dxfId="17">
      <formula>AV42="X"</formula>
    </cfRule>
    <cfRule type="expression" priority="557" dxfId="16">
      <formula>AV42="후보"</formula>
    </cfRule>
  </conditionalFormatting>
  <conditionalFormatting sqref="AC42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N42">
    <cfRule type="cellIs" priority="551" operator="greaterThan" dxfId="13">
      <formula>0.9</formula>
    </cfRule>
    <cfRule type="cellIs" priority="552" operator="greaterThan" dxfId="12">
      <formula>0.85</formula>
    </cfRule>
  </conditionalFormatting>
  <conditionalFormatting sqref="E42">
    <cfRule type="expression" priority="547" dxfId="3">
      <formula>AND(IF(OR($Q42=1,$Q42=2),1,0),IF($X42&lt;=20,1,0))</formula>
    </cfRule>
    <cfRule type="expression" priority="548" dxfId="2">
      <formula>AND(IF($Q42=2,1,0),IF($X42&lt;30,1,0))</formula>
    </cfRule>
    <cfRule type="expression" priority="549" dxfId="1">
      <formula>AND(IF($Q42=3,1,0),IF($X42&lt;30,1,0))</formula>
    </cfRule>
    <cfRule type="expression" priority="550" dxfId="0">
      <formula>AND(IF($Q42=3,1,IF($Q42=4,1,0)),IF($F42&lt;=85,1,0))</formula>
    </cfRule>
  </conditionalFormatting>
  <conditionalFormatting sqref="X42">
    <cfRule type="expression" priority="543" dxfId="3">
      <formula>AND(IF(OR($Q42=1,$Q42=2),1,0),IF($X42&lt;=20,1,0))</formula>
    </cfRule>
    <cfRule type="expression" priority="544" dxfId="2">
      <formula>AND(IF($Q42=2,1,0),IF($X42&lt;30,1,0))</formula>
    </cfRule>
    <cfRule type="expression" priority="545" dxfId="1">
      <formula>AND(IF($Q42=3,1,0),IF($X42&lt;30,1,0))</formula>
    </cfRule>
    <cfRule type="expression" priority="546" dxfId="0">
      <formula>AND(IF($Q42=3,1,IF($Q42=4,1,0)),IF($F42&lt;=85,1,0))</formula>
    </cfRule>
  </conditionalFormatting>
  <conditionalFormatting sqref="AI42">
    <cfRule type="expression" priority="539" dxfId="3">
      <formula>AND(IF(OR($Q42=1,$Q42=2),1,0),IF($X42&lt;=20,1,0))</formula>
    </cfRule>
    <cfRule type="expression" priority="540" dxfId="2">
      <formula>AND(IF($Q42=2,1,0),IF($X42&lt;30,1,0))</formula>
    </cfRule>
    <cfRule type="expression" priority="541" dxfId="1">
      <formula>AND(IF($Q42=3,1,0),IF($X42&lt;30,1,0))</formula>
    </cfRule>
    <cfRule type="expression" priority="542" dxfId="0">
      <formula>AND(IF($Q42=3,1,IF($Q42=4,1,0)),IF($F42&lt;=85,1,0))</formula>
    </cfRule>
  </conditionalFormatting>
  <conditionalFormatting sqref="AV43">
    <cfRule type="expression" priority="537" dxfId="17">
      <formula>AV43="X"</formula>
    </cfRule>
    <cfRule type="expression" priority="538" dxfId="16">
      <formula>AV43="후보"</formula>
    </cfRule>
  </conditionalFormatting>
  <conditionalFormatting sqref="AC43">
    <cfRule type="cellIs" priority="534" operator="greaterThan" dxfId="13">
      <formula>0.9</formula>
    </cfRule>
    <cfRule type="cellIs" priority="535" operator="greaterThan" dxfId="12">
      <formula>0.85</formula>
    </cfRule>
  </conditionalFormatting>
  <conditionalFormatting sqref="N43">
    <cfRule type="cellIs" priority="532" operator="greaterThan" dxfId="13">
      <formula>0.9</formula>
    </cfRule>
    <cfRule type="cellIs" priority="533" operator="greaterThan" dxfId="12">
      <formula>0.85</formula>
    </cfRule>
  </conditionalFormatting>
  <conditionalFormatting sqref="E43">
    <cfRule type="expression" priority="528" dxfId="3">
      <formula>AND(IF(OR($Q43=1,$Q43=2),1,0),IF($X43&lt;=20,1,0))</formula>
    </cfRule>
    <cfRule type="expression" priority="529" dxfId="2">
      <formula>AND(IF($Q43=2,1,0),IF($X43&lt;30,1,0))</formula>
    </cfRule>
    <cfRule type="expression" priority="530" dxfId="1">
      <formula>AND(IF($Q43=3,1,0),IF($X43&lt;30,1,0))</formula>
    </cfRule>
    <cfRule type="expression" priority="531" dxfId="0">
      <formula>AND(IF($Q43=3,1,IF($Q43=4,1,0)),IF($F43&lt;=85,1,0))</formula>
    </cfRule>
  </conditionalFormatting>
  <conditionalFormatting sqref="X43">
    <cfRule type="expression" priority="524" dxfId="3">
      <formula>AND(IF(OR($Q43=1,$Q43=2),1,0),IF($X43&lt;=20,1,0))</formula>
    </cfRule>
    <cfRule type="expression" priority="525" dxfId="2">
      <formula>AND(IF($Q43=2,1,0),IF($X43&lt;30,1,0))</formula>
    </cfRule>
    <cfRule type="expression" priority="526" dxfId="1">
      <formula>AND(IF($Q43=3,1,0),IF($X43&lt;30,1,0))</formula>
    </cfRule>
    <cfRule type="expression" priority="527" dxfId="0">
      <formula>AND(IF($Q43=3,1,IF($Q43=4,1,0)),IF($F43&lt;=85,1,0))</formula>
    </cfRule>
  </conditionalFormatting>
  <conditionalFormatting sqref="AI43">
    <cfRule type="expression" priority="520" dxfId="3">
      <formula>AND(IF(OR($Q43=1,$Q43=2),1,0),IF($X43&lt;=20,1,0))</formula>
    </cfRule>
    <cfRule type="expression" priority="521" dxfId="2">
      <formula>AND(IF($Q43=2,1,0),IF($X43&lt;30,1,0))</formula>
    </cfRule>
    <cfRule type="expression" priority="522" dxfId="1">
      <formula>AND(IF($Q43=3,1,0),IF($X43&lt;30,1,0))</formula>
    </cfRule>
    <cfRule type="expression" priority="523" dxfId="0">
      <formula>AND(IF($Q43=3,1,IF($Q43=4,1,0)),IF($F43&lt;=85,1,0))</formula>
    </cfRule>
  </conditionalFormatting>
  <conditionalFormatting sqref="AV44">
    <cfRule type="expression" priority="518" dxfId="17">
      <formula>AV44="X"</formula>
    </cfRule>
    <cfRule type="expression" priority="519" dxfId="16">
      <formula>AV44="후보"</formula>
    </cfRule>
  </conditionalFormatting>
  <conditionalFormatting sqref="AC44 N44">
    <cfRule type="cellIs" priority="515" operator="greaterThan" dxfId="13">
      <formula>0.9</formula>
    </cfRule>
    <cfRule type="cellIs" priority="516" operator="greaterThan" dxfId="12">
      <formula>0.85</formula>
    </cfRule>
  </conditionalFormatting>
  <conditionalFormatting sqref="AV45">
    <cfRule type="expression" priority="513" dxfId="17">
      <formula>AV45="X"</formula>
    </cfRule>
    <cfRule type="expression" priority="514" dxfId="16">
      <formula>AV45="후보"</formula>
    </cfRule>
  </conditionalFormatting>
  <conditionalFormatting sqref="AC45">
    <cfRule type="cellIs" priority="510" operator="greaterThan" dxfId="13">
      <formula>0.9</formula>
    </cfRule>
    <cfRule type="cellIs" priority="511" operator="greaterThan" dxfId="12">
      <formula>0.85</formula>
    </cfRule>
  </conditionalFormatting>
  <conditionalFormatting sqref="N45">
    <cfRule type="cellIs" priority="508" operator="greaterThan" dxfId="13">
      <formula>0.9</formula>
    </cfRule>
    <cfRule type="cellIs" priority="509" operator="greaterThan" dxfId="12">
      <formula>0.85</formula>
    </cfRule>
  </conditionalFormatting>
  <conditionalFormatting sqref="E45">
    <cfRule type="expression" priority="504" dxfId="3">
      <formula>AND(IF(OR($Q45=1,$Q45=2),1,0),IF($X45&lt;=20,1,0))</formula>
    </cfRule>
    <cfRule type="expression" priority="505" dxfId="2">
      <formula>AND(IF($Q45=2,1,0),IF($X45&lt;30,1,0))</formula>
    </cfRule>
    <cfRule type="expression" priority="506" dxfId="1">
      <formula>AND(IF($Q45=3,1,0),IF($X45&lt;30,1,0))</formula>
    </cfRule>
    <cfRule type="expression" priority="507" dxfId="0">
      <formula>AND(IF($Q45=3,1,IF($Q45=4,1,0)),IF($F45&lt;=85,1,0))</formula>
    </cfRule>
  </conditionalFormatting>
  <conditionalFormatting sqref="X45">
    <cfRule type="expression" priority="500" dxfId="3">
      <formula>AND(IF(OR($Q45=1,$Q45=2),1,0),IF($X45&lt;=20,1,0))</formula>
    </cfRule>
    <cfRule type="expression" priority="501" dxfId="2">
      <formula>AND(IF($Q45=2,1,0),IF($X45&lt;30,1,0))</formula>
    </cfRule>
    <cfRule type="expression" priority="502" dxfId="1">
      <formula>AND(IF($Q45=3,1,0),IF($X45&lt;30,1,0))</formula>
    </cfRule>
    <cfRule type="expression" priority="503" dxfId="0">
      <formula>AND(IF($Q45=3,1,IF($Q45=4,1,0)),IF($F45&lt;=85,1,0))</formula>
    </cfRule>
  </conditionalFormatting>
  <conditionalFormatting sqref="AI45">
    <cfRule type="expression" priority="496" dxfId="3">
      <formula>AND(IF(OR($Q45=1,$Q45=2),1,0),IF($X45&lt;=20,1,0))</formula>
    </cfRule>
    <cfRule type="expression" priority="497" dxfId="2">
      <formula>AND(IF($Q45=2,1,0),IF($X45&lt;30,1,0))</formula>
    </cfRule>
    <cfRule type="expression" priority="498" dxfId="1">
      <formula>AND(IF($Q45=3,1,0),IF($X45&lt;30,1,0))</formula>
    </cfRule>
    <cfRule type="expression" priority="499" dxfId="0">
      <formula>AND(IF($Q45=3,1,IF($Q45=4,1,0)),IF($F45&lt;=85,1,0))</formula>
    </cfRule>
  </conditionalFormatting>
  <conditionalFormatting sqref="AV46">
    <cfRule type="expression" priority="494" dxfId="17">
      <formula>AV46="X"</formula>
    </cfRule>
    <cfRule type="expression" priority="495" dxfId="16">
      <formula>AV46="후보"</formula>
    </cfRule>
  </conditionalFormatting>
  <conditionalFormatting sqref="AC46">
    <cfRule type="cellIs" priority="491" operator="greaterThan" dxfId="13">
      <formula>0.9</formula>
    </cfRule>
    <cfRule type="cellIs" priority="492" operator="greaterThan" dxfId="12">
      <formula>0.85</formula>
    </cfRule>
  </conditionalFormatting>
  <conditionalFormatting sqref="N46">
    <cfRule type="cellIs" priority="489" operator="greaterThan" dxfId="13">
      <formula>0.9</formula>
    </cfRule>
    <cfRule type="cellIs" priority="490" operator="greaterThan" dxfId="12">
      <formula>0.85</formula>
    </cfRule>
  </conditionalFormatting>
  <conditionalFormatting sqref="E46">
    <cfRule type="expression" priority="485" dxfId="3">
      <formula>AND(IF(OR($Q46=1,$Q46=2),1,0),IF($X46&lt;=20,1,0))</formula>
    </cfRule>
    <cfRule type="expression" priority="486" dxfId="2">
      <formula>AND(IF($Q46=2,1,0),IF($X46&lt;30,1,0))</formula>
    </cfRule>
    <cfRule type="expression" priority="487" dxfId="1">
      <formula>AND(IF($Q46=3,1,0),IF($X46&lt;30,1,0))</formula>
    </cfRule>
    <cfRule type="expression" priority="488" dxfId="0">
      <formula>AND(IF($Q46=3,1,IF($Q46=4,1,0)),IF($F46&lt;=85,1,0))</formula>
    </cfRule>
  </conditionalFormatting>
  <conditionalFormatting sqref="X46">
    <cfRule type="expression" priority="481" dxfId="3">
      <formula>AND(IF(OR($Q46=1,$Q46=2),1,0),IF($X46&lt;=20,1,0))</formula>
    </cfRule>
    <cfRule type="expression" priority="482" dxfId="2">
      <formula>AND(IF($Q46=2,1,0),IF($X46&lt;30,1,0))</formula>
    </cfRule>
    <cfRule type="expression" priority="483" dxfId="1">
      <formula>AND(IF($Q46=3,1,0),IF($X46&lt;30,1,0))</formula>
    </cfRule>
    <cfRule type="expression" priority="484" dxfId="0">
      <formula>AND(IF($Q46=3,1,IF($Q46=4,1,0)),IF($F46&lt;=85,1,0))</formula>
    </cfRule>
  </conditionalFormatting>
  <conditionalFormatting sqref="AI46">
    <cfRule type="expression" priority="477" dxfId="3">
      <formula>AND(IF(OR($Q46=1,$Q46=2),1,0),IF($X46&lt;=20,1,0))</formula>
    </cfRule>
    <cfRule type="expression" priority="478" dxfId="2">
      <formula>AND(IF($Q46=2,1,0),IF($X46&lt;30,1,0))</formula>
    </cfRule>
    <cfRule type="expression" priority="479" dxfId="1">
      <formula>AND(IF($Q46=3,1,0),IF($X46&lt;30,1,0))</formula>
    </cfRule>
    <cfRule type="expression" priority="480" dxfId="0">
      <formula>AND(IF($Q46=3,1,IF($Q46=4,1,0)),IF($F46&lt;=85,1,0))</formula>
    </cfRule>
  </conditionalFormatting>
  <conditionalFormatting sqref="AV47">
    <cfRule type="expression" priority="475" dxfId="17">
      <formula>AV47="X"</formula>
    </cfRule>
    <cfRule type="expression" priority="476" dxfId="16">
      <formula>AV47="후보"</formula>
    </cfRule>
  </conditionalFormatting>
  <conditionalFormatting sqref="AC47">
    <cfRule type="cellIs" priority="472" operator="greaterThan" dxfId="13">
      <formula>0.9</formula>
    </cfRule>
    <cfRule type="cellIs" priority="473" operator="greaterThan" dxfId="12">
      <formula>0.85</formula>
    </cfRule>
  </conditionalFormatting>
  <conditionalFormatting sqref="N47">
    <cfRule type="cellIs" priority="470" operator="greaterThan" dxfId="13">
      <formula>0.9</formula>
    </cfRule>
    <cfRule type="cellIs" priority="471" operator="greaterThan" dxfId="12">
      <formula>0.85</formula>
    </cfRule>
  </conditionalFormatting>
  <conditionalFormatting sqref="E47">
    <cfRule type="expression" priority="466" dxfId="3">
      <formula>AND(IF(OR($Q47=1,$Q47=2),1,0),IF($X47&lt;=20,1,0))</formula>
    </cfRule>
    <cfRule type="expression" priority="467" dxfId="2">
      <formula>AND(IF($Q47=2,1,0),IF($X47&lt;30,1,0))</formula>
    </cfRule>
    <cfRule type="expression" priority="468" dxfId="1">
      <formula>AND(IF($Q47=3,1,0),IF($X47&lt;30,1,0))</formula>
    </cfRule>
    <cfRule type="expression" priority="469" dxfId="0">
      <formula>AND(IF($Q47=3,1,IF($Q47=4,1,0)),IF($F47&lt;=85,1,0))</formula>
    </cfRule>
  </conditionalFormatting>
  <conditionalFormatting sqref="X47">
    <cfRule type="expression" priority="462" dxfId="3">
      <formula>AND(IF(OR($Q47=1,$Q47=2),1,0),IF($X47&lt;=20,1,0))</formula>
    </cfRule>
    <cfRule type="expression" priority="463" dxfId="2">
      <formula>AND(IF($Q47=2,1,0),IF($X47&lt;30,1,0))</formula>
    </cfRule>
    <cfRule type="expression" priority="464" dxfId="1">
      <formula>AND(IF($Q47=3,1,0),IF($X47&lt;30,1,0))</formula>
    </cfRule>
    <cfRule type="expression" priority="465" dxfId="0">
      <formula>AND(IF($Q47=3,1,IF($Q47=4,1,0)),IF($F47&lt;=85,1,0))</formula>
    </cfRule>
  </conditionalFormatting>
  <conditionalFormatting sqref="AI47">
    <cfRule type="expression" priority="458" dxfId="3">
      <formula>AND(IF(OR($Q47=1,$Q47=2),1,0),IF($X47&lt;=20,1,0))</formula>
    </cfRule>
    <cfRule type="expression" priority="459" dxfId="2">
      <formula>AND(IF($Q47=2,1,0),IF($X47&lt;30,1,0))</formula>
    </cfRule>
    <cfRule type="expression" priority="460" dxfId="1">
      <formula>AND(IF($Q47=3,1,0),IF($X47&lt;30,1,0))</formula>
    </cfRule>
    <cfRule type="expression" priority="461" dxfId="0">
      <formula>AND(IF($Q47=3,1,IF($Q47=4,1,0)),IF($F47&lt;=85,1,0))</formula>
    </cfRule>
  </conditionalFormatting>
  <conditionalFormatting sqref="AV48">
    <cfRule type="expression" priority="456" dxfId="17">
      <formula>AV48="X"</formula>
    </cfRule>
    <cfRule type="expression" priority="457" dxfId="16">
      <formula>AV48="후보"</formula>
    </cfRule>
  </conditionalFormatting>
  <conditionalFormatting sqref="AC48 N48">
    <cfRule type="cellIs" priority="453" operator="greaterThan" dxfId="13">
      <formula>0.9</formula>
    </cfRule>
    <cfRule type="cellIs" priority="454" operator="greaterThan" dxfId="12">
      <formula>0.85</formula>
    </cfRule>
  </conditionalFormatting>
  <conditionalFormatting sqref="AV49">
    <cfRule type="expression" priority="451" dxfId="17">
      <formula>AV49="X"</formula>
    </cfRule>
    <cfRule type="expression" priority="452" dxfId="16">
      <formula>AV49="후보"</formula>
    </cfRule>
  </conditionalFormatting>
  <conditionalFormatting sqref="AC49">
    <cfRule type="cellIs" priority="448" operator="greaterThan" dxfId="13">
      <formula>0.9</formula>
    </cfRule>
    <cfRule type="cellIs" priority="449" operator="greaterThan" dxfId="12">
      <formula>0.85</formula>
    </cfRule>
  </conditionalFormatting>
  <conditionalFormatting sqref="N49">
    <cfRule type="cellIs" priority="446" operator="greaterThan" dxfId="13">
      <formula>0.9</formula>
    </cfRule>
    <cfRule type="cellIs" priority="447" operator="greaterThan" dxfId="12">
      <formula>0.85</formula>
    </cfRule>
  </conditionalFormatting>
  <conditionalFormatting sqref="E49">
    <cfRule type="expression" priority="442" dxfId="3">
      <formula>AND(IF(OR($Q49=1,$Q49=2),1,0),IF($X49&lt;=20,1,0))</formula>
    </cfRule>
    <cfRule type="expression" priority="443" dxfId="2">
      <formula>AND(IF($Q49=2,1,0),IF($X49&lt;30,1,0))</formula>
    </cfRule>
    <cfRule type="expression" priority="444" dxfId="1">
      <formula>AND(IF($Q49=3,1,0),IF($X49&lt;30,1,0))</formula>
    </cfRule>
    <cfRule type="expression" priority="445" dxfId="0">
      <formula>AND(IF($Q49=3,1,IF($Q49=4,1,0)),IF($F49&lt;=85,1,0))</formula>
    </cfRule>
  </conditionalFormatting>
  <conditionalFormatting sqref="X49">
    <cfRule type="expression" priority="438" dxfId="3">
      <formula>AND(IF(OR($Q49=1,$Q49=2),1,0),IF($X49&lt;=20,1,0))</formula>
    </cfRule>
    <cfRule type="expression" priority="439" dxfId="2">
      <formula>AND(IF($Q49=2,1,0),IF($X49&lt;30,1,0))</formula>
    </cfRule>
    <cfRule type="expression" priority="440" dxfId="1">
      <formula>AND(IF($Q49=3,1,0),IF($X49&lt;30,1,0))</formula>
    </cfRule>
    <cfRule type="expression" priority="441" dxfId="0">
      <formula>AND(IF($Q49=3,1,IF($Q49=4,1,0)),IF($F49&lt;=85,1,0))</formula>
    </cfRule>
  </conditionalFormatting>
  <conditionalFormatting sqref="AI49">
    <cfRule type="expression" priority="434" dxfId="3">
      <formula>AND(IF(OR($Q49=1,$Q49=2),1,0),IF($X49&lt;=20,1,0))</formula>
    </cfRule>
    <cfRule type="expression" priority="435" dxfId="2">
      <formula>AND(IF($Q49=2,1,0),IF($X49&lt;30,1,0))</formula>
    </cfRule>
    <cfRule type="expression" priority="436" dxfId="1">
      <formula>AND(IF($Q49=3,1,0),IF($X49&lt;30,1,0))</formula>
    </cfRule>
    <cfRule type="expression" priority="437" dxfId="0">
      <formula>AND(IF($Q49=3,1,IF($Q49=4,1,0)),IF($F49&lt;=85,1,0))</formula>
    </cfRule>
  </conditionalFormatting>
  <conditionalFormatting sqref="AV50">
    <cfRule type="expression" priority="432" dxfId="17">
      <formula>AV50="X"</formula>
    </cfRule>
    <cfRule type="expression" priority="433" dxfId="16">
      <formula>AV50="후보"</formula>
    </cfRule>
  </conditionalFormatting>
  <conditionalFormatting sqref="AC50">
    <cfRule type="cellIs" priority="429" operator="greaterThan" dxfId="13">
      <formula>0.9</formula>
    </cfRule>
    <cfRule type="cellIs" priority="430" operator="greaterThan" dxfId="12">
      <formula>0.85</formula>
    </cfRule>
  </conditionalFormatting>
  <conditionalFormatting sqref="N50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E50">
    <cfRule type="expression" priority="423" dxfId="3">
      <formula>AND(IF(OR($Q50=1,$Q50=2),1,0),IF($X50&lt;=20,1,0))</formula>
    </cfRule>
    <cfRule type="expression" priority="424" dxfId="2">
      <formula>AND(IF($Q50=2,1,0),IF($X50&lt;30,1,0))</formula>
    </cfRule>
    <cfRule type="expression" priority="425" dxfId="1">
      <formula>AND(IF($Q50=3,1,0),IF($X50&lt;30,1,0))</formula>
    </cfRule>
    <cfRule type="expression" priority="426" dxfId="0">
      <formula>AND(IF($Q50=3,1,IF($Q50=4,1,0)),IF($F50&lt;=85,1,0))</formula>
    </cfRule>
  </conditionalFormatting>
  <conditionalFormatting sqref="X50">
    <cfRule type="expression" priority="419" dxfId="3">
      <formula>AND(IF(OR($Q50=1,$Q50=2),1,0),IF($X50&lt;=20,1,0))</formula>
    </cfRule>
    <cfRule type="expression" priority="420" dxfId="2">
      <formula>AND(IF($Q50=2,1,0),IF($X50&lt;30,1,0))</formula>
    </cfRule>
    <cfRule type="expression" priority="421" dxfId="1">
      <formula>AND(IF($Q50=3,1,0),IF($X50&lt;30,1,0))</formula>
    </cfRule>
    <cfRule type="expression" priority="422" dxfId="0">
      <formula>AND(IF($Q50=3,1,IF($Q50=4,1,0)),IF($F50&lt;=85,1,0))</formula>
    </cfRule>
  </conditionalFormatting>
  <conditionalFormatting sqref="AI50">
    <cfRule type="expression" priority="415" dxfId="3">
      <formula>AND(IF(OR($Q50=1,$Q50=2),1,0),IF($X50&lt;=20,1,0))</formula>
    </cfRule>
    <cfRule type="expression" priority="416" dxfId="2">
      <formula>AND(IF($Q50=2,1,0),IF($X50&lt;30,1,0))</formula>
    </cfRule>
    <cfRule type="expression" priority="417" dxfId="1">
      <formula>AND(IF($Q50=3,1,0),IF($X50&lt;30,1,0))</formula>
    </cfRule>
    <cfRule type="expression" priority="418" dxfId="0">
      <formula>AND(IF($Q50=3,1,IF($Q50=4,1,0)),IF($F50&lt;=85,1,0))</formula>
    </cfRule>
  </conditionalFormatting>
  <conditionalFormatting sqref="AV51">
    <cfRule type="expression" priority="413" dxfId="17">
      <formula>AV51="X"</formula>
    </cfRule>
    <cfRule type="expression" priority="414" dxfId="16">
      <formula>AV51="후보"</formula>
    </cfRule>
  </conditionalFormatting>
  <conditionalFormatting sqref="AC51">
    <cfRule type="cellIs" priority="410" operator="greaterThan" dxfId="13">
      <formula>0.9</formula>
    </cfRule>
    <cfRule type="cellIs" priority="411" operator="greaterThan" dxfId="12">
      <formula>0.85</formula>
    </cfRule>
  </conditionalFormatting>
  <conditionalFormatting sqref="N51">
    <cfRule type="cellIs" priority="408" operator="greaterThan" dxfId="13">
      <formula>0.9</formula>
    </cfRule>
    <cfRule type="cellIs" priority="409" operator="greaterThan" dxfId="12">
      <formula>0.85</formula>
    </cfRule>
  </conditionalFormatting>
  <conditionalFormatting sqref="E51">
    <cfRule type="expression" priority="404" dxfId="3">
      <formula>AND(IF(OR($Q51=1,$Q51=2),1,0),IF($X51&lt;=20,1,0))</formula>
    </cfRule>
    <cfRule type="expression" priority="405" dxfId="2">
      <formula>AND(IF($Q51=2,1,0),IF($X51&lt;30,1,0))</formula>
    </cfRule>
    <cfRule type="expression" priority="406" dxfId="1">
      <formula>AND(IF($Q51=3,1,0),IF($X51&lt;30,1,0))</formula>
    </cfRule>
    <cfRule type="expression" priority="407" dxfId="0">
      <formula>AND(IF($Q51=3,1,IF($Q51=4,1,0)),IF($F51&lt;=85,1,0))</formula>
    </cfRule>
  </conditionalFormatting>
  <conditionalFormatting sqref="X51">
    <cfRule type="expression" priority="400" dxfId="3">
      <formula>AND(IF(OR($Q51=1,$Q51=2),1,0),IF($X51&lt;=20,1,0))</formula>
    </cfRule>
    <cfRule type="expression" priority="401" dxfId="2">
      <formula>AND(IF($Q51=2,1,0),IF($X51&lt;30,1,0))</formula>
    </cfRule>
    <cfRule type="expression" priority="402" dxfId="1">
      <formula>AND(IF($Q51=3,1,0),IF($X51&lt;30,1,0))</formula>
    </cfRule>
    <cfRule type="expression" priority="403" dxfId="0">
      <formula>AND(IF($Q51=3,1,IF($Q51=4,1,0)),IF($F51&lt;=85,1,0))</formula>
    </cfRule>
  </conditionalFormatting>
  <conditionalFormatting sqref="AI51">
    <cfRule type="expression" priority="396" dxfId="3">
      <formula>AND(IF(OR($Q51=1,$Q51=2),1,0),IF($X51&lt;=20,1,0))</formula>
    </cfRule>
    <cfRule type="expression" priority="397" dxfId="2">
      <formula>AND(IF($Q51=2,1,0),IF($X51&lt;30,1,0))</formula>
    </cfRule>
    <cfRule type="expression" priority="398" dxfId="1">
      <formula>AND(IF($Q51=3,1,0),IF($X51&lt;30,1,0))</formula>
    </cfRule>
    <cfRule type="expression" priority="399" dxfId="0">
      <formula>AND(IF($Q51=3,1,IF($Q51=4,1,0)),IF($F51&lt;=85,1,0))</formula>
    </cfRule>
  </conditionalFormatting>
  <conditionalFormatting sqref="AV52">
    <cfRule type="expression" priority="394" dxfId="17">
      <formula>AV52="X"</formula>
    </cfRule>
    <cfRule type="expression" priority="395" dxfId="16">
      <formula>AV52="후보"</formula>
    </cfRule>
  </conditionalFormatting>
  <conditionalFormatting sqref="AC52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N52">
    <cfRule type="cellIs" priority="389" operator="greaterThan" dxfId="13">
      <formula>0.9</formula>
    </cfRule>
    <cfRule type="cellIs" priority="390" operator="greaterThan" dxfId="12">
      <formula>0.85</formula>
    </cfRule>
  </conditionalFormatting>
  <conditionalFormatting sqref="E52">
    <cfRule type="expression" priority="385" dxfId="3">
      <formula>AND(IF(OR($Q52=1,$Q52=2),1,0),IF($X52&lt;=20,1,0))</formula>
    </cfRule>
    <cfRule type="expression" priority="386" dxfId="2">
      <formula>AND(IF($Q52=2,1,0),IF($X52&lt;30,1,0))</formula>
    </cfRule>
    <cfRule type="expression" priority="387" dxfId="1">
      <formula>AND(IF($Q52=3,1,0),IF($X52&lt;30,1,0))</formula>
    </cfRule>
    <cfRule type="expression" priority="388" dxfId="0">
      <formula>AND(IF($Q52=3,1,IF($Q52=4,1,0)),IF($F52&lt;=85,1,0))</formula>
    </cfRule>
  </conditionalFormatting>
  <conditionalFormatting sqref="X52">
    <cfRule type="expression" priority="381" dxfId="3">
      <formula>AND(IF(OR($Q52=1,$Q52=2),1,0),IF($X52&lt;=20,1,0))</formula>
    </cfRule>
    <cfRule type="expression" priority="382" dxfId="2">
      <formula>AND(IF($Q52=2,1,0),IF($X52&lt;30,1,0))</formula>
    </cfRule>
    <cfRule type="expression" priority="383" dxfId="1">
      <formula>AND(IF($Q52=3,1,0),IF($X52&lt;30,1,0))</formula>
    </cfRule>
    <cfRule type="expression" priority="384" dxfId="0">
      <formula>AND(IF($Q52=3,1,IF($Q52=4,1,0)),IF($F52&lt;=85,1,0))</formula>
    </cfRule>
  </conditionalFormatting>
  <conditionalFormatting sqref="AI52">
    <cfRule type="expression" priority="377" dxfId="3">
      <formula>AND(IF(OR($Q52=1,$Q52=2),1,0),IF($X52&lt;=20,1,0))</formula>
    </cfRule>
    <cfRule type="expression" priority="378" dxfId="2">
      <formula>AND(IF($Q52=2,1,0),IF($X52&lt;30,1,0))</formula>
    </cfRule>
    <cfRule type="expression" priority="379" dxfId="1">
      <formula>AND(IF($Q52=3,1,0),IF($X52&lt;30,1,0))</formula>
    </cfRule>
    <cfRule type="expression" priority="380" dxfId="0">
      <formula>AND(IF($Q52=3,1,IF($Q52=4,1,0)),IF($F52&lt;=85,1,0))</formula>
    </cfRule>
  </conditionalFormatting>
  <conditionalFormatting sqref="AV53">
    <cfRule type="expression" priority="375" dxfId="17">
      <formula>AV53="X"</formula>
    </cfRule>
    <cfRule type="expression" priority="376" dxfId="16">
      <formula>AV53="후보"</formula>
    </cfRule>
  </conditionalFormatting>
  <conditionalFormatting sqref="AC53 N53">
    <cfRule type="cellIs" priority="372" operator="greaterThan" dxfId="13">
      <formula>0.9</formula>
    </cfRule>
    <cfRule type="cellIs" priority="373" operator="greaterThan" dxfId="12">
      <formula>0.85</formula>
    </cfRule>
  </conditionalFormatting>
  <conditionalFormatting sqref="AV54">
    <cfRule type="expression" priority="370" dxfId="17">
      <formula>AV54="X"</formula>
    </cfRule>
    <cfRule type="expression" priority="371" dxfId="16">
      <formula>AV54="후보"</formula>
    </cfRule>
  </conditionalFormatting>
  <conditionalFormatting sqref="AC54">
    <cfRule type="cellIs" priority="367" operator="greaterThan" dxfId="13">
      <formula>0.9</formula>
    </cfRule>
    <cfRule type="cellIs" priority="368" operator="greaterThan" dxfId="12">
      <formula>0.85</formula>
    </cfRule>
  </conditionalFormatting>
  <conditionalFormatting sqref="N54">
    <cfRule type="cellIs" priority="365" operator="greaterThan" dxfId="13">
      <formula>0.9</formula>
    </cfRule>
    <cfRule type="cellIs" priority="366" operator="greaterThan" dxfId="12">
      <formula>0.85</formula>
    </cfRule>
  </conditionalFormatting>
  <conditionalFormatting sqref="E54">
    <cfRule type="expression" priority="361" dxfId="3">
      <formula>AND(IF(OR($Q54=1,$Q54=2),1,0),IF($X54&lt;=20,1,0))</formula>
    </cfRule>
    <cfRule type="expression" priority="362" dxfId="2">
      <formula>AND(IF($Q54=2,1,0),IF($X54&lt;30,1,0))</formula>
    </cfRule>
    <cfRule type="expression" priority="363" dxfId="1">
      <formula>AND(IF($Q54=3,1,0),IF($X54&lt;30,1,0))</formula>
    </cfRule>
    <cfRule type="expression" priority="364" dxfId="0">
      <formula>AND(IF($Q54=3,1,IF($Q54=4,1,0)),IF($F54&lt;=85,1,0))</formula>
    </cfRule>
  </conditionalFormatting>
  <conditionalFormatting sqref="X54">
    <cfRule type="expression" priority="357" dxfId="3">
      <formula>AND(IF(OR($Q54=1,$Q54=2),1,0),IF($X54&lt;=20,1,0))</formula>
    </cfRule>
    <cfRule type="expression" priority="358" dxfId="2">
      <formula>AND(IF($Q54=2,1,0),IF($X54&lt;30,1,0))</formula>
    </cfRule>
    <cfRule type="expression" priority="359" dxfId="1">
      <formula>AND(IF($Q54=3,1,0),IF($X54&lt;30,1,0))</formula>
    </cfRule>
    <cfRule type="expression" priority="360" dxfId="0">
      <formula>AND(IF($Q54=3,1,IF($Q54=4,1,0)),IF($F54&lt;=85,1,0))</formula>
    </cfRule>
  </conditionalFormatting>
  <conditionalFormatting sqref="AI54">
    <cfRule type="expression" priority="353" dxfId="3">
      <formula>AND(IF(OR($Q54=1,$Q54=2),1,0),IF($X54&lt;=20,1,0))</formula>
    </cfRule>
    <cfRule type="expression" priority="354" dxfId="2">
      <formula>AND(IF($Q54=2,1,0),IF($X54&lt;30,1,0))</formula>
    </cfRule>
    <cfRule type="expression" priority="355" dxfId="1">
      <formula>AND(IF($Q54=3,1,0),IF($X54&lt;30,1,0))</formula>
    </cfRule>
    <cfRule type="expression" priority="356" dxfId="0">
      <formula>AND(IF($Q54=3,1,IF($Q54=4,1,0)),IF($F54&lt;=85,1,0))</formula>
    </cfRule>
  </conditionalFormatting>
  <conditionalFormatting sqref="AV55">
    <cfRule type="expression" priority="351" dxfId="17">
      <formula>AV55="X"</formula>
    </cfRule>
    <cfRule type="expression" priority="352" dxfId="16">
      <formula>AV55="후보"</formula>
    </cfRule>
  </conditionalFormatting>
  <conditionalFormatting sqref="AC55">
    <cfRule type="cellIs" priority="348" operator="greaterThan" dxfId="13">
      <formula>0.9</formula>
    </cfRule>
    <cfRule type="cellIs" priority="349" operator="greaterThan" dxfId="12">
      <formula>0.85</formula>
    </cfRule>
  </conditionalFormatting>
  <conditionalFormatting sqref="N55">
    <cfRule type="cellIs" priority="346" operator="greaterThan" dxfId="13">
      <formula>0.9</formula>
    </cfRule>
    <cfRule type="cellIs" priority="347" operator="greaterThan" dxfId="12">
      <formula>0.85</formula>
    </cfRule>
  </conditionalFormatting>
  <conditionalFormatting sqref="E55">
    <cfRule type="expression" priority="342" dxfId="3">
      <formula>AND(IF(OR($Q55=1,$Q55=2),1,0),IF($X55&lt;=20,1,0))</formula>
    </cfRule>
    <cfRule type="expression" priority="343" dxfId="2">
      <formula>AND(IF($Q55=2,1,0),IF($X55&lt;30,1,0))</formula>
    </cfRule>
    <cfRule type="expression" priority="344" dxfId="1">
      <formula>AND(IF($Q55=3,1,0),IF($X55&lt;30,1,0))</formula>
    </cfRule>
    <cfRule type="expression" priority="345" dxfId="0">
      <formula>AND(IF($Q55=3,1,IF($Q55=4,1,0)),IF($F55&lt;=85,1,0))</formula>
    </cfRule>
  </conditionalFormatting>
  <conditionalFormatting sqref="X55">
    <cfRule type="expression" priority="338" dxfId="3">
      <formula>AND(IF(OR($Q55=1,$Q55=2),1,0),IF($X55&lt;=20,1,0))</formula>
    </cfRule>
    <cfRule type="expression" priority="339" dxfId="2">
      <formula>AND(IF($Q55=2,1,0),IF($X55&lt;30,1,0))</formula>
    </cfRule>
    <cfRule type="expression" priority="340" dxfId="1">
      <formula>AND(IF($Q55=3,1,0),IF($X55&lt;30,1,0))</formula>
    </cfRule>
    <cfRule type="expression" priority="341" dxfId="0">
      <formula>AND(IF($Q55=3,1,IF($Q55=4,1,0)),IF($F55&lt;=85,1,0))</formula>
    </cfRule>
  </conditionalFormatting>
  <conditionalFormatting sqref="AI55">
    <cfRule type="expression" priority="334" dxfId="3">
      <formula>AND(IF(OR($Q55=1,$Q55=2),1,0),IF($X55&lt;=20,1,0))</formula>
    </cfRule>
    <cfRule type="expression" priority="335" dxfId="2">
      <formula>AND(IF($Q55=2,1,0),IF($X55&lt;30,1,0))</formula>
    </cfRule>
    <cfRule type="expression" priority="336" dxfId="1">
      <formula>AND(IF($Q55=3,1,0),IF($X55&lt;30,1,0))</formula>
    </cfRule>
    <cfRule type="expression" priority="337" dxfId="0">
      <formula>AND(IF($Q55=3,1,IF($Q55=4,1,0)),IF($F55&lt;=85,1,0))</formula>
    </cfRule>
  </conditionalFormatting>
  <conditionalFormatting sqref="AV56">
    <cfRule type="expression" priority="332" dxfId="17">
      <formula>AV56="X"</formula>
    </cfRule>
    <cfRule type="expression" priority="333" dxfId="16">
      <formula>AV56="후보"</formula>
    </cfRule>
  </conditionalFormatting>
  <conditionalFormatting sqref="AC56">
    <cfRule type="cellIs" priority="329" operator="greaterThan" dxfId="13">
      <formula>0.9</formula>
    </cfRule>
    <cfRule type="cellIs" priority="330" operator="greaterThan" dxfId="12">
      <formula>0.85</formula>
    </cfRule>
  </conditionalFormatting>
  <conditionalFormatting sqref="N56">
    <cfRule type="cellIs" priority="327" operator="greaterThan" dxfId="13">
      <formula>0.9</formula>
    </cfRule>
    <cfRule type="cellIs" priority="328" operator="greaterThan" dxfId="12">
      <formula>0.85</formula>
    </cfRule>
  </conditionalFormatting>
  <conditionalFormatting sqref="E56">
    <cfRule type="expression" priority="323" dxfId="3">
      <formula>AND(IF(OR($Q56=1,$Q56=2),1,0),IF($X56&lt;=20,1,0))</formula>
    </cfRule>
    <cfRule type="expression" priority="324" dxfId="2">
      <formula>AND(IF($Q56=2,1,0),IF($X56&lt;30,1,0))</formula>
    </cfRule>
    <cfRule type="expression" priority="325" dxfId="1">
      <formula>AND(IF($Q56=3,1,0),IF($X56&lt;30,1,0))</formula>
    </cfRule>
    <cfRule type="expression" priority="326" dxfId="0">
      <formula>AND(IF($Q56=3,1,IF($Q56=4,1,0)),IF($F56&lt;=85,1,0))</formula>
    </cfRule>
  </conditionalFormatting>
  <conditionalFormatting sqref="X56">
    <cfRule type="expression" priority="319" dxfId="3">
      <formula>AND(IF(OR($Q56=1,$Q56=2),1,0),IF($X56&lt;=20,1,0))</formula>
    </cfRule>
    <cfRule type="expression" priority="320" dxfId="2">
      <formula>AND(IF($Q56=2,1,0),IF($X56&lt;30,1,0))</formula>
    </cfRule>
    <cfRule type="expression" priority="321" dxfId="1">
      <formula>AND(IF($Q56=3,1,0),IF($X56&lt;30,1,0))</formula>
    </cfRule>
    <cfRule type="expression" priority="322" dxfId="0">
      <formula>AND(IF($Q56=3,1,IF($Q56=4,1,0)),IF($F56&lt;=85,1,0))</formula>
    </cfRule>
  </conditionalFormatting>
  <conditionalFormatting sqref="AI56">
    <cfRule type="expression" priority="315" dxfId="3">
      <formula>AND(IF(OR($Q56=1,$Q56=2),1,0),IF($X56&lt;=20,1,0))</formula>
    </cfRule>
    <cfRule type="expression" priority="316" dxfId="2">
      <formula>AND(IF($Q56=2,1,0),IF($X56&lt;30,1,0))</formula>
    </cfRule>
    <cfRule type="expression" priority="317" dxfId="1">
      <formula>AND(IF($Q56=3,1,0),IF($X56&lt;30,1,0))</formula>
    </cfRule>
    <cfRule type="expression" priority="318" dxfId="0">
      <formula>AND(IF($Q56=3,1,IF($Q56=4,1,0)),IF($F56&lt;=85,1,0))</formula>
    </cfRule>
  </conditionalFormatting>
  <conditionalFormatting sqref="AV57">
    <cfRule type="expression" priority="313" dxfId="17">
      <formula>AV57="X"</formula>
    </cfRule>
    <cfRule type="expression" priority="314" dxfId="16">
      <formula>AV57="후보"</formula>
    </cfRule>
  </conditionalFormatting>
  <conditionalFormatting sqref="AC57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57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57">
    <cfRule type="expression" priority="304" dxfId="3">
      <formula>AND(IF(OR($Q57=1,$Q57=2),1,0),IF($X57&lt;=20,1,0))</formula>
    </cfRule>
    <cfRule type="expression" priority="305" dxfId="2">
      <formula>AND(IF($Q57=2,1,0),IF($X57&lt;30,1,0))</formula>
    </cfRule>
    <cfRule type="expression" priority="306" dxfId="1">
      <formula>AND(IF($Q57=3,1,0),IF($X57&lt;30,1,0))</formula>
    </cfRule>
    <cfRule type="expression" priority="307" dxfId="0">
      <formula>AND(IF($Q57=3,1,IF($Q57=4,1,0)),IF($F57&lt;=85,1,0))</formula>
    </cfRule>
  </conditionalFormatting>
  <conditionalFormatting sqref="X57">
    <cfRule type="expression" priority="300" dxfId="3">
      <formula>AND(IF(OR($Q57=1,$Q57=2),1,0),IF($X57&lt;=20,1,0))</formula>
    </cfRule>
    <cfRule type="expression" priority="301" dxfId="2">
      <formula>AND(IF($Q57=2,1,0),IF($X57&lt;30,1,0))</formula>
    </cfRule>
    <cfRule type="expression" priority="302" dxfId="1">
      <formula>AND(IF($Q57=3,1,0),IF($X57&lt;30,1,0))</formula>
    </cfRule>
    <cfRule type="expression" priority="303" dxfId="0">
      <formula>AND(IF($Q57=3,1,IF($Q57=4,1,0)),IF($F57&lt;=85,1,0))</formula>
    </cfRule>
  </conditionalFormatting>
  <conditionalFormatting sqref="AI57">
    <cfRule type="expression" priority="296" dxfId="3">
      <formula>AND(IF(OR($Q57=1,$Q57=2),1,0),IF($X57&lt;=20,1,0))</formula>
    </cfRule>
    <cfRule type="expression" priority="297" dxfId="2">
      <formula>AND(IF($Q57=2,1,0),IF($X57&lt;30,1,0))</formula>
    </cfRule>
    <cfRule type="expression" priority="298" dxfId="1">
      <formula>AND(IF($Q57=3,1,0),IF($X57&lt;30,1,0))</formula>
    </cfRule>
    <cfRule type="expression" priority="299" dxfId="0">
      <formula>AND(IF($Q57=3,1,IF($Q57=4,1,0)),IF($F57&lt;=85,1,0))</formula>
    </cfRule>
  </conditionalFormatting>
  <conditionalFormatting sqref="AV58">
    <cfRule type="expression" priority="294" dxfId="17">
      <formula>AV58="X"</formula>
    </cfRule>
    <cfRule type="expression" priority="295" dxfId="16">
      <formula>AV58="후보"</formula>
    </cfRule>
  </conditionalFormatting>
  <conditionalFormatting sqref="AC58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58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58">
    <cfRule type="expression" priority="285" dxfId="3">
      <formula>AND(IF(OR($Q58=1,$Q58=2),1,0),IF($X58&lt;=20,1,0))</formula>
    </cfRule>
    <cfRule type="expression" priority="286" dxfId="2">
      <formula>AND(IF($Q58=2,1,0),IF($X58&lt;30,1,0))</formula>
    </cfRule>
    <cfRule type="expression" priority="287" dxfId="1">
      <formula>AND(IF($Q58=3,1,0),IF($X58&lt;30,1,0))</formula>
    </cfRule>
    <cfRule type="expression" priority="288" dxfId="0">
      <formula>AND(IF($Q58=3,1,IF($Q58=4,1,0)),IF($F58&lt;=85,1,0))</formula>
    </cfRule>
  </conditionalFormatting>
  <conditionalFormatting sqref="X58">
    <cfRule type="expression" priority="281" dxfId="3">
      <formula>AND(IF(OR($Q58=1,$Q58=2),1,0),IF($X58&lt;=20,1,0))</formula>
    </cfRule>
    <cfRule type="expression" priority="282" dxfId="2">
      <formula>AND(IF($Q58=2,1,0),IF($X58&lt;30,1,0))</formula>
    </cfRule>
    <cfRule type="expression" priority="283" dxfId="1">
      <formula>AND(IF($Q58=3,1,0),IF($X58&lt;30,1,0))</formula>
    </cfRule>
    <cfRule type="expression" priority="284" dxfId="0">
      <formula>AND(IF($Q58=3,1,IF($Q58=4,1,0)),IF($F58&lt;=85,1,0))</formula>
    </cfRule>
  </conditionalFormatting>
  <conditionalFormatting sqref="AI58">
    <cfRule type="expression" priority="277" dxfId="3">
      <formula>AND(IF(OR($Q58=1,$Q58=2),1,0),IF($X58&lt;=20,1,0))</formula>
    </cfRule>
    <cfRule type="expression" priority="278" dxfId="2">
      <formula>AND(IF($Q58=2,1,0),IF($X58&lt;30,1,0))</formula>
    </cfRule>
    <cfRule type="expression" priority="279" dxfId="1">
      <formula>AND(IF($Q58=3,1,0),IF($X58&lt;30,1,0))</formula>
    </cfRule>
    <cfRule type="expression" priority="280" dxfId="0">
      <formula>AND(IF($Q58=3,1,IF($Q58=4,1,0)),IF($F58&lt;=85,1,0))</formula>
    </cfRule>
  </conditionalFormatting>
  <conditionalFormatting sqref="AV59">
    <cfRule type="expression" priority="275" dxfId="17">
      <formula>AV59="X"</formula>
    </cfRule>
    <cfRule type="expression" priority="276" dxfId="16">
      <formula>AV59="후보"</formula>
    </cfRule>
  </conditionalFormatting>
  <conditionalFormatting sqref="AC59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59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59">
    <cfRule type="expression" priority="266" dxfId="3">
      <formula>AND(IF(OR($Q59=1,$Q59=2),1,0),IF($X59&lt;=20,1,0))</formula>
    </cfRule>
    <cfRule type="expression" priority="267" dxfId="2">
      <formula>AND(IF($Q59=2,1,0),IF($X59&lt;30,1,0))</formula>
    </cfRule>
    <cfRule type="expression" priority="268" dxfId="1">
      <formula>AND(IF($Q59=3,1,0),IF($X59&lt;30,1,0))</formula>
    </cfRule>
    <cfRule type="expression" priority="269" dxfId="0">
      <formula>AND(IF($Q59=3,1,IF($Q59=4,1,0)),IF($F59&lt;=85,1,0))</formula>
    </cfRule>
  </conditionalFormatting>
  <conditionalFormatting sqref="X59">
    <cfRule type="expression" priority="262" dxfId="3">
      <formula>AND(IF(OR($Q59=1,$Q59=2),1,0),IF($X59&lt;=20,1,0))</formula>
    </cfRule>
    <cfRule type="expression" priority="263" dxfId="2">
      <formula>AND(IF($Q59=2,1,0),IF($X59&lt;30,1,0))</formula>
    </cfRule>
    <cfRule type="expression" priority="264" dxfId="1">
      <formula>AND(IF($Q59=3,1,0),IF($X59&lt;30,1,0))</formula>
    </cfRule>
    <cfRule type="expression" priority="265" dxfId="0">
      <formula>AND(IF($Q59=3,1,IF($Q59=4,1,0)),IF($F59&lt;=85,1,0))</formula>
    </cfRule>
  </conditionalFormatting>
  <conditionalFormatting sqref="AI59">
    <cfRule type="expression" priority="258" dxfId="3">
      <formula>AND(IF(OR($Q59=1,$Q59=2),1,0),IF($X59&lt;=20,1,0))</formula>
    </cfRule>
    <cfRule type="expression" priority="259" dxfId="2">
      <formula>AND(IF($Q59=2,1,0),IF($X59&lt;30,1,0))</formula>
    </cfRule>
    <cfRule type="expression" priority="260" dxfId="1">
      <formula>AND(IF($Q59=3,1,0),IF($X59&lt;30,1,0))</formula>
    </cfRule>
    <cfRule type="expression" priority="261" dxfId="0">
      <formula>AND(IF($Q59=3,1,IF($Q59=4,1,0)),IF($F59&lt;=85,1,0))</formula>
    </cfRule>
  </conditionalFormatting>
  <conditionalFormatting sqref="AV60">
    <cfRule type="expression" priority="256" dxfId="17">
      <formula>AV60="X"</formula>
    </cfRule>
    <cfRule type="expression" priority="257" dxfId="16">
      <formula>AV60="후보"</formula>
    </cfRule>
  </conditionalFormatting>
  <conditionalFormatting sqref="AC60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60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60">
    <cfRule type="expression" priority="247" dxfId="3">
      <formula>AND(IF(OR($Q60=1,$Q60=2),1,0),IF($X60&lt;=20,1,0))</formula>
    </cfRule>
    <cfRule type="expression" priority="248" dxfId="2">
      <formula>AND(IF($Q60=2,1,0),IF($X60&lt;30,1,0))</formula>
    </cfRule>
    <cfRule type="expression" priority="249" dxfId="1">
      <formula>AND(IF($Q60=3,1,0),IF($X60&lt;30,1,0))</formula>
    </cfRule>
    <cfRule type="expression" priority="250" dxfId="0">
      <formula>AND(IF($Q60=3,1,IF($Q60=4,1,0)),IF($F60&lt;=85,1,0))</formula>
    </cfRule>
  </conditionalFormatting>
  <conditionalFormatting sqref="X60">
    <cfRule type="expression" priority="243" dxfId="3">
      <formula>AND(IF(OR($Q60=1,$Q60=2),1,0),IF($X60&lt;=20,1,0))</formula>
    </cfRule>
    <cfRule type="expression" priority="244" dxfId="2">
      <formula>AND(IF($Q60=2,1,0),IF($X60&lt;30,1,0))</formula>
    </cfRule>
    <cfRule type="expression" priority="245" dxfId="1">
      <formula>AND(IF($Q60=3,1,0),IF($X60&lt;30,1,0))</formula>
    </cfRule>
    <cfRule type="expression" priority="246" dxfId="0">
      <formula>AND(IF($Q60=3,1,IF($Q60=4,1,0)),IF($F60&lt;=85,1,0))</formula>
    </cfRule>
  </conditionalFormatting>
  <conditionalFormatting sqref="AI60">
    <cfRule type="expression" priority="239" dxfId="3">
      <formula>AND(IF(OR($Q60=1,$Q60=2),1,0),IF($X60&lt;=20,1,0))</formula>
    </cfRule>
    <cfRule type="expression" priority="240" dxfId="2">
      <formula>AND(IF($Q60=2,1,0),IF($X60&lt;30,1,0))</formula>
    </cfRule>
    <cfRule type="expression" priority="241" dxfId="1">
      <formula>AND(IF($Q60=3,1,0),IF($X60&lt;30,1,0))</formula>
    </cfRule>
    <cfRule type="expression" priority="242" dxfId="0">
      <formula>AND(IF($Q60=3,1,IF($Q60=4,1,0)),IF($F60&lt;=85,1,0))</formula>
    </cfRule>
  </conditionalFormatting>
  <conditionalFormatting sqref="AV61">
    <cfRule type="expression" priority="237" dxfId="17">
      <formula>AV61="X"</formula>
    </cfRule>
    <cfRule type="expression" priority="238" dxfId="16">
      <formula>AV61="후보"</formula>
    </cfRule>
  </conditionalFormatting>
  <conditionalFormatting sqref="AC61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61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61">
    <cfRule type="expression" priority="228" dxfId="3">
      <formula>AND(IF(OR($Q61=1,$Q61=2),1,0),IF($X61&lt;=20,1,0))</formula>
    </cfRule>
    <cfRule type="expression" priority="229" dxfId="2">
      <formula>AND(IF($Q61=2,1,0),IF($X61&lt;30,1,0))</formula>
    </cfRule>
    <cfRule type="expression" priority="230" dxfId="1">
      <formula>AND(IF($Q61=3,1,0),IF($X61&lt;30,1,0))</formula>
    </cfRule>
    <cfRule type="expression" priority="231" dxfId="0">
      <formula>AND(IF($Q61=3,1,IF($Q61=4,1,0)),IF($F61&lt;=85,1,0))</formula>
    </cfRule>
  </conditionalFormatting>
  <conditionalFormatting sqref="X61">
    <cfRule type="expression" priority="224" dxfId="3">
      <formula>AND(IF(OR($Q61=1,$Q61=2),1,0),IF($X61&lt;=20,1,0))</formula>
    </cfRule>
    <cfRule type="expression" priority="225" dxfId="2">
      <formula>AND(IF($Q61=2,1,0),IF($X61&lt;30,1,0))</formula>
    </cfRule>
    <cfRule type="expression" priority="226" dxfId="1">
      <formula>AND(IF($Q61=3,1,0),IF($X61&lt;30,1,0))</formula>
    </cfRule>
    <cfRule type="expression" priority="227" dxfId="0">
      <formula>AND(IF($Q61=3,1,IF($Q61=4,1,0)),IF($F61&lt;=85,1,0))</formula>
    </cfRule>
  </conditionalFormatting>
  <conditionalFormatting sqref="AI61">
    <cfRule type="expression" priority="220" dxfId="3">
      <formula>AND(IF(OR($Q61=1,$Q61=2),1,0),IF($X61&lt;=20,1,0))</formula>
    </cfRule>
    <cfRule type="expression" priority="221" dxfId="2">
      <formula>AND(IF($Q61=2,1,0),IF($X61&lt;30,1,0))</formula>
    </cfRule>
    <cfRule type="expression" priority="222" dxfId="1">
      <formula>AND(IF($Q61=3,1,0),IF($X61&lt;30,1,0))</formula>
    </cfRule>
    <cfRule type="expression" priority="223" dxfId="0">
      <formula>AND(IF($Q61=3,1,IF($Q61=4,1,0)),IF($F61&lt;=85,1,0))</formula>
    </cfRule>
  </conditionalFormatting>
  <conditionalFormatting sqref="AV62">
    <cfRule type="expression" priority="218" dxfId="17">
      <formula>AV62="X"</formula>
    </cfRule>
    <cfRule type="expression" priority="219" dxfId="16">
      <formula>AV62="후보"</formula>
    </cfRule>
  </conditionalFormatting>
  <conditionalFormatting sqref="AC62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62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62">
    <cfRule type="expression" priority="209" dxfId="3">
      <formula>AND(IF(OR($Q62=1,$Q62=2),1,0),IF($X62&lt;=20,1,0))</formula>
    </cfRule>
    <cfRule type="expression" priority="210" dxfId="2">
      <formula>AND(IF($Q62=2,1,0),IF($X62&lt;30,1,0))</formula>
    </cfRule>
    <cfRule type="expression" priority="211" dxfId="1">
      <formula>AND(IF($Q62=3,1,0),IF($X62&lt;30,1,0))</formula>
    </cfRule>
    <cfRule type="expression" priority="212" dxfId="0">
      <formula>AND(IF($Q62=3,1,IF($Q62=4,1,0)),IF($F62&lt;=85,1,0))</formula>
    </cfRule>
  </conditionalFormatting>
  <conditionalFormatting sqref="X62">
    <cfRule type="expression" priority="205" dxfId="3">
      <formula>AND(IF(OR($Q62=1,$Q62=2),1,0),IF($X62&lt;=20,1,0))</formula>
    </cfRule>
    <cfRule type="expression" priority="206" dxfId="2">
      <formula>AND(IF($Q62=2,1,0),IF($X62&lt;30,1,0))</formula>
    </cfRule>
    <cfRule type="expression" priority="207" dxfId="1">
      <formula>AND(IF($Q62=3,1,0),IF($X62&lt;30,1,0))</formula>
    </cfRule>
    <cfRule type="expression" priority="208" dxfId="0">
      <formula>AND(IF($Q62=3,1,IF($Q62=4,1,0)),IF($F62&lt;=85,1,0))</formula>
    </cfRule>
  </conditionalFormatting>
  <conditionalFormatting sqref="AI62">
    <cfRule type="expression" priority="201" dxfId="3">
      <formula>AND(IF(OR($Q62=1,$Q62=2),1,0),IF($X62&lt;=20,1,0))</formula>
    </cfRule>
    <cfRule type="expression" priority="202" dxfId="2">
      <formula>AND(IF($Q62=2,1,0),IF($X62&lt;30,1,0))</formula>
    </cfRule>
    <cfRule type="expression" priority="203" dxfId="1">
      <formula>AND(IF($Q62=3,1,0),IF($X62&lt;30,1,0))</formula>
    </cfRule>
    <cfRule type="expression" priority="204" dxfId="0">
      <formula>AND(IF($Q62=3,1,IF($Q62=4,1,0)),IF($F62&lt;=85,1,0))</formula>
    </cfRule>
  </conditionalFormatting>
  <conditionalFormatting sqref="AV63">
    <cfRule type="expression" priority="199" dxfId="17">
      <formula>AV63="X"</formula>
    </cfRule>
    <cfRule type="expression" priority="200" dxfId="16">
      <formula>AV63="후보"</formula>
    </cfRule>
  </conditionalFormatting>
  <conditionalFormatting sqref="AC63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63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63">
    <cfRule type="expression" priority="190" dxfId="3">
      <formula>AND(IF(OR($Q63=1,$Q63=2),1,0),IF($X63&lt;=20,1,0))</formula>
    </cfRule>
    <cfRule type="expression" priority="191" dxfId="2">
      <formula>AND(IF($Q63=2,1,0),IF($X63&lt;30,1,0))</formula>
    </cfRule>
    <cfRule type="expression" priority="192" dxfId="1">
      <formula>AND(IF($Q63=3,1,0),IF($X63&lt;30,1,0))</formula>
    </cfRule>
    <cfRule type="expression" priority="193" dxfId="0">
      <formula>AND(IF($Q63=3,1,IF($Q63=4,1,0)),IF($F63&lt;=85,1,0))</formula>
    </cfRule>
  </conditionalFormatting>
  <conditionalFormatting sqref="X63">
    <cfRule type="expression" priority="186" dxfId="3">
      <formula>AND(IF(OR($Q63=1,$Q63=2),1,0),IF($X63&lt;=20,1,0))</formula>
    </cfRule>
    <cfRule type="expression" priority="187" dxfId="2">
      <formula>AND(IF($Q63=2,1,0),IF($X63&lt;30,1,0))</formula>
    </cfRule>
    <cfRule type="expression" priority="188" dxfId="1">
      <formula>AND(IF($Q63=3,1,0),IF($X63&lt;30,1,0))</formula>
    </cfRule>
    <cfRule type="expression" priority="189" dxfId="0">
      <formula>AND(IF($Q63=3,1,IF($Q63=4,1,0)),IF($F63&lt;=85,1,0))</formula>
    </cfRule>
  </conditionalFormatting>
  <conditionalFormatting sqref="AI63">
    <cfRule type="expression" priority="182" dxfId="3">
      <formula>AND(IF(OR($Q63=1,$Q63=2),1,0),IF($X63&lt;=20,1,0))</formula>
    </cfRule>
    <cfRule type="expression" priority="183" dxfId="2">
      <formula>AND(IF($Q63=2,1,0),IF($X63&lt;30,1,0))</formula>
    </cfRule>
    <cfRule type="expression" priority="184" dxfId="1">
      <formula>AND(IF($Q63=3,1,0),IF($X63&lt;30,1,0))</formula>
    </cfRule>
    <cfRule type="expression" priority="185" dxfId="0">
      <formula>AND(IF($Q63=3,1,IF($Q63=4,1,0)),IF($F63&lt;=85,1,0))</formula>
    </cfRule>
  </conditionalFormatting>
  <conditionalFormatting sqref="AV64">
    <cfRule type="expression" priority="180" dxfId="17">
      <formula>AV64="X"</formula>
    </cfRule>
    <cfRule type="expression" priority="181" dxfId="16">
      <formula>AV64="후보"</formula>
    </cfRule>
  </conditionalFormatting>
  <conditionalFormatting sqref="AC64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64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64">
    <cfRule type="expression" priority="171" dxfId="3">
      <formula>AND(IF(OR($Q64=1,$Q64=2),1,0),IF($X64&lt;=20,1,0))</formula>
    </cfRule>
    <cfRule type="expression" priority="172" dxfId="2">
      <formula>AND(IF($Q64=2,1,0),IF($X64&lt;30,1,0))</formula>
    </cfRule>
    <cfRule type="expression" priority="173" dxfId="1">
      <formula>AND(IF($Q64=3,1,0),IF($X64&lt;30,1,0))</formula>
    </cfRule>
    <cfRule type="expression" priority="174" dxfId="0">
      <formula>AND(IF($Q64=3,1,IF($Q64=4,1,0)),IF($F64&lt;=85,1,0))</formula>
    </cfRule>
  </conditionalFormatting>
  <conditionalFormatting sqref="X64">
    <cfRule type="expression" priority="167" dxfId="3">
      <formula>AND(IF(OR($Q64=1,$Q64=2),1,0),IF($X64&lt;=20,1,0))</formula>
    </cfRule>
    <cfRule type="expression" priority="168" dxfId="2">
      <formula>AND(IF($Q64=2,1,0),IF($X64&lt;30,1,0))</formula>
    </cfRule>
    <cfRule type="expression" priority="169" dxfId="1">
      <formula>AND(IF($Q64=3,1,0),IF($X64&lt;30,1,0))</formula>
    </cfRule>
    <cfRule type="expression" priority="170" dxfId="0">
      <formula>AND(IF($Q64=3,1,IF($Q64=4,1,0)),IF($F64&lt;=85,1,0))</formula>
    </cfRule>
  </conditionalFormatting>
  <conditionalFormatting sqref="AI64">
    <cfRule type="expression" priority="163" dxfId="3">
      <formula>AND(IF(OR($Q64=1,$Q64=2),1,0),IF($X64&lt;=20,1,0))</formula>
    </cfRule>
    <cfRule type="expression" priority="164" dxfId="2">
      <formula>AND(IF($Q64=2,1,0),IF($X64&lt;30,1,0))</formula>
    </cfRule>
    <cfRule type="expression" priority="165" dxfId="1">
      <formula>AND(IF($Q64=3,1,0),IF($X64&lt;30,1,0))</formula>
    </cfRule>
    <cfRule type="expression" priority="166" dxfId="0">
      <formula>AND(IF($Q64=3,1,IF($Q64=4,1,0)),IF($F64&lt;=85,1,0))</formula>
    </cfRule>
  </conditionalFormatting>
  <conditionalFormatting sqref="AV65">
    <cfRule type="expression" priority="161" dxfId="17">
      <formula>AV65="X"</formula>
    </cfRule>
    <cfRule type="expression" priority="162" dxfId="16">
      <formula>AV65="후보"</formula>
    </cfRule>
  </conditionalFormatting>
  <conditionalFormatting sqref="AC65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65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65">
    <cfRule type="expression" priority="152" dxfId="3">
      <formula>AND(IF(OR($Q65=1,$Q65=2),1,0),IF($X65&lt;=20,1,0))</formula>
    </cfRule>
    <cfRule type="expression" priority="153" dxfId="2">
      <formula>AND(IF($Q65=2,1,0),IF($X65&lt;30,1,0))</formula>
    </cfRule>
    <cfRule type="expression" priority="154" dxfId="1">
      <formula>AND(IF($Q65=3,1,0),IF($X65&lt;30,1,0))</formula>
    </cfRule>
    <cfRule type="expression" priority="155" dxfId="0">
      <formula>AND(IF($Q65=3,1,IF($Q65=4,1,0)),IF($F65&lt;=85,1,0))</formula>
    </cfRule>
  </conditionalFormatting>
  <conditionalFormatting sqref="X65">
    <cfRule type="expression" priority="148" dxfId="3">
      <formula>AND(IF(OR($Q65=1,$Q65=2),1,0),IF($X65&lt;=20,1,0))</formula>
    </cfRule>
    <cfRule type="expression" priority="149" dxfId="2">
      <formula>AND(IF($Q65=2,1,0),IF($X65&lt;30,1,0))</formula>
    </cfRule>
    <cfRule type="expression" priority="150" dxfId="1">
      <formula>AND(IF($Q65=3,1,0),IF($X65&lt;30,1,0))</formula>
    </cfRule>
    <cfRule type="expression" priority="151" dxfId="0">
      <formula>AND(IF($Q65=3,1,IF($Q65=4,1,0)),IF($F65&lt;=85,1,0))</formula>
    </cfRule>
  </conditionalFormatting>
  <conditionalFormatting sqref="AI65">
    <cfRule type="expression" priority="144" dxfId="3">
      <formula>AND(IF(OR($Q65=1,$Q65=2),1,0),IF($X65&lt;=20,1,0))</formula>
    </cfRule>
    <cfRule type="expression" priority="145" dxfId="2">
      <formula>AND(IF($Q65=2,1,0),IF($X65&lt;30,1,0))</formula>
    </cfRule>
    <cfRule type="expression" priority="146" dxfId="1">
      <formula>AND(IF($Q65=3,1,0),IF($X65&lt;30,1,0))</formula>
    </cfRule>
    <cfRule type="expression" priority="147" dxfId="0">
      <formula>AND(IF($Q65=3,1,IF($Q65=4,1,0)),IF($F65&lt;=85,1,0))</formula>
    </cfRule>
  </conditionalFormatting>
  <conditionalFormatting sqref="AV66">
    <cfRule type="expression" priority="142" dxfId="17">
      <formula>AV66="X"</formula>
    </cfRule>
    <cfRule type="expression" priority="143" dxfId="16">
      <formula>AV66="후보"</formula>
    </cfRule>
  </conditionalFormatting>
  <conditionalFormatting sqref="AC66 N66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AV67">
    <cfRule type="expression" priority="137" dxfId="17">
      <formula>AV67="X"</formula>
    </cfRule>
    <cfRule type="expression" priority="138" dxfId="16">
      <formula>AV67="후보"</formula>
    </cfRule>
  </conditionalFormatting>
  <conditionalFormatting sqref="AC67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67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67">
    <cfRule type="expression" priority="128" dxfId="3">
      <formula>AND(IF(OR($Q67=1,$Q67=2),1,0),IF($X67&lt;=20,1,0))</formula>
    </cfRule>
    <cfRule type="expression" priority="129" dxfId="2">
      <formula>AND(IF($Q67=2,1,0),IF($X67&lt;30,1,0))</formula>
    </cfRule>
    <cfRule type="expression" priority="130" dxfId="1">
      <formula>AND(IF($Q67=3,1,0),IF($X67&lt;30,1,0))</formula>
    </cfRule>
    <cfRule type="expression" priority="131" dxfId="0">
      <formula>AND(IF($Q67=3,1,IF($Q67=4,1,0)),IF($F67&lt;=85,1,0))</formula>
    </cfRule>
  </conditionalFormatting>
  <conditionalFormatting sqref="X67">
    <cfRule type="expression" priority="124" dxfId="3">
      <formula>AND(IF(OR($Q67=1,$Q67=2),1,0),IF($X67&lt;=20,1,0))</formula>
    </cfRule>
    <cfRule type="expression" priority="125" dxfId="2">
      <formula>AND(IF($Q67=2,1,0),IF($X67&lt;30,1,0))</formula>
    </cfRule>
    <cfRule type="expression" priority="126" dxfId="1">
      <formula>AND(IF($Q67=3,1,0),IF($X67&lt;30,1,0))</formula>
    </cfRule>
    <cfRule type="expression" priority="127" dxfId="0">
      <formula>AND(IF($Q67=3,1,IF($Q67=4,1,0)),IF($F67&lt;=85,1,0))</formula>
    </cfRule>
  </conditionalFormatting>
  <conditionalFormatting sqref="AI67">
    <cfRule type="expression" priority="120" dxfId="3">
      <formula>AND(IF(OR($Q67=1,$Q67=2),1,0),IF($X67&lt;=20,1,0))</formula>
    </cfRule>
    <cfRule type="expression" priority="121" dxfId="2">
      <formula>AND(IF($Q67=2,1,0),IF($X67&lt;30,1,0))</formula>
    </cfRule>
    <cfRule type="expression" priority="122" dxfId="1">
      <formula>AND(IF($Q67=3,1,0),IF($X67&lt;30,1,0))</formula>
    </cfRule>
    <cfRule type="expression" priority="123" dxfId="0">
      <formula>AND(IF($Q67=3,1,IF($Q67=4,1,0)),IF($F67&lt;=85,1,0))</formula>
    </cfRule>
  </conditionalFormatting>
  <conditionalFormatting sqref="AV68">
    <cfRule type="expression" priority="118" dxfId="17">
      <formula>AV68="X"</formula>
    </cfRule>
    <cfRule type="expression" priority="119" dxfId="16">
      <formula>AV68="후보"</formula>
    </cfRule>
  </conditionalFormatting>
  <conditionalFormatting sqref="AC68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68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68">
    <cfRule type="expression" priority="109" dxfId="3">
      <formula>AND(IF(OR($Q68=1,$Q68=2),1,0),IF($X68&lt;=20,1,0))</formula>
    </cfRule>
    <cfRule type="expression" priority="110" dxfId="2">
      <formula>AND(IF($Q68=2,1,0),IF($X68&lt;30,1,0))</formula>
    </cfRule>
    <cfRule type="expression" priority="111" dxfId="1">
      <formula>AND(IF($Q68=3,1,0),IF($X68&lt;30,1,0))</formula>
    </cfRule>
    <cfRule type="expression" priority="112" dxfId="0">
      <formula>AND(IF($Q68=3,1,IF($Q68=4,1,0)),IF($F68&lt;=85,1,0))</formula>
    </cfRule>
  </conditionalFormatting>
  <conditionalFormatting sqref="X68">
    <cfRule type="expression" priority="105" dxfId="3">
      <formula>AND(IF(OR($Q68=1,$Q68=2),1,0),IF($X68&lt;=20,1,0))</formula>
    </cfRule>
    <cfRule type="expression" priority="106" dxfId="2">
      <formula>AND(IF($Q68=2,1,0),IF($X68&lt;30,1,0))</formula>
    </cfRule>
    <cfRule type="expression" priority="107" dxfId="1">
      <formula>AND(IF($Q68=3,1,0),IF($X68&lt;30,1,0))</formula>
    </cfRule>
    <cfRule type="expression" priority="108" dxfId="0">
      <formula>AND(IF($Q68=3,1,IF($Q68=4,1,0)),IF($F68&lt;=85,1,0))</formula>
    </cfRule>
  </conditionalFormatting>
  <conditionalFormatting sqref="AI68">
    <cfRule type="expression" priority="101" dxfId="3">
      <formula>AND(IF(OR($Q68=1,$Q68=2),1,0),IF($X68&lt;=20,1,0))</formula>
    </cfRule>
    <cfRule type="expression" priority="102" dxfId="2">
      <formula>AND(IF($Q68=2,1,0),IF($X68&lt;30,1,0))</formula>
    </cfRule>
    <cfRule type="expression" priority="103" dxfId="1">
      <formula>AND(IF($Q68=3,1,0),IF($X68&lt;30,1,0))</formula>
    </cfRule>
    <cfRule type="expression" priority="104" dxfId="0">
      <formula>AND(IF($Q68=3,1,IF($Q68=4,1,0)),IF($F68&lt;=85,1,0))</formula>
    </cfRule>
  </conditionalFormatting>
  <conditionalFormatting sqref="AV69">
    <cfRule type="expression" priority="99" dxfId="17">
      <formula>AV69="X"</formula>
    </cfRule>
    <cfRule type="expression" priority="100" dxfId="16">
      <formula>AV69="후보"</formula>
    </cfRule>
  </conditionalFormatting>
  <conditionalFormatting sqref="AC69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69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69">
    <cfRule type="expression" priority="90" dxfId="3">
      <formula>AND(IF(OR($Q69=1,$Q69=2),1,0),IF($X69&lt;=20,1,0))</formula>
    </cfRule>
    <cfRule type="expression" priority="91" dxfId="2">
      <formula>AND(IF($Q69=2,1,0),IF($X69&lt;30,1,0))</formula>
    </cfRule>
    <cfRule type="expression" priority="92" dxfId="1">
      <formula>AND(IF($Q69=3,1,0),IF($X69&lt;30,1,0))</formula>
    </cfRule>
    <cfRule type="expression" priority="93" dxfId="0">
      <formula>AND(IF($Q69=3,1,IF($Q69=4,1,0)),IF($F69&lt;=85,1,0))</formula>
    </cfRule>
  </conditionalFormatting>
  <conditionalFormatting sqref="X69">
    <cfRule type="expression" priority="86" dxfId="3">
      <formula>AND(IF(OR($Q69=1,$Q69=2),1,0),IF($X69&lt;=20,1,0))</formula>
    </cfRule>
    <cfRule type="expression" priority="87" dxfId="2">
      <formula>AND(IF($Q69=2,1,0),IF($X69&lt;30,1,0))</formula>
    </cfRule>
    <cfRule type="expression" priority="88" dxfId="1">
      <formula>AND(IF($Q69=3,1,0),IF($X69&lt;30,1,0))</formula>
    </cfRule>
    <cfRule type="expression" priority="89" dxfId="0">
      <formula>AND(IF($Q69=3,1,IF($Q69=4,1,0)),IF($F69&lt;=85,1,0))</formula>
    </cfRule>
  </conditionalFormatting>
  <conditionalFormatting sqref="AI69">
    <cfRule type="expression" priority="82" dxfId="3">
      <formula>AND(IF(OR($Q69=1,$Q69=2),1,0),IF($X69&lt;=20,1,0))</formula>
    </cfRule>
    <cfRule type="expression" priority="83" dxfId="2">
      <formula>AND(IF($Q69=2,1,0),IF($X69&lt;30,1,0))</formula>
    </cfRule>
    <cfRule type="expression" priority="84" dxfId="1">
      <formula>AND(IF($Q69=3,1,0),IF($X69&lt;30,1,0))</formula>
    </cfRule>
    <cfRule type="expression" priority="85" dxfId="0">
      <formula>AND(IF($Q69=3,1,IF($Q69=4,1,0)),IF($F69&lt;=85,1,0))</formula>
    </cfRule>
  </conditionalFormatting>
  <conditionalFormatting sqref="AV70">
    <cfRule type="expression" priority="80" dxfId="17">
      <formula>AV70="X"</formula>
    </cfRule>
    <cfRule type="expression" priority="81" dxfId="16">
      <formula>AV70="후보"</formula>
    </cfRule>
  </conditionalFormatting>
  <conditionalFormatting sqref="AC70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70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70">
    <cfRule type="expression" priority="71" dxfId="3">
      <formula>AND(IF(OR($Q70=1,$Q70=2),1,0),IF($X70&lt;=20,1,0))</formula>
    </cfRule>
    <cfRule type="expression" priority="72" dxfId="2">
      <formula>AND(IF($Q70=2,1,0),IF($X70&lt;30,1,0))</formula>
    </cfRule>
    <cfRule type="expression" priority="73" dxfId="1">
      <formula>AND(IF($Q70=3,1,0),IF($X70&lt;30,1,0))</formula>
    </cfRule>
    <cfRule type="expression" priority="74" dxfId="0">
      <formula>AND(IF($Q70=3,1,IF($Q70=4,1,0)),IF($F70&lt;=85,1,0))</formula>
    </cfRule>
  </conditionalFormatting>
  <conditionalFormatting sqref="X70">
    <cfRule type="expression" priority="67" dxfId="3">
      <formula>AND(IF(OR($Q70=1,$Q70=2),1,0),IF($X70&lt;=20,1,0))</formula>
    </cfRule>
    <cfRule type="expression" priority="68" dxfId="2">
      <formula>AND(IF($Q70=2,1,0),IF($X70&lt;30,1,0))</formula>
    </cfRule>
    <cfRule type="expression" priority="69" dxfId="1">
      <formula>AND(IF($Q70=3,1,0),IF($X70&lt;30,1,0))</formula>
    </cfRule>
    <cfRule type="expression" priority="70" dxfId="0">
      <formula>AND(IF($Q70=3,1,IF($Q70=4,1,0)),IF($F70&lt;=85,1,0))</formula>
    </cfRule>
  </conditionalFormatting>
  <conditionalFormatting sqref="AI70">
    <cfRule type="expression" priority="63" dxfId="3">
      <formula>AND(IF(OR($Q70=1,$Q70=2),1,0),IF($X70&lt;=20,1,0))</formula>
    </cfRule>
    <cfRule type="expression" priority="64" dxfId="2">
      <formula>AND(IF($Q70=2,1,0),IF($X70&lt;30,1,0))</formula>
    </cfRule>
    <cfRule type="expression" priority="65" dxfId="1">
      <formula>AND(IF($Q70=3,1,0),IF($X70&lt;30,1,0))</formula>
    </cfRule>
    <cfRule type="expression" priority="66" dxfId="0">
      <formula>AND(IF($Q70=3,1,IF($Q70=4,1,0)),IF($F70&lt;=85,1,0))</formula>
    </cfRule>
  </conditionalFormatting>
  <conditionalFormatting sqref="AV71">
    <cfRule type="expression" priority="61" dxfId="17">
      <formula>AV71="X"</formula>
    </cfRule>
    <cfRule type="expression" priority="62" dxfId="16">
      <formula>AV71="후보"</formula>
    </cfRule>
  </conditionalFormatting>
  <conditionalFormatting sqref="AC71 N71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72">
    <cfRule type="expression" priority="56" dxfId="17">
      <formula>AV72="X"</formula>
    </cfRule>
    <cfRule type="expression" priority="57" dxfId="16">
      <formula>AV72="후보"</formula>
    </cfRule>
  </conditionalFormatting>
  <conditionalFormatting sqref="AC72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72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72">
    <cfRule type="expression" priority="47" dxfId="3">
      <formula>AND(IF(OR($Q72=1,$Q72=2),1,0),IF($X72&lt;=20,1,0))</formula>
    </cfRule>
    <cfRule type="expression" priority="48" dxfId="2">
      <formula>AND(IF($Q72=2,1,0),IF($X72&lt;30,1,0))</formula>
    </cfRule>
    <cfRule type="expression" priority="49" dxfId="1">
      <formula>AND(IF($Q72=3,1,0),IF($X72&lt;30,1,0))</formula>
    </cfRule>
    <cfRule type="expression" priority="50" dxfId="0">
      <formula>AND(IF($Q72=3,1,IF($Q72=4,1,0)),IF($F72&lt;=85,1,0))</formula>
    </cfRule>
  </conditionalFormatting>
  <conditionalFormatting sqref="X72">
    <cfRule type="expression" priority="43" dxfId="3">
      <formula>AND(IF(OR($Q72=1,$Q72=2),1,0),IF($X72&lt;=20,1,0))</formula>
    </cfRule>
    <cfRule type="expression" priority="44" dxfId="2">
      <formula>AND(IF($Q72=2,1,0),IF($X72&lt;30,1,0))</formula>
    </cfRule>
    <cfRule type="expression" priority="45" dxfId="1">
      <formula>AND(IF($Q72=3,1,0),IF($X72&lt;30,1,0))</formula>
    </cfRule>
    <cfRule type="expression" priority="46" dxfId="0">
      <formula>AND(IF($Q72=3,1,IF($Q72=4,1,0)),IF($F72&lt;=85,1,0))</formula>
    </cfRule>
  </conditionalFormatting>
  <conditionalFormatting sqref="AI72">
    <cfRule type="expression" priority="39" dxfId="3">
      <formula>AND(IF(OR($Q72=1,$Q72=2),1,0),IF($X72&lt;=20,1,0))</formula>
    </cfRule>
    <cfRule type="expression" priority="40" dxfId="2">
      <formula>AND(IF($Q72=2,1,0),IF($X72&lt;30,1,0))</formula>
    </cfRule>
    <cfRule type="expression" priority="41" dxfId="1">
      <formula>AND(IF($Q72=3,1,0),IF($X72&lt;30,1,0))</formula>
    </cfRule>
    <cfRule type="expression" priority="42" dxfId="0">
      <formula>AND(IF($Q72=3,1,IF($Q72=4,1,0)),IF($F72&lt;=85,1,0))</formula>
    </cfRule>
  </conditionalFormatting>
  <conditionalFormatting sqref="AV73">
    <cfRule type="expression" priority="37" dxfId="17">
      <formula>AV73="X"</formula>
    </cfRule>
    <cfRule type="expression" priority="38" dxfId="16">
      <formula>AV73="후보"</formula>
    </cfRule>
  </conditionalFormatting>
  <conditionalFormatting sqref="AC73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73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73">
    <cfRule type="expression" priority="28" dxfId="3">
      <formula>AND(IF(OR($Q73=1,$Q73=2),1,0),IF($X73&lt;=20,1,0))</formula>
    </cfRule>
    <cfRule type="expression" priority="29" dxfId="2">
      <formula>AND(IF($Q73=2,1,0),IF($X73&lt;30,1,0))</formula>
    </cfRule>
    <cfRule type="expression" priority="30" dxfId="1">
      <formula>AND(IF($Q73=3,1,0),IF($X73&lt;30,1,0))</formula>
    </cfRule>
    <cfRule type="expression" priority="31" dxfId="0">
      <formula>AND(IF($Q73=3,1,IF($Q73=4,1,0)),IF($F73&lt;=85,1,0))</formula>
    </cfRule>
  </conditionalFormatting>
  <conditionalFormatting sqref="X73">
    <cfRule type="expression" priority="24" dxfId="3">
      <formula>AND(IF(OR($Q73=1,$Q73=2),1,0),IF($X73&lt;=20,1,0))</formula>
    </cfRule>
    <cfRule type="expression" priority="25" dxfId="2">
      <formula>AND(IF($Q73=2,1,0),IF($X73&lt;30,1,0))</formula>
    </cfRule>
    <cfRule type="expression" priority="26" dxfId="1">
      <formula>AND(IF($Q73=3,1,0),IF($X73&lt;30,1,0))</formula>
    </cfRule>
    <cfRule type="expression" priority="27" dxfId="0">
      <formula>AND(IF($Q73=3,1,IF($Q73=4,1,0)),IF($F73&lt;=85,1,0))</formula>
    </cfRule>
  </conditionalFormatting>
  <conditionalFormatting sqref="AI73">
    <cfRule type="expression" priority="20" dxfId="3">
      <formula>AND(IF(OR($Q73=1,$Q73=2),1,0),IF($X73&lt;=20,1,0))</formula>
    </cfRule>
    <cfRule type="expression" priority="21" dxfId="2">
      <formula>AND(IF($Q73=2,1,0),IF($X73&lt;30,1,0))</formula>
    </cfRule>
    <cfRule type="expression" priority="22" dxfId="1">
      <formula>AND(IF($Q73=3,1,0),IF($X73&lt;30,1,0))</formula>
    </cfRule>
    <cfRule type="expression" priority="23" dxfId="0">
      <formula>AND(IF($Q73=3,1,IF($Q73=4,1,0)),IF($F73&lt;=85,1,0))</formula>
    </cfRule>
  </conditionalFormatting>
  <conditionalFormatting sqref="AV74">
    <cfRule type="expression" priority="18" dxfId="17">
      <formula>AV74="X"</formula>
    </cfRule>
    <cfRule type="expression" priority="19" dxfId="16">
      <formula>AV74="후보"</formula>
    </cfRule>
  </conditionalFormatting>
  <conditionalFormatting sqref="AC74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74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74">
    <cfRule type="expression" priority="9" dxfId="3">
      <formula>AND(IF(OR($Q74=1,$Q74=2),1,0),IF($X74&lt;=20,1,0))</formula>
    </cfRule>
    <cfRule type="expression" priority="10" dxfId="2">
      <formula>AND(IF($Q74=2,1,0),IF($X74&lt;30,1,0))</formula>
    </cfRule>
    <cfRule type="expression" priority="11" dxfId="1">
      <formula>AND(IF($Q74=3,1,0),IF($X74&lt;30,1,0))</formula>
    </cfRule>
    <cfRule type="expression" priority="12" dxfId="0">
      <formula>AND(IF($Q74=3,1,IF($Q74=4,1,0)),IF($F74&lt;=85,1,0))</formula>
    </cfRule>
  </conditionalFormatting>
  <conditionalFormatting sqref="X74">
    <cfRule type="expression" priority="5" dxfId="3">
      <formula>AND(IF(OR($Q74=1,$Q74=2),1,0),IF($X74&lt;=20,1,0))</formula>
    </cfRule>
    <cfRule type="expression" priority="6" dxfId="2">
      <formula>AND(IF($Q74=2,1,0),IF($X74&lt;30,1,0))</formula>
    </cfRule>
    <cfRule type="expression" priority="7" dxfId="1">
      <formula>AND(IF($Q74=3,1,0),IF($X74&lt;30,1,0))</formula>
    </cfRule>
    <cfRule type="expression" priority="8" dxfId="0">
      <formula>AND(IF($Q74=3,1,IF($Q74=4,1,0)),IF($F74&lt;=85,1,0))</formula>
    </cfRule>
  </conditionalFormatting>
  <conditionalFormatting sqref="AI74">
    <cfRule type="expression" priority="1" dxfId="3">
      <formula>AND(IF(OR($Q74=1,$Q74=2),1,0),IF($X74&lt;=20,1,0))</formula>
    </cfRule>
    <cfRule type="expression" priority="2" dxfId="2">
      <formula>AND(IF($Q74=2,1,0),IF($X74&lt;30,1,0))</formula>
    </cfRule>
    <cfRule type="expression" priority="3" dxfId="1">
      <formula>AND(IF($Q74=3,1,0),IF($X74&lt;30,1,0))</formula>
    </cfRule>
    <cfRule type="expression" priority="4" dxfId="0">
      <formula>AND(IF($Q74=3,1,IF($Q74=4,1,0)),IF($F74&lt;=85,1,0))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5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동명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단지명</t>
        </is>
      </c>
      <c r="B6" s="16" t="inlineStr">
        <is>
          <t>'19.04</t>
        </is>
      </c>
      <c r="C6" s="164" t="n">
        <v>905</v>
      </c>
      <c r="D6" s="161" t="n">
        <v>79.3</v>
      </c>
      <c r="E6" s="163" t="n">
        <v>24</v>
      </c>
      <c r="F6" s="161" t="n">
        <v>59.8</v>
      </c>
      <c r="G6" s="27" t="n">
        <v>18</v>
      </c>
      <c r="H6" s="164" t="n">
        <v>240</v>
      </c>
      <c r="I6" s="165" t="n"/>
      <c r="J6" s="165" t="n"/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n">
        <v>79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17">
      <formula>AV4="X"</formula>
    </cfRule>
    <cfRule type="expression" priority="5350" dxfId="16">
      <formula>AV4="후보"</formula>
    </cfRule>
  </conditionalFormatting>
  <conditionalFormatting sqref="AC1:AC2 AC4:AC6 N4:N5">
    <cfRule type="cellIs" priority="5346" operator="greaterThan" dxfId="13">
      <formula>0.9</formula>
    </cfRule>
    <cfRule type="cellIs" priority="5347" operator="greaterThan" dxfId="12">
      <formula>0.85</formula>
    </cfRule>
  </conditionalFormatting>
  <conditionalFormatting sqref="N1:N2">
    <cfRule type="cellIs" priority="5344" operator="greaterThan" dxfId="13">
      <formula>0.9</formula>
    </cfRule>
    <cfRule type="cellIs" priority="5345" operator="greaterThan" dxfId="12">
      <formula>0.85</formula>
    </cfRule>
  </conditionalFormatting>
  <conditionalFormatting sqref="N6">
    <cfRule type="cellIs" priority="17" operator="greaterThan" dxfId="13">
      <formula>0.9</formula>
    </cfRule>
    <cfRule type="cellIs" priority="18" operator="greaterThan" dxfId="12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2022-04-21T13:30:39Z</dcterms:modified>
  <cp:lastModifiedBy>MinsuKwon</cp:lastModifiedBy>
  <cp:lastPrinted>2018-04-28T10:52:41Z</cp:lastPrinted>
</cp:coreProperties>
</file>